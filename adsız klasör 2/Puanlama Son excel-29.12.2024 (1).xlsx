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yeliz\OneDrive\Masaüstü\"/>
    </mc:Choice>
  </mc:AlternateContent>
  <xr:revisionPtr revIDLastSave="0" documentId="13_ncr:1_{B788A96E-24CB-414E-B329-8A64DFF2C558}" xr6:coauthVersionLast="47" xr6:coauthVersionMax="47" xr10:uidLastSave="{00000000-0000-0000-0000-000000000000}"/>
  <bookViews>
    <workbookView xWindow="-37" yWindow="45" windowWidth="19200" windowHeight="11123" tabRatio="900" activeTab="10" xr2:uid="{00000000-000D-0000-FFFF-FFFF00000000}"/>
  </bookViews>
  <sheets>
    <sheet name="Kurs" sheetId="1" r:id="rId1"/>
    <sheet name="Hakemler" sheetId="2" r:id="rId2"/>
    <sheet name="AtM_D" sheetId="3" r:id="rId3"/>
    <sheet name="AtM_E" sheetId="4" r:id="rId4"/>
    <sheet name="KP_D" sheetId="5" r:id="rId5"/>
    <sheet name="KP_E" sheetId="6" r:id="rId6"/>
    <sheet name="D_D" sheetId="7" r:id="rId7"/>
    <sheet name="D_E" sheetId="8" r:id="rId8"/>
    <sheet name="Y_D" sheetId="9" r:id="rId9"/>
    <sheet name="Y_E" sheetId="10" r:id="rId10"/>
    <sheet name="Sonuclar" sheetId="11" r:id="rId11"/>
    <sheet name="Uzman_D" sheetId="12" r:id="rId12"/>
    <sheet name="Uzman_E" sheetId="13" r:id="rId13"/>
    <sheet name="Tablo_E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0" i="5" l="1"/>
  <c r="K46" i="3"/>
  <c r="S49" i="3"/>
  <c r="C103" i="11"/>
  <c r="B103" i="11"/>
  <c r="C102" i="11"/>
  <c r="B102" i="11"/>
  <c r="C101" i="11"/>
  <c r="B101" i="11"/>
  <c r="C100" i="11"/>
  <c r="B100" i="11"/>
  <c r="C99" i="11"/>
  <c r="B99" i="11"/>
  <c r="C98" i="11"/>
  <c r="B98" i="11"/>
  <c r="C97" i="11"/>
  <c r="B97" i="11"/>
  <c r="C96" i="11"/>
  <c r="B96" i="11"/>
  <c r="C95" i="11"/>
  <c r="B95" i="11"/>
  <c r="C94" i="11"/>
  <c r="B94" i="11"/>
  <c r="C93" i="11"/>
  <c r="B93" i="11"/>
  <c r="C92" i="11"/>
  <c r="B92" i="11"/>
  <c r="C91" i="11"/>
  <c r="B91" i="11"/>
  <c r="C90" i="11"/>
  <c r="B90" i="11"/>
  <c r="C89" i="11"/>
  <c r="B89" i="11"/>
  <c r="C88" i="11"/>
  <c r="B88" i="11"/>
  <c r="C87" i="11"/>
  <c r="B87" i="11"/>
  <c r="C86" i="11"/>
  <c r="B86" i="11"/>
  <c r="C85" i="11"/>
  <c r="B85" i="11"/>
  <c r="C84" i="11"/>
  <c r="B84" i="11"/>
  <c r="C83" i="11"/>
  <c r="B83" i="11"/>
  <c r="C82" i="11"/>
  <c r="B82" i="11"/>
  <c r="C81" i="11"/>
  <c r="B81" i="11"/>
  <c r="C80" i="11"/>
  <c r="B80" i="11"/>
  <c r="C79" i="11"/>
  <c r="B79" i="11"/>
  <c r="C78" i="11"/>
  <c r="B78" i="11"/>
  <c r="C77" i="11"/>
  <c r="B77" i="11"/>
  <c r="C76" i="11"/>
  <c r="B76" i="11"/>
  <c r="C75" i="11"/>
  <c r="B75" i="11"/>
  <c r="C74" i="11"/>
  <c r="B74" i="11"/>
  <c r="C73" i="11"/>
  <c r="B73" i="11"/>
  <c r="C72" i="11"/>
  <c r="B72" i="11"/>
  <c r="C71" i="11"/>
  <c r="B71" i="11"/>
  <c r="C70" i="11"/>
  <c r="B70" i="11"/>
  <c r="C69" i="11"/>
  <c r="B69" i="11"/>
  <c r="C68" i="11"/>
  <c r="B68" i="11"/>
  <c r="C67" i="11"/>
  <c r="B67" i="11"/>
  <c r="C66" i="11"/>
  <c r="B66" i="11"/>
  <c r="C65" i="11"/>
  <c r="B65" i="11"/>
  <c r="C64" i="11"/>
  <c r="B64" i="11"/>
  <c r="C63" i="11"/>
  <c r="B63" i="11"/>
  <c r="C62" i="11"/>
  <c r="B62" i="11"/>
  <c r="C61" i="11"/>
  <c r="B61" i="11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R103" i="10"/>
  <c r="Q103" i="10"/>
  <c r="O103" i="10"/>
  <c r="N103" i="10"/>
  <c r="L103" i="10"/>
  <c r="K103" i="10"/>
  <c r="I103" i="10"/>
  <c r="H103" i="10"/>
  <c r="F103" i="10"/>
  <c r="S103" i="10" s="1"/>
  <c r="K103" i="11" s="1"/>
  <c r="E103" i="10"/>
  <c r="C103" i="10"/>
  <c r="B103" i="10"/>
  <c r="R102" i="10"/>
  <c r="Q102" i="10"/>
  <c r="O102" i="10"/>
  <c r="N102" i="10"/>
  <c r="L102" i="10"/>
  <c r="K102" i="10"/>
  <c r="I102" i="10"/>
  <c r="H102" i="10"/>
  <c r="F102" i="10"/>
  <c r="S102" i="10" s="1"/>
  <c r="K102" i="11" s="1"/>
  <c r="E102" i="10"/>
  <c r="C102" i="10"/>
  <c r="B102" i="10"/>
  <c r="R101" i="10"/>
  <c r="Q101" i="10"/>
  <c r="O101" i="10"/>
  <c r="N101" i="10"/>
  <c r="L101" i="10"/>
  <c r="K101" i="10"/>
  <c r="I101" i="10"/>
  <c r="H101" i="10"/>
  <c r="F101" i="10"/>
  <c r="S101" i="10" s="1"/>
  <c r="K101" i="11" s="1"/>
  <c r="E101" i="10"/>
  <c r="C101" i="10"/>
  <c r="B101" i="10"/>
  <c r="S100" i="10"/>
  <c r="K100" i="11" s="1"/>
  <c r="R100" i="10"/>
  <c r="Q100" i="10"/>
  <c r="O100" i="10"/>
  <c r="N100" i="10"/>
  <c r="L100" i="10"/>
  <c r="K100" i="10"/>
  <c r="I100" i="10"/>
  <c r="H100" i="10"/>
  <c r="F100" i="10"/>
  <c r="E100" i="10"/>
  <c r="C100" i="10"/>
  <c r="B100" i="10"/>
  <c r="R99" i="10"/>
  <c r="Q99" i="10"/>
  <c r="O99" i="10"/>
  <c r="N99" i="10"/>
  <c r="L99" i="10"/>
  <c r="K99" i="10"/>
  <c r="I99" i="10"/>
  <c r="S99" i="10" s="1"/>
  <c r="K99" i="11" s="1"/>
  <c r="H99" i="10"/>
  <c r="F99" i="10"/>
  <c r="E99" i="10"/>
  <c r="C99" i="10"/>
  <c r="B99" i="10"/>
  <c r="R98" i="10"/>
  <c r="Q98" i="10"/>
  <c r="O98" i="10"/>
  <c r="N98" i="10"/>
  <c r="L98" i="10"/>
  <c r="S98" i="10" s="1"/>
  <c r="K98" i="11" s="1"/>
  <c r="K98" i="10"/>
  <c r="I98" i="10"/>
  <c r="H98" i="10"/>
  <c r="F98" i="10"/>
  <c r="E98" i="10"/>
  <c r="C98" i="10"/>
  <c r="B98" i="10"/>
  <c r="R97" i="10"/>
  <c r="Q97" i="10"/>
  <c r="O97" i="10"/>
  <c r="N97" i="10"/>
  <c r="L97" i="10"/>
  <c r="K97" i="10"/>
  <c r="I97" i="10"/>
  <c r="H97" i="10"/>
  <c r="F97" i="10"/>
  <c r="S97" i="10" s="1"/>
  <c r="K97" i="11" s="1"/>
  <c r="E97" i="10"/>
  <c r="C97" i="10"/>
  <c r="B97" i="10"/>
  <c r="R96" i="10"/>
  <c r="Q96" i="10"/>
  <c r="O96" i="10"/>
  <c r="N96" i="10"/>
  <c r="L96" i="10"/>
  <c r="K96" i="10"/>
  <c r="I96" i="10"/>
  <c r="H96" i="10"/>
  <c r="F96" i="10"/>
  <c r="E96" i="10"/>
  <c r="C96" i="10"/>
  <c r="B96" i="10"/>
  <c r="R95" i="10"/>
  <c r="Q95" i="10"/>
  <c r="O95" i="10"/>
  <c r="N95" i="10"/>
  <c r="L95" i="10"/>
  <c r="K95" i="10"/>
  <c r="I95" i="10"/>
  <c r="H95" i="10"/>
  <c r="F95" i="10"/>
  <c r="E95" i="10"/>
  <c r="C95" i="10"/>
  <c r="B95" i="10"/>
  <c r="R94" i="10"/>
  <c r="Q94" i="10"/>
  <c r="O94" i="10"/>
  <c r="N94" i="10"/>
  <c r="L94" i="10"/>
  <c r="K94" i="10"/>
  <c r="I94" i="10"/>
  <c r="H94" i="10"/>
  <c r="F94" i="10"/>
  <c r="S94" i="10" s="1"/>
  <c r="K94" i="11" s="1"/>
  <c r="E94" i="10"/>
  <c r="C94" i="10"/>
  <c r="B94" i="10"/>
  <c r="R93" i="10"/>
  <c r="Q93" i="10"/>
  <c r="O93" i="10"/>
  <c r="N93" i="10"/>
  <c r="L93" i="10"/>
  <c r="K93" i="10"/>
  <c r="I93" i="10"/>
  <c r="S93" i="10" s="1"/>
  <c r="K93" i="11" s="1"/>
  <c r="H93" i="10"/>
  <c r="F93" i="10"/>
  <c r="E93" i="10"/>
  <c r="C93" i="10"/>
  <c r="B93" i="10"/>
  <c r="R92" i="10"/>
  <c r="Q92" i="10"/>
  <c r="O92" i="10"/>
  <c r="N92" i="10"/>
  <c r="L92" i="10"/>
  <c r="K92" i="10"/>
  <c r="I92" i="10"/>
  <c r="S92" i="10" s="1"/>
  <c r="K92" i="11" s="1"/>
  <c r="H92" i="10"/>
  <c r="F92" i="10"/>
  <c r="E92" i="10"/>
  <c r="C92" i="10"/>
  <c r="B92" i="10"/>
  <c r="S91" i="10"/>
  <c r="K91" i="11" s="1"/>
  <c r="R91" i="10"/>
  <c r="Q91" i="10"/>
  <c r="O91" i="10"/>
  <c r="N91" i="10"/>
  <c r="L91" i="10"/>
  <c r="K91" i="10"/>
  <c r="I91" i="10"/>
  <c r="H91" i="10"/>
  <c r="F91" i="10"/>
  <c r="E91" i="10"/>
  <c r="C91" i="10"/>
  <c r="B91" i="10"/>
  <c r="R90" i="10"/>
  <c r="Q90" i="10"/>
  <c r="O90" i="10"/>
  <c r="N90" i="10"/>
  <c r="L90" i="10"/>
  <c r="S90" i="10" s="1"/>
  <c r="K90" i="11" s="1"/>
  <c r="K90" i="10"/>
  <c r="I90" i="10"/>
  <c r="H90" i="10"/>
  <c r="F90" i="10"/>
  <c r="E90" i="10"/>
  <c r="C90" i="10"/>
  <c r="B90" i="10"/>
  <c r="R89" i="10"/>
  <c r="Q89" i="10"/>
  <c r="O89" i="10"/>
  <c r="S89" i="10" s="1"/>
  <c r="K89" i="11" s="1"/>
  <c r="N89" i="10"/>
  <c r="L89" i="10"/>
  <c r="K89" i="10"/>
  <c r="I89" i="10"/>
  <c r="H89" i="10"/>
  <c r="F89" i="10"/>
  <c r="E89" i="10"/>
  <c r="C89" i="10"/>
  <c r="B89" i="10"/>
  <c r="R88" i="10"/>
  <c r="Q88" i="10"/>
  <c r="O88" i="10"/>
  <c r="N88" i="10"/>
  <c r="L88" i="10"/>
  <c r="K88" i="10"/>
  <c r="I88" i="10"/>
  <c r="H88" i="10"/>
  <c r="F88" i="10"/>
  <c r="S88" i="10" s="1"/>
  <c r="K88" i="11" s="1"/>
  <c r="E88" i="10"/>
  <c r="C88" i="10"/>
  <c r="B88" i="10"/>
  <c r="R87" i="10"/>
  <c r="Q87" i="10"/>
  <c r="O87" i="10"/>
  <c r="N87" i="10"/>
  <c r="L87" i="10"/>
  <c r="K87" i="10"/>
  <c r="I87" i="10"/>
  <c r="H87" i="10"/>
  <c r="F87" i="10"/>
  <c r="S87" i="10" s="1"/>
  <c r="K87" i="11" s="1"/>
  <c r="E87" i="10"/>
  <c r="C87" i="10"/>
  <c r="B87" i="10"/>
  <c r="R86" i="10"/>
  <c r="Q86" i="10"/>
  <c r="O86" i="10"/>
  <c r="N86" i="10"/>
  <c r="L86" i="10"/>
  <c r="K86" i="10"/>
  <c r="I86" i="10"/>
  <c r="H86" i="10"/>
  <c r="F86" i="10"/>
  <c r="E86" i="10"/>
  <c r="C86" i="10"/>
  <c r="B86" i="10"/>
  <c r="R85" i="10"/>
  <c r="Q85" i="10"/>
  <c r="O85" i="10"/>
  <c r="N85" i="10"/>
  <c r="L85" i="10"/>
  <c r="K85" i="10"/>
  <c r="I85" i="10"/>
  <c r="H85" i="10"/>
  <c r="F85" i="10"/>
  <c r="E85" i="10"/>
  <c r="C85" i="10"/>
  <c r="B85" i="10"/>
  <c r="R84" i="10"/>
  <c r="Q84" i="10"/>
  <c r="O84" i="10"/>
  <c r="N84" i="10"/>
  <c r="L84" i="10"/>
  <c r="K84" i="10"/>
  <c r="I84" i="10"/>
  <c r="H84" i="10"/>
  <c r="F84" i="10"/>
  <c r="S84" i="10" s="1"/>
  <c r="K84" i="11" s="1"/>
  <c r="E84" i="10"/>
  <c r="C84" i="10"/>
  <c r="B84" i="10"/>
  <c r="R83" i="10"/>
  <c r="Q83" i="10"/>
  <c r="O83" i="10"/>
  <c r="N83" i="10"/>
  <c r="L83" i="10"/>
  <c r="K83" i="10"/>
  <c r="I83" i="10"/>
  <c r="S83" i="10" s="1"/>
  <c r="K83" i="11" s="1"/>
  <c r="H83" i="10"/>
  <c r="F83" i="10"/>
  <c r="E83" i="10"/>
  <c r="C83" i="10"/>
  <c r="B83" i="10"/>
  <c r="R82" i="10"/>
  <c r="Q82" i="10"/>
  <c r="O82" i="10"/>
  <c r="N82" i="10"/>
  <c r="L82" i="10"/>
  <c r="K82" i="10"/>
  <c r="I82" i="10"/>
  <c r="H82" i="10"/>
  <c r="F82" i="10"/>
  <c r="E82" i="10"/>
  <c r="C82" i="10"/>
  <c r="B82" i="10"/>
  <c r="R81" i="10"/>
  <c r="S81" i="10" s="1"/>
  <c r="K81" i="11" s="1"/>
  <c r="Q81" i="10"/>
  <c r="O81" i="10"/>
  <c r="N81" i="10"/>
  <c r="L81" i="10"/>
  <c r="K81" i="10"/>
  <c r="I81" i="10"/>
  <c r="H81" i="10"/>
  <c r="F81" i="10"/>
  <c r="E81" i="10"/>
  <c r="C81" i="10"/>
  <c r="B81" i="10"/>
  <c r="R80" i="10"/>
  <c r="Q80" i="10"/>
  <c r="O80" i="10"/>
  <c r="N80" i="10"/>
  <c r="L80" i="10"/>
  <c r="K80" i="10"/>
  <c r="I80" i="10"/>
  <c r="S80" i="10" s="1"/>
  <c r="K80" i="11" s="1"/>
  <c r="H80" i="10"/>
  <c r="F80" i="10"/>
  <c r="E80" i="10"/>
  <c r="C80" i="10"/>
  <c r="B80" i="10"/>
  <c r="R79" i="10"/>
  <c r="Q79" i="10"/>
  <c r="O79" i="10"/>
  <c r="N79" i="10"/>
  <c r="L79" i="10"/>
  <c r="K79" i="10"/>
  <c r="I79" i="10"/>
  <c r="H79" i="10"/>
  <c r="F79" i="10"/>
  <c r="S79" i="10" s="1"/>
  <c r="K79" i="11" s="1"/>
  <c r="E79" i="10"/>
  <c r="C79" i="10"/>
  <c r="B79" i="10"/>
  <c r="R78" i="10"/>
  <c r="Q78" i="10"/>
  <c r="O78" i="10"/>
  <c r="N78" i="10"/>
  <c r="L78" i="10"/>
  <c r="K78" i="10"/>
  <c r="I78" i="10"/>
  <c r="H78" i="10"/>
  <c r="F78" i="10"/>
  <c r="S78" i="10" s="1"/>
  <c r="K78" i="11" s="1"/>
  <c r="E78" i="10"/>
  <c r="C78" i="10"/>
  <c r="B78" i="10"/>
  <c r="R77" i="10"/>
  <c r="S77" i="10" s="1"/>
  <c r="K77" i="11" s="1"/>
  <c r="Q77" i="10"/>
  <c r="O77" i="10"/>
  <c r="N77" i="10"/>
  <c r="L77" i="10"/>
  <c r="K77" i="10"/>
  <c r="I77" i="10"/>
  <c r="H77" i="10"/>
  <c r="F77" i="10"/>
  <c r="E77" i="10"/>
  <c r="C77" i="10"/>
  <c r="B77" i="10"/>
  <c r="R76" i="10"/>
  <c r="Q76" i="10"/>
  <c r="O76" i="10"/>
  <c r="S76" i="10" s="1"/>
  <c r="K76" i="11" s="1"/>
  <c r="N76" i="10"/>
  <c r="L76" i="10"/>
  <c r="K76" i="10"/>
  <c r="I76" i="10"/>
  <c r="H76" i="10"/>
  <c r="F76" i="10"/>
  <c r="E76" i="10"/>
  <c r="C76" i="10"/>
  <c r="B76" i="10"/>
  <c r="R75" i="10"/>
  <c r="Q75" i="10"/>
  <c r="O75" i="10"/>
  <c r="N75" i="10"/>
  <c r="L75" i="10"/>
  <c r="K75" i="10"/>
  <c r="I75" i="10"/>
  <c r="S75" i="10" s="1"/>
  <c r="K75" i="11" s="1"/>
  <c r="H75" i="10"/>
  <c r="F75" i="10"/>
  <c r="E75" i="10"/>
  <c r="C75" i="10"/>
  <c r="B75" i="10"/>
  <c r="R74" i="10"/>
  <c r="Q74" i="10"/>
  <c r="O74" i="10"/>
  <c r="N74" i="10"/>
  <c r="L74" i="10"/>
  <c r="K74" i="10"/>
  <c r="I74" i="10"/>
  <c r="H74" i="10"/>
  <c r="F74" i="10"/>
  <c r="S74" i="10" s="1"/>
  <c r="K74" i="11" s="1"/>
  <c r="E74" i="10"/>
  <c r="C74" i="10"/>
  <c r="B74" i="10"/>
  <c r="R73" i="10"/>
  <c r="Q73" i="10"/>
  <c r="O73" i="10"/>
  <c r="N73" i="10"/>
  <c r="L73" i="10"/>
  <c r="K73" i="10"/>
  <c r="I73" i="10"/>
  <c r="H73" i="10"/>
  <c r="F73" i="10"/>
  <c r="S73" i="10" s="1"/>
  <c r="K73" i="11" s="1"/>
  <c r="E73" i="10"/>
  <c r="C73" i="10"/>
  <c r="B73" i="10"/>
  <c r="S72" i="10"/>
  <c r="K72" i="11" s="1"/>
  <c r="R72" i="10"/>
  <c r="Q72" i="10"/>
  <c r="O72" i="10"/>
  <c r="N72" i="10"/>
  <c r="L72" i="10"/>
  <c r="K72" i="10"/>
  <c r="I72" i="10"/>
  <c r="H72" i="10"/>
  <c r="F72" i="10"/>
  <c r="E72" i="10"/>
  <c r="C72" i="10"/>
  <c r="B72" i="10"/>
  <c r="R71" i="10"/>
  <c r="Q71" i="10"/>
  <c r="O71" i="10"/>
  <c r="S71" i="10" s="1"/>
  <c r="K71" i="11" s="1"/>
  <c r="N71" i="10"/>
  <c r="L71" i="10"/>
  <c r="K71" i="10"/>
  <c r="I71" i="10"/>
  <c r="H71" i="10"/>
  <c r="F71" i="10"/>
  <c r="E71" i="10"/>
  <c r="C71" i="10"/>
  <c r="B71" i="10"/>
  <c r="R70" i="10"/>
  <c r="Q70" i="10"/>
  <c r="O70" i="10"/>
  <c r="N70" i="10"/>
  <c r="L70" i="10"/>
  <c r="K70" i="10"/>
  <c r="I70" i="10"/>
  <c r="H70" i="10"/>
  <c r="F70" i="10"/>
  <c r="E70" i="10"/>
  <c r="C70" i="10"/>
  <c r="B70" i="10"/>
  <c r="R69" i="10"/>
  <c r="Q69" i="10"/>
  <c r="O69" i="10"/>
  <c r="N69" i="10"/>
  <c r="L69" i="10"/>
  <c r="K69" i="10"/>
  <c r="I69" i="10"/>
  <c r="H69" i="10"/>
  <c r="F69" i="10"/>
  <c r="S69" i="10" s="1"/>
  <c r="K69" i="11" s="1"/>
  <c r="E69" i="10"/>
  <c r="C69" i="10"/>
  <c r="B69" i="10"/>
  <c r="R68" i="10"/>
  <c r="Q68" i="10"/>
  <c r="O68" i="10"/>
  <c r="N68" i="10"/>
  <c r="L68" i="10"/>
  <c r="K68" i="10"/>
  <c r="I68" i="10"/>
  <c r="H68" i="10"/>
  <c r="F68" i="10"/>
  <c r="S68" i="10" s="1"/>
  <c r="K68" i="11" s="1"/>
  <c r="E68" i="10"/>
  <c r="C68" i="10"/>
  <c r="B68" i="10"/>
  <c r="R67" i="10"/>
  <c r="Q67" i="10"/>
  <c r="O67" i="10"/>
  <c r="N67" i="10"/>
  <c r="L67" i="10"/>
  <c r="K67" i="10"/>
  <c r="I67" i="10"/>
  <c r="H67" i="10"/>
  <c r="F67" i="10"/>
  <c r="E67" i="10"/>
  <c r="C67" i="10"/>
  <c r="B67" i="10"/>
  <c r="R66" i="10"/>
  <c r="Q66" i="10"/>
  <c r="O66" i="10"/>
  <c r="N66" i="10"/>
  <c r="L66" i="10"/>
  <c r="S66" i="10" s="1"/>
  <c r="K66" i="11" s="1"/>
  <c r="K66" i="10"/>
  <c r="I66" i="10"/>
  <c r="H66" i="10"/>
  <c r="F66" i="10"/>
  <c r="E66" i="10"/>
  <c r="C66" i="10"/>
  <c r="B66" i="10"/>
  <c r="R65" i="10"/>
  <c r="Q65" i="10"/>
  <c r="O65" i="10"/>
  <c r="N65" i="10"/>
  <c r="L65" i="10"/>
  <c r="K65" i="10"/>
  <c r="I65" i="10"/>
  <c r="H65" i="10"/>
  <c r="F65" i="10"/>
  <c r="S65" i="10" s="1"/>
  <c r="K65" i="11" s="1"/>
  <c r="E65" i="10"/>
  <c r="C65" i="10"/>
  <c r="B65" i="10"/>
  <c r="R64" i="10"/>
  <c r="Q64" i="10"/>
  <c r="O64" i="10"/>
  <c r="N64" i="10"/>
  <c r="L64" i="10"/>
  <c r="K64" i="10"/>
  <c r="I64" i="10"/>
  <c r="S64" i="10" s="1"/>
  <c r="K64" i="11" s="1"/>
  <c r="H64" i="10"/>
  <c r="F64" i="10"/>
  <c r="E64" i="10"/>
  <c r="C64" i="10"/>
  <c r="B64" i="10"/>
  <c r="R63" i="10"/>
  <c r="Q63" i="10"/>
  <c r="O63" i="10"/>
  <c r="N63" i="10"/>
  <c r="L63" i="10"/>
  <c r="K63" i="10"/>
  <c r="I63" i="10"/>
  <c r="H63" i="10"/>
  <c r="F63" i="10"/>
  <c r="E63" i="10"/>
  <c r="C63" i="10"/>
  <c r="B63" i="10"/>
  <c r="R62" i="10"/>
  <c r="S62" i="10" s="1"/>
  <c r="K62" i="11" s="1"/>
  <c r="Q62" i="10"/>
  <c r="O62" i="10"/>
  <c r="N62" i="10"/>
  <c r="L62" i="10"/>
  <c r="K62" i="10"/>
  <c r="I62" i="10"/>
  <c r="H62" i="10"/>
  <c r="F62" i="10"/>
  <c r="E62" i="10"/>
  <c r="C62" i="10"/>
  <c r="B62" i="10"/>
  <c r="R61" i="10"/>
  <c r="Q61" i="10"/>
  <c r="O61" i="10"/>
  <c r="N61" i="10"/>
  <c r="L61" i="10"/>
  <c r="K61" i="10"/>
  <c r="I61" i="10"/>
  <c r="S61" i="10" s="1"/>
  <c r="K61" i="11" s="1"/>
  <c r="H61" i="10"/>
  <c r="F61" i="10"/>
  <c r="E61" i="10"/>
  <c r="C61" i="10"/>
  <c r="B61" i="10"/>
  <c r="R60" i="10"/>
  <c r="Q60" i="10"/>
  <c r="O60" i="10"/>
  <c r="N60" i="10"/>
  <c r="L60" i="10"/>
  <c r="K60" i="10"/>
  <c r="I60" i="10"/>
  <c r="S60" i="10" s="1"/>
  <c r="K60" i="11" s="1"/>
  <c r="H60" i="10"/>
  <c r="F60" i="10"/>
  <c r="E60" i="10"/>
  <c r="C60" i="10"/>
  <c r="B60" i="10"/>
  <c r="R59" i="10"/>
  <c r="Q59" i="10"/>
  <c r="O59" i="10"/>
  <c r="N59" i="10"/>
  <c r="L59" i="10"/>
  <c r="K59" i="10"/>
  <c r="I59" i="10"/>
  <c r="H59" i="10"/>
  <c r="F59" i="10"/>
  <c r="S59" i="10" s="1"/>
  <c r="K59" i="11" s="1"/>
  <c r="E59" i="10"/>
  <c r="C59" i="10"/>
  <c r="B59" i="10"/>
  <c r="S58" i="10"/>
  <c r="K58" i="11" s="1"/>
  <c r="R58" i="10"/>
  <c r="Q58" i="10"/>
  <c r="O58" i="10"/>
  <c r="N58" i="10"/>
  <c r="L58" i="10"/>
  <c r="K58" i="10"/>
  <c r="I58" i="10"/>
  <c r="H58" i="10"/>
  <c r="F58" i="10"/>
  <c r="E58" i="10"/>
  <c r="C58" i="10"/>
  <c r="B58" i="10"/>
  <c r="R57" i="10"/>
  <c r="Q57" i="10"/>
  <c r="O57" i="10"/>
  <c r="S57" i="10" s="1"/>
  <c r="K57" i="11" s="1"/>
  <c r="N57" i="10"/>
  <c r="L57" i="10"/>
  <c r="K57" i="10"/>
  <c r="I57" i="10"/>
  <c r="H57" i="10"/>
  <c r="F57" i="10"/>
  <c r="E57" i="10"/>
  <c r="C57" i="10"/>
  <c r="B57" i="10"/>
  <c r="R56" i="10"/>
  <c r="Q56" i="10"/>
  <c r="O56" i="10"/>
  <c r="S56" i="10" s="1"/>
  <c r="K56" i="11" s="1"/>
  <c r="N56" i="10"/>
  <c r="L56" i="10"/>
  <c r="K56" i="10"/>
  <c r="I56" i="10"/>
  <c r="H56" i="10"/>
  <c r="F56" i="10"/>
  <c r="E56" i="10"/>
  <c r="C56" i="10"/>
  <c r="B56" i="10"/>
  <c r="R55" i="10"/>
  <c r="Q55" i="10"/>
  <c r="O55" i="10"/>
  <c r="N55" i="10"/>
  <c r="L55" i="10"/>
  <c r="K55" i="10"/>
  <c r="I55" i="10"/>
  <c r="H55" i="10"/>
  <c r="F55" i="10"/>
  <c r="S55" i="10" s="1"/>
  <c r="K55" i="11" s="1"/>
  <c r="E55" i="10"/>
  <c r="C55" i="10"/>
  <c r="B55" i="10"/>
  <c r="R54" i="10"/>
  <c r="Q54" i="10"/>
  <c r="O54" i="10"/>
  <c r="N54" i="10"/>
  <c r="L54" i="10"/>
  <c r="K54" i="10"/>
  <c r="I54" i="10"/>
  <c r="H54" i="10"/>
  <c r="F54" i="10"/>
  <c r="S54" i="10" s="1"/>
  <c r="K54" i="11" s="1"/>
  <c r="E54" i="10"/>
  <c r="C54" i="10"/>
  <c r="B54" i="10"/>
  <c r="R53" i="10"/>
  <c r="Q53" i="10"/>
  <c r="O53" i="10"/>
  <c r="N53" i="10"/>
  <c r="L53" i="10"/>
  <c r="K53" i="10"/>
  <c r="I53" i="10"/>
  <c r="H53" i="10"/>
  <c r="F53" i="10"/>
  <c r="S53" i="10" s="1"/>
  <c r="K53" i="11" s="1"/>
  <c r="E53" i="10"/>
  <c r="C53" i="10"/>
  <c r="B53" i="10"/>
  <c r="R52" i="10"/>
  <c r="Q52" i="10"/>
  <c r="O52" i="10"/>
  <c r="N52" i="10"/>
  <c r="L52" i="10"/>
  <c r="S52" i="10" s="1"/>
  <c r="K52" i="11" s="1"/>
  <c r="K52" i="10"/>
  <c r="I52" i="10"/>
  <c r="H52" i="10"/>
  <c r="F52" i="10"/>
  <c r="E52" i="10"/>
  <c r="C52" i="10"/>
  <c r="B52" i="10"/>
  <c r="R51" i="10"/>
  <c r="Q51" i="10"/>
  <c r="O51" i="10"/>
  <c r="N51" i="10"/>
  <c r="L51" i="10"/>
  <c r="K51" i="10"/>
  <c r="I51" i="10"/>
  <c r="S51" i="10" s="1"/>
  <c r="K51" i="11" s="1"/>
  <c r="H51" i="10"/>
  <c r="F51" i="10"/>
  <c r="E51" i="10"/>
  <c r="C51" i="10"/>
  <c r="B51" i="10"/>
  <c r="R50" i="10"/>
  <c r="Q50" i="10"/>
  <c r="O50" i="10"/>
  <c r="N50" i="10"/>
  <c r="L50" i="10"/>
  <c r="S50" i="10" s="1"/>
  <c r="K50" i="11" s="1"/>
  <c r="K50" i="10"/>
  <c r="I50" i="10"/>
  <c r="H50" i="10"/>
  <c r="F50" i="10"/>
  <c r="E50" i="10"/>
  <c r="C50" i="10"/>
  <c r="B50" i="10"/>
  <c r="Q49" i="10"/>
  <c r="R49" i="10" s="1"/>
  <c r="N49" i="10"/>
  <c r="O49" i="10" s="1"/>
  <c r="K49" i="10"/>
  <c r="L49" i="10" s="1"/>
  <c r="H49" i="10"/>
  <c r="I49" i="10" s="1"/>
  <c r="F49" i="10"/>
  <c r="E49" i="10"/>
  <c r="C49" i="10"/>
  <c r="B49" i="10"/>
  <c r="Q48" i="10"/>
  <c r="R48" i="10" s="1"/>
  <c r="N48" i="10"/>
  <c r="O48" i="10" s="1"/>
  <c r="K48" i="10"/>
  <c r="L48" i="10" s="1"/>
  <c r="H48" i="10"/>
  <c r="I48" i="10" s="1"/>
  <c r="E48" i="10"/>
  <c r="F48" i="10" s="1"/>
  <c r="C48" i="10"/>
  <c r="B48" i="10"/>
  <c r="Q47" i="10"/>
  <c r="R47" i="10" s="1"/>
  <c r="N47" i="10"/>
  <c r="O47" i="10" s="1"/>
  <c r="K47" i="10"/>
  <c r="L47" i="10" s="1"/>
  <c r="H47" i="10"/>
  <c r="I47" i="10" s="1"/>
  <c r="E47" i="10"/>
  <c r="F47" i="10" s="1"/>
  <c r="C47" i="10"/>
  <c r="B47" i="10"/>
  <c r="Q46" i="10"/>
  <c r="R46" i="10" s="1"/>
  <c r="O46" i="10"/>
  <c r="N46" i="10"/>
  <c r="K46" i="10"/>
  <c r="L46" i="10" s="1"/>
  <c r="H46" i="10"/>
  <c r="I46" i="10" s="1"/>
  <c r="E46" i="10"/>
  <c r="F46" i="10" s="1"/>
  <c r="C46" i="10"/>
  <c r="B46" i="10"/>
  <c r="Q45" i="10"/>
  <c r="R45" i="10" s="1"/>
  <c r="N45" i="10"/>
  <c r="O45" i="10" s="1"/>
  <c r="K45" i="10"/>
  <c r="L45" i="10" s="1"/>
  <c r="H45" i="10"/>
  <c r="I45" i="10" s="1"/>
  <c r="E45" i="10"/>
  <c r="F45" i="10" s="1"/>
  <c r="C45" i="10"/>
  <c r="B45" i="10"/>
  <c r="Q44" i="10"/>
  <c r="R44" i="10" s="1"/>
  <c r="N44" i="10"/>
  <c r="O44" i="10" s="1"/>
  <c r="K44" i="10"/>
  <c r="L44" i="10" s="1"/>
  <c r="H44" i="10"/>
  <c r="I44" i="10" s="1"/>
  <c r="E44" i="10"/>
  <c r="F44" i="10" s="1"/>
  <c r="C44" i="10"/>
  <c r="B44" i="10"/>
  <c r="Q43" i="10"/>
  <c r="R43" i="10" s="1"/>
  <c r="O43" i="10"/>
  <c r="N43" i="10"/>
  <c r="K43" i="10"/>
  <c r="L43" i="10" s="1"/>
  <c r="H43" i="10"/>
  <c r="I43" i="10" s="1"/>
  <c r="E43" i="10"/>
  <c r="F43" i="10" s="1"/>
  <c r="C43" i="10"/>
  <c r="B43" i="10"/>
  <c r="Q42" i="10"/>
  <c r="R42" i="10" s="1"/>
  <c r="N42" i="10"/>
  <c r="O42" i="10" s="1"/>
  <c r="K42" i="10"/>
  <c r="L42" i="10" s="1"/>
  <c r="H42" i="10"/>
  <c r="I42" i="10" s="1"/>
  <c r="E42" i="10"/>
  <c r="F42" i="10" s="1"/>
  <c r="C42" i="10"/>
  <c r="B42" i="10"/>
  <c r="Q41" i="10"/>
  <c r="R41" i="10" s="1"/>
  <c r="N41" i="10"/>
  <c r="O41" i="10" s="1"/>
  <c r="K41" i="10"/>
  <c r="L41" i="10" s="1"/>
  <c r="H41" i="10"/>
  <c r="I41" i="10" s="1"/>
  <c r="E41" i="10"/>
  <c r="F41" i="10" s="1"/>
  <c r="C41" i="10"/>
  <c r="B41" i="10"/>
  <c r="Q40" i="10"/>
  <c r="R40" i="10" s="1"/>
  <c r="N40" i="10"/>
  <c r="O40" i="10" s="1"/>
  <c r="K40" i="10"/>
  <c r="L40" i="10" s="1"/>
  <c r="H40" i="10"/>
  <c r="I40" i="10" s="1"/>
  <c r="E40" i="10"/>
  <c r="F40" i="10" s="1"/>
  <c r="C40" i="10"/>
  <c r="B40" i="10"/>
  <c r="Q39" i="10"/>
  <c r="R39" i="10" s="1"/>
  <c r="N39" i="10"/>
  <c r="O39" i="10" s="1"/>
  <c r="L39" i="10"/>
  <c r="K39" i="10"/>
  <c r="H39" i="10"/>
  <c r="I39" i="10" s="1"/>
  <c r="E39" i="10"/>
  <c r="F39" i="10" s="1"/>
  <c r="C39" i="10"/>
  <c r="B39" i="10"/>
  <c r="Q38" i="10"/>
  <c r="R38" i="10" s="1"/>
  <c r="N38" i="10"/>
  <c r="O38" i="10" s="1"/>
  <c r="K38" i="10"/>
  <c r="L38" i="10" s="1"/>
  <c r="H38" i="10"/>
  <c r="I38" i="10" s="1"/>
  <c r="E38" i="10"/>
  <c r="F38" i="10" s="1"/>
  <c r="C38" i="10"/>
  <c r="B38" i="10"/>
  <c r="Q37" i="10"/>
  <c r="R37" i="10" s="1"/>
  <c r="N37" i="10"/>
  <c r="O37" i="10" s="1"/>
  <c r="K37" i="10"/>
  <c r="L37" i="10" s="1"/>
  <c r="H37" i="10"/>
  <c r="I37" i="10" s="1"/>
  <c r="E37" i="10"/>
  <c r="F37" i="10" s="1"/>
  <c r="C37" i="10"/>
  <c r="B37" i="10"/>
  <c r="Q36" i="10"/>
  <c r="R36" i="10" s="1"/>
  <c r="N36" i="10"/>
  <c r="O36" i="10" s="1"/>
  <c r="K36" i="10"/>
  <c r="L36" i="10" s="1"/>
  <c r="H36" i="10"/>
  <c r="I36" i="10" s="1"/>
  <c r="E36" i="10"/>
  <c r="F36" i="10" s="1"/>
  <c r="C36" i="10"/>
  <c r="B36" i="10"/>
  <c r="Q35" i="10"/>
  <c r="R35" i="10" s="1"/>
  <c r="N35" i="10"/>
  <c r="O35" i="10" s="1"/>
  <c r="K35" i="10"/>
  <c r="L35" i="10" s="1"/>
  <c r="H35" i="10"/>
  <c r="I35" i="10" s="1"/>
  <c r="F35" i="10"/>
  <c r="E35" i="10"/>
  <c r="C35" i="10"/>
  <c r="B35" i="10"/>
  <c r="Q34" i="10"/>
  <c r="R34" i="10" s="1"/>
  <c r="N34" i="10"/>
  <c r="O34" i="10" s="1"/>
  <c r="K34" i="10"/>
  <c r="L34" i="10" s="1"/>
  <c r="H34" i="10"/>
  <c r="I34" i="10" s="1"/>
  <c r="E34" i="10"/>
  <c r="F34" i="10" s="1"/>
  <c r="C34" i="10"/>
  <c r="B34" i="10"/>
  <c r="Q33" i="10"/>
  <c r="R33" i="10" s="1"/>
  <c r="N33" i="10"/>
  <c r="O33" i="10" s="1"/>
  <c r="K33" i="10"/>
  <c r="L33" i="10" s="1"/>
  <c r="H33" i="10"/>
  <c r="I33" i="10" s="1"/>
  <c r="E33" i="10"/>
  <c r="F33" i="10" s="1"/>
  <c r="C33" i="10"/>
  <c r="B33" i="10"/>
  <c r="Q32" i="10"/>
  <c r="R32" i="10" s="1"/>
  <c r="N32" i="10"/>
  <c r="O32" i="10" s="1"/>
  <c r="K32" i="10"/>
  <c r="L32" i="10" s="1"/>
  <c r="H32" i="10"/>
  <c r="I32" i="10" s="1"/>
  <c r="E32" i="10"/>
  <c r="F32" i="10" s="1"/>
  <c r="C32" i="10"/>
  <c r="B32" i="10"/>
  <c r="Q31" i="10"/>
  <c r="R31" i="10" s="1"/>
  <c r="N31" i="10"/>
  <c r="O31" i="10" s="1"/>
  <c r="K31" i="10"/>
  <c r="L31" i="10" s="1"/>
  <c r="H31" i="10"/>
  <c r="I31" i="10" s="1"/>
  <c r="E31" i="10"/>
  <c r="F31" i="10" s="1"/>
  <c r="C31" i="10"/>
  <c r="B31" i="10"/>
  <c r="Q30" i="10"/>
  <c r="R30" i="10" s="1"/>
  <c r="N30" i="10"/>
  <c r="O30" i="10" s="1"/>
  <c r="K30" i="10"/>
  <c r="L30" i="10" s="1"/>
  <c r="H30" i="10"/>
  <c r="I30" i="10" s="1"/>
  <c r="E30" i="10"/>
  <c r="F30" i="10" s="1"/>
  <c r="C30" i="10"/>
  <c r="B30" i="10"/>
  <c r="Q29" i="10"/>
  <c r="R29" i="10" s="1"/>
  <c r="N29" i="10"/>
  <c r="O29" i="10" s="1"/>
  <c r="K29" i="10"/>
  <c r="L29" i="10" s="1"/>
  <c r="H29" i="10"/>
  <c r="I29" i="10" s="1"/>
  <c r="E29" i="10"/>
  <c r="F29" i="10" s="1"/>
  <c r="C29" i="10"/>
  <c r="B29" i="10"/>
  <c r="Q28" i="10"/>
  <c r="R28" i="10" s="1"/>
  <c r="N28" i="10"/>
  <c r="O28" i="10" s="1"/>
  <c r="K28" i="10"/>
  <c r="L28" i="10" s="1"/>
  <c r="H28" i="10"/>
  <c r="I28" i="10" s="1"/>
  <c r="E28" i="10"/>
  <c r="F28" i="10" s="1"/>
  <c r="C28" i="10"/>
  <c r="B28" i="10"/>
  <c r="Q27" i="10"/>
  <c r="R27" i="10" s="1"/>
  <c r="N27" i="10"/>
  <c r="O27" i="10" s="1"/>
  <c r="K27" i="10"/>
  <c r="L27" i="10" s="1"/>
  <c r="H27" i="10"/>
  <c r="I27" i="10" s="1"/>
  <c r="E27" i="10"/>
  <c r="F27" i="10" s="1"/>
  <c r="C27" i="10"/>
  <c r="B27" i="10"/>
  <c r="Q26" i="10"/>
  <c r="R26" i="10" s="1"/>
  <c r="N26" i="10"/>
  <c r="O26" i="10" s="1"/>
  <c r="K26" i="10"/>
  <c r="L26" i="10" s="1"/>
  <c r="H26" i="10"/>
  <c r="I26" i="10" s="1"/>
  <c r="E26" i="10"/>
  <c r="F26" i="10" s="1"/>
  <c r="C26" i="10"/>
  <c r="B26" i="10"/>
  <c r="Q25" i="10"/>
  <c r="R25" i="10" s="1"/>
  <c r="N25" i="10"/>
  <c r="O25" i="10" s="1"/>
  <c r="K25" i="10"/>
  <c r="L25" i="10" s="1"/>
  <c r="H25" i="10"/>
  <c r="I25" i="10" s="1"/>
  <c r="E25" i="10"/>
  <c r="F25" i="10" s="1"/>
  <c r="C25" i="10"/>
  <c r="B25" i="10"/>
  <c r="Q24" i="10"/>
  <c r="R24" i="10" s="1"/>
  <c r="N24" i="10"/>
  <c r="O24" i="10" s="1"/>
  <c r="L24" i="10"/>
  <c r="K24" i="10"/>
  <c r="H24" i="10"/>
  <c r="I24" i="10" s="1"/>
  <c r="E24" i="10"/>
  <c r="F24" i="10" s="1"/>
  <c r="C24" i="10"/>
  <c r="B24" i="10"/>
  <c r="R23" i="10"/>
  <c r="Q23" i="10"/>
  <c r="O23" i="10"/>
  <c r="N23" i="10"/>
  <c r="L23" i="10"/>
  <c r="S23" i="10" s="1"/>
  <c r="K23" i="11" s="1"/>
  <c r="K23" i="10"/>
  <c r="I23" i="10"/>
  <c r="H23" i="10"/>
  <c r="F23" i="10"/>
  <c r="E23" i="10"/>
  <c r="C23" i="10"/>
  <c r="B23" i="10"/>
  <c r="R22" i="10"/>
  <c r="Q22" i="10"/>
  <c r="O22" i="10"/>
  <c r="N22" i="10"/>
  <c r="L22" i="10"/>
  <c r="K22" i="10"/>
  <c r="I22" i="10"/>
  <c r="H22" i="10"/>
  <c r="F22" i="10"/>
  <c r="S22" i="10" s="1"/>
  <c r="K22" i="11" s="1"/>
  <c r="E22" i="10"/>
  <c r="C22" i="10"/>
  <c r="B22" i="10"/>
  <c r="R21" i="10"/>
  <c r="Q21" i="10"/>
  <c r="O21" i="10"/>
  <c r="N21" i="10"/>
  <c r="L21" i="10"/>
  <c r="K21" i="10"/>
  <c r="I21" i="10"/>
  <c r="H21" i="10"/>
  <c r="F21" i="10"/>
  <c r="S21" i="10" s="1"/>
  <c r="K21" i="11" s="1"/>
  <c r="E21" i="10"/>
  <c r="C21" i="10"/>
  <c r="B21" i="10"/>
  <c r="S20" i="10"/>
  <c r="K20" i="11" s="1"/>
  <c r="R20" i="10"/>
  <c r="Q20" i="10"/>
  <c r="O20" i="10"/>
  <c r="N20" i="10"/>
  <c r="L20" i="10"/>
  <c r="K20" i="10"/>
  <c r="I20" i="10"/>
  <c r="H20" i="10"/>
  <c r="F20" i="10"/>
  <c r="E20" i="10"/>
  <c r="C20" i="10"/>
  <c r="B20" i="10"/>
  <c r="R19" i="10"/>
  <c r="Q19" i="10"/>
  <c r="O19" i="10"/>
  <c r="N19" i="10"/>
  <c r="L19" i="10"/>
  <c r="K19" i="10"/>
  <c r="I19" i="10"/>
  <c r="H19" i="10"/>
  <c r="F19" i="10"/>
  <c r="E19" i="10"/>
  <c r="C19" i="10"/>
  <c r="B19" i="10"/>
  <c r="R18" i="10"/>
  <c r="Q18" i="10"/>
  <c r="O18" i="10"/>
  <c r="N18" i="10"/>
  <c r="L18" i="10"/>
  <c r="S18" i="10" s="1"/>
  <c r="K18" i="11" s="1"/>
  <c r="K18" i="10"/>
  <c r="I18" i="10"/>
  <c r="H18" i="10"/>
  <c r="F18" i="10"/>
  <c r="E18" i="10"/>
  <c r="C18" i="10"/>
  <c r="B18" i="10"/>
  <c r="R17" i="10"/>
  <c r="Q17" i="10"/>
  <c r="O17" i="10"/>
  <c r="N17" i="10"/>
  <c r="L17" i="10"/>
  <c r="K17" i="10"/>
  <c r="I17" i="10"/>
  <c r="H17" i="10"/>
  <c r="F17" i="10"/>
  <c r="S17" i="10" s="1"/>
  <c r="K17" i="11" s="1"/>
  <c r="E17" i="10"/>
  <c r="C17" i="10"/>
  <c r="B17" i="10"/>
  <c r="R16" i="10"/>
  <c r="Q16" i="10"/>
  <c r="O16" i="10"/>
  <c r="N16" i="10"/>
  <c r="L16" i="10"/>
  <c r="K16" i="10"/>
  <c r="I16" i="10"/>
  <c r="S16" i="10" s="1"/>
  <c r="K16" i="11" s="1"/>
  <c r="H16" i="10"/>
  <c r="F16" i="10"/>
  <c r="E16" i="10"/>
  <c r="C16" i="10"/>
  <c r="B16" i="10"/>
  <c r="R15" i="10"/>
  <c r="Q15" i="10"/>
  <c r="O15" i="10"/>
  <c r="N15" i="10"/>
  <c r="L15" i="10"/>
  <c r="K15" i="10"/>
  <c r="I15" i="10"/>
  <c r="H15" i="10"/>
  <c r="F15" i="10"/>
  <c r="E15" i="10"/>
  <c r="C15" i="10"/>
  <c r="B15" i="10"/>
  <c r="R14" i="10"/>
  <c r="S14" i="10" s="1"/>
  <c r="K14" i="11" s="1"/>
  <c r="Q14" i="10"/>
  <c r="O14" i="10"/>
  <c r="N14" i="10"/>
  <c r="L14" i="10"/>
  <c r="K14" i="10"/>
  <c r="I14" i="10"/>
  <c r="H14" i="10"/>
  <c r="F14" i="10"/>
  <c r="E14" i="10"/>
  <c r="C14" i="10"/>
  <c r="B14" i="10"/>
  <c r="R13" i="10"/>
  <c r="Q13" i="10"/>
  <c r="O13" i="10"/>
  <c r="N13" i="10"/>
  <c r="L13" i="10"/>
  <c r="K13" i="10"/>
  <c r="I13" i="10"/>
  <c r="H13" i="10"/>
  <c r="F13" i="10"/>
  <c r="S13" i="10" s="1"/>
  <c r="K13" i="11" s="1"/>
  <c r="E13" i="10"/>
  <c r="C13" i="10"/>
  <c r="B13" i="10"/>
  <c r="R12" i="10"/>
  <c r="Q12" i="10"/>
  <c r="O12" i="10"/>
  <c r="N12" i="10"/>
  <c r="L12" i="10"/>
  <c r="K12" i="10"/>
  <c r="I12" i="10"/>
  <c r="S12" i="10" s="1"/>
  <c r="K12" i="11" s="1"/>
  <c r="H12" i="10"/>
  <c r="F12" i="10"/>
  <c r="E12" i="10"/>
  <c r="C12" i="10"/>
  <c r="B12" i="10"/>
  <c r="R11" i="10"/>
  <c r="Q11" i="10"/>
  <c r="O11" i="10"/>
  <c r="N11" i="10"/>
  <c r="L11" i="10"/>
  <c r="K11" i="10"/>
  <c r="I11" i="10"/>
  <c r="H11" i="10"/>
  <c r="F11" i="10"/>
  <c r="S11" i="10" s="1"/>
  <c r="K11" i="11" s="1"/>
  <c r="E11" i="10"/>
  <c r="C11" i="10"/>
  <c r="B11" i="10"/>
  <c r="S10" i="10"/>
  <c r="K10" i="11" s="1"/>
  <c r="R10" i="10"/>
  <c r="Q10" i="10"/>
  <c r="O10" i="10"/>
  <c r="N10" i="10"/>
  <c r="L10" i="10"/>
  <c r="K10" i="10"/>
  <c r="I10" i="10"/>
  <c r="H10" i="10"/>
  <c r="F10" i="10"/>
  <c r="E10" i="10"/>
  <c r="C10" i="10"/>
  <c r="B10" i="10"/>
  <c r="R9" i="10"/>
  <c r="Q9" i="10"/>
  <c r="O9" i="10"/>
  <c r="N9" i="10"/>
  <c r="L9" i="10"/>
  <c r="S9" i="10" s="1"/>
  <c r="K9" i="11" s="1"/>
  <c r="K9" i="10"/>
  <c r="I9" i="10"/>
  <c r="H9" i="10"/>
  <c r="F9" i="10"/>
  <c r="E9" i="10"/>
  <c r="C9" i="10"/>
  <c r="B9" i="10"/>
  <c r="R8" i="10"/>
  <c r="Q8" i="10"/>
  <c r="O8" i="10"/>
  <c r="S8" i="10" s="1"/>
  <c r="K8" i="11" s="1"/>
  <c r="N8" i="10"/>
  <c r="L8" i="10"/>
  <c r="K8" i="10"/>
  <c r="I8" i="10"/>
  <c r="H8" i="10"/>
  <c r="F8" i="10"/>
  <c r="E8" i="10"/>
  <c r="C8" i="10"/>
  <c r="B8" i="10"/>
  <c r="R7" i="10"/>
  <c r="Q7" i="10"/>
  <c r="O7" i="10"/>
  <c r="N7" i="10"/>
  <c r="L7" i="10"/>
  <c r="K7" i="10"/>
  <c r="I7" i="10"/>
  <c r="H7" i="10"/>
  <c r="F7" i="10"/>
  <c r="S7" i="10" s="1"/>
  <c r="K7" i="11" s="1"/>
  <c r="E7" i="10"/>
  <c r="C7" i="10"/>
  <c r="B7" i="10"/>
  <c r="R6" i="10"/>
  <c r="Q6" i="10"/>
  <c r="O6" i="10"/>
  <c r="N6" i="10"/>
  <c r="L6" i="10"/>
  <c r="K6" i="10"/>
  <c r="I6" i="10"/>
  <c r="H6" i="10"/>
  <c r="F6" i="10"/>
  <c r="S6" i="10" s="1"/>
  <c r="K6" i="11" s="1"/>
  <c r="E6" i="10"/>
  <c r="C6" i="10"/>
  <c r="B6" i="10"/>
  <c r="R5" i="10"/>
  <c r="Q5" i="10"/>
  <c r="O5" i="10"/>
  <c r="N5" i="10"/>
  <c r="L5" i="10"/>
  <c r="K5" i="10"/>
  <c r="I5" i="10"/>
  <c r="H5" i="10"/>
  <c r="F5" i="10"/>
  <c r="E5" i="10"/>
  <c r="C5" i="10"/>
  <c r="B5" i="10"/>
  <c r="Q4" i="10"/>
  <c r="R4" i="10" s="1"/>
  <c r="N4" i="10"/>
  <c r="O4" i="10" s="1"/>
  <c r="L4" i="10"/>
  <c r="K4" i="10"/>
  <c r="H4" i="10"/>
  <c r="I4" i="10" s="1"/>
  <c r="F4" i="10"/>
  <c r="S4" i="10" s="1"/>
  <c r="K4" i="11" s="1"/>
  <c r="E4" i="10"/>
  <c r="C4" i="10"/>
  <c r="B4" i="10"/>
  <c r="BP103" i="9"/>
  <c r="BC103" i="9"/>
  <c r="AP103" i="9"/>
  <c r="AC103" i="9"/>
  <c r="P103" i="9"/>
  <c r="BQ103" i="9" s="1"/>
  <c r="J103" i="11" s="1"/>
  <c r="C103" i="9"/>
  <c r="B103" i="9"/>
  <c r="BP102" i="9"/>
  <c r="BC102" i="9"/>
  <c r="AP102" i="9"/>
  <c r="AC102" i="9"/>
  <c r="P102" i="9"/>
  <c r="BQ102" i="9" s="1"/>
  <c r="J102" i="11" s="1"/>
  <c r="C102" i="9"/>
  <c r="B102" i="9"/>
  <c r="BP101" i="9"/>
  <c r="BC101" i="9"/>
  <c r="AP101" i="9"/>
  <c r="AC101" i="9"/>
  <c r="P101" i="9"/>
  <c r="BQ101" i="9" s="1"/>
  <c r="J101" i="11" s="1"/>
  <c r="C101" i="9"/>
  <c r="B101" i="9"/>
  <c r="BQ100" i="9"/>
  <c r="J100" i="11" s="1"/>
  <c r="BP100" i="9"/>
  <c r="BC100" i="9"/>
  <c r="AP100" i="9"/>
  <c r="AC100" i="9"/>
  <c r="P100" i="9"/>
  <c r="C100" i="9"/>
  <c r="B100" i="9"/>
  <c r="BP99" i="9"/>
  <c r="BC99" i="9"/>
  <c r="AP99" i="9"/>
  <c r="AC99" i="9"/>
  <c r="P99" i="9"/>
  <c r="C99" i="9"/>
  <c r="B99" i="9"/>
  <c r="BP98" i="9"/>
  <c r="BC98" i="9"/>
  <c r="AP98" i="9"/>
  <c r="AC98" i="9"/>
  <c r="P98" i="9"/>
  <c r="C98" i="9"/>
  <c r="B98" i="9"/>
  <c r="BP97" i="9"/>
  <c r="BC97" i="9"/>
  <c r="AP97" i="9"/>
  <c r="AC97" i="9"/>
  <c r="P97" i="9"/>
  <c r="BQ97" i="9" s="1"/>
  <c r="J97" i="11" s="1"/>
  <c r="C97" i="9"/>
  <c r="B97" i="9"/>
  <c r="BP96" i="9"/>
  <c r="BC96" i="9"/>
  <c r="AP96" i="9"/>
  <c r="AC96" i="9"/>
  <c r="P96" i="9"/>
  <c r="BQ96" i="9" s="1"/>
  <c r="J96" i="11" s="1"/>
  <c r="C96" i="9"/>
  <c r="B96" i="9"/>
  <c r="BQ95" i="9"/>
  <c r="J95" i="11" s="1"/>
  <c r="BP95" i="9"/>
  <c r="BC95" i="9"/>
  <c r="AP95" i="9"/>
  <c r="AC95" i="9"/>
  <c r="P95" i="9"/>
  <c r="C95" i="9"/>
  <c r="B95" i="9"/>
  <c r="BP94" i="9"/>
  <c r="BC94" i="9"/>
  <c r="AP94" i="9"/>
  <c r="AC94" i="9"/>
  <c r="P94" i="9"/>
  <c r="BQ94" i="9" s="1"/>
  <c r="J94" i="11" s="1"/>
  <c r="C94" i="9"/>
  <c r="B94" i="9"/>
  <c r="BQ93" i="9"/>
  <c r="J93" i="11" s="1"/>
  <c r="BP93" i="9"/>
  <c r="BC93" i="9"/>
  <c r="AP93" i="9"/>
  <c r="AC93" i="9"/>
  <c r="P93" i="9"/>
  <c r="C93" i="9"/>
  <c r="B93" i="9"/>
  <c r="BP92" i="9"/>
  <c r="BC92" i="9"/>
  <c r="AP92" i="9"/>
  <c r="AC92" i="9"/>
  <c r="P92" i="9"/>
  <c r="C92" i="9"/>
  <c r="B92" i="9"/>
  <c r="BQ91" i="9"/>
  <c r="J91" i="11" s="1"/>
  <c r="BP91" i="9"/>
  <c r="BC91" i="9"/>
  <c r="AP91" i="9"/>
  <c r="AC91" i="9"/>
  <c r="P91" i="9"/>
  <c r="C91" i="9"/>
  <c r="B91" i="9"/>
  <c r="BP90" i="9"/>
  <c r="BC90" i="9"/>
  <c r="AP90" i="9"/>
  <c r="AC90" i="9"/>
  <c r="P90" i="9"/>
  <c r="C90" i="9"/>
  <c r="B90" i="9"/>
  <c r="BQ89" i="9"/>
  <c r="J89" i="11" s="1"/>
  <c r="BP89" i="9"/>
  <c r="BC89" i="9"/>
  <c r="AP89" i="9"/>
  <c r="AC89" i="9"/>
  <c r="P89" i="9"/>
  <c r="C89" i="9"/>
  <c r="B89" i="9"/>
  <c r="BP88" i="9"/>
  <c r="BC88" i="9"/>
  <c r="AP88" i="9"/>
  <c r="AC88" i="9"/>
  <c r="P88" i="9"/>
  <c r="C88" i="9"/>
  <c r="B88" i="9"/>
  <c r="BQ87" i="9"/>
  <c r="J87" i="11" s="1"/>
  <c r="BP87" i="9"/>
  <c r="BC87" i="9"/>
  <c r="AP87" i="9"/>
  <c r="AC87" i="9"/>
  <c r="P87" i="9"/>
  <c r="C87" i="9"/>
  <c r="B87" i="9"/>
  <c r="BP86" i="9"/>
  <c r="BC86" i="9"/>
  <c r="AP86" i="9"/>
  <c r="AC86" i="9"/>
  <c r="P86" i="9"/>
  <c r="BQ86" i="9" s="1"/>
  <c r="J86" i="11" s="1"/>
  <c r="C86" i="9"/>
  <c r="B86" i="9"/>
  <c r="BQ85" i="9"/>
  <c r="J85" i="11" s="1"/>
  <c r="BP85" i="9"/>
  <c r="BC85" i="9"/>
  <c r="AP85" i="9"/>
  <c r="AC85" i="9"/>
  <c r="P85" i="9"/>
  <c r="C85" i="9"/>
  <c r="B85" i="9"/>
  <c r="BP84" i="9"/>
  <c r="BC84" i="9"/>
  <c r="AP84" i="9"/>
  <c r="AC84" i="9"/>
  <c r="P84" i="9"/>
  <c r="BQ84" i="9" s="1"/>
  <c r="J84" i="11" s="1"/>
  <c r="C84" i="9"/>
  <c r="B84" i="9"/>
  <c r="BQ83" i="9"/>
  <c r="J83" i="11" s="1"/>
  <c r="BP83" i="9"/>
  <c r="BC83" i="9"/>
  <c r="AP83" i="9"/>
  <c r="AC83" i="9"/>
  <c r="P83" i="9"/>
  <c r="C83" i="9"/>
  <c r="B83" i="9"/>
  <c r="BP82" i="9"/>
  <c r="BC82" i="9"/>
  <c r="AP82" i="9"/>
  <c r="AC82" i="9"/>
  <c r="P82" i="9"/>
  <c r="BQ82" i="9" s="1"/>
  <c r="J82" i="11" s="1"/>
  <c r="C82" i="9"/>
  <c r="B82" i="9"/>
  <c r="BQ81" i="9"/>
  <c r="J81" i="11" s="1"/>
  <c r="BP81" i="9"/>
  <c r="BC81" i="9"/>
  <c r="AP81" i="9"/>
  <c r="AC81" i="9"/>
  <c r="P81" i="9"/>
  <c r="C81" i="9"/>
  <c r="B81" i="9"/>
  <c r="BP80" i="9"/>
  <c r="BC80" i="9"/>
  <c r="AP80" i="9"/>
  <c r="AC80" i="9"/>
  <c r="P80" i="9"/>
  <c r="BQ80" i="9" s="1"/>
  <c r="J80" i="11" s="1"/>
  <c r="C80" i="9"/>
  <c r="B80" i="9"/>
  <c r="BQ79" i="9"/>
  <c r="J79" i="11" s="1"/>
  <c r="BP79" i="9"/>
  <c r="BC79" i="9"/>
  <c r="AP79" i="9"/>
  <c r="AC79" i="9"/>
  <c r="P79" i="9"/>
  <c r="C79" i="9"/>
  <c r="B79" i="9"/>
  <c r="BP78" i="9"/>
  <c r="BC78" i="9"/>
  <c r="AP78" i="9"/>
  <c r="AC78" i="9"/>
  <c r="P78" i="9"/>
  <c r="BQ78" i="9" s="1"/>
  <c r="J78" i="11" s="1"/>
  <c r="C78" i="9"/>
  <c r="B78" i="9"/>
  <c r="BQ77" i="9"/>
  <c r="J77" i="11" s="1"/>
  <c r="BP77" i="9"/>
  <c r="BC77" i="9"/>
  <c r="AP77" i="9"/>
  <c r="AC77" i="9"/>
  <c r="P77" i="9"/>
  <c r="C77" i="9"/>
  <c r="B77" i="9"/>
  <c r="BP76" i="9"/>
  <c r="BC76" i="9"/>
  <c r="AP76" i="9"/>
  <c r="AC76" i="9"/>
  <c r="P76" i="9"/>
  <c r="BQ76" i="9" s="1"/>
  <c r="J76" i="11" s="1"/>
  <c r="C76" i="9"/>
  <c r="B76" i="9"/>
  <c r="BQ75" i="9"/>
  <c r="J75" i="11" s="1"/>
  <c r="BP75" i="9"/>
  <c r="BC75" i="9"/>
  <c r="AP75" i="9"/>
  <c r="AC75" i="9"/>
  <c r="P75" i="9"/>
  <c r="C75" i="9"/>
  <c r="B75" i="9"/>
  <c r="BP74" i="9"/>
  <c r="BC74" i="9"/>
  <c r="AP74" i="9"/>
  <c r="AC74" i="9"/>
  <c r="P74" i="9"/>
  <c r="BQ74" i="9" s="1"/>
  <c r="J74" i="11" s="1"/>
  <c r="C74" i="9"/>
  <c r="B74" i="9"/>
  <c r="BQ73" i="9"/>
  <c r="J73" i="11" s="1"/>
  <c r="BP73" i="9"/>
  <c r="BC73" i="9"/>
  <c r="AP73" i="9"/>
  <c r="AC73" i="9"/>
  <c r="P73" i="9"/>
  <c r="C73" i="9"/>
  <c r="B73" i="9"/>
  <c r="BP72" i="9"/>
  <c r="BC72" i="9"/>
  <c r="AP72" i="9"/>
  <c r="AC72" i="9"/>
  <c r="P72" i="9"/>
  <c r="BQ72" i="9" s="1"/>
  <c r="J72" i="11" s="1"/>
  <c r="C72" i="9"/>
  <c r="B72" i="9"/>
  <c r="BQ71" i="9"/>
  <c r="J71" i="11" s="1"/>
  <c r="BP71" i="9"/>
  <c r="BC71" i="9"/>
  <c r="AP71" i="9"/>
  <c r="AC71" i="9"/>
  <c r="P71" i="9"/>
  <c r="C71" i="9"/>
  <c r="B71" i="9"/>
  <c r="BP70" i="9"/>
  <c r="BC70" i="9"/>
  <c r="AP70" i="9"/>
  <c r="AC70" i="9"/>
  <c r="P70" i="9"/>
  <c r="C70" i="9"/>
  <c r="B70" i="9"/>
  <c r="BQ69" i="9"/>
  <c r="J69" i="11" s="1"/>
  <c r="BP69" i="9"/>
  <c r="BC69" i="9"/>
  <c r="AP69" i="9"/>
  <c r="AC69" i="9"/>
  <c r="P69" i="9"/>
  <c r="C69" i="9"/>
  <c r="B69" i="9"/>
  <c r="BP68" i="9"/>
  <c r="BC68" i="9"/>
  <c r="AP68" i="9"/>
  <c r="AC68" i="9"/>
  <c r="P68" i="9"/>
  <c r="C68" i="9"/>
  <c r="B68" i="9"/>
  <c r="BQ67" i="9"/>
  <c r="J67" i="11" s="1"/>
  <c r="BP67" i="9"/>
  <c r="BC67" i="9"/>
  <c r="AP67" i="9"/>
  <c r="AC67" i="9"/>
  <c r="P67" i="9"/>
  <c r="C67" i="9"/>
  <c r="B67" i="9"/>
  <c r="BP66" i="9"/>
  <c r="BC66" i="9"/>
  <c r="AP66" i="9"/>
  <c r="AC66" i="9"/>
  <c r="P66" i="9"/>
  <c r="BQ66" i="9" s="1"/>
  <c r="J66" i="11" s="1"/>
  <c r="C66" i="9"/>
  <c r="B66" i="9"/>
  <c r="BQ65" i="9"/>
  <c r="J65" i="11" s="1"/>
  <c r="BP65" i="9"/>
  <c r="BC65" i="9"/>
  <c r="AP65" i="9"/>
  <c r="AC65" i="9"/>
  <c r="P65" i="9"/>
  <c r="C65" i="9"/>
  <c r="B65" i="9"/>
  <c r="BP64" i="9"/>
  <c r="BC64" i="9"/>
  <c r="AP64" i="9"/>
  <c r="AC64" i="9"/>
  <c r="P64" i="9"/>
  <c r="BQ64" i="9" s="1"/>
  <c r="J64" i="11" s="1"/>
  <c r="C64" i="9"/>
  <c r="B64" i="9"/>
  <c r="BQ63" i="9"/>
  <c r="J63" i="11" s="1"/>
  <c r="BP63" i="9"/>
  <c r="BC63" i="9"/>
  <c r="AP63" i="9"/>
  <c r="AC63" i="9"/>
  <c r="P63" i="9"/>
  <c r="C63" i="9"/>
  <c r="B63" i="9"/>
  <c r="BP62" i="9"/>
  <c r="BC62" i="9"/>
  <c r="AP62" i="9"/>
  <c r="AC62" i="9"/>
  <c r="P62" i="9"/>
  <c r="BQ62" i="9" s="1"/>
  <c r="J62" i="11" s="1"/>
  <c r="C62" i="9"/>
  <c r="B62" i="9"/>
  <c r="BQ61" i="9"/>
  <c r="J61" i="11" s="1"/>
  <c r="BP61" i="9"/>
  <c r="BC61" i="9"/>
  <c r="AP61" i="9"/>
  <c r="AC61" i="9"/>
  <c r="P61" i="9"/>
  <c r="C61" i="9"/>
  <c r="B61" i="9"/>
  <c r="BP60" i="9"/>
  <c r="BC60" i="9"/>
  <c r="AP60" i="9"/>
  <c r="AC60" i="9"/>
  <c r="P60" i="9"/>
  <c r="C60" i="9"/>
  <c r="B60" i="9"/>
  <c r="BQ59" i="9"/>
  <c r="J59" i="11" s="1"/>
  <c r="BP59" i="9"/>
  <c r="BC59" i="9"/>
  <c r="AP59" i="9"/>
  <c r="AC59" i="9"/>
  <c r="P59" i="9"/>
  <c r="C59" i="9"/>
  <c r="B59" i="9"/>
  <c r="BP58" i="9"/>
  <c r="BC58" i="9"/>
  <c r="AP58" i="9"/>
  <c r="AC58" i="9"/>
  <c r="P58" i="9"/>
  <c r="C58" i="9"/>
  <c r="B58" i="9"/>
  <c r="BQ57" i="9"/>
  <c r="J57" i="11" s="1"/>
  <c r="BP57" i="9"/>
  <c r="BC57" i="9"/>
  <c r="AP57" i="9"/>
  <c r="AC57" i="9"/>
  <c r="P57" i="9"/>
  <c r="C57" i="9"/>
  <c r="B57" i="9"/>
  <c r="BP56" i="9"/>
  <c r="BC56" i="9"/>
  <c r="AP56" i="9"/>
  <c r="AC56" i="9"/>
  <c r="P56" i="9"/>
  <c r="C56" i="9"/>
  <c r="B56" i="9"/>
  <c r="BQ55" i="9"/>
  <c r="J55" i="11" s="1"/>
  <c r="BP55" i="9"/>
  <c r="BC55" i="9"/>
  <c r="AP55" i="9"/>
  <c r="AC55" i="9"/>
  <c r="P55" i="9"/>
  <c r="C55" i="9"/>
  <c r="B55" i="9"/>
  <c r="BP54" i="9"/>
  <c r="BC54" i="9"/>
  <c r="AP54" i="9"/>
  <c r="AC54" i="9"/>
  <c r="P54" i="9"/>
  <c r="BQ54" i="9" s="1"/>
  <c r="J54" i="11" s="1"/>
  <c r="C54" i="9"/>
  <c r="B54" i="9"/>
  <c r="BQ53" i="9"/>
  <c r="J53" i="11" s="1"/>
  <c r="BP53" i="9"/>
  <c r="BC53" i="9"/>
  <c r="AP53" i="9"/>
  <c r="AC53" i="9"/>
  <c r="P53" i="9"/>
  <c r="C53" i="9"/>
  <c r="B53" i="9"/>
  <c r="BP52" i="9"/>
  <c r="BC52" i="9"/>
  <c r="AP52" i="9"/>
  <c r="AC52" i="9"/>
  <c r="P52" i="9"/>
  <c r="BQ52" i="9" s="1"/>
  <c r="J52" i="11" s="1"/>
  <c r="C52" i="9"/>
  <c r="B52" i="9"/>
  <c r="BQ51" i="9"/>
  <c r="J51" i="11" s="1"/>
  <c r="BP51" i="9"/>
  <c r="BC51" i="9"/>
  <c r="AP51" i="9"/>
  <c r="AC51" i="9"/>
  <c r="P51" i="9"/>
  <c r="C51" i="9"/>
  <c r="B51" i="9"/>
  <c r="BP50" i="9"/>
  <c r="BC50" i="9"/>
  <c r="AP50" i="9"/>
  <c r="AC50" i="9"/>
  <c r="P50" i="9"/>
  <c r="BQ50" i="9" s="1"/>
  <c r="J50" i="11" s="1"/>
  <c r="C50" i="9"/>
  <c r="B50" i="9"/>
  <c r="BP49" i="9"/>
  <c r="BC49" i="9"/>
  <c r="AP49" i="9"/>
  <c r="AC49" i="9"/>
  <c r="P49" i="9"/>
  <c r="BQ49" i="9" s="1"/>
  <c r="J49" i="11" s="1"/>
  <c r="C49" i="9"/>
  <c r="B49" i="9"/>
  <c r="BP48" i="9"/>
  <c r="BC48" i="9"/>
  <c r="AP48" i="9"/>
  <c r="AC48" i="9"/>
  <c r="P48" i="9"/>
  <c r="BQ48" i="9" s="1"/>
  <c r="J48" i="11" s="1"/>
  <c r="C48" i="9"/>
  <c r="B48" i="9"/>
  <c r="BP47" i="9"/>
  <c r="BC47" i="9"/>
  <c r="AP47" i="9"/>
  <c r="AC47" i="9"/>
  <c r="P47" i="9"/>
  <c r="BQ47" i="9" s="1"/>
  <c r="J47" i="11" s="1"/>
  <c r="C47" i="9"/>
  <c r="B47" i="9"/>
  <c r="BP46" i="9"/>
  <c r="BC46" i="9"/>
  <c r="AP46" i="9"/>
  <c r="AC46" i="9"/>
  <c r="P46" i="9"/>
  <c r="BQ46" i="9" s="1"/>
  <c r="J46" i="11" s="1"/>
  <c r="C46" i="9"/>
  <c r="B46" i="9"/>
  <c r="BP45" i="9"/>
  <c r="BC45" i="9"/>
  <c r="AP45" i="9"/>
  <c r="AC45" i="9"/>
  <c r="P45" i="9"/>
  <c r="BQ45" i="9" s="1"/>
  <c r="J45" i="11" s="1"/>
  <c r="C45" i="9"/>
  <c r="B45" i="9"/>
  <c r="BP44" i="9"/>
  <c r="BC44" i="9"/>
  <c r="AP44" i="9"/>
  <c r="AC44" i="9"/>
  <c r="P44" i="9"/>
  <c r="BQ44" i="9" s="1"/>
  <c r="J44" i="11" s="1"/>
  <c r="C44" i="9"/>
  <c r="B44" i="9"/>
  <c r="BP43" i="9"/>
  <c r="BQ43" i="9" s="1"/>
  <c r="J43" i="11" s="1"/>
  <c r="BC43" i="9"/>
  <c r="AP43" i="9"/>
  <c r="AC43" i="9"/>
  <c r="P43" i="9"/>
  <c r="C43" i="9"/>
  <c r="B43" i="9"/>
  <c r="BP42" i="9"/>
  <c r="BC42" i="9"/>
  <c r="AP42" i="9"/>
  <c r="AC42" i="9"/>
  <c r="P42" i="9"/>
  <c r="BQ42" i="9" s="1"/>
  <c r="J42" i="11" s="1"/>
  <c r="C42" i="9"/>
  <c r="B42" i="9"/>
  <c r="BP41" i="9"/>
  <c r="BC41" i="9"/>
  <c r="BQ41" i="9" s="1"/>
  <c r="J41" i="11" s="1"/>
  <c r="AP41" i="9"/>
  <c r="AC41" i="9"/>
  <c r="P41" i="9"/>
  <c r="C41" i="9"/>
  <c r="B41" i="9"/>
  <c r="BP40" i="9"/>
  <c r="BC40" i="9"/>
  <c r="AP40" i="9"/>
  <c r="AC40" i="9"/>
  <c r="P40" i="9"/>
  <c r="C40" i="9"/>
  <c r="B40" i="9"/>
  <c r="BP39" i="9"/>
  <c r="BC39" i="9"/>
  <c r="AP39" i="9"/>
  <c r="BQ39" i="9" s="1"/>
  <c r="J39" i="11" s="1"/>
  <c r="AC39" i="9"/>
  <c r="P39" i="9"/>
  <c r="C39" i="9"/>
  <c r="B39" i="9"/>
  <c r="BP38" i="9"/>
  <c r="BC38" i="9"/>
  <c r="AP38" i="9"/>
  <c r="AC38" i="9"/>
  <c r="P38" i="9"/>
  <c r="C38" i="9"/>
  <c r="B38" i="9"/>
  <c r="BP37" i="9"/>
  <c r="BC37" i="9"/>
  <c r="AP37" i="9"/>
  <c r="AC37" i="9"/>
  <c r="BQ37" i="9" s="1"/>
  <c r="J37" i="11" s="1"/>
  <c r="P37" i="9"/>
  <c r="C37" i="9"/>
  <c r="B37" i="9"/>
  <c r="BP36" i="9"/>
  <c r="BC36" i="9"/>
  <c r="AP36" i="9"/>
  <c r="AC36" i="9"/>
  <c r="P36" i="9"/>
  <c r="C36" i="9"/>
  <c r="B36" i="9"/>
  <c r="BP35" i="9"/>
  <c r="BC35" i="9"/>
  <c r="AP35" i="9"/>
  <c r="AC35" i="9"/>
  <c r="BQ35" i="9" s="1"/>
  <c r="J35" i="11" s="1"/>
  <c r="P35" i="9"/>
  <c r="C35" i="9"/>
  <c r="B35" i="9"/>
  <c r="BP34" i="9"/>
  <c r="BC34" i="9"/>
  <c r="AP34" i="9"/>
  <c r="AC34" i="9"/>
  <c r="P34" i="9"/>
  <c r="C34" i="9"/>
  <c r="B34" i="9"/>
  <c r="BP33" i="9"/>
  <c r="BC33" i="9"/>
  <c r="AP33" i="9"/>
  <c r="AC33" i="9"/>
  <c r="P33" i="9"/>
  <c r="BQ33" i="9" s="1"/>
  <c r="J33" i="11" s="1"/>
  <c r="C33" i="9"/>
  <c r="B33" i="9"/>
  <c r="BP32" i="9"/>
  <c r="BC32" i="9"/>
  <c r="AP32" i="9"/>
  <c r="AC32" i="9"/>
  <c r="P32" i="9"/>
  <c r="C32" i="9"/>
  <c r="B32" i="9"/>
  <c r="BP31" i="9"/>
  <c r="BC31" i="9"/>
  <c r="AP31" i="9"/>
  <c r="AC31" i="9"/>
  <c r="P31" i="9"/>
  <c r="BQ31" i="9" s="1"/>
  <c r="J31" i="11" s="1"/>
  <c r="C31" i="9"/>
  <c r="B31" i="9"/>
  <c r="BP30" i="9"/>
  <c r="BC30" i="9"/>
  <c r="AP30" i="9"/>
  <c r="AC30" i="9"/>
  <c r="P30" i="9"/>
  <c r="C30" i="9"/>
  <c r="B30" i="9"/>
  <c r="BP29" i="9"/>
  <c r="BC29" i="9"/>
  <c r="AP29" i="9"/>
  <c r="AC29" i="9"/>
  <c r="P29" i="9"/>
  <c r="BQ29" i="9" s="1"/>
  <c r="J29" i="11" s="1"/>
  <c r="C29" i="9"/>
  <c r="B29" i="9"/>
  <c r="BP28" i="9"/>
  <c r="BC28" i="9"/>
  <c r="AP28" i="9"/>
  <c r="AC28" i="9"/>
  <c r="P28" i="9"/>
  <c r="C28" i="9"/>
  <c r="B28" i="9"/>
  <c r="BP27" i="9"/>
  <c r="BC27" i="9"/>
  <c r="AP27" i="9"/>
  <c r="AC27" i="9"/>
  <c r="P27" i="9"/>
  <c r="C27" i="9"/>
  <c r="B27" i="9"/>
  <c r="BP26" i="9"/>
  <c r="BC26" i="9"/>
  <c r="AP26" i="9"/>
  <c r="AC26" i="9"/>
  <c r="P26" i="9"/>
  <c r="C26" i="9"/>
  <c r="B26" i="9"/>
  <c r="BP25" i="9"/>
  <c r="BC25" i="9"/>
  <c r="AP25" i="9"/>
  <c r="AC25" i="9"/>
  <c r="P25" i="9"/>
  <c r="C25" i="9"/>
  <c r="B25" i="9"/>
  <c r="BP24" i="9"/>
  <c r="BC24" i="9"/>
  <c r="AP24" i="9"/>
  <c r="AC24" i="9"/>
  <c r="P24" i="9"/>
  <c r="C24" i="9"/>
  <c r="B24" i="9"/>
  <c r="BQ23" i="9"/>
  <c r="J23" i="11" s="1"/>
  <c r="BP23" i="9"/>
  <c r="BC23" i="9"/>
  <c r="AP23" i="9"/>
  <c r="AC23" i="9"/>
  <c r="P23" i="9"/>
  <c r="C23" i="9"/>
  <c r="B23" i="9"/>
  <c r="BP22" i="9"/>
  <c r="BC22" i="9"/>
  <c r="AP22" i="9"/>
  <c r="AC22" i="9"/>
  <c r="P22" i="9"/>
  <c r="BQ22" i="9" s="1"/>
  <c r="J22" i="11" s="1"/>
  <c r="C22" i="9"/>
  <c r="B22" i="9"/>
  <c r="BQ21" i="9"/>
  <c r="J21" i="11" s="1"/>
  <c r="BP21" i="9"/>
  <c r="BC21" i="9"/>
  <c r="AP21" i="9"/>
  <c r="AC21" i="9"/>
  <c r="P21" i="9"/>
  <c r="C21" i="9"/>
  <c r="B21" i="9"/>
  <c r="BP20" i="9"/>
  <c r="BC20" i="9"/>
  <c r="AP20" i="9"/>
  <c r="AC20" i="9"/>
  <c r="P20" i="9"/>
  <c r="BQ20" i="9" s="1"/>
  <c r="J20" i="11" s="1"/>
  <c r="C20" i="9"/>
  <c r="B20" i="9"/>
  <c r="BQ19" i="9"/>
  <c r="J19" i="11" s="1"/>
  <c r="BP19" i="9"/>
  <c r="BC19" i="9"/>
  <c r="AP19" i="9"/>
  <c r="AC19" i="9"/>
  <c r="P19" i="9"/>
  <c r="C19" i="9"/>
  <c r="B19" i="9"/>
  <c r="BP18" i="9"/>
  <c r="BC18" i="9"/>
  <c r="AP18" i="9"/>
  <c r="AC18" i="9"/>
  <c r="P18" i="9"/>
  <c r="BQ18" i="9" s="1"/>
  <c r="J18" i="11" s="1"/>
  <c r="C18" i="9"/>
  <c r="B18" i="9"/>
  <c r="BQ17" i="9"/>
  <c r="J17" i="11" s="1"/>
  <c r="BP17" i="9"/>
  <c r="BC17" i="9"/>
  <c r="AP17" i="9"/>
  <c r="AC17" i="9"/>
  <c r="P17" i="9"/>
  <c r="C17" i="9"/>
  <c r="B17" i="9"/>
  <c r="BP16" i="9"/>
  <c r="BC16" i="9"/>
  <c r="AP16" i="9"/>
  <c r="AC16" i="9"/>
  <c r="P16" i="9"/>
  <c r="BQ16" i="9" s="1"/>
  <c r="J16" i="11" s="1"/>
  <c r="C16" i="9"/>
  <c r="B16" i="9"/>
  <c r="BQ15" i="9"/>
  <c r="J15" i="11" s="1"/>
  <c r="BP15" i="9"/>
  <c r="BC15" i="9"/>
  <c r="AP15" i="9"/>
  <c r="AC15" i="9"/>
  <c r="P15" i="9"/>
  <c r="C15" i="9"/>
  <c r="B15" i="9"/>
  <c r="BP14" i="9"/>
  <c r="BC14" i="9"/>
  <c r="AP14" i="9"/>
  <c r="AC14" i="9"/>
  <c r="P14" i="9"/>
  <c r="BQ14" i="9" s="1"/>
  <c r="J14" i="11" s="1"/>
  <c r="C14" i="9"/>
  <c r="B14" i="9"/>
  <c r="BQ13" i="9"/>
  <c r="J13" i="11" s="1"/>
  <c r="BP13" i="9"/>
  <c r="BC13" i="9"/>
  <c r="AP13" i="9"/>
  <c r="AC13" i="9"/>
  <c r="P13" i="9"/>
  <c r="C13" i="9"/>
  <c r="B13" i="9"/>
  <c r="BP12" i="9"/>
  <c r="BC12" i="9"/>
  <c r="AP12" i="9"/>
  <c r="AC12" i="9"/>
  <c r="P12" i="9"/>
  <c r="BQ12" i="9" s="1"/>
  <c r="J12" i="11" s="1"/>
  <c r="C12" i="9"/>
  <c r="B12" i="9"/>
  <c r="BQ11" i="9"/>
  <c r="J11" i="11" s="1"/>
  <c r="BP11" i="9"/>
  <c r="BC11" i="9"/>
  <c r="AP11" i="9"/>
  <c r="AC11" i="9"/>
  <c r="P11" i="9"/>
  <c r="C11" i="9"/>
  <c r="B11" i="9"/>
  <c r="BP10" i="9"/>
  <c r="BC10" i="9"/>
  <c r="AP10" i="9"/>
  <c r="AC10" i="9"/>
  <c r="P10" i="9"/>
  <c r="BQ10" i="9" s="1"/>
  <c r="J10" i="11" s="1"/>
  <c r="C10" i="9"/>
  <c r="B10" i="9"/>
  <c r="BQ9" i="9"/>
  <c r="J9" i="11" s="1"/>
  <c r="BP9" i="9"/>
  <c r="BC9" i="9"/>
  <c r="AP9" i="9"/>
  <c r="AC9" i="9"/>
  <c r="P9" i="9"/>
  <c r="C9" i="9"/>
  <c r="B9" i="9"/>
  <c r="BP8" i="9"/>
  <c r="BC8" i="9"/>
  <c r="AP8" i="9"/>
  <c r="AC8" i="9"/>
  <c r="P8" i="9"/>
  <c r="BQ8" i="9" s="1"/>
  <c r="J8" i="11" s="1"/>
  <c r="C8" i="9"/>
  <c r="B8" i="9"/>
  <c r="BQ7" i="9"/>
  <c r="J7" i="11" s="1"/>
  <c r="BP7" i="9"/>
  <c r="BC7" i="9"/>
  <c r="AP7" i="9"/>
  <c r="AC7" i="9"/>
  <c r="P7" i="9"/>
  <c r="C7" i="9"/>
  <c r="B7" i="9"/>
  <c r="BP6" i="9"/>
  <c r="BC6" i="9"/>
  <c r="AP6" i="9"/>
  <c r="AC6" i="9"/>
  <c r="P6" i="9"/>
  <c r="C6" i="9"/>
  <c r="B6" i="9"/>
  <c r="BQ5" i="9"/>
  <c r="J5" i="11" s="1"/>
  <c r="BP5" i="9"/>
  <c r="BC5" i="9"/>
  <c r="AP5" i="9"/>
  <c r="AC5" i="9"/>
  <c r="P5" i="9"/>
  <c r="C5" i="9"/>
  <c r="B5" i="9"/>
  <c r="BQ4" i="9"/>
  <c r="J4" i="11" s="1"/>
  <c r="C4" i="9"/>
  <c r="B4" i="9"/>
  <c r="R103" i="8"/>
  <c r="Q103" i="8"/>
  <c r="O103" i="8"/>
  <c r="N103" i="8"/>
  <c r="L103" i="8"/>
  <c r="S103" i="8" s="1"/>
  <c r="I103" i="11" s="1"/>
  <c r="K103" i="8"/>
  <c r="I103" i="8"/>
  <c r="H103" i="8"/>
  <c r="F103" i="8"/>
  <c r="E103" i="8"/>
  <c r="C103" i="8"/>
  <c r="B103" i="8"/>
  <c r="R102" i="8"/>
  <c r="Q102" i="8"/>
  <c r="O102" i="8"/>
  <c r="N102" i="8"/>
  <c r="L102" i="8"/>
  <c r="K102" i="8"/>
  <c r="I102" i="8"/>
  <c r="S102" i="8" s="1"/>
  <c r="I102" i="11" s="1"/>
  <c r="H102" i="8"/>
  <c r="F102" i="8"/>
  <c r="E102" i="8"/>
  <c r="C102" i="8"/>
  <c r="B102" i="8"/>
  <c r="R101" i="8"/>
  <c r="Q101" i="8"/>
  <c r="O101" i="8"/>
  <c r="N101" i="8"/>
  <c r="L101" i="8"/>
  <c r="K101" i="8"/>
  <c r="I101" i="8"/>
  <c r="H101" i="8"/>
  <c r="F101" i="8"/>
  <c r="E101" i="8"/>
  <c r="C101" i="8"/>
  <c r="B101" i="8"/>
  <c r="R100" i="8"/>
  <c r="Q100" i="8"/>
  <c r="O100" i="8"/>
  <c r="N100" i="8"/>
  <c r="L100" i="8"/>
  <c r="K100" i="8"/>
  <c r="I100" i="8"/>
  <c r="H100" i="8"/>
  <c r="F100" i="8"/>
  <c r="S100" i="8" s="1"/>
  <c r="I100" i="11" s="1"/>
  <c r="E100" i="8"/>
  <c r="C100" i="8"/>
  <c r="B100" i="8"/>
  <c r="R99" i="8"/>
  <c r="S99" i="8" s="1"/>
  <c r="I99" i="11" s="1"/>
  <c r="Q99" i="8"/>
  <c r="O99" i="8"/>
  <c r="N99" i="8"/>
  <c r="L99" i="8"/>
  <c r="K99" i="8"/>
  <c r="I99" i="8"/>
  <c r="H99" i="8"/>
  <c r="F99" i="8"/>
  <c r="E99" i="8"/>
  <c r="C99" i="8"/>
  <c r="B99" i="8"/>
  <c r="S98" i="8"/>
  <c r="I98" i="11" s="1"/>
  <c r="R98" i="8"/>
  <c r="Q98" i="8"/>
  <c r="O98" i="8"/>
  <c r="N98" i="8"/>
  <c r="L98" i="8"/>
  <c r="K98" i="8"/>
  <c r="I98" i="8"/>
  <c r="H98" i="8"/>
  <c r="F98" i="8"/>
  <c r="E98" i="8"/>
  <c r="C98" i="8"/>
  <c r="B98" i="8"/>
  <c r="R97" i="8"/>
  <c r="Q97" i="8"/>
  <c r="O97" i="8"/>
  <c r="N97" i="8"/>
  <c r="L97" i="8"/>
  <c r="K97" i="8"/>
  <c r="I97" i="8"/>
  <c r="H97" i="8"/>
  <c r="F97" i="8"/>
  <c r="E97" i="8"/>
  <c r="C97" i="8"/>
  <c r="B97" i="8"/>
  <c r="R96" i="8"/>
  <c r="Q96" i="8"/>
  <c r="O96" i="8"/>
  <c r="N96" i="8"/>
  <c r="L96" i="8"/>
  <c r="K96" i="8"/>
  <c r="I96" i="8"/>
  <c r="H96" i="8"/>
  <c r="F96" i="8"/>
  <c r="E96" i="8"/>
  <c r="C96" i="8"/>
  <c r="B96" i="8"/>
  <c r="R95" i="8"/>
  <c r="Q95" i="8"/>
  <c r="O95" i="8"/>
  <c r="N95" i="8"/>
  <c r="L95" i="8"/>
  <c r="K95" i="8"/>
  <c r="I95" i="8"/>
  <c r="H95" i="8"/>
  <c r="F95" i="8"/>
  <c r="S95" i="8" s="1"/>
  <c r="I95" i="11" s="1"/>
  <c r="E95" i="8"/>
  <c r="C95" i="8"/>
  <c r="B95" i="8"/>
  <c r="S94" i="8"/>
  <c r="I94" i="11" s="1"/>
  <c r="R94" i="8"/>
  <c r="Q94" i="8"/>
  <c r="O94" i="8"/>
  <c r="N94" i="8"/>
  <c r="L94" i="8"/>
  <c r="K94" i="8"/>
  <c r="I94" i="8"/>
  <c r="H94" i="8"/>
  <c r="F94" i="8"/>
  <c r="E94" i="8"/>
  <c r="C94" i="8"/>
  <c r="B94" i="8"/>
  <c r="R93" i="8"/>
  <c r="Q93" i="8"/>
  <c r="O93" i="8"/>
  <c r="S93" i="8" s="1"/>
  <c r="I93" i="11" s="1"/>
  <c r="N93" i="8"/>
  <c r="L93" i="8"/>
  <c r="K93" i="8"/>
  <c r="I93" i="8"/>
  <c r="H93" i="8"/>
  <c r="F93" i="8"/>
  <c r="E93" i="8"/>
  <c r="C93" i="8"/>
  <c r="B93" i="8"/>
  <c r="R92" i="8"/>
  <c r="S92" i="8" s="1"/>
  <c r="I92" i="11" s="1"/>
  <c r="Q92" i="8"/>
  <c r="O92" i="8"/>
  <c r="N92" i="8"/>
  <c r="L92" i="8"/>
  <c r="K92" i="8"/>
  <c r="I92" i="8"/>
  <c r="H92" i="8"/>
  <c r="F92" i="8"/>
  <c r="E92" i="8"/>
  <c r="C92" i="8"/>
  <c r="B92" i="8"/>
  <c r="R91" i="8"/>
  <c r="Q91" i="8"/>
  <c r="O91" i="8"/>
  <c r="N91" i="8"/>
  <c r="L91" i="8"/>
  <c r="K91" i="8"/>
  <c r="I91" i="8"/>
  <c r="H91" i="8"/>
  <c r="F91" i="8"/>
  <c r="E91" i="8"/>
  <c r="C91" i="8"/>
  <c r="B91" i="8"/>
  <c r="R90" i="8"/>
  <c r="Q90" i="8"/>
  <c r="O90" i="8"/>
  <c r="N90" i="8"/>
  <c r="L90" i="8"/>
  <c r="K90" i="8"/>
  <c r="I90" i="8"/>
  <c r="H90" i="8"/>
  <c r="F90" i="8"/>
  <c r="S90" i="8" s="1"/>
  <c r="I90" i="11" s="1"/>
  <c r="E90" i="8"/>
  <c r="C90" i="8"/>
  <c r="B90" i="8"/>
  <c r="R89" i="8"/>
  <c r="Q89" i="8"/>
  <c r="O89" i="8"/>
  <c r="N89" i="8"/>
  <c r="L89" i="8"/>
  <c r="K89" i="8"/>
  <c r="I89" i="8"/>
  <c r="H89" i="8"/>
  <c r="F89" i="8"/>
  <c r="S89" i="8" s="1"/>
  <c r="I89" i="11" s="1"/>
  <c r="E89" i="8"/>
  <c r="C89" i="8"/>
  <c r="B89" i="8"/>
  <c r="S88" i="8"/>
  <c r="I88" i="11" s="1"/>
  <c r="R88" i="8"/>
  <c r="Q88" i="8"/>
  <c r="O88" i="8"/>
  <c r="N88" i="8"/>
  <c r="L88" i="8"/>
  <c r="K88" i="8"/>
  <c r="I88" i="8"/>
  <c r="H88" i="8"/>
  <c r="F88" i="8"/>
  <c r="E88" i="8"/>
  <c r="C88" i="8"/>
  <c r="B88" i="8"/>
  <c r="R87" i="8"/>
  <c r="Q87" i="8"/>
  <c r="O87" i="8"/>
  <c r="N87" i="8"/>
  <c r="L87" i="8"/>
  <c r="S87" i="8" s="1"/>
  <c r="I87" i="11" s="1"/>
  <c r="K87" i="8"/>
  <c r="I87" i="8"/>
  <c r="H87" i="8"/>
  <c r="F87" i="8"/>
  <c r="E87" i="8"/>
  <c r="C87" i="8"/>
  <c r="B87" i="8"/>
  <c r="R86" i="8"/>
  <c r="Q86" i="8"/>
  <c r="O86" i="8"/>
  <c r="N86" i="8"/>
  <c r="L86" i="8"/>
  <c r="K86" i="8"/>
  <c r="I86" i="8"/>
  <c r="S86" i="8" s="1"/>
  <c r="I86" i="11" s="1"/>
  <c r="H86" i="8"/>
  <c r="F86" i="8"/>
  <c r="E86" i="8"/>
  <c r="C86" i="8"/>
  <c r="B86" i="8"/>
  <c r="R85" i="8"/>
  <c r="Q85" i="8"/>
  <c r="O85" i="8"/>
  <c r="N85" i="8"/>
  <c r="L85" i="8"/>
  <c r="K85" i="8"/>
  <c r="I85" i="8"/>
  <c r="H85" i="8"/>
  <c r="F85" i="8"/>
  <c r="S85" i="8" s="1"/>
  <c r="I85" i="11" s="1"/>
  <c r="E85" i="8"/>
  <c r="C85" i="8"/>
  <c r="B85" i="8"/>
  <c r="R84" i="8"/>
  <c r="Q84" i="8"/>
  <c r="O84" i="8"/>
  <c r="N84" i="8"/>
  <c r="L84" i="8"/>
  <c r="K84" i="8"/>
  <c r="I84" i="8"/>
  <c r="H84" i="8"/>
  <c r="F84" i="8"/>
  <c r="S84" i="8" s="1"/>
  <c r="I84" i="11" s="1"/>
  <c r="E84" i="8"/>
  <c r="C84" i="8"/>
  <c r="B84" i="8"/>
  <c r="R83" i="8"/>
  <c r="S83" i="8" s="1"/>
  <c r="I83" i="11" s="1"/>
  <c r="Q83" i="8"/>
  <c r="O83" i="8"/>
  <c r="N83" i="8"/>
  <c r="L83" i="8"/>
  <c r="K83" i="8"/>
  <c r="I83" i="8"/>
  <c r="H83" i="8"/>
  <c r="F83" i="8"/>
  <c r="E83" i="8"/>
  <c r="C83" i="8"/>
  <c r="B83" i="8"/>
  <c r="S82" i="8"/>
  <c r="I82" i="11" s="1"/>
  <c r="R82" i="8"/>
  <c r="Q82" i="8"/>
  <c r="O82" i="8"/>
  <c r="N82" i="8"/>
  <c r="L82" i="8"/>
  <c r="K82" i="8"/>
  <c r="I82" i="8"/>
  <c r="H82" i="8"/>
  <c r="F82" i="8"/>
  <c r="E82" i="8"/>
  <c r="C82" i="8"/>
  <c r="B82" i="8"/>
  <c r="R81" i="8"/>
  <c r="Q81" i="8"/>
  <c r="O81" i="8"/>
  <c r="N81" i="8"/>
  <c r="L81" i="8"/>
  <c r="K81" i="8"/>
  <c r="I81" i="8"/>
  <c r="S81" i="8" s="1"/>
  <c r="I81" i="11" s="1"/>
  <c r="H81" i="8"/>
  <c r="F81" i="8"/>
  <c r="E81" i="8"/>
  <c r="C81" i="8"/>
  <c r="B81" i="8"/>
  <c r="R80" i="8"/>
  <c r="Q80" i="8"/>
  <c r="O80" i="8"/>
  <c r="N80" i="8"/>
  <c r="L80" i="8"/>
  <c r="K80" i="8"/>
  <c r="I80" i="8"/>
  <c r="H80" i="8"/>
  <c r="F80" i="8"/>
  <c r="S80" i="8" s="1"/>
  <c r="I80" i="11" s="1"/>
  <c r="E80" i="8"/>
  <c r="C80" i="8"/>
  <c r="B80" i="8"/>
  <c r="R79" i="8"/>
  <c r="Q79" i="8"/>
  <c r="O79" i="8"/>
  <c r="N79" i="8"/>
  <c r="L79" i="8"/>
  <c r="K79" i="8"/>
  <c r="I79" i="8"/>
  <c r="H79" i="8"/>
  <c r="F79" i="8"/>
  <c r="E79" i="8"/>
  <c r="C79" i="8"/>
  <c r="B79" i="8"/>
  <c r="S78" i="8"/>
  <c r="I78" i="11" s="1"/>
  <c r="R78" i="8"/>
  <c r="Q78" i="8"/>
  <c r="O78" i="8"/>
  <c r="N78" i="8"/>
  <c r="L78" i="8"/>
  <c r="K78" i="8"/>
  <c r="I78" i="8"/>
  <c r="H78" i="8"/>
  <c r="F78" i="8"/>
  <c r="E78" i="8"/>
  <c r="C78" i="8"/>
  <c r="B78" i="8"/>
  <c r="R77" i="8"/>
  <c r="Q77" i="8"/>
  <c r="O77" i="8"/>
  <c r="S77" i="8" s="1"/>
  <c r="I77" i="11" s="1"/>
  <c r="N77" i="8"/>
  <c r="L77" i="8"/>
  <c r="K77" i="8"/>
  <c r="I77" i="8"/>
  <c r="H77" i="8"/>
  <c r="F77" i="8"/>
  <c r="E77" i="8"/>
  <c r="C77" i="8"/>
  <c r="B77" i="8"/>
  <c r="R76" i="8"/>
  <c r="S76" i="8" s="1"/>
  <c r="I76" i="11" s="1"/>
  <c r="Q76" i="8"/>
  <c r="O76" i="8"/>
  <c r="N76" i="8"/>
  <c r="L76" i="8"/>
  <c r="K76" i="8"/>
  <c r="I76" i="8"/>
  <c r="H76" i="8"/>
  <c r="F76" i="8"/>
  <c r="E76" i="8"/>
  <c r="C76" i="8"/>
  <c r="B76" i="8"/>
  <c r="R75" i="8"/>
  <c r="Q75" i="8"/>
  <c r="O75" i="8"/>
  <c r="N75" i="8"/>
  <c r="L75" i="8"/>
  <c r="K75" i="8"/>
  <c r="I75" i="8"/>
  <c r="H75" i="8"/>
  <c r="F75" i="8"/>
  <c r="E75" i="8"/>
  <c r="C75" i="8"/>
  <c r="B75" i="8"/>
  <c r="R74" i="8"/>
  <c r="Q74" i="8"/>
  <c r="O74" i="8"/>
  <c r="N74" i="8"/>
  <c r="L74" i="8"/>
  <c r="K74" i="8"/>
  <c r="I74" i="8"/>
  <c r="H74" i="8"/>
  <c r="F74" i="8"/>
  <c r="S74" i="8" s="1"/>
  <c r="I74" i="11" s="1"/>
  <c r="E74" i="8"/>
  <c r="C74" i="8"/>
  <c r="B74" i="8"/>
  <c r="R73" i="8"/>
  <c r="Q73" i="8"/>
  <c r="O73" i="8"/>
  <c r="N73" i="8"/>
  <c r="L73" i="8"/>
  <c r="K73" i="8"/>
  <c r="I73" i="8"/>
  <c r="H73" i="8"/>
  <c r="F73" i="8"/>
  <c r="S73" i="8" s="1"/>
  <c r="I73" i="11" s="1"/>
  <c r="E73" i="8"/>
  <c r="C73" i="8"/>
  <c r="B73" i="8"/>
  <c r="S72" i="8"/>
  <c r="I72" i="11" s="1"/>
  <c r="R72" i="8"/>
  <c r="Q72" i="8"/>
  <c r="O72" i="8"/>
  <c r="N72" i="8"/>
  <c r="L72" i="8"/>
  <c r="K72" i="8"/>
  <c r="I72" i="8"/>
  <c r="H72" i="8"/>
  <c r="F72" i="8"/>
  <c r="E72" i="8"/>
  <c r="C72" i="8"/>
  <c r="B72" i="8"/>
  <c r="S71" i="8"/>
  <c r="I71" i="11" s="1"/>
  <c r="R71" i="8"/>
  <c r="Q71" i="8"/>
  <c r="O71" i="8"/>
  <c r="N71" i="8"/>
  <c r="L71" i="8"/>
  <c r="K71" i="8"/>
  <c r="I71" i="8"/>
  <c r="H71" i="8"/>
  <c r="F71" i="8"/>
  <c r="E71" i="8"/>
  <c r="C71" i="8"/>
  <c r="B71" i="8"/>
  <c r="R70" i="8"/>
  <c r="Q70" i="8"/>
  <c r="O70" i="8"/>
  <c r="N70" i="8"/>
  <c r="L70" i="8"/>
  <c r="K70" i="8"/>
  <c r="I70" i="8"/>
  <c r="H70" i="8"/>
  <c r="F70" i="8"/>
  <c r="E70" i="8"/>
  <c r="C70" i="8"/>
  <c r="B70" i="8"/>
  <c r="R69" i="8"/>
  <c r="Q69" i="8"/>
  <c r="O69" i="8"/>
  <c r="N69" i="8"/>
  <c r="L69" i="8"/>
  <c r="K69" i="8"/>
  <c r="I69" i="8"/>
  <c r="H69" i="8"/>
  <c r="F69" i="8"/>
  <c r="E69" i="8"/>
  <c r="C69" i="8"/>
  <c r="B69" i="8"/>
  <c r="R68" i="8"/>
  <c r="Q68" i="8"/>
  <c r="O68" i="8"/>
  <c r="N68" i="8"/>
  <c r="L68" i="8"/>
  <c r="K68" i="8"/>
  <c r="I68" i="8"/>
  <c r="H68" i="8"/>
  <c r="F68" i="8"/>
  <c r="S68" i="8" s="1"/>
  <c r="I68" i="11" s="1"/>
  <c r="E68" i="8"/>
  <c r="C68" i="8"/>
  <c r="B68" i="8"/>
  <c r="R67" i="8"/>
  <c r="S67" i="8" s="1"/>
  <c r="I67" i="11" s="1"/>
  <c r="Q67" i="8"/>
  <c r="O67" i="8"/>
  <c r="N67" i="8"/>
  <c r="L67" i="8"/>
  <c r="K67" i="8"/>
  <c r="I67" i="8"/>
  <c r="H67" i="8"/>
  <c r="F67" i="8"/>
  <c r="E67" i="8"/>
  <c r="C67" i="8"/>
  <c r="B67" i="8"/>
  <c r="S66" i="8"/>
  <c r="I66" i="11" s="1"/>
  <c r="R66" i="8"/>
  <c r="Q66" i="8"/>
  <c r="O66" i="8"/>
  <c r="N66" i="8"/>
  <c r="L66" i="8"/>
  <c r="K66" i="8"/>
  <c r="I66" i="8"/>
  <c r="H66" i="8"/>
  <c r="F66" i="8"/>
  <c r="E66" i="8"/>
  <c r="C66" i="8"/>
  <c r="B66" i="8"/>
  <c r="R65" i="8"/>
  <c r="Q65" i="8"/>
  <c r="O65" i="8"/>
  <c r="N65" i="8"/>
  <c r="L65" i="8"/>
  <c r="K65" i="8"/>
  <c r="I65" i="8"/>
  <c r="S65" i="8" s="1"/>
  <c r="I65" i="11" s="1"/>
  <c r="H65" i="8"/>
  <c r="F65" i="8"/>
  <c r="E65" i="8"/>
  <c r="C65" i="8"/>
  <c r="B65" i="8"/>
  <c r="R64" i="8"/>
  <c r="Q64" i="8"/>
  <c r="O64" i="8"/>
  <c r="N64" i="8"/>
  <c r="L64" i="8"/>
  <c r="K64" i="8"/>
  <c r="I64" i="8"/>
  <c r="H64" i="8"/>
  <c r="F64" i="8"/>
  <c r="S64" i="8" s="1"/>
  <c r="I64" i="11" s="1"/>
  <c r="E64" i="8"/>
  <c r="C64" i="8"/>
  <c r="B64" i="8"/>
  <c r="R63" i="8"/>
  <c r="Q63" i="8"/>
  <c r="O63" i="8"/>
  <c r="N63" i="8"/>
  <c r="L63" i="8"/>
  <c r="K63" i="8"/>
  <c r="I63" i="8"/>
  <c r="H63" i="8"/>
  <c r="F63" i="8"/>
  <c r="S63" i="8" s="1"/>
  <c r="I63" i="11" s="1"/>
  <c r="E63" i="8"/>
  <c r="C63" i="8"/>
  <c r="B63" i="8"/>
  <c r="S62" i="8"/>
  <c r="I62" i="11" s="1"/>
  <c r="R62" i="8"/>
  <c r="Q62" i="8"/>
  <c r="O62" i="8"/>
  <c r="N62" i="8"/>
  <c r="L62" i="8"/>
  <c r="K62" i="8"/>
  <c r="I62" i="8"/>
  <c r="H62" i="8"/>
  <c r="F62" i="8"/>
  <c r="E62" i="8"/>
  <c r="C62" i="8"/>
  <c r="B62" i="8"/>
  <c r="R61" i="8"/>
  <c r="Q61" i="8"/>
  <c r="O61" i="8"/>
  <c r="S61" i="8" s="1"/>
  <c r="I61" i="11" s="1"/>
  <c r="N61" i="8"/>
  <c r="L61" i="8"/>
  <c r="K61" i="8"/>
  <c r="I61" i="8"/>
  <c r="H61" i="8"/>
  <c r="F61" i="8"/>
  <c r="E61" i="8"/>
  <c r="C61" i="8"/>
  <c r="B61" i="8"/>
  <c r="R60" i="8"/>
  <c r="S60" i="8" s="1"/>
  <c r="I60" i="11" s="1"/>
  <c r="Q60" i="8"/>
  <c r="O60" i="8"/>
  <c r="N60" i="8"/>
  <c r="L60" i="8"/>
  <c r="K60" i="8"/>
  <c r="I60" i="8"/>
  <c r="H60" i="8"/>
  <c r="F60" i="8"/>
  <c r="E60" i="8"/>
  <c r="C60" i="8"/>
  <c r="B60" i="8"/>
  <c r="R59" i="8"/>
  <c r="Q59" i="8"/>
  <c r="O59" i="8"/>
  <c r="N59" i="8"/>
  <c r="L59" i="8"/>
  <c r="K59" i="8"/>
  <c r="I59" i="8"/>
  <c r="H59" i="8"/>
  <c r="F59" i="8"/>
  <c r="S59" i="8" s="1"/>
  <c r="I59" i="11" s="1"/>
  <c r="E59" i="8"/>
  <c r="C59" i="8"/>
  <c r="B59" i="8"/>
  <c r="R58" i="8"/>
  <c r="Q58" i="8"/>
  <c r="O58" i="8"/>
  <c r="N58" i="8"/>
  <c r="L58" i="8"/>
  <c r="K58" i="8"/>
  <c r="I58" i="8"/>
  <c r="H58" i="8"/>
  <c r="F58" i="8"/>
  <c r="E58" i="8"/>
  <c r="C58" i="8"/>
  <c r="B58" i="8"/>
  <c r="R57" i="8"/>
  <c r="Q57" i="8"/>
  <c r="O57" i="8"/>
  <c r="N57" i="8"/>
  <c r="L57" i="8"/>
  <c r="K57" i="8"/>
  <c r="I57" i="8"/>
  <c r="H57" i="8"/>
  <c r="F57" i="8"/>
  <c r="S57" i="8" s="1"/>
  <c r="I57" i="11" s="1"/>
  <c r="E57" i="8"/>
  <c r="C57" i="8"/>
  <c r="B57" i="8"/>
  <c r="S56" i="8"/>
  <c r="I56" i="11" s="1"/>
  <c r="R56" i="8"/>
  <c r="Q56" i="8"/>
  <c r="O56" i="8"/>
  <c r="N56" i="8"/>
  <c r="L56" i="8"/>
  <c r="K56" i="8"/>
  <c r="I56" i="8"/>
  <c r="H56" i="8"/>
  <c r="F56" i="8"/>
  <c r="E56" i="8"/>
  <c r="C56" i="8"/>
  <c r="B56" i="8"/>
  <c r="R55" i="8"/>
  <c r="Q55" i="8"/>
  <c r="O55" i="8"/>
  <c r="N55" i="8"/>
  <c r="L55" i="8"/>
  <c r="S55" i="8" s="1"/>
  <c r="I55" i="11" s="1"/>
  <c r="K55" i="8"/>
  <c r="I55" i="8"/>
  <c r="H55" i="8"/>
  <c r="F55" i="8"/>
  <c r="E55" i="8"/>
  <c r="C55" i="8"/>
  <c r="B55" i="8"/>
  <c r="R54" i="8"/>
  <c r="Q54" i="8"/>
  <c r="O54" i="8"/>
  <c r="N54" i="8"/>
  <c r="L54" i="8"/>
  <c r="K54" i="8"/>
  <c r="I54" i="8"/>
  <c r="S54" i="8" s="1"/>
  <c r="I54" i="11" s="1"/>
  <c r="H54" i="8"/>
  <c r="F54" i="8"/>
  <c r="E54" i="8"/>
  <c r="C54" i="8"/>
  <c r="B54" i="8"/>
  <c r="R53" i="8"/>
  <c r="Q53" i="8"/>
  <c r="O53" i="8"/>
  <c r="N53" i="8"/>
  <c r="L53" i="8"/>
  <c r="K53" i="8"/>
  <c r="I53" i="8"/>
  <c r="H53" i="8"/>
  <c r="F53" i="8"/>
  <c r="S53" i="8" s="1"/>
  <c r="I53" i="11" s="1"/>
  <c r="E53" i="8"/>
  <c r="C53" i="8"/>
  <c r="B53" i="8"/>
  <c r="R52" i="8"/>
  <c r="Q52" i="8"/>
  <c r="O52" i="8"/>
  <c r="N52" i="8"/>
  <c r="L52" i="8"/>
  <c r="K52" i="8"/>
  <c r="I52" i="8"/>
  <c r="H52" i="8"/>
  <c r="F52" i="8"/>
  <c r="S52" i="8" s="1"/>
  <c r="I52" i="11" s="1"/>
  <c r="E52" i="8"/>
  <c r="C52" i="8"/>
  <c r="B52" i="8"/>
  <c r="R51" i="8"/>
  <c r="S51" i="8" s="1"/>
  <c r="I51" i="11" s="1"/>
  <c r="Q51" i="8"/>
  <c r="O51" i="8"/>
  <c r="N51" i="8"/>
  <c r="L51" i="8"/>
  <c r="K51" i="8"/>
  <c r="I51" i="8"/>
  <c r="H51" i="8"/>
  <c r="F51" i="8"/>
  <c r="E51" i="8"/>
  <c r="C51" i="8"/>
  <c r="B51" i="8"/>
  <c r="S50" i="8"/>
  <c r="I50" i="11" s="1"/>
  <c r="R50" i="8"/>
  <c r="Q50" i="8"/>
  <c r="O50" i="8"/>
  <c r="N50" i="8"/>
  <c r="L50" i="8"/>
  <c r="K50" i="8"/>
  <c r="I50" i="8"/>
  <c r="H50" i="8"/>
  <c r="F50" i="8"/>
  <c r="E50" i="8"/>
  <c r="C50" i="8"/>
  <c r="B50" i="8"/>
  <c r="Q49" i="8"/>
  <c r="R49" i="8" s="1"/>
  <c r="N49" i="8"/>
  <c r="O49" i="8" s="1"/>
  <c r="K49" i="8"/>
  <c r="L49" i="8" s="1"/>
  <c r="H49" i="8"/>
  <c r="I49" i="8" s="1"/>
  <c r="E49" i="8"/>
  <c r="F49" i="8" s="1"/>
  <c r="C49" i="8"/>
  <c r="B49" i="8"/>
  <c r="Q48" i="8"/>
  <c r="R48" i="8" s="1"/>
  <c r="N48" i="8"/>
  <c r="O48" i="8" s="1"/>
  <c r="K48" i="8"/>
  <c r="L48" i="8" s="1"/>
  <c r="H48" i="8"/>
  <c r="I48" i="8" s="1"/>
  <c r="E48" i="8"/>
  <c r="F48" i="8" s="1"/>
  <c r="C48" i="8"/>
  <c r="B48" i="8"/>
  <c r="Q47" i="8"/>
  <c r="R47" i="8" s="1"/>
  <c r="N47" i="8"/>
  <c r="O47" i="8" s="1"/>
  <c r="K47" i="8"/>
  <c r="L47" i="8" s="1"/>
  <c r="H47" i="8"/>
  <c r="I47" i="8" s="1"/>
  <c r="E47" i="8"/>
  <c r="F47" i="8" s="1"/>
  <c r="C47" i="8"/>
  <c r="B47" i="8"/>
  <c r="Q46" i="8"/>
  <c r="R46" i="8" s="1"/>
  <c r="O46" i="8"/>
  <c r="N46" i="8"/>
  <c r="K46" i="8"/>
  <c r="L46" i="8" s="1"/>
  <c r="I46" i="8"/>
  <c r="H46" i="8"/>
  <c r="E46" i="8"/>
  <c r="F46" i="8" s="1"/>
  <c r="C46" i="8"/>
  <c r="B46" i="8"/>
  <c r="Q45" i="8"/>
  <c r="R45" i="8" s="1"/>
  <c r="N45" i="8"/>
  <c r="O45" i="8" s="1"/>
  <c r="K45" i="8"/>
  <c r="L45" i="8" s="1"/>
  <c r="H45" i="8"/>
  <c r="I45" i="8" s="1"/>
  <c r="E45" i="8"/>
  <c r="F45" i="8" s="1"/>
  <c r="C45" i="8"/>
  <c r="B45" i="8"/>
  <c r="Q44" i="8"/>
  <c r="R44" i="8" s="1"/>
  <c r="N44" i="8"/>
  <c r="O44" i="8" s="1"/>
  <c r="K44" i="8"/>
  <c r="L44" i="8" s="1"/>
  <c r="H44" i="8"/>
  <c r="I44" i="8" s="1"/>
  <c r="E44" i="8"/>
  <c r="F44" i="8" s="1"/>
  <c r="C44" i="8"/>
  <c r="B44" i="8"/>
  <c r="Q43" i="8"/>
  <c r="R43" i="8" s="1"/>
  <c r="N43" i="8"/>
  <c r="O43" i="8" s="1"/>
  <c r="K43" i="8"/>
  <c r="L43" i="8" s="1"/>
  <c r="H43" i="8"/>
  <c r="I43" i="8" s="1"/>
  <c r="E43" i="8"/>
  <c r="F43" i="8" s="1"/>
  <c r="C43" i="8"/>
  <c r="B43" i="8"/>
  <c r="Q42" i="8"/>
  <c r="R42" i="8" s="1"/>
  <c r="N42" i="8"/>
  <c r="O42" i="8" s="1"/>
  <c r="K42" i="8"/>
  <c r="L42" i="8" s="1"/>
  <c r="H42" i="8"/>
  <c r="I42" i="8" s="1"/>
  <c r="E42" i="8"/>
  <c r="F42" i="8" s="1"/>
  <c r="C42" i="8"/>
  <c r="B42" i="8"/>
  <c r="Q41" i="8"/>
  <c r="R41" i="8" s="1"/>
  <c r="N41" i="8"/>
  <c r="O41" i="8" s="1"/>
  <c r="K41" i="8"/>
  <c r="L41" i="8" s="1"/>
  <c r="H41" i="8"/>
  <c r="I41" i="8" s="1"/>
  <c r="E41" i="8"/>
  <c r="F41" i="8" s="1"/>
  <c r="C41" i="8"/>
  <c r="B41" i="8"/>
  <c r="Q40" i="8"/>
  <c r="R40" i="8" s="1"/>
  <c r="N40" i="8"/>
  <c r="O40" i="8" s="1"/>
  <c r="K40" i="8"/>
  <c r="L40" i="8" s="1"/>
  <c r="H40" i="8"/>
  <c r="I40" i="8" s="1"/>
  <c r="E40" i="8"/>
  <c r="F40" i="8" s="1"/>
  <c r="C40" i="8"/>
  <c r="B40" i="8"/>
  <c r="R39" i="8"/>
  <c r="Q39" i="8"/>
  <c r="N39" i="8"/>
  <c r="O39" i="8" s="1"/>
  <c r="K39" i="8"/>
  <c r="L39" i="8" s="1"/>
  <c r="H39" i="8"/>
  <c r="I39" i="8" s="1"/>
  <c r="E39" i="8"/>
  <c r="F39" i="8" s="1"/>
  <c r="C39" i="8"/>
  <c r="B39" i="8"/>
  <c r="R38" i="8"/>
  <c r="Q38" i="8"/>
  <c r="N38" i="8"/>
  <c r="O38" i="8" s="1"/>
  <c r="K38" i="8"/>
  <c r="L38" i="8" s="1"/>
  <c r="H38" i="8"/>
  <c r="I38" i="8" s="1"/>
  <c r="E38" i="8"/>
  <c r="F38" i="8" s="1"/>
  <c r="C38" i="8"/>
  <c r="B38" i="8"/>
  <c r="Q37" i="8"/>
  <c r="R37" i="8" s="1"/>
  <c r="O37" i="8"/>
  <c r="N37" i="8"/>
  <c r="K37" i="8"/>
  <c r="L37" i="8" s="1"/>
  <c r="H37" i="8"/>
  <c r="I37" i="8" s="1"/>
  <c r="E37" i="8"/>
  <c r="F37" i="8" s="1"/>
  <c r="C37" i="8"/>
  <c r="B37" i="8"/>
  <c r="Q36" i="8"/>
  <c r="R36" i="8" s="1"/>
  <c r="N36" i="8"/>
  <c r="O36" i="8" s="1"/>
  <c r="K36" i="8"/>
  <c r="L36" i="8" s="1"/>
  <c r="H36" i="8"/>
  <c r="I36" i="8" s="1"/>
  <c r="E36" i="8"/>
  <c r="F36" i="8" s="1"/>
  <c r="C36" i="8"/>
  <c r="B36" i="8"/>
  <c r="R35" i="8"/>
  <c r="Q35" i="8"/>
  <c r="N35" i="8"/>
  <c r="O35" i="8" s="1"/>
  <c r="K35" i="8"/>
  <c r="L35" i="8" s="1"/>
  <c r="H35" i="8"/>
  <c r="I35" i="8" s="1"/>
  <c r="E35" i="8"/>
  <c r="F35" i="8" s="1"/>
  <c r="C35" i="8"/>
  <c r="B35" i="8"/>
  <c r="Q34" i="8"/>
  <c r="R34" i="8" s="1"/>
  <c r="N34" i="8"/>
  <c r="O34" i="8" s="1"/>
  <c r="K34" i="8"/>
  <c r="L34" i="8" s="1"/>
  <c r="H34" i="8"/>
  <c r="I34" i="8" s="1"/>
  <c r="E34" i="8"/>
  <c r="F34" i="8" s="1"/>
  <c r="C34" i="8"/>
  <c r="B34" i="8"/>
  <c r="R33" i="8"/>
  <c r="Q33" i="8"/>
  <c r="N33" i="8"/>
  <c r="O33" i="8" s="1"/>
  <c r="K33" i="8"/>
  <c r="L33" i="8" s="1"/>
  <c r="H33" i="8"/>
  <c r="I33" i="8" s="1"/>
  <c r="E33" i="8"/>
  <c r="F33" i="8" s="1"/>
  <c r="C33" i="8"/>
  <c r="B33" i="8"/>
  <c r="Q32" i="8"/>
  <c r="R32" i="8" s="1"/>
  <c r="N32" i="8"/>
  <c r="O32" i="8" s="1"/>
  <c r="K32" i="8"/>
  <c r="L32" i="8" s="1"/>
  <c r="H32" i="8"/>
  <c r="I32" i="8" s="1"/>
  <c r="E32" i="8"/>
  <c r="F32" i="8" s="1"/>
  <c r="C32" i="8"/>
  <c r="B32" i="8"/>
  <c r="Q31" i="8"/>
  <c r="R31" i="8" s="1"/>
  <c r="N31" i="8"/>
  <c r="O31" i="8" s="1"/>
  <c r="K31" i="8"/>
  <c r="L31" i="8" s="1"/>
  <c r="I31" i="8"/>
  <c r="H31" i="8"/>
  <c r="E31" i="8"/>
  <c r="F31" i="8" s="1"/>
  <c r="C31" i="8"/>
  <c r="B31" i="8"/>
  <c r="Q30" i="8"/>
  <c r="R30" i="8" s="1"/>
  <c r="N30" i="8"/>
  <c r="O30" i="8" s="1"/>
  <c r="K30" i="8"/>
  <c r="L30" i="8" s="1"/>
  <c r="H30" i="8"/>
  <c r="I30" i="8" s="1"/>
  <c r="E30" i="8"/>
  <c r="F30" i="8" s="1"/>
  <c r="C30" i="8"/>
  <c r="B30" i="8"/>
  <c r="Q29" i="8"/>
  <c r="R29" i="8" s="1"/>
  <c r="N29" i="8"/>
  <c r="O29" i="8" s="1"/>
  <c r="K29" i="8"/>
  <c r="L29" i="8" s="1"/>
  <c r="H29" i="8"/>
  <c r="I29" i="8" s="1"/>
  <c r="E29" i="8"/>
  <c r="F29" i="8" s="1"/>
  <c r="C29" i="8"/>
  <c r="B29" i="8"/>
  <c r="Q28" i="8"/>
  <c r="R28" i="8" s="1"/>
  <c r="N28" i="8"/>
  <c r="O28" i="8" s="1"/>
  <c r="K28" i="8"/>
  <c r="L28" i="8" s="1"/>
  <c r="H28" i="8"/>
  <c r="I28" i="8" s="1"/>
  <c r="E28" i="8"/>
  <c r="F28" i="8" s="1"/>
  <c r="C28" i="8"/>
  <c r="B28" i="8"/>
  <c r="Q27" i="8"/>
  <c r="R27" i="8" s="1"/>
  <c r="N27" i="8"/>
  <c r="O27" i="8" s="1"/>
  <c r="K27" i="8"/>
  <c r="L27" i="8" s="1"/>
  <c r="H27" i="8"/>
  <c r="I27" i="8" s="1"/>
  <c r="E27" i="8"/>
  <c r="F27" i="8" s="1"/>
  <c r="C27" i="8"/>
  <c r="B27" i="8"/>
  <c r="Q26" i="8"/>
  <c r="R26" i="8" s="1"/>
  <c r="N26" i="8"/>
  <c r="O26" i="8" s="1"/>
  <c r="K26" i="8"/>
  <c r="L26" i="8" s="1"/>
  <c r="H26" i="8"/>
  <c r="I26" i="8" s="1"/>
  <c r="F26" i="8"/>
  <c r="E26" i="8"/>
  <c r="C26" i="8"/>
  <c r="B26" i="8"/>
  <c r="Q25" i="8"/>
  <c r="R25" i="8" s="1"/>
  <c r="N25" i="8"/>
  <c r="O25" i="8" s="1"/>
  <c r="K25" i="8"/>
  <c r="L25" i="8" s="1"/>
  <c r="H25" i="8"/>
  <c r="I25" i="8" s="1"/>
  <c r="F25" i="8"/>
  <c r="E25" i="8"/>
  <c r="C25" i="8"/>
  <c r="B25" i="8"/>
  <c r="Q24" i="8"/>
  <c r="R24" i="8" s="1"/>
  <c r="N24" i="8"/>
  <c r="O24" i="8" s="1"/>
  <c r="K24" i="8"/>
  <c r="L24" i="8" s="1"/>
  <c r="H24" i="8"/>
  <c r="I24" i="8" s="1"/>
  <c r="E24" i="8"/>
  <c r="F24" i="8" s="1"/>
  <c r="C24" i="8"/>
  <c r="B24" i="8"/>
  <c r="R23" i="8"/>
  <c r="S23" i="8" s="1"/>
  <c r="I23" i="11" s="1"/>
  <c r="Q23" i="8"/>
  <c r="O23" i="8"/>
  <c r="N23" i="8"/>
  <c r="L23" i="8"/>
  <c r="K23" i="8"/>
  <c r="I23" i="8"/>
  <c r="H23" i="8"/>
  <c r="F23" i="8"/>
  <c r="E23" i="8"/>
  <c r="C23" i="8"/>
  <c r="B23" i="8"/>
  <c r="R22" i="8"/>
  <c r="Q22" i="8"/>
  <c r="O22" i="8"/>
  <c r="N22" i="8"/>
  <c r="L22" i="8"/>
  <c r="K22" i="8"/>
  <c r="I22" i="8"/>
  <c r="H22" i="8"/>
  <c r="F22" i="8"/>
  <c r="E22" i="8"/>
  <c r="C22" i="8"/>
  <c r="B22" i="8"/>
  <c r="R21" i="8"/>
  <c r="Q21" i="8"/>
  <c r="O21" i="8"/>
  <c r="N21" i="8"/>
  <c r="L21" i="8"/>
  <c r="K21" i="8"/>
  <c r="I21" i="8"/>
  <c r="H21" i="8"/>
  <c r="F21" i="8"/>
  <c r="S21" i="8" s="1"/>
  <c r="I21" i="11" s="1"/>
  <c r="E21" i="8"/>
  <c r="C21" i="8"/>
  <c r="B21" i="8"/>
  <c r="R20" i="8"/>
  <c r="Q20" i="8"/>
  <c r="O20" i="8"/>
  <c r="N20" i="8"/>
  <c r="L20" i="8"/>
  <c r="K20" i="8"/>
  <c r="I20" i="8"/>
  <c r="H20" i="8"/>
  <c r="F20" i="8"/>
  <c r="S20" i="8" s="1"/>
  <c r="I20" i="11" s="1"/>
  <c r="E20" i="8"/>
  <c r="C20" i="8"/>
  <c r="B20" i="8"/>
  <c r="R19" i="8"/>
  <c r="S19" i="8" s="1"/>
  <c r="I19" i="11" s="1"/>
  <c r="Q19" i="8"/>
  <c r="O19" i="8"/>
  <c r="N19" i="8"/>
  <c r="L19" i="8"/>
  <c r="K19" i="8"/>
  <c r="I19" i="8"/>
  <c r="H19" i="8"/>
  <c r="F19" i="8"/>
  <c r="E19" i="8"/>
  <c r="C19" i="8"/>
  <c r="B19" i="8"/>
  <c r="S18" i="8"/>
  <c r="I18" i="11" s="1"/>
  <c r="R18" i="8"/>
  <c r="Q18" i="8"/>
  <c r="O18" i="8"/>
  <c r="N18" i="8"/>
  <c r="L18" i="8"/>
  <c r="K18" i="8"/>
  <c r="I18" i="8"/>
  <c r="H18" i="8"/>
  <c r="F18" i="8"/>
  <c r="E18" i="8"/>
  <c r="C18" i="8"/>
  <c r="B18" i="8"/>
  <c r="R17" i="8"/>
  <c r="Q17" i="8"/>
  <c r="O17" i="8"/>
  <c r="N17" i="8"/>
  <c r="L17" i="8"/>
  <c r="K17" i="8"/>
  <c r="I17" i="8"/>
  <c r="S17" i="8" s="1"/>
  <c r="I17" i="11" s="1"/>
  <c r="H17" i="8"/>
  <c r="F17" i="8"/>
  <c r="E17" i="8"/>
  <c r="C17" i="8"/>
  <c r="B17" i="8"/>
  <c r="R16" i="8"/>
  <c r="Q16" i="8"/>
  <c r="O16" i="8"/>
  <c r="N16" i="8"/>
  <c r="L16" i="8"/>
  <c r="K16" i="8"/>
  <c r="I16" i="8"/>
  <c r="H16" i="8"/>
  <c r="F16" i="8"/>
  <c r="S16" i="8" s="1"/>
  <c r="I16" i="11" s="1"/>
  <c r="E16" i="8"/>
  <c r="C16" i="8"/>
  <c r="B16" i="8"/>
  <c r="R15" i="8"/>
  <c r="Q15" i="8"/>
  <c r="O15" i="8"/>
  <c r="N15" i="8"/>
  <c r="L15" i="8"/>
  <c r="K15" i="8"/>
  <c r="I15" i="8"/>
  <c r="H15" i="8"/>
  <c r="F15" i="8"/>
  <c r="S15" i="8" s="1"/>
  <c r="I15" i="11" s="1"/>
  <c r="E15" i="8"/>
  <c r="C15" i="8"/>
  <c r="B15" i="8"/>
  <c r="S14" i="8"/>
  <c r="I14" i="11" s="1"/>
  <c r="R14" i="8"/>
  <c r="Q14" i="8"/>
  <c r="O14" i="8"/>
  <c r="N14" i="8"/>
  <c r="L14" i="8"/>
  <c r="K14" i="8"/>
  <c r="I14" i="8"/>
  <c r="H14" i="8"/>
  <c r="F14" i="8"/>
  <c r="E14" i="8"/>
  <c r="C14" i="8"/>
  <c r="B14" i="8"/>
  <c r="R13" i="8"/>
  <c r="Q13" i="8"/>
  <c r="O13" i="8"/>
  <c r="S13" i="8" s="1"/>
  <c r="I13" i="11" s="1"/>
  <c r="N13" i="8"/>
  <c r="L13" i="8"/>
  <c r="K13" i="8"/>
  <c r="I13" i="8"/>
  <c r="H13" i="8"/>
  <c r="F13" i="8"/>
  <c r="E13" i="8"/>
  <c r="C13" i="8"/>
  <c r="B13" i="8"/>
  <c r="S12" i="8"/>
  <c r="I12" i="11" s="1"/>
  <c r="R12" i="8"/>
  <c r="Q12" i="8"/>
  <c r="O12" i="8"/>
  <c r="N12" i="8"/>
  <c r="L12" i="8"/>
  <c r="K12" i="8"/>
  <c r="I12" i="8"/>
  <c r="H12" i="8"/>
  <c r="F12" i="8"/>
  <c r="E12" i="8"/>
  <c r="C12" i="8"/>
  <c r="B12" i="8"/>
  <c r="R11" i="8"/>
  <c r="Q11" i="8"/>
  <c r="O11" i="8"/>
  <c r="N11" i="8"/>
  <c r="L11" i="8"/>
  <c r="K11" i="8"/>
  <c r="I11" i="8"/>
  <c r="H11" i="8"/>
  <c r="F11" i="8"/>
  <c r="S11" i="8" s="1"/>
  <c r="I11" i="11" s="1"/>
  <c r="E11" i="8"/>
  <c r="C11" i="8"/>
  <c r="B11" i="8"/>
  <c r="R10" i="8"/>
  <c r="Q10" i="8"/>
  <c r="O10" i="8"/>
  <c r="N10" i="8"/>
  <c r="L10" i="8"/>
  <c r="K10" i="8"/>
  <c r="I10" i="8"/>
  <c r="H10" i="8"/>
  <c r="F10" i="8"/>
  <c r="S10" i="8" s="1"/>
  <c r="I10" i="11" s="1"/>
  <c r="E10" i="8"/>
  <c r="C10" i="8"/>
  <c r="B10" i="8"/>
  <c r="R9" i="8"/>
  <c r="Q9" i="8"/>
  <c r="O9" i="8"/>
  <c r="N9" i="8"/>
  <c r="L9" i="8"/>
  <c r="K9" i="8"/>
  <c r="I9" i="8"/>
  <c r="H9" i="8"/>
  <c r="F9" i="8"/>
  <c r="S9" i="8" s="1"/>
  <c r="I9" i="11" s="1"/>
  <c r="E9" i="8"/>
  <c r="C9" i="8"/>
  <c r="B9" i="8"/>
  <c r="S8" i="8"/>
  <c r="I8" i="11" s="1"/>
  <c r="R8" i="8"/>
  <c r="Q8" i="8"/>
  <c r="O8" i="8"/>
  <c r="N8" i="8"/>
  <c r="L8" i="8"/>
  <c r="K8" i="8"/>
  <c r="I8" i="8"/>
  <c r="H8" i="8"/>
  <c r="F8" i="8"/>
  <c r="E8" i="8"/>
  <c r="C8" i="8"/>
  <c r="B8" i="8"/>
  <c r="R7" i="8"/>
  <c r="Q7" i="8"/>
  <c r="O7" i="8"/>
  <c r="N7" i="8"/>
  <c r="L7" i="8"/>
  <c r="S7" i="8" s="1"/>
  <c r="I7" i="11" s="1"/>
  <c r="K7" i="8"/>
  <c r="I7" i="8"/>
  <c r="H7" i="8"/>
  <c r="F7" i="8"/>
  <c r="E7" i="8"/>
  <c r="C7" i="8"/>
  <c r="B7" i="8"/>
  <c r="R6" i="8"/>
  <c r="Q6" i="8"/>
  <c r="O6" i="8"/>
  <c r="N6" i="8"/>
  <c r="L6" i="8"/>
  <c r="K6" i="8"/>
  <c r="I6" i="8"/>
  <c r="H6" i="8"/>
  <c r="F6" i="8"/>
  <c r="E6" i="8"/>
  <c r="C6" i="8"/>
  <c r="B6" i="8"/>
  <c r="R5" i="8"/>
  <c r="Q5" i="8"/>
  <c r="O5" i="8"/>
  <c r="N5" i="8"/>
  <c r="L5" i="8"/>
  <c r="K5" i="8"/>
  <c r="I5" i="8"/>
  <c r="H5" i="8"/>
  <c r="F5" i="8"/>
  <c r="E5" i="8"/>
  <c r="C5" i="8"/>
  <c r="B5" i="8"/>
  <c r="R4" i="8"/>
  <c r="Q4" i="8"/>
  <c r="O4" i="8"/>
  <c r="N4" i="8"/>
  <c r="K4" i="8"/>
  <c r="L4" i="8" s="1"/>
  <c r="H4" i="8"/>
  <c r="I4" i="8" s="1"/>
  <c r="E4" i="8"/>
  <c r="F4" i="8" s="1"/>
  <c r="S4" i="8" s="1"/>
  <c r="I4" i="11" s="1"/>
  <c r="C4" i="8"/>
  <c r="B4" i="8"/>
  <c r="BP103" i="7"/>
  <c r="BC103" i="7"/>
  <c r="AP103" i="7"/>
  <c r="AC103" i="7"/>
  <c r="BQ103" i="7" s="1"/>
  <c r="H103" i="11" s="1"/>
  <c r="P103" i="7"/>
  <c r="C103" i="7"/>
  <c r="B103" i="7"/>
  <c r="BP102" i="7"/>
  <c r="BC102" i="7"/>
  <c r="AP102" i="7"/>
  <c r="AC102" i="7"/>
  <c r="P102" i="7"/>
  <c r="BQ102" i="7" s="1"/>
  <c r="H102" i="11" s="1"/>
  <c r="C102" i="7"/>
  <c r="B102" i="7"/>
  <c r="BP101" i="7"/>
  <c r="BC101" i="7"/>
  <c r="AP101" i="7"/>
  <c r="AC101" i="7"/>
  <c r="BQ101" i="7" s="1"/>
  <c r="H101" i="11" s="1"/>
  <c r="P101" i="7"/>
  <c r="C101" i="7"/>
  <c r="B101" i="7"/>
  <c r="BP100" i="7"/>
  <c r="BC100" i="7"/>
  <c r="AP100" i="7"/>
  <c r="AC100" i="7"/>
  <c r="P100" i="7"/>
  <c r="BQ100" i="7" s="1"/>
  <c r="H100" i="11" s="1"/>
  <c r="C100" i="7"/>
  <c r="B100" i="7"/>
  <c r="BP99" i="7"/>
  <c r="BC99" i="7"/>
  <c r="AP99" i="7"/>
  <c r="AC99" i="7"/>
  <c r="P99" i="7"/>
  <c r="C99" i="7"/>
  <c r="B99" i="7"/>
  <c r="BP98" i="7"/>
  <c r="BC98" i="7"/>
  <c r="AP98" i="7"/>
  <c r="AC98" i="7"/>
  <c r="P98" i="7"/>
  <c r="BQ98" i="7" s="1"/>
  <c r="H98" i="11" s="1"/>
  <c r="C98" i="7"/>
  <c r="B98" i="7"/>
  <c r="BP97" i="7"/>
  <c r="BC97" i="7"/>
  <c r="AP97" i="7"/>
  <c r="AC97" i="7"/>
  <c r="BQ97" i="7" s="1"/>
  <c r="H97" i="11" s="1"/>
  <c r="P97" i="7"/>
  <c r="C97" i="7"/>
  <c r="B97" i="7"/>
  <c r="BP96" i="7"/>
  <c r="BC96" i="7"/>
  <c r="AP96" i="7"/>
  <c r="AC96" i="7"/>
  <c r="P96" i="7"/>
  <c r="C96" i="7"/>
  <c r="B96" i="7"/>
  <c r="BP95" i="7"/>
  <c r="BC95" i="7"/>
  <c r="AP95" i="7"/>
  <c r="AC95" i="7"/>
  <c r="BQ95" i="7" s="1"/>
  <c r="H95" i="11" s="1"/>
  <c r="P95" i="7"/>
  <c r="C95" i="7"/>
  <c r="B95" i="7"/>
  <c r="BP94" i="7"/>
  <c r="BC94" i="7"/>
  <c r="AP94" i="7"/>
  <c r="AC94" i="7"/>
  <c r="P94" i="7"/>
  <c r="BQ94" i="7" s="1"/>
  <c r="H94" i="11" s="1"/>
  <c r="C94" i="7"/>
  <c r="B94" i="7"/>
  <c r="BP93" i="7"/>
  <c r="BC93" i="7"/>
  <c r="AP93" i="7"/>
  <c r="AC93" i="7"/>
  <c r="BQ93" i="7" s="1"/>
  <c r="H93" i="11" s="1"/>
  <c r="P93" i="7"/>
  <c r="C93" i="7"/>
  <c r="B93" i="7"/>
  <c r="BP92" i="7"/>
  <c r="BC92" i="7"/>
  <c r="AP92" i="7"/>
  <c r="AC92" i="7"/>
  <c r="P92" i="7"/>
  <c r="C92" i="7"/>
  <c r="B92" i="7"/>
  <c r="BP91" i="7"/>
  <c r="BC91" i="7"/>
  <c r="AP91" i="7"/>
  <c r="AC91" i="7"/>
  <c r="BQ91" i="7" s="1"/>
  <c r="H91" i="11" s="1"/>
  <c r="P91" i="7"/>
  <c r="C91" i="7"/>
  <c r="B91" i="7"/>
  <c r="BP90" i="7"/>
  <c r="BC90" i="7"/>
  <c r="AP90" i="7"/>
  <c r="AC90" i="7"/>
  <c r="P90" i="7"/>
  <c r="C90" i="7"/>
  <c r="B90" i="7"/>
  <c r="BP89" i="7"/>
  <c r="BC89" i="7"/>
  <c r="AP89" i="7"/>
  <c r="AC89" i="7"/>
  <c r="BQ89" i="7" s="1"/>
  <c r="H89" i="11" s="1"/>
  <c r="P89" i="7"/>
  <c r="C89" i="7"/>
  <c r="B89" i="7"/>
  <c r="BP88" i="7"/>
  <c r="BC88" i="7"/>
  <c r="AP88" i="7"/>
  <c r="AC88" i="7"/>
  <c r="P88" i="7"/>
  <c r="BQ88" i="7" s="1"/>
  <c r="H88" i="11" s="1"/>
  <c r="C88" i="7"/>
  <c r="B88" i="7"/>
  <c r="BP87" i="7"/>
  <c r="BC87" i="7"/>
  <c r="AP87" i="7"/>
  <c r="AC87" i="7"/>
  <c r="BQ87" i="7" s="1"/>
  <c r="H87" i="11" s="1"/>
  <c r="P87" i="7"/>
  <c r="C87" i="7"/>
  <c r="B87" i="7"/>
  <c r="BP86" i="7"/>
  <c r="BC86" i="7"/>
  <c r="AP86" i="7"/>
  <c r="AC86" i="7"/>
  <c r="P86" i="7"/>
  <c r="BQ86" i="7" s="1"/>
  <c r="H86" i="11" s="1"/>
  <c r="C86" i="7"/>
  <c r="B86" i="7"/>
  <c r="BP85" i="7"/>
  <c r="BC85" i="7"/>
  <c r="AP85" i="7"/>
  <c r="AC85" i="7"/>
  <c r="BQ85" i="7" s="1"/>
  <c r="H85" i="11" s="1"/>
  <c r="P85" i="7"/>
  <c r="C85" i="7"/>
  <c r="B85" i="7"/>
  <c r="BP84" i="7"/>
  <c r="BC84" i="7"/>
  <c r="AP84" i="7"/>
  <c r="AC84" i="7"/>
  <c r="P84" i="7"/>
  <c r="BQ84" i="7" s="1"/>
  <c r="H84" i="11" s="1"/>
  <c r="C84" i="7"/>
  <c r="B84" i="7"/>
  <c r="BP83" i="7"/>
  <c r="BC83" i="7"/>
  <c r="AP83" i="7"/>
  <c r="AC83" i="7"/>
  <c r="P83" i="7"/>
  <c r="C83" i="7"/>
  <c r="B83" i="7"/>
  <c r="BP82" i="7"/>
  <c r="BC82" i="7"/>
  <c r="AP82" i="7"/>
  <c r="AC82" i="7"/>
  <c r="P82" i="7"/>
  <c r="BQ82" i="7" s="1"/>
  <c r="H82" i="11" s="1"/>
  <c r="C82" i="7"/>
  <c r="B82" i="7"/>
  <c r="BP81" i="7"/>
  <c r="BC81" i="7"/>
  <c r="AP81" i="7"/>
  <c r="AC81" i="7"/>
  <c r="BQ81" i="7" s="1"/>
  <c r="H81" i="11" s="1"/>
  <c r="P81" i="7"/>
  <c r="C81" i="7"/>
  <c r="B81" i="7"/>
  <c r="BP80" i="7"/>
  <c r="BC80" i="7"/>
  <c r="AP80" i="7"/>
  <c r="AC80" i="7"/>
  <c r="P80" i="7"/>
  <c r="C80" i="7"/>
  <c r="B80" i="7"/>
  <c r="BP79" i="7"/>
  <c r="BC79" i="7"/>
  <c r="AP79" i="7"/>
  <c r="AC79" i="7"/>
  <c r="BQ79" i="7" s="1"/>
  <c r="H79" i="11" s="1"/>
  <c r="P79" i="7"/>
  <c r="C79" i="7"/>
  <c r="B79" i="7"/>
  <c r="BP78" i="7"/>
  <c r="BC78" i="7"/>
  <c r="AP78" i="7"/>
  <c r="AC78" i="7"/>
  <c r="P78" i="7"/>
  <c r="BQ78" i="7" s="1"/>
  <c r="H78" i="11" s="1"/>
  <c r="C78" i="7"/>
  <c r="B78" i="7"/>
  <c r="BP77" i="7"/>
  <c r="BC77" i="7"/>
  <c r="AP77" i="7"/>
  <c r="AC77" i="7"/>
  <c r="BQ77" i="7" s="1"/>
  <c r="H77" i="11" s="1"/>
  <c r="P77" i="7"/>
  <c r="C77" i="7"/>
  <c r="B77" i="7"/>
  <c r="BP76" i="7"/>
  <c r="BC76" i="7"/>
  <c r="AP76" i="7"/>
  <c r="AC76" i="7"/>
  <c r="P76" i="7"/>
  <c r="C76" i="7"/>
  <c r="B76" i="7"/>
  <c r="BP75" i="7"/>
  <c r="BC75" i="7"/>
  <c r="AP75" i="7"/>
  <c r="AC75" i="7"/>
  <c r="BQ75" i="7" s="1"/>
  <c r="H75" i="11" s="1"/>
  <c r="P75" i="7"/>
  <c r="C75" i="7"/>
  <c r="B75" i="7"/>
  <c r="BP74" i="7"/>
  <c r="BC74" i="7"/>
  <c r="AP74" i="7"/>
  <c r="AC74" i="7"/>
  <c r="P74" i="7"/>
  <c r="C74" i="7"/>
  <c r="B74" i="7"/>
  <c r="BP73" i="7"/>
  <c r="BC73" i="7"/>
  <c r="AP73" i="7"/>
  <c r="AC73" i="7"/>
  <c r="BQ73" i="7" s="1"/>
  <c r="H73" i="11" s="1"/>
  <c r="P73" i="7"/>
  <c r="C73" i="7"/>
  <c r="B73" i="7"/>
  <c r="BP72" i="7"/>
  <c r="BC72" i="7"/>
  <c r="AP72" i="7"/>
  <c r="AC72" i="7"/>
  <c r="P72" i="7"/>
  <c r="BQ72" i="7" s="1"/>
  <c r="H72" i="11" s="1"/>
  <c r="C72" i="7"/>
  <c r="B72" i="7"/>
  <c r="BP71" i="7"/>
  <c r="BC71" i="7"/>
  <c r="AP71" i="7"/>
  <c r="AC71" i="7"/>
  <c r="BQ71" i="7" s="1"/>
  <c r="H71" i="11" s="1"/>
  <c r="P71" i="7"/>
  <c r="C71" i="7"/>
  <c r="B71" i="7"/>
  <c r="BP70" i="7"/>
  <c r="BC70" i="7"/>
  <c r="AP70" i="7"/>
  <c r="AC70" i="7"/>
  <c r="P70" i="7"/>
  <c r="BQ70" i="7" s="1"/>
  <c r="H70" i="11" s="1"/>
  <c r="C70" i="7"/>
  <c r="B70" i="7"/>
  <c r="BP69" i="7"/>
  <c r="BC69" i="7"/>
  <c r="AP69" i="7"/>
  <c r="AC69" i="7"/>
  <c r="BQ69" i="7" s="1"/>
  <c r="H69" i="11" s="1"/>
  <c r="P69" i="7"/>
  <c r="C69" i="7"/>
  <c r="B69" i="7"/>
  <c r="BP68" i="7"/>
  <c r="BC68" i="7"/>
  <c r="AP68" i="7"/>
  <c r="AC68" i="7"/>
  <c r="P68" i="7"/>
  <c r="BQ68" i="7" s="1"/>
  <c r="H68" i="11" s="1"/>
  <c r="C68" i="7"/>
  <c r="B68" i="7"/>
  <c r="BP67" i="7"/>
  <c r="BC67" i="7"/>
  <c r="AP67" i="7"/>
  <c r="AC67" i="7"/>
  <c r="P67" i="7"/>
  <c r="C67" i="7"/>
  <c r="B67" i="7"/>
  <c r="BP66" i="7"/>
  <c r="BC66" i="7"/>
  <c r="AP66" i="7"/>
  <c r="AC66" i="7"/>
  <c r="P66" i="7"/>
  <c r="BQ66" i="7" s="1"/>
  <c r="H66" i="11" s="1"/>
  <c r="C66" i="7"/>
  <c r="B66" i="7"/>
  <c r="BP65" i="7"/>
  <c r="BC65" i="7"/>
  <c r="AP65" i="7"/>
  <c r="AC65" i="7"/>
  <c r="BQ65" i="7" s="1"/>
  <c r="H65" i="11" s="1"/>
  <c r="P65" i="7"/>
  <c r="C65" i="7"/>
  <c r="B65" i="7"/>
  <c r="BP64" i="7"/>
  <c r="BC64" i="7"/>
  <c r="AP64" i="7"/>
  <c r="AC64" i="7"/>
  <c r="P64" i="7"/>
  <c r="C64" i="7"/>
  <c r="B64" i="7"/>
  <c r="BP63" i="7"/>
  <c r="BC63" i="7"/>
  <c r="AP63" i="7"/>
  <c r="AC63" i="7"/>
  <c r="BQ63" i="7" s="1"/>
  <c r="H63" i="11" s="1"/>
  <c r="P63" i="7"/>
  <c r="C63" i="7"/>
  <c r="B63" i="7"/>
  <c r="BP62" i="7"/>
  <c r="BC62" i="7"/>
  <c r="AP62" i="7"/>
  <c r="AC62" i="7"/>
  <c r="P62" i="7"/>
  <c r="BQ62" i="7" s="1"/>
  <c r="H62" i="11" s="1"/>
  <c r="C62" i="7"/>
  <c r="B62" i="7"/>
  <c r="BP61" i="7"/>
  <c r="BC61" i="7"/>
  <c r="AP61" i="7"/>
  <c r="AC61" i="7"/>
  <c r="BQ61" i="7" s="1"/>
  <c r="H61" i="11" s="1"/>
  <c r="P61" i="7"/>
  <c r="C61" i="7"/>
  <c r="B61" i="7"/>
  <c r="BP60" i="7"/>
  <c r="BC60" i="7"/>
  <c r="AP60" i="7"/>
  <c r="AC60" i="7"/>
  <c r="P60" i="7"/>
  <c r="C60" i="7"/>
  <c r="B60" i="7"/>
  <c r="BP59" i="7"/>
  <c r="BC59" i="7"/>
  <c r="AP59" i="7"/>
  <c r="AC59" i="7"/>
  <c r="BQ59" i="7" s="1"/>
  <c r="H59" i="11" s="1"/>
  <c r="P59" i="7"/>
  <c r="C59" i="7"/>
  <c r="B59" i="7"/>
  <c r="BP58" i="7"/>
  <c r="BC58" i="7"/>
  <c r="AP58" i="7"/>
  <c r="AC58" i="7"/>
  <c r="P58" i="7"/>
  <c r="C58" i="7"/>
  <c r="B58" i="7"/>
  <c r="BP57" i="7"/>
  <c r="BC57" i="7"/>
  <c r="AP57" i="7"/>
  <c r="AC57" i="7"/>
  <c r="BQ57" i="7" s="1"/>
  <c r="H57" i="11" s="1"/>
  <c r="P57" i="7"/>
  <c r="C57" i="7"/>
  <c r="B57" i="7"/>
  <c r="BP56" i="7"/>
  <c r="BC56" i="7"/>
  <c r="AP56" i="7"/>
  <c r="AC56" i="7"/>
  <c r="P56" i="7"/>
  <c r="BQ56" i="7" s="1"/>
  <c r="H56" i="11" s="1"/>
  <c r="C56" i="7"/>
  <c r="B56" i="7"/>
  <c r="BP55" i="7"/>
  <c r="BC55" i="7"/>
  <c r="AP55" i="7"/>
  <c r="AC55" i="7"/>
  <c r="BQ55" i="7" s="1"/>
  <c r="H55" i="11" s="1"/>
  <c r="P55" i="7"/>
  <c r="C55" i="7"/>
  <c r="B55" i="7"/>
  <c r="BP54" i="7"/>
  <c r="BC54" i="7"/>
  <c r="AP54" i="7"/>
  <c r="AC54" i="7"/>
  <c r="P54" i="7"/>
  <c r="BQ54" i="7" s="1"/>
  <c r="H54" i="11" s="1"/>
  <c r="C54" i="7"/>
  <c r="B54" i="7"/>
  <c r="BP53" i="7"/>
  <c r="BC53" i="7"/>
  <c r="AP53" i="7"/>
  <c r="AC53" i="7"/>
  <c r="BQ53" i="7" s="1"/>
  <c r="H53" i="11" s="1"/>
  <c r="P53" i="7"/>
  <c r="C53" i="7"/>
  <c r="B53" i="7"/>
  <c r="BP52" i="7"/>
  <c r="BC52" i="7"/>
  <c r="AP52" i="7"/>
  <c r="AC52" i="7"/>
  <c r="P52" i="7"/>
  <c r="BQ52" i="7" s="1"/>
  <c r="H52" i="11" s="1"/>
  <c r="C52" i="7"/>
  <c r="B52" i="7"/>
  <c r="BP51" i="7"/>
  <c r="BC51" i="7"/>
  <c r="AP51" i="7"/>
  <c r="AC51" i="7"/>
  <c r="P51" i="7"/>
  <c r="C51" i="7"/>
  <c r="B51" i="7"/>
  <c r="BP50" i="7"/>
  <c r="BC50" i="7"/>
  <c r="AP50" i="7"/>
  <c r="AC50" i="7"/>
  <c r="P50" i="7"/>
  <c r="BQ50" i="7" s="1"/>
  <c r="H50" i="11" s="1"/>
  <c r="C50" i="7"/>
  <c r="B50" i="7"/>
  <c r="BP49" i="7"/>
  <c r="BC49" i="7"/>
  <c r="AP49" i="7"/>
  <c r="AC49" i="7"/>
  <c r="P49" i="7"/>
  <c r="C49" i="7"/>
  <c r="B49" i="7"/>
  <c r="BP48" i="7"/>
  <c r="BC48" i="7"/>
  <c r="AP48" i="7"/>
  <c r="AC48" i="7"/>
  <c r="P48" i="7"/>
  <c r="C48" i="7"/>
  <c r="B48" i="7"/>
  <c r="BP47" i="7"/>
  <c r="BC47" i="7"/>
  <c r="AP47" i="7"/>
  <c r="AC47" i="7"/>
  <c r="P47" i="7"/>
  <c r="C47" i="7"/>
  <c r="B47" i="7"/>
  <c r="BP46" i="7"/>
  <c r="BC46" i="7"/>
  <c r="AP46" i="7"/>
  <c r="AC46" i="7"/>
  <c r="P46" i="7"/>
  <c r="C46" i="7"/>
  <c r="B46" i="7"/>
  <c r="BP45" i="7"/>
  <c r="BC45" i="7"/>
  <c r="AP45" i="7"/>
  <c r="AC45" i="7"/>
  <c r="P45" i="7"/>
  <c r="C45" i="7"/>
  <c r="B45" i="7"/>
  <c r="BP44" i="7"/>
  <c r="BC44" i="7"/>
  <c r="AP44" i="7"/>
  <c r="AC44" i="7"/>
  <c r="P44" i="7"/>
  <c r="C44" i="7"/>
  <c r="B44" i="7"/>
  <c r="BP43" i="7"/>
  <c r="BC43" i="7"/>
  <c r="AP43" i="7"/>
  <c r="AC43" i="7"/>
  <c r="P43" i="7"/>
  <c r="C43" i="7"/>
  <c r="B43" i="7"/>
  <c r="BP42" i="7"/>
  <c r="BC42" i="7"/>
  <c r="AP42" i="7"/>
  <c r="AC42" i="7"/>
  <c r="P42" i="7"/>
  <c r="C42" i="7"/>
  <c r="B42" i="7"/>
  <c r="BP41" i="7"/>
  <c r="BC41" i="7"/>
  <c r="AP41" i="7"/>
  <c r="AC41" i="7"/>
  <c r="P41" i="7"/>
  <c r="C41" i="7"/>
  <c r="B41" i="7"/>
  <c r="BP40" i="7"/>
  <c r="BC40" i="7"/>
  <c r="AP40" i="7"/>
  <c r="AC40" i="7"/>
  <c r="P40" i="7"/>
  <c r="BQ40" i="7" s="1"/>
  <c r="H40" i="11" s="1"/>
  <c r="C40" i="7"/>
  <c r="B40" i="7"/>
  <c r="BP39" i="7"/>
  <c r="BC39" i="7"/>
  <c r="AP39" i="7"/>
  <c r="AC39" i="7"/>
  <c r="P39" i="7"/>
  <c r="C39" i="7"/>
  <c r="B39" i="7"/>
  <c r="BP38" i="7"/>
  <c r="BC38" i="7"/>
  <c r="AP38" i="7"/>
  <c r="AC38" i="7"/>
  <c r="P38" i="7"/>
  <c r="BQ38" i="7" s="1"/>
  <c r="H38" i="11" s="1"/>
  <c r="C38" i="7"/>
  <c r="B38" i="7"/>
  <c r="BP37" i="7"/>
  <c r="BC37" i="7"/>
  <c r="AP37" i="7"/>
  <c r="AC37" i="7"/>
  <c r="P37" i="7"/>
  <c r="C37" i="7"/>
  <c r="B37" i="7"/>
  <c r="BP36" i="7"/>
  <c r="BC36" i="7"/>
  <c r="AP36" i="7"/>
  <c r="AC36" i="7"/>
  <c r="P36" i="7"/>
  <c r="BQ36" i="7" s="1"/>
  <c r="H36" i="11" s="1"/>
  <c r="C36" i="7"/>
  <c r="B36" i="7"/>
  <c r="BP35" i="7"/>
  <c r="BC35" i="7"/>
  <c r="AP35" i="7"/>
  <c r="AC35" i="7"/>
  <c r="P35" i="7"/>
  <c r="C35" i="7"/>
  <c r="B35" i="7"/>
  <c r="BP34" i="7"/>
  <c r="BC34" i="7"/>
  <c r="AP34" i="7"/>
  <c r="AC34" i="7"/>
  <c r="P34" i="7"/>
  <c r="BQ34" i="7" s="1"/>
  <c r="H34" i="11" s="1"/>
  <c r="C34" i="7"/>
  <c r="B34" i="7"/>
  <c r="BP33" i="7"/>
  <c r="BC33" i="7"/>
  <c r="AP33" i="7"/>
  <c r="AC33" i="7"/>
  <c r="P33" i="7"/>
  <c r="C33" i="7"/>
  <c r="B33" i="7"/>
  <c r="BP32" i="7"/>
  <c r="BC32" i="7"/>
  <c r="AP32" i="7"/>
  <c r="AC32" i="7"/>
  <c r="P32" i="7"/>
  <c r="C32" i="7"/>
  <c r="B32" i="7"/>
  <c r="BP31" i="7"/>
  <c r="BC31" i="7"/>
  <c r="AP31" i="7"/>
  <c r="AC31" i="7"/>
  <c r="P31" i="7"/>
  <c r="C31" i="7"/>
  <c r="B31" i="7"/>
  <c r="BP30" i="7"/>
  <c r="BC30" i="7"/>
  <c r="AP30" i="7"/>
  <c r="AC30" i="7"/>
  <c r="P30" i="7"/>
  <c r="C30" i="7"/>
  <c r="B30" i="7"/>
  <c r="BP29" i="7"/>
  <c r="BC29" i="7"/>
  <c r="AP29" i="7"/>
  <c r="AC29" i="7"/>
  <c r="P29" i="7"/>
  <c r="C29" i="7"/>
  <c r="B29" i="7"/>
  <c r="BP28" i="7"/>
  <c r="BC28" i="7"/>
  <c r="AP28" i="7"/>
  <c r="AC28" i="7"/>
  <c r="P28" i="7"/>
  <c r="BQ28" i="7" s="1"/>
  <c r="H28" i="11" s="1"/>
  <c r="C28" i="7"/>
  <c r="B28" i="7"/>
  <c r="BP27" i="7"/>
  <c r="BC27" i="7"/>
  <c r="AP27" i="7"/>
  <c r="AC27" i="7"/>
  <c r="P27" i="7"/>
  <c r="C27" i="7"/>
  <c r="B27" i="7"/>
  <c r="BP26" i="7"/>
  <c r="BC26" i="7"/>
  <c r="AP26" i="7"/>
  <c r="AC26" i="7"/>
  <c r="P26" i="7"/>
  <c r="C26" i="7"/>
  <c r="B26" i="7"/>
  <c r="BP25" i="7"/>
  <c r="BC25" i="7"/>
  <c r="AP25" i="7"/>
  <c r="AC25" i="7"/>
  <c r="P25" i="7"/>
  <c r="C25" i="7"/>
  <c r="B25" i="7"/>
  <c r="BP24" i="7"/>
  <c r="BC24" i="7"/>
  <c r="AP24" i="7"/>
  <c r="AC24" i="7"/>
  <c r="P24" i="7"/>
  <c r="BQ24" i="7" s="1"/>
  <c r="H24" i="11" s="1"/>
  <c r="C24" i="7"/>
  <c r="B24" i="7"/>
  <c r="BP23" i="7"/>
  <c r="BC23" i="7"/>
  <c r="AP23" i="7"/>
  <c r="AC23" i="7"/>
  <c r="BQ23" i="7" s="1"/>
  <c r="H23" i="11" s="1"/>
  <c r="P23" i="7"/>
  <c r="C23" i="7"/>
  <c r="B23" i="7"/>
  <c r="BP22" i="7"/>
  <c r="BC22" i="7"/>
  <c r="AP22" i="7"/>
  <c r="AC22" i="7"/>
  <c r="P22" i="7"/>
  <c r="BQ22" i="7" s="1"/>
  <c r="H22" i="11" s="1"/>
  <c r="C22" i="7"/>
  <c r="B22" i="7"/>
  <c r="BP21" i="7"/>
  <c r="BC21" i="7"/>
  <c r="AP21" i="7"/>
  <c r="AC21" i="7"/>
  <c r="BQ21" i="7" s="1"/>
  <c r="H21" i="11" s="1"/>
  <c r="P21" i="7"/>
  <c r="C21" i="7"/>
  <c r="B21" i="7"/>
  <c r="BP20" i="7"/>
  <c r="BC20" i="7"/>
  <c r="AP20" i="7"/>
  <c r="AC20" i="7"/>
  <c r="P20" i="7"/>
  <c r="BQ20" i="7" s="1"/>
  <c r="H20" i="11" s="1"/>
  <c r="C20" i="7"/>
  <c r="B20" i="7"/>
  <c r="BP19" i="7"/>
  <c r="BC19" i="7"/>
  <c r="AP19" i="7"/>
  <c r="AC19" i="7"/>
  <c r="P19" i="7"/>
  <c r="C19" i="7"/>
  <c r="B19" i="7"/>
  <c r="BP18" i="7"/>
  <c r="BC18" i="7"/>
  <c r="AP18" i="7"/>
  <c r="AC18" i="7"/>
  <c r="P18" i="7"/>
  <c r="BQ18" i="7" s="1"/>
  <c r="H18" i="11" s="1"/>
  <c r="C18" i="7"/>
  <c r="B18" i="7"/>
  <c r="BP17" i="7"/>
  <c r="BC17" i="7"/>
  <c r="AP17" i="7"/>
  <c r="AC17" i="7"/>
  <c r="BQ17" i="7" s="1"/>
  <c r="H17" i="11" s="1"/>
  <c r="P17" i="7"/>
  <c r="C17" i="7"/>
  <c r="B17" i="7"/>
  <c r="BP16" i="7"/>
  <c r="BC16" i="7"/>
  <c r="AP16" i="7"/>
  <c r="AC16" i="7"/>
  <c r="P16" i="7"/>
  <c r="C16" i="7"/>
  <c r="B16" i="7"/>
  <c r="BP15" i="7"/>
  <c r="BC15" i="7"/>
  <c r="AP15" i="7"/>
  <c r="AC15" i="7"/>
  <c r="BQ15" i="7" s="1"/>
  <c r="H15" i="11" s="1"/>
  <c r="P15" i="7"/>
  <c r="C15" i="7"/>
  <c r="B15" i="7"/>
  <c r="BP14" i="7"/>
  <c r="BC14" i="7"/>
  <c r="AP14" i="7"/>
  <c r="AC14" i="7"/>
  <c r="P14" i="7"/>
  <c r="BQ14" i="7" s="1"/>
  <c r="H14" i="11" s="1"/>
  <c r="C14" i="7"/>
  <c r="B14" i="7"/>
  <c r="BP13" i="7"/>
  <c r="BC13" i="7"/>
  <c r="AP13" i="7"/>
  <c r="AC13" i="7"/>
  <c r="BQ13" i="7" s="1"/>
  <c r="H13" i="11" s="1"/>
  <c r="P13" i="7"/>
  <c r="C13" i="7"/>
  <c r="B13" i="7"/>
  <c r="BP12" i="7"/>
  <c r="BC12" i="7"/>
  <c r="AP12" i="7"/>
  <c r="AC12" i="7"/>
  <c r="P12" i="7"/>
  <c r="BQ12" i="7" s="1"/>
  <c r="H12" i="11" s="1"/>
  <c r="C12" i="7"/>
  <c r="B12" i="7"/>
  <c r="BP11" i="7"/>
  <c r="BC11" i="7"/>
  <c r="AP11" i="7"/>
  <c r="AC11" i="7"/>
  <c r="BQ11" i="7" s="1"/>
  <c r="H11" i="11" s="1"/>
  <c r="P11" i="7"/>
  <c r="C11" i="7"/>
  <c r="B11" i="7"/>
  <c r="BP10" i="7"/>
  <c r="BC10" i="7"/>
  <c r="AP10" i="7"/>
  <c r="AC10" i="7"/>
  <c r="P10" i="7"/>
  <c r="C10" i="7"/>
  <c r="B10" i="7"/>
  <c r="BP9" i="7"/>
  <c r="BC9" i="7"/>
  <c r="AP9" i="7"/>
  <c r="AC9" i="7"/>
  <c r="BQ9" i="7" s="1"/>
  <c r="H9" i="11" s="1"/>
  <c r="P9" i="7"/>
  <c r="C9" i="7"/>
  <c r="B9" i="7"/>
  <c r="BP8" i="7"/>
  <c r="BC8" i="7"/>
  <c r="AP8" i="7"/>
  <c r="AC8" i="7"/>
  <c r="P8" i="7"/>
  <c r="BQ8" i="7" s="1"/>
  <c r="H8" i="11" s="1"/>
  <c r="C8" i="7"/>
  <c r="B8" i="7"/>
  <c r="BP7" i="7"/>
  <c r="BC7" i="7"/>
  <c r="AP7" i="7"/>
  <c r="AC7" i="7"/>
  <c r="BQ7" i="7" s="1"/>
  <c r="H7" i="11" s="1"/>
  <c r="P7" i="7"/>
  <c r="C7" i="7"/>
  <c r="B7" i="7"/>
  <c r="BP6" i="7"/>
  <c r="BC6" i="7"/>
  <c r="AP6" i="7"/>
  <c r="AC6" i="7"/>
  <c r="P6" i="7"/>
  <c r="BQ6" i="7" s="1"/>
  <c r="H6" i="11" s="1"/>
  <c r="C6" i="7"/>
  <c r="B6" i="7"/>
  <c r="BP5" i="7"/>
  <c r="BC5" i="7"/>
  <c r="AP5" i="7"/>
  <c r="AC5" i="7"/>
  <c r="BQ5" i="7" s="1"/>
  <c r="H5" i="11" s="1"/>
  <c r="P5" i="7"/>
  <c r="C5" i="7"/>
  <c r="B5" i="7"/>
  <c r="BQ4" i="7"/>
  <c r="H4" i="11" s="1"/>
  <c r="C4" i="7"/>
  <c r="B4" i="7"/>
  <c r="R103" i="6"/>
  <c r="S103" i="6" s="1"/>
  <c r="G103" i="11" s="1"/>
  <c r="Q103" i="6"/>
  <c r="O103" i="6"/>
  <c r="N103" i="6"/>
  <c r="L103" i="6"/>
  <c r="K103" i="6"/>
  <c r="I103" i="6"/>
  <c r="H103" i="6"/>
  <c r="F103" i="6"/>
  <c r="E103" i="6"/>
  <c r="C103" i="6"/>
  <c r="B103" i="6"/>
  <c r="R102" i="6"/>
  <c r="Q102" i="6"/>
  <c r="O102" i="6"/>
  <c r="N102" i="6"/>
  <c r="L102" i="6"/>
  <c r="K102" i="6"/>
  <c r="I102" i="6"/>
  <c r="H102" i="6"/>
  <c r="F102" i="6"/>
  <c r="S102" i="6" s="1"/>
  <c r="G102" i="11" s="1"/>
  <c r="E102" i="6"/>
  <c r="C102" i="6"/>
  <c r="B102" i="6"/>
  <c r="R101" i="6"/>
  <c r="Q101" i="6"/>
  <c r="O101" i="6"/>
  <c r="N101" i="6"/>
  <c r="L101" i="6"/>
  <c r="K101" i="6"/>
  <c r="I101" i="6"/>
  <c r="H101" i="6"/>
  <c r="F101" i="6"/>
  <c r="S101" i="6" s="1"/>
  <c r="G101" i="11" s="1"/>
  <c r="E101" i="6"/>
  <c r="C101" i="6"/>
  <c r="B101" i="6"/>
  <c r="R100" i="6"/>
  <c r="Q100" i="6"/>
  <c r="O100" i="6"/>
  <c r="N100" i="6"/>
  <c r="L100" i="6"/>
  <c r="K100" i="6"/>
  <c r="I100" i="6"/>
  <c r="H100" i="6"/>
  <c r="F100" i="6"/>
  <c r="S100" i="6" s="1"/>
  <c r="G100" i="11" s="1"/>
  <c r="E100" i="6"/>
  <c r="C100" i="6"/>
  <c r="B100" i="6"/>
  <c r="R99" i="6"/>
  <c r="Q99" i="6"/>
  <c r="O99" i="6"/>
  <c r="N99" i="6"/>
  <c r="L99" i="6"/>
  <c r="K99" i="6"/>
  <c r="I99" i="6"/>
  <c r="H99" i="6"/>
  <c r="F99" i="6"/>
  <c r="E99" i="6"/>
  <c r="C99" i="6"/>
  <c r="B99" i="6"/>
  <c r="R98" i="6"/>
  <c r="Q98" i="6"/>
  <c r="O98" i="6"/>
  <c r="N98" i="6"/>
  <c r="L98" i="6"/>
  <c r="S98" i="6" s="1"/>
  <c r="G98" i="11" s="1"/>
  <c r="K98" i="6"/>
  <c r="I98" i="6"/>
  <c r="H98" i="6"/>
  <c r="F98" i="6"/>
  <c r="E98" i="6"/>
  <c r="C98" i="6"/>
  <c r="B98" i="6"/>
  <c r="R97" i="6"/>
  <c r="Q97" i="6"/>
  <c r="O97" i="6"/>
  <c r="N97" i="6"/>
  <c r="L97" i="6"/>
  <c r="K97" i="6"/>
  <c r="I97" i="6"/>
  <c r="S97" i="6" s="1"/>
  <c r="G97" i="11" s="1"/>
  <c r="H97" i="6"/>
  <c r="F97" i="6"/>
  <c r="E97" i="6"/>
  <c r="C97" i="6"/>
  <c r="B97" i="6"/>
  <c r="R96" i="6"/>
  <c r="Q96" i="6"/>
  <c r="O96" i="6"/>
  <c r="N96" i="6"/>
  <c r="L96" i="6"/>
  <c r="K96" i="6"/>
  <c r="I96" i="6"/>
  <c r="S96" i="6" s="1"/>
  <c r="G96" i="11" s="1"/>
  <c r="H96" i="6"/>
  <c r="F96" i="6"/>
  <c r="E96" i="6"/>
  <c r="C96" i="6"/>
  <c r="B96" i="6"/>
  <c r="R95" i="6"/>
  <c r="Q95" i="6"/>
  <c r="O95" i="6"/>
  <c r="N95" i="6"/>
  <c r="L95" i="6"/>
  <c r="K95" i="6"/>
  <c r="I95" i="6"/>
  <c r="H95" i="6"/>
  <c r="F95" i="6"/>
  <c r="E95" i="6"/>
  <c r="C95" i="6"/>
  <c r="B95" i="6"/>
  <c r="R94" i="6"/>
  <c r="S94" i="6" s="1"/>
  <c r="G94" i="11" s="1"/>
  <c r="Q94" i="6"/>
  <c r="O94" i="6"/>
  <c r="N94" i="6"/>
  <c r="L94" i="6"/>
  <c r="K94" i="6"/>
  <c r="I94" i="6"/>
  <c r="H94" i="6"/>
  <c r="F94" i="6"/>
  <c r="E94" i="6"/>
  <c r="C94" i="6"/>
  <c r="B94" i="6"/>
  <c r="R93" i="6"/>
  <c r="Q93" i="6"/>
  <c r="O93" i="6"/>
  <c r="N93" i="6"/>
  <c r="L93" i="6"/>
  <c r="K93" i="6"/>
  <c r="I93" i="6"/>
  <c r="H93" i="6"/>
  <c r="F93" i="6"/>
  <c r="S93" i="6" s="1"/>
  <c r="G93" i="11" s="1"/>
  <c r="E93" i="6"/>
  <c r="C93" i="6"/>
  <c r="B93" i="6"/>
  <c r="R92" i="6"/>
  <c r="Q92" i="6"/>
  <c r="O92" i="6"/>
  <c r="N92" i="6"/>
  <c r="L92" i="6"/>
  <c r="K92" i="6"/>
  <c r="I92" i="6"/>
  <c r="S92" i="6" s="1"/>
  <c r="G92" i="11" s="1"/>
  <c r="H92" i="6"/>
  <c r="F92" i="6"/>
  <c r="E92" i="6"/>
  <c r="C92" i="6"/>
  <c r="B92" i="6"/>
  <c r="R91" i="6"/>
  <c r="Q91" i="6"/>
  <c r="O91" i="6"/>
  <c r="N91" i="6"/>
  <c r="L91" i="6"/>
  <c r="K91" i="6"/>
  <c r="I91" i="6"/>
  <c r="H91" i="6"/>
  <c r="F91" i="6"/>
  <c r="E91" i="6"/>
  <c r="C91" i="6"/>
  <c r="B91" i="6"/>
  <c r="S90" i="6"/>
  <c r="G90" i="11" s="1"/>
  <c r="R90" i="6"/>
  <c r="Q90" i="6"/>
  <c r="O90" i="6"/>
  <c r="N90" i="6"/>
  <c r="L90" i="6"/>
  <c r="K90" i="6"/>
  <c r="I90" i="6"/>
  <c r="H90" i="6"/>
  <c r="F90" i="6"/>
  <c r="E90" i="6"/>
  <c r="C90" i="6"/>
  <c r="B90" i="6"/>
  <c r="R89" i="6"/>
  <c r="Q89" i="6"/>
  <c r="O89" i="6"/>
  <c r="N89" i="6"/>
  <c r="L89" i="6"/>
  <c r="S89" i="6" s="1"/>
  <c r="G89" i="11" s="1"/>
  <c r="K89" i="6"/>
  <c r="I89" i="6"/>
  <c r="H89" i="6"/>
  <c r="F89" i="6"/>
  <c r="E89" i="6"/>
  <c r="C89" i="6"/>
  <c r="B89" i="6"/>
  <c r="R88" i="6"/>
  <c r="Q88" i="6"/>
  <c r="O88" i="6"/>
  <c r="S88" i="6" s="1"/>
  <c r="G88" i="11" s="1"/>
  <c r="N88" i="6"/>
  <c r="L88" i="6"/>
  <c r="K88" i="6"/>
  <c r="I88" i="6"/>
  <c r="H88" i="6"/>
  <c r="F88" i="6"/>
  <c r="E88" i="6"/>
  <c r="C88" i="6"/>
  <c r="B88" i="6"/>
  <c r="R87" i="6"/>
  <c r="Q87" i="6"/>
  <c r="O87" i="6"/>
  <c r="N87" i="6"/>
  <c r="L87" i="6"/>
  <c r="K87" i="6"/>
  <c r="I87" i="6"/>
  <c r="H87" i="6"/>
  <c r="F87" i="6"/>
  <c r="S87" i="6" s="1"/>
  <c r="G87" i="11" s="1"/>
  <c r="E87" i="6"/>
  <c r="C87" i="6"/>
  <c r="B87" i="6"/>
  <c r="R86" i="6"/>
  <c r="Q86" i="6"/>
  <c r="O86" i="6"/>
  <c r="N86" i="6"/>
  <c r="L86" i="6"/>
  <c r="K86" i="6"/>
  <c r="I86" i="6"/>
  <c r="H86" i="6"/>
  <c r="F86" i="6"/>
  <c r="E86" i="6"/>
  <c r="C86" i="6"/>
  <c r="B86" i="6"/>
  <c r="R85" i="6"/>
  <c r="Q85" i="6"/>
  <c r="O85" i="6"/>
  <c r="N85" i="6"/>
  <c r="L85" i="6"/>
  <c r="K85" i="6"/>
  <c r="I85" i="6"/>
  <c r="H85" i="6"/>
  <c r="F85" i="6"/>
  <c r="E85" i="6"/>
  <c r="C85" i="6"/>
  <c r="B85" i="6"/>
  <c r="R84" i="6"/>
  <c r="Q84" i="6"/>
  <c r="O84" i="6"/>
  <c r="N84" i="6"/>
  <c r="L84" i="6"/>
  <c r="K84" i="6"/>
  <c r="I84" i="6"/>
  <c r="H84" i="6"/>
  <c r="F84" i="6"/>
  <c r="S84" i="6" s="1"/>
  <c r="G84" i="11" s="1"/>
  <c r="E84" i="6"/>
  <c r="C84" i="6"/>
  <c r="B84" i="6"/>
  <c r="R83" i="6"/>
  <c r="Q83" i="6"/>
  <c r="O83" i="6"/>
  <c r="N83" i="6"/>
  <c r="L83" i="6"/>
  <c r="K83" i="6"/>
  <c r="I83" i="6"/>
  <c r="H83" i="6"/>
  <c r="F83" i="6"/>
  <c r="E83" i="6"/>
  <c r="C83" i="6"/>
  <c r="B83" i="6"/>
  <c r="R82" i="6"/>
  <c r="S82" i="6" s="1"/>
  <c r="G82" i="11" s="1"/>
  <c r="Q82" i="6"/>
  <c r="O82" i="6"/>
  <c r="N82" i="6"/>
  <c r="L82" i="6"/>
  <c r="K82" i="6"/>
  <c r="I82" i="6"/>
  <c r="H82" i="6"/>
  <c r="F82" i="6"/>
  <c r="E82" i="6"/>
  <c r="C82" i="6"/>
  <c r="B82" i="6"/>
  <c r="R81" i="6"/>
  <c r="Q81" i="6"/>
  <c r="O81" i="6"/>
  <c r="N81" i="6"/>
  <c r="L81" i="6"/>
  <c r="K81" i="6"/>
  <c r="I81" i="6"/>
  <c r="H81" i="6"/>
  <c r="F81" i="6"/>
  <c r="E81" i="6"/>
  <c r="C81" i="6"/>
  <c r="B81" i="6"/>
  <c r="R80" i="6"/>
  <c r="Q80" i="6"/>
  <c r="O80" i="6"/>
  <c r="N80" i="6"/>
  <c r="L80" i="6"/>
  <c r="K80" i="6"/>
  <c r="I80" i="6"/>
  <c r="S80" i="6" s="1"/>
  <c r="G80" i="11" s="1"/>
  <c r="H80" i="6"/>
  <c r="F80" i="6"/>
  <c r="E80" i="6"/>
  <c r="C80" i="6"/>
  <c r="B80" i="6"/>
  <c r="R79" i="6"/>
  <c r="Q79" i="6"/>
  <c r="O79" i="6"/>
  <c r="N79" i="6"/>
  <c r="L79" i="6"/>
  <c r="K79" i="6"/>
  <c r="I79" i="6"/>
  <c r="H79" i="6"/>
  <c r="F79" i="6"/>
  <c r="S79" i="6" s="1"/>
  <c r="G79" i="11" s="1"/>
  <c r="E79" i="6"/>
  <c r="C79" i="6"/>
  <c r="B79" i="6"/>
  <c r="R78" i="6"/>
  <c r="S78" i="6" s="1"/>
  <c r="G78" i="11" s="1"/>
  <c r="Q78" i="6"/>
  <c r="O78" i="6"/>
  <c r="N78" i="6"/>
  <c r="L78" i="6"/>
  <c r="K78" i="6"/>
  <c r="I78" i="6"/>
  <c r="H78" i="6"/>
  <c r="F78" i="6"/>
  <c r="E78" i="6"/>
  <c r="C78" i="6"/>
  <c r="B78" i="6"/>
  <c r="S77" i="6"/>
  <c r="G77" i="11" s="1"/>
  <c r="R77" i="6"/>
  <c r="Q77" i="6"/>
  <c r="O77" i="6"/>
  <c r="N77" i="6"/>
  <c r="L77" i="6"/>
  <c r="K77" i="6"/>
  <c r="I77" i="6"/>
  <c r="H77" i="6"/>
  <c r="F77" i="6"/>
  <c r="E77" i="6"/>
  <c r="C77" i="6"/>
  <c r="B77" i="6"/>
  <c r="R76" i="6"/>
  <c r="Q76" i="6"/>
  <c r="O76" i="6"/>
  <c r="N76" i="6"/>
  <c r="L76" i="6"/>
  <c r="K76" i="6"/>
  <c r="I76" i="6"/>
  <c r="S76" i="6" s="1"/>
  <c r="G76" i="11" s="1"/>
  <c r="H76" i="6"/>
  <c r="F76" i="6"/>
  <c r="E76" i="6"/>
  <c r="C76" i="6"/>
  <c r="B76" i="6"/>
  <c r="R75" i="6"/>
  <c r="Q75" i="6"/>
  <c r="O75" i="6"/>
  <c r="N75" i="6"/>
  <c r="L75" i="6"/>
  <c r="K75" i="6"/>
  <c r="I75" i="6"/>
  <c r="H75" i="6"/>
  <c r="F75" i="6"/>
  <c r="S75" i="6" s="1"/>
  <c r="G75" i="11" s="1"/>
  <c r="E75" i="6"/>
  <c r="C75" i="6"/>
  <c r="B75" i="6"/>
  <c r="R74" i="6"/>
  <c r="Q74" i="6"/>
  <c r="O74" i="6"/>
  <c r="N74" i="6"/>
  <c r="L74" i="6"/>
  <c r="K74" i="6"/>
  <c r="I74" i="6"/>
  <c r="H74" i="6"/>
  <c r="F74" i="6"/>
  <c r="S74" i="6" s="1"/>
  <c r="G74" i="11" s="1"/>
  <c r="E74" i="6"/>
  <c r="C74" i="6"/>
  <c r="B74" i="6"/>
  <c r="S73" i="6"/>
  <c r="G73" i="11" s="1"/>
  <c r="R73" i="6"/>
  <c r="Q73" i="6"/>
  <c r="O73" i="6"/>
  <c r="N73" i="6"/>
  <c r="L73" i="6"/>
  <c r="K73" i="6"/>
  <c r="I73" i="6"/>
  <c r="H73" i="6"/>
  <c r="F73" i="6"/>
  <c r="E73" i="6"/>
  <c r="C73" i="6"/>
  <c r="B73" i="6"/>
  <c r="R72" i="6"/>
  <c r="Q72" i="6"/>
  <c r="O72" i="6"/>
  <c r="S72" i="6" s="1"/>
  <c r="G72" i="11" s="1"/>
  <c r="N72" i="6"/>
  <c r="L72" i="6"/>
  <c r="K72" i="6"/>
  <c r="I72" i="6"/>
  <c r="H72" i="6"/>
  <c r="F72" i="6"/>
  <c r="E72" i="6"/>
  <c r="C72" i="6"/>
  <c r="B72" i="6"/>
  <c r="R71" i="6"/>
  <c r="Q71" i="6"/>
  <c r="O71" i="6"/>
  <c r="N71" i="6"/>
  <c r="L71" i="6"/>
  <c r="K71" i="6"/>
  <c r="I71" i="6"/>
  <c r="H71" i="6"/>
  <c r="F71" i="6"/>
  <c r="S71" i="6" s="1"/>
  <c r="G71" i="11" s="1"/>
  <c r="E71" i="6"/>
  <c r="C71" i="6"/>
  <c r="B71" i="6"/>
  <c r="R70" i="6"/>
  <c r="Q70" i="6"/>
  <c r="O70" i="6"/>
  <c r="N70" i="6"/>
  <c r="L70" i="6"/>
  <c r="K70" i="6"/>
  <c r="I70" i="6"/>
  <c r="H70" i="6"/>
  <c r="F70" i="6"/>
  <c r="S70" i="6" s="1"/>
  <c r="G70" i="11" s="1"/>
  <c r="E70" i="6"/>
  <c r="C70" i="6"/>
  <c r="B70" i="6"/>
  <c r="R69" i="6"/>
  <c r="Q69" i="6"/>
  <c r="O69" i="6"/>
  <c r="N69" i="6"/>
  <c r="L69" i="6"/>
  <c r="K69" i="6"/>
  <c r="I69" i="6"/>
  <c r="H69" i="6"/>
  <c r="F69" i="6"/>
  <c r="E69" i="6"/>
  <c r="C69" i="6"/>
  <c r="B69" i="6"/>
  <c r="R68" i="6"/>
  <c r="Q68" i="6"/>
  <c r="O68" i="6"/>
  <c r="N68" i="6"/>
  <c r="L68" i="6"/>
  <c r="K68" i="6"/>
  <c r="I68" i="6"/>
  <c r="H68" i="6"/>
  <c r="F68" i="6"/>
  <c r="S68" i="6" s="1"/>
  <c r="G68" i="11" s="1"/>
  <c r="E68" i="6"/>
  <c r="C68" i="6"/>
  <c r="B68" i="6"/>
  <c r="R67" i="6"/>
  <c r="Q67" i="6"/>
  <c r="O67" i="6"/>
  <c r="N67" i="6"/>
  <c r="L67" i="6"/>
  <c r="K67" i="6"/>
  <c r="I67" i="6"/>
  <c r="S67" i="6" s="1"/>
  <c r="G67" i="11" s="1"/>
  <c r="H67" i="6"/>
  <c r="F67" i="6"/>
  <c r="E67" i="6"/>
  <c r="C67" i="6"/>
  <c r="B67" i="6"/>
  <c r="R66" i="6"/>
  <c r="Q66" i="6"/>
  <c r="O66" i="6"/>
  <c r="N66" i="6"/>
  <c r="L66" i="6"/>
  <c r="S66" i="6" s="1"/>
  <c r="G66" i="11" s="1"/>
  <c r="K66" i="6"/>
  <c r="I66" i="6"/>
  <c r="H66" i="6"/>
  <c r="F66" i="6"/>
  <c r="E66" i="6"/>
  <c r="C66" i="6"/>
  <c r="B66" i="6"/>
  <c r="R65" i="6"/>
  <c r="Q65" i="6"/>
  <c r="O65" i="6"/>
  <c r="N65" i="6"/>
  <c r="L65" i="6"/>
  <c r="K65" i="6"/>
  <c r="I65" i="6"/>
  <c r="H65" i="6"/>
  <c r="F65" i="6"/>
  <c r="E65" i="6"/>
  <c r="C65" i="6"/>
  <c r="B65" i="6"/>
  <c r="S64" i="6"/>
  <c r="G64" i="11" s="1"/>
  <c r="R64" i="6"/>
  <c r="Q64" i="6"/>
  <c r="O64" i="6"/>
  <c r="N64" i="6"/>
  <c r="L64" i="6"/>
  <c r="K64" i="6"/>
  <c r="I64" i="6"/>
  <c r="H64" i="6"/>
  <c r="F64" i="6"/>
  <c r="E64" i="6"/>
  <c r="C64" i="6"/>
  <c r="B64" i="6"/>
  <c r="R63" i="6"/>
  <c r="Q63" i="6"/>
  <c r="O63" i="6"/>
  <c r="N63" i="6"/>
  <c r="L63" i="6"/>
  <c r="K63" i="6"/>
  <c r="I63" i="6"/>
  <c r="H63" i="6"/>
  <c r="F63" i="6"/>
  <c r="E63" i="6"/>
  <c r="C63" i="6"/>
  <c r="B63" i="6"/>
  <c r="R62" i="6"/>
  <c r="S62" i="6" s="1"/>
  <c r="G62" i="11" s="1"/>
  <c r="Q62" i="6"/>
  <c r="O62" i="6"/>
  <c r="N62" i="6"/>
  <c r="L62" i="6"/>
  <c r="K62" i="6"/>
  <c r="I62" i="6"/>
  <c r="H62" i="6"/>
  <c r="F62" i="6"/>
  <c r="E62" i="6"/>
  <c r="C62" i="6"/>
  <c r="B62" i="6"/>
  <c r="R61" i="6"/>
  <c r="Q61" i="6"/>
  <c r="O61" i="6"/>
  <c r="N61" i="6"/>
  <c r="L61" i="6"/>
  <c r="K61" i="6"/>
  <c r="I61" i="6"/>
  <c r="H61" i="6"/>
  <c r="F61" i="6"/>
  <c r="S61" i="6" s="1"/>
  <c r="G61" i="11" s="1"/>
  <c r="E61" i="6"/>
  <c r="C61" i="6"/>
  <c r="B61" i="6"/>
  <c r="R60" i="6"/>
  <c r="Q60" i="6"/>
  <c r="O60" i="6"/>
  <c r="N60" i="6"/>
  <c r="L60" i="6"/>
  <c r="K60" i="6"/>
  <c r="I60" i="6"/>
  <c r="H60" i="6"/>
  <c r="F60" i="6"/>
  <c r="E60" i="6"/>
  <c r="C60" i="6"/>
  <c r="B60" i="6"/>
  <c r="R59" i="6"/>
  <c r="Q59" i="6"/>
  <c r="O59" i="6"/>
  <c r="N59" i="6"/>
  <c r="L59" i="6"/>
  <c r="K59" i="6"/>
  <c r="I59" i="6"/>
  <c r="H59" i="6"/>
  <c r="F59" i="6"/>
  <c r="E59" i="6"/>
  <c r="C59" i="6"/>
  <c r="B59" i="6"/>
  <c r="R58" i="6"/>
  <c r="Q58" i="6"/>
  <c r="O58" i="6"/>
  <c r="N58" i="6"/>
  <c r="L58" i="6"/>
  <c r="K58" i="6"/>
  <c r="I58" i="6"/>
  <c r="H58" i="6"/>
  <c r="F58" i="6"/>
  <c r="S58" i="6" s="1"/>
  <c r="G58" i="11" s="1"/>
  <c r="E58" i="6"/>
  <c r="C58" i="6"/>
  <c r="B58" i="6"/>
  <c r="R57" i="6"/>
  <c r="Q57" i="6"/>
  <c r="O57" i="6"/>
  <c r="N57" i="6"/>
  <c r="L57" i="6"/>
  <c r="S57" i="6" s="1"/>
  <c r="G57" i="11" s="1"/>
  <c r="K57" i="6"/>
  <c r="I57" i="6"/>
  <c r="H57" i="6"/>
  <c r="F57" i="6"/>
  <c r="E57" i="6"/>
  <c r="C57" i="6"/>
  <c r="B57" i="6"/>
  <c r="R56" i="6"/>
  <c r="Q56" i="6"/>
  <c r="O56" i="6"/>
  <c r="S56" i="6" s="1"/>
  <c r="G56" i="11" s="1"/>
  <c r="N56" i="6"/>
  <c r="L56" i="6"/>
  <c r="K56" i="6"/>
  <c r="I56" i="6"/>
  <c r="H56" i="6"/>
  <c r="F56" i="6"/>
  <c r="E56" i="6"/>
  <c r="C56" i="6"/>
  <c r="B56" i="6"/>
  <c r="R55" i="6"/>
  <c r="S55" i="6" s="1"/>
  <c r="G55" i="11" s="1"/>
  <c r="Q55" i="6"/>
  <c r="O55" i="6"/>
  <c r="N55" i="6"/>
  <c r="L55" i="6"/>
  <c r="K55" i="6"/>
  <c r="I55" i="6"/>
  <c r="H55" i="6"/>
  <c r="F55" i="6"/>
  <c r="E55" i="6"/>
  <c r="C55" i="6"/>
  <c r="B55" i="6"/>
  <c r="R54" i="6"/>
  <c r="Q54" i="6"/>
  <c r="O54" i="6"/>
  <c r="N54" i="6"/>
  <c r="L54" i="6"/>
  <c r="K54" i="6"/>
  <c r="I54" i="6"/>
  <c r="H54" i="6"/>
  <c r="F54" i="6"/>
  <c r="E54" i="6"/>
  <c r="C54" i="6"/>
  <c r="B54" i="6"/>
  <c r="R53" i="6"/>
  <c r="Q53" i="6"/>
  <c r="O53" i="6"/>
  <c r="N53" i="6"/>
  <c r="L53" i="6"/>
  <c r="K53" i="6"/>
  <c r="I53" i="6"/>
  <c r="H53" i="6"/>
  <c r="F53" i="6"/>
  <c r="S53" i="6" s="1"/>
  <c r="G53" i="11" s="1"/>
  <c r="E53" i="6"/>
  <c r="C53" i="6"/>
  <c r="B53" i="6"/>
  <c r="R52" i="6"/>
  <c r="Q52" i="6"/>
  <c r="O52" i="6"/>
  <c r="N52" i="6"/>
  <c r="L52" i="6"/>
  <c r="K52" i="6"/>
  <c r="I52" i="6"/>
  <c r="H52" i="6"/>
  <c r="F52" i="6"/>
  <c r="S52" i="6" s="1"/>
  <c r="G52" i="11" s="1"/>
  <c r="E52" i="6"/>
  <c r="C52" i="6"/>
  <c r="B52" i="6"/>
  <c r="R51" i="6"/>
  <c r="Q51" i="6"/>
  <c r="O51" i="6"/>
  <c r="N51" i="6"/>
  <c r="L51" i="6"/>
  <c r="K51" i="6"/>
  <c r="I51" i="6"/>
  <c r="S51" i="6" s="1"/>
  <c r="G51" i="11" s="1"/>
  <c r="H51" i="6"/>
  <c r="F51" i="6"/>
  <c r="E51" i="6"/>
  <c r="C51" i="6"/>
  <c r="B51" i="6"/>
  <c r="R50" i="6"/>
  <c r="Q50" i="6"/>
  <c r="O50" i="6"/>
  <c r="N50" i="6"/>
  <c r="L50" i="6"/>
  <c r="S50" i="6" s="1"/>
  <c r="G50" i="11" s="1"/>
  <c r="K50" i="6"/>
  <c r="I50" i="6"/>
  <c r="H50" i="6"/>
  <c r="F50" i="6"/>
  <c r="E50" i="6"/>
  <c r="C50" i="6"/>
  <c r="B50" i="6"/>
  <c r="Q49" i="6"/>
  <c r="R49" i="6" s="1"/>
  <c r="O49" i="6"/>
  <c r="N49" i="6"/>
  <c r="K49" i="6"/>
  <c r="L49" i="6" s="1"/>
  <c r="I49" i="6"/>
  <c r="H49" i="6"/>
  <c r="E49" i="6"/>
  <c r="F49" i="6" s="1"/>
  <c r="C49" i="6"/>
  <c r="B49" i="6"/>
  <c r="Q48" i="6"/>
  <c r="R48" i="6" s="1"/>
  <c r="N48" i="6"/>
  <c r="O48" i="6" s="1"/>
  <c r="K48" i="6"/>
  <c r="L48" i="6" s="1"/>
  <c r="H48" i="6"/>
  <c r="I48" i="6" s="1"/>
  <c r="E48" i="6"/>
  <c r="F48" i="6" s="1"/>
  <c r="C48" i="6"/>
  <c r="B48" i="6"/>
  <c r="Q47" i="6"/>
  <c r="R47" i="6" s="1"/>
  <c r="O47" i="6"/>
  <c r="N47" i="6"/>
  <c r="K47" i="6"/>
  <c r="L47" i="6" s="1"/>
  <c r="H47" i="6"/>
  <c r="I47" i="6" s="1"/>
  <c r="E47" i="6"/>
  <c r="F47" i="6" s="1"/>
  <c r="C47" i="6"/>
  <c r="B47" i="6"/>
  <c r="Q46" i="6"/>
  <c r="R46" i="6" s="1"/>
  <c r="N46" i="6"/>
  <c r="O46" i="6" s="1"/>
  <c r="K46" i="6"/>
  <c r="L46" i="6" s="1"/>
  <c r="H46" i="6"/>
  <c r="I46" i="6" s="1"/>
  <c r="E46" i="6"/>
  <c r="F46" i="6" s="1"/>
  <c r="C46" i="6"/>
  <c r="B46" i="6"/>
  <c r="Q45" i="6"/>
  <c r="R45" i="6" s="1"/>
  <c r="N45" i="6"/>
  <c r="O45" i="6" s="1"/>
  <c r="K45" i="6"/>
  <c r="L45" i="6" s="1"/>
  <c r="H45" i="6"/>
  <c r="I45" i="6" s="1"/>
  <c r="E45" i="6"/>
  <c r="F45" i="6" s="1"/>
  <c r="C45" i="6"/>
  <c r="B45" i="6"/>
  <c r="Q44" i="6"/>
  <c r="R44" i="6" s="1"/>
  <c r="N44" i="6"/>
  <c r="O44" i="6" s="1"/>
  <c r="K44" i="6"/>
  <c r="L44" i="6" s="1"/>
  <c r="I44" i="6"/>
  <c r="H44" i="6"/>
  <c r="E44" i="6"/>
  <c r="F44" i="6" s="1"/>
  <c r="C44" i="6"/>
  <c r="B44" i="6"/>
  <c r="Q43" i="6"/>
  <c r="R43" i="6" s="1"/>
  <c r="N43" i="6"/>
  <c r="O43" i="6" s="1"/>
  <c r="K43" i="6"/>
  <c r="L43" i="6" s="1"/>
  <c r="H43" i="6"/>
  <c r="I43" i="6" s="1"/>
  <c r="E43" i="6"/>
  <c r="F43" i="6" s="1"/>
  <c r="C43" i="6"/>
  <c r="B43" i="6"/>
  <c r="Q42" i="6"/>
  <c r="R42" i="6" s="1"/>
  <c r="N42" i="6"/>
  <c r="O42" i="6" s="1"/>
  <c r="K42" i="6"/>
  <c r="L42" i="6" s="1"/>
  <c r="H42" i="6"/>
  <c r="I42" i="6" s="1"/>
  <c r="E42" i="6"/>
  <c r="F42" i="6" s="1"/>
  <c r="C42" i="6"/>
  <c r="B42" i="6"/>
  <c r="Q41" i="6"/>
  <c r="R41" i="6" s="1"/>
  <c r="N41" i="6"/>
  <c r="O41" i="6" s="1"/>
  <c r="K41" i="6"/>
  <c r="L41" i="6" s="1"/>
  <c r="H41" i="6"/>
  <c r="I41" i="6" s="1"/>
  <c r="E41" i="6"/>
  <c r="F41" i="6" s="1"/>
  <c r="C41" i="6"/>
  <c r="B41" i="6"/>
  <c r="Q40" i="6"/>
  <c r="R40" i="6" s="1"/>
  <c r="N40" i="6"/>
  <c r="O40" i="6" s="1"/>
  <c r="L40" i="6"/>
  <c r="K40" i="6"/>
  <c r="H40" i="6"/>
  <c r="I40" i="6" s="1"/>
  <c r="E40" i="6"/>
  <c r="F40" i="6" s="1"/>
  <c r="C40" i="6"/>
  <c r="B40" i="6"/>
  <c r="Q39" i="6"/>
  <c r="R39" i="6" s="1"/>
  <c r="N39" i="6"/>
  <c r="O39" i="6" s="1"/>
  <c r="K39" i="6"/>
  <c r="L39" i="6" s="1"/>
  <c r="H39" i="6"/>
  <c r="I39" i="6" s="1"/>
  <c r="E39" i="6"/>
  <c r="F39" i="6" s="1"/>
  <c r="C39" i="6"/>
  <c r="B39" i="6"/>
  <c r="Q38" i="6"/>
  <c r="R38" i="6" s="1"/>
  <c r="N38" i="6"/>
  <c r="O38" i="6" s="1"/>
  <c r="K38" i="6"/>
  <c r="L38" i="6" s="1"/>
  <c r="H38" i="6"/>
  <c r="I38" i="6" s="1"/>
  <c r="E38" i="6"/>
  <c r="F38" i="6" s="1"/>
  <c r="C38" i="6"/>
  <c r="B38" i="6"/>
  <c r="Q37" i="6"/>
  <c r="R37" i="6" s="1"/>
  <c r="N37" i="6"/>
  <c r="O37" i="6" s="1"/>
  <c r="K37" i="6"/>
  <c r="L37" i="6" s="1"/>
  <c r="H37" i="6"/>
  <c r="I37" i="6" s="1"/>
  <c r="E37" i="6"/>
  <c r="F37" i="6" s="1"/>
  <c r="C37" i="6"/>
  <c r="B37" i="6"/>
  <c r="Q36" i="6"/>
  <c r="R36" i="6" s="1"/>
  <c r="N36" i="6"/>
  <c r="O36" i="6" s="1"/>
  <c r="K36" i="6"/>
  <c r="L36" i="6" s="1"/>
  <c r="H36" i="6"/>
  <c r="I36" i="6" s="1"/>
  <c r="E36" i="6"/>
  <c r="F36" i="6" s="1"/>
  <c r="C36" i="6"/>
  <c r="B36" i="6"/>
  <c r="R35" i="6"/>
  <c r="Q35" i="6"/>
  <c r="N35" i="6"/>
  <c r="O35" i="6" s="1"/>
  <c r="K35" i="6"/>
  <c r="L35" i="6" s="1"/>
  <c r="H35" i="6"/>
  <c r="I35" i="6" s="1"/>
  <c r="E35" i="6"/>
  <c r="F35" i="6" s="1"/>
  <c r="C35" i="6"/>
  <c r="B35" i="6"/>
  <c r="Q34" i="6"/>
  <c r="R34" i="6" s="1"/>
  <c r="N34" i="6"/>
  <c r="O34" i="6" s="1"/>
  <c r="K34" i="6"/>
  <c r="L34" i="6" s="1"/>
  <c r="H34" i="6"/>
  <c r="I34" i="6" s="1"/>
  <c r="E34" i="6"/>
  <c r="F34" i="6" s="1"/>
  <c r="C34" i="6"/>
  <c r="B34" i="6"/>
  <c r="Q33" i="6"/>
  <c r="R33" i="6" s="1"/>
  <c r="N33" i="6"/>
  <c r="O33" i="6" s="1"/>
  <c r="K33" i="6"/>
  <c r="L33" i="6" s="1"/>
  <c r="H33" i="6"/>
  <c r="I33" i="6" s="1"/>
  <c r="E33" i="6"/>
  <c r="F33" i="6" s="1"/>
  <c r="C33" i="6"/>
  <c r="B33" i="6"/>
  <c r="Q32" i="6"/>
  <c r="R32" i="6" s="1"/>
  <c r="N32" i="6"/>
  <c r="O32" i="6" s="1"/>
  <c r="K32" i="6"/>
  <c r="L32" i="6" s="1"/>
  <c r="H32" i="6"/>
  <c r="I32" i="6" s="1"/>
  <c r="E32" i="6"/>
  <c r="F32" i="6" s="1"/>
  <c r="C32" i="6"/>
  <c r="B32" i="6"/>
  <c r="Q31" i="6"/>
  <c r="R31" i="6" s="1"/>
  <c r="N31" i="6"/>
  <c r="O31" i="6" s="1"/>
  <c r="L31" i="6"/>
  <c r="K31" i="6"/>
  <c r="H31" i="6"/>
  <c r="I31" i="6" s="1"/>
  <c r="E31" i="6"/>
  <c r="F31" i="6" s="1"/>
  <c r="C31" i="6"/>
  <c r="B31" i="6"/>
  <c r="Q30" i="6"/>
  <c r="R30" i="6" s="1"/>
  <c r="N30" i="6"/>
  <c r="O30" i="6" s="1"/>
  <c r="K30" i="6"/>
  <c r="L30" i="6" s="1"/>
  <c r="H30" i="6"/>
  <c r="I30" i="6" s="1"/>
  <c r="E30" i="6"/>
  <c r="F30" i="6" s="1"/>
  <c r="C30" i="6"/>
  <c r="B30" i="6"/>
  <c r="Q29" i="6"/>
  <c r="R29" i="6" s="1"/>
  <c r="N29" i="6"/>
  <c r="O29" i="6" s="1"/>
  <c r="K29" i="6"/>
  <c r="L29" i="6" s="1"/>
  <c r="H29" i="6"/>
  <c r="I29" i="6" s="1"/>
  <c r="E29" i="6"/>
  <c r="F29" i="6" s="1"/>
  <c r="C29" i="6"/>
  <c r="B29" i="6"/>
  <c r="R28" i="6"/>
  <c r="Q28" i="6"/>
  <c r="O28" i="6"/>
  <c r="N28" i="6"/>
  <c r="K28" i="6"/>
  <c r="L28" i="6" s="1"/>
  <c r="H28" i="6"/>
  <c r="I28" i="6" s="1"/>
  <c r="E28" i="6"/>
  <c r="F28" i="6" s="1"/>
  <c r="C28" i="6"/>
  <c r="B28" i="6"/>
  <c r="Q27" i="6"/>
  <c r="R27" i="6" s="1"/>
  <c r="N27" i="6"/>
  <c r="O27" i="6" s="1"/>
  <c r="K27" i="6"/>
  <c r="L27" i="6" s="1"/>
  <c r="H27" i="6"/>
  <c r="I27" i="6" s="1"/>
  <c r="E27" i="6"/>
  <c r="F27" i="6" s="1"/>
  <c r="C27" i="6"/>
  <c r="B27" i="6"/>
  <c r="Q26" i="6"/>
  <c r="R26" i="6" s="1"/>
  <c r="N26" i="6"/>
  <c r="O26" i="6" s="1"/>
  <c r="K26" i="6"/>
  <c r="L26" i="6" s="1"/>
  <c r="H26" i="6"/>
  <c r="I26" i="6" s="1"/>
  <c r="E26" i="6"/>
  <c r="F26" i="6" s="1"/>
  <c r="C26" i="6"/>
  <c r="B26" i="6"/>
  <c r="Q25" i="6"/>
  <c r="R25" i="6" s="1"/>
  <c r="N25" i="6"/>
  <c r="O25" i="6" s="1"/>
  <c r="K25" i="6"/>
  <c r="L25" i="6" s="1"/>
  <c r="H25" i="6"/>
  <c r="I25" i="6" s="1"/>
  <c r="E25" i="6"/>
  <c r="F25" i="6" s="1"/>
  <c r="C25" i="6"/>
  <c r="B25" i="6"/>
  <c r="Q24" i="6"/>
  <c r="R24" i="6" s="1"/>
  <c r="N24" i="6"/>
  <c r="O24" i="6" s="1"/>
  <c r="K24" i="6"/>
  <c r="L24" i="6" s="1"/>
  <c r="H24" i="6"/>
  <c r="I24" i="6" s="1"/>
  <c r="E24" i="6"/>
  <c r="F24" i="6" s="1"/>
  <c r="C24" i="6"/>
  <c r="B24" i="6"/>
  <c r="R23" i="6"/>
  <c r="S23" i="6" s="1"/>
  <c r="G23" i="11" s="1"/>
  <c r="Q23" i="6"/>
  <c r="O23" i="6"/>
  <c r="N23" i="6"/>
  <c r="L23" i="6"/>
  <c r="K23" i="6"/>
  <c r="I23" i="6"/>
  <c r="H23" i="6"/>
  <c r="F23" i="6"/>
  <c r="E23" i="6"/>
  <c r="C23" i="6"/>
  <c r="B23" i="6"/>
  <c r="R22" i="6"/>
  <c r="Q22" i="6"/>
  <c r="O22" i="6"/>
  <c r="N22" i="6"/>
  <c r="L22" i="6"/>
  <c r="K22" i="6"/>
  <c r="I22" i="6"/>
  <c r="H22" i="6"/>
  <c r="F22" i="6"/>
  <c r="S22" i="6" s="1"/>
  <c r="G22" i="11" s="1"/>
  <c r="E22" i="6"/>
  <c r="C22" i="6"/>
  <c r="B22" i="6"/>
  <c r="R21" i="6"/>
  <c r="Q21" i="6"/>
  <c r="O21" i="6"/>
  <c r="N21" i="6"/>
  <c r="L21" i="6"/>
  <c r="K21" i="6"/>
  <c r="I21" i="6"/>
  <c r="H21" i="6"/>
  <c r="F21" i="6"/>
  <c r="S21" i="6" s="1"/>
  <c r="G21" i="11" s="1"/>
  <c r="E21" i="6"/>
  <c r="C21" i="6"/>
  <c r="B21" i="6"/>
  <c r="R20" i="6"/>
  <c r="Q20" i="6"/>
  <c r="O20" i="6"/>
  <c r="N20" i="6"/>
  <c r="L20" i="6"/>
  <c r="K20" i="6"/>
  <c r="I20" i="6"/>
  <c r="H20" i="6"/>
  <c r="F20" i="6"/>
  <c r="S20" i="6" s="1"/>
  <c r="G20" i="11" s="1"/>
  <c r="E20" i="6"/>
  <c r="C20" i="6"/>
  <c r="B20" i="6"/>
  <c r="R19" i="6"/>
  <c r="Q19" i="6"/>
  <c r="O19" i="6"/>
  <c r="N19" i="6"/>
  <c r="L19" i="6"/>
  <c r="K19" i="6"/>
  <c r="I19" i="6"/>
  <c r="S19" i="6" s="1"/>
  <c r="G19" i="11" s="1"/>
  <c r="H19" i="6"/>
  <c r="F19" i="6"/>
  <c r="E19" i="6"/>
  <c r="C19" i="6"/>
  <c r="B19" i="6"/>
  <c r="R18" i="6"/>
  <c r="Q18" i="6"/>
  <c r="O18" i="6"/>
  <c r="N18" i="6"/>
  <c r="L18" i="6"/>
  <c r="S18" i="6" s="1"/>
  <c r="G18" i="11" s="1"/>
  <c r="K18" i="6"/>
  <c r="I18" i="6"/>
  <c r="H18" i="6"/>
  <c r="F18" i="6"/>
  <c r="E18" i="6"/>
  <c r="C18" i="6"/>
  <c r="B18" i="6"/>
  <c r="R17" i="6"/>
  <c r="Q17" i="6"/>
  <c r="O17" i="6"/>
  <c r="N17" i="6"/>
  <c r="L17" i="6"/>
  <c r="K17" i="6"/>
  <c r="I17" i="6"/>
  <c r="S17" i="6" s="1"/>
  <c r="G17" i="11" s="1"/>
  <c r="H17" i="6"/>
  <c r="F17" i="6"/>
  <c r="E17" i="6"/>
  <c r="C17" i="6"/>
  <c r="B17" i="6"/>
  <c r="S16" i="6"/>
  <c r="G16" i="11" s="1"/>
  <c r="R16" i="6"/>
  <c r="Q16" i="6"/>
  <c r="O16" i="6"/>
  <c r="N16" i="6"/>
  <c r="L16" i="6"/>
  <c r="K16" i="6"/>
  <c r="I16" i="6"/>
  <c r="H16" i="6"/>
  <c r="F16" i="6"/>
  <c r="E16" i="6"/>
  <c r="C16" i="6"/>
  <c r="B16" i="6"/>
  <c r="R15" i="6"/>
  <c r="Q15" i="6"/>
  <c r="O15" i="6"/>
  <c r="N15" i="6"/>
  <c r="L15" i="6"/>
  <c r="K15" i="6"/>
  <c r="H15" i="6"/>
  <c r="I15" i="6" s="1"/>
  <c r="E15" i="6"/>
  <c r="F15" i="6" s="1"/>
  <c r="S15" i="6" s="1"/>
  <c r="G15" i="11" s="1"/>
  <c r="C15" i="6"/>
  <c r="B15" i="6"/>
  <c r="R14" i="6"/>
  <c r="Q14" i="6"/>
  <c r="O14" i="6"/>
  <c r="N14" i="6"/>
  <c r="L14" i="6"/>
  <c r="K14" i="6"/>
  <c r="H14" i="6"/>
  <c r="I14" i="6" s="1"/>
  <c r="E14" i="6"/>
  <c r="F14" i="6" s="1"/>
  <c r="S14" i="6" s="1"/>
  <c r="G14" i="11" s="1"/>
  <c r="C14" i="6"/>
  <c r="B14" i="6"/>
  <c r="R13" i="6"/>
  <c r="Q13" i="6"/>
  <c r="N13" i="6"/>
  <c r="O13" i="6" s="1"/>
  <c r="L13" i="6"/>
  <c r="K13" i="6"/>
  <c r="I13" i="6"/>
  <c r="H13" i="6"/>
  <c r="F13" i="6"/>
  <c r="S13" i="6" s="1"/>
  <c r="G13" i="11" s="1"/>
  <c r="E13" i="6"/>
  <c r="C13" i="6"/>
  <c r="B13" i="6"/>
  <c r="Q12" i="6"/>
  <c r="R12" i="6" s="1"/>
  <c r="O12" i="6"/>
  <c r="N12" i="6"/>
  <c r="L12" i="6"/>
  <c r="K12" i="6"/>
  <c r="I12" i="6"/>
  <c r="H12" i="6"/>
  <c r="E12" i="6"/>
  <c r="F12" i="6" s="1"/>
  <c r="C12" i="6"/>
  <c r="B12" i="6"/>
  <c r="Q11" i="6"/>
  <c r="R11" i="6" s="1"/>
  <c r="N11" i="6"/>
  <c r="O11" i="6" s="1"/>
  <c r="K11" i="6"/>
  <c r="L11" i="6" s="1"/>
  <c r="I11" i="6"/>
  <c r="H11" i="6"/>
  <c r="E11" i="6"/>
  <c r="F11" i="6" s="1"/>
  <c r="C11" i="6"/>
  <c r="B11" i="6"/>
  <c r="Q10" i="6"/>
  <c r="R10" i="6" s="1"/>
  <c r="N10" i="6"/>
  <c r="O10" i="6" s="1"/>
  <c r="K10" i="6"/>
  <c r="L10" i="6" s="1"/>
  <c r="H10" i="6"/>
  <c r="I10" i="6" s="1"/>
  <c r="F10" i="6"/>
  <c r="S10" i="6" s="1"/>
  <c r="G10" i="11" s="1"/>
  <c r="E10" i="6"/>
  <c r="C10" i="6"/>
  <c r="B10" i="6"/>
  <c r="R9" i="6"/>
  <c r="Q9" i="6"/>
  <c r="O9" i="6"/>
  <c r="N9" i="6"/>
  <c r="L9" i="6"/>
  <c r="S9" i="6" s="1"/>
  <c r="G9" i="11" s="1"/>
  <c r="K9" i="6"/>
  <c r="H9" i="6"/>
  <c r="I9" i="6" s="1"/>
  <c r="E9" i="6"/>
  <c r="F9" i="6" s="1"/>
  <c r="C9" i="6"/>
  <c r="B9" i="6"/>
  <c r="R8" i="6"/>
  <c r="Q8" i="6"/>
  <c r="N8" i="6"/>
  <c r="O8" i="6" s="1"/>
  <c r="K8" i="6"/>
  <c r="L8" i="6" s="1"/>
  <c r="H8" i="6"/>
  <c r="I8" i="6" s="1"/>
  <c r="E8" i="6"/>
  <c r="F8" i="6" s="1"/>
  <c r="C8" i="6"/>
  <c r="B8" i="6"/>
  <c r="R7" i="6"/>
  <c r="S7" i="6" s="1"/>
  <c r="G7" i="11" s="1"/>
  <c r="Q7" i="6"/>
  <c r="O7" i="6"/>
  <c r="N7" i="6"/>
  <c r="K7" i="6"/>
  <c r="L7" i="6" s="1"/>
  <c r="I7" i="6"/>
  <c r="H7" i="6"/>
  <c r="F7" i="6"/>
  <c r="E7" i="6"/>
  <c r="C7" i="6"/>
  <c r="B7" i="6"/>
  <c r="Q6" i="6"/>
  <c r="R6" i="6" s="1"/>
  <c r="N6" i="6"/>
  <c r="O6" i="6" s="1"/>
  <c r="L6" i="6"/>
  <c r="K6" i="6"/>
  <c r="I6" i="6"/>
  <c r="H6" i="6"/>
  <c r="E6" i="6"/>
  <c r="F6" i="6" s="1"/>
  <c r="C6" i="6"/>
  <c r="B6" i="6"/>
  <c r="R5" i="6"/>
  <c r="Q5" i="6"/>
  <c r="N5" i="6"/>
  <c r="O5" i="6" s="1"/>
  <c r="K5" i="6"/>
  <c r="L5" i="6" s="1"/>
  <c r="H5" i="6"/>
  <c r="I5" i="6" s="1"/>
  <c r="F5" i="6"/>
  <c r="E5" i="6"/>
  <c r="C5" i="6"/>
  <c r="B5" i="6"/>
  <c r="Q4" i="6"/>
  <c r="R4" i="6" s="1"/>
  <c r="N4" i="6"/>
  <c r="O4" i="6" s="1"/>
  <c r="K4" i="6"/>
  <c r="L4" i="6" s="1"/>
  <c r="H4" i="6"/>
  <c r="I4" i="6" s="1"/>
  <c r="E4" i="6"/>
  <c r="F4" i="6" s="1"/>
  <c r="S4" i="6" s="1"/>
  <c r="G4" i="11" s="1"/>
  <c r="C4" i="6"/>
  <c r="B4" i="6"/>
  <c r="BP103" i="5"/>
  <c r="BC103" i="5"/>
  <c r="AP103" i="5"/>
  <c r="AC103" i="5"/>
  <c r="P103" i="5"/>
  <c r="C103" i="5"/>
  <c r="B103" i="5"/>
  <c r="BP102" i="5"/>
  <c r="BC102" i="5"/>
  <c r="AP102" i="5"/>
  <c r="AC102" i="5"/>
  <c r="P102" i="5"/>
  <c r="C102" i="5"/>
  <c r="B102" i="5"/>
  <c r="BP101" i="5"/>
  <c r="BC101" i="5"/>
  <c r="AP101" i="5"/>
  <c r="AC101" i="5"/>
  <c r="P101" i="5"/>
  <c r="C101" i="5"/>
  <c r="B101" i="5"/>
  <c r="BP100" i="5"/>
  <c r="BC100" i="5"/>
  <c r="AP100" i="5"/>
  <c r="AC100" i="5"/>
  <c r="P100" i="5"/>
  <c r="C100" i="5"/>
  <c r="B100" i="5"/>
  <c r="BP99" i="5"/>
  <c r="BC99" i="5"/>
  <c r="AP99" i="5"/>
  <c r="AC99" i="5"/>
  <c r="P99" i="5"/>
  <c r="C99" i="5"/>
  <c r="B99" i="5"/>
  <c r="BP98" i="5"/>
  <c r="BC98" i="5"/>
  <c r="AP98" i="5"/>
  <c r="AC98" i="5"/>
  <c r="P98" i="5"/>
  <c r="C98" i="5"/>
  <c r="B98" i="5"/>
  <c r="BP97" i="5"/>
  <c r="BC97" i="5"/>
  <c r="AP97" i="5"/>
  <c r="AC97" i="5"/>
  <c r="P97" i="5"/>
  <c r="C97" i="5"/>
  <c r="B97" i="5"/>
  <c r="BP96" i="5"/>
  <c r="BC96" i="5"/>
  <c r="AP96" i="5"/>
  <c r="AC96" i="5"/>
  <c r="P96" i="5"/>
  <c r="C96" i="5"/>
  <c r="B96" i="5"/>
  <c r="BP95" i="5"/>
  <c r="BC95" i="5"/>
  <c r="AP95" i="5"/>
  <c r="AC95" i="5"/>
  <c r="P95" i="5"/>
  <c r="C95" i="5"/>
  <c r="B95" i="5"/>
  <c r="BP94" i="5"/>
  <c r="BC94" i="5"/>
  <c r="AP94" i="5"/>
  <c r="AC94" i="5"/>
  <c r="P94" i="5"/>
  <c r="C94" i="5"/>
  <c r="B94" i="5"/>
  <c r="BP93" i="5"/>
  <c r="BC93" i="5"/>
  <c r="AP93" i="5"/>
  <c r="AC93" i="5"/>
  <c r="P93" i="5"/>
  <c r="C93" i="5"/>
  <c r="B93" i="5"/>
  <c r="BP92" i="5"/>
  <c r="BC92" i="5"/>
  <c r="AP92" i="5"/>
  <c r="AC92" i="5"/>
  <c r="P92" i="5"/>
  <c r="C92" i="5"/>
  <c r="B92" i="5"/>
  <c r="BP91" i="5"/>
  <c r="BC91" i="5"/>
  <c r="AP91" i="5"/>
  <c r="AC91" i="5"/>
  <c r="P91" i="5"/>
  <c r="C91" i="5"/>
  <c r="B91" i="5"/>
  <c r="BP90" i="5"/>
  <c r="BC90" i="5"/>
  <c r="AP90" i="5"/>
  <c r="AC90" i="5"/>
  <c r="P90" i="5"/>
  <c r="C90" i="5"/>
  <c r="B90" i="5"/>
  <c r="BP89" i="5"/>
  <c r="BC89" i="5"/>
  <c r="AP89" i="5"/>
  <c r="AC89" i="5"/>
  <c r="P89" i="5"/>
  <c r="C89" i="5"/>
  <c r="B89" i="5"/>
  <c r="BP88" i="5"/>
  <c r="BC88" i="5"/>
  <c r="AP88" i="5"/>
  <c r="AC88" i="5"/>
  <c r="P88" i="5"/>
  <c r="BQ88" i="5" s="1"/>
  <c r="F88" i="11" s="1"/>
  <c r="C88" i="5"/>
  <c r="B88" i="5"/>
  <c r="BP87" i="5"/>
  <c r="BC87" i="5"/>
  <c r="AP87" i="5"/>
  <c r="AC87" i="5"/>
  <c r="P87" i="5"/>
  <c r="BQ87" i="5" s="1"/>
  <c r="F87" i="11" s="1"/>
  <c r="C87" i="5"/>
  <c r="B87" i="5"/>
  <c r="BP86" i="5"/>
  <c r="BC86" i="5"/>
  <c r="AP86" i="5"/>
  <c r="AC86" i="5"/>
  <c r="P86" i="5"/>
  <c r="BQ86" i="5" s="1"/>
  <c r="F86" i="11" s="1"/>
  <c r="C86" i="5"/>
  <c r="B86" i="5"/>
  <c r="BP85" i="5"/>
  <c r="BC85" i="5"/>
  <c r="AP85" i="5"/>
  <c r="AC85" i="5"/>
  <c r="P85" i="5"/>
  <c r="BQ85" i="5" s="1"/>
  <c r="F85" i="11" s="1"/>
  <c r="C85" i="5"/>
  <c r="B85" i="5"/>
  <c r="BP84" i="5"/>
  <c r="BC84" i="5"/>
  <c r="AP84" i="5"/>
  <c r="AC84" i="5"/>
  <c r="P84" i="5"/>
  <c r="C84" i="5"/>
  <c r="B84" i="5"/>
  <c r="BP83" i="5"/>
  <c r="BC83" i="5"/>
  <c r="AP83" i="5"/>
  <c r="AC83" i="5"/>
  <c r="P83" i="5"/>
  <c r="BQ83" i="5" s="1"/>
  <c r="F83" i="11" s="1"/>
  <c r="C83" i="5"/>
  <c r="B83" i="5"/>
  <c r="BP82" i="5"/>
  <c r="BC82" i="5"/>
  <c r="AP82" i="5"/>
  <c r="AC82" i="5"/>
  <c r="P82" i="5"/>
  <c r="BQ82" i="5" s="1"/>
  <c r="F82" i="11" s="1"/>
  <c r="C82" i="5"/>
  <c r="B82" i="5"/>
  <c r="BP81" i="5"/>
  <c r="BC81" i="5"/>
  <c r="AP81" i="5"/>
  <c r="AC81" i="5"/>
  <c r="P81" i="5"/>
  <c r="C81" i="5"/>
  <c r="B81" i="5"/>
  <c r="BP80" i="5"/>
  <c r="BC80" i="5"/>
  <c r="AP80" i="5"/>
  <c r="AC80" i="5"/>
  <c r="P80" i="5"/>
  <c r="BQ80" i="5" s="1"/>
  <c r="F80" i="11" s="1"/>
  <c r="C80" i="5"/>
  <c r="B80" i="5"/>
  <c r="BP79" i="5"/>
  <c r="BC79" i="5"/>
  <c r="AP79" i="5"/>
  <c r="AC79" i="5"/>
  <c r="P79" i="5"/>
  <c r="C79" i="5"/>
  <c r="B79" i="5"/>
  <c r="BP78" i="5"/>
  <c r="BC78" i="5"/>
  <c r="AP78" i="5"/>
  <c r="AC78" i="5"/>
  <c r="P78" i="5"/>
  <c r="BQ78" i="5" s="1"/>
  <c r="F78" i="11" s="1"/>
  <c r="C78" i="5"/>
  <c r="B78" i="5"/>
  <c r="BP77" i="5"/>
  <c r="BC77" i="5"/>
  <c r="AP77" i="5"/>
  <c r="AC77" i="5"/>
  <c r="P77" i="5"/>
  <c r="C77" i="5"/>
  <c r="B77" i="5"/>
  <c r="BP76" i="5"/>
  <c r="BC76" i="5"/>
  <c r="AP76" i="5"/>
  <c r="AC76" i="5"/>
  <c r="P76" i="5"/>
  <c r="BQ76" i="5" s="1"/>
  <c r="F76" i="11" s="1"/>
  <c r="C76" i="5"/>
  <c r="B76" i="5"/>
  <c r="BP75" i="5"/>
  <c r="BC75" i="5"/>
  <c r="AP75" i="5"/>
  <c r="AC75" i="5"/>
  <c r="P75" i="5"/>
  <c r="C75" i="5"/>
  <c r="B75" i="5"/>
  <c r="BP74" i="5"/>
  <c r="BC74" i="5"/>
  <c r="AP74" i="5"/>
  <c r="AC74" i="5"/>
  <c r="P74" i="5"/>
  <c r="C74" i="5"/>
  <c r="B74" i="5"/>
  <c r="BP73" i="5"/>
  <c r="BC73" i="5"/>
  <c r="AP73" i="5"/>
  <c r="AC73" i="5"/>
  <c r="P73" i="5"/>
  <c r="BQ73" i="5" s="1"/>
  <c r="F73" i="11" s="1"/>
  <c r="C73" i="5"/>
  <c r="B73" i="5"/>
  <c r="BP72" i="5"/>
  <c r="BC72" i="5"/>
  <c r="AP72" i="5"/>
  <c r="AC72" i="5"/>
  <c r="P72" i="5"/>
  <c r="BQ72" i="5" s="1"/>
  <c r="F72" i="11" s="1"/>
  <c r="C72" i="5"/>
  <c r="B72" i="5"/>
  <c r="BP71" i="5"/>
  <c r="BC71" i="5"/>
  <c r="AP71" i="5"/>
  <c r="AC71" i="5"/>
  <c r="P71" i="5"/>
  <c r="BQ71" i="5" s="1"/>
  <c r="F71" i="11" s="1"/>
  <c r="C71" i="5"/>
  <c r="B71" i="5"/>
  <c r="BP70" i="5"/>
  <c r="BC70" i="5"/>
  <c r="AP70" i="5"/>
  <c r="AC70" i="5"/>
  <c r="P70" i="5"/>
  <c r="BQ70" i="5" s="1"/>
  <c r="F70" i="11" s="1"/>
  <c r="C70" i="5"/>
  <c r="B70" i="5"/>
  <c r="BP69" i="5"/>
  <c r="BC69" i="5"/>
  <c r="AP69" i="5"/>
  <c r="AC69" i="5"/>
  <c r="P69" i="5"/>
  <c r="BQ69" i="5" s="1"/>
  <c r="F69" i="11" s="1"/>
  <c r="C69" i="5"/>
  <c r="B69" i="5"/>
  <c r="BP68" i="5"/>
  <c r="BC68" i="5"/>
  <c r="AP68" i="5"/>
  <c r="AC68" i="5"/>
  <c r="P68" i="5"/>
  <c r="C68" i="5"/>
  <c r="B68" i="5"/>
  <c r="BP67" i="5"/>
  <c r="BC67" i="5"/>
  <c r="AP67" i="5"/>
  <c r="AC67" i="5"/>
  <c r="P67" i="5"/>
  <c r="BQ67" i="5" s="1"/>
  <c r="F67" i="11" s="1"/>
  <c r="C67" i="5"/>
  <c r="B67" i="5"/>
  <c r="BP66" i="5"/>
  <c r="BC66" i="5"/>
  <c r="AP66" i="5"/>
  <c r="AC66" i="5"/>
  <c r="P66" i="5"/>
  <c r="BQ66" i="5" s="1"/>
  <c r="F66" i="11" s="1"/>
  <c r="C66" i="5"/>
  <c r="B66" i="5"/>
  <c r="BP65" i="5"/>
  <c r="BC65" i="5"/>
  <c r="AP65" i="5"/>
  <c r="AC65" i="5"/>
  <c r="P65" i="5"/>
  <c r="C65" i="5"/>
  <c r="B65" i="5"/>
  <c r="BP64" i="5"/>
  <c r="BC64" i="5"/>
  <c r="AP64" i="5"/>
  <c r="AC64" i="5"/>
  <c r="P64" i="5"/>
  <c r="BQ64" i="5" s="1"/>
  <c r="F64" i="11" s="1"/>
  <c r="C64" i="5"/>
  <c r="B64" i="5"/>
  <c r="BP63" i="5"/>
  <c r="BC63" i="5"/>
  <c r="AP63" i="5"/>
  <c r="AC63" i="5"/>
  <c r="P63" i="5"/>
  <c r="C63" i="5"/>
  <c r="B63" i="5"/>
  <c r="BP62" i="5"/>
  <c r="BC62" i="5"/>
  <c r="AP62" i="5"/>
  <c r="AC62" i="5"/>
  <c r="P62" i="5"/>
  <c r="BQ62" i="5" s="1"/>
  <c r="F62" i="11" s="1"/>
  <c r="C62" i="5"/>
  <c r="B62" i="5"/>
  <c r="BP61" i="5"/>
  <c r="BC61" i="5"/>
  <c r="AP61" i="5"/>
  <c r="AC61" i="5"/>
  <c r="P61" i="5"/>
  <c r="C61" i="5"/>
  <c r="B61" i="5"/>
  <c r="BP60" i="5"/>
  <c r="BC60" i="5"/>
  <c r="AP60" i="5"/>
  <c r="AC60" i="5"/>
  <c r="P60" i="5"/>
  <c r="BQ60" i="5" s="1"/>
  <c r="F60" i="11" s="1"/>
  <c r="C60" i="5"/>
  <c r="B60" i="5"/>
  <c r="BP59" i="5"/>
  <c r="BC59" i="5"/>
  <c r="AP59" i="5"/>
  <c r="AC59" i="5"/>
  <c r="P59" i="5"/>
  <c r="C59" i="5"/>
  <c r="B59" i="5"/>
  <c r="BP58" i="5"/>
  <c r="BC58" i="5"/>
  <c r="AP58" i="5"/>
  <c r="AC58" i="5"/>
  <c r="P58" i="5"/>
  <c r="C58" i="5"/>
  <c r="B58" i="5"/>
  <c r="BP57" i="5"/>
  <c r="BC57" i="5"/>
  <c r="AP57" i="5"/>
  <c r="AC57" i="5"/>
  <c r="P57" i="5"/>
  <c r="BQ57" i="5" s="1"/>
  <c r="F57" i="11" s="1"/>
  <c r="C57" i="5"/>
  <c r="B57" i="5"/>
  <c r="BP56" i="5"/>
  <c r="BC56" i="5"/>
  <c r="AP56" i="5"/>
  <c r="AC56" i="5"/>
  <c r="P56" i="5"/>
  <c r="BQ56" i="5" s="1"/>
  <c r="F56" i="11" s="1"/>
  <c r="C56" i="5"/>
  <c r="B56" i="5"/>
  <c r="BP55" i="5"/>
  <c r="BC55" i="5"/>
  <c r="AP55" i="5"/>
  <c r="AC55" i="5"/>
  <c r="P55" i="5"/>
  <c r="BQ55" i="5" s="1"/>
  <c r="F55" i="11" s="1"/>
  <c r="C55" i="5"/>
  <c r="B55" i="5"/>
  <c r="BP54" i="5"/>
  <c r="BC54" i="5"/>
  <c r="AP54" i="5"/>
  <c r="AC54" i="5"/>
  <c r="P54" i="5"/>
  <c r="BQ54" i="5" s="1"/>
  <c r="F54" i="11" s="1"/>
  <c r="C54" i="5"/>
  <c r="B54" i="5"/>
  <c r="BP53" i="5"/>
  <c r="BC53" i="5"/>
  <c r="AP53" i="5"/>
  <c r="AC53" i="5"/>
  <c r="P53" i="5"/>
  <c r="BQ53" i="5" s="1"/>
  <c r="F53" i="11" s="1"/>
  <c r="C53" i="5"/>
  <c r="B53" i="5"/>
  <c r="BP52" i="5"/>
  <c r="BC52" i="5"/>
  <c r="AP52" i="5"/>
  <c r="AC52" i="5"/>
  <c r="P52" i="5"/>
  <c r="C52" i="5"/>
  <c r="B52" i="5"/>
  <c r="BP51" i="5"/>
  <c r="BC51" i="5"/>
  <c r="AP51" i="5"/>
  <c r="AC51" i="5"/>
  <c r="P51" i="5"/>
  <c r="BQ51" i="5" s="1"/>
  <c r="F51" i="11" s="1"/>
  <c r="C51" i="5"/>
  <c r="B51" i="5"/>
  <c r="BP50" i="5"/>
  <c r="BC50" i="5"/>
  <c r="AP50" i="5"/>
  <c r="AC50" i="5"/>
  <c r="P50" i="5"/>
  <c r="BQ50" i="5" s="1"/>
  <c r="F50" i="11" s="1"/>
  <c r="C50" i="5"/>
  <c r="B50" i="5"/>
  <c r="BP49" i="5"/>
  <c r="BC49" i="5"/>
  <c r="AP49" i="5"/>
  <c r="AC49" i="5"/>
  <c r="P49" i="5"/>
  <c r="C49" i="5"/>
  <c r="B49" i="5"/>
  <c r="BP48" i="5"/>
  <c r="BC48" i="5"/>
  <c r="AP48" i="5"/>
  <c r="AC48" i="5"/>
  <c r="P48" i="5"/>
  <c r="BQ48" i="5" s="1"/>
  <c r="F48" i="11" s="1"/>
  <c r="C48" i="5"/>
  <c r="B48" i="5"/>
  <c r="BP47" i="5"/>
  <c r="BC47" i="5"/>
  <c r="AP47" i="5"/>
  <c r="AC47" i="5"/>
  <c r="P47" i="5"/>
  <c r="C47" i="5"/>
  <c r="B47" i="5"/>
  <c r="BP46" i="5"/>
  <c r="BC46" i="5"/>
  <c r="AP46" i="5"/>
  <c r="AC46" i="5"/>
  <c r="P46" i="5"/>
  <c r="C46" i="5"/>
  <c r="B46" i="5"/>
  <c r="BP45" i="5"/>
  <c r="BC45" i="5"/>
  <c r="AP45" i="5"/>
  <c r="AC45" i="5"/>
  <c r="P45" i="5"/>
  <c r="C45" i="5"/>
  <c r="B45" i="5"/>
  <c r="BP44" i="5"/>
  <c r="BC44" i="5"/>
  <c r="AP44" i="5"/>
  <c r="AC44" i="5"/>
  <c r="P44" i="5"/>
  <c r="C44" i="5"/>
  <c r="B44" i="5"/>
  <c r="BP43" i="5"/>
  <c r="BC43" i="5"/>
  <c r="AP43" i="5"/>
  <c r="AC43" i="5"/>
  <c r="P43" i="5"/>
  <c r="C43" i="5"/>
  <c r="B43" i="5"/>
  <c r="BP42" i="5"/>
  <c r="BC42" i="5"/>
  <c r="AP42" i="5"/>
  <c r="AC42" i="5"/>
  <c r="P42" i="5"/>
  <c r="C42" i="5"/>
  <c r="B42" i="5"/>
  <c r="BP41" i="5"/>
  <c r="BC41" i="5"/>
  <c r="AP41" i="5"/>
  <c r="AC41" i="5"/>
  <c r="P41" i="5"/>
  <c r="C41" i="5"/>
  <c r="B41" i="5"/>
  <c r="BP40" i="5"/>
  <c r="BC40" i="5"/>
  <c r="AC40" i="5"/>
  <c r="P40" i="5"/>
  <c r="C40" i="5"/>
  <c r="B40" i="5"/>
  <c r="BP39" i="5"/>
  <c r="BC39" i="5"/>
  <c r="AP39" i="5"/>
  <c r="AC39" i="5"/>
  <c r="P39" i="5"/>
  <c r="C39" i="5"/>
  <c r="B39" i="5"/>
  <c r="BP38" i="5"/>
  <c r="BC38" i="5"/>
  <c r="AP38" i="5"/>
  <c r="AC38" i="5"/>
  <c r="P38" i="5"/>
  <c r="C38" i="5"/>
  <c r="B38" i="5"/>
  <c r="BP37" i="5"/>
  <c r="BC37" i="5"/>
  <c r="AP37" i="5"/>
  <c r="AC37" i="5"/>
  <c r="P37" i="5"/>
  <c r="C37" i="5"/>
  <c r="B37" i="5"/>
  <c r="BP36" i="5"/>
  <c r="BC36" i="5"/>
  <c r="AP36" i="5"/>
  <c r="AC36" i="5"/>
  <c r="P36" i="5"/>
  <c r="C36" i="5"/>
  <c r="B36" i="5"/>
  <c r="BP35" i="5"/>
  <c r="BC35" i="5"/>
  <c r="AP35" i="5"/>
  <c r="AC35" i="5"/>
  <c r="P35" i="5"/>
  <c r="C35" i="5"/>
  <c r="B35" i="5"/>
  <c r="BP34" i="5"/>
  <c r="BC34" i="5"/>
  <c r="AP34" i="5"/>
  <c r="AC34" i="5"/>
  <c r="P34" i="5"/>
  <c r="BQ34" i="5" s="1"/>
  <c r="F34" i="11" s="1"/>
  <c r="C34" i="5"/>
  <c r="B34" i="5"/>
  <c r="BP33" i="5"/>
  <c r="BC33" i="5"/>
  <c r="AP33" i="5"/>
  <c r="AC33" i="5"/>
  <c r="P33" i="5"/>
  <c r="C33" i="5"/>
  <c r="B33" i="5"/>
  <c r="BP32" i="5"/>
  <c r="BC32" i="5"/>
  <c r="AP32" i="5"/>
  <c r="AC32" i="5"/>
  <c r="P32" i="5"/>
  <c r="BQ32" i="5" s="1"/>
  <c r="F32" i="11" s="1"/>
  <c r="C32" i="5"/>
  <c r="B32" i="5"/>
  <c r="BP31" i="5"/>
  <c r="BC31" i="5"/>
  <c r="AP31" i="5"/>
  <c r="AC31" i="5"/>
  <c r="P31" i="5"/>
  <c r="C31" i="5"/>
  <c r="B31" i="5"/>
  <c r="BP30" i="5"/>
  <c r="BC30" i="5"/>
  <c r="AP30" i="5"/>
  <c r="AC30" i="5"/>
  <c r="P30" i="5"/>
  <c r="C30" i="5"/>
  <c r="B30" i="5"/>
  <c r="BP29" i="5"/>
  <c r="BC29" i="5"/>
  <c r="AP29" i="5"/>
  <c r="AC29" i="5"/>
  <c r="P29" i="5"/>
  <c r="C29" i="5"/>
  <c r="B29" i="5"/>
  <c r="BP28" i="5"/>
  <c r="BC28" i="5"/>
  <c r="AP28" i="5"/>
  <c r="AC28" i="5"/>
  <c r="P28" i="5"/>
  <c r="C28" i="5"/>
  <c r="B28" i="5"/>
  <c r="BP27" i="5"/>
  <c r="BC27" i="5"/>
  <c r="AP27" i="5"/>
  <c r="AC27" i="5"/>
  <c r="P27" i="5"/>
  <c r="C27" i="5"/>
  <c r="B27" i="5"/>
  <c r="BP26" i="5"/>
  <c r="BC26" i="5"/>
  <c r="AP26" i="5"/>
  <c r="AC26" i="5"/>
  <c r="P26" i="5"/>
  <c r="C26" i="5"/>
  <c r="B26" i="5"/>
  <c r="BP25" i="5"/>
  <c r="BC25" i="5"/>
  <c r="AP25" i="5"/>
  <c r="AC25" i="5"/>
  <c r="P25" i="5"/>
  <c r="C25" i="5"/>
  <c r="B25" i="5"/>
  <c r="BP24" i="5"/>
  <c r="BC24" i="5"/>
  <c r="AP24" i="5"/>
  <c r="AC24" i="5"/>
  <c r="P24" i="5"/>
  <c r="C24" i="5"/>
  <c r="B24" i="5"/>
  <c r="BP23" i="5"/>
  <c r="BC23" i="5"/>
  <c r="AP23" i="5"/>
  <c r="AC23" i="5"/>
  <c r="P23" i="5"/>
  <c r="BQ23" i="5" s="1"/>
  <c r="F23" i="11" s="1"/>
  <c r="C23" i="5"/>
  <c r="B23" i="5"/>
  <c r="BP22" i="5"/>
  <c r="BC22" i="5"/>
  <c r="AP22" i="5"/>
  <c r="AC22" i="5"/>
  <c r="P22" i="5"/>
  <c r="C22" i="5"/>
  <c r="B22" i="5"/>
  <c r="BP21" i="5"/>
  <c r="BC21" i="5"/>
  <c r="AP21" i="5"/>
  <c r="AC21" i="5"/>
  <c r="P21" i="5"/>
  <c r="BQ21" i="5" s="1"/>
  <c r="F21" i="11" s="1"/>
  <c r="C21" i="5"/>
  <c r="B21" i="5"/>
  <c r="BP20" i="5"/>
  <c r="BC20" i="5"/>
  <c r="AP20" i="5"/>
  <c r="AC20" i="5"/>
  <c r="P20" i="5"/>
  <c r="C20" i="5"/>
  <c r="B20" i="5"/>
  <c r="BP19" i="5"/>
  <c r="BC19" i="5"/>
  <c r="AP19" i="5"/>
  <c r="AC19" i="5"/>
  <c r="P19" i="5"/>
  <c r="BQ19" i="5" s="1"/>
  <c r="F19" i="11" s="1"/>
  <c r="C19" i="5"/>
  <c r="B19" i="5"/>
  <c r="BP18" i="5"/>
  <c r="BC18" i="5"/>
  <c r="AP18" i="5"/>
  <c r="AC18" i="5"/>
  <c r="P18" i="5"/>
  <c r="BQ18" i="5" s="1"/>
  <c r="F18" i="11" s="1"/>
  <c r="C18" i="5"/>
  <c r="B18" i="5"/>
  <c r="BP17" i="5"/>
  <c r="BC17" i="5"/>
  <c r="AP17" i="5"/>
  <c r="AC17" i="5"/>
  <c r="P17" i="5"/>
  <c r="C17" i="5"/>
  <c r="B17" i="5"/>
  <c r="BP16" i="5"/>
  <c r="BC16" i="5"/>
  <c r="AP16" i="5"/>
  <c r="AC16" i="5"/>
  <c r="P16" i="5"/>
  <c r="BQ16" i="5" s="1"/>
  <c r="F16" i="11" s="1"/>
  <c r="C16" i="5"/>
  <c r="B16" i="5"/>
  <c r="BP15" i="5"/>
  <c r="BC15" i="5"/>
  <c r="AP15" i="5"/>
  <c r="AC15" i="5"/>
  <c r="P15" i="5"/>
  <c r="C15" i="5"/>
  <c r="B15" i="5"/>
  <c r="BP14" i="5"/>
  <c r="BC14" i="5"/>
  <c r="AP14" i="5"/>
  <c r="AC14" i="5"/>
  <c r="P14" i="5"/>
  <c r="BQ14" i="5" s="1"/>
  <c r="F14" i="11" s="1"/>
  <c r="C14" i="5"/>
  <c r="B14" i="5"/>
  <c r="BP13" i="5"/>
  <c r="BC13" i="5"/>
  <c r="AP13" i="5"/>
  <c r="AC13" i="5"/>
  <c r="P13" i="5"/>
  <c r="C13" i="5"/>
  <c r="B13" i="5"/>
  <c r="BP12" i="5"/>
  <c r="BC12" i="5"/>
  <c r="AP12" i="5"/>
  <c r="AC12" i="5"/>
  <c r="P12" i="5"/>
  <c r="BQ12" i="5" s="1"/>
  <c r="F12" i="11" s="1"/>
  <c r="C12" i="5"/>
  <c r="B12" i="5"/>
  <c r="BP11" i="5"/>
  <c r="BC11" i="5"/>
  <c r="AP11" i="5"/>
  <c r="AC11" i="5"/>
  <c r="P11" i="5"/>
  <c r="C11" i="5"/>
  <c r="B11" i="5"/>
  <c r="BP10" i="5"/>
  <c r="BC10" i="5"/>
  <c r="AP10" i="5"/>
  <c r="AC10" i="5"/>
  <c r="P10" i="5"/>
  <c r="C10" i="5"/>
  <c r="B10" i="5"/>
  <c r="BP9" i="5"/>
  <c r="BC9" i="5"/>
  <c r="AP9" i="5"/>
  <c r="AC9" i="5"/>
  <c r="P9" i="5"/>
  <c r="BQ9" i="5" s="1"/>
  <c r="F9" i="11" s="1"/>
  <c r="C9" i="5"/>
  <c r="B9" i="5"/>
  <c r="BP8" i="5"/>
  <c r="BC8" i="5"/>
  <c r="AP8" i="5"/>
  <c r="AC8" i="5"/>
  <c r="P8" i="5"/>
  <c r="BQ8" i="5" s="1"/>
  <c r="F8" i="11" s="1"/>
  <c r="C8" i="5"/>
  <c r="B8" i="5"/>
  <c r="BP7" i="5"/>
  <c r="BC7" i="5"/>
  <c r="AP7" i="5"/>
  <c r="AC7" i="5"/>
  <c r="P7" i="5"/>
  <c r="BQ7" i="5" s="1"/>
  <c r="F7" i="11" s="1"/>
  <c r="C7" i="5"/>
  <c r="B7" i="5"/>
  <c r="BP6" i="5"/>
  <c r="BC6" i="5"/>
  <c r="AP6" i="5"/>
  <c r="AC6" i="5"/>
  <c r="P6" i="5"/>
  <c r="BQ6" i="5" s="1"/>
  <c r="F6" i="11" s="1"/>
  <c r="C6" i="5"/>
  <c r="B6" i="5"/>
  <c r="BP5" i="5"/>
  <c r="BC5" i="5"/>
  <c r="AP5" i="5"/>
  <c r="AC5" i="5"/>
  <c r="P5" i="5"/>
  <c r="BQ5" i="5" s="1"/>
  <c r="F5" i="11" s="1"/>
  <c r="C5" i="5"/>
  <c r="B5" i="5"/>
  <c r="BQ4" i="5"/>
  <c r="F4" i="11" s="1"/>
  <c r="C4" i="5"/>
  <c r="B4" i="5"/>
  <c r="R103" i="4"/>
  <c r="Q103" i="4"/>
  <c r="O103" i="4"/>
  <c r="N103" i="4"/>
  <c r="L103" i="4"/>
  <c r="K103" i="4"/>
  <c r="I103" i="4"/>
  <c r="S103" i="4" s="1"/>
  <c r="E103" i="11" s="1"/>
  <c r="H103" i="4"/>
  <c r="F103" i="4"/>
  <c r="E103" i="4"/>
  <c r="C103" i="4"/>
  <c r="B103" i="4"/>
  <c r="R102" i="4"/>
  <c r="Q102" i="4"/>
  <c r="O102" i="4"/>
  <c r="N102" i="4"/>
  <c r="L102" i="4"/>
  <c r="K102" i="4"/>
  <c r="I102" i="4"/>
  <c r="H102" i="4"/>
  <c r="F102" i="4"/>
  <c r="E102" i="4"/>
  <c r="C102" i="4"/>
  <c r="B102" i="4"/>
  <c r="S101" i="4"/>
  <c r="E101" i="11" s="1"/>
  <c r="R101" i="4"/>
  <c r="Q101" i="4"/>
  <c r="O101" i="4"/>
  <c r="N101" i="4"/>
  <c r="L101" i="4"/>
  <c r="K101" i="4"/>
  <c r="I101" i="4"/>
  <c r="H101" i="4"/>
  <c r="F101" i="4"/>
  <c r="E101" i="4"/>
  <c r="C101" i="4"/>
  <c r="B101" i="4"/>
  <c r="R100" i="4"/>
  <c r="Q100" i="4"/>
  <c r="O100" i="4"/>
  <c r="N100" i="4"/>
  <c r="L100" i="4"/>
  <c r="K100" i="4"/>
  <c r="I100" i="4"/>
  <c r="H100" i="4"/>
  <c r="F100" i="4"/>
  <c r="S100" i="4" s="1"/>
  <c r="E100" i="11" s="1"/>
  <c r="M100" i="11" s="1"/>
  <c r="E100" i="4"/>
  <c r="C100" i="4"/>
  <c r="B100" i="4"/>
  <c r="R99" i="4"/>
  <c r="Q99" i="4"/>
  <c r="O99" i="4"/>
  <c r="S99" i="4" s="1"/>
  <c r="E99" i="11" s="1"/>
  <c r="N99" i="4"/>
  <c r="L99" i="4"/>
  <c r="K99" i="4"/>
  <c r="I99" i="4"/>
  <c r="H99" i="4"/>
  <c r="F99" i="4"/>
  <c r="E99" i="4"/>
  <c r="C99" i="4"/>
  <c r="B99" i="4"/>
  <c r="S98" i="4"/>
  <c r="E98" i="11" s="1"/>
  <c r="R98" i="4"/>
  <c r="Q98" i="4"/>
  <c r="O98" i="4"/>
  <c r="N98" i="4"/>
  <c r="L98" i="4"/>
  <c r="K98" i="4"/>
  <c r="I98" i="4"/>
  <c r="H98" i="4"/>
  <c r="F98" i="4"/>
  <c r="E98" i="4"/>
  <c r="C98" i="4"/>
  <c r="B98" i="4"/>
  <c r="R97" i="4"/>
  <c r="Q97" i="4"/>
  <c r="O97" i="4"/>
  <c r="N97" i="4"/>
  <c r="L97" i="4"/>
  <c r="K97" i="4"/>
  <c r="I97" i="4"/>
  <c r="H97" i="4"/>
  <c r="F97" i="4"/>
  <c r="E97" i="4"/>
  <c r="C97" i="4"/>
  <c r="B97" i="4"/>
  <c r="R96" i="4"/>
  <c r="Q96" i="4"/>
  <c r="O96" i="4"/>
  <c r="N96" i="4"/>
  <c r="L96" i="4"/>
  <c r="K96" i="4"/>
  <c r="I96" i="4"/>
  <c r="H96" i="4"/>
  <c r="F96" i="4"/>
  <c r="E96" i="4"/>
  <c r="C96" i="4"/>
  <c r="B96" i="4"/>
  <c r="R95" i="4"/>
  <c r="Q95" i="4"/>
  <c r="O95" i="4"/>
  <c r="N95" i="4"/>
  <c r="L95" i="4"/>
  <c r="K95" i="4"/>
  <c r="I95" i="4"/>
  <c r="H95" i="4"/>
  <c r="F95" i="4"/>
  <c r="S95" i="4" s="1"/>
  <c r="E95" i="11" s="1"/>
  <c r="E95" i="4"/>
  <c r="C95" i="4"/>
  <c r="B95" i="4"/>
  <c r="R94" i="4"/>
  <c r="Q94" i="4"/>
  <c r="O94" i="4"/>
  <c r="N94" i="4"/>
  <c r="L94" i="4"/>
  <c r="K94" i="4"/>
  <c r="I94" i="4"/>
  <c r="H94" i="4"/>
  <c r="F94" i="4"/>
  <c r="E94" i="4"/>
  <c r="C94" i="4"/>
  <c r="B94" i="4"/>
  <c r="R93" i="4"/>
  <c r="S93" i="4" s="1"/>
  <c r="E93" i="11" s="1"/>
  <c r="Q93" i="4"/>
  <c r="O93" i="4"/>
  <c r="N93" i="4"/>
  <c r="L93" i="4"/>
  <c r="K93" i="4"/>
  <c r="I93" i="4"/>
  <c r="H93" i="4"/>
  <c r="F93" i="4"/>
  <c r="E93" i="4"/>
  <c r="C93" i="4"/>
  <c r="B93" i="4"/>
  <c r="R92" i="4"/>
  <c r="Q92" i="4"/>
  <c r="O92" i="4"/>
  <c r="N92" i="4"/>
  <c r="L92" i="4"/>
  <c r="K92" i="4"/>
  <c r="I92" i="4"/>
  <c r="H92" i="4"/>
  <c r="F92" i="4"/>
  <c r="E92" i="4"/>
  <c r="C92" i="4"/>
  <c r="B92" i="4"/>
  <c r="R91" i="4"/>
  <c r="Q91" i="4"/>
  <c r="O91" i="4"/>
  <c r="N91" i="4"/>
  <c r="L91" i="4"/>
  <c r="K91" i="4"/>
  <c r="I91" i="4"/>
  <c r="S91" i="4" s="1"/>
  <c r="E91" i="11" s="1"/>
  <c r="H91" i="4"/>
  <c r="F91" i="4"/>
  <c r="E91" i="4"/>
  <c r="C91" i="4"/>
  <c r="B91" i="4"/>
  <c r="R90" i="4"/>
  <c r="Q90" i="4"/>
  <c r="O90" i="4"/>
  <c r="N90" i="4"/>
  <c r="L90" i="4"/>
  <c r="K90" i="4"/>
  <c r="I90" i="4"/>
  <c r="H90" i="4"/>
  <c r="F90" i="4"/>
  <c r="S90" i="4" s="1"/>
  <c r="E90" i="11" s="1"/>
  <c r="E90" i="4"/>
  <c r="C90" i="4"/>
  <c r="B90" i="4"/>
  <c r="R89" i="4"/>
  <c r="S89" i="4" s="1"/>
  <c r="E89" i="11" s="1"/>
  <c r="Q89" i="4"/>
  <c r="O89" i="4"/>
  <c r="N89" i="4"/>
  <c r="L89" i="4"/>
  <c r="K89" i="4"/>
  <c r="I89" i="4"/>
  <c r="H89" i="4"/>
  <c r="F89" i="4"/>
  <c r="E89" i="4"/>
  <c r="C89" i="4"/>
  <c r="B89" i="4"/>
  <c r="S88" i="4"/>
  <c r="E88" i="11" s="1"/>
  <c r="M88" i="11" s="1"/>
  <c r="R88" i="4"/>
  <c r="Q88" i="4"/>
  <c r="O88" i="4"/>
  <c r="N88" i="4"/>
  <c r="L88" i="4"/>
  <c r="K88" i="4"/>
  <c r="I88" i="4"/>
  <c r="H88" i="4"/>
  <c r="F88" i="4"/>
  <c r="E88" i="4"/>
  <c r="C88" i="4"/>
  <c r="B88" i="4"/>
  <c r="R87" i="4"/>
  <c r="Q87" i="4"/>
  <c r="O87" i="4"/>
  <c r="N87" i="4"/>
  <c r="L87" i="4"/>
  <c r="K87" i="4"/>
  <c r="I87" i="4"/>
  <c r="S87" i="4" s="1"/>
  <c r="E87" i="11" s="1"/>
  <c r="H87" i="4"/>
  <c r="F87" i="4"/>
  <c r="E87" i="4"/>
  <c r="C87" i="4"/>
  <c r="B87" i="4"/>
  <c r="R86" i="4"/>
  <c r="Q86" i="4"/>
  <c r="O86" i="4"/>
  <c r="N86" i="4"/>
  <c r="L86" i="4"/>
  <c r="K86" i="4"/>
  <c r="I86" i="4"/>
  <c r="H86" i="4"/>
  <c r="F86" i="4"/>
  <c r="S86" i="4" s="1"/>
  <c r="E86" i="11" s="1"/>
  <c r="E86" i="4"/>
  <c r="C86" i="4"/>
  <c r="B86" i="4"/>
  <c r="R85" i="4"/>
  <c r="Q85" i="4"/>
  <c r="O85" i="4"/>
  <c r="N85" i="4"/>
  <c r="L85" i="4"/>
  <c r="K85" i="4"/>
  <c r="I85" i="4"/>
  <c r="H85" i="4"/>
  <c r="F85" i="4"/>
  <c r="S85" i="4" s="1"/>
  <c r="E85" i="11" s="1"/>
  <c r="E85" i="4"/>
  <c r="C85" i="4"/>
  <c r="B85" i="4"/>
  <c r="R84" i="4"/>
  <c r="S84" i="4" s="1"/>
  <c r="E84" i="11" s="1"/>
  <c r="M84" i="11" s="1"/>
  <c r="Q84" i="4"/>
  <c r="O84" i="4"/>
  <c r="N84" i="4"/>
  <c r="L84" i="4"/>
  <c r="K84" i="4"/>
  <c r="I84" i="4"/>
  <c r="H84" i="4"/>
  <c r="F84" i="4"/>
  <c r="E84" i="4"/>
  <c r="C84" i="4"/>
  <c r="B84" i="4"/>
  <c r="R83" i="4"/>
  <c r="Q83" i="4"/>
  <c r="O83" i="4"/>
  <c r="S83" i="4" s="1"/>
  <c r="E83" i="11" s="1"/>
  <c r="N83" i="4"/>
  <c r="L83" i="4"/>
  <c r="K83" i="4"/>
  <c r="I83" i="4"/>
  <c r="H83" i="4"/>
  <c r="F83" i="4"/>
  <c r="E83" i="4"/>
  <c r="C83" i="4"/>
  <c r="B83" i="4"/>
  <c r="R82" i="4"/>
  <c r="Q82" i="4"/>
  <c r="O82" i="4"/>
  <c r="N82" i="4"/>
  <c r="L82" i="4"/>
  <c r="K82" i="4"/>
  <c r="I82" i="4"/>
  <c r="S82" i="4" s="1"/>
  <c r="E82" i="11" s="1"/>
  <c r="H82" i="4"/>
  <c r="F82" i="4"/>
  <c r="E82" i="4"/>
  <c r="C82" i="4"/>
  <c r="B82" i="4"/>
  <c r="R81" i="4"/>
  <c r="Q81" i="4"/>
  <c r="O81" i="4"/>
  <c r="N81" i="4"/>
  <c r="L81" i="4"/>
  <c r="K81" i="4"/>
  <c r="I81" i="4"/>
  <c r="H81" i="4"/>
  <c r="F81" i="4"/>
  <c r="S81" i="4" s="1"/>
  <c r="E81" i="11" s="1"/>
  <c r="E81" i="4"/>
  <c r="C81" i="4"/>
  <c r="B81" i="4"/>
  <c r="R80" i="4"/>
  <c r="Q80" i="4"/>
  <c r="O80" i="4"/>
  <c r="N80" i="4"/>
  <c r="L80" i="4"/>
  <c r="K80" i="4"/>
  <c r="I80" i="4"/>
  <c r="H80" i="4"/>
  <c r="F80" i="4"/>
  <c r="S80" i="4" s="1"/>
  <c r="E80" i="11" s="1"/>
  <c r="E80" i="4"/>
  <c r="C80" i="4"/>
  <c r="B80" i="4"/>
  <c r="S79" i="4"/>
  <c r="E79" i="11" s="1"/>
  <c r="R79" i="4"/>
  <c r="Q79" i="4"/>
  <c r="O79" i="4"/>
  <c r="N79" i="4"/>
  <c r="L79" i="4"/>
  <c r="K79" i="4"/>
  <c r="I79" i="4"/>
  <c r="H79" i="4"/>
  <c r="F79" i="4"/>
  <c r="E79" i="4"/>
  <c r="C79" i="4"/>
  <c r="B79" i="4"/>
  <c r="R78" i="4"/>
  <c r="Q78" i="4"/>
  <c r="O78" i="4"/>
  <c r="N78" i="4"/>
  <c r="L78" i="4"/>
  <c r="K78" i="4"/>
  <c r="I78" i="4"/>
  <c r="S78" i="4" s="1"/>
  <c r="E78" i="11" s="1"/>
  <c r="M78" i="11" s="1"/>
  <c r="H78" i="4"/>
  <c r="F78" i="4"/>
  <c r="E78" i="4"/>
  <c r="C78" i="4"/>
  <c r="B78" i="4"/>
  <c r="R77" i="4"/>
  <c r="Q77" i="4"/>
  <c r="O77" i="4"/>
  <c r="N77" i="4"/>
  <c r="L77" i="4"/>
  <c r="S77" i="4" s="1"/>
  <c r="E77" i="11" s="1"/>
  <c r="M77" i="11" s="1"/>
  <c r="K77" i="4"/>
  <c r="I77" i="4"/>
  <c r="H77" i="4"/>
  <c r="F77" i="4"/>
  <c r="E77" i="4"/>
  <c r="C77" i="4"/>
  <c r="B77" i="4"/>
  <c r="R76" i="4"/>
  <c r="Q76" i="4"/>
  <c r="O76" i="4"/>
  <c r="N76" i="4"/>
  <c r="L76" i="4"/>
  <c r="K76" i="4"/>
  <c r="I76" i="4"/>
  <c r="H76" i="4"/>
  <c r="F76" i="4"/>
  <c r="S76" i="4" s="1"/>
  <c r="E76" i="11" s="1"/>
  <c r="E76" i="4"/>
  <c r="C76" i="4"/>
  <c r="B76" i="4"/>
  <c r="S75" i="4"/>
  <c r="E75" i="11" s="1"/>
  <c r="R75" i="4"/>
  <c r="Q75" i="4"/>
  <c r="O75" i="4"/>
  <c r="N75" i="4"/>
  <c r="L75" i="4"/>
  <c r="K75" i="4"/>
  <c r="I75" i="4"/>
  <c r="H75" i="4"/>
  <c r="F75" i="4"/>
  <c r="E75" i="4"/>
  <c r="C75" i="4"/>
  <c r="B75" i="4"/>
  <c r="R74" i="4"/>
  <c r="Q74" i="4"/>
  <c r="O74" i="4"/>
  <c r="N74" i="4"/>
  <c r="L74" i="4"/>
  <c r="K74" i="4"/>
  <c r="I74" i="4"/>
  <c r="H74" i="4"/>
  <c r="F74" i="4"/>
  <c r="E74" i="4"/>
  <c r="C74" i="4"/>
  <c r="B74" i="4"/>
  <c r="R73" i="4"/>
  <c r="S73" i="4" s="1"/>
  <c r="E73" i="11" s="1"/>
  <c r="Q73" i="4"/>
  <c r="O73" i="4"/>
  <c r="N73" i="4"/>
  <c r="L73" i="4"/>
  <c r="K73" i="4"/>
  <c r="I73" i="4"/>
  <c r="H73" i="4"/>
  <c r="F73" i="4"/>
  <c r="E73" i="4"/>
  <c r="C73" i="4"/>
  <c r="B73" i="4"/>
  <c r="R72" i="4"/>
  <c r="Q72" i="4"/>
  <c r="O72" i="4"/>
  <c r="N72" i="4"/>
  <c r="L72" i="4"/>
  <c r="K72" i="4"/>
  <c r="I72" i="4"/>
  <c r="H72" i="4"/>
  <c r="F72" i="4"/>
  <c r="S72" i="4" s="1"/>
  <c r="E72" i="11" s="1"/>
  <c r="M72" i="11" s="1"/>
  <c r="E72" i="4"/>
  <c r="C72" i="4"/>
  <c r="B72" i="4"/>
  <c r="R71" i="4"/>
  <c r="Q71" i="4"/>
  <c r="O71" i="4"/>
  <c r="N71" i="4"/>
  <c r="L71" i="4"/>
  <c r="K71" i="4"/>
  <c r="I71" i="4"/>
  <c r="S71" i="4" s="1"/>
  <c r="E71" i="11" s="1"/>
  <c r="M71" i="11" s="1"/>
  <c r="H71" i="4"/>
  <c r="F71" i="4"/>
  <c r="E71" i="4"/>
  <c r="C71" i="4"/>
  <c r="B71" i="4"/>
  <c r="R70" i="4"/>
  <c r="Q70" i="4"/>
  <c r="O70" i="4"/>
  <c r="N70" i="4"/>
  <c r="L70" i="4"/>
  <c r="K70" i="4"/>
  <c r="I70" i="4"/>
  <c r="H70" i="4"/>
  <c r="F70" i="4"/>
  <c r="E70" i="4"/>
  <c r="C70" i="4"/>
  <c r="B70" i="4"/>
  <c r="S69" i="4"/>
  <c r="E69" i="11" s="1"/>
  <c r="R69" i="4"/>
  <c r="Q69" i="4"/>
  <c r="O69" i="4"/>
  <c r="N69" i="4"/>
  <c r="L69" i="4"/>
  <c r="K69" i="4"/>
  <c r="I69" i="4"/>
  <c r="H69" i="4"/>
  <c r="F69" i="4"/>
  <c r="E69" i="4"/>
  <c r="C69" i="4"/>
  <c r="B69" i="4"/>
  <c r="R68" i="4"/>
  <c r="Q68" i="4"/>
  <c r="O68" i="4"/>
  <c r="N68" i="4"/>
  <c r="L68" i="4"/>
  <c r="K68" i="4"/>
  <c r="I68" i="4"/>
  <c r="H68" i="4"/>
  <c r="F68" i="4"/>
  <c r="S68" i="4" s="1"/>
  <c r="E68" i="11" s="1"/>
  <c r="M68" i="11" s="1"/>
  <c r="E68" i="4"/>
  <c r="C68" i="4"/>
  <c r="B68" i="4"/>
  <c r="R67" i="4"/>
  <c r="Q67" i="4"/>
  <c r="O67" i="4"/>
  <c r="S67" i="4" s="1"/>
  <c r="E67" i="11" s="1"/>
  <c r="N67" i="4"/>
  <c r="L67" i="4"/>
  <c r="K67" i="4"/>
  <c r="I67" i="4"/>
  <c r="H67" i="4"/>
  <c r="F67" i="4"/>
  <c r="E67" i="4"/>
  <c r="C67" i="4"/>
  <c r="B67" i="4"/>
  <c r="S66" i="4"/>
  <c r="E66" i="11" s="1"/>
  <c r="R66" i="4"/>
  <c r="Q66" i="4"/>
  <c r="O66" i="4"/>
  <c r="N66" i="4"/>
  <c r="L66" i="4"/>
  <c r="K66" i="4"/>
  <c r="I66" i="4"/>
  <c r="H66" i="4"/>
  <c r="F66" i="4"/>
  <c r="E66" i="4"/>
  <c r="C66" i="4"/>
  <c r="B66" i="4"/>
  <c r="R65" i="4"/>
  <c r="Q65" i="4"/>
  <c r="O65" i="4"/>
  <c r="N65" i="4"/>
  <c r="L65" i="4"/>
  <c r="K65" i="4"/>
  <c r="I65" i="4"/>
  <c r="H65" i="4"/>
  <c r="F65" i="4"/>
  <c r="E65" i="4"/>
  <c r="C65" i="4"/>
  <c r="B65" i="4"/>
  <c r="R64" i="4"/>
  <c r="Q64" i="4"/>
  <c r="O64" i="4"/>
  <c r="N64" i="4"/>
  <c r="L64" i="4"/>
  <c r="K64" i="4"/>
  <c r="I64" i="4"/>
  <c r="H64" i="4"/>
  <c r="F64" i="4"/>
  <c r="E64" i="4"/>
  <c r="C64" i="4"/>
  <c r="B64" i="4"/>
  <c r="R63" i="4"/>
  <c r="Q63" i="4"/>
  <c r="O63" i="4"/>
  <c r="N63" i="4"/>
  <c r="L63" i="4"/>
  <c r="K63" i="4"/>
  <c r="I63" i="4"/>
  <c r="H63" i="4"/>
  <c r="F63" i="4"/>
  <c r="S63" i="4" s="1"/>
  <c r="E63" i="11" s="1"/>
  <c r="E63" i="4"/>
  <c r="C63" i="4"/>
  <c r="B63" i="4"/>
  <c r="R62" i="4"/>
  <c r="Q62" i="4"/>
  <c r="O62" i="4"/>
  <c r="N62" i="4"/>
  <c r="L62" i="4"/>
  <c r="K62" i="4"/>
  <c r="I62" i="4"/>
  <c r="H62" i="4"/>
  <c r="F62" i="4"/>
  <c r="E62" i="4"/>
  <c r="C62" i="4"/>
  <c r="B62" i="4"/>
  <c r="R61" i="4"/>
  <c r="S61" i="4" s="1"/>
  <c r="E61" i="11" s="1"/>
  <c r="M61" i="11" s="1"/>
  <c r="Q61" i="4"/>
  <c r="O61" i="4"/>
  <c r="N61" i="4"/>
  <c r="L61" i="4"/>
  <c r="K61" i="4"/>
  <c r="I61" i="4"/>
  <c r="H61" i="4"/>
  <c r="F61" i="4"/>
  <c r="E61" i="4"/>
  <c r="C61" i="4"/>
  <c r="B61" i="4"/>
  <c r="R60" i="4"/>
  <c r="Q60" i="4"/>
  <c r="O60" i="4"/>
  <c r="N60" i="4"/>
  <c r="L60" i="4"/>
  <c r="K60" i="4"/>
  <c r="I60" i="4"/>
  <c r="H60" i="4"/>
  <c r="F60" i="4"/>
  <c r="E60" i="4"/>
  <c r="C60" i="4"/>
  <c r="B60" i="4"/>
  <c r="R59" i="4"/>
  <c r="Q59" i="4"/>
  <c r="O59" i="4"/>
  <c r="N59" i="4"/>
  <c r="L59" i="4"/>
  <c r="K59" i="4"/>
  <c r="I59" i="4"/>
  <c r="S59" i="4" s="1"/>
  <c r="E59" i="11" s="1"/>
  <c r="H59" i="4"/>
  <c r="F59" i="4"/>
  <c r="E59" i="4"/>
  <c r="C59" i="4"/>
  <c r="B59" i="4"/>
  <c r="R58" i="4"/>
  <c r="Q58" i="4"/>
  <c r="O58" i="4"/>
  <c r="N58" i="4"/>
  <c r="L58" i="4"/>
  <c r="K58" i="4"/>
  <c r="I58" i="4"/>
  <c r="H58" i="4"/>
  <c r="F58" i="4"/>
  <c r="S58" i="4" s="1"/>
  <c r="E58" i="11" s="1"/>
  <c r="E58" i="4"/>
  <c r="C58" i="4"/>
  <c r="B58" i="4"/>
  <c r="R57" i="4"/>
  <c r="S57" i="4" s="1"/>
  <c r="E57" i="11" s="1"/>
  <c r="Q57" i="4"/>
  <c r="O57" i="4"/>
  <c r="N57" i="4"/>
  <c r="L57" i="4"/>
  <c r="K57" i="4"/>
  <c r="I57" i="4"/>
  <c r="H57" i="4"/>
  <c r="F57" i="4"/>
  <c r="E57" i="4"/>
  <c r="C57" i="4"/>
  <c r="B57" i="4"/>
  <c r="S56" i="4"/>
  <c r="E56" i="11" s="1"/>
  <c r="M56" i="11" s="1"/>
  <c r="R56" i="4"/>
  <c r="Q56" i="4"/>
  <c r="O56" i="4"/>
  <c r="N56" i="4"/>
  <c r="L56" i="4"/>
  <c r="K56" i="4"/>
  <c r="I56" i="4"/>
  <c r="H56" i="4"/>
  <c r="F56" i="4"/>
  <c r="E56" i="4"/>
  <c r="C56" i="4"/>
  <c r="B56" i="4"/>
  <c r="R55" i="4"/>
  <c r="Q55" i="4"/>
  <c r="O55" i="4"/>
  <c r="N55" i="4"/>
  <c r="L55" i="4"/>
  <c r="K55" i="4"/>
  <c r="I55" i="4"/>
  <c r="S55" i="4" s="1"/>
  <c r="E55" i="11" s="1"/>
  <c r="M55" i="11" s="1"/>
  <c r="H55" i="4"/>
  <c r="F55" i="4"/>
  <c r="E55" i="4"/>
  <c r="C55" i="4"/>
  <c r="B55" i="4"/>
  <c r="R54" i="4"/>
  <c r="Q54" i="4"/>
  <c r="O54" i="4"/>
  <c r="N54" i="4"/>
  <c r="L54" i="4"/>
  <c r="K54" i="4"/>
  <c r="I54" i="4"/>
  <c r="H54" i="4"/>
  <c r="F54" i="4"/>
  <c r="S54" i="4" s="1"/>
  <c r="E54" i="11" s="1"/>
  <c r="E54" i="4"/>
  <c r="C54" i="4"/>
  <c r="B54" i="4"/>
  <c r="R53" i="4"/>
  <c r="Q53" i="4"/>
  <c r="O53" i="4"/>
  <c r="N53" i="4"/>
  <c r="L53" i="4"/>
  <c r="K53" i="4"/>
  <c r="I53" i="4"/>
  <c r="H53" i="4"/>
  <c r="F53" i="4"/>
  <c r="S53" i="4" s="1"/>
  <c r="E53" i="11" s="1"/>
  <c r="M53" i="11" s="1"/>
  <c r="E53" i="4"/>
  <c r="C53" i="4"/>
  <c r="B53" i="4"/>
  <c r="R52" i="4"/>
  <c r="S52" i="4" s="1"/>
  <c r="E52" i="11" s="1"/>
  <c r="M52" i="11" s="1"/>
  <c r="Q52" i="4"/>
  <c r="O52" i="4"/>
  <c r="N52" i="4"/>
  <c r="L52" i="4"/>
  <c r="K52" i="4"/>
  <c r="I52" i="4"/>
  <c r="H52" i="4"/>
  <c r="F52" i="4"/>
  <c r="E52" i="4"/>
  <c r="C52" i="4"/>
  <c r="B52" i="4"/>
  <c r="R51" i="4"/>
  <c r="Q51" i="4"/>
  <c r="O51" i="4"/>
  <c r="S51" i="4" s="1"/>
  <c r="E51" i="11" s="1"/>
  <c r="M51" i="11" s="1"/>
  <c r="N51" i="4"/>
  <c r="L51" i="4"/>
  <c r="K51" i="4"/>
  <c r="I51" i="4"/>
  <c r="H51" i="4"/>
  <c r="F51" i="4"/>
  <c r="E51" i="4"/>
  <c r="C51" i="4"/>
  <c r="B51" i="4"/>
  <c r="R50" i="4"/>
  <c r="Q50" i="4"/>
  <c r="O50" i="4"/>
  <c r="N50" i="4"/>
  <c r="L50" i="4"/>
  <c r="K50" i="4"/>
  <c r="I50" i="4"/>
  <c r="S50" i="4" s="1"/>
  <c r="E50" i="11" s="1"/>
  <c r="M50" i="11" s="1"/>
  <c r="H50" i="4"/>
  <c r="F50" i="4"/>
  <c r="E50" i="4"/>
  <c r="C50" i="4"/>
  <c r="B50" i="4"/>
  <c r="Q49" i="4"/>
  <c r="R49" i="4" s="1"/>
  <c r="N49" i="4"/>
  <c r="O49" i="4" s="1"/>
  <c r="K49" i="4"/>
  <c r="L49" i="4" s="1"/>
  <c r="H49" i="4"/>
  <c r="I49" i="4" s="1"/>
  <c r="E49" i="4"/>
  <c r="F49" i="4" s="1"/>
  <c r="C49" i="4"/>
  <c r="B49" i="4"/>
  <c r="Q48" i="4"/>
  <c r="R48" i="4" s="1"/>
  <c r="N48" i="4"/>
  <c r="O48" i="4" s="1"/>
  <c r="K48" i="4"/>
  <c r="L48" i="4" s="1"/>
  <c r="H48" i="4"/>
  <c r="I48" i="4" s="1"/>
  <c r="E48" i="4"/>
  <c r="F48" i="4" s="1"/>
  <c r="C48" i="4"/>
  <c r="B48" i="4"/>
  <c r="R47" i="4"/>
  <c r="Q47" i="4"/>
  <c r="N47" i="4"/>
  <c r="O47" i="4" s="1"/>
  <c r="K47" i="4"/>
  <c r="L47" i="4" s="1"/>
  <c r="H47" i="4"/>
  <c r="I47" i="4" s="1"/>
  <c r="E47" i="4"/>
  <c r="F47" i="4" s="1"/>
  <c r="C47" i="4"/>
  <c r="B47" i="4"/>
  <c r="Q46" i="4"/>
  <c r="R46" i="4" s="1"/>
  <c r="N46" i="4"/>
  <c r="O46" i="4" s="1"/>
  <c r="L46" i="4"/>
  <c r="K46" i="4"/>
  <c r="H46" i="4"/>
  <c r="I46" i="4" s="1"/>
  <c r="E46" i="4"/>
  <c r="F46" i="4" s="1"/>
  <c r="C46" i="4"/>
  <c r="B46" i="4"/>
  <c r="Q45" i="4"/>
  <c r="R45" i="4" s="1"/>
  <c r="N45" i="4"/>
  <c r="O45" i="4" s="1"/>
  <c r="K45" i="4"/>
  <c r="L45" i="4" s="1"/>
  <c r="H45" i="4"/>
  <c r="I45" i="4" s="1"/>
  <c r="E45" i="4"/>
  <c r="F45" i="4" s="1"/>
  <c r="C45" i="4"/>
  <c r="B45" i="4"/>
  <c r="Q44" i="4"/>
  <c r="R44" i="4" s="1"/>
  <c r="N44" i="4"/>
  <c r="O44" i="4" s="1"/>
  <c r="K44" i="4"/>
  <c r="L44" i="4" s="1"/>
  <c r="H44" i="4"/>
  <c r="I44" i="4" s="1"/>
  <c r="E44" i="4"/>
  <c r="F44" i="4" s="1"/>
  <c r="C44" i="4"/>
  <c r="B44" i="4"/>
  <c r="Q43" i="4"/>
  <c r="R43" i="4" s="1"/>
  <c r="N43" i="4"/>
  <c r="O43" i="4" s="1"/>
  <c r="K43" i="4"/>
  <c r="L43" i="4" s="1"/>
  <c r="H43" i="4"/>
  <c r="I43" i="4" s="1"/>
  <c r="E43" i="4"/>
  <c r="F43" i="4" s="1"/>
  <c r="C43" i="4"/>
  <c r="B43" i="4"/>
  <c r="Q42" i="4"/>
  <c r="R42" i="4" s="1"/>
  <c r="N42" i="4"/>
  <c r="O42" i="4" s="1"/>
  <c r="K42" i="4"/>
  <c r="L42" i="4" s="1"/>
  <c r="H42" i="4"/>
  <c r="I42" i="4" s="1"/>
  <c r="E42" i="4"/>
  <c r="F42" i="4" s="1"/>
  <c r="C42" i="4"/>
  <c r="B42" i="4"/>
  <c r="Q41" i="4"/>
  <c r="R41" i="4" s="1"/>
  <c r="N41" i="4"/>
  <c r="O41" i="4" s="1"/>
  <c r="L41" i="4"/>
  <c r="K41" i="4"/>
  <c r="H41" i="4"/>
  <c r="I41" i="4" s="1"/>
  <c r="E41" i="4"/>
  <c r="F41" i="4" s="1"/>
  <c r="C41" i="4"/>
  <c r="B41" i="4"/>
  <c r="Q40" i="4"/>
  <c r="R40" i="4" s="1"/>
  <c r="N40" i="4"/>
  <c r="O40" i="4" s="1"/>
  <c r="K40" i="4"/>
  <c r="L40" i="4" s="1"/>
  <c r="H40" i="4"/>
  <c r="I40" i="4" s="1"/>
  <c r="E40" i="4"/>
  <c r="F40" i="4" s="1"/>
  <c r="C40" i="4"/>
  <c r="B40" i="4"/>
  <c r="Q39" i="4"/>
  <c r="R39" i="4" s="1"/>
  <c r="N39" i="4"/>
  <c r="O39" i="4" s="1"/>
  <c r="K39" i="4"/>
  <c r="L39" i="4" s="1"/>
  <c r="H39" i="4"/>
  <c r="I39" i="4" s="1"/>
  <c r="E39" i="4"/>
  <c r="F39" i="4" s="1"/>
  <c r="C39" i="4"/>
  <c r="B39" i="4"/>
  <c r="Q38" i="4"/>
  <c r="R38" i="4" s="1"/>
  <c r="N38" i="4"/>
  <c r="O38" i="4" s="1"/>
  <c r="K38" i="4"/>
  <c r="L38" i="4" s="1"/>
  <c r="H38" i="4"/>
  <c r="I38" i="4" s="1"/>
  <c r="E38" i="4"/>
  <c r="F38" i="4" s="1"/>
  <c r="C38" i="4"/>
  <c r="B38" i="4"/>
  <c r="Q37" i="4"/>
  <c r="R37" i="4" s="1"/>
  <c r="N37" i="4"/>
  <c r="O37" i="4" s="1"/>
  <c r="K37" i="4"/>
  <c r="L37" i="4" s="1"/>
  <c r="H37" i="4"/>
  <c r="I37" i="4" s="1"/>
  <c r="E37" i="4"/>
  <c r="F37" i="4" s="1"/>
  <c r="C37" i="4"/>
  <c r="B37" i="4"/>
  <c r="R36" i="4"/>
  <c r="Q36" i="4"/>
  <c r="N36" i="4"/>
  <c r="O36" i="4" s="1"/>
  <c r="K36" i="4"/>
  <c r="L36" i="4" s="1"/>
  <c r="H36" i="4"/>
  <c r="I36" i="4" s="1"/>
  <c r="E36" i="4"/>
  <c r="F36" i="4" s="1"/>
  <c r="C36" i="4"/>
  <c r="B36" i="4"/>
  <c r="Q35" i="4"/>
  <c r="R35" i="4" s="1"/>
  <c r="N35" i="4"/>
  <c r="O35" i="4" s="1"/>
  <c r="L35" i="4"/>
  <c r="K35" i="4"/>
  <c r="H35" i="4"/>
  <c r="I35" i="4" s="1"/>
  <c r="F35" i="4"/>
  <c r="E35" i="4"/>
  <c r="C35" i="4"/>
  <c r="B35" i="4"/>
  <c r="Q34" i="4"/>
  <c r="R34" i="4" s="1"/>
  <c r="N34" i="4"/>
  <c r="O34" i="4" s="1"/>
  <c r="K34" i="4"/>
  <c r="L34" i="4" s="1"/>
  <c r="H34" i="4"/>
  <c r="I34" i="4" s="1"/>
  <c r="E34" i="4"/>
  <c r="F34" i="4" s="1"/>
  <c r="C34" i="4"/>
  <c r="B34" i="4"/>
  <c r="Q33" i="4"/>
  <c r="R33" i="4" s="1"/>
  <c r="N33" i="4"/>
  <c r="O33" i="4" s="1"/>
  <c r="L33" i="4"/>
  <c r="K33" i="4"/>
  <c r="H33" i="4"/>
  <c r="I33" i="4" s="1"/>
  <c r="E33" i="4"/>
  <c r="F33" i="4" s="1"/>
  <c r="C33" i="4"/>
  <c r="B33" i="4"/>
  <c r="R32" i="4"/>
  <c r="Q32" i="4"/>
  <c r="N32" i="4"/>
  <c r="O32" i="4" s="1"/>
  <c r="K32" i="4"/>
  <c r="L32" i="4" s="1"/>
  <c r="H32" i="4"/>
  <c r="I32" i="4" s="1"/>
  <c r="E32" i="4"/>
  <c r="F32" i="4" s="1"/>
  <c r="C32" i="4"/>
  <c r="B32" i="4"/>
  <c r="Q31" i="4"/>
  <c r="R31" i="4" s="1"/>
  <c r="N31" i="4"/>
  <c r="O31" i="4" s="1"/>
  <c r="K31" i="4"/>
  <c r="L31" i="4" s="1"/>
  <c r="H31" i="4"/>
  <c r="I31" i="4" s="1"/>
  <c r="E31" i="4"/>
  <c r="F31" i="4" s="1"/>
  <c r="C31" i="4"/>
  <c r="B31" i="4"/>
  <c r="R30" i="4"/>
  <c r="Q30" i="4"/>
  <c r="N30" i="4"/>
  <c r="O30" i="4" s="1"/>
  <c r="K30" i="4"/>
  <c r="L30" i="4" s="1"/>
  <c r="H30" i="4"/>
  <c r="I30" i="4" s="1"/>
  <c r="E30" i="4"/>
  <c r="F30" i="4" s="1"/>
  <c r="C30" i="4"/>
  <c r="B30" i="4"/>
  <c r="Q29" i="4"/>
  <c r="R29" i="4" s="1"/>
  <c r="N29" i="4"/>
  <c r="O29" i="4" s="1"/>
  <c r="K29" i="4"/>
  <c r="L29" i="4" s="1"/>
  <c r="H29" i="4"/>
  <c r="I29" i="4" s="1"/>
  <c r="E29" i="4"/>
  <c r="F29" i="4" s="1"/>
  <c r="C29" i="4"/>
  <c r="B29" i="4"/>
  <c r="Q28" i="4"/>
  <c r="R28" i="4" s="1"/>
  <c r="O28" i="4"/>
  <c r="N28" i="4"/>
  <c r="K28" i="4"/>
  <c r="L28" i="4" s="1"/>
  <c r="H28" i="4"/>
  <c r="I28" i="4" s="1"/>
  <c r="E28" i="4"/>
  <c r="F28" i="4" s="1"/>
  <c r="C28" i="4"/>
  <c r="B28" i="4"/>
  <c r="Q27" i="4"/>
  <c r="R27" i="4" s="1"/>
  <c r="N27" i="4"/>
  <c r="O27" i="4" s="1"/>
  <c r="K27" i="4"/>
  <c r="L27" i="4" s="1"/>
  <c r="I27" i="4"/>
  <c r="H27" i="4"/>
  <c r="E27" i="4"/>
  <c r="F27" i="4" s="1"/>
  <c r="C27" i="4"/>
  <c r="B27" i="4"/>
  <c r="Q26" i="4"/>
  <c r="R26" i="4" s="1"/>
  <c r="O26" i="4"/>
  <c r="N26" i="4"/>
  <c r="K26" i="4"/>
  <c r="L26" i="4" s="1"/>
  <c r="H26" i="4"/>
  <c r="I26" i="4" s="1"/>
  <c r="E26" i="4"/>
  <c r="F26" i="4" s="1"/>
  <c r="C26" i="4"/>
  <c r="B26" i="4"/>
  <c r="Q25" i="4"/>
  <c r="R25" i="4" s="1"/>
  <c r="N25" i="4"/>
  <c r="O25" i="4" s="1"/>
  <c r="K25" i="4"/>
  <c r="L25" i="4" s="1"/>
  <c r="H25" i="4"/>
  <c r="I25" i="4" s="1"/>
  <c r="E25" i="4"/>
  <c r="F25" i="4" s="1"/>
  <c r="C25" i="4"/>
  <c r="B25" i="4"/>
  <c r="Q24" i="4"/>
  <c r="R24" i="4" s="1"/>
  <c r="N24" i="4"/>
  <c r="O24" i="4" s="1"/>
  <c r="K24" i="4"/>
  <c r="L24" i="4" s="1"/>
  <c r="H24" i="4"/>
  <c r="I24" i="4" s="1"/>
  <c r="E24" i="4"/>
  <c r="F24" i="4" s="1"/>
  <c r="C24" i="4"/>
  <c r="B24" i="4"/>
  <c r="R23" i="4"/>
  <c r="Q23" i="4"/>
  <c r="O23" i="4"/>
  <c r="N23" i="4"/>
  <c r="L23" i="4"/>
  <c r="K23" i="4"/>
  <c r="I23" i="4"/>
  <c r="S23" i="4" s="1"/>
  <c r="E23" i="11" s="1"/>
  <c r="M23" i="11" s="1"/>
  <c r="H23" i="4"/>
  <c r="F23" i="4"/>
  <c r="E23" i="4"/>
  <c r="C23" i="4"/>
  <c r="B23" i="4"/>
  <c r="R22" i="4"/>
  <c r="Q22" i="4"/>
  <c r="O22" i="4"/>
  <c r="N22" i="4"/>
  <c r="L22" i="4"/>
  <c r="K22" i="4"/>
  <c r="I22" i="4"/>
  <c r="H22" i="4"/>
  <c r="F22" i="4"/>
  <c r="S22" i="4" s="1"/>
  <c r="E22" i="11" s="1"/>
  <c r="E22" i="4"/>
  <c r="C22" i="4"/>
  <c r="B22" i="4"/>
  <c r="R21" i="4"/>
  <c r="Q21" i="4"/>
  <c r="N21" i="4"/>
  <c r="O21" i="4" s="1"/>
  <c r="L21" i="4"/>
  <c r="K21" i="4"/>
  <c r="I21" i="4"/>
  <c r="H21" i="4"/>
  <c r="F21" i="4"/>
  <c r="S21" i="4" s="1"/>
  <c r="E21" i="11" s="1"/>
  <c r="M21" i="11" s="1"/>
  <c r="E21" i="4"/>
  <c r="C21" i="4"/>
  <c r="B21" i="4"/>
  <c r="R20" i="4"/>
  <c r="S20" i="4" s="1"/>
  <c r="E20" i="11" s="1"/>
  <c r="M20" i="11" s="1"/>
  <c r="Q20" i="4"/>
  <c r="O20" i="4"/>
  <c r="N20" i="4"/>
  <c r="L20" i="4"/>
  <c r="K20" i="4"/>
  <c r="I20" i="4"/>
  <c r="H20" i="4"/>
  <c r="F20" i="4"/>
  <c r="E20" i="4"/>
  <c r="C20" i="4"/>
  <c r="B20" i="4"/>
  <c r="R19" i="4"/>
  <c r="Q19" i="4"/>
  <c r="N19" i="4"/>
  <c r="O19" i="4" s="1"/>
  <c r="S19" i="4" s="1"/>
  <c r="E19" i="11" s="1"/>
  <c r="L19" i="4"/>
  <c r="K19" i="4"/>
  <c r="I19" i="4"/>
  <c r="H19" i="4"/>
  <c r="F19" i="4"/>
  <c r="E19" i="4"/>
  <c r="C19" i="4"/>
  <c r="B19" i="4"/>
  <c r="R18" i="4"/>
  <c r="Q18" i="4"/>
  <c r="O18" i="4"/>
  <c r="N18" i="4"/>
  <c r="L18" i="4"/>
  <c r="K18" i="4"/>
  <c r="I18" i="4"/>
  <c r="H18" i="4"/>
  <c r="F18" i="4"/>
  <c r="S18" i="4" s="1"/>
  <c r="E18" i="11" s="1"/>
  <c r="M18" i="11" s="1"/>
  <c r="E18" i="4"/>
  <c r="C18" i="4"/>
  <c r="B18" i="4"/>
  <c r="R17" i="4"/>
  <c r="Q17" i="4"/>
  <c r="O17" i="4"/>
  <c r="N17" i="4"/>
  <c r="L17" i="4"/>
  <c r="K17" i="4"/>
  <c r="I17" i="4"/>
  <c r="H17" i="4"/>
  <c r="F17" i="4"/>
  <c r="S17" i="4" s="1"/>
  <c r="E17" i="11" s="1"/>
  <c r="E17" i="4"/>
  <c r="C17" i="4"/>
  <c r="B17" i="4"/>
  <c r="R16" i="4"/>
  <c r="Q16" i="4"/>
  <c r="N16" i="4"/>
  <c r="O16" i="4" s="1"/>
  <c r="L16" i="4"/>
  <c r="K16" i="4"/>
  <c r="I16" i="4"/>
  <c r="H16" i="4"/>
  <c r="F16" i="4"/>
  <c r="E16" i="4"/>
  <c r="C16" i="4"/>
  <c r="B16" i="4"/>
  <c r="R15" i="4"/>
  <c r="Q15" i="4"/>
  <c r="N15" i="4"/>
  <c r="O15" i="4" s="1"/>
  <c r="K15" i="4"/>
  <c r="L15" i="4" s="1"/>
  <c r="S15" i="4" s="1"/>
  <c r="E15" i="11" s="1"/>
  <c r="I15" i="4"/>
  <c r="H15" i="4"/>
  <c r="F15" i="4"/>
  <c r="E15" i="4"/>
  <c r="C15" i="4"/>
  <c r="B15" i="4"/>
  <c r="R14" i="4"/>
  <c r="Q14" i="4"/>
  <c r="O14" i="4"/>
  <c r="N14" i="4"/>
  <c r="L14" i="4"/>
  <c r="K14" i="4"/>
  <c r="I14" i="4"/>
  <c r="S14" i="4" s="1"/>
  <c r="E14" i="11" s="1"/>
  <c r="H14" i="4"/>
  <c r="F14" i="4"/>
  <c r="E14" i="4"/>
  <c r="C14" i="4"/>
  <c r="B14" i="4"/>
  <c r="R13" i="4"/>
  <c r="Q13" i="4"/>
  <c r="O13" i="4"/>
  <c r="N13" i="4"/>
  <c r="K13" i="4"/>
  <c r="L13" i="4" s="1"/>
  <c r="S13" i="4" s="1"/>
  <c r="E13" i="11" s="1"/>
  <c r="M13" i="11" s="1"/>
  <c r="I13" i="4"/>
  <c r="H13" i="4"/>
  <c r="F13" i="4"/>
  <c r="E13" i="4"/>
  <c r="C13" i="4"/>
  <c r="B13" i="4"/>
  <c r="R12" i="4"/>
  <c r="Q12" i="4"/>
  <c r="O12" i="4"/>
  <c r="N12" i="4"/>
  <c r="L12" i="4"/>
  <c r="K12" i="4"/>
  <c r="I12" i="4"/>
  <c r="H12" i="4"/>
  <c r="F12" i="4"/>
  <c r="E12" i="4"/>
  <c r="C12" i="4"/>
  <c r="B12" i="4"/>
  <c r="R11" i="4"/>
  <c r="Q11" i="4"/>
  <c r="O11" i="4"/>
  <c r="N11" i="4"/>
  <c r="L11" i="4"/>
  <c r="S11" i="4" s="1"/>
  <c r="E11" i="11" s="1"/>
  <c r="K11" i="4"/>
  <c r="I11" i="4"/>
  <c r="H11" i="4"/>
  <c r="F11" i="4"/>
  <c r="E11" i="4"/>
  <c r="C11" i="4"/>
  <c r="B11" i="4"/>
  <c r="R10" i="4"/>
  <c r="Q10" i="4"/>
  <c r="O10" i="4"/>
  <c r="N10" i="4"/>
  <c r="K10" i="4"/>
  <c r="L10" i="4" s="1"/>
  <c r="H10" i="4"/>
  <c r="I10" i="4" s="1"/>
  <c r="F10" i="4"/>
  <c r="E10" i="4"/>
  <c r="C10" i="4"/>
  <c r="B10" i="4"/>
  <c r="R9" i="4"/>
  <c r="Q9" i="4"/>
  <c r="O9" i="4"/>
  <c r="N9" i="4"/>
  <c r="K9" i="4"/>
  <c r="L9" i="4" s="1"/>
  <c r="H9" i="4"/>
  <c r="I9" i="4" s="1"/>
  <c r="S9" i="4" s="1"/>
  <c r="E9" i="11" s="1"/>
  <c r="F9" i="4"/>
  <c r="E9" i="4"/>
  <c r="C9" i="4"/>
  <c r="B9" i="4"/>
  <c r="R8" i="4"/>
  <c r="S8" i="4" s="1"/>
  <c r="E8" i="11" s="1"/>
  <c r="Q8" i="4"/>
  <c r="O8" i="4"/>
  <c r="N8" i="4"/>
  <c r="L8" i="4"/>
  <c r="K8" i="4"/>
  <c r="I8" i="4"/>
  <c r="H8" i="4"/>
  <c r="F8" i="4"/>
  <c r="E8" i="4"/>
  <c r="C8" i="4"/>
  <c r="B8" i="4"/>
  <c r="Q7" i="4"/>
  <c r="R7" i="4" s="1"/>
  <c r="O7" i="4"/>
  <c r="N7" i="4"/>
  <c r="K7" i="4"/>
  <c r="L7" i="4" s="1"/>
  <c r="I7" i="4"/>
  <c r="H7" i="4"/>
  <c r="F7" i="4"/>
  <c r="E7" i="4"/>
  <c r="C7" i="4"/>
  <c r="B7" i="4"/>
  <c r="Q6" i="4"/>
  <c r="R6" i="4" s="1"/>
  <c r="O6" i="4"/>
  <c r="N6" i="4"/>
  <c r="K6" i="4"/>
  <c r="L6" i="4" s="1"/>
  <c r="I6" i="4"/>
  <c r="H6" i="4"/>
  <c r="F6" i="4"/>
  <c r="E6" i="4"/>
  <c r="C6" i="4"/>
  <c r="B6" i="4"/>
  <c r="Q5" i="4"/>
  <c r="R5" i="4" s="1"/>
  <c r="O5" i="4"/>
  <c r="N5" i="4"/>
  <c r="L5" i="4"/>
  <c r="K5" i="4"/>
  <c r="I5" i="4"/>
  <c r="H5" i="4"/>
  <c r="E5" i="4"/>
  <c r="F5" i="4" s="1"/>
  <c r="S5" i="4" s="1"/>
  <c r="E5" i="11" s="1"/>
  <c r="C5" i="4"/>
  <c r="B5" i="4"/>
  <c r="R4" i="4"/>
  <c r="Q4" i="4"/>
  <c r="O4" i="4"/>
  <c r="N4" i="4"/>
  <c r="L4" i="4"/>
  <c r="K4" i="4"/>
  <c r="H4" i="4"/>
  <c r="I4" i="4" s="1"/>
  <c r="E4" i="4"/>
  <c r="F4" i="4" s="1"/>
  <c r="S4" i="4" s="1"/>
  <c r="E4" i="11" s="1"/>
  <c r="C4" i="4"/>
  <c r="B4" i="4"/>
  <c r="W103" i="3"/>
  <c r="U103" i="3"/>
  <c r="S103" i="3"/>
  <c r="Q103" i="3"/>
  <c r="O103" i="3"/>
  <c r="M103" i="3"/>
  <c r="X103" i="3" s="1"/>
  <c r="D103" i="11" s="1"/>
  <c r="K103" i="3"/>
  <c r="I103" i="3"/>
  <c r="G103" i="3"/>
  <c r="E103" i="3"/>
  <c r="C103" i="3"/>
  <c r="B103" i="3"/>
  <c r="W102" i="3"/>
  <c r="U102" i="3"/>
  <c r="S102" i="3"/>
  <c r="Q102" i="3"/>
  <c r="O102" i="3"/>
  <c r="M102" i="3"/>
  <c r="K102" i="3"/>
  <c r="I102" i="3"/>
  <c r="G102" i="3"/>
  <c r="E102" i="3"/>
  <c r="X102" i="3" s="1"/>
  <c r="D102" i="11" s="1"/>
  <c r="C102" i="3"/>
  <c r="B102" i="3"/>
  <c r="W101" i="3"/>
  <c r="U101" i="3"/>
  <c r="S101" i="3"/>
  <c r="Q101" i="3"/>
  <c r="O101" i="3"/>
  <c r="M101" i="3"/>
  <c r="K101" i="3"/>
  <c r="I101" i="3"/>
  <c r="G101" i="3"/>
  <c r="E101" i="3"/>
  <c r="X101" i="3" s="1"/>
  <c r="D101" i="11" s="1"/>
  <c r="C101" i="3"/>
  <c r="B101" i="3"/>
  <c r="X100" i="3"/>
  <c r="D100" i="11" s="1"/>
  <c r="W100" i="3"/>
  <c r="U100" i="3"/>
  <c r="S100" i="3"/>
  <c r="Q100" i="3"/>
  <c r="O100" i="3"/>
  <c r="M100" i="3"/>
  <c r="K100" i="3"/>
  <c r="I100" i="3"/>
  <c r="G100" i="3"/>
  <c r="E100" i="3"/>
  <c r="C100" i="3"/>
  <c r="B100" i="3"/>
  <c r="W99" i="3"/>
  <c r="U99" i="3"/>
  <c r="S99" i="3"/>
  <c r="X99" i="3" s="1"/>
  <c r="D99" i="11" s="1"/>
  <c r="Q99" i="3"/>
  <c r="O99" i="3"/>
  <c r="M99" i="3"/>
  <c r="K99" i="3"/>
  <c r="I99" i="3"/>
  <c r="G99" i="3"/>
  <c r="E99" i="3"/>
  <c r="C99" i="3"/>
  <c r="B99" i="3"/>
  <c r="W98" i="3"/>
  <c r="U98" i="3"/>
  <c r="S98" i="3"/>
  <c r="Q98" i="3"/>
  <c r="O98" i="3"/>
  <c r="M98" i="3"/>
  <c r="K98" i="3"/>
  <c r="I98" i="3"/>
  <c r="G98" i="3"/>
  <c r="E98" i="3"/>
  <c r="C98" i="3"/>
  <c r="B98" i="3"/>
  <c r="W97" i="3"/>
  <c r="U97" i="3"/>
  <c r="S97" i="3"/>
  <c r="Q97" i="3"/>
  <c r="O97" i="3"/>
  <c r="M97" i="3"/>
  <c r="K97" i="3"/>
  <c r="I97" i="3"/>
  <c r="G97" i="3"/>
  <c r="E97" i="3"/>
  <c r="X97" i="3" s="1"/>
  <c r="D97" i="11" s="1"/>
  <c r="C97" i="3"/>
  <c r="B97" i="3"/>
  <c r="W96" i="3"/>
  <c r="U96" i="3"/>
  <c r="S96" i="3"/>
  <c r="Q96" i="3"/>
  <c r="O96" i="3"/>
  <c r="M96" i="3"/>
  <c r="K96" i="3"/>
  <c r="I96" i="3"/>
  <c r="G96" i="3"/>
  <c r="E96" i="3"/>
  <c r="X96" i="3" s="1"/>
  <c r="D96" i="11" s="1"/>
  <c r="C96" i="3"/>
  <c r="B96" i="3"/>
  <c r="W95" i="3"/>
  <c r="X95" i="3" s="1"/>
  <c r="D95" i="11" s="1"/>
  <c r="U95" i="3"/>
  <c r="S95" i="3"/>
  <c r="Q95" i="3"/>
  <c r="O95" i="3"/>
  <c r="M95" i="3"/>
  <c r="K95" i="3"/>
  <c r="I95" i="3"/>
  <c r="G95" i="3"/>
  <c r="E95" i="3"/>
  <c r="C95" i="3"/>
  <c r="B95" i="3"/>
  <c r="W94" i="3"/>
  <c r="U94" i="3"/>
  <c r="S94" i="3"/>
  <c r="Q94" i="3"/>
  <c r="X94" i="3" s="1"/>
  <c r="D94" i="11" s="1"/>
  <c r="O94" i="3"/>
  <c r="M94" i="3"/>
  <c r="K94" i="3"/>
  <c r="I94" i="3"/>
  <c r="G94" i="3"/>
  <c r="E94" i="3"/>
  <c r="C94" i="3"/>
  <c r="B94" i="3"/>
  <c r="W93" i="3"/>
  <c r="U93" i="3"/>
  <c r="S93" i="3"/>
  <c r="Q93" i="3"/>
  <c r="O93" i="3"/>
  <c r="M93" i="3"/>
  <c r="K93" i="3"/>
  <c r="I93" i="3"/>
  <c r="G93" i="3"/>
  <c r="E93" i="3"/>
  <c r="C93" i="3"/>
  <c r="B93" i="3"/>
  <c r="W92" i="3"/>
  <c r="U92" i="3"/>
  <c r="S92" i="3"/>
  <c r="Q92" i="3"/>
  <c r="O92" i="3"/>
  <c r="M92" i="3"/>
  <c r="K92" i="3"/>
  <c r="I92" i="3"/>
  <c r="G92" i="3"/>
  <c r="E92" i="3"/>
  <c r="X92" i="3" s="1"/>
  <c r="D92" i="11" s="1"/>
  <c r="C92" i="3"/>
  <c r="B92" i="3"/>
  <c r="W91" i="3"/>
  <c r="U91" i="3"/>
  <c r="S91" i="3"/>
  <c r="Q91" i="3"/>
  <c r="O91" i="3"/>
  <c r="M91" i="3"/>
  <c r="K91" i="3"/>
  <c r="I91" i="3"/>
  <c r="G91" i="3"/>
  <c r="E91" i="3"/>
  <c r="X91" i="3" s="1"/>
  <c r="D91" i="11" s="1"/>
  <c r="C91" i="3"/>
  <c r="B91" i="3"/>
  <c r="W90" i="3"/>
  <c r="X90" i="3" s="1"/>
  <c r="D90" i="11" s="1"/>
  <c r="U90" i="3"/>
  <c r="S90" i="3"/>
  <c r="Q90" i="3"/>
  <c r="O90" i="3"/>
  <c r="M90" i="3"/>
  <c r="K90" i="3"/>
  <c r="I90" i="3"/>
  <c r="G90" i="3"/>
  <c r="E90" i="3"/>
  <c r="C90" i="3"/>
  <c r="B90" i="3"/>
  <c r="W89" i="3"/>
  <c r="U89" i="3"/>
  <c r="S89" i="3"/>
  <c r="Q89" i="3"/>
  <c r="X89" i="3" s="1"/>
  <c r="D89" i="11" s="1"/>
  <c r="O89" i="3"/>
  <c r="M89" i="3"/>
  <c r="K89" i="3"/>
  <c r="I89" i="3"/>
  <c r="G89" i="3"/>
  <c r="E89" i="3"/>
  <c r="C89" i="3"/>
  <c r="B89" i="3"/>
  <c r="W88" i="3"/>
  <c r="U88" i="3"/>
  <c r="S88" i="3"/>
  <c r="Q88" i="3"/>
  <c r="O88" i="3"/>
  <c r="M88" i="3"/>
  <c r="K88" i="3"/>
  <c r="X88" i="3" s="1"/>
  <c r="D88" i="11" s="1"/>
  <c r="I88" i="3"/>
  <c r="G88" i="3"/>
  <c r="E88" i="3"/>
  <c r="C88" i="3"/>
  <c r="B88" i="3"/>
  <c r="W87" i="3"/>
  <c r="U87" i="3"/>
  <c r="S87" i="3"/>
  <c r="Q87" i="3"/>
  <c r="O87" i="3"/>
  <c r="M87" i="3"/>
  <c r="K87" i="3"/>
  <c r="I87" i="3"/>
  <c r="G87" i="3"/>
  <c r="E87" i="3"/>
  <c r="X87" i="3" s="1"/>
  <c r="D87" i="11" s="1"/>
  <c r="C87" i="3"/>
  <c r="B87" i="3"/>
  <c r="W86" i="3"/>
  <c r="U86" i="3"/>
  <c r="S86" i="3"/>
  <c r="Q86" i="3"/>
  <c r="O86" i="3"/>
  <c r="M86" i="3"/>
  <c r="K86" i="3"/>
  <c r="I86" i="3"/>
  <c r="G86" i="3"/>
  <c r="E86" i="3"/>
  <c r="X86" i="3" s="1"/>
  <c r="D86" i="11" s="1"/>
  <c r="L86" i="11" s="1"/>
  <c r="C86" i="3"/>
  <c r="B86" i="3"/>
  <c r="X85" i="3"/>
  <c r="D85" i="11" s="1"/>
  <c r="W85" i="3"/>
  <c r="U85" i="3"/>
  <c r="S85" i="3"/>
  <c r="Q85" i="3"/>
  <c r="O85" i="3"/>
  <c r="M85" i="3"/>
  <c r="K85" i="3"/>
  <c r="I85" i="3"/>
  <c r="G85" i="3"/>
  <c r="E85" i="3"/>
  <c r="C85" i="3"/>
  <c r="B85" i="3"/>
  <c r="W84" i="3"/>
  <c r="U84" i="3"/>
  <c r="S84" i="3"/>
  <c r="X84" i="3" s="1"/>
  <c r="D84" i="11" s="1"/>
  <c r="Q84" i="3"/>
  <c r="O84" i="3"/>
  <c r="M84" i="3"/>
  <c r="K84" i="3"/>
  <c r="I84" i="3"/>
  <c r="G84" i="3"/>
  <c r="E84" i="3"/>
  <c r="C84" i="3"/>
  <c r="B84" i="3"/>
  <c r="W83" i="3"/>
  <c r="U83" i="3"/>
  <c r="S83" i="3"/>
  <c r="Q83" i="3"/>
  <c r="O83" i="3"/>
  <c r="M83" i="3"/>
  <c r="X83" i="3" s="1"/>
  <c r="D83" i="11" s="1"/>
  <c r="K83" i="3"/>
  <c r="I83" i="3"/>
  <c r="G83" i="3"/>
  <c r="E83" i="3"/>
  <c r="C83" i="3"/>
  <c r="B83" i="3"/>
  <c r="W82" i="3"/>
  <c r="U82" i="3"/>
  <c r="S82" i="3"/>
  <c r="Q82" i="3"/>
  <c r="O82" i="3"/>
  <c r="M82" i="3"/>
  <c r="K82" i="3"/>
  <c r="I82" i="3"/>
  <c r="G82" i="3"/>
  <c r="E82" i="3"/>
  <c r="X82" i="3" s="1"/>
  <c r="D82" i="11" s="1"/>
  <c r="C82" i="3"/>
  <c r="B82" i="3"/>
  <c r="W81" i="3"/>
  <c r="U81" i="3"/>
  <c r="S81" i="3"/>
  <c r="Q81" i="3"/>
  <c r="O81" i="3"/>
  <c r="M81" i="3"/>
  <c r="K81" i="3"/>
  <c r="I81" i="3"/>
  <c r="G81" i="3"/>
  <c r="E81" i="3"/>
  <c r="X81" i="3" s="1"/>
  <c r="D81" i="11" s="1"/>
  <c r="C81" i="3"/>
  <c r="B81" i="3"/>
  <c r="W80" i="3"/>
  <c r="U80" i="3"/>
  <c r="S80" i="3"/>
  <c r="Q80" i="3"/>
  <c r="O80" i="3"/>
  <c r="M80" i="3"/>
  <c r="K80" i="3"/>
  <c r="I80" i="3"/>
  <c r="G80" i="3"/>
  <c r="E80" i="3"/>
  <c r="C80" i="3"/>
  <c r="B80" i="3"/>
  <c r="W79" i="3"/>
  <c r="U79" i="3"/>
  <c r="S79" i="3"/>
  <c r="Q79" i="3"/>
  <c r="X79" i="3" s="1"/>
  <c r="D79" i="11" s="1"/>
  <c r="O79" i="3"/>
  <c r="M79" i="3"/>
  <c r="K79" i="3"/>
  <c r="I79" i="3"/>
  <c r="G79" i="3"/>
  <c r="E79" i="3"/>
  <c r="C79" i="3"/>
  <c r="B79" i="3"/>
  <c r="W78" i="3"/>
  <c r="U78" i="3"/>
  <c r="S78" i="3"/>
  <c r="Q78" i="3"/>
  <c r="O78" i="3"/>
  <c r="M78" i="3"/>
  <c r="K78" i="3"/>
  <c r="X78" i="3" s="1"/>
  <c r="D78" i="11" s="1"/>
  <c r="I78" i="3"/>
  <c r="G78" i="3"/>
  <c r="E78" i="3"/>
  <c r="C78" i="3"/>
  <c r="B78" i="3"/>
  <c r="W77" i="3"/>
  <c r="U77" i="3"/>
  <c r="S77" i="3"/>
  <c r="Q77" i="3"/>
  <c r="O77" i="3"/>
  <c r="M77" i="3"/>
  <c r="K77" i="3"/>
  <c r="I77" i="3"/>
  <c r="G77" i="3"/>
  <c r="E77" i="3"/>
  <c r="X77" i="3" s="1"/>
  <c r="D77" i="11" s="1"/>
  <c r="C77" i="3"/>
  <c r="B77" i="3"/>
  <c r="W76" i="3"/>
  <c r="U76" i="3"/>
  <c r="S76" i="3"/>
  <c r="Q76" i="3"/>
  <c r="O76" i="3"/>
  <c r="M76" i="3"/>
  <c r="K76" i="3"/>
  <c r="I76" i="3"/>
  <c r="G76" i="3"/>
  <c r="E76" i="3"/>
  <c r="X76" i="3" s="1"/>
  <c r="D76" i="11" s="1"/>
  <c r="C76" i="3"/>
  <c r="B76" i="3"/>
  <c r="W75" i="3"/>
  <c r="X75" i="3" s="1"/>
  <c r="D75" i="11" s="1"/>
  <c r="U75" i="3"/>
  <c r="S75" i="3"/>
  <c r="Q75" i="3"/>
  <c r="O75" i="3"/>
  <c r="M75" i="3"/>
  <c r="K75" i="3"/>
  <c r="I75" i="3"/>
  <c r="G75" i="3"/>
  <c r="E75" i="3"/>
  <c r="C75" i="3"/>
  <c r="B75" i="3"/>
  <c r="W74" i="3"/>
  <c r="U74" i="3"/>
  <c r="S74" i="3"/>
  <c r="Q74" i="3"/>
  <c r="X74" i="3" s="1"/>
  <c r="D74" i="11" s="1"/>
  <c r="O74" i="3"/>
  <c r="M74" i="3"/>
  <c r="K74" i="3"/>
  <c r="I74" i="3"/>
  <c r="G74" i="3"/>
  <c r="E74" i="3"/>
  <c r="C74" i="3"/>
  <c r="B74" i="3"/>
  <c r="W73" i="3"/>
  <c r="U73" i="3"/>
  <c r="S73" i="3"/>
  <c r="Q73" i="3"/>
  <c r="O73" i="3"/>
  <c r="M73" i="3"/>
  <c r="K73" i="3"/>
  <c r="X73" i="3" s="1"/>
  <c r="D73" i="11" s="1"/>
  <c r="L73" i="11" s="1"/>
  <c r="I73" i="3"/>
  <c r="G73" i="3"/>
  <c r="E73" i="3"/>
  <c r="C73" i="3"/>
  <c r="B73" i="3"/>
  <c r="W72" i="3"/>
  <c r="U72" i="3"/>
  <c r="S72" i="3"/>
  <c r="Q72" i="3"/>
  <c r="O72" i="3"/>
  <c r="M72" i="3"/>
  <c r="K72" i="3"/>
  <c r="I72" i="3"/>
  <c r="G72" i="3"/>
  <c r="E72" i="3"/>
  <c r="X72" i="3" s="1"/>
  <c r="D72" i="11" s="1"/>
  <c r="L72" i="11" s="1"/>
  <c r="C72" i="3"/>
  <c r="B72" i="3"/>
  <c r="W71" i="3"/>
  <c r="U71" i="3"/>
  <c r="S71" i="3"/>
  <c r="Q71" i="3"/>
  <c r="O71" i="3"/>
  <c r="M71" i="3"/>
  <c r="K71" i="3"/>
  <c r="I71" i="3"/>
  <c r="G71" i="3"/>
  <c r="E71" i="3"/>
  <c r="X71" i="3" s="1"/>
  <c r="D71" i="11" s="1"/>
  <c r="C71" i="3"/>
  <c r="B71" i="3"/>
  <c r="X70" i="3"/>
  <c r="D70" i="11" s="1"/>
  <c r="W70" i="3"/>
  <c r="U70" i="3"/>
  <c r="S70" i="3"/>
  <c r="Q70" i="3"/>
  <c r="O70" i="3"/>
  <c r="M70" i="3"/>
  <c r="K70" i="3"/>
  <c r="I70" i="3"/>
  <c r="G70" i="3"/>
  <c r="E70" i="3"/>
  <c r="C70" i="3"/>
  <c r="B70" i="3"/>
  <c r="W69" i="3"/>
  <c r="U69" i="3"/>
  <c r="S69" i="3"/>
  <c r="X69" i="3" s="1"/>
  <c r="D69" i="11" s="1"/>
  <c r="L69" i="11" s="1"/>
  <c r="Q69" i="3"/>
  <c r="O69" i="3"/>
  <c r="M69" i="3"/>
  <c r="K69" i="3"/>
  <c r="I69" i="3"/>
  <c r="G69" i="3"/>
  <c r="E69" i="3"/>
  <c r="C69" i="3"/>
  <c r="B69" i="3"/>
  <c r="W68" i="3"/>
  <c r="U68" i="3"/>
  <c r="S68" i="3"/>
  <c r="Q68" i="3"/>
  <c r="O68" i="3"/>
  <c r="M68" i="3"/>
  <c r="X68" i="3" s="1"/>
  <c r="D68" i="11" s="1"/>
  <c r="K68" i="3"/>
  <c r="I68" i="3"/>
  <c r="G68" i="3"/>
  <c r="E68" i="3"/>
  <c r="C68" i="3"/>
  <c r="B68" i="3"/>
  <c r="W67" i="3"/>
  <c r="U67" i="3"/>
  <c r="S67" i="3"/>
  <c r="Q67" i="3"/>
  <c r="O67" i="3"/>
  <c r="M67" i="3"/>
  <c r="K67" i="3"/>
  <c r="I67" i="3"/>
  <c r="G67" i="3"/>
  <c r="X67" i="3" s="1"/>
  <c r="D67" i="11" s="1"/>
  <c r="E67" i="3"/>
  <c r="C67" i="3"/>
  <c r="B67" i="3"/>
  <c r="W66" i="3"/>
  <c r="U66" i="3"/>
  <c r="S66" i="3"/>
  <c r="Q66" i="3"/>
  <c r="O66" i="3"/>
  <c r="M66" i="3"/>
  <c r="K66" i="3"/>
  <c r="I66" i="3"/>
  <c r="G66" i="3"/>
  <c r="E66" i="3"/>
  <c r="X66" i="3" s="1"/>
  <c r="D66" i="11" s="1"/>
  <c r="C66" i="3"/>
  <c r="B66" i="3"/>
  <c r="X65" i="3"/>
  <c r="D65" i="11" s="1"/>
  <c r="W65" i="3"/>
  <c r="U65" i="3"/>
  <c r="S65" i="3"/>
  <c r="Q65" i="3"/>
  <c r="O65" i="3"/>
  <c r="M65" i="3"/>
  <c r="K65" i="3"/>
  <c r="I65" i="3"/>
  <c r="G65" i="3"/>
  <c r="E65" i="3"/>
  <c r="C65" i="3"/>
  <c r="B65" i="3"/>
  <c r="W64" i="3"/>
  <c r="U64" i="3"/>
  <c r="S64" i="3"/>
  <c r="Q64" i="3"/>
  <c r="O64" i="3"/>
  <c r="M64" i="3"/>
  <c r="K64" i="3"/>
  <c r="I64" i="3"/>
  <c r="G64" i="3"/>
  <c r="E64" i="3"/>
  <c r="C64" i="3"/>
  <c r="B64" i="3"/>
  <c r="W63" i="3"/>
  <c r="U63" i="3"/>
  <c r="S63" i="3"/>
  <c r="Q63" i="3"/>
  <c r="O63" i="3"/>
  <c r="M63" i="3"/>
  <c r="K63" i="3"/>
  <c r="X63" i="3" s="1"/>
  <c r="D63" i="11" s="1"/>
  <c r="I63" i="3"/>
  <c r="G63" i="3"/>
  <c r="E63" i="3"/>
  <c r="C63" i="3"/>
  <c r="B63" i="3"/>
  <c r="W62" i="3"/>
  <c r="U62" i="3"/>
  <c r="S62" i="3"/>
  <c r="Q62" i="3"/>
  <c r="O62" i="3"/>
  <c r="M62" i="3"/>
  <c r="K62" i="3"/>
  <c r="I62" i="3"/>
  <c r="G62" i="3"/>
  <c r="E62" i="3"/>
  <c r="X62" i="3" s="1"/>
  <c r="D62" i="11" s="1"/>
  <c r="C62" i="3"/>
  <c r="B62" i="3"/>
  <c r="W61" i="3"/>
  <c r="U61" i="3"/>
  <c r="S61" i="3"/>
  <c r="Q61" i="3"/>
  <c r="O61" i="3"/>
  <c r="M61" i="3"/>
  <c r="K61" i="3"/>
  <c r="I61" i="3"/>
  <c r="G61" i="3"/>
  <c r="E61" i="3"/>
  <c r="X61" i="3" s="1"/>
  <c r="D61" i="11" s="1"/>
  <c r="C61" i="3"/>
  <c r="B61" i="3"/>
  <c r="X60" i="3"/>
  <c r="D60" i="11" s="1"/>
  <c r="W60" i="3"/>
  <c r="U60" i="3"/>
  <c r="S60" i="3"/>
  <c r="Q60" i="3"/>
  <c r="O60" i="3"/>
  <c r="M60" i="3"/>
  <c r="K60" i="3"/>
  <c r="I60" i="3"/>
  <c r="G60" i="3"/>
  <c r="E60" i="3"/>
  <c r="C60" i="3"/>
  <c r="B60" i="3"/>
  <c r="W59" i="3"/>
  <c r="U59" i="3"/>
  <c r="S59" i="3"/>
  <c r="X59" i="3" s="1"/>
  <c r="D59" i="11" s="1"/>
  <c r="Q59" i="3"/>
  <c r="O59" i="3"/>
  <c r="M59" i="3"/>
  <c r="K59" i="3"/>
  <c r="I59" i="3"/>
  <c r="G59" i="3"/>
  <c r="E59" i="3"/>
  <c r="C59" i="3"/>
  <c r="B59" i="3"/>
  <c r="W58" i="3"/>
  <c r="U58" i="3"/>
  <c r="S58" i="3"/>
  <c r="Q58" i="3"/>
  <c r="O58" i="3"/>
  <c r="M58" i="3"/>
  <c r="X58" i="3" s="1"/>
  <c r="D58" i="11" s="1"/>
  <c r="K58" i="3"/>
  <c r="I58" i="3"/>
  <c r="G58" i="3"/>
  <c r="E58" i="3"/>
  <c r="C58" i="3"/>
  <c r="B58" i="3"/>
  <c r="W57" i="3"/>
  <c r="U57" i="3"/>
  <c r="S57" i="3"/>
  <c r="Q57" i="3"/>
  <c r="O57" i="3"/>
  <c r="M57" i="3"/>
  <c r="K57" i="3"/>
  <c r="I57" i="3"/>
  <c r="G57" i="3"/>
  <c r="X57" i="3" s="1"/>
  <c r="D57" i="11" s="1"/>
  <c r="E57" i="3"/>
  <c r="C57" i="3"/>
  <c r="B57" i="3"/>
  <c r="W56" i="3"/>
  <c r="U56" i="3"/>
  <c r="S56" i="3"/>
  <c r="Q56" i="3"/>
  <c r="O56" i="3"/>
  <c r="M56" i="3"/>
  <c r="K56" i="3"/>
  <c r="I56" i="3"/>
  <c r="G56" i="3"/>
  <c r="E56" i="3"/>
  <c r="X56" i="3" s="1"/>
  <c r="D56" i="11" s="1"/>
  <c r="C56" i="3"/>
  <c r="B56" i="3"/>
  <c r="W55" i="3"/>
  <c r="U55" i="3"/>
  <c r="S55" i="3"/>
  <c r="Q55" i="3"/>
  <c r="O55" i="3"/>
  <c r="M55" i="3"/>
  <c r="K55" i="3"/>
  <c r="I55" i="3"/>
  <c r="G55" i="3"/>
  <c r="E55" i="3"/>
  <c r="X55" i="3" s="1"/>
  <c r="D55" i="11" s="1"/>
  <c r="L55" i="11" s="1"/>
  <c r="C55" i="3"/>
  <c r="B55" i="3"/>
  <c r="W54" i="3"/>
  <c r="U54" i="3"/>
  <c r="X54" i="3" s="1"/>
  <c r="D54" i="11" s="1"/>
  <c r="S54" i="3"/>
  <c r="Q54" i="3"/>
  <c r="O54" i="3"/>
  <c r="M54" i="3"/>
  <c r="K54" i="3"/>
  <c r="I54" i="3"/>
  <c r="G54" i="3"/>
  <c r="E54" i="3"/>
  <c r="C54" i="3"/>
  <c r="B54" i="3"/>
  <c r="W53" i="3"/>
  <c r="U53" i="3"/>
  <c r="S53" i="3"/>
  <c r="Q53" i="3"/>
  <c r="O53" i="3"/>
  <c r="X53" i="3" s="1"/>
  <c r="D53" i="11" s="1"/>
  <c r="L53" i="11" s="1"/>
  <c r="M53" i="3"/>
  <c r="K53" i="3"/>
  <c r="I53" i="3"/>
  <c r="G53" i="3"/>
  <c r="E53" i="3"/>
  <c r="C53" i="3"/>
  <c r="B53" i="3"/>
  <c r="W52" i="3"/>
  <c r="U52" i="3"/>
  <c r="S52" i="3"/>
  <c r="Q52" i="3"/>
  <c r="O52" i="3"/>
  <c r="M52" i="3"/>
  <c r="K52" i="3"/>
  <c r="I52" i="3"/>
  <c r="X52" i="3" s="1"/>
  <c r="D52" i="11" s="1"/>
  <c r="G52" i="3"/>
  <c r="E52" i="3"/>
  <c r="C52" i="3"/>
  <c r="B52" i="3"/>
  <c r="W51" i="3"/>
  <c r="U51" i="3"/>
  <c r="S51" i="3"/>
  <c r="Q51" i="3"/>
  <c r="O51" i="3"/>
  <c r="M51" i="3"/>
  <c r="K51" i="3"/>
  <c r="I51" i="3"/>
  <c r="G51" i="3"/>
  <c r="E51" i="3"/>
  <c r="X51" i="3" s="1"/>
  <c r="D51" i="11" s="1"/>
  <c r="C51" i="3"/>
  <c r="B51" i="3"/>
  <c r="W50" i="3"/>
  <c r="U50" i="3"/>
  <c r="S50" i="3"/>
  <c r="Q50" i="3"/>
  <c r="O50" i="3"/>
  <c r="M50" i="3"/>
  <c r="K50" i="3"/>
  <c r="I50" i="3"/>
  <c r="G50" i="3"/>
  <c r="E50" i="3"/>
  <c r="X50" i="3" s="1"/>
  <c r="D50" i="11" s="1"/>
  <c r="C50" i="3"/>
  <c r="B50" i="3"/>
  <c r="W49" i="3"/>
  <c r="U49" i="3"/>
  <c r="Q49" i="3"/>
  <c r="O49" i="3"/>
  <c r="M49" i="3"/>
  <c r="K49" i="3"/>
  <c r="I49" i="3"/>
  <c r="G49" i="3"/>
  <c r="E49" i="3"/>
  <c r="C49" i="3"/>
  <c r="B49" i="3"/>
  <c r="W48" i="3"/>
  <c r="U48" i="3"/>
  <c r="S48" i="3"/>
  <c r="Q48" i="3"/>
  <c r="O48" i="3"/>
  <c r="M48" i="3"/>
  <c r="K48" i="3"/>
  <c r="I48" i="3"/>
  <c r="G48" i="3"/>
  <c r="E48" i="3"/>
  <c r="C48" i="3"/>
  <c r="B48" i="3"/>
  <c r="W47" i="3"/>
  <c r="U47" i="3"/>
  <c r="S47" i="3"/>
  <c r="Q47" i="3"/>
  <c r="O47" i="3"/>
  <c r="M47" i="3"/>
  <c r="K47" i="3"/>
  <c r="I47" i="3"/>
  <c r="G47" i="3"/>
  <c r="E47" i="3"/>
  <c r="C47" i="3"/>
  <c r="B47" i="3"/>
  <c r="W46" i="3"/>
  <c r="U46" i="3"/>
  <c r="S46" i="3"/>
  <c r="Q46" i="3"/>
  <c r="O46" i="3"/>
  <c r="M46" i="3"/>
  <c r="I46" i="3"/>
  <c r="G46" i="3"/>
  <c r="E46" i="3"/>
  <c r="C46" i="3"/>
  <c r="B46" i="3"/>
  <c r="W45" i="3"/>
  <c r="U45" i="3"/>
  <c r="S45" i="3"/>
  <c r="Q45" i="3"/>
  <c r="O45" i="3"/>
  <c r="M45" i="3"/>
  <c r="K45" i="3"/>
  <c r="I45" i="3"/>
  <c r="G45" i="3"/>
  <c r="E45" i="3"/>
  <c r="C45" i="3"/>
  <c r="B45" i="3"/>
  <c r="W44" i="3"/>
  <c r="U44" i="3"/>
  <c r="S44" i="3"/>
  <c r="Q44" i="3"/>
  <c r="O44" i="3"/>
  <c r="M44" i="3"/>
  <c r="K44" i="3"/>
  <c r="I44" i="3"/>
  <c r="G44" i="3"/>
  <c r="E44" i="3"/>
  <c r="C44" i="3"/>
  <c r="B44" i="3"/>
  <c r="W43" i="3"/>
  <c r="U43" i="3"/>
  <c r="S43" i="3"/>
  <c r="Q43" i="3"/>
  <c r="O43" i="3"/>
  <c r="M43" i="3"/>
  <c r="K43" i="3"/>
  <c r="I43" i="3"/>
  <c r="G43" i="3"/>
  <c r="E43" i="3"/>
  <c r="C43" i="3"/>
  <c r="B43" i="3"/>
  <c r="W42" i="3"/>
  <c r="U42" i="3"/>
  <c r="S42" i="3"/>
  <c r="Q42" i="3"/>
  <c r="O42" i="3"/>
  <c r="M42" i="3"/>
  <c r="K42" i="3"/>
  <c r="I42" i="3"/>
  <c r="G42" i="3"/>
  <c r="E42" i="3"/>
  <c r="C42" i="3"/>
  <c r="B42" i="3"/>
  <c r="W41" i="3"/>
  <c r="U41" i="3"/>
  <c r="S41" i="3"/>
  <c r="Q41" i="3"/>
  <c r="O41" i="3"/>
  <c r="M41" i="3"/>
  <c r="K41" i="3"/>
  <c r="I41" i="3"/>
  <c r="G41" i="3"/>
  <c r="E41" i="3"/>
  <c r="C41" i="3"/>
  <c r="B41" i="3"/>
  <c r="W40" i="3"/>
  <c r="U40" i="3"/>
  <c r="S40" i="3"/>
  <c r="Q40" i="3"/>
  <c r="O40" i="3"/>
  <c r="M40" i="3"/>
  <c r="K40" i="3"/>
  <c r="I40" i="3"/>
  <c r="G40" i="3"/>
  <c r="E40" i="3"/>
  <c r="C40" i="3"/>
  <c r="B40" i="3"/>
  <c r="W39" i="3"/>
  <c r="U39" i="3"/>
  <c r="S39" i="3"/>
  <c r="Q39" i="3"/>
  <c r="O39" i="3"/>
  <c r="M39" i="3"/>
  <c r="K39" i="3"/>
  <c r="I39" i="3"/>
  <c r="G39" i="3"/>
  <c r="E39" i="3"/>
  <c r="C39" i="3"/>
  <c r="B39" i="3"/>
  <c r="W38" i="3"/>
  <c r="U38" i="3"/>
  <c r="S38" i="3"/>
  <c r="Q38" i="3"/>
  <c r="O38" i="3"/>
  <c r="M38" i="3"/>
  <c r="K38" i="3"/>
  <c r="I38" i="3"/>
  <c r="G38" i="3"/>
  <c r="E38" i="3"/>
  <c r="C38" i="3"/>
  <c r="B38" i="3"/>
  <c r="W37" i="3"/>
  <c r="U37" i="3"/>
  <c r="S37" i="3"/>
  <c r="Q37" i="3"/>
  <c r="O37" i="3"/>
  <c r="M37" i="3"/>
  <c r="K37" i="3"/>
  <c r="I37" i="3"/>
  <c r="G37" i="3"/>
  <c r="E37" i="3"/>
  <c r="C37" i="3"/>
  <c r="B37" i="3"/>
  <c r="W36" i="3"/>
  <c r="U36" i="3"/>
  <c r="S36" i="3"/>
  <c r="Q36" i="3"/>
  <c r="O36" i="3"/>
  <c r="M36" i="3"/>
  <c r="K36" i="3"/>
  <c r="I36" i="3"/>
  <c r="G36" i="3"/>
  <c r="E36" i="3"/>
  <c r="C36" i="3"/>
  <c r="B36" i="3"/>
  <c r="W35" i="3"/>
  <c r="U35" i="3"/>
  <c r="S35" i="3"/>
  <c r="Q35" i="3"/>
  <c r="O35" i="3"/>
  <c r="M35" i="3"/>
  <c r="K35" i="3"/>
  <c r="I35" i="3"/>
  <c r="G35" i="3"/>
  <c r="E35" i="3"/>
  <c r="C35" i="3"/>
  <c r="B35" i="3"/>
  <c r="W34" i="3"/>
  <c r="U34" i="3"/>
  <c r="S34" i="3"/>
  <c r="Q34" i="3"/>
  <c r="O34" i="3"/>
  <c r="M34" i="3"/>
  <c r="K34" i="3"/>
  <c r="I34" i="3"/>
  <c r="G34" i="3"/>
  <c r="E34" i="3"/>
  <c r="C34" i="3"/>
  <c r="B34" i="3"/>
  <c r="W33" i="3"/>
  <c r="U33" i="3"/>
  <c r="S33" i="3"/>
  <c r="Q33" i="3"/>
  <c r="O33" i="3"/>
  <c r="M33" i="3"/>
  <c r="K33" i="3"/>
  <c r="I33" i="3"/>
  <c r="G33" i="3"/>
  <c r="E33" i="3"/>
  <c r="C33" i="3"/>
  <c r="B33" i="3"/>
  <c r="W32" i="3"/>
  <c r="U32" i="3"/>
  <c r="S32" i="3"/>
  <c r="Q32" i="3"/>
  <c r="O32" i="3"/>
  <c r="M32" i="3"/>
  <c r="K32" i="3"/>
  <c r="I32" i="3"/>
  <c r="G32" i="3"/>
  <c r="E32" i="3"/>
  <c r="C32" i="3"/>
  <c r="B32" i="3"/>
  <c r="W31" i="3"/>
  <c r="U31" i="3"/>
  <c r="S31" i="3"/>
  <c r="Q31" i="3"/>
  <c r="O31" i="3"/>
  <c r="M31" i="3"/>
  <c r="K31" i="3"/>
  <c r="I31" i="3"/>
  <c r="G31" i="3"/>
  <c r="E31" i="3"/>
  <c r="C31" i="3"/>
  <c r="B31" i="3"/>
  <c r="W30" i="3"/>
  <c r="U30" i="3"/>
  <c r="S30" i="3"/>
  <c r="Q30" i="3"/>
  <c r="O30" i="3"/>
  <c r="M30" i="3"/>
  <c r="K30" i="3"/>
  <c r="I30" i="3"/>
  <c r="G30" i="3"/>
  <c r="E30" i="3"/>
  <c r="C30" i="3"/>
  <c r="B30" i="3"/>
  <c r="W29" i="3"/>
  <c r="U29" i="3"/>
  <c r="S29" i="3"/>
  <c r="Q29" i="3"/>
  <c r="O29" i="3"/>
  <c r="M29" i="3"/>
  <c r="K29" i="3"/>
  <c r="I29" i="3"/>
  <c r="G29" i="3"/>
  <c r="E29" i="3"/>
  <c r="C29" i="3"/>
  <c r="B29" i="3"/>
  <c r="W28" i="3"/>
  <c r="U28" i="3"/>
  <c r="S28" i="3"/>
  <c r="Q28" i="3"/>
  <c r="O28" i="3"/>
  <c r="M28" i="3"/>
  <c r="K28" i="3"/>
  <c r="I28" i="3"/>
  <c r="G28" i="3"/>
  <c r="E28" i="3"/>
  <c r="C28" i="3"/>
  <c r="B28" i="3"/>
  <c r="W27" i="3"/>
  <c r="U27" i="3"/>
  <c r="S27" i="3"/>
  <c r="Q27" i="3"/>
  <c r="O27" i="3"/>
  <c r="M27" i="3"/>
  <c r="K27" i="3"/>
  <c r="I27" i="3"/>
  <c r="G27" i="3"/>
  <c r="E27" i="3"/>
  <c r="C27" i="3"/>
  <c r="B27" i="3"/>
  <c r="W26" i="3"/>
  <c r="U26" i="3"/>
  <c r="S26" i="3"/>
  <c r="Q26" i="3"/>
  <c r="O26" i="3"/>
  <c r="M26" i="3"/>
  <c r="K26" i="3"/>
  <c r="I26" i="3"/>
  <c r="G26" i="3"/>
  <c r="E26" i="3"/>
  <c r="C26" i="3"/>
  <c r="B26" i="3"/>
  <c r="W25" i="3"/>
  <c r="U25" i="3"/>
  <c r="S25" i="3"/>
  <c r="Q25" i="3"/>
  <c r="O25" i="3"/>
  <c r="M25" i="3"/>
  <c r="K25" i="3"/>
  <c r="I25" i="3"/>
  <c r="G25" i="3"/>
  <c r="E25" i="3"/>
  <c r="C25" i="3"/>
  <c r="B25" i="3"/>
  <c r="W24" i="3"/>
  <c r="U24" i="3"/>
  <c r="S24" i="3"/>
  <c r="Q24" i="3"/>
  <c r="O24" i="3"/>
  <c r="M24" i="3"/>
  <c r="K24" i="3"/>
  <c r="I24" i="3"/>
  <c r="G24" i="3"/>
  <c r="E24" i="3"/>
  <c r="C24" i="3"/>
  <c r="B24" i="3"/>
  <c r="W23" i="3"/>
  <c r="U23" i="3"/>
  <c r="S23" i="3"/>
  <c r="X23" i="3" s="1"/>
  <c r="D23" i="11" s="1"/>
  <c r="Q23" i="3"/>
  <c r="O23" i="3"/>
  <c r="M23" i="3"/>
  <c r="K23" i="3"/>
  <c r="I23" i="3"/>
  <c r="G23" i="3"/>
  <c r="E23" i="3"/>
  <c r="C23" i="3"/>
  <c r="B23" i="3"/>
  <c r="W22" i="3"/>
  <c r="U22" i="3"/>
  <c r="S22" i="3"/>
  <c r="Q22" i="3"/>
  <c r="O22" i="3"/>
  <c r="M22" i="3"/>
  <c r="X22" i="3" s="1"/>
  <c r="D22" i="11" s="1"/>
  <c r="K22" i="3"/>
  <c r="I22" i="3"/>
  <c r="G22" i="3"/>
  <c r="E22" i="3"/>
  <c r="C22" i="3"/>
  <c r="B22" i="3"/>
  <c r="W21" i="3"/>
  <c r="U21" i="3"/>
  <c r="S21" i="3"/>
  <c r="Q21" i="3"/>
  <c r="O21" i="3"/>
  <c r="M21" i="3"/>
  <c r="K21" i="3"/>
  <c r="I21" i="3"/>
  <c r="G21" i="3"/>
  <c r="X21" i="3" s="1"/>
  <c r="D21" i="11" s="1"/>
  <c r="E21" i="3"/>
  <c r="C21" i="3"/>
  <c r="B21" i="3"/>
  <c r="W20" i="3"/>
  <c r="U20" i="3"/>
  <c r="S20" i="3"/>
  <c r="Q20" i="3"/>
  <c r="O20" i="3"/>
  <c r="M20" i="3"/>
  <c r="K20" i="3"/>
  <c r="I20" i="3"/>
  <c r="G20" i="3"/>
  <c r="X20" i="3" s="1"/>
  <c r="D20" i="11" s="1"/>
  <c r="E20" i="3"/>
  <c r="C20" i="3"/>
  <c r="B20" i="3"/>
  <c r="W19" i="3"/>
  <c r="U19" i="3"/>
  <c r="S19" i="3"/>
  <c r="Q19" i="3"/>
  <c r="O19" i="3"/>
  <c r="M19" i="3"/>
  <c r="K19" i="3"/>
  <c r="I19" i="3"/>
  <c r="G19" i="3"/>
  <c r="E19" i="3"/>
  <c r="X19" i="3" s="1"/>
  <c r="D19" i="11" s="1"/>
  <c r="C19" i="3"/>
  <c r="B19" i="3"/>
  <c r="W18" i="3"/>
  <c r="U18" i="3"/>
  <c r="S18" i="3"/>
  <c r="Q18" i="3"/>
  <c r="O18" i="3"/>
  <c r="M18" i="3"/>
  <c r="K18" i="3"/>
  <c r="I18" i="3"/>
  <c r="G18" i="3"/>
  <c r="E18" i="3"/>
  <c r="C18" i="3"/>
  <c r="B18" i="3"/>
  <c r="W17" i="3"/>
  <c r="U17" i="3"/>
  <c r="S17" i="3"/>
  <c r="Q17" i="3"/>
  <c r="O17" i="3"/>
  <c r="M17" i="3"/>
  <c r="X17" i="3" s="1"/>
  <c r="D17" i="11" s="1"/>
  <c r="K17" i="3"/>
  <c r="I17" i="3"/>
  <c r="G17" i="3"/>
  <c r="E17" i="3"/>
  <c r="C17" i="3"/>
  <c r="B17" i="3"/>
  <c r="W16" i="3"/>
  <c r="U16" i="3"/>
  <c r="S16" i="3"/>
  <c r="Q16" i="3"/>
  <c r="O16" i="3"/>
  <c r="M16" i="3"/>
  <c r="K16" i="3"/>
  <c r="I16" i="3"/>
  <c r="G16" i="3"/>
  <c r="E16" i="3"/>
  <c r="X16" i="3" s="1"/>
  <c r="D16" i="11" s="1"/>
  <c r="C16" i="3"/>
  <c r="B16" i="3"/>
  <c r="W15" i="3"/>
  <c r="U15" i="3"/>
  <c r="S15" i="3"/>
  <c r="Q15" i="3"/>
  <c r="O15" i="3"/>
  <c r="M15" i="3"/>
  <c r="K15" i="3"/>
  <c r="I15" i="3"/>
  <c r="G15" i="3"/>
  <c r="E15" i="3"/>
  <c r="X15" i="3" s="1"/>
  <c r="D15" i="11" s="1"/>
  <c r="C15" i="3"/>
  <c r="B15" i="3"/>
  <c r="X14" i="3"/>
  <c r="D14" i="11" s="1"/>
  <c r="L14" i="11" s="1"/>
  <c r="W14" i="3"/>
  <c r="U14" i="3"/>
  <c r="S14" i="3"/>
  <c r="Q14" i="3"/>
  <c r="O14" i="3"/>
  <c r="M14" i="3"/>
  <c r="K14" i="3"/>
  <c r="I14" i="3"/>
  <c r="G14" i="3"/>
  <c r="E14" i="3"/>
  <c r="C14" i="3"/>
  <c r="B14" i="3"/>
  <c r="W13" i="3"/>
  <c r="U13" i="3"/>
  <c r="S13" i="3"/>
  <c r="X13" i="3" s="1"/>
  <c r="D13" i="11" s="1"/>
  <c r="Q13" i="3"/>
  <c r="O13" i="3"/>
  <c r="M13" i="3"/>
  <c r="K13" i="3"/>
  <c r="I13" i="3"/>
  <c r="G13" i="3"/>
  <c r="E13" i="3"/>
  <c r="C13" i="3"/>
  <c r="B13" i="3"/>
  <c r="W12" i="3"/>
  <c r="U12" i="3"/>
  <c r="S12" i="3"/>
  <c r="Q12" i="3"/>
  <c r="O12" i="3"/>
  <c r="M12" i="3"/>
  <c r="X12" i="3" s="1"/>
  <c r="D12" i="11" s="1"/>
  <c r="L12" i="11" s="1"/>
  <c r="K12" i="3"/>
  <c r="I12" i="3"/>
  <c r="G12" i="3"/>
  <c r="E12" i="3"/>
  <c r="C12" i="3"/>
  <c r="B12" i="3"/>
  <c r="W11" i="3"/>
  <c r="U11" i="3"/>
  <c r="S11" i="3"/>
  <c r="Q11" i="3"/>
  <c r="O11" i="3"/>
  <c r="M11" i="3"/>
  <c r="K11" i="3"/>
  <c r="I11" i="3"/>
  <c r="G11" i="3"/>
  <c r="X11" i="3" s="1"/>
  <c r="D11" i="11" s="1"/>
  <c r="E11" i="3"/>
  <c r="C11" i="3"/>
  <c r="B11" i="3"/>
  <c r="W10" i="3"/>
  <c r="U10" i="3"/>
  <c r="S10" i="3"/>
  <c r="Q10" i="3"/>
  <c r="O10" i="3"/>
  <c r="M10" i="3"/>
  <c r="K10" i="3"/>
  <c r="I10" i="3"/>
  <c r="G10" i="3"/>
  <c r="E10" i="3"/>
  <c r="X10" i="3" s="1"/>
  <c r="D10" i="11" s="1"/>
  <c r="C10" i="3"/>
  <c r="B10" i="3"/>
  <c r="W9" i="3"/>
  <c r="U9" i="3"/>
  <c r="S9" i="3"/>
  <c r="Q9" i="3"/>
  <c r="O9" i="3"/>
  <c r="M9" i="3"/>
  <c r="K9" i="3"/>
  <c r="I9" i="3"/>
  <c r="G9" i="3"/>
  <c r="E9" i="3"/>
  <c r="X9" i="3" s="1"/>
  <c r="D9" i="11" s="1"/>
  <c r="C9" i="3"/>
  <c r="B9" i="3"/>
  <c r="W8" i="3"/>
  <c r="U8" i="3"/>
  <c r="X8" i="3" s="1"/>
  <c r="D8" i="11" s="1"/>
  <c r="S8" i="3"/>
  <c r="Q8" i="3"/>
  <c r="O8" i="3"/>
  <c r="M8" i="3"/>
  <c r="K8" i="3"/>
  <c r="I8" i="3"/>
  <c r="G8" i="3"/>
  <c r="E8" i="3"/>
  <c r="C8" i="3"/>
  <c r="B8" i="3"/>
  <c r="W7" i="3"/>
  <c r="U7" i="3"/>
  <c r="S7" i="3"/>
  <c r="Q7" i="3"/>
  <c r="O7" i="3"/>
  <c r="X7" i="3" s="1"/>
  <c r="D7" i="11" s="1"/>
  <c r="M7" i="3"/>
  <c r="K7" i="3"/>
  <c r="I7" i="3"/>
  <c r="G7" i="3"/>
  <c r="E7" i="3"/>
  <c r="C7" i="3"/>
  <c r="B7" i="3"/>
  <c r="W6" i="3"/>
  <c r="U6" i="3"/>
  <c r="S6" i="3"/>
  <c r="Q6" i="3"/>
  <c r="O6" i="3"/>
  <c r="M6" i="3"/>
  <c r="K6" i="3"/>
  <c r="I6" i="3"/>
  <c r="X6" i="3" s="1"/>
  <c r="D6" i="11" s="1"/>
  <c r="G6" i="3"/>
  <c r="E6" i="3"/>
  <c r="C6" i="3"/>
  <c r="B6" i="3"/>
  <c r="W5" i="3"/>
  <c r="U5" i="3"/>
  <c r="S5" i="3"/>
  <c r="Q5" i="3"/>
  <c r="O5" i="3"/>
  <c r="M5" i="3"/>
  <c r="K5" i="3"/>
  <c r="I5" i="3"/>
  <c r="G5" i="3"/>
  <c r="E5" i="3"/>
  <c r="X5" i="3" s="1"/>
  <c r="D5" i="11" s="1"/>
  <c r="L5" i="11" s="1"/>
  <c r="C5" i="3"/>
  <c r="B5" i="3"/>
  <c r="X4" i="3"/>
  <c r="D4" i="11" s="1"/>
  <c r="L4" i="11" s="1"/>
  <c r="C4" i="3"/>
  <c r="B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BQ24" i="5" l="1"/>
  <c r="F24" i="11" s="1"/>
  <c r="BQ102" i="5"/>
  <c r="F102" i="11" s="1"/>
  <c r="BQ22" i="5"/>
  <c r="F22" i="11" s="1"/>
  <c r="L9" i="11"/>
  <c r="L23" i="11"/>
  <c r="L57" i="11"/>
  <c r="L102" i="11"/>
  <c r="L103" i="11"/>
  <c r="L22" i="11"/>
  <c r="L78" i="11"/>
  <c r="L21" i="11"/>
  <c r="L54" i="11"/>
  <c r="L101" i="11"/>
  <c r="BQ98" i="5"/>
  <c r="F98" i="11" s="1"/>
  <c r="BQ89" i="5"/>
  <c r="F89" i="11" s="1"/>
  <c r="L89" i="11" s="1"/>
  <c r="BQ96" i="5"/>
  <c r="F96" i="11" s="1"/>
  <c r="BQ103" i="5"/>
  <c r="F103" i="11" s="1"/>
  <c r="BQ94" i="5"/>
  <c r="F94" i="11" s="1"/>
  <c r="BQ101" i="5"/>
  <c r="F101" i="11" s="1"/>
  <c r="BQ92" i="5"/>
  <c r="F92" i="11" s="1"/>
  <c r="BQ99" i="5"/>
  <c r="F99" i="11" s="1"/>
  <c r="L94" i="11"/>
  <c r="L71" i="11"/>
  <c r="L87" i="11"/>
  <c r="L7" i="11"/>
  <c r="BQ35" i="5"/>
  <c r="F35" i="11" s="1"/>
  <c r="L8" i="11"/>
  <c r="L62" i="11"/>
  <c r="L85" i="11"/>
  <c r="L82" i="11"/>
  <c r="BQ27" i="9"/>
  <c r="J27" i="11" s="1"/>
  <c r="BQ34" i="9"/>
  <c r="J34" i="11" s="1"/>
  <c r="BQ25" i="9"/>
  <c r="J25" i="11" s="1"/>
  <c r="BQ32" i="9"/>
  <c r="J32" i="11" s="1"/>
  <c r="BQ40" i="9"/>
  <c r="J40" i="11" s="1"/>
  <c r="BQ30" i="9"/>
  <c r="J30" i="11" s="1"/>
  <c r="BQ46" i="7"/>
  <c r="H46" i="11" s="1"/>
  <c r="BQ30" i="7"/>
  <c r="H30" i="11" s="1"/>
  <c r="BQ41" i="7"/>
  <c r="H41" i="11" s="1"/>
  <c r="BQ33" i="7"/>
  <c r="H33" i="11" s="1"/>
  <c r="BQ27" i="7"/>
  <c r="H27" i="11" s="1"/>
  <c r="BQ29" i="7"/>
  <c r="H29" i="11" s="1"/>
  <c r="BQ43" i="7"/>
  <c r="H43" i="11" s="1"/>
  <c r="BQ45" i="7"/>
  <c r="H45" i="11" s="1"/>
  <c r="BQ31" i="7"/>
  <c r="H31" i="11" s="1"/>
  <c r="BQ25" i="7"/>
  <c r="H25" i="11" s="1"/>
  <c r="BQ39" i="7"/>
  <c r="H39" i="11" s="1"/>
  <c r="BQ47" i="7"/>
  <c r="H47" i="11" s="1"/>
  <c r="BQ49" i="7"/>
  <c r="H49" i="11" s="1"/>
  <c r="BQ37" i="7"/>
  <c r="H37" i="11" s="1"/>
  <c r="BQ41" i="5"/>
  <c r="F41" i="11" s="1"/>
  <c r="BQ39" i="5"/>
  <c r="F39" i="11" s="1"/>
  <c r="BQ40" i="5"/>
  <c r="F40" i="11" s="1"/>
  <c r="BQ38" i="5"/>
  <c r="F38" i="11" s="1"/>
  <c r="BQ28" i="5"/>
  <c r="F28" i="11" s="1"/>
  <c r="BQ46" i="5"/>
  <c r="F46" i="11" s="1"/>
  <c r="BQ30" i="5"/>
  <c r="F30" i="11" s="1"/>
  <c r="BQ25" i="5"/>
  <c r="F25" i="11" s="1"/>
  <c r="BQ44" i="5"/>
  <c r="F44" i="11" s="1"/>
  <c r="BQ37" i="5"/>
  <c r="F37" i="11" s="1"/>
  <c r="S32" i="10"/>
  <c r="K32" i="11" s="1"/>
  <c r="S45" i="10"/>
  <c r="K45" i="11" s="1"/>
  <c r="S31" i="10"/>
  <c r="K31" i="11" s="1"/>
  <c r="S41" i="10"/>
  <c r="K41" i="11" s="1"/>
  <c r="S30" i="10"/>
  <c r="K30" i="11" s="1"/>
  <c r="S27" i="10"/>
  <c r="K27" i="11" s="1"/>
  <c r="S33" i="10"/>
  <c r="K33" i="11" s="1"/>
  <c r="S29" i="10"/>
  <c r="K29" i="11" s="1"/>
  <c r="S43" i="10"/>
  <c r="K43" i="11" s="1"/>
  <c r="S28" i="10"/>
  <c r="K28" i="11" s="1"/>
  <c r="S24" i="10"/>
  <c r="K24" i="11" s="1"/>
  <c r="S46" i="10"/>
  <c r="K46" i="11" s="1"/>
  <c r="S26" i="10"/>
  <c r="K26" i="11" s="1"/>
  <c r="S25" i="10"/>
  <c r="K25" i="11" s="1"/>
  <c r="S39" i="10"/>
  <c r="K39" i="11" s="1"/>
  <c r="S42" i="10"/>
  <c r="K42" i="11" s="1"/>
  <c r="S35" i="10"/>
  <c r="K35" i="11" s="1"/>
  <c r="S36" i="10"/>
  <c r="K36" i="11" s="1"/>
  <c r="S49" i="10"/>
  <c r="K49" i="11" s="1"/>
  <c r="S44" i="10"/>
  <c r="K44" i="11" s="1"/>
  <c r="S40" i="10"/>
  <c r="K40" i="11" s="1"/>
  <c r="S32" i="8"/>
  <c r="I32" i="11" s="1"/>
  <c r="S45" i="8"/>
  <c r="I45" i="11" s="1"/>
  <c r="S31" i="8"/>
  <c r="I31" i="11" s="1"/>
  <c r="S41" i="8"/>
  <c r="I41" i="11" s="1"/>
  <c r="S30" i="8"/>
  <c r="I30" i="11" s="1"/>
  <c r="S47" i="8"/>
  <c r="I47" i="11" s="1"/>
  <c r="S33" i="8"/>
  <c r="I33" i="11" s="1"/>
  <c r="S29" i="8"/>
  <c r="I29" i="11" s="1"/>
  <c r="S38" i="8"/>
  <c r="I38" i="11" s="1"/>
  <c r="S28" i="8"/>
  <c r="I28" i="11" s="1"/>
  <c r="S24" i="8"/>
  <c r="I24" i="11" s="1"/>
  <c r="S46" i="8"/>
  <c r="I46" i="11" s="1"/>
  <c r="S25" i="8"/>
  <c r="I25" i="11" s="1"/>
  <c r="S39" i="8"/>
  <c r="I39" i="11" s="1"/>
  <c r="S34" i="8"/>
  <c r="I34" i="11" s="1"/>
  <c r="S42" i="8"/>
  <c r="I42" i="11" s="1"/>
  <c r="S35" i="8"/>
  <c r="I35" i="11" s="1"/>
  <c r="S36" i="8"/>
  <c r="I36" i="11" s="1"/>
  <c r="S44" i="8"/>
  <c r="I44" i="11" s="1"/>
  <c r="S40" i="8"/>
  <c r="I40" i="11" s="1"/>
  <c r="S37" i="8"/>
  <c r="I37" i="11" s="1"/>
  <c r="S32" i="6"/>
  <c r="G32" i="11" s="1"/>
  <c r="S45" i="6"/>
  <c r="G45" i="11" s="1"/>
  <c r="S31" i="6"/>
  <c r="G31" i="11" s="1"/>
  <c r="S41" i="6"/>
  <c r="G41" i="11" s="1"/>
  <c r="S30" i="6"/>
  <c r="G30" i="11" s="1"/>
  <c r="S27" i="6"/>
  <c r="G27" i="11" s="1"/>
  <c r="S29" i="6"/>
  <c r="G29" i="11" s="1"/>
  <c r="S43" i="6"/>
  <c r="G43" i="11" s="1"/>
  <c r="S38" i="6"/>
  <c r="G38" i="11" s="1"/>
  <c r="S48" i="6"/>
  <c r="G48" i="11" s="1"/>
  <c r="S24" i="6"/>
  <c r="G24" i="11" s="1"/>
  <c r="S46" i="6"/>
  <c r="G46" i="11" s="1"/>
  <c r="S26" i="6"/>
  <c r="G26" i="11" s="1"/>
  <c r="S25" i="6"/>
  <c r="G25" i="11" s="1"/>
  <c r="S39" i="6"/>
  <c r="G39" i="11" s="1"/>
  <c r="S34" i="6"/>
  <c r="G34" i="11" s="1"/>
  <c r="S42" i="6"/>
  <c r="G42" i="11" s="1"/>
  <c r="S35" i="6"/>
  <c r="G35" i="11" s="1"/>
  <c r="S36" i="6"/>
  <c r="G36" i="11" s="1"/>
  <c r="S49" i="6"/>
  <c r="G49" i="11" s="1"/>
  <c r="S44" i="6"/>
  <c r="G44" i="11" s="1"/>
  <c r="S40" i="6"/>
  <c r="G40" i="11" s="1"/>
  <c r="S24" i="4"/>
  <c r="E24" i="11" s="1"/>
  <c r="S25" i="4"/>
  <c r="E25" i="11" s="1"/>
  <c r="M25" i="11" s="1"/>
  <c r="S26" i="4"/>
  <c r="E26" i="11" s="1"/>
  <c r="S27" i="4"/>
  <c r="E27" i="11" s="1"/>
  <c r="S29" i="4"/>
  <c r="E29" i="11" s="1"/>
  <c r="M29" i="11" s="1"/>
  <c r="S31" i="4"/>
  <c r="E31" i="11" s="1"/>
  <c r="S34" i="4"/>
  <c r="E34" i="11" s="1"/>
  <c r="S35" i="4"/>
  <c r="E35" i="11" s="1"/>
  <c r="S36" i="4"/>
  <c r="E36" i="11" s="1"/>
  <c r="M36" i="11" s="1"/>
  <c r="S37" i="4"/>
  <c r="E37" i="11" s="1"/>
  <c r="S39" i="4"/>
  <c r="E39" i="11" s="1"/>
  <c r="M39" i="11" s="1"/>
  <c r="S40" i="4"/>
  <c r="E40" i="11" s="1"/>
  <c r="S41" i="4"/>
  <c r="E41" i="11" s="1"/>
  <c r="S43" i="4"/>
  <c r="E43" i="11" s="1"/>
  <c r="S44" i="4"/>
  <c r="E44" i="11" s="1"/>
  <c r="S45" i="4"/>
  <c r="E45" i="11" s="1"/>
  <c r="M45" i="11" s="1"/>
  <c r="S46" i="4"/>
  <c r="E46" i="11" s="1"/>
  <c r="S47" i="4"/>
  <c r="E47" i="11" s="1"/>
  <c r="S48" i="4"/>
  <c r="E48" i="11" s="1"/>
  <c r="S49" i="4"/>
  <c r="E49" i="11" s="1"/>
  <c r="X24" i="3"/>
  <c r="D24" i="11" s="1"/>
  <c r="X25" i="3"/>
  <c r="D25" i="11" s="1"/>
  <c r="X26" i="3"/>
  <c r="D26" i="11" s="1"/>
  <c r="X27" i="3"/>
  <c r="D27" i="11" s="1"/>
  <c r="X28" i="3"/>
  <c r="D28" i="11" s="1"/>
  <c r="X29" i="3"/>
  <c r="D29" i="11" s="1"/>
  <c r="X30" i="3"/>
  <c r="D30" i="11" s="1"/>
  <c r="X31" i="3"/>
  <c r="D31" i="11" s="1"/>
  <c r="X33" i="3"/>
  <c r="D33" i="11" s="1"/>
  <c r="X35" i="3"/>
  <c r="D35" i="11" s="1"/>
  <c r="X36" i="3"/>
  <c r="D36" i="11" s="1"/>
  <c r="X38" i="3"/>
  <c r="D38" i="11" s="1"/>
  <c r="X39" i="3"/>
  <c r="D39" i="11" s="1"/>
  <c r="X40" i="3"/>
  <c r="D40" i="11" s="1"/>
  <c r="X42" i="3"/>
  <c r="D42" i="11" s="1"/>
  <c r="X43" i="3"/>
  <c r="D43" i="11" s="1"/>
  <c r="X44" i="3"/>
  <c r="D44" i="11" s="1"/>
  <c r="X45" i="3"/>
  <c r="D45" i="11" s="1"/>
  <c r="X46" i="3"/>
  <c r="D46" i="11" s="1"/>
  <c r="X47" i="3"/>
  <c r="D47" i="11" s="1"/>
  <c r="X49" i="3"/>
  <c r="D49" i="11" s="1"/>
  <c r="X41" i="3"/>
  <c r="D41" i="11" s="1"/>
  <c r="X37" i="3"/>
  <c r="D37" i="11" s="1"/>
  <c r="L15" i="11"/>
  <c r="M93" i="11"/>
  <c r="L51" i="11"/>
  <c r="M87" i="11"/>
  <c r="M19" i="11"/>
  <c r="L76" i="11"/>
  <c r="M4" i="11"/>
  <c r="M59" i="11"/>
  <c r="S7" i="4"/>
  <c r="E7" i="11" s="1"/>
  <c r="M7" i="11" s="1"/>
  <c r="L67" i="11"/>
  <c r="M103" i="11"/>
  <c r="M5" i="11"/>
  <c r="L83" i="11"/>
  <c r="S6" i="6"/>
  <c r="G6" i="11" s="1"/>
  <c r="M76" i="11"/>
  <c r="S30" i="4"/>
  <c r="E30" i="11" s="1"/>
  <c r="M30" i="11" s="1"/>
  <c r="M41" i="11"/>
  <c r="S62" i="4"/>
  <c r="E62" i="11" s="1"/>
  <c r="M62" i="11" s="1"/>
  <c r="M73" i="11"/>
  <c r="S94" i="4"/>
  <c r="E94" i="11" s="1"/>
  <c r="M94" i="11" s="1"/>
  <c r="BQ10" i="5"/>
  <c r="F10" i="11" s="1"/>
  <c r="L10" i="11" s="1"/>
  <c r="BQ26" i="5"/>
  <c r="F26" i="11" s="1"/>
  <c r="BQ42" i="5"/>
  <c r="F42" i="11" s="1"/>
  <c r="BQ58" i="5"/>
  <c r="F58" i="11" s="1"/>
  <c r="BQ74" i="5"/>
  <c r="F74" i="11" s="1"/>
  <c r="L74" i="11" s="1"/>
  <c r="BQ90" i="5"/>
  <c r="F90" i="11" s="1"/>
  <c r="L90" i="11" s="1"/>
  <c r="S47" i="6"/>
  <c r="G47" i="11" s="1"/>
  <c r="S69" i="6"/>
  <c r="G69" i="11" s="1"/>
  <c r="S83" i="6"/>
  <c r="G83" i="11" s="1"/>
  <c r="M83" i="11" s="1"/>
  <c r="BQ16" i="7"/>
  <c r="H16" i="11" s="1"/>
  <c r="BQ32" i="7"/>
  <c r="H32" i="11" s="1"/>
  <c r="BQ48" i="7"/>
  <c r="H48" i="11" s="1"/>
  <c r="BQ64" i="7"/>
  <c r="H64" i="11" s="1"/>
  <c r="BQ80" i="7"/>
  <c r="H80" i="11" s="1"/>
  <c r="BQ96" i="7"/>
  <c r="H96" i="11" s="1"/>
  <c r="S58" i="8"/>
  <c r="I58" i="11" s="1"/>
  <c r="BQ6" i="9"/>
  <c r="J6" i="11" s="1"/>
  <c r="L6" i="11" s="1"/>
  <c r="BQ38" i="9"/>
  <c r="J38" i="11" s="1"/>
  <c r="BQ70" i="9"/>
  <c r="J70" i="11" s="1"/>
  <c r="L70" i="11"/>
  <c r="M57" i="11"/>
  <c r="S8" i="6"/>
  <c r="G8" i="11" s="1"/>
  <c r="M8" i="11" s="1"/>
  <c r="X80" i="3"/>
  <c r="D80" i="11" s="1"/>
  <c r="M80" i="11"/>
  <c r="M9" i="11"/>
  <c r="X18" i="3"/>
  <c r="D18" i="11" s="1"/>
  <c r="L18" i="11" s="1"/>
  <c r="S12" i="4"/>
  <c r="E12" i="11" s="1"/>
  <c r="S16" i="4"/>
  <c r="E16" i="11" s="1"/>
  <c r="M16" i="11" s="1"/>
  <c r="BQ17" i="5"/>
  <c r="F17" i="11" s="1"/>
  <c r="L17" i="11" s="1"/>
  <c r="BQ33" i="5"/>
  <c r="F33" i="11" s="1"/>
  <c r="BQ49" i="5"/>
  <c r="F49" i="11" s="1"/>
  <c r="BQ65" i="5"/>
  <c r="F65" i="11" s="1"/>
  <c r="L65" i="11" s="1"/>
  <c r="BQ81" i="5"/>
  <c r="F81" i="11" s="1"/>
  <c r="L81" i="11" s="1"/>
  <c r="BQ97" i="5"/>
  <c r="F97" i="11" s="1"/>
  <c r="L97" i="11" s="1"/>
  <c r="S65" i="6"/>
  <c r="G65" i="11" s="1"/>
  <c r="S91" i="6"/>
  <c r="G91" i="11" s="1"/>
  <c r="M91" i="11" s="1"/>
  <c r="S6" i="8"/>
  <c r="I6" i="11" s="1"/>
  <c r="S75" i="8"/>
  <c r="I75" i="11" s="1"/>
  <c r="M75" i="11" s="1"/>
  <c r="S101" i="8"/>
  <c r="I101" i="11" s="1"/>
  <c r="BQ36" i="9"/>
  <c r="J36" i="11" s="1"/>
  <c r="BQ68" i="9"/>
  <c r="J68" i="11" s="1"/>
  <c r="BQ98" i="9"/>
  <c r="J98" i="11" s="1"/>
  <c r="S11" i="6"/>
  <c r="G11" i="11" s="1"/>
  <c r="M11" i="11" s="1"/>
  <c r="L66" i="11"/>
  <c r="M81" i="11"/>
  <c r="M90" i="11"/>
  <c r="L50" i="11"/>
  <c r="X34" i="3"/>
  <c r="D34" i="11" s="1"/>
  <c r="L34" i="11" s="1"/>
  <c r="S70" i="4"/>
  <c r="E70" i="11" s="1"/>
  <c r="M70" i="11" s="1"/>
  <c r="S97" i="8"/>
  <c r="I97" i="11" s="1"/>
  <c r="S33" i="4"/>
  <c r="E33" i="11" s="1"/>
  <c r="S65" i="4"/>
  <c r="E65" i="11" s="1"/>
  <c r="S97" i="4"/>
  <c r="E97" i="11" s="1"/>
  <c r="BQ15" i="5"/>
  <c r="F15" i="11" s="1"/>
  <c r="BQ31" i="5"/>
  <c r="F31" i="11" s="1"/>
  <c r="BQ47" i="5"/>
  <c r="F47" i="11" s="1"/>
  <c r="BQ63" i="5"/>
  <c r="F63" i="11" s="1"/>
  <c r="L63" i="11" s="1"/>
  <c r="BQ79" i="5"/>
  <c r="F79" i="11" s="1"/>
  <c r="L79" i="11" s="1"/>
  <c r="BQ95" i="5"/>
  <c r="F95" i="11" s="1"/>
  <c r="L95" i="11" s="1"/>
  <c r="S12" i="6"/>
  <c r="G12" i="11" s="1"/>
  <c r="S60" i="6"/>
  <c r="G60" i="11" s="1"/>
  <c r="S5" i="8"/>
  <c r="I5" i="11" s="1"/>
  <c r="S49" i="8"/>
  <c r="I49" i="11" s="1"/>
  <c r="M49" i="11" s="1"/>
  <c r="S79" i="8"/>
  <c r="I79" i="11" s="1"/>
  <c r="M79" i="11" s="1"/>
  <c r="L16" i="11"/>
  <c r="M14" i="11"/>
  <c r="M58" i="11"/>
  <c r="S86" i="6"/>
  <c r="G86" i="11" s="1"/>
  <c r="M86" i="11" s="1"/>
  <c r="X48" i="3"/>
  <c r="D48" i="11" s="1"/>
  <c r="S42" i="4"/>
  <c r="E42" i="11" s="1"/>
  <c r="S74" i="4"/>
  <c r="E74" i="11" s="1"/>
  <c r="M74" i="11" s="1"/>
  <c r="S37" i="6"/>
  <c r="G37" i="11" s="1"/>
  <c r="BQ44" i="7"/>
  <c r="H44" i="11" s="1"/>
  <c r="BQ60" i="7"/>
  <c r="H60" i="11" s="1"/>
  <c r="L60" i="11" s="1"/>
  <c r="BQ76" i="7"/>
  <c r="H76" i="11" s="1"/>
  <c r="BQ92" i="7"/>
  <c r="H92" i="11" s="1"/>
  <c r="S96" i="8"/>
  <c r="I96" i="11" s="1"/>
  <c r="M66" i="11"/>
  <c r="L96" i="11"/>
  <c r="M17" i="11"/>
  <c r="X64" i="3"/>
  <c r="D64" i="11" s="1"/>
  <c r="L64" i="11" s="1"/>
  <c r="S102" i="4"/>
  <c r="E102" i="11" s="1"/>
  <c r="M102" i="11" s="1"/>
  <c r="S27" i="8"/>
  <c r="I27" i="11" s="1"/>
  <c r="M27" i="11" s="1"/>
  <c r="X98" i="3"/>
  <c r="D98" i="11" s="1"/>
  <c r="S28" i="4"/>
  <c r="E28" i="11" s="1"/>
  <c r="S60" i="4"/>
  <c r="E60" i="11" s="1"/>
  <c r="M60" i="11" s="1"/>
  <c r="S92" i="4"/>
  <c r="E92" i="11" s="1"/>
  <c r="M92" i="11" s="1"/>
  <c r="BQ13" i="5"/>
  <c r="F13" i="11" s="1"/>
  <c r="L13" i="11" s="1"/>
  <c r="BQ29" i="5"/>
  <c r="F29" i="11" s="1"/>
  <c r="BQ45" i="5"/>
  <c r="F45" i="11" s="1"/>
  <c r="BQ61" i="5"/>
  <c r="F61" i="11" s="1"/>
  <c r="L61" i="11" s="1"/>
  <c r="BQ77" i="5"/>
  <c r="F77" i="11" s="1"/>
  <c r="L77" i="11" s="1"/>
  <c r="BQ93" i="5"/>
  <c r="F93" i="11" s="1"/>
  <c r="S33" i="6"/>
  <c r="G33" i="11" s="1"/>
  <c r="S59" i="6"/>
  <c r="G59" i="11" s="1"/>
  <c r="S48" i="8"/>
  <c r="I48" i="11" s="1"/>
  <c r="M48" i="11" s="1"/>
  <c r="S70" i="8"/>
  <c r="I70" i="11" s="1"/>
  <c r="BQ28" i="9"/>
  <c r="J28" i="11" s="1"/>
  <c r="BQ60" i="9"/>
  <c r="J60" i="11" s="1"/>
  <c r="BQ92" i="9"/>
  <c r="J92" i="11" s="1"/>
  <c r="L92" i="11" s="1"/>
  <c r="S10" i="4"/>
  <c r="E10" i="11" s="1"/>
  <c r="M10" i="11" s="1"/>
  <c r="S6" i="4"/>
  <c r="E6" i="11" s="1"/>
  <c r="M6" i="11" s="1"/>
  <c r="S5" i="6"/>
  <c r="G5" i="11" s="1"/>
  <c r="S38" i="4"/>
  <c r="E38" i="11" s="1"/>
  <c r="X32" i="3"/>
  <c r="D32" i="11" s="1"/>
  <c r="X93" i="3"/>
  <c r="D93" i="11" s="1"/>
  <c r="BQ20" i="5"/>
  <c r="F20" i="11" s="1"/>
  <c r="L20" i="11" s="1"/>
  <c r="BQ36" i="5"/>
  <c r="F36" i="11" s="1"/>
  <c r="BQ52" i="5"/>
  <c r="F52" i="11" s="1"/>
  <c r="L52" i="11" s="1"/>
  <c r="BQ68" i="5"/>
  <c r="F68" i="11" s="1"/>
  <c r="L68" i="11" s="1"/>
  <c r="BQ84" i="5"/>
  <c r="F84" i="11" s="1"/>
  <c r="L84" i="11" s="1"/>
  <c r="BQ100" i="5"/>
  <c r="F100" i="11" s="1"/>
  <c r="L100" i="11" s="1"/>
  <c r="S54" i="6"/>
  <c r="G54" i="11" s="1"/>
  <c r="M54" i="11" s="1"/>
  <c r="S63" i="6"/>
  <c r="G63" i="11" s="1"/>
  <c r="M63" i="11" s="1"/>
  <c r="S85" i="6"/>
  <c r="G85" i="11" s="1"/>
  <c r="M85" i="11" s="1"/>
  <c r="S99" i="6"/>
  <c r="G99" i="11" s="1"/>
  <c r="M99" i="11" s="1"/>
  <c r="BQ10" i="7"/>
  <c r="H10" i="11" s="1"/>
  <c r="BQ19" i="7"/>
  <c r="H19" i="11" s="1"/>
  <c r="L19" i="11" s="1"/>
  <c r="BQ26" i="7"/>
  <c r="H26" i="11" s="1"/>
  <c r="BQ35" i="7"/>
  <c r="H35" i="11" s="1"/>
  <c r="BQ42" i="7"/>
  <c r="H42" i="11" s="1"/>
  <c r="BQ51" i="7"/>
  <c r="H51" i="11" s="1"/>
  <c r="BQ58" i="7"/>
  <c r="H58" i="11" s="1"/>
  <c r="BQ67" i="7"/>
  <c r="H67" i="11" s="1"/>
  <c r="BQ74" i="7"/>
  <c r="H74" i="11" s="1"/>
  <c r="BQ83" i="7"/>
  <c r="H83" i="11" s="1"/>
  <c r="BQ90" i="7"/>
  <c r="H90" i="11" s="1"/>
  <c r="BQ99" i="7"/>
  <c r="H99" i="11" s="1"/>
  <c r="L99" i="11" s="1"/>
  <c r="S22" i="8"/>
  <c r="I22" i="11" s="1"/>
  <c r="M22" i="11" s="1"/>
  <c r="S26" i="8"/>
  <c r="I26" i="11" s="1"/>
  <c r="S91" i="8"/>
  <c r="I91" i="11" s="1"/>
  <c r="BQ26" i="9"/>
  <c r="J26" i="11" s="1"/>
  <c r="BQ58" i="9"/>
  <c r="J58" i="11" s="1"/>
  <c r="L58" i="11" s="1"/>
  <c r="BQ90" i="9"/>
  <c r="J90" i="11" s="1"/>
  <c r="M89" i="11"/>
  <c r="M98" i="11"/>
  <c r="M101" i="11"/>
  <c r="M35" i="11"/>
  <c r="S95" i="6"/>
  <c r="G95" i="11" s="1"/>
  <c r="M95" i="11" s="1"/>
  <c r="S32" i="4"/>
  <c r="E32" i="11" s="1"/>
  <c r="M32" i="11" s="1"/>
  <c r="S64" i="4"/>
  <c r="E64" i="11" s="1"/>
  <c r="M64" i="11" s="1"/>
  <c r="S96" i="4"/>
  <c r="E96" i="11" s="1"/>
  <c r="BQ11" i="5"/>
  <c r="F11" i="11" s="1"/>
  <c r="L11" i="11" s="1"/>
  <c r="BQ27" i="5"/>
  <c r="F27" i="11" s="1"/>
  <c r="BQ43" i="5"/>
  <c r="F43" i="11" s="1"/>
  <c r="L43" i="11" s="1"/>
  <c r="BQ59" i="5"/>
  <c r="F59" i="11" s="1"/>
  <c r="L59" i="11" s="1"/>
  <c r="BQ75" i="5"/>
  <c r="F75" i="11" s="1"/>
  <c r="L75" i="11" s="1"/>
  <c r="BQ91" i="5"/>
  <c r="F91" i="11" s="1"/>
  <c r="L91" i="11" s="1"/>
  <c r="S28" i="6"/>
  <c r="G28" i="11" s="1"/>
  <c r="S81" i="6"/>
  <c r="G81" i="11" s="1"/>
  <c r="S43" i="8"/>
  <c r="I43" i="11" s="1"/>
  <c r="S69" i="8"/>
  <c r="I69" i="11" s="1"/>
  <c r="M69" i="11" s="1"/>
  <c r="BQ24" i="9"/>
  <c r="J24" i="11" s="1"/>
  <c r="BQ56" i="9"/>
  <c r="J56" i="11" s="1"/>
  <c r="L56" i="11" s="1"/>
  <c r="BQ88" i="9"/>
  <c r="J88" i="11" s="1"/>
  <c r="L88" i="11" s="1"/>
  <c r="BQ99" i="9"/>
  <c r="J99" i="11" s="1"/>
  <c r="S63" i="10"/>
  <c r="K63" i="11" s="1"/>
  <c r="S86" i="10"/>
  <c r="K86" i="11" s="1"/>
  <c r="S5" i="10"/>
  <c r="K5" i="11" s="1"/>
  <c r="S15" i="10"/>
  <c r="K15" i="11" s="1"/>
  <c r="M15" i="11" s="1"/>
  <c r="S38" i="10"/>
  <c r="K38" i="11" s="1"/>
  <c r="S96" i="10"/>
  <c r="K96" i="11" s="1"/>
  <c r="S67" i="10"/>
  <c r="K67" i="11" s="1"/>
  <c r="M67" i="11" s="1"/>
  <c r="S82" i="10"/>
  <c r="K82" i="11" s="1"/>
  <c r="M82" i="11" s="1"/>
  <c r="S48" i="10"/>
  <c r="K48" i="11" s="1"/>
  <c r="S85" i="10"/>
  <c r="K85" i="11" s="1"/>
  <c r="S95" i="10"/>
  <c r="K95" i="11" s="1"/>
  <c r="S19" i="10"/>
  <c r="K19" i="11" s="1"/>
  <c r="S34" i="10"/>
  <c r="K34" i="11" s="1"/>
  <c r="M34" i="11" s="1"/>
  <c r="S37" i="10"/>
  <c r="K37" i="11" s="1"/>
  <c r="S47" i="10"/>
  <c r="K47" i="11" s="1"/>
  <c r="S70" i="10"/>
  <c r="K70" i="11" s="1"/>
  <c r="L35" i="11" l="1"/>
  <c r="L98" i="11"/>
  <c r="L41" i="11"/>
  <c r="L33" i="11"/>
  <c r="L45" i="11"/>
  <c r="L31" i="11"/>
  <c r="L42" i="11"/>
  <c r="L48" i="11"/>
  <c r="L39" i="11"/>
  <c r="L47" i="11"/>
  <c r="L26" i="11"/>
  <c r="L49" i="11"/>
  <c r="L40" i="11"/>
  <c r="L30" i="11"/>
  <c r="L25" i="11"/>
  <c r="L37" i="11"/>
  <c r="L28" i="11"/>
  <c r="L46" i="11"/>
  <c r="L44" i="11"/>
  <c r="M24" i="11"/>
  <c r="M42" i="11"/>
  <c r="M43" i="11"/>
  <c r="M46" i="11"/>
  <c r="M44" i="11"/>
  <c r="M31" i="11"/>
  <c r="M47" i="11"/>
  <c r="M28" i="11"/>
  <c r="M26" i="11"/>
  <c r="M40" i="11"/>
  <c r="M37" i="11"/>
  <c r="L24" i="11"/>
  <c r="L27" i="11"/>
  <c r="L29" i="11"/>
  <c r="L36" i="11"/>
  <c r="L38" i="11"/>
  <c r="M96" i="11"/>
  <c r="L32" i="11"/>
  <c r="M97" i="11"/>
  <c r="L93" i="11"/>
  <c r="M12" i="11"/>
  <c r="M38" i="11"/>
  <c r="M65" i="11"/>
  <c r="M33" i="11"/>
  <c r="L80" i="11"/>
</calcChain>
</file>

<file path=xl/sharedStrings.xml><?xml version="1.0" encoding="utf-8"?>
<sst xmlns="http://schemas.openxmlformats.org/spreadsheetml/2006/main" count="582" uniqueCount="156">
  <si>
    <t xml:space="preserve"> Sınava Ait Bilgiler</t>
  </si>
  <si>
    <t>Kursu veren</t>
  </si>
  <si>
    <t>:</t>
  </si>
  <si>
    <t>Türkiye Cimnastik Federasyonu</t>
  </si>
  <si>
    <t>Eğitmen</t>
  </si>
  <si>
    <t>Şehir</t>
  </si>
  <si>
    <t>ANTALYA</t>
  </si>
  <si>
    <t>Tarih</t>
  </si>
  <si>
    <t>Hakemlere Ait Bilgiler</t>
  </si>
  <si>
    <t>No.</t>
  </si>
  <si>
    <t>Soyadı</t>
  </si>
  <si>
    <t>Adı</t>
  </si>
  <si>
    <t>14. Dönem brövesi</t>
  </si>
  <si>
    <t>15. Dönem brövesi</t>
  </si>
  <si>
    <t>YAZICI</t>
  </si>
  <si>
    <t>SUZAN</t>
  </si>
  <si>
    <t>ASLAN</t>
  </si>
  <si>
    <t>SEMA FİDEL</t>
  </si>
  <si>
    <t>TUNA</t>
  </si>
  <si>
    <t>MUNİSE</t>
  </si>
  <si>
    <t>ÜNAL</t>
  </si>
  <si>
    <t>FATMA HANIM</t>
  </si>
  <si>
    <t>BAŞKAN PERÇİN</t>
  </si>
  <si>
    <t>ÖZGE</t>
  </si>
  <si>
    <t>ŞEN İZMİRLİ</t>
  </si>
  <si>
    <t>SİNEM</t>
  </si>
  <si>
    <t>YILDIRIMER</t>
  </si>
  <si>
    <t>BUSE</t>
  </si>
  <si>
    <t>KESKİN</t>
  </si>
  <si>
    <t>ENFAL</t>
  </si>
  <si>
    <t>NAZLINEHİR</t>
  </si>
  <si>
    <t>ÜÇTAŞ ŞANLI</t>
  </si>
  <si>
    <t>GÖKSU</t>
  </si>
  <si>
    <t>YÜCEL</t>
  </si>
  <si>
    <t>SİBEL</t>
  </si>
  <si>
    <t>YILMAZER</t>
  </si>
  <si>
    <t>ZEHRA</t>
  </si>
  <si>
    <t>ŞAHİNTEKİN</t>
  </si>
  <si>
    <t>MUHAMMED</t>
  </si>
  <si>
    <t>ERKUT</t>
  </si>
  <si>
    <t>OYA</t>
  </si>
  <si>
    <t>GÜMÜŞLÜ</t>
  </si>
  <si>
    <t>AYSEL</t>
  </si>
  <si>
    <t>CURA COŞKUN</t>
  </si>
  <si>
    <t>MELİKE</t>
  </si>
  <si>
    <t>KENDİRCİ</t>
  </si>
  <si>
    <t>CEMRE</t>
  </si>
  <si>
    <t>CANATAN</t>
  </si>
  <si>
    <t>BEYZA</t>
  </si>
  <si>
    <t>SAYIN</t>
  </si>
  <si>
    <t>ZEYNEP TÜRKAN</t>
  </si>
  <si>
    <t>ÖNER AĞAN</t>
  </si>
  <si>
    <t>DERYA</t>
  </si>
  <si>
    <t>ATLAMA MASASI - D Puanı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</si>
  <si>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</si>
  <si>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</si>
  <si>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</si>
  <si>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</si>
  <si>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</si>
  <si>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</si>
  <si>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</si>
  <si>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</si>
  <si>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</si>
  <si>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</si>
  <si>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P</t>
  </si>
  <si>
    <t>Ortalama</t>
  </si>
  <si>
    <t>ATLAMA MASASI - E Puanı</t>
  </si>
  <si>
    <t>E1</t>
  </si>
  <si>
    <t>E2</t>
  </si>
  <si>
    <t>E3</t>
  </si>
  <si>
    <t>E4</t>
  </si>
  <si>
    <t>E5</t>
  </si>
  <si>
    <t>Hata</t>
  </si>
  <si>
    <t>KIZ PARALELI - D Puanı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</si>
  <si>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</si>
  <si>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</si>
  <si>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</si>
  <si>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</si>
  <si>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</si>
  <si>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</si>
  <si>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</si>
  <si>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</si>
  <si>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</si>
  <si>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</si>
  <si>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KG</t>
  </si>
  <si>
    <t>BD</t>
  </si>
  <si>
    <t>KIZ PARALELI - E Puanı</t>
  </si>
  <si>
    <t>DENGE - D Puanı</t>
  </si>
  <si>
    <t>DENGE - E Puanı</t>
  </si>
  <si>
    <t>YER - E Puanı</t>
  </si>
  <si>
    <t>SONUCLAR</t>
  </si>
  <si>
    <t>AtM</t>
  </si>
  <si>
    <t>KP</t>
  </si>
  <si>
    <t>Y</t>
  </si>
  <si>
    <t>D ortalama</t>
  </si>
  <si>
    <t>E ortalama</t>
  </si>
  <si>
    <t>Uzman - D puanları</t>
  </si>
  <si>
    <t>Kız Paraleli</t>
  </si>
  <si>
    <t>BD+Bns</t>
  </si>
  <si>
    <t>Denge</t>
  </si>
  <si>
    <t>Yer</t>
  </si>
  <si>
    <t>Atlama Masası</t>
  </si>
  <si>
    <t xml:space="preserve">UYARI: Bu tabloda yapilacak her hangi bir yer degisikligi (satir veya sutunlarin kaydirilmasi) dosyanin duzgun calismamasina </t>
  </si>
  <si>
    <t xml:space="preserve">neden olacaktir. Dosyanin duzgun calisabilmesi icin acik yesille renklendirilmis yerlere uzman puanlarini yaziniz ve hicbir </t>
  </si>
  <si>
    <t>hucreyi bos birakmayiniz.</t>
  </si>
  <si>
    <t>Uzman - E puanları</t>
  </si>
  <si>
    <t>TCF ACB Sınav Değerlendirme Sistemi (SDS) 2024</t>
  </si>
  <si>
    <t>19-21.12.2024</t>
  </si>
  <si>
    <t>ABACI</t>
  </si>
  <si>
    <t>KARAKAŞ</t>
  </si>
  <si>
    <t>TAHİR</t>
  </si>
  <si>
    <t>DİLAY</t>
  </si>
  <si>
    <t>SAVAŞ OK</t>
  </si>
  <si>
    <t>AYŞE DİLARA</t>
  </si>
  <si>
    <t>AYDEMİR</t>
  </si>
  <si>
    <t>MANOLYA</t>
  </si>
  <si>
    <t>AKIN</t>
  </si>
  <si>
    <t>YELİZ</t>
  </si>
  <si>
    <t>PINAR</t>
  </si>
  <si>
    <t>KATRANCI</t>
  </si>
  <si>
    <t>AYŞEN</t>
  </si>
  <si>
    <t>FULYA</t>
  </si>
  <si>
    <t>GÜRKAN KİRAZ</t>
  </si>
  <si>
    <t>AYŞE</t>
  </si>
  <si>
    <t>KILIÇ</t>
  </si>
  <si>
    <t>ARZU</t>
  </si>
  <si>
    <t>ÖZGENLİK TATAR</t>
  </si>
  <si>
    <t>EMEL</t>
  </si>
  <si>
    <t>KARADENİZ</t>
  </si>
  <si>
    <t>SİNEM NUR</t>
  </si>
  <si>
    <t>TOYRAN</t>
  </si>
  <si>
    <t>SEVERBAŞ</t>
  </si>
  <si>
    <t>AYTEN</t>
  </si>
  <si>
    <t>KASAP TOPAL</t>
  </si>
  <si>
    <t>SENA HAZEL</t>
  </si>
  <si>
    <t>DİCLE</t>
  </si>
  <si>
    <t>NESRİN</t>
  </si>
  <si>
    <t>KARAHAN</t>
  </si>
  <si>
    <t>SERDİNÇ</t>
  </si>
  <si>
    <t>ALTAY</t>
  </si>
  <si>
    <t>BİRSEN</t>
  </si>
  <si>
    <t>TOPTAŞ</t>
  </si>
  <si>
    <t xml:space="preserve">AYŞEGÜL </t>
  </si>
  <si>
    <t>ODACIĞLU TURHAN</t>
  </si>
  <si>
    <t>BÜŞRA</t>
  </si>
  <si>
    <t>MUSTAFA</t>
  </si>
  <si>
    <t>ELİK</t>
  </si>
  <si>
    <t>İPEK</t>
  </si>
  <si>
    <t>BAKAR</t>
  </si>
  <si>
    <t>ECEM</t>
  </si>
  <si>
    <t>UÇAK</t>
  </si>
  <si>
    <t>EMİNE AYÇA</t>
  </si>
  <si>
    <t>EFENDİAĞA</t>
  </si>
  <si>
    <t>DAL</t>
  </si>
  <si>
    <t>İHSAN</t>
  </si>
  <si>
    <t>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</si>
</sst>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Calibri"/>
    </font>
    <font>
      <sz val="10"/>
      <color indexed="8"/>
      <name val="Verdana"/>
    </font>
    <font>
      <b/>
      <sz val="14"/>
      <color indexed="11"/>
      <name val="Verdana"/>
    </font>
    <font>
      <sz val="10"/>
      <color indexed="11"/>
      <name val="Verdana"/>
    </font>
    <font>
      <sz val="20"/>
      <color indexed="11"/>
      <name val="Verdana"/>
    </font>
    <font>
      <sz val="14"/>
      <color indexed="12"/>
      <name val="Verdana"/>
    </font>
    <font>
      <sz val="14"/>
      <color indexed="8"/>
      <name val="Verdana"/>
    </font>
    <font>
      <sz val="14"/>
      <color indexed="11"/>
      <name val="Verdana"/>
    </font>
    <font>
      <sz val="14"/>
      <color indexed="14"/>
      <name val="Verdana"/>
    </font>
    <font>
      <b/>
      <sz val="10"/>
      <color indexed="8"/>
      <name val="Verdana"/>
    </font>
    <font>
      <sz val="10"/>
      <color indexed="8"/>
      <name val="Helvetica"/>
    </font>
    <font>
      <b/>
      <sz val="11"/>
      <color indexed="8"/>
      <name val="Calibri"/>
    </font>
    <font>
      <b/>
      <sz val="12"/>
      <color indexed="11"/>
      <name val="Verdana"/>
    </font>
    <font>
      <sz val="10"/>
      <color indexed="8"/>
      <name val="Arial"/>
    </font>
    <font>
      <sz val="11"/>
      <color indexed="9"/>
      <name val="Calibri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10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54">
    <xf numFmtId="0" fontId="0" fillId="0" borderId="0" xfId="0"/>
    <xf numFmtId="0" fontId="0" fillId="0" borderId="0" xfId="0" applyNumberFormat="1"/>
    <xf numFmtId="0" fontId="1" fillId="2" borderId="1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vertical="center"/>
    </xf>
    <xf numFmtId="0" fontId="1" fillId="2" borderId="4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horizontal="center" vertical="top"/>
    </xf>
    <xf numFmtId="0" fontId="1" fillId="2" borderId="6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horizontal="center" vertical="top"/>
    </xf>
    <xf numFmtId="0" fontId="1" fillId="2" borderId="5" xfId="0" applyNumberFormat="1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vertical="center"/>
    </xf>
    <xf numFmtId="0" fontId="7" fillId="2" borderId="5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vertical="center"/>
    </xf>
    <xf numFmtId="0" fontId="6" fillId="2" borderId="5" xfId="0" applyNumberFormat="1" applyFont="1" applyFill="1" applyBorder="1" applyAlignment="1">
      <alignment vertical="center"/>
    </xf>
    <xf numFmtId="49" fontId="7" fillId="2" borderId="5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/>
    </xf>
    <xf numFmtId="14" fontId="6" fillId="3" borderId="5" xfId="0" applyNumberFormat="1" applyFont="1" applyFill="1" applyBorder="1" applyAlignment="1">
      <alignment horizontal="left" vertical="center"/>
    </xf>
    <xf numFmtId="0" fontId="5" fillId="2" borderId="5" xfId="0" applyNumberFormat="1" applyFont="1" applyFill="1" applyBorder="1"/>
    <xf numFmtId="0" fontId="3" fillId="2" borderId="5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left" vertical="center"/>
    </xf>
    <xf numFmtId="0" fontId="8" fillId="2" borderId="5" xfId="0" applyNumberFormat="1" applyFont="1" applyFill="1" applyBorder="1"/>
    <xf numFmtId="0" fontId="1" fillId="3" borderId="7" xfId="0" applyNumberFormat="1" applyFont="1" applyFill="1" applyBorder="1" applyAlignment="1">
      <alignment vertical="center"/>
    </xf>
    <xf numFmtId="0" fontId="1" fillId="3" borderId="8" xfId="0" applyNumberFormat="1" applyFont="1" applyFill="1" applyBorder="1" applyAlignment="1">
      <alignment vertical="center"/>
    </xf>
    <xf numFmtId="0" fontId="0" fillId="3" borderId="8" xfId="0" applyNumberFormat="1" applyFill="1" applyBorder="1"/>
    <xf numFmtId="49" fontId="9" fillId="5" borderId="12" xfId="0" applyNumberFormat="1" applyFont="1" applyFill="1" applyBorder="1" applyAlignment="1">
      <alignment horizontal="center" vertical="center"/>
    </xf>
    <xf numFmtId="49" fontId="9" fillId="5" borderId="12" xfId="0" applyNumberFormat="1" applyFont="1" applyFill="1" applyBorder="1" applyAlignment="1">
      <alignment horizontal="center" vertical="center" wrapText="1"/>
    </xf>
    <xf numFmtId="0" fontId="9" fillId="3" borderId="12" xfId="0" applyNumberFormat="1" applyFont="1" applyFill="1" applyBorder="1" applyAlignment="1">
      <alignment horizontal="center" vertical="center"/>
    </xf>
    <xf numFmtId="49" fontId="10" fillId="3" borderId="12" xfId="0" applyNumberFormat="1" applyFont="1" applyFill="1" applyBorder="1" applyAlignment="1">
      <alignment vertical="center"/>
    </xf>
    <xf numFmtId="49" fontId="10" fillId="3" borderId="12" xfId="0" applyNumberFormat="1" applyFont="1" applyFill="1" applyBorder="1" applyAlignment="1">
      <alignment horizontal="center" vertical="center"/>
    </xf>
    <xf numFmtId="0" fontId="1" fillId="3" borderId="12" xfId="0" applyNumberFormat="1" applyFont="1" applyFill="1" applyBorder="1" applyAlignment="1">
      <alignment horizontal="center" vertical="center"/>
    </xf>
    <xf numFmtId="0" fontId="9" fillId="6" borderId="12" xfId="0" applyNumberFormat="1" applyFont="1" applyFill="1" applyBorder="1" applyAlignment="1">
      <alignment horizontal="center" vertical="center"/>
    </xf>
    <xf numFmtId="0" fontId="1" fillId="6" borderId="12" xfId="0" applyNumberFormat="1" applyFont="1" applyFill="1" applyBorder="1" applyAlignment="1">
      <alignment horizontal="center" vertical="center"/>
    </xf>
    <xf numFmtId="49" fontId="10" fillId="3" borderId="12" xfId="0" applyNumberFormat="1" applyFont="1" applyFill="1" applyBorder="1"/>
    <xf numFmtId="0" fontId="0" fillId="3" borderId="12" xfId="0" applyNumberFormat="1" applyFill="1" applyBorder="1"/>
    <xf numFmtId="0" fontId="0" fillId="6" borderId="12" xfId="0" applyNumberFormat="1" applyFill="1" applyBorder="1"/>
    <xf numFmtId="0" fontId="10" fillId="3" borderId="12" xfId="0" applyNumberFormat="1" applyFont="1" applyFill="1" applyBorder="1" applyAlignment="1">
      <alignment vertical="center"/>
    </xf>
    <xf numFmtId="0" fontId="10" fillId="3" borderId="12" xfId="0" applyNumberFormat="1" applyFont="1" applyFill="1" applyBorder="1" applyAlignment="1">
      <alignment horizontal="center" vertical="center"/>
    </xf>
    <xf numFmtId="0" fontId="10" fillId="3" borderId="12" xfId="0" applyNumberFormat="1" applyFont="1" applyFill="1" applyBorder="1"/>
    <xf numFmtId="0" fontId="1" fillId="3" borderId="12" xfId="0" applyNumberFormat="1" applyFont="1" applyFill="1" applyBorder="1" applyAlignment="1">
      <alignment horizontal="left" vertical="center"/>
    </xf>
    <xf numFmtId="0" fontId="7" fillId="3" borderId="15" xfId="0" applyNumberFormat="1" applyFont="1" applyFill="1" applyBorder="1" applyAlignment="1">
      <alignment horizontal="center" vertical="center"/>
    </xf>
    <xf numFmtId="0" fontId="7" fillId="3" borderId="8" xfId="0" applyNumberFormat="1" applyFont="1" applyFill="1" applyBorder="1" applyAlignment="1">
      <alignment horizontal="center" vertical="center"/>
    </xf>
    <xf numFmtId="9" fontId="0" fillId="4" borderId="23" xfId="0" applyNumberFormat="1" applyFill="1" applyBorder="1"/>
    <xf numFmtId="0" fontId="0" fillId="3" borderId="15" xfId="0" applyNumberFormat="1" applyFill="1" applyBorder="1"/>
    <xf numFmtId="49" fontId="11" fillId="3" borderId="26" xfId="0" applyNumberFormat="1" applyFont="1" applyFill="1" applyBorder="1" applyAlignment="1">
      <alignment horizontal="center" vertical="center"/>
    </xf>
    <xf numFmtId="49" fontId="11" fillId="9" borderId="27" xfId="0" applyNumberFormat="1" applyFont="1" applyFill="1" applyBorder="1" applyAlignment="1">
      <alignment horizontal="center" vertical="center"/>
    </xf>
    <xf numFmtId="49" fontId="11" fillId="10" borderId="27" xfId="0" applyNumberFormat="1" applyFont="1" applyFill="1" applyBorder="1" applyAlignment="1">
      <alignment horizontal="center" vertical="center"/>
    </xf>
    <xf numFmtId="49" fontId="11" fillId="11" borderId="28" xfId="0" applyNumberFormat="1" applyFont="1" applyFill="1" applyBorder="1" applyAlignment="1">
      <alignment horizontal="center" vertical="center"/>
    </xf>
    <xf numFmtId="0" fontId="0" fillId="3" borderId="29" xfId="0" applyNumberFormat="1" applyFill="1" applyBorder="1"/>
    <xf numFmtId="0" fontId="9" fillId="3" borderId="30" xfId="0" applyNumberFormat="1" applyFont="1" applyFill="1" applyBorder="1" applyAlignment="1">
      <alignment horizontal="center" vertical="center"/>
    </xf>
    <xf numFmtId="164" fontId="0" fillId="3" borderId="30" xfId="0" applyNumberFormat="1" applyFill="1" applyBorder="1"/>
    <xf numFmtId="9" fontId="0" fillId="10" borderId="27" xfId="0" applyNumberFormat="1" applyFill="1" applyBorder="1"/>
    <xf numFmtId="9" fontId="0" fillId="11" borderId="28" xfId="0" applyNumberFormat="1" applyFill="1" applyBorder="1"/>
    <xf numFmtId="0" fontId="9" fillId="3" borderId="33" xfId="0" applyNumberFormat="1" applyFont="1" applyFill="1" applyBorder="1" applyAlignment="1">
      <alignment horizontal="center" vertical="center"/>
    </xf>
    <xf numFmtId="164" fontId="0" fillId="3" borderId="33" xfId="0" applyNumberFormat="1" applyFill="1" applyBorder="1"/>
    <xf numFmtId="0" fontId="0" fillId="3" borderId="12" xfId="0" applyNumberFormat="1" applyFill="1" applyBorder="1" applyAlignment="1">
      <alignment horizontal="center"/>
    </xf>
    <xf numFmtId="9" fontId="0" fillId="10" borderId="32" xfId="0" applyNumberFormat="1" applyFill="1" applyBorder="1"/>
    <xf numFmtId="9" fontId="0" fillId="11" borderId="35" xfId="0" applyNumberFormat="1" applyFill="1" applyBorder="1"/>
    <xf numFmtId="49" fontId="11" fillId="12" borderId="38" xfId="0" applyNumberFormat="1" applyFont="1" applyFill="1" applyBorder="1" applyAlignment="1">
      <alignment horizontal="center" vertical="center"/>
    </xf>
    <xf numFmtId="164" fontId="0" fillId="12" borderId="38" xfId="0" applyNumberFormat="1" applyFill="1" applyBorder="1"/>
    <xf numFmtId="0" fontId="0" fillId="3" borderId="8" xfId="0" applyFill="1" applyBorder="1"/>
    <xf numFmtId="164" fontId="0" fillId="12" borderId="31" xfId="0" applyNumberFormat="1" applyFill="1" applyBorder="1"/>
    <xf numFmtId="164" fontId="0" fillId="12" borderId="12" xfId="0" applyNumberFormat="1" applyFill="1" applyBorder="1"/>
    <xf numFmtId="9" fontId="0" fillId="10" borderId="34" xfId="0" applyNumberFormat="1" applyFill="1" applyBorder="1"/>
    <xf numFmtId="0" fontId="1" fillId="4" borderId="47" xfId="0" applyNumberFormat="1" applyFont="1" applyFill="1" applyBorder="1" applyAlignment="1">
      <alignment horizontal="center" vertical="center"/>
    </xf>
    <xf numFmtId="49" fontId="9" fillId="5" borderId="30" xfId="0" applyNumberFormat="1" applyFont="1" applyFill="1" applyBorder="1" applyAlignment="1">
      <alignment horizontal="center" vertical="center"/>
    </xf>
    <xf numFmtId="49" fontId="9" fillId="5" borderId="31" xfId="0" applyNumberFormat="1" applyFont="1" applyFill="1" applyBorder="1" applyAlignment="1">
      <alignment horizontal="center" vertical="center"/>
    </xf>
    <xf numFmtId="49" fontId="9" fillId="10" borderId="32" xfId="0" applyNumberFormat="1" applyFont="1" applyFill="1" applyBorder="1" applyAlignment="1">
      <alignment horizontal="center" vertical="center"/>
    </xf>
    <xf numFmtId="49" fontId="9" fillId="14" borderId="35" xfId="0" applyNumberFormat="1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/>
    </xf>
    <xf numFmtId="9" fontId="1" fillId="10" borderId="12" xfId="0" applyNumberFormat="1" applyFont="1" applyFill="1" applyBorder="1" applyAlignment="1">
      <alignment horizontal="center" vertical="center"/>
    </xf>
    <xf numFmtId="9" fontId="1" fillId="14" borderId="12" xfId="0" applyNumberFormat="1" applyFont="1" applyFill="1" applyBorder="1" applyAlignment="1">
      <alignment horizontal="center" vertical="center"/>
    </xf>
    <xf numFmtId="164" fontId="0" fillId="3" borderId="12" xfId="0" applyNumberFormat="1" applyFill="1" applyBorder="1"/>
    <xf numFmtId="0" fontId="9" fillId="3" borderId="50" xfId="0" applyNumberFormat="1" applyFont="1" applyFill="1" applyBorder="1" applyAlignment="1">
      <alignment horizontal="center" vertical="center"/>
    </xf>
    <xf numFmtId="164" fontId="0" fillId="3" borderId="26" xfId="0" applyNumberFormat="1" applyFill="1" applyBorder="1"/>
    <xf numFmtId="164" fontId="0" fillId="3" borderId="50" xfId="0" applyNumberFormat="1" applyFill="1" applyBorder="1"/>
    <xf numFmtId="9" fontId="0" fillId="11" borderId="51" xfId="0" applyNumberFormat="1" applyFill="1" applyBorder="1"/>
    <xf numFmtId="49" fontId="0" fillId="3" borderId="31" xfId="0" applyNumberFormat="1" applyFill="1" applyBorder="1"/>
    <xf numFmtId="49" fontId="0" fillId="3" borderId="32" xfId="0" applyNumberFormat="1" applyFill="1" applyBorder="1"/>
    <xf numFmtId="49" fontId="0" fillId="3" borderId="12" xfId="0" applyNumberFormat="1" applyFill="1" applyBorder="1"/>
    <xf numFmtId="49" fontId="0" fillId="3" borderId="34" xfId="0" applyNumberFormat="1" applyFill="1" applyBorder="1"/>
    <xf numFmtId="0" fontId="0" fillId="3" borderId="34" xfId="0" applyNumberFormat="1" applyFill="1" applyBorder="1"/>
    <xf numFmtId="49" fontId="9" fillId="5" borderId="54" xfId="0" applyNumberFormat="1" applyFont="1" applyFill="1" applyBorder="1" applyAlignment="1">
      <alignment vertical="center"/>
    </xf>
    <xf numFmtId="49" fontId="11" fillId="4" borderId="54" xfId="0" applyNumberFormat="1" applyFont="1" applyFill="1" applyBorder="1" applyAlignment="1">
      <alignment vertical="center"/>
    </xf>
    <xf numFmtId="0" fontId="9" fillId="5" borderId="55" xfId="0" applyNumberFormat="1" applyFont="1" applyFill="1" applyBorder="1" applyAlignment="1">
      <alignment vertical="center"/>
    </xf>
    <xf numFmtId="49" fontId="11" fillId="5" borderId="26" xfId="0" applyNumberFormat="1" applyFont="1" applyFill="1" applyBorder="1" applyAlignment="1">
      <alignment horizontal="center" vertical="center"/>
    </xf>
    <xf numFmtId="49" fontId="11" fillId="5" borderId="27" xfId="0" applyNumberFormat="1" applyFont="1" applyFill="1" applyBorder="1" applyAlignment="1">
      <alignment horizontal="center" vertical="center"/>
    </xf>
    <xf numFmtId="9" fontId="11" fillId="4" borderId="55" xfId="0" applyNumberFormat="1" applyFont="1" applyFill="1" applyBorder="1" applyAlignment="1">
      <alignment vertical="center"/>
    </xf>
    <xf numFmtId="9" fontId="0" fillId="3" borderId="30" xfId="0" applyNumberFormat="1" applyFill="1" applyBorder="1" applyAlignment="1">
      <alignment horizontal="center"/>
    </xf>
    <xf numFmtId="9" fontId="0" fillId="3" borderId="32" xfId="0" applyNumberFormat="1" applyFill="1" applyBorder="1" applyAlignment="1">
      <alignment horizontal="center" vertical="center"/>
    </xf>
    <xf numFmtId="9" fontId="0" fillId="3" borderId="30" xfId="0" applyNumberFormat="1" applyFill="1" applyBorder="1" applyAlignment="1">
      <alignment horizontal="center" vertical="center"/>
    </xf>
    <xf numFmtId="9" fontId="0" fillId="11" borderId="35" xfId="0" applyNumberFormat="1" applyFill="1" applyBorder="1" applyAlignment="1">
      <alignment horizontal="center" vertical="center"/>
    </xf>
    <xf numFmtId="9" fontId="0" fillId="3" borderId="33" xfId="0" applyNumberFormat="1" applyFill="1" applyBorder="1" applyAlignment="1">
      <alignment horizontal="center"/>
    </xf>
    <xf numFmtId="9" fontId="0" fillId="3" borderId="34" xfId="0" applyNumberFormat="1" applyFill="1" applyBorder="1" applyAlignment="1">
      <alignment horizontal="center" vertical="center"/>
    </xf>
    <xf numFmtId="9" fontId="0" fillId="3" borderId="33" xfId="0" applyNumberFormat="1" applyFill="1" applyBorder="1" applyAlignment="1">
      <alignment horizontal="center" vertical="center"/>
    </xf>
    <xf numFmtId="9" fontId="0" fillId="11" borderId="51" xfId="0" applyNumberFormat="1" applyFill="1" applyBorder="1" applyAlignment="1">
      <alignment horizontal="center" vertical="center"/>
    </xf>
    <xf numFmtId="0" fontId="0" fillId="3" borderId="1" xfId="0" applyNumberFormat="1" applyFill="1" applyBorder="1"/>
    <xf numFmtId="0" fontId="0" fillId="3" borderId="2" xfId="0" applyNumberFormat="1" applyFill="1" applyBorder="1"/>
    <xf numFmtId="0" fontId="0" fillId="3" borderId="3" xfId="0" applyNumberFormat="1" applyFill="1" applyBorder="1"/>
    <xf numFmtId="0" fontId="0" fillId="3" borderId="4" xfId="0" applyNumberFormat="1" applyFill="1" applyBorder="1"/>
    <xf numFmtId="0" fontId="0" fillId="3" borderId="5" xfId="0" applyNumberFormat="1" applyFill="1" applyBorder="1"/>
    <xf numFmtId="0" fontId="0" fillId="3" borderId="6" xfId="0" applyNumberFormat="1" applyFill="1" applyBorder="1"/>
    <xf numFmtId="0" fontId="1" fillId="16" borderId="12" xfId="0" applyNumberFormat="1" applyFont="1" applyFill="1" applyBorder="1" applyAlignment="1">
      <alignment horizontal="center" vertical="center"/>
    </xf>
    <xf numFmtId="49" fontId="1" fillId="16" borderId="12" xfId="0" applyNumberFormat="1" applyFont="1" applyFill="1" applyBorder="1" applyAlignment="1">
      <alignment horizontal="center" vertical="center"/>
    </xf>
    <xf numFmtId="0" fontId="0" fillId="3" borderId="56" xfId="0" applyNumberFormat="1" applyFill="1" applyBorder="1"/>
    <xf numFmtId="49" fontId="9" fillId="8" borderId="12" xfId="0" applyNumberFormat="1" applyFont="1" applyFill="1" applyBorder="1" applyAlignment="1">
      <alignment horizontal="center" vertical="center"/>
    </xf>
    <xf numFmtId="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0" fontId="0" fillId="17" borderId="60" xfId="0" applyNumberFormat="1" applyFill="1" applyBorder="1" applyAlignment="1">
      <alignment horizontal="center"/>
    </xf>
    <xf numFmtId="0" fontId="0" fillId="3" borderId="61" xfId="0" applyNumberFormat="1" applyFill="1" applyBorder="1" applyAlignment="1">
      <alignment horizontal="center"/>
    </xf>
    <xf numFmtId="0" fontId="13" fillId="3" borderId="61" xfId="0" applyNumberFormat="1" applyFont="1" applyFill="1" applyBorder="1" applyAlignment="1">
      <alignment horizontal="center"/>
    </xf>
    <xf numFmtId="0" fontId="0" fillId="3" borderId="63" xfId="0" applyNumberFormat="1" applyFill="1" applyBorder="1"/>
    <xf numFmtId="0" fontId="0" fillId="3" borderId="64" xfId="0" applyNumberFormat="1" applyFill="1" applyBorder="1"/>
    <xf numFmtId="0" fontId="0" fillId="3" borderId="65" xfId="0" applyNumberFormat="1" applyFill="1" applyBorder="1"/>
    <xf numFmtId="0" fontId="0" fillId="3" borderId="66" xfId="0" applyNumberFormat="1" applyFill="1" applyBorder="1"/>
    <xf numFmtId="0" fontId="12" fillId="3" borderId="8" xfId="0" applyNumberFormat="1" applyFont="1" applyFill="1" applyBorder="1" applyAlignment="1">
      <alignment horizontal="center" vertical="center"/>
    </xf>
    <xf numFmtId="49" fontId="0" fillId="16" borderId="12" xfId="0" applyNumberFormat="1" applyFill="1" applyBorder="1" applyAlignment="1">
      <alignment horizontal="center" vertical="center"/>
    </xf>
    <xf numFmtId="49" fontId="0" fillId="16" borderId="60" xfId="0" applyNumberFormat="1" applyFill="1" applyBorder="1" applyAlignment="1">
      <alignment horizontal="center" vertical="center"/>
    </xf>
    <xf numFmtId="164" fontId="0" fillId="17" borderId="12" xfId="0" applyNumberFormat="1" applyFill="1" applyBorder="1" applyAlignment="1">
      <alignment horizontal="center" vertical="center"/>
    </xf>
    <xf numFmtId="164" fontId="0" fillId="17" borderId="60" xfId="0" applyNumberFormat="1" applyFill="1" applyBorder="1" applyAlignment="1">
      <alignment horizontal="center" vertical="center"/>
    </xf>
    <xf numFmtId="164" fontId="0" fillId="17" borderId="67" xfId="0" applyNumberFormat="1" applyFill="1" applyBorder="1" applyAlignment="1">
      <alignment horizontal="center" vertical="center"/>
    </xf>
    <xf numFmtId="164" fontId="0" fillId="17" borderId="68" xfId="0" applyNumberFormat="1" applyFill="1" applyBorder="1" applyAlignment="1">
      <alignment horizontal="center" vertical="center"/>
    </xf>
    <xf numFmtId="0" fontId="0" fillId="3" borderId="61" xfId="0" applyNumberFormat="1" applyFill="1" applyBorder="1"/>
    <xf numFmtId="0" fontId="0" fillId="3" borderId="62" xfId="0" applyNumberFormat="1" applyFill="1" applyBorder="1"/>
    <xf numFmtId="164" fontId="0" fillId="3" borderId="8" xfId="0" applyNumberFormat="1" applyFill="1" applyBorder="1"/>
    <xf numFmtId="2" fontId="0" fillId="3" borderId="1" xfId="0" applyNumberFormat="1" applyFill="1" applyBorder="1"/>
    <xf numFmtId="2" fontId="0" fillId="18" borderId="2" xfId="0" applyNumberFormat="1" applyFill="1" applyBorder="1"/>
    <xf numFmtId="2" fontId="0" fillId="18" borderId="3" xfId="0" applyNumberFormat="1" applyFill="1" applyBorder="1"/>
    <xf numFmtId="2" fontId="0" fillId="5" borderId="4" xfId="0" applyNumberFormat="1" applyFill="1" applyBorder="1"/>
    <xf numFmtId="2" fontId="0" fillId="3" borderId="66" xfId="0" applyNumberFormat="1" applyFill="1" applyBorder="1"/>
    <xf numFmtId="2" fontId="0" fillId="3" borderId="7" xfId="0" applyNumberFormat="1" applyFill="1" applyBorder="1"/>
    <xf numFmtId="2" fontId="0" fillId="3" borderId="15" xfId="0" applyNumberFormat="1" applyFill="1" applyBorder="1"/>
    <xf numFmtId="2" fontId="0" fillId="3" borderId="8" xfId="0" applyNumberFormat="1" applyFill="1" applyBorder="1"/>
    <xf numFmtId="2" fontId="0" fillId="5" borderId="64" xfId="0" applyNumberFormat="1" applyFill="1" applyBorder="1"/>
    <xf numFmtId="49" fontId="0" fillId="3" borderId="31" xfId="0" applyNumberFormat="1" applyFill="1" applyBorder="1" applyAlignment="1">
      <alignment horizontal="left"/>
    </xf>
    <xf numFmtId="49" fontId="0" fillId="3" borderId="32" xfId="0" applyNumberFormat="1" applyFill="1" applyBorder="1" applyAlignment="1">
      <alignment horizontal="left"/>
    </xf>
    <xf numFmtId="49" fontId="0" fillId="3" borderId="12" xfId="0" applyNumberFormat="1" applyFill="1" applyBorder="1" applyAlignment="1">
      <alignment horizontal="left"/>
    </xf>
    <xf numFmtId="49" fontId="0" fillId="3" borderId="34" xfId="0" applyNumberFormat="1" applyFill="1" applyBorder="1" applyAlignment="1">
      <alignment horizontal="left"/>
    </xf>
    <xf numFmtId="0" fontId="0" fillId="3" borderId="12" xfId="0" applyNumberFormat="1" applyFill="1" applyBorder="1" applyAlignment="1">
      <alignment horizontal="left"/>
    </xf>
    <xf numFmtId="0" fontId="0" fillId="3" borderId="34" xfId="0" applyNumberFormat="1" applyFill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3" borderId="31" xfId="0" applyNumberFormat="1" applyFill="1" applyBorder="1" applyAlignment="1">
      <alignment horizontal="left" vertical="center"/>
    </xf>
    <xf numFmtId="49" fontId="0" fillId="3" borderId="32" xfId="0" applyNumberFormat="1" applyFill="1" applyBorder="1" applyAlignment="1">
      <alignment horizontal="left" vertical="center"/>
    </xf>
    <xf numFmtId="49" fontId="0" fillId="3" borderId="12" xfId="0" applyNumberFormat="1" applyFill="1" applyBorder="1" applyAlignment="1">
      <alignment horizontal="left" vertical="center"/>
    </xf>
    <xf numFmtId="49" fontId="0" fillId="3" borderId="34" xfId="0" applyNumberFormat="1" applyFill="1" applyBorder="1" applyAlignment="1">
      <alignment horizontal="left" vertical="center"/>
    </xf>
    <xf numFmtId="0" fontId="0" fillId="3" borderId="12" xfId="0" applyNumberFormat="1" applyFill="1" applyBorder="1" applyAlignment="1">
      <alignment horizontal="left" vertical="center"/>
    </xf>
    <xf numFmtId="0" fontId="0" fillId="3" borderId="34" xfId="0" applyNumberFormat="1" applyFill="1" applyBorder="1" applyAlignment="1">
      <alignment horizontal="left" vertical="center"/>
    </xf>
    <xf numFmtId="49" fontId="10" fillId="3" borderId="12" xfId="0" applyNumberFormat="1" applyFont="1" applyFill="1" applyBorder="1" applyAlignment="1">
      <alignment horizontal="left" vertical="center"/>
    </xf>
    <xf numFmtId="0" fontId="10" fillId="3" borderId="12" xfId="0" applyNumberFormat="1" applyFont="1" applyFill="1" applyBorder="1" applyAlignment="1">
      <alignment horizontal="left" vertical="center"/>
    </xf>
    <xf numFmtId="49" fontId="0" fillId="19" borderId="12" xfId="0" applyNumberFormat="1" applyFill="1" applyBorder="1" applyAlignment="1">
      <alignment horizontal="left"/>
    </xf>
    <xf numFmtId="49" fontId="0" fillId="19" borderId="34" xfId="0" applyNumberFormat="1" applyFill="1" applyBorder="1" applyAlignment="1">
      <alignment horizontal="left"/>
    </xf>
    <xf numFmtId="0" fontId="0" fillId="19" borderId="12" xfId="0" applyNumberFormat="1" applyFill="1" applyBorder="1" applyAlignment="1">
      <alignment horizontal="left"/>
    </xf>
    <xf numFmtId="0" fontId="0" fillId="19" borderId="34" xfId="0" applyNumberFormat="1" applyFill="1" applyBorder="1" applyAlignment="1">
      <alignment horizontal="left"/>
    </xf>
    <xf numFmtId="0" fontId="0" fillId="19" borderId="12" xfId="0" applyNumberFormat="1" applyFill="1" applyBorder="1" applyAlignment="1">
      <alignment horizontal="left" vertical="center"/>
    </xf>
    <xf numFmtId="0" fontId="0" fillId="19" borderId="34" xfId="0" applyNumberFormat="1" applyFill="1" applyBorder="1" applyAlignment="1">
      <alignment horizontal="left" vertical="center"/>
    </xf>
    <xf numFmtId="49" fontId="0" fillId="19" borderId="12" xfId="0" applyNumberFormat="1" applyFill="1" applyBorder="1" applyAlignment="1">
      <alignment horizontal="left" vertical="center"/>
    </xf>
    <xf numFmtId="49" fontId="0" fillId="19" borderId="34" xfId="0" applyNumberFormat="1" applyFill="1" applyBorder="1" applyAlignment="1">
      <alignment horizontal="left" vertical="center"/>
    </xf>
    <xf numFmtId="49" fontId="0" fillId="19" borderId="12" xfId="0" applyNumberFormat="1" applyFill="1" applyBorder="1"/>
    <xf numFmtId="49" fontId="0" fillId="19" borderId="34" xfId="0" applyNumberFormat="1" applyFill="1" applyBorder="1"/>
    <xf numFmtId="0" fontId="0" fillId="19" borderId="12" xfId="0" applyNumberFormat="1" applyFill="1" applyBorder="1"/>
    <xf numFmtId="0" fontId="0" fillId="19" borderId="34" xfId="0" applyNumberFormat="1" applyFill="1" applyBorder="1"/>
    <xf numFmtId="49" fontId="10" fillId="19" borderId="12" xfId="0" applyNumberFormat="1" applyFont="1" applyFill="1" applyBorder="1" applyAlignment="1">
      <alignment horizontal="left" vertical="center"/>
    </xf>
    <xf numFmtId="0" fontId="10" fillId="19" borderId="12" xfId="0" applyNumberFormat="1" applyFont="1" applyFill="1" applyBorder="1" applyAlignment="1">
      <alignment horizontal="left" vertical="center"/>
    </xf>
    <xf numFmtId="9" fontId="1" fillId="20" borderId="12" xfId="0" applyNumberFormat="1" applyFont="1" applyFill="1" applyBorder="1" applyAlignment="1">
      <alignment horizontal="center" vertical="center"/>
    </xf>
    <xf numFmtId="49" fontId="10" fillId="21" borderId="12" xfId="0" applyNumberFormat="1" applyFont="1" applyFill="1" applyBorder="1" applyAlignment="1">
      <alignment horizontal="left" vertical="center"/>
    </xf>
    <xf numFmtId="0" fontId="10" fillId="21" borderId="12" xfId="0" applyNumberFormat="1" applyFont="1" applyFill="1" applyBorder="1" applyAlignment="1">
      <alignment horizontal="left" vertical="center"/>
    </xf>
    <xf numFmtId="49" fontId="10" fillId="19" borderId="12" xfId="0" applyNumberFormat="1" applyFont="1" applyFill="1" applyBorder="1" applyAlignment="1">
      <alignment vertical="center"/>
    </xf>
    <xf numFmtId="0" fontId="10" fillId="19" borderId="12" xfId="0" applyNumberFormat="1" applyFont="1" applyFill="1" applyBorder="1" applyAlignment="1">
      <alignment vertical="center"/>
    </xf>
    <xf numFmtId="49" fontId="10" fillId="21" borderId="12" xfId="0" applyNumberFormat="1" applyFont="1" applyFill="1" applyBorder="1" applyAlignment="1">
      <alignment vertical="center"/>
    </xf>
    <xf numFmtId="0" fontId="10" fillId="21" borderId="12" xfId="0" applyNumberFormat="1" applyFont="1" applyFill="1" applyBorder="1" applyAlignment="1">
      <alignment vertical="center"/>
    </xf>
    <xf numFmtId="0" fontId="9" fillId="19" borderId="33" xfId="0" applyNumberFormat="1" applyFon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right"/>
    </xf>
    <xf numFmtId="49" fontId="0" fillId="3" borderId="34" xfId="0" applyNumberFormat="1" applyFill="1" applyBorder="1" applyAlignment="1">
      <alignment horizontal="right"/>
    </xf>
    <xf numFmtId="0" fontId="0" fillId="3" borderId="12" xfId="0" applyNumberFormat="1" applyFill="1" applyBorder="1" applyAlignment="1">
      <alignment horizontal="right"/>
    </xf>
    <xf numFmtId="0" fontId="0" fillId="3" borderId="34" xfId="0" applyNumberFormat="1" applyFill="1" applyBorder="1" applyAlignment="1">
      <alignment horizontal="right"/>
    </xf>
    <xf numFmtId="49" fontId="2" fillId="2" borderId="5" xfId="0" applyNumberFormat="1" applyFont="1" applyFill="1" applyBorder="1" applyAlignment="1">
      <alignment horizontal="center" vertical="top"/>
    </xf>
    <xf numFmtId="0" fontId="2" fillId="2" borderId="5" xfId="0" applyNumberFormat="1" applyFont="1" applyFill="1" applyBorder="1" applyAlignment="1">
      <alignment horizontal="center" vertical="top"/>
    </xf>
    <xf numFmtId="0" fontId="3" fillId="2" borderId="5" xfId="0" applyNumberFormat="1" applyFont="1" applyFill="1" applyBorder="1" applyAlignment="1">
      <alignment horizontal="center" vertical="top"/>
    </xf>
    <xf numFmtId="49" fontId="4" fillId="2" borderId="5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0" fontId="0" fillId="4" borderId="9" xfId="0" applyNumberFormat="1" applyFill="1" applyBorder="1" applyAlignment="1">
      <alignment horizontal="center" vertical="center"/>
    </xf>
    <xf numFmtId="0" fontId="0" fillId="4" borderId="10" xfId="0" applyNumberFormat="1" applyFill="1" applyBorder="1" applyAlignment="1">
      <alignment horizontal="center" vertical="center"/>
    </xf>
    <xf numFmtId="0" fontId="0" fillId="4" borderId="11" xfId="0" applyNumberFormat="1" applyFill="1" applyBorder="1" applyAlignment="1">
      <alignment horizontal="center" vertical="center"/>
    </xf>
    <xf numFmtId="49" fontId="9" fillId="5" borderId="16" xfId="0" applyNumberFormat="1" applyFont="1" applyFill="1" applyBorder="1" applyAlignment="1">
      <alignment horizontal="center" vertical="center"/>
    </xf>
    <xf numFmtId="0" fontId="9" fillId="5" borderId="23" xfId="0" applyNumberFormat="1" applyFont="1" applyFill="1" applyBorder="1" applyAlignment="1">
      <alignment horizontal="center" vertical="center"/>
    </xf>
    <xf numFmtId="49" fontId="0" fillId="7" borderId="19" xfId="0" applyNumberFormat="1" applyFill="1" applyBorder="1" applyAlignment="1">
      <alignment horizontal="center" vertical="center"/>
    </xf>
    <xf numFmtId="0" fontId="0" fillId="7" borderId="20" xfId="0" applyNumberForma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0" fillId="8" borderId="21" xfId="0" applyNumberFormat="1" applyFill="1" applyBorder="1" applyAlignment="1">
      <alignment horizontal="center" vertical="center"/>
    </xf>
    <xf numFmtId="0" fontId="0" fillId="8" borderId="22" xfId="0" applyNumberFormat="1" applyFill="1" applyBorder="1" applyAlignment="1">
      <alignment horizontal="center" vertical="center"/>
    </xf>
    <xf numFmtId="49" fontId="9" fillId="5" borderId="17" xfId="0" applyNumberFormat="1" applyFont="1" applyFill="1" applyBorder="1" applyAlignment="1">
      <alignment horizontal="left" vertical="center"/>
    </xf>
    <xf numFmtId="0" fontId="9" fillId="5" borderId="24" xfId="0" applyNumberFormat="1" applyFont="1" applyFill="1" applyBorder="1" applyAlignment="1">
      <alignment horizontal="left" vertical="center"/>
    </xf>
    <xf numFmtId="49" fontId="9" fillId="5" borderId="18" xfId="0" applyNumberFormat="1" applyFont="1" applyFill="1" applyBorder="1" applyAlignment="1">
      <alignment horizontal="left" vertical="center"/>
    </xf>
    <xf numFmtId="0" fontId="9" fillId="5" borderId="25" xfId="0" applyNumberFormat="1" applyFont="1" applyFill="1" applyBorder="1" applyAlignment="1">
      <alignment horizontal="left" vertical="center"/>
    </xf>
    <xf numFmtId="0" fontId="0" fillId="8" borderId="37" xfId="0" applyNumberFormat="1" applyFill="1" applyBorder="1" applyAlignment="1">
      <alignment horizontal="center" vertical="center"/>
    </xf>
    <xf numFmtId="0" fontId="0" fillId="7" borderId="36" xfId="0" applyNumberFormat="1" applyFill="1" applyBorder="1" applyAlignment="1">
      <alignment horizontal="center" vertical="center"/>
    </xf>
    <xf numFmtId="49" fontId="9" fillId="13" borderId="26" xfId="0" applyNumberFormat="1" applyFont="1" applyFill="1" applyBorder="1" applyAlignment="1">
      <alignment horizontal="center" vertical="center"/>
    </xf>
    <xf numFmtId="164" fontId="9" fillId="13" borderId="38" xfId="0" applyNumberFormat="1" applyFont="1" applyFill="1" applyBorder="1" applyAlignment="1">
      <alignment horizontal="center" vertical="center"/>
    </xf>
    <xf numFmtId="164" fontId="9" fillId="13" borderId="27" xfId="0" applyNumberFormat="1" applyFont="1" applyFill="1" applyBorder="1" applyAlignment="1">
      <alignment horizontal="center" vertical="center"/>
    </xf>
    <xf numFmtId="49" fontId="9" fillId="3" borderId="26" xfId="0" applyNumberFormat="1" applyFont="1" applyFill="1" applyBorder="1" applyAlignment="1">
      <alignment horizontal="center" vertical="center"/>
    </xf>
    <xf numFmtId="164" fontId="9" fillId="3" borderId="38" xfId="0" applyNumberFormat="1" applyFont="1" applyFill="1" applyBorder="1" applyAlignment="1">
      <alignment horizontal="center" vertical="center"/>
    </xf>
    <xf numFmtId="164" fontId="9" fillId="3" borderId="27" xfId="0" applyNumberFormat="1" applyFont="1" applyFill="1" applyBorder="1" applyAlignment="1">
      <alignment horizontal="center" vertical="center"/>
    </xf>
    <xf numFmtId="49" fontId="9" fillId="5" borderId="46" xfId="0" applyNumberFormat="1" applyFont="1" applyFill="1" applyBorder="1" applyAlignment="1">
      <alignment horizontal="left" vertical="center"/>
    </xf>
    <xf numFmtId="0" fontId="9" fillId="5" borderId="49" xfId="0" applyNumberFormat="1" applyFont="1" applyFill="1" applyBorder="1" applyAlignment="1">
      <alignment horizontal="left" vertical="center"/>
    </xf>
    <xf numFmtId="49" fontId="6" fillId="4" borderId="39" xfId="0" applyNumberFormat="1" applyFont="1" applyFill="1" applyBorder="1" applyAlignment="1">
      <alignment horizontal="center" vertical="center"/>
    </xf>
    <xf numFmtId="0" fontId="6" fillId="4" borderId="40" xfId="0" applyNumberFormat="1" applyFont="1" applyFill="1" applyBorder="1" applyAlignment="1">
      <alignment horizontal="center" vertical="center"/>
    </xf>
    <xf numFmtId="0" fontId="6" fillId="4" borderId="14" xfId="0" applyNumberFormat="1" applyFont="1" applyFill="1" applyBorder="1" applyAlignment="1">
      <alignment horizontal="center" vertical="center"/>
    </xf>
    <xf numFmtId="0" fontId="0" fillId="3" borderId="41" xfId="0" applyNumberFormat="1" applyFill="1" applyBorder="1"/>
    <xf numFmtId="0" fontId="0" fillId="3" borderId="42" xfId="0" applyNumberFormat="1" applyFill="1" applyBorder="1"/>
    <xf numFmtId="0" fontId="0" fillId="3" borderId="43" xfId="0" applyNumberFormat="1" applyFill="1" applyBorder="1"/>
    <xf numFmtId="49" fontId="9" fillId="5" borderId="45" xfId="0" applyNumberFormat="1" applyFont="1" applyFill="1" applyBorder="1" applyAlignment="1">
      <alignment horizontal="left" vertical="center"/>
    </xf>
    <xf numFmtId="0" fontId="9" fillId="5" borderId="10" xfId="0" applyNumberFormat="1" applyFont="1" applyFill="1" applyBorder="1" applyAlignment="1">
      <alignment horizontal="left" vertical="center"/>
    </xf>
    <xf numFmtId="49" fontId="9" fillId="5" borderId="44" xfId="0" applyNumberFormat="1" applyFont="1" applyFill="1" applyBorder="1" applyAlignment="1">
      <alignment horizontal="center" vertical="center"/>
    </xf>
    <xf numFmtId="0" fontId="9" fillId="5" borderId="48" xfId="0" applyNumberFormat="1" applyFont="1" applyFill="1" applyBorder="1" applyAlignment="1">
      <alignment horizontal="center" vertical="center"/>
    </xf>
    <xf numFmtId="49" fontId="9" fillId="5" borderId="17" xfId="0" applyNumberFormat="1" applyFont="1" applyFill="1" applyBorder="1" applyAlignment="1">
      <alignment horizontal="center" vertical="center"/>
    </xf>
    <xf numFmtId="0" fontId="9" fillId="5" borderId="24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0" fontId="9" fillId="5" borderId="25" xfId="0" applyNumberFormat="1" applyFont="1" applyFill="1" applyBorder="1" applyAlignment="1">
      <alignment horizontal="center" vertical="center"/>
    </xf>
    <xf numFmtId="49" fontId="9" fillId="5" borderId="46" xfId="0" applyNumberFormat="1" applyFont="1" applyFill="1" applyBorder="1" applyAlignment="1">
      <alignment horizontal="center" vertical="center"/>
    </xf>
    <xf numFmtId="0" fontId="9" fillId="5" borderId="49" xfId="0" applyNumberFormat="1" applyFont="1" applyFill="1" applyBorder="1" applyAlignment="1">
      <alignment horizontal="center" vertical="center"/>
    </xf>
    <xf numFmtId="49" fontId="9" fillId="5" borderId="45" xfId="0" applyNumberFormat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9" fontId="11" fillId="13" borderId="20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center" vertical="center"/>
    </xf>
    <xf numFmtId="9" fontId="11" fillId="3" borderId="20" xfId="0" applyNumberFormat="1" applyFont="1" applyFill="1" applyBorder="1" applyAlignment="1">
      <alignment horizontal="center" vertical="center"/>
    </xf>
    <xf numFmtId="49" fontId="7" fillId="4" borderId="52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horizontal="center" vertical="center"/>
    </xf>
    <xf numFmtId="49" fontId="7" fillId="4" borderId="53" xfId="0" applyNumberFormat="1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 vertical="center"/>
    </xf>
    <xf numFmtId="0" fontId="7" fillId="15" borderId="2" xfId="0" applyNumberFormat="1" applyFont="1" applyFill="1" applyBorder="1" applyAlignment="1">
      <alignment horizontal="center" vertical="center"/>
    </xf>
    <xf numFmtId="49" fontId="12" fillId="5" borderId="57" xfId="0" applyNumberFormat="1" applyFont="1" applyFill="1" applyBorder="1" applyAlignment="1">
      <alignment horizontal="center" vertical="center"/>
    </xf>
    <xf numFmtId="0" fontId="12" fillId="5" borderId="58" xfId="0" applyNumberFormat="1" applyFont="1" applyFill="1" applyBorder="1" applyAlignment="1">
      <alignment horizontal="center" vertical="center"/>
    </xf>
    <xf numFmtId="0" fontId="12" fillId="5" borderId="59" xfId="0" applyNumberFormat="1" applyFont="1" applyFill="1" applyBorder="1" applyAlignment="1">
      <alignment horizontal="center" vertical="center"/>
    </xf>
    <xf numFmtId="49" fontId="14" fillId="3" borderId="63" xfId="0" applyNumberFormat="1" applyFont="1" applyFill="1" applyBorder="1"/>
    <xf numFmtId="0" fontId="0" fillId="3" borderId="63" xfId="0" applyNumberFormat="1" applyFill="1" applyBorder="1"/>
    <xf numFmtId="49" fontId="12" fillId="5" borderId="9" xfId="0" applyNumberFormat="1" applyFont="1" applyFill="1" applyBorder="1" applyAlignment="1">
      <alignment horizontal="center" vertical="center"/>
    </xf>
    <xf numFmtId="0" fontId="12" fillId="5" borderId="10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/>
    <xf numFmtId="0" fontId="14" fillId="3" borderId="8" xfId="0" applyNumberFormat="1" applyFont="1" applyFill="1" applyBorder="1"/>
    <xf numFmtId="49" fontId="14" fillId="3" borderId="62" xfId="0" applyNumberFormat="1" applyFont="1" applyFill="1" applyBorder="1"/>
    <xf numFmtId="0" fontId="14" fillId="3" borderId="62" xfId="0" applyNumberFormat="1" applyFont="1" applyFill="1" applyBorder="1"/>
    <xf numFmtId="49" fontId="7" fillId="15" borderId="2" xfId="0" applyNumberFormat="1" applyFont="1" applyFill="1" applyBorder="1" applyAlignment="1">
      <alignment horizontal="center" vertical="center"/>
    </xf>
    <xf numFmtId="49" fontId="7" fillId="15" borderId="3" xfId="0" applyNumberFormat="1" applyFont="1" applyFill="1" applyBorder="1" applyAlignment="1">
      <alignment horizontal="center" vertical="center"/>
    </xf>
    <xf numFmtId="49" fontId="12" fillId="5" borderId="10" xfId="0" applyNumberFormat="1" applyFont="1" applyFill="1" applyBorder="1" applyAlignment="1">
      <alignment horizontal="center" vertical="center"/>
    </xf>
    <xf numFmtId="49" fontId="12" fillId="5" borderId="11" xfId="0" applyNumberFormat="1" applyFont="1" applyFill="1" applyBorder="1" applyAlignment="1">
      <alignment horizontal="center" vertical="center"/>
    </xf>
    <xf numFmtId="49" fontId="12" fillId="5" borderId="58" xfId="0" applyNumberFormat="1" applyFont="1" applyFill="1" applyBorder="1" applyAlignment="1">
      <alignment horizontal="center" vertical="center"/>
    </xf>
    <xf numFmtId="49" fontId="12" fillId="5" borderId="5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AAAAAA"/>
      <rgbColor rgb="FF000090"/>
      <rgbColor rgb="FF000080"/>
      <rgbColor rgb="FFFFFFFF"/>
      <rgbColor rgb="FF0033CC"/>
      <rgbColor rgb="FFFFC000"/>
      <rgbColor rgb="FFFFFF00"/>
      <rgbColor rgb="FFF2F2F2"/>
      <rgbColor rgb="FF7F7F7F"/>
      <rgbColor rgb="FFBFBFBF"/>
      <rgbColor rgb="FF9CC2E5"/>
      <rgbColor rgb="FF00B0F0"/>
      <rgbColor rgb="FF70AD47"/>
      <rgbColor rgb="FFDEEAF6"/>
      <rgbColor rgb="FFE7E6E6"/>
      <rgbColor rgb="FF92D050"/>
      <rgbColor rgb="FFB4BAC3"/>
      <rgbColor rgb="FFD8D8D8"/>
      <rgbColor rgb="FFE2EEDA"/>
      <rgbColor rgb="FF00B05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6</xdr:row>
      <xdr:rowOff>95250</xdr:rowOff>
    </xdr:from>
    <xdr:to>
      <xdr:col>0</xdr:col>
      <xdr:colOff>1543050</xdr:colOff>
      <xdr:row>14</xdr:row>
      <xdr:rowOff>171450</xdr:rowOff>
    </xdr:to>
    <xdr:pic>
      <xdr:nvPicPr>
        <xdr:cNvPr id="2" name="image1.png" descr="WA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1438275"/>
          <a:ext cx="885825" cy="18288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571500</xdr:colOff>
      <xdr:row>8</xdr:row>
      <xdr:rowOff>0</xdr:rowOff>
    </xdr:from>
    <xdr:to>
      <xdr:col>4</xdr:col>
      <xdr:colOff>1943100</xdr:colOff>
      <xdr:row>14</xdr:row>
      <xdr:rowOff>139699</xdr:rowOff>
    </xdr:to>
    <xdr:pic>
      <xdr:nvPicPr>
        <xdr:cNvPr id="3" name="image2.jpeg" descr="http://www.tcf.gov.tr/images/logo_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5000" t="51000" r="5000" b="2600"/>
        <a:stretch>
          <a:fillRect/>
        </a:stretch>
      </xdr:blipFill>
      <xdr:spPr>
        <a:xfrm>
          <a:off x="9105900" y="1724025"/>
          <a:ext cx="1371600" cy="1511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0"/>
  <sheetViews>
    <sheetView showGridLines="0" workbookViewId="0">
      <selection activeCell="B18" sqref="B18"/>
    </sheetView>
  </sheetViews>
  <sheetFormatPr defaultColWidth="8.796875" defaultRowHeight="15" customHeight="1" x14ac:dyDescent="0.45"/>
  <cols>
    <col min="1" max="1" width="27.46484375" style="1" customWidth="1"/>
    <col min="2" max="2" width="18.46484375" style="1" customWidth="1"/>
    <col min="3" max="3" width="4.46484375" style="1" customWidth="1"/>
    <col min="4" max="4" width="61.46484375" style="1" customWidth="1"/>
    <col min="5" max="5" width="44.19921875" style="1" customWidth="1"/>
    <col min="6" max="256" width="8.86328125" style="1" customWidth="1"/>
  </cols>
  <sheetData>
    <row r="1" spans="1:5" ht="15" customHeight="1" x14ac:dyDescent="0.45">
      <c r="A1" s="2"/>
      <c r="B1" s="3"/>
      <c r="C1" s="3"/>
      <c r="D1" s="3"/>
      <c r="E1" s="4"/>
    </row>
    <row r="2" spans="1:5" ht="18" customHeight="1" x14ac:dyDescent="0.45">
      <c r="A2" s="5"/>
      <c r="B2" s="176" t="s">
        <v>106</v>
      </c>
      <c r="C2" s="177"/>
      <c r="D2" s="177"/>
      <c r="E2" s="7"/>
    </row>
    <row r="3" spans="1:5" ht="18" customHeight="1" x14ac:dyDescent="0.45">
      <c r="A3" s="5"/>
      <c r="B3" s="6"/>
      <c r="C3" s="6"/>
      <c r="D3" s="6"/>
      <c r="E3" s="7"/>
    </row>
    <row r="4" spans="1:5" ht="15" customHeight="1" x14ac:dyDescent="0.45">
      <c r="A4" s="5"/>
      <c r="B4" s="178"/>
      <c r="C4" s="178"/>
      <c r="D4" s="178"/>
      <c r="E4" s="7"/>
    </row>
    <row r="5" spans="1:5" ht="15" customHeight="1" x14ac:dyDescent="0.45">
      <c r="A5" s="5"/>
      <c r="B5" s="8"/>
      <c r="C5" s="8"/>
      <c r="D5" s="8"/>
      <c r="E5" s="7"/>
    </row>
    <row r="6" spans="1:5" ht="24.75" customHeight="1" x14ac:dyDescent="0.45">
      <c r="A6" s="5"/>
      <c r="B6" s="179" t="s">
        <v>0</v>
      </c>
      <c r="C6" s="180"/>
      <c r="D6" s="180"/>
      <c r="E6" s="7"/>
    </row>
    <row r="7" spans="1:5" ht="15" customHeight="1" x14ac:dyDescent="0.45">
      <c r="A7" s="5"/>
      <c r="B7" s="9"/>
      <c r="C7" s="9"/>
      <c r="D7" s="9"/>
      <c r="E7" s="7"/>
    </row>
    <row r="8" spans="1:5" ht="15" customHeight="1" x14ac:dyDescent="0.45">
      <c r="A8" s="5"/>
      <c r="B8" s="9"/>
      <c r="C8" s="9"/>
      <c r="D8" s="9"/>
      <c r="E8" s="7"/>
    </row>
    <row r="9" spans="1:5" ht="18" customHeight="1" x14ac:dyDescent="0.45">
      <c r="A9" s="5"/>
      <c r="B9" s="10" t="s">
        <v>1</v>
      </c>
      <c r="C9" s="11" t="s">
        <v>2</v>
      </c>
      <c r="D9" s="12" t="s">
        <v>3</v>
      </c>
      <c r="E9" s="7"/>
    </row>
    <row r="10" spans="1:5" ht="18" customHeight="1" x14ac:dyDescent="0.45">
      <c r="A10" s="5"/>
      <c r="B10" s="13"/>
      <c r="C10" s="14"/>
      <c r="D10" s="15"/>
      <c r="E10" s="7"/>
    </row>
    <row r="11" spans="1:5" ht="18" customHeight="1" x14ac:dyDescent="0.45">
      <c r="A11" s="5"/>
      <c r="B11" s="16" t="s">
        <v>4</v>
      </c>
      <c r="C11" s="11" t="s">
        <v>2</v>
      </c>
      <c r="D11" s="17"/>
      <c r="E11" s="7"/>
    </row>
    <row r="12" spans="1:5" ht="18" customHeight="1" x14ac:dyDescent="0.45">
      <c r="A12" s="5"/>
      <c r="B12" s="13"/>
      <c r="C12" s="14"/>
      <c r="D12" s="15"/>
      <c r="E12" s="7"/>
    </row>
    <row r="13" spans="1:5" ht="18" customHeight="1" x14ac:dyDescent="0.45">
      <c r="A13" s="5"/>
      <c r="B13" s="16" t="s">
        <v>5</v>
      </c>
      <c r="C13" s="11" t="s">
        <v>2</v>
      </c>
      <c r="D13" s="12" t="s">
        <v>6</v>
      </c>
      <c r="E13" s="7"/>
    </row>
    <row r="14" spans="1:5" ht="18" customHeight="1" x14ac:dyDescent="0.45">
      <c r="A14" s="5"/>
      <c r="B14" s="13"/>
      <c r="C14" s="14"/>
      <c r="D14" s="15"/>
      <c r="E14" s="7"/>
    </row>
    <row r="15" spans="1:5" ht="18" customHeight="1" x14ac:dyDescent="0.45">
      <c r="A15" s="5"/>
      <c r="B15" s="16" t="s">
        <v>7</v>
      </c>
      <c r="C15" s="11" t="s">
        <v>2</v>
      </c>
      <c r="D15" s="18" t="s">
        <v>107</v>
      </c>
      <c r="E15" s="7"/>
    </row>
    <row r="16" spans="1:5" ht="15" customHeight="1" x14ac:dyDescent="0.45">
      <c r="A16" s="5"/>
      <c r="B16" s="9"/>
      <c r="C16" s="9"/>
      <c r="D16" s="9"/>
      <c r="E16" s="7"/>
    </row>
    <row r="17" spans="1:5" ht="15" customHeight="1" x14ac:dyDescent="0.45">
      <c r="A17" s="5"/>
      <c r="B17" s="9"/>
      <c r="C17" s="9"/>
      <c r="D17" s="9"/>
      <c r="E17" s="7"/>
    </row>
    <row r="18" spans="1:5" ht="18" customHeight="1" x14ac:dyDescent="0.45">
      <c r="A18" s="5"/>
      <c r="B18" s="19"/>
      <c r="C18" s="20"/>
      <c r="D18" s="21"/>
      <c r="E18" s="7"/>
    </row>
    <row r="19" spans="1:5" ht="18" customHeight="1" x14ac:dyDescent="0.45">
      <c r="A19" s="5"/>
      <c r="B19" s="22"/>
      <c r="C19" s="9"/>
      <c r="D19" s="9"/>
      <c r="E19" s="7"/>
    </row>
    <row r="20" spans="1:5" ht="15" customHeight="1" x14ac:dyDescent="0.45">
      <c r="A20" s="5"/>
      <c r="B20" s="9"/>
      <c r="C20" s="9"/>
      <c r="D20" s="9"/>
      <c r="E20" s="7"/>
    </row>
    <row r="21" spans="1:5" ht="15" customHeight="1" x14ac:dyDescent="0.45">
      <c r="A21" s="23"/>
      <c r="B21" s="23"/>
      <c r="C21" s="23"/>
      <c r="D21" s="23"/>
      <c r="E21" s="23"/>
    </row>
    <row r="22" spans="1:5" ht="15" customHeight="1" x14ac:dyDescent="0.45">
      <c r="A22" s="24"/>
      <c r="B22" s="24"/>
      <c r="C22" s="24"/>
      <c r="D22" s="24"/>
      <c r="E22" s="24"/>
    </row>
    <row r="23" spans="1:5" ht="15" customHeight="1" x14ac:dyDescent="0.45">
      <c r="A23" s="24"/>
      <c r="B23" s="24"/>
      <c r="C23" s="24"/>
      <c r="D23" s="24"/>
      <c r="E23" s="24"/>
    </row>
    <row r="24" spans="1:5" ht="15" customHeight="1" x14ac:dyDescent="0.45">
      <c r="A24" s="24"/>
      <c r="B24" s="24"/>
      <c r="C24" s="24"/>
      <c r="D24" s="24"/>
      <c r="E24" s="24"/>
    </row>
    <row r="25" spans="1:5" ht="15" customHeight="1" x14ac:dyDescent="0.45">
      <c r="A25" s="24"/>
      <c r="B25" s="24"/>
      <c r="C25" s="24"/>
      <c r="D25" s="24"/>
      <c r="E25" s="24"/>
    </row>
    <row r="26" spans="1:5" ht="15" customHeight="1" x14ac:dyDescent="0.45">
      <c r="A26" s="24"/>
      <c r="B26" s="24"/>
      <c r="C26" s="24"/>
      <c r="D26" s="24"/>
      <c r="E26" s="24"/>
    </row>
    <row r="27" spans="1:5" ht="15" customHeight="1" x14ac:dyDescent="0.45">
      <c r="A27" s="24"/>
      <c r="B27" s="24"/>
      <c r="C27" s="24"/>
      <c r="D27" s="24"/>
      <c r="E27" s="24"/>
    </row>
    <row r="28" spans="1:5" ht="15" customHeight="1" x14ac:dyDescent="0.45">
      <c r="A28" s="24"/>
      <c r="B28" s="24"/>
      <c r="C28" s="24"/>
      <c r="D28" s="24"/>
      <c r="E28" s="24"/>
    </row>
    <row r="29" spans="1:5" ht="15" customHeight="1" x14ac:dyDescent="0.45">
      <c r="A29" s="24"/>
      <c r="B29" s="24"/>
      <c r="C29" s="24"/>
      <c r="D29" s="24"/>
      <c r="E29" s="24"/>
    </row>
    <row r="30" spans="1:5" ht="15" customHeight="1" x14ac:dyDescent="0.45">
      <c r="A30" s="25"/>
      <c r="B30" s="25"/>
      <c r="C30" s="25"/>
      <c r="D30" s="25"/>
      <c r="E30" s="25"/>
    </row>
  </sheetData>
  <mergeCells count="3">
    <mergeCell ref="B2:D2"/>
    <mergeCell ref="B4:D4"/>
    <mergeCell ref="B6:D6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03"/>
  <sheetViews>
    <sheetView showGridLines="0" topLeftCell="A29" workbookViewId="0">
      <selection activeCell="D47" sqref="D47"/>
    </sheetView>
  </sheetViews>
  <sheetFormatPr defaultColWidth="8.796875" defaultRowHeight="15" customHeight="1" x14ac:dyDescent="0.45"/>
  <cols>
    <col min="1" max="1" width="5.46484375" style="1" customWidth="1"/>
    <col min="2" max="2" width="18.46484375" style="1" customWidth="1"/>
    <col min="3" max="3" width="20" style="1" customWidth="1"/>
    <col min="4" max="6" width="28.46484375" style="1" customWidth="1"/>
    <col min="7" max="256" width="8.86328125" style="1" customWidth="1"/>
  </cols>
  <sheetData>
    <row r="1" spans="1:6" ht="8.5500000000000007" customHeight="1" x14ac:dyDescent="0.45">
      <c r="A1" s="181" t="s">
        <v>8</v>
      </c>
      <c r="B1" s="182"/>
      <c r="C1" s="182"/>
      <c r="D1" s="182"/>
      <c r="E1" s="182"/>
      <c r="F1" s="183"/>
    </row>
    <row r="2" spans="1:6" ht="11" customHeight="1" x14ac:dyDescent="0.45">
      <c r="A2" s="184"/>
      <c r="B2" s="185"/>
      <c r="C2" s="185"/>
      <c r="D2" s="185"/>
      <c r="E2" s="185"/>
      <c r="F2" s="186"/>
    </row>
    <row r="3" spans="1:6" ht="15" customHeight="1" x14ac:dyDescent="0.45">
      <c r="A3" s="26" t="s">
        <v>9</v>
      </c>
      <c r="B3" s="26" t="s">
        <v>10</v>
      </c>
      <c r="C3" s="26" t="s">
        <v>11</v>
      </c>
      <c r="D3" s="27" t="s">
        <v>5</v>
      </c>
      <c r="E3" s="26" t="s">
        <v>12</v>
      </c>
      <c r="F3" s="26" t="s">
        <v>13</v>
      </c>
    </row>
    <row r="4" spans="1:6" ht="15.75" customHeight="1" x14ac:dyDescent="0.45">
      <c r="A4" s="28">
        <v>1</v>
      </c>
      <c r="B4" s="29" t="s">
        <v>14</v>
      </c>
      <c r="C4" s="29" t="s">
        <v>15</v>
      </c>
      <c r="D4" s="30"/>
      <c r="E4" s="30"/>
      <c r="F4" s="31"/>
    </row>
    <row r="5" spans="1:6" ht="15.75" customHeight="1" x14ac:dyDescent="0.45">
      <c r="A5" s="32">
        <f t="shared" ref="A5:A36" si="0">A4+1</f>
        <v>2</v>
      </c>
      <c r="B5" s="29" t="s">
        <v>16</v>
      </c>
      <c r="C5" s="29" t="s">
        <v>17</v>
      </c>
      <c r="D5" s="30"/>
      <c r="E5" s="30"/>
      <c r="F5" s="33"/>
    </row>
    <row r="6" spans="1:6" ht="15.75" customHeight="1" x14ac:dyDescent="0.45">
      <c r="A6" s="28">
        <f t="shared" si="0"/>
        <v>3</v>
      </c>
      <c r="B6" s="29" t="s">
        <v>18</v>
      </c>
      <c r="C6" s="29" t="s">
        <v>19</v>
      </c>
      <c r="D6" s="30"/>
      <c r="E6" s="30"/>
      <c r="F6" s="31"/>
    </row>
    <row r="7" spans="1:6" ht="15.75" customHeight="1" x14ac:dyDescent="0.45">
      <c r="A7" s="32">
        <f t="shared" si="0"/>
        <v>4</v>
      </c>
      <c r="B7" s="29" t="s">
        <v>20</v>
      </c>
      <c r="C7" s="29" t="s">
        <v>21</v>
      </c>
      <c r="D7" s="30"/>
      <c r="E7" s="30"/>
      <c r="F7" s="33"/>
    </row>
    <row r="8" spans="1:6" ht="15.75" customHeight="1" x14ac:dyDescent="0.45">
      <c r="A8" s="28">
        <f t="shared" si="0"/>
        <v>5</v>
      </c>
      <c r="B8" s="29" t="s">
        <v>22</v>
      </c>
      <c r="C8" s="34" t="s">
        <v>23</v>
      </c>
      <c r="D8" s="29"/>
      <c r="E8" s="30"/>
      <c r="F8" s="31"/>
    </row>
    <row r="9" spans="1:6" ht="15.75" customHeight="1" x14ac:dyDescent="0.45">
      <c r="A9" s="32">
        <f t="shared" si="0"/>
        <v>6</v>
      </c>
      <c r="B9" s="29" t="s">
        <v>24</v>
      </c>
      <c r="C9" s="29" t="s">
        <v>25</v>
      </c>
      <c r="D9" s="30"/>
      <c r="E9" s="30"/>
      <c r="F9" s="33"/>
    </row>
    <row r="10" spans="1:6" ht="15.75" customHeight="1" x14ac:dyDescent="0.45">
      <c r="A10" s="28">
        <f t="shared" si="0"/>
        <v>7</v>
      </c>
      <c r="B10" s="29" t="s">
        <v>26</v>
      </c>
      <c r="C10" s="29" t="s">
        <v>27</v>
      </c>
      <c r="D10" s="30"/>
      <c r="E10" s="30"/>
      <c r="F10" s="31"/>
    </row>
    <row r="11" spans="1:6" ht="15.75" customHeight="1" x14ac:dyDescent="0.45">
      <c r="A11" s="32">
        <f t="shared" si="0"/>
        <v>8</v>
      </c>
      <c r="B11" s="29" t="s">
        <v>28</v>
      </c>
      <c r="C11" s="29" t="s">
        <v>29</v>
      </c>
      <c r="D11" s="30"/>
      <c r="E11" s="30"/>
      <c r="F11" s="33"/>
    </row>
    <row r="12" spans="1:6" ht="15.75" customHeight="1" x14ac:dyDescent="0.45">
      <c r="A12" s="28">
        <f t="shared" si="0"/>
        <v>9</v>
      </c>
      <c r="B12" s="29" t="s">
        <v>20</v>
      </c>
      <c r="C12" s="29" t="s">
        <v>30</v>
      </c>
      <c r="D12" s="30"/>
      <c r="E12" s="30"/>
      <c r="F12" s="31"/>
    </row>
    <row r="13" spans="1:6" ht="15.75" customHeight="1" x14ac:dyDescent="0.45">
      <c r="A13" s="32">
        <f t="shared" si="0"/>
        <v>10</v>
      </c>
      <c r="B13" s="29" t="s">
        <v>31</v>
      </c>
      <c r="C13" s="29" t="s">
        <v>32</v>
      </c>
      <c r="D13" s="30"/>
      <c r="E13" s="30"/>
      <c r="F13" s="33"/>
    </row>
    <row r="14" spans="1:6" ht="15" customHeight="1" x14ac:dyDescent="0.45">
      <c r="A14" s="28">
        <f t="shared" si="0"/>
        <v>11</v>
      </c>
      <c r="B14" s="29" t="s">
        <v>33</v>
      </c>
      <c r="C14" s="29" t="s">
        <v>34</v>
      </c>
      <c r="D14" s="30"/>
      <c r="E14" s="30"/>
      <c r="F14" s="35"/>
    </row>
    <row r="15" spans="1:6" ht="15" customHeight="1" x14ac:dyDescent="0.45">
      <c r="A15" s="32">
        <f t="shared" si="0"/>
        <v>12</v>
      </c>
      <c r="B15" s="29" t="s">
        <v>35</v>
      </c>
      <c r="C15" s="29" t="s">
        <v>36</v>
      </c>
      <c r="D15" s="30"/>
      <c r="E15" s="30"/>
      <c r="F15" s="36"/>
    </row>
    <row r="16" spans="1:6" ht="15" customHeight="1" x14ac:dyDescent="0.45">
      <c r="A16" s="28">
        <f t="shared" si="0"/>
        <v>13</v>
      </c>
      <c r="B16" s="29" t="s">
        <v>37</v>
      </c>
      <c r="C16" s="29" t="s">
        <v>38</v>
      </c>
      <c r="D16" s="30"/>
      <c r="E16" s="30"/>
      <c r="F16" s="35"/>
    </row>
    <row r="17" spans="1:6" ht="15" customHeight="1" x14ac:dyDescent="0.45">
      <c r="A17" s="32">
        <f t="shared" si="0"/>
        <v>14</v>
      </c>
      <c r="B17" s="29" t="s">
        <v>39</v>
      </c>
      <c r="C17" s="29" t="s">
        <v>40</v>
      </c>
      <c r="D17" s="30"/>
      <c r="E17" s="30"/>
      <c r="F17" s="36"/>
    </row>
    <row r="18" spans="1:6" ht="15" customHeight="1" x14ac:dyDescent="0.45">
      <c r="A18" s="28">
        <f t="shared" si="0"/>
        <v>15</v>
      </c>
      <c r="B18" s="29" t="s">
        <v>41</v>
      </c>
      <c r="C18" s="29" t="s">
        <v>42</v>
      </c>
      <c r="D18" s="30"/>
      <c r="E18" s="30"/>
      <c r="F18" s="35"/>
    </row>
    <row r="19" spans="1:6" ht="15" customHeight="1" x14ac:dyDescent="0.45">
      <c r="A19" s="32">
        <f t="shared" si="0"/>
        <v>16</v>
      </c>
      <c r="B19" s="29" t="s">
        <v>43</v>
      </c>
      <c r="C19" s="29" t="s">
        <v>44</v>
      </c>
      <c r="D19" s="30"/>
      <c r="E19" s="30"/>
      <c r="F19" s="36"/>
    </row>
    <row r="20" spans="1:6" ht="15" customHeight="1" x14ac:dyDescent="0.45">
      <c r="A20" s="28">
        <f t="shared" si="0"/>
        <v>17</v>
      </c>
      <c r="B20" s="29" t="s">
        <v>45</v>
      </c>
      <c r="C20" s="29" t="s">
        <v>46</v>
      </c>
      <c r="D20" s="30"/>
      <c r="E20" s="30"/>
      <c r="F20" s="35"/>
    </row>
    <row r="21" spans="1:6" ht="15" customHeight="1" x14ac:dyDescent="0.45">
      <c r="A21" s="32">
        <f t="shared" si="0"/>
        <v>18</v>
      </c>
      <c r="B21" s="29" t="s">
        <v>47</v>
      </c>
      <c r="C21" s="29" t="s">
        <v>48</v>
      </c>
      <c r="D21" s="30"/>
      <c r="E21" s="30"/>
      <c r="F21" s="36"/>
    </row>
    <row r="22" spans="1:6" ht="15" customHeight="1" x14ac:dyDescent="0.45">
      <c r="A22" s="28">
        <f t="shared" si="0"/>
        <v>19</v>
      </c>
      <c r="B22" s="34" t="s">
        <v>49</v>
      </c>
      <c r="C22" s="34" t="s">
        <v>50</v>
      </c>
      <c r="D22" s="30"/>
      <c r="E22" s="30"/>
      <c r="F22" s="35"/>
    </row>
    <row r="23" spans="1:6" ht="15" customHeight="1" x14ac:dyDescent="0.45">
      <c r="A23" s="32">
        <f t="shared" si="0"/>
        <v>20</v>
      </c>
      <c r="B23" s="29" t="s">
        <v>51</v>
      </c>
      <c r="C23" s="29" t="s">
        <v>52</v>
      </c>
      <c r="D23" s="30"/>
      <c r="E23" s="30"/>
      <c r="F23" s="36"/>
    </row>
    <row r="24" spans="1:6" ht="15" customHeight="1" x14ac:dyDescent="0.45">
      <c r="A24" s="28">
        <f t="shared" si="0"/>
        <v>21</v>
      </c>
      <c r="B24" s="29" t="s">
        <v>108</v>
      </c>
      <c r="C24" s="29" t="s">
        <v>27</v>
      </c>
      <c r="D24" s="30"/>
      <c r="E24" s="30"/>
      <c r="F24" s="35"/>
    </row>
    <row r="25" spans="1:6" ht="15" customHeight="1" x14ac:dyDescent="0.45">
      <c r="A25" s="32">
        <f t="shared" si="0"/>
        <v>22</v>
      </c>
      <c r="B25" s="29" t="s">
        <v>109</v>
      </c>
      <c r="C25" s="29" t="s">
        <v>110</v>
      </c>
      <c r="D25" s="30"/>
      <c r="E25" s="30"/>
      <c r="F25" s="36"/>
    </row>
    <row r="26" spans="1:6" ht="15" customHeight="1" x14ac:dyDescent="0.45">
      <c r="A26" s="28">
        <f t="shared" si="0"/>
        <v>23</v>
      </c>
      <c r="B26" s="29" t="s">
        <v>112</v>
      </c>
      <c r="C26" s="29" t="s">
        <v>111</v>
      </c>
      <c r="D26" s="30"/>
      <c r="E26" s="30"/>
      <c r="F26" s="35"/>
    </row>
    <row r="27" spans="1:6" ht="15" customHeight="1" x14ac:dyDescent="0.45">
      <c r="A27" s="32">
        <f t="shared" si="0"/>
        <v>24</v>
      </c>
      <c r="B27" s="29" t="s">
        <v>114</v>
      </c>
      <c r="C27" s="29" t="s">
        <v>113</v>
      </c>
      <c r="D27" s="30"/>
      <c r="E27" s="30"/>
      <c r="F27" s="36"/>
    </row>
    <row r="28" spans="1:6" ht="15" customHeight="1" x14ac:dyDescent="0.45">
      <c r="A28" s="28">
        <f t="shared" si="0"/>
        <v>25</v>
      </c>
      <c r="B28" s="29" t="s">
        <v>116</v>
      </c>
      <c r="C28" s="29" t="s">
        <v>115</v>
      </c>
      <c r="D28" s="30"/>
      <c r="E28" s="30"/>
      <c r="F28" s="35"/>
    </row>
    <row r="29" spans="1:6" ht="15" customHeight="1" x14ac:dyDescent="0.45">
      <c r="A29" s="32">
        <f t="shared" si="0"/>
        <v>26</v>
      </c>
      <c r="B29" s="29" t="s">
        <v>118</v>
      </c>
      <c r="C29" s="29" t="s">
        <v>117</v>
      </c>
      <c r="D29" s="30"/>
      <c r="E29" s="30"/>
      <c r="F29" s="36"/>
    </row>
    <row r="30" spans="1:6" ht="15" customHeight="1" x14ac:dyDescent="0.45">
      <c r="A30" s="28">
        <f t="shared" si="0"/>
        <v>27</v>
      </c>
      <c r="B30" s="29" t="s">
        <v>119</v>
      </c>
      <c r="C30" s="29" t="s">
        <v>120</v>
      </c>
      <c r="D30" s="30"/>
      <c r="E30" s="30"/>
      <c r="F30" s="35"/>
    </row>
    <row r="31" spans="1:6" ht="15" customHeight="1" x14ac:dyDescent="0.45">
      <c r="A31" s="32">
        <f t="shared" si="0"/>
        <v>28</v>
      </c>
      <c r="B31" s="29" t="s">
        <v>122</v>
      </c>
      <c r="C31" s="29" t="s">
        <v>121</v>
      </c>
      <c r="D31" s="30"/>
      <c r="E31" s="30"/>
      <c r="F31" s="36"/>
    </row>
    <row r="32" spans="1:6" ht="15" customHeight="1" x14ac:dyDescent="0.45">
      <c r="A32" s="28">
        <f t="shared" si="0"/>
        <v>29</v>
      </c>
      <c r="B32" s="29" t="s">
        <v>124</v>
      </c>
      <c r="C32" s="29" t="s">
        <v>123</v>
      </c>
      <c r="D32" s="30"/>
      <c r="E32" s="30"/>
      <c r="F32" s="35"/>
    </row>
    <row r="33" spans="1:6" ht="15" customHeight="1" x14ac:dyDescent="0.45">
      <c r="A33" s="32">
        <f t="shared" si="0"/>
        <v>30</v>
      </c>
      <c r="B33" s="29" t="s">
        <v>126</v>
      </c>
      <c r="C33" s="29" t="s">
        <v>125</v>
      </c>
      <c r="D33" s="30"/>
      <c r="E33" s="30"/>
      <c r="F33" s="36"/>
    </row>
    <row r="34" spans="1:6" ht="15" customHeight="1" x14ac:dyDescent="0.45">
      <c r="A34" s="28">
        <f t="shared" si="0"/>
        <v>31</v>
      </c>
      <c r="B34" s="29" t="s">
        <v>128</v>
      </c>
      <c r="C34" s="29" t="s">
        <v>127</v>
      </c>
      <c r="D34" s="30"/>
      <c r="E34" s="30"/>
      <c r="F34" s="35"/>
    </row>
    <row r="35" spans="1:6" ht="15" customHeight="1" x14ac:dyDescent="0.45">
      <c r="A35" s="32">
        <f t="shared" si="0"/>
        <v>32</v>
      </c>
      <c r="B35" s="29" t="s">
        <v>130</v>
      </c>
      <c r="C35" s="29" t="s">
        <v>129</v>
      </c>
      <c r="D35" s="30"/>
      <c r="E35" s="30"/>
      <c r="F35" s="36"/>
    </row>
    <row r="36" spans="1:6" ht="15" customHeight="1" x14ac:dyDescent="0.45">
      <c r="A36" s="28">
        <f t="shared" si="0"/>
        <v>33</v>
      </c>
      <c r="B36" s="29" t="s">
        <v>131</v>
      </c>
      <c r="C36" s="29" t="s">
        <v>118</v>
      </c>
      <c r="D36" s="30"/>
      <c r="E36" s="30"/>
      <c r="F36" s="35"/>
    </row>
    <row r="37" spans="1:6" ht="15" customHeight="1" x14ac:dyDescent="0.45">
      <c r="A37" s="32">
        <f t="shared" ref="A37:A68" si="1">A36+1</f>
        <v>34</v>
      </c>
      <c r="B37" s="29" t="s">
        <v>133</v>
      </c>
      <c r="C37" s="29" t="s">
        <v>132</v>
      </c>
      <c r="D37" s="30"/>
      <c r="E37" s="30"/>
      <c r="F37" s="36"/>
    </row>
    <row r="38" spans="1:6" ht="15" customHeight="1" x14ac:dyDescent="0.45">
      <c r="A38" s="28">
        <f t="shared" si="1"/>
        <v>35</v>
      </c>
      <c r="B38" s="29" t="s">
        <v>135</v>
      </c>
      <c r="C38" s="29" t="s">
        <v>134</v>
      </c>
      <c r="D38" s="30"/>
      <c r="E38" s="30"/>
      <c r="F38" s="35"/>
    </row>
    <row r="39" spans="1:6" ht="15" customHeight="1" x14ac:dyDescent="0.45">
      <c r="A39" s="32">
        <f t="shared" si="1"/>
        <v>36</v>
      </c>
      <c r="B39" s="29" t="s">
        <v>137</v>
      </c>
      <c r="C39" s="29" t="s">
        <v>136</v>
      </c>
      <c r="D39" s="30"/>
      <c r="E39" s="30"/>
      <c r="F39" s="36"/>
    </row>
    <row r="40" spans="1:6" ht="15" customHeight="1" x14ac:dyDescent="0.45">
      <c r="A40" s="28">
        <f t="shared" si="1"/>
        <v>37</v>
      </c>
      <c r="B40" s="37" t="s">
        <v>139</v>
      </c>
      <c r="C40" s="37" t="s">
        <v>138</v>
      </c>
      <c r="D40" s="38"/>
      <c r="E40" s="38"/>
      <c r="F40" s="35"/>
    </row>
    <row r="41" spans="1:6" ht="15" customHeight="1" x14ac:dyDescent="0.45">
      <c r="A41" s="32">
        <f t="shared" si="1"/>
        <v>38</v>
      </c>
      <c r="B41" s="37" t="s">
        <v>141</v>
      </c>
      <c r="C41" s="37" t="s">
        <v>140</v>
      </c>
      <c r="D41" s="38"/>
      <c r="E41" s="38"/>
      <c r="F41" s="36"/>
    </row>
    <row r="42" spans="1:6" ht="15" customHeight="1" x14ac:dyDescent="0.45">
      <c r="A42" s="28">
        <f t="shared" si="1"/>
        <v>39</v>
      </c>
      <c r="B42" s="37" t="s">
        <v>143</v>
      </c>
      <c r="C42" s="37" t="s">
        <v>142</v>
      </c>
      <c r="D42" s="38"/>
      <c r="E42" s="38"/>
      <c r="F42" s="35"/>
    </row>
    <row r="43" spans="1:6" ht="15" customHeight="1" x14ac:dyDescent="0.45">
      <c r="A43" s="32">
        <f t="shared" si="1"/>
        <v>40</v>
      </c>
      <c r="B43" s="29" t="s">
        <v>47</v>
      </c>
      <c r="C43" s="29" t="s">
        <v>144</v>
      </c>
      <c r="D43" s="38"/>
      <c r="E43" s="30"/>
      <c r="F43" s="36"/>
    </row>
    <row r="44" spans="1:6" ht="15" customHeight="1" x14ac:dyDescent="0.45">
      <c r="A44" s="28">
        <f t="shared" si="1"/>
        <v>41</v>
      </c>
      <c r="B44" s="37" t="s">
        <v>146</v>
      </c>
      <c r="C44" s="37" t="s">
        <v>145</v>
      </c>
      <c r="D44" s="38"/>
      <c r="E44" s="38"/>
      <c r="F44" s="35"/>
    </row>
    <row r="45" spans="1:6" ht="15" customHeight="1" x14ac:dyDescent="0.45">
      <c r="A45" s="32">
        <f t="shared" si="1"/>
        <v>42</v>
      </c>
      <c r="B45" s="29" t="s">
        <v>148</v>
      </c>
      <c r="C45" s="29" t="s">
        <v>147</v>
      </c>
      <c r="D45" s="38"/>
      <c r="E45" s="30"/>
      <c r="F45" s="36"/>
    </row>
    <row r="46" spans="1:6" ht="15" customHeight="1" x14ac:dyDescent="0.45">
      <c r="A46" s="28">
        <f t="shared" si="1"/>
        <v>43</v>
      </c>
      <c r="B46" s="37" t="s">
        <v>150</v>
      </c>
      <c r="C46" s="37" t="s">
        <v>149</v>
      </c>
      <c r="D46" s="38"/>
      <c r="E46" s="38"/>
      <c r="F46" s="35"/>
    </row>
    <row r="47" spans="1:6" ht="15" customHeight="1" x14ac:dyDescent="0.45">
      <c r="A47" s="32">
        <f t="shared" si="1"/>
        <v>44</v>
      </c>
      <c r="B47" s="37" t="s">
        <v>152</v>
      </c>
      <c r="C47" s="37" t="s">
        <v>151</v>
      </c>
      <c r="D47" s="38"/>
      <c r="E47" s="38"/>
      <c r="F47" s="36"/>
    </row>
    <row r="48" spans="1:6" ht="15" customHeight="1" x14ac:dyDescent="0.45">
      <c r="A48" s="28">
        <f t="shared" si="1"/>
        <v>45</v>
      </c>
      <c r="B48" s="29" t="s">
        <v>153</v>
      </c>
      <c r="C48" s="29" t="s">
        <v>25</v>
      </c>
      <c r="D48" s="30"/>
      <c r="E48" s="30"/>
      <c r="F48" s="35"/>
    </row>
    <row r="49" spans="1:6" ht="15" customHeight="1" x14ac:dyDescent="0.45">
      <c r="A49" s="32">
        <f t="shared" si="1"/>
        <v>46</v>
      </c>
      <c r="B49" s="37" t="s">
        <v>155</v>
      </c>
      <c r="C49" s="37" t="s">
        <v>154</v>
      </c>
      <c r="D49" s="38"/>
      <c r="E49" s="38"/>
      <c r="F49" s="36"/>
    </row>
    <row r="50" spans="1:6" ht="15" customHeight="1" x14ac:dyDescent="0.45">
      <c r="A50" s="28">
        <f t="shared" si="1"/>
        <v>47</v>
      </c>
      <c r="B50" s="29"/>
      <c r="C50" s="29"/>
      <c r="D50" s="30"/>
      <c r="E50" s="30"/>
      <c r="F50" s="35"/>
    </row>
    <row r="51" spans="1:6" ht="15" customHeight="1" x14ac:dyDescent="0.45">
      <c r="A51" s="32">
        <f t="shared" si="1"/>
        <v>48</v>
      </c>
      <c r="B51" s="37"/>
      <c r="C51" s="37"/>
      <c r="D51" s="38"/>
      <c r="E51" s="38"/>
      <c r="F51" s="36"/>
    </row>
    <row r="52" spans="1:6" ht="15" customHeight="1" x14ac:dyDescent="0.45">
      <c r="A52" s="28">
        <f t="shared" si="1"/>
        <v>49</v>
      </c>
      <c r="B52" s="29"/>
      <c r="C52" s="29"/>
      <c r="D52" s="38"/>
      <c r="E52" s="30"/>
      <c r="F52" s="35"/>
    </row>
    <row r="53" spans="1:6" ht="15" customHeight="1" x14ac:dyDescent="0.45">
      <c r="A53" s="32">
        <f t="shared" si="1"/>
        <v>50</v>
      </c>
      <c r="B53" s="29"/>
      <c r="C53" s="29"/>
      <c r="D53" s="30"/>
      <c r="E53" s="30"/>
      <c r="F53" s="36"/>
    </row>
    <row r="54" spans="1:6" ht="15" customHeight="1" x14ac:dyDescent="0.45">
      <c r="A54" s="28">
        <f t="shared" si="1"/>
        <v>51</v>
      </c>
      <c r="B54" s="37"/>
      <c r="C54" s="37"/>
      <c r="D54" s="38"/>
      <c r="E54" s="38"/>
      <c r="F54" s="35"/>
    </row>
    <row r="55" spans="1:6" ht="15" customHeight="1" x14ac:dyDescent="0.45">
      <c r="A55" s="32">
        <f t="shared" si="1"/>
        <v>52</v>
      </c>
      <c r="B55" s="37"/>
      <c r="C55" s="37"/>
      <c r="D55" s="38"/>
      <c r="E55" s="38"/>
      <c r="F55" s="36"/>
    </row>
    <row r="56" spans="1:6" ht="15" customHeight="1" x14ac:dyDescent="0.45">
      <c r="A56" s="28">
        <f t="shared" si="1"/>
        <v>53</v>
      </c>
      <c r="B56" s="39"/>
      <c r="C56" s="29"/>
      <c r="D56" s="30"/>
      <c r="E56" s="30"/>
      <c r="F56" s="35"/>
    </row>
    <row r="57" spans="1:6" ht="15" customHeight="1" x14ac:dyDescent="0.45">
      <c r="A57" s="32">
        <f t="shared" si="1"/>
        <v>54</v>
      </c>
      <c r="B57" s="29"/>
      <c r="C57" s="29"/>
      <c r="D57" s="30"/>
      <c r="E57" s="30"/>
      <c r="F57" s="36"/>
    </row>
    <row r="58" spans="1:6" ht="15" customHeight="1" x14ac:dyDescent="0.45">
      <c r="A58" s="28">
        <f t="shared" si="1"/>
        <v>55</v>
      </c>
      <c r="B58" s="37"/>
      <c r="C58" s="37"/>
      <c r="D58" s="38"/>
      <c r="E58" s="38"/>
      <c r="F58" s="35"/>
    </row>
    <row r="59" spans="1:6" ht="15" customHeight="1" x14ac:dyDescent="0.45">
      <c r="A59" s="32">
        <f t="shared" si="1"/>
        <v>56</v>
      </c>
      <c r="B59" s="29"/>
      <c r="C59" s="29"/>
      <c r="D59" s="38"/>
      <c r="E59" s="38"/>
      <c r="F59" s="36"/>
    </row>
    <row r="60" spans="1:6" ht="15" customHeight="1" x14ac:dyDescent="0.45">
      <c r="A60" s="28">
        <f t="shared" si="1"/>
        <v>57</v>
      </c>
      <c r="B60" s="37"/>
      <c r="C60" s="37"/>
      <c r="D60" s="38"/>
      <c r="E60" s="38"/>
      <c r="F60" s="35"/>
    </row>
    <row r="61" spans="1:6" ht="15" customHeight="1" x14ac:dyDescent="0.45">
      <c r="A61" s="32">
        <f t="shared" si="1"/>
        <v>58</v>
      </c>
      <c r="B61" s="29"/>
      <c r="C61" s="29"/>
      <c r="D61" s="30"/>
      <c r="E61" s="30"/>
      <c r="F61" s="36"/>
    </row>
    <row r="62" spans="1:6" ht="15" customHeight="1" x14ac:dyDescent="0.45">
      <c r="A62" s="28">
        <f t="shared" si="1"/>
        <v>59</v>
      </c>
      <c r="B62" s="29"/>
      <c r="C62" s="29"/>
      <c r="D62" s="30"/>
      <c r="E62" s="30"/>
      <c r="F62" s="35"/>
    </row>
    <row r="63" spans="1:6" ht="15" customHeight="1" x14ac:dyDescent="0.45">
      <c r="A63" s="32">
        <f t="shared" si="1"/>
        <v>60</v>
      </c>
      <c r="B63" s="29"/>
      <c r="C63" s="29"/>
      <c r="D63" s="30"/>
      <c r="E63" s="30"/>
      <c r="F63" s="36"/>
    </row>
    <row r="64" spans="1:6" ht="15" customHeight="1" x14ac:dyDescent="0.45">
      <c r="A64" s="28">
        <f t="shared" si="1"/>
        <v>61</v>
      </c>
      <c r="B64" s="29"/>
      <c r="C64" s="29"/>
      <c r="D64" s="30"/>
      <c r="E64" s="30"/>
      <c r="F64" s="35"/>
    </row>
    <row r="65" spans="1:6" ht="15" customHeight="1" x14ac:dyDescent="0.45">
      <c r="A65" s="32">
        <f t="shared" si="1"/>
        <v>62</v>
      </c>
      <c r="B65" s="29"/>
      <c r="C65" s="29"/>
      <c r="D65" s="30"/>
      <c r="E65" s="30"/>
      <c r="F65" s="36"/>
    </row>
    <row r="66" spans="1:6" ht="15" customHeight="1" x14ac:dyDescent="0.45">
      <c r="A66" s="28">
        <f t="shared" si="1"/>
        <v>63</v>
      </c>
      <c r="B66" s="29"/>
      <c r="C66" s="29"/>
      <c r="D66" s="30"/>
      <c r="E66" s="30"/>
      <c r="F66" s="35"/>
    </row>
    <row r="67" spans="1:6" ht="15" customHeight="1" x14ac:dyDescent="0.45">
      <c r="A67" s="32">
        <f t="shared" si="1"/>
        <v>64</v>
      </c>
      <c r="B67" s="40"/>
      <c r="C67" s="35"/>
      <c r="D67" s="35"/>
      <c r="E67" s="35"/>
      <c r="F67" s="36"/>
    </row>
    <row r="68" spans="1:6" ht="15" customHeight="1" x14ac:dyDescent="0.45">
      <c r="A68" s="28">
        <f t="shared" si="1"/>
        <v>65</v>
      </c>
      <c r="B68" s="40"/>
      <c r="C68" s="35"/>
      <c r="D68" s="35"/>
      <c r="E68" s="35"/>
      <c r="F68" s="35"/>
    </row>
    <row r="69" spans="1:6" ht="15" customHeight="1" x14ac:dyDescent="0.45">
      <c r="A69" s="32">
        <f t="shared" ref="A69:A103" si="2">A68+1</f>
        <v>66</v>
      </c>
      <c r="B69" s="40"/>
      <c r="C69" s="35"/>
      <c r="D69" s="35"/>
      <c r="E69" s="35"/>
      <c r="F69" s="36"/>
    </row>
    <row r="70" spans="1:6" ht="15" customHeight="1" x14ac:dyDescent="0.45">
      <c r="A70" s="28">
        <f t="shared" si="2"/>
        <v>67</v>
      </c>
      <c r="B70" s="40"/>
      <c r="C70" s="35"/>
      <c r="D70" s="35"/>
      <c r="E70" s="35"/>
      <c r="F70" s="35"/>
    </row>
    <row r="71" spans="1:6" ht="15" customHeight="1" x14ac:dyDescent="0.45">
      <c r="A71" s="32">
        <f t="shared" si="2"/>
        <v>68</v>
      </c>
      <c r="B71" s="40"/>
      <c r="C71" s="35"/>
      <c r="D71" s="35"/>
      <c r="E71" s="35"/>
      <c r="F71" s="36"/>
    </row>
    <row r="72" spans="1:6" ht="15" customHeight="1" x14ac:dyDescent="0.45">
      <c r="A72" s="28">
        <f t="shared" si="2"/>
        <v>69</v>
      </c>
      <c r="B72" s="40"/>
      <c r="C72" s="35"/>
      <c r="D72" s="35"/>
      <c r="E72" s="35"/>
      <c r="F72" s="35"/>
    </row>
    <row r="73" spans="1:6" ht="15" customHeight="1" x14ac:dyDescent="0.45">
      <c r="A73" s="32">
        <f t="shared" si="2"/>
        <v>70</v>
      </c>
      <c r="B73" s="40"/>
      <c r="C73" s="35"/>
      <c r="D73" s="35"/>
      <c r="E73" s="35"/>
      <c r="F73" s="36"/>
    </row>
    <row r="74" spans="1:6" ht="15" customHeight="1" x14ac:dyDescent="0.45">
      <c r="A74" s="28">
        <f t="shared" si="2"/>
        <v>71</v>
      </c>
      <c r="B74" s="40"/>
      <c r="C74" s="35"/>
      <c r="D74" s="35"/>
      <c r="E74" s="35"/>
      <c r="F74" s="35"/>
    </row>
    <row r="75" spans="1:6" ht="15" customHeight="1" x14ac:dyDescent="0.45">
      <c r="A75" s="32">
        <f t="shared" si="2"/>
        <v>72</v>
      </c>
      <c r="B75" s="40"/>
      <c r="C75" s="35"/>
      <c r="D75" s="35"/>
      <c r="E75" s="35"/>
      <c r="F75" s="36"/>
    </row>
    <row r="76" spans="1:6" ht="15" customHeight="1" x14ac:dyDescent="0.45">
      <c r="A76" s="28">
        <f t="shared" si="2"/>
        <v>73</v>
      </c>
      <c r="B76" s="40"/>
      <c r="C76" s="35"/>
      <c r="D76" s="35"/>
      <c r="E76" s="35"/>
      <c r="F76" s="35"/>
    </row>
    <row r="77" spans="1:6" ht="15" customHeight="1" x14ac:dyDescent="0.45">
      <c r="A77" s="32">
        <f t="shared" si="2"/>
        <v>74</v>
      </c>
      <c r="B77" s="40"/>
      <c r="C77" s="35"/>
      <c r="D77" s="35"/>
      <c r="E77" s="35"/>
      <c r="F77" s="36"/>
    </row>
    <row r="78" spans="1:6" ht="15" customHeight="1" x14ac:dyDescent="0.45">
      <c r="A78" s="28">
        <f t="shared" si="2"/>
        <v>75</v>
      </c>
      <c r="B78" s="40"/>
      <c r="C78" s="35"/>
      <c r="D78" s="35"/>
      <c r="E78" s="35"/>
      <c r="F78" s="35"/>
    </row>
    <row r="79" spans="1:6" ht="15" customHeight="1" x14ac:dyDescent="0.45">
      <c r="A79" s="32">
        <f t="shared" si="2"/>
        <v>76</v>
      </c>
      <c r="B79" s="40"/>
      <c r="C79" s="35"/>
      <c r="D79" s="35"/>
      <c r="E79" s="35"/>
      <c r="F79" s="36"/>
    </row>
    <row r="80" spans="1:6" ht="15" customHeight="1" x14ac:dyDescent="0.45">
      <c r="A80" s="28">
        <f t="shared" si="2"/>
        <v>77</v>
      </c>
      <c r="B80" s="40"/>
      <c r="C80" s="35"/>
      <c r="D80" s="35"/>
      <c r="E80" s="35"/>
      <c r="F80" s="35"/>
    </row>
    <row r="81" spans="1:6" ht="15" customHeight="1" x14ac:dyDescent="0.45">
      <c r="A81" s="32">
        <f t="shared" si="2"/>
        <v>78</v>
      </c>
      <c r="B81" s="40"/>
      <c r="C81" s="35"/>
      <c r="D81" s="35"/>
      <c r="E81" s="35"/>
      <c r="F81" s="36"/>
    </row>
    <row r="82" spans="1:6" ht="15" customHeight="1" x14ac:dyDescent="0.45">
      <c r="A82" s="28">
        <f t="shared" si="2"/>
        <v>79</v>
      </c>
      <c r="B82" s="40"/>
      <c r="C82" s="35"/>
      <c r="D82" s="35"/>
      <c r="E82" s="35"/>
      <c r="F82" s="35"/>
    </row>
    <row r="83" spans="1:6" ht="15" customHeight="1" x14ac:dyDescent="0.45">
      <c r="A83" s="32">
        <f t="shared" si="2"/>
        <v>80</v>
      </c>
      <c r="B83" s="40"/>
      <c r="C83" s="35"/>
      <c r="D83" s="35"/>
      <c r="E83" s="35"/>
      <c r="F83" s="36"/>
    </row>
    <row r="84" spans="1:6" ht="15" customHeight="1" x14ac:dyDescent="0.45">
      <c r="A84" s="28">
        <f t="shared" si="2"/>
        <v>81</v>
      </c>
      <c r="B84" s="40"/>
      <c r="C84" s="35"/>
      <c r="D84" s="35"/>
      <c r="E84" s="35"/>
      <c r="F84" s="35"/>
    </row>
    <row r="85" spans="1:6" ht="15" customHeight="1" x14ac:dyDescent="0.45">
      <c r="A85" s="32">
        <f t="shared" si="2"/>
        <v>82</v>
      </c>
      <c r="B85" s="40"/>
      <c r="C85" s="35"/>
      <c r="D85" s="35"/>
      <c r="E85" s="35"/>
      <c r="F85" s="36"/>
    </row>
    <row r="86" spans="1:6" ht="15" customHeight="1" x14ac:dyDescent="0.45">
      <c r="A86" s="28">
        <f t="shared" si="2"/>
        <v>83</v>
      </c>
      <c r="B86" s="40"/>
      <c r="C86" s="35"/>
      <c r="D86" s="35"/>
      <c r="E86" s="35"/>
      <c r="F86" s="35"/>
    </row>
    <row r="87" spans="1:6" ht="15" customHeight="1" x14ac:dyDescent="0.45">
      <c r="A87" s="32">
        <f t="shared" si="2"/>
        <v>84</v>
      </c>
      <c r="B87" s="40"/>
      <c r="C87" s="35"/>
      <c r="D87" s="35"/>
      <c r="E87" s="35"/>
      <c r="F87" s="36"/>
    </row>
    <row r="88" spans="1:6" ht="15" customHeight="1" x14ac:dyDescent="0.45">
      <c r="A88" s="28">
        <f t="shared" si="2"/>
        <v>85</v>
      </c>
      <c r="B88" s="40"/>
      <c r="C88" s="35"/>
      <c r="D88" s="35"/>
      <c r="E88" s="35"/>
      <c r="F88" s="35"/>
    </row>
    <row r="89" spans="1:6" ht="15" customHeight="1" x14ac:dyDescent="0.45">
      <c r="A89" s="32">
        <f t="shared" si="2"/>
        <v>86</v>
      </c>
      <c r="B89" s="40"/>
      <c r="C89" s="35"/>
      <c r="D89" s="35"/>
      <c r="E89" s="35"/>
      <c r="F89" s="36"/>
    </row>
    <row r="90" spans="1:6" ht="15" customHeight="1" x14ac:dyDescent="0.45">
      <c r="A90" s="28">
        <f t="shared" si="2"/>
        <v>87</v>
      </c>
      <c r="B90" s="40"/>
      <c r="C90" s="35"/>
      <c r="D90" s="35"/>
      <c r="E90" s="35"/>
      <c r="F90" s="35"/>
    </row>
    <row r="91" spans="1:6" ht="15" customHeight="1" x14ac:dyDescent="0.45">
      <c r="A91" s="32">
        <f t="shared" si="2"/>
        <v>88</v>
      </c>
      <c r="B91" s="40"/>
      <c r="C91" s="35"/>
      <c r="D91" s="35"/>
      <c r="E91" s="35"/>
      <c r="F91" s="36"/>
    </row>
    <row r="92" spans="1:6" ht="15" customHeight="1" x14ac:dyDescent="0.45">
      <c r="A92" s="28">
        <f t="shared" si="2"/>
        <v>89</v>
      </c>
      <c r="B92" s="40"/>
      <c r="C92" s="35"/>
      <c r="D92" s="35"/>
      <c r="E92" s="35"/>
      <c r="F92" s="35"/>
    </row>
    <row r="93" spans="1:6" ht="15" customHeight="1" x14ac:dyDescent="0.45">
      <c r="A93" s="32">
        <f t="shared" si="2"/>
        <v>90</v>
      </c>
      <c r="B93" s="40"/>
      <c r="C93" s="35"/>
      <c r="D93" s="35"/>
      <c r="E93" s="35"/>
      <c r="F93" s="36"/>
    </row>
    <row r="94" spans="1:6" ht="15" customHeight="1" x14ac:dyDescent="0.45">
      <c r="A94" s="28">
        <f t="shared" si="2"/>
        <v>91</v>
      </c>
      <c r="B94" s="40"/>
      <c r="C94" s="35"/>
      <c r="D94" s="35"/>
      <c r="E94" s="35"/>
      <c r="F94" s="35"/>
    </row>
    <row r="95" spans="1:6" ht="15" customHeight="1" x14ac:dyDescent="0.45">
      <c r="A95" s="32">
        <f t="shared" si="2"/>
        <v>92</v>
      </c>
      <c r="B95" s="40"/>
      <c r="C95" s="35"/>
      <c r="D95" s="35"/>
      <c r="E95" s="35"/>
      <c r="F95" s="36"/>
    </row>
    <row r="96" spans="1:6" ht="15" customHeight="1" x14ac:dyDescent="0.45">
      <c r="A96" s="28">
        <f t="shared" si="2"/>
        <v>93</v>
      </c>
      <c r="B96" s="40"/>
      <c r="C96" s="35"/>
      <c r="D96" s="35"/>
      <c r="E96" s="35"/>
      <c r="F96" s="35"/>
    </row>
    <row r="97" spans="1:6" ht="15" customHeight="1" x14ac:dyDescent="0.45">
      <c r="A97" s="32">
        <f t="shared" si="2"/>
        <v>94</v>
      </c>
      <c r="B97" s="40"/>
      <c r="C97" s="35"/>
      <c r="D97" s="35"/>
      <c r="E97" s="35"/>
      <c r="F97" s="36"/>
    </row>
    <row r="98" spans="1:6" ht="15" customHeight="1" x14ac:dyDescent="0.45">
      <c r="A98" s="28">
        <f t="shared" si="2"/>
        <v>95</v>
      </c>
      <c r="B98" s="40"/>
      <c r="C98" s="35"/>
      <c r="D98" s="35"/>
      <c r="E98" s="35"/>
      <c r="F98" s="35"/>
    </row>
    <row r="99" spans="1:6" ht="15" customHeight="1" x14ac:dyDescent="0.45">
      <c r="A99" s="32">
        <f t="shared" si="2"/>
        <v>96</v>
      </c>
      <c r="B99" s="40"/>
      <c r="C99" s="35"/>
      <c r="D99" s="35"/>
      <c r="E99" s="35"/>
      <c r="F99" s="36"/>
    </row>
    <row r="100" spans="1:6" ht="15" customHeight="1" x14ac:dyDescent="0.45">
      <c r="A100" s="28">
        <f t="shared" si="2"/>
        <v>97</v>
      </c>
      <c r="B100" s="40"/>
      <c r="C100" s="35"/>
      <c r="D100" s="35"/>
      <c r="E100" s="35"/>
      <c r="F100" s="35"/>
    </row>
    <row r="101" spans="1:6" ht="15" customHeight="1" x14ac:dyDescent="0.45">
      <c r="A101" s="32">
        <f t="shared" si="2"/>
        <v>98</v>
      </c>
      <c r="B101" s="40"/>
      <c r="C101" s="35"/>
      <c r="D101" s="35"/>
      <c r="E101" s="35"/>
      <c r="F101" s="36"/>
    </row>
    <row r="102" spans="1:6" ht="15" customHeight="1" x14ac:dyDescent="0.45">
      <c r="A102" s="28">
        <f t="shared" si="2"/>
        <v>99</v>
      </c>
      <c r="B102" s="40"/>
      <c r="C102" s="35"/>
      <c r="D102" s="35"/>
      <c r="E102" s="35"/>
      <c r="F102" s="35"/>
    </row>
    <row r="103" spans="1:6" ht="15" customHeight="1" x14ac:dyDescent="0.45">
      <c r="A103" s="32">
        <f t="shared" si="2"/>
        <v>100</v>
      </c>
      <c r="B103" s="40"/>
      <c r="C103" s="35"/>
      <c r="D103" s="35"/>
      <c r="E103" s="35"/>
      <c r="F103" s="36"/>
    </row>
  </sheetData>
  <mergeCells count="1">
    <mergeCell ref="A1:F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03"/>
  <sheetViews>
    <sheetView showGridLines="0" topLeftCell="A2" workbookViewId="0">
      <selection activeCell="B20" sqref="B1:X1048576"/>
    </sheetView>
  </sheetViews>
  <sheetFormatPr defaultColWidth="8.796875" defaultRowHeight="15" customHeight="1" x14ac:dyDescent="0.45"/>
  <cols>
    <col min="1" max="1" width="4.6640625" style="1" customWidth="1"/>
    <col min="2" max="2" width="16.46484375" style="141" bestFit="1" customWidth="1"/>
    <col min="3" max="3" width="13.9296875" style="141" bestFit="1" customWidth="1"/>
    <col min="4" max="24" width="10.86328125" style="1" customWidth="1"/>
    <col min="25" max="256" width="8.86328125" style="1" customWidth="1"/>
  </cols>
  <sheetData>
    <row r="1" spans="1:41" ht="18.75" customHeight="1" x14ac:dyDescent="0.45">
      <c r="A1" s="191" t="s">
        <v>53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  <c r="Y1" s="41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25"/>
      <c r="AK1" s="25"/>
      <c r="AL1" s="25"/>
      <c r="AM1" s="25"/>
      <c r="AN1" s="25"/>
      <c r="AO1" s="25"/>
    </row>
    <row r="2" spans="1:41" ht="15.75" customHeight="1" x14ac:dyDescent="0.45">
      <c r="A2" s="187" t="s">
        <v>9</v>
      </c>
      <c r="B2" s="196" t="s">
        <v>10</v>
      </c>
      <c r="C2" s="198" t="s">
        <v>11</v>
      </c>
      <c r="D2" s="189" t="s">
        <v>54</v>
      </c>
      <c r="E2" s="190"/>
      <c r="F2" s="194" t="s">
        <v>55</v>
      </c>
      <c r="G2" s="195"/>
      <c r="H2" s="189" t="s">
        <v>56</v>
      </c>
      <c r="I2" s="190"/>
      <c r="J2" s="194" t="s">
        <v>57</v>
      </c>
      <c r="K2" s="195"/>
      <c r="L2" s="189" t="s">
        <v>58</v>
      </c>
      <c r="M2" s="190"/>
      <c r="N2" s="194" t="s">
        <v>59</v>
      </c>
      <c r="O2" s="195"/>
      <c r="P2" s="189" t="s">
        <v>60</v>
      </c>
      <c r="Q2" s="190"/>
      <c r="R2" s="194" t="s">
        <v>61</v>
      </c>
      <c r="S2" s="195"/>
      <c r="T2" s="189" t="s">
        <v>62</v>
      </c>
      <c r="U2" s="190"/>
      <c r="V2" s="194" t="s">
        <v>63</v>
      </c>
      <c r="W2" s="195"/>
      <c r="X2" s="43"/>
      <c r="Y2" s="44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41" ht="15.75" customHeight="1" x14ac:dyDescent="0.45">
      <c r="A3" s="188"/>
      <c r="B3" s="197"/>
      <c r="C3" s="199"/>
      <c r="D3" s="45" t="s">
        <v>54</v>
      </c>
      <c r="E3" s="46" t="s">
        <v>64</v>
      </c>
      <c r="F3" s="45" t="s">
        <v>55</v>
      </c>
      <c r="G3" s="47" t="s">
        <v>64</v>
      </c>
      <c r="H3" s="45" t="s">
        <v>56</v>
      </c>
      <c r="I3" s="47" t="s">
        <v>64</v>
      </c>
      <c r="J3" s="45" t="s">
        <v>57</v>
      </c>
      <c r="K3" s="47" t="s">
        <v>64</v>
      </c>
      <c r="L3" s="45" t="s">
        <v>58</v>
      </c>
      <c r="M3" s="47" t="s">
        <v>64</v>
      </c>
      <c r="N3" s="45" t="s">
        <v>58</v>
      </c>
      <c r="O3" s="47" t="s">
        <v>64</v>
      </c>
      <c r="P3" s="45" t="s">
        <v>58</v>
      </c>
      <c r="Q3" s="47" t="s">
        <v>64</v>
      </c>
      <c r="R3" s="45" t="s">
        <v>58</v>
      </c>
      <c r="S3" s="47" t="s">
        <v>64</v>
      </c>
      <c r="T3" s="45" t="s">
        <v>58</v>
      </c>
      <c r="U3" s="47" t="s">
        <v>64</v>
      </c>
      <c r="V3" s="45" t="s">
        <v>58</v>
      </c>
      <c r="W3" s="47" t="s">
        <v>64</v>
      </c>
      <c r="X3" s="48" t="s">
        <v>65</v>
      </c>
      <c r="Y3" s="49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</row>
    <row r="4" spans="1:41" ht="15.5" customHeight="1" x14ac:dyDescent="0.45">
      <c r="A4" s="50">
        <v>1</v>
      </c>
      <c r="B4" s="135" t="str">
        <f>Hakemler!B4</f>
        <v>YAZICI</v>
      </c>
      <c r="C4" s="136" t="str">
        <f>Hakemler!C4</f>
        <v>SUZAN</v>
      </c>
      <c r="D4" s="51">
        <v>3.8</v>
      </c>
      <c r="E4" s="52">
        <v>1</v>
      </c>
      <c r="F4" s="51">
        <v>0</v>
      </c>
      <c r="G4" s="52">
        <v>1</v>
      </c>
      <c r="H4" s="51">
        <v>5</v>
      </c>
      <c r="I4" s="52">
        <v>1</v>
      </c>
      <c r="J4" s="51">
        <v>3.8</v>
      </c>
      <c r="K4" s="52">
        <v>1</v>
      </c>
      <c r="L4" s="51">
        <v>4.2</v>
      </c>
      <c r="M4" s="52">
        <v>1</v>
      </c>
      <c r="N4" s="51">
        <v>4.2</v>
      </c>
      <c r="O4" s="52">
        <v>1</v>
      </c>
      <c r="P4" s="51">
        <v>3.2</v>
      </c>
      <c r="Q4" s="52">
        <v>1</v>
      </c>
      <c r="R4" s="51">
        <v>5.8</v>
      </c>
      <c r="S4" s="52">
        <v>0</v>
      </c>
      <c r="T4" s="51">
        <v>4.2</v>
      </c>
      <c r="U4" s="52">
        <v>1</v>
      </c>
      <c r="V4" s="51">
        <v>4.5999999999999996</v>
      </c>
      <c r="W4" s="52">
        <v>1</v>
      </c>
      <c r="X4" s="53">
        <f t="shared" ref="X4:X35" si="0">(E4+G4+I4+K4+M4+O4+Q4+S4+U4+W4)/10</f>
        <v>0.9</v>
      </c>
      <c r="Y4" s="49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</row>
    <row r="5" spans="1:41" ht="15" customHeight="1" x14ac:dyDescent="0.45">
      <c r="A5" s="54">
        <v>2</v>
      </c>
      <c r="B5" s="137" t="str">
        <f>Hakemler!B5</f>
        <v>ASLAN</v>
      </c>
      <c r="C5" s="138" t="str">
        <f>Hakemler!C5</f>
        <v>SEMA FİDEL</v>
      </c>
      <c r="D5" s="55">
        <v>3.4</v>
      </c>
      <c r="E5" s="52">
        <f>IF(D5=Uzman_D!$B$24,1,0)</f>
        <v>0</v>
      </c>
      <c r="F5" s="55">
        <v>0</v>
      </c>
      <c r="G5" s="52">
        <f>IF(F5=Uzman_D!$B$25,1,0)</f>
        <v>1</v>
      </c>
      <c r="H5" s="55">
        <v>5</v>
      </c>
      <c r="I5" s="52">
        <f>IF(H5=Uzman_D!$B$26,1,0)</f>
        <v>1</v>
      </c>
      <c r="J5" s="55">
        <v>3.8</v>
      </c>
      <c r="K5" s="52">
        <f>IF(J5=Uzman_D!$B$27,1,0)</f>
        <v>1</v>
      </c>
      <c r="L5" s="55">
        <v>4.8</v>
      </c>
      <c r="M5" s="52">
        <f>IF(L5=Uzman_D!$B$28,1,0)</f>
        <v>0</v>
      </c>
      <c r="N5" s="55">
        <v>4.2</v>
      </c>
      <c r="O5" s="52">
        <f>IF(N5=Uzman_D!$B$29,1,0)</f>
        <v>1</v>
      </c>
      <c r="P5" s="55">
        <v>3.2</v>
      </c>
      <c r="Q5" s="52">
        <f>IF(P5=Uzman_D!$B$30,1,0)</f>
        <v>1</v>
      </c>
      <c r="R5" s="55">
        <v>4.4000000000000004</v>
      </c>
      <c r="S5" s="52">
        <f>IF(R5=Uzman_D!$B$31,1,0)</f>
        <v>1</v>
      </c>
      <c r="T5" s="55">
        <v>4.2</v>
      </c>
      <c r="U5" s="52">
        <f>IF(T5=Uzman_D!$B$32,1,0)</f>
        <v>1</v>
      </c>
      <c r="V5" s="55">
        <v>4.5999999999999996</v>
      </c>
      <c r="W5" s="52">
        <f>IF(V5=Uzman_D!$B$33,1,0)</f>
        <v>1</v>
      </c>
      <c r="X5" s="53">
        <f t="shared" si="0"/>
        <v>0.8</v>
      </c>
      <c r="Y5" s="49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</row>
    <row r="6" spans="1:41" ht="15" customHeight="1" x14ac:dyDescent="0.45">
      <c r="A6" s="54">
        <v>3</v>
      </c>
      <c r="B6" s="137" t="str">
        <f>Hakemler!B6</f>
        <v>TUNA</v>
      </c>
      <c r="C6" s="138" t="str">
        <f>Hakemler!C6</f>
        <v>MUNİSE</v>
      </c>
      <c r="D6" s="55"/>
      <c r="E6" s="52">
        <f>IF(D6=Uzman_D!$B$24,1,0)</f>
        <v>0</v>
      </c>
      <c r="F6" s="55"/>
      <c r="G6" s="52">
        <f>IF(F6=Uzman_D!$B$25,1,0)</f>
        <v>1</v>
      </c>
      <c r="H6" s="55"/>
      <c r="I6" s="52">
        <f>IF(H6=Uzman_D!$B$26,1,0)</f>
        <v>0</v>
      </c>
      <c r="J6" s="55"/>
      <c r="K6" s="52">
        <f>IF(J6=Uzman_D!$B$27,1,0)</f>
        <v>0</v>
      </c>
      <c r="L6" s="55"/>
      <c r="M6" s="52">
        <f>IF(L6=Uzman_D!$B$28,1,0)</f>
        <v>0</v>
      </c>
      <c r="N6" s="55"/>
      <c r="O6" s="52">
        <f>IF(N6=Uzman_D!$B$29,1,0)</f>
        <v>0</v>
      </c>
      <c r="P6" s="55"/>
      <c r="Q6" s="52">
        <f>IF(P6=Uzman_D!$B$30,1,0)</f>
        <v>0</v>
      </c>
      <c r="R6" s="55"/>
      <c r="S6" s="52">
        <f>IF(R6=Uzman_D!$B$31,1,0)</f>
        <v>0</v>
      </c>
      <c r="T6" s="55"/>
      <c r="U6" s="52">
        <f>IF(T6=Uzman_D!$B$32,1,0)</f>
        <v>0</v>
      </c>
      <c r="V6" s="55"/>
      <c r="W6" s="52">
        <f>IF(V6=Uzman_D!$B$33,1,0)</f>
        <v>0</v>
      </c>
      <c r="X6" s="53">
        <f t="shared" si="0"/>
        <v>0.1</v>
      </c>
      <c r="Y6" s="49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spans="1:41" ht="15" customHeight="1" x14ac:dyDescent="0.45">
      <c r="A7" s="54">
        <v>4</v>
      </c>
      <c r="B7" s="137" t="str">
        <f>Hakemler!B7</f>
        <v>ÜNAL</v>
      </c>
      <c r="C7" s="138" t="str">
        <f>Hakemler!C7</f>
        <v>FATMA HANIM</v>
      </c>
      <c r="D7" s="55"/>
      <c r="E7" s="52">
        <f>IF(D7=Uzman_D!$B$24,1,0)</f>
        <v>0</v>
      </c>
      <c r="F7" s="55"/>
      <c r="G7" s="52">
        <f>IF(F7=Uzman_D!$B$25,1,0)</f>
        <v>1</v>
      </c>
      <c r="H7" s="55"/>
      <c r="I7" s="52">
        <f>IF(H7=Uzman_D!$B$26,1,0)</f>
        <v>0</v>
      </c>
      <c r="J7" s="55"/>
      <c r="K7" s="52">
        <f>IF(J7=Uzman_D!$B$27,1,0)</f>
        <v>0</v>
      </c>
      <c r="L7" s="55"/>
      <c r="M7" s="52">
        <f>IF(L7=Uzman_D!$B$28,1,0)</f>
        <v>0</v>
      </c>
      <c r="N7" s="55"/>
      <c r="O7" s="52">
        <f>IF(N7=Uzman_D!$B$29,1,0)</f>
        <v>0</v>
      </c>
      <c r="P7" s="55"/>
      <c r="Q7" s="52">
        <f>IF(P7=Uzman_D!$B$30,1,0)</f>
        <v>0</v>
      </c>
      <c r="R7" s="55"/>
      <c r="S7" s="52">
        <f>IF(R7=Uzman_D!$B$31,1,0)</f>
        <v>0</v>
      </c>
      <c r="T7" s="55"/>
      <c r="U7" s="52">
        <f>IF(T7=Uzman_D!$B$32,1,0)</f>
        <v>0</v>
      </c>
      <c r="V7" s="55"/>
      <c r="W7" s="52">
        <f>IF(V7=Uzman_D!$B$33,1,0)</f>
        <v>0</v>
      </c>
      <c r="X7" s="53">
        <f t="shared" si="0"/>
        <v>0.1</v>
      </c>
      <c r="Y7" s="49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</row>
    <row r="8" spans="1:41" ht="15" customHeight="1" x14ac:dyDescent="0.45">
      <c r="A8" s="54">
        <v>5</v>
      </c>
      <c r="B8" s="137" t="str">
        <f>Hakemler!B8</f>
        <v>BAŞKAN PERÇİN</v>
      </c>
      <c r="C8" s="138" t="str">
        <f>Hakemler!C8</f>
        <v>ÖZGE</v>
      </c>
      <c r="D8" s="55"/>
      <c r="E8" s="52">
        <f>IF(D8=Uzman_D!$B$24,1,0)</f>
        <v>0</v>
      </c>
      <c r="F8" s="55"/>
      <c r="G8" s="52">
        <f>IF(F8=Uzman_D!$B$25,1,0)</f>
        <v>1</v>
      </c>
      <c r="H8" s="55"/>
      <c r="I8" s="52">
        <f>IF(H8=Uzman_D!$B$26,1,0)</f>
        <v>0</v>
      </c>
      <c r="J8" s="55"/>
      <c r="K8" s="52">
        <f>IF(J8=Uzman_D!$B$27,1,0)</f>
        <v>0</v>
      </c>
      <c r="L8" s="55"/>
      <c r="M8" s="52">
        <f>IF(L8=Uzman_D!$B$28,1,0)</f>
        <v>0</v>
      </c>
      <c r="N8" s="55"/>
      <c r="O8" s="52">
        <f>IF(N8=Uzman_D!$B$29,1,0)</f>
        <v>0</v>
      </c>
      <c r="P8" s="55"/>
      <c r="Q8" s="52">
        <f>IF(P8=Uzman_D!$B$30,1,0)</f>
        <v>0</v>
      </c>
      <c r="R8" s="55"/>
      <c r="S8" s="52">
        <f>IF(R8=Uzman_D!$B$31,1,0)</f>
        <v>0</v>
      </c>
      <c r="T8" s="55"/>
      <c r="U8" s="52">
        <f>IF(T8=Uzman_D!$B$32,1,0)</f>
        <v>0</v>
      </c>
      <c r="V8" s="55"/>
      <c r="W8" s="52">
        <f>IF(V8=Uzman_D!$B$33,1,0)</f>
        <v>0</v>
      </c>
      <c r="X8" s="53">
        <f t="shared" si="0"/>
        <v>0.1</v>
      </c>
      <c r="Y8" s="49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</row>
    <row r="9" spans="1:41" ht="15" customHeight="1" x14ac:dyDescent="0.45">
      <c r="A9" s="54">
        <v>6</v>
      </c>
      <c r="B9" s="137" t="str">
        <f>Hakemler!B9</f>
        <v>ŞEN İZMİRLİ</v>
      </c>
      <c r="C9" s="138" t="str">
        <f>Hakemler!C9</f>
        <v>SİNEM</v>
      </c>
      <c r="D9" s="55"/>
      <c r="E9" s="52">
        <f>IF(D9=Uzman_D!$B$24,1,0)</f>
        <v>0</v>
      </c>
      <c r="F9" s="55"/>
      <c r="G9" s="52">
        <f>IF(F9=Uzman_D!$B$25,1,0)</f>
        <v>1</v>
      </c>
      <c r="H9" s="55"/>
      <c r="I9" s="52">
        <f>IF(H9=Uzman_D!$B$26,1,0)</f>
        <v>0</v>
      </c>
      <c r="J9" s="55"/>
      <c r="K9" s="52">
        <f>IF(J9=Uzman_D!$B$27,1,0)</f>
        <v>0</v>
      </c>
      <c r="L9" s="55"/>
      <c r="M9" s="52">
        <f>IF(L9=Uzman_D!$B$28,1,0)</f>
        <v>0</v>
      </c>
      <c r="N9" s="55"/>
      <c r="O9" s="52">
        <f>IF(N9=Uzman_D!$B$29,1,0)</f>
        <v>0</v>
      </c>
      <c r="P9" s="55"/>
      <c r="Q9" s="52">
        <f>IF(P9=Uzman_D!$B$30,1,0)</f>
        <v>0</v>
      </c>
      <c r="R9" s="55"/>
      <c r="S9" s="52">
        <f>IF(R9=Uzman_D!$B$31,1,0)</f>
        <v>0</v>
      </c>
      <c r="T9" s="55"/>
      <c r="U9" s="52">
        <f>IF(T9=Uzman_D!$B$32,1,0)</f>
        <v>0</v>
      </c>
      <c r="V9" s="55"/>
      <c r="W9" s="52">
        <f>IF(V9=Uzman_D!$B$33,1,0)</f>
        <v>0</v>
      </c>
      <c r="X9" s="53">
        <f t="shared" si="0"/>
        <v>0.1</v>
      </c>
      <c r="Y9" s="49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</row>
    <row r="10" spans="1:41" ht="15" customHeight="1" x14ac:dyDescent="0.45">
      <c r="A10" s="54">
        <v>7</v>
      </c>
      <c r="B10" s="137" t="str">
        <f>Hakemler!B10</f>
        <v>YILDIRIMER</v>
      </c>
      <c r="C10" s="138" t="str">
        <f>Hakemler!C10</f>
        <v>BUSE</v>
      </c>
      <c r="D10" s="55"/>
      <c r="E10" s="52">
        <f>IF(D10=Uzman_D!$B$24,1,0)</f>
        <v>0</v>
      </c>
      <c r="F10" s="55"/>
      <c r="G10" s="52">
        <f>IF(F10=Uzman_D!$B$25,1,0)</f>
        <v>1</v>
      </c>
      <c r="H10" s="55"/>
      <c r="I10" s="52">
        <f>IF(H10=Uzman_D!$B$26,1,0)</f>
        <v>0</v>
      </c>
      <c r="J10" s="55"/>
      <c r="K10" s="52">
        <f>IF(J10=Uzman_D!$B$27,1,0)</f>
        <v>0</v>
      </c>
      <c r="L10" s="55"/>
      <c r="M10" s="52">
        <f>IF(L10=Uzman_D!$B$28,1,0)</f>
        <v>0</v>
      </c>
      <c r="N10" s="55"/>
      <c r="O10" s="52">
        <f>IF(N10=Uzman_D!$B$29,1,0)</f>
        <v>0</v>
      </c>
      <c r="P10" s="55"/>
      <c r="Q10" s="52">
        <f>IF(P10=Uzman_D!$B$30,1,0)</f>
        <v>0</v>
      </c>
      <c r="R10" s="55"/>
      <c r="S10" s="52">
        <f>IF(R10=Uzman_D!$B$31,1,0)</f>
        <v>0</v>
      </c>
      <c r="T10" s="55"/>
      <c r="U10" s="52">
        <f>IF(T10=Uzman_D!$B$32,1,0)</f>
        <v>0</v>
      </c>
      <c r="V10" s="55"/>
      <c r="W10" s="52">
        <f>IF(V10=Uzman_D!$B$33,1,0)</f>
        <v>0</v>
      </c>
      <c r="X10" s="53">
        <f t="shared" si="0"/>
        <v>0.1</v>
      </c>
      <c r="Y10" s="49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</row>
    <row r="11" spans="1:41" ht="15" customHeight="1" x14ac:dyDescent="0.45">
      <c r="A11" s="54">
        <v>8</v>
      </c>
      <c r="B11" s="137" t="str">
        <f>Hakemler!B11</f>
        <v>KESKİN</v>
      </c>
      <c r="C11" s="138" t="str">
        <f>Hakemler!C11</f>
        <v>ENFAL</v>
      </c>
      <c r="D11" s="55"/>
      <c r="E11" s="52">
        <f>IF(D11=Uzman_D!$B$24,1,0)</f>
        <v>0</v>
      </c>
      <c r="F11" s="55"/>
      <c r="G11" s="52">
        <f>IF(F11=Uzman_D!$B$25,1,0)</f>
        <v>1</v>
      </c>
      <c r="H11" s="55"/>
      <c r="I11" s="52">
        <f>IF(H11=Uzman_D!$B$26,1,0)</f>
        <v>0</v>
      </c>
      <c r="J11" s="55"/>
      <c r="K11" s="52">
        <f>IF(J11=Uzman_D!$B$27,1,0)</f>
        <v>0</v>
      </c>
      <c r="L11" s="55"/>
      <c r="M11" s="52">
        <f>IF(L11=Uzman_D!$B$28,1,0)</f>
        <v>0</v>
      </c>
      <c r="N11" s="55"/>
      <c r="O11" s="52">
        <f>IF(N11=Uzman_D!$B$29,1,0)</f>
        <v>0</v>
      </c>
      <c r="P11" s="55"/>
      <c r="Q11" s="52">
        <f>IF(P11=Uzman_D!$B$30,1,0)</f>
        <v>0</v>
      </c>
      <c r="R11" s="55"/>
      <c r="S11" s="52">
        <f>IF(R11=Uzman_D!$B$31,1,0)</f>
        <v>0</v>
      </c>
      <c r="T11" s="55"/>
      <c r="U11" s="52">
        <f>IF(T11=Uzman_D!$B$32,1,0)</f>
        <v>0</v>
      </c>
      <c r="V11" s="55"/>
      <c r="W11" s="52">
        <f>IF(V11=Uzman_D!$B$33,1,0)</f>
        <v>0</v>
      </c>
      <c r="X11" s="53">
        <f t="shared" si="0"/>
        <v>0.1</v>
      </c>
      <c r="Y11" s="49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</row>
    <row r="12" spans="1:41" ht="15" customHeight="1" x14ac:dyDescent="0.45">
      <c r="A12" s="54">
        <v>9</v>
      </c>
      <c r="B12" s="137" t="str">
        <f>Hakemler!B12</f>
        <v>ÜNAL</v>
      </c>
      <c r="C12" s="138" t="str">
        <f>Hakemler!C12</f>
        <v>NAZLINEHİR</v>
      </c>
      <c r="D12" s="55"/>
      <c r="E12" s="52">
        <f>IF(D12=Uzman_D!$B$24,1,0)</f>
        <v>0</v>
      </c>
      <c r="F12" s="55"/>
      <c r="G12" s="52">
        <f>IF(F12=Uzman_D!$B$25,1,0)</f>
        <v>1</v>
      </c>
      <c r="H12" s="55"/>
      <c r="I12" s="52">
        <f>IF(H12=Uzman_D!$B$26,1,0)</f>
        <v>0</v>
      </c>
      <c r="J12" s="55"/>
      <c r="K12" s="52">
        <f>IF(J12=Uzman_D!$B$27,1,0)</f>
        <v>0</v>
      </c>
      <c r="L12" s="55"/>
      <c r="M12" s="52">
        <f>IF(L12=Uzman_D!$B$28,1,0)</f>
        <v>0</v>
      </c>
      <c r="N12" s="55"/>
      <c r="O12" s="52">
        <f>IF(N12=Uzman_D!$B$29,1,0)</f>
        <v>0</v>
      </c>
      <c r="P12" s="55"/>
      <c r="Q12" s="52">
        <f>IF(P12=Uzman_D!$B$30,1,0)</f>
        <v>0</v>
      </c>
      <c r="R12" s="55"/>
      <c r="S12" s="52">
        <f>IF(R12=Uzman_D!$B$31,1,0)</f>
        <v>0</v>
      </c>
      <c r="T12" s="55"/>
      <c r="U12" s="52">
        <f>IF(T12=Uzman_D!$B$32,1,0)</f>
        <v>0</v>
      </c>
      <c r="V12" s="55"/>
      <c r="W12" s="52">
        <f>IF(V12=Uzman_D!$B$33,1,0)</f>
        <v>0</v>
      </c>
      <c r="X12" s="53">
        <f t="shared" si="0"/>
        <v>0.1</v>
      </c>
      <c r="Y12" s="49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</row>
    <row r="13" spans="1:41" ht="15" customHeight="1" x14ac:dyDescent="0.45">
      <c r="A13" s="54">
        <v>10</v>
      </c>
      <c r="B13" s="137" t="str">
        <f>Hakemler!B13</f>
        <v>ÜÇTAŞ ŞANLI</v>
      </c>
      <c r="C13" s="138" t="str">
        <f>Hakemler!C13</f>
        <v>GÖKSU</v>
      </c>
      <c r="D13" s="55"/>
      <c r="E13" s="52">
        <f>IF(D13=Uzman_D!$B$24,1,0)</f>
        <v>0</v>
      </c>
      <c r="F13" s="55"/>
      <c r="G13" s="52">
        <f>IF(F13=Uzman_D!$B$25,1,0)</f>
        <v>1</v>
      </c>
      <c r="H13" s="55"/>
      <c r="I13" s="52">
        <f>IF(H13=Uzman_D!$B$26,1,0)</f>
        <v>0</v>
      </c>
      <c r="J13" s="55"/>
      <c r="K13" s="52">
        <f>IF(J13=Uzman_D!$B$27,1,0)</f>
        <v>0</v>
      </c>
      <c r="L13" s="55"/>
      <c r="M13" s="52">
        <f>IF(L13=Uzman_D!$B$28,1,0)</f>
        <v>0</v>
      </c>
      <c r="N13" s="55"/>
      <c r="O13" s="52">
        <f>IF(N13=Uzman_D!$B$29,1,0)</f>
        <v>0</v>
      </c>
      <c r="P13" s="55"/>
      <c r="Q13" s="52">
        <f>IF(P13=Uzman_D!$B$30,1,0)</f>
        <v>0</v>
      </c>
      <c r="R13" s="55"/>
      <c r="S13" s="52">
        <f>IF(R13=Uzman_D!$B$31,1,0)</f>
        <v>0</v>
      </c>
      <c r="T13" s="55"/>
      <c r="U13" s="52">
        <f>IF(T13=Uzman_D!$B$32,1,0)</f>
        <v>0</v>
      </c>
      <c r="V13" s="55"/>
      <c r="W13" s="52">
        <f>IF(V13=Uzman_D!$B$33,1,0)</f>
        <v>0</v>
      </c>
      <c r="X13" s="53">
        <f t="shared" si="0"/>
        <v>0.1</v>
      </c>
      <c r="Y13" s="49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</row>
    <row r="14" spans="1:41" ht="15" customHeight="1" x14ac:dyDescent="0.45">
      <c r="A14" s="54">
        <v>11</v>
      </c>
      <c r="B14" s="137" t="str">
        <f>Hakemler!B14</f>
        <v>YÜCEL</v>
      </c>
      <c r="C14" s="138" t="str">
        <f>Hakemler!C14</f>
        <v>SİBEL</v>
      </c>
      <c r="D14" s="55"/>
      <c r="E14" s="52">
        <f>IF(D14=Uzman_D!$B$24,1,0)</f>
        <v>0</v>
      </c>
      <c r="F14" s="55"/>
      <c r="G14" s="52">
        <f>IF(F14=Uzman_D!$B$25,1,0)</f>
        <v>1</v>
      </c>
      <c r="H14" s="55"/>
      <c r="I14" s="52">
        <f>IF(H14=Uzman_D!$B$26,1,0)</f>
        <v>0</v>
      </c>
      <c r="J14" s="55"/>
      <c r="K14" s="52">
        <f>IF(J14=Uzman_D!$B$27,1,0)</f>
        <v>0</v>
      </c>
      <c r="L14" s="55"/>
      <c r="M14" s="52">
        <f>IF(L14=Uzman_D!$B$28,1,0)</f>
        <v>0</v>
      </c>
      <c r="N14" s="55"/>
      <c r="O14" s="52">
        <f>IF(N14=Uzman_D!$B$29,1,0)</f>
        <v>0</v>
      </c>
      <c r="P14" s="55"/>
      <c r="Q14" s="52">
        <f>IF(P14=Uzman_D!$B$30,1,0)</f>
        <v>0</v>
      </c>
      <c r="R14" s="55"/>
      <c r="S14" s="52">
        <f>IF(R14=Uzman_D!$B$31,1,0)</f>
        <v>0</v>
      </c>
      <c r="T14" s="55"/>
      <c r="U14" s="52">
        <f>IF(T14=Uzman_D!$B$32,1,0)</f>
        <v>0</v>
      </c>
      <c r="V14" s="55"/>
      <c r="W14" s="52">
        <f>IF(V14=Uzman_D!$B$33,1,0)</f>
        <v>0</v>
      </c>
      <c r="X14" s="53">
        <f t="shared" si="0"/>
        <v>0.1</v>
      </c>
      <c r="Y14" s="49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1" ht="15" customHeight="1" x14ac:dyDescent="0.45">
      <c r="A15" s="54">
        <v>12</v>
      </c>
      <c r="B15" s="137" t="str">
        <f>Hakemler!B15</f>
        <v>YILMAZER</v>
      </c>
      <c r="C15" s="138" t="str">
        <f>Hakemler!C15</f>
        <v>ZEHRA</v>
      </c>
      <c r="D15" s="55"/>
      <c r="E15" s="52">
        <f>IF(D15=Uzman_D!$B$24,1,0)</f>
        <v>0</v>
      </c>
      <c r="F15" s="55"/>
      <c r="G15" s="52">
        <f>IF(F15=Uzman_D!$B$25,1,0)</f>
        <v>1</v>
      </c>
      <c r="H15" s="55"/>
      <c r="I15" s="52">
        <f>IF(H15=Uzman_D!$B$26,1,0)</f>
        <v>0</v>
      </c>
      <c r="J15" s="55"/>
      <c r="K15" s="52">
        <f>IF(J15=Uzman_D!$B$27,1,0)</f>
        <v>0</v>
      </c>
      <c r="L15" s="55"/>
      <c r="M15" s="52">
        <f>IF(L15=Uzman_D!$B$28,1,0)</f>
        <v>0</v>
      </c>
      <c r="N15" s="55"/>
      <c r="O15" s="52">
        <f>IF(N15=Uzman_D!$B$29,1,0)</f>
        <v>0</v>
      </c>
      <c r="P15" s="55"/>
      <c r="Q15" s="52">
        <f>IF(P15=Uzman_D!$B$30,1,0)</f>
        <v>0</v>
      </c>
      <c r="R15" s="55"/>
      <c r="S15" s="52">
        <f>IF(R15=Uzman_D!$B$31,1,0)</f>
        <v>0</v>
      </c>
      <c r="T15" s="55"/>
      <c r="U15" s="52">
        <f>IF(T15=Uzman_D!$B$32,1,0)</f>
        <v>0</v>
      </c>
      <c r="V15" s="55"/>
      <c r="W15" s="52">
        <f>IF(V15=Uzman_D!$B$33,1,0)</f>
        <v>0</v>
      </c>
      <c r="X15" s="53">
        <f t="shared" si="0"/>
        <v>0.1</v>
      </c>
      <c r="Y15" s="49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1" ht="15" customHeight="1" x14ac:dyDescent="0.45">
      <c r="A16" s="54">
        <v>13</v>
      </c>
      <c r="B16" s="137" t="str">
        <f>Hakemler!B16</f>
        <v>ŞAHİNTEKİN</v>
      </c>
      <c r="C16" s="138" t="str">
        <f>Hakemler!C16</f>
        <v>MUHAMMED</v>
      </c>
      <c r="D16" s="55"/>
      <c r="E16" s="52">
        <f>IF(D16=Uzman_D!$B$24,1,0)</f>
        <v>0</v>
      </c>
      <c r="F16" s="55"/>
      <c r="G16" s="52">
        <f>IF(F16=Uzman_D!$B$25,1,0)</f>
        <v>1</v>
      </c>
      <c r="H16" s="55"/>
      <c r="I16" s="52">
        <f>IF(H16=Uzman_D!$B$26,1,0)</f>
        <v>0</v>
      </c>
      <c r="J16" s="55"/>
      <c r="K16" s="52">
        <f>IF(J16=Uzman_D!$B$27,1,0)</f>
        <v>0</v>
      </c>
      <c r="L16" s="55"/>
      <c r="M16" s="52">
        <f>IF(L16=Uzman_D!$B$28,1,0)</f>
        <v>0</v>
      </c>
      <c r="N16" s="55"/>
      <c r="O16" s="52">
        <f>IF(N16=Uzman_D!$B$29,1,0)</f>
        <v>0</v>
      </c>
      <c r="P16" s="55"/>
      <c r="Q16" s="52">
        <f>IF(P16=Uzman_D!$B$30,1,0)</f>
        <v>0</v>
      </c>
      <c r="R16" s="55"/>
      <c r="S16" s="52">
        <f>IF(R16=Uzman_D!$B$31,1,0)</f>
        <v>0</v>
      </c>
      <c r="T16" s="55"/>
      <c r="U16" s="52">
        <f>IF(T16=Uzman_D!$B$32,1,0)</f>
        <v>0</v>
      </c>
      <c r="V16" s="55"/>
      <c r="W16" s="52">
        <f>IF(V16=Uzman_D!$B$33,1,0)</f>
        <v>0</v>
      </c>
      <c r="X16" s="53">
        <f t="shared" si="0"/>
        <v>0.1</v>
      </c>
      <c r="Y16" s="49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1" ht="15" customHeight="1" x14ac:dyDescent="0.45">
      <c r="A17" s="54">
        <v>14</v>
      </c>
      <c r="B17" s="137" t="str">
        <f>Hakemler!B17</f>
        <v>ERKUT</v>
      </c>
      <c r="C17" s="138" t="str">
        <f>Hakemler!C17</f>
        <v>OYA</v>
      </c>
      <c r="D17" s="55"/>
      <c r="E17" s="52">
        <f>IF(D17=Uzman_D!$B$24,1,0)</f>
        <v>0</v>
      </c>
      <c r="F17" s="55"/>
      <c r="G17" s="52">
        <f>IF(F17=Uzman_D!$B$25,1,0)</f>
        <v>1</v>
      </c>
      <c r="H17" s="55"/>
      <c r="I17" s="52">
        <f>IF(H17=Uzman_D!$B$26,1,0)</f>
        <v>0</v>
      </c>
      <c r="J17" s="55"/>
      <c r="K17" s="52">
        <f>IF(J17=Uzman_D!$B$27,1,0)</f>
        <v>0</v>
      </c>
      <c r="L17" s="55"/>
      <c r="M17" s="52">
        <f>IF(L17=Uzman_D!$B$28,1,0)</f>
        <v>0</v>
      </c>
      <c r="N17" s="55"/>
      <c r="O17" s="52">
        <f>IF(N17=Uzman_D!$B$29,1,0)</f>
        <v>0</v>
      </c>
      <c r="P17" s="55"/>
      <c r="Q17" s="52">
        <f>IF(P17=Uzman_D!$B$30,1,0)</f>
        <v>0</v>
      </c>
      <c r="R17" s="55"/>
      <c r="S17" s="52">
        <f>IF(R17=Uzman_D!$B$31,1,0)</f>
        <v>0</v>
      </c>
      <c r="T17" s="55"/>
      <c r="U17" s="52">
        <f>IF(T17=Uzman_D!$B$32,1,0)</f>
        <v>0</v>
      </c>
      <c r="V17" s="55"/>
      <c r="W17" s="52">
        <f>IF(V17=Uzman_D!$B$33,1,0)</f>
        <v>0</v>
      </c>
      <c r="X17" s="53">
        <f t="shared" si="0"/>
        <v>0.1</v>
      </c>
      <c r="Y17" s="49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1" ht="15" customHeight="1" x14ac:dyDescent="0.45">
      <c r="A18" s="54">
        <v>15</v>
      </c>
      <c r="B18" s="137" t="str">
        <f>Hakemler!B18</f>
        <v>GÜMÜŞLÜ</v>
      </c>
      <c r="C18" s="138" t="str">
        <f>Hakemler!C18</f>
        <v>AYSEL</v>
      </c>
      <c r="D18" s="55"/>
      <c r="E18" s="52">
        <f>IF(D18=Uzman_D!$B$24,1,0)</f>
        <v>0</v>
      </c>
      <c r="F18" s="55"/>
      <c r="G18" s="52">
        <f>IF(F18=Uzman_D!$B$25,1,0)</f>
        <v>1</v>
      </c>
      <c r="H18" s="55"/>
      <c r="I18" s="52">
        <f>IF(H18=Uzman_D!$B$26,1,0)</f>
        <v>0</v>
      </c>
      <c r="J18" s="55"/>
      <c r="K18" s="52">
        <f>IF(J18=Uzman_D!$B$27,1,0)</f>
        <v>0</v>
      </c>
      <c r="L18" s="55"/>
      <c r="M18" s="52">
        <f>IF(L18=Uzman_D!$B$28,1,0)</f>
        <v>0</v>
      </c>
      <c r="N18" s="55"/>
      <c r="O18" s="52">
        <f>IF(N18=Uzman_D!$B$29,1,0)</f>
        <v>0</v>
      </c>
      <c r="P18" s="55"/>
      <c r="Q18" s="52">
        <f>IF(P18=Uzman_D!$B$30,1,0)</f>
        <v>0</v>
      </c>
      <c r="R18" s="55"/>
      <c r="S18" s="52">
        <f>IF(R18=Uzman_D!$B$31,1,0)</f>
        <v>0</v>
      </c>
      <c r="T18" s="55"/>
      <c r="U18" s="52">
        <f>IF(T18=Uzman_D!$B$32,1,0)</f>
        <v>0</v>
      </c>
      <c r="V18" s="55"/>
      <c r="W18" s="52">
        <f>IF(V18=Uzman_D!$B$33,1,0)</f>
        <v>0</v>
      </c>
      <c r="X18" s="53">
        <f t="shared" si="0"/>
        <v>0.1</v>
      </c>
      <c r="Y18" s="49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1:41" ht="15" customHeight="1" x14ac:dyDescent="0.45">
      <c r="A19" s="54">
        <v>16</v>
      </c>
      <c r="B19" s="137" t="str">
        <f>Hakemler!B19</f>
        <v>CURA COŞKUN</v>
      </c>
      <c r="C19" s="138" t="str">
        <f>Hakemler!C19</f>
        <v>MELİKE</v>
      </c>
      <c r="D19" s="55"/>
      <c r="E19" s="52">
        <f>IF(D19=Uzman_D!$B$24,1,0)</f>
        <v>0</v>
      </c>
      <c r="F19" s="55"/>
      <c r="G19" s="52">
        <f>IF(F19=Uzman_D!$B$25,1,0)</f>
        <v>1</v>
      </c>
      <c r="H19" s="55"/>
      <c r="I19" s="52">
        <f>IF(H19=Uzman_D!$B$26,1,0)</f>
        <v>0</v>
      </c>
      <c r="J19" s="55"/>
      <c r="K19" s="52">
        <f>IF(J19=Uzman_D!$B$27,1,0)</f>
        <v>0</v>
      </c>
      <c r="L19" s="55"/>
      <c r="M19" s="52">
        <f>IF(L19=Uzman_D!$B$28,1,0)</f>
        <v>0</v>
      </c>
      <c r="N19" s="55"/>
      <c r="O19" s="52">
        <f>IF(N19=Uzman_D!$B$29,1,0)</f>
        <v>0</v>
      </c>
      <c r="P19" s="55"/>
      <c r="Q19" s="52">
        <f>IF(P19=Uzman_D!$B$30,1,0)</f>
        <v>0</v>
      </c>
      <c r="R19" s="55"/>
      <c r="S19" s="52">
        <f>IF(R19=Uzman_D!$B$31,1,0)</f>
        <v>0</v>
      </c>
      <c r="T19" s="55"/>
      <c r="U19" s="52">
        <f>IF(T19=Uzman_D!$B$32,1,0)</f>
        <v>0</v>
      </c>
      <c r="V19" s="55"/>
      <c r="W19" s="52">
        <f>IF(V19=Uzman_D!$B$33,1,0)</f>
        <v>0</v>
      </c>
      <c r="X19" s="53">
        <f t="shared" si="0"/>
        <v>0.1</v>
      </c>
      <c r="Y19" s="49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 ht="15" customHeight="1" x14ac:dyDescent="0.45">
      <c r="A20" s="54">
        <v>17</v>
      </c>
      <c r="B20" s="137" t="str">
        <f>Hakemler!B20</f>
        <v>KENDİRCİ</v>
      </c>
      <c r="C20" s="138" t="str">
        <f>Hakemler!C20</f>
        <v>CEMRE</v>
      </c>
      <c r="D20" s="55"/>
      <c r="E20" s="52">
        <f>IF(D20=Uzman_D!$B$24,1,0)</f>
        <v>0</v>
      </c>
      <c r="F20" s="55"/>
      <c r="G20" s="52">
        <f>IF(F20=Uzman_D!$B$25,1,0)</f>
        <v>1</v>
      </c>
      <c r="H20" s="55"/>
      <c r="I20" s="52">
        <f>IF(H20=Uzman_D!$B$26,1,0)</f>
        <v>0</v>
      </c>
      <c r="J20" s="55"/>
      <c r="K20" s="52">
        <f>IF(J20=Uzman_D!$B$27,1,0)</f>
        <v>0</v>
      </c>
      <c r="L20" s="55"/>
      <c r="M20" s="52">
        <f>IF(L20=Uzman_D!$B$28,1,0)</f>
        <v>0</v>
      </c>
      <c r="N20" s="55"/>
      <c r="O20" s="52">
        <f>IF(N20=Uzman_D!$B$29,1,0)</f>
        <v>0</v>
      </c>
      <c r="P20" s="55"/>
      <c r="Q20" s="52">
        <f>IF(P20=Uzman_D!$B$30,1,0)</f>
        <v>0</v>
      </c>
      <c r="R20" s="55"/>
      <c r="S20" s="52">
        <f>IF(R20=Uzman_D!$B$31,1,0)</f>
        <v>0</v>
      </c>
      <c r="T20" s="55"/>
      <c r="U20" s="52">
        <f>IF(T20=Uzman_D!$B$32,1,0)</f>
        <v>0</v>
      </c>
      <c r="V20" s="55"/>
      <c r="W20" s="52">
        <f>IF(V20=Uzman_D!$B$33,1,0)</f>
        <v>0</v>
      </c>
      <c r="X20" s="53">
        <f t="shared" si="0"/>
        <v>0.1</v>
      </c>
      <c r="Y20" s="49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5" customHeight="1" x14ac:dyDescent="0.45">
      <c r="A21" s="54">
        <v>18</v>
      </c>
      <c r="B21" s="137" t="str">
        <f>Hakemler!B21</f>
        <v>CANATAN</v>
      </c>
      <c r="C21" s="138" t="str">
        <f>Hakemler!C21</f>
        <v>BEYZA</v>
      </c>
      <c r="D21" s="55"/>
      <c r="E21" s="52">
        <f>IF(D21=Uzman_D!$B$24,1,0)</f>
        <v>0</v>
      </c>
      <c r="F21" s="55"/>
      <c r="G21" s="52">
        <f>IF(F21=Uzman_D!$B$25,1,0)</f>
        <v>1</v>
      </c>
      <c r="H21" s="55"/>
      <c r="I21" s="52">
        <f>IF(H21=Uzman_D!$B$26,1,0)</f>
        <v>0</v>
      </c>
      <c r="J21" s="55"/>
      <c r="K21" s="52">
        <f>IF(J21=Uzman_D!$B$27,1,0)</f>
        <v>0</v>
      </c>
      <c r="L21" s="55"/>
      <c r="M21" s="52">
        <f>IF(L21=Uzman_D!$B$28,1,0)</f>
        <v>0</v>
      </c>
      <c r="N21" s="55"/>
      <c r="O21" s="52">
        <f>IF(N21=Uzman_D!$B$29,1,0)</f>
        <v>0</v>
      </c>
      <c r="P21" s="55"/>
      <c r="Q21" s="52">
        <f>IF(P21=Uzman_D!$B$30,1,0)</f>
        <v>0</v>
      </c>
      <c r="R21" s="55"/>
      <c r="S21" s="52">
        <f>IF(R21=Uzman_D!$B$31,1,0)</f>
        <v>0</v>
      </c>
      <c r="T21" s="55"/>
      <c r="U21" s="52">
        <f>IF(T21=Uzman_D!$B$32,1,0)</f>
        <v>0</v>
      </c>
      <c r="V21" s="55"/>
      <c r="W21" s="52">
        <f>IF(V21=Uzman_D!$B$33,1,0)</f>
        <v>0</v>
      </c>
      <c r="X21" s="53">
        <f t="shared" si="0"/>
        <v>0.1</v>
      </c>
      <c r="Y21" s="49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1:41" ht="15" customHeight="1" x14ac:dyDescent="0.45">
      <c r="A22" s="54">
        <v>19</v>
      </c>
      <c r="B22" s="137" t="str">
        <f>Hakemler!B22</f>
        <v>SAYIN</v>
      </c>
      <c r="C22" s="138" t="str">
        <f>Hakemler!C22</f>
        <v>ZEYNEP TÜRKAN</v>
      </c>
      <c r="D22" s="55"/>
      <c r="E22" s="52">
        <f>IF(D22=Uzman_D!$B$24,1,0)</f>
        <v>0</v>
      </c>
      <c r="F22" s="55"/>
      <c r="G22" s="52">
        <f>IF(F22=Uzman_D!$B$25,1,0)</f>
        <v>1</v>
      </c>
      <c r="H22" s="55"/>
      <c r="I22" s="52">
        <f>IF(H22=Uzman_D!$B$26,1,0)</f>
        <v>0</v>
      </c>
      <c r="J22" s="55"/>
      <c r="K22" s="52">
        <f>IF(J22=Uzman_D!$B$27,1,0)</f>
        <v>0</v>
      </c>
      <c r="L22" s="55"/>
      <c r="M22" s="52">
        <f>IF(L22=Uzman_D!$B$28,1,0)</f>
        <v>0</v>
      </c>
      <c r="N22" s="55"/>
      <c r="O22" s="52">
        <f>IF(N22=Uzman_D!$B$29,1,0)</f>
        <v>0</v>
      </c>
      <c r="P22" s="55"/>
      <c r="Q22" s="52">
        <f>IF(P22=Uzman_D!$B$30,1,0)</f>
        <v>0</v>
      </c>
      <c r="R22" s="55"/>
      <c r="S22" s="52">
        <f>IF(R22=Uzman_D!$B$31,1,0)</f>
        <v>0</v>
      </c>
      <c r="T22" s="55"/>
      <c r="U22" s="52">
        <f>IF(T22=Uzman_D!$B$32,1,0)</f>
        <v>0</v>
      </c>
      <c r="V22" s="55"/>
      <c r="W22" s="52">
        <f>IF(V22=Uzman_D!$B$33,1,0)</f>
        <v>0</v>
      </c>
      <c r="X22" s="53">
        <f t="shared" si="0"/>
        <v>0.1</v>
      </c>
      <c r="Y22" s="49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</row>
    <row r="23" spans="1:41" ht="15" customHeight="1" x14ac:dyDescent="0.45">
      <c r="A23" s="54">
        <v>20</v>
      </c>
      <c r="B23" s="137" t="str">
        <f>Hakemler!B23</f>
        <v>ÖNER AĞAN</v>
      </c>
      <c r="C23" s="138" t="str">
        <f>Hakemler!C23</f>
        <v>DERYA</v>
      </c>
      <c r="D23" s="55"/>
      <c r="E23" s="52">
        <f>IF(D23=Uzman_D!$B$24,1,0)</f>
        <v>0</v>
      </c>
      <c r="F23" s="55"/>
      <c r="G23" s="52">
        <f>IF(F23=Uzman_D!$B$25,1,0)</f>
        <v>1</v>
      </c>
      <c r="H23" s="55"/>
      <c r="I23" s="52">
        <f>IF(H23=Uzman_D!$B$26,1,0)</f>
        <v>0</v>
      </c>
      <c r="J23" s="55"/>
      <c r="K23" s="52">
        <f>IF(J23=Uzman_D!$B$27,1,0)</f>
        <v>0</v>
      </c>
      <c r="L23" s="55"/>
      <c r="M23" s="52">
        <f>IF(L23=Uzman_D!$B$28,1,0)</f>
        <v>0</v>
      </c>
      <c r="N23" s="55"/>
      <c r="O23" s="52">
        <f>IF(N23=Uzman_D!$B$29,1,0)</f>
        <v>0</v>
      </c>
      <c r="P23" s="55"/>
      <c r="Q23" s="52">
        <f>IF(P23=Uzman_D!$B$30,1,0)</f>
        <v>0</v>
      </c>
      <c r="R23" s="55"/>
      <c r="S23" s="52">
        <f>IF(R23=Uzman_D!$B$31,1,0)</f>
        <v>0</v>
      </c>
      <c r="T23" s="55"/>
      <c r="U23" s="52">
        <f>IF(T23=Uzman_D!$B$32,1,0)</f>
        <v>0</v>
      </c>
      <c r="V23" s="55"/>
      <c r="W23" s="52">
        <f>IF(V23=Uzman_D!$B$33,1,0)</f>
        <v>0</v>
      </c>
      <c r="X23" s="53">
        <f t="shared" si="0"/>
        <v>0.1</v>
      </c>
      <c r="Y23" s="49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</row>
    <row r="24" spans="1:41" ht="15" customHeight="1" x14ac:dyDescent="0.45">
      <c r="A24" s="54">
        <v>21</v>
      </c>
      <c r="B24" s="150" t="str">
        <f>Hakemler!B24</f>
        <v>ABACI</v>
      </c>
      <c r="C24" s="151" t="str">
        <f>Hakemler!C24</f>
        <v>BUSE</v>
      </c>
      <c r="D24" s="55">
        <v>3.4</v>
      </c>
      <c r="E24" s="52">
        <f>IF(D24=Uzman_D!$B$24,1,0)</f>
        <v>0</v>
      </c>
      <c r="F24" s="55">
        <v>5</v>
      </c>
      <c r="G24" s="52">
        <f>IF(F24=Uzman_D!$B$25,1,0)</f>
        <v>0</v>
      </c>
      <c r="H24" s="55">
        <v>4.2</v>
      </c>
      <c r="I24" s="52">
        <f>IF(H24=Uzman_D!$B$26,1,0)</f>
        <v>0</v>
      </c>
      <c r="J24" s="55">
        <v>3.8</v>
      </c>
      <c r="K24" s="52">
        <f>IF(J24=Uzman_D!$B$27,1,0)</f>
        <v>1</v>
      </c>
      <c r="L24" s="55">
        <v>4.5999999999999996</v>
      </c>
      <c r="M24" s="52">
        <f>IF(L24=Uzman_D!$B$28,1,0)</f>
        <v>0</v>
      </c>
      <c r="N24" s="55">
        <v>4.2</v>
      </c>
      <c r="O24" s="52">
        <f>IF(N24=Uzman_D!$B$29,1,0)</f>
        <v>1</v>
      </c>
      <c r="P24" s="55">
        <v>3.2</v>
      </c>
      <c r="Q24" s="52">
        <f>IF(P24=Uzman_D!$B$30,1,0)</f>
        <v>1</v>
      </c>
      <c r="R24" s="55">
        <v>4.4000000000000004</v>
      </c>
      <c r="S24" s="52">
        <f>IF(R24=Uzman_D!$B$31,1,0)</f>
        <v>1</v>
      </c>
      <c r="T24" s="55">
        <v>4.2</v>
      </c>
      <c r="U24" s="52">
        <f>IF(T24=Uzman_D!$B$32,1,0)</f>
        <v>1</v>
      </c>
      <c r="V24" s="55">
        <v>3.8</v>
      </c>
      <c r="W24" s="52">
        <f>IF(V24=Uzman_D!$B$33,1,0)</f>
        <v>0</v>
      </c>
      <c r="X24" s="53">
        <f t="shared" si="0"/>
        <v>0.5</v>
      </c>
      <c r="Y24" s="49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</row>
    <row r="25" spans="1:41" ht="15" customHeight="1" x14ac:dyDescent="0.45">
      <c r="A25" s="54">
        <v>22</v>
      </c>
      <c r="B25" s="150" t="str">
        <f>Hakemler!B25</f>
        <v>KARAKAŞ</v>
      </c>
      <c r="C25" s="151" t="str">
        <f>Hakemler!C25</f>
        <v>TAHİR</v>
      </c>
      <c r="D25" s="55">
        <v>3.4</v>
      </c>
      <c r="E25" s="52">
        <f>IF(D25=Uzman_D!$B$24,1,0)</f>
        <v>0</v>
      </c>
      <c r="F25" s="55">
        <v>0</v>
      </c>
      <c r="G25" s="52">
        <f>IF(F25=Uzman_D!$B$25,1,0)</f>
        <v>1</v>
      </c>
      <c r="H25" s="55">
        <v>4.5999999999999996</v>
      </c>
      <c r="I25" s="52">
        <f>IF(H25=Uzman_D!$B$26,1,0)</f>
        <v>0</v>
      </c>
      <c r="J25" s="55">
        <v>3.8</v>
      </c>
      <c r="K25" s="52">
        <f>IF(J25=Uzman_D!$B$27,1,0)</f>
        <v>1</v>
      </c>
      <c r="L25" s="55">
        <v>4.8</v>
      </c>
      <c r="M25" s="52">
        <f>IF(L25=Uzman_D!$B$28,1,0)</f>
        <v>0</v>
      </c>
      <c r="N25" s="55">
        <v>4.2</v>
      </c>
      <c r="O25" s="52">
        <f>IF(N25=Uzman_D!$B$29,1,0)</f>
        <v>1</v>
      </c>
      <c r="P25" s="55">
        <v>3.2</v>
      </c>
      <c r="Q25" s="52">
        <f>IF(P25=Uzman_D!$B$30,1,0)</f>
        <v>1</v>
      </c>
      <c r="R25" s="55">
        <v>5</v>
      </c>
      <c r="S25" s="52">
        <f>IF(R25=Uzman_D!$B$31,1,0)</f>
        <v>0</v>
      </c>
      <c r="T25" s="55">
        <v>4.4000000000000004</v>
      </c>
      <c r="U25" s="52">
        <f>IF(T25=Uzman_D!$B$32,1,0)</f>
        <v>0</v>
      </c>
      <c r="V25" s="55">
        <v>3.8</v>
      </c>
      <c r="W25" s="52">
        <f>IF(V25=Uzman_D!$B$33,1,0)</f>
        <v>0</v>
      </c>
      <c r="X25" s="53">
        <f t="shared" si="0"/>
        <v>0.4</v>
      </c>
      <c r="Y25" s="49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</row>
    <row r="26" spans="1:41" ht="15" customHeight="1" x14ac:dyDescent="0.45">
      <c r="A26" s="54">
        <v>23</v>
      </c>
      <c r="B26" s="150" t="str">
        <f>Hakemler!B26</f>
        <v>SAVAŞ OK</v>
      </c>
      <c r="C26" s="151" t="str">
        <f>Hakemler!C26</f>
        <v>DİLAY</v>
      </c>
      <c r="D26" s="55">
        <v>3.8</v>
      </c>
      <c r="E26" s="52">
        <f>IF(D26=Uzman_D!$B$24,1,0)</f>
        <v>1</v>
      </c>
      <c r="F26" s="55">
        <v>4.8</v>
      </c>
      <c r="G26" s="52">
        <f>IF(F26=Uzman_D!$B$25,1,0)</f>
        <v>0</v>
      </c>
      <c r="H26" s="55">
        <v>5.6</v>
      </c>
      <c r="I26" s="52">
        <f>IF(H26=Uzman_D!$B$26,1,0)</f>
        <v>0</v>
      </c>
      <c r="J26" s="55">
        <v>3.8</v>
      </c>
      <c r="K26" s="52">
        <f>IF(J26=Uzman_D!$B$27,1,0)</f>
        <v>1</v>
      </c>
      <c r="L26" s="55">
        <v>5.6</v>
      </c>
      <c r="M26" s="52">
        <f>IF(L26=Uzman_D!$B$28,1,0)</f>
        <v>0</v>
      </c>
      <c r="N26" s="55">
        <v>4.2</v>
      </c>
      <c r="O26" s="52">
        <f>IF(N26=Uzman_D!$B$29,1,0)</f>
        <v>1</v>
      </c>
      <c r="P26" s="55">
        <v>3.2</v>
      </c>
      <c r="Q26" s="52">
        <f>IF(P26=Uzman_D!$B$30,1,0)</f>
        <v>1</v>
      </c>
      <c r="R26" s="55">
        <v>5.8</v>
      </c>
      <c r="S26" s="52">
        <f>IF(R26=Uzman_D!$B$31,1,0)</f>
        <v>0</v>
      </c>
      <c r="T26" s="55">
        <v>4.2</v>
      </c>
      <c r="U26" s="52">
        <f>IF(T26=Uzman_D!$B$32,1,0)</f>
        <v>1</v>
      </c>
      <c r="V26" s="55">
        <v>4.5999999999999996</v>
      </c>
      <c r="W26" s="52">
        <f>IF(V26=Uzman_D!$B$33,1,0)</f>
        <v>1</v>
      </c>
      <c r="X26" s="53">
        <f t="shared" si="0"/>
        <v>0.6</v>
      </c>
      <c r="Y26" s="49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</row>
    <row r="27" spans="1:41" ht="15" customHeight="1" x14ac:dyDescent="0.45">
      <c r="A27" s="54">
        <v>24</v>
      </c>
      <c r="B27" s="150" t="str">
        <f>Hakemler!B27</f>
        <v>AYDEMİR</v>
      </c>
      <c r="C27" s="151" t="str">
        <f>Hakemler!C27</f>
        <v>AYŞE DİLARA</v>
      </c>
      <c r="D27" s="55">
        <v>5.2</v>
      </c>
      <c r="E27" s="52">
        <f>IF(D27=Uzman_D!$B$24,1,0)</f>
        <v>0</v>
      </c>
      <c r="F27" s="55">
        <v>0</v>
      </c>
      <c r="G27" s="52">
        <f>IF(F27=Uzman_D!$B$25,1,0)</f>
        <v>1</v>
      </c>
      <c r="H27" s="55">
        <v>5</v>
      </c>
      <c r="I27" s="52">
        <f>IF(H27=Uzman_D!$B$26,1,0)</f>
        <v>1</v>
      </c>
      <c r="J27" s="55">
        <v>3.8</v>
      </c>
      <c r="K27" s="52">
        <f>IF(J27=Uzman_D!$B$27,1,0)</f>
        <v>1</v>
      </c>
      <c r="L27" s="55">
        <v>5.6</v>
      </c>
      <c r="M27" s="52">
        <f>IF(L27=Uzman_D!$B$28,1,0)</f>
        <v>0</v>
      </c>
      <c r="N27" s="55">
        <v>4.2</v>
      </c>
      <c r="O27" s="52">
        <f>IF(N27=Uzman_D!$B$29,1,0)</f>
        <v>1</v>
      </c>
      <c r="P27" s="55">
        <v>3.2</v>
      </c>
      <c r="Q27" s="52">
        <f>IF(P27=Uzman_D!$B$30,1,0)</f>
        <v>1</v>
      </c>
      <c r="R27" s="55">
        <v>4.4000000000000004</v>
      </c>
      <c r="S27" s="52">
        <f>IF(R27=Uzman_D!$B$31,1,0)</f>
        <v>1</v>
      </c>
      <c r="T27" s="55">
        <v>4.2</v>
      </c>
      <c r="U27" s="52">
        <f>IF(T27=Uzman_D!$B$32,1,0)</f>
        <v>1</v>
      </c>
      <c r="V27" s="55">
        <v>4.5999999999999996</v>
      </c>
      <c r="W27" s="52">
        <f>IF(V27=Uzman_D!$B$33,1,0)</f>
        <v>1</v>
      </c>
      <c r="X27" s="53">
        <f t="shared" si="0"/>
        <v>0.8</v>
      </c>
      <c r="Y27" s="49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</row>
    <row r="28" spans="1:41" ht="15" customHeight="1" x14ac:dyDescent="0.45">
      <c r="A28" s="54">
        <v>25</v>
      </c>
      <c r="B28" s="150" t="str">
        <f>Hakemler!B28</f>
        <v>AKIN</v>
      </c>
      <c r="C28" s="151" t="str">
        <f>Hakemler!C28</f>
        <v>MANOLYA</v>
      </c>
      <c r="D28" s="55">
        <v>3.4</v>
      </c>
      <c r="E28" s="52">
        <f>IF(D28=Uzman_D!$B$24,1,0)</f>
        <v>0</v>
      </c>
      <c r="F28" s="55">
        <v>4.4000000000000004</v>
      </c>
      <c r="G28" s="52">
        <f>IF(F28=Uzman_D!$B$25,1,0)</f>
        <v>0</v>
      </c>
      <c r="H28" s="55">
        <v>4.2</v>
      </c>
      <c r="I28" s="52">
        <f>IF(H28=Uzman_D!$B$26,1,0)</f>
        <v>0</v>
      </c>
      <c r="J28" s="55">
        <v>3.4</v>
      </c>
      <c r="K28" s="52">
        <f>IF(J28=Uzman_D!$B$27,1,0)</f>
        <v>0</v>
      </c>
      <c r="L28" s="55">
        <v>5</v>
      </c>
      <c r="M28" s="52">
        <f>IF(L28=Uzman_D!$B$28,1,0)</f>
        <v>0</v>
      </c>
      <c r="N28" s="55">
        <v>3.2</v>
      </c>
      <c r="O28" s="52">
        <f>IF(N28=Uzman_D!$B$29,1,0)</f>
        <v>0</v>
      </c>
      <c r="P28" s="55">
        <v>3.2</v>
      </c>
      <c r="Q28" s="52">
        <f>IF(P28=Uzman_D!$B$30,1,0)</f>
        <v>1</v>
      </c>
      <c r="R28" s="55">
        <v>4</v>
      </c>
      <c r="S28" s="52">
        <f>IF(R28=Uzman_D!$B$31,1,0)</f>
        <v>0</v>
      </c>
      <c r="T28" s="55">
        <v>4.2</v>
      </c>
      <c r="U28" s="52">
        <f>IF(T28=Uzman_D!$B$32,1,0)</f>
        <v>1</v>
      </c>
      <c r="V28" s="55">
        <v>5</v>
      </c>
      <c r="W28" s="52">
        <f>IF(V28=Uzman_D!$B$33,1,0)</f>
        <v>0</v>
      </c>
      <c r="X28" s="53">
        <f t="shared" si="0"/>
        <v>0.2</v>
      </c>
      <c r="Y28" s="49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</row>
    <row r="29" spans="1:41" ht="15" customHeight="1" x14ac:dyDescent="0.45">
      <c r="A29" s="54">
        <v>26</v>
      </c>
      <c r="B29" s="150" t="str">
        <f>Hakemler!B29</f>
        <v>PINAR</v>
      </c>
      <c r="C29" s="151" t="str">
        <f>Hakemler!C29</f>
        <v>YELİZ</v>
      </c>
      <c r="D29" s="55">
        <v>4.4000000000000004</v>
      </c>
      <c r="E29" s="52">
        <f>IF(D29=Uzman_D!$B$24,1,0)</f>
        <v>0</v>
      </c>
      <c r="F29" s="55">
        <v>4.5999999999999996</v>
      </c>
      <c r="G29" s="52">
        <f>IF(F29=Uzman_D!$B$25,1,0)</f>
        <v>0</v>
      </c>
      <c r="H29" s="55">
        <v>5</v>
      </c>
      <c r="I29" s="52">
        <f>IF(H29=Uzman_D!$B$26,1,0)</f>
        <v>1</v>
      </c>
      <c r="J29" s="55">
        <v>3.8</v>
      </c>
      <c r="K29" s="52">
        <f>IF(J29=Uzman_D!$B$27,1,0)</f>
        <v>1</v>
      </c>
      <c r="L29" s="55">
        <v>4.2</v>
      </c>
      <c r="M29" s="52">
        <f>IF(L29=Uzman_D!$B$28,1,0)</f>
        <v>1</v>
      </c>
      <c r="N29" s="55">
        <v>4.2</v>
      </c>
      <c r="O29" s="52">
        <f>IF(N29=Uzman_D!$B$29,1,0)</f>
        <v>1</v>
      </c>
      <c r="P29" s="55">
        <v>3.2</v>
      </c>
      <c r="Q29" s="52">
        <f>IF(P29=Uzman_D!$B$30,1,0)</f>
        <v>1</v>
      </c>
      <c r="R29" s="55">
        <v>5</v>
      </c>
      <c r="S29" s="52">
        <f>IF(R29=Uzman_D!$B$31,1,0)</f>
        <v>0</v>
      </c>
      <c r="T29" s="55">
        <v>4.2</v>
      </c>
      <c r="U29" s="52">
        <f>IF(T29=Uzman_D!$B$32,1,0)</f>
        <v>1</v>
      </c>
      <c r="V29" s="55">
        <v>5</v>
      </c>
      <c r="W29" s="52">
        <f>IF(V29=Uzman_D!$B$33,1,0)</f>
        <v>0</v>
      </c>
      <c r="X29" s="53">
        <f t="shared" si="0"/>
        <v>0.6</v>
      </c>
      <c r="Y29" s="49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</row>
    <row r="30" spans="1:41" ht="15" customHeight="1" x14ac:dyDescent="0.45">
      <c r="A30" s="54">
        <v>27</v>
      </c>
      <c r="B30" s="150" t="str">
        <f>Hakemler!B30</f>
        <v>KATRANCI</v>
      </c>
      <c r="C30" s="151" t="str">
        <f>Hakemler!C30</f>
        <v>AYŞEN</v>
      </c>
      <c r="D30" s="55">
        <v>3.4</v>
      </c>
      <c r="E30" s="52">
        <f>IF(D30=Uzman_D!$B$24,1,0)</f>
        <v>0</v>
      </c>
      <c r="F30" s="55">
        <v>0</v>
      </c>
      <c r="G30" s="52">
        <f>IF(F30=Uzman_D!$B$25,1,0)</f>
        <v>1</v>
      </c>
      <c r="H30" s="55">
        <v>5</v>
      </c>
      <c r="I30" s="52">
        <f>IF(H30=Uzman_D!$B$26,1,0)</f>
        <v>1</v>
      </c>
      <c r="J30" s="55">
        <v>3.8</v>
      </c>
      <c r="K30" s="52">
        <f>IF(J30=Uzman_D!$B$27,1,0)</f>
        <v>1</v>
      </c>
      <c r="L30" s="55">
        <v>4.8</v>
      </c>
      <c r="M30" s="52">
        <f>IF(L30=Uzman_D!$B$28,1,0)</f>
        <v>0</v>
      </c>
      <c r="N30" s="55">
        <v>4.2</v>
      </c>
      <c r="O30" s="52">
        <f>IF(N30=Uzman_D!$B$29,1,0)</f>
        <v>1</v>
      </c>
      <c r="P30" s="55">
        <v>3.6</v>
      </c>
      <c r="Q30" s="52">
        <f>IF(P30=Uzman_D!$B$30,1,0)</f>
        <v>0</v>
      </c>
      <c r="R30" s="55">
        <v>4.4000000000000004</v>
      </c>
      <c r="S30" s="52">
        <f>IF(R30=Uzman_D!$B$31,1,0)</f>
        <v>1</v>
      </c>
      <c r="T30" s="55">
        <v>4.2</v>
      </c>
      <c r="U30" s="52">
        <f>IF(T30=Uzman_D!$B$32,1,0)</f>
        <v>1</v>
      </c>
      <c r="V30" s="55">
        <v>4.5999999999999996</v>
      </c>
      <c r="W30" s="52">
        <f>IF(V30=Uzman_D!$B$33,1,0)</f>
        <v>1</v>
      </c>
      <c r="X30" s="53">
        <f t="shared" si="0"/>
        <v>0.7</v>
      </c>
      <c r="Y30" s="49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 spans="1:41" ht="15" customHeight="1" x14ac:dyDescent="0.45">
      <c r="A31" s="54">
        <v>28</v>
      </c>
      <c r="B31" s="150" t="str">
        <f>Hakemler!B31</f>
        <v>GÜRKAN KİRAZ</v>
      </c>
      <c r="C31" s="151" t="str">
        <f>Hakemler!C31</f>
        <v>FULYA</v>
      </c>
      <c r="D31" s="55">
        <v>3.4</v>
      </c>
      <c r="E31" s="52">
        <f>IF(D31=Uzman_D!$B$24,1,0)</f>
        <v>0</v>
      </c>
      <c r="F31" s="55">
        <v>3.6</v>
      </c>
      <c r="G31" s="52">
        <f>IF(F31=Uzman_D!$B$25,1,0)</f>
        <v>0</v>
      </c>
      <c r="H31" s="55">
        <v>4.2</v>
      </c>
      <c r="I31" s="52">
        <f>IF(H31=Uzman_D!$B$26,1,0)</f>
        <v>0</v>
      </c>
      <c r="J31" s="55">
        <v>3.8</v>
      </c>
      <c r="K31" s="52">
        <f>IF(J31=Uzman_D!$B$27,1,0)</f>
        <v>1</v>
      </c>
      <c r="L31" s="55">
        <v>4.8</v>
      </c>
      <c r="M31" s="52">
        <f>IF(L31=Uzman_D!$B$28,1,0)</f>
        <v>0</v>
      </c>
      <c r="N31" s="55">
        <v>5.6</v>
      </c>
      <c r="O31" s="52">
        <f>IF(N31=Uzman_D!$B$29,1,0)</f>
        <v>0</v>
      </c>
      <c r="P31" s="55">
        <v>4.2</v>
      </c>
      <c r="Q31" s="52">
        <f>IF(P31=Uzman_D!$B$30,1,0)</f>
        <v>0</v>
      </c>
      <c r="R31" s="55">
        <v>5.8</v>
      </c>
      <c r="S31" s="52">
        <f>IF(R31=Uzman_D!$B$31,1,0)</f>
        <v>0</v>
      </c>
      <c r="T31" s="55">
        <v>4.2</v>
      </c>
      <c r="U31" s="52">
        <f>IF(T31=Uzman_D!$B$32,1,0)</f>
        <v>1</v>
      </c>
      <c r="V31" s="55">
        <v>3.6</v>
      </c>
      <c r="W31" s="52">
        <f>IF(V31=Uzman_D!$B$33,1,0)</f>
        <v>0</v>
      </c>
      <c r="X31" s="53">
        <f t="shared" si="0"/>
        <v>0.2</v>
      </c>
      <c r="Y31" s="49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</row>
    <row r="32" spans="1:41" ht="15" customHeight="1" x14ac:dyDescent="0.45">
      <c r="A32" s="54">
        <v>29</v>
      </c>
      <c r="B32" s="150" t="str">
        <f>Hakemler!B32</f>
        <v>KILIÇ</v>
      </c>
      <c r="C32" s="151" t="str">
        <f>Hakemler!C32</f>
        <v>AYŞE</v>
      </c>
      <c r="D32" s="55">
        <v>4.4000000000000004</v>
      </c>
      <c r="E32" s="52">
        <f>IF(D32=Uzman_D!$B$24,1,0)</f>
        <v>0</v>
      </c>
      <c r="F32" s="55">
        <v>3.8</v>
      </c>
      <c r="G32" s="52">
        <f>IF(F32=Uzman_D!$B$25,1,0)</f>
        <v>0</v>
      </c>
      <c r="H32" s="55">
        <v>4.5999999999999996</v>
      </c>
      <c r="I32" s="52">
        <f>IF(H32=Uzman_D!$B$26,1,0)</f>
        <v>0</v>
      </c>
      <c r="J32" s="55">
        <v>4.5999999999999996</v>
      </c>
      <c r="K32" s="52">
        <f>IF(J32=Uzman_D!$B$27,1,0)</f>
        <v>0</v>
      </c>
      <c r="L32" s="55">
        <v>5.6</v>
      </c>
      <c r="M32" s="52">
        <f>IF(L32=Uzman_D!$B$28,1,0)</f>
        <v>0</v>
      </c>
      <c r="N32" s="55">
        <v>4.8</v>
      </c>
      <c r="O32" s="52">
        <f>IF(N32=Uzman_D!$B$29,1,0)</f>
        <v>0</v>
      </c>
      <c r="P32" s="55">
        <v>5</v>
      </c>
      <c r="Q32" s="52">
        <f>IF(P32=Uzman_D!$B$30,1,0)</f>
        <v>0</v>
      </c>
      <c r="R32" s="55">
        <v>5.4</v>
      </c>
      <c r="S32" s="52">
        <f>IF(R32=Uzman_D!$B$31,1,0)</f>
        <v>0</v>
      </c>
      <c r="T32" s="55">
        <v>4.4000000000000004</v>
      </c>
      <c r="U32" s="52">
        <f>IF(T32=Uzman_D!$B$32,1,0)</f>
        <v>0</v>
      </c>
      <c r="V32" s="55">
        <v>4.2</v>
      </c>
      <c r="W32" s="52">
        <f>IF(V32=Uzman_D!$B$33,1,0)</f>
        <v>0</v>
      </c>
      <c r="X32" s="53">
        <f t="shared" si="0"/>
        <v>0</v>
      </c>
      <c r="Y32" s="49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</row>
    <row r="33" spans="1:41" ht="15" customHeight="1" x14ac:dyDescent="0.45">
      <c r="A33" s="54">
        <v>30</v>
      </c>
      <c r="B33" s="150" t="str">
        <f>Hakemler!B33</f>
        <v>ÖZGENLİK TATAR</v>
      </c>
      <c r="C33" s="151" t="str">
        <f>Hakemler!C33</f>
        <v>ARZU</v>
      </c>
      <c r="D33" s="55">
        <v>3.8</v>
      </c>
      <c r="E33" s="52">
        <f>IF(D33=Uzman_D!$B$24,1,0)</f>
        <v>1</v>
      </c>
      <c r="F33" s="55">
        <v>5</v>
      </c>
      <c r="G33" s="52">
        <f>IF(F33=Uzman_D!$B$25,1,0)</f>
        <v>0</v>
      </c>
      <c r="H33" s="55">
        <v>5</v>
      </c>
      <c r="I33" s="52">
        <f>IF(H33=Uzman_D!$B$26,1,0)</f>
        <v>1</v>
      </c>
      <c r="J33" s="55">
        <v>3.8</v>
      </c>
      <c r="K33" s="52">
        <f>IF(J33=Uzman_D!$B$27,1,0)</f>
        <v>1</v>
      </c>
      <c r="L33" s="55">
        <v>5.6</v>
      </c>
      <c r="M33" s="52">
        <f>IF(L33=Uzman_D!$B$28,1,0)</f>
        <v>0</v>
      </c>
      <c r="N33" s="55">
        <v>4.2</v>
      </c>
      <c r="O33" s="52">
        <f>IF(N33=Uzman_D!$B$29,1,0)</f>
        <v>1</v>
      </c>
      <c r="P33" s="55">
        <v>3.2</v>
      </c>
      <c r="Q33" s="52">
        <f>IF(P33=Uzman_D!$B$30,1,0)</f>
        <v>1</v>
      </c>
      <c r="R33" s="55">
        <v>5.4</v>
      </c>
      <c r="S33" s="52">
        <f>IF(R33=Uzman_D!$B$31,1,0)</f>
        <v>0</v>
      </c>
      <c r="T33" s="55">
        <v>4.4000000000000004</v>
      </c>
      <c r="U33" s="52">
        <f>IF(T33=Uzman_D!$B$32,1,0)</f>
        <v>0</v>
      </c>
      <c r="V33" s="55">
        <v>4.5999999999999996</v>
      </c>
      <c r="W33" s="52">
        <f>IF(V33=Uzman_D!$B$33,1,0)</f>
        <v>1</v>
      </c>
      <c r="X33" s="53">
        <f t="shared" si="0"/>
        <v>0.6</v>
      </c>
      <c r="Y33" s="49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</row>
    <row r="34" spans="1:41" ht="15" customHeight="1" x14ac:dyDescent="0.45">
      <c r="A34" s="54">
        <v>31</v>
      </c>
      <c r="B34" s="150" t="str">
        <f>Hakemler!B34</f>
        <v>KARADENİZ</v>
      </c>
      <c r="C34" s="151" t="str">
        <f>Hakemler!C34</f>
        <v>EMEL</v>
      </c>
      <c r="D34" s="55">
        <v>3.4</v>
      </c>
      <c r="E34" s="52">
        <f>IF(D34=Uzman_D!$B$24,1,0)</f>
        <v>0</v>
      </c>
      <c r="F34" s="55">
        <v>4.4000000000000004</v>
      </c>
      <c r="G34" s="52">
        <f>IF(F34=Uzman_D!$B$25,1,0)</f>
        <v>0</v>
      </c>
      <c r="H34" s="55">
        <v>5</v>
      </c>
      <c r="I34" s="52">
        <f>IF(H34=Uzman_D!$B$26,1,0)</f>
        <v>1</v>
      </c>
      <c r="J34" s="55">
        <v>3.8</v>
      </c>
      <c r="K34" s="52">
        <f>IF(J34=Uzman_D!$B$27,1,0)</f>
        <v>1</v>
      </c>
      <c r="L34" s="55">
        <v>5.6</v>
      </c>
      <c r="M34" s="52">
        <f>IF(L34=Uzman_D!$B$28,1,0)</f>
        <v>0</v>
      </c>
      <c r="N34" s="55">
        <v>3.6</v>
      </c>
      <c r="O34" s="52">
        <f>IF(N34=Uzman_D!$B$29,1,0)</f>
        <v>0</v>
      </c>
      <c r="P34" s="55">
        <v>3.2</v>
      </c>
      <c r="Q34" s="52">
        <f>IF(P34=Uzman_D!$B$30,1,0)</f>
        <v>1</v>
      </c>
      <c r="R34" s="55">
        <v>5</v>
      </c>
      <c r="S34" s="52">
        <f>IF(R34=Uzman_D!$B$31,1,0)</f>
        <v>0</v>
      </c>
      <c r="T34" s="55">
        <v>3.8</v>
      </c>
      <c r="U34" s="52">
        <f>IF(T34=Uzman_D!$B$32,1,0)</f>
        <v>0</v>
      </c>
      <c r="V34" s="55">
        <v>4.5999999999999996</v>
      </c>
      <c r="W34" s="52">
        <f>IF(V34=Uzman_D!$B$33,1,0)</f>
        <v>1</v>
      </c>
      <c r="X34" s="53">
        <f t="shared" si="0"/>
        <v>0.4</v>
      </c>
      <c r="Y34" s="49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</row>
    <row r="35" spans="1:41" ht="15" customHeight="1" x14ac:dyDescent="0.45">
      <c r="A35" s="54">
        <v>32</v>
      </c>
      <c r="B35" s="150" t="str">
        <f>Hakemler!B35</f>
        <v>TOYRAN</v>
      </c>
      <c r="C35" s="151" t="str">
        <f>Hakemler!C35</f>
        <v>SİNEM NUR</v>
      </c>
      <c r="D35" s="55">
        <v>4.4000000000000004</v>
      </c>
      <c r="E35" s="52">
        <f>IF(D35=Uzman_D!$B$24,1,0)</f>
        <v>0</v>
      </c>
      <c r="F35" s="55">
        <v>5</v>
      </c>
      <c r="G35" s="52">
        <f>IF(F35=Uzman_D!$B$25,1,0)</f>
        <v>0</v>
      </c>
      <c r="H35" s="55">
        <v>5</v>
      </c>
      <c r="I35" s="52">
        <f>IF(H35=Uzman_D!$B$26,1,0)</f>
        <v>1</v>
      </c>
      <c r="J35" s="55">
        <v>4.4000000000000004</v>
      </c>
      <c r="K35" s="52">
        <f>IF(J35=Uzman_D!$B$27,1,0)</f>
        <v>0</v>
      </c>
      <c r="L35" s="55">
        <v>4.8</v>
      </c>
      <c r="M35" s="52">
        <f>IF(L35=Uzman_D!$B$28,1,0)</f>
        <v>0</v>
      </c>
      <c r="N35" s="55">
        <v>4.2</v>
      </c>
      <c r="O35" s="52">
        <f>IF(N35=Uzman_D!$B$29,1,0)</f>
        <v>1</v>
      </c>
      <c r="P35" s="55">
        <v>3.6</v>
      </c>
      <c r="Q35" s="52">
        <f>IF(P35=Uzman_D!$B$30,1,0)</f>
        <v>0</v>
      </c>
      <c r="R35" s="55">
        <v>5</v>
      </c>
      <c r="S35" s="52">
        <f>IF(R35=Uzman_D!$B$31,1,0)</f>
        <v>0</v>
      </c>
      <c r="T35" s="55">
        <v>4</v>
      </c>
      <c r="U35" s="52">
        <f>IF(T35=Uzman_D!$B$32,1,0)</f>
        <v>0</v>
      </c>
      <c r="V35" s="55">
        <v>4.5999999999999996</v>
      </c>
      <c r="W35" s="52">
        <f>IF(V35=Uzman_D!$B$33,1,0)</f>
        <v>1</v>
      </c>
      <c r="X35" s="53">
        <f t="shared" si="0"/>
        <v>0.3</v>
      </c>
      <c r="Y35" s="49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</row>
    <row r="36" spans="1:41" ht="15" customHeight="1" x14ac:dyDescent="0.45">
      <c r="A36" s="54">
        <v>33</v>
      </c>
      <c r="B36" s="150" t="str">
        <f>Hakemler!B36</f>
        <v>SEVERBAŞ</v>
      </c>
      <c r="C36" s="151" t="str">
        <f>Hakemler!C36</f>
        <v>PINAR</v>
      </c>
      <c r="D36" s="55">
        <v>0</v>
      </c>
      <c r="E36" s="52">
        <f>IF(D36=Uzman_D!$B$24,1,0)</f>
        <v>0</v>
      </c>
      <c r="F36" s="55">
        <v>0</v>
      </c>
      <c r="G36" s="52">
        <f>IF(F36=Uzman_D!$B$25,1,0)</f>
        <v>1</v>
      </c>
      <c r="H36" s="55">
        <v>0</v>
      </c>
      <c r="I36" s="52">
        <f>IF(H36=Uzman_D!$B$26,1,0)</f>
        <v>0</v>
      </c>
      <c r="J36" s="55">
        <v>0</v>
      </c>
      <c r="K36" s="52">
        <f>IF(J36=Uzman_D!$B$27,1,0)</f>
        <v>0</v>
      </c>
      <c r="L36" s="55">
        <v>0</v>
      </c>
      <c r="M36" s="52">
        <f>IF(L36=Uzman_D!$B$28,1,0)</f>
        <v>0</v>
      </c>
      <c r="N36" s="55">
        <v>5</v>
      </c>
      <c r="O36" s="52">
        <f>IF(N36=Uzman_D!$B$29,1,0)</f>
        <v>0</v>
      </c>
      <c r="P36" s="55">
        <v>3.3</v>
      </c>
      <c r="Q36" s="52">
        <f>IF(P36=Uzman_D!$B$30,1,0)</f>
        <v>0</v>
      </c>
      <c r="R36" s="55">
        <v>2.6</v>
      </c>
      <c r="S36" s="52">
        <f>IF(R36=Uzman_D!$B$31,1,0)</f>
        <v>0</v>
      </c>
      <c r="T36" s="55">
        <v>4.2</v>
      </c>
      <c r="U36" s="52">
        <f>IF(T36=Uzman_D!$B$32,1,0)</f>
        <v>1</v>
      </c>
      <c r="V36" s="55">
        <v>0</v>
      </c>
      <c r="W36" s="52">
        <f>IF(V36=Uzman_D!$B$33,1,0)</f>
        <v>0</v>
      </c>
      <c r="X36" s="53">
        <f t="shared" ref="X36:X67" si="1">(E36+G36+I36+K36+M36+O36+Q36+S36+U36+W36)/10</f>
        <v>0.2</v>
      </c>
      <c r="Y36" s="49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</row>
    <row r="37" spans="1:41" ht="15" customHeight="1" x14ac:dyDescent="0.45">
      <c r="A37" s="54">
        <v>34</v>
      </c>
      <c r="B37" s="150" t="str">
        <f>Hakemler!B37</f>
        <v>KASAP TOPAL</v>
      </c>
      <c r="C37" s="151" t="str">
        <f>Hakemler!C37</f>
        <v>AYTEN</v>
      </c>
      <c r="D37" s="55">
        <v>4.4000000000000004</v>
      </c>
      <c r="E37" s="52">
        <f>IF(D37=Uzman_D!$B$24,1,0)</f>
        <v>0</v>
      </c>
      <c r="F37" s="55">
        <v>4.2</v>
      </c>
      <c r="G37" s="52">
        <f>IF(F37=Uzman_D!$B$25,1,0)</f>
        <v>0</v>
      </c>
      <c r="H37" s="55">
        <v>4.2</v>
      </c>
      <c r="I37" s="52">
        <f>IF(H37=Uzman_D!$B$26,1,0)</f>
        <v>0</v>
      </c>
      <c r="J37" s="55">
        <v>3</v>
      </c>
      <c r="K37" s="52">
        <f>IF(J37=Uzman_D!$B$27,1,0)</f>
        <v>0</v>
      </c>
      <c r="L37" s="55">
        <v>5.2</v>
      </c>
      <c r="M37" s="52">
        <f>IF(L37=Uzman_D!$B$28,1,0)</f>
        <v>0</v>
      </c>
      <c r="N37" s="55">
        <v>4.2</v>
      </c>
      <c r="O37" s="52">
        <f>IF(N37=Uzman_D!$B$29,1,0)</f>
        <v>1</v>
      </c>
      <c r="P37" s="55">
        <v>3.6</v>
      </c>
      <c r="Q37" s="52">
        <f>IF(P37=Uzman_D!$B$30,1,0)</f>
        <v>0</v>
      </c>
      <c r="R37" s="55">
        <v>5</v>
      </c>
      <c r="S37" s="52">
        <f>IF(R37=Uzman_D!$B$31,1,0)</f>
        <v>0</v>
      </c>
      <c r="T37" s="55">
        <v>4</v>
      </c>
      <c r="U37" s="52">
        <f>IF(T37=Uzman_D!$B$32,1,0)</f>
        <v>0</v>
      </c>
      <c r="V37" s="55">
        <v>3.8</v>
      </c>
      <c r="W37" s="52">
        <f>IF(V37=Uzman_D!$B$33,1,0)</f>
        <v>0</v>
      </c>
      <c r="X37" s="53">
        <f t="shared" si="1"/>
        <v>0.1</v>
      </c>
      <c r="Y37" s="49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</row>
    <row r="38" spans="1:41" ht="15" customHeight="1" x14ac:dyDescent="0.45">
      <c r="A38" s="54">
        <v>35</v>
      </c>
      <c r="B38" s="150" t="str">
        <f>Hakemler!B38</f>
        <v>DİCLE</v>
      </c>
      <c r="C38" s="151" t="str">
        <f>Hakemler!C38</f>
        <v>SENA HAZEL</v>
      </c>
      <c r="D38" s="55">
        <v>3.6</v>
      </c>
      <c r="E38" s="52">
        <f>IF(D38=Uzman_D!$B$24,1,0)</f>
        <v>0</v>
      </c>
      <c r="F38" s="55">
        <v>4.5999999999999996</v>
      </c>
      <c r="G38" s="52">
        <f>IF(F38=Uzman_D!$B$25,1,0)</f>
        <v>0</v>
      </c>
      <c r="H38" s="55">
        <v>5</v>
      </c>
      <c r="I38" s="52">
        <f>IF(H38=Uzman_D!$B$26,1,0)</f>
        <v>1</v>
      </c>
      <c r="J38" s="55">
        <v>3.8</v>
      </c>
      <c r="K38" s="52">
        <f>IF(J38=Uzman_D!$B$27,1,0)</f>
        <v>1</v>
      </c>
      <c r="L38" s="55">
        <v>4.8</v>
      </c>
      <c r="M38" s="52">
        <f>IF(L38=Uzman_D!$B$28,1,0)</f>
        <v>0</v>
      </c>
      <c r="N38" s="55">
        <v>4</v>
      </c>
      <c r="O38" s="52">
        <f>IF(N38=Uzman_D!$B$29,1,0)</f>
        <v>0</v>
      </c>
      <c r="P38" s="55">
        <v>6.4</v>
      </c>
      <c r="Q38" s="52">
        <f>IF(P38=Uzman_D!$B$30,1,0)</f>
        <v>0</v>
      </c>
      <c r="R38" s="55">
        <v>3.8</v>
      </c>
      <c r="S38" s="52">
        <f>IF(R38=Uzman_D!$B$31,1,0)</f>
        <v>0</v>
      </c>
      <c r="T38" s="55">
        <v>4.5999999999999996</v>
      </c>
      <c r="U38" s="52">
        <f>IF(T38=Uzman_D!$B$32,1,0)</f>
        <v>0</v>
      </c>
      <c r="V38" s="55">
        <v>5.2</v>
      </c>
      <c r="W38" s="52">
        <f>IF(V38=Uzman_D!$B$33,1,0)</f>
        <v>0</v>
      </c>
      <c r="X38" s="53">
        <f t="shared" si="1"/>
        <v>0.2</v>
      </c>
      <c r="Y38" s="49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</row>
    <row r="39" spans="1:41" ht="15" customHeight="1" x14ac:dyDescent="0.45">
      <c r="A39" s="54">
        <v>36</v>
      </c>
      <c r="B39" s="150" t="str">
        <f>Hakemler!B39</f>
        <v>KARAHAN</v>
      </c>
      <c r="C39" s="151" t="str">
        <f>Hakemler!C39</f>
        <v>NESRİN</v>
      </c>
      <c r="D39" s="55">
        <v>4.2</v>
      </c>
      <c r="E39" s="52">
        <f>IF(D39=Uzman_D!$B$24,1,0)</f>
        <v>0</v>
      </c>
      <c r="F39" s="55">
        <v>4.2</v>
      </c>
      <c r="G39" s="52">
        <f>IF(F39=Uzman_D!$B$25,1,0)</f>
        <v>0</v>
      </c>
      <c r="H39" s="55">
        <v>4.5999999999999996</v>
      </c>
      <c r="I39" s="52">
        <f>IF(H39=Uzman_D!$B$26,1,0)</f>
        <v>0</v>
      </c>
      <c r="J39" s="55">
        <v>4</v>
      </c>
      <c r="K39" s="52">
        <f>IF(J39=Uzman_D!$B$27,1,0)</f>
        <v>0</v>
      </c>
      <c r="L39" s="55">
        <v>3.4</v>
      </c>
      <c r="M39" s="52">
        <f>IF(L39=Uzman_D!$B$28,1,0)</f>
        <v>0</v>
      </c>
      <c r="N39" s="55">
        <v>4.5999999999999996</v>
      </c>
      <c r="O39" s="52">
        <f>IF(N39=Uzman_D!$B$29,1,0)</f>
        <v>0</v>
      </c>
      <c r="P39" s="55">
        <v>4</v>
      </c>
      <c r="Q39" s="52">
        <f>IF(P39=Uzman_D!$B$30,1,0)</f>
        <v>0</v>
      </c>
      <c r="R39" s="55">
        <v>3.8</v>
      </c>
      <c r="S39" s="52">
        <f>IF(R39=Uzman_D!$B$31,1,0)</f>
        <v>0</v>
      </c>
      <c r="T39" s="55">
        <v>3.2</v>
      </c>
      <c r="U39" s="52">
        <f>IF(T39=Uzman_D!$B$32,1,0)</f>
        <v>0</v>
      </c>
      <c r="V39" s="55">
        <v>4.2</v>
      </c>
      <c r="W39" s="52">
        <f>IF(V39=Uzman_D!$B$33,1,0)</f>
        <v>0</v>
      </c>
      <c r="X39" s="53">
        <f t="shared" si="1"/>
        <v>0</v>
      </c>
      <c r="Y39" s="49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</row>
    <row r="40" spans="1:41" ht="15" customHeight="1" x14ac:dyDescent="0.45">
      <c r="A40" s="54">
        <v>37</v>
      </c>
      <c r="B40" s="152" t="str">
        <f>Hakemler!B40</f>
        <v>ALTAY</v>
      </c>
      <c r="C40" s="153" t="str">
        <f>Hakemler!C40</f>
        <v>SERDİNÇ</v>
      </c>
      <c r="D40" s="55">
        <v>3.4</v>
      </c>
      <c r="E40" s="52">
        <f>IF(D40=Uzman_D!$B$24,1,0)</f>
        <v>0</v>
      </c>
      <c r="F40" s="55">
        <v>4</v>
      </c>
      <c r="G40" s="52">
        <f>IF(F40=Uzman_D!$B$25,1,0)</f>
        <v>0</v>
      </c>
      <c r="H40" s="55">
        <v>5</v>
      </c>
      <c r="I40" s="52">
        <f>IF(H40=Uzman_D!$B$26,1,0)</f>
        <v>1</v>
      </c>
      <c r="J40" s="55">
        <v>4.4000000000000004</v>
      </c>
      <c r="K40" s="52">
        <f>IF(J40=Uzman_D!$B$27,1,0)</f>
        <v>0</v>
      </c>
      <c r="L40" s="55">
        <v>4.2</v>
      </c>
      <c r="M40" s="52">
        <f>IF(L40=Uzman_D!$B$28,1,0)</f>
        <v>1</v>
      </c>
      <c r="N40" s="55">
        <v>4.5999999999999996</v>
      </c>
      <c r="O40" s="52">
        <f>IF(N40=Uzman_D!$B$29,1,0)</f>
        <v>0</v>
      </c>
      <c r="P40" s="55">
        <v>3.2</v>
      </c>
      <c r="Q40" s="52">
        <f>IF(P40=Uzman_D!$B$30,1,0)</f>
        <v>1</v>
      </c>
      <c r="R40" s="55">
        <v>4.4000000000000004</v>
      </c>
      <c r="S40" s="52">
        <f>IF(R40=Uzman_D!$B$31,1,0)</f>
        <v>1</v>
      </c>
      <c r="T40" s="55">
        <v>4.5999999999999996</v>
      </c>
      <c r="U40" s="52">
        <f>IF(T40=Uzman_D!$B$32,1,0)</f>
        <v>0</v>
      </c>
      <c r="V40" s="55">
        <v>4.4000000000000004</v>
      </c>
      <c r="W40" s="52">
        <f>IF(V40=Uzman_D!$B$33,1,0)</f>
        <v>0</v>
      </c>
      <c r="X40" s="53">
        <f t="shared" si="1"/>
        <v>0.4</v>
      </c>
      <c r="Y40" s="49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</row>
    <row r="41" spans="1:41" ht="15" customHeight="1" x14ac:dyDescent="0.45">
      <c r="A41" s="54">
        <v>38</v>
      </c>
      <c r="B41" s="152" t="str">
        <f>Hakemler!B41</f>
        <v>TOPTAŞ</v>
      </c>
      <c r="C41" s="153" t="str">
        <f>Hakemler!C41</f>
        <v>BİRSEN</v>
      </c>
      <c r="D41" s="55">
        <v>3.8</v>
      </c>
      <c r="E41" s="52">
        <f>IF(D41=Uzman_D!$B$24,1,0)</f>
        <v>1</v>
      </c>
      <c r="F41" s="55">
        <v>3.8</v>
      </c>
      <c r="G41" s="52">
        <f>IF(F41=Uzman_D!$B$25,1,0)</f>
        <v>0</v>
      </c>
      <c r="H41" s="55">
        <v>4</v>
      </c>
      <c r="I41" s="52">
        <f>IF(H41=Uzman_D!$B$26,1,0)</f>
        <v>0</v>
      </c>
      <c r="J41" s="55">
        <v>4.2</v>
      </c>
      <c r="K41" s="52">
        <f>IF(J41=Uzman_D!$B$27,1,0)</f>
        <v>0</v>
      </c>
      <c r="L41" s="55">
        <v>4</v>
      </c>
      <c r="M41" s="52">
        <f>IF(L41=Uzman_D!$B$28,1,0)</f>
        <v>0</v>
      </c>
      <c r="N41" s="55">
        <v>4.4000000000000004</v>
      </c>
      <c r="O41" s="52">
        <f>IF(N41=Uzman_D!$B$29,1,0)</f>
        <v>0</v>
      </c>
      <c r="P41" s="55">
        <v>3.2</v>
      </c>
      <c r="Q41" s="52">
        <f>IF(P41=Uzman_D!$B$30,1,0)</f>
        <v>1</v>
      </c>
      <c r="R41" s="55">
        <v>3.8</v>
      </c>
      <c r="S41" s="52">
        <f>IF(R41=Uzman_D!$B$31,1,0)</f>
        <v>0</v>
      </c>
      <c r="T41" s="55">
        <v>4</v>
      </c>
      <c r="U41" s="52">
        <f>IF(T41=Uzman_D!$B$32,1,0)</f>
        <v>0</v>
      </c>
      <c r="V41" s="55">
        <v>5</v>
      </c>
      <c r="W41" s="52">
        <f>IF(V41=Uzman_D!$B$33,1,0)</f>
        <v>0</v>
      </c>
      <c r="X41" s="53">
        <f t="shared" si="1"/>
        <v>0.2</v>
      </c>
      <c r="Y41" s="49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</row>
    <row r="42" spans="1:41" ht="15" customHeight="1" x14ac:dyDescent="0.45">
      <c r="A42" s="54">
        <v>39</v>
      </c>
      <c r="B42" s="152" t="str">
        <f>Hakemler!B42</f>
        <v>ODACIĞLU TURHAN</v>
      </c>
      <c r="C42" s="153" t="str">
        <f>Hakemler!C42</f>
        <v xml:space="preserve">AYŞEGÜL </v>
      </c>
      <c r="D42" s="55">
        <v>3.4</v>
      </c>
      <c r="E42" s="52">
        <f>IF(D42=Uzman_D!$B$24,1,0)</f>
        <v>0</v>
      </c>
      <c r="F42" s="55">
        <v>4</v>
      </c>
      <c r="G42" s="52">
        <f>IF(F42=Uzman_D!$B$25,1,0)</f>
        <v>0</v>
      </c>
      <c r="H42" s="55">
        <v>5</v>
      </c>
      <c r="I42" s="52">
        <f>IF(H42=Uzman_D!$B$26,1,0)</f>
        <v>1</v>
      </c>
      <c r="J42" s="55">
        <v>4.4000000000000004</v>
      </c>
      <c r="K42" s="52">
        <f>IF(J42=Uzman_D!$B$27,1,0)</f>
        <v>0</v>
      </c>
      <c r="L42" s="55">
        <v>4.2</v>
      </c>
      <c r="M42" s="52">
        <f>IF(L42=Uzman_D!$B$28,1,0)</f>
        <v>1</v>
      </c>
      <c r="N42" s="55">
        <v>4.5999999999999996</v>
      </c>
      <c r="O42" s="52">
        <f>IF(N42=Uzman_D!$B$29,1,0)</f>
        <v>0</v>
      </c>
      <c r="P42" s="55">
        <v>5</v>
      </c>
      <c r="Q42" s="52">
        <f>IF(P42=Uzman_D!$B$30,1,0)</f>
        <v>0</v>
      </c>
      <c r="R42" s="55">
        <v>3.6</v>
      </c>
      <c r="S42" s="52">
        <f>IF(R42=Uzman_D!$B$31,1,0)</f>
        <v>0</v>
      </c>
      <c r="T42" s="55">
        <v>5.8</v>
      </c>
      <c r="U42" s="52">
        <f>IF(T42=Uzman_D!$B$32,1,0)</f>
        <v>0</v>
      </c>
      <c r="V42" s="55">
        <v>5</v>
      </c>
      <c r="W42" s="52">
        <f>IF(V42=Uzman_D!$B$33,1,0)</f>
        <v>0</v>
      </c>
      <c r="X42" s="53">
        <f t="shared" si="1"/>
        <v>0.2</v>
      </c>
      <c r="Y42" s="49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 spans="1:41" ht="15" customHeight="1" x14ac:dyDescent="0.45">
      <c r="A43" s="54">
        <v>40</v>
      </c>
      <c r="B43" s="150" t="str">
        <f>Hakemler!B43</f>
        <v>CANATAN</v>
      </c>
      <c r="C43" s="151" t="str">
        <f>Hakemler!C43</f>
        <v>BÜŞRA</v>
      </c>
      <c r="D43" s="55">
        <v>3.2</v>
      </c>
      <c r="E43" s="52">
        <f>IF(D43=Uzman_D!$B$24,1,0)</f>
        <v>0</v>
      </c>
      <c r="F43" s="55">
        <v>3.6</v>
      </c>
      <c r="G43" s="52">
        <f>IF(F43=Uzman_D!$B$25,1,0)</f>
        <v>0</v>
      </c>
      <c r="H43" s="55">
        <v>3.8</v>
      </c>
      <c r="I43" s="52">
        <f>IF(H43=Uzman_D!$B$26,1,0)</f>
        <v>0</v>
      </c>
      <c r="J43" s="55">
        <v>3.8</v>
      </c>
      <c r="K43" s="52">
        <f>IF(J43=Uzman_D!$B$27,1,0)</f>
        <v>1</v>
      </c>
      <c r="L43" s="55">
        <v>4.8</v>
      </c>
      <c r="M43" s="52">
        <f>IF(L43=Uzman_D!$B$28,1,0)</f>
        <v>0</v>
      </c>
      <c r="N43" s="55">
        <v>4.2</v>
      </c>
      <c r="O43" s="52">
        <f>IF(N43=Uzman_D!$B$29,1,0)</f>
        <v>1</v>
      </c>
      <c r="P43" s="55">
        <v>3.6</v>
      </c>
      <c r="Q43" s="52">
        <f>IF(P43=Uzman_D!$B$30,1,0)</f>
        <v>0</v>
      </c>
      <c r="R43" s="55">
        <v>4.4000000000000004</v>
      </c>
      <c r="S43" s="52">
        <f>IF(R43=Uzman_D!$B$31,1,0)</f>
        <v>1</v>
      </c>
      <c r="T43" s="55">
        <v>4.2</v>
      </c>
      <c r="U43" s="52">
        <f>IF(T43=Uzman_D!$B$32,1,0)</f>
        <v>1</v>
      </c>
      <c r="V43" s="55">
        <v>3.8</v>
      </c>
      <c r="W43" s="52">
        <f>IF(V43=Uzman_D!$B$33,1,0)</f>
        <v>0</v>
      </c>
      <c r="X43" s="53">
        <f t="shared" si="1"/>
        <v>0.4</v>
      </c>
      <c r="Y43" s="49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</row>
    <row r="44" spans="1:41" ht="15" customHeight="1" x14ac:dyDescent="0.45">
      <c r="A44" s="54">
        <v>41</v>
      </c>
      <c r="B44" s="152" t="str">
        <f>Hakemler!B44</f>
        <v>ELİK</v>
      </c>
      <c r="C44" s="153" t="str">
        <f>Hakemler!C44</f>
        <v>MUSTAFA</v>
      </c>
      <c r="D44" s="55">
        <v>2</v>
      </c>
      <c r="E44" s="52">
        <f>IF(D44=Uzman_D!$B$24,1,0)</f>
        <v>0</v>
      </c>
      <c r="F44" s="55">
        <v>2.8</v>
      </c>
      <c r="G44" s="52">
        <f>IF(F44=Uzman_D!$B$25,1,0)</f>
        <v>0</v>
      </c>
      <c r="H44" s="55">
        <v>4.5999999999999996</v>
      </c>
      <c r="I44" s="52">
        <f>IF(H44=Uzman_D!$B$26,1,0)</f>
        <v>0</v>
      </c>
      <c r="J44" s="55">
        <v>5.4</v>
      </c>
      <c r="K44" s="52">
        <f>IF(J44=Uzman_D!$B$27,1,0)</f>
        <v>0</v>
      </c>
      <c r="L44" s="55">
        <v>5.2</v>
      </c>
      <c r="M44" s="52">
        <f>IF(L44=Uzman_D!$B$28,1,0)</f>
        <v>0</v>
      </c>
      <c r="N44" s="55">
        <v>5</v>
      </c>
      <c r="O44" s="52">
        <f>IF(N44=Uzman_D!$B$29,1,0)</f>
        <v>0</v>
      </c>
      <c r="P44" s="55">
        <v>5</v>
      </c>
      <c r="Q44" s="52">
        <f>IF(P44=Uzman_D!$B$30,1,0)</f>
        <v>0</v>
      </c>
      <c r="R44" s="55">
        <v>3.6</v>
      </c>
      <c r="S44" s="52">
        <f>IF(R44=Uzman_D!$B$31,1,0)</f>
        <v>0</v>
      </c>
      <c r="T44" s="55">
        <v>3.6</v>
      </c>
      <c r="U44" s="52">
        <f>IF(T44=Uzman_D!$B$32,1,0)</f>
        <v>0</v>
      </c>
      <c r="V44" s="55">
        <v>5.2</v>
      </c>
      <c r="W44" s="52">
        <f>IF(V44=Uzman_D!$B$33,1,0)</f>
        <v>0</v>
      </c>
      <c r="X44" s="53">
        <f t="shared" si="1"/>
        <v>0</v>
      </c>
      <c r="Y44" s="49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</row>
    <row r="45" spans="1:41" ht="15" customHeight="1" x14ac:dyDescent="0.45">
      <c r="A45" s="54">
        <v>42</v>
      </c>
      <c r="B45" s="150" t="str">
        <f>Hakemler!B45</f>
        <v>BAKAR</v>
      </c>
      <c r="C45" s="151" t="str">
        <f>Hakemler!C45</f>
        <v>İPEK</v>
      </c>
      <c r="D45" s="55">
        <v>3.8</v>
      </c>
      <c r="E45" s="52">
        <f>IF(D45=Uzman_D!$B$24,1,0)</f>
        <v>1</v>
      </c>
      <c r="F45" s="55">
        <v>0</v>
      </c>
      <c r="G45" s="52">
        <f>IF(F45=Uzman_D!$B$25,1,0)</f>
        <v>1</v>
      </c>
      <c r="H45" s="55">
        <v>5</v>
      </c>
      <c r="I45" s="52">
        <f>IF(H45=Uzman_D!$B$26,1,0)</f>
        <v>1</v>
      </c>
      <c r="J45" s="55">
        <v>3.8</v>
      </c>
      <c r="K45" s="52">
        <f>IF(J45=Uzman_D!$B$27,1,0)</f>
        <v>1</v>
      </c>
      <c r="L45" s="55">
        <v>4.8</v>
      </c>
      <c r="M45" s="52">
        <f>IF(L45=Uzman_D!$B$28,1,0)</f>
        <v>0</v>
      </c>
      <c r="N45" s="55">
        <v>4.2</v>
      </c>
      <c r="O45" s="52">
        <f>IF(N45=Uzman_D!$B$29,1,0)</f>
        <v>1</v>
      </c>
      <c r="P45" s="55">
        <v>3.2</v>
      </c>
      <c r="Q45" s="52">
        <f>IF(P45=Uzman_D!$B$30,1,0)</f>
        <v>1</v>
      </c>
      <c r="R45" s="55">
        <v>4.4000000000000004</v>
      </c>
      <c r="S45" s="52">
        <f>IF(R45=Uzman_D!$B$31,1,0)</f>
        <v>1</v>
      </c>
      <c r="T45" s="55">
        <v>4.4000000000000004</v>
      </c>
      <c r="U45" s="52">
        <f>IF(T45=Uzman_D!$B$32,1,0)</f>
        <v>0</v>
      </c>
      <c r="V45" s="55">
        <v>5</v>
      </c>
      <c r="W45" s="52">
        <f>IF(V45=Uzman_D!$B$33,1,0)</f>
        <v>0</v>
      </c>
      <c r="X45" s="53">
        <f t="shared" si="1"/>
        <v>0.7</v>
      </c>
      <c r="Y45" s="49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 spans="1:41" ht="15" customHeight="1" x14ac:dyDescent="0.45">
      <c r="A46" s="54">
        <v>43</v>
      </c>
      <c r="B46" s="152" t="str">
        <f>Hakemler!B46</f>
        <v>UÇAK</v>
      </c>
      <c r="C46" s="153" t="str">
        <f>Hakemler!C46</f>
        <v>ECEM</v>
      </c>
      <c r="D46" s="55">
        <v>2.8</v>
      </c>
      <c r="E46" s="52">
        <f>IF(D46=Uzman_D!$B$24,1,0)</f>
        <v>0</v>
      </c>
      <c r="F46" s="55">
        <v>5.2</v>
      </c>
      <c r="G46" s="52">
        <f>IF(F46=Uzman_D!$B$25,1,0)</f>
        <v>0</v>
      </c>
      <c r="H46" s="55">
        <v>5.2</v>
      </c>
      <c r="I46" s="52">
        <f>IF(H46=Uzman_D!$B$26,1,0)</f>
        <v>0</v>
      </c>
      <c r="J46" s="55">
        <v>4.5999999999999996</v>
      </c>
      <c r="K46" s="52">
        <f>IF(J46=Uzman_D!$B$27,1,0)</f>
        <v>0</v>
      </c>
      <c r="L46" s="55">
        <v>5.4</v>
      </c>
      <c r="M46" s="52">
        <f>IF(L46=Uzman_D!$B$28,1,0)</f>
        <v>0</v>
      </c>
      <c r="N46" s="55">
        <v>5.6</v>
      </c>
      <c r="O46" s="52">
        <f>IF(N46=Uzman_D!$B$29,1,0)</f>
        <v>0</v>
      </c>
      <c r="P46" s="55">
        <v>4.5999999999999996</v>
      </c>
      <c r="Q46" s="52">
        <f>IF(P46=Uzman_D!$B$30,1,0)</f>
        <v>0</v>
      </c>
      <c r="R46" s="55">
        <v>4.5999999999999996</v>
      </c>
      <c r="S46" s="52">
        <f>IF(R46=Uzman_D!$B$31,1,0)</f>
        <v>0</v>
      </c>
      <c r="T46" s="55">
        <v>6</v>
      </c>
      <c r="U46" s="52">
        <f>IF(T46=Uzman_D!$B$32,1,0)</f>
        <v>0</v>
      </c>
      <c r="V46" s="55">
        <v>5.6</v>
      </c>
      <c r="W46" s="52">
        <f>IF(V46=Uzman_D!$B$33,1,0)</f>
        <v>0</v>
      </c>
      <c r="X46" s="53">
        <f t="shared" si="1"/>
        <v>0</v>
      </c>
      <c r="Y46" s="49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</row>
    <row r="47" spans="1:41" ht="15" customHeight="1" x14ac:dyDescent="0.45">
      <c r="A47" s="54">
        <v>44</v>
      </c>
      <c r="B47" s="152" t="str">
        <f>Hakemler!B47</f>
        <v>EFENDİAĞA</v>
      </c>
      <c r="C47" s="153" t="str">
        <f>Hakemler!C47</f>
        <v>EMİNE AYÇA</v>
      </c>
      <c r="D47" s="55">
        <v>1.3</v>
      </c>
      <c r="E47" s="52">
        <f>IF(D47=Uzman_D!$B$24,1,0)</f>
        <v>0</v>
      </c>
      <c r="F47" s="55">
        <v>4.2</v>
      </c>
      <c r="G47" s="52">
        <f>IF(F47=Uzman_D!$B$25,1,0)</f>
        <v>0</v>
      </c>
      <c r="H47" s="55">
        <v>3.3</v>
      </c>
      <c r="I47" s="52">
        <f>IF(H47=Uzman_D!$B$26,1,0)</f>
        <v>0</v>
      </c>
      <c r="J47" s="55">
        <v>2.1</v>
      </c>
      <c r="K47" s="52">
        <f>IF(J47=Uzman_D!$B$27,1,0)</f>
        <v>0</v>
      </c>
      <c r="L47" s="55">
        <v>2.8</v>
      </c>
      <c r="M47" s="52">
        <f>IF(L47=Uzman_D!$B$28,1,0)</f>
        <v>0</v>
      </c>
      <c r="N47" s="55">
        <v>3.7</v>
      </c>
      <c r="O47" s="52">
        <f>IF(N47=Uzman_D!$B$29,1,0)</f>
        <v>0</v>
      </c>
      <c r="P47" s="55">
        <v>3</v>
      </c>
      <c r="Q47" s="52">
        <f>IF(P47=Uzman_D!$B$30,1,0)</f>
        <v>0</v>
      </c>
      <c r="R47" s="55">
        <v>3.3</v>
      </c>
      <c r="S47" s="52">
        <f>IF(R47=Uzman_D!$B$31,1,0)</f>
        <v>0</v>
      </c>
      <c r="T47" s="55">
        <v>4.3</v>
      </c>
      <c r="U47" s="52">
        <f>IF(T47=Uzman_D!$B$32,1,0)</f>
        <v>0</v>
      </c>
      <c r="V47" s="55">
        <v>4.4000000000000004</v>
      </c>
      <c r="W47" s="52">
        <f>IF(V47=Uzman_D!$B$33,1,0)</f>
        <v>0</v>
      </c>
      <c r="X47" s="53">
        <f t="shared" si="1"/>
        <v>0</v>
      </c>
      <c r="Y47" s="49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</row>
    <row r="48" spans="1:41" ht="15" customHeight="1" x14ac:dyDescent="0.45">
      <c r="A48" s="54">
        <v>45</v>
      </c>
      <c r="B48" s="150" t="str">
        <f>Hakemler!B48</f>
        <v>DAL</v>
      </c>
      <c r="C48" s="151" t="str">
        <f>Hakemler!C48</f>
        <v>SİNEM</v>
      </c>
      <c r="D48" s="55">
        <v>4.2</v>
      </c>
      <c r="E48" s="52">
        <f>IF(D48=Uzman_D!$B$24,1,0)</f>
        <v>0</v>
      </c>
      <c r="F48" s="55">
        <v>4.2</v>
      </c>
      <c r="G48" s="52">
        <f>IF(F48=Uzman_D!$B$25,1,0)</f>
        <v>0</v>
      </c>
      <c r="H48" s="55">
        <v>5.4</v>
      </c>
      <c r="I48" s="52">
        <f>IF(H48=Uzman_D!$B$26,1,0)</f>
        <v>0</v>
      </c>
      <c r="J48" s="55">
        <v>4.2</v>
      </c>
      <c r="K48" s="52">
        <f>IF(J48=Uzman_D!$B$27,1,0)</f>
        <v>0</v>
      </c>
      <c r="L48" s="55">
        <v>4.5999999999999996</v>
      </c>
      <c r="M48" s="52">
        <f>IF(L48=Uzman_D!$B$28,1,0)</f>
        <v>0</v>
      </c>
      <c r="N48" s="55">
        <v>3.8</v>
      </c>
      <c r="O48" s="52">
        <f>IF(N48=Uzman_D!$B$29,1,0)</f>
        <v>0</v>
      </c>
      <c r="P48" s="55">
        <v>4</v>
      </c>
      <c r="Q48" s="52">
        <f>IF(P48=Uzman_D!$B$30,1,0)</f>
        <v>0</v>
      </c>
      <c r="R48" s="55">
        <v>5.4</v>
      </c>
      <c r="S48" s="52">
        <f>IF(R48=Uzman_D!$B$31,1,0)</f>
        <v>0</v>
      </c>
      <c r="T48" s="55">
        <v>5.8</v>
      </c>
      <c r="U48" s="52">
        <f>IF(T48=Uzman_D!$B$32,1,0)</f>
        <v>0</v>
      </c>
      <c r="V48" s="55">
        <v>4.4000000000000004</v>
      </c>
      <c r="W48" s="52">
        <f>IF(V48=Uzman_D!$B$33,1,0)</f>
        <v>0</v>
      </c>
      <c r="X48" s="53">
        <f t="shared" si="1"/>
        <v>0</v>
      </c>
      <c r="Y48" s="49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 spans="1:41" ht="15" customHeight="1" x14ac:dyDescent="0.45">
      <c r="A49" s="54">
        <v>46</v>
      </c>
      <c r="B49" s="152" t="str">
        <f>Hakemler!B49</f>
        <v>EDE</v>
      </c>
      <c r="C49" s="153" t="str">
        <f>Hakemler!C49</f>
        <v>İHSAN</v>
      </c>
      <c r="D49" s="55">
        <v>2.5</v>
      </c>
      <c r="E49" s="52">
        <f>IF(D49=Uzman_D!$B$24,1,0)</f>
        <v>0</v>
      </c>
      <c r="F49" s="55">
        <v>4.2</v>
      </c>
      <c r="G49" s="52">
        <f>IF(F49=Uzman_D!$B$25,1,0)</f>
        <v>0</v>
      </c>
      <c r="H49" s="55">
        <v>3.2</v>
      </c>
      <c r="I49" s="52">
        <f>IF(H49=Uzman_D!$B$26,1,0)</f>
        <v>0</v>
      </c>
      <c r="J49" s="55">
        <v>2.5</v>
      </c>
      <c r="K49" s="52">
        <f>IF(J49=Uzman_D!$B$27,1,0)</f>
        <v>0</v>
      </c>
      <c r="L49" s="55">
        <v>3</v>
      </c>
      <c r="M49" s="52">
        <f>IF(L49=Uzman_D!$B$28,1,0)</f>
        <v>0</v>
      </c>
      <c r="N49" s="55">
        <v>4</v>
      </c>
      <c r="O49" s="52">
        <f>IF(N49=Uzman_D!$B$29,1,0)</f>
        <v>0</v>
      </c>
      <c r="P49" s="55">
        <v>2.5</v>
      </c>
      <c r="Q49" s="52">
        <f>IF(P49=Uzman_D!$B$30,1,0)</f>
        <v>0</v>
      </c>
      <c r="R49" s="55">
        <v>4</v>
      </c>
      <c r="S49" s="52">
        <f>IF(R49=Uzman_D!$B$31,1,0)</f>
        <v>0</v>
      </c>
      <c r="T49" s="55">
        <v>3.5</v>
      </c>
      <c r="U49" s="52">
        <f>IF(T49=Uzman_D!$B$32,1,0)</f>
        <v>0</v>
      </c>
      <c r="V49" s="55">
        <v>4</v>
      </c>
      <c r="W49" s="52">
        <f>IF(V49=Uzman_D!$B$33,1,0)</f>
        <v>0</v>
      </c>
      <c r="X49" s="53">
        <f t="shared" si="1"/>
        <v>0</v>
      </c>
      <c r="Y49" s="49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</row>
    <row r="50" spans="1:41" ht="15" customHeight="1" x14ac:dyDescent="0.45">
      <c r="A50" s="54">
        <v>47</v>
      </c>
      <c r="B50" s="137">
        <f>Hakemler!B50</f>
        <v>0</v>
      </c>
      <c r="C50" s="138">
        <f>Hakemler!C50</f>
        <v>0</v>
      </c>
      <c r="D50" s="55"/>
      <c r="E50" s="52">
        <f>IF(D50=Uzman_D!$B$24,1,0)</f>
        <v>0</v>
      </c>
      <c r="F50" s="55"/>
      <c r="G50" s="52">
        <f>IF(F50=Uzman_D!$B$25,1,0)</f>
        <v>1</v>
      </c>
      <c r="H50" s="55"/>
      <c r="I50" s="52">
        <f>IF(H50=Uzman_D!$B$26,1,0)</f>
        <v>0</v>
      </c>
      <c r="J50" s="55"/>
      <c r="K50" s="52">
        <f>IF(J50=Uzman_D!$B$27,1,0)</f>
        <v>0</v>
      </c>
      <c r="L50" s="55"/>
      <c r="M50" s="52">
        <f>IF(L50=Uzman_D!$B$28,1,0)</f>
        <v>0</v>
      </c>
      <c r="N50" s="55"/>
      <c r="O50" s="52">
        <f>IF(N50=Uzman_D!$B$29,1,0)</f>
        <v>0</v>
      </c>
      <c r="P50" s="55"/>
      <c r="Q50" s="52">
        <f>IF(P50=Uzman_D!$B$30,1,0)</f>
        <v>0</v>
      </c>
      <c r="R50" s="55"/>
      <c r="S50" s="52">
        <f>IF(R50=Uzman_D!$B$31,1,0)</f>
        <v>0</v>
      </c>
      <c r="T50" s="55"/>
      <c r="U50" s="52">
        <f>IF(T50=Uzman_D!$B$32,1,0)</f>
        <v>0</v>
      </c>
      <c r="V50" s="55"/>
      <c r="W50" s="52">
        <f>IF(V50=Uzman_D!$B$33,1,0)</f>
        <v>0</v>
      </c>
      <c r="X50" s="53">
        <f t="shared" si="1"/>
        <v>0.1</v>
      </c>
      <c r="Y50" s="49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</row>
    <row r="51" spans="1:41" ht="15" customHeight="1" x14ac:dyDescent="0.45">
      <c r="A51" s="54">
        <v>48</v>
      </c>
      <c r="B51" s="139">
        <f>Hakemler!B51</f>
        <v>0</v>
      </c>
      <c r="C51" s="140">
        <f>Hakemler!C51</f>
        <v>0</v>
      </c>
      <c r="D51" s="55"/>
      <c r="E51" s="52">
        <f>IF(D51=Uzman_D!$B$24,1,0)</f>
        <v>0</v>
      </c>
      <c r="F51" s="55"/>
      <c r="G51" s="52">
        <f>IF(F51=Uzman_D!$B$25,1,0)</f>
        <v>1</v>
      </c>
      <c r="H51" s="55"/>
      <c r="I51" s="52">
        <f>IF(H51=Uzman_D!$B$26,1,0)</f>
        <v>0</v>
      </c>
      <c r="J51" s="55"/>
      <c r="K51" s="52">
        <f>IF(J51=Uzman_D!$B$27,1,0)</f>
        <v>0</v>
      </c>
      <c r="L51" s="55"/>
      <c r="M51" s="52">
        <f>IF(L51=Uzman_D!$B$28,1,0)</f>
        <v>0</v>
      </c>
      <c r="N51" s="55"/>
      <c r="O51" s="52">
        <f>IF(N51=Uzman_D!$B$29,1,0)</f>
        <v>0</v>
      </c>
      <c r="P51" s="55"/>
      <c r="Q51" s="52">
        <f>IF(P51=Uzman_D!$B$30,1,0)</f>
        <v>0</v>
      </c>
      <c r="R51" s="55"/>
      <c r="S51" s="52">
        <f>IF(R51=Uzman_D!$B$31,1,0)</f>
        <v>0</v>
      </c>
      <c r="T51" s="55"/>
      <c r="U51" s="52">
        <f>IF(T51=Uzman_D!$B$32,1,0)</f>
        <v>0</v>
      </c>
      <c r="V51" s="55"/>
      <c r="W51" s="52">
        <f>IF(V51=Uzman_D!$B$33,1,0)</f>
        <v>0</v>
      </c>
      <c r="X51" s="53">
        <f t="shared" si="1"/>
        <v>0.1</v>
      </c>
      <c r="Y51" s="49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</row>
    <row r="52" spans="1:41" ht="15" customHeight="1" x14ac:dyDescent="0.45">
      <c r="A52" s="54">
        <v>49</v>
      </c>
      <c r="B52" s="137">
        <f>Hakemler!B52</f>
        <v>0</v>
      </c>
      <c r="C52" s="138">
        <f>Hakemler!C52</f>
        <v>0</v>
      </c>
      <c r="D52" s="55"/>
      <c r="E52" s="52">
        <f>IF(D52=Uzman_D!$B$24,1,0)</f>
        <v>0</v>
      </c>
      <c r="F52" s="55"/>
      <c r="G52" s="52">
        <f>IF(F52=Uzman_D!$B$25,1,0)</f>
        <v>1</v>
      </c>
      <c r="H52" s="55"/>
      <c r="I52" s="52">
        <f>IF(H52=Uzman_D!$B$26,1,0)</f>
        <v>0</v>
      </c>
      <c r="J52" s="55"/>
      <c r="K52" s="52">
        <f>IF(J52=Uzman_D!$B$27,1,0)</f>
        <v>0</v>
      </c>
      <c r="L52" s="55"/>
      <c r="M52" s="52">
        <f>IF(L52=Uzman_D!$B$28,1,0)</f>
        <v>0</v>
      </c>
      <c r="N52" s="55"/>
      <c r="O52" s="52">
        <f>IF(N52=Uzman_D!$B$29,1,0)</f>
        <v>0</v>
      </c>
      <c r="P52" s="55"/>
      <c r="Q52" s="52">
        <f>IF(P52=Uzman_D!$B$30,1,0)</f>
        <v>0</v>
      </c>
      <c r="R52" s="55"/>
      <c r="S52" s="52">
        <f>IF(R52=Uzman_D!$B$31,1,0)</f>
        <v>0</v>
      </c>
      <c r="T52" s="55"/>
      <c r="U52" s="52">
        <f>IF(T52=Uzman_D!$B$32,1,0)</f>
        <v>0</v>
      </c>
      <c r="V52" s="55"/>
      <c r="W52" s="52">
        <f>IF(V52=Uzman_D!$B$33,1,0)</f>
        <v>0</v>
      </c>
      <c r="X52" s="53">
        <f t="shared" si="1"/>
        <v>0.1</v>
      </c>
      <c r="Y52" s="49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</row>
    <row r="53" spans="1:41" ht="15" customHeight="1" x14ac:dyDescent="0.45">
      <c r="A53" s="54">
        <v>50</v>
      </c>
      <c r="B53" s="137">
        <f>Hakemler!B53</f>
        <v>0</v>
      </c>
      <c r="C53" s="138">
        <f>Hakemler!C53</f>
        <v>0</v>
      </c>
      <c r="D53" s="55"/>
      <c r="E53" s="52">
        <f>IF(D53=Uzman_D!$B$24,1,0)</f>
        <v>0</v>
      </c>
      <c r="F53" s="55"/>
      <c r="G53" s="52">
        <f>IF(F53=Uzman_D!$B$25,1,0)</f>
        <v>1</v>
      </c>
      <c r="H53" s="55"/>
      <c r="I53" s="52">
        <f>IF(H53=Uzman_D!$B$26,1,0)</f>
        <v>0</v>
      </c>
      <c r="J53" s="55"/>
      <c r="K53" s="52">
        <f>IF(J53=Uzman_D!$B$27,1,0)</f>
        <v>0</v>
      </c>
      <c r="L53" s="55"/>
      <c r="M53" s="52">
        <f>IF(L53=Uzman_D!$B$28,1,0)</f>
        <v>0</v>
      </c>
      <c r="N53" s="55"/>
      <c r="O53" s="52">
        <f>IF(N53=Uzman_D!$B$29,1,0)</f>
        <v>0</v>
      </c>
      <c r="P53" s="55"/>
      <c r="Q53" s="52">
        <f>IF(P53=Uzman_D!$B$30,1,0)</f>
        <v>0</v>
      </c>
      <c r="R53" s="55"/>
      <c r="S53" s="52">
        <f>IF(R53=Uzman_D!$B$31,1,0)</f>
        <v>0</v>
      </c>
      <c r="T53" s="55"/>
      <c r="U53" s="52">
        <f>IF(T53=Uzman_D!$B$32,1,0)</f>
        <v>0</v>
      </c>
      <c r="V53" s="55"/>
      <c r="W53" s="52">
        <f>IF(V53=Uzman_D!$B$33,1,0)</f>
        <v>0</v>
      </c>
      <c r="X53" s="53">
        <f t="shared" si="1"/>
        <v>0.1</v>
      </c>
      <c r="Y53" s="49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</row>
    <row r="54" spans="1:41" ht="15" customHeight="1" x14ac:dyDescent="0.45">
      <c r="A54" s="54">
        <v>51</v>
      </c>
      <c r="B54" s="139">
        <f>Hakemler!B54</f>
        <v>0</v>
      </c>
      <c r="C54" s="140">
        <f>Hakemler!C54</f>
        <v>0</v>
      </c>
      <c r="D54" s="55"/>
      <c r="E54" s="52">
        <f>IF(D54=Uzman_D!$B$24,1,0)</f>
        <v>0</v>
      </c>
      <c r="F54" s="55"/>
      <c r="G54" s="52">
        <f>IF(F54=Uzman_D!$B$25,1,0)</f>
        <v>1</v>
      </c>
      <c r="H54" s="55"/>
      <c r="I54" s="52">
        <f>IF(H54=Uzman_D!$B$26,1,0)</f>
        <v>0</v>
      </c>
      <c r="J54" s="55"/>
      <c r="K54" s="52">
        <f>IF(J54=Uzman_D!$B$27,1,0)</f>
        <v>0</v>
      </c>
      <c r="L54" s="55"/>
      <c r="M54" s="52">
        <f>IF(L54=Uzman_D!$B$28,1,0)</f>
        <v>0</v>
      </c>
      <c r="N54" s="55"/>
      <c r="O54" s="52">
        <f>IF(N54=Uzman_D!$B$29,1,0)</f>
        <v>0</v>
      </c>
      <c r="P54" s="55"/>
      <c r="Q54" s="52">
        <f>IF(P54=Uzman_D!$B$30,1,0)</f>
        <v>0</v>
      </c>
      <c r="R54" s="55"/>
      <c r="S54" s="52">
        <f>IF(R54=Uzman_D!$B$31,1,0)</f>
        <v>0</v>
      </c>
      <c r="T54" s="55"/>
      <c r="U54" s="52">
        <f>IF(T54=Uzman_D!$B$32,1,0)</f>
        <v>0</v>
      </c>
      <c r="V54" s="55"/>
      <c r="W54" s="52">
        <f>IF(V54=Uzman_D!$B$33,1,0)</f>
        <v>0</v>
      </c>
      <c r="X54" s="53">
        <f t="shared" si="1"/>
        <v>0.1</v>
      </c>
      <c r="Y54" s="49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</row>
    <row r="55" spans="1:41" ht="15" customHeight="1" x14ac:dyDescent="0.45">
      <c r="A55" s="54">
        <v>52</v>
      </c>
      <c r="B55" s="139">
        <f>Hakemler!B55</f>
        <v>0</v>
      </c>
      <c r="C55" s="140">
        <f>Hakemler!C55</f>
        <v>0</v>
      </c>
      <c r="D55" s="55"/>
      <c r="E55" s="52">
        <f>IF(D55=Uzman_D!$B$24,1,0)</f>
        <v>0</v>
      </c>
      <c r="F55" s="55"/>
      <c r="G55" s="52">
        <f>IF(F55=Uzman_D!$B$25,1,0)</f>
        <v>1</v>
      </c>
      <c r="H55" s="55"/>
      <c r="I55" s="52">
        <f>IF(H55=Uzman_D!$B$26,1,0)</f>
        <v>0</v>
      </c>
      <c r="J55" s="55"/>
      <c r="K55" s="52">
        <f>IF(J55=Uzman_D!$B$27,1,0)</f>
        <v>0</v>
      </c>
      <c r="L55" s="55"/>
      <c r="M55" s="52">
        <f>IF(L55=Uzman_D!$B$28,1,0)</f>
        <v>0</v>
      </c>
      <c r="N55" s="55"/>
      <c r="O55" s="52">
        <f>IF(N55=Uzman_D!$B$29,1,0)</f>
        <v>0</v>
      </c>
      <c r="P55" s="55"/>
      <c r="Q55" s="52">
        <f>IF(P55=Uzman_D!$B$30,1,0)</f>
        <v>0</v>
      </c>
      <c r="R55" s="55"/>
      <c r="S55" s="52">
        <f>IF(R55=Uzman_D!$B$31,1,0)</f>
        <v>0</v>
      </c>
      <c r="T55" s="55"/>
      <c r="U55" s="52">
        <f>IF(T55=Uzman_D!$B$32,1,0)</f>
        <v>0</v>
      </c>
      <c r="V55" s="55"/>
      <c r="W55" s="52">
        <f>IF(V55=Uzman_D!$B$33,1,0)</f>
        <v>0</v>
      </c>
      <c r="X55" s="53">
        <f t="shared" si="1"/>
        <v>0.1</v>
      </c>
      <c r="Y55" s="49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</row>
    <row r="56" spans="1:41" ht="15" customHeight="1" x14ac:dyDescent="0.45">
      <c r="A56" s="54">
        <v>53</v>
      </c>
      <c r="B56" s="139">
        <f>Hakemler!B56</f>
        <v>0</v>
      </c>
      <c r="C56" s="138">
        <f>Hakemler!C56</f>
        <v>0</v>
      </c>
      <c r="D56" s="55"/>
      <c r="E56" s="52">
        <f>IF(D56=Uzman_D!$B$24,1,0)</f>
        <v>0</v>
      </c>
      <c r="F56" s="55"/>
      <c r="G56" s="52">
        <f>IF(F56=Uzman_D!$B$25,1,0)</f>
        <v>1</v>
      </c>
      <c r="H56" s="55"/>
      <c r="I56" s="52">
        <f>IF(H56=Uzman_D!$B$26,1,0)</f>
        <v>0</v>
      </c>
      <c r="J56" s="55"/>
      <c r="K56" s="52">
        <f>IF(J56=Uzman_D!$B$27,1,0)</f>
        <v>0</v>
      </c>
      <c r="L56" s="55"/>
      <c r="M56" s="52">
        <f>IF(L56=Uzman_D!$B$28,1,0)</f>
        <v>0</v>
      </c>
      <c r="N56" s="55"/>
      <c r="O56" s="52">
        <f>IF(N56=Uzman_D!$B$29,1,0)</f>
        <v>0</v>
      </c>
      <c r="P56" s="55"/>
      <c r="Q56" s="52">
        <f>IF(P56=Uzman_D!$B$30,1,0)</f>
        <v>0</v>
      </c>
      <c r="R56" s="55"/>
      <c r="S56" s="52">
        <f>IF(R56=Uzman_D!$B$31,1,0)</f>
        <v>0</v>
      </c>
      <c r="T56" s="55"/>
      <c r="U56" s="52">
        <f>IF(T56=Uzman_D!$B$32,1,0)</f>
        <v>0</v>
      </c>
      <c r="V56" s="55"/>
      <c r="W56" s="52">
        <f>IF(V56=Uzman_D!$B$33,1,0)</f>
        <v>0</v>
      </c>
      <c r="X56" s="53">
        <f t="shared" si="1"/>
        <v>0.1</v>
      </c>
      <c r="Y56" s="49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</row>
    <row r="57" spans="1:41" ht="15" customHeight="1" x14ac:dyDescent="0.45">
      <c r="A57" s="54">
        <v>54</v>
      </c>
      <c r="B57" s="137">
        <f>Hakemler!B57</f>
        <v>0</v>
      </c>
      <c r="C57" s="138">
        <f>Hakemler!C57</f>
        <v>0</v>
      </c>
      <c r="D57" s="55"/>
      <c r="E57" s="52">
        <f>IF(D57=Uzman_D!$B$24,1,0)</f>
        <v>0</v>
      </c>
      <c r="F57" s="55"/>
      <c r="G57" s="52">
        <f>IF(F57=Uzman_D!$B$25,1,0)</f>
        <v>1</v>
      </c>
      <c r="H57" s="55"/>
      <c r="I57" s="52">
        <f>IF(H57=Uzman_D!$B$26,1,0)</f>
        <v>0</v>
      </c>
      <c r="J57" s="55"/>
      <c r="K57" s="52">
        <f>IF(J57=Uzman_D!$B$27,1,0)</f>
        <v>0</v>
      </c>
      <c r="L57" s="55"/>
      <c r="M57" s="52">
        <f>IF(L57=Uzman_D!$B$28,1,0)</f>
        <v>0</v>
      </c>
      <c r="N57" s="55"/>
      <c r="O57" s="52">
        <f>IF(N57=Uzman_D!$B$29,1,0)</f>
        <v>0</v>
      </c>
      <c r="P57" s="55"/>
      <c r="Q57" s="52">
        <f>IF(P57=Uzman_D!$B$30,1,0)</f>
        <v>0</v>
      </c>
      <c r="R57" s="55"/>
      <c r="S57" s="52">
        <f>IF(R57=Uzman_D!$B$31,1,0)</f>
        <v>0</v>
      </c>
      <c r="T57" s="55"/>
      <c r="U57" s="52">
        <f>IF(T57=Uzman_D!$B$32,1,0)</f>
        <v>0</v>
      </c>
      <c r="V57" s="55"/>
      <c r="W57" s="52">
        <f>IF(V57=Uzman_D!$B$33,1,0)</f>
        <v>0</v>
      </c>
      <c r="X57" s="53">
        <f t="shared" si="1"/>
        <v>0.1</v>
      </c>
      <c r="Y57" s="49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</row>
    <row r="58" spans="1:41" ht="15" customHeight="1" x14ac:dyDescent="0.45">
      <c r="A58" s="54">
        <v>55</v>
      </c>
      <c r="B58" s="139">
        <f>Hakemler!B58</f>
        <v>0</v>
      </c>
      <c r="C58" s="140">
        <f>Hakemler!C58</f>
        <v>0</v>
      </c>
      <c r="D58" s="55"/>
      <c r="E58" s="52">
        <f>IF(D58=Uzman_D!$B$24,1,0)</f>
        <v>0</v>
      </c>
      <c r="F58" s="55"/>
      <c r="G58" s="52">
        <f>IF(F58=Uzman_D!$B$25,1,0)</f>
        <v>1</v>
      </c>
      <c r="H58" s="55"/>
      <c r="I58" s="52">
        <f>IF(H58=Uzman_D!$B$26,1,0)</f>
        <v>0</v>
      </c>
      <c r="J58" s="55"/>
      <c r="K58" s="52">
        <f>IF(J58=Uzman_D!$B$27,1,0)</f>
        <v>0</v>
      </c>
      <c r="L58" s="55"/>
      <c r="M58" s="52">
        <f>IF(L58=Uzman_D!$B$28,1,0)</f>
        <v>0</v>
      </c>
      <c r="N58" s="55"/>
      <c r="O58" s="52">
        <f>IF(N58=Uzman_D!$B$29,1,0)</f>
        <v>0</v>
      </c>
      <c r="P58" s="55"/>
      <c r="Q58" s="52">
        <f>IF(P58=Uzman_D!$B$30,1,0)</f>
        <v>0</v>
      </c>
      <c r="R58" s="55"/>
      <c r="S58" s="52">
        <f>IF(R58=Uzman_D!$B$31,1,0)</f>
        <v>0</v>
      </c>
      <c r="T58" s="55"/>
      <c r="U58" s="52">
        <f>IF(T58=Uzman_D!$B$32,1,0)</f>
        <v>0</v>
      </c>
      <c r="V58" s="55"/>
      <c r="W58" s="52">
        <f>IF(V58=Uzman_D!$B$33,1,0)</f>
        <v>0</v>
      </c>
      <c r="X58" s="53">
        <f t="shared" si="1"/>
        <v>0.1</v>
      </c>
      <c r="Y58" s="49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</row>
    <row r="59" spans="1:41" ht="15" customHeight="1" x14ac:dyDescent="0.45">
      <c r="A59" s="54">
        <v>56</v>
      </c>
      <c r="B59" s="137">
        <f>Hakemler!B59</f>
        <v>0</v>
      </c>
      <c r="C59" s="138">
        <f>Hakemler!C59</f>
        <v>0</v>
      </c>
      <c r="D59" s="55"/>
      <c r="E59" s="52">
        <f>IF(D59=Uzman_D!$B$24,1,0)</f>
        <v>0</v>
      </c>
      <c r="F59" s="55"/>
      <c r="G59" s="52">
        <f>IF(F59=Uzman_D!$B$25,1,0)</f>
        <v>1</v>
      </c>
      <c r="H59" s="55"/>
      <c r="I59" s="52">
        <f>IF(H59=Uzman_D!$B$26,1,0)</f>
        <v>0</v>
      </c>
      <c r="J59" s="55"/>
      <c r="K59" s="52">
        <f>IF(J59=Uzman_D!$B$27,1,0)</f>
        <v>0</v>
      </c>
      <c r="L59" s="55"/>
      <c r="M59" s="52">
        <f>IF(L59=Uzman_D!$B$28,1,0)</f>
        <v>0</v>
      </c>
      <c r="N59" s="55"/>
      <c r="O59" s="52">
        <f>IF(N59=Uzman_D!$B$29,1,0)</f>
        <v>0</v>
      </c>
      <c r="P59" s="55"/>
      <c r="Q59" s="52">
        <f>IF(P59=Uzman_D!$B$30,1,0)</f>
        <v>0</v>
      </c>
      <c r="R59" s="55"/>
      <c r="S59" s="52">
        <f>IF(R59=Uzman_D!$B$31,1,0)</f>
        <v>0</v>
      </c>
      <c r="T59" s="55"/>
      <c r="U59" s="52">
        <f>IF(T59=Uzman_D!$B$32,1,0)</f>
        <v>0</v>
      </c>
      <c r="V59" s="55"/>
      <c r="W59" s="52">
        <f>IF(V59=Uzman_D!$B$33,1,0)</f>
        <v>0</v>
      </c>
      <c r="X59" s="53">
        <f t="shared" si="1"/>
        <v>0.1</v>
      </c>
      <c r="Y59" s="49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</row>
    <row r="60" spans="1:41" ht="15" customHeight="1" x14ac:dyDescent="0.45">
      <c r="A60" s="54">
        <v>57</v>
      </c>
      <c r="B60" s="139">
        <f>Hakemler!B60</f>
        <v>0</v>
      </c>
      <c r="C60" s="140">
        <f>Hakemler!C60</f>
        <v>0</v>
      </c>
      <c r="D60" s="55"/>
      <c r="E60" s="52">
        <f>IF(D60=Uzman_D!$B$24,1,0)</f>
        <v>0</v>
      </c>
      <c r="F60" s="55"/>
      <c r="G60" s="52">
        <f>IF(F60=Uzman_D!$B$25,1,0)</f>
        <v>1</v>
      </c>
      <c r="H60" s="55"/>
      <c r="I60" s="52">
        <f>IF(H60=Uzman_D!$B$26,1,0)</f>
        <v>0</v>
      </c>
      <c r="J60" s="55"/>
      <c r="K60" s="52">
        <f>IF(J60=Uzman_D!$B$27,1,0)</f>
        <v>0</v>
      </c>
      <c r="L60" s="55"/>
      <c r="M60" s="52">
        <f>IF(L60=Uzman_D!$B$28,1,0)</f>
        <v>0</v>
      </c>
      <c r="N60" s="55"/>
      <c r="O60" s="52">
        <f>IF(N60=Uzman_D!$B$29,1,0)</f>
        <v>0</v>
      </c>
      <c r="P60" s="55"/>
      <c r="Q60" s="52">
        <f>IF(P60=Uzman_D!$B$30,1,0)</f>
        <v>0</v>
      </c>
      <c r="R60" s="55"/>
      <c r="S60" s="52">
        <f>IF(R60=Uzman_D!$B$31,1,0)</f>
        <v>0</v>
      </c>
      <c r="T60" s="55"/>
      <c r="U60" s="52">
        <f>IF(T60=Uzman_D!$B$32,1,0)</f>
        <v>0</v>
      </c>
      <c r="V60" s="55"/>
      <c r="W60" s="52">
        <f>IF(V60=Uzman_D!$B$33,1,0)</f>
        <v>0</v>
      </c>
      <c r="X60" s="53">
        <f t="shared" si="1"/>
        <v>0.1</v>
      </c>
      <c r="Y60" s="49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</row>
    <row r="61" spans="1:41" ht="15" customHeight="1" x14ac:dyDescent="0.45">
      <c r="A61" s="54">
        <v>58</v>
      </c>
      <c r="B61" s="137">
        <f>Hakemler!B61</f>
        <v>0</v>
      </c>
      <c r="C61" s="138">
        <f>Hakemler!C61</f>
        <v>0</v>
      </c>
      <c r="D61" s="55"/>
      <c r="E61" s="52">
        <f>IF(D61=Uzman_D!$B$24,1,0)</f>
        <v>0</v>
      </c>
      <c r="F61" s="55"/>
      <c r="G61" s="52">
        <f>IF(F61=Uzman_D!$B$25,1,0)</f>
        <v>1</v>
      </c>
      <c r="H61" s="55"/>
      <c r="I61" s="52">
        <f>IF(H61=Uzman_D!$B$26,1,0)</f>
        <v>0</v>
      </c>
      <c r="J61" s="55"/>
      <c r="K61" s="52">
        <f>IF(J61=Uzman_D!$B$27,1,0)</f>
        <v>0</v>
      </c>
      <c r="L61" s="55"/>
      <c r="M61" s="52">
        <f>IF(L61=Uzman_D!$B$28,1,0)</f>
        <v>0</v>
      </c>
      <c r="N61" s="55"/>
      <c r="O61" s="52">
        <f>IF(N61=Uzman_D!$B$29,1,0)</f>
        <v>0</v>
      </c>
      <c r="P61" s="55"/>
      <c r="Q61" s="52">
        <f>IF(P61=Uzman_D!$B$30,1,0)</f>
        <v>0</v>
      </c>
      <c r="R61" s="55"/>
      <c r="S61" s="52">
        <f>IF(R61=Uzman_D!$B$31,1,0)</f>
        <v>0</v>
      </c>
      <c r="T61" s="55"/>
      <c r="U61" s="52">
        <f>IF(T61=Uzman_D!$B$32,1,0)</f>
        <v>0</v>
      </c>
      <c r="V61" s="55"/>
      <c r="W61" s="52">
        <f>IF(V61=Uzman_D!$B$33,1,0)</f>
        <v>0</v>
      </c>
      <c r="X61" s="53">
        <f t="shared" si="1"/>
        <v>0.1</v>
      </c>
      <c r="Y61" s="49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</row>
    <row r="62" spans="1:41" ht="15" customHeight="1" x14ac:dyDescent="0.45">
      <c r="A62" s="54">
        <v>59</v>
      </c>
      <c r="B62" s="137">
        <f>Hakemler!B62</f>
        <v>0</v>
      </c>
      <c r="C62" s="138">
        <f>Hakemler!C62</f>
        <v>0</v>
      </c>
      <c r="D62" s="55"/>
      <c r="E62" s="52">
        <f>IF(D62=Uzman_D!$B$24,1,0)</f>
        <v>0</v>
      </c>
      <c r="F62" s="55"/>
      <c r="G62" s="52">
        <f>IF(F62=Uzman_D!$B$25,1,0)</f>
        <v>1</v>
      </c>
      <c r="H62" s="55"/>
      <c r="I62" s="52">
        <f>IF(H62=Uzman_D!$B$26,1,0)</f>
        <v>0</v>
      </c>
      <c r="J62" s="55"/>
      <c r="K62" s="52">
        <f>IF(J62=Uzman_D!$B$27,1,0)</f>
        <v>0</v>
      </c>
      <c r="L62" s="55"/>
      <c r="M62" s="52">
        <f>IF(L62=Uzman_D!$B$28,1,0)</f>
        <v>0</v>
      </c>
      <c r="N62" s="55"/>
      <c r="O62" s="52">
        <f>IF(N62=Uzman_D!$B$29,1,0)</f>
        <v>0</v>
      </c>
      <c r="P62" s="55"/>
      <c r="Q62" s="52">
        <f>IF(P62=Uzman_D!$B$30,1,0)</f>
        <v>0</v>
      </c>
      <c r="R62" s="55"/>
      <c r="S62" s="52">
        <f>IF(R62=Uzman_D!$B$31,1,0)</f>
        <v>0</v>
      </c>
      <c r="T62" s="55"/>
      <c r="U62" s="52">
        <f>IF(T62=Uzman_D!$B$32,1,0)</f>
        <v>0</v>
      </c>
      <c r="V62" s="55"/>
      <c r="W62" s="52">
        <f>IF(V62=Uzman_D!$B$33,1,0)</f>
        <v>0</v>
      </c>
      <c r="X62" s="53">
        <f t="shared" si="1"/>
        <v>0.1</v>
      </c>
      <c r="Y62" s="49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</row>
    <row r="63" spans="1:41" ht="15" customHeight="1" x14ac:dyDescent="0.45">
      <c r="A63" s="54">
        <v>60</v>
      </c>
      <c r="B63" s="137">
        <f>Hakemler!B63</f>
        <v>0</v>
      </c>
      <c r="C63" s="138">
        <f>Hakemler!C63</f>
        <v>0</v>
      </c>
      <c r="D63" s="55"/>
      <c r="E63" s="52">
        <f>IF(D63=Uzman_D!$B$24,1,0)</f>
        <v>0</v>
      </c>
      <c r="F63" s="55"/>
      <c r="G63" s="52">
        <f>IF(F63=Uzman_D!$B$25,1,0)</f>
        <v>1</v>
      </c>
      <c r="H63" s="55"/>
      <c r="I63" s="52">
        <f>IF(H63=Uzman_D!$B$26,1,0)</f>
        <v>0</v>
      </c>
      <c r="J63" s="55"/>
      <c r="K63" s="52">
        <f>IF(J63=Uzman_D!$B$27,1,0)</f>
        <v>0</v>
      </c>
      <c r="L63" s="55"/>
      <c r="M63" s="52">
        <f>IF(L63=Uzman_D!$B$28,1,0)</f>
        <v>0</v>
      </c>
      <c r="N63" s="55"/>
      <c r="O63" s="52">
        <f>IF(N63=Uzman_D!$B$29,1,0)</f>
        <v>0</v>
      </c>
      <c r="P63" s="55"/>
      <c r="Q63" s="52">
        <f>IF(P63=Uzman_D!$B$30,1,0)</f>
        <v>0</v>
      </c>
      <c r="R63" s="55"/>
      <c r="S63" s="52">
        <f>IF(R63=Uzman_D!$B$31,1,0)</f>
        <v>0</v>
      </c>
      <c r="T63" s="55"/>
      <c r="U63" s="52">
        <f>IF(T63=Uzman_D!$B$32,1,0)</f>
        <v>0</v>
      </c>
      <c r="V63" s="55"/>
      <c r="W63" s="52">
        <f>IF(V63=Uzman_D!$B$33,1,0)</f>
        <v>0</v>
      </c>
      <c r="X63" s="53">
        <f t="shared" si="1"/>
        <v>0.1</v>
      </c>
      <c r="Y63" s="49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spans="1:41" ht="15" customHeight="1" x14ac:dyDescent="0.45">
      <c r="A64" s="54">
        <v>61</v>
      </c>
      <c r="B64" s="137">
        <f>Hakemler!B64</f>
        <v>0</v>
      </c>
      <c r="C64" s="138">
        <f>Hakemler!C64</f>
        <v>0</v>
      </c>
      <c r="D64" s="55"/>
      <c r="E64" s="52">
        <f>IF(D64=Uzman_D!$B$24,1,0)</f>
        <v>0</v>
      </c>
      <c r="F64" s="55"/>
      <c r="G64" s="52">
        <f>IF(F64=Uzman_D!$B$25,1,0)</f>
        <v>1</v>
      </c>
      <c r="H64" s="55"/>
      <c r="I64" s="52">
        <f>IF(H64=Uzman_D!$B$26,1,0)</f>
        <v>0</v>
      </c>
      <c r="J64" s="55"/>
      <c r="K64" s="52">
        <f>IF(J64=Uzman_D!$B$27,1,0)</f>
        <v>0</v>
      </c>
      <c r="L64" s="55"/>
      <c r="M64" s="52">
        <f>IF(L64=Uzman_D!$B$28,1,0)</f>
        <v>0</v>
      </c>
      <c r="N64" s="55"/>
      <c r="O64" s="52">
        <f>IF(N64=Uzman_D!$B$29,1,0)</f>
        <v>0</v>
      </c>
      <c r="P64" s="55"/>
      <c r="Q64" s="52">
        <f>IF(P64=Uzman_D!$B$30,1,0)</f>
        <v>0</v>
      </c>
      <c r="R64" s="55"/>
      <c r="S64" s="52">
        <f>IF(R64=Uzman_D!$B$31,1,0)</f>
        <v>0</v>
      </c>
      <c r="T64" s="55"/>
      <c r="U64" s="52">
        <f>IF(T64=Uzman_D!$B$32,1,0)</f>
        <v>0</v>
      </c>
      <c r="V64" s="55"/>
      <c r="W64" s="52">
        <f>IF(V64=Uzman_D!$B$33,1,0)</f>
        <v>0</v>
      </c>
      <c r="X64" s="53">
        <f t="shared" si="1"/>
        <v>0.1</v>
      </c>
      <c r="Y64" s="49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</row>
    <row r="65" spans="1:41" ht="15" customHeight="1" x14ac:dyDescent="0.45">
      <c r="A65" s="54">
        <v>62</v>
      </c>
      <c r="B65" s="137">
        <f>Hakemler!B65</f>
        <v>0</v>
      </c>
      <c r="C65" s="138">
        <f>Hakemler!C65</f>
        <v>0</v>
      </c>
      <c r="D65" s="55"/>
      <c r="E65" s="52">
        <f>IF(D65=Uzman_D!$B$24,1,0)</f>
        <v>0</v>
      </c>
      <c r="F65" s="55"/>
      <c r="G65" s="52">
        <f>IF(F65=Uzman_D!$B$25,1,0)</f>
        <v>1</v>
      </c>
      <c r="H65" s="55"/>
      <c r="I65" s="52">
        <f>IF(H65=Uzman_D!$B$26,1,0)</f>
        <v>0</v>
      </c>
      <c r="J65" s="55"/>
      <c r="K65" s="52">
        <f>IF(J65=Uzman_D!$B$27,1,0)</f>
        <v>0</v>
      </c>
      <c r="L65" s="55"/>
      <c r="M65" s="52">
        <f>IF(L65=Uzman_D!$B$28,1,0)</f>
        <v>0</v>
      </c>
      <c r="N65" s="55"/>
      <c r="O65" s="52">
        <f>IF(N65=Uzman_D!$B$29,1,0)</f>
        <v>0</v>
      </c>
      <c r="P65" s="55"/>
      <c r="Q65" s="52">
        <f>IF(P65=Uzman_D!$B$30,1,0)</f>
        <v>0</v>
      </c>
      <c r="R65" s="55"/>
      <c r="S65" s="52">
        <f>IF(R65=Uzman_D!$B$31,1,0)</f>
        <v>0</v>
      </c>
      <c r="T65" s="55"/>
      <c r="U65" s="52">
        <f>IF(T65=Uzman_D!$B$32,1,0)</f>
        <v>0</v>
      </c>
      <c r="V65" s="55"/>
      <c r="W65" s="52">
        <f>IF(V65=Uzman_D!$B$33,1,0)</f>
        <v>0</v>
      </c>
      <c r="X65" s="53">
        <f t="shared" si="1"/>
        <v>0.1</v>
      </c>
      <c r="Y65" s="49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</row>
    <row r="66" spans="1:41" ht="15" customHeight="1" x14ac:dyDescent="0.45">
      <c r="A66" s="54">
        <v>63</v>
      </c>
      <c r="B66" s="137">
        <f>Hakemler!B66</f>
        <v>0</v>
      </c>
      <c r="C66" s="138">
        <f>Hakemler!C66</f>
        <v>0</v>
      </c>
      <c r="D66" s="55"/>
      <c r="E66" s="52">
        <f>IF(D66=Uzman_D!$B$24,1,0)</f>
        <v>0</v>
      </c>
      <c r="F66" s="55"/>
      <c r="G66" s="52">
        <f>IF(F66=Uzman_D!$B$25,1,0)</f>
        <v>1</v>
      </c>
      <c r="H66" s="55"/>
      <c r="I66" s="52">
        <f>IF(H66=Uzman_D!$B$26,1,0)</f>
        <v>0</v>
      </c>
      <c r="J66" s="55"/>
      <c r="K66" s="52">
        <f>IF(J66=Uzman_D!$B$27,1,0)</f>
        <v>0</v>
      </c>
      <c r="L66" s="55"/>
      <c r="M66" s="52">
        <f>IF(L66=Uzman_D!$B$28,1,0)</f>
        <v>0</v>
      </c>
      <c r="N66" s="55"/>
      <c r="O66" s="52">
        <f>IF(N66=Uzman_D!$B$29,1,0)</f>
        <v>0</v>
      </c>
      <c r="P66" s="55"/>
      <c r="Q66" s="52">
        <f>IF(P66=Uzman_D!$B$30,1,0)</f>
        <v>0</v>
      </c>
      <c r="R66" s="55"/>
      <c r="S66" s="52">
        <f>IF(R66=Uzman_D!$B$31,1,0)</f>
        <v>0</v>
      </c>
      <c r="T66" s="55"/>
      <c r="U66" s="52">
        <f>IF(T66=Uzman_D!$B$32,1,0)</f>
        <v>0</v>
      </c>
      <c r="V66" s="55"/>
      <c r="W66" s="52">
        <f>IF(V66=Uzman_D!$B$33,1,0)</f>
        <v>0</v>
      </c>
      <c r="X66" s="53">
        <f t="shared" si="1"/>
        <v>0.1</v>
      </c>
      <c r="Y66" s="49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</row>
    <row r="67" spans="1:41" ht="15" customHeight="1" x14ac:dyDescent="0.45">
      <c r="A67" s="54">
        <v>64</v>
      </c>
      <c r="B67" s="139">
        <f>Hakemler!B67</f>
        <v>0</v>
      </c>
      <c r="C67" s="140">
        <f>Hakemler!C67</f>
        <v>0</v>
      </c>
      <c r="D67" s="55"/>
      <c r="E67" s="52">
        <f>IF(D67=Uzman_D!$B$24,1,0)</f>
        <v>0</v>
      </c>
      <c r="F67" s="55"/>
      <c r="G67" s="52">
        <f>IF(F67=Uzman_D!$B$25,1,0)</f>
        <v>1</v>
      </c>
      <c r="H67" s="55"/>
      <c r="I67" s="52">
        <f>IF(H67=Uzman_D!$B$26,1,0)</f>
        <v>0</v>
      </c>
      <c r="J67" s="55"/>
      <c r="K67" s="52">
        <f>IF(J67=Uzman_D!$B$27,1,0)</f>
        <v>0</v>
      </c>
      <c r="L67" s="55"/>
      <c r="M67" s="52">
        <f>IF(L67=Uzman_D!$B$28,1,0)</f>
        <v>0</v>
      </c>
      <c r="N67" s="55"/>
      <c r="O67" s="52">
        <f>IF(N67=Uzman_D!$B$29,1,0)</f>
        <v>0</v>
      </c>
      <c r="P67" s="55"/>
      <c r="Q67" s="52">
        <f>IF(P67=Uzman_D!$B$30,1,0)</f>
        <v>0</v>
      </c>
      <c r="R67" s="55"/>
      <c r="S67" s="52">
        <f>IF(R67=Uzman_D!$B$31,1,0)</f>
        <v>0</v>
      </c>
      <c r="T67" s="55"/>
      <c r="U67" s="52">
        <f>IF(T67=Uzman_D!$B$32,1,0)</f>
        <v>0</v>
      </c>
      <c r="V67" s="55"/>
      <c r="W67" s="52">
        <f>IF(V67=Uzman_D!$B$33,1,0)</f>
        <v>0</v>
      </c>
      <c r="X67" s="53">
        <f t="shared" si="1"/>
        <v>0.1</v>
      </c>
      <c r="Y67" s="49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</row>
    <row r="68" spans="1:41" ht="15" customHeight="1" x14ac:dyDescent="0.45">
      <c r="A68" s="54">
        <v>65</v>
      </c>
      <c r="B68" s="139">
        <f>Hakemler!B68</f>
        <v>0</v>
      </c>
      <c r="C68" s="140">
        <f>Hakemler!C68</f>
        <v>0</v>
      </c>
      <c r="D68" s="55"/>
      <c r="E68" s="52">
        <f>IF(D68=Uzman_D!$B$24,1,0)</f>
        <v>0</v>
      </c>
      <c r="F68" s="55"/>
      <c r="G68" s="52">
        <f>IF(F68=Uzman_D!$B$25,1,0)</f>
        <v>1</v>
      </c>
      <c r="H68" s="55"/>
      <c r="I68" s="52">
        <f>IF(H68=Uzman_D!$B$26,1,0)</f>
        <v>0</v>
      </c>
      <c r="J68" s="55"/>
      <c r="K68" s="52">
        <f>IF(J68=Uzman_D!$B$27,1,0)</f>
        <v>0</v>
      </c>
      <c r="L68" s="55"/>
      <c r="M68" s="52">
        <f>IF(L68=Uzman_D!$B$28,1,0)</f>
        <v>0</v>
      </c>
      <c r="N68" s="55"/>
      <c r="O68" s="52">
        <f>IF(N68=Uzman_D!$B$29,1,0)</f>
        <v>0</v>
      </c>
      <c r="P68" s="55"/>
      <c r="Q68" s="52">
        <f>IF(P68=Uzman_D!$B$30,1,0)</f>
        <v>0</v>
      </c>
      <c r="R68" s="55"/>
      <c r="S68" s="52">
        <f>IF(R68=Uzman_D!$B$31,1,0)</f>
        <v>0</v>
      </c>
      <c r="T68" s="55"/>
      <c r="U68" s="52">
        <f>IF(T68=Uzman_D!$B$32,1,0)</f>
        <v>0</v>
      </c>
      <c r="V68" s="55"/>
      <c r="W68" s="52">
        <f>IF(V68=Uzman_D!$B$33,1,0)</f>
        <v>0</v>
      </c>
      <c r="X68" s="53">
        <f t="shared" ref="X68:X99" si="2">(E68+G68+I68+K68+M68+O68+Q68+S68+U68+W68)/10</f>
        <v>0.1</v>
      </c>
      <c r="Y68" s="49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</row>
    <row r="69" spans="1:41" ht="15" customHeight="1" x14ac:dyDescent="0.45">
      <c r="A69" s="54">
        <v>66</v>
      </c>
      <c r="B69" s="139">
        <f>Hakemler!B69</f>
        <v>0</v>
      </c>
      <c r="C69" s="140">
        <f>Hakemler!C69</f>
        <v>0</v>
      </c>
      <c r="D69" s="55"/>
      <c r="E69" s="52">
        <f>IF(D69=Uzman_D!$B$24,1,0)</f>
        <v>0</v>
      </c>
      <c r="F69" s="55"/>
      <c r="G69" s="52">
        <f>IF(F69=Uzman_D!$B$25,1,0)</f>
        <v>1</v>
      </c>
      <c r="H69" s="55"/>
      <c r="I69" s="52">
        <f>IF(H69=Uzman_D!$B$26,1,0)</f>
        <v>0</v>
      </c>
      <c r="J69" s="55"/>
      <c r="K69" s="52">
        <f>IF(J69=Uzman_D!$B$27,1,0)</f>
        <v>0</v>
      </c>
      <c r="L69" s="55"/>
      <c r="M69" s="52">
        <f>IF(L69=Uzman_D!$B$28,1,0)</f>
        <v>0</v>
      </c>
      <c r="N69" s="55"/>
      <c r="O69" s="52">
        <f>IF(N69=Uzman_D!$B$29,1,0)</f>
        <v>0</v>
      </c>
      <c r="P69" s="55"/>
      <c r="Q69" s="52">
        <f>IF(P69=Uzman_D!$B$30,1,0)</f>
        <v>0</v>
      </c>
      <c r="R69" s="55"/>
      <c r="S69" s="52">
        <f>IF(R69=Uzman_D!$B$31,1,0)</f>
        <v>0</v>
      </c>
      <c r="T69" s="55"/>
      <c r="U69" s="52">
        <f>IF(T69=Uzman_D!$B$32,1,0)</f>
        <v>0</v>
      </c>
      <c r="V69" s="55"/>
      <c r="W69" s="52">
        <f>IF(V69=Uzman_D!$B$33,1,0)</f>
        <v>0</v>
      </c>
      <c r="X69" s="53">
        <f t="shared" si="2"/>
        <v>0.1</v>
      </c>
      <c r="Y69" s="49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</row>
    <row r="70" spans="1:41" ht="15" customHeight="1" x14ac:dyDescent="0.45">
      <c r="A70" s="54">
        <v>67</v>
      </c>
      <c r="B70" s="139">
        <f>Hakemler!B70</f>
        <v>0</v>
      </c>
      <c r="C70" s="140">
        <f>Hakemler!C70</f>
        <v>0</v>
      </c>
      <c r="D70" s="55"/>
      <c r="E70" s="52">
        <f>IF(D70=Uzman_D!$B$24,1,0)</f>
        <v>0</v>
      </c>
      <c r="F70" s="55"/>
      <c r="G70" s="52">
        <f>IF(F70=Uzman_D!$B$25,1,0)</f>
        <v>1</v>
      </c>
      <c r="H70" s="55"/>
      <c r="I70" s="52">
        <f>IF(H70=Uzman_D!$B$26,1,0)</f>
        <v>0</v>
      </c>
      <c r="J70" s="55"/>
      <c r="K70" s="52">
        <f>IF(J70=Uzman_D!$B$27,1,0)</f>
        <v>0</v>
      </c>
      <c r="L70" s="55"/>
      <c r="M70" s="52">
        <f>IF(L70=Uzman_D!$B$28,1,0)</f>
        <v>0</v>
      </c>
      <c r="N70" s="55"/>
      <c r="O70" s="52">
        <f>IF(N70=Uzman_D!$B$29,1,0)</f>
        <v>0</v>
      </c>
      <c r="P70" s="55"/>
      <c r="Q70" s="52">
        <f>IF(P70=Uzman_D!$B$30,1,0)</f>
        <v>0</v>
      </c>
      <c r="R70" s="55"/>
      <c r="S70" s="52">
        <f>IF(R70=Uzman_D!$B$31,1,0)</f>
        <v>0</v>
      </c>
      <c r="T70" s="55"/>
      <c r="U70" s="52">
        <f>IF(T70=Uzman_D!$B$32,1,0)</f>
        <v>0</v>
      </c>
      <c r="V70" s="55"/>
      <c r="W70" s="52">
        <f>IF(V70=Uzman_D!$B$33,1,0)</f>
        <v>0</v>
      </c>
      <c r="X70" s="53">
        <f t="shared" si="2"/>
        <v>0.1</v>
      </c>
      <c r="Y70" s="49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</row>
    <row r="71" spans="1:41" ht="15" customHeight="1" x14ac:dyDescent="0.45">
      <c r="A71" s="54">
        <v>68</v>
      </c>
      <c r="B71" s="139">
        <f>Hakemler!B71</f>
        <v>0</v>
      </c>
      <c r="C71" s="140">
        <f>Hakemler!C71</f>
        <v>0</v>
      </c>
      <c r="D71" s="55"/>
      <c r="E71" s="52">
        <f>IF(D71=Uzman_D!$B$24,1,0)</f>
        <v>0</v>
      </c>
      <c r="F71" s="55"/>
      <c r="G71" s="52">
        <f>IF(F71=Uzman_D!$B$25,1,0)</f>
        <v>1</v>
      </c>
      <c r="H71" s="55"/>
      <c r="I71" s="52">
        <f>IF(H71=Uzman_D!$B$26,1,0)</f>
        <v>0</v>
      </c>
      <c r="J71" s="55"/>
      <c r="K71" s="52">
        <f>IF(J71=Uzman_D!$B$27,1,0)</f>
        <v>0</v>
      </c>
      <c r="L71" s="55"/>
      <c r="M71" s="52">
        <f>IF(L71=Uzman_D!$B$28,1,0)</f>
        <v>0</v>
      </c>
      <c r="N71" s="55"/>
      <c r="O71" s="52">
        <f>IF(N71=Uzman_D!$B$29,1,0)</f>
        <v>0</v>
      </c>
      <c r="P71" s="55"/>
      <c r="Q71" s="52">
        <f>IF(P71=Uzman_D!$B$30,1,0)</f>
        <v>0</v>
      </c>
      <c r="R71" s="55"/>
      <c r="S71" s="52">
        <f>IF(R71=Uzman_D!$B$31,1,0)</f>
        <v>0</v>
      </c>
      <c r="T71" s="55"/>
      <c r="U71" s="52">
        <f>IF(T71=Uzman_D!$B$32,1,0)</f>
        <v>0</v>
      </c>
      <c r="V71" s="55"/>
      <c r="W71" s="52">
        <f>IF(V71=Uzman_D!$B$33,1,0)</f>
        <v>0</v>
      </c>
      <c r="X71" s="53">
        <f t="shared" si="2"/>
        <v>0.1</v>
      </c>
      <c r="Y71" s="49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</row>
    <row r="72" spans="1:41" ht="15" customHeight="1" x14ac:dyDescent="0.45">
      <c r="A72" s="54">
        <v>69</v>
      </c>
      <c r="B72" s="139">
        <f>Hakemler!B72</f>
        <v>0</v>
      </c>
      <c r="C72" s="140">
        <f>Hakemler!C72</f>
        <v>0</v>
      </c>
      <c r="D72" s="55"/>
      <c r="E72" s="52">
        <f>IF(D72=Uzman_D!$B$24,1,0)</f>
        <v>0</v>
      </c>
      <c r="F72" s="55"/>
      <c r="G72" s="52">
        <f>IF(F72=Uzman_D!$B$25,1,0)</f>
        <v>1</v>
      </c>
      <c r="H72" s="55"/>
      <c r="I72" s="52">
        <f>IF(H72=Uzman_D!$B$26,1,0)</f>
        <v>0</v>
      </c>
      <c r="J72" s="55"/>
      <c r="K72" s="52">
        <f>IF(J72=Uzman_D!$B$27,1,0)</f>
        <v>0</v>
      </c>
      <c r="L72" s="55"/>
      <c r="M72" s="52">
        <f>IF(L72=Uzman_D!$B$28,1,0)</f>
        <v>0</v>
      </c>
      <c r="N72" s="55"/>
      <c r="O72" s="52">
        <f>IF(N72=Uzman_D!$B$29,1,0)</f>
        <v>0</v>
      </c>
      <c r="P72" s="55"/>
      <c r="Q72" s="52">
        <f>IF(P72=Uzman_D!$B$30,1,0)</f>
        <v>0</v>
      </c>
      <c r="R72" s="55"/>
      <c r="S72" s="52">
        <f>IF(R72=Uzman_D!$B$31,1,0)</f>
        <v>0</v>
      </c>
      <c r="T72" s="55"/>
      <c r="U72" s="52">
        <f>IF(T72=Uzman_D!$B$32,1,0)</f>
        <v>0</v>
      </c>
      <c r="V72" s="55"/>
      <c r="W72" s="52">
        <f>IF(V72=Uzman_D!$B$33,1,0)</f>
        <v>0</v>
      </c>
      <c r="X72" s="53">
        <f t="shared" si="2"/>
        <v>0.1</v>
      </c>
      <c r="Y72" s="49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</row>
    <row r="73" spans="1:41" ht="15" customHeight="1" x14ac:dyDescent="0.45">
      <c r="A73" s="54">
        <v>70</v>
      </c>
      <c r="B73" s="139">
        <f>Hakemler!B73</f>
        <v>0</v>
      </c>
      <c r="C73" s="140">
        <f>Hakemler!C73</f>
        <v>0</v>
      </c>
      <c r="D73" s="55"/>
      <c r="E73" s="52">
        <f>IF(D73=Uzman_D!$B$24,1,0)</f>
        <v>0</v>
      </c>
      <c r="F73" s="55"/>
      <c r="G73" s="52">
        <f>IF(F73=Uzman_D!$B$25,1,0)</f>
        <v>1</v>
      </c>
      <c r="H73" s="55"/>
      <c r="I73" s="52">
        <f>IF(H73=Uzman_D!$B$26,1,0)</f>
        <v>0</v>
      </c>
      <c r="J73" s="55"/>
      <c r="K73" s="52">
        <f>IF(J73=Uzman_D!$B$27,1,0)</f>
        <v>0</v>
      </c>
      <c r="L73" s="55"/>
      <c r="M73" s="52">
        <f>IF(L73=Uzman_D!$B$28,1,0)</f>
        <v>0</v>
      </c>
      <c r="N73" s="55"/>
      <c r="O73" s="52">
        <f>IF(N73=Uzman_D!$B$29,1,0)</f>
        <v>0</v>
      </c>
      <c r="P73" s="55"/>
      <c r="Q73" s="52">
        <f>IF(P73=Uzman_D!$B$30,1,0)</f>
        <v>0</v>
      </c>
      <c r="R73" s="55"/>
      <c r="S73" s="52">
        <f>IF(R73=Uzman_D!$B$31,1,0)</f>
        <v>0</v>
      </c>
      <c r="T73" s="55"/>
      <c r="U73" s="52">
        <f>IF(T73=Uzman_D!$B$32,1,0)</f>
        <v>0</v>
      </c>
      <c r="V73" s="55"/>
      <c r="W73" s="52">
        <f>IF(V73=Uzman_D!$B$33,1,0)</f>
        <v>0</v>
      </c>
      <c r="X73" s="53">
        <f t="shared" si="2"/>
        <v>0.1</v>
      </c>
      <c r="Y73" s="49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</row>
    <row r="74" spans="1:41" ht="15" customHeight="1" x14ac:dyDescent="0.45">
      <c r="A74" s="54">
        <v>71</v>
      </c>
      <c r="B74" s="139">
        <f>Hakemler!B74</f>
        <v>0</v>
      </c>
      <c r="C74" s="140">
        <f>Hakemler!C74</f>
        <v>0</v>
      </c>
      <c r="D74" s="55"/>
      <c r="E74" s="52">
        <f>IF(D74=Uzman_D!$B$24,1,0)</f>
        <v>0</v>
      </c>
      <c r="F74" s="55"/>
      <c r="G74" s="52">
        <f>IF(F74=Uzman_D!$B$25,1,0)</f>
        <v>1</v>
      </c>
      <c r="H74" s="55"/>
      <c r="I74" s="52">
        <f>IF(H74=Uzman_D!$B$26,1,0)</f>
        <v>0</v>
      </c>
      <c r="J74" s="55"/>
      <c r="K74" s="52">
        <f>IF(J74=Uzman_D!$B$27,1,0)</f>
        <v>0</v>
      </c>
      <c r="L74" s="55"/>
      <c r="M74" s="52">
        <f>IF(L74=Uzman_D!$B$28,1,0)</f>
        <v>0</v>
      </c>
      <c r="N74" s="55"/>
      <c r="O74" s="52">
        <f>IF(N74=Uzman_D!$B$29,1,0)</f>
        <v>0</v>
      </c>
      <c r="P74" s="55"/>
      <c r="Q74" s="52">
        <f>IF(P74=Uzman_D!$B$30,1,0)</f>
        <v>0</v>
      </c>
      <c r="R74" s="55"/>
      <c r="S74" s="52">
        <f>IF(R74=Uzman_D!$B$31,1,0)</f>
        <v>0</v>
      </c>
      <c r="T74" s="55"/>
      <c r="U74" s="52">
        <f>IF(T74=Uzman_D!$B$32,1,0)</f>
        <v>0</v>
      </c>
      <c r="V74" s="55"/>
      <c r="W74" s="52">
        <f>IF(V74=Uzman_D!$B$33,1,0)</f>
        <v>0</v>
      </c>
      <c r="X74" s="53">
        <f t="shared" si="2"/>
        <v>0.1</v>
      </c>
      <c r="Y74" s="49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</row>
    <row r="75" spans="1:41" ht="15" customHeight="1" x14ac:dyDescent="0.45">
      <c r="A75" s="54">
        <v>72</v>
      </c>
      <c r="B75" s="139">
        <f>Hakemler!B75</f>
        <v>0</v>
      </c>
      <c r="C75" s="140">
        <f>Hakemler!C75</f>
        <v>0</v>
      </c>
      <c r="D75" s="55"/>
      <c r="E75" s="52">
        <f>IF(D75=Uzman_D!$B$24,1,0)</f>
        <v>0</v>
      </c>
      <c r="F75" s="55"/>
      <c r="G75" s="52">
        <f>IF(F75=Uzman_D!$B$25,1,0)</f>
        <v>1</v>
      </c>
      <c r="H75" s="55"/>
      <c r="I75" s="52">
        <f>IF(H75=Uzman_D!$B$26,1,0)</f>
        <v>0</v>
      </c>
      <c r="J75" s="55"/>
      <c r="K75" s="52">
        <f>IF(J75=Uzman_D!$B$27,1,0)</f>
        <v>0</v>
      </c>
      <c r="L75" s="55"/>
      <c r="M75" s="52">
        <f>IF(L75=Uzman_D!$B$28,1,0)</f>
        <v>0</v>
      </c>
      <c r="N75" s="55"/>
      <c r="O75" s="52">
        <f>IF(N75=Uzman_D!$B$29,1,0)</f>
        <v>0</v>
      </c>
      <c r="P75" s="55"/>
      <c r="Q75" s="52">
        <f>IF(P75=Uzman_D!$B$30,1,0)</f>
        <v>0</v>
      </c>
      <c r="R75" s="55"/>
      <c r="S75" s="52">
        <f>IF(R75=Uzman_D!$B$31,1,0)</f>
        <v>0</v>
      </c>
      <c r="T75" s="55"/>
      <c r="U75" s="52">
        <f>IF(T75=Uzman_D!$B$32,1,0)</f>
        <v>0</v>
      </c>
      <c r="V75" s="55"/>
      <c r="W75" s="52">
        <f>IF(V75=Uzman_D!$B$33,1,0)</f>
        <v>0</v>
      </c>
      <c r="X75" s="53">
        <f t="shared" si="2"/>
        <v>0.1</v>
      </c>
      <c r="Y75" s="49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</row>
    <row r="76" spans="1:41" ht="15" customHeight="1" x14ac:dyDescent="0.45">
      <c r="A76" s="54">
        <v>73</v>
      </c>
      <c r="B76" s="139">
        <f>Hakemler!B76</f>
        <v>0</v>
      </c>
      <c r="C76" s="140">
        <f>Hakemler!C76</f>
        <v>0</v>
      </c>
      <c r="D76" s="55"/>
      <c r="E76" s="52">
        <f>IF(D76=Uzman_D!$B$24,1,0)</f>
        <v>0</v>
      </c>
      <c r="F76" s="55"/>
      <c r="G76" s="52">
        <f>IF(F76=Uzman_D!$B$25,1,0)</f>
        <v>1</v>
      </c>
      <c r="H76" s="55"/>
      <c r="I76" s="52">
        <f>IF(H76=Uzman_D!$B$26,1,0)</f>
        <v>0</v>
      </c>
      <c r="J76" s="55"/>
      <c r="K76" s="52">
        <f>IF(J76=Uzman_D!$B$27,1,0)</f>
        <v>0</v>
      </c>
      <c r="L76" s="55"/>
      <c r="M76" s="52">
        <f>IF(L76=Uzman_D!$B$28,1,0)</f>
        <v>0</v>
      </c>
      <c r="N76" s="55"/>
      <c r="O76" s="52">
        <f>IF(N76=Uzman_D!$B$29,1,0)</f>
        <v>0</v>
      </c>
      <c r="P76" s="55"/>
      <c r="Q76" s="52">
        <f>IF(P76=Uzman_D!$B$30,1,0)</f>
        <v>0</v>
      </c>
      <c r="R76" s="55"/>
      <c r="S76" s="52">
        <f>IF(R76=Uzman_D!$B$31,1,0)</f>
        <v>0</v>
      </c>
      <c r="T76" s="55"/>
      <c r="U76" s="52">
        <f>IF(T76=Uzman_D!$B$32,1,0)</f>
        <v>0</v>
      </c>
      <c r="V76" s="55"/>
      <c r="W76" s="52">
        <f>IF(V76=Uzman_D!$B$33,1,0)</f>
        <v>0</v>
      </c>
      <c r="X76" s="53">
        <f t="shared" si="2"/>
        <v>0.1</v>
      </c>
      <c r="Y76" s="49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</row>
    <row r="77" spans="1:41" ht="15" customHeight="1" x14ac:dyDescent="0.45">
      <c r="A77" s="54">
        <v>74</v>
      </c>
      <c r="B77" s="139">
        <f>Hakemler!B77</f>
        <v>0</v>
      </c>
      <c r="C77" s="140">
        <f>Hakemler!C77</f>
        <v>0</v>
      </c>
      <c r="D77" s="55"/>
      <c r="E77" s="52">
        <f>IF(D77=Uzman_D!$B$24,1,0)</f>
        <v>0</v>
      </c>
      <c r="F77" s="55"/>
      <c r="G77" s="52">
        <f>IF(F77=Uzman_D!$B$25,1,0)</f>
        <v>1</v>
      </c>
      <c r="H77" s="55"/>
      <c r="I77" s="52">
        <f>IF(H77=Uzman_D!$B$26,1,0)</f>
        <v>0</v>
      </c>
      <c r="J77" s="55"/>
      <c r="K77" s="52">
        <f>IF(J77=Uzman_D!$B$27,1,0)</f>
        <v>0</v>
      </c>
      <c r="L77" s="55"/>
      <c r="M77" s="52">
        <f>IF(L77=Uzman_D!$B$28,1,0)</f>
        <v>0</v>
      </c>
      <c r="N77" s="55"/>
      <c r="O77" s="52">
        <f>IF(N77=Uzman_D!$B$29,1,0)</f>
        <v>0</v>
      </c>
      <c r="P77" s="55"/>
      <c r="Q77" s="52">
        <f>IF(P77=Uzman_D!$B$30,1,0)</f>
        <v>0</v>
      </c>
      <c r="R77" s="55"/>
      <c r="S77" s="52">
        <f>IF(R77=Uzman_D!$B$31,1,0)</f>
        <v>0</v>
      </c>
      <c r="T77" s="55"/>
      <c r="U77" s="52">
        <f>IF(T77=Uzman_D!$B$32,1,0)</f>
        <v>0</v>
      </c>
      <c r="V77" s="55"/>
      <c r="W77" s="52">
        <f>IF(V77=Uzman_D!$B$33,1,0)</f>
        <v>0</v>
      </c>
      <c r="X77" s="53">
        <f t="shared" si="2"/>
        <v>0.1</v>
      </c>
      <c r="Y77" s="49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</row>
    <row r="78" spans="1:41" ht="15" customHeight="1" x14ac:dyDescent="0.45">
      <c r="A78" s="54">
        <v>75</v>
      </c>
      <c r="B78" s="139">
        <f>Hakemler!B78</f>
        <v>0</v>
      </c>
      <c r="C78" s="140">
        <f>Hakemler!C78</f>
        <v>0</v>
      </c>
      <c r="D78" s="55"/>
      <c r="E78" s="52">
        <f>IF(D78=Uzman_D!$B$24,1,0)</f>
        <v>0</v>
      </c>
      <c r="F78" s="55"/>
      <c r="G78" s="52">
        <f>IF(F78=Uzman_D!$B$25,1,0)</f>
        <v>1</v>
      </c>
      <c r="H78" s="55"/>
      <c r="I78" s="52">
        <f>IF(H78=Uzman_D!$B$26,1,0)</f>
        <v>0</v>
      </c>
      <c r="J78" s="55"/>
      <c r="K78" s="52">
        <f>IF(J78=Uzman_D!$B$27,1,0)</f>
        <v>0</v>
      </c>
      <c r="L78" s="55"/>
      <c r="M78" s="52">
        <f>IF(L78=Uzman_D!$B$28,1,0)</f>
        <v>0</v>
      </c>
      <c r="N78" s="55"/>
      <c r="O78" s="52">
        <f>IF(N78=Uzman_D!$B$29,1,0)</f>
        <v>0</v>
      </c>
      <c r="P78" s="55"/>
      <c r="Q78" s="52">
        <f>IF(P78=Uzman_D!$B$30,1,0)</f>
        <v>0</v>
      </c>
      <c r="R78" s="55"/>
      <c r="S78" s="52">
        <f>IF(R78=Uzman_D!$B$31,1,0)</f>
        <v>0</v>
      </c>
      <c r="T78" s="55"/>
      <c r="U78" s="52">
        <f>IF(T78=Uzman_D!$B$32,1,0)</f>
        <v>0</v>
      </c>
      <c r="V78" s="55"/>
      <c r="W78" s="52">
        <f>IF(V78=Uzman_D!$B$33,1,0)</f>
        <v>0</v>
      </c>
      <c r="X78" s="53">
        <f t="shared" si="2"/>
        <v>0.1</v>
      </c>
      <c r="Y78" s="49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</row>
    <row r="79" spans="1:41" ht="15" customHeight="1" x14ac:dyDescent="0.45">
      <c r="A79" s="54">
        <v>76</v>
      </c>
      <c r="B79" s="139">
        <f>Hakemler!B79</f>
        <v>0</v>
      </c>
      <c r="C79" s="140">
        <f>Hakemler!C79</f>
        <v>0</v>
      </c>
      <c r="D79" s="55"/>
      <c r="E79" s="52">
        <f>IF(D79=Uzman_D!$B$24,1,0)</f>
        <v>0</v>
      </c>
      <c r="F79" s="55"/>
      <c r="G79" s="52">
        <f>IF(F79=Uzman_D!$B$25,1,0)</f>
        <v>1</v>
      </c>
      <c r="H79" s="55"/>
      <c r="I79" s="52">
        <f>IF(H79=Uzman_D!$B$26,1,0)</f>
        <v>0</v>
      </c>
      <c r="J79" s="55"/>
      <c r="K79" s="52">
        <f>IF(J79=Uzman_D!$B$27,1,0)</f>
        <v>0</v>
      </c>
      <c r="L79" s="55"/>
      <c r="M79" s="52">
        <f>IF(L79=Uzman_D!$B$28,1,0)</f>
        <v>0</v>
      </c>
      <c r="N79" s="55"/>
      <c r="O79" s="52">
        <f>IF(N79=Uzman_D!$B$29,1,0)</f>
        <v>0</v>
      </c>
      <c r="P79" s="55"/>
      <c r="Q79" s="52">
        <f>IF(P79=Uzman_D!$B$30,1,0)</f>
        <v>0</v>
      </c>
      <c r="R79" s="55"/>
      <c r="S79" s="52">
        <f>IF(R79=Uzman_D!$B$31,1,0)</f>
        <v>0</v>
      </c>
      <c r="T79" s="55"/>
      <c r="U79" s="52">
        <f>IF(T79=Uzman_D!$B$32,1,0)</f>
        <v>0</v>
      </c>
      <c r="V79" s="55"/>
      <c r="W79" s="52">
        <f>IF(V79=Uzman_D!$B$33,1,0)</f>
        <v>0</v>
      </c>
      <c r="X79" s="53">
        <f t="shared" si="2"/>
        <v>0.1</v>
      </c>
      <c r="Y79" s="49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</row>
    <row r="80" spans="1:41" ht="15" customHeight="1" x14ac:dyDescent="0.45">
      <c r="A80" s="54">
        <v>77</v>
      </c>
      <c r="B80" s="139">
        <f>Hakemler!B80</f>
        <v>0</v>
      </c>
      <c r="C80" s="140">
        <f>Hakemler!C80</f>
        <v>0</v>
      </c>
      <c r="D80" s="55"/>
      <c r="E80" s="52">
        <f>IF(D80=Uzman_D!$B$24,1,0)</f>
        <v>0</v>
      </c>
      <c r="F80" s="55"/>
      <c r="G80" s="52">
        <f>IF(F80=Uzman_D!$B$25,1,0)</f>
        <v>1</v>
      </c>
      <c r="H80" s="55"/>
      <c r="I80" s="52">
        <f>IF(H80=Uzman_D!$B$26,1,0)</f>
        <v>0</v>
      </c>
      <c r="J80" s="55"/>
      <c r="K80" s="52">
        <f>IF(J80=Uzman_D!$B$27,1,0)</f>
        <v>0</v>
      </c>
      <c r="L80" s="55"/>
      <c r="M80" s="52">
        <f>IF(L80=Uzman_D!$B$28,1,0)</f>
        <v>0</v>
      </c>
      <c r="N80" s="55"/>
      <c r="O80" s="52">
        <f>IF(N80=Uzman_D!$B$29,1,0)</f>
        <v>0</v>
      </c>
      <c r="P80" s="55"/>
      <c r="Q80" s="52">
        <f>IF(P80=Uzman_D!$B$30,1,0)</f>
        <v>0</v>
      </c>
      <c r="R80" s="55"/>
      <c r="S80" s="52">
        <f>IF(R80=Uzman_D!$B$31,1,0)</f>
        <v>0</v>
      </c>
      <c r="T80" s="55"/>
      <c r="U80" s="52">
        <f>IF(T80=Uzman_D!$B$32,1,0)</f>
        <v>0</v>
      </c>
      <c r="V80" s="55"/>
      <c r="W80" s="52">
        <f>IF(V80=Uzman_D!$B$33,1,0)</f>
        <v>0</v>
      </c>
      <c r="X80" s="53">
        <f t="shared" si="2"/>
        <v>0.1</v>
      </c>
      <c r="Y80" s="49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</row>
    <row r="81" spans="1:41" ht="15" customHeight="1" x14ac:dyDescent="0.45">
      <c r="A81" s="54">
        <v>78</v>
      </c>
      <c r="B81" s="139">
        <f>Hakemler!B81</f>
        <v>0</v>
      </c>
      <c r="C81" s="140">
        <f>Hakemler!C81</f>
        <v>0</v>
      </c>
      <c r="D81" s="55"/>
      <c r="E81" s="52">
        <f>IF(D81=Uzman_D!$B$24,1,0)</f>
        <v>0</v>
      </c>
      <c r="F81" s="55"/>
      <c r="G81" s="52">
        <f>IF(F81=Uzman_D!$B$25,1,0)</f>
        <v>1</v>
      </c>
      <c r="H81" s="55"/>
      <c r="I81" s="52">
        <f>IF(H81=Uzman_D!$B$26,1,0)</f>
        <v>0</v>
      </c>
      <c r="J81" s="55"/>
      <c r="K81" s="52">
        <f>IF(J81=Uzman_D!$B$27,1,0)</f>
        <v>0</v>
      </c>
      <c r="L81" s="55"/>
      <c r="M81" s="52">
        <f>IF(L81=Uzman_D!$B$28,1,0)</f>
        <v>0</v>
      </c>
      <c r="N81" s="55"/>
      <c r="O81" s="52">
        <f>IF(N81=Uzman_D!$B$29,1,0)</f>
        <v>0</v>
      </c>
      <c r="P81" s="55"/>
      <c r="Q81" s="52">
        <f>IF(P81=Uzman_D!$B$30,1,0)</f>
        <v>0</v>
      </c>
      <c r="R81" s="55"/>
      <c r="S81" s="52">
        <f>IF(R81=Uzman_D!$B$31,1,0)</f>
        <v>0</v>
      </c>
      <c r="T81" s="55"/>
      <c r="U81" s="52">
        <f>IF(T81=Uzman_D!$B$32,1,0)</f>
        <v>0</v>
      </c>
      <c r="V81" s="55"/>
      <c r="W81" s="52">
        <f>IF(V81=Uzman_D!$B$33,1,0)</f>
        <v>0</v>
      </c>
      <c r="X81" s="53">
        <f t="shared" si="2"/>
        <v>0.1</v>
      </c>
      <c r="Y81" s="49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1" ht="15" customHeight="1" x14ac:dyDescent="0.45">
      <c r="A82" s="54">
        <v>79</v>
      </c>
      <c r="B82" s="139">
        <f>Hakemler!B82</f>
        <v>0</v>
      </c>
      <c r="C82" s="140">
        <f>Hakemler!C82</f>
        <v>0</v>
      </c>
      <c r="D82" s="55"/>
      <c r="E82" s="52">
        <f>IF(D82=Uzman_D!$B$24,1,0)</f>
        <v>0</v>
      </c>
      <c r="F82" s="55"/>
      <c r="G82" s="52">
        <f>IF(F82=Uzman_D!$B$25,1,0)</f>
        <v>1</v>
      </c>
      <c r="H82" s="55"/>
      <c r="I82" s="52">
        <f>IF(H82=Uzman_D!$B$26,1,0)</f>
        <v>0</v>
      </c>
      <c r="J82" s="55"/>
      <c r="K82" s="52">
        <f>IF(J82=Uzman_D!$B$27,1,0)</f>
        <v>0</v>
      </c>
      <c r="L82" s="55"/>
      <c r="M82" s="52">
        <f>IF(L82=Uzman_D!$B$28,1,0)</f>
        <v>0</v>
      </c>
      <c r="N82" s="55"/>
      <c r="O82" s="52">
        <f>IF(N82=Uzman_D!$B$29,1,0)</f>
        <v>0</v>
      </c>
      <c r="P82" s="55"/>
      <c r="Q82" s="52">
        <f>IF(P82=Uzman_D!$B$30,1,0)</f>
        <v>0</v>
      </c>
      <c r="R82" s="55"/>
      <c r="S82" s="52">
        <f>IF(R82=Uzman_D!$B$31,1,0)</f>
        <v>0</v>
      </c>
      <c r="T82" s="55"/>
      <c r="U82" s="52">
        <f>IF(T82=Uzman_D!$B$32,1,0)</f>
        <v>0</v>
      </c>
      <c r="V82" s="55"/>
      <c r="W82" s="52">
        <f>IF(V82=Uzman_D!$B$33,1,0)</f>
        <v>0</v>
      </c>
      <c r="X82" s="53">
        <f t="shared" si="2"/>
        <v>0.1</v>
      </c>
      <c r="Y82" s="49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</row>
    <row r="83" spans="1:41" ht="15" customHeight="1" x14ac:dyDescent="0.45">
      <c r="A83" s="54">
        <v>80</v>
      </c>
      <c r="B83" s="139">
        <f>Hakemler!B83</f>
        <v>0</v>
      </c>
      <c r="C83" s="140">
        <f>Hakemler!C83</f>
        <v>0</v>
      </c>
      <c r="D83" s="55"/>
      <c r="E83" s="52">
        <f>IF(D83=Uzman_D!$B$24,1,0)</f>
        <v>0</v>
      </c>
      <c r="F83" s="55"/>
      <c r="G83" s="52">
        <f>IF(F83=Uzman_D!$B$25,1,0)</f>
        <v>1</v>
      </c>
      <c r="H83" s="55"/>
      <c r="I83" s="52">
        <f>IF(H83=Uzman_D!$B$26,1,0)</f>
        <v>0</v>
      </c>
      <c r="J83" s="55"/>
      <c r="K83" s="52">
        <f>IF(J83=Uzman_D!$B$27,1,0)</f>
        <v>0</v>
      </c>
      <c r="L83" s="55"/>
      <c r="M83" s="52">
        <f>IF(L83=Uzman_D!$B$28,1,0)</f>
        <v>0</v>
      </c>
      <c r="N83" s="55"/>
      <c r="O83" s="52">
        <f>IF(N83=Uzman_D!$B$29,1,0)</f>
        <v>0</v>
      </c>
      <c r="P83" s="55"/>
      <c r="Q83" s="52">
        <f>IF(P83=Uzman_D!$B$30,1,0)</f>
        <v>0</v>
      </c>
      <c r="R83" s="55"/>
      <c r="S83" s="52">
        <f>IF(R83=Uzman_D!$B$31,1,0)</f>
        <v>0</v>
      </c>
      <c r="T83" s="55"/>
      <c r="U83" s="52">
        <f>IF(T83=Uzman_D!$B$32,1,0)</f>
        <v>0</v>
      </c>
      <c r="V83" s="55"/>
      <c r="W83" s="52">
        <f>IF(V83=Uzman_D!$B$33,1,0)</f>
        <v>0</v>
      </c>
      <c r="X83" s="53">
        <f t="shared" si="2"/>
        <v>0.1</v>
      </c>
      <c r="Y83" s="49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</row>
    <row r="84" spans="1:41" ht="15" customHeight="1" x14ac:dyDescent="0.45">
      <c r="A84" s="54">
        <v>81</v>
      </c>
      <c r="B84" s="139">
        <f>Hakemler!B84</f>
        <v>0</v>
      </c>
      <c r="C84" s="140">
        <f>Hakemler!C84</f>
        <v>0</v>
      </c>
      <c r="D84" s="55"/>
      <c r="E84" s="52">
        <f>IF(D84=Uzman_D!$B$24,1,0)</f>
        <v>0</v>
      </c>
      <c r="F84" s="55"/>
      <c r="G84" s="52">
        <f>IF(F84=Uzman_D!$B$25,1,0)</f>
        <v>1</v>
      </c>
      <c r="H84" s="55"/>
      <c r="I84" s="52">
        <f>IF(H84=Uzman_D!$B$26,1,0)</f>
        <v>0</v>
      </c>
      <c r="J84" s="55"/>
      <c r="K84" s="52">
        <f>IF(J84=Uzman_D!$B$27,1,0)</f>
        <v>0</v>
      </c>
      <c r="L84" s="55"/>
      <c r="M84" s="52">
        <f>IF(L84=Uzman_D!$B$28,1,0)</f>
        <v>0</v>
      </c>
      <c r="N84" s="55"/>
      <c r="O84" s="52">
        <f>IF(N84=Uzman_D!$B$29,1,0)</f>
        <v>0</v>
      </c>
      <c r="P84" s="55"/>
      <c r="Q84" s="52">
        <f>IF(P84=Uzman_D!$B$30,1,0)</f>
        <v>0</v>
      </c>
      <c r="R84" s="55"/>
      <c r="S84" s="52">
        <f>IF(R84=Uzman_D!$B$31,1,0)</f>
        <v>0</v>
      </c>
      <c r="T84" s="55"/>
      <c r="U84" s="52">
        <f>IF(T84=Uzman_D!$B$32,1,0)</f>
        <v>0</v>
      </c>
      <c r="V84" s="55"/>
      <c r="W84" s="52">
        <f>IF(V84=Uzman_D!$B$33,1,0)</f>
        <v>0</v>
      </c>
      <c r="X84" s="53">
        <f t="shared" si="2"/>
        <v>0.1</v>
      </c>
      <c r="Y84" s="49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</row>
    <row r="85" spans="1:41" ht="15" customHeight="1" x14ac:dyDescent="0.45">
      <c r="A85" s="54">
        <v>82</v>
      </c>
      <c r="B85" s="139">
        <f>Hakemler!B85</f>
        <v>0</v>
      </c>
      <c r="C85" s="140">
        <f>Hakemler!C85</f>
        <v>0</v>
      </c>
      <c r="D85" s="55"/>
      <c r="E85" s="52">
        <f>IF(D85=Uzman_D!$B$24,1,0)</f>
        <v>0</v>
      </c>
      <c r="F85" s="55"/>
      <c r="G85" s="52">
        <f>IF(F85=Uzman_D!$B$25,1,0)</f>
        <v>1</v>
      </c>
      <c r="H85" s="55"/>
      <c r="I85" s="52">
        <f>IF(H85=Uzman_D!$B$26,1,0)</f>
        <v>0</v>
      </c>
      <c r="J85" s="55"/>
      <c r="K85" s="52">
        <f>IF(J85=Uzman_D!$B$27,1,0)</f>
        <v>0</v>
      </c>
      <c r="L85" s="55"/>
      <c r="M85" s="52">
        <f>IF(L85=Uzman_D!$B$28,1,0)</f>
        <v>0</v>
      </c>
      <c r="N85" s="55"/>
      <c r="O85" s="52">
        <f>IF(N85=Uzman_D!$B$29,1,0)</f>
        <v>0</v>
      </c>
      <c r="P85" s="55"/>
      <c r="Q85" s="52">
        <f>IF(P85=Uzman_D!$B$30,1,0)</f>
        <v>0</v>
      </c>
      <c r="R85" s="55"/>
      <c r="S85" s="52">
        <f>IF(R85=Uzman_D!$B$31,1,0)</f>
        <v>0</v>
      </c>
      <c r="T85" s="55"/>
      <c r="U85" s="52">
        <f>IF(T85=Uzman_D!$B$32,1,0)</f>
        <v>0</v>
      </c>
      <c r="V85" s="55"/>
      <c r="W85" s="52">
        <f>IF(V85=Uzman_D!$B$33,1,0)</f>
        <v>0</v>
      </c>
      <c r="X85" s="53">
        <f t="shared" si="2"/>
        <v>0.1</v>
      </c>
      <c r="Y85" s="49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</row>
    <row r="86" spans="1:41" ht="15" customHeight="1" x14ac:dyDescent="0.45">
      <c r="A86" s="54">
        <v>83</v>
      </c>
      <c r="B86" s="139">
        <f>Hakemler!B86</f>
        <v>0</v>
      </c>
      <c r="C86" s="140">
        <f>Hakemler!C86</f>
        <v>0</v>
      </c>
      <c r="D86" s="55"/>
      <c r="E86" s="52">
        <f>IF(D86=Uzman_D!$B$24,1,0)</f>
        <v>0</v>
      </c>
      <c r="F86" s="55"/>
      <c r="G86" s="52">
        <f>IF(F86=Uzman_D!$B$25,1,0)</f>
        <v>1</v>
      </c>
      <c r="H86" s="55"/>
      <c r="I86" s="52">
        <f>IF(H86=Uzman_D!$B$26,1,0)</f>
        <v>0</v>
      </c>
      <c r="J86" s="55"/>
      <c r="K86" s="52">
        <f>IF(J86=Uzman_D!$B$27,1,0)</f>
        <v>0</v>
      </c>
      <c r="L86" s="55"/>
      <c r="M86" s="52">
        <f>IF(L86=Uzman_D!$B$28,1,0)</f>
        <v>0</v>
      </c>
      <c r="N86" s="55"/>
      <c r="O86" s="52">
        <f>IF(N86=Uzman_D!$B$29,1,0)</f>
        <v>0</v>
      </c>
      <c r="P86" s="55"/>
      <c r="Q86" s="52">
        <f>IF(P86=Uzman_D!$B$30,1,0)</f>
        <v>0</v>
      </c>
      <c r="R86" s="55"/>
      <c r="S86" s="52">
        <f>IF(R86=Uzman_D!$B$31,1,0)</f>
        <v>0</v>
      </c>
      <c r="T86" s="55"/>
      <c r="U86" s="52">
        <f>IF(T86=Uzman_D!$B$32,1,0)</f>
        <v>0</v>
      </c>
      <c r="V86" s="55"/>
      <c r="W86" s="52">
        <f>IF(V86=Uzman_D!$B$33,1,0)</f>
        <v>0</v>
      </c>
      <c r="X86" s="53">
        <f t="shared" si="2"/>
        <v>0.1</v>
      </c>
      <c r="Y86" s="49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</row>
    <row r="87" spans="1:41" ht="15" customHeight="1" x14ac:dyDescent="0.45">
      <c r="A87" s="54">
        <v>84</v>
      </c>
      <c r="B87" s="139">
        <f>Hakemler!B87</f>
        <v>0</v>
      </c>
      <c r="C87" s="140">
        <f>Hakemler!C87</f>
        <v>0</v>
      </c>
      <c r="D87" s="55"/>
      <c r="E87" s="52">
        <f>IF(D87=Uzman_D!$B$24,1,0)</f>
        <v>0</v>
      </c>
      <c r="F87" s="55"/>
      <c r="G87" s="52">
        <f>IF(F87=Uzman_D!$B$25,1,0)</f>
        <v>1</v>
      </c>
      <c r="H87" s="55"/>
      <c r="I87" s="52">
        <f>IF(H87=Uzman_D!$B$26,1,0)</f>
        <v>0</v>
      </c>
      <c r="J87" s="55"/>
      <c r="K87" s="52">
        <f>IF(J87=Uzman_D!$B$27,1,0)</f>
        <v>0</v>
      </c>
      <c r="L87" s="55"/>
      <c r="M87" s="52">
        <f>IF(L87=Uzman_D!$B$28,1,0)</f>
        <v>0</v>
      </c>
      <c r="N87" s="55"/>
      <c r="O87" s="52">
        <f>IF(N87=Uzman_D!$B$29,1,0)</f>
        <v>0</v>
      </c>
      <c r="P87" s="55"/>
      <c r="Q87" s="52">
        <f>IF(P87=Uzman_D!$B$30,1,0)</f>
        <v>0</v>
      </c>
      <c r="R87" s="55"/>
      <c r="S87" s="52">
        <f>IF(R87=Uzman_D!$B$31,1,0)</f>
        <v>0</v>
      </c>
      <c r="T87" s="55"/>
      <c r="U87" s="52">
        <f>IF(T87=Uzman_D!$B$32,1,0)</f>
        <v>0</v>
      </c>
      <c r="V87" s="55"/>
      <c r="W87" s="52">
        <f>IF(V87=Uzman_D!$B$33,1,0)</f>
        <v>0</v>
      </c>
      <c r="X87" s="53">
        <f t="shared" si="2"/>
        <v>0.1</v>
      </c>
      <c r="Y87" s="49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</row>
    <row r="88" spans="1:41" ht="15" customHeight="1" x14ac:dyDescent="0.45">
      <c r="A88" s="54">
        <v>85</v>
      </c>
      <c r="B88" s="139">
        <f>Hakemler!B88</f>
        <v>0</v>
      </c>
      <c r="C88" s="140">
        <f>Hakemler!C88</f>
        <v>0</v>
      </c>
      <c r="D88" s="55"/>
      <c r="E88" s="52">
        <f>IF(D88=Uzman_D!$B$24,1,0)</f>
        <v>0</v>
      </c>
      <c r="F88" s="55"/>
      <c r="G88" s="52">
        <f>IF(F88=Uzman_D!$B$25,1,0)</f>
        <v>1</v>
      </c>
      <c r="H88" s="55"/>
      <c r="I88" s="52">
        <f>IF(H88=Uzman_D!$B$26,1,0)</f>
        <v>0</v>
      </c>
      <c r="J88" s="55"/>
      <c r="K88" s="52">
        <f>IF(J88=Uzman_D!$B$27,1,0)</f>
        <v>0</v>
      </c>
      <c r="L88" s="55"/>
      <c r="M88" s="52">
        <f>IF(L88=Uzman_D!$B$28,1,0)</f>
        <v>0</v>
      </c>
      <c r="N88" s="55"/>
      <c r="O88" s="52">
        <f>IF(N88=Uzman_D!$B$29,1,0)</f>
        <v>0</v>
      </c>
      <c r="P88" s="55"/>
      <c r="Q88" s="52">
        <f>IF(P88=Uzman_D!$B$30,1,0)</f>
        <v>0</v>
      </c>
      <c r="R88" s="55"/>
      <c r="S88" s="52">
        <f>IF(R88=Uzman_D!$B$31,1,0)</f>
        <v>0</v>
      </c>
      <c r="T88" s="55"/>
      <c r="U88" s="52">
        <f>IF(T88=Uzman_D!$B$32,1,0)</f>
        <v>0</v>
      </c>
      <c r="V88" s="55"/>
      <c r="W88" s="52">
        <f>IF(V88=Uzman_D!$B$33,1,0)</f>
        <v>0</v>
      </c>
      <c r="X88" s="53">
        <f t="shared" si="2"/>
        <v>0.1</v>
      </c>
      <c r="Y88" s="49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</row>
    <row r="89" spans="1:41" ht="15" customHeight="1" x14ac:dyDescent="0.45">
      <c r="A89" s="54">
        <v>86</v>
      </c>
      <c r="B89" s="139">
        <f>Hakemler!B89</f>
        <v>0</v>
      </c>
      <c r="C89" s="140">
        <f>Hakemler!C89</f>
        <v>0</v>
      </c>
      <c r="D89" s="55"/>
      <c r="E89" s="52">
        <f>IF(D89=Uzman_D!$B$24,1,0)</f>
        <v>0</v>
      </c>
      <c r="F89" s="55"/>
      <c r="G89" s="52">
        <f>IF(F89=Uzman_D!$B$25,1,0)</f>
        <v>1</v>
      </c>
      <c r="H89" s="55"/>
      <c r="I89" s="52">
        <f>IF(H89=Uzman_D!$B$26,1,0)</f>
        <v>0</v>
      </c>
      <c r="J89" s="55"/>
      <c r="K89" s="52">
        <f>IF(J89=Uzman_D!$B$27,1,0)</f>
        <v>0</v>
      </c>
      <c r="L89" s="55"/>
      <c r="M89" s="52">
        <f>IF(L89=Uzman_D!$B$28,1,0)</f>
        <v>0</v>
      </c>
      <c r="N89" s="55"/>
      <c r="O89" s="52">
        <f>IF(N89=Uzman_D!$B$29,1,0)</f>
        <v>0</v>
      </c>
      <c r="P89" s="55"/>
      <c r="Q89" s="52">
        <f>IF(P89=Uzman_D!$B$30,1,0)</f>
        <v>0</v>
      </c>
      <c r="R89" s="55"/>
      <c r="S89" s="52">
        <f>IF(R89=Uzman_D!$B$31,1,0)</f>
        <v>0</v>
      </c>
      <c r="T89" s="55"/>
      <c r="U89" s="52">
        <f>IF(T89=Uzman_D!$B$32,1,0)</f>
        <v>0</v>
      </c>
      <c r="V89" s="55"/>
      <c r="W89" s="52">
        <f>IF(V89=Uzman_D!$B$33,1,0)</f>
        <v>0</v>
      </c>
      <c r="X89" s="53">
        <f t="shared" si="2"/>
        <v>0.1</v>
      </c>
      <c r="Y89" s="49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</row>
    <row r="90" spans="1:41" ht="15" customHeight="1" x14ac:dyDescent="0.45">
      <c r="A90" s="54">
        <v>87</v>
      </c>
      <c r="B90" s="139">
        <f>Hakemler!B90</f>
        <v>0</v>
      </c>
      <c r="C90" s="140">
        <f>Hakemler!C90</f>
        <v>0</v>
      </c>
      <c r="D90" s="55"/>
      <c r="E90" s="52">
        <f>IF(D90=Uzman_D!$B$24,1,0)</f>
        <v>0</v>
      </c>
      <c r="F90" s="55"/>
      <c r="G90" s="52">
        <f>IF(F90=Uzman_D!$B$25,1,0)</f>
        <v>1</v>
      </c>
      <c r="H90" s="55"/>
      <c r="I90" s="52">
        <f>IF(H90=Uzman_D!$B$26,1,0)</f>
        <v>0</v>
      </c>
      <c r="J90" s="55"/>
      <c r="K90" s="52">
        <f>IF(J90=Uzman_D!$B$27,1,0)</f>
        <v>0</v>
      </c>
      <c r="L90" s="55"/>
      <c r="M90" s="52">
        <f>IF(L90=Uzman_D!$B$28,1,0)</f>
        <v>0</v>
      </c>
      <c r="N90" s="55"/>
      <c r="O90" s="52">
        <f>IF(N90=Uzman_D!$B$29,1,0)</f>
        <v>0</v>
      </c>
      <c r="P90" s="55"/>
      <c r="Q90" s="52">
        <f>IF(P90=Uzman_D!$B$30,1,0)</f>
        <v>0</v>
      </c>
      <c r="R90" s="55"/>
      <c r="S90" s="52">
        <f>IF(R90=Uzman_D!$B$31,1,0)</f>
        <v>0</v>
      </c>
      <c r="T90" s="55"/>
      <c r="U90" s="52">
        <f>IF(T90=Uzman_D!$B$32,1,0)</f>
        <v>0</v>
      </c>
      <c r="V90" s="55"/>
      <c r="W90" s="52">
        <f>IF(V90=Uzman_D!$B$33,1,0)</f>
        <v>0</v>
      </c>
      <c r="X90" s="53">
        <f t="shared" si="2"/>
        <v>0.1</v>
      </c>
      <c r="Y90" s="49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</row>
    <row r="91" spans="1:41" ht="15" customHeight="1" x14ac:dyDescent="0.45">
      <c r="A91" s="54">
        <v>88</v>
      </c>
      <c r="B91" s="139">
        <f>Hakemler!B91</f>
        <v>0</v>
      </c>
      <c r="C91" s="140">
        <f>Hakemler!C91</f>
        <v>0</v>
      </c>
      <c r="D91" s="55"/>
      <c r="E91" s="52">
        <f>IF(D91=Uzman_D!$B$24,1,0)</f>
        <v>0</v>
      </c>
      <c r="F91" s="55"/>
      <c r="G91" s="52">
        <f>IF(F91=Uzman_D!$B$25,1,0)</f>
        <v>1</v>
      </c>
      <c r="H91" s="55"/>
      <c r="I91" s="52">
        <f>IF(H91=Uzman_D!$B$26,1,0)</f>
        <v>0</v>
      </c>
      <c r="J91" s="55"/>
      <c r="K91" s="52">
        <f>IF(J91=Uzman_D!$B$27,1,0)</f>
        <v>0</v>
      </c>
      <c r="L91" s="55"/>
      <c r="M91" s="52">
        <f>IF(L91=Uzman_D!$B$28,1,0)</f>
        <v>0</v>
      </c>
      <c r="N91" s="55"/>
      <c r="O91" s="52">
        <f>IF(N91=Uzman_D!$B$29,1,0)</f>
        <v>0</v>
      </c>
      <c r="P91" s="55"/>
      <c r="Q91" s="52">
        <f>IF(P91=Uzman_D!$B$30,1,0)</f>
        <v>0</v>
      </c>
      <c r="R91" s="55"/>
      <c r="S91" s="52">
        <f>IF(R91=Uzman_D!$B$31,1,0)</f>
        <v>0</v>
      </c>
      <c r="T91" s="55"/>
      <c r="U91" s="52">
        <f>IF(T91=Uzman_D!$B$32,1,0)</f>
        <v>0</v>
      </c>
      <c r="V91" s="55"/>
      <c r="W91" s="52">
        <f>IF(V91=Uzman_D!$B$33,1,0)</f>
        <v>0</v>
      </c>
      <c r="X91" s="53">
        <f t="shared" si="2"/>
        <v>0.1</v>
      </c>
      <c r="Y91" s="49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</row>
    <row r="92" spans="1:41" ht="15" customHeight="1" x14ac:dyDescent="0.45">
      <c r="A92" s="54">
        <v>89</v>
      </c>
      <c r="B92" s="139">
        <f>Hakemler!B92</f>
        <v>0</v>
      </c>
      <c r="C92" s="140">
        <f>Hakemler!C92</f>
        <v>0</v>
      </c>
      <c r="D92" s="55"/>
      <c r="E92" s="52">
        <f>IF(D92=Uzman_D!$B$24,1,0)</f>
        <v>0</v>
      </c>
      <c r="F92" s="55"/>
      <c r="G92" s="52">
        <f>IF(F92=Uzman_D!$B$25,1,0)</f>
        <v>1</v>
      </c>
      <c r="H92" s="55"/>
      <c r="I92" s="52">
        <f>IF(H92=Uzman_D!$B$26,1,0)</f>
        <v>0</v>
      </c>
      <c r="J92" s="55"/>
      <c r="K92" s="52">
        <f>IF(J92=Uzman_D!$B$27,1,0)</f>
        <v>0</v>
      </c>
      <c r="L92" s="55"/>
      <c r="M92" s="52">
        <f>IF(L92=Uzman_D!$B$28,1,0)</f>
        <v>0</v>
      </c>
      <c r="N92" s="55"/>
      <c r="O92" s="52">
        <f>IF(N92=Uzman_D!$B$29,1,0)</f>
        <v>0</v>
      </c>
      <c r="P92" s="55"/>
      <c r="Q92" s="52">
        <f>IF(P92=Uzman_D!$B$30,1,0)</f>
        <v>0</v>
      </c>
      <c r="R92" s="55"/>
      <c r="S92" s="52">
        <f>IF(R92=Uzman_D!$B$31,1,0)</f>
        <v>0</v>
      </c>
      <c r="T92" s="55"/>
      <c r="U92" s="52">
        <f>IF(T92=Uzman_D!$B$32,1,0)</f>
        <v>0</v>
      </c>
      <c r="V92" s="55"/>
      <c r="W92" s="52">
        <f>IF(V92=Uzman_D!$B$33,1,0)</f>
        <v>0</v>
      </c>
      <c r="X92" s="53">
        <f t="shared" si="2"/>
        <v>0.1</v>
      </c>
      <c r="Y92" s="49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</row>
    <row r="93" spans="1:41" ht="15" customHeight="1" x14ac:dyDescent="0.45">
      <c r="A93" s="54">
        <v>90</v>
      </c>
      <c r="B93" s="139">
        <f>Hakemler!B93</f>
        <v>0</v>
      </c>
      <c r="C93" s="140">
        <f>Hakemler!C93</f>
        <v>0</v>
      </c>
      <c r="D93" s="55"/>
      <c r="E93" s="52">
        <f>IF(D93=Uzman_D!$B$24,1,0)</f>
        <v>0</v>
      </c>
      <c r="F93" s="55"/>
      <c r="G93" s="52">
        <f>IF(F93=Uzman_D!$B$25,1,0)</f>
        <v>1</v>
      </c>
      <c r="H93" s="55"/>
      <c r="I93" s="52">
        <f>IF(H93=Uzman_D!$B$26,1,0)</f>
        <v>0</v>
      </c>
      <c r="J93" s="55"/>
      <c r="K93" s="52">
        <f>IF(J93=Uzman_D!$B$27,1,0)</f>
        <v>0</v>
      </c>
      <c r="L93" s="55"/>
      <c r="M93" s="52">
        <f>IF(L93=Uzman_D!$B$28,1,0)</f>
        <v>0</v>
      </c>
      <c r="N93" s="55"/>
      <c r="O93" s="52">
        <f>IF(N93=Uzman_D!$B$29,1,0)</f>
        <v>0</v>
      </c>
      <c r="P93" s="55"/>
      <c r="Q93" s="52">
        <f>IF(P93=Uzman_D!$B$30,1,0)</f>
        <v>0</v>
      </c>
      <c r="R93" s="55"/>
      <c r="S93" s="52">
        <f>IF(R93=Uzman_D!$B$31,1,0)</f>
        <v>0</v>
      </c>
      <c r="T93" s="55"/>
      <c r="U93" s="52">
        <f>IF(T93=Uzman_D!$B$32,1,0)</f>
        <v>0</v>
      </c>
      <c r="V93" s="55"/>
      <c r="W93" s="52">
        <f>IF(V93=Uzman_D!$B$33,1,0)</f>
        <v>0</v>
      </c>
      <c r="X93" s="53">
        <f t="shared" si="2"/>
        <v>0.1</v>
      </c>
      <c r="Y93" s="49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</row>
    <row r="94" spans="1:41" ht="15" customHeight="1" x14ac:dyDescent="0.45">
      <c r="A94" s="54">
        <v>91</v>
      </c>
      <c r="B94" s="139">
        <f>Hakemler!B94</f>
        <v>0</v>
      </c>
      <c r="C94" s="140">
        <f>Hakemler!C94</f>
        <v>0</v>
      </c>
      <c r="D94" s="55"/>
      <c r="E94" s="52">
        <f>IF(D94=Uzman_D!$B$24,1,0)</f>
        <v>0</v>
      </c>
      <c r="F94" s="55"/>
      <c r="G94" s="52">
        <f>IF(F94=Uzman_D!$B$25,1,0)</f>
        <v>1</v>
      </c>
      <c r="H94" s="55"/>
      <c r="I94" s="52">
        <f>IF(H94=Uzman_D!$B$26,1,0)</f>
        <v>0</v>
      </c>
      <c r="J94" s="55"/>
      <c r="K94" s="52">
        <f>IF(J94=Uzman_D!$B$27,1,0)</f>
        <v>0</v>
      </c>
      <c r="L94" s="55"/>
      <c r="M94" s="52">
        <f>IF(L94=Uzman_D!$B$28,1,0)</f>
        <v>0</v>
      </c>
      <c r="N94" s="55"/>
      <c r="O94" s="52">
        <f>IF(N94=Uzman_D!$B$29,1,0)</f>
        <v>0</v>
      </c>
      <c r="P94" s="55"/>
      <c r="Q94" s="52">
        <f>IF(P94=Uzman_D!$B$30,1,0)</f>
        <v>0</v>
      </c>
      <c r="R94" s="55"/>
      <c r="S94" s="52">
        <f>IF(R94=Uzman_D!$B$31,1,0)</f>
        <v>0</v>
      </c>
      <c r="T94" s="55"/>
      <c r="U94" s="52">
        <f>IF(T94=Uzman_D!$B$32,1,0)</f>
        <v>0</v>
      </c>
      <c r="V94" s="55"/>
      <c r="W94" s="52">
        <f>IF(V94=Uzman_D!$B$33,1,0)</f>
        <v>0</v>
      </c>
      <c r="X94" s="53">
        <f t="shared" si="2"/>
        <v>0.1</v>
      </c>
      <c r="Y94" s="49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</row>
    <row r="95" spans="1:41" ht="15" customHeight="1" x14ac:dyDescent="0.45">
      <c r="A95" s="54">
        <v>92</v>
      </c>
      <c r="B95" s="139">
        <f>Hakemler!B95</f>
        <v>0</v>
      </c>
      <c r="C95" s="140">
        <f>Hakemler!C95</f>
        <v>0</v>
      </c>
      <c r="D95" s="55"/>
      <c r="E95" s="52">
        <f>IF(D95=Uzman_D!$B$24,1,0)</f>
        <v>0</v>
      </c>
      <c r="F95" s="55"/>
      <c r="G95" s="52">
        <f>IF(F95=Uzman_D!$B$25,1,0)</f>
        <v>1</v>
      </c>
      <c r="H95" s="55"/>
      <c r="I95" s="52">
        <f>IF(H95=Uzman_D!$B$26,1,0)</f>
        <v>0</v>
      </c>
      <c r="J95" s="55"/>
      <c r="K95" s="52">
        <f>IF(J95=Uzman_D!$B$27,1,0)</f>
        <v>0</v>
      </c>
      <c r="L95" s="55"/>
      <c r="M95" s="52">
        <f>IF(L95=Uzman_D!$B$28,1,0)</f>
        <v>0</v>
      </c>
      <c r="N95" s="55"/>
      <c r="O95" s="52">
        <f>IF(N95=Uzman_D!$B$29,1,0)</f>
        <v>0</v>
      </c>
      <c r="P95" s="55"/>
      <c r="Q95" s="52">
        <f>IF(P95=Uzman_D!$B$30,1,0)</f>
        <v>0</v>
      </c>
      <c r="R95" s="55"/>
      <c r="S95" s="52">
        <f>IF(R95=Uzman_D!$B$31,1,0)</f>
        <v>0</v>
      </c>
      <c r="T95" s="55"/>
      <c r="U95" s="52">
        <f>IF(T95=Uzman_D!$B$32,1,0)</f>
        <v>0</v>
      </c>
      <c r="V95" s="55"/>
      <c r="W95" s="52">
        <f>IF(V95=Uzman_D!$B$33,1,0)</f>
        <v>0</v>
      </c>
      <c r="X95" s="53">
        <f t="shared" si="2"/>
        <v>0.1</v>
      </c>
      <c r="Y95" s="49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</row>
    <row r="96" spans="1:41" ht="15" customHeight="1" x14ac:dyDescent="0.45">
      <c r="A96" s="54">
        <v>93</v>
      </c>
      <c r="B96" s="139">
        <f>Hakemler!B96</f>
        <v>0</v>
      </c>
      <c r="C96" s="140">
        <f>Hakemler!C96</f>
        <v>0</v>
      </c>
      <c r="D96" s="55"/>
      <c r="E96" s="52">
        <f>IF(D96=Uzman_D!$B$24,1,0)</f>
        <v>0</v>
      </c>
      <c r="F96" s="55"/>
      <c r="G96" s="52">
        <f>IF(F96=Uzman_D!$B$25,1,0)</f>
        <v>1</v>
      </c>
      <c r="H96" s="55"/>
      <c r="I96" s="52">
        <f>IF(H96=Uzman_D!$B$26,1,0)</f>
        <v>0</v>
      </c>
      <c r="J96" s="55"/>
      <c r="K96" s="52">
        <f>IF(J96=Uzman_D!$B$27,1,0)</f>
        <v>0</v>
      </c>
      <c r="L96" s="55"/>
      <c r="M96" s="52">
        <f>IF(L96=Uzman_D!$B$28,1,0)</f>
        <v>0</v>
      </c>
      <c r="N96" s="55"/>
      <c r="O96" s="52">
        <f>IF(N96=Uzman_D!$B$29,1,0)</f>
        <v>0</v>
      </c>
      <c r="P96" s="55"/>
      <c r="Q96" s="52">
        <f>IF(P96=Uzman_D!$B$30,1,0)</f>
        <v>0</v>
      </c>
      <c r="R96" s="55"/>
      <c r="S96" s="52">
        <f>IF(R96=Uzman_D!$B$31,1,0)</f>
        <v>0</v>
      </c>
      <c r="T96" s="55"/>
      <c r="U96" s="52">
        <f>IF(T96=Uzman_D!$B$32,1,0)</f>
        <v>0</v>
      </c>
      <c r="V96" s="55"/>
      <c r="W96" s="52">
        <f>IF(V96=Uzman_D!$B$33,1,0)</f>
        <v>0</v>
      </c>
      <c r="X96" s="53">
        <f t="shared" si="2"/>
        <v>0.1</v>
      </c>
      <c r="Y96" s="49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</row>
    <row r="97" spans="1:41" ht="15" customHeight="1" x14ac:dyDescent="0.45">
      <c r="A97" s="54">
        <v>94</v>
      </c>
      <c r="B97" s="139">
        <f>Hakemler!B97</f>
        <v>0</v>
      </c>
      <c r="C97" s="140">
        <f>Hakemler!C97</f>
        <v>0</v>
      </c>
      <c r="D97" s="55"/>
      <c r="E97" s="52">
        <f>IF(D97=Uzman_D!$B$24,1,0)</f>
        <v>0</v>
      </c>
      <c r="F97" s="55"/>
      <c r="G97" s="52">
        <f>IF(F97=Uzman_D!$B$25,1,0)</f>
        <v>1</v>
      </c>
      <c r="H97" s="55"/>
      <c r="I97" s="52">
        <f>IF(H97=Uzman_D!$B$26,1,0)</f>
        <v>0</v>
      </c>
      <c r="J97" s="55"/>
      <c r="K97" s="52">
        <f>IF(J97=Uzman_D!$B$27,1,0)</f>
        <v>0</v>
      </c>
      <c r="L97" s="55"/>
      <c r="M97" s="52">
        <f>IF(L97=Uzman_D!$B$28,1,0)</f>
        <v>0</v>
      </c>
      <c r="N97" s="55"/>
      <c r="O97" s="52">
        <f>IF(N97=Uzman_D!$B$29,1,0)</f>
        <v>0</v>
      </c>
      <c r="P97" s="55"/>
      <c r="Q97" s="52">
        <f>IF(P97=Uzman_D!$B$30,1,0)</f>
        <v>0</v>
      </c>
      <c r="R97" s="55"/>
      <c r="S97" s="52">
        <f>IF(R97=Uzman_D!$B$31,1,0)</f>
        <v>0</v>
      </c>
      <c r="T97" s="55"/>
      <c r="U97" s="52">
        <f>IF(T97=Uzman_D!$B$32,1,0)</f>
        <v>0</v>
      </c>
      <c r="V97" s="55"/>
      <c r="W97" s="52">
        <f>IF(V97=Uzman_D!$B$33,1,0)</f>
        <v>0</v>
      </c>
      <c r="X97" s="53">
        <f t="shared" si="2"/>
        <v>0.1</v>
      </c>
      <c r="Y97" s="49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1" ht="15" customHeight="1" x14ac:dyDescent="0.45">
      <c r="A98" s="54">
        <v>95</v>
      </c>
      <c r="B98" s="139">
        <f>Hakemler!B98</f>
        <v>0</v>
      </c>
      <c r="C98" s="140">
        <f>Hakemler!C98</f>
        <v>0</v>
      </c>
      <c r="D98" s="55"/>
      <c r="E98" s="52">
        <f>IF(D98=Uzman_D!$B$24,1,0)</f>
        <v>0</v>
      </c>
      <c r="F98" s="55"/>
      <c r="G98" s="52">
        <f>IF(F98=Uzman_D!$B$25,1,0)</f>
        <v>1</v>
      </c>
      <c r="H98" s="55"/>
      <c r="I98" s="52">
        <f>IF(H98=Uzman_D!$B$26,1,0)</f>
        <v>0</v>
      </c>
      <c r="J98" s="55"/>
      <c r="K98" s="52">
        <f>IF(J98=Uzman_D!$B$27,1,0)</f>
        <v>0</v>
      </c>
      <c r="L98" s="55"/>
      <c r="M98" s="52">
        <f>IF(L98=Uzman_D!$B$28,1,0)</f>
        <v>0</v>
      </c>
      <c r="N98" s="55"/>
      <c r="O98" s="52">
        <f>IF(N98=Uzman_D!$B$29,1,0)</f>
        <v>0</v>
      </c>
      <c r="P98" s="55"/>
      <c r="Q98" s="52">
        <f>IF(P98=Uzman_D!$B$30,1,0)</f>
        <v>0</v>
      </c>
      <c r="R98" s="55"/>
      <c r="S98" s="52">
        <f>IF(R98=Uzman_D!$B$31,1,0)</f>
        <v>0</v>
      </c>
      <c r="T98" s="55"/>
      <c r="U98" s="52">
        <f>IF(T98=Uzman_D!$B$32,1,0)</f>
        <v>0</v>
      </c>
      <c r="V98" s="55"/>
      <c r="W98" s="52">
        <f>IF(V98=Uzman_D!$B$33,1,0)</f>
        <v>0</v>
      </c>
      <c r="X98" s="53">
        <f t="shared" si="2"/>
        <v>0.1</v>
      </c>
      <c r="Y98" s="49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</row>
    <row r="99" spans="1:41" ht="15" customHeight="1" x14ac:dyDescent="0.45">
      <c r="A99" s="54">
        <v>96</v>
      </c>
      <c r="B99" s="139">
        <f>Hakemler!B99</f>
        <v>0</v>
      </c>
      <c r="C99" s="140">
        <f>Hakemler!C99</f>
        <v>0</v>
      </c>
      <c r="D99" s="55"/>
      <c r="E99" s="52">
        <f>IF(D99=Uzman_D!$B$24,1,0)</f>
        <v>0</v>
      </c>
      <c r="F99" s="55"/>
      <c r="G99" s="52">
        <f>IF(F99=Uzman_D!$B$25,1,0)</f>
        <v>1</v>
      </c>
      <c r="H99" s="55"/>
      <c r="I99" s="52">
        <f>IF(H99=Uzman_D!$B$26,1,0)</f>
        <v>0</v>
      </c>
      <c r="J99" s="55"/>
      <c r="K99" s="52">
        <f>IF(J99=Uzman_D!$B$27,1,0)</f>
        <v>0</v>
      </c>
      <c r="L99" s="55"/>
      <c r="M99" s="52">
        <f>IF(L99=Uzman_D!$B$28,1,0)</f>
        <v>0</v>
      </c>
      <c r="N99" s="55"/>
      <c r="O99" s="52">
        <f>IF(N99=Uzman_D!$B$29,1,0)</f>
        <v>0</v>
      </c>
      <c r="P99" s="55"/>
      <c r="Q99" s="52">
        <f>IF(P99=Uzman_D!$B$30,1,0)</f>
        <v>0</v>
      </c>
      <c r="R99" s="55"/>
      <c r="S99" s="52">
        <f>IF(R99=Uzman_D!$B$31,1,0)</f>
        <v>0</v>
      </c>
      <c r="T99" s="55"/>
      <c r="U99" s="52">
        <f>IF(T99=Uzman_D!$B$32,1,0)</f>
        <v>0</v>
      </c>
      <c r="V99" s="55"/>
      <c r="W99" s="52">
        <f>IF(V99=Uzman_D!$B$33,1,0)</f>
        <v>0</v>
      </c>
      <c r="X99" s="53">
        <f t="shared" si="2"/>
        <v>0.1</v>
      </c>
      <c r="Y99" s="49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</row>
    <row r="100" spans="1:41" ht="15" customHeight="1" x14ac:dyDescent="0.45">
      <c r="A100" s="54">
        <v>97</v>
      </c>
      <c r="B100" s="139">
        <f>Hakemler!B100</f>
        <v>0</v>
      </c>
      <c r="C100" s="140">
        <f>Hakemler!C100</f>
        <v>0</v>
      </c>
      <c r="D100" s="55"/>
      <c r="E100" s="52">
        <f>IF(D100=Uzman_D!$B$24,1,0)</f>
        <v>0</v>
      </c>
      <c r="F100" s="55"/>
      <c r="G100" s="52">
        <f>IF(F100=Uzman_D!$B$25,1,0)</f>
        <v>1</v>
      </c>
      <c r="H100" s="55"/>
      <c r="I100" s="52">
        <f>IF(H100=Uzman_D!$B$26,1,0)</f>
        <v>0</v>
      </c>
      <c r="J100" s="55"/>
      <c r="K100" s="52">
        <f>IF(J100=Uzman_D!$B$27,1,0)</f>
        <v>0</v>
      </c>
      <c r="L100" s="55"/>
      <c r="M100" s="52">
        <f>IF(L100=Uzman_D!$B$28,1,0)</f>
        <v>0</v>
      </c>
      <c r="N100" s="55"/>
      <c r="O100" s="52">
        <f>IF(N100=Uzman_D!$B$29,1,0)</f>
        <v>0</v>
      </c>
      <c r="P100" s="55"/>
      <c r="Q100" s="52">
        <f>IF(P100=Uzman_D!$B$30,1,0)</f>
        <v>0</v>
      </c>
      <c r="R100" s="55"/>
      <c r="S100" s="52">
        <f>IF(R100=Uzman_D!$B$31,1,0)</f>
        <v>0</v>
      </c>
      <c r="T100" s="55"/>
      <c r="U100" s="52">
        <f>IF(T100=Uzman_D!$B$32,1,0)</f>
        <v>0</v>
      </c>
      <c r="V100" s="55"/>
      <c r="W100" s="52">
        <f>IF(V100=Uzman_D!$B$33,1,0)</f>
        <v>0</v>
      </c>
      <c r="X100" s="53">
        <f t="shared" ref="X100:X103" si="3">(E100+G100+I100+K100+M100+O100+Q100+S100+U100+W100)/10</f>
        <v>0.1</v>
      </c>
      <c r="Y100" s="49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</row>
    <row r="101" spans="1:41" ht="15" customHeight="1" x14ac:dyDescent="0.45">
      <c r="A101" s="54">
        <v>98</v>
      </c>
      <c r="B101" s="139">
        <f>Hakemler!B101</f>
        <v>0</v>
      </c>
      <c r="C101" s="140">
        <f>Hakemler!C101</f>
        <v>0</v>
      </c>
      <c r="D101" s="55"/>
      <c r="E101" s="52">
        <f>IF(D101=Uzman_D!$B$24,1,0)</f>
        <v>0</v>
      </c>
      <c r="F101" s="55"/>
      <c r="G101" s="52">
        <f>IF(F101=Uzman_D!$B$25,1,0)</f>
        <v>1</v>
      </c>
      <c r="H101" s="55"/>
      <c r="I101" s="52">
        <f>IF(H101=Uzman_D!$B$26,1,0)</f>
        <v>0</v>
      </c>
      <c r="J101" s="55"/>
      <c r="K101" s="52">
        <f>IF(J101=Uzman_D!$B$27,1,0)</f>
        <v>0</v>
      </c>
      <c r="L101" s="55"/>
      <c r="M101" s="52">
        <f>IF(L101=Uzman_D!$B$28,1,0)</f>
        <v>0</v>
      </c>
      <c r="N101" s="55"/>
      <c r="O101" s="52">
        <f>IF(N101=Uzman_D!$B$29,1,0)</f>
        <v>0</v>
      </c>
      <c r="P101" s="55"/>
      <c r="Q101" s="52">
        <f>IF(P101=Uzman_D!$B$30,1,0)</f>
        <v>0</v>
      </c>
      <c r="R101" s="55"/>
      <c r="S101" s="52">
        <f>IF(R101=Uzman_D!$B$31,1,0)</f>
        <v>0</v>
      </c>
      <c r="T101" s="55"/>
      <c r="U101" s="52">
        <f>IF(T101=Uzman_D!$B$32,1,0)</f>
        <v>0</v>
      </c>
      <c r="V101" s="55"/>
      <c r="W101" s="52">
        <f>IF(V101=Uzman_D!$B$33,1,0)</f>
        <v>0</v>
      </c>
      <c r="X101" s="53">
        <f t="shared" si="3"/>
        <v>0.1</v>
      </c>
      <c r="Y101" s="49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</row>
    <row r="102" spans="1:41" ht="15" customHeight="1" x14ac:dyDescent="0.45">
      <c r="A102" s="54">
        <v>99</v>
      </c>
      <c r="B102" s="139">
        <f>Hakemler!B102</f>
        <v>0</v>
      </c>
      <c r="C102" s="140">
        <f>Hakemler!C102</f>
        <v>0</v>
      </c>
      <c r="D102" s="55"/>
      <c r="E102" s="52">
        <f>IF(D102=Uzman_D!$B$24,1,0)</f>
        <v>0</v>
      </c>
      <c r="F102" s="55"/>
      <c r="G102" s="52">
        <f>IF(F102=Uzman_D!$B$25,1,0)</f>
        <v>1</v>
      </c>
      <c r="H102" s="55"/>
      <c r="I102" s="52">
        <f>IF(H102=Uzman_D!$B$26,1,0)</f>
        <v>0</v>
      </c>
      <c r="J102" s="55"/>
      <c r="K102" s="52">
        <f>IF(J102=Uzman_D!$B$27,1,0)</f>
        <v>0</v>
      </c>
      <c r="L102" s="55"/>
      <c r="M102" s="52">
        <f>IF(L102=Uzman_D!$B$28,1,0)</f>
        <v>0</v>
      </c>
      <c r="N102" s="55"/>
      <c r="O102" s="52">
        <f>IF(N102=Uzman_D!$B$29,1,0)</f>
        <v>0</v>
      </c>
      <c r="P102" s="55"/>
      <c r="Q102" s="52">
        <f>IF(P102=Uzman_D!$B$30,1,0)</f>
        <v>0</v>
      </c>
      <c r="R102" s="55"/>
      <c r="S102" s="52">
        <f>IF(R102=Uzman_D!$B$31,1,0)</f>
        <v>0</v>
      </c>
      <c r="T102" s="55"/>
      <c r="U102" s="52">
        <f>IF(T102=Uzman_D!$B$32,1,0)</f>
        <v>0</v>
      </c>
      <c r="V102" s="55"/>
      <c r="W102" s="52">
        <f>IF(V102=Uzman_D!$B$33,1,0)</f>
        <v>0</v>
      </c>
      <c r="X102" s="53">
        <f t="shared" si="3"/>
        <v>0.1</v>
      </c>
      <c r="Y102" s="49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</row>
    <row r="103" spans="1:41" ht="15" customHeight="1" x14ac:dyDescent="0.45">
      <c r="A103" s="54">
        <v>100</v>
      </c>
      <c r="B103" s="139">
        <f>Hakemler!B103</f>
        <v>0</v>
      </c>
      <c r="C103" s="140">
        <f>Hakemler!C103</f>
        <v>0</v>
      </c>
      <c r="D103" s="55"/>
      <c r="E103" s="57">
        <f>IF(D103=Uzman_D!$B$24,1,0)</f>
        <v>0</v>
      </c>
      <c r="F103" s="55"/>
      <c r="G103" s="57">
        <f>IF(F103=Uzman_D!$B$25,1,0)</f>
        <v>1</v>
      </c>
      <c r="H103" s="55"/>
      <c r="I103" s="57">
        <f>IF(H103=Uzman_D!$B$26,1,0)</f>
        <v>0</v>
      </c>
      <c r="J103" s="55"/>
      <c r="K103" s="57">
        <f>IF(J103=Uzman_D!$B$27,1,0)</f>
        <v>0</v>
      </c>
      <c r="L103" s="55"/>
      <c r="M103" s="57">
        <f>IF(L103=Uzman_D!$B$28,1,0)</f>
        <v>0</v>
      </c>
      <c r="N103" s="55"/>
      <c r="O103" s="57">
        <f>IF(N103=Uzman_D!$B$29,1,0)</f>
        <v>0</v>
      </c>
      <c r="P103" s="55"/>
      <c r="Q103" s="57">
        <f>IF(P103=Uzman_D!$B$30,1,0)</f>
        <v>0</v>
      </c>
      <c r="R103" s="55"/>
      <c r="S103" s="57">
        <f>IF(R103=Uzman_D!$B$31,1,0)</f>
        <v>0</v>
      </c>
      <c r="T103" s="55"/>
      <c r="U103" s="57">
        <f>IF(T103=Uzman_D!$B$32,1,0)</f>
        <v>0</v>
      </c>
      <c r="V103" s="55"/>
      <c r="W103" s="57">
        <f>IF(V103=Uzman_D!$B$33,1,0)</f>
        <v>0</v>
      </c>
      <c r="X103" s="58">
        <f t="shared" si="3"/>
        <v>0.1</v>
      </c>
      <c r="Y103" s="49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</row>
  </sheetData>
  <mergeCells count="14">
    <mergeCell ref="A2:A3"/>
    <mergeCell ref="L2:M2"/>
    <mergeCell ref="A1:X1"/>
    <mergeCell ref="R2:S2"/>
    <mergeCell ref="P2:Q2"/>
    <mergeCell ref="N2:O2"/>
    <mergeCell ref="V2:W2"/>
    <mergeCell ref="T2:U2"/>
    <mergeCell ref="B2:B3"/>
    <mergeCell ref="J2:K2"/>
    <mergeCell ref="C2:C3"/>
    <mergeCell ref="D2:E2"/>
    <mergeCell ref="F2:G2"/>
    <mergeCell ref="H2:I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03"/>
  <sheetViews>
    <sheetView showGridLines="0" topLeftCell="A19" workbookViewId="0">
      <selection activeCell="S19" sqref="A1:S1048576"/>
    </sheetView>
  </sheetViews>
  <sheetFormatPr defaultColWidth="8.796875" defaultRowHeight="15" customHeight="1" x14ac:dyDescent="0.45"/>
  <cols>
    <col min="1" max="1" width="3.46484375" style="1" customWidth="1"/>
    <col min="2" max="2" width="13.46484375" style="141" customWidth="1"/>
    <col min="3" max="3" width="19.19921875" style="141" customWidth="1"/>
    <col min="4" max="7" width="5.46484375" style="1" customWidth="1"/>
    <col min="8" max="9" width="6.6640625" style="1" customWidth="1"/>
    <col min="10" max="18" width="5.46484375" style="1" customWidth="1"/>
    <col min="19" max="19" width="9.46484375" style="1" customWidth="1"/>
    <col min="20" max="256" width="8.86328125" style="1" customWidth="1"/>
  </cols>
  <sheetData>
    <row r="1" spans="1:36" ht="18.75" customHeight="1" x14ac:dyDescent="0.45">
      <c r="A1" s="191" t="s">
        <v>66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3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45">
      <c r="A2" s="187" t="s">
        <v>9</v>
      </c>
      <c r="B2" s="196" t="s">
        <v>10</v>
      </c>
      <c r="C2" s="198" t="s">
        <v>11</v>
      </c>
      <c r="D2" s="189" t="s">
        <v>67</v>
      </c>
      <c r="E2" s="201"/>
      <c r="F2" s="190"/>
      <c r="G2" s="194" t="s">
        <v>68</v>
      </c>
      <c r="H2" s="200"/>
      <c r="I2" s="195"/>
      <c r="J2" s="189" t="s">
        <v>69</v>
      </c>
      <c r="K2" s="201"/>
      <c r="L2" s="190"/>
      <c r="M2" s="194" t="s">
        <v>70</v>
      </c>
      <c r="N2" s="200"/>
      <c r="O2" s="195"/>
      <c r="P2" s="194" t="s">
        <v>71</v>
      </c>
      <c r="Q2" s="200"/>
      <c r="R2" s="195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45">
      <c r="A3" s="188"/>
      <c r="B3" s="197"/>
      <c r="C3" s="199"/>
      <c r="D3" s="45" t="s">
        <v>67</v>
      </c>
      <c r="E3" s="59" t="s">
        <v>72</v>
      </c>
      <c r="F3" s="47" t="s">
        <v>64</v>
      </c>
      <c r="G3" s="45" t="s">
        <v>68</v>
      </c>
      <c r="H3" s="59" t="s">
        <v>72</v>
      </c>
      <c r="I3" s="47" t="s">
        <v>64</v>
      </c>
      <c r="J3" s="45" t="s">
        <v>69</v>
      </c>
      <c r="K3" s="59" t="s">
        <v>72</v>
      </c>
      <c r="L3" s="47" t="s">
        <v>64</v>
      </c>
      <c r="M3" s="45" t="s">
        <v>70</v>
      </c>
      <c r="N3" s="59" t="s">
        <v>72</v>
      </c>
      <c r="O3" s="47" t="s">
        <v>64</v>
      </c>
      <c r="P3" s="45" t="s">
        <v>71</v>
      </c>
      <c r="Q3" s="59" t="s">
        <v>72</v>
      </c>
      <c r="R3" s="47" t="s">
        <v>64</v>
      </c>
      <c r="S3" s="48" t="s">
        <v>65</v>
      </c>
      <c r="T3" s="4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x14ac:dyDescent="0.45">
      <c r="A4" s="50">
        <v>1</v>
      </c>
      <c r="B4" s="142" t="str">
        <f>Hakemler!B4</f>
        <v>YAZICI</v>
      </c>
      <c r="C4" s="143" t="str">
        <f>Hakemler!C4</f>
        <v>SUZAN</v>
      </c>
      <c r="D4" s="51">
        <v>1.6</v>
      </c>
      <c r="E4" s="60">
        <f>IF(ISBLANK(D4),0,ABS(Uzman_E!A$4-D4))</f>
        <v>0.20000000000000018</v>
      </c>
      <c r="F4" s="52">
        <f>IF(ISBLANK(D4),0,INDEX(Tablo_E!$B$2:$CX$102,MATCH(ROUND(Uzman_E!A$4,1),Tablo_E!$A$2:$A$102,1),MATCH(ROUND(E4,1),Tablo_E!$B$1:$CX$1,1)))</f>
        <v>1</v>
      </c>
      <c r="G4" s="51">
        <v>1.8</v>
      </c>
      <c r="H4" s="60">
        <f>IF(ISBLANK(G4),0,ABS(Uzman_E!B$4-G4))</f>
        <v>0.49999999999999978</v>
      </c>
      <c r="I4" s="52">
        <f>IF(ISBLANK(G4),0,INDEX(Tablo_E!$B$2:$CX$102,MATCH(ROUND(Uzman_E!B$4,1),Tablo_E!$A$2:$A$102,1),MATCH(ROUND(H4,1),Tablo_E!$B$1:$CX$1,1)))</f>
        <v>0.85</v>
      </c>
      <c r="J4" s="51">
        <v>1.3</v>
      </c>
      <c r="K4" s="60">
        <f>IF(ISBLANK(J4),0,ABS(Uzman_E!C$4-J4))</f>
        <v>0.19999999999999996</v>
      </c>
      <c r="L4" s="52">
        <f>IF(ISBLANK(J4),0,INDEX(Tablo_E!$B$2:$CX$102,MATCH(ROUND(Uzman_E!C$4,1),Tablo_E!$A$2:$A$102,1),MATCH(ROUND(K4,1),Tablo_E!$B$1:$CX$1,1)))</f>
        <v>1</v>
      </c>
      <c r="M4" s="51">
        <v>1</v>
      </c>
      <c r="N4" s="60">
        <f>IF(ISBLANK(M4),0,ABS(Uzman_E!D$4-M4))</f>
        <v>0.19999999999999996</v>
      </c>
      <c r="O4" s="52">
        <f>IF(ISBLANK(M4),0,INDEX(Tablo_E!$B$2:$CX$102,MATCH(ROUND(Uzman_E!D$4,1),Tablo_E!$A$2:$A$102,1),MATCH(ROUND(N4,1),Tablo_E!$B$1:$CX$1,1)))</f>
        <v>1</v>
      </c>
      <c r="P4" s="51">
        <v>0.8</v>
      </c>
      <c r="Q4" s="60">
        <f>IF(ISBLANK(P4),0,ABS(Uzman_E!E$4-P4))</f>
        <v>0.19999999999999996</v>
      </c>
      <c r="R4" s="52">
        <f>IF(ISBLANK(P4),0,INDEX(Tablo_E!$B$2:$CX$102,MATCH(ROUND(Uzman_E!B$4,1),Tablo_E!$A$2:$A$102,1),MATCH(ROUND(Q4,1),Tablo_E!$B$1:$CX$1,1)))</f>
        <v>1</v>
      </c>
      <c r="S4" s="53">
        <f t="shared" ref="S4:S35" si="0">(F4+I4+L4+O4+R4)/5</f>
        <v>0.97</v>
      </c>
      <c r="T4" s="49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x14ac:dyDescent="0.45">
      <c r="A5" s="54">
        <v>2</v>
      </c>
      <c r="B5" s="144" t="str">
        <f>Hakemler!B5</f>
        <v>ASLAN</v>
      </c>
      <c r="C5" s="145" t="str">
        <f>Hakemler!C5</f>
        <v>SEMA FİDEL</v>
      </c>
      <c r="D5" s="55">
        <v>1</v>
      </c>
      <c r="E5" s="60">
        <f>IF(ISBLANK(D5),0,ABS(Uzman_E!A$4-D5))</f>
        <v>0.39999999999999991</v>
      </c>
      <c r="F5" s="52">
        <f>IF(ISBLANK(D5),0,INDEX(Tablo_E!$B$2:$CX$102,MATCH(ROUND(Uzman_E!A$4,1),Tablo_E!$A$2:$A$102,1),MATCH(ROUND(E5,1),Tablo_E!$B$1:$CX$1,1)))</f>
        <v>0.8</v>
      </c>
      <c r="G5" s="55"/>
      <c r="H5" s="60">
        <f>IF(ISBLANK(G5),0,ABS(Uzman_E!B$4-G5))</f>
        <v>0</v>
      </c>
      <c r="I5" s="52">
        <f>IF(ISBLANK(G5),0,INDEX(Tablo_E!$B$2:$CX$102,MATCH(ROUND(Uzman_E!B$4,1),Tablo_E!$A$2:$A$102,1),MATCH(ROUND(H5,1),Tablo_E!$B$1:$CX$1,1)))</f>
        <v>0</v>
      </c>
      <c r="J5" s="55"/>
      <c r="K5" s="60">
        <f>IF(ISBLANK(J5),0,ABS(Uzman_E!C$4-J5))</f>
        <v>0</v>
      </c>
      <c r="L5" s="52">
        <f>IF(ISBLANK(J5),0,INDEX(Tablo_E!$B$2:$CX$102,MATCH(ROUND(Uzman_E!C$4,1),Tablo_E!$A$2:$A$102,1),MATCH(ROUND(K5,1),Tablo_E!$B$1:$CX$1,1)))</f>
        <v>0</v>
      </c>
      <c r="M5" s="55"/>
      <c r="N5" s="60">
        <f>IF(ISBLANK(M5),0,ABS(Uzman_E!D$4-M5))</f>
        <v>0</v>
      </c>
      <c r="O5" s="52">
        <f>IF(ISBLANK(M5),0,INDEX(Tablo_E!$B$2:$CX$102,MATCH(ROUND(Uzman_E!D$4,1),Tablo_E!$A$2:$A$102,1),MATCH(ROUND(N5,1),Tablo_E!$B$1:$CX$1,1)))</f>
        <v>0</v>
      </c>
      <c r="P5" s="55">
        <v>1</v>
      </c>
      <c r="Q5" s="60">
        <f>IF(ISBLANK(P5),0,ABS(Uzman_E!E$4-P5))</f>
        <v>0</v>
      </c>
      <c r="R5" s="52">
        <f>IF(ISBLANK(P5),0,INDEX(Tablo_E!$B$2:$CX$102,MATCH(ROUND(Uzman_E!B$4,1),Tablo_E!$A$2:$A$102,1),MATCH(ROUND(Q5,1),Tablo_E!$B$1:$CX$1,1)))</f>
        <v>1</v>
      </c>
      <c r="S5" s="53">
        <f t="shared" si="0"/>
        <v>0.36</v>
      </c>
      <c r="T5" s="49"/>
      <c r="U5" s="25"/>
      <c r="V5" s="25"/>
      <c r="W5" s="25"/>
      <c r="X5" s="61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x14ac:dyDescent="0.45">
      <c r="A6" s="54">
        <v>3</v>
      </c>
      <c r="B6" s="144" t="str">
        <f>Hakemler!B6</f>
        <v>TUNA</v>
      </c>
      <c r="C6" s="145" t="str">
        <f>Hakemler!C6</f>
        <v>MUNİSE</v>
      </c>
      <c r="D6" s="55"/>
      <c r="E6" s="60">
        <f>IF(ISBLANK(D6),0,ABS(Uzman_E!A$4-D6))</f>
        <v>0</v>
      </c>
      <c r="F6" s="52">
        <f>IF(ISBLANK(D6),0,INDEX(Tablo_E!$B$2:$CX$102,MATCH(ROUND(Uzman_E!A$4,1),Tablo_E!$A$2:$A$102,1),MATCH(ROUND(E6,1),Tablo_E!$B$1:$CX$1,1)))</f>
        <v>0</v>
      </c>
      <c r="G6" s="55"/>
      <c r="H6" s="60">
        <f>IF(ISBLANK(G6),0,ABS(Uzman_E!B$4-G6))</f>
        <v>0</v>
      </c>
      <c r="I6" s="52">
        <f>IF(ISBLANK(G6),0,INDEX(Tablo_E!$B$2:$CX$102,MATCH(ROUND(Uzman_E!B$4,1),Tablo_E!$A$2:$A$102,1),MATCH(ROUND(H6,1),Tablo_E!$B$1:$CX$1,1)))</f>
        <v>0</v>
      </c>
      <c r="J6" s="55">
        <v>3</v>
      </c>
      <c r="K6" s="60">
        <f>IF(ISBLANK(J6),0,ABS(Uzman_E!C$4-J6))</f>
        <v>1.9</v>
      </c>
      <c r="L6" s="52">
        <f>IF(ISBLANK(J6),0,INDEX(Tablo_E!$B$2:$CX$102,MATCH(ROUND(Uzman_E!C$4,1),Tablo_E!$A$2:$A$102,1),MATCH(ROUND(K6,1),Tablo_E!$B$1:$CX$1,1)))</f>
        <v>0</v>
      </c>
      <c r="M6" s="55"/>
      <c r="N6" s="60">
        <f>IF(ISBLANK(M6),0,ABS(Uzman_E!D$4-M6))</f>
        <v>0</v>
      </c>
      <c r="O6" s="52">
        <f>IF(ISBLANK(M6),0,INDEX(Tablo_E!$B$2:$CX$102,MATCH(ROUND(Uzman_E!D$4,1),Tablo_E!$A$2:$A$102,1),MATCH(ROUND(N6,1),Tablo_E!$B$1:$CX$1,1)))</f>
        <v>0</v>
      </c>
      <c r="P6" s="55">
        <v>1.2</v>
      </c>
      <c r="Q6" s="60">
        <f>IF(ISBLANK(P6),0,ABS(Uzman_E!E$4-P6))</f>
        <v>0.19999999999999996</v>
      </c>
      <c r="R6" s="52">
        <f>IF(ISBLANK(P6),0,INDEX(Tablo_E!$B$2:$CX$102,MATCH(ROUND(Uzman_E!B$4,1),Tablo_E!$A$2:$A$102,1),MATCH(ROUND(Q6,1),Tablo_E!$B$1:$CX$1,1)))</f>
        <v>1</v>
      </c>
      <c r="S6" s="53">
        <f t="shared" si="0"/>
        <v>0.2</v>
      </c>
      <c r="T6" s="4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x14ac:dyDescent="0.45">
      <c r="A7" s="54">
        <v>4</v>
      </c>
      <c r="B7" s="144" t="str">
        <f>Hakemler!B7</f>
        <v>ÜNAL</v>
      </c>
      <c r="C7" s="145" t="str">
        <f>Hakemler!C7</f>
        <v>FATMA HANIM</v>
      </c>
      <c r="D7" s="55"/>
      <c r="E7" s="60">
        <f>IF(ISBLANK(D7),0,ABS(Uzman_E!A$4-D7))</f>
        <v>0</v>
      </c>
      <c r="F7" s="52">
        <f>IF(ISBLANK(D7),0,INDEX(Tablo_E!$B$2:$CX$102,MATCH(ROUND(Uzman_E!A$4,1),Tablo_E!$A$2:$A$102,1),MATCH(ROUND(E7,1),Tablo_E!$B$1:$CX$1,1)))</f>
        <v>0</v>
      </c>
      <c r="G7" s="55">
        <v>2</v>
      </c>
      <c r="H7" s="60">
        <f>IF(ISBLANK(G7),0,ABS(Uzman_E!B$4-G7))</f>
        <v>0.29999999999999982</v>
      </c>
      <c r="I7" s="52">
        <f>IF(ISBLANK(G7),0,INDEX(Tablo_E!$B$2:$CX$102,MATCH(ROUND(Uzman_E!B$4,1),Tablo_E!$A$2:$A$102,1),MATCH(ROUND(H7,1),Tablo_E!$B$1:$CX$1,1)))</f>
        <v>1</v>
      </c>
      <c r="J7" s="55">
        <v>2</v>
      </c>
      <c r="K7" s="60">
        <f>IF(ISBLANK(J7),0,ABS(Uzman_E!C$4-J7))</f>
        <v>0.89999999999999991</v>
      </c>
      <c r="L7" s="52">
        <f>IF(ISBLANK(J7),0,INDEX(Tablo_E!$B$2:$CX$102,MATCH(ROUND(Uzman_E!C$4,1),Tablo_E!$A$2:$A$102,1),MATCH(ROUND(K7,1),Tablo_E!$B$1:$CX$1,1)))</f>
        <v>0.3</v>
      </c>
      <c r="M7" s="55"/>
      <c r="N7" s="60">
        <f>IF(ISBLANK(M7),0,ABS(Uzman_E!D$4-M7))</f>
        <v>0</v>
      </c>
      <c r="O7" s="52">
        <f>IF(ISBLANK(M7),0,INDEX(Tablo_E!$B$2:$CX$102,MATCH(ROUND(Uzman_E!D$4,1),Tablo_E!$A$2:$A$102,1),MATCH(ROUND(N7,1),Tablo_E!$B$1:$CX$1,1)))</f>
        <v>0</v>
      </c>
      <c r="P7" s="55">
        <v>1.4</v>
      </c>
      <c r="Q7" s="60">
        <f>IF(ISBLANK(P7),0,ABS(Uzman_E!E$4-P7))</f>
        <v>0.39999999999999991</v>
      </c>
      <c r="R7" s="52">
        <f>IF(ISBLANK(P7),0,INDEX(Tablo_E!$B$2:$CX$102,MATCH(ROUND(Uzman_E!B$4,1),Tablo_E!$A$2:$A$102,1),MATCH(ROUND(Q7,1),Tablo_E!$B$1:$CX$1,1)))</f>
        <v>0.95</v>
      </c>
      <c r="S7" s="53">
        <f t="shared" si="0"/>
        <v>0.45</v>
      </c>
      <c r="T7" s="49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x14ac:dyDescent="0.45">
      <c r="A8" s="54">
        <v>5</v>
      </c>
      <c r="B8" s="144" t="str">
        <f>Hakemler!B8</f>
        <v>BAŞKAN PERÇİN</v>
      </c>
      <c r="C8" s="145" t="str">
        <f>Hakemler!C8</f>
        <v>ÖZGE</v>
      </c>
      <c r="D8" s="55"/>
      <c r="E8" s="60">
        <f>IF(ISBLANK(D8),0,ABS(Uzman_E!A$4-D8))</f>
        <v>0</v>
      </c>
      <c r="F8" s="52">
        <f>IF(ISBLANK(D8),0,INDEX(Tablo_E!$B$2:$CX$102,MATCH(ROUND(Uzman_E!A$4,1),Tablo_E!$A$2:$A$102,1),MATCH(ROUND(E8,1),Tablo_E!$B$1:$CX$1,1)))</f>
        <v>0</v>
      </c>
      <c r="G8" s="55">
        <v>1.2</v>
      </c>
      <c r="H8" s="60">
        <f>IF(ISBLANK(G8),0,ABS(Uzman_E!B$4-G8))</f>
        <v>1.0999999999999999</v>
      </c>
      <c r="I8" s="52">
        <f>IF(ISBLANK(G8),0,INDEX(Tablo_E!$B$2:$CX$102,MATCH(ROUND(Uzman_E!B$4,1),Tablo_E!$A$2:$A$102,1),MATCH(ROUND(H8,1),Tablo_E!$B$1:$CX$1,1)))</f>
        <v>0.3</v>
      </c>
      <c r="J8" s="55">
        <v>1</v>
      </c>
      <c r="K8" s="60">
        <f>IF(ISBLANK(J8),0,ABS(Uzman_E!C$4-J8))</f>
        <v>0.10000000000000009</v>
      </c>
      <c r="L8" s="52">
        <f>IF(ISBLANK(J8),0,INDEX(Tablo_E!$B$2:$CX$102,MATCH(ROUND(Uzman_E!C$4,1),Tablo_E!$A$2:$A$102,1),MATCH(ROUND(K8,1),Tablo_E!$B$1:$CX$1,1)))</f>
        <v>1</v>
      </c>
      <c r="M8" s="55"/>
      <c r="N8" s="60">
        <f>IF(ISBLANK(M8),0,ABS(Uzman_E!D$4-M8))</f>
        <v>0</v>
      </c>
      <c r="O8" s="52">
        <f>IF(ISBLANK(M8),0,INDEX(Tablo_E!$B$2:$CX$102,MATCH(ROUND(Uzman_E!D$4,1),Tablo_E!$A$2:$A$102,1),MATCH(ROUND(N8,1),Tablo_E!$B$1:$CX$1,1)))</f>
        <v>0</v>
      </c>
      <c r="P8" s="55"/>
      <c r="Q8" s="60">
        <f>IF(ISBLANK(P8),0,ABS(Uzman_E!E$4-P8))</f>
        <v>0</v>
      </c>
      <c r="R8" s="52">
        <f>IF(ISBLANK(P8),0,INDEX(Tablo_E!$B$2:$CX$102,MATCH(ROUND(Uzman_E!B$4,1),Tablo_E!$A$2:$A$102,1),MATCH(ROUND(Q8,1),Tablo_E!$B$1:$CX$1,1)))</f>
        <v>0</v>
      </c>
      <c r="S8" s="53">
        <f t="shared" si="0"/>
        <v>0.26</v>
      </c>
      <c r="T8" s="49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x14ac:dyDescent="0.45">
      <c r="A9" s="54">
        <v>6</v>
      </c>
      <c r="B9" s="144" t="str">
        <f>Hakemler!B9</f>
        <v>ŞEN İZMİRLİ</v>
      </c>
      <c r="C9" s="145" t="str">
        <f>Hakemler!C9</f>
        <v>SİNEM</v>
      </c>
      <c r="D9" s="55"/>
      <c r="E9" s="60">
        <f>IF(ISBLANK(D9),0,ABS(Uzman_E!A$4-D9))</f>
        <v>0</v>
      </c>
      <c r="F9" s="52">
        <f>IF(ISBLANK(D9),0,INDEX(Tablo_E!$B$2:$CX$102,MATCH(ROUND(Uzman_E!A$4,1),Tablo_E!$A$2:$A$102,1),MATCH(ROUND(E9,1),Tablo_E!$B$1:$CX$1,1)))</f>
        <v>0</v>
      </c>
      <c r="G9" s="55">
        <v>1</v>
      </c>
      <c r="H9" s="60">
        <f>IF(ISBLANK(G9),0,ABS(Uzman_E!B$4-G9))</f>
        <v>1.2999999999999998</v>
      </c>
      <c r="I9" s="52">
        <f>IF(ISBLANK(G9),0,INDEX(Tablo_E!$B$2:$CX$102,MATCH(ROUND(Uzman_E!B$4,1),Tablo_E!$A$2:$A$102,1),MATCH(ROUND(H9,1),Tablo_E!$B$1:$CX$1,1)))</f>
        <v>0.1</v>
      </c>
      <c r="J9" s="55">
        <v>5</v>
      </c>
      <c r="K9" s="60">
        <f>IF(ISBLANK(J9),0,ABS(Uzman_E!C$4-J9))</f>
        <v>3.9</v>
      </c>
      <c r="L9" s="52">
        <f>IF(ISBLANK(J9),0,INDEX(Tablo_E!$B$2:$CX$102,MATCH(ROUND(Uzman_E!C$4,1),Tablo_E!$A$2:$A$102,1),MATCH(ROUND(K9,1),Tablo_E!$B$1:$CX$1,1)))</f>
        <v>0</v>
      </c>
      <c r="M9" s="55"/>
      <c r="N9" s="60">
        <f>IF(ISBLANK(M9),0,ABS(Uzman_E!D$4-M9))</f>
        <v>0</v>
      </c>
      <c r="O9" s="52">
        <f>IF(ISBLANK(M9),0,INDEX(Tablo_E!$B$2:$CX$102,MATCH(ROUND(Uzman_E!D$4,1),Tablo_E!$A$2:$A$102,1),MATCH(ROUND(N9,1),Tablo_E!$B$1:$CX$1,1)))</f>
        <v>0</v>
      </c>
      <c r="P9" s="55"/>
      <c r="Q9" s="60">
        <f>IF(ISBLANK(P9),0,ABS(Uzman_E!E$4-P9))</f>
        <v>0</v>
      </c>
      <c r="R9" s="52">
        <f>IF(ISBLANK(P9),0,INDEX(Tablo_E!$B$2:$CX$102,MATCH(ROUND(Uzman_E!B$4,1),Tablo_E!$A$2:$A$102,1),MATCH(ROUND(Q9,1),Tablo_E!$B$1:$CX$1,1)))</f>
        <v>0</v>
      </c>
      <c r="S9" s="53">
        <f t="shared" si="0"/>
        <v>0.02</v>
      </c>
      <c r="T9" s="49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x14ac:dyDescent="0.45">
      <c r="A10" s="54">
        <v>7</v>
      </c>
      <c r="B10" s="144" t="str">
        <f>Hakemler!B10</f>
        <v>YILDIRIMER</v>
      </c>
      <c r="C10" s="145" t="str">
        <f>Hakemler!C10</f>
        <v>BUSE</v>
      </c>
      <c r="D10" s="55"/>
      <c r="E10" s="60">
        <f>IF(ISBLANK(D10),0,ABS(Uzman_E!A$4-D10))</f>
        <v>0</v>
      </c>
      <c r="F10" s="52">
        <f>IF(ISBLANK(D10),0,INDEX(Tablo_E!$B$2:$CX$102,MATCH(ROUND(Uzman_E!A$4,1),Tablo_E!$A$2:$A$102,1),MATCH(ROUND(E10,1),Tablo_E!$B$1:$CX$1,1)))</f>
        <v>0</v>
      </c>
      <c r="G10" s="55">
        <v>1.5</v>
      </c>
      <c r="H10" s="60">
        <f>IF(ISBLANK(G10),0,ABS(Uzman_E!B$4-G10))</f>
        <v>0.79999999999999982</v>
      </c>
      <c r="I10" s="52">
        <f>IF(ISBLANK(G10),0,INDEX(Tablo_E!$B$2:$CX$102,MATCH(ROUND(Uzman_E!B$4,1),Tablo_E!$A$2:$A$102,1),MATCH(ROUND(H10,1),Tablo_E!$B$1:$CX$1,1)))</f>
        <v>0.6</v>
      </c>
      <c r="J10" s="55">
        <v>4</v>
      </c>
      <c r="K10" s="60">
        <f>IF(ISBLANK(J10),0,ABS(Uzman_E!C$4-J10))</f>
        <v>2.9</v>
      </c>
      <c r="L10" s="52">
        <f>IF(ISBLANK(J10),0,INDEX(Tablo_E!$B$2:$CX$102,MATCH(ROUND(Uzman_E!C$4,1),Tablo_E!$A$2:$A$102,1),MATCH(ROUND(K10,1),Tablo_E!$B$1:$CX$1,1)))</f>
        <v>0</v>
      </c>
      <c r="M10" s="55"/>
      <c r="N10" s="60">
        <f>IF(ISBLANK(M10),0,ABS(Uzman_E!D$4-M10))</f>
        <v>0</v>
      </c>
      <c r="O10" s="52">
        <f>IF(ISBLANK(M10),0,INDEX(Tablo_E!$B$2:$CX$102,MATCH(ROUND(Uzman_E!D$4,1),Tablo_E!$A$2:$A$102,1),MATCH(ROUND(N10,1),Tablo_E!$B$1:$CX$1,1)))</f>
        <v>0</v>
      </c>
      <c r="P10" s="55"/>
      <c r="Q10" s="60">
        <f>IF(ISBLANK(P10),0,ABS(Uzman_E!E$4-P10))</f>
        <v>0</v>
      </c>
      <c r="R10" s="52">
        <f>IF(ISBLANK(P10),0,INDEX(Tablo_E!$B$2:$CX$102,MATCH(ROUND(Uzman_E!B$4,1),Tablo_E!$A$2:$A$102,1),MATCH(ROUND(Q10,1),Tablo_E!$B$1:$CX$1,1)))</f>
        <v>0</v>
      </c>
      <c r="S10" s="53">
        <f t="shared" si="0"/>
        <v>0.12</v>
      </c>
      <c r="T10" s="49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x14ac:dyDescent="0.45">
      <c r="A11" s="54">
        <v>8</v>
      </c>
      <c r="B11" s="144" t="str">
        <f>Hakemler!B11</f>
        <v>KESKİN</v>
      </c>
      <c r="C11" s="145" t="str">
        <f>Hakemler!C11</f>
        <v>ENFAL</v>
      </c>
      <c r="D11" s="55"/>
      <c r="E11" s="60">
        <f>IF(ISBLANK(D11),0,ABS(Uzman_E!A$4-D11))</f>
        <v>0</v>
      </c>
      <c r="F11" s="52">
        <f>IF(ISBLANK(D11),0,INDEX(Tablo_E!$B$2:$CX$102,MATCH(ROUND(Uzman_E!A$4,1),Tablo_E!$A$2:$A$102,1),MATCH(ROUND(E11,1),Tablo_E!$B$1:$CX$1,1)))</f>
        <v>0</v>
      </c>
      <c r="G11" s="55"/>
      <c r="H11" s="60">
        <f>IF(ISBLANK(G11),0,ABS(Uzman_E!B$4-G11))</f>
        <v>0</v>
      </c>
      <c r="I11" s="52">
        <f>IF(ISBLANK(G11),0,INDEX(Tablo_E!$B$2:$CX$102,MATCH(ROUND(Uzman_E!B$4,1),Tablo_E!$A$2:$A$102,1),MATCH(ROUND(H11,1),Tablo_E!$B$1:$CX$1,1)))</f>
        <v>0</v>
      </c>
      <c r="J11" s="55"/>
      <c r="K11" s="60">
        <f>IF(ISBLANK(J11),0,ABS(Uzman_E!C$4-J11))</f>
        <v>0</v>
      </c>
      <c r="L11" s="52">
        <f>IF(ISBLANK(J11),0,INDEX(Tablo_E!$B$2:$CX$102,MATCH(ROUND(Uzman_E!C$4,1),Tablo_E!$A$2:$A$102,1),MATCH(ROUND(K11,1),Tablo_E!$B$1:$CX$1,1)))</f>
        <v>0</v>
      </c>
      <c r="M11" s="55"/>
      <c r="N11" s="60">
        <f>IF(ISBLANK(M11),0,ABS(Uzman_E!D$4-M11))</f>
        <v>0</v>
      </c>
      <c r="O11" s="52">
        <f>IF(ISBLANK(M11),0,INDEX(Tablo_E!$B$2:$CX$102,MATCH(ROUND(Uzman_E!D$4,1),Tablo_E!$A$2:$A$102,1),MATCH(ROUND(N11,1),Tablo_E!$B$1:$CX$1,1)))</f>
        <v>0</v>
      </c>
      <c r="P11" s="55"/>
      <c r="Q11" s="60">
        <f>IF(ISBLANK(P11),0,ABS(Uzman_E!E$4-P11))</f>
        <v>0</v>
      </c>
      <c r="R11" s="52">
        <f>IF(ISBLANK(P11),0,INDEX(Tablo_E!$B$2:$CX$102,MATCH(ROUND(Uzman_E!B$4,1),Tablo_E!$A$2:$A$102,1),MATCH(ROUND(Q11,1),Tablo_E!$B$1:$CX$1,1)))</f>
        <v>0</v>
      </c>
      <c r="S11" s="53">
        <f t="shared" si="0"/>
        <v>0</v>
      </c>
      <c r="T11" s="49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x14ac:dyDescent="0.45">
      <c r="A12" s="54">
        <v>9</v>
      </c>
      <c r="B12" s="144" t="str">
        <f>Hakemler!B12</f>
        <v>ÜNAL</v>
      </c>
      <c r="C12" s="145" t="str">
        <f>Hakemler!C12</f>
        <v>NAZLINEHİR</v>
      </c>
      <c r="D12" s="55"/>
      <c r="E12" s="60">
        <f>IF(ISBLANK(D12),0,ABS(Uzman_E!A$4-D12))</f>
        <v>0</v>
      </c>
      <c r="F12" s="52">
        <f>IF(ISBLANK(D12),0,INDEX(Tablo_E!$B$2:$CX$102,MATCH(ROUND(Uzman_E!A$4,1),Tablo_E!$A$2:$A$102,1),MATCH(ROUND(E12,1),Tablo_E!$B$1:$CX$1,1)))</f>
        <v>0</v>
      </c>
      <c r="G12" s="55"/>
      <c r="H12" s="60">
        <f>IF(ISBLANK(G12),0,ABS(Uzman_E!B$4-G12))</f>
        <v>0</v>
      </c>
      <c r="I12" s="52">
        <f>IF(ISBLANK(G12),0,INDEX(Tablo_E!$B$2:$CX$102,MATCH(ROUND(Uzman_E!B$4,1),Tablo_E!$A$2:$A$102,1),MATCH(ROUND(H12,1),Tablo_E!$B$1:$CX$1,1)))</f>
        <v>0</v>
      </c>
      <c r="J12" s="55">
        <v>3</v>
      </c>
      <c r="K12" s="60">
        <f>IF(ISBLANK(J12),0,ABS(Uzman_E!C$4-J12))</f>
        <v>1.9</v>
      </c>
      <c r="L12" s="52">
        <f>IF(ISBLANK(J12),0,INDEX(Tablo_E!$B$2:$CX$102,MATCH(ROUND(Uzman_E!C$4,1),Tablo_E!$A$2:$A$102,1),MATCH(ROUND(K12,1),Tablo_E!$B$1:$CX$1,1)))</f>
        <v>0</v>
      </c>
      <c r="M12" s="55"/>
      <c r="N12" s="60">
        <f>IF(ISBLANK(M12),0,ABS(Uzman_E!D$4-M12))</f>
        <v>0</v>
      </c>
      <c r="O12" s="52">
        <f>IF(ISBLANK(M12),0,INDEX(Tablo_E!$B$2:$CX$102,MATCH(ROUND(Uzman_E!D$4,1),Tablo_E!$A$2:$A$102,1),MATCH(ROUND(N12,1),Tablo_E!$B$1:$CX$1,1)))</f>
        <v>0</v>
      </c>
      <c r="P12" s="55"/>
      <c r="Q12" s="60">
        <f>IF(ISBLANK(P12),0,ABS(Uzman_E!E$4-P12))</f>
        <v>0</v>
      </c>
      <c r="R12" s="52">
        <f>IF(ISBLANK(P12),0,INDEX(Tablo_E!$B$2:$CX$102,MATCH(ROUND(Uzman_E!B$4,1),Tablo_E!$A$2:$A$102,1),MATCH(ROUND(Q12,1),Tablo_E!$B$1:$CX$1,1)))</f>
        <v>0</v>
      </c>
      <c r="S12" s="53">
        <f t="shared" si="0"/>
        <v>0</v>
      </c>
      <c r="T12" s="49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x14ac:dyDescent="0.45">
      <c r="A13" s="54">
        <v>10</v>
      </c>
      <c r="B13" s="144" t="str">
        <f>Hakemler!B13</f>
        <v>ÜÇTAŞ ŞANLI</v>
      </c>
      <c r="C13" s="145" t="str">
        <f>Hakemler!C13</f>
        <v>GÖKSU</v>
      </c>
      <c r="D13" s="55"/>
      <c r="E13" s="60">
        <f>IF(ISBLANK(D13),0,ABS(Uzman_E!A$4-D13))</f>
        <v>0</v>
      </c>
      <c r="F13" s="52">
        <f>IF(ISBLANK(D13),0,INDEX(Tablo_E!$B$2:$CX$102,MATCH(ROUND(Uzman_E!A$4,1),Tablo_E!$A$2:$A$102,1),MATCH(ROUND(E13,1),Tablo_E!$B$1:$CX$1,1)))</f>
        <v>0</v>
      </c>
      <c r="G13" s="55"/>
      <c r="H13" s="60">
        <f>IF(ISBLANK(G13),0,ABS(Uzman_E!B$4-G13))</f>
        <v>0</v>
      </c>
      <c r="I13" s="52">
        <f>IF(ISBLANK(G13),0,INDEX(Tablo_E!$B$2:$CX$102,MATCH(ROUND(Uzman_E!B$4,1),Tablo_E!$A$2:$A$102,1),MATCH(ROUND(H13,1),Tablo_E!$B$1:$CX$1,1)))</f>
        <v>0</v>
      </c>
      <c r="J13" s="55">
        <v>1.1000000000000001</v>
      </c>
      <c r="K13" s="60">
        <f>IF(ISBLANK(J13),0,ABS(Uzman_E!C$4-J13))</f>
        <v>0</v>
      </c>
      <c r="L13" s="52">
        <f>IF(ISBLANK(J13),0,INDEX(Tablo_E!$B$2:$CX$102,MATCH(ROUND(Uzman_E!C$4,1),Tablo_E!$A$2:$A$102,1),MATCH(ROUND(K13,1),Tablo_E!$B$1:$CX$1,1)))</f>
        <v>1</v>
      </c>
      <c r="M13" s="55"/>
      <c r="N13" s="60">
        <f>IF(ISBLANK(M13),0,ABS(Uzman_E!D$4-M13))</f>
        <v>0</v>
      </c>
      <c r="O13" s="52">
        <f>IF(ISBLANK(M13),0,INDEX(Tablo_E!$B$2:$CX$102,MATCH(ROUND(Uzman_E!D$4,1),Tablo_E!$A$2:$A$102,1),MATCH(ROUND(N13,1),Tablo_E!$B$1:$CX$1,1)))</f>
        <v>0</v>
      </c>
      <c r="P13" s="55"/>
      <c r="Q13" s="60">
        <f>IF(ISBLANK(P13),0,ABS(Uzman_E!E$4-P13))</f>
        <v>0</v>
      </c>
      <c r="R13" s="52">
        <f>IF(ISBLANK(P13),0,INDEX(Tablo_E!$B$2:$CX$102,MATCH(ROUND(Uzman_E!B$4,1),Tablo_E!$A$2:$A$102,1),MATCH(ROUND(Q13,1),Tablo_E!$B$1:$CX$1,1)))</f>
        <v>0</v>
      </c>
      <c r="S13" s="53">
        <f t="shared" si="0"/>
        <v>0.2</v>
      </c>
      <c r="T13" s="49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x14ac:dyDescent="0.45">
      <c r="A14" s="54">
        <v>11</v>
      </c>
      <c r="B14" s="144" t="str">
        <f>Hakemler!B14</f>
        <v>YÜCEL</v>
      </c>
      <c r="C14" s="145" t="str">
        <f>Hakemler!C14</f>
        <v>SİBEL</v>
      </c>
      <c r="D14" s="55"/>
      <c r="E14" s="60">
        <f>IF(ISBLANK(D14),0,ABS(Uzman_E!A$4-D14))</f>
        <v>0</v>
      </c>
      <c r="F14" s="52">
        <f>IF(ISBLANK(D14),0,INDEX(Tablo_E!$B$2:$CX$102,MATCH(ROUND(Uzman_E!A$4,1),Tablo_E!$A$2:$A$102,1),MATCH(ROUND(E14,1),Tablo_E!$B$1:$CX$1,1)))</f>
        <v>0</v>
      </c>
      <c r="G14" s="55"/>
      <c r="H14" s="60">
        <f>IF(ISBLANK(G14),0,ABS(Uzman_E!B$4-G14))</f>
        <v>0</v>
      </c>
      <c r="I14" s="52">
        <f>IF(ISBLANK(G14),0,INDEX(Tablo_E!$B$2:$CX$102,MATCH(ROUND(Uzman_E!B$4,1),Tablo_E!$A$2:$A$102,1),MATCH(ROUND(H14,1),Tablo_E!$B$1:$CX$1,1)))</f>
        <v>0</v>
      </c>
      <c r="J14" s="55">
        <v>1.2</v>
      </c>
      <c r="K14" s="60">
        <f>IF(ISBLANK(J14),0,ABS(Uzman_E!C$4-J14))</f>
        <v>9.9999999999999867E-2</v>
      </c>
      <c r="L14" s="52">
        <f>IF(ISBLANK(J14),0,INDEX(Tablo_E!$B$2:$CX$102,MATCH(ROUND(Uzman_E!C$4,1),Tablo_E!$A$2:$A$102,1),MATCH(ROUND(K14,1),Tablo_E!$B$1:$CX$1,1)))</f>
        <v>1</v>
      </c>
      <c r="M14" s="55"/>
      <c r="N14" s="60">
        <f>IF(ISBLANK(M14),0,ABS(Uzman_E!D$4-M14))</f>
        <v>0</v>
      </c>
      <c r="O14" s="52">
        <f>IF(ISBLANK(M14),0,INDEX(Tablo_E!$B$2:$CX$102,MATCH(ROUND(Uzman_E!D$4,1),Tablo_E!$A$2:$A$102,1),MATCH(ROUND(N14,1),Tablo_E!$B$1:$CX$1,1)))</f>
        <v>0</v>
      </c>
      <c r="P14" s="55"/>
      <c r="Q14" s="60">
        <f>IF(ISBLANK(P14),0,ABS(Uzman_E!E$4-P14))</f>
        <v>0</v>
      </c>
      <c r="R14" s="52">
        <f>IF(ISBLANK(P14),0,INDEX(Tablo_E!$B$2:$CX$102,MATCH(ROUND(Uzman_E!B$4,1),Tablo_E!$A$2:$A$102,1),MATCH(ROUND(Q14,1),Tablo_E!$B$1:$CX$1,1)))</f>
        <v>0</v>
      </c>
      <c r="S14" s="53">
        <f t="shared" si="0"/>
        <v>0.2</v>
      </c>
      <c r="T14" s="49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x14ac:dyDescent="0.45">
      <c r="A15" s="54">
        <v>12</v>
      </c>
      <c r="B15" s="144" t="str">
        <f>Hakemler!B15</f>
        <v>YILMAZER</v>
      </c>
      <c r="C15" s="145" t="str">
        <f>Hakemler!C15</f>
        <v>ZEHRA</v>
      </c>
      <c r="D15" s="55"/>
      <c r="E15" s="60">
        <f>IF(ISBLANK(D15),0,ABS(Uzman_E!A$4-D15))</f>
        <v>0</v>
      </c>
      <c r="F15" s="52">
        <f>IF(ISBLANK(D15),0,INDEX(Tablo_E!$B$2:$CX$102,MATCH(ROUND(Uzman_E!A$4,1),Tablo_E!$A$2:$A$102,1),MATCH(ROUND(E15,1),Tablo_E!$B$1:$CX$1,1)))</f>
        <v>0</v>
      </c>
      <c r="G15" s="55"/>
      <c r="H15" s="60">
        <f>IF(ISBLANK(G15),0,ABS(Uzman_E!B$4-G15))</f>
        <v>0</v>
      </c>
      <c r="I15" s="52">
        <f>IF(ISBLANK(G15),0,INDEX(Tablo_E!$B$2:$CX$102,MATCH(ROUND(Uzman_E!B$4,1),Tablo_E!$A$2:$A$102,1),MATCH(ROUND(H15,1),Tablo_E!$B$1:$CX$1,1)))</f>
        <v>0</v>
      </c>
      <c r="J15" s="55">
        <v>1.3</v>
      </c>
      <c r="K15" s="60">
        <f>IF(ISBLANK(J15),0,ABS(Uzman_E!C$4-J15))</f>
        <v>0.19999999999999996</v>
      </c>
      <c r="L15" s="52">
        <f>IF(ISBLANK(J15),0,INDEX(Tablo_E!$B$2:$CX$102,MATCH(ROUND(Uzman_E!C$4,1),Tablo_E!$A$2:$A$102,1),MATCH(ROUND(K15,1),Tablo_E!$B$1:$CX$1,1)))</f>
        <v>1</v>
      </c>
      <c r="M15" s="55">
        <v>1.6</v>
      </c>
      <c r="N15" s="60">
        <f>IF(ISBLANK(M15),0,ABS(Uzman_E!D$4-M15))</f>
        <v>0.8</v>
      </c>
      <c r="O15" s="52">
        <f>IF(ISBLANK(M15),0,INDEX(Tablo_E!$B$2:$CX$102,MATCH(ROUND(Uzman_E!D$4,1),Tablo_E!$A$2:$A$102,1),MATCH(ROUND(N15,1),Tablo_E!$B$1:$CX$1,1)))</f>
        <v>0.3</v>
      </c>
      <c r="P15" s="55"/>
      <c r="Q15" s="60">
        <f>IF(ISBLANK(P15),0,ABS(Uzman_E!E$4-P15))</f>
        <v>0</v>
      </c>
      <c r="R15" s="52">
        <f>IF(ISBLANK(P15),0,INDEX(Tablo_E!$B$2:$CX$102,MATCH(ROUND(Uzman_E!B$4,1),Tablo_E!$A$2:$A$102,1),MATCH(ROUND(Q15,1),Tablo_E!$B$1:$CX$1,1)))</f>
        <v>0</v>
      </c>
      <c r="S15" s="53">
        <f t="shared" si="0"/>
        <v>0.26</v>
      </c>
      <c r="T15" s="49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x14ac:dyDescent="0.45">
      <c r="A16" s="54">
        <v>13</v>
      </c>
      <c r="B16" s="144" t="str">
        <f>Hakemler!B16</f>
        <v>ŞAHİNTEKİN</v>
      </c>
      <c r="C16" s="145" t="str">
        <f>Hakemler!C16</f>
        <v>MUHAMMED</v>
      </c>
      <c r="D16" s="55"/>
      <c r="E16" s="60">
        <f>IF(ISBLANK(D16),0,ABS(Uzman_E!A$4-D16))</f>
        <v>0</v>
      </c>
      <c r="F16" s="52">
        <f>IF(ISBLANK(D16),0,INDEX(Tablo_E!$B$2:$CX$102,MATCH(ROUND(Uzman_E!A$4,1),Tablo_E!$A$2:$A$102,1),MATCH(ROUND(E16,1),Tablo_E!$B$1:$CX$1,1)))</f>
        <v>0</v>
      </c>
      <c r="G16" s="55"/>
      <c r="H16" s="60">
        <f>IF(ISBLANK(G16),0,ABS(Uzman_E!B$4-G16))</f>
        <v>0</v>
      </c>
      <c r="I16" s="52">
        <f>IF(ISBLANK(G16),0,INDEX(Tablo_E!$B$2:$CX$102,MATCH(ROUND(Uzman_E!B$4,1),Tablo_E!$A$2:$A$102,1),MATCH(ROUND(H16,1),Tablo_E!$B$1:$CX$1,1)))</f>
        <v>0</v>
      </c>
      <c r="J16" s="55"/>
      <c r="K16" s="60">
        <f>IF(ISBLANK(J16),0,ABS(Uzman_E!C$4-J16))</f>
        <v>0</v>
      </c>
      <c r="L16" s="52">
        <f>IF(ISBLANK(J16),0,INDEX(Tablo_E!$B$2:$CX$102,MATCH(ROUND(Uzman_E!C$4,1),Tablo_E!$A$2:$A$102,1),MATCH(ROUND(K16,1),Tablo_E!$B$1:$CX$1,1)))</f>
        <v>0</v>
      </c>
      <c r="M16" s="55">
        <v>1.5</v>
      </c>
      <c r="N16" s="60">
        <f>IF(ISBLANK(M16),0,ABS(Uzman_E!D$4-M16))</f>
        <v>0.7</v>
      </c>
      <c r="O16" s="52">
        <f>IF(ISBLANK(M16),0,INDEX(Tablo_E!$B$2:$CX$102,MATCH(ROUND(Uzman_E!D$4,1),Tablo_E!$A$2:$A$102,1),MATCH(ROUND(N16,1),Tablo_E!$B$1:$CX$1,1)))</f>
        <v>0.4</v>
      </c>
      <c r="P16" s="55"/>
      <c r="Q16" s="60">
        <f>IF(ISBLANK(P16),0,ABS(Uzman_E!E$4-P16))</f>
        <v>0</v>
      </c>
      <c r="R16" s="52">
        <f>IF(ISBLANK(P16),0,INDEX(Tablo_E!$B$2:$CX$102,MATCH(ROUND(Uzman_E!B$4,1),Tablo_E!$A$2:$A$102,1),MATCH(ROUND(Q16,1),Tablo_E!$B$1:$CX$1,1)))</f>
        <v>0</v>
      </c>
      <c r="S16" s="53">
        <f t="shared" si="0"/>
        <v>0.08</v>
      </c>
      <c r="T16" s="49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x14ac:dyDescent="0.45">
      <c r="A17" s="54">
        <v>14</v>
      </c>
      <c r="B17" s="144" t="str">
        <f>Hakemler!B17</f>
        <v>ERKUT</v>
      </c>
      <c r="C17" s="145" t="str">
        <f>Hakemler!C17</f>
        <v>OYA</v>
      </c>
      <c r="D17" s="55"/>
      <c r="E17" s="60">
        <f>IF(ISBLANK(D17),0,ABS(Uzman_E!A$4-D17))</f>
        <v>0</v>
      </c>
      <c r="F17" s="52">
        <f>IF(ISBLANK(D17),0,INDEX(Tablo_E!$B$2:$CX$102,MATCH(ROUND(Uzman_E!A$4,1),Tablo_E!$A$2:$A$102,1),MATCH(ROUND(E17,1),Tablo_E!$B$1:$CX$1,1)))</f>
        <v>0</v>
      </c>
      <c r="G17" s="55"/>
      <c r="H17" s="60">
        <f>IF(ISBLANK(G17),0,ABS(Uzman_E!B$4-G17))</f>
        <v>0</v>
      </c>
      <c r="I17" s="52">
        <f>IF(ISBLANK(G17),0,INDEX(Tablo_E!$B$2:$CX$102,MATCH(ROUND(Uzman_E!B$4,1),Tablo_E!$A$2:$A$102,1),MATCH(ROUND(H17,1),Tablo_E!$B$1:$CX$1,1)))</f>
        <v>0</v>
      </c>
      <c r="J17" s="55"/>
      <c r="K17" s="60">
        <f>IF(ISBLANK(J17),0,ABS(Uzman_E!C$4-J17))</f>
        <v>0</v>
      </c>
      <c r="L17" s="52">
        <f>IF(ISBLANK(J17),0,INDEX(Tablo_E!$B$2:$CX$102,MATCH(ROUND(Uzman_E!C$4,1),Tablo_E!$A$2:$A$102,1),MATCH(ROUND(K17,1),Tablo_E!$B$1:$CX$1,1)))</f>
        <v>0</v>
      </c>
      <c r="M17" s="55">
        <v>1.4</v>
      </c>
      <c r="N17" s="60">
        <f>IF(ISBLANK(M17),0,ABS(Uzman_E!D$4-M17))</f>
        <v>0.59999999999999987</v>
      </c>
      <c r="O17" s="52">
        <f>IF(ISBLANK(M17),0,INDEX(Tablo_E!$B$2:$CX$102,MATCH(ROUND(Uzman_E!D$4,1),Tablo_E!$A$2:$A$102,1),MATCH(ROUND(N17,1),Tablo_E!$B$1:$CX$1,1)))</f>
        <v>0.5</v>
      </c>
      <c r="P17" s="55"/>
      <c r="Q17" s="60">
        <f>IF(ISBLANK(P17),0,ABS(Uzman_E!E$4-P17))</f>
        <v>0</v>
      </c>
      <c r="R17" s="52">
        <f>IF(ISBLANK(P17),0,INDEX(Tablo_E!$B$2:$CX$102,MATCH(ROUND(Uzman_E!B$4,1),Tablo_E!$A$2:$A$102,1),MATCH(ROUND(Q17,1),Tablo_E!$B$1:$CX$1,1)))</f>
        <v>0</v>
      </c>
      <c r="S17" s="53">
        <f t="shared" si="0"/>
        <v>0.1</v>
      </c>
      <c r="T17" s="49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x14ac:dyDescent="0.45">
      <c r="A18" s="54">
        <v>15</v>
      </c>
      <c r="B18" s="144" t="str">
        <f>Hakemler!B18</f>
        <v>GÜMÜŞLÜ</v>
      </c>
      <c r="C18" s="145" t="str">
        <f>Hakemler!C18</f>
        <v>AYSEL</v>
      </c>
      <c r="D18" s="55"/>
      <c r="E18" s="60">
        <f>IF(ISBLANK(D18),0,ABS(Uzman_E!A$4-D18))</f>
        <v>0</v>
      </c>
      <c r="F18" s="52">
        <f>IF(ISBLANK(D18),0,INDEX(Tablo_E!$B$2:$CX$102,MATCH(ROUND(Uzman_E!A$4,1),Tablo_E!$A$2:$A$102,1),MATCH(ROUND(E18,1),Tablo_E!$B$1:$CX$1,1)))</f>
        <v>0</v>
      </c>
      <c r="G18" s="55"/>
      <c r="H18" s="60">
        <f>IF(ISBLANK(G18),0,ABS(Uzman_E!B$4-G18))</f>
        <v>0</v>
      </c>
      <c r="I18" s="52">
        <f>IF(ISBLANK(G18),0,INDEX(Tablo_E!$B$2:$CX$102,MATCH(ROUND(Uzman_E!B$4,1),Tablo_E!$A$2:$A$102,1),MATCH(ROUND(H18,1),Tablo_E!$B$1:$CX$1,1)))</f>
        <v>0</v>
      </c>
      <c r="J18" s="55"/>
      <c r="K18" s="60">
        <f>IF(ISBLANK(J18),0,ABS(Uzman_E!C$4-J18))</f>
        <v>0</v>
      </c>
      <c r="L18" s="52">
        <f>IF(ISBLANK(J18),0,INDEX(Tablo_E!$B$2:$CX$102,MATCH(ROUND(Uzman_E!C$4,1),Tablo_E!$A$2:$A$102,1),MATCH(ROUND(K18,1),Tablo_E!$B$1:$CX$1,1)))</f>
        <v>0</v>
      </c>
      <c r="M18" s="55">
        <v>1.3</v>
      </c>
      <c r="N18" s="60">
        <f>IF(ISBLANK(M18),0,ABS(Uzman_E!D$4-M18))</f>
        <v>0.5</v>
      </c>
      <c r="O18" s="52">
        <f>IF(ISBLANK(M18),0,INDEX(Tablo_E!$B$2:$CX$102,MATCH(ROUND(Uzman_E!D$4,1),Tablo_E!$A$2:$A$102,1),MATCH(ROUND(N18,1),Tablo_E!$B$1:$CX$1,1)))</f>
        <v>0.6</v>
      </c>
      <c r="P18" s="55"/>
      <c r="Q18" s="60">
        <f>IF(ISBLANK(P18),0,ABS(Uzman_E!E$4-P18))</f>
        <v>0</v>
      </c>
      <c r="R18" s="52">
        <f>IF(ISBLANK(P18),0,INDEX(Tablo_E!$B$2:$CX$102,MATCH(ROUND(Uzman_E!B$4,1),Tablo_E!$A$2:$A$102,1),MATCH(ROUND(Q18,1),Tablo_E!$B$1:$CX$1,1)))</f>
        <v>0</v>
      </c>
      <c r="S18" s="53">
        <f t="shared" si="0"/>
        <v>0.12</v>
      </c>
      <c r="T18" s="4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x14ac:dyDescent="0.45">
      <c r="A19" s="54">
        <v>16</v>
      </c>
      <c r="B19" s="144" t="str">
        <f>Hakemler!B19</f>
        <v>CURA COŞKUN</v>
      </c>
      <c r="C19" s="145" t="str">
        <f>Hakemler!C19</f>
        <v>MELİKE</v>
      </c>
      <c r="D19" s="55"/>
      <c r="E19" s="60">
        <f>IF(ISBLANK(D19),0,ABS(Uzman_E!A$4-D19))</f>
        <v>0</v>
      </c>
      <c r="F19" s="52">
        <f>IF(ISBLANK(D19),0,INDEX(Tablo_E!$B$2:$CX$102,MATCH(ROUND(Uzman_E!A$4,1),Tablo_E!$A$2:$A$102,1),MATCH(ROUND(E19,1),Tablo_E!$B$1:$CX$1,1)))</f>
        <v>0</v>
      </c>
      <c r="G19" s="55"/>
      <c r="H19" s="60">
        <f>IF(ISBLANK(G19),0,ABS(Uzman_E!B$4-G19))</f>
        <v>0</v>
      </c>
      <c r="I19" s="52">
        <f>IF(ISBLANK(G19),0,INDEX(Tablo_E!$B$2:$CX$102,MATCH(ROUND(Uzman_E!B$4,1),Tablo_E!$A$2:$A$102,1),MATCH(ROUND(H19,1),Tablo_E!$B$1:$CX$1,1)))</f>
        <v>0</v>
      </c>
      <c r="J19" s="55"/>
      <c r="K19" s="60">
        <f>IF(ISBLANK(J19),0,ABS(Uzman_E!C$4-J19))</f>
        <v>0</v>
      </c>
      <c r="L19" s="52">
        <f>IF(ISBLANK(J19),0,INDEX(Tablo_E!$B$2:$CX$102,MATCH(ROUND(Uzman_E!C$4,1),Tablo_E!$A$2:$A$102,1),MATCH(ROUND(K19,1),Tablo_E!$B$1:$CX$1,1)))</f>
        <v>0</v>
      </c>
      <c r="M19" s="55">
        <v>1.2</v>
      </c>
      <c r="N19" s="60">
        <f>IF(ISBLANK(M19),0,ABS(Uzman_E!D$4-M19))</f>
        <v>0.39999999999999991</v>
      </c>
      <c r="O19" s="52">
        <f>IF(ISBLANK(M19),0,INDEX(Tablo_E!$B$2:$CX$102,MATCH(ROUND(Uzman_E!D$4,1),Tablo_E!$A$2:$A$102,1),MATCH(ROUND(N19,1),Tablo_E!$B$1:$CX$1,1)))</f>
        <v>0.7</v>
      </c>
      <c r="P19" s="55"/>
      <c r="Q19" s="60">
        <f>IF(ISBLANK(P19),0,ABS(Uzman_E!E$4-P19))</f>
        <v>0</v>
      </c>
      <c r="R19" s="52">
        <f>IF(ISBLANK(P19),0,INDEX(Tablo_E!$B$2:$CX$102,MATCH(ROUND(Uzman_E!B$4,1),Tablo_E!$A$2:$A$102,1),MATCH(ROUND(Q19,1),Tablo_E!$B$1:$CX$1,1)))</f>
        <v>0</v>
      </c>
      <c r="S19" s="53">
        <f t="shared" si="0"/>
        <v>0.13999999999999999</v>
      </c>
      <c r="T19" s="49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x14ac:dyDescent="0.45">
      <c r="A20" s="54">
        <v>17</v>
      </c>
      <c r="B20" s="144" t="str">
        <f>Hakemler!B20</f>
        <v>KENDİRCİ</v>
      </c>
      <c r="C20" s="145" t="str">
        <f>Hakemler!C20</f>
        <v>CEMRE</v>
      </c>
      <c r="D20" s="55"/>
      <c r="E20" s="60">
        <f>IF(ISBLANK(D20),0,ABS(Uzman_E!A$4-D20))</f>
        <v>0</v>
      </c>
      <c r="F20" s="52">
        <f>IF(ISBLANK(D20),0,INDEX(Tablo_E!$B$2:$CX$102,MATCH(ROUND(Uzman_E!A$4,1),Tablo_E!$A$2:$A$102,1),MATCH(ROUND(E20,1),Tablo_E!$B$1:$CX$1,1)))</f>
        <v>0</v>
      </c>
      <c r="G20" s="55"/>
      <c r="H20" s="60">
        <f>IF(ISBLANK(G20),0,ABS(Uzman_E!B$4-G20))</f>
        <v>0</v>
      </c>
      <c r="I20" s="52">
        <f>IF(ISBLANK(G20),0,INDEX(Tablo_E!$B$2:$CX$102,MATCH(ROUND(Uzman_E!B$4,1),Tablo_E!$A$2:$A$102,1),MATCH(ROUND(H20,1),Tablo_E!$B$1:$CX$1,1)))</f>
        <v>0</v>
      </c>
      <c r="J20" s="55"/>
      <c r="K20" s="60">
        <f>IF(ISBLANK(J20),0,ABS(Uzman_E!C$4-J20))</f>
        <v>0</v>
      </c>
      <c r="L20" s="52">
        <f>IF(ISBLANK(J20),0,INDEX(Tablo_E!$B$2:$CX$102,MATCH(ROUND(Uzman_E!C$4,1),Tablo_E!$A$2:$A$102,1),MATCH(ROUND(K20,1),Tablo_E!$B$1:$CX$1,1)))</f>
        <v>0</v>
      </c>
      <c r="M20" s="55">
        <v>1.1000000000000001</v>
      </c>
      <c r="N20" s="60">
        <f>IF(ISBLANK(M20),0,ABS(Uzman_E!D$4-M20))</f>
        <v>0.30000000000000004</v>
      </c>
      <c r="O20" s="52">
        <f>IF(ISBLANK(M20),0,INDEX(Tablo_E!$B$2:$CX$102,MATCH(ROUND(Uzman_E!D$4,1),Tablo_E!$A$2:$A$102,1),MATCH(ROUND(N20,1),Tablo_E!$B$1:$CX$1,1)))</f>
        <v>0.8</v>
      </c>
      <c r="P20" s="55"/>
      <c r="Q20" s="60">
        <f>IF(ISBLANK(P20),0,ABS(Uzman_E!E$4-P20))</f>
        <v>0</v>
      </c>
      <c r="R20" s="52">
        <f>IF(ISBLANK(P20),0,INDEX(Tablo_E!$B$2:$CX$102,MATCH(ROUND(Uzman_E!B$4,1),Tablo_E!$A$2:$A$102,1),MATCH(ROUND(Q20,1),Tablo_E!$B$1:$CX$1,1)))</f>
        <v>0</v>
      </c>
      <c r="S20" s="53">
        <f t="shared" si="0"/>
        <v>0.16</v>
      </c>
      <c r="T20" s="49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x14ac:dyDescent="0.45">
      <c r="A21" s="54">
        <v>18</v>
      </c>
      <c r="B21" s="144" t="str">
        <f>Hakemler!B21</f>
        <v>CANATAN</v>
      </c>
      <c r="C21" s="145" t="str">
        <f>Hakemler!C21</f>
        <v>BEYZA</v>
      </c>
      <c r="D21" s="55"/>
      <c r="E21" s="60">
        <f>IF(ISBLANK(D21),0,ABS(Uzman_E!A$4-D21))</f>
        <v>0</v>
      </c>
      <c r="F21" s="52">
        <f>IF(ISBLANK(D21),0,INDEX(Tablo_E!$B$2:$CX$102,MATCH(ROUND(Uzman_E!A$4,1),Tablo_E!$A$2:$A$102,1),MATCH(ROUND(E21,1),Tablo_E!$B$1:$CX$1,1)))</f>
        <v>0</v>
      </c>
      <c r="G21" s="55"/>
      <c r="H21" s="60">
        <f>IF(ISBLANK(G21),0,ABS(Uzman_E!B$4-G21))</f>
        <v>0</v>
      </c>
      <c r="I21" s="52">
        <f>IF(ISBLANK(G21),0,INDEX(Tablo_E!$B$2:$CX$102,MATCH(ROUND(Uzman_E!B$4,1),Tablo_E!$A$2:$A$102,1),MATCH(ROUND(H21,1),Tablo_E!$B$1:$CX$1,1)))</f>
        <v>0</v>
      </c>
      <c r="J21" s="55"/>
      <c r="K21" s="60">
        <f>IF(ISBLANK(J21),0,ABS(Uzman_E!C$4-J21))</f>
        <v>0</v>
      </c>
      <c r="L21" s="52">
        <f>IF(ISBLANK(J21),0,INDEX(Tablo_E!$B$2:$CX$102,MATCH(ROUND(Uzman_E!C$4,1),Tablo_E!$A$2:$A$102,1),MATCH(ROUND(K21,1),Tablo_E!$B$1:$CX$1,1)))</f>
        <v>0</v>
      </c>
      <c r="M21" s="55">
        <v>1</v>
      </c>
      <c r="N21" s="60">
        <f>IF(ISBLANK(M21),0,ABS(Uzman_E!D$4-M21))</f>
        <v>0.19999999999999996</v>
      </c>
      <c r="O21" s="52">
        <f>IF(ISBLANK(M21),0,INDEX(Tablo_E!$B$2:$CX$102,MATCH(ROUND(Uzman_E!D$4,1),Tablo_E!$A$2:$A$102,1),MATCH(ROUND(N21,1),Tablo_E!$B$1:$CX$1,1)))</f>
        <v>1</v>
      </c>
      <c r="P21" s="55"/>
      <c r="Q21" s="60">
        <f>IF(ISBLANK(P21),0,ABS(Uzman_E!E$4-P21))</f>
        <v>0</v>
      </c>
      <c r="R21" s="52">
        <f>IF(ISBLANK(P21),0,INDEX(Tablo_E!$B$2:$CX$102,MATCH(ROUND(Uzman_E!B$4,1),Tablo_E!$A$2:$A$102,1),MATCH(ROUND(Q21,1),Tablo_E!$B$1:$CX$1,1)))</f>
        <v>0</v>
      </c>
      <c r="S21" s="53">
        <f t="shared" si="0"/>
        <v>0.2</v>
      </c>
      <c r="T21" s="49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x14ac:dyDescent="0.45">
      <c r="A22" s="54">
        <v>19</v>
      </c>
      <c r="B22" s="144" t="str">
        <f>Hakemler!B22</f>
        <v>SAYIN</v>
      </c>
      <c r="C22" s="145" t="str">
        <f>Hakemler!C22</f>
        <v>ZEYNEP TÜRKAN</v>
      </c>
      <c r="D22" s="55"/>
      <c r="E22" s="60">
        <f>IF(ISBLANK(D22),0,ABS(Uzman_E!A$4-D22))</f>
        <v>0</v>
      </c>
      <c r="F22" s="52">
        <f>IF(ISBLANK(D22),0,INDEX(Tablo_E!$B$2:$CX$102,MATCH(ROUND(Uzman_E!A$4,1),Tablo_E!$A$2:$A$102,1),MATCH(ROUND(E22,1),Tablo_E!$B$1:$CX$1,1)))</f>
        <v>0</v>
      </c>
      <c r="G22" s="55"/>
      <c r="H22" s="60">
        <f>IF(ISBLANK(G22),0,ABS(Uzman_E!B$4-G22))</f>
        <v>0</v>
      </c>
      <c r="I22" s="52">
        <f>IF(ISBLANK(G22),0,INDEX(Tablo_E!$B$2:$CX$102,MATCH(ROUND(Uzman_E!B$4,1),Tablo_E!$A$2:$A$102,1),MATCH(ROUND(H22,1),Tablo_E!$B$1:$CX$1,1)))</f>
        <v>0</v>
      </c>
      <c r="J22" s="55"/>
      <c r="K22" s="60">
        <f>IF(ISBLANK(J22),0,ABS(Uzman_E!C$4-J22))</f>
        <v>0</v>
      </c>
      <c r="L22" s="52">
        <f>IF(ISBLANK(J22),0,INDEX(Tablo_E!$B$2:$CX$102,MATCH(ROUND(Uzman_E!C$4,1),Tablo_E!$A$2:$A$102,1),MATCH(ROUND(K22,1),Tablo_E!$B$1:$CX$1,1)))</f>
        <v>0</v>
      </c>
      <c r="M22" s="55"/>
      <c r="N22" s="60">
        <f>IF(ISBLANK(M22),0,ABS(Uzman_E!D$4-M22))</f>
        <v>0</v>
      </c>
      <c r="O22" s="52">
        <f>IF(ISBLANK(M22),0,INDEX(Tablo_E!$B$2:$CX$102,MATCH(ROUND(Uzman_E!D$4,1),Tablo_E!$A$2:$A$102,1),MATCH(ROUND(N22,1),Tablo_E!$B$1:$CX$1,1)))</f>
        <v>0</v>
      </c>
      <c r="P22" s="55"/>
      <c r="Q22" s="60">
        <f>IF(ISBLANK(P22),0,ABS(Uzman_E!E$4-P22))</f>
        <v>0</v>
      </c>
      <c r="R22" s="52">
        <f>IF(ISBLANK(P22),0,INDEX(Tablo_E!$B$2:$CX$102,MATCH(ROUND(Uzman_E!B$4,1),Tablo_E!$A$2:$A$102,1),MATCH(ROUND(Q22,1),Tablo_E!$B$1:$CX$1,1)))</f>
        <v>0</v>
      </c>
      <c r="S22" s="53">
        <f t="shared" si="0"/>
        <v>0</v>
      </c>
      <c r="T22" s="49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x14ac:dyDescent="0.45">
      <c r="A23" s="54">
        <v>20</v>
      </c>
      <c r="B23" s="144" t="str">
        <f>Hakemler!B23</f>
        <v>ÖNER AĞAN</v>
      </c>
      <c r="C23" s="145" t="str">
        <f>Hakemler!C23</f>
        <v>DERYA</v>
      </c>
      <c r="D23" s="55"/>
      <c r="E23" s="60">
        <f>IF(ISBLANK(D23),0,ABS(Uzman_E!A$4-D23))</f>
        <v>0</v>
      </c>
      <c r="F23" s="52">
        <f>IF(ISBLANK(D23),0,INDEX(Tablo_E!$B$2:$CX$102,MATCH(ROUND(Uzman_E!A$4,1),Tablo_E!$A$2:$A$102,1),MATCH(ROUND(E23,1),Tablo_E!$B$1:$CX$1,1)))</f>
        <v>0</v>
      </c>
      <c r="G23" s="55"/>
      <c r="H23" s="60">
        <f>IF(ISBLANK(G23),0,ABS(Uzman_E!B$4-G23))</f>
        <v>0</v>
      </c>
      <c r="I23" s="52">
        <f>IF(ISBLANK(G23),0,INDEX(Tablo_E!$B$2:$CX$102,MATCH(ROUND(Uzman_E!B$4,1),Tablo_E!$A$2:$A$102,1),MATCH(ROUND(H23,1),Tablo_E!$B$1:$CX$1,1)))</f>
        <v>0</v>
      </c>
      <c r="J23" s="55"/>
      <c r="K23" s="60">
        <f>IF(ISBLANK(J23),0,ABS(Uzman_E!C$4-J23))</f>
        <v>0</v>
      </c>
      <c r="L23" s="52">
        <f>IF(ISBLANK(J23),0,INDEX(Tablo_E!$B$2:$CX$102,MATCH(ROUND(Uzman_E!C$4,1),Tablo_E!$A$2:$A$102,1),MATCH(ROUND(K23,1),Tablo_E!$B$1:$CX$1,1)))</f>
        <v>0</v>
      </c>
      <c r="M23" s="55"/>
      <c r="N23" s="60">
        <f>IF(ISBLANK(M23),0,ABS(Uzman_E!D$4-M23))</f>
        <v>0</v>
      </c>
      <c r="O23" s="52">
        <f>IF(ISBLANK(M23),0,INDEX(Tablo_E!$B$2:$CX$102,MATCH(ROUND(Uzman_E!D$4,1),Tablo_E!$A$2:$A$102,1),MATCH(ROUND(N23,1),Tablo_E!$B$1:$CX$1,1)))</f>
        <v>0</v>
      </c>
      <c r="P23" s="55"/>
      <c r="Q23" s="60">
        <f>IF(ISBLANK(P23),0,ABS(Uzman_E!E$4-P23))</f>
        <v>0</v>
      </c>
      <c r="R23" s="52">
        <f>IF(ISBLANK(P23),0,INDEX(Tablo_E!$B$2:$CX$102,MATCH(ROUND(Uzman_E!B$4,1),Tablo_E!$A$2:$A$102,1),MATCH(ROUND(Q23,1),Tablo_E!$B$1:$CX$1,1)))</f>
        <v>0</v>
      </c>
      <c r="S23" s="53">
        <f t="shared" si="0"/>
        <v>0</v>
      </c>
      <c r="T23" s="49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x14ac:dyDescent="0.45">
      <c r="A24" s="54">
        <v>21</v>
      </c>
      <c r="B24" s="156" t="str">
        <f>Hakemler!B24</f>
        <v>ABACI</v>
      </c>
      <c r="C24" s="157" t="str">
        <f>Hakemler!C24</f>
        <v>BUSE</v>
      </c>
      <c r="D24" s="55">
        <v>1.2</v>
      </c>
      <c r="E24" s="60">
        <f>IF(ISBLANK(D24),0,ABS(Uzman_E!A$4-D24))</f>
        <v>0.19999999999999996</v>
      </c>
      <c r="F24" s="52">
        <f>IF(ISBLANK(D24),0,INDEX(Tablo_E!$B$2:$CX$102,MATCH(ROUND(Uzman_E!A$4,1),Tablo_E!$A$2:$A$102,1),MATCH(ROUND(E24,1),Tablo_E!$B$1:$CX$1,1)))</f>
        <v>1</v>
      </c>
      <c r="G24" s="55">
        <v>2.1</v>
      </c>
      <c r="H24" s="60">
        <f>IF(ISBLANK(G24),0,ABS(Uzman_E!B$4-G24))</f>
        <v>0.19999999999999973</v>
      </c>
      <c r="I24" s="52">
        <f>IF(ISBLANK(G24),0,INDEX(Tablo_E!$B$2:$CX$102,MATCH(ROUND(Uzman_E!B$4,1),Tablo_E!$A$2:$A$102,1),MATCH(ROUND(H24,1),Tablo_E!$B$1:$CX$1,1)))</f>
        <v>1</v>
      </c>
      <c r="J24" s="55">
        <v>0.8</v>
      </c>
      <c r="K24" s="60">
        <f>IF(ISBLANK(J24),0,ABS(Uzman_E!C$4-J24))</f>
        <v>0.30000000000000004</v>
      </c>
      <c r="L24" s="52">
        <f>IF(ISBLANK(J24),0,INDEX(Tablo_E!$B$2:$CX$102,MATCH(ROUND(Uzman_E!C$4,1),Tablo_E!$A$2:$A$102,1),MATCH(ROUND(K24,1),Tablo_E!$B$1:$CX$1,1)))</f>
        <v>0.9</v>
      </c>
      <c r="M24" s="55">
        <v>1.5</v>
      </c>
      <c r="N24" s="60">
        <f>IF(ISBLANK(M24),0,ABS(Uzman_E!D$4-M24))</f>
        <v>0.7</v>
      </c>
      <c r="O24" s="52">
        <f>IF(ISBLANK(M24),0,INDEX(Tablo_E!$B$2:$CX$102,MATCH(ROUND(Uzman_E!D$4,1),Tablo_E!$A$2:$A$102,1),MATCH(ROUND(N24,1),Tablo_E!$B$1:$CX$1,1)))</f>
        <v>0.4</v>
      </c>
      <c r="P24" s="55">
        <v>0.5</v>
      </c>
      <c r="Q24" s="60">
        <f>IF(ISBLANK(P24),0,ABS(Uzman_E!E$4-P24))</f>
        <v>0.5</v>
      </c>
      <c r="R24" s="52">
        <f>IF(ISBLANK(P24),0,INDEX(Tablo_E!$B$2:$CX$102,MATCH(ROUND(Uzman_E!B$4,1),Tablo_E!$A$2:$A$102,1),MATCH(ROUND(Q24,1),Tablo_E!$B$1:$CX$1,1)))</f>
        <v>0.85</v>
      </c>
      <c r="S24" s="53">
        <f t="shared" si="0"/>
        <v>0.82999999999999985</v>
      </c>
      <c r="T24" s="49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x14ac:dyDescent="0.45">
      <c r="A25" s="54">
        <v>22</v>
      </c>
      <c r="B25" s="156" t="str">
        <f>Hakemler!B25</f>
        <v>KARAKAŞ</v>
      </c>
      <c r="C25" s="157" t="str">
        <f>Hakemler!C25</f>
        <v>TAHİR</v>
      </c>
      <c r="D25" s="55">
        <v>1.4</v>
      </c>
      <c r="E25" s="60">
        <f>IF(ISBLANK(D25),0,ABS(Uzman_E!A$4-D25))</f>
        <v>0</v>
      </c>
      <c r="F25" s="52">
        <f>IF(ISBLANK(D25),0,INDEX(Tablo_E!$B$2:$CX$102,MATCH(ROUND(Uzman_E!A$4,1),Tablo_E!$A$2:$A$102,1),MATCH(ROUND(E25,1),Tablo_E!$B$1:$CX$1,1)))</f>
        <v>1</v>
      </c>
      <c r="G25" s="55">
        <v>2.1</v>
      </c>
      <c r="H25" s="60">
        <f>IF(ISBLANK(G25),0,ABS(Uzman_E!B$4-G25))</f>
        <v>0.19999999999999973</v>
      </c>
      <c r="I25" s="52">
        <f>IF(ISBLANK(G25),0,INDEX(Tablo_E!$B$2:$CX$102,MATCH(ROUND(Uzman_E!B$4,1),Tablo_E!$A$2:$A$102,1),MATCH(ROUND(H25,1),Tablo_E!$B$1:$CX$1,1)))</f>
        <v>1</v>
      </c>
      <c r="J25" s="55">
        <v>0.9</v>
      </c>
      <c r="K25" s="60">
        <f>IF(ISBLANK(J25),0,ABS(Uzman_E!C$4-J25))</f>
        <v>0.20000000000000007</v>
      </c>
      <c r="L25" s="52">
        <f>IF(ISBLANK(J25),0,INDEX(Tablo_E!$B$2:$CX$102,MATCH(ROUND(Uzman_E!C$4,1),Tablo_E!$A$2:$A$102,1),MATCH(ROUND(K25,1),Tablo_E!$B$1:$CX$1,1)))</f>
        <v>1</v>
      </c>
      <c r="M25" s="55">
        <v>0.7</v>
      </c>
      <c r="N25" s="60">
        <f>IF(ISBLANK(M25),0,ABS(Uzman_E!D$4-M25))</f>
        <v>0.10000000000000009</v>
      </c>
      <c r="O25" s="52">
        <f>IF(ISBLANK(M25),0,INDEX(Tablo_E!$B$2:$CX$102,MATCH(ROUND(Uzman_E!D$4,1),Tablo_E!$A$2:$A$102,1),MATCH(ROUND(N25,1),Tablo_E!$B$1:$CX$1,1)))</f>
        <v>1</v>
      </c>
      <c r="P25" s="55">
        <v>1.1000000000000001</v>
      </c>
      <c r="Q25" s="60">
        <f>IF(ISBLANK(P25),0,ABS(Uzman_E!E$4-P25))</f>
        <v>0.10000000000000009</v>
      </c>
      <c r="R25" s="52">
        <f>IF(ISBLANK(P25),0,INDEX(Tablo_E!$B$2:$CX$102,MATCH(ROUND(Uzman_E!B$4,1),Tablo_E!$A$2:$A$102,1),MATCH(ROUND(Q25,1),Tablo_E!$B$1:$CX$1,1)))</f>
        <v>1</v>
      </c>
      <c r="S25" s="53">
        <f t="shared" si="0"/>
        <v>1</v>
      </c>
      <c r="T25" s="49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x14ac:dyDescent="0.45">
      <c r="A26" s="54">
        <v>23</v>
      </c>
      <c r="B26" s="156" t="str">
        <f>Hakemler!B26</f>
        <v>SAVAŞ OK</v>
      </c>
      <c r="C26" s="157" t="str">
        <f>Hakemler!C26</f>
        <v>DİLAY</v>
      </c>
      <c r="D26" s="55">
        <v>2</v>
      </c>
      <c r="E26" s="60">
        <f>IF(ISBLANK(D26),0,ABS(Uzman_E!A$4-D26))</f>
        <v>0.60000000000000009</v>
      </c>
      <c r="F26" s="52">
        <f>IF(ISBLANK(D26),0,INDEX(Tablo_E!$B$2:$CX$102,MATCH(ROUND(Uzman_E!A$4,1),Tablo_E!$A$2:$A$102,1),MATCH(ROUND(E26,1),Tablo_E!$B$1:$CX$1,1)))</f>
        <v>0.6</v>
      </c>
      <c r="G26" s="55">
        <v>3.1</v>
      </c>
      <c r="H26" s="60">
        <f>IF(ISBLANK(G26),0,ABS(Uzman_E!B$4-G26))</f>
        <v>0.80000000000000027</v>
      </c>
      <c r="I26" s="52">
        <f>IF(ISBLANK(G26),0,INDEX(Tablo_E!$B$2:$CX$102,MATCH(ROUND(Uzman_E!B$4,1),Tablo_E!$A$2:$A$102,1),MATCH(ROUND(H26,1),Tablo_E!$B$1:$CX$1,1)))</f>
        <v>0.6</v>
      </c>
      <c r="J26" s="55">
        <v>0.8</v>
      </c>
      <c r="K26" s="60">
        <f>IF(ISBLANK(J26),0,ABS(Uzman_E!C$4-J26))</f>
        <v>0.30000000000000004</v>
      </c>
      <c r="L26" s="52">
        <f>IF(ISBLANK(J26),0,INDEX(Tablo_E!$B$2:$CX$102,MATCH(ROUND(Uzman_E!C$4,1),Tablo_E!$A$2:$A$102,1),MATCH(ROUND(K26,1),Tablo_E!$B$1:$CX$1,1)))</f>
        <v>0.9</v>
      </c>
      <c r="M26" s="55">
        <v>1.1000000000000001</v>
      </c>
      <c r="N26" s="60">
        <f>IF(ISBLANK(M26),0,ABS(Uzman_E!D$4-M26))</f>
        <v>0.30000000000000004</v>
      </c>
      <c r="O26" s="52">
        <f>IF(ISBLANK(M26),0,INDEX(Tablo_E!$B$2:$CX$102,MATCH(ROUND(Uzman_E!D$4,1),Tablo_E!$A$2:$A$102,1),MATCH(ROUND(N26,1),Tablo_E!$B$1:$CX$1,1)))</f>
        <v>0.8</v>
      </c>
      <c r="P26" s="55">
        <v>1</v>
      </c>
      <c r="Q26" s="60">
        <f>IF(ISBLANK(P26),0,ABS(Uzman_E!E$4-P26))</f>
        <v>0</v>
      </c>
      <c r="R26" s="52">
        <f>IF(ISBLANK(P26),0,INDEX(Tablo_E!$B$2:$CX$102,MATCH(ROUND(Uzman_E!B$4,1),Tablo_E!$A$2:$A$102,1),MATCH(ROUND(Q26,1),Tablo_E!$B$1:$CX$1,1)))</f>
        <v>1</v>
      </c>
      <c r="S26" s="53">
        <f t="shared" si="0"/>
        <v>0.78</v>
      </c>
      <c r="T26" s="49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x14ac:dyDescent="0.45">
      <c r="A27" s="54">
        <v>24</v>
      </c>
      <c r="B27" s="156" t="str">
        <f>Hakemler!B27</f>
        <v>AYDEMİR</v>
      </c>
      <c r="C27" s="157" t="str">
        <f>Hakemler!C27</f>
        <v>AYŞE DİLARA</v>
      </c>
      <c r="D27" s="55">
        <v>2</v>
      </c>
      <c r="E27" s="60">
        <f>IF(ISBLANK(D27),0,ABS(Uzman_E!A$4-D27))</f>
        <v>0.60000000000000009</v>
      </c>
      <c r="F27" s="52">
        <f>IF(ISBLANK(D27),0,INDEX(Tablo_E!$B$2:$CX$102,MATCH(ROUND(Uzman_E!A$4,1),Tablo_E!$A$2:$A$102,1),MATCH(ROUND(E27,1),Tablo_E!$B$1:$CX$1,1)))</f>
        <v>0.6</v>
      </c>
      <c r="G27" s="55">
        <v>1.8</v>
      </c>
      <c r="H27" s="60">
        <f>IF(ISBLANK(G27),0,ABS(Uzman_E!B$4-G27))</f>
        <v>0.49999999999999978</v>
      </c>
      <c r="I27" s="52">
        <f>IF(ISBLANK(G27),0,INDEX(Tablo_E!$B$2:$CX$102,MATCH(ROUND(Uzman_E!B$4,1),Tablo_E!$A$2:$A$102,1),MATCH(ROUND(H27,1),Tablo_E!$B$1:$CX$1,1)))</f>
        <v>0.85</v>
      </c>
      <c r="J27" s="55">
        <v>0.5</v>
      </c>
      <c r="K27" s="60">
        <f>IF(ISBLANK(J27),0,ABS(Uzman_E!C$4-J27))</f>
        <v>0.60000000000000009</v>
      </c>
      <c r="L27" s="52">
        <f>IF(ISBLANK(J27),0,INDEX(Tablo_E!$B$2:$CX$102,MATCH(ROUND(Uzman_E!C$4,1),Tablo_E!$A$2:$A$102,1),MATCH(ROUND(K27,1),Tablo_E!$B$1:$CX$1,1)))</f>
        <v>0.6</v>
      </c>
      <c r="M27" s="55">
        <v>0.7</v>
      </c>
      <c r="N27" s="60">
        <f>IF(ISBLANK(M27),0,ABS(Uzman_E!D$4-M27))</f>
        <v>0.10000000000000009</v>
      </c>
      <c r="O27" s="52">
        <f>IF(ISBLANK(M27),0,INDEX(Tablo_E!$B$2:$CX$102,MATCH(ROUND(Uzman_E!D$4,1),Tablo_E!$A$2:$A$102,1),MATCH(ROUND(N27,1),Tablo_E!$B$1:$CX$1,1)))</f>
        <v>1</v>
      </c>
      <c r="P27" s="55">
        <v>0.8</v>
      </c>
      <c r="Q27" s="60">
        <f>IF(ISBLANK(P27),0,ABS(Uzman_E!E$4-P27))</f>
        <v>0.19999999999999996</v>
      </c>
      <c r="R27" s="52">
        <f>IF(ISBLANK(P27),0,INDEX(Tablo_E!$B$2:$CX$102,MATCH(ROUND(Uzman_E!B$4,1),Tablo_E!$A$2:$A$102,1),MATCH(ROUND(Q27,1),Tablo_E!$B$1:$CX$1,1)))</f>
        <v>1</v>
      </c>
      <c r="S27" s="53">
        <f t="shared" si="0"/>
        <v>0.80999999999999994</v>
      </c>
      <c r="T27" s="49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x14ac:dyDescent="0.45">
      <c r="A28" s="54">
        <v>25</v>
      </c>
      <c r="B28" s="156" t="str">
        <f>Hakemler!B28</f>
        <v>AKIN</v>
      </c>
      <c r="C28" s="157" t="str">
        <f>Hakemler!C28</f>
        <v>MANOLYA</v>
      </c>
      <c r="D28" s="55">
        <v>1.7</v>
      </c>
      <c r="E28" s="60">
        <f>IF(ISBLANK(D28),0,ABS(Uzman_E!A$4-D28))</f>
        <v>0.30000000000000004</v>
      </c>
      <c r="F28" s="52">
        <f>IF(ISBLANK(D28),0,INDEX(Tablo_E!$B$2:$CX$102,MATCH(ROUND(Uzman_E!A$4,1),Tablo_E!$A$2:$A$102,1),MATCH(ROUND(E28,1),Tablo_E!$B$1:$CX$1,1)))</f>
        <v>0.9</v>
      </c>
      <c r="G28" s="55">
        <v>2.2999999999999998</v>
      </c>
      <c r="H28" s="60">
        <f>IF(ISBLANK(G28),0,ABS(Uzman_E!B$4-G28))</f>
        <v>0</v>
      </c>
      <c r="I28" s="52">
        <f>IF(ISBLANK(G28),0,INDEX(Tablo_E!$B$2:$CX$102,MATCH(ROUND(Uzman_E!B$4,1),Tablo_E!$A$2:$A$102,1),MATCH(ROUND(H28,1),Tablo_E!$B$1:$CX$1,1)))</f>
        <v>1</v>
      </c>
      <c r="J28" s="55">
        <v>0.9</v>
      </c>
      <c r="K28" s="60">
        <f>IF(ISBLANK(J28),0,ABS(Uzman_E!C$4-J28))</f>
        <v>0.20000000000000007</v>
      </c>
      <c r="L28" s="52">
        <f>IF(ISBLANK(J28),0,INDEX(Tablo_E!$B$2:$CX$102,MATCH(ROUND(Uzman_E!C$4,1),Tablo_E!$A$2:$A$102,1),MATCH(ROUND(K28,1),Tablo_E!$B$1:$CX$1,1)))</f>
        <v>1</v>
      </c>
      <c r="M28" s="55">
        <v>1</v>
      </c>
      <c r="N28" s="60">
        <f>IF(ISBLANK(M28),0,ABS(Uzman_E!D$4-M28))</f>
        <v>0.19999999999999996</v>
      </c>
      <c r="O28" s="52">
        <f>IF(ISBLANK(M28),0,INDEX(Tablo_E!$B$2:$CX$102,MATCH(ROUND(Uzman_E!D$4,1),Tablo_E!$A$2:$A$102,1),MATCH(ROUND(N28,1),Tablo_E!$B$1:$CX$1,1)))</f>
        <v>1</v>
      </c>
      <c r="P28" s="55">
        <v>1.2</v>
      </c>
      <c r="Q28" s="60">
        <f>IF(ISBLANK(P28),0,ABS(Uzman_E!E$4-P28))</f>
        <v>0.19999999999999996</v>
      </c>
      <c r="R28" s="52">
        <f>IF(ISBLANK(P28),0,INDEX(Tablo_E!$B$2:$CX$102,MATCH(ROUND(Uzman_E!B$4,1),Tablo_E!$A$2:$A$102,1),MATCH(ROUND(Q28,1),Tablo_E!$B$1:$CX$1,1)))</f>
        <v>1</v>
      </c>
      <c r="S28" s="53">
        <f t="shared" si="0"/>
        <v>0.98000000000000009</v>
      </c>
      <c r="T28" s="49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x14ac:dyDescent="0.45">
      <c r="A29" s="54">
        <v>26</v>
      </c>
      <c r="B29" s="156" t="str">
        <f>Hakemler!B29</f>
        <v>PINAR</v>
      </c>
      <c r="C29" s="157" t="str">
        <f>Hakemler!C29</f>
        <v>YELİZ</v>
      </c>
      <c r="D29" s="55">
        <v>1.5</v>
      </c>
      <c r="E29" s="60">
        <f>IF(ISBLANK(D29),0,ABS(Uzman_E!A$4-D29))</f>
        <v>0.10000000000000009</v>
      </c>
      <c r="F29" s="52">
        <f>IF(ISBLANK(D29),0,INDEX(Tablo_E!$B$2:$CX$102,MATCH(ROUND(Uzman_E!A$4,1),Tablo_E!$A$2:$A$102,1),MATCH(ROUND(E29,1),Tablo_E!$B$1:$CX$1,1)))</f>
        <v>1</v>
      </c>
      <c r="G29" s="55">
        <v>1.7</v>
      </c>
      <c r="H29" s="60">
        <f>IF(ISBLANK(G29),0,ABS(Uzman_E!B$4-G29))</f>
        <v>0.59999999999999987</v>
      </c>
      <c r="I29" s="52">
        <f>IF(ISBLANK(G29),0,INDEX(Tablo_E!$B$2:$CX$102,MATCH(ROUND(Uzman_E!B$4,1),Tablo_E!$A$2:$A$102,1),MATCH(ROUND(H29,1),Tablo_E!$B$1:$CX$1,1)))</f>
        <v>0.8</v>
      </c>
      <c r="J29" s="55">
        <v>1</v>
      </c>
      <c r="K29" s="60">
        <f>IF(ISBLANK(J29),0,ABS(Uzman_E!C$4-J29))</f>
        <v>0.10000000000000009</v>
      </c>
      <c r="L29" s="52">
        <f>IF(ISBLANK(J29),0,INDEX(Tablo_E!$B$2:$CX$102,MATCH(ROUND(Uzman_E!C$4,1),Tablo_E!$A$2:$A$102,1),MATCH(ROUND(K29,1),Tablo_E!$B$1:$CX$1,1)))</f>
        <v>1</v>
      </c>
      <c r="M29" s="55">
        <v>1.1000000000000001</v>
      </c>
      <c r="N29" s="60">
        <f>IF(ISBLANK(M29),0,ABS(Uzman_E!D$4-M29))</f>
        <v>0.30000000000000004</v>
      </c>
      <c r="O29" s="52">
        <f>IF(ISBLANK(M29),0,INDEX(Tablo_E!$B$2:$CX$102,MATCH(ROUND(Uzman_E!D$4,1),Tablo_E!$A$2:$A$102,1),MATCH(ROUND(N29,1),Tablo_E!$B$1:$CX$1,1)))</f>
        <v>0.8</v>
      </c>
      <c r="P29" s="55">
        <v>0.6</v>
      </c>
      <c r="Q29" s="60">
        <f>IF(ISBLANK(P29),0,ABS(Uzman_E!E$4-P29))</f>
        <v>0.4</v>
      </c>
      <c r="R29" s="52">
        <f>IF(ISBLANK(P29),0,INDEX(Tablo_E!$B$2:$CX$102,MATCH(ROUND(Uzman_E!B$4,1),Tablo_E!$A$2:$A$102,1),MATCH(ROUND(Q29,1),Tablo_E!$B$1:$CX$1,1)))</f>
        <v>0.95</v>
      </c>
      <c r="S29" s="53">
        <f t="shared" si="0"/>
        <v>0.90999999999999992</v>
      </c>
      <c r="T29" s="49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x14ac:dyDescent="0.45">
      <c r="A30" s="54">
        <v>27</v>
      </c>
      <c r="B30" s="156" t="str">
        <f>Hakemler!B30</f>
        <v>KATRANCI</v>
      </c>
      <c r="C30" s="157" t="str">
        <f>Hakemler!C30</f>
        <v>AYŞEN</v>
      </c>
      <c r="D30" s="55">
        <v>2</v>
      </c>
      <c r="E30" s="60">
        <f>IF(ISBLANK(D30),0,ABS(Uzman_E!A$4-D30))</f>
        <v>0.60000000000000009</v>
      </c>
      <c r="F30" s="52">
        <f>IF(ISBLANK(D30),0,INDEX(Tablo_E!$B$2:$CX$102,MATCH(ROUND(Uzman_E!A$4,1),Tablo_E!$A$2:$A$102,1),MATCH(ROUND(E30,1),Tablo_E!$B$1:$CX$1,1)))</f>
        <v>0.6</v>
      </c>
      <c r="G30" s="55">
        <v>2</v>
      </c>
      <c r="H30" s="60">
        <f>IF(ISBLANK(G30),0,ABS(Uzman_E!B$4-G30))</f>
        <v>0.29999999999999982</v>
      </c>
      <c r="I30" s="52">
        <f>IF(ISBLANK(G30),0,INDEX(Tablo_E!$B$2:$CX$102,MATCH(ROUND(Uzman_E!B$4,1),Tablo_E!$A$2:$A$102,1),MATCH(ROUND(H30,1),Tablo_E!$B$1:$CX$1,1)))</f>
        <v>1</v>
      </c>
      <c r="J30" s="55">
        <v>1</v>
      </c>
      <c r="K30" s="60">
        <f>IF(ISBLANK(J30),0,ABS(Uzman_E!C$4-J30))</f>
        <v>0.10000000000000009</v>
      </c>
      <c r="L30" s="52">
        <f>IF(ISBLANK(J30),0,INDEX(Tablo_E!$B$2:$CX$102,MATCH(ROUND(Uzman_E!C$4,1),Tablo_E!$A$2:$A$102,1),MATCH(ROUND(K30,1),Tablo_E!$B$1:$CX$1,1)))</f>
        <v>1</v>
      </c>
      <c r="M30" s="55">
        <v>1.2</v>
      </c>
      <c r="N30" s="60">
        <f>IF(ISBLANK(M30),0,ABS(Uzman_E!D$4-M30))</f>
        <v>0.39999999999999991</v>
      </c>
      <c r="O30" s="52">
        <f>IF(ISBLANK(M30),0,INDEX(Tablo_E!$B$2:$CX$102,MATCH(ROUND(Uzman_E!D$4,1),Tablo_E!$A$2:$A$102,1),MATCH(ROUND(N30,1),Tablo_E!$B$1:$CX$1,1)))</f>
        <v>0.7</v>
      </c>
      <c r="P30" s="55">
        <v>1.6</v>
      </c>
      <c r="Q30" s="60">
        <f>IF(ISBLANK(P30),0,ABS(Uzman_E!E$4-P30))</f>
        <v>0.60000000000000009</v>
      </c>
      <c r="R30" s="52">
        <f>IF(ISBLANK(P30),0,INDEX(Tablo_E!$B$2:$CX$102,MATCH(ROUND(Uzman_E!B$4,1),Tablo_E!$A$2:$A$102,1),MATCH(ROUND(Q30,1),Tablo_E!$B$1:$CX$1,1)))</f>
        <v>0.8</v>
      </c>
      <c r="S30" s="53">
        <f t="shared" si="0"/>
        <v>0.82</v>
      </c>
      <c r="T30" s="49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x14ac:dyDescent="0.45">
      <c r="A31" s="54">
        <v>28</v>
      </c>
      <c r="B31" s="156" t="str">
        <f>Hakemler!B31</f>
        <v>GÜRKAN KİRAZ</v>
      </c>
      <c r="C31" s="157" t="str">
        <f>Hakemler!C31</f>
        <v>FULYA</v>
      </c>
      <c r="D31" s="55">
        <v>1.5</v>
      </c>
      <c r="E31" s="60">
        <f>IF(ISBLANK(D31),0,ABS(Uzman_E!A$4-D31))</f>
        <v>0.10000000000000009</v>
      </c>
      <c r="F31" s="52">
        <f>IF(ISBLANK(D31),0,INDEX(Tablo_E!$B$2:$CX$102,MATCH(ROUND(Uzman_E!A$4,1),Tablo_E!$A$2:$A$102,1),MATCH(ROUND(E31,1),Tablo_E!$B$1:$CX$1,1)))</f>
        <v>1</v>
      </c>
      <c r="G31" s="55">
        <v>1.8</v>
      </c>
      <c r="H31" s="60">
        <f>IF(ISBLANK(G31),0,ABS(Uzman_E!B$4-G31))</f>
        <v>0.49999999999999978</v>
      </c>
      <c r="I31" s="52">
        <f>IF(ISBLANK(G31),0,INDEX(Tablo_E!$B$2:$CX$102,MATCH(ROUND(Uzman_E!B$4,1),Tablo_E!$A$2:$A$102,1),MATCH(ROUND(H31,1),Tablo_E!$B$1:$CX$1,1)))</f>
        <v>0.85</v>
      </c>
      <c r="J31" s="55">
        <v>1</v>
      </c>
      <c r="K31" s="60">
        <f>IF(ISBLANK(J31),0,ABS(Uzman_E!C$4-J31))</f>
        <v>0.10000000000000009</v>
      </c>
      <c r="L31" s="52">
        <f>IF(ISBLANK(J31),0,INDEX(Tablo_E!$B$2:$CX$102,MATCH(ROUND(Uzman_E!C$4,1),Tablo_E!$A$2:$A$102,1),MATCH(ROUND(K31,1),Tablo_E!$B$1:$CX$1,1)))</f>
        <v>1</v>
      </c>
      <c r="M31" s="55">
        <v>0.8</v>
      </c>
      <c r="N31" s="60">
        <f>IF(ISBLANK(M31),0,ABS(Uzman_E!D$4-M31))</f>
        <v>0</v>
      </c>
      <c r="O31" s="52">
        <f>IF(ISBLANK(M31),0,INDEX(Tablo_E!$B$2:$CX$102,MATCH(ROUND(Uzman_E!D$4,1),Tablo_E!$A$2:$A$102,1),MATCH(ROUND(N31,1),Tablo_E!$B$1:$CX$1,1)))</f>
        <v>1</v>
      </c>
      <c r="P31" s="55">
        <v>1.2</v>
      </c>
      <c r="Q31" s="60">
        <f>IF(ISBLANK(P31),0,ABS(Uzman_E!E$4-P31))</f>
        <v>0.19999999999999996</v>
      </c>
      <c r="R31" s="52">
        <f>IF(ISBLANK(P31),0,INDEX(Tablo_E!$B$2:$CX$102,MATCH(ROUND(Uzman_E!B$4,1),Tablo_E!$A$2:$A$102,1),MATCH(ROUND(Q31,1),Tablo_E!$B$1:$CX$1,1)))</f>
        <v>1</v>
      </c>
      <c r="S31" s="53">
        <f t="shared" si="0"/>
        <v>0.97</v>
      </c>
      <c r="T31" s="49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x14ac:dyDescent="0.45">
      <c r="A32" s="54">
        <v>29</v>
      </c>
      <c r="B32" s="156" t="str">
        <f>Hakemler!B32</f>
        <v>KILIÇ</v>
      </c>
      <c r="C32" s="157" t="str">
        <f>Hakemler!C32</f>
        <v>AYŞE</v>
      </c>
      <c r="D32" s="55">
        <v>1.2</v>
      </c>
      <c r="E32" s="60">
        <f>IF(ISBLANK(D32),0,ABS(Uzman_E!A$4-D32))</f>
        <v>0.19999999999999996</v>
      </c>
      <c r="F32" s="52">
        <f>IF(ISBLANK(D32),0,INDEX(Tablo_E!$B$2:$CX$102,MATCH(ROUND(Uzman_E!A$4,1),Tablo_E!$A$2:$A$102,1),MATCH(ROUND(E32,1),Tablo_E!$B$1:$CX$1,1)))</f>
        <v>1</v>
      </c>
      <c r="G32" s="55">
        <v>2.5</v>
      </c>
      <c r="H32" s="60">
        <f>IF(ISBLANK(G32),0,ABS(Uzman_E!B$4-G32))</f>
        <v>0.20000000000000018</v>
      </c>
      <c r="I32" s="52">
        <f>IF(ISBLANK(G32),0,INDEX(Tablo_E!$B$2:$CX$102,MATCH(ROUND(Uzman_E!B$4,1),Tablo_E!$A$2:$A$102,1),MATCH(ROUND(H32,1),Tablo_E!$B$1:$CX$1,1)))</f>
        <v>1</v>
      </c>
      <c r="J32" s="55">
        <v>1</v>
      </c>
      <c r="K32" s="60">
        <f>IF(ISBLANK(J32),0,ABS(Uzman_E!C$4-J32))</f>
        <v>0.10000000000000009</v>
      </c>
      <c r="L32" s="52">
        <f>IF(ISBLANK(J32),0,INDEX(Tablo_E!$B$2:$CX$102,MATCH(ROUND(Uzman_E!C$4,1),Tablo_E!$A$2:$A$102,1),MATCH(ROUND(K32,1),Tablo_E!$B$1:$CX$1,1)))</f>
        <v>1</v>
      </c>
      <c r="M32" s="55">
        <v>1.1000000000000001</v>
      </c>
      <c r="N32" s="60">
        <f>IF(ISBLANK(M32),0,ABS(Uzman_E!D$4-M32))</f>
        <v>0.30000000000000004</v>
      </c>
      <c r="O32" s="52">
        <f>IF(ISBLANK(M32),0,INDEX(Tablo_E!$B$2:$CX$102,MATCH(ROUND(Uzman_E!D$4,1),Tablo_E!$A$2:$A$102,1),MATCH(ROUND(N32,1),Tablo_E!$B$1:$CX$1,1)))</f>
        <v>0.8</v>
      </c>
      <c r="P32" s="55">
        <v>1.2</v>
      </c>
      <c r="Q32" s="60">
        <f>IF(ISBLANK(P32),0,ABS(Uzman_E!E$4-P32))</f>
        <v>0.19999999999999996</v>
      </c>
      <c r="R32" s="52">
        <f>IF(ISBLANK(P32),0,INDEX(Tablo_E!$B$2:$CX$102,MATCH(ROUND(Uzman_E!B$4,1),Tablo_E!$A$2:$A$102,1),MATCH(ROUND(Q32,1),Tablo_E!$B$1:$CX$1,1)))</f>
        <v>1</v>
      </c>
      <c r="S32" s="53">
        <f t="shared" si="0"/>
        <v>0.96</v>
      </c>
      <c r="T32" s="49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x14ac:dyDescent="0.45">
      <c r="A33" s="54">
        <v>30</v>
      </c>
      <c r="B33" s="156" t="str">
        <f>Hakemler!B33</f>
        <v>ÖZGENLİK TATAR</v>
      </c>
      <c r="C33" s="157" t="str">
        <f>Hakemler!C33</f>
        <v>ARZU</v>
      </c>
      <c r="D33" s="55">
        <v>1.2</v>
      </c>
      <c r="E33" s="60">
        <f>IF(ISBLANK(D33),0,ABS(Uzman_E!A$4-D33))</f>
        <v>0.19999999999999996</v>
      </c>
      <c r="F33" s="52">
        <f>IF(ISBLANK(D33),0,INDEX(Tablo_E!$B$2:$CX$102,MATCH(ROUND(Uzman_E!A$4,1),Tablo_E!$A$2:$A$102,1),MATCH(ROUND(E33,1),Tablo_E!$B$1:$CX$1,1)))</f>
        <v>1</v>
      </c>
      <c r="G33" s="55">
        <v>2.1</v>
      </c>
      <c r="H33" s="60">
        <f>IF(ISBLANK(G33),0,ABS(Uzman_E!B$4-G33))</f>
        <v>0.19999999999999973</v>
      </c>
      <c r="I33" s="52">
        <f>IF(ISBLANK(G33),0,INDEX(Tablo_E!$B$2:$CX$102,MATCH(ROUND(Uzman_E!B$4,1),Tablo_E!$A$2:$A$102,1),MATCH(ROUND(H33,1),Tablo_E!$B$1:$CX$1,1)))</f>
        <v>1</v>
      </c>
      <c r="J33" s="55">
        <v>1.1000000000000001</v>
      </c>
      <c r="K33" s="60">
        <f>IF(ISBLANK(J33),0,ABS(Uzman_E!C$4-J33))</f>
        <v>0</v>
      </c>
      <c r="L33" s="52">
        <f>IF(ISBLANK(J33),0,INDEX(Tablo_E!$B$2:$CX$102,MATCH(ROUND(Uzman_E!C$4,1),Tablo_E!$A$2:$A$102,1),MATCH(ROUND(K33,1),Tablo_E!$B$1:$CX$1,1)))</f>
        <v>1</v>
      </c>
      <c r="M33" s="55">
        <v>0.8</v>
      </c>
      <c r="N33" s="60">
        <f>IF(ISBLANK(M33),0,ABS(Uzman_E!D$4-M33))</f>
        <v>0</v>
      </c>
      <c r="O33" s="52">
        <f>IF(ISBLANK(M33),0,INDEX(Tablo_E!$B$2:$CX$102,MATCH(ROUND(Uzman_E!D$4,1),Tablo_E!$A$2:$A$102,1),MATCH(ROUND(N33,1),Tablo_E!$B$1:$CX$1,1)))</f>
        <v>1</v>
      </c>
      <c r="P33" s="55">
        <v>0.9</v>
      </c>
      <c r="Q33" s="60">
        <f>IF(ISBLANK(P33),0,ABS(Uzman_E!E$4-P33))</f>
        <v>9.9999999999999978E-2</v>
      </c>
      <c r="R33" s="52">
        <f>IF(ISBLANK(P33),0,INDEX(Tablo_E!$B$2:$CX$102,MATCH(ROUND(Uzman_E!B$4,1),Tablo_E!$A$2:$A$102,1),MATCH(ROUND(Q33,1),Tablo_E!$B$1:$CX$1,1)))</f>
        <v>1</v>
      </c>
      <c r="S33" s="53">
        <f t="shared" si="0"/>
        <v>1</v>
      </c>
      <c r="T33" s="49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x14ac:dyDescent="0.45">
      <c r="A34" s="54">
        <v>31</v>
      </c>
      <c r="B34" s="156" t="str">
        <f>Hakemler!B34</f>
        <v>KARADENİZ</v>
      </c>
      <c r="C34" s="157" t="str">
        <f>Hakemler!C34</f>
        <v>EMEL</v>
      </c>
      <c r="D34" s="55">
        <v>2.4</v>
      </c>
      <c r="E34" s="60">
        <f>IF(ISBLANK(D34),0,ABS(Uzman_E!A$4-D34))</f>
        <v>1</v>
      </c>
      <c r="F34" s="52">
        <f>IF(ISBLANK(D34),0,INDEX(Tablo_E!$B$2:$CX$102,MATCH(ROUND(Uzman_E!A$4,1),Tablo_E!$A$2:$A$102,1),MATCH(ROUND(E34,1),Tablo_E!$B$1:$CX$1,1)))</f>
        <v>0.2</v>
      </c>
      <c r="G34" s="55">
        <v>3.3</v>
      </c>
      <c r="H34" s="60">
        <f>IF(ISBLANK(G34),0,ABS(Uzman_E!B$4-G34))</f>
        <v>1</v>
      </c>
      <c r="I34" s="52">
        <f>IF(ISBLANK(G34),0,INDEX(Tablo_E!$B$2:$CX$102,MATCH(ROUND(Uzman_E!B$4,1),Tablo_E!$A$2:$A$102,1),MATCH(ROUND(H34,1),Tablo_E!$B$1:$CX$1,1)))</f>
        <v>0.4</v>
      </c>
      <c r="J34" s="55">
        <v>1.3</v>
      </c>
      <c r="K34" s="60">
        <f>IF(ISBLANK(J34),0,ABS(Uzman_E!C$4-J34))</f>
        <v>0.19999999999999996</v>
      </c>
      <c r="L34" s="52">
        <f>IF(ISBLANK(J34),0,INDEX(Tablo_E!$B$2:$CX$102,MATCH(ROUND(Uzman_E!C$4,1),Tablo_E!$A$2:$A$102,1),MATCH(ROUND(K34,1),Tablo_E!$B$1:$CX$1,1)))</f>
        <v>1</v>
      </c>
      <c r="M34" s="55">
        <v>0.8</v>
      </c>
      <c r="N34" s="60">
        <f>IF(ISBLANK(M34),0,ABS(Uzman_E!D$4-M34))</f>
        <v>0</v>
      </c>
      <c r="O34" s="52">
        <f>IF(ISBLANK(M34),0,INDEX(Tablo_E!$B$2:$CX$102,MATCH(ROUND(Uzman_E!D$4,1),Tablo_E!$A$2:$A$102,1),MATCH(ROUND(N34,1),Tablo_E!$B$1:$CX$1,1)))</f>
        <v>1</v>
      </c>
      <c r="P34" s="55">
        <v>0.6</v>
      </c>
      <c r="Q34" s="60">
        <f>IF(ISBLANK(P34),0,ABS(Uzman_E!E$4-P34))</f>
        <v>0.4</v>
      </c>
      <c r="R34" s="52">
        <f>IF(ISBLANK(P34),0,INDEX(Tablo_E!$B$2:$CX$102,MATCH(ROUND(Uzman_E!B$4,1),Tablo_E!$A$2:$A$102,1),MATCH(ROUND(Q34,1),Tablo_E!$B$1:$CX$1,1)))</f>
        <v>0.95</v>
      </c>
      <c r="S34" s="53">
        <f t="shared" si="0"/>
        <v>0.71</v>
      </c>
      <c r="T34" s="49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x14ac:dyDescent="0.45">
      <c r="A35" s="54">
        <v>32</v>
      </c>
      <c r="B35" s="156" t="str">
        <f>Hakemler!B35</f>
        <v>TOYRAN</v>
      </c>
      <c r="C35" s="157" t="str">
        <f>Hakemler!C35</f>
        <v>SİNEM NUR</v>
      </c>
      <c r="D35" s="55">
        <v>1.9</v>
      </c>
      <c r="E35" s="60">
        <f>IF(ISBLANK(D35),0,ABS(Uzman_E!A$4-D35))</f>
        <v>0.5</v>
      </c>
      <c r="F35" s="52">
        <f>IF(ISBLANK(D35),0,INDEX(Tablo_E!$B$2:$CX$102,MATCH(ROUND(Uzman_E!A$4,1),Tablo_E!$A$2:$A$102,1),MATCH(ROUND(E35,1),Tablo_E!$B$1:$CX$1,1)))</f>
        <v>0.7</v>
      </c>
      <c r="G35" s="55">
        <v>2.5</v>
      </c>
      <c r="H35" s="60">
        <f>IF(ISBLANK(G35),0,ABS(Uzman_E!B$4-G35))</f>
        <v>0.20000000000000018</v>
      </c>
      <c r="I35" s="52">
        <f>IF(ISBLANK(G35),0,INDEX(Tablo_E!$B$2:$CX$102,MATCH(ROUND(Uzman_E!B$4,1),Tablo_E!$A$2:$A$102,1),MATCH(ROUND(H35,1),Tablo_E!$B$1:$CX$1,1)))</f>
        <v>1</v>
      </c>
      <c r="J35" s="55">
        <v>1.4</v>
      </c>
      <c r="K35" s="60">
        <f>IF(ISBLANK(J35),0,ABS(Uzman_E!C$4-J35))</f>
        <v>0.29999999999999982</v>
      </c>
      <c r="L35" s="52">
        <f>IF(ISBLANK(J35),0,INDEX(Tablo_E!$B$2:$CX$102,MATCH(ROUND(Uzman_E!C$4,1),Tablo_E!$A$2:$A$102,1),MATCH(ROUND(K35,1),Tablo_E!$B$1:$CX$1,1)))</f>
        <v>0.9</v>
      </c>
      <c r="M35" s="55">
        <v>0.9</v>
      </c>
      <c r="N35" s="60">
        <f>IF(ISBLANK(M35),0,ABS(Uzman_E!D$4-M35))</f>
        <v>9.9999999999999978E-2</v>
      </c>
      <c r="O35" s="52">
        <f>IF(ISBLANK(M35),0,INDEX(Tablo_E!$B$2:$CX$102,MATCH(ROUND(Uzman_E!D$4,1),Tablo_E!$A$2:$A$102,1),MATCH(ROUND(N35,1),Tablo_E!$B$1:$CX$1,1)))</f>
        <v>1</v>
      </c>
      <c r="P35" s="55">
        <v>1.5</v>
      </c>
      <c r="Q35" s="60">
        <f>IF(ISBLANK(P35),0,ABS(Uzman_E!E$4-P35))</f>
        <v>0.5</v>
      </c>
      <c r="R35" s="52">
        <f>IF(ISBLANK(P35),0,INDEX(Tablo_E!$B$2:$CX$102,MATCH(ROUND(Uzman_E!B$4,1),Tablo_E!$A$2:$A$102,1),MATCH(ROUND(Q35,1),Tablo_E!$B$1:$CX$1,1)))</f>
        <v>0.85</v>
      </c>
      <c r="S35" s="53">
        <f t="shared" si="0"/>
        <v>0.89</v>
      </c>
      <c r="T35" s="49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x14ac:dyDescent="0.45">
      <c r="A36" s="54">
        <v>33</v>
      </c>
      <c r="B36" s="156" t="str">
        <f>Hakemler!B36</f>
        <v>SEVERBAŞ</v>
      </c>
      <c r="C36" s="157" t="str">
        <f>Hakemler!C36</f>
        <v>PINAR</v>
      </c>
      <c r="D36" s="55">
        <v>2.2999999999999998</v>
      </c>
      <c r="E36" s="60">
        <f>IF(ISBLANK(D36),0,ABS(Uzman_E!A$4-D36))</f>
        <v>0.89999999999999991</v>
      </c>
      <c r="F36" s="52">
        <f>IF(ISBLANK(D36),0,INDEX(Tablo_E!$B$2:$CX$102,MATCH(ROUND(Uzman_E!A$4,1),Tablo_E!$A$2:$A$102,1),MATCH(ROUND(E36,1),Tablo_E!$B$1:$CX$1,1)))</f>
        <v>0.3</v>
      </c>
      <c r="G36" s="55">
        <v>3</v>
      </c>
      <c r="H36" s="60">
        <f>IF(ISBLANK(G36),0,ABS(Uzman_E!B$4-G36))</f>
        <v>0.70000000000000018</v>
      </c>
      <c r="I36" s="52">
        <f>IF(ISBLANK(G36),0,INDEX(Tablo_E!$B$2:$CX$102,MATCH(ROUND(Uzman_E!B$4,1),Tablo_E!$A$2:$A$102,1),MATCH(ROUND(H36,1),Tablo_E!$B$1:$CX$1,1)))</f>
        <v>0.7</v>
      </c>
      <c r="J36" s="55">
        <v>1.1000000000000001</v>
      </c>
      <c r="K36" s="60">
        <f>IF(ISBLANK(J36),0,ABS(Uzman_E!C$4-J36))</f>
        <v>0</v>
      </c>
      <c r="L36" s="52">
        <f>IF(ISBLANK(J36),0,INDEX(Tablo_E!$B$2:$CX$102,MATCH(ROUND(Uzman_E!C$4,1),Tablo_E!$A$2:$A$102,1),MATCH(ROUND(K36,1),Tablo_E!$B$1:$CX$1,1)))</f>
        <v>1</v>
      </c>
      <c r="M36" s="55">
        <v>2</v>
      </c>
      <c r="N36" s="60">
        <f>IF(ISBLANK(M36),0,ABS(Uzman_E!D$4-M36))</f>
        <v>1.2</v>
      </c>
      <c r="O36" s="52">
        <f>IF(ISBLANK(M36),0,INDEX(Tablo_E!$B$2:$CX$102,MATCH(ROUND(Uzman_E!D$4,1),Tablo_E!$A$2:$A$102,1),MATCH(ROUND(N36,1),Tablo_E!$B$1:$CX$1,1)))</f>
        <v>0</v>
      </c>
      <c r="P36" s="55">
        <v>1.8</v>
      </c>
      <c r="Q36" s="60">
        <f>IF(ISBLANK(P36),0,ABS(Uzman_E!E$4-P36))</f>
        <v>0.8</v>
      </c>
      <c r="R36" s="52">
        <f>IF(ISBLANK(P36),0,INDEX(Tablo_E!$B$2:$CX$102,MATCH(ROUND(Uzman_E!B$4,1),Tablo_E!$A$2:$A$102,1),MATCH(ROUND(Q36,1),Tablo_E!$B$1:$CX$1,1)))</f>
        <v>0.6</v>
      </c>
      <c r="S36" s="53">
        <f t="shared" ref="S36:S67" si="1">(F36+I36+L36+O36+R36)/5</f>
        <v>0.52</v>
      </c>
      <c r="T36" s="49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x14ac:dyDescent="0.45">
      <c r="A37" s="54">
        <v>34</v>
      </c>
      <c r="B37" s="156" t="str">
        <f>Hakemler!B37</f>
        <v>KASAP TOPAL</v>
      </c>
      <c r="C37" s="157" t="str">
        <f>Hakemler!C37</f>
        <v>AYTEN</v>
      </c>
      <c r="D37" s="55">
        <v>1.1000000000000001</v>
      </c>
      <c r="E37" s="60">
        <f>IF(ISBLANK(D37),0,ABS(Uzman_E!A$4-D37))</f>
        <v>0.29999999999999982</v>
      </c>
      <c r="F37" s="52">
        <f>IF(ISBLANK(D37),0,INDEX(Tablo_E!$B$2:$CX$102,MATCH(ROUND(Uzman_E!A$4,1),Tablo_E!$A$2:$A$102,1),MATCH(ROUND(E37,1),Tablo_E!$B$1:$CX$1,1)))</f>
        <v>0.9</v>
      </c>
      <c r="G37" s="55">
        <v>1.6</v>
      </c>
      <c r="H37" s="60">
        <f>IF(ISBLANK(G37),0,ABS(Uzman_E!B$4-G37))</f>
        <v>0.69999999999999973</v>
      </c>
      <c r="I37" s="52">
        <f>IF(ISBLANK(G37),0,INDEX(Tablo_E!$B$2:$CX$102,MATCH(ROUND(Uzman_E!B$4,1),Tablo_E!$A$2:$A$102,1),MATCH(ROUND(H37,1),Tablo_E!$B$1:$CX$1,1)))</f>
        <v>0.7</v>
      </c>
      <c r="J37" s="55">
        <v>0.5</v>
      </c>
      <c r="K37" s="60">
        <f>IF(ISBLANK(J37),0,ABS(Uzman_E!C$4-J37))</f>
        <v>0.60000000000000009</v>
      </c>
      <c r="L37" s="52">
        <f>IF(ISBLANK(J37),0,INDEX(Tablo_E!$B$2:$CX$102,MATCH(ROUND(Uzman_E!C$4,1),Tablo_E!$A$2:$A$102,1),MATCH(ROUND(K37,1),Tablo_E!$B$1:$CX$1,1)))</f>
        <v>0.6</v>
      </c>
      <c r="M37" s="55">
        <v>0.6</v>
      </c>
      <c r="N37" s="60">
        <f>IF(ISBLANK(M37),0,ABS(Uzman_E!D$4-M37))</f>
        <v>0.20000000000000007</v>
      </c>
      <c r="O37" s="52">
        <f>IF(ISBLANK(M37),0,INDEX(Tablo_E!$B$2:$CX$102,MATCH(ROUND(Uzman_E!D$4,1),Tablo_E!$A$2:$A$102,1),MATCH(ROUND(N37,1),Tablo_E!$B$1:$CX$1,1)))</f>
        <v>1</v>
      </c>
      <c r="P37" s="55">
        <v>0.6</v>
      </c>
      <c r="Q37" s="60">
        <f>IF(ISBLANK(P37),0,ABS(Uzman_E!E$4-P37))</f>
        <v>0.4</v>
      </c>
      <c r="R37" s="52">
        <f>IF(ISBLANK(P37),0,INDEX(Tablo_E!$B$2:$CX$102,MATCH(ROUND(Uzman_E!B$4,1),Tablo_E!$A$2:$A$102,1),MATCH(ROUND(Q37,1),Tablo_E!$B$1:$CX$1,1)))</f>
        <v>0.95</v>
      </c>
      <c r="S37" s="53">
        <f t="shared" si="1"/>
        <v>0.83000000000000007</v>
      </c>
      <c r="T37" s="49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x14ac:dyDescent="0.45">
      <c r="A38" s="54">
        <v>35</v>
      </c>
      <c r="B38" s="156" t="str">
        <f>Hakemler!B38</f>
        <v>DİCLE</v>
      </c>
      <c r="C38" s="157" t="str">
        <f>Hakemler!C38</f>
        <v>SENA HAZEL</v>
      </c>
      <c r="D38" s="55">
        <v>2.6</v>
      </c>
      <c r="E38" s="60">
        <f>IF(ISBLANK(D38),0,ABS(Uzman_E!A$4-D38))</f>
        <v>1.2000000000000002</v>
      </c>
      <c r="F38" s="52">
        <f>IF(ISBLANK(D38),0,INDEX(Tablo_E!$B$2:$CX$102,MATCH(ROUND(Uzman_E!A$4,1),Tablo_E!$A$2:$A$102,1),MATCH(ROUND(E38,1),Tablo_E!$B$1:$CX$1,1)))</f>
        <v>0</v>
      </c>
      <c r="G38" s="55">
        <v>3.2</v>
      </c>
      <c r="H38" s="60">
        <f>IF(ISBLANK(G38),0,ABS(Uzman_E!B$4-G38))</f>
        <v>0.90000000000000036</v>
      </c>
      <c r="I38" s="52">
        <f>IF(ISBLANK(G38),0,INDEX(Tablo_E!$B$2:$CX$102,MATCH(ROUND(Uzman_E!B$4,1),Tablo_E!$A$2:$A$102,1),MATCH(ROUND(H38,1),Tablo_E!$B$1:$CX$1,1)))</f>
        <v>0.5</v>
      </c>
      <c r="J38" s="55">
        <v>2.1</v>
      </c>
      <c r="K38" s="60">
        <f>IF(ISBLANK(J38),0,ABS(Uzman_E!C$4-J38))</f>
        <v>1</v>
      </c>
      <c r="L38" s="52">
        <f>IF(ISBLANK(J38),0,INDEX(Tablo_E!$B$2:$CX$102,MATCH(ROUND(Uzman_E!C$4,1),Tablo_E!$A$2:$A$102,1),MATCH(ROUND(K38,1),Tablo_E!$B$1:$CX$1,1)))</f>
        <v>0.2</v>
      </c>
      <c r="M38" s="55">
        <v>1.1000000000000001</v>
      </c>
      <c r="N38" s="60">
        <f>IF(ISBLANK(M38),0,ABS(Uzman_E!D$4-M38))</f>
        <v>0.30000000000000004</v>
      </c>
      <c r="O38" s="52">
        <f>IF(ISBLANK(M38),0,INDEX(Tablo_E!$B$2:$CX$102,MATCH(ROUND(Uzman_E!D$4,1),Tablo_E!$A$2:$A$102,1),MATCH(ROUND(N38,1),Tablo_E!$B$1:$CX$1,1)))</f>
        <v>0.8</v>
      </c>
      <c r="P38" s="55">
        <v>1.4</v>
      </c>
      <c r="Q38" s="60">
        <f>IF(ISBLANK(P38),0,ABS(Uzman_E!E$4-P38))</f>
        <v>0.39999999999999991</v>
      </c>
      <c r="R38" s="52">
        <f>IF(ISBLANK(P38),0,INDEX(Tablo_E!$B$2:$CX$102,MATCH(ROUND(Uzman_E!B$4,1),Tablo_E!$A$2:$A$102,1),MATCH(ROUND(Q38,1),Tablo_E!$B$1:$CX$1,1)))</f>
        <v>0.95</v>
      </c>
      <c r="S38" s="53">
        <f t="shared" si="1"/>
        <v>0.49000000000000005</v>
      </c>
      <c r="T38" s="49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x14ac:dyDescent="0.45">
      <c r="A39" s="54">
        <v>36</v>
      </c>
      <c r="B39" s="156" t="str">
        <f>Hakemler!B39</f>
        <v>KARAHAN</v>
      </c>
      <c r="C39" s="157" t="str">
        <f>Hakemler!C39</f>
        <v>NESRİN</v>
      </c>
      <c r="D39" s="55">
        <v>1.7</v>
      </c>
      <c r="E39" s="62">
        <f>IF(ISBLANK(D39),0,ABS(Uzman_E!A$4-D39))</f>
        <v>0.30000000000000004</v>
      </c>
      <c r="F39" s="57">
        <f>IF(ISBLANK(D39),0,INDEX(Tablo_E!$B$2:$CX$102,MATCH(ROUND(Uzman_E!A$4,1),Tablo_E!$A$2:$A$102,1),MATCH(ROUND(E39,1),Tablo_E!$B$1:$CX$1,1)))</f>
        <v>0.9</v>
      </c>
      <c r="G39" s="55">
        <v>2.1</v>
      </c>
      <c r="H39" s="60">
        <f>IF(ISBLANK(G39),0,ABS(Uzman_E!B$4-G39))</f>
        <v>0.19999999999999973</v>
      </c>
      <c r="I39" s="57">
        <f>IF(ISBLANK(G39),0,INDEX(Tablo_E!$B$2:$CX$102,MATCH(ROUND(Uzman_E!B$4,1),Tablo_E!$A$2:$A$102,1),MATCH(ROUND(H39,1),Tablo_E!$B$1:$CX$1,1)))</f>
        <v>1</v>
      </c>
      <c r="J39" s="55">
        <v>1.2</v>
      </c>
      <c r="K39" s="62">
        <f>IF(ISBLANK(J39),0,ABS(Uzman_E!C$4-J39))</f>
        <v>9.9999999999999867E-2</v>
      </c>
      <c r="L39" s="57">
        <f>IF(ISBLANK(J39),0,INDEX(Tablo_E!$B$2:$CX$102,MATCH(ROUND(Uzman_E!C$4,1),Tablo_E!$A$2:$A$102,1),MATCH(ROUND(K39,1),Tablo_E!$B$1:$CX$1,1)))</f>
        <v>1</v>
      </c>
      <c r="M39" s="55">
        <v>0.8</v>
      </c>
      <c r="N39" s="62">
        <f>IF(ISBLANK(M39),0,ABS(Uzman_E!D$4-M39))</f>
        <v>0</v>
      </c>
      <c r="O39" s="57">
        <f>IF(ISBLANK(M39),0,INDEX(Tablo_E!$B$2:$CX$102,MATCH(ROUND(Uzman_E!D$4,1),Tablo_E!$A$2:$A$102,1),MATCH(ROUND(N39,1),Tablo_E!$B$1:$CX$1,1)))</f>
        <v>1</v>
      </c>
      <c r="P39" s="55">
        <v>0.6</v>
      </c>
      <c r="Q39" s="60">
        <f>IF(ISBLANK(P39),0,ABS(Uzman_E!E$4-P39))</f>
        <v>0.4</v>
      </c>
      <c r="R39" s="57">
        <f>IF(ISBLANK(P39),0,INDEX(Tablo_E!$B$2:$CX$102,MATCH(ROUND(Uzman_E!B$4,1),Tablo_E!$A$2:$A$102,1),MATCH(ROUND(Q39,1),Tablo_E!$B$1:$CX$1,1)))</f>
        <v>0.95</v>
      </c>
      <c r="S39" s="53">
        <f t="shared" si="1"/>
        <v>0.97</v>
      </c>
      <c r="T39" s="49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45">
      <c r="A40" s="54">
        <v>37</v>
      </c>
      <c r="B40" s="154" t="str">
        <f>Hakemler!B40</f>
        <v>ALTAY</v>
      </c>
      <c r="C40" s="155" t="str">
        <f>Hakemler!C40</f>
        <v>SERDİNÇ</v>
      </c>
      <c r="D40" s="55">
        <v>1.7</v>
      </c>
      <c r="E40" s="63">
        <f>IF(ISBLANK(D40),0,ABS(Uzman_E!A$4-D40))</f>
        <v>0.30000000000000004</v>
      </c>
      <c r="F40" s="64">
        <f>IF(ISBLANK(D40),0,INDEX(Tablo_E!$B$2:$CX$102,MATCH(ROUND(Uzman_E!A$4,1),Tablo_E!$A$2:$A$102,1),MATCH(ROUND(E40,1),Tablo_E!$B$1:$CX$1,1)))</f>
        <v>0.9</v>
      </c>
      <c r="G40" s="55">
        <v>2.5</v>
      </c>
      <c r="H40" s="60">
        <f>IF(ISBLANK(G40),0,ABS(Uzman_E!B$4-G40))</f>
        <v>0.20000000000000018</v>
      </c>
      <c r="I40" s="64">
        <f>IF(ISBLANK(G40),0,INDEX(Tablo_E!$B$2:$CX$102,MATCH(ROUND(Uzman_E!B$4,1),Tablo_E!$A$2:$A$102,1),MATCH(ROUND(H40,1),Tablo_E!$B$1:$CX$1,1)))</f>
        <v>1</v>
      </c>
      <c r="J40" s="55">
        <v>1.4</v>
      </c>
      <c r="K40" s="63">
        <f>IF(ISBLANK(J40),0,ABS(Uzman_E!C$4-J40))</f>
        <v>0.29999999999999982</v>
      </c>
      <c r="L40" s="64">
        <f>IF(ISBLANK(J40),0,INDEX(Tablo_E!$B$2:$CX$102,MATCH(ROUND(Uzman_E!C$4,1),Tablo_E!$A$2:$A$102,1),MATCH(ROUND(K40,1),Tablo_E!$B$1:$CX$1,1)))</f>
        <v>0.9</v>
      </c>
      <c r="M40" s="55">
        <v>1.9</v>
      </c>
      <c r="N40" s="63">
        <f>IF(ISBLANK(M40),0,ABS(Uzman_E!D$4-M40))</f>
        <v>1.0999999999999999</v>
      </c>
      <c r="O40" s="64">
        <f>IF(ISBLANK(M40),0,INDEX(Tablo_E!$B$2:$CX$102,MATCH(ROUND(Uzman_E!D$4,1),Tablo_E!$A$2:$A$102,1),MATCH(ROUND(N40,1),Tablo_E!$B$1:$CX$1,1)))</f>
        <v>0</v>
      </c>
      <c r="P40" s="55">
        <v>1.4</v>
      </c>
      <c r="Q40" s="60">
        <f>IF(ISBLANK(P40),0,ABS(Uzman_E!E$4-P40))</f>
        <v>0.39999999999999991</v>
      </c>
      <c r="R40" s="64">
        <f>IF(ISBLANK(P40),0,INDEX(Tablo_E!$B$2:$CX$102,MATCH(ROUND(Uzman_E!B$4,1),Tablo_E!$A$2:$A$102,1),MATCH(ROUND(Q40,1),Tablo_E!$B$1:$CX$1,1)))</f>
        <v>0.95</v>
      </c>
      <c r="S40" s="53">
        <f t="shared" si="1"/>
        <v>0.75</v>
      </c>
      <c r="T40" s="49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x14ac:dyDescent="0.45">
      <c r="A41" s="54">
        <v>38</v>
      </c>
      <c r="B41" s="154" t="str">
        <f>Hakemler!B41</f>
        <v>TOPTAŞ</v>
      </c>
      <c r="C41" s="155" t="str">
        <f>Hakemler!C41</f>
        <v>BİRSEN</v>
      </c>
      <c r="D41" s="55">
        <v>1.2</v>
      </c>
      <c r="E41" s="63">
        <f>IF(ISBLANK(D41),0,ABS(Uzman_E!A$4-D41))</f>
        <v>0.19999999999999996</v>
      </c>
      <c r="F41" s="64">
        <f>IF(ISBLANK(D41),0,INDEX(Tablo_E!$B$2:$CX$102,MATCH(ROUND(Uzman_E!A$4,1),Tablo_E!$A$2:$A$102,1),MATCH(ROUND(E41,1),Tablo_E!$B$1:$CX$1,1)))</f>
        <v>1</v>
      </c>
      <c r="G41" s="55">
        <v>1.5</v>
      </c>
      <c r="H41" s="60">
        <f>IF(ISBLANK(G41),0,ABS(Uzman_E!B$4-G41))</f>
        <v>0.79999999999999982</v>
      </c>
      <c r="I41" s="64">
        <f>IF(ISBLANK(G41),0,INDEX(Tablo_E!$B$2:$CX$102,MATCH(ROUND(Uzman_E!B$4,1),Tablo_E!$A$2:$A$102,1),MATCH(ROUND(H41,1),Tablo_E!$B$1:$CX$1,1)))</f>
        <v>0.6</v>
      </c>
      <c r="J41" s="55">
        <v>0.8</v>
      </c>
      <c r="K41" s="63">
        <f>IF(ISBLANK(J41),0,ABS(Uzman_E!C$4-J41))</f>
        <v>0.30000000000000004</v>
      </c>
      <c r="L41" s="64">
        <f>IF(ISBLANK(J41),0,INDEX(Tablo_E!$B$2:$CX$102,MATCH(ROUND(Uzman_E!C$4,1),Tablo_E!$A$2:$A$102,1),MATCH(ROUND(K41,1),Tablo_E!$B$1:$CX$1,1)))</f>
        <v>0.9</v>
      </c>
      <c r="M41" s="55">
        <v>1</v>
      </c>
      <c r="N41" s="63">
        <f>IF(ISBLANK(M41),0,ABS(Uzman_E!D$4-M41))</f>
        <v>0.19999999999999996</v>
      </c>
      <c r="O41" s="64">
        <f>IF(ISBLANK(M41),0,INDEX(Tablo_E!$B$2:$CX$102,MATCH(ROUND(Uzman_E!D$4,1),Tablo_E!$A$2:$A$102,1),MATCH(ROUND(N41,1),Tablo_E!$B$1:$CX$1,1)))</f>
        <v>1</v>
      </c>
      <c r="P41" s="55">
        <v>1.2</v>
      </c>
      <c r="Q41" s="60">
        <f>IF(ISBLANK(P41),0,ABS(Uzman_E!E$4-P41))</f>
        <v>0.19999999999999996</v>
      </c>
      <c r="R41" s="64">
        <f>IF(ISBLANK(P41),0,INDEX(Tablo_E!$B$2:$CX$102,MATCH(ROUND(Uzman_E!B$4,1),Tablo_E!$A$2:$A$102,1),MATCH(ROUND(Q41,1),Tablo_E!$B$1:$CX$1,1)))</f>
        <v>1</v>
      </c>
      <c r="S41" s="53">
        <f t="shared" si="1"/>
        <v>0.9</v>
      </c>
      <c r="T41" s="49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x14ac:dyDescent="0.45">
      <c r="A42" s="54">
        <v>39</v>
      </c>
      <c r="B42" s="154" t="str">
        <f>Hakemler!B42</f>
        <v>ODACIĞLU TURHAN</v>
      </c>
      <c r="C42" s="155" t="str">
        <f>Hakemler!C42</f>
        <v xml:space="preserve">AYŞEGÜL </v>
      </c>
      <c r="D42" s="55">
        <v>0.8</v>
      </c>
      <c r="E42" s="63">
        <f>IF(ISBLANK(D42),0,ABS(Uzman_E!A$4-D42))</f>
        <v>0.59999999999999987</v>
      </c>
      <c r="F42" s="64">
        <f>IF(ISBLANK(D42),0,INDEX(Tablo_E!$B$2:$CX$102,MATCH(ROUND(Uzman_E!A$4,1),Tablo_E!$A$2:$A$102,1),MATCH(ROUND(E42,1),Tablo_E!$B$1:$CX$1,1)))</f>
        <v>0.6</v>
      </c>
      <c r="G42" s="55">
        <v>2.1</v>
      </c>
      <c r="H42" s="60">
        <f>IF(ISBLANK(G42),0,ABS(Uzman_E!B$4-G42))</f>
        <v>0.19999999999999973</v>
      </c>
      <c r="I42" s="64">
        <f>IF(ISBLANK(G42),0,INDEX(Tablo_E!$B$2:$CX$102,MATCH(ROUND(Uzman_E!B$4,1),Tablo_E!$A$2:$A$102,1),MATCH(ROUND(H42,1),Tablo_E!$B$1:$CX$1,1)))</f>
        <v>1</v>
      </c>
      <c r="J42" s="55">
        <v>0.9</v>
      </c>
      <c r="K42" s="63">
        <f>IF(ISBLANK(J42),0,ABS(Uzman_E!C$4-J42))</f>
        <v>0.20000000000000007</v>
      </c>
      <c r="L42" s="64">
        <f>IF(ISBLANK(J42),0,INDEX(Tablo_E!$B$2:$CX$102,MATCH(ROUND(Uzman_E!C$4,1),Tablo_E!$A$2:$A$102,1),MATCH(ROUND(K42,1),Tablo_E!$B$1:$CX$1,1)))</f>
        <v>1</v>
      </c>
      <c r="M42" s="55">
        <v>1.6</v>
      </c>
      <c r="N42" s="63">
        <f>IF(ISBLANK(M42),0,ABS(Uzman_E!D$4-M42))</f>
        <v>0.8</v>
      </c>
      <c r="O42" s="64">
        <f>IF(ISBLANK(M42),0,INDEX(Tablo_E!$B$2:$CX$102,MATCH(ROUND(Uzman_E!D$4,1),Tablo_E!$A$2:$A$102,1),MATCH(ROUND(N42,1),Tablo_E!$B$1:$CX$1,1)))</f>
        <v>0.3</v>
      </c>
      <c r="P42" s="55">
        <v>1</v>
      </c>
      <c r="Q42" s="60">
        <f>IF(ISBLANK(P42),0,ABS(Uzman_E!E$4-P42))</f>
        <v>0</v>
      </c>
      <c r="R42" s="64">
        <f>IF(ISBLANK(P42),0,INDEX(Tablo_E!$B$2:$CX$102,MATCH(ROUND(Uzman_E!B$4,1),Tablo_E!$A$2:$A$102,1),MATCH(ROUND(Q42,1),Tablo_E!$B$1:$CX$1,1)))</f>
        <v>1</v>
      </c>
      <c r="S42" s="53">
        <f t="shared" si="1"/>
        <v>0.78</v>
      </c>
      <c r="T42" s="49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x14ac:dyDescent="0.45">
      <c r="A43" s="54">
        <v>40</v>
      </c>
      <c r="B43" s="156" t="str">
        <f>Hakemler!B43</f>
        <v>CANATAN</v>
      </c>
      <c r="C43" s="157" t="str">
        <f>Hakemler!C43</f>
        <v>BÜŞRA</v>
      </c>
      <c r="D43" s="55">
        <v>1.5</v>
      </c>
      <c r="E43" s="63">
        <f>IF(ISBLANK(D43),0,ABS(Uzman_E!A$4-D43))</f>
        <v>0.10000000000000009</v>
      </c>
      <c r="F43" s="64">
        <f>IF(ISBLANK(D43),0,INDEX(Tablo_E!$B$2:$CX$102,MATCH(ROUND(Uzman_E!A$4,1),Tablo_E!$A$2:$A$102,1),MATCH(ROUND(E43,1),Tablo_E!$B$1:$CX$1,1)))</f>
        <v>1</v>
      </c>
      <c r="G43" s="55">
        <v>2.1</v>
      </c>
      <c r="H43" s="60">
        <f>IF(ISBLANK(G43),0,ABS(Uzman_E!B$4-G43))</f>
        <v>0.19999999999999973</v>
      </c>
      <c r="I43" s="64">
        <f>IF(ISBLANK(G43),0,INDEX(Tablo_E!$B$2:$CX$102,MATCH(ROUND(Uzman_E!B$4,1),Tablo_E!$A$2:$A$102,1),MATCH(ROUND(H43,1),Tablo_E!$B$1:$CX$1,1)))</f>
        <v>1</v>
      </c>
      <c r="J43" s="55">
        <v>1.2</v>
      </c>
      <c r="K43" s="63">
        <f>IF(ISBLANK(J43),0,ABS(Uzman_E!C$4-J43))</f>
        <v>9.9999999999999867E-2</v>
      </c>
      <c r="L43" s="64">
        <f>IF(ISBLANK(J43),0,INDEX(Tablo_E!$B$2:$CX$102,MATCH(ROUND(Uzman_E!C$4,1),Tablo_E!$A$2:$A$102,1),MATCH(ROUND(K43,1),Tablo_E!$B$1:$CX$1,1)))</f>
        <v>1</v>
      </c>
      <c r="M43" s="55">
        <v>1</v>
      </c>
      <c r="N43" s="63">
        <f>IF(ISBLANK(M43),0,ABS(Uzman_E!D$4-M43))</f>
        <v>0.19999999999999996</v>
      </c>
      <c r="O43" s="64">
        <f>IF(ISBLANK(M43),0,INDEX(Tablo_E!$B$2:$CX$102,MATCH(ROUND(Uzman_E!D$4,1),Tablo_E!$A$2:$A$102,1),MATCH(ROUND(N43,1),Tablo_E!$B$1:$CX$1,1)))</f>
        <v>1</v>
      </c>
      <c r="P43" s="55">
        <v>0.8</v>
      </c>
      <c r="Q43" s="60">
        <f>IF(ISBLANK(P43),0,ABS(Uzman_E!E$4-P43))</f>
        <v>0.19999999999999996</v>
      </c>
      <c r="R43" s="64">
        <f>IF(ISBLANK(P43),0,INDEX(Tablo_E!$B$2:$CX$102,MATCH(ROUND(Uzman_E!B$4,1),Tablo_E!$A$2:$A$102,1),MATCH(ROUND(Q43,1),Tablo_E!$B$1:$CX$1,1)))</f>
        <v>1</v>
      </c>
      <c r="S43" s="53">
        <f t="shared" si="1"/>
        <v>1</v>
      </c>
      <c r="T43" s="49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x14ac:dyDescent="0.45">
      <c r="A44" s="54">
        <v>41</v>
      </c>
      <c r="B44" s="154" t="str">
        <f>Hakemler!B44</f>
        <v>ELİK</v>
      </c>
      <c r="C44" s="155" t="str">
        <f>Hakemler!C44</f>
        <v>MUSTAFA</v>
      </c>
      <c r="D44" s="55">
        <v>2.1</v>
      </c>
      <c r="E44" s="63">
        <f>IF(ISBLANK(D44),0,ABS(Uzman_E!A$4-D44))</f>
        <v>0.70000000000000018</v>
      </c>
      <c r="F44" s="64">
        <f>IF(ISBLANK(D44),0,INDEX(Tablo_E!$B$2:$CX$102,MATCH(ROUND(Uzman_E!A$4,1),Tablo_E!$A$2:$A$102,1),MATCH(ROUND(E44,1),Tablo_E!$B$1:$CX$1,1)))</f>
        <v>0.5</v>
      </c>
      <c r="G44" s="55">
        <v>2.6</v>
      </c>
      <c r="H44" s="60">
        <f>IF(ISBLANK(G44),0,ABS(Uzman_E!B$4-G44))</f>
        <v>0.30000000000000027</v>
      </c>
      <c r="I44" s="64">
        <f>IF(ISBLANK(G44),0,INDEX(Tablo_E!$B$2:$CX$102,MATCH(ROUND(Uzman_E!B$4,1),Tablo_E!$A$2:$A$102,1),MATCH(ROUND(H44,1),Tablo_E!$B$1:$CX$1,1)))</f>
        <v>1</v>
      </c>
      <c r="J44" s="55">
        <v>1.6</v>
      </c>
      <c r="K44" s="63">
        <f>IF(ISBLANK(J44),0,ABS(Uzman_E!C$4-J44))</f>
        <v>0.5</v>
      </c>
      <c r="L44" s="64">
        <f>IF(ISBLANK(J44),0,INDEX(Tablo_E!$B$2:$CX$102,MATCH(ROUND(Uzman_E!C$4,1),Tablo_E!$A$2:$A$102,1),MATCH(ROUND(K44,1),Tablo_E!$B$1:$CX$1,1)))</f>
        <v>0.7</v>
      </c>
      <c r="M44" s="55">
        <v>1.6</v>
      </c>
      <c r="N44" s="63">
        <f>IF(ISBLANK(M44),0,ABS(Uzman_E!D$4-M44))</f>
        <v>0.8</v>
      </c>
      <c r="O44" s="64">
        <f>IF(ISBLANK(M44),0,INDEX(Tablo_E!$B$2:$CX$102,MATCH(ROUND(Uzman_E!D$4,1),Tablo_E!$A$2:$A$102,1),MATCH(ROUND(N44,1),Tablo_E!$B$1:$CX$1,1)))</f>
        <v>0.3</v>
      </c>
      <c r="P44" s="55">
        <v>1.4</v>
      </c>
      <c r="Q44" s="60">
        <f>IF(ISBLANK(P44),0,ABS(Uzman_E!E$4-P44))</f>
        <v>0.39999999999999991</v>
      </c>
      <c r="R44" s="64">
        <f>IF(ISBLANK(P44),0,INDEX(Tablo_E!$B$2:$CX$102,MATCH(ROUND(Uzman_E!B$4,1),Tablo_E!$A$2:$A$102,1),MATCH(ROUND(Q44,1),Tablo_E!$B$1:$CX$1,1)))</f>
        <v>0.95</v>
      </c>
      <c r="S44" s="53">
        <f t="shared" si="1"/>
        <v>0.69000000000000006</v>
      </c>
      <c r="T44" s="49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x14ac:dyDescent="0.45">
      <c r="A45" s="54">
        <v>42</v>
      </c>
      <c r="B45" s="156" t="str">
        <f>Hakemler!B45</f>
        <v>BAKAR</v>
      </c>
      <c r="C45" s="157" t="str">
        <f>Hakemler!C45</f>
        <v>İPEK</v>
      </c>
      <c r="D45" s="55">
        <v>1.9</v>
      </c>
      <c r="E45" s="63">
        <f>IF(ISBLANK(D45),0,ABS(Uzman_E!A$4-D45))</f>
        <v>0.5</v>
      </c>
      <c r="F45" s="64">
        <f>IF(ISBLANK(D45),0,INDEX(Tablo_E!$B$2:$CX$102,MATCH(ROUND(Uzman_E!A$4,1),Tablo_E!$A$2:$A$102,1),MATCH(ROUND(E45,1),Tablo_E!$B$1:$CX$1,1)))</f>
        <v>0.7</v>
      </c>
      <c r="G45" s="55">
        <v>2.7</v>
      </c>
      <c r="H45" s="60">
        <f>IF(ISBLANK(G45),0,ABS(Uzman_E!B$4-G45))</f>
        <v>0.40000000000000036</v>
      </c>
      <c r="I45" s="64">
        <f>IF(ISBLANK(G45),0,INDEX(Tablo_E!$B$2:$CX$102,MATCH(ROUND(Uzman_E!B$4,1),Tablo_E!$A$2:$A$102,1),MATCH(ROUND(H45,1),Tablo_E!$B$1:$CX$1,1)))</f>
        <v>0.95</v>
      </c>
      <c r="J45" s="55">
        <v>0.7</v>
      </c>
      <c r="K45" s="63">
        <f>IF(ISBLANK(J45),0,ABS(Uzman_E!C$4-J45))</f>
        <v>0.40000000000000013</v>
      </c>
      <c r="L45" s="64">
        <f>IF(ISBLANK(J45),0,INDEX(Tablo_E!$B$2:$CX$102,MATCH(ROUND(Uzman_E!C$4,1),Tablo_E!$A$2:$A$102,1),MATCH(ROUND(K45,1),Tablo_E!$B$1:$CX$1,1)))</f>
        <v>0.8</v>
      </c>
      <c r="M45" s="55">
        <v>1.4</v>
      </c>
      <c r="N45" s="63">
        <f>IF(ISBLANK(M45),0,ABS(Uzman_E!D$4-M45))</f>
        <v>0.59999999999999987</v>
      </c>
      <c r="O45" s="64">
        <f>IF(ISBLANK(M45),0,INDEX(Tablo_E!$B$2:$CX$102,MATCH(ROUND(Uzman_E!D$4,1),Tablo_E!$A$2:$A$102,1),MATCH(ROUND(N45,1),Tablo_E!$B$1:$CX$1,1)))</f>
        <v>0.5</v>
      </c>
      <c r="P45" s="55">
        <v>0.8</v>
      </c>
      <c r="Q45" s="60">
        <f>IF(ISBLANK(P45),0,ABS(Uzman_E!E$4-P45))</f>
        <v>0.19999999999999996</v>
      </c>
      <c r="R45" s="64">
        <f>IF(ISBLANK(P45),0,INDEX(Tablo_E!$B$2:$CX$102,MATCH(ROUND(Uzman_E!B$4,1),Tablo_E!$A$2:$A$102,1),MATCH(ROUND(Q45,1),Tablo_E!$B$1:$CX$1,1)))</f>
        <v>1</v>
      </c>
      <c r="S45" s="53">
        <f t="shared" si="1"/>
        <v>0.79</v>
      </c>
      <c r="T45" s="49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x14ac:dyDescent="0.45">
      <c r="A46" s="54">
        <v>43</v>
      </c>
      <c r="B46" s="154" t="str">
        <f>Hakemler!B46</f>
        <v>UÇAK</v>
      </c>
      <c r="C46" s="155" t="str">
        <f>Hakemler!C46</f>
        <v>ECEM</v>
      </c>
      <c r="D46" s="55">
        <v>2.8</v>
      </c>
      <c r="E46" s="63">
        <f>IF(ISBLANK(D46),0,ABS(Uzman_E!A$4-D46))</f>
        <v>1.4</v>
      </c>
      <c r="F46" s="64">
        <f>IF(ISBLANK(D46),0,INDEX(Tablo_E!$B$2:$CX$102,MATCH(ROUND(Uzman_E!A$4,1),Tablo_E!$A$2:$A$102,1),MATCH(ROUND(E46,1),Tablo_E!$B$1:$CX$1,1)))</f>
        <v>0</v>
      </c>
      <c r="G46" s="55">
        <v>1.9</v>
      </c>
      <c r="H46" s="60">
        <f>IF(ISBLANK(G46),0,ABS(Uzman_E!B$4-G46))</f>
        <v>0.39999999999999991</v>
      </c>
      <c r="I46" s="64">
        <f>IF(ISBLANK(G46),0,INDEX(Tablo_E!$B$2:$CX$102,MATCH(ROUND(Uzman_E!B$4,1),Tablo_E!$A$2:$A$102,1),MATCH(ROUND(H46,1),Tablo_E!$B$1:$CX$1,1)))</f>
        <v>0.95</v>
      </c>
      <c r="J46" s="55">
        <v>1.2</v>
      </c>
      <c r="K46" s="63">
        <f>IF(ISBLANK(J46),0,ABS(Uzman_E!C$4-J46))</f>
        <v>9.9999999999999867E-2</v>
      </c>
      <c r="L46" s="64">
        <f>IF(ISBLANK(J46),0,INDEX(Tablo_E!$B$2:$CX$102,MATCH(ROUND(Uzman_E!C$4,1),Tablo_E!$A$2:$A$102,1),MATCH(ROUND(K46,1),Tablo_E!$B$1:$CX$1,1)))</f>
        <v>1</v>
      </c>
      <c r="M46" s="55">
        <v>1.5</v>
      </c>
      <c r="N46" s="63">
        <f>IF(ISBLANK(M46),0,ABS(Uzman_E!D$4-M46))</f>
        <v>0.7</v>
      </c>
      <c r="O46" s="64">
        <f>IF(ISBLANK(M46),0,INDEX(Tablo_E!$B$2:$CX$102,MATCH(ROUND(Uzman_E!D$4,1),Tablo_E!$A$2:$A$102,1),MATCH(ROUND(N46,1),Tablo_E!$B$1:$CX$1,1)))</f>
        <v>0.4</v>
      </c>
      <c r="P46" s="55">
        <v>1.1000000000000001</v>
      </c>
      <c r="Q46" s="60">
        <f>IF(ISBLANK(P46),0,ABS(Uzman_E!E$4-P46))</f>
        <v>0.10000000000000009</v>
      </c>
      <c r="R46" s="64">
        <f>IF(ISBLANK(P46),0,INDEX(Tablo_E!$B$2:$CX$102,MATCH(ROUND(Uzman_E!B$4,1),Tablo_E!$A$2:$A$102,1),MATCH(ROUND(Q46,1),Tablo_E!$B$1:$CX$1,1)))</f>
        <v>1</v>
      </c>
      <c r="S46" s="53">
        <f t="shared" si="1"/>
        <v>0.67</v>
      </c>
      <c r="T46" s="49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x14ac:dyDescent="0.45">
      <c r="A47" s="54">
        <v>44</v>
      </c>
      <c r="B47" s="154" t="str">
        <f>Hakemler!B47</f>
        <v>EFENDİAĞA</v>
      </c>
      <c r="C47" s="155" t="str">
        <f>Hakemler!C47</f>
        <v>EMİNE AYÇA</v>
      </c>
      <c r="D47" s="55">
        <v>1.7</v>
      </c>
      <c r="E47" s="63">
        <f>IF(ISBLANK(D47),0,ABS(Uzman_E!A$4-D47))</f>
        <v>0.30000000000000004</v>
      </c>
      <c r="F47" s="64">
        <f>IF(ISBLANK(D47),0,INDEX(Tablo_E!$B$2:$CX$102,MATCH(ROUND(Uzman_E!A$4,1),Tablo_E!$A$2:$A$102,1),MATCH(ROUND(E47,1),Tablo_E!$B$1:$CX$1,1)))</f>
        <v>0.9</v>
      </c>
      <c r="G47" s="55">
        <v>2.2000000000000002</v>
      </c>
      <c r="H47" s="60">
        <f>IF(ISBLANK(G47),0,ABS(Uzman_E!B$4-G47))</f>
        <v>9.9999999999999645E-2</v>
      </c>
      <c r="I47" s="64">
        <f>IF(ISBLANK(G47),0,INDEX(Tablo_E!$B$2:$CX$102,MATCH(ROUND(Uzman_E!B$4,1),Tablo_E!$A$2:$A$102,1),MATCH(ROUND(H47,1),Tablo_E!$B$1:$CX$1,1)))</f>
        <v>1</v>
      </c>
      <c r="J47" s="55">
        <v>0.9</v>
      </c>
      <c r="K47" s="63">
        <f>IF(ISBLANK(J47),0,ABS(Uzman_E!C$4-J47))</f>
        <v>0.20000000000000007</v>
      </c>
      <c r="L47" s="64">
        <f>IF(ISBLANK(J47),0,INDEX(Tablo_E!$B$2:$CX$102,MATCH(ROUND(Uzman_E!C$4,1),Tablo_E!$A$2:$A$102,1),MATCH(ROUND(K47,1),Tablo_E!$B$1:$CX$1,1)))</f>
        <v>1</v>
      </c>
      <c r="M47" s="55">
        <v>1</v>
      </c>
      <c r="N47" s="63">
        <f>IF(ISBLANK(M47),0,ABS(Uzman_E!D$4-M47))</f>
        <v>0.19999999999999996</v>
      </c>
      <c r="O47" s="64">
        <f>IF(ISBLANK(M47),0,INDEX(Tablo_E!$B$2:$CX$102,MATCH(ROUND(Uzman_E!D$4,1),Tablo_E!$A$2:$A$102,1),MATCH(ROUND(N47,1),Tablo_E!$B$1:$CX$1,1)))</f>
        <v>1</v>
      </c>
      <c r="P47" s="55">
        <v>1.1000000000000001</v>
      </c>
      <c r="Q47" s="60">
        <f>IF(ISBLANK(P47),0,ABS(Uzman_E!E$4-P47))</f>
        <v>0.10000000000000009</v>
      </c>
      <c r="R47" s="64">
        <f>IF(ISBLANK(P47),0,INDEX(Tablo_E!$B$2:$CX$102,MATCH(ROUND(Uzman_E!B$4,1),Tablo_E!$A$2:$A$102,1),MATCH(ROUND(Q47,1),Tablo_E!$B$1:$CX$1,1)))</f>
        <v>1</v>
      </c>
      <c r="S47" s="53">
        <f t="shared" si="1"/>
        <v>0.98000000000000009</v>
      </c>
      <c r="T47" s="49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x14ac:dyDescent="0.45">
      <c r="A48" s="54">
        <v>45</v>
      </c>
      <c r="B48" s="156" t="str">
        <f>Hakemler!B48</f>
        <v>DAL</v>
      </c>
      <c r="C48" s="157" t="str">
        <f>Hakemler!C48</f>
        <v>SİNEM</v>
      </c>
      <c r="D48" s="55">
        <v>2.8</v>
      </c>
      <c r="E48" s="63">
        <f>IF(ISBLANK(D48),0,ABS(Uzman_E!A$4-D48))</f>
        <v>1.4</v>
      </c>
      <c r="F48" s="64">
        <f>IF(ISBLANK(D48),0,INDEX(Tablo_E!$B$2:$CX$102,MATCH(ROUND(Uzman_E!A$4,1),Tablo_E!$A$2:$A$102,1),MATCH(ROUND(E48,1),Tablo_E!$B$1:$CX$1,1)))</f>
        <v>0</v>
      </c>
      <c r="G48" s="55">
        <v>1.9</v>
      </c>
      <c r="H48" s="60">
        <f>IF(ISBLANK(G48),0,ABS(Uzman_E!B$4-G48))</f>
        <v>0.39999999999999991</v>
      </c>
      <c r="I48" s="64">
        <f>IF(ISBLANK(G48),0,INDEX(Tablo_E!$B$2:$CX$102,MATCH(ROUND(Uzman_E!B$4,1),Tablo_E!$A$2:$A$102,1),MATCH(ROUND(H48,1),Tablo_E!$B$1:$CX$1,1)))</f>
        <v>0.95</v>
      </c>
      <c r="J48" s="55">
        <v>1.2</v>
      </c>
      <c r="K48" s="63">
        <f>IF(ISBLANK(J48),0,ABS(Uzman_E!C$4-J48))</f>
        <v>9.9999999999999867E-2</v>
      </c>
      <c r="L48" s="64">
        <f>IF(ISBLANK(J48),0,INDEX(Tablo_E!$B$2:$CX$102,MATCH(ROUND(Uzman_E!C$4,1),Tablo_E!$A$2:$A$102,1),MATCH(ROUND(K48,1),Tablo_E!$B$1:$CX$1,1)))</f>
        <v>1</v>
      </c>
      <c r="M48" s="55">
        <v>1.5</v>
      </c>
      <c r="N48" s="63">
        <f>IF(ISBLANK(M48),0,ABS(Uzman_E!D$4-M48))</f>
        <v>0.7</v>
      </c>
      <c r="O48" s="64">
        <f>IF(ISBLANK(M48),0,INDEX(Tablo_E!$B$2:$CX$102,MATCH(ROUND(Uzman_E!D$4,1),Tablo_E!$A$2:$A$102,1),MATCH(ROUND(N48,1),Tablo_E!$B$1:$CX$1,1)))</f>
        <v>0.4</v>
      </c>
      <c r="P48" s="55">
        <v>2.8</v>
      </c>
      <c r="Q48" s="60">
        <f>IF(ISBLANK(P48),0,ABS(Uzman_E!E$4-P48))</f>
        <v>1.7999999999999998</v>
      </c>
      <c r="R48" s="64">
        <f>IF(ISBLANK(P48),0,INDEX(Tablo_E!$B$2:$CX$102,MATCH(ROUND(Uzman_E!B$4,1),Tablo_E!$A$2:$A$102,1),MATCH(ROUND(Q48,1),Tablo_E!$B$1:$CX$1,1)))</f>
        <v>0</v>
      </c>
      <c r="S48" s="53">
        <f t="shared" si="1"/>
        <v>0.47000000000000003</v>
      </c>
      <c r="T48" s="49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x14ac:dyDescent="0.45">
      <c r="A49" s="54">
        <v>46</v>
      </c>
      <c r="B49" s="154" t="str">
        <f>Hakemler!B49</f>
        <v>EDE</v>
      </c>
      <c r="C49" s="155" t="str">
        <f>Hakemler!C49</f>
        <v>İHSAN</v>
      </c>
      <c r="D49" s="55">
        <v>1.2</v>
      </c>
      <c r="E49" s="63">
        <f>IF(ISBLANK(D49),0,ABS(Uzman_E!A$4-D49))</f>
        <v>0.19999999999999996</v>
      </c>
      <c r="F49" s="64">
        <f>IF(ISBLANK(D49),0,INDEX(Tablo_E!$B$2:$CX$102,MATCH(ROUND(Uzman_E!A$4,1),Tablo_E!$A$2:$A$102,1),MATCH(ROUND(E49,1),Tablo_E!$B$1:$CX$1,1)))</f>
        <v>1</v>
      </c>
      <c r="G49" s="55">
        <v>1.6</v>
      </c>
      <c r="H49" s="60">
        <f>IF(ISBLANK(G49),0,ABS(Uzman_E!B$4-G49))</f>
        <v>0.69999999999999973</v>
      </c>
      <c r="I49" s="64">
        <f>IF(ISBLANK(G49),0,INDEX(Tablo_E!$B$2:$CX$102,MATCH(ROUND(Uzman_E!B$4,1),Tablo_E!$A$2:$A$102,1),MATCH(ROUND(H49,1),Tablo_E!$B$1:$CX$1,1)))</f>
        <v>0.7</v>
      </c>
      <c r="J49" s="55">
        <v>0.8</v>
      </c>
      <c r="K49" s="63">
        <f>IF(ISBLANK(J49),0,ABS(Uzman_E!C$4-J49))</f>
        <v>0.30000000000000004</v>
      </c>
      <c r="L49" s="64">
        <f>IF(ISBLANK(J49),0,INDEX(Tablo_E!$B$2:$CX$102,MATCH(ROUND(Uzman_E!C$4,1),Tablo_E!$A$2:$A$102,1),MATCH(ROUND(K49,1),Tablo_E!$B$1:$CX$1,1)))</f>
        <v>0.9</v>
      </c>
      <c r="M49" s="55">
        <v>0.9</v>
      </c>
      <c r="N49" s="63">
        <f>IF(ISBLANK(M49),0,ABS(Uzman_E!D$4-M49))</f>
        <v>9.9999999999999978E-2</v>
      </c>
      <c r="O49" s="64">
        <f>IF(ISBLANK(M49),0,INDEX(Tablo_E!$B$2:$CX$102,MATCH(ROUND(Uzman_E!D$4,1),Tablo_E!$A$2:$A$102,1),MATCH(ROUND(N49,1),Tablo_E!$B$1:$CX$1,1)))</f>
        <v>1</v>
      </c>
      <c r="P49" s="55">
        <v>0.7</v>
      </c>
      <c r="Q49" s="60">
        <f>IF(ISBLANK(P49),0,ABS(Uzman_E!E$4-P49))</f>
        <v>0.30000000000000004</v>
      </c>
      <c r="R49" s="64">
        <f>IF(ISBLANK(P49),0,INDEX(Tablo_E!$B$2:$CX$102,MATCH(ROUND(Uzman_E!B$4,1),Tablo_E!$A$2:$A$102,1),MATCH(ROUND(Q49,1),Tablo_E!$B$1:$CX$1,1)))</f>
        <v>1</v>
      </c>
      <c r="S49" s="53">
        <f t="shared" si="1"/>
        <v>0.91999999999999993</v>
      </c>
      <c r="T49" s="49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x14ac:dyDescent="0.45">
      <c r="A50" s="54">
        <v>47</v>
      </c>
      <c r="B50" s="144">
        <f>Hakemler!B50</f>
        <v>0</v>
      </c>
      <c r="C50" s="145">
        <f>Hakemler!C50</f>
        <v>0</v>
      </c>
      <c r="D50" s="55"/>
      <c r="E50" s="63">
        <f>IF(ISBLANK(D50),0,ABS(Uzman_E!A$4-D50))</f>
        <v>0</v>
      </c>
      <c r="F50" s="64">
        <f>IF(ISBLANK(D50),0,INDEX(Tablo_E!$B$2:$CX$102,MATCH(ROUND(Uzman_E!A$4,1),Tablo_E!$A$2:$A$102,1),MATCH(ROUND(E50,1),Tablo_E!$B$1:$CX$1,1)))</f>
        <v>0</v>
      </c>
      <c r="G50" s="55"/>
      <c r="H50" s="60">
        <f>IF(ISBLANK(G50),0,ABS(Uzman_E!B$4-G50))</f>
        <v>0</v>
      </c>
      <c r="I50" s="64">
        <f>IF(ISBLANK(G50),0,INDEX(Tablo_E!$B$2:$CX$102,MATCH(ROUND(Uzman_E!B$4,1),Tablo_E!$A$2:$A$102,1),MATCH(ROUND(H50,1),Tablo_E!$B$1:$CX$1,1)))</f>
        <v>0</v>
      </c>
      <c r="J50" s="55"/>
      <c r="K50" s="63">
        <f>IF(ISBLANK(J50),0,ABS(Uzman_E!C$4-J50))</f>
        <v>0</v>
      </c>
      <c r="L50" s="64">
        <f>IF(ISBLANK(J50),0,INDEX(Tablo_E!$B$2:$CX$102,MATCH(ROUND(Uzman_E!C$4,1),Tablo_E!$A$2:$A$102,1),MATCH(ROUND(K50,1),Tablo_E!$B$1:$CX$1,1)))</f>
        <v>0</v>
      </c>
      <c r="M50" s="55"/>
      <c r="N50" s="63">
        <f>IF(ISBLANK(M50),0,ABS(Uzman_E!D$4-M50))</f>
        <v>0</v>
      </c>
      <c r="O50" s="64">
        <f>IF(ISBLANK(M50),0,INDEX(Tablo_E!$B$2:$CX$102,MATCH(ROUND(Uzman_E!D$4,1),Tablo_E!$A$2:$A$102,1),MATCH(ROUND(N50,1),Tablo_E!$B$1:$CX$1,1)))</f>
        <v>0</v>
      </c>
      <c r="P50" s="55"/>
      <c r="Q50" s="60">
        <f>IF(ISBLANK(P50),0,ABS(Uzman_E!E$4-P50))</f>
        <v>0</v>
      </c>
      <c r="R50" s="64">
        <f>IF(ISBLANK(P50),0,INDEX(Tablo_E!$B$2:$CX$102,MATCH(ROUND(Uzman_E!B$4,1),Tablo_E!$A$2:$A$102,1),MATCH(ROUND(Q50,1),Tablo_E!$B$1:$CX$1,1)))</f>
        <v>0</v>
      </c>
      <c r="S50" s="53">
        <f t="shared" si="1"/>
        <v>0</v>
      </c>
      <c r="T50" s="49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x14ac:dyDescent="0.45">
      <c r="A51" s="54">
        <v>48</v>
      </c>
      <c r="B51" s="146">
        <f>Hakemler!B51</f>
        <v>0</v>
      </c>
      <c r="C51" s="147">
        <f>Hakemler!C51</f>
        <v>0</v>
      </c>
      <c r="D51" s="55"/>
      <c r="E51" s="63">
        <f>IF(ISBLANK(D51),0,ABS(Uzman_E!A$4-D51))</f>
        <v>0</v>
      </c>
      <c r="F51" s="64">
        <f>IF(ISBLANK(D51),0,INDEX(Tablo_E!$B$2:$CX$102,MATCH(ROUND(Uzman_E!A$4,1),Tablo_E!$A$2:$A$102,1),MATCH(ROUND(E51,1),Tablo_E!$B$1:$CX$1,1)))</f>
        <v>0</v>
      </c>
      <c r="G51" s="55"/>
      <c r="H51" s="60">
        <f>IF(ISBLANK(G51),0,ABS(Uzman_E!B$4-G51))</f>
        <v>0</v>
      </c>
      <c r="I51" s="64">
        <f>IF(ISBLANK(G51),0,INDEX(Tablo_E!$B$2:$CX$102,MATCH(ROUND(Uzman_E!B$4,1),Tablo_E!$A$2:$A$102,1),MATCH(ROUND(H51,1),Tablo_E!$B$1:$CX$1,1)))</f>
        <v>0</v>
      </c>
      <c r="J51" s="55"/>
      <c r="K51" s="63">
        <f>IF(ISBLANK(J51),0,ABS(Uzman_E!C$4-J51))</f>
        <v>0</v>
      </c>
      <c r="L51" s="64">
        <f>IF(ISBLANK(J51),0,INDEX(Tablo_E!$B$2:$CX$102,MATCH(ROUND(Uzman_E!C$4,1),Tablo_E!$A$2:$A$102,1),MATCH(ROUND(K51,1),Tablo_E!$B$1:$CX$1,1)))</f>
        <v>0</v>
      </c>
      <c r="M51" s="55"/>
      <c r="N51" s="63">
        <f>IF(ISBLANK(M51),0,ABS(Uzman_E!D$4-M51))</f>
        <v>0</v>
      </c>
      <c r="O51" s="64">
        <f>IF(ISBLANK(M51),0,INDEX(Tablo_E!$B$2:$CX$102,MATCH(ROUND(Uzman_E!D$4,1),Tablo_E!$A$2:$A$102,1),MATCH(ROUND(N51,1),Tablo_E!$B$1:$CX$1,1)))</f>
        <v>0</v>
      </c>
      <c r="P51" s="55"/>
      <c r="Q51" s="60">
        <f>IF(ISBLANK(P51),0,ABS(Uzman_E!E$4-P51))</f>
        <v>0</v>
      </c>
      <c r="R51" s="64">
        <f>IF(ISBLANK(P51),0,INDEX(Tablo_E!$B$2:$CX$102,MATCH(ROUND(Uzman_E!B$4,1),Tablo_E!$A$2:$A$102,1),MATCH(ROUND(Q51,1),Tablo_E!$B$1:$CX$1,1)))</f>
        <v>0</v>
      </c>
      <c r="S51" s="53">
        <f t="shared" si="1"/>
        <v>0</v>
      </c>
      <c r="T51" s="49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x14ac:dyDescent="0.45">
      <c r="A52" s="54">
        <v>49</v>
      </c>
      <c r="B52" s="144">
        <f>Hakemler!B52</f>
        <v>0</v>
      </c>
      <c r="C52" s="145">
        <f>Hakemler!C52</f>
        <v>0</v>
      </c>
      <c r="D52" s="55"/>
      <c r="E52" s="63">
        <f>IF(ISBLANK(D52),0,ABS(Uzman_E!A$4-D52))</f>
        <v>0</v>
      </c>
      <c r="F52" s="64">
        <f>IF(ISBLANK(D52),0,INDEX(Tablo_E!$B$2:$CX$102,MATCH(ROUND(Uzman_E!A$4,1),Tablo_E!$A$2:$A$102,1),MATCH(ROUND(E52,1),Tablo_E!$B$1:$CX$1,1)))</f>
        <v>0</v>
      </c>
      <c r="G52" s="55"/>
      <c r="H52" s="60">
        <f>IF(ISBLANK(G52),0,ABS(Uzman_E!B$4-G52))</f>
        <v>0</v>
      </c>
      <c r="I52" s="64">
        <f>IF(ISBLANK(G52),0,INDEX(Tablo_E!$B$2:$CX$102,MATCH(ROUND(Uzman_E!B$4,1),Tablo_E!$A$2:$A$102,1),MATCH(ROUND(H52,1),Tablo_E!$B$1:$CX$1,1)))</f>
        <v>0</v>
      </c>
      <c r="J52" s="55"/>
      <c r="K52" s="63">
        <f>IF(ISBLANK(J52),0,ABS(Uzman_E!C$4-J52))</f>
        <v>0</v>
      </c>
      <c r="L52" s="64">
        <f>IF(ISBLANK(J52),0,INDEX(Tablo_E!$B$2:$CX$102,MATCH(ROUND(Uzman_E!C$4,1),Tablo_E!$A$2:$A$102,1),MATCH(ROUND(K52,1),Tablo_E!$B$1:$CX$1,1)))</f>
        <v>0</v>
      </c>
      <c r="M52" s="55"/>
      <c r="N52" s="63">
        <f>IF(ISBLANK(M52),0,ABS(Uzman_E!D$4-M52))</f>
        <v>0</v>
      </c>
      <c r="O52" s="64">
        <f>IF(ISBLANK(M52),0,INDEX(Tablo_E!$B$2:$CX$102,MATCH(ROUND(Uzman_E!D$4,1),Tablo_E!$A$2:$A$102,1),MATCH(ROUND(N52,1),Tablo_E!$B$1:$CX$1,1)))</f>
        <v>0</v>
      </c>
      <c r="P52" s="55"/>
      <c r="Q52" s="60">
        <f>IF(ISBLANK(P52),0,ABS(Uzman_E!E$4-P52))</f>
        <v>0</v>
      </c>
      <c r="R52" s="64">
        <f>IF(ISBLANK(P52),0,INDEX(Tablo_E!$B$2:$CX$102,MATCH(ROUND(Uzman_E!B$4,1),Tablo_E!$A$2:$A$102,1),MATCH(ROUND(Q52,1),Tablo_E!$B$1:$CX$1,1)))</f>
        <v>0</v>
      </c>
      <c r="S52" s="53">
        <f t="shared" si="1"/>
        <v>0</v>
      </c>
      <c r="T52" s="49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x14ac:dyDescent="0.45">
      <c r="A53" s="54">
        <v>50</v>
      </c>
      <c r="B53" s="144">
        <f>Hakemler!B53</f>
        <v>0</v>
      </c>
      <c r="C53" s="145">
        <f>Hakemler!C53</f>
        <v>0</v>
      </c>
      <c r="D53" s="55"/>
      <c r="E53" s="63">
        <f>IF(ISBLANK(D53),0,ABS(Uzman_E!A$4-D53))</f>
        <v>0</v>
      </c>
      <c r="F53" s="64">
        <f>IF(ISBLANK(D53),0,INDEX(Tablo_E!$B$2:$CX$102,MATCH(ROUND(Uzman_E!A$4,1),Tablo_E!$A$2:$A$102,1),MATCH(ROUND(E53,1),Tablo_E!$B$1:$CX$1,1)))</f>
        <v>0</v>
      </c>
      <c r="G53" s="55"/>
      <c r="H53" s="60">
        <f>IF(ISBLANK(G53),0,ABS(Uzman_E!B$4-G53))</f>
        <v>0</v>
      </c>
      <c r="I53" s="64">
        <f>IF(ISBLANK(G53),0,INDEX(Tablo_E!$B$2:$CX$102,MATCH(ROUND(Uzman_E!B$4,1),Tablo_E!$A$2:$A$102,1),MATCH(ROUND(H53,1),Tablo_E!$B$1:$CX$1,1)))</f>
        <v>0</v>
      </c>
      <c r="J53" s="55"/>
      <c r="K53" s="63">
        <f>IF(ISBLANK(J53),0,ABS(Uzman_E!C$4-J53))</f>
        <v>0</v>
      </c>
      <c r="L53" s="64">
        <f>IF(ISBLANK(J53),0,INDEX(Tablo_E!$B$2:$CX$102,MATCH(ROUND(Uzman_E!C$4,1),Tablo_E!$A$2:$A$102,1),MATCH(ROUND(K53,1),Tablo_E!$B$1:$CX$1,1)))</f>
        <v>0</v>
      </c>
      <c r="M53" s="55"/>
      <c r="N53" s="63">
        <f>IF(ISBLANK(M53),0,ABS(Uzman_E!D$4-M53))</f>
        <v>0</v>
      </c>
      <c r="O53" s="64">
        <f>IF(ISBLANK(M53),0,INDEX(Tablo_E!$B$2:$CX$102,MATCH(ROUND(Uzman_E!D$4,1),Tablo_E!$A$2:$A$102,1),MATCH(ROUND(N53,1),Tablo_E!$B$1:$CX$1,1)))</f>
        <v>0</v>
      </c>
      <c r="P53" s="55"/>
      <c r="Q53" s="60">
        <f>IF(ISBLANK(P53),0,ABS(Uzman_E!E$4-P53))</f>
        <v>0</v>
      </c>
      <c r="R53" s="64">
        <f>IF(ISBLANK(P53),0,INDEX(Tablo_E!$B$2:$CX$102,MATCH(ROUND(Uzman_E!B$4,1),Tablo_E!$A$2:$A$102,1),MATCH(ROUND(Q53,1),Tablo_E!$B$1:$CX$1,1)))</f>
        <v>0</v>
      </c>
      <c r="S53" s="53">
        <f t="shared" si="1"/>
        <v>0</v>
      </c>
      <c r="T53" s="49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x14ac:dyDescent="0.45">
      <c r="A54" s="54">
        <v>51</v>
      </c>
      <c r="B54" s="146">
        <f>Hakemler!B54</f>
        <v>0</v>
      </c>
      <c r="C54" s="147">
        <f>Hakemler!C54</f>
        <v>0</v>
      </c>
      <c r="D54" s="55"/>
      <c r="E54" s="63">
        <f>IF(ISBLANK(D54),0,ABS(Uzman_E!A$4-D54))</f>
        <v>0</v>
      </c>
      <c r="F54" s="64">
        <f>IF(ISBLANK(D54),0,INDEX(Tablo_E!$B$2:$CX$102,MATCH(ROUND(Uzman_E!A$4,1),Tablo_E!$A$2:$A$102,1),MATCH(ROUND(E54,1),Tablo_E!$B$1:$CX$1,1)))</f>
        <v>0</v>
      </c>
      <c r="G54" s="55"/>
      <c r="H54" s="60">
        <f>IF(ISBLANK(G54),0,ABS(Uzman_E!B$4-G54))</f>
        <v>0</v>
      </c>
      <c r="I54" s="64">
        <f>IF(ISBLANK(G54),0,INDEX(Tablo_E!$B$2:$CX$102,MATCH(ROUND(Uzman_E!B$4,1),Tablo_E!$A$2:$A$102,1),MATCH(ROUND(H54,1),Tablo_E!$B$1:$CX$1,1)))</f>
        <v>0</v>
      </c>
      <c r="J54" s="55"/>
      <c r="K54" s="63">
        <f>IF(ISBLANK(J54),0,ABS(Uzman_E!C$4-J54))</f>
        <v>0</v>
      </c>
      <c r="L54" s="64">
        <f>IF(ISBLANK(J54),0,INDEX(Tablo_E!$B$2:$CX$102,MATCH(ROUND(Uzman_E!C$4,1),Tablo_E!$A$2:$A$102,1),MATCH(ROUND(K54,1),Tablo_E!$B$1:$CX$1,1)))</f>
        <v>0</v>
      </c>
      <c r="M54" s="55"/>
      <c r="N54" s="63">
        <f>IF(ISBLANK(M54),0,ABS(Uzman_E!D$4-M54))</f>
        <v>0</v>
      </c>
      <c r="O54" s="64">
        <f>IF(ISBLANK(M54),0,INDEX(Tablo_E!$B$2:$CX$102,MATCH(ROUND(Uzman_E!D$4,1),Tablo_E!$A$2:$A$102,1),MATCH(ROUND(N54,1),Tablo_E!$B$1:$CX$1,1)))</f>
        <v>0</v>
      </c>
      <c r="P54" s="55"/>
      <c r="Q54" s="60">
        <f>IF(ISBLANK(P54),0,ABS(Uzman_E!E$4-P54))</f>
        <v>0</v>
      </c>
      <c r="R54" s="64">
        <f>IF(ISBLANK(P54),0,INDEX(Tablo_E!$B$2:$CX$102,MATCH(ROUND(Uzman_E!B$4,1),Tablo_E!$A$2:$A$102,1),MATCH(ROUND(Q54,1),Tablo_E!$B$1:$CX$1,1)))</f>
        <v>0</v>
      </c>
      <c r="S54" s="53">
        <f t="shared" si="1"/>
        <v>0</v>
      </c>
      <c r="T54" s="49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x14ac:dyDescent="0.45">
      <c r="A55" s="54">
        <v>52</v>
      </c>
      <c r="B55" s="146">
        <f>Hakemler!B55</f>
        <v>0</v>
      </c>
      <c r="C55" s="147">
        <f>Hakemler!C55</f>
        <v>0</v>
      </c>
      <c r="D55" s="55"/>
      <c r="E55" s="63">
        <f>IF(ISBLANK(D55),0,ABS(Uzman_E!A$4-D55))</f>
        <v>0</v>
      </c>
      <c r="F55" s="64">
        <f>IF(ISBLANK(D55),0,INDEX(Tablo_E!$B$2:$CX$102,MATCH(ROUND(Uzman_E!A$4,1),Tablo_E!$A$2:$A$102,1),MATCH(ROUND(E55,1),Tablo_E!$B$1:$CX$1,1)))</f>
        <v>0</v>
      </c>
      <c r="G55" s="55"/>
      <c r="H55" s="60">
        <f>IF(ISBLANK(G55),0,ABS(Uzman_E!B$4-G55))</f>
        <v>0</v>
      </c>
      <c r="I55" s="64">
        <f>IF(ISBLANK(G55),0,INDEX(Tablo_E!$B$2:$CX$102,MATCH(ROUND(Uzman_E!B$4,1),Tablo_E!$A$2:$A$102,1),MATCH(ROUND(H55,1),Tablo_E!$B$1:$CX$1,1)))</f>
        <v>0</v>
      </c>
      <c r="J55" s="55"/>
      <c r="K55" s="63">
        <f>IF(ISBLANK(J55),0,ABS(Uzman_E!C$4-J55))</f>
        <v>0</v>
      </c>
      <c r="L55" s="64">
        <f>IF(ISBLANK(J55),0,INDEX(Tablo_E!$B$2:$CX$102,MATCH(ROUND(Uzman_E!C$4,1),Tablo_E!$A$2:$A$102,1),MATCH(ROUND(K55,1),Tablo_E!$B$1:$CX$1,1)))</f>
        <v>0</v>
      </c>
      <c r="M55" s="55"/>
      <c r="N55" s="63">
        <f>IF(ISBLANK(M55),0,ABS(Uzman_E!D$4-M55))</f>
        <v>0</v>
      </c>
      <c r="O55" s="64">
        <f>IF(ISBLANK(M55),0,INDEX(Tablo_E!$B$2:$CX$102,MATCH(ROUND(Uzman_E!D$4,1),Tablo_E!$A$2:$A$102,1),MATCH(ROUND(N55,1),Tablo_E!$B$1:$CX$1,1)))</f>
        <v>0</v>
      </c>
      <c r="P55" s="55"/>
      <c r="Q55" s="60">
        <f>IF(ISBLANK(P55),0,ABS(Uzman_E!E$4-P55))</f>
        <v>0</v>
      </c>
      <c r="R55" s="64">
        <f>IF(ISBLANK(P55),0,INDEX(Tablo_E!$B$2:$CX$102,MATCH(ROUND(Uzman_E!B$4,1),Tablo_E!$A$2:$A$102,1),MATCH(ROUND(Q55,1),Tablo_E!$B$1:$CX$1,1)))</f>
        <v>0</v>
      </c>
      <c r="S55" s="53">
        <f t="shared" si="1"/>
        <v>0</v>
      </c>
      <c r="T55" s="49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x14ac:dyDescent="0.45">
      <c r="A56" s="54">
        <v>53</v>
      </c>
      <c r="B56" s="146">
        <f>Hakemler!B56</f>
        <v>0</v>
      </c>
      <c r="C56" s="145">
        <f>Hakemler!C56</f>
        <v>0</v>
      </c>
      <c r="D56" s="55"/>
      <c r="E56" s="63">
        <f>IF(ISBLANK(D56),0,ABS(Uzman_E!A$4-D56))</f>
        <v>0</v>
      </c>
      <c r="F56" s="64">
        <f>IF(ISBLANK(D56),0,INDEX(Tablo_E!$B$2:$CX$102,MATCH(ROUND(Uzman_E!A$4,1),Tablo_E!$A$2:$A$102,1),MATCH(ROUND(E56,1),Tablo_E!$B$1:$CX$1,1)))</f>
        <v>0</v>
      </c>
      <c r="G56" s="55"/>
      <c r="H56" s="60">
        <f>IF(ISBLANK(G56),0,ABS(Uzman_E!B$4-G56))</f>
        <v>0</v>
      </c>
      <c r="I56" s="64">
        <f>IF(ISBLANK(G56),0,INDEX(Tablo_E!$B$2:$CX$102,MATCH(ROUND(Uzman_E!B$4,1),Tablo_E!$A$2:$A$102,1),MATCH(ROUND(H56,1),Tablo_E!$B$1:$CX$1,1)))</f>
        <v>0</v>
      </c>
      <c r="J56" s="55"/>
      <c r="K56" s="63">
        <f>IF(ISBLANK(J56),0,ABS(Uzman_E!C$4-J56))</f>
        <v>0</v>
      </c>
      <c r="L56" s="64">
        <f>IF(ISBLANK(J56),0,INDEX(Tablo_E!$B$2:$CX$102,MATCH(ROUND(Uzman_E!C$4,1),Tablo_E!$A$2:$A$102,1),MATCH(ROUND(K56,1),Tablo_E!$B$1:$CX$1,1)))</f>
        <v>0</v>
      </c>
      <c r="M56" s="55"/>
      <c r="N56" s="63">
        <f>IF(ISBLANK(M56),0,ABS(Uzman_E!D$4-M56))</f>
        <v>0</v>
      </c>
      <c r="O56" s="64">
        <f>IF(ISBLANK(M56),0,INDEX(Tablo_E!$B$2:$CX$102,MATCH(ROUND(Uzman_E!D$4,1),Tablo_E!$A$2:$A$102,1),MATCH(ROUND(N56,1),Tablo_E!$B$1:$CX$1,1)))</f>
        <v>0</v>
      </c>
      <c r="P56" s="55"/>
      <c r="Q56" s="60">
        <f>IF(ISBLANK(P56),0,ABS(Uzman_E!E$4-P56))</f>
        <v>0</v>
      </c>
      <c r="R56" s="64">
        <f>IF(ISBLANK(P56),0,INDEX(Tablo_E!$B$2:$CX$102,MATCH(ROUND(Uzman_E!B$4,1),Tablo_E!$A$2:$A$102,1),MATCH(ROUND(Q56,1),Tablo_E!$B$1:$CX$1,1)))</f>
        <v>0</v>
      </c>
      <c r="S56" s="53">
        <f t="shared" si="1"/>
        <v>0</v>
      </c>
      <c r="T56" s="49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x14ac:dyDescent="0.45">
      <c r="A57" s="54">
        <v>54</v>
      </c>
      <c r="B57" s="144">
        <f>Hakemler!B57</f>
        <v>0</v>
      </c>
      <c r="C57" s="145">
        <f>Hakemler!C57</f>
        <v>0</v>
      </c>
      <c r="D57" s="55"/>
      <c r="E57" s="63">
        <f>IF(ISBLANK(D57),0,ABS(Uzman_E!A$4-D57))</f>
        <v>0</v>
      </c>
      <c r="F57" s="64">
        <f>IF(ISBLANK(D57),0,INDEX(Tablo_E!$B$2:$CX$102,MATCH(ROUND(Uzman_E!A$4,1),Tablo_E!$A$2:$A$102,1),MATCH(ROUND(E57,1),Tablo_E!$B$1:$CX$1,1)))</f>
        <v>0</v>
      </c>
      <c r="G57" s="55"/>
      <c r="H57" s="60">
        <f>IF(ISBLANK(G57),0,ABS(Uzman_E!B$4-G57))</f>
        <v>0</v>
      </c>
      <c r="I57" s="64">
        <f>IF(ISBLANK(G57),0,INDEX(Tablo_E!$B$2:$CX$102,MATCH(ROUND(Uzman_E!B$4,1),Tablo_E!$A$2:$A$102,1),MATCH(ROUND(H57,1),Tablo_E!$B$1:$CX$1,1)))</f>
        <v>0</v>
      </c>
      <c r="J57" s="55"/>
      <c r="K57" s="63">
        <f>IF(ISBLANK(J57),0,ABS(Uzman_E!C$4-J57))</f>
        <v>0</v>
      </c>
      <c r="L57" s="64">
        <f>IF(ISBLANK(J57),0,INDEX(Tablo_E!$B$2:$CX$102,MATCH(ROUND(Uzman_E!C$4,1),Tablo_E!$A$2:$A$102,1),MATCH(ROUND(K57,1),Tablo_E!$B$1:$CX$1,1)))</f>
        <v>0</v>
      </c>
      <c r="M57" s="55"/>
      <c r="N57" s="63">
        <f>IF(ISBLANK(M57),0,ABS(Uzman_E!D$4-M57))</f>
        <v>0</v>
      </c>
      <c r="O57" s="64">
        <f>IF(ISBLANK(M57),0,INDEX(Tablo_E!$B$2:$CX$102,MATCH(ROUND(Uzman_E!D$4,1),Tablo_E!$A$2:$A$102,1),MATCH(ROUND(N57,1),Tablo_E!$B$1:$CX$1,1)))</f>
        <v>0</v>
      </c>
      <c r="P57" s="55"/>
      <c r="Q57" s="60">
        <f>IF(ISBLANK(P57),0,ABS(Uzman_E!E$4-P57))</f>
        <v>0</v>
      </c>
      <c r="R57" s="64">
        <f>IF(ISBLANK(P57),0,INDEX(Tablo_E!$B$2:$CX$102,MATCH(ROUND(Uzman_E!B$4,1),Tablo_E!$A$2:$A$102,1),MATCH(ROUND(Q57,1),Tablo_E!$B$1:$CX$1,1)))</f>
        <v>0</v>
      </c>
      <c r="S57" s="53">
        <f t="shared" si="1"/>
        <v>0</v>
      </c>
      <c r="T57" s="49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x14ac:dyDescent="0.45">
      <c r="A58" s="54">
        <v>55</v>
      </c>
      <c r="B58" s="146">
        <f>Hakemler!B58</f>
        <v>0</v>
      </c>
      <c r="C58" s="147">
        <f>Hakemler!C58</f>
        <v>0</v>
      </c>
      <c r="D58" s="55"/>
      <c r="E58" s="63">
        <f>IF(ISBLANK(D58),0,ABS(Uzman_E!A$4-D58))</f>
        <v>0</v>
      </c>
      <c r="F58" s="64">
        <f>IF(ISBLANK(D58),0,INDEX(Tablo_E!$B$2:$CX$102,MATCH(ROUND(Uzman_E!A$4,1),Tablo_E!$A$2:$A$102,1),MATCH(ROUND(E58,1),Tablo_E!$B$1:$CX$1,1)))</f>
        <v>0</v>
      </c>
      <c r="G58" s="55"/>
      <c r="H58" s="60">
        <f>IF(ISBLANK(G58),0,ABS(Uzman_E!B$4-G58))</f>
        <v>0</v>
      </c>
      <c r="I58" s="64">
        <f>IF(ISBLANK(G58),0,INDEX(Tablo_E!$B$2:$CX$102,MATCH(ROUND(Uzman_E!B$4,1),Tablo_E!$A$2:$A$102,1),MATCH(ROUND(H58,1),Tablo_E!$B$1:$CX$1,1)))</f>
        <v>0</v>
      </c>
      <c r="J58" s="55"/>
      <c r="K58" s="63">
        <f>IF(ISBLANK(J58),0,ABS(Uzman_E!C$4-J58))</f>
        <v>0</v>
      </c>
      <c r="L58" s="64">
        <f>IF(ISBLANK(J58),0,INDEX(Tablo_E!$B$2:$CX$102,MATCH(ROUND(Uzman_E!C$4,1),Tablo_E!$A$2:$A$102,1),MATCH(ROUND(K58,1),Tablo_E!$B$1:$CX$1,1)))</f>
        <v>0</v>
      </c>
      <c r="M58" s="55"/>
      <c r="N58" s="63">
        <f>IF(ISBLANK(M58),0,ABS(Uzman_E!D$4-M58))</f>
        <v>0</v>
      </c>
      <c r="O58" s="64">
        <f>IF(ISBLANK(M58),0,INDEX(Tablo_E!$B$2:$CX$102,MATCH(ROUND(Uzman_E!D$4,1),Tablo_E!$A$2:$A$102,1),MATCH(ROUND(N58,1),Tablo_E!$B$1:$CX$1,1)))</f>
        <v>0</v>
      </c>
      <c r="P58" s="55"/>
      <c r="Q58" s="60">
        <f>IF(ISBLANK(P58),0,ABS(Uzman_E!E$4-P58))</f>
        <v>0</v>
      </c>
      <c r="R58" s="64">
        <f>IF(ISBLANK(P58),0,INDEX(Tablo_E!$B$2:$CX$102,MATCH(ROUND(Uzman_E!B$4,1),Tablo_E!$A$2:$A$102,1),MATCH(ROUND(Q58,1),Tablo_E!$B$1:$CX$1,1)))</f>
        <v>0</v>
      </c>
      <c r="S58" s="53">
        <f t="shared" si="1"/>
        <v>0</v>
      </c>
      <c r="T58" s="49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x14ac:dyDescent="0.45">
      <c r="A59" s="54">
        <v>56</v>
      </c>
      <c r="B59" s="144">
        <f>Hakemler!B59</f>
        <v>0</v>
      </c>
      <c r="C59" s="145">
        <f>Hakemler!C59</f>
        <v>0</v>
      </c>
      <c r="D59" s="55"/>
      <c r="E59" s="63">
        <f>IF(ISBLANK(D59),0,ABS(Uzman_E!A$4-D59))</f>
        <v>0</v>
      </c>
      <c r="F59" s="64">
        <f>IF(ISBLANK(D59),0,INDEX(Tablo_E!$B$2:$CX$102,MATCH(ROUND(Uzman_E!A$4,1),Tablo_E!$A$2:$A$102,1),MATCH(ROUND(E59,1),Tablo_E!$B$1:$CX$1,1)))</f>
        <v>0</v>
      </c>
      <c r="G59" s="55"/>
      <c r="H59" s="60">
        <f>IF(ISBLANK(G59),0,ABS(Uzman_E!B$4-G59))</f>
        <v>0</v>
      </c>
      <c r="I59" s="64">
        <f>IF(ISBLANK(G59),0,INDEX(Tablo_E!$B$2:$CX$102,MATCH(ROUND(Uzman_E!B$4,1),Tablo_E!$A$2:$A$102,1),MATCH(ROUND(H59,1),Tablo_E!$B$1:$CX$1,1)))</f>
        <v>0</v>
      </c>
      <c r="J59" s="55"/>
      <c r="K59" s="63">
        <f>IF(ISBLANK(J59),0,ABS(Uzman_E!C$4-J59))</f>
        <v>0</v>
      </c>
      <c r="L59" s="64">
        <f>IF(ISBLANK(J59),0,INDEX(Tablo_E!$B$2:$CX$102,MATCH(ROUND(Uzman_E!C$4,1),Tablo_E!$A$2:$A$102,1),MATCH(ROUND(K59,1),Tablo_E!$B$1:$CX$1,1)))</f>
        <v>0</v>
      </c>
      <c r="M59" s="55"/>
      <c r="N59" s="63">
        <f>IF(ISBLANK(M59),0,ABS(Uzman_E!D$4-M59))</f>
        <v>0</v>
      </c>
      <c r="O59" s="64">
        <f>IF(ISBLANK(M59),0,INDEX(Tablo_E!$B$2:$CX$102,MATCH(ROUND(Uzman_E!D$4,1),Tablo_E!$A$2:$A$102,1),MATCH(ROUND(N59,1),Tablo_E!$B$1:$CX$1,1)))</f>
        <v>0</v>
      </c>
      <c r="P59" s="55"/>
      <c r="Q59" s="60">
        <f>IF(ISBLANK(P59),0,ABS(Uzman_E!E$4-P59))</f>
        <v>0</v>
      </c>
      <c r="R59" s="64">
        <f>IF(ISBLANK(P59),0,INDEX(Tablo_E!$B$2:$CX$102,MATCH(ROUND(Uzman_E!B$4,1),Tablo_E!$A$2:$A$102,1),MATCH(ROUND(Q59,1),Tablo_E!$B$1:$CX$1,1)))</f>
        <v>0</v>
      </c>
      <c r="S59" s="53">
        <f t="shared" si="1"/>
        <v>0</v>
      </c>
      <c r="T59" s="49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x14ac:dyDescent="0.45">
      <c r="A60" s="54">
        <v>57</v>
      </c>
      <c r="B60" s="146">
        <f>Hakemler!B60</f>
        <v>0</v>
      </c>
      <c r="C60" s="147">
        <f>Hakemler!C60</f>
        <v>0</v>
      </c>
      <c r="D60" s="55"/>
      <c r="E60" s="63">
        <f>IF(ISBLANK(D60),0,ABS(Uzman_E!A$4-D60))</f>
        <v>0</v>
      </c>
      <c r="F60" s="64">
        <f>IF(ISBLANK(D60),0,INDEX(Tablo_E!$B$2:$CX$102,MATCH(ROUND(Uzman_E!A$4,1),Tablo_E!$A$2:$A$102,1),MATCH(ROUND(E60,1),Tablo_E!$B$1:$CX$1,1)))</f>
        <v>0</v>
      </c>
      <c r="G60" s="55"/>
      <c r="H60" s="60">
        <f>IF(ISBLANK(G60),0,ABS(Uzman_E!B$4-G60))</f>
        <v>0</v>
      </c>
      <c r="I60" s="64">
        <f>IF(ISBLANK(G60),0,INDEX(Tablo_E!$B$2:$CX$102,MATCH(ROUND(Uzman_E!B$4,1),Tablo_E!$A$2:$A$102,1),MATCH(ROUND(H60,1),Tablo_E!$B$1:$CX$1,1)))</f>
        <v>0</v>
      </c>
      <c r="J60" s="55"/>
      <c r="K60" s="63">
        <f>IF(ISBLANK(J60),0,ABS(Uzman_E!C$4-J60))</f>
        <v>0</v>
      </c>
      <c r="L60" s="64">
        <f>IF(ISBLANK(J60),0,INDEX(Tablo_E!$B$2:$CX$102,MATCH(ROUND(Uzman_E!C$4,1),Tablo_E!$A$2:$A$102,1),MATCH(ROUND(K60,1),Tablo_E!$B$1:$CX$1,1)))</f>
        <v>0</v>
      </c>
      <c r="M60" s="55"/>
      <c r="N60" s="63">
        <f>IF(ISBLANK(M60),0,ABS(Uzman_E!D$4-M60))</f>
        <v>0</v>
      </c>
      <c r="O60" s="64">
        <f>IF(ISBLANK(M60),0,INDEX(Tablo_E!$B$2:$CX$102,MATCH(ROUND(Uzman_E!D$4,1),Tablo_E!$A$2:$A$102,1),MATCH(ROUND(N60,1),Tablo_E!$B$1:$CX$1,1)))</f>
        <v>0</v>
      </c>
      <c r="P60" s="55"/>
      <c r="Q60" s="60">
        <f>IF(ISBLANK(P60),0,ABS(Uzman_E!E$4-P60))</f>
        <v>0</v>
      </c>
      <c r="R60" s="64">
        <f>IF(ISBLANK(P60),0,INDEX(Tablo_E!$B$2:$CX$102,MATCH(ROUND(Uzman_E!B$4,1),Tablo_E!$A$2:$A$102,1),MATCH(ROUND(Q60,1),Tablo_E!$B$1:$CX$1,1)))</f>
        <v>0</v>
      </c>
      <c r="S60" s="53">
        <f t="shared" si="1"/>
        <v>0</v>
      </c>
      <c r="T60" s="49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x14ac:dyDescent="0.45">
      <c r="A61" s="54">
        <v>58</v>
      </c>
      <c r="B61" s="144">
        <f>Hakemler!B61</f>
        <v>0</v>
      </c>
      <c r="C61" s="145">
        <f>Hakemler!C61</f>
        <v>0</v>
      </c>
      <c r="D61" s="55"/>
      <c r="E61" s="63">
        <f>IF(ISBLANK(D61),0,ABS(Uzman_E!A$4-D61))</f>
        <v>0</v>
      </c>
      <c r="F61" s="64">
        <f>IF(ISBLANK(D61),0,INDEX(Tablo_E!$B$2:$CX$102,MATCH(ROUND(Uzman_E!A$4,1),Tablo_E!$A$2:$A$102,1),MATCH(ROUND(E61,1),Tablo_E!$B$1:$CX$1,1)))</f>
        <v>0</v>
      </c>
      <c r="G61" s="55"/>
      <c r="H61" s="60">
        <f>IF(ISBLANK(G61),0,ABS(Uzman_E!B$4-G61))</f>
        <v>0</v>
      </c>
      <c r="I61" s="64">
        <f>IF(ISBLANK(G61),0,INDEX(Tablo_E!$B$2:$CX$102,MATCH(ROUND(Uzman_E!B$4,1),Tablo_E!$A$2:$A$102,1),MATCH(ROUND(H61,1),Tablo_E!$B$1:$CX$1,1)))</f>
        <v>0</v>
      </c>
      <c r="J61" s="55"/>
      <c r="K61" s="63">
        <f>IF(ISBLANK(J61),0,ABS(Uzman_E!C$4-J61))</f>
        <v>0</v>
      </c>
      <c r="L61" s="64">
        <f>IF(ISBLANK(J61),0,INDEX(Tablo_E!$B$2:$CX$102,MATCH(ROUND(Uzman_E!C$4,1),Tablo_E!$A$2:$A$102,1),MATCH(ROUND(K61,1),Tablo_E!$B$1:$CX$1,1)))</f>
        <v>0</v>
      </c>
      <c r="M61" s="55"/>
      <c r="N61" s="63">
        <f>IF(ISBLANK(M61),0,ABS(Uzman_E!D$4-M61))</f>
        <v>0</v>
      </c>
      <c r="O61" s="64">
        <f>IF(ISBLANK(M61),0,INDEX(Tablo_E!$B$2:$CX$102,MATCH(ROUND(Uzman_E!D$4,1),Tablo_E!$A$2:$A$102,1),MATCH(ROUND(N61,1),Tablo_E!$B$1:$CX$1,1)))</f>
        <v>0</v>
      </c>
      <c r="P61" s="55"/>
      <c r="Q61" s="60">
        <f>IF(ISBLANK(P61),0,ABS(Uzman_E!E$4-P61))</f>
        <v>0</v>
      </c>
      <c r="R61" s="64">
        <f>IF(ISBLANK(P61),0,INDEX(Tablo_E!$B$2:$CX$102,MATCH(ROUND(Uzman_E!B$4,1),Tablo_E!$A$2:$A$102,1),MATCH(ROUND(Q61,1),Tablo_E!$B$1:$CX$1,1)))</f>
        <v>0</v>
      </c>
      <c r="S61" s="53">
        <f t="shared" si="1"/>
        <v>0</v>
      </c>
      <c r="T61" s="49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x14ac:dyDescent="0.45">
      <c r="A62" s="54">
        <v>59</v>
      </c>
      <c r="B62" s="144">
        <f>Hakemler!B62</f>
        <v>0</v>
      </c>
      <c r="C62" s="145">
        <f>Hakemler!C62</f>
        <v>0</v>
      </c>
      <c r="D62" s="55"/>
      <c r="E62" s="63">
        <f>IF(ISBLANK(D62),0,ABS(Uzman_E!A$4-D62))</f>
        <v>0</v>
      </c>
      <c r="F62" s="64">
        <f>IF(ISBLANK(D62),0,INDEX(Tablo_E!$B$2:$CX$102,MATCH(ROUND(Uzman_E!A$4,1),Tablo_E!$A$2:$A$102,1),MATCH(ROUND(E62,1),Tablo_E!$B$1:$CX$1,1)))</f>
        <v>0</v>
      </c>
      <c r="G62" s="55"/>
      <c r="H62" s="60">
        <f>IF(ISBLANK(G62),0,ABS(Uzman_E!B$4-G62))</f>
        <v>0</v>
      </c>
      <c r="I62" s="64">
        <f>IF(ISBLANK(G62),0,INDEX(Tablo_E!$B$2:$CX$102,MATCH(ROUND(Uzman_E!B$4,1),Tablo_E!$A$2:$A$102,1),MATCH(ROUND(H62,1),Tablo_E!$B$1:$CX$1,1)))</f>
        <v>0</v>
      </c>
      <c r="J62" s="55"/>
      <c r="K62" s="63">
        <f>IF(ISBLANK(J62),0,ABS(Uzman_E!C$4-J62))</f>
        <v>0</v>
      </c>
      <c r="L62" s="64">
        <f>IF(ISBLANK(J62),0,INDEX(Tablo_E!$B$2:$CX$102,MATCH(ROUND(Uzman_E!C$4,1),Tablo_E!$A$2:$A$102,1),MATCH(ROUND(K62,1),Tablo_E!$B$1:$CX$1,1)))</f>
        <v>0</v>
      </c>
      <c r="M62" s="55"/>
      <c r="N62" s="63">
        <f>IF(ISBLANK(M62),0,ABS(Uzman_E!D$4-M62))</f>
        <v>0</v>
      </c>
      <c r="O62" s="64">
        <f>IF(ISBLANK(M62),0,INDEX(Tablo_E!$B$2:$CX$102,MATCH(ROUND(Uzman_E!D$4,1),Tablo_E!$A$2:$A$102,1),MATCH(ROUND(N62,1),Tablo_E!$B$1:$CX$1,1)))</f>
        <v>0</v>
      </c>
      <c r="P62" s="55"/>
      <c r="Q62" s="60">
        <f>IF(ISBLANK(P62),0,ABS(Uzman_E!E$4-P62))</f>
        <v>0</v>
      </c>
      <c r="R62" s="64">
        <f>IF(ISBLANK(P62),0,INDEX(Tablo_E!$B$2:$CX$102,MATCH(ROUND(Uzman_E!B$4,1),Tablo_E!$A$2:$A$102,1),MATCH(ROUND(Q62,1),Tablo_E!$B$1:$CX$1,1)))</f>
        <v>0</v>
      </c>
      <c r="S62" s="53">
        <f t="shared" si="1"/>
        <v>0</v>
      </c>
      <c r="T62" s="49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x14ac:dyDescent="0.45">
      <c r="A63" s="54">
        <v>60</v>
      </c>
      <c r="B63" s="144">
        <f>Hakemler!B63</f>
        <v>0</v>
      </c>
      <c r="C63" s="145">
        <f>Hakemler!C63</f>
        <v>0</v>
      </c>
      <c r="D63" s="55"/>
      <c r="E63" s="63">
        <f>IF(ISBLANK(D63),0,ABS(Uzman_E!A$4-D63))</f>
        <v>0</v>
      </c>
      <c r="F63" s="64">
        <f>IF(ISBLANK(D63),0,INDEX(Tablo_E!$B$2:$CX$102,MATCH(ROUND(Uzman_E!A$4,1),Tablo_E!$A$2:$A$102,1),MATCH(ROUND(E63,1),Tablo_E!$B$1:$CX$1,1)))</f>
        <v>0</v>
      </c>
      <c r="G63" s="55"/>
      <c r="H63" s="60">
        <f>IF(ISBLANK(G63),0,ABS(Uzman_E!B$4-G63))</f>
        <v>0</v>
      </c>
      <c r="I63" s="64">
        <f>IF(ISBLANK(G63),0,INDEX(Tablo_E!$B$2:$CX$102,MATCH(ROUND(Uzman_E!B$4,1),Tablo_E!$A$2:$A$102,1),MATCH(ROUND(H63,1),Tablo_E!$B$1:$CX$1,1)))</f>
        <v>0</v>
      </c>
      <c r="J63" s="55"/>
      <c r="K63" s="63">
        <f>IF(ISBLANK(J63),0,ABS(Uzman_E!C$4-J63))</f>
        <v>0</v>
      </c>
      <c r="L63" s="64">
        <f>IF(ISBLANK(J63),0,INDEX(Tablo_E!$B$2:$CX$102,MATCH(ROUND(Uzman_E!C$4,1),Tablo_E!$A$2:$A$102,1),MATCH(ROUND(K63,1),Tablo_E!$B$1:$CX$1,1)))</f>
        <v>0</v>
      </c>
      <c r="M63" s="55"/>
      <c r="N63" s="63">
        <f>IF(ISBLANK(M63),0,ABS(Uzman_E!D$4-M63))</f>
        <v>0</v>
      </c>
      <c r="O63" s="64">
        <f>IF(ISBLANK(M63),0,INDEX(Tablo_E!$B$2:$CX$102,MATCH(ROUND(Uzman_E!D$4,1),Tablo_E!$A$2:$A$102,1),MATCH(ROUND(N63,1),Tablo_E!$B$1:$CX$1,1)))</f>
        <v>0</v>
      </c>
      <c r="P63" s="55"/>
      <c r="Q63" s="60">
        <f>IF(ISBLANK(P63),0,ABS(Uzman_E!E$4-P63))</f>
        <v>0</v>
      </c>
      <c r="R63" s="64">
        <f>IF(ISBLANK(P63),0,INDEX(Tablo_E!$B$2:$CX$102,MATCH(ROUND(Uzman_E!B$4,1),Tablo_E!$A$2:$A$102,1),MATCH(ROUND(Q63,1),Tablo_E!$B$1:$CX$1,1)))</f>
        <v>0</v>
      </c>
      <c r="S63" s="53">
        <f t="shared" si="1"/>
        <v>0</v>
      </c>
      <c r="T63" s="49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x14ac:dyDescent="0.45">
      <c r="A64" s="54">
        <v>61</v>
      </c>
      <c r="B64" s="144">
        <f>Hakemler!B64</f>
        <v>0</v>
      </c>
      <c r="C64" s="145">
        <f>Hakemler!C64</f>
        <v>0</v>
      </c>
      <c r="D64" s="55"/>
      <c r="E64" s="63">
        <f>IF(ISBLANK(D64),0,ABS(Uzman_E!A$4-D64))</f>
        <v>0</v>
      </c>
      <c r="F64" s="64">
        <f>IF(ISBLANK(D64),0,INDEX(Tablo_E!$B$2:$CX$102,MATCH(ROUND(Uzman_E!A$4,1),Tablo_E!$A$2:$A$102,1),MATCH(ROUND(E64,1),Tablo_E!$B$1:$CX$1,1)))</f>
        <v>0</v>
      </c>
      <c r="G64" s="55"/>
      <c r="H64" s="60">
        <f>IF(ISBLANK(G64),0,ABS(Uzman_E!B$4-G64))</f>
        <v>0</v>
      </c>
      <c r="I64" s="64">
        <f>IF(ISBLANK(G64),0,INDEX(Tablo_E!$B$2:$CX$102,MATCH(ROUND(Uzman_E!B$4,1),Tablo_E!$A$2:$A$102,1),MATCH(ROUND(H64,1),Tablo_E!$B$1:$CX$1,1)))</f>
        <v>0</v>
      </c>
      <c r="J64" s="55"/>
      <c r="K64" s="63">
        <f>IF(ISBLANK(J64),0,ABS(Uzman_E!C$4-J64))</f>
        <v>0</v>
      </c>
      <c r="L64" s="64">
        <f>IF(ISBLANK(J64),0,INDEX(Tablo_E!$B$2:$CX$102,MATCH(ROUND(Uzman_E!C$4,1),Tablo_E!$A$2:$A$102,1),MATCH(ROUND(K64,1),Tablo_E!$B$1:$CX$1,1)))</f>
        <v>0</v>
      </c>
      <c r="M64" s="55"/>
      <c r="N64" s="63">
        <f>IF(ISBLANK(M64),0,ABS(Uzman_E!D$4-M64))</f>
        <v>0</v>
      </c>
      <c r="O64" s="64">
        <f>IF(ISBLANK(M64),0,INDEX(Tablo_E!$B$2:$CX$102,MATCH(ROUND(Uzman_E!D$4,1),Tablo_E!$A$2:$A$102,1),MATCH(ROUND(N64,1),Tablo_E!$B$1:$CX$1,1)))</f>
        <v>0</v>
      </c>
      <c r="P64" s="55"/>
      <c r="Q64" s="60">
        <f>IF(ISBLANK(P64),0,ABS(Uzman_E!E$4-P64))</f>
        <v>0</v>
      </c>
      <c r="R64" s="64">
        <f>IF(ISBLANK(P64),0,INDEX(Tablo_E!$B$2:$CX$102,MATCH(ROUND(Uzman_E!B$4,1),Tablo_E!$A$2:$A$102,1),MATCH(ROUND(Q64,1),Tablo_E!$B$1:$CX$1,1)))</f>
        <v>0</v>
      </c>
      <c r="S64" s="53">
        <f t="shared" si="1"/>
        <v>0</v>
      </c>
      <c r="T64" s="49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x14ac:dyDescent="0.45">
      <c r="A65" s="54">
        <v>62</v>
      </c>
      <c r="B65" s="144">
        <f>Hakemler!B65</f>
        <v>0</v>
      </c>
      <c r="C65" s="145">
        <f>Hakemler!C65</f>
        <v>0</v>
      </c>
      <c r="D65" s="55"/>
      <c r="E65" s="63">
        <f>IF(ISBLANK(D65),0,ABS(Uzman_E!A$4-D65))</f>
        <v>0</v>
      </c>
      <c r="F65" s="64">
        <f>IF(ISBLANK(D65),0,INDEX(Tablo_E!$B$2:$CX$102,MATCH(ROUND(Uzman_E!A$4,1),Tablo_E!$A$2:$A$102,1),MATCH(ROUND(E65,1),Tablo_E!$B$1:$CX$1,1)))</f>
        <v>0</v>
      </c>
      <c r="G65" s="55"/>
      <c r="H65" s="60">
        <f>IF(ISBLANK(G65),0,ABS(Uzman_E!B$4-G65))</f>
        <v>0</v>
      </c>
      <c r="I65" s="64">
        <f>IF(ISBLANK(G65),0,INDEX(Tablo_E!$B$2:$CX$102,MATCH(ROUND(Uzman_E!B$4,1),Tablo_E!$A$2:$A$102,1),MATCH(ROUND(H65,1),Tablo_E!$B$1:$CX$1,1)))</f>
        <v>0</v>
      </c>
      <c r="J65" s="55"/>
      <c r="K65" s="63">
        <f>IF(ISBLANK(J65),0,ABS(Uzman_E!C$4-J65))</f>
        <v>0</v>
      </c>
      <c r="L65" s="64">
        <f>IF(ISBLANK(J65),0,INDEX(Tablo_E!$B$2:$CX$102,MATCH(ROUND(Uzman_E!C$4,1),Tablo_E!$A$2:$A$102,1),MATCH(ROUND(K65,1),Tablo_E!$B$1:$CX$1,1)))</f>
        <v>0</v>
      </c>
      <c r="M65" s="55"/>
      <c r="N65" s="63">
        <f>IF(ISBLANK(M65),0,ABS(Uzman_E!D$4-M65))</f>
        <v>0</v>
      </c>
      <c r="O65" s="64">
        <f>IF(ISBLANK(M65),0,INDEX(Tablo_E!$B$2:$CX$102,MATCH(ROUND(Uzman_E!D$4,1),Tablo_E!$A$2:$A$102,1),MATCH(ROUND(N65,1),Tablo_E!$B$1:$CX$1,1)))</f>
        <v>0</v>
      </c>
      <c r="P65" s="55"/>
      <c r="Q65" s="60">
        <f>IF(ISBLANK(P65),0,ABS(Uzman_E!E$4-P65))</f>
        <v>0</v>
      </c>
      <c r="R65" s="64">
        <f>IF(ISBLANK(P65),0,INDEX(Tablo_E!$B$2:$CX$102,MATCH(ROUND(Uzman_E!B$4,1),Tablo_E!$A$2:$A$102,1),MATCH(ROUND(Q65,1),Tablo_E!$B$1:$CX$1,1)))</f>
        <v>0</v>
      </c>
      <c r="S65" s="53">
        <f t="shared" si="1"/>
        <v>0</v>
      </c>
      <c r="T65" s="49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x14ac:dyDescent="0.45">
      <c r="A66" s="54">
        <v>63</v>
      </c>
      <c r="B66" s="144">
        <f>Hakemler!B66</f>
        <v>0</v>
      </c>
      <c r="C66" s="145">
        <f>Hakemler!C66</f>
        <v>0</v>
      </c>
      <c r="D66" s="55"/>
      <c r="E66" s="63">
        <f>IF(ISBLANK(D66),0,ABS(Uzman_E!A$4-D66))</f>
        <v>0</v>
      </c>
      <c r="F66" s="64">
        <f>IF(ISBLANK(D66),0,INDEX(Tablo_E!$B$2:$CX$102,MATCH(ROUND(Uzman_E!A$4,1),Tablo_E!$A$2:$A$102,1),MATCH(ROUND(E66,1),Tablo_E!$B$1:$CX$1,1)))</f>
        <v>0</v>
      </c>
      <c r="G66" s="55"/>
      <c r="H66" s="60">
        <f>IF(ISBLANK(G66),0,ABS(Uzman_E!B$4-G66))</f>
        <v>0</v>
      </c>
      <c r="I66" s="64">
        <f>IF(ISBLANK(G66),0,INDEX(Tablo_E!$B$2:$CX$102,MATCH(ROUND(Uzman_E!B$4,1),Tablo_E!$A$2:$A$102,1),MATCH(ROUND(H66,1),Tablo_E!$B$1:$CX$1,1)))</f>
        <v>0</v>
      </c>
      <c r="J66" s="55"/>
      <c r="K66" s="63">
        <f>IF(ISBLANK(J66),0,ABS(Uzman_E!C$4-J66))</f>
        <v>0</v>
      </c>
      <c r="L66" s="64">
        <f>IF(ISBLANK(J66),0,INDEX(Tablo_E!$B$2:$CX$102,MATCH(ROUND(Uzman_E!C$4,1),Tablo_E!$A$2:$A$102,1),MATCH(ROUND(K66,1),Tablo_E!$B$1:$CX$1,1)))</f>
        <v>0</v>
      </c>
      <c r="M66" s="55"/>
      <c r="N66" s="63">
        <f>IF(ISBLANK(M66),0,ABS(Uzman_E!D$4-M66))</f>
        <v>0</v>
      </c>
      <c r="O66" s="64">
        <f>IF(ISBLANK(M66),0,INDEX(Tablo_E!$B$2:$CX$102,MATCH(ROUND(Uzman_E!D$4,1),Tablo_E!$A$2:$A$102,1),MATCH(ROUND(N66,1),Tablo_E!$B$1:$CX$1,1)))</f>
        <v>0</v>
      </c>
      <c r="P66" s="55"/>
      <c r="Q66" s="60">
        <f>IF(ISBLANK(P66),0,ABS(Uzman_E!E$4-P66))</f>
        <v>0</v>
      </c>
      <c r="R66" s="64">
        <f>IF(ISBLANK(P66),0,INDEX(Tablo_E!$B$2:$CX$102,MATCH(ROUND(Uzman_E!B$4,1),Tablo_E!$A$2:$A$102,1),MATCH(ROUND(Q66,1),Tablo_E!$B$1:$CX$1,1)))</f>
        <v>0</v>
      </c>
      <c r="S66" s="53">
        <f t="shared" si="1"/>
        <v>0</v>
      </c>
      <c r="T66" s="49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x14ac:dyDescent="0.45">
      <c r="A67" s="54">
        <v>64</v>
      </c>
      <c r="B67" s="146">
        <f>Hakemler!B67</f>
        <v>0</v>
      </c>
      <c r="C67" s="147">
        <f>Hakemler!C67</f>
        <v>0</v>
      </c>
      <c r="D67" s="55"/>
      <c r="E67" s="63">
        <f>IF(ISBLANK(D67),0,ABS(Uzman_E!A$4-D67))</f>
        <v>0</v>
      </c>
      <c r="F67" s="64">
        <f>IF(ISBLANK(D67),0,INDEX(Tablo_E!$B$2:$CX$102,MATCH(ROUND(Uzman_E!A$4,1),Tablo_E!$A$2:$A$102,1),MATCH(ROUND(E67,1),Tablo_E!$B$1:$CX$1,1)))</f>
        <v>0</v>
      </c>
      <c r="G67" s="55"/>
      <c r="H67" s="60">
        <f>IF(ISBLANK(G67),0,ABS(Uzman_E!B$4-G67))</f>
        <v>0</v>
      </c>
      <c r="I67" s="64">
        <f>IF(ISBLANK(G67),0,INDEX(Tablo_E!$B$2:$CX$102,MATCH(ROUND(Uzman_E!B$4,1),Tablo_E!$A$2:$A$102,1),MATCH(ROUND(H67,1),Tablo_E!$B$1:$CX$1,1)))</f>
        <v>0</v>
      </c>
      <c r="J67" s="55"/>
      <c r="K67" s="63">
        <f>IF(ISBLANK(J67),0,ABS(Uzman_E!C$4-J67))</f>
        <v>0</v>
      </c>
      <c r="L67" s="64">
        <f>IF(ISBLANK(J67),0,INDEX(Tablo_E!$B$2:$CX$102,MATCH(ROUND(Uzman_E!C$4,1),Tablo_E!$A$2:$A$102,1),MATCH(ROUND(K67,1),Tablo_E!$B$1:$CX$1,1)))</f>
        <v>0</v>
      </c>
      <c r="M67" s="55"/>
      <c r="N67" s="63">
        <f>IF(ISBLANK(M67),0,ABS(Uzman_E!D$4-M67))</f>
        <v>0</v>
      </c>
      <c r="O67" s="64">
        <f>IF(ISBLANK(M67),0,INDEX(Tablo_E!$B$2:$CX$102,MATCH(ROUND(Uzman_E!D$4,1),Tablo_E!$A$2:$A$102,1),MATCH(ROUND(N67,1),Tablo_E!$B$1:$CX$1,1)))</f>
        <v>0</v>
      </c>
      <c r="P67" s="55"/>
      <c r="Q67" s="60">
        <f>IF(ISBLANK(P67),0,ABS(Uzman_E!E$4-P67))</f>
        <v>0</v>
      </c>
      <c r="R67" s="64">
        <f>IF(ISBLANK(P67),0,INDEX(Tablo_E!$B$2:$CX$102,MATCH(ROUND(Uzman_E!B$4,1),Tablo_E!$A$2:$A$102,1),MATCH(ROUND(Q67,1),Tablo_E!$B$1:$CX$1,1)))</f>
        <v>0</v>
      </c>
      <c r="S67" s="53">
        <f t="shared" si="1"/>
        <v>0</v>
      </c>
      <c r="T67" s="49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x14ac:dyDescent="0.45">
      <c r="A68" s="54">
        <v>65</v>
      </c>
      <c r="B68" s="146">
        <f>Hakemler!B68</f>
        <v>0</v>
      </c>
      <c r="C68" s="147">
        <f>Hakemler!C68</f>
        <v>0</v>
      </c>
      <c r="D68" s="55"/>
      <c r="E68" s="63">
        <f>IF(ISBLANK(D68),0,ABS(Uzman_E!A$4-D68))</f>
        <v>0</v>
      </c>
      <c r="F68" s="64">
        <f>IF(ISBLANK(D68),0,INDEX(Tablo_E!$B$2:$CX$102,MATCH(ROUND(Uzman_E!A$4,1),Tablo_E!$A$2:$A$102,1),MATCH(ROUND(E68,1),Tablo_E!$B$1:$CX$1,1)))</f>
        <v>0</v>
      </c>
      <c r="G68" s="55"/>
      <c r="H68" s="60">
        <f>IF(ISBLANK(G68),0,ABS(Uzman_E!B$4-G68))</f>
        <v>0</v>
      </c>
      <c r="I68" s="64">
        <f>IF(ISBLANK(G68),0,INDEX(Tablo_E!$B$2:$CX$102,MATCH(ROUND(Uzman_E!B$4,1),Tablo_E!$A$2:$A$102,1),MATCH(ROUND(H68,1),Tablo_E!$B$1:$CX$1,1)))</f>
        <v>0</v>
      </c>
      <c r="J68" s="55"/>
      <c r="K68" s="63">
        <f>IF(ISBLANK(J68),0,ABS(Uzman_E!C$4-J68))</f>
        <v>0</v>
      </c>
      <c r="L68" s="64">
        <f>IF(ISBLANK(J68),0,INDEX(Tablo_E!$B$2:$CX$102,MATCH(ROUND(Uzman_E!C$4,1),Tablo_E!$A$2:$A$102,1),MATCH(ROUND(K68,1),Tablo_E!$B$1:$CX$1,1)))</f>
        <v>0</v>
      </c>
      <c r="M68" s="55"/>
      <c r="N68" s="63">
        <f>IF(ISBLANK(M68),0,ABS(Uzman_E!D$4-M68))</f>
        <v>0</v>
      </c>
      <c r="O68" s="64">
        <f>IF(ISBLANK(M68),0,INDEX(Tablo_E!$B$2:$CX$102,MATCH(ROUND(Uzman_E!D$4,1),Tablo_E!$A$2:$A$102,1),MATCH(ROUND(N68,1),Tablo_E!$B$1:$CX$1,1)))</f>
        <v>0</v>
      </c>
      <c r="P68" s="55"/>
      <c r="Q68" s="60">
        <f>IF(ISBLANK(P68),0,ABS(Uzman_E!E$4-P68))</f>
        <v>0</v>
      </c>
      <c r="R68" s="64">
        <f>IF(ISBLANK(P68),0,INDEX(Tablo_E!$B$2:$CX$102,MATCH(ROUND(Uzman_E!B$4,1),Tablo_E!$A$2:$A$102,1),MATCH(ROUND(Q68,1),Tablo_E!$B$1:$CX$1,1)))</f>
        <v>0</v>
      </c>
      <c r="S68" s="53">
        <f t="shared" ref="S68:S99" si="2">(F68+I68+L68+O68+R68)/5</f>
        <v>0</v>
      </c>
      <c r="T68" s="49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x14ac:dyDescent="0.45">
      <c r="A69" s="54">
        <v>66</v>
      </c>
      <c r="B69" s="146">
        <f>Hakemler!B69</f>
        <v>0</v>
      </c>
      <c r="C69" s="147">
        <f>Hakemler!C69</f>
        <v>0</v>
      </c>
      <c r="D69" s="55"/>
      <c r="E69" s="63">
        <f>IF(ISBLANK(D69),0,ABS(Uzman_E!A$4-D69))</f>
        <v>0</v>
      </c>
      <c r="F69" s="64">
        <f>IF(ISBLANK(D69),0,INDEX(Tablo_E!$B$2:$CX$102,MATCH(ROUND(Uzman_E!A$4,1),Tablo_E!$A$2:$A$102,1),MATCH(ROUND(E69,1),Tablo_E!$B$1:$CX$1,1)))</f>
        <v>0</v>
      </c>
      <c r="G69" s="55"/>
      <c r="H69" s="60">
        <f>IF(ISBLANK(G69),0,ABS(Uzman_E!B$4-G69))</f>
        <v>0</v>
      </c>
      <c r="I69" s="64">
        <f>IF(ISBLANK(G69),0,INDEX(Tablo_E!$B$2:$CX$102,MATCH(ROUND(Uzman_E!B$4,1),Tablo_E!$A$2:$A$102,1),MATCH(ROUND(H69,1),Tablo_E!$B$1:$CX$1,1)))</f>
        <v>0</v>
      </c>
      <c r="J69" s="55"/>
      <c r="K69" s="63">
        <f>IF(ISBLANK(J69),0,ABS(Uzman_E!C$4-J69))</f>
        <v>0</v>
      </c>
      <c r="L69" s="64">
        <f>IF(ISBLANK(J69),0,INDEX(Tablo_E!$B$2:$CX$102,MATCH(ROUND(Uzman_E!C$4,1),Tablo_E!$A$2:$A$102,1),MATCH(ROUND(K69,1),Tablo_E!$B$1:$CX$1,1)))</f>
        <v>0</v>
      </c>
      <c r="M69" s="55"/>
      <c r="N69" s="63">
        <f>IF(ISBLANK(M69),0,ABS(Uzman_E!D$4-M69))</f>
        <v>0</v>
      </c>
      <c r="O69" s="64">
        <f>IF(ISBLANK(M69),0,INDEX(Tablo_E!$B$2:$CX$102,MATCH(ROUND(Uzman_E!D$4,1),Tablo_E!$A$2:$A$102,1),MATCH(ROUND(N69,1),Tablo_E!$B$1:$CX$1,1)))</f>
        <v>0</v>
      </c>
      <c r="P69" s="55"/>
      <c r="Q69" s="60">
        <f>IF(ISBLANK(P69),0,ABS(Uzman_E!E$4-P69))</f>
        <v>0</v>
      </c>
      <c r="R69" s="64">
        <f>IF(ISBLANK(P69),0,INDEX(Tablo_E!$B$2:$CX$102,MATCH(ROUND(Uzman_E!B$4,1),Tablo_E!$A$2:$A$102,1),MATCH(ROUND(Q69,1),Tablo_E!$B$1:$CX$1,1)))</f>
        <v>0</v>
      </c>
      <c r="S69" s="53">
        <f t="shared" si="2"/>
        <v>0</v>
      </c>
      <c r="T69" s="49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x14ac:dyDescent="0.45">
      <c r="A70" s="54">
        <v>67</v>
      </c>
      <c r="B70" s="146">
        <f>Hakemler!B70</f>
        <v>0</v>
      </c>
      <c r="C70" s="147">
        <f>Hakemler!C70</f>
        <v>0</v>
      </c>
      <c r="D70" s="55"/>
      <c r="E70" s="63">
        <f>IF(ISBLANK(D70),0,ABS(Uzman_E!A$4-D70))</f>
        <v>0</v>
      </c>
      <c r="F70" s="64">
        <f>IF(ISBLANK(D70),0,INDEX(Tablo_E!$B$2:$CX$102,MATCH(ROUND(Uzman_E!A$4,1),Tablo_E!$A$2:$A$102,1),MATCH(ROUND(E70,1),Tablo_E!$B$1:$CX$1,1)))</f>
        <v>0</v>
      </c>
      <c r="G70" s="55"/>
      <c r="H70" s="60">
        <f>IF(ISBLANK(G70),0,ABS(Uzman_E!B$4-G70))</f>
        <v>0</v>
      </c>
      <c r="I70" s="64">
        <f>IF(ISBLANK(G70),0,INDEX(Tablo_E!$B$2:$CX$102,MATCH(ROUND(Uzman_E!B$4,1),Tablo_E!$A$2:$A$102,1),MATCH(ROUND(H70,1),Tablo_E!$B$1:$CX$1,1)))</f>
        <v>0</v>
      </c>
      <c r="J70" s="55"/>
      <c r="K70" s="63">
        <f>IF(ISBLANK(J70),0,ABS(Uzman_E!C$4-J70))</f>
        <v>0</v>
      </c>
      <c r="L70" s="64">
        <f>IF(ISBLANK(J70),0,INDEX(Tablo_E!$B$2:$CX$102,MATCH(ROUND(Uzman_E!C$4,1),Tablo_E!$A$2:$A$102,1),MATCH(ROUND(K70,1),Tablo_E!$B$1:$CX$1,1)))</f>
        <v>0</v>
      </c>
      <c r="M70" s="55"/>
      <c r="N70" s="63">
        <f>IF(ISBLANK(M70),0,ABS(Uzman_E!D$4-M70))</f>
        <v>0</v>
      </c>
      <c r="O70" s="64">
        <f>IF(ISBLANK(M70),0,INDEX(Tablo_E!$B$2:$CX$102,MATCH(ROUND(Uzman_E!D$4,1),Tablo_E!$A$2:$A$102,1),MATCH(ROUND(N70,1),Tablo_E!$B$1:$CX$1,1)))</f>
        <v>0</v>
      </c>
      <c r="P70" s="55"/>
      <c r="Q70" s="60">
        <f>IF(ISBLANK(P70),0,ABS(Uzman_E!E$4-P70))</f>
        <v>0</v>
      </c>
      <c r="R70" s="64">
        <f>IF(ISBLANK(P70),0,INDEX(Tablo_E!$B$2:$CX$102,MATCH(ROUND(Uzman_E!B$4,1),Tablo_E!$A$2:$A$102,1),MATCH(ROUND(Q70,1),Tablo_E!$B$1:$CX$1,1)))</f>
        <v>0</v>
      </c>
      <c r="S70" s="53">
        <f t="shared" si="2"/>
        <v>0</v>
      </c>
      <c r="T70" s="49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x14ac:dyDescent="0.45">
      <c r="A71" s="54">
        <v>68</v>
      </c>
      <c r="B71" s="146">
        <f>Hakemler!B71</f>
        <v>0</v>
      </c>
      <c r="C71" s="147">
        <f>Hakemler!C71</f>
        <v>0</v>
      </c>
      <c r="D71" s="55"/>
      <c r="E71" s="63">
        <f>IF(ISBLANK(D71),0,ABS(Uzman_E!A$4-D71))</f>
        <v>0</v>
      </c>
      <c r="F71" s="64">
        <f>IF(ISBLANK(D71),0,INDEX(Tablo_E!$B$2:$CX$102,MATCH(ROUND(Uzman_E!A$4,1),Tablo_E!$A$2:$A$102,1),MATCH(ROUND(E71,1),Tablo_E!$B$1:$CX$1,1)))</f>
        <v>0</v>
      </c>
      <c r="G71" s="55"/>
      <c r="H71" s="60">
        <f>IF(ISBLANK(G71),0,ABS(Uzman_E!B$4-G71))</f>
        <v>0</v>
      </c>
      <c r="I71" s="64">
        <f>IF(ISBLANK(G71),0,INDEX(Tablo_E!$B$2:$CX$102,MATCH(ROUND(Uzman_E!B$4,1),Tablo_E!$A$2:$A$102,1),MATCH(ROUND(H71,1),Tablo_E!$B$1:$CX$1,1)))</f>
        <v>0</v>
      </c>
      <c r="J71" s="55"/>
      <c r="K71" s="63">
        <f>IF(ISBLANK(J71),0,ABS(Uzman_E!C$4-J71))</f>
        <v>0</v>
      </c>
      <c r="L71" s="64">
        <f>IF(ISBLANK(J71),0,INDEX(Tablo_E!$B$2:$CX$102,MATCH(ROUND(Uzman_E!C$4,1),Tablo_E!$A$2:$A$102,1),MATCH(ROUND(K71,1),Tablo_E!$B$1:$CX$1,1)))</f>
        <v>0</v>
      </c>
      <c r="M71" s="55"/>
      <c r="N71" s="63">
        <f>IF(ISBLANK(M71),0,ABS(Uzman_E!D$4-M71))</f>
        <v>0</v>
      </c>
      <c r="O71" s="64">
        <f>IF(ISBLANK(M71),0,INDEX(Tablo_E!$B$2:$CX$102,MATCH(ROUND(Uzman_E!D$4,1),Tablo_E!$A$2:$A$102,1),MATCH(ROUND(N71,1),Tablo_E!$B$1:$CX$1,1)))</f>
        <v>0</v>
      </c>
      <c r="P71" s="55"/>
      <c r="Q71" s="60">
        <f>IF(ISBLANK(P71),0,ABS(Uzman_E!E$4-P71))</f>
        <v>0</v>
      </c>
      <c r="R71" s="64">
        <f>IF(ISBLANK(P71),0,INDEX(Tablo_E!$B$2:$CX$102,MATCH(ROUND(Uzman_E!B$4,1),Tablo_E!$A$2:$A$102,1),MATCH(ROUND(Q71,1),Tablo_E!$B$1:$CX$1,1)))</f>
        <v>0</v>
      </c>
      <c r="S71" s="53">
        <f t="shared" si="2"/>
        <v>0</v>
      </c>
      <c r="T71" s="49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x14ac:dyDescent="0.45">
      <c r="A72" s="54">
        <v>69</v>
      </c>
      <c r="B72" s="146">
        <f>Hakemler!B72</f>
        <v>0</v>
      </c>
      <c r="C72" s="147">
        <f>Hakemler!C72</f>
        <v>0</v>
      </c>
      <c r="D72" s="55"/>
      <c r="E72" s="63">
        <f>IF(ISBLANK(D72),0,ABS(Uzman_E!A$4-D72))</f>
        <v>0</v>
      </c>
      <c r="F72" s="64">
        <f>IF(ISBLANK(D72),0,INDEX(Tablo_E!$B$2:$CX$102,MATCH(ROUND(Uzman_E!A$4,1),Tablo_E!$A$2:$A$102,1),MATCH(ROUND(E72,1),Tablo_E!$B$1:$CX$1,1)))</f>
        <v>0</v>
      </c>
      <c r="G72" s="55"/>
      <c r="H72" s="60">
        <f>IF(ISBLANK(G72),0,ABS(Uzman_E!B$4-G72))</f>
        <v>0</v>
      </c>
      <c r="I72" s="64">
        <f>IF(ISBLANK(G72),0,INDEX(Tablo_E!$B$2:$CX$102,MATCH(ROUND(Uzman_E!B$4,1),Tablo_E!$A$2:$A$102,1),MATCH(ROUND(H72,1),Tablo_E!$B$1:$CX$1,1)))</f>
        <v>0</v>
      </c>
      <c r="J72" s="55"/>
      <c r="K72" s="63">
        <f>IF(ISBLANK(J72),0,ABS(Uzman_E!C$4-J72))</f>
        <v>0</v>
      </c>
      <c r="L72" s="64">
        <f>IF(ISBLANK(J72),0,INDEX(Tablo_E!$B$2:$CX$102,MATCH(ROUND(Uzman_E!C$4,1),Tablo_E!$A$2:$A$102,1),MATCH(ROUND(K72,1),Tablo_E!$B$1:$CX$1,1)))</f>
        <v>0</v>
      </c>
      <c r="M72" s="55"/>
      <c r="N72" s="63">
        <f>IF(ISBLANK(M72),0,ABS(Uzman_E!D$4-M72))</f>
        <v>0</v>
      </c>
      <c r="O72" s="64">
        <f>IF(ISBLANK(M72),0,INDEX(Tablo_E!$B$2:$CX$102,MATCH(ROUND(Uzman_E!D$4,1),Tablo_E!$A$2:$A$102,1),MATCH(ROUND(N72,1),Tablo_E!$B$1:$CX$1,1)))</f>
        <v>0</v>
      </c>
      <c r="P72" s="55"/>
      <c r="Q72" s="60">
        <f>IF(ISBLANK(P72),0,ABS(Uzman_E!E$4-P72))</f>
        <v>0</v>
      </c>
      <c r="R72" s="64">
        <f>IF(ISBLANK(P72),0,INDEX(Tablo_E!$B$2:$CX$102,MATCH(ROUND(Uzman_E!B$4,1),Tablo_E!$A$2:$A$102,1),MATCH(ROUND(Q72,1),Tablo_E!$B$1:$CX$1,1)))</f>
        <v>0</v>
      </c>
      <c r="S72" s="53">
        <f t="shared" si="2"/>
        <v>0</v>
      </c>
      <c r="T72" s="49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x14ac:dyDescent="0.45">
      <c r="A73" s="54">
        <v>70</v>
      </c>
      <c r="B73" s="146">
        <f>Hakemler!B73</f>
        <v>0</v>
      </c>
      <c r="C73" s="147">
        <f>Hakemler!C73</f>
        <v>0</v>
      </c>
      <c r="D73" s="55"/>
      <c r="E73" s="63">
        <f>IF(ISBLANK(D73),0,ABS(Uzman_E!A$4-D73))</f>
        <v>0</v>
      </c>
      <c r="F73" s="64">
        <f>IF(ISBLANK(D73),0,INDEX(Tablo_E!$B$2:$CX$102,MATCH(ROUND(Uzman_E!A$4,1),Tablo_E!$A$2:$A$102,1),MATCH(ROUND(E73,1),Tablo_E!$B$1:$CX$1,1)))</f>
        <v>0</v>
      </c>
      <c r="G73" s="55"/>
      <c r="H73" s="60">
        <f>IF(ISBLANK(G73),0,ABS(Uzman_E!B$4-G73))</f>
        <v>0</v>
      </c>
      <c r="I73" s="64">
        <f>IF(ISBLANK(G73),0,INDEX(Tablo_E!$B$2:$CX$102,MATCH(ROUND(Uzman_E!B$4,1),Tablo_E!$A$2:$A$102,1),MATCH(ROUND(H73,1),Tablo_E!$B$1:$CX$1,1)))</f>
        <v>0</v>
      </c>
      <c r="J73" s="55"/>
      <c r="K73" s="63">
        <f>IF(ISBLANK(J73),0,ABS(Uzman_E!C$4-J73))</f>
        <v>0</v>
      </c>
      <c r="L73" s="64">
        <f>IF(ISBLANK(J73),0,INDEX(Tablo_E!$B$2:$CX$102,MATCH(ROUND(Uzman_E!C$4,1),Tablo_E!$A$2:$A$102,1),MATCH(ROUND(K73,1),Tablo_E!$B$1:$CX$1,1)))</f>
        <v>0</v>
      </c>
      <c r="M73" s="55"/>
      <c r="N73" s="63">
        <f>IF(ISBLANK(M73),0,ABS(Uzman_E!D$4-M73))</f>
        <v>0</v>
      </c>
      <c r="O73" s="64">
        <f>IF(ISBLANK(M73),0,INDEX(Tablo_E!$B$2:$CX$102,MATCH(ROUND(Uzman_E!D$4,1),Tablo_E!$A$2:$A$102,1),MATCH(ROUND(N73,1),Tablo_E!$B$1:$CX$1,1)))</f>
        <v>0</v>
      </c>
      <c r="P73" s="55"/>
      <c r="Q73" s="60">
        <f>IF(ISBLANK(P73),0,ABS(Uzman_E!E$4-P73))</f>
        <v>0</v>
      </c>
      <c r="R73" s="64">
        <f>IF(ISBLANK(P73),0,INDEX(Tablo_E!$B$2:$CX$102,MATCH(ROUND(Uzman_E!B$4,1),Tablo_E!$A$2:$A$102,1),MATCH(ROUND(Q73,1),Tablo_E!$B$1:$CX$1,1)))</f>
        <v>0</v>
      </c>
      <c r="S73" s="53">
        <f t="shared" si="2"/>
        <v>0</v>
      </c>
      <c r="T73" s="49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x14ac:dyDescent="0.45">
      <c r="A74" s="54">
        <v>71</v>
      </c>
      <c r="B74" s="146">
        <f>Hakemler!B74</f>
        <v>0</v>
      </c>
      <c r="C74" s="147">
        <f>Hakemler!C74</f>
        <v>0</v>
      </c>
      <c r="D74" s="55"/>
      <c r="E74" s="63">
        <f>IF(ISBLANK(D74),0,ABS(Uzman_E!A$4-D74))</f>
        <v>0</v>
      </c>
      <c r="F74" s="64">
        <f>IF(ISBLANK(D74),0,INDEX(Tablo_E!$B$2:$CX$102,MATCH(ROUND(Uzman_E!A$4,1),Tablo_E!$A$2:$A$102,1),MATCH(ROUND(E74,1),Tablo_E!$B$1:$CX$1,1)))</f>
        <v>0</v>
      </c>
      <c r="G74" s="55"/>
      <c r="H74" s="60">
        <f>IF(ISBLANK(G74),0,ABS(Uzman_E!B$4-G74))</f>
        <v>0</v>
      </c>
      <c r="I74" s="64">
        <f>IF(ISBLANK(G74),0,INDEX(Tablo_E!$B$2:$CX$102,MATCH(ROUND(Uzman_E!B$4,1),Tablo_E!$A$2:$A$102,1),MATCH(ROUND(H74,1),Tablo_E!$B$1:$CX$1,1)))</f>
        <v>0</v>
      </c>
      <c r="J74" s="55"/>
      <c r="K74" s="63">
        <f>IF(ISBLANK(J74),0,ABS(Uzman_E!C$4-J74))</f>
        <v>0</v>
      </c>
      <c r="L74" s="64">
        <f>IF(ISBLANK(J74),0,INDEX(Tablo_E!$B$2:$CX$102,MATCH(ROUND(Uzman_E!C$4,1),Tablo_E!$A$2:$A$102,1),MATCH(ROUND(K74,1),Tablo_E!$B$1:$CX$1,1)))</f>
        <v>0</v>
      </c>
      <c r="M74" s="55"/>
      <c r="N74" s="63">
        <f>IF(ISBLANK(M74),0,ABS(Uzman_E!D$4-M74))</f>
        <v>0</v>
      </c>
      <c r="O74" s="64">
        <f>IF(ISBLANK(M74),0,INDEX(Tablo_E!$B$2:$CX$102,MATCH(ROUND(Uzman_E!D$4,1),Tablo_E!$A$2:$A$102,1),MATCH(ROUND(N74,1),Tablo_E!$B$1:$CX$1,1)))</f>
        <v>0</v>
      </c>
      <c r="P74" s="55"/>
      <c r="Q74" s="60">
        <f>IF(ISBLANK(P74),0,ABS(Uzman_E!E$4-P74))</f>
        <v>0</v>
      </c>
      <c r="R74" s="64">
        <f>IF(ISBLANK(P74),0,INDEX(Tablo_E!$B$2:$CX$102,MATCH(ROUND(Uzman_E!B$4,1),Tablo_E!$A$2:$A$102,1),MATCH(ROUND(Q74,1),Tablo_E!$B$1:$CX$1,1)))</f>
        <v>0</v>
      </c>
      <c r="S74" s="53">
        <f t="shared" si="2"/>
        <v>0</v>
      </c>
      <c r="T74" s="49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x14ac:dyDescent="0.45">
      <c r="A75" s="54">
        <v>72</v>
      </c>
      <c r="B75" s="146">
        <f>Hakemler!B75</f>
        <v>0</v>
      </c>
      <c r="C75" s="147">
        <f>Hakemler!C75</f>
        <v>0</v>
      </c>
      <c r="D75" s="55"/>
      <c r="E75" s="63">
        <f>IF(ISBLANK(D75),0,ABS(Uzman_E!A$4-D75))</f>
        <v>0</v>
      </c>
      <c r="F75" s="64">
        <f>IF(ISBLANK(D75),0,INDEX(Tablo_E!$B$2:$CX$102,MATCH(ROUND(Uzman_E!A$4,1),Tablo_E!$A$2:$A$102,1),MATCH(ROUND(E75,1),Tablo_E!$B$1:$CX$1,1)))</f>
        <v>0</v>
      </c>
      <c r="G75" s="55"/>
      <c r="H75" s="60">
        <f>IF(ISBLANK(G75),0,ABS(Uzman_E!B$4-G75))</f>
        <v>0</v>
      </c>
      <c r="I75" s="64">
        <f>IF(ISBLANK(G75),0,INDEX(Tablo_E!$B$2:$CX$102,MATCH(ROUND(Uzman_E!B$4,1),Tablo_E!$A$2:$A$102,1),MATCH(ROUND(H75,1),Tablo_E!$B$1:$CX$1,1)))</f>
        <v>0</v>
      </c>
      <c r="J75" s="55"/>
      <c r="K75" s="63">
        <f>IF(ISBLANK(J75),0,ABS(Uzman_E!C$4-J75))</f>
        <v>0</v>
      </c>
      <c r="L75" s="64">
        <f>IF(ISBLANK(J75),0,INDEX(Tablo_E!$B$2:$CX$102,MATCH(ROUND(Uzman_E!C$4,1),Tablo_E!$A$2:$A$102,1),MATCH(ROUND(K75,1),Tablo_E!$B$1:$CX$1,1)))</f>
        <v>0</v>
      </c>
      <c r="M75" s="55"/>
      <c r="N75" s="63">
        <f>IF(ISBLANK(M75),0,ABS(Uzman_E!D$4-M75))</f>
        <v>0</v>
      </c>
      <c r="O75" s="64">
        <f>IF(ISBLANK(M75),0,INDEX(Tablo_E!$B$2:$CX$102,MATCH(ROUND(Uzman_E!D$4,1),Tablo_E!$A$2:$A$102,1),MATCH(ROUND(N75,1),Tablo_E!$B$1:$CX$1,1)))</f>
        <v>0</v>
      </c>
      <c r="P75" s="55"/>
      <c r="Q75" s="60">
        <f>IF(ISBLANK(P75),0,ABS(Uzman_E!E$4-P75))</f>
        <v>0</v>
      </c>
      <c r="R75" s="64">
        <f>IF(ISBLANK(P75),0,INDEX(Tablo_E!$B$2:$CX$102,MATCH(ROUND(Uzman_E!B$4,1),Tablo_E!$A$2:$A$102,1),MATCH(ROUND(Q75,1),Tablo_E!$B$1:$CX$1,1)))</f>
        <v>0</v>
      </c>
      <c r="S75" s="53">
        <f t="shared" si="2"/>
        <v>0</v>
      </c>
      <c r="T75" s="49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x14ac:dyDescent="0.45">
      <c r="A76" s="54">
        <v>73</v>
      </c>
      <c r="B76" s="146">
        <f>Hakemler!B76</f>
        <v>0</v>
      </c>
      <c r="C76" s="147">
        <f>Hakemler!C76</f>
        <v>0</v>
      </c>
      <c r="D76" s="55"/>
      <c r="E76" s="63">
        <f>IF(ISBLANK(D76),0,ABS(Uzman_E!A$4-D76))</f>
        <v>0</v>
      </c>
      <c r="F76" s="64">
        <f>IF(ISBLANK(D76),0,INDEX(Tablo_E!$B$2:$CX$102,MATCH(ROUND(Uzman_E!A$4,1),Tablo_E!$A$2:$A$102,1),MATCH(ROUND(E76,1),Tablo_E!$B$1:$CX$1,1)))</f>
        <v>0</v>
      </c>
      <c r="G76" s="55"/>
      <c r="H76" s="60">
        <f>IF(ISBLANK(G76),0,ABS(Uzman_E!B$4-G76))</f>
        <v>0</v>
      </c>
      <c r="I76" s="64">
        <f>IF(ISBLANK(G76),0,INDEX(Tablo_E!$B$2:$CX$102,MATCH(ROUND(Uzman_E!B$4,1),Tablo_E!$A$2:$A$102,1),MATCH(ROUND(H76,1),Tablo_E!$B$1:$CX$1,1)))</f>
        <v>0</v>
      </c>
      <c r="J76" s="55"/>
      <c r="K76" s="63">
        <f>IF(ISBLANK(J76),0,ABS(Uzman_E!C$4-J76))</f>
        <v>0</v>
      </c>
      <c r="L76" s="64">
        <f>IF(ISBLANK(J76),0,INDEX(Tablo_E!$B$2:$CX$102,MATCH(ROUND(Uzman_E!C$4,1),Tablo_E!$A$2:$A$102,1),MATCH(ROUND(K76,1),Tablo_E!$B$1:$CX$1,1)))</f>
        <v>0</v>
      </c>
      <c r="M76" s="55"/>
      <c r="N76" s="63">
        <f>IF(ISBLANK(M76),0,ABS(Uzman_E!D$4-M76))</f>
        <v>0</v>
      </c>
      <c r="O76" s="64">
        <f>IF(ISBLANK(M76),0,INDEX(Tablo_E!$B$2:$CX$102,MATCH(ROUND(Uzman_E!D$4,1),Tablo_E!$A$2:$A$102,1),MATCH(ROUND(N76,1),Tablo_E!$B$1:$CX$1,1)))</f>
        <v>0</v>
      </c>
      <c r="P76" s="55"/>
      <c r="Q76" s="60">
        <f>IF(ISBLANK(P76),0,ABS(Uzman_E!E$4-P76))</f>
        <v>0</v>
      </c>
      <c r="R76" s="64">
        <f>IF(ISBLANK(P76),0,INDEX(Tablo_E!$B$2:$CX$102,MATCH(ROUND(Uzman_E!B$4,1),Tablo_E!$A$2:$A$102,1),MATCH(ROUND(Q76,1),Tablo_E!$B$1:$CX$1,1)))</f>
        <v>0</v>
      </c>
      <c r="S76" s="53">
        <f t="shared" si="2"/>
        <v>0</v>
      </c>
      <c r="T76" s="49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x14ac:dyDescent="0.45">
      <c r="A77" s="54">
        <v>74</v>
      </c>
      <c r="B77" s="146">
        <f>Hakemler!B77</f>
        <v>0</v>
      </c>
      <c r="C77" s="147">
        <f>Hakemler!C77</f>
        <v>0</v>
      </c>
      <c r="D77" s="55"/>
      <c r="E77" s="63">
        <f>IF(ISBLANK(D77),0,ABS(Uzman_E!A$4-D77))</f>
        <v>0</v>
      </c>
      <c r="F77" s="64">
        <f>IF(ISBLANK(D77),0,INDEX(Tablo_E!$B$2:$CX$102,MATCH(ROUND(Uzman_E!A$4,1),Tablo_E!$A$2:$A$102,1),MATCH(ROUND(E77,1),Tablo_E!$B$1:$CX$1,1)))</f>
        <v>0</v>
      </c>
      <c r="G77" s="55"/>
      <c r="H77" s="60">
        <f>IF(ISBLANK(G77),0,ABS(Uzman_E!B$4-G77))</f>
        <v>0</v>
      </c>
      <c r="I77" s="64">
        <f>IF(ISBLANK(G77),0,INDEX(Tablo_E!$B$2:$CX$102,MATCH(ROUND(Uzman_E!B$4,1),Tablo_E!$A$2:$A$102,1),MATCH(ROUND(H77,1),Tablo_E!$B$1:$CX$1,1)))</f>
        <v>0</v>
      </c>
      <c r="J77" s="55"/>
      <c r="K77" s="63">
        <f>IF(ISBLANK(J77),0,ABS(Uzman_E!C$4-J77))</f>
        <v>0</v>
      </c>
      <c r="L77" s="64">
        <f>IF(ISBLANK(J77),0,INDEX(Tablo_E!$B$2:$CX$102,MATCH(ROUND(Uzman_E!C$4,1),Tablo_E!$A$2:$A$102,1),MATCH(ROUND(K77,1),Tablo_E!$B$1:$CX$1,1)))</f>
        <v>0</v>
      </c>
      <c r="M77" s="55"/>
      <c r="N77" s="63">
        <f>IF(ISBLANK(M77),0,ABS(Uzman_E!D$4-M77))</f>
        <v>0</v>
      </c>
      <c r="O77" s="64">
        <f>IF(ISBLANK(M77),0,INDEX(Tablo_E!$B$2:$CX$102,MATCH(ROUND(Uzman_E!D$4,1),Tablo_E!$A$2:$A$102,1),MATCH(ROUND(N77,1),Tablo_E!$B$1:$CX$1,1)))</f>
        <v>0</v>
      </c>
      <c r="P77" s="55"/>
      <c r="Q77" s="60">
        <f>IF(ISBLANK(P77),0,ABS(Uzman_E!E$4-P77))</f>
        <v>0</v>
      </c>
      <c r="R77" s="64">
        <f>IF(ISBLANK(P77),0,INDEX(Tablo_E!$B$2:$CX$102,MATCH(ROUND(Uzman_E!B$4,1),Tablo_E!$A$2:$A$102,1),MATCH(ROUND(Q77,1),Tablo_E!$B$1:$CX$1,1)))</f>
        <v>0</v>
      </c>
      <c r="S77" s="53">
        <f t="shared" si="2"/>
        <v>0</v>
      </c>
      <c r="T77" s="49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x14ac:dyDescent="0.45">
      <c r="A78" s="54">
        <v>75</v>
      </c>
      <c r="B78" s="146">
        <f>Hakemler!B78</f>
        <v>0</v>
      </c>
      <c r="C78" s="147">
        <f>Hakemler!C78</f>
        <v>0</v>
      </c>
      <c r="D78" s="55"/>
      <c r="E78" s="63">
        <f>IF(ISBLANK(D78),0,ABS(Uzman_E!A$4-D78))</f>
        <v>0</v>
      </c>
      <c r="F78" s="64">
        <f>IF(ISBLANK(D78),0,INDEX(Tablo_E!$B$2:$CX$102,MATCH(ROUND(Uzman_E!A$4,1),Tablo_E!$A$2:$A$102,1),MATCH(ROUND(E78,1),Tablo_E!$B$1:$CX$1,1)))</f>
        <v>0</v>
      </c>
      <c r="G78" s="55"/>
      <c r="H78" s="60">
        <f>IF(ISBLANK(G78),0,ABS(Uzman_E!B$4-G78))</f>
        <v>0</v>
      </c>
      <c r="I78" s="64">
        <f>IF(ISBLANK(G78),0,INDEX(Tablo_E!$B$2:$CX$102,MATCH(ROUND(Uzman_E!B$4,1),Tablo_E!$A$2:$A$102,1),MATCH(ROUND(H78,1),Tablo_E!$B$1:$CX$1,1)))</f>
        <v>0</v>
      </c>
      <c r="J78" s="55"/>
      <c r="K78" s="63">
        <f>IF(ISBLANK(J78),0,ABS(Uzman_E!C$4-J78))</f>
        <v>0</v>
      </c>
      <c r="L78" s="64">
        <f>IF(ISBLANK(J78),0,INDEX(Tablo_E!$B$2:$CX$102,MATCH(ROUND(Uzman_E!C$4,1),Tablo_E!$A$2:$A$102,1),MATCH(ROUND(K78,1),Tablo_E!$B$1:$CX$1,1)))</f>
        <v>0</v>
      </c>
      <c r="M78" s="55"/>
      <c r="N78" s="63">
        <f>IF(ISBLANK(M78),0,ABS(Uzman_E!D$4-M78))</f>
        <v>0</v>
      </c>
      <c r="O78" s="64">
        <f>IF(ISBLANK(M78),0,INDEX(Tablo_E!$B$2:$CX$102,MATCH(ROUND(Uzman_E!D$4,1),Tablo_E!$A$2:$A$102,1),MATCH(ROUND(N78,1),Tablo_E!$B$1:$CX$1,1)))</f>
        <v>0</v>
      </c>
      <c r="P78" s="55"/>
      <c r="Q78" s="60">
        <f>IF(ISBLANK(P78),0,ABS(Uzman_E!E$4-P78))</f>
        <v>0</v>
      </c>
      <c r="R78" s="64">
        <f>IF(ISBLANK(P78),0,INDEX(Tablo_E!$B$2:$CX$102,MATCH(ROUND(Uzman_E!B$4,1),Tablo_E!$A$2:$A$102,1),MATCH(ROUND(Q78,1),Tablo_E!$B$1:$CX$1,1)))</f>
        <v>0</v>
      </c>
      <c r="S78" s="53">
        <f t="shared" si="2"/>
        <v>0</v>
      </c>
      <c r="T78" s="49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x14ac:dyDescent="0.45">
      <c r="A79" s="54">
        <v>76</v>
      </c>
      <c r="B79" s="146">
        <f>Hakemler!B79</f>
        <v>0</v>
      </c>
      <c r="C79" s="147">
        <f>Hakemler!C79</f>
        <v>0</v>
      </c>
      <c r="D79" s="55"/>
      <c r="E79" s="63">
        <f>IF(ISBLANK(D79),0,ABS(Uzman_E!A$4-D79))</f>
        <v>0</v>
      </c>
      <c r="F79" s="64">
        <f>IF(ISBLANK(D79),0,INDEX(Tablo_E!$B$2:$CX$102,MATCH(ROUND(Uzman_E!A$4,1),Tablo_E!$A$2:$A$102,1),MATCH(ROUND(E79,1),Tablo_E!$B$1:$CX$1,1)))</f>
        <v>0</v>
      </c>
      <c r="G79" s="55"/>
      <c r="H79" s="60">
        <f>IF(ISBLANK(G79),0,ABS(Uzman_E!B$4-G79))</f>
        <v>0</v>
      </c>
      <c r="I79" s="64">
        <f>IF(ISBLANK(G79),0,INDEX(Tablo_E!$B$2:$CX$102,MATCH(ROUND(Uzman_E!B$4,1),Tablo_E!$A$2:$A$102,1),MATCH(ROUND(H79,1),Tablo_E!$B$1:$CX$1,1)))</f>
        <v>0</v>
      </c>
      <c r="J79" s="55"/>
      <c r="K79" s="63">
        <f>IF(ISBLANK(J79),0,ABS(Uzman_E!C$4-J79))</f>
        <v>0</v>
      </c>
      <c r="L79" s="64">
        <f>IF(ISBLANK(J79),0,INDEX(Tablo_E!$B$2:$CX$102,MATCH(ROUND(Uzman_E!C$4,1),Tablo_E!$A$2:$A$102,1),MATCH(ROUND(K79,1),Tablo_E!$B$1:$CX$1,1)))</f>
        <v>0</v>
      </c>
      <c r="M79" s="55"/>
      <c r="N79" s="63">
        <f>IF(ISBLANK(M79),0,ABS(Uzman_E!D$4-M79))</f>
        <v>0</v>
      </c>
      <c r="O79" s="64">
        <f>IF(ISBLANK(M79),0,INDEX(Tablo_E!$B$2:$CX$102,MATCH(ROUND(Uzman_E!D$4,1),Tablo_E!$A$2:$A$102,1),MATCH(ROUND(N79,1),Tablo_E!$B$1:$CX$1,1)))</f>
        <v>0</v>
      </c>
      <c r="P79" s="55"/>
      <c r="Q79" s="60">
        <f>IF(ISBLANK(P79),0,ABS(Uzman_E!E$4-P79))</f>
        <v>0</v>
      </c>
      <c r="R79" s="64">
        <f>IF(ISBLANK(P79),0,INDEX(Tablo_E!$B$2:$CX$102,MATCH(ROUND(Uzman_E!B$4,1),Tablo_E!$A$2:$A$102,1),MATCH(ROUND(Q79,1),Tablo_E!$B$1:$CX$1,1)))</f>
        <v>0</v>
      </c>
      <c r="S79" s="53">
        <f t="shared" si="2"/>
        <v>0</v>
      </c>
      <c r="T79" s="49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x14ac:dyDescent="0.45">
      <c r="A80" s="54">
        <v>77</v>
      </c>
      <c r="B80" s="146">
        <f>Hakemler!B80</f>
        <v>0</v>
      </c>
      <c r="C80" s="147">
        <f>Hakemler!C80</f>
        <v>0</v>
      </c>
      <c r="D80" s="55"/>
      <c r="E80" s="63">
        <f>IF(ISBLANK(D80),0,ABS(Uzman_E!A$4-D80))</f>
        <v>0</v>
      </c>
      <c r="F80" s="64">
        <f>IF(ISBLANK(D80),0,INDEX(Tablo_E!$B$2:$CX$102,MATCH(ROUND(Uzman_E!A$4,1),Tablo_E!$A$2:$A$102,1),MATCH(ROUND(E80,1),Tablo_E!$B$1:$CX$1,1)))</f>
        <v>0</v>
      </c>
      <c r="G80" s="55"/>
      <c r="H80" s="60">
        <f>IF(ISBLANK(G80),0,ABS(Uzman_E!B$4-G80))</f>
        <v>0</v>
      </c>
      <c r="I80" s="64">
        <f>IF(ISBLANK(G80),0,INDEX(Tablo_E!$B$2:$CX$102,MATCH(ROUND(Uzman_E!B$4,1),Tablo_E!$A$2:$A$102,1),MATCH(ROUND(H80,1),Tablo_E!$B$1:$CX$1,1)))</f>
        <v>0</v>
      </c>
      <c r="J80" s="55"/>
      <c r="K80" s="63">
        <f>IF(ISBLANK(J80),0,ABS(Uzman_E!C$4-J80))</f>
        <v>0</v>
      </c>
      <c r="L80" s="64">
        <f>IF(ISBLANK(J80),0,INDEX(Tablo_E!$B$2:$CX$102,MATCH(ROUND(Uzman_E!C$4,1),Tablo_E!$A$2:$A$102,1),MATCH(ROUND(K80,1),Tablo_E!$B$1:$CX$1,1)))</f>
        <v>0</v>
      </c>
      <c r="M80" s="55"/>
      <c r="N80" s="63">
        <f>IF(ISBLANK(M80),0,ABS(Uzman_E!D$4-M80))</f>
        <v>0</v>
      </c>
      <c r="O80" s="64">
        <f>IF(ISBLANK(M80),0,INDEX(Tablo_E!$B$2:$CX$102,MATCH(ROUND(Uzman_E!D$4,1),Tablo_E!$A$2:$A$102,1),MATCH(ROUND(N80,1),Tablo_E!$B$1:$CX$1,1)))</f>
        <v>0</v>
      </c>
      <c r="P80" s="55"/>
      <c r="Q80" s="60">
        <f>IF(ISBLANK(P80),0,ABS(Uzman_E!E$4-P80))</f>
        <v>0</v>
      </c>
      <c r="R80" s="64">
        <f>IF(ISBLANK(P80),0,INDEX(Tablo_E!$B$2:$CX$102,MATCH(ROUND(Uzman_E!B$4,1),Tablo_E!$A$2:$A$102,1),MATCH(ROUND(Q80,1),Tablo_E!$B$1:$CX$1,1)))</f>
        <v>0</v>
      </c>
      <c r="S80" s="53">
        <f t="shared" si="2"/>
        <v>0</v>
      </c>
      <c r="T80" s="49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x14ac:dyDescent="0.45">
      <c r="A81" s="54">
        <v>78</v>
      </c>
      <c r="B81" s="146">
        <f>Hakemler!B81</f>
        <v>0</v>
      </c>
      <c r="C81" s="147">
        <f>Hakemler!C81</f>
        <v>0</v>
      </c>
      <c r="D81" s="55"/>
      <c r="E81" s="63">
        <f>IF(ISBLANK(D81),0,ABS(Uzman_E!A$4-D81))</f>
        <v>0</v>
      </c>
      <c r="F81" s="64">
        <f>IF(ISBLANK(D81),0,INDEX(Tablo_E!$B$2:$CX$102,MATCH(ROUND(Uzman_E!A$4,1),Tablo_E!$A$2:$A$102,1),MATCH(ROUND(E81,1),Tablo_E!$B$1:$CX$1,1)))</f>
        <v>0</v>
      </c>
      <c r="G81" s="55"/>
      <c r="H81" s="60">
        <f>IF(ISBLANK(G81),0,ABS(Uzman_E!B$4-G81))</f>
        <v>0</v>
      </c>
      <c r="I81" s="64">
        <f>IF(ISBLANK(G81),0,INDEX(Tablo_E!$B$2:$CX$102,MATCH(ROUND(Uzman_E!B$4,1),Tablo_E!$A$2:$A$102,1),MATCH(ROUND(H81,1),Tablo_E!$B$1:$CX$1,1)))</f>
        <v>0</v>
      </c>
      <c r="J81" s="55"/>
      <c r="K81" s="63">
        <f>IF(ISBLANK(J81),0,ABS(Uzman_E!C$4-J81))</f>
        <v>0</v>
      </c>
      <c r="L81" s="64">
        <f>IF(ISBLANK(J81),0,INDEX(Tablo_E!$B$2:$CX$102,MATCH(ROUND(Uzman_E!C$4,1),Tablo_E!$A$2:$A$102,1),MATCH(ROUND(K81,1),Tablo_E!$B$1:$CX$1,1)))</f>
        <v>0</v>
      </c>
      <c r="M81" s="55"/>
      <c r="N81" s="63">
        <f>IF(ISBLANK(M81),0,ABS(Uzman_E!D$4-M81))</f>
        <v>0</v>
      </c>
      <c r="O81" s="64">
        <f>IF(ISBLANK(M81),0,INDEX(Tablo_E!$B$2:$CX$102,MATCH(ROUND(Uzman_E!D$4,1),Tablo_E!$A$2:$A$102,1),MATCH(ROUND(N81,1),Tablo_E!$B$1:$CX$1,1)))</f>
        <v>0</v>
      </c>
      <c r="P81" s="55"/>
      <c r="Q81" s="60">
        <f>IF(ISBLANK(P81),0,ABS(Uzman_E!E$4-P81))</f>
        <v>0</v>
      </c>
      <c r="R81" s="64">
        <f>IF(ISBLANK(P81),0,INDEX(Tablo_E!$B$2:$CX$102,MATCH(ROUND(Uzman_E!B$4,1),Tablo_E!$A$2:$A$102,1),MATCH(ROUND(Q81,1),Tablo_E!$B$1:$CX$1,1)))</f>
        <v>0</v>
      </c>
      <c r="S81" s="53">
        <f t="shared" si="2"/>
        <v>0</v>
      </c>
      <c r="T81" s="49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x14ac:dyDescent="0.45">
      <c r="A82" s="54">
        <v>79</v>
      </c>
      <c r="B82" s="146">
        <f>Hakemler!B82</f>
        <v>0</v>
      </c>
      <c r="C82" s="147">
        <f>Hakemler!C82</f>
        <v>0</v>
      </c>
      <c r="D82" s="55"/>
      <c r="E82" s="63">
        <f>IF(ISBLANK(D82),0,ABS(Uzman_E!A$4-D82))</f>
        <v>0</v>
      </c>
      <c r="F82" s="64">
        <f>IF(ISBLANK(D82),0,INDEX(Tablo_E!$B$2:$CX$102,MATCH(ROUND(Uzman_E!A$4,1),Tablo_E!$A$2:$A$102,1),MATCH(ROUND(E82,1),Tablo_E!$B$1:$CX$1,1)))</f>
        <v>0</v>
      </c>
      <c r="G82" s="55"/>
      <c r="H82" s="60">
        <f>IF(ISBLANK(G82),0,ABS(Uzman_E!B$4-G82))</f>
        <v>0</v>
      </c>
      <c r="I82" s="64">
        <f>IF(ISBLANK(G82),0,INDEX(Tablo_E!$B$2:$CX$102,MATCH(ROUND(Uzman_E!B$4,1),Tablo_E!$A$2:$A$102,1),MATCH(ROUND(H82,1),Tablo_E!$B$1:$CX$1,1)))</f>
        <v>0</v>
      </c>
      <c r="J82" s="55"/>
      <c r="K82" s="63">
        <f>IF(ISBLANK(J82),0,ABS(Uzman_E!C$4-J82))</f>
        <v>0</v>
      </c>
      <c r="L82" s="64">
        <f>IF(ISBLANK(J82),0,INDEX(Tablo_E!$B$2:$CX$102,MATCH(ROUND(Uzman_E!C$4,1),Tablo_E!$A$2:$A$102,1),MATCH(ROUND(K82,1),Tablo_E!$B$1:$CX$1,1)))</f>
        <v>0</v>
      </c>
      <c r="M82" s="55"/>
      <c r="N82" s="63">
        <f>IF(ISBLANK(M82),0,ABS(Uzman_E!D$4-M82))</f>
        <v>0</v>
      </c>
      <c r="O82" s="64">
        <f>IF(ISBLANK(M82),0,INDEX(Tablo_E!$B$2:$CX$102,MATCH(ROUND(Uzman_E!D$4,1),Tablo_E!$A$2:$A$102,1),MATCH(ROUND(N82,1),Tablo_E!$B$1:$CX$1,1)))</f>
        <v>0</v>
      </c>
      <c r="P82" s="55"/>
      <c r="Q82" s="60">
        <f>IF(ISBLANK(P82),0,ABS(Uzman_E!E$4-P82))</f>
        <v>0</v>
      </c>
      <c r="R82" s="64">
        <f>IF(ISBLANK(P82),0,INDEX(Tablo_E!$B$2:$CX$102,MATCH(ROUND(Uzman_E!B$4,1),Tablo_E!$A$2:$A$102,1),MATCH(ROUND(Q82,1),Tablo_E!$B$1:$CX$1,1)))</f>
        <v>0</v>
      </c>
      <c r="S82" s="53">
        <f t="shared" si="2"/>
        <v>0</v>
      </c>
      <c r="T82" s="49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x14ac:dyDescent="0.45">
      <c r="A83" s="54">
        <v>80</v>
      </c>
      <c r="B83" s="146">
        <f>Hakemler!B83</f>
        <v>0</v>
      </c>
      <c r="C83" s="147">
        <f>Hakemler!C83</f>
        <v>0</v>
      </c>
      <c r="D83" s="55"/>
      <c r="E83" s="63">
        <f>IF(ISBLANK(D83),0,ABS(Uzman_E!A$4-D83))</f>
        <v>0</v>
      </c>
      <c r="F83" s="64">
        <f>IF(ISBLANK(D83),0,INDEX(Tablo_E!$B$2:$CX$102,MATCH(ROUND(Uzman_E!A$4,1),Tablo_E!$A$2:$A$102,1),MATCH(ROUND(E83,1),Tablo_E!$B$1:$CX$1,1)))</f>
        <v>0</v>
      </c>
      <c r="G83" s="55"/>
      <c r="H83" s="60">
        <f>IF(ISBLANK(G83),0,ABS(Uzman_E!B$4-G83))</f>
        <v>0</v>
      </c>
      <c r="I83" s="64">
        <f>IF(ISBLANK(G83),0,INDEX(Tablo_E!$B$2:$CX$102,MATCH(ROUND(Uzman_E!B$4,1),Tablo_E!$A$2:$A$102,1),MATCH(ROUND(H83,1),Tablo_E!$B$1:$CX$1,1)))</f>
        <v>0</v>
      </c>
      <c r="J83" s="55"/>
      <c r="K83" s="63">
        <f>IF(ISBLANK(J83),0,ABS(Uzman_E!C$4-J83))</f>
        <v>0</v>
      </c>
      <c r="L83" s="64">
        <f>IF(ISBLANK(J83),0,INDEX(Tablo_E!$B$2:$CX$102,MATCH(ROUND(Uzman_E!C$4,1),Tablo_E!$A$2:$A$102,1),MATCH(ROUND(K83,1),Tablo_E!$B$1:$CX$1,1)))</f>
        <v>0</v>
      </c>
      <c r="M83" s="55"/>
      <c r="N83" s="63">
        <f>IF(ISBLANK(M83),0,ABS(Uzman_E!D$4-M83))</f>
        <v>0</v>
      </c>
      <c r="O83" s="64">
        <f>IF(ISBLANK(M83),0,INDEX(Tablo_E!$B$2:$CX$102,MATCH(ROUND(Uzman_E!D$4,1),Tablo_E!$A$2:$A$102,1),MATCH(ROUND(N83,1),Tablo_E!$B$1:$CX$1,1)))</f>
        <v>0</v>
      </c>
      <c r="P83" s="55"/>
      <c r="Q83" s="60">
        <f>IF(ISBLANK(P83),0,ABS(Uzman_E!E$4-P83))</f>
        <v>0</v>
      </c>
      <c r="R83" s="64">
        <f>IF(ISBLANK(P83),0,INDEX(Tablo_E!$B$2:$CX$102,MATCH(ROUND(Uzman_E!B$4,1),Tablo_E!$A$2:$A$102,1),MATCH(ROUND(Q83,1),Tablo_E!$B$1:$CX$1,1)))</f>
        <v>0</v>
      </c>
      <c r="S83" s="53">
        <f t="shared" si="2"/>
        <v>0</v>
      </c>
      <c r="T83" s="49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x14ac:dyDescent="0.45">
      <c r="A84" s="54">
        <v>81</v>
      </c>
      <c r="B84" s="146">
        <f>Hakemler!B84</f>
        <v>0</v>
      </c>
      <c r="C84" s="147">
        <f>Hakemler!C84</f>
        <v>0</v>
      </c>
      <c r="D84" s="55"/>
      <c r="E84" s="63">
        <f>IF(ISBLANK(D84),0,ABS(Uzman_E!A$4-D84))</f>
        <v>0</v>
      </c>
      <c r="F84" s="64">
        <f>IF(ISBLANK(D84),0,INDEX(Tablo_E!$B$2:$CX$102,MATCH(ROUND(Uzman_E!A$4,1),Tablo_E!$A$2:$A$102,1),MATCH(ROUND(E84,1),Tablo_E!$B$1:$CX$1,1)))</f>
        <v>0</v>
      </c>
      <c r="G84" s="55"/>
      <c r="H84" s="60">
        <f>IF(ISBLANK(G84),0,ABS(Uzman_E!B$4-G84))</f>
        <v>0</v>
      </c>
      <c r="I84" s="64">
        <f>IF(ISBLANK(G84),0,INDEX(Tablo_E!$B$2:$CX$102,MATCH(ROUND(Uzman_E!B$4,1),Tablo_E!$A$2:$A$102,1),MATCH(ROUND(H84,1),Tablo_E!$B$1:$CX$1,1)))</f>
        <v>0</v>
      </c>
      <c r="J84" s="55"/>
      <c r="K84" s="63">
        <f>IF(ISBLANK(J84),0,ABS(Uzman_E!C$4-J84))</f>
        <v>0</v>
      </c>
      <c r="L84" s="64">
        <f>IF(ISBLANK(J84),0,INDEX(Tablo_E!$B$2:$CX$102,MATCH(ROUND(Uzman_E!C$4,1),Tablo_E!$A$2:$A$102,1),MATCH(ROUND(K84,1),Tablo_E!$B$1:$CX$1,1)))</f>
        <v>0</v>
      </c>
      <c r="M84" s="55"/>
      <c r="N84" s="63">
        <f>IF(ISBLANK(M84),0,ABS(Uzman_E!D$4-M84))</f>
        <v>0</v>
      </c>
      <c r="O84" s="64">
        <f>IF(ISBLANK(M84),0,INDEX(Tablo_E!$B$2:$CX$102,MATCH(ROUND(Uzman_E!D$4,1),Tablo_E!$A$2:$A$102,1),MATCH(ROUND(N84,1),Tablo_E!$B$1:$CX$1,1)))</f>
        <v>0</v>
      </c>
      <c r="P84" s="55"/>
      <c r="Q84" s="60">
        <f>IF(ISBLANK(P84),0,ABS(Uzman_E!E$4-P84))</f>
        <v>0</v>
      </c>
      <c r="R84" s="64">
        <f>IF(ISBLANK(P84),0,INDEX(Tablo_E!$B$2:$CX$102,MATCH(ROUND(Uzman_E!B$4,1),Tablo_E!$A$2:$A$102,1),MATCH(ROUND(Q84,1),Tablo_E!$B$1:$CX$1,1)))</f>
        <v>0</v>
      </c>
      <c r="S84" s="53">
        <f t="shared" si="2"/>
        <v>0</v>
      </c>
      <c r="T84" s="49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x14ac:dyDescent="0.45">
      <c r="A85" s="54">
        <v>82</v>
      </c>
      <c r="B85" s="146">
        <f>Hakemler!B85</f>
        <v>0</v>
      </c>
      <c r="C85" s="147">
        <f>Hakemler!C85</f>
        <v>0</v>
      </c>
      <c r="D85" s="55"/>
      <c r="E85" s="63">
        <f>IF(ISBLANK(D85),0,ABS(Uzman_E!A$4-D85))</f>
        <v>0</v>
      </c>
      <c r="F85" s="64">
        <f>IF(ISBLANK(D85),0,INDEX(Tablo_E!$B$2:$CX$102,MATCH(ROUND(Uzman_E!A$4,1),Tablo_E!$A$2:$A$102,1),MATCH(ROUND(E85,1),Tablo_E!$B$1:$CX$1,1)))</f>
        <v>0</v>
      </c>
      <c r="G85" s="55"/>
      <c r="H85" s="60">
        <f>IF(ISBLANK(G85),0,ABS(Uzman_E!B$4-G85))</f>
        <v>0</v>
      </c>
      <c r="I85" s="64">
        <f>IF(ISBLANK(G85),0,INDEX(Tablo_E!$B$2:$CX$102,MATCH(ROUND(Uzman_E!B$4,1),Tablo_E!$A$2:$A$102,1),MATCH(ROUND(H85,1),Tablo_E!$B$1:$CX$1,1)))</f>
        <v>0</v>
      </c>
      <c r="J85" s="55"/>
      <c r="K85" s="63">
        <f>IF(ISBLANK(J85),0,ABS(Uzman_E!C$4-J85))</f>
        <v>0</v>
      </c>
      <c r="L85" s="64">
        <f>IF(ISBLANK(J85),0,INDEX(Tablo_E!$B$2:$CX$102,MATCH(ROUND(Uzman_E!C$4,1),Tablo_E!$A$2:$A$102,1),MATCH(ROUND(K85,1),Tablo_E!$B$1:$CX$1,1)))</f>
        <v>0</v>
      </c>
      <c r="M85" s="55"/>
      <c r="N85" s="63">
        <f>IF(ISBLANK(M85),0,ABS(Uzman_E!D$4-M85))</f>
        <v>0</v>
      </c>
      <c r="O85" s="64">
        <f>IF(ISBLANK(M85),0,INDEX(Tablo_E!$B$2:$CX$102,MATCH(ROUND(Uzman_E!D$4,1),Tablo_E!$A$2:$A$102,1),MATCH(ROUND(N85,1),Tablo_E!$B$1:$CX$1,1)))</f>
        <v>0</v>
      </c>
      <c r="P85" s="55"/>
      <c r="Q85" s="60">
        <f>IF(ISBLANK(P85),0,ABS(Uzman_E!E$4-P85))</f>
        <v>0</v>
      </c>
      <c r="R85" s="64">
        <f>IF(ISBLANK(P85),0,INDEX(Tablo_E!$B$2:$CX$102,MATCH(ROUND(Uzman_E!B$4,1),Tablo_E!$A$2:$A$102,1),MATCH(ROUND(Q85,1),Tablo_E!$B$1:$CX$1,1)))</f>
        <v>0</v>
      </c>
      <c r="S85" s="53">
        <f t="shared" si="2"/>
        <v>0</v>
      </c>
      <c r="T85" s="49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x14ac:dyDescent="0.45">
      <c r="A86" s="54">
        <v>83</v>
      </c>
      <c r="B86" s="146">
        <f>Hakemler!B86</f>
        <v>0</v>
      </c>
      <c r="C86" s="147">
        <f>Hakemler!C86</f>
        <v>0</v>
      </c>
      <c r="D86" s="55"/>
      <c r="E86" s="63">
        <f>IF(ISBLANK(D86),0,ABS(Uzman_E!A$4-D86))</f>
        <v>0</v>
      </c>
      <c r="F86" s="64">
        <f>IF(ISBLANK(D86),0,INDEX(Tablo_E!$B$2:$CX$102,MATCH(ROUND(Uzman_E!A$4,1),Tablo_E!$A$2:$A$102,1),MATCH(ROUND(E86,1),Tablo_E!$B$1:$CX$1,1)))</f>
        <v>0</v>
      </c>
      <c r="G86" s="55"/>
      <c r="H86" s="60">
        <f>IF(ISBLANK(G86),0,ABS(Uzman_E!B$4-G86))</f>
        <v>0</v>
      </c>
      <c r="I86" s="64">
        <f>IF(ISBLANK(G86),0,INDEX(Tablo_E!$B$2:$CX$102,MATCH(ROUND(Uzman_E!B$4,1),Tablo_E!$A$2:$A$102,1),MATCH(ROUND(H86,1),Tablo_E!$B$1:$CX$1,1)))</f>
        <v>0</v>
      </c>
      <c r="J86" s="55"/>
      <c r="K86" s="63">
        <f>IF(ISBLANK(J86),0,ABS(Uzman_E!C$4-J86))</f>
        <v>0</v>
      </c>
      <c r="L86" s="64">
        <f>IF(ISBLANK(J86),0,INDEX(Tablo_E!$B$2:$CX$102,MATCH(ROUND(Uzman_E!C$4,1),Tablo_E!$A$2:$A$102,1),MATCH(ROUND(K86,1),Tablo_E!$B$1:$CX$1,1)))</f>
        <v>0</v>
      </c>
      <c r="M86" s="55"/>
      <c r="N86" s="63">
        <f>IF(ISBLANK(M86),0,ABS(Uzman_E!D$4-M86))</f>
        <v>0</v>
      </c>
      <c r="O86" s="64">
        <f>IF(ISBLANK(M86),0,INDEX(Tablo_E!$B$2:$CX$102,MATCH(ROUND(Uzman_E!D$4,1),Tablo_E!$A$2:$A$102,1),MATCH(ROUND(N86,1),Tablo_E!$B$1:$CX$1,1)))</f>
        <v>0</v>
      </c>
      <c r="P86" s="55"/>
      <c r="Q86" s="60">
        <f>IF(ISBLANK(P86),0,ABS(Uzman_E!E$4-P86))</f>
        <v>0</v>
      </c>
      <c r="R86" s="64">
        <f>IF(ISBLANK(P86),0,INDEX(Tablo_E!$B$2:$CX$102,MATCH(ROUND(Uzman_E!B$4,1),Tablo_E!$A$2:$A$102,1),MATCH(ROUND(Q86,1),Tablo_E!$B$1:$CX$1,1)))</f>
        <v>0</v>
      </c>
      <c r="S86" s="53">
        <f t="shared" si="2"/>
        <v>0</v>
      </c>
      <c r="T86" s="49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x14ac:dyDescent="0.45">
      <c r="A87" s="54">
        <v>84</v>
      </c>
      <c r="B87" s="146">
        <f>Hakemler!B87</f>
        <v>0</v>
      </c>
      <c r="C87" s="147">
        <f>Hakemler!C87</f>
        <v>0</v>
      </c>
      <c r="D87" s="55"/>
      <c r="E87" s="63">
        <f>IF(ISBLANK(D87),0,ABS(Uzman_E!A$4-D87))</f>
        <v>0</v>
      </c>
      <c r="F87" s="64">
        <f>IF(ISBLANK(D87),0,INDEX(Tablo_E!$B$2:$CX$102,MATCH(ROUND(Uzman_E!A$4,1),Tablo_E!$A$2:$A$102,1),MATCH(ROUND(E87,1),Tablo_E!$B$1:$CX$1,1)))</f>
        <v>0</v>
      </c>
      <c r="G87" s="55"/>
      <c r="H87" s="60">
        <f>IF(ISBLANK(G87),0,ABS(Uzman_E!B$4-G87))</f>
        <v>0</v>
      </c>
      <c r="I87" s="64">
        <f>IF(ISBLANK(G87),0,INDEX(Tablo_E!$B$2:$CX$102,MATCH(ROUND(Uzman_E!B$4,1),Tablo_E!$A$2:$A$102,1),MATCH(ROUND(H87,1),Tablo_E!$B$1:$CX$1,1)))</f>
        <v>0</v>
      </c>
      <c r="J87" s="55"/>
      <c r="K87" s="63">
        <f>IF(ISBLANK(J87),0,ABS(Uzman_E!C$4-J87))</f>
        <v>0</v>
      </c>
      <c r="L87" s="64">
        <f>IF(ISBLANK(J87),0,INDEX(Tablo_E!$B$2:$CX$102,MATCH(ROUND(Uzman_E!C$4,1),Tablo_E!$A$2:$A$102,1),MATCH(ROUND(K87,1),Tablo_E!$B$1:$CX$1,1)))</f>
        <v>0</v>
      </c>
      <c r="M87" s="55"/>
      <c r="N87" s="63">
        <f>IF(ISBLANK(M87),0,ABS(Uzman_E!D$4-M87))</f>
        <v>0</v>
      </c>
      <c r="O87" s="64">
        <f>IF(ISBLANK(M87),0,INDEX(Tablo_E!$B$2:$CX$102,MATCH(ROUND(Uzman_E!D$4,1),Tablo_E!$A$2:$A$102,1),MATCH(ROUND(N87,1),Tablo_E!$B$1:$CX$1,1)))</f>
        <v>0</v>
      </c>
      <c r="P87" s="55"/>
      <c r="Q87" s="60">
        <f>IF(ISBLANK(P87),0,ABS(Uzman_E!E$4-P87))</f>
        <v>0</v>
      </c>
      <c r="R87" s="64">
        <f>IF(ISBLANK(P87),0,INDEX(Tablo_E!$B$2:$CX$102,MATCH(ROUND(Uzman_E!B$4,1),Tablo_E!$A$2:$A$102,1),MATCH(ROUND(Q87,1),Tablo_E!$B$1:$CX$1,1)))</f>
        <v>0</v>
      </c>
      <c r="S87" s="53">
        <f t="shared" si="2"/>
        <v>0</v>
      </c>
      <c r="T87" s="49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x14ac:dyDescent="0.45">
      <c r="A88" s="54">
        <v>85</v>
      </c>
      <c r="B88" s="146">
        <f>Hakemler!B88</f>
        <v>0</v>
      </c>
      <c r="C88" s="147">
        <f>Hakemler!C88</f>
        <v>0</v>
      </c>
      <c r="D88" s="55"/>
      <c r="E88" s="63">
        <f>IF(ISBLANK(D88),0,ABS(Uzman_E!A$4-D88))</f>
        <v>0</v>
      </c>
      <c r="F88" s="64">
        <f>IF(ISBLANK(D88),0,INDEX(Tablo_E!$B$2:$CX$102,MATCH(ROUND(Uzman_E!A$4,1),Tablo_E!$A$2:$A$102,1),MATCH(ROUND(E88,1),Tablo_E!$B$1:$CX$1,1)))</f>
        <v>0</v>
      </c>
      <c r="G88" s="55"/>
      <c r="H88" s="60">
        <f>IF(ISBLANK(G88),0,ABS(Uzman_E!B$4-G88))</f>
        <v>0</v>
      </c>
      <c r="I88" s="64">
        <f>IF(ISBLANK(G88),0,INDEX(Tablo_E!$B$2:$CX$102,MATCH(ROUND(Uzman_E!B$4,1),Tablo_E!$A$2:$A$102,1),MATCH(ROUND(H88,1),Tablo_E!$B$1:$CX$1,1)))</f>
        <v>0</v>
      </c>
      <c r="J88" s="55"/>
      <c r="K88" s="63">
        <f>IF(ISBLANK(J88),0,ABS(Uzman_E!C$4-J88))</f>
        <v>0</v>
      </c>
      <c r="L88" s="64">
        <f>IF(ISBLANK(J88),0,INDEX(Tablo_E!$B$2:$CX$102,MATCH(ROUND(Uzman_E!C$4,1),Tablo_E!$A$2:$A$102,1),MATCH(ROUND(K88,1),Tablo_E!$B$1:$CX$1,1)))</f>
        <v>0</v>
      </c>
      <c r="M88" s="55"/>
      <c r="N88" s="63">
        <f>IF(ISBLANK(M88),0,ABS(Uzman_E!D$4-M88))</f>
        <v>0</v>
      </c>
      <c r="O88" s="64">
        <f>IF(ISBLANK(M88),0,INDEX(Tablo_E!$B$2:$CX$102,MATCH(ROUND(Uzman_E!D$4,1),Tablo_E!$A$2:$A$102,1),MATCH(ROUND(N88,1),Tablo_E!$B$1:$CX$1,1)))</f>
        <v>0</v>
      </c>
      <c r="P88" s="55"/>
      <c r="Q88" s="60">
        <f>IF(ISBLANK(P88),0,ABS(Uzman_E!E$4-P88))</f>
        <v>0</v>
      </c>
      <c r="R88" s="64">
        <f>IF(ISBLANK(P88),0,INDEX(Tablo_E!$B$2:$CX$102,MATCH(ROUND(Uzman_E!B$4,1),Tablo_E!$A$2:$A$102,1),MATCH(ROUND(Q88,1),Tablo_E!$B$1:$CX$1,1)))</f>
        <v>0</v>
      </c>
      <c r="S88" s="53">
        <f t="shared" si="2"/>
        <v>0</v>
      </c>
      <c r="T88" s="49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x14ac:dyDescent="0.45">
      <c r="A89" s="54">
        <v>86</v>
      </c>
      <c r="B89" s="146">
        <f>Hakemler!B89</f>
        <v>0</v>
      </c>
      <c r="C89" s="147">
        <f>Hakemler!C89</f>
        <v>0</v>
      </c>
      <c r="D89" s="55"/>
      <c r="E89" s="63">
        <f>IF(ISBLANK(D89),0,ABS(Uzman_E!A$4-D89))</f>
        <v>0</v>
      </c>
      <c r="F89" s="64">
        <f>IF(ISBLANK(D89),0,INDEX(Tablo_E!$B$2:$CX$102,MATCH(ROUND(Uzman_E!A$4,1),Tablo_E!$A$2:$A$102,1),MATCH(ROUND(E89,1),Tablo_E!$B$1:$CX$1,1)))</f>
        <v>0</v>
      </c>
      <c r="G89" s="55"/>
      <c r="H89" s="60">
        <f>IF(ISBLANK(G89),0,ABS(Uzman_E!B$4-G89))</f>
        <v>0</v>
      </c>
      <c r="I89" s="64">
        <f>IF(ISBLANK(G89),0,INDEX(Tablo_E!$B$2:$CX$102,MATCH(ROUND(Uzman_E!B$4,1),Tablo_E!$A$2:$A$102,1),MATCH(ROUND(H89,1),Tablo_E!$B$1:$CX$1,1)))</f>
        <v>0</v>
      </c>
      <c r="J89" s="55"/>
      <c r="K89" s="63">
        <f>IF(ISBLANK(J89),0,ABS(Uzman_E!C$4-J89))</f>
        <v>0</v>
      </c>
      <c r="L89" s="64">
        <f>IF(ISBLANK(J89),0,INDEX(Tablo_E!$B$2:$CX$102,MATCH(ROUND(Uzman_E!C$4,1),Tablo_E!$A$2:$A$102,1),MATCH(ROUND(K89,1),Tablo_E!$B$1:$CX$1,1)))</f>
        <v>0</v>
      </c>
      <c r="M89" s="55"/>
      <c r="N89" s="63">
        <f>IF(ISBLANK(M89),0,ABS(Uzman_E!D$4-M89))</f>
        <v>0</v>
      </c>
      <c r="O89" s="64">
        <f>IF(ISBLANK(M89),0,INDEX(Tablo_E!$B$2:$CX$102,MATCH(ROUND(Uzman_E!D$4,1),Tablo_E!$A$2:$A$102,1),MATCH(ROUND(N89,1),Tablo_E!$B$1:$CX$1,1)))</f>
        <v>0</v>
      </c>
      <c r="P89" s="55"/>
      <c r="Q89" s="60">
        <f>IF(ISBLANK(P89),0,ABS(Uzman_E!E$4-P89))</f>
        <v>0</v>
      </c>
      <c r="R89" s="64">
        <f>IF(ISBLANK(P89),0,INDEX(Tablo_E!$B$2:$CX$102,MATCH(ROUND(Uzman_E!B$4,1),Tablo_E!$A$2:$A$102,1),MATCH(ROUND(Q89,1),Tablo_E!$B$1:$CX$1,1)))</f>
        <v>0</v>
      </c>
      <c r="S89" s="53">
        <f t="shared" si="2"/>
        <v>0</v>
      </c>
      <c r="T89" s="49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x14ac:dyDescent="0.45">
      <c r="A90" s="54">
        <v>87</v>
      </c>
      <c r="B90" s="146">
        <f>Hakemler!B90</f>
        <v>0</v>
      </c>
      <c r="C90" s="147">
        <f>Hakemler!C90</f>
        <v>0</v>
      </c>
      <c r="D90" s="55"/>
      <c r="E90" s="63">
        <f>IF(ISBLANK(D90),0,ABS(Uzman_E!A$4-D90))</f>
        <v>0</v>
      </c>
      <c r="F90" s="64">
        <f>IF(ISBLANK(D90),0,INDEX(Tablo_E!$B$2:$CX$102,MATCH(ROUND(Uzman_E!A$4,1),Tablo_E!$A$2:$A$102,1),MATCH(ROUND(E90,1),Tablo_E!$B$1:$CX$1,1)))</f>
        <v>0</v>
      </c>
      <c r="G90" s="55"/>
      <c r="H90" s="60">
        <f>IF(ISBLANK(G90),0,ABS(Uzman_E!B$4-G90))</f>
        <v>0</v>
      </c>
      <c r="I90" s="64">
        <f>IF(ISBLANK(G90),0,INDEX(Tablo_E!$B$2:$CX$102,MATCH(ROUND(Uzman_E!B$4,1),Tablo_E!$A$2:$A$102,1),MATCH(ROUND(H90,1),Tablo_E!$B$1:$CX$1,1)))</f>
        <v>0</v>
      </c>
      <c r="J90" s="55"/>
      <c r="K90" s="63">
        <f>IF(ISBLANK(J90),0,ABS(Uzman_E!C$4-J90))</f>
        <v>0</v>
      </c>
      <c r="L90" s="64">
        <f>IF(ISBLANK(J90),0,INDEX(Tablo_E!$B$2:$CX$102,MATCH(ROUND(Uzman_E!C$4,1),Tablo_E!$A$2:$A$102,1),MATCH(ROUND(K90,1),Tablo_E!$B$1:$CX$1,1)))</f>
        <v>0</v>
      </c>
      <c r="M90" s="55"/>
      <c r="N90" s="63">
        <f>IF(ISBLANK(M90),0,ABS(Uzman_E!D$4-M90))</f>
        <v>0</v>
      </c>
      <c r="O90" s="64">
        <f>IF(ISBLANK(M90),0,INDEX(Tablo_E!$B$2:$CX$102,MATCH(ROUND(Uzman_E!D$4,1),Tablo_E!$A$2:$A$102,1),MATCH(ROUND(N90,1),Tablo_E!$B$1:$CX$1,1)))</f>
        <v>0</v>
      </c>
      <c r="P90" s="55"/>
      <c r="Q90" s="60">
        <f>IF(ISBLANK(P90),0,ABS(Uzman_E!E$4-P90))</f>
        <v>0</v>
      </c>
      <c r="R90" s="64">
        <f>IF(ISBLANK(P90),0,INDEX(Tablo_E!$B$2:$CX$102,MATCH(ROUND(Uzman_E!B$4,1),Tablo_E!$A$2:$A$102,1),MATCH(ROUND(Q90,1),Tablo_E!$B$1:$CX$1,1)))</f>
        <v>0</v>
      </c>
      <c r="S90" s="53">
        <f t="shared" si="2"/>
        <v>0</v>
      </c>
      <c r="T90" s="49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x14ac:dyDescent="0.45">
      <c r="A91" s="54">
        <v>88</v>
      </c>
      <c r="B91" s="146">
        <f>Hakemler!B91</f>
        <v>0</v>
      </c>
      <c r="C91" s="147">
        <f>Hakemler!C91</f>
        <v>0</v>
      </c>
      <c r="D91" s="55"/>
      <c r="E91" s="63">
        <f>IF(ISBLANK(D91),0,ABS(Uzman_E!A$4-D91))</f>
        <v>0</v>
      </c>
      <c r="F91" s="64">
        <f>IF(ISBLANK(D91),0,INDEX(Tablo_E!$B$2:$CX$102,MATCH(ROUND(Uzman_E!A$4,1),Tablo_E!$A$2:$A$102,1),MATCH(ROUND(E91,1),Tablo_E!$B$1:$CX$1,1)))</f>
        <v>0</v>
      </c>
      <c r="G91" s="55"/>
      <c r="H91" s="60">
        <f>IF(ISBLANK(G91),0,ABS(Uzman_E!B$4-G91))</f>
        <v>0</v>
      </c>
      <c r="I91" s="64">
        <f>IF(ISBLANK(G91),0,INDEX(Tablo_E!$B$2:$CX$102,MATCH(ROUND(Uzman_E!B$4,1),Tablo_E!$A$2:$A$102,1),MATCH(ROUND(H91,1),Tablo_E!$B$1:$CX$1,1)))</f>
        <v>0</v>
      </c>
      <c r="J91" s="55"/>
      <c r="K91" s="63">
        <f>IF(ISBLANK(J91),0,ABS(Uzman_E!C$4-J91))</f>
        <v>0</v>
      </c>
      <c r="L91" s="64">
        <f>IF(ISBLANK(J91),0,INDEX(Tablo_E!$B$2:$CX$102,MATCH(ROUND(Uzman_E!C$4,1),Tablo_E!$A$2:$A$102,1),MATCH(ROUND(K91,1),Tablo_E!$B$1:$CX$1,1)))</f>
        <v>0</v>
      </c>
      <c r="M91" s="55"/>
      <c r="N91" s="63">
        <f>IF(ISBLANK(M91),0,ABS(Uzman_E!D$4-M91))</f>
        <v>0</v>
      </c>
      <c r="O91" s="64">
        <f>IF(ISBLANK(M91),0,INDEX(Tablo_E!$B$2:$CX$102,MATCH(ROUND(Uzman_E!D$4,1),Tablo_E!$A$2:$A$102,1),MATCH(ROUND(N91,1),Tablo_E!$B$1:$CX$1,1)))</f>
        <v>0</v>
      </c>
      <c r="P91" s="55"/>
      <c r="Q91" s="60">
        <f>IF(ISBLANK(P91),0,ABS(Uzman_E!E$4-P91))</f>
        <v>0</v>
      </c>
      <c r="R91" s="64">
        <f>IF(ISBLANK(P91),0,INDEX(Tablo_E!$B$2:$CX$102,MATCH(ROUND(Uzman_E!B$4,1),Tablo_E!$A$2:$A$102,1),MATCH(ROUND(Q91,1),Tablo_E!$B$1:$CX$1,1)))</f>
        <v>0</v>
      </c>
      <c r="S91" s="53">
        <f t="shared" si="2"/>
        <v>0</v>
      </c>
      <c r="T91" s="49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x14ac:dyDescent="0.45">
      <c r="A92" s="54">
        <v>89</v>
      </c>
      <c r="B92" s="146">
        <f>Hakemler!B92</f>
        <v>0</v>
      </c>
      <c r="C92" s="147">
        <f>Hakemler!C92</f>
        <v>0</v>
      </c>
      <c r="D92" s="55"/>
      <c r="E92" s="63">
        <f>IF(ISBLANK(D92),0,ABS(Uzman_E!A$4-D92))</f>
        <v>0</v>
      </c>
      <c r="F92" s="64">
        <f>IF(ISBLANK(D92),0,INDEX(Tablo_E!$B$2:$CX$102,MATCH(ROUND(Uzman_E!A$4,1),Tablo_E!$A$2:$A$102,1),MATCH(ROUND(E92,1),Tablo_E!$B$1:$CX$1,1)))</f>
        <v>0</v>
      </c>
      <c r="G92" s="55"/>
      <c r="H92" s="60">
        <f>IF(ISBLANK(G92),0,ABS(Uzman_E!B$4-G92))</f>
        <v>0</v>
      </c>
      <c r="I92" s="64">
        <f>IF(ISBLANK(G92),0,INDEX(Tablo_E!$B$2:$CX$102,MATCH(ROUND(Uzman_E!B$4,1),Tablo_E!$A$2:$A$102,1),MATCH(ROUND(H92,1),Tablo_E!$B$1:$CX$1,1)))</f>
        <v>0</v>
      </c>
      <c r="J92" s="55"/>
      <c r="K92" s="63">
        <f>IF(ISBLANK(J92),0,ABS(Uzman_E!C$4-J92))</f>
        <v>0</v>
      </c>
      <c r="L92" s="64">
        <f>IF(ISBLANK(J92),0,INDEX(Tablo_E!$B$2:$CX$102,MATCH(ROUND(Uzman_E!C$4,1),Tablo_E!$A$2:$A$102,1),MATCH(ROUND(K92,1),Tablo_E!$B$1:$CX$1,1)))</f>
        <v>0</v>
      </c>
      <c r="M92" s="55"/>
      <c r="N92" s="63">
        <f>IF(ISBLANK(M92),0,ABS(Uzman_E!D$4-M92))</f>
        <v>0</v>
      </c>
      <c r="O92" s="64">
        <f>IF(ISBLANK(M92),0,INDEX(Tablo_E!$B$2:$CX$102,MATCH(ROUND(Uzman_E!D$4,1),Tablo_E!$A$2:$A$102,1),MATCH(ROUND(N92,1),Tablo_E!$B$1:$CX$1,1)))</f>
        <v>0</v>
      </c>
      <c r="P92" s="55"/>
      <c r="Q92" s="60">
        <f>IF(ISBLANK(P92),0,ABS(Uzman_E!E$4-P92))</f>
        <v>0</v>
      </c>
      <c r="R92" s="64">
        <f>IF(ISBLANK(P92),0,INDEX(Tablo_E!$B$2:$CX$102,MATCH(ROUND(Uzman_E!B$4,1),Tablo_E!$A$2:$A$102,1),MATCH(ROUND(Q92,1),Tablo_E!$B$1:$CX$1,1)))</f>
        <v>0</v>
      </c>
      <c r="S92" s="53">
        <f t="shared" si="2"/>
        <v>0</v>
      </c>
      <c r="T92" s="49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x14ac:dyDescent="0.45">
      <c r="A93" s="54">
        <v>90</v>
      </c>
      <c r="B93" s="146">
        <f>Hakemler!B93</f>
        <v>0</v>
      </c>
      <c r="C93" s="147">
        <f>Hakemler!C93</f>
        <v>0</v>
      </c>
      <c r="D93" s="55"/>
      <c r="E93" s="63">
        <f>IF(ISBLANK(D93),0,ABS(Uzman_E!A$4-D93))</f>
        <v>0</v>
      </c>
      <c r="F93" s="64">
        <f>IF(ISBLANK(D93),0,INDEX(Tablo_E!$B$2:$CX$102,MATCH(ROUND(Uzman_E!A$4,1),Tablo_E!$A$2:$A$102,1),MATCH(ROUND(E93,1),Tablo_E!$B$1:$CX$1,1)))</f>
        <v>0</v>
      </c>
      <c r="G93" s="55"/>
      <c r="H93" s="60">
        <f>IF(ISBLANK(G93),0,ABS(Uzman_E!B$4-G93))</f>
        <v>0</v>
      </c>
      <c r="I93" s="64">
        <f>IF(ISBLANK(G93),0,INDEX(Tablo_E!$B$2:$CX$102,MATCH(ROUND(Uzman_E!B$4,1),Tablo_E!$A$2:$A$102,1),MATCH(ROUND(H93,1),Tablo_E!$B$1:$CX$1,1)))</f>
        <v>0</v>
      </c>
      <c r="J93" s="55"/>
      <c r="K93" s="63">
        <f>IF(ISBLANK(J93),0,ABS(Uzman_E!C$4-J93))</f>
        <v>0</v>
      </c>
      <c r="L93" s="64">
        <f>IF(ISBLANK(J93),0,INDEX(Tablo_E!$B$2:$CX$102,MATCH(ROUND(Uzman_E!C$4,1),Tablo_E!$A$2:$A$102,1),MATCH(ROUND(K93,1),Tablo_E!$B$1:$CX$1,1)))</f>
        <v>0</v>
      </c>
      <c r="M93" s="55"/>
      <c r="N93" s="63">
        <f>IF(ISBLANK(M93),0,ABS(Uzman_E!D$4-M93))</f>
        <v>0</v>
      </c>
      <c r="O93" s="64">
        <f>IF(ISBLANK(M93),0,INDEX(Tablo_E!$B$2:$CX$102,MATCH(ROUND(Uzman_E!D$4,1),Tablo_E!$A$2:$A$102,1),MATCH(ROUND(N93,1),Tablo_E!$B$1:$CX$1,1)))</f>
        <v>0</v>
      </c>
      <c r="P93" s="55"/>
      <c r="Q93" s="60">
        <f>IF(ISBLANK(P93),0,ABS(Uzman_E!E$4-P93))</f>
        <v>0</v>
      </c>
      <c r="R93" s="64">
        <f>IF(ISBLANK(P93),0,INDEX(Tablo_E!$B$2:$CX$102,MATCH(ROUND(Uzman_E!B$4,1),Tablo_E!$A$2:$A$102,1),MATCH(ROUND(Q93,1),Tablo_E!$B$1:$CX$1,1)))</f>
        <v>0</v>
      </c>
      <c r="S93" s="53">
        <f t="shared" si="2"/>
        <v>0</v>
      </c>
      <c r="T93" s="49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x14ac:dyDescent="0.45">
      <c r="A94" s="54">
        <v>91</v>
      </c>
      <c r="B94" s="146">
        <f>Hakemler!B94</f>
        <v>0</v>
      </c>
      <c r="C94" s="147">
        <f>Hakemler!C94</f>
        <v>0</v>
      </c>
      <c r="D94" s="55"/>
      <c r="E94" s="63">
        <f>IF(ISBLANK(D94),0,ABS(Uzman_E!A$4-D94))</f>
        <v>0</v>
      </c>
      <c r="F94" s="64">
        <f>IF(ISBLANK(D94),0,INDEX(Tablo_E!$B$2:$CX$102,MATCH(ROUND(Uzman_E!A$4,1),Tablo_E!$A$2:$A$102,1),MATCH(ROUND(E94,1),Tablo_E!$B$1:$CX$1,1)))</f>
        <v>0</v>
      </c>
      <c r="G94" s="55"/>
      <c r="H94" s="60">
        <f>IF(ISBLANK(G94),0,ABS(Uzman_E!B$4-G94))</f>
        <v>0</v>
      </c>
      <c r="I94" s="64">
        <f>IF(ISBLANK(G94),0,INDEX(Tablo_E!$B$2:$CX$102,MATCH(ROUND(Uzman_E!B$4,1),Tablo_E!$A$2:$A$102,1),MATCH(ROUND(H94,1),Tablo_E!$B$1:$CX$1,1)))</f>
        <v>0</v>
      </c>
      <c r="J94" s="55"/>
      <c r="K94" s="63">
        <f>IF(ISBLANK(J94),0,ABS(Uzman_E!C$4-J94))</f>
        <v>0</v>
      </c>
      <c r="L94" s="64">
        <f>IF(ISBLANK(J94),0,INDEX(Tablo_E!$B$2:$CX$102,MATCH(ROUND(Uzman_E!C$4,1),Tablo_E!$A$2:$A$102,1),MATCH(ROUND(K94,1),Tablo_E!$B$1:$CX$1,1)))</f>
        <v>0</v>
      </c>
      <c r="M94" s="55"/>
      <c r="N94" s="63">
        <f>IF(ISBLANK(M94),0,ABS(Uzman_E!D$4-M94))</f>
        <v>0</v>
      </c>
      <c r="O94" s="64">
        <f>IF(ISBLANK(M94),0,INDEX(Tablo_E!$B$2:$CX$102,MATCH(ROUND(Uzman_E!D$4,1),Tablo_E!$A$2:$A$102,1),MATCH(ROUND(N94,1),Tablo_E!$B$1:$CX$1,1)))</f>
        <v>0</v>
      </c>
      <c r="P94" s="55"/>
      <c r="Q94" s="60">
        <f>IF(ISBLANK(P94),0,ABS(Uzman_E!E$4-P94))</f>
        <v>0</v>
      </c>
      <c r="R94" s="64">
        <f>IF(ISBLANK(P94),0,INDEX(Tablo_E!$B$2:$CX$102,MATCH(ROUND(Uzman_E!B$4,1),Tablo_E!$A$2:$A$102,1),MATCH(ROUND(Q94,1),Tablo_E!$B$1:$CX$1,1)))</f>
        <v>0</v>
      </c>
      <c r="S94" s="53">
        <f t="shared" si="2"/>
        <v>0</v>
      </c>
      <c r="T94" s="49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x14ac:dyDescent="0.45">
      <c r="A95" s="54">
        <v>92</v>
      </c>
      <c r="B95" s="146">
        <f>Hakemler!B95</f>
        <v>0</v>
      </c>
      <c r="C95" s="147">
        <f>Hakemler!C95</f>
        <v>0</v>
      </c>
      <c r="D95" s="55"/>
      <c r="E95" s="63">
        <f>IF(ISBLANK(D95),0,ABS(Uzman_E!A$4-D95))</f>
        <v>0</v>
      </c>
      <c r="F95" s="64">
        <f>IF(ISBLANK(D95),0,INDEX(Tablo_E!$B$2:$CX$102,MATCH(ROUND(Uzman_E!A$4,1),Tablo_E!$A$2:$A$102,1),MATCH(ROUND(E95,1),Tablo_E!$B$1:$CX$1,1)))</f>
        <v>0</v>
      </c>
      <c r="G95" s="55"/>
      <c r="H95" s="60">
        <f>IF(ISBLANK(G95),0,ABS(Uzman_E!B$4-G95))</f>
        <v>0</v>
      </c>
      <c r="I95" s="64">
        <f>IF(ISBLANK(G95),0,INDEX(Tablo_E!$B$2:$CX$102,MATCH(ROUND(Uzman_E!B$4,1),Tablo_E!$A$2:$A$102,1),MATCH(ROUND(H95,1),Tablo_E!$B$1:$CX$1,1)))</f>
        <v>0</v>
      </c>
      <c r="J95" s="55"/>
      <c r="K95" s="63">
        <f>IF(ISBLANK(J95),0,ABS(Uzman_E!C$4-J95))</f>
        <v>0</v>
      </c>
      <c r="L95" s="64">
        <f>IF(ISBLANK(J95),0,INDEX(Tablo_E!$B$2:$CX$102,MATCH(ROUND(Uzman_E!C$4,1),Tablo_E!$A$2:$A$102,1),MATCH(ROUND(K95,1),Tablo_E!$B$1:$CX$1,1)))</f>
        <v>0</v>
      </c>
      <c r="M95" s="55"/>
      <c r="N95" s="63">
        <f>IF(ISBLANK(M95),0,ABS(Uzman_E!D$4-M95))</f>
        <v>0</v>
      </c>
      <c r="O95" s="64">
        <f>IF(ISBLANK(M95),0,INDEX(Tablo_E!$B$2:$CX$102,MATCH(ROUND(Uzman_E!D$4,1),Tablo_E!$A$2:$A$102,1),MATCH(ROUND(N95,1),Tablo_E!$B$1:$CX$1,1)))</f>
        <v>0</v>
      </c>
      <c r="P95" s="55"/>
      <c r="Q95" s="60">
        <f>IF(ISBLANK(P95),0,ABS(Uzman_E!E$4-P95))</f>
        <v>0</v>
      </c>
      <c r="R95" s="64">
        <f>IF(ISBLANK(P95),0,INDEX(Tablo_E!$B$2:$CX$102,MATCH(ROUND(Uzman_E!B$4,1),Tablo_E!$A$2:$A$102,1),MATCH(ROUND(Q95,1),Tablo_E!$B$1:$CX$1,1)))</f>
        <v>0</v>
      </c>
      <c r="S95" s="53">
        <f t="shared" si="2"/>
        <v>0</v>
      </c>
      <c r="T95" s="49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x14ac:dyDescent="0.45">
      <c r="A96" s="54">
        <v>93</v>
      </c>
      <c r="B96" s="146">
        <f>Hakemler!B96</f>
        <v>0</v>
      </c>
      <c r="C96" s="147">
        <f>Hakemler!C96</f>
        <v>0</v>
      </c>
      <c r="D96" s="55"/>
      <c r="E96" s="63">
        <f>IF(ISBLANK(D96),0,ABS(Uzman_E!A$4-D96))</f>
        <v>0</v>
      </c>
      <c r="F96" s="64">
        <f>IF(ISBLANK(D96),0,INDEX(Tablo_E!$B$2:$CX$102,MATCH(ROUND(Uzman_E!A$4,1),Tablo_E!$A$2:$A$102,1),MATCH(ROUND(E96,1),Tablo_E!$B$1:$CX$1,1)))</f>
        <v>0</v>
      </c>
      <c r="G96" s="55"/>
      <c r="H96" s="60">
        <f>IF(ISBLANK(G96),0,ABS(Uzman_E!B$4-G96))</f>
        <v>0</v>
      </c>
      <c r="I96" s="64">
        <f>IF(ISBLANK(G96),0,INDEX(Tablo_E!$B$2:$CX$102,MATCH(ROUND(Uzman_E!B$4,1),Tablo_E!$A$2:$A$102,1),MATCH(ROUND(H96,1),Tablo_E!$B$1:$CX$1,1)))</f>
        <v>0</v>
      </c>
      <c r="J96" s="55"/>
      <c r="K96" s="63">
        <f>IF(ISBLANK(J96),0,ABS(Uzman_E!C$4-J96))</f>
        <v>0</v>
      </c>
      <c r="L96" s="64">
        <f>IF(ISBLANK(J96),0,INDEX(Tablo_E!$B$2:$CX$102,MATCH(ROUND(Uzman_E!C$4,1),Tablo_E!$A$2:$A$102,1),MATCH(ROUND(K96,1),Tablo_E!$B$1:$CX$1,1)))</f>
        <v>0</v>
      </c>
      <c r="M96" s="55"/>
      <c r="N96" s="63">
        <f>IF(ISBLANK(M96),0,ABS(Uzman_E!D$4-M96))</f>
        <v>0</v>
      </c>
      <c r="O96" s="64">
        <f>IF(ISBLANK(M96),0,INDEX(Tablo_E!$B$2:$CX$102,MATCH(ROUND(Uzman_E!D$4,1),Tablo_E!$A$2:$A$102,1),MATCH(ROUND(N96,1),Tablo_E!$B$1:$CX$1,1)))</f>
        <v>0</v>
      </c>
      <c r="P96" s="55"/>
      <c r="Q96" s="60">
        <f>IF(ISBLANK(P96),0,ABS(Uzman_E!E$4-P96))</f>
        <v>0</v>
      </c>
      <c r="R96" s="64">
        <f>IF(ISBLANK(P96),0,INDEX(Tablo_E!$B$2:$CX$102,MATCH(ROUND(Uzman_E!B$4,1),Tablo_E!$A$2:$A$102,1),MATCH(ROUND(Q96,1),Tablo_E!$B$1:$CX$1,1)))</f>
        <v>0</v>
      </c>
      <c r="S96" s="53">
        <f t="shared" si="2"/>
        <v>0</v>
      </c>
      <c r="T96" s="49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x14ac:dyDescent="0.45">
      <c r="A97" s="54">
        <v>94</v>
      </c>
      <c r="B97" s="146">
        <f>Hakemler!B97</f>
        <v>0</v>
      </c>
      <c r="C97" s="147">
        <f>Hakemler!C97</f>
        <v>0</v>
      </c>
      <c r="D97" s="55"/>
      <c r="E97" s="63">
        <f>IF(ISBLANK(D97),0,ABS(Uzman_E!A$4-D97))</f>
        <v>0</v>
      </c>
      <c r="F97" s="64">
        <f>IF(ISBLANK(D97),0,INDEX(Tablo_E!$B$2:$CX$102,MATCH(ROUND(Uzman_E!A$4,1),Tablo_E!$A$2:$A$102,1),MATCH(ROUND(E97,1),Tablo_E!$B$1:$CX$1,1)))</f>
        <v>0</v>
      </c>
      <c r="G97" s="55"/>
      <c r="H97" s="60">
        <f>IF(ISBLANK(G97),0,ABS(Uzman_E!B$4-G97))</f>
        <v>0</v>
      </c>
      <c r="I97" s="64">
        <f>IF(ISBLANK(G97),0,INDEX(Tablo_E!$B$2:$CX$102,MATCH(ROUND(Uzman_E!B$4,1),Tablo_E!$A$2:$A$102,1),MATCH(ROUND(H97,1),Tablo_E!$B$1:$CX$1,1)))</f>
        <v>0</v>
      </c>
      <c r="J97" s="55"/>
      <c r="K97" s="63">
        <f>IF(ISBLANK(J97),0,ABS(Uzman_E!C$4-J97))</f>
        <v>0</v>
      </c>
      <c r="L97" s="64">
        <f>IF(ISBLANK(J97),0,INDEX(Tablo_E!$B$2:$CX$102,MATCH(ROUND(Uzman_E!C$4,1),Tablo_E!$A$2:$A$102,1),MATCH(ROUND(K97,1),Tablo_E!$B$1:$CX$1,1)))</f>
        <v>0</v>
      </c>
      <c r="M97" s="55"/>
      <c r="N97" s="63">
        <f>IF(ISBLANK(M97),0,ABS(Uzman_E!D$4-M97))</f>
        <v>0</v>
      </c>
      <c r="O97" s="64">
        <f>IF(ISBLANK(M97),0,INDEX(Tablo_E!$B$2:$CX$102,MATCH(ROUND(Uzman_E!D$4,1),Tablo_E!$A$2:$A$102,1),MATCH(ROUND(N97,1),Tablo_E!$B$1:$CX$1,1)))</f>
        <v>0</v>
      </c>
      <c r="P97" s="55"/>
      <c r="Q97" s="60">
        <f>IF(ISBLANK(P97),0,ABS(Uzman_E!E$4-P97))</f>
        <v>0</v>
      </c>
      <c r="R97" s="64">
        <f>IF(ISBLANK(P97),0,INDEX(Tablo_E!$B$2:$CX$102,MATCH(ROUND(Uzman_E!B$4,1),Tablo_E!$A$2:$A$102,1),MATCH(ROUND(Q97,1),Tablo_E!$B$1:$CX$1,1)))</f>
        <v>0</v>
      </c>
      <c r="S97" s="53">
        <f t="shared" si="2"/>
        <v>0</v>
      </c>
      <c r="T97" s="49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x14ac:dyDescent="0.45">
      <c r="A98" s="54">
        <v>95</v>
      </c>
      <c r="B98" s="146">
        <f>Hakemler!B98</f>
        <v>0</v>
      </c>
      <c r="C98" s="147">
        <f>Hakemler!C98</f>
        <v>0</v>
      </c>
      <c r="D98" s="55"/>
      <c r="E98" s="63">
        <f>IF(ISBLANK(D98),0,ABS(Uzman_E!A$4-D98))</f>
        <v>0</v>
      </c>
      <c r="F98" s="64">
        <f>IF(ISBLANK(D98),0,INDEX(Tablo_E!$B$2:$CX$102,MATCH(ROUND(Uzman_E!A$4,1),Tablo_E!$A$2:$A$102,1),MATCH(ROUND(E98,1),Tablo_E!$B$1:$CX$1,1)))</f>
        <v>0</v>
      </c>
      <c r="G98" s="55"/>
      <c r="H98" s="60">
        <f>IF(ISBLANK(G98),0,ABS(Uzman_E!B$4-G98))</f>
        <v>0</v>
      </c>
      <c r="I98" s="64">
        <f>IF(ISBLANK(G98),0,INDEX(Tablo_E!$B$2:$CX$102,MATCH(ROUND(Uzman_E!B$4,1),Tablo_E!$A$2:$A$102,1),MATCH(ROUND(H98,1),Tablo_E!$B$1:$CX$1,1)))</f>
        <v>0</v>
      </c>
      <c r="J98" s="55"/>
      <c r="K98" s="63">
        <f>IF(ISBLANK(J98),0,ABS(Uzman_E!C$4-J98))</f>
        <v>0</v>
      </c>
      <c r="L98" s="64">
        <f>IF(ISBLANK(J98),0,INDEX(Tablo_E!$B$2:$CX$102,MATCH(ROUND(Uzman_E!C$4,1),Tablo_E!$A$2:$A$102,1),MATCH(ROUND(K98,1),Tablo_E!$B$1:$CX$1,1)))</f>
        <v>0</v>
      </c>
      <c r="M98" s="55"/>
      <c r="N98" s="63">
        <f>IF(ISBLANK(M98),0,ABS(Uzman_E!D$4-M98))</f>
        <v>0</v>
      </c>
      <c r="O98" s="64">
        <f>IF(ISBLANK(M98),0,INDEX(Tablo_E!$B$2:$CX$102,MATCH(ROUND(Uzman_E!D$4,1),Tablo_E!$A$2:$A$102,1),MATCH(ROUND(N98,1),Tablo_E!$B$1:$CX$1,1)))</f>
        <v>0</v>
      </c>
      <c r="P98" s="55"/>
      <c r="Q98" s="60">
        <f>IF(ISBLANK(P98),0,ABS(Uzman_E!E$4-P98))</f>
        <v>0</v>
      </c>
      <c r="R98" s="64">
        <f>IF(ISBLANK(P98),0,INDEX(Tablo_E!$B$2:$CX$102,MATCH(ROUND(Uzman_E!B$4,1),Tablo_E!$A$2:$A$102,1),MATCH(ROUND(Q98,1),Tablo_E!$B$1:$CX$1,1)))</f>
        <v>0</v>
      </c>
      <c r="S98" s="53">
        <f t="shared" si="2"/>
        <v>0</v>
      </c>
      <c r="T98" s="49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x14ac:dyDescent="0.45">
      <c r="A99" s="54">
        <v>96</v>
      </c>
      <c r="B99" s="146">
        <f>Hakemler!B99</f>
        <v>0</v>
      </c>
      <c r="C99" s="147">
        <f>Hakemler!C99</f>
        <v>0</v>
      </c>
      <c r="D99" s="55"/>
      <c r="E99" s="63">
        <f>IF(ISBLANK(D99),0,ABS(Uzman_E!A$4-D99))</f>
        <v>0</v>
      </c>
      <c r="F99" s="64">
        <f>IF(ISBLANK(D99),0,INDEX(Tablo_E!$B$2:$CX$102,MATCH(ROUND(Uzman_E!A$4,1),Tablo_E!$A$2:$A$102,1),MATCH(ROUND(E99,1),Tablo_E!$B$1:$CX$1,1)))</f>
        <v>0</v>
      </c>
      <c r="G99" s="55"/>
      <c r="H99" s="60">
        <f>IF(ISBLANK(G99),0,ABS(Uzman_E!B$4-G99))</f>
        <v>0</v>
      </c>
      <c r="I99" s="64">
        <f>IF(ISBLANK(G99),0,INDEX(Tablo_E!$B$2:$CX$102,MATCH(ROUND(Uzman_E!B$4,1),Tablo_E!$A$2:$A$102,1),MATCH(ROUND(H99,1),Tablo_E!$B$1:$CX$1,1)))</f>
        <v>0</v>
      </c>
      <c r="J99" s="55"/>
      <c r="K99" s="63">
        <f>IF(ISBLANK(J99),0,ABS(Uzman_E!C$4-J99))</f>
        <v>0</v>
      </c>
      <c r="L99" s="64">
        <f>IF(ISBLANK(J99),0,INDEX(Tablo_E!$B$2:$CX$102,MATCH(ROUND(Uzman_E!C$4,1),Tablo_E!$A$2:$A$102,1),MATCH(ROUND(K99,1),Tablo_E!$B$1:$CX$1,1)))</f>
        <v>0</v>
      </c>
      <c r="M99" s="55"/>
      <c r="N99" s="63">
        <f>IF(ISBLANK(M99),0,ABS(Uzman_E!D$4-M99))</f>
        <v>0</v>
      </c>
      <c r="O99" s="64">
        <f>IF(ISBLANK(M99),0,INDEX(Tablo_E!$B$2:$CX$102,MATCH(ROUND(Uzman_E!D$4,1),Tablo_E!$A$2:$A$102,1),MATCH(ROUND(N99,1),Tablo_E!$B$1:$CX$1,1)))</f>
        <v>0</v>
      </c>
      <c r="P99" s="55"/>
      <c r="Q99" s="60">
        <f>IF(ISBLANK(P99),0,ABS(Uzman_E!E$4-P99))</f>
        <v>0</v>
      </c>
      <c r="R99" s="64">
        <f>IF(ISBLANK(P99),0,INDEX(Tablo_E!$B$2:$CX$102,MATCH(ROUND(Uzman_E!B$4,1),Tablo_E!$A$2:$A$102,1),MATCH(ROUND(Q99,1),Tablo_E!$B$1:$CX$1,1)))</f>
        <v>0</v>
      </c>
      <c r="S99" s="53">
        <f t="shared" si="2"/>
        <v>0</v>
      </c>
      <c r="T99" s="49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x14ac:dyDescent="0.45">
      <c r="A100" s="54">
        <v>97</v>
      </c>
      <c r="B100" s="146">
        <f>Hakemler!B100</f>
        <v>0</v>
      </c>
      <c r="C100" s="147">
        <f>Hakemler!C100</f>
        <v>0</v>
      </c>
      <c r="D100" s="55"/>
      <c r="E100" s="63">
        <f>IF(ISBLANK(D100),0,ABS(Uzman_E!A$4-D100))</f>
        <v>0</v>
      </c>
      <c r="F100" s="64">
        <f>IF(ISBLANK(D100),0,INDEX(Tablo_E!$B$2:$CX$102,MATCH(ROUND(Uzman_E!A$4,1),Tablo_E!$A$2:$A$102,1),MATCH(ROUND(E100,1),Tablo_E!$B$1:$CX$1,1)))</f>
        <v>0</v>
      </c>
      <c r="G100" s="55"/>
      <c r="H100" s="60">
        <f>IF(ISBLANK(G100),0,ABS(Uzman_E!B$4-G100))</f>
        <v>0</v>
      </c>
      <c r="I100" s="64">
        <f>IF(ISBLANK(G100),0,INDEX(Tablo_E!$B$2:$CX$102,MATCH(ROUND(Uzman_E!B$4,1),Tablo_E!$A$2:$A$102,1),MATCH(ROUND(H100,1),Tablo_E!$B$1:$CX$1,1)))</f>
        <v>0</v>
      </c>
      <c r="J100" s="55"/>
      <c r="K100" s="63">
        <f>IF(ISBLANK(J100),0,ABS(Uzman_E!C$4-J100))</f>
        <v>0</v>
      </c>
      <c r="L100" s="64">
        <f>IF(ISBLANK(J100),0,INDEX(Tablo_E!$B$2:$CX$102,MATCH(ROUND(Uzman_E!C$4,1),Tablo_E!$A$2:$A$102,1),MATCH(ROUND(K100,1),Tablo_E!$B$1:$CX$1,1)))</f>
        <v>0</v>
      </c>
      <c r="M100" s="55"/>
      <c r="N100" s="63">
        <f>IF(ISBLANK(M100),0,ABS(Uzman_E!D$4-M100))</f>
        <v>0</v>
      </c>
      <c r="O100" s="64">
        <f>IF(ISBLANK(M100),0,INDEX(Tablo_E!$B$2:$CX$102,MATCH(ROUND(Uzman_E!D$4,1),Tablo_E!$A$2:$A$102,1),MATCH(ROUND(N100,1),Tablo_E!$B$1:$CX$1,1)))</f>
        <v>0</v>
      </c>
      <c r="P100" s="55"/>
      <c r="Q100" s="60">
        <f>IF(ISBLANK(P100),0,ABS(Uzman_E!E$4-P100))</f>
        <v>0</v>
      </c>
      <c r="R100" s="64">
        <f>IF(ISBLANK(P100),0,INDEX(Tablo_E!$B$2:$CX$102,MATCH(ROUND(Uzman_E!B$4,1),Tablo_E!$A$2:$A$102,1),MATCH(ROUND(Q100,1),Tablo_E!$B$1:$CX$1,1)))</f>
        <v>0</v>
      </c>
      <c r="S100" s="53">
        <f t="shared" ref="S100:S103" si="3">(F100+I100+L100+O100+R100)/5</f>
        <v>0</v>
      </c>
      <c r="T100" s="49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x14ac:dyDescent="0.45">
      <c r="A101" s="54">
        <v>98</v>
      </c>
      <c r="B101" s="146">
        <f>Hakemler!B101</f>
        <v>0</v>
      </c>
      <c r="C101" s="147">
        <f>Hakemler!C101</f>
        <v>0</v>
      </c>
      <c r="D101" s="55"/>
      <c r="E101" s="63">
        <f>IF(ISBLANK(D101),0,ABS(Uzman_E!A$4-D101))</f>
        <v>0</v>
      </c>
      <c r="F101" s="64">
        <f>IF(ISBLANK(D101),0,INDEX(Tablo_E!$B$2:$CX$102,MATCH(ROUND(Uzman_E!A$4,1),Tablo_E!$A$2:$A$102,1),MATCH(ROUND(E101,1),Tablo_E!$B$1:$CX$1,1)))</f>
        <v>0</v>
      </c>
      <c r="G101" s="55"/>
      <c r="H101" s="60">
        <f>IF(ISBLANK(G101),0,ABS(Uzman_E!B$4-G101))</f>
        <v>0</v>
      </c>
      <c r="I101" s="64">
        <f>IF(ISBLANK(G101),0,INDEX(Tablo_E!$B$2:$CX$102,MATCH(ROUND(Uzman_E!B$4,1),Tablo_E!$A$2:$A$102,1),MATCH(ROUND(H101,1),Tablo_E!$B$1:$CX$1,1)))</f>
        <v>0</v>
      </c>
      <c r="J101" s="55"/>
      <c r="K101" s="63">
        <f>IF(ISBLANK(J101),0,ABS(Uzman_E!C$4-J101))</f>
        <v>0</v>
      </c>
      <c r="L101" s="64">
        <f>IF(ISBLANK(J101),0,INDEX(Tablo_E!$B$2:$CX$102,MATCH(ROUND(Uzman_E!C$4,1),Tablo_E!$A$2:$A$102,1),MATCH(ROUND(K101,1),Tablo_E!$B$1:$CX$1,1)))</f>
        <v>0</v>
      </c>
      <c r="M101" s="55"/>
      <c r="N101" s="63">
        <f>IF(ISBLANK(M101),0,ABS(Uzman_E!D$4-M101))</f>
        <v>0</v>
      </c>
      <c r="O101" s="64">
        <f>IF(ISBLANK(M101),0,INDEX(Tablo_E!$B$2:$CX$102,MATCH(ROUND(Uzman_E!D$4,1),Tablo_E!$A$2:$A$102,1),MATCH(ROUND(N101,1),Tablo_E!$B$1:$CX$1,1)))</f>
        <v>0</v>
      </c>
      <c r="P101" s="55"/>
      <c r="Q101" s="60">
        <f>IF(ISBLANK(P101),0,ABS(Uzman_E!E$4-P101))</f>
        <v>0</v>
      </c>
      <c r="R101" s="64">
        <f>IF(ISBLANK(P101),0,INDEX(Tablo_E!$B$2:$CX$102,MATCH(ROUND(Uzman_E!B$4,1),Tablo_E!$A$2:$A$102,1),MATCH(ROUND(Q101,1),Tablo_E!$B$1:$CX$1,1)))</f>
        <v>0</v>
      </c>
      <c r="S101" s="53">
        <f t="shared" si="3"/>
        <v>0</v>
      </c>
      <c r="T101" s="49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x14ac:dyDescent="0.45">
      <c r="A102" s="54">
        <v>99</v>
      </c>
      <c r="B102" s="146">
        <f>Hakemler!B102</f>
        <v>0</v>
      </c>
      <c r="C102" s="147">
        <f>Hakemler!C102</f>
        <v>0</v>
      </c>
      <c r="D102" s="55"/>
      <c r="E102" s="63">
        <f>IF(ISBLANK(D102),0,ABS(Uzman_E!A$4-D102))</f>
        <v>0</v>
      </c>
      <c r="F102" s="64">
        <f>IF(ISBLANK(D102),0,INDEX(Tablo_E!$B$2:$CX$102,MATCH(ROUND(Uzman_E!A$4,1),Tablo_E!$A$2:$A$102,1),MATCH(ROUND(E102,1),Tablo_E!$B$1:$CX$1,1)))</f>
        <v>0</v>
      </c>
      <c r="G102" s="55"/>
      <c r="H102" s="60">
        <f>IF(ISBLANK(G102),0,ABS(Uzman_E!B$4-G102))</f>
        <v>0</v>
      </c>
      <c r="I102" s="64">
        <f>IF(ISBLANK(G102),0,INDEX(Tablo_E!$B$2:$CX$102,MATCH(ROUND(Uzman_E!B$4,1),Tablo_E!$A$2:$A$102,1),MATCH(ROUND(H102,1),Tablo_E!$B$1:$CX$1,1)))</f>
        <v>0</v>
      </c>
      <c r="J102" s="55"/>
      <c r="K102" s="63">
        <f>IF(ISBLANK(J102),0,ABS(Uzman_E!C$4-J102))</f>
        <v>0</v>
      </c>
      <c r="L102" s="64">
        <f>IF(ISBLANK(J102),0,INDEX(Tablo_E!$B$2:$CX$102,MATCH(ROUND(Uzman_E!C$4,1),Tablo_E!$A$2:$A$102,1),MATCH(ROUND(K102,1),Tablo_E!$B$1:$CX$1,1)))</f>
        <v>0</v>
      </c>
      <c r="M102" s="55"/>
      <c r="N102" s="63">
        <f>IF(ISBLANK(M102),0,ABS(Uzman_E!D$4-M102))</f>
        <v>0</v>
      </c>
      <c r="O102" s="64">
        <f>IF(ISBLANK(M102),0,INDEX(Tablo_E!$B$2:$CX$102,MATCH(ROUND(Uzman_E!D$4,1),Tablo_E!$A$2:$A$102,1),MATCH(ROUND(N102,1),Tablo_E!$B$1:$CX$1,1)))</f>
        <v>0</v>
      </c>
      <c r="P102" s="55"/>
      <c r="Q102" s="60">
        <f>IF(ISBLANK(P102),0,ABS(Uzman_E!E$4-P102))</f>
        <v>0</v>
      </c>
      <c r="R102" s="64">
        <f>IF(ISBLANK(P102),0,INDEX(Tablo_E!$B$2:$CX$102,MATCH(ROUND(Uzman_E!B$4,1),Tablo_E!$A$2:$A$102,1),MATCH(ROUND(Q102,1),Tablo_E!$B$1:$CX$1,1)))</f>
        <v>0</v>
      </c>
      <c r="S102" s="53">
        <f t="shared" si="3"/>
        <v>0</v>
      </c>
      <c r="T102" s="49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45">
      <c r="A103" s="54">
        <v>100</v>
      </c>
      <c r="B103" s="146">
        <f>Hakemler!B103</f>
        <v>0</v>
      </c>
      <c r="C103" s="147">
        <f>Hakemler!C103</f>
        <v>0</v>
      </c>
      <c r="D103" s="55"/>
      <c r="E103" s="63">
        <f>IF(ISBLANK(D103),0,ABS(Uzman_E!A$4-D103))</f>
        <v>0</v>
      </c>
      <c r="F103" s="64">
        <f>IF(ISBLANK(D103),0,INDEX(Tablo_E!$B$2:$CX$102,MATCH(ROUND(Uzman_E!A$4,1),Tablo_E!$A$2:$A$102,1),MATCH(ROUND(E103,1),Tablo_E!$B$1:$CX$1,1)))</f>
        <v>0</v>
      </c>
      <c r="G103" s="55"/>
      <c r="H103" s="62">
        <f>IF(ISBLANK(G103),0,ABS(Uzman_E!B$4-G103))</f>
        <v>0</v>
      </c>
      <c r="I103" s="64">
        <f>IF(ISBLANK(G103),0,INDEX(Tablo_E!$B$2:$CX$102,MATCH(ROUND(Uzman_E!B$4,1),Tablo_E!$A$2:$A$102,1),MATCH(ROUND(H103,1),Tablo_E!$B$1:$CX$1,1)))</f>
        <v>0</v>
      </c>
      <c r="J103" s="55"/>
      <c r="K103" s="63">
        <f>IF(ISBLANK(J103),0,ABS(Uzman_E!C$4-J103))</f>
        <v>0</v>
      </c>
      <c r="L103" s="64">
        <f>IF(ISBLANK(J103),0,INDEX(Tablo_E!$B$2:$CX$102,MATCH(ROUND(Uzman_E!C$4,1),Tablo_E!$A$2:$A$102,1),MATCH(ROUND(K103,1),Tablo_E!$B$1:$CX$1,1)))</f>
        <v>0</v>
      </c>
      <c r="M103" s="55"/>
      <c r="N103" s="63">
        <f>IF(ISBLANK(M103),0,ABS(Uzman_E!D$4-M103))</f>
        <v>0</v>
      </c>
      <c r="O103" s="64">
        <f>IF(ISBLANK(M103),0,INDEX(Tablo_E!$B$2:$CX$102,MATCH(ROUND(Uzman_E!D$4,1),Tablo_E!$A$2:$A$102,1),MATCH(ROUND(N103,1),Tablo_E!$B$1:$CX$1,1)))</f>
        <v>0</v>
      </c>
      <c r="P103" s="55"/>
      <c r="Q103" s="62">
        <f>IF(ISBLANK(P103),0,ABS(Uzman_E!E$4-P103))</f>
        <v>0</v>
      </c>
      <c r="R103" s="64">
        <f>IF(ISBLANK(P103),0,INDEX(Tablo_E!$B$2:$CX$102,MATCH(ROUND(Uzman_E!B$4,1),Tablo_E!$A$2:$A$102,1),MATCH(ROUND(Q103,1),Tablo_E!$B$1:$CX$1,1)))</f>
        <v>0</v>
      </c>
      <c r="S103" s="58">
        <f t="shared" si="3"/>
        <v>0</v>
      </c>
      <c r="T103" s="49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P2:R2"/>
    <mergeCell ref="M2:O2"/>
    <mergeCell ref="B2:B3"/>
    <mergeCell ref="A1:S1"/>
    <mergeCell ref="G2:I2"/>
    <mergeCell ref="J2:L2"/>
    <mergeCell ref="A2:A3"/>
    <mergeCell ref="C2:C3"/>
    <mergeCell ref="D2:F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03"/>
  <sheetViews>
    <sheetView showGridLines="0" workbookViewId="0">
      <pane xSplit="15" ySplit="11" topLeftCell="AN12" activePane="bottomRight" state="frozen"/>
      <selection pane="topRight" activeCell="P1" sqref="P1"/>
      <selection pane="bottomLeft" activeCell="A12" sqref="A12"/>
      <selection pane="bottomRight" activeCell="BQ2" sqref="A1:BQ1048576"/>
    </sheetView>
  </sheetViews>
  <sheetFormatPr defaultColWidth="8.796875" defaultRowHeight="15" customHeight="1" x14ac:dyDescent="0.45"/>
  <cols>
    <col min="1" max="1" width="5" style="1" customWidth="1"/>
    <col min="2" max="2" width="18.265625" style="141" bestFit="1" customWidth="1"/>
    <col min="3" max="3" width="15.796875" style="141" bestFit="1" customWidth="1"/>
    <col min="4" max="15" width="3.46484375" style="1" customWidth="1"/>
    <col min="16" max="16" width="9.6640625" style="1" customWidth="1"/>
    <col min="17" max="28" width="3.46484375" style="1" customWidth="1"/>
    <col min="29" max="29" width="7.6640625" style="1" customWidth="1"/>
    <col min="30" max="41" width="3.46484375" style="1" customWidth="1"/>
    <col min="42" max="42" width="7.6640625" style="1" customWidth="1"/>
    <col min="43" max="54" width="3.46484375" style="1" customWidth="1"/>
    <col min="55" max="55" width="7.6640625" style="1" customWidth="1"/>
    <col min="56" max="67" width="3.46484375" style="1" customWidth="1"/>
    <col min="68" max="68" width="7.6640625" style="1" customWidth="1"/>
    <col min="69" max="69" width="10.46484375" style="1" customWidth="1"/>
    <col min="70" max="256" width="8.86328125" style="1" customWidth="1"/>
  </cols>
  <sheetData>
    <row r="1" spans="1:69" ht="18.75" customHeight="1" x14ac:dyDescent="0.45">
      <c r="A1" s="210" t="s">
        <v>73</v>
      </c>
      <c r="B1" s="211"/>
      <c r="C1" s="211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3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5"/>
    </row>
    <row r="2" spans="1:69" ht="15.75" customHeight="1" x14ac:dyDescent="0.45">
      <c r="A2" s="218" t="s">
        <v>9</v>
      </c>
      <c r="B2" s="216" t="s">
        <v>10</v>
      </c>
      <c r="C2" s="208" t="s">
        <v>11</v>
      </c>
      <c r="D2" s="202" t="s">
        <v>54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205" t="s">
        <v>55</v>
      </c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7"/>
      <c r="AD2" s="202" t="s">
        <v>56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205" t="s">
        <v>57</v>
      </c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7"/>
      <c r="BD2" s="202" t="s">
        <v>58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5"/>
    </row>
    <row r="3" spans="1:69" ht="15.75" customHeight="1" x14ac:dyDescent="0.45">
      <c r="A3" s="219"/>
      <c r="B3" s="217"/>
      <c r="C3" s="209"/>
      <c r="D3" s="66" t="s">
        <v>74</v>
      </c>
      <c r="E3" s="67" t="s">
        <v>75</v>
      </c>
      <c r="F3" s="67" t="s">
        <v>76</v>
      </c>
      <c r="G3" s="67" t="s">
        <v>77</v>
      </c>
      <c r="H3" s="67" t="s">
        <v>78</v>
      </c>
      <c r="I3" s="67" t="s">
        <v>79</v>
      </c>
      <c r="J3" s="67" t="s">
        <v>80</v>
      </c>
      <c r="K3" s="67" t="s">
        <v>81</v>
      </c>
      <c r="L3" s="67" t="s">
        <v>82</v>
      </c>
      <c r="M3" s="67" t="s">
        <v>83</v>
      </c>
      <c r="N3" s="67" t="s">
        <v>84</v>
      </c>
      <c r="O3" s="67" t="s">
        <v>85</v>
      </c>
      <c r="P3" s="68" t="s">
        <v>64</v>
      </c>
      <c r="Q3" s="66" t="s">
        <v>74</v>
      </c>
      <c r="R3" s="67" t="s">
        <v>75</v>
      </c>
      <c r="S3" s="67" t="s">
        <v>76</v>
      </c>
      <c r="T3" s="67" t="s">
        <v>77</v>
      </c>
      <c r="U3" s="67" t="s">
        <v>78</v>
      </c>
      <c r="V3" s="67" t="s">
        <v>79</v>
      </c>
      <c r="W3" s="67" t="s">
        <v>80</v>
      </c>
      <c r="X3" s="67" t="s">
        <v>81</v>
      </c>
      <c r="Y3" s="67" t="s">
        <v>82</v>
      </c>
      <c r="Z3" s="67" t="s">
        <v>83</v>
      </c>
      <c r="AA3" s="67" t="s">
        <v>84</v>
      </c>
      <c r="AB3" s="67" t="s">
        <v>85</v>
      </c>
      <c r="AC3" s="68" t="s">
        <v>64</v>
      </c>
      <c r="AD3" s="66" t="s">
        <v>74</v>
      </c>
      <c r="AE3" s="67" t="s">
        <v>75</v>
      </c>
      <c r="AF3" s="67" t="s">
        <v>76</v>
      </c>
      <c r="AG3" s="67" t="s">
        <v>77</v>
      </c>
      <c r="AH3" s="67" t="s">
        <v>78</v>
      </c>
      <c r="AI3" s="67" t="s">
        <v>79</v>
      </c>
      <c r="AJ3" s="67" t="s">
        <v>80</v>
      </c>
      <c r="AK3" s="67" t="s">
        <v>81</v>
      </c>
      <c r="AL3" s="67" t="s">
        <v>82</v>
      </c>
      <c r="AM3" s="67" t="s">
        <v>83</v>
      </c>
      <c r="AN3" s="67" t="s">
        <v>84</v>
      </c>
      <c r="AO3" s="67" t="s">
        <v>85</v>
      </c>
      <c r="AP3" s="68" t="s">
        <v>64</v>
      </c>
      <c r="AQ3" s="66" t="s">
        <v>74</v>
      </c>
      <c r="AR3" s="67" t="s">
        <v>75</v>
      </c>
      <c r="AS3" s="67" t="s">
        <v>76</v>
      </c>
      <c r="AT3" s="67" t="s">
        <v>77</v>
      </c>
      <c r="AU3" s="67" t="s">
        <v>78</v>
      </c>
      <c r="AV3" s="67" t="s">
        <v>79</v>
      </c>
      <c r="AW3" s="67" t="s">
        <v>80</v>
      </c>
      <c r="AX3" s="67" t="s">
        <v>81</v>
      </c>
      <c r="AY3" s="67" t="s">
        <v>82</v>
      </c>
      <c r="AZ3" s="67" t="s">
        <v>83</v>
      </c>
      <c r="BA3" s="67" t="s">
        <v>84</v>
      </c>
      <c r="BB3" s="67" t="s">
        <v>85</v>
      </c>
      <c r="BC3" s="68" t="s">
        <v>64</v>
      </c>
      <c r="BD3" s="66" t="s">
        <v>74</v>
      </c>
      <c r="BE3" s="67" t="s">
        <v>75</v>
      </c>
      <c r="BF3" s="67" t="s">
        <v>76</v>
      </c>
      <c r="BG3" s="67" t="s">
        <v>77</v>
      </c>
      <c r="BH3" s="67" t="s">
        <v>78</v>
      </c>
      <c r="BI3" s="67" t="s">
        <v>79</v>
      </c>
      <c r="BJ3" s="67" t="s">
        <v>80</v>
      </c>
      <c r="BK3" s="67" t="s">
        <v>81</v>
      </c>
      <c r="BL3" s="67" t="s">
        <v>82</v>
      </c>
      <c r="BM3" s="67" t="s">
        <v>83</v>
      </c>
      <c r="BN3" s="67" t="s">
        <v>84</v>
      </c>
      <c r="BO3" s="67" t="s">
        <v>85</v>
      </c>
      <c r="BP3" s="68" t="s">
        <v>64</v>
      </c>
      <c r="BQ3" s="69" t="s">
        <v>65</v>
      </c>
    </row>
    <row r="4" spans="1:69" ht="15.5" customHeight="1" x14ac:dyDescent="0.45">
      <c r="A4" s="54">
        <v>1</v>
      </c>
      <c r="B4" s="148" t="str">
        <f>Hakemler!B4</f>
        <v>YAZICI</v>
      </c>
      <c r="C4" s="148" t="str">
        <f>Hakemler!C4</f>
        <v>SUZAN</v>
      </c>
      <c r="D4" s="56">
        <v>1</v>
      </c>
      <c r="E4" s="56">
        <v>4</v>
      </c>
      <c r="F4" s="56">
        <v>2</v>
      </c>
      <c r="G4" s="56">
        <v>1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70">
        <v>2</v>
      </c>
      <c r="O4" s="70">
        <v>0</v>
      </c>
      <c r="P4" s="71">
        <v>1</v>
      </c>
      <c r="Q4" s="56">
        <v>0</v>
      </c>
      <c r="R4" s="56">
        <v>3</v>
      </c>
      <c r="S4" s="56">
        <v>1</v>
      </c>
      <c r="T4" s="56">
        <v>4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>
        <v>0</v>
      </c>
      <c r="AA4" s="70">
        <v>2</v>
      </c>
      <c r="AB4" s="70">
        <v>0.2</v>
      </c>
      <c r="AC4" s="71">
        <v>0.9</v>
      </c>
      <c r="AD4" s="56">
        <v>0</v>
      </c>
      <c r="AE4" s="56">
        <v>4</v>
      </c>
      <c r="AF4" s="56">
        <v>3</v>
      </c>
      <c r="AG4" s="56">
        <v>1</v>
      </c>
      <c r="AH4" s="56">
        <v>0</v>
      </c>
      <c r="AI4" s="56">
        <v>0</v>
      </c>
      <c r="AJ4" s="56">
        <v>0</v>
      </c>
      <c r="AK4" s="56">
        <v>0</v>
      </c>
      <c r="AL4" s="56">
        <v>0</v>
      </c>
      <c r="AM4" s="56">
        <v>0</v>
      </c>
      <c r="AN4" s="70">
        <v>1.5</v>
      </c>
      <c r="AO4" s="70">
        <v>0</v>
      </c>
      <c r="AP4" s="71">
        <v>0.8</v>
      </c>
      <c r="AQ4" s="56">
        <v>0</v>
      </c>
      <c r="AR4" s="56">
        <v>0</v>
      </c>
      <c r="AS4" s="56">
        <v>1</v>
      </c>
      <c r="AT4" s="56">
        <v>4</v>
      </c>
      <c r="AU4" s="56">
        <v>2</v>
      </c>
      <c r="AV4" s="56">
        <v>1</v>
      </c>
      <c r="AW4" s="56">
        <v>0</v>
      </c>
      <c r="AX4" s="56">
        <v>0</v>
      </c>
      <c r="AY4" s="56">
        <v>0</v>
      </c>
      <c r="AZ4" s="56">
        <v>0</v>
      </c>
      <c r="BA4" s="70">
        <v>2</v>
      </c>
      <c r="BB4" s="70">
        <v>0.5</v>
      </c>
      <c r="BC4" s="71">
        <v>1</v>
      </c>
      <c r="BD4" s="56">
        <v>0</v>
      </c>
      <c r="BE4" s="56">
        <v>0</v>
      </c>
      <c r="BF4" s="56">
        <v>0</v>
      </c>
      <c r="BG4" s="56">
        <v>6</v>
      </c>
      <c r="BH4" s="56">
        <v>1</v>
      </c>
      <c r="BI4" s="56">
        <v>1</v>
      </c>
      <c r="BJ4" s="56">
        <v>0</v>
      </c>
      <c r="BK4" s="56">
        <v>0</v>
      </c>
      <c r="BL4" s="56">
        <v>0</v>
      </c>
      <c r="BM4" s="56">
        <v>0</v>
      </c>
      <c r="BN4" s="70">
        <v>2</v>
      </c>
      <c r="BO4" s="70">
        <v>0.9</v>
      </c>
      <c r="BP4" s="71">
        <v>0.9</v>
      </c>
      <c r="BQ4" s="72">
        <f t="shared" ref="BQ4:BQ35" si="0">(P4+AC4+AP4+BC4+BP4)/5</f>
        <v>0.92000000000000015</v>
      </c>
    </row>
    <row r="5" spans="1:69" ht="15" customHeight="1" x14ac:dyDescent="0.45">
      <c r="A5" s="54">
        <v>2</v>
      </c>
      <c r="B5" s="148" t="str">
        <f>Hakemler!B5</f>
        <v>ASLAN</v>
      </c>
      <c r="C5" s="148" t="str">
        <f>Hakemler!C5</f>
        <v>SEMA FİDEL</v>
      </c>
      <c r="D5" s="56">
        <v>1</v>
      </c>
      <c r="E5" s="56">
        <v>4</v>
      </c>
      <c r="F5" s="56">
        <v>1</v>
      </c>
      <c r="G5" s="56">
        <v>2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70">
        <v>2</v>
      </c>
      <c r="O5" s="70">
        <v>0</v>
      </c>
      <c r="P5" s="71">
        <f>1-(SUM(IF(D5-Uzman_D!$B$4&lt;0,-(D5-Uzman_D!$B$4),D5-Uzman_D!$B$4)*0.1+IF(E5-Uzman_D!$C$4&lt;0,-(E5-Uzman_D!$C$4),E5-Uzman_D!$C$4)*0.1+IF(F5-Uzman_D!$D$4&lt;0,-(F5-Uzman_D!$D$4),F5-Uzman_D!$D$4)*0.1+IF(G5-Uzman_D!$E$4&lt;0,-(G5-Uzman_D!$E$4),G5-Uzman_D!$E$4)*0.1+IF(H5-Uzman_D!$F$4&lt;0,-(H5-Uzman_D!$F$4),H5-Uzman_D!$F$4)*0.1+IF(I5-Uzman_D!$G$4&lt;0,-(I5-Uzman_D!$G$4),I5-Uzman_D!$G$4)*0.1+IF(J5-Uzman_D!$H$4&lt;0,-(J5-Uzman_D!$H$4),J5-Uzman_D!$H$4)*0.1+IF(K5-Uzman_D!$I$4&lt;0,-(K5-Uzman_D!$I$4),K5-Uzman_D!$I$4)*0.1+IF(L5-Uzman_D!$J$4&lt;0,-(L5-Uzman_D!$J$4),L5-Uzman_D!$J$4)*0.1)+IF(ROUND((IF(N5-Uzman_D!$L$4&lt;0,-(N5-Uzman_D!$L$4),N5-Uzman_D!$L$4)*2),0)/2=IF(N5-Uzman_D!$L$4&lt;0,-(N5-Uzman_D!$L$4),N5-Uzman_D!$L$4),(ROUND((IF(N5-Uzman_D!$L$4&lt;0,-(N5-Uzman_D!$L$4),N5-Uzman_D!$L$4)*2),0)/1*0.1),0)+IF(O5-Uzman_D!$M$4&lt;0,-(O5-Uzman_D!$M$4),O5-Uzman_D!$M$4)*1)</f>
        <v>0.8</v>
      </c>
      <c r="Q5" s="56">
        <v>0</v>
      </c>
      <c r="R5" s="56">
        <v>3</v>
      </c>
      <c r="S5" s="56">
        <v>1</v>
      </c>
      <c r="T5" s="56">
        <v>4</v>
      </c>
      <c r="U5" s="56">
        <v>0</v>
      </c>
      <c r="V5" s="56">
        <v>0</v>
      </c>
      <c r="W5" s="56">
        <v>0</v>
      </c>
      <c r="X5" s="56">
        <v>0</v>
      </c>
      <c r="Y5" s="56">
        <v>0</v>
      </c>
      <c r="Z5" s="56">
        <v>0</v>
      </c>
      <c r="AA5" s="70">
        <v>2</v>
      </c>
      <c r="AB5" s="70">
        <v>0.2</v>
      </c>
      <c r="AC5" s="71">
        <f>1-(SUM(IF(Q5-Uzman_D!$B$5&lt;0,-(Q5-Uzman_D!$B$5),Q5-Uzman_D!$B$5)*0.1+IF(R5-Uzman_D!$C$5&lt;0,-(R5-Uzman_D!$C$5),R5-Uzman_D!$C$5)*0.1+IF(S5-Uzman_D!$D$5&lt;0,-(S5-Uzman_D!$D$5),S5-Uzman_D!$D$5)*0.1+IF(T5-Uzman_D!$E$5&lt;0,-(T5-Uzman_D!$E$5),T5-Uzman_D!$E$5)*0.1+IF(U5-Uzman_D!$F$5&lt;0,-(U5-Uzman_D!$F$5),U5-Uzman_D!$F$5)*0.1+IF(V5-Uzman_D!$G$5&lt;0,-(V5-Uzman_D!$G$5),V5-Uzman_D!$G$5)*0.1+IF(W5-Uzman_D!$H$5&lt;0,-(W5-Uzman_D!$H$5),W5-Uzman_D!$H$5)*0.1+IF(X5-Uzman_D!$I$5&lt;0,-(X5-Uzman_D!$I$5),X5-Uzman_D!$I$5)*0.1+IF(Y5-Uzman_D!$J$5&lt;0,-(Y5-Uzman_D!$J$5),Y5-Uzman_D!$J$5)*0.1)+IF(ROUND((IF(AA5-Uzman_D!$L$5&lt;0,-(AA5-Uzman_D!$L$5),AA5-Uzman_D!$L$5)*2),0)/2=IF(AA5-Uzman_D!$L$5&lt;0,-(AA5-Uzman_D!$L$5),AA5-Uzman_D!$L$5),(ROUND((IF(AA5-Uzman_D!$L$5&lt;0,-(AA5-Uzman_D!$L$5),AA5-Uzman_D!$L$5)*2),0)/1*0.1),0)+IF(AB5-Uzman_D!$M$5&lt;0,-(AB5-Uzman_D!$M$5),AB5-Uzman_D!$M$5)*1)</f>
        <v>1</v>
      </c>
      <c r="AD5" s="56">
        <v>0</v>
      </c>
      <c r="AE5" s="56">
        <v>3</v>
      </c>
      <c r="AF5" s="56">
        <v>4</v>
      </c>
      <c r="AG5" s="56">
        <v>1</v>
      </c>
      <c r="AH5" s="56">
        <v>0</v>
      </c>
      <c r="AI5" s="56">
        <v>0</v>
      </c>
      <c r="AJ5" s="56">
        <v>0</v>
      </c>
      <c r="AK5" s="56">
        <v>0</v>
      </c>
      <c r="AL5" s="56">
        <v>0</v>
      </c>
      <c r="AM5" s="56">
        <v>0</v>
      </c>
      <c r="AN5" s="70">
        <v>1.5</v>
      </c>
      <c r="AO5" s="70">
        <v>0</v>
      </c>
      <c r="AP5" s="71">
        <f>1-(SUM(IF(AD5-Uzman_D!$B$6&lt;0,-(AD5-Uzman_D!$B$6),AD5-Uzman_D!$B$6)*0.1+IF(AE5-Uzman_D!$C$6&lt;0,-(AE5-Uzman_D!$C$6),AE5-Uzman_D!$C$6)*0.1+IF(AF5-Uzman_D!$D$6&lt;0,-(AF5-Uzman_D!$D$6),AF5-Uzman_D!$D$6)*0.1+IF(AG5-Uzman_D!$E$6&lt;0,-(AG5-Uzman_D!$E$6),AG5-Uzman_D!$E$6)*0.1+IF(AH5-Uzman_D!$F$6&lt;0,-(AH5-Uzman_D!$F$6),AH5-Uzman_D!$F$6)*0.1+IF(AI5-Uzman_D!$G$6&lt;0,-(AI5-Uzman_D!$G$6),AI5-Uzman_D!$G$6)*0.1+IF(AJ5-Uzman_D!$H$6&lt;0,-(AJ5-Uzman_D!$H$6),AJ5-Uzman_D!$H$6)*0.1+IF(AK5-Uzman_D!$I$6&lt;0,-(AK5-Uzman_D!$I$6),AK5-Uzman_D!$I$6)*0.1+IF(AL5-Uzman_D!$J$6&lt;0,-(AL5-Uzman_D!$J$6),AL5-Uzman_D!$J$6)*0.1)+IF(ROUND((IF(AN5-Uzman_D!$L$6&lt;0,-(AN5-Uzman_D!$L$6),AN5-Uzman_D!$L$6)*2),0)/2=IF(AN5-Uzman_D!$L$6&lt;0,-(AN5-Uzman_D!$L$6),AN5-Uzman_D!$L$6),(ROUND((IF(AN5-Uzman_D!$L$6&lt;0,-(AN5-Uzman_D!$L$6),AN5-Uzman_D!$L$6)*2),0)/1*0.1),0)+IF(AO5-Uzman_D!$M$6&lt;0,-(AO5-Uzman_D!$M$6),AO5-Uzman_D!$M$6)*1)</f>
        <v>1</v>
      </c>
      <c r="AQ5" s="56">
        <v>0</v>
      </c>
      <c r="AR5" s="56">
        <v>0</v>
      </c>
      <c r="AS5" s="56">
        <v>1</v>
      </c>
      <c r="AT5" s="56">
        <v>4</v>
      </c>
      <c r="AU5" s="56">
        <v>2</v>
      </c>
      <c r="AV5" s="56">
        <v>1</v>
      </c>
      <c r="AW5" s="56">
        <v>0</v>
      </c>
      <c r="AX5" s="56">
        <v>0</v>
      </c>
      <c r="AY5" s="56">
        <v>0</v>
      </c>
      <c r="AZ5" s="56">
        <v>0</v>
      </c>
      <c r="BA5" s="70">
        <v>2</v>
      </c>
      <c r="BB5" s="70">
        <v>0.5</v>
      </c>
      <c r="BC5" s="71">
        <f>1-(SUM(IF(AQ5-Uzman_D!$B$7&lt;0,-(AQ5-Uzman_D!$B$7),AQ5-Uzman_D!$B$7)*0.1+IF(AR5-Uzman_D!$C$7&lt;0,-(AR5-Uzman_D!$C$7),AR5-Uzman_D!$C$7)*0.1+IF(AS5-Uzman_D!$D$7&lt;0,-(AS5-Uzman_D!$D$7),AS5-Uzman_D!$D$7)*0.1+IF(AT5-Uzman_D!$E$7&lt;0,-(AT5-Uzman_D!$E$7),AT5-Uzman_D!$E$7)*0.1+IF(AU5-Uzman_D!$F$7&lt;0,-(AU5-Uzman_D!$F$7),AU5-Uzman_D!$F$7)*0.1+IF(AV5-Uzman_D!$G$7&lt;0,-(AV5-Uzman_D!$G$7),AV5-Uzman_D!$G$7)*0.1+IF(AW5-Uzman_D!$H$7&lt;0,-(AW5-Uzman_D!$H$7),AW5-Uzman_D!$H$7)*0.1+IF(AX5-Uzman_D!$I$7&lt;0,-(AX5-Uzman_D!$I$7),AX5-Uzman_D!$I$7)*0.1+IF(AY5-Uzman_D!$J$7&lt;0,-(AY5-Uzman_D!$J$7),AY5-Uzman_D!$J$7)*0.1)+IF(ROUND((IF(BA5-Uzman_D!$L$7&lt;0,-(BA5-Uzman_D!$L$7),BA5-Uzman_D!$L$7)*2),0)/2=IF(BA5-Uzman_D!$L$7&lt;0,-(BA5-Uzman_D!$L$7),BA5-Uzman_D!$L$7),(ROUND((IF(BA5-Uzman_D!$L$7&lt;0,-(BA5-Uzman_D!$L$7),BA5-Uzman_D!$L$7)*2),0)/1*0.1),0)+IF(BB5-Uzman_D!$M$7&lt;0,-(BB5-Uzman_D!$M$7),BB5-Uzman_D!$M$7)*1)</f>
        <v>1</v>
      </c>
      <c r="BD5" s="56">
        <v>0</v>
      </c>
      <c r="BE5" s="56">
        <v>0</v>
      </c>
      <c r="BF5" s="56">
        <v>1</v>
      </c>
      <c r="BG5" s="56">
        <v>5</v>
      </c>
      <c r="BH5" s="56">
        <v>1</v>
      </c>
      <c r="BI5" s="56">
        <v>1</v>
      </c>
      <c r="BJ5" s="56">
        <v>0</v>
      </c>
      <c r="BK5" s="56">
        <v>0</v>
      </c>
      <c r="BL5" s="56">
        <v>0</v>
      </c>
      <c r="BM5" s="56">
        <v>0</v>
      </c>
      <c r="BN5" s="70">
        <v>2</v>
      </c>
      <c r="BO5" s="70">
        <v>0.7</v>
      </c>
      <c r="BP5" s="71">
        <f>1-(SUM(IF(BD5-Uzman_D!$B$8&lt;0,-(BD5-Uzman_D!$B$8),BD5-Uzman_D!$B$8)*0.1+IF(BE5-Uzman_D!$C$8&lt;0,-(BE5-Uzman_D!$C$8),BE5-Uzman_D!$C$8)*0.1+IF(BF5-Uzman_D!$D$8&lt;0,-(BF5-Uzman_D!$D$8),BF5-Uzman_D!$D$8)*0.1+IF(BG5-Uzman_D!$E$8&lt;0,-(BG5-Uzman_D!$E$8),BG5-Uzman_D!$E$8)*0.1+IF(BH5-Uzman_D!$F$8&lt;0,-(BH5-Uzman_D!$F$8),BH5-Uzman_D!$F$8)*0.1+IF(BI5-Uzman_D!$G$8&lt;0,-(BI5-Uzman_D!$G$8),BI5-Uzman_D!$G$8)*0.1+IF(BJ5-Uzman_D!$H$8&lt;0,-(BJ5-Uzman_D!$H$8),BJ5-Uzman_D!$H$8)*0.1+IF(BK5-Uzman_D!$I$8&lt;0,-(BK5-Uzman_D!$I$8),BK5-Uzman_D!$I$8)*0.1+IF(BL5-Uzman_D!$J$8&lt;0,-(BL5-Uzman_D!$J$8),BL5-Uzman_D!$J$8)*0.1)+IF(ROUND((IF(BN5-Uzman_D!$L$8&lt;0,-(BN5-Uzman_D!$L$8),BN5-Uzman_D!$L$8)*2),0)/2=IF(BN5-Uzman_D!$L$8&lt;0,-(BN5-Uzman_D!$L$8),BN5-Uzman_D!$L$8),(ROUND((IF(BN5-Uzman_D!$L$8&lt;0,-(BN5-Uzman_D!$L$8),BN5-Uzman_D!$L$8)*2),0)/1*0.1),0)+IF(BO5-Uzman_D!$M$8&lt;0,-(BO5-Uzman_D!$M$8),BO5-Uzman_D!$M$8)*1)</f>
        <v>0.7</v>
      </c>
      <c r="BQ5" s="72">
        <f t="shared" si="0"/>
        <v>0.9</v>
      </c>
    </row>
    <row r="6" spans="1:69" ht="15" customHeight="1" x14ac:dyDescent="0.45">
      <c r="A6" s="54">
        <v>3</v>
      </c>
      <c r="B6" s="148" t="str">
        <f>Hakemler!B6</f>
        <v>TUNA</v>
      </c>
      <c r="C6" s="148" t="str">
        <f>Hakemler!C6</f>
        <v>MUNİSE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70"/>
      <c r="O6" s="70"/>
      <c r="P6" s="71">
        <f>1-(SUM(IF(D6-Uzman_D!$B$4&lt;0,-(D6-Uzman_D!$B$4),D6-Uzman_D!$B$4)*0.1+IF(E6-Uzman_D!$C$4&lt;0,-(E6-Uzman_D!$C$4),E6-Uzman_D!$C$4)*0.1+IF(F6-Uzman_D!$D$4&lt;0,-(F6-Uzman_D!$D$4),F6-Uzman_D!$D$4)*0.1+IF(G6-Uzman_D!$E$4&lt;0,-(G6-Uzman_D!$E$4),G6-Uzman_D!$E$4)*0.1+IF(H6-Uzman_D!$F$4&lt;0,-(H6-Uzman_D!$F$4),H6-Uzman_D!$F$4)*0.1+IF(I6-Uzman_D!$G$4&lt;0,-(I6-Uzman_D!$G$4),I6-Uzman_D!$G$4)*0.1+IF(J6-Uzman_D!$H$4&lt;0,-(J6-Uzman_D!$H$4),J6-Uzman_D!$H$4)*0.1+IF(K6-Uzman_D!$I$4&lt;0,-(K6-Uzman_D!$I$4),K6-Uzman_D!$I$4)*0.1+IF(L6-Uzman_D!$J$4&lt;0,-(L6-Uzman_D!$J$4),L6-Uzman_D!$J$4)*0.1)+IF(ROUND((IF(N6-Uzman_D!$L$4&lt;0,-(N6-Uzman_D!$L$4),N6-Uzman_D!$L$4)*2),0)/2=IF(N6-Uzman_D!$L$4&lt;0,-(N6-Uzman_D!$L$4),N6-Uzman_D!$L$4),(ROUND((IF(N6-Uzman_D!$L$4&lt;0,-(N6-Uzman_D!$L$4),N6-Uzman_D!$L$4)*2),0)/1*0.1),0)+IF(O6-Uzman_D!$M$4&lt;0,-(O6-Uzman_D!$M$4),O6-Uzman_D!$M$4)*1)</f>
        <v>-0.19999999999999996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70"/>
      <c r="AB6" s="70"/>
      <c r="AC6" s="71">
        <f>1-(SUM(IF(Q6-Uzman_D!$B$5&lt;0,-(Q6-Uzman_D!$B$5),Q6-Uzman_D!$B$5)*0.1+IF(R6-Uzman_D!$C$5&lt;0,-(R6-Uzman_D!$C$5),R6-Uzman_D!$C$5)*0.1+IF(S6-Uzman_D!$D$5&lt;0,-(S6-Uzman_D!$D$5),S6-Uzman_D!$D$5)*0.1+IF(T6-Uzman_D!$E$5&lt;0,-(T6-Uzman_D!$E$5),T6-Uzman_D!$E$5)*0.1+IF(U6-Uzman_D!$F$5&lt;0,-(U6-Uzman_D!$F$5),U6-Uzman_D!$F$5)*0.1+IF(V6-Uzman_D!$G$5&lt;0,-(V6-Uzman_D!$G$5),V6-Uzman_D!$G$5)*0.1+IF(W6-Uzman_D!$H$5&lt;0,-(W6-Uzman_D!$H$5),W6-Uzman_D!$H$5)*0.1+IF(X6-Uzman_D!$I$5&lt;0,-(X6-Uzman_D!$I$5),X6-Uzman_D!$I$5)*0.1+IF(Y6-Uzman_D!$J$5&lt;0,-(Y6-Uzman_D!$J$5),Y6-Uzman_D!$J$5)*0.1)+IF(ROUND((IF(AA6-Uzman_D!$L$5&lt;0,-(AA6-Uzman_D!$L$5),AA6-Uzman_D!$L$5)*2),0)/2=IF(AA6-Uzman_D!$L$5&lt;0,-(AA6-Uzman_D!$L$5),AA6-Uzman_D!$L$5),(ROUND((IF(AA6-Uzman_D!$L$5&lt;0,-(AA6-Uzman_D!$L$5),AA6-Uzman_D!$L$5)*2),0)/1*0.1),0)+IF(AB6-Uzman_D!$M$5&lt;0,-(AB6-Uzman_D!$M$5),AB6-Uzman_D!$M$5)*1)</f>
        <v>-0.40000000000000013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0"/>
      <c r="AO6" s="70"/>
      <c r="AP6" s="71">
        <f>1-(SUM(IF(AD6-Uzman_D!$B$6&lt;0,-(AD6-Uzman_D!$B$6),AD6-Uzman_D!$B$6)*0.1+IF(AE6-Uzman_D!$C$6&lt;0,-(AE6-Uzman_D!$C$6),AE6-Uzman_D!$C$6)*0.1+IF(AF6-Uzman_D!$D$6&lt;0,-(AF6-Uzman_D!$D$6),AF6-Uzman_D!$D$6)*0.1+IF(AG6-Uzman_D!$E$6&lt;0,-(AG6-Uzman_D!$E$6),AG6-Uzman_D!$E$6)*0.1+IF(AH6-Uzman_D!$F$6&lt;0,-(AH6-Uzman_D!$F$6),AH6-Uzman_D!$F$6)*0.1+IF(AI6-Uzman_D!$G$6&lt;0,-(AI6-Uzman_D!$G$6),AI6-Uzman_D!$G$6)*0.1+IF(AJ6-Uzman_D!$H$6&lt;0,-(AJ6-Uzman_D!$H$6),AJ6-Uzman_D!$H$6)*0.1+IF(AK6-Uzman_D!$I$6&lt;0,-(AK6-Uzman_D!$I$6),AK6-Uzman_D!$I$6)*0.1+IF(AL6-Uzman_D!$J$6&lt;0,-(AL6-Uzman_D!$J$6),AL6-Uzman_D!$J$6)*0.1)+IF(ROUND((IF(AN6-Uzman_D!$L$6&lt;0,-(AN6-Uzman_D!$L$6),AN6-Uzman_D!$L$6)*2),0)/2=IF(AN6-Uzman_D!$L$6&lt;0,-(AN6-Uzman_D!$L$6),AN6-Uzman_D!$L$6),(ROUND((IF(AN6-Uzman_D!$L$6&lt;0,-(AN6-Uzman_D!$L$6),AN6-Uzman_D!$L$6)*2),0)/1*0.1),0)+IF(AO6-Uzman_D!$M$6&lt;0,-(AO6-Uzman_D!$M$6),AO6-Uzman_D!$M$6)*1)</f>
        <v>-0.10000000000000009</v>
      </c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70"/>
      <c r="BB6" s="70"/>
      <c r="BC6" s="71">
        <f>1-(SUM(IF(AQ6-Uzman_D!$B$7&lt;0,-(AQ6-Uzman_D!$B$7),AQ6-Uzman_D!$B$7)*0.1+IF(AR6-Uzman_D!$C$7&lt;0,-(AR6-Uzman_D!$C$7),AR6-Uzman_D!$C$7)*0.1+IF(AS6-Uzman_D!$D$7&lt;0,-(AS6-Uzman_D!$D$7),AS6-Uzman_D!$D$7)*0.1+IF(AT6-Uzman_D!$E$7&lt;0,-(AT6-Uzman_D!$E$7),AT6-Uzman_D!$E$7)*0.1+IF(AU6-Uzman_D!$F$7&lt;0,-(AU6-Uzman_D!$F$7),AU6-Uzman_D!$F$7)*0.1+IF(AV6-Uzman_D!$G$7&lt;0,-(AV6-Uzman_D!$G$7),AV6-Uzman_D!$G$7)*0.1+IF(AW6-Uzman_D!$H$7&lt;0,-(AW6-Uzman_D!$H$7),AW6-Uzman_D!$H$7)*0.1+IF(AX6-Uzman_D!$I$7&lt;0,-(AX6-Uzman_D!$I$7),AX6-Uzman_D!$I$7)*0.1+IF(AY6-Uzman_D!$J$7&lt;0,-(AY6-Uzman_D!$J$7),AY6-Uzman_D!$J$7)*0.1)+IF(ROUND((IF(BA6-Uzman_D!$L$7&lt;0,-(BA6-Uzman_D!$L$7),BA6-Uzman_D!$L$7)*2),0)/2=IF(BA6-Uzman_D!$L$7&lt;0,-(BA6-Uzman_D!$L$7),BA6-Uzman_D!$L$7),(ROUND((IF(BA6-Uzman_D!$L$7&lt;0,-(BA6-Uzman_D!$L$7),BA6-Uzman_D!$L$7)*2),0)/1*0.1),0)+IF(BB6-Uzman_D!$M$7&lt;0,-(BB6-Uzman_D!$M$7),BB6-Uzman_D!$M$7)*1)</f>
        <v>-0.7</v>
      </c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70"/>
      <c r="BO6" s="70"/>
      <c r="BP6" s="71">
        <f>1-(SUM(IF(BD6-Uzman_D!$B$8&lt;0,-(BD6-Uzman_D!$B$8),BD6-Uzman_D!$B$8)*0.1+IF(BE6-Uzman_D!$C$8&lt;0,-(BE6-Uzman_D!$C$8),BE6-Uzman_D!$C$8)*0.1+IF(BF6-Uzman_D!$D$8&lt;0,-(BF6-Uzman_D!$D$8),BF6-Uzman_D!$D$8)*0.1+IF(BG6-Uzman_D!$E$8&lt;0,-(BG6-Uzman_D!$E$8),BG6-Uzman_D!$E$8)*0.1+IF(BH6-Uzman_D!$F$8&lt;0,-(BH6-Uzman_D!$F$8),BH6-Uzman_D!$F$8)*0.1+IF(BI6-Uzman_D!$G$8&lt;0,-(BI6-Uzman_D!$G$8),BI6-Uzman_D!$G$8)*0.1+IF(BJ6-Uzman_D!$H$8&lt;0,-(BJ6-Uzman_D!$H$8),BJ6-Uzman_D!$H$8)*0.1+IF(BK6-Uzman_D!$I$8&lt;0,-(BK6-Uzman_D!$I$8),BK6-Uzman_D!$I$8)*0.1+IF(BL6-Uzman_D!$J$8&lt;0,-(BL6-Uzman_D!$J$8),BL6-Uzman_D!$J$8)*0.1)+IF(ROUND((IF(BN6-Uzman_D!$L$8&lt;0,-(BN6-Uzman_D!$L$8),BN6-Uzman_D!$L$8)*2),0)/2=IF(BN6-Uzman_D!$L$8&lt;0,-(BN6-Uzman_D!$L$8),BN6-Uzman_D!$L$8),(ROUND((IF(BN6-Uzman_D!$L$8&lt;0,-(BN6-Uzman_D!$L$8),BN6-Uzman_D!$L$8)*2),0)/1*0.1),0)+IF(BO6-Uzman_D!$M$8&lt;0,-(BO6-Uzman_D!$M$8),BO6-Uzman_D!$M$8)*1)</f>
        <v>-1</v>
      </c>
      <c r="BQ6" s="72">
        <f t="shared" si="0"/>
        <v>-0.48000000000000009</v>
      </c>
    </row>
    <row r="7" spans="1:69" ht="15" customHeight="1" x14ac:dyDescent="0.45">
      <c r="A7" s="54">
        <v>4</v>
      </c>
      <c r="B7" s="148" t="str">
        <f>Hakemler!B7</f>
        <v>ÜNAL</v>
      </c>
      <c r="C7" s="148" t="str">
        <f>Hakemler!C7</f>
        <v>FATMA HANIM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70"/>
      <c r="O7" s="70"/>
      <c r="P7" s="71">
        <f>1-(SUM(IF(D7-Uzman_D!$B$4&lt;0,-(D7-Uzman_D!$B$4),D7-Uzman_D!$B$4)*0.1+IF(E7-Uzman_D!$C$4&lt;0,-(E7-Uzman_D!$C$4),E7-Uzman_D!$C$4)*0.1+IF(F7-Uzman_D!$D$4&lt;0,-(F7-Uzman_D!$D$4),F7-Uzman_D!$D$4)*0.1+IF(G7-Uzman_D!$E$4&lt;0,-(G7-Uzman_D!$E$4),G7-Uzman_D!$E$4)*0.1+IF(H7-Uzman_D!$F$4&lt;0,-(H7-Uzman_D!$F$4),H7-Uzman_D!$F$4)*0.1+IF(I7-Uzman_D!$G$4&lt;0,-(I7-Uzman_D!$G$4),I7-Uzman_D!$G$4)*0.1+IF(J7-Uzman_D!$H$4&lt;0,-(J7-Uzman_D!$H$4),J7-Uzman_D!$H$4)*0.1+IF(K7-Uzman_D!$I$4&lt;0,-(K7-Uzman_D!$I$4),K7-Uzman_D!$I$4)*0.1+IF(L7-Uzman_D!$J$4&lt;0,-(L7-Uzman_D!$J$4),L7-Uzman_D!$J$4)*0.1)+IF(ROUND((IF(N7-Uzman_D!$L$4&lt;0,-(N7-Uzman_D!$L$4),N7-Uzman_D!$L$4)*2),0)/2=IF(N7-Uzman_D!$L$4&lt;0,-(N7-Uzman_D!$L$4),N7-Uzman_D!$L$4),(ROUND((IF(N7-Uzman_D!$L$4&lt;0,-(N7-Uzman_D!$L$4),N7-Uzman_D!$L$4)*2),0)/1*0.1),0)+IF(O7-Uzman_D!$M$4&lt;0,-(O7-Uzman_D!$M$4),O7-Uzman_D!$M$4)*1)</f>
        <v>-0.19999999999999996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70"/>
      <c r="AB7" s="70"/>
      <c r="AC7" s="71">
        <f>1-(SUM(IF(Q7-Uzman_D!$B$5&lt;0,-(Q7-Uzman_D!$B$5),Q7-Uzman_D!$B$5)*0.1+IF(R7-Uzman_D!$C$5&lt;0,-(R7-Uzman_D!$C$5),R7-Uzman_D!$C$5)*0.1+IF(S7-Uzman_D!$D$5&lt;0,-(S7-Uzman_D!$D$5),S7-Uzman_D!$D$5)*0.1+IF(T7-Uzman_D!$E$5&lt;0,-(T7-Uzman_D!$E$5),T7-Uzman_D!$E$5)*0.1+IF(U7-Uzman_D!$F$5&lt;0,-(U7-Uzman_D!$F$5),U7-Uzman_D!$F$5)*0.1+IF(V7-Uzman_D!$G$5&lt;0,-(V7-Uzman_D!$G$5),V7-Uzman_D!$G$5)*0.1+IF(W7-Uzman_D!$H$5&lt;0,-(W7-Uzman_D!$H$5),W7-Uzman_D!$H$5)*0.1+IF(X7-Uzman_D!$I$5&lt;0,-(X7-Uzman_D!$I$5),X7-Uzman_D!$I$5)*0.1+IF(Y7-Uzman_D!$J$5&lt;0,-(Y7-Uzman_D!$J$5),Y7-Uzman_D!$J$5)*0.1)+IF(ROUND((IF(AA7-Uzman_D!$L$5&lt;0,-(AA7-Uzman_D!$L$5),AA7-Uzman_D!$L$5)*2),0)/2=IF(AA7-Uzman_D!$L$5&lt;0,-(AA7-Uzman_D!$L$5),AA7-Uzman_D!$L$5),(ROUND((IF(AA7-Uzman_D!$L$5&lt;0,-(AA7-Uzman_D!$L$5),AA7-Uzman_D!$L$5)*2),0)/1*0.1),0)+IF(AB7-Uzman_D!$M$5&lt;0,-(AB7-Uzman_D!$M$5),AB7-Uzman_D!$M$5)*1)</f>
        <v>-0.40000000000000013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70"/>
      <c r="AO7" s="70"/>
      <c r="AP7" s="71">
        <f>1-(SUM(IF(AD7-Uzman_D!$B$6&lt;0,-(AD7-Uzman_D!$B$6),AD7-Uzman_D!$B$6)*0.1+IF(AE7-Uzman_D!$C$6&lt;0,-(AE7-Uzman_D!$C$6),AE7-Uzman_D!$C$6)*0.1+IF(AF7-Uzman_D!$D$6&lt;0,-(AF7-Uzman_D!$D$6),AF7-Uzman_D!$D$6)*0.1+IF(AG7-Uzman_D!$E$6&lt;0,-(AG7-Uzman_D!$E$6),AG7-Uzman_D!$E$6)*0.1+IF(AH7-Uzman_D!$F$6&lt;0,-(AH7-Uzman_D!$F$6),AH7-Uzman_D!$F$6)*0.1+IF(AI7-Uzman_D!$G$6&lt;0,-(AI7-Uzman_D!$G$6),AI7-Uzman_D!$G$6)*0.1+IF(AJ7-Uzman_D!$H$6&lt;0,-(AJ7-Uzman_D!$H$6),AJ7-Uzman_D!$H$6)*0.1+IF(AK7-Uzman_D!$I$6&lt;0,-(AK7-Uzman_D!$I$6),AK7-Uzman_D!$I$6)*0.1+IF(AL7-Uzman_D!$J$6&lt;0,-(AL7-Uzman_D!$J$6),AL7-Uzman_D!$J$6)*0.1)+IF(ROUND((IF(AN7-Uzman_D!$L$6&lt;0,-(AN7-Uzman_D!$L$6),AN7-Uzman_D!$L$6)*2),0)/2=IF(AN7-Uzman_D!$L$6&lt;0,-(AN7-Uzman_D!$L$6),AN7-Uzman_D!$L$6),(ROUND((IF(AN7-Uzman_D!$L$6&lt;0,-(AN7-Uzman_D!$L$6),AN7-Uzman_D!$L$6)*2),0)/1*0.1),0)+IF(AO7-Uzman_D!$M$6&lt;0,-(AO7-Uzman_D!$M$6),AO7-Uzman_D!$M$6)*1)</f>
        <v>-0.10000000000000009</v>
      </c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0"/>
      <c r="BB7" s="70"/>
      <c r="BC7" s="71">
        <f>1-(SUM(IF(AQ7-Uzman_D!$B$7&lt;0,-(AQ7-Uzman_D!$B$7),AQ7-Uzman_D!$B$7)*0.1+IF(AR7-Uzman_D!$C$7&lt;0,-(AR7-Uzman_D!$C$7),AR7-Uzman_D!$C$7)*0.1+IF(AS7-Uzman_D!$D$7&lt;0,-(AS7-Uzman_D!$D$7),AS7-Uzman_D!$D$7)*0.1+IF(AT7-Uzman_D!$E$7&lt;0,-(AT7-Uzman_D!$E$7),AT7-Uzman_D!$E$7)*0.1+IF(AU7-Uzman_D!$F$7&lt;0,-(AU7-Uzman_D!$F$7),AU7-Uzman_D!$F$7)*0.1+IF(AV7-Uzman_D!$G$7&lt;0,-(AV7-Uzman_D!$G$7),AV7-Uzman_D!$G$7)*0.1+IF(AW7-Uzman_D!$H$7&lt;0,-(AW7-Uzman_D!$H$7),AW7-Uzman_D!$H$7)*0.1+IF(AX7-Uzman_D!$I$7&lt;0,-(AX7-Uzman_D!$I$7),AX7-Uzman_D!$I$7)*0.1+IF(AY7-Uzman_D!$J$7&lt;0,-(AY7-Uzman_D!$J$7),AY7-Uzman_D!$J$7)*0.1)+IF(ROUND((IF(BA7-Uzman_D!$L$7&lt;0,-(BA7-Uzman_D!$L$7),BA7-Uzman_D!$L$7)*2),0)/2=IF(BA7-Uzman_D!$L$7&lt;0,-(BA7-Uzman_D!$L$7),BA7-Uzman_D!$L$7),(ROUND((IF(BA7-Uzman_D!$L$7&lt;0,-(BA7-Uzman_D!$L$7),BA7-Uzman_D!$L$7)*2),0)/1*0.1),0)+IF(BB7-Uzman_D!$M$7&lt;0,-(BB7-Uzman_D!$M$7),BB7-Uzman_D!$M$7)*1)</f>
        <v>-0.7</v>
      </c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70"/>
      <c r="BO7" s="70"/>
      <c r="BP7" s="71">
        <f>1-(SUM(IF(BD7-Uzman_D!$B$8&lt;0,-(BD7-Uzman_D!$B$8),BD7-Uzman_D!$B$8)*0.1+IF(BE7-Uzman_D!$C$8&lt;0,-(BE7-Uzman_D!$C$8),BE7-Uzman_D!$C$8)*0.1+IF(BF7-Uzman_D!$D$8&lt;0,-(BF7-Uzman_D!$D$8),BF7-Uzman_D!$D$8)*0.1+IF(BG7-Uzman_D!$E$8&lt;0,-(BG7-Uzman_D!$E$8),BG7-Uzman_D!$E$8)*0.1+IF(BH7-Uzman_D!$F$8&lt;0,-(BH7-Uzman_D!$F$8),BH7-Uzman_D!$F$8)*0.1+IF(BI7-Uzman_D!$G$8&lt;0,-(BI7-Uzman_D!$G$8),BI7-Uzman_D!$G$8)*0.1+IF(BJ7-Uzman_D!$H$8&lt;0,-(BJ7-Uzman_D!$H$8),BJ7-Uzman_D!$H$8)*0.1+IF(BK7-Uzman_D!$I$8&lt;0,-(BK7-Uzman_D!$I$8),BK7-Uzman_D!$I$8)*0.1+IF(BL7-Uzman_D!$J$8&lt;0,-(BL7-Uzman_D!$J$8),BL7-Uzman_D!$J$8)*0.1)+IF(ROUND((IF(BN7-Uzman_D!$L$8&lt;0,-(BN7-Uzman_D!$L$8),BN7-Uzman_D!$L$8)*2),0)/2=IF(BN7-Uzman_D!$L$8&lt;0,-(BN7-Uzman_D!$L$8),BN7-Uzman_D!$L$8),(ROUND((IF(BN7-Uzman_D!$L$8&lt;0,-(BN7-Uzman_D!$L$8),BN7-Uzman_D!$L$8)*2),0)/1*0.1),0)+IF(BO7-Uzman_D!$M$8&lt;0,-(BO7-Uzman_D!$M$8),BO7-Uzman_D!$M$8)*1)</f>
        <v>-1</v>
      </c>
      <c r="BQ7" s="72">
        <f t="shared" si="0"/>
        <v>-0.48000000000000009</v>
      </c>
    </row>
    <row r="8" spans="1:69" ht="15" customHeight="1" x14ac:dyDescent="0.45">
      <c r="A8" s="54">
        <v>5</v>
      </c>
      <c r="B8" s="148" t="str">
        <f>Hakemler!B8</f>
        <v>BAŞKAN PERÇİN</v>
      </c>
      <c r="C8" s="148" t="str">
        <f>Hakemler!C8</f>
        <v>ÖZGE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70"/>
      <c r="O8" s="70"/>
      <c r="P8" s="71">
        <f>1-(SUM(IF(D8-Uzman_D!$B$4&lt;0,-(D8-Uzman_D!$B$4),D8-Uzman_D!$B$4)*0.1+IF(E8-Uzman_D!$C$4&lt;0,-(E8-Uzman_D!$C$4),E8-Uzman_D!$C$4)*0.1+IF(F8-Uzman_D!$D$4&lt;0,-(F8-Uzman_D!$D$4),F8-Uzman_D!$D$4)*0.1+IF(G8-Uzman_D!$E$4&lt;0,-(G8-Uzman_D!$E$4),G8-Uzman_D!$E$4)*0.1+IF(H8-Uzman_D!$F$4&lt;0,-(H8-Uzman_D!$F$4),H8-Uzman_D!$F$4)*0.1+IF(I8-Uzman_D!$G$4&lt;0,-(I8-Uzman_D!$G$4),I8-Uzman_D!$G$4)*0.1+IF(J8-Uzman_D!$H$4&lt;0,-(J8-Uzman_D!$H$4),J8-Uzman_D!$H$4)*0.1+IF(K8-Uzman_D!$I$4&lt;0,-(K8-Uzman_D!$I$4),K8-Uzman_D!$I$4)*0.1+IF(L8-Uzman_D!$J$4&lt;0,-(L8-Uzman_D!$J$4),L8-Uzman_D!$J$4)*0.1)+IF(ROUND((IF(N8-Uzman_D!$L$4&lt;0,-(N8-Uzman_D!$L$4),N8-Uzman_D!$L$4)*2),0)/2=IF(N8-Uzman_D!$L$4&lt;0,-(N8-Uzman_D!$L$4),N8-Uzman_D!$L$4),(ROUND((IF(N8-Uzman_D!$L$4&lt;0,-(N8-Uzman_D!$L$4),N8-Uzman_D!$L$4)*2),0)/1*0.1),0)+IF(O8-Uzman_D!$M$4&lt;0,-(O8-Uzman_D!$M$4),O8-Uzman_D!$M$4)*1)</f>
        <v>-0.19999999999999996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70"/>
      <c r="AB8" s="70"/>
      <c r="AC8" s="71">
        <f>1-(SUM(IF(Q8-Uzman_D!$B$5&lt;0,-(Q8-Uzman_D!$B$5),Q8-Uzman_D!$B$5)*0.1+IF(R8-Uzman_D!$C$5&lt;0,-(R8-Uzman_D!$C$5),R8-Uzman_D!$C$5)*0.1+IF(S8-Uzman_D!$D$5&lt;0,-(S8-Uzman_D!$D$5),S8-Uzman_D!$D$5)*0.1+IF(T8-Uzman_D!$E$5&lt;0,-(T8-Uzman_D!$E$5),T8-Uzman_D!$E$5)*0.1+IF(U8-Uzman_D!$F$5&lt;0,-(U8-Uzman_D!$F$5),U8-Uzman_D!$F$5)*0.1+IF(V8-Uzman_D!$G$5&lt;0,-(V8-Uzman_D!$G$5),V8-Uzman_D!$G$5)*0.1+IF(W8-Uzman_D!$H$5&lt;0,-(W8-Uzman_D!$H$5),W8-Uzman_D!$H$5)*0.1+IF(X8-Uzman_D!$I$5&lt;0,-(X8-Uzman_D!$I$5),X8-Uzman_D!$I$5)*0.1+IF(Y8-Uzman_D!$J$5&lt;0,-(Y8-Uzman_D!$J$5),Y8-Uzman_D!$J$5)*0.1)+IF(ROUND((IF(AA8-Uzman_D!$L$5&lt;0,-(AA8-Uzman_D!$L$5),AA8-Uzman_D!$L$5)*2),0)/2=IF(AA8-Uzman_D!$L$5&lt;0,-(AA8-Uzman_D!$L$5),AA8-Uzman_D!$L$5),(ROUND((IF(AA8-Uzman_D!$L$5&lt;0,-(AA8-Uzman_D!$L$5),AA8-Uzman_D!$L$5)*2),0)/1*0.1),0)+IF(AB8-Uzman_D!$M$5&lt;0,-(AB8-Uzman_D!$M$5),AB8-Uzman_D!$M$5)*1)</f>
        <v>-0.40000000000000013</v>
      </c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70"/>
      <c r="AO8" s="70"/>
      <c r="AP8" s="71">
        <f>1-(SUM(IF(AD8-Uzman_D!$B$6&lt;0,-(AD8-Uzman_D!$B$6),AD8-Uzman_D!$B$6)*0.1+IF(AE8-Uzman_D!$C$6&lt;0,-(AE8-Uzman_D!$C$6),AE8-Uzman_D!$C$6)*0.1+IF(AF8-Uzman_D!$D$6&lt;0,-(AF8-Uzman_D!$D$6),AF8-Uzman_D!$D$6)*0.1+IF(AG8-Uzman_D!$E$6&lt;0,-(AG8-Uzman_D!$E$6),AG8-Uzman_D!$E$6)*0.1+IF(AH8-Uzman_D!$F$6&lt;0,-(AH8-Uzman_D!$F$6),AH8-Uzman_D!$F$6)*0.1+IF(AI8-Uzman_D!$G$6&lt;0,-(AI8-Uzman_D!$G$6),AI8-Uzman_D!$G$6)*0.1+IF(AJ8-Uzman_D!$H$6&lt;0,-(AJ8-Uzman_D!$H$6),AJ8-Uzman_D!$H$6)*0.1+IF(AK8-Uzman_D!$I$6&lt;0,-(AK8-Uzman_D!$I$6),AK8-Uzman_D!$I$6)*0.1+IF(AL8-Uzman_D!$J$6&lt;0,-(AL8-Uzman_D!$J$6),AL8-Uzman_D!$J$6)*0.1)+IF(ROUND((IF(AN8-Uzman_D!$L$6&lt;0,-(AN8-Uzman_D!$L$6),AN8-Uzman_D!$L$6)*2),0)/2=IF(AN8-Uzman_D!$L$6&lt;0,-(AN8-Uzman_D!$L$6),AN8-Uzman_D!$L$6),(ROUND((IF(AN8-Uzman_D!$L$6&lt;0,-(AN8-Uzman_D!$L$6),AN8-Uzman_D!$L$6)*2),0)/1*0.1),0)+IF(AO8-Uzman_D!$M$6&lt;0,-(AO8-Uzman_D!$M$6),AO8-Uzman_D!$M$6)*1)</f>
        <v>-0.10000000000000009</v>
      </c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70"/>
      <c r="BB8" s="70"/>
      <c r="BC8" s="71">
        <f>1-(SUM(IF(AQ8-Uzman_D!$B$7&lt;0,-(AQ8-Uzman_D!$B$7),AQ8-Uzman_D!$B$7)*0.1+IF(AR8-Uzman_D!$C$7&lt;0,-(AR8-Uzman_D!$C$7),AR8-Uzman_D!$C$7)*0.1+IF(AS8-Uzman_D!$D$7&lt;0,-(AS8-Uzman_D!$D$7),AS8-Uzman_D!$D$7)*0.1+IF(AT8-Uzman_D!$E$7&lt;0,-(AT8-Uzman_D!$E$7),AT8-Uzman_D!$E$7)*0.1+IF(AU8-Uzman_D!$F$7&lt;0,-(AU8-Uzman_D!$F$7),AU8-Uzman_D!$F$7)*0.1+IF(AV8-Uzman_D!$G$7&lt;0,-(AV8-Uzman_D!$G$7),AV8-Uzman_D!$G$7)*0.1+IF(AW8-Uzman_D!$H$7&lt;0,-(AW8-Uzman_D!$H$7),AW8-Uzman_D!$H$7)*0.1+IF(AX8-Uzman_D!$I$7&lt;0,-(AX8-Uzman_D!$I$7),AX8-Uzman_D!$I$7)*0.1+IF(AY8-Uzman_D!$J$7&lt;0,-(AY8-Uzman_D!$J$7),AY8-Uzman_D!$J$7)*0.1)+IF(ROUND((IF(BA8-Uzman_D!$L$7&lt;0,-(BA8-Uzman_D!$L$7),BA8-Uzman_D!$L$7)*2),0)/2=IF(BA8-Uzman_D!$L$7&lt;0,-(BA8-Uzman_D!$L$7),BA8-Uzman_D!$L$7),(ROUND((IF(BA8-Uzman_D!$L$7&lt;0,-(BA8-Uzman_D!$L$7),BA8-Uzman_D!$L$7)*2),0)/1*0.1),0)+IF(BB8-Uzman_D!$M$7&lt;0,-(BB8-Uzman_D!$M$7),BB8-Uzman_D!$M$7)*1)</f>
        <v>-0.7</v>
      </c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70"/>
      <c r="BO8" s="70"/>
      <c r="BP8" s="71">
        <f>1-(SUM(IF(BD8-Uzman_D!$B$8&lt;0,-(BD8-Uzman_D!$B$8),BD8-Uzman_D!$B$8)*0.1+IF(BE8-Uzman_D!$C$8&lt;0,-(BE8-Uzman_D!$C$8),BE8-Uzman_D!$C$8)*0.1+IF(BF8-Uzman_D!$D$8&lt;0,-(BF8-Uzman_D!$D$8),BF8-Uzman_D!$D$8)*0.1+IF(BG8-Uzman_D!$E$8&lt;0,-(BG8-Uzman_D!$E$8),BG8-Uzman_D!$E$8)*0.1+IF(BH8-Uzman_D!$F$8&lt;0,-(BH8-Uzman_D!$F$8),BH8-Uzman_D!$F$8)*0.1+IF(BI8-Uzman_D!$G$8&lt;0,-(BI8-Uzman_D!$G$8),BI8-Uzman_D!$G$8)*0.1+IF(BJ8-Uzman_D!$H$8&lt;0,-(BJ8-Uzman_D!$H$8),BJ8-Uzman_D!$H$8)*0.1+IF(BK8-Uzman_D!$I$8&lt;0,-(BK8-Uzman_D!$I$8),BK8-Uzman_D!$I$8)*0.1+IF(BL8-Uzman_D!$J$8&lt;0,-(BL8-Uzman_D!$J$8),BL8-Uzman_D!$J$8)*0.1)+IF(ROUND((IF(BN8-Uzman_D!$L$8&lt;0,-(BN8-Uzman_D!$L$8),BN8-Uzman_D!$L$8)*2),0)/2=IF(BN8-Uzman_D!$L$8&lt;0,-(BN8-Uzman_D!$L$8),BN8-Uzman_D!$L$8),(ROUND((IF(BN8-Uzman_D!$L$8&lt;0,-(BN8-Uzman_D!$L$8),BN8-Uzman_D!$L$8)*2),0)/1*0.1),0)+IF(BO8-Uzman_D!$M$8&lt;0,-(BO8-Uzman_D!$M$8),BO8-Uzman_D!$M$8)*1)</f>
        <v>-1</v>
      </c>
      <c r="BQ8" s="72">
        <f t="shared" si="0"/>
        <v>-0.48000000000000009</v>
      </c>
    </row>
    <row r="9" spans="1:69" ht="15" customHeight="1" x14ac:dyDescent="0.45">
      <c r="A9" s="54">
        <v>6</v>
      </c>
      <c r="B9" s="148" t="str">
        <f>Hakemler!B9</f>
        <v>ŞEN İZMİRLİ</v>
      </c>
      <c r="C9" s="148" t="str">
        <f>Hakemler!C9</f>
        <v>SİNEM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70"/>
      <c r="O9" s="70"/>
      <c r="P9" s="71">
        <f>1-(SUM(IF(D9-Uzman_D!$B$4&lt;0,-(D9-Uzman_D!$B$4),D9-Uzman_D!$B$4)*0.1+IF(E9-Uzman_D!$C$4&lt;0,-(E9-Uzman_D!$C$4),E9-Uzman_D!$C$4)*0.1+IF(F9-Uzman_D!$D$4&lt;0,-(F9-Uzman_D!$D$4),F9-Uzman_D!$D$4)*0.1+IF(G9-Uzman_D!$E$4&lt;0,-(G9-Uzman_D!$E$4),G9-Uzman_D!$E$4)*0.1+IF(H9-Uzman_D!$F$4&lt;0,-(H9-Uzman_D!$F$4),H9-Uzman_D!$F$4)*0.1+IF(I9-Uzman_D!$G$4&lt;0,-(I9-Uzman_D!$G$4),I9-Uzman_D!$G$4)*0.1+IF(J9-Uzman_D!$H$4&lt;0,-(J9-Uzman_D!$H$4),J9-Uzman_D!$H$4)*0.1+IF(K9-Uzman_D!$I$4&lt;0,-(K9-Uzman_D!$I$4),K9-Uzman_D!$I$4)*0.1+IF(L9-Uzman_D!$J$4&lt;0,-(L9-Uzman_D!$J$4),L9-Uzman_D!$J$4)*0.1)+IF(ROUND((IF(N9-Uzman_D!$L$4&lt;0,-(N9-Uzman_D!$L$4),N9-Uzman_D!$L$4)*2),0)/2=IF(N9-Uzman_D!$L$4&lt;0,-(N9-Uzman_D!$L$4),N9-Uzman_D!$L$4),(ROUND((IF(N9-Uzman_D!$L$4&lt;0,-(N9-Uzman_D!$L$4),N9-Uzman_D!$L$4)*2),0)/1*0.1),0)+IF(O9-Uzman_D!$M$4&lt;0,-(O9-Uzman_D!$M$4),O9-Uzman_D!$M$4)*1)</f>
        <v>-0.19999999999999996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70"/>
      <c r="AB9" s="70"/>
      <c r="AC9" s="71">
        <f>1-(SUM(IF(Q9-Uzman_D!$B$5&lt;0,-(Q9-Uzman_D!$B$5),Q9-Uzman_D!$B$5)*0.1+IF(R9-Uzman_D!$C$5&lt;0,-(R9-Uzman_D!$C$5),R9-Uzman_D!$C$5)*0.1+IF(S9-Uzman_D!$D$5&lt;0,-(S9-Uzman_D!$D$5),S9-Uzman_D!$D$5)*0.1+IF(T9-Uzman_D!$E$5&lt;0,-(T9-Uzman_D!$E$5),T9-Uzman_D!$E$5)*0.1+IF(U9-Uzman_D!$F$5&lt;0,-(U9-Uzman_D!$F$5),U9-Uzman_D!$F$5)*0.1+IF(V9-Uzman_D!$G$5&lt;0,-(V9-Uzman_D!$G$5),V9-Uzman_D!$G$5)*0.1+IF(W9-Uzman_D!$H$5&lt;0,-(W9-Uzman_D!$H$5),W9-Uzman_D!$H$5)*0.1+IF(X9-Uzman_D!$I$5&lt;0,-(X9-Uzman_D!$I$5),X9-Uzman_D!$I$5)*0.1+IF(Y9-Uzman_D!$J$5&lt;0,-(Y9-Uzman_D!$J$5),Y9-Uzman_D!$J$5)*0.1)+IF(ROUND((IF(AA9-Uzman_D!$L$5&lt;0,-(AA9-Uzman_D!$L$5),AA9-Uzman_D!$L$5)*2),0)/2=IF(AA9-Uzman_D!$L$5&lt;0,-(AA9-Uzman_D!$L$5),AA9-Uzman_D!$L$5),(ROUND((IF(AA9-Uzman_D!$L$5&lt;0,-(AA9-Uzman_D!$L$5),AA9-Uzman_D!$L$5)*2),0)/1*0.1),0)+IF(AB9-Uzman_D!$M$5&lt;0,-(AB9-Uzman_D!$M$5),AB9-Uzman_D!$M$5)*1)</f>
        <v>-0.40000000000000013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70"/>
      <c r="AO9" s="70"/>
      <c r="AP9" s="71">
        <f>1-(SUM(IF(AD9-Uzman_D!$B$6&lt;0,-(AD9-Uzman_D!$B$6),AD9-Uzman_D!$B$6)*0.1+IF(AE9-Uzman_D!$C$6&lt;0,-(AE9-Uzman_D!$C$6),AE9-Uzman_D!$C$6)*0.1+IF(AF9-Uzman_D!$D$6&lt;0,-(AF9-Uzman_D!$D$6),AF9-Uzman_D!$D$6)*0.1+IF(AG9-Uzman_D!$E$6&lt;0,-(AG9-Uzman_D!$E$6),AG9-Uzman_D!$E$6)*0.1+IF(AH9-Uzman_D!$F$6&lt;0,-(AH9-Uzman_D!$F$6),AH9-Uzman_D!$F$6)*0.1+IF(AI9-Uzman_D!$G$6&lt;0,-(AI9-Uzman_D!$G$6),AI9-Uzman_D!$G$6)*0.1+IF(AJ9-Uzman_D!$H$6&lt;0,-(AJ9-Uzman_D!$H$6),AJ9-Uzman_D!$H$6)*0.1+IF(AK9-Uzman_D!$I$6&lt;0,-(AK9-Uzman_D!$I$6),AK9-Uzman_D!$I$6)*0.1+IF(AL9-Uzman_D!$J$6&lt;0,-(AL9-Uzman_D!$J$6),AL9-Uzman_D!$J$6)*0.1)+IF(ROUND((IF(AN9-Uzman_D!$L$6&lt;0,-(AN9-Uzman_D!$L$6),AN9-Uzman_D!$L$6)*2),0)/2=IF(AN9-Uzman_D!$L$6&lt;0,-(AN9-Uzman_D!$L$6),AN9-Uzman_D!$L$6),(ROUND((IF(AN9-Uzman_D!$L$6&lt;0,-(AN9-Uzman_D!$L$6),AN9-Uzman_D!$L$6)*2),0)/1*0.1),0)+IF(AO9-Uzman_D!$M$6&lt;0,-(AO9-Uzman_D!$M$6),AO9-Uzman_D!$M$6)*1)</f>
        <v>-0.10000000000000009</v>
      </c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70"/>
      <c r="BB9" s="70"/>
      <c r="BC9" s="71">
        <f>1-(SUM(IF(AQ9-Uzman_D!$B$7&lt;0,-(AQ9-Uzman_D!$B$7),AQ9-Uzman_D!$B$7)*0.1+IF(AR9-Uzman_D!$C$7&lt;0,-(AR9-Uzman_D!$C$7),AR9-Uzman_D!$C$7)*0.1+IF(AS9-Uzman_D!$D$7&lt;0,-(AS9-Uzman_D!$D$7),AS9-Uzman_D!$D$7)*0.1+IF(AT9-Uzman_D!$E$7&lt;0,-(AT9-Uzman_D!$E$7),AT9-Uzman_D!$E$7)*0.1+IF(AU9-Uzman_D!$F$7&lt;0,-(AU9-Uzman_D!$F$7),AU9-Uzman_D!$F$7)*0.1+IF(AV9-Uzman_D!$G$7&lt;0,-(AV9-Uzman_D!$G$7),AV9-Uzman_D!$G$7)*0.1+IF(AW9-Uzman_D!$H$7&lt;0,-(AW9-Uzman_D!$H$7),AW9-Uzman_D!$H$7)*0.1+IF(AX9-Uzman_D!$I$7&lt;0,-(AX9-Uzman_D!$I$7),AX9-Uzman_D!$I$7)*0.1+IF(AY9-Uzman_D!$J$7&lt;0,-(AY9-Uzman_D!$J$7),AY9-Uzman_D!$J$7)*0.1)+IF(ROUND((IF(BA9-Uzman_D!$L$7&lt;0,-(BA9-Uzman_D!$L$7),BA9-Uzman_D!$L$7)*2),0)/2=IF(BA9-Uzman_D!$L$7&lt;0,-(BA9-Uzman_D!$L$7),BA9-Uzman_D!$L$7),(ROUND((IF(BA9-Uzman_D!$L$7&lt;0,-(BA9-Uzman_D!$L$7),BA9-Uzman_D!$L$7)*2),0)/1*0.1),0)+IF(BB9-Uzman_D!$M$7&lt;0,-(BB9-Uzman_D!$M$7),BB9-Uzman_D!$M$7)*1)</f>
        <v>-0.7</v>
      </c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70"/>
      <c r="BO9" s="70"/>
      <c r="BP9" s="71">
        <f>1-(SUM(IF(BD9-Uzman_D!$B$8&lt;0,-(BD9-Uzman_D!$B$8),BD9-Uzman_D!$B$8)*0.1+IF(BE9-Uzman_D!$C$8&lt;0,-(BE9-Uzman_D!$C$8),BE9-Uzman_D!$C$8)*0.1+IF(BF9-Uzman_D!$D$8&lt;0,-(BF9-Uzman_D!$D$8),BF9-Uzman_D!$D$8)*0.1+IF(BG9-Uzman_D!$E$8&lt;0,-(BG9-Uzman_D!$E$8),BG9-Uzman_D!$E$8)*0.1+IF(BH9-Uzman_D!$F$8&lt;0,-(BH9-Uzman_D!$F$8),BH9-Uzman_D!$F$8)*0.1+IF(BI9-Uzman_D!$G$8&lt;0,-(BI9-Uzman_D!$G$8),BI9-Uzman_D!$G$8)*0.1+IF(BJ9-Uzman_D!$H$8&lt;0,-(BJ9-Uzman_D!$H$8),BJ9-Uzman_D!$H$8)*0.1+IF(BK9-Uzman_D!$I$8&lt;0,-(BK9-Uzman_D!$I$8),BK9-Uzman_D!$I$8)*0.1+IF(BL9-Uzman_D!$J$8&lt;0,-(BL9-Uzman_D!$J$8),BL9-Uzman_D!$J$8)*0.1)+IF(ROUND((IF(BN9-Uzman_D!$L$8&lt;0,-(BN9-Uzman_D!$L$8),BN9-Uzman_D!$L$8)*2),0)/2=IF(BN9-Uzman_D!$L$8&lt;0,-(BN9-Uzman_D!$L$8),BN9-Uzman_D!$L$8),(ROUND((IF(BN9-Uzman_D!$L$8&lt;0,-(BN9-Uzman_D!$L$8),BN9-Uzman_D!$L$8)*2),0)/1*0.1),0)+IF(BO9-Uzman_D!$M$8&lt;0,-(BO9-Uzman_D!$M$8),BO9-Uzman_D!$M$8)*1)</f>
        <v>-1</v>
      </c>
      <c r="BQ9" s="72">
        <f t="shared" si="0"/>
        <v>-0.48000000000000009</v>
      </c>
    </row>
    <row r="10" spans="1:69" ht="15" customHeight="1" x14ac:dyDescent="0.45">
      <c r="A10" s="54">
        <v>7</v>
      </c>
      <c r="B10" s="148" t="str">
        <f>Hakemler!B10</f>
        <v>YILDIRIMER</v>
      </c>
      <c r="C10" s="148" t="str">
        <f>Hakemler!C10</f>
        <v>BUSE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0"/>
      <c r="O10" s="70"/>
      <c r="P10" s="71">
        <f>1-(SUM(IF(D10-Uzman_D!$B$4&lt;0,-(D10-Uzman_D!$B$4),D10-Uzman_D!$B$4)*0.1+IF(E10-Uzman_D!$C$4&lt;0,-(E10-Uzman_D!$C$4),E10-Uzman_D!$C$4)*0.1+IF(F10-Uzman_D!$D$4&lt;0,-(F10-Uzman_D!$D$4),F10-Uzman_D!$D$4)*0.1+IF(G10-Uzman_D!$E$4&lt;0,-(G10-Uzman_D!$E$4),G10-Uzman_D!$E$4)*0.1+IF(H10-Uzman_D!$F$4&lt;0,-(H10-Uzman_D!$F$4),H10-Uzman_D!$F$4)*0.1+IF(I10-Uzman_D!$G$4&lt;0,-(I10-Uzman_D!$G$4),I10-Uzman_D!$G$4)*0.1+IF(J10-Uzman_D!$H$4&lt;0,-(J10-Uzman_D!$H$4),J10-Uzman_D!$H$4)*0.1+IF(K10-Uzman_D!$I$4&lt;0,-(K10-Uzman_D!$I$4),K10-Uzman_D!$I$4)*0.1+IF(L10-Uzman_D!$J$4&lt;0,-(L10-Uzman_D!$J$4),L10-Uzman_D!$J$4)*0.1)+IF(ROUND((IF(N10-Uzman_D!$L$4&lt;0,-(N10-Uzman_D!$L$4),N10-Uzman_D!$L$4)*2),0)/2=IF(N10-Uzman_D!$L$4&lt;0,-(N10-Uzman_D!$L$4),N10-Uzman_D!$L$4),(ROUND((IF(N10-Uzman_D!$L$4&lt;0,-(N10-Uzman_D!$L$4),N10-Uzman_D!$L$4)*2),0)/1*0.1),0)+IF(O10-Uzman_D!$M$4&lt;0,-(O10-Uzman_D!$M$4),O10-Uzman_D!$M$4)*1)</f>
        <v>-0.19999999999999996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70"/>
      <c r="AB10" s="70"/>
      <c r="AC10" s="71">
        <f>1-(SUM(IF(Q10-Uzman_D!$B$5&lt;0,-(Q10-Uzman_D!$B$5),Q10-Uzman_D!$B$5)*0.1+IF(R10-Uzman_D!$C$5&lt;0,-(R10-Uzman_D!$C$5),R10-Uzman_D!$C$5)*0.1+IF(S10-Uzman_D!$D$5&lt;0,-(S10-Uzman_D!$D$5),S10-Uzman_D!$D$5)*0.1+IF(T10-Uzman_D!$E$5&lt;0,-(T10-Uzman_D!$E$5),T10-Uzman_D!$E$5)*0.1+IF(U10-Uzman_D!$F$5&lt;0,-(U10-Uzman_D!$F$5),U10-Uzman_D!$F$5)*0.1+IF(V10-Uzman_D!$G$5&lt;0,-(V10-Uzman_D!$G$5),V10-Uzman_D!$G$5)*0.1+IF(W10-Uzman_D!$H$5&lt;0,-(W10-Uzman_D!$H$5),W10-Uzman_D!$H$5)*0.1+IF(X10-Uzman_D!$I$5&lt;0,-(X10-Uzman_D!$I$5),X10-Uzman_D!$I$5)*0.1+IF(Y10-Uzman_D!$J$5&lt;0,-(Y10-Uzman_D!$J$5),Y10-Uzman_D!$J$5)*0.1)+IF(ROUND((IF(AA10-Uzman_D!$L$5&lt;0,-(AA10-Uzman_D!$L$5),AA10-Uzman_D!$L$5)*2),0)/2=IF(AA10-Uzman_D!$L$5&lt;0,-(AA10-Uzman_D!$L$5),AA10-Uzman_D!$L$5),(ROUND((IF(AA10-Uzman_D!$L$5&lt;0,-(AA10-Uzman_D!$L$5),AA10-Uzman_D!$L$5)*2),0)/1*0.1),0)+IF(AB10-Uzman_D!$M$5&lt;0,-(AB10-Uzman_D!$M$5),AB10-Uzman_D!$M$5)*1)</f>
        <v>-0.40000000000000013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70"/>
      <c r="AO10" s="70"/>
      <c r="AP10" s="71">
        <f>1-(SUM(IF(AD10-Uzman_D!$B$6&lt;0,-(AD10-Uzman_D!$B$6),AD10-Uzman_D!$B$6)*0.1+IF(AE10-Uzman_D!$C$6&lt;0,-(AE10-Uzman_D!$C$6),AE10-Uzman_D!$C$6)*0.1+IF(AF10-Uzman_D!$D$6&lt;0,-(AF10-Uzman_D!$D$6),AF10-Uzman_D!$D$6)*0.1+IF(AG10-Uzman_D!$E$6&lt;0,-(AG10-Uzman_D!$E$6),AG10-Uzman_D!$E$6)*0.1+IF(AH10-Uzman_D!$F$6&lt;0,-(AH10-Uzman_D!$F$6),AH10-Uzman_D!$F$6)*0.1+IF(AI10-Uzman_D!$G$6&lt;0,-(AI10-Uzman_D!$G$6),AI10-Uzman_D!$G$6)*0.1+IF(AJ10-Uzman_D!$H$6&lt;0,-(AJ10-Uzman_D!$H$6),AJ10-Uzman_D!$H$6)*0.1+IF(AK10-Uzman_D!$I$6&lt;0,-(AK10-Uzman_D!$I$6),AK10-Uzman_D!$I$6)*0.1+IF(AL10-Uzman_D!$J$6&lt;0,-(AL10-Uzman_D!$J$6),AL10-Uzman_D!$J$6)*0.1)+IF(ROUND((IF(AN10-Uzman_D!$L$6&lt;0,-(AN10-Uzman_D!$L$6),AN10-Uzman_D!$L$6)*2),0)/2=IF(AN10-Uzman_D!$L$6&lt;0,-(AN10-Uzman_D!$L$6),AN10-Uzman_D!$L$6),(ROUND((IF(AN10-Uzman_D!$L$6&lt;0,-(AN10-Uzman_D!$L$6),AN10-Uzman_D!$L$6)*2),0)/1*0.1),0)+IF(AO10-Uzman_D!$M$6&lt;0,-(AO10-Uzman_D!$M$6),AO10-Uzman_D!$M$6)*1)</f>
        <v>-0.10000000000000009</v>
      </c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70"/>
      <c r="BB10" s="70"/>
      <c r="BC10" s="71">
        <f>1-(SUM(IF(AQ10-Uzman_D!$B$7&lt;0,-(AQ10-Uzman_D!$B$7),AQ10-Uzman_D!$B$7)*0.1+IF(AR10-Uzman_D!$C$7&lt;0,-(AR10-Uzman_D!$C$7),AR10-Uzman_D!$C$7)*0.1+IF(AS10-Uzman_D!$D$7&lt;0,-(AS10-Uzman_D!$D$7),AS10-Uzman_D!$D$7)*0.1+IF(AT10-Uzman_D!$E$7&lt;0,-(AT10-Uzman_D!$E$7),AT10-Uzman_D!$E$7)*0.1+IF(AU10-Uzman_D!$F$7&lt;0,-(AU10-Uzman_D!$F$7),AU10-Uzman_D!$F$7)*0.1+IF(AV10-Uzman_D!$G$7&lt;0,-(AV10-Uzman_D!$G$7),AV10-Uzman_D!$G$7)*0.1+IF(AW10-Uzman_D!$H$7&lt;0,-(AW10-Uzman_D!$H$7),AW10-Uzman_D!$H$7)*0.1+IF(AX10-Uzman_D!$I$7&lt;0,-(AX10-Uzman_D!$I$7),AX10-Uzman_D!$I$7)*0.1+IF(AY10-Uzman_D!$J$7&lt;0,-(AY10-Uzman_D!$J$7),AY10-Uzman_D!$J$7)*0.1)+IF(ROUND((IF(BA10-Uzman_D!$L$7&lt;0,-(BA10-Uzman_D!$L$7),BA10-Uzman_D!$L$7)*2),0)/2=IF(BA10-Uzman_D!$L$7&lt;0,-(BA10-Uzman_D!$L$7),BA10-Uzman_D!$L$7),(ROUND((IF(BA10-Uzman_D!$L$7&lt;0,-(BA10-Uzman_D!$L$7),BA10-Uzman_D!$L$7)*2),0)/1*0.1),0)+IF(BB10-Uzman_D!$M$7&lt;0,-(BB10-Uzman_D!$M$7),BB10-Uzman_D!$M$7)*1)</f>
        <v>-0.7</v>
      </c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70"/>
      <c r="BO10" s="70"/>
      <c r="BP10" s="71">
        <f>1-(SUM(IF(BD10-Uzman_D!$B$8&lt;0,-(BD10-Uzman_D!$B$8),BD10-Uzman_D!$B$8)*0.1+IF(BE10-Uzman_D!$C$8&lt;0,-(BE10-Uzman_D!$C$8),BE10-Uzman_D!$C$8)*0.1+IF(BF10-Uzman_D!$D$8&lt;0,-(BF10-Uzman_D!$D$8),BF10-Uzman_D!$D$8)*0.1+IF(BG10-Uzman_D!$E$8&lt;0,-(BG10-Uzman_D!$E$8),BG10-Uzman_D!$E$8)*0.1+IF(BH10-Uzman_D!$F$8&lt;0,-(BH10-Uzman_D!$F$8),BH10-Uzman_D!$F$8)*0.1+IF(BI10-Uzman_D!$G$8&lt;0,-(BI10-Uzman_D!$G$8),BI10-Uzman_D!$G$8)*0.1+IF(BJ10-Uzman_D!$H$8&lt;0,-(BJ10-Uzman_D!$H$8),BJ10-Uzman_D!$H$8)*0.1+IF(BK10-Uzman_D!$I$8&lt;0,-(BK10-Uzman_D!$I$8),BK10-Uzman_D!$I$8)*0.1+IF(BL10-Uzman_D!$J$8&lt;0,-(BL10-Uzman_D!$J$8),BL10-Uzman_D!$J$8)*0.1)+IF(ROUND((IF(BN10-Uzman_D!$L$8&lt;0,-(BN10-Uzman_D!$L$8),BN10-Uzman_D!$L$8)*2),0)/2=IF(BN10-Uzman_D!$L$8&lt;0,-(BN10-Uzman_D!$L$8),BN10-Uzman_D!$L$8),(ROUND((IF(BN10-Uzman_D!$L$8&lt;0,-(BN10-Uzman_D!$L$8),BN10-Uzman_D!$L$8)*2),0)/1*0.1),0)+IF(BO10-Uzman_D!$M$8&lt;0,-(BO10-Uzman_D!$M$8),BO10-Uzman_D!$M$8)*1)</f>
        <v>-1</v>
      </c>
      <c r="BQ10" s="72">
        <f t="shared" si="0"/>
        <v>-0.48000000000000009</v>
      </c>
    </row>
    <row r="11" spans="1:69" ht="15" customHeight="1" x14ac:dyDescent="0.45">
      <c r="A11" s="54">
        <v>8</v>
      </c>
      <c r="B11" s="148" t="str">
        <f>Hakemler!B11</f>
        <v>KESKİN</v>
      </c>
      <c r="C11" s="148" t="str">
        <f>Hakemler!C11</f>
        <v>ENFAL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70"/>
      <c r="O11" s="70"/>
      <c r="P11" s="71">
        <f>1-(SUM(IF(D11-Uzman_D!$B$4&lt;0,-(D11-Uzman_D!$B$4),D11-Uzman_D!$B$4)*0.1+IF(E11-Uzman_D!$C$4&lt;0,-(E11-Uzman_D!$C$4),E11-Uzman_D!$C$4)*0.1+IF(F11-Uzman_D!$D$4&lt;0,-(F11-Uzman_D!$D$4),F11-Uzman_D!$D$4)*0.1+IF(G11-Uzman_D!$E$4&lt;0,-(G11-Uzman_D!$E$4),G11-Uzman_D!$E$4)*0.1+IF(H11-Uzman_D!$F$4&lt;0,-(H11-Uzman_D!$F$4),H11-Uzman_D!$F$4)*0.1+IF(I11-Uzman_D!$G$4&lt;0,-(I11-Uzman_D!$G$4),I11-Uzman_D!$G$4)*0.1+IF(J11-Uzman_D!$H$4&lt;0,-(J11-Uzman_D!$H$4),J11-Uzman_D!$H$4)*0.1+IF(K11-Uzman_D!$I$4&lt;0,-(K11-Uzman_D!$I$4),K11-Uzman_D!$I$4)*0.1+IF(L11-Uzman_D!$J$4&lt;0,-(L11-Uzman_D!$J$4),L11-Uzman_D!$J$4)*0.1)+IF(ROUND((IF(N11-Uzman_D!$L$4&lt;0,-(N11-Uzman_D!$L$4),N11-Uzman_D!$L$4)*2),0)/2=IF(N11-Uzman_D!$L$4&lt;0,-(N11-Uzman_D!$L$4),N11-Uzman_D!$L$4),(ROUND((IF(N11-Uzman_D!$L$4&lt;0,-(N11-Uzman_D!$L$4),N11-Uzman_D!$L$4)*2),0)/1*0.1),0)+IF(O11-Uzman_D!$M$4&lt;0,-(O11-Uzman_D!$M$4),O11-Uzman_D!$M$4)*1)</f>
        <v>-0.19999999999999996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70"/>
      <c r="AB11" s="70"/>
      <c r="AC11" s="71">
        <f>1-(SUM(IF(Q11-Uzman_D!$B$5&lt;0,-(Q11-Uzman_D!$B$5),Q11-Uzman_D!$B$5)*0.1+IF(R11-Uzman_D!$C$5&lt;0,-(R11-Uzman_D!$C$5),R11-Uzman_D!$C$5)*0.1+IF(S11-Uzman_D!$D$5&lt;0,-(S11-Uzman_D!$D$5),S11-Uzman_D!$D$5)*0.1+IF(T11-Uzman_D!$E$5&lt;0,-(T11-Uzman_D!$E$5),T11-Uzman_D!$E$5)*0.1+IF(U11-Uzman_D!$F$5&lt;0,-(U11-Uzman_D!$F$5),U11-Uzman_D!$F$5)*0.1+IF(V11-Uzman_D!$G$5&lt;0,-(V11-Uzman_D!$G$5),V11-Uzman_D!$G$5)*0.1+IF(W11-Uzman_D!$H$5&lt;0,-(W11-Uzman_D!$H$5),W11-Uzman_D!$H$5)*0.1+IF(X11-Uzman_D!$I$5&lt;0,-(X11-Uzman_D!$I$5),X11-Uzman_D!$I$5)*0.1+IF(Y11-Uzman_D!$J$5&lt;0,-(Y11-Uzman_D!$J$5),Y11-Uzman_D!$J$5)*0.1)+IF(ROUND((IF(AA11-Uzman_D!$L$5&lt;0,-(AA11-Uzman_D!$L$5),AA11-Uzman_D!$L$5)*2),0)/2=IF(AA11-Uzman_D!$L$5&lt;0,-(AA11-Uzman_D!$L$5),AA11-Uzman_D!$L$5),(ROUND((IF(AA11-Uzman_D!$L$5&lt;0,-(AA11-Uzman_D!$L$5),AA11-Uzman_D!$L$5)*2),0)/1*0.1),0)+IF(AB11-Uzman_D!$M$5&lt;0,-(AB11-Uzman_D!$M$5),AB11-Uzman_D!$M$5)*1)</f>
        <v>-0.40000000000000013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70"/>
      <c r="AO11" s="70"/>
      <c r="AP11" s="71">
        <f>1-(SUM(IF(AD11-Uzman_D!$B$6&lt;0,-(AD11-Uzman_D!$B$6),AD11-Uzman_D!$B$6)*0.1+IF(AE11-Uzman_D!$C$6&lt;0,-(AE11-Uzman_D!$C$6),AE11-Uzman_D!$C$6)*0.1+IF(AF11-Uzman_D!$D$6&lt;0,-(AF11-Uzman_D!$D$6),AF11-Uzman_D!$D$6)*0.1+IF(AG11-Uzman_D!$E$6&lt;0,-(AG11-Uzman_D!$E$6),AG11-Uzman_D!$E$6)*0.1+IF(AH11-Uzman_D!$F$6&lt;0,-(AH11-Uzman_D!$F$6),AH11-Uzman_D!$F$6)*0.1+IF(AI11-Uzman_D!$G$6&lt;0,-(AI11-Uzman_D!$G$6),AI11-Uzman_D!$G$6)*0.1+IF(AJ11-Uzman_D!$H$6&lt;0,-(AJ11-Uzman_D!$H$6),AJ11-Uzman_D!$H$6)*0.1+IF(AK11-Uzman_D!$I$6&lt;0,-(AK11-Uzman_D!$I$6),AK11-Uzman_D!$I$6)*0.1+IF(AL11-Uzman_D!$J$6&lt;0,-(AL11-Uzman_D!$J$6),AL11-Uzman_D!$J$6)*0.1)+IF(ROUND((IF(AN11-Uzman_D!$L$6&lt;0,-(AN11-Uzman_D!$L$6),AN11-Uzman_D!$L$6)*2),0)/2=IF(AN11-Uzman_D!$L$6&lt;0,-(AN11-Uzman_D!$L$6),AN11-Uzman_D!$L$6),(ROUND((IF(AN11-Uzman_D!$L$6&lt;0,-(AN11-Uzman_D!$L$6),AN11-Uzman_D!$L$6)*2),0)/1*0.1),0)+IF(AO11-Uzman_D!$M$6&lt;0,-(AO11-Uzman_D!$M$6),AO11-Uzman_D!$M$6)*1)</f>
        <v>-0.10000000000000009</v>
      </c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70"/>
      <c r="BB11" s="70"/>
      <c r="BC11" s="71">
        <f>1-(SUM(IF(AQ11-Uzman_D!$B$7&lt;0,-(AQ11-Uzman_D!$B$7),AQ11-Uzman_D!$B$7)*0.1+IF(AR11-Uzman_D!$C$7&lt;0,-(AR11-Uzman_D!$C$7),AR11-Uzman_D!$C$7)*0.1+IF(AS11-Uzman_D!$D$7&lt;0,-(AS11-Uzman_D!$D$7),AS11-Uzman_D!$D$7)*0.1+IF(AT11-Uzman_D!$E$7&lt;0,-(AT11-Uzman_D!$E$7),AT11-Uzman_D!$E$7)*0.1+IF(AU11-Uzman_D!$F$7&lt;0,-(AU11-Uzman_D!$F$7),AU11-Uzman_D!$F$7)*0.1+IF(AV11-Uzman_D!$G$7&lt;0,-(AV11-Uzman_D!$G$7),AV11-Uzman_D!$G$7)*0.1+IF(AW11-Uzman_D!$H$7&lt;0,-(AW11-Uzman_D!$H$7),AW11-Uzman_D!$H$7)*0.1+IF(AX11-Uzman_D!$I$7&lt;0,-(AX11-Uzman_D!$I$7),AX11-Uzman_D!$I$7)*0.1+IF(AY11-Uzman_D!$J$7&lt;0,-(AY11-Uzman_D!$J$7),AY11-Uzman_D!$J$7)*0.1)+IF(ROUND((IF(BA11-Uzman_D!$L$7&lt;0,-(BA11-Uzman_D!$L$7),BA11-Uzman_D!$L$7)*2),0)/2=IF(BA11-Uzman_D!$L$7&lt;0,-(BA11-Uzman_D!$L$7),BA11-Uzman_D!$L$7),(ROUND((IF(BA11-Uzman_D!$L$7&lt;0,-(BA11-Uzman_D!$L$7),BA11-Uzman_D!$L$7)*2),0)/1*0.1),0)+IF(BB11-Uzman_D!$M$7&lt;0,-(BB11-Uzman_D!$M$7),BB11-Uzman_D!$M$7)*1)</f>
        <v>-0.7</v>
      </c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70"/>
      <c r="BO11" s="70"/>
      <c r="BP11" s="71">
        <f>1-(SUM(IF(BD11-Uzman_D!$B$8&lt;0,-(BD11-Uzman_D!$B$8),BD11-Uzman_D!$B$8)*0.1+IF(BE11-Uzman_D!$C$8&lt;0,-(BE11-Uzman_D!$C$8),BE11-Uzman_D!$C$8)*0.1+IF(BF11-Uzman_D!$D$8&lt;0,-(BF11-Uzman_D!$D$8),BF11-Uzman_D!$D$8)*0.1+IF(BG11-Uzman_D!$E$8&lt;0,-(BG11-Uzman_D!$E$8),BG11-Uzman_D!$E$8)*0.1+IF(BH11-Uzman_D!$F$8&lt;0,-(BH11-Uzman_D!$F$8),BH11-Uzman_D!$F$8)*0.1+IF(BI11-Uzman_D!$G$8&lt;0,-(BI11-Uzman_D!$G$8),BI11-Uzman_D!$G$8)*0.1+IF(BJ11-Uzman_D!$H$8&lt;0,-(BJ11-Uzman_D!$H$8),BJ11-Uzman_D!$H$8)*0.1+IF(BK11-Uzman_D!$I$8&lt;0,-(BK11-Uzman_D!$I$8),BK11-Uzman_D!$I$8)*0.1+IF(BL11-Uzman_D!$J$8&lt;0,-(BL11-Uzman_D!$J$8),BL11-Uzman_D!$J$8)*0.1)+IF(ROUND((IF(BN11-Uzman_D!$L$8&lt;0,-(BN11-Uzman_D!$L$8),BN11-Uzman_D!$L$8)*2),0)/2=IF(BN11-Uzman_D!$L$8&lt;0,-(BN11-Uzman_D!$L$8),BN11-Uzman_D!$L$8),(ROUND((IF(BN11-Uzman_D!$L$8&lt;0,-(BN11-Uzman_D!$L$8),BN11-Uzman_D!$L$8)*2),0)/1*0.1),0)+IF(BO11-Uzman_D!$M$8&lt;0,-(BO11-Uzman_D!$M$8),BO11-Uzman_D!$M$8)*1)</f>
        <v>-1</v>
      </c>
      <c r="BQ11" s="72">
        <f t="shared" si="0"/>
        <v>-0.48000000000000009</v>
      </c>
    </row>
    <row r="12" spans="1:69" ht="15" customHeight="1" x14ac:dyDescent="0.45">
      <c r="A12" s="54">
        <v>9</v>
      </c>
      <c r="B12" s="148" t="str">
        <f>Hakemler!B12</f>
        <v>ÜNAL</v>
      </c>
      <c r="C12" s="148" t="str">
        <f>Hakemler!C12</f>
        <v>NAZLINEHİR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70"/>
      <c r="O12" s="70"/>
      <c r="P12" s="71">
        <f>1-(SUM(IF(D12-Uzman_D!$B$4&lt;0,-(D12-Uzman_D!$B$4),D12-Uzman_D!$B$4)*0.1+IF(E12-Uzman_D!$C$4&lt;0,-(E12-Uzman_D!$C$4),E12-Uzman_D!$C$4)*0.1+IF(F12-Uzman_D!$D$4&lt;0,-(F12-Uzman_D!$D$4),F12-Uzman_D!$D$4)*0.1+IF(G12-Uzman_D!$E$4&lt;0,-(G12-Uzman_D!$E$4),G12-Uzman_D!$E$4)*0.1+IF(H12-Uzman_D!$F$4&lt;0,-(H12-Uzman_D!$F$4),H12-Uzman_D!$F$4)*0.1+IF(I12-Uzman_D!$G$4&lt;0,-(I12-Uzman_D!$G$4),I12-Uzman_D!$G$4)*0.1+IF(J12-Uzman_D!$H$4&lt;0,-(J12-Uzman_D!$H$4),J12-Uzman_D!$H$4)*0.1+IF(K12-Uzman_D!$I$4&lt;0,-(K12-Uzman_D!$I$4),K12-Uzman_D!$I$4)*0.1+IF(L12-Uzman_D!$J$4&lt;0,-(L12-Uzman_D!$J$4),L12-Uzman_D!$J$4)*0.1)+IF(ROUND((IF(N12-Uzman_D!$L$4&lt;0,-(N12-Uzman_D!$L$4),N12-Uzman_D!$L$4)*2),0)/2=IF(N12-Uzman_D!$L$4&lt;0,-(N12-Uzman_D!$L$4),N12-Uzman_D!$L$4),(ROUND((IF(N12-Uzman_D!$L$4&lt;0,-(N12-Uzman_D!$L$4),N12-Uzman_D!$L$4)*2),0)/1*0.1),0)+IF(O12-Uzman_D!$M$4&lt;0,-(O12-Uzman_D!$M$4),O12-Uzman_D!$M$4)*1)</f>
        <v>-0.19999999999999996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70"/>
      <c r="AB12" s="70"/>
      <c r="AC12" s="71">
        <f>1-(SUM(IF(Q12-Uzman_D!$B$5&lt;0,-(Q12-Uzman_D!$B$5),Q12-Uzman_D!$B$5)*0.1+IF(R12-Uzman_D!$C$5&lt;0,-(R12-Uzman_D!$C$5),R12-Uzman_D!$C$5)*0.1+IF(S12-Uzman_D!$D$5&lt;0,-(S12-Uzman_D!$D$5),S12-Uzman_D!$D$5)*0.1+IF(T12-Uzman_D!$E$5&lt;0,-(T12-Uzman_D!$E$5),T12-Uzman_D!$E$5)*0.1+IF(U12-Uzman_D!$F$5&lt;0,-(U12-Uzman_D!$F$5),U12-Uzman_D!$F$5)*0.1+IF(V12-Uzman_D!$G$5&lt;0,-(V12-Uzman_D!$G$5),V12-Uzman_D!$G$5)*0.1+IF(W12-Uzman_D!$H$5&lt;0,-(W12-Uzman_D!$H$5),W12-Uzman_D!$H$5)*0.1+IF(X12-Uzman_D!$I$5&lt;0,-(X12-Uzman_D!$I$5),X12-Uzman_D!$I$5)*0.1+IF(Y12-Uzman_D!$J$5&lt;0,-(Y12-Uzman_D!$J$5),Y12-Uzman_D!$J$5)*0.1)+IF(ROUND((IF(AA12-Uzman_D!$L$5&lt;0,-(AA12-Uzman_D!$L$5),AA12-Uzman_D!$L$5)*2),0)/2=IF(AA12-Uzman_D!$L$5&lt;0,-(AA12-Uzman_D!$L$5),AA12-Uzman_D!$L$5),(ROUND((IF(AA12-Uzman_D!$L$5&lt;0,-(AA12-Uzman_D!$L$5),AA12-Uzman_D!$L$5)*2),0)/1*0.1),0)+IF(AB12-Uzman_D!$M$5&lt;0,-(AB12-Uzman_D!$M$5),AB12-Uzman_D!$M$5)*1)</f>
        <v>-0.40000000000000013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70"/>
      <c r="AO12" s="70"/>
      <c r="AP12" s="71">
        <f>1-(SUM(IF(AD12-Uzman_D!$B$6&lt;0,-(AD12-Uzman_D!$B$6),AD12-Uzman_D!$B$6)*0.1+IF(AE12-Uzman_D!$C$6&lt;0,-(AE12-Uzman_D!$C$6),AE12-Uzman_D!$C$6)*0.1+IF(AF12-Uzman_D!$D$6&lt;0,-(AF12-Uzman_D!$D$6),AF12-Uzman_D!$D$6)*0.1+IF(AG12-Uzman_D!$E$6&lt;0,-(AG12-Uzman_D!$E$6),AG12-Uzman_D!$E$6)*0.1+IF(AH12-Uzman_D!$F$6&lt;0,-(AH12-Uzman_D!$F$6),AH12-Uzman_D!$F$6)*0.1+IF(AI12-Uzman_D!$G$6&lt;0,-(AI12-Uzman_D!$G$6),AI12-Uzman_D!$G$6)*0.1+IF(AJ12-Uzman_D!$H$6&lt;0,-(AJ12-Uzman_D!$H$6),AJ12-Uzman_D!$H$6)*0.1+IF(AK12-Uzman_D!$I$6&lt;0,-(AK12-Uzman_D!$I$6),AK12-Uzman_D!$I$6)*0.1+IF(AL12-Uzman_D!$J$6&lt;0,-(AL12-Uzman_D!$J$6),AL12-Uzman_D!$J$6)*0.1)+IF(ROUND((IF(AN12-Uzman_D!$L$6&lt;0,-(AN12-Uzman_D!$L$6),AN12-Uzman_D!$L$6)*2),0)/2=IF(AN12-Uzman_D!$L$6&lt;0,-(AN12-Uzman_D!$L$6),AN12-Uzman_D!$L$6),(ROUND((IF(AN12-Uzman_D!$L$6&lt;0,-(AN12-Uzman_D!$L$6),AN12-Uzman_D!$L$6)*2),0)/1*0.1),0)+IF(AO12-Uzman_D!$M$6&lt;0,-(AO12-Uzman_D!$M$6),AO12-Uzman_D!$M$6)*1)</f>
        <v>-0.10000000000000009</v>
      </c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70"/>
      <c r="BB12" s="70"/>
      <c r="BC12" s="71">
        <f>1-(SUM(IF(AQ12-Uzman_D!$B$7&lt;0,-(AQ12-Uzman_D!$B$7),AQ12-Uzman_D!$B$7)*0.1+IF(AR12-Uzman_D!$C$7&lt;0,-(AR12-Uzman_D!$C$7),AR12-Uzman_D!$C$7)*0.1+IF(AS12-Uzman_D!$D$7&lt;0,-(AS12-Uzman_D!$D$7),AS12-Uzman_D!$D$7)*0.1+IF(AT12-Uzman_D!$E$7&lt;0,-(AT12-Uzman_D!$E$7),AT12-Uzman_D!$E$7)*0.1+IF(AU12-Uzman_D!$F$7&lt;0,-(AU12-Uzman_D!$F$7),AU12-Uzman_D!$F$7)*0.1+IF(AV12-Uzman_D!$G$7&lt;0,-(AV12-Uzman_D!$G$7),AV12-Uzman_D!$G$7)*0.1+IF(AW12-Uzman_D!$H$7&lt;0,-(AW12-Uzman_D!$H$7),AW12-Uzman_D!$H$7)*0.1+IF(AX12-Uzman_D!$I$7&lt;0,-(AX12-Uzman_D!$I$7),AX12-Uzman_D!$I$7)*0.1+IF(AY12-Uzman_D!$J$7&lt;0,-(AY12-Uzman_D!$J$7),AY12-Uzman_D!$J$7)*0.1)+IF(ROUND((IF(BA12-Uzman_D!$L$7&lt;0,-(BA12-Uzman_D!$L$7),BA12-Uzman_D!$L$7)*2),0)/2=IF(BA12-Uzman_D!$L$7&lt;0,-(BA12-Uzman_D!$L$7),BA12-Uzman_D!$L$7),(ROUND((IF(BA12-Uzman_D!$L$7&lt;0,-(BA12-Uzman_D!$L$7),BA12-Uzman_D!$L$7)*2),0)/1*0.1),0)+IF(BB12-Uzman_D!$M$7&lt;0,-(BB12-Uzman_D!$M$7),BB12-Uzman_D!$M$7)*1)</f>
        <v>-0.7</v>
      </c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70"/>
      <c r="BO12" s="70"/>
      <c r="BP12" s="71">
        <f>1-(SUM(IF(BD12-Uzman_D!$B$8&lt;0,-(BD12-Uzman_D!$B$8),BD12-Uzman_D!$B$8)*0.1+IF(BE12-Uzman_D!$C$8&lt;0,-(BE12-Uzman_D!$C$8),BE12-Uzman_D!$C$8)*0.1+IF(BF12-Uzman_D!$D$8&lt;0,-(BF12-Uzman_D!$D$8),BF12-Uzman_D!$D$8)*0.1+IF(BG12-Uzman_D!$E$8&lt;0,-(BG12-Uzman_D!$E$8),BG12-Uzman_D!$E$8)*0.1+IF(BH12-Uzman_D!$F$8&lt;0,-(BH12-Uzman_D!$F$8),BH12-Uzman_D!$F$8)*0.1+IF(BI12-Uzman_D!$G$8&lt;0,-(BI12-Uzman_D!$G$8),BI12-Uzman_D!$G$8)*0.1+IF(BJ12-Uzman_D!$H$8&lt;0,-(BJ12-Uzman_D!$H$8),BJ12-Uzman_D!$H$8)*0.1+IF(BK12-Uzman_D!$I$8&lt;0,-(BK12-Uzman_D!$I$8),BK12-Uzman_D!$I$8)*0.1+IF(BL12-Uzman_D!$J$8&lt;0,-(BL12-Uzman_D!$J$8),BL12-Uzman_D!$J$8)*0.1)+IF(ROUND((IF(BN12-Uzman_D!$L$8&lt;0,-(BN12-Uzman_D!$L$8),BN12-Uzman_D!$L$8)*2),0)/2=IF(BN12-Uzman_D!$L$8&lt;0,-(BN12-Uzman_D!$L$8),BN12-Uzman_D!$L$8),(ROUND((IF(BN12-Uzman_D!$L$8&lt;0,-(BN12-Uzman_D!$L$8),BN12-Uzman_D!$L$8)*2),0)/1*0.1),0)+IF(BO12-Uzman_D!$M$8&lt;0,-(BO12-Uzman_D!$M$8),BO12-Uzman_D!$M$8)*1)</f>
        <v>-1</v>
      </c>
      <c r="BQ12" s="72">
        <f t="shared" si="0"/>
        <v>-0.48000000000000009</v>
      </c>
    </row>
    <row r="13" spans="1:69" ht="15" customHeight="1" x14ac:dyDescent="0.45">
      <c r="A13" s="54">
        <v>10</v>
      </c>
      <c r="B13" s="148" t="str">
        <f>Hakemler!B13</f>
        <v>ÜÇTAŞ ŞANLI</v>
      </c>
      <c r="C13" s="148" t="str">
        <f>Hakemler!C13</f>
        <v>GÖKSU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70"/>
      <c r="O13" s="70"/>
      <c r="P13" s="71">
        <f>1-(SUM(IF(D13-Uzman_D!$B$4&lt;0,-(D13-Uzman_D!$B$4),D13-Uzman_D!$B$4)*0.1+IF(E13-Uzman_D!$C$4&lt;0,-(E13-Uzman_D!$C$4),E13-Uzman_D!$C$4)*0.1+IF(F13-Uzman_D!$D$4&lt;0,-(F13-Uzman_D!$D$4),F13-Uzman_D!$D$4)*0.1+IF(G13-Uzman_D!$E$4&lt;0,-(G13-Uzman_D!$E$4),G13-Uzman_D!$E$4)*0.1+IF(H13-Uzman_D!$F$4&lt;0,-(H13-Uzman_D!$F$4),H13-Uzman_D!$F$4)*0.1+IF(I13-Uzman_D!$G$4&lt;0,-(I13-Uzman_D!$G$4),I13-Uzman_D!$G$4)*0.1+IF(J13-Uzman_D!$H$4&lt;0,-(J13-Uzman_D!$H$4),J13-Uzman_D!$H$4)*0.1+IF(K13-Uzman_D!$I$4&lt;0,-(K13-Uzman_D!$I$4),K13-Uzman_D!$I$4)*0.1+IF(L13-Uzman_D!$J$4&lt;0,-(L13-Uzman_D!$J$4),L13-Uzman_D!$J$4)*0.1)+IF(ROUND((IF(N13-Uzman_D!$L$4&lt;0,-(N13-Uzman_D!$L$4),N13-Uzman_D!$L$4)*2),0)/2=IF(N13-Uzman_D!$L$4&lt;0,-(N13-Uzman_D!$L$4),N13-Uzman_D!$L$4),(ROUND((IF(N13-Uzman_D!$L$4&lt;0,-(N13-Uzman_D!$L$4),N13-Uzman_D!$L$4)*2),0)/1*0.1),0)+IF(O13-Uzman_D!$M$4&lt;0,-(O13-Uzman_D!$M$4),O13-Uzman_D!$M$4)*1)</f>
        <v>-0.19999999999999996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70"/>
      <c r="AB13" s="70"/>
      <c r="AC13" s="71">
        <f>1-(SUM(IF(Q13-Uzman_D!$B$5&lt;0,-(Q13-Uzman_D!$B$5),Q13-Uzman_D!$B$5)*0.1+IF(R13-Uzman_D!$C$5&lt;0,-(R13-Uzman_D!$C$5),R13-Uzman_D!$C$5)*0.1+IF(S13-Uzman_D!$D$5&lt;0,-(S13-Uzman_D!$D$5),S13-Uzman_D!$D$5)*0.1+IF(T13-Uzman_D!$E$5&lt;0,-(T13-Uzman_D!$E$5),T13-Uzman_D!$E$5)*0.1+IF(U13-Uzman_D!$F$5&lt;0,-(U13-Uzman_D!$F$5),U13-Uzman_D!$F$5)*0.1+IF(V13-Uzman_D!$G$5&lt;0,-(V13-Uzman_D!$G$5),V13-Uzman_D!$G$5)*0.1+IF(W13-Uzman_D!$H$5&lt;0,-(W13-Uzman_D!$H$5),W13-Uzman_D!$H$5)*0.1+IF(X13-Uzman_D!$I$5&lt;0,-(X13-Uzman_D!$I$5),X13-Uzman_D!$I$5)*0.1+IF(Y13-Uzman_D!$J$5&lt;0,-(Y13-Uzman_D!$J$5),Y13-Uzman_D!$J$5)*0.1)+IF(ROUND((IF(AA13-Uzman_D!$L$5&lt;0,-(AA13-Uzman_D!$L$5),AA13-Uzman_D!$L$5)*2),0)/2=IF(AA13-Uzman_D!$L$5&lt;0,-(AA13-Uzman_D!$L$5),AA13-Uzman_D!$L$5),(ROUND((IF(AA13-Uzman_D!$L$5&lt;0,-(AA13-Uzman_D!$L$5),AA13-Uzman_D!$L$5)*2),0)/1*0.1),0)+IF(AB13-Uzman_D!$M$5&lt;0,-(AB13-Uzman_D!$M$5),AB13-Uzman_D!$M$5)*1)</f>
        <v>-0.40000000000000013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70"/>
      <c r="AO13" s="70"/>
      <c r="AP13" s="71">
        <f>1-(SUM(IF(AD13-Uzman_D!$B$6&lt;0,-(AD13-Uzman_D!$B$6),AD13-Uzman_D!$B$6)*0.1+IF(AE13-Uzman_D!$C$6&lt;0,-(AE13-Uzman_D!$C$6),AE13-Uzman_D!$C$6)*0.1+IF(AF13-Uzman_D!$D$6&lt;0,-(AF13-Uzman_D!$D$6),AF13-Uzman_D!$D$6)*0.1+IF(AG13-Uzman_D!$E$6&lt;0,-(AG13-Uzman_D!$E$6),AG13-Uzman_D!$E$6)*0.1+IF(AH13-Uzman_D!$F$6&lt;0,-(AH13-Uzman_D!$F$6),AH13-Uzman_D!$F$6)*0.1+IF(AI13-Uzman_D!$G$6&lt;0,-(AI13-Uzman_D!$G$6),AI13-Uzman_D!$G$6)*0.1+IF(AJ13-Uzman_D!$H$6&lt;0,-(AJ13-Uzman_D!$H$6),AJ13-Uzman_D!$H$6)*0.1+IF(AK13-Uzman_D!$I$6&lt;0,-(AK13-Uzman_D!$I$6),AK13-Uzman_D!$I$6)*0.1+IF(AL13-Uzman_D!$J$6&lt;0,-(AL13-Uzman_D!$J$6),AL13-Uzman_D!$J$6)*0.1)+IF(ROUND((IF(AN13-Uzman_D!$L$6&lt;0,-(AN13-Uzman_D!$L$6),AN13-Uzman_D!$L$6)*2),0)/2=IF(AN13-Uzman_D!$L$6&lt;0,-(AN13-Uzman_D!$L$6),AN13-Uzman_D!$L$6),(ROUND((IF(AN13-Uzman_D!$L$6&lt;0,-(AN13-Uzman_D!$L$6),AN13-Uzman_D!$L$6)*2),0)/1*0.1),0)+IF(AO13-Uzman_D!$M$6&lt;0,-(AO13-Uzman_D!$M$6),AO13-Uzman_D!$M$6)*1)</f>
        <v>-0.10000000000000009</v>
      </c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70"/>
      <c r="BB13" s="70"/>
      <c r="BC13" s="71">
        <f>1-(SUM(IF(AQ13-Uzman_D!$B$7&lt;0,-(AQ13-Uzman_D!$B$7),AQ13-Uzman_D!$B$7)*0.1+IF(AR13-Uzman_D!$C$7&lt;0,-(AR13-Uzman_D!$C$7),AR13-Uzman_D!$C$7)*0.1+IF(AS13-Uzman_D!$D$7&lt;0,-(AS13-Uzman_D!$D$7),AS13-Uzman_D!$D$7)*0.1+IF(AT13-Uzman_D!$E$7&lt;0,-(AT13-Uzman_D!$E$7),AT13-Uzman_D!$E$7)*0.1+IF(AU13-Uzman_D!$F$7&lt;0,-(AU13-Uzman_D!$F$7),AU13-Uzman_D!$F$7)*0.1+IF(AV13-Uzman_D!$G$7&lt;0,-(AV13-Uzman_D!$G$7),AV13-Uzman_D!$G$7)*0.1+IF(AW13-Uzman_D!$H$7&lt;0,-(AW13-Uzman_D!$H$7),AW13-Uzman_D!$H$7)*0.1+IF(AX13-Uzman_D!$I$7&lt;0,-(AX13-Uzman_D!$I$7),AX13-Uzman_D!$I$7)*0.1+IF(AY13-Uzman_D!$J$7&lt;0,-(AY13-Uzman_D!$J$7),AY13-Uzman_D!$J$7)*0.1)+IF(ROUND((IF(BA13-Uzman_D!$L$7&lt;0,-(BA13-Uzman_D!$L$7),BA13-Uzman_D!$L$7)*2),0)/2=IF(BA13-Uzman_D!$L$7&lt;0,-(BA13-Uzman_D!$L$7),BA13-Uzman_D!$L$7),(ROUND((IF(BA13-Uzman_D!$L$7&lt;0,-(BA13-Uzman_D!$L$7),BA13-Uzman_D!$L$7)*2),0)/1*0.1),0)+IF(BB13-Uzman_D!$M$7&lt;0,-(BB13-Uzman_D!$M$7),BB13-Uzman_D!$M$7)*1)</f>
        <v>-0.7</v>
      </c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70"/>
      <c r="BO13" s="70"/>
      <c r="BP13" s="71">
        <f>1-(SUM(IF(BD13-Uzman_D!$B$8&lt;0,-(BD13-Uzman_D!$B$8),BD13-Uzman_D!$B$8)*0.1+IF(BE13-Uzman_D!$C$8&lt;0,-(BE13-Uzman_D!$C$8),BE13-Uzman_D!$C$8)*0.1+IF(BF13-Uzman_D!$D$8&lt;0,-(BF13-Uzman_D!$D$8),BF13-Uzman_D!$D$8)*0.1+IF(BG13-Uzman_D!$E$8&lt;0,-(BG13-Uzman_D!$E$8),BG13-Uzman_D!$E$8)*0.1+IF(BH13-Uzman_D!$F$8&lt;0,-(BH13-Uzman_D!$F$8),BH13-Uzman_D!$F$8)*0.1+IF(BI13-Uzman_D!$G$8&lt;0,-(BI13-Uzman_D!$G$8),BI13-Uzman_D!$G$8)*0.1+IF(BJ13-Uzman_D!$H$8&lt;0,-(BJ13-Uzman_D!$H$8),BJ13-Uzman_D!$H$8)*0.1+IF(BK13-Uzman_D!$I$8&lt;0,-(BK13-Uzman_D!$I$8),BK13-Uzman_D!$I$8)*0.1+IF(BL13-Uzman_D!$J$8&lt;0,-(BL13-Uzman_D!$J$8),BL13-Uzman_D!$J$8)*0.1)+IF(ROUND((IF(BN13-Uzman_D!$L$8&lt;0,-(BN13-Uzman_D!$L$8),BN13-Uzman_D!$L$8)*2),0)/2=IF(BN13-Uzman_D!$L$8&lt;0,-(BN13-Uzman_D!$L$8),BN13-Uzman_D!$L$8),(ROUND((IF(BN13-Uzman_D!$L$8&lt;0,-(BN13-Uzman_D!$L$8),BN13-Uzman_D!$L$8)*2),0)/1*0.1),0)+IF(BO13-Uzman_D!$M$8&lt;0,-(BO13-Uzman_D!$M$8),BO13-Uzman_D!$M$8)*1)</f>
        <v>-1</v>
      </c>
      <c r="BQ13" s="72">
        <f t="shared" si="0"/>
        <v>-0.48000000000000009</v>
      </c>
    </row>
    <row r="14" spans="1:69" ht="15" customHeight="1" x14ac:dyDescent="0.45">
      <c r="A14" s="54">
        <v>11</v>
      </c>
      <c r="B14" s="148" t="str">
        <f>Hakemler!B14</f>
        <v>YÜCEL</v>
      </c>
      <c r="C14" s="148" t="str">
        <f>Hakemler!C14</f>
        <v>SİBEL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70"/>
      <c r="O14" s="70"/>
      <c r="P14" s="71">
        <f>1-(SUM(IF(D14-Uzman_D!$B$4&lt;0,-(D14-Uzman_D!$B$4),D14-Uzman_D!$B$4)*0.1+IF(E14-Uzman_D!$C$4&lt;0,-(E14-Uzman_D!$C$4),E14-Uzman_D!$C$4)*0.1+IF(F14-Uzman_D!$D$4&lt;0,-(F14-Uzman_D!$D$4),F14-Uzman_D!$D$4)*0.1+IF(G14-Uzman_D!$E$4&lt;0,-(G14-Uzman_D!$E$4),G14-Uzman_D!$E$4)*0.1+IF(H14-Uzman_D!$F$4&lt;0,-(H14-Uzman_D!$F$4),H14-Uzman_D!$F$4)*0.1+IF(I14-Uzman_D!$G$4&lt;0,-(I14-Uzman_D!$G$4),I14-Uzman_D!$G$4)*0.1+IF(J14-Uzman_D!$H$4&lt;0,-(J14-Uzman_D!$H$4),J14-Uzman_D!$H$4)*0.1+IF(K14-Uzman_D!$I$4&lt;0,-(K14-Uzman_D!$I$4),K14-Uzman_D!$I$4)*0.1+IF(L14-Uzman_D!$J$4&lt;0,-(L14-Uzman_D!$J$4),L14-Uzman_D!$J$4)*0.1)+IF(ROUND((IF(N14-Uzman_D!$L$4&lt;0,-(N14-Uzman_D!$L$4),N14-Uzman_D!$L$4)*2),0)/2=IF(N14-Uzman_D!$L$4&lt;0,-(N14-Uzman_D!$L$4),N14-Uzman_D!$L$4),(ROUND((IF(N14-Uzman_D!$L$4&lt;0,-(N14-Uzman_D!$L$4),N14-Uzman_D!$L$4)*2),0)/1*0.1),0)+IF(O14-Uzman_D!$M$4&lt;0,-(O14-Uzman_D!$M$4),O14-Uzman_D!$M$4)*1)</f>
        <v>-0.19999999999999996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70"/>
      <c r="AB14" s="70"/>
      <c r="AC14" s="71">
        <f>1-(SUM(IF(Q14-Uzman_D!$B$5&lt;0,-(Q14-Uzman_D!$B$5),Q14-Uzman_D!$B$5)*0.1+IF(R14-Uzman_D!$C$5&lt;0,-(R14-Uzman_D!$C$5),R14-Uzman_D!$C$5)*0.1+IF(S14-Uzman_D!$D$5&lt;0,-(S14-Uzman_D!$D$5),S14-Uzman_D!$D$5)*0.1+IF(T14-Uzman_D!$E$5&lt;0,-(T14-Uzman_D!$E$5),T14-Uzman_D!$E$5)*0.1+IF(U14-Uzman_D!$F$5&lt;0,-(U14-Uzman_D!$F$5),U14-Uzman_D!$F$5)*0.1+IF(V14-Uzman_D!$G$5&lt;0,-(V14-Uzman_D!$G$5),V14-Uzman_D!$G$5)*0.1+IF(W14-Uzman_D!$H$5&lt;0,-(W14-Uzman_D!$H$5),W14-Uzman_D!$H$5)*0.1+IF(X14-Uzman_D!$I$5&lt;0,-(X14-Uzman_D!$I$5),X14-Uzman_D!$I$5)*0.1+IF(Y14-Uzman_D!$J$5&lt;0,-(Y14-Uzman_D!$J$5),Y14-Uzman_D!$J$5)*0.1)+IF(ROUND((IF(AA14-Uzman_D!$L$5&lt;0,-(AA14-Uzman_D!$L$5),AA14-Uzman_D!$L$5)*2),0)/2=IF(AA14-Uzman_D!$L$5&lt;0,-(AA14-Uzman_D!$L$5),AA14-Uzman_D!$L$5),(ROUND((IF(AA14-Uzman_D!$L$5&lt;0,-(AA14-Uzman_D!$L$5),AA14-Uzman_D!$L$5)*2),0)/1*0.1),0)+IF(AB14-Uzman_D!$M$5&lt;0,-(AB14-Uzman_D!$M$5),AB14-Uzman_D!$M$5)*1)</f>
        <v>-0.40000000000000013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70"/>
      <c r="AO14" s="70"/>
      <c r="AP14" s="71">
        <f>1-(SUM(IF(AD14-Uzman_D!$B$6&lt;0,-(AD14-Uzman_D!$B$6),AD14-Uzman_D!$B$6)*0.1+IF(AE14-Uzman_D!$C$6&lt;0,-(AE14-Uzman_D!$C$6),AE14-Uzman_D!$C$6)*0.1+IF(AF14-Uzman_D!$D$6&lt;0,-(AF14-Uzman_D!$D$6),AF14-Uzman_D!$D$6)*0.1+IF(AG14-Uzman_D!$E$6&lt;0,-(AG14-Uzman_D!$E$6),AG14-Uzman_D!$E$6)*0.1+IF(AH14-Uzman_D!$F$6&lt;0,-(AH14-Uzman_D!$F$6),AH14-Uzman_D!$F$6)*0.1+IF(AI14-Uzman_D!$G$6&lt;0,-(AI14-Uzman_D!$G$6),AI14-Uzman_D!$G$6)*0.1+IF(AJ14-Uzman_D!$H$6&lt;0,-(AJ14-Uzman_D!$H$6),AJ14-Uzman_D!$H$6)*0.1+IF(AK14-Uzman_D!$I$6&lt;0,-(AK14-Uzman_D!$I$6),AK14-Uzman_D!$I$6)*0.1+IF(AL14-Uzman_D!$J$6&lt;0,-(AL14-Uzman_D!$J$6),AL14-Uzman_D!$J$6)*0.1)+IF(ROUND((IF(AN14-Uzman_D!$L$6&lt;0,-(AN14-Uzman_D!$L$6),AN14-Uzman_D!$L$6)*2),0)/2=IF(AN14-Uzman_D!$L$6&lt;0,-(AN14-Uzman_D!$L$6),AN14-Uzman_D!$L$6),(ROUND((IF(AN14-Uzman_D!$L$6&lt;0,-(AN14-Uzman_D!$L$6),AN14-Uzman_D!$L$6)*2),0)/1*0.1),0)+IF(AO14-Uzman_D!$M$6&lt;0,-(AO14-Uzman_D!$M$6),AO14-Uzman_D!$M$6)*1)</f>
        <v>-0.10000000000000009</v>
      </c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70"/>
      <c r="BB14" s="70"/>
      <c r="BC14" s="71">
        <f>1-(SUM(IF(AQ14-Uzman_D!$B$7&lt;0,-(AQ14-Uzman_D!$B$7),AQ14-Uzman_D!$B$7)*0.1+IF(AR14-Uzman_D!$C$7&lt;0,-(AR14-Uzman_D!$C$7),AR14-Uzman_D!$C$7)*0.1+IF(AS14-Uzman_D!$D$7&lt;0,-(AS14-Uzman_D!$D$7),AS14-Uzman_D!$D$7)*0.1+IF(AT14-Uzman_D!$E$7&lt;0,-(AT14-Uzman_D!$E$7),AT14-Uzman_D!$E$7)*0.1+IF(AU14-Uzman_D!$F$7&lt;0,-(AU14-Uzman_D!$F$7),AU14-Uzman_D!$F$7)*0.1+IF(AV14-Uzman_D!$G$7&lt;0,-(AV14-Uzman_D!$G$7),AV14-Uzman_D!$G$7)*0.1+IF(AW14-Uzman_D!$H$7&lt;0,-(AW14-Uzman_D!$H$7),AW14-Uzman_D!$H$7)*0.1+IF(AX14-Uzman_D!$I$7&lt;0,-(AX14-Uzman_D!$I$7),AX14-Uzman_D!$I$7)*0.1+IF(AY14-Uzman_D!$J$7&lt;0,-(AY14-Uzman_D!$J$7),AY14-Uzman_D!$J$7)*0.1)+IF(ROUND((IF(BA14-Uzman_D!$L$7&lt;0,-(BA14-Uzman_D!$L$7),BA14-Uzman_D!$L$7)*2),0)/2=IF(BA14-Uzman_D!$L$7&lt;0,-(BA14-Uzman_D!$L$7),BA14-Uzman_D!$L$7),(ROUND((IF(BA14-Uzman_D!$L$7&lt;0,-(BA14-Uzman_D!$L$7),BA14-Uzman_D!$L$7)*2),0)/1*0.1),0)+IF(BB14-Uzman_D!$M$7&lt;0,-(BB14-Uzman_D!$M$7),BB14-Uzman_D!$M$7)*1)</f>
        <v>-0.7</v>
      </c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70"/>
      <c r="BO14" s="70"/>
      <c r="BP14" s="71">
        <f>1-(SUM(IF(BD14-Uzman_D!$B$8&lt;0,-(BD14-Uzman_D!$B$8),BD14-Uzman_D!$B$8)*0.1+IF(BE14-Uzman_D!$C$8&lt;0,-(BE14-Uzman_D!$C$8),BE14-Uzman_D!$C$8)*0.1+IF(BF14-Uzman_D!$D$8&lt;0,-(BF14-Uzman_D!$D$8),BF14-Uzman_D!$D$8)*0.1+IF(BG14-Uzman_D!$E$8&lt;0,-(BG14-Uzman_D!$E$8),BG14-Uzman_D!$E$8)*0.1+IF(BH14-Uzman_D!$F$8&lt;0,-(BH14-Uzman_D!$F$8),BH14-Uzman_D!$F$8)*0.1+IF(BI14-Uzman_D!$G$8&lt;0,-(BI14-Uzman_D!$G$8),BI14-Uzman_D!$G$8)*0.1+IF(BJ14-Uzman_D!$H$8&lt;0,-(BJ14-Uzman_D!$H$8),BJ14-Uzman_D!$H$8)*0.1+IF(BK14-Uzman_D!$I$8&lt;0,-(BK14-Uzman_D!$I$8),BK14-Uzman_D!$I$8)*0.1+IF(BL14-Uzman_D!$J$8&lt;0,-(BL14-Uzman_D!$J$8),BL14-Uzman_D!$J$8)*0.1)+IF(ROUND((IF(BN14-Uzman_D!$L$8&lt;0,-(BN14-Uzman_D!$L$8),BN14-Uzman_D!$L$8)*2),0)/2=IF(BN14-Uzman_D!$L$8&lt;0,-(BN14-Uzman_D!$L$8),BN14-Uzman_D!$L$8),(ROUND((IF(BN14-Uzman_D!$L$8&lt;0,-(BN14-Uzman_D!$L$8),BN14-Uzman_D!$L$8)*2),0)/1*0.1),0)+IF(BO14-Uzman_D!$M$8&lt;0,-(BO14-Uzman_D!$M$8),BO14-Uzman_D!$M$8)*1)</f>
        <v>-1</v>
      </c>
      <c r="BQ14" s="72">
        <f t="shared" si="0"/>
        <v>-0.48000000000000009</v>
      </c>
    </row>
    <row r="15" spans="1:69" ht="15" customHeight="1" x14ac:dyDescent="0.45">
      <c r="A15" s="54">
        <v>12</v>
      </c>
      <c r="B15" s="148" t="str">
        <f>Hakemler!B15</f>
        <v>YILMAZER</v>
      </c>
      <c r="C15" s="148" t="str">
        <f>Hakemler!C15</f>
        <v>ZEHRA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70"/>
      <c r="O15" s="70"/>
      <c r="P15" s="71">
        <f>1-(SUM(IF(D15-Uzman_D!$B$4&lt;0,-(D15-Uzman_D!$B$4),D15-Uzman_D!$B$4)*0.1+IF(E15-Uzman_D!$C$4&lt;0,-(E15-Uzman_D!$C$4),E15-Uzman_D!$C$4)*0.1+IF(F15-Uzman_D!$D$4&lt;0,-(F15-Uzman_D!$D$4),F15-Uzman_D!$D$4)*0.1+IF(G15-Uzman_D!$E$4&lt;0,-(G15-Uzman_D!$E$4),G15-Uzman_D!$E$4)*0.1+IF(H15-Uzman_D!$F$4&lt;0,-(H15-Uzman_D!$F$4),H15-Uzman_D!$F$4)*0.1+IF(I15-Uzman_D!$G$4&lt;0,-(I15-Uzman_D!$G$4),I15-Uzman_D!$G$4)*0.1+IF(J15-Uzman_D!$H$4&lt;0,-(J15-Uzman_D!$H$4),J15-Uzman_D!$H$4)*0.1+IF(K15-Uzman_D!$I$4&lt;0,-(K15-Uzman_D!$I$4),K15-Uzman_D!$I$4)*0.1+IF(L15-Uzman_D!$J$4&lt;0,-(L15-Uzman_D!$J$4),L15-Uzman_D!$J$4)*0.1)+IF(ROUND((IF(N15-Uzman_D!$L$4&lt;0,-(N15-Uzman_D!$L$4),N15-Uzman_D!$L$4)*2),0)/2=IF(N15-Uzman_D!$L$4&lt;0,-(N15-Uzman_D!$L$4),N15-Uzman_D!$L$4),(ROUND((IF(N15-Uzman_D!$L$4&lt;0,-(N15-Uzman_D!$L$4),N15-Uzman_D!$L$4)*2),0)/1*0.1),0)+IF(O15-Uzman_D!$M$4&lt;0,-(O15-Uzman_D!$M$4),O15-Uzman_D!$M$4)*1)</f>
        <v>-0.19999999999999996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70"/>
      <c r="AB15" s="70"/>
      <c r="AC15" s="71">
        <f>1-(SUM(IF(Q15-Uzman_D!$B$5&lt;0,-(Q15-Uzman_D!$B$5),Q15-Uzman_D!$B$5)*0.1+IF(R15-Uzman_D!$C$5&lt;0,-(R15-Uzman_D!$C$5),R15-Uzman_D!$C$5)*0.1+IF(S15-Uzman_D!$D$5&lt;0,-(S15-Uzman_D!$D$5),S15-Uzman_D!$D$5)*0.1+IF(T15-Uzman_D!$E$5&lt;0,-(T15-Uzman_D!$E$5),T15-Uzman_D!$E$5)*0.1+IF(U15-Uzman_D!$F$5&lt;0,-(U15-Uzman_D!$F$5),U15-Uzman_D!$F$5)*0.1+IF(V15-Uzman_D!$G$5&lt;0,-(V15-Uzman_D!$G$5),V15-Uzman_D!$G$5)*0.1+IF(W15-Uzman_D!$H$5&lt;0,-(W15-Uzman_D!$H$5),W15-Uzman_D!$H$5)*0.1+IF(X15-Uzman_D!$I$5&lt;0,-(X15-Uzman_D!$I$5),X15-Uzman_D!$I$5)*0.1+IF(Y15-Uzman_D!$J$5&lt;0,-(Y15-Uzman_D!$J$5),Y15-Uzman_D!$J$5)*0.1)+IF(ROUND((IF(AA15-Uzman_D!$L$5&lt;0,-(AA15-Uzman_D!$L$5),AA15-Uzman_D!$L$5)*2),0)/2=IF(AA15-Uzman_D!$L$5&lt;0,-(AA15-Uzman_D!$L$5),AA15-Uzman_D!$L$5),(ROUND((IF(AA15-Uzman_D!$L$5&lt;0,-(AA15-Uzman_D!$L$5),AA15-Uzman_D!$L$5)*2),0)/1*0.1),0)+IF(AB15-Uzman_D!$M$5&lt;0,-(AB15-Uzman_D!$M$5),AB15-Uzman_D!$M$5)*1)</f>
        <v>-0.40000000000000013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70"/>
      <c r="AO15" s="70"/>
      <c r="AP15" s="71">
        <f>1-(SUM(IF(AD15-Uzman_D!$B$6&lt;0,-(AD15-Uzman_D!$B$6),AD15-Uzman_D!$B$6)*0.1+IF(AE15-Uzman_D!$C$6&lt;0,-(AE15-Uzman_D!$C$6),AE15-Uzman_D!$C$6)*0.1+IF(AF15-Uzman_D!$D$6&lt;0,-(AF15-Uzman_D!$D$6),AF15-Uzman_D!$D$6)*0.1+IF(AG15-Uzman_D!$E$6&lt;0,-(AG15-Uzman_D!$E$6),AG15-Uzman_D!$E$6)*0.1+IF(AH15-Uzman_D!$F$6&lt;0,-(AH15-Uzman_D!$F$6),AH15-Uzman_D!$F$6)*0.1+IF(AI15-Uzman_D!$G$6&lt;0,-(AI15-Uzman_D!$G$6),AI15-Uzman_D!$G$6)*0.1+IF(AJ15-Uzman_D!$H$6&lt;0,-(AJ15-Uzman_D!$H$6),AJ15-Uzman_D!$H$6)*0.1+IF(AK15-Uzman_D!$I$6&lt;0,-(AK15-Uzman_D!$I$6),AK15-Uzman_D!$I$6)*0.1+IF(AL15-Uzman_D!$J$6&lt;0,-(AL15-Uzman_D!$J$6),AL15-Uzman_D!$J$6)*0.1)+IF(ROUND((IF(AN15-Uzman_D!$L$6&lt;0,-(AN15-Uzman_D!$L$6),AN15-Uzman_D!$L$6)*2),0)/2=IF(AN15-Uzman_D!$L$6&lt;0,-(AN15-Uzman_D!$L$6),AN15-Uzman_D!$L$6),(ROUND((IF(AN15-Uzman_D!$L$6&lt;0,-(AN15-Uzman_D!$L$6),AN15-Uzman_D!$L$6)*2),0)/1*0.1),0)+IF(AO15-Uzman_D!$M$6&lt;0,-(AO15-Uzman_D!$M$6),AO15-Uzman_D!$M$6)*1)</f>
        <v>-0.10000000000000009</v>
      </c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70"/>
      <c r="BB15" s="70"/>
      <c r="BC15" s="71">
        <f>1-(SUM(IF(AQ15-Uzman_D!$B$7&lt;0,-(AQ15-Uzman_D!$B$7),AQ15-Uzman_D!$B$7)*0.1+IF(AR15-Uzman_D!$C$7&lt;0,-(AR15-Uzman_D!$C$7),AR15-Uzman_D!$C$7)*0.1+IF(AS15-Uzman_D!$D$7&lt;0,-(AS15-Uzman_D!$D$7),AS15-Uzman_D!$D$7)*0.1+IF(AT15-Uzman_D!$E$7&lt;0,-(AT15-Uzman_D!$E$7),AT15-Uzman_D!$E$7)*0.1+IF(AU15-Uzman_D!$F$7&lt;0,-(AU15-Uzman_D!$F$7),AU15-Uzman_D!$F$7)*0.1+IF(AV15-Uzman_D!$G$7&lt;0,-(AV15-Uzman_D!$G$7),AV15-Uzman_D!$G$7)*0.1+IF(AW15-Uzman_D!$H$7&lt;0,-(AW15-Uzman_D!$H$7),AW15-Uzman_D!$H$7)*0.1+IF(AX15-Uzman_D!$I$7&lt;0,-(AX15-Uzman_D!$I$7),AX15-Uzman_D!$I$7)*0.1+IF(AY15-Uzman_D!$J$7&lt;0,-(AY15-Uzman_D!$J$7),AY15-Uzman_D!$J$7)*0.1)+IF(ROUND((IF(BA15-Uzman_D!$L$7&lt;0,-(BA15-Uzman_D!$L$7),BA15-Uzman_D!$L$7)*2),0)/2=IF(BA15-Uzman_D!$L$7&lt;0,-(BA15-Uzman_D!$L$7),BA15-Uzman_D!$L$7),(ROUND((IF(BA15-Uzman_D!$L$7&lt;0,-(BA15-Uzman_D!$L$7),BA15-Uzman_D!$L$7)*2),0)/1*0.1),0)+IF(BB15-Uzman_D!$M$7&lt;0,-(BB15-Uzman_D!$M$7),BB15-Uzman_D!$M$7)*1)</f>
        <v>-0.7</v>
      </c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70"/>
      <c r="BO15" s="70"/>
      <c r="BP15" s="71">
        <f>1-(SUM(IF(BD15-Uzman_D!$B$8&lt;0,-(BD15-Uzman_D!$B$8),BD15-Uzman_D!$B$8)*0.1+IF(BE15-Uzman_D!$C$8&lt;0,-(BE15-Uzman_D!$C$8),BE15-Uzman_D!$C$8)*0.1+IF(BF15-Uzman_D!$D$8&lt;0,-(BF15-Uzman_D!$D$8),BF15-Uzman_D!$D$8)*0.1+IF(BG15-Uzman_D!$E$8&lt;0,-(BG15-Uzman_D!$E$8),BG15-Uzman_D!$E$8)*0.1+IF(BH15-Uzman_D!$F$8&lt;0,-(BH15-Uzman_D!$F$8),BH15-Uzman_D!$F$8)*0.1+IF(BI15-Uzman_D!$G$8&lt;0,-(BI15-Uzman_D!$G$8),BI15-Uzman_D!$G$8)*0.1+IF(BJ15-Uzman_D!$H$8&lt;0,-(BJ15-Uzman_D!$H$8),BJ15-Uzman_D!$H$8)*0.1+IF(BK15-Uzman_D!$I$8&lt;0,-(BK15-Uzman_D!$I$8),BK15-Uzman_D!$I$8)*0.1+IF(BL15-Uzman_D!$J$8&lt;0,-(BL15-Uzman_D!$J$8),BL15-Uzman_D!$J$8)*0.1)+IF(ROUND((IF(BN15-Uzman_D!$L$8&lt;0,-(BN15-Uzman_D!$L$8),BN15-Uzman_D!$L$8)*2),0)/2=IF(BN15-Uzman_D!$L$8&lt;0,-(BN15-Uzman_D!$L$8),BN15-Uzman_D!$L$8),(ROUND((IF(BN15-Uzman_D!$L$8&lt;0,-(BN15-Uzman_D!$L$8),BN15-Uzman_D!$L$8)*2),0)/1*0.1),0)+IF(BO15-Uzman_D!$M$8&lt;0,-(BO15-Uzman_D!$M$8),BO15-Uzman_D!$M$8)*1)</f>
        <v>-1</v>
      </c>
      <c r="BQ15" s="72">
        <f t="shared" si="0"/>
        <v>-0.48000000000000009</v>
      </c>
    </row>
    <row r="16" spans="1:69" ht="15" customHeight="1" x14ac:dyDescent="0.45">
      <c r="A16" s="54">
        <v>13</v>
      </c>
      <c r="B16" s="148" t="str">
        <f>Hakemler!B16</f>
        <v>ŞAHİNTEKİN</v>
      </c>
      <c r="C16" s="148" t="str">
        <f>Hakemler!C16</f>
        <v>MUHAMMED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70"/>
      <c r="O16" s="70"/>
      <c r="P16" s="71">
        <f>1-(SUM(IF(D16-Uzman_D!$B$4&lt;0,-(D16-Uzman_D!$B$4),D16-Uzman_D!$B$4)*0.1+IF(E16-Uzman_D!$C$4&lt;0,-(E16-Uzman_D!$C$4),E16-Uzman_D!$C$4)*0.1+IF(F16-Uzman_D!$D$4&lt;0,-(F16-Uzman_D!$D$4),F16-Uzman_D!$D$4)*0.1+IF(G16-Uzman_D!$E$4&lt;0,-(G16-Uzman_D!$E$4),G16-Uzman_D!$E$4)*0.1+IF(H16-Uzman_D!$F$4&lt;0,-(H16-Uzman_D!$F$4),H16-Uzman_D!$F$4)*0.1+IF(I16-Uzman_D!$G$4&lt;0,-(I16-Uzman_D!$G$4),I16-Uzman_D!$G$4)*0.1+IF(J16-Uzman_D!$H$4&lt;0,-(J16-Uzman_D!$H$4),J16-Uzman_D!$H$4)*0.1+IF(K16-Uzman_D!$I$4&lt;0,-(K16-Uzman_D!$I$4),K16-Uzman_D!$I$4)*0.1+IF(L16-Uzman_D!$J$4&lt;0,-(L16-Uzman_D!$J$4),L16-Uzman_D!$J$4)*0.1)+IF(ROUND((IF(N16-Uzman_D!$L$4&lt;0,-(N16-Uzman_D!$L$4),N16-Uzman_D!$L$4)*2),0)/2=IF(N16-Uzman_D!$L$4&lt;0,-(N16-Uzman_D!$L$4),N16-Uzman_D!$L$4),(ROUND((IF(N16-Uzman_D!$L$4&lt;0,-(N16-Uzman_D!$L$4),N16-Uzman_D!$L$4)*2),0)/1*0.1),0)+IF(O16-Uzman_D!$M$4&lt;0,-(O16-Uzman_D!$M$4),O16-Uzman_D!$M$4)*1)</f>
        <v>-0.19999999999999996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70"/>
      <c r="AB16" s="70"/>
      <c r="AC16" s="71">
        <f>1-(SUM(IF(Q16-Uzman_D!$B$5&lt;0,-(Q16-Uzman_D!$B$5),Q16-Uzman_D!$B$5)*0.1+IF(R16-Uzman_D!$C$5&lt;0,-(R16-Uzman_D!$C$5),R16-Uzman_D!$C$5)*0.1+IF(S16-Uzman_D!$D$5&lt;0,-(S16-Uzman_D!$D$5),S16-Uzman_D!$D$5)*0.1+IF(T16-Uzman_D!$E$5&lt;0,-(T16-Uzman_D!$E$5),T16-Uzman_D!$E$5)*0.1+IF(U16-Uzman_D!$F$5&lt;0,-(U16-Uzman_D!$F$5),U16-Uzman_D!$F$5)*0.1+IF(V16-Uzman_D!$G$5&lt;0,-(V16-Uzman_D!$G$5),V16-Uzman_D!$G$5)*0.1+IF(W16-Uzman_D!$H$5&lt;0,-(W16-Uzman_D!$H$5),W16-Uzman_D!$H$5)*0.1+IF(X16-Uzman_D!$I$5&lt;0,-(X16-Uzman_D!$I$5),X16-Uzman_D!$I$5)*0.1+IF(Y16-Uzman_D!$J$5&lt;0,-(Y16-Uzman_D!$J$5),Y16-Uzman_D!$J$5)*0.1)+IF(ROUND((IF(AA16-Uzman_D!$L$5&lt;0,-(AA16-Uzman_D!$L$5),AA16-Uzman_D!$L$5)*2),0)/2=IF(AA16-Uzman_D!$L$5&lt;0,-(AA16-Uzman_D!$L$5),AA16-Uzman_D!$L$5),(ROUND((IF(AA16-Uzman_D!$L$5&lt;0,-(AA16-Uzman_D!$L$5),AA16-Uzman_D!$L$5)*2),0)/1*0.1),0)+IF(AB16-Uzman_D!$M$5&lt;0,-(AB16-Uzman_D!$M$5),AB16-Uzman_D!$M$5)*1)</f>
        <v>-0.40000000000000013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70"/>
      <c r="AO16" s="70"/>
      <c r="AP16" s="71">
        <f>1-(SUM(IF(AD16-Uzman_D!$B$6&lt;0,-(AD16-Uzman_D!$B$6),AD16-Uzman_D!$B$6)*0.1+IF(AE16-Uzman_D!$C$6&lt;0,-(AE16-Uzman_D!$C$6),AE16-Uzman_D!$C$6)*0.1+IF(AF16-Uzman_D!$D$6&lt;0,-(AF16-Uzman_D!$D$6),AF16-Uzman_D!$D$6)*0.1+IF(AG16-Uzman_D!$E$6&lt;0,-(AG16-Uzman_D!$E$6),AG16-Uzman_D!$E$6)*0.1+IF(AH16-Uzman_D!$F$6&lt;0,-(AH16-Uzman_D!$F$6),AH16-Uzman_D!$F$6)*0.1+IF(AI16-Uzman_D!$G$6&lt;0,-(AI16-Uzman_D!$G$6),AI16-Uzman_D!$G$6)*0.1+IF(AJ16-Uzman_D!$H$6&lt;0,-(AJ16-Uzman_D!$H$6),AJ16-Uzman_D!$H$6)*0.1+IF(AK16-Uzman_D!$I$6&lt;0,-(AK16-Uzman_D!$I$6),AK16-Uzman_D!$I$6)*0.1+IF(AL16-Uzman_D!$J$6&lt;0,-(AL16-Uzman_D!$J$6),AL16-Uzman_D!$J$6)*0.1)+IF(ROUND((IF(AN16-Uzman_D!$L$6&lt;0,-(AN16-Uzman_D!$L$6),AN16-Uzman_D!$L$6)*2),0)/2=IF(AN16-Uzman_D!$L$6&lt;0,-(AN16-Uzman_D!$L$6),AN16-Uzman_D!$L$6),(ROUND((IF(AN16-Uzman_D!$L$6&lt;0,-(AN16-Uzman_D!$L$6),AN16-Uzman_D!$L$6)*2),0)/1*0.1),0)+IF(AO16-Uzman_D!$M$6&lt;0,-(AO16-Uzman_D!$M$6),AO16-Uzman_D!$M$6)*1)</f>
        <v>-0.10000000000000009</v>
      </c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70"/>
      <c r="BB16" s="70"/>
      <c r="BC16" s="71">
        <f>1-(SUM(IF(AQ16-Uzman_D!$B$7&lt;0,-(AQ16-Uzman_D!$B$7),AQ16-Uzman_D!$B$7)*0.1+IF(AR16-Uzman_D!$C$7&lt;0,-(AR16-Uzman_D!$C$7),AR16-Uzman_D!$C$7)*0.1+IF(AS16-Uzman_D!$D$7&lt;0,-(AS16-Uzman_D!$D$7),AS16-Uzman_D!$D$7)*0.1+IF(AT16-Uzman_D!$E$7&lt;0,-(AT16-Uzman_D!$E$7),AT16-Uzman_D!$E$7)*0.1+IF(AU16-Uzman_D!$F$7&lt;0,-(AU16-Uzman_D!$F$7),AU16-Uzman_D!$F$7)*0.1+IF(AV16-Uzman_D!$G$7&lt;0,-(AV16-Uzman_D!$G$7),AV16-Uzman_D!$G$7)*0.1+IF(AW16-Uzman_D!$H$7&lt;0,-(AW16-Uzman_D!$H$7),AW16-Uzman_D!$H$7)*0.1+IF(AX16-Uzman_D!$I$7&lt;0,-(AX16-Uzman_D!$I$7),AX16-Uzman_D!$I$7)*0.1+IF(AY16-Uzman_D!$J$7&lt;0,-(AY16-Uzman_D!$J$7),AY16-Uzman_D!$J$7)*0.1)+IF(ROUND((IF(BA16-Uzman_D!$L$7&lt;0,-(BA16-Uzman_D!$L$7),BA16-Uzman_D!$L$7)*2),0)/2=IF(BA16-Uzman_D!$L$7&lt;0,-(BA16-Uzman_D!$L$7),BA16-Uzman_D!$L$7),(ROUND((IF(BA16-Uzman_D!$L$7&lt;0,-(BA16-Uzman_D!$L$7),BA16-Uzman_D!$L$7)*2),0)/1*0.1),0)+IF(BB16-Uzman_D!$M$7&lt;0,-(BB16-Uzman_D!$M$7),BB16-Uzman_D!$M$7)*1)</f>
        <v>-0.7</v>
      </c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70"/>
      <c r="BO16" s="70"/>
      <c r="BP16" s="71">
        <f>1-(SUM(IF(BD16-Uzman_D!$B$8&lt;0,-(BD16-Uzman_D!$B$8),BD16-Uzman_D!$B$8)*0.1+IF(BE16-Uzman_D!$C$8&lt;0,-(BE16-Uzman_D!$C$8),BE16-Uzman_D!$C$8)*0.1+IF(BF16-Uzman_D!$D$8&lt;0,-(BF16-Uzman_D!$D$8),BF16-Uzman_D!$D$8)*0.1+IF(BG16-Uzman_D!$E$8&lt;0,-(BG16-Uzman_D!$E$8),BG16-Uzman_D!$E$8)*0.1+IF(BH16-Uzman_D!$F$8&lt;0,-(BH16-Uzman_D!$F$8),BH16-Uzman_D!$F$8)*0.1+IF(BI16-Uzman_D!$G$8&lt;0,-(BI16-Uzman_D!$G$8),BI16-Uzman_D!$G$8)*0.1+IF(BJ16-Uzman_D!$H$8&lt;0,-(BJ16-Uzman_D!$H$8),BJ16-Uzman_D!$H$8)*0.1+IF(BK16-Uzman_D!$I$8&lt;0,-(BK16-Uzman_D!$I$8),BK16-Uzman_D!$I$8)*0.1+IF(BL16-Uzman_D!$J$8&lt;0,-(BL16-Uzman_D!$J$8),BL16-Uzman_D!$J$8)*0.1)+IF(ROUND((IF(BN16-Uzman_D!$L$8&lt;0,-(BN16-Uzman_D!$L$8),BN16-Uzman_D!$L$8)*2),0)/2=IF(BN16-Uzman_D!$L$8&lt;0,-(BN16-Uzman_D!$L$8),BN16-Uzman_D!$L$8),(ROUND((IF(BN16-Uzman_D!$L$8&lt;0,-(BN16-Uzman_D!$L$8),BN16-Uzman_D!$L$8)*2),0)/1*0.1),0)+IF(BO16-Uzman_D!$M$8&lt;0,-(BO16-Uzman_D!$M$8),BO16-Uzman_D!$M$8)*1)</f>
        <v>-1</v>
      </c>
      <c r="BQ16" s="72">
        <f t="shared" si="0"/>
        <v>-0.48000000000000009</v>
      </c>
    </row>
    <row r="17" spans="1:69" ht="15" customHeight="1" x14ac:dyDescent="0.45">
      <c r="A17" s="54">
        <v>14</v>
      </c>
      <c r="B17" s="148" t="str">
        <f>Hakemler!B17</f>
        <v>ERKUT</v>
      </c>
      <c r="C17" s="148" t="str">
        <f>Hakemler!C17</f>
        <v>OYA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70"/>
      <c r="O17" s="70"/>
      <c r="P17" s="71">
        <f>1-(SUM(IF(D17-Uzman_D!$B$4&lt;0,-(D17-Uzman_D!$B$4),D17-Uzman_D!$B$4)*0.1+IF(E17-Uzman_D!$C$4&lt;0,-(E17-Uzman_D!$C$4),E17-Uzman_D!$C$4)*0.1+IF(F17-Uzman_D!$D$4&lt;0,-(F17-Uzman_D!$D$4),F17-Uzman_D!$D$4)*0.1+IF(G17-Uzman_D!$E$4&lt;0,-(G17-Uzman_D!$E$4),G17-Uzman_D!$E$4)*0.1+IF(H17-Uzman_D!$F$4&lt;0,-(H17-Uzman_D!$F$4),H17-Uzman_D!$F$4)*0.1+IF(I17-Uzman_D!$G$4&lt;0,-(I17-Uzman_D!$G$4),I17-Uzman_D!$G$4)*0.1+IF(J17-Uzman_D!$H$4&lt;0,-(J17-Uzman_D!$H$4),J17-Uzman_D!$H$4)*0.1+IF(K17-Uzman_D!$I$4&lt;0,-(K17-Uzman_D!$I$4),K17-Uzman_D!$I$4)*0.1+IF(L17-Uzman_D!$J$4&lt;0,-(L17-Uzman_D!$J$4),L17-Uzman_D!$J$4)*0.1)+IF(ROUND((IF(N17-Uzman_D!$L$4&lt;0,-(N17-Uzman_D!$L$4),N17-Uzman_D!$L$4)*2),0)/2=IF(N17-Uzman_D!$L$4&lt;0,-(N17-Uzman_D!$L$4),N17-Uzman_D!$L$4),(ROUND((IF(N17-Uzman_D!$L$4&lt;0,-(N17-Uzman_D!$L$4),N17-Uzman_D!$L$4)*2),0)/1*0.1),0)+IF(O17-Uzman_D!$M$4&lt;0,-(O17-Uzman_D!$M$4),O17-Uzman_D!$M$4)*1)</f>
        <v>-0.19999999999999996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70"/>
      <c r="AB17" s="70"/>
      <c r="AC17" s="71">
        <f>1-(SUM(IF(Q17-Uzman_D!$B$5&lt;0,-(Q17-Uzman_D!$B$5),Q17-Uzman_D!$B$5)*0.1+IF(R17-Uzman_D!$C$5&lt;0,-(R17-Uzman_D!$C$5),R17-Uzman_D!$C$5)*0.1+IF(S17-Uzman_D!$D$5&lt;0,-(S17-Uzman_D!$D$5),S17-Uzman_D!$D$5)*0.1+IF(T17-Uzman_D!$E$5&lt;0,-(T17-Uzman_D!$E$5),T17-Uzman_D!$E$5)*0.1+IF(U17-Uzman_D!$F$5&lt;0,-(U17-Uzman_D!$F$5),U17-Uzman_D!$F$5)*0.1+IF(V17-Uzman_D!$G$5&lt;0,-(V17-Uzman_D!$G$5),V17-Uzman_D!$G$5)*0.1+IF(W17-Uzman_D!$H$5&lt;0,-(W17-Uzman_D!$H$5),W17-Uzman_D!$H$5)*0.1+IF(X17-Uzman_D!$I$5&lt;0,-(X17-Uzman_D!$I$5),X17-Uzman_D!$I$5)*0.1+IF(Y17-Uzman_D!$J$5&lt;0,-(Y17-Uzman_D!$J$5),Y17-Uzman_D!$J$5)*0.1)+IF(ROUND((IF(AA17-Uzman_D!$L$5&lt;0,-(AA17-Uzman_D!$L$5),AA17-Uzman_D!$L$5)*2),0)/2=IF(AA17-Uzman_D!$L$5&lt;0,-(AA17-Uzman_D!$L$5),AA17-Uzman_D!$L$5),(ROUND((IF(AA17-Uzman_D!$L$5&lt;0,-(AA17-Uzman_D!$L$5),AA17-Uzman_D!$L$5)*2),0)/1*0.1),0)+IF(AB17-Uzman_D!$M$5&lt;0,-(AB17-Uzman_D!$M$5),AB17-Uzman_D!$M$5)*1)</f>
        <v>-0.40000000000000013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70"/>
      <c r="AO17" s="70"/>
      <c r="AP17" s="71">
        <f>1-(SUM(IF(AD17-Uzman_D!$B$6&lt;0,-(AD17-Uzman_D!$B$6),AD17-Uzman_D!$B$6)*0.1+IF(AE17-Uzman_D!$C$6&lt;0,-(AE17-Uzman_D!$C$6),AE17-Uzman_D!$C$6)*0.1+IF(AF17-Uzman_D!$D$6&lt;0,-(AF17-Uzman_D!$D$6),AF17-Uzman_D!$D$6)*0.1+IF(AG17-Uzman_D!$E$6&lt;0,-(AG17-Uzman_D!$E$6),AG17-Uzman_D!$E$6)*0.1+IF(AH17-Uzman_D!$F$6&lt;0,-(AH17-Uzman_D!$F$6),AH17-Uzman_D!$F$6)*0.1+IF(AI17-Uzman_D!$G$6&lt;0,-(AI17-Uzman_D!$G$6),AI17-Uzman_D!$G$6)*0.1+IF(AJ17-Uzman_D!$H$6&lt;0,-(AJ17-Uzman_D!$H$6),AJ17-Uzman_D!$H$6)*0.1+IF(AK17-Uzman_D!$I$6&lt;0,-(AK17-Uzman_D!$I$6),AK17-Uzman_D!$I$6)*0.1+IF(AL17-Uzman_D!$J$6&lt;0,-(AL17-Uzman_D!$J$6),AL17-Uzman_D!$J$6)*0.1)+IF(ROUND((IF(AN17-Uzman_D!$L$6&lt;0,-(AN17-Uzman_D!$L$6),AN17-Uzman_D!$L$6)*2),0)/2=IF(AN17-Uzman_D!$L$6&lt;0,-(AN17-Uzman_D!$L$6),AN17-Uzman_D!$L$6),(ROUND((IF(AN17-Uzman_D!$L$6&lt;0,-(AN17-Uzman_D!$L$6),AN17-Uzman_D!$L$6)*2),0)/1*0.1),0)+IF(AO17-Uzman_D!$M$6&lt;0,-(AO17-Uzman_D!$M$6),AO17-Uzman_D!$M$6)*1)</f>
        <v>-0.10000000000000009</v>
      </c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70"/>
      <c r="BB17" s="70"/>
      <c r="BC17" s="71">
        <f>1-(SUM(IF(AQ17-Uzman_D!$B$7&lt;0,-(AQ17-Uzman_D!$B$7),AQ17-Uzman_D!$B$7)*0.1+IF(AR17-Uzman_D!$C$7&lt;0,-(AR17-Uzman_D!$C$7),AR17-Uzman_D!$C$7)*0.1+IF(AS17-Uzman_D!$D$7&lt;0,-(AS17-Uzman_D!$D$7),AS17-Uzman_D!$D$7)*0.1+IF(AT17-Uzman_D!$E$7&lt;0,-(AT17-Uzman_D!$E$7),AT17-Uzman_D!$E$7)*0.1+IF(AU17-Uzman_D!$F$7&lt;0,-(AU17-Uzman_D!$F$7),AU17-Uzman_D!$F$7)*0.1+IF(AV17-Uzman_D!$G$7&lt;0,-(AV17-Uzman_D!$G$7),AV17-Uzman_D!$G$7)*0.1+IF(AW17-Uzman_D!$H$7&lt;0,-(AW17-Uzman_D!$H$7),AW17-Uzman_D!$H$7)*0.1+IF(AX17-Uzman_D!$I$7&lt;0,-(AX17-Uzman_D!$I$7),AX17-Uzman_D!$I$7)*0.1+IF(AY17-Uzman_D!$J$7&lt;0,-(AY17-Uzman_D!$J$7),AY17-Uzman_D!$J$7)*0.1)+IF(ROUND((IF(BA17-Uzman_D!$L$7&lt;0,-(BA17-Uzman_D!$L$7),BA17-Uzman_D!$L$7)*2),0)/2=IF(BA17-Uzman_D!$L$7&lt;0,-(BA17-Uzman_D!$L$7),BA17-Uzman_D!$L$7),(ROUND((IF(BA17-Uzman_D!$L$7&lt;0,-(BA17-Uzman_D!$L$7),BA17-Uzman_D!$L$7)*2),0)/1*0.1),0)+IF(BB17-Uzman_D!$M$7&lt;0,-(BB17-Uzman_D!$M$7),BB17-Uzman_D!$M$7)*1)</f>
        <v>-0.7</v>
      </c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70"/>
      <c r="BO17" s="70"/>
      <c r="BP17" s="71">
        <f>1-(SUM(IF(BD17-Uzman_D!$B$8&lt;0,-(BD17-Uzman_D!$B$8),BD17-Uzman_D!$B$8)*0.1+IF(BE17-Uzman_D!$C$8&lt;0,-(BE17-Uzman_D!$C$8),BE17-Uzman_D!$C$8)*0.1+IF(BF17-Uzman_D!$D$8&lt;0,-(BF17-Uzman_D!$D$8),BF17-Uzman_D!$D$8)*0.1+IF(BG17-Uzman_D!$E$8&lt;0,-(BG17-Uzman_D!$E$8),BG17-Uzman_D!$E$8)*0.1+IF(BH17-Uzman_D!$F$8&lt;0,-(BH17-Uzman_D!$F$8),BH17-Uzman_D!$F$8)*0.1+IF(BI17-Uzman_D!$G$8&lt;0,-(BI17-Uzman_D!$G$8),BI17-Uzman_D!$G$8)*0.1+IF(BJ17-Uzman_D!$H$8&lt;0,-(BJ17-Uzman_D!$H$8),BJ17-Uzman_D!$H$8)*0.1+IF(BK17-Uzman_D!$I$8&lt;0,-(BK17-Uzman_D!$I$8),BK17-Uzman_D!$I$8)*0.1+IF(BL17-Uzman_D!$J$8&lt;0,-(BL17-Uzman_D!$J$8),BL17-Uzman_D!$J$8)*0.1)+IF(ROUND((IF(BN17-Uzman_D!$L$8&lt;0,-(BN17-Uzman_D!$L$8),BN17-Uzman_D!$L$8)*2),0)/2=IF(BN17-Uzman_D!$L$8&lt;0,-(BN17-Uzman_D!$L$8),BN17-Uzman_D!$L$8),(ROUND((IF(BN17-Uzman_D!$L$8&lt;0,-(BN17-Uzman_D!$L$8),BN17-Uzman_D!$L$8)*2),0)/1*0.1),0)+IF(BO17-Uzman_D!$M$8&lt;0,-(BO17-Uzman_D!$M$8),BO17-Uzman_D!$M$8)*1)</f>
        <v>-1</v>
      </c>
      <c r="BQ17" s="72">
        <f t="shared" si="0"/>
        <v>-0.48000000000000009</v>
      </c>
    </row>
    <row r="18" spans="1:69" ht="15" customHeight="1" x14ac:dyDescent="0.45">
      <c r="A18" s="54">
        <v>15</v>
      </c>
      <c r="B18" s="148" t="str">
        <f>Hakemler!B18</f>
        <v>GÜMÜŞLÜ</v>
      </c>
      <c r="C18" s="148" t="str">
        <f>Hakemler!C18</f>
        <v>AYSEL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70"/>
      <c r="O18" s="70"/>
      <c r="P18" s="71">
        <f>1-(SUM(IF(D18-Uzman_D!$B$4&lt;0,-(D18-Uzman_D!$B$4),D18-Uzman_D!$B$4)*0.1+IF(E18-Uzman_D!$C$4&lt;0,-(E18-Uzman_D!$C$4),E18-Uzman_D!$C$4)*0.1+IF(F18-Uzman_D!$D$4&lt;0,-(F18-Uzman_D!$D$4),F18-Uzman_D!$D$4)*0.1+IF(G18-Uzman_D!$E$4&lt;0,-(G18-Uzman_D!$E$4),G18-Uzman_D!$E$4)*0.1+IF(H18-Uzman_D!$F$4&lt;0,-(H18-Uzman_D!$F$4),H18-Uzman_D!$F$4)*0.1+IF(I18-Uzman_D!$G$4&lt;0,-(I18-Uzman_D!$G$4),I18-Uzman_D!$G$4)*0.1+IF(J18-Uzman_D!$H$4&lt;0,-(J18-Uzman_D!$H$4),J18-Uzman_D!$H$4)*0.1+IF(K18-Uzman_D!$I$4&lt;0,-(K18-Uzman_D!$I$4),K18-Uzman_D!$I$4)*0.1+IF(L18-Uzman_D!$J$4&lt;0,-(L18-Uzman_D!$J$4),L18-Uzman_D!$J$4)*0.1)+IF(ROUND((IF(N18-Uzman_D!$L$4&lt;0,-(N18-Uzman_D!$L$4),N18-Uzman_D!$L$4)*2),0)/2=IF(N18-Uzman_D!$L$4&lt;0,-(N18-Uzman_D!$L$4),N18-Uzman_D!$L$4),(ROUND((IF(N18-Uzman_D!$L$4&lt;0,-(N18-Uzman_D!$L$4),N18-Uzman_D!$L$4)*2),0)/1*0.1),0)+IF(O18-Uzman_D!$M$4&lt;0,-(O18-Uzman_D!$M$4),O18-Uzman_D!$M$4)*1)</f>
        <v>-0.19999999999999996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70"/>
      <c r="AB18" s="70"/>
      <c r="AC18" s="71">
        <f>1-(SUM(IF(Q18-Uzman_D!$B$5&lt;0,-(Q18-Uzman_D!$B$5),Q18-Uzman_D!$B$5)*0.1+IF(R18-Uzman_D!$C$5&lt;0,-(R18-Uzman_D!$C$5),R18-Uzman_D!$C$5)*0.1+IF(S18-Uzman_D!$D$5&lt;0,-(S18-Uzman_D!$D$5),S18-Uzman_D!$D$5)*0.1+IF(T18-Uzman_D!$E$5&lt;0,-(T18-Uzman_D!$E$5),T18-Uzman_D!$E$5)*0.1+IF(U18-Uzman_D!$F$5&lt;0,-(U18-Uzman_D!$F$5),U18-Uzman_D!$F$5)*0.1+IF(V18-Uzman_D!$G$5&lt;0,-(V18-Uzman_D!$G$5),V18-Uzman_D!$G$5)*0.1+IF(W18-Uzman_D!$H$5&lt;0,-(W18-Uzman_D!$H$5),W18-Uzman_D!$H$5)*0.1+IF(X18-Uzman_D!$I$5&lt;0,-(X18-Uzman_D!$I$5),X18-Uzman_D!$I$5)*0.1+IF(Y18-Uzman_D!$J$5&lt;0,-(Y18-Uzman_D!$J$5),Y18-Uzman_D!$J$5)*0.1)+IF(ROUND((IF(AA18-Uzman_D!$L$5&lt;0,-(AA18-Uzman_D!$L$5),AA18-Uzman_D!$L$5)*2),0)/2=IF(AA18-Uzman_D!$L$5&lt;0,-(AA18-Uzman_D!$L$5),AA18-Uzman_D!$L$5),(ROUND((IF(AA18-Uzman_D!$L$5&lt;0,-(AA18-Uzman_D!$L$5),AA18-Uzman_D!$L$5)*2),0)/1*0.1),0)+IF(AB18-Uzman_D!$M$5&lt;0,-(AB18-Uzman_D!$M$5),AB18-Uzman_D!$M$5)*1)</f>
        <v>-0.40000000000000013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70"/>
      <c r="AO18" s="70"/>
      <c r="AP18" s="71">
        <f>1-(SUM(IF(AD18-Uzman_D!$B$6&lt;0,-(AD18-Uzman_D!$B$6),AD18-Uzman_D!$B$6)*0.1+IF(AE18-Uzman_D!$C$6&lt;0,-(AE18-Uzman_D!$C$6),AE18-Uzman_D!$C$6)*0.1+IF(AF18-Uzman_D!$D$6&lt;0,-(AF18-Uzman_D!$D$6),AF18-Uzman_D!$D$6)*0.1+IF(AG18-Uzman_D!$E$6&lt;0,-(AG18-Uzman_D!$E$6),AG18-Uzman_D!$E$6)*0.1+IF(AH18-Uzman_D!$F$6&lt;0,-(AH18-Uzman_D!$F$6),AH18-Uzman_D!$F$6)*0.1+IF(AI18-Uzman_D!$G$6&lt;0,-(AI18-Uzman_D!$G$6),AI18-Uzman_D!$G$6)*0.1+IF(AJ18-Uzman_D!$H$6&lt;0,-(AJ18-Uzman_D!$H$6),AJ18-Uzman_D!$H$6)*0.1+IF(AK18-Uzman_D!$I$6&lt;0,-(AK18-Uzman_D!$I$6),AK18-Uzman_D!$I$6)*0.1+IF(AL18-Uzman_D!$J$6&lt;0,-(AL18-Uzman_D!$J$6),AL18-Uzman_D!$J$6)*0.1)+IF(ROUND((IF(AN18-Uzman_D!$L$6&lt;0,-(AN18-Uzman_D!$L$6),AN18-Uzman_D!$L$6)*2),0)/2=IF(AN18-Uzman_D!$L$6&lt;0,-(AN18-Uzman_D!$L$6),AN18-Uzman_D!$L$6),(ROUND((IF(AN18-Uzman_D!$L$6&lt;0,-(AN18-Uzman_D!$L$6),AN18-Uzman_D!$L$6)*2),0)/1*0.1),0)+IF(AO18-Uzman_D!$M$6&lt;0,-(AO18-Uzman_D!$M$6),AO18-Uzman_D!$M$6)*1)</f>
        <v>-0.10000000000000009</v>
      </c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70"/>
      <c r="BB18" s="70"/>
      <c r="BC18" s="71">
        <f>1-(SUM(IF(AQ18-Uzman_D!$B$7&lt;0,-(AQ18-Uzman_D!$B$7),AQ18-Uzman_D!$B$7)*0.1+IF(AR18-Uzman_D!$C$7&lt;0,-(AR18-Uzman_D!$C$7),AR18-Uzman_D!$C$7)*0.1+IF(AS18-Uzman_D!$D$7&lt;0,-(AS18-Uzman_D!$D$7),AS18-Uzman_D!$D$7)*0.1+IF(AT18-Uzman_D!$E$7&lt;0,-(AT18-Uzman_D!$E$7),AT18-Uzman_D!$E$7)*0.1+IF(AU18-Uzman_D!$F$7&lt;0,-(AU18-Uzman_D!$F$7),AU18-Uzman_D!$F$7)*0.1+IF(AV18-Uzman_D!$G$7&lt;0,-(AV18-Uzman_D!$G$7),AV18-Uzman_D!$G$7)*0.1+IF(AW18-Uzman_D!$H$7&lt;0,-(AW18-Uzman_D!$H$7),AW18-Uzman_D!$H$7)*0.1+IF(AX18-Uzman_D!$I$7&lt;0,-(AX18-Uzman_D!$I$7),AX18-Uzman_D!$I$7)*0.1+IF(AY18-Uzman_D!$J$7&lt;0,-(AY18-Uzman_D!$J$7),AY18-Uzman_D!$J$7)*0.1)+IF(ROUND((IF(BA18-Uzman_D!$L$7&lt;0,-(BA18-Uzman_D!$L$7),BA18-Uzman_D!$L$7)*2),0)/2=IF(BA18-Uzman_D!$L$7&lt;0,-(BA18-Uzman_D!$L$7),BA18-Uzman_D!$L$7),(ROUND((IF(BA18-Uzman_D!$L$7&lt;0,-(BA18-Uzman_D!$L$7),BA18-Uzman_D!$L$7)*2),0)/1*0.1),0)+IF(BB18-Uzman_D!$M$7&lt;0,-(BB18-Uzman_D!$M$7),BB18-Uzman_D!$M$7)*1)</f>
        <v>-0.7</v>
      </c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70"/>
      <c r="BO18" s="70"/>
      <c r="BP18" s="71">
        <f>1-(SUM(IF(BD18-Uzman_D!$B$8&lt;0,-(BD18-Uzman_D!$B$8),BD18-Uzman_D!$B$8)*0.1+IF(BE18-Uzman_D!$C$8&lt;0,-(BE18-Uzman_D!$C$8),BE18-Uzman_D!$C$8)*0.1+IF(BF18-Uzman_D!$D$8&lt;0,-(BF18-Uzman_D!$D$8),BF18-Uzman_D!$D$8)*0.1+IF(BG18-Uzman_D!$E$8&lt;0,-(BG18-Uzman_D!$E$8),BG18-Uzman_D!$E$8)*0.1+IF(BH18-Uzman_D!$F$8&lt;0,-(BH18-Uzman_D!$F$8),BH18-Uzman_D!$F$8)*0.1+IF(BI18-Uzman_D!$G$8&lt;0,-(BI18-Uzman_D!$G$8),BI18-Uzman_D!$G$8)*0.1+IF(BJ18-Uzman_D!$H$8&lt;0,-(BJ18-Uzman_D!$H$8),BJ18-Uzman_D!$H$8)*0.1+IF(BK18-Uzman_D!$I$8&lt;0,-(BK18-Uzman_D!$I$8),BK18-Uzman_D!$I$8)*0.1+IF(BL18-Uzman_D!$J$8&lt;0,-(BL18-Uzman_D!$J$8),BL18-Uzman_D!$J$8)*0.1)+IF(ROUND((IF(BN18-Uzman_D!$L$8&lt;0,-(BN18-Uzman_D!$L$8),BN18-Uzman_D!$L$8)*2),0)/2=IF(BN18-Uzman_D!$L$8&lt;0,-(BN18-Uzman_D!$L$8),BN18-Uzman_D!$L$8),(ROUND((IF(BN18-Uzman_D!$L$8&lt;0,-(BN18-Uzman_D!$L$8),BN18-Uzman_D!$L$8)*2),0)/1*0.1),0)+IF(BO18-Uzman_D!$M$8&lt;0,-(BO18-Uzman_D!$M$8),BO18-Uzman_D!$M$8)*1)</f>
        <v>-1</v>
      </c>
      <c r="BQ18" s="72">
        <f t="shared" si="0"/>
        <v>-0.48000000000000009</v>
      </c>
    </row>
    <row r="19" spans="1:69" ht="15" customHeight="1" x14ac:dyDescent="0.45">
      <c r="A19" s="54">
        <v>16</v>
      </c>
      <c r="B19" s="148" t="str">
        <f>Hakemler!B19</f>
        <v>CURA COŞKUN</v>
      </c>
      <c r="C19" s="148" t="str">
        <f>Hakemler!C19</f>
        <v>MELİKE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70"/>
      <c r="O19" s="70"/>
      <c r="P19" s="71">
        <f>1-(SUM(IF(D19-Uzman_D!$B$4&lt;0,-(D19-Uzman_D!$B$4),D19-Uzman_D!$B$4)*0.1+IF(E19-Uzman_D!$C$4&lt;0,-(E19-Uzman_D!$C$4),E19-Uzman_D!$C$4)*0.1+IF(F19-Uzman_D!$D$4&lt;0,-(F19-Uzman_D!$D$4),F19-Uzman_D!$D$4)*0.1+IF(G19-Uzman_D!$E$4&lt;0,-(G19-Uzman_D!$E$4),G19-Uzman_D!$E$4)*0.1+IF(H19-Uzman_D!$F$4&lt;0,-(H19-Uzman_D!$F$4),H19-Uzman_D!$F$4)*0.1+IF(I19-Uzman_D!$G$4&lt;0,-(I19-Uzman_D!$G$4),I19-Uzman_D!$G$4)*0.1+IF(J19-Uzman_D!$H$4&lt;0,-(J19-Uzman_D!$H$4),J19-Uzman_D!$H$4)*0.1+IF(K19-Uzman_D!$I$4&lt;0,-(K19-Uzman_D!$I$4),K19-Uzman_D!$I$4)*0.1+IF(L19-Uzman_D!$J$4&lt;0,-(L19-Uzman_D!$J$4),L19-Uzman_D!$J$4)*0.1)+IF(ROUND((IF(N19-Uzman_D!$L$4&lt;0,-(N19-Uzman_D!$L$4),N19-Uzman_D!$L$4)*2),0)/2=IF(N19-Uzman_D!$L$4&lt;0,-(N19-Uzman_D!$L$4),N19-Uzman_D!$L$4),(ROUND((IF(N19-Uzman_D!$L$4&lt;0,-(N19-Uzman_D!$L$4),N19-Uzman_D!$L$4)*2),0)/1*0.1),0)+IF(O19-Uzman_D!$M$4&lt;0,-(O19-Uzman_D!$M$4),O19-Uzman_D!$M$4)*1)</f>
        <v>-0.19999999999999996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70"/>
      <c r="AB19" s="70"/>
      <c r="AC19" s="71">
        <f>1-(SUM(IF(Q19-Uzman_D!$B$5&lt;0,-(Q19-Uzman_D!$B$5),Q19-Uzman_D!$B$5)*0.1+IF(R19-Uzman_D!$C$5&lt;0,-(R19-Uzman_D!$C$5),R19-Uzman_D!$C$5)*0.1+IF(S19-Uzman_D!$D$5&lt;0,-(S19-Uzman_D!$D$5),S19-Uzman_D!$D$5)*0.1+IF(T19-Uzman_D!$E$5&lt;0,-(T19-Uzman_D!$E$5),T19-Uzman_D!$E$5)*0.1+IF(U19-Uzman_D!$F$5&lt;0,-(U19-Uzman_D!$F$5),U19-Uzman_D!$F$5)*0.1+IF(V19-Uzman_D!$G$5&lt;0,-(V19-Uzman_D!$G$5),V19-Uzman_D!$G$5)*0.1+IF(W19-Uzman_D!$H$5&lt;0,-(W19-Uzman_D!$H$5),W19-Uzman_D!$H$5)*0.1+IF(X19-Uzman_D!$I$5&lt;0,-(X19-Uzman_D!$I$5),X19-Uzman_D!$I$5)*0.1+IF(Y19-Uzman_D!$J$5&lt;0,-(Y19-Uzman_D!$J$5),Y19-Uzman_D!$J$5)*0.1)+IF(ROUND((IF(AA19-Uzman_D!$L$5&lt;0,-(AA19-Uzman_D!$L$5),AA19-Uzman_D!$L$5)*2),0)/2=IF(AA19-Uzman_D!$L$5&lt;0,-(AA19-Uzman_D!$L$5),AA19-Uzman_D!$L$5),(ROUND((IF(AA19-Uzman_D!$L$5&lt;0,-(AA19-Uzman_D!$L$5),AA19-Uzman_D!$L$5)*2),0)/1*0.1),0)+IF(AB19-Uzman_D!$M$5&lt;0,-(AB19-Uzman_D!$M$5),AB19-Uzman_D!$M$5)*1)</f>
        <v>-0.40000000000000013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70"/>
      <c r="AO19" s="70"/>
      <c r="AP19" s="71">
        <f>1-(SUM(IF(AD19-Uzman_D!$B$6&lt;0,-(AD19-Uzman_D!$B$6),AD19-Uzman_D!$B$6)*0.1+IF(AE19-Uzman_D!$C$6&lt;0,-(AE19-Uzman_D!$C$6),AE19-Uzman_D!$C$6)*0.1+IF(AF19-Uzman_D!$D$6&lt;0,-(AF19-Uzman_D!$D$6),AF19-Uzman_D!$D$6)*0.1+IF(AG19-Uzman_D!$E$6&lt;0,-(AG19-Uzman_D!$E$6),AG19-Uzman_D!$E$6)*0.1+IF(AH19-Uzman_D!$F$6&lt;0,-(AH19-Uzman_D!$F$6),AH19-Uzman_D!$F$6)*0.1+IF(AI19-Uzman_D!$G$6&lt;0,-(AI19-Uzman_D!$G$6),AI19-Uzman_D!$G$6)*0.1+IF(AJ19-Uzman_D!$H$6&lt;0,-(AJ19-Uzman_D!$H$6),AJ19-Uzman_D!$H$6)*0.1+IF(AK19-Uzman_D!$I$6&lt;0,-(AK19-Uzman_D!$I$6),AK19-Uzman_D!$I$6)*0.1+IF(AL19-Uzman_D!$J$6&lt;0,-(AL19-Uzman_D!$J$6),AL19-Uzman_D!$J$6)*0.1)+IF(ROUND((IF(AN19-Uzman_D!$L$6&lt;0,-(AN19-Uzman_D!$L$6),AN19-Uzman_D!$L$6)*2),0)/2=IF(AN19-Uzman_D!$L$6&lt;0,-(AN19-Uzman_D!$L$6),AN19-Uzman_D!$L$6),(ROUND((IF(AN19-Uzman_D!$L$6&lt;0,-(AN19-Uzman_D!$L$6),AN19-Uzman_D!$L$6)*2),0)/1*0.1),0)+IF(AO19-Uzman_D!$M$6&lt;0,-(AO19-Uzman_D!$M$6),AO19-Uzman_D!$M$6)*1)</f>
        <v>-0.10000000000000009</v>
      </c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70"/>
      <c r="BB19" s="70"/>
      <c r="BC19" s="71">
        <f>1-(SUM(IF(AQ19-Uzman_D!$B$7&lt;0,-(AQ19-Uzman_D!$B$7),AQ19-Uzman_D!$B$7)*0.1+IF(AR19-Uzman_D!$C$7&lt;0,-(AR19-Uzman_D!$C$7),AR19-Uzman_D!$C$7)*0.1+IF(AS19-Uzman_D!$D$7&lt;0,-(AS19-Uzman_D!$D$7),AS19-Uzman_D!$D$7)*0.1+IF(AT19-Uzman_D!$E$7&lt;0,-(AT19-Uzman_D!$E$7),AT19-Uzman_D!$E$7)*0.1+IF(AU19-Uzman_D!$F$7&lt;0,-(AU19-Uzman_D!$F$7),AU19-Uzman_D!$F$7)*0.1+IF(AV19-Uzman_D!$G$7&lt;0,-(AV19-Uzman_D!$G$7),AV19-Uzman_D!$G$7)*0.1+IF(AW19-Uzman_D!$H$7&lt;0,-(AW19-Uzman_D!$H$7),AW19-Uzman_D!$H$7)*0.1+IF(AX19-Uzman_D!$I$7&lt;0,-(AX19-Uzman_D!$I$7),AX19-Uzman_D!$I$7)*0.1+IF(AY19-Uzman_D!$J$7&lt;0,-(AY19-Uzman_D!$J$7),AY19-Uzman_D!$J$7)*0.1)+IF(ROUND((IF(BA19-Uzman_D!$L$7&lt;0,-(BA19-Uzman_D!$L$7),BA19-Uzman_D!$L$7)*2),0)/2=IF(BA19-Uzman_D!$L$7&lt;0,-(BA19-Uzman_D!$L$7),BA19-Uzman_D!$L$7),(ROUND((IF(BA19-Uzman_D!$L$7&lt;0,-(BA19-Uzman_D!$L$7),BA19-Uzman_D!$L$7)*2),0)/1*0.1),0)+IF(BB19-Uzman_D!$M$7&lt;0,-(BB19-Uzman_D!$M$7),BB19-Uzman_D!$M$7)*1)</f>
        <v>-0.7</v>
      </c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70"/>
      <c r="BO19" s="70"/>
      <c r="BP19" s="71">
        <f>1-(SUM(IF(BD19-Uzman_D!$B$8&lt;0,-(BD19-Uzman_D!$B$8),BD19-Uzman_D!$B$8)*0.1+IF(BE19-Uzman_D!$C$8&lt;0,-(BE19-Uzman_D!$C$8),BE19-Uzman_D!$C$8)*0.1+IF(BF19-Uzman_D!$D$8&lt;0,-(BF19-Uzman_D!$D$8),BF19-Uzman_D!$D$8)*0.1+IF(BG19-Uzman_D!$E$8&lt;0,-(BG19-Uzman_D!$E$8),BG19-Uzman_D!$E$8)*0.1+IF(BH19-Uzman_D!$F$8&lt;0,-(BH19-Uzman_D!$F$8),BH19-Uzman_D!$F$8)*0.1+IF(BI19-Uzman_D!$G$8&lt;0,-(BI19-Uzman_D!$G$8),BI19-Uzman_D!$G$8)*0.1+IF(BJ19-Uzman_D!$H$8&lt;0,-(BJ19-Uzman_D!$H$8),BJ19-Uzman_D!$H$8)*0.1+IF(BK19-Uzman_D!$I$8&lt;0,-(BK19-Uzman_D!$I$8),BK19-Uzman_D!$I$8)*0.1+IF(BL19-Uzman_D!$J$8&lt;0,-(BL19-Uzman_D!$J$8),BL19-Uzman_D!$J$8)*0.1)+IF(ROUND((IF(BN19-Uzman_D!$L$8&lt;0,-(BN19-Uzman_D!$L$8),BN19-Uzman_D!$L$8)*2),0)/2=IF(BN19-Uzman_D!$L$8&lt;0,-(BN19-Uzman_D!$L$8),BN19-Uzman_D!$L$8),(ROUND((IF(BN19-Uzman_D!$L$8&lt;0,-(BN19-Uzman_D!$L$8),BN19-Uzman_D!$L$8)*2),0)/1*0.1),0)+IF(BO19-Uzman_D!$M$8&lt;0,-(BO19-Uzman_D!$M$8),BO19-Uzman_D!$M$8)*1)</f>
        <v>-1</v>
      </c>
      <c r="BQ19" s="72">
        <f t="shared" si="0"/>
        <v>-0.48000000000000009</v>
      </c>
    </row>
    <row r="20" spans="1:69" ht="15" customHeight="1" x14ac:dyDescent="0.45">
      <c r="A20" s="54">
        <v>17</v>
      </c>
      <c r="B20" s="148" t="str">
        <f>Hakemler!B20</f>
        <v>KENDİRCİ</v>
      </c>
      <c r="C20" s="148" t="str">
        <f>Hakemler!C20</f>
        <v>CEMRE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70"/>
      <c r="O20" s="70"/>
      <c r="P20" s="71">
        <f>1-(SUM(IF(D20-Uzman_D!$B$4&lt;0,-(D20-Uzman_D!$B$4),D20-Uzman_D!$B$4)*0.1+IF(E20-Uzman_D!$C$4&lt;0,-(E20-Uzman_D!$C$4),E20-Uzman_D!$C$4)*0.1+IF(F20-Uzman_D!$D$4&lt;0,-(F20-Uzman_D!$D$4),F20-Uzman_D!$D$4)*0.1+IF(G20-Uzman_D!$E$4&lt;0,-(G20-Uzman_D!$E$4),G20-Uzman_D!$E$4)*0.1+IF(H20-Uzman_D!$F$4&lt;0,-(H20-Uzman_D!$F$4),H20-Uzman_D!$F$4)*0.1+IF(I20-Uzman_D!$G$4&lt;0,-(I20-Uzman_D!$G$4),I20-Uzman_D!$G$4)*0.1+IF(J20-Uzman_D!$H$4&lt;0,-(J20-Uzman_D!$H$4),J20-Uzman_D!$H$4)*0.1+IF(K20-Uzman_D!$I$4&lt;0,-(K20-Uzman_D!$I$4),K20-Uzman_D!$I$4)*0.1+IF(L20-Uzman_D!$J$4&lt;0,-(L20-Uzman_D!$J$4),L20-Uzman_D!$J$4)*0.1)+IF(ROUND((IF(N20-Uzman_D!$L$4&lt;0,-(N20-Uzman_D!$L$4),N20-Uzman_D!$L$4)*2),0)/2=IF(N20-Uzman_D!$L$4&lt;0,-(N20-Uzman_D!$L$4),N20-Uzman_D!$L$4),(ROUND((IF(N20-Uzman_D!$L$4&lt;0,-(N20-Uzman_D!$L$4),N20-Uzman_D!$L$4)*2),0)/1*0.1),0)+IF(O20-Uzman_D!$M$4&lt;0,-(O20-Uzman_D!$M$4),O20-Uzman_D!$M$4)*1)</f>
        <v>-0.19999999999999996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70"/>
      <c r="AB20" s="70"/>
      <c r="AC20" s="71">
        <f>1-(SUM(IF(Q20-Uzman_D!$B$5&lt;0,-(Q20-Uzman_D!$B$5),Q20-Uzman_D!$B$5)*0.1+IF(R20-Uzman_D!$C$5&lt;0,-(R20-Uzman_D!$C$5),R20-Uzman_D!$C$5)*0.1+IF(S20-Uzman_D!$D$5&lt;0,-(S20-Uzman_D!$D$5),S20-Uzman_D!$D$5)*0.1+IF(T20-Uzman_D!$E$5&lt;0,-(T20-Uzman_D!$E$5),T20-Uzman_D!$E$5)*0.1+IF(U20-Uzman_D!$F$5&lt;0,-(U20-Uzman_D!$F$5),U20-Uzman_D!$F$5)*0.1+IF(V20-Uzman_D!$G$5&lt;0,-(V20-Uzman_D!$G$5),V20-Uzman_D!$G$5)*0.1+IF(W20-Uzman_D!$H$5&lt;0,-(W20-Uzman_D!$H$5),W20-Uzman_D!$H$5)*0.1+IF(X20-Uzman_D!$I$5&lt;0,-(X20-Uzman_D!$I$5),X20-Uzman_D!$I$5)*0.1+IF(Y20-Uzman_D!$J$5&lt;0,-(Y20-Uzman_D!$J$5),Y20-Uzman_D!$J$5)*0.1)+IF(ROUND((IF(AA20-Uzman_D!$L$5&lt;0,-(AA20-Uzman_D!$L$5),AA20-Uzman_D!$L$5)*2),0)/2=IF(AA20-Uzman_D!$L$5&lt;0,-(AA20-Uzman_D!$L$5),AA20-Uzman_D!$L$5),(ROUND((IF(AA20-Uzman_D!$L$5&lt;0,-(AA20-Uzman_D!$L$5),AA20-Uzman_D!$L$5)*2),0)/1*0.1),0)+IF(AB20-Uzman_D!$M$5&lt;0,-(AB20-Uzman_D!$M$5),AB20-Uzman_D!$M$5)*1)</f>
        <v>-0.40000000000000013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70"/>
      <c r="AO20" s="70"/>
      <c r="AP20" s="71">
        <f>1-(SUM(IF(AD20-Uzman_D!$B$6&lt;0,-(AD20-Uzman_D!$B$6),AD20-Uzman_D!$B$6)*0.1+IF(AE20-Uzman_D!$C$6&lt;0,-(AE20-Uzman_D!$C$6),AE20-Uzman_D!$C$6)*0.1+IF(AF20-Uzman_D!$D$6&lt;0,-(AF20-Uzman_D!$D$6),AF20-Uzman_D!$D$6)*0.1+IF(AG20-Uzman_D!$E$6&lt;0,-(AG20-Uzman_D!$E$6),AG20-Uzman_D!$E$6)*0.1+IF(AH20-Uzman_D!$F$6&lt;0,-(AH20-Uzman_D!$F$6),AH20-Uzman_D!$F$6)*0.1+IF(AI20-Uzman_D!$G$6&lt;0,-(AI20-Uzman_D!$G$6),AI20-Uzman_D!$G$6)*0.1+IF(AJ20-Uzman_D!$H$6&lt;0,-(AJ20-Uzman_D!$H$6),AJ20-Uzman_D!$H$6)*0.1+IF(AK20-Uzman_D!$I$6&lt;0,-(AK20-Uzman_D!$I$6),AK20-Uzman_D!$I$6)*0.1+IF(AL20-Uzman_D!$J$6&lt;0,-(AL20-Uzman_D!$J$6),AL20-Uzman_D!$J$6)*0.1)+IF(ROUND((IF(AN20-Uzman_D!$L$6&lt;0,-(AN20-Uzman_D!$L$6),AN20-Uzman_D!$L$6)*2),0)/2=IF(AN20-Uzman_D!$L$6&lt;0,-(AN20-Uzman_D!$L$6),AN20-Uzman_D!$L$6),(ROUND((IF(AN20-Uzman_D!$L$6&lt;0,-(AN20-Uzman_D!$L$6),AN20-Uzman_D!$L$6)*2),0)/1*0.1),0)+IF(AO20-Uzman_D!$M$6&lt;0,-(AO20-Uzman_D!$M$6),AO20-Uzman_D!$M$6)*1)</f>
        <v>-0.10000000000000009</v>
      </c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70"/>
      <c r="BB20" s="70"/>
      <c r="BC20" s="71">
        <f>1-(SUM(IF(AQ20-Uzman_D!$B$7&lt;0,-(AQ20-Uzman_D!$B$7),AQ20-Uzman_D!$B$7)*0.1+IF(AR20-Uzman_D!$C$7&lt;0,-(AR20-Uzman_D!$C$7),AR20-Uzman_D!$C$7)*0.1+IF(AS20-Uzman_D!$D$7&lt;0,-(AS20-Uzman_D!$D$7),AS20-Uzman_D!$D$7)*0.1+IF(AT20-Uzman_D!$E$7&lt;0,-(AT20-Uzman_D!$E$7),AT20-Uzman_D!$E$7)*0.1+IF(AU20-Uzman_D!$F$7&lt;0,-(AU20-Uzman_D!$F$7),AU20-Uzman_D!$F$7)*0.1+IF(AV20-Uzman_D!$G$7&lt;0,-(AV20-Uzman_D!$G$7),AV20-Uzman_D!$G$7)*0.1+IF(AW20-Uzman_D!$H$7&lt;0,-(AW20-Uzman_D!$H$7),AW20-Uzman_D!$H$7)*0.1+IF(AX20-Uzman_D!$I$7&lt;0,-(AX20-Uzman_D!$I$7),AX20-Uzman_D!$I$7)*0.1+IF(AY20-Uzman_D!$J$7&lt;0,-(AY20-Uzman_D!$J$7),AY20-Uzman_D!$J$7)*0.1)+IF(ROUND((IF(BA20-Uzman_D!$L$7&lt;0,-(BA20-Uzman_D!$L$7),BA20-Uzman_D!$L$7)*2),0)/2=IF(BA20-Uzman_D!$L$7&lt;0,-(BA20-Uzman_D!$L$7),BA20-Uzman_D!$L$7),(ROUND((IF(BA20-Uzman_D!$L$7&lt;0,-(BA20-Uzman_D!$L$7),BA20-Uzman_D!$L$7)*2),0)/1*0.1),0)+IF(BB20-Uzman_D!$M$7&lt;0,-(BB20-Uzman_D!$M$7),BB20-Uzman_D!$M$7)*1)</f>
        <v>-0.7</v>
      </c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70"/>
      <c r="BO20" s="70"/>
      <c r="BP20" s="71">
        <f>1-(SUM(IF(BD20-Uzman_D!$B$8&lt;0,-(BD20-Uzman_D!$B$8),BD20-Uzman_D!$B$8)*0.1+IF(BE20-Uzman_D!$C$8&lt;0,-(BE20-Uzman_D!$C$8),BE20-Uzman_D!$C$8)*0.1+IF(BF20-Uzman_D!$D$8&lt;0,-(BF20-Uzman_D!$D$8),BF20-Uzman_D!$D$8)*0.1+IF(BG20-Uzman_D!$E$8&lt;0,-(BG20-Uzman_D!$E$8),BG20-Uzman_D!$E$8)*0.1+IF(BH20-Uzman_D!$F$8&lt;0,-(BH20-Uzman_D!$F$8),BH20-Uzman_D!$F$8)*0.1+IF(BI20-Uzman_D!$G$8&lt;0,-(BI20-Uzman_D!$G$8),BI20-Uzman_D!$G$8)*0.1+IF(BJ20-Uzman_D!$H$8&lt;0,-(BJ20-Uzman_D!$H$8),BJ20-Uzman_D!$H$8)*0.1+IF(BK20-Uzman_D!$I$8&lt;0,-(BK20-Uzman_D!$I$8),BK20-Uzman_D!$I$8)*0.1+IF(BL20-Uzman_D!$J$8&lt;0,-(BL20-Uzman_D!$J$8),BL20-Uzman_D!$J$8)*0.1)+IF(ROUND((IF(BN20-Uzman_D!$L$8&lt;0,-(BN20-Uzman_D!$L$8),BN20-Uzman_D!$L$8)*2),0)/2=IF(BN20-Uzman_D!$L$8&lt;0,-(BN20-Uzman_D!$L$8),BN20-Uzman_D!$L$8),(ROUND((IF(BN20-Uzman_D!$L$8&lt;0,-(BN20-Uzman_D!$L$8),BN20-Uzman_D!$L$8)*2),0)/1*0.1),0)+IF(BO20-Uzman_D!$M$8&lt;0,-(BO20-Uzman_D!$M$8),BO20-Uzman_D!$M$8)*1)</f>
        <v>-1</v>
      </c>
      <c r="BQ20" s="72">
        <f t="shared" si="0"/>
        <v>-0.48000000000000009</v>
      </c>
    </row>
    <row r="21" spans="1:69" ht="15" customHeight="1" x14ac:dyDescent="0.45">
      <c r="A21" s="54">
        <v>18</v>
      </c>
      <c r="B21" s="148" t="str">
        <f>Hakemler!B21</f>
        <v>CANATAN</v>
      </c>
      <c r="C21" s="148" t="str">
        <f>Hakemler!C21</f>
        <v>BEYZA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70"/>
      <c r="O21" s="70"/>
      <c r="P21" s="71">
        <f>1-(SUM(IF(D21-Uzman_D!$B$4&lt;0,-(D21-Uzman_D!$B$4),D21-Uzman_D!$B$4)*0.1+IF(E21-Uzman_D!$C$4&lt;0,-(E21-Uzman_D!$C$4),E21-Uzman_D!$C$4)*0.1+IF(F21-Uzman_D!$D$4&lt;0,-(F21-Uzman_D!$D$4),F21-Uzman_D!$D$4)*0.1+IF(G21-Uzman_D!$E$4&lt;0,-(G21-Uzman_D!$E$4),G21-Uzman_D!$E$4)*0.1+IF(H21-Uzman_D!$F$4&lt;0,-(H21-Uzman_D!$F$4),H21-Uzman_D!$F$4)*0.1+IF(I21-Uzman_D!$G$4&lt;0,-(I21-Uzman_D!$G$4),I21-Uzman_D!$G$4)*0.1+IF(J21-Uzman_D!$H$4&lt;0,-(J21-Uzman_D!$H$4),J21-Uzman_D!$H$4)*0.1+IF(K21-Uzman_D!$I$4&lt;0,-(K21-Uzman_D!$I$4),K21-Uzman_D!$I$4)*0.1+IF(L21-Uzman_D!$J$4&lt;0,-(L21-Uzman_D!$J$4),L21-Uzman_D!$J$4)*0.1)+IF(ROUND((IF(N21-Uzman_D!$L$4&lt;0,-(N21-Uzman_D!$L$4),N21-Uzman_D!$L$4)*2),0)/2=IF(N21-Uzman_D!$L$4&lt;0,-(N21-Uzman_D!$L$4),N21-Uzman_D!$L$4),(ROUND((IF(N21-Uzman_D!$L$4&lt;0,-(N21-Uzman_D!$L$4),N21-Uzman_D!$L$4)*2),0)/1*0.1),0)+IF(O21-Uzman_D!$M$4&lt;0,-(O21-Uzman_D!$M$4),O21-Uzman_D!$M$4)*1)</f>
        <v>-0.19999999999999996</v>
      </c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70"/>
      <c r="AB21" s="70"/>
      <c r="AC21" s="71">
        <f>1-(SUM(IF(Q21-Uzman_D!$B$5&lt;0,-(Q21-Uzman_D!$B$5),Q21-Uzman_D!$B$5)*0.1+IF(R21-Uzman_D!$C$5&lt;0,-(R21-Uzman_D!$C$5),R21-Uzman_D!$C$5)*0.1+IF(S21-Uzman_D!$D$5&lt;0,-(S21-Uzman_D!$D$5),S21-Uzman_D!$D$5)*0.1+IF(T21-Uzman_D!$E$5&lt;0,-(T21-Uzman_D!$E$5),T21-Uzman_D!$E$5)*0.1+IF(U21-Uzman_D!$F$5&lt;0,-(U21-Uzman_D!$F$5),U21-Uzman_D!$F$5)*0.1+IF(V21-Uzman_D!$G$5&lt;0,-(V21-Uzman_D!$G$5),V21-Uzman_D!$G$5)*0.1+IF(W21-Uzman_D!$H$5&lt;0,-(W21-Uzman_D!$H$5),W21-Uzman_D!$H$5)*0.1+IF(X21-Uzman_D!$I$5&lt;0,-(X21-Uzman_D!$I$5),X21-Uzman_D!$I$5)*0.1+IF(Y21-Uzman_D!$J$5&lt;0,-(Y21-Uzman_D!$J$5),Y21-Uzman_D!$J$5)*0.1)+IF(ROUND((IF(AA21-Uzman_D!$L$5&lt;0,-(AA21-Uzman_D!$L$5),AA21-Uzman_D!$L$5)*2),0)/2=IF(AA21-Uzman_D!$L$5&lt;0,-(AA21-Uzman_D!$L$5),AA21-Uzman_D!$L$5),(ROUND((IF(AA21-Uzman_D!$L$5&lt;0,-(AA21-Uzman_D!$L$5),AA21-Uzman_D!$L$5)*2),0)/1*0.1),0)+IF(AB21-Uzman_D!$M$5&lt;0,-(AB21-Uzman_D!$M$5),AB21-Uzman_D!$M$5)*1)</f>
        <v>-0.40000000000000013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70"/>
      <c r="AO21" s="70"/>
      <c r="AP21" s="71">
        <f>1-(SUM(IF(AD21-Uzman_D!$B$6&lt;0,-(AD21-Uzman_D!$B$6),AD21-Uzman_D!$B$6)*0.1+IF(AE21-Uzman_D!$C$6&lt;0,-(AE21-Uzman_D!$C$6),AE21-Uzman_D!$C$6)*0.1+IF(AF21-Uzman_D!$D$6&lt;0,-(AF21-Uzman_D!$D$6),AF21-Uzman_D!$D$6)*0.1+IF(AG21-Uzman_D!$E$6&lt;0,-(AG21-Uzman_D!$E$6),AG21-Uzman_D!$E$6)*0.1+IF(AH21-Uzman_D!$F$6&lt;0,-(AH21-Uzman_D!$F$6),AH21-Uzman_D!$F$6)*0.1+IF(AI21-Uzman_D!$G$6&lt;0,-(AI21-Uzman_D!$G$6),AI21-Uzman_D!$G$6)*0.1+IF(AJ21-Uzman_D!$H$6&lt;0,-(AJ21-Uzman_D!$H$6),AJ21-Uzman_D!$H$6)*0.1+IF(AK21-Uzman_D!$I$6&lt;0,-(AK21-Uzman_D!$I$6),AK21-Uzman_D!$I$6)*0.1+IF(AL21-Uzman_D!$J$6&lt;0,-(AL21-Uzman_D!$J$6),AL21-Uzman_D!$J$6)*0.1)+IF(ROUND((IF(AN21-Uzman_D!$L$6&lt;0,-(AN21-Uzman_D!$L$6),AN21-Uzman_D!$L$6)*2),0)/2=IF(AN21-Uzman_D!$L$6&lt;0,-(AN21-Uzman_D!$L$6),AN21-Uzman_D!$L$6),(ROUND((IF(AN21-Uzman_D!$L$6&lt;0,-(AN21-Uzman_D!$L$6),AN21-Uzman_D!$L$6)*2),0)/1*0.1),0)+IF(AO21-Uzman_D!$M$6&lt;0,-(AO21-Uzman_D!$M$6),AO21-Uzman_D!$M$6)*1)</f>
        <v>-0.10000000000000009</v>
      </c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70"/>
      <c r="BB21" s="70"/>
      <c r="BC21" s="71">
        <f>1-(SUM(IF(AQ21-Uzman_D!$B$7&lt;0,-(AQ21-Uzman_D!$B$7),AQ21-Uzman_D!$B$7)*0.1+IF(AR21-Uzman_D!$C$7&lt;0,-(AR21-Uzman_D!$C$7),AR21-Uzman_D!$C$7)*0.1+IF(AS21-Uzman_D!$D$7&lt;0,-(AS21-Uzman_D!$D$7),AS21-Uzman_D!$D$7)*0.1+IF(AT21-Uzman_D!$E$7&lt;0,-(AT21-Uzman_D!$E$7),AT21-Uzman_D!$E$7)*0.1+IF(AU21-Uzman_D!$F$7&lt;0,-(AU21-Uzman_D!$F$7),AU21-Uzman_D!$F$7)*0.1+IF(AV21-Uzman_D!$G$7&lt;0,-(AV21-Uzman_D!$G$7),AV21-Uzman_D!$G$7)*0.1+IF(AW21-Uzman_D!$H$7&lt;0,-(AW21-Uzman_D!$H$7),AW21-Uzman_D!$H$7)*0.1+IF(AX21-Uzman_D!$I$7&lt;0,-(AX21-Uzman_D!$I$7),AX21-Uzman_D!$I$7)*0.1+IF(AY21-Uzman_D!$J$7&lt;0,-(AY21-Uzman_D!$J$7),AY21-Uzman_D!$J$7)*0.1)+IF(ROUND((IF(BA21-Uzman_D!$L$7&lt;0,-(BA21-Uzman_D!$L$7),BA21-Uzman_D!$L$7)*2),0)/2=IF(BA21-Uzman_D!$L$7&lt;0,-(BA21-Uzman_D!$L$7),BA21-Uzman_D!$L$7),(ROUND((IF(BA21-Uzman_D!$L$7&lt;0,-(BA21-Uzman_D!$L$7),BA21-Uzman_D!$L$7)*2),0)/1*0.1),0)+IF(BB21-Uzman_D!$M$7&lt;0,-(BB21-Uzman_D!$M$7),BB21-Uzman_D!$M$7)*1)</f>
        <v>-0.7</v>
      </c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70"/>
      <c r="BO21" s="70"/>
      <c r="BP21" s="71">
        <f>1-(SUM(IF(BD21-Uzman_D!$B$8&lt;0,-(BD21-Uzman_D!$B$8),BD21-Uzman_D!$B$8)*0.1+IF(BE21-Uzman_D!$C$8&lt;0,-(BE21-Uzman_D!$C$8),BE21-Uzman_D!$C$8)*0.1+IF(BF21-Uzman_D!$D$8&lt;0,-(BF21-Uzman_D!$D$8),BF21-Uzman_D!$D$8)*0.1+IF(BG21-Uzman_D!$E$8&lt;0,-(BG21-Uzman_D!$E$8),BG21-Uzman_D!$E$8)*0.1+IF(BH21-Uzman_D!$F$8&lt;0,-(BH21-Uzman_D!$F$8),BH21-Uzman_D!$F$8)*0.1+IF(BI21-Uzman_D!$G$8&lt;0,-(BI21-Uzman_D!$G$8),BI21-Uzman_D!$G$8)*0.1+IF(BJ21-Uzman_D!$H$8&lt;0,-(BJ21-Uzman_D!$H$8),BJ21-Uzman_D!$H$8)*0.1+IF(BK21-Uzman_D!$I$8&lt;0,-(BK21-Uzman_D!$I$8),BK21-Uzman_D!$I$8)*0.1+IF(BL21-Uzman_D!$J$8&lt;0,-(BL21-Uzman_D!$J$8),BL21-Uzman_D!$J$8)*0.1)+IF(ROUND((IF(BN21-Uzman_D!$L$8&lt;0,-(BN21-Uzman_D!$L$8),BN21-Uzman_D!$L$8)*2),0)/2=IF(BN21-Uzman_D!$L$8&lt;0,-(BN21-Uzman_D!$L$8),BN21-Uzman_D!$L$8),(ROUND((IF(BN21-Uzman_D!$L$8&lt;0,-(BN21-Uzman_D!$L$8),BN21-Uzman_D!$L$8)*2),0)/1*0.1),0)+IF(BO21-Uzman_D!$M$8&lt;0,-(BO21-Uzman_D!$M$8),BO21-Uzman_D!$M$8)*1)</f>
        <v>-1</v>
      </c>
      <c r="BQ21" s="72">
        <f t="shared" si="0"/>
        <v>-0.48000000000000009</v>
      </c>
    </row>
    <row r="22" spans="1:69" ht="15" customHeight="1" x14ac:dyDescent="0.45">
      <c r="A22" s="54">
        <v>19</v>
      </c>
      <c r="B22" s="148" t="str">
        <f>Hakemler!B22</f>
        <v>SAYIN</v>
      </c>
      <c r="C22" s="148" t="str">
        <f>Hakemler!C22</f>
        <v>ZEYNEP TÜRKAN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70"/>
      <c r="O22" s="70"/>
      <c r="P22" s="71">
        <f>1-(SUM(IF(D22-Uzman_D!$B$4&lt;0,-(D22-Uzman_D!$B$4),D22-Uzman_D!$B$4)*0.1+IF(E22-Uzman_D!$C$4&lt;0,-(E22-Uzman_D!$C$4),E22-Uzman_D!$C$4)*0.1+IF(F22-Uzman_D!$D$4&lt;0,-(F22-Uzman_D!$D$4),F22-Uzman_D!$D$4)*0.1+IF(G22-Uzman_D!$E$4&lt;0,-(G22-Uzman_D!$E$4),G22-Uzman_D!$E$4)*0.1+IF(H22-Uzman_D!$F$4&lt;0,-(H22-Uzman_D!$F$4),H22-Uzman_D!$F$4)*0.1+IF(I22-Uzman_D!$G$4&lt;0,-(I22-Uzman_D!$G$4),I22-Uzman_D!$G$4)*0.1+IF(J22-Uzman_D!$H$4&lt;0,-(J22-Uzman_D!$H$4),J22-Uzman_D!$H$4)*0.1+IF(K22-Uzman_D!$I$4&lt;0,-(K22-Uzman_D!$I$4),K22-Uzman_D!$I$4)*0.1+IF(L22-Uzman_D!$J$4&lt;0,-(L22-Uzman_D!$J$4),L22-Uzman_D!$J$4)*0.1)+IF(ROUND((IF(N22-Uzman_D!$L$4&lt;0,-(N22-Uzman_D!$L$4),N22-Uzman_D!$L$4)*2),0)/2=IF(N22-Uzman_D!$L$4&lt;0,-(N22-Uzman_D!$L$4),N22-Uzman_D!$L$4),(ROUND((IF(N22-Uzman_D!$L$4&lt;0,-(N22-Uzman_D!$L$4),N22-Uzman_D!$L$4)*2),0)/1*0.1),0)+IF(O22-Uzman_D!$M$4&lt;0,-(O22-Uzman_D!$M$4),O22-Uzman_D!$M$4)*1)</f>
        <v>-0.19999999999999996</v>
      </c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70"/>
      <c r="AB22" s="70"/>
      <c r="AC22" s="71">
        <f>1-(SUM(IF(Q22-Uzman_D!$B$5&lt;0,-(Q22-Uzman_D!$B$5),Q22-Uzman_D!$B$5)*0.1+IF(R22-Uzman_D!$C$5&lt;0,-(R22-Uzman_D!$C$5),R22-Uzman_D!$C$5)*0.1+IF(S22-Uzman_D!$D$5&lt;0,-(S22-Uzman_D!$D$5),S22-Uzman_D!$D$5)*0.1+IF(T22-Uzman_D!$E$5&lt;0,-(T22-Uzman_D!$E$5),T22-Uzman_D!$E$5)*0.1+IF(U22-Uzman_D!$F$5&lt;0,-(U22-Uzman_D!$F$5),U22-Uzman_D!$F$5)*0.1+IF(V22-Uzman_D!$G$5&lt;0,-(V22-Uzman_D!$G$5),V22-Uzman_D!$G$5)*0.1+IF(W22-Uzman_D!$H$5&lt;0,-(W22-Uzman_D!$H$5),W22-Uzman_D!$H$5)*0.1+IF(X22-Uzman_D!$I$5&lt;0,-(X22-Uzman_D!$I$5),X22-Uzman_D!$I$5)*0.1+IF(Y22-Uzman_D!$J$5&lt;0,-(Y22-Uzman_D!$J$5),Y22-Uzman_D!$J$5)*0.1)+IF(ROUND((IF(AA22-Uzman_D!$L$5&lt;0,-(AA22-Uzman_D!$L$5),AA22-Uzman_D!$L$5)*2),0)/2=IF(AA22-Uzman_D!$L$5&lt;0,-(AA22-Uzman_D!$L$5),AA22-Uzman_D!$L$5),(ROUND((IF(AA22-Uzman_D!$L$5&lt;0,-(AA22-Uzman_D!$L$5),AA22-Uzman_D!$L$5)*2),0)/1*0.1),0)+IF(AB22-Uzman_D!$M$5&lt;0,-(AB22-Uzman_D!$M$5),AB22-Uzman_D!$M$5)*1)</f>
        <v>-0.40000000000000013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70"/>
      <c r="AO22" s="70"/>
      <c r="AP22" s="71">
        <f>1-(SUM(IF(AD22-Uzman_D!$B$6&lt;0,-(AD22-Uzman_D!$B$6),AD22-Uzman_D!$B$6)*0.1+IF(AE22-Uzman_D!$C$6&lt;0,-(AE22-Uzman_D!$C$6),AE22-Uzman_D!$C$6)*0.1+IF(AF22-Uzman_D!$D$6&lt;0,-(AF22-Uzman_D!$D$6),AF22-Uzman_D!$D$6)*0.1+IF(AG22-Uzman_D!$E$6&lt;0,-(AG22-Uzman_D!$E$6),AG22-Uzman_D!$E$6)*0.1+IF(AH22-Uzman_D!$F$6&lt;0,-(AH22-Uzman_D!$F$6),AH22-Uzman_D!$F$6)*0.1+IF(AI22-Uzman_D!$G$6&lt;0,-(AI22-Uzman_D!$G$6),AI22-Uzman_D!$G$6)*0.1+IF(AJ22-Uzman_D!$H$6&lt;0,-(AJ22-Uzman_D!$H$6),AJ22-Uzman_D!$H$6)*0.1+IF(AK22-Uzman_D!$I$6&lt;0,-(AK22-Uzman_D!$I$6),AK22-Uzman_D!$I$6)*0.1+IF(AL22-Uzman_D!$J$6&lt;0,-(AL22-Uzman_D!$J$6),AL22-Uzman_D!$J$6)*0.1)+IF(ROUND((IF(AN22-Uzman_D!$L$6&lt;0,-(AN22-Uzman_D!$L$6),AN22-Uzman_D!$L$6)*2),0)/2=IF(AN22-Uzman_D!$L$6&lt;0,-(AN22-Uzman_D!$L$6),AN22-Uzman_D!$L$6),(ROUND((IF(AN22-Uzman_D!$L$6&lt;0,-(AN22-Uzman_D!$L$6),AN22-Uzman_D!$L$6)*2),0)/1*0.1),0)+IF(AO22-Uzman_D!$M$6&lt;0,-(AO22-Uzman_D!$M$6),AO22-Uzman_D!$M$6)*1)</f>
        <v>-0.10000000000000009</v>
      </c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70"/>
      <c r="BB22" s="70"/>
      <c r="BC22" s="71">
        <f>1-(SUM(IF(AQ22-Uzman_D!$B$7&lt;0,-(AQ22-Uzman_D!$B$7),AQ22-Uzman_D!$B$7)*0.1+IF(AR22-Uzman_D!$C$7&lt;0,-(AR22-Uzman_D!$C$7),AR22-Uzman_D!$C$7)*0.1+IF(AS22-Uzman_D!$D$7&lt;0,-(AS22-Uzman_D!$D$7),AS22-Uzman_D!$D$7)*0.1+IF(AT22-Uzman_D!$E$7&lt;0,-(AT22-Uzman_D!$E$7),AT22-Uzman_D!$E$7)*0.1+IF(AU22-Uzman_D!$F$7&lt;0,-(AU22-Uzman_D!$F$7),AU22-Uzman_D!$F$7)*0.1+IF(AV22-Uzman_D!$G$7&lt;0,-(AV22-Uzman_D!$G$7),AV22-Uzman_D!$G$7)*0.1+IF(AW22-Uzman_D!$H$7&lt;0,-(AW22-Uzman_D!$H$7),AW22-Uzman_D!$H$7)*0.1+IF(AX22-Uzman_D!$I$7&lt;0,-(AX22-Uzman_D!$I$7),AX22-Uzman_D!$I$7)*0.1+IF(AY22-Uzman_D!$J$7&lt;0,-(AY22-Uzman_D!$J$7),AY22-Uzman_D!$J$7)*0.1)+IF(ROUND((IF(BA22-Uzman_D!$L$7&lt;0,-(BA22-Uzman_D!$L$7),BA22-Uzman_D!$L$7)*2),0)/2=IF(BA22-Uzman_D!$L$7&lt;0,-(BA22-Uzman_D!$L$7),BA22-Uzman_D!$L$7),(ROUND((IF(BA22-Uzman_D!$L$7&lt;0,-(BA22-Uzman_D!$L$7),BA22-Uzman_D!$L$7)*2),0)/1*0.1),0)+IF(BB22-Uzman_D!$M$7&lt;0,-(BB22-Uzman_D!$M$7),BB22-Uzman_D!$M$7)*1)</f>
        <v>-0.7</v>
      </c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70"/>
      <c r="BO22" s="70"/>
      <c r="BP22" s="71">
        <f>1-(SUM(IF(BD22-Uzman_D!$B$8&lt;0,-(BD22-Uzman_D!$B$8),BD22-Uzman_D!$B$8)*0.1+IF(BE22-Uzman_D!$C$8&lt;0,-(BE22-Uzman_D!$C$8),BE22-Uzman_D!$C$8)*0.1+IF(BF22-Uzman_D!$D$8&lt;0,-(BF22-Uzman_D!$D$8),BF22-Uzman_D!$D$8)*0.1+IF(BG22-Uzman_D!$E$8&lt;0,-(BG22-Uzman_D!$E$8),BG22-Uzman_D!$E$8)*0.1+IF(BH22-Uzman_D!$F$8&lt;0,-(BH22-Uzman_D!$F$8),BH22-Uzman_D!$F$8)*0.1+IF(BI22-Uzman_D!$G$8&lt;0,-(BI22-Uzman_D!$G$8),BI22-Uzman_D!$G$8)*0.1+IF(BJ22-Uzman_D!$H$8&lt;0,-(BJ22-Uzman_D!$H$8),BJ22-Uzman_D!$H$8)*0.1+IF(BK22-Uzman_D!$I$8&lt;0,-(BK22-Uzman_D!$I$8),BK22-Uzman_D!$I$8)*0.1+IF(BL22-Uzman_D!$J$8&lt;0,-(BL22-Uzman_D!$J$8),BL22-Uzman_D!$J$8)*0.1)+IF(ROUND((IF(BN22-Uzman_D!$L$8&lt;0,-(BN22-Uzman_D!$L$8),BN22-Uzman_D!$L$8)*2),0)/2=IF(BN22-Uzman_D!$L$8&lt;0,-(BN22-Uzman_D!$L$8),BN22-Uzman_D!$L$8),(ROUND((IF(BN22-Uzman_D!$L$8&lt;0,-(BN22-Uzman_D!$L$8),BN22-Uzman_D!$L$8)*2),0)/1*0.1),0)+IF(BO22-Uzman_D!$M$8&lt;0,-(BO22-Uzman_D!$M$8),BO22-Uzman_D!$M$8)*1)</f>
        <v>-1</v>
      </c>
      <c r="BQ22" s="72">
        <f t="shared" si="0"/>
        <v>-0.48000000000000009</v>
      </c>
    </row>
    <row r="23" spans="1:69" ht="15" customHeight="1" x14ac:dyDescent="0.45">
      <c r="A23" s="54">
        <v>20</v>
      </c>
      <c r="B23" s="148" t="str">
        <f>Hakemler!B23</f>
        <v>ÖNER AĞAN</v>
      </c>
      <c r="C23" s="148" t="str">
        <f>Hakemler!C23</f>
        <v>DERYA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70"/>
      <c r="O23" s="70"/>
      <c r="P23" s="71">
        <f>1-(SUM(IF(D23-Uzman_D!$B$4&lt;0,-(D23-Uzman_D!$B$4),D23-Uzman_D!$B$4)*0.1+IF(E23-Uzman_D!$C$4&lt;0,-(E23-Uzman_D!$C$4),E23-Uzman_D!$C$4)*0.1+IF(F23-Uzman_D!$D$4&lt;0,-(F23-Uzman_D!$D$4),F23-Uzman_D!$D$4)*0.1+IF(G23-Uzman_D!$E$4&lt;0,-(G23-Uzman_D!$E$4),G23-Uzman_D!$E$4)*0.1+IF(H23-Uzman_D!$F$4&lt;0,-(H23-Uzman_D!$F$4),H23-Uzman_D!$F$4)*0.1+IF(I23-Uzman_D!$G$4&lt;0,-(I23-Uzman_D!$G$4),I23-Uzman_D!$G$4)*0.1+IF(J23-Uzman_D!$H$4&lt;0,-(J23-Uzman_D!$H$4),J23-Uzman_D!$H$4)*0.1+IF(K23-Uzman_D!$I$4&lt;0,-(K23-Uzman_D!$I$4),K23-Uzman_D!$I$4)*0.1+IF(L23-Uzman_D!$J$4&lt;0,-(L23-Uzman_D!$J$4),L23-Uzman_D!$J$4)*0.1)+IF(ROUND((IF(N23-Uzman_D!$L$4&lt;0,-(N23-Uzman_D!$L$4),N23-Uzman_D!$L$4)*2),0)/2=IF(N23-Uzman_D!$L$4&lt;0,-(N23-Uzman_D!$L$4),N23-Uzman_D!$L$4),(ROUND((IF(N23-Uzman_D!$L$4&lt;0,-(N23-Uzman_D!$L$4),N23-Uzman_D!$L$4)*2),0)/1*0.1),0)+IF(O23-Uzman_D!$M$4&lt;0,-(O23-Uzman_D!$M$4),O23-Uzman_D!$M$4)*1)</f>
        <v>-0.19999999999999996</v>
      </c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70"/>
      <c r="AB23" s="70"/>
      <c r="AC23" s="71">
        <f>1-(SUM(IF(Q23-Uzman_D!$B$5&lt;0,-(Q23-Uzman_D!$B$5),Q23-Uzman_D!$B$5)*0.1+IF(R23-Uzman_D!$C$5&lt;0,-(R23-Uzman_D!$C$5),R23-Uzman_D!$C$5)*0.1+IF(S23-Uzman_D!$D$5&lt;0,-(S23-Uzman_D!$D$5),S23-Uzman_D!$D$5)*0.1+IF(T23-Uzman_D!$E$5&lt;0,-(T23-Uzman_D!$E$5),T23-Uzman_D!$E$5)*0.1+IF(U23-Uzman_D!$F$5&lt;0,-(U23-Uzman_D!$F$5),U23-Uzman_D!$F$5)*0.1+IF(V23-Uzman_D!$G$5&lt;0,-(V23-Uzman_D!$G$5),V23-Uzman_D!$G$5)*0.1+IF(W23-Uzman_D!$H$5&lt;0,-(W23-Uzman_D!$H$5),W23-Uzman_D!$H$5)*0.1+IF(X23-Uzman_D!$I$5&lt;0,-(X23-Uzman_D!$I$5),X23-Uzman_D!$I$5)*0.1+IF(Y23-Uzman_D!$J$5&lt;0,-(Y23-Uzman_D!$J$5),Y23-Uzman_D!$J$5)*0.1)+IF(ROUND((IF(AA23-Uzman_D!$L$5&lt;0,-(AA23-Uzman_D!$L$5),AA23-Uzman_D!$L$5)*2),0)/2=IF(AA23-Uzman_D!$L$5&lt;0,-(AA23-Uzman_D!$L$5),AA23-Uzman_D!$L$5),(ROUND((IF(AA23-Uzman_D!$L$5&lt;0,-(AA23-Uzman_D!$L$5),AA23-Uzman_D!$L$5)*2),0)/1*0.1),0)+IF(AB23-Uzman_D!$M$5&lt;0,-(AB23-Uzman_D!$M$5),AB23-Uzman_D!$M$5)*1)</f>
        <v>-0.40000000000000013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70"/>
      <c r="AO23" s="70"/>
      <c r="AP23" s="71">
        <f>1-(SUM(IF(AD23-Uzman_D!$B$6&lt;0,-(AD23-Uzman_D!$B$6),AD23-Uzman_D!$B$6)*0.1+IF(AE23-Uzman_D!$C$6&lt;0,-(AE23-Uzman_D!$C$6),AE23-Uzman_D!$C$6)*0.1+IF(AF23-Uzman_D!$D$6&lt;0,-(AF23-Uzman_D!$D$6),AF23-Uzman_D!$D$6)*0.1+IF(AG23-Uzman_D!$E$6&lt;0,-(AG23-Uzman_D!$E$6),AG23-Uzman_D!$E$6)*0.1+IF(AH23-Uzman_D!$F$6&lt;0,-(AH23-Uzman_D!$F$6),AH23-Uzman_D!$F$6)*0.1+IF(AI23-Uzman_D!$G$6&lt;0,-(AI23-Uzman_D!$G$6),AI23-Uzman_D!$G$6)*0.1+IF(AJ23-Uzman_D!$H$6&lt;0,-(AJ23-Uzman_D!$H$6),AJ23-Uzman_D!$H$6)*0.1+IF(AK23-Uzman_D!$I$6&lt;0,-(AK23-Uzman_D!$I$6),AK23-Uzman_D!$I$6)*0.1+IF(AL23-Uzman_D!$J$6&lt;0,-(AL23-Uzman_D!$J$6),AL23-Uzman_D!$J$6)*0.1)+IF(ROUND((IF(AN23-Uzman_D!$L$6&lt;0,-(AN23-Uzman_D!$L$6),AN23-Uzman_D!$L$6)*2),0)/2=IF(AN23-Uzman_D!$L$6&lt;0,-(AN23-Uzman_D!$L$6),AN23-Uzman_D!$L$6),(ROUND((IF(AN23-Uzman_D!$L$6&lt;0,-(AN23-Uzman_D!$L$6),AN23-Uzman_D!$L$6)*2),0)/1*0.1),0)+IF(AO23-Uzman_D!$M$6&lt;0,-(AO23-Uzman_D!$M$6),AO23-Uzman_D!$M$6)*1)</f>
        <v>-0.10000000000000009</v>
      </c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70"/>
      <c r="BB23" s="70"/>
      <c r="BC23" s="71">
        <f>1-(SUM(IF(AQ23-Uzman_D!$B$7&lt;0,-(AQ23-Uzman_D!$B$7),AQ23-Uzman_D!$B$7)*0.1+IF(AR23-Uzman_D!$C$7&lt;0,-(AR23-Uzman_D!$C$7),AR23-Uzman_D!$C$7)*0.1+IF(AS23-Uzman_D!$D$7&lt;0,-(AS23-Uzman_D!$D$7),AS23-Uzman_D!$D$7)*0.1+IF(AT23-Uzman_D!$E$7&lt;0,-(AT23-Uzman_D!$E$7),AT23-Uzman_D!$E$7)*0.1+IF(AU23-Uzman_D!$F$7&lt;0,-(AU23-Uzman_D!$F$7),AU23-Uzman_D!$F$7)*0.1+IF(AV23-Uzman_D!$G$7&lt;0,-(AV23-Uzman_D!$G$7),AV23-Uzman_D!$G$7)*0.1+IF(AW23-Uzman_D!$H$7&lt;0,-(AW23-Uzman_D!$H$7),AW23-Uzman_D!$H$7)*0.1+IF(AX23-Uzman_D!$I$7&lt;0,-(AX23-Uzman_D!$I$7),AX23-Uzman_D!$I$7)*0.1+IF(AY23-Uzman_D!$J$7&lt;0,-(AY23-Uzman_D!$J$7),AY23-Uzman_D!$J$7)*0.1)+IF(ROUND((IF(BA23-Uzman_D!$L$7&lt;0,-(BA23-Uzman_D!$L$7),BA23-Uzman_D!$L$7)*2),0)/2=IF(BA23-Uzman_D!$L$7&lt;0,-(BA23-Uzman_D!$L$7),BA23-Uzman_D!$L$7),(ROUND((IF(BA23-Uzman_D!$L$7&lt;0,-(BA23-Uzman_D!$L$7),BA23-Uzman_D!$L$7)*2),0)/1*0.1),0)+IF(BB23-Uzman_D!$M$7&lt;0,-(BB23-Uzman_D!$M$7),BB23-Uzman_D!$M$7)*1)</f>
        <v>-0.7</v>
      </c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70"/>
      <c r="BO23" s="70"/>
      <c r="BP23" s="71">
        <f>1-(SUM(IF(BD23-Uzman_D!$B$8&lt;0,-(BD23-Uzman_D!$B$8),BD23-Uzman_D!$B$8)*0.1+IF(BE23-Uzman_D!$C$8&lt;0,-(BE23-Uzman_D!$C$8),BE23-Uzman_D!$C$8)*0.1+IF(BF23-Uzman_D!$D$8&lt;0,-(BF23-Uzman_D!$D$8),BF23-Uzman_D!$D$8)*0.1+IF(BG23-Uzman_D!$E$8&lt;0,-(BG23-Uzman_D!$E$8),BG23-Uzman_D!$E$8)*0.1+IF(BH23-Uzman_D!$F$8&lt;0,-(BH23-Uzman_D!$F$8),BH23-Uzman_D!$F$8)*0.1+IF(BI23-Uzman_D!$G$8&lt;0,-(BI23-Uzman_D!$G$8),BI23-Uzman_D!$G$8)*0.1+IF(BJ23-Uzman_D!$H$8&lt;0,-(BJ23-Uzman_D!$H$8),BJ23-Uzman_D!$H$8)*0.1+IF(BK23-Uzman_D!$I$8&lt;0,-(BK23-Uzman_D!$I$8),BK23-Uzman_D!$I$8)*0.1+IF(BL23-Uzman_D!$J$8&lt;0,-(BL23-Uzman_D!$J$8),BL23-Uzman_D!$J$8)*0.1)+IF(ROUND((IF(BN23-Uzman_D!$L$8&lt;0,-(BN23-Uzman_D!$L$8),BN23-Uzman_D!$L$8)*2),0)/2=IF(BN23-Uzman_D!$L$8&lt;0,-(BN23-Uzman_D!$L$8),BN23-Uzman_D!$L$8),(ROUND((IF(BN23-Uzman_D!$L$8&lt;0,-(BN23-Uzman_D!$L$8),BN23-Uzman_D!$L$8)*2),0)/1*0.1),0)+IF(BO23-Uzman_D!$M$8&lt;0,-(BO23-Uzman_D!$M$8),BO23-Uzman_D!$M$8)*1)</f>
        <v>-1</v>
      </c>
      <c r="BQ23" s="72">
        <f t="shared" si="0"/>
        <v>-0.48000000000000009</v>
      </c>
    </row>
    <row r="24" spans="1:69" ht="15" customHeight="1" x14ac:dyDescent="0.45">
      <c r="A24" s="54">
        <v>21</v>
      </c>
      <c r="B24" s="162" t="str">
        <f>Hakemler!B24</f>
        <v>ABACI</v>
      </c>
      <c r="C24" s="162" t="str">
        <f>Hakemler!C24</f>
        <v>BUSE</v>
      </c>
      <c r="D24" s="56">
        <v>1</v>
      </c>
      <c r="E24" s="56">
        <v>3</v>
      </c>
      <c r="F24" s="56">
        <v>3</v>
      </c>
      <c r="G24" s="56">
        <v>2</v>
      </c>
      <c r="H24" s="56"/>
      <c r="I24" s="56"/>
      <c r="J24" s="56"/>
      <c r="K24" s="56"/>
      <c r="L24" s="56"/>
      <c r="M24" s="56"/>
      <c r="N24" s="70">
        <v>2</v>
      </c>
      <c r="O24" s="70">
        <v>0.1</v>
      </c>
      <c r="P24" s="71">
        <f>1-(SUM(IF(D24-Uzman_D!$B$4&lt;0,-(D24-Uzman_D!$B$4),D24-Uzman_D!$B$4)*0.1+IF(E24-Uzman_D!$C$4&lt;0,-(E24-Uzman_D!$C$4),E24-Uzman_D!$C$4)*0.1+IF(F24-Uzman_D!$D$4&lt;0,-(F24-Uzman_D!$D$4),F24-Uzman_D!$D$4)*0.1+IF(G24-Uzman_D!$E$4&lt;0,-(G24-Uzman_D!$E$4),G24-Uzman_D!$E$4)*0.1+IF(H24-Uzman_D!$F$4&lt;0,-(H24-Uzman_D!$F$4),H24-Uzman_D!$F$4)*0.1+IF(I24-Uzman_D!$G$4&lt;0,-(I24-Uzman_D!$G$4),I24-Uzman_D!$G$4)*0.1+IF(J24-Uzman_D!$H$4&lt;0,-(J24-Uzman_D!$H$4),J24-Uzman_D!$H$4)*0.1+IF(K24-Uzman_D!$I$4&lt;0,-(K24-Uzman_D!$I$4),K24-Uzman_D!$I$4)*0.1+IF(L24-Uzman_D!$J$4&lt;0,-(L24-Uzman_D!$J$4),L24-Uzman_D!$J$4)*0.1)+IF(ROUND((IF(N24-Uzman_D!$L$4&lt;0,-(N24-Uzman_D!$L$4),N24-Uzman_D!$L$4)*2),0)/2=IF(N24-Uzman_D!$L$4&lt;0,-(N24-Uzman_D!$L$4),N24-Uzman_D!$L$4),(ROUND((IF(N24-Uzman_D!$L$4&lt;0,-(N24-Uzman_D!$L$4),N24-Uzman_D!$L$4)*2),0)/1*0.1),0)+IF(O24-Uzman_D!$M$4&lt;0,-(O24-Uzman_D!$M$4),O24-Uzman_D!$M$4)*1)</f>
        <v>0.6</v>
      </c>
      <c r="Q24" s="56"/>
      <c r="R24" s="56">
        <v>1</v>
      </c>
      <c r="S24" s="56">
        <v>2</v>
      </c>
      <c r="T24" s="56">
        <v>2</v>
      </c>
      <c r="U24" s="56">
        <v>2</v>
      </c>
      <c r="V24" s="56">
        <v>1</v>
      </c>
      <c r="W24" s="56"/>
      <c r="X24" s="56"/>
      <c r="Y24" s="56"/>
      <c r="Z24" s="56"/>
      <c r="AA24" s="70">
        <v>2</v>
      </c>
      <c r="AB24" s="70">
        <v>0.3</v>
      </c>
      <c r="AC24" s="71">
        <f>1-(SUM(IF(Q24-Uzman_D!$B$5&lt;0,-(Q24-Uzman_D!$B$5),Q24-Uzman_D!$B$5)*0.1+IF(R24-Uzman_D!$C$5&lt;0,-(R24-Uzman_D!$C$5),R24-Uzman_D!$C$5)*0.1+IF(S24-Uzman_D!$D$5&lt;0,-(S24-Uzman_D!$D$5),S24-Uzman_D!$D$5)*0.1+IF(T24-Uzman_D!$E$5&lt;0,-(T24-Uzman_D!$E$5),T24-Uzman_D!$E$5)*0.1+IF(U24-Uzman_D!$F$5&lt;0,-(U24-Uzman_D!$F$5),U24-Uzman_D!$F$5)*0.1+IF(V24-Uzman_D!$G$5&lt;0,-(V24-Uzman_D!$G$5),V24-Uzman_D!$G$5)*0.1+IF(W24-Uzman_D!$H$5&lt;0,-(W24-Uzman_D!$H$5),W24-Uzman_D!$H$5)*0.1+IF(X24-Uzman_D!$I$5&lt;0,-(X24-Uzman_D!$I$5),X24-Uzman_D!$I$5)*0.1+IF(Y24-Uzman_D!$J$5&lt;0,-(Y24-Uzman_D!$J$5),Y24-Uzman_D!$J$5)*0.1)+IF(ROUND((IF(AA24-Uzman_D!$L$5&lt;0,-(AA24-Uzman_D!$L$5),AA24-Uzman_D!$L$5)*2),0)/2=IF(AA24-Uzman_D!$L$5&lt;0,-(AA24-Uzman_D!$L$5),AA24-Uzman_D!$L$5),(ROUND((IF(AA24-Uzman_D!$L$5&lt;0,-(AA24-Uzman_D!$L$5),AA24-Uzman_D!$L$5)*2),0)/1*0.1),0)+IF(AB24-Uzman_D!$M$5&lt;0,-(AB24-Uzman_D!$M$5),AB24-Uzman_D!$M$5)*1)</f>
        <v>0.10000000000000009</v>
      </c>
      <c r="AD24" s="56"/>
      <c r="AE24" s="56">
        <v>3</v>
      </c>
      <c r="AF24" s="56">
        <v>4</v>
      </c>
      <c r="AG24" s="56"/>
      <c r="AH24" s="56">
        <v>1</v>
      </c>
      <c r="AI24" s="56"/>
      <c r="AJ24" s="56"/>
      <c r="AK24" s="56"/>
      <c r="AL24" s="56"/>
      <c r="AM24" s="56"/>
      <c r="AN24" s="70">
        <v>2</v>
      </c>
      <c r="AO24" s="70">
        <v>0.1</v>
      </c>
      <c r="AP24" s="71">
        <f>1-(SUM(IF(AD24-Uzman_D!$B$6&lt;0,-(AD24-Uzman_D!$B$6),AD24-Uzman_D!$B$6)*0.1+IF(AE24-Uzman_D!$C$6&lt;0,-(AE24-Uzman_D!$C$6),AE24-Uzman_D!$C$6)*0.1+IF(AF24-Uzman_D!$D$6&lt;0,-(AF24-Uzman_D!$D$6),AF24-Uzman_D!$D$6)*0.1+IF(AG24-Uzman_D!$E$6&lt;0,-(AG24-Uzman_D!$E$6),AG24-Uzman_D!$E$6)*0.1+IF(AH24-Uzman_D!$F$6&lt;0,-(AH24-Uzman_D!$F$6),AH24-Uzman_D!$F$6)*0.1+IF(AI24-Uzman_D!$G$6&lt;0,-(AI24-Uzman_D!$G$6),AI24-Uzman_D!$G$6)*0.1+IF(AJ24-Uzman_D!$H$6&lt;0,-(AJ24-Uzman_D!$H$6),AJ24-Uzman_D!$H$6)*0.1+IF(AK24-Uzman_D!$I$6&lt;0,-(AK24-Uzman_D!$I$6),AK24-Uzman_D!$I$6)*0.1+IF(AL24-Uzman_D!$J$6&lt;0,-(AL24-Uzman_D!$J$6),AL24-Uzman_D!$J$6)*0.1)+IF(ROUND((IF(AN24-Uzman_D!$L$6&lt;0,-(AN24-Uzman_D!$L$6),AN24-Uzman_D!$L$6)*2),0)/2=IF(AN24-Uzman_D!$L$6&lt;0,-(AN24-Uzman_D!$L$6),AN24-Uzman_D!$L$6),(ROUND((IF(AN24-Uzman_D!$L$6&lt;0,-(AN24-Uzman_D!$L$6),AN24-Uzman_D!$L$6)*2),0)/1*0.1),0)+IF(AO24-Uzman_D!$M$6&lt;0,-(AO24-Uzman_D!$M$6),AO24-Uzman_D!$M$6)*1)</f>
        <v>0.6</v>
      </c>
      <c r="AQ24" s="56">
        <v>1</v>
      </c>
      <c r="AR24" s="56"/>
      <c r="AS24" s="56"/>
      <c r="AT24" s="56">
        <v>4</v>
      </c>
      <c r="AU24" s="56">
        <v>2</v>
      </c>
      <c r="AV24" s="56">
        <v>1</v>
      </c>
      <c r="AW24" s="56"/>
      <c r="AX24" s="56"/>
      <c r="AY24" s="56"/>
      <c r="AZ24" s="56"/>
      <c r="BA24" s="70">
        <v>2</v>
      </c>
      <c r="BB24" s="70">
        <v>0.2</v>
      </c>
      <c r="BC24" s="71">
        <f>1-(SUM(IF(AQ24-Uzman_D!$B$7&lt;0,-(AQ24-Uzman_D!$B$7),AQ24-Uzman_D!$B$7)*0.1+IF(AR24-Uzman_D!$C$7&lt;0,-(AR24-Uzman_D!$C$7),AR24-Uzman_D!$C$7)*0.1+IF(AS24-Uzman_D!$D$7&lt;0,-(AS24-Uzman_D!$D$7),AS24-Uzman_D!$D$7)*0.1+IF(AT24-Uzman_D!$E$7&lt;0,-(AT24-Uzman_D!$E$7),AT24-Uzman_D!$E$7)*0.1+IF(AU24-Uzman_D!$F$7&lt;0,-(AU24-Uzman_D!$F$7),AU24-Uzman_D!$F$7)*0.1+IF(AV24-Uzman_D!$G$7&lt;0,-(AV24-Uzman_D!$G$7),AV24-Uzman_D!$G$7)*0.1+IF(AW24-Uzman_D!$H$7&lt;0,-(AW24-Uzman_D!$H$7),AW24-Uzman_D!$H$7)*0.1+IF(AX24-Uzman_D!$I$7&lt;0,-(AX24-Uzman_D!$I$7),AX24-Uzman_D!$I$7)*0.1+IF(AY24-Uzman_D!$J$7&lt;0,-(AY24-Uzman_D!$J$7),AY24-Uzman_D!$J$7)*0.1)+IF(ROUND((IF(BA24-Uzman_D!$L$7&lt;0,-(BA24-Uzman_D!$L$7),BA24-Uzman_D!$L$7)*2),0)/2=IF(BA24-Uzman_D!$L$7&lt;0,-(BA24-Uzman_D!$L$7),BA24-Uzman_D!$L$7),(ROUND((IF(BA24-Uzman_D!$L$7&lt;0,-(BA24-Uzman_D!$L$7),BA24-Uzman_D!$L$7)*2),0)/1*0.1),0)+IF(BB24-Uzman_D!$M$7&lt;0,-(BB24-Uzman_D!$M$7),BB24-Uzman_D!$M$7)*1)</f>
        <v>0.5</v>
      </c>
      <c r="BD24" s="56"/>
      <c r="BE24" s="56"/>
      <c r="BF24" s="56">
        <v>1</v>
      </c>
      <c r="BG24" s="56">
        <v>5</v>
      </c>
      <c r="BH24" s="56">
        <v>2</v>
      </c>
      <c r="BI24" s="56"/>
      <c r="BJ24" s="56"/>
      <c r="BK24" s="56"/>
      <c r="BL24" s="56"/>
      <c r="BM24" s="56"/>
      <c r="BN24" s="70">
        <v>2</v>
      </c>
      <c r="BO24" s="70">
        <v>0.4</v>
      </c>
      <c r="BP24" s="71">
        <f>1-(SUM(IF(BD24-Uzman_D!$B$8&lt;0,-(BD24-Uzman_D!$B$8),BD24-Uzman_D!$B$8)*0.1+IF(BE24-Uzman_D!$C$8&lt;0,-(BE24-Uzman_D!$C$8),BE24-Uzman_D!$C$8)*0.1+IF(BF24-Uzman_D!$D$8&lt;0,-(BF24-Uzman_D!$D$8),BF24-Uzman_D!$D$8)*0.1+IF(BG24-Uzman_D!$E$8&lt;0,-(BG24-Uzman_D!$E$8),BG24-Uzman_D!$E$8)*0.1+IF(BH24-Uzman_D!$F$8&lt;0,-(BH24-Uzman_D!$F$8),BH24-Uzman_D!$F$8)*0.1+IF(BI24-Uzman_D!$G$8&lt;0,-(BI24-Uzman_D!$G$8),BI24-Uzman_D!$G$8)*0.1+IF(BJ24-Uzman_D!$H$8&lt;0,-(BJ24-Uzman_D!$H$8),BJ24-Uzman_D!$H$8)*0.1+IF(BK24-Uzman_D!$I$8&lt;0,-(BK24-Uzman_D!$I$8),BK24-Uzman_D!$I$8)*0.1+IF(BL24-Uzman_D!$J$8&lt;0,-(BL24-Uzman_D!$J$8),BL24-Uzman_D!$J$8)*0.1)+IF(ROUND((IF(BN24-Uzman_D!$L$8&lt;0,-(BN24-Uzman_D!$L$8),BN24-Uzman_D!$L$8)*2),0)/2=IF(BN24-Uzman_D!$L$8&lt;0,-(BN24-Uzman_D!$L$8),BN24-Uzman_D!$L$8),(ROUND((IF(BN24-Uzman_D!$L$8&lt;0,-(BN24-Uzman_D!$L$8),BN24-Uzman_D!$L$8)*2),0)/1*0.1),0)+IF(BO24-Uzman_D!$M$8&lt;0,-(BO24-Uzman_D!$M$8),BO24-Uzman_D!$M$8)*1)</f>
        <v>0.19999999999999996</v>
      </c>
      <c r="BQ24" s="72">
        <f t="shared" si="0"/>
        <v>0.4</v>
      </c>
    </row>
    <row r="25" spans="1:69" ht="15" customHeight="1" x14ac:dyDescent="0.45">
      <c r="A25" s="54">
        <v>22</v>
      </c>
      <c r="B25" s="162" t="str">
        <f>Hakemler!B25</f>
        <v>KARAKAŞ</v>
      </c>
      <c r="C25" s="162" t="str">
        <f>Hakemler!C25</f>
        <v>TAHİR</v>
      </c>
      <c r="D25" s="56">
        <v>1</v>
      </c>
      <c r="E25" s="56">
        <v>4</v>
      </c>
      <c r="F25" s="56">
        <v>2</v>
      </c>
      <c r="G25" s="56"/>
      <c r="H25" s="56"/>
      <c r="I25" s="56"/>
      <c r="J25" s="56"/>
      <c r="K25" s="56"/>
      <c r="L25" s="56"/>
      <c r="M25" s="56"/>
      <c r="N25" s="70">
        <v>2</v>
      </c>
      <c r="O25" s="70">
        <v>0</v>
      </c>
      <c r="P25" s="71">
        <f>1-(SUM(IF(D25-Uzman_D!$B$4&lt;0,-(D25-Uzman_D!$B$4),D25-Uzman_D!$B$4)*0.1+IF(E25-Uzman_D!$C$4&lt;0,-(E25-Uzman_D!$C$4),E25-Uzman_D!$C$4)*0.1+IF(F25-Uzman_D!$D$4&lt;0,-(F25-Uzman_D!$D$4),F25-Uzman_D!$D$4)*0.1+IF(G25-Uzman_D!$E$4&lt;0,-(G25-Uzman_D!$E$4),G25-Uzman_D!$E$4)*0.1+IF(H25-Uzman_D!$F$4&lt;0,-(H25-Uzman_D!$F$4),H25-Uzman_D!$F$4)*0.1+IF(I25-Uzman_D!$G$4&lt;0,-(I25-Uzman_D!$G$4),I25-Uzman_D!$G$4)*0.1+IF(J25-Uzman_D!$H$4&lt;0,-(J25-Uzman_D!$H$4),J25-Uzman_D!$H$4)*0.1+IF(K25-Uzman_D!$I$4&lt;0,-(K25-Uzman_D!$I$4),K25-Uzman_D!$I$4)*0.1+IF(L25-Uzman_D!$J$4&lt;0,-(L25-Uzman_D!$J$4),L25-Uzman_D!$J$4)*0.1)+IF(ROUND((IF(N25-Uzman_D!$L$4&lt;0,-(N25-Uzman_D!$L$4),N25-Uzman_D!$L$4)*2),0)/2=IF(N25-Uzman_D!$L$4&lt;0,-(N25-Uzman_D!$L$4),N25-Uzman_D!$L$4),(ROUND((IF(N25-Uzman_D!$L$4&lt;0,-(N25-Uzman_D!$L$4),N25-Uzman_D!$L$4)*2),0)/1*0.1),0)+IF(O25-Uzman_D!$M$4&lt;0,-(O25-Uzman_D!$M$4),O25-Uzman_D!$M$4)*1)</f>
        <v>0.9</v>
      </c>
      <c r="Q25" s="56"/>
      <c r="R25" s="56">
        <v>3</v>
      </c>
      <c r="S25" s="56">
        <v>1</v>
      </c>
      <c r="T25" s="56">
        <v>4</v>
      </c>
      <c r="U25" s="56"/>
      <c r="V25" s="56"/>
      <c r="W25" s="56"/>
      <c r="X25" s="56"/>
      <c r="Y25" s="56"/>
      <c r="Z25" s="56"/>
      <c r="AA25" s="70">
        <v>2</v>
      </c>
      <c r="AB25" s="70">
        <v>0.2</v>
      </c>
      <c r="AC25" s="71">
        <f>1-(SUM(IF(Q25-Uzman_D!$B$5&lt;0,-(Q25-Uzman_D!$B$5),Q25-Uzman_D!$B$5)*0.1+IF(R25-Uzman_D!$C$5&lt;0,-(R25-Uzman_D!$C$5),R25-Uzman_D!$C$5)*0.1+IF(S25-Uzman_D!$D$5&lt;0,-(S25-Uzman_D!$D$5),S25-Uzman_D!$D$5)*0.1+IF(T25-Uzman_D!$E$5&lt;0,-(T25-Uzman_D!$E$5),T25-Uzman_D!$E$5)*0.1+IF(U25-Uzman_D!$F$5&lt;0,-(U25-Uzman_D!$F$5),U25-Uzman_D!$F$5)*0.1+IF(V25-Uzman_D!$G$5&lt;0,-(V25-Uzman_D!$G$5),V25-Uzman_D!$G$5)*0.1+IF(W25-Uzman_D!$H$5&lt;0,-(W25-Uzman_D!$H$5),W25-Uzman_D!$H$5)*0.1+IF(X25-Uzman_D!$I$5&lt;0,-(X25-Uzman_D!$I$5),X25-Uzman_D!$I$5)*0.1+IF(Y25-Uzman_D!$J$5&lt;0,-(Y25-Uzman_D!$J$5),Y25-Uzman_D!$J$5)*0.1)+IF(ROUND((IF(AA25-Uzman_D!$L$5&lt;0,-(AA25-Uzman_D!$L$5),AA25-Uzman_D!$L$5)*2),0)/2=IF(AA25-Uzman_D!$L$5&lt;0,-(AA25-Uzman_D!$L$5),AA25-Uzman_D!$L$5),(ROUND((IF(AA25-Uzman_D!$L$5&lt;0,-(AA25-Uzman_D!$L$5),AA25-Uzman_D!$L$5)*2),0)/1*0.1),0)+IF(AB25-Uzman_D!$M$5&lt;0,-(AB25-Uzman_D!$M$5),AB25-Uzman_D!$M$5)*1)</f>
        <v>1</v>
      </c>
      <c r="AD25" s="56"/>
      <c r="AE25" s="56">
        <v>3</v>
      </c>
      <c r="AF25" s="56">
        <v>4</v>
      </c>
      <c r="AG25" s="56">
        <v>1</v>
      </c>
      <c r="AH25" s="56"/>
      <c r="AI25" s="56"/>
      <c r="AJ25" s="56"/>
      <c r="AK25" s="56"/>
      <c r="AL25" s="56"/>
      <c r="AM25" s="56"/>
      <c r="AN25" s="70">
        <v>1.5</v>
      </c>
      <c r="AO25" s="70">
        <v>0</v>
      </c>
      <c r="AP25" s="71">
        <f>1-(SUM(IF(AD25-Uzman_D!$B$6&lt;0,-(AD25-Uzman_D!$B$6),AD25-Uzman_D!$B$6)*0.1+IF(AE25-Uzman_D!$C$6&lt;0,-(AE25-Uzman_D!$C$6),AE25-Uzman_D!$C$6)*0.1+IF(AF25-Uzman_D!$D$6&lt;0,-(AF25-Uzman_D!$D$6),AF25-Uzman_D!$D$6)*0.1+IF(AG25-Uzman_D!$E$6&lt;0,-(AG25-Uzman_D!$E$6),AG25-Uzman_D!$E$6)*0.1+IF(AH25-Uzman_D!$F$6&lt;0,-(AH25-Uzman_D!$F$6),AH25-Uzman_D!$F$6)*0.1+IF(AI25-Uzman_D!$G$6&lt;0,-(AI25-Uzman_D!$G$6),AI25-Uzman_D!$G$6)*0.1+IF(AJ25-Uzman_D!$H$6&lt;0,-(AJ25-Uzman_D!$H$6),AJ25-Uzman_D!$H$6)*0.1+IF(AK25-Uzman_D!$I$6&lt;0,-(AK25-Uzman_D!$I$6),AK25-Uzman_D!$I$6)*0.1+IF(AL25-Uzman_D!$J$6&lt;0,-(AL25-Uzman_D!$J$6),AL25-Uzman_D!$J$6)*0.1)+IF(ROUND((IF(AN25-Uzman_D!$L$6&lt;0,-(AN25-Uzman_D!$L$6),AN25-Uzman_D!$L$6)*2),0)/2=IF(AN25-Uzman_D!$L$6&lt;0,-(AN25-Uzman_D!$L$6),AN25-Uzman_D!$L$6),(ROUND((IF(AN25-Uzman_D!$L$6&lt;0,-(AN25-Uzman_D!$L$6),AN25-Uzman_D!$L$6)*2),0)/1*0.1),0)+IF(AO25-Uzman_D!$M$6&lt;0,-(AO25-Uzman_D!$M$6),AO25-Uzman_D!$M$6)*1)</f>
        <v>1</v>
      </c>
      <c r="AQ25" s="56"/>
      <c r="AR25" s="56">
        <v>1</v>
      </c>
      <c r="AS25" s="56">
        <v>1</v>
      </c>
      <c r="AT25" s="56">
        <v>4</v>
      </c>
      <c r="AU25" s="56">
        <v>2</v>
      </c>
      <c r="AV25" s="56"/>
      <c r="AW25" s="56"/>
      <c r="AX25" s="56"/>
      <c r="AY25" s="56"/>
      <c r="AZ25" s="56"/>
      <c r="BA25" s="70">
        <v>2</v>
      </c>
      <c r="BB25" s="70">
        <v>0.4</v>
      </c>
      <c r="BC25" s="71">
        <f>1-(SUM(IF(AQ25-Uzman_D!$B$7&lt;0,-(AQ25-Uzman_D!$B$7),AQ25-Uzman_D!$B$7)*0.1+IF(AR25-Uzman_D!$C$7&lt;0,-(AR25-Uzman_D!$C$7),AR25-Uzman_D!$C$7)*0.1+IF(AS25-Uzman_D!$D$7&lt;0,-(AS25-Uzman_D!$D$7),AS25-Uzman_D!$D$7)*0.1+IF(AT25-Uzman_D!$E$7&lt;0,-(AT25-Uzman_D!$E$7),AT25-Uzman_D!$E$7)*0.1+IF(AU25-Uzman_D!$F$7&lt;0,-(AU25-Uzman_D!$F$7),AU25-Uzman_D!$F$7)*0.1+IF(AV25-Uzman_D!$G$7&lt;0,-(AV25-Uzman_D!$G$7),AV25-Uzman_D!$G$7)*0.1+IF(AW25-Uzman_D!$H$7&lt;0,-(AW25-Uzman_D!$H$7),AW25-Uzman_D!$H$7)*0.1+IF(AX25-Uzman_D!$I$7&lt;0,-(AX25-Uzman_D!$I$7),AX25-Uzman_D!$I$7)*0.1+IF(AY25-Uzman_D!$J$7&lt;0,-(AY25-Uzman_D!$J$7),AY25-Uzman_D!$J$7)*0.1)+IF(ROUND((IF(BA25-Uzman_D!$L$7&lt;0,-(BA25-Uzman_D!$L$7),BA25-Uzman_D!$L$7)*2),0)/2=IF(BA25-Uzman_D!$L$7&lt;0,-(BA25-Uzman_D!$L$7),BA25-Uzman_D!$L$7),(ROUND((IF(BA25-Uzman_D!$L$7&lt;0,-(BA25-Uzman_D!$L$7),BA25-Uzman_D!$L$7)*2),0)/1*0.1),0)+IF(BB25-Uzman_D!$M$7&lt;0,-(BB25-Uzman_D!$M$7),BB25-Uzman_D!$M$7)*1)</f>
        <v>0.7</v>
      </c>
      <c r="BD25" s="56"/>
      <c r="BE25" s="56"/>
      <c r="BF25" s="56"/>
      <c r="BG25" s="56">
        <v>6</v>
      </c>
      <c r="BH25" s="56">
        <v>2</v>
      </c>
      <c r="BI25" s="56"/>
      <c r="BJ25" s="56"/>
      <c r="BK25" s="56"/>
      <c r="BL25" s="56"/>
      <c r="BM25" s="56"/>
      <c r="BN25" s="70">
        <v>2</v>
      </c>
      <c r="BO25" s="70">
        <v>0.5</v>
      </c>
      <c r="BP25" s="71">
        <f>1-(SUM(IF(BD25-Uzman_D!$B$8&lt;0,-(BD25-Uzman_D!$B$8),BD25-Uzman_D!$B$8)*0.1+IF(BE25-Uzman_D!$C$8&lt;0,-(BE25-Uzman_D!$C$8),BE25-Uzman_D!$C$8)*0.1+IF(BF25-Uzman_D!$D$8&lt;0,-(BF25-Uzman_D!$D$8),BF25-Uzman_D!$D$8)*0.1+IF(BG25-Uzman_D!$E$8&lt;0,-(BG25-Uzman_D!$E$8),BG25-Uzman_D!$E$8)*0.1+IF(BH25-Uzman_D!$F$8&lt;0,-(BH25-Uzman_D!$F$8),BH25-Uzman_D!$F$8)*0.1+IF(BI25-Uzman_D!$G$8&lt;0,-(BI25-Uzman_D!$G$8),BI25-Uzman_D!$G$8)*0.1+IF(BJ25-Uzman_D!$H$8&lt;0,-(BJ25-Uzman_D!$H$8),BJ25-Uzman_D!$H$8)*0.1+IF(BK25-Uzman_D!$I$8&lt;0,-(BK25-Uzman_D!$I$8),BK25-Uzman_D!$I$8)*0.1+IF(BL25-Uzman_D!$J$8&lt;0,-(BL25-Uzman_D!$J$8),BL25-Uzman_D!$J$8)*0.1)+IF(ROUND((IF(BN25-Uzman_D!$L$8&lt;0,-(BN25-Uzman_D!$L$8),BN25-Uzman_D!$L$8)*2),0)/2=IF(BN25-Uzman_D!$L$8&lt;0,-(BN25-Uzman_D!$L$8),BN25-Uzman_D!$L$8),(ROUND((IF(BN25-Uzman_D!$L$8&lt;0,-(BN25-Uzman_D!$L$8),BN25-Uzman_D!$L$8)*2),0)/1*0.1),0)+IF(BO25-Uzman_D!$M$8&lt;0,-(BO25-Uzman_D!$M$8),BO25-Uzman_D!$M$8)*1)</f>
        <v>0.5</v>
      </c>
      <c r="BQ25" s="72">
        <f t="shared" si="0"/>
        <v>0.82</v>
      </c>
    </row>
    <row r="26" spans="1:69" ht="15" customHeight="1" x14ac:dyDescent="0.45">
      <c r="A26" s="54">
        <v>23</v>
      </c>
      <c r="B26" s="162" t="str">
        <f>Hakemler!B26</f>
        <v>SAVAŞ OK</v>
      </c>
      <c r="C26" s="162" t="str">
        <f>Hakemler!C26</f>
        <v>DİLAY</v>
      </c>
      <c r="D26" s="56">
        <v>2</v>
      </c>
      <c r="E26" s="56">
        <v>3</v>
      </c>
      <c r="F26" s="56">
        <v>3</v>
      </c>
      <c r="G26" s="56"/>
      <c r="H26" s="56"/>
      <c r="I26" s="56"/>
      <c r="J26" s="56"/>
      <c r="K26" s="56"/>
      <c r="L26" s="56"/>
      <c r="M26" s="56"/>
      <c r="N26" s="70">
        <v>1.5</v>
      </c>
      <c r="O26" s="70">
        <v>0</v>
      </c>
      <c r="P26" s="71">
        <f>1-(SUM(IF(D26-Uzman_D!$B$4&lt;0,-(D26-Uzman_D!$B$4),D26-Uzman_D!$B$4)*0.1+IF(E26-Uzman_D!$C$4&lt;0,-(E26-Uzman_D!$C$4),E26-Uzman_D!$C$4)*0.1+IF(F26-Uzman_D!$D$4&lt;0,-(F26-Uzman_D!$D$4),F26-Uzman_D!$D$4)*0.1+IF(G26-Uzman_D!$E$4&lt;0,-(G26-Uzman_D!$E$4),G26-Uzman_D!$E$4)*0.1+IF(H26-Uzman_D!$F$4&lt;0,-(H26-Uzman_D!$F$4),H26-Uzman_D!$F$4)*0.1+IF(I26-Uzman_D!$G$4&lt;0,-(I26-Uzman_D!$G$4),I26-Uzman_D!$G$4)*0.1+IF(J26-Uzman_D!$H$4&lt;0,-(J26-Uzman_D!$H$4),J26-Uzman_D!$H$4)*0.1+IF(K26-Uzman_D!$I$4&lt;0,-(K26-Uzman_D!$I$4),K26-Uzman_D!$I$4)*0.1+IF(L26-Uzman_D!$J$4&lt;0,-(L26-Uzman_D!$J$4),L26-Uzman_D!$J$4)*0.1)+IF(ROUND((IF(N26-Uzman_D!$L$4&lt;0,-(N26-Uzman_D!$L$4),N26-Uzman_D!$L$4)*2),0)/2=IF(N26-Uzman_D!$L$4&lt;0,-(N26-Uzman_D!$L$4),N26-Uzman_D!$L$4),(ROUND((IF(N26-Uzman_D!$L$4&lt;0,-(N26-Uzman_D!$L$4),N26-Uzman_D!$L$4)*2),0)/1*0.1),0)+IF(O26-Uzman_D!$M$4&lt;0,-(O26-Uzman_D!$M$4),O26-Uzman_D!$M$4)*1)</f>
        <v>0.5</v>
      </c>
      <c r="Q26" s="56"/>
      <c r="R26" s="56">
        <v>4</v>
      </c>
      <c r="S26" s="56">
        <v>1</v>
      </c>
      <c r="T26" s="56">
        <v>2</v>
      </c>
      <c r="U26" s="56"/>
      <c r="V26" s="56"/>
      <c r="W26" s="56"/>
      <c r="X26" s="56"/>
      <c r="Y26" s="56"/>
      <c r="Z26" s="56"/>
      <c r="AA26" s="70">
        <v>1.5</v>
      </c>
      <c r="AB26" s="70">
        <v>0.1</v>
      </c>
      <c r="AC26" s="71">
        <f>1-(SUM(IF(Q26-Uzman_D!$B$5&lt;0,-(Q26-Uzman_D!$B$5),Q26-Uzman_D!$B$5)*0.1+IF(R26-Uzman_D!$C$5&lt;0,-(R26-Uzman_D!$C$5),R26-Uzman_D!$C$5)*0.1+IF(S26-Uzman_D!$D$5&lt;0,-(S26-Uzman_D!$D$5),S26-Uzman_D!$D$5)*0.1+IF(T26-Uzman_D!$E$5&lt;0,-(T26-Uzman_D!$E$5),T26-Uzman_D!$E$5)*0.1+IF(U26-Uzman_D!$F$5&lt;0,-(U26-Uzman_D!$F$5),U26-Uzman_D!$F$5)*0.1+IF(V26-Uzman_D!$G$5&lt;0,-(V26-Uzman_D!$G$5),V26-Uzman_D!$G$5)*0.1+IF(W26-Uzman_D!$H$5&lt;0,-(W26-Uzman_D!$H$5),W26-Uzman_D!$H$5)*0.1+IF(X26-Uzman_D!$I$5&lt;0,-(X26-Uzman_D!$I$5),X26-Uzman_D!$I$5)*0.1+IF(Y26-Uzman_D!$J$5&lt;0,-(Y26-Uzman_D!$J$5),Y26-Uzman_D!$J$5)*0.1)+IF(ROUND((IF(AA26-Uzman_D!$L$5&lt;0,-(AA26-Uzman_D!$L$5),AA26-Uzman_D!$L$5)*2),0)/2=IF(AA26-Uzman_D!$L$5&lt;0,-(AA26-Uzman_D!$L$5),AA26-Uzman_D!$L$5),(ROUND((IF(AA26-Uzman_D!$L$5&lt;0,-(AA26-Uzman_D!$L$5),AA26-Uzman_D!$L$5)*2),0)/1*0.1),0)+IF(AB26-Uzman_D!$M$5&lt;0,-(AB26-Uzman_D!$M$5),AB26-Uzman_D!$M$5)*1)</f>
        <v>0.5</v>
      </c>
      <c r="AD26" s="56">
        <v>1</v>
      </c>
      <c r="AE26" s="56">
        <v>3</v>
      </c>
      <c r="AF26" s="56">
        <v>3</v>
      </c>
      <c r="AG26" s="56">
        <v>1</v>
      </c>
      <c r="AH26" s="56"/>
      <c r="AI26" s="56"/>
      <c r="AJ26" s="56"/>
      <c r="AK26" s="56"/>
      <c r="AL26" s="56"/>
      <c r="AM26" s="56"/>
      <c r="AN26" s="70">
        <v>1.5</v>
      </c>
      <c r="AO26" s="70">
        <v>0.1</v>
      </c>
      <c r="AP26" s="71">
        <f>1-(SUM(IF(AD26-Uzman_D!$B$6&lt;0,-(AD26-Uzman_D!$B$6),AD26-Uzman_D!$B$6)*0.1+IF(AE26-Uzman_D!$C$6&lt;0,-(AE26-Uzman_D!$C$6),AE26-Uzman_D!$C$6)*0.1+IF(AF26-Uzman_D!$D$6&lt;0,-(AF26-Uzman_D!$D$6),AF26-Uzman_D!$D$6)*0.1+IF(AG26-Uzman_D!$E$6&lt;0,-(AG26-Uzman_D!$E$6),AG26-Uzman_D!$E$6)*0.1+IF(AH26-Uzman_D!$F$6&lt;0,-(AH26-Uzman_D!$F$6),AH26-Uzman_D!$F$6)*0.1+IF(AI26-Uzman_D!$G$6&lt;0,-(AI26-Uzman_D!$G$6),AI26-Uzman_D!$G$6)*0.1+IF(AJ26-Uzman_D!$H$6&lt;0,-(AJ26-Uzman_D!$H$6),AJ26-Uzman_D!$H$6)*0.1+IF(AK26-Uzman_D!$I$6&lt;0,-(AK26-Uzman_D!$I$6),AK26-Uzman_D!$I$6)*0.1+IF(AL26-Uzman_D!$J$6&lt;0,-(AL26-Uzman_D!$J$6),AL26-Uzman_D!$J$6)*0.1)+IF(ROUND((IF(AN26-Uzman_D!$L$6&lt;0,-(AN26-Uzman_D!$L$6),AN26-Uzman_D!$L$6)*2),0)/2=IF(AN26-Uzman_D!$L$6&lt;0,-(AN26-Uzman_D!$L$6),AN26-Uzman_D!$L$6),(ROUND((IF(AN26-Uzman_D!$L$6&lt;0,-(AN26-Uzman_D!$L$6),AN26-Uzman_D!$L$6)*2),0)/1*0.1),0)+IF(AO26-Uzman_D!$M$6&lt;0,-(AO26-Uzman_D!$M$6),AO26-Uzman_D!$M$6)*1)</f>
        <v>0.7</v>
      </c>
      <c r="AQ26" s="56">
        <v>1</v>
      </c>
      <c r="AR26" s="56"/>
      <c r="AS26" s="56">
        <v>4</v>
      </c>
      <c r="AT26" s="56">
        <v>1</v>
      </c>
      <c r="AU26" s="56">
        <v>2</v>
      </c>
      <c r="AV26" s="56"/>
      <c r="AW26" s="56"/>
      <c r="AX26" s="56"/>
      <c r="AY26" s="56"/>
      <c r="AZ26" s="56"/>
      <c r="BA26" s="70">
        <v>2</v>
      </c>
      <c r="BB26" s="70">
        <v>0.7</v>
      </c>
      <c r="BC26" s="71">
        <f>1-(SUM(IF(AQ26-Uzman_D!$B$7&lt;0,-(AQ26-Uzman_D!$B$7),AQ26-Uzman_D!$B$7)*0.1+IF(AR26-Uzman_D!$C$7&lt;0,-(AR26-Uzman_D!$C$7),AR26-Uzman_D!$C$7)*0.1+IF(AS26-Uzman_D!$D$7&lt;0,-(AS26-Uzman_D!$D$7),AS26-Uzman_D!$D$7)*0.1+IF(AT26-Uzman_D!$E$7&lt;0,-(AT26-Uzman_D!$E$7),AT26-Uzman_D!$E$7)*0.1+IF(AU26-Uzman_D!$F$7&lt;0,-(AU26-Uzman_D!$F$7),AU26-Uzman_D!$F$7)*0.1+IF(AV26-Uzman_D!$G$7&lt;0,-(AV26-Uzman_D!$G$7),AV26-Uzman_D!$G$7)*0.1+IF(AW26-Uzman_D!$H$7&lt;0,-(AW26-Uzman_D!$H$7),AW26-Uzman_D!$H$7)*0.1+IF(AX26-Uzman_D!$I$7&lt;0,-(AX26-Uzman_D!$I$7),AX26-Uzman_D!$I$7)*0.1+IF(AY26-Uzman_D!$J$7&lt;0,-(AY26-Uzman_D!$J$7),AY26-Uzman_D!$J$7)*0.1)+IF(ROUND((IF(BA26-Uzman_D!$L$7&lt;0,-(BA26-Uzman_D!$L$7),BA26-Uzman_D!$L$7)*2),0)/2=IF(BA26-Uzman_D!$L$7&lt;0,-(BA26-Uzman_D!$L$7),BA26-Uzman_D!$L$7),(ROUND((IF(BA26-Uzman_D!$L$7&lt;0,-(BA26-Uzman_D!$L$7),BA26-Uzman_D!$L$7)*2),0)/1*0.1),0)+IF(BB26-Uzman_D!$M$7&lt;0,-(BB26-Uzman_D!$M$7),BB26-Uzman_D!$M$7)*1)</f>
        <v>0</v>
      </c>
      <c r="BD26" s="56"/>
      <c r="BE26" s="56">
        <v>2</v>
      </c>
      <c r="BF26" s="56">
        <v>2</v>
      </c>
      <c r="BG26" s="56">
        <v>3</v>
      </c>
      <c r="BH26" s="56">
        <v>1</v>
      </c>
      <c r="BI26" s="56"/>
      <c r="BJ26" s="56"/>
      <c r="BK26" s="56"/>
      <c r="BL26" s="56"/>
      <c r="BM26" s="56"/>
      <c r="BN26" s="70">
        <v>2</v>
      </c>
      <c r="BO26" s="70">
        <v>0.6</v>
      </c>
      <c r="BP26" s="71">
        <f>1-(SUM(IF(BD26-Uzman_D!$B$8&lt;0,-(BD26-Uzman_D!$B$8),BD26-Uzman_D!$B$8)*0.1+IF(BE26-Uzman_D!$C$8&lt;0,-(BE26-Uzman_D!$C$8),BE26-Uzman_D!$C$8)*0.1+IF(BF26-Uzman_D!$D$8&lt;0,-(BF26-Uzman_D!$D$8),BF26-Uzman_D!$D$8)*0.1+IF(BG26-Uzman_D!$E$8&lt;0,-(BG26-Uzman_D!$E$8),BG26-Uzman_D!$E$8)*0.1+IF(BH26-Uzman_D!$F$8&lt;0,-(BH26-Uzman_D!$F$8),BH26-Uzman_D!$F$8)*0.1+IF(BI26-Uzman_D!$G$8&lt;0,-(BI26-Uzman_D!$G$8),BI26-Uzman_D!$G$8)*0.1+IF(BJ26-Uzman_D!$H$8&lt;0,-(BJ26-Uzman_D!$H$8),BJ26-Uzman_D!$H$8)*0.1+IF(BK26-Uzman_D!$I$8&lt;0,-(BK26-Uzman_D!$I$8),BK26-Uzman_D!$I$8)*0.1+IF(BL26-Uzman_D!$J$8&lt;0,-(BL26-Uzman_D!$J$8),BL26-Uzman_D!$J$8)*0.1)+IF(ROUND((IF(BN26-Uzman_D!$L$8&lt;0,-(BN26-Uzman_D!$L$8),BN26-Uzman_D!$L$8)*2),0)/2=IF(BN26-Uzman_D!$L$8&lt;0,-(BN26-Uzman_D!$L$8),BN26-Uzman_D!$L$8),(ROUND((IF(BN26-Uzman_D!$L$8&lt;0,-(BN26-Uzman_D!$L$8),BN26-Uzman_D!$L$8)*2),0)/1*0.1),0)+IF(BO26-Uzman_D!$M$8&lt;0,-(BO26-Uzman_D!$M$8),BO26-Uzman_D!$M$8)*1)</f>
        <v>0</v>
      </c>
      <c r="BQ26" s="72">
        <f t="shared" si="0"/>
        <v>0.33999999999999997</v>
      </c>
    </row>
    <row r="27" spans="1:69" ht="15" customHeight="1" x14ac:dyDescent="0.45">
      <c r="A27" s="54">
        <v>24</v>
      </c>
      <c r="B27" s="162" t="str">
        <f>Hakemler!B27</f>
        <v>AYDEMİR</v>
      </c>
      <c r="C27" s="162" t="str">
        <f>Hakemler!C27</f>
        <v>AYŞE DİLARA</v>
      </c>
      <c r="D27" s="56">
        <v>2</v>
      </c>
      <c r="E27" s="56">
        <v>1</v>
      </c>
      <c r="F27" s="56">
        <v>1</v>
      </c>
      <c r="G27" s="56">
        <v>2</v>
      </c>
      <c r="H27" s="56"/>
      <c r="I27" s="56"/>
      <c r="J27" s="56"/>
      <c r="K27" s="56"/>
      <c r="L27" s="56"/>
      <c r="M27" s="56"/>
      <c r="N27" s="70">
        <v>1.5</v>
      </c>
      <c r="O27" s="70">
        <v>0</v>
      </c>
      <c r="P27" s="71">
        <f>1-(SUM(IF(D27-Uzman_D!$B$4&lt;0,-(D27-Uzman_D!$B$4),D27-Uzman_D!$B$4)*0.1+IF(E27-Uzman_D!$C$4&lt;0,-(E27-Uzman_D!$C$4),E27-Uzman_D!$C$4)*0.1+IF(F27-Uzman_D!$D$4&lt;0,-(F27-Uzman_D!$D$4),F27-Uzman_D!$D$4)*0.1+IF(G27-Uzman_D!$E$4&lt;0,-(G27-Uzman_D!$E$4),G27-Uzman_D!$E$4)*0.1+IF(H27-Uzman_D!$F$4&lt;0,-(H27-Uzman_D!$F$4),H27-Uzman_D!$F$4)*0.1+IF(I27-Uzman_D!$G$4&lt;0,-(I27-Uzman_D!$G$4),I27-Uzman_D!$G$4)*0.1+IF(J27-Uzman_D!$H$4&lt;0,-(J27-Uzman_D!$H$4),J27-Uzman_D!$H$4)*0.1+IF(K27-Uzman_D!$I$4&lt;0,-(K27-Uzman_D!$I$4),K27-Uzman_D!$I$4)*0.1+IF(L27-Uzman_D!$J$4&lt;0,-(L27-Uzman_D!$J$4),L27-Uzman_D!$J$4)*0.1)+IF(ROUND((IF(N27-Uzman_D!$L$4&lt;0,-(N27-Uzman_D!$L$4),N27-Uzman_D!$L$4)*2),0)/2=IF(N27-Uzman_D!$L$4&lt;0,-(N27-Uzman_D!$L$4),N27-Uzman_D!$L$4),(ROUND((IF(N27-Uzman_D!$L$4&lt;0,-(N27-Uzman_D!$L$4),N27-Uzman_D!$L$4)*2),0)/1*0.1),0)+IF(O27-Uzman_D!$M$4&lt;0,-(O27-Uzman_D!$M$4),O27-Uzman_D!$M$4)*1)</f>
        <v>0.30000000000000004</v>
      </c>
      <c r="Q27" s="56"/>
      <c r="R27" s="56">
        <v>2</v>
      </c>
      <c r="S27" s="56">
        <v>3</v>
      </c>
      <c r="T27" s="56">
        <v>3</v>
      </c>
      <c r="U27" s="56"/>
      <c r="V27" s="56"/>
      <c r="W27" s="56"/>
      <c r="X27" s="56"/>
      <c r="Y27" s="56"/>
      <c r="Z27" s="56"/>
      <c r="AA27" s="70">
        <v>1.5</v>
      </c>
      <c r="AB27" s="70">
        <v>0</v>
      </c>
      <c r="AC27" s="71">
        <f>1-(SUM(IF(Q27-Uzman_D!$B$5&lt;0,-(Q27-Uzman_D!$B$5),Q27-Uzman_D!$B$5)*0.1+IF(R27-Uzman_D!$C$5&lt;0,-(R27-Uzman_D!$C$5),R27-Uzman_D!$C$5)*0.1+IF(S27-Uzman_D!$D$5&lt;0,-(S27-Uzman_D!$D$5),S27-Uzman_D!$D$5)*0.1+IF(T27-Uzman_D!$E$5&lt;0,-(T27-Uzman_D!$E$5),T27-Uzman_D!$E$5)*0.1+IF(U27-Uzman_D!$F$5&lt;0,-(U27-Uzman_D!$F$5),U27-Uzman_D!$F$5)*0.1+IF(V27-Uzman_D!$G$5&lt;0,-(V27-Uzman_D!$G$5),V27-Uzman_D!$G$5)*0.1+IF(W27-Uzman_D!$H$5&lt;0,-(W27-Uzman_D!$H$5),W27-Uzman_D!$H$5)*0.1+IF(X27-Uzman_D!$I$5&lt;0,-(X27-Uzman_D!$I$5),X27-Uzman_D!$I$5)*0.1+IF(Y27-Uzman_D!$J$5&lt;0,-(Y27-Uzman_D!$J$5),Y27-Uzman_D!$J$5)*0.1)+IF(ROUND((IF(AA27-Uzman_D!$L$5&lt;0,-(AA27-Uzman_D!$L$5),AA27-Uzman_D!$L$5)*2),0)/2=IF(AA27-Uzman_D!$L$5&lt;0,-(AA27-Uzman_D!$L$5),AA27-Uzman_D!$L$5),(ROUND((IF(AA27-Uzman_D!$L$5&lt;0,-(AA27-Uzman_D!$L$5),AA27-Uzman_D!$L$5)*2),0)/1*0.1),0)+IF(AB27-Uzman_D!$M$5&lt;0,-(AB27-Uzman_D!$M$5),AB27-Uzman_D!$M$5)*1)</f>
        <v>0.30000000000000004</v>
      </c>
      <c r="AD27" s="56"/>
      <c r="AE27" s="56">
        <v>2</v>
      </c>
      <c r="AF27" s="56">
        <v>5</v>
      </c>
      <c r="AG27" s="56">
        <v>1</v>
      </c>
      <c r="AH27" s="56"/>
      <c r="AI27" s="56"/>
      <c r="AJ27" s="56"/>
      <c r="AK27" s="56"/>
      <c r="AL27" s="56"/>
      <c r="AM27" s="56"/>
      <c r="AN27" s="70">
        <v>1.5</v>
      </c>
      <c r="AO27" s="70">
        <v>0</v>
      </c>
      <c r="AP27" s="71">
        <f>1-(SUM(IF(AD27-Uzman_D!$B$6&lt;0,-(AD27-Uzman_D!$B$6),AD27-Uzman_D!$B$6)*0.1+IF(AE27-Uzman_D!$C$6&lt;0,-(AE27-Uzman_D!$C$6),AE27-Uzman_D!$C$6)*0.1+IF(AF27-Uzman_D!$D$6&lt;0,-(AF27-Uzman_D!$D$6),AF27-Uzman_D!$D$6)*0.1+IF(AG27-Uzman_D!$E$6&lt;0,-(AG27-Uzman_D!$E$6),AG27-Uzman_D!$E$6)*0.1+IF(AH27-Uzman_D!$F$6&lt;0,-(AH27-Uzman_D!$F$6),AH27-Uzman_D!$F$6)*0.1+IF(AI27-Uzman_D!$G$6&lt;0,-(AI27-Uzman_D!$G$6),AI27-Uzman_D!$G$6)*0.1+IF(AJ27-Uzman_D!$H$6&lt;0,-(AJ27-Uzman_D!$H$6),AJ27-Uzman_D!$H$6)*0.1+IF(AK27-Uzman_D!$I$6&lt;0,-(AK27-Uzman_D!$I$6),AK27-Uzman_D!$I$6)*0.1+IF(AL27-Uzman_D!$J$6&lt;0,-(AL27-Uzman_D!$J$6),AL27-Uzman_D!$J$6)*0.1)+IF(ROUND((IF(AN27-Uzman_D!$L$6&lt;0,-(AN27-Uzman_D!$L$6),AN27-Uzman_D!$L$6)*2),0)/2=IF(AN27-Uzman_D!$L$6&lt;0,-(AN27-Uzman_D!$L$6),AN27-Uzman_D!$L$6),(ROUND((IF(AN27-Uzman_D!$L$6&lt;0,-(AN27-Uzman_D!$L$6),AN27-Uzman_D!$L$6)*2),0)/1*0.1),0)+IF(AO27-Uzman_D!$M$6&lt;0,-(AO27-Uzman_D!$M$6),AO27-Uzman_D!$M$6)*1)</f>
        <v>0.8</v>
      </c>
      <c r="AQ27" s="56">
        <v>1</v>
      </c>
      <c r="AR27" s="56">
        <v>4</v>
      </c>
      <c r="AS27" s="56">
        <v>3</v>
      </c>
      <c r="AT27" s="56"/>
      <c r="AU27" s="56"/>
      <c r="AV27" s="56"/>
      <c r="AW27" s="56"/>
      <c r="AX27" s="56"/>
      <c r="AY27" s="56"/>
      <c r="AZ27" s="56"/>
      <c r="BA27" s="70">
        <v>2</v>
      </c>
      <c r="BB27" s="70">
        <v>0.3</v>
      </c>
      <c r="BC27" s="71">
        <f>1-(SUM(IF(AQ27-Uzman_D!$B$7&lt;0,-(AQ27-Uzman_D!$B$7),AQ27-Uzman_D!$B$7)*0.1+IF(AR27-Uzman_D!$C$7&lt;0,-(AR27-Uzman_D!$C$7),AR27-Uzman_D!$C$7)*0.1+IF(AS27-Uzman_D!$D$7&lt;0,-(AS27-Uzman_D!$D$7),AS27-Uzman_D!$D$7)*0.1+IF(AT27-Uzman_D!$E$7&lt;0,-(AT27-Uzman_D!$E$7),AT27-Uzman_D!$E$7)*0.1+IF(AU27-Uzman_D!$F$7&lt;0,-(AU27-Uzman_D!$F$7),AU27-Uzman_D!$F$7)*0.1+IF(AV27-Uzman_D!$G$7&lt;0,-(AV27-Uzman_D!$G$7),AV27-Uzman_D!$G$7)*0.1+IF(AW27-Uzman_D!$H$7&lt;0,-(AW27-Uzman_D!$H$7),AW27-Uzman_D!$H$7)*0.1+IF(AX27-Uzman_D!$I$7&lt;0,-(AX27-Uzman_D!$I$7),AX27-Uzman_D!$I$7)*0.1+IF(AY27-Uzman_D!$J$7&lt;0,-(AY27-Uzman_D!$J$7),AY27-Uzman_D!$J$7)*0.1)+IF(ROUND((IF(BA27-Uzman_D!$L$7&lt;0,-(BA27-Uzman_D!$L$7),BA27-Uzman_D!$L$7)*2),0)/2=IF(BA27-Uzman_D!$L$7&lt;0,-(BA27-Uzman_D!$L$7),BA27-Uzman_D!$L$7),(ROUND((IF(BA27-Uzman_D!$L$7&lt;0,-(BA27-Uzman_D!$L$7),BA27-Uzman_D!$L$7)*2),0)/1*0.1),0)+IF(BB27-Uzman_D!$M$7&lt;0,-(BB27-Uzman_D!$M$7),BB27-Uzman_D!$M$7)*1)</f>
        <v>-0.60000000000000009</v>
      </c>
      <c r="BD27" s="56"/>
      <c r="BE27" s="56"/>
      <c r="BF27" s="56">
        <v>1</v>
      </c>
      <c r="BG27" s="56">
        <v>3</v>
      </c>
      <c r="BH27" s="56">
        <v>4</v>
      </c>
      <c r="BI27" s="56"/>
      <c r="BJ27" s="56"/>
      <c r="BK27" s="56"/>
      <c r="BL27" s="56"/>
      <c r="BM27" s="56"/>
      <c r="BN27" s="70">
        <v>2</v>
      </c>
      <c r="BO27" s="70">
        <v>0.3</v>
      </c>
      <c r="BP27" s="71">
        <f>1-(SUM(IF(BD27-Uzman_D!$B$8&lt;0,-(BD27-Uzman_D!$B$8),BD27-Uzman_D!$B$8)*0.1+IF(BE27-Uzman_D!$C$8&lt;0,-(BE27-Uzman_D!$C$8),BE27-Uzman_D!$C$8)*0.1+IF(BF27-Uzman_D!$D$8&lt;0,-(BF27-Uzman_D!$D$8),BF27-Uzman_D!$D$8)*0.1+IF(BG27-Uzman_D!$E$8&lt;0,-(BG27-Uzman_D!$E$8),BG27-Uzman_D!$E$8)*0.1+IF(BH27-Uzman_D!$F$8&lt;0,-(BH27-Uzman_D!$F$8),BH27-Uzman_D!$F$8)*0.1+IF(BI27-Uzman_D!$G$8&lt;0,-(BI27-Uzman_D!$G$8),BI27-Uzman_D!$G$8)*0.1+IF(BJ27-Uzman_D!$H$8&lt;0,-(BJ27-Uzman_D!$H$8),BJ27-Uzman_D!$H$8)*0.1+IF(BK27-Uzman_D!$I$8&lt;0,-(BK27-Uzman_D!$I$8),BK27-Uzman_D!$I$8)*0.1+IF(BL27-Uzman_D!$J$8&lt;0,-(BL27-Uzman_D!$J$8),BL27-Uzman_D!$J$8)*0.1)+IF(ROUND((IF(BN27-Uzman_D!$L$8&lt;0,-(BN27-Uzman_D!$L$8),BN27-Uzman_D!$L$8)*2),0)/2=IF(BN27-Uzman_D!$L$8&lt;0,-(BN27-Uzman_D!$L$8),BN27-Uzman_D!$L$8),(ROUND((IF(BN27-Uzman_D!$L$8&lt;0,-(BN27-Uzman_D!$L$8),BN27-Uzman_D!$L$8)*2),0)/1*0.1),0)+IF(BO27-Uzman_D!$M$8&lt;0,-(BO27-Uzman_D!$M$8),BO27-Uzman_D!$M$8)*1)</f>
        <v>-0.30000000000000004</v>
      </c>
      <c r="BQ27" s="72">
        <f t="shared" si="0"/>
        <v>0.1</v>
      </c>
    </row>
    <row r="28" spans="1:69" ht="15" customHeight="1" x14ac:dyDescent="0.45">
      <c r="A28" s="54">
        <v>25</v>
      </c>
      <c r="B28" s="162" t="str">
        <f>Hakemler!B28</f>
        <v>AKIN</v>
      </c>
      <c r="C28" s="162" t="str">
        <f>Hakemler!C28</f>
        <v>MANOLYA</v>
      </c>
      <c r="D28" s="56">
        <v>1</v>
      </c>
      <c r="E28" s="56">
        <v>3</v>
      </c>
      <c r="F28" s="56">
        <v>3</v>
      </c>
      <c r="G28" s="56">
        <v>1</v>
      </c>
      <c r="H28" s="56"/>
      <c r="I28" s="56"/>
      <c r="J28" s="56"/>
      <c r="K28" s="56"/>
      <c r="L28" s="56"/>
      <c r="M28" s="56"/>
      <c r="N28" s="70">
        <v>1.5</v>
      </c>
      <c r="O28" s="70">
        <v>0</v>
      </c>
      <c r="P28" s="71">
        <f>1-(SUM(IF(D28-Uzman_D!$B$4&lt;0,-(D28-Uzman_D!$B$4),D28-Uzman_D!$B$4)*0.1+IF(E28-Uzman_D!$C$4&lt;0,-(E28-Uzman_D!$C$4),E28-Uzman_D!$C$4)*0.1+IF(F28-Uzman_D!$D$4&lt;0,-(F28-Uzman_D!$D$4),F28-Uzman_D!$D$4)*0.1+IF(G28-Uzman_D!$E$4&lt;0,-(G28-Uzman_D!$E$4),G28-Uzman_D!$E$4)*0.1+IF(H28-Uzman_D!$F$4&lt;0,-(H28-Uzman_D!$F$4),H28-Uzman_D!$F$4)*0.1+IF(I28-Uzman_D!$G$4&lt;0,-(I28-Uzman_D!$G$4),I28-Uzman_D!$G$4)*0.1+IF(J28-Uzman_D!$H$4&lt;0,-(J28-Uzman_D!$H$4),J28-Uzman_D!$H$4)*0.1+IF(K28-Uzman_D!$I$4&lt;0,-(K28-Uzman_D!$I$4),K28-Uzman_D!$I$4)*0.1+IF(L28-Uzman_D!$J$4&lt;0,-(L28-Uzman_D!$J$4),L28-Uzman_D!$J$4)*0.1)+IF(ROUND((IF(N28-Uzman_D!$L$4&lt;0,-(N28-Uzman_D!$L$4),N28-Uzman_D!$L$4)*2),0)/2=IF(N28-Uzman_D!$L$4&lt;0,-(N28-Uzman_D!$L$4),N28-Uzman_D!$L$4),(ROUND((IF(N28-Uzman_D!$L$4&lt;0,-(N28-Uzman_D!$L$4),N28-Uzman_D!$L$4)*2),0)/1*0.1),0)+IF(O28-Uzman_D!$M$4&lt;0,-(O28-Uzman_D!$M$4),O28-Uzman_D!$M$4)*1)</f>
        <v>0.7</v>
      </c>
      <c r="Q28" s="56"/>
      <c r="R28" s="56">
        <v>2</v>
      </c>
      <c r="S28" s="56">
        <v>3</v>
      </c>
      <c r="T28" s="56">
        <v>4</v>
      </c>
      <c r="U28" s="56"/>
      <c r="V28" s="56"/>
      <c r="W28" s="56"/>
      <c r="X28" s="56"/>
      <c r="Y28" s="56"/>
      <c r="Z28" s="56"/>
      <c r="AA28" s="70">
        <v>2</v>
      </c>
      <c r="AB28" s="70">
        <v>0.1</v>
      </c>
      <c r="AC28" s="71">
        <f>1-(SUM(IF(Q28-Uzman_D!$B$5&lt;0,-(Q28-Uzman_D!$B$5),Q28-Uzman_D!$B$5)*0.1+IF(R28-Uzman_D!$C$5&lt;0,-(R28-Uzman_D!$C$5),R28-Uzman_D!$C$5)*0.1+IF(S28-Uzman_D!$D$5&lt;0,-(S28-Uzman_D!$D$5),S28-Uzman_D!$D$5)*0.1+IF(T28-Uzman_D!$E$5&lt;0,-(T28-Uzman_D!$E$5),T28-Uzman_D!$E$5)*0.1+IF(U28-Uzman_D!$F$5&lt;0,-(U28-Uzman_D!$F$5),U28-Uzman_D!$F$5)*0.1+IF(V28-Uzman_D!$G$5&lt;0,-(V28-Uzman_D!$G$5),V28-Uzman_D!$G$5)*0.1+IF(W28-Uzman_D!$H$5&lt;0,-(W28-Uzman_D!$H$5),W28-Uzman_D!$H$5)*0.1+IF(X28-Uzman_D!$I$5&lt;0,-(X28-Uzman_D!$I$5),X28-Uzman_D!$I$5)*0.1+IF(Y28-Uzman_D!$J$5&lt;0,-(Y28-Uzman_D!$J$5),Y28-Uzman_D!$J$5)*0.1)+IF(ROUND((IF(AA28-Uzman_D!$L$5&lt;0,-(AA28-Uzman_D!$L$5),AA28-Uzman_D!$L$5)*2),0)/2=IF(AA28-Uzman_D!$L$5&lt;0,-(AA28-Uzman_D!$L$5),AA28-Uzman_D!$L$5),(ROUND((IF(AA28-Uzman_D!$L$5&lt;0,-(AA28-Uzman_D!$L$5),AA28-Uzman_D!$L$5)*2),0)/1*0.1),0)+IF(AB28-Uzman_D!$M$5&lt;0,-(AB28-Uzman_D!$M$5),AB28-Uzman_D!$M$5)*1)</f>
        <v>0.6</v>
      </c>
      <c r="AD28" s="56"/>
      <c r="AE28" s="56">
        <v>3</v>
      </c>
      <c r="AF28" s="56">
        <v>4</v>
      </c>
      <c r="AG28" s="56">
        <v>1</v>
      </c>
      <c r="AH28" s="56"/>
      <c r="AI28" s="56"/>
      <c r="AJ28" s="56"/>
      <c r="AK28" s="56"/>
      <c r="AL28" s="56"/>
      <c r="AM28" s="56"/>
      <c r="AN28" s="70">
        <v>1.5</v>
      </c>
      <c r="AO28" s="70">
        <v>0</v>
      </c>
      <c r="AP28" s="71">
        <f>1-(SUM(IF(AD28-Uzman_D!$B$6&lt;0,-(AD28-Uzman_D!$B$6),AD28-Uzman_D!$B$6)*0.1+IF(AE28-Uzman_D!$C$6&lt;0,-(AE28-Uzman_D!$C$6),AE28-Uzman_D!$C$6)*0.1+IF(AF28-Uzman_D!$D$6&lt;0,-(AF28-Uzman_D!$D$6),AF28-Uzman_D!$D$6)*0.1+IF(AG28-Uzman_D!$E$6&lt;0,-(AG28-Uzman_D!$E$6),AG28-Uzman_D!$E$6)*0.1+IF(AH28-Uzman_D!$F$6&lt;0,-(AH28-Uzman_D!$F$6),AH28-Uzman_D!$F$6)*0.1+IF(AI28-Uzman_D!$G$6&lt;0,-(AI28-Uzman_D!$G$6),AI28-Uzman_D!$G$6)*0.1+IF(AJ28-Uzman_D!$H$6&lt;0,-(AJ28-Uzman_D!$H$6),AJ28-Uzman_D!$H$6)*0.1+IF(AK28-Uzman_D!$I$6&lt;0,-(AK28-Uzman_D!$I$6),AK28-Uzman_D!$I$6)*0.1+IF(AL28-Uzman_D!$J$6&lt;0,-(AL28-Uzman_D!$J$6),AL28-Uzman_D!$J$6)*0.1)+IF(ROUND((IF(AN28-Uzman_D!$L$6&lt;0,-(AN28-Uzman_D!$L$6),AN28-Uzman_D!$L$6)*2),0)/2=IF(AN28-Uzman_D!$L$6&lt;0,-(AN28-Uzman_D!$L$6),AN28-Uzman_D!$L$6),(ROUND((IF(AN28-Uzman_D!$L$6&lt;0,-(AN28-Uzman_D!$L$6),AN28-Uzman_D!$L$6)*2),0)/1*0.1),0)+IF(AO28-Uzman_D!$M$6&lt;0,-(AO28-Uzman_D!$M$6),AO28-Uzman_D!$M$6)*1)</f>
        <v>1</v>
      </c>
      <c r="AQ28" s="56"/>
      <c r="AR28" s="56"/>
      <c r="AS28" s="56">
        <v>2</v>
      </c>
      <c r="AT28" s="56">
        <v>2</v>
      </c>
      <c r="AU28" s="56">
        <v>3</v>
      </c>
      <c r="AV28" s="56">
        <v>1</v>
      </c>
      <c r="AW28" s="56"/>
      <c r="AX28" s="56"/>
      <c r="AY28" s="56"/>
      <c r="AZ28" s="56"/>
      <c r="BA28" s="70">
        <v>2</v>
      </c>
      <c r="BB28" s="70">
        <v>0.6</v>
      </c>
      <c r="BC28" s="71">
        <f>1-(SUM(IF(AQ28-Uzman_D!$B$7&lt;0,-(AQ28-Uzman_D!$B$7),AQ28-Uzman_D!$B$7)*0.1+IF(AR28-Uzman_D!$C$7&lt;0,-(AR28-Uzman_D!$C$7),AR28-Uzman_D!$C$7)*0.1+IF(AS28-Uzman_D!$D$7&lt;0,-(AS28-Uzman_D!$D$7),AS28-Uzman_D!$D$7)*0.1+IF(AT28-Uzman_D!$E$7&lt;0,-(AT28-Uzman_D!$E$7),AT28-Uzman_D!$E$7)*0.1+IF(AU28-Uzman_D!$F$7&lt;0,-(AU28-Uzman_D!$F$7),AU28-Uzman_D!$F$7)*0.1+IF(AV28-Uzman_D!$G$7&lt;0,-(AV28-Uzman_D!$G$7),AV28-Uzman_D!$G$7)*0.1+IF(AW28-Uzman_D!$H$7&lt;0,-(AW28-Uzman_D!$H$7),AW28-Uzman_D!$H$7)*0.1+IF(AX28-Uzman_D!$I$7&lt;0,-(AX28-Uzman_D!$I$7),AX28-Uzman_D!$I$7)*0.1+IF(AY28-Uzman_D!$J$7&lt;0,-(AY28-Uzman_D!$J$7),AY28-Uzman_D!$J$7)*0.1)+IF(ROUND((IF(BA28-Uzman_D!$L$7&lt;0,-(BA28-Uzman_D!$L$7),BA28-Uzman_D!$L$7)*2),0)/2=IF(BA28-Uzman_D!$L$7&lt;0,-(BA28-Uzman_D!$L$7),BA28-Uzman_D!$L$7),(ROUND((IF(BA28-Uzman_D!$L$7&lt;0,-(BA28-Uzman_D!$L$7),BA28-Uzman_D!$L$7)*2),0)/1*0.1),0)+IF(BB28-Uzman_D!$M$7&lt;0,-(BB28-Uzman_D!$M$7),BB28-Uzman_D!$M$7)*1)</f>
        <v>0.5</v>
      </c>
      <c r="BD28" s="56"/>
      <c r="BE28" s="56"/>
      <c r="BF28" s="56"/>
      <c r="BG28" s="56">
        <v>5</v>
      </c>
      <c r="BH28" s="56">
        <v>3</v>
      </c>
      <c r="BI28" s="56"/>
      <c r="BJ28" s="56"/>
      <c r="BK28" s="56"/>
      <c r="BL28" s="56"/>
      <c r="BM28" s="56"/>
      <c r="BN28" s="70">
        <v>2</v>
      </c>
      <c r="BO28" s="70">
        <v>0.4</v>
      </c>
      <c r="BP28" s="71">
        <f>1-(SUM(IF(BD28-Uzman_D!$B$8&lt;0,-(BD28-Uzman_D!$B$8),BD28-Uzman_D!$B$8)*0.1+IF(BE28-Uzman_D!$C$8&lt;0,-(BE28-Uzman_D!$C$8),BE28-Uzman_D!$C$8)*0.1+IF(BF28-Uzman_D!$D$8&lt;0,-(BF28-Uzman_D!$D$8),BF28-Uzman_D!$D$8)*0.1+IF(BG28-Uzman_D!$E$8&lt;0,-(BG28-Uzman_D!$E$8),BG28-Uzman_D!$E$8)*0.1+IF(BH28-Uzman_D!$F$8&lt;0,-(BH28-Uzman_D!$F$8),BH28-Uzman_D!$F$8)*0.1+IF(BI28-Uzman_D!$G$8&lt;0,-(BI28-Uzman_D!$G$8),BI28-Uzman_D!$G$8)*0.1+IF(BJ28-Uzman_D!$H$8&lt;0,-(BJ28-Uzman_D!$H$8),BJ28-Uzman_D!$H$8)*0.1+IF(BK28-Uzman_D!$I$8&lt;0,-(BK28-Uzman_D!$I$8),BK28-Uzman_D!$I$8)*0.1+IF(BL28-Uzman_D!$J$8&lt;0,-(BL28-Uzman_D!$J$8),BL28-Uzman_D!$J$8)*0.1)+IF(ROUND((IF(BN28-Uzman_D!$L$8&lt;0,-(BN28-Uzman_D!$L$8),BN28-Uzman_D!$L$8)*2),0)/2=IF(BN28-Uzman_D!$L$8&lt;0,-(BN28-Uzman_D!$L$8),BN28-Uzman_D!$L$8),(ROUND((IF(BN28-Uzman_D!$L$8&lt;0,-(BN28-Uzman_D!$L$8),BN28-Uzman_D!$L$8)*2),0)/1*0.1),0)+IF(BO28-Uzman_D!$M$8&lt;0,-(BO28-Uzman_D!$M$8),BO28-Uzman_D!$M$8)*1)</f>
        <v>0.19999999999999996</v>
      </c>
      <c r="BQ28" s="72">
        <f t="shared" si="0"/>
        <v>0.6</v>
      </c>
    </row>
    <row r="29" spans="1:69" ht="15" customHeight="1" x14ac:dyDescent="0.45">
      <c r="A29" s="54">
        <v>26</v>
      </c>
      <c r="B29" s="162" t="str">
        <f>Hakemler!B29</f>
        <v>PINAR</v>
      </c>
      <c r="C29" s="162" t="str">
        <f>Hakemler!C29</f>
        <v>YELİZ</v>
      </c>
      <c r="D29" s="56">
        <v>2</v>
      </c>
      <c r="E29" s="56">
        <v>3</v>
      </c>
      <c r="F29" s="56">
        <v>2</v>
      </c>
      <c r="G29" s="56">
        <v>2</v>
      </c>
      <c r="H29" s="56"/>
      <c r="I29" s="56"/>
      <c r="J29" s="56"/>
      <c r="K29" s="56"/>
      <c r="L29" s="56"/>
      <c r="M29" s="56"/>
      <c r="N29" s="70">
        <v>1.5</v>
      </c>
      <c r="O29" s="70">
        <v>0</v>
      </c>
      <c r="P29" s="71">
        <f>1-(SUM(IF(D29-Uzman_D!$B$4&lt;0,-(D29-Uzman_D!$B$4),D29-Uzman_D!$B$4)*0.1+IF(E29-Uzman_D!$C$4&lt;0,-(E29-Uzman_D!$C$4),E29-Uzman_D!$C$4)*0.1+IF(F29-Uzman_D!$D$4&lt;0,-(F29-Uzman_D!$D$4),F29-Uzman_D!$D$4)*0.1+IF(G29-Uzman_D!$E$4&lt;0,-(G29-Uzman_D!$E$4),G29-Uzman_D!$E$4)*0.1+IF(H29-Uzman_D!$F$4&lt;0,-(H29-Uzman_D!$F$4),H29-Uzman_D!$F$4)*0.1+IF(I29-Uzman_D!$G$4&lt;0,-(I29-Uzman_D!$G$4),I29-Uzman_D!$G$4)*0.1+IF(J29-Uzman_D!$H$4&lt;0,-(J29-Uzman_D!$H$4),J29-Uzman_D!$H$4)*0.1+IF(K29-Uzman_D!$I$4&lt;0,-(K29-Uzman_D!$I$4),K29-Uzman_D!$I$4)*0.1+IF(L29-Uzman_D!$J$4&lt;0,-(L29-Uzman_D!$J$4),L29-Uzman_D!$J$4)*0.1)+IF(ROUND((IF(N29-Uzman_D!$L$4&lt;0,-(N29-Uzman_D!$L$4),N29-Uzman_D!$L$4)*2),0)/2=IF(N29-Uzman_D!$L$4&lt;0,-(N29-Uzman_D!$L$4),N29-Uzman_D!$L$4),(ROUND((IF(N29-Uzman_D!$L$4&lt;0,-(N29-Uzman_D!$L$4),N29-Uzman_D!$L$4)*2),0)/1*0.1),0)+IF(O29-Uzman_D!$M$4&lt;0,-(O29-Uzman_D!$M$4),O29-Uzman_D!$M$4)*1)</f>
        <v>0.6</v>
      </c>
      <c r="Q29" s="56"/>
      <c r="R29" s="56">
        <v>1</v>
      </c>
      <c r="S29" s="56">
        <v>2</v>
      </c>
      <c r="T29" s="56">
        <v>5</v>
      </c>
      <c r="U29" s="56"/>
      <c r="V29" s="56"/>
      <c r="W29" s="56"/>
      <c r="X29" s="56"/>
      <c r="Y29" s="56"/>
      <c r="Z29" s="56"/>
      <c r="AA29" s="70">
        <v>2</v>
      </c>
      <c r="AB29" s="70">
        <v>0.4</v>
      </c>
      <c r="AC29" s="71">
        <f>1-(SUM(IF(Q29-Uzman_D!$B$5&lt;0,-(Q29-Uzman_D!$B$5),Q29-Uzman_D!$B$5)*0.1+IF(R29-Uzman_D!$C$5&lt;0,-(R29-Uzman_D!$C$5),R29-Uzman_D!$C$5)*0.1+IF(S29-Uzman_D!$D$5&lt;0,-(S29-Uzman_D!$D$5),S29-Uzman_D!$D$5)*0.1+IF(T29-Uzman_D!$E$5&lt;0,-(T29-Uzman_D!$E$5),T29-Uzman_D!$E$5)*0.1+IF(U29-Uzman_D!$F$5&lt;0,-(U29-Uzman_D!$F$5),U29-Uzman_D!$F$5)*0.1+IF(V29-Uzman_D!$G$5&lt;0,-(V29-Uzman_D!$G$5),V29-Uzman_D!$G$5)*0.1+IF(W29-Uzman_D!$H$5&lt;0,-(W29-Uzman_D!$H$5),W29-Uzman_D!$H$5)*0.1+IF(X29-Uzman_D!$I$5&lt;0,-(X29-Uzman_D!$I$5),X29-Uzman_D!$I$5)*0.1+IF(Y29-Uzman_D!$J$5&lt;0,-(Y29-Uzman_D!$J$5),Y29-Uzman_D!$J$5)*0.1)+IF(ROUND((IF(AA29-Uzman_D!$L$5&lt;0,-(AA29-Uzman_D!$L$5),AA29-Uzman_D!$L$5)*2),0)/2=IF(AA29-Uzman_D!$L$5&lt;0,-(AA29-Uzman_D!$L$5),AA29-Uzman_D!$L$5),(ROUND((IF(AA29-Uzman_D!$L$5&lt;0,-(AA29-Uzman_D!$L$5),AA29-Uzman_D!$L$5)*2),0)/1*0.1),0)+IF(AB29-Uzman_D!$M$5&lt;0,-(AB29-Uzman_D!$M$5),AB29-Uzman_D!$M$5)*1)</f>
        <v>0.39999999999999991</v>
      </c>
      <c r="AD29" s="56">
        <v>1</v>
      </c>
      <c r="AE29" s="56">
        <v>3</v>
      </c>
      <c r="AF29" s="56">
        <v>3</v>
      </c>
      <c r="AG29" s="56">
        <v>1</v>
      </c>
      <c r="AH29" s="56"/>
      <c r="AI29" s="56"/>
      <c r="AJ29" s="56"/>
      <c r="AK29" s="56"/>
      <c r="AL29" s="56"/>
      <c r="AM29" s="56"/>
      <c r="AN29" s="70">
        <v>1.5</v>
      </c>
      <c r="AO29" s="70">
        <v>0</v>
      </c>
      <c r="AP29" s="71">
        <f>1-(SUM(IF(AD29-Uzman_D!$B$6&lt;0,-(AD29-Uzman_D!$B$6),AD29-Uzman_D!$B$6)*0.1+IF(AE29-Uzman_D!$C$6&lt;0,-(AE29-Uzman_D!$C$6),AE29-Uzman_D!$C$6)*0.1+IF(AF29-Uzman_D!$D$6&lt;0,-(AF29-Uzman_D!$D$6),AF29-Uzman_D!$D$6)*0.1+IF(AG29-Uzman_D!$E$6&lt;0,-(AG29-Uzman_D!$E$6),AG29-Uzman_D!$E$6)*0.1+IF(AH29-Uzman_D!$F$6&lt;0,-(AH29-Uzman_D!$F$6),AH29-Uzman_D!$F$6)*0.1+IF(AI29-Uzman_D!$G$6&lt;0,-(AI29-Uzman_D!$G$6),AI29-Uzman_D!$G$6)*0.1+IF(AJ29-Uzman_D!$H$6&lt;0,-(AJ29-Uzman_D!$H$6),AJ29-Uzman_D!$H$6)*0.1+IF(AK29-Uzman_D!$I$6&lt;0,-(AK29-Uzman_D!$I$6),AK29-Uzman_D!$I$6)*0.1+IF(AL29-Uzman_D!$J$6&lt;0,-(AL29-Uzman_D!$J$6),AL29-Uzman_D!$J$6)*0.1)+IF(ROUND((IF(AN29-Uzman_D!$L$6&lt;0,-(AN29-Uzman_D!$L$6),AN29-Uzman_D!$L$6)*2),0)/2=IF(AN29-Uzman_D!$L$6&lt;0,-(AN29-Uzman_D!$L$6),AN29-Uzman_D!$L$6),(ROUND((IF(AN29-Uzman_D!$L$6&lt;0,-(AN29-Uzman_D!$L$6),AN29-Uzman_D!$L$6)*2),0)/1*0.1),0)+IF(AO29-Uzman_D!$M$6&lt;0,-(AO29-Uzman_D!$M$6),AO29-Uzman_D!$M$6)*1)</f>
        <v>0.8</v>
      </c>
      <c r="AQ29" s="56"/>
      <c r="AR29" s="56">
        <v>1</v>
      </c>
      <c r="AS29" s="56">
        <v>1</v>
      </c>
      <c r="AT29" s="56">
        <v>4</v>
      </c>
      <c r="AU29" s="56">
        <v>2</v>
      </c>
      <c r="AV29" s="56"/>
      <c r="AW29" s="56"/>
      <c r="AX29" s="56"/>
      <c r="AY29" s="56"/>
      <c r="AZ29" s="56"/>
      <c r="BA29" s="70">
        <v>2</v>
      </c>
      <c r="BB29" s="70">
        <v>0.3</v>
      </c>
      <c r="BC29" s="71">
        <f>1-(SUM(IF(AQ29-Uzman_D!$B$7&lt;0,-(AQ29-Uzman_D!$B$7),AQ29-Uzman_D!$B$7)*0.1+IF(AR29-Uzman_D!$C$7&lt;0,-(AR29-Uzman_D!$C$7),AR29-Uzman_D!$C$7)*0.1+IF(AS29-Uzman_D!$D$7&lt;0,-(AS29-Uzman_D!$D$7),AS29-Uzman_D!$D$7)*0.1+IF(AT29-Uzman_D!$E$7&lt;0,-(AT29-Uzman_D!$E$7),AT29-Uzman_D!$E$7)*0.1+IF(AU29-Uzman_D!$F$7&lt;0,-(AU29-Uzman_D!$F$7),AU29-Uzman_D!$F$7)*0.1+IF(AV29-Uzman_D!$G$7&lt;0,-(AV29-Uzman_D!$G$7),AV29-Uzman_D!$G$7)*0.1+IF(AW29-Uzman_D!$H$7&lt;0,-(AW29-Uzman_D!$H$7),AW29-Uzman_D!$H$7)*0.1+IF(AX29-Uzman_D!$I$7&lt;0,-(AX29-Uzman_D!$I$7),AX29-Uzman_D!$I$7)*0.1+IF(AY29-Uzman_D!$J$7&lt;0,-(AY29-Uzman_D!$J$7),AY29-Uzman_D!$J$7)*0.1)+IF(ROUND((IF(BA29-Uzman_D!$L$7&lt;0,-(BA29-Uzman_D!$L$7),BA29-Uzman_D!$L$7)*2),0)/2=IF(BA29-Uzman_D!$L$7&lt;0,-(BA29-Uzman_D!$L$7),BA29-Uzman_D!$L$7),(ROUND((IF(BA29-Uzman_D!$L$7&lt;0,-(BA29-Uzman_D!$L$7),BA29-Uzman_D!$L$7)*2),0)/1*0.1),0)+IF(BB29-Uzman_D!$M$7&lt;0,-(BB29-Uzman_D!$M$7),BB29-Uzman_D!$M$7)*1)</f>
        <v>0.6</v>
      </c>
      <c r="BD29" s="56"/>
      <c r="BE29" s="56"/>
      <c r="BF29" s="56">
        <v>1</v>
      </c>
      <c r="BG29" s="56">
        <v>5</v>
      </c>
      <c r="BH29" s="56">
        <v>2</v>
      </c>
      <c r="BI29" s="56"/>
      <c r="BJ29" s="56"/>
      <c r="BK29" s="56"/>
      <c r="BL29" s="56"/>
      <c r="BM29" s="56"/>
      <c r="BN29" s="70">
        <v>2</v>
      </c>
      <c r="BO29" s="70">
        <v>0.7</v>
      </c>
      <c r="BP29" s="71">
        <f>1-(SUM(IF(BD29-Uzman_D!$B$8&lt;0,-(BD29-Uzman_D!$B$8),BD29-Uzman_D!$B$8)*0.1+IF(BE29-Uzman_D!$C$8&lt;0,-(BE29-Uzman_D!$C$8),BE29-Uzman_D!$C$8)*0.1+IF(BF29-Uzman_D!$D$8&lt;0,-(BF29-Uzman_D!$D$8),BF29-Uzman_D!$D$8)*0.1+IF(BG29-Uzman_D!$E$8&lt;0,-(BG29-Uzman_D!$E$8),BG29-Uzman_D!$E$8)*0.1+IF(BH29-Uzman_D!$F$8&lt;0,-(BH29-Uzman_D!$F$8),BH29-Uzman_D!$F$8)*0.1+IF(BI29-Uzman_D!$G$8&lt;0,-(BI29-Uzman_D!$G$8),BI29-Uzman_D!$G$8)*0.1+IF(BJ29-Uzman_D!$H$8&lt;0,-(BJ29-Uzman_D!$H$8),BJ29-Uzman_D!$H$8)*0.1+IF(BK29-Uzman_D!$I$8&lt;0,-(BK29-Uzman_D!$I$8),BK29-Uzman_D!$I$8)*0.1+IF(BL29-Uzman_D!$J$8&lt;0,-(BL29-Uzman_D!$J$8),BL29-Uzman_D!$J$8)*0.1)+IF(ROUND((IF(BN29-Uzman_D!$L$8&lt;0,-(BN29-Uzman_D!$L$8),BN29-Uzman_D!$L$8)*2),0)/2=IF(BN29-Uzman_D!$L$8&lt;0,-(BN29-Uzman_D!$L$8),BN29-Uzman_D!$L$8),(ROUND((IF(BN29-Uzman_D!$L$8&lt;0,-(BN29-Uzman_D!$L$8),BN29-Uzman_D!$L$8)*2),0)/1*0.1),0)+IF(BO29-Uzman_D!$M$8&lt;0,-(BO29-Uzman_D!$M$8),BO29-Uzman_D!$M$8)*1)</f>
        <v>0.49999999999999989</v>
      </c>
      <c r="BQ29" s="72">
        <f t="shared" si="0"/>
        <v>0.57999999999999996</v>
      </c>
    </row>
    <row r="30" spans="1:69" ht="15" customHeight="1" x14ac:dyDescent="0.45">
      <c r="A30" s="54">
        <v>27</v>
      </c>
      <c r="B30" s="162" t="str">
        <f>Hakemler!B30</f>
        <v>KATRANCI</v>
      </c>
      <c r="C30" s="162" t="str">
        <f>Hakemler!C30</f>
        <v>AYŞEN</v>
      </c>
      <c r="D30" s="56">
        <v>3</v>
      </c>
      <c r="E30" s="56">
        <v>3</v>
      </c>
      <c r="F30" s="56">
        <v>2</v>
      </c>
      <c r="G30" s="56">
        <v>1</v>
      </c>
      <c r="H30" s="56"/>
      <c r="I30" s="56"/>
      <c r="J30" s="56"/>
      <c r="K30" s="56"/>
      <c r="L30" s="56"/>
      <c r="M30" s="56"/>
      <c r="N30" s="70">
        <v>2</v>
      </c>
      <c r="O30" s="70">
        <v>0</v>
      </c>
      <c r="P30" s="71">
        <f>1-(SUM(IF(D30-Uzman_D!$B$4&lt;0,-(D30-Uzman_D!$B$4),D30-Uzman_D!$B$4)*0.1+IF(E30-Uzman_D!$C$4&lt;0,-(E30-Uzman_D!$C$4),E30-Uzman_D!$C$4)*0.1+IF(F30-Uzman_D!$D$4&lt;0,-(F30-Uzman_D!$D$4),F30-Uzman_D!$D$4)*0.1+IF(G30-Uzman_D!$E$4&lt;0,-(G30-Uzman_D!$E$4),G30-Uzman_D!$E$4)*0.1+IF(H30-Uzman_D!$F$4&lt;0,-(H30-Uzman_D!$F$4),H30-Uzman_D!$F$4)*0.1+IF(I30-Uzman_D!$G$4&lt;0,-(I30-Uzman_D!$G$4),I30-Uzman_D!$G$4)*0.1+IF(J30-Uzman_D!$H$4&lt;0,-(J30-Uzman_D!$H$4),J30-Uzman_D!$H$4)*0.1+IF(K30-Uzman_D!$I$4&lt;0,-(K30-Uzman_D!$I$4),K30-Uzman_D!$I$4)*0.1+IF(L30-Uzman_D!$J$4&lt;0,-(L30-Uzman_D!$J$4),L30-Uzman_D!$J$4)*0.1)+IF(ROUND((IF(N30-Uzman_D!$L$4&lt;0,-(N30-Uzman_D!$L$4),N30-Uzman_D!$L$4)*2),0)/2=IF(N30-Uzman_D!$L$4&lt;0,-(N30-Uzman_D!$L$4),N30-Uzman_D!$L$4),(ROUND((IF(N30-Uzman_D!$L$4&lt;0,-(N30-Uzman_D!$L$4),N30-Uzman_D!$L$4)*2),0)/1*0.1),0)+IF(O30-Uzman_D!$M$4&lt;0,-(O30-Uzman_D!$M$4),O30-Uzman_D!$M$4)*1)</f>
        <v>0.7</v>
      </c>
      <c r="Q30" s="56"/>
      <c r="R30" s="56">
        <v>4</v>
      </c>
      <c r="S30" s="56"/>
      <c r="T30" s="56">
        <v>4</v>
      </c>
      <c r="U30" s="56"/>
      <c r="V30" s="56"/>
      <c r="W30" s="56"/>
      <c r="X30" s="56"/>
      <c r="Y30" s="56"/>
      <c r="Z30" s="56"/>
      <c r="AA30" s="70">
        <v>2</v>
      </c>
      <c r="AB30" s="70">
        <v>0.1</v>
      </c>
      <c r="AC30" s="71">
        <f>1-(SUM(IF(Q30-Uzman_D!$B$5&lt;0,-(Q30-Uzman_D!$B$5),Q30-Uzman_D!$B$5)*0.1+IF(R30-Uzman_D!$C$5&lt;0,-(R30-Uzman_D!$C$5),R30-Uzman_D!$C$5)*0.1+IF(S30-Uzman_D!$D$5&lt;0,-(S30-Uzman_D!$D$5),S30-Uzman_D!$D$5)*0.1+IF(T30-Uzman_D!$E$5&lt;0,-(T30-Uzman_D!$E$5),T30-Uzman_D!$E$5)*0.1+IF(U30-Uzman_D!$F$5&lt;0,-(U30-Uzman_D!$F$5),U30-Uzman_D!$F$5)*0.1+IF(V30-Uzman_D!$G$5&lt;0,-(V30-Uzman_D!$G$5),V30-Uzman_D!$G$5)*0.1+IF(W30-Uzman_D!$H$5&lt;0,-(W30-Uzman_D!$H$5),W30-Uzman_D!$H$5)*0.1+IF(X30-Uzman_D!$I$5&lt;0,-(X30-Uzman_D!$I$5),X30-Uzman_D!$I$5)*0.1+IF(Y30-Uzman_D!$J$5&lt;0,-(Y30-Uzman_D!$J$5),Y30-Uzman_D!$J$5)*0.1)+IF(ROUND((IF(AA30-Uzman_D!$L$5&lt;0,-(AA30-Uzman_D!$L$5),AA30-Uzman_D!$L$5)*2),0)/2=IF(AA30-Uzman_D!$L$5&lt;0,-(AA30-Uzman_D!$L$5),AA30-Uzman_D!$L$5),(ROUND((IF(AA30-Uzman_D!$L$5&lt;0,-(AA30-Uzman_D!$L$5),AA30-Uzman_D!$L$5)*2),0)/1*0.1),0)+IF(AB30-Uzman_D!$M$5&lt;0,-(AB30-Uzman_D!$M$5),AB30-Uzman_D!$M$5)*1)</f>
        <v>0.7</v>
      </c>
      <c r="AD30" s="56">
        <v>1</v>
      </c>
      <c r="AE30" s="56">
        <v>3</v>
      </c>
      <c r="AF30" s="56">
        <v>3</v>
      </c>
      <c r="AG30" s="56">
        <v>1</v>
      </c>
      <c r="AH30" s="56"/>
      <c r="AI30" s="56"/>
      <c r="AJ30" s="56"/>
      <c r="AK30" s="56"/>
      <c r="AL30" s="56"/>
      <c r="AM30" s="56"/>
      <c r="AN30" s="70">
        <v>2</v>
      </c>
      <c r="AO30" s="70">
        <v>0</v>
      </c>
      <c r="AP30" s="71">
        <f>1-(SUM(IF(AD30-Uzman_D!$B$6&lt;0,-(AD30-Uzman_D!$B$6),AD30-Uzman_D!$B$6)*0.1+IF(AE30-Uzman_D!$C$6&lt;0,-(AE30-Uzman_D!$C$6),AE30-Uzman_D!$C$6)*0.1+IF(AF30-Uzman_D!$D$6&lt;0,-(AF30-Uzman_D!$D$6),AF30-Uzman_D!$D$6)*0.1+IF(AG30-Uzman_D!$E$6&lt;0,-(AG30-Uzman_D!$E$6),AG30-Uzman_D!$E$6)*0.1+IF(AH30-Uzman_D!$F$6&lt;0,-(AH30-Uzman_D!$F$6),AH30-Uzman_D!$F$6)*0.1+IF(AI30-Uzman_D!$G$6&lt;0,-(AI30-Uzman_D!$G$6),AI30-Uzman_D!$G$6)*0.1+IF(AJ30-Uzman_D!$H$6&lt;0,-(AJ30-Uzman_D!$H$6),AJ30-Uzman_D!$H$6)*0.1+IF(AK30-Uzman_D!$I$6&lt;0,-(AK30-Uzman_D!$I$6),AK30-Uzman_D!$I$6)*0.1+IF(AL30-Uzman_D!$J$6&lt;0,-(AL30-Uzman_D!$J$6),AL30-Uzman_D!$J$6)*0.1)+IF(ROUND((IF(AN30-Uzman_D!$L$6&lt;0,-(AN30-Uzman_D!$L$6),AN30-Uzman_D!$L$6)*2),0)/2=IF(AN30-Uzman_D!$L$6&lt;0,-(AN30-Uzman_D!$L$6),AN30-Uzman_D!$L$6),(ROUND((IF(AN30-Uzman_D!$L$6&lt;0,-(AN30-Uzman_D!$L$6),AN30-Uzman_D!$L$6)*2),0)/1*0.1),0)+IF(AO30-Uzman_D!$M$6&lt;0,-(AO30-Uzman_D!$M$6),AO30-Uzman_D!$M$6)*1)</f>
        <v>0.7</v>
      </c>
      <c r="AQ30" s="56"/>
      <c r="AR30" s="56">
        <v>1</v>
      </c>
      <c r="AS30" s="56">
        <v>1</v>
      </c>
      <c r="AT30" s="56">
        <v>4</v>
      </c>
      <c r="AU30" s="56">
        <v>2</v>
      </c>
      <c r="AV30" s="56"/>
      <c r="AW30" s="56"/>
      <c r="AX30" s="56"/>
      <c r="AY30" s="56"/>
      <c r="AZ30" s="56"/>
      <c r="BA30" s="70">
        <v>2</v>
      </c>
      <c r="BB30" s="70">
        <v>0.1</v>
      </c>
      <c r="BC30" s="71">
        <f>1-(SUM(IF(AQ30-Uzman_D!$B$7&lt;0,-(AQ30-Uzman_D!$B$7),AQ30-Uzman_D!$B$7)*0.1+IF(AR30-Uzman_D!$C$7&lt;0,-(AR30-Uzman_D!$C$7),AR30-Uzman_D!$C$7)*0.1+IF(AS30-Uzman_D!$D$7&lt;0,-(AS30-Uzman_D!$D$7),AS30-Uzman_D!$D$7)*0.1+IF(AT30-Uzman_D!$E$7&lt;0,-(AT30-Uzman_D!$E$7),AT30-Uzman_D!$E$7)*0.1+IF(AU30-Uzman_D!$F$7&lt;0,-(AU30-Uzman_D!$F$7),AU30-Uzman_D!$F$7)*0.1+IF(AV30-Uzman_D!$G$7&lt;0,-(AV30-Uzman_D!$G$7),AV30-Uzman_D!$G$7)*0.1+IF(AW30-Uzman_D!$H$7&lt;0,-(AW30-Uzman_D!$H$7),AW30-Uzman_D!$H$7)*0.1+IF(AX30-Uzman_D!$I$7&lt;0,-(AX30-Uzman_D!$I$7),AX30-Uzman_D!$I$7)*0.1+IF(AY30-Uzman_D!$J$7&lt;0,-(AY30-Uzman_D!$J$7),AY30-Uzman_D!$J$7)*0.1)+IF(ROUND((IF(BA30-Uzman_D!$L$7&lt;0,-(BA30-Uzman_D!$L$7),BA30-Uzman_D!$L$7)*2),0)/2=IF(BA30-Uzman_D!$L$7&lt;0,-(BA30-Uzman_D!$L$7),BA30-Uzman_D!$L$7),(ROUND((IF(BA30-Uzman_D!$L$7&lt;0,-(BA30-Uzman_D!$L$7),BA30-Uzman_D!$L$7)*2),0)/1*0.1),0)+IF(BB30-Uzman_D!$M$7&lt;0,-(BB30-Uzman_D!$M$7),BB30-Uzman_D!$M$7)*1)</f>
        <v>0.39999999999999991</v>
      </c>
      <c r="BD30" s="56"/>
      <c r="BE30" s="56"/>
      <c r="BF30" s="56"/>
      <c r="BG30" s="56">
        <v>0</v>
      </c>
      <c r="BH30" s="56">
        <v>2</v>
      </c>
      <c r="BI30" s="56"/>
      <c r="BJ30" s="56"/>
      <c r="BK30" s="56"/>
      <c r="BL30" s="56"/>
      <c r="BM30" s="56"/>
      <c r="BN30" s="70">
        <v>2</v>
      </c>
      <c r="BO30" s="70">
        <v>0</v>
      </c>
      <c r="BP30" s="71">
        <f>1-(SUM(IF(BD30-Uzman_D!$B$8&lt;0,-(BD30-Uzman_D!$B$8),BD30-Uzman_D!$B$8)*0.1+IF(BE30-Uzman_D!$C$8&lt;0,-(BE30-Uzman_D!$C$8),BE30-Uzman_D!$C$8)*0.1+IF(BF30-Uzman_D!$D$8&lt;0,-(BF30-Uzman_D!$D$8),BF30-Uzman_D!$D$8)*0.1+IF(BG30-Uzman_D!$E$8&lt;0,-(BG30-Uzman_D!$E$8),BG30-Uzman_D!$E$8)*0.1+IF(BH30-Uzman_D!$F$8&lt;0,-(BH30-Uzman_D!$F$8),BH30-Uzman_D!$F$8)*0.1+IF(BI30-Uzman_D!$G$8&lt;0,-(BI30-Uzman_D!$G$8),BI30-Uzman_D!$G$8)*0.1+IF(BJ30-Uzman_D!$H$8&lt;0,-(BJ30-Uzman_D!$H$8),BJ30-Uzman_D!$H$8)*0.1+IF(BK30-Uzman_D!$I$8&lt;0,-(BK30-Uzman_D!$I$8),BK30-Uzman_D!$I$8)*0.1+IF(BL30-Uzman_D!$J$8&lt;0,-(BL30-Uzman_D!$J$8),BL30-Uzman_D!$J$8)*0.1)+IF(ROUND((IF(BN30-Uzman_D!$L$8&lt;0,-(BN30-Uzman_D!$L$8),BN30-Uzman_D!$L$8)*2),0)/2=IF(BN30-Uzman_D!$L$8&lt;0,-(BN30-Uzman_D!$L$8),BN30-Uzman_D!$L$8),(ROUND((IF(BN30-Uzman_D!$L$8&lt;0,-(BN30-Uzman_D!$L$8),BN30-Uzman_D!$L$8)*2),0)/1*0.1),0)+IF(BO30-Uzman_D!$M$8&lt;0,-(BO30-Uzman_D!$M$8),BO30-Uzman_D!$M$8)*1)</f>
        <v>-0.60000000000000009</v>
      </c>
      <c r="BQ30" s="72">
        <f t="shared" si="0"/>
        <v>0.37999999999999989</v>
      </c>
    </row>
    <row r="31" spans="1:69" ht="15" customHeight="1" x14ac:dyDescent="0.45">
      <c r="A31" s="54">
        <v>28</v>
      </c>
      <c r="B31" s="162" t="str">
        <f>Hakemler!B31</f>
        <v>GÜRKAN KİRAZ</v>
      </c>
      <c r="C31" s="162" t="str">
        <f>Hakemler!C31</f>
        <v>FULYA</v>
      </c>
      <c r="D31" s="56">
        <v>2</v>
      </c>
      <c r="E31" s="56">
        <v>3</v>
      </c>
      <c r="F31" s="56"/>
      <c r="G31" s="56">
        <v>3</v>
      </c>
      <c r="H31" s="56"/>
      <c r="I31" s="56"/>
      <c r="J31" s="56"/>
      <c r="K31" s="56"/>
      <c r="L31" s="56"/>
      <c r="M31" s="56"/>
      <c r="N31" s="70">
        <v>1.5</v>
      </c>
      <c r="O31" s="70">
        <v>0</v>
      </c>
      <c r="P31" s="71">
        <f>1-(SUM(IF(D31-Uzman_D!$B$4&lt;0,-(D31-Uzman_D!$B$4),D31-Uzman_D!$B$4)*0.1+IF(E31-Uzman_D!$C$4&lt;0,-(E31-Uzman_D!$C$4),E31-Uzman_D!$C$4)*0.1+IF(F31-Uzman_D!$D$4&lt;0,-(F31-Uzman_D!$D$4),F31-Uzman_D!$D$4)*0.1+IF(G31-Uzman_D!$E$4&lt;0,-(G31-Uzman_D!$E$4),G31-Uzman_D!$E$4)*0.1+IF(H31-Uzman_D!$F$4&lt;0,-(H31-Uzman_D!$F$4),H31-Uzman_D!$F$4)*0.1+IF(I31-Uzman_D!$G$4&lt;0,-(I31-Uzman_D!$G$4),I31-Uzman_D!$G$4)*0.1+IF(J31-Uzman_D!$H$4&lt;0,-(J31-Uzman_D!$H$4),J31-Uzman_D!$H$4)*0.1+IF(K31-Uzman_D!$I$4&lt;0,-(K31-Uzman_D!$I$4),K31-Uzman_D!$I$4)*0.1+IF(L31-Uzman_D!$J$4&lt;0,-(L31-Uzman_D!$J$4),L31-Uzman_D!$J$4)*0.1)+IF(ROUND((IF(N31-Uzman_D!$L$4&lt;0,-(N31-Uzman_D!$L$4),N31-Uzman_D!$L$4)*2),0)/2=IF(N31-Uzman_D!$L$4&lt;0,-(N31-Uzman_D!$L$4),N31-Uzman_D!$L$4),(ROUND((IF(N31-Uzman_D!$L$4&lt;0,-(N31-Uzman_D!$L$4),N31-Uzman_D!$L$4)*2),0)/1*0.1),0)+IF(O31-Uzman_D!$M$4&lt;0,-(O31-Uzman_D!$M$4),O31-Uzman_D!$M$4)*1)</f>
        <v>0.29999999999999993</v>
      </c>
      <c r="Q31" s="56"/>
      <c r="R31" s="56">
        <v>2</v>
      </c>
      <c r="S31" s="56">
        <v>2</v>
      </c>
      <c r="T31" s="56">
        <v>4</v>
      </c>
      <c r="U31" s="56"/>
      <c r="V31" s="56"/>
      <c r="W31" s="56"/>
      <c r="X31" s="56"/>
      <c r="Y31" s="56"/>
      <c r="Z31" s="56"/>
      <c r="AA31" s="70">
        <v>2</v>
      </c>
      <c r="AB31" s="70">
        <v>0.1</v>
      </c>
      <c r="AC31" s="71">
        <f>1-(SUM(IF(Q31-Uzman_D!$B$5&lt;0,-(Q31-Uzman_D!$B$5),Q31-Uzman_D!$B$5)*0.1+IF(R31-Uzman_D!$C$5&lt;0,-(R31-Uzman_D!$C$5),R31-Uzman_D!$C$5)*0.1+IF(S31-Uzman_D!$D$5&lt;0,-(S31-Uzman_D!$D$5),S31-Uzman_D!$D$5)*0.1+IF(T31-Uzman_D!$E$5&lt;0,-(T31-Uzman_D!$E$5),T31-Uzman_D!$E$5)*0.1+IF(U31-Uzman_D!$F$5&lt;0,-(U31-Uzman_D!$F$5),U31-Uzman_D!$F$5)*0.1+IF(V31-Uzman_D!$G$5&lt;0,-(V31-Uzman_D!$G$5),V31-Uzman_D!$G$5)*0.1+IF(W31-Uzman_D!$H$5&lt;0,-(W31-Uzman_D!$H$5),W31-Uzman_D!$H$5)*0.1+IF(X31-Uzman_D!$I$5&lt;0,-(X31-Uzman_D!$I$5),X31-Uzman_D!$I$5)*0.1+IF(Y31-Uzman_D!$J$5&lt;0,-(Y31-Uzman_D!$J$5),Y31-Uzman_D!$J$5)*0.1)+IF(ROUND((IF(AA31-Uzman_D!$L$5&lt;0,-(AA31-Uzman_D!$L$5),AA31-Uzman_D!$L$5)*2),0)/2=IF(AA31-Uzman_D!$L$5&lt;0,-(AA31-Uzman_D!$L$5),AA31-Uzman_D!$L$5),(ROUND((IF(AA31-Uzman_D!$L$5&lt;0,-(AA31-Uzman_D!$L$5),AA31-Uzman_D!$L$5)*2),0)/1*0.1),0)+IF(AB31-Uzman_D!$M$5&lt;0,-(AB31-Uzman_D!$M$5),AB31-Uzman_D!$M$5)*1)</f>
        <v>0.7</v>
      </c>
      <c r="AD31" s="56">
        <v>1</v>
      </c>
      <c r="AE31" s="56">
        <v>1</v>
      </c>
      <c r="AF31" s="56">
        <v>2</v>
      </c>
      <c r="AG31" s="56">
        <v>4</v>
      </c>
      <c r="AH31" s="56"/>
      <c r="AI31" s="56"/>
      <c r="AJ31" s="56"/>
      <c r="AK31" s="56"/>
      <c r="AL31" s="56"/>
      <c r="AM31" s="56"/>
      <c r="AN31" s="70">
        <v>1.5</v>
      </c>
      <c r="AO31" s="70">
        <v>0</v>
      </c>
      <c r="AP31" s="71">
        <f>1-(SUM(IF(AD31-Uzman_D!$B$6&lt;0,-(AD31-Uzman_D!$B$6),AD31-Uzman_D!$B$6)*0.1+IF(AE31-Uzman_D!$C$6&lt;0,-(AE31-Uzman_D!$C$6),AE31-Uzman_D!$C$6)*0.1+IF(AF31-Uzman_D!$D$6&lt;0,-(AF31-Uzman_D!$D$6),AF31-Uzman_D!$D$6)*0.1+IF(AG31-Uzman_D!$E$6&lt;0,-(AG31-Uzman_D!$E$6),AG31-Uzman_D!$E$6)*0.1+IF(AH31-Uzman_D!$F$6&lt;0,-(AH31-Uzman_D!$F$6),AH31-Uzman_D!$F$6)*0.1+IF(AI31-Uzman_D!$G$6&lt;0,-(AI31-Uzman_D!$G$6),AI31-Uzman_D!$G$6)*0.1+IF(AJ31-Uzman_D!$H$6&lt;0,-(AJ31-Uzman_D!$H$6),AJ31-Uzman_D!$H$6)*0.1+IF(AK31-Uzman_D!$I$6&lt;0,-(AK31-Uzman_D!$I$6),AK31-Uzman_D!$I$6)*0.1+IF(AL31-Uzman_D!$J$6&lt;0,-(AL31-Uzman_D!$J$6),AL31-Uzman_D!$J$6)*0.1)+IF(ROUND((IF(AN31-Uzman_D!$L$6&lt;0,-(AN31-Uzman_D!$L$6),AN31-Uzman_D!$L$6)*2),0)/2=IF(AN31-Uzman_D!$L$6&lt;0,-(AN31-Uzman_D!$L$6),AN31-Uzman_D!$L$6),(ROUND((IF(AN31-Uzman_D!$L$6&lt;0,-(AN31-Uzman_D!$L$6),AN31-Uzman_D!$L$6)*2),0)/1*0.1),0)+IF(AO31-Uzman_D!$M$6&lt;0,-(AO31-Uzman_D!$M$6),AO31-Uzman_D!$M$6)*1)</f>
        <v>0.19999999999999996</v>
      </c>
      <c r="AQ31" s="56"/>
      <c r="AR31" s="56"/>
      <c r="AS31" s="56"/>
      <c r="AT31" s="56">
        <v>7</v>
      </c>
      <c r="AU31" s="56">
        <v>1</v>
      </c>
      <c r="AV31" s="56"/>
      <c r="AW31" s="56"/>
      <c r="AX31" s="56"/>
      <c r="AY31" s="56"/>
      <c r="AZ31" s="56"/>
      <c r="BA31" s="70">
        <v>2</v>
      </c>
      <c r="BB31" s="70">
        <v>0.3</v>
      </c>
      <c r="BC31" s="71">
        <f>1-(SUM(IF(AQ31-Uzman_D!$B$7&lt;0,-(AQ31-Uzman_D!$B$7),AQ31-Uzman_D!$B$7)*0.1+IF(AR31-Uzman_D!$C$7&lt;0,-(AR31-Uzman_D!$C$7),AR31-Uzman_D!$C$7)*0.1+IF(AS31-Uzman_D!$D$7&lt;0,-(AS31-Uzman_D!$D$7),AS31-Uzman_D!$D$7)*0.1+IF(AT31-Uzman_D!$E$7&lt;0,-(AT31-Uzman_D!$E$7),AT31-Uzman_D!$E$7)*0.1+IF(AU31-Uzman_D!$F$7&lt;0,-(AU31-Uzman_D!$F$7),AU31-Uzman_D!$F$7)*0.1+IF(AV31-Uzman_D!$G$7&lt;0,-(AV31-Uzman_D!$G$7),AV31-Uzman_D!$G$7)*0.1+IF(AW31-Uzman_D!$H$7&lt;0,-(AW31-Uzman_D!$H$7),AW31-Uzman_D!$H$7)*0.1+IF(AX31-Uzman_D!$I$7&lt;0,-(AX31-Uzman_D!$I$7),AX31-Uzman_D!$I$7)*0.1+IF(AY31-Uzman_D!$J$7&lt;0,-(AY31-Uzman_D!$J$7),AY31-Uzman_D!$J$7)*0.1)+IF(ROUND((IF(BA31-Uzman_D!$L$7&lt;0,-(BA31-Uzman_D!$L$7),BA31-Uzman_D!$L$7)*2),0)/2=IF(BA31-Uzman_D!$L$7&lt;0,-(BA31-Uzman_D!$L$7),BA31-Uzman_D!$L$7),(ROUND((IF(BA31-Uzman_D!$L$7&lt;0,-(BA31-Uzman_D!$L$7),BA31-Uzman_D!$L$7)*2),0)/1*0.1),0)+IF(BB31-Uzman_D!$M$7&lt;0,-(BB31-Uzman_D!$M$7),BB31-Uzman_D!$M$7)*1)</f>
        <v>0.19999999999999996</v>
      </c>
      <c r="BD31" s="56"/>
      <c r="BE31" s="56"/>
      <c r="BF31" s="56">
        <v>1</v>
      </c>
      <c r="BG31" s="56">
        <v>7</v>
      </c>
      <c r="BH31" s="56"/>
      <c r="BI31" s="56"/>
      <c r="BJ31" s="56"/>
      <c r="BK31" s="56"/>
      <c r="BL31" s="56"/>
      <c r="BM31" s="56"/>
      <c r="BN31" s="70">
        <v>2</v>
      </c>
      <c r="BO31" s="70">
        <v>0.4</v>
      </c>
      <c r="BP31" s="71">
        <f>1-(SUM(IF(BD31-Uzman_D!$B$8&lt;0,-(BD31-Uzman_D!$B$8),BD31-Uzman_D!$B$8)*0.1+IF(BE31-Uzman_D!$C$8&lt;0,-(BE31-Uzman_D!$C$8),BE31-Uzman_D!$C$8)*0.1+IF(BF31-Uzman_D!$D$8&lt;0,-(BF31-Uzman_D!$D$8),BF31-Uzman_D!$D$8)*0.1+IF(BG31-Uzman_D!$E$8&lt;0,-(BG31-Uzman_D!$E$8),BG31-Uzman_D!$E$8)*0.1+IF(BH31-Uzman_D!$F$8&lt;0,-(BH31-Uzman_D!$F$8),BH31-Uzman_D!$F$8)*0.1+IF(BI31-Uzman_D!$G$8&lt;0,-(BI31-Uzman_D!$G$8),BI31-Uzman_D!$G$8)*0.1+IF(BJ31-Uzman_D!$H$8&lt;0,-(BJ31-Uzman_D!$H$8),BJ31-Uzman_D!$H$8)*0.1+IF(BK31-Uzman_D!$I$8&lt;0,-(BK31-Uzman_D!$I$8),BK31-Uzman_D!$I$8)*0.1+IF(BL31-Uzman_D!$J$8&lt;0,-(BL31-Uzman_D!$J$8),BL31-Uzman_D!$J$8)*0.1)+IF(ROUND((IF(BN31-Uzman_D!$L$8&lt;0,-(BN31-Uzman_D!$L$8),BN31-Uzman_D!$L$8)*2),0)/2=IF(BN31-Uzman_D!$L$8&lt;0,-(BN31-Uzman_D!$L$8),BN31-Uzman_D!$L$8),(ROUND((IF(BN31-Uzman_D!$L$8&lt;0,-(BN31-Uzman_D!$L$8),BN31-Uzman_D!$L$8)*2),0)/1*0.1),0)+IF(BO31-Uzman_D!$M$8&lt;0,-(BO31-Uzman_D!$M$8),BO31-Uzman_D!$M$8)*1)</f>
        <v>0.19999999999999996</v>
      </c>
      <c r="BQ31" s="72">
        <f t="shared" si="0"/>
        <v>0.31999999999999995</v>
      </c>
    </row>
    <row r="32" spans="1:69" ht="15" customHeight="1" x14ac:dyDescent="0.45">
      <c r="A32" s="54">
        <v>29</v>
      </c>
      <c r="B32" s="162" t="str">
        <f>Hakemler!B32</f>
        <v>KILIÇ</v>
      </c>
      <c r="C32" s="162" t="str">
        <f>Hakemler!C32</f>
        <v>AYŞE</v>
      </c>
      <c r="D32" s="56">
        <v>1</v>
      </c>
      <c r="E32" s="56">
        <v>4</v>
      </c>
      <c r="F32" s="56">
        <v>1</v>
      </c>
      <c r="G32" s="56">
        <v>1</v>
      </c>
      <c r="H32" s="56"/>
      <c r="I32" s="56"/>
      <c r="J32" s="56"/>
      <c r="K32" s="56"/>
      <c r="L32" s="56"/>
      <c r="M32" s="56"/>
      <c r="N32" s="70">
        <v>1</v>
      </c>
      <c r="O32" s="70">
        <v>0</v>
      </c>
      <c r="P32" s="71">
        <f>1-(SUM(IF(D32-Uzman_D!$B$4&lt;0,-(D32-Uzman_D!$B$4),D32-Uzman_D!$B$4)*0.1+IF(E32-Uzman_D!$C$4&lt;0,-(E32-Uzman_D!$C$4),E32-Uzman_D!$C$4)*0.1+IF(F32-Uzman_D!$D$4&lt;0,-(F32-Uzman_D!$D$4),F32-Uzman_D!$D$4)*0.1+IF(G32-Uzman_D!$E$4&lt;0,-(G32-Uzman_D!$E$4),G32-Uzman_D!$E$4)*0.1+IF(H32-Uzman_D!$F$4&lt;0,-(H32-Uzman_D!$F$4),H32-Uzman_D!$F$4)*0.1+IF(I32-Uzman_D!$G$4&lt;0,-(I32-Uzman_D!$G$4),I32-Uzman_D!$G$4)*0.1+IF(J32-Uzman_D!$H$4&lt;0,-(J32-Uzman_D!$H$4),J32-Uzman_D!$H$4)*0.1+IF(K32-Uzman_D!$I$4&lt;0,-(K32-Uzman_D!$I$4),K32-Uzman_D!$I$4)*0.1+IF(L32-Uzman_D!$J$4&lt;0,-(L32-Uzman_D!$J$4),L32-Uzman_D!$J$4)*0.1)+IF(ROUND((IF(N32-Uzman_D!$L$4&lt;0,-(N32-Uzman_D!$L$4),N32-Uzman_D!$L$4)*2),0)/2=IF(N32-Uzman_D!$L$4&lt;0,-(N32-Uzman_D!$L$4),N32-Uzman_D!$L$4),(ROUND((IF(N32-Uzman_D!$L$4&lt;0,-(N32-Uzman_D!$L$4),N32-Uzman_D!$L$4)*2),0)/1*0.1),0)+IF(O32-Uzman_D!$M$4&lt;0,-(O32-Uzman_D!$M$4),O32-Uzman_D!$M$4)*1)</f>
        <v>0.7</v>
      </c>
      <c r="Q32" s="56"/>
      <c r="R32" s="56">
        <v>4</v>
      </c>
      <c r="S32" s="56">
        <v>2</v>
      </c>
      <c r="T32" s="56">
        <v>2</v>
      </c>
      <c r="U32" s="56"/>
      <c r="V32" s="56"/>
      <c r="W32" s="56"/>
      <c r="X32" s="56"/>
      <c r="Y32" s="56"/>
      <c r="Z32" s="56"/>
      <c r="AA32" s="70">
        <v>2</v>
      </c>
      <c r="AB32" s="70">
        <v>0</v>
      </c>
      <c r="AC32" s="71">
        <f>1-(SUM(IF(Q32-Uzman_D!$B$5&lt;0,-(Q32-Uzman_D!$B$5),Q32-Uzman_D!$B$5)*0.1+IF(R32-Uzman_D!$C$5&lt;0,-(R32-Uzman_D!$C$5),R32-Uzman_D!$C$5)*0.1+IF(S32-Uzman_D!$D$5&lt;0,-(S32-Uzman_D!$D$5),S32-Uzman_D!$D$5)*0.1+IF(T32-Uzman_D!$E$5&lt;0,-(T32-Uzman_D!$E$5),T32-Uzman_D!$E$5)*0.1+IF(U32-Uzman_D!$F$5&lt;0,-(U32-Uzman_D!$F$5),U32-Uzman_D!$F$5)*0.1+IF(V32-Uzman_D!$G$5&lt;0,-(V32-Uzman_D!$G$5),V32-Uzman_D!$G$5)*0.1+IF(W32-Uzman_D!$H$5&lt;0,-(W32-Uzman_D!$H$5),W32-Uzman_D!$H$5)*0.1+IF(X32-Uzman_D!$I$5&lt;0,-(X32-Uzman_D!$I$5),X32-Uzman_D!$I$5)*0.1+IF(Y32-Uzman_D!$J$5&lt;0,-(Y32-Uzman_D!$J$5),Y32-Uzman_D!$J$5)*0.1)+IF(ROUND((IF(AA32-Uzman_D!$L$5&lt;0,-(AA32-Uzman_D!$L$5),AA32-Uzman_D!$L$5)*2),0)/2=IF(AA32-Uzman_D!$L$5&lt;0,-(AA32-Uzman_D!$L$5),AA32-Uzman_D!$L$5),(ROUND((IF(AA32-Uzman_D!$L$5&lt;0,-(AA32-Uzman_D!$L$5),AA32-Uzman_D!$L$5)*2),0)/1*0.1),0)+IF(AB32-Uzman_D!$M$5&lt;0,-(AB32-Uzman_D!$M$5),AB32-Uzman_D!$M$5)*1)</f>
        <v>0.39999999999999991</v>
      </c>
      <c r="AD32" s="56"/>
      <c r="AE32" s="56">
        <v>2</v>
      </c>
      <c r="AF32" s="56">
        <v>3</v>
      </c>
      <c r="AG32" s="56">
        <v>3</v>
      </c>
      <c r="AH32" s="56"/>
      <c r="AI32" s="56"/>
      <c r="AJ32" s="56"/>
      <c r="AK32" s="56"/>
      <c r="AL32" s="56"/>
      <c r="AM32" s="56"/>
      <c r="AN32" s="70">
        <v>1.5</v>
      </c>
      <c r="AO32" s="70">
        <v>0.1</v>
      </c>
      <c r="AP32" s="71">
        <f>1-(SUM(IF(AD32-Uzman_D!$B$6&lt;0,-(AD32-Uzman_D!$B$6),AD32-Uzman_D!$B$6)*0.1+IF(AE32-Uzman_D!$C$6&lt;0,-(AE32-Uzman_D!$C$6),AE32-Uzman_D!$C$6)*0.1+IF(AF32-Uzman_D!$D$6&lt;0,-(AF32-Uzman_D!$D$6),AF32-Uzman_D!$D$6)*0.1+IF(AG32-Uzman_D!$E$6&lt;0,-(AG32-Uzman_D!$E$6),AG32-Uzman_D!$E$6)*0.1+IF(AH32-Uzman_D!$F$6&lt;0,-(AH32-Uzman_D!$F$6),AH32-Uzman_D!$F$6)*0.1+IF(AI32-Uzman_D!$G$6&lt;0,-(AI32-Uzman_D!$G$6),AI32-Uzman_D!$G$6)*0.1+IF(AJ32-Uzman_D!$H$6&lt;0,-(AJ32-Uzman_D!$H$6),AJ32-Uzman_D!$H$6)*0.1+IF(AK32-Uzman_D!$I$6&lt;0,-(AK32-Uzman_D!$I$6),AK32-Uzman_D!$I$6)*0.1+IF(AL32-Uzman_D!$J$6&lt;0,-(AL32-Uzman_D!$J$6),AL32-Uzman_D!$J$6)*0.1)+IF(ROUND((IF(AN32-Uzman_D!$L$6&lt;0,-(AN32-Uzman_D!$L$6),AN32-Uzman_D!$L$6)*2),0)/2=IF(AN32-Uzman_D!$L$6&lt;0,-(AN32-Uzman_D!$L$6),AN32-Uzman_D!$L$6),(ROUND((IF(AN32-Uzman_D!$L$6&lt;0,-(AN32-Uzman_D!$L$6),AN32-Uzman_D!$L$6)*2),0)/1*0.1),0)+IF(AO32-Uzman_D!$M$6&lt;0,-(AO32-Uzman_D!$M$6),AO32-Uzman_D!$M$6)*1)</f>
        <v>0.5</v>
      </c>
      <c r="AQ32" s="56"/>
      <c r="AR32" s="56"/>
      <c r="AS32" s="56">
        <v>1</v>
      </c>
      <c r="AT32" s="56">
        <v>6</v>
      </c>
      <c r="AU32" s="56">
        <v>1</v>
      </c>
      <c r="AV32" s="56"/>
      <c r="AW32" s="56"/>
      <c r="AX32" s="56"/>
      <c r="AY32" s="56"/>
      <c r="AZ32" s="56"/>
      <c r="BA32" s="70">
        <v>2</v>
      </c>
      <c r="BB32" s="70">
        <v>0.3</v>
      </c>
      <c r="BC32" s="71">
        <f>1-(SUM(IF(AQ32-Uzman_D!$B$7&lt;0,-(AQ32-Uzman_D!$B$7),AQ32-Uzman_D!$B$7)*0.1+IF(AR32-Uzman_D!$C$7&lt;0,-(AR32-Uzman_D!$C$7),AR32-Uzman_D!$C$7)*0.1+IF(AS32-Uzman_D!$D$7&lt;0,-(AS32-Uzman_D!$D$7),AS32-Uzman_D!$D$7)*0.1+IF(AT32-Uzman_D!$E$7&lt;0,-(AT32-Uzman_D!$E$7),AT32-Uzman_D!$E$7)*0.1+IF(AU32-Uzman_D!$F$7&lt;0,-(AU32-Uzman_D!$F$7),AU32-Uzman_D!$F$7)*0.1+IF(AV32-Uzman_D!$G$7&lt;0,-(AV32-Uzman_D!$G$7),AV32-Uzman_D!$G$7)*0.1+IF(AW32-Uzman_D!$H$7&lt;0,-(AW32-Uzman_D!$H$7),AW32-Uzman_D!$H$7)*0.1+IF(AX32-Uzman_D!$I$7&lt;0,-(AX32-Uzman_D!$I$7),AX32-Uzman_D!$I$7)*0.1+IF(AY32-Uzman_D!$J$7&lt;0,-(AY32-Uzman_D!$J$7),AY32-Uzman_D!$J$7)*0.1)+IF(ROUND((IF(BA32-Uzman_D!$L$7&lt;0,-(BA32-Uzman_D!$L$7),BA32-Uzman_D!$L$7)*2),0)/2=IF(BA32-Uzman_D!$L$7&lt;0,-(BA32-Uzman_D!$L$7),BA32-Uzman_D!$L$7),(ROUND((IF(BA32-Uzman_D!$L$7&lt;0,-(BA32-Uzman_D!$L$7),BA32-Uzman_D!$L$7)*2),0)/1*0.1),0)+IF(BB32-Uzman_D!$M$7&lt;0,-(BB32-Uzman_D!$M$7),BB32-Uzman_D!$M$7)*1)</f>
        <v>0.39999999999999991</v>
      </c>
      <c r="BD32" s="56"/>
      <c r="BE32" s="56"/>
      <c r="BF32" s="56">
        <v>1</v>
      </c>
      <c r="BG32" s="56">
        <v>5</v>
      </c>
      <c r="BH32" s="56">
        <v>2</v>
      </c>
      <c r="BI32" s="56"/>
      <c r="BJ32" s="56"/>
      <c r="BK32" s="56"/>
      <c r="BL32" s="56"/>
      <c r="BM32" s="56"/>
      <c r="BN32" s="70">
        <v>2</v>
      </c>
      <c r="BO32" s="70">
        <v>0.7</v>
      </c>
      <c r="BP32" s="71">
        <f>1-(SUM(IF(BD32-Uzman_D!$B$8&lt;0,-(BD32-Uzman_D!$B$8),BD32-Uzman_D!$B$8)*0.1+IF(BE32-Uzman_D!$C$8&lt;0,-(BE32-Uzman_D!$C$8),BE32-Uzman_D!$C$8)*0.1+IF(BF32-Uzman_D!$D$8&lt;0,-(BF32-Uzman_D!$D$8),BF32-Uzman_D!$D$8)*0.1+IF(BG32-Uzman_D!$E$8&lt;0,-(BG32-Uzman_D!$E$8),BG32-Uzman_D!$E$8)*0.1+IF(BH32-Uzman_D!$F$8&lt;0,-(BH32-Uzman_D!$F$8),BH32-Uzman_D!$F$8)*0.1+IF(BI32-Uzman_D!$G$8&lt;0,-(BI32-Uzman_D!$G$8),BI32-Uzman_D!$G$8)*0.1+IF(BJ32-Uzman_D!$H$8&lt;0,-(BJ32-Uzman_D!$H$8),BJ32-Uzman_D!$H$8)*0.1+IF(BK32-Uzman_D!$I$8&lt;0,-(BK32-Uzman_D!$I$8),BK32-Uzman_D!$I$8)*0.1+IF(BL32-Uzman_D!$J$8&lt;0,-(BL32-Uzman_D!$J$8),BL32-Uzman_D!$J$8)*0.1)+IF(ROUND((IF(BN32-Uzman_D!$L$8&lt;0,-(BN32-Uzman_D!$L$8),BN32-Uzman_D!$L$8)*2),0)/2=IF(BN32-Uzman_D!$L$8&lt;0,-(BN32-Uzman_D!$L$8),BN32-Uzman_D!$L$8),(ROUND((IF(BN32-Uzman_D!$L$8&lt;0,-(BN32-Uzman_D!$L$8),BN32-Uzman_D!$L$8)*2),0)/1*0.1),0)+IF(BO32-Uzman_D!$M$8&lt;0,-(BO32-Uzman_D!$M$8),BO32-Uzman_D!$M$8)*1)</f>
        <v>0.49999999999999989</v>
      </c>
      <c r="BQ32" s="72">
        <f t="shared" si="0"/>
        <v>0.49999999999999989</v>
      </c>
    </row>
    <row r="33" spans="1:69" ht="15" customHeight="1" x14ac:dyDescent="0.45">
      <c r="A33" s="54">
        <v>30</v>
      </c>
      <c r="B33" s="162" t="str">
        <f>Hakemler!B33</f>
        <v>ÖZGENLİK TATAR</v>
      </c>
      <c r="C33" s="162" t="str">
        <f>Hakemler!C33</f>
        <v>ARZU</v>
      </c>
      <c r="D33" s="56">
        <v>1</v>
      </c>
      <c r="E33" s="56">
        <v>0</v>
      </c>
      <c r="F33" s="56">
        <v>0</v>
      </c>
      <c r="G33" s="56">
        <v>0</v>
      </c>
      <c r="H33" s="56"/>
      <c r="I33" s="56"/>
      <c r="J33" s="56"/>
      <c r="K33" s="56"/>
      <c r="L33" s="56"/>
      <c r="M33" s="56"/>
      <c r="N33" s="70">
        <v>2</v>
      </c>
      <c r="O33" s="70">
        <v>0</v>
      </c>
      <c r="P33" s="164">
        <f>1-(SUM(IF(D33-Uzman_D!$B$4&lt;0,-(D33-Uzman_D!$B$4),D33-Uzman_D!$B$4)*0.1+IF(E33-Uzman_D!$C$4&lt;0,-(E33-Uzman_D!$C$4),E33-Uzman_D!$C$4)*0.1+IF(F33-Uzman_D!$D$4&lt;0,-(F33-Uzman_D!$D$4),F33-Uzman_D!$D$4)*0.1+IF(G33-Uzman_D!$E$4&lt;0,-(G33-Uzman_D!$E$4),G33-Uzman_D!$E$4)*0.1+IF(H33-Uzman_D!$F$4&lt;0,-(H33-Uzman_D!$F$4),H33-Uzman_D!$F$4)*0.1+IF(I33-Uzman_D!$G$4&lt;0,-(I33-Uzman_D!$G$4),I33-Uzman_D!$G$4)*0.1+IF(J33-Uzman_D!$H$4&lt;0,-(J33-Uzman_D!$H$4),J33-Uzman_D!$H$4)*0.1+IF(K33-Uzman_D!$I$4&lt;0,-(K33-Uzman_D!$I$4),K33-Uzman_D!$I$4)*0.1+IF(L33-Uzman_D!$J$4&lt;0,-(L33-Uzman_D!$J$4),L33-Uzman_D!$J$4)*0.1)+IF(ROUND((IF(N33-Uzman_D!$L$4&lt;0,-(N33-Uzman_D!$L$4),N33-Uzman_D!$L$4)*2),0)/2=IF(N33-Uzman_D!$L$4&lt;0,-(N33-Uzman_D!$L$4),N33-Uzman_D!$L$4),(ROUND((IF(N33-Uzman_D!$L$4&lt;0,-(N33-Uzman_D!$L$4),N33-Uzman_D!$L$4)*2),0)/1*0.1),0)+IF(O33-Uzman_D!$M$4&lt;0,-(O33-Uzman_D!$M$4),O33-Uzman_D!$M$4)*1)</f>
        <v>0.29999999999999993</v>
      </c>
      <c r="Q33" s="56"/>
      <c r="R33" s="56">
        <v>0</v>
      </c>
      <c r="S33" s="56">
        <v>0</v>
      </c>
      <c r="T33" s="56">
        <v>0</v>
      </c>
      <c r="U33" s="56"/>
      <c r="V33" s="56"/>
      <c r="W33" s="56"/>
      <c r="X33" s="56"/>
      <c r="Y33" s="56"/>
      <c r="Z33" s="56"/>
      <c r="AA33" s="70">
        <v>2</v>
      </c>
      <c r="AB33" s="70">
        <v>0</v>
      </c>
      <c r="AC33" s="71">
        <f>1-(SUM(IF(Q33-Uzman_D!$B$5&lt;0,-(Q33-Uzman_D!$B$5),Q33-Uzman_D!$B$5)*0.1+IF(R33-Uzman_D!$C$5&lt;0,-(R33-Uzman_D!$C$5),R33-Uzman_D!$C$5)*0.1+IF(S33-Uzman_D!$D$5&lt;0,-(S33-Uzman_D!$D$5),S33-Uzman_D!$D$5)*0.1+IF(T33-Uzman_D!$E$5&lt;0,-(T33-Uzman_D!$E$5),T33-Uzman_D!$E$5)*0.1+IF(U33-Uzman_D!$F$5&lt;0,-(U33-Uzman_D!$F$5),U33-Uzman_D!$F$5)*0.1+IF(V33-Uzman_D!$G$5&lt;0,-(V33-Uzman_D!$G$5),V33-Uzman_D!$G$5)*0.1+IF(W33-Uzman_D!$H$5&lt;0,-(W33-Uzman_D!$H$5),W33-Uzman_D!$H$5)*0.1+IF(X33-Uzman_D!$I$5&lt;0,-(X33-Uzman_D!$I$5),X33-Uzman_D!$I$5)*0.1+IF(Y33-Uzman_D!$J$5&lt;0,-(Y33-Uzman_D!$J$5),Y33-Uzman_D!$J$5)*0.1)+IF(ROUND((IF(AA33-Uzman_D!$L$5&lt;0,-(AA33-Uzman_D!$L$5),AA33-Uzman_D!$L$5)*2),0)/2=IF(AA33-Uzman_D!$L$5&lt;0,-(AA33-Uzman_D!$L$5),AA33-Uzman_D!$L$5),(ROUND((IF(AA33-Uzman_D!$L$5&lt;0,-(AA33-Uzman_D!$L$5),AA33-Uzman_D!$L$5)*2),0)/1*0.1),0)+IF(AB33-Uzman_D!$M$5&lt;0,-(AB33-Uzman_D!$M$5),AB33-Uzman_D!$M$5)*1)</f>
        <v>0</v>
      </c>
      <c r="AD33" s="56"/>
      <c r="AE33" s="56">
        <v>1</v>
      </c>
      <c r="AF33" s="56">
        <v>0</v>
      </c>
      <c r="AG33" s="56">
        <v>0</v>
      </c>
      <c r="AH33" s="56"/>
      <c r="AI33" s="56"/>
      <c r="AJ33" s="56"/>
      <c r="AK33" s="56"/>
      <c r="AL33" s="56"/>
      <c r="AM33" s="56"/>
      <c r="AN33" s="70">
        <v>1.5</v>
      </c>
      <c r="AO33" s="70">
        <v>0</v>
      </c>
      <c r="AP33" s="71">
        <f>1-(SUM(IF(AD33-Uzman_D!$B$6&lt;0,-(AD33-Uzman_D!$B$6),AD33-Uzman_D!$B$6)*0.1+IF(AE33-Uzman_D!$C$6&lt;0,-(AE33-Uzman_D!$C$6),AE33-Uzman_D!$C$6)*0.1+IF(AF33-Uzman_D!$D$6&lt;0,-(AF33-Uzman_D!$D$6),AF33-Uzman_D!$D$6)*0.1+IF(AG33-Uzman_D!$E$6&lt;0,-(AG33-Uzman_D!$E$6),AG33-Uzman_D!$E$6)*0.1+IF(AH33-Uzman_D!$F$6&lt;0,-(AH33-Uzman_D!$F$6),AH33-Uzman_D!$F$6)*0.1+IF(AI33-Uzman_D!$G$6&lt;0,-(AI33-Uzman_D!$G$6),AI33-Uzman_D!$G$6)*0.1+IF(AJ33-Uzman_D!$H$6&lt;0,-(AJ33-Uzman_D!$H$6),AJ33-Uzman_D!$H$6)*0.1+IF(AK33-Uzman_D!$I$6&lt;0,-(AK33-Uzman_D!$I$6),AK33-Uzman_D!$I$6)*0.1+IF(AL33-Uzman_D!$J$6&lt;0,-(AL33-Uzman_D!$J$6),AL33-Uzman_D!$J$6)*0.1)+IF(ROUND((IF(AN33-Uzman_D!$L$6&lt;0,-(AN33-Uzman_D!$L$6),AN33-Uzman_D!$L$6)*2),0)/2=IF(AN33-Uzman_D!$L$6&lt;0,-(AN33-Uzman_D!$L$6),AN33-Uzman_D!$L$6),(ROUND((IF(AN33-Uzman_D!$L$6&lt;0,-(AN33-Uzman_D!$L$6),AN33-Uzman_D!$L$6)*2),0)/1*0.1),0)+IF(AO33-Uzman_D!$M$6&lt;0,-(AO33-Uzman_D!$M$6),AO33-Uzman_D!$M$6)*1)</f>
        <v>0.29999999999999993</v>
      </c>
      <c r="AQ33" s="56"/>
      <c r="AR33" s="56"/>
      <c r="AS33" s="56">
        <v>1</v>
      </c>
      <c r="AT33" s="56">
        <v>0</v>
      </c>
      <c r="AU33" s="56">
        <v>0</v>
      </c>
      <c r="AV33" s="56"/>
      <c r="AW33" s="56"/>
      <c r="AX33" s="56"/>
      <c r="AY33" s="56"/>
      <c r="AZ33" s="56"/>
      <c r="BA33" s="70">
        <v>2</v>
      </c>
      <c r="BB33" s="70">
        <v>0.1</v>
      </c>
      <c r="BC33" s="71">
        <f>1-(SUM(IF(AQ33-Uzman_D!$B$7&lt;0,-(AQ33-Uzman_D!$B$7),AQ33-Uzman_D!$B$7)*0.1+IF(AR33-Uzman_D!$C$7&lt;0,-(AR33-Uzman_D!$C$7),AR33-Uzman_D!$C$7)*0.1+IF(AS33-Uzman_D!$D$7&lt;0,-(AS33-Uzman_D!$D$7),AS33-Uzman_D!$D$7)*0.1+IF(AT33-Uzman_D!$E$7&lt;0,-(AT33-Uzman_D!$E$7),AT33-Uzman_D!$E$7)*0.1+IF(AU33-Uzman_D!$F$7&lt;0,-(AU33-Uzman_D!$F$7),AU33-Uzman_D!$F$7)*0.1+IF(AV33-Uzman_D!$G$7&lt;0,-(AV33-Uzman_D!$G$7),AV33-Uzman_D!$G$7)*0.1+IF(AW33-Uzman_D!$H$7&lt;0,-(AW33-Uzman_D!$H$7),AW33-Uzman_D!$H$7)*0.1+IF(AX33-Uzman_D!$I$7&lt;0,-(AX33-Uzman_D!$I$7),AX33-Uzman_D!$I$7)*0.1+IF(AY33-Uzman_D!$J$7&lt;0,-(AY33-Uzman_D!$J$7),AY33-Uzman_D!$J$7)*0.1)+IF(ROUND((IF(BA33-Uzman_D!$L$7&lt;0,-(BA33-Uzman_D!$L$7),BA33-Uzman_D!$L$7)*2),0)/2=IF(BA33-Uzman_D!$L$7&lt;0,-(BA33-Uzman_D!$L$7),BA33-Uzman_D!$L$7),(ROUND((IF(BA33-Uzman_D!$L$7&lt;0,-(BA33-Uzman_D!$L$7),BA33-Uzman_D!$L$7)*2),0)/1*0.1),0)+IF(BB33-Uzman_D!$M$7&lt;0,-(BB33-Uzman_D!$M$7),BB33-Uzman_D!$M$7)*1)</f>
        <v>-0.10000000000000009</v>
      </c>
      <c r="BD33" s="56"/>
      <c r="BE33" s="56"/>
      <c r="BF33" s="56">
        <v>0</v>
      </c>
      <c r="BG33" s="56">
        <v>0</v>
      </c>
      <c r="BH33" s="56">
        <v>1</v>
      </c>
      <c r="BI33" s="56"/>
      <c r="BJ33" s="56"/>
      <c r="BK33" s="56"/>
      <c r="BL33" s="56"/>
      <c r="BM33" s="56"/>
      <c r="BN33" s="70">
        <v>2</v>
      </c>
      <c r="BO33" s="70">
        <v>0.1</v>
      </c>
      <c r="BP33" s="71">
        <f>1-(SUM(IF(BD33-Uzman_D!$B$8&lt;0,-(BD33-Uzman_D!$B$8),BD33-Uzman_D!$B$8)*0.1+IF(BE33-Uzman_D!$C$8&lt;0,-(BE33-Uzman_D!$C$8),BE33-Uzman_D!$C$8)*0.1+IF(BF33-Uzman_D!$D$8&lt;0,-(BF33-Uzman_D!$D$8),BF33-Uzman_D!$D$8)*0.1+IF(BG33-Uzman_D!$E$8&lt;0,-(BG33-Uzman_D!$E$8),BG33-Uzman_D!$E$8)*0.1+IF(BH33-Uzman_D!$F$8&lt;0,-(BH33-Uzman_D!$F$8),BH33-Uzman_D!$F$8)*0.1+IF(BI33-Uzman_D!$G$8&lt;0,-(BI33-Uzman_D!$G$8),BI33-Uzman_D!$G$8)*0.1+IF(BJ33-Uzman_D!$H$8&lt;0,-(BJ33-Uzman_D!$H$8),BJ33-Uzman_D!$H$8)*0.1+IF(BK33-Uzman_D!$I$8&lt;0,-(BK33-Uzman_D!$I$8),BK33-Uzman_D!$I$8)*0.1+IF(BL33-Uzman_D!$J$8&lt;0,-(BL33-Uzman_D!$J$8),BL33-Uzman_D!$J$8)*0.1)+IF(ROUND((IF(BN33-Uzman_D!$L$8&lt;0,-(BN33-Uzman_D!$L$8),BN33-Uzman_D!$L$8)*2),0)/2=IF(BN33-Uzman_D!$L$8&lt;0,-(BN33-Uzman_D!$L$8),BN33-Uzman_D!$L$8),(ROUND((IF(BN33-Uzman_D!$L$8&lt;0,-(BN33-Uzman_D!$L$8),BN33-Uzman_D!$L$8)*2),0)/1*0.1),0)+IF(BO33-Uzman_D!$M$8&lt;0,-(BO33-Uzman_D!$M$8),BO33-Uzman_D!$M$8)*1)</f>
        <v>-0.40000000000000013</v>
      </c>
      <c r="BQ33" s="72">
        <f t="shared" si="0"/>
        <v>1.9999999999999928E-2</v>
      </c>
    </row>
    <row r="34" spans="1:69" ht="15" customHeight="1" x14ac:dyDescent="0.45">
      <c r="A34" s="54">
        <v>31</v>
      </c>
      <c r="B34" s="162" t="str">
        <f>Hakemler!B34</f>
        <v>KARADENİZ</v>
      </c>
      <c r="C34" s="162" t="str">
        <f>Hakemler!C34</f>
        <v>EMEL</v>
      </c>
      <c r="D34" s="56">
        <v>1</v>
      </c>
      <c r="E34" s="56">
        <v>2</v>
      </c>
      <c r="F34" s="56">
        <v>2</v>
      </c>
      <c r="G34" s="56">
        <v>2</v>
      </c>
      <c r="H34" s="56"/>
      <c r="I34" s="56"/>
      <c r="J34" s="56"/>
      <c r="K34" s="56"/>
      <c r="L34" s="56"/>
      <c r="M34" s="56"/>
      <c r="N34" s="70">
        <v>1.5</v>
      </c>
      <c r="O34" s="70">
        <v>0</v>
      </c>
      <c r="P34" s="71">
        <f>1-(SUM(IF(D34-Uzman_D!$B$4&lt;0,-(D34-Uzman_D!$B$4),D34-Uzman_D!$B$4)*0.1+IF(E34-Uzman_D!$C$4&lt;0,-(E34-Uzman_D!$C$4),E34-Uzman_D!$C$4)*0.1+IF(F34-Uzman_D!$D$4&lt;0,-(F34-Uzman_D!$D$4),F34-Uzman_D!$D$4)*0.1+IF(G34-Uzman_D!$E$4&lt;0,-(G34-Uzman_D!$E$4),G34-Uzman_D!$E$4)*0.1+IF(H34-Uzman_D!$F$4&lt;0,-(H34-Uzman_D!$F$4),H34-Uzman_D!$F$4)*0.1+IF(I34-Uzman_D!$G$4&lt;0,-(I34-Uzman_D!$G$4),I34-Uzman_D!$G$4)*0.1+IF(J34-Uzman_D!$H$4&lt;0,-(J34-Uzman_D!$H$4),J34-Uzman_D!$H$4)*0.1+IF(K34-Uzman_D!$I$4&lt;0,-(K34-Uzman_D!$I$4),K34-Uzman_D!$I$4)*0.1+IF(L34-Uzman_D!$J$4&lt;0,-(L34-Uzman_D!$J$4),L34-Uzman_D!$J$4)*0.1)+IF(ROUND((IF(N34-Uzman_D!$L$4&lt;0,-(N34-Uzman_D!$L$4),N34-Uzman_D!$L$4)*2),0)/2=IF(N34-Uzman_D!$L$4&lt;0,-(N34-Uzman_D!$L$4),N34-Uzman_D!$L$4),(ROUND((IF(N34-Uzman_D!$L$4&lt;0,-(N34-Uzman_D!$L$4),N34-Uzman_D!$L$4)*2),0)/1*0.1),0)+IF(O34-Uzman_D!$M$4&lt;0,-(O34-Uzman_D!$M$4),O34-Uzman_D!$M$4)*1)</f>
        <v>0.6</v>
      </c>
      <c r="Q34" s="56">
        <v>1</v>
      </c>
      <c r="R34" s="56">
        <v>1</v>
      </c>
      <c r="S34" s="56">
        <v>5</v>
      </c>
      <c r="T34" s="56">
        <v>1</v>
      </c>
      <c r="U34" s="56"/>
      <c r="V34" s="56"/>
      <c r="W34" s="56"/>
      <c r="X34" s="56"/>
      <c r="Y34" s="56"/>
      <c r="Z34" s="56"/>
      <c r="AA34" s="70">
        <v>2</v>
      </c>
      <c r="AB34" s="70">
        <v>0</v>
      </c>
      <c r="AC34" s="71">
        <f>1-(SUM(IF(Q34-Uzman_D!$B$5&lt;0,-(Q34-Uzman_D!$B$5),Q34-Uzman_D!$B$5)*0.1+IF(R34-Uzman_D!$C$5&lt;0,-(R34-Uzman_D!$C$5),R34-Uzman_D!$C$5)*0.1+IF(S34-Uzman_D!$D$5&lt;0,-(S34-Uzman_D!$D$5),S34-Uzman_D!$D$5)*0.1+IF(T34-Uzman_D!$E$5&lt;0,-(T34-Uzman_D!$E$5),T34-Uzman_D!$E$5)*0.1+IF(U34-Uzman_D!$F$5&lt;0,-(U34-Uzman_D!$F$5),U34-Uzman_D!$F$5)*0.1+IF(V34-Uzman_D!$G$5&lt;0,-(V34-Uzman_D!$G$5),V34-Uzman_D!$G$5)*0.1+IF(W34-Uzman_D!$H$5&lt;0,-(W34-Uzman_D!$H$5),W34-Uzman_D!$H$5)*0.1+IF(X34-Uzman_D!$I$5&lt;0,-(X34-Uzman_D!$I$5),X34-Uzman_D!$I$5)*0.1+IF(Y34-Uzman_D!$J$5&lt;0,-(Y34-Uzman_D!$J$5),Y34-Uzman_D!$J$5)*0.1)+IF(ROUND((IF(AA34-Uzman_D!$L$5&lt;0,-(AA34-Uzman_D!$L$5),AA34-Uzman_D!$L$5)*2),0)/2=IF(AA34-Uzman_D!$L$5&lt;0,-(AA34-Uzman_D!$L$5),AA34-Uzman_D!$L$5),(ROUND((IF(AA34-Uzman_D!$L$5&lt;0,-(AA34-Uzman_D!$L$5),AA34-Uzman_D!$L$5)*2),0)/1*0.1),0)+IF(AB34-Uzman_D!$M$5&lt;0,-(AB34-Uzman_D!$M$5),AB34-Uzman_D!$M$5)*1)</f>
        <v>-0.19999999999999996</v>
      </c>
      <c r="AD34" s="56"/>
      <c r="AE34" s="56">
        <v>2</v>
      </c>
      <c r="AF34" s="56">
        <v>4</v>
      </c>
      <c r="AG34" s="56">
        <v>2</v>
      </c>
      <c r="AH34" s="56"/>
      <c r="AI34" s="56"/>
      <c r="AJ34" s="56"/>
      <c r="AK34" s="56"/>
      <c r="AL34" s="56"/>
      <c r="AM34" s="56"/>
      <c r="AN34" s="70">
        <v>2</v>
      </c>
      <c r="AO34" s="70">
        <v>0.1</v>
      </c>
      <c r="AP34" s="71">
        <f>1-(SUM(IF(AD34-Uzman_D!$B$6&lt;0,-(AD34-Uzman_D!$B$6),AD34-Uzman_D!$B$6)*0.1+IF(AE34-Uzman_D!$C$6&lt;0,-(AE34-Uzman_D!$C$6),AE34-Uzman_D!$C$6)*0.1+IF(AF34-Uzman_D!$D$6&lt;0,-(AF34-Uzman_D!$D$6),AF34-Uzman_D!$D$6)*0.1+IF(AG34-Uzman_D!$E$6&lt;0,-(AG34-Uzman_D!$E$6),AG34-Uzman_D!$E$6)*0.1+IF(AH34-Uzman_D!$F$6&lt;0,-(AH34-Uzman_D!$F$6),AH34-Uzman_D!$F$6)*0.1+IF(AI34-Uzman_D!$G$6&lt;0,-(AI34-Uzman_D!$G$6),AI34-Uzman_D!$G$6)*0.1+IF(AJ34-Uzman_D!$H$6&lt;0,-(AJ34-Uzman_D!$H$6),AJ34-Uzman_D!$H$6)*0.1+IF(AK34-Uzman_D!$I$6&lt;0,-(AK34-Uzman_D!$I$6),AK34-Uzman_D!$I$6)*0.1+IF(AL34-Uzman_D!$J$6&lt;0,-(AL34-Uzman_D!$J$6),AL34-Uzman_D!$J$6)*0.1)+IF(ROUND((IF(AN34-Uzman_D!$L$6&lt;0,-(AN34-Uzman_D!$L$6),AN34-Uzman_D!$L$6)*2),0)/2=IF(AN34-Uzman_D!$L$6&lt;0,-(AN34-Uzman_D!$L$6),AN34-Uzman_D!$L$6),(ROUND((IF(AN34-Uzman_D!$L$6&lt;0,-(AN34-Uzman_D!$L$6),AN34-Uzman_D!$L$6)*2),0)/1*0.1),0)+IF(AO34-Uzman_D!$M$6&lt;0,-(AO34-Uzman_D!$M$6),AO34-Uzman_D!$M$6)*1)</f>
        <v>0.6</v>
      </c>
      <c r="AQ34" s="56"/>
      <c r="AR34" s="56"/>
      <c r="AS34" s="56">
        <v>2</v>
      </c>
      <c r="AT34" s="56">
        <v>4</v>
      </c>
      <c r="AU34" s="56">
        <v>2</v>
      </c>
      <c r="AV34" s="56"/>
      <c r="AW34" s="56"/>
      <c r="AX34" s="56"/>
      <c r="AY34" s="56"/>
      <c r="AZ34" s="56"/>
      <c r="BA34" s="70">
        <v>2</v>
      </c>
      <c r="BB34" s="70">
        <v>0.6</v>
      </c>
      <c r="BC34" s="71">
        <f>1-(SUM(IF(AQ34-Uzman_D!$B$7&lt;0,-(AQ34-Uzman_D!$B$7),AQ34-Uzman_D!$B$7)*0.1+IF(AR34-Uzman_D!$C$7&lt;0,-(AR34-Uzman_D!$C$7),AR34-Uzman_D!$C$7)*0.1+IF(AS34-Uzman_D!$D$7&lt;0,-(AS34-Uzman_D!$D$7),AS34-Uzman_D!$D$7)*0.1+IF(AT34-Uzman_D!$E$7&lt;0,-(AT34-Uzman_D!$E$7),AT34-Uzman_D!$E$7)*0.1+IF(AU34-Uzman_D!$F$7&lt;0,-(AU34-Uzman_D!$F$7),AU34-Uzman_D!$F$7)*0.1+IF(AV34-Uzman_D!$G$7&lt;0,-(AV34-Uzman_D!$G$7),AV34-Uzman_D!$G$7)*0.1+IF(AW34-Uzman_D!$H$7&lt;0,-(AW34-Uzman_D!$H$7),AW34-Uzman_D!$H$7)*0.1+IF(AX34-Uzman_D!$I$7&lt;0,-(AX34-Uzman_D!$I$7),AX34-Uzman_D!$I$7)*0.1+IF(AY34-Uzman_D!$J$7&lt;0,-(AY34-Uzman_D!$J$7),AY34-Uzman_D!$J$7)*0.1)+IF(ROUND((IF(BA34-Uzman_D!$L$7&lt;0,-(BA34-Uzman_D!$L$7),BA34-Uzman_D!$L$7)*2),0)/2=IF(BA34-Uzman_D!$L$7&lt;0,-(BA34-Uzman_D!$L$7),BA34-Uzman_D!$L$7),(ROUND((IF(BA34-Uzman_D!$L$7&lt;0,-(BA34-Uzman_D!$L$7),BA34-Uzman_D!$L$7)*2),0)/1*0.1),0)+IF(BB34-Uzman_D!$M$7&lt;0,-(BB34-Uzman_D!$M$7),BB34-Uzman_D!$M$7)*1)</f>
        <v>0.7</v>
      </c>
      <c r="BD34" s="56"/>
      <c r="BE34" s="56"/>
      <c r="BF34" s="56">
        <v>2</v>
      </c>
      <c r="BG34" s="56">
        <v>5</v>
      </c>
      <c r="BH34" s="56">
        <v>1</v>
      </c>
      <c r="BI34" s="56"/>
      <c r="BJ34" s="56"/>
      <c r="BK34" s="56"/>
      <c r="BL34" s="56"/>
      <c r="BM34" s="56"/>
      <c r="BN34" s="70">
        <v>2</v>
      </c>
      <c r="BO34" s="70">
        <v>0.3</v>
      </c>
      <c r="BP34" s="71">
        <f>1-(SUM(IF(BD34-Uzman_D!$B$8&lt;0,-(BD34-Uzman_D!$B$8),BD34-Uzman_D!$B$8)*0.1+IF(BE34-Uzman_D!$C$8&lt;0,-(BE34-Uzman_D!$C$8),BE34-Uzman_D!$C$8)*0.1+IF(BF34-Uzman_D!$D$8&lt;0,-(BF34-Uzman_D!$D$8),BF34-Uzman_D!$D$8)*0.1+IF(BG34-Uzman_D!$E$8&lt;0,-(BG34-Uzman_D!$E$8),BG34-Uzman_D!$E$8)*0.1+IF(BH34-Uzman_D!$F$8&lt;0,-(BH34-Uzman_D!$F$8),BH34-Uzman_D!$F$8)*0.1+IF(BI34-Uzman_D!$G$8&lt;0,-(BI34-Uzman_D!$G$8),BI34-Uzman_D!$G$8)*0.1+IF(BJ34-Uzman_D!$H$8&lt;0,-(BJ34-Uzman_D!$H$8),BJ34-Uzman_D!$H$8)*0.1+IF(BK34-Uzman_D!$I$8&lt;0,-(BK34-Uzman_D!$I$8),BK34-Uzman_D!$I$8)*0.1+IF(BL34-Uzman_D!$J$8&lt;0,-(BL34-Uzman_D!$J$8),BL34-Uzman_D!$J$8)*0.1)+IF(ROUND((IF(BN34-Uzman_D!$L$8&lt;0,-(BN34-Uzman_D!$L$8),BN34-Uzman_D!$L$8)*2),0)/2=IF(BN34-Uzman_D!$L$8&lt;0,-(BN34-Uzman_D!$L$8),BN34-Uzman_D!$L$8),(ROUND((IF(BN34-Uzman_D!$L$8&lt;0,-(BN34-Uzman_D!$L$8),BN34-Uzman_D!$L$8)*2),0)/1*0.1),0)+IF(BO34-Uzman_D!$M$8&lt;0,-(BO34-Uzman_D!$M$8),BO34-Uzman_D!$M$8)*1)</f>
        <v>9.9999999999999978E-2</v>
      </c>
      <c r="BQ34" s="72">
        <f t="shared" si="0"/>
        <v>0.36</v>
      </c>
    </row>
    <row r="35" spans="1:69" ht="15" customHeight="1" x14ac:dyDescent="0.45">
      <c r="A35" s="54">
        <v>32</v>
      </c>
      <c r="B35" s="162" t="str">
        <f>Hakemler!B35</f>
        <v>TOYRAN</v>
      </c>
      <c r="C35" s="162" t="str">
        <f>Hakemler!C35</f>
        <v>SİNEM NUR</v>
      </c>
      <c r="D35" s="56">
        <v>2</v>
      </c>
      <c r="E35" s="56">
        <v>2</v>
      </c>
      <c r="F35" s="56">
        <v>2</v>
      </c>
      <c r="G35" s="56">
        <v>2</v>
      </c>
      <c r="H35" s="56"/>
      <c r="I35" s="56"/>
      <c r="J35" s="56"/>
      <c r="K35" s="56"/>
      <c r="L35" s="56"/>
      <c r="M35" s="56"/>
      <c r="N35" s="70">
        <v>2</v>
      </c>
      <c r="O35" s="70">
        <v>0</v>
      </c>
      <c r="P35" s="71">
        <f>1-(SUM(IF(D35-Uzman_D!$B$4&lt;0,-(D35-Uzman_D!$B$4),D35-Uzman_D!$B$4)*0.1+IF(E35-Uzman_D!$C$4&lt;0,-(E35-Uzman_D!$C$4),E35-Uzman_D!$C$4)*0.1+IF(F35-Uzman_D!$D$4&lt;0,-(F35-Uzman_D!$D$4),F35-Uzman_D!$D$4)*0.1+IF(G35-Uzman_D!$E$4&lt;0,-(G35-Uzman_D!$E$4),G35-Uzman_D!$E$4)*0.1+IF(H35-Uzman_D!$F$4&lt;0,-(H35-Uzman_D!$F$4),H35-Uzman_D!$F$4)*0.1+IF(I35-Uzman_D!$G$4&lt;0,-(I35-Uzman_D!$G$4),I35-Uzman_D!$G$4)*0.1+IF(J35-Uzman_D!$H$4&lt;0,-(J35-Uzman_D!$H$4),J35-Uzman_D!$H$4)*0.1+IF(K35-Uzman_D!$I$4&lt;0,-(K35-Uzman_D!$I$4),K35-Uzman_D!$I$4)*0.1+IF(L35-Uzman_D!$J$4&lt;0,-(L35-Uzman_D!$J$4),L35-Uzman_D!$J$4)*0.1)+IF(ROUND((IF(N35-Uzman_D!$L$4&lt;0,-(N35-Uzman_D!$L$4),N35-Uzman_D!$L$4)*2),0)/2=IF(N35-Uzman_D!$L$4&lt;0,-(N35-Uzman_D!$L$4),N35-Uzman_D!$L$4),(ROUND((IF(N35-Uzman_D!$L$4&lt;0,-(N35-Uzman_D!$L$4),N35-Uzman_D!$L$4)*2),0)/1*0.1),0)+IF(O35-Uzman_D!$M$4&lt;0,-(O35-Uzman_D!$M$4),O35-Uzman_D!$M$4)*1)</f>
        <v>0.6</v>
      </c>
      <c r="Q35" s="56"/>
      <c r="R35" s="56">
        <v>2</v>
      </c>
      <c r="S35" s="56">
        <v>3</v>
      </c>
      <c r="T35" s="56">
        <v>3</v>
      </c>
      <c r="U35" s="56"/>
      <c r="V35" s="56"/>
      <c r="W35" s="56"/>
      <c r="X35" s="56"/>
      <c r="Y35" s="56"/>
      <c r="Z35" s="56"/>
      <c r="AA35" s="70">
        <v>2</v>
      </c>
      <c r="AB35" s="70">
        <v>0.1</v>
      </c>
      <c r="AC35" s="71">
        <f>1-(SUM(IF(Q35-Uzman_D!$B$5&lt;0,-(Q35-Uzman_D!$B$5),Q35-Uzman_D!$B$5)*0.1+IF(R35-Uzman_D!$C$5&lt;0,-(R35-Uzman_D!$C$5),R35-Uzman_D!$C$5)*0.1+IF(S35-Uzman_D!$D$5&lt;0,-(S35-Uzman_D!$D$5),S35-Uzman_D!$D$5)*0.1+IF(T35-Uzman_D!$E$5&lt;0,-(T35-Uzman_D!$E$5),T35-Uzman_D!$E$5)*0.1+IF(U35-Uzman_D!$F$5&lt;0,-(U35-Uzman_D!$F$5),U35-Uzman_D!$F$5)*0.1+IF(V35-Uzman_D!$G$5&lt;0,-(V35-Uzman_D!$G$5),V35-Uzman_D!$G$5)*0.1+IF(W35-Uzman_D!$H$5&lt;0,-(W35-Uzman_D!$H$5),W35-Uzman_D!$H$5)*0.1+IF(X35-Uzman_D!$I$5&lt;0,-(X35-Uzman_D!$I$5),X35-Uzman_D!$I$5)*0.1+IF(Y35-Uzman_D!$J$5&lt;0,-(Y35-Uzman_D!$J$5),Y35-Uzman_D!$J$5)*0.1)+IF(ROUND((IF(AA35-Uzman_D!$L$5&lt;0,-(AA35-Uzman_D!$L$5),AA35-Uzman_D!$L$5)*2),0)/2=IF(AA35-Uzman_D!$L$5&lt;0,-(AA35-Uzman_D!$L$5),AA35-Uzman_D!$L$5),(ROUND((IF(AA35-Uzman_D!$L$5&lt;0,-(AA35-Uzman_D!$L$5),AA35-Uzman_D!$L$5)*2),0)/1*0.1),0)+IF(AB35-Uzman_D!$M$5&lt;0,-(AB35-Uzman_D!$M$5),AB35-Uzman_D!$M$5)*1)</f>
        <v>0.5</v>
      </c>
      <c r="AD35" s="56"/>
      <c r="AE35" s="56">
        <v>2</v>
      </c>
      <c r="AF35" s="56">
        <v>5</v>
      </c>
      <c r="AG35" s="56">
        <v>1</v>
      </c>
      <c r="AH35" s="56"/>
      <c r="AI35" s="56"/>
      <c r="AJ35" s="56"/>
      <c r="AK35" s="56"/>
      <c r="AL35" s="56"/>
      <c r="AM35" s="56"/>
      <c r="AN35" s="70">
        <v>1.5</v>
      </c>
      <c r="AO35" s="70">
        <v>0</v>
      </c>
      <c r="AP35" s="71">
        <f>1-(SUM(IF(AD35-Uzman_D!$B$6&lt;0,-(AD35-Uzman_D!$B$6),AD35-Uzman_D!$B$6)*0.1+IF(AE35-Uzman_D!$C$6&lt;0,-(AE35-Uzman_D!$C$6),AE35-Uzman_D!$C$6)*0.1+IF(AF35-Uzman_D!$D$6&lt;0,-(AF35-Uzman_D!$D$6),AF35-Uzman_D!$D$6)*0.1+IF(AG35-Uzman_D!$E$6&lt;0,-(AG35-Uzman_D!$E$6),AG35-Uzman_D!$E$6)*0.1+IF(AH35-Uzman_D!$F$6&lt;0,-(AH35-Uzman_D!$F$6),AH35-Uzman_D!$F$6)*0.1+IF(AI35-Uzman_D!$G$6&lt;0,-(AI35-Uzman_D!$G$6),AI35-Uzman_D!$G$6)*0.1+IF(AJ35-Uzman_D!$H$6&lt;0,-(AJ35-Uzman_D!$H$6),AJ35-Uzman_D!$H$6)*0.1+IF(AK35-Uzman_D!$I$6&lt;0,-(AK35-Uzman_D!$I$6),AK35-Uzman_D!$I$6)*0.1+IF(AL35-Uzman_D!$J$6&lt;0,-(AL35-Uzman_D!$J$6),AL35-Uzman_D!$J$6)*0.1)+IF(ROUND((IF(AN35-Uzman_D!$L$6&lt;0,-(AN35-Uzman_D!$L$6),AN35-Uzman_D!$L$6)*2),0)/2=IF(AN35-Uzman_D!$L$6&lt;0,-(AN35-Uzman_D!$L$6),AN35-Uzman_D!$L$6),(ROUND((IF(AN35-Uzman_D!$L$6&lt;0,-(AN35-Uzman_D!$L$6),AN35-Uzman_D!$L$6)*2),0)/1*0.1),0)+IF(AO35-Uzman_D!$M$6&lt;0,-(AO35-Uzman_D!$M$6),AO35-Uzman_D!$M$6)*1)</f>
        <v>0.8</v>
      </c>
      <c r="AQ35" s="56"/>
      <c r="AR35" s="56"/>
      <c r="AS35" s="56">
        <v>2</v>
      </c>
      <c r="AT35" s="56">
        <v>4</v>
      </c>
      <c r="AU35" s="56">
        <v>2</v>
      </c>
      <c r="AV35" s="56"/>
      <c r="AW35" s="56"/>
      <c r="AX35" s="56"/>
      <c r="AY35" s="56"/>
      <c r="AZ35" s="56"/>
      <c r="BA35" s="70">
        <v>2</v>
      </c>
      <c r="BB35" s="70">
        <v>0.4</v>
      </c>
      <c r="BC35" s="71">
        <f>1-(SUM(IF(AQ35-Uzman_D!$B$7&lt;0,-(AQ35-Uzman_D!$B$7),AQ35-Uzman_D!$B$7)*0.1+IF(AR35-Uzman_D!$C$7&lt;0,-(AR35-Uzman_D!$C$7),AR35-Uzman_D!$C$7)*0.1+IF(AS35-Uzman_D!$D$7&lt;0,-(AS35-Uzman_D!$D$7),AS35-Uzman_D!$D$7)*0.1+IF(AT35-Uzman_D!$E$7&lt;0,-(AT35-Uzman_D!$E$7),AT35-Uzman_D!$E$7)*0.1+IF(AU35-Uzman_D!$F$7&lt;0,-(AU35-Uzman_D!$F$7),AU35-Uzman_D!$F$7)*0.1+IF(AV35-Uzman_D!$G$7&lt;0,-(AV35-Uzman_D!$G$7),AV35-Uzman_D!$G$7)*0.1+IF(AW35-Uzman_D!$H$7&lt;0,-(AW35-Uzman_D!$H$7),AW35-Uzman_D!$H$7)*0.1+IF(AX35-Uzman_D!$I$7&lt;0,-(AX35-Uzman_D!$I$7),AX35-Uzman_D!$I$7)*0.1+IF(AY35-Uzman_D!$J$7&lt;0,-(AY35-Uzman_D!$J$7),AY35-Uzman_D!$J$7)*0.1)+IF(ROUND((IF(BA35-Uzman_D!$L$7&lt;0,-(BA35-Uzman_D!$L$7),BA35-Uzman_D!$L$7)*2),0)/2=IF(BA35-Uzman_D!$L$7&lt;0,-(BA35-Uzman_D!$L$7),BA35-Uzman_D!$L$7),(ROUND((IF(BA35-Uzman_D!$L$7&lt;0,-(BA35-Uzman_D!$L$7),BA35-Uzman_D!$L$7)*2),0)/1*0.1),0)+IF(BB35-Uzman_D!$M$7&lt;0,-(BB35-Uzman_D!$M$7),BB35-Uzman_D!$M$7)*1)</f>
        <v>0.7</v>
      </c>
      <c r="BD35" s="56"/>
      <c r="BE35" s="56"/>
      <c r="BF35" s="56">
        <v>1</v>
      </c>
      <c r="BG35" s="56">
        <v>7</v>
      </c>
      <c r="BH35" s="56"/>
      <c r="BI35" s="56"/>
      <c r="BJ35" s="56"/>
      <c r="BK35" s="56"/>
      <c r="BL35" s="56"/>
      <c r="BM35" s="56"/>
      <c r="BN35" s="70">
        <v>2</v>
      </c>
      <c r="BO35" s="70">
        <v>0.4</v>
      </c>
      <c r="BP35" s="71">
        <f>1-(SUM(IF(BD35-Uzman_D!$B$8&lt;0,-(BD35-Uzman_D!$B$8),BD35-Uzman_D!$B$8)*0.1+IF(BE35-Uzman_D!$C$8&lt;0,-(BE35-Uzman_D!$C$8),BE35-Uzman_D!$C$8)*0.1+IF(BF35-Uzman_D!$D$8&lt;0,-(BF35-Uzman_D!$D$8),BF35-Uzman_D!$D$8)*0.1+IF(BG35-Uzman_D!$E$8&lt;0,-(BG35-Uzman_D!$E$8),BG35-Uzman_D!$E$8)*0.1+IF(BH35-Uzman_D!$F$8&lt;0,-(BH35-Uzman_D!$F$8),BH35-Uzman_D!$F$8)*0.1+IF(BI35-Uzman_D!$G$8&lt;0,-(BI35-Uzman_D!$G$8),BI35-Uzman_D!$G$8)*0.1+IF(BJ35-Uzman_D!$H$8&lt;0,-(BJ35-Uzman_D!$H$8),BJ35-Uzman_D!$H$8)*0.1+IF(BK35-Uzman_D!$I$8&lt;0,-(BK35-Uzman_D!$I$8),BK35-Uzman_D!$I$8)*0.1+IF(BL35-Uzman_D!$J$8&lt;0,-(BL35-Uzman_D!$J$8),BL35-Uzman_D!$J$8)*0.1)+IF(ROUND((IF(BN35-Uzman_D!$L$8&lt;0,-(BN35-Uzman_D!$L$8),BN35-Uzman_D!$L$8)*2),0)/2=IF(BN35-Uzman_D!$L$8&lt;0,-(BN35-Uzman_D!$L$8),BN35-Uzman_D!$L$8),(ROUND((IF(BN35-Uzman_D!$L$8&lt;0,-(BN35-Uzman_D!$L$8),BN35-Uzman_D!$L$8)*2),0)/1*0.1),0)+IF(BO35-Uzman_D!$M$8&lt;0,-(BO35-Uzman_D!$M$8),BO35-Uzman_D!$M$8)*1)</f>
        <v>0.19999999999999996</v>
      </c>
      <c r="BQ35" s="72">
        <f t="shared" si="0"/>
        <v>0.55999999999999994</v>
      </c>
    </row>
    <row r="36" spans="1:69" ht="15" customHeight="1" x14ac:dyDescent="0.45">
      <c r="A36" s="54">
        <v>33</v>
      </c>
      <c r="B36" s="162" t="str">
        <f>Hakemler!B36</f>
        <v>SEVERBAŞ</v>
      </c>
      <c r="C36" s="162" t="str">
        <f>Hakemler!C36</f>
        <v>PINAR</v>
      </c>
      <c r="D36" s="56">
        <v>2</v>
      </c>
      <c r="E36" s="56">
        <v>2</v>
      </c>
      <c r="F36" s="56">
        <v>1</v>
      </c>
      <c r="G36" s="56">
        <v>2</v>
      </c>
      <c r="H36" s="56"/>
      <c r="I36" s="56"/>
      <c r="J36" s="56"/>
      <c r="K36" s="56"/>
      <c r="L36" s="56"/>
      <c r="M36" s="56"/>
      <c r="N36" s="70">
        <v>1.5</v>
      </c>
      <c r="O36" s="70">
        <v>0</v>
      </c>
      <c r="P36" s="71">
        <f>1-(SUM(IF(D36-Uzman_D!$B$4&lt;0,-(D36-Uzman_D!$B$4),D36-Uzman_D!$B$4)*0.1+IF(E36-Uzman_D!$C$4&lt;0,-(E36-Uzman_D!$C$4),E36-Uzman_D!$C$4)*0.1+IF(F36-Uzman_D!$D$4&lt;0,-(F36-Uzman_D!$D$4),F36-Uzman_D!$D$4)*0.1+IF(G36-Uzman_D!$E$4&lt;0,-(G36-Uzman_D!$E$4),G36-Uzman_D!$E$4)*0.1+IF(H36-Uzman_D!$F$4&lt;0,-(H36-Uzman_D!$F$4),H36-Uzman_D!$F$4)*0.1+IF(I36-Uzman_D!$G$4&lt;0,-(I36-Uzman_D!$G$4),I36-Uzman_D!$G$4)*0.1+IF(J36-Uzman_D!$H$4&lt;0,-(J36-Uzman_D!$H$4),J36-Uzman_D!$H$4)*0.1+IF(K36-Uzman_D!$I$4&lt;0,-(K36-Uzman_D!$I$4),K36-Uzman_D!$I$4)*0.1+IF(L36-Uzman_D!$J$4&lt;0,-(L36-Uzman_D!$J$4),L36-Uzman_D!$J$4)*0.1)+IF(ROUND((IF(N36-Uzman_D!$L$4&lt;0,-(N36-Uzman_D!$L$4),N36-Uzman_D!$L$4)*2),0)/2=IF(N36-Uzman_D!$L$4&lt;0,-(N36-Uzman_D!$L$4),N36-Uzman_D!$L$4),(ROUND((IF(N36-Uzman_D!$L$4&lt;0,-(N36-Uzman_D!$L$4),N36-Uzman_D!$L$4)*2),0)/1*0.1),0)+IF(O36-Uzman_D!$M$4&lt;0,-(O36-Uzman_D!$M$4),O36-Uzman_D!$M$4)*1)</f>
        <v>0.4</v>
      </c>
      <c r="Q36" s="56">
        <v>2</v>
      </c>
      <c r="R36" s="56">
        <v>2</v>
      </c>
      <c r="S36" s="56">
        <v>2</v>
      </c>
      <c r="T36" s="56">
        <v>3</v>
      </c>
      <c r="U36" s="56"/>
      <c r="V36" s="56"/>
      <c r="W36" s="56"/>
      <c r="X36" s="56"/>
      <c r="Y36" s="56"/>
      <c r="Z36" s="56"/>
      <c r="AA36" s="70">
        <v>2</v>
      </c>
      <c r="AB36" s="70">
        <v>0.1</v>
      </c>
      <c r="AC36" s="71">
        <f>1-(SUM(IF(Q36-Uzman_D!$B$5&lt;0,-(Q36-Uzman_D!$B$5),Q36-Uzman_D!$B$5)*0.1+IF(R36-Uzman_D!$C$5&lt;0,-(R36-Uzman_D!$C$5),R36-Uzman_D!$C$5)*0.1+IF(S36-Uzman_D!$D$5&lt;0,-(S36-Uzman_D!$D$5),S36-Uzman_D!$D$5)*0.1+IF(T36-Uzman_D!$E$5&lt;0,-(T36-Uzman_D!$E$5),T36-Uzman_D!$E$5)*0.1+IF(U36-Uzman_D!$F$5&lt;0,-(U36-Uzman_D!$F$5),U36-Uzman_D!$F$5)*0.1+IF(V36-Uzman_D!$G$5&lt;0,-(V36-Uzman_D!$G$5),V36-Uzman_D!$G$5)*0.1+IF(W36-Uzman_D!$H$5&lt;0,-(W36-Uzman_D!$H$5),W36-Uzman_D!$H$5)*0.1+IF(X36-Uzman_D!$I$5&lt;0,-(X36-Uzman_D!$I$5),X36-Uzman_D!$I$5)*0.1+IF(Y36-Uzman_D!$J$5&lt;0,-(Y36-Uzman_D!$J$5),Y36-Uzman_D!$J$5)*0.1)+IF(ROUND((IF(AA36-Uzman_D!$L$5&lt;0,-(AA36-Uzman_D!$L$5),AA36-Uzman_D!$L$5)*2),0)/2=IF(AA36-Uzman_D!$L$5&lt;0,-(AA36-Uzman_D!$L$5),AA36-Uzman_D!$L$5),(ROUND((IF(AA36-Uzman_D!$L$5&lt;0,-(AA36-Uzman_D!$L$5),AA36-Uzman_D!$L$5)*2),0)/1*0.1),0)+IF(AB36-Uzman_D!$M$5&lt;0,-(AB36-Uzman_D!$M$5),AB36-Uzman_D!$M$5)*1)</f>
        <v>0.4</v>
      </c>
      <c r="AD36" s="56"/>
      <c r="AE36" s="56">
        <v>2</v>
      </c>
      <c r="AF36" s="56">
        <v>3</v>
      </c>
      <c r="AG36" s="56">
        <v>2</v>
      </c>
      <c r="AH36" s="56"/>
      <c r="AI36" s="56"/>
      <c r="AJ36" s="56"/>
      <c r="AK36" s="56"/>
      <c r="AL36" s="56"/>
      <c r="AM36" s="56"/>
      <c r="AN36" s="70">
        <v>2</v>
      </c>
      <c r="AO36" s="70">
        <v>0.2</v>
      </c>
      <c r="AP36" s="71">
        <f>1-(SUM(IF(AD36-Uzman_D!$B$6&lt;0,-(AD36-Uzman_D!$B$6),AD36-Uzman_D!$B$6)*0.1+IF(AE36-Uzman_D!$C$6&lt;0,-(AE36-Uzman_D!$C$6),AE36-Uzman_D!$C$6)*0.1+IF(AF36-Uzman_D!$D$6&lt;0,-(AF36-Uzman_D!$D$6),AF36-Uzman_D!$D$6)*0.1+IF(AG36-Uzman_D!$E$6&lt;0,-(AG36-Uzman_D!$E$6),AG36-Uzman_D!$E$6)*0.1+IF(AH36-Uzman_D!$F$6&lt;0,-(AH36-Uzman_D!$F$6),AH36-Uzman_D!$F$6)*0.1+IF(AI36-Uzman_D!$G$6&lt;0,-(AI36-Uzman_D!$G$6),AI36-Uzman_D!$G$6)*0.1+IF(AJ36-Uzman_D!$H$6&lt;0,-(AJ36-Uzman_D!$H$6),AJ36-Uzman_D!$H$6)*0.1+IF(AK36-Uzman_D!$I$6&lt;0,-(AK36-Uzman_D!$I$6),AK36-Uzman_D!$I$6)*0.1+IF(AL36-Uzman_D!$J$6&lt;0,-(AL36-Uzman_D!$J$6),AL36-Uzman_D!$J$6)*0.1)+IF(ROUND((IF(AN36-Uzman_D!$L$6&lt;0,-(AN36-Uzman_D!$L$6),AN36-Uzman_D!$L$6)*2),0)/2=IF(AN36-Uzman_D!$L$6&lt;0,-(AN36-Uzman_D!$L$6),AN36-Uzman_D!$L$6),(ROUND((IF(AN36-Uzman_D!$L$6&lt;0,-(AN36-Uzman_D!$L$6),AN36-Uzman_D!$L$6)*2),0)/1*0.1),0)+IF(AO36-Uzman_D!$M$6&lt;0,-(AO36-Uzman_D!$M$6),AO36-Uzman_D!$M$6)*1)</f>
        <v>0.39999999999999991</v>
      </c>
      <c r="AQ36" s="56">
        <v>1</v>
      </c>
      <c r="AR36" s="56">
        <v>1</v>
      </c>
      <c r="AS36" s="56">
        <v>2</v>
      </c>
      <c r="AT36" s="56">
        <v>2</v>
      </c>
      <c r="AU36" s="56">
        <v>1</v>
      </c>
      <c r="AV36" s="56"/>
      <c r="AW36" s="56"/>
      <c r="AX36" s="56"/>
      <c r="AY36" s="56"/>
      <c r="AZ36" s="56"/>
      <c r="BA36" s="70">
        <v>2</v>
      </c>
      <c r="BB36" s="70">
        <v>0.4</v>
      </c>
      <c r="BC36" s="71">
        <f>1-(SUM(IF(AQ36-Uzman_D!$B$7&lt;0,-(AQ36-Uzman_D!$B$7),AQ36-Uzman_D!$B$7)*0.1+IF(AR36-Uzman_D!$C$7&lt;0,-(AR36-Uzman_D!$C$7),AR36-Uzman_D!$C$7)*0.1+IF(AS36-Uzman_D!$D$7&lt;0,-(AS36-Uzman_D!$D$7),AS36-Uzman_D!$D$7)*0.1+IF(AT36-Uzman_D!$E$7&lt;0,-(AT36-Uzman_D!$E$7),AT36-Uzman_D!$E$7)*0.1+IF(AU36-Uzman_D!$F$7&lt;0,-(AU36-Uzman_D!$F$7),AU36-Uzman_D!$F$7)*0.1+IF(AV36-Uzman_D!$G$7&lt;0,-(AV36-Uzman_D!$G$7),AV36-Uzman_D!$G$7)*0.1+IF(AW36-Uzman_D!$H$7&lt;0,-(AW36-Uzman_D!$H$7),AW36-Uzman_D!$H$7)*0.1+IF(AX36-Uzman_D!$I$7&lt;0,-(AX36-Uzman_D!$I$7),AX36-Uzman_D!$I$7)*0.1+IF(AY36-Uzman_D!$J$7&lt;0,-(AY36-Uzman_D!$J$7),AY36-Uzman_D!$J$7)*0.1)+IF(ROUND((IF(BA36-Uzman_D!$L$7&lt;0,-(BA36-Uzman_D!$L$7),BA36-Uzman_D!$L$7)*2),0)/2=IF(BA36-Uzman_D!$L$7&lt;0,-(BA36-Uzman_D!$L$7),BA36-Uzman_D!$L$7),(ROUND((IF(BA36-Uzman_D!$L$7&lt;0,-(BA36-Uzman_D!$L$7),BA36-Uzman_D!$L$7)*2),0)/1*0.1),0)+IF(BB36-Uzman_D!$M$7&lt;0,-(BB36-Uzman_D!$M$7),BB36-Uzman_D!$M$7)*1)</f>
        <v>0.20000000000000007</v>
      </c>
      <c r="BD36" s="56"/>
      <c r="BE36" s="56"/>
      <c r="BF36" s="56">
        <v>1</v>
      </c>
      <c r="BG36" s="56">
        <v>3</v>
      </c>
      <c r="BH36" s="56">
        <v>3</v>
      </c>
      <c r="BI36" s="56">
        <v>1</v>
      </c>
      <c r="BJ36" s="56"/>
      <c r="BK36" s="56"/>
      <c r="BL36" s="56"/>
      <c r="BM36" s="56"/>
      <c r="BN36" s="70">
        <v>2</v>
      </c>
      <c r="BO36" s="70">
        <v>0.6</v>
      </c>
      <c r="BP36" s="71">
        <f>1-(SUM(IF(BD36-Uzman_D!$B$8&lt;0,-(BD36-Uzman_D!$B$8),BD36-Uzman_D!$B$8)*0.1+IF(BE36-Uzman_D!$C$8&lt;0,-(BE36-Uzman_D!$C$8),BE36-Uzman_D!$C$8)*0.1+IF(BF36-Uzman_D!$D$8&lt;0,-(BF36-Uzman_D!$D$8),BF36-Uzman_D!$D$8)*0.1+IF(BG36-Uzman_D!$E$8&lt;0,-(BG36-Uzman_D!$E$8),BG36-Uzman_D!$E$8)*0.1+IF(BH36-Uzman_D!$F$8&lt;0,-(BH36-Uzman_D!$F$8),BH36-Uzman_D!$F$8)*0.1+IF(BI36-Uzman_D!$G$8&lt;0,-(BI36-Uzman_D!$G$8),BI36-Uzman_D!$G$8)*0.1+IF(BJ36-Uzman_D!$H$8&lt;0,-(BJ36-Uzman_D!$H$8),BJ36-Uzman_D!$H$8)*0.1+IF(BK36-Uzman_D!$I$8&lt;0,-(BK36-Uzman_D!$I$8),BK36-Uzman_D!$I$8)*0.1+IF(BL36-Uzman_D!$J$8&lt;0,-(BL36-Uzman_D!$J$8),BL36-Uzman_D!$J$8)*0.1)+IF(ROUND((IF(BN36-Uzman_D!$L$8&lt;0,-(BN36-Uzman_D!$L$8),BN36-Uzman_D!$L$8)*2),0)/2=IF(BN36-Uzman_D!$L$8&lt;0,-(BN36-Uzman_D!$L$8),BN36-Uzman_D!$L$8),(ROUND((IF(BN36-Uzman_D!$L$8&lt;0,-(BN36-Uzman_D!$L$8),BN36-Uzman_D!$L$8)*2),0)/1*0.1),0)+IF(BO36-Uzman_D!$M$8&lt;0,-(BO36-Uzman_D!$M$8),BO36-Uzman_D!$M$8)*1)</f>
        <v>0.19999999999999984</v>
      </c>
      <c r="BQ36" s="72">
        <f t="shared" ref="BQ36:BQ67" si="1">(P36+AC36+AP36+BC36+BP36)/5</f>
        <v>0.31999999999999995</v>
      </c>
    </row>
    <row r="37" spans="1:69" ht="15" customHeight="1" x14ac:dyDescent="0.45">
      <c r="A37" s="54">
        <v>34</v>
      </c>
      <c r="B37" s="162" t="str">
        <f>Hakemler!B37</f>
        <v>KASAP TOPAL</v>
      </c>
      <c r="C37" s="162" t="str">
        <f>Hakemler!C37</f>
        <v>AYTEN</v>
      </c>
      <c r="D37" s="56">
        <v>2</v>
      </c>
      <c r="E37" s="56">
        <v>1</v>
      </c>
      <c r="F37" s="56">
        <v>2</v>
      </c>
      <c r="G37" s="56">
        <v>1</v>
      </c>
      <c r="H37" s="56"/>
      <c r="I37" s="56"/>
      <c r="J37" s="56"/>
      <c r="K37" s="56"/>
      <c r="L37" s="56"/>
      <c r="M37" s="56"/>
      <c r="N37" s="70">
        <v>1.5</v>
      </c>
      <c r="O37" s="70">
        <v>0</v>
      </c>
      <c r="P37" s="71">
        <f>1-(SUM(IF(D37-Uzman_D!$B$4&lt;0,-(D37-Uzman_D!$B$4),D37-Uzman_D!$B$4)*0.1+IF(E37-Uzman_D!$C$4&lt;0,-(E37-Uzman_D!$C$4),E37-Uzman_D!$C$4)*0.1+IF(F37-Uzman_D!$D$4&lt;0,-(F37-Uzman_D!$D$4),F37-Uzman_D!$D$4)*0.1+IF(G37-Uzman_D!$E$4&lt;0,-(G37-Uzman_D!$E$4),G37-Uzman_D!$E$4)*0.1+IF(H37-Uzman_D!$F$4&lt;0,-(H37-Uzman_D!$F$4),H37-Uzman_D!$F$4)*0.1+IF(I37-Uzman_D!$G$4&lt;0,-(I37-Uzman_D!$G$4),I37-Uzman_D!$G$4)*0.1+IF(J37-Uzman_D!$H$4&lt;0,-(J37-Uzman_D!$H$4),J37-Uzman_D!$H$4)*0.1+IF(K37-Uzman_D!$I$4&lt;0,-(K37-Uzman_D!$I$4),K37-Uzman_D!$I$4)*0.1+IF(L37-Uzman_D!$J$4&lt;0,-(L37-Uzman_D!$J$4),L37-Uzman_D!$J$4)*0.1)+IF(ROUND((IF(N37-Uzman_D!$L$4&lt;0,-(N37-Uzman_D!$L$4),N37-Uzman_D!$L$4)*2),0)/2=IF(N37-Uzman_D!$L$4&lt;0,-(N37-Uzman_D!$L$4),N37-Uzman_D!$L$4),(ROUND((IF(N37-Uzman_D!$L$4&lt;0,-(N37-Uzman_D!$L$4),N37-Uzman_D!$L$4)*2),0)/1*0.1),0)+IF(O37-Uzman_D!$M$4&lt;0,-(O37-Uzman_D!$M$4),O37-Uzman_D!$M$4)*1)</f>
        <v>0.5</v>
      </c>
      <c r="Q37" s="56">
        <v>1</v>
      </c>
      <c r="R37" s="56">
        <v>2</v>
      </c>
      <c r="S37" s="56">
        <v>3</v>
      </c>
      <c r="T37" s="56">
        <v>2</v>
      </c>
      <c r="U37" s="56"/>
      <c r="V37" s="56"/>
      <c r="W37" s="56"/>
      <c r="X37" s="56"/>
      <c r="Y37" s="56"/>
      <c r="Z37" s="56"/>
      <c r="AA37" s="70">
        <v>2</v>
      </c>
      <c r="AB37" s="70">
        <v>0.2</v>
      </c>
      <c r="AC37" s="71">
        <f>1-(SUM(IF(Q37-Uzman_D!$B$5&lt;0,-(Q37-Uzman_D!$B$5),Q37-Uzman_D!$B$5)*0.1+IF(R37-Uzman_D!$C$5&lt;0,-(R37-Uzman_D!$C$5),R37-Uzman_D!$C$5)*0.1+IF(S37-Uzman_D!$D$5&lt;0,-(S37-Uzman_D!$D$5),S37-Uzman_D!$D$5)*0.1+IF(T37-Uzman_D!$E$5&lt;0,-(T37-Uzman_D!$E$5),T37-Uzman_D!$E$5)*0.1+IF(U37-Uzman_D!$F$5&lt;0,-(U37-Uzman_D!$F$5),U37-Uzman_D!$F$5)*0.1+IF(V37-Uzman_D!$G$5&lt;0,-(V37-Uzman_D!$G$5),V37-Uzman_D!$G$5)*0.1+IF(W37-Uzman_D!$H$5&lt;0,-(W37-Uzman_D!$H$5),W37-Uzman_D!$H$5)*0.1+IF(X37-Uzman_D!$I$5&lt;0,-(X37-Uzman_D!$I$5),X37-Uzman_D!$I$5)*0.1+IF(Y37-Uzman_D!$J$5&lt;0,-(Y37-Uzman_D!$J$5),Y37-Uzman_D!$J$5)*0.1)+IF(ROUND((IF(AA37-Uzman_D!$L$5&lt;0,-(AA37-Uzman_D!$L$5),AA37-Uzman_D!$L$5)*2),0)/2=IF(AA37-Uzman_D!$L$5&lt;0,-(AA37-Uzman_D!$L$5),AA37-Uzman_D!$L$5),(ROUND((IF(AA37-Uzman_D!$L$5&lt;0,-(AA37-Uzman_D!$L$5),AA37-Uzman_D!$L$5)*2),0)/1*0.1),0)+IF(AB37-Uzman_D!$M$5&lt;0,-(AB37-Uzman_D!$M$5),AB37-Uzman_D!$M$5)*1)</f>
        <v>0.39999999999999991</v>
      </c>
      <c r="AD37" s="56">
        <v>3</v>
      </c>
      <c r="AE37" s="56">
        <v>3</v>
      </c>
      <c r="AF37" s="56">
        <v>2</v>
      </c>
      <c r="AG37" s="56"/>
      <c r="AH37" s="56"/>
      <c r="AI37" s="56"/>
      <c r="AJ37" s="56"/>
      <c r="AK37" s="56"/>
      <c r="AL37" s="56"/>
      <c r="AM37" s="56"/>
      <c r="AN37" s="70">
        <v>1.5</v>
      </c>
      <c r="AO37" s="70">
        <v>0</v>
      </c>
      <c r="AP37" s="71">
        <f>1-(SUM(IF(AD37-Uzman_D!$B$6&lt;0,-(AD37-Uzman_D!$B$6),AD37-Uzman_D!$B$6)*0.1+IF(AE37-Uzman_D!$C$6&lt;0,-(AE37-Uzman_D!$C$6),AE37-Uzman_D!$C$6)*0.1+IF(AF37-Uzman_D!$D$6&lt;0,-(AF37-Uzman_D!$D$6),AF37-Uzman_D!$D$6)*0.1+IF(AG37-Uzman_D!$E$6&lt;0,-(AG37-Uzman_D!$E$6),AG37-Uzman_D!$E$6)*0.1+IF(AH37-Uzman_D!$F$6&lt;0,-(AH37-Uzman_D!$F$6),AH37-Uzman_D!$F$6)*0.1+IF(AI37-Uzman_D!$G$6&lt;0,-(AI37-Uzman_D!$G$6),AI37-Uzman_D!$G$6)*0.1+IF(AJ37-Uzman_D!$H$6&lt;0,-(AJ37-Uzman_D!$H$6),AJ37-Uzman_D!$H$6)*0.1+IF(AK37-Uzman_D!$I$6&lt;0,-(AK37-Uzman_D!$I$6),AK37-Uzman_D!$I$6)*0.1+IF(AL37-Uzman_D!$J$6&lt;0,-(AL37-Uzman_D!$J$6),AL37-Uzman_D!$J$6)*0.1)+IF(ROUND((IF(AN37-Uzman_D!$L$6&lt;0,-(AN37-Uzman_D!$L$6),AN37-Uzman_D!$L$6)*2),0)/2=IF(AN37-Uzman_D!$L$6&lt;0,-(AN37-Uzman_D!$L$6),AN37-Uzman_D!$L$6),(ROUND((IF(AN37-Uzman_D!$L$6&lt;0,-(AN37-Uzman_D!$L$6),AN37-Uzman_D!$L$6)*2),0)/1*0.1),0)+IF(AO37-Uzman_D!$M$6&lt;0,-(AO37-Uzman_D!$M$6),AO37-Uzman_D!$M$6)*1)</f>
        <v>0.4</v>
      </c>
      <c r="AQ37" s="56">
        <v>1</v>
      </c>
      <c r="AR37" s="56">
        <v>2</v>
      </c>
      <c r="AS37" s="56">
        <v>3</v>
      </c>
      <c r="AT37" s="56">
        <v>2</v>
      </c>
      <c r="AU37" s="56"/>
      <c r="AV37" s="56"/>
      <c r="AW37" s="56"/>
      <c r="AX37" s="56"/>
      <c r="AY37" s="56"/>
      <c r="AZ37" s="56"/>
      <c r="BA37" s="70">
        <v>2</v>
      </c>
      <c r="BB37" s="70">
        <v>0.2</v>
      </c>
      <c r="BC37" s="71">
        <f>1-(SUM(IF(AQ37-Uzman_D!$B$7&lt;0,-(AQ37-Uzman_D!$B$7),AQ37-Uzman_D!$B$7)*0.1+IF(AR37-Uzman_D!$C$7&lt;0,-(AR37-Uzman_D!$C$7),AR37-Uzman_D!$C$7)*0.1+IF(AS37-Uzman_D!$D$7&lt;0,-(AS37-Uzman_D!$D$7),AS37-Uzman_D!$D$7)*0.1+IF(AT37-Uzman_D!$E$7&lt;0,-(AT37-Uzman_D!$E$7),AT37-Uzman_D!$E$7)*0.1+IF(AU37-Uzman_D!$F$7&lt;0,-(AU37-Uzman_D!$F$7),AU37-Uzman_D!$F$7)*0.1+IF(AV37-Uzman_D!$G$7&lt;0,-(AV37-Uzman_D!$G$7),AV37-Uzman_D!$G$7)*0.1+IF(AW37-Uzman_D!$H$7&lt;0,-(AW37-Uzman_D!$H$7),AW37-Uzman_D!$H$7)*0.1+IF(AX37-Uzman_D!$I$7&lt;0,-(AX37-Uzman_D!$I$7),AX37-Uzman_D!$I$7)*0.1+IF(AY37-Uzman_D!$J$7&lt;0,-(AY37-Uzman_D!$J$7),AY37-Uzman_D!$J$7)*0.1)+IF(ROUND((IF(BA37-Uzman_D!$L$7&lt;0,-(BA37-Uzman_D!$L$7),BA37-Uzman_D!$L$7)*2),0)/2=IF(BA37-Uzman_D!$L$7&lt;0,-(BA37-Uzman_D!$L$7),BA37-Uzman_D!$L$7),(ROUND((IF(BA37-Uzman_D!$L$7&lt;0,-(BA37-Uzman_D!$L$7),BA37-Uzman_D!$L$7)*2),0)/1*0.1),0)+IF(BB37-Uzman_D!$M$7&lt;0,-(BB37-Uzman_D!$M$7),BB37-Uzman_D!$M$7)*1)</f>
        <v>-0.29999999999999982</v>
      </c>
      <c r="BD37" s="56">
        <v>1</v>
      </c>
      <c r="BE37" s="56">
        <v>2</v>
      </c>
      <c r="BF37" s="56">
        <v>3</v>
      </c>
      <c r="BG37" s="56">
        <v>2</v>
      </c>
      <c r="BH37" s="56"/>
      <c r="BI37" s="56"/>
      <c r="BJ37" s="56"/>
      <c r="BK37" s="56"/>
      <c r="BL37" s="56"/>
      <c r="BM37" s="56"/>
      <c r="BN37" s="70">
        <v>2</v>
      </c>
      <c r="BO37" s="70">
        <v>0.2</v>
      </c>
      <c r="BP37" s="71">
        <f>1-(SUM(IF(BD37-Uzman_D!$B$8&lt;0,-(BD37-Uzman_D!$B$8),BD37-Uzman_D!$B$8)*0.1+IF(BE37-Uzman_D!$C$8&lt;0,-(BE37-Uzman_D!$C$8),BE37-Uzman_D!$C$8)*0.1+IF(BF37-Uzman_D!$D$8&lt;0,-(BF37-Uzman_D!$D$8),BF37-Uzman_D!$D$8)*0.1+IF(BG37-Uzman_D!$E$8&lt;0,-(BG37-Uzman_D!$E$8),BG37-Uzman_D!$E$8)*0.1+IF(BH37-Uzman_D!$F$8&lt;0,-(BH37-Uzman_D!$F$8),BH37-Uzman_D!$F$8)*0.1+IF(BI37-Uzman_D!$G$8&lt;0,-(BI37-Uzman_D!$G$8),BI37-Uzman_D!$G$8)*0.1+IF(BJ37-Uzman_D!$H$8&lt;0,-(BJ37-Uzman_D!$H$8),BJ37-Uzman_D!$H$8)*0.1+IF(BK37-Uzman_D!$I$8&lt;0,-(BK37-Uzman_D!$I$8),BK37-Uzman_D!$I$8)*0.1+IF(BL37-Uzman_D!$J$8&lt;0,-(BL37-Uzman_D!$J$8),BL37-Uzman_D!$J$8)*0.1)+IF(ROUND((IF(BN37-Uzman_D!$L$8&lt;0,-(BN37-Uzman_D!$L$8),BN37-Uzman_D!$L$8)*2),0)/2=IF(BN37-Uzman_D!$L$8&lt;0,-(BN37-Uzman_D!$L$8),BN37-Uzman_D!$L$8),(ROUND((IF(BN37-Uzman_D!$L$8&lt;0,-(BN37-Uzman_D!$L$8),BN37-Uzman_D!$L$8)*2),0)/1*0.1),0)+IF(BO37-Uzman_D!$M$8&lt;0,-(BO37-Uzman_D!$M$8),BO37-Uzman_D!$M$8)*1)</f>
        <v>-0.80000000000000027</v>
      </c>
      <c r="BQ37" s="72">
        <f t="shared" si="1"/>
        <v>3.9999999999999945E-2</v>
      </c>
    </row>
    <row r="38" spans="1:69" ht="15" customHeight="1" x14ac:dyDescent="0.45">
      <c r="A38" s="54">
        <v>35</v>
      </c>
      <c r="B38" s="162" t="str">
        <f>Hakemler!B38</f>
        <v>DİCLE</v>
      </c>
      <c r="C38" s="162" t="str">
        <f>Hakemler!C38</f>
        <v>SENA HAZEL</v>
      </c>
      <c r="D38" s="56">
        <v>3</v>
      </c>
      <c r="E38" s="56">
        <v>2</v>
      </c>
      <c r="F38" s="56">
        <v>2</v>
      </c>
      <c r="G38" s="56"/>
      <c r="H38" s="56">
        <v>1</v>
      </c>
      <c r="I38" s="56"/>
      <c r="J38" s="56"/>
      <c r="K38" s="56"/>
      <c r="L38" s="56"/>
      <c r="M38" s="56"/>
      <c r="N38" s="70">
        <v>1</v>
      </c>
      <c r="O38" s="70">
        <v>0</v>
      </c>
      <c r="P38" s="71">
        <f>1-(SUM(IF(D38-Uzman_D!$B$4&lt;0,-(D38-Uzman_D!$B$4),D38-Uzman_D!$B$4)*0.1+IF(E38-Uzman_D!$C$4&lt;0,-(E38-Uzman_D!$C$4),E38-Uzman_D!$C$4)*0.1+IF(F38-Uzman_D!$D$4&lt;0,-(F38-Uzman_D!$D$4),F38-Uzman_D!$D$4)*0.1+IF(G38-Uzman_D!$E$4&lt;0,-(G38-Uzman_D!$E$4),G38-Uzman_D!$E$4)*0.1+IF(H38-Uzman_D!$F$4&lt;0,-(H38-Uzman_D!$F$4),H38-Uzman_D!$F$4)*0.1+IF(I38-Uzman_D!$G$4&lt;0,-(I38-Uzman_D!$G$4),I38-Uzman_D!$G$4)*0.1+IF(J38-Uzman_D!$H$4&lt;0,-(J38-Uzman_D!$H$4),J38-Uzman_D!$H$4)*0.1+IF(K38-Uzman_D!$I$4&lt;0,-(K38-Uzman_D!$I$4),K38-Uzman_D!$I$4)*0.1+IF(L38-Uzman_D!$J$4&lt;0,-(L38-Uzman_D!$J$4),L38-Uzman_D!$J$4)*0.1)+IF(ROUND((IF(N38-Uzman_D!$L$4&lt;0,-(N38-Uzman_D!$L$4),N38-Uzman_D!$L$4)*2),0)/2=IF(N38-Uzman_D!$L$4&lt;0,-(N38-Uzman_D!$L$4),N38-Uzman_D!$L$4),(ROUND((IF(N38-Uzman_D!$L$4&lt;0,-(N38-Uzman_D!$L$4),N38-Uzman_D!$L$4)*2),0)/1*0.1),0)+IF(O38-Uzman_D!$M$4&lt;0,-(O38-Uzman_D!$M$4),O38-Uzman_D!$M$4)*1)</f>
        <v>0.19999999999999996</v>
      </c>
      <c r="Q38" s="56"/>
      <c r="R38" s="56">
        <v>2</v>
      </c>
      <c r="S38" s="56">
        <v>1</v>
      </c>
      <c r="T38" s="56">
        <v>2</v>
      </c>
      <c r="U38" s="56">
        <v>1</v>
      </c>
      <c r="V38" s="56">
        <v>1</v>
      </c>
      <c r="W38" s="56"/>
      <c r="X38" s="56"/>
      <c r="Y38" s="56"/>
      <c r="Z38" s="56"/>
      <c r="AA38" s="70">
        <v>2</v>
      </c>
      <c r="AB38" s="70">
        <v>0.2</v>
      </c>
      <c r="AC38" s="71">
        <f>1-(SUM(IF(Q38-Uzman_D!$B$5&lt;0,-(Q38-Uzman_D!$B$5),Q38-Uzman_D!$B$5)*0.1+IF(R38-Uzman_D!$C$5&lt;0,-(R38-Uzman_D!$C$5),R38-Uzman_D!$C$5)*0.1+IF(S38-Uzman_D!$D$5&lt;0,-(S38-Uzman_D!$D$5),S38-Uzman_D!$D$5)*0.1+IF(T38-Uzman_D!$E$5&lt;0,-(T38-Uzman_D!$E$5),T38-Uzman_D!$E$5)*0.1+IF(U38-Uzman_D!$F$5&lt;0,-(U38-Uzman_D!$F$5),U38-Uzman_D!$F$5)*0.1+IF(V38-Uzman_D!$G$5&lt;0,-(V38-Uzman_D!$G$5),V38-Uzman_D!$G$5)*0.1+IF(W38-Uzman_D!$H$5&lt;0,-(W38-Uzman_D!$H$5),W38-Uzman_D!$H$5)*0.1+IF(X38-Uzman_D!$I$5&lt;0,-(X38-Uzman_D!$I$5),X38-Uzman_D!$I$5)*0.1+IF(Y38-Uzman_D!$J$5&lt;0,-(Y38-Uzman_D!$J$5),Y38-Uzman_D!$J$5)*0.1)+IF(ROUND((IF(AA38-Uzman_D!$L$5&lt;0,-(AA38-Uzman_D!$L$5),AA38-Uzman_D!$L$5)*2),0)/2=IF(AA38-Uzman_D!$L$5&lt;0,-(AA38-Uzman_D!$L$5),AA38-Uzman_D!$L$5),(ROUND((IF(AA38-Uzman_D!$L$5&lt;0,-(AA38-Uzman_D!$L$5),AA38-Uzman_D!$L$5)*2),0)/1*0.1),0)+IF(AB38-Uzman_D!$M$5&lt;0,-(AB38-Uzman_D!$M$5),AB38-Uzman_D!$M$5)*1)</f>
        <v>0.5</v>
      </c>
      <c r="AD38" s="56"/>
      <c r="AE38" s="56">
        <v>3</v>
      </c>
      <c r="AF38" s="56">
        <v>2</v>
      </c>
      <c r="AG38" s="56">
        <v>2</v>
      </c>
      <c r="AH38" s="56">
        <v>1</v>
      </c>
      <c r="AI38" s="56"/>
      <c r="AJ38" s="56"/>
      <c r="AK38" s="56"/>
      <c r="AL38" s="56"/>
      <c r="AM38" s="56"/>
      <c r="AN38" s="70">
        <v>2</v>
      </c>
      <c r="AO38" s="70">
        <v>0.1</v>
      </c>
      <c r="AP38" s="71">
        <f>1-(SUM(IF(AD38-Uzman_D!$B$6&lt;0,-(AD38-Uzman_D!$B$6),AD38-Uzman_D!$B$6)*0.1+IF(AE38-Uzman_D!$C$6&lt;0,-(AE38-Uzman_D!$C$6),AE38-Uzman_D!$C$6)*0.1+IF(AF38-Uzman_D!$D$6&lt;0,-(AF38-Uzman_D!$D$6),AF38-Uzman_D!$D$6)*0.1+IF(AG38-Uzman_D!$E$6&lt;0,-(AG38-Uzman_D!$E$6),AG38-Uzman_D!$E$6)*0.1+IF(AH38-Uzman_D!$F$6&lt;0,-(AH38-Uzman_D!$F$6),AH38-Uzman_D!$F$6)*0.1+IF(AI38-Uzman_D!$G$6&lt;0,-(AI38-Uzman_D!$G$6),AI38-Uzman_D!$G$6)*0.1+IF(AJ38-Uzman_D!$H$6&lt;0,-(AJ38-Uzman_D!$H$6),AJ38-Uzman_D!$H$6)*0.1+IF(AK38-Uzman_D!$I$6&lt;0,-(AK38-Uzman_D!$I$6),AK38-Uzman_D!$I$6)*0.1+IF(AL38-Uzman_D!$J$6&lt;0,-(AL38-Uzman_D!$J$6),AL38-Uzman_D!$J$6)*0.1)+IF(ROUND((IF(AN38-Uzman_D!$L$6&lt;0,-(AN38-Uzman_D!$L$6),AN38-Uzman_D!$L$6)*2),0)/2=IF(AN38-Uzman_D!$L$6&lt;0,-(AN38-Uzman_D!$L$6),AN38-Uzman_D!$L$6),(ROUND((IF(AN38-Uzman_D!$L$6&lt;0,-(AN38-Uzman_D!$L$6),AN38-Uzman_D!$L$6)*2),0)/1*0.1),0)+IF(AO38-Uzman_D!$M$6&lt;0,-(AO38-Uzman_D!$M$6),AO38-Uzman_D!$M$6)*1)</f>
        <v>0.4</v>
      </c>
      <c r="AQ38" s="56"/>
      <c r="AR38" s="56">
        <v>2</v>
      </c>
      <c r="AS38" s="56"/>
      <c r="AT38" s="56">
        <v>3</v>
      </c>
      <c r="AU38" s="56">
        <v>1</v>
      </c>
      <c r="AV38" s="56">
        <v>2</v>
      </c>
      <c r="AW38" s="56"/>
      <c r="AX38" s="56"/>
      <c r="AY38" s="56"/>
      <c r="AZ38" s="56"/>
      <c r="BA38" s="70">
        <v>2</v>
      </c>
      <c r="BB38" s="70">
        <v>0.5</v>
      </c>
      <c r="BC38" s="71">
        <f>1-(SUM(IF(AQ38-Uzman_D!$B$7&lt;0,-(AQ38-Uzman_D!$B$7),AQ38-Uzman_D!$B$7)*0.1+IF(AR38-Uzman_D!$C$7&lt;0,-(AR38-Uzman_D!$C$7),AR38-Uzman_D!$C$7)*0.1+IF(AS38-Uzman_D!$D$7&lt;0,-(AS38-Uzman_D!$D$7),AS38-Uzman_D!$D$7)*0.1+IF(AT38-Uzman_D!$E$7&lt;0,-(AT38-Uzman_D!$E$7),AT38-Uzman_D!$E$7)*0.1+IF(AU38-Uzman_D!$F$7&lt;0,-(AU38-Uzman_D!$F$7),AU38-Uzman_D!$F$7)*0.1+IF(AV38-Uzman_D!$G$7&lt;0,-(AV38-Uzman_D!$G$7),AV38-Uzman_D!$G$7)*0.1+IF(AW38-Uzman_D!$H$7&lt;0,-(AW38-Uzman_D!$H$7),AW38-Uzman_D!$H$7)*0.1+IF(AX38-Uzman_D!$I$7&lt;0,-(AX38-Uzman_D!$I$7),AX38-Uzman_D!$I$7)*0.1+IF(AY38-Uzman_D!$J$7&lt;0,-(AY38-Uzman_D!$J$7),AY38-Uzman_D!$J$7)*0.1)+IF(ROUND((IF(BA38-Uzman_D!$L$7&lt;0,-(BA38-Uzman_D!$L$7),BA38-Uzman_D!$L$7)*2),0)/2=IF(BA38-Uzman_D!$L$7&lt;0,-(BA38-Uzman_D!$L$7),BA38-Uzman_D!$L$7),(ROUND((IF(BA38-Uzman_D!$L$7&lt;0,-(BA38-Uzman_D!$L$7),BA38-Uzman_D!$L$7)*2),0)/1*0.1),0)+IF(BB38-Uzman_D!$M$7&lt;0,-(BB38-Uzman_D!$M$7),BB38-Uzman_D!$M$7)*1)</f>
        <v>0.4</v>
      </c>
      <c r="BD38" s="56"/>
      <c r="BE38" s="56">
        <v>1</v>
      </c>
      <c r="BF38" s="56"/>
      <c r="BG38" s="56">
        <v>4</v>
      </c>
      <c r="BH38" s="56">
        <v>1</v>
      </c>
      <c r="BI38" s="56">
        <v>2</v>
      </c>
      <c r="BJ38" s="56"/>
      <c r="BK38" s="56"/>
      <c r="BL38" s="56"/>
      <c r="BM38" s="56"/>
      <c r="BN38" s="70">
        <v>2</v>
      </c>
      <c r="BO38" s="70">
        <v>0.5</v>
      </c>
      <c r="BP38" s="71">
        <f>1-(SUM(IF(BD38-Uzman_D!$B$8&lt;0,-(BD38-Uzman_D!$B$8),BD38-Uzman_D!$B$8)*0.1+IF(BE38-Uzman_D!$C$8&lt;0,-(BE38-Uzman_D!$C$8),BE38-Uzman_D!$C$8)*0.1+IF(BF38-Uzman_D!$D$8&lt;0,-(BF38-Uzman_D!$D$8),BF38-Uzman_D!$D$8)*0.1+IF(BG38-Uzman_D!$E$8&lt;0,-(BG38-Uzman_D!$E$8),BG38-Uzman_D!$E$8)*0.1+IF(BH38-Uzman_D!$F$8&lt;0,-(BH38-Uzman_D!$F$8),BH38-Uzman_D!$F$8)*0.1+IF(BI38-Uzman_D!$G$8&lt;0,-(BI38-Uzman_D!$G$8),BI38-Uzman_D!$G$8)*0.1+IF(BJ38-Uzman_D!$H$8&lt;0,-(BJ38-Uzman_D!$H$8),BJ38-Uzman_D!$H$8)*0.1+IF(BK38-Uzman_D!$I$8&lt;0,-(BK38-Uzman_D!$I$8),BK38-Uzman_D!$I$8)*0.1+IF(BL38-Uzman_D!$J$8&lt;0,-(BL38-Uzman_D!$J$8),BL38-Uzman_D!$J$8)*0.1)+IF(ROUND((IF(BN38-Uzman_D!$L$8&lt;0,-(BN38-Uzman_D!$L$8),BN38-Uzman_D!$L$8)*2),0)/2=IF(BN38-Uzman_D!$L$8&lt;0,-(BN38-Uzman_D!$L$8),BN38-Uzman_D!$L$8),(ROUND((IF(BN38-Uzman_D!$L$8&lt;0,-(BN38-Uzman_D!$L$8),BN38-Uzman_D!$L$8)*2),0)/1*0.1),0)+IF(BO38-Uzman_D!$M$8&lt;0,-(BO38-Uzman_D!$M$8),BO38-Uzman_D!$M$8)*1)</f>
        <v>0.29999999999999993</v>
      </c>
      <c r="BQ38" s="72">
        <f t="shared" si="1"/>
        <v>0.36</v>
      </c>
    </row>
    <row r="39" spans="1:69" ht="15" customHeight="1" x14ac:dyDescent="0.45">
      <c r="A39" s="54">
        <v>36</v>
      </c>
      <c r="B39" s="162" t="str">
        <f>Hakemler!B39</f>
        <v>KARAHAN</v>
      </c>
      <c r="C39" s="162" t="str">
        <f>Hakemler!C39</f>
        <v>NESRİN</v>
      </c>
      <c r="D39" s="56">
        <v>2</v>
      </c>
      <c r="E39" s="56">
        <v>2</v>
      </c>
      <c r="F39" s="56">
        <v>1</v>
      </c>
      <c r="G39" s="56">
        <v>3</v>
      </c>
      <c r="H39" s="56"/>
      <c r="I39" s="56"/>
      <c r="J39" s="56"/>
      <c r="K39" s="56"/>
      <c r="L39" s="56"/>
      <c r="M39" s="56"/>
      <c r="N39" s="70">
        <v>1</v>
      </c>
      <c r="O39" s="70">
        <v>0</v>
      </c>
      <c r="P39" s="71">
        <f>1-(SUM(IF(D39-Uzman_D!$B$4&lt;0,-(D39-Uzman_D!$B$4),D39-Uzman_D!$B$4)*0.1+IF(E39-Uzman_D!$C$4&lt;0,-(E39-Uzman_D!$C$4),E39-Uzman_D!$C$4)*0.1+IF(F39-Uzman_D!$D$4&lt;0,-(F39-Uzman_D!$D$4),F39-Uzman_D!$D$4)*0.1+IF(G39-Uzman_D!$E$4&lt;0,-(G39-Uzman_D!$E$4),G39-Uzman_D!$E$4)*0.1+IF(H39-Uzman_D!$F$4&lt;0,-(H39-Uzman_D!$F$4),H39-Uzman_D!$F$4)*0.1+IF(I39-Uzman_D!$G$4&lt;0,-(I39-Uzman_D!$G$4),I39-Uzman_D!$G$4)*0.1+IF(J39-Uzman_D!$H$4&lt;0,-(J39-Uzman_D!$H$4),J39-Uzman_D!$H$4)*0.1+IF(K39-Uzman_D!$I$4&lt;0,-(K39-Uzman_D!$I$4),K39-Uzman_D!$I$4)*0.1+IF(L39-Uzman_D!$J$4&lt;0,-(L39-Uzman_D!$J$4),L39-Uzman_D!$J$4)*0.1)+IF(ROUND((IF(N39-Uzman_D!$L$4&lt;0,-(N39-Uzman_D!$L$4),N39-Uzman_D!$L$4)*2),0)/2=IF(N39-Uzman_D!$L$4&lt;0,-(N39-Uzman_D!$L$4),N39-Uzman_D!$L$4),(ROUND((IF(N39-Uzman_D!$L$4&lt;0,-(N39-Uzman_D!$L$4),N39-Uzman_D!$L$4)*2),0)/1*0.1),0)+IF(O39-Uzman_D!$M$4&lt;0,-(O39-Uzman_D!$M$4),O39-Uzman_D!$M$4)*1)</f>
        <v>0.19999999999999996</v>
      </c>
      <c r="Q39" s="56"/>
      <c r="R39" s="56">
        <v>2</v>
      </c>
      <c r="S39" s="56">
        <v>2</v>
      </c>
      <c r="T39" s="56">
        <v>2</v>
      </c>
      <c r="U39" s="56">
        <v>2</v>
      </c>
      <c r="V39" s="56"/>
      <c r="W39" s="56"/>
      <c r="X39" s="56"/>
      <c r="Y39" s="56"/>
      <c r="Z39" s="56"/>
      <c r="AA39" s="70">
        <v>1.5</v>
      </c>
      <c r="AB39" s="70">
        <v>0.1</v>
      </c>
      <c r="AC39" s="71">
        <f>1-(SUM(IF(Q39-Uzman_D!$B$5&lt;0,-(Q39-Uzman_D!$B$5),Q39-Uzman_D!$B$5)*0.1+IF(R39-Uzman_D!$C$5&lt;0,-(R39-Uzman_D!$C$5),R39-Uzman_D!$C$5)*0.1+IF(S39-Uzman_D!$D$5&lt;0,-(S39-Uzman_D!$D$5),S39-Uzman_D!$D$5)*0.1+IF(T39-Uzman_D!$E$5&lt;0,-(T39-Uzman_D!$E$5),T39-Uzman_D!$E$5)*0.1+IF(U39-Uzman_D!$F$5&lt;0,-(U39-Uzman_D!$F$5),U39-Uzman_D!$F$5)*0.1+IF(V39-Uzman_D!$G$5&lt;0,-(V39-Uzman_D!$G$5),V39-Uzman_D!$G$5)*0.1+IF(W39-Uzman_D!$H$5&lt;0,-(W39-Uzman_D!$H$5),W39-Uzman_D!$H$5)*0.1+IF(X39-Uzman_D!$I$5&lt;0,-(X39-Uzman_D!$I$5),X39-Uzman_D!$I$5)*0.1+IF(Y39-Uzman_D!$J$5&lt;0,-(Y39-Uzman_D!$J$5),Y39-Uzman_D!$J$5)*0.1)+IF(ROUND((IF(AA39-Uzman_D!$L$5&lt;0,-(AA39-Uzman_D!$L$5),AA39-Uzman_D!$L$5)*2),0)/2=IF(AA39-Uzman_D!$L$5&lt;0,-(AA39-Uzman_D!$L$5),AA39-Uzman_D!$L$5),(ROUND((IF(AA39-Uzman_D!$L$5&lt;0,-(AA39-Uzman_D!$L$5),AA39-Uzman_D!$L$5)*2),0)/1*0.1),0)+IF(AB39-Uzman_D!$M$5&lt;0,-(AB39-Uzman_D!$M$5),AB39-Uzman_D!$M$5)*1)</f>
        <v>0.19999999999999996</v>
      </c>
      <c r="AD39" s="56">
        <v>2</v>
      </c>
      <c r="AE39" s="56">
        <v>1</v>
      </c>
      <c r="AF39" s="56">
        <v>3</v>
      </c>
      <c r="AG39" s="56">
        <v>2</v>
      </c>
      <c r="AH39" s="56"/>
      <c r="AI39" s="56"/>
      <c r="AJ39" s="56"/>
      <c r="AK39" s="56"/>
      <c r="AL39" s="56"/>
      <c r="AM39" s="56"/>
      <c r="AN39" s="70">
        <v>1</v>
      </c>
      <c r="AO39" s="70">
        <v>0.1</v>
      </c>
      <c r="AP39" s="71">
        <f>1-(SUM(IF(AD39-Uzman_D!$B$6&lt;0,-(AD39-Uzman_D!$B$6),AD39-Uzman_D!$B$6)*0.1+IF(AE39-Uzman_D!$C$6&lt;0,-(AE39-Uzman_D!$C$6),AE39-Uzman_D!$C$6)*0.1+IF(AF39-Uzman_D!$D$6&lt;0,-(AF39-Uzman_D!$D$6),AF39-Uzman_D!$D$6)*0.1+IF(AG39-Uzman_D!$E$6&lt;0,-(AG39-Uzman_D!$E$6),AG39-Uzman_D!$E$6)*0.1+IF(AH39-Uzman_D!$F$6&lt;0,-(AH39-Uzman_D!$F$6),AH39-Uzman_D!$F$6)*0.1+IF(AI39-Uzman_D!$G$6&lt;0,-(AI39-Uzman_D!$G$6),AI39-Uzman_D!$G$6)*0.1+IF(AJ39-Uzman_D!$H$6&lt;0,-(AJ39-Uzman_D!$H$6),AJ39-Uzman_D!$H$6)*0.1+IF(AK39-Uzman_D!$I$6&lt;0,-(AK39-Uzman_D!$I$6),AK39-Uzman_D!$I$6)*0.1+IF(AL39-Uzman_D!$J$6&lt;0,-(AL39-Uzman_D!$J$6),AL39-Uzman_D!$J$6)*0.1)+IF(ROUND((IF(AN39-Uzman_D!$L$6&lt;0,-(AN39-Uzman_D!$L$6),AN39-Uzman_D!$L$6)*2),0)/2=IF(AN39-Uzman_D!$L$6&lt;0,-(AN39-Uzman_D!$L$6),AN39-Uzman_D!$L$6),(ROUND((IF(AN39-Uzman_D!$L$6&lt;0,-(AN39-Uzman_D!$L$6),AN39-Uzman_D!$L$6)*2),0)/1*0.1),0)+IF(AO39-Uzman_D!$M$6&lt;0,-(AO39-Uzman_D!$M$6),AO39-Uzman_D!$M$6)*1)</f>
        <v>0.20000000000000007</v>
      </c>
      <c r="AQ39" s="56"/>
      <c r="AR39" s="56"/>
      <c r="AS39" s="56"/>
      <c r="AT39" s="56">
        <v>4</v>
      </c>
      <c r="AU39" s="56">
        <v>3</v>
      </c>
      <c r="AV39" s="56">
        <v>1</v>
      </c>
      <c r="AW39" s="56"/>
      <c r="AX39" s="56"/>
      <c r="AY39" s="56"/>
      <c r="AZ39" s="56"/>
      <c r="BA39" s="70">
        <v>2</v>
      </c>
      <c r="BB39" s="70">
        <v>0.3</v>
      </c>
      <c r="BC39" s="71">
        <f>1-(SUM(IF(AQ39-Uzman_D!$B$7&lt;0,-(AQ39-Uzman_D!$B$7),AQ39-Uzman_D!$B$7)*0.1+IF(AR39-Uzman_D!$C$7&lt;0,-(AR39-Uzman_D!$C$7),AR39-Uzman_D!$C$7)*0.1+IF(AS39-Uzman_D!$D$7&lt;0,-(AS39-Uzman_D!$D$7),AS39-Uzman_D!$D$7)*0.1+IF(AT39-Uzman_D!$E$7&lt;0,-(AT39-Uzman_D!$E$7),AT39-Uzman_D!$E$7)*0.1+IF(AU39-Uzman_D!$F$7&lt;0,-(AU39-Uzman_D!$F$7),AU39-Uzman_D!$F$7)*0.1+IF(AV39-Uzman_D!$G$7&lt;0,-(AV39-Uzman_D!$G$7),AV39-Uzman_D!$G$7)*0.1+IF(AW39-Uzman_D!$H$7&lt;0,-(AW39-Uzman_D!$H$7),AW39-Uzman_D!$H$7)*0.1+IF(AX39-Uzman_D!$I$7&lt;0,-(AX39-Uzman_D!$I$7),AX39-Uzman_D!$I$7)*0.1+IF(AY39-Uzman_D!$J$7&lt;0,-(AY39-Uzman_D!$J$7),AY39-Uzman_D!$J$7)*0.1)+IF(ROUND((IF(BA39-Uzman_D!$L$7&lt;0,-(BA39-Uzman_D!$L$7),BA39-Uzman_D!$L$7)*2),0)/2=IF(BA39-Uzman_D!$L$7&lt;0,-(BA39-Uzman_D!$L$7),BA39-Uzman_D!$L$7),(ROUND((IF(BA39-Uzman_D!$L$7&lt;0,-(BA39-Uzman_D!$L$7),BA39-Uzman_D!$L$7)*2),0)/1*0.1),0)+IF(BB39-Uzman_D!$M$7&lt;0,-(BB39-Uzman_D!$M$7),BB39-Uzman_D!$M$7)*1)</f>
        <v>0.6</v>
      </c>
      <c r="BD39" s="56"/>
      <c r="BE39" s="56"/>
      <c r="BF39" s="56">
        <v>2</v>
      </c>
      <c r="BG39" s="56">
        <v>4</v>
      </c>
      <c r="BH39" s="56">
        <v>2</v>
      </c>
      <c r="BI39" s="56"/>
      <c r="BJ39" s="56"/>
      <c r="BK39" s="56"/>
      <c r="BL39" s="56"/>
      <c r="BM39" s="56"/>
      <c r="BN39" s="70">
        <v>2</v>
      </c>
      <c r="BO39" s="70">
        <v>0.3</v>
      </c>
      <c r="BP39" s="71">
        <f>1-(SUM(IF(BD39-Uzman_D!$B$8&lt;0,-(BD39-Uzman_D!$B$8),BD39-Uzman_D!$B$8)*0.1+IF(BE39-Uzman_D!$C$8&lt;0,-(BE39-Uzman_D!$C$8),BE39-Uzman_D!$C$8)*0.1+IF(BF39-Uzman_D!$D$8&lt;0,-(BF39-Uzman_D!$D$8),BF39-Uzman_D!$D$8)*0.1+IF(BG39-Uzman_D!$E$8&lt;0,-(BG39-Uzman_D!$E$8),BG39-Uzman_D!$E$8)*0.1+IF(BH39-Uzman_D!$F$8&lt;0,-(BH39-Uzman_D!$F$8),BH39-Uzman_D!$F$8)*0.1+IF(BI39-Uzman_D!$G$8&lt;0,-(BI39-Uzman_D!$G$8),BI39-Uzman_D!$G$8)*0.1+IF(BJ39-Uzman_D!$H$8&lt;0,-(BJ39-Uzman_D!$H$8),BJ39-Uzman_D!$H$8)*0.1+IF(BK39-Uzman_D!$I$8&lt;0,-(BK39-Uzman_D!$I$8),BK39-Uzman_D!$I$8)*0.1+IF(BL39-Uzman_D!$J$8&lt;0,-(BL39-Uzman_D!$J$8),BL39-Uzman_D!$J$8)*0.1)+IF(ROUND((IF(BN39-Uzman_D!$L$8&lt;0,-(BN39-Uzman_D!$L$8),BN39-Uzman_D!$L$8)*2),0)/2=IF(BN39-Uzman_D!$L$8&lt;0,-(BN39-Uzman_D!$L$8),BN39-Uzman_D!$L$8),(ROUND((IF(BN39-Uzman_D!$L$8&lt;0,-(BN39-Uzman_D!$L$8),BN39-Uzman_D!$L$8)*2),0)/1*0.1),0)+IF(BO39-Uzman_D!$M$8&lt;0,-(BO39-Uzman_D!$M$8),BO39-Uzman_D!$M$8)*1)</f>
        <v>-0.10000000000000009</v>
      </c>
      <c r="BQ39" s="72">
        <f t="shared" si="1"/>
        <v>0.21999999999999997</v>
      </c>
    </row>
    <row r="40" spans="1:69" ht="15" customHeight="1" x14ac:dyDescent="0.45">
      <c r="A40" s="54">
        <v>37</v>
      </c>
      <c r="B40" s="163" t="str">
        <f>Hakemler!B40</f>
        <v>ALTAY</v>
      </c>
      <c r="C40" s="163" t="str">
        <f>Hakemler!C40</f>
        <v>SERDİNÇ</v>
      </c>
      <c r="D40" s="56">
        <v>4</v>
      </c>
      <c r="E40" s="56">
        <v>1</v>
      </c>
      <c r="F40" s="56">
        <v>2</v>
      </c>
      <c r="G40" s="56">
        <v>1</v>
      </c>
      <c r="H40" s="56"/>
      <c r="I40" s="56"/>
      <c r="J40" s="56"/>
      <c r="K40" s="56"/>
      <c r="L40" s="56"/>
      <c r="M40" s="56"/>
      <c r="N40" s="70">
        <v>1.5</v>
      </c>
      <c r="O40" s="70">
        <v>0</v>
      </c>
      <c r="P40" s="71">
        <f>1-(SUM(IF(D40-Uzman_D!$B$4&lt;0,-(D40-Uzman_D!$B$4),D40-Uzman_D!$B$4)*0.1+IF(E40-Uzman_D!$C$4&lt;0,-(E40-Uzman_D!$C$4),E40-Uzman_D!$C$4)*0.1+IF(F40-Uzman_D!$D$4&lt;0,-(F40-Uzman_D!$D$4),F40-Uzman_D!$D$4)*0.1+IF(G40-Uzman_D!$E$4&lt;0,-(G40-Uzman_D!$E$4),G40-Uzman_D!$E$4)*0.1+IF(H40-Uzman_D!$F$4&lt;0,-(H40-Uzman_D!$F$4),H40-Uzman_D!$F$4)*0.1+IF(I40-Uzman_D!$G$4&lt;0,-(I40-Uzman_D!$G$4),I40-Uzman_D!$G$4)*0.1+IF(J40-Uzman_D!$H$4&lt;0,-(J40-Uzman_D!$H$4),J40-Uzman_D!$H$4)*0.1+IF(K40-Uzman_D!$I$4&lt;0,-(K40-Uzman_D!$I$4),K40-Uzman_D!$I$4)*0.1+IF(L40-Uzman_D!$J$4&lt;0,-(L40-Uzman_D!$J$4),L40-Uzman_D!$J$4)*0.1)+IF(ROUND((IF(N40-Uzman_D!$L$4&lt;0,-(N40-Uzman_D!$L$4),N40-Uzman_D!$L$4)*2),0)/2=IF(N40-Uzman_D!$L$4&lt;0,-(N40-Uzman_D!$L$4),N40-Uzman_D!$L$4),(ROUND((IF(N40-Uzman_D!$L$4&lt;0,-(N40-Uzman_D!$L$4),N40-Uzman_D!$L$4)*2),0)/1*0.1),0)+IF(O40-Uzman_D!$M$4&lt;0,-(O40-Uzman_D!$M$4),O40-Uzman_D!$M$4)*1)</f>
        <v>0.29999999999999993</v>
      </c>
      <c r="Q40" s="56">
        <v>2</v>
      </c>
      <c r="R40" s="56">
        <v>1</v>
      </c>
      <c r="S40" s="56">
        <v>3</v>
      </c>
      <c r="T40" s="56">
        <v>1</v>
      </c>
      <c r="U40" s="56">
        <v>1</v>
      </c>
      <c r="V40" s="56"/>
      <c r="W40" s="56"/>
      <c r="X40" s="56"/>
      <c r="Y40" s="56"/>
      <c r="Z40" s="56"/>
      <c r="AA40" s="70">
        <v>1.5</v>
      </c>
      <c r="AB40" s="70">
        <v>0</v>
      </c>
      <c r="AC40" s="71">
        <f>1-(SUM(IF(Q40-Uzman_D!$B$5&lt;0,-(Q40-Uzman_D!$B$5),Q40-Uzman_D!$B$5)*0.1+IF(R40-Uzman_D!$C$5&lt;0,-(R40-Uzman_D!$C$5),R40-Uzman_D!$C$5)*0.1+IF(S40-Uzman_D!$D$5&lt;0,-(S40-Uzman_D!$D$5),S40-Uzman_D!$D$5)*0.1+IF(T40-Uzman_D!$E$5&lt;0,-(T40-Uzman_D!$E$5),T40-Uzman_D!$E$5)*0.1+IF(U40-Uzman_D!$F$5&lt;0,-(U40-Uzman_D!$F$5),U40-Uzman_D!$F$5)*0.1+IF(V40-Uzman_D!$G$5&lt;0,-(V40-Uzman_D!$G$5),V40-Uzman_D!$G$5)*0.1+IF(W40-Uzman_D!$H$5&lt;0,-(W40-Uzman_D!$H$5),W40-Uzman_D!$H$5)*0.1+IF(X40-Uzman_D!$I$5&lt;0,-(X40-Uzman_D!$I$5),X40-Uzman_D!$I$5)*0.1+IF(Y40-Uzman_D!$J$5&lt;0,-(Y40-Uzman_D!$J$5),Y40-Uzman_D!$J$5)*0.1)+IF(ROUND((IF(AA40-Uzman_D!$L$5&lt;0,-(AA40-Uzman_D!$L$5),AA40-Uzman_D!$L$5)*2),0)/2=IF(AA40-Uzman_D!$L$5&lt;0,-(AA40-Uzman_D!$L$5),AA40-Uzman_D!$L$5),(ROUND((IF(AA40-Uzman_D!$L$5&lt;0,-(AA40-Uzman_D!$L$5),AA40-Uzman_D!$L$5)*2),0)/1*0.1),0)+IF(AB40-Uzman_D!$M$5&lt;0,-(AB40-Uzman_D!$M$5),AB40-Uzman_D!$M$5)*1)</f>
        <v>-0.30000000000000027</v>
      </c>
      <c r="AD40" s="56">
        <v>1</v>
      </c>
      <c r="AE40" s="56">
        <v>3</v>
      </c>
      <c r="AF40" s="56">
        <v>5</v>
      </c>
      <c r="AG40" s="56"/>
      <c r="AH40" s="56"/>
      <c r="AI40" s="56"/>
      <c r="AJ40" s="56"/>
      <c r="AK40" s="56"/>
      <c r="AL40" s="56"/>
      <c r="AM40" s="56"/>
      <c r="AN40" s="70">
        <v>1</v>
      </c>
      <c r="AO40" s="70">
        <v>0</v>
      </c>
      <c r="AP40" s="71">
        <f>1-(SUM(IF(AD40-Uzman_D!$B$6&lt;0,-(AD40-Uzman_D!$B$6),AD40-Uzman_D!$B$6)*0.1+IF(AE40-Uzman_D!$C$6&lt;0,-(AE40-Uzman_D!$C$6),AE40-Uzman_D!$C$6)*0.1+IF(AF40-Uzman_D!$D$6&lt;0,-(AF40-Uzman_D!$D$6),AF40-Uzman_D!$D$6)*0.1+IF(AG40-Uzman_D!$E$6&lt;0,-(AG40-Uzman_D!$E$6),AG40-Uzman_D!$E$6)*0.1+IF(AH40-Uzman_D!$F$6&lt;0,-(AH40-Uzman_D!$F$6),AH40-Uzman_D!$F$6)*0.1+IF(AI40-Uzman_D!$G$6&lt;0,-(AI40-Uzman_D!$G$6),AI40-Uzman_D!$G$6)*0.1+IF(AJ40-Uzman_D!$H$6&lt;0,-(AJ40-Uzman_D!$H$6),AJ40-Uzman_D!$H$6)*0.1+IF(AK40-Uzman_D!$I$6&lt;0,-(AK40-Uzman_D!$I$6),AK40-Uzman_D!$I$6)*0.1+IF(AL40-Uzman_D!$J$6&lt;0,-(AL40-Uzman_D!$J$6),AL40-Uzman_D!$J$6)*0.1)+IF(ROUND((IF(AN40-Uzman_D!$L$6&lt;0,-(AN40-Uzman_D!$L$6),AN40-Uzman_D!$L$6)*2),0)/2=IF(AN40-Uzman_D!$L$6&lt;0,-(AN40-Uzman_D!$L$6),AN40-Uzman_D!$L$6),(ROUND((IF(AN40-Uzman_D!$L$6&lt;0,-(AN40-Uzman_D!$L$6),AN40-Uzman_D!$L$6)*2),0)/1*0.1),0)+IF(AO40-Uzman_D!$M$6&lt;0,-(AO40-Uzman_D!$M$6),AO40-Uzman_D!$M$6)*1)</f>
        <v>0.6</v>
      </c>
      <c r="AQ40" s="56"/>
      <c r="AR40" s="56"/>
      <c r="AS40" s="56">
        <v>4</v>
      </c>
      <c r="AT40" s="56">
        <v>2</v>
      </c>
      <c r="AU40" s="56">
        <v>2</v>
      </c>
      <c r="AV40" s="56"/>
      <c r="AW40" s="56"/>
      <c r="AX40" s="56"/>
      <c r="AY40" s="56"/>
      <c r="AZ40" s="56"/>
      <c r="BA40" s="70">
        <v>2</v>
      </c>
      <c r="BB40" s="70">
        <v>0</v>
      </c>
      <c r="BC40" s="71">
        <f>1-(SUM(IF(AQ40-Uzman_D!$B$7&lt;0,-(AQ40-Uzman_D!$B$7),AQ40-Uzman_D!$B$7)*0.1+IF(AR40-Uzman_D!$C$7&lt;0,-(AR40-Uzman_D!$C$7),AR40-Uzman_D!$C$7)*0.1+IF(AS40-Uzman_D!$D$7&lt;0,-(AS40-Uzman_D!$D$7),AS40-Uzman_D!$D$7)*0.1+IF(AT40-Uzman_D!$E$7&lt;0,-(AT40-Uzman_D!$E$7),AT40-Uzman_D!$E$7)*0.1+IF(AU40-Uzman_D!$F$7&lt;0,-(AU40-Uzman_D!$F$7),AU40-Uzman_D!$F$7)*0.1+IF(AV40-Uzman_D!$G$7&lt;0,-(AV40-Uzman_D!$G$7),AV40-Uzman_D!$G$7)*0.1+IF(AW40-Uzman_D!$H$7&lt;0,-(AW40-Uzman_D!$H$7),AW40-Uzman_D!$H$7)*0.1+IF(AX40-Uzman_D!$I$7&lt;0,-(AX40-Uzman_D!$I$7),AX40-Uzman_D!$I$7)*0.1+IF(AY40-Uzman_D!$J$7&lt;0,-(AY40-Uzman_D!$J$7),AY40-Uzman_D!$J$7)*0.1)+IF(ROUND((IF(BA40-Uzman_D!$L$7&lt;0,-(BA40-Uzman_D!$L$7),BA40-Uzman_D!$L$7)*2),0)/2=IF(BA40-Uzman_D!$L$7&lt;0,-(BA40-Uzman_D!$L$7),BA40-Uzman_D!$L$7),(ROUND((IF(BA40-Uzman_D!$L$7&lt;0,-(BA40-Uzman_D!$L$7),BA40-Uzman_D!$L$7)*2),0)/1*0.1),0)+IF(BB40-Uzman_D!$M$7&lt;0,-(BB40-Uzman_D!$M$7),BB40-Uzman_D!$M$7)*1)</f>
        <v>-0.10000000000000009</v>
      </c>
      <c r="BD40" s="56"/>
      <c r="BE40" s="56"/>
      <c r="BF40" s="56">
        <v>3</v>
      </c>
      <c r="BG40" s="56">
        <v>4</v>
      </c>
      <c r="BH40" s="56">
        <v>1</v>
      </c>
      <c r="BI40" s="56"/>
      <c r="BJ40" s="56"/>
      <c r="BK40" s="56"/>
      <c r="BL40" s="56"/>
      <c r="BM40" s="56"/>
      <c r="BN40" s="70">
        <v>2</v>
      </c>
      <c r="BO40" s="70">
        <v>0.2</v>
      </c>
      <c r="BP40" s="71">
        <f>1-(SUM(IF(BD40-Uzman_D!$B$8&lt;0,-(BD40-Uzman_D!$B$8),BD40-Uzman_D!$B$8)*0.1+IF(BE40-Uzman_D!$C$8&lt;0,-(BE40-Uzman_D!$C$8),BE40-Uzman_D!$C$8)*0.1+IF(BF40-Uzman_D!$D$8&lt;0,-(BF40-Uzman_D!$D$8),BF40-Uzman_D!$D$8)*0.1+IF(BG40-Uzman_D!$E$8&lt;0,-(BG40-Uzman_D!$E$8),BG40-Uzman_D!$E$8)*0.1+IF(BH40-Uzman_D!$F$8&lt;0,-(BH40-Uzman_D!$F$8),BH40-Uzman_D!$F$8)*0.1+IF(BI40-Uzman_D!$G$8&lt;0,-(BI40-Uzman_D!$G$8),BI40-Uzman_D!$G$8)*0.1+IF(BJ40-Uzman_D!$H$8&lt;0,-(BJ40-Uzman_D!$H$8),BJ40-Uzman_D!$H$8)*0.1+IF(BK40-Uzman_D!$I$8&lt;0,-(BK40-Uzman_D!$I$8),BK40-Uzman_D!$I$8)*0.1+IF(BL40-Uzman_D!$J$8&lt;0,-(BL40-Uzman_D!$J$8),BL40-Uzman_D!$J$8)*0.1)+IF(ROUND((IF(BN40-Uzman_D!$L$8&lt;0,-(BN40-Uzman_D!$L$8),BN40-Uzman_D!$L$8)*2),0)/2=IF(BN40-Uzman_D!$L$8&lt;0,-(BN40-Uzman_D!$L$8),BN40-Uzman_D!$L$8),(ROUND((IF(BN40-Uzman_D!$L$8&lt;0,-(BN40-Uzman_D!$L$8),BN40-Uzman_D!$L$8)*2),0)/1*0.1),0)+IF(BO40-Uzman_D!$M$8&lt;0,-(BO40-Uzman_D!$M$8),BO40-Uzman_D!$M$8)*1)</f>
        <v>-0.20000000000000018</v>
      </c>
      <c r="BQ40" s="72">
        <f t="shared" si="1"/>
        <v>5.9999999999999873E-2</v>
      </c>
    </row>
    <row r="41" spans="1:69" ht="15" customHeight="1" x14ac:dyDescent="0.45">
      <c r="A41" s="54">
        <v>38</v>
      </c>
      <c r="B41" s="163" t="str">
        <f>Hakemler!B41</f>
        <v>TOPTAŞ</v>
      </c>
      <c r="C41" s="163" t="str">
        <f>Hakemler!C41</f>
        <v>BİRSEN</v>
      </c>
      <c r="D41" s="56">
        <v>1</v>
      </c>
      <c r="E41" s="56">
        <v>5</v>
      </c>
      <c r="F41" s="56">
        <v>3</v>
      </c>
      <c r="G41" s="56">
        <v>4</v>
      </c>
      <c r="H41" s="56"/>
      <c r="I41" s="56"/>
      <c r="J41" s="56"/>
      <c r="K41" s="56"/>
      <c r="L41" s="56"/>
      <c r="M41" s="56"/>
      <c r="N41" s="70">
        <v>1.5</v>
      </c>
      <c r="O41" s="70">
        <v>0</v>
      </c>
      <c r="P41" s="71">
        <f>1-(SUM(IF(D41-Uzman_D!$B$4&lt;0,-(D41-Uzman_D!$B$4),D41-Uzman_D!$B$4)*0.1+IF(E41-Uzman_D!$C$4&lt;0,-(E41-Uzman_D!$C$4),E41-Uzman_D!$C$4)*0.1+IF(F41-Uzman_D!$D$4&lt;0,-(F41-Uzman_D!$D$4),F41-Uzman_D!$D$4)*0.1+IF(G41-Uzman_D!$E$4&lt;0,-(G41-Uzman_D!$E$4),G41-Uzman_D!$E$4)*0.1+IF(H41-Uzman_D!$F$4&lt;0,-(H41-Uzman_D!$F$4),H41-Uzman_D!$F$4)*0.1+IF(I41-Uzman_D!$G$4&lt;0,-(I41-Uzman_D!$G$4),I41-Uzman_D!$G$4)*0.1+IF(J41-Uzman_D!$H$4&lt;0,-(J41-Uzman_D!$H$4),J41-Uzman_D!$H$4)*0.1+IF(K41-Uzman_D!$I$4&lt;0,-(K41-Uzman_D!$I$4),K41-Uzman_D!$I$4)*0.1+IF(L41-Uzman_D!$J$4&lt;0,-(L41-Uzman_D!$J$4),L41-Uzman_D!$J$4)*0.1)+IF(ROUND((IF(N41-Uzman_D!$L$4&lt;0,-(N41-Uzman_D!$L$4),N41-Uzman_D!$L$4)*2),0)/2=IF(N41-Uzman_D!$L$4&lt;0,-(N41-Uzman_D!$L$4),N41-Uzman_D!$L$4),(ROUND((IF(N41-Uzman_D!$L$4&lt;0,-(N41-Uzman_D!$L$4),N41-Uzman_D!$L$4)*2),0)/1*0.1),0)+IF(O41-Uzman_D!$M$4&lt;0,-(O41-Uzman_D!$M$4),O41-Uzman_D!$M$4)*1)</f>
        <v>0.4</v>
      </c>
      <c r="Q41" s="56"/>
      <c r="R41" s="56">
        <v>2</v>
      </c>
      <c r="S41" s="56"/>
      <c r="T41" s="56">
        <v>6</v>
      </c>
      <c r="U41" s="56"/>
      <c r="V41" s="56"/>
      <c r="W41" s="56"/>
      <c r="X41" s="56"/>
      <c r="Y41" s="56"/>
      <c r="Z41" s="56"/>
      <c r="AA41" s="70">
        <v>2</v>
      </c>
      <c r="AB41" s="70">
        <v>0</v>
      </c>
      <c r="AC41" s="71">
        <f>1-(SUM(IF(Q41-Uzman_D!$B$5&lt;0,-(Q41-Uzman_D!$B$5),Q41-Uzman_D!$B$5)*0.1+IF(R41-Uzman_D!$C$5&lt;0,-(R41-Uzman_D!$C$5),R41-Uzman_D!$C$5)*0.1+IF(S41-Uzman_D!$D$5&lt;0,-(S41-Uzman_D!$D$5),S41-Uzman_D!$D$5)*0.1+IF(T41-Uzman_D!$E$5&lt;0,-(T41-Uzman_D!$E$5),T41-Uzman_D!$E$5)*0.1+IF(U41-Uzman_D!$F$5&lt;0,-(U41-Uzman_D!$F$5),U41-Uzman_D!$F$5)*0.1+IF(V41-Uzman_D!$G$5&lt;0,-(V41-Uzman_D!$G$5),V41-Uzman_D!$G$5)*0.1+IF(W41-Uzman_D!$H$5&lt;0,-(W41-Uzman_D!$H$5),W41-Uzman_D!$H$5)*0.1+IF(X41-Uzman_D!$I$5&lt;0,-(X41-Uzman_D!$I$5),X41-Uzman_D!$I$5)*0.1+IF(Y41-Uzman_D!$J$5&lt;0,-(Y41-Uzman_D!$J$5),Y41-Uzman_D!$J$5)*0.1)+IF(ROUND((IF(AA41-Uzman_D!$L$5&lt;0,-(AA41-Uzman_D!$L$5),AA41-Uzman_D!$L$5)*2),0)/2=IF(AA41-Uzman_D!$L$5&lt;0,-(AA41-Uzman_D!$L$5),AA41-Uzman_D!$L$5),(ROUND((IF(AA41-Uzman_D!$L$5&lt;0,-(AA41-Uzman_D!$L$5),AA41-Uzman_D!$L$5)*2),0)/1*0.1),0)+IF(AB41-Uzman_D!$M$5&lt;0,-(AB41-Uzman_D!$M$5),AB41-Uzman_D!$M$5)*1)</f>
        <v>0.39999999999999991</v>
      </c>
      <c r="AD41" s="56"/>
      <c r="AE41" s="56">
        <v>3</v>
      </c>
      <c r="AF41" s="56">
        <v>3</v>
      </c>
      <c r="AG41" s="56">
        <v>2</v>
      </c>
      <c r="AH41" s="56"/>
      <c r="AI41" s="56"/>
      <c r="AJ41" s="56"/>
      <c r="AK41" s="56"/>
      <c r="AL41" s="56"/>
      <c r="AM41" s="56"/>
      <c r="AN41" s="70">
        <v>2</v>
      </c>
      <c r="AO41" s="70">
        <v>0</v>
      </c>
      <c r="AP41" s="71">
        <f>1-(SUM(IF(AD41-Uzman_D!$B$6&lt;0,-(AD41-Uzman_D!$B$6),AD41-Uzman_D!$B$6)*0.1+IF(AE41-Uzman_D!$C$6&lt;0,-(AE41-Uzman_D!$C$6),AE41-Uzman_D!$C$6)*0.1+IF(AF41-Uzman_D!$D$6&lt;0,-(AF41-Uzman_D!$D$6),AF41-Uzman_D!$D$6)*0.1+IF(AG41-Uzman_D!$E$6&lt;0,-(AG41-Uzman_D!$E$6),AG41-Uzman_D!$E$6)*0.1+IF(AH41-Uzman_D!$F$6&lt;0,-(AH41-Uzman_D!$F$6),AH41-Uzman_D!$F$6)*0.1+IF(AI41-Uzman_D!$G$6&lt;0,-(AI41-Uzman_D!$G$6),AI41-Uzman_D!$G$6)*0.1+IF(AJ41-Uzman_D!$H$6&lt;0,-(AJ41-Uzman_D!$H$6),AJ41-Uzman_D!$H$6)*0.1+IF(AK41-Uzman_D!$I$6&lt;0,-(AK41-Uzman_D!$I$6),AK41-Uzman_D!$I$6)*0.1+IF(AL41-Uzman_D!$J$6&lt;0,-(AL41-Uzman_D!$J$6),AL41-Uzman_D!$J$6)*0.1)+IF(ROUND((IF(AN41-Uzman_D!$L$6&lt;0,-(AN41-Uzman_D!$L$6),AN41-Uzman_D!$L$6)*2),0)/2=IF(AN41-Uzman_D!$L$6&lt;0,-(AN41-Uzman_D!$L$6),AN41-Uzman_D!$L$6),(ROUND((IF(AN41-Uzman_D!$L$6&lt;0,-(AN41-Uzman_D!$L$6),AN41-Uzman_D!$L$6)*2),0)/1*0.1),0)+IF(AO41-Uzman_D!$M$6&lt;0,-(AO41-Uzman_D!$M$6),AO41-Uzman_D!$M$6)*1)</f>
        <v>0.7</v>
      </c>
      <c r="AQ41" s="56"/>
      <c r="AR41" s="56">
        <v>1</v>
      </c>
      <c r="AS41" s="56">
        <v>1</v>
      </c>
      <c r="AT41" s="56">
        <v>6</v>
      </c>
      <c r="AU41" s="56"/>
      <c r="AV41" s="56"/>
      <c r="AW41" s="56"/>
      <c r="AX41" s="56"/>
      <c r="AY41" s="56"/>
      <c r="AZ41" s="56"/>
      <c r="BA41" s="70">
        <v>2</v>
      </c>
      <c r="BB41" s="70">
        <v>0.3</v>
      </c>
      <c r="BC41" s="71">
        <f>1-(SUM(IF(AQ41-Uzman_D!$B$7&lt;0,-(AQ41-Uzman_D!$B$7),AQ41-Uzman_D!$B$7)*0.1+IF(AR41-Uzman_D!$C$7&lt;0,-(AR41-Uzman_D!$C$7),AR41-Uzman_D!$C$7)*0.1+IF(AS41-Uzman_D!$D$7&lt;0,-(AS41-Uzman_D!$D$7),AS41-Uzman_D!$D$7)*0.1+IF(AT41-Uzman_D!$E$7&lt;0,-(AT41-Uzman_D!$E$7),AT41-Uzman_D!$E$7)*0.1+IF(AU41-Uzman_D!$F$7&lt;0,-(AU41-Uzman_D!$F$7),AU41-Uzman_D!$F$7)*0.1+IF(AV41-Uzman_D!$G$7&lt;0,-(AV41-Uzman_D!$G$7),AV41-Uzman_D!$G$7)*0.1+IF(AW41-Uzman_D!$H$7&lt;0,-(AW41-Uzman_D!$H$7),AW41-Uzman_D!$H$7)*0.1+IF(AX41-Uzman_D!$I$7&lt;0,-(AX41-Uzman_D!$I$7),AX41-Uzman_D!$I$7)*0.1+IF(AY41-Uzman_D!$J$7&lt;0,-(AY41-Uzman_D!$J$7),AY41-Uzman_D!$J$7)*0.1)+IF(ROUND((IF(BA41-Uzman_D!$L$7&lt;0,-(BA41-Uzman_D!$L$7),BA41-Uzman_D!$L$7)*2),0)/2=IF(BA41-Uzman_D!$L$7&lt;0,-(BA41-Uzman_D!$L$7),BA41-Uzman_D!$L$7),(ROUND((IF(BA41-Uzman_D!$L$7&lt;0,-(BA41-Uzman_D!$L$7),BA41-Uzman_D!$L$7)*2),0)/1*0.1),0)+IF(BB41-Uzman_D!$M$7&lt;0,-(BB41-Uzman_D!$M$7),BB41-Uzman_D!$M$7)*1)</f>
        <v>0.19999999999999996</v>
      </c>
      <c r="BD41" s="56"/>
      <c r="BE41" s="56"/>
      <c r="BF41" s="56">
        <v>2</v>
      </c>
      <c r="BG41" s="56">
        <v>6</v>
      </c>
      <c r="BH41" s="56"/>
      <c r="BI41" s="56"/>
      <c r="BJ41" s="56"/>
      <c r="BK41" s="56"/>
      <c r="BL41" s="56"/>
      <c r="BM41" s="56"/>
      <c r="BN41" s="70">
        <v>2</v>
      </c>
      <c r="BO41" s="70">
        <v>0.3</v>
      </c>
      <c r="BP41" s="71">
        <f>1-(SUM(IF(BD41-Uzman_D!$B$8&lt;0,-(BD41-Uzman_D!$B$8),BD41-Uzman_D!$B$8)*0.1+IF(BE41-Uzman_D!$C$8&lt;0,-(BE41-Uzman_D!$C$8),BE41-Uzman_D!$C$8)*0.1+IF(BF41-Uzman_D!$D$8&lt;0,-(BF41-Uzman_D!$D$8),BF41-Uzman_D!$D$8)*0.1+IF(BG41-Uzman_D!$E$8&lt;0,-(BG41-Uzman_D!$E$8),BG41-Uzman_D!$E$8)*0.1+IF(BH41-Uzman_D!$F$8&lt;0,-(BH41-Uzman_D!$F$8),BH41-Uzman_D!$F$8)*0.1+IF(BI41-Uzman_D!$G$8&lt;0,-(BI41-Uzman_D!$G$8),BI41-Uzman_D!$G$8)*0.1+IF(BJ41-Uzman_D!$H$8&lt;0,-(BJ41-Uzman_D!$H$8),BJ41-Uzman_D!$H$8)*0.1+IF(BK41-Uzman_D!$I$8&lt;0,-(BK41-Uzman_D!$I$8),BK41-Uzman_D!$I$8)*0.1+IF(BL41-Uzman_D!$J$8&lt;0,-(BL41-Uzman_D!$J$8),BL41-Uzman_D!$J$8)*0.1)+IF(ROUND((IF(BN41-Uzman_D!$L$8&lt;0,-(BN41-Uzman_D!$L$8),BN41-Uzman_D!$L$8)*2),0)/2=IF(BN41-Uzman_D!$L$8&lt;0,-(BN41-Uzman_D!$L$8),BN41-Uzman_D!$L$8),(ROUND((IF(BN41-Uzman_D!$L$8&lt;0,-(BN41-Uzman_D!$L$8),BN41-Uzman_D!$L$8)*2),0)/1*0.1),0)+IF(BO41-Uzman_D!$M$8&lt;0,-(BO41-Uzman_D!$M$8),BO41-Uzman_D!$M$8)*1)</f>
        <v>9.9999999999999978E-2</v>
      </c>
      <c r="BQ41" s="72">
        <f t="shared" si="1"/>
        <v>0.36</v>
      </c>
    </row>
    <row r="42" spans="1:69" ht="15" customHeight="1" x14ac:dyDescent="0.45">
      <c r="A42" s="54">
        <v>39</v>
      </c>
      <c r="B42" s="163" t="str">
        <f>Hakemler!B42</f>
        <v>ODACIĞLU TURHAN</v>
      </c>
      <c r="C42" s="163" t="str">
        <f>Hakemler!C42</f>
        <v xml:space="preserve">AYŞEGÜL </v>
      </c>
      <c r="D42" s="56">
        <v>2</v>
      </c>
      <c r="E42" s="56">
        <v>1</v>
      </c>
      <c r="F42" s="56">
        <v>2</v>
      </c>
      <c r="G42" s="56">
        <v>2</v>
      </c>
      <c r="H42" s="56"/>
      <c r="I42" s="56"/>
      <c r="J42" s="56"/>
      <c r="K42" s="56"/>
      <c r="L42" s="56"/>
      <c r="M42" s="56"/>
      <c r="N42" s="70">
        <v>2</v>
      </c>
      <c r="O42" s="70">
        <v>0</v>
      </c>
      <c r="P42" s="71">
        <f>1-(SUM(IF(D42-Uzman_D!$B$4&lt;0,-(D42-Uzman_D!$B$4),D42-Uzman_D!$B$4)*0.1+IF(E42-Uzman_D!$C$4&lt;0,-(E42-Uzman_D!$C$4),E42-Uzman_D!$C$4)*0.1+IF(F42-Uzman_D!$D$4&lt;0,-(F42-Uzman_D!$D$4),F42-Uzman_D!$D$4)*0.1+IF(G42-Uzman_D!$E$4&lt;0,-(G42-Uzman_D!$E$4),G42-Uzman_D!$E$4)*0.1+IF(H42-Uzman_D!$F$4&lt;0,-(H42-Uzman_D!$F$4),H42-Uzman_D!$F$4)*0.1+IF(I42-Uzman_D!$G$4&lt;0,-(I42-Uzman_D!$G$4),I42-Uzman_D!$G$4)*0.1+IF(J42-Uzman_D!$H$4&lt;0,-(J42-Uzman_D!$H$4),J42-Uzman_D!$H$4)*0.1+IF(K42-Uzman_D!$I$4&lt;0,-(K42-Uzman_D!$I$4),K42-Uzman_D!$I$4)*0.1+IF(L42-Uzman_D!$J$4&lt;0,-(L42-Uzman_D!$J$4),L42-Uzman_D!$J$4)*0.1)+IF(ROUND((IF(N42-Uzman_D!$L$4&lt;0,-(N42-Uzman_D!$L$4),N42-Uzman_D!$L$4)*2),0)/2=IF(N42-Uzman_D!$L$4&lt;0,-(N42-Uzman_D!$L$4),N42-Uzman_D!$L$4),(ROUND((IF(N42-Uzman_D!$L$4&lt;0,-(N42-Uzman_D!$L$4),N42-Uzman_D!$L$4)*2),0)/1*0.1),0)+IF(O42-Uzman_D!$M$4&lt;0,-(O42-Uzman_D!$M$4),O42-Uzman_D!$M$4)*1)</f>
        <v>0.5</v>
      </c>
      <c r="Q42" s="56"/>
      <c r="R42" s="56">
        <v>2</v>
      </c>
      <c r="S42" s="56">
        <v>3</v>
      </c>
      <c r="T42" s="56">
        <v>3</v>
      </c>
      <c r="U42" s="56"/>
      <c r="V42" s="56"/>
      <c r="W42" s="56"/>
      <c r="X42" s="56"/>
      <c r="Y42" s="56"/>
      <c r="Z42" s="56"/>
      <c r="AA42" s="70">
        <v>2</v>
      </c>
      <c r="AB42" s="70">
        <v>0.2</v>
      </c>
      <c r="AC42" s="71">
        <f>1-(SUM(IF(Q42-Uzman_D!$B$5&lt;0,-(Q42-Uzman_D!$B$5),Q42-Uzman_D!$B$5)*0.1+IF(R42-Uzman_D!$C$5&lt;0,-(R42-Uzman_D!$C$5),R42-Uzman_D!$C$5)*0.1+IF(S42-Uzman_D!$D$5&lt;0,-(S42-Uzman_D!$D$5),S42-Uzman_D!$D$5)*0.1+IF(T42-Uzman_D!$E$5&lt;0,-(T42-Uzman_D!$E$5),T42-Uzman_D!$E$5)*0.1+IF(U42-Uzman_D!$F$5&lt;0,-(U42-Uzman_D!$F$5),U42-Uzman_D!$F$5)*0.1+IF(V42-Uzman_D!$G$5&lt;0,-(V42-Uzman_D!$G$5),V42-Uzman_D!$G$5)*0.1+IF(W42-Uzman_D!$H$5&lt;0,-(W42-Uzman_D!$H$5),W42-Uzman_D!$H$5)*0.1+IF(X42-Uzman_D!$I$5&lt;0,-(X42-Uzman_D!$I$5),X42-Uzman_D!$I$5)*0.1+IF(Y42-Uzman_D!$J$5&lt;0,-(Y42-Uzman_D!$J$5),Y42-Uzman_D!$J$5)*0.1)+IF(ROUND((IF(AA42-Uzman_D!$L$5&lt;0,-(AA42-Uzman_D!$L$5),AA42-Uzman_D!$L$5)*2),0)/2=IF(AA42-Uzman_D!$L$5&lt;0,-(AA42-Uzman_D!$L$5),AA42-Uzman_D!$L$5),(ROUND((IF(AA42-Uzman_D!$L$5&lt;0,-(AA42-Uzman_D!$L$5),AA42-Uzman_D!$L$5)*2),0)/1*0.1),0)+IF(AB42-Uzman_D!$M$5&lt;0,-(AB42-Uzman_D!$M$5),AB42-Uzman_D!$M$5)*1)</f>
        <v>0.6</v>
      </c>
      <c r="AD42" s="56"/>
      <c r="AE42" s="56">
        <v>5</v>
      </c>
      <c r="AF42" s="56">
        <v>3</v>
      </c>
      <c r="AG42" s="56"/>
      <c r="AH42" s="56"/>
      <c r="AI42" s="56"/>
      <c r="AJ42" s="56"/>
      <c r="AK42" s="56"/>
      <c r="AL42" s="56"/>
      <c r="AM42" s="56"/>
      <c r="AN42" s="70">
        <v>2</v>
      </c>
      <c r="AO42" s="70">
        <v>0</v>
      </c>
      <c r="AP42" s="71">
        <f>1-(SUM(IF(AD42-Uzman_D!$B$6&lt;0,-(AD42-Uzman_D!$B$6),AD42-Uzman_D!$B$6)*0.1+IF(AE42-Uzman_D!$C$6&lt;0,-(AE42-Uzman_D!$C$6),AE42-Uzman_D!$C$6)*0.1+IF(AF42-Uzman_D!$D$6&lt;0,-(AF42-Uzman_D!$D$6),AF42-Uzman_D!$D$6)*0.1+IF(AG42-Uzman_D!$E$6&lt;0,-(AG42-Uzman_D!$E$6),AG42-Uzman_D!$E$6)*0.1+IF(AH42-Uzman_D!$F$6&lt;0,-(AH42-Uzman_D!$F$6),AH42-Uzman_D!$F$6)*0.1+IF(AI42-Uzman_D!$G$6&lt;0,-(AI42-Uzman_D!$G$6),AI42-Uzman_D!$G$6)*0.1+IF(AJ42-Uzman_D!$H$6&lt;0,-(AJ42-Uzman_D!$H$6),AJ42-Uzman_D!$H$6)*0.1+IF(AK42-Uzman_D!$I$6&lt;0,-(AK42-Uzman_D!$I$6),AK42-Uzman_D!$I$6)*0.1+IF(AL42-Uzman_D!$J$6&lt;0,-(AL42-Uzman_D!$J$6),AL42-Uzman_D!$J$6)*0.1)+IF(ROUND((IF(AN42-Uzman_D!$L$6&lt;0,-(AN42-Uzman_D!$L$6),AN42-Uzman_D!$L$6)*2),0)/2=IF(AN42-Uzman_D!$L$6&lt;0,-(AN42-Uzman_D!$L$6),AN42-Uzman_D!$L$6),(ROUND((IF(AN42-Uzman_D!$L$6&lt;0,-(AN42-Uzman_D!$L$6),AN42-Uzman_D!$L$6)*2),0)/1*0.1),0)+IF(AO42-Uzman_D!$M$6&lt;0,-(AO42-Uzman_D!$M$6),AO42-Uzman_D!$M$6)*1)</f>
        <v>0.5</v>
      </c>
      <c r="AQ42" s="56"/>
      <c r="AR42" s="56"/>
      <c r="AS42" s="56">
        <v>3</v>
      </c>
      <c r="AT42" s="56">
        <v>4</v>
      </c>
      <c r="AU42" s="56">
        <v>2</v>
      </c>
      <c r="AV42" s="56"/>
      <c r="AW42" s="56"/>
      <c r="AX42" s="56"/>
      <c r="AY42" s="56"/>
      <c r="AZ42" s="56"/>
      <c r="BA42" s="70">
        <v>2</v>
      </c>
      <c r="BB42" s="70">
        <v>0.5</v>
      </c>
      <c r="BC42" s="71">
        <f>1-(SUM(IF(AQ42-Uzman_D!$B$7&lt;0,-(AQ42-Uzman_D!$B$7),AQ42-Uzman_D!$B$7)*0.1+IF(AR42-Uzman_D!$C$7&lt;0,-(AR42-Uzman_D!$C$7),AR42-Uzman_D!$C$7)*0.1+IF(AS42-Uzman_D!$D$7&lt;0,-(AS42-Uzman_D!$D$7),AS42-Uzman_D!$D$7)*0.1+IF(AT42-Uzman_D!$E$7&lt;0,-(AT42-Uzman_D!$E$7),AT42-Uzman_D!$E$7)*0.1+IF(AU42-Uzman_D!$F$7&lt;0,-(AU42-Uzman_D!$F$7),AU42-Uzman_D!$F$7)*0.1+IF(AV42-Uzman_D!$G$7&lt;0,-(AV42-Uzman_D!$G$7),AV42-Uzman_D!$G$7)*0.1+IF(AW42-Uzman_D!$H$7&lt;0,-(AW42-Uzman_D!$H$7),AW42-Uzman_D!$H$7)*0.1+IF(AX42-Uzman_D!$I$7&lt;0,-(AX42-Uzman_D!$I$7),AX42-Uzman_D!$I$7)*0.1+IF(AY42-Uzman_D!$J$7&lt;0,-(AY42-Uzman_D!$J$7),AY42-Uzman_D!$J$7)*0.1)+IF(ROUND((IF(BA42-Uzman_D!$L$7&lt;0,-(BA42-Uzman_D!$L$7),BA42-Uzman_D!$L$7)*2),0)/2=IF(BA42-Uzman_D!$L$7&lt;0,-(BA42-Uzman_D!$L$7),BA42-Uzman_D!$L$7),(ROUND((IF(BA42-Uzman_D!$L$7&lt;0,-(BA42-Uzman_D!$L$7),BA42-Uzman_D!$L$7)*2),0)/1*0.1),0)+IF(BB42-Uzman_D!$M$7&lt;0,-(BB42-Uzman_D!$M$7),BB42-Uzman_D!$M$7)*1)</f>
        <v>0.7</v>
      </c>
      <c r="BD42" s="56"/>
      <c r="BE42" s="56"/>
      <c r="BF42" s="56">
        <v>3</v>
      </c>
      <c r="BG42" s="56">
        <v>3</v>
      </c>
      <c r="BH42" s="56">
        <v>1</v>
      </c>
      <c r="BI42" s="56">
        <v>1</v>
      </c>
      <c r="BJ42" s="56"/>
      <c r="BK42" s="56"/>
      <c r="BL42" s="56"/>
      <c r="BM42" s="56"/>
      <c r="BN42" s="70">
        <v>2</v>
      </c>
      <c r="BO42" s="70">
        <v>0.3</v>
      </c>
      <c r="BP42" s="71">
        <f>1-(SUM(IF(BD42-Uzman_D!$B$8&lt;0,-(BD42-Uzman_D!$B$8),BD42-Uzman_D!$B$8)*0.1+IF(BE42-Uzman_D!$C$8&lt;0,-(BE42-Uzman_D!$C$8),BE42-Uzman_D!$C$8)*0.1+IF(BF42-Uzman_D!$D$8&lt;0,-(BF42-Uzman_D!$D$8),BF42-Uzman_D!$D$8)*0.1+IF(BG42-Uzman_D!$E$8&lt;0,-(BG42-Uzman_D!$E$8),BG42-Uzman_D!$E$8)*0.1+IF(BH42-Uzman_D!$F$8&lt;0,-(BH42-Uzman_D!$F$8),BH42-Uzman_D!$F$8)*0.1+IF(BI42-Uzman_D!$G$8&lt;0,-(BI42-Uzman_D!$G$8),BI42-Uzman_D!$G$8)*0.1+IF(BJ42-Uzman_D!$H$8&lt;0,-(BJ42-Uzman_D!$H$8),BJ42-Uzman_D!$H$8)*0.1+IF(BK42-Uzman_D!$I$8&lt;0,-(BK42-Uzman_D!$I$8),BK42-Uzman_D!$I$8)*0.1+IF(BL42-Uzman_D!$J$8&lt;0,-(BL42-Uzman_D!$J$8),BL42-Uzman_D!$J$8)*0.1)+IF(ROUND((IF(BN42-Uzman_D!$L$8&lt;0,-(BN42-Uzman_D!$L$8),BN42-Uzman_D!$L$8)*2),0)/2=IF(BN42-Uzman_D!$L$8&lt;0,-(BN42-Uzman_D!$L$8),BN42-Uzman_D!$L$8),(ROUND((IF(BN42-Uzman_D!$L$8&lt;0,-(BN42-Uzman_D!$L$8),BN42-Uzman_D!$L$8)*2),0)/1*0.1),0)+IF(BO42-Uzman_D!$M$8&lt;0,-(BO42-Uzman_D!$M$8),BO42-Uzman_D!$M$8)*1)</f>
        <v>-0.10000000000000009</v>
      </c>
      <c r="BQ42" s="72">
        <f t="shared" si="1"/>
        <v>0.43999999999999995</v>
      </c>
    </row>
    <row r="43" spans="1:69" ht="15" customHeight="1" x14ac:dyDescent="0.45">
      <c r="A43" s="54">
        <v>40</v>
      </c>
      <c r="B43" s="162" t="str">
        <f>Hakemler!B43</f>
        <v>CANATAN</v>
      </c>
      <c r="C43" s="162" t="str">
        <f>Hakemler!C43</f>
        <v>BÜŞRA</v>
      </c>
      <c r="D43" s="56"/>
      <c r="E43" s="56">
        <v>4</v>
      </c>
      <c r="F43" s="56">
        <v>2</v>
      </c>
      <c r="G43" s="56">
        <v>2</v>
      </c>
      <c r="H43" s="56"/>
      <c r="I43" s="56"/>
      <c r="J43" s="56"/>
      <c r="K43" s="56"/>
      <c r="L43" s="56"/>
      <c r="M43" s="56"/>
      <c r="N43" s="70">
        <v>2</v>
      </c>
      <c r="O43" s="70">
        <v>0</v>
      </c>
      <c r="P43" s="71">
        <f>1-(SUM(IF(D43-Uzman_D!$B$4&lt;0,-(D43-Uzman_D!$B$4),D43-Uzman_D!$B$4)*0.1+IF(E43-Uzman_D!$C$4&lt;0,-(E43-Uzman_D!$C$4),E43-Uzman_D!$C$4)*0.1+IF(F43-Uzman_D!$D$4&lt;0,-(F43-Uzman_D!$D$4),F43-Uzman_D!$D$4)*0.1+IF(G43-Uzman_D!$E$4&lt;0,-(G43-Uzman_D!$E$4),G43-Uzman_D!$E$4)*0.1+IF(H43-Uzman_D!$F$4&lt;0,-(H43-Uzman_D!$F$4),H43-Uzman_D!$F$4)*0.1+IF(I43-Uzman_D!$G$4&lt;0,-(I43-Uzman_D!$G$4),I43-Uzman_D!$G$4)*0.1+IF(J43-Uzman_D!$H$4&lt;0,-(J43-Uzman_D!$H$4),J43-Uzman_D!$H$4)*0.1+IF(K43-Uzman_D!$I$4&lt;0,-(K43-Uzman_D!$I$4),K43-Uzman_D!$I$4)*0.1+IF(L43-Uzman_D!$J$4&lt;0,-(L43-Uzman_D!$J$4),L43-Uzman_D!$J$4)*0.1)+IF(ROUND((IF(N43-Uzman_D!$L$4&lt;0,-(N43-Uzman_D!$L$4),N43-Uzman_D!$L$4)*2),0)/2=IF(N43-Uzman_D!$L$4&lt;0,-(N43-Uzman_D!$L$4),N43-Uzman_D!$L$4),(ROUND((IF(N43-Uzman_D!$L$4&lt;0,-(N43-Uzman_D!$L$4),N43-Uzman_D!$L$4)*2),0)/1*0.1),0)+IF(O43-Uzman_D!$M$4&lt;0,-(O43-Uzman_D!$M$4),O43-Uzman_D!$M$4)*1)</f>
        <v>0.8</v>
      </c>
      <c r="Q43" s="56"/>
      <c r="R43" s="56">
        <v>2</v>
      </c>
      <c r="S43" s="56">
        <v>1</v>
      </c>
      <c r="T43" s="56">
        <v>4</v>
      </c>
      <c r="U43" s="56"/>
      <c r="V43" s="56"/>
      <c r="W43" s="56"/>
      <c r="X43" s="56"/>
      <c r="Y43" s="56"/>
      <c r="Z43" s="56"/>
      <c r="AA43" s="70">
        <v>2</v>
      </c>
      <c r="AB43" s="70">
        <v>0.2</v>
      </c>
      <c r="AC43" s="71">
        <f>1-(SUM(IF(Q43-Uzman_D!$B$5&lt;0,-(Q43-Uzman_D!$B$5),Q43-Uzman_D!$B$5)*0.1+IF(R43-Uzman_D!$C$5&lt;0,-(R43-Uzman_D!$C$5),R43-Uzman_D!$C$5)*0.1+IF(S43-Uzman_D!$D$5&lt;0,-(S43-Uzman_D!$D$5),S43-Uzman_D!$D$5)*0.1+IF(T43-Uzman_D!$E$5&lt;0,-(T43-Uzman_D!$E$5),T43-Uzman_D!$E$5)*0.1+IF(U43-Uzman_D!$F$5&lt;0,-(U43-Uzman_D!$F$5),U43-Uzman_D!$F$5)*0.1+IF(V43-Uzman_D!$G$5&lt;0,-(V43-Uzman_D!$G$5),V43-Uzman_D!$G$5)*0.1+IF(W43-Uzman_D!$H$5&lt;0,-(W43-Uzman_D!$H$5),W43-Uzman_D!$H$5)*0.1+IF(X43-Uzman_D!$I$5&lt;0,-(X43-Uzman_D!$I$5),X43-Uzman_D!$I$5)*0.1+IF(Y43-Uzman_D!$J$5&lt;0,-(Y43-Uzman_D!$J$5),Y43-Uzman_D!$J$5)*0.1)+IF(ROUND((IF(AA43-Uzman_D!$L$5&lt;0,-(AA43-Uzman_D!$L$5),AA43-Uzman_D!$L$5)*2),0)/2=IF(AA43-Uzman_D!$L$5&lt;0,-(AA43-Uzman_D!$L$5),AA43-Uzman_D!$L$5),(ROUND((IF(AA43-Uzman_D!$L$5&lt;0,-(AA43-Uzman_D!$L$5),AA43-Uzman_D!$L$5)*2),0)/1*0.1),0)+IF(AB43-Uzman_D!$M$5&lt;0,-(AB43-Uzman_D!$M$5),AB43-Uzman_D!$M$5)*1)</f>
        <v>0.9</v>
      </c>
      <c r="AD43" s="56"/>
      <c r="AE43" s="56">
        <v>3</v>
      </c>
      <c r="AF43" s="56">
        <v>4</v>
      </c>
      <c r="AG43" s="56">
        <v>1</v>
      </c>
      <c r="AH43" s="56"/>
      <c r="AI43" s="56"/>
      <c r="AJ43" s="56"/>
      <c r="AK43" s="56"/>
      <c r="AL43" s="56"/>
      <c r="AM43" s="56"/>
      <c r="AN43" s="70">
        <v>1.5</v>
      </c>
      <c r="AO43" s="70">
        <v>0</v>
      </c>
      <c r="AP43" s="71">
        <f>1-(SUM(IF(AD43-Uzman_D!$B$6&lt;0,-(AD43-Uzman_D!$B$6),AD43-Uzman_D!$B$6)*0.1+IF(AE43-Uzman_D!$C$6&lt;0,-(AE43-Uzman_D!$C$6),AE43-Uzman_D!$C$6)*0.1+IF(AF43-Uzman_D!$D$6&lt;0,-(AF43-Uzman_D!$D$6),AF43-Uzman_D!$D$6)*0.1+IF(AG43-Uzman_D!$E$6&lt;0,-(AG43-Uzman_D!$E$6),AG43-Uzman_D!$E$6)*0.1+IF(AH43-Uzman_D!$F$6&lt;0,-(AH43-Uzman_D!$F$6),AH43-Uzman_D!$F$6)*0.1+IF(AI43-Uzman_D!$G$6&lt;0,-(AI43-Uzman_D!$G$6),AI43-Uzman_D!$G$6)*0.1+IF(AJ43-Uzman_D!$H$6&lt;0,-(AJ43-Uzman_D!$H$6),AJ43-Uzman_D!$H$6)*0.1+IF(AK43-Uzman_D!$I$6&lt;0,-(AK43-Uzman_D!$I$6),AK43-Uzman_D!$I$6)*0.1+IF(AL43-Uzman_D!$J$6&lt;0,-(AL43-Uzman_D!$J$6),AL43-Uzman_D!$J$6)*0.1)+IF(ROUND((IF(AN43-Uzman_D!$L$6&lt;0,-(AN43-Uzman_D!$L$6),AN43-Uzman_D!$L$6)*2),0)/2=IF(AN43-Uzman_D!$L$6&lt;0,-(AN43-Uzman_D!$L$6),AN43-Uzman_D!$L$6),(ROUND((IF(AN43-Uzman_D!$L$6&lt;0,-(AN43-Uzman_D!$L$6),AN43-Uzman_D!$L$6)*2),0)/1*0.1),0)+IF(AO43-Uzman_D!$M$6&lt;0,-(AO43-Uzman_D!$M$6),AO43-Uzman_D!$M$6)*1)</f>
        <v>1</v>
      </c>
      <c r="AQ43" s="56"/>
      <c r="AR43" s="56">
        <v>2</v>
      </c>
      <c r="AS43" s="56"/>
      <c r="AT43" s="56">
        <v>3</v>
      </c>
      <c r="AU43" s="56">
        <v>3</v>
      </c>
      <c r="AV43" s="56"/>
      <c r="AW43" s="56"/>
      <c r="AX43" s="56"/>
      <c r="AY43" s="56"/>
      <c r="AZ43" s="56"/>
      <c r="BA43" s="70">
        <v>2</v>
      </c>
      <c r="BB43" s="70">
        <v>0.3</v>
      </c>
      <c r="BC43" s="71">
        <f>1-(SUM(IF(AQ43-Uzman_D!$B$7&lt;0,-(AQ43-Uzman_D!$B$7),AQ43-Uzman_D!$B$7)*0.1+IF(AR43-Uzman_D!$C$7&lt;0,-(AR43-Uzman_D!$C$7),AR43-Uzman_D!$C$7)*0.1+IF(AS43-Uzman_D!$D$7&lt;0,-(AS43-Uzman_D!$D$7),AS43-Uzman_D!$D$7)*0.1+IF(AT43-Uzman_D!$E$7&lt;0,-(AT43-Uzman_D!$E$7),AT43-Uzman_D!$E$7)*0.1+IF(AU43-Uzman_D!$F$7&lt;0,-(AU43-Uzman_D!$F$7),AU43-Uzman_D!$F$7)*0.1+IF(AV43-Uzman_D!$G$7&lt;0,-(AV43-Uzman_D!$G$7),AV43-Uzman_D!$G$7)*0.1+IF(AW43-Uzman_D!$H$7&lt;0,-(AW43-Uzman_D!$H$7),AW43-Uzman_D!$H$7)*0.1+IF(AX43-Uzman_D!$I$7&lt;0,-(AX43-Uzman_D!$I$7),AX43-Uzman_D!$I$7)*0.1+IF(AY43-Uzman_D!$J$7&lt;0,-(AY43-Uzman_D!$J$7),AY43-Uzman_D!$J$7)*0.1)+IF(ROUND((IF(BA43-Uzman_D!$L$7&lt;0,-(BA43-Uzman_D!$L$7),BA43-Uzman_D!$L$7)*2),0)/2=IF(BA43-Uzman_D!$L$7&lt;0,-(BA43-Uzman_D!$L$7),BA43-Uzman_D!$L$7),(ROUND((IF(BA43-Uzman_D!$L$7&lt;0,-(BA43-Uzman_D!$L$7),BA43-Uzman_D!$L$7)*2),0)/1*0.1),0)+IF(BB43-Uzman_D!$M$7&lt;0,-(BB43-Uzman_D!$M$7),BB43-Uzman_D!$M$7)*1)</f>
        <v>0.19999999999999996</v>
      </c>
      <c r="BD43" s="56"/>
      <c r="BE43" s="56"/>
      <c r="BF43" s="56">
        <v>1</v>
      </c>
      <c r="BG43" s="56">
        <v>5</v>
      </c>
      <c r="BH43" s="56">
        <v>2</v>
      </c>
      <c r="BI43" s="56"/>
      <c r="BJ43" s="56"/>
      <c r="BK43" s="56"/>
      <c r="BL43" s="56"/>
      <c r="BM43" s="56"/>
      <c r="BN43" s="70">
        <v>2</v>
      </c>
      <c r="BO43" s="70">
        <v>0.2</v>
      </c>
      <c r="BP43" s="71">
        <f>1-(SUM(IF(BD43-Uzman_D!$B$8&lt;0,-(BD43-Uzman_D!$B$8),BD43-Uzman_D!$B$8)*0.1+IF(BE43-Uzman_D!$C$8&lt;0,-(BE43-Uzman_D!$C$8),BE43-Uzman_D!$C$8)*0.1+IF(BF43-Uzman_D!$D$8&lt;0,-(BF43-Uzman_D!$D$8),BF43-Uzman_D!$D$8)*0.1+IF(BG43-Uzman_D!$E$8&lt;0,-(BG43-Uzman_D!$E$8),BG43-Uzman_D!$E$8)*0.1+IF(BH43-Uzman_D!$F$8&lt;0,-(BH43-Uzman_D!$F$8),BH43-Uzman_D!$F$8)*0.1+IF(BI43-Uzman_D!$G$8&lt;0,-(BI43-Uzman_D!$G$8),BI43-Uzman_D!$G$8)*0.1+IF(BJ43-Uzman_D!$H$8&lt;0,-(BJ43-Uzman_D!$H$8),BJ43-Uzman_D!$H$8)*0.1+IF(BK43-Uzman_D!$I$8&lt;0,-(BK43-Uzman_D!$I$8),BK43-Uzman_D!$I$8)*0.1+IF(BL43-Uzman_D!$J$8&lt;0,-(BL43-Uzman_D!$J$8),BL43-Uzman_D!$J$8)*0.1)+IF(ROUND((IF(BN43-Uzman_D!$L$8&lt;0,-(BN43-Uzman_D!$L$8),BN43-Uzman_D!$L$8)*2),0)/2=IF(BN43-Uzman_D!$L$8&lt;0,-(BN43-Uzman_D!$L$8),BN43-Uzman_D!$L$8),(ROUND((IF(BN43-Uzman_D!$L$8&lt;0,-(BN43-Uzman_D!$L$8),BN43-Uzman_D!$L$8)*2),0)/1*0.1),0)+IF(BO43-Uzman_D!$M$8&lt;0,-(BO43-Uzman_D!$M$8),BO43-Uzman_D!$M$8)*1)</f>
        <v>0</v>
      </c>
      <c r="BQ43" s="72">
        <f t="shared" si="1"/>
        <v>0.58000000000000007</v>
      </c>
    </row>
    <row r="44" spans="1:69" ht="15" customHeight="1" x14ac:dyDescent="0.45">
      <c r="A44" s="54">
        <v>41</v>
      </c>
      <c r="B44" s="163" t="str">
        <f>Hakemler!B44</f>
        <v>ELİK</v>
      </c>
      <c r="C44" s="163" t="str">
        <f>Hakemler!C44</f>
        <v>MUSTAFA</v>
      </c>
      <c r="D44" s="56">
        <v>2</v>
      </c>
      <c r="E44" s="56">
        <v>0</v>
      </c>
      <c r="F44" s="56">
        <v>0</v>
      </c>
      <c r="G44" s="56"/>
      <c r="H44" s="56"/>
      <c r="I44" s="56"/>
      <c r="J44" s="56"/>
      <c r="K44" s="56"/>
      <c r="L44" s="56"/>
      <c r="M44" s="56"/>
      <c r="N44" s="70">
        <v>0.5</v>
      </c>
      <c r="O44" s="70">
        <v>0</v>
      </c>
      <c r="P44" s="71">
        <f>1-(SUM(IF(D44-Uzman_D!$B$4&lt;0,-(D44-Uzman_D!$B$4),D44-Uzman_D!$B$4)*0.1+IF(E44-Uzman_D!$C$4&lt;0,-(E44-Uzman_D!$C$4),E44-Uzman_D!$C$4)*0.1+IF(F44-Uzman_D!$D$4&lt;0,-(F44-Uzman_D!$D$4),F44-Uzman_D!$D$4)*0.1+IF(G44-Uzman_D!$E$4&lt;0,-(G44-Uzman_D!$E$4),G44-Uzman_D!$E$4)*0.1+IF(H44-Uzman_D!$F$4&lt;0,-(H44-Uzman_D!$F$4),H44-Uzman_D!$F$4)*0.1+IF(I44-Uzman_D!$G$4&lt;0,-(I44-Uzman_D!$G$4),I44-Uzman_D!$G$4)*0.1+IF(J44-Uzman_D!$H$4&lt;0,-(J44-Uzman_D!$H$4),J44-Uzman_D!$H$4)*0.1+IF(K44-Uzman_D!$I$4&lt;0,-(K44-Uzman_D!$I$4),K44-Uzman_D!$I$4)*0.1+IF(L44-Uzman_D!$J$4&lt;0,-(L44-Uzman_D!$J$4),L44-Uzman_D!$J$4)*0.1)+IF(ROUND((IF(N44-Uzman_D!$L$4&lt;0,-(N44-Uzman_D!$L$4),N44-Uzman_D!$L$4)*2),0)/2=IF(N44-Uzman_D!$L$4&lt;0,-(N44-Uzman_D!$L$4),N44-Uzman_D!$L$4),(ROUND((IF(N44-Uzman_D!$L$4&lt;0,-(N44-Uzman_D!$L$4),N44-Uzman_D!$L$4)*2),0)/1*0.1),0)+IF(O44-Uzman_D!$M$4&lt;0,-(O44-Uzman_D!$M$4),O44-Uzman_D!$M$4)*1)</f>
        <v>-0.10000000000000009</v>
      </c>
      <c r="Q44" s="56">
        <v>0</v>
      </c>
      <c r="R44" s="56">
        <v>0</v>
      </c>
      <c r="S44" s="56">
        <v>0</v>
      </c>
      <c r="T44" s="56">
        <v>0</v>
      </c>
      <c r="U44" s="56"/>
      <c r="V44" s="56"/>
      <c r="W44" s="56"/>
      <c r="X44" s="56"/>
      <c r="Y44" s="56"/>
      <c r="Z44" s="56"/>
      <c r="AA44" s="70">
        <v>0.5</v>
      </c>
      <c r="AB44" s="70">
        <v>0</v>
      </c>
      <c r="AC44" s="71">
        <f>1-(SUM(IF(Q44-Uzman_D!$B$5&lt;0,-(Q44-Uzman_D!$B$5),Q44-Uzman_D!$B$5)*0.1+IF(R44-Uzman_D!$C$5&lt;0,-(R44-Uzman_D!$C$5),R44-Uzman_D!$C$5)*0.1+IF(S44-Uzman_D!$D$5&lt;0,-(S44-Uzman_D!$D$5),S44-Uzman_D!$D$5)*0.1+IF(T44-Uzman_D!$E$5&lt;0,-(T44-Uzman_D!$E$5),T44-Uzman_D!$E$5)*0.1+IF(U44-Uzman_D!$F$5&lt;0,-(U44-Uzman_D!$F$5),U44-Uzman_D!$F$5)*0.1+IF(V44-Uzman_D!$G$5&lt;0,-(V44-Uzman_D!$G$5),V44-Uzman_D!$G$5)*0.1+IF(W44-Uzman_D!$H$5&lt;0,-(W44-Uzman_D!$H$5),W44-Uzman_D!$H$5)*0.1+IF(X44-Uzman_D!$I$5&lt;0,-(X44-Uzman_D!$I$5),X44-Uzman_D!$I$5)*0.1+IF(Y44-Uzman_D!$J$5&lt;0,-(Y44-Uzman_D!$J$5),Y44-Uzman_D!$J$5)*0.1)+IF(ROUND((IF(AA44-Uzman_D!$L$5&lt;0,-(AA44-Uzman_D!$L$5),AA44-Uzman_D!$L$5)*2),0)/2=IF(AA44-Uzman_D!$L$5&lt;0,-(AA44-Uzman_D!$L$5),AA44-Uzman_D!$L$5),(ROUND((IF(AA44-Uzman_D!$L$5&lt;0,-(AA44-Uzman_D!$L$5),AA44-Uzman_D!$L$5)*2),0)/1*0.1),0)+IF(AB44-Uzman_D!$M$5&lt;0,-(AB44-Uzman_D!$M$5),AB44-Uzman_D!$M$5)*1)</f>
        <v>-0.30000000000000004</v>
      </c>
      <c r="AD44" s="56"/>
      <c r="AE44" s="56">
        <v>1</v>
      </c>
      <c r="AF44" s="56">
        <v>0</v>
      </c>
      <c r="AG44" s="56">
        <v>0</v>
      </c>
      <c r="AH44" s="56"/>
      <c r="AI44" s="56"/>
      <c r="AJ44" s="56"/>
      <c r="AK44" s="56"/>
      <c r="AL44" s="56"/>
      <c r="AM44" s="56"/>
      <c r="AN44" s="70">
        <v>0.5</v>
      </c>
      <c r="AO44" s="70">
        <v>0.3</v>
      </c>
      <c r="AP44" s="71">
        <f>1-(SUM(IF(AD44-Uzman_D!$B$6&lt;0,-(AD44-Uzman_D!$B$6),AD44-Uzman_D!$B$6)*0.1+IF(AE44-Uzman_D!$C$6&lt;0,-(AE44-Uzman_D!$C$6),AE44-Uzman_D!$C$6)*0.1+IF(AF44-Uzman_D!$D$6&lt;0,-(AF44-Uzman_D!$D$6),AF44-Uzman_D!$D$6)*0.1+IF(AG44-Uzman_D!$E$6&lt;0,-(AG44-Uzman_D!$E$6),AG44-Uzman_D!$E$6)*0.1+IF(AH44-Uzman_D!$F$6&lt;0,-(AH44-Uzman_D!$F$6),AH44-Uzman_D!$F$6)*0.1+IF(AI44-Uzman_D!$G$6&lt;0,-(AI44-Uzman_D!$G$6),AI44-Uzman_D!$G$6)*0.1+IF(AJ44-Uzman_D!$H$6&lt;0,-(AJ44-Uzman_D!$H$6),AJ44-Uzman_D!$H$6)*0.1+IF(AK44-Uzman_D!$I$6&lt;0,-(AK44-Uzman_D!$I$6),AK44-Uzman_D!$I$6)*0.1+IF(AL44-Uzman_D!$J$6&lt;0,-(AL44-Uzman_D!$J$6),AL44-Uzman_D!$J$6)*0.1)+IF(ROUND((IF(AN44-Uzman_D!$L$6&lt;0,-(AN44-Uzman_D!$L$6),AN44-Uzman_D!$L$6)*2),0)/2=IF(AN44-Uzman_D!$L$6&lt;0,-(AN44-Uzman_D!$L$6),AN44-Uzman_D!$L$6),(ROUND((IF(AN44-Uzman_D!$L$6&lt;0,-(AN44-Uzman_D!$L$6),AN44-Uzman_D!$L$6)*2),0)/1*0.1),0)+IF(AO44-Uzman_D!$M$6&lt;0,-(AO44-Uzman_D!$M$6),AO44-Uzman_D!$M$6)*1)</f>
        <v>-0.20000000000000018</v>
      </c>
      <c r="AQ44" s="56"/>
      <c r="AR44" s="56">
        <v>1</v>
      </c>
      <c r="AS44" s="56">
        <v>5</v>
      </c>
      <c r="AT44" s="56">
        <v>0</v>
      </c>
      <c r="AU44" s="56">
        <v>8</v>
      </c>
      <c r="AV44" s="56"/>
      <c r="AW44" s="56"/>
      <c r="AX44" s="56"/>
      <c r="AY44" s="56"/>
      <c r="AZ44" s="56"/>
      <c r="BA44" s="70">
        <v>0.5</v>
      </c>
      <c r="BB44" s="70">
        <v>0.4</v>
      </c>
      <c r="BC44" s="71">
        <f>1-(SUM(IF(AQ44-Uzman_D!$B$7&lt;0,-(AQ44-Uzman_D!$B$7),AQ44-Uzman_D!$B$7)*0.1+IF(AR44-Uzman_D!$C$7&lt;0,-(AR44-Uzman_D!$C$7),AR44-Uzman_D!$C$7)*0.1+IF(AS44-Uzman_D!$D$7&lt;0,-(AS44-Uzman_D!$D$7),AS44-Uzman_D!$D$7)*0.1+IF(AT44-Uzman_D!$E$7&lt;0,-(AT44-Uzman_D!$E$7),AT44-Uzman_D!$E$7)*0.1+IF(AU44-Uzman_D!$F$7&lt;0,-(AU44-Uzman_D!$F$7),AU44-Uzman_D!$F$7)*0.1+IF(AV44-Uzman_D!$G$7&lt;0,-(AV44-Uzman_D!$G$7),AV44-Uzman_D!$G$7)*0.1+IF(AW44-Uzman_D!$H$7&lt;0,-(AW44-Uzman_D!$H$7),AW44-Uzman_D!$H$7)*0.1+IF(AX44-Uzman_D!$I$7&lt;0,-(AX44-Uzman_D!$I$7),AX44-Uzman_D!$I$7)*0.1+IF(AY44-Uzman_D!$J$7&lt;0,-(AY44-Uzman_D!$J$7),AY44-Uzman_D!$J$7)*0.1)+IF(ROUND((IF(BA44-Uzman_D!$L$7&lt;0,-(BA44-Uzman_D!$L$7),BA44-Uzman_D!$L$7)*2),0)/2=IF(BA44-Uzman_D!$L$7&lt;0,-(BA44-Uzman_D!$L$7),BA44-Uzman_D!$L$7),(ROUND((IF(BA44-Uzman_D!$L$7&lt;0,-(BA44-Uzman_D!$L$7),BA44-Uzman_D!$L$7)*2),0)/1*0.1),0)+IF(BB44-Uzman_D!$M$7&lt;0,-(BB44-Uzman_D!$M$7),BB44-Uzman_D!$M$7)*1)</f>
        <v>-1</v>
      </c>
      <c r="BD44" s="56"/>
      <c r="BE44" s="56">
        <v>1</v>
      </c>
      <c r="BF44" s="56"/>
      <c r="BG44" s="56">
        <v>0</v>
      </c>
      <c r="BH44" s="56">
        <v>0</v>
      </c>
      <c r="BI44" s="56"/>
      <c r="BJ44" s="56"/>
      <c r="BK44" s="56"/>
      <c r="BL44" s="56"/>
      <c r="BM44" s="56"/>
      <c r="BN44" s="70">
        <v>1</v>
      </c>
      <c r="BO44" s="70">
        <v>0.6</v>
      </c>
      <c r="BP44" s="71">
        <f>1-(SUM(IF(BD44-Uzman_D!$B$8&lt;0,-(BD44-Uzman_D!$B$8),BD44-Uzman_D!$B$8)*0.1+IF(BE44-Uzman_D!$C$8&lt;0,-(BE44-Uzman_D!$C$8),BE44-Uzman_D!$C$8)*0.1+IF(BF44-Uzman_D!$D$8&lt;0,-(BF44-Uzman_D!$D$8),BF44-Uzman_D!$D$8)*0.1+IF(BG44-Uzman_D!$E$8&lt;0,-(BG44-Uzman_D!$E$8),BG44-Uzman_D!$E$8)*0.1+IF(BH44-Uzman_D!$F$8&lt;0,-(BH44-Uzman_D!$F$8),BH44-Uzman_D!$F$8)*0.1+IF(BI44-Uzman_D!$G$8&lt;0,-(BI44-Uzman_D!$G$8),BI44-Uzman_D!$G$8)*0.1+IF(BJ44-Uzman_D!$H$8&lt;0,-(BJ44-Uzman_D!$H$8),BJ44-Uzman_D!$H$8)*0.1+IF(BK44-Uzman_D!$I$8&lt;0,-(BK44-Uzman_D!$I$8),BK44-Uzman_D!$I$8)*0.1+IF(BL44-Uzman_D!$J$8&lt;0,-(BL44-Uzman_D!$J$8),BL44-Uzman_D!$J$8)*0.1)+IF(ROUND((IF(BN44-Uzman_D!$L$8&lt;0,-(BN44-Uzman_D!$L$8),BN44-Uzman_D!$L$8)*2),0)/2=IF(BN44-Uzman_D!$L$8&lt;0,-(BN44-Uzman_D!$L$8),BN44-Uzman_D!$L$8),(ROUND((IF(BN44-Uzman_D!$L$8&lt;0,-(BN44-Uzman_D!$L$8),BN44-Uzman_D!$L$8)*2),0)/1*0.1),0)+IF(BO44-Uzman_D!$M$8&lt;0,-(BO44-Uzman_D!$M$8),BO44-Uzman_D!$M$8)*1)</f>
        <v>-0.30000000000000027</v>
      </c>
      <c r="BQ44" s="72">
        <f t="shared" si="1"/>
        <v>-0.38000000000000012</v>
      </c>
    </row>
    <row r="45" spans="1:69" ht="15" customHeight="1" x14ac:dyDescent="0.45">
      <c r="A45" s="54">
        <v>42</v>
      </c>
      <c r="B45" s="162" t="str">
        <f>Hakemler!B45</f>
        <v>BAKAR</v>
      </c>
      <c r="C45" s="162" t="str">
        <f>Hakemler!C45</f>
        <v>İPEK</v>
      </c>
      <c r="D45" s="56"/>
      <c r="E45" s="56">
        <v>1</v>
      </c>
      <c r="F45" s="56">
        <v>3</v>
      </c>
      <c r="G45" s="56">
        <v>2</v>
      </c>
      <c r="H45" s="56"/>
      <c r="I45" s="56"/>
      <c r="J45" s="56"/>
      <c r="K45" s="56"/>
      <c r="L45" s="56"/>
      <c r="M45" s="56"/>
      <c r="N45" s="70">
        <v>1.5</v>
      </c>
      <c r="O45" s="70">
        <v>0</v>
      </c>
      <c r="P45" s="71">
        <f>1-(SUM(IF(D45-Uzman_D!$B$4&lt;0,-(D45-Uzman_D!$B$4),D45-Uzman_D!$B$4)*0.1+IF(E45-Uzman_D!$C$4&lt;0,-(E45-Uzman_D!$C$4),E45-Uzman_D!$C$4)*0.1+IF(F45-Uzman_D!$D$4&lt;0,-(F45-Uzman_D!$D$4),F45-Uzman_D!$D$4)*0.1+IF(G45-Uzman_D!$E$4&lt;0,-(G45-Uzman_D!$E$4),G45-Uzman_D!$E$4)*0.1+IF(H45-Uzman_D!$F$4&lt;0,-(H45-Uzman_D!$F$4),H45-Uzman_D!$F$4)*0.1+IF(I45-Uzman_D!$G$4&lt;0,-(I45-Uzman_D!$G$4),I45-Uzman_D!$G$4)*0.1+IF(J45-Uzman_D!$H$4&lt;0,-(J45-Uzman_D!$H$4),J45-Uzman_D!$H$4)*0.1+IF(K45-Uzman_D!$I$4&lt;0,-(K45-Uzman_D!$I$4),K45-Uzman_D!$I$4)*0.1+IF(L45-Uzman_D!$J$4&lt;0,-(L45-Uzman_D!$J$4),L45-Uzman_D!$J$4)*0.1)+IF(ROUND((IF(N45-Uzman_D!$L$4&lt;0,-(N45-Uzman_D!$L$4),N45-Uzman_D!$L$4)*2),0)/2=IF(N45-Uzman_D!$L$4&lt;0,-(N45-Uzman_D!$L$4),N45-Uzman_D!$L$4),(ROUND((IF(N45-Uzman_D!$L$4&lt;0,-(N45-Uzman_D!$L$4),N45-Uzman_D!$L$4)*2),0)/1*0.1),0)+IF(O45-Uzman_D!$M$4&lt;0,-(O45-Uzman_D!$M$4),O45-Uzman_D!$M$4)*1)</f>
        <v>0.30000000000000004</v>
      </c>
      <c r="Q45" s="56">
        <v>0</v>
      </c>
      <c r="R45" s="56">
        <v>2</v>
      </c>
      <c r="S45" s="56">
        <v>3</v>
      </c>
      <c r="T45" s="56"/>
      <c r="U45" s="56"/>
      <c r="V45" s="56"/>
      <c r="W45" s="56"/>
      <c r="X45" s="56"/>
      <c r="Y45" s="56"/>
      <c r="Z45" s="56"/>
      <c r="AA45" s="70">
        <v>1</v>
      </c>
      <c r="AB45" s="70">
        <v>0.1</v>
      </c>
      <c r="AC45" s="71">
        <f>1-(SUM(IF(Q45-Uzman_D!$B$5&lt;0,-(Q45-Uzman_D!$B$5),Q45-Uzman_D!$B$5)*0.1+IF(R45-Uzman_D!$C$5&lt;0,-(R45-Uzman_D!$C$5),R45-Uzman_D!$C$5)*0.1+IF(S45-Uzman_D!$D$5&lt;0,-(S45-Uzman_D!$D$5),S45-Uzman_D!$D$5)*0.1+IF(T45-Uzman_D!$E$5&lt;0,-(T45-Uzman_D!$E$5),T45-Uzman_D!$E$5)*0.1+IF(U45-Uzman_D!$F$5&lt;0,-(U45-Uzman_D!$F$5),U45-Uzman_D!$F$5)*0.1+IF(V45-Uzman_D!$G$5&lt;0,-(V45-Uzman_D!$G$5),V45-Uzman_D!$G$5)*0.1+IF(W45-Uzman_D!$H$5&lt;0,-(W45-Uzman_D!$H$5),W45-Uzman_D!$H$5)*0.1+IF(X45-Uzman_D!$I$5&lt;0,-(X45-Uzman_D!$I$5),X45-Uzman_D!$I$5)*0.1+IF(Y45-Uzman_D!$J$5&lt;0,-(Y45-Uzman_D!$J$5),Y45-Uzman_D!$J$5)*0.1)+IF(ROUND((IF(AA45-Uzman_D!$L$5&lt;0,-(AA45-Uzman_D!$L$5),AA45-Uzman_D!$L$5)*2),0)/2=IF(AA45-Uzman_D!$L$5&lt;0,-(AA45-Uzman_D!$L$5),AA45-Uzman_D!$L$5),(ROUND((IF(AA45-Uzman_D!$L$5&lt;0,-(AA45-Uzman_D!$L$5),AA45-Uzman_D!$L$5)*2),0)/1*0.1),0)+IF(AB45-Uzman_D!$M$5&lt;0,-(AB45-Uzman_D!$M$5),AB45-Uzman_D!$M$5)*1)</f>
        <v>0</v>
      </c>
      <c r="AD45" s="56"/>
      <c r="AE45" s="56"/>
      <c r="AF45" s="56">
        <v>0</v>
      </c>
      <c r="AG45" s="56">
        <v>0</v>
      </c>
      <c r="AH45" s="56"/>
      <c r="AI45" s="56"/>
      <c r="AJ45" s="56"/>
      <c r="AK45" s="56"/>
      <c r="AL45" s="56"/>
      <c r="AM45" s="56"/>
      <c r="AN45" s="70">
        <v>1</v>
      </c>
      <c r="AO45" s="70">
        <v>0</v>
      </c>
      <c r="AP45" s="71">
        <f>1-(SUM(IF(AD45-Uzman_D!$B$6&lt;0,-(AD45-Uzman_D!$B$6),AD45-Uzman_D!$B$6)*0.1+IF(AE45-Uzman_D!$C$6&lt;0,-(AE45-Uzman_D!$C$6),AE45-Uzman_D!$C$6)*0.1+IF(AF45-Uzman_D!$D$6&lt;0,-(AF45-Uzman_D!$D$6),AF45-Uzman_D!$D$6)*0.1+IF(AG45-Uzman_D!$E$6&lt;0,-(AG45-Uzman_D!$E$6),AG45-Uzman_D!$E$6)*0.1+IF(AH45-Uzman_D!$F$6&lt;0,-(AH45-Uzman_D!$F$6),AH45-Uzman_D!$F$6)*0.1+IF(AI45-Uzman_D!$G$6&lt;0,-(AI45-Uzman_D!$G$6),AI45-Uzman_D!$G$6)*0.1+IF(AJ45-Uzman_D!$H$6&lt;0,-(AJ45-Uzman_D!$H$6),AJ45-Uzman_D!$H$6)*0.1+IF(AK45-Uzman_D!$I$6&lt;0,-(AK45-Uzman_D!$I$6),AK45-Uzman_D!$I$6)*0.1+IF(AL45-Uzman_D!$J$6&lt;0,-(AL45-Uzman_D!$J$6),AL45-Uzman_D!$J$6)*0.1)+IF(ROUND((IF(AN45-Uzman_D!$L$6&lt;0,-(AN45-Uzman_D!$L$6),AN45-Uzman_D!$L$6)*2),0)/2=IF(AN45-Uzman_D!$L$6&lt;0,-(AN45-Uzman_D!$L$6),AN45-Uzman_D!$L$6),(ROUND((IF(AN45-Uzman_D!$L$6&lt;0,-(AN45-Uzman_D!$L$6),AN45-Uzman_D!$L$6)*2),0)/1*0.1),0)+IF(AO45-Uzman_D!$M$6&lt;0,-(AO45-Uzman_D!$M$6),AO45-Uzman_D!$M$6)*1)</f>
        <v>9.9999999999999978E-2</v>
      </c>
      <c r="AQ45" s="56"/>
      <c r="AR45" s="56"/>
      <c r="AS45" s="56"/>
      <c r="AT45" s="56">
        <v>0</v>
      </c>
      <c r="AU45" s="56">
        <v>0</v>
      </c>
      <c r="AV45" s="56">
        <v>8</v>
      </c>
      <c r="AW45" s="56"/>
      <c r="AX45" s="56"/>
      <c r="AY45" s="56"/>
      <c r="AZ45" s="56"/>
      <c r="BA45" s="70">
        <v>2</v>
      </c>
      <c r="BB45" s="70">
        <v>0.2</v>
      </c>
      <c r="BC45" s="71">
        <f>1-(SUM(IF(AQ45-Uzman_D!$B$7&lt;0,-(AQ45-Uzman_D!$B$7),AQ45-Uzman_D!$B$7)*0.1+IF(AR45-Uzman_D!$C$7&lt;0,-(AR45-Uzman_D!$C$7),AR45-Uzman_D!$C$7)*0.1+IF(AS45-Uzman_D!$D$7&lt;0,-(AS45-Uzman_D!$D$7),AS45-Uzman_D!$D$7)*0.1+IF(AT45-Uzman_D!$E$7&lt;0,-(AT45-Uzman_D!$E$7),AT45-Uzman_D!$E$7)*0.1+IF(AU45-Uzman_D!$F$7&lt;0,-(AU45-Uzman_D!$F$7),AU45-Uzman_D!$F$7)*0.1+IF(AV45-Uzman_D!$G$7&lt;0,-(AV45-Uzman_D!$G$7),AV45-Uzman_D!$G$7)*0.1+IF(AW45-Uzman_D!$H$7&lt;0,-(AW45-Uzman_D!$H$7),AW45-Uzman_D!$H$7)*0.1+IF(AX45-Uzman_D!$I$7&lt;0,-(AX45-Uzman_D!$I$7),AX45-Uzman_D!$I$7)*0.1+IF(AY45-Uzman_D!$J$7&lt;0,-(AY45-Uzman_D!$J$7),AY45-Uzman_D!$J$7)*0.1)+IF(ROUND((IF(BA45-Uzman_D!$L$7&lt;0,-(BA45-Uzman_D!$L$7),BA45-Uzman_D!$L$7)*2),0)/2=IF(BA45-Uzman_D!$L$7&lt;0,-(BA45-Uzman_D!$L$7),BA45-Uzman_D!$L$7),(ROUND((IF(BA45-Uzman_D!$L$7&lt;0,-(BA45-Uzman_D!$L$7),BA45-Uzman_D!$L$7)*2),0)/1*0.1),0)+IF(BB45-Uzman_D!$M$7&lt;0,-(BB45-Uzman_D!$M$7),BB45-Uzman_D!$M$7)*1)</f>
        <v>-0.7</v>
      </c>
      <c r="BD45" s="56"/>
      <c r="BE45" s="56"/>
      <c r="BF45" s="56"/>
      <c r="BG45" s="56">
        <v>0</v>
      </c>
      <c r="BH45" s="56">
        <v>0</v>
      </c>
      <c r="BI45" s="56">
        <v>7</v>
      </c>
      <c r="BJ45" s="56"/>
      <c r="BK45" s="56"/>
      <c r="BL45" s="56"/>
      <c r="BM45" s="56"/>
      <c r="BN45" s="70">
        <v>2</v>
      </c>
      <c r="BO45" s="70">
        <v>0.2</v>
      </c>
      <c r="BP45" s="71">
        <f>1-(SUM(IF(BD45-Uzman_D!$B$8&lt;0,-(BD45-Uzman_D!$B$8),BD45-Uzman_D!$B$8)*0.1+IF(BE45-Uzman_D!$C$8&lt;0,-(BE45-Uzman_D!$C$8),BE45-Uzman_D!$C$8)*0.1+IF(BF45-Uzman_D!$D$8&lt;0,-(BF45-Uzman_D!$D$8),BF45-Uzman_D!$D$8)*0.1+IF(BG45-Uzman_D!$E$8&lt;0,-(BG45-Uzman_D!$E$8),BG45-Uzman_D!$E$8)*0.1+IF(BH45-Uzman_D!$F$8&lt;0,-(BH45-Uzman_D!$F$8),BH45-Uzman_D!$F$8)*0.1+IF(BI45-Uzman_D!$G$8&lt;0,-(BI45-Uzman_D!$G$8),BI45-Uzman_D!$G$8)*0.1+IF(BJ45-Uzman_D!$H$8&lt;0,-(BJ45-Uzman_D!$H$8),BJ45-Uzman_D!$H$8)*0.1+IF(BK45-Uzman_D!$I$8&lt;0,-(BK45-Uzman_D!$I$8),BK45-Uzman_D!$I$8)*0.1+IF(BL45-Uzman_D!$J$8&lt;0,-(BL45-Uzman_D!$J$8),BL45-Uzman_D!$J$8)*0.1)+IF(ROUND((IF(BN45-Uzman_D!$L$8&lt;0,-(BN45-Uzman_D!$L$8),BN45-Uzman_D!$L$8)*2),0)/2=IF(BN45-Uzman_D!$L$8&lt;0,-(BN45-Uzman_D!$L$8),BN45-Uzman_D!$L$8),(ROUND((IF(BN45-Uzman_D!$L$8&lt;0,-(BN45-Uzman_D!$L$8),BN45-Uzman_D!$L$8)*2),0)/1*0.1),0)+IF(BO45-Uzman_D!$M$8&lt;0,-(BO45-Uzman_D!$M$8),BO45-Uzman_D!$M$8)*1)</f>
        <v>-0.90000000000000036</v>
      </c>
      <c r="BQ45" s="72">
        <f t="shared" si="1"/>
        <v>-0.24000000000000005</v>
      </c>
    </row>
    <row r="46" spans="1:69" ht="15" customHeight="1" x14ac:dyDescent="0.45">
      <c r="A46" s="54">
        <v>43</v>
      </c>
      <c r="B46" s="163" t="str">
        <f>Hakemler!B46</f>
        <v>UÇAK</v>
      </c>
      <c r="C46" s="163" t="str">
        <f>Hakemler!C46</f>
        <v>ECEM</v>
      </c>
      <c r="D46" s="56">
        <v>0</v>
      </c>
      <c r="E46" s="56">
        <v>0</v>
      </c>
      <c r="F46" s="56">
        <v>2</v>
      </c>
      <c r="G46" s="56">
        <v>0</v>
      </c>
      <c r="H46" s="56">
        <v>1</v>
      </c>
      <c r="I46" s="56"/>
      <c r="J46" s="56"/>
      <c r="K46" s="56"/>
      <c r="L46" s="56"/>
      <c r="M46" s="56"/>
      <c r="N46" s="70">
        <v>1.5</v>
      </c>
      <c r="O46" s="70">
        <v>0.5</v>
      </c>
      <c r="P46" s="71">
        <f>1-(SUM(IF(D46-Uzman_D!$B$4&lt;0,-(D46-Uzman_D!$B$4),D46-Uzman_D!$B$4)*0.1+IF(E46-Uzman_D!$C$4&lt;0,-(E46-Uzman_D!$C$4),E46-Uzman_D!$C$4)*0.1+IF(F46-Uzman_D!$D$4&lt;0,-(F46-Uzman_D!$D$4),F46-Uzman_D!$D$4)*0.1+IF(G46-Uzman_D!$E$4&lt;0,-(G46-Uzman_D!$E$4),G46-Uzman_D!$E$4)*0.1+IF(H46-Uzman_D!$F$4&lt;0,-(H46-Uzman_D!$F$4),H46-Uzman_D!$F$4)*0.1+IF(I46-Uzman_D!$G$4&lt;0,-(I46-Uzman_D!$G$4),I46-Uzman_D!$G$4)*0.1+IF(J46-Uzman_D!$H$4&lt;0,-(J46-Uzman_D!$H$4),J46-Uzman_D!$H$4)*0.1+IF(K46-Uzman_D!$I$4&lt;0,-(K46-Uzman_D!$I$4),K46-Uzman_D!$I$4)*0.1+IF(L46-Uzman_D!$J$4&lt;0,-(L46-Uzman_D!$J$4),L46-Uzman_D!$J$4)*0.1)+IF(ROUND((IF(N46-Uzman_D!$L$4&lt;0,-(N46-Uzman_D!$L$4),N46-Uzman_D!$L$4)*2),0)/2=IF(N46-Uzman_D!$L$4&lt;0,-(N46-Uzman_D!$L$4),N46-Uzman_D!$L$4),(ROUND((IF(N46-Uzman_D!$L$4&lt;0,-(N46-Uzman_D!$L$4),N46-Uzman_D!$L$4)*2),0)/1*0.1),0)+IF(O46-Uzman_D!$M$4&lt;0,-(O46-Uzman_D!$M$4),O46-Uzman_D!$M$4)*1)</f>
        <v>-0.29999999999999982</v>
      </c>
      <c r="Q46" s="56">
        <v>0</v>
      </c>
      <c r="R46" s="56">
        <v>1</v>
      </c>
      <c r="S46" s="56">
        <v>3</v>
      </c>
      <c r="T46" s="56">
        <v>0</v>
      </c>
      <c r="U46" s="56">
        <v>1</v>
      </c>
      <c r="V46" s="56">
        <v>1</v>
      </c>
      <c r="W46" s="56"/>
      <c r="X46" s="56"/>
      <c r="Y46" s="56"/>
      <c r="Z46" s="56"/>
      <c r="AA46" s="70">
        <v>0.5</v>
      </c>
      <c r="AB46" s="70">
        <v>0.1</v>
      </c>
      <c r="AC46" s="71">
        <f>1-(SUM(IF(Q46-Uzman_D!$B$5&lt;0,-(Q46-Uzman_D!$B$5),Q46-Uzman_D!$B$5)*0.1+IF(R46-Uzman_D!$C$5&lt;0,-(R46-Uzman_D!$C$5),R46-Uzman_D!$C$5)*0.1+IF(S46-Uzman_D!$D$5&lt;0,-(S46-Uzman_D!$D$5),S46-Uzman_D!$D$5)*0.1+IF(T46-Uzman_D!$E$5&lt;0,-(T46-Uzman_D!$E$5),T46-Uzman_D!$E$5)*0.1+IF(U46-Uzman_D!$F$5&lt;0,-(U46-Uzman_D!$F$5),U46-Uzman_D!$F$5)*0.1+IF(V46-Uzman_D!$G$5&lt;0,-(V46-Uzman_D!$G$5),V46-Uzman_D!$G$5)*0.1+IF(W46-Uzman_D!$H$5&lt;0,-(W46-Uzman_D!$H$5),W46-Uzman_D!$H$5)*0.1+IF(X46-Uzman_D!$I$5&lt;0,-(X46-Uzman_D!$I$5),X46-Uzman_D!$I$5)*0.1+IF(Y46-Uzman_D!$J$5&lt;0,-(Y46-Uzman_D!$J$5),Y46-Uzman_D!$J$5)*0.1)+IF(ROUND((IF(AA46-Uzman_D!$L$5&lt;0,-(AA46-Uzman_D!$L$5),AA46-Uzman_D!$L$5)*2),0)/2=IF(AA46-Uzman_D!$L$5&lt;0,-(AA46-Uzman_D!$L$5),AA46-Uzman_D!$L$5),(ROUND((IF(AA46-Uzman_D!$L$5&lt;0,-(AA46-Uzman_D!$L$5),AA46-Uzman_D!$L$5)*2),0)/1*0.1),0)+IF(AB46-Uzman_D!$M$5&lt;0,-(AB46-Uzman_D!$M$5),AB46-Uzman_D!$M$5)*1)</f>
        <v>-0.40000000000000013</v>
      </c>
      <c r="AD46" s="56">
        <v>0</v>
      </c>
      <c r="AE46" s="56">
        <v>2</v>
      </c>
      <c r="AF46" s="56">
        <v>3</v>
      </c>
      <c r="AG46" s="56">
        <v>2</v>
      </c>
      <c r="AH46" s="56"/>
      <c r="AI46" s="56"/>
      <c r="AJ46" s="56"/>
      <c r="AK46" s="56"/>
      <c r="AL46" s="56"/>
      <c r="AM46" s="56"/>
      <c r="AN46" s="70">
        <v>0</v>
      </c>
      <c r="AO46" s="70">
        <v>0.1</v>
      </c>
      <c r="AP46" s="71">
        <f>1-(SUM(IF(AD46-Uzman_D!$B$6&lt;0,-(AD46-Uzman_D!$B$6),AD46-Uzman_D!$B$6)*0.1+IF(AE46-Uzman_D!$C$6&lt;0,-(AE46-Uzman_D!$C$6),AE46-Uzman_D!$C$6)*0.1+IF(AF46-Uzman_D!$D$6&lt;0,-(AF46-Uzman_D!$D$6),AF46-Uzman_D!$D$6)*0.1+IF(AG46-Uzman_D!$E$6&lt;0,-(AG46-Uzman_D!$E$6),AG46-Uzman_D!$E$6)*0.1+IF(AH46-Uzman_D!$F$6&lt;0,-(AH46-Uzman_D!$F$6),AH46-Uzman_D!$F$6)*0.1+IF(AI46-Uzman_D!$G$6&lt;0,-(AI46-Uzman_D!$G$6),AI46-Uzman_D!$G$6)*0.1+IF(AJ46-Uzman_D!$H$6&lt;0,-(AJ46-Uzman_D!$H$6),AJ46-Uzman_D!$H$6)*0.1+IF(AK46-Uzman_D!$I$6&lt;0,-(AK46-Uzman_D!$I$6),AK46-Uzman_D!$I$6)*0.1+IF(AL46-Uzman_D!$J$6&lt;0,-(AL46-Uzman_D!$J$6),AL46-Uzman_D!$J$6)*0.1)+IF(ROUND((IF(AN46-Uzman_D!$L$6&lt;0,-(AN46-Uzman_D!$L$6),AN46-Uzman_D!$L$6)*2),0)/2=IF(AN46-Uzman_D!$L$6&lt;0,-(AN46-Uzman_D!$L$6),AN46-Uzman_D!$L$6),(ROUND((IF(AN46-Uzman_D!$L$6&lt;0,-(AN46-Uzman_D!$L$6),AN46-Uzman_D!$L$6)*2),0)/1*0.1),0)+IF(AO46-Uzman_D!$M$6&lt;0,-(AO46-Uzman_D!$M$6),AO46-Uzman_D!$M$6)*1)</f>
        <v>0.29999999999999993</v>
      </c>
      <c r="AQ46" s="56">
        <v>0</v>
      </c>
      <c r="AR46" s="56">
        <v>2</v>
      </c>
      <c r="AS46" s="56">
        <v>0</v>
      </c>
      <c r="AT46" s="56">
        <v>0</v>
      </c>
      <c r="AU46" s="56">
        <v>1</v>
      </c>
      <c r="AV46" s="56"/>
      <c r="AW46" s="56"/>
      <c r="AX46" s="56"/>
      <c r="AY46" s="56"/>
      <c r="AZ46" s="56"/>
      <c r="BA46" s="70">
        <v>1.5</v>
      </c>
      <c r="BB46" s="70">
        <v>0.4</v>
      </c>
      <c r="BC46" s="71">
        <f>1-(SUM(IF(AQ46-Uzman_D!$B$7&lt;0,-(AQ46-Uzman_D!$B$7),AQ46-Uzman_D!$B$7)*0.1+IF(AR46-Uzman_D!$C$7&lt;0,-(AR46-Uzman_D!$C$7),AR46-Uzman_D!$C$7)*0.1+IF(AS46-Uzman_D!$D$7&lt;0,-(AS46-Uzman_D!$D$7),AS46-Uzman_D!$D$7)*0.1+IF(AT46-Uzman_D!$E$7&lt;0,-(AT46-Uzman_D!$E$7),AT46-Uzman_D!$E$7)*0.1+IF(AU46-Uzman_D!$F$7&lt;0,-(AU46-Uzman_D!$F$7),AU46-Uzman_D!$F$7)*0.1+IF(AV46-Uzman_D!$G$7&lt;0,-(AV46-Uzman_D!$G$7),AV46-Uzman_D!$G$7)*0.1+IF(AW46-Uzman_D!$H$7&lt;0,-(AW46-Uzman_D!$H$7),AW46-Uzman_D!$H$7)*0.1+IF(AX46-Uzman_D!$I$7&lt;0,-(AX46-Uzman_D!$I$7),AX46-Uzman_D!$I$7)*0.1+IF(AY46-Uzman_D!$J$7&lt;0,-(AY46-Uzman_D!$J$7),AY46-Uzman_D!$J$7)*0.1)+IF(ROUND((IF(BA46-Uzman_D!$L$7&lt;0,-(BA46-Uzman_D!$L$7),BA46-Uzman_D!$L$7)*2),0)/2=IF(BA46-Uzman_D!$L$7&lt;0,-(BA46-Uzman_D!$L$7),BA46-Uzman_D!$L$7),(ROUND((IF(BA46-Uzman_D!$L$7&lt;0,-(BA46-Uzman_D!$L$7),BA46-Uzman_D!$L$7)*2),0)/1*0.1),0)+IF(BB46-Uzman_D!$M$7&lt;0,-(BB46-Uzman_D!$M$7),BB46-Uzman_D!$M$7)*1)</f>
        <v>-0.10000000000000009</v>
      </c>
      <c r="BD46" s="56">
        <v>0</v>
      </c>
      <c r="BE46" s="56">
        <v>0</v>
      </c>
      <c r="BF46" s="56"/>
      <c r="BG46" s="56">
        <v>1</v>
      </c>
      <c r="BH46" s="56">
        <v>1</v>
      </c>
      <c r="BI46" s="56">
        <v>1</v>
      </c>
      <c r="BJ46" s="56"/>
      <c r="BK46" s="56"/>
      <c r="BL46" s="56"/>
      <c r="BM46" s="56"/>
      <c r="BN46" s="70">
        <v>1.5</v>
      </c>
      <c r="BO46" s="70">
        <v>1</v>
      </c>
      <c r="BP46" s="71">
        <f>1-(SUM(IF(BD46-Uzman_D!$B$8&lt;0,-(BD46-Uzman_D!$B$8),BD46-Uzman_D!$B$8)*0.1+IF(BE46-Uzman_D!$C$8&lt;0,-(BE46-Uzman_D!$C$8),BE46-Uzman_D!$C$8)*0.1+IF(BF46-Uzman_D!$D$8&lt;0,-(BF46-Uzman_D!$D$8),BF46-Uzman_D!$D$8)*0.1+IF(BG46-Uzman_D!$E$8&lt;0,-(BG46-Uzman_D!$E$8),BG46-Uzman_D!$E$8)*0.1+IF(BH46-Uzman_D!$F$8&lt;0,-(BH46-Uzman_D!$F$8),BH46-Uzman_D!$F$8)*0.1+IF(BI46-Uzman_D!$G$8&lt;0,-(BI46-Uzman_D!$G$8),BI46-Uzman_D!$G$8)*0.1+IF(BJ46-Uzman_D!$H$8&lt;0,-(BJ46-Uzman_D!$H$8),BJ46-Uzman_D!$H$8)*0.1+IF(BK46-Uzman_D!$I$8&lt;0,-(BK46-Uzman_D!$I$8),BK46-Uzman_D!$I$8)*0.1+IF(BL46-Uzman_D!$J$8&lt;0,-(BL46-Uzman_D!$J$8),BL46-Uzman_D!$J$8)*0.1)+IF(ROUND((IF(BN46-Uzman_D!$L$8&lt;0,-(BN46-Uzman_D!$L$8),BN46-Uzman_D!$L$8)*2),0)/2=IF(BN46-Uzman_D!$L$8&lt;0,-(BN46-Uzman_D!$L$8),BN46-Uzman_D!$L$8),(ROUND((IF(BN46-Uzman_D!$L$8&lt;0,-(BN46-Uzman_D!$L$8),BN46-Uzman_D!$L$8)*2),0)/1*0.1),0)+IF(BO46-Uzman_D!$M$8&lt;0,-(BO46-Uzman_D!$M$8),BO46-Uzman_D!$M$8)*1)</f>
        <v>0.20000000000000007</v>
      </c>
      <c r="BQ46" s="72">
        <f t="shared" si="1"/>
        <v>-6.0000000000000012E-2</v>
      </c>
    </row>
    <row r="47" spans="1:69" ht="15" customHeight="1" x14ac:dyDescent="0.45">
      <c r="A47" s="54">
        <v>44</v>
      </c>
      <c r="B47" s="163" t="str">
        <f>Hakemler!B47</f>
        <v>EFENDİAĞA</v>
      </c>
      <c r="C47" s="163" t="str">
        <f>Hakemler!C47</f>
        <v>EMİNE AYÇA</v>
      </c>
      <c r="D47" s="56">
        <v>1</v>
      </c>
      <c r="E47" s="56"/>
      <c r="F47" s="56">
        <v>3</v>
      </c>
      <c r="G47" s="56">
        <v>3</v>
      </c>
      <c r="H47" s="56">
        <v>1</v>
      </c>
      <c r="I47" s="56"/>
      <c r="J47" s="56"/>
      <c r="K47" s="56"/>
      <c r="L47" s="56"/>
      <c r="M47" s="56"/>
      <c r="N47" s="70">
        <v>1</v>
      </c>
      <c r="O47" s="70">
        <v>0</v>
      </c>
      <c r="P47" s="71">
        <f>1-(SUM(IF(D47-Uzman_D!$B$4&lt;0,-(D47-Uzman_D!$B$4),D47-Uzman_D!$B$4)*0.1+IF(E47-Uzman_D!$C$4&lt;0,-(E47-Uzman_D!$C$4),E47-Uzman_D!$C$4)*0.1+IF(F47-Uzman_D!$D$4&lt;0,-(F47-Uzman_D!$D$4),F47-Uzman_D!$D$4)*0.1+IF(G47-Uzman_D!$E$4&lt;0,-(G47-Uzman_D!$E$4),G47-Uzman_D!$E$4)*0.1+IF(H47-Uzman_D!$F$4&lt;0,-(H47-Uzman_D!$F$4),H47-Uzman_D!$F$4)*0.1+IF(I47-Uzman_D!$G$4&lt;0,-(I47-Uzman_D!$G$4),I47-Uzman_D!$G$4)*0.1+IF(J47-Uzman_D!$H$4&lt;0,-(J47-Uzman_D!$H$4),J47-Uzman_D!$H$4)*0.1+IF(K47-Uzman_D!$I$4&lt;0,-(K47-Uzman_D!$I$4),K47-Uzman_D!$I$4)*0.1+IF(L47-Uzman_D!$J$4&lt;0,-(L47-Uzman_D!$J$4),L47-Uzman_D!$J$4)*0.1)+IF(ROUND((IF(N47-Uzman_D!$L$4&lt;0,-(N47-Uzman_D!$L$4),N47-Uzman_D!$L$4)*2),0)/2=IF(N47-Uzman_D!$L$4&lt;0,-(N47-Uzman_D!$L$4),N47-Uzman_D!$L$4),(ROUND((IF(N47-Uzman_D!$L$4&lt;0,-(N47-Uzman_D!$L$4),N47-Uzman_D!$L$4)*2),0)/1*0.1),0)+IF(O47-Uzman_D!$M$4&lt;0,-(O47-Uzman_D!$M$4),O47-Uzman_D!$M$4)*1)</f>
        <v>0</v>
      </c>
      <c r="Q47" s="56"/>
      <c r="R47" s="56">
        <v>2</v>
      </c>
      <c r="S47" s="56">
        <v>3</v>
      </c>
      <c r="T47" s="56">
        <v>4</v>
      </c>
      <c r="U47" s="56"/>
      <c r="V47" s="56"/>
      <c r="W47" s="56"/>
      <c r="X47" s="56"/>
      <c r="Y47" s="56"/>
      <c r="Z47" s="56"/>
      <c r="AA47" s="70">
        <v>2</v>
      </c>
      <c r="AB47" s="70">
        <v>0.1</v>
      </c>
      <c r="AC47" s="71">
        <f>1-(SUM(IF(Q47-Uzman_D!$B$5&lt;0,-(Q47-Uzman_D!$B$5),Q47-Uzman_D!$B$5)*0.1+IF(R47-Uzman_D!$C$5&lt;0,-(R47-Uzman_D!$C$5),R47-Uzman_D!$C$5)*0.1+IF(S47-Uzman_D!$D$5&lt;0,-(S47-Uzman_D!$D$5),S47-Uzman_D!$D$5)*0.1+IF(T47-Uzman_D!$E$5&lt;0,-(T47-Uzman_D!$E$5),T47-Uzman_D!$E$5)*0.1+IF(U47-Uzman_D!$F$5&lt;0,-(U47-Uzman_D!$F$5),U47-Uzman_D!$F$5)*0.1+IF(V47-Uzman_D!$G$5&lt;0,-(V47-Uzman_D!$G$5),V47-Uzman_D!$G$5)*0.1+IF(W47-Uzman_D!$H$5&lt;0,-(W47-Uzman_D!$H$5),W47-Uzman_D!$H$5)*0.1+IF(X47-Uzman_D!$I$5&lt;0,-(X47-Uzman_D!$I$5),X47-Uzman_D!$I$5)*0.1+IF(Y47-Uzman_D!$J$5&lt;0,-(Y47-Uzman_D!$J$5),Y47-Uzman_D!$J$5)*0.1)+IF(ROUND((IF(AA47-Uzman_D!$L$5&lt;0,-(AA47-Uzman_D!$L$5),AA47-Uzman_D!$L$5)*2),0)/2=IF(AA47-Uzman_D!$L$5&lt;0,-(AA47-Uzman_D!$L$5),AA47-Uzman_D!$L$5),(ROUND((IF(AA47-Uzman_D!$L$5&lt;0,-(AA47-Uzman_D!$L$5),AA47-Uzman_D!$L$5)*2),0)/1*0.1),0)+IF(AB47-Uzman_D!$M$5&lt;0,-(AB47-Uzman_D!$M$5),AB47-Uzman_D!$M$5)*1)</f>
        <v>0.6</v>
      </c>
      <c r="AD47" s="56">
        <v>3</v>
      </c>
      <c r="AE47" s="56"/>
      <c r="AF47" s="56"/>
      <c r="AG47" s="56">
        <v>1</v>
      </c>
      <c r="AH47" s="56"/>
      <c r="AI47" s="56"/>
      <c r="AJ47" s="56"/>
      <c r="AK47" s="56"/>
      <c r="AL47" s="56"/>
      <c r="AM47" s="56"/>
      <c r="AN47" s="70">
        <v>1.5</v>
      </c>
      <c r="AO47" s="70">
        <v>0</v>
      </c>
      <c r="AP47" s="71">
        <f>1-(SUM(IF(AD47-Uzman_D!$B$6&lt;0,-(AD47-Uzman_D!$B$6),AD47-Uzman_D!$B$6)*0.1+IF(AE47-Uzman_D!$C$6&lt;0,-(AE47-Uzman_D!$C$6),AE47-Uzman_D!$C$6)*0.1+IF(AF47-Uzman_D!$D$6&lt;0,-(AF47-Uzman_D!$D$6),AF47-Uzman_D!$D$6)*0.1+IF(AG47-Uzman_D!$E$6&lt;0,-(AG47-Uzman_D!$E$6),AG47-Uzman_D!$E$6)*0.1+IF(AH47-Uzman_D!$F$6&lt;0,-(AH47-Uzman_D!$F$6),AH47-Uzman_D!$F$6)*0.1+IF(AI47-Uzman_D!$G$6&lt;0,-(AI47-Uzman_D!$G$6),AI47-Uzman_D!$G$6)*0.1+IF(AJ47-Uzman_D!$H$6&lt;0,-(AJ47-Uzman_D!$H$6),AJ47-Uzman_D!$H$6)*0.1+IF(AK47-Uzman_D!$I$6&lt;0,-(AK47-Uzman_D!$I$6),AK47-Uzman_D!$I$6)*0.1+IF(AL47-Uzman_D!$J$6&lt;0,-(AL47-Uzman_D!$J$6),AL47-Uzman_D!$J$6)*0.1)+IF(ROUND((IF(AN47-Uzman_D!$L$6&lt;0,-(AN47-Uzman_D!$L$6),AN47-Uzman_D!$L$6)*2),0)/2=IF(AN47-Uzman_D!$L$6&lt;0,-(AN47-Uzman_D!$L$6),AN47-Uzman_D!$L$6),(ROUND((IF(AN47-Uzman_D!$L$6&lt;0,-(AN47-Uzman_D!$L$6),AN47-Uzman_D!$L$6)*2),0)/1*0.1),0)+IF(AO47-Uzman_D!$M$6&lt;0,-(AO47-Uzman_D!$M$6),AO47-Uzman_D!$M$6)*1)</f>
        <v>0</v>
      </c>
      <c r="AQ47" s="56"/>
      <c r="AR47" s="56"/>
      <c r="AS47" s="56">
        <v>2</v>
      </c>
      <c r="AT47" s="56">
        <v>2</v>
      </c>
      <c r="AU47" s="56">
        <v>3</v>
      </c>
      <c r="AV47" s="56">
        <v>1</v>
      </c>
      <c r="AW47" s="56"/>
      <c r="AX47" s="56"/>
      <c r="AY47" s="56"/>
      <c r="AZ47" s="56"/>
      <c r="BA47" s="70">
        <v>2</v>
      </c>
      <c r="BB47" s="70">
        <v>0.2</v>
      </c>
      <c r="BC47" s="71">
        <f>1-(SUM(IF(AQ47-Uzman_D!$B$7&lt;0,-(AQ47-Uzman_D!$B$7),AQ47-Uzman_D!$B$7)*0.1+IF(AR47-Uzman_D!$C$7&lt;0,-(AR47-Uzman_D!$C$7),AR47-Uzman_D!$C$7)*0.1+IF(AS47-Uzman_D!$D$7&lt;0,-(AS47-Uzman_D!$D$7),AS47-Uzman_D!$D$7)*0.1+IF(AT47-Uzman_D!$E$7&lt;0,-(AT47-Uzman_D!$E$7),AT47-Uzman_D!$E$7)*0.1+IF(AU47-Uzman_D!$F$7&lt;0,-(AU47-Uzman_D!$F$7),AU47-Uzman_D!$F$7)*0.1+IF(AV47-Uzman_D!$G$7&lt;0,-(AV47-Uzman_D!$G$7),AV47-Uzman_D!$G$7)*0.1+IF(AW47-Uzman_D!$H$7&lt;0,-(AW47-Uzman_D!$H$7),AW47-Uzman_D!$H$7)*0.1+IF(AX47-Uzman_D!$I$7&lt;0,-(AX47-Uzman_D!$I$7),AX47-Uzman_D!$I$7)*0.1+IF(AY47-Uzman_D!$J$7&lt;0,-(AY47-Uzman_D!$J$7),AY47-Uzman_D!$J$7)*0.1)+IF(ROUND((IF(BA47-Uzman_D!$L$7&lt;0,-(BA47-Uzman_D!$L$7),BA47-Uzman_D!$L$7)*2),0)/2=IF(BA47-Uzman_D!$L$7&lt;0,-(BA47-Uzman_D!$L$7),BA47-Uzman_D!$L$7),(ROUND((IF(BA47-Uzman_D!$L$7&lt;0,-(BA47-Uzman_D!$L$7),BA47-Uzman_D!$L$7)*2),0)/1*0.1),0)+IF(BB47-Uzman_D!$M$7&lt;0,-(BB47-Uzman_D!$M$7),BB47-Uzman_D!$M$7)*1)</f>
        <v>0.30000000000000004</v>
      </c>
      <c r="BD47" s="56"/>
      <c r="BE47" s="56"/>
      <c r="BF47" s="56"/>
      <c r="BG47" s="56">
        <v>3</v>
      </c>
      <c r="BH47" s="56">
        <v>4</v>
      </c>
      <c r="BI47" s="56"/>
      <c r="BJ47" s="56"/>
      <c r="BK47" s="56"/>
      <c r="BL47" s="56"/>
      <c r="BM47" s="56"/>
      <c r="BN47" s="70">
        <v>2</v>
      </c>
      <c r="BO47" s="70">
        <v>0.2</v>
      </c>
      <c r="BP47" s="71">
        <f>1-(SUM(IF(BD47-Uzman_D!$B$8&lt;0,-(BD47-Uzman_D!$B$8),BD47-Uzman_D!$B$8)*0.1+IF(BE47-Uzman_D!$C$8&lt;0,-(BE47-Uzman_D!$C$8),BE47-Uzman_D!$C$8)*0.1+IF(BF47-Uzman_D!$D$8&lt;0,-(BF47-Uzman_D!$D$8),BF47-Uzman_D!$D$8)*0.1+IF(BG47-Uzman_D!$E$8&lt;0,-(BG47-Uzman_D!$E$8),BG47-Uzman_D!$E$8)*0.1+IF(BH47-Uzman_D!$F$8&lt;0,-(BH47-Uzman_D!$F$8),BH47-Uzman_D!$F$8)*0.1+IF(BI47-Uzman_D!$G$8&lt;0,-(BI47-Uzman_D!$G$8),BI47-Uzman_D!$G$8)*0.1+IF(BJ47-Uzman_D!$H$8&lt;0,-(BJ47-Uzman_D!$H$8),BJ47-Uzman_D!$H$8)*0.1+IF(BK47-Uzman_D!$I$8&lt;0,-(BK47-Uzman_D!$I$8),BK47-Uzman_D!$I$8)*0.1+IF(BL47-Uzman_D!$J$8&lt;0,-(BL47-Uzman_D!$J$8),BL47-Uzman_D!$J$8)*0.1)+IF(ROUND((IF(BN47-Uzman_D!$L$8&lt;0,-(BN47-Uzman_D!$L$8),BN47-Uzman_D!$L$8)*2),0)/2=IF(BN47-Uzman_D!$L$8&lt;0,-(BN47-Uzman_D!$L$8),BN47-Uzman_D!$L$8),(ROUND((IF(BN47-Uzman_D!$L$8&lt;0,-(BN47-Uzman_D!$L$8),BN47-Uzman_D!$L$8)*2),0)/1*0.1),0)+IF(BO47-Uzman_D!$M$8&lt;0,-(BO47-Uzman_D!$M$8),BO47-Uzman_D!$M$8)*1)</f>
        <v>-0.30000000000000027</v>
      </c>
      <c r="BQ47" s="72">
        <f t="shared" si="1"/>
        <v>0.11999999999999995</v>
      </c>
    </row>
    <row r="48" spans="1:69" ht="15" customHeight="1" x14ac:dyDescent="0.45">
      <c r="A48" s="54">
        <v>45</v>
      </c>
      <c r="B48" s="162" t="str">
        <f>Hakemler!B48</f>
        <v>DAL</v>
      </c>
      <c r="C48" s="162" t="str">
        <f>Hakemler!C48</f>
        <v>SİNEM</v>
      </c>
      <c r="D48" s="56">
        <v>0</v>
      </c>
      <c r="E48" s="56">
        <v>0</v>
      </c>
      <c r="F48" s="56">
        <v>0</v>
      </c>
      <c r="G48" s="56">
        <v>2</v>
      </c>
      <c r="H48" s="56">
        <v>1</v>
      </c>
      <c r="I48" s="56"/>
      <c r="J48" s="56"/>
      <c r="K48" s="56"/>
      <c r="L48" s="56"/>
      <c r="M48" s="56"/>
      <c r="N48" s="70">
        <v>1</v>
      </c>
      <c r="O48" s="70">
        <v>0.1</v>
      </c>
      <c r="P48" s="71">
        <f>1-(SUM(IF(D48-Uzman_D!$B$4&lt;0,-(D48-Uzman_D!$B$4),D48-Uzman_D!$B$4)*0.1+IF(E48-Uzman_D!$C$4&lt;0,-(E48-Uzman_D!$C$4),E48-Uzman_D!$C$4)*0.1+IF(F48-Uzman_D!$D$4&lt;0,-(F48-Uzman_D!$D$4),F48-Uzman_D!$D$4)*0.1+IF(G48-Uzman_D!$E$4&lt;0,-(G48-Uzman_D!$E$4),G48-Uzman_D!$E$4)*0.1+IF(H48-Uzman_D!$F$4&lt;0,-(H48-Uzman_D!$F$4),H48-Uzman_D!$F$4)*0.1+IF(I48-Uzman_D!$G$4&lt;0,-(I48-Uzman_D!$G$4),I48-Uzman_D!$G$4)*0.1+IF(J48-Uzman_D!$H$4&lt;0,-(J48-Uzman_D!$H$4),J48-Uzman_D!$H$4)*0.1+IF(K48-Uzman_D!$I$4&lt;0,-(K48-Uzman_D!$I$4),K48-Uzman_D!$I$4)*0.1+IF(L48-Uzman_D!$J$4&lt;0,-(L48-Uzman_D!$J$4),L48-Uzman_D!$J$4)*0.1)+IF(ROUND((IF(N48-Uzman_D!$L$4&lt;0,-(N48-Uzman_D!$L$4),N48-Uzman_D!$L$4)*2),0)/2=IF(N48-Uzman_D!$L$4&lt;0,-(N48-Uzman_D!$L$4),N48-Uzman_D!$L$4),(ROUND((IF(N48-Uzman_D!$L$4&lt;0,-(N48-Uzman_D!$L$4),N48-Uzman_D!$L$4)*2),0)/1*0.1),0)+IF(O48-Uzman_D!$M$4&lt;0,-(O48-Uzman_D!$M$4),O48-Uzman_D!$M$4)*1)</f>
        <v>-0.19999999999999996</v>
      </c>
      <c r="Q48" s="56">
        <v>1</v>
      </c>
      <c r="R48" s="56">
        <v>1</v>
      </c>
      <c r="S48" s="56">
        <v>2</v>
      </c>
      <c r="T48" s="56">
        <v>2</v>
      </c>
      <c r="U48" s="56"/>
      <c r="V48" s="56">
        <v>4</v>
      </c>
      <c r="W48" s="56"/>
      <c r="X48" s="56"/>
      <c r="Y48" s="56"/>
      <c r="Z48" s="56"/>
      <c r="AA48" s="70">
        <v>1.5</v>
      </c>
      <c r="AB48" s="70">
        <v>0.2</v>
      </c>
      <c r="AC48" s="71">
        <f>1-(SUM(IF(Q48-Uzman_D!$B$5&lt;0,-(Q48-Uzman_D!$B$5),Q48-Uzman_D!$B$5)*0.1+IF(R48-Uzman_D!$C$5&lt;0,-(R48-Uzman_D!$C$5),R48-Uzman_D!$C$5)*0.1+IF(S48-Uzman_D!$D$5&lt;0,-(S48-Uzman_D!$D$5),S48-Uzman_D!$D$5)*0.1+IF(T48-Uzman_D!$E$5&lt;0,-(T48-Uzman_D!$E$5),T48-Uzman_D!$E$5)*0.1+IF(U48-Uzman_D!$F$5&lt;0,-(U48-Uzman_D!$F$5),U48-Uzman_D!$F$5)*0.1+IF(V48-Uzman_D!$G$5&lt;0,-(V48-Uzman_D!$G$5),V48-Uzman_D!$G$5)*0.1+IF(W48-Uzman_D!$H$5&lt;0,-(W48-Uzman_D!$H$5),W48-Uzman_D!$H$5)*0.1+IF(X48-Uzman_D!$I$5&lt;0,-(X48-Uzman_D!$I$5),X48-Uzman_D!$I$5)*0.1+IF(Y48-Uzman_D!$J$5&lt;0,-(Y48-Uzman_D!$J$5),Y48-Uzman_D!$J$5)*0.1)+IF(ROUND((IF(AA48-Uzman_D!$L$5&lt;0,-(AA48-Uzman_D!$L$5),AA48-Uzman_D!$L$5)*2),0)/2=IF(AA48-Uzman_D!$L$5&lt;0,-(AA48-Uzman_D!$L$5),AA48-Uzman_D!$L$5),(ROUND((IF(AA48-Uzman_D!$L$5&lt;0,-(AA48-Uzman_D!$L$5),AA48-Uzman_D!$L$5)*2),0)/1*0.1),0)+IF(AB48-Uzman_D!$M$5&lt;0,-(AB48-Uzman_D!$M$5),AB48-Uzman_D!$M$5)*1)</f>
        <v>-0.10000000000000009</v>
      </c>
      <c r="AD48" s="56">
        <v>0</v>
      </c>
      <c r="AE48" s="56">
        <v>2</v>
      </c>
      <c r="AF48" s="56">
        <v>0</v>
      </c>
      <c r="AG48" s="56">
        <v>2</v>
      </c>
      <c r="AH48" s="56">
        <v>5</v>
      </c>
      <c r="AI48" s="56">
        <v>3</v>
      </c>
      <c r="AJ48" s="56"/>
      <c r="AK48" s="56"/>
      <c r="AL48" s="56"/>
      <c r="AM48" s="56"/>
      <c r="AN48" s="70">
        <v>1.5</v>
      </c>
      <c r="AO48" s="70">
        <v>0.2</v>
      </c>
      <c r="AP48" s="71">
        <f>1-(SUM(IF(AD48-Uzman_D!$B$6&lt;0,-(AD48-Uzman_D!$B$6),AD48-Uzman_D!$B$6)*0.1+IF(AE48-Uzman_D!$C$6&lt;0,-(AE48-Uzman_D!$C$6),AE48-Uzman_D!$C$6)*0.1+IF(AF48-Uzman_D!$D$6&lt;0,-(AF48-Uzman_D!$D$6),AF48-Uzman_D!$D$6)*0.1+IF(AG48-Uzman_D!$E$6&lt;0,-(AG48-Uzman_D!$E$6),AG48-Uzman_D!$E$6)*0.1+IF(AH48-Uzman_D!$F$6&lt;0,-(AH48-Uzman_D!$F$6),AH48-Uzman_D!$F$6)*0.1+IF(AI48-Uzman_D!$G$6&lt;0,-(AI48-Uzman_D!$G$6),AI48-Uzman_D!$G$6)*0.1+IF(AJ48-Uzman_D!$H$6&lt;0,-(AJ48-Uzman_D!$H$6),AJ48-Uzman_D!$H$6)*0.1+IF(AK48-Uzman_D!$I$6&lt;0,-(AK48-Uzman_D!$I$6),AK48-Uzman_D!$I$6)*0.1+IF(AL48-Uzman_D!$J$6&lt;0,-(AL48-Uzman_D!$J$6),AL48-Uzman_D!$J$6)*0.1)+IF(ROUND((IF(AN48-Uzman_D!$L$6&lt;0,-(AN48-Uzman_D!$L$6),AN48-Uzman_D!$L$6)*2),0)/2=IF(AN48-Uzman_D!$L$6&lt;0,-(AN48-Uzman_D!$L$6),AN48-Uzman_D!$L$6),(ROUND((IF(AN48-Uzman_D!$L$6&lt;0,-(AN48-Uzman_D!$L$6),AN48-Uzman_D!$L$6)*2),0)/1*0.1),0)+IF(AO48-Uzman_D!$M$6&lt;0,-(AO48-Uzman_D!$M$6),AO48-Uzman_D!$M$6)*1)</f>
        <v>-0.60000000000000009</v>
      </c>
      <c r="AQ48" s="56">
        <v>1</v>
      </c>
      <c r="AR48" s="56">
        <v>2</v>
      </c>
      <c r="AS48" s="56">
        <v>2</v>
      </c>
      <c r="AT48" s="56">
        <v>0</v>
      </c>
      <c r="AU48" s="56">
        <v>0</v>
      </c>
      <c r="AV48" s="56">
        <v>6</v>
      </c>
      <c r="AW48" s="56"/>
      <c r="AX48" s="56"/>
      <c r="AY48" s="56"/>
      <c r="AZ48" s="56"/>
      <c r="BA48" s="70">
        <v>2</v>
      </c>
      <c r="BB48" s="70">
        <v>0.3</v>
      </c>
      <c r="BC48" s="71">
        <f>1-(SUM(IF(AQ48-Uzman_D!$B$7&lt;0,-(AQ48-Uzman_D!$B$7),AQ48-Uzman_D!$B$7)*0.1+IF(AR48-Uzman_D!$C$7&lt;0,-(AR48-Uzman_D!$C$7),AR48-Uzman_D!$C$7)*0.1+IF(AS48-Uzman_D!$D$7&lt;0,-(AS48-Uzman_D!$D$7),AS48-Uzman_D!$D$7)*0.1+IF(AT48-Uzman_D!$E$7&lt;0,-(AT48-Uzman_D!$E$7),AT48-Uzman_D!$E$7)*0.1+IF(AU48-Uzman_D!$F$7&lt;0,-(AU48-Uzman_D!$F$7),AU48-Uzman_D!$F$7)*0.1+IF(AV48-Uzman_D!$G$7&lt;0,-(AV48-Uzman_D!$G$7),AV48-Uzman_D!$G$7)*0.1+IF(AW48-Uzman_D!$H$7&lt;0,-(AW48-Uzman_D!$H$7),AW48-Uzman_D!$H$7)*0.1+IF(AX48-Uzman_D!$I$7&lt;0,-(AX48-Uzman_D!$I$7),AX48-Uzman_D!$I$7)*0.1+IF(AY48-Uzman_D!$J$7&lt;0,-(AY48-Uzman_D!$J$7),AY48-Uzman_D!$J$7)*0.1)+IF(ROUND((IF(BA48-Uzman_D!$L$7&lt;0,-(BA48-Uzman_D!$L$7),BA48-Uzman_D!$L$7)*2),0)/2=IF(BA48-Uzman_D!$L$7&lt;0,-(BA48-Uzman_D!$L$7),BA48-Uzman_D!$L$7),(ROUND((IF(BA48-Uzman_D!$L$7&lt;0,-(BA48-Uzman_D!$L$7),BA48-Uzman_D!$L$7)*2),0)/1*0.1),0)+IF(BB48-Uzman_D!$M$7&lt;0,-(BB48-Uzman_D!$M$7),BB48-Uzman_D!$M$7)*1)</f>
        <v>-0.7</v>
      </c>
      <c r="BD48" s="56">
        <v>3</v>
      </c>
      <c r="BE48" s="56">
        <v>0</v>
      </c>
      <c r="BF48" s="56">
        <v>3</v>
      </c>
      <c r="BG48" s="56">
        <v>0</v>
      </c>
      <c r="BH48" s="56">
        <v>4</v>
      </c>
      <c r="BI48" s="56">
        <v>6</v>
      </c>
      <c r="BJ48" s="56"/>
      <c r="BK48" s="56"/>
      <c r="BL48" s="56"/>
      <c r="BM48" s="56"/>
      <c r="BN48" s="70">
        <v>2</v>
      </c>
      <c r="BO48" s="70">
        <v>0.3</v>
      </c>
      <c r="BP48" s="71">
        <f>1-(SUM(IF(BD48-Uzman_D!$B$8&lt;0,-(BD48-Uzman_D!$B$8),BD48-Uzman_D!$B$8)*0.1+IF(BE48-Uzman_D!$C$8&lt;0,-(BE48-Uzman_D!$C$8),BE48-Uzman_D!$C$8)*0.1+IF(BF48-Uzman_D!$D$8&lt;0,-(BF48-Uzman_D!$D$8),BF48-Uzman_D!$D$8)*0.1+IF(BG48-Uzman_D!$E$8&lt;0,-(BG48-Uzman_D!$E$8),BG48-Uzman_D!$E$8)*0.1+IF(BH48-Uzman_D!$F$8&lt;0,-(BH48-Uzman_D!$F$8),BH48-Uzman_D!$F$8)*0.1+IF(BI48-Uzman_D!$G$8&lt;0,-(BI48-Uzman_D!$G$8),BI48-Uzman_D!$G$8)*0.1+IF(BJ48-Uzman_D!$H$8&lt;0,-(BJ48-Uzman_D!$H$8),BJ48-Uzman_D!$H$8)*0.1+IF(BK48-Uzman_D!$I$8&lt;0,-(BK48-Uzman_D!$I$8),BK48-Uzman_D!$I$8)*0.1+IF(BL48-Uzman_D!$J$8&lt;0,-(BL48-Uzman_D!$J$8),BL48-Uzman_D!$J$8)*0.1)+IF(ROUND((IF(BN48-Uzman_D!$L$8&lt;0,-(BN48-Uzman_D!$L$8),BN48-Uzman_D!$L$8)*2),0)/2=IF(BN48-Uzman_D!$L$8&lt;0,-(BN48-Uzman_D!$L$8),BN48-Uzman_D!$L$8),(ROUND((IF(BN48-Uzman_D!$L$8&lt;0,-(BN48-Uzman_D!$L$8),BN48-Uzman_D!$L$8)*2),0)/1*0.1),0)+IF(BO48-Uzman_D!$M$8&lt;0,-(BO48-Uzman_D!$M$8),BO48-Uzman_D!$M$8)*1)</f>
        <v>-1.5</v>
      </c>
      <c r="BQ48" s="72">
        <f t="shared" si="1"/>
        <v>-0.62</v>
      </c>
    </row>
    <row r="49" spans="1:69" ht="15" customHeight="1" x14ac:dyDescent="0.45">
      <c r="A49" s="54">
        <v>46</v>
      </c>
      <c r="B49" s="163" t="str">
        <f>Hakemler!B49</f>
        <v>EDE</v>
      </c>
      <c r="C49" s="163" t="str">
        <f>Hakemler!C49</f>
        <v>İHSAN</v>
      </c>
      <c r="D49" s="56">
        <v>4</v>
      </c>
      <c r="E49" s="56">
        <v>3</v>
      </c>
      <c r="F49" s="56">
        <v>1</v>
      </c>
      <c r="G49" s="56">
        <v>1</v>
      </c>
      <c r="H49" s="56"/>
      <c r="I49" s="56"/>
      <c r="J49" s="56"/>
      <c r="K49" s="56"/>
      <c r="L49" s="56"/>
      <c r="M49" s="56"/>
      <c r="N49" s="70">
        <v>0</v>
      </c>
      <c r="O49" s="70">
        <v>0</v>
      </c>
      <c r="P49" s="71">
        <f>1-(SUM(IF(D49-Uzman_D!$B$4&lt;0,-(D49-Uzman_D!$B$4),D49-Uzman_D!$B$4)*0.1+IF(E49-Uzman_D!$C$4&lt;0,-(E49-Uzman_D!$C$4),E49-Uzman_D!$C$4)*0.1+IF(F49-Uzman_D!$D$4&lt;0,-(F49-Uzman_D!$D$4),F49-Uzman_D!$D$4)*0.1+IF(G49-Uzman_D!$E$4&lt;0,-(G49-Uzman_D!$E$4),G49-Uzman_D!$E$4)*0.1+IF(H49-Uzman_D!$F$4&lt;0,-(H49-Uzman_D!$F$4),H49-Uzman_D!$F$4)*0.1+IF(I49-Uzman_D!$G$4&lt;0,-(I49-Uzman_D!$G$4),I49-Uzman_D!$G$4)*0.1+IF(J49-Uzman_D!$H$4&lt;0,-(J49-Uzman_D!$H$4),J49-Uzman_D!$H$4)*0.1+IF(K49-Uzman_D!$I$4&lt;0,-(K49-Uzman_D!$I$4),K49-Uzman_D!$I$4)*0.1+IF(L49-Uzman_D!$J$4&lt;0,-(L49-Uzman_D!$J$4),L49-Uzman_D!$J$4)*0.1)+IF(ROUND((IF(N49-Uzman_D!$L$4&lt;0,-(N49-Uzman_D!$L$4),N49-Uzman_D!$L$4)*2),0)/2=IF(N49-Uzman_D!$L$4&lt;0,-(N49-Uzman_D!$L$4),N49-Uzman_D!$L$4),(ROUND((IF(N49-Uzman_D!$L$4&lt;0,-(N49-Uzman_D!$L$4),N49-Uzman_D!$L$4)*2),0)/1*0.1),0)+IF(O49-Uzman_D!$M$4&lt;0,-(O49-Uzman_D!$M$4),O49-Uzman_D!$M$4)*1)</f>
        <v>9.9999999999999978E-2</v>
      </c>
      <c r="Q49" s="56">
        <v>1</v>
      </c>
      <c r="R49" s="56">
        <v>3</v>
      </c>
      <c r="S49" s="56">
        <v>3</v>
      </c>
      <c r="T49" s="56">
        <v>1</v>
      </c>
      <c r="U49" s="56"/>
      <c r="V49" s="56"/>
      <c r="W49" s="56"/>
      <c r="X49" s="56"/>
      <c r="Y49" s="56"/>
      <c r="Z49" s="56"/>
      <c r="AA49" s="70">
        <v>1</v>
      </c>
      <c r="AB49" s="70">
        <v>0.1</v>
      </c>
      <c r="AC49" s="71">
        <f>1-(SUM(IF(Q49-Uzman_D!$B$5&lt;0,-(Q49-Uzman_D!$B$5),Q49-Uzman_D!$B$5)*0.1+IF(R49-Uzman_D!$C$5&lt;0,-(R49-Uzman_D!$C$5),R49-Uzman_D!$C$5)*0.1+IF(S49-Uzman_D!$D$5&lt;0,-(S49-Uzman_D!$D$5),S49-Uzman_D!$D$5)*0.1+IF(T49-Uzman_D!$E$5&lt;0,-(T49-Uzman_D!$E$5),T49-Uzman_D!$E$5)*0.1+IF(U49-Uzman_D!$F$5&lt;0,-(U49-Uzman_D!$F$5),U49-Uzman_D!$F$5)*0.1+IF(V49-Uzman_D!$G$5&lt;0,-(V49-Uzman_D!$G$5),V49-Uzman_D!$G$5)*0.1+IF(W49-Uzman_D!$H$5&lt;0,-(W49-Uzman_D!$H$5),W49-Uzman_D!$H$5)*0.1+IF(X49-Uzman_D!$I$5&lt;0,-(X49-Uzman_D!$I$5),X49-Uzman_D!$I$5)*0.1+IF(Y49-Uzman_D!$J$5&lt;0,-(Y49-Uzman_D!$J$5),Y49-Uzman_D!$J$5)*0.1)+IF(ROUND((IF(AA49-Uzman_D!$L$5&lt;0,-(AA49-Uzman_D!$L$5),AA49-Uzman_D!$L$5)*2),0)/2=IF(AA49-Uzman_D!$L$5&lt;0,-(AA49-Uzman_D!$L$5),AA49-Uzman_D!$L$5),(ROUND((IF(AA49-Uzman_D!$L$5&lt;0,-(AA49-Uzman_D!$L$5),AA49-Uzman_D!$L$5)*2),0)/1*0.1),0)+IF(AB49-Uzman_D!$M$5&lt;0,-(AB49-Uzman_D!$M$5),AB49-Uzman_D!$M$5)*1)</f>
        <v>9.9999999999999978E-2</v>
      </c>
      <c r="AD49" s="56">
        <v>4</v>
      </c>
      <c r="AE49" s="56">
        <v>3</v>
      </c>
      <c r="AF49" s="56">
        <v>2</v>
      </c>
      <c r="AG49" s="56"/>
      <c r="AH49" s="56"/>
      <c r="AI49" s="56"/>
      <c r="AJ49" s="56"/>
      <c r="AK49" s="56"/>
      <c r="AL49" s="56"/>
      <c r="AM49" s="56"/>
      <c r="AN49" s="70">
        <v>0.5</v>
      </c>
      <c r="AO49" s="70">
        <v>0.1</v>
      </c>
      <c r="AP49" s="71">
        <f>1-(SUM(IF(AD49-Uzman_D!$B$6&lt;0,-(AD49-Uzman_D!$B$6),AD49-Uzman_D!$B$6)*0.1+IF(AE49-Uzman_D!$C$6&lt;0,-(AE49-Uzman_D!$C$6),AE49-Uzman_D!$C$6)*0.1+IF(AF49-Uzman_D!$D$6&lt;0,-(AF49-Uzman_D!$D$6),AF49-Uzman_D!$D$6)*0.1+IF(AG49-Uzman_D!$E$6&lt;0,-(AG49-Uzman_D!$E$6),AG49-Uzman_D!$E$6)*0.1+IF(AH49-Uzman_D!$F$6&lt;0,-(AH49-Uzman_D!$F$6),AH49-Uzman_D!$F$6)*0.1+IF(AI49-Uzman_D!$G$6&lt;0,-(AI49-Uzman_D!$G$6),AI49-Uzman_D!$G$6)*0.1+IF(AJ49-Uzman_D!$H$6&lt;0,-(AJ49-Uzman_D!$H$6),AJ49-Uzman_D!$H$6)*0.1+IF(AK49-Uzman_D!$I$6&lt;0,-(AK49-Uzman_D!$I$6),AK49-Uzman_D!$I$6)*0.1+IF(AL49-Uzman_D!$J$6&lt;0,-(AL49-Uzman_D!$J$6),AL49-Uzman_D!$J$6)*0.1)+IF(ROUND((IF(AN49-Uzman_D!$L$6&lt;0,-(AN49-Uzman_D!$L$6),AN49-Uzman_D!$L$6)*2),0)/2=IF(AN49-Uzman_D!$L$6&lt;0,-(AN49-Uzman_D!$L$6),AN49-Uzman_D!$L$6),(ROUND((IF(AN49-Uzman_D!$L$6&lt;0,-(AN49-Uzman_D!$L$6),AN49-Uzman_D!$L$6)*2),0)/1*0.1),0)+IF(AO49-Uzman_D!$M$6&lt;0,-(AO49-Uzman_D!$M$6),AO49-Uzman_D!$M$6)*1)</f>
        <v>0</v>
      </c>
      <c r="AQ49" s="56"/>
      <c r="AR49" s="56">
        <v>2</v>
      </c>
      <c r="AS49" s="56">
        <v>4</v>
      </c>
      <c r="AT49" s="56">
        <v>2</v>
      </c>
      <c r="AU49" s="56"/>
      <c r="AV49" s="56"/>
      <c r="AW49" s="56"/>
      <c r="AX49" s="56"/>
      <c r="AY49" s="56"/>
      <c r="AZ49" s="56"/>
      <c r="BA49" s="70">
        <v>2</v>
      </c>
      <c r="BB49" s="70">
        <v>0.3</v>
      </c>
      <c r="BC49" s="71">
        <f>1-(SUM(IF(AQ49-Uzman_D!$B$7&lt;0,-(AQ49-Uzman_D!$B$7),AQ49-Uzman_D!$B$7)*0.1+IF(AR49-Uzman_D!$C$7&lt;0,-(AR49-Uzman_D!$C$7),AR49-Uzman_D!$C$7)*0.1+IF(AS49-Uzman_D!$D$7&lt;0,-(AS49-Uzman_D!$D$7),AS49-Uzman_D!$D$7)*0.1+IF(AT49-Uzman_D!$E$7&lt;0,-(AT49-Uzman_D!$E$7),AT49-Uzman_D!$E$7)*0.1+IF(AU49-Uzman_D!$F$7&lt;0,-(AU49-Uzman_D!$F$7),AU49-Uzman_D!$F$7)*0.1+IF(AV49-Uzman_D!$G$7&lt;0,-(AV49-Uzman_D!$G$7),AV49-Uzman_D!$G$7)*0.1+IF(AW49-Uzman_D!$H$7&lt;0,-(AW49-Uzman_D!$H$7),AW49-Uzman_D!$H$7)*0.1+IF(AX49-Uzman_D!$I$7&lt;0,-(AX49-Uzman_D!$I$7),AX49-Uzman_D!$I$7)*0.1+IF(AY49-Uzman_D!$J$7&lt;0,-(AY49-Uzman_D!$J$7),AY49-Uzman_D!$J$7)*0.1)+IF(ROUND((IF(BA49-Uzman_D!$L$7&lt;0,-(BA49-Uzman_D!$L$7),BA49-Uzman_D!$L$7)*2),0)/2=IF(BA49-Uzman_D!$L$7&lt;0,-(BA49-Uzman_D!$L$7),BA49-Uzman_D!$L$7),(ROUND((IF(BA49-Uzman_D!$L$7&lt;0,-(BA49-Uzman_D!$L$7),BA49-Uzman_D!$L$7)*2),0)/1*0.1),0)+IF(BB49-Uzman_D!$M$7&lt;0,-(BB49-Uzman_D!$M$7),BB49-Uzman_D!$M$7)*1)</f>
        <v>-0.19999999999999996</v>
      </c>
      <c r="BD49" s="56"/>
      <c r="BE49" s="56">
        <v>2</v>
      </c>
      <c r="BF49" s="56">
        <v>3</v>
      </c>
      <c r="BG49" s="56">
        <v>2</v>
      </c>
      <c r="BH49" s="56">
        <v>1</v>
      </c>
      <c r="BI49" s="56"/>
      <c r="BJ49" s="56"/>
      <c r="BK49" s="56"/>
      <c r="BL49" s="56"/>
      <c r="BM49" s="56"/>
      <c r="BN49" s="70">
        <v>2</v>
      </c>
      <c r="BO49" s="70">
        <v>0.6</v>
      </c>
      <c r="BP49" s="71">
        <f>1-(SUM(IF(BD49-Uzman_D!$B$8&lt;0,-(BD49-Uzman_D!$B$8),BD49-Uzman_D!$B$8)*0.1+IF(BE49-Uzman_D!$C$8&lt;0,-(BE49-Uzman_D!$C$8),BE49-Uzman_D!$C$8)*0.1+IF(BF49-Uzman_D!$D$8&lt;0,-(BF49-Uzman_D!$D$8),BF49-Uzman_D!$D$8)*0.1+IF(BG49-Uzman_D!$E$8&lt;0,-(BG49-Uzman_D!$E$8),BG49-Uzman_D!$E$8)*0.1+IF(BH49-Uzman_D!$F$8&lt;0,-(BH49-Uzman_D!$F$8),BH49-Uzman_D!$F$8)*0.1+IF(BI49-Uzman_D!$G$8&lt;0,-(BI49-Uzman_D!$G$8),BI49-Uzman_D!$G$8)*0.1+IF(BJ49-Uzman_D!$H$8&lt;0,-(BJ49-Uzman_D!$H$8),BJ49-Uzman_D!$H$8)*0.1+IF(BK49-Uzman_D!$I$8&lt;0,-(BK49-Uzman_D!$I$8),BK49-Uzman_D!$I$8)*0.1+IF(BL49-Uzman_D!$J$8&lt;0,-(BL49-Uzman_D!$J$8),BL49-Uzman_D!$J$8)*0.1)+IF(ROUND((IF(BN49-Uzman_D!$L$8&lt;0,-(BN49-Uzman_D!$L$8),BN49-Uzman_D!$L$8)*2),0)/2=IF(BN49-Uzman_D!$L$8&lt;0,-(BN49-Uzman_D!$L$8),BN49-Uzman_D!$L$8),(ROUND((IF(BN49-Uzman_D!$L$8&lt;0,-(BN49-Uzman_D!$L$8),BN49-Uzman_D!$L$8)*2),0)/1*0.1),0)+IF(BO49-Uzman_D!$M$8&lt;0,-(BO49-Uzman_D!$M$8),BO49-Uzman_D!$M$8)*1)</f>
        <v>-0.20000000000000018</v>
      </c>
      <c r="BQ49" s="72">
        <f t="shared" si="1"/>
        <v>-4.0000000000000036E-2</v>
      </c>
    </row>
    <row r="50" spans="1:69" ht="15" customHeight="1" x14ac:dyDescent="0.45">
      <c r="A50" s="54">
        <v>47</v>
      </c>
      <c r="B50" s="165">
        <f>Hakemler!B50</f>
        <v>0</v>
      </c>
      <c r="C50" s="165">
        <f>Hakemler!C50</f>
        <v>0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70"/>
      <c r="O50" s="70"/>
      <c r="P50" s="71">
        <f>1-(SUM(IF(D50-Uzman_D!$B$4&lt;0,-(D50-Uzman_D!$B$4),D50-Uzman_D!$B$4)*0.1+IF(E50-Uzman_D!$C$4&lt;0,-(E50-Uzman_D!$C$4),E50-Uzman_D!$C$4)*0.1+IF(F50-Uzman_D!$D$4&lt;0,-(F50-Uzman_D!$D$4),F50-Uzman_D!$D$4)*0.1+IF(G50-Uzman_D!$E$4&lt;0,-(G50-Uzman_D!$E$4),G50-Uzman_D!$E$4)*0.1+IF(H50-Uzman_D!$F$4&lt;0,-(H50-Uzman_D!$F$4),H50-Uzman_D!$F$4)*0.1+IF(I50-Uzman_D!$G$4&lt;0,-(I50-Uzman_D!$G$4),I50-Uzman_D!$G$4)*0.1+IF(J50-Uzman_D!$H$4&lt;0,-(J50-Uzman_D!$H$4),J50-Uzman_D!$H$4)*0.1+IF(K50-Uzman_D!$I$4&lt;0,-(K50-Uzman_D!$I$4),K50-Uzman_D!$I$4)*0.1+IF(L50-Uzman_D!$J$4&lt;0,-(L50-Uzman_D!$J$4),L50-Uzman_D!$J$4)*0.1)+IF(ROUND((IF(N50-Uzman_D!$L$4&lt;0,-(N50-Uzman_D!$L$4),N50-Uzman_D!$L$4)*2),0)/2=IF(N50-Uzman_D!$L$4&lt;0,-(N50-Uzman_D!$L$4),N50-Uzman_D!$L$4),(ROUND((IF(N50-Uzman_D!$L$4&lt;0,-(N50-Uzman_D!$L$4),N50-Uzman_D!$L$4)*2),0)/1*0.1),0)+IF(O50-Uzman_D!$M$4&lt;0,-(O50-Uzman_D!$M$4),O50-Uzman_D!$M$4)*1)</f>
        <v>-0.19999999999999996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70"/>
      <c r="AB50" s="70"/>
      <c r="AC50" s="71">
        <f>1-(SUM(IF(Q50-Uzman_D!$B$5&lt;0,-(Q50-Uzman_D!$B$5),Q50-Uzman_D!$B$5)*0.1+IF(R50-Uzman_D!$C$5&lt;0,-(R50-Uzman_D!$C$5),R50-Uzman_D!$C$5)*0.1+IF(S50-Uzman_D!$D$5&lt;0,-(S50-Uzman_D!$D$5),S50-Uzman_D!$D$5)*0.1+IF(T50-Uzman_D!$E$5&lt;0,-(T50-Uzman_D!$E$5),T50-Uzman_D!$E$5)*0.1+IF(U50-Uzman_D!$F$5&lt;0,-(U50-Uzman_D!$F$5),U50-Uzman_D!$F$5)*0.1+IF(V50-Uzman_D!$G$5&lt;0,-(V50-Uzman_D!$G$5),V50-Uzman_D!$G$5)*0.1+IF(W50-Uzman_D!$H$5&lt;0,-(W50-Uzman_D!$H$5),W50-Uzman_D!$H$5)*0.1+IF(X50-Uzman_D!$I$5&lt;0,-(X50-Uzman_D!$I$5),X50-Uzman_D!$I$5)*0.1+IF(Y50-Uzman_D!$J$5&lt;0,-(Y50-Uzman_D!$J$5),Y50-Uzman_D!$J$5)*0.1)+IF(ROUND((IF(AA50-Uzman_D!$L$5&lt;0,-(AA50-Uzman_D!$L$5),AA50-Uzman_D!$L$5)*2),0)/2=IF(AA50-Uzman_D!$L$5&lt;0,-(AA50-Uzman_D!$L$5),AA50-Uzman_D!$L$5),(ROUND((IF(AA50-Uzman_D!$L$5&lt;0,-(AA50-Uzman_D!$L$5),AA50-Uzman_D!$L$5)*2),0)/1*0.1),0)+IF(AB50-Uzman_D!$M$5&lt;0,-(AB50-Uzman_D!$M$5),AB50-Uzman_D!$M$5)*1)</f>
        <v>-0.40000000000000013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70"/>
      <c r="AO50" s="70"/>
      <c r="AP50" s="71">
        <f>1-(SUM(IF(AD50-Uzman_D!$B$6&lt;0,-(AD50-Uzman_D!$B$6),AD50-Uzman_D!$B$6)*0.1+IF(AE50-Uzman_D!$C$6&lt;0,-(AE50-Uzman_D!$C$6),AE50-Uzman_D!$C$6)*0.1+IF(AF50-Uzman_D!$D$6&lt;0,-(AF50-Uzman_D!$D$6),AF50-Uzman_D!$D$6)*0.1+IF(AG50-Uzman_D!$E$6&lt;0,-(AG50-Uzman_D!$E$6),AG50-Uzman_D!$E$6)*0.1+IF(AH50-Uzman_D!$F$6&lt;0,-(AH50-Uzman_D!$F$6),AH50-Uzman_D!$F$6)*0.1+IF(AI50-Uzman_D!$G$6&lt;0,-(AI50-Uzman_D!$G$6),AI50-Uzman_D!$G$6)*0.1+IF(AJ50-Uzman_D!$H$6&lt;0,-(AJ50-Uzman_D!$H$6),AJ50-Uzman_D!$H$6)*0.1+IF(AK50-Uzman_D!$I$6&lt;0,-(AK50-Uzman_D!$I$6),AK50-Uzman_D!$I$6)*0.1+IF(AL50-Uzman_D!$J$6&lt;0,-(AL50-Uzman_D!$J$6),AL50-Uzman_D!$J$6)*0.1)+IF(ROUND((IF(AN50-Uzman_D!$L$6&lt;0,-(AN50-Uzman_D!$L$6),AN50-Uzman_D!$L$6)*2),0)/2=IF(AN50-Uzman_D!$L$6&lt;0,-(AN50-Uzman_D!$L$6),AN50-Uzman_D!$L$6),(ROUND((IF(AN50-Uzman_D!$L$6&lt;0,-(AN50-Uzman_D!$L$6),AN50-Uzman_D!$L$6)*2),0)/1*0.1),0)+IF(AO50-Uzman_D!$M$6&lt;0,-(AO50-Uzman_D!$M$6),AO50-Uzman_D!$M$6)*1)</f>
        <v>-0.10000000000000009</v>
      </c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70"/>
      <c r="BB50" s="70"/>
      <c r="BC50" s="71">
        <f>1-(SUM(IF(AQ50-Uzman_D!$B$7&lt;0,-(AQ50-Uzman_D!$B$7),AQ50-Uzman_D!$B$7)*0.1+IF(AR50-Uzman_D!$C$7&lt;0,-(AR50-Uzman_D!$C$7),AR50-Uzman_D!$C$7)*0.1+IF(AS50-Uzman_D!$D$7&lt;0,-(AS50-Uzman_D!$D$7),AS50-Uzman_D!$D$7)*0.1+IF(AT50-Uzman_D!$E$7&lt;0,-(AT50-Uzman_D!$E$7),AT50-Uzman_D!$E$7)*0.1+IF(AU50-Uzman_D!$F$7&lt;0,-(AU50-Uzman_D!$F$7),AU50-Uzman_D!$F$7)*0.1+IF(AV50-Uzman_D!$G$7&lt;0,-(AV50-Uzman_D!$G$7),AV50-Uzman_D!$G$7)*0.1+IF(AW50-Uzman_D!$H$7&lt;0,-(AW50-Uzman_D!$H$7),AW50-Uzman_D!$H$7)*0.1+IF(AX50-Uzman_D!$I$7&lt;0,-(AX50-Uzman_D!$I$7),AX50-Uzman_D!$I$7)*0.1+IF(AY50-Uzman_D!$J$7&lt;0,-(AY50-Uzman_D!$J$7),AY50-Uzman_D!$J$7)*0.1)+IF(ROUND((IF(BA50-Uzman_D!$L$7&lt;0,-(BA50-Uzman_D!$L$7),BA50-Uzman_D!$L$7)*2),0)/2=IF(BA50-Uzman_D!$L$7&lt;0,-(BA50-Uzman_D!$L$7),BA50-Uzman_D!$L$7),(ROUND((IF(BA50-Uzman_D!$L$7&lt;0,-(BA50-Uzman_D!$L$7),BA50-Uzman_D!$L$7)*2),0)/1*0.1),0)+IF(BB50-Uzman_D!$M$7&lt;0,-(BB50-Uzman_D!$M$7),BB50-Uzman_D!$M$7)*1)</f>
        <v>-0.7</v>
      </c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70"/>
      <c r="BO50" s="70"/>
      <c r="BP50" s="71">
        <f>1-(SUM(IF(BD50-Uzman_D!$B$8&lt;0,-(BD50-Uzman_D!$B$8),BD50-Uzman_D!$B$8)*0.1+IF(BE50-Uzman_D!$C$8&lt;0,-(BE50-Uzman_D!$C$8),BE50-Uzman_D!$C$8)*0.1+IF(BF50-Uzman_D!$D$8&lt;0,-(BF50-Uzman_D!$D$8),BF50-Uzman_D!$D$8)*0.1+IF(BG50-Uzman_D!$E$8&lt;0,-(BG50-Uzman_D!$E$8),BG50-Uzman_D!$E$8)*0.1+IF(BH50-Uzman_D!$F$8&lt;0,-(BH50-Uzman_D!$F$8),BH50-Uzman_D!$F$8)*0.1+IF(BI50-Uzman_D!$G$8&lt;0,-(BI50-Uzman_D!$G$8),BI50-Uzman_D!$G$8)*0.1+IF(BJ50-Uzman_D!$H$8&lt;0,-(BJ50-Uzman_D!$H$8),BJ50-Uzman_D!$H$8)*0.1+IF(BK50-Uzman_D!$I$8&lt;0,-(BK50-Uzman_D!$I$8),BK50-Uzman_D!$I$8)*0.1+IF(BL50-Uzman_D!$J$8&lt;0,-(BL50-Uzman_D!$J$8),BL50-Uzman_D!$J$8)*0.1)+IF(ROUND((IF(BN50-Uzman_D!$L$8&lt;0,-(BN50-Uzman_D!$L$8),BN50-Uzman_D!$L$8)*2),0)/2=IF(BN50-Uzman_D!$L$8&lt;0,-(BN50-Uzman_D!$L$8),BN50-Uzman_D!$L$8),(ROUND((IF(BN50-Uzman_D!$L$8&lt;0,-(BN50-Uzman_D!$L$8),BN50-Uzman_D!$L$8)*2),0)/1*0.1),0)+IF(BO50-Uzman_D!$M$8&lt;0,-(BO50-Uzman_D!$M$8),BO50-Uzman_D!$M$8)*1)</f>
        <v>-1</v>
      </c>
      <c r="BQ50" s="72">
        <f t="shared" si="1"/>
        <v>-0.48000000000000009</v>
      </c>
    </row>
    <row r="51" spans="1:69" ht="15" customHeight="1" x14ac:dyDescent="0.45">
      <c r="A51" s="54">
        <v>48</v>
      </c>
      <c r="B51" s="166">
        <f>Hakemler!B51</f>
        <v>0</v>
      </c>
      <c r="C51" s="166">
        <f>Hakemler!C51</f>
        <v>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70"/>
      <c r="O51" s="70"/>
      <c r="P51" s="71">
        <f>1-(SUM(IF(D51-Uzman_D!$B$4&lt;0,-(D51-Uzman_D!$B$4),D51-Uzman_D!$B$4)*0.1+IF(E51-Uzman_D!$C$4&lt;0,-(E51-Uzman_D!$C$4),E51-Uzman_D!$C$4)*0.1+IF(F51-Uzman_D!$D$4&lt;0,-(F51-Uzman_D!$D$4),F51-Uzman_D!$D$4)*0.1+IF(G51-Uzman_D!$E$4&lt;0,-(G51-Uzman_D!$E$4),G51-Uzman_D!$E$4)*0.1+IF(H51-Uzman_D!$F$4&lt;0,-(H51-Uzman_D!$F$4),H51-Uzman_D!$F$4)*0.1+IF(I51-Uzman_D!$G$4&lt;0,-(I51-Uzman_D!$G$4),I51-Uzman_D!$G$4)*0.1+IF(J51-Uzman_D!$H$4&lt;0,-(J51-Uzman_D!$H$4),J51-Uzman_D!$H$4)*0.1+IF(K51-Uzman_D!$I$4&lt;0,-(K51-Uzman_D!$I$4),K51-Uzman_D!$I$4)*0.1+IF(L51-Uzman_D!$J$4&lt;0,-(L51-Uzman_D!$J$4),L51-Uzman_D!$J$4)*0.1)+IF(ROUND((IF(N51-Uzman_D!$L$4&lt;0,-(N51-Uzman_D!$L$4),N51-Uzman_D!$L$4)*2),0)/2=IF(N51-Uzman_D!$L$4&lt;0,-(N51-Uzman_D!$L$4),N51-Uzman_D!$L$4),(ROUND((IF(N51-Uzman_D!$L$4&lt;0,-(N51-Uzman_D!$L$4),N51-Uzman_D!$L$4)*2),0)/1*0.1),0)+IF(O51-Uzman_D!$M$4&lt;0,-(O51-Uzman_D!$M$4),O51-Uzman_D!$M$4)*1)</f>
        <v>-0.19999999999999996</v>
      </c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70"/>
      <c r="AB51" s="70"/>
      <c r="AC51" s="71">
        <f>1-(SUM(IF(Q51-Uzman_D!$B$5&lt;0,-(Q51-Uzman_D!$B$5),Q51-Uzman_D!$B$5)*0.1+IF(R51-Uzman_D!$C$5&lt;0,-(R51-Uzman_D!$C$5),R51-Uzman_D!$C$5)*0.1+IF(S51-Uzman_D!$D$5&lt;0,-(S51-Uzman_D!$D$5),S51-Uzman_D!$D$5)*0.1+IF(T51-Uzman_D!$E$5&lt;0,-(T51-Uzman_D!$E$5),T51-Uzman_D!$E$5)*0.1+IF(U51-Uzman_D!$F$5&lt;0,-(U51-Uzman_D!$F$5),U51-Uzman_D!$F$5)*0.1+IF(V51-Uzman_D!$G$5&lt;0,-(V51-Uzman_D!$G$5),V51-Uzman_D!$G$5)*0.1+IF(W51-Uzman_D!$H$5&lt;0,-(W51-Uzman_D!$H$5),W51-Uzman_D!$H$5)*0.1+IF(X51-Uzman_D!$I$5&lt;0,-(X51-Uzman_D!$I$5),X51-Uzman_D!$I$5)*0.1+IF(Y51-Uzman_D!$J$5&lt;0,-(Y51-Uzman_D!$J$5),Y51-Uzman_D!$J$5)*0.1)+IF(ROUND((IF(AA51-Uzman_D!$L$5&lt;0,-(AA51-Uzman_D!$L$5),AA51-Uzman_D!$L$5)*2),0)/2=IF(AA51-Uzman_D!$L$5&lt;0,-(AA51-Uzman_D!$L$5),AA51-Uzman_D!$L$5),(ROUND((IF(AA51-Uzman_D!$L$5&lt;0,-(AA51-Uzman_D!$L$5),AA51-Uzman_D!$L$5)*2),0)/1*0.1),0)+IF(AB51-Uzman_D!$M$5&lt;0,-(AB51-Uzman_D!$M$5),AB51-Uzman_D!$M$5)*1)</f>
        <v>-0.40000000000000013</v>
      </c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70"/>
      <c r="AO51" s="70"/>
      <c r="AP51" s="71">
        <f>1-(SUM(IF(AD51-Uzman_D!$B$6&lt;0,-(AD51-Uzman_D!$B$6),AD51-Uzman_D!$B$6)*0.1+IF(AE51-Uzman_D!$C$6&lt;0,-(AE51-Uzman_D!$C$6),AE51-Uzman_D!$C$6)*0.1+IF(AF51-Uzman_D!$D$6&lt;0,-(AF51-Uzman_D!$D$6),AF51-Uzman_D!$D$6)*0.1+IF(AG51-Uzman_D!$E$6&lt;0,-(AG51-Uzman_D!$E$6),AG51-Uzman_D!$E$6)*0.1+IF(AH51-Uzman_D!$F$6&lt;0,-(AH51-Uzman_D!$F$6),AH51-Uzman_D!$F$6)*0.1+IF(AI51-Uzman_D!$G$6&lt;0,-(AI51-Uzman_D!$G$6),AI51-Uzman_D!$G$6)*0.1+IF(AJ51-Uzman_D!$H$6&lt;0,-(AJ51-Uzman_D!$H$6),AJ51-Uzman_D!$H$6)*0.1+IF(AK51-Uzman_D!$I$6&lt;0,-(AK51-Uzman_D!$I$6),AK51-Uzman_D!$I$6)*0.1+IF(AL51-Uzman_D!$J$6&lt;0,-(AL51-Uzman_D!$J$6),AL51-Uzman_D!$J$6)*0.1)+IF(ROUND((IF(AN51-Uzman_D!$L$6&lt;0,-(AN51-Uzman_D!$L$6),AN51-Uzman_D!$L$6)*2),0)/2=IF(AN51-Uzman_D!$L$6&lt;0,-(AN51-Uzman_D!$L$6),AN51-Uzman_D!$L$6),(ROUND((IF(AN51-Uzman_D!$L$6&lt;0,-(AN51-Uzman_D!$L$6),AN51-Uzman_D!$L$6)*2),0)/1*0.1),0)+IF(AO51-Uzman_D!$M$6&lt;0,-(AO51-Uzman_D!$M$6),AO51-Uzman_D!$M$6)*1)</f>
        <v>-0.10000000000000009</v>
      </c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70"/>
      <c r="BB51" s="70"/>
      <c r="BC51" s="71">
        <f>1-(SUM(IF(AQ51-Uzman_D!$B$7&lt;0,-(AQ51-Uzman_D!$B$7),AQ51-Uzman_D!$B$7)*0.1+IF(AR51-Uzman_D!$C$7&lt;0,-(AR51-Uzman_D!$C$7),AR51-Uzman_D!$C$7)*0.1+IF(AS51-Uzman_D!$D$7&lt;0,-(AS51-Uzman_D!$D$7),AS51-Uzman_D!$D$7)*0.1+IF(AT51-Uzman_D!$E$7&lt;0,-(AT51-Uzman_D!$E$7),AT51-Uzman_D!$E$7)*0.1+IF(AU51-Uzman_D!$F$7&lt;0,-(AU51-Uzman_D!$F$7),AU51-Uzman_D!$F$7)*0.1+IF(AV51-Uzman_D!$G$7&lt;0,-(AV51-Uzman_D!$G$7),AV51-Uzman_D!$G$7)*0.1+IF(AW51-Uzman_D!$H$7&lt;0,-(AW51-Uzman_D!$H$7),AW51-Uzman_D!$H$7)*0.1+IF(AX51-Uzman_D!$I$7&lt;0,-(AX51-Uzman_D!$I$7),AX51-Uzman_D!$I$7)*0.1+IF(AY51-Uzman_D!$J$7&lt;0,-(AY51-Uzman_D!$J$7),AY51-Uzman_D!$J$7)*0.1)+IF(ROUND((IF(BA51-Uzman_D!$L$7&lt;0,-(BA51-Uzman_D!$L$7),BA51-Uzman_D!$L$7)*2),0)/2=IF(BA51-Uzman_D!$L$7&lt;0,-(BA51-Uzman_D!$L$7),BA51-Uzman_D!$L$7),(ROUND((IF(BA51-Uzman_D!$L$7&lt;0,-(BA51-Uzman_D!$L$7),BA51-Uzman_D!$L$7)*2),0)/1*0.1),0)+IF(BB51-Uzman_D!$M$7&lt;0,-(BB51-Uzman_D!$M$7),BB51-Uzman_D!$M$7)*1)</f>
        <v>-0.7</v>
      </c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70"/>
      <c r="BO51" s="70"/>
      <c r="BP51" s="71">
        <f>1-(SUM(IF(BD51-Uzman_D!$B$8&lt;0,-(BD51-Uzman_D!$B$8),BD51-Uzman_D!$B$8)*0.1+IF(BE51-Uzman_D!$C$8&lt;0,-(BE51-Uzman_D!$C$8),BE51-Uzman_D!$C$8)*0.1+IF(BF51-Uzman_D!$D$8&lt;0,-(BF51-Uzman_D!$D$8),BF51-Uzman_D!$D$8)*0.1+IF(BG51-Uzman_D!$E$8&lt;0,-(BG51-Uzman_D!$E$8),BG51-Uzman_D!$E$8)*0.1+IF(BH51-Uzman_D!$F$8&lt;0,-(BH51-Uzman_D!$F$8),BH51-Uzman_D!$F$8)*0.1+IF(BI51-Uzman_D!$G$8&lt;0,-(BI51-Uzman_D!$G$8),BI51-Uzman_D!$G$8)*0.1+IF(BJ51-Uzman_D!$H$8&lt;0,-(BJ51-Uzman_D!$H$8),BJ51-Uzman_D!$H$8)*0.1+IF(BK51-Uzman_D!$I$8&lt;0,-(BK51-Uzman_D!$I$8),BK51-Uzman_D!$I$8)*0.1+IF(BL51-Uzman_D!$J$8&lt;0,-(BL51-Uzman_D!$J$8),BL51-Uzman_D!$J$8)*0.1)+IF(ROUND((IF(BN51-Uzman_D!$L$8&lt;0,-(BN51-Uzman_D!$L$8),BN51-Uzman_D!$L$8)*2),0)/2=IF(BN51-Uzman_D!$L$8&lt;0,-(BN51-Uzman_D!$L$8),BN51-Uzman_D!$L$8),(ROUND((IF(BN51-Uzman_D!$L$8&lt;0,-(BN51-Uzman_D!$L$8),BN51-Uzman_D!$L$8)*2),0)/1*0.1),0)+IF(BO51-Uzman_D!$M$8&lt;0,-(BO51-Uzman_D!$M$8),BO51-Uzman_D!$M$8)*1)</f>
        <v>-1</v>
      </c>
      <c r="BQ51" s="72">
        <f t="shared" si="1"/>
        <v>-0.48000000000000009</v>
      </c>
    </row>
    <row r="52" spans="1:69" ht="15" customHeight="1" x14ac:dyDescent="0.45">
      <c r="A52" s="54">
        <v>49</v>
      </c>
      <c r="B52" s="165">
        <f>Hakemler!B52</f>
        <v>0</v>
      </c>
      <c r="C52" s="165">
        <f>Hakemler!C52</f>
        <v>0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70"/>
      <c r="O52" s="70"/>
      <c r="P52" s="71">
        <f>1-(SUM(IF(D52-Uzman_D!$B$4&lt;0,-(D52-Uzman_D!$B$4),D52-Uzman_D!$B$4)*0.1+IF(E52-Uzman_D!$C$4&lt;0,-(E52-Uzman_D!$C$4),E52-Uzman_D!$C$4)*0.1+IF(F52-Uzman_D!$D$4&lt;0,-(F52-Uzman_D!$D$4),F52-Uzman_D!$D$4)*0.1+IF(G52-Uzman_D!$E$4&lt;0,-(G52-Uzman_D!$E$4),G52-Uzman_D!$E$4)*0.1+IF(H52-Uzman_D!$F$4&lt;0,-(H52-Uzman_D!$F$4),H52-Uzman_D!$F$4)*0.1+IF(I52-Uzman_D!$G$4&lt;0,-(I52-Uzman_D!$G$4),I52-Uzman_D!$G$4)*0.1+IF(J52-Uzman_D!$H$4&lt;0,-(J52-Uzman_D!$H$4),J52-Uzman_D!$H$4)*0.1+IF(K52-Uzman_D!$I$4&lt;0,-(K52-Uzman_D!$I$4),K52-Uzman_D!$I$4)*0.1+IF(L52-Uzman_D!$J$4&lt;0,-(L52-Uzman_D!$J$4),L52-Uzman_D!$J$4)*0.1)+IF(ROUND((IF(N52-Uzman_D!$L$4&lt;0,-(N52-Uzman_D!$L$4),N52-Uzman_D!$L$4)*2),0)/2=IF(N52-Uzman_D!$L$4&lt;0,-(N52-Uzman_D!$L$4),N52-Uzman_D!$L$4),(ROUND((IF(N52-Uzman_D!$L$4&lt;0,-(N52-Uzman_D!$L$4),N52-Uzman_D!$L$4)*2),0)/1*0.1),0)+IF(O52-Uzman_D!$M$4&lt;0,-(O52-Uzman_D!$M$4),O52-Uzman_D!$M$4)*1)</f>
        <v>-0.19999999999999996</v>
      </c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70"/>
      <c r="AB52" s="70"/>
      <c r="AC52" s="71">
        <f>1-(SUM(IF(Q52-Uzman_D!$B$5&lt;0,-(Q52-Uzman_D!$B$5),Q52-Uzman_D!$B$5)*0.1+IF(R52-Uzman_D!$C$5&lt;0,-(R52-Uzman_D!$C$5),R52-Uzman_D!$C$5)*0.1+IF(S52-Uzman_D!$D$5&lt;0,-(S52-Uzman_D!$D$5),S52-Uzman_D!$D$5)*0.1+IF(T52-Uzman_D!$E$5&lt;0,-(T52-Uzman_D!$E$5),T52-Uzman_D!$E$5)*0.1+IF(U52-Uzman_D!$F$5&lt;0,-(U52-Uzman_D!$F$5),U52-Uzman_D!$F$5)*0.1+IF(V52-Uzman_D!$G$5&lt;0,-(V52-Uzman_D!$G$5),V52-Uzman_D!$G$5)*0.1+IF(W52-Uzman_D!$H$5&lt;0,-(W52-Uzman_D!$H$5),W52-Uzman_D!$H$5)*0.1+IF(X52-Uzman_D!$I$5&lt;0,-(X52-Uzman_D!$I$5),X52-Uzman_D!$I$5)*0.1+IF(Y52-Uzman_D!$J$5&lt;0,-(Y52-Uzman_D!$J$5),Y52-Uzman_D!$J$5)*0.1)+IF(ROUND((IF(AA52-Uzman_D!$L$5&lt;0,-(AA52-Uzman_D!$L$5),AA52-Uzman_D!$L$5)*2),0)/2=IF(AA52-Uzman_D!$L$5&lt;0,-(AA52-Uzman_D!$L$5),AA52-Uzman_D!$L$5),(ROUND((IF(AA52-Uzman_D!$L$5&lt;0,-(AA52-Uzman_D!$L$5),AA52-Uzman_D!$L$5)*2),0)/1*0.1),0)+IF(AB52-Uzman_D!$M$5&lt;0,-(AB52-Uzman_D!$M$5),AB52-Uzman_D!$M$5)*1)</f>
        <v>-0.40000000000000013</v>
      </c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70"/>
      <c r="AO52" s="70"/>
      <c r="AP52" s="71">
        <f>1-(SUM(IF(AD52-Uzman_D!$B$6&lt;0,-(AD52-Uzman_D!$B$6),AD52-Uzman_D!$B$6)*0.1+IF(AE52-Uzman_D!$C$6&lt;0,-(AE52-Uzman_D!$C$6),AE52-Uzman_D!$C$6)*0.1+IF(AF52-Uzman_D!$D$6&lt;0,-(AF52-Uzman_D!$D$6),AF52-Uzman_D!$D$6)*0.1+IF(AG52-Uzman_D!$E$6&lt;0,-(AG52-Uzman_D!$E$6),AG52-Uzman_D!$E$6)*0.1+IF(AH52-Uzman_D!$F$6&lt;0,-(AH52-Uzman_D!$F$6),AH52-Uzman_D!$F$6)*0.1+IF(AI52-Uzman_D!$G$6&lt;0,-(AI52-Uzman_D!$G$6),AI52-Uzman_D!$G$6)*0.1+IF(AJ52-Uzman_D!$H$6&lt;0,-(AJ52-Uzman_D!$H$6),AJ52-Uzman_D!$H$6)*0.1+IF(AK52-Uzman_D!$I$6&lt;0,-(AK52-Uzman_D!$I$6),AK52-Uzman_D!$I$6)*0.1+IF(AL52-Uzman_D!$J$6&lt;0,-(AL52-Uzman_D!$J$6),AL52-Uzman_D!$J$6)*0.1)+IF(ROUND((IF(AN52-Uzman_D!$L$6&lt;0,-(AN52-Uzman_D!$L$6),AN52-Uzman_D!$L$6)*2),0)/2=IF(AN52-Uzman_D!$L$6&lt;0,-(AN52-Uzman_D!$L$6),AN52-Uzman_D!$L$6),(ROUND((IF(AN52-Uzman_D!$L$6&lt;0,-(AN52-Uzman_D!$L$6),AN52-Uzman_D!$L$6)*2),0)/1*0.1),0)+IF(AO52-Uzman_D!$M$6&lt;0,-(AO52-Uzman_D!$M$6),AO52-Uzman_D!$M$6)*1)</f>
        <v>-0.10000000000000009</v>
      </c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70"/>
      <c r="BB52" s="70"/>
      <c r="BC52" s="71">
        <f>1-(SUM(IF(AQ52-Uzman_D!$B$7&lt;0,-(AQ52-Uzman_D!$B$7),AQ52-Uzman_D!$B$7)*0.1+IF(AR52-Uzman_D!$C$7&lt;0,-(AR52-Uzman_D!$C$7),AR52-Uzman_D!$C$7)*0.1+IF(AS52-Uzman_D!$D$7&lt;0,-(AS52-Uzman_D!$D$7),AS52-Uzman_D!$D$7)*0.1+IF(AT52-Uzman_D!$E$7&lt;0,-(AT52-Uzman_D!$E$7),AT52-Uzman_D!$E$7)*0.1+IF(AU52-Uzman_D!$F$7&lt;0,-(AU52-Uzman_D!$F$7),AU52-Uzman_D!$F$7)*0.1+IF(AV52-Uzman_D!$G$7&lt;0,-(AV52-Uzman_D!$G$7),AV52-Uzman_D!$G$7)*0.1+IF(AW52-Uzman_D!$H$7&lt;0,-(AW52-Uzman_D!$H$7),AW52-Uzman_D!$H$7)*0.1+IF(AX52-Uzman_D!$I$7&lt;0,-(AX52-Uzman_D!$I$7),AX52-Uzman_D!$I$7)*0.1+IF(AY52-Uzman_D!$J$7&lt;0,-(AY52-Uzman_D!$J$7),AY52-Uzman_D!$J$7)*0.1)+IF(ROUND((IF(BA52-Uzman_D!$L$7&lt;0,-(BA52-Uzman_D!$L$7),BA52-Uzman_D!$L$7)*2),0)/2=IF(BA52-Uzman_D!$L$7&lt;0,-(BA52-Uzman_D!$L$7),BA52-Uzman_D!$L$7),(ROUND((IF(BA52-Uzman_D!$L$7&lt;0,-(BA52-Uzman_D!$L$7),BA52-Uzman_D!$L$7)*2),0)/1*0.1),0)+IF(BB52-Uzman_D!$M$7&lt;0,-(BB52-Uzman_D!$M$7),BB52-Uzman_D!$M$7)*1)</f>
        <v>-0.7</v>
      </c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70"/>
      <c r="BO52" s="70"/>
      <c r="BP52" s="71">
        <f>1-(SUM(IF(BD52-Uzman_D!$B$8&lt;0,-(BD52-Uzman_D!$B$8),BD52-Uzman_D!$B$8)*0.1+IF(BE52-Uzman_D!$C$8&lt;0,-(BE52-Uzman_D!$C$8),BE52-Uzman_D!$C$8)*0.1+IF(BF52-Uzman_D!$D$8&lt;0,-(BF52-Uzman_D!$D$8),BF52-Uzman_D!$D$8)*0.1+IF(BG52-Uzman_D!$E$8&lt;0,-(BG52-Uzman_D!$E$8),BG52-Uzman_D!$E$8)*0.1+IF(BH52-Uzman_D!$F$8&lt;0,-(BH52-Uzman_D!$F$8),BH52-Uzman_D!$F$8)*0.1+IF(BI52-Uzman_D!$G$8&lt;0,-(BI52-Uzman_D!$G$8),BI52-Uzman_D!$G$8)*0.1+IF(BJ52-Uzman_D!$H$8&lt;0,-(BJ52-Uzman_D!$H$8),BJ52-Uzman_D!$H$8)*0.1+IF(BK52-Uzman_D!$I$8&lt;0,-(BK52-Uzman_D!$I$8),BK52-Uzman_D!$I$8)*0.1+IF(BL52-Uzman_D!$J$8&lt;0,-(BL52-Uzman_D!$J$8),BL52-Uzman_D!$J$8)*0.1)+IF(ROUND((IF(BN52-Uzman_D!$L$8&lt;0,-(BN52-Uzman_D!$L$8),BN52-Uzman_D!$L$8)*2),0)/2=IF(BN52-Uzman_D!$L$8&lt;0,-(BN52-Uzman_D!$L$8),BN52-Uzman_D!$L$8),(ROUND((IF(BN52-Uzman_D!$L$8&lt;0,-(BN52-Uzman_D!$L$8),BN52-Uzman_D!$L$8)*2),0)/1*0.1),0)+IF(BO52-Uzman_D!$M$8&lt;0,-(BO52-Uzman_D!$M$8),BO52-Uzman_D!$M$8)*1)</f>
        <v>-1</v>
      </c>
      <c r="BQ52" s="72">
        <f t="shared" si="1"/>
        <v>-0.48000000000000009</v>
      </c>
    </row>
    <row r="53" spans="1:69" ht="15" customHeight="1" x14ac:dyDescent="0.45">
      <c r="A53" s="54">
        <v>50</v>
      </c>
      <c r="B53" s="165">
        <f>Hakemler!B53</f>
        <v>0</v>
      </c>
      <c r="C53" s="165">
        <f>Hakemler!C53</f>
        <v>0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70"/>
      <c r="O53" s="70"/>
      <c r="P53" s="71">
        <f>1-(SUM(IF(D53-Uzman_D!$B$4&lt;0,-(D53-Uzman_D!$B$4),D53-Uzman_D!$B$4)*0.1+IF(E53-Uzman_D!$C$4&lt;0,-(E53-Uzman_D!$C$4),E53-Uzman_D!$C$4)*0.1+IF(F53-Uzman_D!$D$4&lt;0,-(F53-Uzman_D!$D$4),F53-Uzman_D!$D$4)*0.1+IF(G53-Uzman_D!$E$4&lt;0,-(G53-Uzman_D!$E$4),G53-Uzman_D!$E$4)*0.1+IF(H53-Uzman_D!$F$4&lt;0,-(H53-Uzman_D!$F$4),H53-Uzman_D!$F$4)*0.1+IF(I53-Uzman_D!$G$4&lt;0,-(I53-Uzman_D!$G$4),I53-Uzman_D!$G$4)*0.1+IF(J53-Uzman_D!$H$4&lt;0,-(J53-Uzman_D!$H$4),J53-Uzman_D!$H$4)*0.1+IF(K53-Uzman_D!$I$4&lt;0,-(K53-Uzman_D!$I$4),K53-Uzman_D!$I$4)*0.1+IF(L53-Uzman_D!$J$4&lt;0,-(L53-Uzman_D!$J$4),L53-Uzman_D!$J$4)*0.1)+IF(ROUND((IF(N53-Uzman_D!$L$4&lt;0,-(N53-Uzman_D!$L$4),N53-Uzman_D!$L$4)*2),0)/2=IF(N53-Uzman_D!$L$4&lt;0,-(N53-Uzman_D!$L$4),N53-Uzman_D!$L$4),(ROUND((IF(N53-Uzman_D!$L$4&lt;0,-(N53-Uzman_D!$L$4),N53-Uzman_D!$L$4)*2),0)/1*0.1),0)+IF(O53-Uzman_D!$M$4&lt;0,-(O53-Uzman_D!$M$4),O53-Uzman_D!$M$4)*1)</f>
        <v>-0.19999999999999996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70"/>
      <c r="AB53" s="70"/>
      <c r="AC53" s="71">
        <f>1-(SUM(IF(Q53-Uzman_D!$B$5&lt;0,-(Q53-Uzman_D!$B$5),Q53-Uzman_D!$B$5)*0.1+IF(R53-Uzman_D!$C$5&lt;0,-(R53-Uzman_D!$C$5),R53-Uzman_D!$C$5)*0.1+IF(S53-Uzman_D!$D$5&lt;0,-(S53-Uzman_D!$D$5),S53-Uzman_D!$D$5)*0.1+IF(T53-Uzman_D!$E$5&lt;0,-(T53-Uzman_D!$E$5),T53-Uzman_D!$E$5)*0.1+IF(U53-Uzman_D!$F$5&lt;0,-(U53-Uzman_D!$F$5),U53-Uzman_D!$F$5)*0.1+IF(V53-Uzman_D!$G$5&lt;0,-(V53-Uzman_D!$G$5),V53-Uzman_D!$G$5)*0.1+IF(W53-Uzman_D!$H$5&lt;0,-(W53-Uzman_D!$H$5),W53-Uzman_D!$H$5)*0.1+IF(X53-Uzman_D!$I$5&lt;0,-(X53-Uzman_D!$I$5),X53-Uzman_D!$I$5)*0.1+IF(Y53-Uzman_D!$J$5&lt;0,-(Y53-Uzman_D!$J$5),Y53-Uzman_D!$J$5)*0.1)+IF(ROUND((IF(AA53-Uzman_D!$L$5&lt;0,-(AA53-Uzman_D!$L$5),AA53-Uzman_D!$L$5)*2),0)/2=IF(AA53-Uzman_D!$L$5&lt;0,-(AA53-Uzman_D!$L$5),AA53-Uzman_D!$L$5),(ROUND((IF(AA53-Uzman_D!$L$5&lt;0,-(AA53-Uzman_D!$L$5),AA53-Uzman_D!$L$5)*2),0)/1*0.1),0)+IF(AB53-Uzman_D!$M$5&lt;0,-(AB53-Uzman_D!$M$5),AB53-Uzman_D!$M$5)*1)</f>
        <v>-0.40000000000000013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70"/>
      <c r="AO53" s="70"/>
      <c r="AP53" s="71">
        <f>1-(SUM(IF(AD53-Uzman_D!$B$6&lt;0,-(AD53-Uzman_D!$B$6),AD53-Uzman_D!$B$6)*0.1+IF(AE53-Uzman_D!$C$6&lt;0,-(AE53-Uzman_D!$C$6),AE53-Uzman_D!$C$6)*0.1+IF(AF53-Uzman_D!$D$6&lt;0,-(AF53-Uzman_D!$D$6),AF53-Uzman_D!$D$6)*0.1+IF(AG53-Uzman_D!$E$6&lt;0,-(AG53-Uzman_D!$E$6),AG53-Uzman_D!$E$6)*0.1+IF(AH53-Uzman_D!$F$6&lt;0,-(AH53-Uzman_D!$F$6),AH53-Uzman_D!$F$6)*0.1+IF(AI53-Uzman_D!$G$6&lt;0,-(AI53-Uzman_D!$G$6),AI53-Uzman_D!$G$6)*0.1+IF(AJ53-Uzman_D!$H$6&lt;0,-(AJ53-Uzman_D!$H$6),AJ53-Uzman_D!$H$6)*0.1+IF(AK53-Uzman_D!$I$6&lt;0,-(AK53-Uzman_D!$I$6),AK53-Uzman_D!$I$6)*0.1+IF(AL53-Uzman_D!$J$6&lt;0,-(AL53-Uzman_D!$J$6),AL53-Uzman_D!$J$6)*0.1)+IF(ROUND((IF(AN53-Uzman_D!$L$6&lt;0,-(AN53-Uzman_D!$L$6),AN53-Uzman_D!$L$6)*2),0)/2=IF(AN53-Uzman_D!$L$6&lt;0,-(AN53-Uzman_D!$L$6),AN53-Uzman_D!$L$6),(ROUND((IF(AN53-Uzman_D!$L$6&lt;0,-(AN53-Uzman_D!$L$6),AN53-Uzman_D!$L$6)*2),0)/1*0.1),0)+IF(AO53-Uzman_D!$M$6&lt;0,-(AO53-Uzman_D!$M$6),AO53-Uzman_D!$M$6)*1)</f>
        <v>-0.10000000000000009</v>
      </c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70"/>
      <c r="BB53" s="70"/>
      <c r="BC53" s="71">
        <f>1-(SUM(IF(AQ53-Uzman_D!$B$7&lt;0,-(AQ53-Uzman_D!$B$7),AQ53-Uzman_D!$B$7)*0.1+IF(AR53-Uzman_D!$C$7&lt;0,-(AR53-Uzman_D!$C$7),AR53-Uzman_D!$C$7)*0.1+IF(AS53-Uzman_D!$D$7&lt;0,-(AS53-Uzman_D!$D$7),AS53-Uzman_D!$D$7)*0.1+IF(AT53-Uzman_D!$E$7&lt;0,-(AT53-Uzman_D!$E$7),AT53-Uzman_D!$E$7)*0.1+IF(AU53-Uzman_D!$F$7&lt;0,-(AU53-Uzman_D!$F$7),AU53-Uzman_D!$F$7)*0.1+IF(AV53-Uzman_D!$G$7&lt;0,-(AV53-Uzman_D!$G$7),AV53-Uzman_D!$G$7)*0.1+IF(AW53-Uzman_D!$H$7&lt;0,-(AW53-Uzman_D!$H$7),AW53-Uzman_D!$H$7)*0.1+IF(AX53-Uzman_D!$I$7&lt;0,-(AX53-Uzman_D!$I$7),AX53-Uzman_D!$I$7)*0.1+IF(AY53-Uzman_D!$J$7&lt;0,-(AY53-Uzman_D!$J$7),AY53-Uzman_D!$J$7)*0.1)+IF(ROUND((IF(BA53-Uzman_D!$L$7&lt;0,-(BA53-Uzman_D!$L$7),BA53-Uzman_D!$L$7)*2),0)/2=IF(BA53-Uzman_D!$L$7&lt;0,-(BA53-Uzman_D!$L$7),BA53-Uzman_D!$L$7),(ROUND((IF(BA53-Uzman_D!$L$7&lt;0,-(BA53-Uzman_D!$L$7),BA53-Uzman_D!$L$7)*2),0)/1*0.1),0)+IF(BB53-Uzman_D!$M$7&lt;0,-(BB53-Uzman_D!$M$7),BB53-Uzman_D!$M$7)*1)</f>
        <v>-0.7</v>
      </c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70"/>
      <c r="BO53" s="70"/>
      <c r="BP53" s="71">
        <f>1-(SUM(IF(BD53-Uzman_D!$B$8&lt;0,-(BD53-Uzman_D!$B$8),BD53-Uzman_D!$B$8)*0.1+IF(BE53-Uzman_D!$C$8&lt;0,-(BE53-Uzman_D!$C$8),BE53-Uzman_D!$C$8)*0.1+IF(BF53-Uzman_D!$D$8&lt;0,-(BF53-Uzman_D!$D$8),BF53-Uzman_D!$D$8)*0.1+IF(BG53-Uzman_D!$E$8&lt;0,-(BG53-Uzman_D!$E$8),BG53-Uzman_D!$E$8)*0.1+IF(BH53-Uzman_D!$F$8&lt;0,-(BH53-Uzman_D!$F$8),BH53-Uzman_D!$F$8)*0.1+IF(BI53-Uzman_D!$G$8&lt;0,-(BI53-Uzman_D!$G$8),BI53-Uzman_D!$G$8)*0.1+IF(BJ53-Uzman_D!$H$8&lt;0,-(BJ53-Uzman_D!$H$8),BJ53-Uzman_D!$H$8)*0.1+IF(BK53-Uzman_D!$I$8&lt;0,-(BK53-Uzman_D!$I$8),BK53-Uzman_D!$I$8)*0.1+IF(BL53-Uzman_D!$J$8&lt;0,-(BL53-Uzman_D!$J$8),BL53-Uzman_D!$J$8)*0.1)+IF(ROUND((IF(BN53-Uzman_D!$L$8&lt;0,-(BN53-Uzman_D!$L$8),BN53-Uzman_D!$L$8)*2),0)/2=IF(BN53-Uzman_D!$L$8&lt;0,-(BN53-Uzman_D!$L$8),BN53-Uzman_D!$L$8),(ROUND((IF(BN53-Uzman_D!$L$8&lt;0,-(BN53-Uzman_D!$L$8),BN53-Uzman_D!$L$8)*2),0)/1*0.1),0)+IF(BO53-Uzman_D!$M$8&lt;0,-(BO53-Uzman_D!$M$8),BO53-Uzman_D!$M$8)*1)</f>
        <v>-1</v>
      </c>
      <c r="BQ53" s="72">
        <f t="shared" si="1"/>
        <v>-0.48000000000000009</v>
      </c>
    </row>
    <row r="54" spans="1:69" ht="15" customHeight="1" x14ac:dyDescent="0.45">
      <c r="A54" s="54">
        <v>51</v>
      </c>
      <c r="B54" s="166">
        <f>Hakemler!B54</f>
        <v>0</v>
      </c>
      <c r="C54" s="166">
        <f>Hakemler!C54</f>
        <v>0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70"/>
      <c r="O54" s="70"/>
      <c r="P54" s="71">
        <f>1-(SUM(IF(D54-Uzman_D!$B$4&lt;0,-(D54-Uzman_D!$B$4),D54-Uzman_D!$B$4)*0.1+IF(E54-Uzman_D!$C$4&lt;0,-(E54-Uzman_D!$C$4),E54-Uzman_D!$C$4)*0.1+IF(F54-Uzman_D!$D$4&lt;0,-(F54-Uzman_D!$D$4),F54-Uzman_D!$D$4)*0.1+IF(G54-Uzman_D!$E$4&lt;0,-(G54-Uzman_D!$E$4),G54-Uzman_D!$E$4)*0.1+IF(H54-Uzman_D!$F$4&lt;0,-(H54-Uzman_D!$F$4),H54-Uzman_D!$F$4)*0.1+IF(I54-Uzman_D!$G$4&lt;0,-(I54-Uzman_D!$G$4),I54-Uzman_D!$G$4)*0.1+IF(J54-Uzman_D!$H$4&lt;0,-(J54-Uzman_D!$H$4),J54-Uzman_D!$H$4)*0.1+IF(K54-Uzman_D!$I$4&lt;0,-(K54-Uzman_D!$I$4),K54-Uzman_D!$I$4)*0.1+IF(L54-Uzman_D!$J$4&lt;0,-(L54-Uzman_D!$J$4),L54-Uzman_D!$J$4)*0.1)+IF(ROUND((IF(N54-Uzman_D!$L$4&lt;0,-(N54-Uzman_D!$L$4),N54-Uzman_D!$L$4)*2),0)/2=IF(N54-Uzman_D!$L$4&lt;0,-(N54-Uzman_D!$L$4),N54-Uzman_D!$L$4),(ROUND((IF(N54-Uzman_D!$L$4&lt;0,-(N54-Uzman_D!$L$4),N54-Uzman_D!$L$4)*2),0)/1*0.1),0)+IF(O54-Uzman_D!$M$4&lt;0,-(O54-Uzman_D!$M$4),O54-Uzman_D!$M$4)*1)</f>
        <v>-0.19999999999999996</v>
      </c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70"/>
      <c r="AB54" s="70"/>
      <c r="AC54" s="71">
        <f>1-(SUM(IF(Q54-Uzman_D!$B$5&lt;0,-(Q54-Uzman_D!$B$5),Q54-Uzman_D!$B$5)*0.1+IF(R54-Uzman_D!$C$5&lt;0,-(R54-Uzman_D!$C$5),R54-Uzman_D!$C$5)*0.1+IF(S54-Uzman_D!$D$5&lt;0,-(S54-Uzman_D!$D$5),S54-Uzman_D!$D$5)*0.1+IF(T54-Uzman_D!$E$5&lt;0,-(T54-Uzman_D!$E$5),T54-Uzman_D!$E$5)*0.1+IF(U54-Uzman_D!$F$5&lt;0,-(U54-Uzman_D!$F$5),U54-Uzman_D!$F$5)*0.1+IF(V54-Uzman_D!$G$5&lt;0,-(V54-Uzman_D!$G$5),V54-Uzman_D!$G$5)*0.1+IF(W54-Uzman_D!$H$5&lt;0,-(W54-Uzman_D!$H$5),W54-Uzman_D!$H$5)*0.1+IF(X54-Uzman_D!$I$5&lt;0,-(X54-Uzman_D!$I$5),X54-Uzman_D!$I$5)*0.1+IF(Y54-Uzman_D!$J$5&lt;0,-(Y54-Uzman_D!$J$5),Y54-Uzman_D!$J$5)*0.1)+IF(ROUND((IF(AA54-Uzman_D!$L$5&lt;0,-(AA54-Uzman_D!$L$5),AA54-Uzman_D!$L$5)*2),0)/2=IF(AA54-Uzman_D!$L$5&lt;0,-(AA54-Uzman_D!$L$5),AA54-Uzman_D!$L$5),(ROUND((IF(AA54-Uzman_D!$L$5&lt;0,-(AA54-Uzman_D!$L$5),AA54-Uzman_D!$L$5)*2),0)/1*0.1),0)+IF(AB54-Uzman_D!$M$5&lt;0,-(AB54-Uzman_D!$M$5),AB54-Uzman_D!$M$5)*1)</f>
        <v>-0.40000000000000013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70"/>
      <c r="AO54" s="70"/>
      <c r="AP54" s="71">
        <f>1-(SUM(IF(AD54-Uzman_D!$B$6&lt;0,-(AD54-Uzman_D!$B$6),AD54-Uzman_D!$B$6)*0.1+IF(AE54-Uzman_D!$C$6&lt;0,-(AE54-Uzman_D!$C$6),AE54-Uzman_D!$C$6)*0.1+IF(AF54-Uzman_D!$D$6&lt;0,-(AF54-Uzman_D!$D$6),AF54-Uzman_D!$D$6)*0.1+IF(AG54-Uzman_D!$E$6&lt;0,-(AG54-Uzman_D!$E$6),AG54-Uzman_D!$E$6)*0.1+IF(AH54-Uzman_D!$F$6&lt;0,-(AH54-Uzman_D!$F$6),AH54-Uzman_D!$F$6)*0.1+IF(AI54-Uzman_D!$G$6&lt;0,-(AI54-Uzman_D!$G$6),AI54-Uzman_D!$G$6)*0.1+IF(AJ54-Uzman_D!$H$6&lt;0,-(AJ54-Uzman_D!$H$6),AJ54-Uzman_D!$H$6)*0.1+IF(AK54-Uzman_D!$I$6&lt;0,-(AK54-Uzman_D!$I$6),AK54-Uzman_D!$I$6)*0.1+IF(AL54-Uzman_D!$J$6&lt;0,-(AL54-Uzman_D!$J$6),AL54-Uzman_D!$J$6)*0.1)+IF(ROUND((IF(AN54-Uzman_D!$L$6&lt;0,-(AN54-Uzman_D!$L$6),AN54-Uzman_D!$L$6)*2),0)/2=IF(AN54-Uzman_D!$L$6&lt;0,-(AN54-Uzman_D!$L$6),AN54-Uzman_D!$L$6),(ROUND((IF(AN54-Uzman_D!$L$6&lt;0,-(AN54-Uzman_D!$L$6),AN54-Uzman_D!$L$6)*2),0)/1*0.1),0)+IF(AO54-Uzman_D!$M$6&lt;0,-(AO54-Uzman_D!$M$6),AO54-Uzman_D!$M$6)*1)</f>
        <v>-0.10000000000000009</v>
      </c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70"/>
      <c r="BB54" s="70"/>
      <c r="BC54" s="71">
        <f>1-(SUM(IF(AQ54-Uzman_D!$B$7&lt;0,-(AQ54-Uzman_D!$B$7),AQ54-Uzman_D!$B$7)*0.1+IF(AR54-Uzman_D!$C$7&lt;0,-(AR54-Uzman_D!$C$7),AR54-Uzman_D!$C$7)*0.1+IF(AS54-Uzman_D!$D$7&lt;0,-(AS54-Uzman_D!$D$7),AS54-Uzman_D!$D$7)*0.1+IF(AT54-Uzman_D!$E$7&lt;0,-(AT54-Uzman_D!$E$7),AT54-Uzman_D!$E$7)*0.1+IF(AU54-Uzman_D!$F$7&lt;0,-(AU54-Uzman_D!$F$7),AU54-Uzman_D!$F$7)*0.1+IF(AV54-Uzman_D!$G$7&lt;0,-(AV54-Uzman_D!$G$7),AV54-Uzman_D!$G$7)*0.1+IF(AW54-Uzman_D!$H$7&lt;0,-(AW54-Uzman_D!$H$7),AW54-Uzman_D!$H$7)*0.1+IF(AX54-Uzman_D!$I$7&lt;0,-(AX54-Uzman_D!$I$7),AX54-Uzman_D!$I$7)*0.1+IF(AY54-Uzman_D!$J$7&lt;0,-(AY54-Uzman_D!$J$7),AY54-Uzman_D!$J$7)*0.1)+IF(ROUND((IF(BA54-Uzman_D!$L$7&lt;0,-(BA54-Uzman_D!$L$7),BA54-Uzman_D!$L$7)*2),0)/2=IF(BA54-Uzman_D!$L$7&lt;0,-(BA54-Uzman_D!$L$7),BA54-Uzman_D!$L$7),(ROUND((IF(BA54-Uzman_D!$L$7&lt;0,-(BA54-Uzman_D!$L$7),BA54-Uzman_D!$L$7)*2),0)/1*0.1),0)+IF(BB54-Uzman_D!$M$7&lt;0,-(BB54-Uzman_D!$M$7),BB54-Uzman_D!$M$7)*1)</f>
        <v>-0.7</v>
      </c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70"/>
      <c r="BO54" s="70"/>
      <c r="BP54" s="71">
        <f>1-(SUM(IF(BD54-Uzman_D!$B$8&lt;0,-(BD54-Uzman_D!$B$8),BD54-Uzman_D!$B$8)*0.1+IF(BE54-Uzman_D!$C$8&lt;0,-(BE54-Uzman_D!$C$8),BE54-Uzman_D!$C$8)*0.1+IF(BF54-Uzman_D!$D$8&lt;0,-(BF54-Uzman_D!$D$8),BF54-Uzman_D!$D$8)*0.1+IF(BG54-Uzman_D!$E$8&lt;0,-(BG54-Uzman_D!$E$8),BG54-Uzman_D!$E$8)*0.1+IF(BH54-Uzman_D!$F$8&lt;0,-(BH54-Uzman_D!$F$8),BH54-Uzman_D!$F$8)*0.1+IF(BI54-Uzman_D!$G$8&lt;0,-(BI54-Uzman_D!$G$8),BI54-Uzman_D!$G$8)*0.1+IF(BJ54-Uzman_D!$H$8&lt;0,-(BJ54-Uzman_D!$H$8),BJ54-Uzman_D!$H$8)*0.1+IF(BK54-Uzman_D!$I$8&lt;0,-(BK54-Uzman_D!$I$8),BK54-Uzman_D!$I$8)*0.1+IF(BL54-Uzman_D!$J$8&lt;0,-(BL54-Uzman_D!$J$8),BL54-Uzman_D!$J$8)*0.1)+IF(ROUND((IF(BN54-Uzman_D!$L$8&lt;0,-(BN54-Uzman_D!$L$8),BN54-Uzman_D!$L$8)*2),0)/2=IF(BN54-Uzman_D!$L$8&lt;0,-(BN54-Uzman_D!$L$8),BN54-Uzman_D!$L$8),(ROUND((IF(BN54-Uzman_D!$L$8&lt;0,-(BN54-Uzman_D!$L$8),BN54-Uzman_D!$L$8)*2),0)/1*0.1),0)+IF(BO54-Uzman_D!$M$8&lt;0,-(BO54-Uzman_D!$M$8),BO54-Uzman_D!$M$8)*1)</f>
        <v>-1</v>
      </c>
      <c r="BQ54" s="72">
        <f t="shared" si="1"/>
        <v>-0.48000000000000009</v>
      </c>
    </row>
    <row r="55" spans="1:69" ht="15" customHeight="1" x14ac:dyDescent="0.45">
      <c r="A55" s="54">
        <v>52</v>
      </c>
      <c r="B55" s="166">
        <f>Hakemler!B55</f>
        <v>0</v>
      </c>
      <c r="C55" s="166">
        <f>Hakemler!C55</f>
        <v>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0"/>
      <c r="O55" s="70"/>
      <c r="P55" s="71">
        <f>1-(SUM(IF(D55-Uzman_D!$B$4&lt;0,-(D55-Uzman_D!$B$4),D55-Uzman_D!$B$4)*0.1+IF(E55-Uzman_D!$C$4&lt;0,-(E55-Uzman_D!$C$4),E55-Uzman_D!$C$4)*0.1+IF(F55-Uzman_D!$D$4&lt;0,-(F55-Uzman_D!$D$4),F55-Uzman_D!$D$4)*0.1+IF(G55-Uzman_D!$E$4&lt;0,-(G55-Uzman_D!$E$4),G55-Uzman_D!$E$4)*0.1+IF(H55-Uzman_D!$F$4&lt;0,-(H55-Uzman_D!$F$4),H55-Uzman_D!$F$4)*0.1+IF(I55-Uzman_D!$G$4&lt;0,-(I55-Uzman_D!$G$4),I55-Uzman_D!$G$4)*0.1+IF(J55-Uzman_D!$H$4&lt;0,-(J55-Uzman_D!$H$4),J55-Uzman_D!$H$4)*0.1+IF(K55-Uzman_D!$I$4&lt;0,-(K55-Uzman_D!$I$4),K55-Uzman_D!$I$4)*0.1+IF(L55-Uzman_D!$J$4&lt;0,-(L55-Uzman_D!$J$4),L55-Uzman_D!$J$4)*0.1)+IF(ROUND((IF(N55-Uzman_D!$L$4&lt;0,-(N55-Uzman_D!$L$4),N55-Uzman_D!$L$4)*2),0)/2=IF(N55-Uzman_D!$L$4&lt;0,-(N55-Uzman_D!$L$4),N55-Uzman_D!$L$4),(ROUND((IF(N55-Uzman_D!$L$4&lt;0,-(N55-Uzman_D!$L$4),N55-Uzman_D!$L$4)*2),0)/1*0.1),0)+IF(O55-Uzman_D!$M$4&lt;0,-(O55-Uzman_D!$M$4),O55-Uzman_D!$M$4)*1)</f>
        <v>-0.19999999999999996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70"/>
      <c r="AB55" s="70"/>
      <c r="AC55" s="71">
        <f>1-(SUM(IF(Q55-Uzman_D!$B$5&lt;0,-(Q55-Uzman_D!$B$5),Q55-Uzman_D!$B$5)*0.1+IF(R55-Uzman_D!$C$5&lt;0,-(R55-Uzman_D!$C$5),R55-Uzman_D!$C$5)*0.1+IF(S55-Uzman_D!$D$5&lt;0,-(S55-Uzman_D!$D$5),S55-Uzman_D!$D$5)*0.1+IF(T55-Uzman_D!$E$5&lt;0,-(T55-Uzman_D!$E$5),T55-Uzman_D!$E$5)*0.1+IF(U55-Uzman_D!$F$5&lt;0,-(U55-Uzman_D!$F$5),U55-Uzman_D!$F$5)*0.1+IF(V55-Uzman_D!$G$5&lt;0,-(V55-Uzman_D!$G$5),V55-Uzman_D!$G$5)*0.1+IF(W55-Uzman_D!$H$5&lt;0,-(W55-Uzman_D!$H$5),W55-Uzman_D!$H$5)*0.1+IF(X55-Uzman_D!$I$5&lt;0,-(X55-Uzman_D!$I$5),X55-Uzman_D!$I$5)*0.1+IF(Y55-Uzman_D!$J$5&lt;0,-(Y55-Uzman_D!$J$5),Y55-Uzman_D!$J$5)*0.1)+IF(ROUND((IF(AA55-Uzman_D!$L$5&lt;0,-(AA55-Uzman_D!$L$5),AA55-Uzman_D!$L$5)*2),0)/2=IF(AA55-Uzman_D!$L$5&lt;0,-(AA55-Uzman_D!$L$5),AA55-Uzman_D!$L$5),(ROUND((IF(AA55-Uzman_D!$L$5&lt;0,-(AA55-Uzman_D!$L$5),AA55-Uzman_D!$L$5)*2),0)/1*0.1),0)+IF(AB55-Uzman_D!$M$5&lt;0,-(AB55-Uzman_D!$M$5),AB55-Uzman_D!$M$5)*1)</f>
        <v>-0.40000000000000013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70"/>
      <c r="AO55" s="70"/>
      <c r="AP55" s="71">
        <f>1-(SUM(IF(AD55-Uzman_D!$B$6&lt;0,-(AD55-Uzman_D!$B$6),AD55-Uzman_D!$B$6)*0.1+IF(AE55-Uzman_D!$C$6&lt;0,-(AE55-Uzman_D!$C$6),AE55-Uzman_D!$C$6)*0.1+IF(AF55-Uzman_D!$D$6&lt;0,-(AF55-Uzman_D!$D$6),AF55-Uzman_D!$D$6)*0.1+IF(AG55-Uzman_D!$E$6&lt;0,-(AG55-Uzman_D!$E$6),AG55-Uzman_D!$E$6)*0.1+IF(AH55-Uzman_D!$F$6&lt;0,-(AH55-Uzman_D!$F$6),AH55-Uzman_D!$F$6)*0.1+IF(AI55-Uzman_D!$G$6&lt;0,-(AI55-Uzman_D!$G$6),AI55-Uzman_D!$G$6)*0.1+IF(AJ55-Uzman_D!$H$6&lt;0,-(AJ55-Uzman_D!$H$6),AJ55-Uzman_D!$H$6)*0.1+IF(AK55-Uzman_D!$I$6&lt;0,-(AK55-Uzman_D!$I$6),AK55-Uzman_D!$I$6)*0.1+IF(AL55-Uzman_D!$J$6&lt;0,-(AL55-Uzman_D!$J$6),AL55-Uzman_D!$J$6)*0.1)+IF(ROUND((IF(AN55-Uzman_D!$L$6&lt;0,-(AN55-Uzman_D!$L$6),AN55-Uzman_D!$L$6)*2),0)/2=IF(AN55-Uzman_D!$L$6&lt;0,-(AN55-Uzman_D!$L$6),AN55-Uzman_D!$L$6),(ROUND((IF(AN55-Uzman_D!$L$6&lt;0,-(AN55-Uzman_D!$L$6),AN55-Uzman_D!$L$6)*2),0)/1*0.1),0)+IF(AO55-Uzman_D!$M$6&lt;0,-(AO55-Uzman_D!$M$6),AO55-Uzman_D!$M$6)*1)</f>
        <v>-0.10000000000000009</v>
      </c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70"/>
      <c r="BB55" s="70"/>
      <c r="BC55" s="71">
        <f>1-(SUM(IF(AQ55-Uzman_D!$B$7&lt;0,-(AQ55-Uzman_D!$B$7),AQ55-Uzman_D!$B$7)*0.1+IF(AR55-Uzman_D!$C$7&lt;0,-(AR55-Uzman_D!$C$7),AR55-Uzman_D!$C$7)*0.1+IF(AS55-Uzman_D!$D$7&lt;0,-(AS55-Uzman_D!$D$7),AS55-Uzman_D!$D$7)*0.1+IF(AT55-Uzman_D!$E$7&lt;0,-(AT55-Uzman_D!$E$7),AT55-Uzman_D!$E$7)*0.1+IF(AU55-Uzman_D!$F$7&lt;0,-(AU55-Uzman_D!$F$7),AU55-Uzman_D!$F$7)*0.1+IF(AV55-Uzman_D!$G$7&lt;0,-(AV55-Uzman_D!$G$7),AV55-Uzman_D!$G$7)*0.1+IF(AW55-Uzman_D!$H$7&lt;0,-(AW55-Uzman_D!$H$7),AW55-Uzman_D!$H$7)*0.1+IF(AX55-Uzman_D!$I$7&lt;0,-(AX55-Uzman_D!$I$7),AX55-Uzman_D!$I$7)*0.1+IF(AY55-Uzman_D!$J$7&lt;0,-(AY55-Uzman_D!$J$7),AY55-Uzman_D!$J$7)*0.1)+IF(ROUND((IF(BA55-Uzman_D!$L$7&lt;0,-(BA55-Uzman_D!$L$7),BA55-Uzman_D!$L$7)*2),0)/2=IF(BA55-Uzman_D!$L$7&lt;0,-(BA55-Uzman_D!$L$7),BA55-Uzman_D!$L$7),(ROUND((IF(BA55-Uzman_D!$L$7&lt;0,-(BA55-Uzman_D!$L$7),BA55-Uzman_D!$L$7)*2),0)/1*0.1),0)+IF(BB55-Uzman_D!$M$7&lt;0,-(BB55-Uzman_D!$M$7),BB55-Uzman_D!$M$7)*1)</f>
        <v>-0.7</v>
      </c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70"/>
      <c r="BO55" s="70"/>
      <c r="BP55" s="71">
        <f>1-(SUM(IF(BD55-Uzman_D!$B$8&lt;0,-(BD55-Uzman_D!$B$8),BD55-Uzman_D!$B$8)*0.1+IF(BE55-Uzman_D!$C$8&lt;0,-(BE55-Uzman_D!$C$8),BE55-Uzman_D!$C$8)*0.1+IF(BF55-Uzman_D!$D$8&lt;0,-(BF55-Uzman_D!$D$8),BF55-Uzman_D!$D$8)*0.1+IF(BG55-Uzman_D!$E$8&lt;0,-(BG55-Uzman_D!$E$8),BG55-Uzman_D!$E$8)*0.1+IF(BH55-Uzman_D!$F$8&lt;0,-(BH55-Uzman_D!$F$8),BH55-Uzman_D!$F$8)*0.1+IF(BI55-Uzman_D!$G$8&lt;0,-(BI55-Uzman_D!$G$8),BI55-Uzman_D!$G$8)*0.1+IF(BJ55-Uzman_D!$H$8&lt;0,-(BJ55-Uzman_D!$H$8),BJ55-Uzman_D!$H$8)*0.1+IF(BK55-Uzman_D!$I$8&lt;0,-(BK55-Uzman_D!$I$8),BK55-Uzman_D!$I$8)*0.1+IF(BL55-Uzman_D!$J$8&lt;0,-(BL55-Uzman_D!$J$8),BL55-Uzman_D!$J$8)*0.1)+IF(ROUND((IF(BN55-Uzman_D!$L$8&lt;0,-(BN55-Uzman_D!$L$8),BN55-Uzman_D!$L$8)*2),0)/2=IF(BN55-Uzman_D!$L$8&lt;0,-(BN55-Uzman_D!$L$8),BN55-Uzman_D!$L$8),(ROUND((IF(BN55-Uzman_D!$L$8&lt;0,-(BN55-Uzman_D!$L$8),BN55-Uzman_D!$L$8)*2),0)/1*0.1),0)+IF(BO55-Uzman_D!$M$8&lt;0,-(BO55-Uzman_D!$M$8),BO55-Uzman_D!$M$8)*1)</f>
        <v>-1</v>
      </c>
      <c r="BQ55" s="72">
        <f t="shared" si="1"/>
        <v>-0.48000000000000009</v>
      </c>
    </row>
    <row r="56" spans="1:69" ht="15" customHeight="1" x14ac:dyDescent="0.45">
      <c r="A56" s="54">
        <v>53</v>
      </c>
      <c r="B56" s="166">
        <f>Hakemler!B56</f>
        <v>0</v>
      </c>
      <c r="C56" s="165">
        <f>Hakemler!C56</f>
        <v>0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70"/>
      <c r="O56" s="70"/>
      <c r="P56" s="71">
        <f>1-(SUM(IF(D56-Uzman_D!$B$4&lt;0,-(D56-Uzman_D!$B$4),D56-Uzman_D!$B$4)*0.1+IF(E56-Uzman_D!$C$4&lt;0,-(E56-Uzman_D!$C$4),E56-Uzman_D!$C$4)*0.1+IF(F56-Uzman_D!$D$4&lt;0,-(F56-Uzman_D!$D$4),F56-Uzman_D!$D$4)*0.1+IF(G56-Uzman_D!$E$4&lt;0,-(G56-Uzman_D!$E$4),G56-Uzman_D!$E$4)*0.1+IF(H56-Uzman_D!$F$4&lt;0,-(H56-Uzman_D!$F$4),H56-Uzman_D!$F$4)*0.1+IF(I56-Uzman_D!$G$4&lt;0,-(I56-Uzman_D!$G$4),I56-Uzman_D!$G$4)*0.1+IF(J56-Uzman_D!$H$4&lt;0,-(J56-Uzman_D!$H$4),J56-Uzman_D!$H$4)*0.1+IF(K56-Uzman_D!$I$4&lt;0,-(K56-Uzman_D!$I$4),K56-Uzman_D!$I$4)*0.1+IF(L56-Uzman_D!$J$4&lt;0,-(L56-Uzman_D!$J$4),L56-Uzman_D!$J$4)*0.1)+IF(ROUND((IF(N56-Uzman_D!$L$4&lt;0,-(N56-Uzman_D!$L$4),N56-Uzman_D!$L$4)*2),0)/2=IF(N56-Uzman_D!$L$4&lt;0,-(N56-Uzman_D!$L$4),N56-Uzman_D!$L$4),(ROUND((IF(N56-Uzman_D!$L$4&lt;0,-(N56-Uzman_D!$L$4),N56-Uzman_D!$L$4)*2),0)/1*0.1),0)+IF(O56-Uzman_D!$M$4&lt;0,-(O56-Uzman_D!$M$4),O56-Uzman_D!$M$4)*1)</f>
        <v>-0.19999999999999996</v>
      </c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70"/>
      <c r="AB56" s="70"/>
      <c r="AC56" s="71">
        <f>1-(SUM(IF(Q56-Uzman_D!$B$5&lt;0,-(Q56-Uzman_D!$B$5),Q56-Uzman_D!$B$5)*0.1+IF(R56-Uzman_D!$C$5&lt;0,-(R56-Uzman_D!$C$5),R56-Uzman_D!$C$5)*0.1+IF(S56-Uzman_D!$D$5&lt;0,-(S56-Uzman_D!$D$5),S56-Uzman_D!$D$5)*0.1+IF(T56-Uzman_D!$E$5&lt;0,-(T56-Uzman_D!$E$5),T56-Uzman_D!$E$5)*0.1+IF(U56-Uzman_D!$F$5&lt;0,-(U56-Uzman_D!$F$5),U56-Uzman_D!$F$5)*0.1+IF(V56-Uzman_D!$G$5&lt;0,-(V56-Uzman_D!$G$5),V56-Uzman_D!$G$5)*0.1+IF(W56-Uzman_D!$H$5&lt;0,-(W56-Uzman_D!$H$5),W56-Uzman_D!$H$5)*0.1+IF(X56-Uzman_D!$I$5&lt;0,-(X56-Uzman_D!$I$5),X56-Uzman_D!$I$5)*0.1+IF(Y56-Uzman_D!$J$5&lt;0,-(Y56-Uzman_D!$J$5),Y56-Uzman_D!$J$5)*0.1)+IF(ROUND((IF(AA56-Uzman_D!$L$5&lt;0,-(AA56-Uzman_D!$L$5),AA56-Uzman_D!$L$5)*2),0)/2=IF(AA56-Uzman_D!$L$5&lt;0,-(AA56-Uzman_D!$L$5),AA56-Uzman_D!$L$5),(ROUND((IF(AA56-Uzman_D!$L$5&lt;0,-(AA56-Uzman_D!$L$5),AA56-Uzman_D!$L$5)*2),0)/1*0.1),0)+IF(AB56-Uzman_D!$M$5&lt;0,-(AB56-Uzman_D!$M$5),AB56-Uzman_D!$M$5)*1)</f>
        <v>-0.40000000000000013</v>
      </c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70"/>
      <c r="AO56" s="70"/>
      <c r="AP56" s="71">
        <f>1-(SUM(IF(AD56-Uzman_D!$B$6&lt;0,-(AD56-Uzman_D!$B$6),AD56-Uzman_D!$B$6)*0.1+IF(AE56-Uzman_D!$C$6&lt;0,-(AE56-Uzman_D!$C$6),AE56-Uzman_D!$C$6)*0.1+IF(AF56-Uzman_D!$D$6&lt;0,-(AF56-Uzman_D!$D$6),AF56-Uzman_D!$D$6)*0.1+IF(AG56-Uzman_D!$E$6&lt;0,-(AG56-Uzman_D!$E$6),AG56-Uzman_D!$E$6)*0.1+IF(AH56-Uzman_D!$F$6&lt;0,-(AH56-Uzman_D!$F$6),AH56-Uzman_D!$F$6)*0.1+IF(AI56-Uzman_D!$G$6&lt;0,-(AI56-Uzman_D!$G$6),AI56-Uzman_D!$G$6)*0.1+IF(AJ56-Uzman_D!$H$6&lt;0,-(AJ56-Uzman_D!$H$6),AJ56-Uzman_D!$H$6)*0.1+IF(AK56-Uzman_D!$I$6&lt;0,-(AK56-Uzman_D!$I$6),AK56-Uzman_D!$I$6)*0.1+IF(AL56-Uzman_D!$J$6&lt;0,-(AL56-Uzman_D!$J$6),AL56-Uzman_D!$J$6)*0.1)+IF(ROUND((IF(AN56-Uzman_D!$L$6&lt;0,-(AN56-Uzman_D!$L$6),AN56-Uzman_D!$L$6)*2),0)/2=IF(AN56-Uzman_D!$L$6&lt;0,-(AN56-Uzman_D!$L$6),AN56-Uzman_D!$L$6),(ROUND((IF(AN56-Uzman_D!$L$6&lt;0,-(AN56-Uzman_D!$L$6),AN56-Uzman_D!$L$6)*2),0)/1*0.1),0)+IF(AO56-Uzman_D!$M$6&lt;0,-(AO56-Uzman_D!$M$6),AO56-Uzman_D!$M$6)*1)</f>
        <v>-0.10000000000000009</v>
      </c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70"/>
      <c r="BB56" s="70"/>
      <c r="BC56" s="71">
        <f>1-(SUM(IF(AQ56-Uzman_D!$B$7&lt;0,-(AQ56-Uzman_D!$B$7),AQ56-Uzman_D!$B$7)*0.1+IF(AR56-Uzman_D!$C$7&lt;0,-(AR56-Uzman_D!$C$7),AR56-Uzman_D!$C$7)*0.1+IF(AS56-Uzman_D!$D$7&lt;0,-(AS56-Uzman_D!$D$7),AS56-Uzman_D!$D$7)*0.1+IF(AT56-Uzman_D!$E$7&lt;0,-(AT56-Uzman_D!$E$7),AT56-Uzman_D!$E$7)*0.1+IF(AU56-Uzman_D!$F$7&lt;0,-(AU56-Uzman_D!$F$7),AU56-Uzman_D!$F$7)*0.1+IF(AV56-Uzman_D!$G$7&lt;0,-(AV56-Uzman_D!$G$7),AV56-Uzman_D!$G$7)*0.1+IF(AW56-Uzman_D!$H$7&lt;0,-(AW56-Uzman_D!$H$7),AW56-Uzman_D!$H$7)*0.1+IF(AX56-Uzman_D!$I$7&lt;0,-(AX56-Uzman_D!$I$7),AX56-Uzman_D!$I$7)*0.1+IF(AY56-Uzman_D!$J$7&lt;0,-(AY56-Uzman_D!$J$7),AY56-Uzman_D!$J$7)*0.1)+IF(ROUND((IF(BA56-Uzman_D!$L$7&lt;0,-(BA56-Uzman_D!$L$7),BA56-Uzman_D!$L$7)*2),0)/2=IF(BA56-Uzman_D!$L$7&lt;0,-(BA56-Uzman_D!$L$7),BA56-Uzman_D!$L$7),(ROUND((IF(BA56-Uzman_D!$L$7&lt;0,-(BA56-Uzman_D!$L$7),BA56-Uzman_D!$L$7)*2),0)/1*0.1),0)+IF(BB56-Uzman_D!$M$7&lt;0,-(BB56-Uzman_D!$M$7),BB56-Uzman_D!$M$7)*1)</f>
        <v>-0.7</v>
      </c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70"/>
      <c r="BO56" s="70"/>
      <c r="BP56" s="71">
        <f>1-(SUM(IF(BD56-Uzman_D!$B$8&lt;0,-(BD56-Uzman_D!$B$8),BD56-Uzman_D!$B$8)*0.1+IF(BE56-Uzman_D!$C$8&lt;0,-(BE56-Uzman_D!$C$8),BE56-Uzman_D!$C$8)*0.1+IF(BF56-Uzman_D!$D$8&lt;0,-(BF56-Uzman_D!$D$8),BF56-Uzman_D!$D$8)*0.1+IF(BG56-Uzman_D!$E$8&lt;0,-(BG56-Uzman_D!$E$8),BG56-Uzman_D!$E$8)*0.1+IF(BH56-Uzman_D!$F$8&lt;0,-(BH56-Uzman_D!$F$8),BH56-Uzman_D!$F$8)*0.1+IF(BI56-Uzman_D!$G$8&lt;0,-(BI56-Uzman_D!$G$8),BI56-Uzman_D!$G$8)*0.1+IF(BJ56-Uzman_D!$H$8&lt;0,-(BJ56-Uzman_D!$H$8),BJ56-Uzman_D!$H$8)*0.1+IF(BK56-Uzman_D!$I$8&lt;0,-(BK56-Uzman_D!$I$8),BK56-Uzman_D!$I$8)*0.1+IF(BL56-Uzman_D!$J$8&lt;0,-(BL56-Uzman_D!$J$8),BL56-Uzman_D!$J$8)*0.1)+IF(ROUND((IF(BN56-Uzman_D!$L$8&lt;0,-(BN56-Uzman_D!$L$8),BN56-Uzman_D!$L$8)*2),0)/2=IF(BN56-Uzman_D!$L$8&lt;0,-(BN56-Uzman_D!$L$8),BN56-Uzman_D!$L$8),(ROUND((IF(BN56-Uzman_D!$L$8&lt;0,-(BN56-Uzman_D!$L$8),BN56-Uzman_D!$L$8)*2),0)/1*0.1),0)+IF(BO56-Uzman_D!$M$8&lt;0,-(BO56-Uzman_D!$M$8),BO56-Uzman_D!$M$8)*1)</f>
        <v>-1</v>
      </c>
      <c r="BQ56" s="72">
        <f t="shared" si="1"/>
        <v>-0.48000000000000009</v>
      </c>
    </row>
    <row r="57" spans="1:69" ht="15" customHeight="1" x14ac:dyDescent="0.45">
      <c r="A57" s="54">
        <v>54</v>
      </c>
      <c r="B57" s="165">
        <f>Hakemler!B57</f>
        <v>0</v>
      </c>
      <c r="C57" s="165">
        <f>Hakemler!C57</f>
        <v>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70"/>
      <c r="O57" s="70"/>
      <c r="P57" s="71">
        <f>1-(SUM(IF(D57-Uzman_D!$B$4&lt;0,-(D57-Uzman_D!$B$4),D57-Uzman_D!$B$4)*0.1+IF(E57-Uzman_D!$C$4&lt;0,-(E57-Uzman_D!$C$4),E57-Uzman_D!$C$4)*0.1+IF(F57-Uzman_D!$D$4&lt;0,-(F57-Uzman_D!$D$4),F57-Uzman_D!$D$4)*0.1+IF(G57-Uzman_D!$E$4&lt;0,-(G57-Uzman_D!$E$4),G57-Uzman_D!$E$4)*0.1+IF(H57-Uzman_D!$F$4&lt;0,-(H57-Uzman_D!$F$4),H57-Uzman_D!$F$4)*0.1+IF(I57-Uzman_D!$G$4&lt;0,-(I57-Uzman_D!$G$4),I57-Uzman_D!$G$4)*0.1+IF(J57-Uzman_D!$H$4&lt;0,-(J57-Uzman_D!$H$4),J57-Uzman_D!$H$4)*0.1+IF(K57-Uzman_D!$I$4&lt;0,-(K57-Uzman_D!$I$4),K57-Uzman_D!$I$4)*0.1+IF(L57-Uzman_D!$J$4&lt;0,-(L57-Uzman_D!$J$4),L57-Uzman_D!$J$4)*0.1)+IF(ROUND((IF(N57-Uzman_D!$L$4&lt;0,-(N57-Uzman_D!$L$4),N57-Uzman_D!$L$4)*2),0)/2=IF(N57-Uzman_D!$L$4&lt;0,-(N57-Uzman_D!$L$4),N57-Uzman_D!$L$4),(ROUND((IF(N57-Uzman_D!$L$4&lt;0,-(N57-Uzman_D!$L$4),N57-Uzman_D!$L$4)*2),0)/1*0.1),0)+IF(O57-Uzman_D!$M$4&lt;0,-(O57-Uzman_D!$M$4),O57-Uzman_D!$M$4)*1)</f>
        <v>-0.19999999999999996</v>
      </c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70"/>
      <c r="AB57" s="70"/>
      <c r="AC57" s="71">
        <f>1-(SUM(IF(Q57-Uzman_D!$B$5&lt;0,-(Q57-Uzman_D!$B$5),Q57-Uzman_D!$B$5)*0.1+IF(R57-Uzman_D!$C$5&lt;0,-(R57-Uzman_D!$C$5),R57-Uzman_D!$C$5)*0.1+IF(S57-Uzman_D!$D$5&lt;0,-(S57-Uzman_D!$D$5),S57-Uzman_D!$D$5)*0.1+IF(T57-Uzman_D!$E$5&lt;0,-(T57-Uzman_D!$E$5),T57-Uzman_D!$E$5)*0.1+IF(U57-Uzman_D!$F$5&lt;0,-(U57-Uzman_D!$F$5),U57-Uzman_D!$F$5)*0.1+IF(V57-Uzman_D!$G$5&lt;0,-(V57-Uzman_D!$G$5),V57-Uzman_D!$G$5)*0.1+IF(W57-Uzman_D!$H$5&lt;0,-(W57-Uzman_D!$H$5),W57-Uzman_D!$H$5)*0.1+IF(X57-Uzman_D!$I$5&lt;0,-(X57-Uzman_D!$I$5),X57-Uzman_D!$I$5)*0.1+IF(Y57-Uzman_D!$J$5&lt;0,-(Y57-Uzman_D!$J$5),Y57-Uzman_D!$J$5)*0.1)+IF(ROUND((IF(AA57-Uzman_D!$L$5&lt;0,-(AA57-Uzman_D!$L$5),AA57-Uzman_D!$L$5)*2),0)/2=IF(AA57-Uzman_D!$L$5&lt;0,-(AA57-Uzman_D!$L$5),AA57-Uzman_D!$L$5),(ROUND((IF(AA57-Uzman_D!$L$5&lt;0,-(AA57-Uzman_D!$L$5),AA57-Uzman_D!$L$5)*2),0)/1*0.1),0)+IF(AB57-Uzman_D!$M$5&lt;0,-(AB57-Uzman_D!$M$5),AB57-Uzman_D!$M$5)*1)</f>
        <v>-0.40000000000000013</v>
      </c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70"/>
      <c r="AO57" s="70"/>
      <c r="AP57" s="71">
        <f>1-(SUM(IF(AD57-Uzman_D!$B$6&lt;0,-(AD57-Uzman_D!$B$6),AD57-Uzman_D!$B$6)*0.1+IF(AE57-Uzman_D!$C$6&lt;0,-(AE57-Uzman_D!$C$6),AE57-Uzman_D!$C$6)*0.1+IF(AF57-Uzman_D!$D$6&lt;0,-(AF57-Uzman_D!$D$6),AF57-Uzman_D!$D$6)*0.1+IF(AG57-Uzman_D!$E$6&lt;0,-(AG57-Uzman_D!$E$6),AG57-Uzman_D!$E$6)*0.1+IF(AH57-Uzman_D!$F$6&lt;0,-(AH57-Uzman_D!$F$6),AH57-Uzman_D!$F$6)*0.1+IF(AI57-Uzman_D!$G$6&lt;0,-(AI57-Uzman_D!$G$6),AI57-Uzman_D!$G$6)*0.1+IF(AJ57-Uzman_D!$H$6&lt;0,-(AJ57-Uzman_D!$H$6),AJ57-Uzman_D!$H$6)*0.1+IF(AK57-Uzman_D!$I$6&lt;0,-(AK57-Uzman_D!$I$6),AK57-Uzman_D!$I$6)*0.1+IF(AL57-Uzman_D!$J$6&lt;0,-(AL57-Uzman_D!$J$6),AL57-Uzman_D!$J$6)*0.1)+IF(ROUND((IF(AN57-Uzman_D!$L$6&lt;0,-(AN57-Uzman_D!$L$6),AN57-Uzman_D!$L$6)*2),0)/2=IF(AN57-Uzman_D!$L$6&lt;0,-(AN57-Uzman_D!$L$6),AN57-Uzman_D!$L$6),(ROUND((IF(AN57-Uzman_D!$L$6&lt;0,-(AN57-Uzman_D!$L$6),AN57-Uzman_D!$L$6)*2),0)/1*0.1),0)+IF(AO57-Uzman_D!$M$6&lt;0,-(AO57-Uzman_D!$M$6),AO57-Uzman_D!$M$6)*1)</f>
        <v>-0.10000000000000009</v>
      </c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70"/>
      <c r="BB57" s="70"/>
      <c r="BC57" s="71">
        <f>1-(SUM(IF(AQ57-Uzman_D!$B$7&lt;0,-(AQ57-Uzman_D!$B$7),AQ57-Uzman_D!$B$7)*0.1+IF(AR57-Uzman_D!$C$7&lt;0,-(AR57-Uzman_D!$C$7),AR57-Uzman_D!$C$7)*0.1+IF(AS57-Uzman_D!$D$7&lt;0,-(AS57-Uzman_D!$D$7),AS57-Uzman_D!$D$7)*0.1+IF(AT57-Uzman_D!$E$7&lt;0,-(AT57-Uzman_D!$E$7),AT57-Uzman_D!$E$7)*0.1+IF(AU57-Uzman_D!$F$7&lt;0,-(AU57-Uzman_D!$F$7),AU57-Uzman_D!$F$7)*0.1+IF(AV57-Uzman_D!$G$7&lt;0,-(AV57-Uzman_D!$G$7),AV57-Uzman_D!$G$7)*0.1+IF(AW57-Uzman_D!$H$7&lt;0,-(AW57-Uzman_D!$H$7),AW57-Uzman_D!$H$7)*0.1+IF(AX57-Uzman_D!$I$7&lt;0,-(AX57-Uzman_D!$I$7),AX57-Uzman_D!$I$7)*0.1+IF(AY57-Uzman_D!$J$7&lt;0,-(AY57-Uzman_D!$J$7),AY57-Uzman_D!$J$7)*0.1)+IF(ROUND((IF(BA57-Uzman_D!$L$7&lt;0,-(BA57-Uzman_D!$L$7),BA57-Uzman_D!$L$7)*2),0)/2=IF(BA57-Uzman_D!$L$7&lt;0,-(BA57-Uzman_D!$L$7),BA57-Uzman_D!$L$7),(ROUND((IF(BA57-Uzman_D!$L$7&lt;0,-(BA57-Uzman_D!$L$7),BA57-Uzman_D!$L$7)*2),0)/1*0.1),0)+IF(BB57-Uzman_D!$M$7&lt;0,-(BB57-Uzman_D!$M$7),BB57-Uzman_D!$M$7)*1)</f>
        <v>-0.7</v>
      </c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70"/>
      <c r="BO57" s="70"/>
      <c r="BP57" s="71">
        <f>1-(SUM(IF(BD57-Uzman_D!$B$8&lt;0,-(BD57-Uzman_D!$B$8),BD57-Uzman_D!$B$8)*0.1+IF(BE57-Uzman_D!$C$8&lt;0,-(BE57-Uzman_D!$C$8),BE57-Uzman_D!$C$8)*0.1+IF(BF57-Uzman_D!$D$8&lt;0,-(BF57-Uzman_D!$D$8),BF57-Uzman_D!$D$8)*0.1+IF(BG57-Uzman_D!$E$8&lt;0,-(BG57-Uzman_D!$E$8),BG57-Uzman_D!$E$8)*0.1+IF(BH57-Uzman_D!$F$8&lt;0,-(BH57-Uzman_D!$F$8),BH57-Uzman_D!$F$8)*0.1+IF(BI57-Uzman_D!$G$8&lt;0,-(BI57-Uzman_D!$G$8),BI57-Uzman_D!$G$8)*0.1+IF(BJ57-Uzman_D!$H$8&lt;0,-(BJ57-Uzman_D!$H$8),BJ57-Uzman_D!$H$8)*0.1+IF(BK57-Uzman_D!$I$8&lt;0,-(BK57-Uzman_D!$I$8),BK57-Uzman_D!$I$8)*0.1+IF(BL57-Uzman_D!$J$8&lt;0,-(BL57-Uzman_D!$J$8),BL57-Uzman_D!$J$8)*0.1)+IF(ROUND((IF(BN57-Uzman_D!$L$8&lt;0,-(BN57-Uzman_D!$L$8),BN57-Uzman_D!$L$8)*2),0)/2=IF(BN57-Uzman_D!$L$8&lt;0,-(BN57-Uzman_D!$L$8),BN57-Uzman_D!$L$8),(ROUND((IF(BN57-Uzman_D!$L$8&lt;0,-(BN57-Uzman_D!$L$8),BN57-Uzman_D!$L$8)*2),0)/1*0.1),0)+IF(BO57-Uzman_D!$M$8&lt;0,-(BO57-Uzman_D!$M$8),BO57-Uzman_D!$M$8)*1)</f>
        <v>-1</v>
      </c>
      <c r="BQ57" s="72">
        <f t="shared" si="1"/>
        <v>-0.48000000000000009</v>
      </c>
    </row>
    <row r="58" spans="1:69" ht="15" customHeight="1" x14ac:dyDescent="0.45">
      <c r="A58" s="54">
        <v>55</v>
      </c>
      <c r="B58" s="166">
        <f>Hakemler!B58</f>
        <v>0</v>
      </c>
      <c r="C58" s="166">
        <f>Hakemler!C58</f>
        <v>0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70"/>
      <c r="O58" s="70"/>
      <c r="P58" s="71">
        <f>1-(SUM(IF(D58-Uzman_D!$B$4&lt;0,-(D58-Uzman_D!$B$4),D58-Uzman_D!$B$4)*0.1+IF(E58-Uzman_D!$C$4&lt;0,-(E58-Uzman_D!$C$4),E58-Uzman_D!$C$4)*0.1+IF(F58-Uzman_D!$D$4&lt;0,-(F58-Uzman_D!$D$4),F58-Uzman_D!$D$4)*0.1+IF(G58-Uzman_D!$E$4&lt;0,-(G58-Uzman_D!$E$4),G58-Uzman_D!$E$4)*0.1+IF(H58-Uzman_D!$F$4&lt;0,-(H58-Uzman_D!$F$4),H58-Uzman_D!$F$4)*0.1+IF(I58-Uzman_D!$G$4&lt;0,-(I58-Uzman_D!$G$4),I58-Uzman_D!$G$4)*0.1+IF(J58-Uzman_D!$H$4&lt;0,-(J58-Uzman_D!$H$4),J58-Uzman_D!$H$4)*0.1+IF(K58-Uzman_D!$I$4&lt;0,-(K58-Uzman_D!$I$4),K58-Uzman_D!$I$4)*0.1+IF(L58-Uzman_D!$J$4&lt;0,-(L58-Uzman_D!$J$4),L58-Uzman_D!$J$4)*0.1)+IF(ROUND((IF(N58-Uzman_D!$L$4&lt;0,-(N58-Uzman_D!$L$4),N58-Uzman_D!$L$4)*2),0)/2=IF(N58-Uzman_D!$L$4&lt;0,-(N58-Uzman_D!$L$4),N58-Uzman_D!$L$4),(ROUND((IF(N58-Uzman_D!$L$4&lt;0,-(N58-Uzman_D!$L$4),N58-Uzman_D!$L$4)*2),0)/1*0.1),0)+IF(O58-Uzman_D!$M$4&lt;0,-(O58-Uzman_D!$M$4),O58-Uzman_D!$M$4)*1)</f>
        <v>-0.19999999999999996</v>
      </c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70"/>
      <c r="AB58" s="70"/>
      <c r="AC58" s="71">
        <f>1-(SUM(IF(Q58-Uzman_D!$B$5&lt;0,-(Q58-Uzman_D!$B$5),Q58-Uzman_D!$B$5)*0.1+IF(R58-Uzman_D!$C$5&lt;0,-(R58-Uzman_D!$C$5),R58-Uzman_D!$C$5)*0.1+IF(S58-Uzman_D!$D$5&lt;0,-(S58-Uzman_D!$D$5),S58-Uzman_D!$D$5)*0.1+IF(T58-Uzman_D!$E$5&lt;0,-(T58-Uzman_D!$E$5),T58-Uzman_D!$E$5)*0.1+IF(U58-Uzman_D!$F$5&lt;0,-(U58-Uzman_D!$F$5),U58-Uzman_D!$F$5)*0.1+IF(V58-Uzman_D!$G$5&lt;0,-(V58-Uzman_D!$G$5),V58-Uzman_D!$G$5)*0.1+IF(W58-Uzman_D!$H$5&lt;0,-(W58-Uzman_D!$H$5),W58-Uzman_D!$H$5)*0.1+IF(X58-Uzman_D!$I$5&lt;0,-(X58-Uzman_D!$I$5),X58-Uzman_D!$I$5)*0.1+IF(Y58-Uzman_D!$J$5&lt;0,-(Y58-Uzman_D!$J$5),Y58-Uzman_D!$J$5)*0.1)+IF(ROUND((IF(AA58-Uzman_D!$L$5&lt;0,-(AA58-Uzman_D!$L$5),AA58-Uzman_D!$L$5)*2),0)/2=IF(AA58-Uzman_D!$L$5&lt;0,-(AA58-Uzman_D!$L$5),AA58-Uzman_D!$L$5),(ROUND((IF(AA58-Uzman_D!$L$5&lt;0,-(AA58-Uzman_D!$L$5),AA58-Uzman_D!$L$5)*2),0)/1*0.1),0)+IF(AB58-Uzman_D!$M$5&lt;0,-(AB58-Uzman_D!$M$5),AB58-Uzman_D!$M$5)*1)</f>
        <v>-0.40000000000000013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70"/>
      <c r="AO58" s="70"/>
      <c r="AP58" s="71">
        <f>1-(SUM(IF(AD58-Uzman_D!$B$6&lt;0,-(AD58-Uzman_D!$B$6),AD58-Uzman_D!$B$6)*0.1+IF(AE58-Uzman_D!$C$6&lt;0,-(AE58-Uzman_D!$C$6),AE58-Uzman_D!$C$6)*0.1+IF(AF58-Uzman_D!$D$6&lt;0,-(AF58-Uzman_D!$D$6),AF58-Uzman_D!$D$6)*0.1+IF(AG58-Uzman_D!$E$6&lt;0,-(AG58-Uzman_D!$E$6),AG58-Uzman_D!$E$6)*0.1+IF(AH58-Uzman_D!$F$6&lt;0,-(AH58-Uzman_D!$F$6),AH58-Uzman_D!$F$6)*0.1+IF(AI58-Uzman_D!$G$6&lt;0,-(AI58-Uzman_D!$G$6),AI58-Uzman_D!$G$6)*0.1+IF(AJ58-Uzman_D!$H$6&lt;0,-(AJ58-Uzman_D!$H$6),AJ58-Uzman_D!$H$6)*0.1+IF(AK58-Uzman_D!$I$6&lt;0,-(AK58-Uzman_D!$I$6),AK58-Uzman_D!$I$6)*0.1+IF(AL58-Uzman_D!$J$6&lt;0,-(AL58-Uzman_D!$J$6),AL58-Uzman_D!$J$6)*0.1)+IF(ROUND((IF(AN58-Uzman_D!$L$6&lt;0,-(AN58-Uzman_D!$L$6),AN58-Uzman_D!$L$6)*2),0)/2=IF(AN58-Uzman_D!$L$6&lt;0,-(AN58-Uzman_D!$L$6),AN58-Uzman_D!$L$6),(ROUND((IF(AN58-Uzman_D!$L$6&lt;0,-(AN58-Uzman_D!$L$6),AN58-Uzman_D!$L$6)*2),0)/1*0.1),0)+IF(AO58-Uzman_D!$M$6&lt;0,-(AO58-Uzman_D!$M$6),AO58-Uzman_D!$M$6)*1)</f>
        <v>-0.10000000000000009</v>
      </c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70"/>
      <c r="BB58" s="70"/>
      <c r="BC58" s="71">
        <f>1-(SUM(IF(AQ58-Uzman_D!$B$7&lt;0,-(AQ58-Uzman_D!$B$7),AQ58-Uzman_D!$B$7)*0.1+IF(AR58-Uzman_D!$C$7&lt;0,-(AR58-Uzman_D!$C$7),AR58-Uzman_D!$C$7)*0.1+IF(AS58-Uzman_D!$D$7&lt;0,-(AS58-Uzman_D!$D$7),AS58-Uzman_D!$D$7)*0.1+IF(AT58-Uzman_D!$E$7&lt;0,-(AT58-Uzman_D!$E$7),AT58-Uzman_D!$E$7)*0.1+IF(AU58-Uzman_D!$F$7&lt;0,-(AU58-Uzman_D!$F$7),AU58-Uzman_D!$F$7)*0.1+IF(AV58-Uzman_D!$G$7&lt;0,-(AV58-Uzman_D!$G$7),AV58-Uzman_D!$G$7)*0.1+IF(AW58-Uzman_D!$H$7&lt;0,-(AW58-Uzman_D!$H$7),AW58-Uzman_D!$H$7)*0.1+IF(AX58-Uzman_D!$I$7&lt;0,-(AX58-Uzman_D!$I$7),AX58-Uzman_D!$I$7)*0.1+IF(AY58-Uzman_D!$J$7&lt;0,-(AY58-Uzman_D!$J$7),AY58-Uzman_D!$J$7)*0.1)+IF(ROUND((IF(BA58-Uzman_D!$L$7&lt;0,-(BA58-Uzman_D!$L$7),BA58-Uzman_D!$L$7)*2),0)/2=IF(BA58-Uzman_D!$L$7&lt;0,-(BA58-Uzman_D!$L$7),BA58-Uzman_D!$L$7),(ROUND((IF(BA58-Uzman_D!$L$7&lt;0,-(BA58-Uzman_D!$L$7),BA58-Uzman_D!$L$7)*2),0)/1*0.1),0)+IF(BB58-Uzman_D!$M$7&lt;0,-(BB58-Uzman_D!$M$7),BB58-Uzman_D!$M$7)*1)</f>
        <v>-0.7</v>
      </c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70"/>
      <c r="BO58" s="70"/>
      <c r="BP58" s="71">
        <f>1-(SUM(IF(BD58-Uzman_D!$B$8&lt;0,-(BD58-Uzman_D!$B$8),BD58-Uzman_D!$B$8)*0.1+IF(BE58-Uzman_D!$C$8&lt;0,-(BE58-Uzman_D!$C$8),BE58-Uzman_D!$C$8)*0.1+IF(BF58-Uzman_D!$D$8&lt;0,-(BF58-Uzman_D!$D$8),BF58-Uzman_D!$D$8)*0.1+IF(BG58-Uzman_D!$E$8&lt;0,-(BG58-Uzman_D!$E$8),BG58-Uzman_D!$E$8)*0.1+IF(BH58-Uzman_D!$F$8&lt;0,-(BH58-Uzman_D!$F$8),BH58-Uzman_D!$F$8)*0.1+IF(BI58-Uzman_D!$G$8&lt;0,-(BI58-Uzman_D!$G$8),BI58-Uzman_D!$G$8)*0.1+IF(BJ58-Uzman_D!$H$8&lt;0,-(BJ58-Uzman_D!$H$8),BJ58-Uzman_D!$H$8)*0.1+IF(BK58-Uzman_D!$I$8&lt;0,-(BK58-Uzman_D!$I$8),BK58-Uzman_D!$I$8)*0.1+IF(BL58-Uzman_D!$J$8&lt;0,-(BL58-Uzman_D!$J$8),BL58-Uzman_D!$J$8)*0.1)+IF(ROUND((IF(BN58-Uzman_D!$L$8&lt;0,-(BN58-Uzman_D!$L$8),BN58-Uzman_D!$L$8)*2),0)/2=IF(BN58-Uzman_D!$L$8&lt;0,-(BN58-Uzman_D!$L$8),BN58-Uzman_D!$L$8),(ROUND((IF(BN58-Uzman_D!$L$8&lt;0,-(BN58-Uzman_D!$L$8),BN58-Uzman_D!$L$8)*2),0)/1*0.1),0)+IF(BO58-Uzman_D!$M$8&lt;0,-(BO58-Uzman_D!$M$8),BO58-Uzman_D!$M$8)*1)</f>
        <v>-1</v>
      </c>
      <c r="BQ58" s="72">
        <f t="shared" si="1"/>
        <v>-0.48000000000000009</v>
      </c>
    </row>
    <row r="59" spans="1:69" ht="15" customHeight="1" x14ac:dyDescent="0.45">
      <c r="A59" s="54">
        <v>56</v>
      </c>
      <c r="B59" s="165">
        <f>Hakemler!B59</f>
        <v>0</v>
      </c>
      <c r="C59" s="165">
        <f>Hakemler!C59</f>
        <v>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70"/>
      <c r="O59" s="70"/>
      <c r="P59" s="71">
        <f>1-(SUM(IF(D59-Uzman_D!$B$4&lt;0,-(D59-Uzman_D!$B$4),D59-Uzman_D!$B$4)*0.1+IF(E59-Uzman_D!$C$4&lt;0,-(E59-Uzman_D!$C$4),E59-Uzman_D!$C$4)*0.1+IF(F59-Uzman_D!$D$4&lt;0,-(F59-Uzman_D!$D$4),F59-Uzman_D!$D$4)*0.1+IF(G59-Uzman_D!$E$4&lt;0,-(G59-Uzman_D!$E$4),G59-Uzman_D!$E$4)*0.1+IF(H59-Uzman_D!$F$4&lt;0,-(H59-Uzman_D!$F$4),H59-Uzman_D!$F$4)*0.1+IF(I59-Uzman_D!$G$4&lt;0,-(I59-Uzman_D!$G$4),I59-Uzman_D!$G$4)*0.1+IF(J59-Uzman_D!$H$4&lt;0,-(J59-Uzman_D!$H$4),J59-Uzman_D!$H$4)*0.1+IF(K59-Uzman_D!$I$4&lt;0,-(K59-Uzman_D!$I$4),K59-Uzman_D!$I$4)*0.1+IF(L59-Uzman_D!$J$4&lt;0,-(L59-Uzman_D!$J$4),L59-Uzman_D!$J$4)*0.1)+IF(ROUND((IF(N59-Uzman_D!$L$4&lt;0,-(N59-Uzman_D!$L$4),N59-Uzman_D!$L$4)*2),0)/2=IF(N59-Uzman_D!$L$4&lt;0,-(N59-Uzman_D!$L$4),N59-Uzman_D!$L$4),(ROUND((IF(N59-Uzman_D!$L$4&lt;0,-(N59-Uzman_D!$L$4),N59-Uzman_D!$L$4)*2),0)/1*0.1),0)+IF(O59-Uzman_D!$M$4&lt;0,-(O59-Uzman_D!$M$4),O59-Uzman_D!$M$4)*1)</f>
        <v>-0.19999999999999996</v>
      </c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70"/>
      <c r="AB59" s="70"/>
      <c r="AC59" s="71">
        <f>1-(SUM(IF(Q59-Uzman_D!$B$5&lt;0,-(Q59-Uzman_D!$B$5),Q59-Uzman_D!$B$5)*0.1+IF(R59-Uzman_D!$C$5&lt;0,-(R59-Uzman_D!$C$5),R59-Uzman_D!$C$5)*0.1+IF(S59-Uzman_D!$D$5&lt;0,-(S59-Uzman_D!$D$5),S59-Uzman_D!$D$5)*0.1+IF(T59-Uzman_D!$E$5&lt;0,-(T59-Uzman_D!$E$5),T59-Uzman_D!$E$5)*0.1+IF(U59-Uzman_D!$F$5&lt;0,-(U59-Uzman_D!$F$5),U59-Uzman_D!$F$5)*0.1+IF(V59-Uzman_D!$G$5&lt;0,-(V59-Uzman_D!$G$5),V59-Uzman_D!$G$5)*0.1+IF(W59-Uzman_D!$H$5&lt;0,-(W59-Uzman_D!$H$5),W59-Uzman_D!$H$5)*0.1+IF(X59-Uzman_D!$I$5&lt;0,-(X59-Uzman_D!$I$5),X59-Uzman_D!$I$5)*0.1+IF(Y59-Uzman_D!$J$5&lt;0,-(Y59-Uzman_D!$J$5),Y59-Uzman_D!$J$5)*0.1)+IF(ROUND((IF(AA59-Uzman_D!$L$5&lt;0,-(AA59-Uzman_D!$L$5),AA59-Uzman_D!$L$5)*2),0)/2=IF(AA59-Uzman_D!$L$5&lt;0,-(AA59-Uzman_D!$L$5),AA59-Uzman_D!$L$5),(ROUND((IF(AA59-Uzman_D!$L$5&lt;0,-(AA59-Uzman_D!$L$5),AA59-Uzman_D!$L$5)*2),0)/1*0.1),0)+IF(AB59-Uzman_D!$M$5&lt;0,-(AB59-Uzman_D!$M$5),AB59-Uzman_D!$M$5)*1)</f>
        <v>-0.40000000000000013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70"/>
      <c r="AO59" s="70"/>
      <c r="AP59" s="71">
        <f>1-(SUM(IF(AD59-Uzman_D!$B$6&lt;0,-(AD59-Uzman_D!$B$6),AD59-Uzman_D!$B$6)*0.1+IF(AE59-Uzman_D!$C$6&lt;0,-(AE59-Uzman_D!$C$6),AE59-Uzman_D!$C$6)*0.1+IF(AF59-Uzman_D!$D$6&lt;0,-(AF59-Uzman_D!$D$6),AF59-Uzman_D!$D$6)*0.1+IF(AG59-Uzman_D!$E$6&lt;0,-(AG59-Uzman_D!$E$6),AG59-Uzman_D!$E$6)*0.1+IF(AH59-Uzman_D!$F$6&lt;0,-(AH59-Uzman_D!$F$6),AH59-Uzman_D!$F$6)*0.1+IF(AI59-Uzman_D!$G$6&lt;0,-(AI59-Uzman_D!$G$6),AI59-Uzman_D!$G$6)*0.1+IF(AJ59-Uzman_D!$H$6&lt;0,-(AJ59-Uzman_D!$H$6),AJ59-Uzman_D!$H$6)*0.1+IF(AK59-Uzman_D!$I$6&lt;0,-(AK59-Uzman_D!$I$6),AK59-Uzman_D!$I$6)*0.1+IF(AL59-Uzman_D!$J$6&lt;0,-(AL59-Uzman_D!$J$6),AL59-Uzman_D!$J$6)*0.1)+IF(ROUND((IF(AN59-Uzman_D!$L$6&lt;0,-(AN59-Uzman_D!$L$6),AN59-Uzman_D!$L$6)*2),0)/2=IF(AN59-Uzman_D!$L$6&lt;0,-(AN59-Uzman_D!$L$6),AN59-Uzman_D!$L$6),(ROUND((IF(AN59-Uzman_D!$L$6&lt;0,-(AN59-Uzman_D!$L$6),AN59-Uzman_D!$L$6)*2),0)/1*0.1),0)+IF(AO59-Uzman_D!$M$6&lt;0,-(AO59-Uzman_D!$M$6),AO59-Uzman_D!$M$6)*1)</f>
        <v>-0.10000000000000009</v>
      </c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70"/>
      <c r="BB59" s="70"/>
      <c r="BC59" s="71">
        <f>1-(SUM(IF(AQ59-Uzman_D!$B$7&lt;0,-(AQ59-Uzman_D!$B$7),AQ59-Uzman_D!$B$7)*0.1+IF(AR59-Uzman_D!$C$7&lt;0,-(AR59-Uzman_D!$C$7),AR59-Uzman_D!$C$7)*0.1+IF(AS59-Uzman_D!$D$7&lt;0,-(AS59-Uzman_D!$D$7),AS59-Uzman_D!$D$7)*0.1+IF(AT59-Uzman_D!$E$7&lt;0,-(AT59-Uzman_D!$E$7),AT59-Uzman_D!$E$7)*0.1+IF(AU59-Uzman_D!$F$7&lt;0,-(AU59-Uzman_D!$F$7),AU59-Uzman_D!$F$7)*0.1+IF(AV59-Uzman_D!$G$7&lt;0,-(AV59-Uzman_D!$G$7),AV59-Uzman_D!$G$7)*0.1+IF(AW59-Uzman_D!$H$7&lt;0,-(AW59-Uzman_D!$H$7),AW59-Uzman_D!$H$7)*0.1+IF(AX59-Uzman_D!$I$7&lt;0,-(AX59-Uzman_D!$I$7),AX59-Uzman_D!$I$7)*0.1+IF(AY59-Uzman_D!$J$7&lt;0,-(AY59-Uzman_D!$J$7),AY59-Uzman_D!$J$7)*0.1)+IF(ROUND((IF(BA59-Uzman_D!$L$7&lt;0,-(BA59-Uzman_D!$L$7),BA59-Uzman_D!$L$7)*2),0)/2=IF(BA59-Uzman_D!$L$7&lt;0,-(BA59-Uzman_D!$L$7),BA59-Uzman_D!$L$7),(ROUND((IF(BA59-Uzman_D!$L$7&lt;0,-(BA59-Uzman_D!$L$7),BA59-Uzman_D!$L$7)*2),0)/1*0.1),0)+IF(BB59-Uzman_D!$M$7&lt;0,-(BB59-Uzman_D!$M$7),BB59-Uzman_D!$M$7)*1)</f>
        <v>-0.7</v>
      </c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70"/>
      <c r="BO59" s="70"/>
      <c r="BP59" s="71">
        <f>1-(SUM(IF(BD59-Uzman_D!$B$8&lt;0,-(BD59-Uzman_D!$B$8),BD59-Uzman_D!$B$8)*0.1+IF(BE59-Uzman_D!$C$8&lt;0,-(BE59-Uzman_D!$C$8),BE59-Uzman_D!$C$8)*0.1+IF(BF59-Uzman_D!$D$8&lt;0,-(BF59-Uzman_D!$D$8),BF59-Uzman_D!$D$8)*0.1+IF(BG59-Uzman_D!$E$8&lt;0,-(BG59-Uzman_D!$E$8),BG59-Uzman_D!$E$8)*0.1+IF(BH59-Uzman_D!$F$8&lt;0,-(BH59-Uzman_D!$F$8),BH59-Uzman_D!$F$8)*0.1+IF(BI59-Uzman_D!$G$8&lt;0,-(BI59-Uzman_D!$G$8),BI59-Uzman_D!$G$8)*0.1+IF(BJ59-Uzman_D!$H$8&lt;0,-(BJ59-Uzman_D!$H$8),BJ59-Uzman_D!$H$8)*0.1+IF(BK59-Uzman_D!$I$8&lt;0,-(BK59-Uzman_D!$I$8),BK59-Uzman_D!$I$8)*0.1+IF(BL59-Uzman_D!$J$8&lt;0,-(BL59-Uzman_D!$J$8),BL59-Uzman_D!$J$8)*0.1)+IF(ROUND((IF(BN59-Uzman_D!$L$8&lt;0,-(BN59-Uzman_D!$L$8),BN59-Uzman_D!$L$8)*2),0)/2=IF(BN59-Uzman_D!$L$8&lt;0,-(BN59-Uzman_D!$L$8),BN59-Uzman_D!$L$8),(ROUND((IF(BN59-Uzman_D!$L$8&lt;0,-(BN59-Uzman_D!$L$8),BN59-Uzman_D!$L$8)*2),0)/1*0.1),0)+IF(BO59-Uzman_D!$M$8&lt;0,-(BO59-Uzman_D!$M$8),BO59-Uzman_D!$M$8)*1)</f>
        <v>-1</v>
      </c>
      <c r="BQ59" s="72">
        <f t="shared" si="1"/>
        <v>-0.48000000000000009</v>
      </c>
    </row>
    <row r="60" spans="1:69" ht="15" customHeight="1" x14ac:dyDescent="0.45">
      <c r="A60" s="54">
        <v>57</v>
      </c>
      <c r="B60" s="166">
        <f>Hakemler!B60</f>
        <v>0</v>
      </c>
      <c r="C60" s="166">
        <f>Hakemler!C60</f>
        <v>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70"/>
      <c r="O60" s="70"/>
      <c r="P60" s="71">
        <f>1-(SUM(IF(D60-Uzman_D!$B$4&lt;0,-(D60-Uzman_D!$B$4),D60-Uzman_D!$B$4)*0.1+IF(E60-Uzman_D!$C$4&lt;0,-(E60-Uzman_D!$C$4),E60-Uzman_D!$C$4)*0.1+IF(F60-Uzman_D!$D$4&lt;0,-(F60-Uzman_D!$D$4),F60-Uzman_D!$D$4)*0.1+IF(G60-Uzman_D!$E$4&lt;0,-(G60-Uzman_D!$E$4),G60-Uzman_D!$E$4)*0.1+IF(H60-Uzman_D!$F$4&lt;0,-(H60-Uzman_D!$F$4),H60-Uzman_D!$F$4)*0.1+IF(I60-Uzman_D!$G$4&lt;0,-(I60-Uzman_D!$G$4),I60-Uzman_D!$G$4)*0.1+IF(J60-Uzman_D!$H$4&lt;0,-(J60-Uzman_D!$H$4),J60-Uzman_D!$H$4)*0.1+IF(K60-Uzman_D!$I$4&lt;0,-(K60-Uzman_D!$I$4),K60-Uzman_D!$I$4)*0.1+IF(L60-Uzman_D!$J$4&lt;0,-(L60-Uzman_D!$J$4),L60-Uzman_D!$J$4)*0.1)+IF(ROUND((IF(N60-Uzman_D!$L$4&lt;0,-(N60-Uzman_D!$L$4),N60-Uzman_D!$L$4)*2),0)/2=IF(N60-Uzman_D!$L$4&lt;0,-(N60-Uzman_D!$L$4),N60-Uzman_D!$L$4),(ROUND((IF(N60-Uzman_D!$L$4&lt;0,-(N60-Uzman_D!$L$4),N60-Uzman_D!$L$4)*2),0)/1*0.1),0)+IF(O60-Uzman_D!$M$4&lt;0,-(O60-Uzman_D!$M$4),O60-Uzman_D!$M$4)*1)</f>
        <v>-0.19999999999999996</v>
      </c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70"/>
      <c r="AB60" s="70"/>
      <c r="AC60" s="71">
        <f>1-(SUM(IF(Q60-Uzman_D!$B$5&lt;0,-(Q60-Uzman_D!$B$5),Q60-Uzman_D!$B$5)*0.1+IF(R60-Uzman_D!$C$5&lt;0,-(R60-Uzman_D!$C$5),R60-Uzman_D!$C$5)*0.1+IF(S60-Uzman_D!$D$5&lt;0,-(S60-Uzman_D!$D$5),S60-Uzman_D!$D$5)*0.1+IF(T60-Uzman_D!$E$5&lt;0,-(T60-Uzman_D!$E$5),T60-Uzman_D!$E$5)*0.1+IF(U60-Uzman_D!$F$5&lt;0,-(U60-Uzman_D!$F$5),U60-Uzman_D!$F$5)*0.1+IF(V60-Uzman_D!$G$5&lt;0,-(V60-Uzman_D!$G$5),V60-Uzman_D!$G$5)*0.1+IF(W60-Uzman_D!$H$5&lt;0,-(W60-Uzman_D!$H$5),W60-Uzman_D!$H$5)*0.1+IF(X60-Uzman_D!$I$5&lt;0,-(X60-Uzman_D!$I$5),X60-Uzman_D!$I$5)*0.1+IF(Y60-Uzman_D!$J$5&lt;0,-(Y60-Uzman_D!$J$5),Y60-Uzman_D!$J$5)*0.1)+IF(ROUND((IF(AA60-Uzman_D!$L$5&lt;0,-(AA60-Uzman_D!$L$5),AA60-Uzman_D!$L$5)*2),0)/2=IF(AA60-Uzman_D!$L$5&lt;0,-(AA60-Uzman_D!$L$5),AA60-Uzman_D!$L$5),(ROUND((IF(AA60-Uzman_D!$L$5&lt;0,-(AA60-Uzman_D!$L$5),AA60-Uzman_D!$L$5)*2),0)/1*0.1),0)+IF(AB60-Uzman_D!$M$5&lt;0,-(AB60-Uzman_D!$M$5),AB60-Uzman_D!$M$5)*1)</f>
        <v>-0.40000000000000013</v>
      </c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70"/>
      <c r="AO60" s="70"/>
      <c r="AP60" s="71">
        <f>1-(SUM(IF(AD60-Uzman_D!$B$6&lt;0,-(AD60-Uzman_D!$B$6),AD60-Uzman_D!$B$6)*0.1+IF(AE60-Uzman_D!$C$6&lt;0,-(AE60-Uzman_D!$C$6),AE60-Uzman_D!$C$6)*0.1+IF(AF60-Uzman_D!$D$6&lt;0,-(AF60-Uzman_D!$D$6),AF60-Uzman_D!$D$6)*0.1+IF(AG60-Uzman_D!$E$6&lt;0,-(AG60-Uzman_D!$E$6),AG60-Uzman_D!$E$6)*0.1+IF(AH60-Uzman_D!$F$6&lt;0,-(AH60-Uzman_D!$F$6),AH60-Uzman_D!$F$6)*0.1+IF(AI60-Uzman_D!$G$6&lt;0,-(AI60-Uzman_D!$G$6),AI60-Uzman_D!$G$6)*0.1+IF(AJ60-Uzman_D!$H$6&lt;0,-(AJ60-Uzman_D!$H$6),AJ60-Uzman_D!$H$6)*0.1+IF(AK60-Uzman_D!$I$6&lt;0,-(AK60-Uzman_D!$I$6),AK60-Uzman_D!$I$6)*0.1+IF(AL60-Uzman_D!$J$6&lt;0,-(AL60-Uzman_D!$J$6),AL60-Uzman_D!$J$6)*0.1)+IF(ROUND((IF(AN60-Uzman_D!$L$6&lt;0,-(AN60-Uzman_D!$L$6),AN60-Uzman_D!$L$6)*2),0)/2=IF(AN60-Uzman_D!$L$6&lt;0,-(AN60-Uzman_D!$L$6),AN60-Uzman_D!$L$6),(ROUND((IF(AN60-Uzman_D!$L$6&lt;0,-(AN60-Uzman_D!$L$6),AN60-Uzman_D!$L$6)*2),0)/1*0.1),0)+IF(AO60-Uzman_D!$M$6&lt;0,-(AO60-Uzman_D!$M$6),AO60-Uzman_D!$M$6)*1)</f>
        <v>-0.10000000000000009</v>
      </c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70"/>
      <c r="BB60" s="70"/>
      <c r="BC60" s="71">
        <f>1-(SUM(IF(AQ60-Uzman_D!$B$7&lt;0,-(AQ60-Uzman_D!$B$7),AQ60-Uzman_D!$B$7)*0.1+IF(AR60-Uzman_D!$C$7&lt;0,-(AR60-Uzman_D!$C$7),AR60-Uzman_D!$C$7)*0.1+IF(AS60-Uzman_D!$D$7&lt;0,-(AS60-Uzman_D!$D$7),AS60-Uzman_D!$D$7)*0.1+IF(AT60-Uzman_D!$E$7&lt;0,-(AT60-Uzman_D!$E$7),AT60-Uzman_D!$E$7)*0.1+IF(AU60-Uzman_D!$F$7&lt;0,-(AU60-Uzman_D!$F$7),AU60-Uzman_D!$F$7)*0.1+IF(AV60-Uzman_D!$G$7&lt;0,-(AV60-Uzman_D!$G$7),AV60-Uzman_D!$G$7)*0.1+IF(AW60-Uzman_D!$H$7&lt;0,-(AW60-Uzman_D!$H$7),AW60-Uzman_D!$H$7)*0.1+IF(AX60-Uzman_D!$I$7&lt;0,-(AX60-Uzman_D!$I$7),AX60-Uzman_D!$I$7)*0.1+IF(AY60-Uzman_D!$J$7&lt;0,-(AY60-Uzman_D!$J$7),AY60-Uzman_D!$J$7)*0.1)+IF(ROUND((IF(BA60-Uzman_D!$L$7&lt;0,-(BA60-Uzman_D!$L$7),BA60-Uzman_D!$L$7)*2),0)/2=IF(BA60-Uzman_D!$L$7&lt;0,-(BA60-Uzman_D!$L$7),BA60-Uzman_D!$L$7),(ROUND((IF(BA60-Uzman_D!$L$7&lt;0,-(BA60-Uzman_D!$L$7),BA60-Uzman_D!$L$7)*2),0)/1*0.1),0)+IF(BB60-Uzman_D!$M$7&lt;0,-(BB60-Uzman_D!$M$7),BB60-Uzman_D!$M$7)*1)</f>
        <v>-0.7</v>
      </c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70"/>
      <c r="BO60" s="70"/>
      <c r="BP60" s="71">
        <f>1-(SUM(IF(BD60-Uzman_D!$B$8&lt;0,-(BD60-Uzman_D!$B$8),BD60-Uzman_D!$B$8)*0.1+IF(BE60-Uzman_D!$C$8&lt;0,-(BE60-Uzman_D!$C$8),BE60-Uzman_D!$C$8)*0.1+IF(BF60-Uzman_D!$D$8&lt;0,-(BF60-Uzman_D!$D$8),BF60-Uzman_D!$D$8)*0.1+IF(BG60-Uzman_D!$E$8&lt;0,-(BG60-Uzman_D!$E$8),BG60-Uzman_D!$E$8)*0.1+IF(BH60-Uzman_D!$F$8&lt;0,-(BH60-Uzman_D!$F$8),BH60-Uzman_D!$F$8)*0.1+IF(BI60-Uzman_D!$G$8&lt;0,-(BI60-Uzman_D!$G$8),BI60-Uzman_D!$G$8)*0.1+IF(BJ60-Uzman_D!$H$8&lt;0,-(BJ60-Uzman_D!$H$8),BJ60-Uzman_D!$H$8)*0.1+IF(BK60-Uzman_D!$I$8&lt;0,-(BK60-Uzman_D!$I$8),BK60-Uzman_D!$I$8)*0.1+IF(BL60-Uzman_D!$J$8&lt;0,-(BL60-Uzman_D!$J$8),BL60-Uzman_D!$J$8)*0.1)+IF(ROUND((IF(BN60-Uzman_D!$L$8&lt;0,-(BN60-Uzman_D!$L$8),BN60-Uzman_D!$L$8)*2),0)/2=IF(BN60-Uzman_D!$L$8&lt;0,-(BN60-Uzman_D!$L$8),BN60-Uzman_D!$L$8),(ROUND((IF(BN60-Uzman_D!$L$8&lt;0,-(BN60-Uzman_D!$L$8),BN60-Uzman_D!$L$8)*2),0)/1*0.1),0)+IF(BO60-Uzman_D!$M$8&lt;0,-(BO60-Uzman_D!$M$8),BO60-Uzman_D!$M$8)*1)</f>
        <v>-1</v>
      </c>
      <c r="BQ60" s="72">
        <f t="shared" si="1"/>
        <v>-0.48000000000000009</v>
      </c>
    </row>
    <row r="61" spans="1:69" ht="15" customHeight="1" x14ac:dyDescent="0.45">
      <c r="A61" s="54">
        <v>58</v>
      </c>
      <c r="B61" s="165">
        <f>Hakemler!B61</f>
        <v>0</v>
      </c>
      <c r="C61" s="165">
        <f>Hakemler!C61</f>
        <v>0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70"/>
      <c r="O61" s="70"/>
      <c r="P61" s="71">
        <f>1-(SUM(IF(D61-Uzman_D!$B$4&lt;0,-(D61-Uzman_D!$B$4),D61-Uzman_D!$B$4)*0.1+IF(E61-Uzman_D!$C$4&lt;0,-(E61-Uzman_D!$C$4),E61-Uzman_D!$C$4)*0.1+IF(F61-Uzman_D!$D$4&lt;0,-(F61-Uzman_D!$D$4),F61-Uzman_D!$D$4)*0.1+IF(G61-Uzman_D!$E$4&lt;0,-(G61-Uzman_D!$E$4),G61-Uzman_D!$E$4)*0.1+IF(H61-Uzman_D!$F$4&lt;0,-(H61-Uzman_D!$F$4),H61-Uzman_D!$F$4)*0.1+IF(I61-Uzman_D!$G$4&lt;0,-(I61-Uzman_D!$G$4),I61-Uzman_D!$G$4)*0.1+IF(J61-Uzman_D!$H$4&lt;0,-(J61-Uzman_D!$H$4),J61-Uzman_D!$H$4)*0.1+IF(K61-Uzman_D!$I$4&lt;0,-(K61-Uzman_D!$I$4),K61-Uzman_D!$I$4)*0.1+IF(L61-Uzman_D!$J$4&lt;0,-(L61-Uzman_D!$J$4),L61-Uzman_D!$J$4)*0.1)+IF(ROUND((IF(N61-Uzman_D!$L$4&lt;0,-(N61-Uzman_D!$L$4),N61-Uzman_D!$L$4)*2),0)/2=IF(N61-Uzman_D!$L$4&lt;0,-(N61-Uzman_D!$L$4),N61-Uzman_D!$L$4),(ROUND((IF(N61-Uzman_D!$L$4&lt;0,-(N61-Uzman_D!$L$4),N61-Uzman_D!$L$4)*2),0)/1*0.1),0)+IF(O61-Uzman_D!$M$4&lt;0,-(O61-Uzman_D!$M$4),O61-Uzman_D!$M$4)*1)</f>
        <v>-0.19999999999999996</v>
      </c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70"/>
      <c r="AB61" s="70"/>
      <c r="AC61" s="71">
        <f>1-(SUM(IF(Q61-Uzman_D!$B$5&lt;0,-(Q61-Uzman_D!$B$5),Q61-Uzman_D!$B$5)*0.1+IF(R61-Uzman_D!$C$5&lt;0,-(R61-Uzman_D!$C$5),R61-Uzman_D!$C$5)*0.1+IF(S61-Uzman_D!$D$5&lt;0,-(S61-Uzman_D!$D$5),S61-Uzman_D!$D$5)*0.1+IF(T61-Uzman_D!$E$5&lt;0,-(T61-Uzman_D!$E$5),T61-Uzman_D!$E$5)*0.1+IF(U61-Uzman_D!$F$5&lt;0,-(U61-Uzman_D!$F$5),U61-Uzman_D!$F$5)*0.1+IF(V61-Uzman_D!$G$5&lt;0,-(V61-Uzman_D!$G$5),V61-Uzman_D!$G$5)*0.1+IF(W61-Uzman_D!$H$5&lt;0,-(W61-Uzman_D!$H$5),W61-Uzman_D!$H$5)*0.1+IF(X61-Uzman_D!$I$5&lt;0,-(X61-Uzman_D!$I$5),X61-Uzman_D!$I$5)*0.1+IF(Y61-Uzman_D!$J$5&lt;0,-(Y61-Uzman_D!$J$5),Y61-Uzman_D!$J$5)*0.1)+IF(ROUND((IF(AA61-Uzman_D!$L$5&lt;0,-(AA61-Uzman_D!$L$5),AA61-Uzman_D!$L$5)*2),0)/2=IF(AA61-Uzman_D!$L$5&lt;0,-(AA61-Uzman_D!$L$5),AA61-Uzman_D!$L$5),(ROUND((IF(AA61-Uzman_D!$L$5&lt;0,-(AA61-Uzman_D!$L$5),AA61-Uzman_D!$L$5)*2),0)/1*0.1),0)+IF(AB61-Uzman_D!$M$5&lt;0,-(AB61-Uzman_D!$M$5),AB61-Uzman_D!$M$5)*1)</f>
        <v>-0.40000000000000013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70"/>
      <c r="AO61" s="70"/>
      <c r="AP61" s="71">
        <f>1-(SUM(IF(AD61-Uzman_D!$B$6&lt;0,-(AD61-Uzman_D!$B$6),AD61-Uzman_D!$B$6)*0.1+IF(AE61-Uzman_D!$C$6&lt;0,-(AE61-Uzman_D!$C$6),AE61-Uzman_D!$C$6)*0.1+IF(AF61-Uzman_D!$D$6&lt;0,-(AF61-Uzman_D!$D$6),AF61-Uzman_D!$D$6)*0.1+IF(AG61-Uzman_D!$E$6&lt;0,-(AG61-Uzman_D!$E$6),AG61-Uzman_D!$E$6)*0.1+IF(AH61-Uzman_D!$F$6&lt;0,-(AH61-Uzman_D!$F$6),AH61-Uzman_D!$F$6)*0.1+IF(AI61-Uzman_D!$G$6&lt;0,-(AI61-Uzman_D!$G$6),AI61-Uzman_D!$G$6)*0.1+IF(AJ61-Uzman_D!$H$6&lt;0,-(AJ61-Uzman_D!$H$6),AJ61-Uzman_D!$H$6)*0.1+IF(AK61-Uzman_D!$I$6&lt;0,-(AK61-Uzman_D!$I$6),AK61-Uzman_D!$I$6)*0.1+IF(AL61-Uzman_D!$J$6&lt;0,-(AL61-Uzman_D!$J$6),AL61-Uzman_D!$J$6)*0.1)+IF(ROUND((IF(AN61-Uzman_D!$L$6&lt;0,-(AN61-Uzman_D!$L$6),AN61-Uzman_D!$L$6)*2),0)/2=IF(AN61-Uzman_D!$L$6&lt;0,-(AN61-Uzman_D!$L$6),AN61-Uzman_D!$L$6),(ROUND((IF(AN61-Uzman_D!$L$6&lt;0,-(AN61-Uzman_D!$L$6),AN61-Uzman_D!$L$6)*2),0)/1*0.1),0)+IF(AO61-Uzman_D!$M$6&lt;0,-(AO61-Uzman_D!$M$6),AO61-Uzman_D!$M$6)*1)</f>
        <v>-0.10000000000000009</v>
      </c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70"/>
      <c r="BB61" s="70"/>
      <c r="BC61" s="71">
        <f>1-(SUM(IF(AQ61-Uzman_D!$B$7&lt;0,-(AQ61-Uzman_D!$B$7),AQ61-Uzman_D!$B$7)*0.1+IF(AR61-Uzman_D!$C$7&lt;0,-(AR61-Uzman_D!$C$7),AR61-Uzman_D!$C$7)*0.1+IF(AS61-Uzman_D!$D$7&lt;0,-(AS61-Uzman_D!$D$7),AS61-Uzman_D!$D$7)*0.1+IF(AT61-Uzman_D!$E$7&lt;0,-(AT61-Uzman_D!$E$7),AT61-Uzman_D!$E$7)*0.1+IF(AU61-Uzman_D!$F$7&lt;0,-(AU61-Uzman_D!$F$7),AU61-Uzman_D!$F$7)*0.1+IF(AV61-Uzman_D!$G$7&lt;0,-(AV61-Uzman_D!$G$7),AV61-Uzman_D!$G$7)*0.1+IF(AW61-Uzman_D!$H$7&lt;0,-(AW61-Uzman_D!$H$7),AW61-Uzman_D!$H$7)*0.1+IF(AX61-Uzman_D!$I$7&lt;0,-(AX61-Uzman_D!$I$7),AX61-Uzman_D!$I$7)*0.1+IF(AY61-Uzman_D!$J$7&lt;0,-(AY61-Uzman_D!$J$7),AY61-Uzman_D!$J$7)*0.1)+IF(ROUND((IF(BA61-Uzman_D!$L$7&lt;0,-(BA61-Uzman_D!$L$7),BA61-Uzman_D!$L$7)*2),0)/2=IF(BA61-Uzman_D!$L$7&lt;0,-(BA61-Uzman_D!$L$7),BA61-Uzman_D!$L$7),(ROUND((IF(BA61-Uzman_D!$L$7&lt;0,-(BA61-Uzman_D!$L$7),BA61-Uzman_D!$L$7)*2),0)/1*0.1),0)+IF(BB61-Uzman_D!$M$7&lt;0,-(BB61-Uzman_D!$M$7),BB61-Uzman_D!$M$7)*1)</f>
        <v>-0.7</v>
      </c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70"/>
      <c r="BO61" s="70"/>
      <c r="BP61" s="71">
        <f>1-(SUM(IF(BD61-Uzman_D!$B$8&lt;0,-(BD61-Uzman_D!$B$8),BD61-Uzman_D!$B$8)*0.1+IF(BE61-Uzman_D!$C$8&lt;0,-(BE61-Uzman_D!$C$8),BE61-Uzman_D!$C$8)*0.1+IF(BF61-Uzman_D!$D$8&lt;0,-(BF61-Uzman_D!$D$8),BF61-Uzman_D!$D$8)*0.1+IF(BG61-Uzman_D!$E$8&lt;0,-(BG61-Uzman_D!$E$8),BG61-Uzman_D!$E$8)*0.1+IF(BH61-Uzman_D!$F$8&lt;0,-(BH61-Uzman_D!$F$8),BH61-Uzman_D!$F$8)*0.1+IF(BI61-Uzman_D!$G$8&lt;0,-(BI61-Uzman_D!$G$8),BI61-Uzman_D!$G$8)*0.1+IF(BJ61-Uzman_D!$H$8&lt;0,-(BJ61-Uzman_D!$H$8),BJ61-Uzman_D!$H$8)*0.1+IF(BK61-Uzman_D!$I$8&lt;0,-(BK61-Uzman_D!$I$8),BK61-Uzman_D!$I$8)*0.1+IF(BL61-Uzman_D!$J$8&lt;0,-(BL61-Uzman_D!$J$8),BL61-Uzman_D!$J$8)*0.1)+IF(ROUND((IF(BN61-Uzman_D!$L$8&lt;0,-(BN61-Uzman_D!$L$8),BN61-Uzman_D!$L$8)*2),0)/2=IF(BN61-Uzman_D!$L$8&lt;0,-(BN61-Uzman_D!$L$8),BN61-Uzman_D!$L$8),(ROUND((IF(BN61-Uzman_D!$L$8&lt;0,-(BN61-Uzman_D!$L$8),BN61-Uzman_D!$L$8)*2),0)/1*0.1),0)+IF(BO61-Uzman_D!$M$8&lt;0,-(BO61-Uzman_D!$M$8),BO61-Uzman_D!$M$8)*1)</f>
        <v>-1</v>
      </c>
      <c r="BQ61" s="72">
        <f t="shared" si="1"/>
        <v>-0.48000000000000009</v>
      </c>
    </row>
    <row r="62" spans="1:69" ht="15" customHeight="1" x14ac:dyDescent="0.45">
      <c r="A62" s="54">
        <v>59</v>
      </c>
      <c r="B62" s="165">
        <f>Hakemler!B62</f>
        <v>0</v>
      </c>
      <c r="C62" s="165">
        <f>Hakemler!C62</f>
        <v>0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70"/>
      <c r="O62" s="70"/>
      <c r="P62" s="71">
        <f>1-(SUM(IF(D62-Uzman_D!$B$4&lt;0,-(D62-Uzman_D!$B$4),D62-Uzman_D!$B$4)*0.1+IF(E62-Uzman_D!$C$4&lt;0,-(E62-Uzman_D!$C$4),E62-Uzman_D!$C$4)*0.1+IF(F62-Uzman_D!$D$4&lt;0,-(F62-Uzman_D!$D$4),F62-Uzman_D!$D$4)*0.1+IF(G62-Uzman_D!$E$4&lt;0,-(G62-Uzman_D!$E$4),G62-Uzman_D!$E$4)*0.1+IF(H62-Uzman_D!$F$4&lt;0,-(H62-Uzman_D!$F$4),H62-Uzman_D!$F$4)*0.1+IF(I62-Uzman_D!$G$4&lt;0,-(I62-Uzman_D!$G$4),I62-Uzman_D!$G$4)*0.1+IF(J62-Uzman_D!$H$4&lt;0,-(J62-Uzman_D!$H$4),J62-Uzman_D!$H$4)*0.1+IF(K62-Uzman_D!$I$4&lt;0,-(K62-Uzman_D!$I$4),K62-Uzman_D!$I$4)*0.1+IF(L62-Uzman_D!$J$4&lt;0,-(L62-Uzman_D!$J$4),L62-Uzman_D!$J$4)*0.1)+IF(ROUND((IF(N62-Uzman_D!$L$4&lt;0,-(N62-Uzman_D!$L$4),N62-Uzman_D!$L$4)*2),0)/2=IF(N62-Uzman_D!$L$4&lt;0,-(N62-Uzman_D!$L$4),N62-Uzman_D!$L$4),(ROUND((IF(N62-Uzman_D!$L$4&lt;0,-(N62-Uzman_D!$L$4),N62-Uzman_D!$L$4)*2),0)/1*0.1),0)+IF(O62-Uzman_D!$M$4&lt;0,-(O62-Uzman_D!$M$4),O62-Uzman_D!$M$4)*1)</f>
        <v>-0.19999999999999996</v>
      </c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70"/>
      <c r="AB62" s="70"/>
      <c r="AC62" s="71">
        <f>1-(SUM(IF(Q62-Uzman_D!$B$5&lt;0,-(Q62-Uzman_D!$B$5),Q62-Uzman_D!$B$5)*0.1+IF(R62-Uzman_D!$C$5&lt;0,-(R62-Uzman_D!$C$5),R62-Uzman_D!$C$5)*0.1+IF(S62-Uzman_D!$D$5&lt;0,-(S62-Uzman_D!$D$5),S62-Uzman_D!$D$5)*0.1+IF(T62-Uzman_D!$E$5&lt;0,-(T62-Uzman_D!$E$5),T62-Uzman_D!$E$5)*0.1+IF(U62-Uzman_D!$F$5&lt;0,-(U62-Uzman_D!$F$5),U62-Uzman_D!$F$5)*0.1+IF(V62-Uzman_D!$G$5&lt;0,-(V62-Uzman_D!$G$5),V62-Uzman_D!$G$5)*0.1+IF(W62-Uzman_D!$H$5&lt;0,-(W62-Uzman_D!$H$5),W62-Uzman_D!$H$5)*0.1+IF(X62-Uzman_D!$I$5&lt;0,-(X62-Uzman_D!$I$5),X62-Uzman_D!$I$5)*0.1+IF(Y62-Uzman_D!$J$5&lt;0,-(Y62-Uzman_D!$J$5),Y62-Uzman_D!$J$5)*0.1)+IF(ROUND((IF(AA62-Uzman_D!$L$5&lt;0,-(AA62-Uzman_D!$L$5),AA62-Uzman_D!$L$5)*2),0)/2=IF(AA62-Uzman_D!$L$5&lt;0,-(AA62-Uzman_D!$L$5),AA62-Uzman_D!$L$5),(ROUND((IF(AA62-Uzman_D!$L$5&lt;0,-(AA62-Uzman_D!$L$5),AA62-Uzman_D!$L$5)*2),0)/1*0.1),0)+IF(AB62-Uzman_D!$M$5&lt;0,-(AB62-Uzman_D!$M$5),AB62-Uzman_D!$M$5)*1)</f>
        <v>-0.40000000000000013</v>
      </c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70"/>
      <c r="AO62" s="70"/>
      <c r="AP62" s="71">
        <f>1-(SUM(IF(AD62-Uzman_D!$B$6&lt;0,-(AD62-Uzman_D!$B$6),AD62-Uzman_D!$B$6)*0.1+IF(AE62-Uzman_D!$C$6&lt;0,-(AE62-Uzman_D!$C$6),AE62-Uzman_D!$C$6)*0.1+IF(AF62-Uzman_D!$D$6&lt;0,-(AF62-Uzman_D!$D$6),AF62-Uzman_D!$D$6)*0.1+IF(AG62-Uzman_D!$E$6&lt;0,-(AG62-Uzman_D!$E$6),AG62-Uzman_D!$E$6)*0.1+IF(AH62-Uzman_D!$F$6&lt;0,-(AH62-Uzman_D!$F$6),AH62-Uzman_D!$F$6)*0.1+IF(AI62-Uzman_D!$G$6&lt;0,-(AI62-Uzman_D!$G$6),AI62-Uzman_D!$G$6)*0.1+IF(AJ62-Uzman_D!$H$6&lt;0,-(AJ62-Uzman_D!$H$6),AJ62-Uzman_D!$H$6)*0.1+IF(AK62-Uzman_D!$I$6&lt;0,-(AK62-Uzman_D!$I$6),AK62-Uzman_D!$I$6)*0.1+IF(AL62-Uzman_D!$J$6&lt;0,-(AL62-Uzman_D!$J$6),AL62-Uzman_D!$J$6)*0.1)+IF(ROUND((IF(AN62-Uzman_D!$L$6&lt;0,-(AN62-Uzman_D!$L$6),AN62-Uzman_D!$L$6)*2),0)/2=IF(AN62-Uzman_D!$L$6&lt;0,-(AN62-Uzman_D!$L$6),AN62-Uzman_D!$L$6),(ROUND((IF(AN62-Uzman_D!$L$6&lt;0,-(AN62-Uzman_D!$L$6),AN62-Uzman_D!$L$6)*2),0)/1*0.1),0)+IF(AO62-Uzman_D!$M$6&lt;0,-(AO62-Uzman_D!$M$6),AO62-Uzman_D!$M$6)*1)</f>
        <v>-0.10000000000000009</v>
      </c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70"/>
      <c r="BB62" s="70"/>
      <c r="BC62" s="71">
        <f>1-(SUM(IF(AQ62-Uzman_D!$B$7&lt;0,-(AQ62-Uzman_D!$B$7),AQ62-Uzman_D!$B$7)*0.1+IF(AR62-Uzman_D!$C$7&lt;0,-(AR62-Uzman_D!$C$7),AR62-Uzman_D!$C$7)*0.1+IF(AS62-Uzman_D!$D$7&lt;0,-(AS62-Uzman_D!$D$7),AS62-Uzman_D!$D$7)*0.1+IF(AT62-Uzman_D!$E$7&lt;0,-(AT62-Uzman_D!$E$7),AT62-Uzman_D!$E$7)*0.1+IF(AU62-Uzman_D!$F$7&lt;0,-(AU62-Uzman_D!$F$7),AU62-Uzman_D!$F$7)*0.1+IF(AV62-Uzman_D!$G$7&lt;0,-(AV62-Uzman_D!$G$7),AV62-Uzman_D!$G$7)*0.1+IF(AW62-Uzman_D!$H$7&lt;0,-(AW62-Uzman_D!$H$7),AW62-Uzman_D!$H$7)*0.1+IF(AX62-Uzman_D!$I$7&lt;0,-(AX62-Uzman_D!$I$7),AX62-Uzman_D!$I$7)*0.1+IF(AY62-Uzman_D!$J$7&lt;0,-(AY62-Uzman_D!$J$7),AY62-Uzman_D!$J$7)*0.1)+IF(ROUND((IF(BA62-Uzman_D!$L$7&lt;0,-(BA62-Uzman_D!$L$7),BA62-Uzman_D!$L$7)*2),0)/2=IF(BA62-Uzman_D!$L$7&lt;0,-(BA62-Uzman_D!$L$7),BA62-Uzman_D!$L$7),(ROUND((IF(BA62-Uzman_D!$L$7&lt;0,-(BA62-Uzman_D!$L$7),BA62-Uzman_D!$L$7)*2),0)/1*0.1),0)+IF(BB62-Uzman_D!$M$7&lt;0,-(BB62-Uzman_D!$M$7),BB62-Uzman_D!$M$7)*1)</f>
        <v>-0.7</v>
      </c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70"/>
      <c r="BO62" s="70"/>
      <c r="BP62" s="71">
        <f>1-(SUM(IF(BD62-Uzman_D!$B$8&lt;0,-(BD62-Uzman_D!$B$8),BD62-Uzman_D!$B$8)*0.1+IF(BE62-Uzman_D!$C$8&lt;0,-(BE62-Uzman_D!$C$8),BE62-Uzman_D!$C$8)*0.1+IF(BF62-Uzman_D!$D$8&lt;0,-(BF62-Uzman_D!$D$8),BF62-Uzman_D!$D$8)*0.1+IF(BG62-Uzman_D!$E$8&lt;0,-(BG62-Uzman_D!$E$8),BG62-Uzman_D!$E$8)*0.1+IF(BH62-Uzman_D!$F$8&lt;0,-(BH62-Uzman_D!$F$8),BH62-Uzman_D!$F$8)*0.1+IF(BI62-Uzman_D!$G$8&lt;0,-(BI62-Uzman_D!$G$8),BI62-Uzman_D!$G$8)*0.1+IF(BJ62-Uzman_D!$H$8&lt;0,-(BJ62-Uzman_D!$H$8),BJ62-Uzman_D!$H$8)*0.1+IF(BK62-Uzman_D!$I$8&lt;0,-(BK62-Uzman_D!$I$8),BK62-Uzman_D!$I$8)*0.1+IF(BL62-Uzman_D!$J$8&lt;0,-(BL62-Uzman_D!$J$8),BL62-Uzman_D!$J$8)*0.1)+IF(ROUND((IF(BN62-Uzman_D!$L$8&lt;0,-(BN62-Uzman_D!$L$8),BN62-Uzman_D!$L$8)*2),0)/2=IF(BN62-Uzman_D!$L$8&lt;0,-(BN62-Uzman_D!$L$8),BN62-Uzman_D!$L$8),(ROUND((IF(BN62-Uzman_D!$L$8&lt;0,-(BN62-Uzman_D!$L$8),BN62-Uzman_D!$L$8)*2),0)/1*0.1),0)+IF(BO62-Uzman_D!$M$8&lt;0,-(BO62-Uzman_D!$M$8),BO62-Uzman_D!$M$8)*1)</f>
        <v>-1</v>
      </c>
      <c r="BQ62" s="72">
        <f t="shared" si="1"/>
        <v>-0.48000000000000009</v>
      </c>
    </row>
    <row r="63" spans="1:69" ht="15" customHeight="1" x14ac:dyDescent="0.45">
      <c r="A63" s="54">
        <v>60</v>
      </c>
      <c r="B63" s="165">
        <f>Hakemler!B63</f>
        <v>0</v>
      </c>
      <c r="C63" s="165">
        <f>Hakemler!C63</f>
        <v>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70"/>
      <c r="O63" s="70"/>
      <c r="P63" s="71">
        <f>1-(SUM(IF(D63-Uzman_D!$B$4&lt;0,-(D63-Uzman_D!$B$4),D63-Uzman_D!$B$4)*0.1+IF(E63-Uzman_D!$C$4&lt;0,-(E63-Uzman_D!$C$4),E63-Uzman_D!$C$4)*0.1+IF(F63-Uzman_D!$D$4&lt;0,-(F63-Uzman_D!$D$4),F63-Uzman_D!$D$4)*0.1+IF(G63-Uzman_D!$E$4&lt;0,-(G63-Uzman_D!$E$4),G63-Uzman_D!$E$4)*0.1+IF(H63-Uzman_D!$F$4&lt;0,-(H63-Uzman_D!$F$4),H63-Uzman_D!$F$4)*0.1+IF(I63-Uzman_D!$G$4&lt;0,-(I63-Uzman_D!$G$4),I63-Uzman_D!$G$4)*0.1+IF(J63-Uzman_D!$H$4&lt;0,-(J63-Uzman_D!$H$4),J63-Uzman_D!$H$4)*0.1+IF(K63-Uzman_D!$I$4&lt;0,-(K63-Uzman_D!$I$4),K63-Uzman_D!$I$4)*0.1+IF(L63-Uzman_D!$J$4&lt;0,-(L63-Uzman_D!$J$4),L63-Uzman_D!$J$4)*0.1)+IF(ROUND((IF(N63-Uzman_D!$L$4&lt;0,-(N63-Uzman_D!$L$4),N63-Uzman_D!$L$4)*2),0)/2=IF(N63-Uzman_D!$L$4&lt;0,-(N63-Uzman_D!$L$4),N63-Uzman_D!$L$4),(ROUND((IF(N63-Uzman_D!$L$4&lt;0,-(N63-Uzman_D!$L$4),N63-Uzman_D!$L$4)*2),0)/1*0.1),0)+IF(O63-Uzman_D!$M$4&lt;0,-(O63-Uzman_D!$M$4),O63-Uzman_D!$M$4)*1)</f>
        <v>-0.19999999999999996</v>
      </c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70"/>
      <c r="AB63" s="70"/>
      <c r="AC63" s="71">
        <f>1-(SUM(IF(Q63-Uzman_D!$B$5&lt;0,-(Q63-Uzman_D!$B$5),Q63-Uzman_D!$B$5)*0.1+IF(R63-Uzman_D!$C$5&lt;0,-(R63-Uzman_D!$C$5),R63-Uzman_D!$C$5)*0.1+IF(S63-Uzman_D!$D$5&lt;0,-(S63-Uzman_D!$D$5),S63-Uzman_D!$D$5)*0.1+IF(T63-Uzman_D!$E$5&lt;0,-(T63-Uzman_D!$E$5),T63-Uzman_D!$E$5)*0.1+IF(U63-Uzman_D!$F$5&lt;0,-(U63-Uzman_D!$F$5),U63-Uzman_D!$F$5)*0.1+IF(V63-Uzman_D!$G$5&lt;0,-(V63-Uzman_D!$G$5),V63-Uzman_D!$G$5)*0.1+IF(W63-Uzman_D!$H$5&lt;0,-(W63-Uzman_D!$H$5),W63-Uzman_D!$H$5)*0.1+IF(X63-Uzman_D!$I$5&lt;0,-(X63-Uzman_D!$I$5),X63-Uzman_D!$I$5)*0.1+IF(Y63-Uzman_D!$J$5&lt;0,-(Y63-Uzman_D!$J$5),Y63-Uzman_D!$J$5)*0.1)+IF(ROUND((IF(AA63-Uzman_D!$L$5&lt;0,-(AA63-Uzman_D!$L$5),AA63-Uzman_D!$L$5)*2),0)/2=IF(AA63-Uzman_D!$L$5&lt;0,-(AA63-Uzman_D!$L$5),AA63-Uzman_D!$L$5),(ROUND((IF(AA63-Uzman_D!$L$5&lt;0,-(AA63-Uzman_D!$L$5),AA63-Uzman_D!$L$5)*2),0)/1*0.1),0)+IF(AB63-Uzman_D!$M$5&lt;0,-(AB63-Uzman_D!$M$5),AB63-Uzman_D!$M$5)*1)</f>
        <v>-0.40000000000000013</v>
      </c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70"/>
      <c r="AO63" s="70"/>
      <c r="AP63" s="71">
        <f>1-(SUM(IF(AD63-Uzman_D!$B$6&lt;0,-(AD63-Uzman_D!$B$6),AD63-Uzman_D!$B$6)*0.1+IF(AE63-Uzman_D!$C$6&lt;0,-(AE63-Uzman_D!$C$6),AE63-Uzman_D!$C$6)*0.1+IF(AF63-Uzman_D!$D$6&lt;0,-(AF63-Uzman_D!$D$6),AF63-Uzman_D!$D$6)*0.1+IF(AG63-Uzman_D!$E$6&lt;0,-(AG63-Uzman_D!$E$6),AG63-Uzman_D!$E$6)*0.1+IF(AH63-Uzman_D!$F$6&lt;0,-(AH63-Uzman_D!$F$6),AH63-Uzman_D!$F$6)*0.1+IF(AI63-Uzman_D!$G$6&lt;0,-(AI63-Uzman_D!$G$6),AI63-Uzman_D!$G$6)*0.1+IF(AJ63-Uzman_D!$H$6&lt;0,-(AJ63-Uzman_D!$H$6),AJ63-Uzman_D!$H$6)*0.1+IF(AK63-Uzman_D!$I$6&lt;0,-(AK63-Uzman_D!$I$6),AK63-Uzman_D!$I$6)*0.1+IF(AL63-Uzman_D!$J$6&lt;0,-(AL63-Uzman_D!$J$6),AL63-Uzman_D!$J$6)*0.1)+IF(ROUND((IF(AN63-Uzman_D!$L$6&lt;0,-(AN63-Uzman_D!$L$6),AN63-Uzman_D!$L$6)*2),0)/2=IF(AN63-Uzman_D!$L$6&lt;0,-(AN63-Uzman_D!$L$6),AN63-Uzman_D!$L$6),(ROUND((IF(AN63-Uzman_D!$L$6&lt;0,-(AN63-Uzman_D!$L$6),AN63-Uzman_D!$L$6)*2),0)/1*0.1),0)+IF(AO63-Uzman_D!$M$6&lt;0,-(AO63-Uzman_D!$M$6),AO63-Uzman_D!$M$6)*1)</f>
        <v>-0.10000000000000009</v>
      </c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70"/>
      <c r="BB63" s="70"/>
      <c r="BC63" s="71">
        <f>1-(SUM(IF(AQ63-Uzman_D!$B$7&lt;0,-(AQ63-Uzman_D!$B$7),AQ63-Uzman_D!$B$7)*0.1+IF(AR63-Uzman_D!$C$7&lt;0,-(AR63-Uzman_D!$C$7),AR63-Uzman_D!$C$7)*0.1+IF(AS63-Uzman_D!$D$7&lt;0,-(AS63-Uzman_D!$D$7),AS63-Uzman_D!$D$7)*0.1+IF(AT63-Uzman_D!$E$7&lt;0,-(AT63-Uzman_D!$E$7),AT63-Uzman_D!$E$7)*0.1+IF(AU63-Uzman_D!$F$7&lt;0,-(AU63-Uzman_D!$F$7),AU63-Uzman_D!$F$7)*0.1+IF(AV63-Uzman_D!$G$7&lt;0,-(AV63-Uzman_D!$G$7),AV63-Uzman_D!$G$7)*0.1+IF(AW63-Uzman_D!$H$7&lt;0,-(AW63-Uzman_D!$H$7),AW63-Uzman_D!$H$7)*0.1+IF(AX63-Uzman_D!$I$7&lt;0,-(AX63-Uzman_D!$I$7),AX63-Uzman_D!$I$7)*0.1+IF(AY63-Uzman_D!$J$7&lt;0,-(AY63-Uzman_D!$J$7),AY63-Uzman_D!$J$7)*0.1)+IF(ROUND((IF(BA63-Uzman_D!$L$7&lt;0,-(BA63-Uzman_D!$L$7),BA63-Uzman_D!$L$7)*2),0)/2=IF(BA63-Uzman_D!$L$7&lt;0,-(BA63-Uzman_D!$L$7),BA63-Uzman_D!$L$7),(ROUND((IF(BA63-Uzman_D!$L$7&lt;0,-(BA63-Uzman_D!$L$7),BA63-Uzman_D!$L$7)*2),0)/1*0.1),0)+IF(BB63-Uzman_D!$M$7&lt;0,-(BB63-Uzman_D!$M$7),BB63-Uzman_D!$M$7)*1)</f>
        <v>-0.7</v>
      </c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70"/>
      <c r="BO63" s="70"/>
      <c r="BP63" s="71">
        <f>1-(SUM(IF(BD63-Uzman_D!$B$8&lt;0,-(BD63-Uzman_D!$B$8),BD63-Uzman_D!$B$8)*0.1+IF(BE63-Uzman_D!$C$8&lt;0,-(BE63-Uzman_D!$C$8),BE63-Uzman_D!$C$8)*0.1+IF(BF63-Uzman_D!$D$8&lt;0,-(BF63-Uzman_D!$D$8),BF63-Uzman_D!$D$8)*0.1+IF(BG63-Uzman_D!$E$8&lt;0,-(BG63-Uzman_D!$E$8),BG63-Uzman_D!$E$8)*0.1+IF(BH63-Uzman_D!$F$8&lt;0,-(BH63-Uzman_D!$F$8),BH63-Uzman_D!$F$8)*0.1+IF(BI63-Uzman_D!$G$8&lt;0,-(BI63-Uzman_D!$G$8),BI63-Uzman_D!$G$8)*0.1+IF(BJ63-Uzman_D!$H$8&lt;0,-(BJ63-Uzman_D!$H$8),BJ63-Uzman_D!$H$8)*0.1+IF(BK63-Uzman_D!$I$8&lt;0,-(BK63-Uzman_D!$I$8),BK63-Uzman_D!$I$8)*0.1+IF(BL63-Uzman_D!$J$8&lt;0,-(BL63-Uzman_D!$J$8),BL63-Uzman_D!$J$8)*0.1)+IF(ROUND((IF(BN63-Uzman_D!$L$8&lt;0,-(BN63-Uzman_D!$L$8),BN63-Uzman_D!$L$8)*2),0)/2=IF(BN63-Uzman_D!$L$8&lt;0,-(BN63-Uzman_D!$L$8),BN63-Uzman_D!$L$8),(ROUND((IF(BN63-Uzman_D!$L$8&lt;0,-(BN63-Uzman_D!$L$8),BN63-Uzman_D!$L$8)*2),0)/1*0.1),0)+IF(BO63-Uzman_D!$M$8&lt;0,-(BO63-Uzman_D!$M$8),BO63-Uzman_D!$M$8)*1)</f>
        <v>-1</v>
      </c>
      <c r="BQ63" s="72">
        <f t="shared" si="1"/>
        <v>-0.48000000000000009</v>
      </c>
    </row>
    <row r="64" spans="1:69" ht="15" customHeight="1" x14ac:dyDescent="0.45">
      <c r="A64" s="54">
        <v>61</v>
      </c>
      <c r="B64" s="165">
        <f>Hakemler!B64</f>
        <v>0</v>
      </c>
      <c r="C64" s="165">
        <f>Hakemler!C64</f>
        <v>0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70"/>
      <c r="O64" s="70"/>
      <c r="P64" s="71">
        <f>1-(SUM(IF(D64-Uzman_D!$B$4&lt;0,-(D64-Uzman_D!$B$4),D64-Uzman_D!$B$4)*0.1+IF(E64-Uzman_D!$C$4&lt;0,-(E64-Uzman_D!$C$4),E64-Uzman_D!$C$4)*0.1+IF(F64-Uzman_D!$D$4&lt;0,-(F64-Uzman_D!$D$4),F64-Uzman_D!$D$4)*0.1+IF(G64-Uzman_D!$E$4&lt;0,-(G64-Uzman_D!$E$4),G64-Uzman_D!$E$4)*0.1+IF(H64-Uzman_D!$F$4&lt;0,-(H64-Uzman_D!$F$4),H64-Uzman_D!$F$4)*0.1+IF(I64-Uzman_D!$G$4&lt;0,-(I64-Uzman_D!$G$4),I64-Uzman_D!$G$4)*0.1+IF(J64-Uzman_D!$H$4&lt;0,-(J64-Uzman_D!$H$4),J64-Uzman_D!$H$4)*0.1+IF(K64-Uzman_D!$I$4&lt;0,-(K64-Uzman_D!$I$4),K64-Uzman_D!$I$4)*0.1+IF(L64-Uzman_D!$J$4&lt;0,-(L64-Uzman_D!$J$4),L64-Uzman_D!$J$4)*0.1)+IF(ROUND((IF(N64-Uzman_D!$L$4&lt;0,-(N64-Uzman_D!$L$4),N64-Uzman_D!$L$4)*2),0)/2=IF(N64-Uzman_D!$L$4&lt;0,-(N64-Uzman_D!$L$4),N64-Uzman_D!$L$4),(ROUND((IF(N64-Uzman_D!$L$4&lt;0,-(N64-Uzman_D!$L$4),N64-Uzman_D!$L$4)*2),0)/1*0.1),0)+IF(O64-Uzman_D!$M$4&lt;0,-(O64-Uzman_D!$M$4),O64-Uzman_D!$M$4)*1)</f>
        <v>-0.19999999999999996</v>
      </c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70"/>
      <c r="AB64" s="70"/>
      <c r="AC64" s="71">
        <f>1-(SUM(IF(Q64-Uzman_D!$B$5&lt;0,-(Q64-Uzman_D!$B$5),Q64-Uzman_D!$B$5)*0.1+IF(R64-Uzman_D!$C$5&lt;0,-(R64-Uzman_D!$C$5),R64-Uzman_D!$C$5)*0.1+IF(S64-Uzman_D!$D$5&lt;0,-(S64-Uzman_D!$D$5),S64-Uzman_D!$D$5)*0.1+IF(T64-Uzman_D!$E$5&lt;0,-(T64-Uzman_D!$E$5),T64-Uzman_D!$E$5)*0.1+IF(U64-Uzman_D!$F$5&lt;0,-(U64-Uzman_D!$F$5),U64-Uzman_D!$F$5)*0.1+IF(V64-Uzman_D!$G$5&lt;0,-(V64-Uzman_D!$G$5),V64-Uzman_D!$G$5)*0.1+IF(W64-Uzman_D!$H$5&lt;0,-(W64-Uzman_D!$H$5),W64-Uzman_D!$H$5)*0.1+IF(X64-Uzman_D!$I$5&lt;0,-(X64-Uzman_D!$I$5),X64-Uzman_D!$I$5)*0.1+IF(Y64-Uzman_D!$J$5&lt;0,-(Y64-Uzman_D!$J$5),Y64-Uzman_D!$J$5)*0.1)+IF(ROUND((IF(AA64-Uzman_D!$L$5&lt;0,-(AA64-Uzman_D!$L$5),AA64-Uzman_D!$L$5)*2),0)/2=IF(AA64-Uzman_D!$L$5&lt;0,-(AA64-Uzman_D!$L$5),AA64-Uzman_D!$L$5),(ROUND((IF(AA64-Uzman_D!$L$5&lt;0,-(AA64-Uzman_D!$L$5),AA64-Uzman_D!$L$5)*2),0)/1*0.1),0)+IF(AB64-Uzman_D!$M$5&lt;0,-(AB64-Uzman_D!$M$5),AB64-Uzman_D!$M$5)*1)</f>
        <v>-0.40000000000000013</v>
      </c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70"/>
      <c r="AO64" s="70"/>
      <c r="AP64" s="71">
        <f>1-(SUM(IF(AD64-Uzman_D!$B$6&lt;0,-(AD64-Uzman_D!$B$6),AD64-Uzman_D!$B$6)*0.1+IF(AE64-Uzman_D!$C$6&lt;0,-(AE64-Uzman_D!$C$6),AE64-Uzman_D!$C$6)*0.1+IF(AF64-Uzman_D!$D$6&lt;0,-(AF64-Uzman_D!$D$6),AF64-Uzman_D!$D$6)*0.1+IF(AG64-Uzman_D!$E$6&lt;0,-(AG64-Uzman_D!$E$6),AG64-Uzman_D!$E$6)*0.1+IF(AH64-Uzman_D!$F$6&lt;0,-(AH64-Uzman_D!$F$6),AH64-Uzman_D!$F$6)*0.1+IF(AI64-Uzman_D!$G$6&lt;0,-(AI64-Uzman_D!$G$6),AI64-Uzman_D!$G$6)*0.1+IF(AJ64-Uzman_D!$H$6&lt;0,-(AJ64-Uzman_D!$H$6),AJ64-Uzman_D!$H$6)*0.1+IF(AK64-Uzman_D!$I$6&lt;0,-(AK64-Uzman_D!$I$6),AK64-Uzman_D!$I$6)*0.1+IF(AL64-Uzman_D!$J$6&lt;0,-(AL64-Uzman_D!$J$6),AL64-Uzman_D!$J$6)*0.1)+IF(ROUND((IF(AN64-Uzman_D!$L$6&lt;0,-(AN64-Uzman_D!$L$6),AN64-Uzman_D!$L$6)*2),0)/2=IF(AN64-Uzman_D!$L$6&lt;0,-(AN64-Uzman_D!$L$6),AN64-Uzman_D!$L$6),(ROUND((IF(AN64-Uzman_D!$L$6&lt;0,-(AN64-Uzman_D!$L$6),AN64-Uzman_D!$L$6)*2),0)/1*0.1),0)+IF(AO64-Uzman_D!$M$6&lt;0,-(AO64-Uzman_D!$M$6),AO64-Uzman_D!$M$6)*1)</f>
        <v>-0.10000000000000009</v>
      </c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70"/>
      <c r="BB64" s="70"/>
      <c r="BC64" s="71">
        <f>1-(SUM(IF(AQ64-Uzman_D!$B$7&lt;0,-(AQ64-Uzman_D!$B$7),AQ64-Uzman_D!$B$7)*0.1+IF(AR64-Uzman_D!$C$7&lt;0,-(AR64-Uzman_D!$C$7),AR64-Uzman_D!$C$7)*0.1+IF(AS64-Uzman_D!$D$7&lt;0,-(AS64-Uzman_D!$D$7),AS64-Uzman_D!$D$7)*0.1+IF(AT64-Uzman_D!$E$7&lt;0,-(AT64-Uzman_D!$E$7),AT64-Uzman_D!$E$7)*0.1+IF(AU64-Uzman_D!$F$7&lt;0,-(AU64-Uzman_D!$F$7),AU64-Uzman_D!$F$7)*0.1+IF(AV64-Uzman_D!$G$7&lt;0,-(AV64-Uzman_D!$G$7),AV64-Uzman_D!$G$7)*0.1+IF(AW64-Uzman_D!$H$7&lt;0,-(AW64-Uzman_D!$H$7),AW64-Uzman_D!$H$7)*0.1+IF(AX64-Uzman_D!$I$7&lt;0,-(AX64-Uzman_D!$I$7),AX64-Uzman_D!$I$7)*0.1+IF(AY64-Uzman_D!$J$7&lt;0,-(AY64-Uzman_D!$J$7),AY64-Uzman_D!$J$7)*0.1)+IF(ROUND((IF(BA64-Uzman_D!$L$7&lt;0,-(BA64-Uzman_D!$L$7),BA64-Uzman_D!$L$7)*2),0)/2=IF(BA64-Uzman_D!$L$7&lt;0,-(BA64-Uzman_D!$L$7),BA64-Uzman_D!$L$7),(ROUND((IF(BA64-Uzman_D!$L$7&lt;0,-(BA64-Uzman_D!$L$7),BA64-Uzman_D!$L$7)*2),0)/1*0.1),0)+IF(BB64-Uzman_D!$M$7&lt;0,-(BB64-Uzman_D!$M$7),BB64-Uzman_D!$M$7)*1)</f>
        <v>-0.7</v>
      </c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70"/>
      <c r="BO64" s="70"/>
      <c r="BP64" s="71">
        <f>1-(SUM(IF(BD64-Uzman_D!$B$8&lt;0,-(BD64-Uzman_D!$B$8),BD64-Uzman_D!$B$8)*0.1+IF(BE64-Uzman_D!$C$8&lt;0,-(BE64-Uzman_D!$C$8),BE64-Uzman_D!$C$8)*0.1+IF(BF64-Uzman_D!$D$8&lt;0,-(BF64-Uzman_D!$D$8),BF64-Uzman_D!$D$8)*0.1+IF(BG64-Uzman_D!$E$8&lt;0,-(BG64-Uzman_D!$E$8),BG64-Uzman_D!$E$8)*0.1+IF(BH64-Uzman_D!$F$8&lt;0,-(BH64-Uzman_D!$F$8),BH64-Uzman_D!$F$8)*0.1+IF(BI64-Uzman_D!$G$8&lt;0,-(BI64-Uzman_D!$G$8),BI64-Uzman_D!$G$8)*0.1+IF(BJ64-Uzman_D!$H$8&lt;0,-(BJ64-Uzman_D!$H$8),BJ64-Uzman_D!$H$8)*0.1+IF(BK64-Uzman_D!$I$8&lt;0,-(BK64-Uzman_D!$I$8),BK64-Uzman_D!$I$8)*0.1+IF(BL64-Uzman_D!$J$8&lt;0,-(BL64-Uzman_D!$J$8),BL64-Uzman_D!$J$8)*0.1)+IF(ROUND((IF(BN64-Uzman_D!$L$8&lt;0,-(BN64-Uzman_D!$L$8),BN64-Uzman_D!$L$8)*2),0)/2=IF(BN64-Uzman_D!$L$8&lt;0,-(BN64-Uzman_D!$L$8),BN64-Uzman_D!$L$8),(ROUND((IF(BN64-Uzman_D!$L$8&lt;0,-(BN64-Uzman_D!$L$8),BN64-Uzman_D!$L$8)*2),0)/1*0.1),0)+IF(BO64-Uzman_D!$M$8&lt;0,-(BO64-Uzman_D!$M$8),BO64-Uzman_D!$M$8)*1)</f>
        <v>-1</v>
      </c>
      <c r="BQ64" s="72">
        <f t="shared" si="1"/>
        <v>-0.48000000000000009</v>
      </c>
    </row>
    <row r="65" spans="1:69" ht="15" customHeight="1" x14ac:dyDescent="0.45">
      <c r="A65" s="54">
        <v>62</v>
      </c>
      <c r="B65" s="165">
        <f>Hakemler!B65</f>
        <v>0</v>
      </c>
      <c r="C65" s="165">
        <f>Hakemler!C65</f>
        <v>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70"/>
      <c r="O65" s="70"/>
      <c r="P65" s="71">
        <f>1-(SUM(IF(D65-Uzman_D!$B$4&lt;0,-(D65-Uzman_D!$B$4),D65-Uzman_D!$B$4)*0.1+IF(E65-Uzman_D!$C$4&lt;0,-(E65-Uzman_D!$C$4),E65-Uzman_D!$C$4)*0.1+IF(F65-Uzman_D!$D$4&lt;0,-(F65-Uzman_D!$D$4),F65-Uzman_D!$D$4)*0.1+IF(G65-Uzman_D!$E$4&lt;0,-(G65-Uzman_D!$E$4),G65-Uzman_D!$E$4)*0.1+IF(H65-Uzman_D!$F$4&lt;0,-(H65-Uzman_D!$F$4),H65-Uzman_D!$F$4)*0.1+IF(I65-Uzman_D!$G$4&lt;0,-(I65-Uzman_D!$G$4),I65-Uzman_D!$G$4)*0.1+IF(J65-Uzman_D!$H$4&lt;0,-(J65-Uzman_D!$H$4),J65-Uzman_D!$H$4)*0.1+IF(K65-Uzman_D!$I$4&lt;0,-(K65-Uzman_D!$I$4),K65-Uzman_D!$I$4)*0.1+IF(L65-Uzman_D!$J$4&lt;0,-(L65-Uzman_D!$J$4),L65-Uzman_D!$J$4)*0.1)+IF(ROUND((IF(N65-Uzman_D!$L$4&lt;0,-(N65-Uzman_D!$L$4),N65-Uzman_D!$L$4)*2),0)/2=IF(N65-Uzman_D!$L$4&lt;0,-(N65-Uzman_D!$L$4),N65-Uzman_D!$L$4),(ROUND((IF(N65-Uzman_D!$L$4&lt;0,-(N65-Uzman_D!$L$4),N65-Uzman_D!$L$4)*2),0)/1*0.1),0)+IF(O65-Uzman_D!$M$4&lt;0,-(O65-Uzman_D!$M$4),O65-Uzman_D!$M$4)*1)</f>
        <v>-0.19999999999999996</v>
      </c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70"/>
      <c r="AB65" s="70"/>
      <c r="AC65" s="71">
        <f>1-(SUM(IF(Q65-Uzman_D!$B$5&lt;0,-(Q65-Uzman_D!$B$5),Q65-Uzman_D!$B$5)*0.1+IF(R65-Uzman_D!$C$5&lt;0,-(R65-Uzman_D!$C$5),R65-Uzman_D!$C$5)*0.1+IF(S65-Uzman_D!$D$5&lt;0,-(S65-Uzman_D!$D$5),S65-Uzman_D!$D$5)*0.1+IF(T65-Uzman_D!$E$5&lt;0,-(T65-Uzman_D!$E$5),T65-Uzman_D!$E$5)*0.1+IF(U65-Uzman_D!$F$5&lt;0,-(U65-Uzman_D!$F$5),U65-Uzman_D!$F$5)*0.1+IF(V65-Uzman_D!$G$5&lt;0,-(V65-Uzman_D!$G$5),V65-Uzman_D!$G$5)*0.1+IF(W65-Uzman_D!$H$5&lt;0,-(W65-Uzman_D!$H$5),W65-Uzman_D!$H$5)*0.1+IF(X65-Uzman_D!$I$5&lt;0,-(X65-Uzman_D!$I$5),X65-Uzman_D!$I$5)*0.1+IF(Y65-Uzman_D!$J$5&lt;0,-(Y65-Uzman_D!$J$5),Y65-Uzman_D!$J$5)*0.1)+IF(ROUND((IF(AA65-Uzman_D!$L$5&lt;0,-(AA65-Uzman_D!$L$5),AA65-Uzman_D!$L$5)*2),0)/2=IF(AA65-Uzman_D!$L$5&lt;0,-(AA65-Uzman_D!$L$5),AA65-Uzman_D!$L$5),(ROUND((IF(AA65-Uzman_D!$L$5&lt;0,-(AA65-Uzman_D!$L$5),AA65-Uzman_D!$L$5)*2),0)/1*0.1),0)+IF(AB65-Uzman_D!$M$5&lt;0,-(AB65-Uzman_D!$M$5),AB65-Uzman_D!$M$5)*1)</f>
        <v>-0.40000000000000013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70"/>
      <c r="AO65" s="70"/>
      <c r="AP65" s="71">
        <f>1-(SUM(IF(AD65-Uzman_D!$B$6&lt;0,-(AD65-Uzman_D!$B$6),AD65-Uzman_D!$B$6)*0.1+IF(AE65-Uzman_D!$C$6&lt;0,-(AE65-Uzman_D!$C$6),AE65-Uzman_D!$C$6)*0.1+IF(AF65-Uzman_D!$D$6&lt;0,-(AF65-Uzman_D!$D$6),AF65-Uzman_D!$D$6)*0.1+IF(AG65-Uzman_D!$E$6&lt;0,-(AG65-Uzman_D!$E$6),AG65-Uzman_D!$E$6)*0.1+IF(AH65-Uzman_D!$F$6&lt;0,-(AH65-Uzman_D!$F$6),AH65-Uzman_D!$F$6)*0.1+IF(AI65-Uzman_D!$G$6&lt;0,-(AI65-Uzman_D!$G$6),AI65-Uzman_D!$G$6)*0.1+IF(AJ65-Uzman_D!$H$6&lt;0,-(AJ65-Uzman_D!$H$6),AJ65-Uzman_D!$H$6)*0.1+IF(AK65-Uzman_D!$I$6&lt;0,-(AK65-Uzman_D!$I$6),AK65-Uzman_D!$I$6)*0.1+IF(AL65-Uzman_D!$J$6&lt;0,-(AL65-Uzman_D!$J$6),AL65-Uzman_D!$J$6)*0.1)+IF(ROUND((IF(AN65-Uzman_D!$L$6&lt;0,-(AN65-Uzman_D!$L$6),AN65-Uzman_D!$L$6)*2),0)/2=IF(AN65-Uzman_D!$L$6&lt;0,-(AN65-Uzman_D!$L$6),AN65-Uzman_D!$L$6),(ROUND((IF(AN65-Uzman_D!$L$6&lt;0,-(AN65-Uzman_D!$L$6),AN65-Uzman_D!$L$6)*2),0)/1*0.1),0)+IF(AO65-Uzman_D!$M$6&lt;0,-(AO65-Uzman_D!$M$6),AO65-Uzman_D!$M$6)*1)</f>
        <v>-0.10000000000000009</v>
      </c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70"/>
      <c r="BB65" s="70"/>
      <c r="BC65" s="71">
        <f>1-(SUM(IF(AQ65-Uzman_D!$B$7&lt;0,-(AQ65-Uzman_D!$B$7),AQ65-Uzman_D!$B$7)*0.1+IF(AR65-Uzman_D!$C$7&lt;0,-(AR65-Uzman_D!$C$7),AR65-Uzman_D!$C$7)*0.1+IF(AS65-Uzman_D!$D$7&lt;0,-(AS65-Uzman_D!$D$7),AS65-Uzman_D!$D$7)*0.1+IF(AT65-Uzman_D!$E$7&lt;0,-(AT65-Uzman_D!$E$7),AT65-Uzman_D!$E$7)*0.1+IF(AU65-Uzman_D!$F$7&lt;0,-(AU65-Uzman_D!$F$7),AU65-Uzman_D!$F$7)*0.1+IF(AV65-Uzman_D!$G$7&lt;0,-(AV65-Uzman_D!$G$7),AV65-Uzman_D!$G$7)*0.1+IF(AW65-Uzman_D!$H$7&lt;0,-(AW65-Uzman_D!$H$7),AW65-Uzman_D!$H$7)*0.1+IF(AX65-Uzman_D!$I$7&lt;0,-(AX65-Uzman_D!$I$7),AX65-Uzman_D!$I$7)*0.1+IF(AY65-Uzman_D!$J$7&lt;0,-(AY65-Uzman_D!$J$7),AY65-Uzman_D!$J$7)*0.1)+IF(ROUND((IF(BA65-Uzman_D!$L$7&lt;0,-(BA65-Uzman_D!$L$7),BA65-Uzman_D!$L$7)*2),0)/2=IF(BA65-Uzman_D!$L$7&lt;0,-(BA65-Uzman_D!$L$7),BA65-Uzman_D!$L$7),(ROUND((IF(BA65-Uzman_D!$L$7&lt;0,-(BA65-Uzman_D!$L$7),BA65-Uzman_D!$L$7)*2),0)/1*0.1),0)+IF(BB65-Uzman_D!$M$7&lt;0,-(BB65-Uzman_D!$M$7),BB65-Uzman_D!$M$7)*1)</f>
        <v>-0.7</v>
      </c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70"/>
      <c r="BO65" s="70"/>
      <c r="BP65" s="71">
        <f>1-(SUM(IF(BD65-Uzman_D!$B$8&lt;0,-(BD65-Uzman_D!$B$8),BD65-Uzman_D!$B$8)*0.1+IF(BE65-Uzman_D!$C$8&lt;0,-(BE65-Uzman_D!$C$8),BE65-Uzman_D!$C$8)*0.1+IF(BF65-Uzman_D!$D$8&lt;0,-(BF65-Uzman_D!$D$8),BF65-Uzman_D!$D$8)*0.1+IF(BG65-Uzman_D!$E$8&lt;0,-(BG65-Uzman_D!$E$8),BG65-Uzman_D!$E$8)*0.1+IF(BH65-Uzman_D!$F$8&lt;0,-(BH65-Uzman_D!$F$8),BH65-Uzman_D!$F$8)*0.1+IF(BI65-Uzman_D!$G$8&lt;0,-(BI65-Uzman_D!$G$8),BI65-Uzman_D!$G$8)*0.1+IF(BJ65-Uzman_D!$H$8&lt;0,-(BJ65-Uzman_D!$H$8),BJ65-Uzman_D!$H$8)*0.1+IF(BK65-Uzman_D!$I$8&lt;0,-(BK65-Uzman_D!$I$8),BK65-Uzman_D!$I$8)*0.1+IF(BL65-Uzman_D!$J$8&lt;0,-(BL65-Uzman_D!$J$8),BL65-Uzman_D!$J$8)*0.1)+IF(ROUND((IF(BN65-Uzman_D!$L$8&lt;0,-(BN65-Uzman_D!$L$8),BN65-Uzman_D!$L$8)*2),0)/2=IF(BN65-Uzman_D!$L$8&lt;0,-(BN65-Uzman_D!$L$8),BN65-Uzman_D!$L$8),(ROUND((IF(BN65-Uzman_D!$L$8&lt;0,-(BN65-Uzman_D!$L$8),BN65-Uzman_D!$L$8)*2),0)/1*0.1),0)+IF(BO65-Uzman_D!$M$8&lt;0,-(BO65-Uzman_D!$M$8),BO65-Uzman_D!$M$8)*1)</f>
        <v>-1</v>
      </c>
      <c r="BQ65" s="72">
        <f t="shared" si="1"/>
        <v>-0.48000000000000009</v>
      </c>
    </row>
    <row r="66" spans="1:69" ht="15" customHeight="1" x14ac:dyDescent="0.45">
      <c r="A66" s="54">
        <v>63</v>
      </c>
      <c r="B66" s="165">
        <f>Hakemler!B66</f>
        <v>0</v>
      </c>
      <c r="C66" s="165">
        <f>Hakemler!C66</f>
        <v>0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70"/>
      <c r="O66" s="70"/>
      <c r="P66" s="71">
        <f>1-(SUM(IF(D66-Uzman_D!$B$4&lt;0,-(D66-Uzman_D!$B$4),D66-Uzman_D!$B$4)*0.1+IF(E66-Uzman_D!$C$4&lt;0,-(E66-Uzman_D!$C$4),E66-Uzman_D!$C$4)*0.1+IF(F66-Uzman_D!$D$4&lt;0,-(F66-Uzman_D!$D$4),F66-Uzman_D!$D$4)*0.1+IF(G66-Uzman_D!$E$4&lt;0,-(G66-Uzman_D!$E$4),G66-Uzman_D!$E$4)*0.1+IF(H66-Uzman_D!$F$4&lt;0,-(H66-Uzman_D!$F$4),H66-Uzman_D!$F$4)*0.1+IF(I66-Uzman_D!$G$4&lt;0,-(I66-Uzman_D!$G$4),I66-Uzman_D!$G$4)*0.1+IF(J66-Uzman_D!$H$4&lt;0,-(J66-Uzman_D!$H$4),J66-Uzman_D!$H$4)*0.1+IF(K66-Uzman_D!$I$4&lt;0,-(K66-Uzman_D!$I$4),K66-Uzman_D!$I$4)*0.1+IF(L66-Uzman_D!$J$4&lt;0,-(L66-Uzman_D!$J$4),L66-Uzman_D!$J$4)*0.1)+IF(ROUND((IF(N66-Uzman_D!$L$4&lt;0,-(N66-Uzman_D!$L$4),N66-Uzman_D!$L$4)*2),0)/2=IF(N66-Uzman_D!$L$4&lt;0,-(N66-Uzman_D!$L$4),N66-Uzman_D!$L$4),(ROUND((IF(N66-Uzman_D!$L$4&lt;0,-(N66-Uzman_D!$L$4),N66-Uzman_D!$L$4)*2),0)/1*0.1),0)+IF(O66-Uzman_D!$M$4&lt;0,-(O66-Uzman_D!$M$4),O66-Uzman_D!$M$4)*1)</f>
        <v>-0.19999999999999996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70"/>
      <c r="AB66" s="70"/>
      <c r="AC66" s="71">
        <f>1-(SUM(IF(Q66-Uzman_D!$B$5&lt;0,-(Q66-Uzman_D!$B$5),Q66-Uzman_D!$B$5)*0.1+IF(R66-Uzman_D!$C$5&lt;0,-(R66-Uzman_D!$C$5),R66-Uzman_D!$C$5)*0.1+IF(S66-Uzman_D!$D$5&lt;0,-(S66-Uzman_D!$D$5),S66-Uzman_D!$D$5)*0.1+IF(T66-Uzman_D!$E$5&lt;0,-(T66-Uzman_D!$E$5),T66-Uzman_D!$E$5)*0.1+IF(U66-Uzman_D!$F$5&lt;0,-(U66-Uzman_D!$F$5),U66-Uzman_D!$F$5)*0.1+IF(V66-Uzman_D!$G$5&lt;0,-(V66-Uzman_D!$G$5),V66-Uzman_D!$G$5)*0.1+IF(W66-Uzman_D!$H$5&lt;0,-(W66-Uzman_D!$H$5),W66-Uzman_D!$H$5)*0.1+IF(X66-Uzman_D!$I$5&lt;0,-(X66-Uzman_D!$I$5),X66-Uzman_D!$I$5)*0.1+IF(Y66-Uzman_D!$J$5&lt;0,-(Y66-Uzman_D!$J$5),Y66-Uzman_D!$J$5)*0.1)+IF(ROUND((IF(AA66-Uzman_D!$L$5&lt;0,-(AA66-Uzman_D!$L$5),AA66-Uzman_D!$L$5)*2),0)/2=IF(AA66-Uzman_D!$L$5&lt;0,-(AA66-Uzman_D!$L$5),AA66-Uzman_D!$L$5),(ROUND((IF(AA66-Uzman_D!$L$5&lt;0,-(AA66-Uzman_D!$L$5),AA66-Uzman_D!$L$5)*2),0)/1*0.1),0)+IF(AB66-Uzman_D!$M$5&lt;0,-(AB66-Uzman_D!$M$5),AB66-Uzman_D!$M$5)*1)</f>
        <v>-0.40000000000000013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70"/>
      <c r="AO66" s="70"/>
      <c r="AP66" s="71">
        <f>1-(SUM(IF(AD66-Uzman_D!$B$6&lt;0,-(AD66-Uzman_D!$B$6),AD66-Uzman_D!$B$6)*0.1+IF(AE66-Uzman_D!$C$6&lt;0,-(AE66-Uzman_D!$C$6),AE66-Uzman_D!$C$6)*0.1+IF(AF66-Uzman_D!$D$6&lt;0,-(AF66-Uzman_D!$D$6),AF66-Uzman_D!$D$6)*0.1+IF(AG66-Uzman_D!$E$6&lt;0,-(AG66-Uzman_D!$E$6),AG66-Uzman_D!$E$6)*0.1+IF(AH66-Uzman_D!$F$6&lt;0,-(AH66-Uzman_D!$F$6),AH66-Uzman_D!$F$6)*0.1+IF(AI66-Uzman_D!$G$6&lt;0,-(AI66-Uzman_D!$G$6),AI66-Uzman_D!$G$6)*0.1+IF(AJ66-Uzman_D!$H$6&lt;0,-(AJ66-Uzman_D!$H$6),AJ66-Uzman_D!$H$6)*0.1+IF(AK66-Uzman_D!$I$6&lt;0,-(AK66-Uzman_D!$I$6),AK66-Uzman_D!$I$6)*0.1+IF(AL66-Uzman_D!$J$6&lt;0,-(AL66-Uzman_D!$J$6),AL66-Uzman_D!$J$6)*0.1)+IF(ROUND((IF(AN66-Uzman_D!$L$6&lt;0,-(AN66-Uzman_D!$L$6),AN66-Uzman_D!$L$6)*2),0)/2=IF(AN66-Uzman_D!$L$6&lt;0,-(AN66-Uzman_D!$L$6),AN66-Uzman_D!$L$6),(ROUND((IF(AN66-Uzman_D!$L$6&lt;0,-(AN66-Uzman_D!$L$6),AN66-Uzman_D!$L$6)*2),0)/1*0.1),0)+IF(AO66-Uzman_D!$M$6&lt;0,-(AO66-Uzman_D!$M$6),AO66-Uzman_D!$M$6)*1)</f>
        <v>-0.10000000000000009</v>
      </c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70"/>
      <c r="BB66" s="70"/>
      <c r="BC66" s="71">
        <f>1-(SUM(IF(AQ66-Uzman_D!$B$7&lt;0,-(AQ66-Uzman_D!$B$7),AQ66-Uzman_D!$B$7)*0.1+IF(AR66-Uzman_D!$C$7&lt;0,-(AR66-Uzman_D!$C$7),AR66-Uzman_D!$C$7)*0.1+IF(AS66-Uzman_D!$D$7&lt;0,-(AS66-Uzman_D!$D$7),AS66-Uzman_D!$D$7)*0.1+IF(AT66-Uzman_D!$E$7&lt;0,-(AT66-Uzman_D!$E$7),AT66-Uzman_D!$E$7)*0.1+IF(AU66-Uzman_D!$F$7&lt;0,-(AU66-Uzman_D!$F$7),AU66-Uzman_D!$F$7)*0.1+IF(AV66-Uzman_D!$G$7&lt;0,-(AV66-Uzman_D!$G$7),AV66-Uzman_D!$G$7)*0.1+IF(AW66-Uzman_D!$H$7&lt;0,-(AW66-Uzman_D!$H$7),AW66-Uzman_D!$H$7)*0.1+IF(AX66-Uzman_D!$I$7&lt;0,-(AX66-Uzman_D!$I$7),AX66-Uzman_D!$I$7)*0.1+IF(AY66-Uzman_D!$J$7&lt;0,-(AY66-Uzman_D!$J$7),AY66-Uzman_D!$J$7)*0.1)+IF(ROUND((IF(BA66-Uzman_D!$L$7&lt;0,-(BA66-Uzman_D!$L$7),BA66-Uzman_D!$L$7)*2),0)/2=IF(BA66-Uzman_D!$L$7&lt;0,-(BA66-Uzman_D!$L$7),BA66-Uzman_D!$L$7),(ROUND((IF(BA66-Uzman_D!$L$7&lt;0,-(BA66-Uzman_D!$L$7),BA66-Uzman_D!$L$7)*2),0)/1*0.1),0)+IF(BB66-Uzman_D!$M$7&lt;0,-(BB66-Uzman_D!$M$7),BB66-Uzman_D!$M$7)*1)</f>
        <v>-0.7</v>
      </c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70"/>
      <c r="BO66" s="70"/>
      <c r="BP66" s="71">
        <f>1-(SUM(IF(BD66-Uzman_D!$B$8&lt;0,-(BD66-Uzman_D!$B$8),BD66-Uzman_D!$B$8)*0.1+IF(BE66-Uzman_D!$C$8&lt;0,-(BE66-Uzman_D!$C$8),BE66-Uzman_D!$C$8)*0.1+IF(BF66-Uzman_D!$D$8&lt;0,-(BF66-Uzman_D!$D$8),BF66-Uzman_D!$D$8)*0.1+IF(BG66-Uzman_D!$E$8&lt;0,-(BG66-Uzman_D!$E$8),BG66-Uzman_D!$E$8)*0.1+IF(BH66-Uzman_D!$F$8&lt;0,-(BH66-Uzman_D!$F$8),BH66-Uzman_D!$F$8)*0.1+IF(BI66-Uzman_D!$G$8&lt;0,-(BI66-Uzman_D!$G$8),BI66-Uzman_D!$G$8)*0.1+IF(BJ66-Uzman_D!$H$8&lt;0,-(BJ66-Uzman_D!$H$8),BJ66-Uzman_D!$H$8)*0.1+IF(BK66-Uzman_D!$I$8&lt;0,-(BK66-Uzman_D!$I$8),BK66-Uzman_D!$I$8)*0.1+IF(BL66-Uzman_D!$J$8&lt;0,-(BL66-Uzman_D!$J$8),BL66-Uzman_D!$J$8)*0.1)+IF(ROUND((IF(BN66-Uzman_D!$L$8&lt;0,-(BN66-Uzman_D!$L$8),BN66-Uzman_D!$L$8)*2),0)/2=IF(BN66-Uzman_D!$L$8&lt;0,-(BN66-Uzman_D!$L$8),BN66-Uzman_D!$L$8),(ROUND((IF(BN66-Uzman_D!$L$8&lt;0,-(BN66-Uzman_D!$L$8),BN66-Uzman_D!$L$8)*2),0)/1*0.1),0)+IF(BO66-Uzman_D!$M$8&lt;0,-(BO66-Uzman_D!$M$8),BO66-Uzman_D!$M$8)*1)</f>
        <v>-1</v>
      </c>
      <c r="BQ66" s="72">
        <f t="shared" si="1"/>
        <v>-0.48000000000000009</v>
      </c>
    </row>
    <row r="67" spans="1:69" ht="15" customHeight="1" x14ac:dyDescent="0.45">
      <c r="A67" s="54">
        <v>64</v>
      </c>
      <c r="B67" s="166">
        <f>Hakemler!B67</f>
        <v>0</v>
      </c>
      <c r="C67" s="166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3"/>
      <c r="O67" s="73"/>
      <c r="P67" s="71">
        <f>1-(SUM(IF(D67-Uzman_D!$B$4&lt;0,-(D67-Uzman_D!$B$4),D67-Uzman_D!$B$4)*0.1+IF(E67-Uzman_D!$C$4&lt;0,-(E67-Uzman_D!$C$4),E67-Uzman_D!$C$4)*0.1+IF(F67-Uzman_D!$D$4&lt;0,-(F67-Uzman_D!$D$4),F67-Uzman_D!$D$4)*0.1+IF(G67-Uzman_D!$E$4&lt;0,-(G67-Uzman_D!$E$4),G67-Uzman_D!$E$4)*0.1+IF(H67-Uzman_D!$F$4&lt;0,-(H67-Uzman_D!$F$4),H67-Uzman_D!$F$4)*0.1+IF(I67-Uzman_D!$G$4&lt;0,-(I67-Uzman_D!$G$4),I67-Uzman_D!$G$4)*0.1+IF(J67-Uzman_D!$H$4&lt;0,-(J67-Uzman_D!$H$4),J67-Uzman_D!$H$4)*0.1+IF(K67-Uzman_D!$I$4&lt;0,-(K67-Uzman_D!$I$4),K67-Uzman_D!$I$4)*0.1+IF(L67-Uzman_D!$J$4&lt;0,-(L67-Uzman_D!$J$4),L67-Uzman_D!$J$4)*0.1)+IF(ROUND((IF(N67-Uzman_D!$L$4&lt;0,-(N67-Uzman_D!$L$4),N67-Uzman_D!$L$4)*2),0)/2=IF(N67-Uzman_D!$L$4&lt;0,-(N67-Uzman_D!$L$4),N67-Uzman_D!$L$4),(ROUND((IF(N67-Uzman_D!$L$4&lt;0,-(N67-Uzman_D!$L$4),N67-Uzman_D!$L$4)*2),0)/1*0.1),0)+IF(O67-Uzman_D!$M$4&lt;0,-(O67-Uzman_D!$M$4),O67-Uzman_D!$M$4)*1)</f>
        <v>-0.19999999999999996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3"/>
      <c r="AB67" s="73"/>
      <c r="AC67" s="71">
        <f>1-(SUM(IF(Q67-Uzman_D!$B$5&lt;0,-(Q67-Uzman_D!$B$5),Q67-Uzman_D!$B$5)*0.1+IF(R67-Uzman_D!$C$5&lt;0,-(R67-Uzman_D!$C$5),R67-Uzman_D!$C$5)*0.1+IF(S67-Uzman_D!$D$5&lt;0,-(S67-Uzman_D!$D$5),S67-Uzman_D!$D$5)*0.1+IF(T67-Uzman_D!$E$5&lt;0,-(T67-Uzman_D!$E$5),T67-Uzman_D!$E$5)*0.1+IF(U67-Uzman_D!$F$5&lt;0,-(U67-Uzman_D!$F$5),U67-Uzman_D!$F$5)*0.1+IF(V67-Uzman_D!$G$5&lt;0,-(V67-Uzman_D!$G$5),V67-Uzman_D!$G$5)*0.1+IF(W67-Uzman_D!$H$5&lt;0,-(W67-Uzman_D!$H$5),W67-Uzman_D!$H$5)*0.1+IF(X67-Uzman_D!$I$5&lt;0,-(X67-Uzman_D!$I$5),X67-Uzman_D!$I$5)*0.1+IF(Y67-Uzman_D!$J$5&lt;0,-(Y67-Uzman_D!$J$5),Y67-Uzman_D!$J$5)*0.1)+IF(ROUND((IF(AA67-Uzman_D!$L$5&lt;0,-(AA67-Uzman_D!$L$5),AA67-Uzman_D!$L$5)*2),0)/2=IF(AA67-Uzman_D!$L$5&lt;0,-(AA67-Uzman_D!$L$5),AA67-Uzman_D!$L$5),(ROUND((IF(AA67-Uzman_D!$L$5&lt;0,-(AA67-Uzman_D!$L$5),AA67-Uzman_D!$L$5)*2),0)/1*0.1),0)+IF(AB67-Uzman_D!$M$5&lt;0,-(AB67-Uzman_D!$M$5),AB67-Uzman_D!$M$5)*1)</f>
        <v>-0.40000000000000013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3"/>
      <c r="AO67" s="73"/>
      <c r="AP67" s="71">
        <f>1-(SUM(IF(AD67-Uzman_D!$B$6&lt;0,-(AD67-Uzman_D!$B$6),AD67-Uzman_D!$B$6)*0.1+IF(AE67-Uzman_D!$C$6&lt;0,-(AE67-Uzman_D!$C$6),AE67-Uzman_D!$C$6)*0.1+IF(AF67-Uzman_D!$D$6&lt;0,-(AF67-Uzman_D!$D$6),AF67-Uzman_D!$D$6)*0.1+IF(AG67-Uzman_D!$E$6&lt;0,-(AG67-Uzman_D!$E$6),AG67-Uzman_D!$E$6)*0.1+IF(AH67-Uzman_D!$F$6&lt;0,-(AH67-Uzman_D!$F$6),AH67-Uzman_D!$F$6)*0.1+IF(AI67-Uzman_D!$G$6&lt;0,-(AI67-Uzman_D!$G$6),AI67-Uzman_D!$G$6)*0.1+IF(AJ67-Uzman_D!$H$6&lt;0,-(AJ67-Uzman_D!$H$6),AJ67-Uzman_D!$H$6)*0.1+IF(AK67-Uzman_D!$I$6&lt;0,-(AK67-Uzman_D!$I$6),AK67-Uzman_D!$I$6)*0.1+IF(AL67-Uzman_D!$J$6&lt;0,-(AL67-Uzman_D!$J$6),AL67-Uzman_D!$J$6)*0.1)+IF(ROUND((IF(AN67-Uzman_D!$L$6&lt;0,-(AN67-Uzman_D!$L$6),AN67-Uzman_D!$L$6)*2),0)/2=IF(AN67-Uzman_D!$L$6&lt;0,-(AN67-Uzman_D!$L$6),AN67-Uzman_D!$L$6),(ROUND((IF(AN67-Uzman_D!$L$6&lt;0,-(AN67-Uzman_D!$L$6),AN67-Uzman_D!$L$6)*2),0)/1*0.1),0)+IF(AO67-Uzman_D!$M$6&lt;0,-(AO67-Uzman_D!$M$6),AO67-Uzman_D!$M$6)*1)</f>
        <v>-0.10000000000000009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3"/>
      <c r="BB67" s="73"/>
      <c r="BC67" s="71">
        <f>1-(SUM(IF(AQ67-Uzman_D!$B$7&lt;0,-(AQ67-Uzman_D!$B$7),AQ67-Uzman_D!$B$7)*0.1+IF(AR67-Uzman_D!$C$7&lt;0,-(AR67-Uzman_D!$C$7),AR67-Uzman_D!$C$7)*0.1+IF(AS67-Uzman_D!$D$7&lt;0,-(AS67-Uzman_D!$D$7),AS67-Uzman_D!$D$7)*0.1+IF(AT67-Uzman_D!$E$7&lt;0,-(AT67-Uzman_D!$E$7),AT67-Uzman_D!$E$7)*0.1+IF(AU67-Uzman_D!$F$7&lt;0,-(AU67-Uzman_D!$F$7),AU67-Uzman_D!$F$7)*0.1+IF(AV67-Uzman_D!$G$7&lt;0,-(AV67-Uzman_D!$G$7),AV67-Uzman_D!$G$7)*0.1+IF(AW67-Uzman_D!$H$7&lt;0,-(AW67-Uzman_D!$H$7),AW67-Uzman_D!$H$7)*0.1+IF(AX67-Uzman_D!$I$7&lt;0,-(AX67-Uzman_D!$I$7),AX67-Uzman_D!$I$7)*0.1+IF(AY67-Uzman_D!$J$7&lt;0,-(AY67-Uzman_D!$J$7),AY67-Uzman_D!$J$7)*0.1)+IF(ROUND((IF(BA67-Uzman_D!$L$7&lt;0,-(BA67-Uzman_D!$L$7),BA67-Uzman_D!$L$7)*2),0)/2=IF(BA67-Uzman_D!$L$7&lt;0,-(BA67-Uzman_D!$L$7),BA67-Uzman_D!$L$7),(ROUND((IF(BA67-Uzman_D!$L$7&lt;0,-(BA67-Uzman_D!$L$7),BA67-Uzman_D!$L$7)*2),0)/1*0.1),0)+IF(BB67-Uzman_D!$M$7&lt;0,-(BB67-Uzman_D!$M$7),BB67-Uzman_D!$M$7)*1)</f>
        <v>-0.7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3"/>
      <c r="BO67" s="73"/>
      <c r="BP67" s="71">
        <f>1-(SUM(IF(BD67-Uzman_D!$B$8&lt;0,-(BD67-Uzman_D!$B$8),BD67-Uzman_D!$B$8)*0.1+IF(BE67-Uzman_D!$C$8&lt;0,-(BE67-Uzman_D!$C$8),BE67-Uzman_D!$C$8)*0.1+IF(BF67-Uzman_D!$D$8&lt;0,-(BF67-Uzman_D!$D$8),BF67-Uzman_D!$D$8)*0.1+IF(BG67-Uzman_D!$E$8&lt;0,-(BG67-Uzman_D!$E$8),BG67-Uzman_D!$E$8)*0.1+IF(BH67-Uzman_D!$F$8&lt;0,-(BH67-Uzman_D!$F$8),BH67-Uzman_D!$F$8)*0.1+IF(BI67-Uzman_D!$G$8&lt;0,-(BI67-Uzman_D!$G$8),BI67-Uzman_D!$G$8)*0.1+IF(BJ67-Uzman_D!$H$8&lt;0,-(BJ67-Uzman_D!$H$8),BJ67-Uzman_D!$H$8)*0.1+IF(BK67-Uzman_D!$I$8&lt;0,-(BK67-Uzman_D!$I$8),BK67-Uzman_D!$I$8)*0.1+IF(BL67-Uzman_D!$J$8&lt;0,-(BL67-Uzman_D!$J$8),BL67-Uzman_D!$J$8)*0.1)+IF(ROUND((IF(BN67-Uzman_D!$L$8&lt;0,-(BN67-Uzman_D!$L$8),BN67-Uzman_D!$L$8)*2),0)/2=IF(BN67-Uzman_D!$L$8&lt;0,-(BN67-Uzman_D!$L$8),BN67-Uzman_D!$L$8),(ROUND((IF(BN67-Uzman_D!$L$8&lt;0,-(BN67-Uzman_D!$L$8),BN67-Uzman_D!$L$8)*2),0)/1*0.1),0)+IF(BO67-Uzman_D!$M$8&lt;0,-(BO67-Uzman_D!$M$8),BO67-Uzman_D!$M$8)*1)</f>
        <v>-1</v>
      </c>
      <c r="BQ67" s="72">
        <f t="shared" si="1"/>
        <v>-0.48000000000000009</v>
      </c>
    </row>
    <row r="68" spans="1:69" ht="15" customHeight="1" x14ac:dyDescent="0.45">
      <c r="A68" s="54">
        <v>65</v>
      </c>
      <c r="B68" s="166">
        <f>Hakemler!B68</f>
        <v>0</v>
      </c>
      <c r="C68" s="166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3"/>
      <c r="O68" s="73"/>
      <c r="P68" s="71">
        <f>1-(SUM(IF(D68-Uzman_D!$B$4&lt;0,-(D68-Uzman_D!$B$4),D68-Uzman_D!$B$4)*0.1+IF(E68-Uzman_D!$C$4&lt;0,-(E68-Uzman_D!$C$4),E68-Uzman_D!$C$4)*0.1+IF(F68-Uzman_D!$D$4&lt;0,-(F68-Uzman_D!$D$4),F68-Uzman_D!$D$4)*0.1+IF(G68-Uzman_D!$E$4&lt;0,-(G68-Uzman_D!$E$4),G68-Uzman_D!$E$4)*0.1+IF(H68-Uzman_D!$F$4&lt;0,-(H68-Uzman_D!$F$4),H68-Uzman_D!$F$4)*0.1+IF(I68-Uzman_D!$G$4&lt;0,-(I68-Uzman_D!$G$4),I68-Uzman_D!$G$4)*0.1+IF(J68-Uzman_D!$H$4&lt;0,-(J68-Uzman_D!$H$4),J68-Uzman_D!$H$4)*0.1+IF(K68-Uzman_D!$I$4&lt;0,-(K68-Uzman_D!$I$4),K68-Uzman_D!$I$4)*0.1+IF(L68-Uzman_D!$J$4&lt;0,-(L68-Uzman_D!$J$4),L68-Uzman_D!$J$4)*0.1)+IF(ROUND((IF(N68-Uzman_D!$L$4&lt;0,-(N68-Uzman_D!$L$4),N68-Uzman_D!$L$4)*2),0)/2=IF(N68-Uzman_D!$L$4&lt;0,-(N68-Uzman_D!$L$4),N68-Uzman_D!$L$4),(ROUND((IF(N68-Uzman_D!$L$4&lt;0,-(N68-Uzman_D!$L$4),N68-Uzman_D!$L$4)*2),0)/1*0.1),0)+IF(O68-Uzman_D!$M$4&lt;0,-(O68-Uzman_D!$M$4),O68-Uzman_D!$M$4)*1)</f>
        <v>-0.19999999999999996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3"/>
      <c r="AB68" s="73"/>
      <c r="AC68" s="71">
        <f>1-(SUM(IF(Q68-Uzman_D!$B$5&lt;0,-(Q68-Uzman_D!$B$5),Q68-Uzman_D!$B$5)*0.1+IF(R68-Uzman_D!$C$5&lt;0,-(R68-Uzman_D!$C$5),R68-Uzman_D!$C$5)*0.1+IF(S68-Uzman_D!$D$5&lt;0,-(S68-Uzman_D!$D$5),S68-Uzman_D!$D$5)*0.1+IF(T68-Uzman_D!$E$5&lt;0,-(T68-Uzman_D!$E$5),T68-Uzman_D!$E$5)*0.1+IF(U68-Uzman_D!$F$5&lt;0,-(U68-Uzman_D!$F$5),U68-Uzman_D!$F$5)*0.1+IF(V68-Uzman_D!$G$5&lt;0,-(V68-Uzman_D!$G$5),V68-Uzman_D!$G$5)*0.1+IF(W68-Uzman_D!$H$5&lt;0,-(W68-Uzman_D!$H$5),W68-Uzman_D!$H$5)*0.1+IF(X68-Uzman_D!$I$5&lt;0,-(X68-Uzman_D!$I$5),X68-Uzman_D!$I$5)*0.1+IF(Y68-Uzman_D!$J$5&lt;0,-(Y68-Uzman_D!$J$5),Y68-Uzman_D!$J$5)*0.1)+IF(ROUND((IF(AA68-Uzman_D!$L$5&lt;0,-(AA68-Uzman_D!$L$5),AA68-Uzman_D!$L$5)*2),0)/2=IF(AA68-Uzman_D!$L$5&lt;0,-(AA68-Uzman_D!$L$5),AA68-Uzman_D!$L$5),(ROUND((IF(AA68-Uzman_D!$L$5&lt;0,-(AA68-Uzman_D!$L$5),AA68-Uzman_D!$L$5)*2),0)/1*0.1),0)+IF(AB68-Uzman_D!$M$5&lt;0,-(AB68-Uzman_D!$M$5),AB68-Uzman_D!$M$5)*1)</f>
        <v>-0.40000000000000013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3"/>
      <c r="AO68" s="73"/>
      <c r="AP68" s="71">
        <f>1-(SUM(IF(AD68-Uzman_D!$B$6&lt;0,-(AD68-Uzman_D!$B$6),AD68-Uzman_D!$B$6)*0.1+IF(AE68-Uzman_D!$C$6&lt;0,-(AE68-Uzman_D!$C$6),AE68-Uzman_D!$C$6)*0.1+IF(AF68-Uzman_D!$D$6&lt;0,-(AF68-Uzman_D!$D$6),AF68-Uzman_D!$D$6)*0.1+IF(AG68-Uzman_D!$E$6&lt;0,-(AG68-Uzman_D!$E$6),AG68-Uzman_D!$E$6)*0.1+IF(AH68-Uzman_D!$F$6&lt;0,-(AH68-Uzman_D!$F$6),AH68-Uzman_D!$F$6)*0.1+IF(AI68-Uzman_D!$G$6&lt;0,-(AI68-Uzman_D!$G$6),AI68-Uzman_D!$G$6)*0.1+IF(AJ68-Uzman_D!$H$6&lt;0,-(AJ68-Uzman_D!$H$6),AJ68-Uzman_D!$H$6)*0.1+IF(AK68-Uzman_D!$I$6&lt;0,-(AK68-Uzman_D!$I$6),AK68-Uzman_D!$I$6)*0.1+IF(AL68-Uzman_D!$J$6&lt;0,-(AL68-Uzman_D!$J$6),AL68-Uzman_D!$J$6)*0.1)+IF(ROUND((IF(AN68-Uzman_D!$L$6&lt;0,-(AN68-Uzman_D!$L$6),AN68-Uzman_D!$L$6)*2),0)/2=IF(AN68-Uzman_D!$L$6&lt;0,-(AN68-Uzman_D!$L$6),AN68-Uzman_D!$L$6),(ROUND((IF(AN68-Uzman_D!$L$6&lt;0,-(AN68-Uzman_D!$L$6),AN68-Uzman_D!$L$6)*2),0)/1*0.1),0)+IF(AO68-Uzman_D!$M$6&lt;0,-(AO68-Uzman_D!$M$6),AO68-Uzman_D!$M$6)*1)</f>
        <v>-0.10000000000000009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3"/>
      <c r="BB68" s="73"/>
      <c r="BC68" s="71">
        <f>1-(SUM(IF(AQ68-Uzman_D!$B$7&lt;0,-(AQ68-Uzman_D!$B$7),AQ68-Uzman_D!$B$7)*0.1+IF(AR68-Uzman_D!$C$7&lt;0,-(AR68-Uzman_D!$C$7),AR68-Uzman_D!$C$7)*0.1+IF(AS68-Uzman_D!$D$7&lt;0,-(AS68-Uzman_D!$D$7),AS68-Uzman_D!$D$7)*0.1+IF(AT68-Uzman_D!$E$7&lt;0,-(AT68-Uzman_D!$E$7),AT68-Uzman_D!$E$7)*0.1+IF(AU68-Uzman_D!$F$7&lt;0,-(AU68-Uzman_D!$F$7),AU68-Uzman_D!$F$7)*0.1+IF(AV68-Uzman_D!$G$7&lt;0,-(AV68-Uzman_D!$G$7),AV68-Uzman_D!$G$7)*0.1+IF(AW68-Uzman_D!$H$7&lt;0,-(AW68-Uzman_D!$H$7),AW68-Uzman_D!$H$7)*0.1+IF(AX68-Uzman_D!$I$7&lt;0,-(AX68-Uzman_D!$I$7),AX68-Uzman_D!$I$7)*0.1+IF(AY68-Uzman_D!$J$7&lt;0,-(AY68-Uzman_D!$J$7),AY68-Uzman_D!$J$7)*0.1)+IF(ROUND((IF(BA68-Uzman_D!$L$7&lt;0,-(BA68-Uzman_D!$L$7),BA68-Uzman_D!$L$7)*2),0)/2=IF(BA68-Uzman_D!$L$7&lt;0,-(BA68-Uzman_D!$L$7),BA68-Uzman_D!$L$7),(ROUND((IF(BA68-Uzman_D!$L$7&lt;0,-(BA68-Uzman_D!$L$7),BA68-Uzman_D!$L$7)*2),0)/1*0.1),0)+IF(BB68-Uzman_D!$M$7&lt;0,-(BB68-Uzman_D!$M$7),BB68-Uzman_D!$M$7)*1)</f>
        <v>-0.7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3"/>
      <c r="BO68" s="73"/>
      <c r="BP68" s="71">
        <f>1-(SUM(IF(BD68-Uzman_D!$B$8&lt;0,-(BD68-Uzman_D!$B$8),BD68-Uzman_D!$B$8)*0.1+IF(BE68-Uzman_D!$C$8&lt;0,-(BE68-Uzman_D!$C$8),BE68-Uzman_D!$C$8)*0.1+IF(BF68-Uzman_D!$D$8&lt;0,-(BF68-Uzman_D!$D$8),BF68-Uzman_D!$D$8)*0.1+IF(BG68-Uzman_D!$E$8&lt;0,-(BG68-Uzman_D!$E$8),BG68-Uzman_D!$E$8)*0.1+IF(BH68-Uzman_D!$F$8&lt;0,-(BH68-Uzman_D!$F$8),BH68-Uzman_D!$F$8)*0.1+IF(BI68-Uzman_D!$G$8&lt;0,-(BI68-Uzman_D!$G$8),BI68-Uzman_D!$G$8)*0.1+IF(BJ68-Uzman_D!$H$8&lt;0,-(BJ68-Uzman_D!$H$8),BJ68-Uzman_D!$H$8)*0.1+IF(BK68-Uzman_D!$I$8&lt;0,-(BK68-Uzman_D!$I$8),BK68-Uzman_D!$I$8)*0.1+IF(BL68-Uzman_D!$J$8&lt;0,-(BL68-Uzman_D!$J$8),BL68-Uzman_D!$J$8)*0.1)+IF(ROUND((IF(BN68-Uzman_D!$L$8&lt;0,-(BN68-Uzman_D!$L$8),BN68-Uzman_D!$L$8)*2),0)/2=IF(BN68-Uzman_D!$L$8&lt;0,-(BN68-Uzman_D!$L$8),BN68-Uzman_D!$L$8),(ROUND((IF(BN68-Uzman_D!$L$8&lt;0,-(BN68-Uzman_D!$L$8),BN68-Uzman_D!$L$8)*2),0)/1*0.1),0)+IF(BO68-Uzman_D!$M$8&lt;0,-(BO68-Uzman_D!$M$8),BO68-Uzman_D!$M$8)*1)</f>
        <v>-1</v>
      </c>
      <c r="BQ68" s="72">
        <f t="shared" ref="BQ68:BQ99" si="2">(P68+AC68+AP68+BC68+BP68)/5</f>
        <v>-0.48000000000000009</v>
      </c>
    </row>
    <row r="69" spans="1:69" ht="15" customHeight="1" x14ac:dyDescent="0.45">
      <c r="A69" s="54">
        <v>66</v>
      </c>
      <c r="B69" s="166">
        <f>Hakemler!B69</f>
        <v>0</v>
      </c>
      <c r="C69" s="166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3"/>
      <c r="O69" s="73"/>
      <c r="P69" s="71">
        <f>1-(SUM(IF(D69-Uzman_D!$B$4&lt;0,-(D69-Uzman_D!$B$4),D69-Uzman_D!$B$4)*0.1+IF(E69-Uzman_D!$C$4&lt;0,-(E69-Uzman_D!$C$4),E69-Uzman_D!$C$4)*0.1+IF(F69-Uzman_D!$D$4&lt;0,-(F69-Uzman_D!$D$4),F69-Uzman_D!$D$4)*0.1+IF(G69-Uzman_D!$E$4&lt;0,-(G69-Uzman_D!$E$4),G69-Uzman_D!$E$4)*0.1+IF(H69-Uzman_D!$F$4&lt;0,-(H69-Uzman_D!$F$4),H69-Uzman_D!$F$4)*0.1+IF(I69-Uzman_D!$G$4&lt;0,-(I69-Uzman_D!$G$4),I69-Uzman_D!$G$4)*0.1+IF(J69-Uzman_D!$H$4&lt;0,-(J69-Uzman_D!$H$4),J69-Uzman_D!$H$4)*0.1+IF(K69-Uzman_D!$I$4&lt;0,-(K69-Uzman_D!$I$4),K69-Uzman_D!$I$4)*0.1+IF(L69-Uzman_D!$J$4&lt;0,-(L69-Uzman_D!$J$4),L69-Uzman_D!$J$4)*0.1)+IF(ROUND((IF(N69-Uzman_D!$L$4&lt;0,-(N69-Uzman_D!$L$4),N69-Uzman_D!$L$4)*2),0)/2=IF(N69-Uzman_D!$L$4&lt;0,-(N69-Uzman_D!$L$4),N69-Uzman_D!$L$4),(ROUND((IF(N69-Uzman_D!$L$4&lt;0,-(N69-Uzman_D!$L$4),N69-Uzman_D!$L$4)*2),0)/1*0.1),0)+IF(O69-Uzman_D!$M$4&lt;0,-(O69-Uzman_D!$M$4),O69-Uzman_D!$M$4)*1)</f>
        <v>-0.19999999999999996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3"/>
      <c r="AB69" s="73"/>
      <c r="AC69" s="71">
        <f>1-(SUM(IF(Q69-Uzman_D!$B$5&lt;0,-(Q69-Uzman_D!$B$5),Q69-Uzman_D!$B$5)*0.1+IF(R69-Uzman_D!$C$5&lt;0,-(R69-Uzman_D!$C$5),R69-Uzman_D!$C$5)*0.1+IF(S69-Uzman_D!$D$5&lt;0,-(S69-Uzman_D!$D$5),S69-Uzman_D!$D$5)*0.1+IF(T69-Uzman_D!$E$5&lt;0,-(T69-Uzman_D!$E$5),T69-Uzman_D!$E$5)*0.1+IF(U69-Uzman_D!$F$5&lt;0,-(U69-Uzman_D!$F$5),U69-Uzman_D!$F$5)*0.1+IF(V69-Uzman_D!$G$5&lt;0,-(V69-Uzman_D!$G$5),V69-Uzman_D!$G$5)*0.1+IF(W69-Uzman_D!$H$5&lt;0,-(W69-Uzman_D!$H$5),W69-Uzman_D!$H$5)*0.1+IF(X69-Uzman_D!$I$5&lt;0,-(X69-Uzman_D!$I$5),X69-Uzman_D!$I$5)*0.1+IF(Y69-Uzman_D!$J$5&lt;0,-(Y69-Uzman_D!$J$5),Y69-Uzman_D!$J$5)*0.1)+IF(ROUND((IF(AA69-Uzman_D!$L$5&lt;0,-(AA69-Uzman_D!$L$5),AA69-Uzman_D!$L$5)*2),0)/2=IF(AA69-Uzman_D!$L$5&lt;0,-(AA69-Uzman_D!$L$5),AA69-Uzman_D!$L$5),(ROUND((IF(AA69-Uzman_D!$L$5&lt;0,-(AA69-Uzman_D!$L$5),AA69-Uzman_D!$L$5)*2),0)/1*0.1),0)+IF(AB69-Uzman_D!$M$5&lt;0,-(AB69-Uzman_D!$M$5),AB69-Uzman_D!$M$5)*1)</f>
        <v>-0.40000000000000013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3"/>
      <c r="AO69" s="73"/>
      <c r="AP69" s="71">
        <f>1-(SUM(IF(AD69-Uzman_D!$B$6&lt;0,-(AD69-Uzman_D!$B$6),AD69-Uzman_D!$B$6)*0.1+IF(AE69-Uzman_D!$C$6&lt;0,-(AE69-Uzman_D!$C$6),AE69-Uzman_D!$C$6)*0.1+IF(AF69-Uzman_D!$D$6&lt;0,-(AF69-Uzman_D!$D$6),AF69-Uzman_D!$D$6)*0.1+IF(AG69-Uzman_D!$E$6&lt;0,-(AG69-Uzman_D!$E$6),AG69-Uzman_D!$E$6)*0.1+IF(AH69-Uzman_D!$F$6&lt;0,-(AH69-Uzman_D!$F$6),AH69-Uzman_D!$F$6)*0.1+IF(AI69-Uzman_D!$G$6&lt;0,-(AI69-Uzman_D!$G$6),AI69-Uzman_D!$G$6)*0.1+IF(AJ69-Uzman_D!$H$6&lt;0,-(AJ69-Uzman_D!$H$6),AJ69-Uzman_D!$H$6)*0.1+IF(AK69-Uzman_D!$I$6&lt;0,-(AK69-Uzman_D!$I$6),AK69-Uzman_D!$I$6)*0.1+IF(AL69-Uzman_D!$J$6&lt;0,-(AL69-Uzman_D!$J$6),AL69-Uzman_D!$J$6)*0.1)+IF(ROUND((IF(AN69-Uzman_D!$L$6&lt;0,-(AN69-Uzman_D!$L$6),AN69-Uzman_D!$L$6)*2),0)/2=IF(AN69-Uzman_D!$L$6&lt;0,-(AN69-Uzman_D!$L$6),AN69-Uzman_D!$L$6),(ROUND((IF(AN69-Uzman_D!$L$6&lt;0,-(AN69-Uzman_D!$L$6),AN69-Uzman_D!$L$6)*2),0)/1*0.1),0)+IF(AO69-Uzman_D!$M$6&lt;0,-(AO69-Uzman_D!$M$6),AO69-Uzman_D!$M$6)*1)</f>
        <v>-0.10000000000000009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3"/>
      <c r="BB69" s="73"/>
      <c r="BC69" s="71">
        <f>1-(SUM(IF(AQ69-Uzman_D!$B$7&lt;0,-(AQ69-Uzman_D!$B$7),AQ69-Uzman_D!$B$7)*0.1+IF(AR69-Uzman_D!$C$7&lt;0,-(AR69-Uzman_D!$C$7),AR69-Uzman_D!$C$7)*0.1+IF(AS69-Uzman_D!$D$7&lt;0,-(AS69-Uzman_D!$D$7),AS69-Uzman_D!$D$7)*0.1+IF(AT69-Uzman_D!$E$7&lt;0,-(AT69-Uzman_D!$E$7),AT69-Uzman_D!$E$7)*0.1+IF(AU69-Uzman_D!$F$7&lt;0,-(AU69-Uzman_D!$F$7),AU69-Uzman_D!$F$7)*0.1+IF(AV69-Uzman_D!$G$7&lt;0,-(AV69-Uzman_D!$G$7),AV69-Uzman_D!$G$7)*0.1+IF(AW69-Uzman_D!$H$7&lt;0,-(AW69-Uzman_D!$H$7),AW69-Uzman_D!$H$7)*0.1+IF(AX69-Uzman_D!$I$7&lt;0,-(AX69-Uzman_D!$I$7),AX69-Uzman_D!$I$7)*0.1+IF(AY69-Uzman_D!$J$7&lt;0,-(AY69-Uzman_D!$J$7),AY69-Uzman_D!$J$7)*0.1)+IF(ROUND((IF(BA69-Uzman_D!$L$7&lt;0,-(BA69-Uzman_D!$L$7),BA69-Uzman_D!$L$7)*2),0)/2=IF(BA69-Uzman_D!$L$7&lt;0,-(BA69-Uzman_D!$L$7),BA69-Uzman_D!$L$7),(ROUND((IF(BA69-Uzman_D!$L$7&lt;0,-(BA69-Uzman_D!$L$7),BA69-Uzman_D!$L$7)*2),0)/1*0.1),0)+IF(BB69-Uzman_D!$M$7&lt;0,-(BB69-Uzman_D!$M$7),BB69-Uzman_D!$M$7)*1)</f>
        <v>-0.7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3"/>
      <c r="BO69" s="73"/>
      <c r="BP69" s="71">
        <f>1-(SUM(IF(BD69-Uzman_D!$B$8&lt;0,-(BD69-Uzman_D!$B$8),BD69-Uzman_D!$B$8)*0.1+IF(BE69-Uzman_D!$C$8&lt;0,-(BE69-Uzman_D!$C$8),BE69-Uzman_D!$C$8)*0.1+IF(BF69-Uzman_D!$D$8&lt;0,-(BF69-Uzman_D!$D$8),BF69-Uzman_D!$D$8)*0.1+IF(BG69-Uzman_D!$E$8&lt;0,-(BG69-Uzman_D!$E$8),BG69-Uzman_D!$E$8)*0.1+IF(BH69-Uzman_D!$F$8&lt;0,-(BH69-Uzman_D!$F$8),BH69-Uzman_D!$F$8)*0.1+IF(BI69-Uzman_D!$G$8&lt;0,-(BI69-Uzman_D!$G$8),BI69-Uzman_D!$G$8)*0.1+IF(BJ69-Uzman_D!$H$8&lt;0,-(BJ69-Uzman_D!$H$8),BJ69-Uzman_D!$H$8)*0.1+IF(BK69-Uzman_D!$I$8&lt;0,-(BK69-Uzman_D!$I$8),BK69-Uzman_D!$I$8)*0.1+IF(BL69-Uzman_D!$J$8&lt;0,-(BL69-Uzman_D!$J$8),BL69-Uzman_D!$J$8)*0.1)+IF(ROUND((IF(BN69-Uzman_D!$L$8&lt;0,-(BN69-Uzman_D!$L$8),BN69-Uzman_D!$L$8)*2),0)/2=IF(BN69-Uzman_D!$L$8&lt;0,-(BN69-Uzman_D!$L$8),BN69-Uzman_D!$L$8),(ROUND((IF(BN69-Uzman_D!$L$8&lt;0,-(BN69-Uzman_D!$L$8),BN69-Uzman_D!$L$8)*2),0)/1*0.1),0)+IF(BO69-Uzman_D!$M$8&lt;0,-(BO69-Uzman_D!$M$8),BO69-Uzman_D!$M$8)*1)</f>
        <v>-1</v>
      </c>
      <c r="BQ69" s="72">
        <f t="shared" si="2"/>
        <v>-0.48000000000000009</v>
      </c>
    </row>
    <row r="70" spans="1:69" ht="15" customHeight="1" x14ac:dyDescent="0.45">
      <c r="A70" s="54">
        <v>67</v>
      </c>
      <c r="B70" s="166">
        <f>Hakemler!B70</f>
        <v>0</v>
      </c>
      <c r="C70" s="166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3"/>
      <c r="O70" s="73"/>
      <c r="P70" s="71">
        <f>1-(SUM(IF(D70-Uzman_D!$B$4&lt;0,-(D70-Uzman_D!$B$4),D70-Uzman_D!$B$4)*0.1+IF(E70-Uzman_D!$C$4&lt;0,-(E70-Uzman_D!$C$4),E70-Uzman_D!$C$4)*0.1+IF(F70-Uzman_D!$D$4&lt;0,-(F70-Uzman_D!$D$4),F70-Uzman_D!$D$4)*0.1+IF(G70-Uzman_D!$E$4&lt;0,-(G70-Uzman_D!$E$4),G70-Uzman_D!$E$4)*0.1+IF(H70-Uzman_D!$F$4&lt;0,-(H70-Uzman_D!$F$4),H70-Uzman_D!$F$4)*0.1+IF(I70-Uzman_D!$G$4&lt;0,-(I70-Uzman_D!$G$4),I70-Uzman_D!$G$4)*0.1+IF(J70-Uzman_D!$H$4&lt;0,-(J70-Uzman_D!$H$4),J70-Uzman_D!$H$4)*0.1+IF(K70-Uzman_D!$I$4&lt;0,-(K70-Uzman_D!$I$4),K70-Uzman_D!$I$4)*0.1+IF(L70-Uzman_D!$J$4&lt;0,-(L70-Uzman_D!$J$4),L70-Uzman_D!$J$4)*0.1)+IF(ROUND((IF(N70-Uzman_D!$L$4&lt;0,-(N70-Uzman_D!$L$4),N70-Uzman_D!$L$4)*2),0)/2=IF(N70-Uzman_D!$L$4&lt;0,-(N70-Uzman_D!$L$4),N70-Uzman_D!$L$4),(ROUND((IF(N70-Uzman_D!$L$4&lt;0,-(N70-Uzman_D!$L$4),N70-Uzman_D!$L$4)*2),0)/1*0.1),0)+IF(O70-Uzman_D!$M$4&lt;0,-(O70-Uzman_D!$M$4),O70-Uzman_D!$M$4)*1)</f>
        <v>-0.19999999999999996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3"/>
      <c r="AB70" s="73"/>
      <c r="AC70" s="71">
        <f>1-(SUM(IF(Q70-Uzman_D!$B$5&lt;0,-(Q70-Uzman_D!$B$5),Q70-Uzman_D!$B$5)*0.1+IF(R70-Uzman_D!$C$5&lt;0,-(R70-Uzman_D!$C$5),R70-Uzman_D!$C$5)*0.1+IF(S70-Uzman_D!$D$5&lt;0,-(S70-Uzman_D!$D$5),S70-Uzman_D!$D$5)*0.1+IF(T70-Uzman_D!$E$5&lt;0,-(T70-Uzman_D!$E$5),T70-Uzman_D!$E$5)*0.1+IF(U70-Uzman_D!$F$5&lt;0,-(U70-Uzman_D!$F$5),U70-Uzman_D!$F$5)*0.1+IF(V70-Uzman_D!$G$5&lt;0,-(V70-Uzman_D!$G$5),V70-Uzman_D!$G$5)*0.1+IF(W70-Uzman_D!$H$5&lt;0,-(W70-Uzman_D!$H$5),W70-Uzman_D!$H$5)*0.1+IF(X70-Uzman_D!$I$5&lt;0,-(X70-Uzman_D!$I$5),X70-Uzman_D!$I$5)*0.1+IF(Y70-Uzman_D!$J$5&lt;0,-(Y70-Uzman_D!$J$5),Y70-Uzman_D!$J$5)*0.1)+IF(ROUND((IF(AA70-Uzman_D!$L$5&lt;0,-(AA70-Uzman_D!$L$5),AA70-Uzman_D!$L$5)*2),0)/2=IF(AA70-Uzman_D!$L$5&lt;0,-(AA70-Uzman_D!$L$5),AA70-Uzman_D!$L$5),(ROUND((IF(AA70-Uzman_D!$L$5&lt;0,-(AA70-Uzman_D!$L$5),AA70-Uzman_D!$L$5)*2),0)/1*0.1),0)+IF(AB70-Uzman_D!$M$5&lt;0,-(AB70-Uzman_D!$M$5),AB70-Uzman_D!$M$5)*1)</f>
        <v>-0.40000000000000013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3"/>
      <c r="AO70" s="73"/>
      <c r="AP70" s="71">
        <f>1-(SUM(IF(AD70-Uzman_D!$B$6&lt;0,-(AD70-Uzman_D!$B$6),AD70-Uzman_D!$B$6)*0.1+IF(AE70-Uzman_D!$C$6&lt;0,-(AE70-Uzman_D!$C$6),AE70-Uzman_D!$C$6)*0.1+IF(AF70-Uzman_D!$D$6&lt;0,-(AF70-Uzman_D!$D$6),AF70-Uzman_D!$D$6)*0.1+IF(AG70-Uzman_D!$E$6&lt;0,-(AG70-Uzman_D!$E$6),AG70-Uzman_D!$E$6)*0.1+IF(AH70-Uzman_D!$F$6&lt;0,-(AH70-Uzman_D!$F$6),AH70-Uzman_D!$F$6)*0.1+IF(AI70-Uzman_D!$G$6&lt;0,-(AI70-Uzman_D!$G$6),AI70-Uzman_D!$G$6)*0.1+IF(AJ70-Uzman_D!$H$6&lt;0,-(AJ70-Uzman_D!$H$6),AJ70-Uzman_D!$H$6)*0.1+IF(AK70-Uzman_D!$I$6&lt;0,-(AK70-Uzman_D!$I$6),AK70-Uzman_D!$I$6)*0.1+IF(AL70-Uzman_D!$J$6&lt;0,-(AL70-Uzman_D!$J$6),AL70-Uzman_D!$J$6)*0.1)+IF(ROUND((IF(AN70-Uzman_D!$L$6&lt;0,-(AN70-Uzman_D!$L$6),AN70-Uzman_D!$L$6)*2),0)/2=IF(AN70-Uzman_D!$L$6&lt;0,-(AN70-Uzman_D!$L$6),AN70-Uzman_D!$L$6),(ROUND((IF(AN70-Uzman_D!$L$6&lt;0,-(AN70-Uzman_D!$L$6),AN70-Uzman_D!$L$6)*2),0)/1*0.1),0)+IF(AO70-Uzman_D!$M$6&lt;0,-(AO70-Uzman_D!$M$6),AO70-Uzman_D!$M$6)*1)</f>
        <v>-0.10000000000000009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3"/>
      <c r="BB70" s="73"/>
      <c r="BC70" s="71">
        <f>1-(SUM(IF(AQ70-Uzman_D!$B$7&lt;0,-(AQ70-Uzman_D!$B$7),AQ70-Uzman_D!$B$7)*0.1+IF(AR70-Uzman_D!$C$7&lt;0,-(AR70-Uzman_D!$C$7),AR70-Uzman_D!$C$7)*0.1+IF(AS70-Uzman_D!$D$7&lt;0,-(AS70-Uzman_D!$D$7),AS70-Uzman_D!$D$7)*0.1+IF(AT70-Uzman_D!$E$7&lt;0,-(AT70-Uzman_D!$E$7),AT70-Uzman_D!$E$7)*0.1+IF(AU70-Uzman_D!$F$7&lt;0,-(AU70-Uzman_D!$F$7),AU70-Uzman_D!$F$7)*0.1+IF(AV70-Uzman_D!$G$7&lt;0,-(AV70-Uzman_D!$G$7),AV70-Uzman_D!$G$7)*0.1+IF(AW70-Uzman_D!$H$7&lt;0,-(AW70-Uzman_D!$H$7),AW70-Uzman_D!$H$7)*0.1+IF(AX70-Uzman_D!$I$7&lt;0,-(AX70-Uzman_D!$I$7),AX70-Uzman_D!$I$7)*0.1+IF(AY70-Uzman_D!$J$7&lt;0,-(AY70-Uzman_D!$J$7),AY70-Uzman_D!$J$7)*0.1)+IF(ROUND((IF(BA70-Uzman_D!$L$7&lt;0,-(BA70-Uzman_D!$L$7),BA70-Uzman_D!$L$7)*2),0)/2=IF(BA70-Uzman_D!$L$7&lt;0,-(BA70-Uzman_D!$L$7),BA70-Uzman_D!$L$7),(ROUND((IF(BA70-Uzman_D!$L$7&lt;0,-(BA70-Uzman_D!$L$7),BA70-Uzman_D!$L$7)*2),0)/1*0.1),0)+IF(BB70-Uzman_D!$M$7&lt;0,-(BB70-Uzman_D!$M$7),BB70-Uzman_D!$M$7)*1)</f>
        <v>-0.7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3"/>
      <c r="BO70" s="73"/>
      <c r="BP70" s="71">
        <f>1-(SUM(IF(BD70-Uzman_D!$B$8&lt;0,-(BD70-Uzman_D!$B$8),BD70-Uzman_D!$B$8)*0.1+IF(BE70-Uzman_D!$C$8&lt;0,-(BE70-Uzman_D!$C$8),BE70-Uzman_D!$C$8)*0.1+IF(BF70-Uzman_D!$D$8&lt;0,-(BF70-Uzman_D!$D$8),BF70-Uzman_D!$D$8)*0.1+IF(BG70-Uzman_D!$E$8&lt;0,-(BG70-Uzman_D!$E$8),BG70-Uzman_D!$E$8)*0.1+IF(BH70-Uzman_D!$F$8&lt;0,-(BH70-Uzman_D!$F$8),BH70-Uzman_D!$F$8)*0.1+IF(BI70-Uzman_D!$G$8&lt;0,-(BI70-Uzman_D!$G$8),BI70-Uzman_D!$G$8)*0.1+IF(BJ70-Uzman_D!$H$8&lt;0,-(BJ70-Uzman_D!$H$8),BJ70-Uzman_D!$H$8)*0.1+IF(BK70-Uzman_D!$I$8&lt;0,-(BK70-Uzman_D!$I$8),BK70-Uzman_D!$I$8)*0.1+IF(BL70-Uzman_D!$J$8&lt;0,-(BL70-Uzman_D!$J$8),BL70-Uzman_D!$J$8)*0.1)+IF(ROUND((IF(BN70-Uzman_D!$L$8&lt;0,-(BN70-Uzman_D!$L$8),BN70-Uzman_D!$L$8)*2),0)/2=IF(BN70-Uzman_D!$L$8&lt;0,-(BN70-Uzman_D!$L$8),BN70-Uzman_D!$L$8),(ROUND((IF(BN70-Uzman_D!$L$8&lt;0,-(BN70-Uzman_D!$L$8),BN70-Uzman_D!$L$8)*2),0)/1*0.1),0)+IF(BO70-Uzman_D!$M$8&lt;0,-(BO70-Uzman_D!$M$8),BO70-Uzman_D!$M$8)*1)</f>
        <v>-1</v>
      </c>
      <c r="BQ70" s="72">
        <f t="shared" si="2"/>
        <v>-0.48000000000000009</v>
      </c>
    </row>
    <row r="71" spans="1:69" ht="15" customHeight="1" x14ac:dyDescent="0.45">
      <c r="A71" s="54">
        <v>68</v>
      </c>
      <c r="B71" s="166">
        <f>Hakemler!B71</f>
        <v>0</v>
      </c>
      <c r="C71" s="166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3"/>
      <c r="O71" s="73"/>
      <c r="P71" s="71">
        <f>1-(SUM(IF(D71-Uzman_D!$B$4&lt;0,-(D71-Uzman_D!$B$4),D71-Uzman_D!$B$4)*0.1+IF(E71-Uzman_D!$C$4&lt;0,-(E71-Uzman_D!$C$4),E71-Uzman_D!$C$4)*0.1+IF(F71-Uzman_D!$D$4&lt;0,-(F71-Uzman_D!$D$4),F71-Uzman_D!$D$4)*0.1+IF(G71-Uzman_D!$E$4&lt;0,-(G71-Uzman_D!$E$4),G71-Uzman_D!$E$4)*0.1+IF(H71-Uzman_D!$F$4&lt;0,-(H71-Uzman_D!$F$4),H71-Uzman_D!$F$4)*0.1+IF(I71-Uzman_D!$G$4&lt;0,-(I71-Uzman_D!$G$4),I71-Uzman_D!$G$4)*0.1+IF(J71-Uzman_D!$H$4&lt;0,-(J71-Uzman_D!$H$4),J71-Uzman_D!$H$4)*0.1+IF(K71-Uzman_D!$I$4&lt;0,-(K71-Uzman_D!$I$4),K71-Uzman_D!$I$4)*0.1+IF(L71-Uzman_D!$J$4&lt;0,-(L71-Uzman_D!$J$4),L71-Uzman_D!$J$4)*0.1)+IF(ROUND((IF(N71-Uzman_D!$L$4&lt;0,-(N71-Uzman_D!$L$4),N71-Uzman_D!$L$4)*2),0)/2=IF(N71-Uzman_D!$L$4&lt;0,-(N71-Uzman_D!$L$4),N71-Uzman_D!$L$4),(ROUND((IF(N71-Uzman_D!$L$4&lt;0,-(N71-Uzman_D!$L$4),N71-Uzman_D!$L$4)*2),0)/1*0.1),0)+IF(O71-Uzman_D!$M$4&lt;0,-(O71-Uzman_D!$M$4),O71-Uzman_D!$M$4)*1)</f>
        <v>-0.19999999999999996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3"/>
      <c r="AB71" s="73"/>
      <c r="AC71" s="71">
        <f>1-(SUM(IF(Q71-Uzman_D!$B$5&lt;0,-(Q71-Uzman_D!$B$5),Q71-Uzman_D!$B$5)*0.1+IF(R71-Uzman_D!$C$5&lt;0,-(R71-Uzman_D!$C$5),R71-Uzman_D!$C$5)*0.1+IF(S71-Uzman_D!$D$5&lt;0,-(S71-Uzman_D!$D$5),S71-Uzman_D!$D$5)*0.1+IF(T71-Uzman_D!$E$5&lt;0,-(T71-Uzman_D!$E$5),T71-Uzman_D!$E$5)*0.1+IF(U71-Uzman_D!$F$5&lt;0,-(U71-Uzman_D!$F$5),U71-Uzman_D!$F$5)*0.1+IF(V71-Uzman_D!$G$5&lt;0,-(V71-Uzman_D!$G$5),V71-Uzman_D!$G$5)*0.1+IF(W71-Uzman_D!$H$5&lt;0,-(W71-Uzman_D!$H$5),W71-Uzman_D!$H$5)*0.1+IF(X71-Uzman_D!$I$5&lt;0,-(X71-Uzman_D!$I$5),X71-Uzman_D!$I$5)*0.1+IF(Y71-Uzman_D!$J$5&lt;0,-(Y71-Uzman_D!$J$5),Y71-Uzman_D!$J$5)*0.1)+IF(ROUND((IF(AA71-Uzman_D!$L$5&lt;0,-(AA71-Uzman_D!$L$5),AA71-Uzman_D!$L$5)*2),0)/2=IF(AA71-Uzman_D!$L$5&lt;0,-(AA71-Uzman_D!$L$5),AA71-Uzman_D!$L$5),(ROUND((IF(AA71-Uzman_D!$L$5&lt;0,-(AA71-Uzman_D!$L$5),AA71-Uzman_D!$L$5)*2),0)/1*0.1),0)+IF(AB71-Uzman_D!$M$5&lt;0,-(AB71-Uzman_D!$M$5),AB71-Uzman_D!$M$5)*1)</f>
        <v>-0.40000000000000013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3"/>
      <c r="AO71" s="73"/>
      <c r="AP71" s="71">
        <f>1-(SUM(IF(AD71-Uzman_D!$B$6&lt;0,-(AD71-Uzman_D!$B$6),AD71-Uzman_D!$B$6)*0.1+IF(AE71-Uzman_D!$C$6&lt;0,-(AE71-Uzman_D!$C$6),AE71-Uzman_D!$C$6)*0.1+IF(AF71-Uzman_D!$D$6&lt;0,-(AF71-Uzman_D!$D$6),AF71-Uzman_D!$D$6)*0.1+IF(AG71-Uzman_D!$E$6&lt;0,-(AG71-Uzman_D!$E$6),AG71-Uzman_D!$E$6)*0.1+IF(AH71-Uzman_D!$F$6&lt;0,-(AH71-Uzman_D!$F$6),AH71-Uzman_D!$F$6)*0.1+IF(AI71-Uzman_D!$G$6&lt;0,-(AI71-Uzman_D!$G$6),AI71-Uzman_D!$G$6)*0.1+IF(AJ71-Uzman_D!$H$6&lt;0,-(AJ71-Uzman_D!$H$6),AJ71-Uzman_D!$H$6)*0.1+IF(AK71-Uzman_D!$I$6&lt;0,-(AK71-Uzman_D!$I$6),AK71-Uzman_D!$I$6)*0.1+IF(AL71-Uzman_D!$J$6&lt;0,-(AL71-Uzman_D!$J$6),AL71-Uzman_D!$J$6)*0.1)+IF(ROUND((IF(AN71-Uzman_D!$L$6&lt;0,-(AN71-Uzman_D!$L$6),AN71-Uzman_D!$L$6)*2),0)/2=IF(AN71-Uzman_D!$L$6&lt;0,-(AN71-Uzman_D!$L$6),AN71-Uzman_D!$L$6),(ROUND((IF(AN71-Uzman_D!$L$6&lt;0,-(AN71-Uzman_D!$L$6),AN71-Uzman_D!$L$6)*2),0)/1*0.1),0)+IF(AO71-Uzman_D!$M$6&lt;0,-(AO71-Uzman_D!$M$6),AO71-Uzman_D!$M$6)*1)</f>
        <v>-0.10000000000000009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3"/>
      <c r="BB71" s="73"/>
      <c r="BC71" s="71">
        <f>1-(SUM(IF(AQ71-Uzman_D!$B$7&lt;0,-(AQ71-Uzman_D!$B$7),AQ71-Uzman_D!$B$7)*0.1+IF(AR71-Uzman_D!$C$7&lt;0,-(AR71-Uzman_D!$C$7),AR71-Uzman_D!$C$7)*0.1+IF(AS71-Uzman_D!$D$7&lt;0,-(AS71-Uzman_D!$D$7),AS71-Uzman_D!$D$7)*0.1+IF(AT71-Uzman_D!$E$7&lt;0,-(AT71-Uzman_D!$E$7),AT71-Uzman_D!$E$7)*0.1+IF(AU71-Uzman_D!$F$7&lt;0,-(AU71-Uzman_D!$F$7),AU71-Uzman_D!$F$7)*0.1+IF(AV71-Uzman_D!$G$7&lt;0,-(AV71-Uzman_D!$G$7),AV71-Uzman_D!$G$7)*0.1+IF(AW71-Uzman_D!$H$7&lt;0,-(AW71-Uzman_D!$H$7),AW71-Uzman_D!$H$7)*0.1+IF(AX71-Uzman_D!$I$7&lt;0,-(AX71-Uzman_D!$I$7),AX71-Uzman_D!$I$7)*0.1+IF(AY71-Uzman_D!$J$7&lt;0,-(AY71-Uzman_D!$J$7),AY71-Uzman_D!$J$7)*0.1)+IF(ROUND((IF(BA71-Uzman_D!$L$7&lt;0,-(BA71-Uzman_D!$L$7),BA71-Uzman_D!$L$7)*2),0)/2=IF(BA71-Uzman_D!$L$7&lt;0,-(BA71-Uzman_D!$L$7),BA71-Uzman_D!$L$7),(ROUND((IF(BA71-Uzman_D!$L$7&lt;0,-(BA71-Uzman_D!$L$7),BA71-Uzman_D!$L$7)*2),0)/1*0.1),0)+IF(BB71-Uzman_D!$M$7&lt;0,-(BB71-Uzman_D!$M$7),BB71-Uzman_D!$M$7)*1)</f>
        <v>-0.7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3"/>
      <c r="BO71" s="73"/>
      <c r="BP71" s="71">
        <f>1-(SUM(IF(BD71-Uzman_D!$B$8&lt;0,-(BD71-Uzman_D!$B$8),BD71-Uzman_D!$B$8)*0.1+IF(BE71-Uzman_D!$C$8&lt;0,-(BE71-Uzman_D!$C$8),BE71-Uzman_D!$C$8)*0.1+IF(BF71-Uzman_D!$D$8&lt;0,-(BF71-Uzman_D!$D$8),BF71-Uzman_D!$D$8)*0.1+IF(BG71-Uzman_D!$E$8&lt;0,-(BG71-Uzman_D!$E$8),BG71-Uzman_D!$E$8)*0.1+IF(BH71-Uzman_D!$F$8&lt;0,-(BH71-Uzman_D!$F$8),BH71-Uzman_D!$F$8)*0.1+IF(BI71-Uzman_D!$G$8&lt;0,-(BI71-Uzman_D!$G$8),BI71-Uzman_D!$G$8)*0.1+IF(BJ71-Uzman_D!$H$8&lt;0,-(BJ71-Uzman_D!$H$8),BJ71-Uzman_D!$H$8)*0.1+IF(BK71-Uzman_D!$I$8&lt;0,-(BK71-Uzman_D!$I$8),BK71-Uzman_D!$I$8)*0.1+IF(BL71-Uzman_D!$J$8&lt;0,-(BL71-Uzman_D!$J$8),BL71-Uzman_D!$J$8)*0.1)+IF(ROUND((IF(BN71-Uzman_D!$L$8&lt;0,-(BN71-Uzman_D!$L$8),BN71-Uzman_D!$L$8)*2),0)/2=IF(BN71-Uzman_D!$L$8&lt;0,-(BN71-Uzman_D!$L$8),BN71-Uzman_D!$L$8),(ROUND((IF(BN71-Uzman_D!$L$8&lt;0,-(BN71-Uzman_D!$L$8),BN71-Uzman_D!$L$8)*2),0)/1*0.1),0)+IF(BO71-Uzman_D!$M$8&lt;0,-(BO71-Uzman_D!$M$8),BO71-Uzman_D!$M$8)*1)</f>
        <v>-1</v>
      </c>
      <c r="BQ71" s="72">
        <f t="shared" si="2"/>
        <v>-0.48000000000000009</v>
      </c>
    </row>
    <row r="72" spans="1:69" ht="15" customHeight="1" x14ac:dyDescent="0.45">
      <c r="A72" s="54">
        <v>69</v>
      </c>
      <c r="B72" s="166">
        <f>Hakemler!B72</f>
        <v>0</v>
      </c>
      <c r="C72" s="166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3"/>
      <c r="O72" s="73"/>
      <c r="P72" s="71">
        <f>1-(SUM(IF(D72-Uzman_D!$B$4&lt;0,-(D72-Uzman_D!$B$4),D72-Uzman_D!$B$4)*0.1+IF(E72-Uzman_D!$C$4&lt;0,-(E72-Uzman_D!$C$4),E72-Uzman_D!$C$4)*0.1+IF(F72-Uzman_D!$D$4&lt;0,-(F72-Uzman_D!$D$4),F72-Uzman_D!$D$4)*0.1+IF(G72-Uzman_D!$E$4&lt;0,-(G72-Uzman_D!$E$4),G72-Uzman_D!$E$4)*0.1+IF(H72-Uzman_D!$F$4&lt;0,-(H72-Uzman_D!$F$4),H72-Uzman_D!$F$4)*0.1+IF(I72-Uzman_D!$G$4&lt;0,-(I72-Uzman_D!$G$4),I72-Uzman_D!$G$4)*0.1+IF(J72-Uzman_D!$H$4&lt;0,-(J72-Uzman_D!$H$4),J72-Uzman_D!$H$4)*0.1+IF(K72-Uzman_D!$I$4&lt;0,-(K72-Uzman_D!$I$4),K72-Uzman_D!$I$4)*0.1+IF(L72-Uzman_D!$J$4&lt;0,-(L72-Uzman_D!$J$4),L72-Uzman_D!$J$4)*0.1)+IF(ROUND((IF(N72-Uzman_D!$L$4&lt;0,-(N72-Uzman_D!$L$4),N72-Uzman_D!$L$4)*2),0)/2=IF(N72-Uzman_D!$L$4&lt;0,-(N72-Uzman_D!$L$4),N72-Uzman_D!$L$4),(ROUND((IF(N72-Uzman_D!$L$4&lt;0,-(N72-Uzman_D!$L$4),N72-Uzman_D!$L$4)*2),0)/1*0.1),0)+IF(O72-Uzman_D!$M$4&lt;0,-(O72-Uzman_D!$M$4),O72-Uzman_D!$M$4)*1)</f>
        <v>-0.19999999999999996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3"/>
      <c r="AB72" s="73"/>
      <c r="AC72" s="71">
        <f>1-(SUM(IF(Q72-Uzman_D!$B$5&lt;0,-(Q72-Uzman_D!$B$5),Q72-Uzman_D!$B$5)*0.1+IF(R72-Uzman_D!$C$5&lt;0,-(R72-Uzman_D!$C$5),R72-Uzman_D!$C$5)*0.1+IF(S72-Uzman_D!$D$5&lt;0,-(S72-Uzman_D!$D$5),S72-Uzman_D!$D$5)*0.1+IF(T72-Uzman_D!$E$5&lt;0,-(T72-Uzman_D!$E$5),T72-Uzman_D!$E$5)*0.1+IF(U72-Uzman_D!$F$5&lt;0,-(U72-Uzman_D!$F$5),U72-Uzman_D!$F$5)*0.1+IF(V72-Uzman_D!$G$5&lt;0,-(V72-Uzman_D!$G$5),V72-Uzman_D!$G$5)*0.1+IF(W72-Uzman_D!$H$5&lt;0,-(W72-Uzman_D!$H$5),W72-Uzman_D!$H$5)*0.1+IF(X72-Uzman_D!$I$5&lt;0,-(X72-Uzman_D!$I$5),X72-Uzman_D!$I$5)*0.1+IF(Y72-Uzman_D!$J$5&lt;0,-(Y72-Uzman_D!$J$5),Y72-Uzman_D!$J$5)*0.1)+IF(ROUND((IF(AA72-Uzman_D!$L$5&lt;0,-(AA72-Uzman_D!$L$5),AA72-Uzman_D!$L$5)*2),0)/2=IF(AA72-Uzman_D!$L$5&lt;0,-(AA72-Uzman_D!$L$5),AA72-Uzman_D!$L$5),(ROUND((IF(AA72-Uzman_D!$L$5&lt;0,-(AA72-Uzman_D!$L$5),AA72-Uzman_D!$L$5)*2),0)/1*0.1),0)+IF(AB72-Uzman_D!$M$5&lt;0,-(AB72-Uzman_D!$M$5),AB72-Uzman_D!$M$5)*1)</f>
        <v>-0.40000000000000013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3"/>
      <c r="AO72" s="73"/>
      <c r="AP72" s="71">
        <f>1-(SUM(IF(AD72-Uzman_D!$B$6&lt;0,-(AD72-Uzman_D!$B$6),AD72-Uzman_D!$B$6)*0.1+IF(AE72-Uzman_D!$C$6&lt;0,-(AE72-Uzman_D!$C$6),AE72-Uzman_D!$C$6)*0.1+IF(AF72-Uzman_D!$D$6&lt;0,-(AF72-Uzman_D!$D$6),AF72-Uzman_D!$D$6)*0.1+IF(AG72-Uzman_D!$E$6&lt;0,-(AG72-Uzman_D!$E$6),AG72-Uzman_D!$E$6)*0.1+IF(AH72-Uzman_D!$F$6&lt;0,-(AH72-Uzman_D!$F$6),AH72-Uzman_D!$F$6)*0.1+IF(AI72-Uzman_D!$G$6&lt;0,-(AI72-Uzman_D!$G$6),AI72-Uzman_D!$G$6)*0.1+IF(AJ72-Uzman_D!$H$6&lt;0,-(AJ72-Uzman_D!$H$6),AJ72-Uzman_D!$H$6)*0.1+IF(AK72-Uzman_D!$I$6&lt;0,-(AK72-Uzman_D!$I$6),AK72-Uzman_D!$I$6)*0.1+IF(AL72-Uzman_D!$J$6&lt;0,-(AL72-Uzman_D!$J$6),AL72-Uzman_D!$J$6)*0.1)+IF(ROUND((IF(AN72-Uzman_D!$L$6&lt;0,-(AN72-Uzman_D!$L$6),AN72-Uzman_D!$L$6)*2),0)/2=IF(AN72-Uzman_D!$L$6&lt;0,-(AN72-Uzman_D!$L$6),AN72-Uzman_D!$L$6),(ROUND((IF(AN72-Uzman_D!$L$6&lt;0,-(AN72-Uzman_D!$L$6),AN72-Uzman_D!$L$6)*2),0)/1*0.1),0)+IF(AO72-Uzman_D!$M$6&lt;0,-(AO72-Uzman_D!$M$6),AO72-Uzman_D!$M$6)*1)</f>
        <v>-0.10000000000000009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3"/>
      <c r="BB72" s="73"/>
      <c r="BC72" s="71">
        <f>1-(SUM(IF(AQ72-Uzman_D!$B$7&lt;0,-(AQ72-Uzman_D!$B$7),AQ72-Uzman_D!$B$7)*0.1+IF(AR72-Uzman_D!$C$7&lt;0,-(AR72-Uzman_D!$C$7),AR72-Uzman_D!$C$7)*0.1+IF(AS72-Uzman_D!$D$7&lt;0,-(AS72-Uzman_D!$D$7),AS72-Uzman_D!$D$7)*0.1+IF(AT72-Uzman_D!$E$7&lt;0,-(AT72-Uzman_D!$E$7),AT72-Uzman_D!$E$7)*0.1+IF(AU72-Uzman_D!$F$7&lt;0,-(AU72-Uzman_D!$F$7),AU72-Uzman_D!$F$7)*0.1+IF(AV72-Uzman_D!$G$7&lt;0,-(AV72-Uzman_D!$G$7),AV72-Uzman_D!$G$7)*0.1+IF(AW72-Uzman_D!$H$7&lt;0,-(AW72-Uzman_D!$H$7),AW72-Uzman_D!$H$7)*0.1+IF(AX72-Uzman_D!$I$7&lt;0,-(AX72-Uzman_D!$I$7),AX72-Uzman_D!$I$7)*0.1+IF(AY72-Uzman_D!$J$7&lt;0,-(AY72-Uzman_D!$J$7),AY72-Uzman_D!$J$7)*0.1)+IF(ROUND((IF(BA72-Uzman_D!$L$7&lt;0,-(BA72-Uzman_D!$L$7),BA72-Uzman_D!$L$7)*2),0)/2=IF(BA72-Uzman_D!$L$7&lt;0,-(BA72-Uzman_D!$L$7),BA72-Uzman_D!$L$7),(ROUND((IF(BA72-Uzman_D!$L$7&lt;0,-(BA72-Uzman_D!$L$7),BA72-Uzman_D!$L$7)*2),0)/1*0.1),0)+IF(BB72-Uzman_D!$M$7&lt;0,-(BB72-Uzman_D!$M$7),BB72-Uzman_D!$M$7)*1)</f>
        <v>-0.7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3"/>
      <c r="BO72" s="73"/>
      <c r="BP72" s="71">
        <f>1-(SUM(IF(BD72-Uzman_D!$B$8&lt;0,-(BD72-Uzman_D!$B$8),BD72-Uzman_D!$B$8)*0.1+IF(BE72-Uzman_D!$C$8&lt;0,-(BE72-Uzman_D!$C$8),BE72-Uzman_D!$C$8)*0.1+IF(BF72-Uzman_D!$D$8&lt;0,-(BF72-Uzman_D!$D$8),BF72-Uzman_D!$D$8)*0.1+IF(BG72-Uzman_D!$E$8&lt;0,-(BG72-Uzman_D!$E$8),BG72-Uzman_D!$E$8)*0.1+IF(BH72-Uzman_D!$F$8&lt;0,-(BH72-Uzman_D!$F$8),BH72-Uzman_D!$F$8)*0.1+IF(BI72-Uzman_D!$G$8&lt;0,-(BI72-Uzman_D!$G$8),BI72-Uzman_D!$G$8)*0.1+IF(BJ72-Uzman_D!$H$8&lt;0,-(BJ72-Uzman_D!$H$8),BJ72-Uzman_D!$H$8)*0.1+IF(BK72-Uzman_D!$I$8&lt;0,-(BK72-Uzman_D!$I$8),BK72-Uzman_D!$I$8)*0.1+IF(BL72-Uzman_D!$J$8&lt;0,-(BL72-Uzman_D!$J$8),BL72-Uzman_D!$J$8)*0.1)+IF(ROUND((IF(BN72-Uzman_D!$L$8&lt;0,-(BN72-Uzman_D!$L$8),BN72-Uzman_D!$L$8)*2),0)/2=IF(BN72-Uzman_D!$L$8&lt;0,-(BN72-Uzman_D!$L$8),BN72-Uzman_D!$L$8),(ROUND((IF(BN72-Uzman_D!$L$8&lt;0,-(BN72-Uzman_D!$L$8),BN72-Uzman_D!$L$8)*2),0)/1*0.1),0)+IF(BO72-Uzman_D!$M$8&lt;0,-(BO72-Uzman_D!$M$8),BO72-Uzman_D!$M$8)*1)</f>
        <v>-1</v>
      </c>
      <c r="BQ72" s="72">
        <f t="shared" si="2"/>
        <v>-0.48000000000000009</v>
      </c>
    </row>
    <row r="73" spans="1:69" ht="15" customHeight="1" x14ac:dyDescent="0.45">
      <c r="A73" s="54">
        <v>70</v>
      </c>
      <c r="B73" s="166">
        <f>Hakemler!B73</f>
        <v>0</v>
      </c>
      <c r="C73" s="166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3"/>
      <c r="O73" s="73"/>
      <c r="P73" s="71">
        <f>1-(SUM(IF(D73-Uzman_D!$B$4&lt;0,-(D73-Uzman_D!$B$4),D73-Uzman_D!$B$4)*0.1+IF(E73-Uzman_D!$C$4&lt;0,-(E73-Uzman_D!$C$4),E73-Uzman_D!$C$4)*0.1+IF(F73-Uzman_D!$D$4&lt;0,-(F73-Uzman_D!$D$4),F73-Uzman_D!$D$4)*0.1+IF(G73-Uzman_D!$E$4&lt;0,-(G73-Uzman_D!$E$4),G73-Uzman_D!$E$4)*0.1+IF(H73-Uzman_D!$F$4&lt;0,-(H73-Uzman_D!$F$4),H73-Uzman_D!$F$4)*0.1+IF(I73-Uzman_D!$G$4&lt;0,-(I73-Uzman_D!$G$4),I73-Uzman_D!$G$4)*0.1+IF(J73-Uzman_D!$H$4&lt;0,-(J73-Uzman_D!$H$4),J73-Uzman_D!$H$4)*0.1+IF(K73-Uzman_D!$I$4&lt;0,-(K73-Uzman_D!$I$4),K73-Uzman_D!$I$4)*0.1+IF(L73-Uzman_D!$J$4&lt;0,-(L73-Uzman_D!$J$4),L73-Uzman_D!$J$4)*0.1)+IF(ROUND((IF(N73-Uzman_D!$L$4&lt;0,-(N73-Uzman_D!$L$4),N73-Uzman_D!$L$4)*2),0)/2=IF(N73-Uzman_D!$L$4&lt;0,-(N73-Uzman_D!$L$4),N73-Uzman_D!$L$4),(ROUND((IF(N73-Uzman_D!$L$4&lt;0,-(N73-Uzman_D!$L$4),N73-Uzman_D!$L$4)*2),0)/1*0.1),0)+IF(O73-Uzman_D!$M$4&lt;0,-(O73-Uzman_D!$M$4),O73-Uzman_D!$M$4)*1)</f>
        <v>-0.19999999999999996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3"/>
      <c r="AB73" s="73"/>
      <c r="AC73" s="71">
        <f>1-(SUM(IF(Q73-Uzman_D!$B$5&lt;0,-(Q73-Uzman_D!$B$5),Q73-Uzman_D!$B$5)*0.1+IF(R73-Uzman_D!$C$5&lt;0,-(R73-Uzman_D!$C$5),R73-Uzman_D!$C$5)*0.1+IF(S73-Uzman_D!$D$5&lt;0,-(S73-Uzman_D!$D$5),S73-Uzman_D!$D$5)*0.1+IF(T73-Uzman_D!$E$5&lt;0,-(T73-Uzman_D!$E$5),T73-Uzman_D!$E$5)*0.1+IF(U73-Uzman_D!$F$5&lt;0,-(U73-Uzman_D!$F$5),U73-Uzman_D!$F$5)*0.1+IF(V73-Uzman_D!$G$5&lt;0,-(V73-Uzman_D!$G$5),V73-Uzman_D!$G$5)*0.1+IF(W73-Uzman_D!$H$5&lt;0,-(W73-Uzman_D!$H$5),W73-Uzman_D!$H$5)*0.1+IF(X73-Uzman_D!$I$5&lt;0,-(X73-Uzman_D!$I$5),X73-Uzman_D!$I$5)*0.1+IF(Y73-Uzman_D!$J$5&lt;0,-(Y73-Uzman_D!$J$5),Y73-Uzman_D!$J$5)*0.1)+IF(ROUND((IF(AA73-Uzman_D!$L$5&lt;0,-(AA73-Uzman_D!$L$5),AA73-Uzman_D!$L$5)*2),0)/2=IF(AA73-Uzman_D!$L$5&lt;0,-(AA73-Uzman_D!$L$5),AA73-Uzman_D!$L$5),(ROUND((IF(AA73-Uzman_D!$L$5&lt;0,-(AA73-Uzman_D!$L$5),AA73-Uzman_D!$L$5)*2),0)/1*0.1),0)+IF(AB73-Uzman_D!$M$5&lt;0,-(AB73-Uzman_D!$M$5),AB73-Uzman_D!$M$5)*1)</f>
        <v>-0.40000000000000013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3"/>
      <c r="AO73" s="73"/>
      <c r="AP73" s="71">
        <f>1-(SUM(IF(AD73-Uzman_D!$B$6&lt;0,-(AD73-Uzman_D!$B$6),AD73-Uzman_D!$B$6)*0.1+IF(AE73-Uzman_D!$C$6&lt;0,-(AE73-Uzman_D!$C$6),AE73-Uzman_D!$C$6)*0.1+IF(AF73-Uzman_D!$D$6&lt;0,-(AF73-Uzman_D!$D$6),AF73-Uzman_D!$D$6)*0.1+IF(AG73-Uzman_D!$E$6&lt;0,-(AG73-Uzman_D!$E$6),AG73-Uzman_D!$E$6)*0.1+IF(AH73-Uzman_D!$F$6&lt;0,-(AH73-Uzman_D!$F$6),AH73-Uzman_D!$F$6)*0.1+IF(AI73-Uzman_D!$G$6&lt;0,-(AI73-Uzman_D!$G$6),AI73-Uzman_D!$G$6)*0.1+IF(AJ73-Uzman_D!$H$6&lt;0,-(AJ73-Uzman_D!$H$6),AJ73-Uzman_D!$H$6)*0.1+IF(AK73-Uzman_D!$I$6&lt;0,-(AK73-Uzman_D!$I$6),AK73-Uzman_D!$I$6)*0.1+IF(AL73-Uzman_D!$J$6&lt;0,-(AL73-Uzman_D!$J$6),AL73-Uzman_D!$J$6)*0.1)+IF(ROUND((IF(AN73-Uzman_D!$L$6&lt;0,-(AN73-Uzman_D!$L$6),AN73-Uzman_D!$L$6)*2),0)/2=IF(AN73-Uzman_D!$L$6&lt;0,-(AN73-Uzman_D!$L$6),AN73-Uzman_D!$L$6),(ROUND((IF(AN73-Uzman_D!$L$6&lt;0,-(AN73-Uzman_D!$L$6),AN73-Uzman_D!$L$6)*2),0)/1*0.1),0)+IF(AO73-Uzman_D!$M$6&lt;0,-(AO73-Uzman_D!$M$6),AO73-Uzman_D!$M$6)*1)</f>
        <v>-0.10000000000000009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3"/>
      <c r="BB73" s="73"/>
      <c r="BC73" s="71">
        <f>1-(SUM(IF(AQ73-Uzman_D!$B$7&lt;0,-(AQ73-Uzman_D!$B$7),AQ73-Uzman_D!$B$7)*0.1+IF(AR73-Uzman_D!$C$7&lt;0,-(AR73-Uzman_D!$C$7),AR73-Uzman_D!$C$7)*0.1+IF(AS73-Uzman_D!$D$7&lt;0,-(AS73-Uzman_D!$D$7),AS73-Uzman_D!$D$7)*0.1+IF(AT73-Uzman_D!$E$7&lt;0,-(AT73-Uzman_D!$E$7),AT73-Uzman_D!$E$7)*0.1+IF(AU73-Uzman_D!$F$7&lt;0,-(AU73-Uzman_D!$F$7),AU73-Uzman_D!$F$7)*0.1+IF(AV73-Uzman_D!$G$7&lt;0,-(AV73-Uzman_D!$G$7),AV73-Uzman_D!$G$7)*0.1+IF(AW73-Uzman_D!$H$7&lt;0,-(AW73-Uzman_D!$H$7),AW73-Uzman_D!$H$7)*0.1+IF(AX73-Uzman_D!$I$7&lt;0,-(AX73-Uzman_D!$I$7),AX73-Uzman_D!$I$7)*0.1+IF(AY73-Uzman_D!$J$7&lt;0,-(AY73-Uzman_D!$J$7),AY73-Uzman_D!$J$7)*0.1)+IF(ROUND((IF(BA73-Uzman_D!$L$7&lt;0,-(BA73-Uzman_D!$L$7),BA73-Uzman_D!$L$7)*2),0)/2=IF(BA73-Uzman_D!$L$7&lt;0,-(BA73-Uzman_D!$L$7),BA73-Uzman_D!$L$7),(ROUND((IF(BA73-Uzman_D!$L$7&lt;0,-(BA73-Uzman_D!$L$7),BA73-Uzman_D!$L$7)*2),0)/1*0.1),0)+IF(BB73-Uzman_D!$M$7&lt;0,-(BB73-Uzman_D!$M$7),BB73-Uzman_D!$M$7)*1)</f>
        <v>-0.7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3"/>
      <c r="BO73" s="73"/>
      <c r="BP73" s="71">
        <f>1-(SUM(IF(BD73-Uzman_D!$B$8&lt;0,-(BD73-Uzman_D!$B$8),BD73-Uzman_D!$B$8)*0.1+IF(BE73-Uzman_D!$C$8&lt;0,-(BE73-Uzman_D!$C$8),BE73-Uzman_D!$C$8)*0.1+IF(BF73-Uzman_D!$D$8&lt;0,-(BF73-Uzman_D!$D$8),BF73-Uzman_D!$D$8)*0.1+IF(BG73-Uzman_D!$E$8&lt;0,-(BG73-Uzman_D!$E$8),BG73-Uzman_D!$E$8)*0.1+IF(BH73-Uzman_D!$F$8&lt;0,-(BH73-Uzman_D!$F$8),BH73-Uzman_D!$F$8)*0.1+IF(BI73-Uzman_D!$G$8&lt;0,-(BI73-Uzman_D!$G$8),BI73-Uzman_D!$G$8)*0.1+IF(BJ73-Uzman_D!$H$8&lt;0,-(BJ73-Uzman_D!$H$8),BJ73-Uzman_D!$H$8)*0.1+IF(BK73-Uzman_D!$I$8&lt;0,-(BK73-Uzman_D!$I$8),BK73-Uzman_D!$I$8)*0.1+IF(BL73-Uzman_D!$J$8&lt;0,-(BL73-Uzman_D!$J$8),BL73-Uzman_D!$J$8)*0.1)+IF(ROUND((IF(BN73-Uzman_D!$L$8&lt;0,-(BN73-Uzman_D!$L$8),BN73-Uzman_D!$L$8)*2),0)/2=IF(BN73-Uzman_D!$L$8&lt;0,-(BN73-Uzman_D!$L$8),BN73-Uzman_D!$L$8),(ROUND((IF(BN73-Uzman_D!$L$8&lt;0,-(BN73-Uzman_D!$L$8),BN73-Uzman_D!$L$8)*2),0)/1*0.1),0)+IF(BO73-Uzman_D!$M$8&lt;0,-(BO73-Uzman_D!$M$8),BO73-Uzman_D!$M$8)*1)</f>
        <v>-1</v>
      </c>
      <c r="BQ73" s="72">
        <f t="shared" si="2"/>
        <v>-0.48000000000000009</v>
      </c>
    </row>
    <row r="74" spans="1:69" ht="15" customHeight="1" x14ac:dyDescent="0.45">
      <c r="A74" s="54">
        <v>71</v>
      </c>
      <c r="B74" s="166">
        <f>Hakemler!B74</f>
        <v>0</v>
      </c>
      <c r="C74" s="166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3"/>
      <c r="O74" s="73"/>
      <c r="P74" s="71">
        <f>1-(SUM(IF(D74-Uzman_D!$B$4&lt;0,-(D74-Uzman_D!$B$4),D74-Uzman_D!$B$4)*0.1+IF(E74-Uzman_D!$C$4&lt;0,-(E74-Uzman_D!$C$4),E74-Uzman_D!$C$4)*0.1+IF(F74-Uzman_D!$D$4&lt;0,-(F74-Uzman_D!$D$4),F74-Uzman_D!$D$4)*0.1+IF(G74-Uzman_D!$E$4&lt;0,-(G74-Uzman_D!$E$4),G74-Uzman_D!$E$4)*0.1+IF(H74-Uzman_D!$F$4&lt;0,-(H74-Uzman_D!$F$4),H74-Uzman_D!$F$4)*0.1+IF(I74-Uzman_D!$G$4&lt;0,-(I74-Uzman_D!$G$4),I74-Uzman_D!$G$4)*0.1+IF(J74-Uzman_D!$H$4&lt;0,-(J74-Uzman_D!$H$4),J74-Uzman_D!$H$4)*0.1+IF(K74-Uzman_D!$I$4&lt;0,-(K74-Uzman_D!$I$4),K74-Uzman_D!$I$4)*0.1+IF(L74-Uzman_D!$J$4&lt;0,-(L74-Uzman_D!$J$4),L74-Uzman_D!$J$4)*0.1)+IF(ROUND((IF(N74-Uzman_D!$L$4&lt;0,-(N74-Uzman_D!$L$4),N74-Uzman_D!$L$4)*2),0)/2=IF(N74-Uzman_D!$L$4&lt;0,-(N74-Uzman_D!$L$4),N74-Uzman_D!$L$4),(ROUND((IF(N74-Uzman_D!$L$4&lt;0,-(N74-Uzman_D!$L$4),N74-Uzman_D!$L$4)*2),0)/1*0.1),0)+IF(O74-Uzman_D!$M$4&lt;0,-(O74-Uzman_D!$M$4),O74-Uzman_D!$M$4)*1)</f>
        <v>-0.19999999999999996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3"/>
      <c r="AB74" s="73"/>
      <c r="AC74" s="71">
        <f>1-(SUM(IF(Q74-Uzman_D!$B$5&lt;0,-(Q74-Uzman_D!$B$5),Q74-Uzman_D!$B$5)*0.1+IF(R74-Uzman_D!$C$5&lt;0,-(R74-Uzman_D!$C$5),R74-Uzman_D!$C$5)*0.1+IF(S74-Uzman_D!$D$5&lt;0,-(S74-Uzman_D!$D$5),S74-Uzman_D!$D$5)*0.1+IF(T74-Uzman_D!$E$5&lt;0,-(T74-Uzman_D!$E$5),T74-Uzman_D!$E$5)*0.1+IF(U74-Uzman_D!$F$5&lt;0,-(U74-Uzman_D!$F$5),U74-Uzman_D!$F$5)*0.1+IF(V74-Uzman_D!$G$5&lt;0,-(V74-Uzman_D!$G$5),V74-Uzman_D!$G$5)*0.1+IF(W74-Uzman_D!$H$5&lt;0,-(W74-Uzman_D!$H$5),W74-Uzman_D!$H$5)*0.1+IF(X74-Uzman_D!$I$5&lt;0,-(X74-Uzman_D!$I$5),X74-Uzman_D!$I$5)*0.1+IF(Y74-Uzman_D!$J$5&lt;0,-(Y74-Uzman_D!$J$5),Y74-Uzman_D!$J$5)*0.1)+IF(ROUND((IF(AA74-Uzman_D!$L$5&lt;0,-(AA74-Uzman_D!$L$5),AA74-Uzman_D!$L$5)*2),0)/2=IF(AA74-Uzman_D!$L$5&lt;0,-(AA74-Uzman_D!$L$5),AA74-Uzman_D!$L$5),(ROUND((IF(AA74-Uzman_D!$L$5&lt;0,-(AA74-Uzman_D!$L$5),AA74-Uzman_D!$L$5)*2),0)/1*0.1),0)+IF(AB74-Uzman_D!$M$5&lt;0,-(AB74-Uzman_D!$M$5),AB74-Uzman_D!$M$5)*1)</f>
        <v>-0.40000000000000013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3"/>
      <c r="AO74" s="73"/>
      <c r="AP74" s="71">
        <f>1-(SUM(IF(AD74-Uzman_D!$B$6&lt;0,-(AD74-Uzman_D!$B$6),AD74-Uzman_D!$B$6)*0.1+IF(AE74-Uzman_D!$C$6&lt;0,-(AE74-Uzman_D!$C$6),AE74-Uzman_D!$C$6)*0.1+IF(AF74-Uzman_D!$D$6&lt;0,-(AF74-Uzman_D!$D$6),AF74-Uzman_D!$D$6)*0.1+IF(AG74-Uzman_D!$E$6&lt;0,-(AG74-Uzman_D!$E$6),AG74-Uzman_D!$E$6)*0.1+IF(AH74-Uzman_D!$F$6&lt;0,-(AH74-Uzman_D!$F$6),AH74-Uzman_D!$F$6)*0.1+IF(AI74-Uzman_D!$G$6&lt;0,-(AI74-Uzman_D!$G$6),AI74-Uzman_D!$G$6)*0.1+IF(AJ74-Uzman_D!$H$6&lt;0,-(AJ74-Uzman_D!$H$6),AJ74-Uzman_D!$H$6)*0.1+IF(AK74-Uzman_D!$I$6&lt;0,-(AK74-Uzman_D!$I$6),AK74-Uzman_D!$I$6)*0.1+IF(AL74-Uzman_D!$J$6&lt;0,-(AL74-Uzman_D!$J$6),AL74-Uzman_D!$J$6)*0.1)+IF(ROUND((IF(AN74-Uzman_D!$L$6&lt;0,-(AN74-Uzman_D!$L$6),AN74-Uzman_D!$L$6)*2),0)/2=IF(AN74-Uzman_D!$L$6&lt;0,-(AN74-Uzman_D!$L$6),AN74-Uzman_D!$L$6),(ROUND((IF(AN74-Uzman_D!$L$6&lt;0,-(AN74-Uzman_D!$L$6),AN74-Uzman_D!$L$6)*2),0)/1*0.1),0)+IF(AO74-Uzman_D!$M$6&lt;0,-(AO74-Uzman_D!$M$6),AO74-Uzman_D!$M$6)*1)</f>
        <v>-0.10000000000000009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3"/>
      <c r="BB74" s="73"/>
      <c r="BC74" s="71">
        <f>1-(SUM(IF(AQ74-Uzman_D!$B$7&lt;0,-(AQ74-Uzman_D!$B$7),AQ74-Uzman_D!$B$7)*0.1+IF(AR74-Uzman_D!$C$7&lt;0,-(AR74-Uzman_D!$C$7),AR74-Uzman_D!$C$7)*0.1+IF(AS74-Uzman_D!$D$7&lt;0,-(AS74-Uzman_D!$D$7),AS74-Uzman_D!$D$7)*0.1+IF(AT74-Uzman_D!$E$7&lt;0,-(AT74-Uzman_D!$E$7),AT74-Uzman_D!$E$7)*0.1+IF(AU74-Uzman_D!$F$7&lt;0,-(AU74-Uzman_D!$F$7),AU74-Uzman_D!$F$7)*0.1+IF(AV74-Uzman_D!$G$7&lt;0,-(AV74-Uzman_D!$G$7),AV74-Uzman_D!$G$7)*0.1+IF(AW74-Uzman_D!$H$7&lt;0,-(AW74-Uzman_D!$H$7),AW74-Uzman_D!$H$7)*0.1+IF(AX74-Uzman_D!$I$7&lt;0,-(AX74-Uzman_D!$I$7),AX74-Uzman_D!$I$7)*0.1+IF(AY74-Uzman_D!$J$7&lt;0,-(AY74-Uzman_D!$J$7),AY74-Uzman_D!$J$7)*0.1)+IF(ROUND((IF(BA74-Uzman_D!$L$7&lt;0,-(BA74-Uzman_D!$L$7),BA74-Uzman_D!$L$7)*2),0)/2=IF(BA74-Uzman_D!$L$7&lt;0,-(BA74-Uzman_D!$L$7),BA74-Uzman_D!$L$7),(ROUND((IF(BA74-Uzman_D!$L$7&lt;0,-(BA74-Uzman_D!$L$7),BA74-Uzman_D!$L$7)*2),0)/1*0.1),0)+IF(BB74-Uzman_D!$M$7&lt;0,-(BB74-Uzman_D!$M$7),BB74-Uzman_D!$M$7)*1)</f>
        <v>-0.7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3"/>
      <c r="BO74" s="73"/>
      <c r="BP74" s="71">
        <f>1-(SUM(IF(BD74-Uzman_D!$B$8&lt;0,-(BD74-Uzman_D!$B$8),BD74-Uzman_D!$B$8)*0.1+IF(BE74-Uzman_D!$C$8&lt;0,-(BE74-Uzman_D!$C$8),BE74-Uzman_D!$C$8)*0.1+IF(BF74-Uzman_D!$D$8&lt;0,-(BF74-Uzman_D!$D$8),BF74-Uzman_D!$D$8)*0.1+IF(BG74-Uzman_D!$E$8&lt;0,-(BG74-Uzman_D!$E$8),BG74-Uzman_D!$E$8)*0.1+IF(BH74-Uzman_D!$F$8&lt;0,-(BH74-Uzman_D!$F$8),BH74-Uzman_D!$F$8)*0.1+IF(BI74-Uzman_D!$G$8&lt;0,-(BI74-Uzman_D!$G$8),BI74-Uzman_D!$G$8)*0.1+IF(BJ74-Uzman_D!$H$8&lt;0,-(BJ74-Uzman_D!$H$8),BJ74-Uzman_D!$H$8)*0.1+IF(BK74-Uzman_D!$I$8&lt;0,-(BK74-Uzman_D!$I$8),BK74-Uzman_D!$I$8)*0.1+IF(BL74-Uzman_D!$J$8&lt;0,-(BL74-Uzman_D!$J$8),BL74-Uzman_D!$J$8)*0.1)+IF(ROUND((IF(BN74-Uzman_D!$L$8&lt;0,-(BN74-Uzman_D!$L$8),BN74-Uzman_D!$L$8)*2),0)/2=IF(BN74-Uzman_D!$L$8&lt;0,-(BN74-Uzman_D!$L$8),BN74-Uzman_D!$L$8),(ROUND((IF(BN74-Uzman_D!$L$8&lt;0,-(BN74-Uzman_D!$L$8),BN74-Uzman_D!$L$8)*2),0)/1*0.1),0)+IF(BO74-Uzman_D!$M$8&lt;0,-(BO74-Uzman_D!$M$8),BO74-Uzman_D!$M$8)*1)</f>
        <v>-1</v>
      </c>
      <c r="BQ74" s="72">
        <f t="shared" si="2"/>
        <v>-0.48000000000000009</v>
      </c>
    </row>
    <row r="75" spans="1:69" ht="15" customHeight="1" x14ac:dyDescent="0.45">
      <c r="A75" s="54">
        <v>72</v>
      </c>
      <c r="B75" s="166">
        <f>Hakemler!B75</f>
        <v>0</v>
      </c>
      <c r="C75" s="166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3"/>
      <c r="O75" s="73"/>
      <c r="P75" s="71">
        <f>1-(SUM(IF(D75-Uzman_D!$B$4&lt;0,-(D75-Uzman_D!$B$4),D75-Uzman_D!$B$4)*0.1+IF(E75-Uzman_D!$C$4&lt;0,-(E75-Uzman_D!$C$4),E75-Uzman_D!$C$4)*0.1+IF(F75-Uzman_D!$D$4&lt;0,-(F75-Uzman_D!$D$4),F75-Uzman_D!$D$4)*0.1+IF(G75-Uzman_D!$E$4&lt;0,-(G75-Uzman_D!$E$4),G75-Uzman_D!$E$4)*0.1+IF(H75-Uzman_D!$F$4&lt;0,-(H75-Uzman_D!$F$4),H75-Uzman_D!$F$4)*0.1+IF(I75-Uzman_D!$G$4&lt;0,-(I75-Uzman_D!$G$4),I75-Uzman_D!$G$4)*0.1+IF(J75-Uzman_D!$H$4&lt;0,-(J75-Uzman_D!$H$4),J75-Uzman_D!$H$4)*0.1+IF(K75-Uzman_D!$I$4&lt;0,-(K75-Uzman_D!$I$4),K75-Uzman_D!$I$4)*0.1+IF(L75-Uzman_D!$J$4&lt;0,-(L75-Uzman_D!$J$4),L75-Uzman_D!$J$4)*0.1)+IF(ROUND((IF(N75-Uzman_D!$L$4&lt;0,-(N75-Uzman_D!$L$4),N75-Uzman_D!$L$4)*2),0)/2=IF(N75-Uzman_D!$L$4&lt;0,-(N75-Uzman_D!$L$4),N75-Uzman_D!$L$4),(ROUND((IF(N75-Uzman_D!$L$4&lt;0,-(N75-Uzman_D!$L$4),N75-Uzman_D!$L$4)*2),0)/1*0.1),0)+IF(O75-Uzman_D!$M$4&lt;0,-(O75-Uzman_D!$M$4),O75-Uzman_D!$M$4)*1)</f>
        <v>-0.19999999999999996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3"/>
      <c r="AB75" s="73"/>
      <c r="AC75" s="71">
        <f>1-(SUM(IF(Q75-Uzman_D!$B$5&lt;0,-(Q75-Uzman_D!$B$5),Q75-Uzman_D!$B$5)*0.1+IF(R75-Uzman_D!$C$5&lt;0,-(R75-Uzman_D!$C$5),R75-Uzman_D!$C$5)*0.1+IF(S75-Uzman_D!$D$5&lt;0,-(S75-Uzman_D!$D$5),S75-Uzman_D!$D$5)*0.1+IF(T75-Uzman_D!$E$5&lt;0,-(T75-Uzman_D!$E$5),T75-Uzman_D!$E$5)*0.1+IF(U75-Uzman_D!$F$5&lt;0,-(U75-Uzman_D!$F$5),U75-Uzman_D!$F$5)*0.1+IF(V75-Uzman_D!$G$5&lt;0,-(V75-Uzman_D!$G$5),V75-Uzman_D!$G$5)*0.1+IF(W75-Uzman_D!$H$5&lt;0,-(W75-Uzman_D!$H$5),W75-Uzman_D!$H$5)*0.1+IF(X75-Uzman_D!$I$5&lt;0,-(X75-Uzman_D!$I$5),X75-Uzman_D!$I$5)*0.1+IF(Y75-Uzman_D!$J$5&lt;0,-(Y75-Uzman_D!$J$5),Y75-Uzman_D!$J$5)*0.1)+IF(ROUND((IF(AA75-Uzman_D!$L$5&lt;0,-(AA75-Uzman_D!$L$5),AA75-Uzman_D!$L$5)*2),0)/2=IF(AA75-Uzman_D!$L$5&lt;0,-(AA75-Uzman_D!$L$5),AA75-Uzman_D!$L$5),(ROUND((IF(AA75-Uzman_D!$L$5&lt;0,-(AA75-Uzman_D!$L$5),AA75-Uzman_D!$L$5)*2),0)/1*0.1),0)+IF(AB75-Uzman_D!$M$5&lt;0,-(AB75-Uzman_D!$M$5),AB75-Uzman_D!$M$5)*1)</f>
        <v>-0.40000000000000013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3"/>
      <c r="AO75" s="73"/>
      <c r="AP75" s="71">
        <f>1-(SUM(IF(AD75-Uzman_D!$B$6&lt;0,-(AD75-Uzman_D!$B$6),AD75-Uzman_D!$B$6)*0.1+IF(AE75-Uzman_D!$C$6&lt;0,-(AE75-Uzman_D!$C$6),AE75-Uzman_D!$C$6)*0.1+IF(AF75-Uzman_D!$D$6&lt;0,-(AF75-Uzman_D!$D$6),AF75-Uzman_D!$D$6)*0.1+IF(AG75-Uzman_D!$E$6&lt;0,-(AG75-Uzman_D!$E$6),AG75-Uzman_D!$E$6)*0.1+IF(AH75-Uzman_D!$F$6&lt;0,-(AH75-Uzman_D!$F$6),AH75-Uzman_D!$F$6)*0.1+IF(AI75-Uzman_D!$G$6&lt;0,-(AI75-Uzman_D!$G$6),AI75-Uzman_D!$G$6)*0.1+IF(AJ75-Uzman_D!$H$6&lt;0,-(AJ75-Uzman_D!$H$6),AJ75-Uzman_D!$H$6)*0.1+IF(AK75-Uzman_D!$I$6&lt;0,-(AK75-Uzman_D!$I$6),AK75-Uzman_D!$I$6)*0.1+IF(AL75-Uzman_D!$J$6&lt;0,-(AL75-Uzman_D!$J$6),AL75-Uzman_D!$J$6)*0.1)+IF(ROUND((IF(AN75-Uzman_D!$L$6&lt;0,-(AN75-Uzman_D!$L$6),AN75-Uzman_D!$L$6)*2),0)/2=IF(AN75-Uzman_D!$L$6&lt;0,-(AN75-Uzman_D!$L$6),AN75-Uzman_D!$L$6),(ROUND((IF(AN75-Uzman_D!$L$6&lt;0,-(AN75-Uzman_D!$L$6),AN75-Uzman_D!$L$6)*2),0)/1*0.1),0)+IF(AO75-Uzman_D!$M$6&lt;0,-(AO75-Uzman_D!$M$6),AO75-Uzman_D!$M$6)*1)</f>
        <v>-0.10000000000000009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3"/>
      <c r="BB75" s="73"/>
      <c r="BC75" s="71">
        <f>1-(SUM(IF(AQ75-Uzman_D!$B$7&lt;0,-(AQ75-Uzman_D!$B$7),AQ75-Uzman_D!$B$7)*0.1+IF(AR75-Uzman_D!$C$7&lt;0,-(AR75-Uzman_D!$C$7),AR75-Uzman_D!$C$7)*0.1+IF(AS75-Uzman_D!$D$7&lt;0,-(AS75-Uzman_D!$D$7),AS75-Uzman_D!$D$7)*0.1+IF(AT75-Uzman_D!$E$7&lt;0,-(AT75-Uzman_D!$E$7),AT75-Uzman_D!$E$7)*0.1+IF(AU75-Uzman_D!$F$7&lt;0,-(AU75-Uzman_D!$F$7),AU75-Uzman_D!$F$7)*0.1+IF(AV75-Uzman_D!$G$7&lt;0,-(AV75-Uzman_D!$G$7),AV75-Uzman_D!$G$7)*0.1+IF(AW75-Uzman_D!$H$7&lt;0,-(AW75-Uzman_D!$H$7),AW75-Uzman_D!$H$7)*0.1+IF(AX75-Uzman_D!$I$7&lt;0,-(AX75-Uzman_D!$I$7),AX75-Uzman_D!$I$7)*0.1+IF(AY75-Uzman_D!$J$7&lt;0,-(AY75-Uzman_D!$J$7),AY75-Uzman_D!$J$7)*0.1)+IF(ROUND((IF(BA75-Uzman_D!$L$7&lt;0,-(BA75-Uzman_D!$L$7),BA75-Uzman_D!$L$7)*2),0)/2=IF(BA75-Uzman_D!$L$7&lt;0,-(BA75-Uzman_D!$L$7),BA75-Uzman_D!$L$7),(ROUND((IF(BA75-Uzman_D!$L$7&lt;0,-(BA75-Uzman_D!$L$7),BA75-Uzman_D!$L$7)*2),0)/1*0.1),0)+IF(BB75-Uzman_D!$M$7&lt;0,-(BB75-Uzman_D!$M$7),BB75-Uzman_D!$M$7)*1)</f>
        <v>-0.7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3"/>
      <c r="BO75" s="73"/>
      <c r="BP75" s="71">
        <f>1-(SUM(IF(BD75-Uzman_D!$B$8&lt;0,-(BD75-Uzman_D!$B$8),BD75-Uzman_D!$B$8)*0.1+IF(BE75-Uzman_D!$C$8&lt;0,-(BE75-Uzman_D!$C$8),BE75-Uzman_D!$C$8)*0.1+IF(BF75-Uzman_D!$D$8&lt;0,-(BF75-Uzman_D!$D$8),BF75-Uzman_D!$D$8)*0.1+IF(BG75-Uzman_D!$E$8&lt;0,-(BG75-Uzman_D!$E$8),BG75-Uzman_D!$E$8)*0.1+IF(BH75-Uzman_D!$F$8&lt;0,-(BH75-Uzman_D!$F$8),BH75-Uzman_D!$F$8)*0.1+IF(BI75-Uzman_D!$G$8&lt;0,-(BI75-Uzman_D!$G$8),BI75-Uzman_D!$G$8)*0.1+IF(BJ75-Uzman_D!$H$8&lt;0,-(BJ75-Uzman_D!$H$8),BJ75-Uzman_D!$H$8)*0.1+IF(BK75-Uzman_D!$I$8&lt;0,-(BK75-Uzman_D!$I$8),BK75-Uzman_D!$I$8)*0.1+IF(BL75-Uzman_D!$J$8&lt;0,-(BL75-Uzman_D!$J$8),BL75-Uzman_D!$J$8)*0.1)+IF(ROUND((IF(BN75-Uzman_D!$L$8&lt;0,-(BN75-Uzman_D!$L$8),BN75-Uzman_D!$L$8)*2),0)/2=IF(BN75-Uzman_D!$L$8&lt;0,-(BN75-Uzman_D!$L$8),BN75-Uzman_D!$L$8),(ROUND((IF(BN75-Uzman_D!$L$8&lt;0,-(BN75-Uzman_D!$L$8),BN75-Uzman_D!$L$8)*2),0)/1*0.1),0)+IF(BO75-Uzman_D!$M$8&lt;0,-(BO75-Uzman_D!$M$8),BO75-Uzman_D!$M$8)*1)</f>
        <v>-1</v>
      </c>
      <c r="BQ75" s="72">
        <f t="shared" si="2"/>
        <v>-0.48000000000000009</v>
      </c>
    </row>
    <row r="76" spans="1:69" ht="15" customHeight="1" x14ac:dyDescent="0.45">
      <c r="A76" s="54">
        <v>73</v>
      </c>
      <c r="B76" s="166">
        <f>Hakemler!B76</f>
        <v>0</v>
      </c>
      <c r="C76" s="166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3"/>
      <c r="O76" s="73"/>
      <c r="P76" s="71">
        <f>1-(SUM(IF(D76-Uzman_D!$B$4&lt;0,-(D76-Uzman_D!$B$4),D76-Uzman_D!$B$4)*0.1+IF(E76-Uzman_D!$C$4&lt;0,-(E76-Uzman_D!$C$4),E76-Uzman_D!$C$4)*0.1+IF(F76-Uzman_D!$D$4&lt;0,-(F76-Uzman_D!$D$4),F76-Uzman_D!$D$4)*0.1+IF(G76-Uzman_D!$E$4&lt;0,-(G76-Uzman_D!$E$4),G76-Uzman_D!$E$4)*0.1+IF(H76-Uzman_D!$F$4&lt;0,-(H76-Uzman_D!$F$4),H76-Uzman_D!$F$4)*0.1+IF(I76-Uzman_D!$G$4&lt;0,-(I76-Uzman_D!$G$4),I76-Uzman_D!$G$4)*0.1+IF(J76-Uzman_D!$H$4&lt;0,-(J76-Uzman_D!$H$4),J76-Uzman_D!$H$4)*0.1+IF(K76-Uzman_D!$I$4&lt;0,-(K76-Uzman_D!$I$4),K76-Uzman_D!$I$4)*0.1+IF(L76-Uzman_D!$J$4&lt;0,-(L76-Uzman_D!$J$4),L76-Uzman_D!$J$4)*0.1)+IF(ROUND((IF(N76-Uzman_D!$L$4&lt;0,-(N76-Uzman_D!$L$4),N76-Uzman_D!$L$4)*2),0)/2=IF(N76-Uzman_D!$L$4&lt;0,-(N76-Uzman_D!$L$4),N76-Uzman_D!$L$4),(ROUND((IF(N76-Uzman_D!$L$4&lt;0,-(N76-Uzman_D!$L$4),N76-Uzman_D!$L$4)*2),0)/1*0.1),0)+IF(O76-Uzman_D!$M$4&lt;0,-(O76-Uzman_D!$M$4),O76-Uzman_D!$M$4)*1)</f>
        <v>-0.19999999999999996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3"/>
      <c r="AB76" s="73"/>
      <c r="AC76" s="71">
        <f>1-(SUM(IF(Q76-Uzman_D!$B$5&lt;0,-(Q76-Uzman_D!$B$5),Q76-Uzman_D!$B$5)*0.1+IF(R76-Uzman_D!$C$5&lt;0,-(R76-Uzman_D!$C$5),R76-Uzman_D!$C$5)*0.1+IF(S76-Uzman_D!$D$5&lt;0,-(S76-Uzman_D!$D$5),S76-Uzman_D!$D$5)*0.1+IF(T76-Uzman_D!$E$5&lt;0,-(T76-Uzman_D!$E$5),T76-Uzman_D!$E$5)*0.1+IF(U76-Uzman_D!$F$5&lt;0,-(U76-Uzman_D!$F$5),U76-Uzman_D!$F$5)*0.1+IF(V76-Uzman_D!$G$5&lt;0,-(V76-Uzman_D!$G$5),V76-Uzman_D!$G$5)*0.1+IF(W76-Uzman_D!$H$5&lt;0,-(W76-Uzman_D!$H$5),W76-Uzman_D!$H$5)*0.1+IF(X76-Uzman_D!$I$5&lt;0,-(X76-Uzman_D!$I$5),X76-Uzman_D!$I$5)*0.1+IF(Y76-Uzman_D!$J$5&lt;0,-(Y76-Uzman_D!$J$5),Y76-Uzman_D!$J$5)*0.1)+IF(ROUND((IF(AA76-Uzman_D!$L$5&lt;0,-(AA76-Uzman_D!$L$5),AA76-Uzman_D!$L$5)*2),0)/2=IF(AA76-Uzman_D!$L$5&lt;0,-(AA76-Uzman_D!$L$5),AA76-Uzman_D!$L$5),(ROUND((IF(AA76-Uzman_D!$L$5&lt;0,-(AA76-Uzman_D!$L$5),AA76-Uzman_D!$L$5)*2),0)/1*0.1),0)+IF(AB76-Uzman_D!$M$5&lt;0,-(AB76-Uzman_D!$M$5),AB76-Uzman_D!$M$5)*1)</f>
        <v>-0.40000000000000013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3"/>
      <c r="AO76" s="73"/>
      <c r="AP76" s="71">
        <f>1-(SUM(IF(AD76-Uzman_D!$B$6&lt;0,-(AD76-Uzman_D!$B$6),AD76-Uzman_D!$B$6)*0.1+IF(AE76-Uzman_D!$C$6&lt;0,-(AE76-Uzman_D!$C$6),AE76-Uzman_D!$C$6)*0.1+IF(AF76-Uzman_D!$D$6&lt;0,-(AF76-Uzman_D!$D$6),AF76-Uzman_D!$D$6)*0.1+IF(AG76-Uzman_D!$E$6&lt;0,-(AG76-Uzman_D!$E$6),AG76-Uzman_D!$E$6)*0.1+IF(AH76-Uzman_D!$F$6&lt;0,-(AH76-Uzman_D!$F$6),AH76-Uzman_D!$F$6)*0.1+IF(AI76-Uzman_D!$G$6&lt;0,-(AI76-Uzman_D!$G$6),AI76-Uzman_D!$G$6)*0.1+IF(AJ76-Uzman_D!$H$6&lt;0,-(AJ76-Uzman_D!$H$6),AJ76-Uzman_D!$H$6)*0.1+IF(AK76-Uzman_D!$I$6&lt;0,-(AK76-Uzman_D!$I$6),AK76-Uzman_D!$I$6)*0.1+IF(AL76-Uzman_D!$J$6&lt;0,-(AL76-Uzman_D!$J$6),AL76-Uzman_D!$J$6)*0.1)+IF(ROUND((IF(AN76-Uzman_D!$L$6&lt;0,-(AN76-Uzman_D!$L$6),AN76-Uzman_D!$L$6)*2),0)/2=IF(AN76-Uzman_D!$L$6&lt;0,-(AN76-Uzman_D!$L$6),AN76-Uzman_D!$L$6),(ROUND((IF(AN76-Uzman_D!$L$6&lt;0,-(AN76-Uzman_D!$L$6),AN76-Uzman_D!$L$6)*2),0)/1*0.1),0)+IF(AO76-Uzman_D!$M$6&lt;0,-(AO76-Uzman_D!$M$6),AO76-Uzman_D!$M$6)*1)</f>
        <v>-0.10000000000000009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3"/>
      <c r="BB76" s="73"/>
      <c r="BC76" s="71">
        <f>1-(SUM(IF(AQ76-Uzman_D!$B$7&lt;0,-(AQ76-Uzman_D!$B$7),AQ76-Uzman_D!$B$7)*0.1+IF(AR76-Uzman_D!$C$7&lt;0,-(AR76-Uzman_D!$C$7),AR76-Uzman_D!$C$7)*0.1+IF(AS76-Uzman_D!$D$7&lt;0,-(AS76-Uzman_D!$D$7),AS76-Uzman_D!$D$7)*0.1+IF(AT76-Uzman_D!$E$7&lt;0,-(AT76-Uzman_D!$E$7),AT76-Uzman_D!$E$7)*0.1+IF(AU76-Uzman_D!$F$7&lt;0,-(AU76-Uzman_D!$F$7),AU76-Uzman_D!$F$7)*0.1+IF(AV76-Uzman_D!$G$7&lt;0,-(AV76-Uzman_D!$G$7),AV76-Uzman_D!$G$7)*0.1+IF(AW76-Uzman_D!$H$7&lt;0,-(AW76-Uzman_D!$H$7),AW76-Uzman_D!$H$7)*0.1+IF(AX76-Uzman_D!$I$7&lt;0,-(AX76-Uzman_D!$I$7),AX76-Uzman_D!$I$7)*0.1+IF(AY76-Uzman_D!$J$7&lt;0,-(AY76-Uzman_D!$J$7),AY76-Uzman_D!$J$7)*0.1)+IF(ROUND((IF(BA76-Uzman_D!$L$7&lt;0,-(BA76-Uzman_D!$L$7),BA76-Uzman_D!$L$7)*2),0)/2=IF(BA76-Uzman_D!$L$7&lt;0,-(BA76-Uzman_D!$L$7),BA76-Uzman_D!$L$7),(ROUND((IF(BA76-Uzman_D!$L$7&lt;0,-(BA76-Uzman_D!$L$7),BA76-Uzman_D!$L$7)*2),0)/1*0.1),0)+IF(BB76-Uzman_D!$M$7&lt;0,-(BB76-Uzman_D!$M$7),BB76-Uzman_D!$M$7)*1)</f>
        <v>-0.7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3"/>
      <c r="BO76" s="73"/>
      <c r="BP76" s="71">
        <f>1-(SUM(IF(BD76-Uzman_D!$B$8&lt;0,-(BD76-Uzman_D!$B$8),BD76-Uzman_D!$B$8)*0.1+IF(BE76-Uzman_D!$C$8&lt;0,-(BE76-Uzman_D!$C$8),BE76-Uzman_D!$C$8)*0.1+IF(BF76-Uzman_D!$D$8&lt;0,-(BF76-Uzman_D!$D$8),BF76-Uzman_D!$D$8)*0.1+IF(BG76-Uzman_D!$E$8&lt;0,-(BG76-Uzman_D!$E$8),BG76-Uzman_D!$E$8)*0.1+IF(BH76-Uzman_D!$F$8&lt;0,-(BH76-Uzman_D!$F$8),BH76-Uzman_D!$F$8)*0.1+IF(BI76-Uzman_D!$G$8&lt;0,-(BI76-Uzman_D!$G$8),BI76-Uzman_D!$G$8)*0.1+IF(BJ76-Uzman_D!$H$8&lt;0,-(BJ76-Uzman_D!$H$8),BJ76-Uzman_D!$H$8)*0.1+IF(BK76-Uzman_D!$I$8&lt;0,-(BK76-Uzman_D!$I$8),BK76-Uzman_D!$I$8)*0.1+IF(BL76-Uzman_D!$J$8&lt;0,-(BL76-Uzman_D!$J$8),BL76-Uzman_D!$J$8)*0.1)+IF(ROUND((IF(BN76-Uzman_D!$L$8&lt;0,-(BN76-Uzman_D!$L$8),BN76-Uzman_D!$L$8)*2),0)/2=IF(BN76-Uzman_D!$L$8&lt;0,-(BN76-Uzman_D!$L$8),BN76-Uzman_D!$L$8),(ROUND((IF(BN76-Uzman_D!$L$8&lt;0,-(BN76-Uzman_D!$L$8),BN76-Uzman_D!$L$8)*2),0)/1*0.1),0)+IF(BO76-Uzman_D!$M$8&lt;0,-(BO76-Uzman_D!$M$8),BO76-Uzman_D!$M$8)*1)</f>
        <v>-1</v>
      </c>
      <c r="BQ76" s="72">
        <f t="shared" si="2"/>
        <v>-0.48000000000000009</v>
      </c>
    </row>
    <row r="77" spans="1:69" ht="15" customHeight="1" x14ac:dyDescent="0.45">
      <c r="A77" s="54">
        <v>74</v>
      </c>
      <c r="B77" s="166">
        <f>Hakemler!B77</f>
        <v>0</v>
      </c>
      <c r="C77" s="166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3"/>
      <c r="O77" s="73"/>
      <c r="P77" s="71">
        <f>1-(SUM(IF(D77-Uzman_D!$B$4&lt;0,-(D77-Uzman_D!$B$4),D77-Uzman_D!$B$4)*0.1+IF(E77-Uzman_D!$C$4&lt;0,-(E77-Uzman_D!$C$4),E77-Uzman_D!$C$4)*0.1+IF(F77-Uzman_D!$D$4&lt;0,-(F77-Uzman_D!$D$4),F77-Uzman_D!$D$4)*0.1+IF(G77-Uzman_D!$E$4&lt;0,-(G77-Uzman_D!$E$4),G77-Uzman_D!$E$4)*0.1+IF(H77-Uzman_D!$F$4&lt;0,-(H77-Uzman_D!$F$4),H77-Uzman_D!$F$4)*0.1+IF(I77-Uzman_D!$G$4&lt;0,-(I77-Uzman_D!$G$4),I77-Uzman_D!$G$4)*0.1+IF(J77-Uzman_D!$H$4&lt;0,-(J77-Uzman_D!$H$4),J77-Uzman_D!$H$4)*0.1+IF(K77-Uzman_D!$I$4&lt;0,-(K77-Uzman_D!$I$4),K77-Uzman_D!$I$4)*0.1+IF(L77-Uzman_D!$J$4&lt;0,-(L77-Uzman_D!$J$4),L77-Uzman_D!$J$4)*0.1)+IF(ROUND((IF(N77-Uzman_D!$L$4&lt;0,-(N77-Uzman_D!$L$4),N77-Uzman_D!$L$4)*2),0)/2=IF(N77-Uzman_D!$L$4&lt;0,-(N77-Uzman_D!$L$4),N77-Uzman_D!$L$4),(ROUND((IF(N77-Uzman_D!$L$4&lt;0,-(N77-Uzman_D!$L$4),N77-Uzman_D!$L$4)*2),0)/1*0.1),0)+IF(O77-Uzman_D!$M$4&lt;0,-(O77-Uzman_D!$M$4),O77-Uzman_D!$M$4)*1)</f>
        <v>-0.19999999999999996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3"/>
      <c r="AB77" s="73"/>
      <c r="AC77" s="71">
        <f>1-(SUM(IF(Q77-Uzman_D!$B$5&lt;0,-(Q77-Uzman_D!$B$5),Q77-Uzman_D!$B$5)*0.1+IF(R77-Uzman_D!$C$5&lt;0,-(R77-Uzman_D!$C$5),R77-Uzman_D!$C$5)*0.1+IF(S77-Uzman_D!$D$5&lt;0,-(S77-Uzman_D!$D$5),S77-Uzman_D!$D$5)*0.1+IF(T77-Uzman_D!$E$5&lt;0,-(T77-Uzman_D!$E$5),T77-Uzman_D!$E$5)*0.1+IF(U77-Uzman_D!$F$5&lt;0,-(U77-Uzman_D!$F$5),U77-Uzman_D!$F$5)*0.1+IF(V77-Uzman_D!$G$5&lt;0,-(V77-Uzman_D!$G$5),V77-Uzman_D!$G$5)*0.1+IF(W77-Uzman_D!$H$5&lt;0,-(W77-Uzman_D!$H$5),W77-Uzman_D!$H$5)*0.1+IF(X77-Uzman_D!$I$5&lt;0,-(X77-Uzman_D!$I$5),X77-Uzman_D!$I$5)*0.1+IF(Y77-Uzman_D!$J$5&lt;0,-(Y77-Uzman_D!$J$5),Y77-Uzman_D!$J$5)*0.1)+IF(ROUND((IF(AA77-Uzman_D!$L$5&lt;0,-(AA77-Uzman_D!$L$5),AA77-Uzman_D!$L$5)*2),0)/2=IF(AA77-Uzman_D!$L$5&lt;0,-(AA77-Uzman_D!$L$5),AA77-Uzman_D!$L$5),(ROUND((IF(AA77-Uzman_D!$L$5&lt;0,-(AA77-Uzman_D!$L$5),AA77-Uzman_D!$L$5)*2),0)/1*0.1),0)+IF(AB77-Uzman_D!$M$5&lt;0,-(AB77-Uzman_D!$M$5),AB77-Uzman_D!$M$5)*1)</f>
        <v>-0.40000000000000013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3"/>
      <c r="AO77" s="73"/>
      <c r="AP77" s="71">
        <f>1-(SUM(IF(AD77-Uzman_D!$B$6&lt;0,-(AD77-Uzman_D!$B$6),AD77-Uzman_D!$B$6)*0.1+IF(AE77-Uzman_D!$C$6&lt;0,-(AE77-Uzman_D!$C$6),AE77-Uzman_D!$C$6)*0.1+IF(AF77-Uzman_D!$D$6&lt;0,-(AF77-Uzman_D!$D$6),AF77-Uzman_D!$D$6)*0.1+IF(AG77-Uzman_D!$E$6&lt;0,-(AG77-Uzman_D!$E$6),AG77-Uzman_D!$E$6)*0.1+IF(AH77-Uzman_D!$F$6&lt;0,-(AH77-Uzman_D!$F$6),AH77-Uzman_D!$F$6)*0.1+IF(AI77-Uzman_D!$G$6&lt;0,-(AI77-Uzman_D!$G$6),AI77-Uzman_D!$G$6)*0.1+IF(AJ77-Uzman_D!$H$6&lt;0,-(AJ77-Uzman_D!$H$6),AJ77-Uzman_D!$H$6)*0.1+IF(AK77-Uzman_D!$I$6&lt;0,-(AK77-Uzman_D!$I$6),AK77-Uzman_D!$I$6)*0.1+IF(AL77-Uzman_D!$J$6&lt;0,-(AL77-Uzman_D!$J$6),AL77-Uzman_D!$J$6)*0.1)+IF(ROUND((IF(AN77-Uzman_D!$L$6&lt;0,-(AN77-Uzman_D!$L$6),AN77-Uzman_D!$L$6)*2),0)/2=IF(AN77-Uzman_D!$L$6&lt;0,-(AN77-Uzman_D!$L$6),AN77-Uzman_D!$L$6),(ROUND((IF(AN77-Uzman_D!$L$6&lt;0,-(AN77-Uzman_D!$L$6),AN77-Uzman_D!$L$6)*2),0)/1*0.1),0)+IF(AO77-Uzman_D!$M$6&lt;0,-(AO77-Uzman_D!$M$6),AO77-Uzman_D!$M$6)*1)</f>
        <v>-0.10000000000000009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3"/>
      <c r="BB77" s="73"/>
      <c r="BC77" s="71">
        <f>1-(SUM(IF(AQ77-Uzman_D!$B$7&lt;0,-(AQ77-Uzman_D!$B$7),AQ77-Uzman_D!$B$7)*0.1+IF(AR77-Uzman_D!$C$7&lt;0,-(AR77-Uzman_D!$C$7),AR77-Uzman_D!$C$7)*0.1+IF(AS77-Uzman_D!$D$7&lt;0,-(AS77-Uzman_D!$D$7),AS77-Uzman_D!$D$7)*0.1+IF(AT77-Uzman_D!$E$7&lt;0,-(AT77-Uzman_D!$E$7),AT77-Uzman_D!$E$7)*0.1+IF(AU77-Uzman_D!$F$7&lt;0,-(AU77-Uzman_D!$F$7),AU77-Uzman_D!$F$7)*0.1+IF(AV77-Uzman_D!$G$7&lt;0,-(AV77-Uzman_D!$G$7),AV77-Uzman_D!$G$7)*0.1+IF(AW77-Uzman_D!$H$7&lt;0,-(AW77-Uzman_D!$H$7),AW77-Uzman_D!$H$7)*0.1+IF(AX77-Uzman_D!$I$7&lt;0,-(AX77-Uzman_D!$I$7),AX77-Uzman_D!$I$7)*0.1+IF(AY77-Uzman_D!$J$7&lt;0,-(AY77-Uzman_D!$J$7),AY77-Uzman_D!$J$7)*0.1)+IF(ROUND((IF(BA77-Uzman_D!$L$7&lt;0,-(BA77-Uzman_D!$L$7),BA77-Uzman_D!$L$7)*2),0)/2=IF(BA77-Uzman_D!$L$7&lt;0,-(BA77-Uzman_D!$L$7),BA77-Uzman_D!$L$7),(ROUND((IF(BA77-Uzman_D!$L$7&lt;0,-(BA77-Uzman_D!$L$7),BA77-Uzman_D!$L$7)*2),0)/1*0.1),0)+IF(BB77-Uzman_D!$M$7&lt;0,-(BB77-Uzman_D!$M$7),BB77-Uzman_D!$M$7)*1)</f>
        <v>-0.7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3"/>
      <c r="BO77" s="73"/>
      <c r="BP77" s="71">
        <f>1-(SUM(IF(BD77-Uzman_D!$B$8&lt;0,-(BD77-Uzman_D!$B$8),BD77-Uzman_D!$B$8)*0.1+IF(BE77-Uzman_D!$C$8&lt;0,-(BE77-Uzman_D!$C$8),BE77-Uzman_D!$C$8)*0.1+IF(BF77-Uzman_D!$D$8&lt;0,-(BF77-Uzman_D!$D$8),BF77-Uzman_D!$D$8)*0.1+IF(BG77-Uzman_D!$E$8&lt;0,-(BG77-Uzman_D!$E$8),BG77-Uzman_D!$E$8)*0.1+IF(BH77-Uzman_D!$F$8&lt;0,-(BH77-Uzman_D!$F$8),BH77-Uzman_D!$F$8)*0.1+IF(BI77-Uzman_D!$G$8&lt;0,-(BI77-Uzman_D!$G$8),BI77-Uzman_D!$G$8)*0.1+IF(BJ77-Uzman_D!$H$8&lt;0,-(BJ77-Uzman_D!$H$8),BJ77-Uzman_D!$H$8)*0.1+IF(BK77-Uzman_D!$I$8&lt;0,-(BK77-Uzman_D!$I$8),BK77-Uzman_D!$I$8)*0.1+IF(BL77-Uzman_D!$J$8&lt;0,-(BL77-Uzman_D!$J$8),BL77-Uzman_D!$J$8)*0.1)+IF(ROUND((IF(BN77-Uzman_D!$L$8&lt;0,-(BN77-Uzman_D!$L$8),BN77-Uzman_D!$L$8)*2),0)/2=IF(BN77-Uzman_D!$L$8&lt;0,-(BN77-Uzman_D!$L$8),BN77-Uzman_D!$L$8),(ROUND((IF(BN77-Uzman_D!$L$8&lt;0,-(BN77-Uzman_D!$L$8),BN77-Uzman_D!$L$8)*2),0)/1*0.1),0)+IF(BO77-Uzman_D!$M$8&lt;0,-(BO77-Uzman_D!$M$8),BO77-Uzman_D!$M$8)*1)</f>
        <v>-1</v>
      </c>
      <c r="BQ77" s="72">
        <f t="shared" si="2"/>
        <v>-0.48000000000000009</v>
      </c>
    </row>
    <row r="78" spans="1:69" ht="15" customHeight="1" x14ac:dyDescent="0.45">
      <c r="A78" s="54">
        <v>75</v>
      </c>
      <c r="B78" s="166">
        <f>Hakemler!B78</f>
        <v>0</v>
      </c>
      <c r="C78" s="166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3"/>
      <c r="O78" s="73"/>
      <c r="P78" s="71">
        <f>1-(SUM(IF(D78-Uzman_D!$B$4&lt;0,-(D78-Uzman_D!$B$4),D78-Uzman_D!$B$4)*0.1+IF(E78-Uzman_D!$C$4&lt;0,-(E78-Uzman_D!$C$4),E78-Uzman_D!$C$4)*0.1+IF(F78-Uzman_D!$D$4&lt;0,-(F78-Uzman_D!$D$4),F78-Uzman_D!$D$4)*0.1+IF(G78-Uzman_D!$E$4&lt;0,-(G78-Uzman_D!$E$4),G78-Uzman_D!$E$4)*0.1+IF(H78-Uzman_D!$F$4&lt;0,-(H78-Uzman_D!$F$4),H78-Uzman_D!$F$4)*0.1+IF(I78-Uzman_D!$G$4&lt;0,-(I78-Uzman_D!$G$4),I78-Uzman_D!$G$4)*0.1+IF(J78-Uzman_D!$H$4&lt;0,-(J78-Uzman_D!$H$4),J78-Uzman_D!$H$4)*0.1+IF(K78-Uzman_D!$I$4&lt;0,-(K78-Uzman_D!$I$4),K78-Uzman_D!$I$4)*0.1+IF(L78-Uzman_D!$J$4&lt;0,-(L78-Uzman_D!$J$4),L78-Uzman_D!$J$4)*0.1)+IF(ROUND((IF(N78-Uzman_D!$L$4&lt;0,-(N78-Uzman_D!$L$4),N78-Uzman_D!$L$4)*2),0)/2=IF(N78-Uzman_D!$L$4&lt;0,-(N78-Uzman_D!$L$4),N78-Uzman_D!$L$4),(ROUND((IF(N78-Uzman_D!$L$4&lt;0,-(N78-Uzman_D!$L$4),N78-Uzman_D!$L$4)*2),0)/1*0.1),0)+IF(O78-Uzman_D!$M$4&lt;0,-(O78-Uzman_D!$M$4),O78-Uzman_D!$M$4)*1)</f>
        <v>-0.19999999999999996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3"/>
      <c r="AB78" s="73"/>
      <c r="AC78" s="71">
        <f>1-(SUM(IF(Q78-Uzman_D!$B$5&lt;0,-(Q78-Uzman_D!$B$5),Q78-Uzman_D!$B$5)*0.1+IF(R78-Uzman_D!$C$5&lt;0,-(R78-Uzman_D!$C$5),R78-Uzman_D!$C$5)*0.1+IF(S78-Uzman_D!$D$5&lt;0,-(S78-Uzman_D!$D$5),S78-Uzman_D!$D$5)*0.1+IF(T78-Uzman_D!$E$5&lt;0,-(T78-Uzman_D!$E$5),T78-Uzman_D!$E$5)*0.1+IF(U78-Uzman_D!$F$5&lt;0,-(U78-Uzman_D!$F$5),U78-Uzman_D!$F$5)*0.1+IF(V78-Uzman_D!$G$5&lt;0,-(V78-Uzman_D!$G$5),V78-Uzman_D!$G$5)*0.1+IF(W78-Uzman_D!$H$5&lt;0,-(W78-Uzman_D!$H$5),W78-Uzman_D!$H$5)*0.1+IF(X78-Uzman_D!$I$5&lt;0,-(X78-Uzman_D!$I$5),X78-Uzman_D!$I$5)*0.1+IF(Y78-Uzman_D!$J$5&lt;0,-(Y78-Uzman_D!$J$5),Y78-Uzman_D!$J$5)*0.1)+IF(ROUND((IF(AA78-Uzman_D!$L$5&lt;0,-(AA78-Uzman_D!$L$5),AA78-Uzman_D!$L$5)*2),0)/2=IF(AA78-Uzman_D!$L$5&lt;0,-(AA78-Uzman_D!$L$5),AA78-Uzman_D!$L$5),(ROUND((IF(AA78-Uzman_D!$L$5&lt;0,-(AA78-Uzman_D!$L$5),AA78-Uzman_D!$L$5)*2),0)/1*0.1),0)+IF(AB78-Uzman_D!$M$5&lt;0,-(AB78-Uzman_D!$M$5),AB78-Uzman_D!$M$5)*1)</f>
        <v>-0.40000000000000013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3"/>
      <c r="AO78" s="73"/>
      <c r="AP78" s="71">
        <f>1-(SUM(IF(AD78-Uzman_D!$B$6&lt;0,-(AD78-Uzman_D!$B$6),AD78-Uzman_D!$B$6)*0.1+IF(AE78-Uzman_D!$C$6&lt;0,-(AE78-Uzman_D!$C$6),AE78-Uzman_D!$C$6)*0.1+IF(AF78-Uzman_D!$D$6&lt;0,-(AF78-Uzman_D!$D$6),AF78-Uzman_D!$D$6)*0.1+IF(AG78-Uzman_D!$E$6&lt;0,-(AG78-Uzman_D!$E$6),AG78-Uzman_D!$E$6)*0.1+IF(AH78-Uzman_D!$F$6&lt;0,-(AH78-Uzman_D!$F$6),AH78-Uzman_D!$F$6)*0.1+IF(AI78-Uzman_D!$G$6&lt;0,-(AI78-Uzman_D!$G$6),AI78-Uzman_D!$G$6)*0.1+IF(AJ78-Uzman_D!$H$6&lt;0,-(AJ78-Uzman_D!$H$6),AJ78-Uzman_D!$H$6)*0.1+IF(AK78-Uzman_D!$I$6&lt;0,-(AK78-Uzman_D!$I$6),AK78-Uzman_D!$I$6)*0.1+IF(AL78-Uzman_D!$J$6&lt;0,-(AL78-Uzman_D!$J$6),AL78-Uzman_D!$J$6)*0.1)+IF(ROUND((IF(AN78-Uzman_D!$L$6&lt;0,-(AN78-Uzman_D!$L$6),AN78-Uzman_D!$L$6)*2),0)/2=IF(AN78-Uzman_D!$L$6&lt;0,-(AN78-Uzman_D!$L$6),AN78-Uzman_D!$L$6),(ROUND((IF(AN78-Uzman_D!$L$6&lt;0,-(AN78-Uzman_D!$L$6),AN78-Uzman_D!$L$6)*2),0)/1*0.1),0)+IF(AO78-Uzman_D!$M$6&lt;0,-(AO78-Uzman_D!$M$6),AO78-Uzman_D!$M$6)*1)</f>
        <v>-0.10000000000000009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3"/>
      <c r="BB78" s="73"/>
      <c r="BC78" s="71">
        <f>1-(SUM(IF(AQ78-Uzman_D!$B$7&lt;0,-(AQ78-Uzman_D!$B$7),AQ78-Uzman_D!$B$7)*0.1+IF(AR78-Uzman_D!$C$7&lt;0,-(AR78-Uzman_D!$C$7),AR78-Uzman_D!$C$7)*0.1+IF(AS78-Uzman_D!$D$7&lt;0,-(AS78-Uzman_D!$D$7),AS78-Uzman_D!$D$7)*0.1+IF(AT78-Uzman_D!$E$7&lt;0,-(AT78-Uzman_D!$E$7),AT78-Uzman_D!$E$7)*0.1+IF(AU78-Uzman_D!$F$7&lt;0,-(AU78-Uzman_D!$F$7),AU78-Uzman_D!$F$7)*0.1+IF(AV78-Uzman_D!$G$7&lt;0,-(AV78-Uzman_D!$G$7),AV78-Uzman_D!$G$7)*0.1+IF(AW78-Uzman_D!$H$7&lt;0,-(AW78-Uzman_D!$H$7),AW78-Uzman_D!$H$7)*0.1+IF(AX78-Uzman_D!$I$7&lt;0,-(AX78-Uzman_D!$I$7),AX78-Uzman_D!$I$7)*0.1+IF(AY78-Uzman_D!$J$7&lt;0,-(AY78-Uzman_D!$J$7),AY78-Uzman_D!$J$7)*0.1)+IF(ROUND((IF(BA78-Uzman_D!$L$7&lt;0,-(BA78-Uzman_D!$L$7),BA78-Uzman_D!$L$7)*2),0)/2=IF(BA78-Uzman_D!$L$7&lt;0,-(BA78-Uzman_D!$L$7),BA78-Uzman_D!$L$7),(ROUND((IF(BA78-Uzman_D!$L$7&lt;0,-(BA78-Uzman_D!$L$7),BA78-Uzman_D!$L$7)*2),0)/1*0.1),0)+IF(BB78-Uzman_D!$M$7&lt;0,-(BB78-Uzman_D!$M$7),BB78-Uzman_D!$M$7)*1)</f>
        <v>-0.7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3"/>
      <c r="BO78" s="73"/>
      <c r="BP78" s="71">
        <f>1-(SUM(IF(BD78-Uzman_D!$B$8&lt;0,-(BD78-Uzman_D!$B$8),BD78-Uzman_D!$B$8)*0.1+IF(BE78-Uzman_D!$C$8&lt;0,-(BE78-Uzman_D!$C$8),BE78-Uzman_D!$C$8)*0.1+IF(BF78-Uzman_D!$D$8&lt;0,-(BF78-Uzman_D!$D$8),BF78-Uzman_D!$D$8)*0.1+IF(BG78-Uzman_D!$E$8&lt;0,-(BG78-Uzman_D!$E$8),BG78-Uzman_D!$E$8)*0.1+IF(BH78-Uzman_D!$F$8&lt;0,-(BH78-Uzman_D!$F$8),BH78-Uzman_D!$F$8)*0.1+IF(BI78-Uzman_D!$G$8&lt;0,-(BI78-Uzman_D!$G$8),BI78-Uzman_D!$G$8)*0.1+IF(BJ78-Uzman_D!$H$8&lt;0,-(BJ78-Uzman_D!$H$8),BJ78-Uzman_D!$H$8)*0.1+IF(BK78-Uzman_D!$I$8&lt;0,-(BK78-Uzman_D!$I$8),BK78-Uzman_D!$I$8)*0.1+IF(BL78-Uzman_D!$J$8&lt;0,-(BL78-Uzman_D!$J$8),BL78-Uzman_D!$J$8)*0.1)+IF(ROUND((IF(BN78-Uzman_D!$L$8&lt;0,-(BN78-Uzman_D!$L$8),BN78-Uzman_D!$L$8)*2),0)/2=IF(BN78-Uzman_D!$L$8&lt;0,-(BN78-Uzman_D!$L$8),BN78-Uzman_D!$L$8),(ROUND((IF(BN78-Uzman_D!$L$8&lt;0,-(BN78-Uzman_D!$L$8),BN78-Uzman_D!$L$8)*2),0)/1*0.1),0)+IF(BO78-Uzman_D!$M$8&lt;0,-(BO78-Uzman_D!$M$8),BO78-Uzman_D!$M$8)*1)</f>
        <v>-1</v>
      </c>
      <c r="BQ78" s="72">
        <f t="shared" si="2"/>
        <v>-0.48000000000000009</v>
      </c>
    </row>
    <row r="79" spans="1:69" ht="15" customHeight="1" x14ac:dyDescent="0.45">
      <c r="A79" s="54">
        <v>76</v>
      </c>
      <c r="B79" s="166">
        <f>Hakemler!B79</f>
        <v>0</v>
      </c>
      <c r="C79" s="166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3"/>
      <c r="O79" s="73"/>
      <c r="P79" s="71">
        <f>1-(SUM(IF(D79-Uzman_D!$B$4&lt;0,-(D79-Uzman_D!$B$4),D79-Uzman_D!$B$4)*0.1+IF(E79-Uzman_D!$C$4&lt;0,-(E79-Uzman_D!$C$4),E79-Uzman_D!$C$4)*0.1+IF(F79-Uzman_D!$D$4&lt;0,-(F79-Uzman_D!$D$4),F79-Uzman_D!$D$4)*0.1+IF(G79-Uzman_D!$E$4&lt;0,-(G79-Uzman_D!$E$4),G79-Uzman_D!$E$4)*0.1+IF(H79-Uzman_D!$F$4&lt;0,-(H79-Uzman_D!$F$4),H79-Uzman_D!$F$4)*0.1+IF(I79-Uzman_D!$G$4&lt;0,-(I79-Uzman_D!$G$4),I79-Uzman_D!$G$4)*0.1+IF(J79-Uzman_D!$H$4&lt;0,-(J79-Uzman_D!$H$4),J79-Uzman_D!$H$4)*0.1+IF(K79-Uzman_D!$I$4&lt;0,-(K79-Uzman_D!$I$4),K79-Uzman_D!$I$4)*0.1+IF(L79-Uzman_D!$J$4&lt;0,-(L79-Uzman_D!$J$4),L79-Uzman_D!$J$4)*0.1)+IF(ROUND((IF(N79-Uzman_D!$L$4&lt;0,-(N79-Uzman_D!$L$4),N79-Uzman_D!$L$4)*2),0)/2=IF(N79-Uzman_D!$L$4&lt;0,-(N79-Uzman_D!$L$4),N79-Uzman_D!$L$4),(ROUND((IF(N79-Uzman_D!$L$4&lt;0,-(N79-Uzman_D!$L$4),N79-Uzman_D!$L$4)*2),0)/1*0.1),0)+IF(O79-Uzman_D!$M$4&lt;0,-(O79-Uzman_D!$M$4),O79-Uzman_D!$M$4)*1)</f>
        <v>-0.19999999999999996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3"/>
      <c r="AB79" s="73"/>
      <c r="AC79" s="71">
        <f>1-(SUM(IF(Q79-Uzman_D!$B$5&lt;0,-(Q79-Uzman_D!$B$5),Q79-Uzman_D!$B$5)*0.1+IF(R79-Uzman_D!$C$5&lt;0,-(R79-Uzman_D!$C$5),R79-Uzman_D!$C$5)*0.1+IF(S79-Uzman_D!$D$5&lt;0,-(S79-Uzman_D!$D$5),S79-Uzman_D!$D$5)*0.1+IF(T79-Uzman_D!$E$5&lt;0,-(T79-Uzman_D!$E$5),T79-Uzman_D!$E$5)*0.1+IF(U79-Uzman_D!$F$5&lt;0,-(U79-Uzman_D!$F$5),U79-Uzman_D!$F$5)*0.1+IF(V79-Uzman_D!$G$5&lt;0,-(V79-Uzman_D!$G$5),V79-Uzman_D!$G$5)*0.1+IF(W79-Uzman_D!$H$5&lt;0,-(W79-Uzman_D!$H$5),W79-Uzman_D!$H$5)*0.1+IF(X79-Uzman_D!$I$5&lt;0,-(X79-Uzman_D!$I$5),X79-Uzman_D!$I$5)*0.1+IF(Y79-Uzman_D!$J$5&lt;0,-(Y79-Uzman_D!$J$5),Y79-Uzman_D!$J$5)*0.1)+IF(ROUND((IF(AA79-Uzman_D!$L$5&lt;0,-(AA79-Uzman_D!$L$5),AA79-Uzman_D!$L$5)*2),0)/2=IF(AA79-Uzman_D!$L$5&lt;0,-(AA79-Uzman_D!$L$5),AA79-Uzman_D!$L$5),(ROUND((IF(AA79-Uzman_D!$L$5&lt;0,-(AA79-Uzman_D!$L$5),AA79-Uzman_D!$L$5)*2),0)/1*0.1),0)+IF(AB79-Uzman_D!$M$5&lt;0,-(AB79-Uzman_D!$M$5),AB79-Uzman_D!$M$5)*1)</f>
        <v>-0.40000000000000013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3"/>
      <c r="AO79" s="73"/>
      <c r="AP79" s="71">
        <f>1-(SUM(IF(AD79-Uzman_D!$B$6&lt;0,-(AD79-Uzman_D!$B$6),AD79-Uzman_D!$B$6)*0.1+IF(AE79-Uzman_D!$C$6&lt;0,-(AE79-Uzman_D!$C$6),AE79-Uzman_D!$C$6)*0.1+IF(AF79-Uzman_D!$D$6&lt;0,-(AF79-Uzman_D!$D$6),AF79-Uzman_D!$D$6)*0.1+IF(AG79-Uzman_D!$E$6&lt;0,-(AG79-Uzman_D!$E$6),AG79-Uzman_D!$E$6)*0.1+IF(AH79-Uzman_D!$F$6&lt;0,-(AH79-Uzman_D!$F$6),AH79-Uzman_D!$F$6)*0.1+IF(AI79-Uzman_D!$G$6&lt;0,-(AI79-Uzman_D!$G$6),AI79-Uzman_D!$G$6)*0.1+IF(AJ79-Uzman_D!$H$6&lt;0,-(AJ79-Uzman_D!$H$6),AJ79-Uzman_D!$H$6)*0.1+IF(AK79-Uzman_D!$I$6&lt;0,-(AK79-Uzman_D!$I$6),AK79-Uzman_D!$I$6)*0.1+IF(AL79-Uzman_D!$J$6&lt;0,-(AL79-Uzman_D!$J$6),AL79-Uzman_D!$J$6)*0.1)+IF(ROUND((IF(AN79-Uzman_D!$L$6&lt;0,-(AN79-Uzman_D!$L$6),AN79-Uzman_D!$L$6)*2),0)/2=IF(AN79-Uzman_D!$L$6&lt;0,-(AN79-Uzman_D!$L$6),AN79-Uzman_D!$L$6),(ROUND((IF(AN79-Uzman_D!$L$6&lt;0,-(AN79-Uzman_D!$L$6),AN79-Uzman_D!$L$6)*2),0)/1*0.1),0)+IF(AO79-Uzman_D!$M$6&lt;0,-(AO79-Uzman_D!$M$6),AO79-Uzman_D!$M$6)*1)</f>
        <v>-0.10000000000000009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3"/>
      <c r="BB79" s="73"/>
      <c r="BC79" s="71">
        <f>1-(SUM(IF(AQ79-Uzman_D!$B$7&lt;0,-(AQ79-Uzman_D!$B$7),AQ79-Uzman_D!$B$7)*0.1+IF(AR79-Uzman_D!$C$7&lt;0,-(AR79-Uzman_D!$C$7),AR79-Uzman_D!$C$7)*0.1+IF(AS79-Uzman_D!$D$7&lt;0,-(AS79-Uzman_D!$D$7),AS79-Uzman_D!$D$7)*0.1+IF(AT79-Uzman_D!$E$7&lt;0,-(AT79-Uzman_D!$E$7),AT79-Uzman_D!$E$7)*0.1+IF(AU79-Uzman_D!$F$7&lt;0,-(AU79-Uzman_D!$F$7),AU79-Uzman_D!$F$7)*0.1+IF(AV79-Uzman_D!$G$7&lt;0,-(AV79-Uzman_D!$G$7),AV79-Uzman_D!$G$7)*0.1+IF(AW79-Uzman_D!$H$7&lt;0,-(AW79-Uzman_D!$H$7),AW79-Uzman_D!$H$7)*0.1+IF(AX79-Uzman_D!$I$7&lt;0,-(AX79-Uzman_D!$I$7),AX79-Uzman_D!$I$7)*0.1+IF(AY79-Uzman_D!$J$7&lt;0,-(AY79-Uzman_D!$J$7),AY79-Uzman_D!$J$7)*0.1)+IF(ROUND((IF(BA79-Uzman_D!$L$7&lt;0,-(BA79-Uzman_D!$L$7),BA79-Uzman_D!$L$7)*2),0)/2=IF(BA79-Uzman_D!$L$7&lt;0,-(BA79-Uzman_D!$L$7),BA79-Uzman_D!$L$7),(ROUND((IF(BA79-Uzman_D!$L$7&lt;0,-(BA79-Uzman_D!$L$7),BA79-Uzman_D!$L$7)*2),0)/1*0.1),0)+IF(BB79-Uzman_D!$M$7&lt;0,-(BB79-Uzman_D!$M$7),BB79-Uzman_D!$M$7)*1)</f>
        <v>-0.7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3"/>
      <c r="BO79" s="73"/>
      <c r="BP79" s="71">
        <f>1-(SUM(IF(BD79-Uzman_D!$B$8&lt;0,-(BD79-Uzman_D!$B$8),BD79-Uzman_D!$B$8)*0.1+IF(BE79-Uzman_D!$C$8&lt;0,-(BE79-Uzman_D!$C$8),BE79-Uzman_D!$C$8)*0.1+IF(BF79-Uzman_D!$D$8&lt;0,-(BF79-Uzman_D!$D$8),BF79-Uzman_D!$D$8)*0.1+IF(BG79-Uzman_D!$E$8&lt;0,-(BG79-Uzman_D!$E$8),BG79-Uzman_D!$E$8)*0.1+IF(BH79-Uzman_D!$F$8&lt;0,-(BH79-Uzman_D!$F$8),BH79-Uzman_D!$F$8)*0.1+IF(BI79-Uzman_D!$G$8&lt;0,-(BI79-Uzman_D!$G$8),BI79-Uzman_D!$G$8)*0.1+IF(BJ79-Uzman_D!$H$8&lt;0,-(BJ79-Uzman_D!$H$8),BJ79-Uzman_D!$H$8)*0.1+IF(BK79-Uzman_D!$I$8&lt;0,-(BK79-Uzman_D!$I$8),BK79-Uzman_D!$I$8)*0.1+IF(BL79-Uzman_D!$J$8&lt;0,-(BL79-Uzman_D!$J$8),BL79-Uzman_D!$J$8)*0.1)+IF(ROUND((IF(BN79-Uzman_D!$L$8&lt;0,-(BN79-Uzman_D!$L$8),BN79-Uzman_D!$L$8)*2),0)/2=IF(BN79-Uzman_D!$L$8&lt;0,-(BN79-Uzman_D!$L$8),BN79-Uzman_D!$L$8),(ROUND((IF(BN79-Uzman_D!$L$8&lt;0,-(BN79-Uzman_D!$L$8),BN79-Uzman_D!$L$8)*2),0)/1*0.1),0)+IF(BO79-Uzman_D!$M$8&lt;0,-(BO79-Uzman_D!$M$8),BO79-Uzman_D!$M$8)*1)</f>
        <v>-1</v>
      </c>
      <c r="BQ79" s="72">
        <f t="shared" si="2"/>
        <v>-0.48000000000000009</v>
      </c>
    </row>
    <row r="80" spans="1:69" ht="15" customHeight="1" x14ac:dyDescent="0.45">
      <c r="A80" s="54">
        <v>77</v>
      </c>
      <c r="B80" s="166">
        <f>Hakemler!B80</f>
        <v>0</v>
      </c>
      <c r="C80" s="166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3"/>
      <c r="O80" s="73"/>
      <c r="P80" s="71">
        <f>1-(SUM(IF(D80-Uzman_D!$B$4&lt;0,-(D80-Uzman_D!$B$4),D80-Uzman_D!$B$4)*0.1+IF(E80-Uzman_D!$C$4&lt;0,-(E80-Uzman_D!$C$4),E80-Uzman_D!$C$4)*0.1+IF(F80-Uzman_D!$D$4&lt;0,-(F80-Uzman_D!$D$4),F80-Uzman_D!$D$4)*0.1+IF(G80-Uzman_D!$E$4&lt;0,-(G80-Uzman_D!$E$4),G80-Uzman_D!$E$4)*0.1+IF(H80-Uzman_D!$F$4&lt;0,-(H80-Uzman_D!$F$4),H80-Uzman_D!$F$4)*0.1+IF(I80-Uzman_D!$G$4&lt;0,-(I80-Uzman_D!$G$4),I80-Uzman_D!$G$4)*0.1+IF(J80-Uzman_D!$H$4&lt;0,-(J80-Uzman_D!$H$4),J80-Uzman_D!$H$4)*0.1+IF(K80-Uzman_D!$I$4&lt;0,-(K80-Uzman_D!$I$4),K80-Uzman_D!$I$4)*0.1+IF(L80-Uzman_D!$J$4&lt;0,-(L80-Uzman_D!$J$4),L80-Uzman_D!$J$4)*0.1)+IF(ROUND((IF(N80-Uzman_D!$L$4&lt;0,-(N80-Uzman_D!$L$4),N80-Uzman_D!$L$4)*2),0)/2=IF(N80-Uzman_D!$L$4&lt;0,-(N80-Uzman_D!$L$4),N80-Uzman_D!$L$4),(ROUND((IF(N80-Uzman_D!$L$4&lt;0,-(N80-Uzman_D!$L$4),N80-Uzman_D!$L$4)*2),0)/1*0.1),0)+IF(O80-Uzman_D!$M$4&lt;0,-(O80-Uzman_D!$M$4),O80-Uzman_D!$M$4)*1)</f>
        <v>-0.19999999999999996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3"/>
      <c r="AB80" s="73"/>
      <c r="AC80" s="71">
        <f>1-(SUM(IF(Q80-Uzman_D!$B$5&lt;0,-(Q80-Uzman_D!$B$5),Q80-Uzman_D!$B$5)*0.1+IF(R80-Uzman_D!$C$5&lt;0,-(R80-Uzman_D!$C$5),R80-Uzman_D!$C$5)*0.1+IF(S80-Uzman_D!$D$5&lt;0,-(S80-Uzman_D!$D$5),S80-Uzman_D!$D$5)*0.1+IF(T80-Uzman_D!$E$5&lt;0,-(T80-Uzman_D!$E$5),T80-Uzman_D!$E$5)*0.1+IF(U80-Uzman_D!$F$5&lt;0,-(U80-Uzman_D!$F$5),U80-Uzman_D!$F$5)*0.1+IF(V80-Uzman_D!$G$5&lt;0,-(V80-Uzman_D!$G$5),V80-Uzman_D!$G$5)*0.1+IF(W80-Uzman_D!$H$5&lt;0,-(W80-Uzman_D!$H$5),W80-Uzman_D!$H$5)*0.1+IF(X80-Uzman_D!$I$5&lt;0,-(X80-Uzman_D!$I$5),X80-Uzman_D!$I$5)*0.1+IF(Y80-Uzman_D!$J$5&lt;0,-(Y80-Uzman_D!$J$5),Y80-Uzman_D!$J$5)*0.1)+IF(ROUND((IF(AA80-Uzman_D!$L$5&lt;0,-(AA80-Uzman_D!$L$5),AA80-Uzman_D!$L$5)*2),0)/2=IF(AA80-Uzman_D!$L$5&lt;0,-(AA80-Uzman_D!$L$5),AA80-Uzman_D!$L$5),(ROUND((IF(AA80-Uzman_D!$L$5&lt;0,-(AA80-Uzman_D!$L$5),AA80-Uzman_D!$L$5)*2),0)/1*0.1),0)+IF(AB80-Uzman_D!$M$5&lt;0,-(AB80-Uzman_D!$M$5),AB80-Uzman_D!$M$5)*1)</f>
        <v>-0.40000000000000013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3"/>
      <c r="AO80" s="73"/>
      <c r="AP80" s="71">
        <f>1-(SUM(IF(AD80-Uzman_D!$B$6&lt;0,-(AD80-Uzman_D!$B$6),AD80-Uzman_D!$B$6)*0.1+IF(AE80-Uzman_D!$C$6&lt;0,-(AE80-Uzman_D!$C$6),AE80-Uzman_D!$C$6)*0.1+IF(AF80-Uzman_D!$D$6&lt;0,-(AF80-Uzman_D!$D$6),AF80-Uzman_D!$D$6)*0.1+IF(AG80-Uzman_D!$E$6&lt;0,-(AG80-Uzman_D!$E$6),AG80-Uzman_D!$E$6)*0.1+IF(AH80-Uzman_D!$F$6&lt;0,-(AH80-Uzman_D!$F$6),AH80-Uzman_D!$F$6)*0.1+IF(AI80-Uzman_D!$G$6&lt;0,-(AI80-Uzman_D!$G$6),AI80-Uzman_D!$G$6)*0.1+IF(AJ80-Uzman_D!$H$6&lt;0,-(AJ80-Uzman_D!$H$6),AJ80-Uzman_D!$H$6)*0.1+IF(AK80-Uzman_D!$I$6&lt;0,-(AK80-Uzman_D!$I$6),AK80-Uzman_D!$I$6)*0.1+IF(AL80-Uzman_D!$J$6&lt;0,-(AL80-Uzman_D!$J$6),AL80-Uzman_D!$J$6)*0.1)+IF(ROUND((IF(AN80-Uzman_D!$L$6&lt;0,-(AN80-Uzman_D!$L$6),AN80-Uzman_D!$L$6)*2),0)/2=IF(AN80-Uzman_D!$L$6&lt;0,-(AN80-Uzman_D!$L$6),AN80-Uzman_D!$L$6),(ROUND((IF(AN80-Uzman_D!$L$6&lt;0,-(AN80-Uzman_D!$L$6),AN80-Uzman_D!$L$6)*2),0)/1*0.1),0)+IF(AO80-Uzman_D!$M$6&lt;0,-(AO80-Uzman_D!$M$6),AO80-Uzman_D!$M$6)*1)</f>
        <v>-0.10000000000000009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3"/>
      <c r="BB80" s="73"/>
      <c r="BC80" s="71">
        <f>1-(SUM(IF(AQ80-Uzman_D!$B$7&lt;0,-(AQ80-Uzman_D!$B$7),AQ80-Uzman_D!$B$7)*0.1+IF(AR80-Uzman_D!$C$7&lt;0,-(AR80-Uzman_D!$C$7),AR80-Uzman_D!$C$7)*0.1+IF(AS80-Uzman_D!$D$7&lt;0,-(AS80-Uzman_D!$D$7),AS80-Uzman_D!$D$7)*0.1+IF(AT80-Uzman_D!$E$7&lt;0,-(AT80-Uzman_D!$E$7),AT80-Uzman_D!$E$7)*0.1+IF(AU80-Uzman_D!$F$7&lt;0,-(AU80-Uzman_D!$F$7),AU80-Uzman_D!$F$7)*0.1+IF(AV80-Uzman_D!$G$7&lt;0,-(AV80-Uzman_D!$G$7),AV80-Uzman_D!$G$7)*0.1+IF(AW80-Uzman_D!$H$7&lt;0,-(AW80-Uzman_D!$H$7),AW80-Uzman_D!$H$7)*0.1+IF(AX80-Uzman_D!$I$7&lt;0,-(AX80-Uzman_D!$I$7),AX80-Uzman_D!$I$7)*0.1+IF(AY80-Uzman_D!$J$7&lt;0,-(AY80-Uzman_D!$J$7),AY80-Uzman_D!$J$7)*0.1)+IF(ROUND((IF(BA80-Uzman_D!$L$7&lt;0,-(BA80-Uzman_D!$L$7),BA80-Uzman_D!$L$7)*2),0)/2=IF(BA80-Uzman_D!$L$7&lt;0,-(BA80-Uzman_D!$L$7),BA80-Uzman_D!$L$7),(ROUND((IF(BA80-Uzman_D!$L$7&lt;0,-(BA80-Uzman_D!$L$7),BA80-Uzman_D!$L$7)*2),0)/1*0.1),0)+IF(BB80-Uzman_D!$M$7&lt;0,-(BB80-Uzman_D!$M$7),BB80-Uzman_D!$M$7)*1)</f>
        <v>-0.7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3"/>
      <c r="BO80" s="73"/>
      <c r="BP80" s="71">
        <f>1-(SUM(IF(BD80-Uzman_D!$B$8&lt;0,-(BD80-Uzman_D!$B$8),BD80-Uzman_D!$B$8)*0.1+IF(BE80-Uzman_D!$C$8&lt;0,-(BE80-Uzman_D!$C$8),BE80-Uzman_D!$C$8)*0.1+IF(BF80-Uzman_D!$D$8&lt;0,-(BF80-Uzman_D!$D$8),BF80-Uzman_D!$D$8)*0.1+IF(BG80-Uzman_D!$E$8&lt;0,-(BG80-Uzman_D!$E$8),BG80-Uzman_D!$E$8)*0.1+IF(BH80-Uzman_D!$F$8&lt;0,-(BH80-Uzman_D!$F$8),BH80-Uzman_D!$F$8)*0.1+IF(BI80-Uzman_D!$G$8&lt;0,-(BI80-Uzman_D!$G$8),BI80-Uzman_D!$G$8)*0.1+IF(BJ80-Uzman_D!$H$8&lt;0,-(BJ80-Uzman_D!$H$8),BJ80-Uzman_D!$H$8)*0.1+IF(BK80-Uzman_D!$I$8&lt;0,-(BK80-Uzman_D!$I$8),BK80-Uzman_D!$I$8)*0.1+IF(BL80-Uzman_D!$J$8&lt;0,-(BL80-Uzman_D!$J$8),BL80-Uzman_D!$J$8)*0.1)+IF(ROUND((IF(BN80-Uzman_D!$L$8&lt;0,-(BN80-Uzman_D!$L$8),BN80-Uzman_D!$L$8)*2),0)/2=IF(BN80-Uzman_D!$L$8&lt;0,-(BN80-Uzman_D!$L$8),BN80-Uzman_D!$L$8),(ROUND((IF(BN80-Uzman_D!$L$8&lt;0,-(BN80-Uzman_D!$L$8),BN80-Uzman_D!$L$8)*2),0)/1*0.1),0)+IF(BO80-Uzman_D!$M$8&lt;0,-(BO80-Uzman_D!$M$8),BO80-Uzman_D!$M$8)*1)</f>
        <v>-1</v>
      </c>
      <c r="BQ80" s="72">
        <f t="shared" si="2"/>
        <v>-0.48000000000000009</v>
      </c>
    </row>
    <row r="81" spans="1:69" ht="15" customHeight="1" x14ac:dyDescent="0.45">
      <c r="A81" s="54">
        <v>78</v>
      </c>
      <c r="B81" s="166">
        <f>Hakemler!B81</f>
        <v>0</v>
      </c>
      <c r="C81" s="166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3"/>
      <c r="O81" s="73"/>
      <c r="P81" s="71">
        <f>1-(SUM(IF(D81-Uzman_D!$B$4&lt;0,-(D81-Uzman_D!$B$4),D81-Uzman_D!$B$4)*0.1+IF(E81-Uzman_D!$C$4&lt;0,-(E81-Uzman_D!$C$4),E81-Uzman_D!$C$4)*0.1+IF(F81-Uzman_D!$D$4&lt;0,-(F81-Uzman_D!$D$4),F81-Uzman_D!$D$4)*0.1+IF(G81-Uzman_D!$E$4&lt;0,-(G81-Uzman_D!$E$4),G81-Uzman_D!$E$4)*0.1+IF(H81-Uzman_D!$F$4&lt;0,-(H81-Uzman_D!$F$4),H81-Uzman_D!$F$4)*0.1+IF(I81-Uzman_D!$G$4&lt;0,-(I81-Uzman_D!$G$4),I81-Uzman_D!$G$4)*0.1+IF(J81-Uzman_D!$H$4&lt;0,-(J81-Uzman_D!$H$4),J81-Uzman_D!$H$4)*0.1+IF(K81-Uzman_D!$I$4&lt;0,-(K81-Uzman_D!$I$4),K81-Uzman_D!$I$4)*0.1+IF(L81-Uzman_D!$J$4&lt;0,-(L81-Uzman_D!$J$4),L81-Uzman_D!$J$4)*0.1)+IF(ROUND((IF(N81-Uzman_D!$L$4&lt;0,-(N81-Uzman_D!$L$4),N81-Uzman_D!$L$4)*2),0)/2=IF(N81-Uzman_D!$L$4&lt;0,-(N81-Uzman_D!$L$4),N81-Uzman_D!$L$4),(ROUND((IF(N81-Uzman_D!$L$4&lt;0,-(N81-Uzman_D!$L$4),N81-Uzman_D!$L$4)*2),0)/1*0.1),0)+IF(O81-Uzman_D!$M$4&lt;0,-(O81-Uzman_D!$M$4),O81-Uzman_D!$M$4)*1)</f>
        <v>-0.19999999999999996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3"/>
      <c r="AB81" s="73"/>
      <c r="AC81" s="71">
        <f>1-(SUM(IF(Q81-Uzman_D!$B$5&lt;0,-(Q81-Uzman_D!$B$5),Q81-Uzman_D!$B$5)*0.1+IF(R81-Uzman_D!$C$5&lt;0,-(R81-Uzman_D!$C$5),R81-Uzman_D!$C$5)*0.1+IF(S81-Uzman_D!$D$5&lt;0,-(S81-Uzman_D!$D$5),S81-Uzman_D!$D$5)*0.1+IF(T81-Uzman_D!$E$5&lt;0,-(T81-Uzman_D!$E$5),T81-Uzman_D!$E$5)*0.1+IF(U81-Uzman_D!$F$5&lt;0,-(U81-Uzman_D!$F$5),U81-Uzman_D!$F$5)*0.1+IF(V81-Uzman_D!$G$5&lt;0,-(V81-Uzman_D!$G$5),V81-Uzman_D!$G$5)*0.1+IF(W81-Uzman_D!$H$5&lt;0,-(W81-Uzman_D!$H$5),W81-Uzman_D!$H$5)*0.1+IF(X81-Uzman_D!$I$5&lt;0,-(X81-Uzman_D!$I$5),X81-Uzman_D!$I$5)*0.1+IF(Y81-Uzman_D!$J$5&lt;0,-(Y81-Uzman_D!$J$5),Y81-Uzman_D!$J$5)*0.1)+IF(ROUND((IF(AA81-Uzman_D!$L$5&lt;0,-(AA81-Uzman_D!$L$5),AA81-Uzman_D!$L$5)*2),0)/2=IF(AA81-Uzman_D!$L$5&lt;0,-(AA81-Uzman_D!$L$5),AA81-Uzman_D!$L$5),(ROUND((IF(AA81-Uzman_D!$L$5&lt;0,-(AA81-Uzman_D!$L$5),AA81-Uzman_D!$L$5)*2),0)/1*0.1),0)+IF(AB81-Uzman_D!$M$5&lt;0,-(AB81-Uzman_D!$M$5),AB81-Uzman_D!$M$5)*1)</f>
        <v>-0.40000000000000013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3"/>
      <c r="AO81" s="73"/>
      <c r="AP81" s="71">
        <f>1-(SUM(IF(AD81-Uzman_D!$B$6&lt;0,-(AD81-Uzman_D!$B$6),AD81-Uzman_D!$B$6)*0.1+IF(AE81-Uzman_D!$C$6&lt;0,-(AE81-Uzman_D!$C$6),AE81-Uzman_D!$C$6)*0.1+IF(AF81-Uzman_D!$D$6&lt;0,-(AF81-Uzman_D!$D$6),AF81-Uzman_D!$D$6)*0.1+IF(AG81-Uzman_D!$E$6&lt;0,-(AG81-Uzman_D!$E$6),AG81-Uzman_D!$E$6)*0.1+IF(AH81-Uzman_D!$F$6&lt;0,-(AH81-Uzman_D!$F$6),AH81-Uzman_D!$F$6)*0.1+IF(AI81-Uzman_D!$G$6&lt;0,-(AI81-Uzman_D!$G$6),AI81-Uzman_D!$G$6)*0.1+IF(AJ81-Uzman_D!$H$6&lt;0,-(AJ81-Uzman_D!$H$6),AJ81-Uzman_D!$H$6)*0.1+IF(AK81-Uzman_D!$I$6&lt;0,-(AK81-Uzman_D!$I$6),AK81-Uzman_D!$I$6)*0.1+IF(AL81-Uzman_D!$J$6&lt;0,-(AL81-Uzman_D!$J$6),AL81-Uzman_D!$J$6)*0.1)+IF(ROUND((IF(AN81-Uzman_D!$L$6&lt;0,-(AN81-Uzman_D!$L$6),AN81-Uzman_D!$L$6)*2),0)/2=IF(AN81-Uzman_D!$L$6&lt;0,-(AN81-Uzman_D!$L$6),AN81-Uzman_D!$L$6),(ROUND((IF(AN81-Uzman_D!$L$6&lt;0,-(AN81-Uzman_D!$L$6),AN81-Uzman_D!$L$6)*2),0)/1*0.1),0)+IF(AO81-Uzman_D!$M$6&lt;0,-(AO81-Uzman_D!$M$6),AO81-Uzman_D!$M$6)*1)</f>
        <v>-0.10000000000000009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3"/>
      <c r="BB81" s="73"/>
      <c r="BC81" s="71">
        <f>1-(SUM(IF(AQ81-Uzman_D!$B$7&lt;0,-(AQ81-Uzman_D!$B$7),AQ81-Uzman_D!$B$7)*0.1+IF(AR81-Uzman_D!$C$7&lt;0,-(AR81-Uzman_D!$C$7),AR81-Uzman_D!$C$7)*0.1+IF(AS81-Uzman_D!$D$7&lt;0,-(AS81-Uzman_D!$D$7),AS81-Uzman_D!$D$7)*0.1+IF(AT81-Uzman_D!$E$7&lt;0,-(AT81-Uzman_D!$E$7),AT81-Uzman_D!$E$7)*0.1+IF(AU81-Uzman_D!$F$7&lt;0,-(AU81-Uzman_D!$F$7),AU81-Uzman_D!$F$7)*0.1+IF(AV81-Uzman_D!$G$7&lt;0,-(AV81-Uzman_D!$G$7),AV81-Uzman_D!$G$7)*0.1+IF(AW81-Uzman_D!$H$7&lt;0,-(AW81-Uzman_D!$H$7),AW81-Uzman_D!$H$7)*0.1+IF(AX81-Uzman_D!$I$7&lt;0,-(AX81-Uzman_D!$I$7),AX81-Uzman_D!$I$7)*0.1+IF(AY81-Uzman_D!$J$7&lt;0,-(AY81-Uzman_D!$J$7),AY81-Uzman_D!$J$7)*0.1)+IF(ROUND((IF(BA81-Uzman_D!$L$7&lt;0,-(BA81-Uzman_D!$L$7),BA81-Uzman_D!$L$7)*2),0)/2=IF(BA81-Uzman_D!$L$7&lt;0,-(BA81-Uzman_D!$L$7),BA81-Uzman_D!$L$7),(ROUND((IF(BA81-Uzman_D!$L$7&lt;0,-(BA81-Uzman_D!$L$7),BA81-Uzman_D!$L$7)*2),0)/1*0.1),0)+IF(BB81-Uzman_D!$M$7&lt;0,-(BB81-Uzman_D!$M$7),BB81-Uzman_D!$M$7)*1)</f>
        <v>-0.7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3"/>
      <c r="BO81" s="73"/>
      <c r="BP81" s="71">
        <f>1-(SUM(IF(BD81-Uzman_D!$B$8&lt;0,-(BD81-Uzman_D!$B$8),BD81-Uzman_D!$B$8)*0.1+IF(BE81-Uzman_D!$C$8&lt;0,-(BE81-Uzman_D!$C$8),BE81-Uzman_D!$C$8)*0.1+IF(BF81-Uzman_D!$D$8&lt;0,-(BF81-Uzman_D!$D$8),BF81-Uzman_D!$D$8)*0.1+IF(BG81-Uzman_D!$E$8&lt;0,-(BG81-Uzman_D!$E$8),BG81-Uzman_D!$E$8)*0.1+IF(BH81-Uzman_D!$F$8&lt;0,-(BH81-Uzman_D!$F$8),BH81-Uzman_D!$F$8)*0.1+IF(BI81-Uzman_D!$G$8&lt;0,-(BI81-Uzman_D!$G$8),BI81-Uzman_D!$G$8)*0.1+IF(BJ81-Uzman_D!$H$8&lt;0,-(BJ81-Uzman_D!$H$8),BJ81-Uzman_D!$H$8)*0.1+IF(BK81-Uzman_D!$I$8&lt;0,-(BK81-Uzman_D!$I$8),BK81-Uzman_D!$I$8)*0.1+IF(BL81-Uzman_D!$J$8&lt;0,-(BL81-Uzman_D!$J$8),BL81-Uzman_D!$J$8)*0.1)+IF(ROUND((IF(BN81-Uzman_D!$L$8&lt;0,-(BN81-Uzman_D!$L$8),BN81-Uzman_D!$L$8)*2),0)/2=IF(BN81-Uzman_D!$L$8&lt;0,-(BN81-Uzman_D!$L$8),BN81-Uzman_D!$L$8),(ROUND((IF(BN81-Uzman_D!$L$8&lt;0,-(BN81-Uzman_D!$L$8),BN81-Uzman_D!$L$8)*2),0)/1*0.1),0)+IF(BO81-Uzman_D!$M$8&lt;0,-(BO81-Uzman_D!$M$8),BO81-Uzman_D!$M$8)*1)</f>
        <v>-1</v>
      </c>
      <c r="BQ81" s="72">
        <f t="shared" si="2"/>
        <v>-0.48000000000000009</v>
      </c>
    </row>
    <row r="82" spans="1:69" ht="15" customHeight="1" x14ac:dyDescent="0.45">
      <c r="A82" s="54">
        <v>79</v>
      </c>
      <c r="B82" s="166">
        <f>Hakemler!B82</f>
        <v>0</v>
      </c>
      <c r="C82" s="166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3"/>
      <c r="O82" s="73"/>
      <c r="P82" s="71">
        <f>1-(SUM(IF(D82-Uzman_D!$B$4&lt;0,-(D82-Uzman_D!$B$4),D82-Uzman_D!$B$4)*0.1+IF(E82-Uzman_D!$C$4&lt;0,-(E82-Uzman_D!$C$4),E82-Uzman_D!$C$4)*0.1+IF(F82-Uzman_D!$D$4&lt;0,-(F82-Uzman_D!$D$4),F82-Uzman_D!$D$4)*0.1+IF(G82-Uzman_D!$E$4&lt;0,-(G82-Uzman_D!$E$4),G82-Uzman_D!$E$4)*0.1+IF(H82-Uzman_D!$F$4&lt;0,-(H82-Uzman_D!$F$4),H82-Uzman_D!$F$4)*0.1+IF(I82-Uzman_D!$G$4&lt;0,-(I82-Uzman_D!$G$4),I82-Uzman_D!$G$4)*0.1+IF(J82-Uzman_D!$H$4&lt;0,-(J82-Uzman_D!$H$4),J82-Uzman_D!$H$4)*0.1+IF(K82-Uzman_D!$I$4&lt;0,-(K82-Uzman_D!$I$4),K82-Uzman_D!$I$4)*0.1+IF(L82-Uzman_D!$J$4&lt;0,-(L82-Uzman_D!$J$4),L82-Uzman_D!$J$4)*0.1)+IF(ROUND((IF(N82-Uzman_D!$L$4&lt;0,-(N82-Uzman_D!$L$4),N82-Uzman_D!$L$4)*2),0)/2=IF(N82-Uzman_D!$L$4&lt;0,-(N82-Uzman_D!$L$4),N82-Uzman_D!$L$4),(ROUND((IF(N82-Uzman_D!$L$4&lt;0,-(N82-Uzman_D!$L$4),N82-Uzman_D!$L$4)*2),0)/1*0.1),0)+IF(O82-Uzman_D!$M$4&lt;0,-(O82-Uzman_D!$M$4),O82-Uzman_D!$M$4)*1)</f>
        <v>-0.19999999999999996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3"/>
      <c r="AB82" s="73"/>
      <c r="AC82" s="71">
        <f>1-(SUM(IF(Q82-Uzman_D!$B$5&lt;0,-(Q82-Uzman_D!$B$5),Q82-Uzman_D!$B$5)*0.1+IF(R82-Uzman_D!$C$5&lt;0,-(R82-Uzman_D!$C$5),R82-Uzman_D!$C$5)*0.1+IF(S82-Uzman_D!$D$5&lt;0,-(S82-Uzman_D!$D$5),S82-Uzman_D!$D$5)*0.1+IF(T82-Uzman_D!$E$5&lt;0,-(T82-Uzman_D!$E$5),T82-Uzman_D!$E$5)*0.1+IF(U82-Uzman_D!$F$5&lt;0,-(U82-Uzman_D!$F$5),U82-Uzman_D!$F$5)*0.1+IF(V82-Uzman_D!$G$5&lt;0,-(V82-Uzman_D!$G$5),V82-Uzman_D!$G$5)*0.1+IF(W82-Uzman_D!$H$5&lt;0,-(W82-Uzman_D!$H$5),W82-Uzman_D!$H$5)*0.1+IF(X82-Uzman_D!$I$5&lt;0,-(X82-Uzman_D!$I$5),X82-Uzman_D!$I$5)*0.1+IF(Y82-Uzman_D!$J$5&lt;0,-(Y82-Uzman_D!$J$5),Y82-Uzman_D!$J$5)*0.1)+IF(ROUND((IF(AA82-Uzman_D!$L$5&lt;0,-(AA82-Uzman_D!$L$5),AA82-Uzman_D!$L$5)*2),0)/2=IF(AA82-Uzman_D!$L$5&lt;0,-(AA82-Uzman_D!$L$5),AA82-Uzman_D!$L$5),(ROUND((IF(AA82-Uzman_D!$L$5&lt;0,-(AA82-Uzman_D!$L$5),AA82-Uzman_D!$L$5)*2),0)/1*0.1),0)+IF(AB82-Uzman_D!$M$5&lt;0,-(AB82-Uzman_D!$M$5),AB82-Uzman_D!$M$5)*1)</f>
        <v>-0.40000000000000013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3"/>
      <c r="AO82" s="73"/>
      <c r="AP82" s="71">
        <f>1-(SUM(IF(AD82-Uzman_D!$B$6&lt;0,-(AD82-Uzman_D!$B$6),AD82-Uzman_D!$B$6)*0.1+IF(AE82-Uzman_D!$C$6&lt;0,-(AE82-Uzman_D!$C$6),AE82-Uzman_D!$C$6)*0.1+IF(AF82-Uzman_D!$D$6&lt;0,-(AF82-Uzman_D!$D$6),AF82-Uzman_D!$D$6)*0.1+IF(AG82-Uzman_D!$E$6&lt;0,-(AG82-Uzman_D!$E$6),AG82-Uzman_D!$E$6)*0.1+IF(AH82-Uzman_D!$F$6&lt;0,-(AH82-Uzman_D!$F$6),AH82-Uzman_D!$F$6)*0.1+IF(AI82-Uzman_D!$G$6&lt;0,-(AI82-Uzman_D!$G$6),AI82-Uzman_D!$G$6)*0.1+IF(AJ82-Uzman_D!$H$6&lt;0,-(AJ82-Uzman_D!$H$6),AJ82-Uzman_D!$H$6)*0.1+IF(AK82-Uzman_D!$I$6&lt;0,-(AK82-Uzman_D!$I$6),AK82-Uzman_D!$I$6)*0.1+IF(AL82-Uzman_D!$J$6&lt;0,-(AL82-Uzman_D!$J$6),AL82-Uzman_D!$J$6)*0.1)+IF(ROUND((IF(AN82-Uzman_D!$L$6&lt;0,-(AN82-Uzman_D!$L$6),AN82-Uzman_D!$L$6)*2),0)/2=IF(AN82-Uzman_D!$L$6&lt;0,-(AN82-Uzman_D!$L$6),AN82-Uzman_D!$L$6),(ROUND((IF(AN82-Uzman_D!$L$6&lt;0,-(AN82-Uzman_D!$L$6),AN82-Uzman_D!$L$6)*2),0)/1*0.1),0)+IF(AO82-Uzman_D!$M$6&lt;0,-(AO82-Uzman_D!$M$6),AO82-Uzman_D!$M$6)*1)</f>
        <v>-0.10000000000000009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3"/>
      <c r="BB82" s="73"/>
      <c r="BC82" s="71">
        <f>1-(SUM(IF(AQ82-Uzman_D!$B$7&lt;0,-(AQ82-Uzman_D!$B$7),AQ82-Uzman_D!$B$7)*0.1+IF(AR82-Uzman_D!$C$7&lt;0,-(AR82-Uzman_D!$C$7),AR82-Uzman_D!$C$7)*0.1+IF(AS82-Uzman_D!$D$7&lt;0,-(AS82-Uzman_D!$D$7),AS82-Uzman_D!$D$7)*0.1+IF(AT82-Uzman_D!$E$7&lt;0,-(AT82-Uzman_D!$E$7),AT82-Uzman_D!$E$7)*0.1+IF(AU82-Uzman_D!$F$7&lt;0,-(AU82-Uzman_D!$F$7),AU82-Uzman_D!$F$7)*0.1+IF(AV82-Uzman_D!$G$7&lt;0,-(AV82-Uzman_D!$G$7),AV82-Uzman_D!$G$7)*0.1+IF(AW82-Uzman_D!$H$7&lt;0,-(AW82-Uzman_D!$H$7),AW82-Uzman_D!$H$7)*0.1+IF(AX82-Uzman_D!$I$7&lt;0,-(AX82-Uzman_D!$I$7),AX82-Uzman_D!$I$7)*0.1+IF(AY82-Uzman_D!$J$7&lt;0,-(AY82-Uzman_D!$J$7),AY82-Uzman_D!$J$7)*0.1)+IF(ROUND((IF(BA82-Uzman_D!$L$7&lt;0,-(BA82-Uzman_D!$L$7),BA82-Uzman_D!$L$7)*2),0)/2=IF(BA82-Uzman_D!$L$7&lt;0,-(BA82-Uzman_D!$L$7),BA82-Uzman_D!$L$7),(ROUND((IF(BA82-Uzman_D!$L$7&lt;0,-(BA82-Uzman_D!$L$7),BA82-Uzman_D!$L$7)*2),0)/1*0.1),0)+IF(BB82-Uzman_D!$M$7&lt;0,-(BB82-Uzman_D!$M$7),BB82-Uzman_D!$M$7)*1)</f>
        <v>-0.7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3"/>
      <c r="BO82" s="73"/>
      <c r="BP82" s="71">
        <f>1-(SUM(IF(BD82-Uzman_D!$B$8&lt;0,-(BD82-Uzman_D!$B$8),BD82-Uzman_D!$B$8)*0.1+IF(BE82-Uzman_D!$C$8&lt;0,-(BE82-Uzman_D!$C$8),BE82-Uzman_D!$C$8)*0.1+IF(BF82-Uzman_D!$D$8&lt;0,-(BF82-Uzman_D!$D$8),BF82-Uzman_D!$D$8)*0.1+IF(BG82-Uzman_D!$E$8&lt;0,-(BG82-Uzman_D!$E$8),BG82-Uzman_D!$E$8)*0.1+IF(BH82-Uzman_D!$F$8&lt;0,-(BH82-Uzman_D!$F$8),BH82-Uzman_D!$F$8)*0.1+IF(BI82-Uzman_D!$G$8&lt;0,-(BI82-Uzman_D!$G$8),BI82-Uzman_D!$G$8)*0.1+IF(BJ82-Uzman_D!$H$8&lt;0,-(BJ82-Uzman_D!$H$8),BJ82-Uzman_D!$H$8)*0.1+IF(BK82-Uzman_D!$I$8&lt;0,-(BK82-Uzman_D!$I$8),BK82-Uzman_D!$I$8)*0.1+IF(BL82-Uzman_D!$J$8&lt;0,-(BL82-Uzman_D!$J$8),BL82-Uzman_D!$J$8)*0.1)+IF(ROUND((IF(BN82-Uzman_D!$L$8&lt;0,-(BN82-Uzman_D!$L$8),BN82-Uzman_D!$L$8)*2),0)/2=IF(BN82-Uzman_D!$L$8&lt;0,-(BN82-Uzman_D!$L$8),BN82-Uzman_D!$L$8),(ROUND((IF(BN82-Uzman_D!$L$8&lt;0,-(BN82-Uzman_D!$L$8),BN82-Uzman_D!$L$8)*2),0)/1*0.1),0)+IF(BO82-Uzman_D!$M$8&lt;0,-(BO82-Uzman_D!$M$8),BO82-Uzman_D!$M$8)*1)</f>
        <v>-1</v>
      </c>
      <c r="BQ82" s="72">
        <f t="shared" si="2"/>
        <v>-0.48000000000000009</v>
      </c>
    </row>
    <row r="83" spans="1:69" ht="15" customHeight="1" x14ac:dyDescent="0.45">
      <c r="A83" s="54">
        <v>80</v>
      </c>
      <c r="B83" s="166">
        <f>Hakemler!B83</f>
        <v>0</v>
      </c>
      <c r="C83" s="166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3"/>
      <c r="O83" s="73"/>
      <c r="P83" s="71">
        <f>1-(SUM(IF(D83-Uzman_D!$B$4&lt;0,-(D83-Uzman_D!$B$4),D83-Uzman_D!$B$4)*0.1+IF(E83-Uzman_D!$C$4&lt;0,-(E83-Uzman_D!$C$4),E83-Uzman_D!$C$4)*0.1+IF(F83-Uzman_D!$D$4&lt;0,-(F83-Uzman_D!$D$4),F83-Uzman_D!$D$4)*0.1+IF(G83-Uzman_D!$E$4&lt;0,-(G83-Uzman_D!$E$4),G83-Uzman_D!$E$4)*0.1+IF(H83-Uzman_D!$F$4&lt;0,-(H83-Uzman_D!$F$4),H83-Uzman_D!$F$4)*0.1+IF(I83-Uzman_D!$G$4&lt;0,-(I83-Uzman_D!$G$4),I83-Uzman_D!$G$4)*0.1+IF(J83-Uzman_D!$H$4&lt;0,-(J83-Uzman_D!$H$4),J83-Uzman_D!$H$4)*0.1+IF(K83-Uzman_D!$I$4&lt;0,-(K83-Uzman_D!$I$4),K83-Uzman_D!$I$4)*0.1+IF(L83-Uzman_D!$J$4&lt;0,-(L83-Uzman_D!$J$4),L83-Uzman_D!$J$4)*0.1)+IF(ROUND((IF(N83-Uzman_D!$L$4&lt;0,-(N83-Uzman_D!$L$4),N83-Uzman_D!$L$4)*2),0)/2=IF(N83-Uzman_D!$L$4&lt;0,-(N83-Uzman_D!$L$4),N83-Uzman_D!$L$4),(ROUND((IF(N83-Uzman_D!$L$4&lt;0,-(N83-Uzman_D!$L$4),N83-Uzman_D!$L$4)*2),0)/1*0.1),0)+IF(O83-Uzman_D!$M$4&lt;0,-(O83-Uzman_D!$M$4),O83-Uzman_D!$M$4)*1)</f>
        <v>-0.19999999999999996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3"/>
      <c r="AB83" s="73"/>
      <c r="AC83" s="71">
        <f>1-(SUM(IF(Q83-Uzman_D!$B$5&lt;0,-(Q83-Uzman_D!$B$5),Q83-Uzman_D!$B$5)*0.1+IF(R83-Uzman_D!$C$5&lt;0,-(R83-Uzman_D!$C$5),R83-Uzman_D!$C$5)*0.1+IF(S83-Uzman_D!$D$5&lt;0,-(S83-Uzman_D!$D$5),S83-Uzman_D!$D$5)*0.1+IF(T83-Uzman_D!$E$5&lt;0,-(T83-Uzman_D!$E$5),T83-Uzman_D!$E$5)*0.1+IF(U83-Uzman_D!$F$5&lt;0,-(U83-Uzman_D!$F$5),U83-Uzman_D!$F$5)*0.1+IF(V83-Uzman_D!$G$5&lt;0,-(V83-Uzman_D!$G$5),V83-Uzman_D!$G$5)*0.1+IF(W83-Uzman_D!$H$5&lt;0,-(W83-Uzman_D!$H$5),W83-Uzman_D!$H$5)*0.1+IF(X83-Uzman_D!$I$5&lt;0,-(X83-Uzman_D!$I$5),X83-Uzman_D!$I$5)*0.1+IF(Y83-Uzman_D!$J$5&lt;0,-(Y83-Uzman_D!$J$5),Y83-Uzman_D!$J$5)*0.1)+IF(ROUND((IF(AA83-Uzman_D!$L$5&lt;0,-(AA83-Uzman_D!$L$5),AA83-Uzman_D!$L$5)*2),0)/2=IF(AA83-Uzman_D!$L$5&lt;0,-(AA83-Uzman_D!$L$5),AA83-Uzman_D!$L$5),(ROUND((IF(AA83-Uzman_D!$L$5&lt;0,-(AA83-Uzman_D!$L$5),AA83-Uzman_D!$L$5)*2),0)/1*0.1),0)+IF(AB83-Uzman_D!$M$5&lt;0,-(AB83-Uzman_D!$M$5),AB83-Uzman_D!$M$5)*1)</f>
        <v>-0.40000000000000013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3"/>
      <c r="AO83" s="73"/>
      <c r="AP83" s="71">
        <f>1-(SUM(IF(AD83-Uzman_D!$B$6&lt;0,-(AD83-Uzman_D!$B$6),AD83-Uzman_D!$B$6)*0.1+IF(AE83-Uzman_D!$C$6&lt;0,-(AE83-Uzman_D!$C$6),AE83-Uzman_D!$C$6)*0.1+IF(AF83-Uzman_D!$D$6&lt;0,-(AF83-Uzman_D!$D$6),AF83-Uzman_D!$D$6)*0.1+IF(AG83-Uzman_D!$E$6&lt;0,-(AG83-Uzman_D!$E$6),AG83-Uzman_D!$E$6)*0.1+IF(AH83-Uzman_D!$F$6&lt;0,-(AH83-Uzman_D!$F$6),AH83-Uzman_D!$F$6)*0.1+IF(AI83-Uzman_D!$G$6&lt;0,-(AI83-Uzman_D!$G$6),AI83-Uzman_D!$G$6)*0.1+IF(AJ83-Uzman_D!$H$6&lt;0,-(AJ83-Uzman_D!$H$6),AJ83-Uzman_D!$H$6)*0.1+IF(AK83-Uzman_D!$I$6&lt;0,-(AK83-Uzman_D!$I$6),AK83-Uzman_D!$I$6)*0.1+IF(AL83-Uzman_D!$J$6&lt;0,-(AL83-Uzman_D!$J$6),AL83-Uzman_D!$J$6)*0.1)+IF(ROUND((IF(AN83-Uzman_D!$L$6&lt;0,-(AN83-Uzman_D!$L$6),AN83-Uzman_D!$L$6)*2),0)/2=IF(AN83-Uzman_D!$L$6&lt;0,-(AN83-Uzman_D!$L$6),AN83-Uzman_D!$L$6),(ROUND((IF(AN83-Uzman_D!$L$6&lt;0,-(AN83-Uzman_D!$L$6),AN83-Uzman_D!$L$6)*2),0)/1*0.1),0)+IF(AO83-Uzman_D!$M$6&lt;0,-(AO83-Uzman_D!$M$6),AO83-Uzman_D!$M$6)*1)</f>
        <v>-0.10000000000000009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3"/>
      <c r="BB83" s="73"/>
      <c r="BC83" s="71">
        <f>1-(SUM(IF(AQ83-Uzman_D!$B$7&lt;0,-(AQ83-Uzman_D!$B$7),AQ83-Uzman_D!$B$7)*0.1+IF(AR83-Uzman_D!$C$7&lt;0,-(AR83-Uzman_D!$C$7),AR83-Uzman_D!$C$7)*0.1+IF(AS83-Uzman_D!$D$7&lt;0,-(AS83-Uzman_D!$D$7),AS83-Uzman_D!$D$7)*0.1+IF(AT83-Uzman_D!$E$7&lt;0,-(AT83-Uzman_D!$E$7),AT83-Uzman_D!$E$7)*0.1+IF(AU83-Uzman_D!$F$7&lt;0,-(AU83-Uzman_D!$F$7),AU83-Uzman_D!$F$7)*0.1+IF(AV83-Uzman_D!$G$7&lt;0,-(AV83-Uzman_D!$G$7),AV83-Uzman_D!$G$7)*0.1+IF(AW83-Uzman_D!$H$7&lt;0,-(AW83-Uzman_D!$H$7),AW83-Uzman_D!$H$7)*0.1+IF(AX83-Uzman_D!$I$7&lt;0,-(AX83-Uzman_D!$I$7),AX83-Uzman_D!$I$7)*0.1+IF(AY83-Uzman_D!$J$7&lt;0,-(AY83-Uzman_D!$J$7),AY83-Uzman_D!$J$7)*0.1)+IF(ROUND((IF(BA83-Uzman_D!$L$7&lt;0,-(BA83-Uzman_D!$L$7),BA83-Uzman_D!$L$7)*2),0)/2=IF(BA83-Uzman_D!$L$7&lt;0,-(BA83-Uzman_D!$L$7),BA83-Uzman_D!$L$7),(ROUND((IF(BA83-Uzman_D!$L$7&lt;0,-(BA83-Uzman_D!$L$7),BA83-Uzman_D!$L$7)*2),0)/1*0.1),0)+IF(BB83-Uzman_D!$M$7&lt;0,-(BB83-Uzman_D!$M$7),BB83-Uzman_D!$M$7)*1)</f>
        <v>-0.7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3"/>
      <c r="BO83" s="73"/>
      <c r="BP83" s="71">
        <f>1-(SUM(IF(BD83-Uzman_D!$B$8&lt;0,-(BD83-Uzman_D!$B$8),BD83-Uzman_D!$B$8)*0.1+IF(BE83-Uzman_D!$C$8&lt;0,-(BE83-Uzman_D!$C$8),BE83-Uzman_D!$C$8)*0.1+IF(BF83-Uzman_D!$D$8&lt;0,-(BF83-Uzman_D!$D$8),BF83-Uzman_D!$D$8)*0.1+IF(BG83-Uzman_D!$E$8&lt;0,-(BG83-Uzman_D!$E$8),BG83-Uzman_D!$E$8)*0.1+IF(BH83-Uzman_D!$F$8&lt;0,-(BH83-Uzman_D!$F$8),BH83-Uzman_D!$F$8)*0.1+IF(BI83-Uzman_D!$G$8&lt;0,-(BI83-Uzman_D!$G$8),BI83-Uzman_D!$G$8)*0.1+IF(BJ83-Uzman_D!$H$8&lt;0,-(BJ83-Uzman_D!$H$8),BJ83-Uzman_D!$H$8)*0.1+IF(BK83-Uzman_D!$I$8&lt;0,-(BK83-Uzman_D!$I$8),BK83-Uzman_D!$I$8)*0.1+IF(BL83-Uzman_D!$J$8&lt;0,-(BL83-Uzman_D!$J$8),BL83-Uzman_D!$J$8)*0.1)+IF(ROUND((IF(BN83-Uzman_D!$L$8&lt;0,-(BN83-Uzman_D!$L$8),BN83-Uzman_D!$L$8)*2),0)/2=IF(BN83-Uzman_D!$L$8&lt;0,-(BN83-Uzman_D!$L$8),BN83-Uzman_D!$L$8),(ROUND((IF(BN83-Uzman_D!$L$8&lt;0,-(BN83-Uzman_D!$L$8),BN83-Uzman_D!$L$8)*2),0)/1*0.1),0)+IF(BO83-Uzman_D!$M$8&lt;0,-(BO83-Uzman_D!$M$8),BO83-Uzman_D!$M$8)*1)</f>
        <v>-1</v>
      </c>
      <c r="BQ83" s="72">
        <f t="shared" si="2"/>
        <v>-0.48000000000000009</v>
      </c>
    </row>
    <row r="84" spans="1:69" ht="15" customHeight="1" x14ac:dyDescent="0.45">
      <c r="A84" s="54">
        <v>81</v>
      </c>
      <c r="B84" s="166">
        <f>Hakemler!B84</f>
        <v>0</v>
      </c>
      <c r="C84" s="166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3"/>
      <c r="O84" s="73"/>
      <c r="P84" s="71">
        <f>1-(SUM(IF(D84-Uzman_D!$B$4&lt;0,-(D84-Uzman_D!$B$4),D84-Uzman_D!$B$4)*0.1+IF(E84-Uzman_D!$C$4&lt;0,-(E84-Uzman_D!$C$4),E84-Uzman_D!$C$4)*0.1+IF(F84-Uzman_D!$D$4&lt;0,-(F84-Uzman_D!$D$4),F84-Uzman_D!$D$4)*0.1+IF(G84-Uzman_D!$E$4&lt;0,-(G84-Uzman_D!$E$4),G84-Uzman_D!$E$4)*0.1+IF(H84-Uzman_D!$F$4&lt;0,-(H84-Uzman_D!$F$4),H84-Uzman_D!$F$4)*0.1+IF(I84-Uzman_D!$G$4&lt;0,-(I84-Uzman_D!$G$4),I84-Uzman_D!$G$4)*0.1+IF(J84-Uzman_D!$H$4&lt;0,-(J84-Uzman_D!$H$4),J84-Uzman_D!$H$4)*0.1+IF(K84-Uzman_D!$I$4&lt;0,-(K84-Uzman_D!$I$4),K84-Uzman_D!$I$4)*0.1+IF(L84-Uzman_D!$J$4&lt;0,-(L84-Uzman_D!$J$4),L84-Uzman_D!$J$4)*0.1)+IF(ROUND((IF(N84-Uzman_D!$L$4&lt;0,-(N84-Uzman_D!$L$4),N84-Uzman_D!$L$4)*2),0)/2=IF(N84-Uzman_D!$L$4&lt;0,-(N84-Uzman_D!$L$4),N84-Uzman_D!$L$4),(ROUND((IF(N84-Uzman_D!$L$4&lt;0,-(N84-Uzman_D!$L$4),N84-Uzman_D!$L$4)*2),0)/1*0.1),0)+IF(O84-Uzman_D!$M$4&lt;0,-(O84-Uzman_D!$M$4),O84-Uzman_D!$M$4)*1)</f>
        <v>-0.19999999999999996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3"/>
      <c r="AB84" s="73"/>
      <c r="AC84" s="71">
        <f>1-(SUM(IF(Q84-Uzman_D!$B$5&lt;0,-(Q84-Uzman_D!$B$5),Q84-Uzman_D!$B$5)*0.1+IF(R84-Uzman_D!$C$5&lt;0,-(R84-Uzman_D!$C$5),R84-Uzman_D!$C$5)*0.1+IF(S84-Uzman_D!$D$5&lt;0,-(S84-Uzman_D!$D$5),S84-Uzman_D!$D$5)*0.1+IF(T84-Uzman_D!$E$5&lt;0,-(T84-Uzman_D!$E$5),T84-Uzman_D!$E$5)*0.1+IF(U84-Uzman_D!$F$5&lt;0,-(U84-Uzman_D!$F$5),U84-Uzman_D!$F$5)*0.1+IF(V84-Uzman_D!$G$5&lt;0,-(V84-Uzman_D!$G$5),V84-Uzman_D!$G$5)*0.1+IF(W84-Uzman_D!$H$5&lt;0,-(W84-Uzman_D!$H$5),W84-Uzman_D!$H$5)*0.1+IF(X84-Uzman_D!$I$5&lt;0,-(X84-Uzman_D!$I$5),X84-Uzman_D!$I$5)*0.1+IF(Y84-Uzman_D!$J$5&lt;0,-(Y84-Uzman_D!$J$5),Y84-Uzman_D!$J$5)*0.1)+IF(ROUND((IF(AA84-Uzman_D!$L$5&lt;0,-(AA84-Uzman_D!$L$5),AA84-Uzman_D!$L$5)*2),0)/2=IF(AA84-Uzman_D!$L$5&lt;0,-(AA84-Uzman_D!$L$5),AA84-Uzman_D!$L$5),(ROUND((IF(AA84-Uzman_D!$L$5&lt;0,-(AA84-Uzman_D!$L$5),AA84-Uzman_D!$L$5)*2),0)/1*0.1),0)+IF(AB84-Uzman_D!$M$5&lt;0,-(AB84-Uzman_D!$M$5),AB84-Uzman_D!$M$5)*1)</f>
        <v>-0.40000000000000013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3"/>
      <c r="AO84" s="73"/>
      <c r="AP84" s="71">
        <f>1-(SUM(IF(AD84-Uzman_D!$B$6&lt;0,-(AD84-Uzman_D!$B$6),AD84-Uzman_D!$B$6)*0.1+IF(AE84-Uzman_D!$C$6&lt;0,-(AE84-Uzman_D!$C$6),AE84-Uzman_D!$C$6)*0.1+IF(AF84-Uzman_D!$D$6&lt;0,-(AF84-Uzman_D!$D$6),AF84-Uzman_D!$D$6)*0.1+IF(AG84-Uzman_D!$E$6&lt;0,-(AG84-Uzman_D!$E$6),AG84-Uzman_D!$E$6)*0.1+IF(AH84-Uzman_D!$F$6&lt;0,-(AH84-Uzman_D!$F$6),AH84-Uzman_D!$F$6)*0.1+IF(AI84-Uzman_D!$G$6&lt;0,-(AI84-Uzman_D!$G$6),AI84-Uzman_D!$G$6)*0.1+IF(AJ84-Uzman_D!$H$6&lt;0,-(AJ84-Uzman_D!$H$6),AJ84-Uzman_D!$H$6)*0.1+IF(AK84-Uzman_D!$I$6&lt;0,-(AK84-Uzman_D!$I$6),AK84-Uzman_D!$I$6)*0.1+IF(AL84-Uzman_D!$J$6&lt;0,-(AL84-Uzman_D!$J$6),AL84-Uzman_D!$J$6)*0.1)+IF(ROUND((IF(AN84-Uzman_D!$L$6&lt;0,-(AN84-Uzman_D!$L$6),AN84-Uzman_D!$L$6)*2),0)/2=IF(AN84-Uzman_D!$L$6&lt;0,-(AN84-Uzman_D!$L$6),AN84-Uzman_D!$L$6),(ROUND((IF(AN84-Uzman_D!$L$6&lt;0,-(AN84-Uzman_D!$L$6),AN84-Uzman_D!$L$6)*2),0)/1*0.1),0)+IF(AO84-Uzman_D!$M$6&lt;0,-(AO84-Uzman_D!$M$6),AO84-Uzman_D!$M$6)*1)</f>
        <v>-0.10000000000000009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3"/>
      <c r="BB84" s="73"/>
      <c r="BC84" s="71">
        <f>1-(SUM(IF(AQ84-Uzman_D!$B$7&lt;0,-(AQ84-Uzman_D!$B$7),AQ84-Uzman_D!$B$7)*0.1+IF(AR84-Uzman_D!$C$7&lt;0,-(AR84-Uzman_D!$C$7),AR84-Uzman_D!$C$7)*0.1+IF(AS84-Uzman_D!$D$7&lt;0,-(AS84-Uzman_D!$D$7),AS84-Uzman_D!$D$7)*0.1+IF(AT84-Uzman_D!$E$7&lt;0,-(AT84-Uzman_D!$E$7),AT84-Uzman_D!$E$7)*0.1+IF(AU84-Uzman_D!$F$7&lt;0,-(AU84-Uzman_D!$F$7),AU84-Uzman_D!$F$7)*0.1+IF(AV84-Uzman_D!$G$7&lt;0,-(AV84-Uzman_D!$G$7),AV84-Uzman_D!$G$7)*0.1+IF(AW84-Uzman_D!$H$7&lt;0,-(AW84-Uzman_D!$H$7),AW84-Uzman_D!$H$7)*0.1+IF(AX84-Uzman_D!$I$7&lt;0,-(AX84-Uzman_D!$I$7),AX84-Uzman_D!$I$7)*0.1+IF(AY84-Uzman_D!$J$7&lt;0,-(AY84-Uzman_D!$J$7),AY84-Uzman_D!$J$7)*0.1)+IF(ROUND((IF(BA84-Uzman_D!$L$7&lt;0,-(BA84-Uzman_D!$L$7),BA84-Uzman_D!$L$7)*2),0)/2=IF(BA84-Uzman_D!$L$7&lt;0,-(BA84-Uzman_D!$L$7),BA84-Uzman_D!$L$7),(ROUND((IF(BA84-Uzman_D!$L$7&lt;0,-(BA84-Uzman_D!$L$7),BA84-Uzman_D!$L$7)*2),0)/1*0.1),0)+IF(BB84-Uzman_D!$M$7&lt;0,-(BB84-Uzman_D!$M$7),BB84-Uzman_D!$M$7)*1)</f>
        <v>-0.7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3"/>
      <c r="BO84" s="73"/>
      <c r="BP84" s="71">
        <f>1-(SUM(IF(BD84-Uzman_D!$B$8&lt;0,-(BD84-Uzman_D!$B$8),BD84-Uzman_D!$B$8)*0.1+IF(BE84-Uzman_D!$C$8&lt;0,-(BE84-Uzman_D!$C$8),BE84-Uzman_D!$C$8)*0.1+IF(BF84-Uzman_D!$D$8&lt;0,-(BF84-Uzman_D!$D$8),BF84-Uzman_D!$D$8)*0.1+IF(BG84-Uzman_D!$E$8&lt;0,-(BG84-Uzman_D!$E$8),BG84-Uzman_D!$E$8)*0.1+IF(BH84-Uzman_D!$F$8&lt;0,-(BH84-Uzman_D!$F$8),BH84-Uzman_D!$F$8)*0.1+IF(BI84-Uzman_D!$G$8&lt;0,-(BI84-Uzman_D!$G$8),BI84-Uzman_D!$G$8)*0.1+IF(BJ84-Uzman_D!$H$8&lt;0,-(BJ84-Uzman_D!$H$8),BJ84-Uzman_D!$H$8)*0.1+IF(BK84-Uzman_D!$I$8&lt;0,-(BK84-Uzman_D!$I$8),BK84-Uzman_D!$I$8)*0.1+IF(BL84-Uzman_D!$J$8&lt;0,-(BL84-Uzman_D!$J$8),BL84-Uzman_D!$J$8)*0.1)+IF(ROUND((IF(BN84-Uzman_D!$L$8&lt;0,-(BN84-Uzman_D!$L$8),BN84-Uzman_D!$L$8)*2),0)/2=IF(BN84-Uzman_D!$L$8&lt;0,-(BN84-Uzman_D!$L$8),BN84-Uzman_D!$L$8),(ROUND((IF(BN84-Uzman_D!$L$8&lt;0,-(BN84-Uzman_D!$L$8),BN84-Uzman_D!$L$8)*2),0)/1*0.1),0)+IF(BO84-Uzman_D!$M$8&lt;0,-(BO84-Uzman_D!$M$8),BO84-Uzman_D!$M$8)*1)</f>
        <v>-1</v>
      </c>
      <c r="BQ84" s="72">
        <f t="shared" si="2"/>
        <v>-0.48000000000000009</v>
      </c>
    </row>
    <row r="85" spans="1:69" ht="15" customHeight="1" x14ac:dyDescent="0.45">
      <c r="A85" s="54">
        <v>82</v>
      </c>
      <c r="B85" s="166">
        <f>Hakemler!B85</f>
        <v>0</v>
      </c>
      <c r="C85" s="166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3"/>
      <c r="O85" s="73"/>
      <c r="P85" s="71">
        <f>1-(SUM(IF(D85-Uzman_D!$B$4&lt;0,-(D85-Uzman_D!$B$4),D85-Uzman_D!$B$4)*0.1+IF(E85-Uzman_D!$C$4&lt;0,-(E85-Uzman_D!$C$4),E85-Uzman_D!$C$4)*0.1+IF(F85-Uzman_D!$D$4&lt;0,-(F85-Uzman_D!$D$4),F85-Uzman_D!$D$4)*0.1+IF(G85-Uzman_D!$E$4&lt;0,-(G85-Uzman_D!$E$4),G85-Uzman_D!$E$4)*0.1+IF(H85-Uzman_D!$F$4&lt;0,-(H85-Uzman_D!$F$4),H85-Uzman_D!$F$4)*0.1+IF(I85-Uzman_D!$G$4&lt;0,-(I85-Uzman_D!$G$4),I85-Uzman_D!$G$4)*0.1+IF(J85-Uzman_D!$H$4&lt;0,-(J85-Uzman_D!$H$4),J85-Uzman_D!$H$4)*0.1+IF(K85-Uzman_D!$I$4&lt;0,-(K85-Uzman_D!$I$4),K85-Uzman_D!$I$4)*0.1+IF(L85-Uzman_D!$J$4&lt;0,-(L85-Uzman_D!$J$4),L85-Uzman_D!$J$4)*0.1)+IF(ROUND((IF(N85-Uzman_D!$L$4&lt;0,-(N85-Uzman_D!$L$4),N85-Uzman_D!$L$4)*2),0)/2=IF(N85-Uzman_D!$L$4&lt;0,-(N85-Uzman_D!$L$4),N85-Uzman_D!$L$4),(ROUND((IF(N85-Uzman_D!$L$4&lt;0,-(N85-Uzman_D!$L$4),N85-Uzman_D!$L$4)*2),0)/1*0.1),0)+IF(O85-Uzman_D!$M$4&lt;0,-(O85-Uzman_D!$M$4),O85-Uzman_D!$M$4)*1)</f>
        <v>-0.19999999999999996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3"/>
      <c r="AB85" s="73"/>
      <c r="AC85" s="71">
        <f>1-(SUM(IF(Q85-Uzman_D!$B$5&lt;0,-(Q85-Uzman_D!$B$5),Q85-Uzman_D!$B$5)*0.1+IF(R85-Uzman_D!$C$5&lt;0,-(R85-Uzman_D!$C$5),R85-Uzman_D!$C$5)*0.1+IF(S85-Uzman_D!$D$5&lt;0,-(S85-Uzman_D!$D$5),S85-Uzman_D!$D$5)*0.1+IF(T85-Uzman_D!$E$5&lt;0,-(T85-Uzman_D!$E$5),T85-Uzman_D!$E$5)*0.1+IF(U85-Uzman_D!$F$5&lt;0,-(U85-Uzman_D!$F$5),U85-Uzman_D!$F$5)*0.1+IF(V85-Uzman_D!$G$5&lt;0,-(V85-Uzman_D!$G$5),V85-Uzman_D!$G$5)*0.1+IF(W85-Uzman_D!$H$5&lt;0,-(W85-Uzman_D!$H$5),W85-Uzman_D!$H$5)*0.1+IF(X85-Uzman_D!$I$5&lt;0,-(X85-Uzman_D!$I$5),X85-Uzman_D!$I$5)*0.1+IF(Y85-Uzman_D!$J$5&lt;0,-(Y85-Uzman_D!$J$5),Y85-Uzman_D!$J$5)*0.1)+IF(ROUND((IF(AA85-Uzman_D!$L$5&lt;0,-(AA85-Uzman_D!$L$5),AA85-Uzman_D!$L$5)*2),0)/2=IF(AA85-Uzman_D!$L$5&lt;0,-(AA85-Uzman_D!$L$5),AA85-Uzman_D!$L$5),(ROUND((IF(AA85-Uzman_D!$L$5&lt;0,-(AA85-Uzman_D!$L$5),AA85-Uzman_D!$L$5)*2),0)/1*0.1),0)+IF(AB85-Uzman_D!$M$5&lt;0,-(AB85-Uzman_D!$M$5),AB85-Uzman_D!$M$5)*1)</f>
        <v>-0.40000000000000013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3"/>
      <c r="AO85" s="73"/>
      <c r="AP85" s="71">
        <f>1-(SUM(IF(AD85-Uzman_D!$B$6&lt;0,-(AD85-Uzman_D!$B$6),AD85-Uzman_D!$B$6)*0.1+IF(AE85-Uzman_D!$C$6&lt;0,-(AE85-Uzman_D!$C$6),AE85-Uzman_D!$C$6)*0.1+IF(AF85-Uzman_D!$D$6&lt;0,-(AF85-Uzman_D!$D$6),AF85-Uzman_D!$D$6)*0.1+IF(AG85-Uzman_D!$E$6&lt;0,-(AG85-Uzman_D!$E$6),AG85-Uzman_D!$E$6)*0.1+IF(AH85-Uzman_D!$F$6&lt;0,-(AH85-Uzman_D!$F$6),AH85-Uzman_D!$F$6)*0.1+IF(AI85-Uzman_D!$G$6&lt;0,-(AI85-Uzman_D!$G$6),AI85-Uzman_D!$G$6)*0.1+IF(AJ85-Uzman_D!$H$6&lt;0,-(AJ85-Uzman_D!$H$6),AJ85-Uzman_D!$H$6)*0.1+IF(AK85-Uzman_D!$I$6&lt;0,-(AK85-Uzman_D!$I$6),AK85-Uzman_D!$I$6)*0.1+IF(AL85-Uzman_D!$J$6&lt;0,-(AL85-Uzman_D!$J$6),AL85-Uzman_D!$J$6)*0.1)+IF(ROUND((IF(AN85-Uzman_D!$L$6&lt;0,-(AN85-Uzman_D!$L$6),AN85-Uzman_D!$L$6)*2),0)/2=IF(AN85-Uzman_D!$L$6&lt;0,-(AN85-Uzman_D!$L$6),AN85-Uzman_D!$L$6),(ROUND((IF(AN85-Uzman_D!$L$6&lt;0,-(AN85-Uzman_D!$L$6),AN85-Uzman_D!$L$6)*2),0)/1*0.1),0)+IF(AO85-Uzman_D!$M$6&lt;0,-(AO85-Uzman_D!$M$6),AO85-Uzman_D!$M$6)*1)</f>
        <v>-0.10000000000000009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3"/>
      <c r="BB85" s="73"/>
      <c r="BC85" s="71">
        <f>1-(SUM(IF(AQ85-Uzman_D!$B$7&lt;0,-(AQ85-Uzman_D!$B$7),AQ85-Uzman_D!$B$7)*0.1+IF(AR85-Uzman_D!$C$7&lt;0,-(AR85-Uzman_D!$C$7),AR85-Uzman_D!$C$7)*0.1+IF(AS85-Uzman_D!$D$7&lt;0,-(AS85-Uzman_D!$D$7),AS85-Uzman_D!$D$7)*0.1+IF(AT85-Uzman_D!$E$7&lt;0,-(AT85-Uzman_D!$E$7),AT85-Uzman_D!$E$7)*0.1+IF(AU85-Uzman_D!$F$7&lt;0,-(AU85-Uzman_D!$F$7),AU85-Uzman_D!$F$7)*0.1+IF(AV85-Uzman_D!$G$7&lt;0,-(AV85-Uzman_D!$G$7),AV85-Uzman_D!$G$7)*0.1+IF(AW85-Uzman_D!$H$7&lt;0,-(AW85-Uzman_D!$H$7),AW85-Uzman_D!$H$7)*0.1+IF(AX85-Uzman_D!$I$7&lt;0,-(AX85-Uzman_D!$I$7),AX85-Uzman_D!$I$7)*0.1+IF(AY85-Uzman_D!$J$7&lt;0,-(AY85-Uzman_D!$J$7),AY85-Uzman_D!$J$7)*0.1)+IF(ROUND((IF(BA85-Uzman_D!$L$7&lt;0,-(BA85-Uzman_D!$L$7),BA85-Uzman_D!$L$7)*2),0)/2=IF(BA85-Uzman_D!$L$7&lt;0,-(BA85-Uzman_D!$L$7),BA85-Uzman_D!$L$7),(ROUND((IF(BA85-Uzman_D!$L$7&lt;0,-(BA85-Uzman_D!$L$7),BA85-Uzman_D!$L$7)*2),0)/1*0.1),0)+IF(BB85-Uzman_D!$M$7&lt;0,-(BB85-Uzman_D!$M$7),BB85-Uzman_D!$M$7)*1)</f>
        <v>-0.7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3"/>
      <c r="BO85" s="73"/>
      <c r="BP85" s="71">
        <f>1-(SUM(IF(BD85-Uzman_D!$B$8&lt;0,-(BD85-Uzman_D!$B$8),BD85-Uzman_D!$B$8)*0.1+IF(BE85-Uzman_D!$C$8&lt;0,-(BE85-Uzman_D!$C$8),BE85-Uzman_D!$C$8)*0.1+IF(BF85-Uzman_D!$D$8&lt;0,-(BF85-Uzman_D!$D$8),BF85-Uzman_D!$D$8)*0.1+IF(BG85-Uzman_D!$E$8&lt;0,-(BG85-Uzman_D!$E$8),BG85-Uzman_D!$E$8)*0.1+IF(BH85-Uzman_D!$F$8&lt;0,-(BH85-Uzman_D!$F$8),BH85-Uzman_D!$F$8)*0.1+IF(BI85-Uzman_D!$G$8&lt;0,-(BI85-Uzman_D!$G$8),BI85-Uzman_D!$G$8)*0.1+IF(BJ85-Uzman_D!$H$8&lt;0,-(BJ85-Uzman_D!$H$8),BJ85-Uzman_D!$H$8)*0.1+IF(BK85-Uzman_D!$I$8&lt;0,-(BK85-Uzman_D!$I$8),BK85-Uzman_D!$I$8)*0.1+IF(BL85-Uzman_D!$J$8&lt;0,-(BL85-Uzman_D!$J$8),BL85-Uzman_D!$J$8)*0.1)+IF(ROUND((IF(BN85-Uzman_D!$L$8&lt;0,-(BN85-Uzman_D!$L$8),BN85-Uzman_D!$L$8)*2),0)/2=IF(BN85-Uzman_D!$L$8&lt;0,-(BN85-Uzman_D!$L$8),BN85-Uzman_D!$L$8),(ROUND((IF(BN85-Uzman_D!$L$8&lt;0,-(BN85-Uzman_D!$L$8),BN85-Uzman_D!$L$8)*2),0)/1*0.1),0)+IF(BO85-Uzman_D!$M$8&lt;0,-(BO85-Uzman_D!$M$8),BO85-Uzman_D!$M$8)*1)</f>
        <v>-1</v>
      </c>
      <c r="BQ85" s="72">
        <f t="shared" si="2"/>
        <v>-0.48000000000000009</v>
      </c>
    </row>
    <row r="86" spans="1:69" ht="15" customHeight="1" x14ac:dyDescent="0.45">
      <c r="A86" s="54">
        <v>83</v>
      </c>
      <c r="B86" s="166">
        <f>Hakemler!B86</f>
        <v>0</v>
      </c>
      <c r="C86" s="166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3"/>
      <c r="O86" s="73"/>
      <c r="P86" s="71">
        <f>1-(SUM(IF(D86-Uzman_D!$B$4&lt;0,-(D86-Uzman_D!$B$4),D86-Uzman_D!$B$4)*0.1+IF(E86-Uzman_D!$C$4&lt;0,-(E86-Uzman_D!$C$4),E86-Uzman_D!$C$4)*0.1+IF(F86-Uzman_D!$D$4&lt;0,-(F86-Uzman_D!$D$4),F86-Uzman_D!$D$4)*0.1+IF(G86-Uzman_D!$E$4&lt;0,-(G86-Uzman_D!$E$4),G86-Uzman_D!$E$4)*0.1+IF(H86-Uzman_D!$F$4&lt;0,-(H86-Uzman_D!$F$4),H86-Uzman_D!$F$4)*0.1+IF(I86-Uzman_D!$G$4&lt;0,-(I86-Uzman_D!$G$4),I86-Uzman_D!$G$4)*0.1+IF(J86-Uzman_D!$H$4&lt;0,-(J86-Uzman_D!$H$4),J86-Uzman_D!$H$4)*0.1+IF(K86-Uzman_D!$I$4&lt;0,-(K86-Uzman_D!$I$4),K86-Uzman_D!$I$4)*0.1+IF(L86-Uzman_D!$J$4&lt;0,-(L86-Uzman_D!$J$4),L86-Uzman_D!$J$4)*0.1)+IF(ROUND((IF(N86-Uzman_D!$L$4&lt;0,-(N86-Uzman_D!$L$4),N86-Uzman_D!$L$4)*2),0)/2=IF(N86-Uzman_D!$L$4&lt;0,-(N86-Uzman_D!$L$4),N86-Uzman_D!$L$4),(ROUND((IF(N86-Uzman_D!$L$4&lt;0,-(N86-Uzman_D!$L$4),N86-Uzman_D!$L$4)*2),0)/1*0.1),0)+IF(O86-Uzman_D!$M$4&lt;0,-(O86-Uzman_D!$M$4),O86-Uzman_D!$M$4)*1)</f>
        <v>-0.19999999999999996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3"/>
      <c r="AB86" s="73"/>
      <c r="AC86" s="71">
        <f>1-(SUM(IF(Q86-Uzman_D!$B$5&lt;0,-(Q86-Uzman_D!$B$5),Q86-Uzman_D!$B$5)*0.1+IF(R86-Uzman_D!$C$5&lt;0,-(R86-Uzman_D!$C$5),R86-Uzman_D!$C$5)*0.1+IF(S86-Uzman_D!$D$5&lt;0,-(S86-Uzman_D!$D$5),S86-Uzman_D!$D$5)*0.1+IF(T86-Uzman_D!$E$5&lt;0,-(T86-Uzman_D!$E$5),T86-Uzman_D!$E$5)*0.1+IF(U86-Uzman_D!$F$5&lt;0,-(U86-Uzman_D!$F$5),U86-Uzman_D!$F$5)*0.1+IF(V86-Uzman_D!$G$5&lt;0,-(V86-Uzman_D!$G$5),V86-Uzman_D!$G$5)*0.1+IF(W86-Uzman_D!$H$5&lt;0,-(W86-Uzman_D!$H$5),W86-Uzman_D!$H$5)*0.1+IF(X86-Uzman_D!$I$5&lt;0,-(X86-Uzman_D!$I$5),X86-Uzman_D!$I$5)*0.1+IF(Y86-Uzman_D!$J$5&lt;0,-(Y86-Uzman_D!$J$5),Y86-Uzman_D!$J$5)*0.1)+IF(ROUND((IF(AA86-Uzman_D!$L$5&lt;0,-(AA86-Uzman_D!$L$5),AA86-Uzman_D!$L$5)*2),0)/2=IF(AA86-Uzman_D!$L$5&lt;0,-(AA86-Uzman_D!$L$5),AA86-Uzman_D!$L$5),(ROUND((IF(AA86-Uzman_D!$L$5&lt;0,-(AA86-Uzman_D!$L$5),AA86-Uzman_D!$L$5)*2),0)/1*0.1),0)+IF(AB86-Uzman_D!$M$5&lt;0,-(AB86-Uzman_D!$M$5),AB86-Uzman_D!$M$5)*1)</f>
        <v>-0.40000000000000013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3"/>
      <c r="AO86" s="73"/>
      <c r="AP86" s="71">
        <f>1-(SUM(IF(AD86-Uzman_D!$B$6&lt;0,-(AD86-Uzman_D!$B$6),AD86-Uzman_D!$B$6)*0.1+IF(AE86-Uzman_D!$C$6&lt;0,-(AE86-Uzman_D!$C$6),AE86-Uzman_D!$C$6)*0.1+IF(AF86-Uzman_D!$D$6&lt;0,-(AF86-Uzman_D!$D$6),AF86-Uzman_D!$D$6)*0.1+IF(AG86-Uzman_D!$E$6&lt;0,-(AG86-Uzman_D!$E$6),AG86-Uzman_D!$E$6)*0.1+IF(AH86-Uzman_D!$F$6&lt;0,-(AH86-Uzman_D!$F$6),AH86-Uzman_D!$F$6)*0.1+IF(AI86-Uzman_D!$G$6&lt;0,-(AI86-Uzman_D!$G$6),AI86-Uzman_D!$G$6)*0.1+IF(AJ86-Uzman_D!$H$6&lt;0,-(AJ86-Uzman_D!$H$6),AJ86-Uzman_D!$H$6)*0.1+IF(AK86-Uzman_D!$I$6&lt;0,-(AK86-Uzman_D!$I$6),AK86-Uzman_D!$I$6)*0.1+IF(AL86-Uzman_D!$J$6&lt;0,-(AL86-Uzman_D!$J$6),AL86-Uzman_D!$J$6)*0.1)+IF(ROUND((IF(AN86-Uzman_D!$L$6&lt;0,-(AN86-Uzman_D!$L$6),AN86-Uzman_D!$L$6)*2),0)/2=IF(AN86-Uzman_D!$L$6&lt;0,-(AN86-Uzman_D!$L$6),AN86-Uzman_D!$L$6),(ROUND((IF(AN86-Uzman_D!$L$6&lt;0,-(AN86-Uzman_D!$L$6),AN86-Uzman_D!$L$6)*2),0)/1*0.1),0)+IF(AO86-Uzman_D!$M$6&lt;0,-(AO86-Uzman_D!$M$6),AO86-Uzman_D!$M$6)*1)</f>
        <v>-0.10000000000000009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3"/>
      <c r="BB86" s="73"/>
      <c r="BC86" s="71">
        <f>1-(SUM(IF(AQ86-Uzman_D!$B$7&lt;0,-(AQ86-Uzman_D!$B$7),AQ86-Uzman_D!$B$7)*0.1+IF(AR86-Uzman_D!$C$7&lt;0,-(AR86-Uzman_D!$C$7),AR86-Uzman_D!$C$7)*0.1+IF(AS86-Uzman_D!$D$7&lt;0,-(AS86-Uzman_D!$D$7),AS86-Uzman_D!$D$7)*0.1+IF(AT86-Uzman_D!$E$7&lt;0,-(AT86-Uzman_D!$E$7),AT86-Uzman_D!$E$7)*0.1+IF(AU86-Uzman_D!$F$7&lt;0,-(AU86-Uzman_D!$F$7),AU86-Uzman_D!$F$7)*0.1+IF(AV86-Uzman_D!$G$7&lt;0,-(AV86-Uzman_D!$G$7),AV86-Uzman_D!$G$7)*0.1+IF(AW86-Uzman_D!$H$7&lt;0,-(AW86-Uzman_D!$H$7),AW86-Uzman_D!$H$7)*0.1+IF(AX86-Uzman_D!$I$7&lt;0,-(AX86-Uzman_D!$I$7),AX86-Uzman_D!$I$7)*0.1+IF(AY86-Uzman_D!$J$7&lt;0,-(AY86-Uzman_D!$J$7),AY86-Uzman_D!$J$7)*0.1)+IF(ROUND((IF(BA86-Uzman_D!$L$7&lt;0,-(BA86-Uzman_D!$L$7),BA86-Uzman_D!$L$7)*2),0)/2=IF(BA86-Uzman_D!$L$7&lt;0,-(BA86-Uzman_D!$L$7),BA86-Uzman_D!$L$7),(ROUND((IF(BA86-Uzman_D!$L$7&lt;0,-(BA86-Uzman_D!$L$7),BA86-Uzman_D!$L$7)*2),0)/1*0.1),0)+IF(BB86-Uzman_D!$M$7&lt;0,-(BB86-Uzman_D!$M$7),BB86-Uzman_D!$M$7)*1)</f>
        <v>-0.7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3"/>
      <c r="BO86" s="73"/>
      <c r="BP86" s="71">
        <f>1-(SUM(IF(BD86-Uzman_D!$B$8&lt;0,-(BD86-Uzman_D!$B$8),BD86-Uzman_D!$B$8)*0.1+IF(BE86-Uzman_D!$C$8&lt;0,-(BE86-Uzman_D!$C$8),BE86-Uzman_D!$C$8)*0.1+IF(BF86-Uzman_D!$D$8&lt;0,-(BF86-Uzman_D!$D$8),BF86-Uzman_D!$D$8)*0.1+IF(BG86-Uzman_D!$E$8&lt;0,-(BG86-Uzman_D!$E$8),BG86-Uzman_D!$E$8)*0.1+IF(BH86-Uzman_D!$F$8&lt;0,-(BH86-Uzman_D!$F$8),BH86-Uzman_D!$F$8)*0.1+IF(BI86-Uzman_D!$G$8&lt;0,-(BI86-Uzman_D!$G$8),BI86-Uzman_D!$G$8)*0.1+IF(BJ86-Uzman_D!$H$8&lt;0,-(BJ86-Uzman_D!$H$8),BJ86-Uzman_D!$H$8)*0.1+IF(BK86-Uzman_D!$I$8&lt;0,-(BK86-Uzman_D!$I$8),BK86-Uzman_D!$I$8)*0.1+IF(BL86-Uzman_D!$J$8&lt;0,-(BL86-Uzman_D!$J$8),BL86-Uzman_D!$J$8)*0.1)+IF(ROUND((IF(BN86-Uzman_D!$L$8&lt;0,-(BN86-Uzman_D!$L$8),BN86-Uzman_D!$L$8)*2),0)/2=IF(BN86-Uzman_D!$L$8&lt;0,-(BN86-Uzman_D!$L$8),BN86-Uzman_D!$L$8),(ROUND((IF(BN86-Uzman_D!$L$8&lt;0,-(BN86-Uzman_D!$L$8),BN86-Uzman_D!$L$8)*2),0)/1*0.1),0)+IF(BO86-Uzman_D!$M$8&lt;0,-(BO86-Uzman_D!$M$8),BO86-Uzman_D!$M$8)*1)</f>
        <v>-1</v>
      </c>
      <c r="BQ86" s="72">
        <f t="shared" si="2"/>
        <v>-0.48000000000000009</v>
      </c>
    </row>
    <row r="87" spans="1:69" ht="15" customHeight="1" x14ac:dyDescent="0.45">
      <c r="A87" s="54">
        <v>84</v>
      </c>
      <c r="B87" s="166">
        <f>Hakemler!B87</f>
        <v>0</v>
      </c>
      <c r="C87" s="166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3"/>
      <c r="O87" s="73"/>
      <c r="P87" s="71">
        <f>1-(SUM(IF(D87-Uzman_D!$B$4&lt;0,-(D87-Uzman_D!$B$4),D87-Uzman_D!$B$4)*0.1+IF(E87-Uzman_D!$C$4&lt;0,-(E87-Uzman_D!$C$4),E87-Uzman_D!$C$4)*0.1+IF(F87-Uzman_D!$D$4&lt;0,-(F87-Uzman_D!$D$4),F87-Uzman_D!$D$4)*0.1+IF(G87-Uzman_D!$E$4&lt;0,-(G87-Uzman_D!$E$4),G87-Uzman_D!$E$4)*0.1+IF(H87-Uzman_D!$F$4&lt;0,-(H87-Uzman_D!$F$4),H87-Uzman_D!$F$4)*0.1+IF(I87-Uzman_D!$G$4&lt;0,-(I87-Uzman_D!$G$4),I87-Uzman_D!$G$4)*0.1+IF(J87-Uzman_D!$H$4&lt;0,-(J87-Uzman_D!$H$4),J87-Uzman_D!$H$4)*0.1+IF(K87-Uzman_D!$I$4&lt;0,-(K87-Uzman_D!$I$4),K87-Uzman_D!$I$4)*0.1+IF(L87-Uzman_D!$J$4&lt;0,-(L87-Uzman_D!$J$4),L87-Uzman_D!$J$4)*0.1)+IF(ROUND((IF(N87-Uzman_D!$L$4&lt;0,-(N87-Uzman_D!$L$4),N87-Uzman_D!$L$4)*2),0)/2=IF(N87-Uzman_D!$L$4&lt;0,-(N87-Uzman_D!$L$4),N87-Uzman_D!$L$4),(ROUND((IF(N87-Uzman_D!$L$4&lt;0,-(N87-Uzman_D!$L$4),N87-Uzman_D!$L$4)*2),0)/1*0.1),0)+IF(O87-Uzman_D!$M$4&lt;0,-(O87-Uzman_D!$M$4),O87-Uzman_D!$M$4)*1)</f>
        <v>-0.19999999999999996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3"/>
      <c r="AB87" s="73"/>
      <c r="AC87" s="71">
        <f>1-(SUM(IF(Q87-Uzman_D!$B$5&lt;0,-(Q87-Uzman_D!$B$5),Q87-Uzman_D!$B$5)*0.1+IF(R87-Uzman_D!$C$5&lt;0,-(R87-Uzman_D!$C$5),R87-Uzman_D!$C$5)*0.1+IF(S87-Uzman_D!$D$5&lt;0,-(S87-Uzman_D!$D$5),S87-Uzman_D!$D$5)*0.1+IF(T87-Uzman_D!$E$5&lt;0,-(T87-Uzman_D!$E$5),T87-Uzman_D!$E$5)*0.1+IF(U87-Uzman_D!$F$5&lt;0,-(U87-Uzman_D!$F$5),U87-Uzman_D!$F$5)*0.1+IF(V87-Uzman_D!$G$5&lt;0,-(V87-Uzman_D!$G$5),V87-Uzman_D!$G$5)*0.1+IF(W87-Uzman_D!$H$5&lt;0,-(W87-Uzman_D!$H$5),W87-Uzman_D!$H$5)*0.1+IF(X87-Uzman_D!$I$5&lt;0,-(X87-Uzman_D!$I$5),X87-Uzman_D!$I$5)*0.1+IF(Y87-Uzman_D!$J$5&lt;0,-(Y87-Uzman_D!$J$5),Y87-Uzman_D!$J$5)*0.1)+IF(ROUND((IF(AA87-Uzman_D!$L$5&lt;0,-(AA87-Uzman_D!$L$5),AA87-Uzman_D!$L$5)*2),0)/2=IF(AA87-Uzman_D!$L$5&lt;0,-(AA87-Uzman_D!$L$5),AA87-Uzman_D!$L$5),(ROUND((IF(AA87-Uzman_D!$L$5&lt;0,-(AA87-Uzman_D!$L$5),AA87-Uzman_D!$L$5)*2),0)/1*0.1),0)+IF(AB87-Uzman_D!$M$5&lt;0,-(AB87-Uzman_D!$M$5),AB87-Uzman_D!$M$5)*1)</f>
        <v>-0.40000000000000013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3"/>
      <c r="AO87" s="73"/>
      <c r="AP87" s="71">
        <f>1-(SUM(IF(AD87-Uzman_D!$B$6&lt;0,-(AD87-Uzman_D!$B$6),AD87-Uzman_D!$B$6)*0.1+IF(AE87-Uzman_D!$C$6&lt;0,-(AE87-Uzman_D!$C$6),AE87-Uzman_D!$C$6)*0.1+IF(AF87-Uzman_D!$D$6&lt;0,-(AF87-Uzman_D!$D$6),AF87-Uzman_D!$D$6)*0.1+IF(AG87-Uzman_D!$E$6&lt;0,-(AG87-Uzman_D!$E$6),AG87-Uzman_D!$E$6)*0.1+IF(AH87-Uzman_D!$F$6&lt;0,-(AH87-Uzman_D!$F$6),AH87-Uzman_D!$F$6)*0.1+IF(AI87-Uzman_D!$G$6&lt;0,-(AI87-Uzman_D!$G$6),AI87-Uzman_D!$G$6)*0.1+IF(AJ87-Uzman_D!$H$6&lt;0,-(AJ87-Uzman_D!$H$6),AJ87-Uzman_D!$H$6)*0.1+IF(AK87-Uzman_D!$I$6&lt;0,-(AK87-Uzman_D!$I$6),AK87-Uzman_D!$I$6)*0.1+IF(AL87-Uzman_D!$J$6&lt;0,-(AL87-Uzman_D!$J$6),AL87-Uzman_D!$J$6)*0.1)+IF(ROUND((IF(AN87-Uzman_D!$L$6&lt;0,-(AN87-Uzman_D!$L$6),AN87-Uzman_D!$L$6)*2),0)/2=IF(AN87-Uzman_D!$L$6&lt;0,-(AN87-Uzman_D!$L$6),AN87-Uzman_D!$L$6),(ROUND((IF(AN87-Uzman_D!$L$6&lt;0,-(AN87-Uzman_D!$L$6),AN87-Uzman_D!$L$6)*2),0)/1*0.1),0)+IF(AO87-Uzman_D!$M$6&lt;0,-(AO87-Uzman_D!$M$6),AO87-Uzman_D!$M$6)*1)</f>
        <v>-0.10000000000000009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3"/>
      <c r="BB87" s="73"/>
      <c r="BC87" s="71">
        <f>1-(SUM(IF(AQ87-Uzman_D!$B$7&lt;0,-(AQ87-Uzman_D!$B$7),AQ87-Uzman_D!$B$7)*0.1+IF(AR87-Uzman_D!$C$7&lt;0,-(AR87-Uzman_D!$C$7),AR87-Uzman_D!$C$7)*0.1+IF(AS87-Uzman_D!$D$7&lt;0,-(AS87-Uzman_D!$D$7),AS87-Uzman_D!$D$7)*0.1+IF(AT87-Uzman_D!$E$7&lt;0,-(AT87-Uzman_D!$E$7),AT87-Uzman_D!$E$7)*0.1+IF(AU87-Uzman_D!$F$7&lt;0,-(AU87-Uzman_D!$F$7),AU87-Uzman_D!$F$7)*0.1+IF(AV87-Uzman_D!$G$7&lt;0,-(AV87-Uzman_D!$G$7),AV87-Uzman_D!$G$7)*0.1+IF(AW87-Uzman_D!$H$7&lt;0,-(AW87-Uzman_D!$H$7),AW87-Uzman_D!$H$7)*0.1+IF(AX87-Uzman_D!$I$7&lt;0,-(AX87-Uzman_D!$I$7),AX87-Uzman_D!$I$7)*0.1+IF(AY87-Uzman_D!$J$7&lt;0,-(AY87-Uzman_D!$J$7),AY87-Uzman_D!$J$7)*0.1)+IF(ROUND((IF(BA87-Uzman_D!$L$7&lt;0,-(BA87-Uzman_D!$L$7),BA87-Uzman_D!$L$7)*2),0)/2=IF(BA87-Uzman_D!$L$7&lt;0,-(BA87-Uzman_D!$L$7),BA87-Uzman_D!$L$7),(ROUND((IF(BA87-Uzman_D!$L$7&lt;0,-(BA87-Uzman_D!$L$7),BA87-Uzman_D!$L$7)*2),0)/1*0.1),0)+IF(BB87-Uzman_D!$M$7&lt;0,-(BB87-Uzman_D!$M$7),BB87-Uzman_D!$M$7)*1)</f>
        <v>-0.7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3"/>
      <c r="BO87" s="73"/>
      <c r="BP87" s="71">
        <f>1-(SUM(IF(BD87-Uzman_D!$B$8&lt;0,-(BD87-Uzman_D!$B$8),BD87-Uzman_D!$B$8)*0.1+IF(BE87-Uzman_D!$C$8&lt;0,-(BE87-Uzman_D!$C$8),BE87-Uzman_D!$C$8)*0.1+IF(BF87-Uzman_D!$D$8&lt;0,-(BF87-Uzman_D!$D$8),BF87-Uzman_D!$D$8)*0.1+IF(BG87-Uzman_D!$E$8&lt;0,-(BG87-Uzman_D!$E$8),BG87-Uzman_D!$E$8)*0.1+IF(BH87-Uzman_D!$F$8&lt;0,-(BH87-Uzman_D!$F$8),BH87-Uzman_D!$F$8)*0.1+IF(BI87-Uzman_D!$G$8&lt;0,-(BI87-Uzman_D!$G$8),BI87-Uzman_D!$G$8)*0.1+IF(BJ87-Uzman_D!$H$8&lt;0,-(BJ87-Uzman_D!$H$8),BJ87-Uzman_D!$H$8)*0.1+IF(BK87-Uzman_D!$I$8&lt;0,-(BK87-Uzman_D!$I$8),BK87-Uzman_D!$I$8)*0.1+IF(BL87-Uzman_D!$J$8&lt;0,-(BL87-Uzman_D!$J$8),BL87-Uzman_D!$J$8)*0.1)+IF(ROUND((IF(BN87-Uzman_D!$L$8&lt;0,-(BN87-Uzman_D!$L$8),BN87-Uzman_D!$L$8)*2),0)/2=IF(BN87-Uzman_D!$L$8&lt;0,-(BN87-Uzman_D!$L$8),BN87-Uzman_D!$L$8),(ROUND((IF(BN87-Uzman_D!$L$8&lt;0,-(BN87-Uzman_D!$L$8),BN87-Uzman_D!$L$8)*2),0)/1*0.1),0)+IF(BO87-Uzman_D!$M$8&lt;0,-(BO87-Uzman_D!$M$8),BO87-Uzman_D!$M$8)*1)</f>
        <v>-1</v>
      </c>
      <c r="BQ87" s="72">
        <f t="shared" si="2"/>
        <v>-0.48000000000000009</v>
      </c>
    </row>
    <row r="88" spans="1:69" ht="15" customHeight="1" x14ac:dyDescent="0.45">
      <c r="A88" s="54">
        <v>85</v>
      </c>
      <c r="B88" s="166">
        <f>Hakemler!B88</f>
        <v>0</v>
      </c>
      <c r="C88" s="166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3"/>
      <c r="O88" s="73"/>
      <c r="P88" s="71">
        <f>1-(SUM(IF(D88-Uzman_D!$B$4&lt;0,-(D88-Uzman_D!$B$4),D88-Uzman_D!$B$4)*0.1+IF(E88-Uzman_D!$C$4&lt;0,-(E88-Uzman_D!$C$4),E88-Uzman_D!$C$4)*0.1+IF(F88-Uzman_D!$D$4&lt;0,-(F88-Uzman_D!$D$4),F88-Uzman_D!$D$4)*0.1+IF(G88-Uzman_D!$E$4&lt;0,-(G88-Uzman_D!$E$4),G88-Uzman_D!$E$4)*0.1+IF(H88-Uzman_D!$F$4&lt;0,-(H88-Uzman_D!$F$4),H88-Uzman_D!$F$4)*0.1+IF(I88-Uzman_D!$G$4&lt;0,-(I88-Uzman_D!$G$4),I88-Uzman_D!$G$4)*0.1+IF(J88-Uzman_D!$H$4&lt;0,-(J88-Uzman_D!$H$4),J88-Uzman_D!$H$4)*0.1+IF(K88-Uzman_D!$I$4&lt;0,-(K88-Uzman_D!$I$4),K88-Uzman_D!$I$4)*0.1+IF(L88-Uzman_D!$J$4&lt;0,-(L88-Uzman_D!$J$4),L88-Uzman_D!$J$4)*0.1)+IF(ROUND((IF(N88-Uzman_D!$L$4&lt;0,-(N88-Uzman_D!$L$4),N88-Uzman_D!$L$4)*2),0)/2=IF(N88-Uzman_D!$L$4&lt;0,-(N88-Uzman_D!$L$4),N88-Uzman_D!$L$4),(ROUND((IF(N88-Uzman_D!$L$4&lt;0,-(N88-Uzman_D!$L$4),N88-Uzman_D!$L$4)*2),0)/1*0.1),0)+IF(O88-Uzman_D!$M$4&lt;0,-(O88-Uzman_D!$M$4),O88-Uzman_D!$M$4)*1)</f>
        <v>-0.19999999999999996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3"/>
      <c r="AB88" s="73"/>
      <c r="AC88" s="71">
        <f>1-(SUM(IF(Q88-Uzman_D!$B$5&lt;0,-(Q88-Uzman_D!$B$5),Q88-Uzman_D!$B$5)*0.1+IF(R88-Uzman_D!$C$5&lt;0,-(R88-Uzman_D!$C$5),R88-Uzman_D!$C$5)*0.1+IF(S88-Uzman_D!$D$5&lt;0,-(S88-Uzman_D!$D$5),S88-Uzman_D!$D$5)*0.1+IF(T88-Uzman_D!$E$5&lt;0,-(T88-Uzman_D!$E$5),T88-Uzman_D!$E$5)*0.1+IF(U88-Uzman_D!$F$5&lt;0,-(U88-Uzman_D!$F$5),U88-Uzman_D!$F$5)*0.1+IF(V88-Uzman_D!$G$5&lt;0,-(V88-Uzman_D!$G$5),V88-Uzman_D!$G$5)*0.1+IF(W88-Uzman_D!$H$5&lt;0,-(W88-Uzman_D!$H$5),W88-Uzman_D!$H$5)*0.1+IF(X88-Uzman_D!$I$5&lt;0,-(X88-Uzman_D!$I$5),X88-Uzman_D!$I$5)*0.1+IF(Y88-Uzman_D!$J$5&lt;0,-(Y88-Uzman_D!$J$5),Y88-Uzman_D!$J$5)*0.1)+IF(ROUND((IF(AA88-Uzman_D!$L$5&lt;0,-(AA88-Uzman_D!$L$5),AA88-Uzman_D!$L$5)*2),0)/2=IF(AA88-Uzman_D!$L$5&lt;0,-(AA88-Uzman_D!$L$5),AA88-Uzman_D!$L$5),(ROUND((IF(AA88-Uzman_D!$L$5&lt;0,-(AA88-Uzman_D!$L$5),AA88-Uzman_D!$L$5)*2),0)/1*0.1),0)+IF(AB88-Uzman_D!$M$5&lt;0,-(AB88-Uzman_D!$M$5),AB88-Uzman_D!$M$5)*1)</f>
        <v>-0.40000000000000013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3"/>
      <c r="AO88" s="73"/>
      <c r="AP88" s="71">
        <f>1-(SUM(IF(AD88-Uzman_D!$B$6&lt;0,-(AD88-Uzman_D!$B$6),AD88-Uzman_D!$B$6)*0.1+IF(AE88-Uzman_D!$C$6&lt;0,-(AE88-Uzman_D!$C$6),AE88-Uzman_D!$C$6)*0.1+IF(AF88-Uzman_D!$D$6&lt;0,-(AF88-Uzman_D!$D$6),AF88-Uzman_D!$D$6)*0.1+IF(AG88-Uzman_D!$E$6&lt;0,-(AG88-Uzman_D!$E$6),AG88-Uzman_D!$E$6)*0.1+IF(AH88-Uzman_D!$F$6&lt;0,-(AH88-Uzman_D!$F$6),AH88-Uzman_D!$F$6)*0.1+IF(AI88-Uzman_D!$G$6&lt;0,-(AI88-Uzman_D!$G$6),AI88-Uzman_D!$G$6)*0.1+IF(AJ88-Uzman_D!$H$6&lt;0,-(AJ88-Uzman_D!$H$6),AJ88-Uzman_D!$H$6)*0.1+IF(AK88-Uzman_D!$I$6&lt;0,-(AK88-Uzman_D!$I$6),AK88-Uzman_D!$I$6)*0.1+IF(AL88-Uzman_D!$J$6&lt;0,-(AL88-Uzman_D!$J$6),AL88-Uzman_D!$J$6)*0.1)+IF(ROUND((IF(AN88-Uzman_D!$L$6&lt;0,-(AN88-Uzman_D!$L$6),AN88-Uzman_D!$L$6)*2),0)/2=IF(AN88-Uzman_D!$L$6&lt;0,-(AN88-Uzman_D!$L$6),AN88-Uzman_D!$L$6),(ROUND((IF(AN88-Uzman_D!$L$6&lt;0,-(AN88-Uzman_D!$L$6),AN88-Uzman_D!$L$6)*2),0)/1*0.1),0)+IF(AO88-Uzman_D!$M$6&lt;0,-(AO88-Uzman_D!$M$6),AO88-Uzman_D!$M$6)*1)</f>
        <v>-0.10000000000000009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3"/>
      <c r="BB88" s="73"/>
      <c r="BC88" s="71">
        <f>1-(SUM(IF(AQ88-Uzman_D!$B$7&lt;0,-(AQ88-Uzman_D!$B$7),AQ88-Uzman_D!$B$7)*0.1+IF(AR88-Uzman_D!$C$7&lt;0,-(AR88-Uzman_D!$C$7),AR88-Uzman_D!$C$7)*0.1+IF(AS88-Uzman_D!$D$7&lt;0,-(AS88-Uzman_D!$D$7),AS88-Uzman_D!$D$7)*0.1+IF(AT88-Uzman_D!$E$7&lt;0,-(AT88-Uzman_D!$E$7),AT88-Uzman_D!$E$7)*0.1+IF(AU88-Uzman_D!$F$7&lt;0,-(AU88-Uzman_D!$F$7),AU88-Uzman_D!$F$7)*0.1+IF(AV88-Uzman_D!$G$7&lt;0,-(AV88-Uzman_D!$G$7),AV88-Uzman_D!$G$7)*0.1+IF(AW88-Uzman_D!$H$7&lt;0,-(AW88-Uzman_D!$H$7),AW88-Uzman_D!$H$7)*0.1+IF(AX88-Uzman_D!$I$7&lt;0,-(AX88-Uzman_D!$I$7),AX88-Uzman_D!$I$7)*0.1+IF(AY88-Uzman_D!$J$7&lt;0,-(AY88-Uzman_D!$J$7),AY88-Uzman_D!$J$7)*0.1)+IF(ROUND((IF(BA88-Uzman_D!$L$7&lt;0,-(BA88-Uzman_D!$L$7),BA88-Uzman_D!$L$7)*2),0)/2=IF(BA88-Uzman_D!$L$7&lt;0,-(BA88-Uzman_D!$L$7),BA88-Uzman_D!$L$7),(ROUND((IF(BA88-Uzman_D!$L$7&lt;0,-(BA88-Uzman_D!$L$7),BA88-Uzman_D!$L$7)*2),0)/1*0.1),0)+IF(BB88-Uzman_D!$M$7&lt;0,-(BB88-Uzman_D!$M$7),BB88-Uzman_D!$M$7)*1)</f>
        <v>-0.7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3"/>
      <c r="BO88" s="73"/>
      <c r="BP88" s="71">
        <f>1-(SUM(IF(BD88-Uzman_D!$B$8&lt;0,-(BD88-Uzman_D!$B$8),BD88-Uzman_D!$B$8)*0.1+IF(BE88-Uzman_D!$C$8&lt;0,-(BE88-Uzman_D!$C$8),BE88-Uzman_D!$C$8)*0.1+IF(BF88-Uzman_D!$D$8&lt;0,-(BF88-Uzman_D!$D$8),BF88-Uzman_D!$D$8)*0.1+IF(BG88-Uzman_D!$E$8&lt;0,-(BG88-Uzman_D!$E$8),BG88-Uzman_D!$E$8)*0.1+IF(BH88-Uzman_D!$F$8&lt;0,-(BH88-Uzman_D!$F$8),BH88-Uzman_D!$F$8)*0.1+IF(BI88-Uzman_D!$G$8&lt;0,-(BI88-Uzman_D!$G$8),BI88-Uzman_D!$G$8)*0.1+IF(BJ88-Uzman_D!$H$8&lt;0,-(BJ88-Uzman_D!$H$8),BJ88-Uzman_D!$H$8)*0.1+IF(BK88-Uzman_D!$I$8&lt;0,-(BK88-Uzman_D!$I$8),BK88-Uzman_D!$I$8)*0.1+IF(BL88-Uzman_D!$J$8&lt;0,-(BL88-Uzman_D!$J$8),BL88-Uzman_D!$J$8)*0.1)+IF(ROUND((IF(BN88-Uzman_D!$L$8&lt;0,-(BN88-Uzman_D!$L$8),BN88-Uzman_D!$L$8)*2),0)/2=IF(BN88-Uzman_D!$L$8&lt;0,-(BN88-Uzman_D!$L$8),BN88-Uzman_D!$L$8),(ROUND((IF(BN88-Uzman_D!$L$8&lt;0,-(BN88-Uzman_D!$L$8),BN88-Uzman_D!$L$8)*2),0)/1*0.1),0)+IF(BO88-Uzman_D!$M$8&lt;0,-(BO88-Uzman_D!$M$8),BO88-Uzman_D!$M$8)*1)</f>
        <v>-1</v>
      </c>
      <c r="BQ88" s="72">
        <f t="shared" si="2"/>
        <v>-0.48000000000000009</v>
      </c>
    </row>
    <row r="89" spans="1:69" ht="15" customHeight="1" x14ac:dyDescent="0.45">
      <c r="A89" s="54">
        <v>86</v>
      </c>
      <c r="B89" s="166">
        <f>Hakemler!B89</f>
        <v>0</v>
      </c>
      <c r="C89" s="166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3"/>
      <c r="O89" s="73"/>
      <c r="P89" s="71">
        <f>1-(SUM(IF(D89-Uzman_D!$B$4&lt;0,-(D89-Uzman_D!$B$4),D89-Uzman_D!$B$4)*0.1+IF(E89-Uzman_D!$C$4&lt;0,-(E89-Uzman_D!$C$4),E89-Uzman_D!$C$4)*0.1+IF(F89-Uzman_D!$D$4&lt;0,-(F89-Uzman_D!$D$4),F89-Uzman_D!$D$4)*0.1+IF(G89-Uzman_D!$E$4&lt;0,-(G89-Uzman_D!$E$4),G89-Uzman_D!$E$4)*0.1+IF(H89-Uzman_D!$F$4&lt;0,-(H89-Uzman_D!$F$4),H89-Uzman_D!$F$4)*0.1+IF(I89-Uzman_D!$G$4&lt;0,-(I89-Uzman_D!$G$4),I89-Uzman_D!$G$4)*0.1+IF(J89-Uzman_D!$H$4&lt;0,-(J89-Uzman_D!$H$4),J89-Uzman_D!$H$4)*0.1+IF(K89-Uzman_D!$I$4&lt;0,-(K89-Uzman_D!$I$4),K89-Uzman_D!$I$4)*0.1+IF(L89-Uzman_D!$J$4&lt;0,-(L89-Uzman_D!$J$4),L89-Uzman_D!$J$4)*0.1)+IF(ROUND((IF(N89-Uzman_D!$L$4&lt;0,-(N89-Uzman_D!$L$4),N89-Uzman_D!$L$4)*2),0)/2=IF(N89-Uzman_D!$L$4&lt;0,-(N89-Uzman_D!$L$4),N89-Uzman_D!$L$4),(ROUND((IF(N89-Uzman_D!$L$4&lt;0,-(N89-Uzman_D!$L$4),N89-Uzman_D!$L$4)*2),0)/1*0.1),0)+IF(O89-Uzman_D!$M$4&lt;0,-(O89-Uzman_D!$M$4),O89-Uzman_D!$M$4)*1)</f>
        <v>-0.19999999999999996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3"/>
      <c r="AB89" s="73"/>
      <c r="AC89" s="71">
        <f>1-(SUM(IF(Q89-Uzman_D!$B$5&lt;0,-(Q89-Uzman_D!$B$5),Q89-Uzman_D!$B$5)*0.1+IF(R89-Uzman_D!$C$5&lt;0,-(R89-Uzman_D!$C$5),R89-Uzman_D!$C$5)*0.1+IF(S89-Uzman_D!$D$5&lt;0,-(S89-Uzman_D!$D$5),S89-Uzman_D!$D$5)*0.1+IF(T89-Uzman_D!$E$5&lt;0,-(T89-Uzman_D!$E$5),T89-Uzman_D!$E$5)*0.1+IF(U89-Uzman_D!$F$5&lt;0,-(U89-Uzman_D!$F$5),U89-Uzman_D!$F$5)*0.1+IF(V89-Uzman_D!$G$5&lt;0,-(V89-Uzman_D!$G$5),V89-Uzman_D!$G$5)*0.1+IF(W89-Uzman_D!$H$5&lt;0,-(W89-Uzman_D!$H$5),W89-Uzman_D!$H$5)*0.1+IF(X89-Uzman_D!$I$5&lt;0,-(X89-Uzman_D!$I$5),X89-Uzman_D!$I$5)*0.1+IF(Y89-Uzman_D!$J$5&lt;0,-(Y89-Uzman_D!$J$5),Y89-Uzman_D!$J$5)*0.1)+IF(ROUND((IF(AA89-Uzman_D!$L$5&lt;0,-(AA89-Uzman_D!$L$5),AA89-Uzman_D!$L$5)*2),0)/2=IF(AA89-Uzman_D!$L$5&lt;0,-(AA89-Uzman_D!$L$5),AA89-Uzman_D!$L$5),(ROUND((IF(AA89-Uzman_D!$L$5&lt;0,-(AA89-Uzman_D!$L$5),AA89-Uzman_D!$L$5)*2),0)/1*0.1),0)+IF(AB89-Uzman_D!$M$5&lt;0,-(AB89-Uzman_D!$M$5),AB89-Uzman_D!$M$5)*1)</f>
        <v>-0.40000000000000013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3"/>
      <c r="AO89" s="73"/>
      <c r="AP89" s="71">
        <f>1-(SUM(IF(AD89-Uzman_D!$B$6&lt;0,-(AD89-Uzman_D!$B$6),AD89-Uzman_D!$B$6)*0.1+IF(AE89-Uzman_D!$C$6&lt;0,-(AE89-Uzman_D!$C$6),AE89-Uzman_D!$C$6)*0.1+IF(AF89-Uzman_D!$D$6&lt;0,-(AF89-Uzman_D!$D$6),AF89-Uzman_D!$D$6)*0.1+IF(AG89-Uzman_D!$E$6&lt;0,-(AG89-Uzman_D!$E$6),AG89-Uzman_D!$E$6)*0.1+IF(AH89-Uzman_D!$F$6&lt;0,-(AH89-Uzman_D!$F$6),AH89-Uzman_D!$F$6)*0.1+IF(AI89-Uzman_D!$G$6&lt;0,-(AI89-Uzman_D!$G$6),AI89-Uzman_D!$G$6)*0.1+IF(AJ89-Uzman_D!$H$6&lt;0,-(AJ89-Uzman_D!$H$6),AJ89-Uzman_D!$H$6)*0.1+IF(AK89-Uzman_D!$I$6&lt;0,-(AK89-Uzman_D!$I$6),AK89-Uzman_D!$I$6)*0.1+IF(AL89-Uzman_D!$J$6&lt;0,-(AL89-Uzman_D!$J$6),AL89-Uzman_D!$J$6)*0.1)+IF(ROUND((IF(AN89-Uzman_D!$L$6&lt;0,-(AN89-Uzman_D!$L$6),AN89-Uzman_D!$L$6)*2),0)/2=IF(AN89-Uzman_D!$L$6&lt;0,-(AN89-Uzman_D!$L$6),AN89-Uzman_D!$L$6),(ROUND((IF(AN89-Uzman_D!$L$6&lt;0,-(AN89-Uzman_D!$L$6),AN89-Uzman_D!$L$6)*2),0)/1*0.1),0)+IF(AO89-Uzman_D!$M$6&lt;0,-(AO89-Uzman_D!$M$6),AO89-Uzman_D!$M$6)*1)</f>
        <v>-0.10000000000000009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3"/>
      <c r="BB89" s="73"/>
      <c r="BC89" s="71">
        <f>1-(SUM(IF(AQ89-Uzman_D!$B$7&lt;0,-(AQ89-Uzman_D!$B$7),AQ89-Uzman_D!$B$7)*0.1+IF(AR89-Uzman_D!$C$7&lt;0,-(AR89-Uzman_D!$C$7),AR89-Uzman_D!$C$7)*0.1+IF(AS89-Uzman_D!$D$7&lt;0,-(AS89-Uzman_D!$D$7),AS89-Uzman_D!$D$7)*0.1+IF(AT89-Uzman_D!$E$7&lt;0,-(AT89-Uzman_D!$E$7),AT89-Uzman_D!$E$7)*0.1+IF(AU89-Uzman_D!$F$7&lt;0,-(AU89-Uzman_D!$F$7),AU89-Uzman_D!$F$7)*0.1+IF(AV89-Uzman_D!$G$7&lt;0,-(AV89-Uzman_D!$G$7),AV89-Uzman_D!$G$7)*0.1+IF(AW89-Uzman_D!$H$7&lt;0,-(AW89-Uzman_D!$H$7),AW89-Uzman_D!$H$7)*0.1+IF(AX89-Uzman_D!$I$7&lt;0,-(AX89-Uzman_D!$I$7),AX89-Uzman_D!$I$7)*0.1+IF(AY89-Uzman_D!$J$7&lt;0,-(AY89-Uzman_D!$J$7),AY89-Uzman_D!$J$7)*0.1)+IF(ROUND((IF(BA89-Uzman_D!$L$7&lt;0,-(BA89-Uzman_D!$L$7),BA89-Uzman_D!$L$7)*2),0)/2=IF(BA89-Uzman_D!$L$7&lt;0,-(BA89-Uzman_D!$L$7),BA89-Uzman_D!$L$7),(ROUND((IF(BA89-Uzman_D!$L$7&lt;0,-(BA89-Uzman_D!$L$7),BA89-Uzman_D!$L$7)*2),0)/1*0.1),0)+IF(BB89-Uzman_D!$M$7&lt;0,-(BB89-Uzman_D!$M$7),BB89-Uzman_D!$M$7)*1)</f>
        <v>-0.7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3"/>
      <c r="BO89" s="73"/>
      <c r="BP89" s="71">
        <f>1-(SUM(IF(BD89-Uzman_D!$B$8&lt;0,-(BD89-Uzman_D!$B$8),BD89-Uzman_D!$B$8)*0.1+IF(BE89-Uzman_D!$C$8&lt;0,-(BE89-Uzman_D!$C$8),BE89-Uzman_D!$C$8)*0.1+IF(BF89-Uzman_D!$D$8&lt;0,-(BF89-Uzman_D!$D$8),BF89-Uzman_D!$D$8)*0.1+IF(BG89-Uzman_D!$E$8&lt;0,-(BG89-Uzman_D!$E$8),BG89-Uzman_D!$E$8)*0.1+IF(BH89-Uzman_D!$F$8&lt;0,-(BH89-Uzman_D!$F$8),BH89-Uzman_D!$F$8)*0.1+IF(BI89-Uzman_D!$G$8&lt;0,-(BI89-Uzman_D!$G$8),BI89-Uzman_D!$G$8)*0.1+IF(BJ89-Uzman_D!$H$8&lt;0,-(BJ89-Uzman_D!$H$8),BJ89-Uzman_D!$H$8)*0.1+IF(BK89-Uzman_D!$I$8&lt;0,-(BK89-Uzman_D!$I$8),BK89-Uzman_D!$I$8)*0.1+IF(BL89-Uzman_D!$J$8&lt;0,-(BL89-Uzman_D!$J$8),BL89-Uzman_D!$J$8)*0.1)+IF(ROUND((IF(BN89-Uzman_D!$L$8&lt;0,-(BN89-Uzman_D!$L$8),BN89-Uzman_D!$L$8)*2),0)/2=IF(BN89-Uzman_D!$L$8&lt;0,-(BN89-Uzman_D!$L$8),BN89-Uzman_D!$L$8),(ROUND((IF(BN89-Uzman_D!$L$8&lt;0,-(BN89-Uzman_D!$L$8),BN89-Uzman_D!$L$8)*2),0)/1*0.1),0)+IF(BO89-Uzman_D!$M$8&lt;0,-(BO89-Uzman_D!$M$8),BO89-Uzman_D!$M$8)*1)</f>
        <v>-1</v>
      </c>
      <c r="BQ89" s="72">
        <f t="shared" si="2"/>
        <v>-0.48000000000000009</v>
      </c>
    </row>
    <row r="90" spans="1:69" ht="15" customHeight="1" x14ac:dyDescent="0.45">
      <c r="A90" s="54">
        <v>87</v>
      </c>
      <c r="B90" s="149">
        <f>Hakemler!B90</f>
        <v>0</v>
      </c>
      <c r="C90" s="149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3"/>
      <c r="O90" s="73"/>
      <c r="P90" s="71">
        <f>1-(SUM(IF(D90-Uzman_D!$B$4&lt;0,-(D90-Uzman_D!$B$4),D90-Uzman_D!$B$4)*0.1+IF(E90-Uzman_D!$C$4&lt;0,-(E90-Uzman_D!$C$4),E90-Uzman_D!$C$4)*0.1+IF(F90-Uzman_D!$D$4&lt;0,-(F90-Uzman_D!$D$4),F90-Uzman_D!$D$4)*0.1+IF(G90-Uzman_D!$E$4&lt;0,-(G90-Uzman_D!$E$4),G90-Uzman_D!$E$4)*0.1+IF(H90-Uzman_D!$F$4&lt;0,-(H90-Uzman_D!$F$4),H90-Uzman_D!$F$4)*0.1+IF(I90-Uzman_D!$G$4&lt;0,-(I90-Uzman_D!$G$4),I90-Uzman_D!$G$4)*0.1+IF(J90-Uzman_D!$H$4&lt;0,-(J90-Uzman_D!$H$4),J90-Uzman_D!$H$4)*0.1+IF(K90-Uzman_D!$I$4&lt;0,-(K90-Uzman_D!$I$4),K90-Uzman_D!$I$4)*0.1+IF(L90-Uzman_D!$J$4&lt;0,-(L90-Uzman_D!$J$4),L90-Uzman_D!$J$4)*0.1)+IF(ROUND((IF(N90-Uzman_D!$L$4&lt;0,-(N90-Uzman_D!$L$4),N90-Uzman_D!$L$4)*2),0)/2=IF(N90-Uzman_D!$L$4&lt;0,-(N90-Uzman_D!$L$4),N90-Uzman_D!$L$4),(ROUND((IF(N90-Uzman_D!$L$4&lt;0,-(N90-Uzman_D!$L$4),N90-Uzman_D!$L$4)*2),0)/1*0.1),0)+IF(O90-Uzman_D!$M$4&lt;0,-(O90-Uzman_D!$M$4),O90-Uzman_D!$M$4)*1)</f>
        <v>-0.19999999999999996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3"/>
      <c r="AB90" s="73"/>
      <c r="AC90" s="71">
        <f>1-(SUM(IF(Q90-Uzman_D!$B$5&lt;0,-(Q90-Uzman_D!$B$5),Q90-Uzman_D!$B$5)*0.1+IF(R90-Uzman_D!$C$5&lt;0,-(R90-Uzman_D!$C$5),R90-Uzman_D!$C$5)*0.1+IF(S90-Uzman_D!$D$5&lt;0,-(S90-Uzman_D!$D$5),S90-Uzman_D!$D$5)*0.1+IF(T90-Uzman_D!$E$5&lt;0,-(T90-Uzman_D!$E$5),T90-Uzman_D!$E$5)*0.1+IF(U90-Uzman_D!$F$5&lt;0,-(U90-Uzman_D!$F$5),U90-Uzman_D!$F$5)*0.1+IF(V90-Uzman_D!$G$5&lt;0,-(V90-Uzman_D!$G$5),V90-Uzman_D!$G$5)*0.1+IF(W90-Uzman_D!$H$5&lt;0,-(W90-Uzman_D!$H$5),W90-Uzman_D!$H$5)*0.1+IF(X90-Uzman_D!$I$5&lt;0,-(X90-Uzman_D!$I$5),X90-Uzman_D!$I$5)*0.1+IF(Y90-Uzman_D!$J$5&lt;0,-(Y90-Uzman_D!$J$5),Y90-Uzman_D!$J$5)*0.1)+IF(ROUND((IF(AA90-Uzman_D!$L$5&lt;0,-(AA90-Uzman_D!$L$5),AA90-Uzman_D!$L$5)*2),0)/2=IF(AA90-Uzman_D!$L$5&lt;0,-(AA90-Uzman_D!$L$5),AA90-Uzman_D!$L$5),(ROUND((IF(AA90-Uzman_D!$L$5&lt;0,-(AA90-Uzman_D!$L$5),AA90-Uzman_D!$L$5)*2),0)/1*0.1),0)+IF(AB90-Uzman_D!$M$5&lt;0,-(AB90-Uzman_D!$M$5),AB90-Uzman_D!$M$5)*1)</f>
        <v>-0.40000000000000013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3"/>
      <c r="AO90" s="73"/>
      <c r="AP90" s="71">
        <f>1-(SUM(IF(AD90-Uzman_D!$B$6&lt;0,-(AD90-Uzman_D!$B$6),AD90-Uzman_D!$B$6)*0.1+IF(AE90-Uzman_D!$C$6&lt;0,-(AE90-Uzman_D!$C$6),AE90-Uzman_D!$C$6)*0.1+IF(AF90-Uzman_D!$D$6&lt;0,-(AF90-Uzman_D!$D$6),AF90-Uzman_D!$D$6)*0.1+IF(AG90-Uzman_D!$E$6&lt;0,-(AG90-Uzman_D!$E$6),AG90-Uzman_D!$E$6)*0.1+IF(AH90-Uzman_D!$F$6&lt;0,-(AH90-Uzman_D!$F$6),AH90-Uzman_D!$F$6)*0.1+IF(AI90-Uzman_D!$G$6&lt;0,-(AI90-Uzman_D!$G$6),AI90-Uzman_D!$G$6)*0.1+IF(AJ90-Uzman_D!$H$6&lt;0,-(AJ90-Uzman_D!$H$6),AJ90-Uzman_D!$H$6)*0.1+IF(AK90-Uzman_D!$I$6&lt;0,-(AK90-Uzman_D!$I$6),AK90-Uzman_D!$I$6)*0.1+IF(AL90-Uzman_D!$J$6&lt;0,-(AL90-Uzman_D!$J$6),AL90-Uzman_D!$J$6)*0.1)+IF(ROUND((IF(AN90-Uzman_D!$L$6&lt;0,-(AN90-Uzman_D!$L$6),AN90-Uzman_D!$L$6)*2),0)/2=IF(AN90-Uzman_D!$L$6&lt;0,-(AN90-Uzman_D!$L$6),AN90-Uzman_D!$L$6),(ROUND((IF(AN90-Uzman_D!$L$6&lt;0,-(AN90-Uzman_D!$L$6),AN90-Uzman_D!$L$6)*2),0)/1*0.1),0)+IF(AO90-Uzman_D!$M$6&lt;0,-(AO90-Uzman_D!$M$6),AO90-Uzman_D!$M$6)*1)</f>
        <v>-0.10000000000000009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3"/>
      <c r="BB90" s="73"/>
      <c r="BC90" s="71">
        <f>1-(SUM(IF(AQ90-Uzman_D!$B$7&lt;0,-(AQ90-Uzman_D!$B$7),AQ90-Uzman_D!$B$7)*0.1+IF(AR90-Uzman_D!$C$7&lt;0,-(AR90-Uzman_D!$C$7),AR90-Uzman_D!$C$7)*0.1+IF(AS90-Uzman_D!$D$7&lt;0,-(AS90-Uzman_D!$D$7),AS90-Uzman_D!$D$7)*0.1+IF(AT90-Uzman_D!$E$7&lt;0,-(AT90-Uzman_D!$E$7),AT90-Uzman_D!$E$7)*0.1+IF(AU90-Uzman_D!$F$7&lt;0,-(AU90-Uzman_D!$F$7),AU90-Uzman_D!$F$7)*0.1+IF(AV90-Uzman_D!$G$7&lt;0,-(AV90-Uzman_D!$G$7),AV90-Uzman_D!$G$7)*0.1+IF(AW90-Uzman_D!$H$7&lt;0,-(AW90-Uzman_D!$H$7),AW90-Uzman_D!$H$7)*0.1+IF(AX90-Uzman_D!$I$7&lt;0,-(AX90-Uzman_D!$I$7),AX90-Uzman_D!$I$7)*0.1+IF(AY90-Uzman_D!$J$7&lt;0,-(AY90-Uzman_D!$J$7),AY90-Uzman_D!$J$7)*0.1)+IF(ROUND((IF(BA90-Uzman_D!$L$7&lt;0,-(BA90-Uzman_D!$L$7),BA90-Uzman_D!$L$7)*2),0)/2=IF(BA90-Uzman_D!$L$7&lt;0,-(BA90-Uzman_D!$L$7),BA90-Uzman_D!$L$7),(ROUND((IF(BA90-Uzman_D!$L$7&lt;0,-(BA90-Uzman_D!$L$7),BA90-Uzman_D!$L$7)*2),0)/1*0.1),0)+IF(BB90-Uzman_D!$M$7&lt;0,-(BB90-Uzman_D!$M$7),BB90-Uzman_D!$M$7)*1)</f>
        <v>-0.7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3"/>
      <c r="BO90" s="73"/>
      <c r="BP90" s="71">
        <f>1-(SUM(IF(BD90-Uzman_D!$B$8&lt;0,-(BD90-Uzman_D!$B$8),BD90-Uzman_D!$B$8)*0.1+IF(BE90-Uzman_D!$C$8&lt;0,-(BE90-Uzman_D!$C$8),BE90-Uzman_D!$C$8)*0.1+IF(BF90-Uzman_D!$D$8&lt;0,-(BF90-Uzman_D!$D$8),BF90-Uzman_D!$D$8)*0.1+IF(BG90-Uzman_D!$E$8&lt;0,-(BG90-Uzman_D!$E$8),BG90-Uzman_D!$E$8)*0.1+IF(BH90-Uzman_D!$F$8&lt;0,-(BH90-Uzman_D!$F$8),BH90-Uzman_D!$F$8)*0.1+IF(BI90-Uzman_D!$G$8&lt;0,-(BI90-Uzman_D!$G$8),BI90-Uzman_D!$G$8)*0.1+IF(BJ90-Uzman_D!$H$8&lt;0,-(BJ90-Uzman_D!$H$8),BJ90-Uzman_D!$H$8)*0.1+IF(BK90-Uzman_D!$I$8&lt;0,-(BK90-Uzman_D!$I$8),BK90-Uzman_D!$I$8)*0.1+IF(BL90-Uzman_D!$J$8&lt;0,-(BL90-Uzman_D!$J$8),BL90-Uzman_D!$J$8)*0.1)+IF(ROUND((IF(BN90-Uzman_D!$L$8&lt;0,-(BN90-Uzman_D!$L$8),BN90-Uzman_D!$L$8)*2),0)/2=IF(BN90-Uzman_D!$L$8&lt;0,-(BN90-Uzman_D!$L$8),BN90-Uzman_D!$L$8),(ROUND((IF(BN90-Uzman_D!$L$8&lt;0,-(BN90-Uzman_D!$L$8),BN90-Uzman_D!$L$8)*2),0)/1*0.1),0)+IF(BO90-Uzman_D!$M$8&lt;0,-(BO90-Uzman_D!$M$8),BO90-Uzman_D!$M$8)*1)</f>
        <v>-1</v>
      </c>
      <c r="BQ90" s="72">
        <f t="shared" si="2"/>
        <v>-0.48000000000000009</v>
      </c>
    </row>
    <row r="91" spans="1:69" ht="15" customHeight="1" x14ac:dyDescent="0.45">
      <c r="A91" s="54">
        <v>88</v>
      </c>
      <c r="B91" s="149">
        <f>Hakemler!B91</f>
        <v>0</v>
      </c>
      <c r="C91" s="149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3"/>
      <c r="O91" s="73"/>
      <c r="P91" s="71">
        <f>1-(SUM(IF(D91-Uzman_D!$B$4&lt;0,-(D91-Uzman_D!$B$4),D91-Uzman_D!$B$4)*0.1+IF(E91-Uzman_D!$C$4&lt;0,-(E91-Uzman_D!$C$4),E91-Uzman_D!$C$4)*0.1+IF(F91-Uzman_D!$D$4&lt;0,-(F91-Uzman_D!$D$4),F91-Uzman_D!$D$4)*0.1+IF(G91-Uzman_D!$E$4&lt;0,-(G91-Uzman_D!$E$4),G91-Uzman_D!$E$4)*0.1+IF(H91-Uzman_D!$F$4&lt;0,-(H91-Uzman_D!$F$4),H91-Uzman_D!$F$4)*0.1+IF(I91-Uzman_D!$G$4&lt;0,-(I91-Uzman_D!$G$4),I91-Uzman_D!$G$4)*0.1+IF(J91-Uzman_D!$H$4&lt;0,-(J91-Uzman_D!$H$4),J91-Uzman_D!$H$4)*0.1+IF(K91-Uzman_D!$I$4&lt;0,-(K91-Uzman_D!$I$4),K91-Uzman_D!$I$4)*0.1+IF(L91-Uzman_D!$J$4&lt;0,-(L91-Uzman_D!$J$4),L91-Uzman_D!$J$4)*0.1)+IF(ROUND((IF(N91-Uzman_D!$L$4&lt;0,-(N91-Uzman_D!$L$4),N91-Uzman_D!$L$4)*2),0)/2=IF(N91-Uzman_D!$L$4&lt;0,-(N91-Uzman_D!$L$4),N91-Uzman_D!$L$4),(ROUND((IF(N91-Uzman_D!$L$4&lt;0,-(N91-Uzman_D!$L$4),N91-Uzman_D!$L$4)*2),0)/1*0.1),0)+IF(O91-Uzman_D!$M$4&lt;0,-(O91-Uzman_D!$M$4),O91-Uzman_D!$M$4)*1)</f>
        <v>-0.19999999999999996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3"/>
      <c r="AB91" s="73"/>
      <c r="AC91" s="71">
        <f>1-(SUM(IF(Q91-Uzman_D!$B$5&lt;0,-(Q91-Uzman_D!$B$5),Q91-Uzman_D!$B$5)*0.1+IF(R91-Uzman_D!$C$5&lt;0,-(R91-Uzman_D!$C$5),R91-Uzman_D!$C$5)*0.1+IF(S91-Uzman_D!$D$5&lt;0,-(S91-Uzman_D!$D$5),S91-Uzman_D!$D$5)*0.1+IF(T91-Uzman_D!$E$5&lt;0,-(T91-Uzman_D!$E$5),T91-Uzman_D!$E$5)*0.1+IF(U91-Uzman_D!$F$5&lt;0,-(U91-Uzman_D!$F$5),U91-Uzman_D!$F$5)*0.1+IF(V91-Uzman_D!$G$5&lt;0,-(V91-Uzman_D!$G$5),V91-Uzman_D!$G$5)*0.1+IF(W91-Uzman_D!$H$5&lt;0,-(W91-Uzman_D!$H$5),W91-Uzman_D!$H$5)*0.1+IF(X91-Uzman_D!$I$5&lt;0,-(X91-Uzman_D!$I$5),X91-Uzman_D!$I$5)*0.1+IF(Y91-Uzman_D!$J$5&lt;0,-(Y91-Uzman_D!$J$5),Y91-Uzman_D!$J$5)*0.1)+IF(ROUND((IF(AA91-Uzman_D!$L$5&lt;0,-(AA91-Uzman_D!$L$5),AA91-Uzman_D!$L$5)*2),0)/2=IF(AA91-Uzman_D!$L$5&lt;0,-(AA91-Uzman_D!$L$5),AA91-Uzman_D!$L$5),(ROUND((IF(AA91-Uzman_D!$L$5&lt;0,-(AA91-Uzman_D!$L$5),AA91-Uzman_D!$L$5)*2),0)/1*0.1),0)+IF(AB91-Uzman_D!$M$5&lt;0,-(AB91-Uzman_D!$M$5),AB91-Uzman_D!$M$5)*1)</f>
        <v>-0.40000000000000013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3"/>
      <c r="AO91" s="73"/>
      <c r="AP91" s="71">
        <f>1-(SUM(IF(AD91-Uzman_D!$B$6&lt;0,-(AD91-Uzman_D!$B$6),AD91-Uzman_D!$B$6)*0.1+IF(AE91-Uzman_D!$C$6&lt;0,-(AE91-Uzman_D!$C$6),AE91-Uzman_D!$C$6)*0.1+IF(AF91-Uzman_D!$D$6&lt;0,-(AF91-Uzman_D!$D$6),AF91-Uzman_D!$D$6)*0.1+IF(AG91-Uzman_D!$E$6&lt;0,-(AG91-Uzman_D!$E$6),AG91-Uzman_D!$E$6)*0.1+IF(AH91-Uzman_D!$F$6&lt;0,-(AH91-Uzman_D!$F$6),AH91-Uzman_D!$F$6)*0.1+IF(AI91-Uzman_D!$G$6&lt;0,-(AI91-Uzman_D!$G$6),AI91-Uzman_D!$G$6)*0.1+IF(AJ91-Uzman_D!$H$6&lt;0,-(AJ91-Uzman_D!$H$6),AJ91-Uzman_D!$H$6)*0.1+IF(AK91-Uzman_D!$I$6&lt;0,-(AK91-Uzman_D!$I$6),AK91-Uzman_D!$I$6)*0.1+IF(AL91-Uzman_D!$J$6&lt;0,-(AL91-Uzman_D!$J$6),AL91-Uzman_D!$J$6)*0.1)+IF(ROUND((IF(AN91-Uzman_D!$L$6&lt;0,-(AN91-Uzman_D!$L$6),AN91-Uzman_D!$L$6)*2),0)/2=IF(AN91-Uzman_D!$L$6&lt;0,-(AN91-Uzman_D!$L$6),AN91-Uzman_D!$L$6),(ROUND((IF(AN91-Uzman_D!$L$6&lt;0,-(AN91-Uzman_D!$L$6),AN91-Uzman_D!$L$6)*2),0)/1*0.1),0)+IF(AO91-Uzman_D!$M$6&lt;0,-(AO91-Uzman_D!$M$6),AO91-Uzman_D!$M$6)*1)</f>
        <v>-0.10000000000000009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3"/>
      <c r="BB91" s="73"/>
      <c r="BC91" s="71">
        <f>1-(SUM(IF(AQ91-Uzman_D!$B$7&lt;0,-(AQ91-Uzman_D!$B$7),AQ91-Uzman_D!$B$7)*0.1+IF(AR91-Uzman_D!$C$7&lt;0,-(AR91-Uzman_D!$C$7),AR91-Uzman_D!$C$7)*0.1+IF(AS91-Uzman_D!$D$7&lt;0,-(AS91-Uzman_D!$D$7),AS91-Uzman_D!$D$7)*0.1+IF(AT91-Uzman_D!$E$7&lt;0,-(AT91-Uzman_D!$E$7),AT91-Uzman_D!$E$7)*0.1+IF(AU91-Uzman_D!$F$7&lt;0,-(AU91-Uzman_D!$F$7),AU91-Uzman_D!$F$7)*0.1+IF(AV91-Uzman_D!$G$7&lt;0,-(AV91-Uzman_D!$G$7),AV91-Uzman_D!$G$7)*0.1+IF(AW91-Uzman_D!$H$7&lt;0,-(AW91-Uzman_D!$H$7),AW91-Uzman_D!$H$7)*0.1+IF(AX91-Uzman_D!$I$7&lt;0,-(AX91-Uzman_D!$I$7),AX91-Uzman_D!$I$7)*0.1+IF(AY91-Uzman_D!$J$7&lt;0,-(AY91-Uzman_D!$J$7),AY91-Uzman_D!$J$7)*0.1)+IF(ROUND((IF(BA91-Uzman_D!$L$7&lt;0,-(BA91-Uzman_D!$L$7),BA91-Uzman_D!$L$7)*2),0)/2=IF(BA91-Uzman_D!$L$7&lt;0,-(BA91-Uzman_D!$L$7),BA91-Uzman_D!$L$7),(ROUND((IF(BA91-Uzman_D!$L$7&lt;0,-(BA91-Uzman_D!$L$7),BA91-Uzman_D!$L$7)*2),0)/1*0.1),0)+IF(BB91-Uzman_D!$M$7&lt;0,-(BB91-Uzman_D!$M$7),BB91-Uzman_D!$M$7)*1)</f>
        <v>-0.7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3"/>
      <c r="BO91" s="73"/>
      <c r="BP91" s="71">
        <f>1-(SUM(IF(BD91-Uzman_D!$B$8&lt;0,-(BD91-Uzman_D!$B$8),BD91-Uzman_D!$B$8)*0.1+IF(BE91-Uzman_D!$C$8&lt;0,-(BE91-Uzman_D!$C$8),BE91-Uzman_D!$C$8)*0.1+IF(BF91-Uzman_D!$D$8&lt;0,-(BF91-Uzman_D!$D$8),BF91-Uzman_D!$D$8)*0.1+IF(BG91-Uzman_D!$E$8&lt;0,-(BG91-Uzman_D!$E$8),BG91-Uzman_D!$E$8)*0.1+IF(BH91-Uzman_D!$F$8&lt;0,-(BH91-Uzman_D!$F$8),BH91-Uzman_D!$F$8)*0.1+IF(BI91-Uzman_D!$G$8&lt;0,-(BI91-Uzman_D!$G$8),BI91-Uzman_D!$G$8)*0.1+IF(BJ91-Uzman_D!$H$8&lt;0,-(BJ91-Uzman_D!$H$8),BJ91-Uzman_D!$H$8)*0.1+IF(BK91-Uzman_D!$I$8&lt;0,-(BK91-Uzman_D!$I$8),BK91-Uzman_D!$I$8)*0.1+IF(BL91-Uzman_D!$J$8&lt;0,-(BL91-Uzman_D!$J$8),BL91-Uzman_D!$J$8)*0.1)+IF(ROUND((IF(BN91-Uzman_D!$L$8&lt;0,-(BN91-Uzman_D!$L$8),BN91-Uzman_D!$L$8)*2),0)/2=IF(BN91-Uzman_D!$L$8&lt;0,-(BN91-Uzman_D!$L$8),BN91-Uzman_D!$L$8),(ROUND((IF(BN91-Uzman_D!$L$8&lt;0,-(BN91-Uzman_D!$L$8),BN91-Uzman_D!$L$8)*2),0)/1*0.1),0)+IF(BO91-Uzman_D!$M$8&lt;0,-(BO91-Uzman_D!$M$8),BO91-Uzman_D!$M$8)*1)</f>
        <v>-1</v>
      </c>
      <c r="BQ91" s="72">
        <f t="shared" si="2"/>
        <v>-0.48000000000000009</v>
      </c>
    </row>
    <row r="92" spans="1:69" ht="15" customHeight="1" x14ac:dyDescent="0.45">
      <c r="A92" s="54">
        <v>89</v>
      </c>
      <c r="B92" s="149">
        <f>Hakemler!B92</f>
        <v>0</v>
      </c>
      <c r="C92" s="149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3"/>
      <c r="O92" s="73"/>
      <c r="P92" s="71">
        <f>1-(SUM(IF(D92-Uzman_D!$B$4&lt;0,-(D92-Uzman_D!$B$4),D92-Uzman_D!$B$4)*0.1+IF(E92-Uzman_D!$C$4&lt;0,-(E92-Uzman_D!$C$4),E92-Uzman_D!$C$4)*0.1+IF(F92-Uzman_D!$D$4&lt;0,-(F92-Uzman_D!$D$4),F92-Uzman_D!$D$4)*0.1+IF(G92-Uzman_D!$E$4&lt;0,-(G92-Uzman_D!$E$4),G92-Uzman_D!$E$4)*0.1+IF(H92-Uzman_D!$F$4&lt;0,-(H92-Uzman_D!$F$4),H92-Uzman_D!$F$4)*0.1+IF(I92-Uzman_D!$G$4&lt;0,-(I92-Uzman_D!$G$4),I92-Uzman_D!$G$4)*0.1+IF(J92-Uzman_D!$H$4&lt;0,-(J92-Uzman_D!$H$4),J92-Uzman_D!$H$4)*0.1+IF(K92-Uzman_D!$I$4&lt;0,-(K92-Uzman_D!$I$4),K92-Uzman_D!$I$4)*0.1+IF(L92-Uzman_D!$J$4&lt;0,-(L92-Uzman_D!$J$4),L92-Uzman_D!$J$4)*0.1)+IF(ROUND((IF(N92-Uzman_D!$L$4&lt;0,-(N92-Uzman_D!$L$4),N92-Uzman_D!$L$4)*2),0)/2=IF(N92-Uzman_D!$L$4&lt;0,-(N92-Uzman_D!$L$4),N92-Uzman_D!$L$4),(ROUND((IF(N92-Uzman_D!$L$4&lt;0,-(N92-Uzman_D!$L$4),N92-Uzman_D!$L$4)*2),0)/1*0.1),0)+IF(O92-Uzman_D!$M$4&lt;0,-(O92-Uzman_D!$M$4),O92-Uzman_D!$M$4)*1)</f>
        <v>-0.19999999999999996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3"/>
      <c r="AB92" s="73"/>
      <c r="AC92" s="71">
        <f>1-(SUM(IF(Q92-Uzman_D!$B$5&lt;0,-(Q92-Uzman_D!$B$5),Q92-Uzman_D!$B$5)*0.1+IF(R92-Uzman_D!$C$5&lt;0,-(R92-Uzman_D!$C$5),R92-Uzman_D!$C$5)*0.1+IF(S92-Uzman_D!$D$5&lt;0,-(S92-Uzman_D!$D$5),S92-Uzman_D!$D$5)*0.1+IF(T92-Uzman_D!$E$5&lt;0,-(T92-Uzman_D!$E$5),T92-Uzman_D!$E$5)*0.1+IF(U92-Uzman_D!$F$5&lt;0,-(U92-Uzman_D!$F$5),U92-Uzman_D!$F$5)*0.1+IF(V92-Uzman_D!$G$5&lt;0,-(V92-Uzman_D!$G$5),V92-Uzman_D!$G$5)*0.1+IF(W92-Uzman_D!$H$5&lt;0,-(W92-Uzman_D!$H$5),W92-Uzman_D!$H$5)*0.1+IF(X92-Uzman_D!$I$5&lt;0,-(X92-Uzman_D!$I$5),X92-Uzman_D!$I$5)*0.1+IF(Y92-Uzman_D!$J$5&lt;0,-(Y92-Uzman_D!$J$5),Y92-Uzman_D!$J$5)*0.1)+IF(ROUND((IF(AA92-Uzman_D!$L$5&lt;0,-(AA92-Uzman_D!$L$5),AA92-Uzman_D!$L$5)*2),0)/2=IF(AA92-Uzman_D!$L$5&lt;0,-(AA92-Uzman_D!$L$5),AA92-Uzman_D!$L$5),(ROUND((IF(AA92-Uzman_D!$L$5&lt;0,-(AA92-Uzman_D!$L$5),AA92-Uzman_D!$L$5)*2),0)/1*0.1),0)+IF(AB92-Uzman_D!$M$5&lt;0,-(AB92-Uzman_D!$M$5),AB92-Uzman_D!$M$5)*1)</f>
        <v>-0.40000000000000013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3"/>
      <c r="AO92" s="73"/>
      <c r="AP92" s="71">
        <f>1-(SUM(IF(AD92-Uzman_D!$B$6&lt;0,-(AD92-Uzman_D!$B$6),AD92-Uzman_D!$B$6)*0.1+IF(AE92-Uzman_D!$C$6&lt;0,-(AE92-Uzman_D!$C$6),AE92-Uzman_D!$C$6)*0.1+IF(AF92-Uzman_D!$D$6&lt;0,-(AF92-Uzman_D!$D$6),AF92-Uzman_D!$D$6)*0.1+IF(AG92-Uzman_D!$E$6&lt;0,-(AG92-Uzman_D!$E$6),AG92-Uzman_D!$E$6)*0.1+IF(AH92-Uzman_D!$F$6&lt;0,-(AH92-Uzman_D!$F$6),AH92-Uzman_D!$F$6)*0.1+IF(AI92-Uzman_D!$G$6&lt;0,-(AI92-Uzman_D!$G$6),AI92-Uzman_D!$G$6)*0.1+IF(AJ92-Uzman_D!$H$6&lt;0,-(AJ92-Uzman_D!$H$6),AJ92-Uzman_D!$H$6)*0.1+IF(AK92-Uzman_D!$I$6&lt;0,-(AK92-Uzman_D!$I$6),AK92-Uzman_D!$I$6)*0.1+IF(AL92-Uzman_D!$J$6&lt;0,-(AL92-Uzman_D!$J$6),AL92-Uzman_D!$J$6)*0.1)+IF(ROUND((IF(AN92-Uzman_D!$L$6&lt;0,-(AN92-Uzman_D!$L$6),AN92-Uzman_D!$L$6)*2),0)/2=IF(AN92-Uzman_D!$L$6&lt;0,-(AN92-Uzman_D!$L$6),AN92-Uzman_D!$L$6),(ROUND((IF(AN92-Uzman_D!$L$6&lt;0,-(AN92-Uzman_D!$L$6),AN92-Uzman_D!$L$6)*2),0)/1*0.1),0)+IF(AO92-Uzman_D!$M$6&lt;0,-(AO92-Uzman_D!$M$6),AO92-Uzman_D!$M$6)*1)</f>
        <v>-0.10000000000000009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3"/>
      <c r="BB92" s="73"/>
      <c r="BC92" s="71">
        <f>1-(SUM(IF(AQ92-Uzman_D!$B$7&lt;0,-(AQ92-Uzman_D!$B$7),AQ92-Uzman_D!$B$7)*0.1+IF(AR92-Uzman_D!$C$7&lt;0,-(AR92-Uzman_D!$C$7),AR92-Uzman_D!$C$7)*0.1+IF(AS92-Uzman_D!$D$7&lt;0,-(AS92-Uzman_D!$D$7),AS92-Uzman_D!$D$7)*0.1+IF(AT92-Uzman_D!$E$7&lt;0,-(AT92-Uzman_D!$E$7),AT92-Uzman_D!$E$7)*0.1+IF(AU92-Uzman_D!$F$7&lt;0,-(AU92-Uzman_D!$F$7),AU92-Uzman_D!$F$7)*0.1+IF(AV92-Uzman_D!$G$7&lt;0,-(AV92-Uzman_D!$G$7),AV92-Uzman_D!$G$7)*0.1+IF(AW92-Uzman_D!$H$7&lt;0,-(AW92-Uzman_D!$H$7),AW92-Uzman_D!$H$7)*0.1+IF(AX92-Uzman_D!$I$7&lt;0,-(AX92-Uzman_D!$I$7),AX92-Uzman_D!$I$7)*0.1+IF(AY92-Uzman_D!$J$7&lt;0,-(AY92-Uzman_D!$J$7),AY92-Uzman_D!$J$7)*0.1)+IF(ROUND((IF(BA92-Uzman_D!$L$7&lt;0,-(BA92-Uzman_D!$L$7),BA92-Uzman_D!$L$7)*2),0)/2=IF(BA92-Uzman_D!$L$7&lt;0,-(BA92-Uzman_D!$L$7),BA92-Uzman_D!$L$7),(ROUND((IF(BA92-Uzman_D!$L$7&lt;0,-(BA92-Uzman_D!$L$7),BA92-Uzman_D!$L$7)*2),0)/1*0.1),0)+IF(BB92-Uzman_D!$M$7&lt;0,-(BB92-Uzman_D!$M$7),BB92-Uzman_D!$M$7)*1)</f>
        <v>-0.7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3"/>
      <c r="BO92" s="73"/>
      <c r="BP92" s="71">
        <f>1-(SUM(IF(BD92-Uzman_D!$B$8&lt;0,-(BD92-Uzman_D!$B$8),BD92-Uzman_D!$B$8)*0.1+IF(BE92-Uzman_D!$C$8&lt;0,-(BE92-Uzman_D!$C$8),BE92-Uzman_D!$C$8)*0.1+IF(BF92-Uzman_D!$D$8&lt;0,-(BF92-Uzman_D!$D$8),BF92-Uzman_D!$D$8)*0.1+IF(BG92-Uzman_D!$E$8&lt;0,-(BG92-Uzman_D!$E$8),BG92-Uzman_D!$E$8)*0.1+IF(BH92-Uzman_D!$F$8&lt;0,-(BH92-Uzman_D!$F$8),BH92-Uzman_D!$F$8)*0.1+IF(BI92-Uzman_D!$G$8&lt;0,-(BI92-Uzman_D!$G$8),BI92-Uzman_D!$G$8)*0.1+IF(BJ92-Uzman_D!$H$8&lt;0,-(BJ92-Uzman_D!$H$8),BJ92-Uzman_D!$H$8)*0.1+IF(BK92-Uzman_D!$I$8&lt;0,-(BK92-Uzman_D!$I$8),BK92-Uzman_D!$I$8)*0.1+IF(BL92-Uzman_D!$J$8&lt;0,-(BL92-Uzman_D!$J$8),BL92-Uzman_D!$J$8)*0.1)+IF(ROUND((IF(BN92-Uzman_D!$L$8&lt;0,-(BN92-Uzman_D!$L$8),BN92-Uzman_D!$L$8)*2),0)/2=IF(BN92-Uzman_D!$L$8&lt;0,-(BN92-Uzman_D!$L$8),BN92-Uzman_D!$L$8),(ROUND((IF(BN92-Uzman_D!$L$8&lt;0,-(BN92-Uzman_D!$L$8),BN92-Uzman_D!$L$8)*2),0)/1*0.1),0)+IF(BO92-Uzman_D!$M$8&lt;0,-(BO92-Uzman_D!$M$8),BO92-Uzman_D!$M$8)*1)</f>
        <v>-1</v>
      </c>
      <c r="BQ92" s="72">
        <f t="shared" si="2"/>
        <v>-0.48000000000000009</v>
      </c>
    </row>
    <row r="93" spans="1:69" ht="15" customHeight="1" x14ac:dyDescent="0.45">
      <c r="A93" s="54">
        <v>90</v>
      </c>
      <c r="B93" s="149">
        <f>Hakemler!B93</f>
        <v>0</v>
      </c>
      <c r="C93" s="149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3"/>
      <c r="O93" s="73"/>
      <c r="P93" s="71">
        <f>1-(SUM(IF(D93-Uzman_D!$B$4&lt;0,-(D93-Uzman_D!$B$4),D93-Uzman_D!$B$4)*0.1+IF(E93-Uzman_D!$C$4&lt;0,-(E93-Uzman_D!$C$4),E93-Uzman_D!$C$4)*0.1+IF(F93-Uzman_D!$D$4&lt;0,-(F93-Uzman_D!$D$4),F93-Uzman_D!$D$4)*0.1+IF(G93-Uzman_D!$E$4&lt;0,-(G93-Uzman_D!$E$4),G93-Uzman_D!$E$4)*0.1+IF(H93-Uzman_D!$F$4&lt;0,-(H93-Uzman_D!$F$4),H93-Uzman_D!$F$4)*0.1+IF(I93-Uzman_D!$G$4&lt;0,-(I93-Uzman_D!$G$4),I93-Uzman_D!$G$4)*0.1+IF(J93-Uzman_D!$H$4&lt;0,-(J93-Uzman_D!$H$4),J93-Uzman_D!$H$4)*0.1+IF(K93-Uzman_D!$I$4&lt;0,-(K93-Uzman_D!$I$4),K93-Uzman_D!$I$4)*0.1+IF(L93-Uzman_D!$J$4&lt;0,-(L93-Uzman_D!$J$4),L93-Uzman_D!$J$4)*0.1)+IF(ROUND((IF(N93-Uzman_D!$L$4&lt;0,-(N93-Uzman_D!$L$4),N93-Uzman_D!$L$4)*2),0)/2=IF(N93-Uzman_D!$L$4&lt;0,-(N93-Uzman_D!$L$4),N93-Uzman_D!$L$4),(ROUND((IF(N93-Uzman_D!$L$4&lt;0,-(N93-Uzman_D!$L$4),N93-Uzman_D!$L$4)*2),0)/1*0.1),0)+IF(O93-Uzman_D!$M$4&lt;0,-(O93-Uzman_D!$M$4),O93-Uzman_D!$M$4)*1)</f>
        <v>-0.19999999999999996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3"/>
      <c r="AB93" s="73"/>
      <c r="AC93" s="71">
        <f>1-(SUM(IF(Q93-Uzman_D!$B$5&lt;0,-(Q93-Uzman_D!$B$5),Q93-Uzman_D!$B$5)*0.1+IF(R93-Uzman_D!$C$5&lt;0,-(R93-Uzman_D!$C$5),R93-Uzman_D!$C$5)*0.1+IF(S93-Uzman_D!$D$5&lt;0,-(S93-Uzman_D!$D$5),S93-Uzman_D!$D$5)*0.1+IF(T93-Uzman_D!$E$5&lt;0,-(T93-Uzman_D!$E$5),T93-Uzman_D!$E$5)*0.1+IF(U93-Uzman_D!$F$5&lt;0,-(U93-Uzman_D!$F$5),U93-Uzman_D!$F$5)*0.1+IF(V93-Uzman_D!$G$5&lt;0,-(V93-Uzman_D!$G$5),V93-Uzman_D!$G$5)*0.1+IF(W93-Uzman_D!$H$5&lt;0,-(W93-Uzman_D!$H$5),W93-Uzman_D!$H$5)*0.1+IF(X93-Uzman_D!$I$5&lt;0,-(X93-Uzman_D!$I$5),X93-Uzman_D!$I$5)*0.1+IF(Y93-Uzman_D!$J$5&lt;0,-(Y93-Uzman_D!$J$5),Y93-Uzman_D!$J$5)*0.1)+IF(ROUND((IF(AA93-Uzman_D!$L$5&lt;0,-(AA93-Uzman_D!$L$5),AA93-Uzman_D!$L$5)*2),0)/2=IF(AA93-Uzman_D!$L$5&lt;0,-(AA93-Uzman_D!$L$5),AA93-Uzman_D!$L$5),(ROUND((IF(AA93-Uzman_D!$L$5&lt;0,-(AA93-Uzman_D!$L$5),AA93-Uzman_D!$L$5)*2),0)/1*0.1),0)+IF(AB93-Uzman_D!$M$5&lt;0,-(AB93-Uzman_D!$M$5),AB93-Uzman_D!$M$5)*1)</f>
        <v>-0.40000000000000013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3"/>
      <c r="AO93" s="73"/>
      <c r="AP93" s="71">
        <f>1-(SUM(IF(AD93-Uzman_D!$B$6&lt;0,-(AD93-Uzman_D!$B$6),AD93-Uzman_D!$B$6)*0.1+IF(AE93-Uzman_D!$C$6&lt;0,-(AE93-Uzman_D!$C$6),AE93-Uzman_D!$C$6)*0.1+IF(AF93-Uzman_D!$D$6&lt;0,-(AF93-Uzman_D!$D$6),AF93-Uzman_D!$D$6)*0.1+IF(AG93-Uzman_D!$E$6&lt;0,-(AG93-Uzman_D!$E$6),AG93-Uzman_D!$E$6)*0.1+IF(AH93-Uzman_D!$F$6&lt;0,-(AH93-Uzman_D!$F$6),AH93-Uzman_D!$F$6)*0.1+IF(AI93-Uzman_D!$G$6&lt;0,-(AI93-Uzman_D!$G$6),AI93-Uzman_D!$G$6)*0.1+IF(AJ93-Uzman_D!$H$6&lt;0,-(AJ93-Uzman_D!$H$6),AJ93-Uzman_D!$H$6)*0.1+IF(AK93-Uzman_D!$I$6&lt;0,-(AK93-Uzman_D!$I$6),AK93-Uzman_D!$I$6)*0.1+IF(AL93-Uzman_D!$J$6&lt;0,-(AL93-Uzman_D!$J$6),AL93-Uzman_D!$J$6)*0.1)+IF(ROUND((IF(AN93-Uzman_D!$L$6&lt;0,-(AN93-Uzman_D!$L$6),AN93-Uzman_D!$L$6)*2),0)/2=IF(AN93-Uzman_D!$L$6&lt;0,-(AN93-Uzman_D!$L$6),AN93-Uzman_D!$L$6),(ROUND((IF(AN93-Uzman_D!$L$6&lt;0,-(AN93-Uzman_D!$L$6),AN93-Uzman_D!$L$6)*2),0)/1*0.1),0)+IF(AO93-Uzman_D!$M$6&lt;0,-(AO93-Uzman_D!$M$6),AO93-Uzman_D!$M$6)*1)</f>
        <v>-0.10000000000000009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3"/>
      <c r="BB93" s="73"/>
      <c r="BC93" s="71">
        <f>1-(SUM(IF(AQ93-Uzman_D!$B$7&lt;0,-(AQ93-Uzman_D!$B$7),AQ93-Uzman_D!$B$7)*0.1+IF(AR93-Uzman_D!$C$7&lt;0,-(AR93-Uzman_D!$C$7),AR93-Uzman_D!$C$7)*0.1+IF(AS93-Uzman_D!$D$7&lt;0,-(AS93-Uzman_D!$D$7),AS93-Uzman_D!$D$7)*0.1+IF(AT93-Uzman_D!$E$7&lt;0,-(AT93-Uzman_D!$E$7),AT93-Uzman_D!$E$7)*0.1+IF(AU93-Uzman_D!$F$7&lt;0,-(AU93-Uzman_D!$F$7),AU93-Uzman_D!$F$7)*0.1+IF(AV93-Uzman_D!$G$7&lt;0,-(AV93-Uzman_D!$G$7),AV93-Uzman_D!$G$7)*0.1+IF(AW93-Uzman_D!$H$7&lt;0,-(AW93-Uzman_D!$H$7),AW93-Uzman_D!$H$7)*0.1+IF(AX93-Uzman_D!$I$7&lt;0,-(AX93-Uzman_D!$I$7),AX93-Uzman_D!$I$7)*0.1+IF(AY93-Uzman_D!$J$7&lt;0,-(AY93-Uzman_D!$J$7),AY93-Uzman_D!$J$7)*0.1)+IF(ROUND((IF(BA93-Uzman_D!$L$7&lt;0,-(BA93-Uzman_D!$L$7),BA93-Uzman_D!$L$7)*2),0)/2=IF(BA93-Uzman_D!$L$7&lt;0,-(BA93-Uzman_D!$L$7),BA93-Uzman_D!$L$7),(ROUND((IF(BA93-Uzman_D!$L$7&lt;0,-(BA93-Uzman_D!$L$7),BA93-Uzman_D!$L$7)*2),0)/1*0.1),0)+IF(BB93-Uzman_D!$M$7&lt;0,-(BB93-Uzman_D!$M$7),BB93-Uzman_D!$M$7)*1)</f>
        <v>-0.7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3"/>
      <c r="BO93" s="73"/>
      <c r="BP93" s="71">
        <f>1-(SUM(IF(BD93-Uzman_D!$B$8&lt;0,-(BD93-Uzman_D!$B$8),BD93-Uzman_D!$B$8)*0.1+IF(BE93-Uzman_D!$C$8&lt;0,-(BE93-Uzman_D!$C$8),BE93-Uzman_D!$C$8)*0.1+IF(BF93-Uzman_D!$D$8&lt;0,-(BF93-Uzman_D!$D$8),BF93-Uzman_D!$D$8)*0.1+IF(BG93-Uzman_D!$E$8&lt;0,-(BG93-Uzman_D!$E$8),BG93-Uzman_D!$E$8)*0.1+IF(BH93-Uzman_D!$F$8&lt;0,-(BH93-Uzman_D!$F$8),BH93-Uzman_D!$F$8)*0.1+IF(BI93-Uzman_D!$G$8&lt;0,-(BI93-Uzman_D!$G$8),BI93-Uzman_D!$G$8)*0.1+IF(BJ93-Uzman_D!$H$8&lt;0,-(BJ93-Uzman_D!$H$8),BJ93-Uzman_D!$H$8)*0.1+IF(BK93-Uzman_D!$I$8&lt;0,-(BK93-Uzman_D!$I$8),BK93-Uzman_D!$I$8)*0.1+IF(BL93-Uzman_D!$J$8&lt;0,-(BL93-Uzman_D!$J$8),BL93-Uzman_D!$J$8)*0.1)+IF(ROUND((IF(BN93-Uzman_D!$L$8&lt;0,-(BN93-Uzman_D!$L$8),BN93-Uzman_D!$L$8)*2),0)/2=IF(BN93-Uzman_D!$L$8&lt;0,-(BN93-Uzman_D!$L$8),BN93-Uzman_D!$L$8),(ROUND((IF(BN93-Uzman_D!$L$8&lt;0,-(BN93-Uzman_D!$L$8),BN93-Uzman_D!$L$8)*2),0)/1*0.1),0)+IF(BO93-Uzman_D!$M$8&lt;0,-(BO93-Uzman_D!$M$8),BO93-Uzman_D!$M$8)*1)</f>
        <v>-1</v>
      </c>
      <c r="BQ93" s="72">
        <f t="shared" si="2"/>
        <v>-0.48000000000000009</v>
      </c>
    </row>
    <row r="94" spans="1:69" ht="15" customHeight="1" x14ac:dyDescent="0.45">
      <c r="A94" s="54">
        <v>91</v>
      </c>
      <c r="B94" s="149">
        <f>Hakemler!B94</f>
        <v>0</v>
      </c>
      <c r="C94" s="149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3"/>
      <c r="O94" s="73"/>
      <c r="P94" s="71">
        <f>1-(SUM(IF(D94-Uzman_D!$B$4&lt;0,-(D94-Uzman_D!$B$4),D94-Uzman_D!$B$4)*0.1+IF(E94-Uzman_D!$C$4&lt;0,-(E94-Uzman_D!$C$4),E94-Uzman_D!$C$4)*0.1+IF(F94-Uzman_D!$D$4&lt;0,-(F94-Uzman_D!$D$4),F94-Uzman_D!$D$4)*0.1+IF(G94-Uzman_D!$E$4&lt;0,-(G94-Uzman_D!$E$4),G94-Uzman_D!$E$4)*0.1+IF(H94-Uzman_D!$F$4&lt;0,-(H94-Uzman_D!$F$4),H94-Uzman_D!$F$4)*0.1+IF(I94-Uzman_D!$G$4&lt;0,-(I94-Uzman_D!$G$4),I94-Uzman_D!$G$4)*0.1+IF(J94-Uzman_D!$H$4&lt;0,-(J94-Uzman_D!$H$4),J94-Uzman_D!$H$4)*0.1+IF(K94-Uzman_D!$I$4&lt;0,-(K94-Uzman_D!$I$4),K94-Uzman_D!$I$4)*0.1+IF(L94-Uzman_D!$J$4&lt;0,-(L94-Uzman_D!$J$4),L94-Uzman_D!$J$4)*0.1)+IF(ROUND((IF(N94-Uzman_D!$L$4&lt;0,-(N94-Uzman_D!$L$4),N94-Uzman_D!$L$4)*2),0)/2=IF(N94-Uzman_D!$L$4&lt;0,-(N94-Uzman_D!$L$4),N94-Uzman_D!$L$4),(ROUND((IF(N94-Uzman_D!$L$4&lt;0,-(N94-Uzman_D!$L$4),N94-Uzman_D!$L$4)*2),0)/1*0.1),0)+IF(O94-Uzman_D!$M$4&lt;0,-(O94-Uzman_D!$M$4),O94-Uzman_D!$M$4)*1)</f>
        <v>-0.19999999999999996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3"/>
      <c r="AB94" s="73"/>
      <c r="AC94" s="71">
        <f>1-(SUM(IF(Q94-Uzman_D!$B$5&lt;0,-(Q94-Uzman_D!$B$5),Q94-Uzman_D!$B$5)*0.1+IF(R94-Uzman_D!$C$5&lt;0,-(R94-Uzman_D!$C$5),R94-Uzman_D!$C$5)*0.1+IF(S94-Uzman_D!$D$5&lt;0,-(S94-Uzman_D!$D$5),S94-Uzman_D!$D$5)*0.1+IF(T94-Uzman_D!$E$5&lt;0,-(T94-Uzman_D!$E$5),T94-Uzman_D!$E$5)*0.1+IF(U94-Uzman_D!$F$5&lt;0,-(U94-Uzman_D!$F$5),U94-Uzman_D!$F$5)*0.1+IF(V94-Uzman_D!$G$5&lt;0,-(V94-Uzman_D!$G$5),V94-Uzman_D!$G$5)*0.1+IF(W94-Uzman_D!$H$5&lt;0,-(W94-Uzman_D!$H$5),W94-Uzman_D!$H$5)*0.1+IF(X94-Uzman_D!$I$5&lt;0,-(X94-Uzman_D!$I$5),X94-Uzman_D!$I$5)*0.1+IF(Y94-Uzman_D!$J$5&lt;0,-(Y94-Uzman_D!$J$5),Y94-Uzman_D!$J$5)*0.1)+IF(ROUND((IF(AA94-Uzman_D!$L$5&lt;0,-(AA94-Uzman_D!$L$5),AA94-Uzman_D!$L$5)*2),0)/2=IF(AA94-Uzman_D!$L$5&lt;0,-(AA94-Uzman_D!$L$5),AA94-Uzman_D!$L$5),(ROUND((IF(AA94-Uzman_D!$L$5&lt;0,-(AA94-Uzman_D!$L$5),AA94-Uzman_D!$L$5)*2),0)/1*0.1),0)+IF(AB94-Uzman_D!$M$5&lt;0,-(AB94-Uzman_D!$M$5),AB94-Uzman_D!$M$5)*1)</f>
        <v>-0.40000000000000013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3"/>
      <c r="AO94" s="73"/>
      <c r="AP94" s="71">
        <f>1-(SUM(IF(AD94-Uzman_D!$B$6&lt;0,-(AD94-Uzman_D!$B$6),AD94-Uzman_D!$B$6)*0.1+IF(AE94-Uzman_D!$C$6&lt;0,-(AE94-Uzman_D!$C$6),AE94-Uzman_D!$C$6)*0.1+IF(AF94-Uzman_D!$D$6&lt;0,-(AF94-Uzman_D!$D$6),AF94-Uzman_D!$D$6)*0.1+IF(AG94-Uzman_D!$E$6&lt;0,-(AG94-Uzman_D!$E$6),AG94-Uzman_D!$E$6)*0.1+IF(AH94-Uzman_D!$F$6&lt;0,-(AH94-Uzman_D!$F$6),AH94-Uzman_D!$F$6)*0.1+IF(AI94-Uzman_D!$G$6&lt;0,-(AI94-Uzman_D!$G$6),AI94-Uzman_D!$G$6)*0.1+IF(AJ94-Uzman_D!$H$6&lt;0,-(AJ94-Uzman_D!$H$6),AJ94-Uzman_D!$H$6)*0.1+IF(AK94-Uzman_D!$I$6&lt;0,-(AK94-Uzman_D!$I$6),AK94-Uzman_D!$I$6)*0.1+IF(AL94-Uzman_D!$J$6&lt;0,-(AL94-Uzman_D!$J$6),AL94-Uzman_D!$J$6)*0.1)+IF(ROUND((IF(AN94-Uzman_D!$L$6&lt;0,-(AN94-Uzman_D!$L$6),AN94-Uzman_D!$L$6)*2),0)/2=IF(AN94-Uzman_D!$L$6&lt;0,-(AN94-Uzman_D!$L$6),AN94-Uzman_D!$L$6),(ROUND((IF(AN94-Uzman_D!$L$6&lt;0,-(AN94-Uzman_D!$L$6),AN94-Uzman_D!$L$6)*2),0)/1*0.1),0)+IF(AO94-Uzman_D!$M$6&lt;0,-(AO94-Uzman_D!$M$6),AO94-Uzman_D!$M$6)*1)</f>
        <v>-0.10000000000000009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3"/>
      <c r="BB94" s="73"/>
      <c r="BC94" s="71">
        <f>1-(SUM(IF(AQ94-Uzman_D!$B$7&lt;0,-(AQ94-Uzman_D!$B$7),AQ94-Uzman_D!$B$7)*0.1+IF(AR94-Uzman_D!$C$7&lt;0,-(AR94-Uzman_D!$C$7),AR94-Uzman_D!$C$7)*0.1+IF(AS94-Uzman_D!$D$7&lt;0,-(AS94-Uzman_D!$D$7),AS94-Uzman_D!$D$7)*0.1+IF(AT94-Uzman_D!$E$7&lt;0,-(AT94-Uzman_D!$E$7),AT94-Uzman_D!$E$7)*0.1+IF(AU94-Uzman_D!$F$7&lt;0,-(AU94-Uzman_D!$F$7),AU94-Uzman_D!$F$7)*0.1+IF(AV94-Uzman_D!$G$7&lt;0,-(AV94-Uzman_D!$G$7),AV94-Uzman_D!$G$7)*0.1+IF(AW94-Uzman_D!$H$7&lt;0,-(AW94-Uzman_D!$H$7),AW94-Uzman_D!$H$7)*0.1+IF(AX94-Uzman_D!$I$7&lt;0,-(AX94-Uzman_D!$I$7),AX94-Uzman_D!$I$7)*0.1+IF(AY94-Uzman_D!$J$7&lt;0,-(AY94-Uzman_D!$J$7),AY94-Uzman_D!$J$7)*0.1)+IF(ROUND((IF(BA94-Uzman_D!$L$7&lt;0,-(BA94-Uzman_D!$L$7),BA94-Uzman_D!$L$7)*2),0)/2=IF(BA94-Uzman_D!$L$7&lt;0,-(BA94-Uzman_D!$L$7),BA94-Uzman_D!$L$7),(ROUND((IF(BA94-Uzman_D!$L$7&lt;0,-(BA94-Uzman_D!$L$7),BA94-Uzman_D!$L$7)*2),0)/1*0.1),0)+IF(BB94-Uzman_D!$M$7&lt;0,-(BB94-Uzman_D!$M$7),BB94-Uzman_D!$M$7)*1)</f>
        <v>-0.7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3"/>
      <c r="BO94" s="73"/>
      <c r="BP94" s="71">
        <f>1-(SUM(IF(BD94-Uzman_D!$B$8&lt;0,-(BD94-Uzman_D!$B$8),BD94-Uzman_D!$B$8)*0.1+IF(BE94-Uzman_D!$C$8&lt;0,-(BE94-Uzman_D!$C$8),BE94-Uzman_D!$C$8)*0.1+IF(BF94-Uzman_D!$D$8&lt;0,-(BF94-Uzman_D!$D$8),BF94-Uzman_D!$D$8)*0.1+IF(BG94-Uzman_D!$E$8&lt;0,-(BG94-Uzman_D!$E$8),BG94-Uzman_D!$E$8)*0.1+IF(BH94-Uzman_D!$F$8&lt;0,-(BH94-Uzman_D!$F$8),BH94-Uzman_D!$F$8)*0.1+IF(BI94-Uzman_D!$G$8&lt;0,-(BI94-Uzman_D!$G$8),BI94-Uzman_D!$G$8)*0.1+IF(BJ94-Uzman_D!$H$8&lt;0,-(BJ94-Uzman_D!$H$8),BJ94-Uzman_D!$H$8)*0.1+IF(BK94-Uzman_D!$I$8&lt;0,-(BK94-Uzman_D!$I$8),BK94-Uzman_D!$I$8)*0.1+IF(BL94-Uzman_D!$J$8&lt;0,-(BL94-Uzman_D!$J$8),BL94-Uzman_D!$J$8)*0.1)+IF(ROUND((IF(BN94-Uzman_D!$L$8&lt;0,-(BN94-Uzman_D!$L$8),BN94-Uzman_D!$L$8)*2),0)/2=IF(BN94-Uzman_D!$L$8&lt;0,-(BN94-Uzman_D!$L$8),BN94-Uzman_D!$L$8),(ROUND((IF(BN94-Uzman_D!$L$8&lt;0,-(BN94-Uzman_D!$L$8),BN94-Uzman_D!$L$8)*2),0)/1*0.1),0)+IF(BO94-Uzman_D!$M$8&lt;0,-(BO94-Uzman_D!$M$8),BO94-Uzman_D!$M$8)*1)</f>
        <v>-1</v>
      </c>
      <c r="BQ94" s="72">
        <f t="shared" si="2"/>
        <v>-0.48000000000000009</v>
      </c>
    </row>
    <row r="95" spans="1:69" ht="15" customHeight="1" x14ac:dyDescent="0.45">
      <c r="A95" s="54">
        <v>92</v>
      </c>
      <c r="B95" s="149">
        <f>Hakemler!B95</f>
        <v>0</v>
      </c>
      <c r="C95" s="149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3"/>
      <c r="O95" s="73"/>
      <c r="P95" s="71">
        <f>1-(SUM(IF(D95-Uzman_D!$B$4&lt;0,-(D95-Uzman_D!$B$4),D95-Uzman_D!$B$4)*0.1+IF(E95-Uzman_D!$C$4&lt;0,-(E95-Uzman_D!$C$4),E95-Uzman_D!$C$4)*0.1+IF(F95-Uzman_D!$D$4&lt;0,-(F95-Uzman_D!$D$4),F95-Uzman_D!$D$4)*0.1+IF(G95-Uzman_D!$E$4&lt;0,-(G95-Uzman_D!$E$4),G95-Uzman_D!$E$4)*0.1+IF(H95-Uzman_D!$F$4&lt;0,-(H95-Uzman_D!$F$4),H95-Uzman_D!$F$4)*0.1+IF(I95-Uzman_D!$G$4&lt;0,-(I95-Uzman_D!$G$4),I95-Uzman_D!$G$4)*0.1+IF(J95-Uzman_D!$H$4&lt;0,-(J95-Uzman_D!$H$4),J95-Uzman_D!$H$4)*0.1+IF(K95-Uzman_D!$I$4&lt;0,-(K95-Uzman_D!$I$4),K95-Uzman_D!$I$4)*0.1+IF(L95-Uzman_D!$J$4&lt;0,-(L95-Uzman_D!$J$4),L95-Uzman_D!$J$4)*0.1)+IF(ROUND((IF(N95-Uzman_D!$L$4&lt;0,-(N95-Uzman_D!$L$4),N95-Uzman_D!$L$4)*2),0)/2=IF(N95-Uzman_D!$L$4&lt;0,-(N95-Uzman_D!$L$4),N95-Uzman_D!$L$4),(ROUND((IF(N95-Uzman_D!$L$4&lt;0,-(N95-Uzman_D!$L$4),N95-Uzman_D!$L$4)*2),0)/1*0.1),0)+IF(O95-Uzman_D!$M$4&lt;0,-(O95-Uzman_D!$M$4),O95-Uzman_D!$M$4)*1)</f>
        <v>-0.19999999999999996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3"/>
      <c r="AB95" s="73"/>
      <c r="AC95" s="71">
        <f>1-(SUM(IF(Q95-Uzman_D!$B$5&lt;0,-(Q95-Uzman_D!$B$5),Q95-Uzman_D!$B$5)*0.1+IF(R95-Uzman_D!$C$5&lt;0,-(R95-Uzman_D!$C$5),R95-Uzman_D!$C$5)*0.1+IF(S95-Uzman_D!$D$5&lt;0,-(S95-Uzman_D!$D$5),S95-Uzman_D!$D$5)*0.1+IF(T95-Uzman_D!$E$5&lt;0,-(T95-Uzman_D!$E$5),T95-Uzman_D!$E$5)*0.1+IF(U95-Uzman_D!$F$5&lt;0,-(U95-Uzman_D!$F$5),U95-Uzman_D!$F$5)*0.1+IF(V95-Uzman_D!$G$5&lt;0,-(V95-Uzman_D!$G$5),V95-Uzman_D!$G$5)*0.1+IF(W95-Uzman_D!$H$5&lt;0,-(W95-Uzman_D!$H$5),W95-Uzman_D!$H$5)*0.1+IF(X95-Uzman_D!$I$5&lt;0,-(X95-Uzman_D!$I$5),X95-Uzman_D!$I$5)*0.1+IF(Y95-Uzman_D!$J$5&lt;0,-(Y95-Uzman_D!$J$5),Y95-Uzman_D!$J$5)*0.1)+IF(ROUND((IF(AA95-Uzman_D!$L$5&lt;0,-(AA95-Uzman_D!$L$5),AA95-Uzman_D!$L$5)*2),0)/2=IF(AA95-Uzman_D!$L$5&lt;0,-(AA95-Uzman_D!$L$5),AA95-Uzman_D!$L$5),(ROUND((IF(AA95-Uzman_D!$L$5&lt;0,-(AA95-Uzman_D!$L$5),AA95-Uzman_D!$L$5)*2),0)/1*0.1),0)+IF(AB95-Uzman_D!$M$5&lt;0,-(AB95-Uzman_D!$M$5),AB95-Uzman_D!$M$5)*1)</f>
        <v>-0.40000000000000013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3"/>
      <c r="AO95" s="73"/>
      <c r="AP95" s="71">
        <f>1-(SUM(IF(AD95-Uzman_D!$B$6&lt;0,-(AD95-Uzman_D!$B$6),AD95-Uzman_D!$B$6)*0.1+IF(AE95-Uzman_D!$C$6&lt;0,-(AE95-Uzman_D!$C$6),AE95-Uzman_D!$C$6)*0.1+IF(AF95-Uzman_D!$D$6&lt;0,-(AF95-Uzman_D!$D$6),AF95-Uzman_D!$D$6)*0.1+IF(AG95-Uzman_D!$E$6&lt;0,-(AG95-Uzman_D!$E$6),AG95-Uzman_D!$E$6)*0.1+IF(AH95-Uzman_D!$F$6&lt;0,-(AH95-Uzman_D!$F$6),AH95-Uzman_D!$F$6)*0.1+IF(AI95-Uzman_D!$G$6&lt;0,-(AI95-Uzman_D!$G$6),AI95-Uzman_D!$G$6)*0.1+IF(AJ95-Uzman_D!$H$6&lt;0,-(AJ95-Uzman_D!$H$6),AJ95-Uzman_D!$H$6)*0.1+IF(AK95-Uzman_D!$I$6&lt;0,-(AK95-Uzman_D!$I$6),AK95-Uzman_D!$I$6)*0.1+IF(AL95-Uzman_D!$J$6&lt;0,-(AL95-Uzman_D!$J$6),AL95-Uzman_D!$J$6)*0.1)+IF(ROUND((IF(AN95-Uzman_D!$L$6&lt;0,-(AN95-Uzman_D!$L$6),AN95-Uzman_D!$L$6)*2),0)/2=IF(AN95-Uzman_D!$L$6&lt;0,-(AN95-Uzman_D!$L$6),AN95-Uzman_D!$L$6),(ROUND((IF(AN95-Uzman_D!$L$6&lt;0,-(AN95-Uzman_D!$L$6),AN95-Uzman_D!$L$6)*2),0)/1*0.1),0)+IF(AO95-Uzman_D!$M$6&lt;0,-(AO95-Uzman_D!$M$6),AO95-Uzman_D!$M$6)*1)</f>
        <v>-0.10000000000000009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3"/>
      <c r="BB95" s="73"/>
      <c r="BC95" s="71">
        <f>1-(SUM(IF(AQ95-Uzman_D!$B$7&lt;0,-(AQ95-Uzman_D!$B$7),AQ95-Uzman_D!$B$7)*0.1+IF(AR95-Uzman_D!$C$7&lt;0,-(AR95-Uzman_D!$C$7),AR95-Uzman_D!$C$7)*0.1+IF(AS95-Uzman_D!$D$7&lt;0,-(AS95-Uzman_D!$D$7),AS95-Uzman_D!$D$7)*0.1+IF(AT95-Uzman_D!$E$7&lt;0,-(AT95-Uzman_D!$E$7),AT95-Uzman_D!$E$7)*0.1+IF(AU95-Uzman_D!$F$7&lt;0,-(AU95-Uzman_D!$F$7),AU95-Uzman_D!$F$7)*0.1+IF(AV95-Uzman_D!$G$7&lt;0,-(AV95-Uzman_D!$G$7),AV95-Uzman_D!$G$7)*0.1+IF(AW95-Uzman_D!$H$7&lt;0,-(AW95-Uzman_D!$H$7),AW95-Uzman_D!$H$7)*0.1+IF(AX95-Uzman_D!$I$7&lt;0,-(AX95-Uzman_D!$I$7),AX95-Uzman_D!$I$7)*0.1+IF(AY95-Uzman_D!$J$7&lt;0,-(AY95-Uzman_D!$J$7),AY95-Uzman_D!$J$7)*0.1)+IF(ROUND((IF(BA95-Uzman_D!$L$7&lt;0,-(BA95-Uzman_D!$L$7),BA95-Uzman_D!$L$7)*2),0)/2=IF(BA95-Uzman_D!$L$7&lt;0,-(BA95-Uzman_D!$L$7),BA95-Uzman_D!$L$7),(ROUND((IF(BA95-Uzman_D!$L$7&lt;0,-(BA95-Uzman_D!$L$7),BA95-Uzman_D!$L$7)*2),0)/1*0.1),0)+IF(BB95-Uzman_D!$M$7&lt;0,-(BB95-Uzman_D!$M$7),BB95-Uzman_D!$M$7)*1)</f>
        <v>-0.7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3"/>
      <c r="BO95" s="73"/>
      <c r="BP95" s="71">
        <f>1-(SUM(IF(BD95-Uzman_D!$B$8&lt;0,-(BD95-Uzman_D!$B$8),BD95-Uzman_D!$B$8)*0.1+IF(BE95-Uzman_D!$C$8&lt;0,-(BE95-Uzman_D!$C$8),BE95-Uzman_D!$C$8)*0.1+IF(BF95-Uzman_D!$D$8&lt;0,-(BF95-Uzman_D!$D$8),BF95-Uzman_D!$D$8)*0.1+IF(BG95-Uzman_D!$E$8&lt;0,-(BG95-Uzman_D!$E$8),BG95-Uzman_D!$E$8)*0.1+IF(BH95-Uzman_D!$F$8&lt;0,-(BH95-Uzman_D!$F$8),BH95-Uzman_D!$F$8)*0.1+IF(BI95-Uzman_D!$G$8&lt;0,-(BI95-Uzman_D!$G$8),BI95-Uzman_D!$G$8)*0.1+IF(BJ95-Uzman_D!$H$8&lt;0,-(BJ95-Uzman_D!$H$8),BJ95-Uzman_D!$H$8)*0.1+IF(BK95-Uzman_D!$I$8&lt;0,-(BK95-Uzman_D!$I$8),BK95-Uzman_D!$I$8)*0.1+IF(BL95-Uzman_D!$J$8&lt;0,-(BL95-Uzman_D!$J$8),BL95-Uzman_D!$J$8)*0.1)+IF(ROUND((IF(BN95-Uzman_D!$L$8&lt;0,-(BN95-Uzman_D!$L$8),BN95-Uzman_D!$L$8)*2),0)/2=IF(BN95-Uzman_D!$L$8&lt;0,-(BN95-Uzman_D!$L$8),BN95-Uzman_D!$L$8),(ROUND((IF(BN95-Uzman_D!$L$8&lt;0,-(BN95-Uzman_D!$L$8),BN95-Uzman_D!$L$8)*2),0)/1*0.1),0)+IF(BO95-Uzman_D!$M$8&lt;0,-(BO95-Uzman_D!$M$8),BO95-Uzman_D!$M$8)*1)</f>
        <v>-1</v>
      </c>
      <c r="BQ95" s="72">
        <f t="shared" si="2"/>
        <v>-0.48000000000000009</v>
      </c>
    </row>
    <row r="96" spans="1:69" ht="15" customHeight="1" x14ac:dyDescent="0.45">
      <c r="A96" s="54">
        <v>93</v>
      </c>
      <c r="B96" s="149">
        <f>Hakemler!B96</f>
        <v>0</v>
      </c>
      <c r="C96" s="149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3"/>
      <c r="O96" s="73"/>
      <c r="P96" s="71">
        <f>1-(SUM(IF(D96-Uzman_D!$B$4&lt;0,-(D96-Uzman_D!$B$4),D96-Uzman_D!$B$4)*0.1+IF(E96-Uzman_D!$C$4&lt;0,-(E96-Uzman_D!$C$4),E96-Uzman_D!$C$4)*0.1+IF(F96-Uzman_D!$D$4&lt;0,-(F96-Uzman_D!$D$4),F96-Uzman_D!$D$4)*0.1+IF(G96-Uzman_D!$E$4&lt;0,-(G96-Uzman_D!$E$4),G96-Uzman_D!$E$4)*0.1+IF(H96-Uzman_D!$F$4&lt;0,-(H96-Uzman_D!$F$4),H96-Uzman_D!$F$4)*0.1+IF(I96-Uzman_D!$G$4&lt;0,-(I96-Uzman_D!$G$4),I96-Uzman_D!$G$4)*0.1+IF(J96-Uzman_D!$H$4&lt;0,-(J96-Uzman_D!$H$4),J96-Uzman_D!$H$4)*0.1+IF(K96-Uzman_D!$I$4&lt;0,-(K96-Uzman_D!$I$4),K96-Uzman_D!$I$4)*0.1+IF(L96-Uzman_D!$J$4&lt;0,-(L96-Uzman_D!$J$4),L96-Uzman_D!$J$4)*0.1)+IF(ROUND((IF(N96-Uzman_D!$L$4&lt;0,-(N96-Uzman_D!$L$4),N96-Uzman_D!$L$4)*2),0)/2=IF(N96-Uzman_D!$L$4&lt;0,-(N96-Uzman_D!$L$4),N96-Uzman_D!$L$4),(ROUND((IF(N96-Uzman_D!$L$4&lt;0,-(N96-Uzman_D!$L$4),N96-Uzman_D!$L$4)*2),0)/1*0.1),0)+IF(O96-Uzman_D!$M$4&lt;0,-(O96-Uzman_D!$M$4),O96-Uzman_D!$M$4)*1)</f>
        <v>-0.19999999999999996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3"/>
      <c r="AB96" s="73"/>
      <c r="AC96" s="71">
        <f>1-(SUM(IF(Q96-Uzman_D!$B$5&lt;0,-(Q96-Uzman_D!$B$5),Q96-Uzman_D!$B$5)*0.1+IF(R96-Uzman_D!$C$5&lt;0,-(R96-Uzman_D!$C$5),R96-Uzman_D!$C$5)*0.1+IF(S96-Uzman_D!$D$5&lt;0,-(S96-Uzman_D!$D$5),S96-Uzman_D!$D$5)*0.1+IF(T96-Uzman_D!$E$5&lt;0,-(T96-Uzman_D!$E$5),T96-Uzman_D!$E$5)*0.1+IF(U96-Uzman_D!$F$5&lt;0,-(U96-Uzman_D!$F$5),U96-Uzman_D!$F$5)*0.1+IF(V96-Uzman_D!$G$5&lt;0,-(V96-Uzman_D!$G$5),V96-Uzman_D!$G$5)*0.1+IF(W96-Uzman_D!$H$5&lt;0,-(W96-Uzman_D!$H$5),W96-Uzman_D!$H$5)*0.1+IF(X96-Uzman_D!$I$5&lt;0,-(X96-Uzman_D!$I$5),X96-Uzman_D!$I$5)*0.1+IF(Y96-Uzman_D!$J$5&lt;0,-(Y96-Uzman_D!$J$5),Y96-Uzman_D!$J$5)*0.1)+IF(ROUND((IF(AA96-Uzman_D!$L$5&lt;0,-(AA96-Uzman_D!$L$5),AA96-Uzman_D!$L$5)*2),0)/2=IF(AA96-Uzman_D!$L$5&lt;0,-(AA96-Uzman_D!$L$5),AA96-Uzman_D!$L$5),(ROUND((IF(AA96-Uzman_D!$L$5&lt;0,-(AA96-Uzman_D!$L$5),AA96-Uzman_D!$L$5)*2),0)/1*0.1),0)+IF(AB96-Uzman_D!$M$5&lt;0,-(AB96-Uzman_D!$M$5),AB96-Uzman_D!$M$5)*1)</f>
        <v>-0.40000000000000013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3"/>
      <c r="AO96" s="73"/>
      <c r="AP96" s="71">
        <f>1-(SUM(IF(AD96-Uzman_D!$B$6&lt;0,-(AD96-Uzman_D!$B$6),AD96-Uzman_D!$B$6)*0.1+IF(AE96-Uzman_D!$C$6&lt;0,-(AE96-Uzman_D!$C$6),AE96-Uzman_D!$C$6)*0.1+IF(AF96-Uzman_D!$D$6&lt;0,-(AF96-Uzman_D!$D$6),AF96-Uzman_D!$D$6)*0.1+IF(AG96-Uzman_D!$E$6&lt;0,-(AG96-Uzman_D!$E$6),AG96-Uzman_D!$E$6)*0.1+IF(AH96-Uzman_D!$F$6&lt;0,-(AH96-Uzman_D!$F$6),AH96-Uzman_D!$F$6)*0.1+IF(AI96-Uzman_D!$G$6&lt;0,-(AI96-Uzman_D!$G$6),AI96-Uzman_D!$G$6)*0.1+IF(AJ96-Uzman_D!$H$6&lt;0,-(AJ96-Uzman_D!$H$6),AJ96-Uzman_D!$H$6)*0.1+IF(AK96-Uzman_D!$I$6&lt;0,-(AK96-Uzman_D!$I$6),AK96-Uzman_D!$I$6)*0.1+IF(AL96-Uzman_D!$J$6&lt;0,-(AL96-Uzman_D!$J$6),AL96-Uzman_D!$J$6)*0.1)+IF(ROUND((IF(AN96-Uzman_D!$L$6&lt;0,-(AN96-Uzman_D!$L$6),AN96-Uzman_D!$L$6)*2),0)/2=IF(AN96-Uzman_D!$L$6&lt;0,-(AN96-Uzman_D!$L$6),AN96-Uzman_D!$L$6),(ROUND((IF(AN96-Uzman_D!$L$6&lt;0,-(AN96-Uzman_D!$L$6),AN96-Uzman_D!$L$6)*2),0)/1*0.1),0)+IF(AO96-Uzman_D!$M$6&lt;0,-(AO96-Uzman_D!$M$6),AO96-Uzman_D!$M$6)*1)</f>
        <v>-0.10000000000000009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3"/>
      <c r="BB96" s="73"/>
      <c r="BC96" s="71">
        <f>1-(SUM(IF(AQ96-Uzman_D!$B$7&lt;0,-(AQ96-Uzman_D!$B$7),AQ96-Uzman_D!$B$7)*0.1+IF(AR96-Uzman_D!$C$7&lt;0,-(AR96-Uzman_D!$C$7),AR96-Uzman_D!$C$7)*0.1+IF(AS96-Uzman_D!$D$7&lt;0,-(AS96-Uzman_D!$D$7),AS96-Uzman_D!$D$7)*0.1+IF(AT96-Uzman_D!$E$7&lt;0,-(AT96-Uzman_D!$E$7),AT96-Uzman_D!$E$7)*0.1+IF(AU96-Uzman_D!$F$7&lt;0,-(AU96-Uzman_D!$F$7),AU96-Uzman_D!$F$7)*0.1+IF(AV96-Uzman_D!$G$7&lt;0,-(AV96-Uzman_D!$G$7),AV96-Uzman_D!$G$7)*0.1+IF(AW96-Uzman_D!$H$7&lt;0,-(AW96-Uzman_D!$H$7),AW96-Uzman_D!$H$7)*0.1+IF(AX96-Uzman_D!$I$7&lt;0,-(AX96-Uzman_D!$I$7),AX96-Uzman_D!$I$7)*0.1+IF(AY96-Uzman_D!$J$7&lt;0,-(AY96-Uzman_D!$J$7),AY96-Uzman_D!$J$7)*0.1)+IF(ROUND((IF(BA96-Uzman_D!$L$7&lt;0,-(BA96-Uzman_D!$L$7),BA96-Uzman_D!$L$7)*2),0)/2=IF(BA96-Uzman_D!$L$7&lt;0,-(BA96-Uzman_D!$L$7),BA96-Uzman_D!$L$7),(ROUND((IF(BA96-Uzman_D!$L$7&lt;0,-(BA96-Uzman_D!$L$7),BA96-Uzman_D!$L$7)*2),0)/1*0.1),0)+IF(BB96-Uzman_D!$M$7&lt;0,-(BB96-Uzman_D!$M$7),BB96-Uzman_D!$M$7)*1)</f>
        <v>-0.7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3"/>
      <c r="BO96" s="73"/>
      <c r="BP96" s="71">
        <f>1-(SUM(IF(BD96-Uzman_D!$B$8&lt;0,-(BD96-Uzman_D!$B$8),BD96-Uzman_D!$B$8)*0.1+IF(BE96-Uzman_D!$C$8&lt;0,-(BE96-Uzman_D!$C$8),BE96-Uzman_D!$C$8)*0.1+IF(BF96-Uzman_D!$D$8&lt;0,-(BF96-Uzman_D!$D$8),BF96-Uzman_D!$D$8)*0.1+IF(BG96-Uzman_D!$E$8&lt;0,-(BG96-Uzman_D!$E$8),BG96-Uzman_D!$E$8)*0.1+IF(BH96-Uzman_D!$F$8&lt;0,-(BH96-Uzman_D!$F$8),BH96-Uzman_D!$F$8)*0.1+IF(BI96-Uzman_D!$G$8&lt;0,-(BI96-Uzman_D!$G$8),BI96-Uzman_D!$G$8)*0.1+IF(BJ96-Uzman_D!$H$8&lt;0,-(BJ96-Uzman_D!$H$8),BJ96-Uzman_D!$H$8)*0.1+IF(BK96-Uzman_D!$I$8&lt;0,-(BK96-Uzman_D!$I$8),BK96-Uzman_D!$I$8)*0.1+IF(BL96-Uzman_D!$J$8&lt;0,-(BL96-Uzman_D!$J$8),BL96-Uzman_D!$J$8)*0.1)+IF(ROUND((IF(BN96-Uzman_D!$L$8&lt;0,-(BN96-Uzman_D!$L$8),BN96-Uzman_D!$L$8)*2),0)/2=IF(BN96-Uzman_D!$L$8&lt;0,-(BN96-Uzman_D!$L$8),BN96-Uzman_D!$L$8),(ROUND((IF(BN96-Uzman_D!$L$8&lt;0,-(BN96-Uzman_D!$L$8),BN96-Uzman_D!$L$8)*2),0)/1*0.1),0)+IF(BO96-Uzman_D!$M$8&lt;0,-(BO96-Uzman_D!$M$8),BO96-Uzman_D!$M$8)*1)</f>
        <v>-1</v>
      </c>
      <c r="BQ96" s="72">
        <f t="shared" si="2"/>
        <v>-0.48000000000000009</v>
      </c>
    </row>
    <row r="97" spans="1:69" ht="15" customHeight="1" x14ac:dyDescent="0.45">
      <c r="A97" s="54">
        <v>94</v>
      </c>
      <c r="B97" s="149">
        <f>Hakemler!B97</f>
        <v>0</v>
      </c>
      <c r="C97" s="149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3"/>
      <c r="O97" s="73"/>
      <c r="P97" s="71">
        <f>1-(SUM(IF(D97-Uzman_D!$B$4&lt;0,-(D97-Uzman_D!$B$4),D97-Uzman_D!$B$4)*0.1+IF(E97-Uzman_D!$C$4&lt;0,-(E97-Uzman_D!$C$4),E97-Uzman_D!$C$4)*0.1+IF(F97-Uzman_D!$D$4&lt;0,-(F97-Uzman_D!$D$4),F97-Uzman_D!$D$4)*0.1+IF(G97-Uzman_D!$E$4&lt;0,-(G97-Uzman_D!$E$4),G97-Uzman_D!$E$4)*0.1+IF(H97-Uzman_D!$F$4&lt;0,-(H97-Uzman_D!$F$4),H97-Uzman_D!$F$4)*0.1+IF(I97-Uzman_D!$G$4&lt;0,-(I97-Uzman_D!$G$4),I97-Uzman_D!$G$4)*0.1+IF(J97-Uzman_D!$H$4&lt;0,-(J97-Uzman_D!$H$4),J97-Uzman_D!$H$4)*0.1+IF(K97-Uzman_D!$I$4&lt;0,-(K97-Uzman_D!$I$4),K97-Uzman_D!$I$4)*0.1+IF(L97-Uzman_D!$J$4&lt;0,-(L97-Uzman_D!$J$4),L97-Uzman_D!$J$4)*0.1)+IF(ROUND((IF(N97-Uzman_D!$L$4&lt;0,-(N97-Uzman_D!$L$4),N97-Uzman_D!$L$4)*2),0)/2=IF(N97-Uzman_D!$L$4&lt;0,-(N97-Uzman_D!$L$4),N97-Uzman_D!$L$4),(ROUND((IF(N97-Uzman_D!$L$4&lt;0,-(N97-Uzman_D!$L$4),N97-Uzman_D!$L$4)*2),0)/1*0.1),0)+IF(O97-Uzman_D!$M$4&lt;0,-(O97-Uzman_D!$M$4),O97-Uzman_D!$M$4)*1)</f>
        <v>-0.19999999999999996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3"/>
      <c r="AB97" s="73"/>
      <c r="AC97" s="71">
        <f>1-(SUM(IF(Q97-Uzman_D!$B$5&lt;0,-(Q97-Uzman_D!$B$5),Q97-Uzman_D!$B$5)*0.1+IF(R97-Uzman_D!$C$5&lt;0,-(R97-Uzman_D!$C$5),R97-Uzman_D!$C$5)*0.1+IF(S97-Uzman_D!$D$5&lt;0,-(S97-Uzman_D!$D$5),S97-Uzman_D!$D$5)*0.1+IF(T97-Uzman_D!$E$5&lt;0,-(T97-Uzman_D!$E$5),T97-Uzman_D!$E$5)*0.1+IF(U97-Uzman_D!$F$5&lt;0,-(U97-Uzman_D!$F$5),U97-Uzman_D!$F$5)*0.1+IF(V97-Uzman_D!$G$5&lt;0,-(V97-Uzman_D!$G$5),V97-Uzman_D!$G$5)*0.1+IF(W97-Uzman_D!$H$5&lt;0,-(W97-Uzman_D!$H$5),W97-Uzman_D!$H$5)*0.1+IF(X97-Uzman_D!$I$5&lt;0,-(X97-Uzman_D!$I$5),X97-Uzman_D!$I$5)*0.1+IF(Y97-Uzman_D!$J$5&lt;0,-(Y97-Uzman_D!$J$5),Y97-Uzman_D!$J$5)*0.1)+IF(ROUND((IF(AA97-Uzman_D!$L$5&lt;0,-(AA97-Uzman_D!$L$5),AA97-Uzman_D!$L$5)*2),0)/2=IF(AA97-Uzman_D!$L$5&lt;0,-(AA97-Uzman_D!$L$5),AA97-Uzman_D!$L$5),(ROUND((IF(AA97-Uzman_D!$L$5&lt;0,-(AA97-Uzman_D!$L$5),AA97-Uzman_D!$L$5)*2),0)/1*0.1),0)+IF(AB97-Uzman_D!$M$5&lt;0,-(AB97-Uzman_D!$M$5),AB97-Uzman_D!$M$5)*1)</f>
        <v>-0.40000000000000013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3"/>
      <c r="AO97" s="73"/>
      <c r="AP97" s="71">
        <f>1-(SUM(IF(AD97-Uzman_D!$B$6&lt;0,-(AD97-Uzman_D!$B$6),AD97-Uzman_D!$B$6)*0.1+IF(AE97-Uzman_D!$C$6&lt;0,-(AE97-Uzman_D!$C$6),AE97-Uzman_D!$C$6)*0.1+IF(AF97-Uzman_D!$D$6&lt;0,-(AF97-Uzman_D!$D$6),AF97-Uzman_D!$D$6)*0.1+IF(AG97-Uzman_D!$E$6&lt;0,-(AG97-Uzman_D!$E$6),AG97-Uzman_D!$E$6)*0.1+IF(AH97-Uzman_D!$F$6&lt;0,-(AH97-Uzman_D!$F$6),AH97-Uzman_D!$F$6)*0.1+IF(AI97-Uzman_D!$G$6&lt;0,-(AI97-Uzman_D!$G$6),AI97-Uzman_D!$G$6)*0.1+IF(AJ97-Uzman_D!$H$6&lt;0,-(AJ97-Uzman_D!$H$6),AJ97-Uzman_D!$H$6)*0.1+IF(AK97-Uzman_D!$I$6&lt;0,-(AK97-Uzman_D!$I$6),AK97-Uzman_D!$I$6)*0.1+IF(AL97-Uzman_D!$J$6&lt;0,-(AL97-Uzman_D!$J$6),AL97-Uzman_D!$J$6)*0.1)+IF(ROUND((IF(AN97-Uzman_D!$L$6&lt;0,-(AN97-Uzman_D!$L$6),AN97-Uzman_D!$L$6)*2),0)/2=IF(AN97-Uzman_D!$L$6&lt;0,-(AN97-Uzman_D!$L$6),AN97-Uzman_D!$L$6),(ROUND((IF(AN97-Uzman_D!$L$6&lt;0,-(AN97-Uzman_D!$L$6),AN97-Uzman_D!$L$6)*2),0)/1*0.1),0)+IF(AO97-Uzman_D!$M$6&lt;0,-(AO97-Uzman_D!$M$6),AO97-Uzman_D!$M$6)*1)</f>
        <v>-0.10000000000000009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3"/>
      <c r="BB97" s="73"/>
      <c r="BC97" s="71">
        <f>1-(SUM(IF(AQ97-Uzman_D!$B$7&lt;0,-(AQ97-Uzman_D!$B$7),AQ97-Uzman_D!$B$7)*0.1+IF(AR97-Uzman_D!$C$7&lt;0,-(AR97-Uzman_D!$C$7),AR97-Uzman_D!$C$7)*0.1+IF(AS97-Uzman_D!$D$7&lt;0,-(AS97-Uzman_D!$D$7),AS97-Uzman_D!$D$7)*0.1+IF(AT97-Uzman_D!$E$7&lt;0,-(AT97-Uzman_D!$E$7),AT97-Uzman_D!$E$7)*0.1+IF(AU97-Uzman_D!$F$7&lt;0,-(AU97-Uzman_D!$F$7),AU97-Uzman_D!$F$7)*0.1+IF(AV97-Uzman_D!$G$7&lt;0,-(AV97-Uzman_D!$G$7),AV97-Uzman_D!$G$7)*0.1+IF(AW97-Uzman_D!$H$7&lt;0,-(AW97-Uzman_D!$H$7),AW97-Uzman_D!$H$7)*0.1+IF(AX97-Uzman_D!$I$7&lt;0,-(AX97-Uzman_D!$I$7),AX97-Uzman_D!$I$7)*0.1+IF(AY97-Uzman_D!$J$7&lt;0,-(AY97-Uzman_D!$J$7),AY97-Uzman_D!$J$7)*0.1)+IF(ROUND((IF(BA97-Uzman_D!$L$7&lt;0,-(BA97-Uzman_D!$L$7),BA97-Uzman_D!$L$7)*2),0)/2=IF(BA97-Uzman_D!$L$7&lt;0,-(BA97-Uzman_D!$L$7),BA97-Uzman_D!$L$7),(ROUND((IF(BA97-Uzman_D!$L$7&lt;0,-(BA97-Uzman_D!$L$7),BA97-Uzman_D!$L$7)*2),0)/1*0.1),0)+IF(BB97-Uzman_D!$M$7&lt;0,-(BB97-Uzman_D!$M$7),BB97-Uzman_D!$M$7)*1)</f>
        <v>-0.7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3"/>
      <c r="BO97" s="73"/>
      <c r="BP97" s="71">
        <f>1-(SUM(IF(BD97-Uzman_D!$B$8&lt;0,-(BD97-Uzman_D!$B$8),BD97-Uzman_D!$B$8)*0.1+IF(BE97-Uzman_D!$C$8&lt;0,-(BE97-Uzman_D!$C$8),BE97-Uzman_D!$C$8)*0.1+IF(BF97-Uzman_D!$D$8&lt;0,-(BF97-Uzman_D!$D$8),BF97-Uzman_D!$D$8)*0.1+IF(BG97-Uzman_D!$E$8&lt;0,-(BG97-Uzman_D!$E$8),BG97-Uzman_D!$E$8)*0.1+IF(BH97-Uzman_D!$F$8&lt;0,-(BH97-Uzman_D!$F$8),BH97-Uzman_D!$F$8)*0.1+IF(BI97-Uzman_D!$G$8&lt;0,-(BI97-Uzman_D!$G$8),BI97-Uzman_D!$G$8)*0.1+IF(BJ97-Uzman_D!$H$8&lt;0,-(BJ97-Uzman_D!$H$8),BJ97-Uzman_D!$H$8)*0.1+IF(BK97-Uzman_D!$I$8&lt;0,-(BK97-Uzman_D!$I$8),BK97-Uzman_D!$I$8)*0.1+IF(BL97-Uzman_D!$J$8&lt;0,-(BL97-Uzman_D!$J$8),BL97-Uzman_D!$J$8)*0.1)+IF(ROUND((IF(BN97-Uzman_D!$L$8&lt;0,-(BN97-Uzman_D!$L$8),BN97-Uzman_D!$L$8)*2),0)/2=IF(BN97-Uzman_D!$L$8&lt;0,-(BN97-Uzman_D!$L$8),BN97-Uzman_D!$L$8),(ROUND((IF(BN97-Uzman_D!$L$8&lt;0,-(BN97-Uzman_D!$L$8),BN97-Uzman_D!$L$8)*2),0)/1*0.1),0)+IF(BO97-Uzman_D!$M$8&lt;0,-(BO97-Uzman_D!$M$8),BO97-Uzman_D!$M$8)*1)</f>
        <v>-1</v>
      </c>
      <c r="BQ97" s="72">
        <f t="shared" si="2"/>
        <v>-0.48000000000000009</v>
      </c>
    </row>
    <row r="98" spans="1:69" ht="15" customHeight="1" x14ac:dyDescent="0.45">
      <c r="A98" s="54">
        <v>95</v>
      </c>
      <c r="B98" s="149">
        <f>Hakemler!B98</f>
        <v>0</v>
      </c>
      <c r="C98" s="149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3"/>
      <c r="O98" s="73"/>
      <c r="P98" s="71">
        <f>1-(SUM(IF(D98-Uzman_D!$B$4&lt;0,-(D98-Uzman_D!$B$4),D98-Uzman_D!$B$4)*0.1+IF(E98-Uzman_D!$C$4&lt;0,-(E98-Uzman_D!$C$4),E98-Uzman_D!$C$4)*0.1+IF(F98-Uzman_D!$D$4&lt;0,-(F98-Uzman_D!$D$4),F98-Uzman_D!$D$4)*0.1+IF(G98-Uzman_D!$E$4&lt;0,-(G98-Uzman_D!$E$4),G98-Uzman_D!$E$4)*0.1+IF(H98-Uzman_D!$F$4&lt;0,-(H98-Uzman_D!$F$4),H98-Uzman_D!$F$4)*0.1+IF(I98-Uzman_D!$G$4&lt;0,-(I98-Uzman_D!$G$4),I98-Uzman_D!$G$4)*0.1+IF(J98-Uzman_D!$H$4&lt;0,-(J98-Uzman_D!$H$4),J98-Uzman_D!$H$4)*0.1+IF(K98-Uzman_D!$I$4&lt;0,-(K98-Uzman_D!$I$4),K98-Uzman_D!$I$4)*0.1+IF(L98-Uzman_D!$J$4&lt;0,-(L98-Uzman_D!$J$4),L98-Uzman_D!$J$4)*0.1)+IF(ROUND((IF(N98-Uzman_D!$L$4&lt;0,-(N98-Uzman_D!$L$4),N98-Uzman_D!$L$4)*2),0)/2=IF(N98-Uzman_D!$L$4&lt;0,-(N98-Uzman_D!$L$4),N98-Uzman_D!$L$4),(ROUND((IF(N98-Uzman_D!$L$4&lt;0,-(N98-Uzman_D!$L$4),N98-Uzman_D!$L$4)*2),0)/1*0.1),0)+IF(O98-Uzman_D!$M$4&lt;0,-(O98-Uzman_D!$M$4),O98-Uzman_D!$M$4)*1)</f>
        <v>-0.19999999999999996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3"/>
      <c r="AB98" s="73"/>
      <c r="AC98" s="71">
        <f>1-(SUM(IF(Q98-Uzman_D!$B$5&lt;0,-(Q98-Uzman_D!$B$5),Q98-Uzman_D!$B$5)*0.1+IF(R98-Uzman_D!$C$5&lt;0,-(R98-Uzman_D!$C$5),R98-Uzman_D!$C$5)*0.1+IF(S98-Uzman_D!$D$5&lt;0,-(S98-Uzman_D!$D$5),S98-Uzman_D!$D$5)*0.1+IF(T98-Uzman_D!$E$5&lt;0,-(T98-Uzman_D!$E$5),T98-Uzman_D!$E$5)*0.1+IF(U98-Uzman_D!$F$5&lt;0,-(U98-Uzman_D!$F$5),U98-Uzman_D!$F$5)*0.1+IF(V98-Uzman_D!$G$5&lt;0,-(V98-Uzman_D!$G$5),V98-Uzman_D!$G$5)*0.1+IF(W98-Uzman_D!$H$5&lt;0,-(W98-Uzman_D!$H$5),W98-Uzman_D!$H$5)*0.1+IF(X98-Uzman_D!$I$5&lt;0,-(X98-Uzman_D!$I$5),X98-Uzman_D!$I$5)*0.1+IF(Y98-Uzman_D!$J$5&lt;0,-(Y98-Uzman_D!$J$5),Y98-Uzman_D!$J$5)*0.1)+IF(ROUND((IF(AA98-Uzman_D!$L$5&lt;0,-(AA98-Uzman_D!$L$5),AA98-Uzman_D!$L$5)*2),0)/2=IF(AA98-Uzman_D!$L$5&lt;0,-(AA98-Uzman_D!$L$5),AA98-Uzman_D!$L$5),(ROUND((IF(AA98-Uzman_D!$L$5&lt;0,-(AA98-Uzman_D!$L$5),AA98-Uzman_D!$L$5)*2),0)/1*0.1),0)+IF(AB98-Uzman_D!$M$5&lt;0,-(AB98-Uzman_D!$M$5),AB98-Uzman_D!$M$5)*1)</f>
        <v>-0.40000000000000013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3"/>
      <c r="AO98" s="73"/>
      <c r="AP98" s="71">
        <f>1-(SUM(IF(AD98-Uzman_D!$B$6&lt;0,-(AD98-Uzman_D!$B$6),AD98-Uzman_D!$B$6)*0.1+IF(AE98-Uzman_D!$C$6&lt;0,-(AE98-Uzman_D!$C$6),AE98-Uzman_D!$C$6)*0.1+IF(AF98-Uzman_D!$D$6&lt;0,-(AF98-Uzman_D!$D$6),AF98-Uzman_D!$D$6)*0.1+IF(AG98-Uzman_D!$E$6&lt;0,-(AG98-Uzman_D!$E$6),AG98-Uzman_D!$E$6)*0.1+IF(AH98-Uzman_D!$F$6&lt;0,-(AH98-Uzman_D!$F$6),AH98-Uzman_D!$F$6)*0.1+IF(AI98-Uzman_D!$G$6&lt;0,-(AI98-Uzman_D!$G$6),AI98-Uzman_D!$G$6)*0.1+IF(AJ98-Uzman_D!$H$6&lt;0,-(AJ98-Uzman_D!$H$6),AJ98-Uzman_D!$H$6)*0.1+IF(AK98-Uzman_D!$I$6&lt;0,-(AK98-Uzman_D!$I$6),AK98-Uzman_D!$I$6)*0.1+IF(AL98-Uzman_D!$J$6&lt;0,-(AL98-Uzman_D!$J$6),AL98-Uzman_D!$J$6)*0.1)+IF(ROUND((IF(AN98-Uzman_D!$L$6&lt;0,-(AN98-Uzman_D!$L$6),AN98-Uzman_D!$L$6)*2),0)/2=IF(AN98-Uzman_D!$L$6&lt;0,-(AN98-Uzman_D!$L$6),AN98-Uzman_D!$L$6),(ROUND((IF(AN98-Uzman_D!$L$6&lt;0,-(AN98-Uzman_D!$L$6),AN98-Uzman_D!$L$6)*2),0)/1*0.1),0)+IF(AO98-Uzman_D!$M$6&lt;0,-(AO98-Uzman_D!$M$6),AO98-Uzman_D!$M$6)*1)</f>
        <v>-0.10000000000000009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3"/>
      <c r="BB98" s="73"/>
      <c r="BC98" s="71">
        <f>1-(SUM(IF(AQ98-Uzman_D!$B$7&lt;0,-(AQ98-Uzman_D!$B$7),AQ98-Uzman_D!$B$7)*0.1+IF(AR98-Uzman_D!$C$7&lt;0,-(AR98-Uzman_D!$C$7),AR98-Uzman_D!$C$7)*0.1+IF(AS98-Uzman_D!$D$7&lt;0,-(AS98-Uzman_D!$D$7),AS98-Uzman_D!$D$7)*0.1+IF(AT98-Uzman_D!$E$7&lt;0,-(AT98-Uzman_D!$E$7),AT98-Uzman_D!$E$7)*0.1+IF(AU98-Uzman_D!$F$7&lt;0,-(AU98-Uzman_D!$F$7),AU98-Uzman_D!$F$7)*0.1+IF(AV98-Uzman_D!$G$7&lt;0,-(AV98-Uzman_D!$G$7),AV98-Uzman_D!$G$7)*0.1+IF(AW98-Uzman_D!$H$7&lt;0,-(AW98-Uzman_D!$H$7),AW98-Uzman_D!$H$7)*0.1+IF(AX98-Uzman_D!$I$7&lt;0,-(AX98-Uzman_D!$I$7),AX98-Uzman_D!$I$7)*0.1+IF(AY98-Uzman_D!$J$7&lt;0,-(AY98-Uzman_D!$J$7),AY98-Uzman_D!$J$7)*0.1)+IF(ROUND((IF(BA98-Uzman_D!$L$7&lt;0,-(BA98-Uzman_D!$L$7),BA98-Uzman_D!$L$7)*2),0)/2=IF(BA98-Uzman_D!$L$7&lt;0,-(BA98-Uzman_D!$L$7),BA98-Uzman_D!$L$7),(ROUND((IF(BA98-Uzman_D!$L$7&lt;0,-(BA98-Uzman_D!$L$7),BA98-Uzman_D!$L$7)*2),0)/1*0.1),0)+IF(BB98-Uzman_D!$M$7&lt;0,-(BB98-Uzman_D!$M$7),BB98-Uzman_D!$M$7)*1)</f>
        <v>-0.7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3"/>
      <c r="BO98" s="73"/>
      <c r="BP98" s="71">
        <f>1-(SUM(IF(BD98-Uzman_D!$B$8&lt;0,-(BD98-Uzman_D!$B$8),BD98-Uzman_D!$B$8)*0.1+IF(BE98-Uzman_D!$C$8&lt;0,-(BE98-Uzman_D!$C$8),BE98-Uzman_D!$C$8)*0.1+IF(BF98-Uzman_D!$D$8&lt;0,-(BF98-Uzman_D!$D$8),BF98-Uzman_D!$D$8)*0.1+IF(BG98-Uzman_D!$E$8&lt;0,-(BG98-Uzman_D!$E$8),BG98-Uzman_D!$E$8)*0.1+IF(BH98-Uzman_D!$F$8&lt;0,-(BH98-Uzman_D!$F$8),BH98-Uzman_D!$F$8)*0.1+IF(BI98-Uzman_D!$G$8&lt;0,-(BI98-Uzman_D!$G$8),BI98-Uzman_D!$G$8)*0.1+IF(BJ98-Uzman_D!$H$8&lt;0,-(BJ98-Uzman_D!$H$8),BJ98-Uzman_D!$H$8)*0.1+IF(BK98-Uzman_D!$I$8&lt;0,-(BK98-Uzman_D!$I$8),BK98-Uzman_D!$I$8)*0.1+IF(BL98-Uzman_D!$J$8&lt;0,-(BL98-Uzman_D!$J$8),BL98-Uzman_D!$J$8)*0.1)+IF(ROUND((IF(BN98-Uzman_D!$L$8&lt;0,-(BN98-Uzman_D!$L$8),BN98-Uzman_D!$L$8)*2),0)/2=IF(BN98-Uzman_D!$L$8&lt;0,-(BN98-Uzman_D!$L$8),BN98-Uzman_D!$L$8),(ROUND((IF(BN98-Uzman_D!$L$8&lt;0,-(BN98-Uzman_D!$L$8),BN98-Uzman_D!$L$8)*2),0)/1*0.1),0)+IF(BO98-Uzman_D!$M$8&lt;0,-(BO98-Uzman_D!$M$8),BO98-Uzman_D!$M$8)*1)</f>
        <v>-1</v>
      </c>
      <c r="BQ98" s="72">
        <f t="shared" si="2"/>
        <v>-0.48000000000000009</v>
      </c>
    </row>
    <row r="99" spans="1:69" ht="15" customHeight="1" x14ac:dyDescent="0.45">
      <c r="A99" s="54">
        <v>96</v>
      </c>
      <c r="B99" s="149">
        <f>Hakemler!B99</f>
        <v>0</v>
      </c>
      <c r="C99" s="149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3"/>
      <c r="O99" s="73"/>
      <c r="P99" s="71">
        <f>1-(SUM(IF(D99-Uzman_D!$B$4&lt;0,-(D99-Uzman_D!$B$4),D99-Uzman_D!$B$4)*0.1+IF(E99-Uzman_D!$C$4&lt;0,-(E99-Uzman_D!$C$4),E99-Uzman_D!$C$4)*0.1+IF(F99-Uzman_D!$D$4&lt;0,-(F99-Uzman_D!$D$4),F99-Uzman_D!$D$4)*0.1+IF(G99-Uzman_D!$E$4&lt;0,-(G99-Uzman_D!$E$4),G99-Uzman_D!$E$4)*0.1+IF(H99-Uzman_D!$F$4&lt;0,-(H99-Uzman_D!$F$4),H99-Uzman_D!$F$4)*0.1+IF(I99-Uzman_D!$G$4&lt;0,-(I99-Uzman_D!$G$4),I99-Uzman_D!$G$4)*0.1+IF(J99-Uzman_D!$H$4&lt;0,-(J99-Uzman_D!$H$4),J99-Uzman_D!$H$4)*0.1+IF(K99-Uzman_D!$I$4&lt;0,-(K99-Uzman_D!$I$4),K99-Uzman_D!$I$4)*0.1+IF(L99-Uzman_D!$J$4&lt;0,-(L99-Uzman_D!$J$4),L99-Uzman_D!$J$4)*0.1)+IF(ROUND((IF(N99-Uzman_D!$L$4&lt;0,-(N99-Uzman_D!$L$4),N99-Uzman_D!$L$4)*2),0)/2=IF(N99-Uzman_D!$L$4&lt;0,-(N99-Uzman_D!$L$4),N99-Uzman_D!$L$4),(ROUND((IF(N99-Uzman_D!$L$4&lt;0,-(N99-Uzman_D!$L$4),N99-Uzman_D!$L$4)*2),0)/1*0.1),0)+IF(O99-Uzman_D!$M$4&lt;0,-(O99-Uzman_D!$M$4),O99-Uzman_D!$M$4)*1)</f>
        <v>-0.19999999999999996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3"/>
      <c r="AB99" s="73"/>
      <c r="AC99" s="71">
        <f>1-(SUM(IF(Q99-Uzman_D!$B$5&lt;0,-(Q99-Uzman_D!$B$5),Q99-Uzman_D!$B$5)*0.1+IF(R99-Uzman_D!$C$5&lt;0,-(R99-Uzman_D!$C$5),R99-Uzman_D!$C$5)*0.1+IF(S99-Uzman_D!$D$5&lt;0,-(S99-Uzman_D!$D$5),S99-Uzman_D!$D$5)*0.1+IF(T99-Uzman_D!$E$5&lt;0,-(T99-Uzman_D!$E$5),T99-Uzman_D!$E$5)*0.1+IF(U99-Uzman_D!$F$5&lt;0,-(U99-Uzman_D!$F$5),U99-Uzman_D!$F$5)*0.1+IF(V99-Uzman_D!$G$5&lt;0,-(V99-Uzman_D!$G$5),V99-Uzman_D!$G$5)*0.1+IF(W99-Uzman_D!$H$5&lt;0,-(W99-Uzman_D!$H$5),W99-Uzman_D!$H$5)*0.1+IF(X99-Uzman_D!$I$5&lt;0,-(X99-Uzman_D!$I$5),X99-Uzman_D!$I$5)*0.1+IF(Y99-Uzman_D!$J$5&lt;0,-(Y99-Uzman_D!$J$5),Y99-Uzman_D!$J$5)*0.1)+IF(ROUND((IF(AA99-Uzman_D!$L$5&lt;0,-(AA99-Uzman_D!$L$5),AA99-Uzman_D!$L$5)*2),0)/2=IF(AA99-Uzman_D!$L$5&lt;0,-(AA99-Uzman_D!$L$5),AA99-Uzman_D!$L$5),(ROUND((IF(AA99-Uzman_D!$L$5&lt;0,-(AA99-Uzman_D!$L$5),AA99-Uzman_D!$L$5)*2),0)/1*0.1),0)+IF(AB99-Uzman_D!$M$5&lt;0,-(AB99-Uzman_D!$M$5),AB99-Uzman_D!$M$5)*1)</f>
        <v>-0.40000000000000013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3"/>
      <c r="AO99" s="73"/>
      <c r="AP99" s="71">
        <f>1-(SUM(IF(AD99-Uzman_D!$B$6&lt;0,-(AD99-Uzman_D!$B$6),AD99-Uzman_D!$B$6)*0.1+IF(AE99-Uzman_D!$C$6&lt;0,-(AE99-Uzman_D!$C$6),AE99-Uzman_D!$C$6)*0.1+IF(AF99-Uzman_D!$D$6&lt;0,-(AF99-Uzman_D!$D$6),AF99-Uzman_D!$D$6)*0.1+IF(AG99-Uzman_D!$E$6&lt;0,-(AG99-Uzman_D!$E$6),AG99-Uzman_D!$E$6)*0.1+IF(AH99-Uzman_D!$F$6&lt;0,-(AH99-Uzman_D!$F$6),AH99-Uzman_D!$F$6)*0.1+IF(AI99-Uzman_D!$G$6&lt;0,-(AI99-Uzman_D!$G$6),AI99-Uzman_D!$G$6)*0.1+IF(AJ99-Uzman_D!$H$6&lt;0,-(AJ99-Uzman_D!$H$6),AJ99-Uzman_D!$H$6)*0.1+IF(AK99-Uzman_D!$I$6&lt;0,-(AK99-Uzman_D!$I$6),AK99-Uzman_D!$I$6)*0.1+IF(AL99-Uzman_D!$J$6&lt;0,-(AL99-Uzman_D!$J$6),AL99-Uzman_D!$J$6)*0.1)+IF(ROUND((IF(AN99-Uzman_D!$L$6&lt;0,-(AN99-Uzman_D!$L$6),AN99-Uzman_D!$L$6)*2),0)/2=IF(AN99-Uzman_D!$L$6&lt;0,-(AN99-Uzman_D!$L$6),AN99-Uzman_D!$L$6),(ROUND((IF(AN99-Uzman_D!$L$6&lt;0,-(AN99-Uzman_D!$L$6),AN99-Uzman_D!$L$6)*2),0)/1*0.1),0)+IF(AO99-Uzman_D!$M$6&lt;0,-(AO99-Uzman_D!$M$6),AO99-Uzman_D!$M$6)*1)</f>
        <v>-0.10000000000000009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3"/>
      <c r="BB99" s="73"/>
      <c r="BC99" s="71">
        <f>1-(SUM(IF(AQ99-Uzman_D!$B$7&lt;0,-(AQ99-Uzman_D!$B$7),AQ99-Uzman_D!$B$7)*0.1+IF(AR99-Uzman_D!$C$7&lt;0,-(AR99-Uzman_D!$C$7),AR99-Uzman_D!$C$7)*0.1+IF(AS99-Uzman_D!$D$7&lt;0,-(AS99-Uzman_D!$D$7),AS99-Uzman_D!$D$7)*0.1+IF(AT99-Uzman_D!$E$7&lt;0,-(AT99-Uzman_D!$E$7),AT99-Uzman_D!$E$7)*0.1+IF(AU99-Uzman_D!$F$7&lt;0,-(AU99-Uzman_D!$F$7),AU99-Uzman_D!$F$7)*0.1+IF(AV99-Uzman_D!$G$7&lt;0,-(AV99-Uzman_D!$G$7),AV99-Uzman_D!$G$7)*0.1+IF(AW99-Uzman_D!$H$7&lt;0,-(AW99-Uzman_D!$H$7),AW99-Uzman_D!$H$7)*0.1+IF(AX99-Uzman_D!$I$7&lt;0,-(AX99-Uzman_D!$I$7),AX99-Uzman_D!$I$7)*0.1+IF(AY99-Uzman_D!$J$7&lt;0,-(AY99-Uzman_D!$J$7),AY99-Uzman_D!$J$7)*0.1)+IF(ROUND((IF(BA99-Uzman_D!$L$7&lt;0,-(BA99-Uzman_D!$L$7),BA99-Uzman_D!$L$7)*2),0)/2=IF(BA99-Uzman_D!$L$7&lt;0,-(BA99-Uzman_D!$L$7),BA99-Uzman_D!$L$7),(ROUND((IF(BA99-Uzman_D!$L$7&lt;0,-(BA99-Uzman_D!$L$7),BA99-Uzman_D!$L$7)*2),0)/1*0.1),0)+IF(BB99-Uzman_D!$M$7&lt;0,-(BB99-Uzman_D!$M$7),BB99-Uzman_D!$M$7)*1)</f>
        <v>-0.7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3"/>
      <c r="BO99" s="73"/>
      <c r="BP99" s="71">
        <f>1-(SUM(IF(BD99-Uzman_D!$B$8&lt;0,-(BD99-Uzman_D!$B$8),BD99-Uzman_D!$B$8)*0.1+IF(BE99-Uzman_D!$C$8&lt;0,-(BE99-Uzman_D!$C$8),BE99-Uzman_D!$C$8)*0.1+IF(BF99-Uzman_D!$D$8&lt;0,-(BF99-Uzman_D!$D$8),BF99-Uzman_D!$D$8)*0.1+IF(BG99-Uzman_D!$E$8&lt;0,-(BG99-Uzman_D!$E$8),BG99-Uzman_D!$E$8)*0.1+IF(BH99-Uzman_D!$F$8&lt;0,-(BH99-Uzman_D!$F$8),BH99-Uzman_D!$F$8)*0.1+IF(BI99-Uzman_D!$G$8&lt;0,-(BI99-Uzman_D!$G$8),BI99-Uzman_D!$G$8)*0.1+IF(BJ99-Uzman_D!$H$8&lt;0,-(BJ99-Uzman_D!$H$8),BJ99-Uzman_D!$H$8)*0.1+IF(BK99-Uzman_D!$I$8&lt;0,-(BK99-Uzman_D!$I$8),BK99-Uzman_D!$I$8)*0.1+IF(BL99-Uzman_D!$J$8&lt;0,-(BL99-Uzman_D!$J$8),BL99-Uzman_D!$J$8)*0.1)+IF(ROUND((IF(BN99-Uzman_D!$L$8&lt;0,-(BN99-Uzman_D!$L$8),BN99-Uzman_D!$L$8)*2),0)/2=IF(BN99-Uzman_D!$L$8&lt;0,-(BN99-Uzman_D!$L$8),BN99-Uzman_D!$L$8),(ROUND((IF(BN99-Uzman_D!$L$8&lt;0,-(BN99-Uzman_D!$L$8),BN99-Uzman_D!$L$8)*2),0)/1*0.1),0)+IF(BO99-Uzman_D!$M$8&lt;0,-(BO99-Uzman_D!$M$8),BO99-Uzman_D!$M$8)*1)</f>
        <v>-1</v>
      </c>
      <c r="BQ99" s="72">
        <f t="shared" si="2"/>
        <v>-0.48000000000000009</v>
      </c>
    </row>
    <row r="100" spans="1:69" ht="15" customHeight="1" x14ac:dyDescent="0.45">
      <c r="A100" s="54">
        <v>97</v>
      </c>
      <c r="B100" s="149">
        <f>Hakemler!B100</f>
        <v>0</v>
      </c>
      <c r="C100" s="149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3"/>
      <c r="O100" s="73"/>
      <c r="P100" s="71">
        <f>1-(SUM(IF(D100-Uzman_D!$B$4&lt;0,-(D100-Uzman_D!$B$4),D100-Uzman_D!$B$4)*0.1+IF(E100-Uzman_D!$C$4&lt;0,-(E100-Uzman_D!$C$4),E100-Uzman_D!$C$4)*0.1+IF(F100-Uzman_D!$D$4&lt;0,-(F100-Uzman_D!$D$4),F100-Uzman_D!$D$4)*0.1+IF(G100-Uzman_D!$E$4&lt;0,-(G100-Uzman_D!$E$4),G100-Uzman_D!$E$4)*0.1+IF(H100-Uzman_D!$F$4&lt;0,-(H100-Uzman_D!$F$4),H100-Uzman_D!$F$4)*0.1+IF(I100-Uzman_D!$G$4&lt;0,-(I100-Uzman_D!$G$4),I100-Uzman_D!$G$4)*0.1+IF(J100-Uzman_D!$H$4&lt;0,-(J100-Uzman_D!$H$4),J100-Uzman_D!$H$4)*0.1+IF(K100-Uzman_D!$I$4&lt;0,-(K100-Uzman_D!$I$4),K100-Uzman_D!$I$4)*0.1+IF(L100-Uzman_D!$J$4&lt;0,-(L100-Uzman_D!$J$4),L100-Uzman_D!$J$4)*0.1)+IF(ROUND((IF(N100-Uzman_D!$L$4&lt;0,-(N100-Uzman_D!$L$4),N100-Uzman_D!$L$4)*2),0)/2=IF(N100-Uzman_D!$L$4&lt;0,-(N100-Uzman_D!$L$4),N100-Uzman_D!$L$4),(ROUND((IF(N100-Uzman_D!$L$4&lt;0,-(N100-Uzman_D!$L$4),N100-Uzman_D!$L$4)*2),0)/1*0.1),0)+IF(O100-Uzman_D!$M$4&lt;0,-(O100-Uzman_D!$M$4),O100-Uzman_D!$M$4)*1)</f>
        <v>-0.19999999999999996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3"/>
      <c r="AB100" s="73"/>
      <c r="AC100" s="71">
        <f>1-(SUM(IF(Q100-Uzman_D!$B$5&lt;0,-(Q100-Uzman_D!$B$5),Q100-Uzman_D!$B$5)*0.1+IF(R100-Uzman_D!$C$5&lt;0,-(R100-Uzman_D!$C$5),R100-Uzman_D!$C$5)*0.1+IF(S100-Uzman_D!$D$5&lt;0,-(S100-Uzman_D!$D$5),S100-Uzman_D!$D$5)*0.1+IF(T100-Uzman_D!$E$5&lt;0,-(T100-Uzman_D!$E$5),T100-Uzman_D!$E$5)*0.1+IF(U100-Uzman_D!$F$5&lt;0,-(U100-Uzman_D!$F$5),U100-Uzman_D!$F$5)*0.1+IF(V100-Uzman_D!$G$5&lt;0,-(V100-Uzman_D!$G$5),V100-Uzman_D!$G$5)*0.1+IF(W100-Uzman_D!$H$5&lt;0,-(W100-Uzman_D!$H$5),W100-Uzman_D!$H$5)*0.1+IF(X100-Uzman_D!$I$5&lt;0,-(X100-Uzman_D!$I$5),X100-Uzman_D!$I$5)*0.1+IF(Y100-Uzman_D!$J$5&lt;0,-(Y100-Uzman_D!$J$5),Y100-Uzman_D!$J$5)*0.1)+IF(ROUND((IF(AA100-Uzman_D!$L$5&lt;0,-(AA100-Uzman_D!$L$5),AA100-Uzman_D!$L$5)*2),0)/2=IF(AA100-Uzman_D!$L$5&lt;0,-(AA100-Uzman_D!$L$5),AA100-Uzman_D!$L$5),(ROUND((IF(AA100-Uzman_D!$L$5&lt;0,-(AA100-Uzman_D!$L$5),AA100-Uzman_D!$L$5)*2),0)/1*0.1),0)+IF(AB100-Uzman_D!$M$5&lt;0,-(AB100-Uzman_D!$M$5),AB100-Uzman_D!$M$5)*1)</f>
        <v>-0.40000000000000013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3"/>
      <c r="AO100" s="73"/>
      <c r="AP100" s="71">
        <f>1-(SUM(IF(AD100-Uzman_D!$B$6&lt;0,-(AD100-Uzman_D!$B$6),AD100-Uzman_D!$B$6)*0.1+IF(AE100-Uzman_D!$C$6&lt;0,-(AE100-Uzman_D!$C$6),AE100-Uzman_D!$C$6)*0.1+IF(AF100-Uzman_D!$D$6&lt;0,-(AF100-Uzman_D!$D$6),AF100-Uzman_D!$D$6)*0.1+IF(AG100-Uzman_D!$E$6&lt;0,-(AG100-Uzman_D!$E$6),AG100-Uzman_D!$E$6)*0.1+IF(AH100-Uzman_D!$F$6&lt;0,-(AH100-Uzman_D!$F$6),AH100-Uzman_D!$F$6)*0.1+IF(AI100-Uzman_D!$G$6&lt;0,-(AI100-Uzman_D!$G$6),AI100-Uzman_D!$G$6)*0.1+IF(AJ100-Uzman_D!$H$6&lt;0,-(AJ100-Uzman_D!$H$6),AJ100-Uzman_D!$H$6)*0.1+IF(AK100-Uzman_D!$I$6&lt;0,-(AK100-Uzman_D!$I$6),AK100-Uzman_D!$I$6)*0.1+IF(AL100-Uzman_D!$J$6&lt;0,-(AL100-Uzman_D!$J$6),AL100-Uzman_D!$J$6)*0.1)+IF(ROUND((IF(AN100-Uzman_D!$L$6&lt;0,-(AN100-Uzman_D!$L$6),AN100-Uzman_D!$L$6)*2),0)/2=IF(AN100-Uzman_D!$L$6&lt;0,-(AN100-Uzman_D!$L$6),AN100-Uzman_D!$L$6),(ROUND((IF(AN100-Uzman_D!$L$6&lt;0,-(AN100-Uzman_D!$L$6),AN100-Uzman_D!$L$6)*2),0)/1*0.1),0)+IF(AO100-Uzman_D!$M$6&lt;0,-(AO100-Uzman_D!$M$6),AO100-Uzman_D!$M$6)*1)</f>
        <v>-0.10000000000000009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3"/>
      <c r="BB100" s="73"/>
      <c r="BC100" s="71">
        <f>1-(SUM(IF(AQ100-Uzman_D!$B$7&lt;0,-(AQ100-Uzman_D!$B$7),AQ100-Uzman_D!$B$7)*0.1+IF(AR100-Uzman_D!$C$7&lt;0,-(AR100-Uzman_D!$C$7),AR100-Uzman_D!$C$7)*0.1+IF(AS100-Uzman_D!$D$7&lt;0,-(AS100-Uzman_D!$D$7),AS100-Uzman_D!$D$7)*0.1+IF(AT100-Uzman_D!$E$7&lt;0,-(AT100-Uzman_D!$E$7),AT100-Uzman_D!$E$7)*0.1+IF(AU100-Uzman_D!$F$7&lt;0,-(AU100-Uzman_D!$F$7),AU100-Uzman_D!$F$7)*0.1+IF(AV100-Uzman_D!$G$7&lt;0,-(AV100-Uzman_D!$G$7),AV100-Uzman_D!$G$7)*0.1+IF(AW100-Uzman_D!$H$7&lt;0,-(AW100-Uzman_D!$H$7),AW100-Uzman_D!$H$7)*0.1+IF(AX100-Uzman_D!$I$7&lt;0,-(AX100-Uzman_D!$I$7),AX100-Uzman_D!$I$7)*0.1+IF(AY100-Uzman_D!$J$7&lt;0,-(AY100-Uzman_D!$J$7),AY100-Uzman_D!$J$7)*0.1)+IF(ROUND((IF(BA100-Uzman_D!$L$7&lt;0,-(BA100-Uzman_D!$L$7),BA100-Uzman_D!$L$7)*2),0)/2=IF(BA100-Uzman_D!$L$7&lt;0,-(BA100-Uzman_D!$L$7),BA100-Uzman_D!$L$7),(ROUND((IF(BA100-Uzman_D!$L$7&lt;0,-(BA100-Uzman_D!$L$7),BA100-Uzman_D!$L$7)*2),0)/1*0.1),0)+IF(BB100-Uzman_D!$M$7&lt;0,-(BB100-Uzman_D!$M$7),BB100-Uzman_D!$M$7)*1)</f>
        <v>-0.7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3"/>
      <c r="BO100" s="73"/>
      <c r="BP100" s="71">
        <f>1-(SUM(IF(BD100-Uzman_D!$B$8&lt;0,-(BD100-Uzman_D!$B$8),BD100-Uzman_D!$B$8)*0.1+IF(BE100-Uzman_D!$C$8&lt;0,-(BE100-Uzman_D!$C$8),BE100-Uzman_D!$C$8)*0.1+IF(BF100-Uzman_D!$D$8&lt;0,-(BF100-Uzman_D!$D$8),BF100-Uzman_D!$D$8)*0.1+IF(BG100-Uzman_D!$E$8&lt;0,-(BG100-Uzman_D!$E$8),BG100-Uzman_D!$E$8)*0.1+IF(BH100-Uzman_D!$F$8&lt;0,-(BH100-Uzman_D!$F$8),BH100-Uzman_D!$F$8)*0.1+IF(BI100-Uzman_D!$G$8&lt;0,-(BI100-Uzman_D!$G$8),BI100-Uzman_D!$G$8)*0.1+IF(BJ100-Uzman_D!$H$8&lt;0,-(BJ100-Uzman_D!$H$8),BJ100-Uzman_D!$H$8)*0.1+IF(BK100-Uzman_D!$I$8&lt;0,-(BK100-Uzman_D!$I$8),BK100-Uzman_D!$I$8)*0.1+IF(BL100-Uzman_D!$J$8&lt;0,-(BL100-Uzman_D!$J$8),BL100-Uzman_D!$J$8)*0.1)+IF(ROUND((IF(BN100-Uzman_D!$L$8&lt;0,-(BN100-Uzman_D!$L$8),BN100-Uzman_D!$L$8)*2),0)/2=IF(BN100-Uzman_D!$L$8&lt;0,-(BN100-Uzman_D!$L$8),BN100-Uzman_D!$L$8),(ROUND((IF(BN100-Uzman_D!$L$8&lt;0,-(BN100-Uzman_D!$L$8),BN100-Uzman_D!$L$8)*2),0)/1*0.1),0)+IF(BO100-Uzman_D!$M$8&lt;0,-(BO100-Uzman_D!$M$8),BO100-Uzman_D!$M$8)*1)</f>
        <v>-1</v>
      </c>
      <c r="BQ100" s="72">
        <f t="shared" ref="BQ100:BQ103" si="3">(P100+AC100+AP100+BC100+BP100)/5</f>
        <v>-0.48000000000000009</v>
      </c>
    </row>
    <row r="101" spans="1:69" ht="15" customHeight="1" x14ac:dyDescent="0.45">
      <c r="A101" s="54">
        <v>98</v>
      </c>
      <c r="B101" s="149">
        <f>Hakemler!B101</f>
        <v>0</v>
      </c>
      <c r="C101" s="149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3"/>
      <c r="O101" s="73"/>
      <c r="P101" s="71">
        <f>1-(SUM(IF(D101-Uzman_D!$B$4&lt;0,-(D101-Uzman_D!$B$4),D101-Uzman_D!$B$4)*0.1+IF(E101-Uzman_D!$C$4&lt;0,-(E101-Uzman_D!$C$4),E101-Uzman_D!$C$4)*0.1+IF(F101-Uzman_D!$D$4&lt;0,-(F101-Uzman_D!$D$4),F101-Uzman_D!$D$4)*0.1+IF(G101-Uzman_D!$E$4&lt;0,-(G101-Uzman_D!$E$4),G101-Uzman_D!$E$4)*0.1+IF(H101-Uzman_D!$F$4&lt;0,-(H101-Uzman_D!$F$4),H101-Uzman_D!$F$4)*0.1+IF(I101-Uzman_D!$G$4&lt;0,-(I101-Uzman_D!$G$4),I101-Uzman_D!$G$4)*0.1+IF(J101-Uzman_D!$H$4&lt;0,-(J101-Uzman_D!$H$4),J101-Uzman_D!$H$4)*0.1+IF(K101-Uzman_D!$I$4&lt;0,-(K101-Uzman_D!$I$4),K101-Uzman_D!$I$4)*0.1+IF(L101-Uzman_D!$J$4&lt;0,-(L101-Uzman_D!$J$4),L101-Uzman_D!$J$4)*0.1)+IF(ROUND((IF(N101-Uzman_D!$L$4&lt;0,-(N101-Uzman_D!$L$4),N101-Uzman_D!$L$4)*2),0)/2=IF(N101-Uzman_D!$L$4&lt;0,-(N101-Uzman_D!$L$4),N101-Uzman_D!$L$4),(ROUND((IF(N101-Uzman_D!$L$4&lt;0,-(N101-Uzman_D!$L$4),N101-Uzman_D!$L$4)*2),0)/1*0.1),0)+IF(O101-Uzman_D!$M$4&lt;0,-(O101-Uzman_D!$M$4),O101-Uzman_D!$M$4)*1)</f>
        <v>-0.19999999999999996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3"/>
      <c r="AB101" s="73"/>
      <c r="AC101" s="71">
        <f>1-(SUM(IF(Q101-Uzman_D!$B$5&lt;0,-(Q101-Uzman_D!$B$5),Q101-Uzman_D!$B$5)*0.1+IF(R101-Uzman_D!$C$5&lt;0,-(R101-Uzman_D!$C$5),R101-Uzman_D!$C$5)*0.1+IF(S101-Uzman_D!$D$5&lt;0,-(S101-Uzman_D!$D$5),S101-Uzman_D!$D$5)*0.1+IF(T101-Uzman_D!$E$5&lt;0,-(T101-Uzman_D!$E$5),T101-Uzman_D!$E$5)*0.1+IF(U101-Uzman_D!$F$5&lt;0,-(U101-Uzman_D!$F$5),U101-Uzman_D!$F$5)*0.1+IF(V101-Uzman_D!$G$5&lt;0,-(V101-Uzman_D!$G$5),V101-Uzman_D!$G$5)*0.1+IF(W101-Uzman_D!$H$5&lt;0,-(W101-Uzman_D!$H$5),W101-Uzman_D!$H$5)*0.1+IF(X101-Uzman_D!$I$5&lt;0,-(X101-Uzman_D!$I$5),X101-Uzman_D!$I$5)*0.1+IF(Y101-Uzman_D!$J$5&lt;0,-(Y101-Uzman_D!$J$5),Y101-Uzman_D!$J$5)*0.1)+IF(ROUND((IF(AA101-Uzman_D!$L$5&lt;0,-(AA101-Uzman_D!$L$5),AA101-Uzman_D!$L$5)*2),0)/2=IF(AA101-Uzman_D!$L$5&lt;0,-(AA101-Uzman_D!$L$5),AA101-Uzman_D!$L$5),(ROUND((IF(AA101-Uzman_D!$L$5&lt;0,-(AA101-Uzman_D!$L$5),AA101-Uzman_D!$L$5)*2),0)/1*0.1),0)+IF(AB101-Uzman_D!$M$5&lt;0,-(AB101-Uzman_D!$M$5),AB101-Uzman_D!$M$5)*1)</f>
        <v>-0.40000000000000013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3"/>
      <c r="AO101" s="73"/>
      <c r="AP101" s="71">
        <f>1-(SUM(IF(AD101-Uzman_D!$B$6&lt;0,-(AD101-Uzman_D!$B$6),AD101-Uzman_D!$B$6)*0.1+IF(AE101-Uzman_D!$C$6&lt;0,-(AE101-Uzman_D!$C$6),AE101-Uzman_D!$C$6)*0.1+IF(AF101-Uzman_D!$D$6&lt;0,-(AF101-Uzman_D!$D$6),AF101-Uzman_D!$D$6)*0.1+IF(AG101-Uzman_D!$E$6&lt;0,-(AG101-Uzman_D!$E$6),AG101-Uzman_D!$E$6)*0.1+IF(AH101-Uzman_D!$F$6&lt;0,-(AH101-Uzman_D!$F$6),AH101-Uzman_D!$F$6)*0.1+IF(AI101-Uzman_D!$G$6&lt;0,-(AI101-Uzman_D!$G$6),AI101-Uzman_D!$G$6)*0.1+IF(AJ101-Uzman_D!$H$6&lt;0,-(AJ101-Uzman_D!$H$6),AJ101-Uzman_D!$H$6)*0.1+IF(AK101-Uzman_D!$I$6&lt;0,-(AK101-Uzman_D!$I$6),AK101-Uzman_D!$I$6)*0.1+IF(AL101-Uzman_D!$J$6&lt;0,-(AL101-Uzman_D!$J$6),AL101-Uzman_D!$J$6)*0.1)+IF(ROUND((IF(AN101-Uzman_D!$L$6&lt;0,-(AN101-Uzman_D!$L$6),AN101-Uzman_D!$L$6)*2),0)/2=IF(AN101-Uzman_D!$L$6&lt;0,-(AN101-Uzman_D!$L$6),AN101-Uzman_D!$L$6),(ROUND((IF(AN101-Uzman_D!$L$6&lt;0,-(AN101-Uzman_D!$L$6),AN101-Uzman_D!$L$6)*2),0)/1*0.1),0)+IF(AO101-Uzman_D!$M$6&lt;0,-(AO101-Uzman_D!$M$6),AO101-Uzman_D!$M$6)*1)</f>
        <v>-0.10000000000000009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3"/>
      <c r="BB101" s="73"/>
      <c r="BC101" s="71">
        <f>1-(SUM(IF(AQ101-Uzman_D!$B$7&lt;0,-(AQ101-Uzman_D!$B$7),AQ101-Uzman_D!$B$7)*0.1+IF(AR101-Uzman_D!$C$7&lt;0,-(AR101-Uzman_D!$C$7),AR101-Uzman_D!$C$7)*0.1+IF(AS101-Uzman_D!$D$7&lt;0,-(AS101-Uzman_D!$D$7),AS101-Uzman_D!$D$7)*0.1+IF(AT101-Uzman_D!$E$7&lt;0,-(AT101-Uzman_D!$E$7),AT101-Uzman_D!$E$7)*0.1+IF(AU101-Uzman_D!$F$7&lt;0,-(AU101-Uzman_D!$F$7),AU101-Uzman_D!$F$7)*0.1+IF(AV101-Uzman_D!$G$7&lt;0,-(AV101-Uzman_D!$G$7),AV101-Uzman_D!$G$7)*0.1+IF(AW101-Uzman_D!$H$7&lt;0,-(AW101-Uzman_D!$H$7),AW101-Uzman_D!$H$7)*0.1+IF(AX101-Uzman_D!$I$7&lt;0,-(AX101-Uzman_D!$I$7),AX101-Uzman_D!$I$7)*0.1+IF(AY101-Uzman_D!$J$7&lt;0,-(AY101-Uzman_D!$J$7),AY101-Uzman_D!$J$7)*0.1)+IF(ROUND((IF(BA101-Uzman_D!$L$7&lt;0,-(BA101-Uzman_D!$L$7),BA101-Uzman_D!$L$7)*2),0)/2=IF(BA101-Uzman_D!$L$7&lt;0,-(BA101-Uzman_D!$L$7),BA101-Uzman_D!$L$7),(ROUND((IF(BA101-Uzman_D!$L$7&lt;0,-(BA101-Uzman_D!$L$7),BA101-Uzman_D!$L$7)*2),0)/1*0.1),0)+IF(BB101-Uzman_D!$M$7&lt;0,-(BB101-Uzman_D!$M$7),BB101-Uzman_D!$M$7)*1)</f>
        <v>-0.7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3"/>
      <c r="BO101" s="73"/>
      <c r="BP101" s="71">
        <f>1-(SUM(IF(BD101-Uzman_D!$B$8&lt;0,-(BD101-Uzman_D!$B$8),BD101-Uzman_D!$B$8)*0.1+IF(BE101-Uzman_D!$C$8&lt;0,-(BE101-Uzman_D!$C$8),BE101-Uzman_D!$C$8)*0.1+IF(BF101-Uzman_D!$D$8&lt;0,-(BF101-Uzman_D!$D$8),BF101-Uzman_D!$D$8)*0.1+IF(BG101-Uzman_D!$E$8&lt;0,-(BG101-Uzman_D!$E$8),BG101-Uzman_D!$E$8)*0.1+IF(BH101-Uzman_D!$F$8&lt;0,-(BH101-Uzman_D!$F$8),BH101-Uzman_D!$F$8)*0.1+IF(BI101-Uzman_D!$G$8&lt;0,-(BI101-Uzman_D!$G$8),BI101-Uzman_D!$G$8)*0.1+IF(BJ101-Uzman_D!$H$8&lt;0,-(BJ101-Uzman_D!$H$8),BJ101-Uzman_D!$H$8)*0.1+IF(BK101-Uzman_D!$I$8&lt;0,-(BK101-Uzman_D!$I$8),BK101-Uzman_D!$I$8)*0.1+IF(BL101-Uzman_D!$J$8&lt;0,-(BL101-Uzman_D!$J$8),BL101-Uzman_D!$J$8)*0.1)+IF(ROUND((IF(BN101-Uzman_D!$L$8&lt;0,-(BN101-Uzman_D!$L$8),BN101-Uzman_D!$L$8)*2),0)/2=IF(BN101-Uzman_D!$L$8&lt;0,-(BN101-Uzman_D!$L$8),BN101-Uzman_D!$L$8),(ROUND((IF(BN101-Uzman_D!$L$8&lt;0,-(BN101-Uzman_D!$L$8),BN101-Uzman_D!$L$8)*2),0)/1*0.1),0)+IF(BO101-Uzman_D!$M$8&lt;0,-(BO101-Uzman_D!$M$8),BO101-Uzman_D!$M$8)*1)</f>
        <v>-1</v>
      </c>
      <c r="BQ101" s="72">
        <f t="shared" si="3"/>
        <v>-0.48000000000000009</v>
      </c>
    </row>
    <row r="102" spans="1:69" ht="15" customHeight="1" x14ac:dyDescent="0.45">
      <c r="A102" s="54">
        <v>99</v>
      </c>
      <c r="B102" s="149">
        <f>Hakemler!B102</f>
        <v>0</v>
      </c>
      <c r="C102" s="149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3"/>
      <c r="O102" s="73"/>
      <c r="P102" s="71">
        <f>1-(SUM(IF(D102-Uzman_D!$B$4&lt;0,-(D102-Uzman_D!$B$4),D102-Uzman_D!$B$4)*0.1+IF(E102-Uzman_D!$C$4&lt;0,-(E102-Uzman_D!$C$4),E102-Uzman_D!$C$4)*0.1+IF(F102-Uzman_D!$D$4&lt;0,-(F102-Uzman_D!$D$4),F102-Uzman_D!$D$4)*0.1+IF(G102-Uzman_D!$E$4&lt;0,-(G102-Uzman_D!$E$4),G102-Uzman_D!$E$4)*0.1+IF(H102-Uzman_D!$F$4&lt;0,-(H102-Uzman_D!$F$4),H102-Uzman_D!$F$4)*0.1+IF(I102-Uzman_D!$G$4&lt;0,-(I102-Uzman_D!$G$4),I102-Uzman_D!$G$4)*0.1+IF(J102-Uzman_D!$H$4&lt;0,-(J102-Uzman_D!$H$4),J102-Uzman_D!$H$4)*0.1+IF(K102-Uzman_D!$I$4&lt;0,-(K102-Uzman_D!$I$4),K102-Uzman_D!$I$4)*0.1+IF(L102-Uzman_D!$J$4&lt;0,-(L102-Uzman_D!$J$4),L102-Uzman_D!$J$4)*0.1)+IF(ROUND((IF(N102-Uzman_D!$L$4&lt;0,-(N102-Uzman_D!$L$4),N102-Uzman_D!$L$4)*2),0)/2=IF(N102-Uzman_D!$L$4&lt;0,-(N102-Uzman_D!$L$4),N102-Uzman_D!$L$4),(ROUND((IF(N102-Uzman_D!$L$4&lt;0,-(N102-Uzman_D!$L$4),N102-Uzman_D!$L$4)*2),0)/1*0.1),0)+IF(O102-Uzman_D!$M$4&lt;0,-(O102-Uzman_D!$M$4),O102-Uzman_D!$M$4)*1)</f>
        <v>-0.19999999999999996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3"/>
      <c r="AB102" s="73"/>
      <c r="AC102" s="71">
        <f>1-(SUM(IF(Q102-Uzman_D!$B$5&lt;0,-(Q102-Uzman_D!$B$5),Q102-Uzman_D!$B$5)*0.1+IF(R102-Uzman_D!$C$5&lt;0,-(R102-Uzman_D!$C$5),R102-Uzman_D!$C$5)*0.1+IF(S102-Uzman_D!$D$5&lt;0,-(S102-Uzman_D!$D$5),S102-Uzman_D!$D$5)*0.1+IF(T102-Uzman_D!$E$5&lt;0,-(T102-Uzman_D!$E$5),T102-Uzman_D!$E$5)*0.1+IF(U102-Uzman_D!$F$5&lt;0,-(U102-Uzman_D!$F$5),U102-Uzman_D!$F$5)*0.1+IF(V102-Uzman_D!$G$5&lt;0,-(V102-Uzman_D!$G$5),V102-Uzman_D!$G$5)*0.1+IF(W102-Uzman_D!$H$5&lt;0,-(W102-Uzman_D!$H$5),W102-Uzman_D!$H$5)*0.1+IF(X102-Uzman_D!$I$5&lt;0,-(X102-Uzman_D!$I$5),X102-Uzman_D!$I$5)*0.1+IF(Y102-Uzman_D!$J$5&lt;0,-(Y102-Uzman_D!$J$5),Y102-Uzman_D!$J$5)*0.1)+IF(ROUND((IF(AA102-Uzman_D!$L$5&lt;0,-(AA102-Uzman_D!$L$5),AA102-Uzman_D!$L$5)*2),0)/2=IF(AA102-Uzman_D!$L$5&lt;0,-(AA102-Uzman_D!$L$5),AA102-Uzman_D!$L$5),(ROUND((IF(AA102-Uzman_D!$L$5&lt;0,-(AA102-Uzman_D!$L$5),AA102-Uzman_D!$L$5)*2),0)/1*0.1),0)+IF(AB102-Uzman_D!$M$5&lt;0,-(AB102-Uzman_D!$M$5),AB102-Uzman_D!$M$5)*1)</f>
        <v>-0.40000000000000013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3"/>
      <c r="AO102" s="73"/>
      <c r="AP102" s="71">
        <f>1-(SUM(IF(AD102-Uzman_D!$B$6&lt;0,-(AD102-Uzman_D!$B$6),AD102-Uzman_D!$B$6)*0.1+IF(AE102-Uzman_D!$C$6&lt;0,-(AE102-Uzman_D!$C$6),AE102-Uzman_D!$C$6)*0.1+IF(AF102-Uzman_D!$D$6&lt;0,-(AF102-Uzman_D!$D$6),AF102-Uzman_D!$D$6)*0.1+IF(AG102-Uzman_D!$E$6&lt;0,-(AG102-Uzman_D!$E$6),AG102-Uzman_D!$E$6)*0.1+IF(AH102-Uzman_D!$F$6&lt;0,-(AH102-Uzman_D!$F$6),AH102-Uzman_D!$F$6)*0.1+IF(AI102-Uzman_D!$G$6&lt;0,-(AI102-Uzman_D!$G$6),AI102-Uzman_D!$G$6)*0.1+IF(AJ102-Uzman_D!$H$6&lt;0,-(AJ102-Uzman_D!$H$6),AJ102-Uzman_D!$H$6)*0.1+IF(AK102-Uzman_D!$I$6&lt;0,-(AK102-Uzman_D!$I$6),AK102-Uzman_D!$I$6)*0.1+IF(AL102-Uzman_D!$J$6&lt;0,-(AL102-Uzman_D!$J$6),AL102-Uzman_D!$J$6)*0.1)+IF(ROUND((IF(AN102-Uzman_D!$L$6&lt;0,-(AN102-Uzman_D!$L$6),AN102-Uzman_D!$L$6)*2),0)/2=IF(AN102-Uzman_D!$L$6&lt;0,-(AN102-Uzman_D!$L$6),AN102-Uzman_D!$L$6),(ROUND((IF(AN102-Uzman_D!$L$6&lt;0,-(AN102-Uzman_D!$L$6),AN102-Uzman_D!$L$6)*2),0)/1*0.1),0)+IF(AO102-Uzman_D!$M$6&lt;0,-(AO102-Uzman_D!$M$6),AO102-Uzman_D!$M$6)*1)</f>
        <v>-0.10000000000000009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3"/>
      <c r="BB102" s="73"/>
      <c r="BC102" s="71">
        <f>1-(SUM(IF(AQ102-Uzman_D!$B$7&lt;0,-(AQ102-Uzman_D!$B$7),AQ102-Uzman_D!$B$7)*0.1+IF(AR102-Uzman_D!$C$7&lt;0,-(AR102-Uzman_D!$C$7),AR102-Uzman_D!$C$7)*0.1+IF(AS102-Uzman_D!$D$7&lt;0,-(AS102-Uzman_D!$D$7),AS102-Uzman_D!$D$7)*0.1+IF(AT102-Uzman_D!$E$7&lt;0,-(AT102-Uzman_D!$E$7),AT102-Uzman_D!$E$7)*0.1+IF(AU102-Uzman_D!$F$7&lt;0,-(AU102-Uzman_D!$F$7),AU102-Uzman_D!$F$7)*0.1+IF(AV102-Uzman_D!$G$7&lt;0,-(AV102-Uzman_D!$G$7),AV102-Uzman_D!$G$7)*0.1+IF(AW102-Uzman_D!$H$7&lt;0,-(AW102-Uzman_D!$H$7),AW102-Uzman_D!$H$7)*0.1+IF(AX102-Uzman_D!$I$7&lt;0,-(AX102-Uzman_D!$I$7),AX102-Uzman_D!$I$7)*0.1+IF(AY102-Uzman_D!$J$7&lt;0,-(AY102-Uzman_D!$J$7),AY102-Uzman_D!$J$7)*0.1)+IF(ROUND((IF(BA102-Uzman_D!$L$7&lt;0,-(BA102-Uzman_D!$L$7),BA102-Uzman_D!$L$7)*2),0)/2=IF(BA102-Uzman_D!$L$7&lt;0,-(BA102-Uzman_D!$L$7),BA102-Uzman_D!$L$7),(ROUND((IF(BA102-Uzman_D!$L$7&lt;0,-(BA102-Uzman_D!$L$7),BA102-Uzman_D!$L$7)*2),0)/1*0.1),0)+IF(BB102-Uzman_D!$M$7&lt;0,-(BB102-Uzman_D!$M$7),BB102-Uzman_D!$M$7)*1)</f>
        <v>-0.7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3"/>
      <c r="BO102" s="73"/>
      <c r="BP102" s="71">
        <f>1-(SUM(IF(BD102-Uzman_D!$B$8&lt;0,-(BD102-Uzman_D!$B$8),BD102-Uzman_D!$B$8)*0.1+IF(BE102-Uzman_D!$C$8&lt;0,-(BE102-Uzman_D!$C$8),BE102-Uzman_D!$C$8)*0.1+IF(BF102-Uzman_D!$D$8&lt;0,-(BF102-Uzman_D!$D$8),BF102-Uzman_D!$D$8)*0.1+IF(BG102-Uzman_D!$E$8&lt;0,-(BG102-Uzman_D!$E$8),BG102-Uzman_D!$E$8)*0.1+IF(BH102-Uzman_D!$F$8&lt;0,-(BH102-Uzman_D!$F$8),BH102-Uzman_D!$F$8)*0.1+IF(BI102-Uzman_D!$G$8&lt;0,-(BI102-Uzman_D!$G$8),BI102-Uzman_D!$G$8)*0.1+IF(BJ102-Uzman_D!$H$8&lt;0,-(BJ102-Uzman_D!$H$8),BJ102-Uzman_D!$H$8)*0.1+IF(BK102-Uzman_D!$I$8&lt;0,-(BK102-Uzman_D!$I$8),BK102-Uzman_D!$I$8)*0.1+IF(BL102-Uzman_D!$J$8&lt;0,-(BL102-Uzman_D!$J$8),BL102-Uzman_D!$J$8)*0.1)+IF(ROUND((IF(BN102-Uzman_D!$L$8&lt;0,-(BN102-Uzman_D!$L$8),BN102-Uzman_D!$L$8)*2),0)/2=IF(BN102-Uzman_D!$L$8&lt;0,-(BN102-Uzman_D!$L$8),BN102-Uzman_D!$L$8),(ROUND((IF(BN102-Uzman_D!$L$8&lt;0,-(BN102-Uzman_D!$L$8),BN102-Uzman_D!$L$8)*2),0)/1*0.1),0)+IF(BO102-Uzman_D!$M$8&lt;0,-(BO102-Uzman_D!$M$8),BO102-Uzman_D!$M$8)*1)</f>
        <v>-1</v>
      </c>
      <c r="BQ102" s="72">
        <f t="shared" si="3"/>
        <v>-0.48000000000000009</v>
      </c>
    </row>
    <row r="103" spans="1:69" ht="15.75" customHeight="1" x14ac:dyDescent="0.45">
      <c r="A103" s="74">
        <v>100</v>
      </c>
      <c r="B103" s="149">
        <f>Hakemler!B103</f>
        <v>0</v>
      </c>
      <c r="C103" s="149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3"/>
      <c r="O103" s="73"/>
      <c r="P103" s="71">
        <f>1-(SUM(IF(D103-Uzman_D!$B$4&lt;0,-(D103-Uzman_D!$B$4),D103-Uzman_D!$B$4)*0.1+IF(E103-Uzman_D!$C$4&lt;0,-(E103-Uzman_D!$C$4),E103-Uzman_D!$C$4)*0.1+IF(F103-Uzman_D!$D$4&lt;0,-(F103-Uzman_D!$D$4),F103-Uzman_D!$D$4)*0.1+IF(G103-Uzman_D!$E$4&lt;0,-(G103-Uzman_D!$E$4),G103-Uzman_D!$E$4)*0.1+IF(H103-Uzman_D!$F$4&lt;0,-(H103-Uzman_D!$F$4),H103-Uzman_D!$F$4)*0.1+IF(I103-Uzman_D!$G$4&lt;0,-(I103-Uzman_D!$G$4),I103-Uzman_D!$G$4)*0.1+IF(J103-Uzman_D!$H$4&lt;0,-(J103-Uzman_D!$H$4),J103-Uzman_D!$H$4)*0.1+IF(K103-Uzman_D!$I$4&lt;0,-(K103-Uzman_D!$I$4),K103-Uzman_D!$I$4)*0.1+IF(L103-Uzman_D!$J$4&lt;0,-(L103-Uzman_D!$J$4),L103-Uzman_D!$J$4)*0.1)+IF(ROUND((IF(N103-Uzman_D!$L$4&lt;0,-(N103-Uzman_D!$L$4),N103-Uzman_D!$L$4)*2),0)/2=IF(N103-Uzman_D!$L$4&lt;0,-(N103-Uzman_D!$L$4),N103-Uzman_D!$L$4),(ROUND((IF(N103-Uzman_D!$L$4&lt;0,-(N103-Uzman_D!$L$4),N103-Uzman_D!$L$4)*2),0)/1*0.1),0)+IF(O103-Uzman_D!$M$4&lt;0,-(O103-Uzman_D!$M$4),O103-Uzman_D!$M$4)*1)</f>
        <v>-0.19999999999999996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3"/>
      <c r="AB103" s="73"/>
      <c r="AC103" s="71">
        <f>1-(SUM(IF(Q103-Uzman_D!$B$5&lt;0,-(Q103-Uzman_D!$B$5),Q103-Uzman_D!$B$5)*0.1+IF(R103-Uzman_D!$C$5&lt;0,-(R103-Uzman_D!$C$5),R103-Uzman_D!$C$5)*0.1+IF(S103-Uzman_D!$D$5&lt;0,-(S103-Uzman_D!$D$5),S103-Uzman_D!$D$5)*0.1+IF(T103-Uzman_D!$E$5&lt;0,-(T103-Uzman_D!$E$5),T103-Uzman_D!$E$5)*0.1+IF(U103-Uzman_D!$F$5&lt;0,-(U103-Uzman_D!$F$5),U103-Uzman_D!$F$5)*0.1+IF(V103-Uzman_D!$G$5&lt;0,-(V103-Uzman_D!$G$5),V103-Uzman_D!$G$5)*0.1+IF(W103-Uzman_D!$H$5&lt;0,-(W103-Uzman_D!$H$5),W103-Uzman_D!$H$5)*0.1+IF(X103-Uzman_D!$I$5&lt;0,-(X103-Uzman_D!$I$5),X103-Uzman_D!$I$5)*0.1+IF(Y103-Uzman_D!$J$5&lt;0,-(Y103-Uzman_D!$J$5),Y103-Uzman_D!$J$5)*0.1)+IF(ROUND((IF(AA103-Uzman_D!$L$5&lt;0,-(AA103-Uzman_D!$L$5),AA103-Uzman_D!$L$5)*2),0)/2=IF(AA103-Uzman_D!$L$5&lt;0,-(AA103-Uzman_D!$L$5),AA103-Uzman_D!$L$5),(ROUND((IF(AA103-Uzman_D!$L$5&lt;0,-(AA103-Uzman_D!$L$5),AA103-Uzman_D!$L$5)*2),0)/1*0.1),0)+IF(AB103-Uzman_D!$M$5&lt;0,-(AB103-Uzman_D!$M$5),AB103-Uzman_D!$M$5)*1)</f>
        <v>-0.40000000000000013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3"/>
      <c r="AO103" s="73"/>
      <c r="AP103" s="71">
        <f>1-(SUM(IF(AD103-Uzman_D!$B$6&lt;0,-(AD103-Uzman_D!$B$6),AD103-Uzman_D!$B$6)*0.1+IF(AE103-Uzman_D!$C$6&lt;0,-(AE103-Uzman_D!$C$6),AE103-Uzman_D!$C$6)*0.1+IF(AF103-Uzman_D!$D$6&lt;0,-(AF103-Uzman_D!$D$6),AF103-Uzman_D!$D$6)*0.1+IF(AG103-Uzman_D!$E$6&lt;0,-(AG103-Uzman_D!$E$6),AG103-Uzman_D!$E$6)*0.1+IF(AH103-Uzman_D!$F$6&lt;0,-(AH103-Uzman_D!$F$6),AH103-Uzman_D!$F$6)*0.1+IF(AI103-Uzman_D!$G$6&lt;0,-(AI103-Uzman_D!$G$6),AI103-Uzman_D!$G$6)*0.1+IF(AJ103-Uzman_D!$H$6&lt;0,-(AJ103-Uzman_D!$H$6),AJ103-Uzman_D!$H$6)*0.1+IF(AK103-Uzman_D!$I$6&lt;0,-(AK103-Uzman_D!$I$6),AK103-Uzman_D!$I$6)*0.1+IF(AL103-Uzman_D!$J$6&lt;0,-(AL103-Uzman_D!$J$6),AL103-Uzman_D!$J$6)*0.1)+IF(ROUND((IF(AN103-Uzman_D!$L$6&lt;0,-(AN103-Uzman_D!$L$6),AN103-Uzman_D!$L$6)*2),0)/2=IF(AN103-Uzman_D!$L$6&lt;0,-(AN103-Uzman_D!$L$6),AN103-Uzman_D!$L$6),(ROUND((IF(AN103-Uzman_D!$L$6&lt;0,-(AN103-Uzman_D!$L$6),AN103-Uzman_D!$L$6)*2),0)/1*0.1),0)+IF(AO103-Uzman_D!$M$6&lt;0,-(AO103-Uzman_D!$M$6),AO103-Uzman_D!$M$6)*1)</f>
        <v>-0.10000000000000009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3"/>
      <c r="BB103" s="73"/>
      <c r="BC103" s="71">
        <f>1-(SUM(IF(AQ103-Uzman_D!$B$7&lt;0,-(AQ103-Uzman_D!$B$7),AQ103-Uzman_D!$B$7)*0.1+IF(AR103-Uzman_D!$C$7&lt;0,-(AR103-Uzman_D!$C$7),AR103-Uzman_D!$C$7)*0.1+IF(AS103-Uzman_D!$D$7&lt;0,-(AS103-Uzman_D!$D$7),AS103-Uzman_D!$D$7)*0.1+IF(AT103-Uzman_D!$E$7&lt;0,-(AT103-Uzman_D!$E$7),AT103-Uzman_D!$E$7)*0.1+IF(AU103-Uzman_D!$F$7&lt;0,-(AU103-Uzman_D!$F$7),AU103-Uzman_D!$F$7)*0.1+IF(AV103-Uzman_D!$G$7&lt;0,-(AV103-Uzman_D!$G$7),AV103-Uzman_D!$G$7)*0.1+IF(AW103-Uzman_D!$H$7&lt;0,-(AW103-Uzman_D!$H$7),AW103-Uzman_D!$H$7)*0.1+IF(AX103-Uzman_D!$I$7&lt;0,-(AX103-Uzman_D!$I$7),AX103-Uzman_D!$I$7)*0.1+IF(AY103-Uzman_D!$J$7&lt;0,-(AY103-Uzman_D!$J$7),AY103-Uzman_D!$J$7)*0.1)+IF(ROUND((IF(BA103-Uzman_D!$L$7&lt;0,-(BA103-Uzman_D!$L$7),BA103-Uzman_D!$L$7)*2),0)/2=IF(BA103-Uzman_D!$L$7&lt;0,-(BA103-Uzman_D!$L$7),BA103-Uzman_D!$L$7),(ROUND((IF(BA103-Uzman_D!$L$7&lt;0,-(BA103-Uzman_D!$L$7),BA103-Uzman_D!$L$7)*2),0)/1*0.1),0)+IF(BB103-Uzman_D!$M$7&lt;0,-(BB103-Uzman_D!$M$7),BB103-Uzman_D!$M$7)*1)</f>
        <v>-0.7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3"/>
      <c r="BO103" s="73"/>
      <c r="BP103" s="71">
        <f>1-(SUM(IF(BD103-Uzman_D!$B$8&lt;0,-(BD103-Uzman_D!$B$8),BD103-Uzman_D!$B$8)*0.1+IF(BE103-Uzman_D!$C$8&lt;0,-(BE103-Uzman_D!$C$8),BE103-Uzman_D!$C$8)*0.1+IF(BF103-Uzman_D!$D$8&lt;0,-(BF103-Uzman_D!$D$8),BF103-Uzman_D!$D$8)*0.1+IF(BG103-Uzman_D!$E$8&lt;0,-(BG103-Uzman_D!$E$8),BG103-Uzman_D!$E$8)*0.1+IF(BH103-Uzman_D!$F$8&lt;0,-(BH103-Uzman_D!$F$8),BH103-Uzman_D!$F$8)*0.1+IF(BI103-Uzman_D!$G$8&lt;0,-(BI103-Uzman_D!$G$8),BI103-Uzman_D!$G$8)*0.1+IF(BJ103-Uzman_D!$H$8&lt;0,-(BJ103-Uzman_D!$H$8),BJ103-Uzman_D!$H$8)*0.1+IF(BK103-Uzman_D!$I$8&lt;0,-(BK103-Uzman_D!$I$8),BK103-Uzman_D!$I$8)*0.1+IF(BL103-Uzman_D!$J$8&lt;0,-(BL103-Uzman_D!$J$8),BL103-Uzman_D!$J$8)*0.1)+IF(ROUND((IF(BN103-Uzman_D!$L$8&lt;0,-(BN103-Uzman_D!$L$8),BN103-Uzman_D!$L$8)*2),0)/2=IF(BN103-Uzman_D!$L$8&lt;0,-(BN103-Uzman_D!$L$8),BN103-Uzman_D!$L$8),(ROUND((IF(BN103-Uzman_D!$L$8&lt;0,-(BN103-Uzman_D!$L$8),BN103-Uzman_D!$L$8)*2),0)/1*0.1),0)+IF(BO103-Uzman_D!$M$8&lt;0,-(BO103-Uzman_D!$M$8),BO103-Uzman_D!$M$8)*1)</f>
        <v>-1</v>
      </c>
      <c r="BQ103" s="72">
        <f t="shared" si="3"/>
        <v>-0.48000000000000009</v>
      </c>
    </row>
  </sheetData>
  <mergeCells count="9">
    <mergeCell ref="D2:P2"/>
    <mergeCell ref="AD2:AP2"/>
    <mergeCell ref="Q2:AC2"/>
    <mergeCell ref="C2:C3"/>
    <mergeCell ref="A1:BQ1"/>
    <mergeCell ref="B2:B3"/>
    <mergeCell ref="AQ2:BC2"/>
    <mergeCell ref="BD2:BP2"/>
    <mergeCell ref="A2:A3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03"/>
  <sheetViews>
    <sheetView showGridLines="0" topLeftCell="A37" workbookViewId="0">
      <selection activeCell="B37" sqref="B1:S1048576"/>
    </sheetView>
  </sheetViews>
  <sheetFormatPr defaultColWidth="8.796875" defaultRowHeight="15" customHeight="1" x14ac:dyDescent="0.45"/>
  <cols>
    <col min="1" max="1" width="3.46484375" style="1" customWidth="1"/>
    <col min="2" max="2" width="16.46484375" style="141" bestFit="1" customWidth="1"/>
    <col min="3" max="3" width="19.19921875" style="141" customWidth="1"/>
    <col min="4" max="18" width="5.46484375" style="1" customWidth="1"/>
    <col min="19" max="19" width="9.46484375" style="1" customWidth="1"/>
    <col min="20" max="256" width="8.86328125" style="1" customWidth="1"/>
  </cols>
  <sheetData>
    <row r="1" spans="1:36" ht="18.75" customHeight="1" x14ac:dyDescent="0.45">
      <c r="A1" s="191" t="s">
        <v>86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3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45">
      <c r="A2" s="187" t="s">
        <v>9</v>
      </c>
      <c r="B2" s="196" t="s">
        <v>10</v>
      </c>
      <c r="C2" s="198" t="s">
        <v>11</v>
      </c>
      <c r="D2" s="189" t="s">
        <v>67</v>
      </c>
      <c r="E2" s="201"/>
      <c r="F2" s="190"/>
      <c r="G2" s="194" t="s">
        <v>68</v>
      </c>
      <c r="H2" s="200"/>
      <c r="I2" s="195"/>
      <c r="J2" s="189" t="s">
        <v>69</v>
      </c>
      <c r="K2" s="201"/>
      <c r="L2" s="190"/>
      <c r="M2" s="194" t="s">
        <v>70</v>
      </c>
      <c r="N2" s="200"/>
      <c r="O2" s="195"/>
      <c r="P2" s="189" t="s">
        <v>71</v>
      </c>
      <c r="Q2" s="201"/>
      <c r="R2" s="190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45">
      <c r="A3" s="188"/>
      <c r="B3" s="197"/>
      <c r="C3" s="199"/>
      <c r="D3" s="45" t="s">
        <v>67</v>
      </c>
      <c r="E3" s="59" t="s">
        <v>72</v>
      </c>
      <c r="F3" s="47" t="s">
        <v>64</v>
      </c>
      <c r="G3" s="45" t="s">
        <v>68</v>
      </c>
      <c r="H3" s="59" t="s">
        <v>72</v>
      </c>
      <c r="I3" s="47" t="s">
        <v>64</v>
      </c>
      <c r="J3" s="45" t="s">
        <v>69</v>
      </c>
      <c r="K3" s="59" t="s">
        <v>72</v>
      </c>
      <c r="L3" s="47" t="s">
        <v>64</v>
      </c>
      <c r="M3" s="45" t="s">
        <v>70</v>
      </c>
      <c r="N3" s="59" t="s">
        <v>72</v>
      </c>
      <c r="O3" s="47" t="s">
        <v>64</v>
      </c>
      <c r="P3" s="45" t="s">
        <v>71</v>
      </c>
      <c r="Q3" s="59" t="s">
        <v>72</v>
      </c>
      <c r="R3" s="47" t="s">
        <v>64</v>
      </c>
      <c r="S3" s="48" t="s">
        <v>65</v>
      </c>
      <c r="T3" s="4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x14ac:dyDescent="0.45">
      <c r="A4" s="50">
        <v>1</v>
      </c>
      <c r="B4" s="142" t="str">
        <f>Hakemler!B4</f>
        <v>YAZICI</v>
      </c>
      <c r="C4" s="143" t="str">
        <f>Hakemler!C4</f>
        <v>SUZAN</v>
      </c>
      <c r="D4" s="51">
        <v>3.3</v>
      </c>
      <c r="E4" s="60">
        <f>IF(ISBLANK(D4),0,ABS(Uzman_E!A$7-D4))</f>
        <v>1.1000000000000005</v>
      </c>
      <c r="F4" s="52">
        <f>IF(ISBLANK(D4),0,INDEX(Tablo_E!$B$2:$CX$102,MATCH(ROUND(Uzman_E!A$7,1),Tablo_E!$A$2:$A$102,1),MATCH(ROUND(E4,1),Tablo_E!$B$1:$CX$1,1)))</f>
        <v>0.4</v>
      </c>
      <c r="G4" s="51">
        <v>2</v>
      </c>
      <c r="H4" s="60">
        <f>IF(ISBLANK(G4),0,ABS(Uzman_E!B$7-G4))</f>
        <v>0.19999999999999996</v>
      </c>
      <c r="I4" s="52">
        <f>IF(ISBLANK(G4),0,INDEX(Tablo_E!$B$2:$CX$102,MATCH(ROUND(Uzman_E!B$7,1),Tablo_E!$A$2:$A$102,1),MATCH(ROUND(H4,1),Tablo_E!$B$1:$CX$1,1)))</f>
        <v>1</v>
      </c>
      <c r="J4" s="51">
        <v>2</v>
      </c>
      <c r="K4" s="60">
        <f>IF(ISBLANK(J4),0,ABS(Uzman_E!C$7-J4))</f>
        <v>0.60000000000000009</v>
      </c>
      <c r="L4" s="52">
        <f>IF(ISBLANK(J4),0,INDEX(Tablo_E!$B$2:$CX$102,MATCH(ROUND(Uzman_E!C$7,1),Tablo_E!$A$2:$A$102,1),MATCH(ROUND(K4,1),Tablo_E!$B$1:$CX$1,1)))</f>
        <v>0.85</v>
      </c>
      <c r="M4" s="51">
        <v>2.4</v>
      </c>
      <c r="N4" s="60">
        <f>IF(ISBLANK(M4),0,ABS(Uzman_E!D$7-M4))</f>
        <v>0.79999999999999982</v>
      </c>
      <c r="O4" s="52">
        <f>IF(ISBLANK(M4),0,INDEX(Tablo_E!$B$2:$CX$102,MATCH(ROUND(Uzman_E!D$7,1),Tablo_E!$A$2:$A$102,1),MATCH(ROUND(N4,1),Tablo_E!$B$1:$CX$1,1)))</f>
        <v>0.5</v>
      </c>
      <c r="P4" s="75">
        <v>2.9</v>
      </c>
      <c r="Q4" s="60">
        <f>IF(ISBLANK(P4),0,ABS(Uzman_E!E$7-P4))</f>
        <v>0.30000000000000027</v>
      </c>
      <c r="R4" s="52">
        <f>IF(ISBLANK(P4),0,INDEX(Tablo_E!$B$2:$CX$102,MATCH(ROUND(Uzman_E!E$7,1),Tablo_E!$A$2:$A$102,1),MATCH(ROUND(Q4,1),Tablo_E!$B$1:$CX$1,1)))</f>
        <v>1</v>
      </c>
      <c r="S4" s="53">
        <f t="shared" ref="S4:S35" si="0">(F4+I4+L4+O4+R4)/5</f>
        <v>0.75</v>
      </c>
      <c r="T4" s="49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x14ac:dyDescent="0.45">
      <c r="A5" s="54">
        <v>2</v>
      </c>
      <c r="B5" s="144" t="str">
        <f>Hakemler!B5</f>
        <v>ASLAN</v>
      </c>
      <c r="C5" s="145" t="str">
        <f>Hakemler!C5</f>
        <v>SEMA FİDEL</v>
      </c>
      <c r="D5" s="55">
        <v>4.7</v>
      </c>
      <c r="E5" s="60">
        <f>IF(ISBLANK(D5),0,ABS(Uzman_E!A$7-D5))</f>
        <v>0.29999999999999982</v>
      </c>
      <c r="F5" s="52">
        <f>IF(ISBLANK(D5),0,INDEX(Tablo_E!$B$2:$CX$102,MATCH(ROUND(Uzman_E!A$7,1),Tablo_E!$A$2:$A$102,1),MATCH(ROUND(E5,1),Tablo_E!$B$1:$CX$1,1)))</f>
        <v>1</v>
      </c>
      <c r="G5" s="55">
        <v>4.7</v>
      </c>
      <c r="H5" s="60">
        <f>IF(ISBLANK(G5),0,ABS(Uzman_E!B$7-G5))</f>
        <v>2.9000000000000004</v>
      </c>
      <c r="I5" s="52">
        <f>IF(ISBLANK(G5),0,INDEX(Tablo_E!$B$2:$CX$102,MATCH(ROUND(Uzman_E!B$7,1),Tablo_E!$A$2:$A$102,1),MATCH(ROUND(H5,1),Tablo_E!$B$1:$CX$1,1)))</f>
        <v>0</v>
      </c>
      <c r="J5" s="55">
        <v>1.6</v>
      </c>
      <c r="K5" s="60">
        <f>IF(ISBLANK(J5),0,ABS(Uzman_E!C$7-J5))</f>
        <v>1</v>
      </c>
      <c r="L5" s="52">
        <f>IF(ISBLANK(J5),0,INDEX(Tablo_E!$B$2:$CX$102,MATCH(ROUND(Uzman_E!C$7,1),Tablo_E!$A$2:$A$102,1),MATCH(ROUND(K5,1),Tablo_E!$B$1:$CX$1,1)))</f>
        <v>0.5</v>
      </c>
      <c r="M5" s="55">
        <v>1.6</v>
      </c>
      <c r="N5" s="60">
        <f>IF(ISBLANK(M5),0,ABS(Uzman_E!D$7-M5))</f>
        <v>0</v>
      </c>
      <c r="O5" s="52">
        <f>IF(ISBLANK(M5),0,INDEX(Tablo_E!$B$2:$CX$102,MATCH(ROUND(Uzman_E!D$7,1),Tablo_E!$A$2:$A$102,1),MATCH(ROUND(N5,1),Tablo_E!$B$1:$CX$1,1)))</f>
        <v>1</v>
      </c>
      <c r="P5" s="51">
        <v>1.8</v>
      </c>
      <c r="Q5" s="60">
        <f>IF(ISBLANK(P5),0,ABS(Uzman_E!E$7-P5))</f>
        <v>1.4000000000000001</v>
      </c>
      <c r="R5" s="52">
        <f>IF(ISBLANK(P5),0,INDEX(Tablo_E!$B$2:$CX$102,MATCH(ROUND(Uzman_E!E$7,1),Tablo_E!$A$2:$A$102,1),MATCH(ROUND(Q5,1),Tablo_E!$B$1:$CX$1,1)))</f>
        <v>0.1</v>
      </c>
      <c r="S5" s="53">
        <f t="shared" si="0"/>
        <v>0.52</v>
      </c>
      <c r="T5" s="49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x14ac:dyDescent="0.45">
      <c r="A6" s="54">
        <v>3</v>
      </c>
      <c r="B6" s="144" t="str">
        <f>Hakemler!B6</f>
        <v>TUNA</v>
      </c>
      <c r="C6" s="145" t="str">
        <f>Hakemler!C6</f>
        <v>MUNİSE</v>
      </c>
      <c r="D6" s="55">
        <v>4.9000000000000004</v>
      </c>
      <c r="E6" s="60">
        <f>IF(ISBLANK(D6),0,ABS(Uzman_E!A$7-D6))</f>
        <v>0.5</v>
      </c>
      <c r="F6" s="52">
        <f>IF(ISBLANK(D6),0,INDEX(Tablo_E!$B$2:$CX$102,MATCH(ROUND(Uzman_E!A$7,1),Tablo_E!$A$2:$A$102,1),MATCH(ROUND(E6,1),Tablo_E!$B$1:$CX$1,1)))</f>
        <v>0.95</v>
      </c>
      <c r="G6" s="55">
        <v>4.9000000000000004</v>
      </c>
      <c r="H6" s="60">
        <f>IF(ISBLANK(G6),0,ABS(Uzman_E!B$7-G6))</f>
        <v>3.1000000000000005</v>
      </c>
      <c r="I6" s="52">
        <f>IF(ISBLANK(G6),0,INDEX(Tablo_E!$B$2:$CX$102,MATCH(ROUND(Uzman_E!B$7,1),Tablo_E!$A$2:$A$102,1),MATCH(ROUND(H6,1),Tablo_E!$B$1:$CX$1,1)))</f>
        <v>0</v>
      </c>
      <c r="J6" s="55">
        <v>1.7</v>
      </c>
      <c r="K6" s="60">
        <f>IF(ISBLANK(J6),0,ABS(Uzman_E!C$7-J6))</f>
        <v>0.90000000000000013</v>
      </c>
      <c r="L6" s="52">
        <f>IF(ISBLANK(J6),0,INDEX(Tablo_E!$B$2:$CX$102,MATCH(ROUND(Uzman_E!C$7,1),Tablo_E!$A$2:$A$102,1),MATCH(ROUND(K6,1),Tablo_E!$B$1:$CX$1,1)))</f>
        <v>0.6</v>
      </c>
      <c r="M6" s="55">
        <v>1.7</v>
      </c>
      <c r="N6" s="60">
        <f>IF(ISBLANK(M6),0,ABS(Uzman_E!D$7-M6))</f>
        <v>9.9999999999999867E-2</v>
      </c>
      <c r="O6" s="52">
        <f>IF(ISBLANK(M6),0,INDEX(Tablo_E!$B$2:$CX$102,MATCH(ROUND(Uzman_E!D$7,1),Tablo_E!$A$2:$A$102,1),MATCH(ROUND(N6,1),Tablo_E!$B$1:$CX$1,1)))</f>
        <v>1</v>
      </c>
      <c r="P6" s="55">
        <v>1.6</v>
      </c>
      <c r="Q6" s="60">
        <f>IF(ISBLANK(P6),0,ABS(Uzman_E!E$7-P6))</f>
        <v>1.6</v>
      </c>
      <c r="R6" s="52">
        <f>IF(ISBLANK(P6),0,INDEX(Tablo_E!$B$2:$CX$102,MATCH(ROUND(Uzman_E!E$7,1),Tablo_E!$A$2:$A$102,1),MATCH(ROUND(Q6,1),Tablo_E!$B$1:$CX$1,1)))</f>
        <v>0</v>
      </c>
      <c r="S6" s="53">
        <f t="shared" si="0"/>
        <v>0.51</v>
      </c>
      <c r="T6" s="4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x14ac:dyDescent="0.45">
      <c r="A7" s="54">
        <v>4</v>
      </c>
      <c r="B7" s="144" t="str">
        <f>Hakemler!B7</f>
        <v>ÜNAL</v>
      </c>
      <c r="C7" s="145" t="str">
        <f>Hakemler!C7</f>
        <v>FATMA HANIM</v>
      </c>
      <c r="D7" s="55">
        <v>5</v>
      </c>
      <c r="E7" s="60">
        <f>IF(ISBLANK(D7),0,ABS(Uzman_E!A$7-D7))</f>
        <v>0.59999999999999964</v>
      </c>
      <c r="F7" s="52">
        <f>IF(ISBLANK(D7),0,INDEX(Tablo_E!$B$2:$CX$102,MATCH(ROUND(Uzman_E!A$7,1),Tablo_E!$A$2:$A$102,1),MATCH(ROUND(E7,1),Tablo_E!$B$1:$CX$1,1)))</f>
        <v>0.85</v>
      </c>
      <c r="G7" s="55">
        <v>5</v>
      </c>
      <c r="H7" s="60">
        <f>IF(ISBLANK(G7),0,ABS(Uzman_E!B$7-G7))</f>
        <v>3.2</v>
      </c>
      <c r="I7" s="52">
        <f>IF(ISBLANK(G7),0,INDEX(Tablo_E!$B$2:$CX$102,MATCH(ROUND(Uzman_E!B$7,1),Tablo_E!$A$2:$A$102,1),MATCH(ROUND(H7,1),Tablo_E!$B$1:$CX$1,1)))</f>
        <v>0</v>
      </c>
      <c r="J7" s="55">
        <v>1.8</v>
      </c>
      <c r="K7" s="60">
        <f>IF(ISBLANK(J7),0,ABS(Uzman_E!C$7-J7))</f>
        <v>0.8</v>
      </c>
      <c r="L7" s="52">
        <f>IF(ISBLANK(J7),0,INDEX(Tablo_E!$B$2:$CX$102,MATCH(ROUND(Uzman_E!C$7,1),Tablo_E!$A$2:$A$102,1),MATCH(ROUND(K7,1),Tablo_E!$B$1:$CX$1,1)))</f>
        <v>0.7</v>
      </c>
      <c r="M7" s="55">
        <v>1.8</v>
      </c>
      <c r="N7" s="60">
        <f>IF(ISBLANK(M7),0,ABS(Uzman_E!D$7-M7))</f>
        <v>0.19999999999999996</v>
      </c>
      <c r="O7" s="52">
        <f>IF(ISBLANK(M7),0,INDEX(Tablo_E!$B$2:$CX$102,MATCH(ROUND(Uzman_E!D$7,1),Tablo_E!$A$2:$A$102,1),MATCH(ROUND(N7,1),Tablo_E!$B$1:$CX$1,1)))</f>
        <v>1</v>
      </c>
      <c r="P7" s="55">
        <v>1.7</v>
      </c>
      <c r="Q7" s="60">
        <f>IF(ISBLANK(P7),0,ABS(Uzman_E!E$7-P7))</f>
        <v>1.5000000000000002</v>
      </c>
      <c r="R7" s="52">
        <f>IF(ISBLANK(P7),0,INDEX(Tablo_E!$B$2:$CX$102,MATCH(ROUND(Uzman_E!E$7,1),Tablo_E!$A$2:$A$102,1),MATCH(ROUND(Q7,1),Tablo_E!$B$1:$CX$1,1)))</f>
        <v>0</v>
      </c>
      <c r="S7" s="53">
        <f t="shared" si="0"/>
        <v>0.51</v>
      </c>
      <c r="T7" s="49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x14ac:dyDescent="0.45">
      <c r="A8" s="54">
        <v>5</v>
      </c>
      <c r="B8" s="144" t="str">
        <f>Hakemler!B8</f>
        <v>BAŞKAN PERÇİN</v>
      </c>
      <c r="C8" s="145" t="str">
        <f>Hakemler!C8</f>
        <v>ÖZGE</v>
      </c>
      <c r="D8" s="55">
        <v>5.0999999999999996</v>
      </c>
      <c r="E8" s="60">
        <f>IF(ISBLANK(D8),0,ABS(Uzman_E!A$7-D8))</f>
        <v>0.69999999999999929</v>
      </c>
      <c r="F8" s="52">
        <f>IF(ISBLANK(D8),0,INDEX(Tablo_E!$B$2:$CX$102,MATCH(ROUND(Uzman_E!A$7,1),Tablo_E!$A$2:$A$102,1),MATCH(ROUND(E8,1),Tablo_E!$B$1:$CX$1,1)))</f>
        <v>0.8</v>
      </c>
      <c r="G8" s="55">
        <v>5.0999999999999996</v>
      </c>
      <c r="H8" s="60">
        <f>IF(ISBLANK(G8),0,ABS(Uzman_E!B$7-G8))</f>
        <v>3.3</v>
      </c>
      <c r="I8" s="52">
        <f>IF(ISBLANK(G8),0,INDEX(Tablo_E!$B$2:$CX$102,MATCH(ROUND(Uzman_E!B$7,1),Tablo_E!$A$2:$A$102,1),MATCH(ROUND(H8,1),Tablo_E!$B$1:$CX$1,1)))</f>
        <v>0</v>
      </c>
      <c r="J8" s="55">
        <v>1.9</v>
      </c>
      <c r="K8" s="60">
        <f>IF(ISBLANK(J8),0,ABS(Uzman_E!C$7-J8))</f>
        <v>0.70000000000000018</v>
      </c>
      <c r="L8" s="52">
        <f>IF(ISBLANK(J8),0,INDEX(Tablo_E!$B$2:$CX$102,MATCH(ROUND(Uzman_E!C$7,1),Tablo_E!$A$2:$A$102,1),MATCH(ROUND(K8,1),Tablo_E!$B$1:$CX$1,1)))</f>
        <v>0.8</v>
      </c>
      <c r="M8" s="55">
        <v>1.9</v>
      </c>
      <c r="N8" s="60">
        <f>IF(ISBLANK(M8),0,ABS(Uzman_E!D$7-M8))</f>
        <v>0.29999999999999982</v>
      </c>
      <c r="O8" s="52">
        <f>IF(ISBLANK(M8),0,INDEX(Tablo_E!$B$2:$CX$102,MATCH(ROUND(Uzman_E!D$7,1),Tablo_E!$A$2:$A$102,1),MATCH(ROUND(N8,1),Tablo_E!$B$1:$CX$1,1)))</f>
        <v>1</v>
      </c>
      <c r="P8" s="55">
        <v>1.8</v>
      </c>
      <c r="Q8" s="60">
        <f>IF(ISBLANK(P8),0,ABS(Uzman_E!E$7-P8))</f>
        <v>1.4000000000000001</v>
      </c>
      <c r="R8" s="52">
        <f>IF(ISBLANK(P8),0,INDEX(Tablo_E!$B$2:$CX$102,MATCH(ROUND(Uzman_E!E$7,1),Tablo_E!$A$2:$A$102,1),MATCH(ROUND(Q8,1),Tablo_E!$B$1:$CX$1,1)))</f>
        <v>0.1</v>
      </c>
      <c r="S8" s="53">
        <f t="shared" si="0"/>
        <v>0.54</v>
      </c>
      <c r="T8" s="49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x14ac:dyDescent="0.45">
      <c r="A9" s="54">
        <v>6</v>
      </c>
      <c r="B9" s="144" t="str">
        <f>Hakemler!B9</f>
        <v>ŞEN İZMİRLİ</v>
      </c>
      <c r="C9" s="145" t="str">
        <f>Hakemler!C9</f>
        <v>SİNEM</v>
      </c>
      <c r="D9" s="55">
        <v>5.2</v>
      </c>
      <c r="E9" s="60">
        <f>IF(ISBLANK(D9),0,ABS(Uzman_E!A$7-D9))</f>
        <v>0.79999999999999982</v>
      </c>
      <c r="F9" s="52">
        <f>IF(ISBLANK(D9),0,INDEX(Tablo_E!$B$2:$CX$102,MATCH(ROUND(Uzman_E!A$7,1),Tablo_E!$A$2:$A$102,1),MATCH(ROUND(E9,1),Tablo_E!$B$1:$CX$1,1)))</f>
        <v>0.7</v>
      </c>
      <c r="G9" s="55">
        <v>5.2</v>
      </c>
      <c r="H9" s="60">
        <f>IF(ISBLANK(G9),0,ABS(Uzman_E!B$7-G9))</f>
        <v>3.4000000000000004</v>
      </c>
      <c r="I9" s="52">
        <f>IF(ISBLANK(G9),0,INDEX(Tablo_E!$B$2:$CX$102,MATCH(ROUND(Uzman_E!B$7,1),Tablo_E!$A$2:$A$102,1),MATCH(ROUND(H9,1),Tablo_E!$B$1:$CX$1,1)))</f>
        <v>0</v>
      </c>
      <c r="J9" s="55">
        <v>2</v>
      </c>
      <c r="K9" s="60">
        <f>IF(ISBLANK(J9),0,ABS(Uzman_E!C$7-J9))</f>
        <v>0.60000000000000009</v>
      </c>
      <c r="L9" s="52">
        <f>IF(ISBLANK(J9),0,INDEX(Tablo_E!$B$2:$CX$102,MATCH(ROUND(Uzman_E!C$7,1),Tablo_E!$A$2:$A$102,1),MATCH(ROUND(K9,1),Tablo_E!$B$1:$CX$1,1)))</f>
        <v>0.85</v>
      </c>
      <c r="M9" s="55">
        <v>2</v>
      </c>
      <c r="N9" s="60">
        <f>IF(ISBLANK(M9),0,ABS(Uzman_E!D$7-M9))</f>
        <v>0.39999999999999991</v>
      </c>
      <c r="O9" s="52">
        <f>IF(ISBLANK(M9),0,INDEX(Tablo_E!$B$2:$CX$102,MATCH(ROUND(Uzman_E!D$7,1),Tablo_E!$A$2:$A$102,1),MATCH(ROUND(N9,1),Tablo_E!$B$1:$CX$1,1)))</f>
        <v>0.9</v>
      </c>
      <c r="P9" s="55">
        <v>1.9</v>
      </c>
      <c r="Q9" s="60">
        <f>IF(ISBLANK(P9),0,ABS(Uzman_E!E$7-P9))</f>
        <v>1.3000000000000003</v>
      </c>
      <c r="R9" s="52">
        <f>IF(ISBLANK(P9),0,INDEX(Tablo_E!$B$2:$CX$102,MATCH(ROUND(Uzman_E!E$7,1),Tablo_E!$A$2:$A$102,1),MATCH(ROUND(Q9,1),Tablo_E!$B$1:$CX$1,1)))</f>
        <v>0.2</v>
      </c>
      <c r="S9" s="53">
        <f t="shared" si="0"/>
        <v>0.53</v>
      </c>
      <c r="T9" s="49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x14ac:dyDescent="0.45">
      <c r="A10" s="54">
        <v>7</v>
      </c>
      <c r="B10" s="144" t="str">
        <f>Hakemler!B10</f>
        <v>YILDIRIMER</v>
      </c>
      <c r="C10" s="145" t="str">
        <f>Hakemler!C10</f>
        <v>BUSE</v>
      </c>
      <c r="D10" s="55">
        <v>5.3</v>
      </c>
      <c r="E10" s="60">
        <f>IF(ISBLANK(D10),0,ABS(Uzman_E!A$7-D10))</f>
        <v>0.89999999999999947</v>
      </c>
      <c r="F10" s="52">
        <f>IF(ISBLANK(D10),0,INDEX(Tablo_E!$B$2:$CX$102,MATCH(ROUND(Uzman_E!A$7,1),Tablo_E!$A$2:$A$102,1),MATCH(ROUND(E10,1),Tablo_E!$B$1:$CX$1,1)))</f>
        <v>0.6</v>
      </c>
      <c r="G10" s="55">
        <v>5.3</v>
      </c>
      <c r="H10" s="60">
        <f>IF(ISBLANK(G10),0,ABS(Uzman_E!B$7-G10))</f>
        <v>3.5</v>
      </c>
      <c r="I10" s="52">
        <f>IF(ISBLANK(G10),0,INDEX(Tablo_E!$B$2:$CX$102,MATCH(ROUND(Uzman_E!B$7,1),Tablo_E!$A$2:$A$102,1),MATCH(ROUND(H10,1),Tablo_E!$B$1:$CX$1,1)))</f>
        <v>0</v>
      </c>
      <c r="J10" s="55">
        <v>1.3</v>
      </c>
      <c r="K10" s="60">
        <f>IF(ISBLANK(J10),0,ABS(Uzman_E!C$7-J10))</f>
        <v>1.3</v>
      </c>
      <c r="L10" s="52">
        <f>IF(ISBLANK(J10),0,INDEX(Tablo_E!$B$2:$CX$102,MATCH(ROUND(Uzman_E!C$7,1),Tablo_E!$A$2:$A$102,1),MATCH(ROUND(K10,1),Tablo_E!$B$1:$CX$1,1)))</f>
        <v>0.2</v>
      </c>
      <c r="M10" s="55">
        <v>1.3</v>
      </c>
      <c r="N10" s="60">
        <f>IF(ISBLANK(M10),0,ABS(Uzman_E!D$7-M10))</f>
        <v>0.30000000000000004</v>
      </c>
      <c r="O10" s="52">
        <f>IF(ISBLANK(M10),0,INDEX(Tablo_E!$B$2:$CX$102,MATCH(ROUND(Uzman_E!D$7,1),Tablo_E!$A$2:$A$102,1),MATCH(ROUND(N10,1),Tablo_E!$B$1:$CX$1,1)))</f>
        <v>1</v>
      </c>
      <c r="P10" s="55">
        <v>2</v>
      </c>
      <c r="Q10" s="60">
        <f>IF(ISBLANK(P10),0,ABS(Uzman_E!E$7-P10))</f>
        <v>1.2000000000000002</v>
      </c>
      <c r="R10" s="52">
        <f>IF(ISBLANK(P10),0,INDEX(Tablo_E!$B$2:$CX$102,MATCH(ROUND(Uzman_E!E$7,1),Tablo_E!$A$2:$A$102,1),MATCH(ROUND(Q10,1),Tablo_E!$B$1:$CX$1,1)))</f>
        <v>0.3</v>
      </c>
      <c r="S10" s="53">
        <f t="shared" si="0"/>
        <v>0.42000000000000004</v>
      </c>
      <c r="T10" s="49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x14ac:dyDescent="0.45">
      <c r="A11" s="54">
        <v>8</v>
      </c>
      <c r="B11" s="144" t="str">
        <f>Hakemler!B11</f>
        <v>KESKİN</v>
      </c>
      <c r="C11" s="145" t="str">
        <f>Hakemler!C11</f>
        <v>ENFAL</v>
      </c>
      <c r="D11" s="55">
        <v>5.4</v>
      </c>
      <c r="E11" s="60">
        <f>IF(ISBLANK(D11),0,ABS(Uzman_E!A$7-D11))</f>
        <v>1</v>
      </c>
      <c r="F11" s="52">
        <f>IF(ISBLANK(D11),0,INDEX(Tablo_E!$B$2:$CX$102,MATCH(ROUND(Uzman_E!A$7,1),Tablo_E!$A$2:$A$102,1),MATCH(ROUND(E11,1),Tablo_E!$B$1:$CX$1,1)))</f>
        <v>0.5</v>
      </c>
      <c r="G11" s="55">
        <v>5.4</v>
      </c>
      <c r="H11" s="60">
        <f>IF(ISBLANK(G11),0,ABS(Uzman_E!B$7-G11))</f>
        <v>3.6000000000000005</v>
      </c>
      <c r="I11" s="52">
        <f>IF(ISBLANK(G11),0,INDEX(Tablo_E!$B$2:$CX$102,MATCH(ROUND(Uzman_E!B$7,1),Tablo_E!$A$2:$A$102,1),MATCH(ROUND(H11,1),Tablo_E!$B$1:$CX$1,1)))</f>
        <v>0</v>
      </c>
      <c r="J11" s="55">
        <v>1.4</v>
      </c>
      <c r="K11" s="60">
        <f>IF(ISBLANK(J11),0,ABS(Uzman_E!C$7-J11))</f>
        <v>1.2000000000000002</v>
      </c>
      <c r="L11" s="52">
        <f>IF(ISBLANK(J11),0,INDEX(Tablo_E!$B$2:$CX$102,MATCH(ROUND(Uzman_E!C$7,1),Tablo_E!$A$2:$A$102,1),MATCH(ROUND(K11,1),Tablo_E!$B$1:$CX$1,1)))</f>
        <v>0.3</v>
      </c>
      <c r="M11" s="76">
        <v>1.4</v>
      </c>
      <c r="N11" s="60">
        <f>IF(ISBLANK(M11),0,ABS(Uzman_E!D$7-M11))</f>
        <v>0.20000000000000018</v>
      </c>
      <c r="O11" s="52">
        <f>IF(ISBLANK(M11),0,INDEX(Tablo_E!$B$2:$CX$102,MATCH(ROUND(Uzman_E!D$7,1),Tablo_E!$A$2:$A$102,1),MATCH(ROUND(N11,1),Tablo_E!$B$1:$CX$1,1)))</f>
        <v>1</v>
      </c>
      <c r="P11" s="55">
        <v>1.3</v>
      </c>
      <c r="Q11" s="60">
        <f>IF(ISBLANK(P11),0,ABS(Uzman_E!E$7-P11))</f>
        <v>1.9000000000000001</v>
      </c>
      <c r="R11" s="52">
        <f>IF(ISBLANK(P11),0,INDEX(Tablo_E!$B$2:$CX$102,MATCH(ROUND(Uzman_E!E$7,1),Tablo_E!$A$2:$A$102,1),MATCH(ROUND(Q11,1),Tablo_E!$B$1:$CX$1,1)))</f>
        <v>0</v>
      </c>
      <c r="S11" s="53">
        <f t="shared" si="0"/>
        <v>0.36</v>
      </c>
      <c r="T11" s="49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x14ac:dyDescent="0.45">
      <c r="A12" s="54">
        <v>9</v>
      </c>
      <c r="B12" s="144" t="str">
        <f>Hakemler!B12</f>
        <v>ÜNAL</v>
      </c>
      <c r="C12" s="145" t="str">
        <f>Hakemler!C12</f>
        <v>NAZLINEHİR</v>
      </c>
      <c r="D12" s="55">
        <v>5.5</v>
      </c>
      <c r="E12" s="60">
        <f>IF(ISBLANK(D12),0,ABS(Uzman_E!A$7-D12))</f>
        <v>1.0999999999999996</v>
      </c>
      <c r="F12" s="52">
        <f>IF(ISBLANK(D12),0,INDEX(Tablo_E!$B$2:$CX$102,MATCH(ROUND(Uzman_E!A$7,1),Tablo_E!$A$2:$A$102,1),MATCH(ROUND(E12,1),Tablo_E!$B$1:$CX$1,1)))</f>
        <v>0.4</v>
      </c>
      <c r="G12" s="55">
        <v>5.5</v>
      </c>
      <c r="H12" s="60">
        <f>IF(ISBLANK(G12),0,ABS(Uzman_E!B$7-G12))</f>
        <v>3.7</v>
      </c>
      <c r="I12" s="52">
        <f>IF(ISBLANK(G12),0,INDEX(Tablo_E!$B$2:$CX$102,MATCH(ROUND(Uzman_E!B$7,1),Tablo_E!$A$2:$A$102,1),MATCH(ROUND(H12,1),Tablo_E!$B$1:$CX$1,1)))</f>
        <v>0</v>
      </c>
      <c r="J12" s="55"/>
      <c r="K12" s="60">
        <f>IF(ISBLANK(J12),0,ABS(Uzman_E!C$7-J12))</f>
        <v>0</v>
      </c>
      <c r="L12" s="52">
        <f>IF(ISBLANK(J12),0,INDEX(Tablo_E!$B$2:$CX$102,MATCH(ROUND(Uzman_E!C$7,1),Tablo_E!$A$2:$A$102,1),MATCH(ROUND(K12,1),Tablo_E!$B$1:$CX$1,1)))</f>
        <v>0</v>
      </c>
      <c r="M12" s="75">
        <v>2</v>
      </c>
      <c r="N12" s="60">
        <f>IF(ISBLANK(M12),0,ABS(Uzman_E!D$7-M12))</f>
        <v>0.39999999999999991</v>
      </c>
      <c r="O12" s="52">
        <f>IF(ISBLANK(M12),0,INDEX(Tablo_E!$B$2:$CX$102,MATCH(ROUND(Uzman_E!D$7,1),Tablo_E!$A$2:$A$102,1),MATCH(ROUND(N12,1),Tablo_E!$B$1:$CX$1,1)))</f>
        <v>0.9</v>
      </c>
      <c r="P12" s="76">
        <v>1.4</v>
      </c>
      <c r="Q12" s="60">
        <f>IF(ISBLANK(P12),0,ABS(Uzman_E!E$7-P12))</f>
        <v>1.8000000000000003</v>
      </c>
      <c r="R12" s="52">
        <f>IF(ISBLANK(P12),0,INDEX(Tablo_E!$B$2:$CX$102,MATCH(ROUND(Uzman_E!E$7,1),Tablo_E!$A$2:$A$102,1),MATCH(ROUND(Q12,1),Tablo_E!$B$1:$CX$1,1)))</f>
        <v>0</v>
      </c>
      <c r="S12" s="53">
        <f t="shared" si="0"/>
        <v>0.26</v>
      </c>
      <c r="T12" s="49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x14ac:dyDescent="0.45">
      <c r="A13" s="54">
        <v>10</v>
      </c>
      <c r="B13" s="144" t="str">
        <f>Hakemler!B13</f>
        <v>ÜÇTAŞ ŞANLI</v>
      </c>
      <c r="C13" s="145" t="str">
        <f>Hakemler!C13</f>
        <v>GÖKSU</v>
      </c>
      <c r="D13" s="55">
        <v>5.6</v>
      </c>
      <c r="E13" s="60">
        <f>IF(ISBLANK(D13),0,ABS(Uzman_E!A$7-D13))</f>
        <v>1.1999999999999993</v>
      </c>
      <c r="F13" s="52">
        <f>IF(ISBLANK(D13),0,INDEX(Tablo_E!$B$2:$CX$102,MATCH(ROUND(Uzman_E!A$7,1),Tablo_E!$A$2:$A$102,1),MATCH(ROUND(E13,1),Tablo_E!$B$1:$CX$1,1)))</f>
        <v>0.3</v>
      </c>
      <c r="G13" s="55">
        <v>5.6</v>
      </c>
      <c r="H13" s="60">
        <f>IF(ISBLANK(G13),0,ABS(Uzman_E!B$7-G13))</f>
        <v>3.8</v>
      </c>
      <c r="I13" s="52">
        <f>IF(ISBLANK(G13),0,INDEX(Tablo_E!$B$2:$CX$102,MATCH(ROUND(Uzman_E!B$7,1),Tablo_E!$A$2:$A$102,1),MATCH(ROUND(H13,1),Tablo_E!$B$1:$CX$1,1)))</f>
        <v>0</v>
      </c>
      <c r="J13" s="55"/>
      <c r="K13" s="60">
        <f>IF(ISBLANK(J13),0,ABS(Uzman_E!C$7-J13))</f>
        <v>0</v>
      </c>
      <c r="L13" s="52">
        <f>IF(ISBLANK(J13),0,INDEX(Tablo_E!$B$2:$CX$102,MATCH(ROUND(Uzman_E!C$7,1),Tablo_E!$A$2:$A$102,1),MATCH(ROUND(K13,1),Tablo_E!$B$1:$CX$1,1)))</f>
        <v>0</v>
      </c>
      <c r="M13" s="51">
        <v>2.2000000000000002</v>
      </c>
      <c r="N13" s="60">
        <f>IF(ISBLANK(M13),0,ABS(Uzman_E!D$7-M13))</f>
        <v>0.60000000000000009</v>
      </c>
      <c r="O13" s="52">
        <f>IF(ISBLANK(M13),0,INDEX(Tablo_E!$B$2:$CX$102,MATCH(ROUND(Uzman_E!D$7,1),Tablo_E!$A$2:$A$102,1),MATCH(ROUND(N13,1),Tablo_E!$B$1:$CX$1,1)))</f>
        <v>0.7</v>
      </c>
      <c r="P13" s="75">
        <v>2</v>
      </c>
      <c r="Q13" s="60">
        <f>IF(ISBLANK(P13),0,ABS(Uzman_E!E$7-P13))</f>
        <v>1.2000000000000002</v>
      </c>
      <c r="R13" s="52">
        <f>IF(ISBLANK(P13),0,INDEX(Tablo_E!$B$2:$CX$102,MATCH(ROUND(Uzman_E!E$7,1),Tablo_E!$A$2:$A$102,1),MATCH(ROUND(Q13,1),Tablo_E!$B$1:$CX$1,1)))</f>
        <v>0.3</v>
      </c>
      <c r="S13" s="53">
        <f t="shared" si="0"/>
        <v>0.26</v>
      </c>
      <c r="T13" s="49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x14ac:dyDescent="0.45">
      <c r="A14" s="54">
        <v>11</v>
      </c>
      <c r="B14" s="144" t="str">
        <f>Hakemler!B14</f>
        <v>YÜCEL</v>
      </c>
      <c r="C14" s="145" t="str">
        <f>Hakemler!C14</f>
        <v>SİBEL</v>
      </c>
      <c r="D14" s="55">
        <v>5.7</v>
      </c>
      <c r="E14" s="60">
        <f>IF(ISBLANK(D14),0,ABS(Uzman_E!A$7-D14))</f>
        <v>1.2999999999999998</v>
      </c>
      <c r="F14" s="52">
        <f>IF(ISBLANK(D14),0,INDEX(Tablo_E!$B$2:$CX$102,MATCH(ROUND(Uzman_E!A$7,1),Tablo_E!$A$2:$A$102,1),MATCH(ROUND(E14,1),Tablo_E!$B$1:$CX$1,1)))</f>
        <v>0.2</v>
      </c>
      <c r="G14" s="55">
        <v>5.7</v>
      </c>
      <c r="H14" s="60">
        <f>IF(ISBLANK(G14),0,ABS(Uzman_E!B$7-G14))</f>
        <v>3.9000000000000004</v>
      </c>
      <c r="I14" s="52">
        <f>IF(ISBLANK(G14),0,INDEX(Tablo_E!$B$2:$CX$102,MATCH(ROUND(Uzman_E!B$7,1),Tablo_E!$A$2:$A$102,1),MATCH(ROUND(H14,1),Tablo_E!$B$1:$CX$1,1)))</f>
        <v>0</v>
      </c>
      <c r="J14" s="55"/>
      <c r="K14" s="60">
        <f>IF(ISBLANK(J14),0,ABS(Uzman_E!C$7-J14))</f>
        <v>0</v>
      </c>
      <c r="L14" s="52">
        <f>IF(ISBLANK(J14),0,INDEX(Tablo_E!$B$2:$CX$102,MATCH(ROUND(Uzman_E!C$7,1),Tablo_E!$A$2:$A$102,1),MATCH(ROUND(K14,1),Tablo_E!$B$1:$CX$1,1)))</f>
        <v>0</v>
      </c>
      <c r="M14" s="55"/>
      <c r="N14" s="60">
        <f>IF(ISBLANK(M14),0,ABS(Uzman_E!D$7-M14))</f>
        <v>0</v>
      </c>
      <c r="O14" s="52">
        <f>IF(ISBLANK(M14),0,INDEX(Tablo_E!$B$2:$CX$102,MATCH(ROUND(Uzman_E!D$7,1),Tablo_E!$A$2:$A$102,1),MATCH(ROUND(N14,1),Tablo_E!$B$1:$CX$1,1)))</f>
        <v>0</v>
      </c>
      <c r="P14" s="51">
        <v>2.2000000000000002</v>
      </c>
      <c r="Q14" s="60">
        <f>IF(ISBLANK(P14),0,ABS(Uzman_E!E$7-P14))</f>
        <v>1</v>
      </c>
      <c r="R14" s="52">
        <f>IF(ISBLANK(P14),0,INDEX(Tablo_E!$B$2:$CX$102,MATCH(ROUND(Uzman_E!E$7,1),Tablo_E!$A$2:$A$102,1),MATCH(ROUND(Q14,1),Tablo_E!$B$1:$CX$1,1)))</f>
        <v>0.5</v>
      </c>
      <c r="S14" s="53">
        <f t="shared" si="0"/>
        <v>0.13999999999999999</v>
      </c>
      <c r="T14" s="49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x14ac:dyDescent="0.45">
      <c r="A15" s="54">
        <v>12</v>
      </c>
      <c r="B15" s="144" t="str">
        <f>Hakemler!B15</f>
        <v>YILMAZER</v>
      </c>
      <c r="C15" s="145" t="str">
        <f>Hakemler!C15</f>
        <v>ZEHRA</v>
      </c>
      <c r="D15" s="55">
        <v>5.8</v>
      </c>
      <c r="E15" s="60">
        <f>IF(ISBLANK(D15),0,ABS(Uzman_E!A$7-D15))</f>
        <v>1.3999999999999995</v>
      </c>
      <c r="F15" s="52">
        <f>IF(ISBLANK(D15),0,INDEX(Tablo_E!$B$2:$CX$102,MATCH(ROUND(Uzman_E!A$7,1),Tablo_E!$A$2:$A$102,1),MATCH(ROUND(E15,1),Tablo_E!$B$1:$CX$1,1)))</f>
        <v>0.1</v>
      </c>
      <c r="G15" s="55">
        <v>5.8</v>
      </c>
      <c r="H15" s="60">
        <f>IF(ISBLANK(G15),0,ABS(Uzman_E!B$7-G15))</f>
        <v>4</v>
      </c>
      <c r="I15" s="52">
        <f>IF(ISBLANK(G15),0,INDEX(Tablo_E!$B$2:$CX$102,MATCH(ROUND(Uzman_E!B$7,1),Tablo_E!$A$2:$A$102,1),MATCH(ROUND(H15,1),Tablo_E!$B$1:$CX$1,1)))</f>
        <v>0</v>
      </c>
      <c r="J15" s="55"/>
      <c r="K15" s="60">
        <f>IF(ISBLANK(J15),0,ABS(Uzman_E!C$7-J15))</f>
        <v>0</v>
      </c>
      <c r="L15" s="52">
        <f>IF(ISBLANK(J15),0,INDEX(Tablo_E!$B$2:$CX$102,MATCH(ROUND(Uzman_E!C$7,1),Tablo_E!$A$2:$A$102,1),MATCH(ROUND(K15,1),Tablo_E!$B$1:$CX$1,1)))</f>
        <v>0</v>
      </c>
      <c r="M15" s="55"/>
      <c r="N15" s="60">
        <f>IF(ISBLANK(M15),0,ABS(Uzman_E!D$7-M15))</f>
        <v>0</v>
      </c>
      <c r="O15" s="52">
        <f>IF(ISBLANK(M15),0,INDEX(Tablo_E!$B$2:$CX$102,MATCH(ROUND(Uzman_E!D$7,1),Tablo_E!$A$2:$A$102,1),MATCH(ROUND(N15,1),Tablo_E!$B$1:$CX$1,1)))</f>
        <v>0</v>
      </c>
      <c r="P15" s="55"/>
      <c r="Q15" s="60">
        <f>IF(ISBLANK(P15),0,ABS(Uzman_E!E$7-P15))</f>
        <v>0</v>
      </c>
      <c r="R15" s="52">
        <f>IF(ISBLANK(P15),0,INDEX(Tablo_E!$B$2:$CX$102,MATCH(ROUND(Uzman_E!E$7,1),Tablo_E!$A$2:$A$102,1),MATCH(ROUND(Q15,1),Tablo_E!$B$1:$CX$1,1)))</f>
        <v>0</v>
      </c>
      <c r="S15" s="53">
        <f t="shared" si="0"/>
        <v>0.02</v>
      </c>
      <c r="T15" s="49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x14ac:dyDescent="0.45">
      <c r="A16" s="54">
        <v>13</v>
      </c>
      <c r="B16" s="144" t="str">
        <f>Hakemler!B16</f>
        <v>ŞAHİNTEKİN</v>
      </c>
      <c r="C16" s="145" t="str">
        <f>Hakemler!C16</f>
        <v>MUHAMMED</v>
      </c>
      <c r="D16" s="55">
        <v>5.9</v>
      </c>
      <c r="E16" s="60">
        <f>IF(ISBLANK(D16),0,ABS(Uzman_E!A$7-D16))</f>
        <v>1.5</v>
      </c>
      <c r="F16" s="52">
        <f>IF(ISBLANK(D16),0,INDEX(Tablo_E!$B$2:$CX$102,MATCH(ROUND(Uzman_E!A$7,1),Tablo_E!$A$2:$A$102,1),MATCH(ROUND(E16,1),Tablo_E!$B$1:$CX$1,1)))</f>
        <v>0</v>
      </c>
      <c r="G16" s="55">
        <v>5.9</v>
      </c>
      <c r="H16" s="60">
        <f>IF(ISBLANK(G16),0,ABS(Uzman_E!B$7-G16))</f>
        <v>4.1000000000000005</v>
      </c>
      <c r="I16" s="52">
        <f>IF(ISBLANK(G16),0,INDEX(Tablo_E!$B$2:$CX$102,MATCH(ROUND(Uzman_E!B$7,1),Tablo_E!$A$2:$A$102,1),MATCH(ROUND(H16,1),Tablo_E!$B$1:$CX$1,1)))</f>
        <v>0</v>
      </c>
      <c r="J16" s="55"/>
      <c r="K16" s="60">
        <f>IF(ISBLANK(J16),0,ABS(Uzman_E!C$7-J16))</f>
        <v>0</v>
      </c>
      <c r="L16" s="52">
        <f>IF(ISBLANK(J16),0,INDEX(Tablo_E!$B$2:$CX$102,MATCH(ROUND(Uzman_E!C$7,1),Tablo_E!$A$2:$A$102,1),MATCH(ROUND(K16,1),Tablo_E!$B$1:$CX$1,1)))</f>
        <v>0</v>
      </c>
      <c r="M16" s="55"/>
      <c r="N16" s="60">
        <f>IF(ISBLANK(M16),0,ABS(Uzman_E!D$7-M16))</f>
        <v>0</v>
      </c>
      <c r="O16" s="52">
        <f>IF(ISBLANK(M16),0,INDEX(Tablo_E!$B$2:$CX$102,MATCH(ROUND(Uzman_E!D$7,1),Tablo_E!$A$2:$A$102,1),MATCH(ROUND(N16,1),Tablo_E!$B$1:$CX$1,1)))</f>
        <v>0</v>
      </c>
      <c r="P16" s="55"/>
      <c r="Q16" s="60">
        <f>IF(ISBLANK(P16),0,ABS(Uzman_E!E$7-P16))</f>
        <v>0</v>
      </c>
      <c r="R16" s="52">
        <f>IF(ISBLANK(P16),0,INDEX(Tablo_E!$B$2:$CX$102,MATCH(ROUND(Uzman_E!E$7,1),Tablo_E!$A$2:$A$102,1),MATCH(ROUND(Q16,1),Tablo_E!$B$1:$CX$1,1)))</f>
        <v>0</v>
      </c>
      <c r="S16" s="53">
        <f t="shared" si="0"/>
        <v>0</v>
      </c>
      <c r="T16" s="49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x14ac:dyDescent="0.45">
      <c r="A17" s="54">
        <v>14</v>
      </c>
      <c r="B17" s="144" t="str">
        <f>Hakemler!B17</f>
        <v>ERKUT</v>
      </c>
      <c r="C17" s="145" t="str">
        <f>Hakemler!C17</f>
        <v>OYA</v>
      </c>
      <c r="D17" s="55"/>
      <c r="E17" s="60">
        <f>IF(ISBLANK(D17),0,ABS(Uzman_E!A$7-D17))</f>
        <v>0</v>
      </c>
      <c r="F17" s="52">
        <f>IF(ISBLANK(D17),0,INDEX(Tablo_E!$B$2:$CX$102,MATCH(ROUND(Uzman_E!A$7,1),Tablo_E!$A$2:$A$102,1),MATCH(ROUND(E17,1),Tablo_E!$B$1:$CX$1,1)))</f>
        <v>0</v>
      </c>
      <c r="G17" s="55"/>
      <c r="H17" s="60">
        <f>IF(ISBLANK(G17),0,ABS(Uzman_E!B$7-G17))</f>
        <v>0</v>
      </c>
      <c r="I17" s="52">
        <f>IF(ISBLANK(G17),0,INDEX(Tablo_E!$B$2:$CX$102,MATCH(ROUND(Uzman_E!B$7,1),Tablo_E!$A$2:$A$102,1),MATCH(ROUND(H17,1),Tablo_E!$B$1:$CX$1,1)))</f>
        <v>0</v>
      </c>
      <c r="J17" s="55"/>
      <c r="K17" s="60">
        <f>IF(ISBLANK(J17),0,ABS(Uzman_E!C$7-J17))</f>
        <v>0</v>
      </c>
      <c r="L17" s="52">
        <f>IF(ISBLANK(J17),0,INDEX(Tablo_E!$B$2:$CX$102,MATCH(ROUND(Uzman_E!C$7,1),Tablo_E!$A$2:$A$102,1),MATCH(ROUND(K17,1),Tablo_E!$B$1:$CX$1,1)))</f>
        <v>0</v>
      </c>
      <c r="M17" s="55"/>
      <c r="N17" s="60">
        <f>IF(ISBLANK(M17),0,ABS(Uzman_E!D$7-M17))</f>
        <v>0</v>
      </c>
      <c r="O17" s="52">
        <f>IF(ISBLANK(M17),0,INDEX(Tablo_E!$B$2:$CX$102,MATCH(ROUND(Uzman_E!D$7,1),Tablo_E!$A$2:$A$102,1),MATCH(ROUND(N17,1),Tablo_E!$B$1:$CX$1,1)))</f>
        <v>0</v>
      </c>
      <c r="P17" s="55"/>
      <c r="Q17" s="60">
        <f>IF(ISBLANK(P17),0,ABS(Uzman_E!E$7-P17))</f>
        <v>0</v>
      </c>
      <c r="R17" s="52">
        <f>IF(ISBLANK(P17),0,INDEX(Tablo_E!$B$2:$CX$102,MATCH(ROUND(Uzman_E!E$7,1),Tablo_E!$A$2:$A$102,1),MATCH(ROUND(Q17,1),Tablo_E!$B$1:$CX$1,1)))</f>
        <v>0</v>
      </c>
      <c r="S17" s="53">
        <f t="shared" si="0"/>
        <v>0</v>
      </c>
      <c r="T17" s="49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x14ac:dyDescent="0.45">
      <c r="A18" s="54">
        <v>15</v>
      </c>
      <c r="B18" s="144" t="str">
        <f>Hakemler!B18</f>
        <v>GÜMÜŞLÜ</v>
      </c>
      <c r="C18" s="145" t="str">
        <f>Hakemler!C18</f>
        <v>AYSEL</v>
      </c>
      <c r="D18" s="55"/>
      <c r="E18" s="60">
        <f>IF(ISBLANK(D18),0,ABS(Uzman_E!A$7-D18))</f>
        <v>0</v>
      </c>
      <c r="F18" s="52">
        <f>IF(ISBLANK(D18),0,INDEX(Tablo_E!$B$2:$CX$102,MATCH(ROUND(Uzman_E!A$7,1),Tablo_E!$A$2:$A$102,1),MATCH(ROUND(E18,1),Tablo_E!$B$1:$CX$1,1)))</f>
        <v>0</v>
      </c>
      <c r="G18" s="55"/>
      <c r="H18" s="60">
        <f>IF(ISBLANK(G18),0,ABS(Uzman_E!B$7-G18))</f>
        <v>0</v>
      </c>
      <c r="I18" s="52">
        <f>IF(ISBLANK(G18),0,INDEX(Tablo_E!$B$2:$CX$102,MATCH(ROUND(Uzman_E!B$7,1),Tablo_E!$A$2:$A$102,1),MATCH(ROUND(H18,1),Tablo_E!$B$1:$CX$1,1)))</f>
        <v>0</v>
      </c>
      <c r="J18" s="55"/>
      <c r="K18" s="60">
        <f>IF(ISBLANK(J18),0,ABS(Uzman_E!C$7-J18))</f>
        <v>0</v>
      </c>
      <c r="L18" s="52">
        <f>IF(ISBLANK(J18),0,INDEX(Tablo_E!$B$2:$CX$102,MATCH(ROUND(Uzman_E!C$7,1),Tablo_E!$A$2:$A$102,1),MATCH(ROUND(K18,1),Tablo_E!$B$1:$CX$1,1)))</f>
        <v>0</v>
      </c>
      <c r="M18" s="55"/>
      <c r="N18" s="60">
        <f>IF(ISBLANK(M18),0,ABS(Uzman_E!D$7-M18))</f>
        <v>0</v>
      </c>
      <c r="O18" s="52">
        <f>IF(ISBLANK(M18),0,INDEX(Tablo_E!$B$2:$CX$102,MATCH(ROUND(Uzman_E!D$7,1),Tablo_E!$A$2:$A$102,1),MATCH(ROUND(N18,1),Tablo_E!$B$1:$CX$1,1)))</f>
        <v>0</v>
      </c>
      <c r="P18" s="55"/>
      <c r="Q18" s="60">
        <f>IF(ISBLANK(P18),0,ABS(Uzman_E!E$7-P18))</f>
        <v>0</v>
      </c>
      <c r="R18" s="52">
        <f>IF(ISBLANK(P18),0,INDEX(Tablo_E!$B$2:$CX$102,MATCH(ROUND(Uzman_E!E$7,1),Tablo_E!$A$2:$A$102,1),MATCH(ROUND(Q18,1),Tablo_E!$B$1:$CX$1,1)))</f>
        <v>0</v>
      </c>
      <c r="S18" s="53">
        <f t="shared" si="0"/>
        <v>0</v>
      </c>
      <c r="T18" s="4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x14ac:dyDescent="0.45">
      <c r="A19" s="54">
        <v>16</v>
      </c>
      <c r="B19" s="144" t="str">
        <f>Hakemler!B19</f>
        <v>CURA COŞKUN</v>
      </c>
      <c r="C19" s="145" t="str">
        <f>Hakemler!C19</f>
        <v>MELİKE</v>
      </c>
      <c r="D19" s="55"/>
      <c r="E19" s="60">
        <f>IF(ISBLANK(D19),0,ABS(Uzman_E!A$7-D19))</f>
        <v>0</v>
      </c>
      <c r="F19" s="52">
        <f>IF(ISBLANK(D19),0,INDEX(Tablo_E!$B$2:$CX$102,MATCH(ROUND(Uzman_E!A$7,1),Tablo_E!$A$2:$A$102,1),MATCH(ROUND(E19,1),Tablo_E!$B$1:$CX$1,1)))</f>
        <v>0</v>
      </c>
      <c r="G19" s="55"/>
      <c r="H19" s="60">
        <f>IF(ISBLANK(G19),0,ABS(Uzman_E!B$7-G19))</f>
        <v>0</v>
      </c>
      <c r="I19" s="52">
        <f>IF(ISBLANK(G19),0,INDEX(Tablo_E!$B$2:$CX$102,MATCH(ROUND(Uzman_E!B$7,1),Tablo_E!$A$2:$A$102,1),MATCH(ROUND(H19,1),Tablo_E!$B$1:$CX$1,1)))</f>
        <v>0</v>
      </c>
      <c r="J19" s="55"/>
      <c r="K19" s="60">
        <f>IF(ISBLANK(J19),0,ABS(Uzman_E!C$7-J19))</f>
        <v>0</v>
      </c>
      <c r="L19" s="52">
        <f>IF(ISBLANK(J19),0,INDEX(Tablo_E!$B$2:$CX$102,MATCH(ROUND(Uzman_E!C$7,1),Tablo_E!$A$2:$A$102,1),MATCH(ROUND(K19,1),Tablo_E!$B$1:$CX$1,1)))</f>
        <v>0</v>
      </c>
      <c r="M19" s="55"/>
      <c r="N19" s="60">
        <f>IF(ISBLANK(M19),0,ABS(Uzman_E!D$7-M19))</f>
        <v>0</v>
      </c>
      <c r="O19" s="52">
        <f>IF(ISBLANK(M19),0,INDEX(Tablo_E!$B$2:$CX$102,MATCH(ROUND(Uzman_E!D$7,1),Tablo_E!$A$2:$A$102,1),MATCH(ROUND(N19,1),Tablo_E!$B$1:$CX$1,1)))</f>
        <v>0</v>
      </c>
      <c r="P19" s="55"/>
      <c r="Q19" s="60">
        <f>IF(ISBLANK(P19),0,ABS(Uzman_E!E$7-P19))</f>
        <v>0</v>
      </c>
      <c r="R19" s="52">
        <f>IF(ISBLANK(P19),0,INDEX(Tablo_E!$B$2:$CX$102,MATCH(ROUND(Uzman_E!E$7,1),Tablo_E!$A$2:$A$102,1),MATCH(ROUND(Q19,1),Tablo_E!$B$1:$CX$1,1)))</f>
        <v>0</v>
      </c>
      <c r="S19" s="53">
        <f t="shared" si="0"/>
        <v>0</v>
      </c>
      <c r="T19" s="49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x14ac:dyDescent="0.45">
      <c r="A20" s="54">
        <v>17</v>
      </c>
      <c r="B20" s="144" t="str">
        <f>Hakemler!B20</f>
        <v>KENDİRCİ</v>
      </c>
      <c r="C20" s="145" t="str">
        <f>Hakemler!C20</f>
        <v>CEMRE</v>
      </c>
      <c r="D20" s="55"/>
      <c r="E20" s="60">
        <f>IF(ISBLANK(D20),0,ABS(Uzman_E!A$7-D20))</f>
        <v>0</v>
      </c>
      <c r="F20" s="52">
        <f>IF(ISBLANK(D20),0,INDEX(Tablo_E!$B$2:$CX$102,MATCH(ROUND(Uzman_E!A$7,1),Tablo_E!$A$2:$A$102,1),MATCH(ROUND(E20,1),Tablo_E!$B$1:$CX$1,1)))</f>
        <v>0</v>
      </c>
      <c r="G20" s="55"/>
      <c r="H20" s="60">
        <f>IF(ISBLANK(G20),0,ABS(Uzman_E!B$7-G20))</f>
        <v>0</v>
      </c>
      <c r="I20" s="52">
        <f>IF(ISBLANK(G20),0,INDEX(Tablo_E!$B$2:$CX$102,MATCH(ROUND(Uzman_E!B$7,1),Tablo_E!$A$2:$A$102,1),MATCH(ROUND(H20,1),Tablo_E!$B$1:$CX$1,1)))</f>
        <v>0</v>
      </c>
      <c r="J20" s="55"/>
      <c r="K20" s="60">
        <f>IF(ISBLANK(J20),0,ABS(Uzman_E!C$7-J20))</f>
        <v>0</v>
      </c>
      <c r="L20" s="52">
        <f>IF(ISBLANK(J20),0,INDEX(Tablo_E!$B$2:$CX$102,MATCH(ROUND(Uzman_E!C$7,1),Tablo_E!$A$2:$A$102,1),MATCH(ROUND(K20,1),Tablo_E!$B$1:$CX$1,1)))</f>
        <v>0</v>
      </c>
      <c r="M20" s="55"/>
      <c r="N20" s="60">
        <f>IF(ISBLANK(M20),0,ABS(Uzman_E!D$7-M20))</f>
        <v>0</v>
      </c>
      <c r="O20" s="52">
        <f>IF(ISBLANK(M20),0,INDEX(Tablo_E!$B$2:$CX$102,MATCH(ROUND(Uzman_E!D$7,1),Tablo_E!$A$2:$A$102,1),MATCH(ROUND(N20,1),Tablo_E!$B$1:$CX$1,1)))</f>
        <v>0</v>
      </c>
      <c r="P20" s="55"/>
      <c r="Q20" s="60">
        <f>IF(ISBLANK(P20),0,ABS(Uzman_E!E$7-P20))</f>
        <v>0</v>
      </c>
      <c r="R20" s="52">
        <f>IF(ISBLANK(P20),0,INDEX(Tablo_E!$B$2:$CX$102,MATCH(ROUND(Uzman_E!E$7,1),Tablo_E!$A$2:$A$102,1),MATCH(ROUND(Q20,1),Tablo_E!$B$1:$CX$1,1)))</f>
        <v>0</v>
      </c>
      <c r="S20" s="53">
        <f t="shared" si="0"/>
        <v>0</v>
      </c>
      <c r="T20" s="49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x14ac:dyDescent="0.45">
      <c r="A21" s="54">
        <v>18</v>
      </c>
      <c r="B21" s="144" t="str">
        <f>Hakemler!B21</f>
        <v>CANATAN</v>
      </c>
      <c r="C21" s="145" t="str">
        <f>Hakemler!C21</f>
        <v>BEYZA</v>
      </c>
      <c r="D21" s="55"/>
      <c r="E21" s="60">
        <f>IF(ISBLANK(D21),0,ABS(Uzman_E!A$7-D21))</f>
        <v>0</v>
      </c>
      <c r="F21" s="52">
        <f>IF(ISBLANK(D21),0,INDEX(Tablo_E!$B$2:$CX$102,MATCH(ROUND(Uzman_E!A$7,1),Tablo_E!$A$2:$A$102,1),MATCH(ROUND(E21,1),Tablo_E!$B$1:$CX$1,1)))</f>
        <v>0</v>
      </c>
      <c r="G21" s="55"/>
      <c r="H21" s="60">
        <f>IF(ISBLANK(G21),0,ABS(Uzman_E!B$7-G21))</f>
        <v>0</v>
      </c>
      <c r="I21" s="52">
        <f>IF(ISBLANK(G21),0,INDEX(Tablo_E!$B$2:$CX$102,MATCH(ROUND(Uzman_E!B$7,1),Tablo_E!$A$2:$A$102,1),MATCH(ROUND(H21,1),Tablo_E!$B$1:$CX$1,1)))</f>
        <v>0</v>
      </c>
      <c r="J21" s="55"/>
      <c r="K21" s="60">
        <f>IF(ISBLANK(J21),0,ABS(Uzman_E!C$7-J21))</f>
        <v>0</v>
      </c>
      <c r="L21" s="52">
        <f>IF(ISBLANK(J21),0,INDEX(Tablo_E!$B$2:$CX$102,MATCH(ROUND(Uzman_E!C$7,1),Tablo_E!$A$2:$A$102,1),MATCH(ROUND(K21,1),Tablo_E!$B$1:$CX$1,1)))</f>
        <v>0</v>
      </c>
      <c r="M21" s="55"/>
      <c r="N21" s="60">
        <f>IF(ISBLANK(M21),0,ABS(Uzman_E!D$7-M21))</f>
        <v>0</v>
      </c>
      <c r="O21" s="52">
        <f>IF(ISBLANK(M21),0,INDEX(Tablo_E!$B$2:$CX$102,MATCH(ROUND(Uzman_E!D$7,1),Tablo_E!$A$2:$A$102,1),MATCH(ROUND(N21,1),Tablo_E!$B$1:$CX$1,1)))</f>
        <v>0</v>
      </c>
      <c r="P21" s="55"/>
      <c r="Q21" s="60">
        <f>IF(ISBLANK(P21),0,ABS(Uzman_E!E$7-P21))</f>
        <v>0</v>
      </c>
      <c r="R21" s="52">
        <f>IF(ISBLANK(P21),0,INDEX(Tablo_E!$B$2:$CX$102,MATCH(ROUND(Uzman_E!E$7,1),Tablo_E!$A$2:$A$102,1),MATCH(ROUND(Q21,1),Tablo_E!$B$1:$CX$1,1)))</f>
        <v>0</v>
      </c>
      <c r="S21" s="53">
        <f t="shared" si="0"/>
        <v>0</v>
      </c>
      <c r="T21" s="49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x14ac:dyDescent="0.45">
      <c r="A22" s="54">
        <v>19</v>
      </c>
      <c r="B22" s="144" t="str">
        <f>Hakemler!B22</f>
        <v>SAYIN</v>
      </c>
      <c r="C22" s="145" t="str">
        <f>Hakemler!C22</f>
        <v>ZEYNEP TÜRKAN</v>
      </c>
      <c r="D22" s="55"/>
      <c r="E22" s="60">
        <f>IF(ISBLANK(D22),0,ABS(Uzman_E!A$7-D22))</f>
        <v>0</v>
      </c>
      <c r="F22" s="52">
        <f>IF(ISBLANK(D22),0,INDEX(Tablo_E!$B$2:$CX$102,MATCH(ROUND(Uzman_E!A$7,1),Tablo_E!$A$2:$A$102,1),MATCH(ROUND(E22,1),Tablo_E!$B$1:$CX$1,1)))</f>
        <v>0</v>
      </c>
      <c r="G22" s="55"/>
      <c r="H22" s="60">
        <f>IF(ISBLANK(G22),0,ABS(Uzman_E!B$7-G22))</f>
        <v>0</v>
      </c>
      <c r="I22" s="52">
        <f>IF(ISBLANK(G22),0,INDEX(Tablo_E!$B$2:$CX$102,MATCH(ROUND(Uzman_E!B$7,1),Tablo_E!$A$2:$A$102,1),MATCH(ROUND(H22,1),Tablo_E!$B$1:$CX$1,1)))</f>
        <v>0</v>
      </c>
      <c r="J22" s="55"/>
      <c r="K22" s="60">
        <f>IF(ISBLANK(J22),0,ABS(Uzman_E!C$7-J22))</f>
        <v>0</v>
      </c>
      <c r="L22" s="52">
        <f>IF(ISBLANK(J22),0,INDEX(Tablo_E!$B$2:$CX$102,MATCH(ROUND(Uzman_E!C$7,1),Tablo_E!$A$2:$A$102,1),MATCH(ROUND(K22,1),Tablo_E!$B$1:$CX$1,1)))</f>
        <v>0</v>
      </c>
      <c r="M22" s="55"/>
      <c r="N22" s="60">
        <f>IF(ISBLANK(M22),0,ABS(Uzman_E!D$7-M22))</f>
        <v>0</v>
      </c>
      <c r="O22" s="52">
        <f>IF(ISBLANK(M22),0,INDEX(Tablo_E!$B$2:$CX$102,MATCH(ROUND(Uzman_E!D$7,1),Tablo_E!$A$2:$A$102,1),MATCH(ROUND(N22,1),Tablo_E!$B$1:$CX$1,1)))</f>
        <v>0</v>
      </c>
      <c r="P22" s="55"/>
      <c r="Q22" s="60">
        <f>IF(ISBLANK(P22),0,ABS(Uzman_E!E$7-P22))</f>
        <v>0</v>
      </c>
      <c r="R22" s="52">
        <f>IF(ISBLANK(P22),0,INDEX(Tablo_E!$B$2:$CX$102,MATCH(ROUND(Uzman_E!E$7,1),Tablo_E!$A$2:$A$102,1),MATCH(ROUND(Q22,1),Tablo_E!$B$1:$CX$1,1)))</f>
        <v>0</v>
      </c>
      <c r="S22" s="53">
        <f t="shared" si="0"/>
        <v>0</v>
      </c>
      <c r="T22" s="49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x14ac:dyDescent="0.45">
      <c r="A23" s="54">
        <v>20</v>
      </c>
      <c r="B23" s="144" t="str">
        <f>Hakemler!B23</f>
        <v>ÖNER AĞAN</v>
      </c>
      <c r="C23" s="145" t="str">
        <f>Hakemler!C23</f>
        <v>DERYA</v>
      </c>
      <c r="D23" s="55"/>
      <c r="E23" s="60">
        <f>IF(ISBLANK(D23),0,ABS(Uzman_E!A$7-D23))</f>
        <v>0</v>
      </c>
      <c r="F23" s="52">
        <f>IF(ISBLANK(D23),0,INDEX(Tablo_E!$B$2:$CX$102,MATCH(ROUND(Uzman_E!A$7,1),Tablo_E!$A$2:$A$102,1),MATCH(ROUND(E23,1),Tablo_E!$B$1:$CX$1,1)))</f>
        <v>0</v>
      </c>
      <c r="G23" s="55"/>
      <c r="H23" s="60">
        <f>IF(ISBLANK(G23),0,ABS(Uzman_E!B$7-G23))</f>
        <v>0</v>
      </c>
      <c r="I23" s="52">
        <f>IF(ISBLANK(G23),0,INDEX(Tablo_E!$B$2:$CX$102,MATCH(ROUND(Uzman_E!B$7,1),Tablo_E!$A$2:$A$102,1),MATCH(ROUND(H23,1),Tablo_E!$B$1:$CX$1,1)))</f>
        <v>0</v>
      </c>
      <c r="J23" s="55"/>
      <c r="K23" s="60">
        <f>IF(ISBLANK(J23),0,ABS(Uzman_E!C$7-J23))</f>
        <v>0</v>
      </c>
      <c r="L23" s="52">
        <f>IF(ISBLANK(J23),0,INDEX(Tablo_E!$B$2:$CX$102,MATCH(ROUND(Uzman_E!C$7,1),Tablo_E!$A$2:$A$102,1),MATCH(ROUND(K23,1),Tablo_E!$B$1:$CX$1,1)))</f>
        <v>0</v>
      </c>
      <c r="M23" s="55"/>
      <c r="N23" s="60">
        <f>IF(ISBLANK(M23),0,ABS(Uzman_E!D$7-M23))</f>
        <v>0</v>
      </c>
      <c r="O23" s="52">
        <f>IF(ISBLANK(M23),0,INDEX(Tablo_E!$B$2:$CX$102,MATCH(ROUND(Uzman_E!D$7,1),Tablo_E!$A$2:$A$102,1),MATCH(ROUND(N23,1),Tablo_E!$B$1:$CX$1,1)))</f>
        <v>0</v>
      </c>
      <c r="P23" s="55"/>
      <c r="Q23" s="60">
        <f>IF(ISBLANK(P23),0,ABS(Uzman_E!E$7-P23))</f>
        <v>0</v>
      </c>
      <c r="R23" s="52">
        <f>IF(ISBLANK(P23),0,INDEX(Tablo_E!$B$2:$CX$102,MATCH(ROUND(Uzman_E!E$7,1),Tablo_E!$A$2:$A$102,1),MATCH(ROUND(Q23,1),Tablo_E!$B$1:$CX$1,1)))</f>
        <v>0</v>
      </c>
      <c r="S23" s="53">
        <f t="shared" si="0"/>
        <v>0</v>
      </c>
      <c r="T23" s="49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x14ac:dyDescent="0.45">
      <c r="A24" s="54">
        <v>21</v>
      </c>
      <c r="B24" s="156" t="str">
        <f>Hakemler!B24</f>
        <v>ABACI</v>
      </c>
      <c r="C24" s="157" t="str">
        <f>Hakemler!C24</f>
        <v>BUSE</v>
      </c>
      <c r="D24" s="55">
        <v>4.7</v>
      </c>
      <c r="E24" s="60">
        <f>IF(ISBLANK(D24),0,ABS(Uzman_E!A$7-D24))</f>
        <v>0.29999999999999982</v>
      </c>
      <c r="F24" s="52">
        <f>IF(ISBLANK(D24),0,INDEX(Tablo_E!$B$2:$CX$102,MATCH(ROUND(Uzman_E!A$7,1),Tablo_E!$A$2:$A$102,1),MATCH(ROUND(E24,1),Tablo_E!$B$1:$CX$1,1)))</f>
        <v>1</v>
      </c>
      <c r="G24" s="55">
        <v>3.3</v>
      </c>
      <c r="H24" s="60">
        <f>IF(ISBLANK(G24),0,ABS(Uzman_E!B$7-G24))</f>
        <v>1.4999999999999998</v>
      </c>
      <c r="I24" s="52">
        <f>IF(ISBLANK(G24),0,INDEX(Tablo_E!$B$2:$CX$102,MATCH(ROUND(Uzman_E!B$7,1),Tablo_E!$A$2:$A$102,1),MATCH(ROUND(H24,1),Tablo_E!$B$1:$CX$1,1)))</f>
        <v>0</v>
      </c>
      <c r="J24" s="55">
        <v>2.5</v>
      </c>
      <c r="K24" s="60">
        <f>IF(ISBLANK(J24),0,ABS(Uzman_E!C$7-J24))</f>
        <v>0.10000000000000009</v>
      </c>
      <c r="L24" s="52">
        <f>IF(ISBLANK(J24),0,INDEX(Tablo_E!$B$2:$CX$102,MATCH(ROUND(Uzman_E!C$7,1),Tablo_E!$A$2:$A$102,1),MATCH(ROUND(K24,1),Tablo_E!$B$1:$CX$1,1)))</f>
        <v>1</v>
      </c>
      <c r="M24" s="55">
        <v>1.9</v>
      </c>
      <c r="N24" s="60">
        <f>IF(ISBLANK(M24),0,ABS(Uzman_E!D$7-M24))</f>
        <v>0.29999999999999982</v>
      </c>
      <c r="O24" s="52">
        <f>IF(ISBLANK(M24),0,INDEX(Tablo_E!$B$2:$CX$102,MATCH(ROUND(Uzman_E!D$7,1),Tablo_E!$A$2:$A$102,1),MATCH(ROUND(N24,1),Tablo_E!$B$1:$CX$1,1)))</f>
        <v>1</v>
      </c>
      <c r="P24" s="55">
        <v>3.1</v>
      </c>
      <c r="Q24" s="60">
        <f>IF(ISBLANK(P24),0,ABS(Uzman_E!E$7-P24))</f>
        <v>0.10000000000000009</v>
      </c>
      <c r="R24" s="52">
        <f>IF(ISBLANK(P24),0,INDEX(Tablo_E!$B$2:$CX$102,MATCH(ROUND(Uzman_E!E$7,1),Tablo_E!$A$2:$A$102,1),MATCH(ROUND(Q24,1),Tablo_E!$B$1:$CX$1,1)))</f>
        <v>1</v>
      </c>
      <c r="S24" s="53">
        <f t="shared" si="0"/>
        <v>0.8</v>
      </c>
      <c r="T24" s="49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x14ac:dyDescent="0.45">
      <c r="A25" s="54">
        <v>22</v>
      </c>
      <c r="B25" s="156" t="str">
        <f>Hakemler!B25</f>
        <v>KARAKAŞ</v>
      </c>
      <c r="C25" s="157" t="str">
        <f>Hakemler!C25</f>
        <v>TAHİR</v>
      </c>
      <c r="D25" s="55">
        <v>3.4</v>
      </c>
      <c r="E25" s="60">
        <f>IF(ISBLANK(D25),0,ABS(Uzman_E!A$7-D25))</f>
        <v>1.0000000000000004</v>
      </c>
      <c r="F25" s="52">
        <f>IF(ISBLANK(D25),0,INDEX(Tablo_E!$B$2:$CX$102,MATCH(ROUND(Uzman_E!A$7,1),Tablo_E!$A$2:$A$102,1),MATCH(ROUND(E25,1),Tablo_E!$B$1:$CX$1,1)))</f>
        <v>0.5</v>
      </c>
      <c r="G25" s="55">
        <v>1.7</v>
      </c>
      <c r="H25" s="60">
        <f>IF(ISBLANK(G25),0,ABS(Uzman_E!B$7-G25))</f>
        <v>0.10000000000000009</v>
      </c>
      <c r="I25" s="52">
        <f>IF(ISBLANK(G25),0,INDEX(Tablo_E!$B$2:$CX$102,MATCH(ROUND(Uzman_E!B$7,1),Tablo_E!$A$2:$A$102,1),MATCH(ROUND(H25,1),Tablo_E!$B$1:$CX$1,1)))</f>
        <v>1</v>
      </c>
      <c r="J25" s="55">
        <v>1.9</v>
      </c>
      <c r="K25" s="60">
        <f>IF(ISBLANK(J25),0,ABS(Uzman_E!C$7-J25))</f>
        <v>0.70000000000000018</v>
      </c>
      <c r="L25" s="52">
        <f>IF(ISBLANK(J25),0,INDEX(Tablo_E!$B$2:$CX$102,MATCH(ROUND(Uzman_E!C$7,1),Tablo_E!$A$2:$A$102,1),MATCH(ROUND(K25,1),Tablo_E!$B$1:$CX$1,1)))</f>
        <v>0.8</v>
      </c>
      <c r="M25" s="55">
        <v>1.7</v>
      </c>
      <c r="N25" s="60">
        <f>IF(ISBLANK(M25),0,ABS(Uzman_E!D$7-M25))</f>
        <v>9.9999999999999867E-2</v>
      </c>
      <c r="O25" s="52">
        <f>IF(ISBLANK(M25),0,INDEX(Tablo_E!$B$2:$CX$102,MATCH(ROUND(Uzman_E!D$7,1),Tablo_E!$A$2:$A$102,1),MATCH(ROUND(N25,1),Tablo_E!$B$1:$CX$1,1)))</f>
        <v>1</v>
      </c>
      <c r="P25" s="55">
        <v>2.8</v>
      </c>
      <c r="Q25" s="60">
        <f>IF(ISBLANK(P25),0,ABS(Uzman_E!E$7-P25))</f>
        <v>0.40000000000000036</v>
      </c>
      <c r="R25" s="52">
        <f>IF(ISBLANK(P25),0,INDEX(Tablo_E!$B$2:$CX$102,MATCH(ROUND(Uzman_E!E$7,1),Tablo_E!$A$2:$A$102,1),MATCH(ROUND(Q25,1),Tablo_E!$B$1:$CX$1,1)))</f>
        <v>1</v>
      </c>
      <c r="S25" s="53">
        <f t="shared" si="0"/>
        <v>0.86</v>
      </c>
      <c r="T25" s="49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x14ac:dyDescent="0.45">
      <c r="A26" s="54">
        <v>23</v>
      </c>
      <c r="B26" s="156" t="str">
        <f>Hakemler!B26</f>
        <v>SAVAŞ OK</v>
      </c>
      <c r="C26" s="157" t="str">
        <f>Hakemler!C26</f>
        <v>DİLAY</v>
      </c>
      <c r="D26" s="55">
        <v>3</v>
      </c>
      <c r="E26" s="60">
        <f>IF(ISBLANK(D26),0,ABS(Uzman_E!A$7-D26))</f>
        <v>1.4000000000000004</v>
      </c>
      <c r="F26" s="52">
        <f>IF(ISBLANK(D26),0,INDEX(Tablo_E!$B$2:$CX$102,MATCH(ROUND(Uzman_E!A$7,1),Tablo_E!$A$2:$A$102,1),MATCH(ROUND(E26,1),Tablo_E!$B$1:$CX$1,1)))</f>
        <v>0.1</v>
      </c>
      <c r="G26" s="55">
        <v>2.5</v>
      </c>
      <c r="H26" s="60">
        <f>IF(ISBLANK(G26),0,ABS(Uzman_E!B$7-G26))</f>
        <v>0.7</v>
      </c>
      <c r="I26" s="52">
        <f>IF(ISBLANK(G26),0,INDEX(Tablo_E!$B$2:$CX$102,MATCH(ROUND(Uzman_E!B$7,1),Tablo_E!$A$2:$A$102,1),MATCH(ROUND(H26,1),Tablo_E!$B$1:$CX$1,1)))</f>
        <v>0.6</v>
      </c>
      <c r="J26" s="55">
        <v>2.4</v>
      </c>
      <c r="K26" s="60">
        <f>IF(ISBLANK(J26),0,ABS(Uzman_E!C$7-J26))</f>
        <v>0.20000000000000018</v>
      </c>
      <c r="L26" s="52">
        <f>IF(ISBLANK(J26),0,INDEX(Tablo_E!$B$2:$CX$102,MATCH(ROUND(Uzman_E!C$7,1),Tablo_E!$A$2:$A$102,1),MATCH(ROUND(K26,1),Tablo_E!$B$1:$CX$1,1)))</f>
        <v>1</v>
      </c>
      <c r="M26" s="55">
        <v>1.2</v>
      </c>
      <c r="N26" s="60">
        <f>IF(ISBLANK(M26),0,ABS(Uzman_E!D$7-M26))</f>
        <v>0.40000000000000013</v>
      </c>
      <c r="O26" s="52">
        <f>IF(ISBLANK(M26),0,INDEX(Tablo_E!$B$2:$CX$102,MATCH(ROUND(Uzman_E!D$7,1),Tablo_E!$A$2:$A$102,1),MATCH(ROUND(N26,1),Tablo_E!$B$1:$CX$1,1)))</f>
        <v>0.9</v>
      </c>
      <c r="P26" s="55">
        <v>3</v>
      </c>
      <c r="Q26" s="60">
        <f>IF(ISBLANK(P26),0,ABS(Uzman_E!E$7-P26))</f>
        <v>0.20000000000000018</v>
      </c>
      <c r="R26" s="52">
        <f>IF(ISBLANK(P26),0,INDEX(Tablo_E!$B$2:$CX$102,MATCH(ROUND(Uzman_E!E$7,1),Tablo_E!$A$2:$A$102,1),MATCH(ROUND(Q26,1),Tablo_E!$B$1:$CX$1,1)))</f>
        <v>1</v>
      </c>
      <c r="S26" s="53">
        <f t="shared" si="0"/>
        <v>0.72</v>
      </c>
      <c r="T26" s="49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x14ac:dyDescent="0.45">
      <c r="A27" s="54">
        <v>24</v>
      </c>
      <c r="B27" s="156" t="str">
        <f>Hakemler!B27</f>
        <v>AYDEMİR</v>
      </c>
      <c r="C27" s="157" t="str">
        <f>Hakemler!C27</f>
        <v>AYŞE DİLARA</v>
      </c>
      <c r="D27" s="55">
        <v>3.6</v>
      </c>
      <c r="E27" s="60">
        <f>IF(ISBLANK(D27),0,ABS(Uzman_E!A$7-D27))</f>
        <v>0.80000000000000027</v>
      </c>
      <c r="F27" s="52">
        <f>IF(ISBLANK(D27),0,INDEX(Tablo_E!$B$2:$CX$102,MATCH(ROUND(Uzman_E!A$7,1),Tablo_E!$A$2:$A$102,1),MATCH(ROUND(E27,1),Tablo_E!$B$1:$CX$1,1)))</f>
        <v>0.7</v>
      </c>
      <c r="G27" s="55">
        <v>2.7</v>
      </c>
      <c r="H27" s="60">
        <f>IF(ISBLANK(G27),0,ABS(Uzman_E!B$7-G27))</f>
        <v>0.90000000000000013</v>
      </c>
      <c r="I27" s="52">
        <f>IF(ISBLANK(G27),0,INDEX(Tablo_E!$B$2:$CX$102,MATCH(ROUND(Uzman_E!B$7,1),Tablo_E!$A$2:$A$102,1),MATCH(ROUND(H27,1),Tablo_E!$B$1:$CX$1,1)))</f>
        <v>0.4</v>
      </c>
      <c r="J27" s="55">
        <v>2.6</v>
      </c>
      <c r="K27" s="60">
        <f>IF(ISBLANK(J27),0,ABS(Uzman_E!C$7-J27))</f>
        <v>0</v>
      </c>
      <c r="L27" s="52">
        <f>IF(ISBLANK(J27),0,INDEX(Tablo_E!$B$2:$CX$102,MATCH(ROUND(Uzman_E!C$7,1),Tablo_E!$A$2:$A$102,1),MATCH(ROUND(K27,1),Tablo_E!$B$1:$CX$1,1)))</f>
        <v>1</v>
      </c>
      <c r="M27" s="55">
        <v>1.5</v>
      </c>
      <c r="N27" s="60">
        <f>IF(ISBLANK(M27),0,ABS(Uzman_E!D$7-M27))</f>
        <v>0.10000000000000009</v>
      </c>
      <c r="O27" s="52">
        <f>IF(ISBLANK(M27),0,INDEX(Tablo_E!$B$2:$CX$102,MATCH(ROUND(Uzman_E!D$7,1),Tablo_E!$A$2:$A$102,1),MATCH(ROUND(N27,1),Tablo_E!$B$1:$CX$1,1)))</f>
        <v>1</v>
      </c>
      <c r="P27" s="55">
        <v>3.5</v>
      </c>
      <c r="Q27" s="60">
        <f>IF(ISBLANK(P27),0,ABS(Uzman_E!E$7-P27))</f>
        <v>0.29999999999999982</v>
      </c>
      <c r="R27" s="52">
        <f>IF(ISBLANK(P27),0,INDEX(Tablo_E!$B$2:$CX$102,MATCH(ROUND(Uzman_E!E$7,1),Tablo_E!$A$2:$A$102,1),MATCH(ROUND(Q27,1),Tablo_E!$B$1:$CX$1,1)))</f>
        <v>1</v>
      </c>
      <c r="S27" s="53">
        <f t="shared" si="0"/>
        <v>0.82</v>
      </c>
      <c r="T27" s="49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x14ac:dyDescent="0.45">
      <c r="A28" s="54">
        <v>25</v>
      </c>
      <c r="B28" s="156" t="str">
        <f>Hakemler!B28</f>
        <v>AKIN</v>
      </c>
      <c r="C28" s="157" t="str">
        <f>Hakemler!C28</f>
        <v>MANOLYA</v>
      </c>
      <c r="D28" s="55">
        <v>3.8</v>
      </c>
      <c r="E28" s="60">
        <f>IF(ISBLANK(D28),0,ABS(Uzman_E!A$7-D28))</f>
        <v>0.60000000000000053</v>
      </c>
      <c r="F28" s="52">
        <f>IF(ISBLANK(D28),0,INDEX(Tablo_E!$B$2:$CX$102,MATCH(ROUND(Uzman_E!A$7,1),Tablo_E!$A$2:$A$102,1),MATCH(ROUND(E28,1),Tablo_E!$B$1:$CX$1,1)))</f>
        <v>0.85</v>
      </c>
      <c r="G28" s="55">
        <v>1.5</v>
      </c>
      <c r="H28" s="60">
        <f>IF(ISBLANK(G28),0,ABS(Uzman_E!B$7-G28))</f>
        <v>0.30000000000000004</v>
      </c>
      <c r="I28" s="52">
        <f>IF(ISBLANK(G28),0,INDEX(Tablo_E!$B$2:$CX$102,MATCH(ROUND(Uzman_E!B$7,1),Tablo_E!$A$2:$A$102,1),MATCH(ROUND(H28,1),Tablo_E!$B$1:$CX$1,1)))</f>
        <v>1</v>
      </c>
      <c r="J28" s="55">
        <v>1.6</v>
      </c>
      <c r="K28" s="60">
        <f>IF(ISBLANK(J28),0,ABS(Uzman_E!C$7-J28))</f>
        <v>1</v>
      </c>
      <c r="L28" s="52">
        <f>IF(ISBLANK(J28),0,INDEX(Tablo_E!$B$2:$CX$102,MATCH(ROUND(Uzman_E!C$7,1),Tablo_E!$A$2:$A$102,1),MATCH(ROUND(K28,1),Tablo_E!$B$1:$CX$1,1)))</f>
        <v>0.5</v>
      </c>
      <c r="M28" s="55">
        <v>1</v>
      </c>
      <c r="N28" s="60">
        <f>IF(ISBLANK(M28),0,ABS(Uzman_E!D$7-M28))</f>
        <v>0.60000000000000009</v>
      </c>
      <c r="O28" s="52">
        <f>IF(ISBLANK(M28),0,INDEX(Tablo_E!$B$2:$CX$102,MATCH(ROUND(Uzman_E!D$7,1),Tablo_E!$A$2:$A$102,1),MATCH(ROUND(N28,1),Tablo_E!$B$1:$CX$1,1)))</f>
        <v>0.7</v>
      </c>
      <c r="P28" s="55">
        <v>2.2000000000000002</v>
      </c>
      <c r="Q28" s="60">
        <f>IF(ISBLANK(P28),0,ABS(Uzman_E!E$7-P28))</f>
        <v>1</v>
      </c>
      <c r="R28" s="52">
        <f>IF(ISBLANK(P28),0,INDEX(Tablo_E!$B$2:$CX$102,MATCH(ROUND(Uzman_E!E$7,1),Tablo_E!$A$2:$A$102,1),MATCH(ROUND(Q28,1),Tablo_E!$B$1:$CX$1,1)))</f>
        <v>0.5</v>
      </c>
      <c r="S28" s="53">
        <f t="shared" si="0"/>
        <v>0.71</v>
      </c>
      <c r="T28" s="49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x14ac:dyDescent="0.45">
      <c r="A29" s="54">
        <v>26</v>
      </c>
      <c r="B29" s="156" t="str">
        <f>Hakemler!B29</f>
        <v>PINAR</v>
      </c>
      <c r="C29" s="157" t="str">
        <f>Hakemler!C29</f>
        <v>YELİZ</v>
      </c>
      <c r="D29" s="55">
        <v>3.3</v>
      </c>
      <c r="E29" s="60">
        <f>IF(ISBLANK(D29),0,ABS(Uzman_E!A$7-D29))</f>
        <v>1.1000000000000005</v>
      </c>
      <c r="F29" s="52">
        <f>IF(ISBLANK(D29),0,INDEX(Tablo_E!$B$2:$CX$102,MATCH(ROUND(Uzman_E!A$7,1),Tablo_E!$A$2:$A$102,1),MATCH(ROUND(E29,1),Tablo_E!$B$1:$CX$1,1)))</f>
        <v>0.4</v>
      </c>
      <c r="G29" s="55">
        <v>1.6</v>
      </c>
      <c r="H29" s="60">
        <f>IF(ISBLANK(G29),0,ABS(Uzman_E!B$7-G29))</f>
        <v>0.19999999999999996</v>
      </c>
      <c r="I29" s="52">
        <f>IF(ISBLANK(G29),0,INDEX(Tablo_E!$B$2:$CX$102,MATCH(ROUND(Uzman_E!B$7,1),Tablo_E!$A$2:$A$102,1),MATCH(ROUND(H29,1),Tablo_E!$B$1:$CX$1,1)))</f>
        <v>1</v>
      </c>
      <c r="J29" s="55">
        <v>2.9</v>
      </c>
      <c r="K29" s="60">
        <f>IF(ISBLANK(J29),0,ABS(Uzman_E!C$7-J29))</f>
        <v>0.29999999999999982</v>
      </c>
      <c r="L29" s="52">
        <f>IF(ISBLANK(J29),0,INDEX(Tablo_E!$B$2:$CX$102,MATCH(ROUND(Uzman_E!C$7,1),Tablo_E!$A$2:$A$102,1),MATCH(ROUND(K29,1),Tablo_E!$B$1:$CX$1,1)))</f>
        <v>1</v>
      </c>
      <c r="M29" s="55">
        <v>1.8</v>
      </c>
      <c r="N29" s="60">
        <f>IF(ISBLANK(M29),0,ABS(Uzman_E!D$7-M29))</f>
        <v>0.19999999999999996</v>
      </c>
      <c r="O29" s="52">
        <f>IF(ISBLANK(M29),0,INDEX(Tablo_E!$B$2:$CX$102,MATCH(ROUND(Uzman_E!D$7,1),Tablo_E!$A$2:$A$102,1),MATCH(ROUND(N29,1),Tablo_E!$B$1:$CX$1,1)))</f>
        <v>1</v>
      </c>
      <c r="P29" s="55">
        <v>2.7</v>
      </c>
      <c r="Q29" s="60">
        <f>IF(ISBLANK(P29),0,ABS(Uzman_E!E$7-P29))</f>
        <v>0.5</v>
      </c>
      <c r="R29" s="52">
        <f>IF(ISBLANK(P29),0,INDEX(Tablo_E!$B$2:$CX$102,MATCH(ROUND(Uzman_E!E$7,1),Tablo_E!$A$2:$A$102,1),MATCH(ROUND(Q29,1),Tablo_E!$B$1:$CX$1,1)))</f>
        <v>0.95</v>
      </c>
      <c r="S29" s="53">
        <f t="shared" si="0"/>
        <v>0.86999999999999988</v>
      </c>
      <c r="T29" s="49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x14ac:dyDescent="0.45">
      <c r="A30" s="54">
        <v>27</v>
      </c>
      <c r="B30" s="156" t="str">
        <f>Hakemler!B30</f>
        <v>KATRANCI</v>
      </c>
      <c r="C30" s="157" t="str">
        <f>Hakemler!C30</f>
        <v>AYŞEN</v>
      </c>
      <c r="D30" s="55">
        <v>2.9</v>
      </c>
      <c r="E30" s="60">
        <f>IF(ISBLANK(D30),0,ABS(Uzman_E!A$7-D30))</f>
        <v>1.5000000000000004</v>
      </c>
      <c r="F30" s="52">
        <f>IF(ISBLANK(D30),0,INDEX(Tablo_E!$B$2:$CX$102,MATCH(ROUND(Uzman_E!A$7,1),Tablo_E!$A$2:$A$102,1),MATCH(ROUND(E30,1),Tablo_E!$B$1:$CX$1,1)))</f>
        <v>0</v>
      </c>
      <c r="G30" s="55">
        <v>1.3</v>
      </c>
      <c r="H30" s="60">
        <f>IF(ISBLANK(G30),0,ABS(Uzman_E!B$7-G30))</f>
        <v>0.5</v>
      </c>
      <c r="I30" s="52">
        <f>IF(ISBLANK(G30),0,INDEX(Tablo_E!$B$2:$CX$102,MATCH(ROUND(Uzman_E!B$7,1),Tablo_E!$A$2:$A$102,1),MATCH(ROUND(H30,1),Tablo_E!$B$1:$CX$1,1)))</f>
        <v>0.8</v>
      </c>
      <c r="J30" s="55">
        <v>1.5</v>
      </c>
      <c r="K30" s="60">
        <f>IF(ISBLANK(J30),0,ABS(Uzman_E!C$7-J30))</f>
        <v>1.1000000000000001</v>
      </c>
      <c r="L30" s="52">
        <f>IF(ISBLANK(J30),0,INDEX(Tablo_E!$B$2:$CX$102,MATCH(ROUND(Uzman_E!C$7,1),Tablo_E!$A$2:$A$102,1),MATCH(ROUND(K30,1),Tablo_E!$B$1:$CX$1,1)))</f>
        <v>0.4</v>
      </c>
      <c r="M30" s="55">
        <v>1.3</v>
      </c>
      <c r="N30" s="60">
        <f>IF(ISBLANK(M30),0,ABS(Uzman_E!D$7-M30))</f>
        <v>0.30000000000000004</v>
      </c>
      <c r="O30" s="52">
        <f>IF(ISBLANK(M30),0,INDEX(Tablo_E!$B$2:$CX$102,MATCH(ROUND(Uzman_E!D$7,1),Tablo_E!$A$2:$A$102,1),MATCH(ROUND(N30,1),Tablo_E!$B$1:$CX$1,1)))</f>
        <v>1</v>
      </c>
      <c r="P30" s="55">
        <v>1.5</v>
      </c>
      <c r="Q30" s="60">
        <f>IF(ISBLANK(P30),0,ABS(Uzman_E!E$7-P30))</f>
        <v>1.7000000000000002</v>
      </c>
      <c r="R30" s="52">
        <f>IF(ISBLANK(P30),0,INDEX(Tablo_E!$B$2:$CX$102,MATCH(ROUND(Uzman_E!E$7,1),Tablo_E!$A$2:$A$102,1),MATCH(ROUND(Q30,1),Tablo_E!$B$1:$CX$1,1)))</f>
        <v>0</v>
      </c>
      <c r="S30" s="53">
        <f t="shared" si="0"/>
        <v>0.44000000000000006</v>
      </c>
      <c r="T30" s="49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x14ac:dyDescent="0.45">
      <c r="A31" s="54">
        <v>28</v>
      </c>
      <c r="B31" s="156" t="str">
        <f>Hakemler!B31</f>
        <v>GÜRKAN KİRAZ</v>
      </c>
      <c r="C31" s="157" t="str">
        <f>Hakemler!C31</f>
        <v>FULYA</v>
      </c>
      <c r="D31" s="55">
        <v>3.9</v>
      </c>
      <c r="E31" s="60">
        <f>IF(ISBLANK(D31),0,ABS(Uzman_E!A$7-D31))</f>
        <v>0.50000000000000044</v>
      </c>
      <c r="F31" s="52">
        <f>IF(ISBLANK(D31),0,INDEX(Tablo_E!$B$2:$CX$102,MATCH(ROUND(Uzman_E!A$7,1),Tablo_E!$A$2:$A$102,1),MATCH(ROUND(E31,1),Tablo_E!$B$1:$CX$1,1)))</f>
        <v>0.95</v>
      </c>
      <c r="G31" s="55">
        <v>2.2000000000000002</v>
      </c>
      <c r="H31" s="60">
        <f>IF(ISBLANK(G31),0,ABS(Uzman_E!B$7-G31))</f>
        <v>0.40000000000000013</v>
      </c>
      <c r="I31" s="52">
        <f>IF(ISBLANK(G31),0,INDEX(Tablo_E!$B$2:$CX$102,MATCH(ROUND(Uzman_E!B$7,1),Tablo_E!$A$2:$A$102,1),MATCH(ROUND(H31,1),Tablo_E!$B$1:$CX$1,1)))</f>
        <v>0.9</v>
      </c>
      <c r="J31" s="55">
        <v>3</v>
      </c>
      <c r="K31" s="60">
        <f>IF(ISBLANK(J31),0,ABS(Uzman_E!C$7-J31))</f>
        <v>0.39999999999999991</v>
      </c>
      <c r="L31" s="52">
        <f>IF(ISBLANK(J31),0,INDEX(Tablo_E!$B$2:$CX$102,MATCH(ROUND(Uzman_E!C$7,1),Tablo_E!$A$2:$A$102,1),MATCH(ROUND(K31,1),Tablo_E!$B$1:$CX$1,1)))</f>
        <v>1</v>
      </c>
      <c r="M31" s="55">
        <v>2.7</v>
      </c>
      <c r="N31" s="60">
        <f>IF(ISBLANK(M31),0,ABS(Uzman_E!D$7-M31))</f>
        <v>1.1000000000000001</v>
      </c>
      <c r="O31" s="52">
        <f>IF(ISBLANK(M31),0,INDEX(Tablo_E!$B$2:$CX$102,MATCH(ROUND(Uzman_E!D$7,1),Tablo_E!$A$2:$A$102,1),MATCH(ROUND(N31,1),Tablo_E!$B$1:$CX$1,1)))</f>
        <v>0.2</v>
      </c>
      <c r="P31" s="55">
        <v>3</v>
      </c>
      <c r="Q31" s="60">
        <f>IF(ISBLANK(P31),0,ABS(Uzman_E!E$7-P31))</f>
        <v>0.20000000000000018</v>
      </c>
      <c r="R31" s="52">
        <f>IF(ISBLANK(P31),0,INDEX(Tablo_E!$B$2:$CX$102,MATCH(ROUND(Uzman_E!E$7,1),Tablo_E!$A$2:$A$102,1),MATCH(ROUND(Q31,1),Tablo_E!$B$1:$CX$1,1)))</f>
        <v>1</v>
      </c>
      <c r="S31" s="53">
        <f t="shared" si="0"/>
        <v>0.81000000000000016</v>
      </c>
      <c r="T31" s="49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x14ac:dyDescent="0.45">
      <c r="A32" s="54">
        <v>29</v>
      </c>
      <c r="B32" s="156" t="str">
        <f>Hakemler!B32</f>
        <v>KILIÇ</v>
      </c>
      <c r="C32" s="157" t="str">
        <f>Hakemler!C32</f>
        <v>AYŞE</v>
      </c>
      <c r="D32" s="55">
        <v>3.5</v>
      </c>
      <c r="E32" s="60">
        <f>IF(ISBLANK(D32),0,ABS(Uzman_E!A$7-D32))</f>
        <v>0.90000000000000036</v>
      </c>
      <c r="F32" s="52">
        <f>IF(ISBLANK(D32),0,INDEX(Tablo_E!$B$2:$CX$102,MATCH(ROUND(Uzman_E!A$7,1),Tablo_E!$A$2:$A$102,1),MATCH(ROUND(E32,1),Tablo_E!$B$1:$CX$1,1)))</f>
        <v>0.6</v>
      </c>
      <c r="G32" s="55">
        <v>2</v>
      </c>
      <c r="H32" s="60">
        <f>IF(ISBLANK(G32),0,ABS(Uzman_E!B$7-G32))</f>
        <v>0.19999999999999996</v>
      </c>
      <c r="I32" s="52">
        <f>IF(ISBLANK(G32),0,INDEX(Tablo_E!$B$2:$CX$102,MATCH(ROUND(Uzman_E!B$7,1),Tablo_E!$A$2:$A$102,1),MATCH(ROUND(H32,1),Tablo_E!$B$1:$CX$1,1)))</f>
        <v>1</v>
      </c>
      <c r="J32" s="55">
        <v>1.9</v>
      </c>
      <c r="K32" s="60">
        <f>IF(ISBLANK(J32),0,ABS(Uzman_E!C$7-J32))</f>
        <v>0.70000000000000018</v>
      </c>
      <c r="L32" s="52">
        <f>IF(ISBLANK(J32),0,INDEX(Tablo_E!$B$2:$CX$102,MATCH(ROUND(Uzman_E!C$7,1),Tablo_E!$A$2:$A$102,1),MATCH(ROUND(K32,1),Tablo_E!$B$1:$CX$1,1)))</f>
        <v>0.8</v>
      </c>
      <c r="M32" s="55">
        <v>1.8</v>
      </c>
      <c r="N32" s="60">
        <f>IF(ISBLANK(M32),0,ABS(Uzman_E!D$7-M32))</f>
        <v>0.19999999999999996</v>
      </c>
      <c r="O32" s="52">
        <f>IF(ISBLANK(M32),0,INDEX(Tablo_E!$B$2:$CX$102,MATCH(ROUND(Uzman_E!D$7,1),Tablo_E!$A$2:$A$102,1),MATCH(ROUND(N32,1),Tablo_E!$B$1:$CX$1,1)))</f>
        <v>1</v>
      </c>
      <c r="P32" s="55">
        <v>2.6</v>
      </c>
      <c r="Q32" s="60">
        <f>IF(ISBLANK(P32),0,ABS(Uzman_E!E$7-P32))</f>
        <v>0.60000000000000009</v>
      </c>
      <c r="R32" s="52">
        <f>IF(ISBLANK(P32),0,INDEX(Tablo_E!$B$2:$CX$102,MATCH(ROUND(Uzman_E!E$7,1),Tablo_E!$A$2:$A$102,1),MATCH(ROUND(Q32,1),Tablo_E!$B$1:$CX$1,1)))</f>
        <v>0.85</v>
      </c>
      <c r="S32" s="53">
        <f t="shared" si="0"/>
        <v>0.85</v>
      </c>
      <c r="T32" s="49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x14ac:dyDescent="0.45">
      <c r="A33" s="54">
        <v>30</v>
      </c>
      <c r="B33" s="156" t="str">
        <f>Hakemler!B33</f>
        <v>ÖZGENLİK TATAR</v>
      </c>
      <c r="C33" s="157" t="str">
        <f>Hakemler!C33</f>
        <v>ARZU</v>
      </c>
      <c r="D33" s="55">
        <v>2.8</v>
      </c>
      <c r="E33" s="60">
        <f>IF(ISBLANK(D33),0,ABS(Uzman_E!A$7-D33))</f>
        <v>1.6000000000000005</v>
      </c>
      <c r="F33" s="52">
        <f>IF(ISBLANK(D33),0,INDEX(Tablo_E!$B$2:$CX$102,MATCH(ROUND(Uzman_E!A$7,1),Tablo_E!$A$2:$A$102,1),MATCH(ROUND(E33,1),Tablo_E!$B$1:$CX$1,1)))</f>
        <v>0</v>
      </c>
      <c r="G33" s="55">
        <v>1.9</v>
      </c>
      <c r="H33" s="60">
        <f>IF(ISBLANK(G33),0,ABS(Uzman_E!B$7-G33))</f>
        <v>9.9999999999999867E-2</v>
      </c>
      <c r="I33" s="52">
        <f>IF(ISBLANK(G33),0,INDEX(Tablo_E!$B$2:$CX$102,MATCH(ROUND(Uzman_E!B$7,1),Tablo_E!$A$2:$A$102,1),MATCH(ROUND(H33,1),Tablo_E!$B$1:$CX$1,1)))</f>
        <v>1</v>
      </c>
      <c r="J33" s="55">
        <v>2</v>
      </c>
      <c r="K33" s="60">
        <f>IF(ISBLANK(J33),0,ABS(Uzman_E!C$7-J33))</f>
        <v>0.60000000000000009</v>
      </c>
      <c r="L33" s="52">
        <f>IF(ISBLANK(J33),0,INDEX(Tablo_E!$B$2:$CX$102,MATCH(ROUND(Uzman_E!C$7,1),Tablo_E!$A$2:$A$102,1),MATCH(ROUND(K33,1),Tablo_E!$B$1:$CX$1,1)))</f>
        <v>0.85</v>
      </c>
      <c r="M33" s="55">
        <v>1.5</v>
      </c>
      <c r="N33" s="60">
        <f>IF(ISBLANK(M33),0,ABS(Uzman_E!D$7-M33))</f>
        <v>0.10000000000000009</v>
      </c>
      <c r="O33" s="52">
        <f>IF(ISBLANK(M33),0,INDEX(Tablo_E!$B$2:$CX$102,MATCH(ROUND(Uzman_E!D$7,1),Tablo_E!$A$2:$A$102,1),MATCH(ROUND(N33,1),Tablo_E!$B$1:$CX$1,1)))</f>
        <v>1</v>
      </c>
      <c r="P33" s="55">
        <v>2.6</v>
      </c>
      <c r="Q33" s="60">
        <f>IF(ISBLANK(P33),0,ABS(Uzman_E!E$7-P33))</f>
        <v>0.60000000000000009</v>
      </c>
      <c r="R33" s="52">
        <f>IF(ISBLANK(P33),0,INDEX(Tablo_E!$B$2:$CX$102,MATCH(ROUND(Uzman_E!E$7,1),Tablo_E!$A$2:$A$102,1),MATCH(ROUND(Q33,1),Tablo_E!$B$1:$CX$1,1)))</f>
        <v>0.85</v>
      </c>
      <c r="S33" s="53">
        <f t="shared" si="0"/>
        <v>0.74</v>
      </c>
      <c r="T33" s="49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x14ac:dyDescent="0.45">
      <c r="A34" s="54">
        <v>31</v>
      </c>
      <c r="B34" s="156" t="str">
        <f>Hakemler!B34</f>
        <v>KARADENİZ</v>
      </c>
      <c r="C34" s="157" t="str">
        <f>Hakemler!C34</f>
        <v>EMEL</v>
      </c>
      <c r="D34" s="55">
        <v>4.4000000000000004</v>
      </c>
      <c r="E34" s="60">
        <f>IF(ISBLANK(D34),0,ABS(Uzman_E!A$7-D34))</f>
        <v>0</v>
      </c>
      <c r="F34" s="52">
        <f>IF(ISBLANK(D34),0,INDEX(Tablo_E!$B$2:$CX$102,MATCH(ROUND(Uzman_E!A$7,1),Tablo_E!$A$2:$A$102,1),MATCH(ROUND(E34,1),Tablo_E!$B$1:$CX$1,1)))</f>
        <v>1</v>
      </c>
      <c r="G34" s="55">
        <v>1.5</v>
      </c>
      <c r="H34" s="60">
        <f>IF(ISBLANK(G34),0,ABS(Uzman_E!B$7-G34))</f>
        <v>0.30000000000000004</v>
      </c>
      <c r="I34" s="52">
        <f>IF(ISBLANK(G34),0,INDEX(Tablo_E!$B$2:$CX$102,MATCH(ROUND(Uzman_E!B$7,1),Tablo_E!$A$2:$A$102,1),MATCH(ROUND(H34,1),Tablo_E!$B$1:$CX$1,1)))</f>
        <v>1</v>
      </c>
      <c r="J34" s="55">
        <v>1.6</v>
      </c>
      <c r="K34" s="60">
        <f>IF(ISBLANK(J34),0,ABS(Uzman_E!C$7-J34))</f>
        <v>1</v>
      </c>
      <c r="L34" s="52">
        <f>IF(ISBLANK(J34),0,INDEX(Tablo_E!$B$2:$CX$102,MATCH(ROUND(Uzman_E!C$7,1),Tablo_E!$A$2:$A$102,1),MATCH(ROUND(K34,1),Tablo_E!$B$1:$CX$1,1)))</f>
        <v>0.5</v>
      </c>
      <c r="M34" s="55">
        <v>1.1000000000000001</v>
      </c>
      <c r="N34" s="60">
        <f>IF(ISBLANK(M34),0,ABS(Uzman_E!D$7-M34))</f>
        <v>0.5</v>
      </c>
      <c r="O34" s="52">
        <f>IF(ISBLANK(M34),0,INDEX(Tablo_E!$B$2:$CX$102,MATCH(ROUND(Uzman_E!D$7,1),Tablo_E!$A$2:$A$102,1),MATCH(ROUND(N34,1),Tablo_E!$B$1:$CX$1,1)))</f>
        <v>0.8</v>
      </c>
      <c r="P34" s="55">
        <v>2.6</v>
      </c>
      <c r="Q34" s="60">
        <f>IF(ISBLANK(P34),0,ABS(Uzman_E!E$7-P34))</f>
        <v>0.60000000000000009</v>
      </c>
      <c r="R34" s="52">
        <f>IF(ISBLANK(P34),0,INDEX(Tablo_E!$B$2:$CX$102,MATCH(ROUND(Uzman_E!E$7,1),Tablo_E!$A$2:$A$102,1),MATCH(ROUND(Q34,1),Tablo_E!$B$1:$CX$1,1)))</f>
        <v>0.85</v>
      </c>
      <c r="S34" s="53">
        <f t="shared" si="0"/>
        <v>0.82999999999999985</v>
      </c>
      <c r="T34" s="49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x14ac:dyDescent="0.45">
      <c r="A35" s="54">
        <v>32</v>
      </c>
      <c r="B35" s="156" t="str">
        <f>Hakemler!B35</f>
        <v>TOYRAN</v>
      </c>
      <c r="C35" s="157" t="str">
        <f>Hakemler!C35</f>
        <v>SİNEM NUR</v>
      </c>
      <c r="D35" s="55">
        <v>3.1</v>
      </c>
      <c r="E35" s="60">
        <f>IF(ISBLANK(D35),0,ABS(Uzman_E!A$7-D35))</f>
        <v>1.3000000000000003</v>
      </c>
      <c r="F35" s="52">
        <f>IF(ISBLANK(D35),0,INDEX(Tablo_E!$B$2:$CX$102,MATCH(ROUND(Uzman_E!A$7,1),Tablo_E!$A$2:$A$102,1),MATCH(ROUND(E35,1),Tablo_E!$B$1:$CX$1,1)))</f>
        <v>0.2</v>
      </c>
      <c r="G35" s="55">
        <v>2</v>
      </c>
      <c r="H35" s="60">
        <f>IF(ISBLANK(G35),0,ABS(Uzman_E!B$7-G35))</f>
        <v>0.19999999999999996</v>
      </c>
      <c r="I35" s="52">
        <f>IF(ISBLANK(G35),0,INDEX(Tablo_E!$B$2:$CX$102,MATCH(ROUND(Uzman_E!B$7,1),Tablo_E!$A$2:$A$102,1),MATCH(ROUND(H35,1),Tablo_E!$B$1:$CX$1,1)))</f>
        <v>1</v>
      </c>
      <c r="J35" s="55">
        <v>2</v>
      </c>
      <c r="K35" s="60">
        <f>IF(ISBLANK(J35),0,ABS(Uzman_E!C$7-J35))</f>
        <v>0.60000000000000009</v>
      </c>
      <c r="L35" s="52">
        <f>IF(ISBLANK(J35),0,INDEX(Tablo_E!$B$2:$CX$102,MATCH(ROUND(Uzman_E!C$7,1),Tablo_E!$A$2:$A$102,1),MATCH(ROUND(K35,1),Tablo_E!$B$1:$CX$1,1)))</f>
        <v>0.85</v>
      </c>
      <c r="M35" s="55">
        <v>1.6</v>
      </c>
      <c r="N35" s="60">
        <f>IF(ISBLANK(M35),0,ABS(Uzman_E!D$7-M35))</f>
        <v>0</v>
      </c>
      <c r="O35" s="52">
        <f>IF(ISBLANK(M35),0,INDEX(Tablo_E!$B$2:$CX$102,MATCH(ROUND(Uzman_E!D$7,1),Tablo_E!$A$2:$A$102,1),MATCH(ROUND(N35,1),Tablo_E!$B$1:$CX$1,1)))</f>
        <v>1</v>
      </c>
      <c r="P35" s="55">
        <v>2.8</v>
      </c>
      <c r="Q35" s="60">
        <f>IF(ISBLANK(P35),0,ABS(Uzman_E!E$7-P35))</f>
        <v>0.40000000000000036</v>
      </c>
      <c r="R35" s="52">
        <f>IF(ISBLANK(P35),0,INDEX(Tablo_E!$B$2:$CX$102,MATCH(ROUND(Uzman_E!E$7,1),Tablo_E!$A$2:$A$102,1),MATCH(ROUND(Q35,1),Tablo_E!$B$1:$CX$1,1)))</f>
        <v>1</v>
      </c>
      <c r="S35" s="53">
        <f t="shared" si="0"/>
        <v>0.80999999999999994</v>
      </c>
      <c r="T35" s="49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x14ac:dyDescent="0.45">
      <c r="A36" s="54">
        <v>33</v>
      </c>
      <c r="B36" s="156" t="str">
        <f>Hakemler!B36</f>
        <v>SEVERBAŞ</v>
      </c>
      <c r="C36" s="157" t="str">
        <f>Hakemler!C36</f>
        <v>PINAR</v>
      </c>
      <c r="D36" s="55">
        <v>3.6</v>
      </c>
      <c r="E36" s="60">
        <f>IF(ISBLANK(D36),0,ABS(Uzman_E!A$7-D36))</f>
        <v>0.80000000000000027</v>
      </c>
      <c r="F36" s="52">
        <f>IF(ISBLANK(D36),0,INDEX(Tablo_E!$B$2:$CX$102,MATCH(ROUND(Uzman_E!A$7,1),Tablo_E!$A$2:$A$102,1),MATCH(ROUND(E36,1),Tablo_E!$B$1:$CX$1,1)))</f>
        <v>0.7</v>
      </c>
      <c r="G36" s="55">
        <v>1.6</v>
      </c>
      <c r="H36" s="60">
        <f>IF(ISBLANK(G36),0,ABS(Uzman_E!B$7-G36))</f>
        <v>0.19999999999999996</v>
      </c>
      <c r="I36" s="52">
        <f>IF(ISBLANK(G36),0,INDEX(Tablo_E!$B$2:$CX$102,MATCH(ROUND(Uzman_E!B$7,1),Tablo_E!$A$2:$A$102,1),MATCH(ROUND(H36,1),Tablo_E!$B$1:$CX$1,1)))</f>
        <v>1</v>
      </c>
      <c r="J36" s="55">
        <v>1.4</v>
      </c>
      <c r="K36" s="60">
        <f>IF(ISBLANK(J36),0,ABS(Uzman_E!C$7-J36))</f>
        <v>1.2000000000000002</v>
      </c>
      <c r="L36" s="52">
        <f>IF(ISBLANK(J36),0,INDEX(Tablo_E!$B$2:$CX$102,MATCH(ROUND(Uzman_E!C$7,1),Tablo_E!$A$2:$A$102,1),MATCH(ROUND(K36,1),Tablo_E!$B$1:$CX$1,1)))</f>
        <v>0.3</v>
      </c>
      <c r="M36" s="55">
        <v>1.2</v>
      </c>
      <c r="N36" s="60">
        <f>IF(ISBLANK(M36),0,ABS(Uzman_E!D$7-M36))</f>
        <v>0.40000000000000013</v>
      </c>
      <c r="O36" s="52">
        <f>IF(ISBLANK(M36),0,INDEX(Tablo_E!$B$2:$CX$102,MATCH(ROUND(Uzman_E!D$7,1),Tablo_E!$A$2:$A$102,1),MATCH(ROUND(N36,1),Tablo_E!$B$1:$CX$1,1)))</f>
        <v>0.9</v>
      </c>
      <c r="P36" s="55">
        <v>3.1</v>
      </c>
      <c r="Q36" s="60">
        <f>IF(ISBLANK(P36),0,ABS(Uzman_E!E$7-P36))</f>
        <v>0.10000000000000009</v>
      </c>
      <c r="R36" s="52">
        <f>IF(ISBLANK(P36),0,INDEX(Tablo_E!$B$2:$CX$102,MATCH(ROUND(Uzman_E!E$7,1),Tablo_E!$A$2:$A$102,1),MATCH(ROUND(Q36,1),Tablo_E!$B$1:$CX$1,1)))</f>
        <v>1</v>
      </c>
      <c r="S36" s="53">
        <f t="shared" ref="S36:S67" si="1">(F36+I36+L36+O36+R36)/5</f>
        <v>0.78</v>
      </c>
      <c r="T36" s="49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x14ac:dyDescent="0.45">
      <c r="A37" s="54">
        <v>34</v>
      </c>
      <c r="B37" s="156" t="str">
        <f>Hakemler!B37</f>
        <v>KASAP TOPAL</v>
      </c>
      <c r="C37" s="157" t="str">
        <f>Hakemler!C37</f>
        <v>AYTEN</v>
      </c>
      <c r="D37" s="55">
        <v>4</v>
      </c>
      <c r="E37" s="60">
        <f>IF(ISBLANK(D37),0,ABS(Uzman_E!A$7-D37))</f>
        <v>0.40000000000000036</v>
      </c>
      <c r="F37" s="52">
        <f>IF(ISBLANK(D37),0,INDEX(Tablo_E!$B$2:$CX$102,MATCH(ROUND(Uzman_E!A$7,1),Tablo_E!$A$2:$A$102,1),MATCH(ROUND(E37,1),Tablo_E!$B$1:$CX$1,1)))</f>
        <v>1</v>
      </c>
      <c r="G37" s="55">
        <v>2.1</v>
      </c>
      <c r="H37" s="60">
        <f>IF(ISBLANK(G37),0,ABS(Uzman_E!B$7-G37))</f>
        <v>0.30000000000000004</v>
      </c>
      <c r="I37" s="52">
        <f>IF(ISBLANK(G37),0,INDEX(Tablo_E!$B$2:$CX$102,MATCH(ROUND(Uzman_E!B$7,1),Tablo_E!$A$2:$A$102,1),MATCH(ROUND(H37,1),Tablo_E!$B$1:$CX$1,1)))</f>
        <v>1</v>
      </c>
      <c r="J37" s="55">
        <v>2.2999999999999998</v>
      </c>
      <c r="K37" s="60">
        <f>IF(ISBLANK(J37),0,ABS(Uzman_E!C$7-J37))</f>
        <v>0.30000000000000027</v>
      </c>
      <c r="L37" s="52">
        <f>IF(ISBLANK(J37),0,INDEX(Tablo_E!$B$2:$CX$102,MATCH(ROUND(Uzman_E!C$7,1),Tablo_E!$A$2:$A$102,1),MATCH(ROUND(K37,1),Tablo_E!$B$1:$CX$1,1)))</f>
        <v>1</v>
      </c>
      <c r="M37" s="55">
        <v>2</v>
      </c>
      <c r="N37" s="60">
        <f>IF(ISBLANK(M37),0,ABS(Uzman_E!D$7-M37))</f>
        <v>0.39999999999999991</v>
      </c>
      <c r="O37" s="52">
        <f>IF(ISBLANK(M37),0,INDEX(Tablo_E!$B$2:$CX$102,MATCH(ROUND(Uzman_E!D$7,1),Tablo_E!$A$2:$A$102,1),MATCH(ROUND(N37,1),Tablo_E!$B$1:$CX$1,1)))</f>
        <v>0.9</v>
      </c>
      <c r="P37" s="55">
        <v>2.4</v>
      </c>
      <c r="Q37" s="60">
        <f>IF(ISBLANK(P37),0,ABS(Uzman_E!E$7-P37))</f>
        <v>0.80000000000000027</v>
      </c>
      <c r="R37" s="52">
        <f>IF(ISBLANK(P37),0,INDEX(Tablo_E!$B$2:$CX$102,MATCH(ROUND(Uzman_E!E$7,1),Tablo_E!$A$2:$A$102,1),MATCH(ROUND(Q37,1),Tablo_E!$B$1:$CX$1,1)))</f>
        <v>0.7</v>
      </c>
      <c r="S37" s="53">
        <f t="shared" si="1"/>
        <v>0.91999999999999993</v>
      </c>
      <c r="T37" s="49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x14ac:dyDescent="0.45">
      <c r="A38" s="54">
        <v>35</v>
      </c>
      <c r="B38" s="156" t="str">
        <f>Hakemler!B38</f>
        <v>DİCLE</v>
      </c>
      <c r="C38" s="157" t="str">
        <f>Hakemler!C38</f>
        <v>SENA HAZEL</v>
      </c>
      <c r="D38" s="55">
        <v>2.8</v>
      </c>
      <c r="E38" s="60">
        <f>IF(ISBLANK(D38),0,ABS(Uzman_E!A$7-D38))</f>
        <v>1.6000000000000005</v>
      </c>
      <c r="F38" s="52">
        <f>IF(ISBLANK(D38),0,INDEX(Tablo_E!$B$2:$CX$102,MATCH(ROUND(Uzman_E!A$7,1),Tablo_E!$A$2:$A$102,1),MATCH(ROUND(E38,1),Tablo_E!$B$1:$CX$1,1)))</f>
        <v>0</v>
      </c>
      <c r="G38" s="55">
        <v>1.3</v>
      </c>
      <c r="H38" s="60">
        <f>IF(ISBLANK(G38),0,ABS(Uzman_E!B$7-G38))</f>
        <v>0.5</v>
      </c>
      <c r="I38" s="52">
        <f>IF(ISBLANK(G38),0,INDEX(Tablo_E!$B$2:$CX$102,MATCH(ROUND(Uzman_E!B$7,1),Tablo_E!$A$2:$A$102,1),MATCH(ROUND(H38,1),Tablo_E!$B$1:$CX$1,1)))</f>
        <v>0.8</v>
      </c>
      <c r="J38" s="55">
        <v>1.8</v>
      </c>
      <c r="K38" s="60">
        <f>IF(ISBLANK(J38),0,ABS(Uzman_E!C$7-J38))</f>
        <v>0.8</v>
      </c>
      <c r="L38" s="52">
        <f>IF(ISBLANK(J38),0,INDEX(Tablo_E!$B$2:$CX$102,MATCH(ROUND(Uzman_E!C$7,1),Tablo_E!$A$2:$A$102,1),MATCH(ROUND(K38,1),Tablo_E!$B$1:$CX$1,1)))</f>
        <v>0.7</v>
      </c>
      <c r="M38" s="55">
        <v>1.5</v>
      </c>
      <c r="N38" s="60">
        <f>IF(ISBLANK(M38),0,ABS(Uzman_E!D$7-M38))</f>
        <v>0.10000000000000009</v>
      </c>
      <c r="O38" s="52">
        <f>IF(ISBLANK(M38),0,INDEX(Tablo_E!$B$2:$CX$102,MATCH(ROUND(Uzman_E!D$7,1),Tablo_E!$A$2:$A$102,1),MATCH(ROUND(N38,1),Tablo_E!$B$1:$CX$1,1)))</f>
        <v>1</v>
      </c>
      <c r="P38" s="55">
        <v>2.5</v>
      </c>
      <c r="Q38" s="60">
        <f>IF(ISBLANK(P38),0,ABS(Uzman_E!E$7-P38))</f>
        <v>0.70000000000000018</v>
      </c>
      <c r="R38" s="52">
        <f>IF(ISBLANK(P38),0,INDEX(Tablo_E!$B$2:$CX$102,MATCH(ROUND(Uzman_E!E$7,1),Tablo_E!$A$2:$A$102,1),MATCH(ROUND(Q38,1),Tablo_E!$B$1:$CX$1,1)))</f>
        <v>0.8</v>
      </c>
      <c r="S38" s="53">
        <f t="shared" si="1"/>
        <v>0.65999999999999992</v>
      </c>
      <c r="T38" s="49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x14ac:dyDescent="0.45">
      <c r="A39" s="54">
        <v>36</v>
      </c>
      <c r="B39" s="156" t="str">
        <f>Hakemler!B39</f>
        <v>KARAHAN</v>
      </c>
      <c r="C39" s="157" t="str">
        <f>Hakemler!C39</f>
        <v>NESRİN</v>
      </c>
      <c r="D39" s="55">
        <v>4.0999999999999996</v>
      </c>
      <c r="E39" s="62">
        <f>IF(ISBLANK(D39),0,ABS(Uzman_E!A$7-D39))</f>
        <v>0.30000000000000071</v>
      </c>
      <c r="F39" s="57">
        <f>IF(ISBLANK(D39),0,INDEX(Tablo_E!$B$2:$CX$102,MATCH(ROUND(Uzman_E!A$7,1),Tablo_E!$A$2:$A$102,1),MATCH(ROUND(E39,1),Tablo_E!$B$1:$CX$1,1)))</f>
        <v>1</v>
      </c>
      <c r="G39" s="55">
        <v>1.5</v>
      </c>
      <c r="H39" s="62">
        <f>IF(ISBLANK(G39),0,ABS(Uzman_E!B$7-G39))</f>
        <v>0.30000000000000004</v>
      </c>
      <c r="I39" s="57">
        <f>IF(ISBLANK(G39),0,INDEX(Tablo_E!$B$2:$CX$102,MATCH(ROUND(Uzman_E!B$7,1),Tablo_E!$A$2:$A$102,1),MATCH(ROUND(H39,1),Tablo_E!$B$1:$CX$1,1)))</f>
        <v>1</v>
      </c>
      <c r="J39" s="55">
        <v>2.4</v>
      </c>
      <c r="K39" s="62">
        <f>IF(ISBLANK(J39),0,ABS(Uzman_E!C$7-J39))</f>
        <v>0.20000000000000018</v>
      </c>
      <c r="L39" s="57">
        <f>IF(ISBLANK(J39),0,INDEX(Tablo_E!$B$2:$CX$102,MATCH(ROUND(Uzman_E!C$7,1),Tablo_E!$A$2:$A$102,1),MATCH(ROUND(K39,1),Tablo_E!$B$1:$CX$1,1)))</f>
        <v>1</v>
      </c>
      <c r="M39" s="55">
        <v>2.4</v>
      </c>
      <c r="N39" s="62">
        <f>IF(ISBLANK(M39),0,ABS(Uzman_E!D$7-M39))</f>
        <v>0.79999999999999982</v>
      </c>
      <c r="O39" s="57">
        <f>IF(ISBLANK(M39),0,INDEX(Tablo_E!$B$2:$CX$102,MATCH(ROUND(Uzman_E!D$7,1),Tablo_E!$A$2:$A$102,1),MATCH(ROUND(N39,1),Tablo_E!$B$1:$CX$1,1)))</f>
        <v>0.5</v>
      </c>
      <c r="P39" s="55">
        <v>2.2999999999999998</v>
      </c>
      <c r="Q39" s="62">
        <f>IF(ISBLANK(P39),0,ABS(Uzman_E!E$7-P39))</f>
        <v>0.90000000000000036</v>
      </c>
      <c r="R39" s="57">
        <f>IF(ISBLANK(P39),0,INDEX(Tablo_E!$B$2:$CX$102,MATCH(ROUND(Uzman_E!E$7,1),Tablo_E!$A$2:$A$102,1),MATCH(ROUND(Q39,1),Tablo_E!$B$1:$CX$1,1)))</f>
        <v>0.6</v>
      </c>
      <c r="S39" s="58">
        <f t="shared" si="1"/>
        <v>0.82</v>
      </c>
      <c r="T39" s="49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45">
      <c r="A40" s="54">
        <v>37</v>
      </c>
      <c r="B40" s="154" t="str">
        <f>Hakemler!B40</f>
        <v>ALTAY</v>
      </c>
      <c r="C40" s="155" t="str">
        <f>Hakemler!C40</f>
        <v>SERDİNÇ</v>
      </c>
      <c r="D40" s="55">
        <v>3.8</v>
      </c>
      <c r="E40" s="63">
        <f>IF(ISBLANK(D40),0,ABS(Uzman_E!A$7-D40))</f>
        <v>0.60000000000000053</v>
      </c>
      <c r="F40" s="64">
        <f>IF(ISBLANK(D40),0,INDEX(Tablo_E!$B$2:$CX$102,MATCH(ROUND(Uzman_E!A$7,1),Tablo_E!$A$2:$A$102,1),MATCH(ROUND(E40,1),Tablo_E!$B$1:$CX$1,1)))</f>
        <v>0.85</v>
      </c>
      <c r="G40" s="55">
        <v>1.5</v>
      </c>
      <c r="H40" s="63">
        <f>IF(ISBLANK(G40),0,ABS(Uzman_E!B$7-G40))</f>
        <v>0.30000000000000004</v>
      </c>
      <c r="I40" s="64">
        <f>IF(ISBLANK(G40),0,INDEX(Tablo_E!$B$2:$CX$102,MATCH(ROUND(Uzman_E!B$7,1),Tablo_E!$A$2:$A$102,1),MATCH(ROUND(H40,1),Tablo_E!$B$1:$CX$1,1)))</f>
        <v>1</v>
      </c>
      <c r="J40" s="55">
        <v>2.1</v>
      </c>
      <c r="K40" s="63">
        <f>IF(ISBLANK(J40),0,ABS(Uzman_E!C$7-J40))</f>
        <v>0.5</v>
      </c>
      <c r="L40" s="64">
        <f>IF(ISBLANK(J40),0,INDEX(Tablo_E!$B$2:$CX$102,MATCH(ROUND(Uzman_E!C$7,1),Tablo_E!$A$2:$A$102,1),MATCH(ROUND(K40,1),Tablo_E!$B$1:$CX$1,1)))</f>
        <v>0.95</v>
      </c>
      <c r="M40" s="55">
        <v>1.5</v>
      </c>
      <c r="N40" s="63">
        <f>IF(ISBLANK(M40),0,ABS(Uzman_E!D$7-M40))</f>
        <v>0.10000000000000009</v>
      </c>
      <c r="O40" s="64">
        <f>IF(ISBLANK(M40),0,INDEX(Tablo_E!$B$2:$CX$102,MATCH(ROUND(Uzman_E!D$7,1),Tablo_E!$A$2:$A$102,1),MATCH(ROUND(N40,1),Tablo_E!$B$1:$CX$1,1)))</f>
        <v>1</v>
      </c>
      <c r="P40" s="55">
        <v>2</v>
      </c>
      <c r="Q40" s="63">
        <f>IF(ISBLANK(P40),0,ABS(Uzman_E!E$7-P40))</f>
        <v>1.2000000000000002</v>
      </c>
      <c r="R40" s="64">
        <f>IF(ISBLANK(P40),0,INDEX(Tablo_E!$B$2:$CX$102,MATCH(ROUND(Uzman_E!E$7,1),Tablo_E!$A$2:$A$102,1),MATCH(ROUND(Q40,1),Tablo_E!$B$1:$CX$1,1)))</f>
        <v>0.3</v>
      </c>
      <c r="S40" s="77">
        <f t="shared" si="1"/>
        <v>0.82</v>
      </c>
      <c r="T40" s="49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x14ac:dyDescent="0.45">
      <c r="A41" s="54">
        <v>38</v>
      </c>
      <c r="B41" s="154" t="str">
        <f>Hakemler!B41</f>
        <v>TOPTAŞ</v>
      </c>
      <c r="C41" s="155" t="str">
        <f>Hakemler!C41</f>
        <v>BİRSEN</v>
      </c>
      <c r="D41" s="55">
        <v>4.2</v>
      </c>
      <c r="E41" s="63">
        <f>IF(ISBLANK(D41),0,ABS(Uzman_E!A$7-D41))</f>
        <v>0.20000000000000018</v>
      </c>
      <c r="F41" s="64">
        <f>IF(ISBLANK(D41),0,INDEX(Tablo_E!$B$2:$CX$102,MATCH(ROUND(Uzman_E!A$7,1),Tablo_E!$A$2:$A$102,1),MATCH(ROUND(E41,1),Tablo_E!$B$1:$CX$1,1)))</f>
        <v>1</v>
      </c>
      <c r="G41" s="55">
        <v>2.5</v>
      </c>
      <c r="H41" s="63">
        <f>IF(ISBLANK(G41),0,ABS(Uzman_E!B$7-G41))</f>
        <v>0.7</v>
      </c>
      <c r="I41" s="64">
        <f>IF(ISBLANK(G41),0,INDEX(Tablo_E!$B$2:$CX$102,MATCH(ROUND(Uzman_E!B$7,1),Tablo_E!$A$2:$A$102,1),MATCH(ROUND(H41,1),Tablo_E!$B$1:$CX$1,1)))</f>
        <v>0.6</v>
      </c>
      <c r="J41" s="55">
        <v>2.4</v>
      </c>
      <c r="K41" s="63">
        <f>IF(ISBLANK(J41),0,ABS(Uzman_E!C$7-J41))</f>
        <v>0.20000000000000018</v>
      </c>
      <c r="L41" s="64">
        <f>IF(ISBLANK(J41),0,INDEX(Tablo_E!$B$2:$CX$102,MATCH(ROUND(Uzman_E!C$7,1),Tablo_E!$A$2:$A$102,1),MATCH(ROUND(K41,1),Tablo_E!$B$1:$CX$1,1)))</f>
        <v>1</v>
      </c>
      <c r="M41" s="55">
        <v>4.0999999999999996</v>
      </c>
      <c r="N41" s="63">
        <f>IF(ISBLANK(M41),0,ABS(Uzman_E!D$7-M41))</f>
        <v>2.4999999999999996</v>
      </c>
      <c r="O41" s="64">
        <f>IF(ISBLANK(M41),0,INDEX(Tablo_E!$B$2:$CX$102,MATCH(ROUND(Uzman_E!D$7,1),Tablo_E!$A$2:$A$102,1),MATCH(ROUND(N41,1),Tablo_E!$B$1:$CX$1,1)))</f>
        <v>0</v>
      </c>
      <c r="P41" s="55">
        <v>3.8</v>
      </c>
      <c r="Q41" s="63">
        <f>IF(ISBLANK(P41),0,ABS(Uzman_E!E$7-P41))</f>
        <v>0.59999999999999964</v>
      </c>
      <c r="R41" s="64">
        <f>IF(ISBLANK(P41),0,INDEX(Tablo_E!$B$2:$CX$102,MATCH(ROUND(Uzman_E!E$7,1),Tablo_E!$A$2:$A$102,1),MATCH(ROUND(Q41,1),Tablo_E!$B$1:$CX$1,1)))</f>
        <v>0.85</v>
      </c>
      <c r="S41" s="77">
        <f t="shared" si="1"/>
        <v>0.69000000000000006</v>
      </c>
      <c r="T41" s="49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x14ac:dyDescent="0.45">
      <c r="A42" s="54">
        <v>39</v>
      </c>
      <c r="B42" s="154" t="str">
        <f>Hakemler!B42</f>
        <v>ODACIĞLU TURHAN</v>
      </c>
      <c r="C42" s="155" t="str">
        <f>Hakemler!C42</f>
        <v xml:space="preserve">AYŞEGÜL </v>
      </c>
      <c r="D42" s="55">
        <v>2.2999999999999998</v>
      </c>
      <c r="E42" s="63">
        <f>IF(ISBLANK(D42),0,ABS(Uzman_E!A$7-D42))</f>
        <v>2.1000000000000005</v>
      </c>
      <c r="F42" s="64">
        <f>IF(ISBLANK(D42),0,INDEX(Tablo_E!$B$2:$CX$102,MATCH(ROUND(Uzman_E!A$7,1),Tablo_E!$A$2:$A$102,1),MATCH(ROUND(E42,1),Tablo_E!$B$1:$CX$1,1)))</f>
        <v>0</v>
      </c>
      <c r="G42" s="55">
        <v>2.5</v>
      </c>
      <c r="H42" s="63">
        <f>IF(ISBLANK(G42),0,ABS(Uzman_E!B$7-G42))</f>
        <v>0.7</v>
      </c>
      <c r="I42" s="64">
        <f>IF(ISBLANK(G42),0,INDEX(Tablo_E!$B$2:$CX$102,MATCH(ROUND(Uzman_E!B$7,1),Tablo_E!$A$2:$A$102,1),MATCH(ROUND(H42,1),Tablo_E!$B$1:$CX$1,1)))</f>
        <v>0.6</v>
      </c>
      <c r="J42" s="55">
        <v>3.8</v>
      </c>
      <c r="K42" s="63">
        <f>IF(ISBLANK(J42),0,ABS(Uzman_E!C$7-J42))</f>
        <v>1.1999999999999997</v>
      </c>
      <c r="L42" s="64">
        <f>IF(ISBLANK(J42),0,INDEX(Tablo_E!$B$2:$CX$102,MATCH(ROUND(Uzman_E!C$7,1),Tablo_E!$A$2:$A$102,1),MATCH(ROUND(K42,1),Tablo_E!$B$1:$CX$1,1)))</f>
        <v>0.3</v>
      </c>
      <c r="M42" s="55">
        <v>3</v>
      </c>
      <c r="N42" s="63">
        <f>IF(ISBLANK(M42),0,ABS(Uzman_E!D$7-M42))</f>
        <v>1.4</v>
      </c>
      <c r="O42" s="64">
        <f>IF(ISBLANK(M42),0,INDEX(Tablo_E!$B$2:$CX$102,MATCH(ROUND(Uzman_E!D$7,1),Tablo_E!$A$2:$A$102,1),MATCH(ROUND(N42,1),Tablo_E!$B$1:$CX$1,1)))</f>
        <v>0</v>
      </c>
      <c r="P42" s="55">
        <v>2.6</v>
      </c>
      <c r="Q42" s="63">
        <f>IF(ISBLANK(P42),0,ABS(Uzman_E!E$7-P42))</f>
        <v>0.60000000000000009</v>
      </c>
      <c r="R42" s="64">
        <f>IF(ISBLANK(P42),0,INDEX(Tablo_E!$B$2:$CX$102,MATCH(ROUND(Uzman_E!E$7,1),Tablo_E!$A$2:$A$102,1),MATCH(ROUND(Q42,1),Tablo_E!$B$1:$CX$1,1)))</f>
        <v>0.85</v>
      </c>
      <c r="S42" s="77">
        <f t="shared" si="1"/>
        <v>0.35</v>
      </c>
      <c r="T42" s="49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x14ac:dyDescent="0.45">
      <c r="A43" s="54">
        <v>40</v>
      </c>
      <c r="B43" s="156" t="str">
        <f>Hakemler!B43</f>
        <v>CANATAN</v>
      </c>
      <c r="C43" s="157" t="str">
        <f>Hakemler!C43</f>
        <v>BÜŞRA</v>
      </c>
      <c r="D43" s="55">
        <v>3.9</v>
      </c>
      <c r="E43" s="63">
        <f>IF(ISBLANK(D43),0,ABS(Uzman_E!A$7-D43))</f>
        <v>0.50000000000000044</v>
      </c>
      <c r="F43" s="64">
        <f>IF(ISBLANK(D43),0,INDEX(Tablo_E!$B$2:$CX$102,MATCH(ROUND(Uzman_E!A$7,1),Tablo_E!$A$2:$A$102,1),MATCH(ROUND(E43,1),Tablo_E!$B$1:$CX$1,1)))</f>
        <v>0.95</v>
      </c>
      <c r="G43" s="55">
        <v>2.8</v>
      </c>
      <c r="H43" s="63">
        <f>IF(ISBLANK(G43),0,ABS(Uzman_E!B$7-G43))</f>
        <v>0.99999999999999978</v>
      </c>
      <c r="I43" s="64">
        <f>IF(ISBLANK(G43),0,INDEX(Tablo_E!$B$2:$CX$102,MATCH(ROUND(Uzman_E!B$7,1),Tablo_E!$A$2:$A$102,1),MATCH(ROUND(H43,1),Tablo_E!$B$1:$CX$1,1)))</f>
        <v>0.3</v>
      </c>
      <c r="J43" s="55">
        <v>3.1</v>
      </c>
      <c r="K43" s="63">
        <f>IF(ISBLANK(J43),0,ABS(Uzman_E!C$7-J43))</f>
        <v>0.5</v>
      </c>
      <c r="L43" s="64">
        <f>IF(ISBLANK(J43),0,INDEX(Tablo_E!$B$2:$CX$102,MATCH(ROUND(Uzman_E!C$7,1),Tablo_E!$A$2:$A$102,1),MATCH(ROUND(K43,1),Tablo_E!$B$1:$CX$1,1)))</f>
        <v>0.95</v>
      </c>
      <c r="M43" s="55">
        <v>2.2000000000000002</v>
      </c>
      <c r="N43" s="63">
        <f>IF(ISBLANK(M43),0,ABS(Uzman_E!D$7-M43))</f>
        <v>0.60000000000000009</v>
      </c>
      <c r="O43" s="64">
        <f>IF(ISBLANK(M43),0,INDEX(Tablo_E!$B$2:$CX$102,MATCH(ROUND(Uzman_E!D$7,1),Tablo_E!$A$2:$A$102,1),MATCH(ROUND(N43,1),Tablo_E!$B$1:$CX$1,1)))</f>
        <v>0.7</v>
      </c>
      <c r="P43" s="55">
        <v>3.8</v>
      </c>
      <c r="Q43" s="63">
        <f>IF(ISBLANK(P43),0,ABS(Uzman_E!E$7-P43))</f>
        <v>0.59999999999999964</v>
      </c>
      <c r="R43" s="64">
        <f>IF(ISBLANK(P43),0,INDEX(Tablo_E!$B$2:$CX$102,MATCH(ROUND(Uzman_E!E$7,1),Tablo_E!$A$2:$A$102,1),MATCH(ROUND(Q43,1),Tablo_E!$B$1:$CX$1,1)))</f>
        <v>0.85</v>
      </c>
      <c r="S43" s="77">
        <f t="shared" si="1"/>
        <v>0.75000000000000011</v>
      </c>
      <c r="T43" s="49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x14ac:dyDescent="0.45">
      <c r="A44" s="54">
        <v>41</v>
      </c>
      <c r="B44" s="154" t="str">
        <f>Hakemler!B44</f>
        <v>ELİK</v>
      </c>
      <c r="C44" s="155" t="str">
        <f>Hakemler!C44</f>
        <v>MUSTAFA</v>
      </c>
      <c r="D44" s="55">
        <v>3.6</v>
      </c>
      <c r="E44" s="63">
        <f>IF(ISBLANK(D44),0,ABS(Uzman_E!A$7-D44))</f>
        <v>0.80000000000000027</v>
      </c>
      <c r="F44" s="64">
        <f>IF(ISBLANK(D44),0,INDEX(Tablo_E!$B$2:$CX$102,MATCH(ROUND(Uzman_E!A$7,1),Tablo_E!$A$2:$A$102,1),MATCH(ROUND(E44,1),Tablo_E!$B$1:$CX$1,1)))</f>
        <v>0.7</v>
      </c>
      <c r="G44" s="55">
        <v>2.1</v>
      </c>
      <c r="H44" s="63">
        <f>IF(ISBLANK(G44),0,ABS(Uzman_E!B$7-G44))</f>
        <v>0.30000000000000004</v>
      </c>
      <c r="I44" s="64">
        <f>IF(ISBLANK(G44),0,INDEX(Tablo_E!$B$2:$CX$102,MATCH(ROUND(Uzman_E!B$7,1),Tablo_E!$A$2:$A$102,1),MATCH(ROUND(H44,1),Tablo_E!$B$1:$CX$1,1)))</f>
        <v>1</v>
      </c>
      <c r="J44" s="55">
        <v>2</v>
      </c>
      <c r="K44" s="63">
        <f>IF(ISBLANK(J44),0,ABS(Uzman_E!C$7-J44))</f>
        <v>0.60000000000000009</v>
      </c>
      <c r="L44" s="64">
        <f>IF(ISBLANK(J44),0,INDEX(Tablo_E!$B$2:$CX$102,MATCH(ROUND(Uzman_E!C$7,1),Tablo_E!$A$2:$A$102,1),MATCH(ROUND(K44,1),Tablo_E!$B$1:$CX$1,1)))</f>
        <v>0.85</v>
      </c>
      <c r="M44" s="55">
        <v>1.3</v>
      </c>
      <c r="N44" s="63">
        <f>IF(ISBLANK(M44),0,ABS(Uzman_E!D$7-M44))</f>
        <v>0.30000000000000004</v>
      </c>
      <c r="O44" s="64">
        <f>IF(ISBLANK(M44),0,INDEX(Tablo_E!$B$2:$CX$102,MATCH(ROUND(Uzman_E!D$7,1),Tablo_E!$A$2:$A$102,1),MATCH(ROUND(N44,1),Tablo_E!$B$1:$CX$1,1)))</f>
        <v>1</v>
      </c>
      <c r="P44" s="55">
        <v>2.5</v>
      </c>
      <c r="Q44" s="63">
        <f>IF(ISBLANK(P44),0,ABS(Uzman_E!E$7-P44))</f>
        <v>0.70000000000000018</v>
      </c>
      <c r="R44" s="64">
        <f>IF(ISBLANK(P44),0,INDEX(Tablo_E!$B$2:$CX$102,MATCH(ROUND(Uzman_E!E$7,1),Tablo_E!$A$2:$A$102,1),MATCH(ROUND(Q44,1),Tablo_E!$B$1:$CX$1,1)))</f>
        <v>0.8</v>
      </c>
      <c r="S44" s="77">
        <f t="shared" si="1"/>
        <v>0.86999999999999988</v>
      </c>
      <c r="T44" s="49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x14ac:dyDescent="0.45">
      <c r="A45" s="54">
        <v>42</v>
      </c>
      <c r="B45" s="156" t="str">
        <f>Hakemler!B45</f>
        <v>BAKAR</v>
      </c>
      <c r="C45" s="157" t="str">
        <f>Hakemler!C45</f>
        <v>İPEK</v>
      </c>
      <c r="D45" s="55">
        <v>4.3</v>
      </c>
      <c r="E45" s="63">
        <f>IF(ISBLANK(D45),0,ABS(Uzman_E!A$7-D45))</f>
        <v>0.10000000000000053</v>
      </c>
      <c r="F45" s="64">
        <f>IF(ISBLANK(D45),0,INDEX(Tablo_E!$B$2:$CX$102,MATCH(ROUND(Uzman_E!A$7,1),Tablo_E!$A$2:$A$102,1),MATCH(ROUND(E45,1),Tablo_E!$B$1:$CX$1,1)))</f>
        <v>1</v>
      </c>
      <c r="G45" s="55">
        <v>2.1</v>
      </c>
      <c r="H45" s="63">
        <f>IF(ISBLANK(G45),0,ABS(Uzman_E!B$7-G45))</f>
        <v>0.30000000000000004</v>
      </c>
      <c r="I45" s="64">
        <f>IF(ISBLANK(G45),0,INDEX(Tablo_E!$B$2:$CX$102,MATCH(ROUND(Uzman_E!B$7,1),Tablo_E!$A$2:$A$102,1),MATCH(ROUND(H45,1),Tablo_E!$B$1:$CX$1,1)))</f>
        <v>1</v>
      </c>
      <c r="J45" s="55">
        <v>3.2</v>
      </c>
      <c r="K45" s="63">
        <f>IF(ISBLANK(J45),0,ABS(Uzman_E!C$7-J45))</f>
        <v>0.60000000000000009</v>
      </c>
      <c r="L45" s="64">
        <f>IF(ISBLANK(J45),0,INDEX(Tablo_E!$B$2:$CX$102,MATCH(ROUND(Uzman_E!C$7,1),Tablo_E!$A$2:$A$102,1),MATCH(ROUND(K45,1),Tablo_E!$B$1:$CX$1,1)))</f>
        <v>0.85</v>
      </c>
      <c r="M45" s="55">
        <v>2.8</v>
      </c>
      <c r="N45" s="63">
        <f>IF(ISBLANK(M45),0,ABS(Uzman_E!D$7-M45))</f>
        <v>1.1999999999999997</v>
      </c>
      <c r="O45" s="64">
        <f>IF(ISBLANK(M45),0,INDEX(Tablo_E!$B$2:$CX$102,MATCH(ROUND(Uzman_E!D$7,1),Tablo_E!$A$2:$A$102,1),MATCH(ROUND(N45,1),Tablo_E!$B$1:$CX$1,1)))</f>
        <v>0.1</v>
      </c>
      <c r="P45" s="55">
        <v>3.1</v>
      </c>
      <c r="Q45" s="63">
        <f>IF(ISBLANK(P45),0,ABS(Uzman_E!E$7-P45))</f>
        <v>0.10000000000000009</v>
      </c>
      <c r="R45" s="64">
        <f>IF(ISBLANK(P45),0,INDEX(Tablo_E!$B$2:$CX$102,MATCH(ROUND(Uzman_E!E$7,1),Tablo_E!$A$2:$A$102,1),MATCH(ROUND(Q45,1),Tablo_E!$B$1:$CX$1,1)))</f>
        <v>1</v>
      </c>
      <c r="S45" s="77">
        <f t="shared" si="1"/>
        <v>0.79</v>
      </c>
      <c r="T45" s="49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x14ac:dyDescent="0.45">
      <c r="A46" s="54">
        <v>43</v>
      </c>
      <c r="B46" s="154" t="str">
        <f>Hakemler!B46</f>
        <v>UÇAK</v>
      </c>
      <c r="C46" s="155" t="str">
        <f>Hakemler!C46</f>
        <v>ECEM</v>
      </c>
      <c r="D46" s="55">
        <v>4.2</v>
      </c>
      <c r="E46" s="63">
        <f>IF(ISBLANK(D46),0,ABS(Uzman_E!A$7-D46))</f>
        <v>0.20000000000000018</v>
      </c>
      <c r="F46" s="64">
        <f>IF(ISBLANK(D46),0,INDEX(Tablo_E!$B$2:$CX$102,MATCH(ROUND(Uzman_E!A$7,1),Tablo_E!$A$2:$A$102,1),MATCH(ROUND(E46,1),Tablo_E!$B$1:$CX$1,1)))</f>
        <v>1</v>
      </c>
      <c r="G46" s="55">
        <v>1.9</v>
      </c>
      <c r="H46" s="63">
        <f>IF(ISBLANK(G46),0,ABS(Uzman_E!B$7-G46))</f>
        <v>9.9999999999999867E-2</v>
      </c>
      <c r="I46" s="64">
        <f>IF(ISBLANK(G46),0,INDEX(Tablo_E!$B$2:$CX$102,MATCH(ROUND(Uzman_E!B$7,1),Tablo_E!$A$2:$A$102,1),MATCH(ROUND(H46,1),Tablo_E!$B$1:$CX$1,1)))</f>
        <v>1</v>
      </c>
      <c r="J46" s="55">
        <v>1.1000000000000001</v>
      </c>
      <c r="K46" s="63">
        <f>IF(ISBLANK(J46),0,ABS(Uzman_E!C$7-J46))</f>
        <v>1.5</v>
      </c>
      <c r="L46" s="64">
        <f>IF(ISBLANK(J46),0,INDEX(Tablo_E!$B$2:$CX$102,MATCH(ROUND(Uzman_E!C$7,1),Tablo_E!$A$2:$A$102,1),MATCH(ROUND(K46,1),Tablo_E!$B$1:$CX$1,1)))</f>
        <v>0</v>
      </c>
      <c r="M46" s="55">
        <v>0.8</v>
      </c>
      <c r="N46" s="63">
        <f>IF(ISBLANK(M46),0,ABS(Uzman_E!D$7-M46))</f>
        <v>0.8</v>
      </c>
      <c r="O46" s="64">
        <f>IF(ISBLANK(M46),0,INDEX(Tablo_E!$B$2:$CX$102,MATCH(ROUND(Uzman_E!D$7,1),Tablo_E!$A$2:$A$102,1),MATCH(ROUND(N46,1),Tablo_E!$B$1:$CX$1,1)))</f>
        <v>0.5</v>
      </c>
      <c r="P46" s="55">
        <v>2.1</v>
      </c>
      <c r="Q46" s="63">
        <f>IF(ISBLANK(P46),0,ABS(Uzman_E!E$7-P46))</f>
        <v>1.1000000000000001</v>
      </c>
      <c r="R46" s="64">
        <f>IF(ISBLANK(P46),0,INDEX(Tablo_E!$B$2:$CX$102,MATCH(ROUND(Uzman_E!E$7,1),Tablo_E!$A$2:$A$102,1),MATCH(ROUND(Q46,1),Tablo_E!$B$1:$CX$1,1)))</f>
        <v>0.4</v>
      </c>
      <c r="S46" s="77">
        <f t="shared" si="1"/>
        <v>0.57999999999999996</v>
      </c>
      <c r="T46" s="49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x14ac:dyDescent="0.45">
      <c r="A47" s="54">
        <v>44</v>
      </c>
      <c r="B47" s="154" t="str">
        <f>Hakemler!B47</f>
        <v>EFENDİAĞA</v>
      </c>
      <c r="C47" s="155" t="str">
        <f>Hakemler!C47</f>
        <v>EMİNE AYÇA</v>
      </c>
      <c r="D47" s="55">
        <v>2.4</v>
      </c>
      <c r="E47" s="63">
        <f>IF(ISBLANK(D47),0,ABS(Uzman_E!A$7-D47))</f>
        <v>2.0000000000000004</v>
      </c>
      <c r="F47" s="64">
        <f>IF(ISBLANK(D47),0,INDEX(Tablo_E!$B$2:$CX$102,MATCH(ROUND(Uzman_E!A$7,1),Tablo_E!$A$2:$A$102,1),MATCH(ROUND(E47,1),Tablo_E!$B$1:$CX$1,1)))</f>
        <v>0</v>
      </c>
      <c r="G47" s="55">
        <v>1.8</v>
      </c>
      <c r="H47" s="63">
        <f>IF(ISBLANK(G47),0,ABS(Uzman_E!B$7-G47))</f>
        <v>0</v>
      </c>
      <c r="I47" s="64">
        <f>IF(ISBLANK(G47),0,INDEX(Tablo_E!$B$2:$CX$102,MATCH(ROUND(Uzman_E!B$7,1),Tablo_E!$A$2:$A$102,1),MATCH(ROUND(H47,1),Tablo_E!$B$1:$CX$1,1)))</f>
        <v>1</v>
      </c>
      <c r="J47" s="55">
        <v>1.6</v>
      </c>
      <c r="K47" s="63">
        <f>IF(ISBLANK(J47),0,ABS(Uzman_E!C$7-J47))</f>
        <v>1</v>
      </c>
      <c r="L47" s="64">
        <f>IF(ISBLANK(J47),0,INDEX(Tablo_E!$B$2:$CX$102,MATCH(ROUND(Uzman_E!C$7,1),Tablo_E!$A$2:$A$102,1),MATCH(ROUND(K47,1),Tablo_E!$B$1:$CX$1,1)))</f>
        <v>0.5</v>
      </c>
      <c r="M47" s="55">
        <v>1</v>
      </c>
      <c r="N47" s="63">
        <f>IF(ISBLANK(M47),0,ABS(Uzman_E!D$7-M47))</f>
        <v>0.60000000000000009</v>
      </c>
      <c r="O47" s="64">
        <f>IF(ISBLANK(M47),0,INDEX(Tablo_E!$B$2:$CX$102,MATCH(ROUND(Uzman_E!D$7,1),Tablo_E!$A$2:$A$102,1),MATCH(ROUND(N47,1),Tablo_E!$B$1:$CX$1,1)))</f>
        <v>0.7</v>
      </c>
      <c r="P47" s="55">
        <v>2.2999999999999998</v>
      </c>
      <c r="Q47" s="63">
        <f>IF(ISBLANK(P47),0,ABS(Uzman_E!E$7-P47))</f>
        <v>0.90000000000000036</v>
      </c>
      <c r="R47" s="64">
        <f>IF(ISBLANK(P47),0,INDEX(Tablo_E!$B$2:$CX$102,MATCH(ROUND(Uzman_E!E$7,1),Tablo_E!$A$2:$A$102,1),MATCH(ROUND(Q47,1),Tablo_E!$B$1:$CX$1,1)))</f>
        <v>0.6</v>
      </c>
      <c r="S47" s="77">
        <f t="shared" si="1"/>
        <v>0.56000000000000005</v>
      </c>
      <c r="T47" s="49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x14ac:dyDescent="0.45">
      <c r="A48" s="54">
        <v>45</v>
      </c>
      <c r="B48" s="156" t="str">
        <f>Hakemler!B48</f>
        <v>DAL</v>
      </c>
      <c r="C48" s="157" t="str">
        <f>Hakemler!C48</f>
        <v>SİNEM</v>
      </c>
      <c r="D48" s="55">
        <v>5.2</v>
      </c>
      <c r="E48" s="63">
        <f>IF(ISBLANK(D48),0,ABS(Uzman_E!A$7-D48))</f>
        <v>0.79999999999999982</v>
      </c>
      <c r="F48" s="64">
        <f>IF(ISBLANK(D48),0,INDEX(Tablo_E!$B$2:$CX$102,MATCH(ROUND(Uzman_E!A$7,1),Tablo_E!$A$2:$A$102,1),MATCH(ROUND(E48,1),Tablo_E!$B$1:$CX$1,1)))</f>
        <v>0.7</v>
      </c>
      <c r="G48" s="55">
        <v>2.1</v>
      </c>
      <c r="H48" s="63">
        <f>IF(ISBLANK(G48),0,ABS(Uzman_E!B$7-G48))</f>
        <v>0.30000000000000004</v>
      </c>
      <c r="I48" s="64">
        <f>IF(ISBLANK(G48),0,INDEX(Tablo_E!$B$2:$CX$102,MATCH(ROUND(Uzman_E!B$7,1),Tablo_E!$A$2:$A$102,1),MATCH(ROUND(H48,1),Tablo_E!$B$1:$CX$1,1)))</f>
        <v>1</v>
      </c>
      <c r="J48" s="55">
        <v>2.8</v>
      </c>
      <c r="K48" s="63">
        <f>IF(ISBLANK(J48),0,ABS(Uzman_E!C$7-J48))</f>
        <v>0.19999999999999973</v>
      </c>
      <c r="L48" s="64">
        <f>IF(ISBLANK(J48),0,INDEX(Tablo_E!$B$2:$CX$102,MATCH(ROUND(Uzman_E!C$7,1),Tablo_E!$A$2:$A$102,1),MATCH(ROUND(K48,1),Tablo_E!$B$1:$CX$1,1)))</f>
        <v>1</v>
      </c>
      <c r="M48" s="55">
        <v>1.6</v>
      </c>
      <c r="N48" s="63">
        <f>IF(ISBLANK(M48),0,ABS(Uzman_E!D$7-M48))</f>
        <v>0</v>
      </c>
      <c r="O48" s="64">
        <f>IF(ISBLANK(M48),0,INDEX(Tablo_E!$B$2:$CX$102,MATCH(ROUND(Uzman_E!D$7,1),Tablo_E!$A$2:$A$102,1),MATCH(ROUND(N48,1),Tablo_E!$B$1:$CX$1,1)))</f>
        <v>1</v>
      </c>
      <c r="P48" s="55">
        <v>2.5</v>
      </c>
      <c r="Q48" s="63">
        <f>IF(ISBLANK(P48),0,ABS(Uzman_E!E$7-P48))</f>
        <v>0.70000000000000018</v>
      </c>
      <c r="R48" s="64">
        <f>IF(ISBLANK(P48),0,INDEX(Tablo_E!$B$2:$CX$102,MATCH(ROUND(Uzman_E!E$7,1),Tablo_E!$A$2:$A$102,1),MATCH(ROUND(Q48,1),Tablo_E!$B$1:$CX$1,1)))</f>
        <v>0.8</v>
      </c>
      <c r="S48" s="77">
        <f t="shared" si="1"/>
        <v>0.9</v>
      </c>
      <c r="T48" s="49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x14ac:dyDescent="0.45">
      <c r="A49" s="54">
        <v>46</v>
      </c>
      <c r="B49" s="154" t="str">
        <f>Hakemler!B49</f>
        <v>EDE</v>
      </c>
      <c r="C49" s="155" t="str">
        <f>Hakemler!C49</f>
        <v>İHSAN</v>
      </c>
      <c r="D49" s="55">
        <v>3.4</v>
      </c>
      <c r="E49" s="63">
        <f>IF(ISBLANK(D49),0,ABS(Uzman_E!A$7-D49))</f>
        <v>1.0000000000000004</v>
      </c>
      <c r="F49" s="64">
        <f>IF(ISBLANK(D49),0,INDEX(Tablo_E!$B$2:$CX$102,MATCH(ROUND(Uzman_E!A$7,1),Tablo_E!$A$2:$A$102,1),MATCH(ROUND(E49,1),Tablo_E!$B$1:$CX$1,1)))</f>
        <v>0.5</v>
      </c>
      <c r="G49" s="55">
        <v>1.9</v>
      </c>
      <c r="H49" s="63">
        <f>IF(ISBLANK(G49),0,ABS(Uzman_E!B$7-G49))</f>
        <v>9.9999999999999867E-2</v>
      </c>
      <c r="I49" s="64">
        <f>IF(ISBLANK(G49),0,INDEX(Tablo_E!$B$2:$CX$102,MATCH(ROUND(Uzman_E!B$7,1),Tablo_E!$A$2:$A$102,1),MATCH(ROUND(H49,1),Tablo_E!$B$1:$CX$1,1)))</f>
        <v>1</v>
      </c>
      <c r="J49" s="55">
        <v>1.8</v>
      </c>
      <c r="K49" s="63">
        <f>IF(ISBLANK(J49),0,ABS(Uzman_E!C$7-J49))</f>
        <v>0.8</v>
      </c>
      <c r="L49" s="64">
        <f>IF(ISBLANK(J49),0,INDEX(Tablo_E!$B$2:$CX$102,MATCH(ROUND(Uzman_E!C$7,1),Tablo_E!$A$2:$A$102,1),MATCH(ROUND(K49,1),Tablo_E!$B$1:$CX$1,1)))</f>
        <v>0.7</v>
      </c>
      <c r="M49" s="55">
        <v>1.4</v>
      </c>
      <c r="N49" s="63">
        <f>IF(ISBLANK(M49),0,ABS(Uzman_E!D$7-M49))</f>
        <v>0.20000000000000018</v>
      </c>
      <c r="O49" s="64">
        <f>IF(ISBLANK(M49),0,INDEX(Tablo_E!$B$2:$CX$102,MATCH(ROUND(Uzman_E!D$7,1),Tablo_E!$A$2:$A$102,1),MATCH(ROUND(N49,1),Tablo_E!$B$1:$CX$1,1)))</f>
        <v>1</v>
      </c>
      <c r="P49" s="55">
        <v>1.9</v>
      </c>
      <c r="Q49" s="63">
        <f>IF(ISBLANK(P49),0,ABS(Uzman_E!E$7-P49))</f>
        <v>1.3000000000000003</v>
      </c>
      <c r="R49" s="64">
        <f>IF(ISBLANK(P49),0,INDEX(Tablo_E!$B$2:$CX$102,MATCH(ROUND(Uzman_E!E$7,1),Tablo_E!$A$2:$A$102,1),MATCH(ROUND(Q49,1),Tablo_E!$B$1:$CX$1,1)))</f>
        <v>0.2</v>
      </c>
      <c r="S49" s="77">
        <f t="shared" si="1"/>
        <v>0.68</v>
      </c>
      <c r="T49" s="49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x14ac:dyDescent="0.45">
      <c r="A50" s="54">
        <v>47</v>
      </c>
      <c r="B50" s="144">
        <f>Hakemler!B50</f>
        <v>0</v>
      </c>
      <c r="C50" s="145">
        <f>Hakemler!C50</f>
        <v>0</v>
      </c>
      <c r="D50" s="55"/>
      <c r="E50" s="63">
        <f>IF(ISBLANK(D50),0,ABS(Uzman_E!A$7-D50))</f>
        <v>0</v>
      </c>
      <c r="F50" s="64">
        <f>IF(ISBLANK(D50),0,INDEX(Tablo_E!$B$2:$CX$102,MATCH(ROUND(Uzman_E!A$7,1),Tablo_E!$A$2:$A$102,1),MATCH(ROUND(E50,1),Tablo_E!$B$1:$CX$1,1)))</f>
        <v>0</v>
      </c>
      <c r="G50" s="55"/>
      <c r="H50" s="63">
        <f>IF(ISBLANK(G50),0,ABS(Uzman_E!B$7-G50))</f>
        <v>0</v>
      </c>
      <c r="I50" s="64">
        <f>IF(ISBLANK(G50),0,INDEX(Tablo_E!$B$2:$CX$102,MATCH(ROUND(Uzman_E!B$7,1),Tablo_E!$A$2:$A$102,1),MATCH(ROUND(H50,1),Tablo_E!$B$1:$CX$1,1)))</f>
        <v>0</v>
      </c>
      <c r="J50" s="55"/>
      <c r="K50" s="63">
        <f>IF(ISBLANK(J50),0,ABS(Uzman_E!C$7-J50))</f>
        <v>0</v>
      </c>
      <c r="L50" s="64">
        <f>IF(ISBLANK(J50),0,INDEX(Tablo_E!$B$2:$CX$102,MATCH(ROUND(Uzman_E!C$7,1),Tablo_E!$A$2:$A$102,1),MATCH(ROUND(K50,1),Tablo_E!$B$1:$CX$1,1)))</f>
        <v>0</v>
      </c>
      <c r="M50" s="55"/>
      <c r="N50" s="63">
        <f>IF(ISBLANK(M50),0,ABS(Uzman_E!D$7-M50))</f>
        <v>0</v>
      </c>
      <c r="O50" s="64">
        <f>IF(ISBLANK(M50),0,INDEX(Tablo_E!$B$2:$CX$102,MATCH(ROUND(Uzman_E!D$7,1),Tablo_E!$A$2:$A$102,1),MATCH(ROUND(N50,1),Tablo_E!$B$1:$CX$1,1)))</f>
        <v>0</v>
      </c>
      <c r="P50" s="55"/>
      <c r="Q50" s="63">
        <f>IF(ISBLANK(P50),0,ABS(Uzman_E!E$7-P50))</f>
        <v>0</v>
      </c>
      <c r="R50" s="64">
        <f>IF(ISBLANK(P50),0,INDEX(Tablo_E!$B$2:$CX$102,MATCH(ROUND(Uzman_E!E$7,1),Tablo_E!$A$2:$A$102,1),MATCH(ROUND(Q50,1),Tablo_E!$B$1:$CX$1,1)))</f>
        <v>0</v>
      </c>
      <c r="S50" s="77">
        <f t="shared" si="1"/>
        <v>0</v>
      </c>
      <c r="T50" s="49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x14ac:dyDescent="0.45">
      <c r="A51" s="54">
        <v>48</v>
      </c>
      <c r="B51" s="146">
        <f>Hakemler!B51</f>
        <v>0</v>
      </c>
      <c r="C51" s="147">
        <f>Hakemler!C51</f>
        <v>0</v>
      </c>
      <c r="D51" s="55"/>
      <c r="E51" s="63">
        <f>IF(ISBLANK(D51),0,ABS(Uzman_E!A$7-D51))</f>
        <v>0</v>
      </c>
      <c r="F51" s="64">
        <f>IF(ISBLANK(D51),0,INDEX(Tablo_E!$B$2:$CX$102,MATCH(ROUND(Uzman_E!A$7,1),Tablo_E!$A$2:$A$102,1),MATCH(ROUND(E51,1),Tablo_E!$B$1:$CX$1,1)))</f>
        <v>0</v>
      </c>
      <c r="G51" s="55"/>
      <c r="H51" s="63">
        <f>IF(ISBLANK(G51),0,ABS(Uzman_E!B$7-G51))</f>
        <v>0</v>
      </c>
      <c r="I51" s="64">
        <f>IF(ISBLANK(G51),0,INDEX(Tablo_E!$B$2:$CX$102,MATCH(ROUND(Uzman_E!B$7,1),Tablo_E!$A$2:$A$102,1),MATCH(ROUND(H51,1),Tablo_E!$B$1:$CX$1,1)))</f>
        <v>0</v>
      </c>
      <c r="J51" s="55"/>
      <c r="K51" s="63">
        <f>IF(ISBLANK(J51),0,ABS(Uzman_E!C$7-J51))</f>
        <v>0</v>
      </c>
      <c r="L51" s="64">
        <f>IF(ISBLANK(J51),0,INDEX(Tablo_E!$B$2:$CX$102,MATCH(ROUND(Uzman_E!C$7,1),Tablo_E!$A$2:$A$102,1),MATCH(ROUND(K51,1),Tablo_E!$B$1:$CX$1,1)))</f>
        <v>0</v>
      </c>
      <c r="M51" s="55"/>
      <c r="N51" s="63">
        <f>IF(ISBLANK(M51),0,ABS(Uzman_E!D$7-M51))</f>
        <v>0</v>
      </c>
      <c r="O51" s="64">
        <f>IF(ISBLANK(M51),0,INDEX(Tablo_E!$B$2:$CX$102,MATCH(ROUND(Uzman_E!D$7,1),Tablo_E!$A$2:$A$102,1),MATCH(ROUND(N51,1),Tablo_E!$B$1:$CX$1,1)))</f>
        <v>0</v>
      </c>
      <c r="P51" s="55"/>
      <c r="Q51" s="63">
        <f>IF(ISBLANK(P51),0,ABS(Uzman_E!E$7-P51))</f>
        <v>0</v>
      </c>
      <c r="R51" s="64">
        <f>IF(ISBLANK(P51),0,INDEX(Tablo_E!$B$2:$CX$102,MATCH(ROUND(Uzman_E!E$7,1),Tablo_E!$A$2:$A$102,1),MATCH(ROUND(Q51,1),Tablo_E!$B$1:$CX$1,1)))</f>
        <v>0</v>
      </c>
      <c r="S51" s="77">
        <f t="shared" si="1"/>
        <v>0</v>
      </c>
      <c r="T51" s="49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x14ac:dyDescent="0.45">
      <c r="A52" s="54">
        <v>49</v>
      </c>
      <c r="B52" s="144">
        <f>Hakemler!B52</f>
        <v>0</v>
      </c>
      <c r="C52" s="145">
        <f>Hakemler!C52</f>
        <v>0</v>
      </c>
      <c r="D52" s="55"/>
      <c r="E52" s="63">
        <f>IF(ISBLANK(D52),0,ABS(Uzman_E!A$7-D52))</f>
        <v>0</v>
      </c>
      <c r="F52" s="64">
        <f>IF(ISBLANK(D52),0,INDEX(Tablo_E!$B$2:$CX$102,MATCH(ROUND(Uzman_E!A$7,1),Tablo_E!$A$2:$A$102,1),MATCH(ROUND(E52,1),Tablo_E!$B$1:$CX$1,1)))</f>
        <v>0</v>
      </c>
      <c r="G52" s="55"/>
      <c r="H52" s="63">
        <f>IF(ISBLANK(G52),0,ABS(Uzman_E!B$7-G52))</f>
        <v>0</v>
      </c>
      <c r="I52" s="64">
        <f>IF(ISBLANK(G52),0,INDEX(Tablo_E!$B$2:$CX$102,MATCH(ROUND(Uzman_E!B$7,1),Tablo_E!$A$2:$A$102,1),MATCH(ROUND(H52,1),Tablo_E!$B$1:$CX$1,1)))</f>
        <v>0</v>
      </c>
      <c r="J52" s="55"/>
      <c r="K52" s="63">
        <f>IF(ISBLANK(J52),0,ABS(Uzman_E!C$7-J52))</f>
        <v>0</v>
      </c>
      <c r="L52" s="64">
        <f>IF(ISBLANK(J52),0,INDEX(Tablo_E!$B$2:$CX$102,MATCH(ROUND(Uzman_E!C$7,1),Tablo_E!$A$2:$A$102,1),MATCH(ROUND(K52,1),Tablo_E!$B$1:$CX$1,1)))</f>
        <v>0</v>
      </c>
      <c r="M52" s="55"/>
      <c r="N52" s="63">
        <f>IF(ISBLANK(M52),0,ABS(Uzman_E!D$7-M52))</f>
        <v>0</v>
      </c>
      <c r="O52" s="64">
        <f>IF(ISBLANK(M52),0,INDEX(Tablo_E!$B$2:$CX$102,MATCH(ROUND(Uzman_E!D$7,1),Tablo_E!$A$2:$A$102,1),MATCH(ROUND(N52,1),Tablo_E!$B$1:$CX$1,1)))</f>
        <v>0</v>
      </c>
      <c r="P52" s="55"/>
      <c r="Q52" s="63">
        <f>IF(ISBLANK(P52),0,ABS(Uzman_E!E$7-P52))</f>
        <v>0</v>
      </c>
      <c r="R52" s="64">
        <f>IF(ISBLANK(P52),0,INDEX(Tablo_E!$B$2:$CX$102,MATCH(ROUND(Uzman_E!E$7,1),Tablo_E!$A$2:$A$102,1),MATCH(ROUND(Q52,1),Tablo_E!$B$1:$CX$1,1)))</f>
        <v>0</v>
      </c>
      <c r="S52" s="77">
        <f t="shared" si="1"/>
        <v>0</v>
      </c>
      <c r="T52" s="49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x14ac:dyDescent="0.45">
      <c r="A53" s="54">
        <v>50</v>
      </c>
      <c r="B53" s="144">
        <f>Hakemler!B53</f>
        <v>0</v>
      </c>
      <c r="C53" s="145">
        <f>Hakemler!C53</f>
        <v>0</v>
      </c>
      <c r="D53" s="55"/>
      <c r="E53" s="63">
        <f>IF(ISBLANK(D53),0,ABS(Uzman_E!A$7-D53))</f>
        <v>0</v>
      </c>
      <c r="F53" s="64">
        <f>IF(ISBLANK(D53),0,INDEX(Tablo_E!$B$2:$CX$102,MATCH(ROUND(Uzman_E!A$7,1),Tablo_E!$A$2:$A$102,1),MATCH(ROUND(E53,1),Tablo_E!$B$1:$CX$1,1)))</f>
        <v>0</v>
      </c>
      <c r="G53" s="55"/>
      <c r="H53" s="63">
        <f>IF(ISBLANK(G53),0,ABS(Uzman_E!B$7-G53))</f>
        <v>0</v>
      </c>
      <c r="I53" s="64">
        <f>IF(ISBLANK(G53),0,INDEX(Tablo_E!$B$2:$CX$102,MATCH(ROUND(Uzman_E!B$7,1),Tablo_E!$A$2:$A$102,1),MATCH(ROUND(H53,1),Tablo_E!$B$1:$CX$1,1)))</f>
        <v>0</v>
      </c>
      <c r="J53" s="55"/>
      <c r="K53" s="63">
        <f>IF(ISBLANK(J53),0,ABS(Uzman_E!C$7-J53))</f>
        <v>0</v>
      </c>
      <c r="L53" s="64">
        <f>IF(ISBLANK(J53),0,INDEX(Tablo_E!$B$2:$CX$102,MATCH(ROUND(Uzman_E!C$7,1),Tablo_E!$A$2:$A$102,1),MATCH(ROUND(K53,1),Tablo_E!$B$1:$CX$1,1)))</f>
        <v>0</v>
      </c>
      <c r="M53" s="55"/>
      <c r="N53" s="63">
        <f>IF(ISBLANK(M53),0,ABS(Uzman_E!D$7-M53))</f>
        <v>0</v>
      </c>
      <c r="O53" s="64">
        <f>IF(ISBLANK(M53),0,INDEX(Tablo_E!$B$2:$CX$102,MATCH(ROUND(Uzman_E!D$7,1),Tablo_E!$A$2:$A$102,1),MATCH(ROUND(N53,1),Tablo_E!$B$1:$CX$1,1)))</f>
        <v>0</v>
      </c>
      <c r="P53" s="55"/>
      <c r="Q53" s="63">
        <f>IF(ISBLANK(P53),0,ABS(Uzman_E!E$7-P53))</f>
        <v>0</v>
      </c>
      <c r="R53" s="64">
        <f>IF(ISBLANK(P53),0,INDEX(Tablo_E!$B$2:$CX$102,MATCH(ROUND(Uzman_E!E$7,1),Tablo_E!$A$2:$A$102,1),MATCH(ROUND(Q53,1),Tablo_E!$B$1:$CX$1,1)))</f>
        <v>0</v>
      </c>
      <c r="S53" s="77">
        <f t="shared" si="1"/>
        <v>0</v>
      </c>
      <c r="T53" s="49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x14ac:dyDescent="0.45">
      <c r="A54" s="54">
        <v>51</v>
      </c>
      <c r="B54" s="146">
        <f>Hakemler!B54</f>
        <v>0</v>
      </c>
      <c r="C54" s="147">
        <f>Hakemler!C54</f>
        <v>0</v>
      </c>
      <c r="D54" s="55"/>
      <c r="E54" s="63">
        <f>IF(ISBLANK(D54),0,ABS(Uzman_E!A$7-D54))</f>
        <v>0</v>
      </c>
      <c r="F54" s="64">
        <f>IF(ISBLANK(D54),0,INDEX(Tablo_E!$B$2:$CX$102,MATCH(ROUND(Uzman_E!A$7,1),Tablo_E!$A$2:$A$102,1),MATCH(ROUND(E54,1),Tablo_E!$B$1:$CX$1,1)))</f>
        <v>0</v>
      </c>
      <c r="G54" s="55"/>
      <c r="H54" s="63">
        <f>IF(ISBLANK(G54),0,ABS(Uzman_E!B$7-G54))</f>
        <v>0</v>
      </c>
      <c r="I54" s="64">
        <f>IF(ISBLANK(G54),0,INDEX(Tablo_E!$B$2:$CX$102,MATCH(ROUND(Uzman_E!B$7,1),Tablo_E!$A$2:$A$102,1),MATCH(ROUND(H54,1),Tablo_E!$B$1:$CX$1,1)))</f>
        <v>0</v>
      </c>
      <c r="J54" s="55"/>
      <c r="K54" s="63">
        <f>IF(ISBLANK(J54),0,ABS(Uzman_E!C$7-J54))</f>
        <v>0</v>
      </c>
      <c r="L54" s="64">
        <f>IF(ISBLANK(J54),0,INDEX(Tablo_E!$B$2:$CX$102,MATCH(ROUND(Uzman_E!C$7,1),Tablo_E!$A$2:$A$102,1),MATCH(ROUND(K54,1),Tablo_E!$B$1:$CX$1,1)))</f>
        <v>0</v>
      </c>
      <c r="M54" s="55"/>
      <c r="N54" s="63">
        <f>IF(ISBLANK(M54),0,ABS(Uzman_E!D$7-M54))</f>
        <v>0</v>
      </c>
      <c r="O54" s="64">
        <f>IF(ISBLANK(M54),0,INDEX(Tablo_E!$B$2:$CX$102,MATCH(ROUND(Uzman_E!D$7,1),Tablo_E!$A$2:$A$102,1),MATCH(ROUND(N54,1),Tablo_E!$B$1:$CX$1,1)))</f>
        <v>0</v>
      </c>
      <c r="P54" s="55"/>
      <c r="Q54" s="63">
        <f>IF(ISBLANK(P54),0,ABS(Uzman_E!E$7-P54))</f>
        <v>0</v>
      </c>
      <c r="R54" s="64">
        <f>IF(ISBLANK(P54),0,INDEX(Tablo_E!$B$2:$CX$102,MATCH(ROUND(Uzman_E!E$7,1),Tablo_E!$A$2:$A$102,1),MATCH(ROUND(Q54,1),Tablo_E!$B$1:$CX$1,1)))</f>
        <v>0</v>
      </c>
      <c r="S54" s="77">
        <f t="shared" si="1"/>
        <v>0</v>
      </c>
      <c r="T54" s="49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x14ac:dyDescent="0.45">
      <c r="A55" s="54">
        <v>52</v>
      </c>
      <c r="B55" s="146">
        <f>Hakemler!B55</f>
        <v>0</v>
      </c>
      <c r="C55" s="147">
        <f>Hakemler!C55</f>
        <v>0</v>
      </c>
      <c r="D55" s="55"/>
      <c r="E55" s="63">
        <f>IF(ISBLANK(D55),0,ABS(Uzman_E!A$7-D55))</f>
        <v>0</v>
      </c>
      <c r="F55" s="64">
        <f>IF(ISBLANK(D55),0,INDEX(Tablo_E!$B$2:$CX$102,MATCH(ROUND(Uzman_E!A$7,1),Tablo_E!$A$2:$A$102,1),MATCH(ROUND(E55,1),Tablo_E!$B$1:$CX$1,1)))</f>
        <v>0</v>
      </c>
      <c r="G55" s="55"/>
      <c r="H55" s="63">
        <f>IF(ISBLANK(G55),0,ABS(Uzman_E!B$7-G55))</f>
        <v>0</v>
      </c>
      <c r="I55" s="64">
        <f>IF(ISBLANK(G55),0,INDEX(Tablo_E!$B$2:$CX$102,MATCH(ROUND(Uzman_E!B$7,1),Tablo_E!$A$2:$A$102,1),MATCH(ROUND(H55,1),Tablo_E!$B$1:$CX$1,1)))</f>
        <v>0</v>
      </c>
      <c r="J55" s="55"/>
      <c r="K55" s="63">
        <f>IF(ISBLANK(J55),0,ABS(Uzman_E!C$7-J55))</f>
        <v>0</v>
      </c>
      <c r="L55" s="64">
        <f>IF(ISBLANK(J55),0,INDEX(Tablo_E!$B$2:$CX$102,MATCH(ROUND(Uzman_E!C$7,1),Tablo_E!$A$2:$A$102,1),MATCH(ROUND(K55,1),Tablo_E!$B$1:$CX$1,1)))</f>
        <v>0</v>
      </c>
      <c r="M55" s="55"/>
      <c r="N55" s="63">
        <f>IF(ISBLANK(M55),0,ABS(Uzman_E!D$7-M55))</f>
        <v>0</v>
      </c>
      <c r="O55" s="64">
        <f>IF(ISBLANK(M55),0,INDEX(Tablo_E!$B$2:$CX$102,MATCH(ROUND(Uzman_E!D$7,1),Tablo_E!$A$2:$A$102,1),MATCH(ROUND(N55,1),Tablo_E!$B$1:$CX$1,1)))</f>
        <v>0</v>
      </c>
      <c r="P55" s="55"/>
      <c r="Q55" s="63">
        <f>IF(ISBLANK(P55),0,ABS(Uzman_E!E$7-P55))</f>
        <v>0</v>
      </c>
      <c r="R55" s="64">
        <f>IF(ISBLANK(P55),0,INDEX(Tablo_E!$B$2:$CX$102,MATCH(ROUND(Uzman_E!E$7,1),Tablo_E!$A$2:$A$102,1),MATCH(ROUND(Q55,1),Tablo_E!$B$1:$CX$1,1)))</f>
        <v>0</v>
      </c>
      <c r="S55" s="77">
        <f t="shared" si="1"/>
        <v>0</v>
      </c>
      <c r="T55" s="49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x14ac:dyDescent="0.45">
      <c r="A56" s="54">
        <v>53</v>
      </c>
      <c r="B56" s="146">
        <f>Hakemler!B56</f>
        <v>0</v>
      </c>
      <c r="C56" s="145">
        <f>Hakemler!C56</f>
        <v>0</v>
      </c>
      <c r="D56" s="55"/>
      <c r="E56" s="63">
        <f>IF(ISBLANK(D56),0,ABS(Uzman_E!A$7-D56))</f>
        <v>0</v>
      </c>
      <c r="F56" s="64">
        <f>IF(ISBLANK(D56),0,INDEX(Tablo_E!$B$2:$CX$102,MATCH(ROUND(Uzman_E!A$7,1),Tablo_E!$A$2:$A$102,1),MATCH(ROUND(E56,1),Tablo_E!$B$1:$CX$1,1)))</f>
        <v>0</v>
      </c>
      <c r="G56" s="55"/>
      <c r="H56" s="63">
        <f>IF(ISBLANK(G56),0,ABS(Uzman_E!B$7-G56))</f>
        <v>0</v>
      </c>
      <c r="I56" s="64">
        <f>IF(ISBLANK(G56),0,INDEX(Tablo_E!$B$2:$CX$102,MATCH(ROUND(Uzman_E!B$7,1),Tablo_E!$A$2:$A$102,1),MATCH(ROUND(H56,1),Tablo_E!$B$1:$CX$1,1)))</f>
        <v>0</v>
      </c>
      <c r="J56" s="55"/>
      <c r="K56" s="63">
        <f>IF(ISBLANK(J56),0,ABS(Uzman_E!C$7-J56))</f>
        <v>0</v>
      </c>
      <c r="L56" s="64">
        <f>IF(ISBLANK(J56),0,INDEX(Tablo_E!$B$2:$CX$102,MATCH(ROUND(Uzman_E!C$7,1),Tablo_E!$A$2:$A$102,1),MATCH(ROUND(K56,1),Tablo_E!$B$1:$CX$1,1)))</f>
        <v>0</v>
      </c>
      <c r="M56" s="55"/>
      <c r="N56" s="63">
        <f>IF(ISBLANK(M56),0,ABS(Uzman_E!D$7-M56))</f>
        <v>0</v>
      </c>
      <c r="O56" s="64">
        <f>IF(ISBLANK(M56),0,INDEX(Tablo_E!$B$2:$CX$102,MATCH(ROUND(Uzman_E!D$7,1),Tablo_E!$A$2:$A$102,1),MATCH(ROUND(N56,1),Tablo_E!$B$1:$CX$1,1)))</f>
        <v>0</v>
      </c>
      <c r="P56" s="55"/>
      <c r="Q56" s="63">
        <f>IF(ISBLANK(P56),0,ABS(Uzman_E!E$7-P56))</f>
        <v>0</v>
      </c>
      <c r="R56" s="64">
        <f>IF(ISBLANK(P56),0,INDEX(Tablo_E!$B$2:$CX$102,MATCH(ROUND(Uzman_E!E$7,1),Tablo_E!$A$2:$A$102,1),MATCH(ROUND(Q56,1),Tablo_E!$B$1:$CX$1,1)))</f>
        <v>0</v>
      </c>
      <c r="S56" s="77">
        <f t="shared" si="1"/>
        <v>0</v>
      </c>
      <c r="T56" s="49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x14ac:dyDescent="0.45">
      <c r="A57" s="54">
        <v>54</v>
      </c>
      <c r="B57" s="144">
        <f>Hakemler!B57</f>
        <v>0</v>
      </c>
      <c r="C57" s="145">
        <f>Hakemler!C57</f>
        <v>0</v>
      </c>
      <c r="D57" s="55"/>
      <c r="E57" s="63">
        <f>IF(ISBLANK(D57),0,ABS(Uzman_E!A$7-D57))</f>
        <v>0</v>
      </c>
      <c r="F57" s="64">
        <f>IF(ISBLANK(D57),0,INDEX(Tablo_E!$B$2:$CX$102,MATCH(ROUND(Uzman_E!A$7,1),Tablo_E!$A$2:$A$102,1),MATCH(ROUND(E57,1),Tablo_E!$B$1:$CX$1,1)))</f>
        <v>0</v>
      </c>
      <c r="G57" s="55"/>
      <c r="H57" s="63">
        <f>IF(ISBLANK(G57),0,ABS(Uzman_E!B$7-G57))</f>
        <v>0</v>
      </c>
      <c r="I57" s="64">
        <f>IF(ISBLANK(G57),0,INDEX(Tablo_E!$B$2:$CX$102,MATCH(ROUND(Uzman_E!B$7,1),Tablo_E!$A$2:$A$102,1),MATCH(ROUND(H57,1),Tablo_E!$B$1:$CX$1,1)))</f>
        <v>0</v>
      </c>
      <c r="J57" s="55"/>
      <c r="K57" s="63">
        <f>IF(ISBLANK(J57),0,ABS(Uzman_E!C$7-J57))</f>
        <v>0</v>
      </c>
      <c r="L57" s="64">
        <f>IF(ISBLANK(J57),0,INDEX(Tablo_E!$B$2:$CX$102,MATCH(ROUND(Uzman_E!C$7,1),Tablo_E!$A$2:$A$102,1),MATCH(ROUND(K57,1),Tablo_E!$B$1:$CX$1,1)))</f>
        <v>0</v>
      </c>
      <c r="M57" s="55"/>
      <c r="N57" s="63">
        <f>IF(ISBLANK(M57),0,ABS(Uzman_E!D$7-M57))</f>
        <v>0</v>
      </c>
      <c r="O57" s="64">
        <f>IF(ISBLANK(M57),0,INDEX(Tablo_E!$B$2:$CX$102,MATCH(ROUND(Uzman_E!D$7,1),Tablo_E!$A$2:$A$102,1),MATCH(ROUND(N57,1),Tablo_E!$B$1:$CX$1,1)))</f>
        <v>0</v>
      </c>
      <c r="P57" s="55"/>
      <c r="Q57" s="63">
        <f>IF(ISBLANK(P57),0,ABS(Uzman_E!E$7-P57))</f>
        <v>0</v>
      </c>
      <c r="R57" s="64">
        <f>IF(ISBLANK(P57),0,INDEX(Tablo_E!$B$2:$CX$102,MATCH(ROUND(Uzman_E!E$7,1),Tablo_E!$A$2:$A$102,1),MATCH(ROUND(Q57,1),Tablo_E!$B$1:$CX$1,1)))</f>
        <v>0</v>
      </c>
      <c r="S57" s="77">
        <f t="shared" si="1"/>
        <v>0</v>
      </c>
      <c r="T57" s="49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x14ac:dyDescent="0.45">
      <c r="A58" s="54">
        <v>55</v>
      </c>
      <c r="B58" s="146">
        <f>Hakemler!B58</f>
        <v>0</v>
      </c>
      <c r="C58" s="147">
        <f>Hakemler!C58</f>
        <v>0</v>
      </c>
      <c r="D58" s="55"/>
      <c r="E58" s="63">
        <f>IF(ISBLANK(D58),0,ABS(Uzman_E!A$7-D58))</f>
        <v>0</v>
      </c>
      <c r="F58" s="64">
        <f>IF(ISBLANK(D58),0,INDEX(Tablo_E!$B$2:$CX$102,MATCH(ROUND(Uzman_E!A$7,1),Tablo_E!$A$2:$A$102,1),MATCH(ROUND(E58,1),Tablo_E!$B$1:$CX$1,1)))</f>
        <v>0</v>
      </c>
      <c r="G58" s="55"/>
      <c r="H58" s="63">
        <f>IF(ISBLANK(G58),0,ABS(Uzman_E!B$7-G58))</f>
        <v>0</v>
      </c>
      <c r="I58" s="64">
        <f>IF(ISBLANK(G58),0,INDEX(Tablo_E!$B$2:$CX$102,MATCH(ROUND(Uzman_E!B$7,1),Tablo_E!$A$2:$A$102,1),MATCH(ROUND(H58,1),Tablo_E!$B$1:$CX$1,1)))</f>
        <v>0</v>
      </c>
      <c r="J58" s="55"/>
      <c r="K58" s="63">
        <f>IF(ISBLANK(J58),0,ABS(Uzman_E!C$7-J58))</f>
        <v>0</v>
      </c>
      <c r="L58" s="64">
        <f>IF(ISBLANK(J58),0,INDEX(Tablo_E!$B$2:$CX$102,MATCH(ROUND(Uzman_E!C$7,1),Tablo_E!$A$2:$A$102,1),MATCH(ROUND(K58,1),Tablo_E!$B$1:$CX$1,1)))</f>
        <v>0</v>
      </c>
      <c r="M58" s="55"/>
      <c r="N58" s="63">
        <f>IF(ISBLANK(M58),0,ABS(Uzman_E!D$7-M58))</f>
        <v>0</v>
      </c>
      <c r="O58" s="64">
        <f>IF(ISBLANK(M58),0,INDEX(Tablo_E!$B$2:$CX$102,MATCH(ROUND(Uzman_E!D$7,1),Tablo_E!$A$2:$A$102,1),MATCH(ROUND(N58,1),Tablo_E!$B$1:$CX$1,1)))</f>
        <v>0</v>
      </c>
      <c r="P58" s="55"/>
      <c r="Q58" s="63">
        <f>IF(ISBLANK(P58),0,ABS(Uzman_E!E$7-P58))</f>
        <v>0</v>
      </c>
      <c r="R58" s="64">
        <f>IF(ISBLANK(P58),0,INDEX(Tablo_E!$B$2:$CX$102,MATCH(ROUND(Uzman_E!E$7,1),Tablo_E!$A$2:$A$102,1),MATCH(ROUND(Q58,1),Tablo_E!$B$1:$CX$1,1)))</f>
        <v>0</v>
      </c>
      <c r="S58" s="77">
        <f t="shared" si="1"/>
        <v>0</v>
      </c>
      <c r="T58" s="49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x14ac:dyDescent="0.45">
      <c r="A59" s="54">
        <v>56</v>
      </c>
      <c r="B59" s="144">
        <f>Hakemler!B59</f>
        <v>0</v>
      </c>
      <c r="C59" s="145">
        <f>Hakemler!C59</f>
        <v>0</v>
      </c>
      <c r="D59" s="55"/>
      <c r="E59" s="63">
        <f>IF(ISBLANK(D59),0,ABS(Uzman_E!A$7-D59))</f>
        <v>0</v>
      </c>
      <c r="F59" s="64">
        <f>IF(ISBLANK(D59),0,INDEX(Tablo_E!$B$2:$CX$102,MATCH(ROUND(Uzman_E!A$7,1),Tablo_E!$A$2:$A$102,1),MATCH(ROUND(E59,1),Tablo_E!$B$1:$CX$1,1)))</f>
        <v>0</v>
      </c>
      <c r="G59" s="55"/>
      <c r="H59" s="63">
        <f>IF(ISBLANK(G59),0,ABS(Uzman_E!B$7-G59))</f>
        <v>0</v>
      </c>
      <c r="I59" s="64">
        <f>IF(ISBLANK(G59),0,INDEX(Tablo_E!$B$2:$CX$102,MATCH(ROUND(Uzman_E!B$7,1),Tablo_E!$A$2:$A$102,1),MATCH(ROUND(H59,1),Tablo_E!$B$1:$CX$1,1)))</f>
        <v>0</v>
      </c>
      <c r="J59" s="55"/>
      <c r="K59" s="63">
        <f>IF(ISBLANK(J59),0,ABS(Uzman_E!C$7-J59))</f>
        <v>0</v>
      </c>
      <c r="L59" s="64">
        <f>IF(ISBLANK(J59),0,INDEX(Tablo_E!$B$2:$CX$102,MATCH(ROUND(Uzman_E!C$7,1),Tablo_E!$A$2:$A$102,1),MATCH(ROUND(K59,1),Tablo_E!$B$1:$CX$1,1)))</f>
        <v>0</v>
      </c>
      <c r="M59" s="55"/>
      <c r="N59" s="63">
        <f>IF(ISBLANK(M59),0,ABS(Uzman_E!D$7-M59))</f>
        <v>0</v>
      </c>
      <c r="O59" s="64">
        <f>IF(ISBLANK(M59),0,INDEX(Tablo_E!$B$2:$CX$102,MATCH(ROUND(Uzman_E!D$7,1),Tablo_E!$A$2:$A$102,1),MATCH(ROUND(N59,1),Tablo_E!$B$1:$CX$1,1)))</f>
        <v>0</v>
      </c>
      <c r="P59" s="55"/>
      <c r="Q59" s="63">
        <f>IF(ISBLANK(P59),0,ABS(Uzman_E!E$7-P59))</f>
        <v>0</v>
      </c>
      <c r="R59" s="64">
        <f>IF(ISBLANK(P59),0,INDEX(Tablo_E!$B$2:$CX$102,MATCH(ROUND(Uzman_E!E$7,1),Tablo_E!$A$2:$A$102,1),MATCH(ROUND(Q59,1),Tablo_E!$B$1:$CX$1,1)))</f>
        <v>0</v>
      </c>
      <c r="S59" s="77">
        <f t="shared" si="1"/>
        <v>0</v>
      </c>
      <c r="T59" s="49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x14ac:dyDescent="0.45">
      <c r="A60" s="54">
        <v>57</v>
      </c>
      <c r="B60" s="146">
        <f>Hakemler!B60</f>
        <v>0</v>
      </c>
      <c r="C60" s="147">
        <f>Hakemler!C60</f>
        <v>0</v>
      </c>
      <c r="D60" s="55"/>
      <c r="E60" s="63">
        <f>IF(ISBLANK(D60),0,ABS(Uzman_E!A$7-D60))</f>
        <v>0</v>
      </c>
      <c r="F60" s="64">
        <f>IF(ISBLANK(D60),0,INDEX(Tablo_E!$B$2:$CX$102,MATCH(ROUND(Uzman_E!A$7,1),Tablo_E!$A$2:$A$102,1),MATCH(ROUND(E60,1),Tablo_E!$B$1:$CX$1,1)))</f>
        <v>0</v>
      </c>
      <c r="G60" s="55"/>
      <c r="H60" s="63">
        <f>IF(ISBLANK(G60),0,ABS(Uzman_E!B$7-G60))</f>
        <v>0</v>
      </c>
      <c r="I60" s="64">
        <f>IF(ISBLANK(G60),0,INDEX(Tablo_E!$B$2:$CX$102,MATCH(ROUND(Uzman_E!B$7,1),Tablo_E!$A$2:$A$102,1),MATCH(ROUND(H60,1),Tablo_E!$B$1:$CX$1,1)))</f>
        <v>0</v>
      </c>
      <c r="J60" s="55"/>
      <c r="K60" s="63">
        <f>IF(ISBLANK(J60),0,ABS(Uzman_E!C$7-J60))</f>
        <v>0</v>
      </c>
      <c r="L60" s="64">
        <f>IF(ISBLANK(J60),0,INDEX(Tablo_E!$B$2:$CX$102,MATCH(ROUND(Uzman_E!C$7,1),Tablo_E!$A$2:$A$102,1),MATCH(ROUND(K60,1),Tablo_E!$B$1:$CX$1,1)))</f>
        <v>0</v>
      </c>
      <c r="M60" s="55"/>
      <c r="N60" s="63">
        <f>IF(ISBLANK(M60),0,ABS(Uzman_E!D$7-M60))</f>
        <v>0</v>
      </c>
      <c r="O60" s="64">
        <f>IF(ISBLANK(M60),0,INDEX(Tablo_E!$B$2:$CX$102,MATCH(ROUND(Uzman_E!D$7,1),Tablo_E!$A$2:$A$102,1),MATCH(ROUND(N60,1),Tablo_E!$B$1:$CX$1,1)))</f>
        <v>0</v>
      </c>
      <c r="P60" s="55"/>
      <c r="Q60" s="63">
        <f>IF(ISBLANK(P60),0,ABS(Uzman_E!E$7-P60))</f>
        <v>0</v>
      </c>
      <c r="R60" s="64">
        <f>IF(ISBLANK(P60),0,INDEX(Tablo_E!$B$2:$CX$102,MATCH(ROUND(Uzman_E!E$7,1),Tablo_E!$A$2:$A$102,1),MATCH(ROUND(Q60,1),Tablo_E!$B$1:$CX$1,1)))</f>
        <v>0</v>
      </c>
      <c r="S60" s="77">
        <f t="shared" si="1"/>
        <v>0</v>
      </c>
      <c r="T60" s="49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x14ac:dyDescent="0.45">
      <c r="A61" s="54">
        <v>58</v>
      </c>
      <c r="B61" s="144">
        <f>Hakemler!B61</f>
        <v>0</v>
      </c>
      <c r="C61" s="145">
        <f>Hakemler!C61</f>
        <v>0</v>
      </c>
      <c r="D61" s="55"/>
      <c r="E61" s="63">
        <f>IF(ISBLANK(D61),0,ABS(Uzman_E!A$7-D61))</f>
        <v>0</v>
      </c>
      <c r="F61" s="64">
        <f>IF(ISBLANK(D61),0,INDEX(Tablo_E!$B$2:$CX$102,MATCH(ROUND(Uzman_E!A$7,1),Tablo_E!$A$2:$A$102,1),MATCH(ROUND(E61,1),Tablo_E!$B$1:$CX$1,1)))</f>
        <v>0</v>
      </c>
      <c r="G61" s="55"/>
      <c r="H61" s="63">
        <f>IF(ISBLANK(G61),0,ABS(Uzman_E!B$7-G61))</f>
        <v>0</v>
      </c>
      <c r="I61" s="64">
        <f>IF(ISBLANK(G61),0,INDEX(Tablo_E!$B$2:$CX$102,MATCH(ROUND(Uzman_E!B$7,1),Tablo_E!$A$2:$A$102,1),MATCH(ROUND(H61,1),Tablo_E!$B$1:$CX$1,1)))</f>
        <v>0</v>
      </c>
      <c r="J61" s="55"/>
      <c r="K61" s="63">
        <f>IF(ISBLANK(J61),0,ABS(Uzman_E!C$7-J61))</f>
        <v>0</v>
      </c>
      <c r="L61" s="64">
        <f>IF(ISBLANK(J61),0,INDEX(Tablo_E!$B$2:$CX$102,MATCH(ROUND(Uzman_E!C$7,1),Tablo_E!$A$2:$A$102,1),MATCH(ROUND(K61,1),Tablo_E!$B$1:$CX$1,1)))</f>
        <v>0</v>
      </c>
      <c r="M61" s="55"/>
      <c r="N61" s="63">
        <f>IF(ISBLANK(M61),0,ABS(Uzman_E!D$7-M61))</f>
        <v>0</v>
      </c>
      <c r="O61" s="64">
        <f>IF(ISBLANK(M61),0,INDEX(Tablo_E!$B$2:$CX$102,MATCH(ROUND(Uzman_E!D$7,1),Tablo_E!$A$2:$A$102,1),MATCH(ROUND(N61,1),Tablo_E!$B$1:$CX$1,1)))</f>
        <v>0</v>
      </c>
      <c r="P61" s="55"/>
      <c r="Q61" s="63">
        <f>IF(ISBLANK(P61),0,ABS(Uzman_E!E$7-P61))</f>
        <v>0</v>
      </c>
      <c r="R61" s="64">
        <f>IF(ISBLANK(P61),0,INDEX(Tablo_E!$B$2:$CX$102,MATCH(ROUND(Uzman_E!E$7,1),Tablo_E!$A$2:$A$102,1),MATCH(ROUND(Q61,1),Tablo_E!$B$1:$CX$1,1)))</f>
        <v>0</v>
      </c>
      <c r="S61" s="77">
        <f t="shared" si="1"/>
        <v>0</v>
      </c>
      <c r="T61" s="49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x14ac:dyDescent="0.45">
      <c r="A62" s="54">
        <v>59</v>
      </c>
      <c r="B62" s="144">
        <f>Hakemler!B62</f>
        <v>0</v>
      </c>
      <c r="C62" s="145">
        <f>Hakemler!C62</f>
        <v>0</v>
      </c>
      <c r="D62" s="55"/>
      <c r="E62" s="63">
        <f>IF(ISBLANK(D62),0,ABS(Uzman_E!A$7-D62))</f>
        <v>0</v>
      </c>
      <c r="F62" s="64">
        <f>IF(ISBLANK(D62),0,INDEX(Tablo_E!$B$2:$CX$102,MATCH(ROUND(Uzman_E!A$7,1),Tablo_E!$A$2:$A$102,1),MATCH(ROUND(E62,1),Tablo_E!$B$1:$CX$1,1)))</f>
        <v>0</v>
      </c>
      <c r="G62" s="55"/>
      <c r="H62" s="63">
        <f>IF(ISBLANK(G62),0,ABS(Uzman_E!B$7-G62))</f>
        <v>0</v>
      </c>
      <c r="I62" s="64">
        <f>IF(ISBLANK(G62),0,INDEX(Tablo_E!$B$2:$CX$102,MATCH(ROUND(Uzman_E!B$7,1),Tablo_E!$A$2:$A$102,1),MATCH(ROUND(H62,1),Tablo_E!$B$1:$CX$1,1)))</f>
        <v>0</v>
      </c>
      <c r="J62" s="55"/>
      <c r="K62" s="63">
        <f>IF(ISBLANK(J62),0,ABS(Uzman_E!C$7-J62))</f>
        <v>0</v>
      </c>
      <c r="L62" s="64">
        <f>IF(ISBLANK(J62),0,INDEX(Tablo_E!$B$2:$CX$102,MATCH(ROUND(Uzman_E!C$7,1),Tablo_E!$A$2:$A$102,1),MATCH(ROUND(K62,1),Tablo_E!$B$1:$CX$1,1)))</f>
        <v>0</v>
      </c>
      <c r="M62" s="55"/>
      <c r="N62" s="63">
        <f>IF(ISBLANK(M62),0,ABS(Uzman_E!D$7-M62))</f>
        <v>0</v>
      </c>
      <c r="O62" s="64">
        <f>IF(ISBLANK(M62),0,INDEX(Tablo_E!$B$2:$CX$102,MATCH(ROUND(Uzman_E!D$7,1),Tablo_E!$A$2:$A$102,1),MATCH(ROUND(N62,1),Tablo_E!$B$1:$CX$1,1)))</f>
        <v>0</v>
      </c>
      <c r="P62" s="55"/>
      <c r="Q62" s="63">
        <f>IF(ISBLANK(P62),0,ABS(Uzman_E!E$7-P62))</f>
        <v>0</v>
      </c>
      <c r="R62" s="64">
        <f>IF(ISBLANK(P62),0,INDEX(Tablo_E!$B$2:$CX$102,MATCH(ROUND(Uzman_E!E$7,1),Tablo_E!$A$2:$A$102,1),MATCH(ROUND(Q62,1),Tablo_E!$B$1:$CX$1,1)))</f>
        <v>0</v>
      </c>
      <c r="S62" s="77">
        <f t="shared" si="1"/>
        <v>0</v>
      </c>
      <c r="T62" s="49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x14ac:dyDescent="0.45">
      <c r="A63" s="54">
        <v>60</v>
      </c>
      <c r="B63" s="144">
        <f>Hakemler!B63</f>
        <v>0</v>
      </c>
      <c r="C63" s="145">
        <f>Hakemler!C63</f>
        <v>0</v>
      </c>
      <c r="D63" s="55"/>
      <c r="E63" s="63">
        <f>IF(ISBLANK(D63),0,ABS(Uzman_E!A$7-D63))</f>
        <v>0</v>
      </c>
      <c r="F63" s="64">
        <f>IF(ISBLANK(D63),0,INDEX(Tablo_E!$B$2:$CX$102,MATCH(ROUND(Uzman_E!A$7,1),Tablo_E!$A$2:$A$102,1),MATCH(ROUND(E63,1),Tablo_E!$B$1:$CX$1,1)))</f>
        <v>0</v>
      </c>
      <c r="G63" s="55"/>
      <c r="H63" s="63">
        <f>IF(ISBLANK(G63),0,ABS(Uzman_E!B$7-G63))</f>
        <v>0</v>
      </c>
      <c r="I63" s="64">
        <f>IF(ISBLANK(G63),0,INDEX(Tablo_E!$B$2:$CX$102,MATCH(ROUND(Uzman_E!B$7,1),Tablo_E!$A$2:$A$102,1),MATCH(ROUND(H63,1),Tablo_E!$B$1:$CX$1,1)))</f>
        <v>0</v>
      </c>
      <c r="J63" s="55"/>
      <c r="K63" s="63">
        <f>IF(ISBLANK(J63),0,ABS(Uzman_E!C$7-J63))</f>
        <v>0</v>
      </c>
      <c r="L63" s="64">
        <f>IF(ISBLANK(J63),0,INDEX(Tablo_E!$B$2:$CX$102,MATCH(ROUND(Uzman_E!C$7,1),Tablo_E!$A$2:$A$102,1),MATCH(ROUND(K63,1),Tablo_E!$B$1:$CX$1,1)))</f>
        <v>0</v>
      </c>
      <c r="M63" s="55"/>
      <c r="N63" s="63">
        <f>IF(ISBLANK(M63),0,ABS(Uzman_E!D$7-M63))</f>
        <v>0</v>
      </c>
      <c r="O63" s="64">
        <f>IF(ISBLANK(M63),0,INDEX(Tablo_E!$B$2:$CX$102,MATCH(ROUND(Uzman_E!D$7,1),Tablo_E!$A$2:$A$102,1),MATCH(ROUND(N63,1),Tablo_E!$B$1:$CX$1,1)))</f>
        <v>0</v>
      </c>
      <c r="P63" s="55"/>
      <c r="Q63" s="63">
        <f>IF(ISBLANK(P63),0,ABS(Uzman_E!E$7-P63))</f>
        <v>0</v>
      </c>
      <c r="R63" s="64">
        <f>IF(ISBLANK(P63),0,INDEX(Tablo_E!$B$2:$CX$102,MATCH(ROUND(Uzman_E!E$7,1),Tablo_E!$A$2:$A$102,1),MATCH(ROUND(Q63,1),Tablo_E!$B$1:$CX$1,1)))</f>
        <v>0</v>
      </c>
      <c r="S63" s="77">
        <f t="shared" si="1"/>
        <v>0</v>
      </c>
      <c r="T63" s="49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x14ac:dyDescent="0.45">
      <c r="A64" s="54">
        <v>61</v>
      </c>
      <c r="B64" s="144">
        <f>Hakemler!B64</f>
        <v>0</v>
      </c>
      <c r="C64" s="145">
        <f>Hakemler!C64</f>
        <v>0</v>
      </c>
      <c r="D64" s="55"/>
      <c r="E64" s="63">
        <f>IF(ISBLANK(D64),0,ABS(Uzman_E!A$7-D64))</f>
        <v>0</v>
      </c>
      <c r="F64" s="64">
        <f>IF(ISBLANK(D64),0,INDEX(Tablo_E!$B$2:$CX$102,MATCH(ROUND(Uzman_E!A$7,1),Tablo_E!$A$2:$A$102,1),MATCH(ROUND(E64,1),Tablo_E!$B$1:$CX$1,1)))</f>
        <v>0</v>
      </c>
      <c r="G64" s="55"/>
      <c r="H64" s="63">
        <f>IF(ISBLANK(G64),0,ABS(Uzman_E!B$7-G64))</f>
        <v>0</v>
      </c>
      <c r="I64" s="64">
        <f>IF(ISBLANK(G64),0,INDEX(Tablo_E!$B$2:$CX$102,MATCH(ROUND(Uzman_E!B$7,1),Tablo_E!$A$2:$A$102,1),MATCH(ROUND(H64,1),Tablo_E!$B$1:$CX$1,1)))</f>
        <v>0</v>
      </c>
      <c r="J64" s="55"/>
      <c r="K64" s="63">
        <f>IF(ISBLANK(J64),0,ABS(Uzman_E!C$7-J64))</f>
        <v>0</v>
      </c>
      <c r="L64" s="64">
        <f>IF(ISBLANK(J64),0,INDEX(Tablo_E!$B$2:$CX$102,MATCH(ROUND(Uzman_E!C$7,1),Tablo_E!$A$2:$A$102,1),MATCH(ROUND(K64,1),Tablo_E!$B$1:$CX$1,1)))</f>
        <v>0</v>
      </c>
      <c r="M64" s="55"/>
      <c r="N64" s="63">
        <f>IF(ISBLANK(M64),0,ABS(Uzman_E!D$7-M64))</f>
        <v>0</v>
      </c>
      <c r="O64" s="64">
        <f>IF(ISBLANK(M64),0,INDEX(Tablo_E!$B$2:$CX$102,MATCH(ROUND(Uzman_E!D$7,1),Tablo_E!$A$2:$A$102,1),MATCH(ROUND(N64,1),Tablo_E!$B$1:$CX$1,1)))</f>
        <v>0</v>
      </c>
      <c r="P64" s="55"/>
      <c r="Q64" s="63">
        <f>IF(ISBLANK(P64),0,ABS(Uzman_E!E$7-P64))</f>
        <v>0</v>
      </c>
      <c r="R64" s="64">
        <f>IF(ISBLANK(P64),0,INDEX(Tablo_E!$B$2:$CX$102,MATCH(ROUND(Uzman_E!E$7,1),Tablo_E!$A$2:$A$102,1),MATCH(ROUND(Q64,1),Tablo_E!$B$1:$CX$1,1)))</f>
        <v>0</v>
      </c>
      <c r="S64" s="77">
        <f t="shared" si="1"/>
        <v>0</v>
      </c>
      <c r="T64" s="49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x14ac:dyDescent="0.45">
      <c r="A65" s="54">
        <v>62</v>
      </c>
      <c r="B65" s="144">
        <f>Hakemler!B65</f>
        <v>0</v>
      </c>
      <c r="C65" s="145">
        <f>Hakemler!C65</f>
        <v>0</v>
      </c>
      <c r="D65" s="55"/>
      <c r="E65" s="63">
        <f>IF(ISBLANK(D65),0,ABS(Uzman_E!A$7-D65))</f>
        <v>0</v>
      </c>
      <c r="F65" s="64">
        <f>IF(ISBLANK(D65),0,INDEX(Tablo_E!$B$2:$CX$102,MATCH(ROUND(Uzman_E!A$7,1),Tablo_E!$A$2:$A$102,1),MATCH(ROUND(E65,1),Tablo_E!$B$1:$CX$1,1)))</f>
        <v>0</v>
      </c>
      <c r="G65" s="55"/>
      <c r="H65" s="63">
        <f>IF(ISBLANK(G65),0,ABS(Uzman_E!B$7-G65))</f>
        <v>0</v>
      </c>
      <c r="I65" s="64">
        <f>IF(ISBLANK(G65),0,INDEX(Tablo_E!$B$2:$CX$102,MATCH(ROUND(Uzman_E!B$7,1),Tablo_E!$A$2:$A$102,1),MATCH(ROUND(H65,1),Tablo_E!$B$1:$CX$1,1)))</f>
        <v>0</v>
      </c>
      <c r="J65" s="55"/>
      <c r="K65" s="63">
        <f>IF(ISBLANK(J65),0,ABS(Uzman_E!C$7-J65))</f>
        <v>0</v>
      </c>
      <c r="L65" s="64">
        <f>IF(ISBLANK(J65),0,INDEX(Tablo_E!$B$2:$CX$102,MATCH(ROUND(Uzman_E!C$7,1),Tablo_E!$A$2:$A$102,1),MATCH(ROUND(K65,1),Tablo_E!$B$1:$CX$1,1)))</f>
        <v>0</v>
      </c>
      <c r="M65" s="55"/>
      <c r="N65" s="63">
        <f>IF(ISBLANK(M65),0,ABS(Uzman_E!D$7-M65))</f>
        <v>0</v>
      </c>
      <c r="O65" s="64">
        <f>IF(ISBLANK(M65),0,INDEX(Tablo_E!$B$2:$CX$102,MATCH(ROUND(Uzman_E!D$7,1),Tablo_E!$A$2:$A$102,1),MATCH(ROUND(N65,1),Tablo_E!$B$1:$CX$1,1)))</f>
        <v>0</v>
      </c>
      <c r="P65" s="55"/>
      <c r="Q65" s="63">
        <f>IF(ISBLANK(P65),0,ABS(Uzman_E!E$7-P65))</f>
        <v>0</v>
      </c>
      <c r="R65" s="64">
        <f>IF(ISBLANK(P65),0,INDEX(Tablo_E!$B$2:$CX$102,MATCH(ROUND(Uzman_E!E$7,1),Tablo_E!$A$2:$A$102,1),MATCH(ROUND(Q65,1),Tablo_E!$B$1:$CX$1,1)))</f>
        <v>0</v>
      </c>
      <c r="S65" s="77">
        <f t="shared" si="1"/>
        <v>0</v>
      </c>
      <c r="T65" s="49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x14ac:dyDescent="0.45">
      <c r="A66" s="54">
        <v>63</v>
      </c>
      <c r="B66" s="144">
        <f>Hakemler!B66</f>
        <v>0</v>
      </c>
      <c r="C66" s="145">
        <f>Hakemler!C66</f>
        <v>0</v>
      </c>
      <c r="D66" s="55"/>
      <c r="E66" s="63">
        <f>IF(ISBLANK(D66),0,ABS(Uzman_E!A$7-D66))</f>
        <v>0</v>
      </c>
      <c r="F66" s="64">
        <f>IF(ISBLANK(D66),0,INDEX(Tablo_E!$B$2:$CX$102,MATCH(ROUND(Uzman_E!A$7,1),Tablo_E!$A$2:$A$102,1),MATCH(ROUND(E66,1),Tablo_E!$B$1:$CX$1,1)))</f>
        <v>0</v>
      </c>
      <c r="G66" s="55"/>
      <c r="H66" s="63">
        <f>IF(ISBLANK(G66),0,ABS(Uzman_E!B$7-G66))</f>
        <v>0</v>
      </c>
      <c r="I66" s="64">
        <f>IF(ISBLANK(G66),0,INDEX(Tablo_E!$B$2:$CX$102,MATCH(ROUND(Uzman_E!B$7,1),Tablo_E!$A$2:$A$102,1),MATCH(ROUND(H66,1),Tablo_E!$B$1:$CX$1,1)))</f>
        <v>0</v>
      </c>
      <c r="J66" s="55"/>
      <c r="K66" s="63">
        <f>IF(ISBLANK(J66),0,ABS(Uzman_E!C$7-J66))</f>
        <v>0</v>
      </c>
      <c r="L66" s="64">
        <f>IF(ISBLANK(J66),0,INDEX(Tablo_E!$B$2:$CX$102,MATCH(ROUND(Uzman_E!C$7,1),Tablo_E!$A$2:$A$102,1),MATCH(ROUND(K66,1),Tablo_E!$B$1:$CX$1,1)))</f>
        <v>0</v>
      </c>
      <c r="M66" s="55"/>
      <c r="N66" s="63">
        <f>IF(ISBLANK(M66),0,ABS(Uzman_E!D$7-M66))</f>
        <v>0</v>
      </c>
      <c r="O66" s="64">
        <f>IF(ISBLANK(M66),0,INDEX(Tablo_E!$B$2:$CX$102,MATCH(ROUND(Uzman_E!D$7,1),Tablo_E!$A$2:$A$102,1),MATCH(ROUND(N66,1),Tablo_E!$B$1:$CX$1,1)))</f>
        <v>0</v>
      </c>
      <c r="P66" s="55"/>
      <c r="Q66" s="63">
        <f>IF(ISBLANK(P66),0,ABS(Uzman_E!E$7-P66))</f>
        <v>0</v>
      </c>
      <c r="R66" s="64">
        <f>IF(ISBLANK(P66),0,INDEX(Tablo_E!$B$2:$CX$102,MATCH(ROUND(Uzman_E!E$7,1),Tablo_E!$A$2:$A$102,1),MATCH(ROUND(Q66,1),Tablo_E!$B$1:$CX$1,1)))</f>
        <v>0</v>
      </c>
      <c r="S66" s="77">
        <f t="shared" si="1"/>
        <v>0</v>
      </c>
      <c r="T66" s="49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x14ac:dyDescent="0.45">
      <c r="A67" s="54">
        <v>64</v>
      </c>
      <c r="B67" s="146">
        <f>Hakemler!B67</f>
        <v>0</v>
      </c>
      <c r="C67" s="147">
        <f>Hakemler!C67</f>
        <v>0</v>
      </c>
      <c r="D67" s="55"/>
      <c r="E67" s="63">
        <f>IF(ISBLANK(D67),0,ABS(Uzman_E!A$7-D67))</f>
        <v>0</v>
      </c>
      <c r="F67" s="64">
        <f>IF(ISBLANK(D67),0,INDEX(Tablo_E!$B$2:$CX$102,MATCH(ROUND(Uzman_E!A$7,1),Tablo_E!$A$2:$A$102,1),MATCH(ROUND(E67,1),Tablo_E!$B$1:$CX$1,1)))</f>
        <v>0</v>
      </c>
      <c r="G67" s="55"/>
      <c r="H67" s="63">
        <f>IF(ISBLANK(G67),0,ABS(Uzman_E!B$7-G67))</f>
        <v>0</v>
      </c>
      <c r="I67" s="64">
        <f>IF(ISBLANK(G67),0,INDEX(Tablo_E!$B$2:$CX$102,MATCH(ROUND(Uzman_E!B$7,1),Tablo_E!$A$2:$A$102,1),MATCH(ROUND(H67,1),Tablo_E!$B$1:$CX$1,1)))</f>
        <v>0</v>
      </c>
      <c r="J67" s="55"/>
      <c r="K67" s="63">
        <f>IF(ISBLANK(J67),0,ABS(Uzman_E!C$7-J67))</f>
        <v>0</v>
      </c>
      <c r="L67" s="64">
        <f>IF(ISBLANK(J67),0,INDEX(Tablo_E!$B$2:$CX$102,MATCH(ROUND(Uzman_E!C$7,1),Tablo_E!$A$2:$A$102,1),MATCH(ROUND(K67,1),Tablo_E!$B$1:$CX$1,1)))</f>
        <v>0</v>
      </c>
      <c r="M67" s="55"/>
      <c r="N67" s="63">
        <f>IF(ISBLANK(M67),0,ABS(Uzman_E!D$7-M67))</f>
        <v>0</v>
      </c>
      <c r="O67" s="64">
        <f>IF(ISBLANK(M67),0,INDEX(Tablo_E!$B$2:$CX$102,MATCH(ROUND(Uzman_E!D$7,1),Tablo_E!$A$2:$A$102,1),MATCH(ROUND(N67,1),Tablo_E!$B$1:$CX$1,1)))</f>
        <v>0</v>
      </c>
      <c r="P67" s="55"/>
      <c r="Q67" s="63">
        <f>IF(ISBLANK(P67),0,ABS(Uzman_E!E$7-P67))</f>
        <v>0</v>
      </c>
      <c r="R67" s="64">
        <f>IF(ISBLANK(P67),0,INDEX(Tablo_E!$B$2:$CX$102,MATCH(ROUND(Uzman_E!E$7,1),Tablo_E!$A$2:$A$102,1),MATCH(ROUND(Q67,1),Tablo_E!$B$1:$CX$1,1)))</f>
        <v>0</v>
      </c>
      <c r="S67" s="77">
        <f t="shared" si="1"/>
        <v>0</v>
      </c>
      <c r="T67" s="49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x14ac:dyDescent="0.45">
      <c r="A68" s="54">
        <v>65</v>
      </c>
      <c r="B68" s="146">
        <f>Hakemler!B68</f>
        <v>0</v>
      </c>
      <c r="C68" s="147">
        <f>Hakemler!C68</f>
        <v>0</v>
      </c>
      <c r="D68" s="55"/>
      <c r="E68" s="63">
        <f>IF(ISBLANK(D68),0,ABS(Uzman_E!A$7-D68))</f>
        <v>0</v>
      </c>
      <c r="F68" s="64">
        <f>IF(ISBLANK(D68),0,INDEX(Tablo_E!$B$2:$CX$102,MATCH(ROUND(Uzman_E!A$7,1),Tablo_E!$A$2:$A$102,1),MATCH(ROUND(E68,1),Tablo_E!$B$1:$CX$1,1)))</f>
        <v>0</v>
      </c>
      <c r="G68" s="55"/>
      <c r="H68" s="63">
        <f>IF(ISBLANK(G68),0,ABS(Uzman_E!B$7-G68))</f>
        <v>0</v>
      </c>
      <c r="I68" s="64">
        <f>IF(ISBLANK(G68),0,INDEX(Tablo_E!$B$2:$CX$102,MATCH(ROUND(Uzman_E!B$7,1),Tablo_E!$A$2:$A$102,1),MATCH(ROUND(H68,1),Tablo_E!$B$1:$CX$1,1)))</f>
        <v>0</v>
      </c>
      <c r="J68" s="55"/>
      <c r="K68" s="63">
        <f>IF(ISBLANK(J68),0,ABS(Uzman_E!C$7-J68))</f>
        <v>0</v>
      </c>
      <c r="L68" s="64">
        <f>IF(ISBLANK(J68),0,INDEX(Tablo_E!$B$2:$CX$102,MATCH(ROUND(Uzman_E!C$7,1),Tablo_E!$A$2:$A$102,1),MATCH(ROUND(K68,1),Tablo_E!$B$1:$CX$1,1)))</f>
        <v>0</v>
      </c>
      <c r="M68" s="55"/>
      <c r="N68" s="63">
        <f>IF(ISBLANK(M68),0,ABS(Uzman_E!D$7-M68))</f>
        <v>0</v>
      </c>
      <c r="O68" s="64">
        <f>IF(ISBLANK(M68),0,INDEX(Tablo_E!$B$2:$CX$102,MATCH(ROUND(Uzman_E!D$7,1),Tablo_E!$A$2:$A$102,1),MATCH(ROUND(N68,1),Tablo_E!$B$1:$CX$1,1)))</f>
        <v>0</v>
      </c>
      <c r="P68" s="55"/>
      <c r="Q68" s="63">
        <f>IF(ISBLANK(P68),0,ABS(Uzman_E!E$7-P68))</f>
        <v>0</v>
      </c>
      <c r="R68" s="64">
        <f>IF(ISBLANK(P68),0,INDEX(Tablo_E!$B$2:$CX$102,MATCH(ROUND(Uzman_E!E$7,1),Tablo_E!$A$2:$A$102,1),MATCH(ROUND(Q68,1),Tablo_E!$B$1:$CX$1,1)))</f>
        <v>0</v>
      </c>
      <c r="S68" s="77">
        <f t="shared" ref="S68:S99" si="2">(F68+I68+L68+O68+R68)/5</f>
        <v>0</v>
      </c>
      <c r="T68" s="49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x14ac:dyDescent="0.45">
      <c r="A69" s="54">
        <v>66</v>
      </c>
      <c r="B69" s="146">
        <f>Hakemler!B69</f>
        <v>0</v>
      </c>
      <c r="C69" s="147">
        <f>Hakemler!C69</f>
        <v>0</v>
      </c>
      <c r="D69" s="55"/>
      <c r="E69" s="63">
        <f>IF(ISBLANK(D69),0,ABS(Uzman_E!A$7-D69))</f>
        <v>0</v>
      </c>
      <c r="F69" s="64">
        <f>IF(ISBLANK(D69),0,INDEX(Tablo_E!$B$2:$CX$102,MATCH(ROUND(Uzman_E!A$7,1),Tablo_E!$A$2:$A$102,1),MATCH(ROUND(E69,1),Tablo_E!$B$1:$CX$1,1)))</f>
        <v>0</v>
      </c>
      <c r="G69" s="55"/>
      <c r="H69" s="63">
        <f>IF(ISBLANK(G69),0,ABS(Uzman_E!B$7-G69))</f>
        <v>0</v>
      </c>
      <c r="I69" s="64">
        <f>IF(ISBLANK(G69),0,INDEX(Tablo_E!$B$2:$CX$102,MATCH(ROUND(Uzman_E!B$7,1),Tablo_E!$A$2:$A$102,1),MATCH(ROUND(H69,1),Tablo_E!$B$1:$CX$1,1)))</f>
        <v>0</v>
      </c>
      <c r="J69" s="55"/>
      <c r="K69" s="63">
        <f>IF(ISBLANK(J69),0,ABS(Uzman_E!C$7-J69))</f>
        <v>0</v>
      </c>
      <c r="L69" s="64">
        <f>IF(ISBLANK(J69),0,INDEX(Tablo_E!$B$2:$CX$102,MATCH(ROUND(Uzman_E!C$7,1),Tablo_E!$A$2:$A$102,1),MATCH(ROUND(K69,1),Tablo_E!$B$1:$CX$1,1)))</f>
        <v>0</v>
      </c>
      <c r="M69" s="55"/>
      <c r="N69" s="63">
        <f>IF(ISBLANK(M69),0,ABS(Uzman_E!D$7-M69))</f>
        <v>0</v>
      </c>
      <c r="O69" s="64">
        <f>IF(ISBLANK(M69),0,INDEX(Tablo_E!$B$2:$CX$102,MATCH(ROUND(Uzman_E!D$7,1),Tablo_E!$A$2:$A$102,1),MATCH(ROUND(N69,1),Tablo_E!$B$1:$CX$1,1)))</f>
        <v>0</v>
      </c>
      <c r="P69" s="55"/>
      <c r="Q69" s="63">
        <f>IF(ISBLANK(P69),0,ABS(Uzman_E!E$7-P69))</f>
        <v>0</v>
      </c>
      <c r="R69" s="64">
        <f>IF(ISBLANK(P69),0,INDEX(Tablo_E!$B$2:$CX$102,MATCH(ROUND(Uzman_E!E$7,1),Tablo_E!$A$2:$A$102,1),MATCH(ROUND(Q69,1),Tablo_E!$B$1:$CX$1,1)))</f>
        <v>0</v>
      </c>
      <c r="S69" s="77">
        <f t="shared" si="2"/>
        <v>0</v>
      </c>
      <c r="T69" s="49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x14ac:dyDescent="0.45">
      <c r="A70" s="54">
        <v>67</v>
      </c>
      <c r="B70" s="146">
        <f>Hakemler!B70</f>
        <v>0</v>
      </c>
      <c r="C70" s="147">
        <f>Hakemler!C70</f>
        <v>0</v>
      </c>
      <c r="D70" s="55"/>
      <c r="E70" s="63">
        <f>IF(ISBLANK(D70),0,ABS(Uzman_E!A$7-D70))</f>
        <v>0</v>
      </c>
      <c r="F70" s="64">
        <f>IF(ISBLANK(D70),0,INDEX(Tablo_E!$B$2:$CX$102,MATCH(ROUND(Uzman_E!A$7,1),Tablo_E!$A$2:$A$102,1),MATCH(ROUND(E70,1),Tablo_E!$B$1:$CX$1,1)))</f>
        <v>0</v>
      </c>
      <c r="G70" s="55"/>
      <c r="H70" s="63">
        <f>IF(ISBLANK(G70),0,ABS(Uzman_E!B$7-G70))</f>
        <v>0</v>
      </c>
      <c r="I70" s="64">
        <f>IF(ISBLANK(G70),0,INDEX(Tablo_E!$B$2:$CX$102,MATCH(ROUND(Uzman_E!B$7,1),Tablo_E!$A$2:$A$102,1),MATCH(ROUND(H70,1),Tablo_E!$B$1:$CX$1,1)))</f>
        <v>0</v>
      </c>
      <c r="J70" s="55"/>
      <c r="K70" s="63">
        <f>IF(ISBLANK(J70),0,ABS(Uzman_E!C$7-J70))</f>
        <v>0</v>
      </c>
      <c r="L70" s="64">
        <f>IF(ISBLANK(J70),0,INDEX(Tablo_E!$B$2:$CX$102,MATCH(ROUND(Uzman_E!C$7,1),Tablo_E!$A$2:$A$102,1),MATCH(ROUND(K70,1),Tablo_E!$B$1:$CX$1,1)))</f>
        <v>0</v>
      </c>
      <c r="M70" s="55"/>
      <c r="N70" s="63">
        <f>IF(ISBLANK(M70),0,ABS(Uzman_E!D$7-M70))</f>
        <v>0</v>
      </c>
      <c r="O70" s="64">
        <f>IF(ISBLANK(M70),0,INDEX(Tablo_E!$B$2:$CX$102,MATCH(ROUND(Uzman_E!D$7,1),Tablo_E!$A$2:$A$102,1),MATCH(ROUND(N70,1),Tablo_E!$B$1:$CX$1,1)))</f>
        <v>0</v>
      </c>
      <c r="P70" s="55"/>
      <c r="Q70" s="63">
        <f>IF(ISBLANK(P70),0,ABS(Uzman_E!E$7-P70))</f>
        <v>0</v>
      </c>
      <c r="R70" s="64">
        <f>IF(ISBLANK(P70),0,INDEX(Tablo_E!$B$2:$CX$102,MATCH(ROUND(Uzman_E!E$7,1),Tablo_E!$A$2:$A$102,1),MATCH(ROUND(Q70,1),Tablo_E!$B$1:$CX$1,1)))</f>
        <v>0</v>
      </c>
      <c r="S70" s="77">
        <f t="shared" si="2"/>
        <v>0</v>
      </c>
      <c r="T70" s="49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x14ac:dyDescent="0.45">
      <c r="A71" s="54">
        <v>68</v>
      </c>
      <c r="B71" s="146">
        <f>Hakemler!B71</f>
        <v>0</v>
      </c>
      <c r="C71" s="147">
        <f>Hakemler!C71</f>
        <v>0</v>
      </c>
      <c r="D71" s="55"/>
      <c r="E71" s="63">
        <f>IF(ISBLANK(D71),0,ABS(Uzman_E!A$7-D71))</f>
        <v>0</v>
      </c>
      <c r="F71" s="64">
        <f>IF(ISBLANK(D71),0,INDEX(Tablo_E!$B$2:$CX$102,MATCH(ROUND(Uzman_E!A$7,1),Tablo_E!$A$2:$A$102,1),MATCH(ROUND(E71,1),Tablo_E!$B$1:$CX$1,1)))</f>
        <v>0</v>
      </c>
      <c r="G71" s="55"/>
      <c r="H71" s="63">
        <f>IF(ISBLANK(G71),0,ABS(Uzman_E!B$7-G71))</f>
        <v>0</v>
      </c>
      <c r="I71" s="64">
        <f>IF(ISBLANK(G71),0,INDEX(Tablo_E!$B$2:$CX$102,MATCH(ROUND(Uzman_E!B$7,1),Tablo_E!$A$2:$A$102,1),MATCH(ROUND(H71,1),Tablo_E!$B$1:$CX$1,1)))</f>
        <v>0</v>
      </c>
      <c r="J71" s="55"/>
      <c r="K71" s="63">
        <f>IF(ISBLANK(J71),0,ABS(Uzman_E!C$7-J71))</f>
        <v>0</v>
      </c>
      <c r="L71" s="64">
        <f>IF(ISBLANK(J71),0,INDEX(Tablo_E!$B$2:$CX$102,MATCH(ROUND(Uzman_E!C$7,1),Tablo_E!$A$2:$A$102,1),MATCH(ROUND(K71,1),Tablo_E!$B$1:$CX$1,1)))</f>
        <v>0</v>
      </c>
      <c r="M71" s="55"/>
      <c r="N71" s="63">
        <f>IF(ISBLANK(M71),0,ABS(Uzman_E!D$7-M71))</f>
        <v>0</v>
      </c>
      <c r="O71" s="64">
        <f>IF(ISBLANK(M71),0,INDEX(Tablo_E!$B$2:$CX$102,MATCH(ROUND(Uzman_E!D$7,1),Tablo_E!$A$2:$A$102,1),MATCH(ROUND(N71,1),Tablo_E!$B$1:$CX$1,1)))</f>
        <v>0</v>
      </c>
      <c r="P71" s="55"/>
      <c r="Q71" s="63">
        <f>IF(ISBLANK(P71),0,ABS(Uzman_E!E$7-P71))</f>
        <v>0</v>
      </c>
      <c r="R71" s="64">
        <f>IF(ISBLANK(P71),0,INDEX(Tablo_E!$B$2:$CX$102,MATCH(ROUND(Uzman_E!E$7,1),Tablo_E!$A$2:$A$102,1),MATCH(ROUND(Q71,1),Tablo_E!$B$1:$CX$1,1)))</f>
        <v>0</v>
      </c>
      <c r="S71" s="77">
        <f t="shared" si="2"/>
        <v>0</v>
      </c>
      <c r="T71" s="49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x14ac:dyDescent="0.45">
      <c r="A72" s="54">
        <v>69</v>
      </c>
      <c r="B72" s="146">
        <f>Hakemler!B72</f>
        <v>0</v>
      </c>
      <c r="C72" s="147">
        <f>Hakemler!C72</f>
        <v>0</v>
      </c>
      <c r="D72" s="55"/>
      <c r="E72" s="63">
        <f>IF(ISBLANK(D72),0,ABS(Uzman_E!A$7-D72))</f>
        <v>0</v>
      </c>
      <c r="F72" s="64">
        <f>IF(ISBLANK(D72),0,INDEX(Tablo_E!$B$2:$CX$102,MATCH(ROUND(Uzman_E!A$7,1),Tablo_E!$A$2:$A$102,1),MATCH(ROUND(E72,1),Tablo_E!$B$1:$CX$1,1)))</f>
        <v>0</v>
      </c>
      <c r="G72" s="55"/>
      <c r="H72" s="63">
        <f>IF(ISBLANK(G72),0,ABS(Uzman_E!B$7-G72))</f>
        <v>0</v>
      </c>
      <c r="I72" s="64">
        <f>IF(ISBLANK(G72),0,INDEX(Tablo_E!$B$2:$CX$102,MATCH(ROUND(Uzman_E!B$7,1),Tablo_E!$A$2:$A$102,1),MATCH(ROUND(H72,1),Tablo_E!$B$1:$CX$1,1)))</f>
        <v>0</v>
      </c>
      <c r="J72" s="55"/>
      <c r="K72" s="63">
        <f>IF(ISBLANK(J72),0,ABS(Uzman_E!C$7-J72))</f>
        <v>0</v>
      </c>
      <c r="L72" s="64">
        <f>IF(ISBLANK(J72),0,INDEX(Tablo_E!$B$2:$CX$102,MATCH(ROUND(Uzman_E!C$7,1),Tablo_E!$A$2:$A$102,1),MATCH(ROUND(K72,1),Tablo_E!$B$1:$CX$1,1)))</f>
        <v>0</v>
      </c>
      <c r="M72" s="55"/>
      <c r="N72" s="63">
        <f>IF(ISBLANK(M72),0,ABS(Uzman_E!D$7-M72))</f>
        <v>0</v>
      </c>
      <c r="O72" s="64">
        <f>IF(ISBLANK(M72),0,INDEX(Tablo_E!$B$2:$CX$102,MATCH(ROUND(Uzman_E!D$7,1),Tablo_E!$A$2:$A$102,1),MATCH(ROUND(N72,1),Tablo_E!$B$1:$CX$1,1)))</f>
        <v>0</v>
      </c>
      <c r="P72" s="55"/>
      <c r="Q72" s="63">
        <f>IF(ISBLANK(P72),0,ABS(Uzman_E!E$7-P72))</f>
        <v>0</v>
      </c>
      <c r="R72" s="64">
        <f>IF(ISBLANK(P72),0,INDEX(Tablo_E!$B$2:$CX$102,MATCH(ROUND(Uzman_E!E$7,1),Tablo_E!$A$2:$A$102,1),MATCH(ROUND(Q72,1),Tablo_E!$B$1:$CX$1,1)))</f>
        <v>0</v>
      </c>
      <c r="S72" s="77">
        <f t="shared" si="2"/>
        <v>0</v>
      </c>
      <c r="T72" s="49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x14ac:dyDescent="0.45">
      <c r="A73" s="54">
        <v>70</v>
      </c>
      <c r="B73" s="146">
        <f>Hakemler!B73</f>
        <v>0</v>
      </c>
      <c r="C73" s="147">
        <f>Hakemler!C73</f>
        <v>0</v>
      </c>
      <c r="D73" s="55"/>
      <c r="E73" s="63">
        <f>IF(ISBLANK(D73),0,ABS(Uzman_E!A$7-D73))</f>
        <v>0</v>
      </c>
      <c r="F73" s="64">
        <f>IF(ISBLANK(D73),0,INDEX(Tablo_E!$B$2:$CX$102,MATCH(ROUND(Uzman_E!A$7,1),Tablo_E!$A$2:$A$102,1),MATCH(ROUND(E73,1),Tablo_E!$B$1:$CX$1,1)))</f>
        <v>0</v>
      </c>
      <c r="G73" s="55"/>
      <c r="H73" s="63">
        <f>IF(ISBLANK(G73),0,ABS(Uzman_E!B$7-G73))</f>
        <v>0</v>
      </c>
      <c r="I73" s="64">
        <f>IF(ISBLANK(G73),0,INDEX(Tablo_E!$B$2:$CX$102,MATCH(ROUND(Uzman_E!B$7,1),Tablo_E!$A$2:$A$102,1),MATCH(ROUND(H73,1),Tablo_E!$B$1:$CX$1,1)))</f>
        <v>0</v>
      </c>
      <c r="J73" s="55"/>
      <c r="K73" s="63">
        <f>IF(ISBLANK(J73),0,ABS(Uzman_E!C$7-J73))</f>
        <v>0</v>
      </c>
      <c r="L73" s="64">
        <f>IF(ISBLANK(J73),0,INDEX(Tablo_E!$B$2:$CX$102,MATCH(ROUND(Uzman_E!C$7,1),Tablo_E!$A$2:$A$102,1),MATCH(ROUND(K73,1),Tablo_E!$B$1:$CX$1,1)))</f>
        <v>0</v>
      </c>
      <c r="M73" s="55"/>
      <c r="N73" s="63">
        <f>IF(ISBLANK(M73),0,ABS(Uzman_E!D$7-M73))</f>
        <v>0</v>
      </c>
      <c r="O73" s="64">
        <f>IF(ISBLANK(M73),0,INDEX(Tablo_E!$B$2:$CX$102,MATCH(ROUND(Uzman_E!D$7,1),Tablo_E!$A$2:$A$102,1),MATCH(ROUND(N73,1),Tablo_E!$B$1:$CX$1,1)))</f>
        <v>0</v>
      </c>
      <c r="P73" s="55"/>
      <c r="Q73" s="63">
        <f>IF(ISBLANK(P73),0,ABS(Uzman_E!E$7-P73))</f>
        <v>0</v>
      </c>
      <c r="R73" s="64">
        <f>IF(ISBLANK(P73),0,INDEX(Tablo_E!$B$2:$CX$102,MATCH(ROUND(Uzman_E!E$7,1),Tablo_E!$A$2:$A$102,1),MATCH(ROUND(Q73,1),Tablo_E!$B$1:$CX$1,1)))</f>
        <v>0</v>
      </c>
      <c r="S73" s="77">
        <f t="shared" si="2"/>
        <v>0</v>
      </c>
      <c r="T73" s="49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x14ac:dyDescent="0.45">
      <c r="A74" s="54">
        <v>71</v>
      </c>
      <c r="B74" s="146">
        <f>Hakemler!B74</f>
        <v>0</v>
      </c>
      <c r="C74" s="147">
        <f>Hakemler!C74</f>
        <v>0</v>
      </c>
      <c r="D74" s="55"/>
      <c r="E74" s="63">
        <f>IF(ISBLANK(D74),0,ABS(Uzman_E!A$7-D74))</f>
        <v>0</v>
      </c>
      <c r="F74" s="64">
        <f>IF(ISBLANK(D74),0,INDEX(Tablo_E!$B$2:$CX$102,MATCH(ROUND(Uzman_E!A$7,1),Tablo_E!$A$2:$A$102,1),MATCH(ROUND(E74,1),Tablo_E!$B$1:$CX$1,1)))</f>
        <v>0</v>
      </c>
      <c r="G74" s="55"/>
      <c r="H74" s="63">
        <f>IF(ISBLANK(G74),0,ABS(Uzman_E!B$7-G74))</f>
        <v>0</v>
      </c>
      <c r="I74" s="64">
        <f>IF(ISBLANK(G74),0,INDEX(Tablo_E!$B$2:$CX$102,MATCH(ROUND(Uzman_E!B$7,1),Tablo_E!$A$2:$A$102,1),MATCH(ROUND(H74,1),Tablo_E!$B$1:$CX$1,1)))</f>
        <v>0</v>
      </c>
      <c r="J74" s="55"/>
      <c r="K74" s="63">
        <f>IF(ISBLANK(J74),0,ABS(Uzman_E!C$7-J74))</f>
        <v>0</v>
      </c>
      <c r="L74" s="64">
        <f>IF(ISBLANK(J74),0,INDEX(Tablo_E!$B$2:$CX$102,MATCH(ROUND(Uzman_E!C$7,1),Tablo_E!$A$2:$A$102,1),MATCH(ROUND(K74,1),Tablo_E!$B$1:$CX$1,1)))</f>
        <v>0</v>
      </c>
      <c r="M74" s="55"/>
      <c r="N74" s="63">
        <f>IF(ISBLANK(M74),0,ABS(Uzman_E!D$7-M74))</f>
        <v>0</v>
      </c>
      <c r="O74" s="64">
        <f>IF(ISBLANK(M74),0,INDEX(Tablo_E!$B$2:$CX$102,MATCH(ROUND(Uzman_E!D$7,1),Tablo_E!$A$2:$A$102,1),MATCH(ROUND(N74,1),Tablo_E!$B$1:$CX$1,1)))</f>
        <v>0</v>
      </c>
      <c r="P74" s="55"/>
      <c r="Q74" s="63">
        <f>IF(ISBLANK(P74),0,ABS(Uzman_E!E$7-P74))</f>
        <v>0</v>
      </c>
      <c r="R74" s="64">
        <f>IF(ISBLANK(P74),0,INDEX(Tablo_E!$B$2:$CX$102,MATCH(ROUND(Uzman_E!E$7,1),Tablo_E!$A$2:$A$102,1),MATCH(ROUND(Q74,1),Tablo_E!$B$1:$CX$1,1)))</f>
        <v>0</v>
      </c>
      <c r="S74" s="77">
        <f t="shared" si="2"/>
        <v>0</v>
      </c>
      <c r="T74" s="49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x14ac:dyDescent="0.45">
      <c r="A75" s="54">
        <v>72</v>
      </c>
      <c r="B75" s="146">
        <f>Hakemler!B75</f>
        <v>0</v>
      </c>
      <c r="C75" s="147">
        <f>Hakemler!C75</f>
        <v>0</v>
      </c>
      <c r="D75" s="55"/>
      <c r="E75" s="63">
        <f>IF(ISBLANK(D75),0,ABS(Uzman_E!A$7-D75))</f>
        <v>0</v>
      </c>
      <c r="F75" s="64">
        <f>IF(ISBLANK(D75),0,INDEX(Tablo_E!$B$2:$CX$102,MATCH(ROUND(Uzman_E!A$7,1),Tablo_E!$A$2:$A$102,1),MATCH(ROUND(E75,1),Tablo_E!$B$1:$CX$1,1)))</f>
        <v>0</v>
      </c>
      <c r="G75" s="55"/>
      <c r="H75" s="63">
        <f>IF(ISBLANK(G75),0,ABS(Uzman_E!B$7-G75))</f>
        <v>0</v>
      </c>
      <c r="I75" s="64">
        <f>IF(ISBLANK(G75),0,INDEX(Tablo_E!$B$2:$CX$102,MATCH(ROUND(Uzman_E!B$7,1),Tablo_E!$A$2:$A$102,1),MATCH(ROUND(H75,1),Tablo_E!$B$1:$CX$1,1)))</f>
        <v>0</v>
      </c>
      <c r="J75" s="55"/>
      <c r="K75" s="63">
        <f>IF(ISBLANK(J75),0,ABS(Uzman_E!C$7-J75))</f>
        <v>0</v>
      </c>
      <c r="L75" s="64">
        <f>IF(ISBLANK(J75),0,INDEX(Tablo_E!$B$2:$CX$102,MATCH(ROUND(Uzman_E!C$7,1),Tablo_E!$A$2:$A$102,1),MATCH(ROUND(K75,1),Tablo_E!$B$1:$CX$1,1)))</f>
        <v>0</v>
      </c>
      <c r="M75" s="55"/>
      <c r="N75" s="63">
        <f>IF(ISBLANK(M75),0,ABS(Uzman_E!D$7-M75))</f>
        <v>0</v>
      </c>
      <c r="O75" s="64">
        <f>IF(ISBLANK(M75),0,INDEX(Tablo_E!$B$2:$CX$102,MATCH(ROUND(Uzman_E!D$7,1),Tablo_E!$A$2:$A$102,1),MATCH(ROUND(N75,1),Tablo_E!$B$1:$CX$1,1)))</f>
        <v>0</v>
      </c>
      <c r="P75" s="55"/>
      <c r="Q75" s="63">
        <f>IF(ISBLANK(P75),0,ABS(Uzman_E!E$7-P75))</f>
        <v>0</v>
      </c>
      <c r="R75" s="64">
        <f>IF(ISBLANK(P75),0,INDEX(Tablo_E!$B$2:$CX$102,MATCH(ROUND(Uzman_E!E$7,1),Tablo_E!$A$2:$A$102,1),MATCH(ROUND(Q75,1),Tablo_E!$B$1:$CX$1,1)))</f>
        <v>0</v>
      </c>
      <c r="S75" s="77">
        <f t="shared" si="2"/>
        <v>0</v>
      </c>
      <c r="T75" s="49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x14ac:dyDescent="0.45">
      <c r="A76" s="54">
        <v>73</v>
      </c>
      <c r="B76" s="146">
        <f>Hakemler!B76</f>
        <v>0</v>
      </c>
      <c r="C76" s="147">
        <f>Hakemler!C76</f>
        <v>0</v>
      </c>
      <c r="D76" s="55"/>
      <c r="E76" s="63">
        <f>IF(ISBLANK(D76),0,ABS(Uzman_E!A$7-D76))</f>
        <v>0</v>
      </c>
      <c r="F76" s="64">
        <f>IF(ISBLANK(D76),0,INDEX(Tablo_E!$B$2:$CX$102,MATCH(ROUND(Uzman_E!A$7,1),Tablo_E!$A$2:$A$102,1),MATCH(ROUND(E76,1),Tablo_E!$B$1:$CX$1,1)))</f>
        <v>0</v>
      </c>
      <c r="G76" s="55"/>
      <c r="H76" s="63">
        <f>IF(ISBLANK(G76),0,ABS(Uzman_E!B$7-G76))</f>
        <v>0</v>
      </c>
      <c r="I76" s="64">
        <f>IF(ISBLANK(G76),0,INDEX(Tablo_E!$B$2:$CX$102,MATCH(ROUND(Uzman_E!B$7,1),Tablo_E!$A$2:$A$102,1),MATCH(ROUND(H76,1),Tablo_E!$B$1:$CX$1,1)))</f>
        <v>0</v>
      </c>
      <c r="J76" s="55"/>
      <c r="K76" s="63">
        <f>IF(ISBLANK(J76),0,ABS(Uzman_E!C$7-J76))</f>
        <v>0</v>
      </c>
      <c r="L76" s="64">
        <f>IF(ISBLANK(J76),0,INDEX(Tablo_E!$B$2:$CX$102,MATCH(ROUND(Uzman_E!C$7,1),Tablo_E!$A$2:$A$102,1),MATCH(ROUND(K76,1),Tablo_E!$B$1:$CX$1,1)))</f>
        <v>0</v>
      </c>
      <c r="M76" s="55"/>
      <c r="N76" s="63">
        <f>IF(ISBLANK(M76),0,ABS(Uzman_E!D$7-M76))</f>
        <v>0</v>
      </c>
      <c r="O76" s="64">
        <f>IF(ISBLANK(M76),0,INDEX(Tablo_E!$B$2:$CX$102,MATCH(ROUND(Uzman_E!D$7,1),Tablo_E!$A$2:$A$102,1),MATCH(ROUND(N76,1),Tablo_E!$B$1:$CX$1,1)))</f>
        <v>0</v>
      </c>
      <c r="P76" s="55"/>
      <c r="Q76" s="63">
        <f>IF(ISBLANK(P76),0,ABS(Uzman_E!E$7-P76))</f>
        <v>0</v>
      </c>
      <c r="R76" s="64">
        <f>IF(ISBLANK(P76),0,INDEX(Tablo_E!$B$2:$CX$102,MATCH(ROUND(Uzman_E!E$7,1),Tablo_E!$A$2:$A$102,1),MATCH(ROUND(Q76,1),Tablo_E!$B$1:$CX$1,1)))</f>
        <v>0</v>
      </c>
      <c r="S76" s="77">
        <f t="shared" si="2"/>
        <v>0</v>
      </c>
      <c r="T76" s="49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x14ac:dyDescent="0.45">
      <c r="A77" s="54">
        <v>74</v>
      </c>
      <c r="B77" s="146">
        <f>Hakemler!B77</f>
        <v>0</v>
      </c>
      <c r="C77" s="147">
        <f>Hakemler!C77</f>
        <v>0</v>
      </c>
      <c r="D77" s="55"/>
      <c r="E77" s="63">
        <f>IF(ISBLANK(D77),0,ABS(Uzman_E!A$7-D77))</f>
        <v>0</v>
      </c>
      <c r="F77" s="64">
        <f>IF(ISBLANK(D77),0,INDEX(Tablo_E!$B$2:$CX$102,MATCH(ROUND(Uzman_E!A$7,1),Tablo_E!$A$2:$A$102,1),MATCH(ROUND(E77,1),Tablo_E!$B$1:$CX$1,1)))</f>
        <v>0</v>
      </c>
      <c r="G77" s="55"/>
      <c r="H77" s="63">
        <f>IF(ISBLANK(G77),0,ABS(Uzman_E!B$7-G77))</f>
        <v>0</v>
      </c>
      <c r="I77" s="64">
        <f>IF(ISBLANK(G77),0,INDEX(Tablo_E!$B$2:$CX$102,MATCH(ROUND(Uzman_E!B$7,1),Tablo_E!$A$2:$A$102,1),MATCH(ROUND(H77,1),Tablo_E!$B$1:$CX$1,1)))</f>
        <v>0</v>
      </c>
      <c r="J77" s="55"/>
      <c r="K77" s="63">
        <f>IF(ISBLANK(J77),0,ABS(Uzman_E!C$7-J77))</f>
        <v>0</v>
      </c>
      <c r="L77" s="64">
        <f>IF(ISBLANK(J77),0,INDEX(Tablo_E!$B$2:$CX$102,MATCH(ROUND(Uzman_E!C$7,1),Tablo_E!$A$2:$A$102,1),MATCH(ROUND(K77,1),Tablo_E!$B$1:$CX$1,1)))</f>
        <v>0</v>
      </c>
      <c r="M77" s="55"/>
      <c r="N77" s="63">
        <f>IF(ISBLANK(M77),0,ABS(Uzman_E!D$7-M77))</f>
        <v>0</v>
      </c>
      <c r="O77" s="64">
        <f>IF(ISBLANK(M77),0,INDEX(Tablo_E!$B$2:$CX$102,MATCH(ROUND(Uzman_E!D$7,1),Tablo_E!$A$2:$A$102,1),MATCH(ROUND(N77,1),Tablo_E!$B$1:$CX$1,1)))</f>
        <v>0</v>
      </c>
      <c r="P77" s="55"/>
      <c r="Q77" s="63">
        <f>IF(ISBLANK(P77),0,ABS(Uzman_E!E$7-P77))</f>
        <v>0</v>
      </c>
      <c r="R77" s="64">
        <f>IF(ISBLANK(P77),0,INDEX(Tablo_E!$B$2:$CX$102,MATCH(ROUND(Uzman_E!E$7,1),Tablo_E!$A$2:$A$102,1),MATCH(ROUND(Q77,1),Tablo_E!$B$1:$CX$1,1)))</f>
        <v>0</v>
      </c>
      <c r="S77" s="77">
        <f t="shared" si="2"/>
        <v>0</v>
      </c>
      <c r="T77" s="49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x14ac:dyDescent="0.45">
      <c r="A78" s="54">
        <v>75</v>
      </c>
      <c r="B78" s="146">
        <f>Hakemler!B78</f>
        <v>0</v>
      </c>
      <c r="C78" s="147">
        <f>Hakemler!C78</f>
        <v>0</v>
      </c>
      <c r="D78" s="55"/>
      <c r="E78" s="63">
        <f>IF(ISBLANK(D78),0,ABS(Uzman_E!A$7-D78))</f>
        <v>0</v>
      </c>
      <c r="F78" s="64">
        <f>IF(ISBLANK(D78),0,INDEX(Tablo_E!$B$2:$CX$102,MATCH(ROUND(Uzman_E!A$7,1),Tablo_E!$A$2:$A$102,1),MATCH(ROUND(E78,1),Tablo_E!$B$1:$CX$1,1)))</f>
        <v>0</v>
      </c>
      <c r="G78" s="55"/>
      <c r="H78" s="63">
        <f>IF(ISBLANK(G78),0,ABS(Uzman_E!B$7-G78))</f>
        <v>0</v>
      </c>
      <c r="I78" s="64">
        <f>IF(ISBLANK(G78),0,INDEX(Tablo_E!$B$2:$CX$102,MATCH(ROUND(Uzman_E!B$7,1),Tablo_E!$A$2:$A$102,1),MATCH(ROUND(H78,1),Tablo_E!$B$1:$CX$1,1)))</f>
        <v>0</v>
      </c>
      <c r="J78" s="55"/>
      <c r="K78" s="63">
        <f>IF(ISBLANK(J78),0,ABS(Uzman_E!C$7-J78))</f>
        <v>0</v>
      </c>
      <c r="L78" s="64">
        <f>IF(ISBLANK(J78),0,INDEX(Tablo_E!$B$2:$CX$102,MATCH(ROUND(Uzman_E!C$7,1),Tablo_E!$A$2:$A$102,1),MATCH(ROUND(K78,1),Tablo_E!$B$1:$CX$1,1)))</f>
        <v>0</v>
      </c>
      <c r="M78" s="55"/>
      <c r="N78" s="63">
        <f>IF(ISBLANK(M78),0,ABS(Uzman_E!D$7-M78))</f>
        <v>0</v>
      </c>
      <c r="O78" s="64">
        <f>IF(ISBLANK(M78),0,INDEX(Tablo_E!$B$2:$CX$102,MATCH(ROUND(Uzman_E!D$7,1),Tablo_E!$A$2:$A$102,1),MATCH(ROUND(N78,1),Tablo_E!$B$1:$CX$1,1)))</f>
        <v>0</v>
      </c>
      <c r="P78" s="55"/>
      <c r="Q78" s="63">
        <f>IF(ISBLANK(P78),0,ABS(Uzman_E!E$7-P78))</f>
        <v>0</v>
      </c>
      <c r="R78" s="64">
        <f>IF(ISBLANK(P78),0,INDEX(Tablo_E!$B$2:$CX$102,MATCH(ROUND(Uzman_E!E$7,1),Tablo_E!$A$2:$A$102,1),MATCH(ROUND(Q78,1),Tablo_E!$B$1:$CX$1,1)))</f>
        <v>0</v>
      </c>
      <c r="S78" s="77">
        <f t="shared" si="2"/>
        <v>0</v>
      </c>
      <c r="T78" s="49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x14ac:dyDescent="0.45">
      <c r="A79" s="54">
        <v>76</v>
      </c>
      <c r="B79" s="146">
        <f>Hakemler!B79</f>
        <v>0</v>
      </c>
      <c r="C79" s="147">
        <f>Hakemler!C79</f>
        <v>0</v>
      </c>
      <c r="D79" s="55"/>
      <c r="E79" s="63">
        <f>IF(ISBLANK(D79),0,ABS(Uzman_E!A$7-D79))</f>
        <v>0</v>
      </c>
      <c r="F79" s="64">
        <f>IF(ISBLANK(D79),0,INDEX(Tablo_E!$B$2:$CX$102,MATCH(ROUND(Uzman_E!A$7,1),Tablo_E!$A$2:$A$102,1),MATCH(ROUND(E79,1),Tablo_E!$B$1:$CX$1,1)))</f>
        <v>0</v>
      </c>
      <c r="G79" s="55"/>
      <c r="H79" s="63">
        <f>IF(ISBLANK(G79),0,ABS(Uzman_E!B$7-G79))</f>
        <v>0</v>
      </c>
      <c r="I79" s="64">
        <f>IF(ISBLANK(G79),0,INDEX(Tablo_E!$B$2:$CX$102,MATCH(ROUND(Uzman_E!B$7,1),Tablo_E!$A$2:$A$102,1),MATCH(ROUND(H79,1),Tablo_E!$B$1:$CX$1,1)))</f>
        <v>0</v>
      </c>
      <c r="J79" s="55"/>
      <c r="K79" s="63">
        <f>IF(ISBLANK(J79),0,ABS(Uzman_E!C$7-J79))</f>
        <v>0</v>
      </c>
      <c r="L79" s="64">
        <f>IF(ISBLANK(J79),0,INDEX(Tablo_E!$B$2:$CX$102,MATCH(ROUND(Uzman_E!C$7,1),Tablo_E!$A$2:$A$102,1),MATCH(ROUND(K79,1),Tablo_E!$B$1:$CX$1,1)))</f>
        <v>0</v>
      </c>
      <c r="M79" s="55"/>
      <c r="N79" s="63">
        <f>IF(ISBLANK(M79),0,ABS(Uzman_E!D$7-M79))</f>
        <v>0</v>
      </c>
      <c r="O79" s="64">
        <f>IF(ISBLANK(M79),0,INDEX(Tablo_E!$B$2:$CX$102,MATCH(ROUND(Uzman_E!D$7,1),Tablo_E!$A$2:$A$102,1),MATCH(ROUND(N79,1),Tablo_E!$B$1:$CX$1,1)))</f>
        <v>0</v>
      </c>
      <c r="P79" s="55"/>
      <c r="Q79" s="63">
        <f>IF(ISBLANK(P79),0,ABS(Uzman_E!E$7-P79))</f>
        <v>0</v>
      </c>
      <c r="R79" s="64">
        <f>IF(ISBLANK(P79),0,INDEX(Tablo_E!$B$2:$CX$102,MATCH(ROUND(Uzman_E!E$7,1),Tablo_E!$A$2:$A$102,1),MATCH(ROUND(Q79,1),Tablo_E!$B$1:$CX$1,1)))</f>
        <v>0</v>
      </c>
      <c r="S79" s="77">
        <f t="shared" si="2"/>
        <v>0</v>
      </c>
      <c r="T79" s="49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x14ac:dyDescent="0.45">
      <c r="A80" s="54">
        <v>77</v>
      </c>
      <c r="B80" s="146">
        <f>Hakemler!B80</f>
        <v>0</v>
      </c>
      <c r="C80" s="147">
        <f>Hakemler!C80</f>
        <v>0</v>
      </c>
      <c r="D80" s="55"/>
      <c r="E80" s="63">
        <f>IF(ISBLANK(D80),0,ABS(Uzman_E!A$7-D80))</f>
        <v>0</v>
      </c>
      <c r="F80" s="64">
        <f>IF(ISBLANK(D80),0,INDEX(Tablo_E!$B$2:$CX$102,MATCH(ROUND(Uzman_E!A$7,1),Tablo_E!$A$2:$A$102,1),MATCH(ROUND(E80,1),Tablo_E!$B$1:$CX$1,1)))</f>
        <v>0</v>
      </c>
      <c r="G80" s="55"/>
      <c r="H80" s="63">
        <f>IF(ISBLANK(G80),0,ABS(Uzman_E!B$7-G80))</f>
        <v>0</v>
      </c>
      <c r="I80" s="64">
        <f>IF(ISBLANK(G80),0,INDEX(Tablo_E!$B$2:$CX$102,MATCH(ROUND(Uzman_E!B$7,1),Tablo_E!$A$2:$A$102,1),MATCH(ROUND(H80,1),Tablo_E!$B$1:$CX$1,1)))</f>
        <v>0</v>
      </c>
      <c r="J80" s="55"/>
      <c r="K80" s="63">
        <f>IF(ISBLANK(J80),0,ABS(Uzman_E!C$7-J80))</f>
        <v>0</v>
      </c>
      <c r="L80" s="64">
        <f>IF(ISBLANK(J80),0,INDEX(Tablo_E!$B$2:$CX$102,MATCH(ROUND(Uzman_E!C$7,1),Tablo_E!$A$2:$A$102,1),MATCH(ROUND(K80,1),Tablo_E!$B$1:$CX$1,1)))</f>
        <v>0</v>
      </c>
      <c r="M80" s="55"/>
      <c r="N80" s="63">
        <f>IF(ISBLANK(M80),0,ABS(Uzman_E!D$7-M80))</f>
        <v>0</v>
      </c>
      <c r="O80" s="64">
        <f>IF(ISBLANK(M80),0,INDEX(Tablo_E!$B$2:$CX$102,MATCH(ROUND(Uzman_E!D$7,1),Tablo_E!$A$2:$A$102,1),MATCH(ROUND(N80,1),Tablo_E!$B$1:$CX$1,1)))</f>
        <v>0</v>
      </c>
      <c r="P80" s="55"/>
      <c r="Q80" s="63">
        <f>IF(ISBLANK(P80),0,ABS(Uzman_E!E$7-P80))</f>
        <v>0</v>
      </c>
      <c r="R80" s="64">
        <f>IF(ISBLANK(P80),0,INDEX(Tablo_E!$B$2:$CX$102,MATCH(ROUND(Uzman_E!E$7,1),Tablo_E!$A$2:$A$102,1),MATCH(ROUND(Q80,1),Tablo_E!$B$1:$CX$1,1)))</f>
        <v>0</v>
      </c>
      <c r="S80" s="77">
        <f t="shared" si="2"/>
        <v>0</v>
      </c>
      <c r="T80" s="49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x14ac:dyDescent="0.45">
      <c r="A81" s="54">
        <v>78</v>
      </c>
      <c r="B81" s="146">
        <f>Hakemler!B81</f>
        <v>0</v>
      </c>
      <c r="C81" s="147">
        <f>Hakemler!C81</f>
        <v>0</v>
      </c>
      <c r="D81" s="55"/>
      <c r="E81" s="63">
        <f>IF(ISBLANK(D81),0,ABS(Uzman_E!A$7-D81))</f>
        <v>0</v>
      </c>
      <c r="F81" s="64">
        <f>IF(ISBLANK(D81),0,INDEX(Tablo_E!$B$2:$CX$102,MATCH(ROUND(Uzman_E!A$7,1),Tablo_E!$A$2:$A$102,1),MATCH(ROUND(E81,1),Tablo_E!$B$1:$CX$1,1)))</f>
        <v>0</v>
      </c>
      <c r="G81" s="55"/>
      <c r="H81" s="63">
        <f>IF(ISBLANK(G81),0,ABS(Uzman_E!B$7-G81))</f>
        <v>0</v>
      </c>
      <c r="I81" s="64">
        <f>IF(ISBLANK(G81),0,INDEX(Tablo_E!$B$2:$CX$102,MATCH(ROUND(Uzman_E!B$7,1),Tablo_E!$A$2:$A$102,1),MATCH(ROUND(H81,1),Tablo_E!$B$1:$CX$1,1)))</f>
        <v>0</v>
      </c>
      <c r="J81" s="55"/>
      <c r="K81" s="63">
        <f>IF(ISBLANK(J81),0,ABS(Uzman_E!C$7-J81))</f>
        <v>0</v>
      </c>
      <c r="L81" s="64">
        <f>IF(ISBLANK(J81),0,INDEX(Tablo_E!$B$2:$CX$102,MATCH(ROUND(Uzman_E!C$7,1),Tablo_E!$A$2:$A$102,1),MATCH(ROUND(K81,1),Tablo_E!$B$1:$CX$1,1)))</f>
        <v>0</v>
      </c>
      <c r="M81" s="55"/>
      <c r="N81" s="63">
        <f>IF(ISBLANK(M81),0,ABS(Uzman_E!D$7-M81))</f>
        <v>0</v>
      </c>
      <c r="O81" s="64">
        <f>IF(ISBLANK(M81),0,INDEX(Tablo_E!$B$2:$CX$102,MATCH(ROUND(Uzman_E!D$7,1),Tablo_E!$A$2:$A$102,1),MATCH(ROUND(N81,1),Tablo_E!$B$1:$CX$1,1)))</f>
        <v>0</v>
      </c>
      <c r="P81" s="55"/>
      <c r="Q81" s="63">
        <f>IF(ISBLANK(P81),0,ABS(Uzman_E!E$7-P81))</f>
        <v>0</v>
      </c>
      <c r="R81" s="64">
        <f>IF(ISBLANK(P81),0,INDEX(Tablo_E!$B$2:$CX$102,MATCH(ROUND(Uzman_E!E$7,1),Tablo_E!$A$2:$A$102,1),MATCH(ROUND(Q81,1),Tablo_E!$B$1:$CX$1,1)))</f>
        <v>0</v>
      </c>
      <c r="S81" s="77">
        <f t="shared" si="2"/>
        <v>0</v>
      </c>
      <c r="T81" s="49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x14ac:dyDescent="0.45">
      <c r="A82" s="54">
        <v>79</v>
      </c>
      <c r="B82" s="146">
        <f>Hakemler!B82</f>
        <v>0</v>
      </c>
      <c r="C82" s="147">
        <f>Hakemler!C82</f>
        <v>0</v>
      </c>
      <c r="D82" s="55"/>
      <c r="E82" s="63">
        <f>IF(ISBLANK(D82),0,ABS(Uzman_E!A$7-D82))</f>
        <v>0</v>
      </c>
      <c r="F82" s="64">
        <f>IF(ISBLANK(D82),0,INDEX(Tablo_E!$B$2:$CX$102,MATCH(ROUND(Uzman_E!A$7,1),Tablo_E!$A$2:$A$102,1),MATCH(ROUND(E82,1),Tablo_E!$B$1:$CX$1,1)))</f>
        <v>0</v>
      </c>
      <c r="G82" s="55"/>
      <c r="H82" s="63">
        <f>IF(ISBLANK(G82),0,ABS(Uzman_E!B$7-G82))</f>
        <v>0</v>
      </c>
      <c r="I82" s="64">
        <f>IF(ISBLANK(G82),0,INDEX(Tablo_E!$B$2:$CX$102,MATCH(ROUND(Uzman_E!B$7,1),Tablo_E!$A$2:$A$102,1),MATCH(ROUND(H82,1),Tablo_E!$B$1:$CX$1,1)))</f>
        <v>0</v>
      </c>
      <c r="J82" s="55"/>
      <c r="K82" s="63">
        <f>IF(ISBLANK(J82),0,ABS(Uzman_E!C$7-J82))</f>
        <v>0</v>
      </c>
      <c r="L82" s="64">
        <f>IF(ISBLANK(J82),0,INDEX(Tablo_E!$B$2:$CX$102,MATCH(ROUND(Uzman_E!C$7,1),Tablo_E!$A$2:$A$102,1),MATCH(ROUND(K82,1),Tablo_E!$B$1:$CX$1,1)))</f>
        <v>0</v>
      </c>
      <c r="M82" s="55"/>
      <c r="N82" s="63">
        <f>IF(ISBLANK(M82),0,ABS(Uzman_E!D$7-M82))</f>
        <v>0</v>
      </c>
      <c r="O82" s="64">
        <f>IF(ISBLANK(M82),0,INDEX(Tablo_E!$B$2:$CX$102,MATCH(ROUND(Uzman_E!D$7,1),Tablo_E!$A$2:$A$102,1),MATCH(ROUND(N82,1),Tablo_E!$B$1:$CX$1,1)))</f>
        <v>0</v>
      </c>
      <c r="P82" s="55"/>
      <c r="Q82" s="63">
        <f>IF(ISBLANK(P82),0,ABS(Uzman_E!E$7-P82))</f>
        <v>0</v>
      </c>
      <c r="R82" s="64">
        <f>IF(ISBLANK(P82),0,INDEX(Tablo_E!$B$2:$CX$102,MATCH(ROUND(Uzman_E!E$7,1),Tablo_E!$A$2:$A$102,1),MATCH(ROUND(Q82,1),Tablo_E!$B$1:$CX$1,1)))</f>
        <v>0</v>
      </c>
      <c r="S82" s="77">
        <f t="shared" si="2"/>
        <v>0</v>
      </c>
      <c r="T82" s="49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x14ac:dyDescent="0.45">
      <c r="A83" s="54">
        <v>80</v>
      </c>
      <c r="B83" s="146">
        <f>Hakemler!B83</f>
        <v>0</v>
      </c>
      <c r="C83" s="147">
        <f>Hakemler!C83</f>
        <v>0</v>
      </c>
      <c r="D83" s="55"/>
      <c r="E83" s="63">
        <f>IF(ISBLANK(D83),0,ABS(Uzman_E!A$7-D83))</f>
        <v>0</v>
      </c>
      <c r="F83" s="64">
        <f>IF(ISBLANK(D83),0,INDEX(Tablo_E!$B$2:$CX$102,MATCH(ROUND(Uzman_E!A$7,1),Tablo_E!$A$2:$A$102,1),MATCH(ROUND(E83,1),Tablo_E!$B$1:$CX$1,1)))</f>
        <v>0</v>
      </c>
      <c r="G83" s="55"/>
      <c r="H83" s="63">
        <f>IF(ISBLANK(G83),0,ABS(Uzman_E!B$7-G83))</f>
        <v>0</v>
      </c>
      <c r="I83" s="64">
        <f>IF(ISBLANK(G83),0,INDEX(Tablo_E!$B$2:$CX$102,MATCH(ROUND(Uzman_E!B$7,1),Tablo_E!$A$2:$A$102,1),MATCH(ROUND(H83,1),Tablo_E!$B$1:$CX$1,1)))</f>
        <v>0</v>
      </c>
      <c r="J83" s="55"/>
      <c r="K83" s="63">
        <f>IF(ISBLANK(J83),0,ABS(Uzman_E!C$7-J83))</f>
        <v>0</v>
      </c>
      <c r="L83" s="64">
        <f>IF(ISBLANK(J83),0,INDEX(Tablo_E!$B$2:$CX$102,MATCH(ROUND(Uzman_E!C$7,1),Tablo_E!$A$2:$A$102,1),MATCH(ROUND(K83,1),Tablo_E!$B$1:$CX$1,1)))</f>
        <v>0</v>
      </c>
      <c r="M83" s="55"/>
      <c r="N83" s="63">
        <f>IF(ISBLANK(M83),0,ABS(Uzman_E!D$7-M83))</f>
        <v>0</v>
      </c>
      <c r="O83" s="64">
        <f>IF(ISBLANK(M83),0,INDEX(Tablo_E!$B$2:$CX$102,MATCH(ROUND(Uzman_E!D$7,1),Tablo_E!$A$2:$A$102,1),MATCH(ROUND(N83,1),Tablo_E!$B$1:$CX$1,1)))</f>
        <v>0</v>
      </c>
      <c r="P83" s="55"/>
      <c r="Q83" s="63">
        <f>IF(ISBLANK(P83),0,ABS(Uzman_E!E$7-P83))</f>
        <v>0</v>
      </c>
      <c r="R83" s="64">
        <f>IF(ISBLANK(P83),0,INDEX(Tablo_E!$B$2:$CX$102,MATCH(ROUND(Uzman_E!E$7,1),Tablo_E!$A$2:$A$102,1),MATCH(ROUND(Q83,1),Tablo_E!$B$1:$CX$1,1)))</f>
        <v>0</v>
      </c>
      <c r="S83" s="77">
        <f t="shared" si="2"/>
        <v>0</v>
      </c>
      <c r="T83" s="49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x14ac:dyDescent="0.45">
      <c r="A84" s="54">
        <v>81</v>
      </c>
      <c r="B84" s="146">
        <f>Hakemler!B84</f>
        <v>0</v>
      </c>
      <c r="C84" s="147">
        <f>Hakemler!C84</f>
        <v>0</v>
      </c>
      <c r="D84" s="55"/>
      <c r="E84" s="63">
        <f>IF(ISBLANK(D84),0,ABS(Uzman_E!A$7-D84))</f>
        <v>0</v>
      </c>
      <c r="F84" s="64">
        <f>IF(ISBLANK(D84),0,INDEX(Tablo_E!$B$2:$CX$102,MATCH(ROUND(Uzman_E!A$7,1),Tablo_E!$A$2:$A$102,1),MATCH(ROUND(E84,1),Tablo_E!$B$1:$CX$1,1)))</f>
        <v>0</v>
      </c>
      <c r="G84" s="55"/>
      <c r="H84" s="63">
        <f>IF(ISBLANK(G84),0,ABS(Uzman_E!B$7-G84))</f>
        <v>0</v>
      </c>
      <c r="I84" s="64">
        <f>IF(ISBLANK(G84),0,INDEX(Tablo_E!$B$2:$CX$102,MATCH(ROUND(Uzman_E!B$7,1),Tablo_E!$A$2:$A$102,1),MATCH(ROUND(H84,1),Tablo_E!$B$1:$CX$1,1)))</f>
        <v>0</v>
      </c>
      <c r="J84" s="55"/>
      <c r="K84" s="63">
        <f>IF(ISBLANK(J84),0,ABS(Uzman_E!C$7-J84))</f>
        <v>0</v>
      </c>
      <c r="L84" s="64">
        <f>IF(ISBLANK(J84),0,INDEX(Tablo_E!$B$2:$CX$102,MATCH(ROUND(Uzman_E!C$7,1),Tablo_E!$A$2:$A$102,1),MATCH(ROUND(K84,1),Tablo_E!$B$1:$CX$1,1)))</f>
        <v>0</v>
      </c>
      <c r="M84" s="55"/>
      <c r="N84" s="63">
        <f>IF(ISBLANK(M84),0,ABS(Uzman_E!D$7-M84))</f>
        <v>0</v>
      </c>
      <c r="O84" s="64">
        <f>IF(ISBLANK(M84),0,INDEX(Tablo_E!$B$2:$CX$102,MATCH(ROUND(Uzman_E!D$7,1),Tablo_E!$A$2:$A$102,1),MATCH(ROUND(N84,1),Tablo_E!$B$1:$CX$1,1)))</f>
        <v>0</v>
      </c>
      <c r="P84" s="55"/>
      <c r="Q84" s="63">
        <f>IF(ISBLANK(P84),0,ABS(Uzman_E!E$7-P84))</f>
        <v>0</v>
      </c>
      <c r="R84" s="64">
        <f>IF(ISBLANK(P84),0,INDEX(Tablo_E!$B$2:$CX$102,MATCH(ROUND(Uzman_E!E$7,1),Tablo_E!$A$2:$A$102,1),MATCH(ROUND(Q84,1),Tablo_E!$B$1:$CX$1,1)))</f>
        <v>0</v>
      </c>
      <c r="S84" s="77">
        <f t="shared" si="2"/>
        <v>0</v>
      </c>
      <c r="T84" s="49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x14ac:dyDescent="0.45">
      <c r="A85" s="54">
        <v>82</v>
      </c>
      <c r="B85" s="146">
        <f>Hakemler!B85</f>
        <v>0</v>
      </c>
      <c r="C85" s="147">
        <f>Hakemler!C85</f>
        <v>0</v>
      </c>
      <c r="D85" s="55"/>
      <c r="E85" s="63">
        <f>IF(ISBLANK(D85),0,ABS(Uzman_E!A$7-D85))</f>
        <v>0</v>
      </c>
      <c r="F85" s="64">
        <f>IF(ISBLANK(D85),0,INDEX(Tablo_E!$B$2:$CX$102,MATCH(ROUND(Uzman_E!A$7,1),Tablo_E!$A$2:$A$102,1),MATCH(ROUND(E85,1),Tablo_E!$B$1:$CX$1,1)))</f>
        <v>0</v>
      </c>
      <c r="G85" s="55"/>
      <c r="H85" s="63">
        <f>IF(ISBLANK(G85),0,ABS(Uzman_E!B$7-G85))</f>
        <v>0</v>
      </c>
      <c r="I85" s="64">
        <f>IF(ISBLANK(G85),0,INDEX(Tablo_E!$B$2:$CX$102,MATCH(ROUND(Uzman_E!B$7,1),Tablo_E!$A$2:$A$102,1),MATCH(ROUND(H85,1),Tablo_E!$B$1:$CX$1,1)))</f>
        <v>0</v>
      </c>
      <c r="J85" s="55"/>
      <c r="K85" s="63">
        <f>IF(ISBLANK(J85),0,ABS(Uzman_E!C$7-J85))</f>
        <v>0</v>
      </c>
      <c r="L85" s="64">
        <f>IF(ISBLANK(J85),0,INDEX(Tablo_E!$B$2:$CX$102,MATCH(ROUND(Uzman_E!C$7,1),Tablo_E!$A$2:$A$102,1),MATCH(ROUND(K85,1),Tablo_E!$B$1:$CX$1,1)))</f>
        <v>0</v>
      </c>
      <c r="M85" s="55"/>
      <c r="N85" s="63">
        <f>IF(ISBLANK(M85),0,ABS(Uzman_E!D$7-M85))</f>
        <v>0</v>
      </c>
      <c r="O85" s="64">
        <f>IF(ISBLANK(M85),0,INDEX(Tablo_E!$B$2:$CX$102,MATCH(ROUND(Uzman_E!D$7,1),Tablo_E!$A$2:$A$102,1),MATCH(ROUND(N85,1),Tablo_E!$B$1:$CX$1,1)))</f>
        <v>0</v>
      </c>
      <c r="P85" s="55"/>
      <c r="Q85" s="63">
        <f>IF(ISBLANK(P85),0,ABS(Uzman_E!E$7-P85))</f>
        <v>0</v>
      </c>
      <c r="R85" s="64">
        <f>IF(ISBLANK(P85),0,INDEX(Tablo_E!$B$2:$CX$102,MATCH(ROUND(Uzman_E!E$7,1),Tablo_E!$A$2:$A$102,1),MATCH(ROUND(Q85,1),Tablo_E!$B$1:$CX$1,1)))</f>
        <v>0</v>
      </c>
      <c r="S85" s="77">
        <f t="shared" si="2"/>
        <v>0</v>
      </c>
      <c r="T85" s="49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x14ac:dyDescent="0.45">
      <c r="A86" s="54">
        <v>83</v>
      </c>
      <c r="B86" s="146">
        <f>Hakemler!B86</f>
        <v>0</v>
      </c>
      <c r="C86" s="147">
        <f>Hakemler!C86</f>
        <v>0</v>
      </c>
      <c r="D86" s="55"/>
      <c r="E86" s="63">
        <f>IF(ISBLANK(D86),0,ABS(Uzman_E!A$7-D86))</f>
        <v>0</v>
      </c>
      <c r="F86" s="64">
        <f>IF(ISBLANK(D86),0,INDEX(Tablo_E!$B$2:$CX$102,MATCH(ROUND(Uzman_E!A$7,1),Tablo_E!$A$2:$A$102,1),MATCH(ROUND(E86,1),Tablo_E!$B$1:$CX$1,1)))</f>
        <v>0</v>
      </c>
      <c r="G86" s="55"/>
      <c r="H86" s="63">
        <f>IF(ISBLANK(G86),0,ABS(Uzman_E!B$7-G86))</f>
        <v>0</v>
      </c>
      <c r="I86" s="64">
        <f>IF(ISBLANK(G86),0,INDEX(Tablo_E!$B$2:$CX$102,MATCH(ROUND(Uzman_E!B$7,1),Tablo_E!$A$2:$A$102,1),MATCH(ROUND(H86,1),Tablo_E!$B$1:$CX$1,1)))</f>
        <v>0</v>
      </c>
      <c r="J86" s="55"/>
      <c r="K86" s="63">
        <f>IF(ISBLANK(J86),0,ABS(Uzman_E!C$7-J86))</f>
        <v>0</v>
      </c>
      <c r="L86" s="64">
        <f>IF(ISBLANK(J86),0,INDEX(Tablo_E!$B$2:$CX$102,MATCH(ROUND(Uzman_E!C$7,1),Tablo_E!$A$2:$A$102,1),MATCH(ROUND(K86,1),Tablo_E!$B$1:$CX$1,1)))</f>
        <v>0</v>
      </c>
      <c r="M86" s="55"/>
      <c r="N86" s="63">
        <f>IF(ISBLANK(M86),0,ABS(Uzman_E!D$7-M86))</f>
        <v>0</v>
      </c>
      <c r="O86" s="64">
        <f>IF(ISBLANK(M86),0,INDEX(Tablo_E!$B$2:$CX$102,MATCH(ROUND(Uzman_E!D$7,1),Tablo_E!$A$2:$A$102,1),MATCH(ROUND(N86,1),Tablo_E!$B$1:$CX$1,1)))</f>
        <v>0</v>
      </c>
      <c r="P86" s="55"/>
      <c r="Q86" s="63">
        <f>IF(ISBLANK(P86),0,ABS(Uzman_E!E$7-P86))</f>
        <v>0</v>
      </c>
      <c r="R86" s="64">
        <f>IF(ISBLANK(P86),0,INDEX(Tablo_E!$B$2:$CX$102,MATCH(ROUND(Uzman_E!E$7,1),Tablo_E!$A$2:$A$102,1),MATCH(ROUND(Q86,1),Tablo_E!$B$1:$CX$1,1)))</f>
        <v>0</v>
      </c>
      <c r="S86" s="77">
        <f t="shared" si="2"/>
        <v>0</v>
      </c>
      <c r="T86" s="49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x14ac:dyDescent="0.45">
      <c r="A87" s="54">
        <v>84</v>
      </c>
      <c r="B87" s="146">
        <f>Hakemler!B87</f>
        <v>0</v>
      </c>
      <c r="C87" s="147">
        <f>Hakemler!C87</f>
        <v>0</v>
      </c>
      <c r="D87" s="55"/>
      <c r="E87" s="63">
        <f>IF(ISBLANK(D87),0,ABS(Uzman_E!A$7-D87))</f>
        <v>0</v>
      </c>
      <c r="F87" s="64">
        <f>IF(ISBLANK(D87),0,INDEX(Tablo_E!$B$2:$CX$102,MATCH(ROUND(Uzman_E!A$7,1),Tablo_E!$A$2:$A$102,1),MATCH(ROUND(E87,1),Tablo_E!$B$1:$CX$1,1)))</f>
        <v>0</v>
      </c>
      <c r="G87" s="55"/>
      <c r="H87" s="63">
        <f>IF(ISBLANK(G87),0,ABS(Uzman_E!B$7-G87))</f>
        <v>0</v>
      </c>
      <c r="I87" s="64">
        <f>IF(ISBLANK(G87),0,INDEX(Tablo_E!$B$2:$CX$102,MATCH(ROUND(Uzman_E!B$7,1),Tablo_E!$A$2:$A$102,1),MATCH(ROUND(H87,1),Tablo_E!$B$1:$CX$1,1)))</f>
        <v>0</v>
      </c>
      <c r="J87" s="55"/>
      <c r="K87" s="63">
        <f>IF(ISBLANK(J87),0,ABS(Uzman_E!C$7-J87))</f>
        <v>0</v>
      </c>
      <c r="L87" s="64">
        <f>IF(ISBLANK(J87),0,INDEX(Tablo_E!$B$2:$CX$102,MATCH(ROUND(Uzman_E!C$7,1),Tablo_E!$A$2:$A$102,1),MATCH(ROUND(K87,1),Tablo_E!$B$1:$CX$1,1)))</f>
        <v>0</v>
      </c>
      <c r="M87" s="55"/>
      <c r="N87" s="63">
        <f>IF(ISBLANK(M87),0,ABS(Uzman_E!D$7-M87))</f>
        <v>0</v>
      </c>
      <c r="O87" s="64">
        <f>IF(ISBLANK(M87),0,INDEX(Tablo_E!$B$2:$CX$102,MATCH(ROUND(Uzman_E!D$7,1),Tablo_E!$A$2:$A$102,1),MATCH(ROUND(N87,1),Tablo_E!$B$1:$CX$1,1)))</f>
        <v>0</v>
      </c>
      <c r="P87" s="55"/>
      <c r="Q87" s="63">
        <f>IF(ISBLANK(P87),0,ABS(Uzman_E!E$7-P87))</f>
        <v>0</v>
      </c>
      <c r="R87" s="64">
        <f>IF(ISBLANK(P87),0,INDEX(Tablo_E!$B$2:$CX$102,MATCH(ROUND(Uzman_E!E$7,1),Tablo_E!$A$2:$A$102,1),MATCH(ROUND(Q87,1),Tablo_E!$B$1:$CX$1,1)))</f>
        <v>0</v>
      </c>
      <c r="S87" s="77">
        <f t="shared" si="2"/>
        <v>0</v>
      </c>
      <c r="T87" s="49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x14ac:dyDescent="0.45">
      <c r="A88" s="54">
        <v>85</v>
      </c>
      <c r="B88" s="146">
        <f>Hakemler!B88</f>
        <v>0</v>
      </c>
      <c r="C88" s="147">
        <f>Hakemler!C88</f>
        <v>0</v>
      </c>
      <c r="D88" s="55"/>
      <c r="E88" s="63">
        <f>IF(ISBLANK(D88),0,ABS(Uzman_E!A$7-D88))</f>
        <v>0</v>
      </c>
      <c r="F88" s="64">
        <f>IF(ISBLANK(D88),0,INDEX(Tablo_E!$B$2:$CX$102,MATCH(ROUND(Uzman_E!A$7,1),Tablo_E!$A$2:$A$102,1),MATCH(ROUND(E88,1),Tablo_E!$B$1:$CX$1,1)))</f>
        <v>0</v>
      </c>
      <c r="G88" s="55"/>
      <c r="H88" s="63">
        <f>IF(ISBLANK(G88),0,ABS(Uzman_E!B$7-G88))</f>
        <v>0</v>
      </c>
      <c r="I88" s="64">
        <f>IF(ISBLANK(G88),0,INDEX(Tablo_E!$B$2:$CX$102,MATCH(ROUND(Uzman_E!B$7,1),Tablo_E!$A$2:$A$102,1),MATCH(ROUND(H88,1),Tablo_E!$B$1:$CX$1,1)))</f>
        <v>0</v>
      </c>
      <c r="J88" s="55"/>
      <c r="K88" s="63">
        <f>IF(ISBLANK(J88),0,ABS(Uzman_E!C$7-J88))</f>
        <v>0</v>
      </c>
      <c r="L88" s="64">
        <f>IF(ISBLANK(J88),0,INDEX(Tablo_E!$B$2:$CX$102,MATCH(ROUND(Uzman_E!C$7,1),Tablo_E!$A$2:$A$102,1),MATCH(ROUND(K88,1),Tablo_E!$B$1:$CX$1,1)))</f>
        <v>0</v>
      </c>
      <c r="M88" s="55"/>
      <c r="N88" s="63">
        <f>IF(ISBLANK(M88),0,ABS(Uzman_E!D$7-M88))</f>
        <v>0</v>
      </c>
      <c r="O88" s="64">
        <f>IF(ISBLANK(M88),0,INDEX(Tablo_E!$B$2:$CX$102,MATCH(ROUND(Uzman_E!D$7,1),Tablo_E!$A$2:$A$102,1),MATCH(ROUND(N88,1),Tablo_E!$B$1:$CX$1,1)))</f>
        <v>0</v>
      </c>
      <c r="P88" s="55"/>
      <c r="Q88" s="63">
        <f>IF(ISBLANK(P88),0,ABS(Uzman_E!E$7-P88))</f>
        <v>0</v>
      </c>
      <c r="R88" s="64">
        <f>IF(ISBLANK(P88),0,INDEX(Tablo_E!$B$2:$CX$102,MATCH(ROUND(Uzman_E!E$7,1),Tablo_E!$A$2:$A$102,1),MATCH(ROUND(Q88,1),Tablo_E!$B$1:$CX$1,1)))</f>
        <v>0</v>
      </c>
      <c r="S88" s="77">
        <f t="shared" si="2"/>
        <v>0</v>
      </c>
      <c r="T88" s="49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x14ac:dyDescent="0.45">
      <c r="A89" s="54">
        <v>86</v>
      </c>
      <c r="B89" s="146">
        <f>Hakemler!B89</f>
        <v>0</v>
      </c>
      <c r="C89" s="147">
        <f>Hakemler!C89</f>
        <v>0</v>
      </c>
      <c r="D89" s="55"/>
      <c r="E89" s="63">
        <f>IF(ISBLANK(D89),0,ABS(Uzman_E!A$7-D89))</f>
        <v>0</v>
      </c>
      <c r="F89" s="64">
        <f>IF(ISBLANK(D89),0,INDEX(Tablo_E!$B$2:$CX$102,MATCH(ROUND(Uzman_E!A$7,1),Tablo_E!$A$2:$A$102,1),MATCH(ROUND(E89,1),Tablo_E!$B$1:$CX$1,1)))</f>
        <v>0</v>
      </c>
      <c r="G89" s="55"/>
      <c r="H89" s="63">
        <f>IF(ISBLANK(G89),0,ABS(Uzman_E!B$7-G89))</f>
        <v>0</v>
      </c>
      <c r="I89" s="64">
        <f>IF(ISBLANK(G89),0,INDEX(Tablo_E!$B$2:$CX$102,MATCH(ROUND(Uzman_E!B$7,1),Tablo_E!$A$2:$A$102,1),MATCH(ROUND(H89,1),Tablo_E!$B$1:$CX$1,1)))</f>
        <v>0</v>
      </c>
      <c r="J89" s="55"/>
      <c r="K89" s="63">
        <f>IF(ISBLANK(J89),0,ABS(Uzman_E!C$7-J89))</f>
        <v>0</v>
      </c>
      <c r="L89" s="64">
        <f>IF(ISBLANK(J89),0,INDEX(Tablo_E!$B$2:$CX$102,MATCH(ROUND(Uzman_E!C$7,1),Tablo_E!$A$2:$A$102,1),MATCH(ROUND(K89,1),Tablo_E!$B$1:$CX$1,1)))</f>
        <v>0</v>
      </c>
      <c r="M89" s="55"/>
      <c r="N89" s="63">
        <f>IF(ISBLANK(M89),0,ABS(Uzman_E!D$7-M89))</f>
        <v>0</v>
      </c>
      <c r="O89" s="64">
        <f>IF(ISBLANK(M89),0,INDEX(Tablo_E!$B$2:$CX$102,MATCH(ROUND(Uzman_E!D$7,1),Tablo_E!$A$2:$A$102,1),MATCH(ROUND(N89,1),Tablo_E!$B$1:$CX$1,1)))</f>
        <v>0</v>
      </c>
      <c r="P89" s="55"/>
      <c r="Q89" s="63">
        <f>IF(ISBLANK(P89),0,ABS(Uzman_E!E$7-P89))</f>
        <v>0</v>
      </c>
      <c r="R89" s="64">
        <f>IF(ISBLANK(P89),0,INDEX(Tablo_E!$B$2:$CX$102,MATCH(ROUND(Uzman_E!E$7,1),Tablo_E!$A$2:$A$102,1),MATCH(ROUND(Q89,1),Tablo_E!$B$1:$CX$1,1)))</f>
        <v>0</v>
      </c>
      <c r="S89" s="77">
        <f t="shared" si="2"/>
        <v>0</v>
      </c>
      <c r="T89" s="49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x14ac:dyDescent="0.45">
      <c r="A90" s="54">
        <v>87</v>
      </c>
      <c r="B90" s="146">
        <f>Hakemler!B90</f>
        <v>0</v>
      </c>
      <c r="C90" s="147">
        <f>Hakemler!C90</f>
        <v>0</v>
      </c>
      <c r="D90" s="55"/>
      <c r="E90" s="63">
        <f>IF(ISBLANK(D90),0,ABS(Uzman_E!A$7-D90))</f>
        <v>0</v>
      </c>
      <c r="F90" s="64">
        <f>IF(ISBLANK(D90),0,INDEX(Tablo_E!$B$2:$CX$102,MATCH(ROUND(Uzman_E!A$7,1),Tablo_E!$A$2:$A$102,1),MATCH(ROUND(E90,1),Tablo_E!$B$1:$CX$1,1)))</f>
        <v>0</v>
      </c>
      <c r="G90" s="55"/>
      <c r="H90" s="63">
        <f>IF(ISBLANK(G90),0,ABS(Uzman_E!B$7-G90))</f>
        <v>0</v>
      </c>
      <c r="I90" s="64">
        <f>IF(ISBLANK(G90),0,INDEX(Tablo_E!$B$2:$CX$102,MATCH(ROUND(Uzman_E!B$7,1),Tablo_E!$A$2:$A$102,1),MATCH(ROUND(H90,1),Tablo_E!$B$1:$CX$1,1)))</f>
        <v>0</v>
      </c>
      <c r="J90" s="55"/>
      <c r="K90" s="63">
        <f>IF(ISBLANK(J90),0,ABS(Uzman_E!C$7-J90))</f>
        <v>0</v>
      </c>
      <c r="L90" s="64">
        <f>IF(ISBLANK(J90),0,INDEX(Tablo_E!$B$2:$CX$102,MATCH(ROUND(Uzman_E!C$7,1),Tablo_E!$A$2:$A$102,1),MATCH(ROUND(K90,1),Tablo_E!$B$1:$CX$1,1)))</f>
        <v>0</v>
      </c>
      <c r="M90" s="55"/>
      <c r="N90" s="63">
        <f>IF(ISBLANK(M90),0,ABS(Uzman_E!D$7-M90))</f>
        <v>0</v>
      </c>
      <c r="O90" s="64">
        <f>IF(ISBLANK(M90),0,INDEX(Tablo_E!$B$2:$CX$102,MATCH(ROUND(Uzman_E!D$7,1),Tablo_E!$A$2:$A$102,1),MATCH(ROUND(N90,1),Tablo_E!$B$1:$CX$1,1)))</f>
        <v>0</v>
      </c>
      <c r="P90" s="55"/>
      <c r="Q90" s="63">
        <f>IF(ISBLANK(P90),0,ABS(Uzman_E!E$7-P90))</f>
        <v>0</v>
      </c>
      <c r="R90" s="64">
        <f>IF(ISBLANK(P90),0,INDEX(Tablo_E!$B$2:$CX$102,MATCH(ROUND(Uzman_E!E$7,1),Tablo_E!$A$2:$A$102,1),MATCH(ROUND(Q90,1),Tablo_E!$B$1:$CX$1,1)))</f>
        <v>0</v>
      </c>
      <c r="S90" s="77">
        <f t="shared" si="2"/>
        <v>0</v>
      </c>
      <c r="T90" s="49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x14ac:dyDescent="0.45">
      <c r="A91" s="54">
        <v>88</v>
      </c>
      <c r="B91" s="146">
        <f>Hakemler!B91</f>
        <v>0</v>
      </c>
      <c r="C91" s="147">
        <f>Hakemler!C91</f>
        <v>0</v>
      </c>
      <c r="D91" s="55"/>
      <c r="E91" s="63">
        <f>IF(ISBLANK(D91),0,ABS(Uzman_E!A$7-D91))</f>
        <v>0</v>
      </c>
      <c r="F91" s="64">
        <f>IF(ISBLANK(D91),0,INDEX(Tablo_E!$B$2:$CX$102,MATCH(ROUND(Uzman_E!A$7,1),Tablo_E!$A$2:$A$102,1),MATCH(ROUND(E91,1),Tablo_E!$B$1:$CX$1,1)))</f>
        <v>0</v>
      </c>
      <c r="G91" s="55"/>
      <c r="H91" s="63">
        <f>IF(ISBLANK(G91),0,ABS(Uzman_E!B$7-G91))</f>
        <v>0</v>
      </c>
      <c r="I91" s="64">
        <f>IF(ISBLANK(G91),0,INDEX(Tablo_E!$B$2:$CX$102,MATCH(ROUND(Uzman_E!B$7,1),Tablo_E!$A$2:$A$102,1),MATCH(ROUND(H91,1),Tablo_E!$B$1:$CX$1,1)))</f>
        <v>0</v>
      </c>
      <c r="J91" s="55"/>
      <c r="K91" s="63">
        <f>IF(ISBLANK(J91),0,ABS(Uzman_E!C$7-J91))</f>
        <v>0</v>
      </c>
      <c r="L91" s="64">
        <f>IF(ISBLANK(J91),0,INDEX(Tablo_E!$B$2:$CX$102,MATCH(ROUND(Uzman_E!C$7,1),Tablo_E!$A$2:$A$102,1),MATCH(ROUND(K91,1),Tablo_E!$B$1:$CX$1,1)))</f>
        <v>0</v>
      </c>
      <c r="M91" s="55"/>
      <c r="N91" s="63">
        <f>IF(ISBLANK(M91),0,ABS(Uzman_E!D$7-M91))</f>
        <v>0</v>
      </c>
      <c r="O91" s="64">
        <f>IF(ISBLANK(M91),0,INDEX(Tablo_E!$B$2:$CX$102,MATCH(ROUND(Uzman_E!D$7,1),Tablo_E!$A$2:$A$102,1),MATCH(ROUND(N91,1),Tablo_E!$B$1:$CX$1,1)))</f>
        <v>0</v>
      </c>
      <c r="P91" s="55"/>
      <c r="Q91" s="63">
        <f>IF(ISBLANK(P91),0,ABS(Uzman_E!E$7-P91))</f>
        <v>0</v>
      </c>
      <c r="R91" s="64">
        <f>IF(ISBLANK(P91),0,INDEX(Tablo_E!$B$2:$CX$102,MATCH(ROUND(Uzman_E!E$7,1),Tablo_E!$A$2:$A$102,1),MATCH(ROUND(Q91,1),Tablo_E!$B$1:$CX$1,1)))</f>
        <v>0</v>
      </c>
      <c r="S91" s="77">
        <f t="shared" si="2"/>
        <v>0</v>
      </c>
      <c r="T91" s="49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x14ac:dyDescent="0.45">
      <c r="A92" s="54">
        <v>89</v>
      </c>
      <c r="B92" s="146">
        <f>Hakemler!B92</f>
        <v>0</v>
      </c>
      <c r="C92" s="147">
        <f>Hakemler!C92</f>
        <v>0</v>
      </c>
      <c r="D92" s="55"/>
      <c r="E92" s="63">
        <f>IF(ISBLANK(D92),0,ABS(Uzman_E!A$7-D92))</f>
        <v>0</v>
      </c>
      <c r="F92" s="64">
        <f>IF(ISBLANK(D92),0,INDEX(Tablo_E!$B$2:$CX$102,MATCH(ROUND(Uzman_E!A$7,1),Tablo_E!$A$2:$A$102,1),MATCH(ROUND(E92,1),Tablo_E!$B$1:$CX$1,1)))</f>
        <v>0</v>
      </c>
      <c r="G92" s="55"/>
      <c r="H92" s="63">
        <f>IF(ISBLANK(G92),0,ABS(Uzman_E!B$7-G92))</f>
        <v>0</v>
      </c>
      <c r="I92" s="64">
        <f>IF(ISBLANK(G92),0,INDEX(Tablo_E!$B$2:$CX$102,MATCH(ROUND(Uzman_E!B$7,1),Tablo_E!$A$2:$A$102,1),MATCH(ROUND(H92,1),Tablo_E!$B$1:$CX$1,1)))</f>
        <v>0</v>
      </c>
      <c r="J92" s="55"/>
      <c r="K92" s="63">
        <f>IF(ISBLANK(J92),0,ABS(Uzman_E!C$7-J92))</f>
        <v>0</v>
      </c>
      <c r="L92" s="64">
        <f>IF(ISBLANK(J92),0,INDEX(Tablo_E!$B$2:$CX$102,MATCH(ROUND(Uzman_E!C$7,1),Tablo_E!$A$2:$A$102,1),MATCH(ROUND(K92,1),Tablo_E!$B$1:$CX$1,1)))</f>
        <v>0</v>
      </c>
      <c r="M92" s="55"/>
      <c r="N92" s="63">
        <f>IF(ISBLANK(M92),0,ABS(Uzman_E!D$7-M92))</f>
        <v>0</v>
      </c>
      <c r="O92" s="64">
        <f>IF(ISBLANK(M92),0,INDEX(Tablo_E!$B$2:$CX$102,MATCH(ROUND(Uzman_E!D$7,1),Tablo_E!$A$2:$A$102,1),MATCH(ROUND(N92,1),Tablo_E!$B$1:$CX$1,1)))</f>
        <v>0</v>
      </c>
      <c r="P92" s="55"/>
      <c r="Q92" s="63">
        <f>IF(ISBLANK(P92),0,ABS(Uzman_E!E$7-P92))</f>
        <v>0</v>
      </c>
      <c r="R92" s="64">
        <f>IF(ISBLANK(P92),0,INDEX(Tablo_E!$B$2:$CX$102,MATCH(ROUND(Uzman_E!E$7,1),Tablo_E!$A$2:$A$102,1),MATCH(ROUND(Q92,1),Tablo_E!$B$1:$CX$1,1)))</f>
        <v>0</v>
      </c>
      <c r="S92" s="77">
        <f t="shared" si="2"/>
        <v>0</v>
      </c>
      <c r="T92" s="49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x14ac:dyDescent="0.45">
      <c r="A93" s="54">
        <v>90</v>
      </c>
      <c r="B93" s="146">
        <f>Hakemler!B93</f>
        <v>0</v>
      </c>
      <c r="C93" s="147">
        <f>Hakemler!C93</f>
        <v>0</v>
      </c>
      <c r="D93" s="55"/>
      <c r="E93" s="63">
        <f>IF(ISBLANK(D93),0,ABS(Uzman_E!A$7-D93))</f>
        <v>0</v>
      </c>
      <c r="F93" s="64">
        <f>IF(ISBLANK(D93),0,INDEX(Tablo_E!$B$2:$CX$102,MATCH(ROUND(Uzman_E!A$7,1),Tablo_E!$A$2:$A$102,1),MATCH(ROUND(E93,1),Tablo_E!$B$1:$CX$1,1)))</f>
        <v>0</v>
      </c>
      <c r="G93" s="55"/>
      <c r="H93" s="63">
        <f>IF(ISBLANK(G93),0,ABS(Uzman_E!B$7-G93))</f>
        <v>0</v>
      </c>
      <c r="I93" s="64">
        <f>IF(ISBLANK(G93),0,INDEX(Tablo_E!$B$2:$CX$102,MATCH(ROUND(Uzman_E!B$7,1),Tablo_E!$A$2:$A$102,1),MATCH(ROUND(H93,1),Tablo_E!$B$1:$CX$1,1)))</f>
        <v>0</v>
      </c>
      <c r="J93" s="55"/>
      <c r="K93" s="63">
        <f>IF(ISBLANK(J93),0,ABS(Uzman_E!C$7-J93))</f>
        <v>0</v>
      </c>
      <c r="L93" s="64">
        <f>IF(ISBLANK(J93),0,INDEX(Tablo_E!$B$2:$CX$102,MATCH(ROUND(Uzman_E!C$7,1),Tablo_E!$A$2:$A$102,1),MATCH(ROUND(K93,1),Tablo_E!$B$1:$CX$1,1)))</f>
        <v>0</v>
      </c>
      <c r="M93" s="55"/>
      <c r="N93" s="63">
        <f>IF(ISBLANK(M93),0,ABS(Uzman_E!D$7-M93))</f>
        <v>0</v>
      </c>
      <c r="O93" s="64">
        <f>IF(ISBLANK(M93),0,INDEX(Tablo_E!$B$2:$CX$102,MATCH(ROUND(Uzman_E!D$7,1),Tablo_E!$A$2:$A$102,1),MATCH(ROUND(N93,1),Tablo_E!$B$1:$CX$1,1)))</f>
        <v>0</v>
      </c>
      <c r="P93" s="55"/>
      <c r="Q93" s="63">
        <f>IF(ISBLANK(P93),0,ABS(Uzman_E!E$7-P93))</f>
        <v>0</v>
      </c>
      <c r="R93" s="64">
        <f>IF(ISBLANK(P93),0,INDEX(Tablo_E!$B$2:$CX$102,MATCH(ROUND(Uzman_E!E$7,1),Tablo_E!$A$2:$A$102,1),MATCH(ROUND(Q93,1),Tablo_E!$B$1:$CX$1,1)))</f>
        <v>0</v>
      </c>
      <c r="S93" s="77">
        <f t="shared" si="2"/>
        <v>0</v>
      </c>
      <c r="T93" s="49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x14ac:dyDescent="0.45">
      <c r="A94" s="54">
        <v>91</v>
      </c>
      <c r="B94" s="146">
        <f>Hakemler!B94</f>
        <v>0</v>
      </c>
      <c r="C94" s="147">
        <f>Hakemler!C94</f>
        <v>0</v>
      </c>
      <c r="D94" s="55"/>
      <c r="E94" s="63">
        <f>IF(ISBLANK(D94),0,ABS(Uzman_E!A$7-D94))</f>
        <v>0</v>
      </c>
      <c r="F94" s="64">
        <f>IF(ISBLANK(D94),0,INDEX(Tablo_E!$B$2:$CX$102,MATCH(ROUND(Uzman_E!A$7,1),Tablo_E!$A$2:$A$102,1),MATCH(ROUND(E94,1),Tablo_E!$B$1:$CX$1,1)))</f>
        <v>0</v>
      </c>
      <c r="G94" s="55"/>
      <c r="H94" s="63">
        <f>IF(ISBLANK(G94),0,ABS(Uzman_E!B$7-G94))</f>
        <v>0</v>
      </c>
      <c r="I94" s="64">
        <f>IF(ISBLANK(G94),0,INDEX(Tablo_E!$B$2:$CX$102,MATCH(ROUND(Uzman_E!B$7,1),Tablo_E!$A$2:$A$102,1),MATCH(ROUND(H94,1),Tablo_E!$B$1:$CX$1,1)))</f>
        <v>0</v>
      </c>
      <c r="J94" s="55"/>
      <c r="K94" s="63">
        <f>IF(ISBLANK(J94),0,ABS(Uzman_E!C$7-J94))</f>
        <v>0</v>
      </c>
      <c r="L94" s="64">
        <f>IF(ISBLANK(J94),0,INDEX(Tablo_E!$B$2:$CX$102,MATCH(ROUND(Uzman_E!C$7,1),Tablo_E!$A$2:$A$102,1),MATCH(ROUND(K94,1),Tablo_E!$B$1:$CX$1,1)))</f>
        <v>0</v>
      </c>
      <c r="M94" s="55"/>
      <c r="N94" s="63">
        <f>IF(ISBLANK(M94),0,ABS(Uzman_E!D$7-M94))</f>
        <v>0</v>
      </c>
      <c r="O94" s="64">
        <f>IF(ISBLANK(M94),0,INDEX(Tablo_E!$B$2:$CX$102,MATCH(ROUND(Uzman_E!D$7,1),Tablo_E!$A$2:$A$102,1),MATCH(ROUND(N94,1),Tablo_E!$B$1:$CX$1,1)))</f>
        <v>0</v>
      </c>
      <c r="P94" s="55"/>
      <c r="Q94" s="63">
        <f>IF(ISBLANK(P94),0,ABS(Uzman_E!E$7-P94))</f>
        <v>0</v>
      </c>
      <c r="R94" s="64">
        <f>IF(ISBLANK(P94),0,INDEX(Tablo_E!$B$2:$CX$102,MATCH(ROUND(Uzman_E!E$7,1),Tablo_E!$A$2:$A$102,1),MATCH(ROUND(Q94,1),Tablo_E!$B$1:$CX$1,1)))</f>
        <v>0</v>
      </c>
      <c r="S94" s="77">
        <f t="shared" si="2"/>
        <v>0</v>
      </c>
      <c r="T94" s="49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x14ac:dyDescent="0.45">
      <c r="A95" s="54">
        <v>92</v>
      </c>
      <c r="B95" s="146">
        <f>Hakemler!B95</f>
        <v>0</v>
      </c>
      <c r="C95" s="147">
        <f>Hakemler!C95</f>
        <v>0</v>
      </c>
      <c r="D95" s="55"/>
      <c r="E95" s="63">
        <f>IF(ISBLANK(D95),0,ABS(Uzman_E!A$7-D95))</f>
        <v>0</v>
      </c>
      <c r="F95" s="64">
        <f>IF(ISBLANK(D95),0,INDEX(Tablo_E!$B$2:$CX$102,MATCH(ROUND(Uzman_E!A$7,1),Tablo_E!$A$2:$A$102,1),MATCH(ROUND(E95,1),Tablo_E!$B$1:$CX$1,1)))</f>
        <v>0</v>
      </c>
      <c r="G95" s="55"/>
      <c r="H95" s="63">
        <f>IF(ISBLANK(G95),0,ABS(Uzman_E!B$7-G95))</f>
        <v>0</v>
      </c>
      <c r="I95" s="64">
        <f>IF(ISBLANK(G95),0,INDEX(Tablo_E!$B$2:$CX$102,MATCH(ROUND(Uzman_E!B$7,1),Tablo_E!$A$2:$A$102,1),MATCH(ROUND(H95,1),Tablo_E!$B$1:$CX$1,1)))</f>
        <v>0</v>
      </c>
      <c r="J95" s="55"/>
      <c r="K95" s="63">
        <f>IF(ISBLANK(J95),0,ABS(Uzman_E!C$7-J95))</f>
        <v>0</v>
      </c>
      <c r="L95" s="64">
        <f>IF(ISBLANK(J95),0,INDEX(Tablo_E!$B$2:$CX$102,MATCH(ROUND(Uzman_E!C$7,1),Tablo_E!$A$2:$A$102,1),MATCH(ROUND(K95,1),Tablo_E!$B$1:$CX$1,1)))</f>
        <v>0</v>
      </c>
      <c r="M95" s="55"/>
      <c r="N95" s="63">
        <f>IF(ISBLANK(M95),0,ABS(Uzman_E!D$7-M95))</f>
        <v>0</v>
      </c>
      <c r="O95" s="64">
        <f>IF(ISBLANK(M95),0,INDEX(Tablo_E!$B$2:$CX$102,MATCH(ROUND(Uzman_E!D$7,1),Tablo_E!$A$2:$A$102,1),MATCH(ROUND(N95,1),Tablo_E!$B$1:$CX$1,1)))</f>
        <v>0</v>
      </c>
      <c r="P95" s="55"/>
      <c r="Q95" s="63">
        <f>IF(ISBLANK(P95),0,ABS(Uzman_E!E$7-P95))</f>
        <v>0</v>
      </c>
      <c r="R95" s="64">
        <f>IF(ISBLANK(P95),0,INDEX(Tablo_E!$B$2:$CX$102,MATCH(ROUND(Uzman_E!E$7,1),Tablo_E!$A$2:$A$102,1),MATCH(ROUND(Q95,1),Tablo_E!$B$1:$CX$1,1)))</f>
        <v>0</v>
      </c>
      <c r="S95" s="77">
        <f t="shared" si="2"/>
        <v>0</v>
      </c>
      <c r="T95" s="49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x14ac:dyDescent="0.45">
      <c r="A96" s="54">
        <v>93</v>
      </c>
      <c r="B96" s="146">
        <f>Hakemler!B96</f>
        <v>0</v>
      </c>
      <c r="C96" s="147">
        <f>Hakemler!C96</f>
        <v>0</v>
      </c>
      <c r="D96" s="55"/>
      <c r="E96" s="63">
        <f>IF(ISBLANK(D96),0,ABS(Uzman_E!A$7-D96))</f>
        <v>0</v>
      </c>
      <c r="F96" s="64">
        <f>IF(ISBLANK(D96),0,INDEX(Tablo_E!$B$2:$CX$102,MATCH(ROUND(Uzman_E!A$7,1),Tablo_E!$A$2:$A$102,1),MATCH(ROUND(E96,1),Tablo_E!$B$1:$CX$1,1)))</f>
        <v>0</v>
      </c>
      <c r="G96" s="55"/>
      <c r="H96" s="63">
        <f>IF(ISBLANK(G96),0,ABS(Uzman_E!B$7-G96))</f>
        <v>0</v>
      </c>
      <c r="I96" s="64">
        <f>IF(ISBLANK(G96),0,INDEX(Tablo_E!$B$2:$CX$102,MATCH(ROUND(Uzman_E!B$7,1),Tablo_E!$A$2:$A$102,1),MATCH(ROUND(H96,1),Tablo_E!$B$1:$CX$1,1)))</f>
        <v>0</v>
      </c>
      <c r="J96" s="55"/>
      <c r="K96" s="63">
        <f>IF(ISBLANK(J96),0,ABS(Uzman_E!C$7-J96))</f>
        <v>0</v>
      </c>
      <c r="L96" s="64">
        <f>IF(ISBLANK(J96),0,INDEX(Tablo_E!$B$2:$CX$102,MATCH(ROUND(Uzman_E!C$7,1),Tablo_E!$A$2:$A$102,1),MATCH(ROUND(K96,1),Tablo_E!$B$1:$CX$1,1)))</f>
        <v>0</v>
      </c>
      <c r="M96" s="55"/>
      <c r="N96" s="63">
        <f>IF(ISBLANK(M96),0,ABS(Uzman_E!D$7-M96))</f>
        <v>0</v>
      </c>
      <c r="O96" s="64">
        <f>IF(ISBLANK(M96),0,INDEX(Tablo_E!$B$2:$CX$102,MATCH(ROUND(Uzman_E!D$7,1),Tablo_E!$A$2:$A$102,1),MATCH(ROUND(N96,1),Tablo_E!$B$1:$CX$1,1)))</f>
        <v>0</v>
      </c>
      <c r="P96" s="55"/>
      <c r="Q96" s="63">
        <f>IF(ISBLANK(P96),0,ABS(Uzman_E!E$7-P96))</f>
        <v>0</v>
      </c>
      <c r="R96" s="64">
        <f>IF(ISBLANK(P96),0,INDEX(Tablo_E!$B$2:$CX$102,MATCH(ROUND(Uzman_E!E$7,1),Tablo_E!$A$2:$A$102,1),MATCH(ROUND(Q96,1),Tablo_E!$B$1:$CX$1,1)))</f>
        <v>0</v>
      </c>
      <c r="S96" s="77">
        <f t="shared" si="2"/>
        <v>0</v>
      </c>
      <c r="T96" s="49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x14ac:dyDescent="0.45">
      <c r="A97" s="54">
        <v>94</v>
      </c>
      <c r="B97" s="146">
        <f>Hakemler!B97</f>
        <v>0</v>
      </c>
      <c r="C97" s="147">
        <f>Hakemler!C97</f>
        <v>0</v>
      </c>
      <c r="D97" s="55"/>
      <c r="E97" s="63">
        <f>IF(ISBLANK(D97),0,ABS(Uzman_E!A$7-D97))</f>
        <v>0</v>
      </c>
      <c r="F97" s="64">
        <f>IF(ISBLANK(D97),0,INDEX(Tablo_E!$B$2:$CX$102,MATCH(ROUND(Uzman_E!A$7,1),Tablo_E!$A$2:$A$102,1),MATCH(ROUND(E97,1),Tablo_E!$B$1:$CX$1,1)))</f>
        <v>0</v>
      </c>
      <c r="G97" s="55"/>
      <c r="H97" s="63">
        <f>IF(ISBLANK(G97),0,ABS(Uzman_E!B$7-G97))</f>
        <v>0</v>
      </c>
      <c r="I97" s="64">
        <f>IF(ISBLANK(G97),0,INDEX(Tablo_E!$B$2:$CX$102,MATCH(ROUND(Uzman_E!B$7,1),Tablo_E!$A$2:$A$102,1),MATCH(ROUND(H97,1),Tablo_E!$B$1:$CX$1,1)))</f>
        <v>0</v>
      </c>
      <c r="J97" s="55"/>
      <c r="K97" s="63">
        <f>IF(ISBLANK(J97),0,ABS(Uzman_E!C$7-J97))</f>
        <v>0</v>
      </c>
      <c r="L97" s="64">
        <f>IF(ISBLANK(J97),0,INDEX(Tablo_E!$B$2:$CX$102,MATCH(ROUND(Uzman_E!C$7,1),Tablo_E!$A$2:$A$102,1),MATCH(ROUND(K97,1),Tablo_E!$B$1:$CX$1,1)))</f>
        <v>0</v>
      </c>
      <c r="M97" s="55"/>
      <c r="N97" s="63">
        <f>IF(ISBLANK(M97),0,ABS(Uzman_E!D$7-M97))</f>
        <v>0</v>
      </c>
      <c r="O97" s="64">
        <f>IF(ISBLANK(M97),0,INDEX(Tablo_E!$B$2:$CX$102,MATCH(ROUND(Uzman_E!D$7,1),Tablo_E!$A$2:$A$102,1),MATCH(ROUND(N97,1),Tablo_E!$B$1:$CX$1,1)))</f>
        <v>0</v>
      </c>
      <c r="P97" s="55"/>
      <c r="Q97" s="63">
        <f>IF(ISBLANK(P97),0,ABS(Uzman_E!E$7-P97))</f>
        <v>0</v>
      </c>
      <c r="R97" s="64">
        <f>IF(ISBLANK(P97),0,INDEX(Tablo_E!$B$2:$CX$102,MATCH(ROUND(Uzman_E!E$7,1),Tablo_E!$A$2:$A$102,1),MATCH(ROUND(Q97,1),Tablo_E!$B$1:$CX$1,1)))</f>
        <v>0</v>
      </c>
      <c r="S97" s="77">
        <f t="shared" si="2"/>
        <v>0</v>
      </c>
      <c r="T97" s="49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x14ac:dyDescent="0.45">
      <c r="A98" s="54">
        <v>95</v>
      </c>
      <c r="B98" s="146">
        <f>Hakemler!B98</f>
        <v>0</v>
      </c>
      <c r="C98" s="147">
        <f>Hakemler!C98</f>
        <v>0</v>
      </c>
      <c r="D98" s="55"/>
      <c r="E98" s="63">
        <f>IF(ISBLANK(D98),0,ABS(Uzman_E!A$7-D98))</f>
        <v>0</v>
      </c>
      <c r="F98" s="64">
        <f>IF(ISBLANK(D98),0,INDEX(Tablo_E!$B$2:$CX$102,MATCH(ROUND(Uzman_E!A$7,1),Tablo_E!$A$2:$A$102,1),MATCH(ROUND(E98,1),Tablo_E!$B$1:$CX$1,1)))</f>
        <v>0</v>
      </c>
      <c r="G98" s="55"/>
      <c r="H98" s="63">
        <f>IF(ISBLANK(G98),0,ABS(Uzman_E!B$7-G98))</f>
        <v>0</v>
      </c>
      <c r="I98" s="64">
        <f>IF(ISBLANK(G98),0,INDEX(Tablo_E!$B$2:$CX$102,MATCH(ROUND(Uzman_E!B$7,1),Tablo_E!$A$2:$A$102,1),MATCH(ROUND(H98,1),Tablo_E!$B$1:$CX$1,1)))</f>
        <v>0</v>
      </c>
      <c r="J98" s="55"/>
      <c r="K98" s="63">
        <f>IF(ISBLANK(J98),0,ABS(Uzman_E!C$7-J98))</f>
        <v>0</v>
      </c>
      <c r="L98" s="64">
        <f>IF(ISBLANK(J98),0,INDEX(Tablo_E!$B$2:$CX$102,MATCH(ROUND(Uzman_E!C$7,1),Tablo_E!$A$2:$A$102,1),MATCH(ROUND(K98,1),Tablo_E!$B$1:$CX$1,1)))</f>
        <v>0</v>
      </c>
      <c r="M98" s="55"/>
      <c r="N98" s="63">
        <f>IF(ISBLANK(M98),0,ABS(Uzman_E!D$7-M98))</f>
        <v>0</v>
      </c>
      <c r="O98" s="64">
        <f>IF(ISBLANK(M98),0,INDEX(Tablo_E!$B$2:$CX$102,MATCH(ROUND(Uzman_E!D$7,1),Tablo_E!$A$2:$A$102,1),MATCH(ROUND(N98,1),Tablo_E!$B$1:$CX$1,1)))</f>
        <v>0</v>
      </c>
      <c r="P98" s="55"/>
      <c r="Q98" s="63">
        <f>IF(ISBLANK(P98),0,ABS(Uzman_E!E$7-P98))</f>
        <v>0</v>
      </c>
      <c r="R98" s="64">
        <f>IF(ISBLANK(P98),0,INDEX(Tablo_E!$B$2:$CX$102,MATCH(ROUND(Uzman_E!E$7,1),Tablo_E!$A$2:$A$102,1),MATCH(ROUND(Q98,1),Tablo_E!$B$1:$CX$1,1)))</f>
        <v>0</v>
      </c>
      <c r="S98" s="77">
        <f t="shared" si="2"/>
        <v>0</v>
      </c>
      <c r="T98" s="49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x14ac:dyDescent="0.45">
      <c r="A99" s="54">
        <v>96</v>
      </c>
      <c r="B99" s="146">
        <f>Hakemler!B99</f>
        <v>0</v>
      </c>
      <c r="C99" s="147">
        <f>Hakemler!C99</f>
        <v>0</v>
      </c>
      <c r="D99" s="55"/>
      <c r="E99" s="63">
        <f>IF(ISBLANK(D99),0,ABS(Uzman_E!A$7-D99))</f>
        <v>0</v>
      </c>
      <c r="F99" s="64">
        <f>IF(ISBLANK(D99),0,INDEX(Tablo_E!$B$2:$CX$102,MATCH(ROUND(Uzman_E!A$7,1),Tablo_E!$A$2:$A$102,1),MATCH(ROUND(E99,1),Tablo_E!$B$1:$CX$1,1)))</f>
        <v>0</v>
      </c>
      <c r="G99" s="55"/>
      <c r="H99" s="63">
        <f>IF(ISBLANK(G99),0,ABS(Uzman_E!B$7-G99))</f>
        <v>0</v>
      </c>
      <c r="I99" s="64">
        <f>IF(ISBLANK(G99),0,INDEX(Tablo_E!$B$2:$CX$102,MATCH(ROUND(Uzman_E!B$7,1),Tablo_E!$A$2:$A$102,1),MATCH(ROUND(H99,1),Tablo_E!$B$1:$CX$1,1)))</f>
        <v>0</v>
      </c>
      <c r="J99" s="55"/>
      <c r="K99" s="63">
        <f>IF(ISBLANK(J99),0,ABS(Uzman_E!C$7-J99))</f>
        <v>0</v>
      </c>
      <c r="L99" s="64">
        <f>IF(ISBLANK(J99),0,INDEX(Tablo_E!$B$2:$CX$102,MATCH(ROUND(Uzman_E!C$7,1),Tablo_E!$A$2:$A$102,1),MATCH(ROUND(K99,1),Tablo_E!$B$1:$CX$1,1)))</f>
        <v>0</v>
      </c>
      <c r="M99" s="55"/>
      <c r="N99" s="63">
        <f>IF(ISBLANK(M99),0,ABS(Uzman_E!D$7-M99))</f>
        <v>0</v>
      </c>
      <c r="O99" s="64">
        <f>IF(ISBLANK(M99),0,INDEX(Tablo_E!$B$2:$CX$102,MATCH(ROUND(Uzman_E!D$7,1),Tablo_E!$A$2:$A$102,1),MATCH(ROUND(N99,1),Tablo_E!$B$1:$CX$1,1)))</f>
        <v>0</v>
      </c>
      <c r="P99" s="55"/>
      <c r="Q99" s="63">
        <f>IF(ISBLANK(P99),0,ABS(Uzman_E!E$7-P99))</f>
        <v>0</v>
      </c>
      <c r="R99" s="64">
        <f>IF(ISBLANK(P99),0,INDEX(Tablo_E!$B$2:$CX$102,MATCH(ROUND(Uzman_E!E$7,1),Tablo_E!$A$2:$A$102,1),MATCH(ROUND(Q99,1),Tablo_E!$B$1:$CX$1,1)))</f>
        <v>0</v>
      </c>
      <c r="S99" s="77">
        <f t="shared" si="2"/>
        <v>0</v>
      </c>
      <c r="T99" s="49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x14ac:dyDescent="0.45">
      <c r="A100" s="54">
        <v>97</v>
      </c>
      <c r="B100" s="146">
        <f>Hakemler!B100</f>
        <v>0</v>
      </c>
      <c r="C100" s="147">
        <f>Hakemler!C100</f>
        <v>0</v>
      </c>
      <c r="D100" s="55"/>
      <c r="E100" s="63">
        <f>IF(ISBLANK(D100),0,ABS(Uzman_E!A$7-D100))</f>
        <v>0</v>
      </c>
      <c r="F100" s="64">
        <f>IF(ISBLANK(D100),0,INDEX(Tablo_E!$B$2:$CX$102,MATCH(ROUND(Uzman_E!A$7,1),Tablo_E!$A$2:$A$102,1),MATCH(ROUND(E100,1),Tablo_E!$B$1:$CX$1,1)))</f>
        <v>0</v>
      </c>
      <c r="G100" s="55"/>
      <c r="H100" s="63">
        <f>IF(ISBLANK(G100),0,ABS(Uzman_E!B$7-G100))</f>
        <v>0</v>
      </c>
      <c r="I100" s="64">
        <f>IF(ISBLANK(G100),0,INDEX(Tablo_E!$B$2:$CX$102,MATCH(ROUND(Uzman_E!B$7,1),Tablo_E!$A$2:$A$102,1),MATCH(ROUND(H100,1),Tablo_E!$B$1:$CX$1,1)))</f>
        <v>0</v>
      </c>
      <c r="J100" s="55"/>
      <c r="K100" s="63">
        <f>IF(ISBLANK(J100),0,ABS(Uzman_E!C$7-J100))</f>
        <v>0</v>
      </c>
      <c r="L100" s="64">
        <f>IF(ISBLANK(J100),0,INDEX(Tablo_E!$B$2:$CX$102,MATCH(ROUND(Uzman_E!C$7,1),Tablo_E!$A$2:$A$102,1),MATCH(ROUND(K100,1),Tablo_E!$B$1:$CX$1,1)))</f>
        <v>0</v>
      </c>
      <c r="M100" s="55"/>
      <c r="N100" s="63">
        <f>IF(ISBLANK(M100),0,ABS(Uzman_E!D$7-M100))</f>
        <v>0</v>
      </c>
      <c r="O100" s="64">
        <f>IF(ISBLANK(M100),0,INDEX(Tablo_E!$B$2:$CX$102,MATCH(ROUND(Uzman_E!D$7,1),Tablo_E!$A$2:$A$102,1),MATCH(ROUND(N100,1),Tablo_E!$B$1:$CX$1,1)))</f>
        <v>0</v>
      </c>
      <c r="P100" s="55"/>
      <c r="Q100" s="63">
        <f>IF(ISBLANK(P100),0,ABS(Uzman_E!E$7-P100))</f>
        <v>0</v>
      </c>
      <c r="R100" s="64">
        <f>IF(ISBLANK(P100),0,INDEX(Tablo_E!$B$2:$CX$102,MATCH(ROUND(Uzman_E!E$7,1),Tablo_E!$A$2:$A$102,1),MATCH(ROUND(Q100,1),Tablo_E!$B$1:$CX$1,1)))</f>
        <v>0</v>
      </c>
      <c r="S100" s="77">
        <f t="shared" ref="S100:S103" si="3">(F100+I100+L100+O100+R100)/5</f>
        <v>0</v>
      </c>
      <c r="T100" s="49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x14ac:dyDescent="0.45">
      <c r="A101" s="54">
        <v>98</v>
      </c>
      <c r="B101" s="146">
        <f>Hakemler!B101</f>
        <v>0</v>
      </c>
      <c r="C101" s="147">
        <f>Hakemler!C101</f>
        <v>0</v>
      </c>
      <c r="D101" s="55"/>
      <c r="E101" s="63">
        <f>IF(ISBLANK(D101),0,ABS(Uzman_E!A$7-D101))</f>
        <v>0</v>
      </c>
      <c r="F101" s="64">
        <f>IF(ISBLANK(D101),0,INDEX(Tablo_E!$B$2:$CX$102,MATCH(ROUND(Uzman_E!A$7,1),Tablo_E!$A$2:$A$102,1),MATCH(ROUND(E101,1),Tablo_E!$B$1:$CX$1,1)))</f>
        <v>0</v>
      </c>
      <c r="G101" s="55"/>
      <c r="H101" s="63">
        <f>IF(ISBLANK(G101),0,ABS(Uzman_E!B$7-G101))</f>
        <v>0</v>
      </c>
      <c r="I101" s="64">
        <f>IF(ISBLANK(G101),0,INDEX(Tablo_E!$B$2:$CX$102,MATCH(ROUND(Uzman_E!B$7,1),Tablo_E!$A$2:$A$102,1),MATCH(ROUND(H101,1),Tablo_E!$B$1:$CX$1,1)))</f>
        <v>0</v>
      </c>
      <c r="J101" s="55"/>
      <c r="K101" s="63">
        <f>IF(ISBLANK(J101),0,ABS(Uzman_E!C$7-J101))</f>
        <v>0</v>
      </c>
      <c r="L101" s="64">
        <f>IF(ISBLANK(J101),0,INDEX(Tablo_E!$B$2:$CX$102,MATCH(ROUND(Uzman_E!C$7,1),Tablo_E!$A$2:$A$102,1),MATCH(ROUND(K101,1),Tablo_E!$B$1:$CX$1,1)))</f>
        <v>0</v>
      </c>
      <c r="M101" s="55"/>
      <c r="N101" s="63">
        <f>IF(ISBLANK(M101),0,ABS(Uzman_E!D$7-M101))</f>
        <v>0</v>
      </c>
      <c r="O101" s="64">
        <f>IF(ISBLANK(M101),0,INDEX(Tablo_E!$B$2:$CX$102,MATCH(ROUND(Uzman_E!D$7,1),Tablo_E!$A$2:$A$102,1),MATCH(ROUND(N101,1),Tablo_E!$B$1:$CX$1,1)))</f>
        <v>0</v>
      </c>
      <c r="P101" s="55"/>
      <c r="Q101" s="63">
        <f>IF(ISBLANK(P101),0,ABS(Uzman_E!E$7-P101))</f>
        <v>0</v>
      </c>
      <c r="R101" s="64">
        <f>IF(ISBLANK(P101),0,INDEX(Tablo_E!$B$2:$CX$102,MATCH(ROUND(Uzman_E!E$7,1),Tablo_E!$A$2:$A$102,1),MATCH(ROUND(Q101,1),Tablo_E!$B$1:$CX$1,1)))</f>
        <v>0</v>
      </c>
      <c r="S101" s="77">
        <f t="shared" si="3"/>
        <v>0</v>
      </c>
      <c r="T101" s="49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x14ac:dyDescent="0.45">
      <c r="A102" s="54">
        <v>99</v>
      </c>
      <c r="B102" s="146">
        <f>Hakemler!B102</f>
        <v>0</v>
      </c>
      <c r="C102" s="147">
        <f>Hakemler!C102</f>
        <v>0</v>
      </c>
      <c r="D102" s="55"/>
      <c r="E102" s="63">
        <f>IF(ISBLANK(D102),0,ABS(Uzman_E!A$7-D102))</f>
        <v>0</v>
      </c>
      <c r="F102" s="64">
        <f>IF(ISBLANK(D102),0,INDEX(Tablo_E!$B$2:$CX$102,MATCH(ROUND(Uzman_E!A$7,1),Tablo_E!$A$2:$A$102,1),MATCH(ROUND(E102,1),Tablo_E!$B$1:$CX$1,1)))</f>
        <v>0</v>
      </c>
      <c r="G102" s="55"/>
      <c r="H102" s="63">
        <f>IF(ISBLANK(G102),0,ABS(Uzman_E!B$7-G102))</f>
        <v>0</v>
      </c>
      <c r="I102" s="64">
        <f>IF(ISBLANK(G102),0,INDEX(Tablo_E!$B$2:$CX$102,MATCH(ROUND(Uzman_E!B$7,1),Tablo_E!$A$2:$A$102,1),MATCH(ROUND(H102,1),Tablo_E!$B$1:$CX$1,1)))</f>
        <v>0</v>
      </c>
      <c r="J102" s="55"/>
      <c r="K102" s="63">
        <f>IF(ISBLANK(J102),0,ABS(Uzman_E!C$7-J102))</f>
        <v>0</v>
      </c>
      <c r="L102" s="64">
        <f>IF(ISBLANK(J102),0,INDEX(Tablo_E!$B$2:$CX$102,MATCH(ROUND(Uzman_E!C$7,1),Tablo_E!$A$2:$A$102,1),MATCH(ROUND(K102,1),Tablo_E!$B$1:$CX$1,1)))</f>
        <v>0</v>
      </c>
      <c r="M102" s="55"/>
      <c r="N102" s="63">
        <f>IF(ISBLANK(M102),0,ABS(Uzman_E!D$7-M102))</f>
        <v>0</v>
      </c>
      <c r="O102" s="64">
        <f>IF(ISBLANK(M102),0,INDEX(Tablo_E!$B$2:$CX$102,MATCH(ROUND(Uzman_E!D$7,1),Tablo_E!$A$2:$A$102,1),MATCH(ROUND(N102,1),Tablo_E!$B$1:$CX$1,1)))</f>
        <v>0</v>
      </c>
      <c r="P102" s="55"/>
      <c r="Q102" s="63">
        <f>IF(ISBLANK(P102),0,ABS(Uzman_E!E$7-P102))</f>
        <v>0</v>
      </c>
      <c r="R102" s="64">
        <f>IF(ISBLANK(P102),0,INDEX(Tablo_E!$B$2:$CX$102,MATCH(ROUND(Uzman_E!E$7,1),Tablo_E!$A$2:$A$102,1),MATCH(ROUND(Q102,1),Tablo_E!$B$1:$CX$1,1)))</f>
        <v>0</v>
      </c>
      <c r="S102" s="77">
        <f t="shared" si="3"/>
        <v>0</v>
      </c>
      <c r="T102" s="49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45">
      <c r="A103" s="54">
        <v>100</v>
      </c>
      <c r="B103" s="146">
        <f>Hakemler!B103</f>
        <v>0</v>
      </c>
      <c r="C103" s="147">
        <f>Hakemler!C103</f>
        <v>0</v>
      </c>
      <c r="D103" s="55"/>
      <c r="E103" s="63">
        <f>IF(ISBLANK(D103),0,ABS(Uzman_E!A$7-D103))</f>
        <v>0</v>
      </c>
      <c r="F103" s="64">
        <f>IF(ISBLANK(D103),0,INDEX(Tablo_E!$B$2:$CX$102,MATCH(ROUND(Uzman_E!A$7,1),Tablo_E!$A$2:$A$102,1),MATCH(ROUND(E103,1),Tablo_E!$B$1:$CX$1,1)))</f>
        <v>0</v>
      </c>
      <c r="G103" s="55"/>
      <c r="H103" s="63">
        <f>IF(ISBLANK(G103),0,ABS(Uzman_E!B$7-G103))</f>
        <v>0</v>
      </c>
      <c r="I103" s="64">
        <f>IF(ISBLANK(G103),0,INDEX(Tablo_E!$B$2:$CX$102,MATCH(ROUND(Uzman_E!B$7,1),Tablo_E!$A$2:$A$102,1),MATCH(ROUND(H103,1),Tablo_E!$B$1:$CX$1,1)))</f>
        <v>0</v>
      </c>
      <c r="J103" s="55"/>
      <c r="K103" s="63">
        <f>IF(ISBLANK(J103),0,ABS(Uzman_E!C$7-J103))</f>
        <v>0</v>
      </c>
      <c r="L103" s="64">
        <f>IF(ISBLANK(J103),0,INDEX(Tablo_E!$B$2:$CX$102,MATCH(ROUND(Uzman_E!C$7,1),Tablo_E!$A$2:$A$102,1),MATCH(ROUND(K103,1),Tablo_E!$B$1:$CX$1,1)))</f>
        <v>0</v>
      </c>
      <c r="M103" s="55"/>
      <c r="N103" s="63">
        <f>IF(ISBLANK(M103),0,ABS(Uzman_E!D$7-M103))</f>
        <v>0</v>
      </c>
      <c r="O103" s="64">
        <f>IF(ISBLANK(M103),0,INDEX(Tablo_E!$B$2:$CX$102,MATCH(ROUND(Uzman_E!D$7,1),Tablo_E!$A$2:$A$102,1),MATCH(ROUND(N103,1),Tablo_E!$B$1:$CX$1,1)))</f>
        <v>0</v>
      </c>
      <c r="P103" s="55"/>
      <c r="Q103" s="63">
        <f>IF(ISBLANK(P103),0,ABS(Uzman_E!E$7-P103))</f>
        <v>0</v>
      </c>
      <c r="R103" s="64">
        <f>IF(ISBLANK(P103),0,INDEX(Tablo_E!$B$2:$CX$102,MATCH(ROUND(Uzman_E!E$7,1),Tablo_E!$A$2:$A$102,1),MATCH(ROUND(Q103,1),Tablo_E!$B$1:$CX$1,1)))</f>
        <v>0</v>
      </c>
      <c r="S103" s="77">
        <f t="shared" si="3"/>
        <v>0</v>
      </c>
      <c r="T103" s="49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A1:S1"/>
    <mergeCell ref="B2:B3"/>
    <mergeCell ref="M2:O2"/>
    <mergeCell ref="C2:C3"/>
    <mergeCell ref="P2:R2"/>
    <mergeCell ref="A2:A3"/>
    <mergeCell ref="D2:F2"/>
    <mergeCell ref="J2:L2"/>
    <mergeCell ref="G2:I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03"/>
  <sheetViews>
    <sheetView showGridLines="0" workbookViewId="0">
      <selection activeCell="R10" sqref="R10"/>
    </sheetView>
  </sheetViews>
  <sheetFormatPr defaultColWidth="8.796875" defaultRowHeight="15" customHeight="1" x14ac:dyDescent="0.45"/>
  <cols>
    <col min="1" max="1" width="5" style="1" customWidth="1"/>
    <col min="2" max="2" width="18.265625" style="141" bestFit="1" customWidth="1"/>
    <col min="3" max="3" width="15.796875" style="141" bestFit="1" customWidth="1"/>
    <col min="4" max="15" width="3.46484375" style="1" customWidth="1"/>
    <col min="16" max="16" width="7.6640625" style="1" customWidth="1"/>
    <col min="17" max="28" width="3.46484375" style="1" customWidth="1"/>
    <col min="29" max="29" width="7.6640625" style="1" customWidth="1"/>
    <col min="30" max="41" width="3.46484375" style="1" customWidth="1"/>
    <col min="42" max="42" width="7.6640625" style="1" customWidth="1"/>
    <col min="43" max="54" width="3.46484375" style="1" customWidth="1"/>
    <col min="55" max="55" width="7.6640625" style="1" customWidth="1"/>
    <col min="56" max="67" width="3.46484375" style="1" customWidth="1"/>
    <col min="68" max="68" width="7.6640625" style="1" customWidth="1"/>
    <col min="69" max="69" width="10.46484375" style="1" customWidth="1"/>
    <col min="70" max="256" width="8.86328125" style="1" customWidth="1"/>
  </cols>
  <sheetData>
    <row r="1" spans="1:69" ht="18.75" customHeight="1" x14ac:dyDescent="0.45">
      <c r="A1" s="210" t="s">
        <v>87</v>
      </c>
      <c r="B1" s="211"/>
      <c r="C1" s="211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3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5"/>
    </row>
    <row r="2" spans="1:69" ht="15.75" customHeight="1" x14ac:dyDescent="0.45">
      <c r="A2" s="218" t="s">
        <v>9</v>
      </c>
      <c r="B2" s="216" t="s">
        <v>10</v>
      </c>
      <c r="C2" s="208" t="s">
        <v>11</v>
      </c>
      <c r="D2" s="202" t="s">
        <v>54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205" t="s">
        <v>55</v>
      </c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7"/>
      <c r="AD2" s="202" t="s">
        <v>56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205" t="s">
        <v>57</v>
      </c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7"/>
      <c r="BD2" s="202" t="s">
        <v>58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5"/>
    </row>
    <row r="3" spans="1:69" ht="15.75" customHeight="1" x14ac:dyDescent="0.45">
      <c r="A3" s="219"/>
      <c r="B3" s="217"/>
      <c r="C3" s="209"/>
      <c r="D3" s="66" t="s">
        <v>74</v>
      </c>
      <c r="E3" s="67" t="s">
        <v>75</v>
      </c>
      <c r="F3" s="67" t="s">
        <v>76</v>
      </c>
      <c r="G3" s="67" t="s">
        <v>77</v>
      </c>
      <c r="H3" s="67" t="s">
        <v>78</v>
      </c>
      <c r="I3" s="67" t="s">
        <v>79</v>
      </c>
      <c r="J3" s="67" t="s">
        <v>80</v>
      </c>
      <c r="K3" s="67" t="s">
        <v>81</v>
      </c>
      <c r="L3" s="67" t="s">
        <v>82</v>
      </c>
      <c r="M3" s="67" t="s">
        <v>83</v>
      </c>
      <c r="N3" s="67" t="s">
        <v>84</v>
      </c>
      <c r="O3" s="67" t="s">
        <v>85</v>
      </c>
      <c r="P3" s="68" t="s">
        <v>64</v>
      </c>
      <c r="Q3" s="66" t="s">
        <v>74</v>
      </c>
      <c r="R3" s="67" t="s">
        <v>75</v>
      </c>
      <c r="S3" s="67" t="s">
        <v>76</v>
      </c>
      <c r="T3" s="67" t="s">
        <v>77</v>
      </c>
      <c r="U3" s="67" t="s">
        <v>78</v>
      </c>
      <c r="V3" s="67" t="s">
        <v>79</v>
      </c>
      <c r="W3" s="67" t="s">
        <v>80</v>
      </c>
      <c r="X3" s="67" t="s">
        <v>81</v>
      </c>
      <c r="Y3" s="67" t="s">
        <v>82</v>
      </c>
      <c r="Z3" s="67" t="s">
        <v>83</v>
      </c>
      <c r="AA3" s="67" t="s">
        <v>84</v>
      </c>
      <c r="AB3" s="67" t="s">
        <v>85</v>
      </c>
      <c r="AC3" s="68" t="s">
        <v>64</v>
      </c>
      <c r="AD3" s="66" t="s">
        <v>74</v>
      </c>
      <c r="AE3" s="67" t="s">
        <v>75</v>
      </c>
      <c r="AF3" s="67" t="s">
        <v>76</v>
      </c>
      <c r="AG3" s="67" t="s">
        <v>77</v>
      </c>
      <c r="AH3" s="67" t="s">
        <v>78</v>
      </c>
      <c r="AI3" s="67" t="s">
        <v>79</v>
      </c>
      <c r="AJ3" s="67" t="s">
        <v>80</v>
      </c>
      <c r="AK3" s="67" t="s">
        <v>81</v>
      </c>
      <c r="AL3" s="67" t="s">
        <v>82</v>
      </c>
      <c r="AM3" s="67" t="s">
        <v>83</v>
      </c>
      <c r="AN3" s="67" t="s">
        <v>84</v>
      </c>
      <c r="AO3" s="67" t="s">
        <v>85</v>
      </c>
      <c r="AP3" s="68" t="s">
        <v>64</v>
      </c>
      <c r="AQ3" s="66" t="s">
        <v>74</v>
      </c>
      <c r="AR3" s="67" t="s">
        <v>75</v>
      </c>
      <c r="AS3" s="67" t="s">
        <v>76</v>
      </c>
      <c r="AT3" s="67" t="s">
        <v>77</v>
      </c>
      <c r="AU3" s="67" t="s">
        <v>78</v>
      </c>
      <c r="AV3" s="67" t="s">
        <v>79</v>
      </c>
      <c r="AW3" s="67" t="s">
        <v>80</v>
      </c>
      <c r="AX3" s="67" t="s">
        <v>81</v>
      </c>
      <c r="AY3" s="67" t="s">
        <v>82</v>
      </c>
      <c r="AZ3" s="67" t="s">
        <v>83</v>
      </c>
      <c r="BA3" s="67" t="s">
        <v>84</v>
      </c>
      <c r="BB3" s="67" t="s">
        <v>85</v>
      </c>
      <c r="BC3" s="68" t="s">
        <v>64</v>
      </c>
      <c r="BD3" s="66" t="s">
        <v>74</v>
      </c>
      <c r="BE3" s="67" t="s">
        <v>75</v>
      </c>
      <c r="BF3" s="67" t="s">
        <v>76</v>
      </c>
      <c r="BG3" s="67" t="s">
        <v>77</v>
      </c>
      <c r="BH3" s="67" t="s">
        <v>78</v>
      </c>
      <c r="BI3" s="67" t="s">
        <v>79</v>
      </c>
      <c r="BJ3" s="67" t="s">
        <v>80</v>
      </c>
      <c r="BK3" s="67" t="s">
        <v>81</v>
      </c>
      <c r="BL3" s="67" t="s">
        <v>82</v>
      </c>
      <c r="BM3" s="67" t="s">
        <v>83</v>
      </c>
      <c r="BN3" s="67" t="s">
        <v>84</v>
      </c>
      <c r="BO3" s="67" t="s">
        <v>85</v>
      </c>
      <c r="BP3" s="68" t="s">
        <v>64</v>
      </c>
      <c r="BQ3" s="69" t="s">
        <v>65</v>
      </c>
    </row>
    <row r="4" spans="1:69" ht="15.5" customHeight="1" x14ac:dyDescent="0.45">
      <c r="A4" s="54">
        <v>1</v>
      </c>
      <c r="B4" s="148" t="str">
        <f>Hakemler!B4</f>
        <v>YAZICI</v>
      </c>
      <c r="C4" s="148" t="str">
        <f>Hakemler!C4</f>
        <v>SUZAN</v>
      </c>
      <c r="D4" s="56">
        <v>0</v>
      </c>
      <c r="E4" s="56">
        <v>0</v>
      </c>
      <c r="F4" s="56">
        <v>1</v>
      </c>
      <c r="G4" s="56">
        <v>6</v>
      </c>
      <c r="H4" s="56">
        <v>1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70">
        <v>2</v>
      </c>
      <c r="O4" s="70">
        <v>0.8</v>
      </c>
      <c r="P4" s="71">
        <v>0.89999999999999991</v>
      </c>
      <c r="Q4" s="56">
        <v>0</v>
      </c>
      <c r="R4" s="56">
        <v>0</v>
      </c>
      <c r="S4" s="56">
        <v>1</v>
      </c>
      <c r="T4" s="56">
        <v>4</v>
      </c>
      <c r="U4" s="56">
        <v>2</v>
      </c>
      <c r="V4" s="56">
        <v>1</v>
      </c>
      <c r="W4" s="56">
        <v>0</v>
      </c>
      <c r="X4" s="56">
        <v>0</v>
      </c>
      <c r="Y4" s="56">
        <v>0</v>
      </c>
      <c r="Z4" s="56">
        <v>0</v>
      </c>
      <c r="AA4" s="70">
        <v>2</v>
      </c>
      <c r="AB4" s="70">
        <v>0.2</v>
      </c>
      <c r="AC4" s="71">
        <v>0.7</v>
      </c>
      <c r="AD4" s="56">
        <v>0</v>
      </c>
      <c r="AE4" s="56">
        <v>2</v>
      </c>
      <c r="AF4" s="56">
        <v>3</v>
      </c>
      <c r="AG4" s="56">
        <v>3</v>
      </c>
      <c r="AH4" s="56">
        <v>0</v>
      </c>
      <c r="AI4" s="56">
        <v>0</v>
      </c>
      <c r="AJ4" s="56">
        <v>0</v>
      </c>
      <c r="AK4" s="56">
        <v>0</v>
      </c>
      <c r="AL4" s="56">
        <v>0</v>
      </c>
      <c r="AM4" s="56">
        <v>0</v>
      </c>
      <c r="AN4" s="70">
        <v>2</v>
      </c>
      <c r="AO4" s="70">
        <v>0</v>
      </c>
      <c r="AP4" s="71">
        <v>0.5</v>
      </c>
      <c r="AQ4" s="56">
        <v>0</v>
      </c>
      <c r="AR4" s="56">
        <v>1</v>
      </c>
      <c r="AS4" s="56">
        <v>3</v>
      </c>
      <c r="AT4" s="56">
        <v>4</v>
      </c>
      <c r="AU4" s="56">
        <v>0</v>
      </c>
      <c r="AV4" s="56">
        <v>0</v>
      </c>
      <c r="AW4" s="56">
        <v>0</v>
      </c>
      <c r="AX4" s="56">
        <v>0</v>
      </c>
      <c r="AY4" s="56">
        <v>0</v>
      </c>
      <c r="AZ4" s="56">
        <v>0</v>
      </c>
      <c r="BA4" s="70">
        <v>2</v>
      </c>
      <c r="BB4" s="70">
        <v>0.1</v>
      </c>
      <c r="BC4" s="71">
        <v>0.6</v>
      </c>
      <c r="BD4" s="56">
        <v>0</v>
      </c>
      <c r="BE4" s="56">
        <v>1</v>
      </c>
      <c r="BF4" s="56">
        <v>3</v>
      </c>
      <c r="BG4" s="56">
        <v>4</v>
      </c>
      <c r="BH4" s="56">
        <v>0</v>
      </c>
      <c r="BI4" s="56">
        <v>0</v>
      </c>
      <c r="BJ4" s="56">
        <v>0</v>
      </c>
      <c r="BK4" s="56">
        <v>0</v>
      </c>
      <c r="BL4" s="56">
        <v>0</v>
      </c>
      <c r="BM4" s="56">
        <v>0</v>
      </c>
      <c r="BN4" s="70">
        <v>2</v>
      </c>
      <c r="BO4" s="70">
        <v>0.3</v>
      </c>
      <c r="BP4" s="71">
        <v>0.8</v>
      </c>
      <c r="BQ4" s="72">
        <f t="shared" ref="BQ4:BQ35" si="0">(P4+AC4+AP4+BC4+BP4)/5</f>
        <v>0.7</v>
      </c>
    </row>
    <row r="5" spans="1:69" ht="15" customHeight="1" x14ac:dyDescent="0.45">
      <c r="A5" s="54">
        <v>2</v>
      </c>
      <c r="B5" s="148" t="str">
        <f>Hakemler!B5</f>
        <v>ASLAN</v>
      </c>
      <c r="C5" s="148" t="str">
        <f>Hakemler!C5</f>
        <v>SEMA FİDEL</v>
      </c>
      <c r="D5" s="56">
        <v>0</v>
      </c>
      <c r="E5" s="56">
        <v>0</v>
      </c>
      <c r="F5" s="56">
        <v>2</v>
      </c>
      <c r="G5" s="56">
        <v>5</v>
      </c>
      <c r="H5" s="56">
        <v>1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70">
        <v>2</v>
      </c>
      <c r="O5" s="70">
        <v>0.7</v>
      </c>
      <c r="P5" s="71">
        <f>1-(SUM(IF(D5-Uzman_D!$B$11&lt;0,-(D5-Uzman_D!$B$11),D5-Uzman_D!$B$11)*0.1+IF(E5-Uzman_D!$C$11&lt;0,-(E5-Uzman_D!$C$11),E5-Uzman_D!$C$11)*0.1+IF(F5-Uzman_D!$D$11&lt;0,-(F5-Uzman_D!$D$11),F5-Uzman_D!$D$11)*0.1+IF(G5-Uzman_D!$E$11&lt;0,-(G5-Uzman_D!$E$11),G5-Uzman_D!$E$11)*0.1+IF(H5-Uzman_D!$F$11&lt;0,-(H5-Uzman_D!$F$11),H5-Uzman_D!$F$11)*0.1+IF(I5-Uzman_D!$G$11&lt;0,-(I5-Uzman_D!$G$11),I5-Uzman_D!$G$11)*0.1+IF(J5-Uzman_D!$H$11&lt;0,-(J5-Uzman_D!$H$11),J5-Uzman_D!$H$11)*0.1+IF(K5-Uzman_D!$I$11&lt;0,-(K5-Uzman_D!$I$11),K5-Uzman_D!$I$11)*0.1+IF(L5-Uzman_D!$J$11&lt;0,-(L5-Uzman_D!$J$11),L5-Uzman_D!$J$11)*0.1)+IF(ROUND((IF(N5-Uzman_D!$L$11&lt;0,-(N5-Uzman_D!$L$11),N5-Uzman_D!$L$11)*2),0)/2=IF(N5-Uzman_D!$L$11&lt;0,-(N5-Uzman_D!$L$11),N5-Uzman_D!$L$11),(ROUND((IF(N5-Uzman_D!$L$11&lt;0,-(N5-Uzman_D!$L$11),N5-Uzman_D!$L$11)*2),0)/1*0.1),0)+IF(O5-Uzman_D!$M$11&lt;0,-(O5-Uzman_D!$M$11),O5-Uzman_D!$M$11)*1)</f>
        <v>0.8</v>
      </c>
      <c r="Q5" s="56">
        <v>0</v>
      </c>
      <c r="R5" s="56">
        <v>0</v>
      </c>
      <c r="S5" s="56">
        <v>1</v>
      </c>
      <c r="T5" s="56">
        <v>4</v>
      </c>
      <c r="U5" s="56">
        <v>2</v>
      </c>
      <c r="V5" s="56">
        <v>1</v>
      </c>
      <c r="W5" s="56">
        <v>0</v>
      </c>
      <c r="X5" s="56">
        <v>0</v>
      </c>
      <c r="Y5" s="56">
        <v>0</v>
      </c>
      <c r="Z5" s="56">
        <v>0</v>
      </c>
      <c r="AA5" s="70">
        <v>2</v>
      </c>
      <c r="AB5" s="70">
        <v>0.5</v>
      </c>
      <c r="AC5" s="71">
        <f>1-(SUM(IF(Q5-Uzman_D!$B$12&lt;0,-(Q5-Uzman_D!$B$12),Q5-Uzman_D!$B$12)*0.1+IF(R5-Uzman_D!$C$12&lt;0,-(R5-Uzman_D!$C$12),R5-Uzman_D!$C$12)*0.1+IF(S5-Uzman_D!$D$12&lt;0,-(S5-Uzman_D!$D$12),S5-Uzman_D!$D$12)*0.1+IF(T5-Uzman_D!$E$12&lt;0,-(T5-Uzman_D!$E$12),T5-Uzman_D!$E$12)*0.1+IF(U5-Uzman_D!$F$12&lt;0,-(U5-Uzman_D!$F$12),U5-Uzman_D!$F$12)*0.1+IF(V5-Uzman_D!$G$12&lt;0,-(V5-Uzman_D!$G$12),V5-Uzman_D!$G$12)*0.1+IF(W5-Uzman_D!$H$12&lt;0,-(W5-Uzman_D!$H$12),W5-Uzman_D!$H$12)*0.1+IF(X5-Uzman_D!$I$12&lt;0,-(X5-Uzman_D!$I$12),X5-Uzman_D!$I$12)*0.1+IF(Y5-Uzman_D!$J$12&lt;0,-(Y5-Uzman_D!$J$12),Y5-Uzman_D!$J$12)*0.1)+IF(ROUND((IF(AA5-Uzman_D!$L$12&lt;0,-(AA5-Uzman_D!$L$12),AA5-Uzman_D!$L$12)*2),0)/2=IF(AA5-Uzman_D!$L$12&lt;0,-(AA5-Uzman_D!$L$12),AA5-Uzman_D!$L$12),(ROUND((IF(AA5-Uzman_D!$L$12&lt;0,-(AA5-Uzman_D!$L$12),AA5-Uzman_D!$L$12)*2),0)/1*0.1),0)+IF(AB5-Uzman_D!$M$12&lt;0,-(AB5-Uzman_D!$M$12),AB5-Uzman_D!$M$12)*1)</f>
        <v>1</v>
      </c>
      <c r="AD5" s="56">
        <v>0</v>
      </c>
      <c r="AE5" s="56">
        <v>1</v>
      </c>
      <c r="AF5" s="56">
        <v>4</v>
      </c>
      <c r="AG5" s="56">
        <v>3</v>
      </c>
      <c r="AH5" s="56">
        <v>0</v>
      </c>
      <c r="AI5" s="56">
        <v>0</v>
      </c>
      <c r="AJ5" s="56">
        <v>0</v>
      </c>
      <c r="AK5" s="56">
        <v>0</v>
      </c>
      <c r="AL5" s="56">
        <v>0</v>
      </c>
      <c r="AM5" s="56">
        <v>0</v>
      </c>
      <c r="AN5" s="70">
        <v>2</v>
      </c>
      <c r="AO5" s="70">
        <v>0</v>
      </c>
      <c r="AP5" s="71">
        <f>1-(SUM(IF(AD5-Uzman_D!$B$13&lt;0,-(AD5-Uzman_D!$B$13),AD5-Uzman_D!$B$13)*0.1+IF(AE5-Uzman_D!$C$13&lt;0,-(AE5-Uzman_D!$C$13),AE5-Uzman_D!$C$13)*0.1+IF(AF5-Uzman_D!$D$13&lt;0,-(AF5-Uzman_D!$D$13),AF5-Uzman_D!$D$13)*0.1+IF(AG5-Uzman_D!$E$13&lt;0,-(AG5-Uzman_D!$E$13),AG5-Uzman_D!$E$13)*0.1+IF(AH5-Uzman_D!$F$13&lt;0,-(AH5-Uzman_D!$F$13),AH5-Uzman_D!$F$13)*0.1+IF(AI5-Uzman_D!$G$13&lt;0,-(AI5-Uzman_D!$G$13),AI5-Uzman_D!$G$13)*0.1+IF(AJ5-Uzman_D!$H$13&lt;0,-(AJ5-Uzman_D!$H$13),AJ5-Uzman_D!$H$13)*0.1+IF(AK5-Uzman_D!$I$13&lt;0,-(AK5-Uzman_D!$I$13),AK5-Uzman_D!$I$13)*0.1+IF(AL5-Uzman_D!$J$13&lt;0,-(AL5-Uzman_D!$J$13),AL5-Uzman_D!$J$13)*0.1)+IF(ROUND((IF(AN5-Uzman_D!$L$13&lt;0,-(AN5-Uzman_D!$L$13),AN5-Uzman_D!$L$13)*2),0)/2=IF(AN5-Uzman_D!$L$13&lt;0,-(AN5-Uzman_D!$L$13),AN5-Uzman_D!$L$13),(ROUND((IF(AN5-Uzman_D!$L$13&lt;0,-(AN5-Uzman_D!$L$13),AN5-Uzman_D!$L$13)*2),0)/1*0.1),0)+IF(AO5-Uzman_D!$M$13&lt;0,-(AO5-Uzman_D!$M$13),AO5-Uzman_D!$M$13)*1)</f>
        <v>0.7</v>
      </c>
      <c r="AQ5" s="56">
        <v>0</v>
      </c>
      <c r="AR5" s="56">
        <v>2</v>
      </c>
      <c r="AS5" s="56">
        <v>3</v>
      </c>
      <c r="AT5" s="56">
        <v>3</v>
      </c>
      <c r="AU5" s="56">
        <v>0</v>
      </c>
      <c r="AV5" s="56">
        <v>0</v>
      </c>
      <c r="AW5" s="56">
        <v>0</v>
      </c>
      <c r="AX5" s="56">
        <v>0</v>
      </c>
      <c r="AY5" s="56">
        <v>0</v>
      </c>
      <c r="AZ5" s="56">
        <v>0</v>
      </c>
      <c r="BA5" s="70">
        <v>2</v>
      </c>
      <c r="BB5" s="70">
        <v>0.3</v>
      </c>
      <c r="BC5" s="71">
        <f>1-(SUM(IF(AQ5-Uzman_D!$B$14&lt;0,-(AQ5-Uzman_D!$B$14),AQ5-Uzman_D!$B$14)*0.1+IF(AR5-Uzman_D!$C$14&lt;0,-(AR5-Uzman_D!$C$14),AR5-Uzman_D!$C$14)*0.1+IF(AS5-Uzman_D!$D$14&lt;0,-(AS5-Uzman_D!$D$14),AS5-Uzman_D!$D$14)*0.1+IF(AT5-Uzman_D!$E$14&lt;0,-(AT5-Uzman_D!$E$14),AT5-Uzman_D!$E$14)*0.1+IF(AU5-Uzman_D!$F$14&lt;0,-(AU5-Uzman_D!$F$14),AU5-Uzman_D!$F$14)*0.1+IF(AV5-Uzman_D!$G$14&lt;0,-(AV5-Uzman_D!$G$14),AV5-Uzman_D!$G$14)*0.1+IF(AW5-Uzman_D!$H$14&lt;0,-(AW5-Uzman_D!$H$14),AW5-Uzman_D!$H$14)*0.1+IF(AX5-Uzman_D!$I$14&lt;0,-(AX5-Uzman_D!$I$14),AX5-Uzman_D!$I$14)*0.1+IF(AY5-Uzman_D!$J$14&lt;0,-(AY5-Uzman_D!$J$14),AY5-Uzman_D!$J$14)*0.1)+IF(ROUND((IF(BA5-Uzman_D!$L$14&lt;0,-(BA5-Uzman_D!$L$14),BA5-Uzman_D!$L$14)*2),0)/2=IF(BA5-Uzman_D!$L$14&lt;0,-(BA5-Uzman_D!$L$14),BA5-Uzman_D!$L$14),(ROUND((IF(BA5-Uzman_D!$L$14&lt;0,-(BA5-Uzman_D!$L$14),BA5-Uzman_D!$L$14)*2),0)/1*0.1),0)+IF(BB5-Uzman_D!$M$14&lt;0,-(BB5-Uzman_D!$M$14),BB5-Uzman_D!$M$14)*1)</f>
        <v>0.6</v>
      </c>
      <c r="BD5" s="56">
        <v>0</v>
      </c>
      <c r="BE5" s="56">
        <v>1</v>
      </c>
      <c r="BF5" s="56">
        <v>2</v>
      </c>
      <c r="BG5" s="56">
        <v>4</v>
      </c>
      <c r="BH5" s="56">
        <v>1</v>
      </c>
      <c r="BI5" s="56">
        <v>0</v>
      </c>
      <c r="BJ5" s="56">
        <v>0</v>
      </c>
      <c r="BK5" s="56">
        <v>0</v>
      </c>
      <c r="BL5" s="56">
        <v>0</v>
      </c>
      <c r="BM5" s="56">
        <v>0</v>
      </c>
      <c r="BN5" s="70">
        <v>2</v>
      </c>
      <c r="BO5" s="70">
        <v>0.3</v>
      </c>
      <c r="BP5" s="71">
        <f>1-(SUM(IF(BD5-Uzman_D!$B$15&lt;0,-(BD5-Uzman_D!$B$15),BD5-Uzman_D!$B$15)*0.1+IF(BE5-Uzman_D!$C$15&lt;0,-(BE5-Uzman_D!$C$15),BE5-Uzman_D!$C$15)*0.1+IF(BF5-Uzman_D!$D$15&lt;0,-(BF5-Uzman_D!$D$15),BF5-Uzman_D!$D$15)*0.1+IF(BG5-Uzman_D!$E$15&lt;0,-(BG5-Uzman_D!$E$15),BG5-Uzman_D!$E$15)*0.1+IF(BH5-Uzman_D!$F$15&lt;0,-(BH5-Uzman_D!$F$15),BH5-Uzman_D!$F$15)*0.1+IF(BI5-Uzman_D!$G$15&lt;0,-(BI5-Uzman_D!$G$15),BI5-Uzman_D!$G$15)*0.1+IF(BJ5-Uzman_D!$H$15&lt;0,-(BJ5-Uzman_D!$H$15),BJ5-Uzman_D!$H$15)*0.1+IF(BK5-Uzman_D!$I$15&lt;0,-(BK5-Uzman_D!$I$15),BK5-Uzman_D!$I$15)*0.1+IF(BL5-Uzman_D!$J$15&lt;0,-(BL5-Uzman_D!$J$15),BL5-Uzman_D!$J$15)*0.1)+IF(ROUND((IF(BN5-Uzman_D!$L$15&lt;0,-(BN5-Uzman_D!$L$15),BN5-Uzman_D!$L$15)*2),0)/2=IF(BN5-Uzman_D!$L$15&lt;0,-(BN5-Uzman_D!$L$15),BN5-Uzman_D!$L$15),(ROUND((IF(BN5-Uzman_D!$L$15&lt;0,-(BN5-Uzman_D!$L$15),BN5-Uzman_D!$L$15)*2),0)/1*0.1),0)+IF(BO5-Uzman_D!$M$15&lt;0,-(BO5-Uzman_D!$M$15),BO5-Uzman_D!$M$15)*1)</f>
        <v>0.8</v>
      </c>
      <c r="BQ5" s="72">
        <f t="shared" si="0"/>
        <v>0.78</v>
      </c>
    </row>
    <row r="6" spans="1:69" ht="15" customHeight="1" x14ac:dyDescent="0.45">
      <c r="A6" s="54">
        <v>3</v>
      </c>
      <c r="B6" s="148" t="str">
        <f>Hakemler!B6</f>
        <v>TUNA</v>
      </c>
      <c r="C6" s="148" t="str">
        <f>Hakemler!C6</f>
        <v>MUNİSE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70"/>
      <c r="O6" s="70"/>
      <c r="P6" s="71">
        <f>1-(SUM(IF(D6-Uzman_D!$B$11&lt;0,-(D6-Uzman_D!$B$11),D6-Uzman_D!$B$11)*0.1+IF(E6-Uzman_D!$C$11&lt;0,-(E6-Uzman_D!$C$11),E6-Uzman_D!$C$11)*0.1+IF(F6-Uzman_D!$D$11&lt;0,-(F6-Uzman_D!$D$11),F6-Uzman_D!$D$11)*0.1+IF(G6-Uzman_D!$E$11&lt;0,-(G6-Uzman_D!$E$11),G6-Uzman_D!$E$11)*0.1+IF(H6-Uzman_D!$F$11&lt;0,-(H6-Uzman_D!$F$11),H6-Uzman_D!$F$11)*0.1+IF(I6-Uzman_D!$G$11&lt;0,-(I6-Uzman_D!$G$11),I6-Uzman_D!$G$11)*0.1+IF(J6-Uzman_D!$H$11&lt;0,-(J6-Uzman_D!$H$11),J6-Uzman_D!$H$11)*0.1+IF(K6-Uzman_D!$I$11&lt;0,-(K6-Uzman_D!$I$11),K6-Uzman_D!$I$11)*0.1+IF(L6-Uzman_D!$J$11&lt;0,-(L6-Uzman_D!$J$11),L6-Uzman_D!$J$11)*0.1)+IF(ROUND((IF(N6-Uzman_D!$L$11&lt;0,-(N6-Uzman_D!$L$11),N6-Uzman_D!$L$11)*2),0)/2=IF(N6-Uzman_D!$L$11&lt;0,-(N6-Uzman_D!$L$11),N6-Uzman_D!$L$11),(ROUND((IF(N6-Uzman_D!$L$11&lt;0,-(N6-Uzman_D!$L$11),N6-Uzman_D!$L$11)*2),0)/1*0.1),0)+IF(O6-Uzman_D!$M$11&lt;0,-(O6-Uzman_D!$M$11),O6-Uzman_D!$M$11)*1)</f>
        <v>-0.90000000000000013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70"/>
      <c r="AB6" s="70"/>
      <c r="AC6" s="71">
        <f>1-(SUM(IF(Q6-Uzman_D!$B$12&lt;0,-(Q6-Uzman_D!$B$12),Q6-Uzman_D!$B$12)*0.1+IF(R6-Uzman_D!$C$12&lt;0,-(R6-Uzman_D!$C$12),R6-Uzman_D!$C$12)*0.1+IF(S6-Uzman_D!$D$12&lt;0,-(S6-Uzman_D!$D$12),S6-Uzman_D!$D$12)*0.1+IF(T6-Uzman_D!$E$12&lt;0,-(T6-Uzman_D!$E$12),T6-Uzman_D!$E$12)*0.1+IF(U6-Uzman_D!$F$12&lt;0,-(U6-Uzman_D!$F$12),U6-Uzman_D!$F$12)*0.1+IF(V6-Uzman_D!$G$12&lt;0,-(V6-Uzman_D!$G$12),V6-Uzman_D!$G$12)*0.1+IF(W6-Uzman_D!$H$12&lt;0,-(W6-Uzman_D!$H$12),W6-Uzman_D!$H$12)*0.1+IF(X6-Uzman_D!$I$12&lt;0,-(X6-Uzman_D!$I$12),X6-Uzman_D!$I$12)*0.1+IF(Y6-Uzman_D!$J$12&lt;0,-(Y6-Uzman_D!$J$12),Y6-Uzman_D!$J$12)*0.1)+IF(ROUND((IF(AA6-Uzman_D!$L$12&lt;0,-(AA6-Uzman_D!$L$12),AA6-Uzman_D!$L$12)*2),0)/2=IF(AA6-Uzman_D!$L$12&lt;0,-(AA6-Uzman_D!$L$12),AA6-Uzman_D!$L$12),(ROUND((IF(AA6-Uzman_D!$L$12&lt;0,-(AA6-Uzman_D!$L$12),AA6-Uzman_D!$L$12)*2),0)/1*0.1),0)+IF(AB6-Uzman_D!$M$12&lt;0,-(AB6-Uzman_D!$M$12),AB6-Uzman_D!$M$12)*1)</f>
        <v>-0.7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0"/>
      <c r="AO6" s="70"/>
      <c r="AP6" s="71">
        <f>1-(SUM(IF(AD6-Uzman_D!$B$13&lt;0,-(AD6-Uzman_D!$B$13),AD6-Uzman_D!$B$13)*0.1+IF(AE6-Uzman_D!$C$13&lt;0,-(AE6-Uzman_D!$C$13),AE6-Uzman_D!$C$13)*0.1+IF(AF6-Uzman_D!$D$13&lt;0,-(AF6-Uzman_D!$D$13),AF6-Uzman_D!$D$13)*0.1+IF(AG6-Uzman_D!$E$13&lt;0,-(AG6-Uzman_D!$E$13),AG6-Uzman_D!$E$13)*0.1+IF(AH6-Uzman_D!$F$13&lt;0,-(AH6-Uzman_D!$F$13),AH6-Uzman_D!$F$13)*0.1+IF(AI6-Uzman_D!$G$13&lt;0,-(AI6-Uzman_D!$G$13),AI6-Uzman_D!$G$13)*0.1+IF(AJ6-Uzman_D!$H$13&lt;0,-(AJ6-Uzman_D!$H$13),AJ6-Uzman_D!$H$13)*0.1+IF(AK6-Uzman_D!$I$13&lt;0,-(AK6-Uzman_D!$I$13),AK6-Uzman_D!$I$13)*0.1+IF(AL6-Uzman_D!$J$13&lt;0,-(AL6-Uzman_D!$J$13),AL6-Uzman_D!$J$13)*0.1)+IF(ROUND((IF(AN6-Uzman_D!$L$13&lt;0,-(AN6-Uzman_D!$L$13),AN6-Uzman_D!$L$13)*2),0)/2=IF(AN6-Uzman_D!$L$13&lt;0,-(AN6-Uzman_D!$L$13),AN6-Uzman_D!$L$13),(ROUND((IF(AN6-Uzman_D!$L$13&lt;0,-(AN6-Uzman_D!$L$13),AN6-Uzman_D!$L$13)*2),0)/1*0.1),0)+IF(AO6-Uzman_D!$M$13&lt;0,-(AO6-Uzman_D!$M$13),AO6-Uzman_D!$M$13)*1)</f>
        <v>-0.30000000000000004</v>
      </c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70"/>
      <c r="BB6" s="70"/>
      <c r="BC6" s="71">
        <f>1-(SUM(IF(AQ6-Uzman_D!$B$14&lt;0,-(AQ6-Uzman_D!$B$14),AQ6-Uzman_D!$B$14)*0.1+IF(AR6-Uzman_D!$C$14&lt;0,-(AR6-Uzman_D!$C$14),AR6-Uzman_D!$C$14)*0.1+IF(AS6-Uzman_D!$D$14&lt;0,-(AS6-Uzman_D!$D$14),AS6-Uzman_D!$D$14)*0.1+IF(AT6-Uzman_D!$E$14&lt;0,-(AT6-Uzman_D!$E$14),AT6-Uzman_D!$E$14)*0.1+IF(AU6-Uzman_D!$F$14&lt;0,-(AU6-Uzman_D!$F$14),AU6-Uzman_D!$F$14)*0.1+IF(AV6-Uzman_D!$G$14&lt;0,-(AV6-Uzman_D!$G$14),AV6-Uzman_D!$G$14)*0.1+IF(AW6-Uzman_D!$H$14&lt;0,-(AW6-Uzman_D!$H$14),AW6-Uzman_D!$H$14)*0.1+IF(AX6-Uzman_D!$I$14&lt;0,-(AX6-Uzman_D!$I$14),AX6-Uzman_D!$I$14)*0.1+IF(AY6-Uzman_D!$J$14&lt;0,-(AY6-Uzman_D!$J$14),AY6-Uzman_D!$J$14)*0.1)+IF(ROUND((IF(BA6-Uzman_D!$L$14&lt;0,-(BA6-Uzman_D!$L$14),BA6-Uzman_D!$L$14)*2),0)/2=IF(BA6-Uzman_D!$L$14&lt;0,-(BA6-Uzman_D!$L$14),BA6-Uzman_D!$L$14),(ROUND((IF(BA6-Uzman_D!$L$14&lt;0,-(BA6-Uzman_D!$L$14),BA6-Uzman_D!$L$14)*2),0)/1*0.1),0)+IF(BB6-Uzman_D!$M$14&lt;0,-(BB6-Uzman_D!$M$14),BB6-Uzman_D!$M$14)*1)</f>
        <v>-0.30000000000000027</v>
      </c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70"/>
      <c r="BO6" s="70"/>
      <c r="BP6" s="71">
        <f>1-(SUM(IF(BD6-Uzman_D!$B$15&lt;0,-(BD6-Uzman_D!$B$15),BD6-Uzman_D!$B$15)*0.1+IF(BE6-Uzman_D!$C$15&lt;0,-(BE6-Uzman_D!$C$15),BE6-Uzman_D!$C$15)*0.1+IF(BF6-Uzman_D!$D$15&lt;0,-(BF6-Uzman_D!$D$15),BF6-Uzman_D!$D$15)*0.1+IF(BG6-Uzman_D!$E$15&lt;0,-(BG6-Uzman_D!$E$15),BG6-Uzman_D!$E$15)*0.1+IF(BH6-Uzman_D!$F$15&lt;0,-(BH6-Uzman_D!$F$15),BH6-Uzman_D!$F$15)*0.1+IF(BI6-Uzman_D!$G$15&lt;0,-(BI6-Uzman_D!$G$15),BI6-Uzman_D!$G$15)*0.1+IF(BJ6-Uzman_D!$H$15&lt;0,-(BJ6-Uzman_D!$H$15),BJ6-Uzman_D!$H$15)*0.1+IF(BK6-Uzman_D!$I$15&lt;0,-(BK6-Uzman_D!$I$15),BK6-Uzman_D!$I$15)*0.1+IF(BL6-Uzman_D!$J$15&lt;0,-(BL6-Uzman_D!$J$15),BL6-Uzman_D!$J$15)*0.1)+IF(ROUND((IF(BN6-Uzman_D!$L$15&lt;0,-(BN6-Uzman_D!$L$15),BN6-Uzman_D!$L$15)*2),0)/2=IF(BN6-Uzman_D!$L$15&lt;0,-(BN6-Uzman_D!$L$15),BN6-Uzman_D!$L$15),(ROUND((IF(BN6-Uzman_D!$L$15&lt;0,-(BN6-Uzman_D!$L$15),BN6-Uzman_D!$L$15)*2),0)/1*0.1),0)+IF(BO6-Uzman_D!$M$15&lt;0,-(BO6-Uzman_D!$M$15),BO6-Uzman_D!$M$15)*1)</f>
        <v>-0.50000000000000022</v>
      </c>
      <c r="BQ6" s="72">
        <f t="shared" si="0"/>
        <v>-0.54</v>
      </c>
    </row>
    <row r="7" spans="1:69" ht="15" customHeight="1" x14ac:dyDescent="0.45">
      <c r="A7" s="54">
        <v>4</v>
      </c>
      <c r="B7" s="148" t="str">
        <f>Hakemler!B7</f>
        <v>ÜNAL</v>
      </c>
      <c r="C7" s="148" t="str">
        <f>Hakemler!C7</f>
        <v>FATMA HANIM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70"/>
      <c r="O7" s="70"/>
      <c r="P7" s="71">
        <f>1-(SUM(IF(D7-Uzman_D!$B$11&lt;0,-(D7-Uzman_D!$B$11),D7-Uzman_D!$B$11)*0.1+IF(E7-Uzman_D!$C$11&lt;0,-(E7-Uzman_D!$C$11),E7-Uzman_D!$C$11)*0.1+IF(F7-Uzman_D!$D$11&lt;0,-(F7-Uzman_D!$D$11),F7-Uzman_D!$D$11)*0.1+IF(G7-Uzman_D!$E$11&lt;0,-(G7-Uzman_D!$E$11),G7-Uzman_D!$E$11)*0.1+IF(H7-Uzman_D!$F$11&lt;0,-(H7-Uzman_D!$F$11),H7-Uzman_D!$F$11)*0.1+IF(I7-Uzman_D!$G$11&lt;0,-(I7-Uzman_D!$G$11),I7-Uzman_D!$G$11)*0.1+IF(J7-Uzman_D!$H$11&lt;0,-(J7-Uzman_D!$H$11),J7-Uzman_D!$H$11)*0.1+IF(K7-Uzman_D!$I$11&lt;0,-(K7-Uzman_D!$I$11),K7-Uzman_D!$I$11)*0.1+IF(L7-Uzman_D!$J$11&lt;0,-(L7-Uzman_D!$J$11),L7-Uzman_D!$J$11)*0.1)+IF(ROUND((IF(N7-Uzman_D!$L$11&lt;0,-(N7-Uzman_D!$L$11),N7-Uzman_D!$L$11)*2),0)/2=IF(N7-Uzman_D!$L$11&lt;0,-(N7-Uzman_D!$L$11),N7-Uzman_D!$L$11),(ROUND((IF(N7-Uzman_D!$L$11&lt;0,-(N7-Uzman_D!$L$11),N7-Uzman_D!$L$11)*2),0)/1*0.1),0)+IF(O7-Uzman_D!$M$11&lt;0,-(O7-Uzman_D!$M$11),O7-Uzman_D!$M$11)*1)</f>
        <v>-0.90000000000000013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70"/>
      <c r="AB7" s="70"/>
      <c r="AC7" s="71">
        <f>1-(SUM(IF(Q7-Uzman_D!$B$12&lt;0,-(Q7-Uzman_D!$B$12),Q7-Uzman_D!$B$12)*0.1+IF(R7-Uzman_D!$C$12&lt;0,-(R7-Uzman_D!$C$12),R7-Uzman_D!$C$12)*0.1+IF(S7-Uzman_D!$D$12&lt;0,-(S7-Uzman_D!$D$12),S7-Uzman_D!$D$12)*0.1+IF(T7-Uzman_D!$E$12&lt;0,-(T7-Uzman_D!$E$12),T7-Uzman_D!$E$12)*0.1+IF(U7-Uzman_D!$F$12&lt;0,-(U7-Uzman_D!$F$12),U7-Uzman_D!$F$12)*0.1+IF(V7-Uzman_D!$G$12&lt;0,-(V7-Uzman_D!$G$12),V7-Uzman_D!$G$12)*0.1+IF(W7-Uzman_D!$H$12&lt;0,-(W7-Uzman_D!$H$12),W7-Uzman_D!$H$12)*0.1+IF(X7-Uzman_D!$I$12&lt;0,-(X7-Uzman_D!$I$12),X7-Uzman_D!$I$12)*0.1+IF(Y7-Uzman_D!$J$12&lt;0,-(Y7-Uzman_D!$J$12),Y7-Uzman_D!$J$12)*0.1)+IF(ROUND((IF(AA7-Uzman_D!$L$12&lt;0,-(AA7-Uzman_D!$L$12),AA7-Uzman_D!$L$12)*2),0)/2=IF(AA7-Uzman_D!$L$12&lt;0,-(AA7-Uzman_D!$L$12),AA7-Uzman_D!$L$12),(ROUND((IF(AA7-Uzman_D!$L$12&lt;0,-(AA7-Uzman_D!$L$12),AA7-Uzman_D!$L$12)*2),0)/1*0.1),0)+IF(AB7-Uzman_D!$M$12&lt;0,-(AB7-Uzman_D!$M$12),AB7-Uzman_D!$M$12)*1)</f>
        <v>-0.7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70"/>
      <c r="AO7" s="70"/>
      <c r="AP7" s="71">
        <f>1-(SUM(IF(AD7-Uzman_D!$B$13&lt;0,-(AD7-Uzman_D!$B$13),AD7-Uzman_D!$B$13)*0.1+IF(AE7-Uzman_D!$C$13&lt;0,-(AE7-Uzman_D!$C$13),AE7-Uzman_D!$C$13)*0.1+IF(AF7-Uzman_D!$D$13&lt;0,-(AF7-Uzman_D!$D$13),AF7-Uzman_D!$D$13)*0.1+IF(AG7-Uzman_D!$E$13&lt;0,-(AG7-Uzman_D!$E$13),AG7-Uzman_D!$E$13)*0.1+IF(AH7-Uzman_D!$F$13&lt;0,-(AH7-Uzman_D!$F$13),AH7-Uzman_D!$F$13)*0.1+IF(AI7-Uzman_D!$G$13&lt;0,-(AI7-Uzman_D!$G$13),AI7-Uzman_D!$G$13)*0.1+IF(AJ7-Uzman_D!$H$13&lt;0,-(AJ7-Uzman_D!$H$13),AJ7-Uzman_D!$H$13)*0.1+IF(AK7-Uzman_D!$I$13&lt;0,-(AK7-Uzman_D!$I$13),AK7-Uzman_D!$I$13)*0.1+IF(AL7-Uzman_D!$J$13&lt;0,-(AL7-Uzman_D!$J$13),AL7-Uzman_D!$J$13)*0.1)+IF(ROUND((IF(AN7-Uzman_D!$L$13&lt;0,-(AN7-Uzman_D!$L$13),AN7-Uzman_D!$L$13)*2),0)/2=IF(AN7-Uzman_D!$L$13&lt;0,-(AN7-Uzman_D!$L$13),AN7-Uzman_D!$L$13),(ROUND((IF(AN7-Uzman_D!$L$13&lt;0,-(AN7-Uzman_D!$L$13),AN7-Uzman_D!$L$13)*2),0)/1*0.1),0)+IF(AO7-Uzman_D!$M$13&lt;0,-(AO7-Uzman_D!$M$13),AO7-Uzman_D!$M$13)*1)</f>
        <v>-0.30000000000000004</v>
      </c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0"/>
      <c r="BB7" s="70"/>
      <c r="BC7" s="71">
        <f>1-(SUM(IF(AQ7-Uzman_D!$B$14&lt;0,-(AQ7-Uzman_D!$B$14),AQ7-Uzman_D!$B$14)*0.1+IF(AR7-Uzman_D!$C$14&lt;0,-(AR7-Uzman_D!$C$14),AR7-Uzman_D!$C$14)*0.1+IF(AS7-Uzman_D!$D$14&lt;0,-(AS7-Uzman_D!$D$14),AS7-Uzman_D!$D$14)*0.1+IF(AT7-Uzman_D!$E$14&lt;0,-(AT7-Uzman_D!$E$14),AT7-Uzman_D!$E$14)*0.1+IF(AU7-Uzman_D!$F$14&lt;0,-(AU7-Uzman_D!$F$14),AU7-Uzman_D!$F$14)*0.1+IF(AV7-Uzman_D!$G$14&lt;0,-(AV7-Uzman_D!$G$14),AV7-Uzman_D!$G$14)*0.1+IF(AW7-Uzman_D!$H$14&lt;0,-(AW7-Uzman_D!$H$14),AW7-Uzman_D!$H$14)*0.1+IF(AX7-Uzman_D!$I$14&lt;0,-(AX7-Uzman_D!$I$14),AX7-Uzman_D!$I$14)*0.1+IF(AY7-Uzman_D!$J$14&lt;0,-(AY7-Uzman_D!$J$14),AY7-Uzman_D!$J$14)*0.1)+IF(ROUND((IF(BA7-Uzman_D!$L$14&lt;0,-(BA7-Uzman_D!$L$14),BA7-Uzman_D!$L$14)*2),0)/2=IF(BA7-Uzman_D!$L$14&lt;0,-(BA7-Uzman_D!$L$14),BA7-Uzman_D!$L$14),(ROUND((IF(BA7-Uzman_D!$L$14&lt;0,-(BA7-Uzman_D!$L$14),BA7-Uzman_D!$L$14)*2),0)/1*0.1),0)+IF(BB7-Uzman_D!$M$14&lt;0,-(BB7-Uzman_D!$M$14),BB7-Uzman_D!$M$14)*1)</f>
        <v>-0.30000000000000027</v>
      </c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70"/>
      <c r="BO7" s="70"/>
      <c r="BP7" s="71">
        <f>1-(SUM(IF(BD7-Uzman_D!$B$15&lt;0,-(BD7-Uzman_D!$B$15),BD7-Uzman_D!$B$15)*0.1+IF(BE7-Uzman_D!$C$15&lt;0,-(BE7-Uzman_D!$C$15),BE7-Uzman_D!$C$15)*0.1+IF(BF7-Uzman_D!$D$15&lt;0,-(BF7-Uzman_D!$D$15),BF7-Uzman_D!$D$15)*0.1+IF(BG7-Uzman_D!$E$15&lt;0,-(BG7-Uzman_D!$E$15),BG7-Uzman_D!$E$15)*0.1+IF(BH7-Uzman_D!$F$15&lt;0,-(BH7-Uzman_D!$F$15),BH7-Uzman_D!$F$15)*0.1+IF(BI7-Uzman_D!$G$15&lt;0,-(BI7-Uzman_D!$G$15),BI7-Uzman_D!$G$15)*0.1+IF(BJ7-Uzman_D!$H$15&lt;0,-(BJ7-Uzman_D!$H$15),BJ7-Uzman_D!$H$15)*0.1+IF(BK7-Uzman_D!$I$15&lt;0,-(BK7-Uzman_D!$I$15),BK7-Uzman_D!$I$15)*0.1+IF(BL7-Uzman_D!$J$15&lt;0,-(BL7-Uzman_D!$J$15),BL7-Uzman_D!$J$15)*0.1)+IF(ROUND((IF(BN7-Uzman_D!$L$15&lt;0,-(BN7-Uzman_D!$L$15),BN7-Uzman_D!$L$15)*2),0)/2=IF(BN7-Uzman_D!$L$15&lt;0,-(BN7-Uzman_D!$L$15),BN7-Uzman_D!$L$15),(ROUND((IF(BN7-Uzman_D!$L$15&lt;0,-(BN7-Uzman_D!$L$15),BN7-Uzman_D!$L$15)*2),0)/1*0.1),0)+IF(BO7-Uzman_D!$M$15&lt;0,-(BO7-Uzman_D!$M$15),BO7-Uzman_D!$M$15)*1)</f>
        <v>-0.50000000000000022</v>
      </c>
      <c r="BQ7" s="72">
        <f t="shared" si="0"/>
        <v>-0.54</v>
      </c>
    </row>
    <row r="8" spans="1:69" ht="15" customHeight="1" x14ac:dyDescent="0.45">
      <c r="A8" s="54">
        <v>5</v>
      </c>
      <c r="B8" s="148" t="str">
        <f>Hakemler!B8</f>
        <v>BAŞKAN PERÇİN</v>
      </c>
      <c r="C8" s="148" t="str">
        <f>Hakemler!C8</f>
        <v>ÖZGE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70"/>
      <c r="O8" s="70"/>
      <c r="P8" s="71">
        <f>1-(SUM(IF(D8-Uzman_D!$B$11&lt;0,-(D8-Uzman_D!$B$11),D8-Uzman_D!$B$11)*0.1+IF(E8-Uzman_D!$C$11&lt;0,-(E8-Uzman_D!$C$11),E8-Uzman_D!$C$11)*0.1+IF(F8-Uzman_D!$D$11&lt;0,-(F8-Uzman_D!$D$11),F8-Uzman_D!$D$11)*0.1+IF(G8-Uzman_D!$E$11&lt;0,-(G8-Uzman_D!$E$11),G8-Uzman_D!$E$11)*0.1+IF(H8-Uzman_D!$F$11&lt;0,-(H8-Uzman_D!$F$11),H8-Uzman_D!$F$11)*0.1+IF(I8-Uzman_D!$G$11&lt;0,-(I8-Uzman_D!$G$11),I8-Uzman_D!$G$11)*0.1+IF(J8-Uzman_D!$H$11&lt;0,-(J8-Uzman_D!$H$11),J8-Uzman_D!$H$11)*0.1+IF(K8-Uzman_D!$I$11&lt;0,-(K8-Uzman_D!$I$11),K8-Uzman_D!$I$11)*0.1+IF(L8-Uzman_D!$J$11&lt;0,-(L8-Uzman_D!$J$11),L8-Uzman_D!$J$11)*0.1)+IF(ROUND((IF(N8-Uzman_D!$L$11&lt;0,-(N8-Uzman_D!$L$11),N8-Uzman_D!$L$11)*2),0)/2=IF(N8-Uzman_D!$L$11&lt;0,-(N8-Uzman_D!$L$11),N8-Uzman_D!$L$11),(ROUND((IF(N8-Uzman_D!$L$11&lt;0,-(N8-Uzman_D!$L$11),N8-Uzman_D!$L$11)*2),0)/1*0.1),0)+IF(O8-Uzman_D!$M$11&lt;0,-(O8-Uzman_D!$M$11),O8-Uzman_D!$M$11)*1)</f>
        <v>-0.90000000000000013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70"/>
      <c r="AB8" s="70"/>
      <c r="AC8" s="71">
        <f>1-(SUM(IF(Q8-Uzman_D!$B$12&lt;0,-(Q8-Uzman_D!$B$12),Q8-Uzman_D!$B$12)*0.1+IF(R8-Uzman_D!$C$12&lt;0,-(R8-Uzman_D!$C$12),R8-Uzman_D!$C$12)*0.1+IF(S8-Uzman_D!$D$12&lt;0,-(S8-Uzman_D!$D$12),S8-Uzman_D!$D$12)*0.1+IF(T8-Uzman_D!$E$12&lt;0,-(T8-Uzman_D!$E$12),T8-Uzman_D!$E$12)*0.1+IF(U8-Uzman_D!$F$12&lt;0,-(U8-Uzman_D!$F$12),U8-Uzman_D!$F$12)*0.1+IF(V8-Uzman_D!$G$12&lt;0,-(V8-Uzman_D!$G$12),V8-Uzman_D!$G$12)*0.1+IF(W8-Uzman_D!$H$12&lt;0,-(W8-Uzman_D!$H$12),W8-Uzman_D!$H$12)*0.1+IF(X8-Uzman_D!$I$12&lt;0,-(X8-Uzman_D!$I$12),X8-Uzman_D!$I$12)*0.1+IF(Y8-Uzman_D!$J$12&lt;0,-(Y8-Uzman_D!$J$12),Y8-Uzman_D!$J$12)*0.1)+IF(ROUND((IF(AA8-Uzman_D!$L$12&lt;0,-(AA8-Uzman_D!$L$12),AA8-Uzman_D!$L$12)*2),0)/2=IF(AA8-Uzman_D!$L$12&lt;0,-(AA8-Uzman_D!$L$12),AA8-Uzman_D!$L$12),(ROUND((IF(AA8-Uzman_D!$L$12&lt;0,-(AA8-Uzman_D!$L$12),AA8-Uzman_D!$L$12)*2),0)/1*0.1),0)+IF(AB8-Uzman_D!$M$12&lt;0,-(AB8-Uzman_D!$M$12),AB8-Uzman_D!$M$12)*1)</f>
        <v>-0.7</v>
      </c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70"/>
      <c r="AO8" s="70"/>
      <c r="AP8" s="71">
        <f>1-(SUM(IF(AD8-Uzman_D!$B$13&lt;0,-(AD8-Uzman_D!$B$13),AD8-Uzman_D!$B$13)*0.1+IF(AE8-Uzman_D!$C$13&lt;0,-(AE8-Uzman_D!$C$13),AE8-Uzman_D!$C$13)*0.1+IF(AF8-Uzman_D!$D$13&lt;0,-(AF8-Uzman_D!$D$13),AF8-Uzman_D!$D$13)*0.1+IF(AG8-Uzman_D!$E$13&lt;0,-(AG8-Uzman_D!$E$13),AG8-Uzman_D!$E$13)*0.1+IF(AH8-Uzman_D!$F$13&lt;0,-(AH8-Uzman_D!$F$13),AH8-Uzman_D!$F$13)*0.1+IF(AI8-Uzman_D!$G$13&lt;0,-(AI8-Uzman_D!$G$13),AI8-Uzman_D!$G$13)*0.1+IF(AJ8-Uzman_D!$H$13&lt;0,-(AJ8-Uzman_D!$H$13),AJ8-Uzman_D!$H$13)*0.1+IF(AK8-Uzman_D!$I$13&lt;0,-(AK8-Uzman_D!$I$13),AK8-Uzman_D!$I$13)*0.1+IF(AL8-Uzman_D!$J$13&lt;0,-(AL8-Uzman_D!$J$13),AL8-Uzman_D!$J$13)*0.1)+IF(ROUND((IF(AN8-Uzman_D!$L$13&lt;0,-(AN8-Uzman_D!$L$13),AN8-Uzman_D!$L$13)*2),0)/2=IF(AN8-Uzman_D!$L$13&lt;0,-(AN8-Uzman_D!$L$13),AN8-Uzman_D!$L$13),(ROUND((IF(AN8-Uzman_D!$L$13&lt;0,-(AN8-Uzman_D!$L$13),AN8-Uzman_D!$L$13)*2),0)/1*0.1),0)+IF(AO8-Uzman_D!$M$13&lt;0,-(AO8-Uzman_D!$M$13),AO8-Uzman_D!$M$13)*1)</f>
        <v>-0.30000000000000004</v>
      </c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70"/>
      <c r="BB8" s="70"/>
      <c r="BC8" s="71">
        <f>1-(SUM(IF(AQ8-Uzman_D!$B$14&lt;0,-(AQ8-Uzman_D!$B$14),AQ8-Uzman_D!$B$14)*0.1+IF(AR8-Uzman_D!$C$14&lt;0,-(AR8-Uzman_D!$C$14),AR8-Uzman_D!$C$14)*0.1+IF(AS8-Uzman_D!$D$14&lt;0,-(AS8-Uzman_D!$D$14),AS8-Uzman_D!$D$14)*0.1+IF(AT8-Uzman_D!$E$14&lt;0,-(AT8-Uzman_D!$E$14),AT8-Uzman_D!$E$14)*0.1+IF(AU8-Uzman_D!$F$14&lt;0,-(AU8-Uzman_D!$F$14),AU8-Uzman_D!$F$14)*0.1+IF(AV8-Uzman_D!$G$14&lt;0,-(AV8-Uzman_D!$G$14),AV8-Uzman_D!$G$14)*0.1+IF(AW8-Uzman_D!$H$14&lt;0,-(AW8-Uzman_D!$H$14),AW8-Uzman_D!$H$14)*0.1+IF(AX8-Uzman_D!$I$14&lt;0,-(AX8-Uzman_D!$I$14),AX8-Uzman_D!$I$14)*0.1+IF(AY8-Uzman_D!$J$14&lt;0,-(AY8-Uzman_D!$J$14),AY8-Uzman_D!$J$14)*0.1)+IF(ROUND((IF(BA8-Uzman_D!$L$14&lt;0,-(BA8-Uzman_D!$L$14),BA8-Uzman_D!$L$14)*2),0)/2=IF(BA8-Uzman_D!$L$14&lt;0,-(BA8-Uzman_D!$L$14),BA8-Uzman_D!$L$14),(ROUND((IF(BA8-Uzman_D!$L$14&lt;0,-(BA8-Uzman_D!$L$14),BA8-Uzman_D!$L$14)*2),0)/1*0.1),0)+IF(BB8-Uzman_D!$M$14&lt;0,-(BB8-Uzman_D!$M$14),BB8-Uzman_D!$M$14)*1)</f>
        <v>-0.30000000000000027</v>
      </c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70"/>
      <c r="BO8" s="70"/>
      <c r="BP8" s="71">
        <f>1-(SUM(IF(BD8-Uzman_D!$B$15&lt;0,-(BD8-Uzman_D!$B$15),BD8-Uzman_D!$B$15)*0.1+IF(BE8-Uzman_D!$C$15&lt;0,-(BE8-Uzman_D!$C$15),BE8-Uzman_D!$C$15)*0.1+IF(BF8-Uzman_D!$D$15&lt;0,-(BF8-Uzman_D!$D$15),BF8-Uzman_D!$D$15)*0.1+IF(BG8-Uzman_D!$E$15&lt;0,-(BG8-Uzman_D!$E$15),BG8-Uzman_D!$E$15)*0.1+IF(BH8-Uzman_D!$F$15&lt;0,-(BH8-Uzman_D!$F$15),BH8-Uzman_D!$F$15)*0.1+IF(BI8-Uzman_D!$G$15&lt;0,-(BI8-Uzman_D!$G$15),BI8-Uzman_D!$G$15)*0.1+IF(BJ8-Uzman_D!$H$15&lt;0,-(BJ8-Uzman_D!$H$15),BJ8-Uzman_D!$H$15)*0.1+IF(BK8-Uzman_D!$I$15&lt;0,-(BK8-Uzman_D!$I$15),BK8-Uzman_D!$I$15)*0.1+IF(BL8-Uzman_D!$J$15&lt;0,-(BL8-Uzman_D!$J$15),BL8-Uzman_D!$J$15)*0.1)+IF(ROUND((IF(BN8-Uzman_D!$L$15&lt;0,-(BN8-Uzman_D!$L$15),BN8-Uzman_D!$L$15)*2),0)/2=IF(BN8-Uzman_D!$L$15&lt;0,-(BN8-Uzman_D!$L$15),BN8-Uzman_D!$L$15),(ROUND((IF(BN8-Uzman_D!$L$15&lt;0,-(BN8-Uzman_D!$L$15),BN8-Uzman_D!$L$15)*2),0)/1*0.1),0)+IF(BO8-Uzman_D!$M$15&lt;0,-(BO8-Uzman_D!$M$15),BO8-Uzman_D!$M$15)*1)</f>
        <v>-0.50000000000000022</v>
      </c>
      <c r="BQ8" s="72">
        <f t="shared" si="0"/>
        <v>-0.54</v>
      </c>
    </row>
    <row r="9" spans="1:69" ht="15" customHeight="1" x14ac:dyDescent="0.45">
      <c r="A9" s="54">
        <v>6</v>
      </c>
      <c r="B9" s="148" t="str">
        <f>Hakemler!B9</f>
        <v>ŞEN İZMİRLİ</v>
      </c>
      <c r="C9" s="148" t="str">
        <f>Hakemler!C9</f>
        <v>SİNEM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70"/>
      <c r="O9" s="70"/>
      <c r="P9" s="71">
        <f>1-(SUM(IF(D9-Uzman_D!$B$11&lt;0,-(D9-Uzman_D!$B$11),D9-Uzman_D!$B$11)*0.1+IF(E9-Uzman_D!$C$11&lt;0,-(E9-Uzman_D!$C$11),E9-Uzman_D!$C$11)*0.1+IF(F9-Uzman_D!$D$11&lt;0,-(F9-Uzman_D!$D$11),F9-Uzman_D!$D$11)*0.1+IF(G9-Uzman_D!$E$11&lt;0,-(G9-Uzman_D!$E$11),G9-Uzman_D!$E$11)*0.1+IF(H9-Uzman_D!$F$11&lt;0,-(H9-Uzman_D!$F$11),H9-Uzman_D!$F$11)*0.1+IF(I9-Uzman_D!$G$11&lt;0,-(I9-Uzman_D!$G$11),I9-Uzman_D!$G$11)*0.1+IF(J9-Uzman_D!$H$11&lt;0,-(J9-Uzman_D!$H$11),J9-Uzman_D!$H$11)*0.1+IF(K9-Uzman_D!$I$11&lt;0,-(K9-Uzman_D!$I$11),K9-Uzman_D!$I$11)*0.1+IF(L9-Uzman_D!$J$11&lt;0,-(L9-Uzman_D!$J$11),L9-Uzman_D!$J$11)*0.1)+IF(ROUND((IF(N9-Uzman_D!$L$11&lt;0,-(N9-Uzman_D!$L$11),N9-Uzman_D!$L$11)*2),0)/2=IF(N9-Uzman_D!$L$11&lt;0,-(N9-Uzman_D!$L$11),N9-Uzman_D!$L$11),(ROUND((IF(N9-Uzman_D!$L$11&lt;0,-(N9-Uzman_D!$L$11),N9-Uzman_D!$L$11)*2),0)/1*0.1),0)+IF(O9-Uzman_D!$M$11&lt;0,-(O9-Uzman_D!$M$11),O9-Uzman_D!$M$11)*1)</f>
        <v>-0.90000000000000013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70"/>
      <c r="AB9" s="70"/>
      <c r="AC9" s="71">
        <f>1-(SUM(IF(Q9-Uzman_D!$B$12&lt;0,-(Q9-Uzman_D!$B$12),Q9-Uzman_D!$B$12)*0.1+IF(R9-Uzman_D!$C$12&lt;0,-(R9-Uzman_D!$C$12),R9-Uzman_D!$C$12)*0.1+IF(S9-Uzman_D!$D$12&lt;0,-(S9-Uzman_D!$D$12),S9-Uzman_D!$D$12)*0.1+IF(T9-Uzman_D!$E$12&lt;0,-(T9-Uzman_D!$E$12),T9-Uzman_D!$E$12)*0.1+IF(U9-Uzman_D!$F$12&lt;0,-(U9-Uzman_D!$F$12),U9-Uzman_D!$F$12)*0.1+IF(V9-Uzman_D!$G$12&lt;0,-(V9-Uzman_D!$G$12),V9-Uzman_D!$G$12)*0.1+IF(W9-Uzman_D!$H$12&lt;0,-(W9-Uzman_D!$H$12),W9-Uzman_D!$H$12)*0.1+IF(X9-Uzman_D!$I$12&lt;0,-(X9-Uzman_D!$I$12),X9-Uzman_D!$I$12)*0.1+IF(Y9-Uzman_D!$J$12&lt;0,-(Y9-Uzman_D!$J$12),Y9-Uzman_D!$J$12)*0.1)+IF(ROUND((IF(AA9-Uzman_D!$L$12&lt;0,-(AA9-Uzman_D!$L$12),AA9-Uzman_D!$L$12)*2),0)/2=IF(AA9-Uzman_D!$L$12&lt;0,-(AA9-Uzman_D!$L$12),AA9-Uzman_D!$L$12),(ROUND((IF(AA9-Uzman_D!$L$12&lt;0,-(AA9-Uzman_D!$L$12),AA9-Uzman_D!$L$12)*2),0)/1*0.1),0)+IF(AB9-Uzman_D!$M$12&lt;0,-(AB9-Uzman_D!$M$12),AB9-Uzman_D!$M$12)*1)</f>
        <v>-0.7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70"/>
      <c r="AO9" s="70"/>
      <c r="AP9" s="71">
        <f>1-(SUM(IF(AD9-Uzman_D!$B$13&lt;0,-(AD9-Uzman_D!$B$13),AD9-Uzman_D!$B$13)*0.1+IF(AE9-Uzman_D!$C$13&lt;0,-(AE9-Uzman_D!$C$13),AE9-Uzman_D!$C$13)*0.1+IF(AF9-Uzman_D!$D$13&lt;0,-(AF9-Uzman_D!$D$13),AF9-Uzman_D!$D$13)*0.1+IF(AG9-Uzman_D!$E$13&lt;0,-(AG9-Uzman_D!$E$13),AG9-Uzman_D!$E$13)*0.1+IF(AH9-Uzman_D!$F$13&lt;0,-(AH9-Uzman_D!$F$13),AH9-Uzman_D!$F$13)*0.1+IF(AI9-Uzman_D!$G$13&lt;0,-(AI9-Uzman_D!$G$13),AI9-Uzman_D!$G$13)*0.1+IF(AJ9-Uzman_D!$H$13&lt;0,-(AJ9-Uzman_D!$H$13),AJ9-Uzman_D!$H$13)*0.1+IF(AK9-Uzman_D!$I$13&lt;0,-(AK9-Uzman_D!$I$13),AK9-Uzman_D!$I$13)*0.1+IF(AL9-Uzman_D!$J$13&lt;0,-(AL9-Uzman_D!$J$13),AL9-Uzman_D!$J$13)*0.1)+IF(ROUND((IF(AN9-Uzman_D!$L$13&lt;0,-(AN9-Uzman_D!$L$13),AN9-Uzman_D!$L$13)*2),0)/2=IF(AN9-Uzman_D!$L$13&lt;0,-(AN9-Uzman_D!$L$13),AN9-Uzman_D!$L$13),(ROUND((IF(AN9-Uzman_D!$L$13&lt;0,-(AN9-Uzman_D!$L$13),AN9-Uzman_D!$L$13)*2),0)/1*0.1),0)+IF(AO9-Uzman_D!$M$13&lt;0,-(AO9-Uzman_D!$M$13),AO9-Uzman_D!$M$13)*1)</f>
        <v>-0.30000000000000004</v>
      </c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70"/>
      <c r="BB9" s="70"/>
      <c r="BC9" s="71">
        <f>1-(SUM(IF(AQ9-Uzman_D!$B$14&lt;0,-(AQ9-Uzman_D!$B$14),AQ9-Uzman_D!$B$14)*0.1+IF(AR9-Uzman_D!$C$14&lt;0,-(AR9-Uzman_D!$C$14),AR9-Uzman_D!$C$14)*0.1+IF(AS9-Uzman_D!$D$14&lt;0,-(AS9-Uzman_D!$D$14),AS9-Uzman_D!$D$14)*0.1+IF(AT9-Uzman_D!$E$14&lt;0,-(AT9-Uzman_D!$E$14),AT9-Uzman_D!$E$14)*0.1+IF(AU9-Uzman_D!$F$14&lt;0,-(AU9-Uzman_D!$F$14),AU9-Uzman_D!$F$14)*0.1+IF(AV9-Uzman_D!$G$14&lt;0,-(AV9-Uzman_D!$G$14),AV9-Uzman_D!$G$14)*0.1+IF(AW9-Uzman_D!$H$14&lt;0,-(AW9-Uzman_D!$H$14),AW9-Uzman_D!$H$14)*0.1+IF(AX9-Uzman_D!$I$14&lt;0,-(AX9-Uzman_D!$I$14),AX9-Uzman_D!$I$14)*0.1+IF(AY9-Uzman_D!$J$14&lt;0,-(AY9-Uzman_D!$J$14),AY9-Uzman_D!$J$14)*0.1)+IF(ROUND((IF(BA9-Uzman_D!$L$14&lt;0,-(BA9-Uzman_D!$L$14),BA9-Uzman_D!$L$14)*2),0)/2=IF(BA9-Uzman_D!$L$14&lt;0,-(BA9-Uzman_D!$L$14),BA9-Uzman_D!$L$14),(ROUND((IF(BA9-Uzman_D!$L$14&lt;0,-(BA9-Uzman_D!$L$14),BA9-Uzman_D!$L$14)*2),0)/1*0.1),0)+IF(BB9-Uzman_D!$M$14&lt;0,-(BB9-Uzman_D!$M$14),BB9-Uzman_D!$M$14)*1)</f>
        <v>-0.30000000000000027</v>
      </c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70"/>
      <c r="BO9" s="70"/>
      <c r="BP9" s="71">
        <f>1-(SUM(IF(BD9-Uzman_D!$B$15&lt;0,-(BD9-Uzman_D!$B$15),BD9-Uzman_D!$B$15)*0.1+IF(BE9-Uzman_D!$C$15&lt;0,-(BE9-Uzman_D!$C$15),BE9-Uzman_D!$C$15)*0.1+IF(BF9-Uzman_D!$D$15&lt;0,-(BF9-Uzman_D!$D$15),BF9-Uzman_D!$D$15)*0.1+IF(BG9-Uzman_D!$E$15&lt;0,-(BG9-Uzman_D!$E$15),BG9-Uzman_D!$E$15)*0.1+IF(BH9-Uzman_D!$F$15&lt;0,-(BH9-Uzman_D!$F$15),BH9-Uzman_D!$F$15)*0.1+IF(BI9-Uzman_D!$G$15&lt;0,-(BI9-Uzman_D!$G$15),BI9-Uzman_D!$G$15)*0.1+IF(BJ9-Uzman_D!$H$15&lt;0,-(BJ9-Uzman_D!$H$15),BJ9-Uzman_D!$H$15)*0.1+IF(BK9-Uzman_D!$I$15&lt;0,-(BK9-Uzman_D!$I$15),BK9-Uzman_D!$I$15)*0.1+IF(BL9-Uzman_D!$J$15&lt;0,-(BL9-Uzman_D!$J$15),BL9-Uzman_D!$J$15)*0.1)+IF(ROUND((IF(BN9-Uzman_D!$L$15&lt;0,-(BN9-Uzman_D!$L$15),BN9-Uzman_D!$L$15)*2),0)/2=IF(BN9-Uzman_D!$L$15&lt;0,-(BN9-Uzman_D!$L$15),BN9-Uzman_D!$L$15),(ROUND((IF(BN9-Uzman_D!$L$15&lt;0,-(BN9-Uzman_D!$L$15),BN9-Uzman_D!$L$15)*2),0)/1*0.1),0)+IF(BO9-Uzman_D!$M$15&lt;0,-(BO9-Uzman_D!$M$15),BO9-Uzman_D!$M$15)*1)</f>
        <v>-0.50000000000000022</v>
      </c>
      <c r="BQ9" s="72">
        <f t="shared" si="0"/>
        <v>-0.54</v>
      </c>
    </row>
    <row r="10" spans="1:69" ht="15" customHeight="1" x14ac:dyDescent="0.45">
      <c r="A10" s="54">
        <v>7</v>
      </c>
      <c r="B10" s="148" t="str">
        <f>Hakemler!B10</f>
        <v>YILDIRIMER</v>
      </c>
      <c r="C10" s="148" t="str">
        <f>Hakemler!C10</f>
        <v>BUSE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0"/>
      <c r="O10" s="70"/>
      <c r="P10" s="71">
        <f>1-(SUM(IF(D10-Uzman_D!$B$11&lt;0,-(D10-Uzman_D!$B$11),D10-Uzman_D!$B$11)*0.1+IF(E10-Uzman_D!$C$11&lt;0,-(E10-Uzman_D!$C$11),E10-Uzman_D!$C$11)*0.1+IF(F10-Uzman_D!$D$11&lt;0,-(F10-Uzman_D!$D$11),F10-Uzman_D!$D$11)*0.1+IF(G10-Uzman_D!$E$11&lt;0,-(G10-Uzman_D!$E$11),G10-Uzman_D!$E$11)*0.1+IF(H10-Uzman_D!$F$11&lt;0,-(H10-Uzman_D!$F$11),H10-Uzman_D!$F$11)*0.1+IF(I10-Uzman_D!$G$11&lt;0,-(I10-Uzman_D!$G$11),I10-Uzman_D!$G$11)*0.1+IF(J10-Uzman_D!$H$11&lt;0,-(J10-Uzman_D!$H$11),J10-Uzman_D!$H$11)*0.1+IF(K10-Uzman_D!$I$11&lt;0,-(K10-Uzman_D!$I$11),K10-Uzman_D!$I$11)*0.1+IF(L10-Uzman_D!$J$11&lt;0,-(L10-Uzman_D!$J$11),L10-Uzman_D!$J$11)*0.1)+IF(ROUND((IF(N10-Uzman_D!$L$11&lt;0,-(N10-Uzman_D!$L$11),N10-Uzman_D!$L$11)*2),0)/2=IF(N10-Uzman_D!$L$11&lt;0,-(N10-Uzman_D!$L$11),N10-Uzman_D!$L$11),(ROUND((IF(N10-Uzman_D!$L$11&lt;0,-(N10-Uzman_D!$L$11),N10-Uzman_D!$L$11)*2),0)/1*0.1),0)+IF(O10-Uzman_D!$M$11&lt;0,-(O10-Uzman_D!$M$11),O10-Uzman_D!$M$11)*1)</f>
        <v>-0.90000000000000013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70"/>
      <c r="AB10" s="70"/>
      <c r="AC10" s="71">
        <f>1-(SUM(IF(Q10-Uzman_D!$B$12&lt;0,-(Q10-Uzman_D!$B$12),Q10-Uzman_D!$B$12)*0.1+IF(R10-Uzman_D!$C$12&lt;0,-(R10-Uzman_D!$C$12),R10-Uzman_D!$C$12)*0.1+IF(S10-Uzman_D!$D$12&lt;0,-(S10-Uzman_D!$D$12),S10-Uzman_D!$D$12)*0.1+IF(T10-Uzman_D!$E$12&lt;0,-(T10-Uzman_D!$E$12),T10-Uzman_D!$E$12)*0.1+IF(U10-Uzman_D!$F$12&lt;0,-(U10-Uzman_D!$F$12),U10-Uzman_D!$F$12)*0.1+IF(V10-Uzman_D!$G$12&lt;0,-(V10-Uzman_D!$G$12),V10-Uzman_D!$G$12)*0.1+IF(W10-Uzman_D!$H$12&lt;0,-(W10-Uzman_D!$H$12),W10-Uzman_D!$H$12)*0.1+IF(X10-Uzman_D!$I$12&lt;0,-(X10-Uzman_D!$I$12),X10-Uzman_D!$I$12)*0.1+IF(Y10-Uzman_D!$J$12&lt;0,-(Y10-Uzman_D!$J$12),Y10-Uzman_D!$J$12)*0.1)+IF(ROUND((IF(AA10-Uzman_D!$L$12&lt;0,-(AA10-Uzman_D!$L$12),AA10-Uzman_D!$L$12)*2),0)/2=IF(AA10-Uzman_D!$L$12&lt;0,-(AA10-Uzman_D!$L$12),AA10-Uzman_D!$L$12),(ROUND((IF(AA10-Uzman_D!$L$12&lt;0,-(AA10-Uzman_D!$L$12),AA10-Uzman_D!$L$12)*2),0)/1*0.1),0)+IF(AB10-Uzman_D!$M$12&lt;0,-(AB10-Uzman_D!$M$12),AB10-Uzman_D!$M$12)*1)</f>
        <v>-0.7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70"/>
      <c r="AO10" s="70"/>
      <c r="AP10" s="71">
        <f>1-(SUM(IF(AD10-Uzman_D!$B$13&lt;0,-(AD10-Uzman_D!$B$13),AD10-Uzman_D!$B$13)*0.1+IF(AE10-Uzman_D!$C$13&lt;0,-(AE10-Uzman_D!$C$13),AE10-Uzman_D!$C$13)*0.1+IF(AF10-Uzman_D!$D$13&lt;0,-(AF10-Uzman_D!$D$13),AF10-Uzman_D!$D$13)*0.1+IF(AG10-Uzman_D!$E$13&lt;0,-(AG10-Uzman_D!$E$13),AG10-Uzman_D!$E$13)*0.1+IF(AH10-Uzman_D!$F$13&lt;0,-(AH10-Uzman_D!$F$13),AH10-Uzman_D!$F$13)*0.1+IF(AI10-Uzman_D!$G$13&lt;0,-(AI10-Uzman_D!$G$13),AI10-Uzman_D!$G$13)*0.1+IF(AJ10-Uzman_D!$H$13&lt;0,-(AJ10-Uzman_D!$H$13),AJ10-Uzman_D!$H$13)*0.1+IF(AK10-Uzman_D!$I$13&lt;0,-(AK10-Uzman_D!$I$13),AK10-Uzman_D!$I$13)*0.1+IF(AL10-Uzman_D!$J$13&lt;0,-(AL10-Uzman_D!$J$13),AL10-Uzman_D!$J$13)*0.1)+IF(ROUND((IF(AN10-Uzman_D!$L$13&lt;0,-(AN10-Uzman_D!$L$13),AN10-Uzman_D!$L$13)*2),0)/2=IF(AN10-Uzman_D!$L$13&lt;0,-(AN10-Uzman_D!$L$13),AN10-Uzman_D!$L$13),(ROUND((IF(AN10-Uzman_D!$L$13&lt;0,-(AN10-Uzman_D!$L$13),AN10-Uzman_D!$L$13)*2),0)/1*0.1),0)+IF(AO10-Uzman_D!$M$13&lt;0,-(AO10-Uzman_D!$M$13),AO10-Uzman_D!$M$13)*1)</f>
        <v>-0.30000000000000004</v>
      </c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70"/>
      <c r="BB10" s="70"/>
      <c r="BC10" s="71">
        <f>1-(SUM(IF(AQ10-Uzman_D!$B$14&lt;0,-(AQ10-Uzman_D!$B$14),AQ10-Uzman_D!$B$14)*0.1+IF(AR10-Uzman_D!$C$14&lt;0,-(AR10-Uzman_D!$C$14),AR10-Uzman_D!$C$14)*0.1+IF(AS10-Uzman_D!$D$14&lt;0,-(AS10-Uzman_D!$D$14),AS10-Uzman_D!$D$14)*0.1+IF(AT10-Uzman_D!$E$14&lt;0,-(AT10-Uzman_D!$E$14),AT10-Uzman_D!$E$14)*0.1+IF(AU10-Uzman_D!$F$14&lt;0,-(AU10-Uzman_D!$F$14),AU10-Uzman_D!$F$14)*0.1+IF(AV10-Uzman_D!$G$14&lt;0,-(AV10-Uzman_D!$G$14),AV10-Uzman_D!$G$14)*0.1+IF(AW10-Uzman_D!$H$14&lt;0,-(AW10-Uzman_D!$H$14),AW10-Uzman_D!$H$14)*0.1+IF(AX10-Uzman_D!$I$14&lt;0,-(AX10-Uzman_D!$I$14),AX10-Uzman_D!$I$14)*0.1+IF(AY10-Uzman_D!$J$14&lt;0,-(AY10-Uzman_D!$J$14),AY10-Uzman_D!$J$14)*0.1)+IF(ROUND((IF(BA10-Uzman_D!$L$14&lt;0,-(BA10-Uzman_D!$L$14),BA10-Uzman_D!$L$14)*2),0)/2=IF(BA10-Uzman_D!$L$14&lt;0,-(BA10-Uzman_D!$L$14),BA10-Uzman_D!$L$14),(ROUND((IF(BA10-Uzman_D!$L$14&lt;0,-(BA10-Uzman_D!$L$14),BA10-Uzman_D!$L$14)*2),0)/1*0.1),0)+IF(BB10-Uzman_D!$M$14&lt;0,-(BB10-Uzman_D!$M$14),BB10-Uzman_D!$M$14)*1)</f>
        <v>-0.30000000000000027</v>
      </c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70"/>
      <c r="BO10" s="70"/>
      <c r="BP10" s="71">
        <f>1-(SUM(IF(BD10-Uzman_D!$B$15&lt;0,-(BD10-Uzman_D!$B$15),BD10-Uzman_D!$B$15)*0.1+IF(BE10-Uzman_D!$C$15&lt;0,-(BE10-Uzman_D!$C$15),BE10-Uzman_D!$C$15)*0.1+IF(BF10-Uzman_D!$D$15&lt;0,-(BF10-Uzman_D!$D$15),BF10-Uzman_D!$D$15)*0.1+IF(BG10-Uzman_D!$E$15&lt;0,-(BG10-Uzman_D!$E$15),BG10-Uzman_D!$E$15)*0.1+IF(BH10-Uzman_D!$F$15&lt;0,-(BH10-Uzman_D!$F$15),BH10-Uzman_D!$F$15)*0.1+IF(BI10-Uzman_D!$G$15&lt;0,-(BI10-Uzman_D!$G$15),BI10-Uzman_D!$G$15)*0.1+IF(BJ10-Uzman_D!$H$15&lt;0,-(BJ10-Uzman_D!$H$15),BJ10-Uzman_D!$H$15)*0.1+IF(BK10-Uzman_D!$I$15&lt;0,-(BK10-Uzman_D!$I$15),BK10-Uzman_D!$I$15)*0.1+IF(BL10-Uzman_D!$J$15&lt;0,-(BL10-Uzman_D!$J$15),BL10-Uzman_D!$J$15)*0.1)+IF(ROUND((IF(BN10-Uzman_D!$L$15&lt;0,-(BN10-Uzman_D!$L$15),BN10-Uzman_D!$L$15)*2),0)/2=IF(BN10-Uzman_D!$L$15&lt;0,-(BN10-Uzman_D!$L$15),BN10-Uzman_D!$L$15),(ROUND((IF(BN10-Uzman_D!$L$15&lt;0,-(BN10-Uzman_D!$L$15),BN10-Uzman_D!$L$15)*2),0)/1*0.1),0)+IF(BO10-Uzman_D!$M$15&lt;0,-(BO10-Uzman_D!$M$15),BO10-Uzman_D!$M$15)*1)</f>
        <v>-0.50000000000000022</v>
      </c>
      <c r="BQ10" s="72">
        <f t="shared" si="0"/>
        <v>-0.54</v>
      </c>
    </row>
    <row r="11" spans="1:69" ht="15" customHeight="1" x14ac:dyDescent="0.45">
      <c r="A11" s="54">
        <v>8</v>
      </c>
      <c r="B11" s="148" t="str">
        <f>Hakemler!B11</f>
        <v>KESKİN</v>
      </c>
      <c r="C11" s="148" t="str">
        <f>Hakemler!C11</f>
        <v>ENFAL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70"/>
      <c r="O11" s="70"/>
      <c r="P11" s="71">
        <f>1-(SUM(IF(D11-Uzman_D!$B$11&lt;0,-(D11-Uzman_D!$B$11),D11-Uzman_D!$B$11)*0.1+IF(E11-Uzman_D!$C$11&lt;0,-(E11-Uzman_D!$C$11),E11-Uzman_D!$C$11)*0.1+IF(F11-Uzman_D!$D$11&lt;0,-(F11-Uzman_D!$D$11),F11-Uzman_D!$D$11)*0.1+IF(G11-Uzman_D!$E$11&lt;0,-(G11-Uzman_D!$E$11),G11-Uzman_D!$E$11)*0.1+IF(H11-Uzman_D!$F$11&lt;0,-(H11-Uzman_D!$F$11),H11-Uzman_D!$F$11)*0.1+IF(I11-Uzman_D!$G$11&lt;0,-(I11-Uzman_D!$G$11),I11-Uzman_D!$G$11)*0.1+IF(J11-Uzman_D!$H$11&lt;0,-(J11-Uzman_D!$H$11),J11-Uzman_D!$H$11)*0.1+IF(K11-Uzman_D!$I$11&lt;0,-(K11-Uzman_D!$I$11),K11-Uzman_D!$I$11)*0.1+IF(L11-Uzman_D!$J$11&lt;0,-(L11-Uzman_D!$J$11),L11-Uzman_D!$J$11)*0.1)+IF(ROUND((IF(N11-Uzman_D!$L$11&lt;0,-(N11-Uzman_D!$L$11),N11-Uzman_D!$L$11)*2),0)/2=IF(N11-Uzman_D!$L$11&lt;0,-(N11-Uzman_D!$L$11),N11-Uzman_D!$L$11),(ROUND((IF(N11-Uzman_D!$L$11&lt;0,-(N11-Uzman_D!$L$11),N11-Uzman_D!$L$11)*2),0)/1*0.1),0)+IF(O11-Uzman_D!$M$11&lt;0,-(O11-Uzman_D!$M$11),O11-Uzman_D!$M$11)*1)</f>
        <v>-0.90000000000000013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70"/>
      <c r="AB11" s="70"/>
      <c r="AC11" s="71">
        <f>1-(SUM(IF(Q11-Uzman_D!$B$12&lt;0,-(Q11-Uzman_D!$B$12),Q11-Uzman_D!$B$12)*0.1+IF(R11-Uzman_D!$C$12&lt;0,-(R11-Uzman_D!$C$12),R11-Uzman_D!$C$12)*0.1+IF(S11-Uzman_D!$D$12&lt;0,-(S11-Uzman_D!$D$12),S11-Uzman_D!$D$12)*0.1+IF(T11-Uzman_D!$E$12&lt;0,-(T11-Uzman_D!$E$12),T11-Uzman_D!$E$12)*0.1+IF(U11-Uzman_D!$F$12&lt;0,-(U11-Uzman_D!$F$12),U11-Uzman_D!$F$12)*0.1+IF(V11-Uzman_D!$G$12&lt;0,-(V11-Uzman_D!$G$12),V11-Uzman_D!$G$12)*0.1+IF(W11-Uzman_D!$H$12&lt;0,-(W11-Uzman_D!$H$12),W11-Uzman_D!$H$12)*0.1+IF(X11-Uzman_D!$I$12&lt;0,-(X11-Uzman_D!$I$12),X11-Uzman_D!$I$12)*0.1+IF(Y11-Uzman_D!$J$12&lt;0,-(Y11-Uzman_D!$J$12),Y11-Uzman_D!$J$12)*0.1)+IF(ROUND((IF(AA11-Uzman_D!$L$12&lt;0,-(AA11-Uzman_D!$L$12),AA11-Uzman_D!$L$12)*2),0)/2=IF(AA11-Uzman_D!$L$12&lt;0,-(AA11-Uzman_D!$L$12),AA11-Uzman_D!$L$12),(ROUND((IF(AA11-Uzman_D!$L$12&lt;0,-(AA11-Uzman_D!$L$12),AA11-Uzman_D!$L$12)*2),0)/1*0.1),0)+IF(AB11-Uzman_D!$M$12&lt;0,-(AB11-Uzman_D!$M$12),AB11-Uzman_D!$M$12)*1)</f>
        <v>-0.7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70"/>
      <c r="AO11" s="70"/>
      <c r="AP11" s="71">
        <f>1-(SUM(IF(AD11-Uzman_D!$B$13&lt;0,-(AD11-Uzman_D!$B$13),AD11-Uzman_D!$B$13)*0.1+IF(AE11-Uzman_D!$C$13&lt;0,-(AE11-Uzman_D!$C$13),AE11-Uzman_D!$C$13)*0.1+IF(AF11-Uzman_D!$D$13&lt;0,-(AF11-Uzman_D!$D$13),AF11-Uzman_D!$D$13)*0.1+IF(AG11-Uzman_D!$E$13&lt;0,-(AG11-Uzman_D!$E$13),AG11-Uzman_D!$E$13)*0.1+IF(AH11-Uzman_D!$F$13&lt;0,-(AH11-Uzman_D!$F$13),AH11-Uzman_D!$F$13)*0.1+IF(AI11-Uzman_D!$G$13&lt;0,-(AI11-Uzman_D!$G$13),AI11-Uzman_D!$G$13)*0.1+IF(AJ11-Uzman_D!$H$13&lt;0,-(AJ11-Uzman_D!$H$13),AJ11-Uzman_D!$H$13)*0.1+IF(AK11-Uzman_D!$I$13&lt;0,-(AK11-Uzman_D!$I$13),AK11-Uzman_D!$I$13)*0.1+IF(AL11-Uzman_D!$J$13&lt;0,-(AL11-Uzman_D!$J$13),AL11-Uzman_D!$J$13)*0.1)+IF(ROUND((IF(AN11-Uzman_D!$L$13&lt;0,-(AN11-Uzman_D!$L$13),AN11-Uzman_D!$L$13)*2),0)/2=IF(AN11-Uzman_D!$L$13&lt;0,-(AN11-Uzman_D!$L$13),AN11-Uzman_D!$L$13),(ROUND((IF(AN11-Uzman_D!$L$13&lt;0,-(AN11-Uzman_D!$L$13),AN11-Uzman_D!$L$13)*2),0)/1*0.1),0)+IF(AO11-Uzman_D!$M$13&lt;0,-(AO11-Uzman_D!$M$13),AO11-Uzman_D!$M$13)*1)</f>
        <v>-0.30000000000000004</v>
      </c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70"/>
      <c r="BB11" s="70"/>
      <c r="BC11" s="71">
        <f>1-(SUM(IF(AQ11-Uzman_D!$B$14&lt;0,-(AQ11-Uzman_D!$B$14),AQ11-Uzman_D!$B$14)*0.1+IF(AR11-Uzman_D!$C$14&lt;0,-(AR11-Uzman_D!$C$14),AR11-Uzman_D!$C$14)*0.1+IF(AS11-Uzman_D!$D$14&lt;0,-(AS11-Uzman_D!$D$14),AS11-Uzman_D!$D$14)*0.1+IF(AT11-Uzman_D!$E$14&lt;0,-(AT11-Uzman_D!$E$14),AT11-Uzman_D!$E$14)*0.1+IF(AU11-Uzman_D!$F$14&lt;0,-(AU11-Uzman_D!$F$14),AU11-Uzman_D!$F$14)*0.1+IF(AV11-Uzman_D!$G$14&lt;0,-(AV11-Uzman_D!$G$14),AV11-Uzman_D!$G$14)*0.1+IF(AW11-Uzman_D!$H$14&lt;0,-(AW11-Uzman_D!$H$14),AW11-Uzman_D!$H$14)*0.1+IF(AX11-Uzman_D!$I$14&lt;0,-(AX11-Uzman_D!$I$14),AX11-Uzman_D!$I$14)*0.1+IF(AY11-Uzman_D!$J$14&lt;0,-(AY11-Uzman_D!$J$14),AY11-Uzman_D!$J$14)*0.1)+IF(ROUND((IF(BA11-Uzman_D!$L$14&lt;0,-(BA11-Uzman_D!$L$14),BA11-Uzman_D!$L$14)*2),0)/2=IF(BA11-Uzman_D!$L$14&lt;0,-(BA11-Uzman_D!$L$14),BA11-Uzman_D!$L$14),(ROUND((IF(BA11-Uzman_D!$L$14&lt;0,-(BA11-Uzman_D!$L$14),BA11-Uzman_D!$L$14)*2),0)/1*0.1),0)+IF(BB11-Uzman_D!$M$14&lt;0,-(BB11-Uzman_D!$M$14),BB11-Uzman_D!$M$14)*1)</f>
        <v>-0.30000000000000027</v>
      </c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70"/>
      <c r="BO11" s="70"/>
      <c r="BP11" s="71">
        <f>1-(SUM(IF(BD11-Uzman_D!$B$15&lt;0,-(BD11-Uzman_D!$B$15),BD11-Uzman_D!$B$15)*0.1+IF(BE11-Uzman_D!$C$15&lt;0,-(BE11-Uzman_D!$C$15),BE11-Uzman_D!$C$15)*0.1+IF(BF11-Uzman_D!$D$15&lt;0,-(BF11-Uzman_D!$D$15),BF11-Uzman_D!$D$15)*0.1+IF(BG11-Uzman_D!$E$15&lt;0,-(BG11-Uzman_D!$E$15),BG11-Uzman_D!$E$15)*0.1+IF(BH11-Uzman_D!$F$15&lt;0,-(BH11-Uzman_D!$F$15),BH11-Uzman_D!$F$15)*0.1+IF(BI11-Uzman_D!$G$15&lt;0,-(BI11-Uzman_D!$G$15),BI11-Uzman_D!$G$15)*0.1+IF(BJ11-Uzman_D!$H$15&lt;0,-(BJ11-Uzman_D!$H$15),BJ11-Uzman_D!$H$15)*0.1+IF(BK11-Uzman_D!$I$15&lt;0,-(BK11-Uzman_D!$I$15),BK11-Uzman_D!$I$15)*0.1+IF(BL11-Uzman_D!$J$15&lt;0,-(BL11-Uzman_D!$J$15),BL11-Uzman_D!$J$15)*0.1)+IF(ROUND((IF(BN11-Uzman_D!$L$15&lt;0,-(BN11-Uzman_D!$L$15),BN11-Uzman_D!$L$15)*2),0)/2=IF(BN11-Uzman_D!$L$15&lt;0,-(BN11-Uzman_D!$L$15),BN11-Uzman_D!$L$15),(ROUND((IF(BN11-Uzman_D!$L$15&lt;0,-(BN11-Uzman_D!$L$15),BN11-Uzman_D!$L$15)*2),0)/1*0.1),0)+IF(BO11-Uzman_D!$M$15&lt;0,-(BO11-Uzman_D!$M$15),BO11-Uzman_D!$M$15)*1)</f>
        <v>-0.50000000000000022</v>
      </c>
      <c r="BQ11" s="72">
        <f t="shared" si="0"/>
        <v>-0.54</v>
      </c>
    </row>
    <row r="12" spans="1:69" ht="15" customHeight="1" x14ac:dyDescent="0.45">
      <c r="A12" s="54">
        <v>9</v>
      </c>
      <c r="B12" s="148" t="str">
        <f>Hakemler!B12</f>
        <v>ÜNAL</v>
      </c>
      <c r="C12" s="148" t="str">
        <f>Hakemler!C12</f>
        <v>NAZLINEHİR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70"/>
      <c r="O12" s="70"/>
      <c r="P12" s="71">
        <f>1-(SUM(IF(D12-Uzman_D!$B$11&lt;0,-(D12-Uzman_D!$B$11),D12-Uzman_D!$B$11)*0.1+IF(E12-Uzman_D!$C$11&lt;0,-(E12-Uzman_D!$C$11),E12-Uzman_D!$C$11)*0.1+IF(F12-Uzman_D!$D$11&lt;0,-(F12-Uzman_D!$D$11),F12-Uzman_D!$D$11)*0.1+IF(G12-Uzman_D!$E$11&lt;0,-(G12-Uzman_D!$E$11),G12-Uzman_D!$E$11)*0.1+IF(H12-Uzman_D!$F$11&lt;0,-(H12-Uzman_D!$F$11),H12-Uzman_D!$F$11)*0.1+IF(I12-Uzman_D!$G$11&lt;0,-(I12-Uzman_D!$G$11),I12-Uzman_D!$G$11)*0.1+IF(J12-Uzman_D!$H$11&lt;0,-(J12-Uzman_D!$H$11),J12-Uzman_D!$H$11)*0.1+IF(K12-Uzman_D!$I$11&lt;0,-(K12-Uzman_D!$I$11),K12-Uzman_D!$I$11)*0.1+IF(L12-Uzman_D!$J$11&lt;0,-(L12-Uzman_D!$J$11),L12-Uzman_D!$J$11)*0.1)+IF(ROUND((IF(N12-Uzman_D!$L$11&lt;0,-(N12-Uzman_D!$L$11),N12-Uzman_D!$L$11)*2),0)/2=IF(N12-Uzman_D!$L$11&lt;0,-(N12-Uzman_D!$L$11),N12-Uzman_D!$L$11),(ROUND((IF(N12-Uzman_D!$L$11&lt;0,-(N12-Uzman_D!$L$11),N12-Uzman_D!$L$11)*2),0)/1*0.1),0)+IF(O12-Uzman_D!$M$11&lt;0,-(O12-Uzman_D!$M$11),O12-Uzman_D!$M$11)*1)</f>
        <v>-0.90000000000000013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70"/>
      <c r="AB12" s="70"/>
      <c r="AC12" s="71">
        <f>1-(SUM(IF(Q12-Uzman_D!$B$12&lt;0,-(Q12-Uzman_D!$B$12),Q12-Uzman_D!$B$12)*0.1+IF(R12-Uzman_D!$C$12&lt;0,-(R12-Uzman_D!$C$12),R12-Uzman_D!$C$12)*0.1+IF(S12-Uzman_D!$D$12&lt;0,-(S12-Uzman_D!$D$12),S12-Uzman_D!$D$12)*0.1+IF(T12-Uzman_D!$E$12&lt;0,-(T12-Uzman_D!$E$12),T12-Uzman_D!$E$12)*0.1+IF(U12-Uzman_D!$F$12&lt;0,-(U12-Uzman_D!$F$12),U12-Uzman_D!$F$12)*0.1+IF(V12-Uzman_D!$G$12&lt;0,-(V12-Uzman_D!$G$12),V12-Uzman_D!$G$12)*0.1+IF(W12-Uzman_D!$H$12&lt;0,-(W12-Uzman_D!$H$12),W12-Uzman_D!$H$12)*0.1+IF(X12-Uzman_D!$I$12&lt;0,-(X12-Uzman_D!$I$12),X12-Uzman_D!$I$12)*0.1+IF(Y12-Uzman_D!$J$12&lt;0,-(Y12-Uzman_D!$J$12),Y12-Uzman_D!$J$12)*0.1)+IF(ROUND((IF(AA12-Uzman_D!$L$12&lt;0,-(AA12-Uzman_D!$L$12),AA12-Uzman_D!$L$12)*2),0)/2=IF(AA12-Uzman_D!$L$12&lt;0,-(AA12-Uzman_D!$L$12),AA12-Uzman_D!$L$12),(ROUND((IF(AA12-Uzman_D!$L$12&lt;0,-(AA12-Uzman_D!$L$12),AA12-Uzman_D!$L$12)*2),0)/1*0.1),0)+IF(AB12-Uzman_D!$M$12&lt;0,-(AB12-Uzman_D!$M$12),AB12-Uzman_D!$M$12)*1)</f>
        <v>-0.7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70"/>
      <c r="AO12" s="70"/>
      <c r="AP12" s="71">
        <f>1-(SUM(IF(AD12-Uzman_D!$B$13&lt;0,-(AD12-Uzman_D!$B$13),AD12-Uzman_D!$B$13)*0.1+IF(AE12-Uzman_D!$C$13&lt;0,-(AE12-Uzman_D!$C$13),AE12-Uzman_D!$C$13)*0.1+IF(AF12-Uzman_D!$D$13&lt;0,-(AF12-Uzman_D!$D$13),AF12-Uzman_D!$D$13)*0.1+IF(AG12-Uzman_D!$E$13&lt;0,-(AG12-Uzman_D!$E$13),AG12-Uzman_D!$E$13)*0.1+IF(AH12-Uzman_D!$F$13&lt;0,-(AH12-Uzman_D!$F$13),AH12-Uzman_D!$F$13)*0.1+IF(AI12-Uzman_D!$G$13&lt;0,-(AI12-Uzman_D!$G$13),AI12-Uzman_D!$G$13)*0.1+IF(AJ12-Uzman_D!$H$13&lt;0,-(AJ12-Uzman_D!$H$13),AJ12-Uzman_D!$H$13)*0.1+IF(AK12-Uzman_D!$I$13&lt;0,-(AK12-Uzman_D!$I$13),AK12-Uzman_D!$I$13)*0.1+IF(AL12-Uzman_D!$J$13&lt;0,-(AL12-Uzman_D!$J$13),AL12-Uzman_D!$J$13)*0.1)+IF(ROUND((IF(AN12-Uzman_D!$L$13&lt;0,-(AN12-Uzman_D!$L$13),AN12-Uzman_D!$L$13)*2),0)/2=IF(AN12-Uzman_D!$L$13&lt;0,-(AN12-Uzman_D!$L$13),AN12-Uzman_D!$L$13),(ROUND((IF(AN12-Uzman_D!$L$13&lt;0,-(AN12-Uzman_D!$L$13),AN12-Uzman_D!$L$13)*2),0)/1*0.1),0)+IF(AO12-Uzman_D!$M$13&lt;0,-(AO12-Uzman_D!$M$13),AO12-Uzman_D!$M$13)*1)</f>
        <v>-0.30000000000000004</v>
      </c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70"/>
      <c r="BB12" s="70"/>
      <c r="BC12" s="71">
        <f>1-(SUM(IF(AQ12-Uzman_D!$B$14&lt;0,-(AQ12-Uzman_D!$B$14),AQ12-Uzman_D!$B$14)*0.1+IF(AR12-Uzman_D!$C$14&lt;0,-(AR12-Uzman_D!$C$14),AR12-Uzman_D!$C$14)*0.1+IF(AS12-Uzman_D!$D$14&lt;0,-(AS12-Uzman_D!$D$14),AS12-Uzman_D!$D$14)*0.1+IF(AT12-Uzman_D!$E$14&lt;0,-(AT12-Uzman_D!$E$14),AT12-Uzman_D!$E$14)*0.1+IF(AU12-Uzman_D!$F$14&lt;0,-(AU12-Uzman_D!$F$14),AU12-Uzman_D!$F$14)*0.1+IF(AV12-Uzman_D!$G$14&lt;0,-(AV12-Uzman_D!$G$14),AV12-Uzman_D!$G$14)*0.1+IF(AW12-Uzman_D!$H$14&lt;0,-(AW12-Uzman_D!$H$14),AW12-Uzman_D!$H$14)*0.1+IF(AX12-Uzman_D!$I$14&lt;0,-(AX12-Uzman_D!$I$14),AX12-Uzman_D!$I$14)*0.1+IF(AY12-Uzman_D!$J$14&lt;0,-(AY12-Uzman_D!$J$14),AY12-Uzman_D!$J$14)*0.1)+IF(ROUND((IF(BA12-Uzman_D!$L$14&lt;0,-(BA12-Uzman_D!$L$14),BA12-Uzman_D!$L$14)*2),0)/2=IF(BA12-Uzman_D!$L$14&lt;0,-(BA12-Uzman_D!$L$14),BA12-Uzman_D!$L$14),(ROUND((IF(BA12-Uzman_D!$L$14&lt;0,-(BA12-Uzman_D!$L$14),BA12-Uzman_D!$L$14)*2),0)/1*0.1),0)+IF(BB12-Uzman_D!$M$14&lt;0,-(BB12-Uzman_D!$M$14),BB12-Uzman_D!$M$14)*1)</f>
        <v>-0.30000000000000027</v>
      </c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70"/>
      <c r="BO12" s="70"/>
      <c r="BP12" s="71">
        <f>1-(SUM(IF(BD12-Uzman_D!$B$15&lt;0,-(BD12-Uzman_D!$B$15),BD12-Uzman_D!$B$15)*0.1+IF(BE12-Uzman_D!$C$15&lt;0,-(BE12-Uzman_D!$C$15),BE12-Uzman_D!$C$15)*0.1+IF(BF12-Uzman_D!$D$15&lt;0,-(BF12-Uzman_D!$D$15),BF12-Uzman_D!$D$15)*0.1+IF(BG12-Uzman_D!$E$15&lt;0,-(BG12-Uzman_D!$E$15),BG12-Uzman_D!$E$15)*0.1+IF(BH12-Uzman_D!$F$15&lt;0,-(BH12-Uzman_D!$F$15),BH12-Uzman_D!$F$15)*0.1+IF(BI12-Uzman_D!$G$15&lt;0,-(BI12-Uzman_D!$G$15),BI12-Uzman_D!$G$15)*0.1+IF(BJ12-Uzman_D!$H$15&lt;0,-(BJ12-Uzman_D!$H$15),BJ12-Uzman_D!$H$15)*0.1+IF(BK12-Uzman_D!$I$15&lt;0,-(BK12-Uzman_D!$I$15),BK12-Uzman_D!$I$15)*0.1+IF(BL12-Uzman_D!$J$15&lt;0,-(BL12-Uzman_D!$J$15),BL12-Uzman_D!$J$15)*0.1)+IF(ROUND((IF(BN12-Uzman_D!$L$15&lt;0,-(BN12-Uzman_D!$L$15),BN12-Uzman_D!$L$15)*2),0)/2=IF(BN12-Uzman_D!$L$15&lt;0,-(BN12-Uzman_D!$L$15),BN12-Uzman_D!$L$15),(ROUND((IF(BN12-Uzman_D!$L$15&lt;0,-(BN12-Uzman_D!$L$15),BN12-Uzman_D!$L$15)*2),0)/1*0.1),0)+IF(BO12-Uzman_D!$M$15&lt;0,-(BO12-Uzman_D!$M$15),BO12-Uzman_D!$M$15)*1)</f>
        <v>-0.50000000000000022</v>
      </c>
      <c r="BQ12" s="72">
        <f t="shared" si="0"/>
        <v>-0.54</v>
      </c>
    </row>
    <row r="13" spans="1:69" ht="15" customHeight="1" x14ac:dyDescent="0.45">
      <c r="A13" s="54">
        <v>10</v>
      </c>
      <c r="B13" s="148" t="str">
        <f>Hakemler!B13</f>
        <v>ÜÇTAŞ ŞANLI</v>
      </c>
      <c r="C13" s="148" t="str">
        <f>Hakemler!C13</f>
        <v>GÖKSU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70"/>
      <c r="O13" s="70"/>
      <c r="P13" s="71">
        <f>1-(SUM(IF(D13-Uzman_D!$B$11&lt;0,-(D13-Uzman_D!$B$11),D13-Uzman_D!$B$11)*0.1+IF(E13-Uzman_D!$C$11&lt;0,-(E13-Uzman_D!$C$11),E13-Uzman_D!$C$11)*0.1+IF(F13-Uzman_D!$D$11&lt;0,-(F13-Uzman_D!$D$11),F13-Uzman_D!$D$11)*0.1+IF(G13-Uzman_D!$E$11&lt;0,-(G13-Uzman_D!$E$11),G13-Uzman_D!$E$11)*0.1+IF(H13-Uzman_D!$F$11&lt;0,-(H13-Uzman_D!$F$11),H13-Uzman_D!$F$11)*0.1+IF(I13-Uzman_D!$G$11&lt;0,-(I13-Uzman_D!$G$11),I13-Uzman_D!$G$11)*0.1+IF(J13-Uzman_D!$H$11&lt;0,-(J13-Uzman_D!$H$11),J13-Uzman_D!$H$11)*0.1+IF(K13-Uzman_D!$I$11&lt;0,-(K13-Uzman_D!$I$11),K13-Uzman_D!$I$11)*0.1+IF(L13-Uzman_D!$J$11&lt;0,-(L13-Uzman_D!$J$11),L13-Uzman_D!$J$11)*0.1)+IF(ROUND((IF(N13-Uzman_D!$L$11&lt;0,-(N13-Uzman_D!$L$11),N13-Uzman_D!$L$11)*2),0)/2=IF(N13-Uzman_D!$L$11&lt;0,-(N13-Uzman_D!$L$11),N13-Uzman_D!$L$11),(ROUND((IF(N13-Uzman_D!$L$11&lt;0,-(N13-Uzman_D!$L$11),N13-Uzman_D!$L$11)*2),0)/1*0.1),0)+IF(O13-Uzman_D!$M$11&lt;0,-(O13-Uzman_D!$M$11),O13-Uzman_D!$M$11)*1)</f>
        <v>-0.90000000000000013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70"/>
      <c r="AB13" s="70"/>
      <c r="AC13" s="71">
        <f>1-(SUM(IF(Q13-Uzman_D!$B$12&lt;0,-(Q13-Uzman_D!$B$12),Q13-Uzman_D!$B$12)*0.1+IF(R13-Uzman_D!$C$12&lt;0,-(R13-Uzman_D!$C$12),R13-Uzman_D!$C$12)*0.1+IF(S13-Uzman_D!$D$12&lt;0,-(S13-Uzman_D!$D$12),S13-Uzman_D!$D$12)*0.1+IF(T13-Uzman_D!$E$12&lt;0,-(T13-Uzman_D!$E$12),T13-Uzman_D!$E$12)*0.1+IF(U13-Uzman_D!$F$12&lt;0,-(U13-Uzman_D!$F$12),U13-Uzman_D!$F$12)*0.1+IF(V13-Uzman_D!$G$12&lt;0,-(V13-Uzman_D!$G$12),V13-Uzman_D!$G$12)*0.1+IF(W13-Uzman_D!$H$12&lt;0,-(W13-Uzman_D!$H$12),W13-Uzman_D!$H$12)*0.1+IF(X13-Uzman_D!$I$12&lt;0,-(X13-Uzman_D!$I$12),X13-Uzman_D!$I$12)*0.1+IF(Y13-Uzman_D!$J$12&lt;0,-(Y13-Uzman_D!$J$12),Y13-Uzman_D!$J$12)*0.1)+IF(ROUND((IF(AA13-Uzman_D!$L$12&lt;0,-(AA13-Uzman_D!$L$12),AA13-Uzman_D!$L$12)*2),0)/2=IF(AA13-Uzman_D!$L$12&lt;0,-(AA13-Uzman_D!$L$12),AA13-Uzman_D!$L$12),(ROUND((IF(AA13-Uzman_D!$L$12&lt;0,-(AA13-Uzman_D!$L$12),AA13-Uzman_D!$L$12)*2),0)/1*0.1),0)+IF(AB13-Uzman_D!$M$12&lt;0,-(AB13-Uzman_D!$M$12),AB13-Uzman_D!$M$12)*1)</f>
        <v>-0.7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70"/>
      <c r="AO13" s="70"/>
      <c r="AP13" s="71">
        <f>1-(SUM(IF(AD13-Uzman_D!$B$13&lt;0,-(AD13-Uzman_D!$B$13),AD13-Uzman_D!$B$13)*0.1+IF(AE13-Uzman_D!$C$13&lt;0,-(AE13-Uzman_D!$C$13),AE13-Uzman_D!$C$13)*0.1+IF(AF13-Uzman_D!$D$13&lt;0,-(AF13-Uzman_D!$D$13),AF13-Uzman_D!$D$13)*0.1+IF(AG13-Uzman_D!$E$13&lt;0,-(AG13-Uzman_D!$E$13),AG13-Uzman_D!$E$13)*0.1+IF(AH13-Uzman_D!$F$13&lt;0,-(AH13-Uzman_D!$F$13),AH13-Uzman_D!$F$13)*0.1+IF(AI13-Uzman_D!$G$13&lt;0,-(AI13-Uzman_D!$G$13),AI13-Uzman_D!$G$13)*0.1+IF(AJ13-Uzman_D!$H$13&lt;0,-(AJ13-Uzman_D!$H$13),AJ13-Uzman_D!$H$13)*0.1+IF(AK13-Uzman_D!$I$13&lt;0,-(AK13-Uzman_D!$I$13),AK13-Uzman_D!$I$13)*0.1+IF(AL13-Uzman_D!$J$13&lt;0,-(AL13-Uzman_D!$J$13),AL13-Uzman_D!$J$13)*0.1)+IF(ROUND((IF(AN13-Uzman_D!$L$13&lt;0,-(AN13-Uzman_D!$L$13),AN13-Uzman_D!$L$13)*2),0)/2=IF(AN13-Uzman_D!$L$13&lt;0,-(AN13-Uzman_D!$L$13),AN13-Uzman_D!$L$13),(ROUND((IF(AN13-Uzman_D!$L$13&lt;0,-(AN13-Uzman_D!$L$13),AN13-Uzman_D!$L$13)*2),0)/1*0.1),0)+IF(AO13-Uzman_D!$M$13&lt;0,-(AO13-Uzman_D!$M$13),AO13-Uzman_D!$M$13)*1)</f>
        <v>-0.30000000000000004</v>
      </c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70"/>
      <c r="BB13" s="70"/>
      <c r="BC13" s="71">
        <f>1-(SUM(IF(AQ13-Uzman_D!$B$14&lt;0,-(AQ13-Uzman_D!$B$14),AQ13-Uzman_D!$B$14)*0.1+IF(AR13-Uzman_D!$C$14&lt;0,-(AR13-Uzman_D!$C$14),AR13-Uzman_D!$C$14)*0.1+IF(AS13-Uzman_D!$D$14&lt;0,-(AS13-Uzman_D!$D$14),AS13-Uzman_D!$D$14)*0.1+IF(AT13-Uzman_D!$E$14&lt;0,-(AT13-Uzman_D!$E$14),AT13-Uzman_D!$E$14)*0.1+IF(AU13-Uzman_D!$F$14&lt;0,-(AU13-Uzman_D!$F$14),AU13-Uzman_D!$F$14)*0.1+IF(AV13-Uzman_D!$G$14&lt;0,-(AV13-Uzman_D!$G$14),AV13-Uzman_D!$G$14)*0.1+IF(AW13-Uzman_D!$H$14&lt;0,-(AW13-Uzman_D!$H$14),AW13-Uzman_D!$H$14)*0.1+IF(AX13-Uzman_D!$I$14&lt;0,-(AX13-Uzman_D!$I$14),AX13-Uzman_D!$I$14)*0.1+IF(AY13-Uzman_D!$J$14&lt;0,-(AY13-Uzman_D!$J$14),AY13-Uzman_D!$J$14)*0.1)+IF(ROUND((IF(BA13-Uzman_D!$L$14&lt;0,-(BA13-Uzman_D!$L$14),BA13-Uzman_D!$L$14)*2),0)/2=IF(BA13-Uzman_D!$L$14&lt;0,-(BA13-Uzman_D!$L$14),BA13-Uzman_D!$L$14),(ROUND((IF(BA13-Uzman_D!$L$14&lt;0,-(BA13-Uzman_D!$L$14),BA13-Uzman_D!$L$14)*2),0)/1*0.1),0)+IF(BB13-Uzman_D!$M$14&lt;0,-(BB13-Uzman_D!$M$14),BB13-Uzman_D!$M$14)*1)</f>
        <v>-0.30000000000000027</v>
      </c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70"/>
      <c r="BO13" s="70"/>
      <c r="BP13" s="71">
        <f>1-(SUM(IF(BD13-Uzman_D!$B$15&lt;0,-(BD13-Uzman_D!$B$15),BD13-Uzman_D!$B$15)*0.1+IF(BE13-Uzman_D!$C$15&lt;0,-(BE13-Uzman_D!$C$15),BE13-Uzman_D!$C$15)*0.1+IF(BF13-Uzman_D!$D$15&lt;0,-(BF13-Uzman_D!$D$15),BF13-Uzman_D!$D$15)*0.1+IF(BG13-Uzman_D!$E$15&lt;0,-(BG13-Uzman_D!$E$15),BG13-Uzman_D!$E$15)*0.1+IF(BH13-Uzman_D!$F$15&lt;0,-(BH13-Uzman_D!$F$15),BH13-Uzman_D!$F$15)*0.1+IF(BI13-Uzman_D!$G$15&lt;0,-(BI13-Uzman_D!$G$15),BI13-Uzman_D!$G$15)*0.1+IF(BJ13-Uzman_D!$H$15&lt;0,-(BJ13-Uzman_D!$H$15),BJ13-Uzman_D!$H$15)*0.1+IF(BK13-Uzman_D!$I$15&lt;0,-(BK13-Uzman_D!$I$15),BK13-Uzman_D!$I$15)*0.1+IF(BL13-Uzman_D!$J$15&lt;0,-(BL13-Uzman_D!$J$15),BL13-Uzman_D!$J$15)*0.1)+IF(ROUND((IF(BN13-Uzman_D!$L$15&lt;0,-(BN13-Uzman_D!$L$15),BN13-Uzman_D!$L$15)*2),0)/2=IF(BN13-Uzman_D!$L$15&lt;0,-(BN13-Uzman_D!$L$15),BN13-Uzman_D!$L$15),(ROUND((IF(BN13-Uzman_D!$L$15&lt;0,-(BN13-Uzman_D!$L$15),BN13-Uzman_D!$L$15)*2),0)/1*0.1),0)+IF(BO13-Uzman_D!$M$15&lt;0,-(BO13-Uzman_D!$M$15),BO13-Uzman_D!$M$15)*1)</f>
        <v>-0.50000000000000022</v>
      </c>
      <c r="BQ13" s="72">
        <f t="shared" si="0"/>
        <v>-0.54</v>
      </c>
    </row>
    <row r="14" spans="1:69" ht="15" customHeight="1" x14ac:dyDescent="0.45">
      <c r="A14" s="54">
        <v>11</v>
      </c>
      <c r="B14" s="148" t="str">
        <f>Hakemler!B14</f>
        <v>YÜCEL</v>
      </c>
      <c r="C14" s="148" t="str">
        <f>Hakemler!C14</f>
        <v>SİBEL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70"/>
      <c r="O14" s="70"/>
      <c r="P14" s="71">
        <f>1-(SUM(IF(D14-Uzman_D!$B$11&lt;0,-(D14-Uzman_D!$B$11),D14-Uzman_D!$B$11)*0.1+IF(E14-Uzman_D!$C$11&lt;0,-(E14-Uzman_D!$C$11),E14-Uzman_D!$C$11)*0.1+IF(F14-Uzman_D!$D$11&lt;0,-(F14-Uzman_D!$D$11),F14-Uzman_D!$D$11)*0.1+IF(G14-Uzman_D!$E$11&lt;0,-(G14-Uzman_D!$E$11),G14-Uzman_D!$E$11)*0.1+IF(H14-Uzman_D!$F$11&lt;0,-(H14-Uzman_D!$F$11),H14-Uzman_D!$F$11)*0.1+IF(I14-Uzman_D!$G$11&lt;0,-(I14-Uzman_D!$G$11),I14-Uzman_D!$G$11)*0.1+IF(J14-Uzman_D!$H$11&lt;0,-(J14-Uzman_D!$H$11),J14-Uzman_D!$H$11)*0.1+IF(K14-Uzman_D!$I$11&lt;0,-(K14-Uzman_D!$I$11),K14-Uzman_D!$I$11)*0.1+IF(L14-Uzman_D!$J$11&lt;0,-(L14-Uzman_D!$J$11),L14-Uzman_D!$J$11)*0.1)+IF(ROUND((IF(N14-Uzman_D!$L$11&lt;0,-(N14-Uzman_D!$L$11),N14-Uzman_D!$L$11)*2),0)/2=IF(N14-Uzman_D!$L$11&lt;0,-(N14-Uzman_D!$L$11),N14-Uzman_D!$L$11),(ROUND((IF(N14-Uzman_D!$L$11&lt;0,-(N14-Uzman_D!$L$11),N14-Uzman_D!$L$11)*2),0)/1*0.1),0)+IF(O14-Uzman_D!$M$11&lt;0,-(O14-Uzman_D!$M$11),O14-Uzman_D!$M$11)*1)</f>
        <v>-0.90000000000000013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70"/>
      <c r="AB14" s="70"/>
      <c r="AC14" s="71">
        <f>1-(SUM(IF(Q14-Uzman_D!$B$12&lt;0,-(Q14-Uzman_D!$B$12),Q14-Uzman_D!$B$12)*0.1+IF(R14-Uzman_D!$C$12&lt;0,-(R14-Uzman_D!$C$12),R14-Uzman_D!$C$12)*0.1+IF(S14-Uzman_D!$D$12&lt;0,-(S14-Uzman_D!$D$12),S14-Uzman_D!$D$12)*0.1+IF(T14-Uzman_D!$E$12&lt;0,-(T14-Uzman_D!$E$12),T14-Uzman_D!$E$12)*0.1+IF(U14-Uzman_D!$F$12&lt;0,-(U14-Uzman_D!$F$12),U14-Uzman_D!$F$12)*0.1+IF(V14-Uzman_D!$G$12&lt;0,-(V14-Uzman_D!$G$12),V14-Uzman_D!$G$12)*0.1+IF(W14-Uzman_D!$H$12&lt;0,-(W14-Uzman_D!$H$12),W14-Uzman_D!$H$12)*0.1+IF(X14-Uzman_D!$I$12&lt;0,-(X14-Uzman_D!$I$12),X14-Uzman_D!$I$12)*0.1+IF(Y14-Uzman_D!$J$12&lt;0,-(Y14-Uzman_D!$J$12),Y14-Uzman_D!$J$12)*0.1)+IF(ROUND((IF(AA14-Uzman_D!$L$12&lt;0,-(AA14-Uzman_D!$L$12),AA14-Uzman_D!$L$12)*2),0)/2=IF(AA14-Uzman_D!$L$12&lt;0,-(AA14-Uzman_D!$L$12),AA14-Uzman_D!$L$12),(ROUND((IF(AA14-Uzman_D!$L$12&lt;0,-(AA14-Uzman_D!$L$12),AA14-Uzman_D!$L$12)*2),0)/1*0.1),0)+IF(AB14-Uzman_D!$M$12&lt;0,-(AB14-Uzman_D!$M$12),AB14-Uzman_D!$M$12)*1)</f>
        <v>-0.7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70"/>
      <c r="AO14" s="70"/>
      <c r="AP14" s="71">
        <f>1-(SUM(IF(AD14-Uzman_D!$B$13&lt;0,-(AD14-Uzman_D!$B$13),AD14-Uzman_D!$B$13)*0.1+IF(AE14-Uzman_D!$C$13&lt;0,-(AE14-Uzman_D!$C$13),AE14-Uzman_D!$C$13)*0.1+IF(AF14-Uzman_D!$D$13&lt;0,-(AF14-Uzman_D!$D$13),AF14-Uzman_D!$D$13)*0.1+IF(AG14-Uzman_D!$E$13&lt;0,-(AG14-Uzman_D!$E$13),AG14-Uzman_D!$E$13)*0.1+IF(AH14-Uzman_D!$F$13&lt;0,-(AH14-Uzman_D!$F$13),AH14-Uzman_D!$F$13)*0.1+IF(AI14-Uzman_D!$G$13&lt;0,-(AI14-Uzman_D!$G$13),AI14-Uzman_D!$G$13)*0.1+IF(AJ14-Uzman_D!$H$13&lt;0,-(AJ14-Uzman_D!$H$13),AJ14-Uzman_D!$H$13)*0.1+IF(AK14-Uzman_D!$I$13&lt;0,-(AK14-Uzman_D!$I$13),AK14-Uzman_D!$I$13)*0.1+IF(AL14-Uzman_D!$J$13&lt;0,-(AL14-Uzman_D!$J$13),AL14-Uzman_D!$J$13)*0.1)+IF(ROUND((IF(AN14-Uzman_D!$L$13&lt;0,-(AN14-Uzman_D!$L$13),AN14-Uzman_D!$L$13)*2),0)/2=IF(AN14-Uzman_D!$L$13&lt;0,-(AN14-Uzman_D!$L$13),AN14-Uzman_D!$L$13),(ROUND((IF(AN14-Uzman_D!$L$13&lt;0,-(AN14-Uzman_D!$L$13),AN14-Uzman_D!$L$13)*2),0)/1*0.1),0)+IF(AO14-Uzman_D!$M$13&lt;0,-(AO14-Uzman_D!$M$13),AO14-Uzman_D!$M$13)*1)</f>
        <v>-0.30000000000000004</v>
      </c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70"/>
      <c r="BB14" s="70"/>
      <c r="BC14" s="71">
        <f>1-(SUM(IF(AQ14-Uzman_D!$B$14&lt;0,-(AQ14-Uzman_D!$B$14),AQ14-Uzman_D!$B$14)*0.1+IF(AR14-Uzman_D!$C$14&lt;0,-(AR14-Uzman_D!$C$14),AR14-Uzman_D!$C$14)*0.1+IF(AS14-Uzman_D!$D$14&lt;0,-(AS14-Uzman_D!$D$14),AS14-Uzman_D!$D$14)*0.1+IF(AT14-Uzman_D!$E$14&lt;0,-(AT14-Uzman_D!$E$14),AT14-Uzman_D!$E$14)*0.1+IF(AU14-Uzman_D!$F$14&lt;0,-(AU14-Uzman_D!$F$14),AU14-Uzman_D!$F$14)*0.1+IF(AV14-Uzman_D!$G$14&lt;0,-(AV14-Uzman_D!$G$14),AV14-Uzman_D!$G$14)*0.1+IF(AW14-Uzman_D!$H$14&lt;0,-(AW14-Uzman_D!$H$14),AW14-Uzman_D!$H$14)*0.1+IF(AX14-Uzman_D!$I$14&lt;0,-(AX14-Uzman_D!$I$14),AX14-Uzman_D!$I$14)*0.1+IF(AY14-Uzman_D!$J$14&lt;0,-(AY14-Uzman_D!$J$14),AY14-Uzman_D!$J$14)*0.1)+IF(ROUND((IF(BA14-Uzman_D!$L$14&lt;0,-(BA14-Uzman_D!$L$14),BA14-Uzman_D!$L$14)*2),0)/2=IF(BA14-Uzman_D!$L$14&lt;0,-(BA14-Uzman_D!$L$14),BA14-Uzman_D!$L$14),(ROUND((IF(BA14-Uzman_D!$L$14&lt;0,-(BA14-Uzman_D!$L$14),BA14-Uzman_D!$L$14)*2),0)/1*0.1),0)+IF(BB14-Uzman_D!$M$14&lt;0,-(BB14-Uzman_D!$M$14),BB14-Uzman_D!$M$14)*1)</f>
        <v>-0.30000000000000027</v>
      </c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70"/>
      <c r="BO14" s="70"/>
      <c r="BP14" s="71">
        <f>1-(SUM(IF(BD14-Uzman_D!$B$15&lt;0,-(BD14-Uzman_D!$B$15),BD14-Uzman_D!$B$15)*0.1+IF(BE14-Uzman_D!$C$15&lt;0,-(BE14-Uzman_D!$C$15),BE14-Uzman_D!$C$15)*0.1+IF(BF14-Uzman_D!$D$15&lt;0,-(BF14-Uzman_D!$D$15),BF14-Uzman_D!$D$15)*0.1+IF(BG14-Uzman_D!$E$15&lt;0,-(BG14-Uzman_D!$E$15),BG14-Uzman_D!$E$15)*0.1+IF(BH14-Uzman_D!$F$15&lt;0,-(BH14-Uzman_D!$F$15),BH14-Uzman_D!$F$15)*0.1+IF(BI14-Uzman_D!$G$15&lt;0,-(BI14-Uzman_D!$G$15),BI14-Uzman_D!$G$15)*0.1+IF(BJ14-Uzman_D!$H$15&lt;0,-(BJ14-Uzman_D!$H$15),BJ14-Uzman_D!$H$15)*0.1+IF(BK14-Uzman_D!$I$15&lt;0,-(BK14-Uzman_D!$I$15),BK14-Uzman_D!$I$15)*0.1+IF(BL14-Uzman_D!$J$15&lt;0,-(BL14-Uzman_D!$J$15),BL14-Uzman_D!$J$15)*0.1)+IF(ROUND((IF(BN14-Uzman_D!$L$15&lt;0,-(BN14-Uzman_D!$L$15),BN14-Uzman_D!$L$15)*2),0)/2=IF(BN14-Uzman_D!$L$15&lt;0,-(BN14-Uzman_D!$L$15),BN14-Uzman_D!$L$15),(ROUND((IF(BN14-Uzman_D!$L$15&lt;0,-(BN14-Uzman_D!$L$15),BN14-Uzman_D!$L$15)*2),0)/1*0.1),0)+IF(BO14-Uzman_D!$M$15&lt;0,-(BO14-Uzman_D!$M$15),BO14-Uzman_D!$M$15)*1)</f>
        <v>-0.50000000000000022</v>
      </c>
      <c r="BQ14" s="72">
        <f t="shared" si="0"/>
        <v>-0.54</v>
      </c>
    </row>
    <row r="15" spans="1:69" ht="15" customHeight="1" x14ac:dyDescent="0.45">
      <c r="A15" s="54">
        <v>12</v>
      </c>
      <c r="B15" s="148" t="str">
        <f>Hakemler!B15</f>
        <v>YILMAZER</v>
      </c>
      <c r="C15" s="148" t="str">
        <f>Hakemler!C15</f>
        <v>ZEHRA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70"/>
      <c r="O15" s="70"/>
      <c r="P15" s="71">
        <f>1-(SUM(IF(D15-Uzman_D!$B$11&lt;0,-(D15-Uzman_D!$B$11),D15-Uzman_D!$B$11)*0.1+IF(E15-Uzman_D!$C$11&lt;0,-(E15-Uzman_D!$C$11),E15-Uzman_D!$C$11)*0.1+IF(F15-Uzman_D!$D$11&lt;0,-(F15-Uzman_D!$D$11),F15-Uzman_D!$D$11)*0.1+IF(G15-Uzman_D!$E$11&lt;0,-(G15-Uzman_D!$E$11),G15-Uzman_D!$E$11)*0.1+IF(H15-Uzman_D!$F$11&lt;0,-(H15-Uzman_D!$F$11),H15-Uzman_D!$F$11)*0.1+IF(I15-Uzman_D!$G$11&lt;0,-(I15-Uzman_D!$G$11),I15-Uzman_D!$G$11)*0.1+IF(J15-Uzman_D!$H$11&lt;0,-(J15-Uzman_D!$H$11),J15-Uzman_D!$H$11)*0.1+IF(K15-Uzman_D!$I$11&lt;0,-(K15-Uzman_D!$I$11),K15-Uzman_D!$I$11)*0.1+IF(L15-Uzman_D!$J$11&lt;0,-(L15-Uzman_D!$J$11),L15-Uzman_D!$J$11)*0.1)+IF(ROUND((IF(N15-Uzman_D!$L$11&lt;0,-(N15-Uzman_D!$L$11),N15-Uzman_D!$L$11)*2),0)/2=IF(N15-Uzman_D!$L$11&lt;0,-(N15-Uzman_D!$L$11),N15-Uzman_D!$L$11),(ROUND((IF(N15-Uzman_D!$L$11&lt;0,-(N15-Uzman_D!$L$11),N15-Uzman_D!$L$11)*2),0)/1*0.1),0)+IF(O15-Uzman_D!$M$11&lt;0,-(O15-Uzman_D!$M$11),O15-Uzman_D!$M$11)*1)</f>
        <v>-0.90000000000000013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70"/>
      <c r="AB15" s="70"/>
      <c r="AC15" s="71">
        <f>1-(SUM(IF(Q15-Uzman_D!$B$12&lt;0,-(Q15-Uzman_D!$B$12),Q15-Uzman_D!$B$12)*0.1+IF(R15-Uzman_D!$C$12&lt;0,-(R15-Uzman_D!$C$12),R15-Uzman_D!$C$12)*0.1+IF(S15-Uzman_D!$D$12&lt;0,-(S15-Uzman_D!$D$12),S15-Uzman_D!$D$12)*0.1+IF(T15-Uzman_D!$E$12&lt;0,-(T15-Uzman_D!$E$12),T15-Uzman_D!$E$12)*0.1+IF(U15-Uzman_D!$F$12&lt;0,-(U15-Uzman_D!$F$12),U15-Uzman_D!$F$12)*0.1+IF(V15-Uzman_D!$G$12&lt;0,-(V15-Uzman_D!$G$12),V15-Uzman_D!$G$12)*0.1+IF(W15-Uzman_D!$H$12&lt;0,-(W15-Uzman_D!$H$12),W15-Uzman_D!$H$12)*0.1+IF(X15-Uzman_D!$I$12&lt;0,-(X15-Uzman_D!$I$12),X15-Uzman_D!$I$12)*0.1+IF(Y15-Uzman_D!$J$12&lt;0,-(Y15-Uzman_D!$J$12),Y15-Uzman_D!$J$12)*0.1)+IF(ROUND((IF(AA15-Uzman_D!$L$12&lt;0,-(AA15-Uzman_D!$L$12),AA15-Uzman_D!$L$12)*2),0)/2=IF(AA15-Uzman_D!$L$12&lt;0,-(AA15-Uzman_D!$L$12),AA15-Uzman_D!$L$12),(ROUND((IF(AA15-Uzman_D!$L$12&lt;0,-(AA15-Uzman_D!$L$12),AA15-Uzman_D!$L$12)*2),0)/1*0.1),0)+IF(AB15-Uzman_D!$M$12&lt;0,-(AB15-Uzman_D!$M$12),AB15-Uzman_D!$M$12)*1)</f>
        <v>-0.7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70"/>
      <c r="AO15" s="70"/>
      <c r="AP15" s="71">
        <f>1-(SUM(IF(AD15-Uzman_D!$B$13&lt;0,-(AD15-Uzman_D!$B$13),AD15-Uzman_D!$B$13)*0.1+IF(AE15-Uzman_D!$C$13&lt;0,-(AE15-Uzman_D!$C$13),AE15-Uzman_D!$C$13)*0.1+IF(AF15-Uzman_D!$D$13&lt;0,-(AF15-Uzman_D!$D$13),AF15-Uzman_D!$D$13)*0.1+IF(AG15-Uzman_D!$E$13&lt;0,-(AG15-Uzman_D!$E$13),AG15-Uzman_D!$E$13)*0.1+IF(AH15-Uzman_D!$F$13&lt;0,-(AH15-Uzman_D!$F$13),AH15-Uzman_D!$F$13)*0.1+IF(AI15-Uzman_D!$G$13&lt;0,-(AI15-Uzman_D!$G$13),AI15-Uzman_D!$G$13)*0.1+IF(AJ15-Uzman_D!$H$13&lt;0,-(AJ15-Uzman_D!$H$13),AJ15-Uzman_D!$H$13)*0.1+IF(AK15-Uzman_D!$I$13&lt;0,-(AK15-Uzman_D!$I$13),AK15-Uzman_D!$I$13)*0.1+IF(AL15-Uzman_D!$J$13&lt;0,-(AL15-Uzman_D!$J$13),AL15-Uzman_D!$J$13)*0.1)+IF(ROUND((IF(AN15-Uzman_D!$L$13&lt;0,-(AN15-Uzman_D!$L$13),AN15-Uzman_D!$L$13)*2),0)/2=IF(AN15-Uzman_D!$L$13&lt;0,-(AN15-Uzman_D!$L$13),AN15-Uzman_D!$L$13),(ROUND((IF(AN15-Uzman_D!$L$13&lt;0,-(AN15-Uzman_D!$L$13),AN15-Uzman_D!$L$13)*2),0)/1*0.1),0)+IF(AO15-Uzman_D!$M$13&lt;0,-(AO15-Uzman_D!$M$13),AO15-Uzman_D!$M$13)*1)</f>
        <v>-0.30000000000000004</v>
      </c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70"/>
      <c r="BB15" s="70"/>
      <c r="BC15" s="71">
        <f>1-(SUM(IF(AQ15-Uzman_D!$B$14&lt;0,-(AQ15-Uzman_D!$B$14),AQ15-Uzman_D!$B$14)*0.1+IF(AR15-Uzman_D!$C$14&lt;0,-(AR15-Uzman_D!$C$14),AR15-Uzman_D!$C$14)*0.1+IF(AS15-Uzman_D!$D$14&lt;0,-(AS15-Uzman_D!$D$14),AS15-Uzman_D!$D$14)*0.1+IF(AT15-Uzman_D!$E$14&lt;0,-(AT15-Uzman_D!$E$14),AT15-Uzman_D!$E$14)*0.1+IF(AU15-Uzman_D!$F$14&lt;0,-(AU15-Uzman_D!$F$14),AU15-Uzman_D!$F$14)*0.1+IF(AV15-Uzman_D!$G$14&lt;0,-(AV15-Uzman_D!$G$14),AV15-Uzman_D!$G$14)*0.1+IF(AW15-Uzman_D!$H$14&lt;0,-(AW15-Uzman_D!$H$14),AW15-Uzman_D!$H$14)*0.1+IF(AX15-Uzman_D!$I$14&lt;0,-(AX15-Uzman_D!$I$14),AX15-Uzman_D!$I$14)*0.1+IF(AY15-Uzman_D!$J$14&lt;0,-(AY15-Uzman_D!$J$14),AY15-Uzman_D!$J$14)*0.1)+IF(ROUND((IF(BA15-Uzman_D!$L$14&lt;0,-(BA15-Uzman_D!$L$14),BA15-Uzman_D!$L$14)*2),0)/2=IF(BA15-Uzman_D!$L$14&lt;0,-(BA15-Uzman_D!$L$14),BA15-Uzman_D!$L$14),(ROUND((IF(BA15-Uzman_D!$L$14&lt;0,-(BA15-Uzman_D!$L$14),BA15-Uzman_D!$L$14)*2),0)/1*0.1),0)+IF(BB15-Uzman_D!$M$14&lt;0,-(BB15-Uzman_D!$M$14),BB15-Uzman_D!$M$14)*1)</f>
        <v>-0.30000000000000027</v>
      </c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70"/>
      <c r="BO15" s="70"/>
      <c r="BP15" s="71">
        <f>1-(SUM(IF(BD15-Uzman_D!$B$15&lt;0,-(BD15-Uzman_D!$B$15),BD15-Uzman_D!$B$15)*0.1+IF(BE15-Uzman_D!$C$15&lt;0,-(BE15-Uzman_D!$C$15),BE15-Uzman_D!$C$15)*0.1+IF(BF15-Uzman_D!$D$15&lt;0,-(BF15-Uzman_D!$D$15),BF15-Uzman_D!$D$15)*0.1+IF(BG15-Uzman_D!$E$15&lt;0,-(BG15-Uzman_D!$E$15),BG15-Uzman_D!$E$15)*0.1+IF(BH15-Uzman_D!$F$15&lt;0,-(BH15-Uzman_D!$F$15),BH15-Uzman_D!$F$15)*0.1+IF(BI15-Uzman_D!$G$15&lt;0,-(BI15-Uzman_D!$G$15),BI15-Uzman_D!$G$15)*0.1+IF(BJ15-Uzman_D!$H$15&lt;0,-(BJ15-Uzman_D!$H$15),BJ15-Uzman_D!$H$15)*0.1+IF(BK15-Uzman_D!$I$15&lt;0,-(BK15-Uzman_D!$I$15),BK15-Uzman_D!$I$15)*0.1+IF(BL15-Uzman_D!$J$15&lt;0,-(BL15-Uzman_D!$J$15),BL15-Uzman_D!$J$15)*0.1)+IF(ROUND((IF(BN15-Uzman_D!$L$15&lt;0,-(BN15-Uzman_D!$L$15),BN15-Uzman_D!$L$15)*2),0)/2=IF(BN15-Uzman_D!$L$15&lt;0,-(BN15-Uzman_D!$L$15),BN15-Uzman_D!$L$15),(ROUND((IF(BN15-Uzman_D!$L$15&lt;0,-(BN15-Uzman_D!$L$15),BN15-Uzman_D!$L$15)*2),0)/1*0.1),0)+IF(BO15-Uzman_D!$M$15&lt;0,-(BO15-Uzman_D!$M$15),BO15-Uzman_D!$M$15)*1)</f>
        <v>-0.50000000000000022</v>
      </c>
      <c r="BQ15" s="72">
        <f t="shared" si="0"/>
        <v>-0.54</v>
      </c>
    </row>
    <row r="16" spans="1:69" ht="15" customHeight="1" x14ac:dyDescent="0.45">
      <c r="A16" s="54">
        <v>13</v>
      </c>
      <c r="B16" s="148" t="str">
        <f>Hakemler!B16</f>
        <v>ŞAHİNTEKİN</v>
      </c>
      <c r="C16" s="148" t="str">
        <f>Hakemler!C16</f>
        <v>MUHAMMED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70"/>
      <c r="O16" s="70"/>
      <c r="P16" s="71">
        <f>1-(SUM(IF(D16-Uzman_D!$B$11&lt;0,-(D16-Uzman_D!$B$11),D16-Uzman_D!$B$11)*0.1+IF(E16-Uzman_D!$C$11&lt;0,-(E16-Uzman_D!$C$11),E16-Uzman_D!$C$11)*0.1+IF(F16-Uzman_D!$D$11&lt;0,-(F16-Uzman_D!$D$11),F16-Uzman_D!$D$11)*0.1+IF(G16-Uzman_D!$E$11&lt;0,-(G16-Uzman_D!$E$11),G16-Uzman_D!$E$11)*0.1+IF(H16-Uzman_D!$F$11&lt;0,-(H16-Uzman_D!$F$11),H16-Uzman_D!$F$11)*0.1+IF(I16-Uzman_D!$G$11&lt;0,-(I16-Uzman_D!$G$11),I16-Uzman_D!$G$11)*0.1+IF(J16-Uzman_D!$H$11&lt;0,-(J16-Uzman_D!$H$11),J16-Uzman_D!$H$11)*0.1+IF(K16-Uzman_D!$I$11&lt;0,-(K16-Uzman_D!$I$11),K16-Uzman_D!$I$11)*0.1+IF(L16-Uzman_D!$J$11&lt;0,-(L16-Uzman_D!$J$11),L16-Uzman_D!$J$11)*0.1)+IF(ROUND((IF(N16-Uzman_D!$L$11&lt;0,-(N16-Uzman_D!$L$11),N16-Uzman_D!$L$11)*2),0)/2=IF(N16-Uzman_D!$L$11&lt;0,-(N16-Uzman_D!$L$11),N16-Uzman_D!$L$11),(ROUND((IF(N16-Uzman_D!$L$11&lt;0,-(N16-Uzman_D!$L$11),N16-Uzman_D!$L$11)*2),0)/1*0.1),0)+IF(O16-Uzman_D!$M$11&lt;0,-(O16-Uzman_D!$M$11),O16-Uzman_D!$M$11)*1)</f>
        <v>-0.90000000000000013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70"/>
      <c r="AB16" s="70"/>
      <c r="AC16" s="71">
        <f>1-(SUM(IF(Q16-Uzman_D!$B$12&lt;0,-(Q16-Uzman_D!$B$12),Q16-Uzman_D!$B$12)*0.1+IF(R16-Uzman_D!$C$12&lt;0,-(R16-Uzman_D!$C$12),R16-Uzman_D!$C$12)*0.1+IF(S16-Uzman_D!$D$12&lt;0,-(S16-Uzman_D!$D$12),S16-Uzman_D!$D$12)*0.1+IF(T16-Uzman_D!$E$12&lt;0,-(T16-Uzman_D!$E$12),T16-Uzman_D!$E$12)*0.1+IF(U16-Uzman_D!$F$12&lt;0,-(U16-Uzman_D!$F$12),U16-Uzman_D!$F$12)*0.1+IF(V16-Uzman_D!$G$12&lt;0,-(V16-Uzman_D!$G$12),V16-Uzman_D!$G$12)*0.1+IF(W16-Uzman_D!$H$12&lt;0,-(W16-Uzman_D!$H$12),W16-Uzman_D!$H$12)*0.1+IF(X16-Uzman_D!$I$12&lt;0,-(X16-Uzman_D!$I$12),X16-Uzman_D!$I$12)*0.1+IF(Y16-Uzman_D!$J$12&lt;0,-(Y16-Uzman_D!$J$12),Y16-Uzman_D!$J$12)*0.1)+IF(ROUND((IF(AA16-Uzman_D!$L$12&lt;0,-(AA16-Uzman_D!$L$12),AA16-Uzman_D!$L$12)*2),0)/2=IF(AA16-Uzman_D!$L$12&lt;0,-(AA16-Uzman_D!$L$12),AA16-Uzman_D!$L$12),(ROUND((IF(AA16-Uzman_D!$L$12&lt;0,-(AA16-Uzman_D!$L$12),AA16-Uzman_D!$L$12)*2),0)/1*0.1),0)+IF(AB16-Uzman_D!$M$12&lt;0,-(AB16-Uzman_D!$M$12),AB16-Uzman_D!$M$12)*1)</f>
        <v>-0.7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70"/>
      <c r="AO16" s="70"/>
      <c r="AP16" s="71">
        <f>1-(SUM(IF(AD16-Uzman_D!$B$13&lt;0,-(AD16-Uzman_D!$B$13),AD16-Uzman_D!$B$13)*0.1+IF(AE16-Uzman_D!$C$13&lt;0,-(AE16-Uzman_D!$C$13),AE16-Uzman_D!$C$13)*0.1+IF(AF16-Uzman_D!$D$13&lt;0,-(AF16-Uzman_D!$D$13),AF16-Uzman_D!$D$13)*0.1+IF(AG16-Uzman_D!$E$13&lt;0,-(AG16-Uzman_D!$E$13),AG16-Uzman_D!$E$13)*0.1+IF(AH16-Uzman_D!$F$13&lt;0,-(AH16-Uzman_D!$F$13),AH16-Uzman_D!$F$13)*0.1+IF(AI16-Uzman_D!$G$13&lt;0,-(AI16-Uzman_D!$G$13),AI16-Uzman_D!$G$13)*0.1+IF(AJ16-Uzman_D!$H$13&lt;0,-(AJ16-Uzman_D!$H$13),AJ16-Uzman_D!$H$13)*0.1+IF(AK16-Uzman_D!$I$13&lt;0,-(AK16-Uzman_D!$I$13),AK16-Uzman_D!$I$13)*0.1+IF(AL16-Uzman_D!$J$13&lt;0,-(AL16-Uzman_D!$J$13),AL16-Uzman_D!$J$13)*0.1)+IF(ROUND((IF(AN16-Uzman_D!$L$13&lt;0,-(AN16-Uzman_D!$L$13),AN16-Uzman_D!$L$13)*2),0)/2=IF(AN16-Uzman_D!$L$13&lt;0,-(AN16-Uzman_D!$L$13),AN16-Uzman_D!$L$13),(ROUND((IF(AN16-Uzman_D!$L$13&lt;0,-(AN16-Uzman_D!$L$13),AN16-Uzman_D!$L$13)*2),0)/1*0.1),0)+IF(AO16-Uzman_D!$M$13&lt;0,-(AO16-Uzman_D!$M$13),AO16-Uzman_D!$M$13)*1)</f>
        <v>-0.30000000000000004</v>
      </c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70"/>
      <c r="BB16" s="70"/>
      <c r="BC16" s="71">
        <f>1-(SUM(IF(AQ16-Uzman_D!$B$14&lt;0,-(AQ16-Uzman_D!$B$14),AQ16-Uzman_D!$B$14)*0.1+IF(AR16-Uzman_D!$C$14&lt;0,-(AR16-Uzman_D!$C$14),AR16-Uzman_D!$C$14)*0.1+IF(AS16-Uzman_D!$D$14&lt;0,-(AS16-Uzman_D!$D$14),AS16-Uzman_D!$D$14)*0.1+IF(AT16-Uzman_D!$E$14&lt;0,-(AT16-Uzman_D!$E$14),AT16-Uzman_D!$E$14)*0.1+IF(AU16-Uzman_D!$F$14&lt;0,-(AU16-Uzman_D!$F$14),AU16-Uzman_D!$F$14)*0.1+IF(AV16-Uzman_D!$G$14&lt;0,-(AV16-Uzman_D!$G$14),AV16-Uzman_D!$G$14)*0.1+IF(AW16-Uzman_D!$H$14&lt;0,-(AW16-Uzman_D!$H$14),AW16-Uzman_D!$H$14)*0.1+IF(AX16-Uzman_D!$I$14&lt;0,-(AX16-Uzman_D!$I$14),AX16-Uzman_D!$I$14)*0.1+IF(AY16-Uzman_D!$J$14&lt;0,-(AY16-Uzman_D!$J$14),AY16-Uzman_D!$J$14)*0.1)+IF(ROUND((IF(BA16-Uzman_D!$L$14&lt;0,-(BA16-Uzman_D!$L$14),BA16-Uzman_D!$L$14)*2),0)/2=IF(BA16-Uzman_D!$L$14&lt;0,-(BA16-Uzman_D!$L$14),BA16-Uzman_D!$L$14),(ROUND((IF(BA16-Uzman_D!$L$14&lt;0,-(BA16-Uzman_D!$L$14),BA16-Uzman_D!$L$14)*2),0)/1*0.1),0)+IF(BB16-Uzman_D!$M$14&lt;0,-(BB16-Uzman_D!$M$14),BB16-Uzman_D!$M$14)*1)</f>
        <v>-0.30000000000000027</v>
      </c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70"/>
      <c r="BO16" s="70"/>
      <c r="BP16" s="71">
        <f>1-(SUM(IF(BD16-Uzman_D!$B$15&lt;0,-(BD16-Uzman_D!$B$15),BD16-Uzman_D!$B$15)*0.1+IF(BE16-Uzman_D!$C$15&lt;0,-(BE16-Uzman_D!$C$15),BE16-Uzman_D!$C$15)*0.1+IF(BF16-Uzman_D!$D$15&lt;0,-(BF16-Uzman_D!$D$15),BF16-Uzman_D!$D$15)*0.1+IF(BG16-Uzman_D!$E$15&lt;0,-(BG16-Uzman_D!$E$15),BG16-Uzman_D!$E$15)*0.1+IF(BH16-Uzman_D!$F$15&lt;0,-(BH16-Uzman_D!$F$15),BH16-Uzman_D!$F$15)*0.1+IF(BI16-Uzman_D!$G$15&lt;0,-(BI16-Uzman_D!$G$15),BI16-Uzman_D!$G$15)*0.1+IF(BJ16-Uzman_D!$H$15&lt;0,-(BJ16-Uzman_D!$H$15),BJ16-Uzman_D!$H$15)*0.1+IF(BK16-Uzman_D!$I$15&lt;0,-(BK16-Uzman_D!$I$15),BK16-Uzman_D!$I$15)*0.1+IF(BL16-Uzman_D!$J$15&lt;0,-(BL16-Uzman_D!$J$15),BL16-Uzman_D!$J$15)*0.1)+IF(ROUND((IF(BN16-Uzman_D!$L$15&lt;0,-(BN16-Uzman_D!$L$15),BN16-Uzman_D!$L$15)*2),0)/2=IF(BN16-Uzman_D!$L$15&lt;0,-(BN16-Uzman_D!$L$15),BN16-Uzman_D!$L$15),(ROUND((IF(BN16-Uzman_D!$L$15&lt;0,-(BN16-Uzman_D!$L$15),BN16-Uzman_D!$L$15)*2),0)/1*0.1),0)+IF(BO16-Uzman_D!$M$15&lt;0,-(BO16-Uzman_D!$M$15),BO16-Uzman_D!$M$15)*1)</f>
        <v>-0.50000000000000022</v>
      </c>
      <c r="BQ16" s="72">
        <f t="shared" si="0"/>
        <v>-0.54</v>
      </c>
    </row>
    <row r="17" spans="1:69" ht="15" customHeight="1" x14ac:dyDescent="0.45">
      <c r="A17" s="54">
        <v>14</v>
      </c>
      <c r="B17" s="148" t="str">
        <f>Hakemler!B17</f>
        <v>ERKUT</v>
      </c>
      <c r="C17" s="148" t="str">
        <f>Hakemler!C17</f>
        <v>OYA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70"/>
      <c r="O17" s="70"/>
      <c r="P17" s="71">
        <f>1-(SUM(IF(D17-Uzman_D!$B$11&lt;0,-(D17-Uzman_D!$B$11),D17-Uzman_D!$B$11)*0.1+IF(E17-Uzman_D!$C$11&lt;0,-(E17-Uzman_D!$C$11),E17-Uzman_D!$C$11)*0.1+IF(F17-Uzman_D!$D$11&lt;0,-(F17-Uzman_D!$D$11),F17-Uzman_D!$D$11)*0.1+IF(G17-Uzman_D!$E$11&lt;0,-(G17-Uzman_D!$E$11),G17-Uzman_D!$E$11)*0.1+IF(H17-Uzman_D!$F$11&lt;0,-(H17-Uzman_D!$F$11),H17-Uzman_D!$F$11)*0.1+IF(I17-Uzman_D!$G$11&lt;0,-(I17-Uzman_D!$G$11),I17-Uzman_D!$G$11)*0.1+IF(J17-Uzman_D!$H$11&lt;0,-(J17-Uzman_D!$H$11),J17-Uzman_D!$H$11)*0.1+IF(K17-Uzman_D!$I$11&lt;0,-(K17-Uzman_D!$I$11),K17-Uzman_D!$I$11)*0.1+IF(L17-Uzman_D!$J$11&lt;0,-(L17-Uzman_D!$J$11),L17-Uzman_D!$J$11)*0.1)+IF(ROUND((IF(N17-Uzman_D!$L$11&lt;0,-(N17-Uzman_D!$L$11),N17-Uzman_D!$L$11)*2),0)/2=IF(N17-Uzman_D!$L$11&lt;0,-(N17-Uzman_D!$L$11),N17-Uzman_D!$L$11),(ROUND((IF(N17-Uzman_D!$L$11&lt;0,-(N17-Uzman_D!$L$11),N17-Uzman_D!$L$11)*2),0)/1*0.1),0)+IF(O17-Uzman_D!$M$11&lt;0,-(O17-Uzman_D!$M$11),O17-Uzman_D!$M$11)*1)</f>
        <v>-0.90000000000000013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70"/>
      <c r="AB17" s="70"/>
      <c r="AC17" s="71">
        <f>1-(SUM(IF(Q17-Uzman_D!$B$12&lt;0,-(Q17-Uzman_D!$B$12),Q17-Uzman_D!$B$12)*0.1+IF(R17-Uzman_D!$C$12&lt;0,-(R17-Uzman_D!$C$12),R17-Uzman_D!$C$12)*0.1+IF(S17-Uzman_D!$D$12&lt;0,-(S17-Uzman_D!$D$12),S17-Uzman_D!$D$12)*0.1+IF(T17-Uzman_D!$E$12&lt;0,-(T17-Uzman_D!$E$12),T17-Uzman_D!$E$12)*0.1+IF(U17-Uzman_D!$F$12&lt;0,-(U17-Uzman_D!$F$12),U17-Uzman_D!$F$12)*0.1+IF(V17-Uzman_D!$G$12&lt;0,-(V17-Uzman_D!$G$12),V17-Uzman_D!$G$12)*0.1+IF(W17-Uzman_D!$H$12&lt;0,-(W17-Uzman_D!$H$12),W17-Uzman_D!$H$12)*0.1+IF(X17-Uzman_D!$I$12&lt;0,-(X17-Uzman_D!$I$12),X17-Uzman_D!$I$12)*0.1+IF(Y17-Uzman_D!$J$12&lt;0,-(Y17-Uzman_D!$J$12),Y17-Uzman_D!$J$12)*0.1)+IF(ROUND((IF(AA17-Uzman_D!$L$12&lt;0,-(AA17-Uzman_D!$L$12),AA17-Uzman_D!$L$12)*2),0)/2=IF(AA17-Uzman_D!$L$12&lt;0,-(AA17-Uzman_D!$L$12),AA17-Uzman_D!$L$12),(ROUND((IF(AA17-Uzman_D!$L$12&lt;0,-(AA17-Uzman_D!$L$12),AA17-Uzman_D!$L$12)*2),0)/1*0.1),0)+IF(AB17-Uzman_D!$M$12&lt;0,-(AB17-Uzman_D!$M$12),AB17-Uzman_D!$M$12)*1)</f>
        <v>-0.7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70"/>
      <c r="AO17" s="70"/>
      <c r="AP17" s="71">
        <f>1-(SUM(IF(AD17-Uzman_D!$B$13&lt;0,-(AD17-Uzman_D!$B$13),AD17-Uzman_D!$B$13)*0.1+IF(AE17-Uzman_D!$C$13&lt;0,-(AE17-Uzman_D!$C$13),AE17-Uzman_D!$C$13)*0.1+IF(AF17-Uzman_D!$D$13&lt;0,-(AF17-Uzman_D!$D$13),AF17-Uzman_D!$D$13)*0.1+IF(AG17-Uzman_D!$E$13&lt;0,-(AG17-Uzman_D!$E$13),AG17-Uzman_D!$E$13)*0.1+IF(AH17-Uzman_D!$F$13&lt;0,-(AH17-Uzman_D!$F$13),AH17-Uzman_D!$F$13)*0.1+IF(AI17-Uzman_D!$G$13&lt;0,-(AI17-Uzman_D!$G$13),AI17-Uzman_D!$G$13)*0.1+IF(AJ17-Uzman_D!$H$13&lt;0,-(AJ17-Uzman_D!$H$13),AJ17-Uzman_D!$H$13)*0.1+IF(AK17-Uzman_D!$I$13&lt;0,-(AK17-Uzman_D!$I$13),AK17-Uzman_D!$I$13)*0.1+IF(AL17-Uzman_D!$J$13&lt;0,-(AL17-Uzman_D!$J$13),AL17-Uzman_D!$J$13)*0.1)+IF(ROUND((IF(AN17-Uzman_D!$L$13&lt;0,-(AN17-Uzman_D!$L$13),AN17-Uzman_D!$L$13)*2),0)/2=IF(AN17-Uzman_D!$L$13&lt;0,-(AN17-Uzman_D!$L$13),AN17-Uzman_D!$L$13),(ROUND((IF(AN17-Uzman_D!$L$13&lt;0,-(AN17-Uzman_D!$L$13),AN17-Uzman_D!$L$13)*2),0)/1*0.1),0)+IF(AO17-Uzman_D!$M$13&lt;0,-(AO17-Uzman_D!$M$13),AO17-Uzman_D!$M$13)*1)</f>
        <v>-0.30000000000000004</v>
      </c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70"/>
      <c r="BB17" s="70"/>
      <c r="BC17" s="71">
        <f>1-(SUM(IF(AQ17-Uzman_D!$B$14&lt;0,-(AQ17-Uzman_D!$B$14),AQ17-Uzman_D!$B$14)*0.1+IF(AR17-Uzman_D!$C$14&lt;0,-(AR17-Uzman_D!$C$14),AR17-Uzman_D!$C$14)*0.1+IF(AS17-Uzman_D!$D$14&lt;0,-(AS17-Uzman_D!$D$14),AS17-Uzman_D!$D$14)*0.1+IF(AT17-Uzman_D!$E$14&lt;0,-(AT17-Uzman_D!$E$14),AT17-Uzman_D!$E$14)*0.1+IF(AU17-Uzman_D!$F$14&lt;0,-(AU17-Uzman_D!$F$14),AU17-Uzman_D!$F$14)*0.1+IF(AV17-Uzman_D!$G$14&lt;0,-(AV17-Uzman_D!$G$14),AV17-Uzman_D!$G$14)*0.1+IF(AW17-Uzman_D!$H$14&lt;0,-(AW17-Uzman_D!$H$14),AW17-Uzman_D!$H$14)*0.1+IF(AX17-Uzman_D!$I$14&lt;0,-(AX17-Uzman_D!$I$14),AX17-Uzman_D!$I$14)*0.1+IF(AY17-Uzman_D!$J$14&lt;0,-(AY17-Uzman_D!$J$14),AY17-Uzman_D!$J$14)*0.1)+IF(ROUND((IF(BA17-Uzman_D!$L$14&lt;0,-(BA17-Uzman_D!$L$14),BA17-Uzman_D!$L$14)*2),0)/2=IF(BA17-Uzman_D!$L$14&lt;0,-(BA17-Uzman_D!$L$14),BA17-Uzman_D!$L$14),(ROUND((IF(BA17-Uzman_D!$L$14&lt;0,-(BA17-Uzman_D!$L$14),BA17-Uzman_D!$L$14)*2),0)/1*0.1),0)+IF(BB17-Uzman_D!$M$14&lt;0,-(BB17-Uzman_D!$M$14),BB17-Uzman_D!$M$14)*1)</f>
        <v>-0.30000000000000027</v>
      </c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70"/>
      <c r="BO17" s="70"/>
      <c r="BP17" s="71">
        <f>1-(SUM(IF(BD17-Uzman_D!$B$15&lt;0,-(BD17-Uzman_D!$B$15),BD17-Uzman_D!$B$15)*0.1+IF(BE17-Uzman_D!$C$15&lt;0,-(BE17-Uzman_D!$C$15),BE17-Uzman_D!$C$15)*0.1+IF(BF17-Uzman_D!$D$15&lt;0,-(BF17-Uzman_D!$D$15),BF17-Uzman_D!$D$15)*0.1+IF(BG17-Uzman_D!$E$15&lt;0,-(BG17-Uzman_D!$E$15),BG17-Uzman_D!$E$15)*0.1+IF(BH17-Uzman_D!$F$15&lt;0,-(BH17-Uzman_D!$F$15),BH17-Uzman_D!$F$15)*0.1+IF(BI17-Uzman_D!$G$15&lt;0,-(BI17-Uzman_D!$G$15),BI17-Uzman_D!$G$15)*0.1+IF(BJ17-Uzman_D!$H$15&lt;0,-(BJ17-Uzman_D!$H$15),BJ17-Uzman_D!$H$15)*0.1+IF(BK17-Uzman_D!$I$15&lt;0,-(BK17-Uzman_D!$I$15),BK17-Uzman_D!$I$15)*0.1+IF(BL17-Uzman_D!$J$15&lt;0,-(BL17-Uzman_D!$J$15),BL17-Uzman_D!$J$15)*0.1)+IF(ROUND((IF(BN17-Uzman_D!$L$15&lt;0,-(BN17-Uzman_D!$L$15),BN17-Uzman_D!$L$15)*2),0)/2=IF(BN17-Uzman_D!$L$15&lt;0,-(BN17-Uzman_D!$L$15),BN17-Uzman_D!$L$15),(ROUND((IF(BN17-Uzman_D!$L$15&lt;0,-(BN17-Uzman_D!$L$15),BN17-Uzman_D!$L$15)*2),0)/1*0.1),0)+IF(BO17-Uzman_D!$M$15&lt;0,-(BO17-Uzman_D!$M$15),BO17-Uzman_D!$M$15)*1)</f>
        <v>-0.50000000000000022</v>
      </c>
      <c r="BQ17" s="72">
        <f t="shared" si="0"/>
        <v>-0.54</v>
      </c>
    </row>
    <row r="18" spans="1:69" ht="15" customHeight="1" x14ac:dyDescent="0.45">
      <c r="A18" s="54">
        <v>15</v>
      </c>
      <c r="B18" s="148" t="str">
        <f>Hakemler!B18</f>
        <v>GÜMÜŞLÜ</v>
      </c>
      <c r="C18" s="148" t="str">
        <f>Hakemler!C18</f>
        <v>AYSEL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70"/>
      <c r="O18" s="70"/>
      <c r="P18" s="71">
        <f>1-(SUM(IF(D18-Uzman_D!$B$11&lt;0,-(D18-Uzman_D!$B$11),D18-Uzman_D!$B$11)*0.1+IF(E18-Uzman_D!$C$11&lt;0,-(E18-Uzman_D!$C$11),E18-Uzman_D!$C$11)*0.1+IF(F18-Uzman_D!$D$11&lt;0,-(F18-Uzman_D!$D$11),F18-Uzman_D!$D$11)*0.1+IF(G18-Uzman_D!$E$11&lt;0,-(G18-Uzman_D!$E$11),G18-Uzman_D!$E$11)*0.1+IF(H18-Uzman_D!$F$11&lt;0,-(H18-Uzman_D!$F$11),H18-Uzman_D!$F$11)*0.1+IF(I18-Uzman_D!$G$11&lt;0,-(I18-Uzman_D!$G$11),I18-Uzman_D!$G$11)*0.1+IF(J18-Uzman_D!$H$11&lt;0,-(J18-Uzman_D!$H$11),J18-Uzman_D!$H$11)*0.1+IF(K18-Uzman_D!$I$11&lt;0,-(K18-Uzman_D!$I$11),K18-Uzman_D!$I$11)*0.1+IF(L18-Uzman_D!$J$11&lt;0,-(L18-Uzman_D!$J$11),L18-Uzman_D!$J$11)*0.1)+IF(ROUND((IF(N18-Uzman_D!$L$11&lt;0,-(N18-Uzman_D!$L$11),N18-Uzman_D!$L$11)*2),0)/2=IF(N18-Uzman_D!$L$11&lt;0,-(N18-Uzman_D!$L$11),N18-Uzman_D!$L$11),(ROUND((IF(N18-Uzman_D!$L$11&lt;0,-(N18-Uzman_D!$L$11),N18-Uzman_D!$L$11)*2),0)/1*0.1),0)+IF(O18-Uzman_D!$M$11&lt;0,-(O18-Uzman_D!$M$11),O18-Uzman_D!$M$11)*1)</f>
        <v>-0.90000000000000013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70"/>
      <c r="AB18" s="70"/>
      <c r="AC18" s="71">
        <f>1-(SUM(IF(Q18-Uzman_D!$B$12&lt;0,-(Q18-Uzman_D!$B$12),Q18-Uzman_D!$B$12)*0.1+IF(R18-Uzman_D!$C$12&lt;0,-(R18-Uzman_D!$C$12),R18-Uzman_D!$C$12)*0.1+IF(S18-Uzman_D!$D$12&lt;0,-(S18-Uzman_D!$D$12),S18-Uzman_D!$D$12)*0.1+IF(T18-Uzman_D!$E$12&lt;0,-(T18-Uzman_D!$E$12),T18-Uzman_D!$E$12)*0.1+IF(U18-Uzman_D!$F$12&lt;0,-(U18-Uzman_D!$F$12),U18-Uzman_D!$F$12)*0.1+IF(V18-Uzman_D!$G$12&lt;0,-(V18-Uzman_D!$G$12),V18-Uzman_D!$G$12)*0.1+IF(W18-Uzman_D!$H$12&lt;0,-(W18-Uzman_D!$H$12),W18-Uzman_D!$H$12)*0.1+IF(X18-Uzman_D!$I$12&lt;0,-(X18-Uzman_D!$I$12),X18-Uzman_D!$I$12)*0.1+IF(Y18-Uzman_D!$J$12&lt;0,-(Y18-Uzman_D!$J$12),Y18-Uzman_D!$J$12)*0.1)+IF(ROUND((IF(AA18-Uzman_D!$L$12&lt;0,-(AA18-Uzman_D!$L$12),AA18-Uzman_D!$L$12)*2),0)/2=IF(AA18-Uzman_D!$L$12&lt;0,-(AA18-Uzman_D!$L$12),AA18-Uzman_D!$L$12),(ROUND((IF(AA18-Uzman_D!$L$12&lt;0,-(AA18-Uzman_D!$L$12),AA18-Uzman_D!$L$12)*2),0)/1*0.1),0)+IF(AB18-Uzman_D!$M$12&lt;0,-(AB18-Uzman_D!$M$12),AB18-Uzman_D!$M$12)*1)</f>
        <v>-0.7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70"/>
      <c r="AO18" s="70"/>
      <c r="AP18" s="71">
        <f>1-(SUM(IF(AD18-Uzman_D!$B$13&lt;0,-(AD18-Uzman_D!$B$13),AD18-Uzman_D!$B$13)*0.1+IF(AE18-Uzman_D!$C$13&lt;0,-(AE18-Uzman_D!$C$13),AE18-Uzman_D!$C$13)*0.1+IF(AF18-Uzman_D!$D$13&lt;0,-(AF18-Uzman_D!$D$13),AF18-Uzman_D!$D$13)*0.1+IF(AG18-Uzman_D!$E$13&lt;0,-(AG18-Uzman_D!$E$13),AG18-Uzman_D!$E$13)*0.1+IF(AH18-Uzman_D!$F$13&lt;0,-(AH18-Uzman_D!$F$13),AH18-Uzman_D!$F$13)*0.1+IF(AI18-Uzman_D!$G$13&lt;0,-(AI18-Uzman_D!$G$13),AI18-Uzman_D!$G$13)*0.1+IF(AJ18-Uzman_D!$H$13&lt;0,-(AJ18-Uzman_D!$H$13),AJ18-Uzman_D!$H$13)*0.1+IF(AK18-Uzman_D!$I$13&lt;0,-(AK18-Uzman_D!$I$13),AK18-Uzman_D!$I$13)*0.1+IF(AL18-Uzman_D!$J$13&lt;0,-(AL18-Uzman_D!$J$13),AL18-Uzman_D!$J$13)*0.1)+IF(ROUND((IF(AN18-Uzman_D!$L$13&lt;0,-(AN18-Uzman_D!$L$13),AN18-Uzman_D!$L$13)*2),0)/2=IF(AN18-Uzman_D!$L$13&lt;0,-(AN18-Uzman_D!$L$13),AN18-Uzman_D!$L$13),(ROUND((IF(AN18-Uzman_D!$L$13&lt;0,-(AN18-Uzman_D!$L$13),AN18-Uzman_D!$L$13)*2),0)/1*0.1),0)+IF(AO18-Uzman_D!$M$13&lt;0,-(AO18-Uzman_D!$M$13),AO18-Uzman_D!$M$13)*1)</f>
        <v>-0.30000000000000004</v>
      </c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70"/>
      <c r="BB18" s="70"/>
      <c r="BC18" s="71">
        <f>1-(SUM(IF(AQ18-Uzman_D!$B$14&lt;0,-(AQ18-Uzman_D!$B$14),AQ18-Uzman_D!$B$14)*0.1+IF(AR18-Uzman_D!$C$14&lt;0,-(AR18-Uzman_D!$C$14),AR18-Uzman_D!$C$14)*0.1+IF(AS18-Uzman_D!$D$14&lt;0,-(AS18-Uzman_D!$D$14),AS18-Uzman_D!$D$14)*0.1+IF(AT18-Uzman_D!$E$14&lt;0,-(AT18-Uzman_D!$E$14),AT18-Uzman_D!$E$14)*0.1+IF(AU18-Uzman_D!$F$14&lt;0,-(AU18-Uzman_D!$F$14),AU18-Uzman_D!$F$14)*0.1+IF(AV18-Uzman_D!$G$14&lt;0,-(AV18-Uzman_D!$G$14),AV18-Uzman_D!$G$14)*0.1+IF(AW18-Uzman_D!$H$14&lt;0,-(AW18-Uzman_D!$H$14),AW18-Uzman_D!$H$14)*0.1+IF(AX18-Uzman_D!$I$14&lt;0,-(AX18-Uzman_D!$I$14),AX18-Uzman_D!$I$14)*0.1+IF(AY18-Uzman_D!$J$14&lt;0,-(AY18-Uzman_D!$J$14),AY18-Uzman_D!$J$14)*0.1)+IF(ROUND((IF(BA18-Uzman_D!$L$14&lt;0,-(BA18-Uzman_D!$L$14),BA18-Uzman_D!$L$14)*2),0)/2=IF(BA18-Uzman_D!$L$14&lt;0,-(BA18-Uzman_D!$L$14),BA18-Uzman_D!$L$14),(ROUND((IF(BA18-Uzman_D!$L$14&lt;0,-(BA18-Uzman_D!$L$14),BA18-Uzman_D!$L$14)*2),0)/1*0.1),0)+IF(BB18-Uzman_D!$M$14&lt;0,-(BB18-Uzman_D!$M$14),BB18-Uzman_D!$M$14)*1)</f>
        <v>-0.30000000000000027</v>
      </c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70"/>
      <c r="BO18" s="70"/>
      <c r="BP18" s="71">
        <f>1-(SUM(IF(BD18-Uzman_D!$B$15&lt;0,-(BD18-Uzman_D!$B$15),BD18-Uzman_D!$B$15)*0.1+IF(BE18-Uzman_D!$C$15&lt;0,-(BE18-Uzman_D!$C$15),BE18-Uzman_D!$C$15)*0.1+IF(BF18-Uzman_D!$D$15&lt;0,-(BF18-Uzman_D!$D$15),BF18-Uzman_D!$D$15)*0.1+IF(BG18-Uzman_D!$E$15&lt;0,-(BG18-Uzman_D!$E$15),BG18-Uzman_D!$E$15)*0.1+IF(BH18-Uzman_D!$F$15&lt;0,-(BH18-Uzman_D!$F$15),BH18-Uzman_D!$F$15)*0.1+IF(BI18-Uzman_D!$G$15&lt;0,-(BI18-Uzman_D!$G$15),BI18-Uzman_D!$G$15)*0.1+IF(BJ18-Uzman_D!$H$15&lt;0,-(BJ18-Uzman_D!$H$15),BJ18-Uzman_D!$H$15)*0.1+IF(BK18-Uzman_D!$I$15&lt;0,-(BK18-Uzman_D!$I$15),BK18-Uzman_D!$I$15)*0.1+IF(BL18-Uzman_D!$J$15&lt;0,-(BL18-Uzman_D!$J$15),BL18-Uzman_D!$J$15)*0.1)+IF(ROUND((IF(BN18-Uzman_D!$L$15&lt;0,-(BN18-Uzman_D!$L$15),BN18-Uzman_D!$L$15)*2),0)/2=IF(BN18-Uzman_D!$L$15&lt;0,-(BN18-Uzman_D!$L$15),BN18-Uzman_D!$L$15),(ROUND((IF(BN18-Uzman_D!$L$15&lt;0,-(BN18-Uzman_D!$L$15),BN18-Uzman_D!$L$15)*2),0)/1*0.1),0)+IF(BO18-Uzman_D!$M$15&lt;0,-(BO18-Uzman_D!$M$15),BO18-Uzman_D!$M$15)*1)</f>
        <v>-0.50000000000000022</v>
      </c>
      <c r="BQ18" s="72">
        <f t="shared" si="0"/>
        <v>-0.54</v>
      </c>
    </row>
    <row r="19" spans="1:69" ht="15" customHeight="1" x14ac:dyDescent="0.45">
      <c r="A19" s="54">
        <v>16</v>
      </c>
      <c r="B19" s="148" t="str">
        <f>Hakemler!B19</f>
        <v>CURA COŞKUN</v>
      </c>
      <c r="C19" s="148" t="str">
        <f>Hakemler!C19</f>
        <v>MELİKE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70"/>
      <c r="O19" s="70"/>
      <c r="P19" s="71">
        <f>1-(SUM(IF(D19-Uzman_D!$B$11&lt;0,-(D19-Uzman_D!$B$11),D19-Uzman_D!$B$11)*0.1+IF(E19-Uzman_D!$C$11&lt;0,-(E19-Uzman_D!$C$11),E19-Uzman_D!$C$11)*0.1+IF(F19-Uzman_D!$D$11&lt;0,-(F19-Uzman_D!$D$11),F19-Uzman_D!$D$11)*0.1+IF(G19-Uzman_D!$E$11&lt;0,-(G19-Uzman_D!$E$11),G19-Uzman_D!$E$11)*0.1+IF(H19-Uzman_D!$F$11&lt;0,-(H19-Uzman_D!$F$11),H19-Uzman_D!$F$11)*0.1+IF(I19-Uzman_D!$G$11&lt;0,-(I19-Uzman_D!$G$11),I19-Uzman_D!$G$11)*0.1+IF(J19-Uzman_D!$H$11&lt;0,-(J19-Uzman_D!$H$11),J19-Uzman_D!$H$11)*0.1+IF(K19-Uzman_D!$I$11&lt;0,-(K19-Uzman_D!$I$11),K19-Uzman_D!$I$11)*0.1+IF(L19-Uzman_D!$J$11&lt;0,-(L19-Uzman_D!$J$11),L19-Uzman_D!$J$11)*0.1)+IF(ROUND((IF(N19-Uzman_D!$L$11&lt;0,-(N19-Uzman_D!$L$11),N19-Uzman_D!$L$11)*2),0)/2=IF(N19-Uzman_D!$L$11&lt;0,-(N19-Uzman_D!$L$11),N19-Uzman_D!$L$11),(ROUND((IF(N19-Uzman_D!$L$11&lt;0,-(N19-Uzman_D!$L$11),N19-Uzman_D!$L$11)*2),0)/1*0.1),0)+IF(O19-Uzman_D!$M$11&lt;0,-(O19-Uzman_D!$M$11),O19-Uzman_D!$M$11)*1)</f>
        <v>-0.90000000000000013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70"/>
      <c r="AB19" s="70"/>
      <c r="AC19" s="71">
        <f>1-(SUM(IF(Q19-Uzman_D!$B$12&lt;0,-(Q19-Uzman_D!$B$12),Q19-Uzman_D!$B$12)*0.1+IF(R19-Uzman_D!$C$12&lt;0,-(R19-Uzman_D!$C$12),R19-Uzman_D!$C$12)*0.1+IF(S19-Uzman_D!$D$12&lt;0,-(S19-Uzman_D!$D$12),S19-Uzman_D!$D$12)*0.1+IF(T19-Uzman_D!$E$12&lt;0,-(T19-Uzman_D!$E$12),T19-Uzman_D!$E$12)*0.1+IF(U19-Uzman_D!$F$12&lt;0,-(U19-Uzman_D!$F$12),U19-Uzman_D!$F$12)*0.1+IF(V19-Uzman_D!$G$12&lt;0,-(V19-Uzman_D!$G$12),V19-Uzman_D!$G$12)*0.1+IF(W19-Uzman_D!$H$12&lt;0,-(W19-Uzman_D!$H$12),W19-Uzman_D!$H$12)*0.1+IF(X19-Uzman_D!$I$12&lt;0,-(X19-Uzman_D!$I$12),X19-Uzman_D!$I$12)*0.1+IF(Y19-Uzman_D!$J$12&lt;0,-(Y19-Uzman_D!$J$12),Y19-Uzman_D!$J$12)*0.1)+IF(ROUND((IF(AA19-Uzman_D!$L$12&lt;0,-(AA19-Uzman_D!$L$12),AA19-Uzman_D!$L$12)*2),0)/2=IF(AA19-Uzman_D!$L$12&lt;0,-(AA19-Uzman_D!$L$12),AA19-Uzman_D!$L$12),(ROUND((IF(AA19-Uzman_D!$L$12&lt;0,-(AA19-Uzman_D!$L$12),AA19-Uzman_D!$L$12)*2),0)/1*0.1),0)+IF(AB19-Uzman_D!$M$12&lt;0,-(AB19-Uzman_D!$M$12),AB19-Uzman_D!$M$12)*1)</f>
        <v>-0.7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70"/>
      <c r="AO19" s="70"/>
      <c r="AP19" s="71">
        <f>1-(SUM(IF(AD19-Uzman_D!$B$13&lt;0,-(AD19-Uzman_D!$B$13),AD19-Uzman_D!$B$13)*0.1+IF(AE19-Uzman_D!$C$13&lt;0,-(AE19-Uzman_D!$C$13),AE19-Uzman_D!$C$13)*0.1+IF(AF19-Uzman_D!$D$13&lt;0,-(AF19-Uzman_D!$D$13),AF19-Uzman_D!$D$13)*0.1+IF(AG19-Uzman_D!$E$13&lt;0,-(AG19-Uzman_D!$E$13),AG19-Uzman_D!$E$13)*0.1+IF(AH19-Uzman_D!$F$13&lt;0,-(AH19-Uzman_D!$F$13),AH19-Uzman_D!$F$13)*0.1+IF(AI19-Uzman_D!$G$13&lt;0,-(AI19-Uzman_D!$G$13),AI19-Uzman_D!$G$13)*0.1+IF(AJ19-Uzman_D!$H$13&lt;0,-(AJ19-Uzman_D!$H$13),AJ19-Uzman_D!$H$13)*0.1+IF(AK19-Uzman_D!$I$13&lt;0,-(AK19-Uzman_D!$I$13),AK19-Uzman_D!$I$13)*0.1+IF(AL19-Uzman_D!$J$13&lt;0,-(AL19-Uzman_D!$J$13),AL19-Uzman_D!$J$13)*0.1)+IF(ROUND((IF(AN19-Uzman_D!$L$13&lt;0,-(AN19-Uzman_D!$L$13),AN19-Uzman_D!$L$13)*2),0)/2=IF(AN19-Uzman_D!$L$13&lt;0,-(AN19-Uzman_D!$L$13),AN19-Uzman_D!$L$13),(ROUND((IF(AN19-Uzman_D!$L$13&lt;0,-(AN19-Uzman_D!$L$13),AN19-Uzman_D!$L$13)*2),0)/1*0.1),0)+IF(AO19-Uzman_D!$M$13&lt;0,-(AO19-Uzman_D!$M$13),AO19-Uzman_D!$M$13)*1)</f>
        <v>-0.30000000000000004</v>
      </c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70"/>
      <c r="BB19" s="70"/>
      <c r="BC19" s="71">
        <f>1-(SUM(IF(AQ19-Uzman_D!$B$14&lt;0,-(AQ19-Uzman_D!$B$14),AQ19-Uzman_D!$B$14)*0.1+IF(AR19-Uzman_D!$C$14&lt;0,-(AR19-Uzman_D!$C$14),AR19-Uzman_D!$C$14)*0.1+IF(AS19-Uzman_D!$D$14&lt;0,-(AS19-Uzman_D!$D$14),AS19-Uzman_D!$D$14)*0.1+IF(AT19-Uzman_D!$E$14&lt;0,-(AT19-Uzman_D!$E$14),AT19-Uzman_D!$E$14)*0.1+IF(AU19-Uzman_D!$F$14&lt;0,-(AU19-Uzman_D!$F$14),AU19-Uzman_D!$F$14)*0.1+IF(AV19-Uzman_D!$G$14&lt;0,-(AV19-Uzman_D!$G$14),AV19-Uzman_D!$G$14)*0.1+IF(AW19-Uzman_D!$H$14&lt;0,-(AW19-Uzman_D!$H$14),AW19-Uzman_D!$H$14)*0.1+IF(AX19-Uzman_D!$I$14&lt;0,-(AX19-Uzman_D!$I$14),AX19-Uzman_D!$I$14)*0.1+IF(AY19-Uzman_D!$J$14&lt;0,-(AY19-Uzman_D!$J$14),AY19-Uzman_D!$J$14)*0.1)+IF(ROUND((IF(BA19-Uzman_D!$L$14&lt;0,-(BA19-Uzman_D!$L$14),BA19-Uzman_D!$L$14)*2),0)/2=IF(BA19-Uzman_D!$L$14&lt;0,-(BA19-Uzman_D!$L$14),BA19-Uzman_D!$L$14),(ROUND((IF(BA19-Uzman_D!$L$14&lt;0,-(BA19-Uzman_D!$L$14),BA19-Uzman_D!$L$14)*2),0)/1*0.1),0)+IF(BB19-Uzman_D!$M$14&lt;0,-(BB19-Uzman_D!$M$14),BB19-Uzman_D!$M$14)*1)</f>
        <v>-0.30000000000000027</v>
      </c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70"/>
      <c r="BO19" s="70"/>
      <c r="BP19" s="71">
        <f>1-(SUM(IF(BD19-Uzman_D!$B$15&lt;0,-(BD19-Uzman_D!$B$15),BD19-Uzman_D!$B$15)*0.1+IF(BE19-Uzman_D!$C$15&lt;0,-(BE19-Uzman_D!$C$15),BE19-Uzman_D!$C$15)*0.1+IF(BF19-Uzman_D!$D$15&lt;0,-(BF19-Uzman_D!$D$15),BF19-Uzman_D!$D$15)*0.1+IF(BG19-Uzman_D!$E$15&lt;0,-(BG19-Uzman_D!$E$15),BG19-Uzman_D!$E$15)*0.1+IF(BH19-Uzman_D!$F$15&lt;0,-(BH19-Uzman_D!$F$15),BH19-Uzman_D!$F$15)*0.1+IF(BI19-Uzman_D!$G$15&lt;0,-(BI19-Uzman_D!$G$15),BI19-Uzman_D!$G$15)*0.1+IF(BJ19-Uzman_D!$H$15&lt;0,-(BJ19-Uzman_D!$H$15),BJ19-Uzman_D!$H$15)*0.1+IF(BK19-Uzman_D!$I$15&lt;0,-(BK19-Uzman_D!$I$15),BK19-Uzman_D!$I$15)*0.1+IF(BL19-Uzman_D!$J$15&lt;0,-(BL19-Uzman_D!$J$15),BL19-Uzman_D!$J$15)*0.1)+IF(ROUND((IF(BN19-Uzman_D!$L$15&lt;0,-(BN19-Uzman_D!$L$15),BN19-Uzman_D!$L$15)*2),0)/2=IF(BN19-Uzman_D!$L$15&lt;0,-(BN19-Uzman_D!$L$15),BN19-Uzman_D!$L$15),(ROUND((IF(BN19-Uzman_D!$L$15&lt;0,-(BN19-Uzman_D!$L$15),BN19-Uzman_D!$L$15)*2),0)/1*0.1),0)+IF(BO19-Uzman_D!$M$15&lt;0,-(BO19-Uzman_D!$M$15),BO19-Uzman_D!$M$15)*1)</f>
        <v>-0.50000000000000022</v>
      </c>
      <c r="BQ19" s="72">
        <f t="shared" si="0"/>
        <v>-0.54</v>
      </c>
    </row>
    <row r="20" spans="1:69" ht="15" customHeight="1" x14ac:dyDescent="0.45">
      <c r="A20" s="54">
        <v>17</v>
      </c>
      <c r="B20" s="148" t="str">
        <f>Hakemler!B20</f>
        <v>KENDİRCİ</v>
      </c>
      <c r="C20" s="148" t="str">
        <f>Hakemler!C20</f>
        <v>CEMRE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70"/>
      <c r="O20" s="70"/>
      <c r="P20" s="71">
        <f>1-(SUM(IF(D20-Uzman_D!$B$11&lt;0,-(D20-Uzman_D!$B$11),D20-Uzman_D!$B$11)*0.1+IF(E20-Uzman_D!$C$11&lt;0,-(E20-Uzman_D!$C$11),E20-Uzman_D!$C$11)*0.1+IF(F20-Uzman_D!$D$11&lt;0,-(F20-Uzman_D!$D$11),F20-Uzman_D!$D$11)*0.1+IF(G20-Uzman_D!$E$11&lt;0,-(G20-Uzman_D!$E$11),G20-Uzman_D!$E$11)*0.1+IF(H20-Uzman_D!$F$11&lt;0,-(H20-Uzman_D!$F$11),H20-Uzman_D!$F$11)*0.1+IF(I20-Uzman_D!$G$11&lt;0,-(I20-Uzman_D!$G$11),I20-Uzman_D!$G$11)*0.1+IF(J20-Uzman_D!$H$11&lt;0,-(J20-Uzman_D!$H$11),J20-Uzman_D!$H$11)*0.1+IF(K20-Uzman_D!$I$11&lt;0,-(K20-Uzman_D!$I$11),K20-Uzman_D!$I$11)*0.1+IF(L20-Uzman_D!$J$11&lt;0,-(L20-Uzman_D!$J$11),L20-Uzman_D!$J$11)*0.1)+IF(ROUND((IF(N20-Uzman_D!$L$11&lt;0,-(N20-Uzman_D!$L$11),N20-Uzman_D!$L$11)*2),0)/2=IF(N20-Uzman_D!$L$11&lt;0,-(N20-Uzman_D!$L$11),N20-Uzman_D!$L$11),(ROUND((IF(N20-Uzman_D!$L$11&lt;0,-(N20-Uzman_D!$L$11),N20-Uzman_D!$L$11)*2),0)/1*0.1),0)+IF(O20-Uzman_D!$M$11&lt;0,-(O20-Uzman_D!$M$11),O20-Uzman_D!$M$11)*1)</f>
        <v>-0.90000000000000013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70"/>
      <c r="AB20" s="70"/>
      <c r="AC20" s="71">
        <f>1-(SUM(IF(Q20-Uzman_D!$B$12&lt;0,-(Q20-Uzman_D!$B$12),Q20-Uzman_D!$B$12)*0.1+IF(R20-Uzman_D!$C$12&lt;0,-(R20-Uzman_D!$C$12),R20-Uzman_D!$C$12)*0.1+IF(S20-Uzman_D!$D$12&lt;0,-(S20-Uzman_D!$D$12),S20-Uzman_D!$D$12)*0.1+IF(T20-Uzman_D!$E$12&lt;0,-(T20-Uzman_D!$E$12),T20-Uzman_D!$E$12)*0.1+IF(U20-Uzman_D!$F$12&lt;0,-(U20-Uzman_D!$F$12),U20-Uzman_D!$F$12)*0.1+IF(V20-Uzman_D!$G$12&lt;0,-(V20-Uzman_D!$G$12),V20-Uzman_D!$G$12)*0.1+IF(W20-Uzman_D!$H$12&lt;0,-(W20-Uzman_D!$H$12),W20-Uzman_D!$H$12)*0.1+IF(X20-Uzman_D!$I$12&lt;0,-(X20-Uzman_D!$I$12),X20-Uzman_D!$I$12)*0.1+IF(Y20-Uzman_D!$J$12&lt;0,-(Y20-Uzman_D!$J$12),Y20-Uzman_D!$J$12)*0.1)+IF(ROUND((IF(AA20-Uzman_D!$L$12&lt;0,-(AA20-Uzman_D!$L$12),AA20-Uzman_D!$L$12)*2),0)/2=IF(AA20-Uzman_D!$L$12&lt;0,-(AA20-Uzman_D!$L$12),AA20-Uzman_D!$L$12),(ROUND((IF(AA20-Uzman_D!$L$12&lt;0,-(AA20-Uzman_D!$L$12),AA20-Uzman_D!$L$12)*2),0)/1*0.1),0)+IF(AB20-Uzman_D!$M$12&lt;0,-(AB20-Uzman_D!$M$12),AB20-Uzman_D!$M$12)*1)</f>
        <v>-0.7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70"/>
      <c r="AO20" s="70"/>
      <c r="AP20" s="71">
        <f>1-(SUM(IF(AD20-Uzman_D!$B$13&lt;0,-(AD20-Uzman_D!$B$13),AD20-Uzman_D!$B$13)*0.1+IF(AE20-Uzman_D!$C$13&lt;0,-(AE20-Uzman_D!$C$13),AE20-Uzman_D!$C$13)*0.1+IF(AF20-Uzman_D!$D$13&lt;0,-(AF20-Uzman_D!$D$13),AF20-Uzman_D!$D$13)*0.1+IF(AG20-Uzman_D!$E$13&lt;0,-(AG20-Uzman_D!$E$13),AG20-Uzman_D!$E$13)*0.1+IF(AH20-Uzman_D!$F$13&lt;0,-(AH20-Uzman_D!$F$13),AH20-Uzman_D!$F$13)*0.1+IF(AI20-Uzman_D!$G$13&lt;0,-(AI20-Uzman_D!$G$13),AI20-Uzman_D!$G$13)*0.1+IF(AJ20-Uzman_D!$H$13&lt;0,-(AJ20-Uzman_D!$H$13),AJ20-Uzman_D!$H$13)*0.1+IF(AK20-Uzman_D!$I$13&lt;0,-(AK20-Uzman_D!$I$13),AK20-Uzman_D!$I$13)*0.1+IF(AL20-Uzman_D!$J$13&lt;0,-(AL20-Uzman_D!$J$13),AL20-Uzman_D!$J$13)*0.1)+IF(ROUND((IF(AN20-Uzman_D!$L$13&lt;0,-(AN20-Uzman_D!$L$13),AN20-Uzman_D!$L$13)*2),0)/2=IF(AN20-Uzman_D!$L$13&lt;0,-(AN20-Uzman_D!$L$13),AN20-Uzman_D!$L$13),(ROUND((IF(AN20-Uzman_D!$L$13&lt;0,-(AN20-Uzman_D!$L$13),AN20-Uzman_D!$L$13)*2),0)/1*0.1),0)+IF(AO20-Uzman_D!$M$13&lt;0,-(AO20-Uzman_D!$M$13),AO20-Uzman_D!$M$13)*1)</f>
        <v>-0.30000000000000004</v>
      </c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70"/>
      <c r="BB20" s="70"/>
      <c r="BC20" s="71">
        <f>1-(SUM(IF(AQ20-Uzman_D!$B$14&lt;0,-(AQ20-Uzman_D!$B$14),AQ20-Uzman_D!$B$14)*0.1+IF(AR20-Uzman_D!$C$14&lt;0,-(AR20-Uzman_D!$C$14),AR20-Uzman_D!$C$14)*0.1+IF(AS20-Uzman_D!$D$14&lt;0,-(AS20-Uzman_D!$D$14),AS20-Uzman_D!$D$14)*0.1+IF(AT20-Uzman_D!$E$14&lt;0,-(AT20-Uzman_D!$E$14),AT20-Uzman_D!$E$14)*0.1+IF(AU20-Uzman_D!$F$14&lt;0,-(AU20-Uzman_D!$F$14),AU20-Uzman_D!$F$14)*0.1+IF(AV20-Uzman_D!$G$14&lt;0,-(AV20-Uzman_D!$G$14),AV20-Uzman_D!$G$14)*0.1+IF(AW20-Uzman_D!$H$14&lt;0,-(AW20-Uzman_D!$H$14),AW20-Uzman_D!$H$14)*0.1+IF(AX20-Uzman_D!$I$14&lt;0,-(AX20-Uzman_D!$I$14),AX20-Uzman_D!$I$14)*0.1+IF(AY20-Uzman_D!$J$14&lt;0,-(AY20-Uzman_D!$J$14),AY20-Uzman_D!$J$14)*0.1)+IF(ROUND((IF(BA20-Uzman_D!$L$14&lt;0,-(BA20-Uzman_D!$L$14),BA20-Uzman_D!$L$14)*2),0)/2=IF(BA20-Uzman_D!$L$14&lt;0,-(BA20-Uzman_D!$L$14),BA20-Uzman_D!$L$14),(ROUND((IF(BA20-Uzman_D!$L$14&lt;0,-(BA20-Uzman_D!$L$14),BA20-Uzman_D!$L$14)*2),0)/1*0.1),0)+IF(BB20-Uzman_D!$M$14&lt;0,-(BB20-Uzman_D!$M$14),BB20-Uzman_D!$M$14)*1)</f>
        <v>-0.30000000000000027</v>
      </c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70"/>
      <c r="BO20" s="70"/>
      <c r="BP20" s="71">
        <f>1-(SUM(IF(BD20-Uzman_D!$B$15&lt;0,-(BD20-Uzman_D!$B$15),BD20-Uzman_D!$B$15)*0.1+IF(BE20-Uzman_D!$C$15&lt;0,-(BE20-Uzman_D!$C$15),BE20-Uzman_D!$C$15)*0.1+IF(BF20-Uzman_D!$D$15&lt;0,-(BF20-Uzman_D!$D$15),BF20-Uzman_D!$D$15)*0.1+IF(BG20-Uzman_D!$E$15&lt;0,-(BG20-Uzman_D!$E$15),BG20-Uzman_D!$E$15)*0.1+IF(BH20-Uzman_D!$F$15&lt;0,-(BH20-Uzman_D!$F$15),BH20-Uzman_D!$F$15)*0.1+IF(BI20-Uzman_D!$G$15&lt;0,-(BI20-Uzman_D!$G$15),BI20-Uzman_D!$G$15)*0.1+IF(BJ20-Uzman_D!$H$15&lt;0,-(BJ20-Uzman_D!$H$15),BJ20-Uzman_D!$H$15)*0.1+IF(BK20-Uzman_D!$I$15&lt;0,-(BK20-Uzman_D!$I$15),BK20-Uzman_D!$I$15)*0.1+IF(BL20-Uzman_D!$J$15&lt;0,-(BL20-Uzman_D!$J$15),BL20-Uzman_D!$J$15)*0.1)+IF(ROUND((IF(BN20-Uzman_D!$L$15&lt;0,-(BN20-Uzman_D!$L$15),BN20-Uzman_D!$L$15)*2),0)/2=IF(BN20-Uzman_D!$L$15&lt;0,-(BN20-Uzman_D!$L$15),BN20-Uzman_D!$L$15),(ROUND((IF(BN20-Uzman_D!$L$15&lt;0,-(BN20-Uzman_D!$L$15),BN20-Uzman_D!$L$15)*2),0)/1*0.1),0)+IF(BO20-Uzman_D!$M$15&lt;0,-(BO20-Uzman_D!$M$15),BO20-Uzman_D!$M$15)*1)</f>
        <v>-0.50000000000000022</v>
      </c>
      <c r="BQ20" s="72">
        <f t="shared" si="0"/>
        <v>-0.54</v>
      </c>
    </row>
    <row r="21" spans="1:69" ht="15" customHeight="1" x14ac:dyDescent="0.45">
      <c r="A21" s="54">
        <v>18</v>
      </c>
      <c r="B21" s="148" t="str">
        <f>Hakemler!B21</f>
        <v>CANATAN</v>
      </c>
      <c r="C21" s="148" t="str">
        <f>Hakemler!C21</f>
        <v>BEYZA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70"/>
      <c r="O21" s="70"/>
      <c r="P21" s="71">
        <f>1-(SUM(IF(D21-Uzman_D!$B$11&lt;0,-(D21-Uzman_D!$B$11),D21-Uzman_D!$B$11)*0.1+IF(E21-Uzman_D!$C$11&lt;0,-(E21-Uzman_D!$C$11),E21-Uzman_D!$C$11)*0.1+IF(F21-Uzman_D!$D$11&lt;0,-(F21-Uzman_D!$D$11),F21-Uzman_D!$D$11)*0.1+IF(G21-Uzman_D!$E$11&lt;0,-(G21-Uzman_D!$E$11),G21-Uzman_D!$E$11)*0.1+IF(H21-Uzman_D!$F$11&lt;0,-(H21-Uzman_D!$F$11),H21-Uzman_D!$F$11)*0.1+IF(I21-Uzman_D!$G$11&lt;0,-(I21-Uzman_D!$G$11),I21-Uzman_D!$G$11)*0.1+IF(J21-Uzman_D!$H$11&lt;0,-(J21-Uzman_D!$H$11),J21-Uzman_D!$H$11)*0.1+IF(K21-Uzman_D!$I$11&lt;0,-(K21-Uzman_D!$I$11),K21-Uzman_D!$I$11)*0.1+IF(L21-Uzman_D!$J$11&lt;0,-(L21-Uzman_D!$J$11),L21-Uzman_D!$J$11)*0.1)+IF(ROUND((IF(N21-Uzman_D!$L$11&lt;0,-(N21-Uzman_D!$L$11),N21-Uzman_D!$L$11)*2),0)/2=IF(N21-Uzman_D!$L$11&lt;0,-(N21-Uzman_D!$L$11),N21-Uzman_D!$L$11),(ROUND((IF(N21-Uzman_D!$L$11&lt;0,-(N21-Uzman_D!$L$11),N21-Uzman_D!$L$11)*2),0)/1*0.1),0)+IF(O21-Uzman_D!$M$11&lt;0,-(O21-Uzman_D!$M$11),O21-Uzman_D!$M$11)*1)</f>
        <v>-0.90000000000000013</v>
      </c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70"/>
      <c r="AB21" s="70"/>
      <c r="AC21" s="71">
        <f>1-(SUM(IF(Q21-Uzman_D!$B$12&lt;0,-(Q21-Uzman_D!$B$12),Q21-Uzman_D!$B$12)*0.1+IF(R21-Uzman_D!$C$12&lt;0,-(R21-Uzman_D!$C$12),R21-Uzman_D!$C$12)*0.1+IF(S21-Uzman_D!$D$12&lt;0,-(S21-Uzman_D!$D$12),S21-Uzman_D!$D$12)*0.1+IF(T21-Uzman_D!$E$12&lt;0,-(T21-Uzman_D!$E$12),T21-Uzman_D!$E$12)*0.1+IF(U21-Uzman_D!$F$12&lt;0,-(U21-Uzman_D!$F$12),U21-Uzman_D!$F$12)*0.1+IF(V21-Uzman_D!$G$12&lt;0,-(V21-Uzman_D!$G$12),V21-Uzman_D!$G$12)*0.1+IF(W21-Uzman_D!$H$12&lt;0,-(W21-Uzman_D!$H$12),W21-Uzman_D!$H$12)*0.1+IF(X21-Uzman_D!$I$12&lt;0,-(X21-Uzman_D!$I$12),X21-Uzman_D!$I$12)*0.1+IF(Y21-Uzman_D!$J$12&lt;0,-(Y21-Uzman_D!$J$12),Y21-Uzman_D!$J$12)*0.1)+IF(ROUND((IF(AA21-Uzman_D!$L$12&lt;0,-(AA21-Uzman_D!$L$12),AA21-Uzman_D!$L$12)*2),0)/2=IF(AA21-Uzman_D!$L$12&lt;0,-(AA21-Uzman_D!$L$12),AA21-Uzman_D!$L$12),(ROUND((IF(AA21-Uzman_D!$L$12&lt;0,-(AA21-Uzman_D!$L$12),AA21-Uzman_D!$L$12)*2),0)/1*0.1),0)+IF(AB21-Uzman_D!$M$12&lt;0,-(AB21-Uzman_D!$M$12),AB21-Uzman_D!$M$12)*1)</f>
        <v>-0.7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70"/>
      <c r="AO21" s="70"/>
      <c r="AP21" s="71">
        <f>1-(SUM(IF(AD21-Uzman_D!$B$13&lt;0,-(AD21-Uzman_D!$B$13),AD21-Uzman_D!$B$13)*0.1+IF(AE21-Uzman_D!$C$13&lt;0,-(AE21-Uzman_D!$C$13),AE21-Uzman_D!$C$13)*0.1+IF(AF21-Uzman_D!$D$13&lt;0,-(AF21-Uzman_D!$D$13),AF21-Uzman_D!$D$13)*0.1+IF(AG21-Uzman_D!$E$13&lt;0,-(AG21-Uzman_D!$E$13),AG21-Uzman_D!$E$13)*0.1+IF(AH21-Uzman_D!$F$13&lt;0,-(AH21-Uzman_D!$F$13),AH21-Uzman_D!$F$13)*0.1+IF(AI21-Uzman_D!$G$13&lt;0,-(AI21-Uzman_D!$G$13),AI21-Uzman_D!$G$13)*0.1+IF(AJ21-Uzman_D!$H$13&lt;0,-(AJ21-Uzman_D!$H$13),AJ21-Uzman_D!$H$13)*0.1+IF(AK21-Uzman_D!$I$13&lt;0,-(AK21-Uzman_D!$I$13),AK21-Uzman_D!$I$13)*0.1+IF(AL21-Uzman_D!$J$13&lt;0,-(AL21-Uzman_D!$J$13),AL21-Uzman_D!$J$13)*0.1)+IF(ROUND((IF(AN21-Uzman_D!$L$13&lt;0,-(AN21-Uzman_D!$L$13),AN21-Uzman_D!$L$13)*2),0)/2=IF(AN21-Uzman_D!$L$13&lt;0,-(AN21-Uzman_D!$L$13),AN21-Uzman_D!$L$13),(ROUND((IF(AN21-Uzman_D!$L$13&lt;0,-(AN21-Uzman_D!$L$13),AN21-Uzman_D!$L$13)*2),0)/1*0.1),0)+IF(AO21-Uzman_D!$M$13&lt;0,-(AO21-Uzman_D!$M$13),AO21-Uzman_D!$M$13)*1)</f>
        <v>-0.30000000000000004</v>
      </c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70"/>
      <c r="BB21" s="70"/>
      <c r="BC21" s="71">
        <f>1-(SUM(IF(AQ21-Uzman_D!$B$14&lt;0,-(AQ21-Uzman_D!$B$14),AQ21-Uzman_D!$B$14)*0.1+IF(AR21-Uzman_D!$C$14&lt;0,-(AR21-Uzman_D!$C$14),AR21-Uzman_D!$C$14)*0.1+IF(AS21-Uzman_D!$D$14&lt;0,-(AS21-Uzman_D!$D$14),AS21-Uzman_D!$D$14)*0.1+IF(AT21-Uzman_D!$E$14&lt;0,-(AT21-Uzman_D!$E$14),AT21-Uzman_D!$E$14)*0.1+IF(AU21-Uzman_D!$F$14&lt;0,-(AU21-Uzman_D!$F$14),AU21-Uzman_D!$F$14)*0.1+IF(AV21-Uzman_D!$G$14&lt;0,-(AV21-Uzman_D!$G$14),AV21-Uzman_D!$G$14)*0.1+IF(AW21-Uzman_D!$H$14&lt;0,-(AW21-Uzman_D!$H$14),AW21-Uzman_D!$H$14)*0.1+IF(AX21-Uzman_D!$I$14&lt;0,-(AX21-Uzman_D!$I$14),AX21-Uzman_D!$I$14)*0.1+IF(AY21-Uzman_D!$J$14&lt;0,-(AY21-Uzman_D!$J$14),AY21-Uzman_D!$J$14)*0.1)+IF(ROUND((IF(BA21-Uzman_D!$L$14&lt;0,-(BA21-Uzman_D!$L$14),BA21-Uzman_D!$L$14)*2),0)/2=IF(BA21-Uzman_D!$L$14&lt;0,-(BA21-Uzman_D!$L$14),BA21-Uzman_D!$L$14),(ROUND((IF(BA21-Uzman_D!$L$14&lt;0,-(BA21-Uzman_D!$L$14),BA21-Uzman_D!$L$14)*2),0)/1*0.1),0)+IF(BB21-Uzman_D!$M$14&lt;0,-(BB21-Uzman_D!$M$14),BB21-Uzman_D!$M$14)*1)</f>
        <v>-0.30000000000000027</v>
      </c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70"/>
      <c r="BO21" s="70"/>
      <c r="BP21" s="71">
        <f>1-(SUM(IF(BD21-Uzman_D!$B$15&lt;0,-(BD21-Uzman_D!$B$15),BD21-Uzman_D!$B$15)*0.1+IF(BE21-Uzman_D!$C$15&lt;0,-(BE21-Uzman_D!$C$15),BE21-Uzman_D!$C$15)*0.1+IF(BF21-Uzman_D!$D$15&lt;0,-(BF21-Uzman_D!$D$15),BF21-Uzman_D!$D$15)*0.1+IF(BG21-Uzman_D!$E$15&lt;0,-(BG21-Uzman_D!$E$15),BG21-Uzman_D!$E$15)*0.1+IF(BH21-Uzman_D!$F$15&lt;0,-(BH21-Uzman_D!$F$15),BH21-Uzman_D!$F$15)*0.1+IF(BI21-Uzman_D!$G$15&lt;0,-(BI21-Uzman_D!$G$15),BI21-Uzman_D!$G$15)*0.1+IF(BJ21-Uzman_D!$H$15&lt;0,-(BJ21-Uzman_D!$H$15),BJ21-Uzman_D!$H$15)*0.1+IF(BK21-Uzman_D!$I$15&lt;0,-(BK21-Uzman_D!$I$15),BK21-Uzman_D!$I$15)*0.1+IF(BL21-Uzman_D!$J$15&lt;0,-(BL21-Uzman_D!$J$15),BL21-Uzman_D!$J$15)*0.1)+IF(ROUND((IF(BN21-Uzman_D!$L$15&lt;0,-(BN21-Uzman_D!$L$15),BN21-Uzman_D!$L$15)*2),0)/2=IF(BN21-Uzman_D!$L$15&lt;0,-(BN21-Uzman_D!$L$15),BN21-Uzman_D!$L$15),(ROUND((IF(BN21-Uzman_D!$L$15&lt;0,-(BN21-Uzman_D!$L$15),BN21-Uzman_D!$L$15)*2),0)/1*0.1),0)+IF(BO21-Uzman_D!$M$15&lt;0,-(BO21-Uzman_D!$M$15),BO21-Uzman_D!$M$15)*1)</f>
        <v>-0.50000000000000022</v>
      </c>
      <c r="BQ21" s="72">
        <f t="shared" si="0"/>
        <v>-0.54</v>
      </c>
    </row>
    <row r="22" spans="1:69" ht="15" customHeight="1" x14ac:dyDescent="0.45">
      <c r="A22" s="54">
        <v>19</v>
      </c>
      <c r="B22" s="148" t="str">
        <f>Hakemler!B22</f>
        <v>SAYIN</v>
      </c>
      <c r="C22" s="148" t="str">
        <f>Hakemler!C22</f>
        <v>ZEYNEP TÜRKAN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70"/>
      <c r="O22" s="70"/>
      <c r="P22" s="71">
        <f>1-(SUM(IF(D22-Uzman_D!$B$11&lt;0,-(D22-Uzman_D!$B$11),D22-Uzman_D!$B$11)*0.1+IF(E22-Uzman_D!$C$11&lt;0,-(E22-Uzman_D!$C$11),E22-Uzman_D!$C$11)*0.1+IF(F22-Uzman_D!$D$11&lt;0,-(F22-Uzman_D!$D$11),F22-Uzman_D!$D$11)*0.1+IF(G22-Uzman_D!$E$11&lt;0,-(G22-Uzman_D!$E$11),G22-Uzman_D!$E$11)*0.1+IF(H22-Uzman_D!$F$11&lt;0,-(H22-Uzman_D!$F$11),H22-Uzman_D!$F$11)*0.1+IF(I22-Uzman_D!$G$11&lt;0,-(I22-Uzman_D!$G$11),I22-Uzman_D!$G$11)*0.1+IF(J22-Uzman_D!$H$11&lt;0,-(J22-Uzman_D!$H$11),J22-Uzman_D!$H$11)*0.1+IF(K22-Uzman_D!$I$11&lt;0,-(K22-Uzman_D!$I$11),K22-Uzman_D!$I$11)*0.1+IF(L22-Uzman_D!$J$11&lt;0,-(L22-Uzman_D!$J$11),L22-Uzman_D!$J$11)*0.1)+IF(ROUND((IF(N22-Uzman_D!$L$11&lt;0,-(N22-Uzman_D!$L$11),N22-Uzman_D!$L$11)*2),0)/2=IF(N22-Uzman_D!$L$11&lt;0,-(N22-Uzman_D!$L$11),N22-Uzman_D!$L$11),(ROUND((IF(N22-Uzman_D!$L$11&lt;0,-(N22-Uzman_D!$L$11),N22-Uzman_D!$L$11)*2),0)/1*0.1),0)+IF(O22-Uzman_D!$M$11&lt;0,-(O22-Uzman_D!$M$11),O22-Uzman_D!$M$11)*1)</f>
        <v>-0.90000000000000013</v>
      </c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70"/>
      <c r="AB22" s="70"/>
      <c r="AC22" s="71">
        <f>1-(SUM(IF(Q22-Uzman_D!$B$12&lt;0,-(Q22-Uzman_D!$B$12),Q22-Uzman_D!$B$12)*0.1+IF(R22-Uzman_D!$C$12&lt;0,-(R22-Uzman_D!$C$12),R22-Uzman_D!$C$12)*0.1+IF(S22-Uzman_D!$D$12&lt;0,-(S22-Uzman_D!$D$12),S22-Uzman_D!$D$12)*0.1+IF(T22-Uzman_D!$E$12&lt;0,-(T22-Uzman_D!$E$12),T22-Uzman_D!$E$12)*0.1+IF(U22-Uzman_D!$F$12&lt;0,-(U22-Uzman_D!$F$12),U22-Uzman_D!$F$12)*0.1+IF(V22-Uzman_D!$G$12&lt;0,-(V22-Uzman_D!$G$12),V22-Uzman_D!$G$12)*0.1+IF(W22-Uzman_D!$H$12&lt;0,-(W22-Uzman_D!$H$12),W22-Uzman_D!$H$12)*0.1+IF(X22-Uzman_D!$I$12&lt;0,-(X22-Uzman_D!$I$12),X22-Uzman_D!$I$12)*0.1+IF(Y22-Uzman_D!$J$12&lt;0,-(Y22-Uzman_D!$J$12),Y22-Uzman_D!$J$12)*0.1)+IF(ROUND((IF(AA22-Uzman_D!$L$12&lt;0,-(AA22-Uzman_D!$L$12),AA22-Uzman_D!$L$12)*2),0)/2=IF(AA22-Uzman_D!$L$12&lt;0,-(AA22-Uzman_D!$L$12),AA22-Uzman_D!$L$12),(ROUND((IF(AA22-Uzman_D!$L$12&lt;0,-(AA22-Uzman_D!$L$12),AA22-Uzman_D!$L$12)*2),0)/1*0.1),0)+IF(AB22-Uzman_D!$M$12&lt;0,-(AB22-Uzman_D!$M$12),AB22-Uzman_D!$M$12)*1)</f>
        <v>-0.7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70"/>
      <c r="AO22" s="70"/>
      <c r="AP22" s="71">
        <f>1-(SUM(IF(AD22-Uzman_D!$B$13&lt;0,-(AD22-Uzman_D!$B$13),AD22-Uzman_D!$B$13)*0.1+IF(AE22-Uzman_D!$C$13&lt;0,-(AE22-Uzman_D!$C$13),AE22-Uzman_D!$C$13)*0.1+IF(AF22-Uzman_D!$D$13&lt;0,-(AF22-Uzman_D!$D$13),AF22-Uzman_D!$D$13)*0.1+IF(AG22-Uzman_D!$E$13&lt;0,-(AG22-Uzman_D!$E$13),AG22-Uzman_D!$E$13)*0.1+IF(AH22-Uzman_D!$F$13&lt;0,-(AH22-Uzman_D!$F$13),AH22-Uzman_D!$F$13)*0.1+IF(AI22-Uzman_D!$G$13&lt;0,-(AI22-Uzman_D!$G$13),AI22-Uzman_D!$G$13)*0.1+IF(AJ22-Uzman_D!$H$13&lt;0,-(AJ22-Uzman_D!$H$13),AJ22-Uzman_D!$H$13)*0.1+IF(AK22-Uzman_D!$I$13&lt;0,-(AK22-Uzman_D!$I$13),AK22-Uzman_D!$I$13)*0.1+IF(AL22-Uzman_D!$J$13&lt;0,-(AL22-Uzman_D!$J$13),AL22-Uzman_D!$J$13)*0.1)+IF(ROUND((IF(AN22-Uzman_D!$L$13&lt;0,-(AN22-Uzman_D!$L$13),AN22-Uzman_D!$L$13)*2),0)/2=IF(AN22-Uzman_D!$L$13&lt;0,-(AN22-Uzman_D!$L$13),AN22-Uzman_D!$L$13),(ROUND((IF(AN22-Uzman_D!$L$13&lt;0,-(AN22-Uzman_D!$L$13),AN22-Uzman_D!$L$13)*2),0)/1*0.1),0)+IF(AO22-Uzman_D!$M$13&lt;0,-(AO22-Uzman_D!$M$13),AO22-Uzman_D!$M$13)*1)</f>
        <v>-0.30000000000000004</v>
      </c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70"/>
      <c r="BB22" s="70"/>
      <c r="BC22" s="71">
        <f>1-(SUM(IF(AQ22-Uzman_D!$B$14&lt;0,-(AQ22-Uzman_D!$B$14),AQ22-Uzman_D!$B$14)*0.1+IF(AR22-Uzman_D!$C$14&lt;0,-(AR22-Uzman_D!$C$14),AR22-Uzman_D!$C$14)*0.1+IF(AS22-Uzman_D!$D$14&lt;0,-(AS22-Uzman_D!$D$14),AS22-Uzman_D!$D$14)*0.1+IF(AT22-Uzman_D!$E$14&lt;0,-(AT22-Uzman_D!$E$14),AT22-Uzman_D!$E$14)*0.1+IF(AU22-Uzman_D!$F$14&lt;0,-(AU22-Uzman_D!$F$14),AU22-Uzman_D!$F$14)*0.1+IF(AV22-Uzman_D!$G$14&lt;0,-(AV22-Uzman_D!$G$14),AV22-Uzman_D!$G$14)*0.1+IF(AW22-Uzman_D!$H$14&lt;0,-(AW22-Uzman_D!$H$14),AW22-Uzman_D!$H$14)*0.1+IF(AX22-Uzman_D!$I$14&lt;0,-(AX22-Uzman_D!$I$14),AX22-Uzman_D!$I$14)*0.1+IF(AY22-Uzman_D!$J$14&lt;0,-(AY22-Uzman_D!$J$14),AY22-Uzman_D!$J$14)*0.1)+IF(ROUND((IF(BA22-Uzman_D!$L$14&lt;0,-(BA22-Uzman_D!$L$14),BA22-Uzman_D!$L$14)*2),0)/2=IF(BA22-Uzman_D!$L$14&lt;0,-(BA22-Uzman_D!$L$14),BA22-Uzman_D!$L$14),(ROUND((IF(BA22-Uzman_D!$L$14&lt;0,-(BA22-Uzman_D!$L$14),BA22-Uzman_D!$L$14)*2),0)/1*0.1),0)+IF(BB22-Uzman_D!$M$14&lt;0,-(BB22-Uzman_D!$M$14),BB22-Uzman_D!$M$14)*1)</f>
        <v>-0.30000000000000027</v>
      </c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70"/>
      <c r="BO22" s="70"/>
      <c r="BP22" s="71">
        <f>1-(SUM(IF(BD22-Uzman_D!$B$15&lt;0,-(BD22-Uzman_D!$B$15),BD22-Uzman_D!$B$15)*0.1+IF(BE22-Uzman_D!$C$15&lt;0,-(BE22-Uzman_D!$C$15),BE22-Uzman_D!$C$15)*0.1+IF(BF22-Uzman_D!$D$15&lt;0,-(BF22-Uzman_D!$D$15),BF22-Uzman_D!$D$15)*0.1+IF(BG22-Uzman_D!$E$15&lt;0,-(BG22-Uzman_D!$E$15),BG22-Uzman_D!$E$15)*0.1+IF(BH22-Uzman_D!$F$15&lt;0,-(BH22-Uzman_D!$F$15),BH22-Uzman_D!$F$15)*0.1+IF(BI22-Uzman_D!$G$15&lt;0,-(BI22-Uzman_D!$G$15),BI22-Uzman_D!$G$15)*0.1+IF(BJ22-Uzman_D!$H$15&lt;0,-(BJ22-Uzman_D!$H$15),BJ22-Uzman_D!$H$15)*0.1+IF(BK22-Uzman_D!$I$15&lt;0,-(BK22-Uzman_D!$I$15),BK22-Uzman_D!$I$15)*0.1+IF(BL22-Uzman_D!$J$15&lt;0,-(BL22-Uzman_D!$J$15),BL22-Uzman_D!$J$15)*0.1)+IF(ROUND((IF(BN22-Uzman_D!$L$15&lt;0,-(BN22-Uzman_D!$L$15),BN22-Uzman_D!$L$15)*2),0)/2=IF(BN22-Uzman_D!$L$15&lt;0,-(BN22-Uzman_D!$L$15),BN22-Uzman_D!$L$15),(ROUND((IF(BN22-Uzman_D!$L$15&lt;0,-(BN22-Uzman_D!$L$15),BN22-Uzman_D!$L$15)*2),0)/1*0.1),0)+IF(BO22-Uzman_D!$M$15&lt;0,-(BO22-Uzman_D!$M$15),BO22-Uzman_D!$M$15)*1)</f>
        <v>-0.50000000000000022</v>
      </c>
      <c r="BQ22" s="72">
        <f t="shared" si="0"/>
        <v>-0.54</v>
      </c>
    </row>
    <row r="23" spans="1:69" ht="15" customHeight="1" x14ac:dyDescent="0.45">
      <c r="A23" s="54">
        <v>20</v>
      </c>
      <c r="B23" s="148" t="str">
        <f>Hakemler!B23</f>
        <v>ÖNER AĞAN</v>
      </c>
      <c r="C23" s="148" t="str">
        <f>Hakemler!C23</f>
        <v>DERYA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70"/>
      <c r="O23" s="70"/>
      <c r="P23" s="71">
        <f>1-(SUM(IF(D23-Uzman_D!$B$11&lt;0,-(D23-Uzman_D!$B$11),D23-Uzman_D!$B$11)*0.1+IF(E23-Uzman_D!$C$11&lt;0,-(E23-Uzman_D!$C$11),E23-Uzman_D!$C$11)*0.1+IF(F23-Uzman_D!$D$11&lt;0,-(F23-Uzman_D!$D$11),F23-Uzman_D!$D$11)*0.1+IF(G23-Uzman_D!$E$11&lt;0,-(G23-Uzman_D!$E$11),G23-Uzman_D!$E$11)*0.1+IF(H23-Uzman_D!$F$11&lt;0,-(H23-Uzman_D!$F$11),H23-Uzman_D!$F$11)*0.1+IF(I23-Uzman_D!$G$11&lt;0,-(I23-Uzman_D!$G$11),I23-Uzman_D!$G$11)*0.1+IF(J23-Uzman_D!$H$11&lt;0,-(J23-Uzman_D!$H$11),J23-Uzman_D!$H$11)*0.1+IF(K23-Uzman_D!$I$11&lt;0,-(K23-Uzman_D!$I$11),K23-Uzman_D!$I$11)*0.1+IF(L23-Uzman_D!$J$11&lt;0,-(L23-Uzman_D!$J$11),L23-Uzman_D!$J$11)*0.1)+IF(ROUND((IF(N23-Uzman_D!$L$11&lt;0,-(N23-Uzman_D!$L$11),N23-Uzman_D!$L$11)*2),0)/2=IF(N23-Uzman_D!$L$11&lt;0,-(N23-Uzman_D!$L$11),N23-Uzman_D!$L$11),(ROUND((IF(N23-Uzman_D!$L$11&lt;0,-(N23-Uzman_D!$L$11),N23-Uzman_D!$L$11)*2),0)/1*0.1),0)+IF(O23-Uzman_D!$M$11&lt;0,-(O23-Uzman_D!$M$11),O23-Uzman_D!$M$11)*1)</f>
        <v>-0.90000000000000013</v>
      </c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70"/>
      <c r="AB23" s="70"/>
      <c r="AC23" s="71">
        <f>1-(SUM(IF(Q23-Uzman_D!$B$12&lt;0,-(Q23-Uzman_D!$B$12),Q23-Uzman_D!$B$12)*0.1+IF(R23-Uzman_D!$C$12&lt;0,-(R23-Uzman_D!$C$12),R23-Uzman_D!$C$12)*0.1+IF(S23-Uzman_D!$D$12&lt;0,-(S23-Uzman_D!$D$12),S23-Uzman_D!$D$12)*0.1+IF(T23-Uzman_D!$E$12&lt;0,-(T23-Uzman_D!$E$12),T23-Uzman_D!$E$12)*0.1+IF(U23-Uzman_D!$F$12&lt;0,-(U23-Uzman_D!$F$12),U23-Uzman_D!$F$12)*0.1+IF(V23-Uzman_D!$G$12&lt;0,-(V23-Uzman_D!$G$12),V23-Uzman_D!$G$12)*0.1+IF(W23-Uzman_D!$H$12&lt;0,-(W23-Uzman_D!$H$12),W23-Uzman_D!$H$12)*0.1+IF(X23-Uzman_D!$I$12&lt;0,-(X23-Uzman_D!$I$12),X23-Uzman_D!$I$12)*0.1+IF(Y23-Uzman_D!$J$12&lt;0,-(Y23-Uzman_D!$J$12),Y23-Uzman_D!$J$12)*0.1)+IF(ROUND((IF(AA23-Uzman_D!$L$12&lt;0,-(AA23-Uzman_D!$L$12),AA23-Uzman_D!$L$12)*2),0)/2=IF(AA23-Uzman_D!$L$12&lt;0,-(AA23-Uzman_D!$L$12),AA23-Uzman_D!$L$12),(ROUND((IF(AA23-Uzman_D!$L$12&lt;0,-(AA23-Uzman_D!$L$12),AA23-Uzman_D!$L$12)*2),0)/1*0.1),0)+IF(AB23-Uzman_D!$M$12&lt;0,-(AB23-Uzman_D!$M$12),AB23-Uzman_D!$M$12)*1)</f>
        <v>-0.7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70"/>
      <c r="AO23" s="70"/>
      <c r="AP23" s="71">
        <f>1-(SUM(IF(AD23-Uzman_D!$B$13&lt;0,-(AD23-Uzman_D!$B$13),AD23-Uzman_D!$B$13)*0.1+IF(AE23-Uzman_D!$C$13&lt;0,-(AE23-Uzman_D!$C$13),AE23-Uzman_D!$C$13)*0.1+IF(AF23-Uzman_D!$D$13&lt;0,-(AF23-Uzman_D!$D$13),AF23-Uzman_D!$D$13)*0.1+IF(AG23-Uzman_D!$E$13&lt;0,-(AG23-Uzman_D!$E$13),AG23-Uzman_D!$E$13)*0.1+IF(AH23-Uzman_D!$F$13&lt;0,-(AH23-Uzman_D!$F$13),AH23-Uzman_D!$F$13)*0.1+IF(AI23-Uzman_D!$G$13&lt;0,-(AI23-Uzman_D!$G$13),AI23-Uzman_D!$G$13)*0.1+IF(AJ23-Uzman_D!$H$13&lt;0,-(AJ23-Uzman_D!$H$13),AJ23-Uzman_D!$H$13)*0.1+IF(AK23-Uzman_D!$I$13&lt;0,-(AK23-Uzman_D!$I$13),AK23-Uzman_D!$I$13)*0.1+IF(AL23-Uzman_D!$J$13&lt;0,-(AL23-Uzman_D!$J$13),AL23-Uzman_D!$J$13)*0.1)+IF(ROUND((IF(AN23-Uzman_D!$L$13&lt;0,-(AN23-Uzman_D!$L$13),AN23-Uzman_D!$L$13)*2),0)/2=IF(AN23-Uzman_D!$L$13&lt;0,-(AN23-Uzman_D!$L$13),AN23-Uzman_D!$L$13),(ROUND((IF(AN23-Uzman_D!$L$13&lt;0,-(AN23-Uzman_D!$L$13),AN23-Uzman_D!$L$13)*2),0)/1*0.1),0)+IF(AO23-Uzman_D!$M$13&lt;0,-(AO23-Uzman_D!$M$13),AO23-Uzman_D!$M$13)*1)</f>
        <v>-0.30000000000000004</v>
      </c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70"/>
      <c r="BB23" s="70"/>
      <c r="BC23" s="71">
        <f>1-(SUM(IF(AQ23-Uzman_D!$B$14&lt;0,-(AQ23-Uzman_D!$B$14),AQ23-Uzman_D!$B$14)*0.1+IF(AR23-Uzman_D!$C$14&lt;0,-(AR23-Uzman_D!$C$14),AR23-Uzman_D!$C$14)*0.1+IF(AS23-Uzman_D!$D$14&lt;0,-(AS23-Uzman_D!$D$14),AS23-Uzman_D!$D$14)*0.1+IF(AT23-Uzman_D!$E$14&lt;0,-(AT23-Uzman_D!$E$14),AT23-Uzman_D!$E$14)*0.1+IF(AU23-Uzman_D!$F$14&lt;0,-(AU23-Uzman_D!$F$14),AU23-Uzman_D!$F$14)*0.1+IF(AV23-Uzman_D!$G$14&lt;0,-(AV23-Uzman_D!$G$14),AV23-Uzman_D!$G$14)*0.1+IF(AW23-Uzman_D!$H$14&lt;0,-(AW23-Uzman_D!$H$14),AW23-Uzman_D!$H$14)*0.1+IF(AX23-Uzman_D!$I$14&lt;0,-(AX23-Uzman_D!$I$14),AX23-Uzman_D!$I$14)*0.1+IF(AY23-Uzman_D!$J$14&lt;0,-(AY23-Uzman_D!$J$14),AY23-Uzman_D!$J$14)*0.1)+IF(ROUND((IF(BA23-Uzman_D!$L$14&lt;0,-(BA23-Uzman_D!$L$14),BA23-Uzman_D!$L$14)*2),0)/2=IF(BA23-Uzman_D!$L$14&lt;0,-(BA23-Uzman_D!$L$14),BA23-Uzman_D!$L$14),(ROUND((IF(BA23-Uzman_D!$L$14&lt;0,-(BA23-Uzman_D!$L$14),BA23-Uzman_D!$L$14)*2),0)/1*0.1),0)+IF(BB23-Uzman_D!$M$14&lt;0,-(BB23-Uzman_D!$M$14),BB23-Uzman_D!$M$14)*1)</f>
        <v>-0.30000000000000027</v>
      </c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70"/>
      <c r="BO23" s="70"/>
      <c r="BP23" s="71">
        <f>1-(SUM(IF(BD23-Uzman_D!$B$15&lt;0,-(BD23-Uzman_D!$B$15),BD23-Uzman_D!$B$15)*0.1+IF(BE23-Uzman_D!$C$15&lt;0,-(BE23-Uzman_D!$C$15),BE23-Uzman_D!$C$15)*0.1+IF(BF23-Uzman_D!$D$15&lt;0,-(BF23-Uzman_D!$D$15),BF23-Uzman_D!$D$15)*0.1+IF(BG23-Uzman_D!$E$15&lt;0,-(BG23-Uzman_D!$E$15),BG23-Uzman_D!$E$15)*0.1+IF(BH23-Uzman_D!$F$15&lt;0,-(BH23-Uzman_D!$F$15),BH23-Uzman_D!$F$15)*0.1+IF(BI23-Uzman_D!$G$15&lt;0,-(BI23-Uzman_D!$G$15),BI23-Uzman_D!$G$15)*0.1+IF(BJ23-Uzman_D!$H$15&lt;0,-(BJ23-Uzman_D!$H$15),BJ23-Uzman_D!$H$15)*0.1+IF(BK23-Uzman_D!$I$15&lt;0,-(BK23-Uzman_D!$I$15),BK23-Uzman_D!$I$15)*0.1+IF(BL23-Uzman_D!$J$15&lt;0,-(BL23-Uzman_D!$J$15),BL23-Uzman_D!$J$15)*0.1)+IF(ROUND((IF(BN23-Uzman_D!$L$15&lt;0,-(BN23-Uzman_D!$L$15),BN23-Uzman_D!$L$15)*2),0)/2=IF(BN23-Uzman_D!$L$15&lt;0,-(BN23-Uzman_D!$L$15),BN23-Uzman_D!$L$15),(ROUND((IF(BN23-Uzman_D!$L$15&lt;0,-(BN23-Uzman_D!$L$15),BN23-Uzman_D!$L$15)*2),0)/1*0.1),0)+IF(BO23-Uzman_D!$M$15&lt;0,-(BO23-Uzman_D!$M$15),BO23-Uzman_D!$M$15)*1)</f>
        <v>-0.50000000000000022</v>
      </c>
      <c r="BQ23" s="72">
        <f t="shared" si="0"/>
        <v>-0.54</v>
      </c>
    </row>
    <row r="24" spans="1:69" ht="15" customHeight="1" x14ac:dyDescent="0.45">
      <c r="A24" s="54">
        <v>21</v>
      </c>
      <c r="B24" s="162" t="str">
        <f>Hakemler!B24</f>
        <v>ABACI</v>
      </c>
      <c r="C24" s="162" t="str">
        <f>Hakemler!C24</f>
        <v>BUSE</v>
      </c>
      <c r="D24" s="56"/>
      <c r="E24" s="56"/>
      <c r="F24" s="56">
        <v>2</v>
      </c>
      <c r="G24" s="56">
        <v>4</v>
      </c>
      <c r="H24" s="56"/>
      <c r="I24" s="56"/>
      <c r="J24" s="56"/>
      <c r="K24" s="56"/>
      <c r="L24" s="56"/>
      <c r="M24" s="56"/>
      <c r="N24" s="70">
        <v>2</v>
      </c>
      <c r="O24" s="70">
        <v>0.2</v>
      </c>
      <c r="P24" s="71">
        <f>1-(SUM(IF(D24-Uzman_D!$B$11&lt;0,-(D24-Uzman_D!$B$11),D24-Uzman_D!$B$11)*0.1+IF(E24-Uzman_D!$C$11&lt;0,-(E24-Uzman_D!$C$11),E24-Uzman_D!$C$11)*0.1+IF(F24-Uzman_D!$D$11&lt;0,-(F24-Uzman_D!$D$11),F24-Uzman_D!$D$11)*0.1+IF(G24-Uzman_D!$E$11&lt;0,-(G24-Uzman_D!$E$11),G24-Uzman_D!$E$11)*0.1+IF(H24-Uzman_D!$F$11&lt;0,-(H24-Uzman_D!$F$11),H24-Uzman_D!$F$11)*0.1+IF(I24-Uzman_D!$G$11&lt;0,-(I24-Uzman_D!$G$11),I24-Uzman_D!$G$11)*0.1+IF(J24-Uzman_D!$H$11&lt;0,-(J24-Uzman_D!$H$11),J24-Uzman_D!$H$11)*0.1+IF(K24-Uzman_D!$I$11&lt;0,-(K24-Uzman_D!$I$11),K24-Uzman_D!$I$11)*0.1+IF(L24-Uzman_D!$J$11&lt;0,-(L24-Uzman_D!$J$11),L24-Uzman_D!$J$11)*0.1)+IF(ROUND((IF(N24-Uzman_D!$L$11&lt;0,-(N24-Uzman_D!$L$11),N24-Uzman_D!$L$11)*2),0)/2=IF(N24-Uzman_D!$L$11&lt;0,-(N24-Uzman_D!$L$11),N24-Uzman_D!$L$11),(ROUND((IF(N24-Uzman_D!$L$11&lt;0,-(N24-Uzman_D!$L$11),N24-Uzman_D!$L$11)*2),0)/1*0.1),0)+IF(O24-Uzman_D!$M$11&lt;0,-(O24-Uzman_D!$M$11),O24-Uzman_D!$M$11)*1)</f>
        <v>0.10000000000000009</v>
      </c>
      <c r="Q24" s="56"/>
      <c r="R24" s="56"/>
      <c r="S24" s="56">
        <v>3</v>
      </c>
      <c r="T24" s="56">
        <v>4</v>
      </c>
      <c r="U24" s="56">
        <v>1</v>
      </c>
      <c r="V24" s="56"/>
      <c r="W24" s="56"/>
      <c r="X24" s="56"/>
      <c r="Y24" s="56"/>
      <c r="Z24" s="56"/>
      <c r="AA24" s="70">
        <v>2</v>
      </c>
      <c r="AB24" s="70">
        <v>0.3</v>
      </c>
      <c r="AC24" s="71">
        <f>1-(SUM(IF(Q24-Uzman_D!$B$12&lt;0,-(Q24-Uzman_D!$B$12),Q24-Uzman_D!$B$12)*0.1+IF(R24-Uzman_D!$C$12&lt;0,-(R24-Uzman_D!$C$12),R24-Uzman_D!$C$12)*0.1+IF(S24-Uzman_D!$D$12&lt;0,-(S24-Uzman_D!$D$12),S24-Uzman_D!$D$12)*0.1+IF(T24-Uzman_D!$E$12&lt;0,-(T24-Uzman_D!$E$12),T24-Uzman_D!$E$12)*0.1+IF(U24-Uzman_D!$F$12&lt;0,-(U24-Uzman_D!$F$12),U24-Uzman_D!$F$12)*0.1+IF(V24-Uzman_D!$G$12&lt;0,-(V24-Uzman_D!$G$12),V24-Uzman_D!$G$12)*0.1+IF(W24-Uzman_D!$H$12&lt;0,-(W24-Uzman_D!$H$12),W24-Uzman_D!$H$12)*0.1+IF(X24-Uzman_D!$I$12&lt;0,-(X24-Uzman_D!$I$12),X24-Uzman_D!$I$12)*0.1+IF(Y24-Uzman_D!$J$12&lt;0,-(Y24-Uzman_D!$J$12),Y24-Uzman_D!$J$12)*0.1)+IF(ROUND((IF(AA24-Uzman_D!$L$12&lt;0,-(AA24-Uzman_D!$L$12),AA24-Uzman_D!$L$12)*2),0)/2=IF(AA24-Uzman_D!$L$12&lt;0,-(AA24-Uzman_D!$L$12),AA24-Uzman_D!$L$12),(ROUND((IF(AA24-Uzman_D!$L$12&lt;0,-(AA24-Uzman_D!$L$12),AA24-Uzman_D!$L$12)*2),0)/1*0.1),0)+IF(AB24-Uzman_D!$M$12&lt;0,-(AB24-Uzman_D!$M$12),AB24-Uzman_D!$M$12)*1)</f>
        <v>0.39999999999999991</v>
      </c>
      <c r="AD24" s="56"/>
      <c r="AE24" s="56">
        <v>1</v>
      </c>
      <c r="AF24" s="56">
        <v>4</v>
      </c>
      <c r="AG24" s="56">
        <v>2</v>
      </c>
      <c r="AH24" s="56">
        <v>1</v>
      </c>
      <c r="AI24" s="56"/>
      <c r="AJ24" s="56"/>
      <c r="AK24" s="56"/>
      <c r="AL24" s="56"/>
      <c r="AM24" s="56"/>
      <c r="AN24" s="70">
        <v>2</v>
      </c>
      <c r="AO24" s="70">
        <v>0.2</v>
      </c>
      <c r="AP24" s="71">
        <f>1-(SUM(IF(AD24-Uzman_D!$B$13&lt;0,-(AD24-Uzman_D!$B$13),AD24-Uzman_D!$B$13)*0.1+IF(AE24-Uzman_D!$C$13&lt;0,-(AE24-Uzman_D!$C$13),AE24-Uzman_D!$C$13)*0.1+IF(AF24-Uzman_D!$D$13&lt;0,-(AF24-Uzman_D!$D$13),AF24-Uzman_D!$D$13)*0.1+IF(AG24-Uzman_D!$E$13&lt;0,-(AG24-Uzman_D!$E$13),AG24-Uzman_D!$E$13)*0.1+IF(AH24-Uzman_D!$F$13&lt;0,-(AH24-Uzman_D!$F$13),AH24-Uzman_D!$F$13)*0.1+IF(AI24-Uzman_D!$G$13&lt;0,-(AI24-Uzman_D!$G$13),AI24-Uzman_D!$G$13)*0.1+IF(AJ24-Uzman_D!$H$13&lt;0,-(AJ24-Uzman_D!$H$13),AJ24-Uzman_D!$H$13)*0.1+IF(AK24-Uzman_D!$I$13&lt;0,-(AK24-Uzman_D!$I$13),AK24-Uzman_D!$I$13)*0.1+IF(AL24-Uzman_D!$J$13&lt;0,-(AL24-Uzman_D!$J$13),AL24-Uzman_D!$J$13)*0.1)+IF(ROUND((IF(AN24-Uzman_D!$L$13&lt;0,-(AN24-Uzman_D!$L$13),AN24-Uzman_D!$L$13)*2),0)/2=IF(AN24-Uzman_D!$L$13&lt;0,-(AN24-Uzman_D!$L$13),AN24-Uzman_D!$L$13),(ROUND((IF(AN24-Uzman_D!$L$13&lt;0,-(AN24-Uzman_D!$L$13),AN24-Uzman_D!$L$13)*2),0)/1*0.1),0)+IF(AO24-Uzman_D!$M$13&lt;0,-(AO24-Uzman_D!$M$13),AO24-Uzman_D!$M$13)*1)</f>
        <v>0.30000000000000004</v>
      </c>
      <c r="AQ24" s="56">
        <v>1</v>
      </c>
      <c r="AR24" s="56">
        <v>2</v>
      </c>
      <c r="AS24" s="56">
        <v>3</v>
      </c>
      <c r="AT24" s="56">
        <v>1</v>
      </c>
      <c r="AU24" s="56"/>
      <c r="AV24" s="56"/>
      <c r="AW24" s="56"/>
      <c r="AX24" s="56"/>
      <c r="AY24" s="56"/>
      <c r="AZ24" s="56"/>
      <c r="BA24" s="70">
        <v>1</v>
      </c>
      <c r="BB24" s="70">
        <v>0.2</v>
      </c>
      <c r="BC24" s="71">
        <f>1-(SUM(IF(AQ24-Uzman_D!$B$14&lt;0,-(AQ24-Uzman_D!$B$14),AQ24-Uzman_D!$B$14)*0.1+IF(AR24-Uzman_D!$C$14&lt;0,-(AR24-Uzman_D!$C$14),AR24-Uzman_D!$C$14)*0.1+IF(AS24-Uzman_D!$D$14&lt;0,-(AS24-Uzman_D!$D$14),AS24-Uzman_D!$D$14)*0.1+IF(AT24-Uzman_D!$E$14&lt;0,-(AT24-Uzman_D!$E$14),AT24-Uzman_D!$E$14)*0.1+IF(AU24-Uzman_D!$F$14&lt;0,-(AU24-Uzman_D!$F$14),AU24-Uzman_D!$F$14)*0.1+IF(AV24-Uzman_D!$G$14&lt;0,-(AV24-Uzman_D!$G$14),AV24-Uzman_D!$G$14)*0.1+IF(AW24-Uzman_D!$H$14&lt;0,-(AW24-Uzman_D!$H$14),AW24-Uzman_D!$H$14)*0.1+IF(AX24-Uzman_D!$I$14&lt;0,-(AX24-Uzman_D!$I$14),AX24-Uzman_D!$I$14)*0.1+IF(AY24-Uzman_D!$J$14&lt;0,-(AY24-Uzman_D!$J$14),AY24-Uzman_D!$J$14)*0.1)+IF(ROUND((IF(BA24-Uzman_D!$L$14&lt;0,-(BA24-Uzman_D!$L$14),BA24-Uzman_D!$L$14)*2),0)/2=IF(BA24-Uzman_D!$L$14&lt;0,-(BA24-Uzman_D!$L$14),BA24-Uzman_D!$L$14),(ROUND((IF(BA24-Uzman_D!$L$14&lt;0,-(BA24-Uzman_D!$L$14),BA24-Uzman_D!$L$14)*2),0)/1*0.1),0)+IF(BB24-Uzman_D!$M$14&lt;0,-(BB24-Uzman_D!$M$14),BB24-Uzman_D!$M$14)*1)</f>
        <v>0.4</v>
      </c>
      <c r="BD24" s="56">
        <v>1</v>
      </c>
      <c r="BE24" s="56">
        <v>2</v>
      </c>
      <c r="BF24" s="56">
        <v>3</v>
      </c>
      <c r="BG24" s="56">
        <v>2</v>
      </c>
      <c r="BH24" s="56"/>
      <c r="BI24" s="56"/>
      <c r="BJ24" s="56"/>
      <c r="BK24" s="56"/>
      <c r="BL24" s="56"/>
      <c r="BM24" s="56"/>
      <c r="BN24" s="70">
        <v>1.5</v>
      </c>
      <c r="BO24" s="70">
        <v>0.3</v>
      </c>
      <c r="BP24" s="71">
        <f>1-(SUM(IF(BD24-Uzman_D!$B$15&lt;0,-(BD24-Uzman_D!$B$15),BD24-Uzman_D!$B$15)*0.1+IF(BE24-Uzman_D!$C$15&lt;0,-(BE24-Uzman_D!$C$15),BE24-Uzman_D!$C$15)*0.1+IF(BF24-Uzman_D!$D$15&lt;0,-(BF24-Uzman_D!$D$15),BF24-Uzman_D!$D$15)*0.1+IF(BG24-Uzman_D!$E$15&lt;0,-(BG24-Uzman_D!$E$15),BG24-Uzman_D!$E$15)*0.1+IF(BH24-Uzman_D!$F$15&lt;0,-(BH24-Uzman_D!$F$15),BH24-Uzman_D!$F$15)*0.1+IF(BI24-Uzman_D!$G$15&lt;0,-(BI24-Uzman_D!$G$15),BI24-Uzman_D!$G$15)*0.1+IF(BJ24-Uzman_D!$H$15&lt;0,-(BJ24-Uzman_D!$H$15),BJ24-Uzman_D!$H$15)*0.1+IF(BK24-Uzman_D!$I$15&lt;0,-(BK24-Uzman_D!$I$15),BK24-Uzman_D!$I$15)*0.1+IF(BL24-Uzman_D!$J$15&lt;0,-(BL24-Uzman_D!$J$15),BL24-Uzman_D!$J$15)*0.1)+IF(ROUND((IF(BN24-Uzman_D!$L$15&lt;0,-(BN24-Uzman_D!$L$15),BN24-Uzman_D!$L$15)*2),0)/2=IF(BN24-Uzman_D!$L$15&lt;0,-(BN24-Uzman_D!$L$15),BN24-Uzman_D!$L$15),(ROUND((IF(BN24-Uzman_D!$L$15&lt;0,-(BN24-Uzman_D!$L$15),BN24-Uzman_D!$L$15)*2),0)/1*0.1),0)+IF(BO24-Uzman_D!$M$15&lt;0,-(BO24-Uzman_D!$M$15),BO24-Uzman_D!$M$15)*1)</f>
        <v>0.5</v>
      </c>
      <c r="BQ24" s="72">
        <f t="shared" si="0"/>
        <v>0.34</v>
      </c>
    </row>
    <row r="25" spans="1:69" ht="15" customHeight="1" x14ac:dyDescent="0.45">
      <c r="A25" s="54">
        <v>22</v>
      </c>
      <c r="B25" s="162" t="str">
        <f>Hakemler!B25</f>
        <v>KARAKAŞ</v>
      </c>
      <c r="C25" s="162" t="str">
        <f>Hakemler!C25</f>
        <v>TAHİR</v>
      </c>
      <c r="D25" s="56"/>
      <c r="E25" s="56"/>
      <c r="F25" s="56">
        <v>2</v>
      </c>
      <c r="G25" s="56">
        <v>6</v>
      </c>
      <c r="H25" s="56"/>
      <c r="I25" s="56"/>
      <c r="J25" s="56"/>
      <c r="K25" s="56"/>
      <c r="L25" s="56"/>
      <c r="M25" s="56"/>
      <c r="N25" s="70">
        <v>2</v>
      </c>
      <c r="O25" s="70">
        <v>0.4</v>
      </c>
      <c r="P25" s="71">
        <f>1-(SUM(IF(D25-Uzman_D!$B$11&lt;0,-(D25-Uzman_D!$B$11),D25-Uzman_D!$B$11)*0.1+IF(E25-Uzman_D!$C$11&lt;0,-(E25-Uzman_D!$C$11),E25-Uzman_D!$C$11)*0.1+IF(F25-Uzman_D!$D$11&lt;0,-(F25-Uzman_D!$D$11),F25-Uzman_D!$D$11)*0.1+IF(G25-Uzman_D!$E$11&lt;0,-(G25-Uzman_D!$E$11),G25-Uzman_D!$E$11)*0.1+IF(H25-Uzman_D!$F$11&lt;0,-(H25-Uzman_D!$F$11),H25-Uzman_D!$F$11)*0.1+IF(I25-Uzman_D!$G$11&lt;0,-(I25-Uzman_D!$G$11),I25-Uzman_D!$G$11)*0.1+IF(J25-Uzman_D!$H$11&lt;0,-(J25-Uzman_D!$H$11),J25-Uzman_D!$H$11)*0.1+IF(K25-Uzman_D!$I$11&lt;0,-(K25-Uzman_D!$I$11),K25-Uzman_D!$I$11)*0.1+IF(L25-Uzman_D!$J$11&lt;0,-(L25-Uzman_D!$J$11),L25-Uzman_D!$J$11)*0.1)+IF(ROUND((IF(N25-Uzman_D!$L$11&lt;0,-(N25-Uzman_D!$L$11),N25-Uzman_D!$L$11)*2),0)/2=IF(N25-Uzman_D!$L$11&lt;0,-(N25-Uzman_D!$L$11),N25-Uzman_D!$L$11),(ROUND((IF(N25-Uzman_D!$L$11&lt;0,-(N25-Uzman_D!$L$11),N25-Uzman_D!$L$11)*2),0)/1*0.1),0)+IF(O25-Uzman_D!$M$11&lt;0,-(O25-Uzman_D!$M$11),O25-Uzman_D!$M$11)*1)</f>
        <v>0.5</v>
      </c>
      <c r="Q25" s="56"/>
      <c r="R25" s="56"/>
      <c r="S25" s="56">
        <v>2</v>
      </c>
      <c r="T25" s="56">
        <v>4</v>
      </c>
      <c r="U25" s="56">
        <v>2</v>
      </c>
      <c r="V25" s="56"/>
      <c r="W25" s="56"/>
      <c r="X25" s="56">
        <v>1</v>
      </c>
      <c r="Y25" s="56"/>
      <c r="Z25" s="56"/>
      <c r="AA25" s="70">
        <v>2</v>
      </c>
      <c r="AB25" s="70">
        <v>0.3</v>
      </c>
      <c r="AC25" s="71">
        <f>1-(SUM(IF(Q25-Uzman_D!$B$12&lt;0,-(Q25-Uzman_D!$B$12),Q25-Uzman_D!$B$12)*0.1+IF(R25-Uzman_D!$C$12&lt;0,-(R25-Uzman_D!$C$12),R25-Uzman_D!$C$12)*0.1+IF(S25-Uzman_D!$D$12&lt;0,-(S25-Uzman_D!$D$12),S25-Uzman_D!$D$12)*0.1+IF(T25-Uzman_D!$E$12&lt;0,-(T25-Uzman_D!$E$12),T25-Uzman_D!$E$12)*0.1+IF(U25-Uzman_D!$F$12&lt;0,-(U25-Uzman_D!$F$12),U25-Uzman_D!$F$12)*0.1+IF(V25-Uzman_D!$G$12&lt;0,-(V25-Uzman_D!$G$12),V25-Uzman_D!$G$12)*0.1+IF(W25-Uzman_D!$H$12&lt;0,-(W25-Uzman_D!$H$12),W25-Uzman_D!$H$12)*0.1+IF(X25-Uzman_D!$I$12&lt;0,-(X25-Uzman_D!$I$12),X25-Uzman_D!$I$12)*0.1+IF(Y25-Uzman_D!$J$12&lt;0,-(Y25-Uzman_D!$J$12),Y25-Uzman_D!$J$12)*0.1)+IF(ROUND((IF(AA25-Uzman_D!$L$12&lt;0,-(AA25-Uzman_D!$L$12),AA25-Uzman_D!$L$12)*2),0)/2=IF(AA25-Uzman_D!$L$12&lt;0,-(AA25-Uzman_D!$L$12),AA25-Uzman_D!$L$12),(ROUND((IF(AA25-Uzman_D!$L$12&lt;0,-(AA25-Uzman_D!$L$12),AA25-Uzman_D!$L$12)*2),0)/1*0.1),0)+IF(AB25-Uzman_D!$M$12&lt;0,-(AB25-Uzman_D!$M$12),AB25-Uzman_D!$M$12)*1)</f>
        <v>0.5</v>
      </c>
      <c r="AD25" s="56"/>
      <c r="AE25" s="56">
        <v>1</v>
      </c>
      <c r="AF25" s="56">
        <v>2</v>
      </c>
      <c r="AG25" s="56">
        <v>4</v>
      </c>
      <c r="AH25" s="56"/>
      <c r="AI25" s="56"/>
      <c r="AJ25" s="56"/>
      <c r="AK25" s="56"/>
      <c r="AL25" s="56"/>
      <c r="AM25" s="56"/>
      <c r="AN25" s="70">
        <v>2</v>
      </c>
      <c r="AO25" s="70">
        <v>0</v>
      </c>
      <c r="AP25" s="71">
        <f>1-(SUM(IF(AD25-Uzman_D!$B$13&lt;0,-(AD25-Uzman_D!$B$13),AD25-Uzman_D!$B$13)*0.1+IF(AE25-Uzman_D!$C$13&lt;0,-(AE25-Uzman_D!$C$13),AE25-Uzman_D!$C$13)*0.1+IF(AF25-Uzman_D!$D$13&lt;0,-(AF25-Uzman_D!$D$13),AF25-Uzman_D!$D$13)*0.1+IF(AG25-Uzman_D!$E$13&lt;0,-(AG25-Uzman_D!$E$13),AG25-Uzman_D!$E$13)*0.1+IF(AH25-Uzman_D!$F$13&lt;0,-(AH25-Uzman_D!$F$13),AH25-Uzman_D!$F$13)*0.1+IF(AI25-Uzman_D!$G$13&lt;0,-(AI25-Uzman_D!$G$13),AI25-Uzman_D!$G$13)*0.1+IF(AJ25-Uzman_D!$H$13&lt;0,-(AJ25-Uzman_D!$H$13),AJ25-Uzman_D!$H$13)*0.1+IF(AK25-Uzman_D!$I$13&lt;0,-(AK25-Uzman_D!$I$13),AK25-Uzman_D!$I$13)*0.1+IF(AL25-Uzman_D!$J$13&lt;0,-(AL25-Uzman_D!$J$13),AL25-Uzman_D!$J$13)*0.1)+IF(ROUND((IF(AN25-Uzman_D!$L$13&lt;0,-(AN25-Uzman_D!$L$13),AN25-Uzman_D!$L$13)*2),0)/2=IF(AN25-Uzman_D!$L$13&lt;0,-(AN25-Uzman_D!$L$13),AN25-Uzman_D!$L$13),(ROUND((IF(AN25-Uzman_D!$L$13&lt;0,-(AN25-Uzman_D!$L$13),AN25-Uzman_D!$L$13)*2),0)/1*0.1),0)+IF(AO25-Uzman_D!$M$13&lt;0,-(AO25-Uzman_D!$M$13),AO25-Uzman_D!$M$13)*1)</f>
        <v>0.4</v>
      </c>
      <c r="AQ25" s="56"/>
      <c r="AR25" s="56">
        <v>3</v>
      </c>
      <c r="AS25" s="56">
        <v>3</v>
      </c>
      <c r="AT25" s="56">
        <v>2</v>
      </c>
      <c r="AU25" s="56"/>
      <c r="AV25" s="56"/>
      <c r="AW25" s="56"/>
      <c r="AX25" s="56"/>
      <c r="AY25" s="56"/>
      <c r="AZ25" s="56"/>
      <c r="BA25" s="70">
        <v>1.5</v>
      </c>
      <c r="BB25" s="70">
        <v>0.1</v>
      </c>
      <c r="BC25" s="71">
        <f>1-(SUM(IF(AQ25-Uzman_D!$B$14&lt;0,-(AQ25-Uzman_D!$B$14),AQ25-Uzman_D!$B$14)*0.1+IF(AR25-Uzman_D!$C$14&lt;0,-(AR25-Uzman_D!$C$14),AR25-Uzman_D!$C$14)*0.1+IF(AS25-Uzman_D!$D$14&lt;0,-(AS25-Uzman_D!$D$14),AS25-Uzman_D!$D$14)*0.1+IF(AT25-Uzman_D!$E$14&lt;0,-(AT25-Uzman_D!$E$14),AT25-Uzman_D!$E$14)*0.1+IF(AU25-Uzman_D!$F$14&lt;0,-(AU25-Uzman_D!$F$14),AU25-Uzman_D!$F$14)*0.1+IF(AV25-Uzman_D!$G$14&lt;0,-(AV25-Uzman_D!$G$14),AV25-Uzman_D!$G$14)*0.1+IF(AW25-Uzman_D!$H$14&lt;0,-(AW25-Uzman_D!$H$14),AW25-Uzman_D!$H$14)*0.1+IF(AX25-Uzman_D!$I$14&lt;0,-(AX25-Uzman_D!$I$14),AX25-Uzman_D!$I$14)*0.1+IF(AY25-Uzman_D!$J$14&lt;0,-(AY25-Uzman_D!$J$14),AY25-Uzman_D!$J$14)*0.1)+IF(ROUND((IF(BA25-Uzman_D!$L$14&lt;0,-(BA25-Uzman_D!$L$14),BA25-Uzman_D!$L$14)*2),0)/2=IF(BA25-Uzman_D!$L$14&lt;0,-(BA25-Uzman_D!$L$14),BA25-Uzman_D!$L$14),(ROUND((IF(BA25-Uzman_D!$L$14&lt;0,-(BA25-Uzman_D!$L$14),BA25-Uzman_D!$L$14)*2),0)/1*0.1),0)+IF(BB25-Uzman_D!$M$14&lt;0,-(BB25-Uzman_D!$M$14),BB25-Uzman_D!$M$14)*1)</f>
        <v>0.9</v>
      </c>
      <c r="BD25" s="56"/>
      <c r="BE25" s="56">
        <v>1</v>
      </c>
      <c r="BF25" s="56">
        <v>3</v>
      </c>
      <c r="BG25" s="56">
        <v>4</v>
      </c>
      <c r="BH25" s="56"/>
      <c r="BI25" s="56"/>
      <c r="BJ25" s="56"/>
      <c r="BK25" s="56"/>
      <c r="BL25" s="56"/>
      <c r="BM25" s="56"/>
      <c r="BN25" s="70">
        <v>2</v>
      </c>
      <c r="BO25" s="70">
        <v>0.3</v>
      </c>
      <c r="BP25" s="71">
        <f>1-(SUM(IF(BD25-Uzman_D!$B$15&lt;0,-(BD25-Uzman_D!$B$15),BD25-Uzman_D!$B$15)*0.1+IF(BE25-Uzman_D!$C$15&lt;0,-(BE25-Uzman_D!$C$15),BE25-Uzman_D!$C$15)*0.1+IF(BF25-Uzman_D!$D$15&lt;0,-(BF25-Uzman_D!$D$15),BF25-Uzman_D!$D$15)*0.1+IF(BG25-Uzman_D!$E$15&lt;0,-(BG25-Uzman_D!$E$15),BG25-Uzman_D!$E$15)*0.1+IF(BH25-Uzman_D!$F$15&lt;0,-(BH25-Uzman_D!$F$15),BH25-Uzman_D!$F$15)*0.1+IF(BI25-Uzman_D!$G$15&lt;0,-(BI25-Uzman_D!$G$15),BI25-Uzman_D!$G$15)*0.1+IF(BJ25-Uzman_D!$H$15&lt;0,-(BJ25-Uzman_D!$H$15),BJ25-Uzman_D!$H$15)*0.1+IF(BK25-Uzman_D!$I$15&lt;0,-(BK25-Uzman_D!$I$15),BK25-Uzman_D!$I$15)*0.1+IF(BL25-Uzman_D!$J$15&lt;0,-(BL25-Uzman_D!$J$15),BL25-Uzman_D!$J$15)*0.1)+IF(ROUND((IF(BN25-Uzman_D!$L$15&lt;0,-(BN25-Uzman_D!$L$15),BN25-Uzman_D!$L$15)*2),0)/2=IF(BN25-Uzman_D!$L$15&lt;0,-(BN25-Uzman_D!$L$15),BN25-Uzman_D!$L$15),(ROUND((IF(BN25-Uzman_D!$L$15&lt;0,-(BN25-Uzman_D!$L$15),BN25-Uzman_D!$L$15)*2),0)/1*0.1),0)+IF(BO25-Uzman_D!$M$15&lt;0,-(BO25-Uzman_D!$M$15),BO25-Uzman_D!$M$15)*1)</f>
        <v>0.8</v>
      </c>
      <c r="BQ25" s="72">
        <f t="shared" si="0"/>
        <v>0.61999999999999988</v>
      </c>
    </row>
    <row r="26" spans="1:69" ht="15" customHeight="1" x14ac:dyDescent="0.45">
      <c r="A26" s="54">
        <v>23</v>
      </c>
      <c r="B26" s="162" t="str">
        <f>Hakemler!B26</f>
        <v>SAVAŞ OK</v>
      </c>
      <c r="C26" s="162" t="str">
        <f>Hakemler!C26</f>
        <v>DİLAY</v>
      </c>
      <c r="D26" s="56"/>
      <c r="E26" s="56">
        <v>1</v>
      </c>
      <c r="F26" s="56">
        <v>3</v>
      </c>
      <c r="G26" s="56">
        <v>4</v>
      </c>
      <c r="H26" s="56"/>
      <c r="I26" s="56"/>
      <c r="J26" s="56"/>
      <c r="K26" s="56"/>
      <c r="L26" s="56"/>
      <c r="M26" s="56"/>
      <c r="N26" s="70">
        <v>2</v>
      </c>
      <c r="O26" s="70">
        <v>0.7</v>
      </c>
      <c r="P26" s="71">
        <f>1-(SUM(IF(D26-Uzman_D!$B$11&lt;0,-(D26-Uzman_D!$B$11),D26-Uzman_D!$B$11)*0.1+IF(E26-Uzman_D!$C$11&lt;0,-(E26-Uzman_D!$C$11),E26-Uzman_D!$C$11)*0.1+IF(F26-Uzman_D!$D$11&lt;0,-(F26-Uzman_D!$D$11),F26-Uzman_D!$D$11)*0.1+IF(G26-Uzman_D!$E$11&lt;0,-(G26-Uzman_D!$E$11),G26-Uzman_D!$E$11)*0.1+IF(H26-Uzman_D!$F$11&lt;0,-(H26-Uzman_D!$F$11),H26-Uzman_D!$F$11)*0.1+IF(I26-Uzman_D!$G$11&lt;0,-(I26-Uzman_D!$G$11),I26-Uzman_D!$G$11)*0.1+IF(J26-Uzman_D!$H$11&lt;0,-(J26-Uzman_D!$H$11),J26-Uzman_D!$H$11)*0.1+IF(K26-Uzman_D!$I$11&lt;0,-(K26-Uzman_D!$I$11),K26-Uzman_D!$I$11)*0.1+IF(L26-Uzman_D!$J$11&lt;0,-(L26-Uzman_D!$J$11),L26-Uzman_D!$J$11)*0.1)+IF(ROUND((IF(N26-Uzman_D!$L$11&lt;0,-(N26-Uzman_D!$L$11),N26-Uzman_D!$L$11)*2),0)/2=IF(N26-Uzman_D!$L$11&lt;0,-(N26-Uzman_D!$L$11),N26-Uzman_D!$L$11),(ROUND((IF(N26-Uzman_D!$L$11&lt;0,-(N26-Uzman_D!$L$11),N26-Uzman_D!$L$11)*2),0)/1*0.1),0)+IF(O26-Uzman_D!$M$11&lt;0,-(O26-Uzman_D!$M$11),O26-Uzman_D!$M$11)*1)</f>
        <v>0.4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70">
        <v>1.5</v>
      </c>
      <c r="AB26" s="70">
        <v>0.4</v>
      </c>
      <c r="AC26" s="71">
        <f>1-(SUM(IF(Q26-Uzman_D!$B$12&lt;0,-(Q26-Uzman_D!$B$12),Q26-Uzman_D!$B$12)*0.1+IF(R26-Uzman_D!$C$12&lt;0,-(R26-Uzman_D!$C$12),R26-Uzman_D!$C$12)*0.1+IF(S26-Uzman_D!$D$12&lt;0,-(S26-Uzman_D!$D$12),S26-Uzman_D!$D$12)*0.1+IF(T26-Uzman_D!$E$12&lt;0,-(T26-Uzman_D!$E$12),T26-Uzman_D!$E$12)*0.1+IF(U26-Uzman_D!$F$12&lt;0,-(U26-Uzman_D!$F$12),U26-Uzman_D!$F$12)*0.1+IF(V26-Uzman_D!$G$12&lt;0,-(V26-Uzman_D!$G$12),V26-Uzman_D!$G$12)*0.1+IF(W26-Uzman_D!$H$12&lt;0,-(W26-Uzman_D!$H$12),W26-Uzman_D!$H$12)*0.1+IF(X26-Uzman_D!$I$12&lt;0,-(X26-Uzman_D!$I$12),X26-Uzman_D!$I$12)*0.1+IF(Y26-Uzman_D!$J$12&lt;0,-(Y26-Uzman_D!$J$12),Y26-Uzman_D!$J$12)*0.1)+IF(ROUND((IF(AA26-Uzman_D!$L$12&lt;0,-(AA26-Uzman_D!$L$12),AA26-Uzman_D!$L$12)*2),0)/2=IF(AA26-Uzman_D!$L$12&lt;0,-(AA26-Uzman_D!$L$12),AA26-Uzman_D!$L$12),(ROUND((IF(AA26-Uzman_D!$L$12&lt;0,-(AA26-Uzman_D!$L$12),AA26-Uzman_D!$L$12)*2),0)/1*0.1),0)+IF(AB26-Uzman_D!$M$12&lt;0,-(AB26-Uzman_D!$M$12),AB26-Uzman_D!$M$12)*1)</f>
        <v>0</v>
      </c>
      <c r="AD26" s="56"/>
      <c r="AE26" s="56">
        <v>2</v>
      </c>
      <c r="AF26" s="56">
        <v>3</v>
      </c>
      <c r="AG26" s="56">
        <v>3</v>
      </c>
      <c r="AH26" s="56"/>
      <c r="AI26" s="56"/>
      <c r="AJ26" s="56"/>
      <c r="AK26" s="56"/>
      <c r="AL26" s="56"/>
      <c r="AM26" s="56"/>
      <c r="AN26" s="70">
        <v>2</v>
      </c>
      <c r="AO26" s="70">
        <v>0.4</v>
      </c>
      <c r="AP26" s="71">
        <f>1-(SUM(IF(AD26-Uzman_D!$B$13&lt;0,-(AD26-Uzman_D!$B$13),AD26-Uzman_D!$B$13)*0.1+IF(AE26-Uzman_D!$C$13&lt;0,-(AE26-Uzman_D!$C$13),AE26-Uzman_D!$C$13)*0.1+IF(AF26-Uzman_D!$D$13&lt;0,-(AF26-Uzman_D!$D$13),AF26-Uzman_D!$D$13)*0.1+IF(AG26-Uzman_D!$E$13&lt;0,-(AG26-Uzman_D!$E$13),AG26-Uzman_D!$E$13)*0.1+IF(AH26-Uzman_D!$F$13&lt;0,-(AH26-Uzman_D!$F$13),AH26-Uzman_D!$F$13)*0.1+IF(AI26-Uzman_D!$G$13&lt;0,-(AI26-Uzman_D!$G$13),AI26-Uzman_D!$G$13)*0.1+IF(AJ26-Uzman_D!$H$13&lt;0,-(AJ26-Uzman_D!$H$13),AJ26-Uzman_D!$H$13)*0.1+IF(AK26-Uzman_D!$I$13&lt;0,-(AK26-Uzman_D!$I$13),AK26-Uzman_D!$I$13)*0.1+IF(AL26-Uzman_D!$J$13&lt;0,-(AL26-Uzman_D!$J$13),AL26-Uzman_D!$J$13)*0.1)+IF(ROUND((IF(AN26-Uzman_D!$L$13&lt;0,-(AN26-Uzman_D!$L$13),AN26-Uzman_D!$L$13)*2),0)/2=IF(AN26-Uzman_D!$L$13&lt;0,-(AN26-Uzman_D!$L$13),AN26-Uzman_D!$L$13),(ROUND((IF(AN26-Uzman_D!$L$13&lt;0,-(AN26-Uzman_D!$L$13),AN26-Uzman_D!$L$13)*2),0)/1*0.1),0)+IF(AO26-Uzman_D!$M$13&lt;0,-(AO26-Uzman_D!$M$13),AO26-Uzman_D!$M$13)*1)</f>
        <v>9.9999999999999978E-2</v>
      </c>
      <c r="AQ26" s="56">
        <v>4</v>
      </c>
      <c r="AR26" s="56">
        <v>3</v>
      </c>
      <c r="AS26" s="56"/>
      <c r="AT26" s="56"/>
      <c r="AU26" s="56"/>
      <c r="AV26" s="56"/>
      <c r="AW26" s="56"/>
      <c r="AX26" s="56"/>
      <c r="AY26" s="56"/>
      <c r="AZ26" s="56"/>
      <c r="BA26" s="70">
        <v>1</v>
      </c>
      <c r="BB26" s="70">
        <v>0</v>
      </c>
      <c r="BC26" s="71">
        <f>1-(SUM(IF(AQ26-Uzman_D!$B$14&lt;0,-(AQ26-Uzman_D!$B$14),AQ26-Uzman_D!$B$14)*0.1+IF(AR26-Uzman_D!$C$14&lt;0,-(AR26-Uzman_D!$C$14),AR26-Uzman_D!$C$14)*0.1+IF(AS26-Uzman_D!$D$14&lt;0,-(AS26-Uzman_D!$D$14),AS26-Uzman_D!$D$14)*0.1+IF(AT26-Uzman_D!$E$14&lt;0,-(AT26-Uzman_D!$E$14),AT26-Uzman_D!$E$14)*0.1+IF(AU26-Uzman_D!$F$14&lt;0,-(AU26-Uzman_D!$F$14),AU26-Uzman_D!$F$14)*0.1+IF(AV26-Uzman_D!$G$14&lt;0,-(AV26-Uzman_D!$G$14),AV26-Uzman_D!$G$14)*0.1+IF(AW26-Uzman_D!$H$14&lt;0,-(AW26-Uzman_D!$H$14),AW26-Uzman_D!$H$14)*0.1+IF(AX26-Uzman_D!$I$14&lt;0,-(AX26-Uzman_D!$I$14),AX26-Uzman_D!$I$14)*0.1+IF(AY26-Uzman_D!$J$14&lt;0,-(AY26-Uzman_D!$J$14),AY26-Uzman_D!$J$14)*0.1)+IF(ROUND((IF(BA26-Uzman_D!$L$14&lt;0,-(BA26-Uzman_D!$L$14),BA26-Uzman_D!$L$14)*2),0)/2=IF(BA26-Uzman_D!$L$14&lt;0,-(BA26-Uzman_D!$L$14),BA26-Uzman_D!$L$14),(ROUND((IF(BA26-Uzman_D!$L$14&lt;0,-(BA26-Uzman_D!$L$14),BA26-Uzman_D!$L$14)*2),0)/1*0.1),0)+IF(BB26-Uzman_D!$M$14&lt;0,-(BB26-Uzman_D!$M$14),BB26-Uzman_D!$M$14)*1)</f>
        <v>-0.20000000000000018</v>
      </c>
      <c r="BD26" s="56">
        <v>1</v>
      </c>
      <c r="BE26" s="56">
        <v>1</v>
      </c>
      <c r="BF26" s="56">
        <v>3</v>
      </c>
      <c r="BG26" s="56">
        <v>1</v>
      </c>
      <c r="BH26" s="56">
        <v>2</v>
      </c>
      <c r="BI26" s="56"/>
      <c r="BJ26" s="56"/>
      <c r="BK26" s="56"/>
      <c r="BL26" s="56"/>
      <c r="BM26" s="56"/>
      <c r="BN26" s="70">
        <v>2</v>
      </c>
      <c r="BO26" s="70">
        <v>0.4</v>
      </c>
      <c r="BP26" s="71">
        <f>1-(SUM(IF(BD26-Uzman_D!$B$15&lt;0,-(BD26-Uzman_D!$B$15),BD26-Uzman_D!$B$15)*0.1+IF(BE26-Uzman_D!$C$15&lt;0,-(BE26-Uzman_D!$C$15),BE26-Uzman_D!$C$15)*0.1+IF(BF26-Uzman_D!$D$15&lt;0,-(BF26-Uzman_D!$D$15),BF26-Uzman_D!$D$15)*0.1+IF(BG26-Uzman_D!$E$15&lt;0,-(BG26-Uzman_D!$E$15),BG26-Uzman_D!$E$15)*0.1+IF(BH26-Uzman_D!$F$15&lt;0,-(BH26-Uzman_D!$F$15),BH26-Uzman_D!$F$15)*0.1+IF(BI26-Uzman_D!$G$15&lt;0,-(BI26-Uzman_D!$G$15),BI26-Uzman_D!$G$15)*0.1+IF(BJ26-Uzman_D!$H$15&lt;0,-(BJ26-Uzman_D!$H$15),BJ26-Uzman_D!$H$15)*0.1+IF(BK26-Uzman_D!$I$15&lt;0,-(BK26-Uzman_D!$I$15),BK26-Uzman_D!$I$15)*0.1+IF(BL26-Uzman_D!$J$15&lt;0,-(BL26-Uzman_D!$J$15),BL26-Uzman_D!$J$15)*0.1)+IF(ROUND((IF(BN26-Uzman_D!$L$15&lt;0,-(BN26-Uzman_D!$L$15),BN26-Uzman_D!$L$15)*2),0)/2=IF(BN26-Uzman_D!$L$15&lt;0,-(BN26-Uzman_D!$L$15),BN26-Uzman_D!$L$15),(ROUND((IF(BN26-Uzman_D!$L$15&lt;0,-(BN26-Uzman_D!$L$15),BN26-Uzman_D!$L$15)*2),0)/1*0.1),0)+IF(BO26-Uzman_D!$M$15&lt;0,-(BO26-Uzman_D!$M$15),BO26-Uzman_D!$M$15)*1)</f>
        <v>0.5</v>
      </c>
      <c r="BQ26" s="72">
        <f t="shared" si="0"/>
        <v>0.15999999999999998</v>
      </c>
    </row>
    <row r="27" spans="1:69" ht="15" customHeight="1" x14ac:dyDescent="0.45">
      <c r="A27" s="54">
        <v>24</v>
      </c>
      <c r="B27" s="162" t="str">
        <f>Hakemler!B27</f>
        <v>AYDEMİR</v>
      </c>
      <c r="C27" s="162" t="str">
        <f>Hakemler!C27</f>
        <v>AYŞE DİLARA</v>
      </c>
      <c r="D27" s="56"/>
      <c r="E27" s="56"/>
      <c r="F27" s="56"/>
      <c r="G27" s="56">
        <v>6</v>
      </c>
      <c r="H27" s="56">
        <v>2</v>
      </c>
      <c r="I27" s="56"/>
      <c r="J27" s="56"/>
      <c r="K27" s="56"/>
      <c r="L27" s="56"/>
      <c r="M27" s="56"/>
      <c r="N27" s="70">
        <v>2</v>
      </c>
      <c r="O27" s="70">
        <v>0.3</v>
      </c>
      <c r="P27" s="71">
        <f>1-(SUM(IF(D27-Uzman_D!$B$11&lt;0,-(D27-Uzman_D!$B$11),D27-Uzman_D!$B$11)*0.1+IF(E27-Uzman_D!$C$11&lt;0,-(E27-Uzman_D!$C$11),E27-Uzman_D!$C$11)*0.1+IF(F27-Uzman_D!$D$11&lt;0,-(F27-Uzman_D!$D$11),F27-Uzman_D!$D$11)*0.1+IF(G27-Uzman_D!$E$11&lt;0,-(G27-Uzman_D!$E$11),G27-Uzman_D!$E$11)*0.1+IF(H27-Uzman_D!$F$11&lt;0,-(H27-Uzman_D!$F$11),H27-Uzman_D!$F$11)*0.1+IF(I27-Uzman_D!$G$11&lt;0,-(I27-Uzman_D!$G$11),I27-Uzman_D!$G$11)*0.1+IF(J27-Uzman_D!$H$11&lt;0,-(J27-Uzman_D!$H$11),J27-Uzman_D!$H$11)*0.1+IF(K27-Uzman_D!$I$11&lt;0,-(K27-Uzman_D!$I$11),K27-Uzman_D!$I$11)*0.1+IF(L27-Uzman_D!$J$11&lt;0,-(L27-Uzman_D!$J$11),L27-Uzman_D!$J$11)*0.1)+IF(ROUND((IF(N27-Uzman_D!$L$11&lt;0,-(N27-Uzman_D!$L$11),N27-Uzman_D!$L$11)*2),0)/2=IF(N27-Uzman_D!$L$11&lt;0,-(N27-Uzman_D!$L$11),N27-Uzman_D!$L$11),(ROUND((IF(N27-Uzman_D!$L$11&lt;0,-(N27-Uzman_D!$L$11),N27-Uzman_D!$L$11)*2),0)/1*0.1),0)+IF(O27-Uzman_D!$M$11&lt;0,-(O27-Uzman_D!$M$11),O27-Uzman_D!$M$11)*1)</f>
        <v>0.4</v>
      </c>
      <c r="Q27" s="56"/>
      <c r="R27" s="56"/>
      <c r="S27" s="56">
        <v>1</v>
      </c>
      <c r="T27" s="56">
        <v>3</v>
      </c>
      <c r="U27" s="56">
        <v>4</v>
      </c>
      <c r="V27" s="56"/>
      <c r="W27" s="56"/>
      <c r="X27" s="56"/>
      <c r="Y27" s="56"/>
      <c r="Z27" s="56"/>
      <c r="AA27" s="70">
        <v>1.5</v>
      </c>
      <c r="AB27" s="70">
        <v>0.4</v>
      </c>
      <c r="AC27" s="71">
        <f>1-(SUM(IF(Q27-Uzman_D!$B$12&lt;0,-(Q27-Uzman_D!$B$12),Q27-Uzman_D!$B$12)*0.1+IF(R27-Uzman_D!$C$12&lt;0,-(R27-Uzman_D!$C$12),R27-Uzman_D!$C$12)*0.1+IF(S27-Uzman_D!$D$12&lt;0,-(S27-Uzman_D!$D$12),S27-Uzman_D!$D$12)*0.1+IF(T27-Uzman_D!$E$12&lt;0,-(T27-Uzman_D!$E$12),T27-Uzman_D!$E$12)*0.1+IF(U27-Uzman_D!$F$12&lt;0,-(U27-Uzman_D!$F$12),U27-Uzman_D!$F$12)*0.1+IF(V27-Uzman_D!$G$12&lt;0,-(V27-Uzman_D!$G$12),V27-Uzman_D!$G$12)*0.1+IF(W27-Uzman_D!$H$12&lt;0,-(W27-Uzman_D!$H$12),W27-Uzman_D!$H$12)*0.1+IF(X27-Uzman_D!$I$12&lt;0,-(X27-Uzman_D!$I$12),X27-Uzman_D!$I$12)*0.1+IF(Y27-Uzman_D!$J$12&lt;0,-(Y27-Uzman_D!$J$12),Y27-Uzman_D!$J$12)*0.1)+IF(ROUND((IF(AA27-Uzman_D!$L$12&lt;0,-(AA27-Uzman_D!$L$12),AA27-Uzman_D!$L$12)*2),0)/2=IF(AA27-Uzman_D!$L$12&lt;0,-(AA27-Uzman_D!$L$12),AA27-Uzman_D!$L$12),(ROUND((IF(AA27-Uzman_D!$L$12&lt;0,-(AA27-Uzman_D!$L$12),AA27-Uzman_D!$L$12)*2),0)/1*0.1),0)+IF(AB27-Uzman_D!$M$12&lt;0,-(AB27-Uzman_D!$M$12),AB27-Uzman_D!$M$12)*1)</f>
        <v>0.4</v>
      </c>
      <c r="AD27" s="56"/>
      <c r="AE27" s="56">
        <v>1</v>
      </c>
      <c r="AF27" s="56">
        <v>4</v>
      </c>
      <c r="AG27" s="56"/>
      <c r="AH27" s="56"/>
      <c r="AI27" s="56"/>
      <c r="AJ27" s="56"/>
      <c r="AK27" s="56"/>
      <c r="AL27" s="56"/>
      <c r="AM27" s="56"/>
      <c r="AN27" s="70">
        <v>0</v>
      </c>
      <c r="AO27" s="70">
        <v>0</v>
      </c>
      <c r="AP27" s="71">
        <f>1-(SUM(IF(AD27-Uzman_D!$B$13&lt;0,-(AD27-Uzman_D!$B$13),AD27-Uzman_D!$B$13)*0.1+IF(AE27-Uzman_D!$C$13&lt;0,-(AE27-Uzman_D!$C$13),AE27-Uzman_D!$C$13)*0.1+IF(AF27-Uzman_D!$D$13&lt;0,-(AF27-Uzman_D!$D$13),AF27-Uzman_D!$D$13)*0.1+IF(AG27-Uzman_D!$E$13&lt;0,-(AG27-Uzman_D!$E$13),AG27-Uzman_D!$E$13)*0.1+IF(AH27-Uzman_D!$F$13&lt;0,-(AH27-Uzman_D!$F$13),AH27-Uzman_D!$F$13)*0.1+IF(AI27-Uzman_D!$G$13&lt;0,-(AI27-Uzman_D!$G$13),AI27-Uzman_D!$G$13)*0.1+IF(AJ27-Uzman_D!$H$13&lt;0,-(AJ27-Uzman_D!$H$13),AJ27-Uzman_D!$H$13)*0.1+IF(AK27-Uzman_D!$I$13&lt;0,-(AK27-Uzman_D!$I$13),AK27-Uzman_D!$I$13)*0.1+IF(AL27-Uzman_D!$J$13&lt;0,-(AL27-Uzman_D!$J$13),AL27-Uzman_D!$J$13)*0.1)+IF(ROUND((IF(AN27-Uzman_D!$L$13&lt;0,-(AN27-Uzman_D!$L$13),AN27-Uzman_D!$L$13)*2),0)/2=IF(AN27-Uzman_D!$L$13&lt;0,-(AN27-Uzman_D!$L$13),AN27-Uzman_D!$L$13),(ROUND((IF(AN27-Uzman_D!$L$13&lt;0,-(AN27-Uzman_D!$L$13),AN27-Uzman_D!$L$13)*2),0)/1*0.1),0)+IF(AO27-Uzman_D!$M$13&lt;0,-(AO27-Uzman_D!$M$13),AO27-Uzman_D!$M$13)*1)</f>
        <v>0</v>
      </c>
      <c r="AQ27" s="56">
        <v>2</v>
      </c>
      <c r="AR27" s="56">
        <v>1</v>
      </c>
      <c r="AS27" s="56">
        <v>2</v>
      </c>
      <c r="AT27" s="56">
        <v>3</v>
      </c>
      <c r="AU27" s="56"/>
      <c r="AV27" s="56"/>
      <c r="AW27" s="56"/>
      <c r="AX27" s="56"/>
      <c r="AY27" s="56"/>
      <c r="AZ27" s="56"/>
      <c r="BA27" s="70">
        <v>1.5</v>
      </c>
      <c r="BB27" s="70">
        <v>0.1</v>
      </c>
      <c r="BC27" s="71">
        <f>1-(SUM(IF(AQ27-Uzman_D!$B$14&lt;0,-(AQ27-Uzman_D!$B$14),AQ27-Uzman_D!$B$14)*0.1+IF(AR27-Uzman_D!$C$14&lt;0,-(AR27-Uzman_D!$C$14),AR27-Uzman_D!$C$14)*0.1+IF(AS27-Uzman_D!$D$14&lt;0,-(AS27-Uzman_D!$D$14),AS27-Uzman_D!$D$14)*0.1+IF(AT27-Uzman_D!$E$14&lt;0,-(AT27-Uzman_D!$E$14),AT27-Uzman_D!$E$14)*0.1+IF(AU27-Uzman_D!$F$14&lt;0,-(AU27-Uzman_D!$F$14),AU27-Uzman_D!$F$14)*0.1+IF(AV27-Uzman_D!$G$14&lt;0,-(AV27-Uzman_D!$G$14),AV27-Uzman_D!$G$14)*0.1+IF(AW27-Uzman_D!$H$14&lt;0,-(AW27-Uzman_D!$H$14),AW27-Uzman_D!$H$14)*0.1+IF(AX27-Uzman_D!$I$14&lt;0,-(AX27-Uzman_D!$I$14),AX27-Uzman_D!$I$14)*0.1+IF(AY27-Uzman_D!$J$14&lt;0,-(AY27-Uzman_D!$J$14),AY27-Uzman_D!$J$14)*0.1)+IF(ROUND((IF(BA27-Uzman_D!$L$14&lt;0,-(BA27-Uzman_D!$L$14),BA27-Uzman_D!$L$14)*2),0)/2=IF(BA27-Uzman_D!$L$14&lt;0,-(BA27-Uzman_D!$L$14),BA27-Uzman_D!$L$14),(ROUND((IF(BA27-Uzman_D!$L$14&lt;0,-(BA27-Uzman_D!$L$14),BA27-Uzman_D!$L$14)*2),0)/1*0.1),0)+IF(BB27-Uzman_D!$M$14&lt;0,-(BB27-Uzman_D!$M$14),BB27-Uzman_D!$M$14)*1)</f>
        <v>0.30000000000000004</v>
      </c>
      <c r="BD27" s="56">
        <v>1</v>
      </c>
      <c r="BE27" s="56"/>
      <c r="BF27" s="56">
        <v>1</v>
      </c>
      <c r="BG27" s="56">
        <v>6</v>
      </c>
      <c r="BH27" s="56"/>
      <c r="BI27" s="56"/>
      <c r="BJ27" s="56"/>
      <c r="BK27" s="56"/>
      <c r="BL27" s="56"/>
      <c r="BM27" s="56"/>
      <c r="BN27" s="70">
        <v>2</v>
      </c>
      <c r="BO27" s="70">
        <v>0.3</v>
      </c>
      <c r="BP27" s="71">
        <f>1-(SUM(IF(BD27-Uzman_D!$B$15&lt;0,-(BD27-Uzman_D!$B$15),BD27-Uzman_D!$B$15)*0.1+IF(BE27-Uzman_D!$C$15&lt;0,-(BE27-Uzman_D!$C$15),BE27-Uzman_D!$C$15)*0.1+IF(BF27-Uzman_D!$D$15&lt;0,-(BF27-Uzman_D!$D$15),BF27-Uzman_D!$D$15)*0.1+IF(BG27-Uzman_D!$E$15&lt;0,-(BG27-Uzman_D!$E$15),BG27-Uzman_D!$E$15)*0.1+IF(BH27-Uzman_D!$F$15&lt;0,-(BH27-Uzman_D!$F$15),BH27-Uzman_D!$F$15)*0.1+IF(BI27-Uzman_D!$G$15&lt;0,-(BI27-Uzman_D!$G$15),BI27-Uzman_D!$G$15)*0.1+IF(BJ27-Uzman_D!$H$15&lt;0,-(BJ27-Uzman_D!$H$15),BJ27-Uzman_D!$H$15)*0.1+IF(BK27-Uzman_D!$I$15&lt;0,-(BK27-Uzman_D!$I$15),BK27-Uzman_D!$I$15)*0.1+IF(BL27-Uzman_D!$J$15&lt;0,-(BL27-Uzman_D!$J$15),BL27-Uzman_D!$J$15)*0.1)+IF(ROUND((IF(BN27-Uzman_D!$L$15&lt;0,-(BN27-Uzman_D!$L$15),BN27-Uzman_D!$L$15)*2),0)/2=IF(BN27-Uzman_D!$L$15&lt;0,-(BN27-Uzman_D!$L$15),BN27-Uzman_D!$L$15),(ROUND((IF(BN27-Uzman_D!$L$15&lt;0,-(BN27-Uzman_D!$L$15),BN27-Uzman_D!$L$15)*2),0)/1*0.1),0)+IF(BO27-Uzman_D!$M$15&lt;0,-(BO27-Uzman_D!$M$15),BO27-Uzman_D!$M$15)*1)</f>
        <v>0.19999999999999996</v>
      </c>
      <c r="BQ27" s="72">
        <f t="shared" si="0"/>
        <v>0.26</v>
      </c>
    </row>
    <row r="28" spans="1:69" ht="15" customHeight="1" x14ac:dyDescent="0.45">
      <c r="A28" s="54">
        <v>25</v>
      </c>
      <c r="B28" s="162" t="str">
        <f>Hakemler!B28</f>
        <v>AKIN</v>
      </c>
      <c r="C28" s="162" t="str">
        <f>Hakemler!C28</f>
        <v>MANOLYA</v>
      </c>
      <c r="D28" s="56"/>
      <c r="E28" s="56"/>
      <c r="F28" s="56">
        <v>2</v>
      </c>
      <c r="G28" s="56">
        <v>4</v>
      </c>
      <c r="H28" s="56">
        <v>2</v>
      </c>
      <c r="I28" s="56"/>
      <c r="J28" s="56"/>
      <c r="K28" s="56"/>
      <c r="L28" s="56"/>
      <c r="M28" s="56"/>
      <c r="N28" s="70">
        <v>1.5</v>
      </c>
      <c r="O28" s="70">
        <v>1</v>
      </c>
      <c r="P28" s="71">
        <f>1-(SUM(IF(D28-Uzman_D!$B$11&lt;0,-(D28-Uzman_D!$B$11),D28-Uzman_D!$B$11)*0.1+IF(E28-Uzman_D!$C$11&lt;0,-(E28-Uzman_D!$C$11),E28-Uzman_D!$C$11)*0.1+IF(F28-Uzman_D!$D$11&lt;0,-(F28-Uzman_D!$D$11),F28-Uzman_D!$D$11)*0.1+IF(G28-Uzman_D!$E$11&lt;0,-(G28-Uzman_D!$E$11),G28-Uzman_D!$E$11)*0.1+IF(H28-Uzman_D!$F$11&lt;0,-(H28-Uzman_D!$F$11),H28-Uzman_D!$F$11)*0.1+IF(I28-Uzman_D!$G$11&lt;0,-(I28-Uzman_D!$G$11),I28-Uzman_D!$G$11)*0.1+IF(J28-Uzman_D!$H$11&lt;0,-(J28-Uzman_D!$H$11),J28-Uzman_D!$H$11)*0.1+IF(K28-Uzman_D!$I$11&lt;0,-(K28-Uzman_D!$I$11),K28-Uzman_D!$I$11)*0.1+IF(L28-Uzman_D!$J$11&lt;0,-(L28-Uzman_D!$J$11),L28-Uzman_D!$J$11)*0.1)+IF(ROUND((IF(N28-Uzman_D!$L$11&lt;0,-(N28-Uzman_D!$L$11),N28-Uzman_D!$L$11)*2),0)/2=IF(N28-Uzman_D!$L$11&lt;0,-(N28-Uzman_D!$L$11),N28-Uzman_D!$L$11),(ROUND((IF(N28-Uzman_D!$L$11&lt;0,-(N28-Uzman_D!$L$11),N28-Uzman_D!$L$11)*2),0)/1*0.1),0)+IF(O28-Uzman_D!$M$11&lt;0,-(O28-Uzman_D!$M$11),O28-Uzman_D!$M$11)*1)</f>
        <v>0.19999999999999996</v>
      </c>
      <c r="Q28" s="56"/>
      <c r="R28" s="56"/>
      <c r="S28" s="56">
        <v>2</v>
      </c>
      <c r="T28" s="56">
        <v>4</v>
      </c>
      <c r="U28" s="56">
        <v>1</v>
      </c>
      <c r="V28" s="56">
        <v>1</v>
      </c>
      <c r="W28" s="56"/>
      <c r="X28" s="56"/>
      <c r="Y28" s="56"/>
      <c r="Z28" s="56"/>
      <c r="AA28" s="70">
        <v>2</v>
      </c>
      <c r="AB28" s="70">
        <v>0.4</v>
      </c>
      <c r="AC28" s="71">
        <f>1-(SUM(IF(Q28-Uzman_D!$B$12&lt;0,-(Q28-Uzman_D!$B$12),Q28-Uzman_D!$B$12)*0.1+IF(R28-Uzman_D!$C$12&lt;0,-(R28-Uzman_D!$C$12),R28-Uzman_D!$C$12)*0.1+IF(S28-Uzman_D!$D$12&lt;0,-(S28-Uzman_D!$D$12),S28-Uzman_D!$D$12)*0.1+IF(T28-Uzman_D!$E$12&lt;0,-(T28-Uzman_D!$E$12),T28-Uzman_D!$E$12)*0.1+IF(U28-Uzman_D!$F$12&lt;0,-(U28-Uzman_D!$F$12),U28-Uzman_D!$F$12)*0.1+IF(V28-Uzman_D!$G$12&lt;0,-(V28-Uzman_D!$G$12),V28-Uzman_D!$G$12)*0.1+IF(W28-Uzman_D!$H$12&lt;0,-(W28-Uzman_D!$H$12),W28-Uzman_D!$H$12)*0.1+IF(X28-Uzman_D!$I$12&lt;0,-(X28-Uzman_D!$I$12),X28-Uzman_D!$I$12)*0.1+IF(Y28-Uzman_D!$J$12&lt;0,-(Y28-Uzman_D!$J$12),Y28-Uzman_D!$J$12)*0.1)+IF(ROUND((IF(AA28-Uzman_D!$L$12&lt;0,-(AA28-Uzman_D!$L$12),AA28-Uzman_D!$L$12)*2),0)/2=IF(AA28-Uzman_D!$L$12&lt;0,-(AA28-Uzman_D!$L$12),AA28-Uzman_D!$L$12),(ROUND((IF(AA28-Uzman_D!$L$12&lt;0,-(AA28-Uzman_D!$L$12),AA28-Uzman_D!$L$12)*2),0)/1*0.1),0)+IF(AB28-Uzman_D!$M$12&lt;0,-(AB28-Uzman_D!$M$12),AB28-Uzman_D!$M$12)*1)</f>
        <v>0.7</v>
      </c>
      <c r="AD28" s="56"/>
      <c r="AE28" s="56">
        <v>1</v>
      </c>
      <c r="AF28" s="56">
        <v>4</v>
      </c>
      <c r="AG28" s="56">
        <v>3</v>
      </c>
      <c r="AH28" s="56"/>
      <c r="AI28" s="56"/>
      <c r="AJ28" s="56"/>
      <c r="AK28" s="56"/>
      <c r="AL28" s="56"/>
      <c r="AM28" s="56"/>
      <c r="AN28" s="70">
        <v>2</v>
      </c>
      <c r="AO28" s="70">
        <v>0</v>
      </c>
      <c r="AP28" s="71">
        <f>1-(SUM(IF(AD28-Uzman_D!$B$13&lt;0,-(AD28-Uzman_D!$B$13),AD28-Uzman_D!$B$13)*0.1+IF(AE28-Uzman_D!$C$13&lt;0,-(AE28-Uzman_D!$C$13),AE28-Uzman_D!$C$13)*0.1+IF(AF28-Uzman_D!$D$13&lt;0,-(AF28-Uzman_D!$D$13),AF28-Uzman_D!$D$13)*0.1+IF(AG28-Uzman_D!$E$13&lt;0,-(AG28-Uzman_D!$E$13),AG28-Uzman_D!$E$13)*0.1+IF(AH28-Uzman_D!$F$13&lt;0,-(AH28-Uzman_D!$F$13),AH28-Uzman_D!$F$13)*0.1+IF(AI28-Uzman_D!$G$13&lt;0,-(AI28-Uzman_D!$G$13),AI28-Uzman_D!$G$13)*0.1+IF(AJ28-Uzman_D!$H$13&lt;0,-(AJ28-Uzman_D!$H$13),AJ28-Uzman_D!$H$13)*0.1+IF(AK28-Uzman_D!$I$13&lt;0,-(AK28-Uzman_D!$I$13),AK28-Uzman_D!$I$13)*0.1+IF(AL28-Uzman_D!$J$13&lt;0,-(AL28-Uzman_D!$J$13),AL28-Uzman_D!$J$13)*0.1)+IF(ROUND((IF(AN28-Uzman_D!$L$13&lt;0,-(AN28-Uzman_D!$L$13),AN28-Uzman_D!$L$13)*2),0)/2=IF(AN28-Uzman_D!$L$13&lt;0,-(AN28-Uzman_D!$L$13),AN28-Uzman_D!$L$13),(ROUND((IF(AN28-Uzman_D!$L$13&lt;0,-(AN28-Uzman_D!$L$13),AN28-Uzman_D!$L$13)*2),0)/1*0.1),0)+IF(AO28-Uzman_D!$M$13&lt;0,-(AO28-Uzman_D!$M$13),AO28-Uzman_D!$M$13)*1)</f>
        <v>0.7</v>
      </c>
      <c r="AQ28" s="56"/>
      <c r="AR28" s="56">
        <v>2</v>
      </c>
      <c r="AS28" s="56">
        <v>3</v>
      </c>
      <c r="AT28" s="56">
        <v>4</v>
      </c>
      <c r="AU28" s="56"/>
      <c r="AV28" s="56"/>
      <c r="AW28" s="56"/>
      <c r="AX28" s="56"/>
      <c r="AY28" s="56"/>
      <c r="AZ28" s="56"/>
      <c r="BA28" s="70">
        <v>2</v>
      </c>
      <c r="BB28" s="70">
        <v>0.1</v>
      </c>
      <c r="BC28" s="71">
        <f>1-(SUM(IF(AQ28-Uzman_D!$B$14&lt;0,-(AQ28-Uzman_D!$B$14),AQ28-Uzman_D!$B$14)*0.1+IF(AR28-Uzman_D!$C$14&lt;0,-(AR28-Uzman_D!$C$14),AR28-Uzman_D!$C$14)*0.1+IF(AS28-Uzman_D!$D$14&lt;0,-(AS28-Uzman_D!$D$14),AS28-Uzman_D!$D$14)*0.1+IF(AT28-Uzman_D!$E$14&lt;0,-(AT28-Uzman_D!$E$14),AT28-Uzman_D!$E$14)*0.1+IF(AU28-Uzman_D!$F$14&lt;0,-(AU28-Uzman_D!$F$14),AU28-Uzman_D!$F$14)*0.1+IF(AV28-Uzman_D!$G$14&lt;0,-(AV28-Uzman_D!$G$14),AV28-Uzman_D!$G$14)*0.1+IF(AW28-Uzman_D!$H$14&lt;0,-(AW28-Uzman_D!$H$14),AW28-Uzman_D!$H$14)*0.1+IF(AX28-Uzman_D!$I$14&lt;0,-(AX28-Uzman_D!$I$14),AX28-Uzman_D!$I$14)*0.1+IF(AY28-Uzman_D!$J$14&lt;0,-(AY28-Uzman_D!$J$14),AY28-Uzman_D!$J$14)*0.1)+IF(ROUND((IF(BA28-Uzman_D!$L$14&lt;0,-(BA28-Uzman_D!$L$14),BA28-Uzman_D!$L$14)*2),0)/2=IF(BA28-Uzman_D!$L$14&lt;0,-(BA28-Uzman_D!$L$14),BA28-Uzman_D!$L$14),(ROUND((IF(BA28-Uzman_D!$L$14&lt;0,-(BA28-Uzman_D!$L$14),BA28-Uzman_D!$L$14)*2),0)/1*0.1),0)+IF(BB28-Uzman_D!$M$14&lt;0,-(BB28-Uzman_D!$M$14),BB28-Uzman_D!$M$14)*1)</f>
        <v>0.7</v>
      </c>
      <c r="BD28" s="56"/>
      <c r="BE28" s="56">
        <v>1</v>
      </c>
      <c r="BF28" s="56">
        <v>2</v>
      </c>
      <c r="BG28" s="56">
        <v>5</v>
      </c>
      <c r="BH28" s="56"/>
      <c r="BI28" s="56"/>
      <c r="BJ28" s="56"/>
      <c r="BK28" s="56"/>
      <c r="BL28" s="56"/>
      <c r="BM28" s="56"/>
      <c r="BN28" s="70">
        <v>2</v>
      </c>
      <c r="BO28" s="70">
        <v>0.4</v>
      </c>
      <c r="BP28" s="71">
        <f>1-(SUM(IF(BD28-Uzman_D!$B$15&lt;0,-(BD28-Uzman_D!$B$15),BD28-Uzman_D!$B$15)*0.1+IF(BE28-Uzman_D!$C$15&lt;0,-(BE28-Uzman_D!$C$15),BE28-Uzman_D!$C$15)*0.1+IF(BF28-Uzman_D!$D$15&lt;0,-(BF28-Uzman_D!$D$15),BF28-Uzman_D!$D$15)*0.1+IF(BG28-Uzman_D!$E$15&lt;0,-(BG28-Uzman_D!$E$15),BG28-Uzman_D!$E$15)*0.1+IF(BH28-Uzman_D!$F$15&lt;0,-(BH28-Uzman_D!$F$15),BH28-Uzman_D!$F$15)*0.1+IF(BI28-Uzman_D!$G$15&lt;0,-(BI28-Uzman_D!$G$15),BI28-Uzman_D!$G$15)*0.1+IF(BJ28-Uzman_D!$H$15&lt;0,-(BJ28-Uzman_D!$H$15),BJ28-Uzman_D!$H$15)*0.1+IF(BK28-Uzman_D!$I$15&lt;0,-(BK28-Uzman_D!$I$15),BK28-Uzman_D!$I$15)*0.1+IF(BL28-Uzman_D!$J$15&lt;0,-(BL28-Uzman_D!$J$15),BL28-Uzman_D!$J$15)*0.1)+IF(ROUND((IF(BN28-Uzman_D!$L$15&lt;0,-(BN28-Uzman_D!$L$15),BN28-Uzman_D!$L$15)*2),0)/2=IF(BN28-Uzman_D!$L$15&lt;0,-(BN28-Uzman_D!$L$15),BN28-Uzman_D!$L$15),(ROUND((IF(BN28-Uzman_D!$L$15&lt;0,-(BN28-Uzman_D!$L$15),BN28-Uzman_D!$L$15)*2),0)/1*0.1),0)+IF(BO28-Uzman_D!$M$15&lt;0,-(BO28-Uzman_D!$M$15),BO28-Uzman_D!$M$15)*1)</f>
        <v>0.5</v>
      </c>
      <c r="BQ28" s="72">
        <f t="shared" si="0"/>
        <v>0.55999999999999994</v>
      </c>
    </row>
    <row r="29" spans="1:69" ht="15" customHeight="1" x14ac:dyDescent="0.45">
      <c r="A29" s="54">
        <v>26</v>
      </c>
      <c r="B29" s="162" t="str">
        <f>Hakemler!B29</f>
        <v>PINAR</v>
      </c>
      <c r="C29" s="162" t="str">
        <f>Hakemler!C29</f>
        <v>YELİZ</v>
      </c>
      <c r="D29" s="56"/>
      <c r="E29" s="56"/>
      <c r="F29" s="56">
        <v>2</v>
      </c>
      <c r="G29" s="56">
        <v>5</v>
      </c>
      <c r="H29" s="56">
        <v>1</v>
      </c>
      <c r="I29" s="56"/>
      <c r="J29" s="56"/>
      <c r="K29" s="56"/>
      <c r="L29" s="56"/>
      <c r="M29" s="56"/>
      <c r="N29" s="70">
        <v>2</v>
      </c>
      <c r="O29" s="70">
        <v>0.5</v>
      </c>
      <c r="P29" s="71">
        <f>1-(SUM(IF(D29-Uzman_D!$B$11&lt;0,-(D29-Uzman_D!$B$11),D29-Uzman_D!$B$11)*0.1+IF(E29-Uzman_D!$C$11&lt;0,-(E29-Uzman_D!$C$11),E29-Uzman_D!$C$11)*0.1+IF(F29-Uzman_D!$D$11&lt;0,-(F29-Uzman_D!$D$11),F29-Uzman_D!$D$11)*0.1+IF(G29-Uzman_D!$E$11&lt;0,-(G29-Uzman_D!$E$11),G29-Uzman_D!$E$11)*0.1+IF(H29-Uzman_D!$F$11&lt;0,-(H29-Uzman_D!$F$11),H29-Uzman_D!$F$11)*0.1+IF(I29-Uzman_D!$G$11&lt;0,-(I29-Uzman_D!$G$11),I29-Uzman_D!$G$11)*0.1+IF(J29-Uzman_D!$H$11&lt;0,-(J29-Uzman_D!$H$11),J29-Uzman_D!$H$11)*0.1+IF(K29-Uzman_D!$I$11&lt;0,-(K29-Uzman_D!$I$11),K29-Uzman_D!$I$11)*0.1+IF(L29-Uzman_D!$J$11&lt;0,-(L29-Uzman_D!$J$11),L29-Uzman_D!$J$11)*0.1)+IF(ROUND((IF(N29-Uzman_D!$L$11&lt;0,-(N29-Uzman_D!$L$11),N29-Uzman_D!$L$11)*2),0)/2=IF(N29-Uzman_D!$L$11&lt;0,-(N29-Uzman_D!$L$11),N29-Uzman_D!$L$11),(ROUND((IF(N29-Uzman_D!$L$11&lt;0,-(N29-Uzman_D!$L$11),N29-Uzman_D!$L$11)*2),0)/1*0.1),0)+IF(O29-Uzman_D!$M$11&lt;0,-(O29-Uzman_D!$M$11),O29-Uzman_D!$M$11)*1)</f>
        <v>0.60000000000000009</v>
      </c>
      <c r="Q29" s="56"/>
      <c r="R29" s="56"/>
      <c r="S29" s="56">
        <v>2</v>
      </c>
      <c r="T29" s="56">
        <v>3</v>
      </c>
      <c r="U29" s="56">
        <v>2</v>
      </c>
      <c r="V29" s="56">
        <v>1</v>
      </c>
      <c r="W29" s="56"/>
      <c r="X29" s="56"/>
      <c r="Y29" s="56"/>
      <c r="Z29" s="56"/>
      <c r="AA29" s="70">
        <v>2</v>
      </c>
      <c r="AB29" s="70">
        <v>0.5</v>
      </c>
      <c r="AC29" s="71">
        <f>1-(SUM(IF(Q29-Uzman_D!$B$12&lt;0,-(Q29-Uzman_D!$B$12),Q29-Uzman_D!$B$12)*0.1+IF(R29-Uzman_D!$C$12&lt;0,-(R29-Uzman_D!$C$12),R29-Uzman_D!$C$12)*0.1+IF(S29-Uzman_D!$D$12&lt;0,-(S29-Uzman_D!$D$12),S29-Uzman_D!$D$12)*0.1+IF(T29-Uzman_D!$E$12&lt;0,-(T29-Uzman_D!$E$12),T29-Uzman_D!$E$12)*0.1+IF(U29-Uzman_D!$F$12&lt;0,-(U29-Uzman_D!$F$12),U29-Uzman_D!$F$12)*0.1+IF(V29-Uzman_D!$G$12&lt;0,-(V29-Uzman_D!$G$12),V29-Uzman_D!$G$12)*0.1+IF(W29-Uzman_D!$H$12&lt;0,-(W29-Uzman_D!$H$12),W29-Uzman_D!$H$12)*0.1+IF(X29-Uzman_D!$I$12&lt;0,-(X29-Uzman_D!$I$12),X29-Uzman_D!$I$12)*0.1+IF(Y29-Uzman_D!$J$12&lt;0,-(Y29-Uzman_D!$J$12),Y29-Uzman_D!$J$12)*0.1)+IF(ROUND((IF(AA29-Uzman_D!$L$12&lt;0,-(AA29-Uzman_D!$L$12),AA29-Uzman_D!$L$12)*2),0)/2=IF(AA29-Uzman_D!$L$12&lt;0,-(AA29-Uzman_D!$L$12),AA29-Uzman_D!$L$12),(ROUND((IF(AA29-Uzman_D!$L$12&lt;0,-(AA29-Uzman_D!$L$12),AA29-Uzman_D!$L$12)*2),0)/1*0.1),0)+IF(AB29-Uzman_D!$M$12&lt;0,-(AB29-Uzman_D!$M$12),AB29-Uzman_D!$M$12)*1)</f>
        <v>0.8</v>
      </c>
      <c r="AD29" s="56"/>
      <c r="AE29" s="56">
        <v>2</v>
      </c>
      <c r="AF29" s="56">
        <v>2</v>
      </c>
      <c r="AG29" s="56">
        <v>4</v>
      </c>
      <c r="AH29" s="56"/>
      <c r="AI29" s="56"/>
      <c r="AJ29" s="56"/>
      <c r="AK29" s="56"/>
      <c r="AL29" s="56"/>
      <c r="AM29" s="56"/>
      <c r="AN29" s="70">
        <v>2</v>
      </c>
      <c r="AO29" s="70">
        <v>0</v>
      </c>
      <c r="AP29" s="71">
        <f>1-(SUM(IF(AD29-Uzman_D!$B$13&lt;0,-(AD29-Uzman_D!$B$13),AD29-Uzman_D!$B$13)*0.1+IF(AE29-Uzman_D!$C$13&lt;0,-(AE29-Uzman_D!$C$13),AE29-Uzman_D!$C$13)*0.1+IF(AF29-Uzman_D!$D$13&lt;0,-(AF29-Uzman_D!$D$13),AF29-Uzman_D!$D$13)*0.1+IF(AG29-Uzman_D!$E$13&lt;0,-(AG29-Uzman_D!$E$13),AG29-Uzman_D!$E$13)*0.1+IF(AH29-Uzman_D!$F$13&lt;0,-(AH29-Uzman_D!$F$13),AH29-Uzman_D!$F$13)*0.1+IF(AI29-Uzman_D!$G$13&lt;0,-(AI29-Uzman_D!$G$13),AI29-Uzman_D!$G$13)*0.1+IF(AJ29-Uzman_D!$H$13&lt;0,-(AJ29-Uzman_D!$H$13),AJ29-Uzman_D!$H$13)*0.1+IF(AK29-Uzman_D!$I$13&lt;0,-(AK29-Uzman_D!$I$13),AK29-Uzman_D!$I$13)*0.1+IF(AL29-Uzman_D!$J$13&lt;0,-(AL29-Uzman_D!$J$13),AL29-Uzman_D!$J$13)*0.1)+IF(ROUND((IF(AN29-Uzman_D!$L$13&lt;0,-(AN29-Uzman_D!$L$13),AN29-Uzman_D!$L$13)*2),0)/2=IF(AN29-Uzman_D!$L$13&lt;0,-(AN29-Uzman_D!$L$13),AN29-Uzman_D!$L$13),(ROUND((IF(AN29-Uzman_D!$L$13&lt;0,-(AN29-Uzman_D!$L$13),AN29-Uzman_D!$L$13)*2),0)/1*0.1),0)+IF(AO29-Uzman_D!$M$13&lt;0,-(AO29-Uzman_D!$M$13),AO29-Uzman_D!$M$13)*1)</f>
        <v>0.30000000000000004</v>
      </c>
      <c r="AQ29" s="56"/>
      <c r="AR29" s="56">
        <v>2</v>
      </c>
      <c r="AS29" s="56">
        <v>3</v>
      </c>
      <c r="AT29" s="56">
        <v>2</v>
      </c>
      <c r="AU29" s="56"/>
      <c r="AV29" s="56"/>
      <c r="AW29" s="56"/>
      <c r="AX29" s="56"/>
      <c r="AY29" s="56"/>
      <c r="AZ29" s="56"/>
      <c r="BA29" s="70">
        <v>2</v>
      </c>
      <c r="BB29" s="70">
        <v>0</v>
      </c>
      <c r="BC29" s="71">
        <f>1-(SUM(IF(AQ29-Uzman_D!$B$14&lt;0,-(AQ29-Uzman_D!$B$14),AQ29-Uzman_D!$B$14)*0.1+IF(AR29-Uzman_D!$C$14&lt;0,-(AR29-Uzman_D!$C$14),AR29-Uzman_D!$C$14)*0.1+IF(AS29-Uzman_D!$D$14&lt;0,-(AS29-Uzman_D!$D$14),AS29-Uzman_D!$D$14)*0.1+IF(AT29-Uzman_D!$E$14&lt;0,-(AT29-Uzman_D!$E$14),AT29-Uzman_D!$E$14)*0.1+IF(AU29-Uzman_D!$F$14&lt;0,-(AU29-Uzman_D!$F$14),AU29-Uzman_D!$F$14)*0.1+IF(AV29-Uzman_D!$G$14&lt;0,-(AV29-Uzman_D!$G$14),AV29-Uzman_D!$G$14)*0.1+IF(AW29-Uzman_D!$H$14&lt;0,-(AW29-Uzman_D!$H$14),AW29-Uzman_D!$H$14)*0.1+IF(AX29-Uzman_D!$I$14&lt;0,-(AX29-Uzman_D!$I$14),AX29-Uzman_D!$I$14)*0.1+IF(AY29-Uzman_D!$J$14&lt;0,-(AY29-Uzman_D!$J$14),AY29-Uzman_D!$J$14)*0.1)+IF(ROUND((IF(BA29-Uzman_D!$L$14&lt;0,-(BA29-Uzman_D!$L$14),BA29-Uzman_D!$L$14)*2),0)/2=IF(BA29-Uzman_D!$L$14&lt;0,-(BA29-Uzman_D!$L$14),BA29-Uzman_D!$L$14),(ROUND((IF(BA29-Uzman_D!$L$14&lt;0,-(BA29-Uzman_D!$L$14),BA29-Uzman_D!$L$14)*2),0)/1*0.1),0)+IF(BB29-Uzman_D!$M$14&lt;0,-(BB29-Uzman_D!$M$14),BB29-Uzman_D!$M$14)*1)</f>
        <v>0.8</v>
      </c>
      <c r="BD29" s="56"/>
      <c r="BE29" s="56">
        <v>1</v>
      </c>
      <c r="BF29" s="56">
        <v>2</v>
      </c>
      <c r="BG29" s="56">
        <v>4</v>
      </c>
      <c r="BH29" s="56">
        <v>1</v>
      </c>
      <c r="BI29" s="56"/>
      <c r="BJ29" s="56"/>
      <c r="BK29" s="56"/>
      <c r="BL29" s="56"/>
      <c r="BM29" s="56"/>
      <c r="BN29" s="70">
        <v>2</v>
      </c>
      <c r="BO29" s="70">
        <v>0.4</v>
      </c>
      <c r="BP29" s="71">
        <f>1-(SUM(IF(BD29-Uzman_D!$B$15&lt;0,-(BD29-Uzman_D!$B$15),BD29-Uzman_D!$B$15)*0.1+IF(BE29-Uzman_D!$C$15&lt;0,-(BE29-Uzman_D!$C$15),BE29-Uzman_D!$C$15)*0.1+IF(BF29-Uzman_D!$D$15&lt;0,-(BF29-Uzman_D!$D$15),BF29-Uzman_D!$D$15)*0.1+IF(BG29-Uzman_D!$E$15&lt;0,-(BG29-Uzman_D!$E$15),BG29-Uzman_D!$E$15)*0.1+IF(BH29-Uzman_D!$F$15&lt;0,-(BH29-Uzman_D!$F$15),BH29-Uzman_D!$F$15)*0.1+IF(BI29-Uzman_D!$G$15&lt;0,-(BI29-Uzman_D!$G$15),BI29-Uzman_D!$G$15)*0.1+IF(BJ29-Uzman_D!$H$15&lt;0,-(BJ29-Uzman_D!$H$15),BJ29-Uzman_D!$H$15)*0.1+IF(BK29-Uzman_D!$I$15&lt;0,-(BK29-Uzman_D!$I$15),BK29-Uzman_D!$I$15)*0.1+IF(BL29-Uzman_D!$J$15&lt;0,-(BL29-Uzman_D!$J$15),BL29-Uzman_D!$J$15)*0.1)+IF(ROUND((IF(BN29-Uzman_D!$L$15&lt;0,-(BN29-Uzman_D!$L$15),BN29-Uzman_D!$L$15)*2),0)/2=IF(BN29-Uzman_D!$L$15&lt;0,-(BN29-Uzman_D!$L$15),BN29-Uzman_D!$L$15),(ROUND((IF(BN29-Uzman_D!$L$15&lt;0,-(BN29-Uzman_D!$L$15),BN29-Uzman_D!$L$15)*2),0)/1*0.1),0)+IF(BO29-Uzman_D!$M$15&lt;0,-(BO29-Uzman_D!$M$15),BO29-Uzman_D!$M$15)*1)</f>
        <v>0.7</v>
      </c>
      <c r="BQ29" s="72">
        <f t="shared" si="0"/>
        <v>0.64</v>
      </c>
    </row>
    <row r="30" spans="1:69" ht="15" customHeight="1" x14ac:dyDescent="0.45">
      <c r="A30" s="54">
        <v>27</v>
      </c>
      <c r="B30" s="162" t="str">
        <f>Hakemler!B30</f>
        <v>KATRANCI</v>
      </c>
      <c r="C30" s="162" t="str">
        <f>Hakemler!C30</f>
        <v>AYŞEN</v>
      </c>
      <c r="D30" s="56"/>
      <c r="E30" s="56"/>
      <c r="F30" s="56"/>
      <c r="G30" s="56">
        <v>0</v>
      </c>
      <c r="H30" s="56">
        <v>1</v>
      </c>
      <c r="I30" s="56"/>
      <c r="J30" s="56"/>
      <c r="K30" s="56"/>
      <c r="L30" s="56"/>
      <c r="M30" s="56"/>
      <c r="N30" s="70">
        <v>2</v>
      </c>
      <c r="O30" s="70">
        <v>0.3</v>
      </c>
      <c r="P30" s="71">
        <f>1-(SUM(IF(D30-Uzman_D!$B$11&lt;0,-(D30-Uzman_D!$B$11),D30-Uzman_D!$B$11)*0.1+IF(E30-Uzman_D!$C$11&lt;0,-(E30-Uzman_D!$C$11),E30-Uzman_D!$C$11)*0.1+IF(F30-Uzman_D!$D$11&lt;0,-(F30-Uzman_D!$D$11),F30-Uzman_D!$D$11)*0.1+IF(G30-Uzman_D!$E$11&lt;0,-(G30-Uzman_D!$E$11),G30-Uzman_D!$E$11)*0.1+IF(H30-Uzman_D!$F$11&lt;0,-(H30-Uzman_D!$F$11),H30-Uzman_D!$F$11)*0.1+IF(I30-Uzman_D!$G$11&lt;0,-(I30-Uzman_D!$G$11),I30-Uzman_D!$G$11)*0.1+IF(J30-Uzman_D!$H$11&lt;0,-(J30-Uzman_D!$H$11),J30-Uzman_D!$H$11)*0.1+IF(K30-Uzman_D!$I$11&lt;0,-(K30-Uzman_D!$I$11),K30-Uzman_D!$I$11)*0.1+IF(L30-Uzman_D!$J$11&lt;0,-(L30-Uzman_D!$J$11),L30-Uzman_D!$J$11)*0.1)+IF(ROUND((IF(N30-Uzman_D!$L$11&lt;0,-(N30-Uzman_D!$L$11),N30-Uzman_D!$L$11)*2),0)/2=IF(N30-Uzman_D!$L$11&lt;0,-(N30-Uzman_D!$L$11),N30-Uzman_D!$L$11),(ROUND((IF(N30-Uzman_D!$L$11&lt;0,-(N30-Uzman_D!$L$11),N30-Uzman_D!$L$11)*2),0)/1*0.1),0)+IF(O30-Uzman_D!$M$11&lt;0,-(O30-Uzman_D!$M$11),O30-Uzman_D!$M$11)*1)</f>
        <v>-0.10000000000000009</v>
      </c>
      <c r="Q30" s="56"/>
      <c r="R30" s="56"/>
      <c r="S30" s="56">
        <v>0</v>
      </c>
      <c r="T30" s="56">
        <v>0</v>
      </c>
      <c r="U30" s="56">
        <v>0</v>
      </c>
      <c r="V30" s="56"/>
      <c r="W30" s="56"/>
      <c r="X30" s="56"/>
      <c r="Y30" s="56"/>
      <c r="Z30" s="56"/>
      <c r="AA30" s="70">
        <v>2</v>
      </c>
      <c r="AB30" s="70">
        <v>0.2</v>
      </c>
      <c r="AC30" s="71">
        <f>1-(SUM(IF(Q30-Uzman_D!$B$12&lt;0,-(Q30-Uzman_D!$B$12),Q30-Uzman_D!$B$12)*0.1+IF(R30-Uzman_D!$C$12&lt;0,-(R30-Uzman_D!$C$12),R30-Uzman_D!$C$12)*0.1+IF(S30-Uzman_D!$D$12&lt;0,-(S30-Uzman_D!$D$12),S30-Uzman_D!$D$12)*0.1+IF(T30-Uzman_D!$E$12&lt;0,-(T30-Uzman_D!$E$12),T30-Uzman_D!$E$12)*0.1+IF(U30-Uzman_D!$F$12&lt;0,-(U30-Uzman_D!$F$12),U30-Uzman_D!$F$12)*0.1+IF(V30-Uzman_D!$G$12&lt;0,-(V30-Uzman_D!$G$12),V30-Uzman_D!$G$12)*0.1+IF(W30-Uzman_D!$H$12&lt;0,-(W30-Uzman_D!$H$12),W30-Uzman_D!$H$12)*0.1+IF(X30-Uzman_D!$I$12&lt;0,-(X30-Uzman_D!$I$12),X30-Uzman_D!$I$12)*0.1+IF(Y30-Uzman_D!$J$12&lt;0,-(Y30-Uzman_D!$J$12),Y30-Uzman_D!$J$12)*0.1)+IF(ROUND((IF(AA30-Uzman_D!$L$12&lt;0,-(AA30-Uzman_D!$L$12),AA30-Uzman_D!$L$12)*2),0)/2=IF(AA30-Uzman_D!$L$12&lt;0,-(AA30-Uzman_D!$L$12),AA30-Uzman_D!$L$12),(ROUND((IF(AA30-Uzman_D!$L$12&lt;0,-(AA30-Uzman_D!$L$12),AA30-Uzman_D!$L$12)*2),0)/1*0.1),0)+IF(AB30-Uzman_D!$M$12&lt;0,-(AB30-Uzman_D!$M$12),AB30-Uzman_D!$M$12)*1)</f>
        <v>-9.9999999999999867E-2</v>
      </c>
      <c r="AD30" s="56"/>
      <c r="AE30" s="56">
        <v>2</v>
      </c>
      <c r="AF30" s="56">
        <v>3</v>
      </c>
      <c r="AG30" s="56">
        <v>3</v>
      </c>
      <c r="AH30" s="56"/>
      <c r="AI30" s="56"/>
      <c r="AJ30" s="56"/>
      <c r="AK30" s="56"/>
      <c r="AL30" s="56"/>
      <c r="AM30" s="56"/>
      <c r="AN30" s="70">
        <v>2</v>
      </c>
      <c r="AO30" s="70">
        <v>0</v>
      </c>
      <c r="AP30" s="71">
        <f>1-(SUM(IF(AD30-Uzman_D!$B$13&lt;0,-(AD30-Uzman_D!$B$13),AD30-Uzman_D!$B$13)*0.1+IF(AE30-Uzman_D!$C$13&lt;0,-(AE30-Uzman_D!$C$13),AE30-Uzman_D!$C$13)*0.1+IF(AF30-Uzman_D!$D$13&lt;0,-(AF30-Uzman_D!$D$13),AF30-Uzman_D!$D$13)*0.1+IF(AG30-Uzman_D!$E$13&lt;0,-(AG30-Uzman_D!$E$13),AG30-Uzman_D!$E$13)*0.1+IF(AH30-Uzman_D!$F$13&lt;0,-(AH30-Uzman_D!$F$13),AH30-Uzman_D!$F$13)*0.1+IF(AI30-Uzman_D!$G$13&lt;0,-(AI30-Uzman_D!$G$13),AI30-Uzman_D!$G$13)*0.1+IF(AJ30-Uzman_D!$H$13&lt;0,-(AJ30-Uzman_D!$H$13),AJ30-Uzman_D!$H$13)*0.1+IF(AK30-Uzman_D!$I$13&lt;0,-(AK30-Uzman_D!$I$13),AK30-Uzman_D!$I$13)*0.1+IF(AL30-Uzman_D!$J$13&lt;0,-(AL30-Uzman_D!$J$13),AL30-Uzman_D!$J$13)*0.1)+IF(ROUND((IF(AN30-Uzman_D!$L$13&lt;0,-(AN30-Uzman_D!$L$13),AN30-Uzman_D!$L$13)*2),0)/2=IF(AN30-Uzman_D!$L$13&lt;0,-(AN30-Uzman_D!$L$13),AN30-Uzman_D!$L$13),(ROUND((IF(AN30-Uzman_D!$L$13&lt;0,-(AN30-Uzman_D!$L$13),AN30-Uzman_D!$L$13)*2),0)/1*0.1),0)+IF(AO30-Uzman_D!$M$13&lt;0,-(AO30-Uzman_D!$M$13),AO30-Uzman_D!$M$13)*1)</f>
        <v>0.5</v>
      </c>
      <c r="AQ30" s="56"/>
      <c r="AR30" s="56"/>
      <c r="AS30" s="56">
        <v>0</v>
      </c>
      <c r="AT30" s="56">
        <v>2</v>
      </c>
      <c r="AU30" s="56"/>
      <c r="AV30" s="56"/>
      <c r="AW30" s="56"/>
      <c r="AX30" s="56"/>
      <c r="AY30" s="56"/>
      <c r="AZ30" s="56"/>
      <c r="BA30" s="70">
        <v>2</v>
      </c>
      <c r="BB30" s="70">
        <v>0.2</v>
      </c>
      <c r="BC30" s="71">
        <f>1-(SUM(IF(AQ30-Uzman_D!$B$14&lt;0,-(AQ30-Uzman_D!$B$14),AQ30-Uzman_D!$B$14)*0.1+IF(AR30-Uzman_D!$C$14&lt;0,-(AR30-Uzman_D!$C$14),AR30-Uzman_D!$C$14)*0.1+IF(AS30-Uzman_D!$D$14&lt;0,-(AS30-Uzman_D!$D$14),AS30-Uzman_D!$D$14)*0.1+IF(AT30-Uzman_D!$E$14&lt;0,-(AT30-Uzman_D!$E$14),AT30-Uzman_D!$E$14)*0.1+IF(AU30-Uzman_D!$F$14&lt;0,-(AU30-Uzman_D!$F$14),AU30-Uzman_D!$F$14)*0.1+IF(AV30-Uzman_D!$G$14&lt;0,-(AV30-Uzman_D!$G$14),AV30-Uzman_D!$G$14)*0.1+IF(AW30-Uzman_D!$H$14&lt;0,-(AW30-Uzman_D!$H$14),AW30-Uzman_D!$H$14)*0.1+IF(AX30-Uzman_D!$I$14&lt;0,-(AX30-Uzman_D!$I$14),AX30-Uzman_D!$I$14)*0.1+IF(AY30-Uzman_D!$J$14&lt;0,-(AY30-Uzman_D!$J$14),AY30-Uzman_D!$J$14)*0.1)+IF(ROUND((IF(BA30-Uzman_D!$L$14&lt;0,-(BA30-Uzman_D!$L$14),BA30-Uzman_D!$L$14)*2),0)/2=IF(BA30-Uzman_D!$L$14&lt;0,-(BA30-Uzman_D!$L$14),BA30-Uzman_D!$L$14),(ROUND((IF(BA30-Uzman_D!$L$14&lt;0,-(BA30-Uzman_D!$L$14),BA30-Uzman_D!$L$14)*2),0)/1*0.1),0)+IF(BB30-Uzman_D!$M$14&lt;0,-(BB30-Uzman_D!$M$14),BB30-Uzman_D!$M$14)*1)</f>
        <v>0.29999999999999993</v>
      </c>
      <c r="BD30" s="56"/>
      <c r="BE30" s="56">
        <v>2</v>
      </c>
      <c r="BF30" s="56">
        <v>2</v>
      </c>
      <c r="BG30" s="56">
        <v>3</v>
      </c>
      <c r="BH30" s="56">
        <v>1</v>
      </c>
      <c r="BI30" s="56"/>
      <c r="BJ30" s="56"/>
      <c r="BK30" s="56"/>
      <c r="BL30" s="56"/>
      <c r="BM30" s="56"/>
      <c r="BN30" s="70">
        <v>2</v>
      </c>
      <c r="BO30" s="70">
        <v>0.2</v>
      </c>
      <c r="BP30" s="71">
        <f>1-(SUM(IF(BD30-Uzman_D!$B$15&lt;0,-(BD30-Uzman_D!$B$15),BD30-Uzman_D!$B$15)*0.1+IF(BE30-Uzman_D!$C$15&lt;0,-(BE30-Uzman_D!$C$15),BE30-Uzman_D!$C$15)*0.1+IF(BF30-Uzman_D!$D$15&lt;0,-(BF30-Uzman_D!$D$15),BF30-Uzman_D!$D$15)*0.1+IF(BG30-Uzman_D!$E$15&lt;0,-(BG30-Uzman_D!$E$15),BG30-Uzman_D!$E$15)*0.1+IF(BH30-Uzman_D!$F$15&lt;0,-(BH30-Uzman_D!$F$15),BH30-Uzman_D!$F$15)*0.1+IF(BI30-Uzman_D!$G$15&lt;0,-(BI30-Uzman_D!$G$15),BI30-Uzman_D!$G$15)*0.1+IF(BJ30-Uzman_D!$H$15&lt;0,-(BJ30-Uzman_D!$H$15),BJ30-Uzman_D!$H$15)*0.1+IF(BK30-Uzman_D!$I$15&lt;0,-(BK30-Uzman_D!$I$15),BK30-Uzman_D!$I$15)*0.1+IF(BL30-Uzman_D!$J$15&lt;0,-(BL30-Uzman_D!$J$15),BL30-Uzman_D!$J$15)*0.1)+IF(ROUND((IF(BN30-Uzman_D!$L$15&lt;0,-(BN30-Uzman_D!$L$15),BN30-Uzman_D!$L$15)*2),0)/2=IF(BN30-Uzman_D!$L$15&lt;0,-(BN30-Uzman_D!$L$15),BN30-Uzman_D!$L$15),(ROUND((IF(BN30-Uzman_D!$L$15&lt;0,-(BN30-Uzman_D!$L$15),BN30-Uzman_D!$L$15)*2),0)/1*0.1),0)+IF(BO30-Uzman_D!$M$15&lt;0,-(BO30-Uzman_D!$M$15),BO30-Uzman_D!$M$15)*1)</f>
        <v>0.7</v>
      </c>
      <c r="BQ30" s="72">
        <f t="shared" si="0"/>
        <v>0.25999999999999995</v>
      </c>
    </row>
    <row r="31" spans="1:69" ht="15" customHeight="1" x14ac:dyDescent="0.45">
      <c r="A31" s="54">
        <v>28</v>
      </c>
      <c r="B31" s="162" t="str">
        <f>Hakemler!B31</f>
        <v>GÜRKAN KİRAZ</v>
      </c>
      <c r="C31" s="162" t="str">
        <f>Hakemler!C31</f>
        <v>FULYA</v>
      </c>
      <c r="D31" s="56"/>
      <c r="E31" s="56"/>
      <c r="F31" s="56">
        <v>1</v>
      </c>
      <c r="G31" s="56">
        <v>6</v>
      </c>
      <c r="H31" s="56">
        <v>1</v>
      </c>
      <c r="I31" s="56"/>
      <c r="J31" s="56"/>
      <c r="K31" s="56"/>
      <c r="L31" s="56"/>
      <c r="M31" s="56"/>
      <c r="N31" s="70">
        <v>2</v>
      </c>
      <c r="O31" s="70">
        <v>0.3</v>
      </c>
      <c r="P31" s="71">
        <f>1-(SUM(IF(D31-Uzman_D!$B$11&lt;0,-(D31-Uzman_D!$B$11),D31-Uzman_D!$B$11)*0.1+IF(E31-Uzman_D!$C$11&lt;0,-(E31-Uzman_D!$C$11),E31-Uzman_D!$C$11)*0.1+IF(F31-Uzman_D!$D$11&lt;0,-(F31-Uzman_D!$D$11),F31-Uzman_D!$D$11)*0.1+IF(G31-Uzman_D!$E$11&lt;0,-(G31-Uzman_D!$E$11),G31-Uzman_D!$E$11)*0.1+IF(H31-Uzman_D!$F$11&lt;0,-(H31-Uzman_D!$F$11),H31-Uzman_D!$F$11)*0.1+IF(I31-Uzman_D!$G$11&lt;0,-(I31-Uzman_D!$G$11),I31-Uzman_D!$G$11)*0.1+IF(J31-Uzman_D!$H$11&lt;0,-(J31-Uzman_D!$H$11),J31-Uzman_D!$H$11)*0.1+IF(K31-Uzman_D!$I$11&lt;0,-(K31-Uzman_D!$I$11),K31-Uzman_D!$I$11)*0.1+IF(L31-Uzman_D!$J$11&lt;0,-(L31-Uzman_D!$J$11),L31-Uzman_D!$J$11)*0.1)+IF(ROUND((IF(N31-Uzman_D!$L$11&lt;0,-(N31-Uzman_D!$L$11),N31-Uzman_D!$L$11)*2),0)/2=IF(N31-Uzman_D!$L$11&lt;0,-(N31-Uzman_D!$L$11),N31-Uzman_D!$L$11),(ROUND((IF(N31-Uzman_D!$L$11&lt;0,-(N31-Uzman_D!$L$11),N31-Uzman_D!$L$11)*2),0)/1*0.1),0)+IF(O31-Uzman_D!$M$11&lt;0,-(O31-Uzman_D!$M$11),O31-Uzman_D!$M$11)*1)</f>
        <v>0.60000000000000009</v>
      </c>
      <c r="Q31" s="56"/>
      <c r="R31" s="56"/>
      <c r="S31" s="56">
        <v>1</v>
      </c>
      <c r="T31" s="56">
        <v>4</v>
      </c>
      <c r="U31" s="56">
        <v>3</v>
      </c>
      <c r="V31" s="56"/>
      <c r="W31" s="56"/>
      <c r="X31" s="56"/>
      <c r="Y31" s="56"/>
      <c r="Z31" s="56"/>
      <c r="AA31" s="70">
        <v>2</v>
      </c>
      <c r="AB31" s="70">
        <v>0.4</v>
      </c>
      <c r="AC31" s="71">
        <f>1-(SUM(IF(Q31-Uzman_D!$B$12&lt;0,-(Q31-Uzman_D!$B$12),Q31-Uzman_D!$B$12)*0.1+IF(R31-Uzman_D!$C$12&lt;0,-(R31-Uzman_D!$C$12),R31-Uzman_D!$C$12)*0.1+IF(S31-Uzman_D!$D$12&lt;0,-(S31-Uzman_D!$D$12),S31-Uzman_D!$D$12)*0.1+IF(T31-Uzman_D!$E$12&lt;0,-(T31-Uzman_D!$E$12),T31-Uzman_D!$E$12)*0.1+IF(U31-Uzman_D!$F$12&lt;0,-(U31-Uzman_D!$F$12),U31-Uzman_D!$F$12)*0.1+IF(V31-Uzman_D!$G$12&lt;0,-(V31-Uzman_D!$G$12),V31-Uzman_D!$G$12)*0.1+IF(W31-Uzman_D!$H$12&lt;0,-(W31-Uzman_D!$H$12),W31-Uzman_D!$H$12)*0.1+IF(X31-Uzman_D!$I$12&lt;0,-(X31-Uzman_D!$I$12),X31-Uzman_D!$I$12)*0.1+IF(Y31-Uzman_D!$J$12&lt;0,-(Y31-Uzman_D!$J$12),Y31-Uzman_D!$J$12)*0.1)+IF(ROUND((IF(AA31-Uzman_D!$L$12&lt;0,-(AA31-Uzman_D!$L$12),AA31-Uzman_D!$L$12)*2),0)/2=IF(AA31-Uzman_D!$L$12&lt;0,-(AA31-Uzman_D!$L$12),AA31-Uzman_D!$L$12),(ROUND((IF(AA31-Uzman_D!$L$12&lt;0,-(AA31-Uzman_D!$L$12),AA31-Uzman_D!$L$12)*2),0)/1*0.1),0)+IF(AB31-Uzman_D!$M$12&lt;0,-(AB31-Uzman_D!$M$12),AB31-Uzman_D!$M$12)*1)</f>
        <v>0.7</v>
      </c>
      <c r="AD31" s="56">
        <v>1</v>
      </c>
      <c r="AE31" s="56"/>
      <c r="AF31" s="56">
        <v>3</v>
      </c>
      <c r="AG31" s="56">
        <v>4</v>
      </c>
      <c r="AH31" s="56"/>
      <c r="AI31" s="56"/>
      <c r="AJ31" s="56"/>
      <c r="AK31" s="56"/>
      <c r="AL31" s="56"/>
      <c r="AM31" s="56"/>
      <c r="AN31" s="70">
        <v>2</v>
      </c>
      <c r="AO31" s="70">
        <v>0</v>
      </c>
      <c r="AP31" s="71">
        <f>1-(SUM(IF(AD31-Uzman_D!$B$13&lt;0,-(AD31-Uzman_D!$B$13),AD31-Uzman_D!$B$13)*0.1+IF(AE31-Uzman_D!$C$13&lt;0,-(AE31-Uzman_D!$C$13),AE31-Uzman_D!$C$13)*0.1+IF(AF31-Uzman_D!$D$13&lt;0,-(AF31-Uzman_D!$D$13),AF31-Uzman_D!$D$13)*0.1+IF(AG31-Uzman_D!$E$13&lt;0,-(AG31-Uzman_D!$E$13),AG31-Uzman_D!$E$13)*0.1+IF(AH31-Uzman_D!$F$13&lt;0,-(AH31-Uzman_D!$F$13),AH31-Uzman_D!$F$13)*0.1+IF(AI31-Uzman_D!$G$13&lt;0,-(AI31-Uzman_D!$G$13),AI31-Uzman_D!$G$13)*0.1+IF(AJ31-Uzman_D!$H$13&lt;0,-(AJ31-Uzman_D!$H$13),AJ31-Uzman_D!$H$13)*0.1+IF(AK31-Uzman_D!$I$13&lt;0,-(AK31-Uzman_D!$I$13),AK31-Uzman_D!$I$13)*0.1+IF(AL31-Uzman_D!$J$13&lt;0,-(AL31-Uzman_D!$J$13),AL31-Uzman_D!$J$13)*0.1)+IF(ROUND((IF(AN31-Uzman_D!$L$13&lt;0,-(AN31-Uzman_D!$L$13),AN31-Uzman_D!$L$13)*2),0)/2=IF(AN31-Uzman_D!$L$13&lt;0,-(AN31-Uzman_D!$L$13),AN31-Uzman_D!$L$13),(ROUND((IF(AN31-Uzman_D!$L$13&lt;0,-(AN31-Uzman_D!$L$13),AN31-Uzman_D!$L$13)*2),0)/1*0.1),0)+IF(AO31-Uzman_D!$M$13&lt;0,-(AO31-Uzman_D!$M$13),AO31-Uzman_D!$M$13)*1)</f>
        <v>0.5</v>
      </c>
      <c r="AQ31" s="56"/>
      <c r="AR31" s="56">
        <v>1</v>
      </c>
      <c r="AS31" s="56">
        <v>2</v>
      </c>
      <c r="AT31" s="56">
        <v>5</v>
      </c>
      <c r="AU31" s="56"/>
      <c r="AV31" s="56"/>
      <c r="AW31" s="56"/>
      <c r="AX31" s="56"/>
      <c r="AY31" s="56"/>
      <c r="AZ31" s="56"/>
      <c r="BA31" s="70">
        <v>2</v>
      </c>
      <c r="BB31" s="70">
        <v>0.2</v>
      </c>
      <c r="BC31" s="71">
        <f>1-(SUM(IF(AQ31-Uzman_D!$B$14&lt;0,-(AQ31-Uzman_D!$B$14),AQ31-Uzman_D!$B$14)*0.1+IF(AR31-Uzman_D!$C$14&lt;0,-(AR31-Uzman_D!$C$14),AR31-Uzman_D!$C$14)*0.1+IF(AS31-Uzman_D!$D$14&lt;0,-(AS31-Uzman_D!$D$14),AS31-Uzman_D!$D$14)*0.1+IF(AT31-Uzman_D!$E$14&lt;0,-(AT31-Uzman_D!$E$14),AT31-Uzman_D!$E$14)*0.1+IF(AU31-Uzman_D!$F$14&lt;0,-(AU31-Uzman_D!$F$14),AU31-Uzman_D!$F$14)*0.1+IF(AV31-Uzman_D!$G$14&lt;0,-(AV31-Uzman_D!$G$14),AV31-Uzman_D!$G$14)*0.1+IF(AW31-Uzman_D!$H$14&lt;0,-(AW31-Uzman_D!$H$14),AW31-Uzman_D!$H$14)*0.1+IF(AX31-Uzman_D!$I$14&lt;0,-(AX31-Uzman_D!$I$14),AX31-Uzman_D!$I$14)*0.1+IF(AY31-Uzman_D!$J$14&lt;0,-(AY31-Uzman_D!$J$14),AY31-Uzman_D!$J$14)*0.1)+IF(ROUND((IF(BA31-Uzman_D!$L$14&lt;0,-(BA31-Uzman_D!$L$14),BA31-Uzman_D!$L$14)*2),0)/2=IF(BA31-Uzman_D!$L$14&lt;0,-(BA31-Uzman_D!$L$14),BA31-Uzman_D!$L$14),(ROUND((IF(BA31-Uzman_D!$L$14&lt;0,-(BA31-Uzman_D!$L$14),BA31-Uzman_D!$L$14)*2),0)/1*0.1),0)+IF(BB31-Uzman_D!$M$14&lt;0,-(BB31-Uzman_D!$M$14),BB31-Uzman_D!$M$14)*1)</f>
        <v>0.29999999999999993</v>
      </c>
      <c r="BD31" s="56">
        <v>1</v>
      </c>
      <c r="BE31" s="56"/>
      <c r="BF31" s="56">
        <v>2</v>
      </c>
      <c r="BG31" s="56">
        <v>4</v>
      </c>
      <c r="BH31" s="56">
        <v>1</v>
      </c>
      <c r="BI31" s="56"/>
      <c r="BJ31" s="56"/>
      <c r="BK31" s="56"/>
      <c r="BL31" s="56"/>
      <c r="BM31" s="56"/>
      <c r="BN31" s="70">
        <v>2</v>
      </c>
      <c r="BO31" s="70">
        <v>0.2</v>
      </c>
      <c r="BP31" s="71">
        <f>1-(SUM(IF(BD31-Uzman_D!$B$15&lt;0,-(BD31-Uzman_D!$B$15),BD31-Uzman_D!$B$15)*0.1+IF(BE31-Uzman_D!$C$15&lt;0,-(BE31-Uzman_D!$C$15),BE31-Uzman_D!$C$15)*0.1+IF(BF31-Uzman_D!$D$15&lt;0,-(BF31-Uzman_D!$D$15),BF31-Uzman_D!$D$15)*0.1+IF(BG31-Uzman_D!$E$15&lt;0,-(BG31-Uzman_D!$E$15),BG31-Uzman_D!$E$15)*0.1+IF(BH31-Uzman_D!$F$15&lt;0,-(BH31-Uzman_D!$F$15),BH31-Uzman_D!$F$15)*0.1+IF(BI31-Uzman_D!$G$15&lt;0,-(BI31-Uzman_D!$G$15),BI31-Uzman_D!$G$15)*0.1+IF(BJ31-Uzman_D!$H$15&lt;0,-(BJ31-Uzman_D!$H$15),BJ31-Uzman_D!$H$15)*0.1+IF(BK31-Uzman_D!$I$15&lt;0,-(BK31-Uzman_D!$I$15),BK31-Uzman_D!$I$15)*0.1+IF(BL31-Uzman_D!$J$15&lt;0,-(BL31-Uzman_D!$J$15),BL31-Uzman_D!$J$15)*0.1)+IF(ROUND((IF(BN31-Uzman_D!$L$15&lt;0,-(BN31-Uzman_D!$L$15),BN31-Uzman_D!$L$15)*2),0)/2=IF(BN31-Uzman_D!$L$15&lt;0,-(BN31-Uzman_D!$L$15),BN31-Uzman_D!$L$15),(ROUND((IF(BN31-Uzman_D!$L$15&lt;0,-(BN31-Uzman_D!$L$15),BN31-Uzman_D!$L$15)*2),0)/1*0.1),0)+IF(BO31-Uzman_D!$M$15&lt;0,-(BO31-Uzman_D!$M$15),BO31-Uzman_D!$M$15)*1)</f>
        <v>0.5</v>
      </c>
      <c r="BQ31" s="72">
        <f t="shared" si="0"/>
        <v>0.52</v>
      </c>
    </row>
    <row r="32" spans="1:69" ht="15" customHeight="1" x14ac:dyDescent="0.45">
      <c r="A32" s="54">
        <v>29</v>
      </c>
      <c r="B32" s="162" t="str">
        <f>Hakemler!B32</f>
        <v>KILIÇ</v>
      </c>
      <c r="C32" s="162" t="str">
        <f>Hakemler!C32</f>
        <v>AYŞE</v>
      </c>
      <c r="D32" s="56"/>
      <c r="E32" s="56"/>
      <c r="F32" s="56">
        <v>1</v>
      </c>
      <c r="G32" s="56">
        <v>5</v>
      </c>
      <c r="H32" s="56"/>
      <c r="I32" s="56"/>
      <c r="J32" s="56"/>
      <c r="K32" s="56"/>
      <c r="L32" s="56"/>
      <c r="M32" s="56"/>
      <c r="N32" s="70">
        <v>1.5</v>
      </c>
      <c r="O32" s="70">
        <v>0.7</v>
      </c>
      <c r="P32" s="71">
        <f>1-(SUM(IF(D32-Uzman_D!$B$11&lt;0,-(D32-Uzman_D!$B$11),D32-Uzman_D!$B$11)*0.1+IF(E32-Uzman_D!$C$11&lt;0,-(E32-Uzman_D!$C$11),E32-Uzman_D!$C$11)*0.1+IF(F32-Uzman_D!$D$11&lt;0,-(F32-Uzman_D!$D$11),F32-Uzman_D!$D$11)*0.1+IF(G32-Uzman_D!$E$11&lt;0,-(G32-Uzman_D!$E$11),G32-Uzman_D!$E$11)*0.1+IF(H32-Uzman_D!$F$11&lt;0,-(H32-Uzman_D!$F$11),H32-Uzman_D!$F$11)*0.1+IF(I32-Uzman_D!$G$11&lt;0,-(I32-Uzman_D!$G$11),I32-Uzman_D!$G$11)*0.1+IF(J32-Uzman_D!$H$11&lt;0,-(J32-Uzman_D!$H$11),J32-Uzman_D!$H$11)*0.1+IF(K32-Uzman_D!$I$11&lt;0,-(K32-Uzman_D!$I$11),K32-Uzman_D!$I$11)*0.1+IF(L32-Uzman_D!$J$11&lt;0,-(L32-Uzman_D!$J$11),L32-Uzman_D!$J$11)*0.1)+IF(ROUND((IF(N32-Uzman_D!$L$11&lt;0,-(N32-Uzman_D!$L$11),N32-Uzman_D!$L$11)*2),0)/2=IF(N32-Uzman_D!$L$11&lt;0,-(N32-Uzman_D!$L$11),N32-Uzman_D!$L$11),(ROUND((IF(N32-Uzman_D!$L$11&lt;0,-(N32-Uzman_D!$L$11),N32-Uzman_D!$L$11)*2),0)/1*0.1),0)+IF(O32-Uzman_D!$M$11&lt;0,-(O32-Uzman_D!$M$11),O32-Uzman_D!$M$11)*1)</f>
        <v>0.7</v>
      </c>
      <c r="Q32" s="56"/>
      <c r="R32" s="56">
        <v>2</v>
      </c>
      <c r="S32" s="56"/>
      <c r="T32" s="56">
        <v>3</v>
      </c>
      <c r="U32" s="56">
        <v>2</v>
      </c>
      <c r="V32" s="56">
        <v>1</v>
      </c>
      <c r="W32" s="56"/>
      <c r="X32" s="56"/>
      <c r="Y32" s="56"/>
      <c r="Z32" s="56"/>
      <c r="AA32" s="70">
        <v>2</v>
      </c>
      <c r="AB32" s="70">
        <v>0.4</v>
      </c>
      <c r="AC32" s="71">
        <f>1-(SUM(IF(Q32-Uzman_D!$B$12&lt;0,-(Q32-Uzman_D!$B$12),Q32-Uzman_D!$B$12)*0.1+IF(R32-Uzman_D!$C$12&lt;0,-(R32-Uzman_D!$C$12),R32-Uzman_D!$C$12)*0.1+IF(S32-Uzman_D!$D$12&lt;0,-(S32-Uzman_D!$D$12),S32-Uzman_D!$D$12)*0.1+IF(T32-Uzman_D!$E$12&lt;0,-(T32-Uzman_D!$E$12),T32-Uzman_D!$E$12)*0.1+IF(U32-Uzman_D!$F$12&lt;0,-(U32-Uzman_D!$F$12),U32-Uzman_D!$F$12)*0.1+IF(V32-Uzman_D!$G$12&lt;0,-(V32-Uzman_D!$G$12),V32-Uzman_D!$G$12)*0.1+IF(W32-Uzman_D!$H$12&lt;0,-(W32-Uzman_D!$H$12),W32-Uzman_D!$H$12)*0.1+IF(X32-Uzman_D!$I$12&lt;0,-(X32-Uzman_D!$I$12),X32-Uzman_D!$I$12)*0.1+IF(Y32-Uzman_D!$J$12&lt;0,-(Y32-Uzman_D!$J$12),Y32-Uzman_D!$J$12)*0.1)+IF(ROUND((IF(AA32-Uzman_D!$L$12&lt;0,-(AA32-Uzman_D!$L$12),AA32-Uzman_D!$L$12)*2),0)/2=IF(AA32-Uzman_D!$L$12&lt;0,-(AA32-Uzman_D!$L$12),AA32-Uzman_D!$L$12),(ROUND((IF(AA32-Uzman_D!$L$12&lt;0,-(AA32-Uzman_D!$L$12),AA32-Uzman_D!$L$12)*2),0)/1*0.1),0)+IF(AB32-Uzman_D!$M$12&lt;0,-(AB32-Uzman_D!$M$12),AB32-Uzman_D!$M$12)*1)</f>
        <v>0.5</v>
      </c>
      <c r="AD32" s="56"/>
      <c r="AE32" s="56">
        <v>3</v>
      </c>
      <c r="AF32" s="56">
        <v>2</v>
      </c>
      <c r="AG32" s="56">
        <v>3</v>
      </c>
      <c r="AH32" s="56"/>
      <c r="AI32" s="56"/>
      <c r="AJ32" s="56"/>
      <c r="AK32" s="56"/>
      <c r="AL32" s="56"/>
      <c r="AM32" s="56"/>
      <c r="AN32" s="70">
        <v>2</v>
      </c>
      <c r="AO32" s="70">
        <v>0</v>
      </c>
      <c r="AP32" s="71">
        <f>1-(SUM(IF(AD32-Uzman_D!$B$13&lt;0,-(AD32-Uzman_D!$B$13),AD32-Uzman_D!$B$13)*0.1+IF(AE32-Uzman_D!$C$13&lt;0,-(AE32-Uzman_D!$C$13),AE32-Uzman_D!$C$13)*0.1+IF(AF32-Uzman_D!$D$13&lt;0,-(AF32-Uzman_D!$D$13),AF32-Uzman_D!$D$13)*0.1+IF(AG32-Uzman_D!$E$13&lt;0,-(AG32-Uzman_D!$E$13),AG32-Uzman_D!$E$13)*0.1+IF(AH32-Uzman_D!$F$13&lt;0,-(AH32-Uzman_D!$F$13),AH32-Uzman_D!$F$13)*0.1+IF(AI32-Uzman_D!$G$13&lt;0,-(AI32-Uzman_D!$G$13),AI32-Uzman_D!$G$13)*0.1+IF(AJ32-Uzman_D!$H$13&lt;0,-(AJ32-Uzman_D!$H$13),AJ32-Uzman_D!$H$13)*0.1+IF(AK32-Uzman_D!$I$13&lt;0,-(AK32-Uzman_D!$I$13),AK32-Uzman_D!$I$13)*0.1+IF(AL32-Uzman_D!$J$13&lt;0,-(AL32-Uzman_D!$J$13),AL32-Uzman_D!$J$13)*0.1)+IF(ROUND((IF(AN32-Uzman_D!$L$13&lt;0,-(AN32-Uzman_D!$L$13),AN32-Uzman_D!$L$13)*2),0)/2=IF(AN32-Uzman_D!$L$13&lt;0,-(AN32-Uzman_D!$L$13),AN32-Uzman_D!$L$13),(ROUND((IF(AN32-Uzman_D!$L$13&lt;0,-(AN32-Uzman_D!$L$13),AN32-Uzman_D!$L$13)*2),0)/1*0.1),0)+IF(AO32-Uzman_D!$M$13&lt;0,-(AO32-Uzman_D!$M$13),AO32-Uzman_D!$M$13)*1)</f>
        <v>0.29999999999999993</v>
      </c>
      <c r="AQ32" s="56"/>
      <c r="AR32" s="56">
        <v>2</v>
      </c>
      <c r="AS32" s="56">
        <v>3</v>
      </c>
      <c r="AT32" s="56">
        <v>3</v>
      </c>
      <c r="AU32" s="56"/>
      <c r="AV32" s="56"/>
      <c r="AW32" s="56"/>
      <c r="AX32" s="56"/>
      <c r="AY32" s="56"/>
      <c r="AZ32" s="56"/>
      <c r="BA32" s="70">
        <v>2</v>
      </c>
      <c r="BB32" s="70">
        <v>0.2</v>
      </c>
      <c r="BC32" s="71">
        <f>1-(SUM(IF(AQ32-Uzman_D!$B$14&lt;0,-(AQ32-Uzman_D!$B$14),AQ32-Uzman_D!$B$14)*0.1+IF(AR32-Uzman_D!$C$14&lt;0,-(AR32-Uzman_D!$C$14),AR32-Uzman_D!$C$14)*0.1+IF(AS32-Uzman_D!$D$14&lt;0,-(AS32-Uzman_D!$D$14),AS32-Uzman_D!$D$14)*0.1+IF(AT32-Uzman_D!$E$14&lt;0,-(AT32-Uzman_D!$E$14),AT32-Uzman_D!$E$14)*0.1+IF(AU32-Uzman_D!$F$14&lt;0,-(AU32-Uzman_D!$F$14),AU32-Uzman_D!$F$14)*0.1+IF(AV32-Uzman_D!$G$14&lt;0,-(AV32-Uzman_D!$G$14),AV32-Uzman_D!$G$14)*0.1+IF(AW32-Uzman_D!$H$14&lt;0,-(AW32-Uzman_D!$H$14),AW32-Uzman_D!$H$14)*0.1+IF(AX32-Uzman_D!$I$14&lt;0,-(AX32-Uzman_D!$I$14),AX32-Uzman_D!$I$14)*0.1+IF(AY32-Uzman_D!$J$14&lt;0,-(AY32-Uzman_D!$J$14),AY32-Uzman_D!$J$14)*0.1)+IF(ROUND((IF(BA32-Uzman_D!$L$14&lt;0,-(BA32-Uzman_D!$L$14),BA32-Uzman_D!$L$14)*2),0)/2=IF(BA32-Uzman_D!$L$14&lt;0,-(BA32-Uzman_D!$L$14),BA32-Uzman_D!$L$14),(ROUND((IF(BA32-Uzman_D!$L$14&lt;0,-(BA32-Uzman_D!$L$14),BA32-Uzman_D!$L$14)*2),0)/1*0.1),0)+IF(BB32-Uzman_D!$M$14&lt;0,-(BB32-Uzman_D!$M$14),BB32-Uzman_D!$M$14)*1)</f>
        <v>0.7</v>
      </c>
      <c r="BD32" s="56"/>
      <c r="BE32" s="56">
        <v>4</v>
      </c>
      <c r="BF32" s="56">
        <v>5</v>
      </c>
      <c r="BG32" s="56">
        <v>6</v>
      </c>
      <c r="BH32" s="56">
        <v>4</v>
      </c>
      <c r="BI32" s="56"/>
      <c r="BJ32" s="56"/>
      <c r="BK32" s="56"/>
      <c r="BL32" s="56"/>
      <c r="BM32" s="56"/>
      <c r="BN32" s="70">
        <v>2</v>
      </c>
      <c r="BO32" s="70">
        <v>0.5</v>
      </c>
      <c r="BP32" s="71">
        <f>1-(SUM(IF(BD32-Uzman_D!$B$15&lt;0,-(BD32-Uzman_D!$B$15),BD32-Uzman_D!$B$15)*0.1+IF(BE32-Uzman_D!$C$15&lt;0,-(BE32-Uzman_D!$C$15),BE32-Uzman_D!$C$15)*0.1+IF(BF32-Uzman_D!$D$15&lt;0,-(BF32-Uzman_D!$D$15),BF32-Uzman_D!$D$15)*0.1+IF(BG32-Uzman_D!$E$15&lt;0,-(BG32-Uzman_D!$E$15),BG32-Uzman_D!$E$15)*0.1+IF(BH32-Uzman_D!$F$15&lt;0,-(BH32-Uzman_D!$F$15),BH32-Uzman_D!$F$15)*0.1+IF(BI32-Uzman_D!$G$15&lt;0,-(BI32-Uzman_D!$G$15),BI32-Uzman_D!$G$15)*0.1+IF(BJ32-Uzman_D!$H$15&lt;0,-(BJ32-Uzman_D!$H$15),BJ32-Uzman_D!$H$15)*0.1+IF(BK32-Uzman_D!$I$15&lt;0,-(BK32-Uzman_D!$I$15),BK32-Uzman_D!$I$15)*0.1+IF(BL32-Uzman_D!$J$15&lt;0,-(BL32-Uzman_D!$J$15),BL32-Uzman_D!$J$15)*0.1)+IF(ROUND((IF(BN32-Uzman_D!$L$15&lt;0,-(BN32-Uzman_D!$L$15),BN32-Uzman_D!$L$15)*2),0)/2=IF(BN32-Uzman_D!$L$15&lt;0,-(BN32-Uzman_D!$L$15),BN32-Uzman_D!$L$15),(ROUND((IF(BN32-Uzman_D!$L$15&lt;0,-(BN32-Uzman_D!$L$15),BN32-Uzman_D!$L$15)*2),0)/1*0.1),0)+IF(BO32-Uzman_D!$M$15&lt;0,-(BO32-Uzman_D!$M$15),BO32-Uzman_D!$M$15)*1)</f>
        <v>-0.30000000000000004</v>
      </c>
      <c r="BQ32" s="72">
        <f t="shared" si="0"/>
        <v>0.38</v>
      </c>
    </row>
    <row r="33" spans="1:69" ht="15" customHeight="1" x14ac:dyDescent="0.45">
      <c r="A33" s="54">
        <v>30</v>
      </c>
      <c r="B33" s="162" t="str">
        <f>Hakemler!B33</f>
        <v>ÖZGENLİK TATAR</v>
      </c>
      <c r="C33" s="162" t="str">
        <f>Hakemler!C33</f>
        <v>ARZU</v>
      </c>
      <c r="D33" s="56"/>
      <c r="E33" s="56"/>
      <c r="F33" s="56">
        <v>0</v>
      </c>
      <c r="G33" s="56">
        <v>0</v>
      </c>
      <c r="H33" s="56"/>
      <c r="I33" s="56"/>
      <c r="J33" s="56"/>
      <c r="K33" s="56"/>
      <c r="L33" s="56"/>
      <c r="M33" s="56"/>
      <c r="N33" s="70">
        <v>2</v>
      </c>
      <c r="O33" s="70">
        <v>0.2</v>
      </c>
      <c r="P33" s="71">
        <f>1-(SUM(IF(D33-Uzman_D!$B$11&lt;0,-(D33-Uzman_D!$B$11),D33-Uzman_D!$B$11)*0.1+IF(E33-Uzman_D!$C$11&lt;0,-(E33-Uzman_D!$C$11),E33-Uzman_D!$C$11)*0.1+IF(F33-Uzman_D!$D$11&lt;0,-(F33-Uzman_D!$D$11),F33-Uzman_D!$D$11)*0.1+IF(G33-Uzman_D!$E$11&lt;0,-(G33-Uzman_D!$E$11),G33-Uzman_D!$E$11)*0.1+IF(H33-Uzman_D!$F$11&lt;0,-(H33-Uzman_D!$F$11),H33-Uzman_D!$F$11)*0.1+IF(I33-Uzman_D!$G$11&lt;0,-(I33-Uzman_D!$G$11),I33-Uzman_D!$G$11)*0.1+IF(J33-Uzman_D!$H$11&lt;0,-(J33-Uzman_D!$H$11),J33-Uzman_D!$H$11)*0.1+IF(K33-Uzman_D!$I$11&lt;0,-(K33-Uzman_D!$I$11),K33-Uzman_D!$I$11)*0.1+IF(L33-Uzman_D!$J$11&lt;0,-(L33-Uzman_D!$J$11),L33-Uzman_D!$J$11)*0.1)+IF(ROUND((IF(N33-Uzman_D!$L$11&lt;0,-(N33-Uzman_D!$L$11),N33-Uzman_D!$L$11)*2),0)/2=IF(N33-Uzman_D!$L$11&lt;0,-(N33-Uzman_D!$L$11),N33-Uzman_D!$L$11),(ROUND((IF(N33-Uzman_D!$L$11&lt;0,-(N33-Uzman_D!$L$11),N33-Uzman_D!$L$11)*2),0)/1*0.1),0)+IF(O33-Uzman_D!$M$11&lt;0,-(O33-Uzman_D!$M$11),O33-Uzman_D!$M$11)*1)</f>
        <v>-0.30000000000000004</v>
      </c>
      <c r="Q33" s="56"/>
      <c r="R33" s="56"/>
      <c r="S33" s="56">
        <v>0</v>
      </c>
      <c r="T33" s="56">
        <v>0</v>
      </c>
      <c r="U33" s="56">
        <v>0</v>
      </c>
      <c r="V33" s="56"/>
      <c r="W33" s="56"/>
      <c r="X33" s="56"/>
      <c r="Y33" s="56"/>
      <c r="Z33" s="56"/>
      <c r="AA33" s="70">
        <v>2</v>
      </c>
      <c r="AB33" s="70">
        <v>0.2</v>
      </c>
      <c r="AC33" s="71">
        <f>1-(SUM(IF(Q33-Uzman_D!$B$12&lt;0,-(Q33-Uzman_D!$B$12),Q33-Uzman_D!$B$12)*0.1+IF(R33-Uzman_D!$C$12&lt;0,-(R33-Uzman_D!$C$12),R33-Uzman_D!$C$12)*0.1+IF(S33-Uzman_D!$D$12&lt;0,-(S33-Uzman_D!$D$12),S33-Uzman_D!$D$12)*0.1+IF(T33-Uzman_D!$E$12&lt;0,-(T33-Uzman_D!$E$12),T33-Uzman_D!$E$12)*0.1+IF(U33-Uzman_D!$F$12&lt;0,-(U33-Uzman_D!$F$12),U33-Uzman_D!$F$12)*0.1+IF(V33-Uzman_D!$G$12&lt;0,-(V33-Uzman_D!$G$12),V33-Uzman_D!$G$12)*0.1+IF(W33-Uzman_D!$H$12&lt;0,-(W33-Uzman_D!$H$12),W33-Uzman_D!$H$12)*0.1+IF(X33-Uzman_D!$I$12&lt;0,-(X33-Uzman_D!$I$12),X33-Uzman_D!$I$12)*0.1+IF(Y33-Uzman_D!$J$12&lt;0,-(Y33-Uzman_D!$J$12),Y33-Uzman_D!$J$12)*0.1)+IF(ROUND((IF(AA33-Uzman_D!$L$12&lt;0,-(AA33-Uzman_D!$L$12),AA33-Uzman_D!$L$12)*2),0)/2=IF(AA33-Uzman_D!$L$12&lt;0,-(AA33-Uzman_D!$L$12),AA33-Uzman_D!$L$12),(ROUND((IF(AA33-Uzman_D!$L$12&lt;0,-(AA33-Uzman_D!$L$12),AA33-Uzman_D!$L$12)*2),0)/1*0.1),0)+IF(AB33-Uzman_D!$M$12&lt;0,-(AB33-Uzman_D!$M$12),AB33-Uzman_D!$M$12)*1)</f>
        <v>-9.9999999999999867E-2</v>
      </c>
      <c r="AD33" s="56"/>
      <c r="AE33" s="56">
        <v>0</v>
      </c>
      <c r="AF33" s="56">
        <v>0</v>
      </c>
      <c r="AG33" s="56">
        <v>0</v>
      </c>
      <c r="AH33" s="56"/>
      <c r="AI33" s="56"/>
      <c r="AJ33" s="56"/>
      <c r="AK33" s="56"/>
      <c r="AL33" s="56"/>
      <c r="AM33" s="56"/>
      <c r="AN33" s="70">
        <v>2</v>
      </c>
      <c r="AO33" s="70">
        <v>0</v>
      </c>
      <c r="AP33" s="71">
        <f>1-(SUM(IF(AD33-Uzman_D!$B$13&lt;0,-(AD33-Uzman_D!$B$13),AD33-Uzman_D!$B$13)*0.1+IF(AE33-Uzman_D!$C$13&lt;0,-(AE33-Uzman_D!$C$13),AE33-Uzman_D!$C$13)*0.1+IF(AF33-Uzman_D!$D$13&lt;0,-(AF33-Uzman_D!$D$13),AF33-Uzman_D!$D$13)*0.1+IF(AG33-Uzman_D!$E$13&lt;0,-(AG33-Uzman_D!$E$13),AG33-Uzman_D!$E$13)*0.1+IF(AH33-Uzman_D!$F$13&lt;0,-(AH33-Uzman_D!$F$13),AH33-Uzman_D!$F$13)*0.1+IF(AI33-Uzman_D!$G$13&lt;0,-(AI33-Uzman_D!$G$13),AI33-Uzman_D!$G$13)*0.1+IF(AJ33-Uzman_D!$H$13&lt;0,-(AJ33-Uzman_D!$H$13),AJ33-Uzman_D!$H$13)*0.1+IF(AK33-Uzman_D!$I$13&lt;0,-(AK33-Uzman_D!$I$13),AK33-Uzman_D!$I$13)*0.1+IF(AL33-Uzman_D!$J$13&lt;0,-(AL33-Uzman_D!$J$13),AL33-Uzman_D!$J$13)*0.1)+IF(ROUND((IF(AN33-Uzman_D!$L$13&lt;0,-(AN33-Uzman_D!$L$13),AN33-Uzman_D!$L$13)*2),0)/2=IF(AN33-Uzman_D!$L$13&lt;0,-(AN33-Uzman_D!$L$13),AN33-Uzman_D!$L$13),(ROUND((IF(AN33-Uzman_D!$L$13&lt;0,-(AN33-Uzman_D!$L$13),AN33-Uzman_D!$L$13)*2),0)/1*0.1),0)+IF(AO33-Uzman_D!$M$13&lt;0,-(AO33-Uzman_D!$M$13),AO33-Uzman_D!$M$13)*1)</f>
        <v>9.9999999999999978E-2</v>
      </c>
      <c r="AQ33" s="56"/>
      <c r="AR33" s="56">
        <v>0</v>
      </c>
      <c r="AS33" s="56">
        <v>0</v>
      </c>
      <c r="AT33" s="56">
        <v>1</v>
      </c>
      <c r="AU33" s="56"/>
      <c r="AV33" s="56"/>
      <c r="AW33" s="56"/>
      <c r="AX33" s="56"/>
      <c r="AY33" s="56"/>
      <c r="AZ33" s="56"/>
      <c r="BA33" s="70">
        <v>2</v>
      </c>
      <c r="BB33" s="70">
        <v>0</v>
      </c>
      <c r="BC33" s="71">
        <f>1-(SUM(IF(AQ33-Uzman_D!$B$14&lt;0,-(AQ33-Uzman_D!$B$14),AQ33-Uzman_D!$B$14)*0.1+IF(AR33-Uzman_D!$C$14&lt;0,-(AR33-Uzman_D!$C$14),AR33-Uzman_D!$C$14)*0.1+IF(AS33-Uzman_D!$D$14&lt;0,-(AS33-Uzman_D!$D$14),AS33-Uzman_D!$D$14)*0.1+IF(AT33-Uzman_D!$E$14&lt;0,-(AT33-Uzman_D!$E$14),AT33-Uzman_D!$E$14)*0.1+IF(AU33-Uzman_D!$F$14&lt;0,-(AU33-Uzman_D!$F$14),AU33-Uzman_D!$F$14)*0.1+IF(AV33-Uzman_D!$G$14&lt;0,-(AV33-Uzman_D!$G$14),AV33-Uzman_D!$G$14)*0.1+IF(AW33-Uzman_D!$H$14&lt;0,-(AW33-Uzman_D!$H$14),AW33-Uzman_D!$H$14)*0.1+IF(AX33-Uzman_D!$I$14&lt;0,-(AX33-Uzman_D!$I$14),AX33-Uzman_D!$I$14)*0.1+IF(AY33-Uzman_D!$J$14&lt;0,-(AY33-Uzman_D!$J$14),AY33-Uzman_D!$J$14)*0.1)+IF(ROUND((IF(BA33-Uzman_D!$L$14&lt;0,-(BA33-Uzman_D!$L$14),BA33-Uzman_D!$L$14)*2),0)/2=IF(BA33-Uzman_D!$L$14&lt;0,-(BA33-Uzman_D!$L$14),BA33-Uzman_D!$L$14),(ROUND((IF(BA33-Uzman_D!$L$14&lt;0,-(BA33-Uzman_D!$L$14),BA33-Uzman_D!$L$14)*2),0)/1*0.1),0)+IF(BB33-Uzman_D!$M$14&lt;0,-(BB33-Uzman_D!$M$14),BB33-Uzman_D!$M$14)*1)</f>
        <v>0.19999999999999996</v>
      </c>
      <c r="BD33" s="56"/>
      <c r="BE33" s="56">
        <v>1</v>
      </c>
      <c r="BF33" s="56">
        <v>0</v>
      </c>
      <c r="BG33" s="56">
        <v>0</v>
      </c>
      <c r="BH33" s="56"/>
      <c r="BI33" s="56"/>
      <c r="BJ33" s="56"/>
      <c r="BK33" s="56"/>
      <c r="BL33" s="56"/>
      <c r="BM33" s="56"/>
      <c r="BN33" s="70">
        <v>2</v>
      </c>
      <c r="BO33" s="70">
        <v>0.1</v>
      </c>
      <c r="BP33" s="71">
        <f>1-(SUM(IF(BD33-Uzman_D!$B$15&lt;0,-(BD33-Uzman_D!$B$15),BD33-Uzman_D!$B$15)*0.1+IF(BE33-Uzman_D!$C$15&lt;0,-(BE33-Uzman_D!$C$15),BE33-Uzman_D!$C$15)*0.1+IF(BF33-Uzman_D!$D$15&lt;0,-(BF33-Uzman_D!$D$15),BF33-Uzman_D!$D$15)*0.1+IF(BG33-Uzman_D!$E$15&lt;0,-(BG33-Uzman_D!$E$15),BG33-Uzman_D!$E$15)*0.1+IF(BH33-Uzman_D!$F$15&lt;0,-(BH33-Uzman_D!$F$15),BH33-Uzman_D!$F$15)*0.1+IF(BI33-Uzman_D!$G$15&lt;0,-(BI33-Uzman_D!$G$15),BI33-Uzman_D!$G$15)*0.1+IF(BJ33-Uzman_D!$H$15&lt;0,-(BJ33-Uzman_D!$H$15),BJ33-Uzman_D!$H$15)*0.1+IF(BK33-Uzman_D!$I$15&lt;0,-(BK33-Uzman_D!$I$15),BK33-Uzman_D!$I$15)*0.1+IF(BL33-Uzman_D!$J$15&lt;0,-(BL33-Uzman_D!$J$15),BL33-Uzman_D!$J$15)*0.1)+IF(ROUND((IF(BN33-Uzman_D!$L$15&lt;0,-(BN33-Uzman_D!$L$15),BN33-Uzman_D!$L$15)*2),0)/2=IF(BN33-Uzman_D!$L$15&lt;0,-(BN33-Uzman_D!$L$15),BN33-Uzman_D!$L$15),(ROUND((IF(BN33-Uzman_D!$L$15&lt;0,-(BN33-Uzman_D!$L$15),BN33-Uzman_D!$L$15)*2),0)/1*0.1),0)+IF(BO33-Uzman_D!$M$15&lt;0,-(BO33-Uzman_D!$M$15),BO33-Uzman_D!$M$15)*1)</f>
        <v>9.9999999999999978E-2</v>
      </c>
      <c r="BQ33" s="72">
        <f t="shared" si="0"/>
        <v>0</v>
      </c>
    </row>
    <row r="34" spans="1:69" ht="15" customHeight="1" x14ac:dyDescent="0.45">
      <c r="A34" s="54">
        <v>31</v>
      </c>
      <c r="B34" s="162" t="str">
        <f>Hakemler!B34</f>
        <v>KARADENİZ</v>
      </c>
      <c r="C34" s="162" t="str">
        <f>Hakemler!C34</f>
        <v>EMEL</v>
      </c>
      <c r="D34" s="56"/>
      <c r="E34" s="56"/>
      <c r="F34" s="56">
        <v>2</v>
      </c>
      <c r="G34" s="56">
        <v>5</v>
      </c>
      <c r="H34" s="56">
        <v>1</v>
      </c>
      <c r="I34" s="56"/>
      <c r="J34" s="56"/>
      <c r="K34" s="56"/>
      <c r="L34" s="56"/>
      <c r="M34" s="56"/>
      <c r="N34" s="70">
        <v>2</v>
      </c>
      <c r="O34" s="70">
        <v>0.8</v>
      </c>
      <c r="P34" s="71">
        <f>1-(SUM(IF(D34-Uzman_D!$B$11&lt;0,-(D34-Uzman_D!$B$11),D34-Uzman_D!$B$11)*0.1+IF(E34-Uzman_D!$C$11&lt;0,-(E34-Uzman_D!$C$11),E34-Uzman_D!$C$11)*0.1+IF(F34-Uzman_D!$D$11&lt;0,-(F34-Uzman_D!$D$11),F34-Uzman_D!$D$11)*0.1+IF(G34-Uzman_D!$E$11&lt;0,-(G34-Uzman_D!$E$11),G34-Uzman_D!$E$11)*0.1+IF(H34-Uzman_D!$F$11&lt;0,-(H34-Uzman_D!$F$11),H34-Uzman_D!$F$11)*0.1+IF(I34-Uzman_D!$G$11&lt;0,-(I34-Uzman_D!$G$11),I34-Uzman_D!$G$11)*0.1+IF(J34-Uzman_D!$H$11&lt;0,-(J34-Uzman_D!$H$11),J34-Uzman_D!$H$11)*0.1+IF(K34-Uzman_D!$I$11&lt;0,-(K34-Uzman_D!$I$11),K34-Uzman_D!$I$11)*0.1+IF(L34-Uzman_D!$J$11&lt;0,-(L34-Uzman_D!$J$11),L34-Uzman_D!$J$11)*0.1)+IF(ROUND((IF(N34-Uzman_D!$L$11&lt;0,-(N34-Uzman_D!$L$11),N34-Uzman_D!$L$11)*2),0)/2=IF(N34-Uzman_D!$L$11&lt;0,-(N34-Uzman_D!$L$11),N34-Uzman_D!$L$11),(ROUND((IF(N34-Uzman_D!$L$11&lt;0,-(N34-Uzman_D!$L$11),N34-Uzman_D!$L$11)*2),0)/1*0.1),0)+IF(O34-Uzman_D!$M$11&lt;0,-(O34-Uzman_D!$M$11),O34-Uzman_D!$M$11)*1)</f>
        <v>0.7</v>
      </c>
      <c r="Q34" s="56"/>
      <c r="R34" s="56"/>
      <c r="S34" s="56">
        <v>1</v>
      </c>
      <c r="T34" s="56">
        <v>4</v>
      </c>
      <c r="U34" s="56">
        <v>3</v>
      </c>
      <c r="V34" s="56"/>
      <c r="W34" s="56"/>
      <c r="X34" s="56"/>
      <c r="Y34" s="56"/>
      <c r="Z34" s="56"/>
      <c r="AA34" s="70">
        <v>2</v>
      </c>
      <c r="AB34" s="70">
        <v>0.6</v>
      </c>
      <c r="AC34" s="71">
        <f>1-(SUM(IF(Q34-Uzman_D!$B$12&lt;0,-(Q34-Uzman_D!$B$12),Q34-Uzman_D!$B$12)*0.1+IF(R34-Uzman_D!$C$12&lt;0,-(R34-Uzman_D!$C$12),R34-Uzman_D!$C$12)*0.1+IF(S34-Uzman_D!$D$12&lt;0,-(S34-Uzman_D!$D$12),S34-Uzman_D!$D$12)*0.1+IF(T34-Uzman_D!$E$12&lt;0,-(T34-Uzman_D!$E$12),T34-Uzman_D!$E$12)*0.1+IF(U34-Uzman_D!$F$12&lt;0,-(U34-Uzman_D!$F$12),U34-Uzman_D!$F$12)*0.1+IF(V34-Uzman_D!$G$12&lt;0,-(V34-Uzman_D!$G$12),V34-Uzman_D!$G$12)*0.1+IF(W34-Uzman_D!$H$12&lt;0,-(W34-Uzman_D!$H$12),W34-Uzman_D!$H$12)*0.1+IF(X34-Uzman_D!$I$12&lt;0,-(X34-Uzman_D!$I$12),X34-Uzman_D!$I$12)*0.1+IF(Y34-Uzman_D!$J$12&lt;0,-(Y34-Uzman_D!$J$12),Y34-Uzman_D!$J$12)*0.1)+IF(ROUND((IF(AA34-Uzman_D!$L$12&lt;0,-(AA34-Uzman_D!$L$12),AA34-Uzman_D!$L$12)*2),0)/2=IF(AA34-Uzman_D!$L$12&lt;0,-(AA34-Uzman_D!$L$12),AA34-Uzman_D!$L$12),(ROUND((IF(AA34-Uzman_D!$L$12&lt;0,-(AA34-Uzman_D!$L$12),AA34-Uzman_D!$L$12)*2),0)/1*0.1),0)+IF(AB34-Uzman_D!$M$12&lt;0,-(AB34-Uzman_D!$M$12),AB34-Uzman_D!$M$12)*1)</f>
        <v>0.7</v>
      </c>
      <c r="AD34" s="56"/>
      <c r="AE34" s="56">
        <v>2</v>
      </c>
      <c r="AF34" s="56">
        <v>2</v>
      </c>
      <c r="AG34" s="56">
        <v>4</v>
      </c>
      <c r="AH34" s="56"/>
      <c r="AI34" s="56"/>
      <c r="AJ34" s="56"/>
      <c r="AK34" s="56"/>
      <c r="AL34" s="56"/>
      <c r="AM34" s="56"/>
      <c r="AN34" s="70">
        <v>2</v>
      </c>
      <c r="AO34" s="70">
        <v>0.2</v>
      </c>
      <c r="AP34" s="71">
        <f>1-(SUM(IF(AD34-Uzman_D!$B$13&lt;0,-(AD34-Uzman_D!$B$13),AD34-Uzman_D!$B$13)*0.1+IF(AE34-Uzman_D!$C$13&lt;0,-(AE34-Uzman_D!$C$13),AE34-Uzman_D!$C$13)*0.1+IF(AF34-Uzman_D!$D$13&lt;0,-(AF34-Uzman_D!$D$13),AF34-Uzman_D!$D$13)*0.1+IF(AG34-Uzman_D!$E$13&lt;0,-(AG34-Uzman_D!$E$13),AG34-Uzman_D!$E$13)*0.1+IF(AH34-Uzman_D!$F$13&lt;0,-(AH34-Uzman_D!$F$13),AH34-Uzman_D!$F$13)*0.1+IF(AI34-Uzman_D!$G$13&lt;0,-(AI34-Uzman_D!$G$13),AI34-Uzman_D!$G$13)*0.1+IF(AJ34-Uzman_D!$H$13&lt;0,-(AJ34-Uzman_D!$H$13),AJ34-Uzman_D!$H$13)*0.1+IF(AK34-Uzman_D!$I$13&lt;0,-(AK34-Uzman_D!$I$13),AK34-Uzman_D!$I$13)*0.1+IF(AL34-Uzman_D!$J$13&lt;0,-(AL34-Uzman_D!$J$13),AL34-Uzman_D!$J$13)*0.1)+IF(ROUND((IF(AN34-Uzman_D!$L$13&lt;0,-(AN34-Uzman_D!$L$13),AN34-Uzman_D!$L$13)*2),0)/2=IF(AN34-Uzman_D!$L$13&lt;0,-(AN34-Uzman_D!$L$13),AN34-Uzman_D!$L$13),(ROUND((IF(AN34-Uzman_D!$L$13&lt;0,-(AN34-Uzman_D!$L$13),AN34-Uzman_D!$L$13)*2),0)/1*0.1),0)+IF(AO34-Uzman_D!$M$13&lt;0,-(AO34-Uzman_D!$M$13),AO34-Uzman_D!$M$13)*1)</f>
        <v>0.10000000000000009</v>
      </c>
      <c r="AQ34" s="56"/>
      <c r="AR34" s="56">
        <v>1</v>
      </c>
      <c r="AS34" s="56">
        <v>5</v>
      </c>
      <c r="AT34" s="56">
        <v>2</v>
      </c>
      <c r="AU34" s="56"/>
      <c r="AV34" s="56"/>
      <c r="AW34" s="56"/>
      <c r="AX34" s="56"/>
      <c r="AY34" s="56"/>
      <c r="AZ34" s="56"/>
      <c r="BA34" s="70">
        <v>1.5</v>
      </c>
      <c r="BB34" s="70">
        <v>0</v>
      </c>
      <c r="BC34" s="71">
        <f>1-(SUM(IF(AQ34-Uzman_D!$B$14&lt;0,-(AQ34-Uzman_D!$B$14),AQ34-Uzman_D!$B$14)*0.1+IF(AR34-Uzman_D!$C$14&lt;0,-(AR34-Uzman_D!$C$14),AR34-Uzman_D!$C$14)*0.1+IF(AS34-Uzman_D!$D$14&lt;0,-(AS34-Uzman_D!$D$14),AS34-Uzman_D!$D$14)*0.1+IF(AT34-Uzman_D!$E$14&lt;0,-(AT34-Uzman_D!$E$14),AT34-Uzman_D!$E$14)*0.1+IF(AU34-Uzman_D!$F$14&lt;0,-(AU34-Uzman_D!$F$14),AU34-Uzman_D!$F$14)*0.1+IF(AV34-Uzman_D!$G$14&lt;0,-(AV34-Uzman_D!$G$14),AV34-Uzman_D!$G$14)*0.1+IF(AW34-Uzman_D!$H$14&lt;0,-(AW34-Uzman_D!$H$14),AW34-Uzman_D!$H$14)*0.1+IF(AX34-Uzman_D!$I$14&lt;0,-(AX34-Uzman_D!$I$14),AX34-Uzman_D!$I$14)*0.1+IF(AY34-Uzman_D!$J$14&lt;0,-(AY34-Uzman_D!$J$14),AY34-Uzman_D!$J$14)*0.1)+IF(ROUND((IF(BA34-Uzman_D!$L$14&lt;0,-(BA34-Uzman_D!$L$14),BA34-Uzman_D!$L$14)*2),0)/2=IF(BA34-Uzman_D!$L$14&lt;0,-(BA34-Uzman_D!$L$14),BA34-Uzman_D!$L$14),(ROUND((IF(BA34-Uzman_D!$L$14&lt;0,-(BA34-Uzman_D!$L$14),BA34-Uzman_D!$L$14)*2),0)/1*0.1),0)+IF(BB34-Uzman_D!$M$14&lt;0,-(BB34-Uzman_D!$M$14),BB34-Uzman_D!$M$14)*1)</f>
        <v>0.4</v>
      </c>
      <c r="BD34" s="56">
        <v>1</v>
      </c>
      <c r="BE34" s="56">
        <v>2</v>
      </c>
      <c r="BF34" s="56">
        <v>5</v>
      </c>
      <c r="BG34" s="56"/>
      <c r="BH34" s="56"/>
      <c r="BI34" s="56"/>
      <c r="BJ34" s="56"/>
      <c r="BK34" s="56"/>
      <c r="BL34" s="56"/>
      <c r="BM34" s="56"/>
      <c r="BN34" s="70">
        <v>2</v>
      </c>
      <c r="BO34" s="70">
        <v>0.4</v>
      </c>
      <c r="BP34" s="71">
        <f>1-(SUM(IF(BD34-Uzman_D!$B$15&lt;0,-(BD34-Uzman_D!$B$15),BD34-Uzman_D!$B$15)*0.1+IF(BE34-Uzman_D!$C$15&lt;0,-(BE34-Uzman_D!$C$15),BE34-Uzman_D!$C$15)*0.1+IF(BF34-Uzman_D!$D$15&lt;0,-(BF34-Uzman_D!$D$15),BF34-Uzman_D!$D$15)*0.1+IF(BG34-Uzman_D!$E$15&lt;0,-(BG34-Uzman_D!$E$15),BG34-Uzman_D!$E$15)*0.1+IF(BH34-Uzman_D!$F$15&lt;0,-(BH34-Uzman_D!$F$15),BH34-Uzman_D!$F$15)*0.1+IF(BI34-Uzman_D!$G$15&lt;0,-(BI34-Uzman_D!$G$15),BI34-Uzman_D!$G$15)*0.1+IF(BJ34-Uzman_D!$H$15&lt;0,-(BJ34-Uzman_D!$H$15),BJ34-Uzman_D!$H$15)*0.1+IF(BK34-Uzman_D!$I$15&lt;0,-(BK34-Uzman_D!$I$15),BK34-Uzman_D!$I$15)*0.1+IF(BL34-Uzman_D!$J$15&lt;0,-(BL34-Uzman_D!$J$15),BL34-Uzman_D!$J$15)*0.1)+IF(ROUND((IF(BN34-Uzman_D!$L$15&lt;0,-(BN34-Uzman_D!$L$15),BN34-Uzman_D!$L$15)*2),0)/2=IF(BN34-Uzman_D!$L$15&lt;0,-(BN34-Uzman_D!$L$15),BN34-Uzman_D!$L$15),(ROUND((IF(BN34-Uzman_D!$L$15&lt;0,-(BN34-Uzman_D!$L$15),BN34-Uzman_D!$L$15)*2),0)/1*0.1),0)+IF(BO34-Uzman_D!$M$15&lt;0,-(BO34-Uzman_D!$M$15),BO34-Uzman_D!$M$15)*1)</f>
        <v>9.9999999999999867E-2</v>
      </c>
      <c r="BQ34" s="72">
        <f t="shared" si="0"/>
        <v>0.39999999999999997</v>
      </c>
    </row>
    <row r="35" spans="1:69" ht="15" customHeight="1" x14ac:dyDescent="0.45">
      <c r="A35" s="54">
        <v>32</v>
      </c>
      <c r="B35" s="162" t="str">
        <f>Hakemler!B35</f>
        <v>TOYRAN</v>
      </c>
      <c r="C35" s="162" t="str">
        <f>Hakemler!C35</f>
        <v>SİNEM NUR</v>
      </c>
      <c r="D35" s="56"/>
      <c r="E35" s="56"/>
      <c r="F35" s="56">
        <v>4</v>
      </c>
      <c r="G35" s="56">
        <v>4</v>
      </c>
      <c r="H35" s="56"/>
      <c r="I35" s="56"/>
      <c r="J35" s="56"/>
      <c r="K35" s="56"/>
      <c r="L35" s="56"/>
      <c r="M35" s="56"/>
      <c r="N35" s="70">
        <v>2</v>
      </c>
      <c r="O35" s="70">
        <v>0.2</v>
      </c>
      <c r="P35" s="71">
        <f>1-(SUM(IF(D35-Uzman_D!$B$11&lt;0,-(D35-Uzman_D!$B$11),D35-Uzman_D!$B$11)*0.1+IF(E35-Uzman_D!$C$11&lt;0,-(E35-Uzman_D!$C$11),E35-Uzman_D!$C$11)*0.1+IF(F35-Uzman_D!$D$11&lt;0,-(F35-Uzman_D!$D$11),F35-Uzman_D!$D$11)*0.1+IF(G35-Uzman_D!$E$11&lt;0,-(G35-Uzman_D!$E$11),G35-Uzman_D!$E$11)*0.1+IF(H35-Uzman_D!$F$11&lt;0,-(H35-Uzman_D!$F$11),H35-Uzman_D!$F$11)*0.1+IF(I35-Uzman_D!$G$11&lt;0,-(I35-Uzman_D!$G$11),I35-Uzman_D!$G$11)*0.1+IF(J35-Uzman_D!$H$11&lt;0,-(J35-Uzman_D!$H$11),J35-Uzman_D!$H$11)*0.1+IF(K35-Uzman_D!$I$11&lt;0,-(K35-Uzman_D!$I$11),K35-Uzman_D!$I$11)*0.1+IF(L35-Uzman_D!$J$11&lt;0,-(L35-Uzman_D!$J$11),L35-Uzman_D!$J$11)*0.1)+IF(ROUND((IF(N35-Uzman_D!$L$11&lt;0,-(N35-Uzman_D!$L$11),N35-Uzman_D!$L$11)*2),0)/2=IF(N35-Uzman_D!$L$11&lt;0,-(N35-Uzman_D!$L$11),N35-Uzman_D!$L$11),(ROUND((IF(N35-Uzman_D!$L$11&lt;0,-(N35-Uzman_D!$L$11),N35-Uzman_D!$L$11)*2),0)/1*0.1),0)+IF(O35-Uzman_D!$M$11&lt;0,-(O35-Uzman_D!$M$11),O35-Uzman_D!$M$11)*1)</f>
        <v>-9.9999999999999867E-2</v>
      </c>
      <c r="Q35" s="56"/>
      <c r="R35" s="56"/>
      <c r="S35" s="56">
        <v>1</v>
      </c>
      <c r="T35" s="56">
        <v>4</v>
      </c>
      <c r="U35" s="56">
        <v>3</v>
      </c>
      <c r="V35" s="56"/>
      <c r="W35" s="56"/>
      <c r="X35" s="56"/>
      <c r="Y35" s="56"/>
      <c r="Z35" s="56"/>
      <c r="AA35" s="70">
        <v>2</v>
      </c>
      <c r="AB35" s="70">
        <v>0.2</v>
      </c>
      <c r="AC35" s="71">
        <f>1-(SUM(IF(Q35-Uzman_D!$B$12&lt;0,-(Q35-Uzman_D!$B$12),Q35-Uzman_D!$B$12)*0.1+IF(R35-Uzman_D!$C$12&lt;0,-(R35-Uzman_D!$C$12),R35-Uzman_D!$C$12)*0.1+IF(S35-Uzman_D!$D$12&lt;0,-(S35-Uzman_D!$D$12),S35-Uzman_D!$D$12)*0.1+IF(T35-Uzman_D!$E$12&lt;0,-(T35-Uzman_D!$E$12),T35-Uzman_D!$E$12)*0.1+IF(U35-Uzman_D!$F$12&lt;0,-(U35-Uzman_D!$F$12),U35-Uzman_D!$F$12)*0.1+IF(V35-Uzman_D!$G$12&lt;0,-(V35-Uzman_D!$G$12),V35-Uzman_D!$G$12)*0.1+IF(W35-Uzman_D!$H$12&lt;0,-(W35-Uzman_D!$H$12),W35-Uzman_D!$H$12)*0.1+IF(X35-Uzman_D!$I$12&lt;0,-(X35-Uzman_D!$I$12),X35-Uzman_D!$I$12)*0.1+IF(Y35-Uzman_D!$J$12&lt;0,-(Y35-Uzman_D!$J$12),Y35-Uzman_D!$J$12)*0.1)+IF(ROUND((IF(AA35-Uzman_D!$L$12&lt;0,-(AA35-Uzman_D!$L$12),AA35-Uzman_D!$L$12)*2),0)/2=IF(AA35-Uzman_D!$L$12&lt;0,-(AA35-Uzman_D!$L$12),AA35-Uzman_D!$L$12),(ROUND((IF(AA35-Uzman_D!$L$12&lt;0,-(AA35-Uzman_D!$L$12),AA35-Uzman_D!$L$12)*2),0)/1*0.1),0)+IF(AB35-Uzman_D!$M$12&lt;0,-(AB35-Uzman_D!$M$12),AB35-Uzman_D!$M$12)*1)</f>
        <v>0.5</v>
      </c>
      <c r="AD35" s="56"/>
      <c r="AE35" s="56">
        <v>1</v>
      </c>
      <c r="AF35" s="56">
        <v>2</v>
      </c>
      <c r="AG35" s="56">
        <v>4</v>
      </c>
      <c r="AH35" s="56">
        <v>1</v>
      </c>
      <c r="AI35" s="56"/>
      <c r="AJ35" s="56"/>
      <c r="AK35" s="56"/>
      <c r="AL35" s="56"/>
      <c r="AM35" s="56"/>
      <c r="AN35" s="70">
        <v>2</v>
      </c>
      <c r="AO35" s="70">
        <v>0.2</v>
      </c>
      <c r="AP35" s="71">
        <f>1-(SUM(IF(AD35-Uzman_D!$B$13&lt;0,-(AD35-Uzman_D!$B$13),AD35-Uzman_D!$B$13)*0.1+IF(AE35-Uzman_D!$C$13&lt;0,-(AE35-Uzman_D!$C$13),AE35-Uzman_D!$C$13)*0.1+IF(AF35-Uzman_D!$D$13&lt;0,-(AF35-Uzman_D!$D$13),AF35-Uzman_D!$D$13)*0.1+IF(AG35-Uzman_D!$E$13&lt;0,-(AG35-Uzman_D!$E$13),AG35-Uzman_D!$E$13)*0.1+IF(AH35-Uzman_D!$F$13&lt;0,-(AH35-Uzman_D!$F$13),AH35-Uzman_D!$F$13)*0.1+IF(AI35-Uzman_D!$G$13&lt;0,-(AI35-Uzman_D!$G$13),AI35-Uzman_D!$G$13)*0.1+IF(AJ35-Uzman_D!$H$13&lt;0,-(AJ35-Uzman_D!$H$13),AJ35-Uzman_D!$H$13)*0.1+IF(AK35-Uzman_D!$I$13&lt;0,-(AK35-Uzman_D!$I$13),AK35-Uzman_D!$I$13)*0.1+IF(AL35-Uzman_D!$J$13&lt;0,-(AL35-Uzman_D!$J$13),AL35-Uzman_D!$J$13)*0.1)+IF(ROUND((IF(AN35-Uzman_D!$L$13&lt;0,-(AN35-Uzman_D!$L$13),AN35-Uzman_D!$L$13)*2),0)/2=IF(AN35-Uzman_D!$L$13&lt;0,-(AN35-Uzman_D!$L$13),AN35-Uzman_D!$L$13),(ROUND((IF(AN35-Uzman_D!$L$13&lt;0,-(AN35-Uzman_D!$L$13),AN35-Uzman_D!$L$13)*2),0)/1*0.1),0)+IF(AO35-Uzman_D!$M$13&lt;0,-(AO35-Uzman_D!$M$13),AO35-Uzman_D!$M$13)*1)</f>
        <v>0.10000000000000009</v>
      </c>
      <c r="AQ35" s="56"/>
      <c r="AR35" s="56">
        <v>1</v>
      </c>
      <c r="AS35" s="56">
        <v>5</v>
      </c>
      <c r="AT35" s="56">
        <v>2</v>
      </c>
      <c r="AU35" s="56"/>
      <c r="AV35" s="56"/>
      <c r="AW35" s="56"/>
      <c r="AX35" s="56"/>
      <c r="AY35" s="56"/>
      <c r="AZ35" s="56"/>
      <c r="BA35" s="70">
        <v>2</v>
      </c>
      <c r="BB35" s="70">
        <v>0</v>
      </c>
      <c r="BC35" s="71">
        <f>1-(SUM(IF(AQ35-Uzman_D!$B$14&lt;0,-(AQ35-Uzman_D!$B$14),AQ35-Uzman_D!$B$14)*0.1+IF(AR35-Uzman_D!$C$14&lt;0,-(AR35-Uzman_D!$C$14),AR35-Uzman_D!$C$14)*0.1+IF(AS35-Uzman_D!$D$14&lt;0,-(AS35-Uzman_D!$D$14),AS35-Uzman_D!$D$14)*0.1+IF(AT35-Uzman_D!$E$14&lt;0,-(AT35-Uzman_D!$E$14),AT35-Uzman_D!$E$14)*0.1+IF(AU35-Uzman_D!$F$14&lt;0,-(AU35-Uzman_D!$F$14),AU35-Uzman_D!$F$14)*0.1+IF(AV35-Uzman_D!$G$14&lt;0,-(AV35-Uzman_D!$G$14),AV35-Uzman_D!$G$14)*0.1+IF(AW35-Uzman_D!$H$14&lt;0,-(AW35-Uzman_D!$H$14),AW35-Uzman_D!$H$14)*0.1+IF(AX35-Uzman_D!$I$14&lt;0,-(AX35-Uzman_D!$I$14),AX35-Uzman_D!$I$14)*0.1+IF(AY35-Uzman_D!$J$14&lt;0,-(AY35-Uzman_D!$J$14),AY35-Uzman_D!$J$14)*0.1)+IF(ROUND((IF(BA35-Uzman_D!$L$14&lt;0,-(BA35-Uzman_D!$L$14),BA35-Uzman_D!$L$14)*2),0)/2=IF(BA35-Uzman_D!$L$14&lt;0,-(BA35-Uzman_D!$L$14),BA35-Uzman_D!$L$14),(ROUND((IF(BA35-Uzman_D!$L$14&lt;0,-(BA35-Uzman_D!$L$14),BA35-Uzman_D!$L$14)*2),0)/1*0.1),0)+IF(BB35-Uzman_D!$M$14&lt;0,-(BB35-Uzman_D!$M$14),BB35-Uzman_D!$M$14)*1)</f>
        <v>0.5</v>
      </c>
      <c r="BD35" s="56"/>
      <c r="BE35" s="56"/>
      <c r="BF35" s="56">
        <v>4</v>
      </c>
      <c r="BG35" s="56">
        <v>3</v>
      </c>
      <c r="BH35" s="56">
        <v>1</v>
      </c>
      <c r="BI35" s="56"/>
      <c r="BJ35" s="56"/>
      <c r="BK35" s="56"/>
      <c r="BL35" s="56"/>
      <c r="BM35" s="56"/>
      <c r="BN35" s="70">
        <v>2</v>
      </c>
      <c r="BO35" s="70">
        <v>0.4</v>
      </c>
      <c r="BP35" s="71">
        <f>1-(SUM(IF(BD35-Uzman_D!$B$15&lt;0,-(BD35-Uzman_D!$B$15),BD35-Uzman_D!$B$15)*0.1+IF(BE35-Uzman_D!$C$15&lt;0,-(BE35-Uzman_D!$C$15),BE35-Uzman_D!$C$15)*0.1+IF(BF35-Uzman_D!$D$15&lt;0,-(BF35-Uzman_D!$D$15),BF35-Uzman_D!$D$15)*0.1+IF(BG35-Uzman_D!$E$15&lt;0,-(BG35-Uzman_D!$E$15),BG35-Uzman_D!$E$15)*0.1+IF(BH35-Uzman_D!$F$15&lt;0,-(BH35-Uzman_D!$F$15),BH35-Uzman_D!$F$15)*0.1+IF(BI35-Uzman_D!$G$15&lt;0,-(BI35-Uzman_D!$G$15),BI35-Uzman_D!$G$15)*0.1+IF(BJ35-Uzman_D!$H$15&lt;0,-(BJ35-Uzman_D!$H$15),BJ35-Uzman_D!$H$15)*0.1+IF(BK35-Uzman_D!$I$15&lt;0,-(BK35-Uzman_D!$I$15),BK35-Uzman_D!$I$15)*0.1+IF(BL35-Uzman_D!$J$15&lt;0,-(BL35-Uzman_D!$J$15),BL35-Uzman_D!$J$15)*0.1)+IF(ROUND((IF(BN35-Uzman_D!$L$15&lt;0,-(BN35-Uzman_D!$L$15),BN35-Uzman_D!$L$15)*2),0)/2=IF(BN35-Uzman_D!$L$15&lt;0,-(BN35-Uzman_D!$L$15),BN35-Uzman_D!$L$15),(ROUND((IF(BN35-Uzman_D!$L$15&lt;0,-(BN35-Uzman_D!$L$15),BN35-Uzman_D!$L$15)*2),0)/1*0.1),0)+IF(BO35-Uzman_D!$M$15&lt;0,-(BO35-Uzman_D!$M$15),BO35-Uzman_D!$M$15)*1)</f>
        <v>0.7</v>
      </c>
      <c r="BQ35" s="72">
        <f t="shared" si="0"/>
        <v>0.34</v>
      </c>
    </row>
    <row r="36" spans="1:69" ht="15" customHeight="1" x14ac:dyDescent="0.45">
      <c r="A36" s="54">
        <v>33</v>
      </c>
      <c r="B36" s="162" t="str">
        <f>Hakemler!B36</f>
        <v>SEVERBAŞ</v>
      </c>
      <c r="C36" s="162" t="str">
        <f>Hakemler!C36</f>
        <v>PINAR</v>
      </c>
      <c r="D36" s="56"/>
      <c r="E36" s="56"/>
      <c r="F36" s="56"/>
      <c r="G36" s="56">
        <v>1</v>
      </c>
      <c r="H36" s="56">
        <v>2</v>
      </c>
      <c r="I36" s="56">
        <v>2</v>
      </c>
      <c r="J36" s="56">
        <v>1</v>
      </c>
      <c r="K36" s="56"/>
      <c r="L36" s="56"/>
      <c r="M36" s="56"/>
      <c r="N36" s="70">
        <v>2</v>
      </c>
      <c r="O36" s="70">
        <v>0.8</v>
      </c>
      <c r="P36" s="71">
        <f>1-(SUM(IF(D36-Uzman_D!$B$11&lt;0,-(D36-Uzman_D!$B$11),D36-Uzman_D!$B$11)*0.1+IF(E36-Uzman_D!$C$11&lt;0,-(E36-Uzman_D!$C$11),E36-Uzman_D!$C$11)*0.1+IF(F36-Uzman_D!$D$11&lt;0,-(F36-Uzman_D!$D$11),F36-Uzman_D!$D$11)*0.1+IF(G36-Uzman_D!$E$11&lt;0,-(G36-Uzman_D!$E$11),G36-Uzman_D!$E$11)*0.1+IF(H36-Uzman_D!$F$11&lt;0,-(H36-Uzman_D!$F$11),H36-Uzman_D!$F$11)*0.1+IF(I36-Uzman_D!$G$11&lt;0,-(I36-Uzman_D!$G$11),I36-Uzman_D!$G$11)*0.1+IF(J36-Uzman_D!$H$11&lt;0,-(J36-Uzman_D!$H$11),J36-Uzman_D!$H$11)*0.1+IF(K36-Uzman_D!$I$11&lt;0,-(K36-Uzman_D!$I$11),K36-Uzman_D!$I$11)*0.1+IF(L36-Uzman_D!$J$11&lt;0,-(L36-Uzman_D!$J$11),L36-Uzman_D!$J$11)*0.1)+IF(ROUND((IF(N36-Uzman_D!$L$11&lt;0,-(N36-Uzman_D!$L$11),N36-Uzman_D!$L$11)*2),0)/2=IF(N36-Uzman_D!$L$11&lt;0,-(N36-Uzman_D!$L$11),N36-Uzman_D!$L$11),(ROUND((IF(N36-Uzman_D!$L$11&lt;0,-(N36-Uzman_D!$L$11),N36-Uzman_D!$L$11)*2),0)/1*0.1),0)+IF(O36-Uzman_D!$M$11&lt;0,-(O36-Uzman_D!$M$11),O36-Uzman_D!$M$11)*1)</f>
        <v>-0.10000000000000009</v>
      </c>
      <c r="Q36" s="56"/>
      <c r="R36" s="56"/>
      <c r="S36" s="56">
        <v>1</v>
      </c>
      <c r="T36" s="56">
        <v>4</v>
      </c>
      <c r="U36" s="56">
        <v>2</v>
      </c>
      <c r="V36" s="56">
        <v>1</v>
      </c>
      <c r="W36" s="56"/>
      <c r="X36" s="56"/>
      <c r="Y36" s="56"/>
      <c r="Z36" s="56"/>
      <c r="AA36" s="70">
        <v>2</v>
      </c>
      <c r="AB36" s="70">
        <v>0.6</v>
      </c>
      <c r="AC36" s="71">
        <f>1-(SUM(IF(Q36-Uzman_D!$B$12&lt;0,-(Q36-Uzman_D!$B$12),Q36-Uzman_D!$B$12)*0.1+IF(R36-Uzman_D!$C$12&lt;0,-(R36-Uzman_D!$C$12),R36-Uzman_D!$C$12)*0.1+IF(S36-Uzman_D!$D$12&lt;0,-(S36-Uzman_D!$D$12),S36-Uzman_D!$D$12)*0.1+IF(T36-Uzman_D!$E$12&lt;0,-(T36-Uzman_D!$E$12),T36-Uzman_D!$E$12)*0.1+IF(U36-Uzman_D!$F$12&lt;0,-(U36-Uzman_D!$F$12),U36-Uzman_D!$F$12)*0.1+IF(V36-Uzman_D!$G$12&lt;0,-(V36-Uzman_D!$G$12),V36-Uzman_D!$G$12)*0.1+IF(W36-Uzman_D!$H$12&lt;0,-(W36-Uzman_D!$H$12),W36-Uzman_D!$H$12)*0.1+IF(X36-Uzman_D!$I$12&lt;0,-(X36-Uzman_D!$I$12),X36-Uzman_D!$I$12)*0.1+IF(Y36-Uzman_D!$J$12&lt;0,-(Y36-Uzman_D!$J$12),Y36-Uzman_D!$J$12)*0.1)+IF(ROUND((IF(AA36-Uzman_D!$L$12&lt;0,-(AA36-Uzman_D!$L$12),AA36-Uzman_D!$L$12)*2),0)/2=IF(AA36-Uzman_D!$L$12&lt;0,-(AA36-Uzman_D!$L$12),AA36-Uzman_D!$L$12),(ROUND((IF(AA36-Uzman_D!$L$12&lt;0,-(AA36-Uzman_D!$L$12),AA36-Uzman_D!$L$12)*2),0)/1*0.1),0)+IF(AB36-Uzman_D!$M$12&lt;0,-(AB36-Uzman_D!$M$12),AB36-Uzman_D!$M$12)*1)</f>
        <v>0.9</v>
      </c>
      <c r="AD36" s="56"/>
      <c r="AE36" s="56">
        <v>1</v>
      </c>
      <c r="AF36" s="56">
        <v>3</v>
      </c>
      <c r="AG36" s="56">
        <v>3</v>
      </c>
      <c r="AH36" s="56">
        <v>1</v>
      </c>
      <c r="AI36" s="56"/>
      <c r="AJ36" s="56"/>
      <c r="AK36" s="56"/>
      <c r="AL36" s="56"/>
      <c r="AM36" s="56"/>
      <c r="AN36" s="70">
        <v>2</v>
      </c>
      <c r="AO36" s="70">
        <v>0.4</v>
      </c>
      <c r="AP36" s="71">
        <f>1-(SUM(IF(AD36-Uzman_D!$B$13&lt;0,-(AD36-Uzman_D!$B$13),AD36-Uzman_D!$B$13)*0.1+IF(AE36-Uzman_D!$C$13&lt;0,-(AE36-Uzman_D!$C$13),AE36-Uzman_D!$C$13)*0.1+IF(AF36-Uzman_D!$D$13&lt;0,-(AF36-Uzman_D!$D$13),AF36-Uzman_D!$D$13)*0.1+IF(AG36-Uzman_D!$E$13&lt;0,-(AG36-Uzman_D!$E$13),AG36-Uzman_D!$E$13)*0.1+IF(AH36-Uzman_D!$F$13&lt;0,-(AH36-Uzman_D!$F$13),AH36-Uzman_D!$F$13)*0.1+IF(AI36-Uzman_D!$G$13&lt;0,-(AI36-Uzman_D!$G$13),AI36-Uzman_D!$G$13)*0.1+IF(AJ36-Uzman_D!$H$13&lt;0,-(AJ36-Uzman_D!$H$13),AJ36-Uzman_D!$H$13)*0.1+IF(AK36-Uzman_D!$I$13&lt;0,-(AK36-Uzman_D!$I$13),AK36-Uzman_D!$I$13)*0.1+IF(AL36-Uzman_D!$J$13&lt;0,-(AL36-Uzman_D!$J$13),AL36-Uzman_D!$J$13)*0.1)+IF(ROUND((IF(AN36-Uzman_D!$L$13&lt;0,-(AN36-Uzman_D!$L$13),AN36-Uzman_D!$L$13)*2),0)/2=IF(AN36-Uzman_D!$L$13&lt;0,-(AN36-Uzman_D!$L$13),AN36-Uzman_D!$L$13),(ROUND((IF(AN36-Uzman_D!$L$13&lt;0,-(AN36-Uzman_D!$L$13),AN36-Uzman_D!$L$13)*2),0)/1*0.1),0)+IF(AO36-Uzman_D!$M$13&lt;0,-(AO36-Uzman_D!$M$13),AO36-Uzman_D!$M$13)*1)</f>
        <v>9.9999999999999978E-2</v>
      </c>
      <c r="AQ36" s="56">
        <v>1</v>
      </c>
      <c r="AR36" s="56">
        <v>1</v>
      </c>
      <c r="AS36" s="56">
        <v>2</v>
      </c>
      <c r="AT36" s="56">
        <v>2</v>
      </c>
      <c r="AU36" s="56">
        <v>1</v>
      </c>
      <c r="AV36" s="56"/>
      <c r="AW36" s="56"/>
      <c r="AX36" s="56"/>
      <c r="AY36" s="56"/>
      <c r="AZ36" s="56"/>
      <c r="BA36" s="70">
        <v>1.5</v>
      </c>
      <c r="BB36" s="70">
        <v>0.1</v>
      </c>
      <c r="BC36" s="71">
        <f>1-(SUM(IF(AQ36-Uzman_D!$B$14&lt;0,-(AQ36-Uzman_D!$B$14),AQ36-Uzman_D!$B$14)*0.1+IF(AR36-Uzman_D!$C$14&lt;0,-(AR36-Uzman_D!$C$14),AR36-Uzman_D!$C$14)*0.1+IF(AS36-Uzman_D!$D$14&lt;0,-(AS36-Uzman_D!$D$14),AS36-Uzman_D!$D$14)*0.1+IF(AT36-Uzman_D!$E$14&lt;0,-(AT36-Uzman_D!$E$14),AT36-Uzman_D!$E$14)*0.1+IF(AU36-Uzman_D!$F$14&lt;0,-(AU36-Uzman_D!$F$14),AU36-Uzman_D!$F$14)*0.1+IF(AV36-Uzman_D!$G$14&lt;0,-(AV36-Uzman_D!$G$14),AV36-Uzman_D!$G$14)*0.1+IF(AW36-Uzman_D!$H$14&lt;0,-(AW36-Uzman_D!$H$14),AW36-Uzman_D!$H$14)*0.1+IF(AX36-Uzman_D!$I$14&lt;0,-(AX36-Uzman_D!$I$14),AX36-Uzman_D!$I$14)*0.1+IF(AY36-Uzman_D!$J$14&lt;0,-(AY36-Uzman_D!$J$14),AY36-Uzman_D!$J$14)*0.1)+IF(ROUND((IF(BA36-Uzman_D!$L$14&lt;0,-(BA36-Uzman_D!$L$14),BA36-Uzman_D!$L$14)*2),0)/2=IF(BA36-Uzman_D!$L$14&lt;0,-(BA36-Uzman_D!$L$14),BA36-Uzman_D!$L$14),(ROUND((IF(BA36-Uzman_D!$L$14&lt;0,-(BA36-Uzman_D!$L$14),BA36-Uzman_D!$L$14)*2),0)/1*0.1),0)+IF(BB36-Uzman_D!$M$14&lt;0,-(BB36-Uzman_D!$M$14),BB36-Uzman_D!$M$14)*1)</f>
        <v>0.4</v>
      </c>
      <c r="BD36" s="56"/>
      <c r="BE36" s="56">
        <v>1</v>
      </c>
      <c r="BF36" s="56">
        <v>1</v>
      </c>
      <c r="BG36" s="56">
        <v>3</v>
      </c>
      <c r="BH36" s="56">
        <v>3</v>
      </c>
      <c r="BI36" s="56"/>
      <c r="BJ36" s="56"/>
      <c r="BK36" s="56"/>
      <c r="BL36" s="56"/>
      <c r="BM36" s="56"/>
      <c r="BN36" s="70">
        <v>2</v>
      </c>
      <c r="BO36" s="70">
        <v>0.6</v>
      </c>
      <c r="BP36" s="71">
        <f>1-(SUM(IF(BD36-Uzman_D!$B$15&lt;0,-(BD36-Uzman_D!$B$15),BD36-Uzman_D!$B$15)*0.1+IF(BE36-Uzman_D!$C$15&lt;0,-(BE36-Uzman_D!$C$15),BE36-Uzman_D!$C$15)*0.1+IF(BF36-Uzman_D!$D$15&lt;0,-(BF36-Uzman_D!$D$15),BF36-Uzman_D!$D$15)*0.1+IF(BG36-Uzman_D!$E$15&lt;0,-(BG36-Uzman_D!$E$15),BG36-Uzman_D!$E$15)*0.1+IF(BH36-Uzman_D!$F$15&lt;0,-(BH36-Uzman_D!$F$15),BH36-Uzman_D!$F$15)*0.1+IF(BI36-Uzman_D!$G$15&lt;0,-(BI36-Uzman_D!$G$15),BI36-Uzman_D!$G$15)*0.1+IF(BJ36-Uzman_D!$H$15&lt;0,-(BJ36-Uzman_D!$H$15),BJ36-Uzman_D!$H$15)*0.1+IF(BK36-Uzman_D!$I$15&lt;0,-(BK36-Uzman_D!$I$15),BK36-Uzman_D!$I$15)*0.1+IF(BL36-Uzman_D!$J$15&lt;0,-(BL36-Uzman_D!$J$15),BL36-Uzman_D!$J$15)*0.1)+IF(ROUND((IF(BN36-Uzman_D!$L$15&lt;0,-(BN36-Uzman_D!$L$15),BN36-Uzman_D!$L$15)*2),0)/2=IF(BN36-Uzman_D!$L$15&lt;0,-(BN36-Uzman_D!$L$15),BN36-Uzman_D!$L$15),(ROUND((IF(BN36-Uzman_D!$L$15&lt;0,-(BN36-Uzman_D!$L$15),BN36-Uzman_D!$L$15)*2),0)/1*0.1),0)+IF(BO36-Uzman_D!$M$15&lt;0,-(BO36-Uzman_D!$M$15),BO36-Uzman_D!$M$15)*1)</f>
        <v>0.30000000000000004</v>
      </c>
      <c r="BQ36" s="72">
        <f t="shared" ref="BQ36:BQ67" si="1">(P36+AC36+AP36+BC36+BP36)/5</f>
        <v>0.31999999999999995</v>
      </c>
    </row>
    <row r="37" spans="1:69" ht="15" customHeight="1" x14ac:dyDescent="0.45">
      <c r="A37" s="54">
        <v>34</v>
      </c>
      <c r="B37" s="162" t="str">
        <f>Hakemler!B37</f>
        <v>KASAP TOPAL</v>
      </c>
      <c r="C37" s="162" t="str">
        <f>Hakemler!C37</f>
        <v>AYTEN</v>
      </c>
      <c r="D37" s="56"/>
      <c r="E37" s="56">
        <v>1</v>
      </c>
      <c r="F37" s="56">
        <v>2</v>
      </c>
      <c r="G37" s="56">
        <v>3</v>
      </c>
      <c r="H37" s="56">
        <v>1</v>
      </c>
      <c r="I37" s="56"/>
      <c r="J37" s="56"/>
      <c r="K37" s="56"/>
      <c r="L37" s="56"/>
      <c r="M37" s="56"/>
      <c r="N37" s="70">
        <v>2</v>
      </c>
      <c r="O37" s="70">
        <v>0.3</v>
      </c>
      <c r="P37" s="71">
        <f>1-(SUM(IF(D37-Uzman_D!$B$11&lt;0,-(D37-Uzman_D!$B$11),D37-Uzman_D!$B$11)*0.1+IF(E37-Uzman_D!$C$11&lt;0,-(E37-Uzman_D!$C$11),E37-Uzman_D!$C$11)*0.1+IF(F37-Uzman_D!$D$11&lt;0,-(F37-Uzman_D!$D$11),F37-Uzman_D!$D$11)*0.1+IF(G37-Uzman_D!$E$11&lt;0,-(G37-Uzman_D!$E$11),G37-Uzman_D!$E$11)*0.1+IF(H37-Uzman_D!$F$11&lt;0,-(H37-Uzman_D!$F$11),H37-Uzman_D!$F$11)*0.1+IF(I37-Uzman_D!$G$11&lt;0,-(I37-Uzman_D!$G$11),I37-Uzman_D!$G$11)*0.1+IF(J37-Uzman_D!$H$11&lt;0,-(J37-Uzman_D!$H$11),J37-Uzman_D!$H$11)*0.1+IF(K37-Uzman_D!$I$11&lt;0,-(K37-Uzman_D!$I$11),K37-Uzman_D!$I$11)*0.1+IF(L37-Uzman_D!$J$11&lt;0,-(L37-Uzman_D!$J$11),L37-Uzman_D!$J$11)*0.1)+IF(ROUND((IF(N37-Uzman_D!$L$11&lt;0,-(N37-Uzman_D!$L$11),N37-Uzman_D!$L$11)*2),0)/2=IF(N37-Uzman_D!$L$11&lt;0,-(N37-Uzman_D!$L$11),N37-Uzman_D!$L$11),(ROUND((IF(N37-Uzman_D!$L$11&lt;0,-(N37-Uzman_D!$L$11),N37-Uzman_D!$L$11)*2),0)/1*0.1),0)+IF(O37-Uzman_D!$M$11&lt;0,-(O37-Uzman_D!$M$11),O37-Uzman_D!$M$11)*1)</f>
        <v>0.10000000000000009</v>
      </c>
      <c r="Q37" s="56"/>
      <c r="R37" s="56">
        <v>1</v>
      </c>
      <c r="S37" s="56">
        <v>3</v>
      </c>
      <c r="T37" s="56">
        <v>2</v>
      </c>
      <c r="U37" s="56">
        <v>1</v>
      </c>
      <c r="V37" s="56"/>
      <c r="W37" s="56"/>
      <c r="X37" s="56"/>
      <c r="Y37" s="56"/>
      <c r="Z37" s="56"/>
      <c r="AA37" s="70">
        <v>2</v>
      </c>
      <c r="AB37" s="70">
        <v>0.2</v>
      </c>
      <c r="AC37" s="71">
        <f>1-(SUM(IF(Q37-Uzman_D!$B$12&lt;0,-(Q37-Uzman_D!$B$12),Q37-Uzman_D!$B$12)*0.1+IF(R37-Uzman_D!$C$12&lt;0,-(R37-Uzman_D!$C$12),R37-Uzman_D!$C$12)*0.1+IF(S37-Uzman_D!$D$12&lt;0,-(S37-Uzman_D!$D$12),S37-Uzman_D!$D$12)*0.1+IF(T37-Uzman_D!$E$12&lt;0,-(T37-Uzman_D!$E$12),T37-Uzman_D!$E$12)*0.1+IF(U37-Uzman_D!$F$12&lt;0,-(U37-Uzman_D!$F$12),U37-Uzman_D!$F$12)*0.1+IF(V37-Uzman_D!$G$12&lt;0,-(V37-Uzman_D!$G$12),V37-Uzman_D!$G$12)*0.1+IF(W37-Uzman_D!$H$12&lt;0,-(W37-Uzman_D!$H$12),W37-Uzman_D!$H$12)*0.1+IF(X37-Uzman_D!$I$12&lt;0,-(X37-Uzman_D!$I$12),X37-Uzman_D!$I$12)*0.1+IF(Y37-Uzman_D!$J$12&lt;0,-(Y37-Uzman_D!$J$12),Y37-Uzman_D!$J$12)*0.1)+IF(ROUND((IF(AA37-Uzman_D!$L$12&lt;0,-(AA37-Uzman_D!$L$12),AA37-Uzman_D!$L$12)*2),0)/2=IF(AA37-Uzman_D!$L$12&lt;0,-(AA37-Uzman_D!$L$12),AA37-Uzman_D!$L$12),(ROUND((IF(AA37-Uzman_D!$L$12&lt;0,-(AA37-Uzman_D!$L$12),AA37-Uzman_D!$L$12)*2),0)/1*0.1),0)+IF(AB37-Uzman_D!$M$12&lt;0,-(AB37-Uzman_D!$M$12),AB37-Uzman_D!$M$12)*1)</f>
        <v>0</v>
      </c>
      <c r="AD37" s="56"/>
      <c r="AE37" s="56">
        <v>3</v>
      </c>
      <c r="AF37" s="56">
        <v>4</v>
      </c>
      <c r="AG37" s="56">
        <v>2</v>
      </c>
      <c r="AH37" s="56">
        <v>3</v>
      </c>
      <c r="AI37" s="56"/>
      <c r="AJ37" s="56"/>
      <c r="AK37" s="56"/>
      <c r="AL37" s="56"/>
      <c r="AM37" s="56"/>
      <c r="AN37" s="70">
        <v>2</v>
      </c>
      <c r="AO37" s="70">
        <v>0.2</v>
      </c>
      <c r="AP37" s="71">
        <f>1-(SUM(IF(AD37-Uzman_D!$B$13&lt;0,-(AD37-Uzman_D!$B$13),AD37-Uzman_D!$B$13)*0.1+IF(AE37-Uzman_D!$C$13&lt;0,-(AE37-Uzman_D!$C$13),AE37-Uzman_D!$C$13)*0.1+IF(AF37-Uzman_D!$D$13&lt;0,-(AF37-Uzman_D!$D$13),AF37-Uzman_D!$D$13)*0.1+IF(AG37-Uzman_D!$E$13&lt;0,-(AG37-Uzman_D!$E$13),AG37-Uzman_D!$E$13)*0.1+IF(AH37-Uzman_D!$F$13&lt;0,-(AH37-Uzman_D!$F$13),AH37-Uzman_D!$F$13)*0.1+IF(AI37-Uzman_D!$G$13&lt;0,-(AI37-Uzman_D!$G$13),AI37-Uzman_D!$G$13)*0.1+IF(AJ37-Uzman_D!$H$13&lt;0,-(AJ37-Uzman_D!$H$13),AJ37-Uzman_D!$H$13)*0.1+IF(AK37-Uzman_D!$I$13&lt;0,-(AK37-Uzman_D!$I$13),AK37-Uzman_D!$I$13)*0.1+IF(AL37-Uzman_D!$J$13&lt;0,-(AL37-Uzman_D!$J$13),AL37-Uzman_D!$J$13)*0.1)+IF(ROUND((IF(AN37-Uzman_D!$L$13&lt;0,-(AN37-Uzman_D!$L$13),AN37-Uzman_D!$L$13)*2),0)/2=IF(AN37-Uzman_D!$L$13&lt;0,-(AN37-Uzman_D!$L$13),AN37-Uzman_D!$L$13),(ROUND((IF(AN37-Uzman_D!$L$13&lt;0,-(AN37-Uzman_D!$L$13),AN37-Uzman_D!$L$13)*2),0)/1*0.1),0)+IF(AO37-Uzman_D!$M$13&lt;0,-(AO37-Uzman_D!$M$13),AO37-Uzman_D!$M$13)*1)</f>
        <v>-0.10000000000000009</v>
      </c>
      <c r="AQ37" s="56">
        <v>3</v>
      </c>
      <c r="AR37" s="56">
        <v>2</v>
      </c>
      <c r="AS37" s="56">
        <v>2</v>
      </c>
      <c r="AT37" s="56">
        <v>1</v>
      </c>
      <c r="AU37" s="56"/>
      <c r="AV37" s="56"/>
      <c r="AW37" s="56"/>
      <c r="AX37" s="56"/>
      <c r="AY37" s="56"/>
      <c r="AZ37" s="56"/>
      <c r="BA37" s="70">
        <v>2</v>
      </c>
      <c r="BB37" s="70">
        <v>0.1</v>
      </c>
      <c r="BC37" s="71">
        <f>1-(SUM(IF(AQ37-Uzman_D!$B$14&lt;0,-(AQ37-Uzman_D!$B$14),AQ37-Uzman_D!$B$14)*0.1+IF(AR37-Uzman_D!$C$14&lt;0,-(AR37-Uzman_D!$C$14),AR37-Uzman_D!$C$14)*0.1+IF(AS37-Uzman_D!$D$14&lt;0,-(AS37-Uzman_D!$D$14),AS37-Uzman_D!$D$14)*0.1+IF(AT37-Uzman_D!$E$14&lt;0,-(AT37-Uzman_D!$E$14),AT37-Uzman_D!$E$14)*0.1+IF(AU37-Uzman_D!$F$14&lt;0,-(AU37-Uzman_D!$F$14),AU37-Uzman_D!$F$14)*0.1+IF(AV37-Uzman_D!$G$14&lt;0,-(AV37-Uzman_D!$G$14),AV37-Uzman_D!$G$14)*0.1+IF(AW37-Uzman_D!$H$14&lt;0,-(AW37-Uzman_D!$H$14),AW37-Uzman_D!$H$14)*0.1+IF(AX37-Uzman_D!$I$14&lt;0,-(AX37-Uzman_D!$I$14),AX37-Uzman_D!$I$14)*0.1+IF(AY37-Uzman_D!$J$14&lt;0,-(AY37-Uzman_D!$J$14),AY37-Uzman_D!$J$14)*0.1)+IF(ROUND((IF(BA37-Uzman_D!$L$14&lt;0,-(BA37-Uzman_D!$L$14),BA37-Uzman_D!$L$14)*2),0)/2=IF(BA37-Uzman_D!$L$14&lt;0,-(BA37-Uzman_D!$L$14),BA37-Uzman_D!$L$14),(ROUND((IF(BA37-Uzman_D!$L$14&lt;0,-(BA37-Uzman_D!$L$14),BA37-Uzman_D!$L$14)*2),0)/1*0.1),0)+IF(BB37-Uzman_D!$M$14&lt;0,-(BB37-Uzman_D!$M$14),BB37-Uzman_D!$M$14)*1)</f>
        <v>0.4</v>
      </c>
      <c r="BD37" s="56">
        <v>2</v>
      </c>
      <c r="BE37" s="56">
        <v>3</v>
      </c>
      <c r="BF37" s="56">
        <v>2</v>
      </c>
      <c r="BG37" s="56">
        <v>1</v>
      </c>
      <c r="BH37" s="56"/>
      <c r="BI37" s="56"/>
      <c r="BJ37" s="56"/>
      <c r="BK37" s="56"/>
      <c r="BL37" s="56"/>
      <c r="BM37" s="56"/>
      <c r="BN37" s="70">
        <v>2</v>
      </c>
      <c r="BO37" s="70">
        <v>0.2</v>
      </c>
      <c r="BP37" s="71">
        <f>1-(SUM(IF(BD37-Uzman_D!$B$15&lt;0,-(BD37-Uzman_D!$B$15),BD37-Uzman_D!$B$15)*0.1+IF(BE37-Uzman_D!$C$15&lt;0,-(BE37-Uzman_D!$C$15),BE37-Uzman_D!$C$15)*0.1+IF(BF37-Uzman_D!$D$15&lt;0,-(BF37-Uzman_D!$D$15),BF37-Uzman_D!$D$15)*0.1+IF(BG37-Uzman_D!$E$15&lt;0,-(BG37-Uzman_D!$E$15),BG37-Uzman_D!$E$15)*0.1+IF(BH37-Uzman_D!$F$15&lt;0,-(BH37-Uzman_D!$F$15),BH37-Uzman_D!$F$15)*0.1+IF(BI37-Uzman_D!$G$15&lt;0,-(BI37-Uzman_D!$G$15),BI37-Uzman_D!$G$15)*0.1+IF(BJ37-Uzman_D!$H$15&lt;0,-(BJ37-Uzman_D!$H$15),BJ37-Uzman_D!$H$15)*0.1+IF(BK37-Uzman_D!$I$15&lt;0,-(BK37-Uzman_D!$I$15),BK37-Uzman_D!$I$15)*0.1+IF(BL37-Uzman_D!$J$15&lt;0,-(BL37-Uzman_D!$J$15),BL37-Uzman_D!$J$15)*0.1)+IF(ROUND((IF(BN37-Uzman_D!$L$15&lt;0,-(BN37-Uzman_D!$L$15),BN37-Uzman_D!$L$15)*2),0)/2=IF(BN37-Uzman_D!$L$15&lt;0,-(BN37-Uzman_D!$L$15),BN37-Uzman_D!$L$15),(ROUND((IF(BN37-Uzman_D!$L$15&lt;0,-(BN37-Uzman_D!$L$15),BN37-Uzman_D!$L$15)*2),0)/1*0.1),0)+IF(BO37-Uzman_D!$M$15&lt;0,-(BO37-Uzman_D!$M$15),BO37-Uzman_D!$M$15)*1)</f>
        <v>0.10000000000000009</v>
      </c>
      <c r="BQ37" s="72">
        <f t="shared" si="1"/>
        <v>0.10000000000000002</v>
      </c>
    </row>
    <row r="38" spans="1:69" ht="15" customHeight="1" x14ac:dyDescent="0.45">
      <c r="A38" s="54">
        <v>35</v>
      </c>
      <c r="B38" s="162" t="str">
        <f>Hakemler!B38</f>
        <v>DİCLE</v>
      </c>
      <c r="C38" s="162" t="str">
        <f>Hakemler!C38</f>
        <v>SENA HAZEL</v>
      </c>
      <c r="D38" s="56"/>
      <c r="E38" s="56">
        <v>2</v>
      </c>
      <c r="F38" s="56">
        <v>5</v>
      </c>
      <c r="G38" s="56">
        <v>1</v>
      </c>
      <c r="H38" s="56"/>
      <c r="I38" s="56"/>
      <c r="J38" s="56"/>
      <c r="K38" s="56"/>
      <c r="L38" s="56"/>
      <c r="M38" s="56"/>
      <c r="N38" s="70">
        <v>2</v>
      </c>
      <c r="O38" s="70">
        <v>0.2</v>
      </c>
      <c r="P38" s="71">
        <f>1-(SUM(IF(D38-Uzman_D!$B$11&lt;0,-(D38-Uzman_D!$B$11),D38-Uzman_D!$B$11)*0.1+IF(E38-Uzman_D!$C$11&lt;0,-(E38-Uzman_D!$C$11),E38-Uzman_D!$C$11)*0.1+IF(F38-Uzman_D!$D$11&lt;0,-(F38-Uzman_D!$D$11),F38-Uzman_D!$D$11)*0.1+IF(G38-Uzman_D!$E$11&lt;0,-(G38-Uzman_D!$E$11),G38-Uzman_D!$E$11)*0.1+IF(H38-Uzman_D!$F$11&lt;0,-(H38-Uzman_D!$F$11),H38-Uzman_D!$F$11)*0.1+IF(I38-Uzman_D!$G$11&lt;0,-(I38-Uzman_D!$G$11),I38-Uzman_D!$G$11)*0.1+IF(J38-Uzman_D!$H$11&lt;0,-(J38-Uzman_D!$H$11),J38-Uzman_D!$H$11)*0.1+IF(K38-Uzman_D!$I$11&lt;0,-(K38-Uzman_D!$I$11),K38-Uzman_D!$I$11)*0.1+IF(L38-Uzman_D!$J$11&lt;0,-(L38-Uzman_D!$J$11),L38-Uzman_D!$J$11)*0.1)+IF(ROUND((IF(N38-Uzman_D!$L$11&lt;0,-(N38-Uzman_D!$L$11),N38-Uzman_D!$L$11)*2),0)/2=IF(N38-Uzman_D!$L$11&lt;0,-(N38-Uzman_D!$L$11),N38-Uzman_D!$L$11),(ROUND((IF(N38-Uzman_D!$L$11&lt;0,-(N38-Uzman_D!$L$11),N38-Uzman_D!$L$11)*2),0)/1*0.1),0)+IF(O38-Uzman_D!$M$11&lt;0,-(O38-Uzman_D!$M$11),O38-Uzman_D!$M$11)*1)</f>
        <v>-0.70000000000000018</v>
      </c>
      <c r="Q38" s="56"/>
      <c r="R38" s="56">
        <v>1</v>
      </c>
      <c r="S38" s="56">
        <v>3</v>
      </c>
      <c r="T38" s="56">
        <v>3</v>
      </c>
      <c r="U38" s="56">
        <v>1</v>
      </c>
      <c r="V38" s="56"/>
      <c r="W38" s="56"/>
      <c r="X38" s="56"/>
      <c r="Y38" s="56"/>
      <c r="Z38" s="56"/>
      <c r="AA38" s="70">
        <v>2</v>
      </c>
      <c r="AB38" s="70">
        <v>0.3</v>
      </c>
      <c r="AC38" s="71">
        <f>1-(SUM(IF(Q38-Uzman_D!$B$12&lt;0,-(Q38-Uzman_D!$B$12),Q38-Uzman_D!$B$12)*0.1+IF(R38-Uzman_D!$C$12&lt;0,-(R38-Uzman_D!$C$12),R38-Uzman_D!$C$12)*0.1+IF(S38-Uzman_D!$D$12&lt;0,-(S38-Uzman_D!$D$12),S38-Uzman_D!$D$12)*0.1+IF(T38-Uzman_D!$E$12&lt;0,-(T38-Uzman_D!$E$12),T38-Uzman_D!$E$12)*0.1+IF(U38-Uzman_D!$F$12&lt;0,-(U38-Uzman_D!$F$12),U38-Uzman_D!$F$12)*0.1+IF(V38-Uzman_D!$G$12&lt;0,-(V38-Uzman_D!$G$12),V38-Uzman_D!$G$12)*0.1+IF(W38-Uzman_D!$H$12&lt;0,-(W38-Uzman_D!$H$12),W38-Uzman_D!$H$12)*0.1+IF(X38-Uzman_D!$I$12&lt;0,-(X38-Uzman_D!$I$12),X38-Uzman_D!$I$12)*0.1+IF(Y38-Uzman_D!$J$12&lt;0,-(Y38-Uzman_D!$J$12),Y38-Uzman_D!$J$12)*0.1)+IF(ROUND((IF(AA38-Uzman_D!$L$12&lt;0,-(AA38-Uzman_D!$L$12),AA38-Uzman_D!$L$12)*2),0)/2=IF(AA38-Uzman_D!$L$12&lt;0,-(AA38-Uzman_D!$L$12),AA38-Uzman_D!$L$12),(ROUND((IF(AA38-Uzman_D!$L$12&lt;0,-(AA38-Uzman_D!$L$12),AA38-Uzman_D!$L$12)*2),0)/1*0.1),0)+IF(AB38-Uzman_D!$M$12&lt;0,-(AB38-Uzman_D!$M$12),AB38-Uzman_D!$M$12)*1)</f>
        <v>0.19999999999999996</v>
      </c>
      <c r="AD38" s="56"/>
      <c r="AE38" s="56"/>
      <c r="AF38" s="56">
        <v>4</v>
      </c>
      <c r="AG38" s="56">
        <v>4</v>
      </c>
      <c r="AH38" s="56"/>
      <c r="AI38" s="56"/>
      <c r="AJ38" s="56"/>
      <c r="AK38" s="56"/>
      <c r="AL38" s="56"/>
      <c r="AM38" s="56"/>
      <c r="AN38" s="70">
        <v>2</v>
      </c>
      <c r="AO38" s="70">
        <v>0.2</v>
      </c>
      <c r="AP38" s="71">
        <f>1-(SUM(IF(AD38-Uzman_D!$B$13&lt;0,-(AD38-Uzman_D!$B$13),AD38-Uzman_D!$B$13)*0.1+IF(AE38-Uzman_D!$C$13&lt;0,-(AE38-Uzman_D!$C$13),AE38-Uzman_D!$C$13)*0.1+IF(AF38-Uzman_D!$D$13&lt;0,-(AF38-Uzman_D!$D$13),AF38-Uzman_D!$D$13)*0.1+IF(AG38-Uzman_D!$E$13&lt;0,-(AG38-Uzman_D!$E$13),AG38-Uzman_D!$E$13)*0.1+IF(AH38-Uzman_D!$F$13&lt;0,-(AH38-Uzman_D!$F$13),AH38-Uzman_D!$F$13)*0.1+IF(AI38-Uzman_D!$G$13&lt;0,-(AI38-Uzman_D!$G$13),AI38-Uzman_D!$G$13)*0.1+IF(AJ38-Uzman_D!$H$13&lt;0,-(AJ38-Uzman_D!$H$13),AJ38-Uzman_D!$H$13)*0.1+IF(AK38-Uzman_D!$I$13&lt;0,-(AK38-Uzman_D!$I$13),AK38-Uzman_D!$I$13)*0.1+IF(AL38-Uzman_D!$J$13&lt;0,-(AL38-Uzman_D!$J$13),AL38-Uzman_D!$J$13)*0.1)+IF(ROUND((IF(AN38-Uzman_D!$L$13&lt;0,-(AN38-Uzman_D!$L$13),AN38-Uzman_D!$L$13)*2),0)/2=IF(AN38-Uzman_D!$L$13&lt;0,-(AN38-Uzman_D!$L$13),AN38-Uzman_D!$L$13),(ROUND((IF(AN38-Uzman_D!$L$13&lt;0,-(AN38-Uzman_D!$L$13),AN38-Uzman_D!$L$13)*2),0)/1*0.1),0)+IF(AO38-Uzman_D!$M$13&lt;0,-(AO38-Uzman_D!$M$13),AO38-Uzman_D!$M$13)*1)</f>
        <v>0.5</v>
      </c>
      <c r="AQ38" s="56"/>
      <c r="AR38" s="56">
        <v>1</v>
      </c>
      <c r="AS38" s="56">
        <v>4</v>
      </c>
      <c r="AT38" s="56">
        <v>3</v>
      </c>
      <c r="AU38" s="56"/>
      <c r="AV38" s="56"/>
      <c r="AW38" s="56"/>
      <c r="AX38" s="56"/>
      <c r="AY38" s="56"/>
      <c r="AZ38" s="56"/>
      <c r="BA38" s="70">
        <v>2</v>
      </c>
      <c r="BB38" s="70">
        <v>0.2</v>
      </c>
      <c r="BC38" s="71">
        <f>1-(SUM(IF(AQ38-Uzman_D!$B$14&lt;0,-(AQ38-Uzman_D!$B$14),AQ38-Uzman_D!$B$14)*0.1+IF(AR38-Uzman_D!$C$14&lt;0,-(AR38-Uzman_D!$C$14),AR38-Uzman_D!$C$14)*0.1+IF(AS38-Uzman_D!$D$14&lt;0,-(AS38-Uzman_D!$D$14),AS38-Uzman_D!$D$14)*0.1+IF(AT38-Uzman_D!$E$14&lt;0,-(AT38-Uzman_D!$E$14),AT38-Uzman_D!$E$14)*0.1+IF(AU38-Uzman_D!$F$14&lt;0,-(AU38-Uzman_D!$F$14),AU38-Uzman_D!$F$14)*0.1+IF(AV38-Uzman_D!$G$14&lt;0,-(AV38-Uzman_D!$G$14),AV38-Uzman_D!$G$14)*0.1+IF(AW38-Uzman_D!$H$14&lt;0,-(AW38-Uzman_D!$H$14),AW38-Uzman_D!$H$14)*0.1+IF(AX38-Uzman_D!$I$14&lt;0,-(AX38-Uzman_D!$I$14),AX38-Uzman_D!$I$14)*0.1+IF(AY38-Uzman_D!$J$14&lt;0,-(AY38-Uzman_D!$J$14),AY38-Uzman_D!$J$14)*0.1)+IF(ROUND((IF(BA38-Uzman_D!$L$14&lt;0,-(BA38-Uzman_D!$L$14),BA38-Uzman_D!$L$14)*2),0)/2=IF(BA38-Uzman_D!$L$14&lt;0,-(BA38-Uzman_D!$L$14),BA38-Uzman_D!$L$14),(ROUND((IF(BA38-Uzman_D!$L$14&lt;0,-(BA38-Uzman_D!$L$14),BA38-Uzman_D!$L$14)*2),0)/1*0.1),0)+IF(BB38-Uzman_D!$M$14&lt;0,-(BB38-Uzman_D!$M$14),BB38-Uzman_D!$M$14)*1)</f>
        <v>0.5</v>
      </c>
      <c r="BD38" s="56"/>
      <c r="BE38" s="56">
        <v>1</v>
      </c>
      <c r="BF38" s="56">
        <v>3</v>
      </c>
      <c r="BG38" s="56">
        <v>4</v>
      </c>
      <c r="BH38" s="56"/>
      <c r="BI38" s="56"/>
      <c r="BJ38" s="56"/>
      <c r="BK38" s="56"/>
      <c r="BL38" s="56"/>
      <c r="BM38" s="56"/>
      <c r="BN38" s="70">
        <v>2</v>
      </c>
      <c r="BO38" s="70">
        <v>0.4</v>
      </c>
      <c r="BP38" s="71">
        <f>1-(SUM(IF(BD38-Uzman_D!$B$15&lt;0,-(BD38-Uzman_D!$B$15),BD38-Uzman_D!$B$15)*0.1+IF(BE38-Uzman_D!$C$15&lt;0,-(BE38-Uzman_D!$C$15),BE38-Uzman_D!$C$15)*0.1+IF(BF38-Uzman_D!$D$15&lt;0,-(BF38-Uzman_D!$D$15),BF38-Uzman_D!$D$15)*0.1+IF(BG38-Uzman_D!$E$15&lt;0,-(BG38-Uzman_D!$E$15),BG38-Uzman_D!$E$15)*0.1+IF(BH38-Uzman_D!$F$15&lt;0,-(BH38-Uzman_D!$F$15),BH38-Uzman_D!$F$15)*0.1+IF(BI38-Uzman_D!$G$15&lt;0,-(BI38-Uzman_D!$G$15),BI38-Uzman_D!$G$15)*0.1+IF(BJ38-Uzman_D!$H$15&lt;0,-(BJ38-Uzman_D!$H$15),BJ38-Uzman_D!$H$15)*0.1+IF(BK38-Uzman_D!$I$15&lt;0,-(BK38-Uzman_D!$I$15),BK38-Uzman_D!$I$15)*0.1+IF(BL38-Uzman_D!$J$15&lt;0,-(BL38-Uzman_D!$J$15),BL38-Uzman_D!$J$15)*0.1)+IF(ROUND((IF(BN38-Uzman_D!$L$15&lt;0,-(BN38-Uzman_D!$L$15),BN38-Uzman_D!$L$15)*2),0)/2=IF(BN38-Uzman_D!$L$15&lt;0,-(BN38-Uzman_D!$L$15),BN38-Uzman_D!$L$15),(ROUND((IF(BN38-Uzman_D!$L$15&lt;0,-(BN38-Uzman_D!$L$15),BN38-Uzman_D!$L$15)*2),0)/1*0.1),0)+IF(BO38-Uzman_D!$M$15&lt;0,-(BO38-Uzman_D!$M$15),BO38-Uzman_D!$M$15)*1)</f>
        <v>0.7</v>
      </c>
      <c r="BQ38" s="72">
        <f t="shared" si="1"/>
        <v>0.23999999999999994</v>
      </c>
    </row>
    <row r="39" spans="1:69" ht="15" customHeight="1" x14ac:dyDescent="0.45">
      <c r="A39" s="54">
        <v>36</v>
      </c>
      <c r="B39" s="162" t="str">
        <f>Hakemler!B39</f>
        <v>KARAHAN</v>
      </c>
      <c r="C39" s="162" t="str">
        <f>Hakemler!C39</f>
        <v>NESRİN</v>
      </c>
      <c r="D39" s="56"/>
      <c r="E39" s="56"/>
      <c r="F39" s="56">
        <v>4</v>
      </c>
      <c r="G39" s="56">
        <v>4</v>
      </c>
      <c r="H39" s="56"/>
      <c r="I39" s="56"/>
      <c r="J39" s="56"/>
      <c r="K39" s="56"/>
      <c r="L39" s="56"/>
      <c r="M39" s="56"/>
      <c r="N39" s="70">
        <v>2</v>
      </c>
      <c r="O39" s="70">
        <v>0.6</v>
      </c>
      <c r="P39" s="71">
        <f>1-(SUM(IF(D39-Uzman_D!$B$11&lt;0,-(D39-Uzman_D!$B$11),D39-Uzman_D!$B$11)*0.1+IF(E39-Uzman_D!$C$11&lt;0,-(E39-Uzman_D!$C$11),E39-Uzman_D!$C$11)*0.1+IF(F39-Uzman_D!$D$11&lt;0,-(F39-Uzman_D!$D$11),F39-Uzman_D!$D$11)*0.1+IF(G39-Uzman_D!$E$11&lt;0,-(G39-Uzman_D!$E$11),G39-Uzman_D!$E$11)*0.1+IF(H39-Uzman_D!$F$11&lt;0,-(H39-Uzman_D!$F$11),H39-Uzman_D!$F$11)*0.1+IF(I39-Uzman_D!$G$11&lt;0,-(I39-Uzman_D!$G$11),I39-Uzman_D!$G$11)*0.1+IF(J39-Uzman_D!$H$11&lt;0,-(J39-Uzman_D!$H$11),J39-Uzman_D!$H$11)*0.1+IF(K39-Uzman_D!$I$11&lt;0,-(K39-Uzman_D!$I$11),K39-Uzman_D!$I$11)*0.1+IF(L39-Uzman_D!$J$11&lt;0,-(L39-Uzman_D!$J$11),L39-Uzman_D!$J$11)*0.1)+IF(ROUND((IF(N39-Uzman_D!$L$11&lt;0,-(N39-Uzman_D!$L$11),N39-Uzman_D!$L$11)*2),0)/2=IF(N39-Uzman_D!$L$11&lt;0,-(N39-Uzman_D!$L$11),N39-Uzman_D!$L$11),(ROUND((IF(N39-Uzman_D!$L$11&lt;0,-(N39-Uzman_D!$L$11),N39-Uzman_D!$L$11)*2),0)/1*0.1),0)+IF(O39-Uzman_D!$M$11&lt;0,-(O39-Uzman_D!$M$11),O39-Uzman_D!$M$11)*1)</f>
        <v>0.30000000000000004</v>
      </c>
      <c r="Q39" s="56"/>
      <c r="R39" s="56"/>
      <c r="S39" s="56"/>
      <c r="T39" s="56">
        <v>4</v>
      </c>
      <c r="U39" s="56">
        <v>4</v>
      </c>
      <c r="V39" s="56"/>
      <c r="W39" s="56"/>
      <c r="X39" s="56"/>
      <c r="Y39" s="56"/>
      <c r="Z39" s="56"/>
      <c r="AA39" s="70">
        <v>2</v>
      </c>
      <c r="AB39" s="70">
        <v>0.5</v>
      </c>
      <c r="AC39" s="71">
        <f>1-(SUM(IF(Q39-Uzman_D!$B$12&lt;0,-(Q39-Uzman_D!$B$12),Q39-Uzman_D!$B$12)*0.1+IF(R39-Uzman_D!$C$12&lt;0,-(R39-Uzman_D!$C$12),R39-Uzman_D!$C$12)*0.1+IF(S39-Uzman_D!$D$12&lt;0,-(S39-Uzman_D!$D$12),S39-Uzman_D!$D$12)*0.1+IF(T39-Uzman_D!$E$12&lt;0,-(T39-Uzman_D!$E$12),T39-Uzman_D!$E$12)*0.1+IF(U39-Uzman_D!$F$12&lt;0,-(U39-Uzman_D!$F$12),U39-Uzman_D!$F$12)*0.1+IF(V39-Uzman_D!$G$12&lt;0,-(V39-Uzman_D!$G$12),V39-Uzman_D!$G$12)*0.1+IF(W39-Uzman_D!$H$12&lt;0,-(W39-Uzman_D!$H$12),W39-Uzman_D!$H$12)*0.1+IF(X39-Uzman_D!$I$12&lt;0,-(X39-Uzman_D!$I$12),X39-Uzman_D!$I$12)*0.1+IF(Y39-Uzman_D!$J$12&lt;0,-(Y39-Uzman_D!$J$12),Y39-Uzman_D!$J$12)*0.1)+IF(ROUND((IF(AA39-Uzman_D!$L$12&lt;0,-(AA39-Uzman_D!$L$12),AA39-Uzman_D!$L$12)*2),0)/2=IF(AA39-Uzman_D!$L$12&lt;0,-(AA39-Uzman_D!$L$12),AA39-Uzman_D!$L$12),(ROUND((IF(AA39-Uzman_D!$L$12&lt;0,-(AA39-Uzman_D!$L$12),AA39-Uzman_D!$L$12)*2),0)/1*0.1),0)+IF(AB39-Uzman_D!$M$12&lt;0,-(AB39-Uzman_D!$M$12),AB39-Uzman_D!$M$12)*1)</f>
        <v>0.6</v>
      </c>
      <c r="AD39" s="56"/>
      <c r="AE39" s="56"/>
      <c r="AF39" s="56">
        <v>2</v>
      </c>
      <c r="AG39" s="56">
        <v>4</v>
      </c>
      <c r="AH39" s="56">
        <v>2</v>
      </c>
      <c r="AI39" s="56"/>
      <c r="AJ39" s="56"/>
      <c r="AK39" s="56"/>
      <c r="AL39" s="56"/>
      <c r="AM39" s="56"/>
      <c r="AN39" s="70">
        <v>1.5</v>
      </c>
      <c r="AO39" s="70">
        <v>0.6</v>
      </c>
      <c r="AP39" s="71">
        <f>1-(SUM(IF(AD39-Uzman_D!$B$13&lt;0,-(AD39-Uzman_D!$B$13),AD39-Uzman_D!$B$13)*0.1+IF(AE39-Uzman_D!$C$13&lt;0,-(AE39-Uzman_D!$C$13),AE39-Uzman_D!$C$13)*0.1+IF(AF39-Uzman_D!$D$13&lt;0,-(AF39-Uzman_D!$D$13),AF39-Uzman_D!$D$13)*0.1+IF(AG39-Uzman_D!$E$13&lt;0,-(AG39-Uzman_D!$E$13),AG39-Uzman_D!$E$13)*0.1+IF(AH39-Uzman_D!$F$13&lt;0,-(AH39-Uzman_D!$F$13),AH39-Uzman_D!$F$13)*0.1+IF(AI39-Uzman_D!$G$13&lt;0,-(AI39-Uzman_D!$G$13),AI39-Uzman_D!$G$13)*0.1+IF(AJ39-Uzman_D!$H$13&lt;0,-(AJ39-Uzman_D!$H$13),AJ39-Uzman_D!$H$13)*0.1+IF(AK39-Uzman_D!$I$13&lt;0,-(AK39-Uzman_D!$I$13),AK39-Uzman_D!$I$13)*0.1+IF(AL39-Uzman_D!$J$13&lt;0,-(AL39-Uzman_D!$J$13),AL39-Uzman_D!$J$13)*0.1)+IF(ROUND((IF(AN39-Uzman_D!$L$13&lt;0,-(AN39-Uzman_D!$L$13),AN39-Uzman_D!$L$13)*2),0)/2=IF(AN39-Uzman_D!$L$13&lt;0,-(AN39-Uzman_D!$L$13),AN39-Uzman_D!$L$13),(ROUND((IF(AN39-Uzman_D!$L$13&lt;0,-(AN39-Uzman_D!$L$13),AN39-Uzman_D!$L$13)*2),0)/1*0.1),0)+IF(AO39-Uzman_D!$M$13&lt;0,-(AO39-Uzman_D!$M$13),AO39-Uzman_D!$M$13)*1)</f>
        <v>-0.39999999999999991</v>
      </c>
      <c r="AQ39" s="56"/>
      <c r="AR39" s="56"/>
      <c r="AS39" s="56">
        <v>2</v>
      </c>
      <c r="AT39" s="56">
        <v>4</v>
      </c>
      <c r="AU39" s="56">
        <v>4</v>
      </c>
      <c r="AV39" s="56"/>
      <c r="AW39" s="56"/>
      <c r="AX39" s="56"/>
      <c r="AY39" s="56"/>
      <c r="AZ39" s="56"/>
      <c r="BA39" s="70">
        <v>2</v>
      </c>
      <c r="BB39" s="70">
        <v>0.7</v>
      </c>
      <c r="BC39" s="71">
        <f>1-(SUM(IF(AQ39-Uzman_D!$B$14&lt;0,-(AQ39-Uzman_D!$B$14),AQ39-Uzman_D!$B$14)*0.1+IF(AR39-Uzman_D!$C$14&lt;0,-(AR39-Uzman_D!$C$14),AR39-Uzman_D!$C$14)*0.1+IF(AS39-Uzman_D!$D$14&lt;0,-(AS39-Uzman_D!$D$14),AS39-Uzman_D!$D$14)*0.1+IF(AT39-Uzman_D!$E$14&lt;0,-(AT39-Uzman_D!$E$14),AT39-Uzman_D!$E$14)*0.1+IF(AU39-Uzman_D!$F$14&lt;0,-(AU39-Uzman_D!$F$14),AU39-Uzman_D!$F$14)*0.1+IF(AV39-Uzman_D!$G$14&lt;0,-(AV39-Uzman_D!$G$14),AV39-Uzman_D!$G$14)*0.1+IF(AW39-Uzman_D!$H$14&lt;0,-(AW39-Uzman_D!$H$14),AW39-Uzman_D!$H$14)*0.1+IF(AX39-Uzman_D!$I$14&lt;0,-(AX39-Uzman_D!$I$14),AX39-Uzman_D!$I$14)*0.1+IF(AY39-Uzman_D!$J$14&lt;0,-(AY39-Uzman_D!$J$14),AY39-Uzman_D!$J$14)*0.1)+IF(ROUND((IF(BA39-Uzman_D!$L$14&lt;0,-(BA39-Uzman_D!$L$14),BA39-Uzman_D!$L$14)*2),0)/2=IF(BA39-Uzman_D!$L$14&lt;0,-(BA39-Uzman_D!$L$14),BA39-Uzman_D!$L$14),(ROUND((IF(BA39-Uzman_D!$L$14&lt;0,-(BA39-Uzman_D!$L$14),BA39-Uzman_D!$L$14)*2),0)/1*0.1),0)+IF(BB39-Uzman_D!$M$14&lt;0,-(BB39-Uzman_D!$M$14),BB39-Uzman_D!$M$14)*1)</f>
        <v>-0.60000000000000009</v>
      </c>
      <c r="BD39" s="56"/>
      <c r="BE39" s="56">
        <v>1</v>
      </c>
      <c r="BF39" s="56">
        <v>1</v>
      </c>
      <c r="BG39" s="56">
        <v>4</v>
      </c>
      <c r="BH39" s="56">
        <v>2</v>
      </c>
      <c r="BI39" s="56"/>
      <c r="BJ39" s="56"/>
      <c r="BK39" s="56"/>
      <c r="BL39" s="56"/>
      <c r="BM39" s="56"/>
      <c r="BN39" s="70">
        <v>2</v>
      </c>
      <c r="BO39" s="70">
        <v>0.7</v>
      </c>
      <c r="BP39" s="71">
        <f>1-(SUM(IF(BD39-Uzman_D!$B$15&lt;0,-(BD39-Uzman_D!$B$15),BD39-Uzman_D!$B$15)*0.1+IF(BE39-Uzman_D!$C$15&lt;0,-(BE39-Uzman_D!$C$15),BE39-Uzman_D!$C$15)*0.1+IF(BF39-Uzman_D!$D$15&lt;0,-(BF39-Uzman_D!$D$15),BF39-Uzman_D!$D$15)*0.1+IF(BG39-Uzman_D!$E$15&lt;0,-(BG39-Uzman_D!$E$15),BG39-Uzman_D!$E$15)*0.1+IF(BH39-Uzman_D!$F$15&lt;0,-(BH39-Uzman_D!$F$15),BH39-Uzman_D!$F$15)*0.1+IF(BI39-Uzman_D!$G$15&lt;0,-(BI39-Uzman_D!$G$15),BI39-Uzman_D!$G$15)*0.1+IF(BJ39-Uzman_D!$H$15&lt;0,-(BJ39-Uzman_D!$H$15),BJ39-Uzman_D!$H$15)*0.1+IF(BK39-Uzman_D!$I$15&lt;0,-(BK39-Uzman_D!$I$15),BK39-Uzman_D!$I$15)*0.1+IF(BL39-Uzman_D!$J$15&lt;0,-(BL39-Uzman_D!$J$15),BL39-Uzman_D!$J$15)*0.1)+IF(ROUND((IF(BN39-Uzman_D!$L$15&lt;0,-(BN39-Uzman_D!$L$15),BN39-Uzman_D!$L$15)*2),0)/2=IF(BN39-Uzman_D!$L$15&lt;0,-(BN39-Uzman_D!$L$15),BN39-Uzman_D!$L$15),(ROUND((IF(BN39-Uzman_D!$L$15&lt;0,-(BN39-Uzman_D!$L$15),BN39-Uzman_D!$L$15)*2),0)/1*0.1),0)+IF(BO39-Uzman_D!$M$15&lt;0,-(BO39-Uzman_D!$M$15),BO39-Uzman_D!$M$15)*1)</f>
        <v>0.19999999999999996</v>
      </c>
      <c r="BQ39" s="72">
        <f t="shared" si="1"/>
        <v>1.9999999999999997E-2</v>
      </c>
    </row>
    <row r="40" spans="1:69" ht="15" customHeight="1" x14ac:dyDescent="0.45">
      <c r="A40" s="54">
        <v>37</v>
      </c>
      <c r="B40" s="163" t="str">
        <f>Hakemler!B40</f>
        <v>ALTAY</v>
      </c>
      <c r="C40" s="163" t="str">
        <f>Hakemler!C40</f>
        <v>SERDİNÇ</v>
      </c>
      <c r="D40" s="56"/>
      <c r="E40" s="56"/>
      <c r="F40" s="56">
        <v>3</v>
      </c>
      <c r="G40" s="56">
        <v>3</v>
      </c>
      <c r="H40" s="56">
        <v>2</v>
      </c>
      <c r="I40" s="56"/>
      <c r="J40" s="56"/>
      <c r="K40" s="56"/>
      <c r="L40" s="56"/>
      <c r="M40" s="56"/>
      <c r="N40" s="70">
        <v>2</v>
      </c>
      <c r="O40" s="70">
        <v>0.3</v>
      </c>
      <c r="P40" s="71">
        <f>1-(SUM(IF(D40-Uzman_D!$B$11&lt;0,-(D40-Uzman_D!$B$11),D40-Uzman_D!$B$11)*0.1+IF(E40-Uzman_D!$C$11&lt;0,-(E40-Uzman_D!$C$11),E40-Uzman_D!$C$11)*0.1+IF(F40-Uzman_D!$D$11&lt;0,-(F40-Uzman_D!$D$11),F40-Uzman_D!$D$11)*0.1+IF(G40-Uzman_D!$E$11&lt;0,-(G40-Uzman_D!$E$11),G40-Uzman_D!$E$11)*0.1+IF(H40-Uzman_D!$F$11&lt;0,-(H40-Uzman_D!$F$11),H40-Uzman_D!$F$11)*0.1+IF(I40-Uzman_D!$G$11&lt;0,-(I40-Uzman_D!$G$11),I40-Uzman_D!$G$11)*0.1+IF(J40-Uzman_D!$H$11&lt;0,-(J40-Uzman_D!$H$11),J40-Uzman_D!$H$11)*0.1+IF(K40-Uzman_D!$I$11&lt;0,-(K40-Uzman_D!$I$11),K40-Uzman_D!$I$11)*0.1+IF(L40-Uzman_D!$J$11&lt;0,-(L40-Uzman_D!$J$11),L40-Uzman_D!$J$11)*0.1)+IF(ROUND((IF(N40-Uzman_D!$L$11&lt;0,-(N40-Uzman_D!$L$11),N40-Uzman_D!$L$11)*2),0)/2=IF(N40-Uzman_D!$L$11&lt;0,-(N40-Uzman_D!$L$11),N40-Uzman_D!$L$11),(ROUND((IF(N40-Uzman_D!$L$11&lt;0,-(N40-Uzman_D!$L$11),N40-Uzman_D!$L$11)*2),0)/1*0.1),0)+IF(O40-Uzman_D!$M$11&lt;0,-(O40-Uzman_D!$M$11),O40-Uzman_D!$M$11)*1)</f>
        <v>0</v>
      </c>
      <c r="Q40" s="56"/>
      <c r="R40" s="56">
        <v>3</v>
      </c>
      <c r="S40" s="56">
        <v>4</v>
      </c>
      <c r="T40" s="56"/>
      <c r="U40" s="56">
        <v>1</v>
      </c>
      <c r="V40" s="56"/>
      <c r="W40" s="56"/>
      <c r="X40" s="56"/>
      <c r="Y40" s="56"/>
      <c r="Z40" s="56"/>
      <c r="AA40" s="70">
        <v>2</v>
      </c>
      <c r="AB40" s="70">
        <v>0.2</v>
      </c>
      <c r="AC40" s="71">
        <f>1-(SUM(IF(Q40-Uzman_D!$B$12&lt;0,-(Q40-Uzman_D!$B$12),Q40-Uzman_D!$B$12)*0.1+IF(R40-Uzman_D!$C$12&lt;0,-(R40-Uzman_D!$C$12),R40-Uzman_D!$C$12)*0.1+IF(S40-Uzman_D!$D$12&lt;0,-(S40-Uzman_D!$D$12),S40-Uzman_D!$D$12)*0.1+IF(T40-Uzman_D!$E$12&lt;0,-(T40-Uzman_D!$E$12),T40-Uzman_D!$E$12)*0.1+IF(U40-Uzman_D!$F$12&lt;0,-(U40-Uzman_D!$F$12),U40-Uzman_D!$F$12)*0.1+IF(V40-Uzman_D!$G$12&lt;0,-(V40-Uzman_D!$G$12),V40-Uzman_D!$G$12)*0.1+IF(W40-Uzman_D!$H$12&lt;0,-(W40-Uzman_D!$H$12),W40-Uzman_D!$H$12)*0.1+IF(X40-Uzman_D!$I$12&lt;0,-(X40-Uzman_D!$I$12),X40-Uzman_D!$I$12)*0.1+IF(Y40-Uzman_D!$J$12&lt;0,-(Y40-Uzman_D!$J$12),Y40-Uzman_D!$J$12)*0.1)+IF(ROUND((IF(AA40-Uzman_D!$L$12&lt;0,-(AA40-Uzman_D!$L$12),AA40-Uzman_D!$L$12)*2),0)/2=IF(AA40-Uzman_D!$L$12&lt;0,-(AA40-Uzman_D!$L$12),AA40-Uzman_D!$L$12),(ROUND((IF(AA40-Uzman_D!$L$12&lt;0,-(AA40-Uzman_D!$L$12),AA40-Uzman_D!$L$12)*2),0)/1*0.1),0)+IF(AB40-Uzman_D!$M$12&lt;0,-(AB40-Uzman_D!$M$12),AB40-Uzman_D!$M$12)*1)</f>
        <v>-0.50000000000000022</v>
      </c>
      <c r="AD40" s="56"/>
      <c r="AE40" s="56">
        <v>1</v>
      </c>
      <c r="AF40" s="56">
        <v>4</v>
      </c>
      <c r="AG40" s="56">
        <v>3</v>
      </c>
      <c r="AH40" s="56"/>
      <c r="AI40" s="56"/>
      <c r="AJ40" s="56"/>
      <c r="AK40" s="56"/>
      <c r="AL40" s="56"/>
      <c r="AM40" s="56"/>
      <c r="AN40" s="70">
        <v>2</v>
      </c>
      <c r="AO40" s="70">
        <v>0.1</v>
      </c>
      <c r="AP40" s="71">
        <f>1-(SUM(IF(AD40-Uzman_D!$B$13&lt;0,-(AD40-Uzman_D!$B$13),AD40-Uzman_D!$B$13)*0.1+IF(AE40-Uzman_D!$C$13&lt;0,-(AE40-Uzman_D!$C$13),AE40-Uzman_D!$C$13)*0.1+IF(AF40-Uzman_D!$D$13&lt;0,-(AF40-Uzman_D!$D$13),AF40-Uzman_D!$D$13)*0.1+IF(AG40-Uzman_D!$E$13&lt;0,-(AG40-Uzman_D!$E$13),AG40-Uzman_D!$E$13)*0.1+IF(AH40-Uzman_D!$F$13&lt;0,-(AH40-Uzman_D!$F$13),AH40-Uzman_D!$F$13)*0.1+IF(AI40-Uzman_D!$G$13&lt;0,-(AI40-Uzman_D!$G$13),AI40-Uzman_D!$G$13)*0.1+IF(AJ40-Uzman_D!$H$13&lt;0,-(AJ40-Uzman_D!$H$13),AJ40-Uzman_D!$H$13)*0.1+IF(AK40-Uzman_D!$I$13&lt;0,-(AK40-Uzman_D!$I$13),AK40-Uzman_D!$I$13)*0.1+IF(AL40-Uzman_D!$J$13&lt;0,-(AL40-Uzman_D!$J$13),AL40-Uzman_D!$J$13)*0.1)+IF(ROUND((IF(AN40-Uzman_D!$L$13&lt;0,-(AN40-Uzman_D!$L$13),AN40-Uzman_D!$L$13)*2),0)/2=IF(AN40-Uzman_D!$L$13&lt;0,-(AN40-Uzman_D!$L$13),AN40-Uzman_D!$L$13),(ROUND((IF(AN40-Uzman_D!$L$13&lt;0,-(AN40-Uzman_D!$L$13),AN40-Uzman_D!$L$13)*2),0)/1*0.1),0)+IF(AO40-Uzman_D!$M$13&lt;0,-(AO40-Uzman_D!$M$13),AO40-Uzman_D!$M$13)*1)</f>
        <v>0.6</v>
      </c>
      <c r="AQ40" s="56"/>
      <c r="AR40" s="56">
        <v>2</v>
      </c>
      <c r="AS40" s="56">
        <v>4</v>
      </c>
      <c r="AT40" s="56">
        <v>1</v>
      </c>
      <c r="AU40" s="56">
        <v>1</v>
      </c>
      <c r="AV40" s="56"/>
      <c r="AW40" s="56"/>
      <c r="AX40" s="56"/>
      <c r="AY40" s="56"/>
      <c r="AZ40" s="56"/>
      <c r="BA40" s="70">
        <v>2</v>
      </c>
      <c r="BB40" s="70">
        <v>0.3</v>
      </c>
      <c r="BC40" s="71">
        <f>1-(SUM(IF(AQ40-Uzman_D!$B$14&lt;0,-(AQ40-Uzman_D!$B$14),AQ40-Uzman_D!$B$14)*0.1+IF(AR40-Uzman_D!$C$14&lt;0,-(AR40-Uzman_D!$C$14),AR40-Uzman_D!$C$14)*0.1+IF(AS40-Uzman_D!$D$14&lt;0,-(AS40-Uzman_D!$D$14),AS40-Uzman_D!$D$14)*0.1+IF(AT40-Uzman_D!$E$14&lt;0,-(AT40-Uzman_D!$E$14),AT40-Uzman_D!$E$14)*0.1+IF(AU40-Uzman_D!$F$14&lt;0,-(AU40-Uzman_D!$F$14),AU40-Uzman_D!$F$14)*0.1+IF(AV40-Uzman_D!$G$14&lt;0,-(AV40-Uzman_D!$G$14),AV40-Uzman_D!$G$14)*0.1+IF(AW40-Uzman_D!$H$14&lt;0,-(AW40-Uzman_D!$H$14),AW40-Uzman_D!$H$14)*0.1+IF(AX40-Uzman_D!$I$14&lt;0,-(AX40-Uzman_D!$I$14),AX40-Uzman_D!$I$14)*0.1+IF(AY40-Uzman_D!$J$14&lt;0,-(AY40-Uzman_D!$J$14),AY40-Uzman_D!$J$14)*0.1)+IF(ROUND((IF(BA40-Uzman_D!$L$14&lt;0,-(BA40-Uzman_D!$L$14),BA40-Uzman_D!$L$14)*2),0)/2=IF(BA40-Uzman_D!$L$14&lt;0,-(BA40-Uzman_D!$L$14),BA40-Uzman_D!$L$14),(ROUND((IF(BA40-Uzman_D!$L$14&lt;0,-(BA40-Uzman_D!$L$14),BA40-Uzman_D!$L$14)*2),0)/1*0.1),0)+IF(BB40-Uzman_D!$M$14&lt;0,-(BB40-Uzman_D!$M$14),BB40-Uzman_D!$M$14)*1)</f>
        <v>0.4</v>
      </c>
      <c r="BD40" s="56"/>
      <c r="BE40" s="56">
        <v>3</v>
      </c>
      <c r="BF40" s="56">
        <v>3</v>
      </c>
      <c r="BG40" s="56">
        <v>1</v>
      </c>
      <c r="BH40" s="56">
        <v>1</v>
      </c>
      <c r="BI40" s="56"/>
      <c r="BJ40" s="56"/>
      <c r="BK40" s="56"/>
      <c r="BL40" s="56"/>
      <c r="BM40" s="56"/>
      <c r="BN40" s="70">
        <v>2</v>
      </c>
      <c r="BO40" s="70">
        <v>0.1</v>
      </c>
      <c r="BP40" s="71">
        <f>1-(SUM(IF(BD40-Uzman_D!$B$15&lt;0,-(BD40-Uzman_D!$B$15),BD40-Uzman_D!$B$15)*0.1+IF(BE40-Uzman_D!$C$15&lt;0,-(BE40-Uzman_D!$C$15),BE40-Uzman_D!$C$15)*0.1+IF(BF40-Uzman_D!$D$15&lt;0,-(BF40-Uzman_D!$D$15),BF40-Uzman_D!$D$15)*0.1+IF(BG40-Uzman_D!$E$15&lt;0,-(BG40-Uzman_D!$E$15),BG40-Uzman_D!$E$15)*0.1+IF(BH40-Uzman_D!$F$15&lt;0,-(BH40-Uzman_D!$F$15),BH40-Uzman_D!$F$15)*0.1+IF(BI40-Uzman_D!$G$15&lt;0,-(BI40-Uzman_D!$G$15),BI40-Uzman_D!$G$15)*0.1+IF(BJ40-Uzman_D!$H$15&lt;0,-(BJ40-Uzman_D!$H$15),BJ40-Uzman_D!$H$15)*0.1+IF(BK40-Uzman_D!$I$15&lt;0,-(BK40-Uzman_D!$I$15),BK40-Uzman_D!$I$15)*0.1+IF(BL40-Uzman_D!$J$15&lt;0,-(BL40-Uzman_D!$J$15),BL40-Uzman_D!$J$15)*0.1)+IF(ROUND((IF(BN40-Uzman_D!$L$15&lt;0,-(BN40-Uzman_D!$L$15),BN40-Uzman_D!$L$15)*2),0)/2=IF(BN40-Uzman_D!$L$15&lt;0,-(BN40-Uzman_D!$L$15),BN40-Uzman_D!$L$15),(ROUND((IF(BN40-Uzman_D!$L$15&lt;0,-(BN40-Uzman_D!$L$15),BN40-Uzman_D!$L$15)*2),0)/1*0.1),0)+IF(BO40-Uzman_D!$M$15&lt;0,-(BO40-Uzman_D!$M$15),BO40-Uzman_D!$M$15)*1)</f>
        <v>0.4</v>
      </c>
      <c r="BQ40" s="72">
        <f t="shared" si="1"/>
        <v>0.17999999999999997</v>
      </c>
    </row>
    <row r="41" spans="1:69" ht="15" customHeight="1" x14ac:dyDescent="0.45">
      <c r="A41" s="54">
        <v>38</v>
      </c>
      <c r="B41" s="163" t="str">
        <f>Hakemler!B41</f>
        <v>TOPTAŞ</v>
      </c>
      <c r="C41" s="163" t="str">
        <f>Hakemler!C41</f>
        <v>BİRSEN</v>
      </c>
      <c r="D41" s="56"/>
      <c r="E41" s="56">
        <v>2</v>
      </c>
      <c r="F41" s="56">
        <v>3</v>
      </c>
      <c r="G41" s="56">
        <v>3</v>
      </c>
      <c r="H41" s="56">
        <v>1</v>
      </c>
      <c r="I41" s="56"/>
      <c r="J41" s="56"/>
      <c r="K41" s="56"/>
      <c r="L41" s="56"/>
      <c r="M41" s="56"/>
      <c r="N41" s="70">
        <v>2</v>
      </c>
      <c r="O41" s="70">
        <v>0.4</v>
      </c>
      <c r="P41" s="71">
        <f>1-(SUM(IF(D41-Uzman_D!$B$11&lt;0,-(D41-Uzman_D!$B$11),D41-Uzman_D!$B$11)*0.1+IF(E41-Uzman_D!$C$11&lt;0,-(E41-Uzman_D!$C$11),E41-Uzman_D!$C$11)*0.1+IF(F41-Uzman_D!$D$11&lt;0,-(F41-Uzman_D!$D$11),F41-Uzman_D!$D$11)*0.1+IF(G41-Uzman_D!$E$11&lt;0,-(G41-Uzman_D!$E$11),G41-Uzman_D!$E$11)*0.1+IF(H41-Uzman_D!$F$11&lt;0,-(H41-Uzman_D!$F$11),H41-Uzman_D!$F$11)*0.1+IF(I41-Uzman_D!$G$11&lt;0,-(I41-Uzman_D!$G$11),I41-Uzman_D!$G$11)*0.1+IF(J41-Uzman_D!$H$11&lt;0,-(J41-Uzman_D!$H$11),J41-Uzman_D!$H$11)*0.1+IF(K41-Uzman_D!$I$11&lt;0,-(K41-Uzman_D!$I$11),K41-Uzman_D!$I$11)*0.1+IF(L41-Uzman_D!$J$11&lt;0,-(L41-Uzman_D!$J$11),L41-Uzman_D!$J$11)*0.1)+IF(ROUND((IF(N41-Uzman_D!$L$11&lt;0,-(N41-Uzman_D!$L$11),N41-Uzman_D!$L$11)*2),0)/2=IF(N41-Uzman_D!$L$11&lt;0,-(N41-Uzman_D!$L$11),N41-Uzman_D!$L$11),(ROUND((IF(N41-Uzman_D!$L$11&lt;0,-(N41-Uzman_D!$L$11),N41-Uzman_D!$L$11)*2),0)/1*0.1),0)+IF(O41-Uzman_D!$M$11&lt;0,-(O41-Uzman_D!$M$11),O41-Uzman_D!$M$11)*1)</f>
        <v>0</v>
      </c>
      <c r="Q41" s="56"/>
      <c r="R41" s="56"/>
      <c r="S41" s="56">
        <v>2</v>
      </c>
      <c r="T41" s="56">
        <v>5</v>
      </c>
      <c r="U41" s="56">
        <v>1</v>
      </c>
      <c r="V41" s="56"/>
      <c r="W41" s="56"/>
      <c r="X41" s="56"/>
      <c r="Y41" s="56"/>
      <c r="Z41" s="56"/>
      <c r="AA41" s="70">
        <v>2</v>
      </c>
      <c r="AB41" s="70">
        <v>0.2</v>
      </c>
      <c r="AC41" s="71">
        <f>1-(SUM(IF(Q41-Uzman_D!$B$12&lt;0,-(Q41-Uzman_D!$B$12),Q41-Uzman_D!$B$12)*0.1+IF(R41-Uzman_D!$C$12&lt;0,-(R41-Uzman_D!$C$12),R41-Uzman_D!$C$12)*0.1+IF(S41-Uzman_D!$D$12&lt;0,-(S41-Uzman_D!$D$12),S41-Uzman_D!$D$12)*0.1+IF(T41-Uzman_D!$E$12&lt;0,-(T41-Uzman_D!$E$12),T41-Uzman_D!$E$12)*0.1+IF(U41-Uzman_D!$F$12&lt;0,-(U41-Uzman_D!$F$12),U41-Uzman_D!$F$12)*0.1+IF(V41-Uzman_D!$G$12&lt;0,-(V41-Uzman_D!$G$12),V41-Uzman_D!$G$12)*0.1+IF(W41-Uzman_D!$H$12&lt;0,-(W41-Uzman_D!$H$12),W41-Uzman_D!$H$12)*0.1+IF(X41-Uzman_D!$I$12&lt;0,-(X41-Uzman_D!$I$12),X41-Uzman_D!$I$12)*0.1+IF(Y41-Uzman_D!$J$12&lt;0,-(Y41-Uzman_D!$J$12),Y41-Uzman_D!$J$12)*0.1)+IF(ROUND((IF(AA41-Uzman_D!$L$12&lt;0,-(AA41-Uzman_D!$L$12),AA41-Uzman_D!$L$12)*2),0)/2=IF(AA41-Uzman_D!$L$12&lt;0,-(AA41-Uzman_D!$L$12),AA41-Uzman_D!$L$12),(ROUND((IF(AA41-Uzman_D!$L$12&lt;0,-(AA41-Uzman_D!$L$12),AA41-Uzman_D!$L$12)*2),0)/1*0.1),0)+IF(AB41-Uzman_D!$M$12&lt;0,-(AB41-Uzman_D!$M$12),AB41-Uzman_D!$M$12)*1)</f>
        <v>0.30000000000000004</v>
      </c>
      <c r="AD41" s="56"/>
      <c r="AE41" s="56">
        <v>3</v>
      </c>
      <c r="AF41" s="56">
        <v>2</v>
      </c>
      <c r="AG41" s="56">
        <v>2</v>
      </c>
      <c r="AH41" s="56">
        <v>1</v>
      </c>
      <c r="AI41" s="56"/>
      <c r="AJ41" s="56"/>
      <c r="AK41" s="56"/>
      <c r="AL41" s="56"/>
      <c r="AM41" s="56"/>
      <c r="AN41" s="70">
        <v>2</v>
      </c>
      <c r="AO41" s="70">
        <v>0</v>
      </c>
      <c r="AP41" s="71">
        <f>1-(SUM(IF(AD41-Uzman_D!$B$13&lt;0,-(AD41-Uzman_D!$B$13),AD41-Uzman_D!$B$13)*0.1+IF(AE41-Uzman_D!$C$13&lt;0,-(AE41-Uzman_D!$C$13),AE41-Uzman_D!$C$13)*0.1+IF(AF41-Uzman_D!$D$13&lt;0,-(AF41-Uzman_D!$D$13),AF41-Uzman_D!$D$13)*0.1+IF(AG41-Uzman_D!$E$13&lt;0,-(AG41-Uzman_D!$E$13),AG41-Uzman_D!$E$13)*0.1+IF(AH41-Uzman_D!$F$13&lt;0,-(AH41-Uzman_D!$F$13),AH41-Uzman_D!$F$13)*0.1+IF(AI41-Uzman_D!$G$13&lt;0,-(AI41-Uzman_D!$G$13),AI41-Uzman_D!$G$13)*0.1+IF(AJ41-Uzman_D!$H$13&lt;0,-(AJ41-Uzman_D!$H$13),AJ41-Uzman_D!$H$13)*0.1+IF(AK41-Uzman_D!$I$13&lt;0,-(AK41-Uzman_D!$I$13),AK41-Uzman_D!$I$13)*0.1+IF(AL41-Uzman_D!$J$13&lt;0,-(AL41-Uzman_D!$J$13),AL41-Uzman_D!$J$13)*0.1)+IF(ROUND((IF(AN41-Uzman_D!$L$13&lt;0,-(AN41-Uzman_D!$L$13),AN41-Uzman_D!$L$13)*2),0)/2=IF(AN41-Uzman_D!$L$13&lt;0,-(AN41-Uzman_D!$L$13),AN41-Uzman_D!$L$13),(ROUND((IF(AN41-Uzman_D!$L$13&lt;0,-(AN41-Uzman_D!$L$13),AN41-Uzman_D!$L$13)*2),0)/1*0.1),0)+IF(AO41-Uzman_D!$M$13&lt;0,-(AO41-Uzman_D!$M$13),AO41-Uzman_D!$M$13)*1)</f>
        <v>9.9999999999999978E-2</v>
      </c>
      <c r="AQ41" s="56"/>
      <c r="AR41" s="56">
        <v>2</v>
      </c>
      <c r="AS41" s="56">
        <v>5</v>
      </c>
      <c r="AT41" s="56">
        <v>1</v>
      </c>
      <c r="AU41" s="56"/>
      <c r="AV41" s="56"/>
      <c r="AW41" s="56"/>
      <c r="AX41" s="56"/>
      <c r="AY41" s="56"/>
      <c r="AZ41" s="56"/>
      <c r="BA41" s="70">
        <v>2</v>
      </c>
      <c r="BB41" s="70">
        <v>0</v>
      </c>
      <c r="BC41" s="71">
        <f>1-(SUM(IF(AQ41-Uzman_D!$B$14&lt;0,-(AQ41-Uzman_D!$B$14),AQ41-Uzman_D!$B$14)*0.1+IF(AR41-Uzman_D!$C$14&lt;0,-(AR41-Uzman_D!$C$14),AR41-Uzman_D!$C$14)*0.1+IF(AS41-Uzman_D!$D$14&lt;0,-(AS41-Uzman_D!$D$14),AS41-Uzman_D!$D$14)*0.1+IF(AT41-Uzman_D!$E$14&lt;0,-(AT41-Uzman_D!$E$14),AT41-Uzman_D!$E$14)*0.1+IF(AU41-Uzman_D!$F$14&lt;0,-(AU41-Uzman_D!$F$14),AU41-Uzman_D!$F$14)*0.1+IF(AV41-Uzman_D!$G$14&lt;0,-(AV41-Uzman_D!$G$14),AV41-Uzman_D!$G$14)*0.1+IF(AW41-Uzman_D!$H$14&lt;0,-(AW41-Uzman_D!$H$14),AW41-Uzman_D!$H$14)*0.1+IF(AX41-Uzman_D!$I$14&lt;0,-(AX41-Uzman_D!$I$14),AX41-Uzman_D!$I$14)*0.1+IF(AY41-Uzman_D!$J$14&lt;0,-(AY41-Uzman_D!$J$14),AY41-Uzman_D!$J$14)*0.1)+IF(ROUND((IF(BA41-Uzman_D!$L$14&lt;0,-(BA41-Uzman_D!$L$14),BA41-Uzman_D!$L$14)*2),0)/2=IF(BA41-Uzman_D!$L$14&lt;0,-(BA41-Uzman_D!$L$14),BA41-Uzman_D!$L$14),(ROUND((IF(BA41-Uzman_D!$L$14&lt;0,-(BA41-Uzman_D!$L$14),BA41-Uzman_D!$L$14)*2),0)/1*0.1),0)+IF(BB41-Uzman_D!$M$14&lt;0,-(BB41-Uzman_D!$M$14),BB41-Uzman_D!$M$14)*1)</f>
        <v>0.5</v>
      </c>
      <c r="BD41" s="56">
        <v>1</v>
      </c>
      <c r="BE41" s="56"/>
      <c r="BF41" s="56">
        <v>3</v>
      </c>
      <c r="BG41" s="56">
        <v>2</v>
      </c>
      <c r="BH41" s="56">
        <v>2</v>
      </c>
      <c r="BI41" s="56"/>
      <c r="BJ41" s="56"/>
      <c r="BK41" s="56"/>
      <c r="BL41" s="56"/>
      <c r="BM41" s="56"/>
      <c r="BN41" s="70">
        <v>2</v>
      </c>
      <c r="BO41" s="70">
        <v>0.5</v>
      </c>
      <c r="BP41" s="71">
        <f>1-(SUM(IF(BD41-Uzman_D!$B$15&lt;0,-(BD41-Uzman_D!$B$15),BD41-Uzman_D!$B$15)*0.1+IF(BE41-Uzman_D!$C$15&lt;0,-(BE41-Uzman_D!$C$15),BE41-Uzman_D!$C$15)*0.1+IF(BF41-Uzman_D!$D$15&lt;0,-(BF41-Uzman_D!$D$15),BF41-Uzman_D!$D$15)*0.1+IF(BG41-Uzman_D!$E$15&lt;0,-(BG41-Uzman_D!$E$15),BG41-Uzman_D!$E$15)*0.1+IF(BH41-Uzman_D!$F$15&lt;0,-(BH41-Uzman_D!$F$15),BH41-Uzman_D!$F$15)*0.1+IF(BI41-Uzman_D!$G$15&lt;0,-(BI41-Uzman_D!$G$15),BI41-Uzman_D!$G$15)*0.1+IF(BJ41-Uzman_D!$H$15&lt;0,-(BJ41-Uzman_D!$H$15),BJ41-Uzman_D!$H$15)*0.1+IF(BK41-Uzman_D!$I$15&lt;0,-(BK41-Uzman_D!$I$15),BK41-Uzman_D!$I$15)*0.1+IF(BL41-Uzman_D!$J$15&lt;0,-(BL41-Uzman_D!$J$15),BL41-Uzman_D!$J$15)*0.1)+IF(ROUND((IF(BN41-Uzman_D!$L$15&lt;0,-(BN41-Uzman_D!$L$15),BN41-Uzman_D!$L$15)*2),0)/2=IF(BN41-Uzman_D!$L$15&lt;0,-(BN41-Uzman_D!$L$15),BN41-Uzman_D!$L$15),(ROUND((IF(BN41-Uzman_D!$L$15&lt;0,-(BN41-Uzman_D!$L$15),BN41-Uzman_D!$L$15)*2),0)/1*0.1),0)+IF(BO41-Uzman_D!$M$15&lt;0,-(BO41-Uzman_D!$M$15),BO41-Uzman_D!$M$15)*1)</f>
        <v>0.39999999999999991</v>
      </c>
      <c r="BQ41" s="72">
        <f t="shared" si="1"/>
        <v>0.25999999999999995</v>
      </c>
    </row>
    <row r="42" spans="1:69" ht="15" customHeight="1" x14ac:dyDescent="0.45">
      <c r="A42" s="54">
        <v>39</v>
      </c>
      <c r="B42" s="163" t="str">
        <f>Hakemler!B42</f>
        <v>ODACIĞLU TURHAN</v>
      </c>
      <c r="C42" s="163" t="str">
        <f>Hakemler!C42</f>
        <v xml:space="preserve">AYŞEGÜL </v>
      </c>
      <c r="D42" s="56"/>
      <c r="E42" s="56"/>
      <c r="F42" s="56">
        <v>1</v>
      </c>
      <c r="G42" s="56">
        <v>5</v>
      </c>
      <c r="H42" s="56">
        <v>2</v>
      </c>
      <c r="I42" s="56"/>
      <c r="J42" s="56"/>
      <c r="K42" s="56"/>
      <c r="L42" s="56"/>
      <c r="M42" s="56"/>
      <c r="N42" s="70">
        <v>2</v>
      </c>
      <c r="O42" s="70">
        <v>0.1</v>
      </c>
      <c r="P42" s="71">
        <f>1-(SUM(IF(D42-Uzman_D!$B$11&lt;0,-(D42-Uzman_D!$B$11),D42-Uzman_D!$B$11)*0.1+IF(E42-Uzman_D!$C$11&lt;0,-(E42-Uzman_D!$C$11),E42-Uzman_D!$C$11)*0.1+IF(F42-Uzman_D!$D$11&lt;0,-(F42-Uzman_D!$D$11),F42-Uzman_D!$D$11)*0.1+IF(G42-Uzman_D!$E$11&lt;0,-(G42-Uzman_D!$E$11),G42-Uzman_D!$E$11)*0.1+IF(H42-Uzman_D!$F$11&lt;0,-(H42-Uzman_D!$F$11),H42-Uzman_D!$F$11)*0.1+IF(I42-Uzman_D!$G$11&lt;0,-(I42-Uzman_D!$G$11),I42-Uzman_D!$G$11)*0.1+IF(J42-Uzman_D!$H$11&lt;0,-(J42-Uzman_D!$H$11),J42-Uzman_D!$H$11)*0.1+IF(K42-Uzman_D!$I$11&lt;0,-(K42-Uzman_D!$I$11),K42-Uzman_D!$I$11)*0.1+IF(L42-Uzman_D!$J$11&lt;0,-(L42-Uzman_D!$J$11),L42-Uzman_D!$J$11)*0.1)+IF(ROUND((IF(N42-Uzman_D!$L$11&lt;0,-(N42-Uzman_D!$L$11),N42-Uzman_D!$L$11)*2),0)/2=IF(N42-Uzman_D!$L$11&lt;0,-(N42-Uzman_D!$L$11),N42-Uzman_D!$L$11),(ROUND((IF(N42-Uzman_D!$L$11&lt;0,-(N42-Uzman_D!$L$11),N42-Uzman_D!$L$11)*2),0)/1*0.1),0)+IF(O42-Uzman_D!$M$11&lt;0,-(O42-Uzman_D!$M$11),O42-Uzman_D!$M$11)*1)</f>
        <v>0.19999999999999996</v>
      </c>
      <c r="Q42" s="56"/>
      <c r="R42" s="56"/>
      <c r="S42" s="56"/>
      <c r="T42" s="56">
        <v>4</v>
      </c>
      <c r="U42" s="56">
        <v>3</v>
      </c>
      <c r="V42" s="56">
        <v>1</v>
      </c>
      <c r="W42" s="56"/>
      <c r="X42" s="56"/>
      <c r="Y42" s="56"/>
      <c r="Z42" s="56"/>
      <c r="AA42" s="70">
        <v>2</v>
      </c>
      <c r="AB42" s="70">
        <v>0.3</v>
      </c>
      <c r="AC42" s="71">
        <f>1-(SUM(IF(Q42-Uzman_D!$B$12&lt;0,-(Q42-Uzman_D!$B$12),Q42-Uzman_D!$B$12)*0.1+IF(R42-Uzman_D!$C$12&lt;0,-(R42-Uzman_D!$C$12),R42-Uzman_D!$C$12)*0.1+IF(S42-Uzman_D!$D$12&lt;0,-(S42-Uzman_D!$D$12),S42-Uzman_D!$D$12)*0.1+IF(T42-Uzman_D!$E$12&lt;0,-(T42-Uzman_D!$E$12),T42-Uzman_D!$E$12)*0.1+IF(U42-Uzman_D!$F$12&lt;0,-(U42-Uzman_D!$F$12),U42-Uzman_D!$F$12)*0.1+IF(V42-Uzman_D!$G$12&lt;0,-(V42-Uzman_D!$G$12),V42-Uzman_D!$G$12)*0.1+IF(W42-Uzman_D!$H$12&lt;0,-(W42-Uzman_D!$H$12),W42-Uzman_D!$H$12)*0.1+IF(X42-Uzman_D!$I$12&lt;0,-(X42-Uzman_D!$I$12),X42-Uzman_D!$I$12)*0.1+IF(Y42-Uzman_D!$J$12&lt;0,-(Y42-Uzman_D!$J$12),Y42-Uzman_D!$J$12)*0.1)+IF(ROUND((IF(AA42-Uzman_D!$L$12&lt;0,-(AA42-Uzman_D!$L$12),AA42-Uzman_D!$L$12)*2),0)/2=IF(AA42-Uzman_D!$L$12&lt;0,-(AA42-Uzman_D!$L$12),AA42-Uzman_D!$L$12),(ROUND((IF(AA42-Uzman_D!$L$12&lt;0,-(AA42-Uzman_D!$L$12),AA42-Uzman_D!$L$12)*2),0)/1*0.1),0)+IF(AB42-Uzman_D!$M$12&lt;0,-(AB42-Uzman_D!$M$12),AB42-Uzman_D!$M$12)*1)</f>
        <v>0.6</v>
      </c>
      <c r="AD42" s="56"/>
      <c r="AE42" s="56">
        <v>1</v>
      </c>
      <c r="AF42" s="56">
        <v>4</v>
      </c>
      <c r="AG42" s="56">
        <v>3</v>
      </c>
      <c r="AH42" s="56"/>
      <c r="AI42" s="56"/>
      <c r="AJ42" s="56"/>
      <c r="AK42" s="56"/>
      <c r="AL42" s="56"/>
      <c r="AM42" s="56"/>
      <c r="AN42" s="70">
        <v>2</v>
      </c>
      <c r="AO42" s="70">
        <v>0.2</v>
      </c>
      <c r="AP42" s="71">
        <f>1-(SUM(IF(AD42-Uzman_D!$B$13&lt;0,-(AD42-Uzman_D!$B$13),AD42-Uzman_D!$B$13)*0.1+IF(AE42-Uzman_D!$C$13&lt;0,-(AE42-Uzman_D!$C$13),AE42-Uzman_D!$C$13)*0.1+IF(AF42-Uzman_D!$D$13&lt;0,-(AF42-Uzman_D!$D$13),AF42-Uzman_D!$D$13)*0.1+IF(AG42-Uzman_D!$E$13&lt;0,-(AG42-Uzman_D!$E$13),AG42-Uzman_D!$E$13)*0.1+IF(AH42-Uzman_D!$F$13&lt;0,-(AH42-Uzman_D!$F$13),AH42-Uzman_D!$F$13)*0.1+IF(AI42-Uzman_D!$G$13&lt;0,-(AI42-Uzman_D!$G$13),AI42-Uzman_D!$G$13)*0.1+IF(AJ42-Uzman_D!$H$13&lt;0,-(AJ42-Uzman_D!$H$13),AJ42-Uzman_D!$H$13)*0.1+IF(AK42-Uzman_D!$I$13&lt;0,-(AK42-Uzman_D!$I$13),AK42-Uzman_D!$I$13)*0.1+IF(AL42-Uzman_D!$J$13&lt;0,-(AL42-Uzman_D!$J$13),AL42-Uzman_D!$J$13)*0.1)+IF(ROUND((IF(AN42-Uzman_D!$L$13&lt;0,-(AN42-Uzman_D!$L$13),AN42-Uzman_D!$L$13)*2),0)/2=IF(AN42-Uzman_D!$L$13&lt;0,-(AN42-Uzman_D!$L$13),AN42-Uzman_D!$L$13),(ROUND((IF(AN42-Uzman_D!$L$13&lt;0,-(AN42-Uzman_D!$L$13),AN42-Uzman_D!$L$13)*2),0)/1*0.1),0)+IF(AO42-Uzman_D!$M$13&lt;0,-(AO42-Uzman_D!$M$13),AO42-Uzman_D!$M$13)*1)</f>
        <v>0.5</v>
      </c>
      <c r="AQ42" s="56"/>
      <c r="AR42" s="56">
        <v>2</v>
      </c>
      <c r="AS42" s="56">
        <v>3</v>
      </c>
      <c r="AT42" s="56">
        <v>3</v>
      </c>
      <c r="AU42" s="56"/>
      <c r="AV42" s="56"/>
      <c r="AW42" s="56"/>
      <c r="AX42" s="56"/>
      <c r="AY42" s="56"/>
      <c r="AZ42" s="56"/>
      <c r="BA42" s="70">
        <v>1.5</v>
      </c>
      <c r="BB42" s="70">
        <v>0.1</v>
      </c>
      <c r="BC42" s="71">
        <f>1-(SUM(IF(AQ42-Uzman_D!$B$14&lt;0,-(AQ42-Uzman_D!$B$14),AQ42-Uzman_D!$B$14)*0.1+IF(AR42-Uzman_D!$C$14&lt;0,-(AR42-Uzman_D!$C$14),AR42-Uzman_D!$C$14)*0.1+IF(AS42-Uzman_D!$D$14&lt;0,-(AS42-Uzman_D!$D$14),AS42-Uzman_D!$D$14)*0.1+IF(AT42-Uzman_D!$E$14&lt;0,-(AT42-Uzman_D!$E$14),AT42-Uzman_D!$E$14)*0.1+IF(AU42-Uzman_D!$F$14&lt;0,-(AU42-Uzman_D!$F$14),AU42-Uzman_D!$F$14)*0.1+IF(AV42-Uzman_D!$G$14&lt;0,-(AV42-Uzman_D!$G$14),AV42-Uzman_D!$G$14)*0.1+IF(AW42-Uzman_D!$H$14&lt;0,-(AW42-Uzman_D!$H$14),AW42-Uzman_D!$H$14)*0.1+IF(AX42-Uzman_D!$I$14&lt;0,-(AX42-Uzman_D!$I$14),AX42-Uzman_D!$I$14)*0.1+IF(AY42-Uzman_D!$J$14&lt;0,-(AY42-Uzman_D!$J$14),AY42-Uzman_D!$J$14)*0.1)+IF(ROUND((IF(BA42-Uzman_D!$L$14&lt;0,-(BA42-Uzman_D!$L$14),BA42-Uzman_D!$L$14)*2),0)/2=IF(BA42-Uzman_D!$L$14&lt;0,-(BA42-Uzman_D!$L$14),BA42-Uzman_D!$L$14),(ROUND((IF(BA42-Uzman_D!$L$14&lt;0,-(BA42-Uzman_D!$L$14),BA42-Uzman_D!$L$14)*2),0)/1*0.1),0)+IF(BB42-Uzman_D!$M$14&lt;0,-(BB42-Uzman_D!$M$14),BB42-Uzman_D!$M$14)*1)</f>
        <v>0.7</v>
      </c>
      <c r="BD42" s="56"/>
      <c r="BE42" s="56">
        <v>1</v>
      </c>
      <c r="BF42" s="56">
        <v>1</v>
      </c>
      <c r="BG42" s="56">
        <v>3</v>
      </c>
      <c r="BH42" s="56">
        <v>2</v>
      </c>
      <c r="BI42" s="56"/>
      <c r="BJ42" s="56"/>
      <c r="BK42" s="56"/>
      <c r="BL42" s="56"/>
      <c r="BM42" s="56"/>
      <c r="BN42" s="70">
        <v>2</v>
      </c>
      <c r="BO42" s="70">
        <v>0.1</v>
      </c>
      <c r="BP42" s="71">
        <f>1-(SUM(IF(BD42-Uzman_D!$B$15&lt;0,-(BD42-Uzman_D!$B$15),BD42-Uzman_D!$B$15)*0.1+IF(BE42-Uzman_D!$C$15&lt;0,-(BE42-Uzman_D!$C$15),BE42-Uzman_D!$C$15)*0.1+IF(BF42-Uzman_D!$D$15&lt;0,-(BF42-Uzman_D!$D$15),BF42-Uzman_D!$D$15)*0.1+IF(BG42-Uzman_D!$E$15&lt;0,-(BG42-Uzman_D!$E$15),BG42-Uzman_D!$E$15)*0.1+IF(BH42-Uzman_D!$F$15&lt;0,-(BH42-Uzman_D!$F$15),BH42-Uzman_D!$F$15)*0.1+IF(BI42-Uzman_D!$G$15&lt;0,-(BI42-Uzman_D!$G$15),BI42-Uzman_D!$G$15)*0.1+IF(BJ42-Uzman_D!$H$15&lt;0,-(BJ42-Uzman_D!$H$15),BJ42-Uzman_D!$H$15)*0.1+IF(BK42-Uzman_D!$I$15&lt;0,-(BK42-Uzman_D!$I$15),BK42-Uzman_D!$I$15)*0.1+IF(BL42-Uzman_D!$J$15&lt;0,-(BL42-Uzman_D!$J$15),BL42-Uzman_D!$J$15)*0.1)+IF(ROUND((IF(BN42-Uzman_D!$L$15&lt;0,-(BN42-Uzman_D!$L$15),BN42-Uzman_D!$L$15)*2),0)/2=IF(BN42-Uzman_D!$L$15&lt;0,-(BN42-Uzman_D!$L$15),BN42-Uzman_D!$L$15),(ROUND((IF(BN42-Uzman_D!$L$15&lt;0,-(BN42-Uzman_D!$L$15),BN42-Uzman_D!$L$15)*2),0)/1*0.1),0)+IF(BO42-Uzman_D!$M$15&lt;0,-(BO42-Uzman_D!$M$15),BO42-Uzman_D!$M$15)*1)</f>
        <v>0.5</v>
      </c>
      <c r="BQ42" s="72">
        <f t="shared" si="1"/>
        <v>0.5</v>
      </c>
    </row>
    <row r="43" spans="1:69" ht="15" customHeight="1" x14ac:dyDescent="0.45">
      <c r="A43" s="54">
        <v>40</v>
      </c>
      <c r="B43" s="162" t="str">
        <f>Hakemler!B43</f>
        <v>CANATAN</v>
      </c>
      <c r="C43" s="162" t="str">
        <f>Hakemler!C43</f>
        <v>BÜŞRA</v>
      </c>
      <c r="D43" s="56"/>
      <c r="E43" s="56">
        <v>2</v>
      </c>
      <c r="F43" s="56"/>
      <c r="G43" s="56">
        <v>5</v>
      </c>
      <c r="H43" s="56"/>
      <c r="I43" s="56"/>
      <c r="J43" s="56"/>
      <c r="K43" s="56"/>
      <c r="L43" s="56"/>
      <c r="M43" s="56"/>
      <c r="N43" s="70">
        <v>2</v>
      </c>
      <c r="O43" s="70">
        <v>0</v>
      </c>
      <c r="P43" s="71">
        <f>1-(SUM(IF(D43-Uzman_D!$B$11&lt;0,-(D43-Uzman_D!$B$11),D43-Uzman_D!$B$11)*0.1+IF(E43-Uzman_D!$C$11&lt;0,-(E43-Uzman_D!$C$11),E43-Uzman_D!$C$11)*0.1+IF(F43-Uzman_D!$D$11&lt;0,-(F43-Uzman_D!$D$11),F43-Uzman_D!$D$11)*0.1+IF(G43-Uzman_D!$E$11&lt;0,-(G43-Uzman_D!$E$11),G43-Uzman_D!$E$11)*0.1+IF(H43-Uzman_D!$F$11&lt;0,-(H43-Uzman_D!$F$11),H43-Uzman_D!$F$11)*0.1+IF(I43-Uzman_D!$G$11&lt;0,-(I43-Uzman_D!$G$11),I43-Uzman_D!$G$11)*0.1+IF(J43-Uzman_D!$H$11&lt;0,-(J43-Uzman_D!$H$11),J43-Uzman_D!$H$11)*0.1+IF(K43-Uzman_D!$I$11&lt;0,-(K43-Uzman_D!$I$11),K43-Uzman_D!$I$11)*0.1+IF(L43-Uzman_D!$J$11&lt;0,-(L43-Uzman_D!$J$11),L43-Uzman_D!$J$11)*0.1)+IF(ROUND((IF(N43-Uzman_D!$L$11&lt;0,-(N43-Uzman_D!$L$11),N43-Uzman_D!$L$11)*2),0)/2=IF(N43-Uzman_D!$L$11&lt;0,-(N43-Uzman_D!$L$11),N43-Uzman_D!$L$11),(ROUND((IF(N43-Uzman_D!$L$11&lt;0,-(N43-Uzman_D!$L$11),N43-Uzman_D!$L$11)*2),0)/1*0.1),0)+IF(O43-Uzman_D!$M$11&lt;0,-(O43-Uzman_D!$M$11),O43-Uzman_D!$M$11)*1)</f>
        <v>-0.19999999999999996</v>
      </c>
      <c r="Q43" s="56"/>
      <c r="R43" s="56"/>
      <c r="S43" s="56">
        <v>1</v>
      </c>
      <c r="T43" s="56">
        <v>5</v>
      </c>
      <c r="U43" s="56">
        <v>1</v>
      </c>
      <c r="V43" s="56">
        <v>1</v>
      </c>
      <c r="W43" s="56"/>
      <c r="X43" s="56"/>
      <c r="Y43" s="56"/>
      <c r="Z43" s="56"/>
      <c r="AA43" s="70">
        <v>2</v>
      </c>
      <c r="AB43" s="70">
        <v>0.2</v>
      </c>
      <c r="AC43" s="71">
        <f>1-(SUM(IF(Q43-Uzman_D!$B$12&lt;0,-(Q43-Uzman_D!$B$12),Q43-Uzman_D!$B$12)*0.1+IF(R43-Uzman_D!$C$12&lt;0,-(R43-Uzman_D!$C$12),R43-Uzman_D!$C$12)*0.1+IF(S43-Uzman_D!$D$12&lt;0,-(S43-Uzman_D!$D$12),S43-Uzman_D!$D$12)*0.1+IF(T43-Uzman_D!$E$12&lt;0,-(T43-Uzman_D!$E$12),T43-Uzman_D!$E$12)*0.1+IF(U43-Uzman_D!$F$12&lt;0,-(U43-Uzman_D!$F$12),U43-Uzman_D!$F$12)*0.1+IF(V43-Uzman_D!$G$12&lt;0,-(V43-Uzman_D!$G$12),V43-Uzman_D!$G$12)*0.1+IF(W43-Uzman_D!$H$12&lt;0,-(W43-Uzman_D!$H$12),W43-Uzman_D!$H$12)*0.1+IF(X43-Uzman_D!$I$12&lt;0,-(X43-Uzman_D!$I$12),X43-Uzman_D!$I$12)*0.1+IF(Y43-Uzman_D!$J$12&lt;0,-(Y43-Uzman_D!$J$12),Y43-Uzman_D!$J$12)*0.1)+IF(ROUND((IF(AA43-Uzman_D!$L$12&lt;0,-(AA43-Uzman_D!$L$12),AA43-Uzman_D!$L$12)*2),0)/2=IF(AA43-Uzman_D!$L$12&lt;0,-(AA43-Uzman_D!$L$12),AA43-Uzman_D!$L$12),(ROUND((IF(AA43-Uzman_D!$L$12&lt;0,-(AA43-Uzman_D!$L$12),AA43-Uzman_D!$L$12)*2),0)/1*0.1),0)+IF(AB43-Uzman_D!$M$12&lt;0,-(AB43-Uzman_D!$M$12),AB43-Uzman_D!$M$12)*1)</f>
        <v>0.5</v>
      </c>
      <c r="AD43" s="56"/>
      <c r="AE43" s="56">
        <v>1</v>
      </c>
      <c r="AF43" s="56">
        <v>3</v>
      </c>
      <c r="AG43" s="56">
        <v>3</v>
      </c>
      <c r="AH43" s="56">
        <v>1</v>
      </c>
      <c r="AI43" s="56"/>
      <c r="AJ43" s="56"/>
      <c r="AK43" s="56"/>
      <c r="AL43" s="56"/>
      <c r="AM43" s="56"/>
      <c r="AN43" s="70">
        <v>2</v>
      </c>
      <c r="AO43" s="70">
        <v>0</v>
      </c>
      <c r="AP43" s="71">
        <f>1-(SUM(IF(AD43-Uzman_D!$B$13&lt;0,-(AD43-Uzman_D!$B$13),AD43-Uzman_D!$B$13)*0.1+IF(AE43-Uzman_D!$C$13&lt;0,-(AE43-Uzman_D!$C$13),AE43-Uzman_D!$C$13)*0.1+IF(AF43-Uzman_D!$D$13&lt;0,-(AF43-Uzman_D!$D$13),AF43-Uzman_D!$D$13)*0.1+IF(AG43-Uzman_D!$E$13&lt;0,-(AG43-Uzman_D!$E$13),AG43-Uzman_D!$E$13)*0.1+IF(AH43-Uzman_D!$F$13&lt;0,-(AH43-Uzman_D!$F$13),AH43-Uzman_D!$F$13)*0.1+IF(AI43-Uzman_D!$G$13&lt;0,-(AI43-Uzman_D!$G$13),AI43-Uzman_D!$G$13)*0.1+IF(AJ43-Uzman_D!$H$13&lt;0,-(AJ43-Uzman_D!$H$13),AJ43-Uzman_D!$H$13)*0.1+IF(AK43-Uzman_D!$I$13&lt;0,-(AK43-Uzman_D!$I$13),AK43-Uzman_D!$I$13)*0.1+IF(AL43-Uzman_D!$J$13&lt;0,-(AL43-Uzman_D!$J$13),AL43-Uzman_D!$J$13)*0.1)+IF(ROUND((IF(AN43-Uzman_D!$L$13&lt;0,-(AN43-Uzman_D!$L$13),AN43-Uzman_D!$L$13)*2),0)/2=IF(AN43-Uzman_D!$L$13&lt;0,-(AN43-Uzman_D!$L$13),AN43-Uzman_D!$L$13),(ROUND((IF(AN43-Uzman_D!$L$13&lt;0,-(AN43-Uzman_D!$L$13),AN43-Uzman_D!$L$13)*2),0)/1*0.1),0)+IF(AO43-Uzman_D!$M$13&lt;0,-(AO43-Uzman_D!$M$13),AO43-Uzman_D!$M$13)*1)</f>
        <v>0.5</v>
      </c>
      <c r="AQ43" s="56"/>
      <c r="AR43" s="56">
        <v>4</v>
      </c>
      <c r="AS43" s="56">
        <v>2</v>
      </c>
      <c r="AT43" s="56">
        <v>2</v>
      </c>
      <c r="AU43" s="56"/>
      <c r="AV43" s="56"/>
      <c r="AW43" s="56"/>
      <c r="AX43" s="56"/>
      <c r="AY43" s="56"/>
      <c r="AZ43" s="56"/>
      <c r="BA43" s="70">
        <v>2</v>
      </c>
      <c r="BB43" s="70">
        <v>0.1</v>
      </c>
      <c r="BC43" s="71">
        <f>1-(SUM(IF(AQ43-Uzman_D!$B$14&lt;0,-(AQ43-Uzman_D!$B$14),AQ43-Uzman_D!$B$14)*0.1+IF(AR43-Uzman_D!$C$14&lt;0,-(AR43-Uzman_D!$C$14),AR43-Uzman_D!$C$14)*0.1+IF(AS43-Uzman_D!$D$14&lt;0,-(AS43-Uzman_D!$D$14),AS43-Uzman_D!$D$14)*0.1+IF(AT43-Uzman_D!$E$14&lt;0,-(AT43-Uzman_D!$E$14),AT43-Uzman_D!$E$14)*0.1+IF(AU43-Uzman_D!$F$14&lt;0,-(AU43-Uzman_D!$F$14),AU43-Uzman_D!$F$14)*0.1+IF(AV43-Uzman_D!$G$14&lt;0,-(AV43-Uzman_D!$G$14),AV43-Uzman_D!$G$14)*0.1+IF(AW43-Uzman_D!$H$14&lt;0,-(AW43-Uzman_D!$H$14),AW43-Uzman_D!$H$14)*0.1+IF(AX43-Uzman_D!$I$14&lt;0,-(AX43-Uzman_D!$I$14),AX43-Uzman_D!$I$14)*0.1+IF(AY43-Uzman_D!$J$14&lt;0,-(AY43-Uzman_D!$J$14),AY43-Uzman_D!$J$14)*0.1)+IF(ROUND((IF(BA43-Uzman_D!$L$14&lt;0,-(BA43-Uzman_D!$L$14),BA43-Uzman_D!$L$14)*2),0)/2=IF(BA43-Uzman_D!$L$14&lt;0,-(BA43-Uzman_D!$L$14),BA43-Uzman_D!$L$14),(ROUND((IF(BA43-Uzman_D!$L$14&lt;0,-(BA43-Uzman_D!$L$14),BA43-Uzman_D!$L$14)*2),0)/1*0.1),0)+IF(BB43-Uzman_D!$M$14&lt;0,-(BB43-Uzman_D!$M$14),BB43-Uzman_D!$M$14)*1)</f>
        <v>0.8</v>
      </c>
      <c r="BD43" s="56"/>
      <c r="BE43" s="56">
        <v>1</v>
      </c>
      <c r="BF43" s="56">
        <v>3</v>
      </c>
      <c r="BG43" s="56">
        <v>2</v>
      </c>
      <c r="BH43" s="56">
        <v>2</v>
      </c>
      <c r="BI43" s="56"/>
      <c r="BJ43" s="56"/>
      <c r="BK43" s="56"/>
      <c r="BL43" s="56"/>
      <c r="BM43" s="56"/>
      <c r="BN43" s="70">
        <v>2</v>
      </c>
      <c r="BO43" s="70">
        <v>0.2</v>
      </c>
      <c r="BP43" s="71">
        <f>1-(SUM(IF(BD43-Uzman_D!$B$15&lt;0,-(BD43-Uzman_D!$B$15),BD43-Uzman_D!$B$15)*0.1+IF(BE43-Uzman_D!$C$15&lt;0,-(BE43-Uzman_D!$C$15),BE43-Uzman_D!$C$15)*0.1+IF(BF43-Uzman_D!$D$15&lt;0,-(BF43-Uzman_D!$D$15),BF43-Uzman_D!$D$15)*0.1+IF(BG43-Uzman_D!$E$15&lt;0,-(BG43-Uzman_D!$E$15),BG43-Uzman_D!$E$15)*0.1+IF(BH43-Uzman_D!$F$15&lt;0,-(BH43-Uzman_D!$F$15),BH43-Uzman_D!$F$15)*0.1+IF(BI43-Uzman_D!$G$15&lt;0,-(BI43-Uzman_D!$G$15),BI43-Uzman_D!$G$15)*0.1+IF(BJ43-Uzman_D!$H$15&lt;0,-(BJ43-Uzman_D!$H$15),BJ43-Uzman_D!$H$15)*0.1+IF(BK43-Uzman_D!$I$15&lt;0,-(BK43-Uzman_D!$I$15),BK43-Uzman_D!$I$15)*0.1+IF(BL43-Uzman_D!$J$15&lt;0,-(BL43-Uzman_D!$J$15),BL43-Uzman_D!$J$15)*0.1)+IF(ROUND((IF(BN43-Uzman_D!$L$15&lt;0,-(BN43-Uzman_D!$L$15),BN43-Uzman_D!$L$15)*2),0)/2=IF(BN43-Uzman_D!$L$15&lt;0,-(BN43-Uzman_D!$L$15),BN43-Uzman_D!$L$15),(ROUND((IF(BN43-Uzman_D!$L$15&lt;0,-(BN43-Uzman_D!$L$15),BN43-Uzman_D!$L$15)*2),0)/1*0.1),0)+IF(BO43-Uzman_D!$M$15&lt;0,-(BO43-Uzman_D!$M$15),BO43-Uzman_D!$M$15)*1)</f>
        <v>0.7</v>
      </c>
      <c r="BQ43" s="72">
        <f t="shared" si="1"/>
        <v>0.45999999999999996</v>
      </c>
    </row>
    <row r="44" spans="1:69" ht="15" customHeight="1" x14ac:dyDescent="0.45">
      <c r="A44" s="54">
        <v>41</v>
      </c>
      <c r="B44" s="163" t="str">
        <f>Hakemler!B44</f>
        <v>ELİK</v>
      </c>
      <c r="C44" s="163" t="str">
        <f>Hakemler!C44</f>
        <v>MUSTAFA</v>
      </c>
      <c r="D44" s="56"/>
      <c r="E44" s="56">
        <v>4</v>
      </c>
      <c r="F44" s="56">
        <v>0</v>
      </c>
      <c r="G44" s="56"/>
      <c r="H44" s="56">
        <v>0</v>
      </c>
      <c r="I44" s="56">
        <v>8</v>
      </c>
      <c r="J44" s="56"/>
      <c r="K44" s="56"/>
      <c r="L44" s="56"/>
      <c r="M44" s="56"/>
      <c r="N44" s="70">
        <v>1</v>
      </c>
      <c r="O44" s="70">
        <v>0.5</v>
      </c>
      <c r="P44" s="71">
        <f>1-(SUM(IF(D44-Uzman_D!$B$11&lt;0,-(D44-Uzman_D!$B$11),D44-Uzman_D!$B$11)*0.1+IF(E44-Uzman_D!$C$11&lt;0,-(E44-Uzman_D!$C$11),E44-Uzman_D!$C$11)*0.1+IF(F44-Uzman_D!$D$11&lt;0,-(F44-Uzman_D!$D$11),F44-Uzman_D!$D$11)*0.1+IF(G44-Uzman_D!$E$11&lt;0,-(G44-Uzman_D!$E$11),G44-Uzman_D!$E$11)*0.1+IF(H44-Uzman_D!$F$11&lt;0,-(H44-Uzman_D!$F$11),H44-Uzman_D!$F$11)*0.1+IF(I44-Uzman_D!$G$11&lt;0,-(I44-Uzman_D!$G$11),I44-Uzman_D!$G$11)*0.1+IF(J44-Uzman_D!$H$11&lt;0,-(J44-Uzman_D!$H$11),J44-Uzman_D!$H$11)*0.1+IF(K44-Uzman_D!$I$11&lt;0,-(K44-Uzman_D!$I$11),K44-Uzman_D!$I$11)*0.1+IF(L44-Uzman_D!$J$11&lt;0,-(L44-Uzman_D!$J$11),L44-Uzman_D!$J$11)*0.1)+IF(ROUND((IF(N44-Uzman_D!$L$11&lt;0,-(N44-Uzman_D!$L$11),N44-Uzman_D!$L$11)*2),0)/2=IF(N44-Uzman_D!$L$11&lt;0,-(N44-Uzman_D!$L$11),N44-Uzman_D!$L$11),(ROUND((IF(N44-Uzman_D!$L$11&lt;0,-(N44-Uzman_D!$L$11),N44-Uzman_D!$L$11)*2),0)/1*0.1),0)+IF(O44-Uzman_D!$M$11&lt;0,-(O44-Uzman_D!$M$11),O44-Uzman_D!$M$11)*1)</f>
        <v>-1.4000000000000004</v>
      </c>
      <c r="Q44" s="56"/>
      <c r="R44" s="56"/>
      <c r="S44" s="56">
        <v>5</v>
      </c>
      <c r="T44" s="56">
        <v>0</v>
      </c>
      <c r="U44" s="56">
        <v>0</v>
      </c>
      <c r="V44" s="56">
        <v>8</v>
      </c>
      <c r="W44" s="56"/>
      <c r="X44" s="56"/>
      <c r="Y44" s="56"/>
      <c r="Z44" s="56"/>
      <c r="AA44" s="70">
        <v>0.5</v>
      </c>
      <c r="AB44" s="70">
        <v>0.5</v>
      </c>
      <c r="AC44" s="71">
        <f>1-(SUM(IF(Q44-Uzman_D!$B$12&lt;0,-(Q44-Uzman_D!$B$12),Q44-Uzman_D!$B$12)*0.1+IF(R44-Uzman_D!$C$12&lt;0,-(R44-Uzman_D!$C$12),R44-Uzman_D!$C$12)*0.1+IF(S44-Uzman_D!$D$12&lt;0,-(S44-Uzman_D!$D$12),S44-Uzman_D!$D$12)*0.1+IF(T44-Uzman_D!$E$12&lt;0,-(T44-Uzman_D!$E$12),T44-Uzman_D!$E$12)*0.1+IF(U44-Uzman_D!$F$12&lt;0,-(U44-Uzman_D!$F$12),U44-Uzman_D!$F$12)*0.1+IF(V44-Uzman_D!$G$12&lt;0,-(V44-Uzman_D!$G$12),V44-Uzman_D!$G$12)*0.1+IF(W44-Uzman_D!$H$12&lt;0,-(W44-Uzman_D!$H$12),W44-Uzman_D!$H$12)*0.1+IF(X44-Uzman_D!$I$12&lt;0,-(X44-Uzman_D!$I$12),X44-Uzman_D!$I$12)*0.1+IF(Y44-Uzman_D!$J$12&lt;0,-(Y44-Uzman_D!$J$12),Y44-Uzman_D!$J$12)*0.1)+IF(ROUND((IF(AA44-Uzman_D!$L$12&lt;0,-(AA44-Uzman_D!$L$12),AA44-Uzman_D!$L$12)*2),0)/2=IF(AA44-Uzman_D!$L$12&lt;0,-(AA44-Uzman_D!$L$12),AA44-Uzman_D!$L$12),(ROUND((IF(AA44-Uzman_D!$L$12&lt;0,-(AA44-Uzman_D!$L$12),AA44-Uzman_D!$L$12)*2),0)/1*0.1),0)+IF(AB44-Uzman_D!$M$12&lt;0,-(AB44-Uzman_D!$M$12),AB44-Uzman_D!$M$12)*1)</f>
        <v>-1</v>
      </c>
      <c r="AD44" s="56"/>
      <c r="AE44" s="56"/>
      <c r="AF44" s="56">
        <v>0</v>
      </c>
      <c r="AG44" s="56">
        <v>0</v>
      </c>
      <c r="AH44" s="56">
        <v>0</v>
      </c>
      <c r="AI44" s="56"/>
      <c r="AJ44" s="56"/>
      <c r="AK44" s="56"/>
      <c r="AL44" s="56"/>
      <c r="AM44" s="56"/>
      <c r="AN44" s="70">
        <v>0</v>
      </c>
      <c r="AO44" s="70">
        <v>0</v>
      </c>
      <c r="AP44" s="71">
        <f>1-(SUM(IF(AD44-Uzman_D!$B$13&lt;0,-(AD44-Uzman_D!$B$13),AD44-Uzman_D!$B$13)*0.1+IF(AE44-Uzman_D!$C$13&lt;0,-(AE44-Uzman_D!$C$13),AE44-Uzman_D!$C$13)*0.1+IF(AF44-Uzman_D!$D$13&lt;0,-(AF44-Uzman_D!$D$13),AF44-Uzman_D!$D$13)*0.1+IF(AG44-Uzman_D!$E$13&lt;0,-(AG44-Uzman_D!$E$13),AG44-Uzman_D!$E$13)*0.1+IF(AH44-Uzman_D!$F$13&lt;0,-(AH44-Uzman_D!$F$13),AH44-Uzman_D!$F$13)*0.1+IF(AI44-Uzman_D!$G$13&lt;0,-(AI44-Uzman_D!$G$13),AI44-Uzman_D!$G$13)*0.1+IF(AJ44-Uzman_D!$H$13&lt;0,-(AJ44-Uzman_D!$H$13),AJ44-Uzman_D!$H$13)*0.1+IF(AK44-Uzman_D!$I$13&lt;0,-(AK44-Uzman_D!$I$13),AK44-Uzman_D!$I$13)*0.1+IF(AL44-Uzman_D!$J$13&lt;0,-(AL44-Uzman_D!$J$13),AL44-Uzman_D!$J$13)*0.1)+IF(ROUND((IF(AN44-Uzman_D!$L$13&lt;0,-(AN44-Uzman_D!$L$13),AN44-Uzman_D!$L$13)*2),0)/2=IF(AN44-Uzman_D!$L$13&lt;0,-(AN44-Uzman_D!$L$13),AN44-Uzman_D!$L$13),(ROUND((IF(AN44-Uzman_D!$L$13&lt;0,-(AN44-Uzman_D!$L$13),AN44-Uzman_D!$L$13)*2),0)/1*0.1),0)+IF(AO44-Uzman_D!$M$13&lt;0,-(AO44-Uzman_D!$M$13),AO44-Uzman_D!$M$13)*1)</f>
        <v>-0.30000000000000004</v>
      </c>
      <c r="AQ44" s="56">
        <v>1</v>
      </c>
      <c r="AR44" s="56">
        <v>4</v>
      </c>
      <c r="AS44" s="56">
        <v>0</v>
      </c>
      <c r="AT44" s="56">
        <v>6</v>
      </c>
      <c r="AU44" s="56"/>
      <c r="AV44" s="56"/>
      <c r="AW44" s="56"/>
      <c r="AX44" s="56"/>
      <c r="AY44" s="56"/>
      <c r="AZ44" s="56"/>
      <c r="BA44" s="70">
        <v>0</v>
      </c>
      <c r="BB44" s="70">
        <v>0</v>
      </c>
      <c r="BC44" s="71">
        <f>1-(SUM(IF(AQ44-Uzman_D!$B$14&lt;0,-(AQ44-Uzman_D!$B$14),AQ44-Uzman_D!$B$14)*0.1+IF(AR44-Uzman_D!$C$14&lt;0,-(AR44-Uzman_D!$C$14),AR44-Uzman_D!$C$14)*0.1+IF(AS44-Uzman_D!$D$14&lt;0,-(AS44-Uzman_D!$D$14),AS44-Uzman_D!$D$14)*0.1+IF(AT44-Uzman_D!$E$14&lt;0,-(AT44-Uzman_D!$E$14),AT44-Uzman_D!$E$14)*0.1+IF(AU44-Uzman_D!$F$14&lt;0,-(AU44-Uzman_D!$F$14),AU44-Uzman_D!$F$14)*0.1+IF(AV44-Uzman_D!$G$14&lt;0,-(AV44-Uzman_D!$G$14),AV44-Uzman_D!$G$14)*0.1+IF(AW44-Uzman_D!$H$14&lt;0,-(AW44-Uzman_D!$H$14),AW44-Uzman_D!$H$14)*0.1+IF(AX44-Uzman_D!$I$14&lt;0,-(AX44-Uzman_D!$I$14),AX44-Uzman_D!$I$14)*0.1+IF(AY44-Uzman_D!$J$14&lt;0,-(AY44-Uzman_D!$J$14),AY44-Uzman_D!$J$14)*0.1)+IF(ROUND((IF(BA44-Uzman_D!$L$14&lt;0,-(BA44-Uzman_D!$L$14),BA44-Uzman_D!$L$14)*2),0)/2=IF(BA44-Uzman_D!$L$14&lt;0,-(BA44-Uzman_D!$L$14),BA44-Uzman_D!$L$14),(ROUND((IF(BA44-Uzman_D!$L$14&lt;0,-(BA44-Uzman_D!$L$14),BA44-Uzman_D!$L$14)*2),0)/1*0.1),0)+IF(BB44-Uzman_D!$M$14&lt;0,-(BB44-Uzman_D!$M$14),BB44-Uzman_D!$M$14)*1)</f>
        <v>-0.40000000000000013</v>
      </c>
      <c r="BD44" s="56"/>
      <c r="BE44" s="56"/>
      <c r="BF44" s="56">
        <v>0</v>
      </c>
      <c r="BG44" s="56">
        <v>0</v>
      </c>
      <c r="BH44" s="56">
        <v>0</v>
      </c>
      <c r="BI44" s="56"/>
      <c r="BJ44" s="56"/>
      <c r="BK44" s="56"/>
      <c r="BL44" s="56"/>
      <c r="BM44" s="56"/>
      <c r="BN44" s="70">
        <v>0.5</v>
      </c>
      <c r="BO44" s="70">
        <v>0.3</v>
      </c>
      <c r="BP44" s="71">
        <f>1-(SUM(IF(BD44-Uzman_D!$B$15&lt;0,-(BD44-Uzman_D!$B$15),BD44-Uzman_D!$B$15)*0.1+IF(BE44-Uzman_D!$C$15&lt;0,-(BE44-Uzman_D!$C$15),BE44-Uzman_D!$C$15)*0.1+IF(BF44-Uzman_D!$D$15&lt;0,-(BF44-Uzman_D!$D$15),BF44-Uzman_D!$D$15)*0.1+IF(BG44-Uzman_D!$E$15&lt;0,-(BG44-Uzman_D!$E$15),BG44-Uzman_D!$E$15)*0.1+IF(BH44-Uzman_D!$F$15&lt;0,-(BH44-Uzman_D!$F$15),BH44-Uzman_D!$F$15)*0.1+IF(BI44-Uzman_D!$G$15&lt;0,-(BI44-Uzman_D!$G$15),BI44-Uzman_D!$G$15)*0.1+IF(BJ44-Uzman_D!$H$15&lt;0,-(BJ44-Uzman_D!$H$15),BJ44-Uzman_D!$H$15)*0.1+IF(BK44-Uzman_D!$I$15&lt;0,-(BK44-Uzman_D!$I$15),BK44-Uzman_D!$I$15)*0.1+IF(BL44-Uzman_D!$J$15&lt;0,-(BL44-Uzman_D!$J$15),BL44-Uzman_D!$J$15)*0.1)+IF(ROUND((IF(BN44-Uzman_D!$L$15&lt;0,-(BN44-Uzman_D!$L$15),BN44-Uzman_D!$L$15)*2),0)/2=IF(BN44-Uzman_D!$L$15&lt;0,-(BN44-Uzman_D!$L$15),BN44-Uzman_D!$L$15),(ROUND((IF(BN44-Uzman_D!$L$15&lt;0,-(BN44-Uzman_D!$L$15),BN44-Uzman_D!$L$15)*2),0)/1*0.1),0)+IF(BO44-Uzman_D!$M$15&lt;0,-(BO44-Uzman_D!$M$15),BO44-Uzman_D!$M$15)*1)</f>
        <v>-0.10000000000000009</v>
      </c>
      <c r="BQ44" s="72">
        <f t="shared" si="1"/>
        <v>-0.64000000000000012</v>
      </c>
    </row>
    <row r="45" spans="1:69" ht="15" customHeight="1" x14ac:dyDescent="0.45">
      <c r="A45" s="54">
        <v>42</v>
      </c>
      <c r="B45" s="162" t="str">
        <f>Hakemler!B45</f>
        <v>BAKAR</v>
      </c>
      <c r="C45" s="162" t="str">
        <f>Hakemler!C45</f>
        <v>İPEK</v>
      </c>
      <c r="D45" s="56"/>
      <c r="E45" s="56"/>
      <c r="F45" s="56">
        <v>0</v>
      </c>
      <c r="G45" s="56">
        <v>0</v>
      </c>
      <c r="H45" s="56">
        <v>6</v>
      </c>
      <c r="I45" s="56"/>
      <c r="J45" s="56"/>
      <c r="K45" s="56"/>
      <c r="L45" s="56"/>
      <c r="M45" s="56"/>
      <c r="N45" s="70">
        <v>2</v>
      </c>
      <c r="O45" s="70">
        <v>0.5</v>
      </c>
      <c r="P45" s="71">
        <f>1-(SUM(IF(D45-Uzman_D!$B$11&lt;0,-(D45-Uzman_D!$B$11),D45-Uzman_D!$B$11)*0.1+IF(E45-Uzman_D!$C$11&lt;0,-(E45-Uzman_D!$C$11),E45-Uzman_D!$C$11)*0.1+IF(F45-Uzman_D!$D$11&lt;0,-(F45-Uzman_D!$D$11),F45-Uzman_D!$D$11)*0.1+IF(G45-Uzman_D!$E$11&lt;0,-(G45-Uzman_D!$E$11),G45-Uzman_D!$E$11)*0.1+IF(H45-Uzman_D!$F$11&lt;0,-(H45-Uzman_D!$F$11),H45-Uzman_D!$F$11)*0.1+IF(I45-Uzman_D!$G$11&lt;0,-(I45-Uzman_D!$G$11),I45-Uzman_D!$G$11)*0.1+IF(J45-Uzman_D!$H$11&lt;0,-(J45-Uzman_D!$H$11),J45-Uzman_D!$H$11)*0.1+IF(K45-Uzman_D!$I$11&lt;0,-(K45-Uzman_D!$I$11),K45-Uzman_D!$I$11)*0.1+IF(L45-Uzman_D!$J$11&lt;0,-(L45-Uzman_D!$J$11),L45-Uzman_D!$J$11)*0.1)+IF(ROUND((IF(N45-Uzman_D!$L$11&lt;0,-(N45-Uzman_D!$L$11),N45-Uzman_D!$L$11)*2),0)/2=IF(N45-Uzman_D!$L$11&lt;0,-(N45-Uzman_D!$L$11),N45-Uzman_D!$L$11),(ROUND((IF(N45-Uzman_D!$L$11&lt;0,-(N45-Uzman_D!$L$11),N45-Uzman_D!$L$11)*2),0)/1*0.1),0)+IF(O45-Uzman_D!$M$11&lt;0,-(O45-Uzman_D!$M$11),O45-Uzman_D!$M$11)*1)</f>
        <v>-0.40000000000000013</v>
      </c>
      <c r="Q45" s="56"/>
      <c r="R45" s="56"/>
      <c r="S45" s="56">
        <v>3</v>
      </c>
      <c r="T45" s="56">
        <v>0</v>
      </c>
      <c r="U45" s="56">
        <v>0</v>
      </c>
      <c r="V45" s="56"/>
      <c r="W45" s="56"/>
      <c r="X45" s="56"/>
      <c r="Y45" s="56"/>
      <c r="Z45" s="56"/>
      <c r="AA45" s="70">
        <v>2</v>
      </c>
      <c r="AB45" s="70">
        <v>0.3</v>
      </c>
      <c r="AC45" s="71">
        <f>1-(SUM(IF(Q45-Uzman_D!$B$12&lt;0,-(Q45-Uzman_D!$B$12),Q45-Uzman_D!$B$12)*0.1+IF(R45-Uzman_D!$C$12&lt;0,-(R45-Uzman_D!$C$12),R45-Uzman_D!$C$12)*0.1+IF(S45-Uzman_D!$D$12&lt;0,-(S45-Uzman_D!$D$12),S45-Uzman_D!$D$12)*0.1+IF(T45-Uzman_D!$E$12&lt;0,-(T45-Uzman_D!$E$12),T45-Uzman_D!$E$12)*0.1+IF(U45-Uzman_D!$F$12&lt;0,-(U45-Uzman_D!$F$12),U45-Uzman_D!$F$12)*0.1+IF(V45-Uzman_D!$G$12&lt;0,-(V45-Uzman_D!$G$12),V45-Uzman_D!$G$12)*0.1+IF(W45-Uzman_D!$H$12&lt;0,-(W45-Uzman_D!$H$12),W45-Uzman_D!$H$12)*0.1+IF(X45-Uzman_D!$I$12&lt;0,-(X45-Uzman_D!$I$12),X45-Uzman_D!$I$12)*0.1+IF(Y45-Uzman_D!$J$12&lt;0,-(Y45-Uzman_D!$J$12),Y45-Uzman_D!$J$12)*0.1)+IF(ROUND((IF(AA45-Uzman_D!$L$12&lt;0,-(AA45-Uzman_D!$L$12),AA45-Uzman_D!$L$12)*2),0)/2=IF(AA45-Uzman_D!$L$12&lt;0,-(AA45-Uzman_D!$L$12),AA45-Uzman_D!$L$12),(ROUND((IF(AA45-Uzman_D!$L$12&lt;0,-(AA45-Uzman_D!$L$12),AA45-Uzman_D!$L$12)*2),0)/1*0.1),0)+IF(AB45-Uzman_D!$M$12&lt;0,-(AB45-Uzman_D!$M$12),AB45-Uzman_D!$M$12)*1)</f>
        <v>-0.10000000000000009</v>
      </c>
      <c r="AD45" s="56"/>
      <c r="AE45" s="56"/>
      <c r="AF45" s="56">
        <v>0</v>
      </c>
      <c r="AG45" s="56">
        <v>0</v>
      </c>
      <c r="AH45" s="56"/>
      <c r="AI45" s="56"/>
      <c r="AJ45" s="56"/>
      <c r="AK45" s="56"/>
      <c r="AL45" s="56"/>
      <c r="AM45" s="56"/>
      <c r="AN45" s="70">
        <v>2</v>
      </c>
      <c r="AO45" s="70">
        <v>0.3</v>
      </c>
      <c r="AP45" s="71">
        <f>1-(SUM(IF(AD45-Uzman_D!$B$13&lt;0,-(AD45-Uzman_D!$B$13),AD45-Uzman_D!$B$13)*0.1+IF(AE45-Uzman_D!$C$13&lt;0,-(AE45-Uzman_D!$C$13),AE45-Uzman_D!$C$13)*0.1+IF(AF45-Uzman_D!$D$13&lt;0,-(AF45-Uzman_D!$D$13),AF45-Uzman_D!$D$13)*0.1+IF(AG45-Uzman_D!$E$13&lt;0,-(AG45-Uzman_D!$E$13),AG45-Uzman_D!$E$13)*0.1+IF(AH45-Uzman_D!$F$13&lt;0,-(AH45-Uzman_D!$F$13),AH45-Uzman_D!$F$13)*0.1+IF(AI45-Uzman_D!$G$13&lt;0,-(AI45-Uzman_D!$G$13),AI45-Uzman_D!$G$13)*0.1+IF(AJ45-Uzman_D!$H$13&lt;0,-(AJ45-Uzman_D!$H$13),AJ45-Uzman_D!$H$13)*0.1+IF(AK45-Uzman_D!$I$13&lt;0,-(AK45-Uzman_D!$I$13),AK45-Uzman_D!$I$13)*0.1+IF(AL45-Uzman_D!$J$13&lt;0,-(AL45-Uzman_D!$J$13),AL45-Uzman_D!$J$13)*0.1)+IF(ROUND((IF(AN45-Uzman_D!$L$13&lt;0,-(AN45-Uzman_D!$L$13),AN45-Uzman_D!$L$13)*2),0)/2=IF(AN45-Uzman_D!$L$13&lt;0,-(AN45-Uzman_D!$L$13),AN45-Uzman_D!$L$13),(ROUND((IF(AN45-Uzman_D!$L$13&lt;0,-(AN45-Uzman_D!$L$13),AN45-Uzman_D!$L$13)*2),0)/1*0.1),0)+IF(AO45-Uzman_D!$M$13&lt;0,-(AO45-Uzman_D!$M$13),AO45-Uzman_D!$M$13)*1)</f>
        <v>-0.19999999999999996</v>
      </c>
      <c r="AQ45" s="56"/>
      <c r="AR45" s="56"/>
      <c r="AS45" s="56">
        <v>0</v>
      </c>
      <c r="AT45" s="56">
        <v>0</v>
      </c>
      <c r="AU45" s="56"/>
      <c r="AV45" s="56"/>
      <c r="AW45" s="56"/>
      <c r="AX45" s="56"/>
      <c r="AY45" s="56"/>
      <c r="AZ45" s="56"/>
      <c r="BA45" s="70">
        <v>2</v>
      </c>
      <c r="BB45" s="70">
        <v>0.2</v>
      </c>
      <c r="BC45" s="71">
        <f>1-(SUM(IF(AQ45-Uzman_D!$B$14&lt;0,-(AQ45-Uzman_D!$B$14),AQ45-Uzman_D!$B$14)*0.1+IF(AR45-Uzman_D!$C$14&lt;0,-(AR45-Uzman_D!$C$14),AR45-Uzman_D!$C$14)*0.1+IF(AS45-Uzman_D!$D$14&lt;0,-(AS45-Uzman_D!$D$14),AS45-Uzman_D!$D$14)*0.1+IF(AT45-Uzman_D!$E$14&lt;0,-(AT45-Uzman_D!$E$14),AT45-Uzman_D!$E$14)*0.1+IF(AU45-Uzman_D!$F$14&lt;0,-(AU45-Uzman_D!$F$14),AU45-Uzman_D!$F$14)*0.1+IF(AV45-Uzman_D!$G$14&lt;0,-(AV45-Uzman_D!$G$14),AV45-Uzman_D!$G$14)*0.1+IF(AW45-Uzman_D!$H$14&lt;0,-(AW45-Uzman_D!$H$14),AW45-Uzman_D!$H$14)*0.1+IF(AX45-Uzman_D!$I$14&lt;0,-(AX45-Uzman_D!$I$14),AX45-Uzman_D!$I$14)*0.1+IF(AY45-Uzman_D!$J$14&lt;0,-(AY45-Uzman_D!$J$14),AY45-Uzman_D!$J$14)*0.1)+IF(ROUND((IF(BA45-Uzman_D!$L$14&lt;0,-(BA45-Uzman_D!$L$14),BA45-Uzman_D!$L$14)*2),0)/2=IF(BA45-Uzman_D!$L$14&lt;0,-(BA45-Uzman_D!$L$14),BA45-Uzman_D!$L$14),(ROUND((IF(BA45-Uzman_D!$L$14&lt;0,-(BA45-Uzman_D!$L$14),BA45-Uzman_D!$L$14)*2),0)/1*0.1),0)+IF(BB45-Uzman_D!$M$14&lt;0,-(BB45-Uzman_D!$M$14),BB45-Uzman_D!$M$14)*1)</f>
        <v>9.9999999999999978E-2</v>
      </c>
      <c r="BD45" s="56"/>
      <c r="BE45" s="56"/>
      <c r="BF45" s="56">
        <v>0</v>
      </c>
      <c r="BG45" s="56">
        <v>0</v>
      </c>
      <c r="BH45" s="56"/>
      <c r="BI45" s="56"/>
      <c r="BJ45" s="56"/>
      <c r="BK45" s="56"/>
      <c r="BL45" s="56"/>
      <c r="BM45" s="56"/>
      <c r="BN45" s="70">
        <v>2</v>
      </c>
      <c r="BO45" s="70">
        <v>0.3</v>
      </c>
      <c r="BP45" s="71">
        <f>1-(SUM(IF(BD45-Uzman_D!$B$15&lt;0,-(BD45-Uzman_D!$B$15),BD45-Uzman_D!$B$15)*0.1+IF(BE45-Uzman_D!$C$15&lt;0,-(BE45-Uzman_D!$C$15),BE45-Uzman_D!$C$15)*0.1+IF(BF45-Uzman_D!$D$15&lt;0,-(BF45-Uzman_D!$D$15),BF45-Uzman_D!$D$15)*0.1+IF(BG45-Uzman_D!$E$15&lt;0,-(BG45-Uzman_D!$E$15),BG45-Uzman_D!$E$15)*0.1+IF(BH45-Uzman_D!$F$15&lt;0,-(BH45-Uzman_D!$F$15),BH45-Uzman_D!$F$15)*0.1+IF(BI45-Uzman_D!$G$15&lt;0,-(BI45-Uzman_D!$G$15),BI45-Uzman_D!$G$15)*0.1+IF(BJ45-Uzman_D!$H$15&lt;0,-(BJ45-Uzman_D!$H$15),BJ45-Uzman_D!$H$15)*0.1+IF(BK45-Uzman_D!$I$15&lt;0,-(BK45-Uzman_D!$I$15),BK45-Uzman_D!$I$15)*0.1+IF(BL45-Uzman_D!$J$15&lt;0,-(BL45-Uzman_D!$J$15),BL45-Uzman_D!$J$15)*0.1)+IF(ROUND((IF(BN45-Uzman_D!$L$15&lt;0,-(BN45-Uzman_D!$L$15),BN45-Uzman_D!$L$15)*2),0)/2=IF(BN45-Uzman_D!$L$15&lt;0,-(BN45-Uzman_D!$L$15),BN45-Uzman_D!$L$15),(ROUND((IF(BN45-Uzman_D!$L$15&lt;0,-(BN45-Uzman_D!$L$15),BN45-Uzman_D!$L$15)*2),0)/1*0.1),0)+IF(BO45-Uzman_D!$M$15&lt;0,-(BO45-Uzman_D!$M$15),BO45-Uzman_D!$M$15)*1)</f>
        <v>0.19999999999999996</v>
      </c>
      <c r="BQ45" s="72">
        <f t="shared" si="1"/>
        <v>-8.0000000000000043E-2</v>
      </c>
    </row>
    <row r="46" spans="1:69" ht="15" customHeight="1" x14ac:dyDescent="0.45">
      <c r="A46" s="54">
        <v>43</v>
      </c>
      <c r="B46" s="163" t="str">
        <f>Hakemler!B46</f>
        <v>UÇAK</v>
      </c>
      <c r="C46" s="163" t="str">
        <f>Hakemler!C46</f>
        <v>ECEM</v>
      </c>
      <c r="D46" s="56">
        <v>0</v>
      </c>
      <c r="E46" s="56">
        <v>2</v>
      </c>
      <c r="F46" s="56">
        <v>1</v>
      </c>
      <c r="G46" s="56">
        <v>1</v>
      </c>
      <c r="H46" s="56">
        <v>0</v>
      </c>
      <c r="I46" s="56">
        <v>1</v>
      </c>
      <c r="J46" s="56"/>
      <c r="K46" s="56"/>
      <c r="L46" s="56"/>
      <c r="M46" s="56"/>
      <c r="N46" s="70">
        <v>1.5</v>
      </c>
      <c r="O46" s="70">
        <v>1</v>
      </c>
      <c r="P46" s="71">
        <f>1-(SUM(IF(D46-Uzman_D!$B$11&lt;0,-(D46-Uzman_D!$B$11),D46-Uzman_D!$B$11)*0.1+IF(E46-Uzman_D!$C$11&lt;0,-(E46-Uzman_D!$C$11),E46-Uzman_D!$C$11)*0.1+IF(F46-Uzman_D!$D$11&lt;0,-(F46-Uzman_D!$D$11),F46-Uzman_D!$D$11)*0.1+IF(G46-Uzman_D!$E$11&lt;0,-(G46-Uzman_D!$E$11),G46-Uzman_D!$E$11)*0.1+IF(H46-Uzman_D!$F$11&lt;0,-(H46-Uzman_D!$F$11),H46-Uzman_D!$F$11)*0.1+IF(I46-Uzman_D!$G$11&lt;0,-(I46-Uzman_D!$G$11),I46-Uzman_D!$G$11)*0.1+IF(J46-Uzman_D!$H$11&lt;0,-(J46-Uzman_D!$H$11),J46-Uzman_D!$H$11)*0.1+IF(K46-Uzman_D!$I$11&lt;0,-(K46-Uzman_D!$I$11),K46-Uzman_D!$I$11)*0.1+IF(L46-Uzman_D!$J$11&lt;0,-(L46-Uzman_D!$J$11),L46-Uzman_D!$J$11)*0.1)+IF(ROUND((IF(N46-Uzman_D!$L$11&lt;0,-(N46-Uzman_D!$L$11),N46-Uzman_D!$L$11)*2),0)/2=IF(N46-Uzman_D!$L$11&lt;0,-(N46-Uzman_D!$L$11),N46-Uzman_D!$L$11),(ROUND((IF(N46-Uzman_D!$L$11&lt;0,-(N46-Uzman_D!$L$11),N46-Uzman_D!$L$11)*2),0)/1*0.1),0)+IF(O46-Uzman_D!$M$11&lt;0,-(O46-Uzman_D!$M$11),O46-Uzman_D!$M$11)*1)</f>
        <v>-0.29999999999999982</v>
      </c>
      <c r="Q46" s="56"/>
      <c r="R46" s="56">
        <v>2</v>
      </c>
      <c r="S46" s="56">
        <v>2</v>
      </c>
      <c r="T46" s="56">
        <v>3</v>
      </c>
      <c r="U46" s="56"/>
      <c r="V46" s="56"/>
      <c r="W46" s="56"/>
      <c r="X46" s="56"/>
      <c r="Y46" s="56"/>
      <c r="Z46" s="56"/>
      <c r="AA46" s="70">
        <v>2</v>
      </c>
      <c r="AB46" s="70">
        <v>0.4</v>
      </c>
      <c r="AC46" s="71">
        <f>1-(SUM(IF(Q46-Uzman_D!$B$12&lt;0,-(Q46-Uzman_D!$B$12),Q46-Uzman_D!$B$12)*0.1+IF(R46-Uzman_D!$C$12&lt;0,-(R46-Uzman_D!$C$12),R46-Uzman_D!$C$12)*0.1+IF(S46-Uzman_D!$D$12&lt;0,-(S46-Uzman_D!$D$12),S46-Uzman_D!$D$12)*0.1+IF(T46-Uzman_D!$E$12&lt;0,-(T46-Uzman_D!$E$12),T46-Uzman_D!$E$12)*0.1+IF(U46-Uzman_D!$F$12&lt;0,-(U46-Uzman_D!$F$12),U46-Uzman_D!$F$12)*0.1+IF(V46-Uzman_D!$G$12&lt;0,-(V46-Uzman_D!$G$12),V46-Uzman_D!$G$12)*0.1+IF(W46-Uzman_D!$H$12&lt;0,-(W46-Uzman_D!$H$12),W46-Uzman_D!$H$12)*0.1+IF(X46-Uzman_D!$I$12&lt;0,-(X46-Uzman_D!$I$12),X46-Uzman_D!$I$12)*0.1+IF(Y46-Uzman_D!$J$12&lt;0,-(Y46-Uzman_D!$J$12),Y46-Uzman_D!$J$12)*0.1)+IF(ROUND((IF(AA46-Uzman_D!$L$12&lt;0,-(AA46-Uzman_D!$L$12),AA46-Uzman_D!$L$12)*2),0)/2=IF(AA46-Uzman_D!$L$12&lt;0,-(AA46-Uzman_D!$L$12),AA46-Uzman_D!$L$12),(ROUND((IF(AA46-Uzman_D!$L$12&lt;0,-(AA46-Uzman_D!$L$12),AA46-Uzman_D!$L$12)*2),0)/1*0.1),0)+IF(AB46-Uzman_D!$M$12&lt;0,-(AB46-Uzman_D!$M$12),AB46-Uzman_D!$M$12)*1)</f>
        <v>0.19999999999999996</v>
      </c>
      <c r="AD46" s="56">
        <v>0</v>
      </c>
      <c r="AE46" s="56">
        <v>2</v>
      </c>
      <c r="AF46" s="56">
        <v>1</v>
      </c>
      <c r="AG46" s="56">
        <v>1</v>
      </c>
      <c r="AH46" s="56">
        <v>1</v>
      </c>
      <c r="AI46" s="56"/>
      <c r="AJ46" s="56"/>
      <c r="AK46" s="56"/>
      <c r="AL46" s="56"/>
      <c r="AM46" s="56"/>
      <c r="AN46" s="70">
        <v>0.5</v>
      </c>
      <c r="AO46" s="70">
        <v>0.2</v>
      </c>
      <c r="AP46" s="71">
        <f>1-(SUM(IF(AD46-Uzman_D!$B$13&lt;0,-(AD46-Uzman_D!$B$13),AD46-Uzman_D!$B$13)*0.1+IF(AE46-Uzman_D!$C$13&lt;0,-(AE46-Uzman_D!$C$13),AE46-Uzman_D!$C$13)*0.1+IF(AF46-Uzman_D!$D$13&lt;0,-(AF46-Uzman_D!$D$13),AF46-Uzman_D!$D$13)*0.1+IF(AG46-Uzman_D!$E$13&lt;0,-(AG46-Uzman_D!$E$13),AG46-Uzman_D!$E$13)*0.1+IF(AH46-Uzman_D!$F$13&lt;0,-(AH46-Uzman_D!$F$13),AH46-Uzman_D!$F$13)*0.1+IF(AI46-Uzman_D!$G$13&lt;0,-(AI46-Uzman_D!$G$13),AI46-Uzman_D!$G$13)*0.1+IF(AJ46-Uzman_D!$H$13&lt;0,-(AJ46-Uzman_D!$H$13),AJ46-Uzman_D!$H$13)*0.1+IF(AK46-Uzman_D!$I$13&lt;0,-(AK46-Uzman_D!$I$13),AK46-Uzman_D!$I$13)*0.1+IF(AL46-Uzman_D!$J$13&lt;0,-(AL46-Uzman_D!$J$13),AL46-Uzman_D!$J$13)*0.1)+IF(ROUND((IF(AN46-Uzman_D!$L$13&lt;0,-(AN46-Uzman_D!$L$13),AN46-Uzman_D!$L$13)*2),0)/2=IF(AN46-Uzman_D!$L$13&lt;0,-(AN46-Uzman_D!$L$13),AN46-Uzman_D!$L$13),(ROUND((IF(AN46-Uzman_D!$L$13&lt;0,-(AN46-Uzman_D!$L$13),AN46-Uzman_D!$L$13)*2),0)/1*0.1),0)+IF(AO46-Uzman_D!$M$13&lt;0,-(AO46-Uzman_D!$M$13),AO46-Uzman_D!$M$13)*1)</f>
        <v>-0.5</v>
      </c>
      <c r="AQ46" s="56">
        <v>0</v>
      </c>
      <c r="AR46" s="56">
        <v>0</v>
      </c>
      <c r="AS46" s="56">
        <v>1</v>
      </c>
      <c r="AT46" s="56">
        <v>1</v>
      </c>
      <c r="AU46" s="56"/>
      <c r="AV46" s="56"/>
      <c r="AW46" s="56"/>
      <c r="AX46" s="56"/>
      <c r="AY46" s="56"/>
      <c r="AZ46" s="56"/>
      <c r="BA46" s="70">
        <v>0.5</v>
      </c>
      <c r="BB46" s="70">
        <v>0.1</v>
      </c>
      <c r="BC46" s="71">
        <f>1-(SUM(IF(AQ46-Uzman_D!$B$14&lt;0,-(AQ46-Uzman_D!$B$14),AQ46-Uzman_D!$B$14)*0.1+IF(AR46-Uzman_D!$C$14&lt;0,-(AR46-Uzman_D!$C$14),AR46-Uzman_D!$C$14)*0.1+IF(AS46-Uzman_D!$D$14&lt;0,-(AS46-Uzman_D!$D$14),AS46-Uzman_D!$D$14)*0.1+IF(AT46-Uzman_D!$E$14&lt;0,-(AT46-Uzman_D!$E$14),AT46-Uzman_D!$E$14)*0.1+IF(AU46-Uzman_D!$F$14&lt;0,-(AU46-Uzman_D!$F$14),AU46-Uzman_D!$F$14)*0.1+IF(AV46-Uzman_D!$G$14&lt;0,-(AV46-Uzman_D!$G$14),AV46-Uzman_D!$G$14)*0.1+IF(AW46-Uzman_D!$H$14&lt;0,-(AW46-Uzman_D!$H$14),AW46-Uzman_D!$H$14)*0.1+IF(AX46-Uzman_D!$I$14&lt;0,-(AX46-Uzman_D!$I$14),AX46-Uzman_D!$I$14)*0.1+IF(AY46-Uzman_D!$J$14&lt;0,-(AY46-Uzman_D!$J$14),AY46-Uzman_D!$J$14)*0.1)+IF(ROUND((IF(BA46-Uzman_D!$L$14&lt;0,-(BA46-Uzman_D!$L$14),BA46-Uzman_D!$L$14)*2),0)/2=IF(BA46-Uzman_D!$L$14&lt;0,-(BA46-Uzman_D!$L$14),BA46-Uzman_D!$L$14),(ROUND((IF(BA46-Uzman_D!$L$14&lt;0,-(BA46-Uzman_D!$L$14),BA46-Uzman_D!$L$14)*2),0)/1*0.1),0)+IF(BB46-Uzman_D!$M$14&lt;0,-(BB46-Uzman_D!$M$14),BB46-Uzman_D!$M$14)*1)</f>
        <v>9.9999999999999978E-2</v>
      </c>
      <c r="BD46" s="56">
        <v>0</v>
      </c>
      <c r="BE46" s="56">
        <v>0</v>
      </c>
      <c r="BF46" s="56">
        <v>1</v>
      </c>
      <c r="BG46" s="56">
        <v>1</v>
      </c>
      <c r="BH46" s="56">
        <v>1</v>
      </c>
      <c r="BI46" s="56"/>
      <c r="BJ46" s="56"/>
      <c r="BK46" s="56"/>
      <c r="BL46" s="56"/>
      <c r="BM46" s="56"/>
      <c r="BN46" s="70">
        <v>1</v>
      </c>
      <c r="BO46" s="70">
        <v>0.6</v>
      </c>
      <c r="BP46" s="71">
        <f>1-(SUM(IF(BD46-Uzman_D!$B$15&lt;0,-(BD46-Uzman_D!$B$15),BD46-Uzman_D!$B$15)*0.1+IF(BE46-Uzman_D!$C$15&lt;0,-(BE46-Uzman_D!$C$15),BE46-Uzman_D!$C$15)*0.1+IF(BF46-Uzman_D!$D$15&lt;0,-(BF46-Uzman_D!$D$15),BF46-Uzman_D!$D$15)*0.1+IF(BG46-Uzman_D!$E$15&lt;0,-(BG46-Uzman_D!$E$15),BG46-Uzman_D!$E$15)*0.1+IF(BH46-Uzman_D!$F$15&lt;0,-(BH46-Uzman_D!$F$15),BH46-Uzman_D!$F$15)*0.1+IF(BI46-Uzman_D!$G$15&lt;0,-(BI46-Uzman_D!$G$15),BI46-Uzman_D!$G$15)*0.1+IF(BJ46-Uzman_D!$H$15&lt;0,-(BJ46-Uzman_D!$H$15),BJ46-Uzman_D!$H$15)*0.1+IF(BK46-Uzman_D!$I$15&lt;0,-(BK46-Uzman_D!$I$15),BK46-Uzman_D!$I$15)*0.1+IF(BL46-Uzman_D!$J$15&lt;0,-(BL46-Uzman_D!$J$15),BL46-Uzman_D!$J$15)*0.1)+IF(ROUND((IF(BN46-Uzman_D!$L$15&lt;0,-(BN46-Uzman_D!$L$15),BN46-Uzman_D!$L$15)*2),0)/2=IF(BN46-Uzman_D!$L$15&lt;0,-(BN46-Uzman_D!$L$15),BN46-Uzman_D!$L$15),(ROUND((IF(BN46-Uzman_D!$L$15&lt;0,-(BN46-Uzman_D!$L$15),BN46-Uzman_D!$L$15)*2),0)/1*0.1),0)+IF(BO46-Uzman_D!$M$15&lt;0,-(BO46-Uzman_D!$M$15),BO46-Uzman_D!$M$15)*1)</f>
        <v>0</v>
      </c>
      <c r="BQ46" s="72">
        <f t="shared" si="1"/>
        <v>-9.9999999999999978E-2</v>
      </c>
    </row>
    <row r="47" spans="1:69" ht="15" customHeight="1" x14ac:dyDescent="0.45">
      <c r="A47" s="54">
        <v>44</v>
      </c>
      <c r="B47" s="163" t="str">
        <f>Hakemler!B47</f>
        <v>EFENDİAĞA</v>
      </c>
      <c r="C47" s="163" t="str">
        <f>Hakemler!C47</f>
        <v>EMİNE AYÇA</v>
      </c>
      <c r="D47" s="56"/>
      <c r="E47" s="56"/>
      <c r="F47" s="56">
        <v>2</v>
      </c>
      <c r="G47" s="56">
        <v>3</v>
      </c>
      <c r="H47" s="56">
        <v>2</v>
      </c>
      <c r="I47" s="56"/>
      <c r="J47" s="56"/>
      <c r="K47" s="56"/>
      <c r="L47" s="56"/>
      <c r="M47" s="56"/>
      <c r="N47" s="70">
        <v>2</v>
      </c>
      <c r="O47" s="70">
        <v>0.4</v>
      </c>
      <c r="P47" s="71">
        <f>1-(SUM(IF(D47-Uzman_D!$B$11&lt;0,-(D47-Uzman_D!$B$11),D47-Uzman_D!$B$11)*0.1+IF(E47-Uzman_D!$C$11&lt;0,-(E47-Uzman_D!$C$11),E47-Uzman_D!$C$11)*0.1+IF(F47-Uzman_D!$D$11&lt;0,-(F47-Uzman_D!$D$11),F47-Uzman_D!$D$11)*0.1+IF(G47-Uzman_D!$E$11&lt;0,-(G47-Uzman_D!$E$11),G47-Uzman_D!$E$11)*0.1+IF(H47-Uzman_D!$F$11&lt;0,-(H47-Uzman_D!$F$11),H47-Uzman_D!$F$11)*0.1+IF(I47-Uzman_D!$G$11&lt;0,-(I47-Uzman_D!$G$11),I47-Uzman_D!$G$11)*0.1+IF(J47-Uzman_D!$H$11&lt;0,-(J47-Uzman_D!$H$11),J47-Uzman_D!$H$11)*0.1+IF(K47-Uzman_D!$I$11&lt;0,-(K47-Uzman_D!$I$11),K47-Uzman_D!$I$11)*0.1+IF(L47-Uzman_D!$J$11&lt;0,-(L47-Uzman_D!$J$11),L47-Uzman_D!$J$11)*0.1)+IF(ROUND((IF(N47-Uzman_D!$L$11&lt;0,-(N47-Uzman_D!$L$11),N47-Uzman_D!$L$11)*2),0)/2=IF(N47-Uzman_D!$L$11&lt;0,-(N47-Uzman_D!$L$11),N47-Uzman_D!$L$11),(ROUND((IF(N47-Uzman_D!$L$11&lt;0,-(N47-Uzman_D!$L$11),N47-Uzman_D!$L$11)*2),0)/1*0.1),0)+IF(O47-Uzman_D!$M$11&lt;0,-(O47-Uzman_D!$M$11),O47-Uzman_D!$M$11)*1)</f>
        <v>0.20000000000000007</v>
      </c>
      <c r="Q47" s="56"/>
      <c r="R47" s="56"/>
      <c r="S47" s="56">
        <v>2</v>
      </c>
      <c r="T47" s="56">
        <v>4</v>
      </c>
      <c r="U47" s="56">
        <v>1</v>
      </c>
      <c r="V47" s="56">
        <v>1</v>
      </c>
      <c r="W47" s="56"/>
      <c r="X47" s="56"/>
      <c r="Y47" s="56"/>
      <c r="Z47" s="56"/>
      <c r="AA47" s="70">
        <v>2</v>
      </c>
      <c r="AB47" s="70">
        <v>0.4</v>
      </c>
      <c r="AC47" s="71">
        <f>1-(SUM(IF(Q47-Uzman_D!$B$12&lt;0,-(Q47-Uzman_D!$B$12),Q47-Uzman_D!$B$12)*0.1+IF(R47-Uzman_D!$C$12&lt;0,-(R47-Uzman_D!$C$12),R47-Uzman_D!$C$12)*0.1+IF(S47-Uzman_D!$D$12&lt;0,-(S47-Uzman_D!$D$12),S47-Uzman_D!$D$12)*0.1+IF(T47-Uzman_D!$E$12&lt;0,-(T47-Uzman_D!$E$12),T47-Uzman_D!$E$12)*0.1+IF(U47-Uzman_D!$F$12&lt;0,-(U47-Uzman_D!$F$12),U47-Uzman_D!$F$12)*0.1+IF(V47-Uzman_D!$G$12&lt;0,-(V47-Uzman_D!$G$12),V47-Uzman_D!$G$12)*0.1+IF(W47-Uzman_D!$H$12&lt;0,-(W47-Uzman_D!$H$12),W47-Uzman_D!$H$12)*0.1+IF(X47-Uzman_D!$I$12&lt;0,-(X47-Uzman_D!$I$12),X47-Uzman_D!$I$12)*0.1+IF(Y47-Uzman_D!$J$12&lt;0,-(Y47-Uzman_D!$J$12),Y47-Uzman_D!$J$12)*0.1)+IF(ROUND((IF(AA47-Uzman_D!$L$12&lt;0,-(AA47-Uzman_D!$L$12),AA47-Uzman_D!$L$12)*2),0)/2=IF(AA47-Uzman_D!$L$12&lt;0,-(AA47-Uzman_D!$L$12),AA47-Uzman_D!$L$12),(ROUND((IF(AA47-Uzman_D!$L$12&lt;0,-(AA47-Uzman_D!$L$12),AA47-Uzman_D!$L$12)*2),0)/1*0.1),0)+IF(AB47-Uzman_D!$M$12&lt;0,-(AB47-Uzman_D!$M$12),AB47-Uzman_D!$M$12)*1)</f>
        <v>0.7</v>
      </c>
      <c r="AD47" s="56"/>
      <c r="AE47" s="56">
        <v>1</v>
      </c>
      <c r="AF47" s="56">
        <v>4</v>
      </c>
      <c r="AG47" s="56">
        <v>3</v>
      </c>
      <c r="AH47" s="56"/>
      <c r="AI47" s="56"/>
      <c r="AJ47" s="56"/>
      <c r="AK47" s="56"/>
      <c r="AL47" s="56"/>
      <c r="AM47" s="56"/>
      <c r="AN47" s="70">
        <v>2</v>
      </c>
      <c r="AO47" s="70">
        <v>0</v>
      </c>
      <c r="AP47" s="71">
        <f>1-(SUM(IF(AD47-Uzman_D!$B$13&lt;0,-(AD47-Uzman_D!$B$13),AD47-Uzman_D!$B$13)*0.1+IF(AE47-Uzman_D!$C$13&lt;0,-(AE47-Uzman_D!$C$13),AE47-Uzman_D!$C$13)*0.1+IF(AF47-Uzman_D!$D$13&lt;0,-(AF47-Uzman_D!$D$13),AF47-Uzman_D!$D$13)*0.1+IF(AG47-Uzman_D!$E$13&lt;0,-(AG47-Uzman_D!$E$13),AG47-Uzman_D!$E$13)*0.1+IF(AH47-Uzman_D!$F$13&lt;0,-(AH47-Uzman_D!$F$13),AH47-Uzman_D!$F$13)*0.1+IF(AI47-Uzman_D!$G$13&lt;0,-(AI47-Uzman_D!$G$13),AI47-Uzman_D!$G$13)*0.1+IF(AJ47-Uzman_D!$H$13&lt;0,-(AJ47-Uzman_D!$H$13),AJ47-Uzman_D!$H$13)*0.1+IF(AK47-Uzman_D!$I$13&lt;0,-(AK47-Uzman_D!$I$13),AK47-Uzman_D!$I$13)*0.1+IF(AL47-Uzman_D!$J$13&lt;0,-(AL47-Uzman_D!$J$13),AL47-Uzman_D!$J$13)*0.1)+IF(ROUND((IF(AN47-Uzman_D!$L$13&lt;0,-(AN47-Uzman_D!$L$13),AN47-Uzman_D!$L$13)*2),0)/2=IF(AN47-Uzman_D!$L$13&lt;0,-(AN47-Uzman_D!$L$13),AN47-Uzman_D!$L$13),(ROUND((IF(AN47-Uzman_D!$L$13&lt;0,-(AN47-Uzman_D!$L$13),AN47-Uzman_D!$L$13)*2),0)/1*0.1),0)+IF(AO47-Uzman_D!$M$13&lt;0,-(AO47-Uzman_D!$M$13),AO47-Uzman_D!$M$13)*1)</f>
        <v>0.7</v>
      </c>
      <c r="AQ47" s="56"/>
      <c r="AR47" s="56">
        <v>2</v>
      </c>
      <c r="AS47" s="56">
        <v>3</v>
      </c>
      <c r="AT47" s="56">
        <v>4</v>
      </c>
      <c r="AU47" s="56"/>
      <c r="AV47" s="56"/>
      <c r="AW47" s="56"/>
      <c r="AX47" s="56"/>
      <c r="AY47" s="56"/>
      <c r="AZ47" s="56"/>
      <c r="BA47" s="70">
        <v>2</v>
      </c>
      <c r="BB47" s="70">
        <v>0.1</v>
      </c>
      <c r="BC47" s="71">
        <f>1-(SUM(IF(AQ47-Uzman_D!$B$14&lt;0,-(AQ47-Uzman_D!$B$14),AQ47-Uzman_D!$B$14)*0.1+IF(AR47-Uzman_D!$C$14&lt;0,-(AR47-Uzman_D!$C$14),AR47-Uzman_D!$C$14)*0.1+IF(AS47-Uzman_D!$D$14&lt;0,-(AS47-Uzman_D!$D$14),AS47-Uzman_D!$D$14)*0.1+IF(AT47-Uzman_D!$E$14&lt;0,-(AT47-Uzman_D!$E$14),AT47-Uzman_D!$E$14)*0.1+IF(AU47-Uzman_D!$F$14&lt;0,-(AU47-Uzman_D!$F$14),AU47-Uzman_D!$F$14)*0.1+IF(AV47-Uzman_D!$G$14&lt;0,-(AV47-Uzman_D!$G$14),AV47-Uzman_D!$G$14)*0.1+IF(AW47-Uzman_D!$H$14&lt;0,-(AW47-Uzman_D!$H$14),AW47-Uzman_D!$H$14)*0.1+IF(AX47-Uzman_D!$I$14&lt;0,-(AX47-Uzman_D!$I$14),AX47-Uzman_D!$I$14)*0.1+IF(AY47-Uzman_D!$J$14&lt;0,-(AY47-Uzman_D!$J$14),AY47-Uzman_D!$J$14)*0.1)+IF(ROUND((IF(BA47-Uzman_D!$L$14&lt;0,-(BA47-Uzman_D!$L$14),BA47-Uzman_D!$L$14)*2),0)/2=IF(BA47-Uzman_D!$L$14&lt;0,-(BA47-Uzman_D!$L$14),BA47-Uzman_D!$L$14),(ROUND((IF(BA47-Uzman_D!$L$14&lt;0,-(BA47-Uzman_D!$L$14),BA47-Uzman_D!$L$14)*2),0)/1*0.1),0)+IF(BB47-Uzman_D!$M$14&lt;0,-(BB47-Uzman_D!$M$14),BB47-Uzman_D!$M$14)*1)</f>
        <v>0.7</v>
      </c>
      <c r="BD47" s="56"/>
      <c r="BE47" s="56">
        <v>1</v>
      </c>
      <c r="BF47" s="56">
        <v>2</v>
      </c>
      <c r="BG47" s="56">
        <v>4</v>
      </c>
      <c r="BH47" s="56"/>
      <c r="BI47" s="56"/>
      <c r="BJ47" s="56"/>
      <c r="BK47" s="56"/>
      <c r="BL47" s="56"/>
      <c r="BM47" s="56"/>
      <c r="BN47" s="70">
        <v>2</v>
      </c>
      <c r="BO47" s="70">
        <v>0.4</v>
      </c>
      <c r="BP47" s="71">
        <f>1-(SUM(IF(BD47-Uzman_D!$B$15&lt;0,-(BD47-Uzman_D!$B$15),BD47-Uzman_D!$B$15)*0.1+IF(BE47-Uzman_D!$C$15&lt;0,-(BE47-Uzman_D!$C$15),BE47-Uzman_D!$C$15)*0.1+IF(BF47-Uzman_D!$D$15&lt;0,-(BF47-Uzman_D!$D$15),BF47-Uzman_D!$D$15)*0.1+IF(BG47-Uzman_D!$E$15&lt;0,-(BG47-Uzman_D!$E$15),BG47-Uzman_D!$E$15)*0.1+IF(BH47-Uzman_D!$F$15&lt;0,-(BH47-Uzman_D!$F$15),BH47-Uzman_D!$F$15)*0.1+IF(BI47-Uzman_D!$G$15&lt;0,-(BI47-Uzman_D!$G$15),BI47-Uzman_D!$G$15)*0.1+IF(BJ47-Uzman_D!$H$15&lt;0,-(BJ47-Uzman_D!$H$15),BJ47-Uzman_D!$H$15)*0.1+IF(BK47-Uzman_D!$I$15&lt;0,-(BK47-Uzman_D!$I$15),BK47-Uzman_D!$I$15)*0.1+IF(BL47-Uzman_D!$J$15&lt;0,-(BL47-Uzman_D!$J$15),BL47-Uzman_D!$J$15)*0.1)+IF(ROUND((IF(BN47-Uzman_D!$L$15&lt;0,-(BN47-Uzman_D!$L$15),BN47-Uzman_D!$L$15)*2),0)/2=IF(BN47-Uzman_D!$L$15&lt;0,-(BN47-Uzman_D!$L$15),BN47-Uzman_D!$L$15),(ROUND((IF(BN47-Uzman_D!$L$15&lt;0,-(BN47-Uzman_D!$L$15),BN47-Uzman_D!$L$15)*2),0)/1*0.1),0)+IF(BO47-Uzman_D!$M$15&lt;0,-(BO47-Uzman_D!$M$15),BO47-Uzman_D!$M$15)*1)</f>
        <v>0.59999999999999987</v>
      </c>
      <c r="BQ47" s="72">
        <f t="shared" si="1"/>
        <v>0.57999999999999985</v>
      </c>
    </row>
    <row r="48" spans="1:69" ht="15" customHeight="1" x14ac:dyDescent="0.45">
      <c r="A48" s="54">
        <v>45</v>
      </c>
      <c r="B48" s="162" t="str">
        <f>Hakemler!B48</f>
        <v>DAL</v>
      </c>
      <c r="C48" s="162" t="str">
        <f>Hakemler!C48</f>
        <v>SİNEM</v>
      </c>
      <c r="D48" s="56">
        <v>0</v>
      </c>
      <c r="E48" s="56">
        <v>0</v>
      </c>
      <c r="F48" s="56">
        <v>3</v>
      </c>
      <c r="G48" s="56">
        <v>2</v>
      </c>
      <c r="H48" s="56">
        <v>2</v>
      </c>
      <c r="I48" s="56">
        <v>3</v>
      </c>
      <c r="J48" s="56"/>
      <c r="K48" s="56"/>
      <c r="L48" s="56"/>
      <c r="M48" s="56"/>
      <c r="N48" s="70">
        <v>1.5</v>
      </c>
      <c r="O48" s="70">
        <v>0.2</v>
      </c>
      <c r="P48" s="71">
        <f>1-(SUM(IF(D48-Uzman_D!$B$11&lt;0,-(D48-Uzman_D!$B$11),D48-Uzman_D!$B$11)*0.1+IF(E48-Uzman_D!$C$11&lt;0,-(E48-Uzman_D!$C$11),E48-Uzman_D!$C$11)*0.1+IF(F48-Uzman_D!$D$11&lt;0,-(F48-Uzman_D!$D$11),F48-Uzman_D!$D$11)*0.1+IF(G48-Uzman_D!$E$11&lt;0,-(G48-Uzman_D!$E$11),G48-Uzman_D!$E$11)*0.1+IF(H48-Uzman_D!$F$11&lt;0,-(H48-Uzman_D!$F$11),H48-Uzman_D!$F$11)*0.1+IF(I48-Uzman_D!$G$11&lt;0,-(I48-Uzman_D!$G$11),I48-Uzman_D!$G$11)*0.1+IF(J48-Uzman_D!$H$11&lt;0,-(J48-Uzman_D!$H$11),J48-Uzman_D!$H$11)*0.1+IF(K48-Uzman_D!$I$11&lt;0,-(K48-Uzman_D!$I$11),K48-Uzman_D!$I$11)*0.1+IF(L48-Uzman_D!$J$11&lt;0,-(L48-Uzman_D!$J$11),L48-Uzman_D!$J$11)*0.1)+IF(ROUND((IF(N48-Uzman_D!$L$11&lt;0,-(N48-Uzman_D!$L$11),N48-Uzman_D!$L$11)*2),0)/2=IF(N48-Uzman_D!$L$11&lt;0,-(N48-Uzman_D!$L$11),N48-Uzman_D!$L$11),(ROUND((IF(N48-Uzman_D!$L$11&lt;0,-(N48-Uzman_D!$L$11),N48-Uzman_D!$L$11)*2),0)/1*0.1),0)+IF(O48-Uzman_D!$M$11&lt;0,-(O48-Uzman_D!$M$11),O48-Uzman_D!$M$11)*1)</f>
        <v>-0.60000000000000009</v>
      </c>
      <c r="Q48" s="56">
        <v>0</v>
      </c>
      <c r="R48" s="56">
        <v>3</v>
      </c>
      <c r="S48" s="56">
        <v>3</v>
      </c>
      <c r="T48" s="56">
        <v>5</v>
      </c>
      <c r="U48" s="56">
        <v>6</v>
      </c>
      <c r="V48" s="56"/>
      <c r="W48" s="56">
        <v>7</v>
      </c>
      <c r="X48" s="56"/>
      <c r="Y48" s="56"/>
      <c r="Z48" s="56"/>
      <c r="AA48" s="70">
        <v>2</v>
      </c>
      <c r="AB48" s="70">
        <v>0.2</v>
      </c>
      <c r="AC48" s="71">
        <f>1-(SUM(IF(Q48-Uzman_D!$B$12&lt;0,-(Q48-Uzman_D!$B$12),Q48-Uzman_D!$B$12)*0.1+IF(R48-Uzman_D!$C$12&lt;0,-(R48-Uzman_D!$C$12),R48-Uzman_D!$C$12)*0.1+IF(S48-Uzman_D!$D$12&lt;0,-(S48-Uzman_D!$D$12),S48-Uzman_D!$D$12)*0.1+IF(T48-Uzman_D!$E$12&lt;0,-(T48-Uzman_D!$E$12),T48-Uzman_D!$E$12)*0.1+IF(U48-Uzman_D!$F$12&lt;0,-(U48-Uzman_D!$F$12),U48-Uzman_D!$F$12)*0.1+IF(V48-Uzman_D!$G$12&lt;0,-(V48-Uzman_D!$G$12),V48-Uzman_D!$G$12)*0.1+IF(W48-Uzman_D!$H$12&lt;0,-(W48-Uzman_D!$H$12),W48-Uzman_D!$H$12)*0.1+IF(X48-Uzman_D!$I$12&lt;0,-(X48-Uzman_D!$I$12),X48-Uzman_D!$I$12)*0.1+IF(Y48-Uzman_D!$J$12&lt;0,-(Y48-Uzman_D!$J$12),Y48-Uzman_D!$J$12)*0.1)+IF(ROUND((IF(AA48-Uzman_D!$L$12&lt;0,-(AA48-Uzman_D!$L$12),AA48-Uzman_D!$L$12)*2),0)/2=IF(AA48-Uzman_D!$L$12&lt;0,-(AA48-Uzman_D!$L$12),AA48-Uzman_D!$L$12),(ROUND((IF(AA48-Uzman_D!$L$12&lt;0,-(AA48-Uzman_D!$L$12),AA48-Uzman_D!$L$12)*2),0)/1*0.1),0)+IF(AB48-Uzman_D!$M$12&lt;0,-(AB48-Uzman_D!$M$12),AB48-Uzman_D!$M$12)*1)</f>
        <v>-1.1000000000000001</v>
      </c>
      <c r="AD48" s="56">
        <v>1</v>
      </c>
      <c r="AE48" s="56">
        <v>0</v>
      </c>
      <c r="AF48" s="56">
        <v>0</v>
      </c>
      <c r="AG48" s="56">
        <v>0</v>
      </c>
      <c r="AH48" s="56">
        <v>2</v>
      </c>
      <c r="AI48" s="56"/>
      <c r="AJ48" s="56"/>
      <c r="AK48" s="56"/>
      <c r="AL48" s="56"/>
      <c r="AM48" s="56"/>
      <c r="AN48" s="70">
        <v>0.5</v>
      </c>
      <c r="AO48" s="70">
        <v>0</v>
      </c>
      <c r="AP48" s="71">
        <f>1-(SUM(IF(AD48-Uzman_D!$B$13&lt;0,-(AD48-Uzman_D!$B$13),AD48-Uzman_D!$B$13)*0.1+IF(AE48-Uzman_D!$C$13&lt;0,-(AE48-Uzman_D!$C$13),AE48-Uzman_D!$C$13)*0.1+IF(AF48-Uzman_D!$D$13&lt;0,-(AF48-Uzman_D!$D$13),AF48-Uzman_D!$D$13)*0.1+IF(AG48-Uzman_D!$E$13&lt;0,-(AG48-Uzman_D!$E$13),AG48-Uzman_D!$E$13)*0.1+IF(AH48-Uzman_D!$F$13&lt;0,-(AH48-Uzman_D!$F$13),AH48-Uzman_D!$F$13)*0.1+IF(AI48-Uzman_D!$G$13&lt;0,-(AI48-Uzman_D!$G$13),AI48-Uzman_D!$G$13)*0.1+IF(AJ48-Uzman_D!$H$13&lt;0,-(AJ48-Uzman_D!$H$13),AJ48-Uzman_D!$H$13)*0.1+IF(AK48-Uzman_D!$I$13&lt;0,-(AK48-Uzman_D!$I$13),AK48-Uzman_D!$I$13)*0.1+IF(AL48-Uzman_D!$J$13&lt;0,-(AL48-Uzman_D!$J$13),AL48-Uzman_D!$J$13)*0.1)+IF(ROUND((IF(AN48-Uzman_D!$L$13&lt;0,-(AN48-Uzman_D!$L$13),AN48-Uzman_D!$L$13)*2),0)/2=IF(AN48-Uzman_D!$L$13&lt;0,-(AN48-Uzman_D!$L$13),AN48-Uzman_D!$L$13),(ROUND((IF(AN48-Uzman_D!$L$13&lt;0,-(AN48-Uzman_D!$L$13),AN48-Uzman_D!$L$13)*2),0)/1*0.1),0)+IF(AO48-Uzman_D!$M$13&lt;0,-(AO48-Uzman_D!$M$13),AO48-Uzman_D!$M$13)*1)</f>
        <v>-0.50000000000000022</v>
      </c>
      <c r="AQ48" s="56">
        <v>1</v>
      </c>
      <c r="AR48" s="56">
        <v>0</v>
      </c>
      <c r="AS48" s="56">
        <v>0</v>
      </c>
      <c r="AT48" s="56">
        <v>2</v>
      </c>
      <c r="AU48" s="56">
        <v>1</v>
      </c>
      <c r="AV48" s="56"/>
      <c r="AW48" s="56"/>
      <c r="AX48" s="56"/>
      <c r="AY48" s="56"/>
      <c r="AZ48" s="56"/>
      <c r="BA48" s="70">
        <v>1</v>
      </c>
      <c r="BB48" s="70">
        <v>0.1</v>
      </c>
      <c r="BC48" s="71">
        <f>1-(SUM(IF(AQ48-Uzman_D!$B$14&lt;0,-(AQ48-Uzman_D!$B$14),AQ48-Uzman_D!$B$14)*0.1+IF(AR48-Uzman_D!$C$14&lt;0,-(AR48-Uzman_D!$C$14),AR48-Uzman_D!$C$14)*0.1+IF(AS48-Uzman_D!$D$14&lt;0,-(AS48-Uzman_D!$D$14),AS48-Uzman_D!$D$14)*0.1+IF(AT48-Uzman_D!$E$14&lt;0,-(AT48-Uzman_D!$E$14),AT48-Uzman_D!$E$14)*0.1+IF(AU48-Uzman_D!$F$14&lt;0,-(AU48-Uzman_D!$F$14),AU48-Uzman_D!$F$14)*0.1+IF(AV48-Uzman_D!$G$14&lt;0,-(AV48-Uzman_D!$G$14),AV48-Uzman_D!$G$14)*0.1+IF(AW48-Uzman_D!$H$14&lt;0,-(AW48-Uzman_D!$H$14),AW48-Uzman_D!$H$14)*0.1+IF(AX48-Uzman_D!$I$14&lt;0,-(AX48-Uzman_D!$I$14),AX48-Uzman_D!$I$14)*0.1+IF(AY48-Uzman_D!$J$14&lt;0,-(AY48-Uzman_D!$J$14),AY48-Uzman_D!$J$14)*0.1)+IF(ROUND((IF(BA48-Uzman_D!$L$14&lt;0,-(BA48-Uzman_D!$L$14),BA48-Uzman_D!$L$14)*2),0)/2=IF(BA48-Uzman_D!$L$14&lt;0,-(BA48-Uzman_D!$L$14),BA48-Uzman_D!$L$14),(ROUND((IF(BA48-Uzman_D!$L$14&lt;0,-(BA48-Uzman_D!$L$14),BA48-Uzman_D!$L$14)*2),0)/1*0.1),0)+IF(BB48-Uzman_D!$M$14&lt;0,-(BB48-Uzman_D!$M$14),BB48-Uzman_D!$M$14)*1)</f>
        <v>0</v>
      </c>
      <c r="BD48" s="56"/>
      <c r="BE48" s="56">
        <v>0</v>
      </c>
      <c r="BF48" s="56">
        <v>2</v>
      </c>
      <c r="BG48" s="56">
        <v>0</v>
      </c>
      <c r="BH48" s="56"/>
      <c r="BI48" s="56"/>
      <c r="BJ48" s="56"/>
      <c r="BK48" s="56"/>
      <c r="BL48" s="56"/>
      <c r="BM48" s="56"/>
      <c r="BN48" s="70">
        <v>1.5</v>
      </c>
      <c r="BO48" s="70">
        <v>0.2</v>
      </c>
      <c r="BP48" s="71">
        <f>1-(SUM(IF(BD48-Uzman_D!$B$15&lt;0,-(BD48-Uzman_D!$B$15),BD48-Uzman_D!$B$15)*0.1+IF(BE48-Uzman_D!$C$15&lt;0,-(BE48-Uzman_D!$C$15),BE48-Uzman_D!$C$15)*0.1+IF(BF48-Uzman_D!$D$15&lt;0,-(BF48-Uzman_D!$D$15),BF48-Uzman_D!$D$15)*0.1+IF(BG48-Uzman_D!$E$15&lt;0,-(BG48-Uzman_D!$E$15),BG48-Uzman_D!$E$15)*0.1+IF(BH48-Uzman_D!$F$15&lt;0,-(BH48-Uzman_D!$F$15),BH48-Uzman_D!$F$15)*0.1+IF(BI48-Uzman_D!$G$15&lt;0,-(BI48-Uzman_D!$G$15),BI48-Uzman_D!$G$15)*0.1+IF(BJ48-Uzman_D!$H$15&lt;0,-(BJ48-Uzman_D!$H$15),BJ48-Uzman_D!$H$15)*0.1+IF(BK48-Uzman_D!$I$15&lt;0,-(BK48-Uzman_D!$I$15),BK48-Uzman_D!$I$15)*0.1+IF(BL48-Uzman_D!$J$15&lt;0,-(BL48-Uzman_D!$J$15),BL48-Uzman_D!$J$15)*0.1)+IF(ROUND((IF(BN48-Uzman_D!$L$15&lt;0,-(BN48-Uzman_D!$L$15),BN48-Uzman_D!$L$15)*2),0)/2=IF(BN48-Uzman_D!$L$15&lt;0,-(BN48-Uzman_D!$L$15),BN48-Uzman_D!$L$15),(ROUND((IF(BN48-Uzman_D!$L$15&lt;0,-(BN48-Uzman_D!$L$15),BN48-Uzman_D!$L$15)*2),0)/1*0.1),0)+IF(BO48-Uzman_D!$M$15&lt;0,-(BO48-Uzman_D!$M$15),BO48-Uzman_D!$M$15)*1)</f>
        <v>0.20000000000000007</v>
      </c>
      <c r="BQ48" s="72">
        <f t="shared" si="1"/>
        <v>-0.4</v>
      </c>
    </row>
    <row r="49" spans="1:69" ht="15" customHeight="1" x14ac:dyDescent="0.45">
      <c r="A49" s="54">
        <v>46</v>
      </c>
      <c r="B49" s="163" t="str">
        <f>Hakemler!B49</f>
        <v>EDE</v>
      </c>
      <c r="C49" s="163" t="str">
        <f>Hakemler!C49</f>
        <v>İHSAN</v>
      </c>
      <c r="D49" s="56"/>
      <c r="E49" s="56">
        <v>4</v>
      </c>
      <c r="F49" s="56">
        <v>3</v>
      </c>
      <c r="G49" s="56">
        <v>1</v>
      </c>
      <c r="H49" s="56"/>
      <c r="I49" s="56"/>
      <c r="J49" s="56"/>
      <c r="K49" s="56"/>
      <c r="L49" s="56"/>
      <c r="M49" s="56"/>
      <c r="N49" s="70">
        <v>2</v>
      </c>
      <c r="O49" s="70">
        <v>0.5</v>
      </c>
      <c r="P49" s="71">
        <f>1-(SUM(IF(D49-Uzman_D!$B$11&lt;0,-(D49-Uzman_D!$B$11),D49-Uzman_D!$B$11)*0.1+IF(E49-Uzman_D!$C$11&lt;0,-(E49-Uzman_D!$C$11),E49-Uzman_D!$C$11)*0.1+IF(F49-Uzman_D!$D$11&lt;0,-(F49-Uzman_D!$D$11),F49-Uzman_D!$D$11)*0.1+IF(G49-Uzman_D!$E$11&lt;0,-(G49-Uzman_D!$E$11),G49-Uzman_D!$E$11)*0.1+IF(H49-Uzman_D!$F$11&lt;0,-(H49-Uzman_D!$F$11),H49-Uzman_D!$F$11)*0.1+IF(I49-Uzman_D!$G$11&lt;0,-(I49-Uzman_D!$G$11),I49-Uzman_D!$G$11)*0.1+IF(J49-Uzman_D!$H$11&lt;0,-(J49-Uzman_D!$H$11),J49-Uzman_D!$H$11)*0.1+IF(K49-Uzman_D!$I$11&lt;0,-(K49-Uzman_D!$I$11),K49-Uzman_D!$I$11)*0.1+IF(L49-Uzman_D!$J$11&lt;0,-(L49-Uzman_D!$J$11),L49-Uzman_D!$J$11)*0.1)+IF(ROUND((IF(N49-Uzman_D!$L$11&lt;0,-(N49-Uzman_D!$L$11),N49-Uzman_D!$L$11)*2),0)/2=IF(N49-Uzman_D!$L$11&lt;0,-(N49-Uzman_D!$L$11),N49-Uzman_D!$L$11),(ROUND((IF(N49-Uzman_D!$L$11&lt;0,-(N49-Uzman_D!$L$11),N49-Uzman_D!$L$11)*2),0)/1*0.1),0)+IF(O49-Uzman_D!$M$11&lt;0,-(O49-Uzman_D!$M$11),O49-Uzman_D!$M$11)*1)</f>
        <v>-0.40000000000000013</v>
      </c>
      <c r="Q49" s="56"/>
      <c r="R49" s="56">
        <v>2</v>
      </c>
      <c r="S49" s="56">
        <v>3</v>
      </c>
      <c r="T49" s="56">
        <v>3</v>
      </c>
      <c r="U49" s="56"/>
      <c r="V49" s="56"/>
      <c r="W49" s="56"/>
      <c r="X49" s="56"/>
      <c r="Y49" s="56"/>
      <c r="Z49" s="56"/>
      <c r="AA49" s="70">
        <v>2</v>
      </c>
      <c r="AB49" s="70">
        <v>0.5</v>
      </c>
      <c r="AC49" s="71">
        <f>1-(SUM(IF(Q49-Uzman_D!$B$12&lt;0,-(Q49-Uzman_D!$B$12),Q49-Uzman_D!$B$12)*0.1+IF(R49-Uzman_D!$C$12&lt;0,-(R49-Uzman_D!$C$12),R49-Uzman_D!$C$12)*0.1+IF(S49-Uzman_D!$D$12&lt;0,-(S49-Uzman_D!$D$12),S49-Uzman_D!$D$12)*0.1+IF(T49-Uzman_D!$E$12&lt;0,-(T49-Uzman_D!$E$12),T49-Uzman_D!$E$12)*0.1+IF(U49-Uzman_D!$F$12&lt;0,-(U49-Uzman_D!$F$12),U49-Uzman_D!$F$12)*0.1+IF(V49-Uzman_D!$G$12&lt;0,-(V49-Uzman_D!$G$12),V49-Uzman_D!$G$12)*0.1+IF(W49-Uzman_D!$H$12&lt;0,-(W49-Uzman_D!$H$12),W49-Uzman_D!$H$12)*0.1+IF(X49-Uzman_D!$I$12&lt;0,-(X49-Uzman_D!$I$12),X49-Uzman_D!$I$12)*0.1+IF(Y49-Uzman_D!$J$12&lt;0,-(Y49-Uzman_D!$J$12),Y49-Uzman_D!$J$12)*0.1)+IF(ROUND((IF(AA49-Uzman_D!$L$12&lt;0,-(AA49-Uzman_D!$L$12),AA49-Uzman_D!$L$12)*2),0)/2=IF(AA49-Uzman_D!$L$12&lt;0,-(AA49-Uzman_D!$L$12),AA49-Uzman_D!$L$12),(ROUND((IF(AA49-Uzman_D!$L$12&lt;0,-(AA49-Uzman_D!$L$12),AA49-Uzman_D!$L$12)*2),0)/1*0.1),0)+IF(AB49-Uzman_D!$M$12&lt;0,-(AB49-Uzman_D!$M$12),AB49-Uzman_D!$M$12)*1)</f>
        <v>0.20000000000000007</v>
      </c>
      <c r="AD49" s="56"/>
      <c r="AE49" s="56">
        <v>2</v>
      </c>
      <c r="AF49" s="56">
        <v>4</v>
      </c>
      <c r="AG49" s="56">
        <v>2</v>
      </c>
      <c r="AH49" s="56"/>
      <c r="AI49" s="56"/>
      <c r="AJ49" s="56"/>
      <c r="AK49" s="56"/>
      <c r="AL49" s="56"/>
      <c r="AM49" s="56"/>
      <c r="AN49" s="70">
        <v>1</v>
      </c>
      <c r="AO49" s="70">
        <v>0.4</v>
      </c>
      <c r="AP49" s="71">
        <f>1-(SUM(IF(AD49-Uzman_D!$B$13&lt;0,-(AD49-Uzman_D!$B$13),AD49-Uzman_D!$B$13)*0.1+IF(AE49-Uzman_D!$C$13&lt;0,-(AE49-Uzman_D!$C$13),AE49-Uzman_D!$C$13)*0.1+IF(AF49-Uzman_D!$D$13&lt;0,-(AF49-Uzman_D!$D$13),AF49-Uzman_D!$D$13)*0.1+IF(AG49-Uzman_D!$E$13&lt;0,-(AG49-Uzman_D!$E$13),AG49-Uzman_D!$E$13)*0.1+IF(AH49-Uzman_D!$F$13&lt;0,-(AH49-Uzman_D!$F$13),AH49-Uzman_D!$F$13)*0.1+IF(AI49-Uzman_D!$G$13&lt;0,-(AI49-Uzman_D!$G$13),AI49-Uzman_D!$G$13)*0.1+IF(AJ49-Uzman_D!$H$13&lt;0,-(AJ49-Uzman_D!$H$13),AJ49-Uzman_D!$H$13)*0.1+IF(AK49-Uzman_D!$I$13&lt;0,-(AK49-Uzman_D!$I$13),AK49-Uzman_D!$I$13)*0.1+IF(AL49-Uzman_D!$J$13&lt;0,-(AL49-Uzman_D!$J$13),AL49-Uzman_D!$J$13)*0.1)+IF(ROUND((IF(AN49-Uzman_D!$L$13&lt;0,-(AN49-Uzman_D!$L$13),AN49-Uzman_D!$L$13)*2),0)/2=IF(AN49-Uzman_D!$L$13&lt;0,-(AN49-Uzman_D!$L$13),AN49-Uzman_D!$L$13),(ROUND((IF(AN49-Uzman_D!$L$13&lt;0,-(AN49-Uzman_D!$L$13),AN49-Uzman_D!$L$13)*2),0)/1*0.1),0)+IF(AO49-Uzman_D!$M$13&lt;0,-(AO49-Uzman_D!$M$13),AO49-Uzman_D!$M$13)*1)</f>
        <v>-0.10000000000000009</v>
      </c>
      <c r="AQ49" s="56">
        <v>1</v>
      </c>
      <c r="AR49" s="56">
        <v>4</v>
      </c>
      <c r="AS49" s="56">
        <v>3</v>
      </c>
      <c r="AT49" s="56"/>
      <c r="AU49" s="56"/>
      <c r="AV49" s="56"/>
      <c r="AW49" s="56"/>
      <c r="AX49" s="56"/>
      <c r="AY49" s="56"/>
      <c r="AZ49" s="56"/>
      <c r="BA49" s="70">
        <v>0.5</v>
      </c>
      <c r="BB49" s="70">
        <v>0.1</v>
      </c>
      <c r="BC49" s="71">
        <f>1-(SUM(IF(AQ49-Uzman_D!$B$14&lt;0,-(AQ49-Uzman_D!$B$14),AQ49-Uzman_D!$B$14)*0.1+IF(AR49-Uzman_D!$C$14&lt;0,-(AR49-Uzman_D!$C$14),AR49-Uzman_D!$C$14)*0.1+IF(AS49-Uzman_D!$D$14&lt;0,-(AS49-Uzman_D!$D$14),AS49-Uzman_D!$D$14)*0.1+IF(AT49-Uzman_D!$E$14&lt;0,-(AT49-Uzman_D!$E$14),AT49-Uzman_D!$E$14)*0.1+IF(AU49-Uzman_D!$F$14&lt;0,-(AU49-Uzman_D!$F$14),AU49-Uzman_D!$F$14)*0.1+IF(AV49-Uzman_D!$G$14&lt;0,-(AV49-Uzman_D!$G$14),AV49-Uzman_D!$G$14)*0.1+IF(AW49-Uzman_D!$H$14&lt;0,-(AW49-Uzman_D!$H$14),AW49-Uzman_D!$H$14)*0.1+IF(AX49-Uzman_D!$I$14&lt;0,-(AX49-Uzman_D!$I$14),AX49-Uzman_D!$I$14)*0.1+IF(AY49-Uzman_D!$J$14&lt;0,-(AY49-Uzman_D!$J$14),AY49-Uzman_D!$J$14)*0.1)+IF(ROUND((IF(BA49-Uzman_D!$L$14&lt;0,-(BA49-Uzman_D!$L$14),BA49-Uzman_D!$L$14)*2),0)/2=IF(BA49-Uzman_D!$L$14&lt;0,-(BA49-Uzman_D!$L$14),BA49-Uzman_D!$L$14),(ROUND((IF(BA49-Uzman_D!$L$14&lt;0,-(BA49-Uzman_D!$L$14),BA49-Uzman_D!$L$14)*2),0)/1*0.1),0)+IF(BB49-Uzman_D!$M$14&lt;0,-(BB49-Uzman_D!$M$14),BB49-Uzman_D!$M$14)*1)</f>
        <v>0.29999999999999993</v>
      </c>
      <c r="BD49" s="56">
        <v>1</v>
      </c>
      <c r="BE49" s="56">
        <v>2</v>
      </c>
      <c r="BF49" s="56">
        <v>3</v>
      </c>
      <c r="BG49" s="56">
        <v>2</v>
      </c>
      <c r="BH49" s="56"/>
      <c r="BI49" s="56"/>
      <c r="BJ49" s="56"/>
      <c r="BK49" s="56"/>
      <c r="BL49" s="56"/>
      <c r="BM49" s="56"/>
      <c r="BN49" s="70">
        <v>2</v>
      </c>
      <c r="BO49" s="70">
        <v>0.8</v>
      </c>
      <c r="BP49" s="71">
        <f>1-(SUM(IF(BD49-Uzman_D!$B$15&lt;0,-(BD49-Uzman_D!$B$15),BD49-Uzman_D!$B$15)*0.1+IF(BE49-Uzman_D!$C$15&lt;0,-(BE49-Uzman_D!$C$15),BE49-Uzman_D!$C$15)*0.1+IF(BF49-Uzman_D!$D$15&lt;0,-(BF49-Uzman_D!$D$15),BF49-Uzman_D!$D$15)*0.1+IF(BG49-Uzman_D!$E$15&lt;0,-(BG49-Uzman_D!$E$15),BG49-Uzman_D!$E$15)*0.1+IF(BH49-Uzman_D!$F$15&lt;0,-(BH49-Uzman_D!$F$15),BH49-Uzman_D!$F$15)*0.1+IF(BI49-Uzman_D!$G$15&lt;0,-(BI49-Uzman_D!$G$15),BI49-Uzman_D!$G$15)*0.1+IF(BJ49-Uzman_D!$H$15&lt;0,-(BJ49-Uzman_D!$H$15),BJ49-Uzman_D!$H$15)*0.1+IF(BK49-Uzman_D!$I$15&lt;0,-(BK49-Uzman_D!$I$15),BK49-Uzman_D!$I$15)*0.1+IF(BL49-Uzman_D!$J$15&lt;0,-(BL49-Uzman_D!$J$15),BL49-Uzman_D!$J$15)*0.1)+IF(ROUND((IF(BN49-Uzman_D!$L$15&lt;0,-(BN49-Uzman_D!$L$15),BN49-Uzman_D!$L$15)*2),0)/2=IF(BN49-Uzman_D!$L$15&lt;0,-(BN49-Uzman_D!$L$15),BN49-Uzman_D!$L$15),(ROUND((IF(BN49-Uzman_D!$L$15&lt;0,-(BN49-Uzman_D!$L$15),BN49-Uzman_D!$L$15)*2),0)/1*0.1),0)+IF(BO49-Uzman_D!$M$15&lt;0,-(BO49-Uzman_D!$M$15),BO49-Uzman_D!$M$15)*1)</f>
        <v>9.9999999999999978E-2</v>
      </c>
      <c r="BQ49" s="72">
        <f t="shared" si="1"/>
        <v>1.9999999999999952E-2</v>
      </c>
    </row>
    <row r="50" spans="1:69" ht="15" customHeight="1" x14ac:dyDescent="0.45">
      <c r="A50" s="54">
        <v>47</v>
      </c>
      <c r="B50" s="165">
        <f>Hakemler!B50</f>
        <v>0</v>
      </c>
      <c r="C50" s="165">
        <f>Hakemler!C50</f>
        <v>0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70"/>
      <c r="O50" s="70"/>
      <c r="P50" s="71">
        <f>1-(SUM(IF(D50-Uzman_D!$B$11&lt;0,-(D50-Uzman_D!$B$11),D50-Uzman_D!$B$11)*0.1+IF(E50-Uzman_D!$C$11&lt;0,-(E50-Uzman_D!$C$11),E50-Uzman_D!$C$11)*0.1+IF(F50-Uzman_D!$D$11&lt;0,-(F50-Uzman_D!$D$11),F50-Uzman_D!$D$11)*0.1+IF(G50-Uzman_D!$E$11&lt;0,-(G50-Uzman_D!$E$11),G50-Uzman_D!$E$11)*0.1+IF(H50-Uzman_D!$F$11&lt;0,-(H50-Uzman_D!$F$11),H50-Uzman_D!$F$11)*0.1+IF(I50-Uzman_D!$G$11&lt;0,-(I50-Uzman_D!$G$11),I50-Uzman_D!$G$11)*0.1+IF(J50-Uzman_D!$H$11&lt;0,-(J50-Uzman_D!$H$11),J50-Uzman_D!$H$11)*0.1+IF(K50-Uzman_D!$I$11&lt;0,-(K50-Uzman_D!$I$11),K50-Uzman_D!$I$11)*0.1+IF(L50-Uzman_D!$J$11&lt;0,-(L50-Uzman_D!$J$11),L50-Uzman_D!$J$11)*0.1)+IF(ROUND((IF(N50-Uzman_D!$L$11&lt;0,-(N50-Uzman_D!$L$11),N50-Uzman_D!$L$11)*2),0)/2=IF(N50-Uzman_D!$L$11&lt;0,-(N50-Uzman_D!$L$11),N50-Uzman_D!$L$11),(ROUND((IF(N50-Uzman_D!$L$11&lt;0,-(N50-Uzman_D!$L$11),N50-Uzman_D!$L$11)*2),0)/1*0.1),0)+IF(O50-Uzman_D!$M$11&lt;0,-(O50-Uzman_D!$M$11),O50-Uzman_D!$M$11)*1)</f>
        <v>-0.90000000000000013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70"/>
      <c r="AB50" s="70"/>
      <c r="AC50" s="71">
        <f>1-(SUM(IF(Q50-Uzman_D!$B$12&lt;0,-(Q50-Uzman_D!$B$12),Q50-Uzman_D!$B$12)*0.1+IF(R50-Uzman_D!$C$12&lt;0,-(R50-Uzman_D!$C$12),R50-Uzman_D!$C$12)*0.1+IF(S50-Uzman_D!$D$12&lt;0,-(S50-Uzman_D!$D$12),S50-Uzman_D!$D$12)*0.1+IF(T50-Uzman_D!$E$12&lt;0,-(T50-Uzman_D!$E$12),T50-Uzman_D!$E$12)*0.1+IF(U50-Uzman_D!$F$12&lt;0,-(U50-Uzman_D!$F$12),U50-Uzman_D!$F$12)*0.1+IF(V50-Uzman_D!$G$12&lt;0,-(V50-Uzman_D!$G$12),V50-Uzman_D!$G$12)*0.1+IF(W50-Uzman_D!$H$12&lt;0,-(W50-Uzman_D!$H$12),W50-Uzman_D!$H$12)*0.1+IF(X50-Uzman_D!$I$12&lt;0,-(X50-Uzman_D!$I$12),X50-Uzman_D!$I$12)*0.1+IF(Y50-Uzman_D!$J$12&lt;0,-(Y50-Uzman_D!$J$12),Y50-Uzman_D!$J$12)*0.1)+IF(ROUND((IF(AA50-Uzman_D!$L$12&lt;0,-(AA50-Uzman_D!$L$12),AA50-Uzman_D!$L$12)*2),0)/2=IF(AA50-Uzman_D!$L$12&lt;0,-(AA50-Uzman_D!$L$12),AA50-Uzman_D!$L$12),(ROUND((IF(AA50-Uzman_D!$L$12&lt;0,-(AA50-Uzman_D!$L$12),AA50-Uzman_D!$L$12)*2),0)/1*0.1),0)+IF(AB50-Uzman_D!$M$12&lt;0,-(AB50-Uzman_D!$M$12),AB50-Uzman_D!$M$12)*1)</f>
        <v>-0.7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70"/>
      <c r="AO50" s="70"/>
      <c r="AP50" s="71">
        <f>1-(SUM(IF(AD50-Uzman_D!$B$13&lt;0,-(AD50-Uzman_D!$B$13),AD50-Uzman_D!$B$13)*0.1+IF(AE50-Uzman_D!$C$13&lt;0,-(AE50-Uzman_D!$C$13),AE50-Uzman_D!$C$13)*0.1+IF(AF50-Uzman_D!$D$13&lt;0,-(AF50-Uzman_D!$D$13),AF50-Uzman_D!$D$13)*0.1+IF(AG50-Uzman_D!$E$13&lt;0,-(AG50-Uzman_D!$E$13),AG50-Uzman_D!$E$13)*0.1+IF(AH50-Uzman_D!$F$13&lt;0,-(AH50-Uzman_D!$F$13),AH50-Uzman_D!$F$13)*0.1+IF(AI50-Uzman_D!$G$13&lt;0,-(AI50-Uzman_D!$G$13),AI50-Uzman_D!$G$13)*0.1+IF(AJ50-Uzman_D!$H$13&lt;0,-(AJ50-Uzman_D!$H$13),AJ50-Uzman_D!$H$13)*0.1+IF(AK50-Uzman_D!$I$13&lt;0,-(AK50-Uzman_D!$I$13),AK50-Uzman_D!$I$13)*0.1+IF(AL50-Uzman_D!$J$13&lt;0,-(AL50-Uzman_D!$J$13),AL50-Uzman_D!$J$13)*0.1)+IF(ROUND((IF(AN50-Uzman_D!$L$13&lt;0,-(AN50-Uzman_D!$L$13),AN50-Uzman_D!$L$13)*2),0)/2=IF(AN50-Uzman_D!$L$13&lt;0,-(AN50-Uzman_D!$L$13),AN50-Uzman_D!$L$13),(ROUND((IF(AN50-Uzman_D!$L$13&lt;0,-(AN50-Uzman_D!$L$13),AN50-Uzman_D!$L$13)*2),0)/1*0.1),0)+IF(AO50-Uzman_D!$M$13&lt;0,-(AO50-Uzman_D!$M$13),AO50-Uzman_D!$M$13)*1)</f>
        <v>-0.30000000000000004</v>
      </c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70"/>
      <c r="BB50" s="70"/>
      <c r="BC50" s="71">
        <f>1-(SUM(IF(AQ50-Uzman_D!$B$14&lt;0,-(AQ50-Uzman_D!$B$14),AQ50-Uzman_D!$B$14)*0.1+IF(AR50-Uzman_D!$C$14&lt;0,-(AR50-Uzman_D!$C$14),AR50-Uzman_D!$C$14)*0.1+IF(AS50-Uzman_D!$D$14&lt;0,-(AS50-Uzman_D!$D$14),AS50-Uzman_D!$D$14)*0.1+IF(AT50-Uzman_D!$E$14&lt;0,-(AT50-Uzman_D!$E$14),AT50-Uzman_D!$E$14)*0.1+IF(AU50-Uzman_D!$F$14&lt;0,-(AU50-Uzman_D!$F$14),AU50-Uzman_D!$F$14)*0.1+IF(AV50-Uzman_D!$G$14&lt;0,-(AV50-Uzman_D!$G$14),AV50-Uzman_D!$G$14)*0.1+IF(AW50-Uzman_D!$H$14&lt;0,-(AW50-Uzman_D!$H$14),AW50-Uzman_D!$H$14)*0.1+IF(AX50-Uzman_D!$I$14&lt;0,-(AX50-Uzman_D!$I$14),AX50-Uzman_D!$I$14)*0.1+IF(AY50-Uzman_D!$J$14&lt;0,-(AY50-Uzman_D!$J$14),AY50-Uzman_D!$J$14)*0.1)+IF(ROUND((IF(BA50-Uzman_D!$L$14&lt;0,-(BA50-Uzman_D!$L$14),BA50-Uzman_D!$L$14)*2),0)/2=IF(BA50-Uzman_D!$L$14&lt;0,-(BA50-Uzman_D!$L$14),BA50-Uzman_D!$L$14),(ROUND((IF(BA50-Uzman_D!$L$14&lt;0,-(BA50-Uzman_D!$L$14),BA50-Uzman_D!$L$14)*2),0)/1*0.1),0)+IF(BB50-Uzman_D!$M$14&lt;0,-(BB50-Uzman_D!$M$14),BB50-Uzman_D!$M$14)*1)</f>
        <v>-0.30000000000000027</v>
      </c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70"/>
      <c r="BO50" s="70"/>
      <c r="BP50" s="71">
        <f>1-(SUM(IF(BD50-Uzman_D!$B$15&lt;0,-(BD50-Uzman_D!$B$15),BD50-Uzman_D!$B$15)*0.1+IF(BE50-Uzman_D!$C$15&lt;0,-(BE50-Uzman_D!$C$15),BE50-Uzman_D!$C$15)*0.1+IF(BF50-Uzman_D!$D$15&lt;0,-(BF50-Uzman_D!$D$15),BF50-Uzman_D!$D$15)*0.1+IF(BG50-Uzman_D!$E$15&lt;0,-(BG50-Uzman_D!$E$15),BG50-Uzman_D!$E$15)*0.1+IF(BH50-Uzman_D!$F$15&lt;0,-(BH50-Uzman_D!$F$15),BH50-Uzman_D!$F$15)*0.1+IF(BI50-Uzman_D!$G$15&lt;0,-(BI50-Uzman_D!$G$15),BI50-Uzman_D!$G$15)*0.1+IF(BJ50-Uzman_D!$H$15&lt;0,-(BJ50-Uzman_D!$H$15),BJ50-Uzman_D!$H$15)*0.1+IF(BK50-Uzman_D!$I$15&lt;0,-(BK50-Uzman_D!$I$15),BK50-Uzman_D!$I$15)*0.1+IF(BL50-Uzman_D!$J$15&lt;0,-(BL50-Uzman_D!$J$15),BL50-Uzman_D!$J$15)*0.1)+IF(ROUND((IF(BN50-Uzman_D!$L$15&lt;0,-(BN50-Uzman_D!$L$15),BN50-Uzman_D!$L$15)*2),0)/2=IF(BN50-Uzman_D!$L$15&lt;0,-(BN50-Uzman_D!$L$15),BN50-Uzman_D!$L$15),(ROUND((IF(BN50-Uzman_D!$L$15&lt;0,-(BN50-Uzman_D!$L$15),BN50-Uzman_D!$L$15)*2),0)/1*0.1),0)+IF(BO50-Uzman_D!$M$15&lt;0,-(BO50-Uzman_D!$M$15),BO50-Uzman_D!$M$15)*1)</f>
        <v>-0.50000000000000022</v>
      </c>
      <c r="BQ50" s="72">
        <f t="shared" si="1"/>
        <v>-0.54</v>
      </c>
    </row>
    <row r="51" spans="1:69" ht="15" customHeight="1" x14ac:dyDescent="0.45">
      <c r="A51" s="54">
        <v>48</v>
      </c>
      <c r="B51" s="166">
        <f>Hakemler!B51</f>
        <v>0</v>
      </c>
      <c r="C51" s="166">
        <f>Hakemler!C51</f>
        <v>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70"/>
      <c r="O51" s="70"/>
      <c r="P51" s="71">
        <f>1-(SUM(IF(D51-Uzman_D!$B$11&lt;0,-(D51-Uzman_D!$B$11),D51-Uzman_D!$B$11)*0.1+IF(E51-Uzman_D!$C$11&lt;0,-(E51-Uzman_D!$C$11),E51-Uzman_D!$C$11)*0.1+IF(F51-Uzman_D!$D$11&lt;0,-(F51-Uzman_D!$D$11),F51-Uzman_D!$D$11)*0.1+IF(G51-Uzman_D!$E$11&lt;0,-(G51-Uzman_D!$E$11),G51-Uzman_D!$E$11)*0.1+IF(H51-Uzman_D!$F$11&lt;0,-(H51-Uzman_D!$F$11),H51-Uzman_D!$F$11)*0.1+IF(I51-Uzman_D!$G$11&lt;0,-(I51-Uzman_D!$G$11),I51-Uzman_D!$G$11)*0.1+IF(J51-Uzman_D!$H$11&lt;0,-(J51-Uzman_D!$H$11),J51-Uzman_D!$H$11)*0.1+IF(K51-Uzman_D!$I$11&lt;0,-(K51-Uzman_D!$I$11),K51-Uzman_D!$I$11)*0.1+IF(L51-Uzman_D!$J$11&lt;0,-(L51-Uzman_D!$J$11),L51-Uzman_D!$J$11)*0.1)+IF(ROUND((IF(N51-Uzman_D!$L$11&lt;0,-(N51-Uzman_D!$L$11),N51-Uzman_D!$L$11)*2),0)/2=IF(N51-Uzman_D!$L$11&lt;0,-(N51-Uzman_D!$L$11),N51-Uzman_D!$L$11),(ROUND((IF(N51-Uzman_D!$L$11&lt;0,-(N51-Uzman_D!$L$11),N51-Uzman_D!$L$11)*2),0)/1*0.1),0)+IF(O51-Uzman_D!$M$11&lt;0,-(O51-Uzman_D!$M$11),O51-Uzman_D!$M$11)*1)</f>
        <v>-0.90000000000000013</v>
      </c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70"/>
      <c r="AB51" s="70"/>
      <c r="AC51" s="71">
        <f>1-(SUM(IF(Q51-Uzman_D!$B$12&lt;0,-(Q51-Uzman_D!$B$12),Q51-Uzman_D!$B$12)*0.1+IF(R51-Uzman_D!$C$12&lt;0,-(R51-Uzman_D!$C$12),R51-Uzman_D!$C$12)*0.1+IF(S51-Uzman_D!$D$12&lt;0,-(S51-Uzman_D!$D$12),S51-Uzman_D!$D$12)*0.1+IF(T51-Uzman_D!$E$12&lt;0,-(T51-Uzman_D!$E$12),T51-Uzman_D!$E$12)*0.1+IF(U51-Uzman_D!$F$12&lt;0,-(U51-Uzman_D!$F$12),U51-Uzman_D!$F$12)*0.1+IF(V51-Uzman_D!$G$12&lt;0,-(V51-Uzman_D!$G$12),V51-Uzman_D!$G$12)*0.1+IF(W51-Uzman_D!$H$12&lt;0,-(W51-Uzman_D!$H$12),W51-Uzman_D!$H$12)*0.1+IF(X51-Uzman_D!$I$12&lt;0,-(X51-Uzman_D!$I$12),X51-Uzman_D!$I$12)*0.1+IF(Y51-Uzman_D!$J$12&lt;0,-(Y51-Uzman_D!$J$12),Y51-Uzman_D!$J$12)*0.1)+IF(ROUND((IF(AA51-Uzman_D!$L$12&lt;0,-(AA51-Uzman_D!$L$12),AA51-Uzman_D!$L$12)*2),0)/2=IF(AA51-Uzman_D!$L$12&lt;0,-(AA51-Uzman_D!$L$12),AA51-Uzman_D!$L$12),(ROUND((IF(AA51-Uzman_D!$L$12&lt;0,-(AA51-Uzman_D!$L$12),AA51-Uzman_D!$L$12)*2),0)/1*0.1),0)+IF(AB51-Uzman_D!$M$12&lt;0,-(AB51-Uzman_D!$M$12),AB51-Uzman_D!$M$12)*1)</f>
        <v>-0.7</v>
      </c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70"/>
      <c r="AO51" s="70"/>
      <c r="AP51" s="71">
        <f>1-(SUM(IF(AD51-Uzman_D!$B$13&lt;0,-(AD51-Uzman_D!$B$13),AD51-Uzman_D!$B$13)*0.1+IF(AE51-Uzman_D!$C$13&lt;0,-(AE51-Uzman_D!$C$13),AE51-Uzman_D!$C$13)*0.1+IF(AF51-Uzman_D!$D$13&lt;0,-(AF51-Uzman_D!$D$13),AF51-Uzman_D!$D$13)*0.1+IF(AG51-Uzman_D!$E$13&lt;0,-(AG51-Uzman_D!$E$13),AG51-Uzman_D!$E$13)*0.1+IF(AH51-Uzman_D!$F$13&lt;0,-(AH51-Uzman_D!$F$13),AH51-Uzman_D!$F$13)*0.1+IF(AI51-Uzman_D!$G$13&lt;0,-(AI51-Uzman_D!$G$13),AI51-Uzman_D!$G$13)*0.1+IF(AJ51-Uzman_D!$H$13&lt;0,-(AJ51-Uzman_D!$H$13),AJ51-Uzman_D!$H$13)*0.1+IF(AK51-Uzman_D!$I$13&lt;0,-(AK51-Uzman_D!$I$13),AK51-Uzman_D!$I$13)*0.1+IF(AL51-Uzman_D!$J$13&lt;0,-(AL51-Uzman_D!$J$13),AL51-Uzman_D!$J$13)*0.1)+IF(ROUND((IF(AN51-Uzman_D!$L$13&lt;0,-(AN51-Uzman_D!$L$13),AN51-Uzman_D!$L$13)*2),0)/2=IF(AN51-Uzman_D!$L$13&lt;0,-(AN51-Uzman_D!$L$13),AN51-Uzman_D!$L$13),(ROUND((IF(AN51-Uzman_D!$L$13&lt;0,-(AN51-Uzman_D!$L$13),AN51-Uzman_D!$L$13)*2),0)/1*0.1),0)+IF(AO51-Uzman_D!$M$13&lt;0,-(AO51-Uzman_D!$M$13),AO51-Uzman_D!$M$13)*1)</f>
        <v>-0.30000000000000004</v>
      </c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70"/>
      <c r="BB51" s="70"/>
      <c r="BC51" s="71">
        <f>1-(SUM(IF(AQ51-Uzman_D!$B$14&lt;0,-(AQ51-Uzman_D!$B$14),AQ51-Uzman_D!$B$14)*0.1+IF(AR51-Uzman_D!$C$14&lt;0,-(AR51-Uzman_D!$C$14),AR51-Uzman_D!$C$14)*0.1+IF(AS51-Uzman_D!$D$14&lt;0,-(AS51-Uzman_D!$D$14),AS51-Uzman_D!$D$14)*0.1+IF(AT51-Uzman_D!$E$14&lt;0,-(AT51-Uzman_D!$E$14),AT51-Uzman_D!$E$14)*0.1+IF(AU51-Uzman_D!$F$14&lt;0,-(AU51-Uzman_D!$F$14),AU51-Uzman_D!$F$14)*0.1+IF(AV51-Uzman_D!$G$14&lt;0,-(AV51-Uzman_D!$G$14),AV51-Uzman_D!$G$14)*0.1+IF(AW51-Uzman_D!$H$14&lt;0,-(AW51-Uzman_D!$H$14),AW51-Uzman_D!$H$14)*0.1+IF(AX51-Uzman_D!$I$14&lt;0,-(AX51-Uzman_D!$I$14),AX51-Uzman_D!$I$14)*0.1+IF(AY51-Uzman_D!$J$14&lt;0,-(AY51-Uzman_D!$J$14),AY51-Uzman_D!$J$14)*0.1)+IF(ROUND((IF(BA51-Uzman_D!$L$14&lt;0,-(BA51-Uzman_D!$L$14),BA51-Uzman_D!$L$14)*2),0)/2=IF(BA51-Uzman_D!$L$14&lt;0,-(BA51-Uzman_D!$L$14),BA51-Uzman_D!$L$14),(ROUND((IF(BA51-Uzman_D!$L$14&lt;0,-(BA51-Uzman_D!$L$14),BA51-Uzman_D!$L$14)*2),0)/1*0.1),0)+IF(BB51-Uzman_D!$M$14&lt;0,-(BB51-Uzman_D!$M$14),BB51-Uzman_D!$M$14)*1)</f>
        <v>-0.30000000000000027</v>
      </c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70"/>
      <c r="BO51" s="70"/>
      <c r="BP51" s="71">
        <f>1-(SUM(IF(BD51-Uzman_D!$B$15&lt;0,-(BD51-Uzman_D!$B$15),BD51-Uzman_D!$B$15)*0.1+IF(BE51-Uzman_D!$C$15&lt;0,-(BE51-Uzman_D!$C$15),BE51-Uzman_D!$C$15)*0.1+IF(BF51-Uzman_D!$D$15&lt;0,-(BF51-Uzman_D!$D$15),BF51-Uzman_D!$D$15)*0.1+IF(BG51-Uzman_D!$E$15&lt;0,-(BG51-Uzman_D!$E$15),BG51-Uzman_D!$E$15)*0.1+IF(BH51-Uzman_D!$F$15&lt;0,-(BH51-Uzman_D!$F$15),BH51-Uzman_D!$F$15)*0.1+IF(BI51-Uzman_D!$G$15&lt;0,-(BI51-Uzman_D!$G$15),BI51-Uzman_D!$G$15)*0.1+IF(BJ51-Uzman_D!$H$15&lt;0,-(BJ51-Uzman_D!$H$15),BJ51-Uzman_D!$H$15)*0.1+IF(BK51-Uzman_D!$I$15&lt;0,-(BK51-Uzman_D!$I$15),BK51-Uzman_D!$I$15)*0.1+IF(BL51-Uzman_D!$J$15&lt;0,-(BL51-Uzman_D!$J$15),BL51-Uzman_D!$J$15)*0.1)+IF(ROUND((IF(BN51-Uzman_D!$L$15&lt;0,-(BN51-Uzman_D!$L$15),BN51-Uzman_D!$L$15)*2),0)/2=IF(BN51-Uzman_D!$L$15&lt;0,-(BN51-Uzman_D!$L$15),BN51-Uzman_D!$L$15),(ROUND((IF(BN51-Uzman_D!$L$15&lt;0,-(BN51-Uzman_D!$L$15),BN51-Uzman_D!$L$15)*2),0)/1*0.1),0)+IF(BO51-Uzman_D!$M$15&lt;0,-(BO51-Uzman_D!$M$15),BO51-Uzman_D!$M$15)*1)</f>
        <v>-0.50000000000000022</v>
      </c>
      <c r="BQ51" s="72">
        <f t="shared" si="1"/>
        <v>-0.54</v>
      </c>
    </row>
    <row r="52" spans="1:69" ht="15" customHeight="1" x14ac:dyDescent="0.45">
      <c r="A52" s="54">
        <v>49</v>
      </c>
      <c r="B52" s="165">
        <f>Hakemler!B52</f>
        <v>0</v>
      </c>
      <c r="C52" s="165">
        <f>Hakemler!C52</f>
        <v>0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70"/>
      <c r="O52" s="70"/>
      <c r="P52" s="71">
        <f>1-(SUM(IF(D52-Uzman_D!$B$11&lt;0,-(D52-Uzman_D!$B$11),D52-Uzman_D!$B$11)*0.1+IF(E52-Uzman_D!$C$11&lt;0,-(E52-Uzman_D!$C$11),E52-Uzman_D!$C$11)*0.1+IF(F52-Uzman_D!$D$11&lt;0,-(F52-Uzman_D!$D$11),F52-Uzman_D!$D$11)*0.1+IF(G52-Uzman_D!$E$11&lt;0,-(G52-Uzman_D!$E$11),G52-Uzman_D!$E$11)*0.1+IF(H52-Uzman_D!$F$11&lt;0,-(H52-Uzman_D!$F$11),H52-Uzman_D!$F$11)*0.1+IF(I52-Uzman_D!$G$11&lt;0,-(I52-Uzman_D!$G$11),I52-Uzman_D!$G$11)*0.1+IF(J52-Uzman_D!$H$11&lt;0,-(J52-Uzman_D!$H$11),J52-Uzman_D!$H$11)*0.1+IF(K52-Uzman_D!$I$11&lt;0,-(K52-Uzman_D!$I$11),K52-Uzman_D!$I$11)*0.1+IF(L52-Uzman_D!$J$11&lt;0,-(L52-Uzman_D!$J$11),L52-Uzman_D!$J$11)*0.1)+IF(ROUND((IF(N52-Uzman_D!$L$11&lt;0,-(N52-Uzman_D!$L$11),N52-Uzman_D!$L$11)*2),0)/2=IF(N52-Uzman_D!$L$11&lt;0,-(N52-Uzman_D!$L$11),N52-Uzman_D!$L$11),(ROUND((IF(N52-Uzman_D!$L$11&lt;0,-(N52-Uzman_D!$L$11),N52-Uzman_D!$L$11)*2),0)/1*0.1),0)+IF(O52-Uzman_D!$M$11&lt;0,-(O52-Uzman_D!$M$11),O52-Uzman_D!$M$11)*1)</f>
        <v>-0.90000000000000013</v>
      </c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70"/>
      <c r="AB52" s="70"/>
      <c r="AC52" s="71">
        <f>1-(SUM(IF(Q52-Uzman_D!$B$12&lt;0,-(Q52-Uzman_D!$B$12),Q52-Uzman_D!$B$12)*0.1+IF(R52-Uzman_D!$C$12&lt;0,-(R52-Uzman_D!$C$12),R52-Uzman_D!$C$12)*0.1+IF(S52-Uzman_D!$D$12&lt;0,-(S52-Uzman_D!$D$12),S52-Uzman_D!$D$12)*0.1+IF(T52-Uzman_D!$E$12&lt;0,-(T52-Uzman_D!$E$12),T52-Uzman_D!$E$12)*0.1+IF(U52-Uzman_D!$F$12&lt;0,-(U52-Uzman_D!$F$12),U52-Uzman_D!$F$12)*0.1+IF(V52-Uzman_D!$G$12&lt;0,-(V52-Uzman_D!$G$12),V52-Uzman_D!$G$12)*0.1+IF(W52-Uzman_D!$H$12&lt;0,-(W52-Uzman_D!$H$12),W52-Uzman_D!$H$12)*0.1+IF(X52-Uzman_D!$I$12&lt;0,-(X52-Uzman_D!$I$12),X52-Uzman_D!$I$12)*0.1+IF(Y52-Uzman_D!$J$12&lt;0,-(Y52-Uzman_D!$J$12),Y52-Uzman_D!$J$12)*0.1)+IF(ROUND((IF(AA52-Uzman_D!$L$12&lt;0,-(AA52-Uzman_D!$L$12),AA52-Uzman_D!$L$12)*2),0)/2=IF(AA52-Uzman_D!$L$12&lt;0,-(AA52-Uzman_D!$L$12),AA52-Uzman_D!$L$12),(ROUND((IF(AA52-Uzman_D!$L$12&lt;0,-(AA52-Uzman_D!$L$12),AA52-Uzman_D!$L$12)*2),0)/1*0.1),0)+IF(AB52-Uzman_D!$M$12&lt;0,-(AB52-Uzman_D!$M$12),AB52-Uzman_D!$M$12)*1)</f>
        <v>-0.7</v>
      </c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70"/>
      <c r="AO52" s="70"/>
      <c r="AP52" s="71">
        <f>1-(SUM(IF(AD52-Uzman_D!$B$13&lt;0,-(AD52-Uzman_D!$B$13),AD52-Uzman_D!$B$13)*0.1+IF(AE52-Uzman_D!$C$13&lt;0,-(AE52-Uzman_D!$C$13),AE52-Uzman_D!$C$13)*0.1+IF(AF52-Uzman_D!$D$13&lt;0,-(AF52-Uzman_D!$D$13),AF52-Uzman_D!$D$13)*0.1+IF(AG52-Uzman_D!$E$13&lt;0,-(AG52-Uzman_D!$E$13),AG52-Uzman_D!$E$13)*0.1+IF(AH52-Uzman_D!$F$13&lt;0,-(AH52-Uzman_D!$F$13),AH52-Uzman_D!$F$13)*0.1+IF(AI52-Uzman_D!$G$13&lt;0,-(AI52-Uzman_D!$G$13),AI52-Uzman_D!$G$13)*0.1+IF(AJ52-Uzman_D!$H$13&lt;0,-(AJ52-Uzman_D!$H$13),AJ52-Uzman_D!$H$13)*0.1+IF(AK52-Uzman_D!$I$13&lt;0,-(AK52-Uzman_D!$I$13),AK52-Uzman_D!$I$13)*0.1+IF(AL52-Uzman_D!$J$13&lt;0,-(AL52-Uzman_D!$J$13),AL52-Uzman_D!$J$13)*0.1)+IF(ROUND((IF(AN52-Uzman_D!$L$13&lt;0,-(AN52-Uzman_D!$L$13),AN52-Uzman_D!$L$13)*2),0)/2=IF(AN52-Uzman_D!$L$13&lt;0,-(AN52-Uzman_D!$L$13),AN52-Uzman_D!$L$13),(ROUND((IF(AN52-Uzman_D!$L$13&lt;0,-(AN52-Uzman_D!$L$13),AN52-Uzman_D!$L$13)*2),0)/1*0.1),0)+IF(AO52-Uzman_D!$M$13&lt;0,-(AO52-Uzman_D!$M$13),AO52-Uzman_D!$M$13)*1)</f>
        <v>-0.30000000000000004</v>
      </c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70"/>
      <c r="BB52" s="70"/>
      <c r="BC52" s="71">
        <f>1-(SUM(IF(AQ52-Uzman_D!$B$14&lt;0,-(AQ52-Uzman_D!$B$14),AQ52-Uzman_D!$B$14)*0.1+IF(AR52-Uzman_D!$C$14&lt;0,-(AR52-Uzman_D!$C$14),AR52-Uzman_D!$C$14)*0.1+IF(AS52-Uzman_D!$D$14&lt;0,-(AS52-Uzman_D!$D$14),AS52-Uzman_D!$D$14)*0.1+IF(AT52-Uzman_D!$E$14&lt;0,-(AT52-Uzman_D!$E$14),AT52-Uzman_D!$E$14)*0.1+IF(AU52-Uzman_D!$F$14&lt;0,-(AU52-Uzman_D!$F$14),AU52-Uzman_D!$F$14)*0.1+IF(AV52-Uzman_D!$G$14&lt;0,-(AV52-Uzman_D!$G$14),AV52-Uzman_D!$G$14)*0.1+IF(AW52-Uzman_D!$H$14&lt;0,-(AW52-Uzman_D!$H$14),AW52-Uzman_D!$H$14)*0.1+IF(AX52-Uzman_D!$I$14&lt;0,-(AX52-Uzman_D!$I$14),AX52-Uzman_D!$I$14)*0.1+IF(AY52-Uzman_D!$J$14&lt;0,-(AY52-Uzman_D!$J$14),AY52-Uzman_D!$J$14)*0.1)+IF(ROUND((IF(BA52-Uzman_D!$L$14&lt;0,-(BA52-Uzman_D!$L$14),BA52-Uzman_D!$L$14)*2),0)/2=IF(BA52-Uzman_D!$L$14&lt;0,-(BA52-Uzman_D!$L$14),BA52-Uzman_D!$L$14),(ROUND((IF(BA52-Uzman_D!$L$14&lt;0,-(BA52-Uzman_D!$L$14),BA52-Uzman_D!$L$14)*2),0)/1*0.1),0)+IF(BB52-Uzman_D!$M$14&lt;0,-(BB52-Uzman_D!$M$14),BB52-Uzman_D!$M$14)*1)</f>
        <v>-0.30000000000000027</v>
      </c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70"/>
      <c r="BO52" s="70"/>
      <c r="BP52" s="71">
        <f>1-(SUM(IF(BD52-Uzman_D!$B$15&lt;0,-(BD52-Uzman_D!$B$15),BD52-Uzman_D!$B$15)*0.1+IF(BE52-Uzman_D!$C$15&lt;0,-(BE52-Uzman_D!$C$15),BE52-Uzman_D!$C$15)*0.1+IF(BF52-Uzman_D!$D$15&lt;0,-(BF52-Uzman_D!$D$15),BF52-Uzman_D!$D$15)*0.1+IF(BG52-Uzman_D!$E$15&lt;0,-(BG52-Uzman_D!$E$15),BG52-Uzman_D!$E$15)*0.1+IF(BH52-Uzman_D!$F$15&lt;0,-(BH52-Uzman_D!$F$15),BH52-Uzman_D!$F$15)*0.1+IF(BI52-Uzman_D!$G$15&lt;0,-(BI52-Uzman_D!$G$15),BI52-Uzman_D!$G$15)*0.1+IF(BJ52-Uzman_D!$H$15&lt;0,-(BJ52-Uzman_D!$H$15),BJ52-Uzman_D!$H$15)*0.1+IF(BK52-Uzman_D!$I$15&lt;0,-(BK52-Uzman_D!$I$15),BK52-Uzman_D!$I$15)*0.1+IF(BL52-Uzman_D!$J$15&lt;0,-(BL52-Uzman_D!$J$15),BL52-Uzman_D!$J$15)*0.1)+IF(ROUND((IF(BN52-Uzman_D!$L$15&lt;0,-(BN52-Uzman_D!$L$15),BN52-Uzman_D!$L$15)*2),0)/2=IF(BN52-Uzman_D!$L$15&lt;0,-(BN52-Uzman_D!$L$15),BN52-Uzman_D!$L$15),(ROUND((IF(BN52-Uzman_D!$L$15&lt;0,-(BN52-Uzman_D!$L$15),BN52-Uzman_D!$L$15)*2),0)/1*0.1),0)+IF(BO52-Uzman_D!$M$15&lt;0,-(BO52-Uzman_D!$M$15),BO52-Uzman_D!$M$15)*1)</f>
        <v>-0.50000000000000022</v>
      </c>
      <c r="BQ52" s="72">
        <f t="shared" si="1"/>
        <v>-0.54</v>
      </c>
    </row>
    <row r="53" spans="1:69" ht="15" customHeight="1" x14ac:dyDescent="0.45">
      <c r="A53" s="54">
        <v>50</v>
      </c>
      <c r="B53" s="165">
        <f>Hakemler!B53</f>
        <v>0</v>
      </c>
      <c r="C53" s="165">
        <f>Hakemler!C53</f>
        <v>0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70"/>
      <c r="O53" s="70"/>
      <c r="P53" s="71">
        <f>1-(SUM(IF(D53-Uzman_D!$B$11&lt;0,-(D53-Uzman_D!$B$11),D53-Uzman_D!$B$11)*0.1+IF(E53-Uzman_D!$C$11&lt;0,-(E53-Uzman_D!$C$11),E53-Uzman_D!$C$11)*0.1+IF(F53-Uzman_D!$D$11&lt;0,-(F53-Uzman_D!$D$11),F53-Uzman_D!$D$11)*0.1+IF(G53-Uzman_D!$E$11&lt;0,-(G53-Uzman_D!$E$11),G53-Uzman_D!$E$11)*0.1+IF(H53-Uzman_D!$F$11&lt;0,-(H53-Uzman_D!$F$11),H53-Uzman_D!$F$11)*0.1+IF(I53-Uzman_D!$G$11&lt;0,-(I53-Uzman_D!$G$11),I53-Uzman_D!$G$11)*0.1+IF(J53-Uzman_D!$H$11&lt;0,-(J53-Uzman_D!$H$11),J53-Uzman_D!$H$11)*0.1+IF(K53-Uzman_D!$I$11&lt;0,-(K53-Uzman_D!$I$11),K53-Uzman_D!$I$11)*0.1+IF(L53-Uzman_D!$J$11&lt;0,-(L53-Uzman_D!$J$11),L53-Uzman_D!$J$11)*0.1)+IF(ROUND((IF(N53-Uzman_D!$L$11&lt;0,-(N53-Uzman_D!$L$11),N53-Uzman_D!$L$11)*2),0)/2=IF(N53-Uzman_D!$L$11&lt;0,-(N53-Uzman_D!$L$11),N53-Uzman_D!$L$11),(ROUND((IF(N53-Uzman_D!$L$11&lt;0,-(N53-Uzman_D!$L$11),N53-Uzman_D!$L$11)*2),0)/1*0.1),0)+IF(O53-Uzman_D!$M$11&lt;0,-(O53-Uzman_D!$M$11),O53-Uzman_D!$M$11)*1)</f>
        <v>-0.90000000000000013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70"/>
      <c r="AB53" s="70"/>
      <c r="AC53" s="71">
        <f>1-(SUM(IF(Q53-Uzman_D!$B$12&lt;0,-(Q53-Uzman_D!$B$12),Q53-Uzman_D!$B$12)*0.1+IF(R53-Uzman_D!$C$12&lt;0,-(R53-Uzman_D!$C$12),R53-Uzman_D!$C$12)*0.1+IF(S53-Uzman_D!$D$12&lt;0,-(S53-Uzman_D!$D$12),S53-Uzman_D!$D$12)*0.1+IF(T53-Uzman_D!$E$12&lt;0,-(T53-Uzman_D!$E$12),T53-Uzman_D!$E$12)*0.1+IF(U53-Uzman_D!$F$12&lt;0,-(U53-Uzman_D!$F$12),U53-Uzman_D!$F$12)*0.1+IF(V53-Uzman_D!$G$12&lt;0,-(V53-Uzman_D!$G$12),V53-Uzman_D!$G$12)*0.1+IF(W53-Uzman_D!$H$12&lt;0,-(W53-Uzman_D!$H$12),W53-Uzman_D!$H$12)*0.1+IF(X53-Uzman_D!$I$12&lt;0,-(X53-Uzman_D!$I$12),X53-Uzman_D!$I$12)*0.1+IF(Y53-Uzman_D!$J$12&lt;0,-(Y53-Uzman_D!$J$12),Y53-Uzman_D!$J$12)*0.1)+IF(ROUND((IF(AA53-Uzman_D!$L$12&lt;0,-(AA53-Uzman_D!$L$12),AA53-Uzman_D!$L$12)*2),0)/2=IF(AA53-Uzman_D!$L$12&lt;0,-(AA53-Uzman_D!$L$12),AA53-Uzman_D!$L$12),(ROUND((IF(AA53-Uzman_D!$L$12&lt;0,-(AA53-Uzman_D!$L$12),AA53-Uzman_D!$L$12)*2),0)/1*0.1),0)+IF(AB53-Uzman_D!$M$12&lt;0,-(AB53-Uzman_D!$M$12),AB53-Uzman_D!$M$12)*1)</f>
        <v>-0.7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70"/>
      <c r="AO53" s="70"/>
      <c r="AP53" s="71">
        <f>1-(SUM(IF(AD53-Uzman_D!$B$13&lt;0,-(AD53-Uzman_D!$B$13),AD53-Uzman_D!$B$13)*0.1+IF(AE53-Uzman_D!$C$13&lt;0,-(AE53-Uzman_D!$C$13),AE53-Uzman_D!$C$13)*0.1+IF(AF53-Uzman_D!$D$13&lt;0,-(AF53-Uzman_D!$D$13),AF53-Uzman_D!$D$13)*0.1+IF(AG53-Uzman_D!$E$13&lt;0,-(AG53-Uzman_D!$E$13),AG53-Uzman_D!$E$13)*0.1+IF(AH53-Uzman_D!$F$13&lt;0,-(AH53-Uzman_D!$F$13),AH53-Uzman_D!$F$13)*0.1+IF(AI53-Uzman_D!$G$13&lt;0,-(AI53-Uzman_D!$G$13),AI53-Uzman_D!$G$13)*0.1+IF(AJ53-Uzman_D!$H$13&lt;0,-(AJ53-Uzman_D!$H$13),AJ53-Uzman_D!$H$13)*0.1+IF(AK53-Uzman_D!$I$13&lt;0,-(AK53-Uzman_D!$I$13),AK53-Uzman_D!$I$13)*0.1+IF(AL53-Uzman_D!$J$13&lt;0,-(AL53-Uzman_D!$J$13),AL53-Uzman_D!$J$13)*0.1)+IF(ROUND((IF(AN53-Uzman_D!$L$13&lt;0,-(AN53-Uzman_D!$L$13),AN53-Uzman_D!$L$13)*2),0)/2=IF(AN53-Uzman_D!$L$13&lt;0,-(AN53-Uzman_D!$L$13),AN53-Uzman_D!$L$13),(ROUND((IF(AN53-Uzman_D!$L$13&lt;0,-(AN53-Uzman_D!$L$13),AN53-Uzman_D!$L$13)*2),0)/1*0.1),0)+IF(AO53-Uzman_D!$M$13&lt;0,-(AO53-Uzman_D!$M$13),AO53-Uzman_D!$M$13)*1)</f>
        <v>-0.30000000000000004</v>
      </c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70"/>
      <c r="BB53" s="70"/>
      <c r="BC53" s="71">
        <f>1-(SUM(IF(AQ53-Uzman_D!$B$14&lt;0,-(AQ53-Uzman_D!$B$14),AQ53-Uzman_D!$B$14)*0.1+IF(AR53-Uzman_D!$C$14&lt;0,-(AR53-Uzman_D!$C$14),AR53-Uzman_D!$C$14)*0.1+IF(AS53-Uzman_D!$D$14&lt;0,-(AS53-Uzman_D!$D$14),AS53-Uzman_D!$D$14)*0.1+IF(AT53-Uzman_D!$E$14&lt;0,-(AT53-Uzman_D!$E$14),AT53-Uzman_D!$E$14)*0.1+IF(AU53-Uzman_D!$F$14&lt;0,-(AU53-Uzman_D!$F$14),AU53-Uzman_D!$F$14)*0.1+IF(AV53-Uzman_D!$G$14&lt;0,-(AV53-Uzman_D!$G$14),AV53-Uzman_D!$G$14)*0.1+IF(AW53-Uzman_D!$H$14&lt;0,-(AW53-Uzman_D!$H$14),AW53-Uzman_D!$H$14)*0.1+IF(AX53-Uzman_D!$I$14&lt;0,-(AX53-Uzman_D!$I$14),AX53-Uzman_D!$I$14)*0.1+IF(AY53-Uzman_D!$J$14&lt;0,-(AY53-Uzman_D!$J$14),AY53-Uzman_D!$J$14)*0.1)+IF(ROUND((IF(BA53-Uzman_D!$L$14&lt;0,-(BA53-Uzman_D!$L$14),BA53-Uzman_D!$L$14)*2),0)/2=IF(BA53-Uzman_D!$L$14&lt;0,-(BA53-Uzman_D!$L$14),BA53-Uzman_D!$L$14),(ROUND((IF(BA53-Uzman_D!$L$14&lt;0,-(BA53-Uzman_D!$L$14),BA53-Uzman_D!$L$14)*2),0)/1*0.1),0)+IF(BB53-Uzman_D!$M$14&lt;0,-(BB53-Uzman_D!$M$14),BB53-Uzman_D!$M$14)*1)</f>
        <v>-0.30000000000000027</v>
      </c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70"/>
      <c r="BO53" s="70"/>
      <c r="BP53" s="71">
        <f>1-(SUM(IF(BD53-Uzman_D!$B$15&lt;0,-(BD53-Uzman_D!$B$15),BD53-Uzman_D!$B$15)*0.1+IF(BE53-Uzman_D!$C$15&lt;0,-(BE53-Uzman_D!$C$15),BE53-Uzman_D!$C$15)*0.1+IF(BF53-Uzman_D!$D$15&lt;0,-(BF53-Uzman_D!$D$15),BF53-Uzman_D!$D$15)*0.1+IF(BG53-Uzman_D!$E$15&lt;0,-(BG53-Uzman_D!$E$15),BG53-Uzman_D!$E$15)*0.1+IF(BH53-Uzman_D!$F$15&lt;0,-(BH53-Uzman_D!$F$15),BH53-Uzman_D!$F$15)*0.1+IF(BI53-Uzman_D!$G$15&lt;0,-(BI53-Uzman_D!$G$15),BI53-Uzman_D!$G$15)*0.1+IF(BJ53-Uzman_D!$H$15&lt;0,-(BJ53-Uzman_D!$H$15),BJ53-Uzman_D!$H$15)*0.1+IF(BK53-Uzman_D!$I$15&lt;0,-(BK53-Uzman_D!$I$15),BK53-Uzman_D!$I$15)*0.1+IF(BL53-Uzman_D!$J$15&lt;0,-(BL53-Uzman_D!$J$15),BL53-Uzman_D!$J$15)*0.1)+IF(ROUND((IF(BN53-Uzman_D!$L$15&lt;0,-(BN53-Uzman_D!$L$15),BN53-Uzman_D!$L$15)*2),0)/2=IF(BN53-Uzman_D!$L$15&lt;0,-(BN53-Uzman_D!$L$15),BN53-Uzman_D!$L$15),(ROUND((IF(BN53-Uzman_D!$L$15&lt;0,-(BN53-Uzman_D!$L$15),BN53-Uzman_D!$L$15)*2),0)/1*0.1),0)+IF(BO53-Uzman_D!$M$15&lt;0,-(BO53-Uzman_D!$M$15),BO53-Uzman_D!$M$15)*1)</f>
        <v>-0.50000000000000022</v>
      </c>
      <c r="BQ53" s="72">
        <f t="shared" si="1"/>
        <v>-0.54</v>
      </c>
    </row>
    <row r="54" spans="1:69" ht="15" customHeight="1" x14ac:dyDescent="0.45">
      <c r="A54" s="54">
        <v>51</v>
      </c>
      <c r="B54" s="166">
        <f>Hakemler!B54</f>
        <v>0</v>
      </c>
      <c r="C54" s="166">
        <f>Hakemler!C54</f>
        <v>0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70"/>
      <c r="O54" s="70"/>
      <c r="P54" s="71">
        <f>1-(SUM(IF(D54-Uzman_D!$B$11&lt;0,-(D54-Uzman_D!$B$11),D54-Uzman_D!$B$11)*0.1+IF(E54-Uzman_D!$C$11&lt;0,-(E54-Uzman_D!$C$11),E54-Uzman_D!$C$11)*0.1+IF(F54-Uzman_D!$D$11&lt;0,-(F54-Uzman_D!$D$11),F54-Uzman_D!$D$11)*0.1+IF(G54-Uzman_D!$E$11&lt;0,-(G54-Uzman_D!$E$11),G54-Uzman_D!$E$11)*0.1+IF(H54-Uzman_D!$F$11&lt;0,-(H54-Uzman_D!$F$11),H54-Uzman_D!$F$11)*0.1+IF(I54-Uzman_D!$G$11&lt;0,-(I54-Uzman_D!$G$11),I54-Uzman_D!$G$11)*0.1+IF(J54-Uzman_D!$H$11&lt;0,-(J54-Uzman_D!$H$11),J54-Uzman_D!$H$11)*0.1+IF(K54-Uzman_D!$I$11&lt;0,-(K54-Uzman_D!$I$11),K54-Uzman_D!$I$11)*0.1+IF(L54-Uzman_D!$J$11&lt;0,-(L54-Uzman_D!$J$11),L54-Uzman_D!$J$11)*0.1)+IF(ROUND((IF(N54-Uzman_D!$L$11&lt;0,-(N54-Uzman_D!$L$11),N54-Uzman_D!$L$11)*2),0)/2=IF(N54-Uzman_D!$L$11&lt;0,-(N54-Uzman_D!$L$11),N54-Uzman_D!$L$11),(ROUND((IF(N54-Uzman_D!$L$11&lt;0,-(N54-Uzman_D!$L$11),N54-Uzman_D!$L$11)*2),0)/1*0.1),0)+IF(O54-Uzman_D!$M$11&lt;0,-(O54-Uzman_D!$M$11),O54-Uzman_D!$M$11)*1)</f>
        <v>-0.90000000000000013</v>
      </c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70"/>
      <c r="AB54" s="70"/>
      <c r="AC54" s="71">
        <f>1-(SUM(IF(Q54-Uzman_D!$B$12&lt;0,-(Q54-Uzman_D!$B$12),Q54-Uzman_D!$B$12)*0.1+IF(R54-Uzman_D!$C$12&lt;0,-(R54-Uzman_D!$C$12),R54-Uzman_D!$C$12)*0.1+IF(S54-Uzman_D!$D$12&lt;0,-(S54-Uzman_D!$D$12),S54-Uzman_D!$D$12)*0.1+IF(T54-Uzman_D!$E$12&lt;0,-(T54-Uzman_D!$E$12),T54-Uzman_D!$E$12)*0.1+IF(U54-Uzman_D!$F$12&lt;0,-(U54-Uzman_D!$F$12),U54-Uzman_D!$F$12)*0.1+IF(V54-Uzman_D!$G$12&lt;0,-(V54-Uzman_D!$G$12),V54-Uzman_D!$G$12)*0.1+IF(W54-Uzman_D!$H$12&lt;0,-(W54-Uzman_D!$H$12),W54-Uzman_D!$H$12)*0.1+IF(X54-Uzman_D!$I$12&lt;0,-(X54-Uzman_D!$I$12),X54-Uzman_D!$I$12)*0.1+IF(Y54-Uzman_D!$J$12&lt;0,-(Y54-Uzman_D!$J$12),Y54-Uzman_D!$J$12)*0.1)+IF(ROUND((IF(AA54-Uzman_D!$L$12&lt;0,-(AA54-Uzman_D!$L$12),AA54-Uzman_D!$L$12)*2),0)/2=IF(AA54-Uzman_D!$L$12&lt;0,-(AA54-Uzman_D!$L$12),AA54-Uzman_D!$L$12),(ROUND((IF(AA54-Uzman_D!$L$12&lt;0,-(AA54-Uzman_D!$L$12),AA54-Uzman_D!$L$12)*2),0)/1*0.1),0)+IF(AB54-Uzman_D!$M$12&lt;0,-(AB54-Uzman_D!$M$12),AB54-Uzman_D!$M$12)*1)</f>
        <v>-0.7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70"/>
      <c r="AO54" s="70"/>
      <c r="AP54" s="71">
        <f>1-(SUM(IF(AD54-Uzman_D!$B$13&lt;0,-(AD54-Uzman_D!$B$13),AD54-Uzman_D!$B$13)*0.1+IF(AE54-Uzman_D!$C$13&lt;0,-(AE54-Uzman_D!$C$13),AE54-Uzman_D!$C$13)*0.1+IF(AF54-Uzman_D!$D$13&lt;0,-(AF54-Uzman_D!$D$13),AF54-Uzman_D!$D$13)*0.1+IF(AG54-Uzman_D!$E$13&lt;0,-(AG54-Uzman_D!$E$13),AG54-Uzman_D!$E$13)*0.1+IF(AH54-Uzman_D!$F$13&lt;0,-(AH54-Uzman_D!$F$13),AH54-Uzman_D!$F$13)*0.1+IF(AI54-Uzman_D!$G$13&lt;0,-(AI54-Uzman_D!$G$13),AI54-Uzman_D!$G$13)*0.1+IF(AJ54-Uzman_D!$H$13&lt;0,-(AJ54-Uzman_D!$H$13),AJ54-Uzman_D!$H$13)*0.1+IF(AK54-Uzman_D!$I$13&lt;0,-(AK54-Uzman_D!$I$13),AK54-Uzman_D!$I$13)*0.1+IF(AL54-Uzman_D!$J$13&lt;0,-(AL54-Uzman_D!$J$13),AL54-Uzman_D!$J$13)*0.1)+IF(ROUND((IF(AN54-Uzman_D!$L$13&lt;0,-(AN54-Uzman_D!$L$13),AN54-Uzman_D!$L$13)*2),0)/2=IF(AN54-Uzman_D!$L$13&lt;0,-(AN54-Uzman_D!$L$13),AN54-Uzman_D!$L$13),(ROUND((IF(AN54-Uzman_D!$L$13&lt;0,-(AN54-Uzman_D!$L$13),AN54-Uzman_D!$L$13)*2),0)/1*0.1),0)+IF(AO54-Uzman_D!$M$13&lt;0,-(AO54-Uzman_D!$M$13),AO54-Uzman_D!$M$13)*1)</f>
        <v>-0.30000000000000004</v>
      </c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70"/>
      <c r="BB54" s="70"/>
      <c r="BC54" s="71">
        <f>1-(SUM(IF(AQ54-Uzman_D!$B$14&lt;0,-(AQ54-Uzman_D!$B$14),AQ54-Uzman_D!$B$14)*0.1+IF(AR54-Uzman_D!$C$14&lt;0,-(AR54-Uzman_D!$C$14),AR54-Uzman_D!$C$14)*0.1+IF(AS54-Uzman_D!$D$14&lt;0,-(AS54-Uzman_D!$D$14),AS54-Uzman_D!$D$14)*0.1+IF(AT54-Uzman_D!$E$14&lt;0,-(AT54-Uzman_D!$E$14),AT54-Uzman_D!$E$14)*0.1+IF(AU54-Uzman_D!$F$14&lt;0,-(AU54-Uzman_D!$F$14),AU54-Uzman_D!$F$14)*0.1+IF(AV54-Uzman_D!$G$14&lt;0,-(AV54-Uzman_D!$G$14),AV54-Uzman_D!$G$14)*0.1+IF(AW54-Uzman_D!$H$14&lt;0,-(AW54-Uzman_D!$H$14),AW54-Uzman_D!$H$14)*0.1+IF(AX54-Uzman_D!$I$14&lt;0,-(AX54-Uzman_D!$I$14),AX54-Uzman_D!$I$14)*0.1+IF(AY54-Uzman_D!$J$14&lt;0,-(AY54-Uzman_D!$J$14),AY54-Uzman_D!$J$14)*0.1)+IF(ROUND((IF(BA54-Uzman_D!$L$14&lt;0,-(BA54-Uzman_D!$L$14),BA54-Uzman_D!$L$14)*2),0)/2=IF(BA54-Uzman_D!$L$14&lt;0,-(BA54-Uzman_D!$L$14),BA54-Uzman_D!$L$14),(ROUND((IF(BA54-Uzman_D!$L$14&lt;0,-(BA54-Uzman_D!$L$14),BA54-Uzman_D!$L$14)*2),0)/1*0.1),0)+IF(BB54-Uzman_D!$M$14&lt;0,-(BB54-Uzman_D!$M$14),BB54-Uzman_D!$M$14)*1)</f>
        <v>-0.30000000000000027</v>
      </c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70"/>
      <c r="BO54" s="70"/>
      <c r="BP54" s="71">
        <f>1-(SUM(IF(BD54-Uzman_D!$B$15&lt;0,-(BD54-Uzman_D!$B$15),BD54-Uzman_D!$B$15)*0.1+IF(BE54-Uzman_D!$C$15&lt;0,-(BE54-Uzman_D!$C$15),BE54-Uzman_D!$C$15)*0.1+IF(BF54-Uzman_D!$D$15&lt;0,-(BF54-Uzman_D!$D$15),BF54-Uzman_D!$D$15)*0.1+IF(BG54-Uzman_D!$E$15&lt;0,-(BG54-Uzman_D!$E$15),BG54-Uzman_D!$E$15)*0.1+IF(BH54-Uzman_D!$F$15&lt;0,-(BH54-Uzman_D!$F$15),BH54-Uzman_D!$F$15)*0.1+IF(BI54-Uzman_D!$G$15&lt;0,-(BI54-Uzman_D!$G$15),BI54-Uzman_D!$G$15)*0.1+IF(BJ54-Uzman_D!$H$15&lt;0,-(BJ54-Uzman_D!$H$15),BJ54-Uzman_D!$H$15)*0.1+IF(BK54-Uzman_D!$I$15&lt;0,-(BK54-Uzman_D!$I$15),BK54-Uzman_D!$I$15)*0.1+IF(BL54-Uzman_D!$J$15&lt;0,-(BL54-Uzman_D!$J$15),BL54-Uzman_D!$J$15)*0.1)+IF(ROUND((IF(BN54-Uzman_D!$L$15&lt;0,-(BN54-Uzman_D!$L$15),BN54-Uzman_D!$L$15)*2),0)/2=IF(BN54-Uzman_D!$L$15&lt;0,-(BN54-Uzman_D!$L$15),BN54-Uzman_D!$L$15),(ROUND((IF(BN54-Uzman_D!$L$15&lt;0,-(BN54-Uzman_D!$L$15),BN54-Uzman_D!$L$15)*2),0)/1*0.1),0)+IF(BO54-Uzman_D!$M$15&lt;0,-(BO54-Uzman_D!$M$15),BO54-Uzman_D!$M$15)*1)</f>
        <v>-0.50000000000000022</v>
      </c>
      <c r="BQ54" s="72">
        <f t="shared" si="1"/>
        <v>-0.54</v>
      </c>
    </row>
    <row r="55" spans="1:69" ht="15" customHeight="1" x14ac:dyDescent="0.45">
      <c r="A55" s="54">
        <v>52</v>
      </c>
      <c r="B55" s="166">
        <f>Hakemler!B55</f>
        <v>0</v>
      </c>
      <c r="C55" s="166">
        <f>Hakemler!C55</f>
        <v>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0"/>
      <c r="O55" s="70"/>
      <c r="P55" s="71">
        <f>1-(SUM(IF(D55-Uzman_D!$B$11&lt;0,-(D55-Uzman_D!$B$11),D55-Uzman_D!$B$11)*0.1+IF(E55-Uzman_D!$C$11&lt;0,-(E55-Uzman_D!$C$11),E55-Uzman_D!$C$11)*0.1+IF(F55-Uzman_D!$D$11&lt;0,-(F55-Uzman_D!$D$11),F55-Uzman_D!$D$11)*0.1+IF(G55-Uzman_D!$E$11&lt;0,-(G55-Uzman_D!$E$11),G55-Uzman_D!$E$11)*0.1+IF(H55-Uzman_D!$F$11&lt;0,-(H55-Uzman_D!$F$11),H55-Uzman_D!$F$11)*0.1+IF(I55-Uzman_D!$G$11&lt;0,-(I55-Uzman_D!$G$11),I55-Uzman_D!$G$11)*0.1+IF(J55-Uzman_D!$H$11&lt;0,-(J55-Uzman_D!$H$11),J55-Uzman_D!$H$11)*0.1+IF(K55-Uzman_D!$I$11&lt;0,-(K55-Uzman_D!$I$11),K55-Uzman_D!$I$11)*0.1+IF(L55-Uzman_D!$J$11&lt;0,-(L55-Uzman_D!$J$11),L55-Uzman_D!$J$11)*0.1)+IF(ROUND((IF(N55-Uzman_D!$L$11&lt;0,-(N55-Uzman_D!$L$11),N55-Uzman_D!$L$11)*2),0)/2=IF(N55-Uzman_D!$L$11&lt;0,-(N55-Uzman_D!$L$11),N55-Uzman_D!$L$11),(ROUND((IF(N55-Uzman_D!$L$11&lt;0,-(N55-Uzman_D!$L$11),N55-Uzman_D!$L$11)*2),0)/1*0.1),0)+IF(O55-Uzman_D!$M$11&lt;0,-(O55-Uzman_D!$M$11),O55-Uzman_D!$M$11)*1)</f>
        <v>-0.90000000000000013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70"/>
      <c r="AB55" s="70"/>
      <c r="AC55" s="71">
        <f>1-(SUM(IF(Q55-Uzman_D!$B$12&lt;0,-(Q55-Uzman_D!$B$12),Q55-Uzman_D!$B$12)*0.1+IF(R55-Uzman_D!$C$12&lt;0,-(R55-Uzman_D!$C$12),R55-Uzman_D!$C$12)*0.1+IF(S55-Uzman_D!$D$12&lt;0,-(S55-Uzman_D!$D$12),S55-Uzman_D!$D$12)*0.1+IF(T55-Uzman_D!$E$12&lt;0,-(T55-Uzman_D!$E$12),T55-Uzman_D!$E$12)*0.1+IF(U55-Uzman_D!$F$12&lt;0,-(U55-Uzman_D!$F$12),U55-Uzman_D!$F$12)*0.1+IF(V55-Uzman_D!$G$12&lt;0,-(V55-Uzman_D!$G$12),V55-Uzman_D!$G$12)*0.1+IF(W55-Uzman_D!$H$12&lt;0,-(W55-Uzman_D!$H$12),W55-Uzman_D!$H$12)*0.1+IF(X55-Uzman_D!$I$12&lt;0,-(X55-Uzman_D!$I$12),X55-Uzman_D!$I$12)*0.1+IF(Y55-Uzman_D!$J$12&lt;0,-(Y55-Uzman_D!$J$12),Y55-Uzman_D!$J$12)*0.1)+IF(ROUND((IF(AA55-Uzman_D!$L$12&lt;0,-(AA55-Uzman_D!$L$12),AA55-Uzman_D!$L$12)*2),0)/2=IF(AA55-Uzman_D!$L$12&lt;0,-(AA55-Uzman_D!$L$12),AA55-Uzman_D!$L$12),(ROUND((IF(AA55-Uzman_D!$L$12&lt;0,-(AA55-Uzman_D!$L$12),AA55-Uzman_D!$L$12)*2),0)/1*0.1),0)+IF(AB55-Uzman_D!$M$12&lt;0,-(AB55-Uzman_D!$M$12),AB55-Uzman_D!$M$12)*1)</f>
        <v>-0.7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70"/>
      <c r="AO55" s="70"/>
      <c r="AP55" s="71">
        <f>1-(SUM(IF(AD55-Uzman_D!$B$13&lt;0,-(AD55-Uzman_D!$B$13),AD55-Uzman_D!$B$13)*0.1+IF(AE55-Uzman_D!$C$13&lt;0,-(AE55-Uzman_D!$C$13),AE55-Uzman_D!$C$13)*0.1+IF(AF55-Uzman_D!$D$13&lt;0,-(AF55-Uzman_D!$D$13),AF55-Uzman_D!$D$13)*0.1+IF(AG55-Uzman_D!$E$13&lt;0,-(AG55-Uzman_D!$E$13),AG55-Uzman_D!$E$13)*0.1+IF(AH55-Uzman_D!$F$13&lt;0,-(AH55-Uzman_D!$F$13),AH55-Uzman_D!$F$13)*0.1+IF(AI55-Uzman_D!$G$13&lt;0,-(AI55-Uzman_D!$G$13),AI55-Uzman_D!$G$13)*0.1+IF(AJ55-Uzman_D!$H$13&lt;0,-(AJ55-Uzman_D!$H$13),AJ55-Uzman_D!$H$13)*0.1+IF(AK55-Uzman_D!$I$13&lt;0,-(AK55-Uzman_D!$I$13),AK55-Uzman_D!$I$13)*0.1+IF(AL55-Uzman_D!$J$13&lt;0,-(AL55-Uzman_D!$J$13),AL55-Uzman_D!$J$13)*0.1)+IF(ROUND((IF(AN55-Uzman_D!$L$13&lt;0,-(AN55-Uzman_D!$L$13),AN55-Uzman_D!$L$13)*2),0)/2=IF(AN55-Uzman_D!$L$13&lt;0,-(AN55-Uzman_D!$L$13),AN55-Uzman_D!$L$13),(ROUND((IF(AN55-Uzman_D!$L$13&lt;0,-(AN55-Uzman_D!$L$13),AN55-Uzman_D!$L$13)*2),0)/1*0.1),0)+IF(AO55-Uzman_D!$M$13&lt;0,-(AO55-Uzman_D!$M$13),AO55-Uzman_D!$M$13)*1)</f>
        <v>-0.30000000000000004</v>
      </c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70"/>
      <c r="BB55" s="70"/>
      <c r="BC55" s="71">
        <f>1-(SUM(IF(AQ55-Uzman_D!$B$14&lt;0,-(AQ55-Uzman_D!$B$14),AQ55-Uzman_D!$B$14)*0.1+IF(AR55-Uzman_D!$C$14&lt;0,-(AR55-Uzman_D!$C$14),AR55-Uzman_D!$C$14)*0.1+IF(AS55-Uzman_D!$D$14&lt;0,-(AS55-Uzman_D!$D$14),AS55-Uzman_D!$D$14)*0.1+IF(AT55-Uzman_D!$E$14&lt;0,-(AT55-Uzman_D!$E$14),AT55-Uzman_D!$E$14)*0.1+IF(AU55-Uzman_D!$F$14&lt;0,-(AU55-Uzman_D!$F$14),AU55-Uzman_D!$F$14)*0.1+IF(AV55-Uzman_D!$G$14&lt;0,-(AV55-Uzman_D!$G$14),AV55-Uzman_D!$G$14)*0.1+IF(AW55-Uzman_D!$H$14&lt;0,-(AW55-Uzman_D!$H$14),AW55-Uzman_D!$H$14)*0.1+IF(AX55-Uzman_D!$I$14&lt;0,-(AX55-Uzman_D!$I$14),AX55-Uzman_D!$I$14)*0.1+IF(AY55-Uzman_D!$J$14&lt;0,-(AY55-Uzman_D!$J$14),AY55-Uzman_D!$J$14)*0.1)+IF(ROUND((IF(BA55-Uzman_D!$L$14&lt;0,-(BA55-Uzman_D!$L$14),BA55-Uzman_D!$L$14)*2),0)/2=IF(BA55-Uzman_D!$L$14&lt;0,-(BA55-Uzman_D!$L$14),BA55-Uzman_D!$L$14),(ROUND((IF(BA55-Uzman_D!$L$14&lt;0,-(BA55-Uzman_D!$L$14),BA55-Uzman_D!$L$14)*2),0)/1*0.1),0)+IF(BB55-Uzman_D!$M$14&lt;0,-(BB55-Uzman_D!$M$14),BB55-Uzman_D!$M$14)*1)</f>
        <v>-0.30000000000000027</v>
      </c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70"/>
      <c r="BO55" s="70"/>
      <c r="BP55" s="71">
        <f>1-(SUM(IF(BD55-Uzman_D!$B$15&lt;0,-(BD55-Uzman_D!$B$15),BD55-Uzman_D!$B$15)*0.1+IF(BE55-Uzman_D!$C$15&lt;0,-(BE55-Uzman_D!$C$15),BE55-Uzman_D!$C$15)*0.1+IF(BF55-Uzman_D!$D$15&lt;0,-(BF55-Uzman_D!$D$15),BF55-Uzman_D!$D$15)*0.1+IF(BG55-Uzman_D!$E$15&lt;0,-(BG55-Uzman_D!$E$15),BG55-Uzman_D!$E$15)*0.1+IF(BH55-Uzman_D!$F$15&lt;0,-(BH55-Uzman_D!$F$15),BH55-Uzman_D!$F$15)*0.1+IF(BI55-Uzman_D!$G$15&lt;0,-(BI55-Uzman_D!$G$15),BI55-Uzman_D!$G$15)*0.1+IF(BJ55-Uzman_D!$H$15&lt;0,-(BJ55-Uzman_D!$H$15),BJ55-Uzman_D!$H$15)*0.1+IF(BK55-Uzman_D!$I$15&lt;0,-(BK55-Uzman_D!$I$15),BK55-Uzman_D!$I$15)*0.1+IF(BL55-Uzman_D!$J$15&lt;0,-(BL55-Uzman_D!$J$15),BL55-Uzman_D!$J$15)*0.1)+IF(ROUND((IF(BN55-Uzman_D!$L$15&lt;0,-(BN55-Uzman_D!$L$15),BN55-Uzman_D!$L$15)*2),0)/2=IF(BN55-Uzman_D!$L$15&lt;0,-(BN55-Uzman_D!$L$15),BN55-Uzman_D!$L$15),(ROUND((IF(BN55-Uzman_D!$L$15&lt;0,-(BN55-Uzman_D!$L$15),BN55-Uzman_D!$L$15)*2),0)/1*0.1),0)+IF(BO55-Uzman_D!$M$15&lt;0,-(BO55-Uzman_D!$M$15),BO55-Uzman_D!$M$15)*1)</f>
        <v>-0.50000000000000022</v>
      </c>
      <c r="BQ55" s="72">
        <f t="shared" si="1"/>
        <v>-0.54</v>
      </c>
    </row>
    <row r="56" spans="1:69" ht="15" customHeight="1" x14ac:dyDescent="0.45">
      <c r="A56" s="54">
        <v>53</v>
      </c>
      <c r="B56" s="166">
        <f>Hakemler!B56</f>
        <v>0</v>
      </c>
      <c r="C56" s="165">
        <f>Hakemler!C56</f>
        <v>0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70"/>
      <c r="O56" s="70"/>
      <c r="P56" s="71">
        <f>1-(SUM(IF(D56-Uzman_D!$B$11&lt;0,-(D56-Uzman_D!$B$11),D56-Uzman_D!$B$11)*0.1+IF(E56-Uzman_D!$C$11&lt;0,-(E56-Uzman_D!$C$11),E56-Uzman_D!$C$11)*0.1+IF(F56-Uzman_D!$D$11&lt;0,-(F56-Uzman_D!$D$11),F56-Uzman_D!$D$11)*0.1+IF(G56-Uzman_D!$E$11&lt;0,-(G56-Uzman_D!$E$11),G56-Uzman_D!$E$11)*0.1+IF(H56-Uzman_D!$F$11&lt;0,-(H56-Uzman_D!$F$11),H56-Uzman_D!$F$11)*0.1+IF(I56-Uzman_D!$G$11&lt;0,-(I56-Uzman_D!$G$11),I56-Uzman_D!$G$11)*0.1+IF(J56-Uzman_D!$H$11&lt;0,-(J56-Uzman_D!$H$11),J56-Uzman_D!$H$11)*0.1+IF(K56-Uzman_D!$I$11&lt;0,-(K56-Uzman_D!$I$11),K56-Uzman_D!$I$11)*0.1+IF(L56-Uzman_D!$J$11&lt;0,-(L56-Uzman_D!$J$11),L56-Uzman_D!$J$11)*0.1)+IF(ROUND((IF(N56-Uzman_D!$L$11&lt;0,-(N56-Uzman_D!$L$11),N56-Uzman_D!$L$11)*2),0)/2=IF(N56-Uzman_D!$L$11&lt;0,-(N56-Uzman_D!$L$11),N56-Uzman_D!$L$11),(ROUND((IF(N56-Uzman_D!$L$11&lt;0,-(N56-Uzman_D!$L$11),N56-Uzman_D!$L$11)*2),0)/1*0.1),0)+IF(O56-Uzman_D!$M$11&lt;0,-(O56-Uzman_D!$M$11),O56-Uzman_D!$M$11)*1)</f>
        <v>-0.90000000000000013</v>
      </c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70"/>
      <c r="AB56" s="70"/>
      <c r="AC56" s="71">
        <f>1-(SUM(IF(Q56-Uzman_D!$B$12&lt;0,-(Q56-Uzman_D!$B$12),Q56-Uzman_D!$B$12)*0.1+IF(R56-Uzman_D!$C$12&lt;0,-(R56-Uzman_D!$C$12),R56-Uzman_D!$C$12)*0.1+IF(S56-Uzman_D!$D$12&lt;0,-(S56-Uzman_D!$D$12),S56-Uzman_D!$D$12)*0.1+IF(T56-Uzman_D!$E$12&lt;0,-(T56-Uzman_D!$E$12),T56-Uzman_D!$E$12)*0.1+IF(U56-Uzman_D!$F$12&lt;0,-(U56-Uzman_D!$F$12),U56-Uzman_D!$F$12)*0.1+IF(V56-Uzman_D!$G$12&lt;0,-(V56-Uzman_D!$G$12),V56-Uzman_D!$G$12)*0.1+IF(W56-Uzman_D!$H$12&lt;0,-(W56-Uzman_D!$H$12),W56-Uzman_D!$H$12)*0.1+IF(X56-Uzman_D!$I$12&lt;0,-(X56-Uzman_D!$I$12),X56-Uzman_D!$I$12)*0.1+IF(Y56-Uzman_D!$J$12&lt;0,-(Y56-Uzman_D!$J$12),Y56-Uzman_D!$J$12)*0.1)+IF(ROUND((IF(AA56-Uzman_D!$L$12&lt;0,-(AA56-Uzman_D!$L$12),AA56-Uzman_D!$L$12)*2),0)/2=IF(AA56-Uzman_D!$L$12&lt;0,-(AA56-Uzman_D!$L$12),AA56-Uzman_D!$L$12),(ROUND((IF(AA56-Uzman_D!$L$12&lt;0,-(AA56-Uzman_D!$L$12),AA56-Uzman_D!$L$12)*2),0)/1*0.1),0)+IF(AB56-Uzman_D!$M$12&lt;0,-(AB56-Uzman_D!$M$12),AB56-Uzman_D!$M$12)*1)</f>
        <v>-0.7</v>
      </c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70"/>
      <c r="AO56" s="70"/>
      <c r="AP56" s="71">
        <f>1-(SUM(IF(AD56-Uzman_D!$B$13&lt;0,-(AD56-Uzman_D!$B$13),AD56-Uzman_D!$B$13)*0.1+IF(AE56-Uzman_D!$C$13&lt;0,-(AE56-Uzman_D!$C$13),AE56-Uzman_D!$C$13)*0.1+IF(AF56-Uzman_D!$D$13&lt;0,-(AF56-Uzman_D!$D$13),AF56-Uzman_D!$D$13)*0.1+IF(AG56-Uzman_D!$E$13&lt;0,-(AG56-Uzman_D!$E$13),AG56-Uzman_D!$E$13)*0.1+IF(AH56-Uzman_D!$F$13&lt;0,-(AH56-Uzman_D!$F$13),AH56-Uzman_D!$F$13)*0.1+IF(AI56-Uzman_D!$G$13&lt;0,-(AI56-Uzman_D!$G$13),AI56-Uzman_D!$G$13)*0.1+IF(AJ56-Uzman_D!$H$13&lt;0,-(AJ56-Uzman_D!$H$13),AJ56-Uzman_D!$H$13)*0.1+IF(AK56-Uzman_D!$I$13&lt;0,-(AK56-Uzman_D!$I$13),AK56-Uzman_D!$I$13)*0.1+IF(AL56-Uzman_D!$J$13&lt;0,-(AL56-Uzman_D!$J$13),AL56-Uzman_D!$J$13)*0.1)+IF(ROUND((IF(AN56-Uzman_D!$L$13&lt;0,-(AN56-Uzman_D!$L$13),AN56-Uzman_D!$L$13)*2),0)/2=IF(AN56-Uzman_D!$L$13&lt;0,-(AN56-Uzman_D!$L$13),AN56-Uzman_D!$L$13),(ROUND((IF(AN56-Uzman_D!$L$13&lt;0,-(AN56-Uzman_D!$L$13),AN56-Uzman_D!$L$13)*2),0)/1*0.1),0)+IF(AO56-Uzman_D!$M$13&lt;0,-(AO56-Uzman_D!$M$13),AO56-Uzman_D!$M$13)*1)</f>
        <v>-0.30000000000000004</v>
      </c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70"/>
      <c r="BB56" s="70"/>
      <c r="BC56" s="71">
        <f>1-(SUM(IF(AQ56-Uzman_D!$B$14&lt;0,-(AQ56-Uzman_D!$B$14),AQ56-Uzman_D!$B$14)*0.1+IF(AR56-Uzman_D!$C$14&lt;0,-(AR56-Uzman_D!$C$14),AR56-Uzman_D!$C$14)*0.1+IF(AS56-Uzman_D!$D$14&lt;0,-(AS56-Uzman_D!$D$14),AS56-Uzman_D!$D$14)*0.1+IF(AT56-Uzman_D!$E$14&lt;0,-(AT56-Uzman_D!$E$14),AT56-Uzman_D!$E$14)*0.1+IF(AU56-Uzman_D!$F$14&lt;0,-(AU56-Uzman_D!$F$14),AU56-Uzman_D!$F$14)*0.1+IF(AV56-Uzman_D!$G$14&lt;0,-(AV56-Uzman_D!$G$14),AV56-Uzman_D!$G$14)*0.1+IF(AW56-Uzman_D!$H$14&lt;0,-(AW56-Uzman_D!$H$14),AW56-Uzman_D!$H$14)*0.1+IF(AX56-Uzman_D!$I$14&lt;0,-(AX56-Uzman_D!$I$14),AX56-Uzman_D!$I$14)*0.1+IF(AY56-Uzman_D!$J$14&lt;0,-(AY56-Uzman_D!$J$14),AY56-Uzman_D!$J$14)*0.1)+IF(ROUND((IF(BA56-Uzman_D!$L$14&lt;0,-(BA56-Uzman_D!$L$14),BA56-Uzman_D!$L$14)*2),0)/2=IF(BA56-Uzman_D!$L$14&lt;0,-(BA56-Uzman_D!$L$14),BA56-Uzman_D!$L$14),(ROUND((IF(BA56-Uzman_D!$L$14&lt;0,-(BA56-Uzman_D!$L$14),BA56-Uzman_D!$L$14)*2),0)/1*0.1),0)+IF(BB56-Uzman_D!$M$14&lt;0,-(BB56-Uzman_D!$M$14),BB56-Uzman_D!$M$14)*1)</f>
        <v>-0.30000000000000027</v>
      </c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70"/>
      <c r="BO56" s="70"/>
      <c r="BP56" s="71">
        <f>1-(SUM(IF(BD56-Uzman_D!$B$15&lt;0,-(BD56-Uzman_D!$B$15),BD56-Uzman_D!$B$15)*0.1+IF(BE56-Uzman_D!$C$15&lt;0,-(BE56-Uzman_D!$C$15),BE56-Uzman_D!$C$15)*0.1+IF(BF56-Uzman_D!$D$15&lt;0,-(BF56-Uzman_D!$D$15),BF56-Uzman_D!$D$15)*0.1+IF(BG56-Uzman_D!$E$15&lt;0,-(BG56-Uzman_D!$E$15),BG56-Uzman_D!$E$15)*0.1+IF(BH56-Uzman_D!$F$15&lt;0,-(BH56-Uzman_D!$F$15),BH56-Uzman_D!$F$15)*0.1+IF(BI56-Uzman_D!$G$15&lt;0,-(BI56-Uzman_D!$G$15),BI56-Uzman_D!$G$15)*0.1+IF(BJ56-Uzman_D!$H$15&lt;0,-(BJ56-Uzman_D!$H$15),BJ56-Uzman_D!$H$15)*0.1+IF(BK56-Uzman_D!$I$15&lt;0,-(BK56-Uzman_D!$I$15),BK56-Uzman_D!$I$15)*0.1+IF(BL56-Uzman_D!$J$15&lt;0,-(BL56-Uzman_D!$J$15),BL56-Uzman_D!$J$15)*0.1)+IF(ROUND((IF(BN56-Uzman_D!$L$15&lt;0,-(BN56-Uzman_D!$L$15),BN56-Uzman_D!$L$15)*2),0)/2=IF(BN56-Uzman_D!$L$15&lt;0,-(BN56-Uzman_D!$L$15),BN56-Uzman_D!$L$15),(ROUND((IF(BN56-Uzman_D!$L$15&lt;0,-(BN56-Uzman_D!$L$15),BN56-Uzman_D!$L$15)*2),0)/1*0.1),0)+IF(BO56-Uzman_D!$M$15&lt;0,-(BO56-Uzman_D!$M$15),BO56-Uzman_D!$M$15)*1)</f>
        <v>-0.50000000000000022</v>
      </c>
      <c r="BQ56" s="72">
        <f t="shared" si="1"/>
        <v>-0.54</v>
      </c>
    </row>
    <row r="57" spans="1:69" ht="15" customHeight="1" x14ac:dyDescent="0.45">
      <c r="A57" s="54">
        <v>54</v>
      </c>
      <c r="B57" s="165">
        <f>Hakemler!B57</f>
        <v>0</v>
      </c>
      <c r="C57" s="165">
        <f>Hakemler!C57</f>
        <v>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70"/>
      <c r="O57" s="70"/>
      <c r="P57" s="71">
        <f>1-(SUM(IF(D57-Uzman_D!$B$11&lt;0,-(D57-Uzman_D!$B$11),D57-Uzman_D!$B$11)*0.1+IF(E57-Uzman_D!$C$11&lt;0,-(E57-Uzman_D!$C$11),E57-Uzman_D!$C$11)*0.1+IF(F57-Uzman_D!$D$11&lt;0,-(F57-Uzman_D!$D$11),F57-Uzman_D!$D$11)*0.1+IF(G57-Uzman_D!$E$11&lt;0,-(G57-Uzman_D!$E$11),G57-Uzman_D!$E$11)*0.1+IF(H57-Uzman_D!$F$11&lt;0,-(H57-Uzman_D!$F$11),H57-Uzman_D!$F$11)*0.1+IF(I57-Uzman_D!$G$11&lt;0,-(I57-Uzman_D!$G$11),I57-Uzman_D!$G$11)*0.1+IF(J57-Uzman_D!$H$11&lt;0,-(J57-Uzman_D!$H$11),J57-Uzman_D!$H$11)*0.1+IF(K57-Uzman_D!$I$11&lt;0,-(K57-Uzman_D!$I$11),K57-Uzman_D!$I$11)*0.1+IF(L57-Uzman_D!$J$11&lt;0,-(L57-Uzman_D!$J$11),L57-Uzman_D!$J$11)*0.1)+IF(ROUND((IF(N57-Uzman_D!$L$11&lt;0,-(N57-Uzman_D!$L$11),N57-Uzman_D!$L$11)*2),0)/2=IF(N57-Uzman_D!$L$11&lt;0,-(N57-Uzman_D!$L$11),N57-Uzman_D!$L$11),(ROUND((IF(N57-Uzman_D!$L$11&lt;0,-(N57-Uzman_D!$L$11),N57-Uzman_D!$L$11)*2),0)/1*0.1),0)+IF(O57-Uzman_D!$M$11&lt;0,-(O57-Uzman_D!$M$11),O57-Uzman_D!$M$11)*1)</f>
        <v>-0.90000000000000013</v>
      </c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70"/>
      <c r="AB57" s="70"/>
      <c r="AC57" s="71">
        <f>1-(SUM(IF(Q57-Uzman_D!$B$12&lt;0,-(Q57-Uzman_D!$B$12),Q57-Uzman_D!$B$12)*0.1+IF(R57-Uzman_D!$C$12&lt;0,-(R57-Uzman_D!$C$12),R57-Uzman_D!$C$12)*0.1+IF(S57-Uzman_D!$D$12&lt;0,-(S57-Uzman_D!$D$12),S57-Uzman_D!$D$12)*0.1+IF(T57-Uzman_D!$E$12&lt;0,-(T57-Uzman_D!$E$12),T57-Uzman_D!$E$12)*0.1+IF(U57-Uzman_D!$F$12&lt;0,-(U57-Uzman_D!$F$12),U57-Uzman_D!$F$12)*0.1+IF(V57-Uzman_D!$G$12&lt;0,-(V57-Uzman_D!$G$12),V57-Uzman_D!$G$12)*0.1+IF(W57-Uzman_D!$H$12&lt;0,-(W57-Uzman_D!$H$12),W57-Uzman_D!$H$12)*0.1+IF(X57-Uzman_D!$I$12&lt;0,-(X57-Uzman_D!$I$12),X57-Uzman_D!$I$12)*0.1+IF(Y57-Uzman_D!$J$12&lt;0,-(Y57-Uzman_D!$J$12),Y57-Uzman_D!$J$12)*0.1)+IF(ROUND((IF(AA57-Uzman_D!$L$12&lt;0,-(AA57-Uzman_D!$L$12),AA57-Uzman_D!$L$12)*2),0)/2=IF(AA57-Uzman_D!$L$12&lt;0,-(AA57-Uzman_D!$L$12),AA57-Uzman_D!$L$12),(ROUND((IF(AA57-Uzman_D!$L$12&lt;0,-(AA57-Uzman_D!$L$12),AA57-Uzman_D!$L$12)*2),0)/1*0.1),0)+IF(AB57-Uzman_D!$M$12&lt;0,-(AB57-Uzman_D!$M$12),AB57-Uzman_D!$M$12)*1)</f>
        <v>-0.7</v>
      </c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70"/>
      <c r="AO57" s="70"/>
      <c r="AP57" s="71">
        <f>1-(SUM(IF(AD57-Uzman_D!$B$13&lt;0,-(AD57-Uzman_D!$B$13),AD57-Uzman_D!$B$13)*0.1+IF(AE57-Uzman_D!$C$13&lt;0,-(AE57-Uzman_D!$C$13),AE57-Uzman_D!$C$13)*0.1+IF(AF57-Uzman_D!$D$13&lt;0,-(AF57-Uzman_D!$D$13),AF57-Uzman_D!$D$13)*0.1+IF(AG57-Uzman_D!$E$13&lt;0,-(AG57-Uzman_D!$E$13),AG57-Uzman_D!$E$13)*0.1+IF(AH57-Uzman_D!$F$13&lt;0,-(AH57-Uzman_D!$F$13),AH57-Uzman_D!$F$13)*0.1+IF(AI57-Uzman_D!$G$13&lt;0,-(AI57-Uzman_D!$G$13),AI57-Uzman_D!$G$13)*0.1+IF(AJ57-Uzman_D!$H$13&lt;0,-(AJ57-Uzman_D!$H$13),AJ57-Uzman_D!$H$13)*0.1+IF(AK57-Uzman_D!$I$13&lt;0,-(AK57-Uzman_D!$I$13),AK57-Uzman_D!$I$13)*0.1+IF(AL57-Uzman_D!$J$13&lt;0,-(AL57-Uzman_D!$J$13),AL57-Uzman_D!$J$13)*0.1)+IF(ROUND((IF(AN57-Uzman_D!$L$13&lt;0,-(AN57-Uzman_D!$L$13),AN57-Uzman_D!$L$13)*2),0)/2=IF(AN57-Uzman_D!$L$13&lt;0,-(AN57-Uzman_D!$L$13),AN57-Uzman_D!$L$13),(ROUND((IF(AN57-Uzman_D!$L$13&lt;0,-(AN57-Uzman_D!$L$13),AN57-Uzman_D!$L$13)*2),0)/1*0.1),0)+IF(AO57-Uzman_D!$M$13&lt;0,-(AO57-Uzman_D!$M$13),AO57-Uzman_D!$M$13)*1)</f>
        <v>-0.30000000000000004</v>
      </c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70"/>
      <c r="BB57" s="70"/>
      <c r="BC57" s="71">
        <f>1-(SUM(IF(AQ57-Uzman_D!$B$14&lt;0,-(AQ57-Uzman_D!$B$14),AQ57-Uzman_D!$B$14)*0.1+IF(AR57-Uzman_D!$C$14&lt;0,-(AR57-Uzman_D!$C$14),AR57-Uzman_D!$C$14)*0.1+IF(AS57-Uzman_D!$D$14&lt;0,-(AS57-Uzman_D!$D$14),AS57-Uzman_D!$D$14)*0.1+IF(AT57-Uzman_D!$E$14&lt;0,-(AT57-Uzman_D!$E$14),AT57-Uzman_D!$E$14)*0.1+IF(AU57-Uzman_D!$F$14&lt;0,-(AU57-Uzman_D!$F$14),AU57-Uzman_D!$F$14)*0.1+IF(AV57-Uzman_D!$G$14&lt;0,-(AV57-Uzman_D!$G$14),AV57-Uzman_D!$G$14)*0.1+IF(AW57-Uzman_D!$H$14&lt;0,-(AW57-Uzman_D!$H$14),AW57-Uzman_D!$H$14)*0.1+IF(AX57-Uzman_D!$I$14&lt;0,-(AX57-Uzman_D!$I$14),AX57-Uzman_D!$I$14)*0.1+IF(AY57-Uzman_D!$J$14&lt;0,-(AY57-Uzman_D!$J$14),AY57-Uzman_D!$J$14)*0.1)+IF(ROUND((IF(BA57-Uzman_D!$L$14&lt;0,-(BA57-Uzman_D!$L$14),BA57-Uzman_D!$L$14)*2),0)/2=IF(BA57-Uzman_D!$L$14&lt;0,-(BA57-Uzman_D!$L$14),BA57-Uzman_D!$L$14),(ROUND((IF(BA57-Uzman_D!$L$14&lt;0,-(BA57-Uzman_D!$L$14),BA57-Uzman_D!$L$14)*2),0)/1*0.1),0)+IF(BB57-Uzman_D!$M$14&lt;0,-(BB57-Uzman_D!$M$14),BB57-Uzman_D!$M$14)*1)</f>
        <v>-0.30000000000000027</v>
      </c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70"/>
      <c r="BO57" s="70"/>
      <c r="BP57" s="71">
        <f>1-(SUM(IF(BD57-Uzman_D!$B$15&lt;0,-(BD57-Uzman_D!$B$15),BD57-Uzman_D!$B$15)*0.1+IF(BE57-Uzman_D!$C$15&lt;0,-(BE57-Uzman_D!$C$15),BE57-Uzman_D!$C$15)*0.1+IF(BF57-Uzman_D!$D$15&lt;0,-(BF57-Uzman_D!$D$15),BF57-Uzman_D!$D$15)*0.1+IF(BG57-Uzman_D!$E$15&lt;0,-(BG57-Uzman_D!$E$15),BG57-Uzman_D!$E$15)*0.1+IF(BH57-Uzman_D!$F$15&lt;0,-(BH57-Uzman_D!$F$15),BH57-Uzman_D!$F$15)*0.1+IF(BI57-Uzman_D!$G$15&lt;0,-(BI57-Uzman_D!$G$15),BI57-Uzman_D!$G$15)*0.1+IF(BJ57-Uzman_D!$H$15&lt;0,-(BJ57-Uzman_D!$H$15),BJ57-Uzman_D!$H$15)*0.1+IF(BK57-Uzman_D!$I$15&lt;0,-(BK57-Uzman_D!$I$15),BK57-Uzman_D!$I$15)*0.1+IF(BL57-Uzman_D!$J$15&lt;0,-(BL57-Uzman_D!$J$15),BL57-Uzman_D!$J$15)*0.1)+IF(ROUND((IF(BN57-Uzman_D!$L$15&lt;0,-(BN57-Uzman_D!$L$15),BN57-Uzman_D!$L$15)*2),0)/2=IF(BN57-Uzman_D!$L$15&lt;0,-(BN57-Uzman_D!$L$15),BN57-Uzman_D!$L$15),(ROUND((IF(BN57-Uzman_D!$L$15&lt;0,-(BN57-Uzman_D!$L$15),BN57-Uzman_D!$L$15)*2),0)/1*0.1),0)+IF(BO57-Uzman_D!$M$15&lt;0,-(BO57-Uzman_D!$M$15),BO57-Uzman_D!$M$15)*1)</f>
        <v>-0.50000000000000022</v>
      </c>
      <c r="BQ57" s="72">
        <f t="shared" si="1"/>
        <v>-0.54</v>
      </c>
    </row>
    <row r="58" spans="1:69" ht="15" customHeight="1" x14ac:dyDescent="0.45">
      <c r="A58" s="54">
        <v>55</v>
      </c>
      <c r="B58" s="166">
        <f>Hakemler!B58</f>
        <v>0</v>
      </c>
      <c r="C58" s="166">
        <f>Hakemler!C58</f>
        <v>0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70"/>
      <c r="O58" s="70"/>
      <c r="P58" s="71">
        <f>1-(SUM(IF(D58-Uzman_D!$B$11&lt;0,-(D58-Uzman_D!$B$11),D58-Uzman_D!$B$11)*0.1+IF(E58-Uzman_D!$C$11&lt;0,-(E58-Uzman_D!$C$11),E58-Uzman_D!$C$11)*0.1+IF(F58-Uzman_D!$D$11&lt;0,-(F58-Uzman_D!$D$11),F58-Uzman_D!$D$11)*0.1+IF(G58-Uzman_D!$E$11&lt;0,-(G58-Uzman_D!$E$11),G58-Uzman_D!$E$11)*0.1+IF(H58-Uzman_D!$F$11&lt;0,-(H58-Uzman_D!$F$11),H58-Uzman_D!$F$11)*0.1+IF(I58-Uzman_D!$G$11&lt;0,-(I58-Uzman_D!$G$11),I58-Uzman_D!$G$11)*0.1+IF(J58-Uzman_D!$H$11&lt;0,-(J58-Uzman_D!$H$11),J58-Uzman_D!$H$11)*0.1+IF(K58-Uzman_D!$I$11&lt;0,-(K58-Uzman_D!$I$11),K58-Uzman_D!$I$11)*0.1+IF(L58-Uzman_D!$J$11&lt;0,-(L58-Uzman_D!$J$11),L58-Uzman_D!$J$11)*0.1)+IF(ROUND((IF(N58-Uzman_D!$L$11&lt;0,-(N58-Uzman_D!$L$11),N58-Uzman_D!$L$11)*2),0)/2=IF(N58-Uzman_D!$L$11&lt;0,-(N58-Uzman_D!$L$11),N58-Uzman_D!$L$11),(ROUND((IF(N58-Uzman_D!$L$11&lt;0,-(N58-Uzman_D!$L$11),N58-Uzman_D!$L$11)*2),0)/1*0.1),0)+IF(O58-Uzman_D!$M$11&lt;0,-(O58-Uzman_D!$M$11),O58-Uzman_D!$M$11)*1)</f>
        <v>-0.90000000000000013</v>
      </c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70"/>
      <c r="AB58" s="70"/>
      <c r="AC58" s="71">
        <f>1-(SUM(IF(Q58-Uzman_D!$B$12&lt;0,-(Q58-Uzman_D!$B$12),Q58-Uzman_D!$B$12)*0.1+IF(R58-Uzman_D!$C$12&lt;0,-(R58-Uzman_D!$C$12),R58-Uzman_D!$C$12)*0.1+IF(S58-Uzman_D!$D$12&lt;0,-(S58-Uzman_D!$D$12),S58-Uzman_D!$D$12)*0.1+IF(T58-Uzman_D!$E$12&lt;0,-(T58-Uzman_D!$E$12),T58-Uzman_D!$E$12)*0.1+IF(U58-Uzman_D!$F$12&lt;0,-(U58-Uzman_D!$F$12),U58-Uzman_D!$F$12)*0.1+IF(V58-Uzman_D!$G$12&lt;0,-(V58-Uzman_D!$G$12),V58-Uzman_D!$G$12)*0.1+IF(W58-Uzman_D!$H$12&lt;0,-(W58-Uzman_D!$H$12),W58-Uzman_D!$H$12)*0.1+IF(X58-Uzman_D!$I$12&lt;0,-(X58-Uzman_D!$I$12),X58-Uzman_D!$I$12)*0.1+IF(Y58-Uzman_D!$J$12&lt;0,-(Y58-Uzman_D!$J$12),Y58-Uzman_D!$J$12)*0.1)+IF(ROUND((IF(AA58-Uzman_D!$L$12&lt;0,-(AA58-Uzman_D!$L$12),AA58-Uzman_D!$L$12)*2),0)/2=IF(AA58-Uzman_D!$L$12&lt;0,-(AA58-Uzman_D!$L$12),AA58-Uzman_D!$L$12),(ROUND((IF(AA58-Uzman_D!$L$12&lt;0,-(AA58-Uzman_D!$L$12),AA58-Uzman_D!$L$12)*2),0)/1*0.1),0)+IF(AB58-Uzman_D!$M$12&lt;0,-(AB58-Uzman_D!$M$12),AB58-Uzman_D!$M$12)*1)</f>
        <v>-0.7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70"/>
      <c r="AO58" s="70"/>
      <c r="AP58" s="71">
        <f>1-(SUM(IF(AD58-Uzman_D!$B$13&lt;0,-(AD58-Uzman_D!$B$13),AD58-Uzman_D!$B$13)*0.1+IF(AE58-Uzman_D!$C$13&lt;0,-(AE58-Uzman_D!$C$13),AE58-Uzman_D!$C$13)*0.1+IF(AF58-Uzman_D!$D$13&lt;0,-(AF58-Uzman_D!$D$13),AF58-Uzman_D!$D$13)*0.1+IF(AG58-Uzman_D!$E$13&lt;0,-(AG58-Uzman_D!$E$13),AG58-Uzman_D!$E$13)*0.1+IF(AH58-Uzman_D!$F$13&lt;0,-(AH58-Uzman_D!$F$13),AH58-Uzman_D!$F$13)*0.1+IF(AI58-Uzman_D!$G$13&lt;0,-(AI58-Uzman_D!$G$13),AI58-Uzman_D!$G$13)*0.1+IF(AJ58-Uzman_D!$H$13&lt;0,-(AJ58-Uzman_D!$H$13),AJ58-Uzman_D!$H$13)*0.1+IF(AK58-Uzman_D!$I$13&lt;0,-(AK58-Uzman_D!$I$13),AK58-Uzman_D!$I$13)*0.1+IF(AL58-Uzman_D!$J$13&lt;0,-(AL58-Uzman_D!$J$13),AL58-Uzman_D!$J$13)*0.1)+IF(ROUND((IF(AN58-Uzman_D!$L$13&lt;0,-(AN58-Uzman_D!$L$13),AN58-Uzman_D!$L$13)*2),0)/2=IF(AN58-Uzman_D!$L$13&lt;0,-(AN58-Uzman_D!$L$13),AN58-Uzman_D!$L$13),(ROUND((IF(AN58-Uzman_D!$L$13&lt;0,-(AN58-Uzman_D!$L$13),AN58-Uzman_D!$L$13)*2),0)/1*0.1),0)+IF(AO58-Uzman_D!$M$13&lt;0,-(AO58-Uzman_D!$M$13),AO58-Uzman_D!$M$13)*1)</f>
        <v>-0.30000000000000004</v>
      </c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70"/>
      <c r="BB58" s="70"/>
      <c r="BC58" s="71">
        <f>1-(SUM(IF(AQ58-Uzman_D!$B$14&lt;0,-(AQ58-Uzman_D!$B$14),AQ58-Uzman_D!$B$14)*0.1+IF(AR58-Uzman_D!$C$14&lt;0,-(AR58-Uzman_D!$C$14),AR58-Uzman_D!$C$14)*0.1+IF(AS58-Uzman_D!$D$14&lt;0,-(AS58-Uzman_D!$D$14),AS58-Uzman_D!$D$14)*0.1+IF(AT58-Uzman_D!$E$14&lt;0,-(AT58-Uzman_D!$E$14),AT58-Uzman_D!$E$14)*0.1+IF(AU58-Uzman_D!$F$14&lt;0,-(AU58-Uzman_D!$F$14),AU58-Uzman_D!$F$14)*0.1+IF(AV58-Uzman_D!$G$14&lt;0,-(AV58-Uzman_D!$G$14),AV58-Uzman_D!$G$14)*0.1+IF(AW58-Uzman_D!$H$14&lt;0,-(AW58-Uzman_D!$H$14),AW58-Uzman_D!$H$14)*0.1+IF(AX58-Uzman_D!$I$14&lt;0,-(AX58-Uzman_D!$I$14),AX58-Uzman_D!$I$14)*0.1+IF(AY58-Uzman_D!$J$14&lt;0,-(AY58-Uzman_D!$J$14),AY58-Uzman_D!$J$14)*0.1)+IF(ROUND((IF(BA58-Uzman_D!$L$14&lt;0,-(BA58-Uzman_D!$L$14),BA58-Uzman_D!$L$14)*2),0)/2=IF(BA58-Uzman_D!$L$14&lt;0,-(BA58-Uzman_D!$L$14),BA58-Uzman_D!$L$14),(ROUND((IF(BA58-Uzman_D!$L$14&lt;0,-(BA58-Uzman_D!$L$14),BA58-Uzman_D!$L$14)*2),0)/1*0.1),0)+IF(BB58-Uzman_D!$M$14&lt;0,-(BB58-Uzman_D!$M$14),BB58-Uzman_D!$M$14)*1)</f>
        <v>-0.30000000000000027</v>
      </c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70"/>
      <c r="BO58" s="70"/>
      <c r="BP58" s="71">
        <f>1-(SUM(IF(BD58-Uzman_D!$B$15&lt;0,-(BD58-Uzman_D!$B$15),BD58-Uzman_D!$B$15)*0.1+IF(BE58-Uzman_D!$C$15&lt;0,-(BE58-Uzman_D!$C$15),BE58-Uzman_D!$C$15)*0.1+IF(BF58-Uzman_D!$D$15&lt;0,-(BF58-Uzman_D!$D$15),BF58-Uzman_D!$D$15)*0.1+IF(BG58-Uzman_D!$E$15&lt;0,-(BG58-Uzman_D!$E$15),BG58-Uzman_D!$E$15)*0.1+IF(BH58-Uzman_D!$F$15&lt;0,-(BH58-Uzman_D!$F$15),BH58-Uzman_D!$F$15)*0.1+IF(BI58-Uzman_D!$G$15&lt;0,-(BI58-Uzman_D!$G$15),BI58-Uzman_D!$G$15)*0.1+IF(BJ58-Uzman_D!$H$15&lt;0,-(BJ58-Uzman_D!$H$15),BJ58-Uzman_D!$H$15)*0.1+IF(BK58-Uzman_D!$I$15&lt;0,-(BK58-Uzman_D!$I$15),BK58-Uzman_D!$I$15)*0.1+IF(BL58-Uzman_D!$J$15&lt;0,-(BL58-Uzman_D!$J$15),BL58-Uzman_D!$J$15)*0.1)+IF(ROUND((IF(BN58-Uzman_D!$L$15&lt;0,-(BN58-Uzman_D!$L$15),BN58-Uzman_D!$L$15)*2),0)/2=IF(BN58-Uzman_D!$L$15&lt;0,-(BN58-Uzman_D!$L$15),BN58-Uzman_D!$L$15),(ROUND((IF(BN58-Uzman_D!$L$15&lt;0,-(BN58-Uzman_D!$L$15),BN58-Uzman_D!$L$15)*2),0)/1*0.1),0)+IF(BO58-Uzman_D!$M$15&lt;0,-(BO58-Uzman_D!$M$15),BO58-Uzman_D!$M$15)*1)</f>
        <v>-0.50000000000000022</v>
      </c>
      <c r="BQ58" s="72">
        <f t="shared" si="1"/>
        <v>-0.54</v>
      </c>
    </row>
    <row r="59" spans="1:69" ht="15" customHeight="1" x14ac:dyDescent="0.45">
      <c r="A59" s="54">
        <v>56</v>
      </c>
      <c r="B59" s="165">
        <f>Hakemler!B59</f>
        <v>0</v>
      </c>
      <c r="C59" s="165">
        <f>Hakemler!C59</f>
        <v>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70"/>
      <c r="O59" s="70"/>
      <c r="P59" s="71">
        <f>1-(SUM(IF(D59-Uzman_D!$B$11&lt;0,-(D59-Uzman_D!$B$11),D59-Uzman_D!$B$11)*0.1+IF(E59-Uzman_D!$C$11&lt;0,-(E59-Uzman_D!$C$11),E59-Uzman_D!$C$11)*0.1+IF(F59-Uzman_D!$D$11&lt;0,-(F59-Uzman_D!$D$11),F59-Uzman_D!$D$11)*0.1+IF(G59-Uzman_D!$E$11&lt;0,-(G59-Uzman_D!$E$11),G59-Uzman_D!$E$11)*0.1+IF(H59-Uzman_D!$F$11&lt;0,-(H59-Uzman_D!$F$11),H59-Uzman_D!$F$11)*0.1+IF(I59-Uzman_D!$G$11&lt;0,-(I59-Uzman_D!$G$11),I59-Uzman_D!$G$11)*0.1+IF(J59-Uzman_D!$H$11&lt;0,-(J59-Uzman_D!$H$11),J59-Uzman_D!$H$11)*0.1+IF(K59-Uzman_D!$I$11&lt;0,-(K59-Uzman_D!$I$11),K59-Uzman_D!$I$11)*0.1+IF(L59-Uzman_D!$J$11&lt;0,-(L59-Uzman_D!$J$11),L59-Uzman_D!$J$11)*0.1)+IF(ROUND((IF(N59-Uzman_D!$L$11&lt;0,-(N59-Uzman_D!$L$11),N59-Uzman_D!$L$11)*2),0)/2=IF(N59-Uzman_D!$L$11&lt;0,-(N59-Uzman_D!$L$11),N59-Uzman_D!$L$11),(ROUND((IF(N59-Uzman_D!$L$11&lt;0,-(N59-Uzman_D!$L$11),N59-Uzman_D!$L$11)*2),0)/1*0.1),0)+IF(O59-Uzman_D!$M$11&lt;0,-(O59-Uzman_D!$M$11),O59-Uzman_D!$M$11)*1)</f>
        <v>-0.90000000000000013</v>
      </c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70"/>
      <c r="AB59" s="70"/>
      <c r="AC59" s="71">
        <f>1-(SUM(IF(Q59-Uzman_D!$B$12&lt;0,-(Q59-Uzman_D!$B$12),Q59-Uzman_D!$B$12)*0.1+IF(R59-Uzman_D!$C$12&lt;0,-(R59-Uzman_D!$C$12),R59-Uzman_D!$C$12)*0.1+IF(S59-Uzman_D!$D$12&lt;0,-(S59-Uzman_D!$D$12),S59-Uzman_D!$D$12)*0.1+IF(T59-Uzman_D!$E$12&lt;0,-(T59-Uzman_D!$E$12),T59-Uzman_D!$E$12)*0.1+IF(U59-Uzman_D!$F$12&lt;0,-(U59-Uzman_D!$F$12),U59-Uzman_D!$F$12)*0.1+IF(V59-Uzman_D!$G$12&lt;0,-(V59-Uzman_D!$G$12),V59-Uzman_D!$G$12)*0.1+IF(W59-Uzman_D!$H$12&lt;0,-(W59-Uzman_D!$H$12),W59-Uzman_D!$H$12)*0.1+IF(X59-Uzman_D!$I$12&lt;0,-(X59-Uzman_D!$I$12),X59-Uzman_D!$I$12)*0.1+IF(Y59-Uzman_D!$J$12&lt;0,-(Y59-Uzman_D!$J$12),Y59-Uzman_D!$J$12)*0.1)+IF(ROUND((IF(AA59-Uzman_D!$L$12&lt;0,-(AA59-Uzman_D!$L$12),AA59-Uzman_D!$L$12)*2),0)/2=IF(AA59-Uzman_D!$L$12&lt;0,-(AA59-Uzman_D!$L$12),AA59-Uzman_D!$L$12),(ROUND((IF(AA59-Uzman_D!$L$12&lt;0,-(AA59-Uzman_D!$L$12),AA59-Uzman_D!$L$12)*2),0)/1*0.1),0)+IF(AB59-Uzman_D!$M$12&lt;0,-(AB59-Uzman_D!$M$12),AB59-Uzman_D!$M$12)*1)</f>
        <v>-0.7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70"/>
      <c r="AO59" s="70"/>
      <c r="AP59" s="71">
        <f>1-(SUM(IF(AD59-Uzman_D!$B$13&lt;0,-(AD59-Uzman_D!$B$13),AD59-Uzman_D!$B$13)*0.1+IF(AE59-Uzman_D!$C$13&lt;0,-(AE59-Uzman_D!$C$13),AE59-Uzman_D!$C$13)*0.1+IF(AF59-Uzman_D!$D$13&lt;0,-(AF59-Uzman_D!$D$13),AF59-Uzman_D!$D$13)*0.1+IF(AG59-Uzman_D!$E$13&lt;0,-(AG59-Uzman_D!$E$13),AG59-Uzman_D!$E$13)*0.1+IF(AH59-Uzman_D!$F$13&lt;0,-(AH59-Uzman_D!$F$13),AH59-Uzman_D!$F$13)*0.1+IF(AI59-Uzman_D!$G$13&lt;0,-(AI59-Uzman_D!$G$13),AI59-Uzman_D!$G$13)*0.1+IF(AJ59-Uzman_D!$H$13&lt;0,-(AJ59-Uzman_D!$H$13),AJ59-Uzman_D!$H$13)*0.1+IF(AK59-Uzman_D!$I$13&lt;0,-(AK59-Uzman_D!$I$13),AK59-Uzman_D!$I$13)*0.1+IF(AL59-Uzman_D!$J$13&lt;0,-(AL59-Uzman_D!$J$13),AL59-Uzman_D!$J$13)*0.1)+IF(ROUND((IF(AN59-Uzman_D!$L$13&lt;0,-(AN59-Uzman_D!$L$13),AN59-Uzman_D!$L$13)*2),0)/2=IF(AN59-Uzman_D!$L$13&lt;0,-(AN59-Uzman_D!$L$13),AN59-Uzman_D!$L$13),(ROUND((IF(AN59-Uzman_D!$L$13&lt;0,-(AN59-Uzman_D!$L$13),AN59-Uzman_D!$L$13)*2),0)/1*0.1),0)+IF(AO59-Uzman_D!$M$13&lt;0,-(AO59-Uzman_D!$M$13),AO59-Uzman_D!$M$13)*1)</f>
        <v>-0.30000000000000004</v>
      </c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70"/>
      <c r="BB59" s="70"/>
      <c r="BC59" s="71">
        <f>1-(SUM(IF(AQ59-Uzman_D!$B$14&lt;0,-(AQ59-Uzman_D!$B$14),AQ59-Uzman_D!$B$14)*0.1+IF(AR59-Uzman_D!$C$14&lt;0,-(AR59-Uzman_D!$C$14),AR59-Uzman_D!$C$14)*0.1+IF(AS59-Uzman_D!$D$14&lt;0,-(AS59-Uzman_D!$D$14),AS59-Uzman_D!$D$14)*0.1+IF(AT59-Uzman_D!$E$14&lt;0,-(AT59-Uzman_D!$E$14),AT59-Uzman_D!$E$14)*0.1+IF(AU59-Uzman_D!$F$14&lt;0,-(AU59-Uzman_D!$F$14),AU59-Uzman_D!$F$14)*0.1+IF(AV59-Uzman_D!$G$14&lt;0,-(AV59-Uzman_D!$G$14),AV59-Uzman_D!$G$14)*0.1+IF(AW59-Uzman_D!$H$14&lt;0,-(AW59-Uzman_D!$H$14),AW59-Uzman_D!$H$14)*0.1+IF(AX59-Uzman_D!$I$14&lt;0,-(AX59-Uzman_D!$I$14),AX59-Uzman_D!$I$14)*0.1+IF(AY59-Uzman_D!$J$14&lt;0,-(AY59-Uzman_D!$J$14),AY59-Uzman_D!$J$14)*0.1)+IF(ROUND((IF(BA59-Uzman_D!$L$14&lt;0,-(BA59-Uzman_D!$L$14),BA59-Uzman_D!$L$14)*2),0)/2=IF(BA59-Uzman_D!$L$14&lt;0,-(BA59-Uzman_D!$L$14),BA59-Uzman_D!$L$14),(ROUND((IF(BA59-Uzman_D!$L$14&lt;0,-(BA59-Uzman_D!$L$14),BA59-Uzman_D!$L$14)*2),0)/1*0.1),0)+IF(BB59-Uzman_D!$M$14&lt;0,-(BB59-Uzman_D!$M$14),BB59-Uzman_D!$M$14)*1)</f>
        <v>-0.30000000000000027</v>
      </c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70"/>
      <c r="BO59" s="70"/>
      <c r="BP59" s="71">
        <f>1-(SUM(IF(BD59-Uzman_D!$B$15&lt;0,-(BD59-Uzman_D!$B$15),BD59-Uzman_D!$B$15)*0.1+IF(BE59-Uzman_D!$C$15&lt;0,-(BE59-Uzman_D!$C$15),BE59-Uzman_D!$C$15)*0.1+IF(BF59-Uzman_D!$D$15&lt;0,-(BF59-Uzman_D!$D$15),BF59-Uzman_D!$D$15)*0.1+IF(BG59-Uzman_D!$E$15&lt;0,-(BG59-Uzman_D!$E$15),BG59-Uzman_D!$E$15)*0.1+IF(BH59-Uzman_D!$F$15&lt;0,-(BH59-Uzman_D!$F$15),BH59-Uzman_D!$F$15)*0.1+IF(BI59-Uzman_D!$G$15&lt;0,-(BI59-Uzman_D!$G$15),BI59-Uzman_D!$G$15)*0.1+IF(BJ59-Uzman_D!$H$15&lt;0,-(BJ59-Uzman_D!$H$15),BJ59-Uzman_D!$H$15)*0.1+IF(BK59-Uzman_D!$I$15&lt;0,-(BK59-Uzman_D!$I$15),BK59-Uzman_D!$I$15)*0.1+IF(BL59-Uzman_D!$J$15&lt;0,-(BL59-Uzman_D!$J$15),BL59-Uzman_D!$J$15)*0.1)+IF(ROUND((IF(BN59-Uzman_D!$L$15&lt;0,-(BN59-Uzman_D!$L$15),BN59-Uzman_D!$L$15)*2),0)/2=IF(BN59-Uzman_D!$L$15&lt;0,-(BN59-Uzman_D!$L$15),BN59-Uzman_D!$L$15),(ROUND((IF(BN59-Uzman_D!$L$15&lt;0,-(BN59-Uzman_D!$L$15),BN59-Uzman_D!$L$15)*2),0)/1*0.1),0)+IF(BO59-Uzman_D!$M$15&lt;0,-(BO59-Uzman_D!$M$15),BO59-Uzman_D!$M$15)*1)</f>
        <v>-0.50000000000000022</v>
      </c>
      <c r="BQ59" s="72">
        <f t="shared" si="1"/>
        <v>-0.54</v>
      </c>
    </row>
    <row r="60" spans="1:69" ht="15" customHeight="1" x14ac:dyDescent="0.45">
      <c r="A60" s="54">
        <v>57</v>
      </c>
      <c r="B60" s="166">
        <f>Hakemler!B60</f>
        <v>0</v>
      </c>
      <c r="C60" s="166">
        <f>Hakemler!C60</f>
        <v>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70"/>
      <c r="O60" s="70"/>
      <c r="P60" s="71">
        <f>1-(SUM(IF(D60-Uzman_D!$B$11&lt;0,-(D60-Uzman_D!$B$11),D60-Uzman_D!$B$11)*0.1+IF(E60-Uzman_D!$C$11&lt;0,-(E60-Uzman_D!$C$11),E60-Uzman_D!$C$11)*0.1+IF(F60-Uzman_D!$D$11&lt;0,-(F60-Uzman_D!$D$11),F60-Uzman_D!$D$11)*0.1+IF(G60-Uzman_D!$E$11&lt;0,-(G60-Uzman_D!$E$11),G60-Uzman_D!$E$11)*0.1+IF(H60-Uzman_D!$F$11&lt;0,-(H60-Uzman_D!$F$11),H60-Uzman_D!$F$11)*0.1+IF(I60-Uzman_D!$G$11&lt;0,-(I60-Uzman_D!$G$11),I60-Uzman_D!$G$11)*0.1+IF(J60-Uzman_D!$H$11&lt;0,-(J60-Uzman_D!$H$11),J60-Uzman_D!$H$11)*0.1+IF(K60-Uzman_D!$I$11&lt;0,-(K60-Uzman_D!$I$11),K60-Uzman_D!$I$11)*0.1+IF(L60-Uzman_D!$J$11&lt;0,-(L60-Uzman_D!$J$11),L60-Uzman_D!$J$11)*0.1)+IF(ROUND((IF(N60-Uzman_D!$L$11&lt;0,-(N60-Uzman_D!$L$11),N60-Uzman_D!$L$11)*2),0)/2=IF(N60-Uzman_D!$L$11&lt;0,-(N60-Uzman_D!$L$11),N60-Uzman_D!$L$11),(ROUND((IF(N60-Uzman_D!$L$11&lt;0,-(N60-Uzman_D!$L$11),N60-Uzman_D!$L$11)*2),0)/1*0.1),0)+IF(O60-Uzman_D!$M$11&lt;0,-(O60-Uzman_D!$M$11),O60-Uzman_D!$M$11)*1)</f>
        <v>-0.90000000000000013</v>
      </c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70"/>
      <c r="AB60" s="70"/>
      <c r="AC60" s="71">
        <f>1-(SUM(IF(Q60-Uzman_D!$B$12&lt;0,-(Q60-Uzman_D!$B$12),Q60-Uzman_D!$B$12)*0.1+IF(R60-Uzman_D!$C$12&lt;0,-(R60-Uzman_D!$C$12),R60-Uzman_D!$C$12)*0.1+IF(S60-Uzman_D!$D$12&lt;0,-(S60-Uzman_D!$D$12),S60-Uzman_D!$D$12)*0.1+IF(T60-Uzman_D!$E$12&lt;0,-(T60-Uzman_D!$E$12),T60-Uzman_D!$E$12)*0.1+IF(U60-Uzman_D!$F$12&lt;0,-(U60-Uzman_D!$F$12),U60-Uzman_D!$F$12)*0.1+IF(V60-Uzman_D!$G$12&lt;0,-(V60-Uzman_D!$G$12),V60-Uzman_D!$G$12)*0.1+IF(W60-Uzman_D!$H$12&lt;0,-(W60-Uzman_D!$H$12),W60-Uzman_D!$H$12)*0.1+IF(X60-Uzman_D!$I$12&lt;0,-(X60-Uzman_D!$I$12),X60-Uzman_D!$I$12)*0.1+IF(Y60-Uzman_D!$J$12&lt;0,-(Y60-Uzman_D!$J$12),Y60-Uzman_D!$J$12)*0.1)+IF(ROUND((IF(AA60-Uzman_D!$L$12&lt;0,-(AA60-Uzman_D!$L$12),AA60-Uzman_D!$L$12)*2),0)/2=IF(AA60-Uzman_D!$L$12&lt;0,-(AA60-Uzman_D!$L$12),AA60-Uzman_D!$L$12),(ROUND((IF(AA60-Uzman_D!$L$12&lt;0,-(AA60-Uzman_D!$L$12),AA60-Uzman_D!$L$12)*2),0)/1*0.1),0)+IF(AB60-Uzman_D!$M$12&lt;0,-(AB60-Uzman_D!$M$12),AB60-Uzman_D!$M$12)*1)</f>
        <v>-0.7</v>
      </c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70"/>
      <c r="AO60" s="70"/>
      <c r="AP60" s="71">
        <f>1-(SUM(IF(AD60-Uzman_D!$B$13&lt;0,-(AD60-Uzman_D!$B$13),AD60-Uzman_D!$B$13)*0.1+IF(AE60-Uzman_D!$C$13&lt;0,-(AE60-Uzman_D!$C$13),AE60-Uzman_D!$C$13)*0.1+IF(AF60-Uzman_D!$D$13&lt;0,-(AF60-Uzman_D!$D$13),AF60-Uzman_D!$D$13)*0.1+IF(AG60-Uzman_D!$E$13&lt;0,-(AG60-Uzman_D!$E$13),AG60-Uzman_D!$E$13)*0.1+IF(AH60-Uzman_D!$F$13&lt;0,-(AH60-Uzman_D!$F$13),AH60-Uzman_D!$F$13)*0.1+IF(AI60-Uzman_D!$G$13&lt;0,-(AI60-Uzman_D!$G$13),AI60-Uzman_D!$G$13)*0.1+IF(AJ60-Uzman_D!$H$13&lt;0,-(AJ60-Uzman_D!$H$13),AJ60-Uzman_D!$H$13)*0.1+IF(AK60-Uzman_D!$I$13&lt;0,-(AK60-Uzman_D!$I$13),AK60-Uzman_D!$I$13)*0.1+IF(AL60-Uzman_D!$J$13&lt;0,-(AL60-Uzman_D!$J$13),AL60-Uzman_D!$J$13)*0.1)+IF(ROUND((IF(AN60-Uzman_D!$L$13&lt;0,-(AN60-Uzman_D!$L$13),AN60-Uzman_D!$L$13)*2),0)/2=IF(AN60-Uzman_D!$L$13&lt;0,-(AN60-Uzman_D!$L$13),AN60-Uzman_D!$L$13),(ROUND((IF(AN60-Uzman_D!$L$13&lt;0,-(AN60-Uzman_D!$L$13),AN60-Uzman_D!$L$13)*2),0)/1*0.1),0)+IF(AO60-Uzman_D!$M$13&lt;0,-(AO60-Uzman_D!$M$13),AO60-Uzman_D!$M$13)*1)</f>
        <v>-0.30000000000000004</v>
      </c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70"/>
      <c r="BB60" s="70"/>
      <c r="BC60" s="71">
        <f>1-(SUM(IF(AQ60-Uzman_D!$B$14&lt;0,-(AQ60-Uzman_D!$B$14),AQ60-Uzman_D!$B$14)*0.1+IF(AR60-Uzman_D!$C$14&lt;0,-(AR60-Uzman_D!$C$14),AR60-Uzman_D!$C$14)*0.1+IF(AS60-Uzman_D!$D$14&lt;0,-(AS60-Uzman_D!$D$14),AS60-Uzman_D!$D$14)*0.1+IF(AT60-Uzman_D!$E$14&lt;0,-(AT60-Uzman_D!$E$14),AT60-Uzman_D!$E$14)*0.1+IF(AU60-Uzman_D!$F$14&lt;0,-(AU60-Uzman_D!$F$14),AU60-Uzman_D!$F$14)*0.1+IF(AV60-Uzman_D!$G$14&lt;0,-(AV60-Uzman_D!$G$14),AV60-Uzman_D!$G$14)*0.1+IF(AW60-Uzman_D!$H$14&lt;0,-(AW60-Uzman_D!$H$14),AW60-Uzman_D!$H$14)*0.1+IF(AX60-Uzman_D!$I$14&lt;0,-(AX60-Uzman_D!$I$14),AX60-Uzman_D!$I$14)*0.1+IF(AY60-Uzman_D!$J$14&lt;0,-(AY60-Uzman_D!$J$14),AY60-Uzman_D!$J$14)*0.1)+IF(ROUND((IF(BA60-Uzman_D!$L$14&lt;0,-(BA60-Uzman_D!$L$14),BA60-Uzman_D!$L$14)*2),0)/2=IF(BA60-Uzman_D!$L$14&lt;0,-(BA60-Uzman_D!$L$14),BA60-Uzman_D!$L$14),(ROUND((IF(BA60-Uzman_D!$L$14&lt;0,-(BA60-Uzman_D!$L$14),BA60-Uzman_D!$L$14)*2),0)/1*0.1),0)+IF(BB60-Uzman_D!$M$14&lt;0,-(BB60-Uzman_D!$M$14),BB60-Uzman_D!$M$14)*1)</f>
        <v>-0.30000000000000027</v>
      </c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70"/>
      <c r="BO60" s="70"/>
      <c r="BP60" s="71">
        <f>1-(SUM(IF(BD60-Uzman_D!$B$15&lt;0,-(BD60-Uzman_D!$B$15),BD60-Uzman_D!$B$15)*0.1+IF(BE60-Uzman_D!$C$15&lt;0,-(BE60-Uzman_D!$C$15),BE60-Uzman_D!$C$15)*0.1+IF(BF60-Uzman_D!$D$15&lt;0,-(BF60-Uzman_D!$D$15),BF60-Uzman_D!$D$15)*0.1+IF(BG60-Uzman_D!$E$15&lt;0,-(BG60-Uzman_D!$E$15),BG60-Uzman_D!$E$15)*0.1+IF(BH60-Uzman_D!$F$15&lt;0,-(BH60-Uzman_D!$F$15),BH60-Uzman_D!$F$15)*0.1+IF(BI60-Uzman_D!$G$15&lt;0,-(BI60-Uzman_D!$G$15),BI60-Uzman_D!$G$15)*0.1+IF(BJ60-Uzman_D!$H$15&lt;0,-(BJ60-Uzman_D!$H$15),BJ60-Uzman_D!$H$15)*0.1+IF(BK60-Uzman_D!$I$15&lt;0,-(BK60-Uzman_D!$I$15),BK60-Uzman_D!$I$15)*0.1+IF(BL60-Uzman_D!$J$15&lt;0,-(BL60-Uzman_D!$J$15),BL60-Uzman_D!$J$15)*0.1)+IF(ROUND((IF(BN60-Uzman_D!$L$15&lt;0,-(BN60-Uzman_D!$L$15),BN60-Uzman_D!$L$15)*2),0)/2=IF(BN60-Uzman_D!$L$15&lt;0,-(BN60-Uzman_D!$L$15),BN60-Uzman_D!$L$15),(ROUND((IF(BN60-Uzman_D!$L$15&lt;0,-(BN60-Uzman_D!$L$15),BN60-Uzman_D!$L$15)*2),0)/1*0.1),0)+IF(BO60-Uzman_D!$M$15&lt;0,-(BO60-Uzman_D!$M$15),BO60-Uzman_D!$M$15)*1)</f>
        <v>-0.50000000000000022</v>
      </c>
      <c r="BQ60" s="72">
        <f t="shared" si="1"/>
        <v>-0.54</v>
      </c>
    </row>
    <row r="61" spans="1:69" ht="15" customHeight="1" x14ac:dyDescent="0.45">
      <c r="A61" s="54">
        <v>58</v>
      </c>
      <c r="B61" s="165">
        <f>Hakemler!B61</f>
        <v>0</v>
      </c>
      <c r="C61" s="165">
        <f>Hakemler!C61</f>
        <v>0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70"/>
      <c r="O61" s="70"/>
      <c r="P61" s="71">
        <f>1-(SUM(IF(D61-Uzman_D!$B$11&lt;0,-(D61-Uzman_D!$B$11),D61-Uzman_D!$B$11)*0.1+IF(E61-Uzman_D!$C$11&lt;0,-(E61-Uzman_D!$C$11),E61-Uzman_D!$C$11)*0.1+IF(F61-Uzman_D!$D$11&lt;0,-(F61-Uzman_D!$D$11),F61-Uzman_D!$D$11)*0.1+IF(G61-Uzman_D!$E$11&lt;0,-(G61-Uzman_D!$E$11),G61-Uzman_D!$E$11)*0.1+IF(H61-Uzman_D!$F$11&lt;0,-(H61-Uzman_D!$F$11),H61-Uzman_D!$F$11)*0.1+IF(I61-Uzman_D!$G$11&lt;0,-(I61-Uzman_D!$G$11),I61-Uzman_D!$G$11)*0.1+IF(J61-Uzman_D!$H$11&lt;0,-(J61-Uzman_D!$H$11),J61-Uzman_D!$H$11)*0.1+IF(K61-Uzman_D!$I$11&lt;0,-(K61-Uzman_D!$I$11),K61-Uzman_D!$I$11)*0.1+IF(L61-Uzman_D!$J$11&lt;0,-(L61-Uzman_D!$J$11),L61-Uzman_D!$J$11)*0.1)+IF(ROUND((IF(N61-Uzman_D!$L$11&lt;0,-(N61-Uzman_D!$L$11),N61-Uzman_D!$L$11)*2),0)/2=IF(N61-Uzman_D!$L$11&lt;0,-(N61-Uzman_D!$L$11),N61-Uzman_D!$L$11),(ROUND((IF(N61-Uzman_D!$L$11&lt;0,-(N61-Uzman_D!$L$11),N61-Uzman_D!$L$11)*2),0)/1*0.1),0)+IF(O61-Uzman_D!$M$11&lt;0,-(O61-Uzman_D!$M$11),O61-Uzman_D!$M$11)*1)</f>
        <v>-0.90000000000000013</v>
      </c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70"/>
      <c r="AB61" s="70"/>
      <c r="AC61" s="71">
        <f>1-(SUM(IF(Q61-Uzman_D!$B$12&lt;0,-(Q61-Uzman_D!$B$12),Q61-Uzman_D!$B$12)*0.1+IF(R61-Uzman_D!$C$12&lt;0,-(R61-Uzman_D!$C$12),R61-Uzman_D!$C$12)*0.1+IF(S61-Uzman_D!$D$12&lt;0,-(S61-Uzman_D!$D$12),S61-Uzman_D!$D$12)*0.1+IF(T61-Uzman_D!$E$12&lt;0,-(T61-Uzman_D!$E$12),T61-Uzman_D!$E$12)*0.1+IF(U61-Uzman_D!$F$12&lt;0,-(U61-Uzman_D!$F$12),U61-Uzman_D!$F$12)*0.1+IF(V61-Uzman_D!$G$12&lt;0,-(V61-Uzman_D!$G$12),V61-Uzman_D!$G$12)*0.1+IF(W61-Uzman_D!$H$12&lt;0,-(W61-Uzman_D!$H$12),W61-Uzman_D!$H$12)*0.1+IF(X61-Uzman_D!$I$12&lt;0,-(X61-Uzman_D!$I$12),X61-Uzman_D!$I$12)*0.1+IF(Y61-Uzman_D!$J$12&lt;0,-(Y61-Uzman_D!$J$12),Y61-Uzman_D!$J$12)*0.1)+IF(ROUND((IF(AA61-Uzman_D!$L$12&lt;0,-(AA61-Uzman_D!$L$12),AA61-Uzman_D!$L$12)*2),0)/2=IF(AA61-Uzman_D!$L$12&lt;0,-(AA61-Uzman_D!$L$12),AA61-Uzman_D!$L$12),(ROUND((IF(AA61-Uzman_D!$L$12&lt;0,-(AA61-Uzman_D!$L$12),AA61-Uzman_D!$L$12)*2),0)/1*0.1),0)+IF(AB61-Uzman_D!$M$12&lt;0,-(AB61-Uzman_D!$M$12),AB61-Uzman_D!$M$12)*1)</f>
        <v>-0.7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70"/>
      <c r="AO61" s="70"/>
      <c r="AP61" s="71">
        <f>1-(SUM(IF(AD61-Uzman_D!$B$13&lt;0,-(AD61-Uzman_D!$B$13),AD61-Uzman_D!$B$13)*0.1+IF(AE61-Uzman_D!$C$13&lt;0,-(AE61-Uzman_D!$C$13),AE61-Uzman_D!$C$13)*0.1+IF(AF61-Uzman_D!$D$13&lt;0,-(AF61-Uzman_D!$D$13),AF61-Uzman_D!$D$13)*0.1+IF(AG61-Uzman_D!$E$13&lt;0,-(AG61-Uzman_D!$E$13),AG61-Uzman_D!$E$13)*0.1+IF(AH61-Uzman_D!$F$13&lt;0,-(AH61-Uzman_D!$F$13),AH61-Uzman_D!$F$13)*0.1+IF(AI61-Uzman_D!$G$13&lt;0,-(AI61-Uzman_D!$G$13),AI61-Uzman_D!$G$13)*0.1+IF(AJ61-Uzman_D!$H$13&lt;0,-(AJ61-Uzman_D!$H$13),AJ61-Uzman_D!$H$13)*0.1+IF(AK61-Uzman_D!$I$13&lt;0,-(AK61-Uzman_D!$I$13),AK61-Uzman_D!$I$13)*0.1+IF(AL61-Uzman_D!$J$13&lt;0,-(AL61-Uzman_D!$J$13),AL61-Uzman_D!$J$13)*0.1)+IF(ROUND((IF(AN61-Uzman_D!$L$13&lt;0,-(AN61-Uzman_D!$L$13),AN61-Uzman_D!$L$13)*2),0)/2=IF(AN61-Uzman_D!$L$13&lt;0,-(AN61-Uzman_D!$L$13),AN61-Uzman_D!$L$13),(ROUND((IF(AN61-Uzman_D!$L$13&lt;0,-(AN61-Uzman_D!$L$13),AN61-Uzman_D!$L$13)*2),0)/1*0.1),0)+IF(AO61-Uzman_D!$M$13&lt;0,-(AO61-Uzman_D!$M$13),AO61-Uzman_D!$M$13)*1)</f>
        <v>-0.30000000000000004</v>
      </c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70"/>
      <c r="BB61" s="70"/>
      <c r="BC61" s="71">
        <f>1-(SUM(IF(AQ61-Uzman_D!$B$14&lt;0,-(AQ61-Uzman_D!$B$14),AQ61-Uzman_D!$B$14)*0.1+IF(AR61-Uzman_D!$C$14&lt;0,-(AR61-Uzman_D!$C$14),AR61-Uzman_D!$C$14)*0.1+IF(AS61-Uzman_D!$D$14&lt;0,-(AS61-Uzman_D!$D$14),AS61-Uzman_D!$D$14)*0.1+IF(AT61-Uzman_D!$E$14&lt;0,-(AT61-Uzman_D!$E$14),AT61-Uzman_D!$E$14)*0.1+IF(AU61-Uzman_D!$F$14&lt;0,-(AU61-Uzman_D!$F$14),AU61-Uzman_D!$F$14)*0.1+IF(AV61-Uzman_D!$G$14&lt;0,-(AV61-Uzman_D!$G$14),AV61-Uzman_D!$G$14)*0.1+IF(AW61-Uzman_D!$H$14&lt;0,-(AW61-Uzman_D!$H$14),AW61-Uzman_D!$H$14)*0.1+IF(AX61-Uzman_D!$I$14&lt;0,-(AX61-Uzman_D!$I$14),AX61-Uzman_D!$I$14)*0.1+IF(AY61-Uzman_D!$J$14&lt;0,-(AY61-Uzman_D!$J$14),AY61-Uzman_D!$J$14)*0.1)+IF(ROUND((IF(BA61-Uzman_D!$L$14&lt;0,-(BA61-Uzman_D!$L$14),BA61-Uzman_D!$L$14)*2),0)/2=IF(BA61-Uzman_D!$L$14&lt;0,-(BA61-Uzman_D!$L$14),BA61-Uzman_D!$L$14),(ROUND((IF(BA61-Uzman_D!$L$14&lt;0,-(BA61-Uzman_D!$L$14),BA61-Uzman_D!$L$14)*2),0)/1*0.1),0)+IF(BB61-Uzman_D!$M$14&lt;0,-(BB61-Uzman_D!$M$14),BB61-Uzman_D!$M$14)*1)</f>
        <v>-0.30000000000000027</v>
      </c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70"/>
      <c r="BO61" s="70"/>
      <c r="BP61" s="71">
        <f>1-(SUM(IF(BD61-Uzman_D!$B$15&lt;0,-(BD61-Uzman_D!$B$15),BD61-Uzman_D!$B$15)*0.1+IF(BE61-Uzman_D!$C$15&lt;0,-(BE61-Uzman_D!$C$15),BE61-Uzman_D!$C$15)*0.1+IF(BF61-Uzman_D!$D$15&lt;0,-(BF61-Uzman_D!$D$15),BF61-Uzman_D!$D$15)*0.1+IF(BG61-Uzman_D!$E$15&lt;0,-(BG61-Uzman_D!$E$15),BG61-Uzman_D!$E$15)*0.1+IF(BH61-Uzman_D!$F$15&lt;0,-(BH61-Uzman_D!$F$15),BH61-Uzman_D!$F$15)*0.1+IF(BI61-Uzman_D!$G$15&lt;0,-(BI61-Uzman_D!$G$15),BI61-Uzman_D!$G$15)*0.1+IF(BJ61-Uzman_D!$H$15&lt;0,-(BJ61-Uzman_D!$H$15),BJ61-Uzman_D!$H$15)*0.1+IF(BK61-Uzman_D!$I$15&lt;0,-(BK61-Uzman_D!$I$15),BK61-Uzman_D!$I$15)*0.1+IF(BL61-Uzman_D!$J$15&lt;0,-(BL61-Uzman_D!$J$15),BL61-Uzman_D!$J$15)*0.1)+IF(ROUND((IF(BN61-Uzman_D!$L$15&lt;0,-(BN61-Uzman_D!$L$15),BN61-Uzman_D!$L$15)*2),0)/2=IF(BN61-Uzman_D!$L$15&lt;0,-(BN61-Uzman_D!$L$15),BN61-Uzman_D!$L$15),(ROUND((IF(BN61-Uzman_D!$L$15&lt;0,-(BN61-Uzman_D!$L$15),BN61-Uzman_D!$L$15)*2),0)/1*0.1),0)+IF(BO61-Uzman_D!$M$15&lt;0,-(BO61-Uzman_D!$M$15),BO61-Uzman_D!$M$15)*1)</f>
        <v>-0.50000000000000022</v>
      </c>
      <c r="BQ61" s="72">
        <f t="shared" si="1"/>
        <v>-0.54</v>
      </c>
    </row>
    <row r="62" spans="1:69" ht="15" customHeight="1" x14ac:dyDescent="0.45">
      <c r="A62" s="54">
        <v>59</v>
      </c>
      <c r="B62" s="165">
        <f>Hakemler!B62</f>
        <v>0</v>
      </c>
      <c r="C62" s="165">
        <f>Hakemler!C62</f>
        <v>0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70"/>
      <c r="O62" s="70"/>
      <c r="P62" s="71">
        <f>1-(SUM(IF(D62-Uzman_D!$B$11&lt;0,-(D62-Uzman_D!$B$11),D62-Uzman_D!$B$11)*0.1+IF(E62-Uzman_D!$C$11&lt;0,-(E62-Uzman_D!$C$11),E62-Uzman_D!$C$11)*0.1+IF(F62-Uzman_D!$D$11&lt;0,-(F62-Uzman_D!$D$11),F62-Uzman_D!$D$11)*0.1+IF(G62-Uzman_D!$E$11&lt;0,-(G62-Uzman_D!$E$11),G62-Uzman_D!$E$11)*0.1+IF(H62-Uzman_D!$F$11&lt;0,-(H62-Uzman_D!$F$11),H62-Uzman_D!$F$11)*0.1+IF(I62-Uzman_D!$G$11&lt;0,-(I62-Uzman_D!$G$11),I62-Uzman_D!$G$11)*0.1+IF(J62-Uzman_D!$H$11&lt;0,-(J62-Uzman_D!$H$11),J62-Uzman_D!$H$11)*0.1+IF(K62-Uzman_D!$I$11&lt;0,-(K62-Uzman_D!$I$11),K62-Uzman_D!$I$11)*0.1+IF(L62-Uzman_D!$J$11&lt;0,-(L62-Uzman_D!$J$11),L62-Uzman_D!$J$11)*0.1)+IF(ROUND((IF(N62-Uzman_D!$L$11&lt;0,-(N62-Uzman_D!$L$11),N62-Uzman_D!$L$11)*2),0)/2=IF(N62-Uzman_D!$L$11&lt;0,-(N62-Uzman_D!$L$11),N62-Uzman_D!$L$11),(ROUND((IF(N62-Uzman_D!$L$11&lt;0,-(N62-Uzman_D!$L$11),N62-Uzman_D!$L$11)*2),0)/1*0.1),0)+IF(O62-Uzman_D!$M$11&lt;0,-(O62-Uzman_D!$M$11),O62-Uzman_D!$M$11)*1)</f>
        <v>-0.90000000000000013</v>
      </c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70"/>
      <c r="AB62" s="70"/>
      <c r="AC62" s="71">
        <f>1-(SUM(IF(Q62-Uzman_D!$B$12&lt;0,-(Q62-Uzman_D!$B$12),Q62-Uzman_D!$B$12)*0.1+IF(R62-Uzman_D!$C$12&lt;0,-(R62-Uzman_D!$C$12),R62-Uzman_D!$C$12)*0.1+IF(S62-Uzman_D!$D$12&lt;0,-(S62-Uzman_D!$D$12),S62-Uzman_D!$D$12)*0.1+IF(T62-Uzman_D!$E$12&lt;0,-(T62-Uzman_D!$E$12),T62-Uzman_D!$E$12)*0.1+IF(U62-Uzman_D!$F$12&lt;0,-(U62-Uzman_D!$F$12),U62-Uzman_D!$F$12)*0.1+IF(V62-Uzman_D!$G$12&lt;0,-(V62-Uzman_D!$G$12),V62-Uzman_D!$G$12)*0.1+IF(W62-Uzman_D!$H$12&lt;0,-(W62-Uzman_D!$H$12),W62-Uzman_D!$H$12)*0.1+IF(X62-Uzman_D!$I$12&lt;0,-(X62-Uzman_D!$I$12),X62-Uzman_D!$I$12)*0.1+IF(Y62-Uzman_D!$J$12&lt;0,-(Y62-Uzman_D!$J$12),Y62-Uzman_D!$J$12)*0.1)+IF(ROUND((IF(AA62-Uzman_D!$L$12&lt;0,-(AA62-Uzman_D!$L$12),AA62-Uzman_D!$L$12)*2),0)/2=IF(AA62-Uzman_D!$L$12&lt;0,-(AA62-Uzman_D!$L$12),AA62-Uzman_D!$L$12),(ROUND((IF(AA62-Uzman_D!$L$12&lt;0,-(AA62-Uzman_D!$L$12),AA62-Uzman_D!$L$12)*2),0)/1*0.1),0)+IF(AB62-Uzman_D!$M$12&lt;0,-(AB62-Uzman_D!$M$12),AB62-Uzman_D!$M$12)*1)</f>
        <v>-0.7</v>
      </c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70"/>
      <c r="AO62" s="70"/>
      <c r="AP62" s="71">
        <f>1-(SUM(IF(AD62-Uzman_D!$B$13&lt;0,-(AD62-Uzman_D!$B$13),AD62-Uzman_D!$B$13)*0.1+IF(AE62-Uzman_D!$C$13&lt;0,-(AE62-Uzman_D!$C$13),AE62-Uzman_D!$C$13)*0.1+IF(AF62-Uzman_D!$D$13&lt;0,-(AF62-Uzman_D!$D$13),AF62-Uzman_D!$D$13)*0.1+IF(AG62-Uzman_D!$E$13&lt;0,-(AG62-Uzman_D!$E$13),AG62-Uzman_D!$E$13)*0.1+IF(AH62-Uzman_D!$F$13&lt;0,-(AH62-Uzman_D!$F$13),AH62-Uzman_D!$F$13)*0.1+IF(AI62-Uzman_D!$G$13&lt;0,-(AI62-Uzman_D!$G$13),AI62-Uzman_D!$G$13)*0.1+IF(AJ62-Uzman_D!$H$13&lt;0,-(AJ62-Uzman_D!$H$13),AJ62-Uzman_D!$H$13)*0.1+IF(AK62-Uzman_D!$I$13&lt;0,-(AK62-Uzman_D!$I$13),AK62-Uzman_D!$I$13)*0.1+IF(AL62-Uzman_D!$J$13&lt;0,-(AL62-Uzman_D!$J$13),AL62-Uzman_D!$J$13)*0.1)+IF(ROUND((IF(AN62-Uzman_D!$L$13&lt;0,-(AN62-Uzman_D!$L$13),AN62-Uzman_D!$L$13)*2),0)/2=IF(AN62-Uzman_D!$L$13&lt;0,-(AN62-Uzman_D!$L$13),AN62-Uzman_D!$L$13),(ROUND((IF(AN62-Uzman_D!$L$13&lt;0,-(AN62-Uzman_D!$L$13),AN62-Uzman_D!$L$13)*2),0)/1*0.1),0)+IF(AO62-Uzman_D!$M$13&lt;0,-(AO62-Uzman_D!$M$13),AO62-Uzman_D!$M$13)*1)</f>
        <v>-0.30000000000000004</v>
      </c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70"/>
      <c r="BB62" s="70"/>
      <c r="BC62" s="71">
        <f>1-(SUM(IF(AQ62-Uzman_D!$B$14&lt;0,-(AQ62-Uzman_D!$B$14),AQ62-Uzman_D!$B$14)*0.1+IF(AR62-Uzman_D!$C$14&lt;0,-(AR62-Uzman_D!$C$14),AR62-Uzman_D!$C$14)*0.1+IF(AS62-Uzman_D!$D$14&lt;0,-(AS62-Uzman_D!$D$14),AS62-Uzman_D!$D$14)*0.1+IF(AT62-Uzman_D!$E$14&lt;0,-(AT62-Uzman_D!$E$14),AT62-Uzman_D!$E$14)*0.1+IF(AU62-Uzman_D!$F$14&lt;0,-(AU62-Uzman_D!$F$14),AU62-Uzman_D!$F$14)*0.1+IF(AV62-Uzman_D!$G$14&lt;0,-(AV62-Uzman_D!$G$14),AV62-Uzman_D!$G$14)*0.1+IF(AW62-Uzman_D!$H$14&lt;0,-(AW62-Uzman_D!$H$14),AW62-Uzman_D!$H$14)*0.1+IF(AX62-Uzman_D!$I$14&lt;0,-(AX62-Uzman_D!$I$14),AX62-Uzman_D!$I$14)*0.1+IF(AY62-Uzman_D!$J$14&lt;0,-(AY62-Uzman_D!$J$14),AY62-Uzman_D!$J$14)*0.1)+IF(ROUND((IF(BA62-Uzman_D!$L$14&lt;0,-(BA62-Uzman_D!$L$14),BA62-Uzman_D!$L$14)*2),0)/2=IF(BA62-Uzman_D!$L$14&lt;0,-(BA62-Uzman_D!$L$14),BA62-Uzman_D!$L$14),(ROUND((IF(BA62-Uzman_D!$L$14&lt;0,-(BA62-Uzman_D!$L$14),BA62-Uzman_D!$L$14)*2),0)/1*0.1),0)+IF(BB62-Uzman_D!$M$14&lt;0,-(BB62-Uzman_D!$M$14),BB62-Uzman_D!$M$14)*1)</f>
        <v>-0.30000000000000027</v>
      </c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70"/>
      <c r="BO62" s="70"/>
      <c r="BP62" s="71">
        <f>1-(SUM(IF(BD62-Uzman_D!$B$15&lt;0,-(BD62-Uzman_D!$B$15),BD62-Uzman_D!$B$15)*0.1+IF(BE62-Uzman_D!$C$15&lt;0,-(BE62-Uzman_D!$C$15),BE62-Uzman_D!$C$15)*0.1+IF(BF62-Uzman_D!$D$15&lt;0,-(BF62-Uzman_D!$D$15),BF62-Uzman_D!$D$15)*0.1+IF(BG62-Uzman_D!$E$15&lt;0,-(BG62-Uzman_D!$E$15),BG62-Uzman_D!$E$15)*0.1+IF(BH62-Uzman_D!$F$15&lt;0,-(BH62-Uzman_D!$F$15),BH62-Uzman_D!$F$15)*0.1+IF(BI62-Uzman_D!$G$15&lt;0,-(BI62-Uzman_D!$G$15),BI62-Uzman_D!$G$15)*0.1+IF(BJ62-Uzman_D!$H$15&lt;0,-(BJ62-Uzman_D!$H$15),BJ62-Uzman_D!$H$15)*0.1+IF(BK62-Uzman_D!$I$15&lt;0,-(BK62-Uzman_D!$I$15),BK62-Uzman_D!$I$15)*0.1+IF(BL62-Uzman_D!$J$15&lt;0,-(BL62-Uzman_D!$J$15),BL62-Uzman_D!$J$15)*0.1)+IF(ROUND((IF(BN62-Uzman_D!$L$15&lt;0,-(BN62-Uzman_D!$L$15),BN62-Uzman_D!$L$15)*2),0)/2=IF(BN62-Uzman_D!$L$15&lt;0,-(BN62-Uzman_D!$L$15),BN62-Uzman_D!$L$15),(ROUND((IF(BN62-Uzman_D!$L$15&lt;0,-(BN62-Uzman_D!$L$15),BN62-Uzman_D!$L$15)*2),0)/1*0.1),0)+IF(BO62-Uzman_D!$M$15&lt;0,-(BO62-Uzman_D!$M$15),BO62-Uzman_D!$M$15)*1)</f>
        <v>-0.50000000000000022</v>
      </c>
      <c r="BQ62" s="72">
        <f t="shared" si="1"/>
        <v>-0.54</v>
      </c>
    </row>
    <row r="63" spans="1:69" ht="15" customHeight="1" x14ac:dyDescent="0.45">
      <c r="A63" s="54">
        <v>60</v>
      </c>
      <c r="B63" s="165">
        <f>Hakemler!B63</f>
        <v>0</v>
      </c>
      <c r="C63" s="165">
        <f>Hakemler!C63</f>
        <v>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70"/>
      <c r="O63" s="70"/>
      <c r="P63" s="71">
        <f>1-(SUM(IF(D63-Uzman_D!$B$11&lt;0,-(D63-Uzman_D!$B$11),D63-Uzman_D!$B$11)*0.1+IF(E63-Uzman_D!$C$11&lt;0,-(E63-Uzman_D!$C$11),E63-Uzman_D!$C$11)*0.1+IF(F63-Uzman_D!$D$11&lt;0,-(F63-Uzman_D!$D$11),F63-Uzman_D!$D$11)*0.1+IF(G63-Uzman_D!$E$11&lt;0,-(G63-Uzman_D!$E$11),G63-Uzman_D!$E$11)*0.1+IF(H63-Uzman_D!$F$11&lt;0,-(H63-Uzman_D!$F$11),H63-Uzman_D!$F$11)*0.1+IF(I63-Uzman_D!$G$11&lt;0,-(I63-Uzman_D!$G$11),I63-Uzman_D!$G$11)*0.1+IF(J63-Uzman_D!$H$11&lt;0,-(J63-Uzman_D!$H$11),J63-Uzman_D!$H$11)*0.1+IF(K63-Uzman_D!$I$11&lt;0,-(K63-Uzman_D!$I$11),K63-Uzman_D!$I$11)*0.1+IF(L63-Uzman_D!$J$11&lt;0,-(L63-Uzman_D!$J$11),L63-Uzman_D!$J$11)*0.1)+IF(ROUND((IF(N63-Uzman_D!$L$11&lt;0,-(N63-Uzman_D!$L$11),N63-Uzman_D!$L$11)*2),0)/2=IF(N63-Uzman_D!$L$11&lt;0,-(N63-Uzman_D!$L$11),N63-Uzman_D!$L$11),(ROUND((IF(N63-Uzman_D!$L$11&lt;0,-(N63-Uzman_D!$L$11),N63-Uzman_D!$L$11)*2),0)/1*0.1),0)+IF(O63-Uzman_D!$M$11&lt;0,-(O63-Uzman_D!$M$11),O63-Uzman_D!$M$11)*1)</f>
        <v>-0.90000000000000013</v>
      </c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70"/>
      <c r="AB63" s="70"/>
      <c r="AC63" s="71">
        <f>1-(SUM(IF(Q63-Uzman_D!$B$12&lt;0,-(Q63-Uzman_D!$B$12),Q63-Uzman_D!$B$12)*0.1+IF(R63-Uzman_D!$C$12&lt;0,-(R63-Uzman_D!$C$12),R63-Uzman_D!$C$12)*0.1+IF(S63-Uzman_D!$D$12&lt;0,-(S63-Uzman_D!$D$12),S63-Uzman_D!$D$12)*0.1+IF(T63-Uzman_D!$E$12&lt;0,-(T63-Uzman_D!$E$12),T63-Uzman_D!$E$12)*0.1+IF(U63-Uzman_D!$F$12&lt;0,-(U63-Uzman_D!$F$12),U63-Uzman_D!$F$12)*0.1+IF(V63-Uzman_D!$G$12&lt;0,-(V63-Uzman_D!$G$12),V63-Uzman_D!$G$12)*0.1+IF(W63-Uzman_D!$H$12&lt;0,-(W63-Uzman_D!$H$12),W63-Uzman_D!$H$12)*0.1+IF(X63-Uzman_D!$I$12&lt;0,-(X63-Uzman_D!$I$12),X63-Uzman_D!$I$12)*0.1+IF(Y63-Uzman_D!$J$12&lt;0,-(Y63-Uzman_D!$J$12),Y63-Uzman_D!$J$12)*0.1)+IF(ROUND((IF(AA63-Uzman_D!$L$12&lt;0,-(AA63-Uzman_D!$L$12),AA63-Uzman_D!$L$12)*2),0)/2=IF(AA63-Uzman_D!$L$12&lt;0,-(AA63-Uzman_D!$L$12),AA63-Uzman_D!$L$12),(ROUND((IF(AA63-Uzman_D!$L$12&lt;0,-(AA63-Uzman_D!$L$12),AA63-Uzman_D!$L$12)*2),0)/1*0.1),0)+IF(AB63-Uzman_D!$M$12&lt;0,-(AB63-Uzman_D!$M$12),AB63-Uzman_D!$M$12)*1)</f>
        <v>-0.7</v>
      </c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70"/>
      <c r="AO63" s="70"/>
      <c r="AP63" s="71">
        <f>1-(SUM(IF(AD63-Uzman_D!$B$13&lt;0,-(AD63-Uzman_D!$B$13),AD63-Uzman_D!$B$13)*0.1+IF(AE63-Uzman_D!$C$13&lt;0,-(AE63-Uzman_D!$C$13),AE63-Uzman_D!$C$13)*0.1+IF(AF63-Uzman_D!$D$13&lt;0,-(AF63-Uzman_D!$D$13),AF63-Uzman_D!$D$13)*0.1+IF(AG63-Uzman_D!$E$13&lt;0,-(AG63-Uzman_D!$E$13),AG63-Uzman_D!$E$13)*0.1+IF(AH63-Uzman_D!$F$13&lt;0,-(AH63-Uzman_D!$F$13),AH63-Uzman_D!$F$13)*0.1+IF(AI63-Uzman_D!$G$13&lt;0,-(AI63-Uzman_D!$G$13),AI63-Uzman_D!$G$13)*0.1+IF(AJ63-Uzman_D!$H$13&lt;0,-(AJ63-Uzman_D!$H$13),AJ63-Uzman_D!$H$13)*0.1+IF(AK63-Uzman_D!$I$13&lt;0,-(AK63-Uzman_D!$I$13),AK63-Uzman_D!$I$13)*0.1+IF(AL63-Uzman_D!$J$13&lt;0,-(AL63-Uzman_D!$J$13),AL63-Uzman_D!$J$13)*0.1)+IF(ROUND((IF(AN63-Uzman_D!$L$13&lt;0,-(AN63-Uzman_D!$L$13),AN63-Uzman_D!$L$13)*2),0)/2=IF(AN63-Uzman_D!$L$13&lt;0,-(AN63-Uzman_D!$L$13),AN63-Uzman_D!$L$13),(ROUND((IF(AN63-Uzman_D!$L$13&lt;0,-(AN63-Uzman_D!$L$13),AN63-Uzman_D!$L$13)*2),0)/1*0.1),0)+IF(AO63-Uzman_D!$M$13&lt;0,-(AO63-Uzman_D!$M$13),AO63-Uzman_D!$M$13)*1)</f>
        <v>-0.30000000000000004</v>
      </c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70"/>
      <c r="BB63" s="70"/>
      <c r="BC63" s="71">
        <f>1-(SUM(IF(AQ63-Uzman_D!$B$14&lt;0,-(AQ63-Uzman_D!$B$14),AQ63-Uzman_D!$B$14)*0.1+IF(AR63-Uzman_D!$C$14&lt;0,-(AR63-Uzman_D!$C$14),AR63-Uzman_D!$C$14)*0.1+IF(AS63-Uzman_D!$D$14&lt;0,-(AS63-Uzman_D!$D$14),AS63-Uzman_D!$D$14)*0.1+IF(AT63-Uzman_D!$E$14&lt;0,-(AT63-Uzman_D!$E$14),AT63-Uzman_D!$E$14)*0.1+IF(AU63-Uzman_D!$F$14&lt;0,-(AU63-Uzman_D!$F$14),AU63-Uzman_D!$F$14)*0.1+IF(AV63-Uzman_D!$G$14&lt;0,-(AV63-Uzman_D!$G$14),AV63-Uzman_D!$G$14)*0.1+IF(AW63-Uzman_D!$H$14&lt;0,-(AW63-Uzman_D!$H$14),AW63-Uzman_D!$H$14)*0.1+IF(AX63-Uzman_D!$I$14&lt;0,-(AX63-Uzman_D!$I$14),AX63-Uzman_D!$I$14)*0.1+IF(AY63-Uzman_D!$J$14&lt;0,-(AY63-Uzman_D!$J$14),AY63-Uzman_D!$J$14)*0.1)+IF(ROUND((IF(BA63-Uzman_D!$L$14&lt;0,-(BA63-Uzman_D!$L$14),BA63-Uzman_D!$L$14)*2),0)/2=IF(BA63-Uzman_D!$L$14&lt;0,-(BA63-Uzman_D!$L$14),BA63-Uzman_D!$L$14),(ROUND((IF(BA63-Uzman_D!$L$14&lt;0,-(BA63-Uzman_D!$L$14),BA63-Uzman_D!$L$14)*2),0)/1*0.1),0)+IF(BB63-Uzman_D!$M$14&lt;0,-(BB63-Uzman_D!$M$14),BB63-Uzman_D!$M$14)*1)</f>
        <v>-0.30000000000000027</v>
      </c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70"/>
      <c r="BO63" s="70"/>
      <c r="BP63" s="71">
        <f>1-(SUM(IF(BD63-Uzman_D!$B$15&lt;0,-(BD63-Uzman_D!$B$15),BD63-Uzman_D!$B$15)*0.1+IF(BE63-Uzman_D!$C$15&lt;0,-(BE63-Uzman_D!$C$15),BE63-Uzman_D!$C$15)*0.1+IF(BF63-Uzman_D!$D$15&lt;0,-(BF63-Uzman_D!$D$15),BF63-Uzman_D!$D$15)*0.1+IF(BG63-Uzman_D!$E$15&lt;0,-(BG63-Uzman_D!$E$15),BG63-Uzman_D!$E$15)*0.1+IF(BH63-Uzman_D!$F$15&lt;0,-(BH63-Uzman_D!$F$15),BH63-Uzman_D!$F$15)*0.1+IF(BI63-Uzman_D!$G$15&lt;0,-(BI63-Uzman_D!$G$15),BI63-Uzman_D!$G$15)*0.1+IF(BJ63-Uzman_D!$H$15&lt;0,-(BJ63-Uzman_D!$H$15),BJ63-Uzman_D!$H$15)*0.1+IF(BK63-Uzman_D!$I$15&lt;0,-(BK63-Uzman_D!$I$15),BK63-Uzman_D!$I$15)*0.1+IF(BL63-Uzman_D!$J$15&lt;0,-(BL63-Uzman_D!$J$15),BL63-Uzman_D!$J$15)*0.1)+IF(ROUND((IF(BN63-Uzman_D!$L$15&lt;0,-(BN63-Uzman_D!$L$15),BN63-Uzman_D!$L$15)*2),0)/2=IF(BN63-Uzman_D!$L$15&lt;0,-(BN63-Uzman_D!$L$15),BN63-Uzman_D!$L$15),(ROUND((IF(BN63-Uzman_D!$L$15&lt;0,-(BN63-Uzman_D!$L$15),BN63-Uzman_D!$L$15)*2),0)/1*0.1),0)+IF(BO63-Uzman_D!$M$15&lt;0,-(BO63-Uzman_D!$M$15),BO63-Uzman_D!$M$15)*1)</f>
        <v>-0.50000000000000022</v>
      </c>
      <c r="BQ63" s="72">
        <f t="shared" si="1"/>
        <v>-0.54</v>
      </c>
    </row>
    <row r="64" spans="1:69" ht="15" customHeight="1" x14ac:dyDescent="0.45">
      <c r="A64" s="54">
        <v>61</v>
      </c>
      <c r="B64" s="165">
        <f>Hakemler!B64</f>
        <v>0</v>
      </c>
      <c r="C64" s="165">
        <f>Hakemler!C64</f>
        <v>0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70"/>
      <c r="O64" s="70"/>
      <c r="P64" s="71">
        <f>1-(SUM(IF(D64-Uzman_D!$B$11&lt;0,-(D64-Uzman_D!$B$11),D64-Uzman_D!$B$11)*0.1+IF(E64-Uzman_D!$C$11&lt;0,-(E64-Uzman_D!$C$11),E64-Uzman_D!$C$11)*0.1+IF(F64-Uzman_D!$D$11&lt;0,-(F64-Uzman_D!$D$11),F64-Uzman_D!$D$11)*0.1+IF(G64-Uzman_D!$E$11&lt;0,-(G64-Uzman_D!$E$11),G64-Uzman_D!$E$11)*0.1+IF(H64-Uzman_D!$F$11&lt;0,-(H64-Uzman_D!$F$11),H64-Uzman_D!$F$11)*0.1+IF(I64-Uzman_D!$G$11&lt;0,-(I64-Uzman_D!$G$11),I64-Uzman_D!$G$11)*0.1+IF(J64-Uzman_D!$H$11&lt;0,-(J64-Uzman_D!$H$11),J64-Uzman_D!$H$11)*0.1+IF(K64-Uzman_D!$I$11&lt;0,-(K64-Uzman_D!$I$11),K64-Uzman_D!$I$11)*0.1+IF(L64-Uzman_D!$J$11&lt;0,-(L64-Uzman_D!$J$11),L64-Uzman_D!$J$11)*0.1)+IF(ROUND((IF(N64-Uzman_D!$L$11&lt;0,-(N64-Uzman_D!$L$11),N64-Uzman_D!$L$11)*2),0)/2=IF(N64-Uzman_D!$L$11&lt;0,-(N64-Uzman_D!$L$11),N64-Uzman_D!$L$11),(ROUND((IF(N64-Uzman_D!$L$11&lt;0,-(N64-Uzman_D!$L$11),N64-Uzman_D!$L$11)*2),0)/1*0.1),0)+IF(O64-Uzman_D!$M$11&lt;0,-(O64-Uzman_D!$M$11),O64-Uzman_D!$M$11)*1)</f>
        <v>-0.90000000000000013</v>
      </c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70"/>
      <c r="AB64" s="70"/>
      <c r="AC64" s="71">
        <f>1-(SUM(IF(Q64-Uzman_D!$B$12&lt;0,-(Q64-Uzman_D!$B$12),Q64-Uzman_D!$B$12)*0.1+IF(R64-Uzman_D!$C$12&lt;0,-(R64-Uzman_D!$C$12),R64-Uzman_D!$C$12)*0.1+IF(S64-Uzman_D!$D$12&lt;0,-(S64-Uzman_D!$D$12),S64-Uzman_D!$D$12)*0.1+IF(T64-Uzman_D!$E$12&lt;0,-(T64-Uzman_D!$E$12),T64-Uzman_D!$E$12)*0.1+IF(U64-Uzman_D!$F$12&lt;0,-(U64-Uzman_D!$F$12),U64-Uzman_D!$F$12)*0.1+IF(V64-Uzman_D!$G$12&lt;0,-(V64-Uzman_D!$G$12),V64-Uzman_D!$G$12)*0.1+IF(W64-Uzman_D!$H$12&lt;0,-(W64-Uzman_D!$H$12),W64-Uzman_D!$H$12)*0.1+IF(X64-Uzman_D!$I$12&lt;0,-(X64-Uzman_D!$I$12),X64-Uzman_D!$I$12)*0.1+IF(Y64-Uzman_D!$J$12&lt;0,-(Y64-Uzman_D!$J$12),Y64-Uzman_D!$J$12)*0.1)+IF(ROUND((IF(AA64-Uzman_D!$L$12&lt;0,-(AA64-Uzman_D!$L$12),AA64-Uzman_D!$L$12)*2),0)/2=IF(AA64-Uzman_D!$L$12&lt;0,-(AA64-Uzman_D!$L$12),AA64-Uzman_D!$L$12),(ROUND((IF(AA64-Uzman_D!$L$12&lt;0,-(AA64-Uzman_D!$L$12),AA64-Uzman_D!$L$12)*2),0)/1*0.1),0)+IF(AB64-Uzman_D!$M$12&lt;0,-(AB64-Uzman_D!$M$12),AB64-Uzman_D!$M$12)*1)</f>
        <v>-0.7</v>
      </c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70"/>
      <c r="AO64" s="70"/>
      <c r="AP64" s="71">
        <f>1-(SUM(IF(AD64-Uzman_D!$B$13&lt;0,-(AD64-Uzman_D!$B$13),AD64-Uzman_D!$B$13)*0.1+IF(AE64-Uzman_D!$C$13&lt;0,-(AE64-Uzman_D!$C$13),AE64-Uzman_D!$C$13)*0.1+IF(AF64-Uzman_D!$D$13&lt;0,-(AF64-Uzman_D!$D$13),AF64-Uzman_D!$D$13)*0.1+IF(AG64-Uzman_D!$E$13&lt;0,-(AG64-Uzman_D!$E$13),AG64-Uzman_D!$E$13)*0.1+IF(AH64-Uzman_D!$F$13&lt;0,-(AH64-Uzman_D!$F$13),AH64-Uzman_D!$F$13)*0.1+IF(AI64-Uzman_D!$G$13&lt;0,-(AI64-Uzman_D!$G$13),AI64-Uzman_D!$G$13)*0.1+IF(AJ64-Uzman_D!$H$13&lt;0,-(AJ64-Uzman_D!$H$13),AJ64-Uzman_D!$H$13)*0.1+IF(AK64-Uzman_D!$I$13&lt;0,-(AK64-Uzman_D!$I$13),AK64-Uzman_D!$I$13)*0.1+IF(AL64-Uzman_D!$J$13&lt;0,-(AL64-Uzman_D!$J$13),AL64-Uzman_D!$J$13)*0.1)+IF(ROUND((IF(AN64-Uzman_D!$L$13&lt;0,-(AN64-Uzman_D!$L$13),AN64-Uzman_D!$L$13)*2),0)/2=IF(AN64-Uzman_D!$L$13&lt;0,-(AN64-Uzman_D!$L$13),AN64-Uzman_D!$L$13),(ROUND((IF(AN64-Uzman_D!$L$13&lt;0,-(AN64-Uzman_D!$L$13),AN64-Uzman_D!$L$13)*2),0)/1*0.1),0)+IF(AO64-Uzman_D!$M$13&lt;0,-(AO64-Uzman_D!$M$13),AO64-Uzman_D!$M$13)*1)</f>
        <v>-0.30000000000000004</v>
      </c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70"/>
      <c r="BB64" s="70"/>
      <c r="BC64" s="71">
        <f>1-(SUM(IF(AQ64-Uzman_D!$B$14&lt;0,-(AQ64-Uzman_D!$B$14),AQ64-Uzman_D!$B$14)*0.1+IF(AR64-Uzman_D!$C$14&lt;0,-(AR64-Uzman_D!$C$14),AR64-Uzman_D!$C$14)*0.1+IF(AS64-Uzman_D!$D$14&lt;0,-(AS64-Uzman_D!$D$14),AS64-Uzman_D!$D$14)*0.1+IF(AT64-Uzman_D!$E$14&lt;0,-(AT64-Uzman_D!$E$14),AT64-Uzman_D!$E$14)*0.1+IF(AU64-Uzman_D!$F$14&lt;0,-(AU64-Uzman_D!$F$14),AU64-Uzman_D!$F$14)*0.1+IF(AV64-Uzman_D!$G$14&lt;0,-(AV64-Uzman_D!$G$14),AV64-Uzman_D!$G$14)*0.1+IF(AW64-Uzman_D!$H$14&lt;0,-(AW64-Uzman_D!$H$14),AW64-Uzman_D!$H$14)*0.1+IF(AX64-Uzman_D!$I$14&lt;0,-(AX64-Uzman_D!$I$14),AX64-Uzman_D!$I$14)*0.1+IF(AY64-Uzman_D!$J$14&lt;0,-(AY64-Uzman_D!$J$14),AY64-Uzman_D!$J$14)*0.1)+IF(ROUND((IF(BA64-Uzman_D!$L$14&lt;0,-(BA64-Uzman_D!$L$14),BA64-Uzman_D!$L$14)*2),0)/2=IF(BA64-Uzman_D!$L$14&lt;0,-(BA64-Uzman_D!$L$14),BA64-Uzman_D!$L$14),(ROUND((IF(BA64-Uzman_D!$L$14&lt;0,-(BA64-Uzman_D!$L$14),BA64-Uzman_D!$L$14)*2),0)/1*0.1),0)+IF(BB64-Uzman_D!$M$14&lt;0,-(BB64-Uzman_D!$M$14),BB64-Uzman_D!$M$14)*1)</f>
        <v>-0.30000000000000027</v>
      </c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70"/>
      <c r="BO64" s="70"/>
      <c r="BP64" s="71">
        <f>1-(SUM(IF(BD64-Uzman_D!$B$15&lt;0,-(BD64-Uzman_D!$B$15),BD64-Uzman_D!$B$15)*0.1+IF(BE64-Uzman_D!$C$15&lt;0,-(BE64-Uzman_D!$C$15),BE64-Uzman_D!$C$15)*0.1+IF(BF64-Uzman_D!$D$15&lt;0,-(BF64-Uzman_D!$D$15),BF64-Uzman_D!$D$15)*0.1+IF(BG64-Uzman_D!$E$15&lt;0,-(BG64-Uzman_D!$E$15),BG64-Uzman_D!$E$15)*0.1+IF(BH64-Uzman_D!$F$15&lt;0,-(BH64-Uzman_D!$F$15),BH64-Uzman_D!$F$15)*0.1+IF(BI64-Uzman_D!$G$15&lt;0,-(BI64-Uzman_D!$G$15),BI64-Uzman_D!$G$15)*0.1+IF(BJ64-Uzman_D!$H$15&lt;0,-(BJ64-Uzman_D!$H$15),BJ64-Uzman_D!$H$15)*0.1+IF(BK64-Uzman_D!$I$15&lt;0,-(BK64-Uzman_D!$I$15),BK64-Uzman_D!$I$15)*0.1+IF(BL64-Uzman_D!$J$15&lt;0,-(BL64-Uzman_D!$J$15),BL64-Uzman_D!$J$15)*0.1)+IF(ROUND((IF(BN64-Uzman_D!$L$15&lt;0,-(BN64-Uzman_D!$L$15),BN64-Uzman_D!$L$15)*2),0)/2=IF(BN64-Uzman_D!$L$15&lt;0,-(BN64-Uzman_D!$L$15),BN64-Uzman_D!$L$15),(ROUND((IF(BN64-Uzman_D!$L$15&lt;0,-(BN64-Uzman_D!$L$15),BN64-Uzman_D!$L$15)*2),0)/1*0.1),0)+IF(BO64-Uzman_D!$M$15&lt;0,-(BO64-Uzman_D!$M$15),BO64-Uzman_D!$M$15)*1)</f>
        <v>-0.50000000000000022</v>
      </c>
      <c r="BQ64" s="72">
        <f t="shared" si="1"/>
        <v>-0.54</v>
      </c>
    </row>
    <row r="65" spans="1:69" ht="15" customHeight="1" x14ac:dyDescent="0.45">
      <c r="A65" s="54">
        <v>62</v>
      </c>
      <c r="B65" s="165">
        <f>Hakemler!B65</f>
        <v>0</v>
      </c>
      <c r="C65" s="165">
        <f>Hakemler!C65</f>
        <v>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70"/>
      <c r="O65" s="70"/>
      <c r="P65" s="71">
        <f>1-(SUM(IF(D65-Uzman_D!$B$11&lt;0,-(D65-Uzman_D!$B$11),D65-Uzman_D!$B$11)*0.1+IF(E65-Uzman_D!$C$11&lt;0,-(E65-Uzman_D!$C$11),E65-Uzman_D!$C$11)*0.1+IF(F65-Uzman_D!$D$11&lt;0,-(F65-Uzman_D!$D$11),F65-Uzman_D!$D$11)*0.1+IF(G65-Uzman_D!$E$11&lt;0,-(G65-Uzman_D!$E$11),G65-Uzman_D!$E$11)*0.1+IF(H65-Uzman_D!$F$11&lt;0,-(H65-Uzman_D!$F$11),H65-Uzman_D!$F$11)*0.1+IF(I65-Uzman_D!$G$11&lt;0,-(I65-Uzman_D!$G$11),I65-Uzman_D!$G$11)*0.1+IF(J65-Uzman_D!$H$11&lt;0,-(J65-Uzman_D!$H$11),J65-Uzman_D!$H$11)*0.1+IF(K65-Uzman_D!$I$11&lt;0,-(K65-Uzman_D!$I$11),K65-Uzman_D!$I$11)*0.1+IF(L65-Uzman_D!$J$11&lt;0,-(L65-Uzman_D!$J$11),L65-Uzman_D!$J$11)*0.1)+IF(ROUND((IF(N65-Uzman_D!$L$11&lt;0,-(N65-Uzman_D!$L$11),N65-Uzman_D!$L$11)*2),0)/2=IF(N65-Uzman_D!$L$11&lt;0,-(N65-Uzman_D!$L$11),N65-Uzman_D!$L$11),(ROUND((IF(N65-Uzman_D!$L$11&lt;0,-(N65-Uzman_D!$L$11),N65-Uzman_D!$L$11)*2),0)/1*0.1),0)+IF(O65-Uzman_D!$M$11&lt;0,-(O65-Uzman_D!$M$11),O65-Uzman_D!$M$11)*1)</f>
        <v>-0.90000000000000013</v>
      </c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70"/>
      <c r="AB65" s="70"/>
      <c r="AC65" s="71">
        <f>1-(SUM(IF(Q65-Uzman_D!$B$12&lt;0,-(Q65-Uzman_D!$B$12),Q65-Uzman_D!$B$12)*0.1+IF(R65-Uzman_D!$C$12&lt;0,-(R65-Uzman_D!$C$12),R65-Uzman_D!$C$12)*0.1+IF(S65-Uzman_D!$D$12&lt;0,-(S65-Uzman_D!$D$12),S65-Uzman_D!$D$12)*0.1+IF(T65-Uzman_D!$E$12&lt;0,-(T65-Uzman_D!$E$12),T65-Uzman_D!$E$12)*0.1+IF(U65-Uzman_D!$F$12&lt;0,-(U65-Uzman_D!$F$12),U65-Uzman_D!$F$12)*0.1+IF(V65-Uzman_D!$G$12&lt;0,-(V65-Uzman_D!$G$12),V65-Uzman_D!$G$12)*0.1+IF(W65-Uzman_D!$H$12&lt;0,-(W65-Uzman_D!$H$12),W65-Uzman_D!$H$12)*0.1+IF(X65-Uzman_D!$I$12&lt;0,-(X65-Uzman_D!$I$12),X65-Uzman_D!$I$12)*0.1+IF(Y65-Uzman_D!$J$12&lt;0,-(Y65-Uzman_D!$J$12),Y65-Uzman_D!$J$12)*0.1)+IF(ROUND((IF(AA65-Uzman_D!$L$12&lt;0,-(AA65-Uzman_D!$L$12),AA65-Uzman_D!$L$12)*2),0)/2=IF(AA65-Uzman_D!$L$12&lt;0,-(AA65-Uzman_D!$L$12),AA65-Uzman_D!$L$12),(ROUND((IF(AA65-Uzman_D!$L$12&lt;0,-(AA65-Uzman_D!$L$12),AA65-Uzman_D!$L$12)*2),0)/1*0.1),0)+IF(AB65-Uzman_D!$M$12&lt;0,-(AB65-Uzman_D!$M$12),AB65-Uzman_D!$M$12)*1)</f>
        <v>-0.7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70"/>
      <c r="AO65" s="70"/>
      <c r="AP65" s="71">
        <f>1-(SUM(IF(AD65-Uzman_D!$B$13&lt;0,-(AD65-Uzman_D!$B$13),AD65-Uzman_D!$B$13)*0.1+IF(AE65-Uzman_D!$C$13&lt;0,-(AE65-Uzman_D!$C$13),AE65-Uzman_D!$C$13)*0.1+IF(AF65-Uzman_D!$D$13&lt;0,-(AF65-Uzman_D!$D$13),AF65-Uzman_D!$D$13)*0.1+IF(AG65-Uzman_D!$E$13&lt;0,-(AG65-Uzman_D!$E$13),AG65-Uzman_D!$E$13)*0.1+IF(AH65-Uzman_D!$F$13&lt;0,-(AH65-Uzman_D!$F$13),AH65-Uzman_D!$F$13)*0.1+IF(AI65-Uzman_D!$G$13&lt;0,-(AI65-Uzman_D!$G$13),AI65-Uzman_D!$G$13)*0.1+IF(AJ65-Uzman_D!$H$13&lt;0,-(AJ65-Uzman_D!$H$13),AJ65-Uzman_D!$H$13)*0.1+IF(AK65-Uzman_D!$I$13&lt;0,-(AK65-Uzman_D!$I$13),AK65-Uzman_D!$I$13)*0.1+IF(AL65-Uzman_D!$J$13&lt;0,-(AL65-Uzman_D!$J$13),AL65-Uzman_D!$J$13)*0.1)+IF(ROUND((IF(AN65-Uzman_D!$L$13&lt;0,-(AN65-Uzman_D!$L$13),AN65-Uzman_D!$L$13)*2),0)/2=IF(AN65-Uzman_D!$L$13&lt;0,-(AN65-Uzman_D!$L$13),AN65-Uzman_D!$L$13),(ROUND((IF(AN65-Uzman_D!$L$13&lt;0,-(AN65-Uzman_D!$L$13),AN65-Uzman_D!$L$13)*2),0)/1*0.1),0)+IF(AO65-Uzman_D!$M$13&lt;0,-(AO65-Uzman_D!$M$13),AO65-Uzman_D!$M$13)*1)</f>
        <v>-0.30000000000000004</v>
      </c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70"/>
      <c r="BB65" s="70"/>
      <c r="BC65" s="71">
        <f>1-(SUM(IF(AQ65-Uzman_D!$B$14&lt;0,-(AQ65-Uzman_D!$B$14),AQ65-Uzman_D!$B$14)*0.1+IF(AR65-Uzman_D!$C$14&lt;0,-(AR65-Uzman_D!$C$14),AR65-Uzman_D!$C$14)*0.1+IF(AS65-Uzman_D!$D$14&lt;0,-(AS65-Uzman_D!$D$14),AS65-Uzman_D!$D$14)*0.1+IF(AT65-Uzman_D!$E$14&lt;0,-(AT65-Uzman_D!$E$14),AT65-Uzman_D!$E$14)*0.1+IF(AU65-Uzman_D!$F$14&lt;0,-(AU65-Uzman_D!$F$14),AU65-Uzman_D!$F$14)*0.1+IF(AV65-Uzman_D!$G$14&lt;0,-(AV65-Uzman_D!$G$14),AV65-Uzman_D!$G$14)*0.1+IF(AW65-Uzman_D!$H$14&lt;0,-(AW65-Uzman_D!$H$14),AW65-Uzman_D!$H$14)*0.1+IF(AX65-Uzman_D!$I$14&lt;0,-(AX65-Uzman_D!$I$14),AX65-Uzman_D!$I$14)*0.1+IF(AY65-Uzman_D!$J$14&lt;0,-(AY65-Uzman_D!$J$14),AY65-Uzman_D!$J$14)*0.1)+IF(ROUND((IF(BA65-Uzman_D!$L$14&lt;0,-(BA65-Uzman_D!$L$14),BA65-Uzman_D!$L$14)*2),0)/2=IF(BA65-Uzman_D!$L$14&lt;0,-(BA65-Uzman_D!$L$14),BA65-Uzman_D!$L$14),(ROUND((IF(BA65-Uzman_D!$L$14&lt;0,-(BA65-Uzman_D!$L$14),BA65-Uzman_D!$L$14)*2),0)/1*0.1),0)+IF(BB65-Uzman_D!$M$14&lt;0,-(BB65-Uzman_D!$M$14),BB65-Uzman_D!$M$14)*1)</f>
        <v>-0.30000000000000027</v>
      </c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70"/>
      <c r="BO65" s="70"/>
      <c r="BP65" s="71">
        <f>1-(SUM(IF(BD65-Uzman_D!$B$15&lt;0,-(BD65-Uzman_D!$B$15),BD65-Uzman_D!$B$15)*0.1+IF(BE65-Uzman_D!$C$15&lt;0,-(BE65-Uzman_D!$C$15),BE65-Uzman_D!$C$15)*0.1+IF(BF65-Uzman_D!$D$15&lt;0,-(BF65-Uzman_D!$D$15),BF65-Uzman_D!$D$15)*0.1+IF(BG65-Uzman_D!$E$15&lt;0,-(BG65-Uzman_D!$E$15),BG65-Uzman_D!$E$15)*0.1+IF(BH65-Uzman_D!$F$15&lt;0,-(BH65-Uzman_D!$F$15),BH65-Uzman_D!$F$15)*0.1+IF(BI65-Uzman_D!$G$15&lt;0,-(BI65-Uzman_D!$G$15),BI65-Uzman_D!$G$15)*0.1+IF(BJ65-Uzman_D!$H$15&lt;0,-(BJ65-Uzman_D!$H$15),BJ65-Uzman_D!$H$15)*0.1+IF(BK65-Uzman_D!$I$15&lt;0,-(BK65-Uzman_D!$I$15),BK65-Uzman_D!$I$15)*0.1+IF(BL65-Uzman_D!$J$15&lt;0,-(BL65-Uzman_D!$J$15),BL65-Uzman_D!$J$15)*0.1)+IF(ROUND((IF(BN65-Uzman_D!$L$15&lt;0,-(BN65-Uzman_D!$L$15),BN65-Uzman_D!$L$15)*2),0)/2=IF(BN65-Uzman_D!$L$15&lt;0,-(BN65-Uzman_D!$L$15),BN65-Uzman_D!$L$15),(ROUND((IF(BN65-Uzman_D!$L$15&lt;0,-(BN65-Uzman_D!$L$15),BN65-Uzman_D!$L$15)*2),0)/1*0.1),0)+IF(BO65-Uzman_D!$M$15&lt;0,-(BO65-Uzman_D!$M$15),BO65-Uzman_D!$M$15)*1)</f>
        <v>-0.50000000000000022</v>
      </c>
      <c r="BQ65" s="72">
        <f t="shared" si="1"/>
        <v>-0.54</v>
      </c>
    </row>
    <row r="66" spans="1:69" ht="15" customHeight="1" x14ac:dyDescent="0.45">
      <c r="A66" s="54">
        <v>63</v>
      </c>
      <c r="B66" s="165">
        <f>Hakemler!B66</f>
        <v>0</v>
      </c>
      <c r="C66" s="165">
        <f>Hakemler!C66</f>
        <v>0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70"/>
      <c r="O66" s="70"/>
      <c r="P66" s="71">
        <f>1-(SUM(IF(D66-Uzman_D!$B$11&lt;0,-(D66-Uzman_D!$B$11),D66-Uzman_D!$B$11)*0.1+IF(E66-Uzman_D!$C$11&lt;0,-(E66-Uzman_D!$C$11),E66-Uzman_D!$C$11)*0.1+IF(F66-Uzman_D!$D$11&lt;0,-(F66-Uzman_D!$D$11),F66-Uzman_D!$D$11)*0.1+IF(G66-Uzman_D!$E$11&lt;0,-(G66-Uzman_D!$E$11),G66-Uzman_D!$E$11)*0.1+IF(H66-Uzman_D!$F$11&lt;0,-(H66-Uzman_D!$F$11),H66-Uzman_D!$F$11)*0.1+IF(I66-Uzman_D!$G$11&lt;0,-(I66-Uzman_D!$G$11),I66-Uzman_D!$G$11)*0.1+IF(J66-Uzman_D!$H$11&lt;0,-(J66-Uzman_D!$H$11),J66-Uzman_D!$H$11)*0.1+IF(K66-Uzman_D!$I$11&lt;0,-(K66-Uzman_D!$I$11),K66-Uzman_D!$I$11)*0.1+IF(L66-Uzman_D!$J$11&lt;0,-(L66-Uzman_D!$J$11),L66-Uzman_D!$J$11)*0.1)+IF(ROUND((IF(N66-Uzman_D!$L$11&lt;0,-(N66-Uzman_D!$L$11),N66-Uzman_D!$L$11)*2),0)/2=IF(N66-Uzman_D!$L$11&lt;0,-(N66-Uzman_D!$L$11),N66-Uzman_D!$L$11),(ROUND((IF(N66-Uzman_D!$L$11&lt;0,-(N66-Uzman_D!$L$11),N66-Uzman_D!$L$11)*2),0)/1*0.1),0)+IF(O66-Uzman_D!$M$11&lt;0,-(O66-Uzman_D!$M$11),O66-Uzman_D!$M$11)*1)</f>
        <v>-0.90000000000000013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70"/>
      <c r="AB66" s="70"/>
      <c r="AC66" s="71">
        <f>1-(SUM(IF(Q66-Uzman_D!$B$12&lt;0,-(Q66-Uzman_D!$B$12),Q66-Uzman_D!$B$12)*0.1+IF(R66-Uzman_D!$C$12&lt;0,-(R66-Uzman_D!$C$12),R66-Uzman_D!$C$12)*0.1+IF(S66-Uzman_D!$D$12&lt;0,-(S66-Uzman_D!$D$12),S66-Uzman_D!$D$12)*0.1+IF(T66-Uzman_D!$E$12&lt;0,-(T66-Uzman_D!$E$12),T66-Uzman_D!$E$12)*0.1+IF(U66-Uzman_D!$F$12&lt;0,-(U66-Uzman_D!$F$12),U66-Uzman_D!$F$12)*0.1+IF(V66-Uzman_D!$G$12&lt;0,-(V66-Uzman_D!$G$12),V66-Uzman_D!$G$12)*0.1+IF(W66-Uzman_D!$H$12&lt;0,-(W66-Uzman_D!$H$12),W66-Uzman_D!$H$12)*0.1+IF(X66-Uzman_D!$I$12&lt;0,-(X66-Uzman_D!$I$12),X66-Uzman_D!$I$12)*0.1+IF(Y66-Uzman_D!$J$12&lt;0,-(Y66-Uzman_D!$J$12),Y66-Uzman_D!$J$12)*0.1)+IF(ROUND((IF(AA66-Uzman_D!$L$12&lt;0,-(AA66-Uzman_D!$L$12),AA66-Uzman_D!$L$12)*2),0)/2=IF(AA66-Uzman_D!$L$12&lt;0,-(AA66-Uzman_D!$L$12),AA66-Uzman_D!$L$12),(ROUND((IF(AA66-Uzman_D!$L$12&lt;0,-(AA66-Uzman_D!$L$12),AA66-Uzman_D!$L$12)*2),0)/1*0.1),0)+IF(AB66-Uzman_D!$M$12&lt;0,-(AB66-Uzman_D!$M$12),AB66-Uzman_D!$M$12)*1)</f>
        <v>-0.7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70"/>
      <c r="AO66" s="70"/>
      <c r="AP66" s="71">
        <f>1-(SUM(IF(AD66-Uzman_D!$B$13&lt;0,-(AD66-Uzman_D!$B$13),AD66-Uzman_D!$B$13)*0.1+IF(AE66-Uzman_D!$C$13&lt;0,-(AE66-Uzman_D!$C$13),AE66-Uzman_D!$C$13)*0.1+IF(AF66-Uzman_D!$D$13&lt;0,-(AF66-Uzman_D!$D$13),AF66-Uzman_D!$D$13)*0.1+IF(AG66-Uzman_D!$E$13&lt;0,-(AG66-Uzman_D!$E$13),AG66-Uzman_D!$E$13)*0.1+IF(AH66-Uzman_D!$F$13&lt;0,-(AH66-Uzman_D!$F$13),AH66-Uzman_D!$F$13)*0.1+IF(AI66-Uzman_D!$G$13&lt;0,-(AI66-Uzman_D!$G$13),AI66-Uzman_D!$G$13)*0.1+IF(AJ66-Uzman_D!$H$13&lt;0,-(AJ66-Uzman_D!$H$13),AJ66-Uzman_D!$H$13)*0.1+IF(AK66-Uzman_D!$I$13&lt;0,-(AK66-Uzman_D!$I$13),AK66-Uzman_D!$I$13)*0.1+IF(AL66-Uzman_D!$J$13&lt;0,-(AL66-Uzman_D!$J$13),AL66-Uzman_D!$J$13)*0.1)+IF(ROUND((IF(AN66-Uzman_D!$L$13&lt;0,-(AN66-Uzman_D!$L$13),AN66-Uzman_D!$L$13)*2),0)/2=IF(AN66-Uzman_D!$L$13&lt;0,-(AN66-Uzman_D!$L$13),AN66-Uzman_D!$L$13),(ROUND((IF(AN66-Uzman_D!$L$13&lt;0,-(AN66-Uzman_D!$L$13),AN66-Uzman_D!$L$13)*2),0)/1*0.1),0)+IF(AO66-Uzman_D!$M$13&lt;0,-(AO66-Uzman_D!$M$13),AO66-Uzman_D!$M$13)*1)</f>
        <v>-0.30000000000000004</v>
      </c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70"/>
      <c r="BB66" s="70"/>
      <c r="BC66" s="71">
        <f>1-(SUM(IF(AQ66-Uzman_D!$B$14&lt;0,-(AQ66-Uzman_D!$B$14),AQ66-Uzman_D!$B$14)*0.1+IF(AR66-Uzman_D!$C$14&lt;0,-(AR66-Uzman_D!$C$14),AR66-Uzman_D!$C$14)*0.1+IF(AS66-Uzman_D!$D$14&lt;0,-(AS66-Uzman_D!$D$14),AS66-Uzman_D!$D$14)*0.1+IF(AT66-Uzman_D!$E$14&lt;0,-(AT66-Uzman_D!$E$14),AT66-Uzman_D!$E$14)*0.1+IF(AU66-Uzman_D!$F$14&lt;0,-(AU66-Uzman_D!$F$14),AU66-Uzman_D!$F$14)*0.1+IF(AV66-Uzman_D!$G$14&lt;0,-(AV66-Uzman_D!$G$14),AV66-Uzman_D!$G$14)*0.1+IF(AW66-Uzman_D!$H$14&lt;0,-(AW66-Uzman_D!$H$14),AW66-Uzman_D!$H$14)*0.1+IF(AX66-Uzman_D!$I$14&lt;0,-(AX66-Uzman_D!$I$14),AX66-Uzman_D!$I$14)*0.1+IF(AY66-Uzman_D!$J$14&lt;0,-(AY66-Uzman_D!$J$14),AY66-Uzman_D!$J$14)*0.1)+IF(ROUND((IF(BA66-Uzman_D!$L$14&lt;0,-(BA66-Uzman_D!$L$14),BA66-Uzman_D!$L$14)*2),0)/2=IF(BA66-Uzman_D!$L$14&lt;0,-(BA66-Uzman_D!$L$14),BA66-Uzman_D!$L$14),(ROUND((IF(BA66-Uzman_D!$L$14&lt;0,-(BA66-Uzman_D!$L$14),BA66-Uzman_D!$L$14)*2),0)/1*0.1),0)+IF(BB66-Uzman_D!$M$14&lt;0,-(BB66-Uzman_D!$M$14),BB66-Uzman_D!$M$14)*1)</f>
        <v>-0.30000000000000027</v>
      </c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70"/>
      <c r="BO66" s="70"/>
      <c r="BP66" s="71">
        <f>1-(SUM(IF(BD66-Uzman_D!$B$15&lt;0,-(BD66-Uzman_D!$B$15),BD66-Uzman_D!$B$15)*0.1+IF(BE66-Uzman_D!$C$15&lt;0,-(BE66-Uzman_D!$C$15),BE66-Uzman_D!$C$15)*0.1+IF(BF66-Uzman_D!$D$15&lt;0,-(BF66-Uzman_D!$D$15),BF66-Uzman_D!$D$15)*0.1+IF(BG66-Uzman_D!$E$15&lt;0,-(BG66-Uzman_D!$E$15),BG66-Uzman_D!$E$15)*0.1+IF(BH66-Uzman_D!$F$15&lt;0,-(BH66-Uzman_D!$F$15),BH66-Uzman_D!$F$15)*0.1+IF(BI66-Uzman_D!$G$15&lt;0,-(BI66-Uzman_D!$G$15),BI66-Uzman_D!$G$15)*0.1+IF(BJ66-Uzman_D!$H$15&lt;0,-(BJ66-Uzman_D!$H$15),BJ66-Uzman_D!$H$15)*0.1+IF(BK66-Uzman_D!$I$15&lt;0,-(BK66-Uzman_D!$I$15),BK66-Uzman_D!$I$15)*0.1+IF(BL66-Uzman_D!$J$15&lt;0,-(BL66-Uzman_D!$J$15),BL66-Uzman_D!$J$15)*0.1)+IF(ROUND((IF(BN66-Uzman_D!$L$15&lt;0,-(BN66-Uzman_D!$L$15),BN66-Uzman_D!$L$15)*2),0)/2=IF(BN66-Uzman_D!$L$15&lt;0,-(BN66-Uzman_D!$L$15),BN66-Uzman_D!$L$15),(ROUND((IF(BN66-Uzman_D!$L$15&lt;0,-(BN66-Uzman_D!$L$15),BN66-Uzman_D!$L$15)*2),0)/1*0.1),0)+IF(BO66-Uzman_D!$M$15&lt;0,-(BO66-Uzman_D!$M$15),BO66-Uzman_D!$M$15)*1)</f>
        <v>-0.50000000000000022</v>
      </c>
      <c r="BQ66" s="72">
        <f t="shared" si="1"/>
        <v>-0.54</v>
      </c>
    </row>
    <row r="67" spans="1:69" ht="15" customHeight="1" x14ac:dyDescent="0.45">
      <c r="A67" s="54">
        <v>64</v>
      </c>
      <c r="B67" s="166">
        <f>Hakemler!B67</f>
        <v>0</v>
      </c>
      <c r="C67" s="166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3"/>
      <c r="O67" s="73"/>
      <c r="P67" s="71">
        <f>1-(SUM(IF(D67-Uzman_D!$B$11&lt;0,-(D67-Uzman_D!$B$11),D67-Uzman_D!$B$11)*0.1+IF(E67-Uzman_D!$C$11&lt;0,-(E67-Uzman_D!$C$11),E67-Uzman_D!$C$11)*0.1+IF(F67-Uzman_D!$D$11&lt;0,-(F67-Uzman_D!$D$11),F67-Uzman_D!$D$11)*0.1+IF(G67-Uzman_D!$E$11&lt;0,-(G67-Uzman_D!$E$11),G67-Uzman_D!$E$11)*0.1+IF(H67-Uzman_D!$F$11&lt;0,-(H67-Uzman_D!$F$11),H67-Uzman_D!$F$11)*0.1+IF(I67-Uzman_D!$G$11&lt;0,-(I67-Uzman_D!$G$11),I67-Uzman_D!$G$11)*0.1+IF(J67-Uzman_D!$H$11&lt;0,-(J67-Uzman_D!$H$11),J67-Uzman_D!$H$11)*0.1+IF(K67-Uzman_D!$I$11&lt;0,-(K67-Uzman_D!$I$11),K67-Uzman_D!$I$11)*0.1+IF(L67-Uzman_D!$J$11&lt;0,-(L67-Uzman_D!$J$11),L67-Uzman_D!$J$11)*0.1)+IF(ROUND((IF(N67-Uzman_D!$L$11&lt;0,-(N67-Uzman_D!$L$11),N67-Uzman_D!$L$11)*2),0)/2=IF(N67-Uzman_D!$L$11&lt;0,-(N67-Uzman_D!$L$11),N67-Uzman_D!$L$11),(ROUND((IF(N67-Uzman_D!$L$11&lt;0,-(N67-Uzman_D!$L$11),N67-Uzman_D!$L$11)*2),0)/1*0.1),0)+IF(O67-Uzman_D!$M$11&lt;0,-(O67-Uzman_D!$M$11),O67-Uzman_D!$M$11)*1)</f>
        <v>-0.90000000000000013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3"/>
      <c r="AB67" s="73"/>
      <c r="AC67" s="71">
        <f>1-(SUM(IF(Q67-Uzman_D!$B$12&lt;0,-(Q67-Uzman_D!$B$12),Q67-Uzman_D!$B$12)*0.1+IF(R67-Uzman_D!$C$12&lt;0,-(R67-Uzman_D!$C$12),R67-Uzman_D!$C$12)*0.1+IF(S67-Uzman_D!$D$12&lt;0,-(S67-Uzman_D!$D$12),S67-Uzman_D!$D$12)*0.1+IF(T67-Uzman_D!$E$12&lt;0,-(T67-Uzman_D!$E$12),T67-Uzman_D!$E$12)*0.1+IF(U67-Uzman_D!$F$12&lt;0,-(U67-Uzman_D!$F$12),U67-Uzman_D!$F$12)*0.1+IF(V67-Uzman_D!$G$12&lt;0,-(V67-Uzman_D!$G$12),V67-Uzman_D!$G$12)*0.1+IF(W67-Uzman_D!$H$12&lt;0,-(W67-Uzman_D!$H$12),W67-Uzman_D!$H$12)*0.1+IF(X67-Uzman_D!$I$12&lt;0,-(X67-Uzman_D!$I$12),X67-Uzman_D!$I$12)*0.1+IF(Y67-Uzman_D!$J$12&lt;0,-(Y67-Uzman_D!$J$12),Y67-Uzman_D!$J$12)*0.1)+IF(ROUND((IF(AA67-Uzman_D!$L$12&lt;0,-(AA67-Uzman_D!$L$12),AA67-Uzman_D!$L$12)*2),0)/2=IF(AA67-Uzman_D!$L$12&lt;0,-(AA67-Uzman_D!$L$12),AA67-Uzman_D!$L$12),(ROUND((IF(AA67-Uzman_D!$L$12&lt;0,-(AA67-Uzman_D!$L$12),AA67-Uzman_D!$L$12)*2),0)/1*0.1),0)+IF(AB67-Uzman_D!$M$12&lt;0,-(AB67-Uzman_D!$M$12),AB67-Uzman_D!$M$12)*1)</f>
        <v>-0.7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3"/>
      <c r="AO67" s="73"/>
      <c r="AP67" s="71">
        <f>1-(SUM(IF(AD67-Uzman_D!$B$13&lt;0,-(AD67-Uzman_D!$B$13),AD67-Uzman_D!$B$13)*0.1+IF(AE67-Uzman_D!$C$13&lt;0,-(AE67-Uzman_D!$C$13),AE67-Uzman_D!$C$13)*0.1+IF(AF67-Uzman_D!$D$13&lt;0,-(AF67-Uzman_D!$D$13),AF67-Uzman_D!$D$13)*0.1+IF(AG67-Uzman_D!$E$13&lt;0,-(AG67-Uzman_D!$E$13),AG67-Uzman_D!$E$13)*0.1+IF(AH67-Uzman_D!$F$13&lt;0,-(AH67-Uzman_D!$F$13),AH67-Uzman_D!$F$13)*0.1+IF(AI67-Uzman_D!$G$13&lt;0,-(AI67-Uzman_D!$G$13),AI67-Uzman_D!$G$13)*0.1+IF(AJ67-Uzman_D!$H$13&lt;0,-(AJ67-Uzman_D!$H$13),AJ67-Uzman_D!$H$13)*0.1+IF(AK67-Uzman_D!$I$13&lt;0,-(AK67-Uzman_D!$I$13),AK67-Uzman_D!$I$13)*0.1+IF(AL67-Uzman_D!$J$13&lt;0,-(AL67-Uzman_D!$J$13),AL67-Uzman_D!$J$13)*0.1)+IF(ROUND((IF(AN67-Uzman_D!$L$13&lt;0,-(AN67-Uzman_D!$L$13),AN67-Uzman_D!$L$13)*2),0)/2=IF(AN67-Uzman_D!$L$13&lt;0,-(AN67-Uzman_D!$L$13),AN67-Uzman_D!$L$13),(ROUND((IF(AN67-Uzman_D!$L$13&lt;0,-(AN67-Uzman_D!$L$13),AN67-Uzman_D!$L$13)*2),0)/1*0.1),0)+IF(AO67-Uzman_D!$M$13&lt;0,-(AO67-Uzman_D!$M$13),AO67-Uzman_D!$M$13)*1)</f>
        <v>-0.30000000000000004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3"/>
      <c r="BB67" s="73"/>
      <c r="BC67" s="71">
        <f>1-(SUM(IF(AQ67-Uzman_D!$B$14&lt;0,-(AQ67-Uzman_D!$B$14),AQ67-Uzman_D!$B$14)*0.1+IF(AR67-Uzman_D!$C$14&lt;0,-(AR67-Uzman_D!$C$14),AR67-Uzman_D!$C$14)*0.1+IF(AS67-Uzman_D!$D$14&lt;0,-(AS67-Uzman_D!$D$14),AS67-Uzman_D!$D$14)*0.1+IF(AT67-Uzman_D!$E$14&lt;0,-(AT67-Uzman_D!$E$14),AT67-Uzman_D!$E$14)*0.1+IF(AU67-Uzman_D!$F$14&lt;0,-(AU67-Uzman_D!$F$14),AU67-Uzman_D!$F$14)*0.1+IF(AV67-Uzman_D!$G$14&lt;0,-(AV67-Uzman_D!$G$14),AV67-Uzman_D!$G$14)*0.1+IF(AW67-Uzman_D!$H$14&lt;0,-(AW67-Uzman_D!$H$14),AW67-Uzman_D!$H$14)*0.1+IF(AX67-Uzman_D!$I$14&lt;0,-(AX67-Uzman_D!$I$14),AX67-Uzman_D!$I$14)*0.1+IF(AY67-Uzman_D!$J$14&lt;0,-(AY67-Uzman_D!$J$14),AY67-Uzman_D!$J$14)*0.1)+IF(ROUND((IF(BA67-Uzman_D!$L$14&lt;0,-(BA67-Uzman_D!$L$14),BA67-Uzman_D!$L$14)*2),0)/2=IF(BA67-Uzman_D!$L$14&lt;0,-(BA67-Uzman_D!$L$14),BA67-Uzman_D!$L$14),(ROUND((IF(BA67-Uzman_D!$L$14&lt;0,-(BA67-Uzman_D!$L$14),BA67-Uzman_D!$L$14)*2),0)/1*0.1),0)+IF(BB67-Uzman_D!$M$14&lt;0,-(BB67-Uzman_D!$M$14),BB67-Uzman_D!$M$14)*1)</f>
        <v>-0.30000000000000027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3"/>
      <c r="BO67" s="73"/>
      <c r="BP67" s="71">
        <f>1-(SUM(IF(BD67-Uzman_D!$B$15&lt;0,-(BD67-Uzman_D!$B$15),BD67-Uzman_D!$B$15)*0.1+IF(BE67-Uzman_D!$C$15&lt;0,-(BE67-Uzman_D!$C$15),BE67-Uzman_D!$C$15)*0.1+IF(BF67-Uzman_D!$D$15&lt;0,-(BF67-Uzman_D!$D$15),BF67-Uzman_D!$D$15)*0.1+IF(BG67-Uzman_D!$E$15&lt;0,-(BG67-Uzman_D!$E$15),BG67-Uzman_D!$E$15)*0.1+IF(BH67-Uzman_D!$F$15&lt;0,-(BH67-Uzman_D!$F$15),BH67-Uzman_D!$F$15)*0.1+IF(BI67-Uzman_D!$G$15&lt;0,-(BI67-Uzman_D!$G$15),BI67-Uzman_D!$G$15)*0.1+IF(BJ67-Uzman_D!$H$15&lt;0,-(BJ67-Uzman_D!$H$15),BJ67-Uzman_D!$H$15)*0.1+IF(BK67-Uzman_D!$I$15&lt;0,-(BK67-Uzman_D!$I$15),BK67-Uzman_D!$I$15)*0.1+IF(BL67-Uzman_D!$J$15&lt;0,-(BL67-Uzman_D!$J$15),BL67-Uzman_D!$J$15)*0.1)+IF(ROUND((IF(BN67-Uzman_D!$L$15&lt;0,-(BN67-Uzman_D!$L$15),BN67-Uzman_D!$L$15)*2),0)/2=IF(BN67-Uzman_D!$L$15&lt;0,-(BN67-Uzman_D!$L$15),BN67-Uzman_D!$L$15),(ROUND((IF(BN67-Uzman_D!$L$15&lt;0,-(BN67-Uzman_D!$L$15),BN67-Uzman_D!$L$15)*2),0)/1*0.1),0)+IF(BO67-Uzman_D!$M$15&lt;0,-(BO67-Uzman_D!$M$15),BO67-Uzman_D!$M$15)*1)</f>
        <v>-0.50000000000000022</v>
      </c>
      <c r="BQ67" s="72">
        <f t="shared" si="1"/>
        <v>-0.54</v>
      </c>
    </row>
    <row r="68" spans="1:69" ht="15" customHeight="1" x14ac:dyDescent="0.45">
      <c r="A68" s="54">
        <v>65</v>
      </c>
      <c r="B68" s="166">
        <f>Hakemler!B68</f>
        <v>0</v>
      </c>
      <c r="C68" s="166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3"/>
      <c r="O68" s="73"/>
      <c r="P68" s="71">
        <f>1-(SUM(IF(D68-Uzman_D!$B$11&lt;0,-(D68-Uzman_D!$B$11),D68-Uzman_D!$B$11)*0.1+IF(E68-Uzman_D!$C$11&lt;0,-(E68-Uzman_D!$C$11),E68-Uzman_D!$C$11)*0.1+IF(F68-Uzman_D!$D$11&lt;0,-(F68-Uzman_D!$D$11),F68-Uzman_D!$D$11)*0.1+IF(G68-Uzman_D!$E$11&lt;0,-(G68-Uzman_D!$E$11),G68-Uzman_D!$E$11)*0.1+IF(H68-Uzman_D!$F$11&lt;0,-(H68-Uzman_D!$F$11),H68-Uzman_D!$F$11)*0.1+IF(I68-Uzman_D!$G$11&lt;0,-(I68-Uzman_D!$G$11),I68-Uzman_D!$G$11)*0.1+IF(J68-Uzman_D!$H$11&lt;0,-(J68-Uzman_D!$H$11),J68-Uzman_D!$H$11)*0.1+IF(K68-Uzman_D!$I$11&lt;0,-(K68-Uzman_D!$I$11),K68-Uzman_D!$I$11)*0.1+IF(L68-Uzman_D!$J$11&lt;0,-(L68-Uzman_D!$J$11),L68-Uzman_D!$J$11)*0.1)+IF(ROUND((IF(N68-Uzman_D!$L$11&lt;0,-(N68-Uzman_D!$L$11),N68-Uzman_D!$L$11)*2),0)/2=IF(N68-Uzman_D!$L$11&lt;0,-(N68-Uzman_D!$L$11),N68-Uzman_D!$L$11),(ROUND((IF(N68-Uzman_D!$L$11&lt;0,-(N68-Uzman_D!$L$11),N68-Uzman_D!$L$11)*2),0)/1*0.1),0)+IF(O68-Uzman_D!$M$11&lt;0,-(O68-Uzman_D!$M$11),O68-Uzman_D!$M$11)*1)</f>
        <v>-0.90000000000000013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3"/>
      <c r="AB68" s="73"/>
      <c r="AC68" s="71">
        <f>1-(SUM(IF(Q68-Uzman_D!$B$12&lt;0,-(Q68-Uzman_D!$B$12),Q68-Uzman_D!$B$12)*0.1+IF(R68-Uzman_D!$C$12&lt;0,-(R68-Uzman_D!$C$12),R68-Uzman_D!$C$12)*0.1+IF(S68-Uzman_D!$D$12&lt;0,-(S68-Uzman_D!$D$12),S68-Uzman_D!$D$12)*0.1+IF(T68-Uzman_D!$E$12&lt;0,-(T68-Uzman_D!$E$12),T68-Uzman_D!$E$12)*0.1+IF(U68-Uzman_D!$F$12&lt;0,-(U68-Uzman_D!$F$12),U68-Uzman_D!$F$12)*0.1+IF(V68-Uzman_D!$G$12&lt;0,-(V68-Uzman_D!$G$12),V68-Uzman_D!$G$12)*0.1+IF(W68-Uzman_D!$H$12&lt;0,-(W68-Uzman_D!$H$12),W68-Uzman_D!$H$12)*0.1+IF(X68-Uzman_D!$I$12&lt;0,-(X68-Uzman_D!$I$12),X68-Uzman_D!$I$12)*0.1+IF(Y68-Uzman_D!$J$12&lt;0,-(Y68-Uzman_D!$J$12),Y68-Uzman_D!$J$12)*0.1)+IF(ROUND((IF(AA68-Uzman_D!$L$12&lt;0,-(AA68-Uzman_D!$L$12),AA68-Uzman_D!$L$12)*2),0)/2=IF(AA68-Uzman_D!$L$12&lt;0,-(AA68-Uzman_D!$L$12),AA68-Uzman_D!$L$12),(ROUND((IF(AA68-Uzman_D!$L$12&lt;0,-(AA68-Uzman_D!$L$12),AA68-Uzman_D!$L$12)*2),0)/1*0.1),0)+IF(AB68-Uzman_D!$M$12&lt;0,-(AB68-Uzman_D!$M$12),AB68-Uzman_D!$M$12)*1)</f>
        <v>-0.7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3"/>
      <c r="AO68" s="73"/>
      <c r="AP68" s="71">
        <f>1-(SUM(IF(AD68-Uzman_D!$B$13&lt;0,-(AD68-Uzman_D!$B$13),AD68-Uzman_D!$B$13)*0.1+IF(AE68-Uzman_D!$C$13&lt;0,-(AE68-Uzman_D!$C$13),AE68-Uzman_D!$C$13)*0.1+IF(AF68-Uzman_D!$D$13&lt;0,-(AF68-Uzman_D!$D$13),AF68-Uzman_D!$D$13)*0.1+IF(AG68-Uzman_D!$E$13&lt;0,-(AG68-Uzman_D!$E$13),AG68-Uzman_D!$E$13)*0.1+IF(AH68-Uzman_D!$F$13&lt;0,-(AH68-Uzman_D!$F$13),AH68-Uzman_D!$F$13)*0.1+IF(AI68-Uzman_D!$G$13&lt;0,-(AI68-Uzman_D!$G$13),AI68-Uzman_D!$G$13)*0.1+IF(AJ68-Uzman_D!$H$13&lt;0,-(AJ68-Uzman_D!$H$13),AJ68-Uzman_D!$H$13)*0.1+IF(AK68-Uzman_D!$I$13&lt;0,-(AK68-Uzman_D!$I$13),AK68-Uzman_D!$I$13)*0.1+IF(AL68-Uzman_D!$J$13&lt;0,-(AL68-Uzman_D!$J$13),AL68-Uzman_D!$J$13)*0.1)+IF(ROUND((IF(AN68-Uzman_D!$L$13&lt;0,-(AN68-Uzman_D!$L$13),AN68-Uzman_D!$L$13)*2),0)/2=IF(AN68-Uzman_D!$L$13&lt;0,-(AN68-Uzman_D!$L$13),AN68-Uzman_D!$L$13),(ROUND((IF(AN68-Uzman_D!$L$13&lt;0,-(AN68-Uzman_D!$L$13),AN68-Uzman_D!$L$13)*2),0)/1*0.1),0)+IF(AO68-Uzman_D!$M$13&lt;0,-(AO68-Uzman_D!$M$13),AO68-Uzman_D!$M$13)*1)</f>
        <v>-0.30000000000000004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3"/>
      <c r="BB68" s="73"/>
      <c r="BC68" s="71">
        <f>1-(SUM(IF(AQ68-Uzman_D!$B$14&lt;0,-(AQ68-Uzman_D!$B$14),AQ68-Uzman_D!$B$14)*0.1+IF(AR68-Uzman_D!$C$14&lt;0,-(AR68-Uzman_D!$C$14),AR68-Uzman_D!$C$14)*0.1+IF(AS68-Uzman_D!$D$14&lt;0,-(AS68-Uzman_D!$D$14),AS68-Uzman_D!$D$14)*0.1+IF(AT68-Uzman_D!$E$14&lt;0,-(AT68-Uzman_D!$E$14),AT68-Uzman_D!$E$14)*0.1+IF(AU68-Uzman_D!$F$14&lt;0,-(AU68-Uzman_D!$F$14),AU68-Uzman_D!$F$14)*0.1+IF(AV68-Uzman_D!$G$14&lt;0,-(AV68-Uzman_D!$G$14),AV68-Uzman_D!$G$14)*0.1+IF(AW68-Uzman_D!$H$14&lt;0,-(AW68-Uzman_D!$H$14),AW68-Uzman_D!$H$14)*0.1+IF(AX68-Uzman_D!$I$14&lt;0,-(AX68-Uzman_D!$I$14),AX68-Uzman_D!$I$14)*0.1+IF(AY68-Uzman_D!$J$14&lt;0,-(AY68-Uzman_D!$J$14),AY68-Uzman_D!$J$14)*0.1)+IF(ROUND((IF(BA68-Uzman_D!$L$14&lt;0,-(BA68-Uzman_D!$L$14),BA68-Uzman_D!$L$14)*2),0)/2=IF(BA68-Uzman_D!$L$14&lt;0,-(BA68-Uzman_D!$L$14),BA68-Uzman_D!$L$14),(ROUND((IF(BA68-Uzman_D!$L$14&lt;0,-(BA68-Uzman_D!$L$14),BA68-Uzman_D!$L$14)*2),0)/1*0.1),0)+IF(BB68-Uzman_D!$M$14&lt;0,-(BB68-Uzman_D!$M$14),BB68-Uzman_D!$M$14)*1)</f>
        <v>-0.30000000000000027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3"/>
      <c r="BO68" s="73"/>
      <c r="BP68" s="71">
        <f>1-(SUM(IF(BD68-Uzman_D!$B$15&lt;0,-(BD68-Uzman_D!$B$15),BD68-Uzman_D!$B$15)*0.1+IF(BE68-Uzman_D!$C$15&lt;0,-(BE68-Uzman_D!$C$15),BE68-Uzman_D!$C$15)*0.1+IF(BF68-Uzman_D!$D$15&lt;0,-(BF68-Uzman_D!$D$15),BF68-Uzman_D!$D$15)*0.1+IF(BG68-Uzman_D!$E$15&lt;0,-(BG68-Uzman_D!$E$15),BG68-Uzman_D!$E$15)*0.1+IF(BH68-Uzman_D!$F$15&lt;0,-(BH68-Uzman_D!$F$15),BH68-Uzman_D!$F$15)*0.1+IF(BI68-Uzman_D!$G$15&lt;0,-(BI68-Uzman_D!$G$15),BI68-Uzman_D!$G$15)*0.1+IF(BJ68-Uzman_D!$H$15&lt;0,-(BJ68-Uzman_D!$H$15),BJ68-Uzman_D!$H$15)*0.1+IF(BK68-Uzman_D!$I$15&lt;0,-(BK68-Uzman_D!$I$15),BK68-Uzman_D!$I$15)*0.1+IF(BL68-Uzman_D!$J$15&lt;0,-(BL68-Uzman_D!$J$15),BL68-Uzman_D!$J$15)*0.1)+IF(ROUND((IF(BN68-Uzman_D!$L$15&lt;0,-(BN68-Uzman_D!$L$15),BN68-Uzman_D!$L$15)*2),0)/2=IF(BN68-Uzman_D!$L$15&lt;0,-(BN68-Uzman_D!$L$15),BN68-Uzman_D!$L$15),(ROUND((IF(BN68-Uzman_D!$L$15&lt;0,-(BN68-Uzman_D!$L$15),BN68-Uzman_D!$L$15)*2),0)/1*0.1),0)+IF(BO68-Uzman_D!$M$15&lt;0,-(BO68-Uzman_D!$M$15),BO68-Uzman_D!$M$15)*1)</f>
        <v>-0.50000000000000022</v>
      </c>
      <c r="BQ68" s="72">
        <f t="shared" ref="BQ68:BQ99" si="2">(P68+AC68+AP68+BC68+BP68)/5</f>
        <v>-0.54</v>
      </c>
    </row>
    <row r="69" spans="1:69" ht="15" customHeight="1" x14ac:dyDescent="0.45">
      <c r="A69" s="54">
        <v>66</v>
      </c>
      <c r="B69" s="166">
        <f>Hakemler!B69</f>
        <v>0</v>
      </c>
      <c r="C69" s="166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3"/>
      <c r="O69" s="73"/>
      <c r="P69" s="71">
        <f>1-(SUM(IF(D69-Uzman_D!$B$11&lt;0,-(D69-Uzman_D!$B$11),D69-Uzman_D!$B$11)*0.1+IF(E69-Uzman_D!$C$11&lt;0,-(E69-Uzman_D!$C$11),E69-Uzman_D!$C$11)*0.1+IF(F69-Uzman_D!$D$11&lt;0,-(F69-Uzman_D!$D$11),F69-Uzman_D!$D$11)*0.1+IF(G69-Uzman_D!$E$11&lt;0,-(G69-Uzman_D!$E$11),G69-Uzman_D!$E$11)*0.1+IF(H69-Uzman_D!$F$11&lt;0,-(H69-Uzman_D!$F$11),H69-Uzman_D!$F$11)*0.1+IF(I69-Uzman_D!$G$11&lt;0,-(I69-Uzman_D!$G$11),I69-Uzman_D!$G$11)*0.1+IF(J69-Uzman_D!$H$11&lt;0,-(J69-Uzman_D!$H$11),J69-Uzman_D!$H$11)*0.1+IF(K69-Uzman_D!$I$11&lt;0,-(K69-Uzman_D!$I$11),K69-Uzman_D!$I$11)*0.1+IF(L69-Uzman_D!$J$11&lt;0,-(L69-Uzman_D!$J$11),L69-Uzman_D!$J$11)*0.1)+IF(ROUND((IF(N69-Uzman_D!$L$11&lt;0,-(N69-Uzman_D!$L$11),N69-Uzman_D!$L$11)*2),0)/2=IF(N69-Uzman_D!$L$11&lt;0,-(N69-Uzman_D!$L$11),N69-Uzman_D!$L$11),(ROUND((IF(N69-Uzman_D!$L$11&lt;0,-(N69-Uzman_D!$L$11),N69-Uzman_D!$L$11)*2),0)/1*0.1),0)+IF(O69-Uzman_D!$M$11&lt;0,-(O69-Uzman_D!$M$11),O69-Uzman_D!$M$11)*1)</f>
        <v>-0.90000000000000013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3"/>
      <c r="AB69" s="73"/>
      <c r="AC69" s="71">
        <f>1-(SUM(IF(Q69-Uzman_D!$B$12&lt;0,-(Q69-Uzman_D!$B$12),Q69-Uzman_D!$B$12)*0.1+IF(R69-Uzman_D!$C$12&lt;0,-(R69-Uzman_D!$C$12),R69-Uzman_D!$C$12)*0.1+IF(S69-Uzman_D!$D$12&lt;0,-(S69-Uzman_D!$D$12),S69-Uzman_D!$D$12)*0.1+IF(T69-Uzman_D!$E$12&lt;0,-(T69-Uzman_D!$E$12),T69-Uzman_D!$E$12)*0.1+IF(U69-Uzman_D!$F$12&lt;0,-(U69-Uzman_D!$F$12),U69-Uzman_D!$F$12)*0.1+IF(V69-Uzman_D!$G$12&lt;0,-(V69-Uzman_D!$G$12),V69-Uzman_D!$G$12)*0.1+IF(W69-Uzman_D!$H$12&lt;0,-(W69-Uzman_D!$H$12),W69-Uzman_D!$H$12)*0.1+IF(X69-Uzman_D!$I$12&lt;0,-(X69-Uzman_D!$I$12),X69-Uzman_D!$I$12)*0.1+IF(Y69-Uzman_D!$J$12&lt;0,-(Y69-Uzman_D!$J$12),Y69-Uzman_D!$J$12)*0.1)+IF(ROUND((IF(AA69-Uzman_D!$L$12&lt;0,-(AA69-Uzman_D!$L$12),AA69-Uzman_D!$L$12)*2),0)/2=IF(AA69-Uzman_D!$L$12&lt;0,-(AA69-Uzman_D!$L$12),AA69-Uzman_D!$L$12),(ROUND((IF(AA69-Uzman_D!$L$12&lt;0,-(AA69-Uzman_D!$L$12),AA69-Uzman_D!$L$12)*2),0)/1*0.1),0)+IF(AB69-Uzman_D!$M$12&lt;0,-(AB69-Uzman_D!$M$12),AB69-Uzman_D!$M$12)*1)</f>
        <v>-0.7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3"/>
      <c r="AO69" s="73"/>
      <c r="AP69" s="71">
        <f>1-(SUM(IF(AD69-Uzman_D!$B$13&lt;0,-(AD69-Uzman_D!$B$13),AD69-Uzman_D!$B$13)*0.1+IF(AE69-Uzman_D!$C$13&lt;0,-(AE69-Uzman_D!$C$13),AE69-Uzman_D!$C$13)*0.1+IF(AF69-Uzman_D!$D$13&lt;0,-(AF69-Uzman_D!$D$13),AF69-Uzman_D!$D$13)*0.1+IF(AG69-Uzman_D!$E$13&lt;0,-(AG69-Uzman_D!$E$13),AG69-Uzman_D!$E$13)*0.1+IF(AH69-Uzman_D!$F$13&lt;0,-(AH69-Uzman_D!$F$13),AH69-Uzman_D!$F$13)*0.1+IF(AI69-Uzman_D!$G$13&lt;0,-(AI69-Uzman_D!$G$13),AI69-Uzman_D!$G$13)*0.1+IF(AJ69-Uzman_D!$H$13&lt;0,-(AJ69-Uzman_D!$H$13),AJ69-Uzman_D!$H$13)*0.1+IF(AK69-Uzman_D!$I$13&lt;0,-(AK69-Uzman_D!$I$13),AK69-Uzman_D!$I$13)*0.1+IF(AL69-Uzman_D!$J$13&lt;0,-(AL69-Uzman_D!$J$13),AL69-Uzman_D!$J$13)*0.1)+IF(ROUND((IF(AN69-Uzman_D!$L$13&lt;0,-(AN69-Uzman_D!$L$13),AN69-Uzman_D!$L$13)*2),0)/2=IF(AN69-Uzman_D!$L$13&lt;0,-(AN69-Uzman_D!$L$13),AN69-Uzman_D!$L$13),(ROUND((IF(AN69-Uzman_D!$L$13&lt;0,-(AN69-Uzman_D!$L$13),AN69-Uzman_D!$L$13)*2),0)/1*0.1),0)+IF(AO69-Uzman_D!$M$13&lt;0,-(AO69-Uzman_D!$M$13),AO69-Uzman_D!$M$13)*1)</f>
        <v>-0.30000000000000004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3"/>
      <c r="BB69" s="73"/>
      <c r="BC69" s="71">
        <f>1-(SUM(IF(AQ69-Uzman_D!$B$14&lt;0,-(AQ69-Uzman_D!$B$14),AQ69-Uzman_D!$B$14)*0.1+IF(AR69-Uzman_D!$C$14&lt;0,-(AR69-Uzman_D!$C$14),AR69-Uzman_D!$C$14)*0.1+IF(AS69-Uzman_D!$D$14&lt;0,-(AS69-Uzman_D!$D$14),AS69-Uzman_D!$D$14)*0.1+IF(AT69-Uzman_D!$E$14&lt;0,-(AT69-Uzman_D!$E$14),AT69-Uzman_D!$E$14)*0.1+IF(AU69-Uzman_D!$F$14&lt;0,-(AU69-Uzman_D!$F$14),AU69-Uzman_D!$F$14)*0.1+IF(AV69-Uzman_D!$G$14&lt;0,-(AV69-Uzman_D!$G$14),AV69-Uzman_D!$G$14)*0.1+IF(AW69-Uzman_D!$H$14&lt;0,-(AW69-Uzman_D!$H$14),AW69-Uzman_D!$H$14)*0.1+IF(AX69-Uzman_D!$I$14&lt;0,-(AX69-Uzman_D!$I$14),AX69-Uzman_D!$I$14)*0.1+IF(AY69-Uzman_D!$J$14&lt;0,-(AY69-Uzman_D!$J$14),AY69-Uzman_D!$J$14)*0.1)+IF(ROUND((IF(BA69-Uzman_D!$L$14&lt;0,-(BA69-Uzman_D!$L$14),BA69-Uzman_D!$L$14)*2),0)/2=IF(BA69-Uzman_D!$L$14&lt;0,-(BA69-Uzman_D!$L$14),BA69-Uzman_D!$L$14),(ROUND((IF(BA69-Uzman_D!$L$14&lt;0,-(BA69-Uzman_D!$L$14),BA69-Uzman_D!$L$14)*2),0)/1*0.1),0)+IF(BB69-Uzman_D!$M$14&lt;0,-(BB69-Uzman_D!$M$14),BB69-Uzman_D!$M$14)*1)</f>
        <v>-0.30000000000000027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3"/>
      <c r="BO69" s="73"/>
      <c r="BP69" s="71">
        <f>1-(SUM(IF(BD69-Uzman_D!$B$15&lt;0,-(BD69-Uzman_D!$B$15),BD69-Uzman_D!$B$15)*0.1+IF(BE69-Uzman_D!$C$15&lt;0,-(BE69-Uzman_D!$C$15),BE69-Uzman_D!$C$15)*0.1+IF(BF69-Uzman_D!$D$15&lt;0,-(BF69-Uzman_D!$D$15),BF69-Uzman_D!$D$15)*0.1+IF(BG69-Uzman_D!$E$15&lt;0,-(BG69-Uzman_D!$E$15),BG69-Uzman_D!$E$15)*0.1+IF(BH69-Uzman_D!$F$15&lt;0,-(BH69-Uzman_D!$F$15),BH69-Uzman_D!$F$15)*0.1+IF(BI69-Uzman_D!$G$15&lt;0,-(BI69-Uzman_D!$G$15),BI69-Uzman_D!$G$15)*0.1+IF(BJ69-Uzman_D!$H$15&lt;0,-(BJ69-Uzman_D!$H$15),BJ69-Uzman_D!$H$15)*0.1+IF(BK69-Uzman_D!$I$15&lt;0,-(BK69-Uzman_D!$I$15),BK69-Uzman_D!$I$15)*0.1+IF(BL69-Uzman_D!$J$15&lt;0,-(BL69-Uzman_D!$J$15),BL69-Uzman_D!$J$15)*0.1)+IF(ROUND((IF(BN69-Uzman_D!$L$15&lt;0,-(BN69-Uzman_D!$L$15),BN69-Uzman_D!$L$15)*2),0)/2=IF(BN69-Uzman_D!$L$15&lt;0,-(BN69-Uzman_D!$L$15),BN69-Uzman_D!$L$15),(ROUND((IF(BN69-Uzman_D!$L$15&lt;0,-(BN69-Uzman_D!$L$15),BN69-Uzman_D!$L$15)*2),0)/1*0.1),0)+IF(BO69-Uzman_D!$M$15&lt;0,-(BO69-Uzman_D!$M$15),BO69-Uzman_D!$M$15)*1)</f>
        <v>-0.50000000000000022</v>
      </c>
      <c r="BQ69" s="72">
        <f t="shared" si="2"/>
        <v>-0.54</v>
      </c>
    </row>
    <row r="70" spans="1:69" ht="15" customHeight="1" x14ac:dyDescent="0.45">
      <c r="A70" s="54">
        <v>67</v>
      </c>
      <c r="B70" s="166">
        <f>Hakemler!B70</f>
        <v>0</v>
      </c>
      <c r="C70" s="166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3"/>
      <c r="O70" s="73"/>
      <c r="P70" s="71">
        <f>1-(SUM(IF(D70-Uzman_D!$B$11&lt;0,-(D70-Uzman_D!$B$11),D70-Uzman_D!$B$11)*0.1+IF(E70-Uzman_D!$C$11&lt;0,-(E70-Uzman_D!$C$11),E70-Uzman_D!$C$11)*0.1+IF(F70-Uzman_D!$D$11&lt;0,-(F70-Uzman_D!$D$11),F70-Uzman_D!$D$11)*0.1+IF(G70-Uzman_D!$E$11&lt;0,-(G70-Uzman_D!$E$11),G70-Uzman_D!$E$11)*0.1+IF(H70-Uzman_D!$F$11&lt;0,-(H70-Uzman_D!$F$11),H70-Uzman_D!$F$11)*0.1+IF(I70-Uzman_D!$G$11&lt;0,-(I70-Uzman_D!$G$11),I70-Uzman_D!$G$11)*0.1+IF(J70-Uzman_D!$H$11&lt;0,-(J70-Uzman_D!$H$11),J70-Uzman_D!$H$11)*0.1+IF(K70-Uzman_D!$I$11&lt;0,-(K70-Uzman_D!$I$11),K70-Uzman_D!$I$11)*0.1+IF(L70-Uzman_D!$J$11&lt;0,-(L70-Uzman_D!$J$11),L70-Uzman_D!$J$11)*0.1)+IF(ROUND((IF(N70-Uzman_D!$L$11&lt;0,-(N70-Uzman_D!$L$11),N70-Uzman_D!$L$11)*2),0)/2=IF(N70-Uzman_D!$L$11&lt;0,-(N70-Uzman_D!$L$11),N70-Uzman_D!$L$11),(ROUND((IF(N70-Uzman_D!$L$11&lt;0,-(N70-Uzman_D!$L$11),N70-Uzman_D!$L$11)*2),0)/1*0.1),0)+IF(O70-Uzman_D!$M$11&lt;0,-(O70-Uzman_D!$M$11),O70-Uzman_D!$M$11)*1)</f>
        <v>-0.90000000000000013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3"/>
      <c r="AB70" s="73"/>
      <c r="AC70" s="71">
        <f>1-(SUM(IF(Q70-Uzman_D!$B$12&lt;0,-(Q70-Uzman_D!$B$12),Q70-Uzman_D!$B$12)*0.1+IF(R70-Uzman_D!$C$12&lt;0,-(R70-Uzman_D!$C$12),R70-Uzman_D!$C$12)*0.1+IF(S70-Uzman_D!$D$12&lt;0,-(S70-Uzman_D!$D$12),S70-Uzman_D!$D$12)*0.1+IF(T70-Uzman_D!$E$12&lt;0,-(T70-Uzman_D!$E$12),T70-Uzman_D!$E$12)*0.1+IF(U70-Uzman_D!$F$12&lt;0,-(U70-Uzman_D!$F$12),U70-Uzman_D!$F$12)*0.1+IF(V70-Uzman_D!$G$12&lt;0,-(V70-Uzman_D!$G$12),V70-Uzman_D!$G$12)*0.1+IF(W70-Uzman_D!$H$12&lt;0,-(W70-Uzman_D!$H$12),W70-Uzman_D!$H$12)*0.1+IF(X70-Uzman_D!$I$12&lt;0,-(X70-Uzman_D!$I$12),X70-Uzman_D!$I$12)*0.1+IF(Y70-Uzman_D!$J$12&lt;0,-(Y70-Uzman_D!$J$12),Y70-Uzman_D!$J$12)*0.1)+IF(ROUND((IF(AA70-Uzman_D!$L$12&lt;0,-(AA70-Uzman_D!$L$12),AA70-Uzman_D!$L$12)*2),0)/2=IF(AA70-Uzman_D!$L$12&lt;0,-(AA70-Uzman_D!$L$12),AA70-Uzman_D!$L$12),(ROUND((IF(AA70-Uzman_D!$L$12&lt;0,-(AA70-Uzman_D!$L$12),AA70-Uzman_D!$L$12)*2),0)/1*0.1),0)+IF(AB70-Uzman_D!$M$12&lt;0,-(AB70-Uzman_D!$M$12),AB70-Uzman_D!$M$12)*1)</f>
        <v>-0.7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3"/>
      <c r="AO70" s="73"/>
      <c r="AP70" s="71">
        <f>1-(SUM(IF(AD70-Uzman_D!$B$13&lt;0,-(AD70-Uzman_D!$B$13),AD70-Uzman_D!$B$13)*0.1+IF(AE70-Uzman_D!$C$13&lt;0,-(AE70-Uzman_D!$C$13),AE70-Uzman_D!$C$13)*0.1+IF(AF70-Uzman_D!$D$13&lt;0,-(AF70-Uzman_D!$D$13),AF70-Uzman_D!$D$13)*0.1+IF(AG70-Uzman_D!$E$13&lt;0,-(AG70-Uzman_D!$E$13),AG70-Uzman_D!$E$13)*0.1+IF(AH70-Uzman_D!$F$13&lt;0,-(AH70-Uzman_D!$F$13),AH70-Uzman_D!$F$13)*0.1+IF(AI70-Uzman_D!$G$13&lt;0,-(AI70-Uzman_D!$G$13),AI70-Uzman_D!$G$13)*0.1+IF(AJ70-Uzman_D!$H$13&lt;0,-(AJ70-Uzman_D!$H$13),AJ70-Uzman_D!$H$13)*0.1+IF(AK70-Uzman_D!$I$13&lt;0,-(AK70-Uzman_D!$I$13),AK70-Uzman_D!$I$13)*0.1+IF(AL70-Uzman_D!$J$13&lt;0,-(AL70-Uzman_D!$J$13),AL70-Uzman_D!$J$13)*0.1)+IF(ROUND((IF(AN70-Uzman_D!$L$13&lt;0,-(AN70-Uzman_D!$L$13),AN70-Uzman_D!$L$13)*2),0)/2=IF(AN70-Uzman_D!$L$13&lt;0,-(AN70-Uzman_D!$L$13),AN70-Uzman_D!$L$13),(ROUND((IF(AN70-Uzman_D!$L$13&lt;0,-(AN70-Uzman_D!$L$13),AN70-Uzman_D!$L$13)*2),0)/1*0.1),0)+IF(AO70-Uzman_D!$M$13&lt;0,-(AO70-Uzman_D!$M$13),AO70-Uzman_D!$M$13)*1)</f>
        <v>-0.30000000000000004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3"/>
      <c r="BB70" s="73"/>
      <c r="BC70" s="71">
        <f>1-(SUM(IF(AQ70-Uzman_D!$B$14&lt;0,-(AQ70-Uzman_D!$B$14),AQ70-Uzman_D!$B$14)*0.1+IF(AR70-Uzman_D!$C$14&lt;0,-(AR70-Uzman_D!$C$14),AR70-Uzman_D!$C$14)*0.1+IF(AS70-Uzman_D!$D$14&lt;0,-(AS70-Uzman_D!$D$14),AS70-Uzman_D!$D$14)*0.1+IF(AT70-Uzman_D!$E$14&lt;0,-(AT70-Uzman_D!$E$14),AT70-Uzman_D!$E$14)*0.1+IF(AU70-Uzman_D!$F$14&lt;0,-(AU70-Uzman_D!$F$14),AU70-Uzman_D!$F$14)*0.1+IF(AV70-Uzman_D!$G$14&lt;0,-(AV70-Uzman_D!$G$14),AV70-Uzman_D!$G$14)*0.1+IF(AW70-Uzman_D!$H$14&lt;0,-(AW70-Uzman_D!$H$14),AW70-Uzman_D!$H$14)*0.1+IF(AX70-Uzman_D!$I$14&lt;0,-(AX70-Uzman_D!$I$14),AX70-Uzman_D!$I$14)*0.1+IF(AY70-Uzman_D!$J$14&lt;0,-(AY70-Uzman_D!$J$14),AY70-Uzman_D!$J$14)*0.1)+IF(ROUND((IF(BA70-Uzman_D!$L$14&lt;0,-(BA70-Uzman_D!$L$14),BA70-Uzman_D!$L$14)*2),0)/2=IF(BA70-Uzman_D!$L$14&lt;0,-(BA70-Uzman_D!$L$14),BA70-Uzman_D!$L$14),(ROUND((IF(BA70-Uzman_D!$L$14&lt;0,-(BA70-Uzman_D!$L$14),BA70-Uzman_D!$L$14)*2),0)/1*0.1),0)+IF(BB70-Uzman_D!$M$14&lt;0,-(BB70-Uzman_D!$M$14),BB70-Uzman_D!$M$14)*1)</f>
        <v>-0.30000000000000027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3"/>
      <c r="BO70" s="73"/>
      <c r="BP70" s="71">
        <f>1-(SUM(IF(BD70-Uzman_D!$B$15&lt;0,-(BD70-Uzman_D!$B$15),BD70-Uzman_D!$B$15)*0.1+IF(BE70-Uzman_D!$C$15&lt;0,-(BE70-Uzman_D!$C$15),BE70-Uzman_D!$C$15)*0.1+IF(BF70-Uzman_D!$D$15&lt;0,-(BF70-Uzman_D!$D$15),BF70-Uzman_D!$D$15)*0.1+IF(BG70-Uzman_D!$E$15&lt;0,-(BG70-Uzman_D!$E$15),BG70-Uzman_D!$E$15)*0.1+IF(BH70-Uzman_D!$F$15&lt;0,-(BH70-Uzman_D!$F$15),BH70-Uzman_D!$F$15)*0.1+IF(BI70-Uzman_D!$G$15&lt;0,-(BI70-Uzman_D!$G$15),BI70-Uzman_D!$G$15)*0.1+IF(BJ70-Uzman_D!$H$15&lt;0,-(BJ70-Uzman_D!$H$15),BJ70-Uzman_D!$H$15)*0.1+IF(BK70-Uzman_D!$I$15&lt;0,-(BK70-Uzman_D!$I$15),BK70-Uzman_D!$I$15)*0.1+IF(BL70-Uzman_D!$J$15&lt;0,-(BL70-Uzman_D!$J$15),BL70-Uzman_D!$J$15)*0.1)+IF(ROUND((IF(BN70-Uzman_D!$L$15&lt;0,-(BN70-Uzman_D!$L$15),BN70-Uzman_D!$L$15)*2),0)/2=IF(BN70-Uzman_D!$L$15&lt;0,-(BN70-Uzman_D!$L$15),BN70-Uzman_D!$L$15),(ROUND((IF(BN70-Uzman_D!$L$15&lt;0,-(BN70-Uzman_D!$L$15),BN70-Uzman_D!$L$15)*2),0)/1*0.1),0)+IF(BO70-Uzman_D!$M$15&lt;0,-(BO70-Uzman_D!$M$15),BO70-Uzman_D!$M$15)*1)</f>
        <v>-0.50000000000000022</v>
      </c>
      <c r="BQ70" s="72">
        <f t="shared" si="2"/>
        <v>-0.54</v>
      </c>
    </row>
    <row r="71" spans="1:69" ht="15" customHeight="1" x14ac:dyDescent="0.45">
      <c r="A71" s="54">
        <v>68</v>
      </c>
      <c r="B71" s="166">
        <f>Hakemler!B71</f>
        <v>0</v>
      </c>
      <c r="C71" s="166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3"/>
      <c r="O71" s="73"/>
      <c r="P71" s="71">
        <f>1-(SUM(IF(D71-Uzman_D!$B$11&lt;0,-(D71-Uzman_D!$B$11),D71-Uzman_D!$B$11)*0.1+IF(E71-Uzman_D!$C$11&lt;0,-(E71-Uzman_D!$C$11),E71-Uzman_D!$C$11)*0.1+IF(F71-Uzman_D!$D$11&lt;0,-(F71-Uzman_D!$D$11),F71-Uzman_D!$D$11)*0.1+IF(G71-Uzman_D!$E$11&lt;0,-(G71-Uzman_D!$E$11),G71-Uzman_D!$E$11)*0.1+IF(H71-Uzman_D!$F$11&lt;0,-(H71-Uzman_D!$F$11),H71-Uzman_D!$F$11)*0.1+IF(I71-Uzman_D!$G$11&lt;0,-(I71-Uzman_D!$G$11),I71-Uzman_D!$G$11)*0.1+IF(J71-Uzman_D!$H$11&lt;0,-(J71-Uzman_D!$H$11),J71-Uzman_D!$H$11)*0.1+IF(K71-Uzman_D!$I$11&lt;0,-(K71-Uzman_D!$I$11),K71-Uzman_D!$I$11)*0.1+IF(L71-Uzman_D!$J$11&lt;0,-(L71-Uzman_D!$J$11),L71-Uzman_D!$J$11)*0.1)+IF(ROUND((IF(N71-Uzman_D!$L$11&lt;0,-(N71-Uzman_D!$L$11),N71-Uzman_D!$L$11)*2),0)/2=IF(N71-Uzman_D!$L$11&lt;0,-(N71-Uzman_D!$L$11),N71-Uzman_D!$L$11),(ROUND((IF(N71-Uzman_D!$L$11&lt;0,-(N71-Uzman_D!$L$11),N71-Uzman_D!$L$11)*2),0)/1*0.1),0)+IF(O71-Uzman_D!$M$11&lt;0,-(O71-Uzman_D!$M$11),O71-Uzman_D!$M$11)*1)</f>
        <v>-0.90000000000000013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3"/>
      <c r="AB71" s="73"/>
      <c r="AC71" s="71">
        <f>1-(SUM(IF(Q71-Uzman_D!$B$12&lt;0,-(Q71-Uzman_D!$B$12),Q71-Uzman_D!$B$12)*0.1+IF(R71-Uzman_D!$C$12&lt;0,-(R71-Uzman_D!$C$12),R71-Uzman_D!$C$12)*0.1+IF(S71-Uzman_D!$D$12&lt;0,-(S71-Uzman_D!$D$12),S71-Uzman_D!$D$12)*0.1+IF(T71-Uzman_D!$E$12&lt;0,-(T71-Uzman_D!$E$12),T71-Uzman_D!$E$12)*0.1+IF(U71-Uzman_D!$F$12&lt;0,-(U71-Uzman_D!$F$12),U71-Uzman_D!$F$12)*0.1+IF(V71-Uzman_D!$G$12&lt;0,-(V71-Uzman_D!$G$12),V71-Uzman_D!$G$12)*0.1+IF(W71-Uzman_D!$H$12&lt;0,-(W71-Uzman_D!$H$12),W71-Uzman_D!$H$12)*0.1+IF(X71-Uzman_D!$I$12&lt;0,-(X71-Uzman_D!$I$12),X71-Uzman_D!$I$12)*0.1+IF(Y71-Uzman_D!$J$12&lt;0,-(Y71-Uzman_D!$J$12),Y71-Uzman_D!$J$12)*0.1)+IF(ROUND((IF(AA71-Uzman_D!$L$12&lt;0,-(AA71-Uzman_D!$L$12),AA71-Uzman_D!$L$12)*2),0)/2=IF(AA71-Uzman_D!$L$12&lt;0,-(AA71-Uzman_D!$L$12),AA71-Uzman_D!$L$12),(ROUND((IF(AA71-Uzman_D!$L$12&lt;0,-(AA71-Uzman_D!$L$12),AA71-Uzman_D!$L$12)*2),0)/1*0.1),0)+IF(AB71-Uzman_D!$M$12&lt;0,-(AB71-Uzman_D!$M$12),AB71-Uzman_D!$M$12)*1)</f>
        <v>-0.7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3"/>
      <c r="AO71" s="73"/>
      <c r="AP71" s="71">
        <f>1-(SUM(IF(AD71-Uzman_D!$B$13&lt;0,-(AD71-Uzman_D!$B$13),AD71-Uzman_D!$B$13)*0.1+IF(AE71-Uzman_D!$C$13&lt;0,-(AE71-Uzman_D!$C$13),AE71-Uzman_D!$C$13)*0.1+IF(AF71-Uzman_D!$D$13&lt;0,-(AF71-Uzman_D!$D$13),AF71-Uzman_D!$D$13)*0.1+IF(AG71-Uzman_D!$E$13&lt;0,-(AG71-Uzman_D!$E$13),AG71-Uzman_D!$E$13)*0.1+IF(AH71-Uzman_D!$F$13&lt;0,-(AH71-Uzman_D!$F$13),AH71-Uzman_D!$F$13)*0.1+IF(AI71-Uzman_D!$G$13&lt;0,-(AI71-Uzman_D!$G$13),AI71-Uzman_D!$G$13)*0.1+IF(AJ71-Uzman_D!$H$13&lt;0,-(AJ71-Uzman_D!$H$13),AJ71-Uzman_D!$H$13)*0.1+IF(AK71-Uzman_D!$I$13&lt;0,-(AK71-Uzman_D!$I$13),AK71-Uzman_D!$I$13)*0.1+IF(AL71-Uzman_D!$J$13&lt;0,-(AL71-Uzman_D!$J$13),AL71-Uzman_D!$J$13)*0.1)+IF(ROUND((IF(AN71-Uzman_D!$L$13&lt;0,-(AN71-Uzman_D!$L$13),AN71-Uzman_D!$L$13)*2),0)/2=IF(AN71-Uzman_D!$L$13&lt;0,-(AN71-Uzman_D!$L$13),AN71-Uzman_D!$L$13),(ROUND((IF(AN71-Uzman_D!$L$13&lt;0,-(AN71-Uzman_D!$L$13),AN71-Uzman_D!$L$13)*2),0)/1*0.1),0)+IF(AO71-Uzman_D!$M$13&lt;0,-(AO71-Uzman_D!$M$13),AO71-Uzman_D!$M$13)*1)</f>
        <v>-0.30000000000000004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3"/>
      <c r="BB71" s="73"/>
      <c r="BC71" s="71">
        <f>1-(SUM(IF(AQ71-Uzman_D!$B$14&lt;0,-(AQ71-Uzman_D!$B$14),AQ71-Uzman_D!$B$14)*0.1+IF(AR71-Uzman_D!$C$14&lt;0,-(AR71-Uzman_D!$C$14),AR71-Uzman_D!$C$14)*0.1+IF(AS71-Uzman_D!$D$14&lt;0,-(AS71-Uzman_D!$D$14),AS71-Uzman_D!$D$14)*0.1+IF(AT71-Uzman_D!$E$14&lt;0,-(AT71-Uzman_D!$E$14),AT71-Uzman_D!$E$14)*0.1+IF(AU71-Uzman_D!$F$14&lt;0,-(AU71-Uzman_D!$F$14),AU71-Uzman_D!$F$14)*0.1+IF(AV71-Uzman_D!$G$14&lt;0,-(AV71-Uzman_D!$G$14),AV71-Uzman_D!$G$14)*0.1+IF(AW71-Uzman_D!$H$14&lt;0,-(AW71-Uzman_D!$H$14),AW71-Uzman_D!$H$14)*0.1+IF(AX71-Uzman_D!$I$14&lt;0,-(AX71-Uzman_D!$I$14),AX71-Uzman_D!$I$14)*0.1+IF(AY71-Uzman_D!$J$14&lt;0,-(AY71-Uzman_D!$J$14),AY71-Uzman_D!$J$14)*0.1)+IF(ROUND((IF(BA71-Uzman_D!$L$14&lt;0,-(BA71-Uzman_D!$L$14),BA71-Uzman_D!$L$14)*2),0)/2=IF(BA71-Uzman_D!$L$14&lt;0,-(BA71-Uzman_D!$L$14),BA71-Uzman_D!$L$14),(ROUND((IF(BA71-Uzman_D!$L$14&lt;0,-(BA71-Uzman_D!$L$14),BA71-Uzman_D!$L$14)*2),0)/1*0.1),0)+IF(BB71-Uzman_D!$M$14&lt;0,-(BB71-Uzman_D!$M$14),BB71-Uzman_D!$M$14)*1)</f>
        <v>-0.30000000000000027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3"/>
      <c r="BO71" s="73"/>
      <c r="BP71" s="71">
        <f>1-(SUM(IF(BD71-Uzman_D!$B$15&lt;0,-(BD71-Uzman_D!$B$15),BD71-Uzman_D!$B$15)*0.1+IF(BE71-Uzman_D!$C$15&lt;0,-(BE71-Uzman_D!$C$15),BE71-Uzman_D!$C$15)*0.1+IF(BF71-Uzman_D!$D$15&lt;0,-(BF71-Uzman_D!$D$15),BF71-Uzman_D!$D$15)*0.1+IF(BG71-Uzman_D!$E$15&lt;0,-(BG71-Uzman_D!$E$15),BG71-Uzman_D!$E$15)*0.1+IF(BH71-Uzman_D!$F$15&lt;0,-(BH71-Uzman_D!$F$15),BH71-Uzman_D!$F$15)*0.1+IF(BI71-Uzman_D!$G$15&lt;0,-(BI71-Uzman_D!$G$15),BI71-Uzman_D!$G$15)*0.1+IF(BJ71-Uzman_D!$H$15&lt;0,-(BJ71-Uzman_D!$H$15),BJ71-Uzman_D!$H$15)*0.1+IF(BK71-Uzman_D!$I$15&lt;0,-(BK71-Uzman_D!$I$15),BK71-Uzman_D!$I$15)*0.1+IF(BL71-Uzman_D!$J$15&lt;0,-(BL71-Uzman_D!$J$15),BL71-Uzman_D!$J$15)*0.1)+IF(ROUND((IF(BN71-Uzman_D!$L$15&lt;0,-(BN71-Uzman_D!$L$15),BN71-Uzman_D!$L$15)*2),0)/2=IF(BN71-Uzman_D!$L$15&lt;0,-(BN71-Uzman_D!$L$15),BN71-Uzman_D!$L$15),(ROUND((IF(BN71-Uzman_D!$L$15&lt;0,-(BN71-Uzman_D!$L$15),BN71-Uzman_D!$L$15)*2),0)/1*0.1),0)+IF(BO71-Uzman_D!$M$15&lt;0,-(BO71-Uzman_D!$M$15),BO71-Uzman_D!$M$15)*1)</f>
        <v>-0.50000000000000022</v>
      </c>
      <c r="BQ71" s="72">
        <f t="shared" si="2"/>
        <v>-0.54</v>
      </c>
    </row>
    <row r="72" spans="1:69" ht="15" customHeight="1" x14ac:dyDescent="0.45">
      <c r="A72" s="54">
        <v>69</v>
      </c>
      <c r="B72" s="166">
        <f>Hakemler!B72</f>
        <v>0</v>
      </c>
      <c r="C72" s="166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3"/>
      <c r="O72" s="73"/>
      <c r="P72" s="71">
        <f>1-(SUM(IF(D72-Uzman_D!$B$11&lt;0,-(D72-Uzman_D!$B$11),D72-Uzman_D!$B$11)*0.1+IF(E72-Uzman_D!$C$11&lt;0,-(E72-Uzman_D!$C$11),E72-Uzman_D!$C$11)*0.1+IF(F72-Uzman_D!$D$11&lt;0,-(F72-Uzman_D!$D$11),F72-Uzman_D!$D$11)*0.1+IF(G72-Uzman_D!$E$11&lt;0,-(G72-Uzman_D!$E$11),G72-Uzman_D!$E$11)*0.1+IF(H72-Uzman_D!$F$11&lt;0,-(H72-Uzman_D!$F$11),H72-Uzman_D!$F$11)*0.1+IF(I72-Uzman_D!$G$11&lt;0,-(I72-Uzman_D!$G$11),I72-Uzman_D!$G$11)*0.1+IF(J72-Uzman_D!$H$11&lt;0,-(J72-Uzman_D!$H$11),J72-Uzman_D!$H$11)*0.1+IF(K72-Uzman_D!$I$11&lt;0,-(K72-Uzman_D!$I$11),K72-Uzman_D!$I$11)*0.1+IF(L72-Uzman_D!$J$11&lt;0,-(L72-Uzman_D!$J$11),L72-Uzman_D!$J$11)*0.1)+IF(ROUND((IF(N72-Uzman_D!$L$11&lt;0,-(N72-Uzman_D!$L$11),N72-Uzman_D!$L$11)*2),0)/2=IF(N72-Uzman_D!$L$11&lt;0,-(N72-Uzman_D!$L$11),N72-Uzman_D!$L$11),(ROUND((IF(N72-Uzman_D!$L$11&lt;0,-(N72-Uzman_D!$L$11),N72-Uzman_D!$L$11)*2),0)/1*0.1),0)+IF(O72-Uzman_D!$M$11&lt;0,-(O72-Uzman_D!$M$11),O72-Uzman_D!$M$11)*1)</f>
        <v>-0.90000000000000013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3"/>
      <c r="AB72" s="73"/>
      <c r="AC72" s="71">
        <f>1-(SUM(IF(Q72-Uzman_D!$B$12&lt;0,-(Q72-Uzman_D!$B$12),Q72-Uzman_D!$B$12)*0.1+IF(R72-Uzman_D!$C$12&lt;0,-(R72-Uzman_D!$C$12),R72-Uzman_D!$C$12)*0.1+IF(S72-Uzman_D!$D$12&lt;0,-(S72-Uzman_D!$D$12),S72-Uzman_D!$D$12)*0.1+IF(T72-Uzman_D!$E$12&lt;0,-(T72-Uzman_D!$E$12),T72-Uzman_D!$E$12)*0.1+IF(U72-Uzman_D!$F$12&lt;0,-(U72-Uzman_D!$F$12),U72-Uzman_D!$F$12)*0.1+IF(V72-Uzman_D!$G$12&lt;0,-(V72-Uzman_D!$G$12),V72-Uzman_D!$G$12)*0.1+IF(W72-Uzman_D!$H$12&lt;0,-(W72-Uzman_D!$H$12),W72-Uzman_D!$H$12)*0.1+IF(X72-Uzman_D!$I$12&lt;0,-(X72-Uzman_D!$I$12),X72-Uzman_D!$I$12)*0.1+IF(Y72-Uzman_D!$J$12&lt;0,-(Y72-Uzman_D!$J$12),Y72-Uzman_D!$J$12)*0.1)+IF(ROUND((IF(AA72-Uzman_D!$L$12&lt;0,-(AA72-Uzman_D!$L$12),AA72-Uzman_D!$L$12)*2),0)/2=IF(AA72-Uzman_D!$L$12&lt;0,-(AA72-Uzman_D!$L$12),AA72-Uzman_D!$L$12),(ROUND((IF(AA72-Uzman_D!$L$12&lt;0,-(AA72-Uzman_D!$L$12),AA72-Uzman_D!$L$12)*2),0)/1*0.1),0)+IF(AB72-Uzman_D!$M$12&lt;0,-(AB72-Uzman_D!$M$12),AB72-Uzman_D!$M$12)*1)</f>
        <v>-0.7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3"/>
      <c r="AO72" s="73"/>
      <c r="AP72" s="71">
        <f>1-(SUM(IF(AD72-Uzman_D!$B$13&lt;0,-(AD72-Uzman_D!$B$13),AD72-Uzman_D!$B$13)*0.1+IF(AE72-Uzman_D!$C$13&lt;0,-(AE72-Uzman_D!$C$13),AE72-Uzman_D!$C$13)*0.1+IF(AF72-Uzman_D!$D$13&lt;0,-(AF72-Uzman_D!$D$13),AF72-Uzman_D!$D$13)*0.1+IF(AG72-Uzman_D!$E$13&lt;0,-(AG72-Uzman_D!$E$13),AG72-Uzman_D!$E$13)*0.1+IF(AH72-Uzman_D!$F$13&lt;0,-(AH72-Uzman_D!$F$13),AH72-Uzman_D!$F$13)*0.1+IF(AI72-Uzman_D!$G$13&lt;0,-(AI72-Uzman_D!$G$13),AI72-Uzman_D!$G$13)*0.1+IF(AJ72-Uzman_D!$H$13&lt;0,-(AJ72-Uzman_D!$H$13),AJ72-Uzman_D!$H$13)*0.1+IF(AK72-Uzman_D!$I$13&lt;0,-(AK72-Uzman_D!$I$13),AK72-Uzman_D!$I$13)*0.1+IF(AL72-Uzman_D!$J$13&lt;0,-(AL72-Uzman_D!$J$13),AL72-Uzman_D!$J$13)*0.1)+IF(ROUND((IF(AN72-Uzman_D!$L$13&lt;0,-(AN72-Uzman_D!$L$13),AN72-Uzman_D!$L$13)*2),0)/2=IF(AN72-Uzman_D!$L$13&lt;0,-(AN72-Uzman_D!$L$13),AN72-Uzman_D!$L$13),(ROUND((IF(AN72-Uzman_D!$L$13&lt;0,-(AN72-Uzman_D!$L$13),AN72-Uzman_D!$L$13)*2),0)/1*0.1),0)+IF(AO72-Uzman_D!$M$13&lt;0,-(AO72-Uzman_D!$M$13),AO72-Uzman_D!$M$13)*1)</f>
        <v>-0.30000000000000004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3"/>
      <c r="BB72" s="73"/>
      <c r="BC72" s="71">
        <f>1-(SUM(IF(AQ72-Uzman_D!$B$14&lt;0,-(AQ72-Uzman_D!$B$14),AQ72-Uzman_D!$B$14)*0.1+IF(AR72-Uzman_D!$C$14&lt;0,-(AR72-Uzman_D!$C$14),AR72-Uzman_D!$C$14)*0.1+IF(AS72-Uzman_D!$D$14&lt;0,-(AS72-Uzman_D!$D$14),AS72-Uzman_D!$D$14)*0.1+IF(AT72-Uzman_D!$E$14&lt;0,-(AT72-Uzman_D!$E$14),AT72-Uzman_D!$E$14)*0.1+IF(AU72-Uzman_D!$F$14&lt;0,-(AU72-Uzman_D!$F$14),AU72-Uzman_D!$F$14)*0.1+IF(AV72-Uzman_D!$G$14&lt;0,-(AV72-Uzman_D!$G$14),AV72-Uzman_D!$G$14)*0.1+IF(AW72-Uzman_D!$H$14&lt;0,-(AW72-Uzman_D!$H$14),AW72-Uzman_D!$H$14)*0.1+IF(AX72-Uzman_D!$I$14&lt;0,-(AX72-Uzman_D!$I$14),AX72-Uzman_D!$I$14)*0.1+IF(AY72-Uzman_D!$J$14&lt;0,-(AY72-Uzman_D!$J$14),AY72-Uzman_D!$J$14)*0.1)+IF(ROUND((IF(BA72-Uzman_D!$L$14&lt;0,-(BA72-Uzman_D!$L$14),BA72-Uzman_D!$L$14)*2),0)/2=IF(BA72-Uzman_D!$L$14&lt;0,-(BA72-Uzman_D!$L$14),BA72-Uzman_D!$L$14),(ROUND((IF(BA72-Uzman_D!$L$14&lt;0,-(BA72-Uzman_D!$L$14),BA72-Uzman_D!$L$14)*2),0)/1*0.1),0)+IF(BB72-Uzman_D!$M$14&lt;0,-(BB72-Uzman_D!$M$14),BB72-Uzman_D!$M$14)*1)</f>
        <v>-0.30000000000000027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3"/>
      <c r="BO72" s="73"/>
      <c r="BP72" s="71">
        <f>1-(SUM(IF(BD72-Uzman_D!$B$15&lt;0,-(BD72-Uzman_D!$B$15),BD72-Uzman_D!$B$15)*0.1+IF(BE72-Uzman_D!$C$15&lt;0,-(BE72-Uzman_D!$C$15),BE72-Uzman_D!$C$15)*0.1+IF(BF72-Uzman_D!$D$15&lt;0,-(BF72-Uzman_D!$D$15),BF72-Uzman_D!$D$15)*0.1+IF(BG72-Uzman_D!$E$15&lt;0,-(BG72-Uzman_D!$E$15),BG72-Uzman_D!$E$15)*0.1+IF(BH72-Uzman_D!$F$15&lt;0,-(BH72-Uzman_D!$F$15),BH72-Uzman_D!$F$15)*0.1+IF(BI72-Uzman_D!$G$15&lt;0,-(BI72-Uzman_D!$G$15),BI72-Uzman_D!$G$15)*0.1+IF(BJ72-Uzman_D!$H$15&lt;0,-(BJ72-Uzman_D!$H$15),BJ72-Uzman_D!$H$15)*0.1+IF(BK72-Uzman_D!$I$15&lt;0,-(BK72-Uzman_D!$I$15),BK72-Uzman_D!$I$15)*0.1+IF(BL72-Uzman_D!$J$15&lt;0,-(BL72-Uzman_D!$J$15),BL72-Uzman_D!$J$15)*0.1)+IF(ROUND((IF(BN72-Uzman_D!$L$15&lt;0,-(BN72-Uzman_D!$L$15),BN72-Uzman_D!$L$15)*2),0)/2=IF(BN72-Uzman_D!$L$15&lt;0,-(BN72-Uzman_D!$L$15),BN72-Uzman_D!$L$15),(ROUND((IF(BN72-Uzman_D!$L$15&lt;0,-(BN72-Uzman_D!$L$15),BN72-Uzman_D!$L$15)*2),0)/1*0.1),0)+IF(BO72-Uzman_D!$M$15&lt;0,-(BO72-Uzman_D!$M$15),BO72-Uzman_D!$M$15)*1)</f>
        <v>-0.50000000000000022</v>
      </c>
      <c r="BQ72" s="72">
        <f t="shared" si="2"/>
        <v>-0.54</v>
      </c>
    </row>
    <row r="73" spans="1:69" ht="15" customHeight="1" x14ac:dyDescent="0.45">
      <c r="A73" s="54">
        <v>70</v>
      </c>
      <c r="B73" s="166">
        <f>Hakemler!B73</f>
        <v>0</v>
      </c>
      <c r="C73" s="166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3"/>
      <c r="O73" s="73"/>
      <c r="P73" s="71">
        <f>1-(SUM(IF(D73-Uzman_D!$B$11&lt;0,-(D73-Uzman_D!$B$11),D73-Uzman_D!$B$11)*0.1+IF(E73-Uzman_D!$C$11&lt;0,-(E73-Uzman_D!$C$11),E73-Uzman_D!$C$11)*0.1+IF(F73-Uzman_D!$D$11&lt;0,-(F73-Uzman_D!$D$11),F73-Uzman_D!$D$11)*0.1+IF(G73-Uzman_D!$E$11&lt;0,-(G73-Uzman_D!$E$11),G73-Uzman_D!$E$11)*0.1+IF(H73-Uzman_D!$F$11&lt;0,-(H73-Uzman_D!$F$11),H73-Uzman_D!$F$11)*0.1+IF(I73-Uzman_D!$G$11&lt;0,-(I73-Uzman_D!$G$11),I73-Uzman_D!$G$11)*0.1+IF(J73-Uzman_D!$H$11&lt;0,-(J73-Uzman_D!$H$11),J73-Uzman_D!$H$11)*0.1+IF(K73-Uzman_D!$I$11&lt;0,-(K73-Uzman_D!$I$11),K73-Uzman_D!$I$11)*0.1+IF(L73-Uzman_D!$J$11&lt;0,-(L73-Uzman_D!$J$11),L73-Uzman_D!$J$11)*0.1)+IF(ROUND((IF(N73-Uzman_D!$L$11&lt;0,-(N73-Uzman_D!$L$11),N73-Uzman_D!$L$11)*2),0)/2=IF(N73-Uzman_D!$L$11&lt;0,-(N73-Uzman_D!$L$11),N73-Uzman_D!$L$11),(ROUND((IF(N73-Uzman_D!$L$11&lt;0,-(N73-Uzman_D!$L$11),N73-Uzman_D!$L$11)*2),0)/1*0.1),0)+IF(O73-Uzman_D!$M$11&lt;0,-(O73-Uzman_D!$M$11),O73-Uzman_D!$M$11)*1)</f>
        <v>-0.90000000000000013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3"/>
      <c r="AB73" s="73"/>
      <c r="AC73" s="71">
        <f>1-(SUM(IF(Q73-Uzman_D!$B$12&lt;0,-(Q73-Uzman_D!$B$12),Q73-Uzman_D!$B$12)*0.1+IF(R73-Uzman_D!$C$12&lt;0,-(R73-Uzman_D!$C$12),R73-Uzman_D!$C$12)*0.1+IF(S73-Uzman_D!$D$12&lt;0,-(S73-Uzman_D!$D$12),S73-Uzman_D!$D$12)*0.1+IF(T73-Uzman_D!$E$12&lt;0,-(T73-Uzman_D!$E$12),T73-Uzman_D!$E$12)*0.1+IF(U73-Uzman_D!$F$12&lt;0,-(U73-Uzman_D!$F$12),U73-Uzman_D!$F$12)*0.1+IF(V73-Uzman_D!$G$12&lt;0,-(V73-Uzman_D!$G$12),V73-Uzman_D!$G$12)*0.1+IF(W73-Uzman_D!$H$12&lt;0,-(W73-Uzman_D!$H$12),W73-Uzman_D!$H$12)*0.1+IF(X73-Uzman_D!$I$12&lt;0,-(X73-Uzman_D!$I$12),X73-Uzman_D!$I$12)*0.1+IF(Y73-Uzman_D!$J$12&lt;0,-(Y73-Uzman_D!$J$12),Y73-Uzman_D!$J$12)*0.1)+IF(ROUND((IF(AA73-Uzman_D!$L$12&lt;0,-(AA73-Uzman_D!$L$12),AA73-Uzman_D!$L$12)*2),0)/2=IF(AA73-Uzman_D!$L$12&lt;0,-(AA73-Uzman_D!$L$12),AA73-Uzman_D!$L$12),(ROUND((IF(AA73-Uzman_D!$L$12&lt;0,-(AA73-Uzman_D!$L$12),AA73-Uzman_D!$L$12)*2),0)/1*0.1),0)+IF(AB73-Uzman_D!$M$12&lt;0,-(AB73-Uzman_D!$M$12),AB73-Uzman_D!$M$12)*1)</f>
        <v>-0.7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3"/>
      <c r="AO73" s="73"/>
      <c r="AP73" s="71">
        <f>1-(SUM(IF(AD73-Uzman_D!$B$13&lt;0,-(AD73-Uzman_D!$B$13),AD73-Uzman_D!$B$13)*0.1+IF(AE73-Uzman_D!$C$13&lt;0,-(AE73-Uzman_D!$C$13),AE73-Uzman_D!$C$13)*0.1+IF(AF73-Uzman_D!$D$13&lt;0,-(AF73-Uzman_D!$D$13),AF73-Uzman_D!$D$13)*0.1+IF(AG73-Uzman_D!$E$13&lt;0,-(AG73-Uzman_D!$E$13),AG73-Uzman_D!$E$13)*0.1+IF(AH73-Uzman_D!$F$13&lt;0,-(AH73-Uzman_D!$F$13),AH73-Uzman_D!$F$13)*0.1+IF(AI73-Uzman_D!$G$13&lt;0,-(AI73-Uzman_D!$G$13),AI73-Uzman_D!$G$13)*0.1+IF(AJ73-Uzman_D!$H$13&lt;0,-(AJ73-Uzman_D!$H$13),AJ73-Uzman_D!$H$13)*0.1+IF(AK73-Uzman_D!$I$13&lt;0,-(AK73-Uzman_D!$I$13),AK73-Uzman_D!$I$13)*0.1+IF(AL73-Uzman_D!$J$13&lt;0,-(AL73-Uzman_D!$J$13),AL73-Uzman_D!$J$13)*0.1)+IF(ROUND((IF(AN73-Uzman_D!$L$13&lt;0,-(AN73-Uzman_D!$L$13),AN73-Uzman_D!$L$13)*2),0)/2=IF(AN73-Uzman_D!$L$13&lt;0,-(AN73-Uzman_D!$L$13),AN73-Uzman_D!$L$13),(ROUND((IF(AN73-Uzman_D!$L$13&lt;0,-(AN73-Uzman_D!$L$13),AN73-Uzman_D!$L$13)*2),0)/1*0.1),0)+IF(AO73-Uzman_D!$M$13&lt;0,-(AO73-Uzman_D!$M$13),AO73-Uzman_D!$M$13)*1)</f>
        <v>-0.30000000000000004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3"/>
      <c r="BB73" s="73"/>
      <c r="BC73" s="71">
        <f>1-(SUM(IF(AQ73-Uzman_D!$B$14&lt;0,-(AQ73-Uzman_D!$B$14),AQ73-Uzman_D!$B$14)*0.1+IF(AR73-Uzman_D!$C$14&lt;0,-(AR73-Uzman_D!$C$14),AR73-Uzman_D!$C$14)*0.1+IF(AS73-Uzman_D!$D$14&lt;0,-(AS73-Uzman_D!$D$14),AS73-Uzman_D!$D$14)*0.1+IF(AT73-Uzman_D!$E$14&lt;0,-(AT73-Uzman_D!$E$14),AT73-Uzman_D!$E$14)*0.1+IF(AU73-Uzman_D!$F$14&lt;0,-(AU73-Uzman_D!$F$14),AU73-Uzman_D!$F$14)*0.1+IF(AV73-Uzman_D!$G$14&lt;0,-(AV73-Uzman_D!$G$14),AV73-Uzman_D!$G$14)*0.1+IF(AW73-Uzman_D!$H$14&lt;0,-(AW73-Uzman_D!$H$14),AW73-Uzman_D!$H$14)*0.1+IF(AX73-Uzman_D!$I$14&lt;0,-(AX73-Uzman_D!$I$14),AX73-Uzman_D!$I$14)*0.1+IF(AY73-Uzman_D!$J$14&lt;0,-(AY73-Uzman_D!$J$14),AY73-Uzman_D!$J$14)*0.1)+IF(ROUND((IF(BA73-Uzman_D!$L$14&lt;0,-(BA73-Uzman_D!$L$14),BA73-Uzman_D!$L$14)*2),0)/2=IF(BA73-Uzman_D!$L$14&lt;0,-(BA73-Uzman_D!$L$14),BA73-Uzman_D!$L$14),(ROUND((IF(BA73-Uzman_D!$L$14&lt;0,-(BA73-Uzman_D!$L$14),BA73-Uzman_D!$L$14)*2),0)/1*0.1),0)+IF(BB73-Uzman_D!$M$14&lt;0,-(BB73-Uzman_D!$M$14),BB73-Uzman_D!$M$14)*1)</f>
        <v>-0.30000000000000027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3"/>
      <c r="BO73" s="73"/>
      <c r="BP73" s="71">
        <f>1-(SUM(IF(BD73-Uzman_D!$B$15&lt;0,-(BD73-Uzman_D!$B$15),BD73-Uzman_D!$B$15)*0.1+IF(BE73-Uzman_D!$C$15&lt;0,-(BE73-Uzman_D!$C$15),BE73-Uzman_D!$C$15)*0.1+IF(BF73-Uzman_D!$D$15&lt;0,-(BF73-Uzman_D!$D$15),BF73-Uzman_D!$D$15)*0.1+IF(BG73-Uzman_D!$E$15&lt;0,-(BG73-Uzman_D!$E$15),BG73-Uzman_D!$E$15)*0.1+IF(BH73-Uzman_D!$F$15&lt;0,-(BH73-Uzman_D!$F$15),BH73-Uzman_D!$F$15)*0.1+IF(BI73-Uzman_D!$G$15&lt;0,-(BI73-Uzman_D!$G$15),BI73-Uzman_D!$G$15)*0.1+IF(BJ73-Uzman_D!$H$15&lt;0,-(BJ73-Uzman_D!$H$15),BJ73-Uzman_D!$H$15)*0.1+IF(BK73-Uzman_D!$I$15&lt;0,-(BK73-Uzman_D!$I$15),BK73-Uzman_D!$I$15)*0.1+IF(BL73-Uzman_D!$J$15&lt;0,-(BL73-Uzman_D!$J$15),BL73-Uzman_D!$J$15)*0.1)+IF(ROUND((IF(BN73-Uzman_D!$L$15&lt;0,-(BN73-Uzman_D!$L$15),BN73-Uzman_D!$L$15)*2),0)/2=IF(BN73-Uzman_D!$L$15&lt;0,-(BN73-Uzman_D!$L$15),BN73-Uzman_D!$L$15),(ROUND((IF(BN73-Uzman_D!$L$15&lt;0,-(BN73-Uzman_D!$L$15),BN73-Uzman_D!$L$15)*2),0)/1*0.1),0)+IF(BO73-Uzman_D!$M$15&lt;0,-(BO73-Uzman_D!$M$15),BO73-Uzman_D!$M$15)*1)</f>
        <v>-0.50000000000000022</v>
      </c>
      <c r="BQ73" s="72">
        <f t="shared" si="2"/>
        <v>-0.54</v>
      </c>
    </row>
    <row r="74" spans="1:69" ht="15" customHeight="1" x14ac:dyDescent="0.45">
      <c r="A74" s="54">
        <v>71</v>
      </c>
      <c r="B74" s="166">
        <f>Hakemler!B74</f>
        <v>0</v>
      </c>
      <c r="C74" s="166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3"/>
      <c r="O74" s="73"/>
      <c r="P74" s="71">
        <f>1-(SUM(IF(D74-Uzman_D!$B$11&lt;0,-(D74-Uzman_D!$B$11),D74-Uzman_D!$B$11)*0.1+IF(E74-Uzman_D!$C$11&lt;0,-(E74-Uzman_D!$C$11),E74-Uzman_D!$C$11)*0.1+IF(F74-Uzman_D!$D$11&lt;0,-(F74-Uzman_D!$D$11),F74-Uzman_D!$D$11)*0.1+IF(G74-Uzman_D!$E$11&lt;0,-(G74-Uzman_D!$E$11),G74-Uzman_D!$E$11)*0.1+IF(H74-Uzman_D!$F$11&lt;0,-(H74-Uzman_D!$F$11),H74-Uzman_D!$F$11)*0.1+IF(I74-Uzman_D!$G$11&lt;0,-(I74-Uzman_D!$G$11),I74-Uzman_D!$G$11)*0.1+IF(J74-Uzman_D!$H$11&lt;0,-(J74-Uzman_D!$H$11),J74-Uzman_D!$H$11)*0.1+IF(K74-Uzman_D!$I$11&lt;0,-(K74-Uzman_D!$I$11),K74-Uzman_D!$I$11)*0.1+IF(L74-Uzman_D!$J$11&lt;0,-(L74-Uzman_D!$J$11),L74-Uzman_D!$J$11)*0.1)+IF(ROUND((IF(N74-Uzman_D!$L$11&lt;0,-(N74-Uzman_D!$L$11),N74-Uzman_D!$L$11)*2),0)/2=IF(N74-Uzman_D!$L$11&lt;0,-(N74-Uzman_D!$L$11),N74-Uzman_D!$L$11),(ROUND((IF(N74-Uzman_D!$L$11&lt;0,-(N74-Uzman_D!$L$11),N74-Uzman_D!$L$11)*2),0)/1*0.1),0)+IF(O74-Uzman_D!$M$11&lt;0,-(O74-Uzman_D!$M$11),O74-Uzman_D!$M$11)*1)</f>
        <v>-0.90000000000000013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3"/>
      <c r="AB74" s="73"/>
      <c r="AC74" s="71">
        <f>1-(SUM(IF(Q74-Uzman_D!$B$12&lt;0,-(Q74-Uzman_D!$B$12),Q74-Uzman_D!$B$12)*0.1+IF(R74-Uzman_D!$C$12&lt;0,-(R74-Uzman_D!$C$12),R74-Uzman_D!$C$12)*0.1+IF(S74-Uzman_D!$D$12&lt;0,-(S74-Uzman_D!$D$12),S74-Uzman_D!$D$12)*0.1+IF(T74-Uzman_D!$E$12&lt;0,-(T74-Uzman_D!$E$12),T74-Uzman_D!$E$12)*0.1+IF(U74-Uzman_D!$F$12&lt;0,-(U74-Uzman_D!$F$12),U74-Uzman_D!$F$12)*0.1+IF(V74-Uzman_D!$G$12&lt;0,-(V74-Uzman_D!$G$12),V74-Uzman_D!$G$12)*0.1+IF(W74-Uzman_D!$H$12&lt;0,-(W74-Uzman_D!$H$12),W74-Uzman_D!$H$12)*0.1+IF(X74-Uzman_D!$I$12&lt;0,-(X74-Uzman_D!$I$12),X74-Uzman_D!$I$12)*0.1+IF(Y74-Uzman_D!$J$12&lt;0,-(Y74-Uzman_D!$J$12),Y74-Uzman_D!$J$12)*0.1)+IF(ROUND((IF(AA74-Uzman_D!$L$12&lt;0,-(AA74-Uzman_D!$L$12),AA74-Uzman_D!$L$12)*2),0)/2=IF(AA74-Uzman_D!$L$12&lt;0,-(AA74-Uzman_D!$L$12),AA74-Uzman_D!$L$12),(ROUND((IF(AA74-Uzman_D!$L$12&lt;0,-(AA74-Uzman_D!$L$12),AA74-Uzman_D!$L$12)*2),0)/1*0.1),0)+IF(AB74-Uzman_D!$M$12&lt;0,-(AB74-Uzman_D!$M$12),AB74-Uzman_D!$M$12)*1)</f>
        <v>-0.7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3"/>
      <c r="AO74" s="73"/>
      <c r="AP74" s="71">
        <f>1-(SUM(IF(AD74-Uzman_D!$B$13&lt;0,-(AD74-Uzman_D!$B$13),AD74-Uzman_D!$B$13)*0.1+IF(AE74-Uzman_D!$C$13&lt;0,-(AE74-Uzman_D!$C$13),AE74-Uzman_D!$C$13)*0.1+IF(AF74-Uzman_D!$D$13&lt;0,-(AF74-Uzman_D!$D$13),AF74-Uzman_D!$D$13)*0.1+IF(AG74-Uzman_D!$E$13&lt;0,-(AG74-Uzman_D!$E$13),AG74-Uzman_D!$E$13)*0.1+IF(AH74-Uzman_D!$F$13&lt;0,-(AH74-Uzman_D!$F$13),AH74-Uzman_D!$F$13)*0.1+IF(AI74-Uzman_D!$G$13&lt;0,-(AI74-Uzman_D!$G$13),AI74-Uzman_D!$G$13)*0.1+IF(AJ74-Uzman_D!$H$13&lt;0,-(AJ74-Uzman_D!$H$13),AJ74-Uzman_D!$H$13)*0.1+IF(AK74-Uzman_D!$I$13&lt;0,-(AK74-Uzman_D!$I$13),AK74-Uzman_D!$I$13)*0.1+IF(AL74-Uzman_D!$J$13&lt;0,-(AL74-Uzman_D!$J$13),AL74-Uzman_D!$J$13)*0.1)+IF(ROUND((IF(AN74-Uzman_D!$L$13&lt;0,-(AN74-Uzman_D!$L$13),AN74-Uzman_D!$L$13)*2),0)/2=IF(AN74-Uzman_D!$L$13&lt;0,-(AN74-Uzman_D!$L$13),AN74-Uzman_D!$L$13),(ROUND((IF(AN74-Uzman_D!$L$13&lt;0,-(AN74-Uzman_D!$L$13),AN74-Uzman_D!$L$13)*2),0)/1*0.1),0)+IF(AO74-Uzman_D!$M$13&lt;0,-(AO74-Uzman_D!$M$13),AO74-Uzman_D!$M$13)*1)</f>
        <v>-0.30000000000000004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3"/>
      <c r="BB74" s="73"/>
      <c r="BC74" s="71">
        <f>1-(SUM(IF(AQ74-Uzman_D!$B$14&lt;0,-(AQ74-Uzman_D!$B$14),AQ74-Uzman_D!$B$14)*0.1+IF(AR74-Uzman_D!$C$14&lt;0,-(AR74-Uzman_D!$C$14),AR74-Uzman_D!$C$14)*0.1+IF(AS74-Uzman_D!$D$14&lt;0,-(AS74-Uzman_D!$D$14),AS74-Uzman_D!$D$14)*0.1+IF(AT74-Uzman_D!$E$14&lt;0,-(AT74-Uzman_D!$E$14),AT74-Uzman_D!$E$14)*0.1+IF(AU74-Uzman_D!$F$14&lt;0,-(AU74-Uzman_D!$F$14),AU74-Uzman_D!$F$14)*0.1+IF(AV74-Uzman_D!$G$14&lt;0,-(AV74-Uzman_D!$G$14),AV74-Uzman_D!$G$14)*0.1+IF(AW74-Uzman_D!$H$14&lt;0,-(AW74-Uzman_D!$H$14),AW74-Uzman_D!$H$14)*0.1+IF(AX74-Uzman_D!$I$14&lt;0,-(AX74-Uzman_D!$I$14),AX74-Uzman_D!$I$14)*0.1+IF(AY74-Uzman_D!$J$14&lt;0,-(AY74-Uzman_D!$J$14),AY74-Uzman_D!$J$14)*0.1)+IF(ROUND((IF(BA74-Uzman_D!$L$14&lt;0,-(BA74-Uzman_D!$L$14),BA74-Uzman_D!$L$14)*2),0)/2=IF(BA74-Uzman_D!$L$14&lt;0,-(BA74-Uzman_D!$L$14),BA74-Uzman_D!$L$14),(ROUND((IF(BA74-Uzman_D!$L$14&lt;0,-(BA74-Uzman_D!$L$14),BA74-Uzman_D!$L$14)*2),0)/1*0.1),0)+IF(BB74-Uzman_D!$M$14&lt;0,-(BB74-Uzman_D!$M$14),BB74-Uzman_D!$M$14)*1)</f>
        <v>-0.30000000000000027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3"/>
      <c r="BO74" s="73"/>
      <c r="BP74" s="71">
        <f>1-(SUM(IF(BD74-Uzman_D!$B$15&lt;0,-(BD74-Uzman_D!$B$15),BD74-Uzman_D!$B$15)*0.1+IF(BE74-Uzman_D!$C$15&lt;0,-(BE74-Uzman_D!$C$15),BE74-Uzman_D!$C$15)*0.1+IF(BF74-Uzman_D!$D$15&lt;0,-(BF74-Uzman_D!$D$15),BF74-Uzman_D!$D$15)*0.1+IF(BG74-Uzman_D!$E$15&lt;0,-(BG74-Uzman_D!$E$15),BG74-Uzman_D!$E$15)*0.1+IF(BH74-Uzman_D!$F$15&lt;0,-(BH74-Uzman_D!$F$15),BH74-Uzman_D!$F$15)*0.1+IF(BI74-Uzman_D!$G$15&lt;0,-(BI74-Uzman_D!$G$15),BI74-Uzman_D!$G$15)*0.1+IF(BJ74-Uzman_D!$H$15&lt;0,-(BJ74-Uzman_D!$H$15),BJ74-Uzman_D!$H$15)*0.1+IF(BK74-Uzman_D!$I$15&lt;0,-(BK74-Uzman_D!$I$15),BK74-Uzman_D!$I$15)*0.1+IF(BL74-Uzman_D!$J$15&lt;0,-(BL74-Uzman_D!$J$15),BL74-Uzman_D!$J$15)*0.1)+IF(ROUND((IF(BN74-Uzman_D!$L$15&lt;0,-(BN74-Uzman_D!$L$15),BN74-Uzman_D!$L$15)*2),0)/2=IF(BN74-Uzman_D!$L$15&lt;0,-(BN74-Uzman_D!$L$15),BN74-Uzman_D!$L$15),(ROUND((IF(BN74-Uzman_D!$L$15&lt;0,-(BN74-Uzman_D!$L$15),BN74-Uzman_D!$L$15)*2),0)/1*0.1),0)+IF(BO74-Uzman_D!$M$15&lt;0,-(BO74-Uzman_D!$M$15),BO74-Uzman_D!$M$15)*1)</f>
        <v>-0.50000000000000022</v>
      </c>
      <c r="BQ74" s="72">
        <f t="shared" si="2"/>
        <v>-0.54</v>
      </c>
    </row>
    <row r="75" spans="1:69" ht="15" customHeight="1" x14ac:dyDescent="0.45">
      <c r="A75" s="54">
        <v>72</v>
      </c>
      <c r="B75" s="166">
        <f>Hakemler!B75</f>
        <v>0</v>
      </c>
      <c r="C75" s="166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3"/>
      <c r="O75" s="73"/>
      <c r="P75" s="71">
        <f>1-(SUM(IF(D75-Uzman_D!$B$11&lt;0,-(D75-Uzman_D!$B$11),D75-Uzman_D!$B$11)*0.1+IF(E75-Uzman_D!$C$11&lt;0,-(E75-Uzman_D!$C$11),E75-Uzman_D!$C$11)*0.1+IF(F75-Uzman_D!$D$11&lt;0,-(F75-Uzman_D!$D$11),F75-Uzman_D!$D$11)*0.1+IF(G75-Uzman_D!$E$11&lt;0,-(G75-Uzman_D!$E$11),G75-Uzman_D!$E$11)*0.1+IF(H75-Uzman_D!$F$11&lt;0,-(H75-Uzman_D!$F$11),H75-Uzman_D!$F$11)*0.1+IF(I75-Uzman_D!$G$11&lt;0,-(I75-Uzman_D!$G$11),I75-Uzman_D!$G$11)*0.1+IF(J75-Uzman_D!$H$11&lt;0,-(J75-Uzman_D!$H$11),J75-Uzman_D!$H$11)*0.1+IF(K75-Uzman_D!$I$11&lt;0,-(K75-Uzman_D!$I$11),K75-Uzman_D!$I$11)*0.1+IF(L75-Uzman_D!$J$11&lt;0,-(L75-Uzman_D!$J$11),L75-Uzman_D!$J$11)*0.1)+IF(ROUND((IF(N75-Uzman_D!$L$11&lt;0,-(N75-Uzman_D!$L$11),N75-Uzman_D!$L$11)*2),0)/2=IF(N75-Uzman_D!$L$11&lt;0,-(N75-Uzman_D!$L$11),N75-Uzman_D!$L$11),(ROUND((IF(N75-Uzman_D!$L$11&lt;0,-(N75-Uzman_D!$L$11),N75-Uzman_D!$L$11)*2),0)/1*0.1),0)+IF(O75-Uzman_D!$M$11&lt;0,-(O75-Uzman_D!$M$11),O75-Uzman_D!$M$11)*1)</f>
        <v>-0.90000000000000013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3"/>
      <c r="AB75" s="73"/>
      <c r="AC75" s="71">
        <f>1-(SUM(IF(Q75-Uzman_D!$B$12&lt;0,-(Q75-Uzman_D!$B$12),Q75-Uzman_D!$B$12)*0.1+IF(R75-Uzman_D!$C$12&lt;0,-(R75-Uzman_D!$C$12),R75-Uzman_D!$C$12)*0.1+IF(S75-Uzman_D!$D$12&lt;0,-(S75-Uzman_D!$D$12),S75-Uzman_D!$D$12)*0.1+IF(T75-Uzman_D!$E$12&lt;0,-(T75-Uzman_D!$E$12),T75-Uzman_D!$E$12)*0.1+IF(U75-Uzman_D!$F$12&lt;0,-(U75-Uzman_D!$F$12),U75-Uzman_D!$F$12)*0.1+IF(V75-Uzman_D!$G$12&lt;0,-(V75-Uzman_D!$G$12),V75-Uzman_D!$G$12)*0.1+IF(W75-Uzman_D!$H$12&lt;0,-(W75-Uzman_D!$H$12),W75-Uzman_D!$H$12)*0.1+IF(X75-Uzman_D!$I$12&lt;0,-(X75-Uzman_D!$I$12),X75-Uzman_D!$I$12)*0.1+IF(Y75-Uzman_D!$J$12&lt;0,-(Y75-Uzman_D!$J$12),Y75-Uzman_D!$J$12)*0.1)+IF(ROUND((IF(AA75-Uzman_D!$L$12&lt;0,-(AA75-Uzman_D!$L$12),AA75-Uzman_D!$L$12)*2),0)/2=IF(AA75-Uzman_D!$L$12&lt;0,-(AA75-Uzman_D!$L$12),AA75-Uzman_D!$L$12),(ROUND((IF(AA75-Uzman_D!$L$12&lt;0,-(AA75-Uzman_D!$L$12),AA75-Uzman_D!$L$12)*2),0)/1*0.1),0)+IF(AB75-Uzman_D!$M$12&lt;0,-(AB75-Uzman_D!$M$12),AB75-Uzman_D!$M$12)*1)</f>
        <v>-0.7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3"/>
      <c r="AO75" s="73"/>
      <c r="AP75" s="71">
        <f>1-(SUM(IF(AD75-Uzman_D!$B$13&lt;0,-(AD75-Uzman_D!$B$13),AD75-Uzman_D!$B$13)*0.1+IF(AE75-Uzman_D!$C$13&lt;0,-(AE75-Uzman_D!$C$13),AE75-Uzman_D!$C$13)*0.1+IF(AF75-Uzman_D!$D$13&lt;0,-(AF75-Uzman_D!$D$13),AF75-Uzman_D!$D$13)*0.1+IF(AG75-Uzman_D!$E$13&lt;0,-(AG75-Uzman_D!$E$13),AG75-Uzman_D!$E$13)*0.1+IF(AH75-Uzman_D!$F$13&lt;0,-(AH75-Uzman_D!$F$13),AH75-Uzman_D!$F$13)*0.1+IF(AI75-Uzman_D!$G$13&lt;0,-(AI75-Uzman_D!$G$13),AI75-Uzman_D!$G$13)*0.1+IF(AJ75-Uzman_D!$H$13&lt;0,-(AJ75-Uzman_D!$H$13),AJ75-Uzman_D!$H$13)*0.1+IF(AK75-Uzman_D!$I$13&lt;0,-(AK75-Uzman_D!$I$13),AK75-Uzman_D!$I$13)*0.1+IF(AL75-Uzman_D!$J$13&lt;0,-(AL75-Uzman_D!$J$13),AL75-Uzman_D!$J$13)*0.1)+IF(ROUND((IF(AN75-Uzman_D!$L$13&lt;0,-(AN75-Uzman_D!$L$13),AN75-Uzman_D!$L$13)*2),0)/2=IF(AN75-Uzman_D!$L$13&lt;0,-(AN75-Uzman_D!$L$13),AN75-Uzman_D!$L$13),(ROUND((IF(AN75-Uzman_D!$L$13&lt;0,-(AN75-Uzman_D!$L$13),AN75-Uzman_D!$L$13)*2),0)/1*0.1),0)+IF(AO75-Uzman_D!$M$13&lt;0,-(AO75-Uzman_D!$M$13),AO75-Uzman_D!$M$13)*1)</f>
        <v>-0.30000000000000004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3"/>
      <c r="BB75" s="73"/>
      <c r="BC75" s="71">
        <f>1-(SUM(IF(AQ75-Uzman_D!$B$14&lt;0,-(AQ75-Uzman_D!$B$14),AQ75-Uzman_D!$B$14)*0.1+IF(AR75-Uzman_D!$C$14&lt;0,-(AR75-Uzman_D!$C$14),AR75-Uzman_D!$C$14)*0.1+IF(AS75-Uzman_D!$D$14&lt;0,-(AS75-Uzman_D!$D$14),AS75-Uzman_D!$D$14)*0.1+IF(AT75-Uzman_D!$E$14&lt;0,-(AT75-Uzman_D!$E$14),AT75-Uzman_D!$E$14)*0.1+IF(AU75-Uzman_D!$F$14&lt;0,-(AU75-Uzman_D!$F$14),AU75-Uzman_D!$F$14)*0.1+IF(AV75-Uzman_D!$G$14&lt;0,-(AV75-Uzman_D!$G$14),AV75-Uzman_D!$G$14)*0.1+IF(AW75-Uzman_D!$H$14&lt;0,-(AW75-Uzman_D!$H$14),AW75-Uzman_D!$H$14)*0.1+IF(AX75-Uzman_D!$I$14&lt;0,-(AX75-Uzman_D!$I$14),AX75-Uzman_D!$I$14)*0.1+IF(AY75-Uzman_D!$J$14&lt;0,-(AY75-Uzman_D!$J$14),AY75-Uzman_D!$J$14)*0.1)+IF(ROUND((IF(BA75-Uzman_D!$L$14&lt;0,-(BA75-Uzman_D!$L$14),BA75-Uzman_D!$L$14)*2),0)/2=IF(BA75-Uzman_D!$L$14&lt;0,-(BA75-Uzman_D!$L$14),BA75-Uzman_D!$L$14),(ROUND((IF(BA75-Uzman_D!$L$14&lt;0,-(BA75-Uzman_D!$L$14),BA75-Uzman_D!$L$14)*2),0)/1*0.1),0)+IF(BB75-Uzman_D!$M$14&lt;0,-(BB75-Uzman_D!$M$14),BB75-Uzman_D!$M$14)*1)</f>
        <v>-0.30000000000000027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3"/>
      <c r="BO75" s="73"/>
      <c r="BP75" s="71">
        <f>1-(SUM(IF(BD75-Uzman_D!$B$15&lt;0,-(BD75-Uzman_D!$B$15),BD75-Uzman_D!$B$15)*0.1+IF(BE75-Uzman_D!$C$15&lt;0,-(BE75-Uzman_D!$C$15),BE75-Uzman_D!$C$15)*0.1+IF(BF75-Uzman_D!$D$15&lt;0,-(BF75-Uzman_D!$D$15),BF75-Uzman_D!$D$15)*0.1+IF(BG75-Uzman_D!$E$15&lt;0,-(BG75-Uzman_D!$E$15),BG75-Uzman_D!$E$15)*0.1+IF(BH75-Uzman_D!$F$15&lt;0,-(BH75-Uzman_D!$F$15),BH75-Uzman_D!$F$15)*0.1+IF(BI75-Uzman_D!$G$15&lt;0,-(BI75-Uzman_D!$G$15),BI75-Uzman_D!$G$15)*0.1+IF(BJ75-Uzman_D!$H$15&lt;0,-(BJ75-Uzman_D!$H$15),BJ75-Uzman_D!$H$15)*0.1+IF(BK75-Uzman_D!$I$15&lt;0,-(BK75-Uzman_D!$I$15),BK75-Uzman_D!$I$15)*0.1+IF(BL75-Uzman_D!$J$15&lt;0,-(BL75-Uzman_D!$J$15),BL75-Uzman_D!$J$15)*0.1)+IF(ROUND((IF(BN75-Uzman_D!$L$15&lt;0,-(BN75-Uzman_D!$L$15),BN75-Uzman_D!$L$15)*2),0)/2=IF(BN75-Uzman_D!$L$15&lt;0,-(BN75-Uzman_D!$L$15),BN75-Uzman_D!$L$15),(ROUND((IF(BN75-Uzman_D!$L$15&lt;0,-(BN75-Uzman_D!$L$15),BN75-Uzman_D!$L$15)*2),0)/1*0.1),0)+IF(BO75-Uzman_D!$M$15&lt;0,-(BO75-Uzman_D!$M$15),BO75-Uzman_D!$M$15)*1)</f>
        <v>-0.50000000000000022</v>
      </c>
      <c r="BQ75" s="72">
        <f t="shared" si="2"/>
        <v>-0.54</v>
      </c>
    </row>
    <row r="76" spans="1:69" ht="15" customHeight="1" x14ac:dyDescent="0.45">
      <c r="A76" s="54">
        <v>73</v>
      </c>
      <c r="B76" s="166">
        <f>Hakemler!B76</f>
        <v>0</v>
      </c>
      <c r="C76" s="166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3"/>
      <c r="O76" s="73"/>
      <c r="P76" s="71">
        <f>1-(SUM(IF(D76-Uzman_D!$B$11&lt;0,-(D76-Uzman_D!$B$11),D76-Uzman_D!$B$11)*0.1+IF(E76-Uzman_D!$C$11&lt;0,-(E76-Uzman_D!$C$11),E76-Uzman_D!$C$11)*0.1+IF(F76-Uzman_D!$D$11&lt;0,-(F76-Uzman_D!$D$11),F76-Uzman_D!$D$11)*0.1+IF(G76-Uzman_D!$E$11&lt;0,-(G76-Uzman_D!$E$11),G76-Uzman_D!$E$11)*0.1+IF(H76-Uzman_D!$F$11&lt;0,-(H76-Uzman_D!$F$11),H76-Uzman_D!$F$11)*0.1+IF(I76-Uzman_D!$G$11&lt;0,-(I76-Uzman_D!$G$11),I76-Uzman_D!$G$11)*0.1+IF(J76-Uzman_D!$H$11&lt;0,-(J76-Uzman_D!$H$11),J76-Uzman_D!$H$11)*0.1+IF(K76-Uzman_D!$I$11&lt;0,-(K76-Uzman_D!$I$11),K76-Uzman_D!$I$11)*0.1+IF(L76-Uzman_D!$J$11&lt;0,-(L76-Uzman_D!$J$11),L76-Uzman_D!$J$11)*0.1)+IF(ROUND((IF(N76-Uzman_D!$L$11&lt;0,-(N76-Uzman_D!$L$11),N76-Uzman_D!$L$11)*2),0)/2=IF(N76-Uzman_D!$L$11&lt;0,-(N76-Uzman_D!$L$11),N76-Uzman_D!$L$11),(ROUND((IF(N76-Uzman_D!$L$11&lt;0,-(N76-Uzman_D!$L$11),N76-Uzman_D!$L$11)*2),0)/1*0.1),0)+IF(O76-Uzman_D!$M$11&lt;0,-(O76-Uzman_D!$M$11),O76-Uzman_D!$M$11)*1)</f>
        <v>-0.90000000000000013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3"/>
      <c r="AB76" s="73"/>
      <c r="AC76" s="71">
        <f>1-(SUM(IF(Q76-Uzman_D!$B$12&lt;0,-(Q76-Uzman_D!$B$12),Q76-Uzman_D!$B$12)*0.1+IF(R76-Uzman_D!$C$12&lt;0,-(R76-Uzman_D!$C$12),R76-Uzman_D!$C$12)*0.1+IF(S76-Uzman_D!$D$12&lt;0,-(S76-Uzman_D!$D$12),S76-Uzman_D!$D$12)*0.1+IF(T76-Uzman_D!$E$12&lt;0,-(T76-Uzman_D!$E$12),T76-Uzman_D!$E$12)*0.1+IF(U76-Uzman_D!$F$12&lt;0,-(U76-Uzman_D!$F$12),U76-Uzman_D!$F$12)*0.1+IF(V76-Uzman_D!$G$12&lt;0,-(V76-Uzman_D!$G$12),V76-Uzman_D!$G$12)*0.1+IF(W76-Uzman_D!$H$12&lt;0,-(W76-Uzman_D!$H$12),W76-Uzman_D!$H$12)*0.1+IF(X76-Uzman_D!$I$12&lt;0,-(X76-Uzman_D!$I$12),X76-Uzman_D!$I$12)*0.1+IF(Y76-Uzman_D!$J$12&lt;0,-(Y76-Uzman_D!$J$12),Y76-Uzman_D!$J$12)*0.1)+IF(ROUND((IF(AA76-Uzman_D!$L$12&lt;0,-(AA76-Uzman_D!$L$12),AA76-Uzman_D!$L$12)*2),0)/2=IF(AA76-Uzman_D!$L$12&lt;0,-(AA76-Uzman_D!$L$12),AA76-Uzman_D!$L$12),(ROUND((IF(AA76-Uzman_D!$L$12&lt;0,-(AA76-Uzman_D!$L$12),AA76-Uzman_D!$L$12)*2),0)/1*0.1),0)+IF(AB76-Uzman_D!$M$12&lt;0,-(AB76-Uzman_D!$M$12),AB76-Uzman_D!$M$12)*1)</f>
        <v>-0.7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3"/>
      <c r="AO76" s="73"/>
      <c r="AP76" s="71">
        <f>1-(SUM(IF(AD76-Uzman_D!$B$13&lt;0,-(AD76-Uzman_D!$B$13),AD76-Uzman_D!$B$13)*0.1+IF(AE76-Uzman_D!$C$13&lt;0,-(AE76-Uzman_D!$C$13),AE76-Uzman_D!$C$13)*0.1+IF(AF76-Uzman_D!$D$13&lt;0,-(AF76-Uzman_D!$D$13),AF76-Uzman_D!$D$13)*0.1+IF(AG76-Uzman_D!$E$13&lt;0,-(AG76-Uzman_D!$E$13),AG76-Uzman_D!$E$13)*0.1+IF(AH76-Uzman_D!$F$13&lt;0,-(AH76-Uzman_D!$F$13),AH76-Uzman_D!$F$13)*0.1+IF(AI76-Uzman_D!$G$13&lt;0,-(AI76-Uzman_D!$G$13),AI76-Uzman_D!$G$13)*0.1+IF(AJ76-Uzman_D!$H$13&lt;0,-(AJ76-Uzman_D!$H$13),AJ76-Uzman_D!$H$13)*0.1+IF(AK76-Uzman_D!$I$13&lt;0,-(AK76-Uzman_D!$I$13),AK76-Uzman_D!$I$13)*0.1+IF(AL76-Uzman_D!$J$13&lt;0,-(AL76-Uzman_D!$J$13),AL76-Uzman_D!$J$13)*0.1)+IF(ROUND((IF(AN76-Uzman_D!$L$13&lt;0,-(AN76-Uzman_D!$L$13),AN76-Uzman_D!$L$13)*2),0)/2=IF(AN76-Uzman_D!$L$13&lt;0,-(AN76-Uzman_D!$L$13),AN76-Uzman_D!$L$13),(ROUND((IF(AN76-Uzman_D!$L$13&lt;0,-(AN76-Uzman_D!$L$13),AN76-Uzman_D!$L$13)*2),0)/1*0.1),0)+IF(AO76-Uzman_D!$M$13&lt;0,-(AO76-Uzman_D!$M$13),AO76-Uzman_D!$M$13)*1)</f>
        <v>-0.30000000000000004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3"/>
      <c r="BB76" s="73"/>
      <c r="BC76" s="71">
        <f>1-(SUM(IF(AQ76-Uzman_D!$B$14&lt;0,-(AQ76-Uzman_D!$B$14),AQ76-Uzman_D!$B$14)*0.1+IF(AR76-Uzman_D!$C$14&lt;0,-(AR76-Uzman_D!$C$14),AR76-Uzman_D!$C$14)*0.1+IF(AS76-Uzman_D!$D$14&lt;0,-(AS76-Uzman_D!$D$14),AS76-Uzman_D!$D$14)*0.1+IF(AT76-Uzman_D!$E$14&lt;0,-(AT76-Uzman_D!$E$14),AT76-Uzman_D!$E$14)*0.1+IF(AU76-Uzman_D!$F$14&lt;0,-(AU76-Uzman_D!$F$14),AU76-Uzman_D!$F$14)*0.1+IF(AV76-Uzman_D!$G$14&lt;0,-(AV76-Uzman_D!$G$14),AV76-Uzman_D!$G$14)*0.1+IF(AW76-Uzman_D!$H$14&lt;0,-(AW76-Uzman_D!$H$14),AW76-Uzman_D!$H$14)*0.1+IF(AX76-Uzman_D!$I$14&lt;0,-(AX76-Uzman_D!$I$14),AX76-Uzman_D!$I$14)*0.1+IF(AY76-Uzman_D!$J$14&lt;0,-(AY76-Uzman_D!$J$14),AY76-Uzman_D!$J$14)*0.1)+IF(ROUND((IF(BA76-Uzman_D!$L$14&lt;0,-(BA76-Uzman_D!$L$14),BA76-Uzman_D!$L$14)*2),0)/2=IF(BA76-Uzman_D!$L$14&lt;0,-(BA76-Uzman_D!$L$14),BA76-Uzman_D!$L$14),(ROUND((IF(BA76-Uzman_D!$L$14&lt;0,-(BA76-Uzman_D!$L$14),BA76-Uzman_D!$L$14)*2),0)/1*0.1),0)+IF(BB76-Uzman_D!$M$14&lt;0,-(BB76-Uzman_D!$M$14),BB76-Uzman_D!$M$14)*1)</f>
        <v>-0.30000000000000027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3"/>
      <c r="BO76" s="73"/>
      <c r="BP76" s="71">
        <f>1-(SUM(IF(BD76-Uzman_D!$B$15&lt;0,-(BD76-Uzman_D!$B$15),BD76-Uzman_D!$B$15)*0.1+IF(BE76-Uzman_D!$C$15&lt;0,-(BE76-Uzman_D!$C$15),BE76-Uzman_D!$C$15)*0.1+IF(BF76-Uzman_D!$D$15&lt;0,-(BF76-Uzman_D!$D$15),BF76-Uzman_D!$D$15)*0.1+IF(BG76-Uzman_D!$E$15&lt;0,-(BG76-Uzman_D!$E$15),BG76-Uzman_D!$E$15)*0.1+IF(BH76-Uzman_D!$F$15&lt;0,-(BH76-Uzman_D!$F$15),BH76-Uzman_D!$F$15)*0.1+IF(BI76-Uzman_D!$G$15&lt;0,-(BI76-Uzman_D!$G$15),BI76-Uzman_D!$G$15)*0.1+IF(BJ76-Uzman_D!$H$15&lt;0,-(BJ76-Uzman_D!$H$15),BJ76-Uzman_D!$H$15)*0.1+IF(BK76-Uzman_D!$I$15&lt;0,-(BK76-Uzman_D!$I$15),BK76-Uzman_D!$I$15)*0.1+IF(BL76-Uzman_D!$J$15&lt;0,-(BL76-Uzman_D!$J$15),BL76-Uzman_D!$J$15)*0.1)+IF(ROUND((IF(BN76-Uzman_D!$L$15&lt;0,-(BN76-Uzman_D!$L$15),BN76-Uzman_D!$L$15)*2),0)/2=IF(BN76-Uzman_D!$L$15&lt;0,-(BN76-Uzman_D!$L$15),BN76-Uzman_D!$L$15),(ROUND((IF(BN76-Uzman_D!$L$15&lt;0,-(BN76-Uzman_D!$L$15),BN76-Uzman_D!$L$15)*2),0)/1*0.1),0)+IF(BO76-Uzman_D!$M$15&lt;0,-(BO76-Uzman_D!$M$15),BO76-Uzman_D!$M$15)*1)</f>
        <v>-0.50000000000000022</v>
      </c>
      <c r="BQ76" s="72">
        <f t="shared" si="2"/>
        <v>-0.54</v>
      </c>
    </row>
    <row r="77" spans="1:69" ht="15" customHeight="1" x14ac:dyDescent="0.45">
      <c r="A77" s="54">
        <v>74</v>
      </c>
      <c r="B77" s="166">
        <f>Hakemler!B77</f>
        <v>0</v>
      </c>
      <c r="C77" s="166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3"/>
      <c r="O77" s="73"/>
      <c r="P77" s="71">
        <f>1-(SUM(IF(D77-Uzman_D!$B$11&lt;0,-(D77-Uzman_D!$B$11),D77-Uzman_D!$B$11)*0.1+IF(E77-Uzman_D!$C$11&lt;0,-(E77-Uzman_D!$C$11),E77-Uzman_D!$C$11)*0.1+IF(F77-Uzman_D!$D$11&lt;0,-(F77-Uzman_D!$D$11),F77-Uzman_D!$D$11)*0.1+IF(G77-Uzman_D!$E$11&lt;0,-(G77-Uzman_D!$E$11),G77-Uzman_D!$E$11)*0.1+IF(H77-Uzman_D!$F$11&lt;0,-(H77-Uzman_D!$F$11),H77-Uzman_D!$F$11)*0.1+IF(I77-Uzman_D!$G$11&lt;0,-(I77-Uzman_D!$G$11),I77-Uzman_D!$G$11)*0.1+IF(J77-Uzman_D!$H$11&lt;0,-(J77-Uzman_D!$H$11),J77-Uzman_D!$H$11)*0.1+IF(K77-Uzman_D!$I$11&lt;0,-(K77-Uzman_D!$I$11),K77-Uzman_D!$I$11)*0.1+IF(L77-Uzman_D!$J$11&lt;0,-(L77-Uzman_D!$J$11),L77-Uzman_D!$J$11)*0.1)+IF(ROUND((IF(N77-Uzman_D!$L$11&lt;0,-(N77-Uzman_D!$L$11),N77-Uzman_D!$L$11)*2),0)/2=IF(N77-Uzman_D!$L$11&lt;0,-(N77-Uzman_D!$L$11),N77-Uzman_D!$L$11),(ROUND((IF(N77-Uzman_D!$L$11&lt;0,-(N77-Uzman_D!$L$11),N77-Uzman_D!$L$11)*2),0)/1*0.1),0)+IF(O77-Uzman_D!$M$11&lt;0,-(O77-Uzman_D!$M$11),O77-Uzman_D!$M$11)*1)</f>
        <v>-0.90000000000000013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3"/>
      <c r="AB77" s="73"/>
      <c r="AC77" s="71">
        <f>1-(SUM(IF(Q77-Uzman_D!$B$12&lt;0,-(Q77-Uzman_D!$B$12),Q77-Uzman_D!$B$12)*0.1+IF(R77-Uzman_D!$C$12&lt;0,-(R77-Uzman_D!$C$12),R77-Uzman_D!$C$12)*0.1+IF(S77-Uzman_D!$D$12&lt;0,-(S77-Uzman_D!$D$12),S77-Uzman_D!$D$12)*0.1+IF(T77-Uzman_D!$E$12&lt;0,-(T77-Uzman_D!$E$12),T77-Uzman_D!$E$12)*0.1+IF(U77-Uzman_D!$F$12&lt;0,-(U77-Uzman_D!$F$12),U77-Uzman_D!$F$12)*0.1+IF(V77-Uzman_D!$G$12&lt;0,-(V77-Uzman_D!$G$12),V77-Uzman_D!$G$12)*0.1+IF(W77-Uzman_D!$H$12&lt;0,-(W77-Uzman_D!$H$12),W77-Uzman_D!$H$12)*0.1+IF(X77-Uzman_D!$I$12&lt;0,-(X77-Uzman_D!$I$12),X77-Uzman_D!$I$12)*0.1+IF(Y77-Uzman_D!$J$12&lt;0,-(Y77-Uzman_D!$J$12),Y77-Uzman_D!$J$12)*0.1)+IF(ROUND((IF(AA77-Uzman_D!$L$12&lt;0,-(AA77-Uzman_D!$L$12),AA77-Uzman_D!$L$12)*2),0)/2=IF(AA77-Uzman_D!$L$12&lt;0,-(AA77-Uzman_D!$L$12),AA77-Uzman_D!$L$12),(ROUND((IF(AA77-Uzman_D!$L$12&lt;0,-(AA77-Uzman_D!$L$12),AA77-Uzman_D!$L$12)*2),0)/1*0.1),0)+IF(AB77-Uzman_D!$M$12&lt;0,-(AB77-Uzman_D!$M$12),AB77-Uzman_D!$M$12)*1)</f>
        <v>-0.7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3"/>
      <c r="AO77" s="73"/>
      <c r="AP77" s="71">
        <f>1-(SUM(IF(AD77-Uzman_D!$B$13&lt;0,-(AD77-Uzman_D!$B$13),AD77-Uzman_D!$B$13)*0.1+IF(AE77-Uzman_D!$C$13&lt;0,-(AE77-Uzman_D!$C$13),AE77-Uzman_D!$C$13)*0.1+IF(AF77-Uzman_D!$D$13&lt;0,-(AF77-Uzman_D!$D$13),AF77-Uzman_D!$D$13)*0.1+IF(AG77-Uzman_D!$E$13&lt;0,-(AG77-Uzman_D!$E$13),AG77-Uzman_D!$E$13)*0.1+IF(AH77-Uzman_D!$F$13&lt;0,-(AH77-Uzman_D!$F$13),AH77-Uzman_D!$F$13)*0.1+IF(AI77-Uzman_D!$G$13&lt;0,-(AI77-Uzman_D!$G$13),AI77-Uzman_D!$G$13)*0.1+IF(AJ77-Uzman_D!$H$13&lt;0,-(AJ77-Uzman_D!$H$13),AJ77-Uzman_D!$H$13)*0.1+IF(AK77-Uzman_D!$I$13&lt;0,-(AK77-Uzman_D!$I$13),AK77-Uzman_D!$I$13)*0.1+IF(AL77-Uzman_D!$J$13&lt;0,-(AL77-Uzman_D!$J$13),AL77-Uzman_D!$J$13)*0.1)+IF(ROUND((IF(AN77-Uzman_D!$L$13&lt;0,-(AN77-Uzman_D!$L$13),AN77-Uzman_D!$L$13)*2),0)/2=IF(AN77-Uzman_D!$L$13&lt;0,-(AN77-Uzman_D!$L$13),AN77-Uzman_D!$L$13),(ROUND((IF(AN77-Uzman_D!$L$13&lt;0,-(AN77-Uzman_D!$L$13),AN77-Uzman_D!$L$13)*2),0)/1*0.1),0)+IF(AO77-Uzman_D!$M$13&lt;0,-(AO77-Uzman_D!$M$13),AO77-Uzman_D!$M$13)*1)</f>
        <v>-0.30000000000000004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3"/>
      <c r="BB77" s="73"/>
      <c r="BC77" s="71">
        <f>1-(SUM(IF(AQ77-Uzman_D!$B$14&lt;0,-(AQ77-Uzman_D!$B$14),AQ77-Uzman_D!$B$14)*0.1+IF(AR77-Uzman_D!$C$14&lt;0,-(AR77-Uzman_D!$C$14),AR77-Uzman_D!$C$14)*0.1+IF(AS77-Uzman_D!$D$14&lt;0,-(AS77-Uzman_D!$D$14),AS77-Uzman_D!$D$14)*0.1+IF(AT77-Uzman_D!$E$14&lt;0,-(AT77-Uzman_D!$E$14),AT77-Uzman_D!$E$14)*0.1+IF(AU77-Uzman_D!$F$14&lt;0,-(AU77-Uzman_D!$F$14),AU77-Uzman_D!$F$14)*0.1+IF(AV77-Uzman_D!$G$14&lt;0,-(AV77-Uzman_D!$G$14),AV77-Uzman_D!$G$14)*0.1+IF(AW77-Uzman_D!$H$14&lt;0,-(AW77-Uzman_D!$H$14),AW77-Uzman_D!$H$14)*0.1+IF(AX77-Uzman_D!$I$14&lt;0,-(AX77-Uzman_D!$I$14),AX77-Uzman_D!$I$14)*0.1+IF(AY77-Uzman_D!$J$14&lt;0,-(AY77-Uzman_D!$J$14),AY77-Uzman_D!$J$14)*0.1)+IF(ROUND((IF(BA77-Uzman_D!$L$14&lt;0,-(BA77-Uzman_D!$L$14),BA77-Uzman_D!$L$14)*2),0)/2=IF(BA77-Uzman_D!$L$14&lt;0,-(BA77-Uzman_D!$L$14),BA77-Uzman_D!$L$14),(ROUND((IF(BA77-Uzman_D!$L$14&lt;0,-(BA77-Uzman_D!$L$14),BA77-Uzman_D!$L$14)*2),0)/1*0.1),0)+IF(BB77-Uzman_D!$M$14&lt;0,-(BB77-Uzman_D!$M$14),BB77-Uzman_D!$M$14)*1)</f>
        <v>-0.30000000000000027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3"/>
      <c r="BO77" s="73"/>
      <c r="BP77" s="71">
        <f>1-(SUM(IF(BD77-Uzman_D!$B$15&lt;0,-(BD77-Uzman_D!$B$15),BD77-Uzman_D!$B$15)*0.1+IF(BE77-Uzman_D!$C$15&lt;0,-(BE77-Uzman_D!$C$15),BE77-Uzman_D!$C$15)*0.1+IF(BF77-Uzman_D!$D$15&lt;0,-(BF77-Uzman_D!$D$15),BF77-Uzman_D!$D$15)*0.1+IF(BG77-Uzman_D!$E$15&lt;0,-(BG77-Uzman_D!$E$15),BG77-Uzman_D!$E$15)*0.1+IF(BH77-Uzman_D!$F$15&lt;0,-(BH77-Uzman_D!$F$15),BH77-Uzman_D!$F$15)*0.1+IF(BI77-Uzman_D!$G$15&lt;0,-(BI77-Uzman_D!$G$15),BI77-Uzman_D!$G$15)*0.1+IF(BJ77-Uzman_D!$H$15&lt;0,-(BJ77-Uzman_D!$H$15),BJ77-Uzman_D!$H$15)*0.1+IF(BK77-Uzman_D!$I$15&lt;0,-(BK77-Uzman_D!$I$15),BK77-Uzman_D!$I$15)*0.1+IF(BL77-Uzman_D!$J$15&lt;0,-(BL77-Uzman_D!$J$15),BL77-Uzman_D!$J$15)*0.1)+IF(ROUND((IF(BN77-Uzman_D!$L$15&lt;0,-(BN77-Uzman_D!$L$15),BN77-Uzman_D!$L$15)*2),0)/2=IF(BN77-Uzman_D!$L$15&lt;0,-(BN77-Uzman_D!$L$15),BN77-Uzman_D!$L$15),(ROUND((IF(BN77-Uzman_D!$L$15&lt;0,-(BN77-Uzman_D!$L$15),BN77-Uzman_D!$L$15)*2),0)/1*0.1),0)+IF(BO77-Uzman_D!$M$15&lt;0,-(BO77-Uzman_D!$M$15),BO77-Uzman_D!$M$15)*1)</f>
        <v>-0.50000000000000022</v>
      </c>
      <c r="BQ77" s="72">
        <f t="shared" si="2"/>
        <v>-0.54</v>
      </c>
    </row>
    <row r="78" spans="1:69" ht="15" customHeight="1" x14ac:dyDescent="0.45">
      <c r="A78" s="54">
        <v>75</v>
      </c>
      <c r="B78" s="166">
        <f>Hakemler!B78</f>
        <v>0</v>
      </c>
      <c r="C78" s="166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3"/>
      <c r="O78" s="73"/>
      <c r="P78" s="71">
        <f>1-(SUM(IF(D78-Uzman_D!$B$11&lt;0,-(D78-Uzman_D!$B$11),D78-Uzman_D!$B$11)*0.1+IF(E78-Uzman_D!$C$11&lt;0,-(E78-Uzman_D!$C$11),E78-Uzman_D!$C$11)*0.1+IF(F78-Uzman_D!$D$11&lt;0,-(F78-Uzman_D!$D$11),F78-Uzman_D!$D$11)*0.1+IF(G78-Uzman_D!$E$11&lt;0,-(G78-Uzman_D!$E$11),G78-Uzman_D!$E$11)*0.1+IF(H78-Uzman_D!$F$11&lt;0,-(H78-Uzman_D!$F$11),H78-Uzman_D!$F$11)*0.1+IF(I78-Uzman_D!$G$11&lt;0,-(I78-Uzman_D!$G$11),I78-Uzman_D!$G$11)*0.1+IF(J78-Uzman_D!$H$11&lt;0,-(J78-Uzman_D!$H$11),J78-Uzman_D!$H$11)*0.1+IF(K78-Uzman_D!$I$11&lt;0,-(K78-Uzman_D!$I$11),K78-Uzman_D!$I$11)*0.1+IF(L78-Uzman_D!$J$11&lt;0,-(L78-Uzman_D!$J$11),L78-Uzman_D!$J$11)*0.1)+IF(ROUND((IF(N78-Uzman_D!$L$11&lt;0,-(N78-Uzman_D!$L$11),N78-Uzman_D!$L$11)*2),0)/2=IF(N78-Uzman_D!$L$11&lt;0,-(N78-Uzman_D!$L$11),N78-Uzman_D!$L$11),(ROUND((IF(N78-Uzman_D!$L$11&lt;0,-(N78-Uzman_D!$L$11),N78-Uzman_D!$L$11)*2),0)/1*0.1),0)+IF(O78-Uzman_D!$M$11&lt;0,-(O78-Uzman_D!$M$11),O78-Uzman_D!$M$11)*1)</f>
        <v>-0.90000000000000013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3"/>
      <c r="AB78" s="73"/>
      <c r="AC78" s="71">
        <f>1-(SUM(IF(Q78-Uzman_D!$B$12&lt;0,-(Q78-Uzman_D!$B$12),Q78-Uzman_D!$B$12)*0.1+IF(R78-Uzman_D!$C$12&lt;0,-(R78-Uzman_D!$C$12),R78-Uzman_D!$C$12)*0.1+IF(S78-Uzman_D!$D$12&lt;0,-(S78-Uzman_D!$D$12),S78-Uzman_D!$D$12)*0.1+IF(T78-Uzman_D!$E$12&lt;0,-(T78-Uzman_D!$E$12),T78-Uzman_D!$E$12)*0.1+IF(U78-Uzman_D!$F$12&lt;0,-(U78-Uzman_D!$F$12),U78-Uzman_D!$F$12)*0.1+IF(V78-Uzman_D!$G$12&lt;0,-(V78-Uzman_D!$G$12),V78-Uzman_D!$G$12)*0.1+IF(W78-Uzman_D!$H$12&lt;0,-(W78-Uzman_D!$H$12),W78-Uzman_D!$H$12)*0.1+IF(X78-Uzman_D!$I$12&lt;0,-(X78-Uzman_D!$I$12),X78-Uzman_D!$I$12)*0.1+IF(Y78-Uzman_D!$J$12&lt;0,-(Y78-Uzman_D!$J$12),Y78-Uzman_D!$J$12)*0.1)+IF(ROUND((IF(AA78-Uzman_D!$L$12&lt;0,-(AA78-Uzman_D!$L$12),AA78-Uzman_D!$L$12)*2),0)/2=IF(AA78-Uzman_D!$L$12&lt;0,-(AA78-Uzman_D!$L$12),AA78-Uzman_D!$L$12),(ROUND((IF(AA78-Uzman_D!$L$12&lt;0,-(AA78-Uzman_D!$L$12),AA78-Uzman_D!$L$12)*2),0)/1*0.1),0)+IF(AB78-Uzman_D!$M$12&lt;0,-(AB78-Uzman_D!$M$12),AB78-Uzman_D!$M$12)*1)</f>
        <v>-0.7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3"/>
      <c r="AO78" s="73"/>
      <c r="AP78" s="71">
        <f>1-(SUM(IF(AD78-Uzman_D!$B$13&lt;0,-(AD78-Uzman_D!$B$13),AD78-Uzman_D!$B$13)*0.1+IF(AE78-Uzman_D!$C$13&lt;0,-(AE78-Uzman_D!$C$13),AE78-Uzman_D!$C$13)*0.1+IF(AF78-Uzman_D!$D$13&lt;0,-(AF78-Uzman_D!$D$13),AF78-Uzman_D!$D$13)*0.1+IF(AG78-Uzman_D!$E$13&lt;0,-(AG78-Uzman_D!$E$13),AG78-Uzman_D!$E$13)*0.1+IF(AH78-Uzman_D!$F$13&lt;0,-(AH78-Uzman_D!$F$13),AH78-Uzman_D!$F$13)*0.1+IF(AI78-Uzman_D!$G$13&lt;0,-(AI78-Uzman_D!$G$13),AI78-Uzman_D!$G$13)*0.1+IF(AJ78-Uzman_D!$H$13&lt;0,-(AJ78-Uzman_D!$H$13),AJ78-Uzman_D!$H$13)*0.1+IF(AK78-Uzman_D!$I$13&lt;0,-(AK78-Uzman_D!$I$13),AK78-Uzman_D!$I$13)*0.1+IF(AL78-Uzman_D!$J$13&lt;0,-(AL78-Uzman_D!$J$13),AL78-Uzman_D!$J$13)*0.1)+IF(ROUND((IF(AN78-Uzman_D!$L$13&lt;0,-(AN78-Uzman_D!$L$13),AN78-Uzman_D!$L$13)*2),0)/2=IF(AN78-Uzman_D!$L$13&lt;0,-(AN78-Uzman_D!$L$13),AN78-Uzman_D!$L$13),(ROUND((IF(AN78-Uzman_D!$L$13&lt;0,-(AN78-Uzman_D!$L$13),AN78-Uzman_D!$L$13)*2),0)/1*0.1),0)+IF(AO78-Uzman_D!$M$13&lt;0,-(AO78-Uzman_D!$M$13),AO78-Uzman_D!$M$13)*1)</f>
        <v>-0.30000000000000004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3"/>
      <c r="BB78" s="73"/>
      <c r="BC78" s="71">
        <f>1-(SUM(IF(AQ78-Uzman_D!$B$14&lt;0,-(AQ78-Uzman_D!$B$14),AQ78-Uzman_D!$B$14)*0.1+IF(AR78-Uzman_D!$C$14&lt;0,-(AR78-Uzman_D!$C$14),AR78-Uzman_D!$C$14)*0.1+IF(AS78-Uzman_D!$D$14&lt;0,-(AS78-Uzman_D!$D$14),AS78-Uzman_D!$D$14)*0.1+IF(AT78-Uzman_D!$E$14&lt;0,-(AT78-Uzman_D!$E$14),AT78-Uzman_D!$E$14)*0.1+IF(AU78-Uzman_D!$F$14&lt;0,-(AU78-Uzman_D!$F$14),AU78-Uzman_D!$F$14)*0.1+IF(AV78-Uzman_D!$G$14&lt;0,-(AV78-Uzman_D!$G$14),AV78-Uzman_D!$G$14)*0.1+IF(AW78-Uzman_D!$H$14&lt;0,-(AW78-Uzman_D!$H$14),AW78-Uzman_D!$H$14)*0.1+IF(AX78-Uzman_D!$I$14&lt;0,-(AX78-Uzman_D!$I$14),AX78-Uzman_D!$I$14)*0.1+IF(AY78-Uzman_D!$J$14&lt;0,-(AY78-Uzman_D!$J$14),AY78-Uzman_D!$J$14)*0.1)+IF(ROUND((IF(BA78-Uzman_D!$L$14&lt;0,-(BA78-Uzman_D!$L$14),BA78-Uzman_D!$L$14)*2),0)/2=IF(BA78-Uzman_D!$L$14&lt;0,-(BA78-Uzman_D!$L$14),BA78-Uzman_D!$L$14),(ROUND((IF(BA78-Uzman_D!$L$14&lt;0,-(BA78-Uzman_D!$L$14),BA78-Uzman_D!$L$14)*2),0)/1*0.1),0)+IF(BB78-Uzman_D!$M$14&lt;0,-(BB78-Uzman_D!$M$14),BB78-Uzman_D!$M$14)*1)</f>
        <v>-0.30000000000000027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3"/>
      <c r="BO78" s="73"/>
      <c r="BP78" s="71">
        <f>1-(SUM(IF(BD78-Uzman_D!$B$15&lt;0,-(BD78-Uzman_D!$B$15),BD78-Uzman_D!$B$15)*0.1+IF(BE78-Uzman_D!$C$15&lt;0,-(BE78-Uzman_D!$C$15),BE78-Uzman_D!$C$15)*0.1+IF(BF78-Uzman_D!$D$15&lt;0,-(BF78-Uzman_D!$D$15),BF78-Uzman_D!$D$15)*0.1+IF(BG78-Uzman_D!$E$15&lt;0,-(BG78-Uzman_D!$E$15),BG78-Uzman_D!$E$15)*0.1+IF(BH78-Uzman_D!$F$15&lt;0,-(BH78-Uzman_D!$F$15),BH78-Uzman_D!$F$15)*0.1+IF(BI78-Uzman_D!$G$15&lt;0,-(BI78-Uzman_D!$G$15),BI78-Uzman_D!$G$15)*0.1+IF(BJ78-Uzman_D!$H$15&lt;0,-(BJ78-Uzman_D!$H$15),BJ78-Uzman_D!$H$15)*0.1+IF(BK78-Uzman_D!$I$15&lt;0,-(BK78-Uzman_D!$I$15),BK78-Uzman_D!$I$15)*0.1+IF(BL78-Uzman_D!$J$15&lt;0,-(BL78-Uzman_D!$J$15),BL78-Uzman_D!$J$15)*0.1)+IF(ROUND((IF(BN78-Uzman_D!$L$15&lt;0,-(BN78-Uzman_D!$L$15),BN78-Uzman_D!$L$15)*2),0)/2=IF(BN78-Uzman_D!$L$15&lt;0,-(BN78-Uzman_D!$L$15),BN78-Uzman_D!$L$15),(ROUND((IF(BN78-Uzman_D!$L$15&lt;0,-(BN78-Uzman_D!$L$15),BN78-Uzman_D!$L$15)*2),0)/1*0.1),0)+IF(BO78-Uzman_D!$M$15&lt;0,-(BO78-Uzman_D!$M$15),BO78-Uzman_D!$M$15)*1)</f>
        <v>-0.50000000000000022</v>
      </c>
      <c r="BQ78" s="72">
        <f t="shared" si="2"/>
        <v>-0.54</v>
      </c>
    </row>
    <row r="79" spans="1:69" ht="15" customHeight="1" x14ac:dyDescent="0.45">
      <c r="A79" s="54">
        <v>76</v>
      </c>
      <c r="B79" s="166">
        <f>Hakemler!B79</f>
        <v>0</v>
      </c>
      <c r="C79" s="166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3"/>
      <c r="O79" s="73"/>
      <c r="P79" s="71">
        <f>1-(SUM(IF(D79-Uzman_D!$B$11&lt;0,-(D79-Uzman_D!$B$11),D79-Uzman_D!$B$11)*0.1+IF(E79-Uzman_D!$C$11&lt;0,-(E79-Uzman_D!$C$11),E79-Uzman_D!$C$11)*0.1+IF(F79-Uzman_D!$D$11&lt;0,-(F79-Uzman_D!$D$11),F79-Uzman_D!$D$11)*0.1+IF(G79-Uzman_D!$E$11&lt;0,-(G79-Uzman_D!$E$11),G79-Uzman_D!$E$11)*0.1+IF(H79-Uzman_D!$F$11&lt;0,-(H79-Uzman_D!$F$11),H79-Uzman_D!$F$11)*0.1+IF(I79-Uzman_D!$G$11&lt;0,-(I79-Uzman_D!$G$11),I79-Uzman_D!$G$11)*0.1+IF(J79-Uzman_D!$H$11&lt;0,-(J79-Uzman_D!$H$11),J79-Uzman_D!$H$11)*0.1+IF(K79-Uzman_D!$I$11&lt;0,-(K79-Uzman_D!$I$11),K79-Uzman_D!$I$11)*0.1+IF(L79-Uzman_D!$J$11&lt;0,-(L79-Uzman_D!$J$11),L79-Uzman_D!$J$11)*0.1)+IF(ROUND((IF(N79-Uzman_D!$L$11&lt;0,-(N79-Uzman_D!$L$11),N79-Uzman_D!$L$11)*2),0)/2=IF(N79-Uzman_D!$L$11&lt;0,-(N79-Uzman_D!$L$11),N79-Uzman_D!$L$11),(ROUND((IF(N79-Uzman_D!$L$11&lt;0,-(N79-Uzman_D!$L$11),N79-Uzman_D!$L$11)*2),0)/1*0.1),0)+IF(O79-Uzman_D!$M$11&lt;0,-(O79-Uzman_D!$M$11),O79-Uzman_D!$M$11)*1)</f>
        <v>-0.90000000000000013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3"/>
      <c r="AB79" s="73"/>
      <c r="AC79" s="71">
        <f>1-(SUM(IF(Q79-Uzman_D!$B$12&lt;0,-(Q79-Uzman_D!$B$12),Q79-Uzman_D!$B$12)*0.1+IF(R79-Uzman_D!$C$12&lt;0,-(R79-Uzman_D!$C$12),R79-Uzman_D!$C$12)*0.1+IF(S79-Uzman_D!$D$12&lt;0,-(S79-Uzman_D!$D$12),S79-Uzman_D!$D$12)*0.1+IF(T79-Uzman_D!$E$12&lt;0,-(T79-Uzman_D!$E$12),T79-Uzman_D!$E$12)*0.1+IF(U79-Uzman_D!$F$12&lt;0,-(U79-Uzman_D!$F$12),U79-Uzman_D!$F$12)*0.1+IF(V79-Uzman_D!$G$12&lt;0,-(V79-Uzman_D!$G$12),V79-Uzman_D!$G$12)*0.1+IF(W79-Uzman_D!$H$12&lt;0,-(W79-Uzman_D!$H$12),W79-Uzman_D!$H$12)*0.1+IF(X79-Uzman_D!$I$12&lt;0,-(X79-Uzman_D!$I$12),X79-Uzman_D!$I$12)*0.1+IF(Y79-Uzman_D!$J$12&lt;0,-(Y79-Uzman_D!$J$12),Y79-Uzman_D!$J$12)*0.1)+IF(ROUND((IF(AA79-Uzman_D!$L$12&lt;0,-(AA79-Uzman_D!$L$12),AA79-Uzman_D!$L$12)*2),0)/2=IF(AA79-Uzman_D!$L$12&lt;0,-(AA79-Uzman_D!$L$12),AA79-Uzman_D!$L$12),(ROUND((IF(AA79-Uzman_D!$L$12&lt;0,-(AA79-Uzman_D!$L$12),AA79-Uzman_D!$L$12)*2),0)/1*0.1),0)+IF(AB79-Uzman_D!$M$12&lt;0,-(AB79-Uzman_D!$M$12),AB79-Uzman_D!$M$12)*1)</f>
        <v>-0.7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3"/>
      <c r="AO79" s="73"/>
      <c r="AP79" s="71">
        <f>1-(SUM(IF(AD79-Uzman_D!$B$13&lt;0,-(AD79-Uzman_D!$B$13),AD79-Uzman_D!$B$13)*0.1+IF(AE79-Uzman_D!$C$13&lt;0,-(AE79-Uzman_D!$C$13),AE79-Uzman_D!$C$13)*0.1+IF(AF79-Uzman_D!$D$13&lt;0,-(AF79-Uzman_D!$D$13),AF79-Uzman_D!$D$13)*0.1+IF(AG79-Uzman_D!$E$13&lt;0,-(AG79-Uzman_D!$E$13),AG79-Uzman_D!$E$13)*0.1+IF(AH79-Uzman_D!$F$13&lt;0,-(AH79-Uzman_D!$F$13),AH79-Uzman_D!$F$13)*0.1+IF(AI79-Uzman_D!$G$13&lt;0,-(AI79-Uzman_D!$G$13),AI79-Uzman_D!$G$13)*0.1+IF(AJ79-Uzman_D!$H$13&lt;0,-(AJ79-Uzman_D!$H$13),AJ79-Uzman_D!$H$13)*0.1+IF(AK79-Uzman_D!$I$13&lt;0,-(AK79-Uzman_D!$I$13),AK79-Uzman_D!$I$13)*0.1+IF(AL79-Uzman_D!$J$13&lt;0,-(AL79-Uzman_D!$J$13),AL79-Uzman_D!$J$13)*0.1)+IF(ROUND((IF(AN79-Uzman_D!$L$13&lt;0,-(AN79-Uzman_D!$L$13),AN79-Uzman_D!$L$13)*2),0)/2=IF(AN79-Uzman_D!$L$13&lt;0,-(AN79-Uzman_D!$L$13),AN79-Uzman_D!$L$13),(ROUND((IF(AN79-Uzman_D!$L$13&lt;0,-(AN79-Uzman_D!$L$13),AN79-Uzman_D!$L$13)*2),0)/1*0.1),0)+IF(AO79-Uzman_D!$M$13&lt;0,-(AO79-Uzman_D!$M$13),AO79-Uzman_D!$M$13)*1)</f>
        <v>-0.30000000000000004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3"/>
      <c r="BB79" s="73"/>
      <c r="BC79" s="71">
        <f>1-(SUM(IF(AQ79-Uzman_D!$B$14&lt;0,-(AQ79-Uzman_D!$B$14),AQ79-Uzman_D!$B$14)*0.1+IF(AR79-Uzman_D!$C$14&lt;0,-(AR79-Uzman_D!$C$14),AR79-Uzman_D!$C$14)*0.1+IF(AS79-Uzman_D!$D$14&lt;0,-(AS79-Uzman_D!$D$14),AS79-Uzman_D!$D$14)*0.1+IF(AT79-Uzman_D!$E$14&lt;0,-(AT79-Uzman_D!$E$14),AT79-Uzman_D!$E$14)*0.1+IF(AU79-Uzman_D!$F$14&lt;0,-(AU79-Uzman_D!$F$14),AU79-Uzman_D!$F$14)*0.1+IF(AV79-Uzman_D!$G$14&lt;0,-(AV79-Uzman_D!$G$14),AV79-Uzman_D!$G$14)*0.1+IF(AW79-Uzman_D!$H$14&lt;0,-(AW79-Uzman_D!$H$14),AW79-Uzman_D!$H$14)*0.1+IF(AX79-Uzman_D!$I$14&lt;0,-(AX79-Uzman_D!$I$14),AX79-Uzman_D!$I$14)*0.1+IF(AY79-Uzman_D!$J$14&lt;0,-(AY79-Uzman_D!$J$14),AY79-Uzman_D!$J$14)*0.1)+IF(ROUND((IF(BA79-Uzman_D!$L$14&lt;0,-(BA79-Uzman_D!$L$14),BA79-Uzman_D!$L$14)*2),0)/2=IF(BA79-Uzman_D!$L$14&lt;0,-(BA79-Uzman_D!$L$14),BA79-Uzman_D!$L$14),(ROUND((IF(BA79-Uzman_D!$L$14&lt;0,-(BA79-Uzman_D!$L$14),BA79-Uzman_D!$L$14)*2),0)/1*0.1),0)+IF(BB79-Uzman_D!$M$14&lt;0,-(BB79-Uzman_D!$M$14),BB79-Uzman_D!$M$14)*1)</f>
        <v>-0.30000000000000027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3"/>
      <c r="BO79" s="73"/>
      <c r="BP79" s="71">
        <f>1-(SUM(IF(BD79-Uzman_D!$B$15&lt;0,-(BD79-Uzman_D!$B$15),BD79-Uzman_D!$B$15)*0.1+IF(BE79-Uzman_D!$C$15&lt;0,-(BE79-Uzman_D!$C$15),BE79-Uzman_D!$C$15)*0.1+IF(BF79-Uzman_D!$D$15&lt;0,-(BF79-Uzman_D!$D$15),BF79-Uzman_D!$D$15)*0.1+IF(BG79-Uzman_D!$E$15&lt;0,-(BG79-Uzman_D!$E$15),BG79-Uzman_D!$E$15)*0.1+IF(BH79-Uzman_D!$F$15&lt;0,-(BH79-Uzman_D!$F$15),BH79-Uzman_D!$F$15)*0.1+IF(BI79-Uzman_D!$G$15&lt;0,-(BI79-Uzman_D!$G$15),BI79-Uzman_D!$G$15)*0.1+IF(BJ79-Uzman_D!$H$15&lt;0,-(BJ79-Uzman_D!$H$15),BJ79-Uzman_D!$H$15)*0.1+IF(BK79-Uzman_D!$I$15&lt;0,-(BK79-Uzman_D!$I$15),BK79-Uzman_D!$I$15)*0.1+IF(BL79-Uzman_D!$J$15&lt;0,-(BL79-Uzman_D!$J$15),BL79-Uzman_D!$J$15)*0.1)+IF(ROUND((IF(BN79-Uzman_D!$L$15&lt;0,-(BN79-Uzman_D!$L$15),BN79-Uzman_D!$L$15)*2),0)/2=IF(BN79-Uzman_D!$L$15&lt;0,-(BN79-Uzman_D!$L$15),BN79-Uzman_D!$L$15),(ROUND((IF(BN79-Uzman_D!$L$15&lt;0,-(BN79-Uzman_D!$L$15),BN79-Uzman_D!$L$15)*2),0)/1*0.1),0)+IF(BO79-Uzman_D!$M$15&lt;0,-(BO79-Uzman_D!$M$15),BO79-Uzman_D!$M$15)*1)</f>
        <v>-0.50000000000000022</v>
      </c>
      <c r="BQ79" s="72">
        <f t="shared" si="2"/>
        <v>-0.54</v>
      </c>
    </row>
    <row r="80" spans="1:69" ht="15" customHeight="1" x14ac:dyDescent="0.45">
      <c r="A80" s="54">
        <v>77</v>
      </c>
      <c r="B80" s="166">
        <f>Hakemler!B80</f>
        <v>0</v>
      </c>
      <c r="C80" s="166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3"/>
      <c r="O80" s="73"/>
      <c r="P80" s="71">
        <f>1-(SUM(IF(D80-Uzman_D!$B$11&lt;0,-(D80-Uzman_D!$B$11),D80-Uzman_D!$B$11)*0.1+IF(E80-Uzman_D!$C$11&lt;0,-(E80-Uzman_D!$C$11),E80-Uzman_D!$C$11)*0.1+IF(F80-Uzman_D!$D$11&lt;0,-(F80-Uzman_D!$D$11),F80-Uzman_D!$D$11)*0.1+IF(G80-Uzman_D!$E$11&lt;0,-(G80-Uzman_D!$E$11),G80-Uzman_D!$E$11)*0.1+IF(H80-Uzman_D!$F$11&lt;0,-(H80-Uzman_D!$F$11),H80-Uzman_D!$F$11)*0.1+IF(I80-Uzman_D!$G$11&lt;0,-(I80-Uzman_D!$G$11),I80-Uzman_D!$G$11)*0.1+IF(J80-Uzman_D!$H$11&lt;0,-(J80-Uzman_D!$H$11),J80-Uzman_D!$H$11)*0.1+IF(K80-Uzman_D!$I$11&lt;0,-(K80-Uzman_D!$I$11),K80-Uzman_D!$I$11)*0.1+IF(L80-Uzman_D!$J$11&lt;0,-(L80-Uzman_D!$J$11),L80-Uzman_D!$J$11)*0.1)+IF(ROUND((IF(N80-Uzman_D!$L$11&lt;0,-(N80-Uzman_D!$L$11),N80-Uzman_D!$L$11)*2),0)/2=IF(N80-Uzman_D!$L$11&lt;0,-(N80-Uzman_D!$L$11),N80-Uzman_D!$L$11),(ROUND((IF(N80-Uzman_D!$L$11&lt;0,-(N80-Uzman_D!$L$11),N80-Uzman_D!$L$11)*2),0)/1*0.1),0)+IF(O80-Uzman_D!$M$11&lt;0,-(O80-Uzman_D!$M$11),O80-Uzman_D!$M$11)*1)</f>
        <v>-0.90000000000000013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3"/>
      <c r="AB80" s="73"/>
      <c r="AC80" s="71">
        <f>1-(SUM(IF(Q80-Uzman_D!$B$12&lt;0,-(Q80-Uzman_D!$B$12),Q80-Uzman_D!$B$12)*0.1+IF(R80-Uzman_D!$C$12&lt;0,-(R80-Uzman_D!$C$12),R80-Uzman_D!$C$12)*0.1+IF(S80-Uzman_D!$D$12&lt;0,-(S80-Uzman_D!$D$12),S80-Uzman_D!$D$12)*0.1+IF(T80-Uzman_D!$E$12&lt;0,-(T80-Uzman_D!$E$12),T80-Uzman_D!$E$12)*0.1+IF(U80-Uzman_D!$F$12&lt;0,-(U80-Uzman_D!$F$12),U80-Uzman_D!$F$12)*0.1+IF(V80-Uzman_D!$G$12&lt;0,-(V80-Uzman_D!$G$12),V80-Uzman_D!$G$12)*0.1+IF(W80-Uzman_D!$H$12&lt;0,-(W80-Uzman_D!$H$12),W80-Uzman_D!$H$12)*0.1+IF(X80-Uzman_D!$I$12&lt;0,-(X80-Uzman_D!$I$12),X80-Uzman_D!$I$12)*0.1+IF(Y80-Uzman_D!$J$12&lt;0,-(Y80-Uzman_D!$J$12),Y80-Uzman_D!$J$12)*0.1)+IF(ROUND((IF(AA80-Uzman_D!$L$12&lt;0,-(AA80-Uzman_D!$L$12),AA80-Uzman_D!$L$12)*2),0)/2=IF(AA80-Uzman_D!$L$12&lt;0,-(AA80-Uzman_D!$L$12),AA80-Uzman_D!$L$12),(ROUND((IF(AA80-Uzman_D!$L$12&lt;0,-(AA80-Uzman_D!$L$12),AA80-Uzman_D!$L$12)*2),0)/1*0.1),0)+IF(AB80-Uzman_D!$M$12&lt;0,-(AB80-Uzman_D!$M$12),AB80-Uzman_D!$M$12)*1)</f>
        <v>-0.7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3"/>
      <c r="AO80" s="73"/>
      <c r="AP80" s="71">
        <f>1-(SUM(IF(AD80-Uzman_D!$B$13&lt;0,-(AD80-Uzman_D!$B$13),AD80-Uzman_D!$B$13)*0.1+IF(AE80-Uzman_D!$C$13&lt;0,-(AE80-Uzman_D!$C$13),AE80-Uzman_D!$C$13)*0.1+IF(AF80-Uzman_D!$D$13&lt;0,-(AF80-Uzman_D!$D$13),AF80-Uzman_D!$D$13)*0.1+IF(AG80-Uzman_D!$E$13&lt;0,-(AG80-Uzman_D!$E$13),AG80-Uzman_D!$E$13)*0.1+IF(AH80-Uzman_D!$F$13&lt;0,-(AH80-Uzman_D!$F$13),AH80-Uzman_D!$F$13)*0.1+IF(AI80-Uzman_D!$G$13&lt;0,-(AI80-Uzman_D!$G$13),AI80-Uzman_D!$G$13)*0.1+IF(AJ80-Uzman_D!$H$13&lt;0,-(AJ80-Uzman_D!$H$13),AJ80-Uzman_D!$H$13)*0.1+IF(AK80-Uzman_D!$I$13&lt;0,-(AK80-Uzman_D!$I$13),AK80-Uzman_D!$I$13)*0.1+IF(AL80-Uzman_D!$J$13&lt;0,-(AL80-Uzman_D!$J$13),AL80-Uzman_D!$J$13)*0.1)+IF(ROUND((IF(AN80-Uzman_D!$L$13&lt;0,-(AN80-Uzman_D!$L$13),AN80-Uzman_D!$L$13)*2),0)/2=IF(AN80-Uzman_D!$L$13&lt;0,-(AN80-Uzman_D!$L$13),AN80-Uzman_D!$L$13),(ROUND((IF(AN80-Uzman_D!$L$13&lt;0,-(AN80-Uzman_D!$L$13),AN80-Uzman_D!$L$13)*2),0)/1*0.1),0)+IF(AO80-Uzman_D!$M$13&lt;0,-(AO80-Uzman_D!$M$13),AO80-Uzman_D!$M$13)*1)</f>
        <v>-0.30000000000000004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3"/>
      <c r="BB80" s="73"/>
      <c r="BC80" s="71">
        <f>1-(SUM(IF(AQ80-Uzman_D!$B$14&lt;0,-(AQ80-Uzman_D!$B$14),AQ80-Uzman_D!$B$14)*0.1+IF(AR80-Uzman_D!$C$14&lt;0,-(AR80-Uzman_D!$C$14),AR80-Uzman_D!$C$14)*0.1+IF(AS80-Uzman_D!$D$14&lt;0,-(AS80-Uzman_D!$D$14),AS80-Uzman_D!$D$14)*0.1+IF(AT80-Uzman_D!$E$14&lt;0,-(AT80-Uzman_D!$E$14),AT80-Uzman_D!$E$14)*0.1+IF(AU80-Uzman_D!$F$14&lt;0,-(AU80-Uzman_D!$F$14),AU80-Uzman_D!$F$14)*0.1+IF(AV80-Uzman_D!$G$14&lt;0,-(AV80-Uzman_D!$G$14),AV80-Uzman_D!$G$14)*0.1+IF(AW80-Uzman_D!$H$14&lt;0,-(AW80-Uzman_D!$H$14),AW80-Uzman_D!$H$14)*0.1+IF(AX80-Uzman_D!$I$14&lt;0,-(AX80-Uzman_D!$I$14),AX80-Uzman_D!$I$14)*0.1+IF(AY80-Uzman_D!$J$14&lt;0,-(AY80-Uzman_D!$J$14),AY80-Uzman_D!$J$14)*0.1)+IF(ROUND((IF(BA80-Uzman_D!$L$14&lt;0,-(BA80-Uzman_D!$L$14),BA80-Uzman_D!$L$14)*2),0)/2=IF(BA80-Uzman_D!$L$14&lt;0,-(BA80-Uzman_D!$L$14),BA80-Uzman_D!$L$14),(ROUND((IF(BA80-Uzman_D!$L$14&lt;0,-(BA80-Uzman_D!$L$14),BA80-Uzman_D!$L$14)*2),0)/1*0.1),0)+IF(BB80-Uzman_D!$M$14&lt;0,-(BB80-Uzman_D!$M$14),BB80-Uzman_D!$M$14)*1)</f>
        <v>-0.30000000000000027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3"/>
      <c r="BO80" s="73"/>
      <c r="BP80" s="71">
        <f>1-(SUM(IF(BD80-Uzman_D!$B$15&lt;0,-(BD80-Uzman_D!$B$15),BD80-Uzman_D!$B$15)*0.1+IF(BE80-Uzman_D!$C$15&lt;0,-(BE80-Uzman_D!$C$15),BE80-Uzman_D!$C$15)*0.1+IF(BF80-Uzman_D!$D$15&lt;0,-(BF80-Uzman_D!$D$15),BF80-Uzman_D!$D$15)*0.1+IF(BG80-Uzman_D!$E$15&lt;0,-(BG80-Uzman_D!$E$15),BG80-Uzman_D!$E$15)*0.1+IF(BH80-Uzman_D!$F$15&lt;0,-(BH80-Uzman_D!$F$15),BH80-Uzman_D!$F$15)*0.1+IF(BI80-Uzman_D!$G$15&lt;0,-(BI80-Uzman_D!$G$15),BI80-Uzman_D!$G$15)*0.1+IF(BJ80-Uzman_D!$H$15&lt;0,-(BJ80-Uzman_D!$H$15),BJ80-Uzman_D!$H$15)*0.1+IF(BK80-Uzman_D!$I$15&lt;0,-(BK80-Uzman_D!$I$15),BK80-Uzman_D!$I$15)*0.1+IF(BL80-Uzman_D!$J$15&lt;0,-(BL80-Uzman_D!$J$15),BL80-Uzman_D!$J$15)*0.1)+IF(ROUND((IF(BN80-Uzman_D!$L$15&lt;0,-(BN80-Uzman_D!$L$15),BN80-Uzman_D!$L$15)*2),0)/2=IF(BN80-Uzman_D!$L$15&lt;0,-(BN80-Uzman_D!$L$15),BN80-Uzman_D!$L$15),(ROUND((IF(BN80-Uzman_D!$L$15&lt;0,-(BN80-Uzman_D!$L$15),BN80-Uzman_D!$L$15)*2),0)/1*0.1),0)+IF(BO80-Uzman_D!$M$15&lt;0,-(BO80-Uzman_D!$M$15),BO80-Uzman_D!$M$15)*1)</f>
        <v>-0.50000000000000022</v>
      </c>
      <c r="BQ80" s="72">
        <f t="shared" si="2"/>
        <v>-0.54</v>
      </c>
    </row>
    <row r="81" spans="1:69" ht="15" customHeight="1" x14ac:dyDescent="0.45">
      <c r="A81" s="54">
        <v>78</v>
      </c>
      <c r="B81" s="166">
        <f>Hakemler!B81</f>
        <v>0</v>
      </c>
      <c r="C81" s="166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3"/>
      <c r="O81" s="73"/>
      <c r="P81" s="71">
        <f>1-(SUM(IF(D81-Uzman_D!$B$11&lt;0,-(D81-Uzman_D!$B$11),D81-Uzman_D!$B$11)*0.1+IF(E81-Uzman_D!$C$11&lt;0,-(E81-Uzman_D!$C$11),E81-Uzman_D!$C$11)*0.1+IF(F81-Uzman_D!$D$11&lt;0,-(F81-Uzman_D!$D$11),F81-Uzman_D!$D$11)*0.1+IF(G81-Uzman_D!$E$11&lt;0,-(G81-Uzman_D!$E$11),G81-Uzman_D!$E$11)*0.1+IF(H81-Uzman_D!$F$11&lt;0,-(H81-Uzman_D!$F$11),H81-Uzman_D!$F$11)*0.1+IF(I81-Uzman_D!$G$11&lt;0,-(I81-Uzman_D!$G$11),I81-Uzman_D!$G$11)*0.1+IF(J81-Uzman_D!$H$11&lt;0,-(J81-Uzman_D!$H$11),J81-Uzman_D!$H$11)*0.1+IF(K81-Uzman_D!$I$11&lt;0,-(K81-Uzman_D!$I$11),K81-Uzman_D!$I$11)*0.1+IF(L81-Uzman_D!$J$11&lt;0,-(L81-Uzman_D!$J$11),L81-Uzman_D!$J$11)*0.1)+IF(ROUND((IF(N81-Uzman_D!$L$11&lt;0,-(N81-Uzman_D!$L$11),N81-Uzman_D!$L$11)*2),0)/2=IF(N81-Uzman_D!$L$11&lt;0,-(N81-Uzman_D!$L$11),N81-Uzman_D!$L$11),(ROUND((IF(N81-Uzman_D!$L$11&lt;0,-(N81-Uzman_D!$L$11),N81-Uzman_D!$L$11)*2),0)/1*0.1),0)+IF(O81-Uzman_D!$M$11&lt;0,-(O81-Uzman_D!$M$11),O81-Uzman_D!$M$11)*1)</f>
        <v>-0.90000000000000013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3"/>
      <c r="AB81" s="73"/>
      <c r="AC81" s="71">
        <f>1-(SUM(IF(Q81-Uzman_D!$B$12&lt;0,-(Q81-Uzman_D!$B$12),Q81-Uzman_D!$B$12)*0.1+IF(R81-Uzman_D!$C$12&lt;0,-(R81-Uzman_D!$C$12),R81-Uzman_D!$C$12)*0.1+IF(S81-Uzman_D!$D$12&lt;0,-(S81-Uzman_D!$D$12),S81-Uzman_D!$D$12)*0.1+IF(T81-Uzman_D!$E$12&lt;0,-(T81-Uzman_D!$E$12),T81-Uzman_D!$E$12)*0.1+IF(U81-Uzman_D!$F$12&lt;0,-(U81-Uzman_D!$F$12),U81-Uzman_D!$F$12)*0.1+IF(V81-Uzman_D!$G$12&lt;0,-(V81-Uzman_D!$G$12),V81-Uzman_D!$G$12)*0.1+IF(W81-Uzman_D!$H$12&lt;0,-(W81-Uzman_D!$H$12),W81-Uzman_D!$H$12)*0.1+IF(X81-Uzman_D!$I$12&lt;0,-(X81-Uzman_D!$I$12),X81-Uzman_D!$I$12)*0.1+IF(Y81-Uzman_D!$J$12&lt;0,-(Y81-Uzman_D!$J$12),Y81-Uzman_D!$J$12)*0.1)+IF(ROUND((IF(AA81-Uzman_D!$L$12&lt;0,-(AA81-Uzman_D!$L$12),AA81-Uzman_D!$L$12)*2),0)/2=IF(AA81-Uzman_D!$L$12&lt;0,-(AA81-Uzman_D!$L$12),AA81-Uzman_D!$L$12),(ROUND((IF(AA81-Uzman_D!$L$12&lt;0,-(AA81-Uzman_D!$L$12),AA81-Uzman_D!$L$12)*2),0)/1*0.1),0)+IF(AB81-Uzman_D!$M$12&lt;0,-(AB81-Uzman_D!$M$12),AB81-Uzman_D!$M$12)*1)</f>
        <v>-0.7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3"/>
      <c r="AO81" s="73"/>
      <c r="AP81" s="71">
        <f>1-(SUM(IF(AD81-Uzman_D!$B$13&lt;0,-(AD81-Uzman_D!$B$13),AD81-Uzman_D!$B$13)*0.1+IF(AE81-Uzman_D!$C$13&lt;0,-(AE81-Uzman_D!$C$13),AE81-Uzman_D!$C$13)*0.1+IF(AF81-Uzman_D!$D$13&lt;0,-(AF81-Uzman_D!$D$13),AF81-Uzman_D!$D$13)*0.1+IF(AG81-Uzman_D!$E$13&lt;0,-(AG81-Uzman_D!$E$13),AG81-Uzman_D!$E$13)*0.1+IF(AH81-Uzman_D!$F$13&lt;0,-(AH81-Uzman_D!$F$13),AH81-Uzman_D!$F$13)*0.1+IF(AI81-Uzman_D!$G$13&lt;0,-(AI81-Uzman_D!$G$13),AI81-Uzman_D!$G$13)*0.1+IF(AJ81-Uzman_D!$H$13&lt;0,-(AJ81-Uzman_D!$H$13),AJ81-Uzman_D!$H$13)*0.1+IF(AK81-Uzman_D!$I$13&lt;0,-(AK81-Uzman_D!$I$13),AK81-Uzman_D!$I$13)*0.1+IF(AL81-Uzman_D!$J$13&lt;0,-(AL81-Uzman_D!$J$13),AL81-Uzman_D!$J$13)*0.1)+IF(ROUND((IF(AN81-Uzman_D!$L$13&lt;0,-(AN81-Uzman_D!$L$13),AN81-Uzman_D!$L$13)*2),0)/2=IF(AN81-Uzman_D!$L$13&lt;0,-(AN81-Uzman_D!$L$13),AN81-Uzman_D!$L$13),(ROUND((IF(AN81-Uzman_D!$L$13&lt;0,-(AN81-Uzman_D!$L$13),AN81-Uzman_D!$L$13)*2),0)/1*0.1),0)+IF(AO81-Uzman_D!$M$13&lt;0,-(AO81-Uzman_D!$M$13),AO81-Uzman_D!$M$13)*1)</f>
        <v>-0.30000000000000004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3"/>
      <c r="BB81" s="73"/>
      <c r="BC81" s="71">
        <f>1-(SUM(IF(AQ81-Uzman_D!$B$14&lt;0,-(AQ81-Uzman_D!$B$14),AQ81-Uzman_D!$B$14)*0.1+IF(AR81-Uzman_D!$C$14&lt;0,-(AR81-Uzman_D!$C$14),AR81-Uzman_D!$C$14)*0.1+IF(AS81-Uzman_D!$D$14&lt;0,-(AS81-Uzman_D!$D$14),AS81-Uzman_D!$D$14)*0.1+IF(AT81-Uzman_D!$E$14&lt;0,-(AT81-Uzman_D!$E$14),AT81-Uzman_D!$E$14)*0.1+IF(AU81-Uzman_D!$F$14&lt;0,-(AU81-Uzman_D!$F$14),AU81-Uzman_D!$F$14)*0.1+IF(AV81-Uzman_D!$G$14&lt;0,-(AV81-Uzman_D!$G$14),AV81-Uzman_D!$G$14)*0.1+IF(AW81-Uzman_D!$H$14&lt;0,-(AW81-Uzman_D!$H$14),AW81-Uzman_D!$H$14)*0.1+IF(AX81-Uzman_D!$I$14&lt;0,-(AX81-Uzman_D!$I$14),AX81-Uzman_D!$I$14)*0.1+IF(AY81-Uzman_D!$J$14&lt;0,-(AY81-Uzman_D!$J$14),AY81-Uzman_D!$J$14)*0.1)+IF(ROUND((IF(BA81-Uzman_D!$L$14&lt;0,-(BA81-Uzman_D!$L$14),BA81-Uzman_D!$L$14)*2),0)/2=IF(BA81-Uzman_D!$L$14&lt;0,-(BA81-Uzman_D!$L$14),BA81-Uzman_D!$L$14),(ROUND((IF(BA81-Uzman_D!$L$14&lt;0,-(BA81-Uzman_D!$L$14),BA81-Uzman_D!$L$14)*2),0)/1*0.1),0)+IF(BB81-Uzman_D!$M$14&lt;0,-(BB81-Uzman_D!$M$14),BB81-Uzman_D!$M$14)*1)</f>
        <v>-0.30000000000000027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3"/>
      <c r="BO81" s="73"/>
      <c r="BP81" s="71">
        <f>1-(SUM(IF(BD81-Uzman_D!$B$15&lt;0,-(BD81-Uzman_D!$B$15),BD81-Uzman_D!$B$15)*0.1+IF(BE81-Uzman_D!$C$15&lt;0,-(BE81-Uzman_D!$C$15),BE81-Uzman_D!$C$15)*0.1+IF(BF81-Uzman_D!$D$15&lt;0,-(BF81-Uzman_D!$D$15),BF81-Uzman_D!$D$15)*0.1+IF(BG81-Uzman_D!$E$15&lt;0,-(BG81-Uzman_D!$E$15),BG81-Uzman_D!$E$15)*0.1+IF(BH81-Uzman_D!$F$15&lt;0,-(BH81-Uzman_D!$F$15),BH81-Uzman_D!$F$15)*0.1+IF(BI81-Uzman_D!$G$15&lt;0,-(BI81-Uzman_D!$G$15),BI81-Uzman_D!$G$15)*0.1+IF(BJ81-Uzman_D!$H$15&lt;0,-(BJ81-Uzman_D!$H$15),BJ81-Uzman_D!$H$15)*0.1+IF(BK81-Uzman_D!$I$15&lt;0,-(BK81-Uzman_D!$I$15),BK81-Uzman_D!$I$15)*0.1+IF(BL81-Uzman_D!$J$15&lt;0,-(BL81-Uzman_D!$J$15),BL81-Uzman_D!$J$15)*0.1)+IF(ROUND((IF(BN81-Uzman_D!$L$15&lt;0,-(BN81-Uzman_D!$L$15),BN81-Uzman_D!$L$15)*2),0)/2=IF(BN81-Uzman_D!$L$15&lt;0,-(BN81-Uzman_D!$L$15),BN81-Uzman_D!$L$15),(ROUND((IF(BN81-Uzman_D!$L$15&lt;0,-(BN81-Uzman_D!$L$15),BN81-Uzman_D!$L$15)*2),0)/1*0.1),0)+IF(BO81-Uzman_D!$M$15&lt;0,-(BO81-Uzman_D!$M$15),BO81-Uzman_D!$M$15)*1)</f>
        <v>-0.50000000000000022</v>
      </c>
      <c r="BQ81" s="72">
        <f t="shared" si="2"/>
        <v>-0.54</v>
      </c>
    </row>
    <row r="82" spans="1:69" ht="15" customHeight="1" x14ac:dyDescent="0.45">
      <c r="A82" s="54">
        <v>79</v>
      </c>
      <c r="B82" s="166">
        <f>Hakemler!B82</f>
        <v>0</v>
      </c>
      <c r="C82" s="166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3"/>
      <c r="O82" s="73"/>
      <c r="P82" s="71">
        <f>1-(SUM(IF(D82-Uzman_D!$B$11&lt;0,-(D82-Uzman_D!$B$11),D82-Uzman_D!$B$11)*0.1+IF(E82-Uzman_D!$C$11&lt;0,-(E82-Uzman_D!$C$11),E82-Uzman_D!$C$11)*0.1+IF(F82-Uzman_D!$D$11&lt;0,-(F82-Uzman_D!$D$11),F82-Uzman_D!$D$11)*0.1+IF(G82-Uzman_D!$E$11&lt;0,-(G82-Uzman_D!$E$11),G82-Uzman_D!$E$11)*0.1+IF(H82-Uzman_D!$F$11&lt;0,-(H82-Uzman_D!$F$11),H82-Uzman_D!$F$11)*0.1+IF(I82-Uzman_D!$G$11&lt;0,-(I82-Uzman_D!$G$11),I82-Uzman_D!$G$11)*0.1+IF(J82-Uzman_D!$H$11&lt;0,-(J82-Uzman_D!$H$11),J82-Uzman_D!$H$11)*0.1+IF(K82-Uzman_D!$I$11&lt;0,-(K82-Uzman_D!$I$11),K82-Uzman_D!$I$11)*0.1+IF(L82-Uzman_D!$J$11&lt;0,-(L82-Uzman_D!$J$11),L82-Uzman_D!$J$11)*0.1)+IF(ROUND((IF(N82-Uzman_D!$L$11&lt;0,-(N82-Uzman_D!$L$11),N82-Uzman_D!$L$11)*2),0)/2=IF(N82-Uzman_D!$L$11&lt;0,-(N82-Uzman_D!$L$11),N82-Uzman_D!$L$11),(ROUND((IF(N82-Uzman_D!$L$11&lt;0,-(N82-Uzman_D!$L$11),N82-Uzman_D!$L$11)*2),0)/1*0.1),0)+IF(O82-Uzman_D!$M$11&lt;0,-(O82-Uzman_D!$M$11),O82-Uzman_D!$M$11)*1)</f>
        <v>-0.90000000000000013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3"/>
      <c r="AB82" s="73"/>
      <c r="AC82" s="71">
        <f>1-(SUM(IF(Q82-Uzman_D!$B$12&lt;0,-(Q82-Uzman_D!$B$12),Q82-Uzman_D!$B$12)*0.1+IF(R82-Uzman_D!$C$12&lt;0,-(R82-Uzman_D!$C$12),R82-Uzman_D!$C$12)*0.1+IF(S82-Uzman_D!$D$12&lt;0,-(S82-Uzman_D!$D$12),S82-Uzman_D!$D$12)*0.1+IF(T82-Uzman_D!$E$12&lt;0,-(T82-Uzman_D!$E$12),T82-Uzman_D!$E$12)*0.1+IF(U82-Uzman_D!$F$12&lt;0,-(U82-Uzman_D!$F$12),U82-Uzman_D!$F$12)*0.1+IF(V82-Uzman_D!$G$12&lt;0,-(V82-Uzman_D!$G$12),V82-Uzman_D!$G$12)*0.1+IF(W82-Uzman_D!$H$12&lt;0,-(W82-Uzman_D!$H$12),W82-Uzman_D!$H$12)*0.1+IF(X82-Uzman_D!$I$12&lt;0,-(X82-Uzman_D!$I$12),X82-Uzman_D!$I$12)*0.1+IF(Y82-Uzman_D!$J$12&lt;0,-(Y82-Uzman_D!$J$12),Y82-Uzman_D!$J$12)*0.1)+IF(ROUND((IF(AA82-Uzman_D!$L$12&lt;0,-(AA82-Uzman_D!$L$12),AA82-Uzman_D!$L$12)*2),0)/2=IF(AA82-Uzman_D!$L$12&lt;0,-(AA82-Uzman_D!$L$12),AA82-Uzman_D!$L$12),(ROUND((IF(AA82-Uzman_D!$L$12&lt;0,-(AA82-Uzman_D!$L$12),AA82-Uzman_D!$L$12)*2),0)/1*0.1),0)+IF(AB82-Uzman_D!$M$12&lt;0,-(AB82-Uzman_D!$M$12),AB82-Uzman_D!$M$12)*1)</f>
        <v>-0.7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3"/>
      <c r="AO82" s="73"/>
      <c r="AP82" s="71">
        <f>1-(SUM(IF(AD82-Uzman_D!$B$13&lt;0,-(AD82-Uzman_D!$B$13),AD82-Uzman_D!$B$13)*0.1+IF(AE82-Uzman_D!$C$13&lt;0,-(AE82-Uzman_D!$C$13),AE82-Uzman_D!$C$13)*0.1+IF(AF82-Uzman_D!$D$13&lt;0,-(AF82-Uzman_D!$D$13),AF82-Uzman_D!$D$13)*0.1+IF(AG82-Uzman_D!$E$13&lt;0,-(AG82-Uzman_D!$E$13),AG82-Uzman_D!$E$13)*0.1+IF(AH82-Uzman_D!$F$13&lt;0,-(AH82-Uzman_D!$F$13),AH82-Uzman_D!$F$13)*0.1+IF(AI82-Uzman_D!$G$13&lt;0,-(AI82-Uzman_D!$G$13),AI82-Uzman_D!$G$13)*0.1+IF(AJ82-Uzman_D!$H$13&lt;0,-(AJ82-Uzman_D!$H$13),AJ82-Uzman_D!$H$13)*0.1+IF(AK82-Uzman_D!$I$13&lt;0,-(AK82-Uzman_D!$I$13),AK82-Uzman_D!$I$13)*0.1+IF(AL82-Uzman_D!$J$13&lt;0,-(AL82-Uzman_D!$J$13),AL82-Uzman_D!$J$13)*0.1)+IF(ROUND((IF(AN82-Uzman_D!$L$13&lt;0,-(AN82-Uzman_D!$L$13),AN82-Uzman_D!$L$13)*2),0)/2=IF(AN82-Uzman_D!$L$13&lt;0,-(AN82-Uzman_D!$L$13),AN82-Uzman_D!$L$13),(ROUND((IF(AN82-Uzman_D!$L$13&lt;0,-(AN82-Uzman_D!$L$13),AN82-Uzman_D!$L$13)*2),0)/1*0.1),0)+IF(AO82-Uzman_D!$M$13&lt;0,-(AO82-Uzman_D!$M$13),AO82-Uzman_D!$M$13)*1)</f>
        <v>-0.30000000000000004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3"/>
      <c r="BB82" s="73"/>
      <c r="BC82" s="71">
        <f>1-(SUM(IF(AQ82-Uzman_D!$B$14&lt;0,-(AQ82-Uzman_D!$B$14),AQ82-Uzman_D!$B$14)*0.1+IF(AR82-Uzman_D!$C$14&lt;0,-(AR82-Uzman_D!$C$14),AR82-Uzman_D!$C$14)*0.1+IF(AS82-Uzman_D!$D$14&lt;0,-(AS82-Uzman_D!$D$14),AS82-Uzman_D!$D$14)*0.1+IF(AT82-Uzman_D!$E$14&lt;0,-(AT82-Uzman_D!$E$14),AT82-Uzman_D!$E$14)*0.1+IF(AU82-Uzman_D!$F$14&lt;0,-(AU82-Uzman_D!$F$14),AU82-Uzman_D!$F$14)*0.1+IF(AV82-Uzman_D!$G$14&lt;0,-(AV82-Uzman_D!$G$14),AV82-Uzman_D!$G$14)*0.1+IF(AW82-Uzman_D!$H$14&lt;0,-(AW82-Uzman_D!$H$14),AW82-Uzman_D!$H$14)*0.1+IF(AX82-Uzman_D!$I$14&lt;0,-(AX82-Uzman_D!$I$14),AX82-Uzman_D!$I$14)*0.1+IF(AY82-Uzman_D!$J$14&lt;0,-(AY82-Uzman_D!$J$14),AY82-Uzman_D!$J$14)*0.1)+IF(ROUND((IF(BA82-Uzman_D!$L$14&lt;0,-(BA82-Uzman_D!$L$14),BA82-Uzman_D!$L$14)*2),0)/2=IF(BA82-Uzman_D!$L$14&lt;0,-(BA82-Uzman_D!$L$14),BA82-Uzman_D!$L$14),(ROUND((IF(BA82-Uzman_D!$L$14&lt;0,-(BA82-Uzman_D!$L$14),BA82-Uzman_D!$L$14)*2),0)/1*0.1),0)+IF(BB82-Uzman_D!$M$14&lt;0,-(BB82-Uzman_D!$M$14),BB82-Uzman_D!$M$14)*1)</f>
        <v>-0.30000000000000027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3"/>
      <c r="BO82" s="73"/>
      <c r="BP82" s="71">
        <f>1-(SUM(IF(BD82-Uzman_D!$B$15&lt;0,-(BD82-Uzman_D!$B$15),BD82-Uzman_D!$B$15)*0.1+IF(BE82-Uzman_D!$C$15&lt;0,-(BE82-Uzman_D!$C$15),BE82-Uzman_D!$C$15)*0.1+IF(BF82-Uzman_D!$D$15&lt;0,-(BF82-Uzman_D!$D$15),BF82-Uzman_D!$D$15)*0.1+IF(BG82-Uzman_D!$E$15&lt;0,-(BG82-Uzman_D!$E$15),BG82-Uzman_D!$E$15)*0.1+IF(BH82-Uzman_D!$F$15&lt;0,-(BH82-Uzman_D!$F$15),BH82-Uzman_D!$F$15)*0.1+IF(BI82-Uzman_D!$G$15&lt;0,-(BI82-Uzman_D!$G$15),BI82-Uzman_D!$G$15)*0.1+IF(BJ82-Uzman_D!$H$15&lt;0,-(BJ82-Uzman_D!$H$15),BJ82-Uzman_D!$H$15)*0.1+IF(BK82-Uzman_D!$I$15&lt;0,-(BK82-Uzman_D!$I$15),BK82-Uzman_D!$I$15)*0.1+IF(BL82-Uzman_D!$J$15&lt;0,-(BL82-Uzman_D!$J$15),BL82-Uzman_D!$J$15)*0.1)+IF(ROUND((IF(BN82-Uzman_D!$L$15&lt;0,-(BN82-Uzman_D!$L$15),BN82-Uzman_D!$L$15)*2),0)/2=IF(BN82-Uzman_D!$L$15&lt;0,-(BN82-Uzman_D!$L$15),BN82-Uzman_D!$L$15),(ROUND((IF(BN82-Uzman_D!$L$15&lt;0,-(BN82-Uzman_D!$L$15),BN82-Uzman_D!$L$15)*2),0)/1*0.1),0)+IF(BO82-Uzman_D!$M$15&lt;0,-(BO82-Uzman_D!$M$15),BO82-Uzman_D!$M$15)*1)</f>
        <v>-0.50000000000000022</v>
      </c>
      <c r="BQ82" s="72">
        <f t="shared" si="2"/>
        <v>-0.54</v>
      </c>
    </row>
    <row r="83" spans="1:69" ht="15" customHeight="1" x14ac:dyDescent="0.45">
      <c r="A83" s="54">
        <v>80</v>
      </c>
      <c r="B83" s="166">
        <f>Hakemler!B83</f>
        <v>0</v>
      </c>
      <c r="C83" s="166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3"/>
      <c r="O83" s="73"/>
      <c r="P83" s="71">
        <f>1-(SUM(IF(D83-Uzman_D!$B$11&lt;0,-(D83-Uzman_D!$B$11),D83-Uzman_D!$B$11)*0.1+IF(E83-Uzman_D!$C$11&lt;0,-(E83-Uzman_D!$C$11),E83-Uzman_D!$C$11)*0.1+IF(F83-Uzman_D!$D$11&lt;0,-(F83-Uzman_D!$D$11),F83-Uzman_D!$D$11)*0.1+IF(G83-Uzman_D!$E$11&lt;0,-(G83-Uzman_D!$E$11),G83-Uzman_D!$E$11)*0.1+IF(H83-Uzman_D!$F$11&lt;0,-(H83-Uzman_D!$F$11),H83-Uzman_D!$F$11)*0.1+IF(I83-Uzman_D!$G$11&lt;0,-(I83-Uzman_D!$G$11),I83-Uzman_D!$G$11)*0.1+IF(J83-Uzman_D!$H$11&lt;0,-(J83-Uzman_D!$H$11),J83-Uzman_D!$H$11)*0.1+IF(K83-Uzman_D!$I$11&lt;0,-(K83-Uzman_D!$I$11),K83-Uzman_D!$I$11)*0.1+IF(L83-Uzman_D!$J$11&lt;0,-(L83-Uzman_D!$J$11),L83-Uzman_D!$J$11)*0.1)+IF(ROUND((IF(N83-Uzman_D!$L$11&lt;0,-(N83-Uzman_D!$L$11),N83-Uzman_D!$L$11)*2),0)/2=IF(N83-Uzman_D!$L$11&lt;0,-(N83-Uzman_D!$L$11),N83-Uzman_D!$L$11),(ROUND((IF(N83-Uzman_D!$L$11&lt;0,-(N83-Uzman_D!$L$11),N83-Uzman_D!$L$11)*2),0)/1*0.1),0)+IF(O83-Uzman_D!$M$11&lt;0,-(O83-Uzman_D!$M$11),O83-Uzman_D!$M$11)*1)</f>
        <v>-0.90000000000000013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3"/>
      <c r="AB83" s="73"/>
      <c r="AC83" s="71">
        <f>1-(SUM(IF(Q83-Uzman_D!$B$12&lt;0,-(Q83-Uzman_D!$B$12),Q83-Uzman_D!$B$12)*0.1+IF(R83-Uzman_D!$C$12&lt;0,-(R83-Uzman_D!$C$12),R83-Uzman_D!$C$12)*0.1+IF(S83-Uzman_D!$D$12&lt;0,-(S83-Uzman_D!$D$12),S83-Uzman_D!$D$12)*0.1+IF(T83-Uzman_D!$E$12&lt;0,-(T83-Uzman_D!$E$12),T83-Uzman_D!$E$12)*0.1+IF(U83-Uzman_D!$F$12&lt;0,-(U83-Uzman_D!$F$12),U83-Uzman_D!$F$12)*0.1+IF(V83-Uzman_D!$G$12&lt;0,-(V83-Uzman_D!$G$12),V83-Uzman_D!$G$12)*0.1+IF(W83-Uzman_D!$H$12&lt;0,-(W83-Uzman_D!$H$12),W83-Uzman_D!$H$12)*0.1+IF(X83-Uzman_D!$I$12&lt;0,-(X83-Uzman_D!$I$12),X83-Uzman_D!$I$12)*0.1+IF(Y83-Uzman_D!$J$12&lt;0,-(Y83-Uzman_D!$J$12),Y83-Uzman_D!$J$12)*0.1)+IF(ROUND((IF(AA83-Uzman_D!$L$12&lt;0,-(AA83-Uzman_D!$L$12),AA83-Uzman_D!$L$12)*2),0)/2=IF(AA83-Uzman_D!$L$12&lt;0,-(AA83-Uzman_D!$L$12),AA83-Uzman_D!$L$12),(ROUND((IF(AA83-Uzman_D!$L$12&lt;0,-(AA83-Uzman_D!$L$12),AA83-Uzman_D!$L$12)*2),0)/1*0.1),0)+IF(AB83-Uzman_D!$M$12&lt;0,-(AB83-Uzman_D!$M$12),AB83-Uzman_D!$M$12)*1)</f>
        <v>-0.7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3"/>
      <c r="AO83" s="73"/>
      <c r="AP83" s="71">
        <f>1-(SUM(IF(AD83-Uzman_D!$B$13&lt;0,-(AD83-Uzman_D!$B$13),AD83-Uzman_D!$B$13)*0.1+IF(AE83-Uzman_D!$C$13&lt;0,-(AE83-Uzman_D!$C$13),AE83-Uzman_D!$C$13)*0.1+IF(AF83-Uzman_D!$D$13&lt;0,-(AF83-Uzman_D!$D$13),AF83-Uzman_D!$D$13)*0.1+IF(AG83-Uzman_D!$E$13&lt;0,-(AG83-Uzman_D!$E$13),AG83-Uzman_D!$E$13)*0.1+IF(AH83-Uzman_D!$F$13&lt;0,-(AH83-Uzman_D!$F$13),AH83-Uzman_D!$F$13)*0.1+IF(AI83-Uzman_D!$G$13&lt;0,-(AI83-Uzman_D!$G$13),AI83-Uzman_D!$G$13)*0.1+IF(AJ83-Uzman_D!$H$13&lt;0,-(AJ83-Uzman_D!$H$13),AJ83-Uzman_D!$H$13)*0.1+IF(AK83-Uzman_D!$I$13&lt;0,-(AK83-Uzman_D!$I$13),AK83-Uzman_D!$I$13)*0.1+IF(AL83-Uzman_D!$J$13&lt;0,-(AL83-Uzman_D!$J$13),AL83-Uzman_D!$J$13)*0.1)+IF(ROUND((IF(AN83-Uzman_D!$L$13&lt;0,-(AN83-Uzman_D!$L$13),AN83-Uzman_D!$L$13)*2),0)/2=IF(AN83-Uzman_D!$L$13&lt;0,-(AN83-Uzman_D!$L$13),AN83-Uzman_D!$L$13),(ROUND((IF(AN83-Uzman_D!$L$13&lt;0,-(AN83-Uzman_D!$L$13),AN83-Uzman_D!$L$13)*2),0)/1*0.1),0)+IF(AO83-Uzman_D!$M$13&lt;0,-(AO83-Uzman_D!$M$13),AO83-Uzman_D!$M$13)*1)</f>
        <v>-0.30000000000000004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3"/>
      <c r="BB83" s="73"/>
      <c r="BC83" s="71">
        <f>1-(SUM(IF(AQ83-Uzman_D!$B$14&lt;0,-(AQ83-Uzman_D!$B$14),AQ83-Uzman_D!$B$14)*0.1+IF(AR83-Uzman_D!$C$14&lt;0,-(AR83-Uzman_D!$C$14),AR83-Uzman_D!$C$14)*0.1+IF(AS83-Uzman_D!$D$14&lt;0,-(AS83-Uzman_D!$D$14),AS83-Uzman_D!$D$14)*0.1+IF(AT83-Uzman_D!$E$14&lt;0,-(AT83-Uzman_D!$E$14),AT83-Uzman_D!$E$14)*0.1+IF(AU83-Uzman_D!$F$14&lt;0,-(AU83-Uzman_D!$F$14),AU83-Uzman_D!$F$14)*0.1+IF(AV83-Uzman_D!$G$14&lt;0,-(AV83-Uzman_D!$G$14),AV83-Uzman_D!$G$14)*0.1+IF(AW83-Uzman_D!$H$14&lt;0,-(AW83-Uzman_D!$H$14),AW83-Uzman_D!$H$14)*0.1+IF(AX83-Uzman_D!$I$14&lt;0,-(AX83-Uzman_D!$I$14),AX83-Uzman_D!$I$14)*0.1+IF(AY83-Uzman_D!$J$14&lt;0,-(AY83-Uzman_D!$J$14),AY83-Uzman_D!$J$14)*0.1)+IF(ROUND((IF(BA83-Uzman_D!$L$14&lt;0,-(BA83-Uzman_D!$L$14),BA83-Uzman_D!$L$14)*2),0)/2=IF(BA83-Uzman_D!$L$14&lt;0,-(BA83-Uzman_D!$L$14),BA83-Uzman_D!$L$14),(ROUND((IF(BA83-Uzman_D!$L$14&lt;0,-(BA83-Uzman_D!$L$14),BA83-Uzman_D!$L$14)*2),0)/1*0.1),0)+IF(BB83-Uzman_D!$M$14&lt;0,-(BB83-Uzman_D!$M$14),BB83-Uzman_D!$M$14)*1)</f>
        <v>-0.30000000000000027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3"/>
      <c r="BO83" s="73"/>
      <c r="BP83" s="71">
        <f>1-(SUM(IF(BD83-Uzman_D!$B$15&lt;0,-(BD83-Uzman_D!$B$15),BD83-Uzman_D!$B$15)*0.1+IF(BE83-Uzman_D!$C$15&lt;0,-(BE83-Uzman_D!$C$15),BE83-Uzman_D!$C$15)*0.1+IF(BF83-Uzman_D!$D$15&lt;0,-(BF83-Uzman_D!$D$15),BF83-Uzman_D!$D$15)*0.1+IF(BG83-Uzman_D!$E$15&lt;0,-(BG83-Uzman_D!$E$15),BG83-Uzman_D!$E$15)*0.1+IF(BH83-Uzman_D!$F$15&lt;0,-(BH83-Uzman_D!$F$15),BH83-Uzman_D!$F$15)*0.1+IF(BI83-Uzman_D!$G$15&lt;0,-(BI83-Uzman_D!$G$15),BI83-Uzman_D!$G$15)*0.1+IF(BJ83-Uzman_D!$H$15&lt;0,-(BJ83-Uzman_D!$H$15),BJ83-Uzman_D!$H$15)*0.1+IF(BK83-Uzman_D!$I$15&lt;0,-(BK83-Uzman_D!$I$15),BK83-Uzman_D!$I$15)*0.1+IF(BL83-Uzman_D!$J$15&lt;0,-(BL83-Uzman_D!$J$15),BL83-Uzman_D!$J$15)*0.1)+IF(ROUND((IF(BN83-Uzman_D!$L$15&lt;0,-(BN83-Uzman_D!$L$15),BN83-Uzman_D!$L$15)*2),0)/2=IF(BN83-Uzman_D!$L$15&lt;0,-(BN83-Uzman_D!$L$15),BN83-Uzman_D!$L$15),(ROUND((IF(BN83-Uzman_D!$L$15&lt;0,-(BN83-Uzman_D!$L$15),BN83-Uzman_D!$L$15)*2),0)/1*0.1),0)+IF(BO83-Uzman_D!$M$15&lt;0,-(BO83-Uzman_D!$M$15),BO83-Uzman_D!$M$15)*1)</f>
        <v>-0.50000000000000022</v>
      </c>
      <c r="BQ83" s="72">
        <f t="shared" si="2"/>
        <v>-0.54</v>
      </c>
    </row>
    <row r="84" spans="1:69" ht="15" customHeight="1" x14ac:dyDescent="0.45">
      <c r="A84" s="54">
        <v>81</v>
      </c>
      <c r="B84" s="166">
        <f>Hakemler!B84</f>
        <v>0</v>
      </c>
      <c r="C84" s="166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3"/>
      <c r="O84" s="73"/>
      <c r="P84" s="71">
        <f>1-(SUM(IF(D84-Uzman_D!$B$11&lt;0,-(D84-Uzman_D!$B$11),D84-Uzman_D!$B$11)*0.1+IF(E84-Uzman_D!$C$11&lt;0,-(E84-Uzman_D!$C$11),E84-Uzman_D!$C$11)*0.1+IF(F84-Uzman_D!$D$11&lt;0,-(F84-Uzman_D!$D$11),F84-Uzman_D!$D$11)*0.1+IF(G84-Uzman_D!$E$11&lt;0,-(G84-Uzman_D!$E$11),G84-Uzman_D!$E$11)*0.1+IF(H84-Uzman_D!$F$11&lt;0,-(H84-Uzman_D!$F$11),H84-Uzman_D!$F$11)*0.1+IF(I84-Uzman_D!$G$11&lt;0,-(I84-Uzman_D!$G$11),I84-Uzman_D!$G$11)*0.1+IF(J84-Uzman_D!$H$11&lt;0,-(J84-Uzman_D!$H$11),J84-Uzman_D!$H$11)*0.1+IF(K84-Uzman_D!$I$11&lt;0,-(K84-Uzman_D!$I$11),K84-Uzman_D!$I$11)*0.1+IF(L84-Uzman_D!$J$11&lt;0,-(L84-Uzman_D!$J$11),L84-Uzman_D!$J$11)*0.1)+IF(ROUND((IF(N84-Uzman_D!$L$11&lt;0,-(N84-Uzman_D!$L$11),N84-Uzman_D!$L$11)*2),0)/2=IF(N84-Uzman_D!$L$11&lt;0,-(N84-Uzman_D!$L$11),N84-Uzman_D!$L$11),(ROUND((IF(N84-Uzman_D!$L$11&lt;0,-(N84-Uzman_D!$L$11),N84-Uzman_D!$L$11)*2),0)/1*0.1),0)+IF(O84-Uzman_D!$M$11&lt;0,-(O84-Uzman_D!$M$11),O84-Uzman_D!$M$11)*1)</f>
        <v>-0.90000000000000013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3"/>
      <c r="AB84" s="73"/>
      <c r="AC84" s="71">
        <f>1-(SUM(IF(Q84-Uzman_D!$B$12&lt;0,-(Q84-Uzman_D!$B$12),Q84-Uzman_D!$B$12)*0.1+IF(R84-Uzman_D!$C$12&lt;0,-(R84-Uzman_D!$C$12),R84-Uzman_D!$C$12)*0.1+IF(S84-Uzman_D!$D$12&lt;0,-(S84-Uzman_D!$D$12),S84-Uzman_D!$D$12)*0.1+IF(T84-Uzman_D!$E$12&lt;0,-(T84-Uzman_D!$E$12),T84-Uzman_D!$E$12)*0.1+IF(U84-Uzman_D!$F$12&lt;0,-(U84-Uzman_D!$F$12),U84-Uzman_D!$F$12)*0.1+IF(V84-Uzman_D!$G$12&lt;0,-(V84-Uzman_D!$G$12),V84-Uzman_D!$G$12)*0.1+IF(W84-Uzman_D!$H$12&lt;0,-(W84-Uzman_D!$H$12),W84-Uzman_D!$H$12)*0.1+IF(X84-Uzman_D!$I$12&lt;0,-(X84-Uzman_D!$I$12),X84-Uzman_D!$I$12)*0.1+IF(Y84-Uzman_D!$J$12&lt;0,-(Y84-Uzman_D!$J$12),Y84-Uzman_D!$J$12)*0.1)+IF(ROUND((IF(AA84-Uzman_D!$L$12&lt;0,-(AA84-Uzman_D!$L$12),AA84-Uzman_D!$L$12)*2),0)/2=IF(AA84-Uzman_D!$L$12&lt;0,-(AA84-Uzman_D!$L$12),AA84-Uzman_D!$L$12),(ROUND((IF(AA84-Uzman_D!$L$12&lt;0,-(AA84-Uzman_D!$L$12),AA84-Uzman_D!$L$12)*2),0)/1*0.1),0)+IF(AB84-Uzman_D!$M$12&lt;0,-(AB84-Uzman_D!$M$12),AB84-Uzman_D!$M$12)*1)</f>
        <v>-0.7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3"/>
      <c r="AO84" s="73"/>
      <c r="AP84" s="71">
        <f>1-(SUM(IF(AD84-Uzman_D!$B$13&lt;0,-(AD84-Uzman_D!$B$13),AD84-Uzman_D!$B$13)*0.1+IF(AE84-Uzman_D!$C$13&lt;0,-(AE84-Uzman_D!$C$13),AE84-Uzman_D!$C$13)*0.1+IF(AF84-Uzman_D!$D$13&lt;0,-(AF84-Uzman_D!$D$13),AF84-Uzman_D!$D$13)*0.1+IF(AG84-Uzman_D!$E$13&lt;0,-(AG84-Uzman_D!$E$13),AG84-Uzman_D!$E$13)*0.1+IF(AH84-Uzman_D!$F$13&lt;0,-(AH84-Uzman_D!$F$13),AH84-Uzman_D!$F$13)*0.1+IF(AI84-Uzman_D!$G$13&lt;0,-(AI84-Uzman_D!$G$13),AI84-Uzman_D!$G$13)*0.1+IF(AJ84-Uzman_D!$H$13&lt;0,-(AJ84-Uzman_D!$H$13),AJ84-Uzman_D!$H$13)*0.1+IF(AK84-Uzman_D!$I$13&lt;0,-(AK84-Uzman_D!$I$13),AK84-Uzman_D!$I$13)*0.1+IF(AL84-Uzman_D!$J$13&lt;0,-(AL84-Uzman_D!$J$13),AL84-Uzman_D!$J$13)*0.1)+IF(ROUND((IF(AN84-Uzman_D!$L$13&lt;0,-(AN84-Uzman_D!$L$13),AN84-Uzman_D!$L$13)*2),0)/2=IF(AN84-Uzman_D!$L$13&lt;0,-(AN84-Uzman_D!$L$13),AN84-Uzman_D!$L$13),(ROUND((IF(AN84-Uzman_D!$L$13&lt;0,-(AN84-Uzman_D!$L$13),AN84-Uzman_D!$L$13)*2),0)/1*0.1),0)+IF(AO84-Uzman_D!$M$13&lt;0,-(AO84-Uzman_D!$M$13),AO84-Uzman_D!$M$13)*1)</f>
        <v>-0.30000000000000004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3"/>
      <c r="BB84" s="73"/>
      <c r="BC84" s="71">
        <f>1-(SUM(IF(AQ84-Uzman_D!$B$14&lt;0,-(AQ84-Uzman_D!$B$14),AQ84-Uzman_D!$B$14)*0.1+IF(AR84-Uzman_D!$C$14&lt;0,-(AR84-Uzman_D!$C$14),AR84-Uzman_D!$C$14)*0.1+IF(AS84-Uzman_D!$D$14&lt;0,-(AS84-Uzman_D!$D$14),AS84-Uzman_D!$D$14)*0.1+IF(AT84-Uzman_D!$E$14&lt;0,-(AT84-Uzman_D!$E$14),AT84-Uzman_D!$E$14)*0.1+IF(AU84-Uzman_D!$F$14&lt;0,-(AU84-Uzman_D!$F$14),AU84-Uzman_D!$F$14)*0.1+IF(AV84-Uzman_D!$G$14&lt;0,-(AV84-Uzman_D!$G$14),AV84-Uzman_D!$G$14)*0.1+IF(AW84-Uzman_D!$H$14&lt;0,-(AW84-Uzman_D!$H$14),AW84-Uzman_D!$H$14)*0.1+IF(AX84-Uzman_D!$I$14&lt;0,-(AX84-Uzman_D!$I$14),AX84-Uzman_D!$I$14)*0.1+IF(AY84-Uzman_D!$J$14&lt;0,-(AY84-Uzman_D!$J$14),AY84-Uzman_D!$J$14)*0.1)+IF(ROUND((IF(BA84-Uzman_D!$L$14&lt;0,-(BA84-Uzman_D!$L$14),BA84-Uzman_D!$L$14)*2),0)/2=IF(BA84-Uzman_D!$L$14&lt;0,-(BA84-Uzman_D!$L$14),BA84-Uzman_D!$L$14),(ROUND((IF(BA84-Uzman_D!$L$14&lt;0,-(BA84-Uzman_D!$L$14),BA84-Uzman_D!$L$14)*2),0)/1*0.1),0)+IF(BB84-Uzman_D!$M$14&lt;0,-(BB84-Uzman_D!$M$14),BB84-Uzman_D!$M$14)*1)</f>
        <v>-0.30000000000000027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3"/>
      <c r="BO84" s="73"/>
      <c r="BP84" s="71">
        <f>1-(SUM(IF(BD84-Uzman_D!$B$15&lt;0,-(BD84-Uzman_D!$B$15),BD84-Uzman_D!$B$15)*0.1+IF(BE84-Uzman_D!$C$15&lt;0,-(BE84-Uzman_D!$C$15),BE84-Uzman_D!$C$15)*0.1+IF(BF84-Uzman_D!$D$15&lt;0,-(BF84-Uzman_D!$D$15),BF84-Uzman_D!$D$15)*0.1+IF(BG84-Uzman_D!$E$15&lt;0,-(BG84-Uzman_D!$E$15),BG84-Uzman_D!$E$15)*0.1+IF(BH84-Uzman_D!$F$15&lt;0,-(BH84-Uzman_D!$F$15),BH84-Uzman_D!$F$15)*0.1+IF(BI84-Uzman_D!$G$15&lt;0,-(BI84-Uzman_D!$G$15),BI84-Uzman_D!$G$15)*0.1+IF(BJ84-Uzman_D!$H$15&lt;0,-(BJ84-Uzman_D!$H$15),BJ84-Uzman_D!$H$15)*0.1+IF(BK84-Uzman_D!$I$15&lt;0,-(BK84-Uzman_D!$I$15),BK84-Uzman_D!$I$15)*0.1+IF(BL84-Uzman_D!$J$15&lt;0,-(BL84-Uzman_D!$J$15),BL84-Uzman_D!$J$15)*0.1)+IF(ROUND((IF(BN84-Uzman_D!$L$15&lt;0,-(BN84-Uzman_D!$L$15),BN84-Uzman_D!$L$15)*2),0)/2=IF(BN84-Uzman_D!$L$15&lt;0,-(BN84-Uzman_D!$L$15),BN84-Uzman_D!$L$15),(ROUND((IF(BN84-Uzman_D!$L$15&lt;0,-(BN84-Uzman_D!$L$15),BN84-Uzman_D!$L$15)*2),0)/1*0.1),0)+IF(BO84-Uzman_D!$M$15&lt;0,-(BO84-Uzman_D!$M$15),BO84-Uzman_D!$M$15)*1)</f>
        <v>-0.50000000000000022</v>
      </c>
      <c r="BQ84" s="72">
        <f t="shared" si="2"/>
        <v>-0.54</v>
      </c>
    </row>
    <row r="85" spans="1:69" ht="15" customHeight="1" x14ac:dyDescent="0.45">
      <c r="A85" s="54">
        <v>82</v>
      </c>
      <c r="B85" s="166">
        <f>Hakemler!B85</f>
        <v>0</v>
      </c>
      <c r="C85" s="166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3"/>
      <c r="O85" s="73"/>
      <c r="P85" s="71">
        <f>1-(SUM(IF(D85-Uzman_D!$B$11&lt;0,-(D85-Uzman_D!$B$11),D85-Uzman_D!$B$11)*0.1+IF(E85-Uzman_D!$C$11&lt;0,-(E85-Uzman_D!$C$11),E85-Uzman_D!$C$11)*0.1+IF(F85-Uzman_D!$D$11&lt;0,-(F85-Uzman_D!$D$11),F85-Uzman_D!$D$11)*0.1+IF(G85-Uzman_D!$E$11&lt;0,-(G85-Uzman_D!$E$11),G85-Uzman_D!$E$11)*0.1+IF(H85-Uzman_D!$F$11&lt;0,-(H85-Uzman_D!$F$11),H85-Uzman_D!$F$11)*0.1+IF(I85-Uzman_D!$G$11&lt;0,-(I85-Uzman_D!$G$11),I85-Uzman_D!$G$11)*0.1+IF(J85-Uzman_D!$H$11&lt;0,-(J85-Uzman_D!$H$11),J85-Uzman_D!$H$11)*0.1+IF(K85-Uzman_D!$I$11&lt;0,-(K85-Uzman_D!$I$11),K85-Uzman_D!$I$11)*0.1+IF(L85-Uzman_D!$J$11&lt;0,-(L85-Uzman_D!$J$11),L85-Uzman_D!$J$11)*0.1)+IF(ROUND((IF(N85-Uzman_D!$L$11&lt;0,-(N85-Uzman_D!$L$11),N85-Uzman_D!$L$11)*2),0)/2=IF(N85-Uzman_D!$L$11&lt;0,-(N85-Uzman_D!$L$11),N85-Uzman_D!$L$11),(ROUND((IF(N85-Uzman_D!$L$11&lt;0,-(N85-Uzman_D!$L$11),N85-Uzman_D!$L$11)*2),0)/1*0.1),0)+IF(O85-Uzman_D!$M$11&lt;0,-(O85-Uzman_D!$M$11),O85-Uzman_D!$M$11)*1)</f>
        <v>-0.90000000000000013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3"/>
      <c r="AB85" s="73"/>
      <c r="AC85" s="71">
        <f>1-(SUM(IF(Q85-Uzman_D!$B$12&lt;0,-(Q85-Uzman_D!$B$12),Q85-Uzman_D!$B$12)*0.1+IF(R85-Uzman_D!$C$12&lt;0,-(R85-Uzman_D!$C$12),R85-Uzman_D!$C$12)*0.1+IF(S85-Uzman_D!$D$12&lt;0,-(S85-Uzman_D!$D$12),S85-Uzman_D!$D$12)*0.1+IF(T85-Uzman_D!$E$12&lt;0,-(T85-Uzman_D!$E$12),T85-Uzman_D!$E$12)*0.1+IF(U85-Uzman_D!$F$12&lt;0,-(U85-Uzman_D!$F$12),U85-Uzman_D!$F$12)*0.1+IF(V85-Uzman_D!$G$12&lt;0,-(V85-Uzman_D!$G$12),V85-Uzman_D!$G$12)*0.1+IF(W85-Uzman_D!$H$12&lt;0,-(W85-Uzman_D!$H$12),W85-Uzman_D!$H$12)*0.1+IF(X85-Uzman_D!$I$12&lt;0,-(X85-Uzman_D!$I$12),X85-Uzman_D!$I$12)*0.1+IF(Y85-Uzman_D!$J$12&lt;0,-(Y85-Uzman_D!$J$12),Y85-Uzman_D!$J$12)*0.1)+IF(ROUND((IF(AA85-Uzman_D!$L$12&lt;0,-(AA85-Uzman_D!$L$12),AA85-Uzman_D!$L$12)*2),0)/2=IF(AA85-Uzman_D!$L$12&lt;0,-(AA85-Uzman_D!$L$12),AA85-Uzman_D!$L$12),(ROUND((IF(AA85-Uzman_D!$L$12&lt;0,-(AA85-Uzman_D!$L$12),AA85-Uzman_D!$L$12)*2),0)/1*0.1),0)+IF(AB85-Uzman_D!$M$12&lt;0,-(AB85-Uzman_D!$M$12),AB85-Uzman_D!$M$12)*1)</f>
        <v>-0.7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3"/>
      <c r="AO85" s="73"/>
      <c r="AP85" s="71">
        <f>1-(SUM(IF(AD85-Uzman_D!$B$13&lt;0,-(AD85-Uzman_D!$B$13),AD85-Uzman_D!$B$13)*0.1+IF(AE85-Uzman_D!$C$13&lt;0,-(AE85-Uzman_D!$C$13),AE85-Uzman_D!$C$13)*0.1+IF(AF85-Uzman_D!$D$13&lt;0,-(AF85-Uzman_D!$D$13),AF85-Uzman_D!$D$13)*0.1+IF(AG85-Uzman_D!$E$13&lt;0,-(AG85-Uzman_D!$E$13),AG85-Uzman_D!$E$13)*0.1+IF(AH85-Uzman_D!$F$13&lt;0,-(AH85-Uzman_D!$F$13),AH85-Uzman_D!$F$13)*0.1+IF(AI85-Uzman_D!$G$13&lt;0,-(AI85-Uzman_D!$G$13),AI85-Uzman_D!$G$13)*0.1+IF(AJ85-Uzman_D!$H$13&lt;0,-(AJ85-Uzman_D!$H$13),AJ85-Uzman_D!$H$13)*0.1+IF(AK85-Uzman_D!$I$13&lt;0,-(AK85-Uzman_D!$I$13),AK85-Uzman_D!$I$13)*0.1+IF(AL85-Uzman_D!$J$13&lt;0,-(AL85-Uzman_D!$J$13),AL85-Uzman_D!$J$13)*0.1)+IF(ROUND((IF(AN85-Uzman_D!$L$13&lt;0,-(AN85-Uzman_D!$L$13),AN85-Uzman_D!$L$13)*2),0)/2=IF(AN85-Uzman_D!$L$13&lt;0,-(AN85-Uzman_D!$L$13),AN85-Uzman_D!$L$13),(ROUND((IF(AN85-Uzman_D!$L$13&lt;0,-(AN85-Uzman_D!$L$13),AN85-Uzman_D!$L$13)*2),0)/1*0.1),0)+IF(AO85-Uzman_D!$M$13&lt;0,-(AO85-Uzman_D!$M$13),AO85-Uzman_D!$M$13)*1)</f>
        <v>-0.30000000000000004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3"/>
      <c r="BB85" s="73"/>
      <c r="BC85" s="71">
        <f>1-(SUM(IF(AQ85-Uzman_D!$B$14&lt;0,-(AQ85-Uzman_D!$B$14),AQ85-Uzman_D!$B$14)*0.1+IF(AR85-Uzman_D!$C$14&lt;0,-(AR85-Uzman_D!$C$14),AR85-Uzman_D!$C$14)*0.1+IF(AS85-Uzman_D!$D$14&lt;0,-(AS85-Uzman_D!$D$14),AS85-Uzman_D!$D$14)*0.1+IF(AT85-Uzman_D!$E$14&lt;0,-(AT85-Uzman_D!$E$14),AT85-Uzman_D!$E$14)*0.1+IF(AU85-Uzman_D!$F$14&lt;0,-(AU85-Uzman_D!$F$14),AU85-Uzman_D!$F$14)*0.1+IF(AV85-Uzman_D!$G$14&lt;0,-(AV85-Uzman_D!$G$14),AV85-Uzman_D!$G$14)*0.1+IF(AW85-Uzman_D!$H$14&lt;0,-(AW85-Uzman_D!$H$14),AW85-Uzman_D!$H$14)*0.1+IF(AX85-Uzman_D!$I$14&lt;0,-(AX85-Uzman_D!$I$14),AX85-Uzman_D!$I$14)*0.1+IF(AY85-Uzman_D!$J$14&lt;0,-(AY85-Uzman_D!$J$14),AY85-Uzman_D!$J$14)*0.1)+IF(ROUND((IF(BA85-Uzman_D!$L$14&lt;0,-(BA85-Uzman_D!$L$14),BA85-Uzman_D!$L$14)*2),0)/2=IF(BA85-Uzman_D!$L$14&lt;0,-(BA85-Uzman_D!$L$14),BA85-Uzman_D!$L$14),(ROUND((IF(BA85-Uzman_D!$L$14&lt;0,-(BA85-Uzman_D!$L$14),BA85-Uzman_D!$L$14)*2),0)/1*0.1),0)+IF(BB85-Uzman_D!$M$14&lt;0,-(BB85-Uzman_D!$M$14),BB85-Uzman_D!$M$14)*1)</f>
        <v>-0.30000000000000027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3"/>
      <c r="BO85" s="73"/>
      <c r="BP85" s="71">
        <f>1-(SUM(IF(BD85-Uzman_D!$B$15&lt;0,-(BD85-Uzman_D!$B$15),BD85-Uzman_D!$B$15)*0.1+IF(BE85-Uzman_D!$C$15&lt;0,-(BE85-Uzman_D!$C$15),BE85-Uzman_D!$C$15)*0.1+IF(BF85-Uzman_D!$D$15&lt;0,-(BF85-Uzman_D!$D$15),BF85-Uzman_D!$D$15)*0.1+IF(BG85-Uzman_D!$E$15&lt;0,-(BG85-Uzman_D!$E$15),BG85-Uzman_D!$E$15)*0.1+IF(BH85-Uzman_D!$F$15&lt;0,-(BH85-Uzman_D!$F$15),BH85-Uzman_D!$F$15)*0.1+IF(BI85-Uzman_D!$G$15&lt;0,-(BI85-Uzman_D!$G$15),BI85-Uzman_D!$G$15)*0.1+IF(BJ85-Uzman_D!$H$15&lt;0,-(BJ85-Uzman_D!$H$15),BJ85-Uzman_D!$H$15)*0.1+IF(BK85-Uzman_D!$I$15&lt;0,-(BK85-Uzman_D!$I$15),BK85-Uzman_D!$I$15)*0.1+IF(BL85-Uzman_D!$J$15&lt;0,-(BL85-Uzman_D!$J$15),BL85-Uzman_D!$J$15)*0.1)+IF(ROUND((IF(BN85-Uzman_D!$L$15&lt;0,-(BN85-Uzman_D!$L$15),BN85-Uzman_D!$L$15)*2),0)/2=IF(BN85-Uzman_D!$L$15&lt;0,-(BN85-Uzman_D!$L$15),BN85-Uzman_D!$L$15),(ROUND((IF(BN85-Uzman_D!$L$15&lt;0,-(BN85-Uzman_D!$L$15),BN85-Uzman_D!$L$15)*2),0)/1*0.1),0)+IF(BO85-Uzman_D!$M$15&lt;0,-(BO85-Uzman_D!$M$15),BO85-Uzman_D!$M$15)*1)</f>
        <v>-0.50000000000000022</v>
      </c>
      <c r="BQ85" s="72">
        <f t="shared" si="2"/>
        <v>-0.54</v>
      </c>
    </row>
    <row r="86" spans="1:69" ht="15" customHeight="1" x14ac:dyDescent="0.45">
      <c r="A86" s="54">
        <v>83</v>
      </c>
      <c r="B86" s="166">
        <f>Hakemler!B86</f>
        <v>0</v>
      </c>
      <c r="C86" s="166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3"/>
      <c r="O86" s="73"/>
      <c r="P86" s="71">
        <f>1-(SUM(IF(D86-Uzman_D!$B$11&lt;0,-(D86-Uzman_D!$B$11),D86-Uzman_D!$B$11)*0.1+IF(E86-Uzman_D!$C$11&lt;0,-(E86-Uzman_D!$C$11),E86-Uzman_D!$C$11)*0.1+IF(F86-Uzman_D!$D$11&lt;0,-(F86-Uzman_D!$D$11),F86-Uzman_D!$D$11)*0.1+IF(G86-Uzman_D!$E$11&lt;0,-(G86-Uzman_D!$E$11),G86-Uzman_D!$E$11)*0.1+IF(H86-Uzman_D!$F$11&lt;0,-(H86-Uzman_D!$F$11),H86-Uzman_D!$F$11)*0.1+IF(I86-Uzman_D!$G$11&lt;0,-(I86-Uzman_D!$G$11),I86-Uzman_D!$G$11)*0.1+IF(J86-Uzman_D!$H$11&lt;0,-(J86-Uzman_D!$H$11),J86-Uzman_D!$H$11)*0.1+IF(K86-Uzman_D!$I$11&lt;0,-(K86-Uzman_D!$I$11),K86-Uzman_D!$I$11)*0.1+IF(L86-Uzman_D!$J$11&lt;0,-(L86-Uzman_D!$J$11),L86-Uzman_D!$J$11)*0.1)+IF(ROUND((IF(N86-Uzman_D!$L$11&lt;0,-(N86-Uzman_D!$L$11),N86-Uzman_D!$L$11)*2),0)/2=IF(N86-Uzman_D!$L$11&lt;0,-(N86-Uzman_D!$L$11),N86-Uzman_D!$L$11),(ROUND((IF(N86-Uzman_D!$L$11&lt;0,-(N86-Uzman_D!$L$11),N86-Uzman_D!$L$11)*2),0)/1*0.1),0)+IF(O86-Uzman_D!$M$11&lt;0,-(O86-Uzman_D!$M$11),O86-Uzman_D!$M$11)*1)</f>
        <v>-0.90000000000000013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3"/>
      <c r="AB86" s="73"/>
      <c r="AC86" s="71">
        <f>1-(SUM(IF(Q86-Uzman_D!$B$12&lt;0,-(Q86-Uzman_D!$B$12),Q86-Uzman_D!$B$12)*0.1+IF(R86-Uzman_D!$C$12&lt;0,-(R86-Uzman_D!$C$12),R86-Uzman_D!$C$12)*0.1+IF(S86-Uzman_D!$D$12&lt;0,-(S86-Uzman_D!$D$12),S86-Uzman_D!$D$12)*0.1+IF(T86-Uzman_D!$E$12&lt;0,-(T86-Uzman_D!$E$12),T86-Uzman_D!$E$12)*0.1+IF(U86-Uzman_D!$F$12&lt;0,-(U86-Uzman_D!$F$12),U86-Uzman_D!$F$12)*0.1+IF(V86-Uzman_D!$G$12&lt;0,-(V86-Uzman_D!$G$12),V86-Uzman_D!$G$12)*0.1+IF(W86-Uzman_D!$H$12&lt;0,-(W86-Uzman_D!$H$12),W86-Uzman_D!$H$12)*0.1+IF(X86-Uzman_D!$I$12&lt;0,-(X86-Uzman_D!$I$12),X86-Uzman_D!$I$12)*0.1+IF(Y86-Uzman_D!$J$12&lt;0,-(Y86-Uzman_D!$J$12),Y86-Uzman_D!$J$12)*0.1)+IF(ROUND((IF(AA86-Uzman_D!$L$12&lt;0,-(AA86-Uzman_D!$L$12),AA86-Uzman_D!$L$12)*2),0)/2=IF(AA86-Uzman_D!$L$12&lt;0,-(AA86-Uzman_D!$L$12),AA86-Uzman_D!$L$12),(ROUND((IF(AA86-Uzman_D!$L$12&lt;0,-(AA86-Uzman_D!$L$12),AA86-Uzman_D!$L$12)*2),0)/1*0.1),0)+IF(AB86-Uzman_D!$M$12&lt;0,-(AB86-Uzman_D!$M$12),AB86-Uzman_D!$M$12)*1)</f>
        <v>-0.7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3"/>
      <c r="AO86" s="73"/>
      <c r="AP86" s="71">
        <f>1-(SUM(IF(AD86-Uzman_D!$B$13&lt;0,-(AD86-Uzman_D!$B$13),AD86-Uzman_D!$B$13)*0.1+IF(AE86-Uzman_D!$C$13&lt;0,-(AE86-Uzman_D!$C$13),AE86-Uzman_D!$C$13)*0.1+IF(AF86-Uzman_D!$D$13&lt;0,-(AF86-Uzman_D!$D$13),AF86-Uzman_D!$D$13)*0.1+IF(AG86-Uzman_D!$E$13&lt;0,-(AG86-Uzman_D!$E$13),AG86-Uzman_D!$E$13)*0.1+IF(AH86-Uzman_D!$F$13&lt;0,-(AH86-Uzman_D!$F$13),AH86-Uzman_D!$F$13)*0.1+IF(AI86-Uzman_D!$G$13&lt;0,-(AI86-Uzman_D!$G$13),AI86-Uzman_D!$G$13)*0.1+IF(AJ86-Uzman_D!$H$13&lt;0,-(AJ86-Uzman_D!$H$13),AJ86-Uzman_D!$H$13)*0.1+IF(AK86-Uzman_D!$I$13&lt;0,-(AK86-Uzman_D!$I$13),AK86-Uzman_D!$I$13)*0.1+IF(AL86-Uzman_D!$J$13&lt;0,-(AL86-Uzman_D!$J$13),AL86-Uzman_D!$J$13)*0.1)+IF(ROUND((IF(AN86-Uzman_D!$L$13&lt;0,-(AN86-Uzman_D!$L$13),AN86-Uzman_D!$L$13)*2),0)/2=IF(AN86-Uzman_D!$L$13&lt;0,-(AN86-Uzman_D!$L$13),AN86-Uzman_D!$L$13),(ROUND((IF(AN86-Uzman_D!$L$13&lt;0,-(AN86-Uzman_D!$L$13),AN86-Uzman_D!$L$13)*2),0)/1*0.1),0)+IF(AO86-Uzman_D!$M$13&lt;0,-(AO86-Uzman_D!$M$13),AO86-Uzman_D!$M$13)*1)</f>
        <v>-0.30000000000000004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3"/>
      <c r="BB86" s="73"/>
      <c r="BC86" s="71">
        <f>1-(SUM(IF(AQ86-Uzman_D!$B$14&lt;0,-(AQ86-Uzman_D!$B$14),AQ86-Uzman_D!$B$14)*0.1+IF(AR86-Uzman_D!$C$14&lt;0,-(AR86-Uzman_D!$C$14),AR86-Uzman_D!$C$14)*0.1+IF(AS86-Uzman_D!$D$14&lt;0,-(AS86-Uzman_D!$D$14),AS86-Uzman_D!$D$14)*0.1+IF(AT86-Uzman_D!$E$14&lt;0,-(AT86-Uzman_D!$E$14),AT86-Uzman_D!$E$14)*0.1+IF(AU86-Uzman_D!$F$14&lt;0,-(AU86-Uzman_D!$F$14),AU86-Uzman_D!$F$14)*0.1+IF(AV86-Uzman_D!$G$14&lt;0,-(AV86-Uzman_D!$G$14),AV86-Uzman_D!$G$14)*0.1+IF(AW86-Uzman_D!$H$14&lt;0,-(AW86-Uzman_D!$H$14),AW86-Uzman_D!$H$14)*0.1+IF(AX86-Uzman_D!$I$14&lt;0,-(AX86-Uzman_D!$I$14),AX86-Uzman_D!$I$14)*0.1+IF(AY86-Uzman_D!$J$14&lt;0,-(AY86-Uzman_D!$J$14),AY86-Uzman_D!$J$14)*0.1)+IF(ROUND((IF(BA86-Uzman_D!$L$14&lt;0,-(BA86-Uzman_D!$L$14),BA86-Uzman_D!$L$14)*2),0)/2=IF(BA86-Uzman_D!$L$14&lt;0,-(BA86-Uzman_D!$L$14),BA86-Uzman_D!$L$14),(ROUND((IF(BA86-Uzman_D!$L$14&lt;0,-(BA86-Uzman_D!$L$14),BA86-Uzman_D!$L$14)*2),0)/1*0.1),0)+IF(BB86-Uzman_D!$M$14&lt;0,-(BB86-Uzman_D!$M$14),BB86-Uzman_D!$M$14)*1)</f>
        <v>-0.30000000000000027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3"/>
      <c r="BO86" s="73"/>
      <c r="BP86" s="71">
        <f>1-(SUM(IF(BD86-Uzman_D!$B$15&lt;0,-(BD86-Uzman_D!$B$15),BD86-Uzman_D!$B$15)*0.1+IF(BE86-Uzman_D!$C$15&lt;0,-(BE86-Uzman_D!$C$15),BE86-Uzman_D!$C$15)*0.1+IF(BF86-Uzman_D!$D$15&lt;0,-(BF86-Uzman_D!$D$15),BF86-Uzman_D!$D$15)*0.1+IF(BG86-Uzman_D!$E$15&lt;0,-(BG86-Uzman_D!$E$15),BG86-Uzman_D!$E$15)*0.1+IF(BH86-Uzman_D!$F$15&lt;0,-(BH86-Uzman_D!$F$15),BH86-Uzman_D!$F$15)*0.1+IF(BI86-Uzman_D!$G$15&lt;0,-(BI86-Uzman_D!$G$15),BI86-Uzman_D!$G$15)*0.1+IF(BJ86-Uzman_D!$H$15&lt;0,-(BJ86-Uzman_D!$H$15),BJ86-Uzman_D!$H$15)*0.1+IF(BK86-Uzman_D!$I$15&lt;0,-(BK86-Uzman_D!$I$15),BK86-Uzman_D!$I$15)*0.1+IF(BL86-Uzman_D!$J$15&lt;0,-(BL86-Uzman_D!$J$15),BL86-Uzman_D!$J$15)*0.1)+IF(ROUND((IF(BN86-Uzman_D!$L$15&lt;0,-(BN86-Uzman_D!$L$15),BN86-Uzman_D!$L$15)*2),0)/2=IF(BN86-Uzman_D!$L$15&lt;0,-(BN86-Uzman_D!$L$15),BN86-Uzman_D!$L$15),(ROUND((IF(BN86-Uzman_D!$L$15&lt;0,-(BN86-Uzman_D!$L$15),BN86-Uzman_D!$L$15)*2),0)/1*0.1),0)+IF(BO86-Uzman_D!$M$15&lt;0,-(BO86-Uzman_D!$M$15),BO86-Uzman_D!$M$15)*1)</f>
        <v>-0.50000000000000022</v>
      </c>
      <c r="BQ86" s="72">
        <f t="shared" si="2"/>
        <v>-0.54</v>
      </c>
    </row>
    <row r="87" spans="1:69" ht="15" customHeight="1" x14ac:dyDescent="0.45">
      <c r="A87" s="54">
        <v>84</v>
      </c>
      <c r="B87" s="166">
        <f>Hakemler!B87</f>
        <v>0</v>
      </c>
      <c r="C87" s="166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3"/>
      <c r="O87" s="73"/>
      <c r="P87" s="71">
        <f>1-(SUM(IF(D87-Uzman_D!$B$11&lt;0,-(D87-Uzman_D!$B$11),D87-Uzman_D!$B$11)*0.1+IF(E87-Uzman_D!$C$11&lt;0,-(E87-Uzman_D!$C$11),E87-Uzman_D!$C$11)*0.1+IF(F87-Uzman_D!$D$11&lt;0,-(F87-Uzman_D!$D$11),F87-Uzman_D!$D$11)*0.1+IF(G87-Uzman_D!$E$11&lt;0,-(G87-Uzman_D!$E$11),G87-Uzman_D!$E$11)*0.1+IF(H87-Uzman_D!$F$11&lt;0,-(H87-Uzman_D!$F$11),H87-Uzman_D!$F$11)*0.1+IF(I87-Uzman_D!$G$11&lt;0,-(I87-Uzman_D!$G$11),I87-Uzman_D!$G$11)*0.1+IF(J87-Uzman_D!$H$11&lt;0,-(J87-Uzman_D!$H$11),J87-Uzman_D!$H$11)*0.1+IF(K87-Uzman_D!$I$11&lt;0,-(K87-Uzman_D!$I$11),K87-Uzman_D!$I$11)*0.1+IF(L87-Uzman_D!$J$11&lt;0,-(L87-Uzman_D!$J$11),L87-Uzman_D!$J$11)*0.1)+IF(ROUND((IF(N87-Uzman_D!$L$11&lt;0,-(N87-Uzman_D!$L$11),N87-Uzman_D!$L$11)*2),0)/2=IF(N87-Uzman_D!$L$11&lt;0,-(N87-Uzman_D!$L$11),N87-Uzman_D!$L$11),(ROUND((IF(N87-Uzman_D!$L$11&lt;0,-(N87-Uzman_D!$L$11),N87-Uzman_D!$L$11)*2),0)/1*0.1),0)+IF(O87-Uzman_D!$M$11&lt;0,-(O87-Uzman_D!$M$11),O87-Uzman_D!$M$11)*1)</f>
        <v>-0.90000000000000013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3"/>
      <c r="AB87" s="73"/>
      <c r="AC87" s="71">
        <f>1-(SUM(IF(Q87-Uzman_D!$B$12&lt;0,-(Q87-Uzman_D!$B$12),Q87-Uzman_D!$B$12)*0.1+IF(R87-Uzman_D!$C$12&lt;0,-(R87-Uzman_D!$C$12),R87-Uzman_D!$C$12)*0.1+IF(S87-Uzman_D!$D$12&lt;0,-(S87-Uzman_D!$D$12),S87-Uzman_D!$D$12)*0.1+IF(T87-Uzman_D!$E$12&lt;0,-(T87-Uzman_D!$E$12),T87-Uzman_D!$E$12)*0.1+IF(U87-Uzman_D!$F$12&lt;0,-(U87-Uzman_D!$F$12),U87-Uzman_D!$F$12)*0.1+IF(V87-Uzman_D!$G$12&lt;0,-(V87-Uzman_D!$G$12),V87-Uzman_D!$G$12)*0.1+IF(W87-Uzman_D!$H$12&lt;0,-(W87-Uzman_D!$H$12),W87-Uzman_D!$H$12)*0.1+IF(X87-Uzman_D!$I$12&lt;0,-(X87-Uzman_D!$I$12),X87-Uzman_D!$I$12)*0.1+IF(Y87-Uzman_D!$J$12&lt;0,-(Y87-Uzman_D!$J$12),Y87-Uzman_D!$J$12)*0.1)+IF(ROUND((IF(AA87-Uzman_D!$L$12&lt;0,-(AA87-Uzman_D!$L$12),AA87-Uzman_D!$L$12)*2),0)/2=IF(AA87-Uzman_D!$L$12&lt;0,-(AA87-Uzman_D!$L$12),AA87-Uzman_D!$L$12),(ROUND((IF(AA87-Uzman_D!$L$12&lt;0,-(AA87-Uzman_D!$L$12),AA87-Uzman_D!$L$12)*2),0)/1*0.1),0)+IF(AB87-Uzman_D!$M$12&lt;0,-(AB87-Uzman_D!$M$12),AB87-Uzman_D!$M$12)*1)</f>
        <v>-0.7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3"/>
      <c r="AO87" s="73"/>
      <c r="AP87" s="71">
        <f>1-(SUM(IF(AD87-Uzman_D!$B$13&lt;0,-(AD87-Uzman_D!$B$13),AD87-Uzman_D!$B$13)*0.1+IF(AE87-Uzman_D!$C$13&lt;0,-(AE87-Uzman_D!$C$13),AE87-Uzman_D!$C$13)*0.1+IF(AF87-Uzman_D!$D$13&lt;0,-(AF87-Uzman_D!$D$13),AF87-Uzman_D!$D$13)*0.1+IF(AG87-Uzman_D!$E$13&lt;0,-(AG87-Uzman_D!$E$13),AG87-Uzman_D!$E$13)*0.1+IF(AH87-Uzman_D!$F$13&lt;0,-(AH87-Uzman_D!$F$13),AH87-Uzman_D!$F$13)*0.1+IF(AI87-Uzman_D!$G$13&lt;0,-(AI87-Uzman_D!$G$13),AI87-Uzman_D!$G$13)*0.1+IF(AJ87-Uzman_D!$H$13&lt;0,-(AJ87-Uzman_D!$H$13),AJ87-Uzman_D!$H$13)*0.1+IF(AK87-Uzman_D!$I$13&lt;0,-(AK87-Uzman_D!$I$13),AK87-Uzman_D!$I$13)*0.1+IF(AL87-Uzman_D!$J$13&lt;0,-(AL87-Uzman_D!$J$13),AL87-Uzman_D!$J$13)*0.1)+IF(ROUND((IF(AN87-Uzman_D!$L$13&lt;0,-(AN87-Uzman_D!$L$13),AN87-Uzman_D!$L$13)*2),0)/2=IF(AN87-Uzman_D!$L$13&lt;0,-(AN87-Uzman_D!$L$13),AN87-Uzman_D!$L$13),(ROUND((IF(AN87-Uzman_D!$L$13&lt;0,-(AN87-Uzman_D!$L$13),AN87-Uzman_D!$L$13)*2),0)/1*0.1),0)+IF(AO87-Uzman_D!$M$13&lt;0,-(AO87-Uzman_D!$M$13),AO87-Uzman_D!$M$13)*1)</f>
        <v>-0.30000000000000004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3"/>
      <c r="BB87" s="73"/>
      <c r="BC87" s="71">
        <f>1-(SUM(IF(AQ87-Uzman_D!$B$14&lt;0,-(AQ87-Uzman_D!$B$14),AQ87-Uzman_D!$B$14)*0.1+IF(AR87-Uzman_D!$C$14&lt;0,-(AR87-Uzman_D!$C$14),AR87-Uzman_D!$C$14)*0.1+IF(AS87-Uzman_D!$D$14&lt;0,-(AS87-Uzman_D!$D$14),AS87-Uzman_D!$D$14)*0.1+IF(AT87-Uzman_D!$E$14&lt;0,-(AT87-Uzman_D!$E$14),AT87-Uzman_D!$E$14)*0.1+IF(AU87-Uzman_D!$F$14&lt;0,-(AU87-Uzman_D!$F$14),AU87-Uzman_D!$F$14)*0.1+IF(AV87-Uzman_D!$G$14&lt;0,-(AV87-Uzman_D!$G$14),AV87-Uzman_D!$G$14)*0.1+IF(AW87-Uzman_D!$H$14&lt;0,-(AW87-Uzman_D!$H$14),AW87-Uzman_D!$H$14)*0.1+IF(AX87-Uzman_D!$I$14&lt;0,-(AX87-Uzman_D!$I$14),AX87-Uzman_D!$I$14)*0.1+IF(AY87-Uzman_D!$J$14&lt;0,-(AY87-Uzman_D!$J$14),AY87-Uzman_D!$J$14)*0.1)+IF(ROUND((IF(BA87-Uzman_D!$L$14&lt;0,-(BA87-Uzman_D!$L$14),BA87-Uzman_D!$L$14)*2),0)/2=IF(BA87-Uzman_D!$L$14&lt;0,-(BA87-Uzman_D!$L$14),BA87-Uzman_D!$L$14),(ROUND((IF(BA87-Uzman_D!$L$14&lt;0,-(BA87-Uzman_D!$L$14),BA87-Uzman_D!$L$14)*2),0)/1*0.1),0)+IF(BB87-Uzman_D!$M$14&lt;0,-(BB87-Uzman_D!$M$14),BB87-Uzman_D!$M$14)*1)</f>
        <v>-0.30000000000000027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3"/>
      <c r="BO87" s="73"/>
      <c r="BP87" s="71">
        <f>1-(SUM(IF(BD87-Uzman_D!$B$15&lt;0,-(BD87-Uzman_D!$B$15),BD87-Uzman_D!$B$15)*0.1+IF(BE87-Uzman_D!$C$15&lt;0,-(BE87-Uzman_D!$C$15),BE87-Uzman_D!$C$15)*0.1+IF(BF87-Uzman_D!$D$15&lt;0,-(BF87-Uzman_D!$D$15),BF87-Uzman_D!$D$15)*0.1+IF(BG87-Uzman_D!$E$15&lt;0,-(BG87-Uzman_D!$E$15),BG87-Uzman_D!$E$15)*0.1+IF(BH87-Uzman_D!$F$15&lt;0,-(BH87-Uzman_D!$F$15),BH87-Uzman_D!$F$15)*0.1+IF(BI87-Uzman_D!$G$15&lt;0,-(BI87-Uzman_D!$G$15),BI87-Uzman_D!$G$15)*0.1+IF(BJ87-Uzman_D!$H$15&lt;0,-(BJ87-Uzman_D!$H$15),BJ87-Uzman_D!$H$15)*0.1+IF(BK87-Uzman_D!$I$15&lt;0,-(BK87-Uzman_D!$I$15),BK87-Uzman_D!$I$15)*0.1+IF(BL87-Uzman_D!$J$15&lt;0,-(BL87-Uzman_D!$J$15),BL87-Uzman_D!$J$15)*0.1)+IF(ROUND((IF(BN87-Uzman_D!$L$15&lt;0,-(BN87-Uzman_D!$L$15),BN87-Uzman_D!$L$15)*2),0)/2=IF(BN87-Uzman_D!$L$15&lt;0,-(BN87-Uzman_D!$L$15),BN87-Uzman_D!$L$15),(ROUND((IF(BN87-Uzman_D!$L$15&lt;0,-(BN87-Uzman_D!$L$15),BN87-Uzman_D!$L$15)*2),0)/1*0.1),0)+IF(BO87-Uzman_D!$M$15&lt;0,-(BO87-Uzman_D!$M$15),BO87-Uzman_D!$M$15)*1)</f>
        <v>-0.50000000000000022</v>
      </c>
      <c r="BQ87" s="72">
        <f t="shared" si="2"/>
        <v>-0.54</v>
      </c>
    </row>
    <row r="88" spans="1:69" ht="15" customHeight="1" x14ac:dyDescent="0.45">
      <c r="A88" s="54">
        <v>85</v>
      </c>
      <c r="B88" s="166">
        <f>Hakemler!B88</f>
        <v>0</v>
      </c>
      <c r="C88" s="166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3"/>
      <c r="O88" s="73"/>
      <c r="P88" s="71">
        <f>1-(SUM(IF(D88-Uzman_D!$B$11&lt;0,-(D88-Uzman_D!$B$11),D88-Uzman_D!$B$11)*0.1+IF(E88-Uzman_D!$C$11&lt;0,-(E88-Uzman_D!$C$11),E88-Uzman_D!$C$11)*0.1+IF(F88-Uzman_D!$D$11&lt;0,-(F88-Uzman_D!$D$11),F88-Uzman_D!$D$11)*0.1+IF(G88-Uzman_D!$E$11&lt;0,-(G88-Uzman_D!$E$11),G88-Uzman_D!$E$11)*0.1+IF(H88-Uzman_D!$F$11&lt;0,-(H88-Uzman_D!$F$11),H88-Uzman_D!$F$11)*0.1+IF(I88-Uzman_D!$G$11&lt;0,-(I88-Uzman_D!$G$11),I88-Uzman_D!$G$11)*0.1+IF(J88-Uzman_D!$H$11&lt;0,-(J88-Uzman_D!$H$11),J88-Uzman_D!$H$11)*0.1+IF(K88-Uzman_D!$I$11&lt;0,-(K88-Uzman_D!$I$11),K88-Uzman_D!$I$11)*0.1+IF(L88-Uzman_D!$J$11&lt;0,-(L88-Uzman_D!$J$11),L88-Uzman_D!$J$11)*0.1)+IF(ROUND((IF(N88-Uzman_D!$L$11&lt;0,-(N88-Uzman_D!$L$11),N88-Uzman_D!$L$11)*2),0)/2=IF(N88-Uzman_D!$L$11&lt;0,-(N88-Uzman_D!$L$11),N88-Uzman_D!$L$11),(ROUND((IF(N88-Uzman_D!$L$11&lt;0,-(N88-Uzman_D!$L$11),N88-Uzman_D!$L$11)*2),0)/1*0.1),0)+IF(O88-Uzman_D!$M$11&lt;0,-(O88-Uzman_D!$M$11),O88-Uzman_D!$M$11)*1)</f>
        <v>-0.90000000000000013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3"/>
      <c r="AB88" s="73"/>
      <c r="AC88" s="71">
        <f>1-(SUM(IF(Q88-Uzman_D!$B$12&lt;0,-(Q88-Uzman_D!$B$12),Q88-Uzman_D!$B$12)*0.1+IF(R88-Uzman_D!$C$12&lt;0,-(R88-Uzman_D!$C$12),R88-Uzman_D!$C$12)*0.1+IF(S88-Uzman_D!$D$12&lt;0,-(S88-Uzman_D!$D$12),S88-Uzman_D!$D$12)*0.1+IF(T88-Uzman_D!$E$12&lt;0,-(T88-Uzman_D!$E$12),T88-Uzman_D!$E$12)*0.1+IF(U88-Uzman_D!$F$12&lt;0,-(U88-Uzman_D!$F$12),U88-Uzman_D!$F$12)*0.1+IF(V88-Uzman_D!$G$12&lt;0,-(V88-Uzman_D!$G$12),V88-Uzman_D!$G$12)*0.1+IF(W88-Uzman_D!$H$12&lt;0,-(W88-Uzman_D!$H$12),W88-Uzman_D!$H$12)*0.1+IF(X88-Uzman_D!$I$12&lt;0,-(X88-Uzman_D!$I$12),X88-Uzman_D!$I$12)*0.1+IF(Y88-Uzman_D!$J$12&lt;0,-(Y88-Uzman_D!$J$12),Y88-Uzman_D!$J$12)*0.1)+IF(ROUND((IF(AA88-Uzman_D!$L$12&lt;0,-(AA88-Uzman_D!$L$12),AA88-Uzman_D!$L$12)*2),0)/2=IF(AA88-Uzman_D!$L$12&lt;0,-(AA88-Uzman_D!$L$12),AA88-Uzman_D!$L$12),(ROUND((IF(AA88-Uzman_D!$L$12&lt;0,-(AA88-Uzman_D!$L$12),AA88-Uzman_D!$L$12)*2),0)/1*0.1),0)+IF(AB88-Uzman_D!$M$12&lt;0,-(AB88-Uzman_D!$M$12),AB88-Uzman_D!$M$12)*1)</f>
        <v>-0.7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3"/>
      <c r="AO88" s="73"/>
      <c r="AP88" s="71">
        <f>1-(SUM(IF(AD88-Uzman_D!$B$13&lt;0,-(AD88-Uzman_D!$B$13),AD88-Uzman_D!$B$13)*0.1+IF(AE88-Uzman_D!$C$13&lt;0,-(AE88-Uzman_D!$C$13),AE88-Uzman_D!$C$13)*0.1+IF(AF88-Uzman_D!$D$13&lt;0,-(AF88-Uzman_D!$D$13),AF88-Uzman_D!$D$13)*0.1+IF(AG88-Uzman_D!$E$13&lt;0,-(AG88-Uzman_D!$E$13),AG88-Uzman_D!$E$13)*0.1+IF(AH88-Uzman_D!$F$13&lt;0,-(AH88-Uzman_D!$F$13),AH88-Uzman_D!$F$13)*0.1+IF(AI88-Uzman_D!$G$13&lt;0,-(AI88-Uzman_D!$G$13),AI88-Uzman_D!$G$13)*0.1+IF(AJ88-Uzman_D!$H$13&lt;0,-(AJ88-Uzman_D!$H$13),AJ88-Uzman_D!$H$13)*0.1+IF(AK88-Uzman_D!$I$13&lt;0,-(AK88-Uzman_D!$I$13),AK88-Uzman_D!$I$13)*0.1+IF(AL88-Uzman_D!$J$13&lt;0,-(AL88-Uzman_D!$J$13),AL88-Uzman_D!$J$13)*0.1)+IF(ROUND((IF(AN88-Uzman_D!$L$13&lt;0,-(AN88-Uzman_D!$L$13),AN88-Uzman_D!$L$13)*2),0)/2=IF(AN88-Uzman_D!$L$13&lt;0,-(AN88-Uzman_D!$L$13),AN88-Uzman_D!$L$13),(ROUND((IF(AN88-Uzman_D!$L$13&lt;0,-(AN88-Uzman_D!$L$13),AN88-Uzman_D!$L$13)*2),0)/1*0.1),0)+IF(AO88-Uzman_D!$M$13&lt;0,-(AO88-Uzman_D!$M$13),AO88-Uzman_D!$M$13)*1)</f>
        <v>-0.30000000000000004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3"/>
      <c r="BB88" s="73"/>
      <c r="BC88" s="71">
        <f>1-(SUM(IF(AQ88-Uzman_D!$B$14&lt;0,-(AQ88-Uzman_D!$B$14),AQ88-Uzman_D!$B$14)*0.1+IF(AR88-Uzman_D!$C$14&lt;0,-(AR88-Uzman_D!$C$14),AR88-Uzman_D!$C$14)*0.1+IF(AS88-Uzman_D!$D$14&lt;0,-(AS88-Uzman_D!$D$14),AS88-Uzman_D!$D$14)*0.1+IF(AT88-Uzman_D!$E$14&lt;0,-(AT88-Uzman_D!$E$14),AT88-Uzman_D!$E$14)*0.1+IF(AU88-Uzman_D!$F$14&lt;0,-(AU88-Uzman_D!$F$14),AU88-Uzman_D!$F$14)*0.1+IF(AV88-Uzman_D!$G$14&lt;0,-(AV88-Uzman_D!$G$14),AV88-Uzman_D!$G$14)*0.1+IF(AW88-Uzman_D!$H$14&lt;0,-(AW88-Uzman_D!$H$14),AW88-Uzman_D!$H$14)*0.1+IF(AX88-Uzman_D!$I$14&lt;0,-(AX88-Uzman_D!$I$14),AX88-Uzman_D!$I$14)*0.1+IF(AY88-Uzman_D!$J$14&lt;0,-(AY88-Uzman_D!$J$14),AY88-Uzman_D!$J$14)*0.1)+IF(ROUND((IF(BA88-Uzman_D!$L$14&lt;0,-(BA88-Uzman_D!$L$14),BA88-Uzman_D!$L$14)*2),0)/2=IF(BA88-Uzman_D!$L$14&lt;0,-(BA88-Uzman_D!$L$14),BA88-Uzman_D!$L$14),(ROUND((IF(BA88-Uzman_D!$L$14&lt;0,-(BA88-Uzman_D!$L$14),BA88-Uzman_D!$L$14)*2),0)/1*0.1),0)+IF(BB88-Uzman_D!$M$14&lt;0,-(BB88-Uzman_D!$M$14),BB88-Uzman_D!$M$14)*1)</f>
        <v>-0.30000000000000027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3"/>
      <c r="BO88" s="73"/>
      <c r="BP88" s="71">
        <f>1-(SUM(IF(BD88-Uzman_D!$B$15&lt;0,-(BD88-Uzman_D!$B$15),BD88-Uzman_D!$B$15)*0.1+IF(BE88-Uzman_D!$C$15&lt;0,-(BE88-Uzman_D!$C$15),BE88-Uzman_D!$C$15)*0.1+IF(BF88-Uzman_D!$D$15&lt;0,-(BF88-Uzman_D!$D$15),BF88-Uzman_D!$D$15)*0.1+IF(BG88-Uzman_D!$E$15&lt;0,-(BG88-Uzman_D!$E$15),BG88-Uzman_D!$E$15)*0.1+IF(BH88-Uzman_D!$F$15&lt;0,-(BH88-Uzman_D!$F$15),BH88-Uzman_D!$F$15)*0.1+IF(BI88-Uzman_D!$G$15&lt;0,-(BI88-Uzman_D!$G$15),BI88-Uzman_D!$G$15)*0.1+IF(BJ88-Uzman_D!$H$15&lt;0,-(BJ88-Uzman_D!$H$15),BJ88-Uzman_D!$H$15)*0.1+IF(BK88-Uzman_D!$I$15&lt;0,-(BK88-Uzman_D!$I$15),BK88-Uzman_D!$I$15)*0.1+IF(BL88-Uzman_D!$J$15&lt;0,-(BL88-Uzman_D!$J$15),BL88-Uzman_D!$J$15)*0.1)+IF(ROUND((IF(BN88-Uzman_D!$L$15&lt;0,-(BN88-Uzman_D!$L$15),BN88-Uzman_D!$L$15)*2),0)/2=IF(BN88-Uzman_D!$L$15&lt;0,-(BN88-Uzman_D!$L$15),BN88-Uzman_D!$L$15),(ROUND((IF(BN88-Uzman_D!$L$15&lt;0,-(BN88-Uzman_D!$L$15),BN88-Uzman_D!$L$15)*2),0)/1*0.1),0)+IF(BO88-Uzman_D!$M$15&lt;0,-(BO88-Uzman_D!$M$15),BO88-Uzman_D!$M$15)*1)</f>
        <v>-0.50000000000000022</v>
      </c>
      <c r="BQ88" s="72">
        <f t="shared" si="2"/>
        <v>-0.54</v>
      </c>
    </row>
    <row r="89" spans="1:69" ht="15" customHeight="1" x14ac:dyDescent="0.45">
      <c r="A89" s="54">
        <v>86</v>
      </c>
      <c r="B89" s="166">
        <f>Hakemler!B89</f>
        <v>0</v>
      </c>
      <c r="C89" s="166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3"/>
      <c r="O89" s="73"/>
      <c r="P89" s="71">
        <f>1-(SUM(IF(D89-Uzman_D!$B$11&lt;0,-(D89-Uzman_D!$B$11),D89-Uzman_D!$B$11)*0.1+IF(E89-Uzman_D!$C$11&lt;0,-(E89-Uzman_D!$C$11),E89-Uzman_D!$C$11)*0.1+IF(F89-Uzman_D!$D$11&lt;0,-(F89-Uzman_D!$D$11),F89-Uzman_D!$D$11)*0.1+IF(G89-Uzman_D!$E$11&lt;0,-(G89-Uzman_D!$E$11),G89-Uzman_D!$E$11)*0.1+IF(H89-Uzman_D!$F$11&lt;0,-(H89-Uzman_D!$F$11),H89-Uzman_D!$F$11)*0.1+IF(I89-Uzman_D!$G$11&lt;0,-(I89-Uzman_D!$G$11),I89-Uzman_D!$G$11)*0.1+IF(J89-Uzman_D!$H$11&lt;0,-(J89-Uzman_D!$H$11),J89-Uzman_D!$H$11)*0.1+IF(K89-Uzman_D!$I$11&lt;0,-(K89-Uzman_D!$I$11),K89-Uzman_D!$I$11)*0.1+IF(L89-Uzman_D!$J$11&lt;0,-(L89-Uzman_D!$J$11),L89-Uzman_D!$J$11)*0.1)+IF(ROUND((IF(N89-Uzman_D!$L$11&lt;0,-(N89-Uzman_D!$L$11),N89-Uzman_D!$L$11)*2),0)/2=IF(N89-Uzman_D!$L$11&lt;0,-(N89-Uzman_D!$L$11),N89-Uzman_D!$L$11),(ROUND((IF(N89-Uzman_D!$L$11&lt;0,-(N89-Uzman_D!$L$11),N89-Uzman_D!$L$11)*2),0)/1*0.1),0)+IF(O89-Uzman_D!$M$11&lt;0,-(O89-Uzman_D!$M$11),O89-Uzman_D!$M$11)*1)</f>
        <v>-0.90000000000000013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3"/>
      <c r="AB89" s="73"/>
      <c r="AC89" s="71">
        <f>1-(SUM(IF(Q89-Uzman_D!$B$12&lt;0,-(Q89-Uzman_D!$B$12),Q89-Uzman_D!$B$12)*0.1+IF(R89-Uzman_D!$C$12&lt;0,-(R89-Uzman_D!$C$12),R89-Uzman_D!$C$12)*0.1+IF(S89-Uzman_D!$D$12&lt;0,-(S89-Uzman_D!$D$12),S89-Uzman_D!$D$12)*0.1+IF(T89-Uzman_D!$E$12&lt;0,-(T89-Uzman_D!$E$12),T89-Uzman_D!$E$12)*0.1+IF(U89-Uzman_D!$F$12&lt;0,-(U89-Uzman_D!$F$12),U89-Uzman_D!$F$12)*0.1+IF(V89-Uzman_D!$G$12&lt;0,-(V89-Uzman_D!$G$12),V89-Uzman_D!$G$12)*0.1+IF(W89-Uzman_D!$H$12&lt;0,-(W89-Uzman_D!$H$12),W89-Uzman_D!$H$12)*0.1+IF(X89-Uzman_D!$I$12&lt;0,-(X89-Uzman_D!$I$12),X89-Uzman_D!$I$12)*0.1+IF(Y89-Uzman_D!$J$12&lt;0,-(Y89-Uzman_D!$J$12),Y89-Uzman_D!$J$12)*0.1)+IF(ROUND((IF(AA89-Uzman_D!$L$12&lt;0,-(AA89-Uzman_D!$L$12),AA89-Uzman_D!$L$12)*2),0)/2=IF(AA89-Uzman_D!$L$12&lt;0,-(AA89-Uzman_D!$L$12),AA89-Uzman_D!$L$12),(ROUND((IF(AA89-Uzman_D!$L$12&lt;0,-(AA89-Uzman_D!$L$12),AA89-Uzman_D!$L$12)*2),0)/1*0.1),0)+IF(AB89-Uzman_D!$M$12&lt;0,-(AB89-Uzman_D!$M$12),AB89-Uzman_D!$M$12)*1)</f>
        <v>-0.7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3"/>
      <c r="AO89" s="73"/>
      <c r="AP89" s="71">
        <f>1-(SUM(IF(AD89-Uzman_D!$B$13&lt;0,-(AD89-Uzman_D!$B$13),AD89-Uzman_D!$B$13)*0.1+IF(AE89-Uzman_D!$C$13&lt;0,-(AE89-Uzman_D!$C$13),AE89-Uzman_D!$C$13)*0.1+IF(AF89-Uzman_D!$D$13&lt;0,-(AF89-Uzman_D!$D$13),AF89-Uzman_D!$D$13)*0.1+IF(AG89-Uzman_D!$E$13&lt;0,-(AG89-Uzman_D!$E$13),AG89-Uzman_D!$E$13)*0.1+IF(AH89-Uzman_D!$F$13&lt;0,-(AH89-Uzman_D!$F$13),AH89-Uzman_D!$F$13)*0.1+IF(AI89-Uzman_D!$G$13&lt;0,-(AI89-Uzman_D!$G$13),AI89-Uzman_D!$G$13)*0.1+IF(AJ89-Uzman_D!$H$13&lt;0,-(AJ89-Uzman_D!$H$13),AJ89-Uzman_D!$H$13)*0.1+IF(AK89-Uzman_D!$I$13&lt;0,-(AK89-Uzman_D!$I$13),AK89-Uzman_D!$I$13)*0.1+IF(AL89-Uzman_D!$J$13&lt;0,-(AL89-Uzman_D!$J$13),AL89-Uzman_D!$J$13)*0.1)+IF(ROUND((IF(AN89-Uzman_D!$L$13&lt;0,-(AN89-Uzman_D!$L$13),AN89-Uzman_D!$L$13)*2),0)/2=IF(AN89-Uzman_D!$L$13&lt;0,-(AN89-Uzman_D!$L$13),AN89-Uzman_D!$L$13),(ROUND((IF(AN89-Uzman_D!$L$13&lt;0,-(AN89-Uzman_D!$L$13),AN89-Uzman_D!$L$13)*2),0)/1*0.1),0)+IF(AO89-Uzman_D!$M$13&lt;0,-(AO89-Uzman_D!$M$13),AO89-Uzman_D!$M$13)*1)</f>
        <v>-0.30000000000000004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3"/>
      <c r="BB89" s="73"/>
      <c r="BC89" s="71">
        <f>1-(SUM(IF(AQ89-Uzman_D!$B$14&lt;0,-(AQ89-Uzman_D!$B$14),AQ89-Uzman_D!$B$14)*0.1+IF(AR89-Uzman_D!$C$14&lt;0,-(AR89-Uzman_D!$C$14),AR89-Uzman_D!$C$14)*0.1+IF(AS89-Uzman_D!$D$14&lt;0,-(AS89-Uzman_D!$D$14),AS89-Uzman_D!$D$14)*0.1+IF(AT89-Uzman_D!$E$14&lt;0,-(AT89-Uzman_D!$E$14),AT89-Uzman_D!$E$14)*0.1+IF(AU89-Uzman_D!$F$14&lt;0,-(AU89-Uzman_D!$F$14),AU89-Uzman_D!$F$14)*0.1+IF(AV89-Uzman_D!$G$14&lt;0,-(AV89-Uzman_D!$G$14),AV89-Uzman_D!$G$14)*0.1+IF(AW89-Uzman_D!$H$14&lt;0,-(AW89-Uzman_D!$H$14),AW89-Uzman_D!$H$14)*0.1+IF(AX89-Uzman_D!$I$14&lt;0,-(AX89-Uzman_D!$I$14),AX89-Uzman_D!$I$14)*0.1+IF(AY89-Uzman_D!$J$14&lt;0,-(AY89-Uzman_D!$J$14),AY89-Uzman_D!$J$14)*0.1)+IF(ROUND((IF(BA89-Uzman_D!$L$14&lt;0,-(BA89-Uzman_D!$L$14),BA89-Uzman_D!$L$14)*2),0)/2=IF(BA89-Uzman_D!$L$14&lt;0,-(BA89-Uzman_D!$L$14),BA89-Uzman_D!$L$14),(ROUND((IF(BA89-Uzman_D!$L$14&lt;0,-(BA89-Uzman_D!$L$14),BA89-Uzman_D!$L$14)*2),0)/1*0.1),0)+IF(BB89-Uzman_D!$M$14&lt;0,-(BB89-Uzman_D!$M$14),BB89-Uzman_D!$M$14)*1)</f>
        <v>-0.30000000000000027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3"/>
      <c r="BO89" s="73"/>
      <c r="BP89" s="71">
        <f>1-(SUM(IF(BD89-Uzman_D!$B$15&lt;0,-(BD89-Uzman_D!$B$15),BD89-Uzman_D!$B$15)*0.1+IF(BE89-Uzman_D!$C$15&lt;0,-(BE89-Uzman_D!$C$15),BE89-Uzman_D!$C$15)*0.1+IF(BF89-Uzman_D!$D$15&lt;0,-(BF89-Uzman_D!$D$15),BF89-Uzman_D!$D$15)*0.1+IF(BG89-Uzman_D!$E$15&lt;0,-(BG89-Uzman_D!$E$15),BG89-Uzman_D!$E$15)*0.1+IF(BH89-Uzman_D!$F$15&lt;0,-(BH89-Uzman_D!$F$15),BH89-Uzman_D!$F$15)*0.1+IF(BI89-Uzman_D!$G$15&lt;0,-(BI89-Uzman_D!$G$15),BI89-Uzman_D!$G$15)*0.1+IF(BJ89-Uzman_D!$H$15&lt;0,-(BJ89-Uzman_D!$H$15),BJ89-Uzman_D!$H$15)*0.1+IF(BK89-Uzman_D!$I$15&lt;0,-(BK89-Uzman_D!$I$15),BK89-Uzman_D!$I$15)*0.1+IF(BL89-Uzman_D!$J$15&lt;0,-(BL89-Uzman_D!$J$15),BL89-Uzman_D!$J$15)*0.1)+IF(ROUND((IF(BN89-Uzman_D!$L$15&lt;0,-(BN89-Uzman_D!$L$15),BN89-Uzman_D!$L$15)*2),0)/2=IF(BN89-Uzman_D!$L$15&lt;0,-(BN89-Uzman_D!$L$15),BN89-Uzman_D!$L$15),(ROUND((IF(BN89-Uzman_D!$L$15&lt;0,-(BN89-Uzman_D!$L$15),BN89-Uzman_D!$L$15)*2),0)/1*0.1),0)+IF(BO89-Uzman_D!$M$15&lt;0,-(BO89-Uzman_D!$M$15),BO89-Uzman_D!$M$15)*1)</f>
        <v>-0.50000000000000022</v>
      </c>
      <c r="BQ89" s="72">
        <f t="shared" si="2"/>
        <v>-0.54</v>
      </c>
    </row>
    <row r="90" spans="1:69" ht="15" customHeight="1" x14ac:dyDescent="0.45">
      <c r="A90" s="54">
        <v>87</v>
      </c>
      <c r="B90" s="166">
        <f>Hakemler!B90</f>
        <v>0</v>
      </c>
      <c r="C90" s="166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3"/>
      <c r="O90" s="73"/>
      <c r="P90" s="71">
        <f>1-(SUM(IF(D90-Uzman_D!$B$11&lt;0,-(D90-Uzman_D!$B$11),D90-Uzman_D!$B$11)*0.1+IF(E90-Uzman_D!$C$11&lt;0,-(E90-Uzman_D!$C$11),E90-Uzman_D!$C$11)*0.1+IF(F90-Uzman_D!$D$11&lt;0,-(F90-Uzman_D!$D$11),F90-Uzman_D!$D$11)*0.1+IF(G90-Uzman_D!$E$11&lt;0,-(G90-Uzman_D!$E$11),G90-Uzman_D!$E$11)*0.1+IF(H90-Uzman_D!$F$11&lt;0,-(H90-Uzman_D!$F$11),H90-Uzman_D!$F$11)*0.1+IF(I90-Uzman_D!$G$11&lt;0,-(I90-Uzman_D!$G$11),I90-Uzman_D!$G$11)*0.1+IF(J90-Uzman_D!$H$11&lt;0,-(J90-Uzman_D!$H$11),J90-Uzman_D!$H$11)*0.1+IF(K90-Uzman_D!$I$11&lt;0,-(K90-Uzman_D!$I$11),K90-Uzman_D!$I$11)*0.1+IF(L90-Uzman_D!$J$11&lt;0,-(L90-Uzman_D!$J$11),L90-Uzman_D!$J$11)*0.1)+IF(ROUND((IF(N90-Uzman_D!$L$11&lt;0,-(N90-Uzman_D!$L$11),N90-Uzman_D!$L$11)*2),0)/2=IF(N90-Uzman_D!$L$11&lt;0,-(N90-Uzman_D!$L$11),N90-Uzman_D!$L$11),(ROUND((IF(N90-Uzman_D!$L$11&lt;0,-(N90-Uzman_D!$L$11),N90-Uzman_D!$L$11)*2),0)/1*0.1),0)+IF(O90-Uzman_D!$M$11&lt;0,-(O90-Uzman_D!$M$11),O90-Uzman_D!$M$11)*1)</f>
        <v>-0.90000000000000013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3"/>
      <c r="AB90" s="73"/>
      <c r="AC90" s="71">
        <f>1-(SUM(IF(Q90-Uzman_D!$B$12&lt;0,-(Q90-Uzman_D!$B$12),Q90-Uzman_D!$B$12)*0.1+IF(R90-Uzman_D!$C$12&lt;0,-(R90-Uzman_D!$C$12),R90-Uzman_D!$C$12)*0.1+IF(S90-Uzman_D!$D$12&lt;0,-(S90-Uzman_D!$D$12),S90-Uzman_D!$D$12)*0.1+IF(T90-Uzman_D!$E$12&lt;0,-(T90-Uzman_D!$E$12),T90-Uzman_D!$E$12)*0.1+IF(U90-Uzman_D!$F$12&lt;0,-(U90-Uzman_D!$F$12),U90-Uzman_D!$F$12)*0.1+IF(V90-Uzman_D!$G$12&lt;0,-(V90-Uzman_D!$G$12),V90-Uzman_D!$G$12)*0.1+IF(W90-Uzman_D!$H$12&lt;0,-(W90-Uzman_D!$H$12),W90-Uzman_D!$H$12)*0.1+IF(X90-Uzman_D!$I$12&lt;0,-(X90-Uzman_D!$I$12),X90-Uzman_D!$I$12)*0.1+IF(Y90-Uzman_D!$J$12&lt;0,-(Y90-Uzman_D!$J$12),Y90-Uzman_D!$J$12)*0.1)+IF(ROUND((IF(AA90-Uzman_D!$L$12&lt;0,-(AA90-Uzman_D!$L$12),AA90-Uzman_D!$L$12)*2),0)/2=IF(AA90-Uzman_D!$L$12&lt;0,-(AA90-Uzman_D!$L$12),AA90-Uzman_D!$L$12),(ROUND((IF(AA90-Uzman_D!$L$12&lt;0,-(AA90-Uzman_D!$L$12),AA90-Uzman_D!$L$12)*2),0)/1*0.1),0)+IF(AB90-Uzman_D!$M$12&lt;0,-(AB90-Uzman_D!$M$12),AB90-Uzman_D!$M$12)*1)</f>
        <v>-0.7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3"/>
      <c r="AO90" s="73"/>
      <c r="AP90" s="71">
        <f>1-(SUM(IF(AD90-Uzman_D!$B$13&lt;0,-(AD90-Uzman_D!$B$13),AD90-Uzman_D!$B$13)*0.1+IF(AE90-Uzman_D!$C$13&lt;0,-(AE90-Uzman_D!$C$13),AE90-Uzman_D!$C$13)*0.1+IF(AF90-Uzman_D!$D$13&lt;0,-(AF90-Uzman_D!$D$13),AF90-Uzman_D!$D$13)*0.1+IF(AG90-Uzman_D!$E$13&lt;0,-(AG90-Uzman_D!$E$13),AG90-Uzman_D!$E$13)*0.1+IF(AH90-Uzman_D!$F$13&lt;0,-(AH90-Uzman_D!$F$13),AH90-Uzman_D!$F$13)*0.1+IF(AI90-Uzman_D!$G$13&lt;0,-(AI90-Uzman_D!$G$13),AI90-Uzman_D!$G$13)*0.1+IF(AJ90-Uzman_D!$H$13&lt;0,-(AJ90-Uzman_D!$H$13),AJ90-Uzman_D!$H$13)*0.1+IF(AK90-Uzman_D!$I$13&lt;0,-(AK90-Uzman_D!$I$13),AK90-Uzman_D!$I$13)*0.1+IF(AL90-Uzman_D!$J$13&lt;0,-(AL90-Uzman_D!$J$13),AL90-Uzman_D!$J$13)*0.1)+IF(ROUND((IF(AN90-Uzman_D!$L$13&lt;0,-(AN90-Uzman_D!$L$13),AN90-Uzman_D!$L$13)*2),0)/2=IF(AN90-Uzman_D!$L$13&lt;0,-(AN90-Uzman_D!$L$13),AN90-Uzman_D!$L$13),(ROUND((IF(AN90-Uzman_D!$L$13&lt;0,-(AN90-Uzman_D!$L$13),AN90-Uzman_D!$L$13)*2),0)/1*0.1),0)+IF(AO90-Uzman_D!$M$13&lt;0,-(AO90-Uzman_D!$M$13),AO90-Uzman_D!$M$13)*1)</f>
        <v>-0.30000000000000004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3"/>
      <c r="BB90" s="73"/>
      <c r="BC90" s="71">
        <f>1-(SUM(IF(AQ90-Uzman_D!$B$14&lt;0,-(AQ90-Uzman_D!$B$14),AQ90-Uzman_D!$B$14)*0.1+IF(AR90-Uzman_D!$C$14&lt;0,-(AR90-Uzman_D!$C$14),AR90-Uzman_D!$C$14)*0.1+IF(AS90-Uzman_D!$D$14&lt;0,-(AS90-Uzman_D!$D$14),AS90-Uzman_D!$D$14)*0.1+IF(AT90-Uzman_D!$E$14&lt;0,-(AT90-Uzman_D!$E$14),AT90-Uzman_D!$E$14)*0.1+IF(AU90-Uzman_D!$F$14&lt;0,-(AU90-Uzman_D!$F$14),AU90-Uzman_D!$F$14)*0.1+IF(AV90-Uzman_D!$G$14&lt;0,-(AV90-Uzman_D!$G$14),AV90-Uzman_D!$G$14)*0.1+IF(AW90-Uzman_D!$H$14&lt;0,-(AW90-Uzman_D!$H$14),AW90-Uzman_D!$H$14)*0.1+IF(AX90-Uzman_D!$I$14&lt;0,-(AX90-Uzman_D!$I$14),AX90-Uzman_D!$I$14)*0.1+IF(AY90-Uzman_D!$J$14&lt;0,-(AY90-Uzman_D!$J$14),AY90-Uzman_D!$J$14)*0.1)+IF(ROUND((IF(BA90-Uzman_D!$L$14&lt;0,-(BA90-Uzman_D!$L$14),BA90-Uzman_D!$L$14)*2),0)/2=IF(BA90-Uzman_D!$L$14&lt;0,-(BA90-Uzman_D!$L$14),BA90-Uzman_D!$L$14),(ROUND((IF(BA90-Uzman_D!$L$14&lt;0,-(BA90-Uzman_D!$L$14),BA90-Uzman_D!$L$14)*2),0)/1*0.1),0)+IF(BB90-Uzman_D!$M$14&lt;0,-(BB90-Uzman_D!$M$14),BB90-Uzman_D!$M$14)*1)</f>
        <v>-0.30000000000000027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3"/>
      <c r="BO90" s="73"/>
      <c r="BP90" s="71">
        <f>1-(SUM(IF(BD90-Uzman_D!$B$15&lt;0,-(BD90-Uzman_D!$B$15),BD90-Uzman_D!$B$15)*0.1+IF(BE90-Uzman_D!$C$15&lt;0,-(BE90-Uzman_D!$C$15),BE90-Uzman_D!$C$15)*0.1+IF(BF90-Uzman_D!$D$15&lt;0,-(BF90-Uzman_D!$D$15),BF90-Uzman_D!$D$15)*0.1+IF(BG90-Uzman_D!$E$15&lt;0,-(BG90-Uzman_D!$E$15),BG90-Uzman_D!$E$15)*0.1+IF(BH90-Uzman_D!$F$15&lt;0,-(BH90-Uzman_D!$F$15),BH90-Uzman_D!$F$15)*0.1+IF(BI90-Uzman_D!$G$15&lt;0,-(BI90-Uzman_D!$G$15),BI90-Uzman_D!$G$15)*0.1+IF(BJ90-Uzman_D!$H$15&lt;0,-(BJ90-Uzman_D!$H$15),BJ90-Uzman_D!$H$15)*0.1+IF(BK90-Uzman_D!$I$15&lt;0,-(BK90-Uzman_D!$I$15),BK90-Uzman_D!$I$15)*0.1+IF(BL90-Uzman_D!$J$15&lt;0,-(BL90-Uzman_D!$J$15),BL90-Uzman_D!$J$15)*0.1)+IF(ROUND((IF(BN90-Uzman_D!$L$15&lt;0,-(BN90-Uzman_D!$L$15),BN90-Uzman_D!$L$15)*2),0)/2=IF(BN90-Uzman_D!$L$15&lt;0,-(BN90-Uzman_D!$L$15),BN90-Uzman_D!$L$15),(ROUND((IF(BN90-Uzman_D!$L$15&lt;0,-(BN90-Uzman_D!$L$15),BN90-Uzman_D!$L$15)*2),0)/1*0.1),0)+IF(BO90-Uzman_D!$M$15&lt;0,-(BO90-Uzman_D!$M$15),BO90-Uzman_D!$M$15)*1)</f>
        <v>-0.50000000000000022</v>
      </c>
      <c r="BQ90" s="72">
        <f t="shared" si="2"/>
        <v>-0.54</v>
      </c>
    </row>
    <row r="91" spans="1:69" ht="15" customHeight="1" x14ac:dyDescent="0.45">
      <c r="A91" s="54">
        <v>88</v>
      </c>
      <c r="B91" s="166">
        <f>Hakemler!B91</f>
        <v>0</v>
      </c>
      <c r="C91" s="166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3"/>
      <c r="O91" s="73"/>
      <c r="P91" s="71">
        <f>1-(SUM(IF(D91-Uzman_D!$B$11&lt;0,-(D91-Uzman_D!$B$11),D91-Uzman_D!$B$11)*0.1+IF(E91-Uzman_D!$C$11&lt;0,-(E91-Uzman_D!$C$11),E91-Uzman_D!$C$11)*0.1+IF(F91-Uzman_D!$D$11&lt;0,-(F91-Uzman_D!$D$11),F91-Uzman_D!$D$11)*0.1+IF(G91-Uzman_D!$E$11&lt;0,-(G91-Uzman_D!$E$11),G91-Uzman_D!$E$11)*0.1+IF(H91-Uzman_D!$F$11&lt;0,-(H91-Uzman_D!$F$11),H91-Uzman_D!$F$11)*0.1+IF(I91-Uzman_D!$G$11&lt;0,-(I91-Uzman_D!$G$11),I91-Uzman_D!$G$11)*0.1+IF(J91-Uzman_D!$H$11&lt;0,-(J91-Uzman_D!$H$11),J91-Uzman_D!$H$11)*0.1+IF(K91-Uzman_D!$I$11&lt;0,-(K91-Uzman_D!$I$11),K91-Uzman_D!$I$11)*0.1+IF(L91-Uzman_D!$J$11&lt;0,-(L91-Uzman_D!$J$11),L91-Uzman_D!$J$11)*0.1)+IF(ROUND((IF(N91-Uzman_D!$L$11&lt;0,-(N91-Uzman_D!$L$11),N91-Uzman_D!$L$11)*2),0)/2=IF(N91-Uzman_D!$L$11&lt;0,-(N91-Uzman_D!$L$11),N91-Uzman_D!$L$11),(ROUND((IF(N91-Uzman_D!$L$11&lt;0,-(N91-Uzman_D!$L$11),N91-Uzman_D!$L$11)*2),0)/1*0.1),0)+IF(O91-Uzman_D!$M$11&lt;0,-(O91-Uzman_D!$M$11),O91-Uzman_D!$M$11)*1)</f>
        <v>-0.90000000000000013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3"/>
      <c r="AB91" s="73"/>
      <c r="AC91" s="71">
        <f>1-(SUM(IF(Q91-Uzman_D!$B$12&lt;0,-(Q91-Uzman_D!$B$12),Q91-Uzman_D!$B$12)*0.1+IF(R91-Uzman_D!$C$12&lt;0,-(R91-Uzman_D!$C$12),R91-Uzman_D!$C$12)*0.1+IF(S91-Uzman_D!$D$12&lt;0,-(S91-Uzman_D!$D$12),S91-Uzman_D!$D$12)*0.1+IF(T91-Uzman_D!$E$12&lt;0,-(T91-Uzman_D!$E$12),T91-Uzman_D!$E$12)*0.1+IF(U91-Uzman_D!$F$12&lt;0,-(U91-Uzman_D!$F$12),U91-Uzman_D!$F$12)*0.1+IF(V91-Uzman_D!$G$12&lt;0,-(V91-Uzman_D!$G$12),V91-Uzman_D!$G$12)*0.1+IF(W91-Uzman_D!$H$12&lt;0,-(W91-Uzman_D!$H$12),W91-Uzman_D!$H$12)*0.1+IF(X91-Uzman_D!$I$12&lt;0,-(X91-Uzman_D!$I$12),X91-Uzman_D!$I$12)*0.1+IF(Y91-Uzman_D!$J$12&lt;0,-(Y91-Uzman_D!$J$12),Y91-Uzman_D!$J$12)*0.1)+IF(ROUND((IF(AA91-Uzman_D!$L$12&lt;0,-(AA91-Uzman_D!$L$12),AA91-Uzman_D!$L$12)*2),0)/2=IF(AA91-Uzman_D!$L$12&lt;0,-(AA91-Uzman_D!$L$12),AA91-Uzman_D!$L$12),(ROUND((IF(AA91-Uzman_D!$L$12&lt;0,-(AA91-Uzman_D!$L$12),AA91-Uzman_D!$L$12)*2),0)/1*0.1),0)+IF(AB91-Uzman_D!$M$12&lt;0,-(AB91-Uzman_D!$M$12),AB91-Uzman_D!$M$12)*1)</f>
        <v>-0.7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3"/>
      <c r="AO91" s="73"/>
      <c r="AP91" s="71">
        <f>1-(SUM(IF(AD91-Uzman_D!$B$13&lt;0,-(AD91-Uzman_D!$B$13),AD91-Uzman_D!$B$13)*0.1+IF(AE91-Uzman_D!$C$13&lt;0,-(AE91-Uzman_D!$C$13),AE91-Uzman_D!$C$13)*0.1+IF(AF91-Uzman_D!$D$13&lt;0,-(AF91-Uzman_D!$D$13),AF91-Uzman_D!$D$13)*0.1+IF(AG91-Uzman_D!$E$13&lt;0,-(AG91-Uzman_D!$E$13),AG91-Uzman_D!$E$13)*0.1+IF(AH91-Uzman_D!$F$13&lt;0,-(AH91-Uzman_D!$F$13),AH91-Uzman_D!$F$13)*0.1+IF(AI91-Uzman_D!$G$13&lt;0,-(AI91-Uzman_D!$G$13),AI91-Uzman_D!$G$13)*0.1+IF(AJ91-Uzman_D!$H$13&lt;0,-(AJ91-Uzman_D!$H$13),AJ91-Uzman_D!$H$13)*0.1+IF(AK91-Uzman_D!$I$13&lt;0,-(AK91-Uzman_D!$I$13),AK91-Uzman_D!$I$13)*0.1+IF(AL91-Uzman_D!$J$13&lt;0,-(AL91-Uzman_D!$J$13),AL91-Uzman_D!$J$13)*0.1)+IF(ROUND((IF(AN91-Uzman_D!$L$13&lt;0,-(AN91-Uzman_D!$L$13),AN91-Uzman_D!$L$13)*2),0)/2=IF(AN91-Uzman_D!$L$13&lt;0,-(AN91-Uzman_D!$L$13),AN91-Uzman_D!$L$13),(ROUND((IF(AN91-Uzman_D!$L$13&lt;0,-(AN91-Uzman_D!$L$13),AN91-Uzman_D!$L$13)*2),0)/1*0.1),0)+IF(AO91-Uzman_D!$M$13&lt;0,-(AO91-Uzman_D!$M$13),AO91-Uzman_D!$M$13)*1)</f>
        <v>-0.30000000000000004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3"/>
      <c r="BB91" s="73"/>
      <c r="BC91" s="71">
        <f>1-(SUM(IF(AQ91-Uzman_D!$B$14&lt;0,-(AQ91-Uzman_D!$B$14),AQ91-Uzman_D!$B$14)*0.1+IF(AR91-Uzman_D!$C$14&lt;0,-(AR91-Uzman_D!$C$14),AR91-Uzman_D!$C$14)*0.1+IF(AS91-Uzman_D!$D$14&lt;0,-(AS91-Uzman_D!$D$14),AS91-Uzman_D!$D$14)*0.1+IF(AT91-Uzman_D!$E$14&lt;0,-(AT91-Uzman_D!$E$14),AT91-Uzman_D!$E$14)*0.1+IF(AU91-Uzman_D!$F$14&lt;0,-(AU91-Uzman_D!$F$14),AU91-Uzman_D!$F$14)*0.1+IF(AV91-Uzman_D!$G$14&lt;0,-(AV91-Uzman_D!$G$14),AV91-Uzman_D!$G$14)*0.1+IF(AW91-Uzman_D!$H$14&lt;0,-(AW91-Uzman_D!$H$14),AW91-Uzman_D!$H$14)*0.1+IF(AX91-Uzman_D!$I$14&lt;0,-(AX91-Uzman_D!$I$14),AX91-Uzman_D!$I$14)*0.1+IF(AY91-Uzman_D!$J$14&lt;0,-(AY91-Uzman_D!$J$14),AY91-Uzman_D!$J$14)*0.1)+IF(ROUND((IF(BA91-Uzman_D!$L$14&lt;0,-(BA91-Uzman_D!$L$14),BA91-Uzman_D!$L$14)*2),0)/2=IF(BA91-Uzman_D!$L$14&lt;0,-(BA91-Uzman_D!$L$14),BA91-Uzman_D!$L$14),(ROUND((IF(BA91-Uzman_D!$L$14&lt;0,-(BA91-Uzman_D!$L$14),BA91-Uzman_D!$L$14)*2),0)/1*0.1),0)+IF(BB91-Uzman_D!$M$14&lt;0,-(BB91-Uzman_D!$M$14),BB91-Uzman_D!$M$14)*1)</f>
        <v>-0.30000000000000027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3"/>
      <c r="BO91" s="73"/>
      <c r="BP91" s="71">
        <f>1-(SUM(IF(BD91-Uzman_D!$B$15&lt;0,-(BD91-Uzman_D!$B$15),BD91-Uzman_D!$B$15)*0.1+IF(BE91-Uzman_D!$C$15&lt;0,-(BE91-Uzman_D!$C$15),BE91-Uzman_D!$C$15)*0.1+IF(BF91-Uzman_D!$D$15&lt;0,-(BF91-Uzman_D!$D$15),BF91-Uzman_D!$D$15)*0.1+IF(BG91-Uzman_D!$E$15&lt;0,-(BG91-Uzman_D!$E$15),BG91-Uzman_D!$E$15)*0.1+IF(BH91-Uzman_D!$F$15&lt;0,-(BH91-Uzman_D!$F$15),BH91-Uzman_D!$F$15)*0.1+IF(BI91-Uzman_D!$G$15&lt;0,-(BI91-Uzman_D!$G$15),BI91-Uzman_D!$G$15)*0.1+IF(BJ91-Uzman_D!$H$15&lt;0,-(BJ91-Uzman_D!$H$15),BJ91-Uzman_D!$H$15)*0.1+IF(BK91-Uzman_D!$I$15&lt;0,-(BK91-Uzman_D!$I$15),BK91-Uzman_D!$I$15)*0.1+IF(BL91-Uzman_D!$J$15&lt;0,-(BL91-Uzman_D!$J$15),BL91-Uzman_D!$J$15)*0.1)+IF(ROUND((IF(BN91-Uzman_D!$L$15&lt;0,-(BN91-Uzman_D!$L$15),BN91-Uzman_D!$L$15)*2),0)/2=IF(BN91-Uzman_D!$L$15&lt;0,-(BN91-Uzman_D!$L$15),BN91-Uzman_D!$L$15),(ROUND((IF(BN91-Uzman_D!$L$15&lt;0,-(BN91-Uzman_D!$L$15),BN91-Uzman_D!$L$15)*2),0)/1*0.1),0)+IF(BO91-Uzman_D!$M$15&lt;0,-(BO91-Uzman_D!$M$15),BO91-Uzman_D!$M$15)*1)</f>
        <v>-0.50000000000000022</v>
      </c>
      <c r="BQ91" s="72">
        <f t="shared" si="2"/>
        <v>-0.54</v>
      </c>
    </row>
    <row r="92" spans="1:69" ht="15" customHeight="1" x14ac:dyDescent="0.45">
      <c r="A92" s="54">
        <v>89</v>
      </c>
      <c r="B92" s="166">
        <f>Hakemler!B92</f>
        <v>0</v>
      </c>
      <c r="C92" s="166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3"/>
      <c r="O92" s="73"/>
      <c r="P92" s="71">
        <f>1-(SUM(IF(D92-Uzman_D!$B$11&lt;0,-(D92-Uzman_D!$B$11),D92-Uzman_D!$B$11)*0.1+IF(E92-Uzman_D!$C$11&lt;0,-(E92-Uzman_D!$C$11),E92-Uzman_D!$C$11)*0.1+IF(F92-Uzman_D!$D$11&lt;0,-(F92-Uzman_D!$D$11),F92-Uzman_D!$D$11)*0.1+IF(G92-Uzman_D!$E$11&lt;0,-(G92-Uzman_D!$E$11),G92-Uzman_D!$E$11)*0.1+IF(H92-Uzman_D!$F$11&lt;0,-(H92-Uzman_D!$F$11),H92-Uzman_D!$F$11)*0.1+IF(I92-Uzman_D!$G$11&lt;0,-(I92-Uzman_D!$G$11),I92-Uzman_D!$G$11)*0.1+IF(J92-Uzman_D!$H$11&lt;0,-(J92-Uzman_D!$H$11),J92-Uzman_D!$H$11)*0.1+IF(K92-Uzman_D!$I$11&lt;0,-(K92-Uzman_D!$I$11),K92-Uzman_D!$I$11)*0.1+IF(L92-Uzman_D!$J$11&lt;0,-(L92-Uzman_D!$J$11),L92-Uzman_D!$J$11)*0.1)+IF(ROUND((IF(N92-Uzman_D!$L$11&lt;0,-(N92-Uzman_D!$L$11),N92-Uzman_D!$L$11)*2),0)/2=IF(N92-Uzman_D!$L$11&lt;0,-(N92-Uzman_D!$L$11),N92-Uzman_D!$L$11),(ROUND((IF(N92-Uzman_D!$L$11&lt;0,-(N92-Uzman_D!$L$11),N92-Uzman_D!$L$11)*2),0)/1*0.1),0)+IF(O92-Uzman_D!$M$11&lt;0,-(O92-Uzman_D!$M$11),O92-Uzman_D!$M$11)*1)</f>
        <v>-0.90000000000000013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3"/>
      <c r="AB92" s="73"/>
      <c r="AC92" s="71">
        <f>1-(SUM(IF(Q92-Uzman_D!$B$12&lt;0,-(Q92-Uzman_D!$B$12),Q92-Uzman_D!$B$12)*0.1+IF(R92-Uzman_D!$C$12&lt;0,-(R92-Uzman_D!$C$12),R92-Uzman_D!$C$12)*0.1+IF(S92-Uzman_D!$D$12&lt;0,-(S92-Uzman_D!$D$12),S92-Uzman_D!$D$12)*0.1+IF(T92-Uzman_D!$E$12&lt;0,-(T92-Uzman_D!$E$12),T92-Uzman_D!$E$12)*0.1+IF(U92-Uzman_D!$F$12&lt;0,-(U92-Uzman_D!$F$12),U92-Uzman_D!$F$12)*0.1+IF(V92-Uzman_D!$G$12&lt;0,-(V92-Uzman_D!$G$12),V92-Uzman_D!$G$12)*0.1+IF(W92-Uzman_D!$H$12&lt;0,-(W92-Uzman_D!$H$12),W92-Uzman_D!$H$12)*0.1+IF(X92-Uzman_D!$I$12&lt;0,-(X92-Uzman_D!$I$12),X92-Uzman_D!$I$12)*0.1+IF(Y92-Uzman_D!$J$12&lt;0,-(Y92-Uzman_D!$J$12),Y92-Uzman_D!$J$12)*0.1)+IF(ROUND((IF(AA92-Uzman_D!$L$12&lt;0,-(AA92-Uzman_D!$L$12),AA92-Uzman_D!$L$12)*2),0)/2=IF(AA92-Uzman_D!$L$12&lt;0,-(AA92-Uzman_D!$L$12),AA92-Uzman_D!$L$12),(ROUND((IF(AA92-Uzman_D!$L$12&lt;0,-(AA92-Uzman_D!$L$12),AA92-Uzman_D!$L$12)*2),0)/1*0.1),0)+IF(AB92-Uzman_D!$M$12&lt;0,-(AB92-Uzman_D!$M$12),AB92-Uzman_D!$M$12)*1)</f>
        <v>-0.7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3"/>
      <c r="AO92" s="73"/>
      <c r="AP92" s="71">
        <f>1-(SUM(IF(AD92-Uzman_D!$B$13&lt;0,-(AD92-Uzman_D!$B$13),AD92-Uzman_D!$B$13)*0.1+IF(AE92-Uzman_D!$C$13&lt;0,-(AE92-Uzman_D!$C$13),AE92-Uzman_D!$C$13)*0.1+IF(AF92-Uzman_D!$D$13&lt;0,-(AF92-Uzman_D!$D$13),AF92-Uzman_D!$D$13)*0.1+IF(AG92-Uzman_D!$E$13&lt;0,-(AG92-Uzman_D!$E$13),AG92-Uzman_D!$E$13)*0.1+IF(AH92-Uzman_D!$F$13&lt;0,-(AH92-Uzman_D!$F$13),AH92-Uzman_D!$F$13)*0.1+IF(AI92-Uzman_D!$G$13&lt;0,-(AI92-Uzman_D!$G$13),AI92-Uzman_D!$G$13)*0.1+IF(AJ92-Uzman_D!$H$13&lt;0,-(AJ92-Uzman_D!$H$13),AJ92-Uzman_D!$H$13)*0.1+IF(AK92-Uzman_D!$I$13&lt;0,-(AK92-Uzman_D!$I$13),AK92-Uzman_D!$I$13)*0.1+IF(AL92-Uzman_D!$J$13&lt;0,-(AL92-Uzman_D!$J$13),AL92-Uzman_D!$J$13)*0.1)+IF(ROUND((IF(AN92-Uzman_D!$L$13&lt;0,-(AN92-Uzman_D!$L$13),AN92-Uzman_D!$L$13)*2),0)/2=IF(AN92-Uzman_D!$L$13&lt;0,-(AN92-Uzman_D!$L$13),AN92-Uzman_D!$L$13),(ROUND((IF(AN92-Uzman_D!$L$13&lt;0,-(AN92-Uzman_D!$L$13),AN92-Uzman_D!$L$13)*2),0)/1*0.1),0)+IF(AO92-Uzman_D!$M$13&lt;0,-(AO92-Uzman_D!$M$13),AO92-Uzman_D!$M$13)*1)</f>
        <v>-0.30000000000000004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3"/>
      <c r="BB92" s="73"/>
      <c r="BC92" s="71">
        <f>1-(SUM(IF(AQ92-Uzman_D!$B$14&lt;0,-(AQ92-Uzman_D!$B$14),AQ92-Uzman_D!$B$14)*0.1+IF(AR92-Uzman_D!$C$14&lt;0,-(AR92-Uzman_D!$C$14),AR92-Uzman_D!$C$14)*0.1+IF(AS92-Uzman_D!$D$14&lt;0,-(AS92-Uzman_D!$D$14),AS92-Uzman_D!$D$14)*0.1+IF(AT92-Uzman_D!$E$14&lt;0,-(AT92-Uzman_D!$E$14),AT92-Uzman_D!$E$14)*0.1+IF(AU92-Uzman_D!$F$14&lt;0,-(AU92-Uzman_D!$F$14),AU92-Uzman_D!$F$14)*0.1+IF(AV92-Uzman_D!$G$14&lt;0,-(AV92-Uzman_D!$G$14),AV92-Uzman_D!$G$14)*0.1+IF(AW92-Uzman_D!$H$14&lt;0,-(AW92-Uzman_D!$H$14),AW92-Uzman_D!$H$14)*0.1+IF(AX92-Uzman_D!$I$14&lt;0,-(AX92-Uzman_D!$I$14),AX92-Uzman_D!$I$14)*0.1+IF(AY92-Uzman_D!$J$14&lt;0,-(AY92-Uzman_D!$J$14),AY92-Uzman_D!$J$14)*0.1)+IF(ROUND((IF(BA92-Uzman_D!$L$14&lt;0,-(BA92-Uzman_D!$L$14),BA92-Uzman_D!$L$14)*2),0)/2=IF(BA92-Uzman_D!$L$14&lt;0,-(BA92-Uzman_D!$L$14),BA92-Uzman_D!$L$14),(ROUND((IF(BA92-Uzman_D!$L$14&lt;0,-(BA92-Uzman_D!$L$14),BA92-Uzman_D!$L$14)*2),0)/1*0.1),0)+IF(BB92-Uzman_D!$M$14&lt;0,-(BB92-Uzman_D!$M$14),BB92-Uzman_D!$M$14)*1)</f>
        <v>-0.30000000000000027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3"/>
      <c r="BO92" s="73"/>
      <c r="BP92" s="71">
        <f>1-(SUM(IF(BD92-Uzman_D!$B$15&lt;0,-(BD92-Uzman_D!$B$15),BD92-Uzman_D!$B$15)*0.1+IF(BE92-Uzman_D!$C$15&lt;0,-(BE92-Uzman_D!$C$15),BE92-Uzman_D!$C$15)*0.1+IF(BF92-Uzman_D!$D$15&lt;0,-(BF92-Uzman_D!$D$15),BF92-Uzman_D!$D$15)*0.1+IF(BG92-Uzman_D!$E$15&lt;0,-(BG92-Uzman_D!$E$15),BG92-Uzman_D!$E$15)*0.1+IF(BH92-Uzman_D!$F$15&lt;0,-(BH92-Uzman_D!$F$15),BH92-Uzman_D!$F$15)*0.1+IF(BI92-Uzman_D!$G$15&lt;0,-(BI92-Uzman_D!$G$15),BI92-Uzman_D!$G$15)*0.1+IF(BJ92-Uzman_D!$H$15&lt;0,-(BJ92-Uzman_D!$H$15),BJ92-Uzman_D!$H$15)*0.1+IF(BK92-Uzman_D!$I$15&lt;0,-(BK92-Uzman_D!$I$15),BK92-Uzman_D!$I$15)*0.1+IF(BL92-Uzman_D!$J$15&lt;0,-(BL92-Uzman_D!$J$15),BL92-Uzman_D!$J$15)*0.1)+IF(ROUND((IF(BN92-Uzman_D!$L$15&lt;0,-(BN92-Uzman_D!$L$15),BN92-Uzman_D!$L$15)*2),0)/2=IF(BN92-Uzman_D!$L$15&lt;0,-(BN92-Uzman_D!$L$15),BN92-Uzman_D!$L$15),(ROUND((IF(BN92-Uzman_D!$L$15&lt;0,-(BN92-Uzman_D!$L$15),BN92-Uzman_D!$L$15)*2),0)/1*0.1),0)+IF(BO92-Uzman_D!$M$15&lt;0,-(BO92-Uzman_D!$M$15),BO92-Uzman_D!$M$15)*1)</f>
        <v>-0.50000000000000022</v>
      </c>
      <c r="BQ92" s="72">
        <f t="shared" si="2"/>
        <v>-0.54</v>
      </c>
    </row>
    <row r="93" spans="1:69" ht="15" customHeight="1" x14ac:dyDescent="0.45">
      <c r="A93" s="54">
        <v>90</v>
      </c>
      <c r="B93" s="166">
        <f>Hakemler!B93</f>
        <v>0</v>
      </c>
      <c r="C93" s="166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3"/>
      <c r="O93" s="73"/>
      <c r="P93" s="71">
        <f>1-(SUM(IF(D93-Uzman_D!$B$11&lt;0,-(D93-Uzman_D!$B$11),D93-Uzman_D!$B$11)*0.1+IF(E93-Uzman_D!$C$11&lt;0,-(E93-Uzman_D!$C$11),E93-Uzman_D!$C$11)*0.1+IF(F93-Uzman_D!$D$11&lt;0,-(F93-Uzman_D!$D$11),F93-Uzman_D!$D$11)*0.1+IF(G93-Uzman_D!$E$11&lt;0,-(G93-Uzman_D!$E$11),G93-Uzman_D!$E$11)*0.1+IF(H93-Uzman_D!$F$11&lt;0,-(H93-Uzman_D!$F$11),H93-Uzman_D!$F$11)*0.1+IF(I93-Uzman_D!$G$11&lt;0,-(I93-Uzman_D!$G$11),I93-Uzman_D!$G$11)*0.1+IF(J93-Uzman_D!$H$11&lt;0,-(J93-Uzman_D!$H$11),J93-Uzman_D!$H$11)*0.1+IF(K93-Uzman_D!$I$11&lt;0,-(K93-Uzman_D!$I$11),K93-Uzman_D!$I$11)*0.1+IF(L93-Uzman_D!$J$11&lt;0,-(L93-Uzman_D!$J$11),L93-Uzman_D!$J$11)*0.1)+IF(ROUND((IF(N93-Uzman_D!$L$11&lt;0,-(N93-Uzman_D!$L$11),N93-Uzman_D!$L$11)*2),0)/2=IF(N93-Uzman_D!$L$11&lt;0,-(N93-Uzman_D!$L$11),N93-Uzman_D!$L$11),(ROUND((IF(N93-Uzman_D!$L$11&lt;0,-(N93-Uzman_D!$L$11),N93-Uzman_D!$L$11)*2),0)/1*0.1),0)+IF(O93-Uzman_D!$M$11&lt;0,-(O93-Uzman_D!$M$11),O93-Uzman_D!$M$11)*1)</f>
        <v>-0.90000000000000013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3"/>
      <c r="AB93" s="73"/>
      <c r="AC93" s="71">
        <f>1-(SUM(IF(Q93-Uzman_D!$B$12&lt;0,-(Q93-Uzman_D!$B$12),Q93-Uzman_D!$B$12)*0.1+IF(R93-Uzman_D!$C$12&lt;0,-(R93-Uzman_D!$C$12),R93-Uzman_D!$C$12)*0.1+IF(S93-Uzman_D!$D$12&lt;0,-(S93-Uzman_D!$D$12),S93-Uzman_D!$D$12)*0.1+IF(T93-Uzman_D!$E$12&lt;0,-(T93-Uzman_D!$E$12),T93-Uzman_D!$E$12)*0.1+IF(U93-Uzman_D!$F$12&lt;0,-(U93-Uzman_D!$F$12),U93-Uzman_D!$F$12)*0.1+IF(V93-Uzman_D!$G$12&lt;0,-(V93-Uzman_D!$G$12),V93-Uzman_D!$G$12)*0.1+IF(W93-Uzman_D!$H$12&lt;0,-(W93-Uzman_D!$H$12),W93-Uzman_D!$H$12)*0.1+IF(X93-Uzman_D!$I$12&lt;0,-(X93-Uzman_D!$I$12),X93-Uzman_D!$I$12)*0.1+IF(Y93-Uzman_D!$J$12&lt;0,-(Y93-Uzman_D!$J$12),Y93-Uzman_D!$J$12)*0.1)+IF(ROUND((IF(AA93-Uzman_D!$L$12&lt;0,-(AA93-Uzman_D!$L$12),AA93-Uzman_D!$L$12)*2),0)/2=IF(AA93-Uzman_D!$L$12&lt;0,-(AA93-Uzman_D!$L$12),AA93-Uzman_D!$L$12),(ROUND((IF(AA93-Uzman_D!$L$12&lt;0,-(AA93-Uzman_D!$L$12),AA93-Uzman_D!$L$12)*2),0)/1*0.1),0)+IF(AB93-Uzman_D!$M$12&lt;0,-(AB93-Uzman_D!$M$12),AB93-Uzman_D!$M$12)*1)</f>
        <v>-0.7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3"/>
      <c r="AO93" s="73"/>
      <c r="AP93" s="71">
        <f>1-(SUM(IF(AD93-Uzman_D!$B$13&lt;0,-(AD93-Uzman_D!$B$13),AD93-Uzman_D!$B$13)*0.1+IF(AE93-Uzman_D!$C$13&lt;0,-(AE93-Uzman_D!$C$13),AE93-Uzman_D!$C$13)*0.1+IF(AF93-Uzman_D!$D$13&lt;0,-(AF93-Uzman_D!$D$13),AF93-Uzman_D!$D$13)*0.1+IF(AG93-Uzman_D!$E$13&lt;0,-(AG93-Uzman_D!$E$13),AG93-Uzman_D!$E$13)*0.1+IF(AH93-Uzman_D!$F$13&lt;0,-(AH93-Uzman_D!$F$13),AH93-Uzman_D!$F$13)*0.1+IF(AI93-Uzman_D!$G$13&lt;0,-(AI93-Uzman_D!$G$13),AI93-Uzman_D!$G$13)*0.1+IF(AJ93-Uzman_D!$H$13&lt;0,-(AJ93-Uzman_D!$H$13),AJ93-Uzman_D!$H$13)*0.1+IF(AK93-Uzman_D!$I$13&lt;0,-(AK93-Uzman_D!$I$13),AK93-Uzman_D!$I$13)*0.1+IF(AL93-Uzman_D!$J$13&lt;0,-(AL93-Uzman_D!$J$13),AL93-Uzman_D!$J$13)*0.1)+IF(ROUND((IF(AN93-Uzman_D!$L$13&lt;0,-(AN93-Uzman_D!$L$13),AN93-Uzman_D!$L$13)*2),0)/2=IF(AN93-Uzman_D!$L$13&lt;0,-(AN93-Uzman_D!$L$13),AN93-Uzman_D!$L$13),(ROUND((IF(AN93-Uzman_D!$L$13&lt;0,-(AN93-Uzman_D!$L$13),AN93-Uzman_D!$L$13)*2),0)/1*0.1),0)+IF(AO93-Uzman_D!$M$13&lt;0,-(AO93-Uzman_D!$M$13),AO93-Uzman_D!$M$13)*1)</f>
        <v>-0.30000000000000004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3"/>
      <c r="BB93" s="73"/>
      <c r="BC93" s="71">
        <f>1-(SUM(IF(AQ93-Uzman_D!$B$14&lt;0,-(AQ93-Uzman_D!$B$14),AQ93-Uzman_D!$B$14)*0.1+IF(AR93-Uzman_D!$C$14&lt;0,-(AR93-Uzman_D!$C$14),AR93-Uzman_D!$C$14)*0.1+IF(AS93-Uzman_D!$D$14&lt;0,-(AS93-Uzman_D!$D$14),AS93-Uzman_D!$D$14)*0.1+IF(AT93-Uzman_D!$E$14&lt;0,-(AT93-Uzman_D!$E$14),AT93-Uzman_D!$E$14)*0.1+IF(AU93-Uzman_D!$F$14&lt;0,-(AU93-Uzman_D!$F$14),AU93-Uzman_D!$F$14)*0.1+IF(AV93-Uzman_D!$G$14&lt;0,-(AV93-Uzman_D!$G$14),AV93-Uzman_D!$G$14)*0.1+IF(AW93-Uzman_D!$H$14&lt;0,-(AW93-Uzman_D!$H$14),AW93-Uzman_D!$H$14)*0.1+IF(AX93-Uzman_D!$I$14&lt;0,-(AX93-Uzman_D!$I$14),AX93-Uzman_D!$I$14)*0.1+IF(AY93-Uzman_D!$J$14&lt;0,-(AY93-Uzman_D!$J$14),AY93-Uzman_D!$J$14)*0.1)+IF(ROUND((IF(BA93-Uzman_D!$L$14&lt;0,-(BA93-Uzman_D!$L$14),BA93-Uzman_D!$L$14)*2),0)/2=IF(BA93-Uzman_D!$L$14&lt;0,-(BA93-Uzman_D!$L$14),BA93-Uzman_D!$L$14),(ROUND((IF(BA93-Uzman_D!$L$14&lt;0,-(BA93-Uzman_D!$L$14),BA93-Uzman_D!$L$14)*2),0)/1*0.1),0)+IF(BB93-Uzman_D!$M$14&lt;0,-(BB93-Uzman_D!$M$14),BB93-Uzman_D!$M$14)*1)</f>
        <v>-0.30000000000000027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3"/>
      <c r="BO93" s="73"/>
      <c r="BP93" s="71">
        <f>1-(SUM(IF(BD93-Uzman_D!$B$15&lt;0,-(BD93-Uzman_D!$B$15),BD93-Uzman_D!$B$15)*0.1+IF(BE93-Uzman_D!$C$15&lt;0,-(BE93-Uzman_D!$C$15),BE93-Uzman_D!$C$15)*0.1+IF(BF93-Uzman_D!$D$15&lt;0,-(BF93-Uzman_D!$D$15),BF93-Uzman_D!$D$15)*0.1+IF(BG93-Uzman_D!$E$15&lt;0,-(BG93-Uzman_D!$E$15),BG93-Uzman_D!$E$15)*0.1+IF(BH93-Uzman_D!$F$15&lt;0,-(BH93-Uzman_D!$F$15),BH93-Uzman_D!$F$15)*0.1+IF(BI93-Uzman_D!$G$15&lt;0,-(BI93-Uzman_D!$G$15),BI93-Uzman_D!$G$15)*0.1+IF(BJ93-Uzman_D!$H$15&lt;0,-(BJ93-Uzman_D!$H$15),BJ93-Uzman_D!$H$15)*0.1+IF(BK93-Uzman_D!$I$15&lt;0,-(BK93-Uzman_D!$I$15),BK93-Uzman_D!$I$15)*0.1+IF(BL93-Uzman_D!$J$15&lt;0,-(BL93-Uzman_D!$J$15),BL93-Uzman_D!$J$15)*0.1)+IF(ROUND((IF(BN93-Uzman_D!$L$15&lt;0,-(BN93-Uzman_D!$L$15),BN93-Uzman_D!$L$15)*2),0)/2=IF(BN93-Uzman_D!$L$15&lt;0,-(BN93-Uzman_D!$L$15),BN93-Uzman_D!$L$15),(ROUND((IF(BN93-Uzman_D!$L$15&lt;0,-(BN93-Uzman_D!$L$15),BN93-Uzman_D!$L$15)*2),0)/1*0.1),0)+IF(BO93-Uzman_D!$M$15&lt;0,-(BO93-Uzman_D!$M$15),BO93-Uzman_D!$M$15)*1)</f>
        <v>-0.50000000000000022</v>
      </c>
      <c r="BQ93" s="72">
        <f t="shared" si="2"/>
        <v>-0.54</v>
      </c>
    </row>
    <row r="94" spans="1:69" ht="15" customHeight="1" x14ac:dyDescent="0.45">
      <c r="A94" s="54">
        <v>91</v>
      </c>
      <c r="B94" s="149">
        <f>Hakemler!B94</f>
        <v>0</v>
      </c>
      <c r="C94" s="149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3"/>
      <c r="O94" s="73"/>
      <c r="P94" s="71">
        <f>1-(SUM(IF(D94-Uzman_D!$B$11&lt;0,-(D94-Uzman_D!$B$11),D94-Uzman_D!$B$11)*0.1+IF(E94-Uzman_D!$C$11&lt;0,-(E94-Uzman_D!$C$11),E94-Uzman_D!$C$11)*0.1+IF(F94-Uzman_D!$D$11&lt;0,-(F94-Uzman_D!$D$11),F94-Uzman_D!$D$11)*0.1+IF(G94-Uzman_D!$E$11&lt;0,-(G94-Uzman_D!$E$11),G94-Uzman_D!$E$11)*0.1+IF(H94-Uzman_D!$F$11&lt;0,-(H94-Uzman_D!$F$11),H94-Uzman_D!$F$11)*0.1+IF(I94-Uzman_D!$G$11&lt;0,-(I94-Uzman_D!$G$11),I94-Uzman_D!$G$11)*0.1+IF(J94-Uzman_D!$H$11&lt;0,-(J94-Uzman_D!$H$11),J94-Uzman_D!$H$11)*0.1+IF(K94-Uzman_D!$I$11&lt;0,-(K94-Uzman_D!$I$11),K94-Uzman_D!$I$11)*0.1+IF(L94-Uzman_D!$J$11&lt;0,-(L94-Uzman_D!$J$11),L94-Uzman_D!$J$11)*0.1)+IF(ROUND((IF(N94-Uzman_D!$L$11&lt;0,-(N94-Uzman_D!$L$11),N94-Uzman_D!$L$11)*2),0)/2=IF(N94-Uzman_D!$L$11&lt;0,-(N94-Uzman_D!$L$11),N94-Uzman_D!$L$11),(ROUND((IF(N94-Uzman_D!$L$11&lt;0,-(N94-Uzman_D!$L$11),N94-Uzman_D!$L$11)*2),0)/1*0.1),0)+IF(O94-Uzman_D!$M$11&lt;0,-(O94-Uzman_D!$M$11),O94-Uzman_D!$M$11)*1)</f>
        <v>-0.90000000000000013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3"/>
      <c r="AB94" s="73"/>
      <c r="AC94" s="71">
        <f>1-(SUM(IF(Q94-Uzman_D!$B$12&lt;0,-(Q94-Uzman_D!$B$12),Q94-Uzman_D!$B$12)*0.1+IF(R94-Uzman_D!$C$12&lt;0,-(R94-Uzman_D!$C$12),R94-Uzman_D!$C$12)*0.1+IF(S94-Uzman_D!$D$12&lt;0,-(S94-Uzman_D!$D$12),S94-Uzman_D!$D$12)*0.1+IF(T94-Uzman_D!$E$12&lt;0,-(T94-Uzman_D!$E$12),T94-Uzman_D!$E$12)*0.1+IF(U94-Uzman_D!$F$12&lt;0,-(U94-Uzman_D!$F$12),U94-Uzman_D!$F$12)*0.1+IF(V94-Uzman_D!$G$12&lt;0,-(V94-Uzman_D!$G$12),V94-Uzman_D!$G$12)*0.1+IF(W94-Uzman_D!$H$12&lt;0,-(W94-Uzman_D!$H$12),W94-Uzman_D!$H$12)*0.1+IF(X94-Uzman_D!$I$12&lt;0,-(X94-Uzman_D!$I$12),X94-Uzman_D!$I$12)*0.1+IF(Y94-Uzman_D!$J$12&lt;0,-(Y94-Uzman_D!$J$12),Y94-Uzman_D!$J$12)*0.1)+IF(ROUND((IF(AA94-Uzman_D!$L$12&lt;0,-(AA94-Uzman_D!$L$12),AA94-Uzman_D!$L$12)*2),0)/2=IF(AA94-Uzman_D!$L$12&lt;0,-(AA94-Uzman_D!$L$12),AA94-Uzman_D!$L$12),(ROUND((IF(AA94-Uzman_D!$L$12&lt;0,-(AA94-Uzman_D!$L$12),AA94-Uzman_D!$L$12)*2),0)/1*0.1),0)+IF(AB94-Uzman_D!$M$12&lt;0,-(AB94-Uzman_D!$M$12),AB94-Uzman_D!$M$12)*1)</f>
        <v>-0.7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3"/>
      <c r="AO94" s="73"/>
      <c r="AP94" s="71">
        <f>1-(SUM(IF(AD94-Uzman_D!$B$13&lt;0,-(AD94-Uzman_D!$B$13),AD94-Uzman_D!$B$13)*0.1+IF(AE94-Uzman_D!$C$13&lt;0,-(AE94-Uzman_D!$C$13),AE94-Uzman_D!$C$13)*0.1+IF(AF94-Uzman_D!$D$13&lt;0,-(AF94-Uzman_D!$D$13),AF94-Uzman_D!$D$13)*0.1+IF(AG94-Uzman_D!$E$13&lt;0,-(AG94-Uzman_D!$E$13),AG94-Uzman_D!$E$13)*0.1+IF(AH94-Uzman_D!$F$13&lt;0,-(AH94-Uzman_D!$F$13),AH94-Uzman_D!$F$13)*0.1+IF(AI94-Uzman_D!$G$13&lt;0,-(AI94-Uzman_D!$G$13),AI94-Uzman_D!$G$13)*0.1+IF(AJ94-Uzman_D!$H$13&lt;0,-(AJ94-Uzman_D!$H$13),AJ94-Uzman_D!$H$13)*0.1+IF(AK94-Uzman_D!$I$13&lt;0,-(AK94-Uzman_D!$I$13),AK94-Uzman_D!$I$13)*0.1+IF(AL94-Uzman_D!$J$13&lt;0,-(AL94-Uzman_D!$J$13),AL94-Uzman_D!$J$13)*0.1)+IF(ROUND((IF(AN94-Uzman_D!$L$13&lt;0,-(AN94-Uzman_D!$L$13),AN94-Uzman_D!$L$13)*2),0)/2=IF(AN94-Uzman_D!$L$13&lt;0,-(AN94-Uzman_D!$L$13),AN94-Uzman_D!$L$13),(ROUND((IF(AN94-Uzman_D!$L$13&lt;0,-(AN94-Uzman_D!$L$13),AN94-Uzman_D!$L$13)*2),0)/1*0.1),0)+IF(AO94-Uzman_D!$M$13&lt;0,-(AO94-Uzman_D!$M$13),AO94-Uzman_D!$M$13)*1)</f>
        <v>-0.30000000000000004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3"/>
      <c r="BB94" s="73"/>
      <c r="BC94" s="71">
        <f>1-(SUM(IF(AQ94-Uzman_D!$B$14&lt;0,-(AQ94-Uzman_D!$B$14),AQ94-Uzman_D!$B$14)*0.1+IF(AR94-Uzman_D!$C$14&lt;0,-(AR94-Uzman_D!$C$14),AR94-Uzman_D!$C$14)*0.1+IF(AS94-Uzman_D!$D$14&lt;0,-(AS94-Uzman_D!$D$14),AS94-Uzman_D!$D$14)*0.1+IF(AT94-Uzman_D!$E$14&lt;0,-(AT94-Uzman_D!$E$14),AT94-Uzman_D!$E$14)*0.1+IF(AU94-Uzman_D!$F$14&lt;0,-(AU94-Uzman_D!$F$14),AU94-Uzman_D!$F$14)*0.1+IF(AV94-Uzman_D!$G$14&lt;0,-(AV94-Uzman_D!$G$14),AV94-Uzman_D!$G$14)*0.1+IF(AW94-Uzman_D!$H$14&lt;0,-(AW94-Uzman_D!$H$14),AW94-Uzman_D!$H$14)*0.1+IF(AX94-Uzman_D!$I$14&lt;0,-(AX94-Uzman_D!$I$14),AX94-Uzman_D!$I$14)*0.1+IF(AY94-Uzman_D!$J$14&lt;0,-(AY94-Uzman_D!$J$14),AY94-Uzman_D!$J$14)*0.1)+IF(ROUND((IF(BA94-Uzman_D!$L$14&lt;0,-(BA94-Uzman_D!$L$14),BA94-Uzman_D!$L$14)*2),0)/2=IF(BA94-Uzman_D!$L$14&lt;0,-(BA94-Uzman_D!$L$14),BA94-Uzman_D!$L$14),(ROUND((IF(BA94-Uzman_D!$L$14&lt;0,-(BA94-Uzman_D!$L$14),BA94-Uzman_D!$L$14)*2),0)/1*0.1),0)+IF(BB94-Uzman_D!$M$14&lt;0,-(BB94-Uzman_D!$M$14),BB94-Uzman_D!$M$14)*1)</f>
        <v>-0.30000000000000027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3"/>
      <c r="BO94" s="73"/>
      <c r="BP94" s="71">
        <f>1-(SUM(IF(BD94-Uzman_D!$B$15&lt;0,-(BD94-Uzman_D!$B$15),BD94-Uzman_D!$B$15)*0.1+IF(BE94-Uzman_D!$C$15&lt;0,-(BE94-Uzman_D!$C$15),BE94-Uzman_D!$C$15)*0.1+IF(BF94-Uzman_D!$D$15&lt;0,-(BF94-Uzman_D!$D$15),BF94-Uzman_D!$D$15)*0.1+IF(BG94-Uzman_D!$E$15&lt;0,-(BG94-Uzman_D!$E$15),BG94-Uzman_D!$E$15)*0.1+IF(BH94-Uzman_D!$F$15&lt;0,-(BH94-Uzman_D!$F$15),BH94-Uzman_D!$F$15)*0.1+IF(BI94-Uzman_D!$G$15&lt;0,-(BI94-Uzman_D!$G$15),BI94-Uzman_D!$G$15)*0.1+IF(BJ94-Uzman_D!$H$15&lt;0,-(BJ94-Uzman_D!$H$15),BJ94-Uzman_D!$H$15)*0.1+IF(BK94-Uzman_D!$I$15&lt;0,-(BK94-Uzman_D!$I$15),BK94-Uzman_D!$I$15)*0.1+IF(BL94-Uzman_D!$J$15&lt;0,-(BL94-Uzman_D!$J$15),BL94-Uzman_D!$J$15)*0.1)+IF(ROUND((IF(BN94-Uzman_D!$L$15&lt;0,-(BN94-Uzman_D!$L$15),BN94-Uzman_D!$L$15)*2),0)/2=IF(BN94-Uzman_D!$L$15&lt;0,-(BN94-Uzman_D!$L$15),BN94-Uzman_D!$L$15),(ROUND((IF(BN94-Uzman_D!$L$15&lt;0,-(BN94-Uzman_D!$L$15),BN94-Uzman_D!$L$15)*2),0)/1*0.1),0)+IF(BO94-Uzman_D!$M$15&lt;0,-(BO94-Uzman_D!$M$15),BO94-Uzman_D!$M$15)*1)</f>
        <v>-0.50000000000000022</v>
      </c>
      <c r="BQ94" s="72">
        <f t="shared" si="2"/>
        <v>-0.54</v>
      </c>
    </row>
    <row r="95" spans="1:69" ht="15" customHeight="1" x14ac:dyDescent="0.45">
      <c r="A95" s="54">
        <v>92</v>
      </c>
      <c r="B95" s="149">
        <f>Hakemler!B95</f>
        <v>0</v>
      </c>
      <c r="C95" s="149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3"/>
      <c r="O95" s="73"/>
      <c r="P95" s="71">
        <f>1-(SUM(IF(D95-Uzman_D!$B$11&lt;0,-(D95-Uzman_D!$B$11),D95-Uzman_D!$B$11)*0.1+IF(E95-Uzman_D!$C$11&lt;0,-(E95-Uzman_D!$C$11),E95-Uzman_D!$C$11)*0.1+IF(F95-Uzman_D!$D$11&lt;0,-(F95-Uzman_D!$D$11),F95-Uzman_D!$D$11)*0.1+IF(G95-Uzman_D!$E$11&lt;0,-(G95-Uzman_D!$E$11),G95-Uzman_D!$E$11)*0.1+IF(H95-Uzman_D!$F$11&lt;0,-(H95-Uzman_D!$F$11),H95-Uzman_D!$F$11)*0.1+IF(I95-Uzman_D!$G$11&lt;0,-(I95-Uzman_D!$G$11),I95-Uzman_D!$G$11)*0.1+IF(J95-Uzman_D!$H$11&lt;0,-(J95-Uzman_D!$H$11),J95-Uzman_D!$H$11)*0.1+IF(K95-Uzman_D!$I$11&lt;0,-(K95-Uzman_D!$I$11),K95-Uzman_D!$I$11)*0.1+IF(L95-Uzman_D!$J$11&lt;0,-(L95-Uzman_D!$J$11),L95-Uzman_D!$J$11)*0.1)+IF(ROUND((IF(N95-Uzman_D!$L$11&lt;0,-(N95-Uzman_D!$L$11),N95-Uzman_D!$L$11)*2),0)/2=IF(N95-Uzman_D!$L$11&lt;0,-(N95-Uzman_D!$L$11),N95-Uzman_D!$L$11),(ROUND((IF(N95-Uzman_D!$L$11&lt;0,-(N95-Uzman_D!$L$11),N95-Uzman_D!$L$11)*2),0)/1*0.1),0)+IF(O95-Uzman_D!$M$11&lt;0,-(O95-Uzman_D!$M$11),O95-Uzman_D!$M$11)*1)</f>
        <v>-0.90000000000000013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3"/>
      <c r="AB95" s="73"/>
      <c r="AC95" s="71">
        <f>1-(SUM(IF(Q95-Uzman_D!$B$12&lt;0,-(Q95-Uzman_D!$B$12),Q95-Uzman_D!$B$12)*0.1+IF(R95-Uzman_D!$C$12&lt;0,-(R95-Uzman_D!$C$12),R95-Uzman_D!$C$12)*0.1+IF(S95-Uzman_D!$D$12&lt;0,-(S95-Uzman_D!$D$12),S95-Uzman_D!$D$12)*0.1+IF(T95-Uzman_D!$E$12&lt;0,-(T95-Uzman_D!$E$12),T95-Uzman_D!$E$12)*0.1+IF(U95-Uzman_D!$F$12&lt;0,-(U95-Uzman_D!$F$12),U95-Uzman_D!$F$12)*0.1+IF(V95-Uzman_D!$G$12&lt;0,-(V95-Uzman_D!$G$12),V95-Uzman_D!$G$12)*0.1+IF(W95-Uzman_D!$H$12&lt;0,-(W95-Uzman_D!$H$12),W95-Uzman_D!$H$12)*0.1+IF(X95-Uzman_D!$I$12&lt;0,-(X95-Uzman_D!$I$12),X95-Uzman_D!$I$12)*0.1+IF(Y95-Uzman_D!$J$12&lt;0,-(Y95-Uzman_D!$J$12),Y95-Uzman_D!$J$12)*0.1)+IF(ROUND((IF(AA95-Uzman_D!$L$12&lt;0,-(AA95-Uzman_D!$L$12),AA95-Uzman_D!$L$12)*2),0)/2=IF(AA95-Uzman_D!$L$12&lt;0,-(AA95-Uzman_D!$L$12),AA95-Uzman_D!$L$12),(ROUND((IF(AA95-Uzman_D!$L$12&lt;0,-(AA95-Uzman_D!$L$12),AA95-Uzman_D!$L$12)*2),0)/1*0.1),0)+IF(AB95-Uzman_D!$M$12&lt;0,-(AB95-Uzman_D!$M$12),AB95-Uzman_D!$M$12)*1)</f>
        <v>-0.7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3"/>
      <c r="AO95" s="73"/>
      <c r="AP95" s="71">
        <f>1-(SUM(IF(AD95-Uzman_D!$B$13&lt;0,-(AD95-Uzman_D!$B$13),AD95-Uzman_D!$B$13)*0.1+IF(AE95-Uzman_D!$C$13&lt;0,-(AE95-Uzman_D!$C$13),AE95-Uzman_D!$C$13)*0.1+IF(AF95-Uzman_D!$D$13&lt;0,-(AF95-Uzman_D!$D$13),AF95-Uzman_D!$D$13)*0.1+IF(AG95-Uzman_D!$E$13&lt;0,-(AG95-Uzman_D!$E$13),AG95-Uzman_D!$E$13)*0.1+IF(AH95-Uzman_D!$F$13&lt;0,-(AH95-Uzman_D!$F$13),AH95-Uzman_D!$F$13)*0.1+IF(AI95-Uzman_D!$G$13&lt;0,-(AI95-Uzman_D!$G$13),AI95-Uzman_D!$G$13)*0.1+IF(AJ95-Uzman_D!$H$13&lt;0,-(AJ95-Uzman_D!$H$13),AJ95-Uzman_D!$H$13)*0.1+IF(AK95-Uzman_D!$I$13&lt;0,-(AK95-Uzman_D!$I$13),AK95-Uzman_D!$I$13)*0.1+IF(AL95-Uzman_D!$J$13&lt;0,-(AL95-Uzman_D!$J$13),AL95-Uzman_D!$J$13)*0.1)+IF(ROUND((IF(AN95-Uzman_D!$L$13&lt;0,-(AN95-Uzman_D!$L$13),AN95-Uzman_D!$L$13)*2),0)/2=IF(AN95-Uzman_D!$L$13&lt;0,-(AN95-Uzman_D!$L$13),AN95-Uzman_D!$L$13),(ROUND((IF(AN95-Uzman_D!$L$13&lt;0,-(AN95-Uzman_D!$L$13),AN95-Uzman_D!$L$13)*2),0)/1*0.1),0)+IF(AO95-Uzman_D!$M$13&lt;0,-(AO95-Uzman_D!$M$13),AO95-Uzman_D!$M$13)*1)</f>
        <v>-0.30000000000000004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3"/>
      <c r="BB95" s="73"/>
      <c r="BC95" s="71">
        <f>1-(SUM(IF(AQ95-Uzman_D!$B$14&lt;0,-(AQ95-Uzman_D!$B$14),AQ95-Uzman_D!$B$14)*0.1+IF(AR95-Uzman_D!$C$14&lt;0,-(AR95-Uzman_D!$C$14),AR95-Uzman_D!$C$14)*0.1+IF(AS95-Uzman_D!$D$14&lt;0,-(AS95-Uzman_D!$D$14),AS95-Uzman_D!$D$14)*0.1+IF(AT95-Uzman_D!$E$14&lt;0,-(AT95-Uzman_D!$E$14),AT95-Uzman_D!$E$14)*0.1+IF(AU95-Uzman_D!$F$14&lt;0,-(AU95-Uzman_D!$F$14),AU95-Uzman_D!$F$14)*0.1+IF(AV95-Uzman_D!$G$14&lt;0,-(AV95-Uzman_D!$G$14),AV95-Uzman_D!$G$14)*0.1+IF(AW95-Uzman_D!$H$14&lt;0,-(AW95-Uzman_D!$H$14),AW95-Uzman_D!$H$14)*0.1+IF(AX95-Uzman_D!$I$14&lt;0,-(AX95-Uzman_D!$I$14),AX95-Uzman_D!$I$14)*0.1+IF(AY95-Uzman_D!$J$14&lt;0,-(AY95-Uzman_D!$J$14),AY95-Uzman_D!$J$14)*0.1)+IF(ROUND((IF(BA95-Uzman_D!$L$14&lt;0,-(BA95-Uzman_D!$L$14),BA95-Uzman_D!$L$14)*2),0)/2=IF(BA95-Uzman_D!$L$14&lt;0,-(BA95-Uzman_D!$L$14),BA95-Uzman_D!$L$14),(ROUND((IF(BA95-Uzman_D!$L$14&lt;0,-(BA95-Uzman_D!$L$14),BA95-Uzman_D!$L$14)*2),0)/1*0.1),0)+IF(BB95-Uzman_D!$M$14&lt;0,-(BB95-Uzman_D!$M$14),BB95-Uzman_D!$M$14)*1)</f>
        <v>-0.30000000000000027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3"/>
      <c r="BO95" s="73"/>
      <c r="BP95" s="71">
        <f>1-(SUM(IF(BD95-Uzman_D!$B$15&lt;0,-(BD95-Uzman_D!$B$15),BD95-Uzman_D!$B$15)*0.1+IF(BE95-Uzman_D!$C$15&lt;0,-(BE95-Uzman_D!$C$15),BE95-Uzman_D!$C$15)*0.1+IF(BF95-Uzman_D!$D$15&lt;0,-(BF95-Uzman_D!$D$15),BF95-Uzman_D!$D$15)*0.1+IF(BG95-Uzman_D!$E$15&lt;0,-(BG95-Uzman_D!$E$15),BG95-Uzman_D!$E$15)*0.1+IF(BH95-Uzman_D!$F$15&lt;0,-(BH95-Uzman_D!$F$15),BH95-Uzman_D!$F$15)*0.1+IF(BI95-Uzman_D!$G$15&lt;0,-(BI95-Uzman_D!$G$15),BI95-Uzman_D!$G$15)*0.1+IF(BJ95-Uzman_D!$H$15&lt;0,-(BJ95-Uzman_D!$H$15),BJ95-Uzman_D!$H$15)*0.1+IF(BK95-Uzman_D!$I$15&lt;0,-(BK95-Uzman_D!$I$15),BK95-Uzman_D!$I$15)*0.1+IF(BL95-Uzman_D!$J$15&lt;0,-(BL95-Uzman_D!$J$15),BL95-Uzman_D!$J$15)*0.1)+IF(ROUND((IF(BN95-Uzman_D!$L$15&lt;0,-(BN95-Uzman_D!$L$15),BN95-Uzman_D!$L$15)*2),0)/2=IF(BN95-Uzman_D!$L$15&lt;0,-(BN95-Uzman_D!$L$15),BN95-Uzman_D!$L$15),(ROUND((IF(BN95-Uzman_D!$L$15&lt;0,-(BN95-Uzman_D!$L$15),BN95-Uzman_D!$L$15)*2),0)/1*0.1),0)+IF(BO95-Uzman_D!$M$15&lt;0,-(BO95-Uzman_D!$M$15),BO95-Uzman_D!$M$15)*1)</f>
        <v>-0.50000000000000022</v>
      </c>
      <c r="BQ95" s="72">
        <f t="shared" si="2"/>
        <v>-0.54</v>
      </c>
    </row>
    <row r="96" spans="1:69" ht="15" customHeight="1" x14ac:dyDescent="0.45">
      <c r="A96" s="54">
        <v>93</v>
      </c>
      <c r="B96" s="149">
        <f>Hakemler!B96</f>
        <v>0</v>
      </c>
      <c r="C96" s="149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3"/>
      <c r="O96" s="73"/>
      <c r="P96" s="71">
        <f>1-(SUM(IF(D96-Uzman_D!$B$11&lt;0,-(D96-Uzman_D!$B$11),D96-Uzman_D!$B$11)*0.1+IF(E96-Uzman_D!$C$11&lt;0,-(E96-Uzman_D!$C$11),E96-Uzman_D!$C$11)*0.1+IF(F96-Uzman_D!$D$11&lt;0,-(F96-Uzman_D!$D$11),F96-Uzman_D!$D$11)*0.1+IF(G96-Uzman_D!$E$11&lt;0,-(G96-Uzman_D!$E$11),G96-Uzman_D!$E$11)*0.1+IF(H96-Uzman_D!$F$11&lt;0,-(H96-Uzman_D!$F$11),H96-Uzman_D!$F$11)*0.1+IF(I96-Uzman_D!$G$11&lt;0,-(I96-Uzman_D!$G$11),I96-Uzman_D!$G$11)*0.1+IF(J96-Uzman_D!$H$11&lt;0,-(J96-Uzman_D!$H$11),J96-Uzman_D!$H$11)*0.1+IF(K96-Uzman_D!$I$11&lt;0,-(K96-Uzman_D!$I$11),K96-Uzman_D!$I$11)*0.1+IF(L96-Uzman_D!$J$11&lt;0,-(L96-Uzman_D!$J$11),L96-Uzman_D!$J$11)*0.1)+IF(ROUND((IF(N96-Uzman_D!$L$11&lt;0,-(N96-Uzman_D!$L$11),N96-Uzman_D!$L$11)*2),0)/2=IF(N96-Uzman_D!$L$11&lt;0,-(N96-Uzman_D!$L$11),N96-Uzman_D!$L$11),(ROUND((IF(N96-Uzman_D!$L$11&lt;0,-(N96-Uzman_D!$L$11),N96-Uzman_D!$L$11)*2),0)/1*0.1),0)+IF(O96-Uzman_D!$M$11&lt;0,-(O96-Uzman_D!$M$11),O96-Uzman_D!$M$11)*1)</f>
        <v>-0.90000000000000013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3"/>
      <c r="AB96" s="73"/>
      <c r="AC96" s="71">
        <f>1-(SUM(IF(Q96-Uzman_D!$B$12&lt;0,-(Q96-Uzman_D!$B$12),Q96-Uzman_D!$B$12)*0.1+IF(R96-Uzman_D!$C$12&lt;0,-(R96-Uzman_D!$C$12),R96-Uzman_D!$C$12)*0.1+IF(S96-Uzman_D!$D$12&lt;0,-(S96-Uzman_D!$D$12),S96-Uzman_D!$D$12)*0.1+IF(T96-Uzman_D!$E$12&lt;0,-(T96-Uzman_D!$E$12),T96-Uzman_D!$E$12)*0.1+IF(U96-Uzman_D!$F$12&lt;0,-(U96-Uzman_D!$F$12),U96-Uzman_D!$F$12)*0.1+IF(V96-Uzman_D!$G$12&lt;0,-(V96-Uzman_D!$G$12),V96-Uzman_D!$G$12)*0.1+IF(W96-Uzman_D!$H$12&lt;0,-(W96-Uzman_D!$H$12),W96-Uzman_D!$H$12)*0.1+IF(X96-Uzman_D!$I$12&lt;0,-(X96-Uzman_D!$I$12),X96-Uzman_D!$I$12)*0.1+IF(Y96-Uzman_D!$J$12&lt;0,-(Y96-Uzman_D!$J$12),Y96-Uzman_D!$J$12)*0.1)+IF(ROUND((IF(AA96-Uzman_D!$L$12&lt;0,-(AA96-Uzman_D!$L$12),AA96-Uzman_D!$L$12)*2),0)/2=IF(AA96-Uzman_D!$L$12&lt;0,-(AA96-Uzman_D!$L$12),AA96-Uzman_D!$L$12),(ROUND((IF(AA96-Uzman_D!$L$12&lt;0,-(AA96-Uzman_D!$L$12),AA96-Uzman_D!$L$12)*2),0)/1*0.1),0)+IF(AB96-Uzman_D!$M$12&lt;0,-(AB96-Uzman_D!$M$12),AB96-Uzman_D!$M$12)*1)</f>
        <v>-0.7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3"/>
      <c r="AO96" s="73"/>
      <c r="AP96" s="71">
        <f>1-(SUM(IF(AD96-Uzman_D!$B$13&lt;0,-(AD96-Uzman_D!$B$13),AD96-Uzman_D!$B$13)*0.1+IF(AE96-Uzman_D!$C$13&lt;0,-(AE96-Uzman_D!$C$13),AE96-Uzman_D!$C$13)*0.1+IF(AF96-Uzman_D!$D$13&lt;0,-(AF96-Uzman_D!$D$13),AF96-Uzman_D!$D$13)*0.1+IF(AG96-Uzman_D!$E$13&lt;0,-(AG96-Uzman_D!$E$13),AG96-Uzman_D!$E$13)*0.1+IF(AH96-Uzman_D!$F$13&lt;0,-(AH96-Uzman_D!$F$13),AH96-Uzman_D!$F$13)*0.1+IF(AI96-Uzman_D!$G$13&lt;0,-(AI96-Uzman_D!$G$13),AI96-Uzman_D!$G$13)*0.1+IF(AJ96-Uzman_D!$H$13&lt;0,-(AJ96-Uzman_D!$H$13),AJ96-Uzman_D!$H$13)*0.1+IF(AK96-Uzman_D!$I$13&lt;0,-(AK96-Uzman_D!$I$13),AK96-Uzman_D!$I$13)*0.1+IF(AL96-Uzman_D!$J$13&lt;0,-(AL96-Uzman_D!$J$13),AL96-Uzman_D!$J$13)*0.1)+IF(ROUND((IF(AN96-Uzman_D!$L$13&lt;0,-(AN96-Uzman_D!$L$13),AN96-Uzman_D!$L$13)*2),0)/2=IF(AN96-Uzman_D!$L$13&lt;0,-(AN96-Uzman_D!$L$13),AN96-Uzman_D!$L$13),(ROUND((IF(AN96-Uzman_D!$L$13&lt;0,-(AN96-Uzman_D!$L$13),AN96-Uzman_D!$L$13)*2),0)/1*0.1),0)+IF(AO96-Uzman_D!$M$13&lt;0,-(AO96-Uzman_D!$M$13),AO96-Uzman_D!$M$13)*1)</f>
        <v>-0.30000000000000004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3"/>
      <c r="BB96" s="73"/>
      <c r="BC96" s="71">
        <f>1-(SUM(IF(AQ96-Uzman_D!$B$14&lt;0,-(AQ96-Uzman_D!$B$14),AQ96-Uzman_D!$B$14)*0.1+IF(AR96-Uzman_D!$C$14&lt;0,-(AR96-Uzman_D!$C$14),AR96-Uzman_D!$C$14)*0.1+IF(AS96-Uzman_D!$D$14&lt;0,-(AS96-Uzman_D!$D$14),AS96-Uzman_D!$D$14)*0.1+IF(AT96-Uzman_D!$E$14&lt;0,-(AT96-Uzman_D!$E$14),AT96-Uzman_D!$E$14)*0.1+IF(AU96-Uzman_D!$F$14&lt;0,-(AU96-Uzman_D!$F$14),AU96-Uzman_D!$F$14)*0.1+IF(AV96-Uzman_D!$G$14&lt;0,-(AV96-Uzman_D!$G$14),AV96-Uzman_D!$G$14)*0.1+IF(AW96-Uzman_D!$H$14&lt;0,-(AW96-Uzman_D!$H$14),AW96-Uzman_D!$H$14)*0.1+IF(AX96-Uzman_D!$I$14&lt;0,-(AX96-Uzman_D!$I$14),AX96-Uzman_D!$I$14)*0.1+IF(AY96-Uzman_D!$J$14&lt;0,-(AY96-Uzman_D!$J$14),AY96-Uzman_D!$J$14)*0.1)+IF(ROUND((IF(BA96-Uzman_D!$L$14&lt;0,-(BA96-Uzman_D!$L$14),BA96-Uzman_D!$L$14)*2),0)/2=IF(BA96-Uzman_D!$L$14&lt;0,-(BA96-Uzman_D!$L$14),BA96-Uzman_D!$L$14),(ROUND((IF(BA96-Uzman_D!$L$14&lt;0,-(BA96-Uzman_D!$L$14),BA96-Uzman_D!$L$14)*2),0)/1*0.1),0)+IF(BB96-Uzman_D!$M$14&lt;0,-(BB96-Uzman_D!$M$14),BB96-Uzman_D!$M$14)*1)</f>
        <v>-0.30000000000000027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3"/>
      <c r="BO96" s="73"/>
      <c r="BP96" s="71">
        <f>1-(SUM(IF(BD96-Uzman_D!$B$15&lt;0,-(BD96-Uzman_D!$B$15),BD96-Uzman_D!$B$15)*0.1+IF(BE96-Uzman_D!$C$15&lt;0,-(BE96-Uzman_D!$C$15),BE96-Uzman_D!$C$15)*0.1+IF(BF96-Uzman_D!$D$15&lt;0,-(BF96-Uzman_D!$D$15),BF96-Uzman_D!$D$15)*0.1+IF(BG96-Uzman_D!$E$15&lt;0,-(BG96-Uzman_D!$E$15),BG96-Uzman_D!$E$15)*0.1+IF(BH96-Uzman_D!$F$15&lt;0,-(BH96-Uzman_D!$F$15),BH96-Uzman_D!$F$15)*0.1+IF(BI96-Uzman_D!$G$15&lt;0,-(BI96-Uzman_D!$G$15),BI96-Uzman_D!$G$15)*0.1+IF(BJ96-Uzman_D!$H$15&lt;0,-(BJ96-Uzman_D!$H$15),BJ96-Uzman_D!$H$15)*0.1+IF(BK96-Uzman_D!$I$15&lt;0,-(BK96-Uzman_D!$I$15),BK96-Uzman_D!$I$15)*0.1+IF(BL96-Uzman_D!$J$15&lt;0,-(BL96-Uzman_D!$J$15),BL96-Uzman_D!$J$15)*0.1)+IF(ROUND((IF(BN96-Uzman_D!$L$15&lt;0,-(BN96-Uzman_D!$L$15),BN96-Uzman_D!$L$15)*2),0)/2=IF(BN96-Uzman_D!$L$15&lt;0,-(BN96-Uzman_D!$L$15),BN96-Uzman_D!$L$15),(ROUND((IF(BN96-Uzman_D!$L$15&lt;0,-(BN96-Uzman_D!$L$15),BN96-Uzman_D!$L$15)*2),0)/1*0.1),0)+IF(BO96-Uzman_D!$M$15&lt;0,-(BO96-Uzman_D!$M$15),BO96-Uzman_D!$M$15)*1)</f>
        <v>-0.50000000000000022</v>
      </c>
      <c r="BQ96" s="72">
        <f t="shared" si="2"/>
        <v>-0.54</v>
      </c>
    </row>
    <row r="97" spans="1:69" ht="15" customHeight="1" x14ac:dyDescent="0.45">
      <c r="A97" s="54">
        <v>94</v>
      </c>
      <c r="B97" s="149">
        <f>Hakemler!B97</f>
        <v>0</v>
      </c>
      <c r="C97" s="149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3"/>
      <c r="O97" s="73"/>
      <c r="P97" s="71">
        <f>1-(SUM(IF(D97-Uzman_D!$B$11&lt;0,-(D97-Uzman_D!$B$11),D97-Uzman_D!$B$11)*0.1+IF(E97-Uzman_D!$C$11&lt;0,-(E97-Uzman_D!$C$11),E97-Uzman_D!$C$11)*0.1+IF(F97-Uzman_D!$D$11&lt;0,-(F97-Uzman_D!$D$11),F97-Uzman_D!$D$11)*0.1+IF(G97-Uzman_D!$E$11&lt;0,-(G97-Uzman_D!$E$11),G97-Uzman_D!$E$11)*0.1+IF(H97-Uzman_D!$F$11&lt;0,-(H97-Uzman_D!$F$11),H97-Uzman_D!$F$11)*0.1+IF(I97-Uzman_D!$G$11&lt;0,-(I97-Uzman_D!$G$11),I97-Uzman_D!$G$11)*0.1+IF(J97-Uzman_D!$H$11&lt;0,-(J97-Uzman_D!$H$11),J97-Uzman_D!$H$11)*0.1+IF(K97-Uzman_D!$I$11&lt;0,-(K97-Uzman_D!$I$11),K97-Uzman_D!$I$11)*0.1+IF(L97-Uzman_D!$J$11&lt;0,-(L97-Uzman_D!$J$11),L97-Uzman_D!$J$11)*0.1)+IF(ROUND((IF(N97-Uzman_D!$L$11&lt;0,-(N97-Uzman_D!$L$11),N97-Uzman_D!$L$11)*2),0)/2=IF(N97-Uzman_D!$L$11&lt;0,-(N97-Uzman_D!$L$11),N97-Uzman_D!$L$11),(ROUND((IF(N97-Uzman_D!$L$11&lt;0,-(N97-Uzman_D!$L$11),N97-Uzman_D!$L$11)*2),0)/1*0.1),0)+IF(O97-Uzman_D!$M$11&lt;0,-(O97-Uzman_D!$M$11),O97-Uzman_D!$M$11)*1)</f>
        <v>-0.90000000000000013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3"/>
      <c r="AB97" s="73"/>
      <c r="AC97" s="71">
        <f>1-(SUM(IF(Q97-Uzman_D!$B$12&lt;0,-(Q97-Uzman_D!$B$12),Q97-Uzman_D!$B$12)*0.1+IF(R97-Uzman_D!$C$12&lt;0,-(R97-Uzman_D!$C$12),R97-Uzman_D!$C$12)*0.1+IF(S97-Uzman_D!$D$12&lt;0,-(S97-Uzman_D!$D$12),S97-Uzman_D!$D$12)*0.1+IF(T97-Uzman_D!$E$12&lt;0,-(T97-Uzman_D!$E$12),T97-Uzman_D!$E$12)*0.1+IF(U97-Uzman_D!$F$12&lt;0,-(U97-Uzman_D!$F$12),U97-Uzman_D!$F$12)*0.1+IF(V97-Uzman_D!$G$12&lt;0,-(V97-Uzman_D!$G$12),V97-Uzman_D!$G$12)*0.1+IF(W97-Uzman_D!$H$12&lt;0,-(W97-Uzman_D!$H$12),W97-Uzman_D!$H$12)*0.1+IF(X97-Uzman_D!$I$12&lt;0,-(X97-Uzman_D!$I$12),X97-Uzman_D!$I$12)*0.1+IF(Y97-Uzman_D!$J$12&lt;0,-(Y97-Uzman_D!$J$12),Y97-Uzman_D!$J$12)*0.1)+IF(ROUND((IF(AA97-Uzman_D!$L$12&lt;0,-(AA97-Uzman_D!$L$12),AA97-Uzman_D!$L$12)*2),0)/2=IF(AA97-Uzman_D!$L$12&lt;0,-(AA97-Uzman_D!$L$12),AA97-Uzman_D!$L$12),(ROUND((IF(AA97-Uzman_D!$L$12&lt;0,-(AA97-Uzman_D!$L$12),AA97-Uzman_D!$L$12)*2),0)/1*0.1),0)+IF(AB97-Uzman_D!$M$12&lt;0,-(AB97-Uzman_D!$M$12),AB97-Uzman_D!$M$12)*1)</f>
        <v>-0.7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3"/>
      <c r="AO97" s="73"/>
      <c r="AP97" s="71">
        <f>1-(SUM(IF(AD97-Uzman_D!$B$13&lt;0,-(AD97-Uzman_D!$B$13),AD97-Uzman_D!$B$13)*0.1+IF(AE97-Uzman_D!$C$13&lt;0,-(AE97-Uzman_D!$C$13),AE97-Uzman_D!$C$13)*0.1+IF(AF97-Uzman_D!$D$13&lt;0,-(AF97-Uzman_D!$D$13),AF97-Uzman_D!$D$13)*0.1+IF(AG97-Uzman_D!$E$13&lt;0,-(AG97-Uzman_D!$E$13),AG97-Uzman_D!$E$13)*0.1+IF(AH97-Uzman_D!$F$13&lt;0,-(AH97-Uzman_D!$F$13),AH97-Uzman_D!$F$13)*0.1+IF(AI97-Uzman_D!$G$13&lt;0,-(AI97-Uzman_D!$G$13),AI97-Uzman_D!$G$13)*0.1+IF(AJ97-Uzman_D!$H$13&lt;0,-(AJ97-Uzman_D!$H$13),AJ97-Uzman_D!$H$13)*0.1+IF(AK97-Uzman_D!$I$13&lt;0,-(AK97-Uzman_D!$I$13),AK97-Uzman_D!$I$13)*0.1+IF(AL97-Uzman_D!$J$13&lt;0,-(AL97-Uzman_D!$J$13),AL97-Uzman_D!$J$13)*0.1)+IF(ROUND((IF(AN97-Uzman_D!$L$13&lt;0,-(AN97-Uzman_D!$L$13),AN97-Uzman_D!$L$13)*2),0)/2=IF(AN97-Uzman_D!$L$13&lt;0,-(AN97-Uzman_D!$L$13),AN97-Uzman_D!$L$13),(ROUND((IF(AN97-Uzman_D!$L$13&lt;0,-(AN97-Uzman_D!$L$13),AN97-Uzman_D!$L$13)*2),0)/1*0.1),0)+IF(AO97-Uzman_D!$M$13&lt;0,-(AO97-Uzman_D!$M$13),AO97-Uzman_D!$M$13)*1)</f>
        <v>-0.30000000000000004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3"/>
      <c r="BB97" s="73"/>
      <c r="BC97" s="71">
        <f>1-(SUM(IF(AQ97-Uzman_D!$B$14&lt;0,-(AQ97-Uzman_D!$B$14),AQ97-Uzman_D!$B$14)*0.1+IF(AR97-Uzman_D!$C$14&lt;0,-(AR97-Uzman_D!$C$14),AR97-Uzman_D!$C$14)*0.1+IF(AS97-Uzman_D!$D$14&lt;0,-(AS97-Uzman_D!$D$14),AS97-Uzman_D!$D$14)*0.1+IF(AT97-Uzman_D!$E$14&lt;0,-(AT97-Uzman_D!$E$14),AT97-Uzman_D!$E$14)*0.1+IF(AU97-Uzman_D!$F$14&lt;0,-(AU97-Uzman_D!$F$14),AU97-Uzman_D!$F$14)*0.1+IF(AV97-Uzman_D!$G$14&lt;0,-(AV97-Uzman_D!$G$14),AV97-Uzman_D!$G$14)*0.1+IF(AW97-Uzman_D!$H$14&lt;0,-(AW97-Uzman_D!$H$14),AW97-Uzman_D!$H$14)*0.1+IF(AX97-Uzman_D!$I$14&lt;0,-(AX97-Uzman_D!$I$14),AX97-Uzman_D!$I$14)*0.1+IF(AY97-Uzman_D!$J$14&lt;0,-(AY97-Uzman_D!$J$14),AY97-Uzman_D!$J$14)*0.1)+IF(ROUND((IF(BA97-Uzman_D!$L$14&lt;0,-(BA97-Uzman_D!$L$14),BA97-Uzman_D!$L$14)*2),0)/2=IF(BA97-Uzman_D!$L$14&lt;0,-(BA97-Uzman_D!$L$14),BA97-Uzman_D!$L$14),(ROUND((IF(BA97-Uzman_D!$L$14&lt;0,-(BA97-Uzman_D!$L$14),BA97-Uzman_D!$L$14)*2),0)/1*0.1),0)+IF(BB97-Uzman_D!$M$14&lt;0,-(BB97-Uzman_D!$M$14),BB97-Uzman_D!$M$14)*1)</f>
        <v>-0.30000000000000027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3"/>
      <c r="BO97" s="73"/>
      <c r="BP97" s="71">
        <f>1-(SUM(IF(BD97-Uzman_D!$B$15&lt;0,-(BD97-Uzman_D!$B$15),BD97-Uzman_D!$B$15)*0.1+IF(BE97-Uzman_D!$C$15&lt;0,-(BE97-Uzman_D!$C$15),BE97-Uzman_D!$C$15)*0.1+IF(BF97-Uzman_D!$D$15&lt;0,-(BF97-Uzman_D!$D$15),BF97-Uzman_D!$D$15)*0.1+IF(BG97-Uzman_D!$E$15&lt;0,-(BG97-Uzman_D!$E$15),BG97-Uzman_D!$E$15)*0.1+IF(BH97-Uzman_D!$F$15&lt;0,-(BH97-Uzman_D!$F$15),BH97-Uzman_D!$F$15)*0.1+IF(BI97-Uzman_D!$G$15&lt;0,-(BI97-Uzman_D!$G$15),BI97-Uzman_D!$G$15)*0.1+IF(BJ97-Uzman_D!$H$15&lt;0,-(BJ97-Uzman_D!$H$15),BJ97-Uzman_D!$H$15)*0.1+IF(BK97-Uzman_D!$I$15&lt;0,-(BK97-Uzman_D!$I$15),BK97-Uzman_D!$I$15)*0.1+IF(BL97-Uzman_D!$J$15&lt;0,-(BL97-Uzman_D!$J$15),BL97-Uzman_D!$J$15)*0.1)+IF(ROUND((IF(BN97-Uzman_D!$L$15&lt;0,-(BN97-Uzman_D!$L$15),BN97-Uzman_D!$L$15)*2),0)/2=IF(BN97-Uzman_D!$L$15&lt;0,-(BN97-Uzman_D!$L$15),BN97-Uzman_D!$L$15),(ROUND((IF(BN97-Uzman_D!$L$15&lt;0,-(BN97-Uzman_D!$L$15),BN97-Uzman_D!$L$15)*2),0)/1*0.1),0)+IF(BO97-Uzman_D!$M$15&lt;0,-(BO97-Uzman_D!$M$15),BO97-Uzman_D!$M$15)*1)</f>
        <v>-0.50000000000000022</v>
      </c>
      <c r="BQ97" s="72">
        <f t="shared" si="2"/>
        <v>-0.54</v>
      </c>
    </row>
    <row r="98" spans="1:69" ht="15" customHeight="1" x14ac:dyDescent="0.45">
      <c r="A98" s="54">
        <v>95</v>
      </c>
      <c r="B98" s="149">
        <f>Hakemler!B98</f>
        <v>0</v>
      </c>
      <c r="C98" s="149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3"/>
      <c r="O98" s="73"/>
      <c r="P98" s="71">
        <f>1-(SUM(IF(D98-Uzman_D!$B$11&lt;0,-(D98-Uzman_D!$B$11),D98-Uzman_D!$B$11)*0.1+IF(E98-Uzman_D!$C$11&lt;0,-(E98-Uzman_D!$C$11),E98-Uzman_D!$C$11)*0.1+IF(F98-Uzman_D!$D$11&lt;0,-(F98-Uzman_D!$D$11),F98-Uzman_D!$D$11)*0.1+IF(G98-Uzman_D!$E$11&lt;0,-(G98-Uzman_D!$E$11),G98-Uzman_D!$E$11)*0.1+IF(H98-Uzman_D!$F$11&lt;0,-(H98-Uzman_D!$F$11),H98-Uzman_D!$F$11)*0.1+IF(I98-Uzman_D!$G$11&lt;0,-(I98-Uzman_D!$G$11),I98-Uzman_D!$G$11)*0.1+IF(J98-Uzman_D!$H$11&lt;0,-(J98-Uzman_D!$H$11),J98-Uzman_D!$H$11)*0.1+IF(K98-Uzman_D!$I$11&lt;0,-(K98-Uzman_D!$I$11),K98-Uzman_D!$I$11)*0.1+IF(L98-Uzman_D!$J$11&lt;0,-(L98-Uzman_D!$J$11),L98-Uzman_D!$J$11)*0.1)+IF(ROUND((IF(N98-Uzman_D!$L$11&lt;0,-(N98-Uzman_D!$L$11),N98-Uzman_D!$L$11)*2),0)/2=IF(N98-Uzman_D!$L$11&lt;0,-(N98-Uzman_D!$L$11),N98-Uzman_D!$L$11),(ROUND((IF(N98-Uzman_D!$L$11&lt;0,-(N98-Uzman_D!$L$11),N98-Uzman_D!$L$11)*2),0)/1*0.1),0)+IF(O98-Uzman_D!$M$11&lt;0,-(O98-Uzman_D!$M$11),O98-Uzman_D!$M$11)*1)</f>
        <v>-0.90000000000000013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3"/>
      <c r="AB98" s="73"/>
      <c r="AC98" s="71">
        <f>1-(SUM(IF(Q98-Uzman_D!$B$12&lt;0,-(Q98-Uzman_D!$B$12),Q98-Uzman_D!$B$12)*0.1+IF(R98-Uzman_D!$C$12&lt;0,-(R98-Uzman_D!$C$12),R98-Uzman_D!$C$12)*0.1+IF(S98-Uzman_D!$D$12&lt;0,-(S98-Uzman_D!$D$12),S98-Uzman_D!$D$12)*0.1+IF(T98-Uzman_D!$E$12&lt;0,-(T98-Uzman_D!$E$12),T98-Uzman_D!$E$12)*0.1+IF(U98-Uzman_D!$F$12&lt;0,-(U98-Uzman_D!$F$12),U98-Uzman_D!$F$12)*0.1+IF(V98-Uzman_D!$G$12&lt;0,-(V98-Uzman_D!$G$12),V98-Uzman_D!$G$12)*0.1+IF(W98-Uzman_D!$H$12&lt;0,-(W98-Uzman_D!$H$12),W98-Uzman_D!$H$12)*0.1+IF(X98-Uzman_D!$I$12&lt;0,-(X98-Uzman_D!$I$12),X98-Uzman_D!$I$12)*0.1+IF(Y98-Uzman_D!$J$12&lt;0,-(Y98-Uzman_D!$J$12),Y98-Uzman_D!$J$12)*0.1)+IF(ROUND((IF(AA98-Uzman_D!$L$12&lt;0,-(AA98-Uzman_D!$L$12),AA98-Uzman_D!$L$12)*2),0)/2=IF(AA98-Uzman_D!$L$12&lt;0,-(AA98-Uzman_D!$L$12),AA98-Uzman_D!$L$12),(ROUND((IF(AA98-Uzman_D!$L$12&lt;0,-(AA98-Uzman_D!$L$12),AA98-Uzman_D!$L$12)*2),0)/1*0.1),0)+IF(AB98-Uzman_D!$M$12&lt;0,-(AB98-Uzman_D!$M$12),AB98-Uzman_D!$M$12)*1)</f>
        <v>-0.7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3"/>
      <c r="AO98" s="73"/>
      <c r="AP98" s="71">
        <f>1-(SUM(IF(AD98-Uzman_D!$B$13&lt;0,-(AD98-Uzman_D!$B$13),AD98-Uzman_D!$B$13)*0.1+IF(AE98-Uzman_D!$C$13&lt;0,-(AE98-Uzman_D!$C$13),AE98-Uzman_D!$C$13)*0.1+IF(AF98-Uzman_D!$D$13&lt;0,-(AF98-Uzman_D!$D$13),AF98-Uzman_D!$D$13)*0.1+IF(AG98-Uzman_D!$E$13&lt;0,-(AG98-Uzman_D!$E$13),AG98-Uzman_D!$E$13)*0.1+IF(AH98-Uzman_D!$F$13&lt;0,-(AH98-Uzman_D!$F$13),AH98-Uzman_D!$F$13)*0.1+IF(AI98-Uzman_D!$G$13&lt;0,-(AI98-Uzman_D!$G$13),AI98-Uzman_D!$G$13)*0.1+IF(AJ98-Uzman_D!$H$13&lt;0,-(AJ98-Uzman_D!$H$13),AJ98-Uzman_D!$H$13)*0.1+IF(AK98-Uzman_D!$I$13&lt;0,-(AK98-Uzman_D!$I$13),AK98-Uzman_D!$I$13)*0.1+IF(AL98-Uzman_D!$J$13&lt;0,-(AL98-Uzman_D!$J$13),AL98-Uzman_D!$J$13)*0.1)+IF(ROUND((IF(AN98-Uzman_D!$L$13&lt;0,-(AN98-Uzman_D!$L$13),AN98-Uzman_D!$L$13)*2),0)/2=IF(AN98-Uzman_D!$L$13&lt;0,-(AN98-Uzman_D!$L$13),AN98-Uzman_D!$L$13),(ROUND((IF(AN98-Uzman_D!$L$13&lt;0,-(AN98-Uzman_D!$L$13),AN98-Uzman_D!$L$13)*2),0)/1*0.1),0)+IF(AO98-Uzman_D!$M$13&lt;0,-(AO98-Uzman_D!$M$13),AO98-Uzman_D!$M$13)*1)</f>
        <v>-0.30000000000000004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3"/>
      <c r="BB98" s="73"/>
      <c r="BC98" s="71">
        <f>1-(SUM(IF(AQ98-Uzman_D!$B$14&lt;0,-(AQ98-Uzman_D!$B$14),AQ98-Uzman_D!$B$14)*0.1+IF(AR98-Uzman_D!$C$14&lt;0,-(AR98-Uzman_D!$C$14),AR98-Uzman_D!$C$14)*0.1+IF(AS98-Uzman_D!$D$14&lt;0,-(AS98-Uzman_D!$D$14),AS98-Uzman_D!$D$14)*0.1+IF(AT98-Uzman_D!$E$14&lt;0,-(AT98-Uzman_D!$E$14),AT98-Uzman_D!$E$14)*0.1+IF(AU98-Uzman_D!$F$14&lt;0,-(AU98-Uzman_D!$F$14),AU98-Uzman_D!$F$14)*0.1+IF(AV98-Uzman_D!$G$14&lt;0,-(AV98-Uzman_D!$G$14),AV98-Uzman_D!$G$14)*0.1+IF(AW98-Uzman_D!$H$14&lt;0,-(AW98-Uzman_D!$H$14),AW98-Uzman_D!$H$14)*0.1+IF(AX98-Uzman_D!$I$14&lt;0,-(AX98-Uzman_D!$I$14),AX98-Uzman_D!$I$14)*0.1+IF(AY98-Uzman_D!$J$14&lt;0,-(AY98-Uzman_D!$J$14),AY98-Uzman_D!$J$14)*0.1)+IF(ROUND((IF(BA98-Uzman_D!$L$14&lt;0,-(BA98-Uzman_D!$L$14),BA98-Uzman_D!$L$14)*2),0)/2=IF(BA98-Uzman_D!$L$14&lt;0,-(BA98-Uzman_D!$L$14),BA98-Uzman_D!$L$14),(ROUND((IF(BA98-Uzman_D!$L$14&lt;0,-(BA98-Uzman_D!$L$14),BA98-Uzman_D!$L$14)*2),0)/1*0.1),0)+IF(BB98-Uzman_D!$M$14&lt;0,-(BB98-Uzman_D!$M$14),BB98-Uzman_D!$M$14)*1)</f>
        <v>-0.30000000000000027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3"/>
      <c r="BO98" s="73"/>
      <c r="BP98" s="71">
        <f>1-(SUM(IF(BD98-Uzman_D!$B$15&lt;0,-(BD98-Uzman_D!$B$15),BD98-Uzman_D!$B$15)*0.1+IF(BE98-Uzman_D!$C$15&lt;0,-(BE98-Uzman_D!$C$15),BE98-Uzman_D!$C$15)*0.1+IF(BF98-Uzman_D!$D$15&lt;0,-(BF98-Uzman_D!$D$15),BF98-Uzman_D!$D$15)*0.1+IF(BG98-Uzman_D!$E$15&lt;0,-(BG98-Uzman_D!$E$15),BG98-Uzman_D!$E$15)*0.1+IF(BH98-Uzman_D!$F$15&lt;0,-(BH98-Uzman_D!$F$15),BH98-Uzman_D!$F$15)*0.1+IF(BI98-Uzman_D!$G$15&lt;0,-(BI98-Uzman_D!$G$15),BI98-Uzman_D!$G$15)*0.1+IF(BJ98-Uzman_D!$H$15&lt;0,-(BJ98-Uzman_D!$H$15),BJ98-Uzman_D!$H$15)*0.1+IF(BK98-Uzman_D!$I$15&lt;0,-(BK98-Uzman_D!$I$15),BK98-Uzman_D!$I$15)*0.1+IF(BL98-Uzman_D!$J$15&lt;0,-(BL98-Uzman_D!$J$15),BL98-Uzman_D!$J$15)*0.1)+IF(ROUND((IF(BN98-Uzman_D!$L$15&lt;0,-(BN98-Uzman_D!$L$15),BN98-Uzman_D!$L$15)*2),0)/2=IF(BN98-Uzman_D!$L$15&lt;0,-(BN98-Uzman_D!$L$15),BN98-Uzman_D!$L$15),(ROUND((IF(BN98-Uzman_D!$L$15&lt;0,-(BN98-Uzman_D!$L$15),BN98-Uzman_D!$L$15)*2),0)/1*0.1),0)+IF(BO98-Uzman_D!$M$15&lt;0,-(BO98-Uzman_D!$M$15),BO98-Uzman_D!$M$15)*1)</f>
        <v>-0.50000000000000022</v>
      </c>
      <c r="BQ98" s="72">
        <f t="shared" si="2"/>
        <v>-0.54</v>
      </c>
    </row>
    <row r="99" spans="1:69" ht="15" customHeight="1" x14ac:dyDescent="0.45">
      <c r="A99" s="54">
        <v>96</v>
      </c>
      <c r="B99" s="149">
        <f>Hakemler!B99</f>
        <v>0</v>
      </c>
      <c r="C99" s="149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3"/>
      <c r="O99" s="73"/>
      <c r="P99" s="71">
        <f>1-(SUM(IF(D99-Uzman_D!$B$11&lt;0,-(D99-Uzman_D!$B$11),D99-Uzman_D!$B$11)*0.1+IF(E99-Uzman_D!$C$11&lt;0,-(E99-Uzman_D!$C$11),E99-Uzman_D!$C$11)*0.1+IF(F99-Uzman_D!$D$11&lt;0,-(F99-Uzman_D!$D$11),F99-Uzman_D!$D$11)*0.1+IF(G99-Uzman_D!$E$11&lt;0,-(G99-Uzman_D!$E$11),G99-Uzman_D!$E$11)*0.1+IF(H99-Uzman_D!$F$11&lt;0,-(H99-Uzman_D!$F$11),H99-Uzman_D!$F$11)*0.1+IF(I99-Uzman_D!$G$11&lt;0,-(I99-Uzman_D!$G$11),I99-Uzman_D!$G$11)*0.1+IF(J99-Uzman_D!$H$11&lt;0,-(J99-Uzman_D!$H$11),J99-Uzman_D!$H$11)*0.1+IF(K99-Uzman_D!$I$11&lt;0,-(K99-Uzman_D!$I$11),K99-Uzman_D!$I$11)*0.1+IF(L99-Uzman_D!$J$11&lt;0,-(L99-Uzman_D!$J$11),L99-Uzman_D!$J$11)*0.1)+IF(ROUND((IF(N99-Uzman_D!$L$11&lt;0,-(N99-Uzman_D!$L$11),N99-Uzman_D!$L$11)*2),0)/2=IF(N99-Uzman_D!$L$11&lt;0,-(N99-Uzman_D!$L$11),N99-Uzman_D!$L$11),(ROUND((IF(N99-Uzman_D!$L$11&lt;0,-(N99-Uzman_D!$L$11),N99-Uzman_D!$L$11)*2),0)/1*0.1),0)+IF(O99-Uzman_D!$M$11&lt;0,-(O99-Uzman_D!$M$11),O99-Uzman_D!$M$11)*1)</f>
        <v>-0.90000000000000013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3"/>
      <c r="AB99" s="73"/>
      <c r="AC99" s="71">
        <f>1-(SUM(IF(Q99-Uzman_D!$B$12&lt;0,-(Q99-Uzman_D!$B$12),Q99-Uzman_D!$B$12)*0.1+IF(R99-Uzman_D!$C$12&lt;0,-(R99-Uzman_D!$C$12),R99-Uzman_D!$C$12)*0.1+IF(S99-Uzman_D!$D$12&lt;0,-(S99-Uzman_D!$D$12),S99-Uzman_D!$D$12)*0.1+IF(T99-Uzman_D!$E$12&lt;0,-(T99-Uzman_D!$E$12),T99-Uzman_D!$E$12)*0.1+IF(U99-Uzman_D!$F$12&lt;0,-(U99-Uzman_D!$F$12),U99-Uzman_D!$F$12)*0.1+IF(V99-Uzman_D!$G$12&lt;0,-(V99-Uzman_D!$G$12),V99-Uzman_D!$G$12)*0.1+IF(W99-Uzman_D!$H$12&lt;0,-(W99-Uzman_D!$H$12),W99-Uzman_D!$H$12)*0.1+IF(X99-Uzman_D!$I$12&lt;0,-(X99-Uzman_D!$I$12),X99-Uzman_D!$I$12)*0.1+IF(Y99-Uzman_D!$J$12&lt;0,-(Y99-Uzman_D!$J$12),Y99-Uzman_D!$J$12)*0.1)+IF(ROUND((IF(AA99-Uzman_D!$L$12&lt;0,-(AA99-Uzman_D!$L$12),AA99-Uzman_D!$L$12)*2),0)/2=IF(AA99-Uzman_D!$L$12&lt;0,-(AA99-Uzman_D!$L$12),AA99-Uzman_D!$L$12),(ROUND((IF(AA99-Uzman_D!$L$12&lt;0,-(AA99-Uzman_D!$L$12),AA99-Uzman_D!$L$12)*2),0)/1*0.1),0)+IF(AB99-Uzman_D!$M$12&lt;0,-(AB99-Uzman_D!$M$12),AB99-Uzman_D!$M$12)*1)</f>
        <v>-0.7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3"/>
      <c r="AO99" s="73"/>
      <c r="AP99" s="71">
        <f>1-(SUM(IF(AD99-Uzman_D!$B$13&lt;0,-(AD99-Uzman_D!$B$13),AD99-Uzman_D!$B$13)*0.1+IF(AE99-Uzman_D!$C$13&lt;0,-(AE99-Uzman_D!$C$13),AE99-Uzman_D!$C$13)*0.1+IF(AF99-Uzman_D!$D$13&lt;0,-(AF99-Uzman_D!$D$13),AF99-Uzman_D!$D$13)*0.1+IF(AG99-Uzman_D!$E$13&lt;0,-(AG99-Uzman_D!$E$13),AG99-Uzman_D!$E$13)*0.1+IF(AH99-Uzman_D!$F$13&lt;0,-(AH99-Uzman_D!$F$13),AH99-Uzman_D!$F$13)*0.1+IF(AI99-Uzman_D!$G$13&lt;0,-(AI99-Uzman_D!$G$13),AI99-Uzman_D!$G$13)*0.1+IF(AJ99-Uzman_D!$H$13&lt;0,-(AJ99-Uzman_D!$H$13),AJ99-Uzman_D!$H$13)*0.1+IF(AK99-Uzman_D!$I$13&lt;0,-(AK99-Uzman_D!$I$13),AK99-Uzman_D!$I$13)*0.1+IF(AL99-Uzman_D!$J$13&lt;0,-(AL99-Uzman_D!$J$13),AL99-Uzman_D!$J$13)*0.1)+IF(ROUND((IF(AN99-Uzman_D!$L$13&lt;0,-(AN99-Uzman_D!$L$13),AN99-Uzman_D!$L$13)*2),0)/2=IF(AN99-Uzman_D!$L$13&lt;0,-(AN99-Uzman_D!$L$13),AN99-Uzman_D!$L$13),(ROUND((IF(AN99-Uzman_D!$L$13&lt;0,-(AN99-Uzman_D!$L$13),AN99-Uzman_D!$L$13)*2),0)/1*0.1),0)+IF(AO99-Uzman_D!$M$13&lt;0,-(AO99-Uzman_D!$M$13),AO99-Uzman_D!$M$13)*1)</f>
        <v>-0.30000000000000004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3"/>
      <c r="BB99" s="73"/>
      <c r="BC99" s="71">
        <f>1-(SUM(IF(AQ99-Uzman_D!$B$14&lt;0,-(AQ99-Uzman_D!$B$14),AQ99-Uzman_D!$B$14)*0.1+IF(AR99-Uzman_D!$C$14&lt;0,-(AR99-Uzman_D!$C$14),AR99-Uzman_D!$C$14)*0.1+IF(AS99-Uzman_D!$D$14&lt;0,-(AS99-Uzman_D!$D$14),AS99-Uzman_D!$D$14)*0.1+IF(AT99-Uzman_D!$E$14&lt;0,-(AT99-Uzman_D!$E$14),AT99-Uzman_D!$E$14)*0.1+IF(AU99-Uzman_D!$F$14&lt;0,-(AU99-Uzman_D!$F$14),AU99-Uzman_D!$F$14)*0.1+IF(AV99-Uzman_D!$G$14&lt;0,-(AV99-Uzman_D!$G$14),AV99-Uzman_D!$G$14)*0.1+IF(AW99-Uzman_D!$H$14&lt;0,-(AW99-Uzman_D!$H$14),AW99-Uzman_D!$H$14)*0.1+IF(AX99-Uzman_D!$I$14&lt;0,-(AX99-Uzman_D!$I$14),AX99-Uzman_D!$I$14)*0.1+IF(AY99-Uzman_D!$J$14&lt;0,-(AY99-Uzman_D!$J$14),AY99-Uzman_D!$J$14)*0.1)+IF(ROUND((IF(BA99-Uzman_D!$L$14&lt;0,-(BA99-Uzman_D!$L$14),BA99-Uzman_D!$L$14)*2),0)/2=IF(BA99-Uzman_D!$L$14&lt;0,-(BA99-Uzman_D!$L$14),BA99-Uzman_D!$L$14),(ROUND((IF(BA99-Uzman_D!$L$14&lt;0,-(BA99-Uzman_D!$L$14),BA99-Uzman_D!$L$14)*2),0)/1*0.1),0)+IF(BB99-Uzman_D!$M$14&lt;0,-(BB99-Uzman_D!$M$14),BB99-Uzman_D!$M$14)*1)</f>
        <v>-0.30000000000000027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3"/>
      <c r="BO99" s="73"/>
      <c r="BP99" s="71">
        <f>1-(SUM(IF(BD99-Uzman_D!$B$15&lt;0,-(BD99-Uzman_D!$B$15),BD99-Uzman_D!$B$15)*0.1+IF(BE99-Uzman_D!$C$15&lt;0,-(BE99-Uzman_D!$C$15),BE99-Uzman_D!$C$15)*0.1+IF(BF99-Uzman_D!$D$15&lt;0,-(BF99-Uzman_D!$D$15),BF99-Uzman_D!$D$15)*0.1+IF(BG99-Uzman_D!$E$15&lt;0,-(BG99-Uzman_D!$E$15),BG99-Uzman_D!$E$15)*0.1+IF(BH99-Uzman_D!$F$15&lt;0,-(BH99-Uzman_D!$F$15),BH99-Uzman_D!$F$15)*0.1+IF(BI99-Uzman_D!$G$15&lt;0,-(BI99-Uzman_D!$G$15),BI99-Uzman_D!$G$15)*0.1+IF(BJ99-Uzman_D!$H$15&lt;0,-(BJ99-Uzman_D!$H$15),BJ99-Uzman_D!$H$15)*0.1+IF(BK99-Uzman_D!$I$15&lt;0,-(BK99-Uzman_D!$I$15),BK99-Uzman_D!$I$15)*0.1+IF(BL99-Uzman_D!$J$15&lt;0,-(BL99-Uzman_D!$J$15),BL99-Uzman_D!$J$15)*0.1)+IF(ROUND((IF(BN99-Uzman_D!$L$15&lt;0,-(BN99-Uzman_D!$L$15),BN99-Uzman_D!$L$15)*2),0)/2=IF(BN99-Uzman_D!$L$15&lt;0,-(BN99-Uzman_D!$L$15),BN99-Uzman_D!$L$15),(ROUND((IF(BN99-Uzman_D!$L$15&lt;0,-(BN99-Uzman_D!$L$15),BN99-Uzman_D!$L$15)*2),0)/1*0.1),0)+IF(BO99-Uzman_D!$M$15&lt;0,-(BO99-Uzman_D!$M$15),BO99-Uzman_D!$M$15)*1)</f>
        <v>-0.50000000000000022</v>
      </c>
      <c r="BQ99" s="72">
        <f t="shared" si="2"/>
        <v>-0.54</v>
      </c>
    </row>
    <row r="100" spans="1:69" ht="15" customHeight="1" x14ac:dyDescent="0.45">
      <c r="A100" s="54">
        <v>97</v>
      </c>
      <c r="B100" s="149">
        <f>Hakemler!B100</f>
        <v>0</v>
      </c>
      <c r="C100" s="149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3"/>
      <c r="O100" s="73"/>
      <c r="P100" s="71">
        <f>1-(SUM(IF(D100-Uzman_D!$B$11&lt;0,-(D100-Uzman_D!$B$11),D100-Uzman_D!$B$11)*0.1+IF(E100-Uzman_D!$C$11&lt;0,-(E100-Uzman_D!$C$11),E100-Uzman_D!$C$11)*0.1+IF(F100-Uzman_D!$D$11&lt;0,-(F100-Uzman_D!$D$11),F100-Uzman_D!$D$11)*0.1+IF(G100-Uzman_D!$E$11&lt;0,-(G100-Uzman_D!$E$11),G100-Uzman_D!$E$11)*0.1+IF(H100-Uzman_D!$F$11&lt;0,-(H100-Uzman_D!$F$11),H100-Uzman_D!$F$11)*0.1+IF(I100-Uzman_D!$G$11&lt;0,-(I100-Uzman_D!$G$11),I100-Uzman_D!$G$11)*0.1+IF(J100-Uzman_D!$H$11&lt;0,-(J100-Uzman_D!$H$11),J100-Uzman_D!$H$11)*0.1+IF(K100-Uzman_D!$I$11&lt;0,-(K100-Uzman_D!$I$11),K100-Uzman_D!$I$11)*0.1+IF(L100-Uzman_D!$J$11&lt;0,-(L100-Uzman_D!$J$11),L100-Uzman_D!$J$11)*0.1)+IF(ROUND((IF(N100-Uzman_D!$L$11&lt;0,-(N100-Uzman_D!$L$11),N100-Uzman_D!$L$11)*2),0)/2=IF(N100-Uzman_D!$L$11&lt;0,-(N100-Uzman_D!$L$11),N100-Uzman_D!$L$11),(ROUND((IF(N100-Uzman_D!$L$11&lt;0,-(N100-Uzman_D!$L$11),N100-Uzman_D!$L$11)*2),0)/1*0.1),0)+IF(O100-Uzman_D!$M$11&lt;0,-(O100-Uzman_D!$M$11),O100-Uzman_D!$M$11)*1)</f>
        <v>-0.90000000000000013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3"/>
      <c r="AB100" s="73"/>
      <c r="AC100" s="71">
        <f>1-(SUM(IF(Q100-Uzman_D!$B$12&lt;0,-(Q100-Uzman_D!$B$12),Q100-Uzman_D!$B$12)*0.1+IF(R100-Uzman_D!$C$12&lt;0,-(R100-Uzman_D!$C$12),R100-Uzman_D!$C$12)*0.1+IF(S100-Uzman_D!$D$12&lt;0,-(S100-Uzman_D!$D$12),S100-Uzman_D!$D$12)*0.1+IF(T100-Uzman_D!$E$12&lt;0,-(T100-Uzman_D!$E$12),T100-Uzman_D!$E$12)*0.1+IF(U100-Uzman_D!$F$12&lt;0,-(U100-Uzman_D!$F$12),U100-Uzman_D!$F$12)*0.1+IF(V100-Uzman_D!$G$12&lt;0,-(V100-Uzman_D!$G$12),V100-Uzman_D!$G$12)*0.1+IF(W100-Uzman_D!$H$12&lt;0,-(W100-Uzman_D!$H$12),W100-Uzman_D!$H$12)*0.1+IF(X100-Uzman_D!$I$12&lt;0,-(X100-Uzman_D!$I$12),X100-Uzman_D!$I$12)*0.1+IF(Y100-Uzman_D!$J$12&lt;0,-(Y100-Uzman_D!$J$12),Y100-Uzman_D!$J$12)*0.1)+IF(ROUND((IF(AA100-Uzman_D!$L$12&lt;0,-(AA100-Uzman_D!$L$12),AA100-Uzman_D!$L$12)*2),0)/2=IF(AA100-Uzman_D!$L$12&lt;0,-(AA100-Uzman_D!$L$12),AA100-Uzman_D!$L$12),(ROUND((IF(AA100-Uzman_D!$L$12&lt;0,-(AA100-Uzman_D!$L$12),AA100-Uzman_D!$L$12)*2),0)/1*0.1),0)+IF(AB100-Uzman_D!$M$12&lt;0,-(AB100-Uzman_D!$M$12),AB100-Uzman_D!$M$12)*1)</f>
        <v>-0.7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3"/>
      <c r="AO100" s="73"/>
      <c r="AP100" s="71">
        <f>1-(SUM(IF(AD100-Uzman_D!$B$13&lt;0,-(AD100-Uzman_D!$B$13),AD100-Uzman_D!$B$13)*0.1+IF(AE100-Uzman_D!$C$13&lt;0,-(AE100-Uzman_D!$C$13),AE100-Uzman_D!$C$13)*0.1+IF(AF100-Uzman_D!$D$13&lt;0,-(AF100-Uzman_D!$D$13),AF100-Uzman_D!$D$13)*0.1+IF(AG100-Uzman_D!$E$13&lt;0,-(AG100-Uzman_D!$E$13),AG100-Uzman_D!$E$13)*0.1+IF(AH100-Uzman_D!$F$13&lt;0,-(AH100-Uzman_D!$F$13),AH100-Uzman_D!$F$13)*0.1+IF(AI100-Uzman_D!$G$13&lt;0,-(AI100-Uzman_D!$G$13),AI100-Uzman_D!$G$13)*0.1+IF(AJ100-Uzman_D!$H$13&lt;0,-(AJ100-Uzman_D!$H$13),AJ100-Uzman_D!$H$13)*0.1+IF(AK100-Uzman_D!$I$13&lt;0,-(AK100-Uzman_D!$I$13),AK100-Uzman_D!$I$13)*0.1+IF(AL100-Uzman_D!$J$13&lt;0,-(AL100-Uzman_D!$J$13),AL100-Uzman_D!$J$13)*0.1)+IF(ROUND((IF(AN100-Uzman_D!$L$13&lt;0,-(AN100-Uzman_D!$L$13),AN100-Uzman_D!$L$13)*2),0)/2=IF(AN100-Uzman_D!$L$13&lt;0,-(AN100-Uzman_D!$L$13),AN100-Uzman_D!$L$13),(ROUND((IF(AN100-Uzman_D!$L$13&lt;0,-(AN100-Uzman_D!$L$13),AN100-Uzman_D!$L$13)*2),0)/1*0.1),0)+IF(AO100-Uzman_D!$M$13&lt;0,-(AO100-Uzman_D!$M$13),AO100-Uzman_D!$M$13)*1)</f>
        <v>-0.30000000000000004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3"/>
      <c r="BB100" s="73"/>
      <c r="BC100" s="71">
        <f>1-(SUM(IF(AQ100-Uzman_D!$B$14&lt;0,-(AQ100-Uzman_D!$B$14),AQ100-Uzman_D!$B$14)*0.1+IF(AR100-Uzman_D!$C$14&lt;0,-(AR100-Uzman_D!$C$14),AR100-Uzman_D!$C$14)*0.1+IF(AS100-Uzman_D!$D$14&lt;0,-(AS100-Uzman_D!$D$14),AS100-Uzman_D!$D$14)*0.1+IF(AT100-Uzman_D!$E$14&lt;0,-(AT100-Uzman_D!$E$14),AT100-Uzman_D!$E$14)*0.1+IF(AU100-Uzman_D!$F$14&lt;0,-(AU100-Uzman_D!$F$14),AU100-Uzman_D!$F$14)*0.1+IF(AV100-Uzman_D!$G$14&lt;0,-(AV100-Uzman_D!$G$14),AV100-Uzman_D!$G$14)*0.1+IF(AW100-Uzman_D!$H$14&lt;0,-(AW100-Uzman_D!$H$14),AW100-Uzman_D!$H$14)*0.1+IF(AX100-Uzman_D!$I$14&lt;0,-(AX100-Uzman_D!$I$14),AX100-Uzman_D!$I$14)*0.1+IF(AY100-Uzman_D!$J$14&lt;0,-(AY100-Uzman_D!$J$14),AY100-Uzman_D!$J$14)*0.1)+IF(ROUND((IF(BA100-Uzman_D!$L$14&lt;0,-(BA100-Uzman_D!$L$14),BA100-Uzman_D!$L$14)*2),0)/2=IF(BA100-Uzman_D!$L$14&lt;0,-(BA100-Uzman_D!$L$14),BA100-Uzman_D!$L$14),(ROUND((IF(BA100-Uzman_D!$L$14&lt;0,-(BA100-Uzman_D!$L$14),BA100-Uzman_D!$L$14)*2),0)/1*0.1),0)+IF(BB100-Uzman_D!$M$14&lt;0,-(BB100-Uzman_D!$M$14),BB100-Uzman_D!$M$14)*1)</f>
        <v>-0.30000000000000027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3"/>
      <c r="BO100" s="73"/>
      <c r="BP100" s="71">
        <f>1-(SUM(IF(BD100-Uzman_D!$B$15&lt;0,-(BD100-Uzman_D!$B$15),BD100-Uzman_D!$B$15)*0.1+IF(BE100-Uzman_D!$C$15&lt;0,-(BE100-Uzman_D!$C$15),BE100-Uzman_D!$C$15)*0.1+IF(BF100-Uzman_D!$D$15&lt;0,-(BF100-Uzman_D!$D$15),BF100-Uzman_D!$D$15)*0.1+IF(BG100-Uzman_D!$E$15&lt;0,-(BG100-Uzman_D!$E$15),BG100-Uzman_D!$E$15)*0.1+IF(BH100-Uzman_D!$F$15&lt;0,-(BH100-Uzman_D!$F$15),BH100-Uzman_D!$F$15)*0.1+IF(BI100-Uzman_D!$G$15&lt;0,-(BI100-Uzman_D!$G$15),BI100-Uzman_D!$G$15)*0.1+IF(BJ100-Uzman_D!$H$15&lt;0,-(BJ100-Uzman_D!$H$15),BJ100-Uzman_D!$H$15)*0.1+IF(BK100-Uzman_D!$I$15&lt;0,-(BK100-Uzman_D!$I$15),BK100-Uzman_D!$I$15)*0.1+IF(BL100-Uzman_D!$J$15&lt;0,-(BL100-Uzman_D!$J$15),BL100-Uzman_D!$J$15)*0.1)+IF(ROUND((IF(BN100-Uzman_D!$L$15&lt;0,-(BN100-Uzman_D!$L$15),BN100-Uzman_D!$L$15)*2),0)/2=IF(BN100-Uzman_D!$L$15&lt;0,-(BN100-Uzman_D!$L$15),BN100-Uzman_D!$L$15),(ROUND((IF(BN100-Uzman_D!$L$15&lt;0,-(BN100-Uzman_D!$L$15),BN100-Uzman_D!$L$15)*2),0)/1*0.1),0)+IF(BO100-Uzman_D!$M$15&lt;0,-(BO100-Uzman_D!$M$15),BO100-Uzman_D!$M$15)*1)</f>
        <v>-0.50000000000000022</v>
      </c>
      <c r="BQ100" s="72">
        <f t="shared" ref="BQ100:BQ103" si="3">(P100+AC100+AP100+BC100+BP100)/5</f>
        <v>-0.54</v>
      </c>
    </row>
    <row r="101" spans="1:69" ht="15" customHeight="1" x14ac:dyDescent="0.45">
      <c r="A101" s="54">
        <v>98</v>
      </c>
      <c r="B101" s="149">
        <f>Hakemler!B101</f>
        <v>0</v>
      </c>
      <c r="C101" s="149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3"/>
      <c r="O101" s="73"/>
      <c r="P101" s="71">
        <f>1-(SUM(IF(D101-Uzman_D!$B$11&lt;0,-(D101-Uzman_D!$B$11),D101-Uzman_D!$B$11)*0.1+IF(E101-Uzman_D!$C$11&lt;0,-(E101-Uzman_D!$C$11),E101-Uzman_D!$C$11)*0.1+IF(F101-Uzman_D!$D$11&lt;0,-(F101-Uzman_D!$D$11),F101-Uzman_D!$D$11)*0.1+IF(G101-Uzman_D!$E$11&lt;0,-(G101-Uzman_D!$E$11),G101-Uzman_D!$E$11)*0.1+IF(H101-Uzman_D!$F$11&lt;0,-(H101-Uzman_D!$F$11),H101-Uzman_D!$F$11)*0.1+IF(I101-Uzman_D!$G$11&lt;0,-(I101-Uzman_D!$G$11),I101-Uzman_D!$G$11)*0.1+IF(J101-Uzman_D!$H$11&lt;0,-(J101-Uzman_D!$H$11),J101-Uzman_D!$H$11)*0.1+IF(K101-Uzman_D!$I$11&lt;0,-(K101-Uzman_D!$I$11),K101-Uzman_D!$I$11)*0.1+IF(L101-Uzman_D!$J$11&lt;0,-(L101-Uzman_D!$J$11),L101-Uzman_D!$J$11)*0.1)+IF(ROUND((IF(N101-Uzman_D!$L$11&lt;0,-(N101-Uzman_D!$L$11),N101-Uzman_D!$L$11)*2),0)/2=IF(N101-Uzman_D!$L$11&lt;0,-(N101-Uzman_D!$L$11),N101-Uzman_D!$L$11),(ROUND((IF(N101-Uzman_D!$L$11&lt;0,-(N101-Uzman_D!$L$11),N101-Uzman_D!$L$11)*2),0)/1*0.1),0)+IF(O101-Uzman_D!$M$11&lt;0,-(O101-Uzman_D!$M$11),O101-Uzman_D!$M$11)*1)</f>
        <v>-0.90000000000000013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3"/>
      <c r="AB101" s="73"/>
      <c r="AC101" s="71">
        <f>1-(SUM(IF(Q101-Uzman_D!$B$12&lt;0,-(Q101-Uzman_D!$B$12),Q101-Uzman_D!$B$12)*0.1+IF(R101-Uzman_D!$C$12&lt;0,-(R101-Uzman_D!$C$12),R101-Uzman_D!$C$12)*0.1+IF(S101-Uzman_D!$D$12&lt;0,-(S101-Uzman_D!$D$12),S101-Uzman_D!$D$12)*0.1+IF(T101-Uzman_D!$E$12&lt;0,-(T101-Uzman_D!$E$12),T101-Uzman_D!$E$12)*0.1+IF(U101-Uzman_D!$F$12&lt;0,-(U101-Uzman_D!$F$12),U101-Uzman_D!$F$12)*0.1+IF(V101-Uzman_D!$G$12&lt;0,-(V101-Uzman_D!$G$12),V101-Uzman_D!$G$12)*0.1+IF(W101-Uzman_D!$H$12&lt;0,-(W101-Uzman_D!$H$12),W101-Uzman_D!$H$12)*0.1+IF(X101-Uzman_D!$I$12&lt;0,-(X101-Uzman_D!$I$12),X101-Uzman_D!$I$12)*0.1+IF(Y101-Uzman_D!$J$12&lt;0,-(Y101-Uzman_D!$J$12),Y101-Uzman_D!$J$12)*0.1)+IF(ROUND((IF(AA101-Uzman_D!$L$12&lt;0,-(AA101-Uzman_D!$L$12),AA101-Uzman_D!$L$12)*2),0)/2=IF(AA101-Uzman_D!$L$12&lt;0,-(AA101-Uzman_D!$L$12),AA101-Uzman_D!$L$12),(ROUND((IF(AA101-Uzman_D!$L$12&lt;0,-(AA101-Uzman_D!$L$12),AA101-Uzman_D!$L$12)*2),0)/1*0.1),0)+IF(AB101-Uzman_D!$M$12&lt;0,-(AB101-Uzman_D!$M$12),AB101-Uzman_D!$M$12)*1)</f>
        <v>-0.7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3"/>
      <c r="AO101" s="73"/>
      <c r="AP101" s="71">
        <f>1-(SUM(IF(AD101-Uzman_D!$B$13&lt;0,-(AD101-Uzman_D!$B$13),AD101-Uzman_D!$B$13)*0.1+IF(AE101-Uzman_D!$C$13&lt;0,-(AE101-Uzman_D!$C$13),AE101-Uzman_D!$C$13)*0.1+IF(AF101-Uzman_D!$D$13&lt;0,-(AF101-Uzman_D!$D$13),AF101-Uzman_D!$D$13)*0.1+IF(AG101-Uzman_D!$E$13&lt;0,-(AG101-Uzman_D!$E$13),AG101-Uzman_D!$E$13)*0.1+IF(AH101-Uzman_D!$F$13&lt;0,-(AH101-Uzman_D!$F$13),AH101-Uzman_D!$F$13)*0.1+IF(AI101-Uzman_D!$G$13&lt;0,-(AI101-Uzman_D!$G$13),AI101-Uzman_D!$G$13)*0.1+IF(AJ101-Uzman_D!$H$13&lt;0,-(AJ101-Uzman_D!$H$13),AJ101-Uzman_D!$H$13)*0.1+IF(AK101-Uzman_D!$I$13&lt;0,-(AK101-Uzman_D!$I$13),AK101-Uzman_D!$I$13)*0.1+IF(AL101-Uzman_D!$J$13&lt;0,-(AL101-Uzman_D!$J$13),AL101-Uzman_D!$J$13)*0.1)+IF(ROUND((IF(AN101-Uzman_D!$L$13&lt;0,-(AN101-Uzman_D!$L$13),AN101-Uzman_D!$L$13)*2),0)/2=IF(AN101-Uzman_D!$L$13&lt;0,-(AN101-Uzman_D!$L$13),AN101-Uzman_D!$L$13),(ROUND((IF(AN101-Uzman_D!$L$13&lt;0,-(AN101-Uzman_D!$L$13),AN101-Uzman_D!$L$13)*2),0)/1*0.1),0)+IF(AO101-Uzman_D!$M$13&lt;0,-(AO101-Uzman_D!$M$13),AO101-Uzman_D!$M$13)*1)</f>
        <v>-0.30000000000000004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3"/>
      <c r="BB101" s="73"/>
      <c r="BC101" s="71">
        <f>1-(SUM(IF(AQ101-Uzman_D!$B$14&lt;0,-(AQ101-Uzman_D!$B$14),AQ101-Uzman_D!$B$14)*0.1+IF(AR101-Uzman_D!$C$14&lt;0,-(AR101-Uzman_D!$C$14),AR101-Uzman_D!$C$14)*0.1+IF(AS101-Uzman_D!$D$14&lt;0,-(AS101-Uzman_D!$D$14),AS101-Uzman_D!$D$14)*0.1+IF(AT101-Uzman_D!$E$14&lt;0,-(AT101-Uzman_D!$E$14),AT101-Uzman_D!$E$14)*0.1+IF(AU101-Uzman_D!$F$14&lt;0,-(AU101-Uzman_D!$F$14),AU101-Uzman_D!$F$14)*0.1+IF(AV101-Uzman_D!$G$14&lt;0,-(AV101-Uzman_D!$G$14),AV101-Uzman_D!$G$14)*0.1+IF(AW101-Uzman_D!$H$14&lt;0,-(AW101-Uzman_D!$H$14),AW101-Uzman_D!$H$14)*0.1+IF(AX101-Uzman_D!$I$14&lt;0,-(AX101-Uzman_D!$I$14),AX101-Uzman_D!$I$14)*0.1+IF(AY101-Uzman_D!$J$14&lt;0,-(AY101-Uzman_D!$J$14),AY101-Uzman_D!$J$14)*0.1)+IF(ROUND((IF(BA101-Uzman_D!$L$14&lt;0,-(BA101-Uzman_D!$L$14),BA101-Uzman_D!$L$14)*2),0)/2=IF(BA101-Uzman_D!$L$14&lt;0,-(BA101-Uzman_D!$L$14),BA101-Uzman_D!$L$14),(ROUND((IF(BA101-Uzman_D!$L$14&lt;0,-(BA101-Uzman_D!$L$14),BA101-Uzman_D!$L$14)*2),0)/1*0.1),0)+IF(BB101-Uzman_D!$M$14&lt;0,-(BB101-Uzman_D!$M$14),BB101-Uzman_D!$M$14)*1)</f>
        <v>-0.30000000000000027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3"/>
      <c r="BO101" s="73"/>
      <c r="BP101" s="71">
        <f>1-(SUM(IF(BD101-Uzman_D!$B$15&lt;0,-(BD101-Uzman_D!$B$15),BD101-Uzman_D!$B$15)*0.1+IF(BE101-Uzman_D!$C$15&lt;0,-(BE101-Uzman_D!$C$15),BE101-Uzman_D!$C$15)*0.1+IF(BF101-Uzman_D!$D$15&lt;0,-(BF101-Uzman_D!$D$15),BF101-Uzman_D!$D$15)*0.1+IF(BG101-Uzman_D!$E$15&lt;0,-(BG101-Uzman_D!$E$15),BG101-Uzman_D!$E$15)*0.1+IF(BH101-Uzman_D!$F$15&lt;0,-(BH101-Uzman_D!$F$15),BH101-Uzman_D!$F$15)*0.1+IF(BI101-Uzman_D!$G$15&lt;0,-(BI101-Uzman_D!$G$15),BI101-Uzman_D!$G$15)*0.1+IF(BJ101-Uzman_D!$H$15&lt;0,-(BJ101-Uzman_D!$H$15),BJ101-Uzman_D!$H$15)*0.1+IF(BK101-Uzman_D!$I$15&lt;0,-(BK101-Uzman_D!$I$15),BK101-Uzman_D!$I$15)*0.1+IF(BL101-Uzman_D!$J$15&lt;0,-(BL101-Uzman_D!$J$15),BL101-Uzman_D!$J$15)*0.1)+IF(ROUND((IF(BN101-Uzman_D!$L$15&lt;0,-(BN101-Uzman_D!$L$15),BN101-Uzman_D!$L$15)*2),0)/2=IF(BN101-Uzman_D!$L$15&lt;0,-(BN101-Uzman_D!$L$15),BN101-Uzman_D!$L$15),(ROUND((IF(BN101-Uzman_D!$L$15&lt;0,-(BN101-Uzman_D!$L$15),BN101-Uzman_D!$L$15)*2),0)/1*0.1),0)+IF(BO101-Uzman_D!$M$15&lt;0,-(BO101-Uzman_D!$M$15),BO101-Uzman_D!$M$15)*1)</f>
        <v>-0.50000000000000022</v>
      </c>
      <c r="BQ101" s="72">
        <f t="shared" si="3"/>
        <v>-0.54</v>
      </c>
    </row>
    <row r="102" spans="1:69" ht="15" customHeight="1" x14ac:dyDescent="0.45">
      <c r="A102" s="54">
        <v>99</v>
      </c>
      <c r="B102" s="149">
        <f>Hakemler!B102</f>
        <v>0</v>
      </c>
      <c r="C102" s="149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3"/>
      <c r="O102" s="73"/>
      <c r="P102" s="71">
        <f>1-(SUM(IF(D102-Uzman_D!$B$11&lt;0,-(D102-Uzman_D!$B$11),D102-Uzman_D!$B$11)*0.1+IF(E102-Uzman_D!$C$11&lt;0,-(E102-Uzman_D!$C$11),E102-Uzman_D!$C$11)*0.1+IF(F102-Uzman_D!$D$11&lt;0,-(F102-Uzman_D!$D$11),F102-Uzman_D!$D$11)*0.1+IF(G102-Uzman_D!$E$11&lt;0,-(G102-Uzman_D!$E$11),G102-Uzman_D!$E$11)*0.1+IF(H102-Uzman_D!$F$11&lt;0,-(H102-Uzman_D!$F$11),H102-Uzman_D!$F$11)*0.1+IF(I102-Uzman_D!$G$11&lt;0,-(I102-Uzman_D!$G$11),I102-Uzman_D!$G$11)*0.1+IF(J102-Uzman_D!$H$11&lt;0,-(J102-Uzman_D!$H$11),J102-Uzman_D!$H$11)*0.1+IF(K102-Uzman_D!$I$11&lt;0,-(K102-Uzman_D!$I$11),K102-Uzman_D!$I$11)*0.1+IF(L102-Uzman_D!$J$11&lt;0,-(L102-Uzman_D!$J$11),L102-Uzman_D!$J$11)*0.1)+IF(ROUND((IF(N102-Uzman_D!$L$11&lt;0,-(N102-Uzman_D!$L$11),N102-Uzman_D!$L$11)*2),0)/2=IF(N102-Uzman_D!$L$11&lt;0,-(N102-Uzman_D!$L$11),N102-Uzman_D!$L$11),(ROUND((IF(N102-Uzman_D!$L$11&lt;0,-(N102-Uzman_D!$L$11),N102-Uzman_D!$L$11)*2),0)/1*0.1),0)+IF(O102-Uzman_D!$M$11&lt;0,-(O102-Uzman_D!$M$11),O102-Uzman_D!$M$11)*1)</f>
        <v>-0.90000000000000013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3"/>
      <c r="AB102" s="73"/>
      <c r="AC102" s="71">
        <f>1-(SUM(IF(Q102-Uzman_D!$B$12&lt;0,-(Q102-Uzman_D!$B$12),Q102-Uzman_D!$B$12)*0.1+IF(R102-Uzman_D!$C$12&lt;0,-(R102-Uzman_D!$C$12),R102-Uzman_D!$C$12)*0.1+IF(S102-Uzman_D!$D$12&lt;0,-(S102-Uzman_D!$D$12),S102-Uzman_D!$D$12)*0.1+IF(T102-Uzman_D!$E$12&lt;0,-(T102-Uzman_D!$E$12),T102-Uzman_D!$E$12)*0.1+IF(U102-Uzman_D!$F$12&lt;0,-(U102-Uzman_D!$F$12),U102-Uzman_D!$F$12)*0.1+IF(V102-Uzman_D!$G$12&lt;0,-(V102-Uzman_D!$G$12),V102-Uzman_D!$G$12)*0.1+IF(W102-Uzman_D!$H$12&lt;0,-(W102-Uzman_D!$H$12),W102-Uzman_D!$H$12)*0.1+IF(X102-Uzman_D!$I$12&lt;0,-(X102-Uzman_D!$I$12),X102-Uzman_D!$I$12)*0.1+IF(Y102-Uzman_D!$J$12&lt;0,-(Y102-Uzman_D!$J$12),Y102-Uzman_D!$J$12)*0.1)+IF(ROUND((IF(AA102-Uzman_D!$L$12&lt;0,-(AA102-Uzman_D!$L$12),AA102-Uzman_D!$L$12)*2),0)/2=IF(AA102-Uzman_D!$L$12&lt;0,-(AA102-Uzman_D!$L$12),AA102-Uzman_D!$L$12),(ROUND((IF(AA102-Uzman_D!$L$12&lt;0,-(AA102-Uzman_D!$L$12),AA102-Uzman_D!$L$12)*2),0)/1*0.1),0)+IF(AB102-Uzman_D!$M$12&lt;0,-(AB102-Uzman_D!$M$12),AB102-Uzman_D!$M$12)*1)</f>
        <v>-0.7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3"/>
      <c r="AO102" s="73"/>
      <c r="AP102" s="71">
        <f>1-(SUM(IF(AD102-Uzman_D!$B$13&lt;0,-(AD102-Uzman_D!$B$13),AD102-Uzman_D!$B$13)*0.1+IF(AE102-Uzman_D!$C$13&lt;0,-(AE102-Uzman_D!$C$13),AE102-Uzman_D!$C$13)*0.1+IF(AF102-Uzman_D!$D$13&lt;0,-(AF102-Uzman_D!$D$13),AF102-Uzman_D!$D$13)*0.1+IF(AG102-Uzman_D!$E$13&lt;0,-(AG102-Uzman_D!$E$13),AG102-Uzman_D!$E$13)*0.1+IF(AH102-Uzman_D!$F$13&lt;0,-(AH102-Uzman_D!$F$13),AH102-Uzman_D!$F$13)*0.1+IF(AI102-Uzman_D!$G$13&lt;0,-(AI102-Uzman_D!$G$13),AI102-Uzman_D!$G$13)*0.1+IF(AJ102-Uzman_D!$H$13&lt;0,-(AJ102-Uzman_D!$H$13),AJ102-Uzman_D!$H$13)*0.1+IF(AK102-Uzman_D!$I$13&lt;0,-(AK102-Uzman_D!$I$13),AK102-Uzman_D!$I$13)*0.1+IF(AL102-Uzman_D!$J$13&lt;0,-(AL102-Uzman_D!$J$13),AL102-Uzman_D!$J$13)*0.1)+IF(ROUND((IF(AN102-Uzman_D!$L$13&lt;0,-(AN102-Uzman_D!$L$13),AN102-Uzman_D!$L$13)*2),0)/2=IF(AN102-Uzman_D!$L$13&lt;0,-(AN102-Uzman_D!$L$13),AN102-Uzman_D!$L$13),(ROUND((IF(AN102-Uzman_D!$L$13&lt;0,-(AN102-Uzman_D!$L$13),AN102-Uzman_D!$L$13)*2),0)/1*0.1),0)+IF(AO102-Uzman_D!$M$13&lt;0,-(AO102-Uzman_D!$M$13),AO102-Uzman_D!$M$13)*1)</f>
        <v>-0.30000000000000004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3"/>
      <c r="BB102" s="73"/>
      <c r="BC102" s="71">
        <f>1-(SUM(IF(AQ102-Uzman_D!$B$14&lt;0,-(AQ102-Uzman_D!$B$14),AQ102-Uzman_D!$B$14)*0.1+IF(AR102-Uzman_D!$C$14&lt;0,-(AR102-Uzman_D!$C$14),AR102-Uzman_D!$C$14)*0.1+IF(AS102-Uzman_D!$D$14&lt;0,-(AS102-Uzman_D!$D$14),AS102-Uzman_D!$D$14)*0.1+IF(AT102-Uzman_D!$E$14&lt;0,-(AT102-Uzman_D!$E$14),AT102-Uzman_D!$E$14)*0.1+IF(AU102-Uzman_D!$F$14&lt;0,-(AU102-Uzman_D!$F$14),AU102-Uzman_D!$F$14)*0.1+IF(AV102-Uzman_D!$G$14&lt;0,-(AV102-Uzman_D!$G$14),AV102-Uzman_D!$G$14)*0.1+IF(AW102-Uzman_D!$H$14&lt;0,-(AW102-Uzman_D!$H$14),AW102-Uzman_D!$H$14)*0.1+IF(AX102-Uzman_D!$I$14&lt;0,-(AX102-Uzman_D!$I$14),AX102-Uzman_D!$I$14)*0.1+IF(AY102-Uzman_D!$J$14&lt;0,-(AY102-Uzman_D!$J$14),AY102-Uzman_D!$J$14)*0.1)+IF(ROUND((IF(BA102-Uzman_D!$L$14&lt;0,-(BA102-Uzman_D!$L$14),BA102-Uzman_D!$L$14)*2),0)/2=IF(BA102-Uzman_D!$L$14&lt;0,-(BA102-Uzman_D!$L$14),BA102-Uzman_D!$L$14),(ROUND((IF(BA102-Uzman_D!$L$14&lt;0,-(BA102-Uzman_D!$L$14),BA102-Uzman_D!$L$14)*2),0)/1*0.1),0)+IF(BB102-Uzman_D!$M$14&lt;0,-(BB102-Uzman_D!$M$14),BB102-Uzman_D!$M$14)*1)</f>
        <v>-0.30000000000000027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3"/>
      <c r="BO102" s="73"/>
      <c r="BP102" s="71">
        <f>1-(SUM(IF(BD102-Uzman_D!$B$15&lt;0,-(BD102-Uzman_D!$B$15),BD102-Uzman_D!$B$15)*0.1+IF(BE102-Uzman_D!$C$15&lt;0,-(BE102-Uzman_D!$C$15),BE102-Uzman_D!$C$15)*0.1+IF(BF102-Uzman_D!$D$15&lt;0,-(BF102-Uzman_D!$D$15),BF102-Uzman_D!$D$15)*0.1+IF(BG102-Uzman_D!$E$15&lt;0,-(BG102-Uzman_D!$E$15),BG102-Uzman_D!$E$15)*0.1+IF(BH102-Uzman_D!$F$15&lt;0,-(BH102-Uzman_D!$F$15),BH102-Uzman_D!$F$15)*0.1+IF(BI102-Uzman_D!$G$15&lt;0,-(BI102-Uzman_D!$G$15),BI102-Uzman_D!$G$15)*0.1+IF(BJ102-Uzman_D!$H$15&lt;0,-(BJ102-Uzman_D!$H$15),BJ102-Uzman_D!$H$15)*0.1+IF(BK102-Uzman_D!$I$15&lt;0,-(BK102-Uzman_D!$I$15),BK102-Uzman_D!$I$15)*0.1+IF(BL102-Uzman_D!$J$15&lt;0,-(BL102-Uzman_D!$J$15),BL102-Uzman_D!$J$15)*0.1)+IF(ROUND((IF(BN102-Uzman_D!$L$15&lt;0,-(BN102-Uzman_D!$L$15),BN102-Uzman_D!$L$15)*2),0)/2=IF(BN102-Uzman_D!$L$15&lt;0,-(BN102-Uzman_D!$L$15),BN102-Uzman_D!$L$15),(ROUND((IF(BN102-Uzman_D!$L$15&lt;0,-(BN102-Uzman_D!$L$15),BN102-Uzman_D!$L$15)*2),0)/1*0.1),0)+IF(BO102-Uzman_D!$M$15&lt;0,-(BO102-Uzman_D!$M$15),BO102-Uzman_D!$M$15)*1)</f>
        <v>-0.50000000000000022</v>
      </c>
      <c r="BQ102" s="72">
        <f t="shared" si="3"/>
        <v>-0.54</v>
      </c>
    </row>
    <row r="103" spans="1:69" ht="15.75" customHeight="1" x14ac:dyDescent="0.45">
      <c r="A103" s="74">
        <v>100</v>
      </c>
      <c r="B103" s="149">
        <f>Hakemler!B103</f>
        <v>0</v>
      </c>
      <c r="C103" s="149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3"/>
      <c r="O103" s="73"/>
      <c r="P103" s="71">
        <f>1-(SUM(IF(D103-Uzman_D!$B$11&lt;0,-(D103-Uzman_D!$B$11),D103-Uzman_D!$B$11)*0.1+IF(E103-Uzman_D!$C$11&lt;0,-(E103-Uzman_D!$C$11),E103-Uzman_D!$C$11)*0.1+IF(F103-Uzman_D!$D$11&lt;0,-(F103-Uzman_D!$D$11),F103-Uzman_D!$D$11)*0.1+IF(G103-Uzman_D!$E$11&lt;0,-(G103-Uzman_D!$E$11),G103-Uzman_D!$E$11)*0.1+IF(H103-Uzman_D!$F$11&lt;0,-(H103-Uzman_D!$F$11),H103-Uzman_D!$F$11)*0.1+IF(I103-Uzman_D!$G$11&lt;0,-(I103-Uzman_D!$G$11),I103-Uzman_D!$G$11)*0.1+IF(J103-Uzman_D!$H$11&lt;0,-(J103-Uzman_D!$H$11),J103-Uzman_D!$H$11)*0.1+IF(K103-Uzman_D!$I$11&lt;0,-(K103-Uzman_D!$I$11),K103-Uzman_D!$I$11)*0.1+IF(L103-Uzman_D!$J$11&lt;0,-(L103-Uzman_D!$J$11),L103-Uzman_D!$J$11)*0.1)+IF(ROUND((IF(N103-Uzman_D!$L$11&lt;0,-(N103-Uzman_D!$L$11),N103-Uzman_D!$L$11)*2),0)/2=IF(N103-Uzman_D!$L$11&lt;0,-(N103-Uzman_D!$L$11),N103-Uzman_D!$L$11),(ROUND((IF(N103-Uzman_D!$L$11&lt;0,-(N103-Uzman_D!$L$11),N103-Uzman_D!$L$11)*2),0)/1*0.1),0)+IF(O103-Uzman_D!$M$11&lt;0,-(O103-Uzman_D!$M$11),O103-Uzman_D!$M$11)*1)</f>
        <v>-0.90000000000000013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3"/>
      <c r="AB103" s="73"/>
      <c r="AC103" s="71">
        <f>1-(SUM(IF(Q103-Uzman_D!$B$12&lt;0,-(Q103-Uzman_D!$B$12),Q103-Uzman_D!$B$12)*0.1+IF(R103-Uzman_D!$C$12&lt;0,-(R103-Uzman_D!$C$12),R103-Uzman_D!$C$12)*0.1+IF(S103-Uzman_D!$D$12&lt;0,-(S103-Uzman_D!$D$12),S103-Uzman_D!$D$12)*0.1+IF(T103-Uzman_D!$E$12&lt;0,-(T103-Uzman_D!$E$12),T103-Uzman_D!$E$12)*0.1+IF(U103-Uzman_D!$F$12&lt;0,-(U103-Uzman_D!$F$12),U103-Uzman_D!$F$12)*0.1+IF(V103-Uzman_D!$G$12&lt;0,-(V103-Uzman_D!$G$12),V103-Uzman_D!$G$12)*0.1+IF(W103-Uzman_D!$H$12&lt;0,-(W103-Uzman_D!$H$12),W103-Uzman_D!$H$12)*0.1+IF(X103-Uzman_D!$I$12&lt;0,-(X103-Uzman_D!$I$12),X103-Uzman_D!$I$12)*0.1+IF(Y103-Uzman_D!$J$12&lt;0,-(Y103-Uzman_D!$J$12),Y103-Uzman_D!$J$12)*0.1)+IF(ROUND((IF(AA103-Uzman_D!$L$12&lt;0,-(AA103-Uzman_D!$L$12),AA103-Uzman_D!$L$12)*2),0)/2=IF(AA103-Uzman_D!$L$12&lt;0,-(AA103-Uzman_D!$L$12),AA103-Uzman_D!$L$12),(ROUND((IF(AA103-Uzman_D!$L$12&lt;0,-(AA103-Uzman_D!$L$12),AA103-Uzman_D!$L$12)*2),0)/1*0.1),0)+IF(AB103-Uzman_D!$M$12&lt;0,-(AB103-Uzman_D!$M$12),AB103-Uzman_D!$M$12)*1)</f>
        <v>-0.7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3"/>
      <c r="AO103" s="73"/>
      <c r="AP103" s="71">
        <f>1-(SUM(IF(AD103-Uzman_D!$B$13&lt;0,-(AD103-Uzman_D!$B$13),AD103-Uzman_D!$B$13)*0.1+IF(AE103-Uzman_D!$C$13&lt;0,-(AE103-Uzman_D!$C$13),AE103-Uzman_D!$C$13)*0.1+IF(AF103-Uzman_D!$D$13&lt;0,-(AF103-Uzman_D!$D$13),AF103-Uzman_D!$D$13)*0.1+IF(AG103-Uzman_D!$E$13&lt;0,-(AG103-Uzman_D!$E$13),AG103-Uzman_D!$E$13)*0.1+IF(AH103-Uzman_D!$F$13&lt;0,-(AH103-Uzman_D!$F$13),AH103-Uzman_D!$F$13)*0.1+IF(AI103-Uzman_D!$G$13&lt;0,-(AI103-Uzman_D!$G$13),AI103-Uzman_D!$G$13)*0.1+IF(AJ103-Uzman_D!$H$13&lt;0,-(AJ103-Uzman_D!$H$13),AJ103-Uzman_D!$H$13)*0.1+IF(AK103-Uzman_D!$I$13&lt;0,-(AK103-Uzman_D!$I$13),AK103-Uzman_D!$I$13)*0.1+IF(AL103-Uzman_D!$J$13&lt;0,-(AL103-Uzman_D!$J$13),AL103-Uzman_D!$J$13)*0.1)+IF(ROUND((IF(AN103-Uzman_D!$L$13&lt;0,-(AN103-Uzman_D!$L$13),AN103-Uzman_D!$L$13)*2),0)/2=IF(AN103-Uzman_D!$L$13&lt;0,-(AN103-Uzman_D!$L$13),AN103-Uzman_D!$L$13),(ROUND((IF(AN103-Uzman_D!$L$13&lt;0,-(AN103-Uzman_D!$L$13),AN103-Uzman_D!$L$13)*2),0)/1*0.1),0)+IF(AO103-Uzman_D!$M$13&lt;0,-(AO103-Uzman_D!$M$13),AO103-Uzman_D!$M$13)*1)</f>
        <v>-0.30000000000000004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3"/>
      <c r="BB103" s="73"/>
      <c r="BC103" s="71">
        <f>1-(SUM(IF(AQ103-Uzman_D!$B$14&lt;0,-(AQ103-Uzman_D!$B$14),AQ103-Uzman_D!$B$14)*0.1+IF(AR103-Uzman_D!$C$14&lt;0,-(AR103-Uzman_D!$C$14),AR103-Uzman_D!$C$14)*0.1+IF(AS103-Uzman_D!$D$14&lt;0,-(AS103-Uzman_D!$D$14),AS103-Uzman_D!$D$14)*0.1+IF(AT103-Uzman_D!$E$14&lt;0,-(AT103-Uzman_D!$E$14),AT103-Uzman_D!$E$14)*0.1+IF(AU103-Uzman_D!$F$14&lt;0,-(AU103-Uzman_D!$F$14),AU103-Uzman_D!$F$14)*0.1+IF(AV103-Uzman_D!$G$14&lt;0,-(AV103-Uzman_D!$G$14),AV103-Uzman_D!$G$14)*0.1+IF(AW103-Uzman_D!$H$14&lt;0,-(AW103-Uzman_D!$H$14),AW103-Uzman_D!$H$14)*0.1+IF(AX103-Uzman_D!$I$14&lt;0,-(AX103-Uzman_D!$I$14),AX103-Uzman_D!$I$14)*0.1+IF(AY103-Uzman_D!$J$14&lt;0,-(AY103-Uzman_D!$J$14),AY103-Uzman_D!$J$14)*0.1)+IF(ROUND((IF(BA103-Uzman_D!$L$14&lt;0,-(BA103-Uzman_D!$L$14),BA103-Uzman_D!$L$14)*2),0)/2=IF(BA103-Uzman_D!$L$14&lt;0,-(BA103-Uzman_D!$L$14),BA103-Uzman_D!$L$14),(ROUND((IF(BA103-Uzman_D!$L$14&lt;0,-(BA103-Uzman_D!$L$14),BA103-Uzman_D!$L$14)*2),0)/1*0.1),0)+IF(BB103-Uzman_D!$M$14&lt;0,-(BB103-Uzman_D!$M$14),BB103-Uzman_D!$M$14)*1)</f>
        <v>-0.30000000000000027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3"/>
      <c r="BO103" s="73"/>
      <c r="BP103" s="71">
        <f>1-(SUM(IF(BD103-Uzman_D!$B$15&lt;0,-(BD103-Uzman_D!$B$15),BD103-Uzman_D!$B$15)*0.1+IF(BE103-Uzman_D!$C$15&lt;0,-(BE103-Uzman_D!$C$15),BE103-Uzman_D!$C$15)*0.1+IF(BF103-Uzman_D!$D$15&lt;0,-(BF103-Uzman_D!$D$15),BF103-Uzman_D!$D$15)*0.1+IF(BG103-Uzman_D!$E$15&lt;0,-(BG103-Uzman_D!$E$15),BG103-Uzman_D!$E$15)*0.1+IF(BH103-Uzman_D!$F$15&lt;0,-(BH103-Uzman_D!$F$15),BH103-Uzman_D!$F$15)*0.1+IF(BI103-Uzman_D!$G$15&lt;0,-(BI103-Uzman_D!$G$15),BI103-Uzman_D!$G$15)*0.1+IF(BJ103-Uzman_D!$H$15&lt;0,-(BJ103-Uzman_D!$H$15),BJ103-Uzman_D!$H$15)*0.1+IF(BK103-Uzman_D!$I$15&lt;0,-(BK103-Uzman_D!$I$15),BK103-Uzman_D!$I$15)*0.1+IF(BL103-Uzman_D!$J$15&lt;0,-(BL103-Uzman_D!$J$15),BL103-Uzman_D!$J$15)*0.1)+IF(ROUND((IF(BN103-Uzman_D!$L$15&lt;0,-(BN103-Uzman_D!$L$15),BN103-Uzman_D!$L$15)*2),0)/2=IF(BN103-Uzman_D!$L$15&lt;0,-(BN103-Uzman_D!$L$15),BN103-Uzman_D!$L$15),(ROUND((IF(BN103-Uzman_D!$L$15&lt;0,-(BN103-Uzman_D!$L$15),BN103-Uzman_D!$L$15)*2),0)/1*0.1),0)+IF(BO103-Uzman_D!$M$15&lt;0,-(BO103-Uzman_D!$M$15),BO103-Uzman_D!$M$15)*1)</f>
        <v>-0.50000000000000022</v>
      </c>
      <c r="BQ103" s="72">
        <f t="shared" si="3"/>
        <v>-0.54</v>
      </c>
    </row>
  </sheetData>
  <mergeCells count="9">
    <mergeCell ref="D2:P2"/>
    <mergeCell ref="C2:C3"/>
    <mergeCell ref="Q2:AC2"/>
    <mergeCell ref="AD2:AP2"/>
    <mergeCell ref="A1:BQ1"/>
    <mergeCell ref="B2:B3"/>
    <mergeCell ref="AQ2:BC2"/>
    <mergeCell ref="BD2:BP2"/>
    <mergeCell ref="A2:A3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03"/>
  <sheetViews>
    <sheetView showGridLines="0" topLeftCell="A29" workbookViewId="0">
      <selection activeCell="R32" sqref="R32"/>
    </sheetView>
  </sheetViews>
  <sheetFormatPr defaultColWidth="8.796875" defaultRowHeight="15" customHeight="1" x14ac:dyDescent="0.45"/>
  <cols>
    <col min="1" max="1" width="3.46484375" style="1" customWidth="1"/>
    <col min="2" max="2" width="16.46484375" style="1" bestFit="1" customWidth="1"/>
    <col min="3" max="3" width="19.19921875" style="1" customWidth="1"/>
    <col min="4" max="18" width="5.46484375" style="1" customWidth="1"/>
    <col min="19" max="19" width="9.46484375" style="1" customWidth="1"/>
    <col min="20" max="256" width="8.86328125" style="1" customWidth="1"/>
  </cols>
  <sheetData>
    <row r="1" spans="1:36" ht="18.75" customHeight="1" x14ac:dyDescent="0.45">
      <c r="A1" s="191" t="s">
        <v>88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3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45">
      <c r="A2" s="187" t="s">
        <v>9</v>
      </c>
      <c r="B2" s="220" t="s">
        <v>10</v>
      </c>
      <c r="C2" s="222" t="s">
        <v>11</v>
      </c>
      <c r="D2" s="189" t="s">
        <v>67</v>
      </c>
      <c r="E2" s="201"/>
      <c r="F2" s="190"/>
      <c r="G2" s="194" t="s">
        <v>68</v>
      </c>
      <c r="H2" s="200"/>
      <c r="I2" s="195"/>
      <c r="J2" s="189" t="s">
        <v>69</v>
      </c>
      <c r="K2" s="201"/>
      <c r="L2" s="190"/>
      <c r="M2" s="194" t="s">
        <v>70</v>
      </c>
      <c r="N2" s="200"/>
      <c r="O2" s="195"/>
      <c r="P2" s="189" t="s">
        <v>71</v>
      </c>
      <c r="Q2" s="201"/>
      <c r="R2" s="190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45">
      <c r="A3" s="188"/>
      <c r="B3" s="221"/>
      <c r="C3" s="223"/>
      <c r="D3" s="45" t="s">
        <v>67</v>
      </c>
      <c r="E3" s="59" t="s">
        <v>72</v>
      </c>
      <c r="F3" s="47" t="s">
        <v>64</v>
      </c>
      <c r="G3" s="45" t="s">
        <v>68</v>
      </c>
      <c r="H3" s="59" t="s">
        <v>72</v>
      </c>
      <c r="I3" s="47" t="s">
        <v>64</v>
      </c>
      <c r="J3" s="45" t="s">
        <v>69</v>
      </c>
      <c r="K3" s="59" t="s">
        <v>72</v>
      </c>
      <c r="L3" s="47" t="s">
        <v>64</v>
      </c>
      <c r="M3" s="45" t="s">
        <v>70</v>
      </c>
      <c r="N3" s="59" t="s">
        <v>72</v>
      </c>
      <c r="O3" s="47" t="s">
        <v>64</v>
      </c>
      <c r="P3" s="45" t="s">
        <v>71</v>
      </c>
      <c r="Q3" s="59" t="s">
        <v>72</v>
      </c>
      <c r="R3" s="47" t="s">
        <v>64</v>
      </c>
      <c r="S3" s="48" t="s">
        <v>65</v>
      </c>
      <c r="T3" s="4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x14ac:dyDescent="0.45">
      <c r="A4" s="50">
        <v>1</v>
      </c>
      <c r="B4" s="78" t="str">
        <f>Hakemler!B4</f>
        <v>YAZICI</v>
      </c>
      <c r="C4" s="79" t="str">
        <f>Hakemler!C4</f>
        <v>SUZAN</v>
      </c>
      <c r="D4" s="51">
        <v>3.4</v>
      </c>
      <c r="E4" s="60">
        <f>IF(ISBLANK(D4),0,ABS(Uzman_E!A$10-D4))</f>
        <v>0.10000000000000009</v>
      </c>
      <c r="F4" s="52">
        <f>IF(ISBLANK(D4),0,INDEX(Tablo_E!$B$2:$CX$102,MATCH(ROUND(Uzman_E!A$10,1),Tablo_E!$A$2:$A$102,1),MATCH(ROUND(E4,1),Tablo_E!$B$1:$CX$1,1)))</f>
        <v>1</v>
      </c>
      <c r="G4" s="51">
        <v>3.9</v>
      </c>
      <c r="H4" s="60">
        <f>IF(ISBLANK(G4),0,ABS(Uzman_E!B$10-G4))</f>
        <v>0.89999999999999991</v>
      </c>
      <c r="I4" s="52">
        <f>IF(ISBLANK(G4),0,INDEX(Tablo_E!$B$2:$CX$102,MATCH(ROUND(Uzman_E!B$10,1),Tablo_E!$A$2:$A$102,1),MATCH(ROUND(H4,1),Tablo_E!$B$1:$CX$1,1)))</f>
        <v>0.6</v>
      </c>
      <c r="J4" s="51">
        <v>2.7</v>
      </c>
      <c r="K4" s="60">
        <f>IF(ISBLANK(J4),0,ABS(Uzman_E!C$10-J4))</f>
        <v>0.39999999999999991</v>
      </c>
      <c r="L4" s="52">
        <f>IF(ISBLANK(J4),0,INDEX(Tablo_E!$B$2:$CX$102,MATCH(ROUND(Uzman_E!C$10,1),Tablo_E!$A$2:$A$102,1),MATCH(ROUND(K4,1),Tablo_E!$B$1:$CX$1,1)))</f>
        <v>1</v>
      </c>
      <c r="M4" s="51">
        <v>3.8</v>
      </c>
      <c r="N4" s="60">
        <f>IF(ISBLANK(M4),0,ABS(Uzman_E!D$10-M4))</f>
        <v>0.39999999999999991</v>
      </c>
      <c r="O4" s="52">
        <f>IF(ISBLANK(M4),0,INDEX(Tablo_E!$B$2:$CX$102,MATCH(ROUND(Uzman_E!D$10,1),Tablo_E!$A$2:$A$102,1),MATCH(ROUND(N4,1),Tablo_E!$B$1:$CX$1,1)))</f>
        <v>1</v>
      </c>
      <c r="P4" s="51">
        <v>4.3</v>
      </c>
      <c r="Q4" s="60">
        <f>IF(ISBLANK(P4),0,ABS(Uzman_E!E$10-P4))</f>
        <v>0.39999999999999991</v>
      </c>
      <c r="R4" s="52">
        <f>IF(ISBLANK(P4),0,INDEX(Tablo_E!$B$2:$CX$102,MATCH(ROUND(Uzman_E!E$10,1),Tablo_E!$A$2:$A$102,1),MATCH(ROUND(Q4,1),Tablo_E!$B$1:$CX$1,1)))</f>
        <v>1</v>
      </c>
      <c r="S4" s="53">
        <f t="shared" ref="S4:S35" si="0">(F4+I4+L4+O4+R4)/5</f>
        <v>0.91999999999999993</v>
      </c>
      <c r="T4" s="49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x14ac:dyDescent="0.45">
      <c r="A5" s="54">
        <v>2</v>
      </c>
      <c r="B5" s="80" t="str">
        <f>Hakemler!B5</f>
        <v>ASLAN</v>
      </c>
      <c r="C5" s="81" t="str">
        <f>Hakemler!C5</f>
        <v>SEMA FİDEL</v>
      </c>
      <c r="D5" s="55"/>
      <c r="E5" s="60">
        <f>IF(ISBLANK(D5),0,ABS(Uzman_E!A$10-D5))</f>
        <v>0</v>
      </c>
      <c r="F5" s="52">
        <f>IF(ISBLANK(D5),0,INDEX(Tablo_E!$B$2:$CX$102,MATCH(ROUND(Uzman_E!A$10,1),Tablo_E!$A$2:$A$102,1),MATCH(ROUND(E5,1),Tablo_E!$B$1:$CX$1,1)))</f>
        <v>0</v>
      </c>
      <c r="G5" s="55"/>
      <c r="H5" s="60">
        <f>IF(ISBLANK(G5),0,ABS(Uzman_E!B$10-G5))</f>
        <v>0</v>
      </c>
      <c r="I5" s="52">
        <f>IF(ISBLANK(G5),0,INDEX(Tablo_E!$B$2:$CX$102,MATCH(ROUND(Uzman_E!B$10,1),Tablo_E!$A$2:$A$102,1),MATCH(ROUND(H5,1),Tablo_E!$B$1:$CX$1,1)))</f>
        <v>0</v>
      </c>
      <c r="J5" s="55"/>
      <c r="K5" s="60">
        <f>IF(ISBLANK(J5),0,ABS(Uzman_E!C$10-J5))</f>
        <v>0</v>
      </c>
      <c r="L5" s="52">
        <f>IF(ISBLANK(J5),0,INDEX(Tablo_E!$B$2:$CX$102,MATCH(ROUND(Uzman_E!C$10,1),Tablo_E!$A$2:$A$102,1),MATCH(ROUND(K5,1),Tablo_E!$B$1:$CX$1,1)))</f>
        <v>0</v>
      </c>
      <c r="M5" s="55"/>
      <c r="N5" s="60">
        <f>IF(ISBLANK(M5),0,ABS(Uzman_E!D$10-M5))</f>
        <v>0</v>
      </c>
      <c r="O5" s="52">
        <f>IF(ISBLANK(M5),0,INDEX(Tablo_E!$B$2:$CX$102,MATCH(ROUND(Uzman_E!D$10,1),Tablo_E!$A$2:$A$102,1),MATCH(ROUND(N5,1),Tablo_E!$B$1:$CX$1,1)))</f>
        <v>0</v>
      </c>
      <c r="P5" s="55"/>
      <c r="Q5" s="60">
        <f>IF(ISBLANK(P5),0,ABS(Uzman_E!E$10-P5))</f>
        <v>0</v>
      </c>
      <c r="R5" s="52">
        <f>IF(ISBLANK(P5),0,INDEX(Tablo_E!$B$2:$CX$102,MATCH(ROUND(Uzman_E!E$10,1),Tablo_E!$A$2:$A$102,1),MATCH(ROUND(Q5,1),Tablo_E!$B$1:$CX$1,1)))</f>
        <v>0</v>
      </c>
      <c r="S5" s="53">
        <f t="shared" si="0"/>
        <v>0</v>
      </c>
      <c r="T5" s="49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x14ac:dyDescent="0.45">
      <c r="A6" s="54">
        <v>3</v>
      </c>
      <c r="B6" s="80" t="str">
        <f>Hakemler!B6</f>
        <v>TUNA</v>
      </c>
      <c r="C6" s="81" t="str">
        <f>Hakemler!C6</f>
        <v>MUNİSE</v>
      </c>
      <c r="D6" s="55"/>
      <c r="E6" s="60">
        <f>IF(ISBLANK(D6),0,ABS(Uzman_E!A$10-D6))</f>
        <v>0</v>
      </c>
      <c r="F6" s="52">
        <f>IF(ISBLANK(D6),0,INDEX(Tablo_E!$B$2:$CX$102,MATCH(ROUND(Uzman_E!A$10,1),Tablo_E!$A$2:$A$102,1),MATCH(ROUND(E6,1),Tablo_E!$B$1:$CX$1,1)))</f>
        <v>0</v>
      </c>
      <c r="G6" s="55"/>
      <c r="H6" s="60">
        <f>IF(ISBLANK(G6),0,ABS(Uzman_E!B$10-G6))</f>
        <v>0</v>
      </c>
      <c r="I6" s="52">
        <f>IF(ISBLANK(G6),0,INDEX(Tablo_E!$B$2:$CX$102,MATCH(ROUND(Uzman_E!B$10,1),Tablo_E!$A$2:$A$102,1),MATCH(ROUND(H6,1),Tablo_E!$B$1:$CX$1,1)))</f>
        <v>0</v>
      </c>
      <c r="J6" s="55"/>
      <c r="K6" s="60">
        <f>IF(ISBLANK(J6),0,ABS(Uzman_E!C$10-J6))</f>
        <v>0</v>
      </c>
      <c r="L6" s="52">
        <f>IF(ISBLANK(J6),0,INDEX(Tablo_E!$B$2:$CX$102,MATCH(ROUND(Uzman_E!C$10,1),Tablo_E!$A$2:$A$102,1),MATCH(ROUND(K6,1),Tablo_E!$B$1:$CX$1,1)))</f>
        <v>0</v>
      </c>
      <c r="M6" s="55"/>
      <c r="N6" s="60">
        <f>IF(ISBLANK(M6),0,ABS(Uzman_E!D$10-M6))</f>
        <v>0</v>
      </c>
      <c r="O6" s="52">
        <f>IF(ISBLANK(M6),0,INDEX(Tablo_E!$B$2:$CX$102,MATCH(ROUND(Uzman_E!D$10,1),Tablo_E!$A$2:$A$102,1),MATCH(ROUND(N6,1),Tablo_E!$B$1:$CX$1,1)))</f>
        <v>0</v>
      </c>
      <c r="P6" s="55"/>
      <c r="Q6" s="60">
        <f>IF(ISBLANK(P6),0,ABS(Uzman_E!E$10-P6))</f>
        <v>0</v>
      </c>
      <c r="R6" s="52">
        <f>IF(ISBLANK(P6),0,INDEX(Tablo_E!$B$2:$CX$102,MATCH(ROUND(Uzman_E!E$10,1),Tablo_E!$A$2:$A$102,1),MATCH(ROUND(Q6,1),Tablo_E!$B$1:$CX$1,1)))</f>
        <v>0</v>
      </c>
      <c r="S6" s="53">
        <f t="shared" si="0"/>
        <v>0</v>
      </c>
      <c r="T6" s="4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x14ac:dyDescent="0.45">
      <c r="A7" s="54">
        <v>4</v>
      </c>
      <c r="B7" s="80" t="str">
        <f>Hakemler!B7</f>
        <v>ÜNAL</v>
      </c>
      <c r="C7" s="81" t="str">
        <f>Hakemler!C7</f>
        <v>FATMA HANIM</v>
      </c>
      <c r="D7" s="55"/>
      <c r="E7" s="60">
        <f>IF(ISBLANK(D7),0,ABS(Uzman_E!A$10-D7))</f>
        <v>0</v>
      </c>
      <c r="F7" s="52">
        <f>IF(ISBLANK(D7),0,INDEX(Tablo_E!$B$2:$CX$102,MATCH(ROUND(Uzman_E!A$10,1),Tablo_E!$A$2:$A$102,1),MATCH(ROUND(E7,1),Tablo_E!$B$1:$CX$1,1)))</f>
        <v>0</v>
      </c>
      <c r="G7" s="55"/>
      <c r="H7" s="60">
        <f>IF(ISBLANK(G7),0,ABS(Uzman_E!B$10-G7))</f>
        <v>0</v>
      </c>
      <c r="I7" s="52">
        <f>IF(ISBLANK(G7),0,INDEX(Tablo_E!$B$2:$CX$102,MATCH(ROUND(Uzman_E!B$10,1),Tablo_E!$A$2:$A$102,1),MATCH(ROUND(H7,1),Tablo_E!$B$1:$CX$1,1)))</f>
        <v>0</v>
      </c>
      <c r="J7" s="55"/>
      <c r="K7" s="60">
        <f>IF(ISBLANK(J7),0,ABS(Uzman_E!C$10-J7))</f>
        <v>0</v>
      </c>
      <c r="L7" s="52">
        <f>IF(ISBLANK(J7),0,INDEX(Tablo_E!$B$2:$CX$102,MATCH(ROUND(Uzman_E!C$10,1),Tablo_E!$A$2:$A$102,1),MATCH(ROUND(K7,1),Tablo_E!$B$1:$CX$1,1)))</f>
        <v>0</v>
      </c>
      <c r="M7" s="55"/>
      <c r="N7" s="60">
        <f>IF(ISBLANK(M7),0,ABS(Uzman_E!D$10-M7))</f>
        <v>0</v>
      </c>
      <c r="O7" s="52">
        <f>IF(ISBLANK(M7),0,INDEX(Tablo_E!$B$2:$CX$102,MATCH(ROUND(Uzman_E!D$10,1),Tablo_E!$A$2:$A$102,1),MATCH(ROUND(N7,1),Tablo_E!$B$1:$CX$1,1)))</f>
        <v>0</v>
      </c>
      <c r="P7" s="55"/>
      <c r="Q7" s="60">
        <f>IF(ISBLANK(P7),0,ABS(Uzman_E!E$10-P7))</f>
        <v>0</v>
      </c>
      <c r="R7" s="52">
        <f>IF(ISBLANK(P7),0,INDEX(Tablo_E!$B$2:$CX$102,MATCH(ROUND(Uzman_E!E$10,1),Tablo_E!$A$2:$A$102,1),MATCH(ROUND(Q7,1),Tablo_E!$B$1:$CX$1,1)))</f>
        <v>0</v>
      </c>
      <c r="S7" s="53">
        <f t="shared" si="0"/>
        <v>0</v>
      </c>
      <c r="T7" s="49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x14ac:dyDescent="0.45">
      <c r="A8" s="54">
        <v>5</v>
      </c>
      <c r="B8" s="80" t="str">
        <f>Hakemler!B8</f>
        <v>BAŞKAN PERÇİN</v>
      </c>
      <c r="C8" s="81" t="str">
        <f>Hakemler!C8</f>
        <v>ÖZGE</v>
      </c>
      <c r="D8" s="55"/>
      <c r="E8" s="60">
        <f>IF(ISBLANK(D8),0,ABS(Uzman_E!A$10-D8))</f>
        <v>0</v>
      </c>
      <c r="F8" s="52">
        <f>IF(ISBLANK(D8),0,INDEX(Tablo_E!$B$2:$CX$102,MATCH(ROUND(Uzman_E!A$10,1),Tablo_E!$A$2:$A$102,1),MATCH(ROUND(E8,1),Tablo_E!$B$1:$CX$1,1)))</f>
        <v>0</v>
      </c>
      <c r="G8" s="55"/>
      <c r="H8" s="60">
        <f>IF(ISBLANK(G8),0,ABS(Uzman_E!B$10-G8))</f>
        <v>0</v>
      </c>
      <c r="I8" s="52">
        <f>IF(ISBLANK(G8),0,INDEX(Tablo_E!$B$2:$CX$102,MATCH(ROUND(Uzman_E!B$10,1),Tablo_E!$A$2:$A$102,1),MATCH(ROUND(H8,1),Tablo_E!$B$1:$CX$1,1)))</f>
        <v>0</v>
      </c>
      <c r="J8" s="55"/>
      <c r="K8" s="60">
        <f>IF(ISBLANK(J8),0,ABS(Uzman_E!C$10-J8))</f>
        <v>0</v>
      </c>
      <c r="L8" s="52">
        <f>IF(ISBLANK(J8),0,INDEX(Tablo_E!$B$2:$CX$102,MATCH(ROUND(Uzman_E!C$10,1),Tablo_E!$A$2:$A$102,1),MATCH(ROUND(K8,1),Tablo_E!$B$1:$CX$1,1)))</f>
        <v>0</v>
      </c>
      <c r="M8" s="55"/>
      <c r="N8" s="60">
        <f>IF(ISBLANK(M8),0,ABS(Uzman_E!D$10-M8))</f>
        <v>0</v>
      </c>
      <c r="O8" s="52">
        <f>IF(ISBLANK(M8),0,INDEX(Tablo_E!$B$2:$CX$102,MATCH(ROUND(Uzman_E!D$10,1),Tablo_E!$A$2:$A$102,1),MATCH(ROUND(N8,1),Tablo_E!$B$1:$CX$1,1)))</f>
        <v>0</v>
      </c>
      <c r="P8" s="55"/>
      <c r="Q8" s="60">
        <f>IF(ISBLANK(P8),0,ABS(Uzman_E!E$10-P8))</f>
        <v>0</v>
      </c>
      <c r="R8" s="52">
        <f>IF(ISBLANK(P8),0,INDEX(Tablo_E!$B$2:$CX$102,MATCH(ROUND(Uzman_E!E$10,1),Tablo_E!$A$2:$A$102,1),MATCH(ROUND(Q8,1),Tablo_E!$B$1:$CX$1,1)))</f>
        <v>0</v>
      </c>
      <c r="S8" s="53">
        <f t="shared" si="0"/>
        <v>0</v>
      </c>
      <c r="T8" s="49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x14ac:dyDescent="0.45">
      <c r="A9" s="54">
        <v>6</v>
      </c>
      <c r="B9" s="80" t="str">
        <f>Hakemler!B9</f>
        <v>ŞEN İZMİRLİ</v>
      </c>
      <c r="C9" s="81" t="str">
        <f>Hakemler!C9</f>
        <v>SİNEM</v>
      </c>
      <c r="D9" s="55"/>
      <c r="E9" s="60">
        <f>IF(ISBLANK(D9),0,ABS(Uzman_E!A$10-D9))</f>
        <v>0</v>
      </c>
      <c r="F9" s="52">
        <f>IF(ISBLANK(D9),0,INDEX(Tablo_E!$B$2:$CX$102,MATCH(ROUND(Uzman_E!A$10,1),Tablo_E!$A$2:$A$102,1),MATCH(ROUND(E9,1),Tablo_E!$B$1:$CX$1,1)))</f>
        <v>0</v>
      </c>
      <c r="G9" s="55"/>
      <c r="H9" s="60">
        <f>IF(ISBLANK(G9),0,ABS(Uzman_E!B$10-G9))</f>
        <v>0</v>
      </c>
      <c r="I9" s="52">
        <f>IF(ISBLANK(G9),0,INDEX(Tablo_E!$B$2:$CX$102,MATCH(ROUND(Uzman_E!B$10,1),Tablo_E!$A$2:$A$102,1),MATCH(ROUND(H9,1),Tablo_E!$B$1:$CX$1,1)))</f>
        <v>0</v>
      </c>
      <c r="J9" s="55"/>
      <c r="K9" s="60">
        <f>IF(ISBLANK(J9),0,ABS(Uzman_E!C$10-J9))</f>
        <v>0</v>
      </c>
      <c r="L9" s="52">
        <f>IF(ISBLANK(J9),0,INDEX(Tablo_E!$B$2:$CX$102,MATCH(ROUND(Uzman_E!C$10,1),Tablo_E!$A$2:$A$102,1),MATCH(ROUND(K9,1),Tablo_E!$B$1:$CX$1,1)))</f>
        <v>0</v>
      </c>
      <c r="M9" s="55"/>
      <c r="N9" s="60">
        <f>IF(ISBLANK(M9),0,ABS(Uzman_E!D$10-M9))</f>
        <v>0</v>
      </c>
      <c r="O9" s="52">
        <f>IF(ISBLANK(M9),0,INDEX(Tablo_E!$B$2:$CX$102,MATCH(ROUND(Uzman_E!D$10,1),Tablo_E!$A$2:$A$102,1),MATCH(ROUND(N9,1),Tablo_E!$B$1:$CX$1,1)))</f>
        <v>0</v>
      </c>
      <c r="P9" s="55"/>
      <c r="Q9" s="60">
        <f>IF(ISBLANK(P9),0,ABS(Uzman_E!E$10-P9))</f>
        <v>0</v>
      </c>
      <c r="R9" s="52">
        <f>IF(ISBLANK(P9),0,INDEX(Tablo_E!$B$2:$CX$102,MATCH(ROUND(Uzman_E!E$10,1),Tablo_E!$A$2:$A$102,1),MATCH(ROUND(Q9,1),Tablo_E!$B$1:$CX$1,1)))</f>
        <v>0</v>
      </c>
      <c r="S9" s="53">
        <f t="shared" si="0"/>
        <v>0</v>
      </c>
      <c r="T9" s="49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x14ac:dyDescent="0.45">
      <c r="A10" s="54">
        <v>7</v>
      </c>
      <c r="B10" s="80" t="str">
        <f>Hakemler!B10</f>
        <v>YILDIRIMER</v>
      </c>
      <c r="C10" s="81" t="str">
        <f>Hakemler!C10</f>
        <v>BUSE</v>
      </c>
      <c r="D10" s="55"/>
      <c r="E10" s="60">
        <f>IF(ISBLANK(D10),0,ABS(Uzman_E!A$10-D10))</f>
        <v>0</v>
      </c>
      <c r="F10" s="52">
        <f>IF(ISBLANK(D10),0,INDEX(Tablo_E!$B$2:$CX$102,MATCH(ROUND(Uzman_E!A$10,1),Tablo_E!$A$2:$A$102,1),MATCH(ROUND(E10,1),Tablo_E!$B$1:$CX$1,1)))</f>
        <v>0</v>
      </c>
      <c r="G10" s="55"/>
      <c r="H10" s="60">
        <f>IF(ISBLANK(G10),0,ABS(Uzman_E!B$10-G10))</f>
        <v>0</v>
      </c>
      <c r="I10" s="52">
        <f>IF(ISBLANK(G10),0,INDEX(Tablo_E!$B$2:$CX$102,MATCH(ROUND(Uzman_E!B$10,1),Tablo_E!$A$2:$A$102,1),MATCH(ROUND(H10,1),Tablo_E!$B$1:$CX$1,1)))</f>
        <v>0</v>
      </c>
      <c r="J10" s="55"/>
      <c r="K10" s="60">
        <f>IF(ISBLANK(J10),0,ABS(Uzman_E!C$10-J10))</f>
        <v>0</v>
      </c>
      <c r="L10" s="52">
        <f>IF(ISBLANK(J10),0,INDEX(Tablo_E!$B$2:$CX$102,MATCH(ROUND(Uzman_E!C$10,1),Tablo_E!$A$2:$A$102,1),MATCH(ROUND(K10,1),Tablo_E!$B$1:$CX$1,1)))</f>
        <v>0</v>
      </c>
      <c r="M10" s="55"/>
      <c r="N10" s="60">
        <f>IF(ISBLANK(M10),0,ABS(Uzman_E!D$10-M10))</f>
        <v>0</v>
      </c>
      <c r="O10" s="52">
        <f>IF(ISBLANK(M10),0,INDEX(Tablo_E!$B$2:$CX$102,MATCH(ROUND(Uzman_E!D$10,1),Tablo_E!$A$2:$A$102,1),MATCH(ROUND(N10,1),Tablo_E!$B$1:$CX$1,1)))</f>
        <v>0</v>
      </c>
      <c r="P10" s="55"/>
      <c r="Q10" s="60">
        <f>IF(ISBLANK(P10),0,ABS(Uzman_E!E$10-P10))</f>
        <v>0</v>
      </c>
      <c r="R10" s="52">
        <f>IF(ISBLANK(P10),0,INDEX(Tablo_E!$B$2:$CX$102,MATCH(ROUND(Uzman_E!E$10,1),Tablo_E!$A$2:$A$102,1),MATCH(ROUND(Q10,1),Tablo_E!$B$1:$CX$1,1)))</f>
        <v>0</v>
      </c>
      <c r="S10" s="53">
        <f t="shared" si="0"/>
        <v>0</v>
      </c>
      <c r="T10" s="49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x14ac:dyDescent="0.45">
      <c r="A11" s="54">
        <v>8</v>
      </c>
      <c r="B11" s="80" t="str">
        <f>Hakemler!B11</f>
        <v>KESKİN</v>
      </c>
      <c r="C11" s="81" t="str">
        <f>Hakemler!C11</f>
        <v>ENFAL</v>
      </c>
      <c r="D11" s="55"/>
      <c r="E11" s="60">
        <f>IF(ISBLANK(D11),0,ABS(Uzman_E!A$10-D11))</f>
        <v>0</v>
      </c>
      <c r="F11" s="52">
        <f>IF(ISBLANK(D11),0,INDEX(Tablo_E!$B$2:$CX$102,MATCH(ROUND(Uzman_E!A$10,1),Tablo_E!$A$2:$A$102,1),MATCH(ROUND(E11,1),Tablo_E!$B$1:$CX$1,1)))</f>
        <v>0</v>
      </c>
      <c r="G11" s="55"/>
      <c r="H11" s="60">
        <f>IF(ISBLANK(G11),0,ABS(Uzman_E!B$10-G11))</f>
        <v>0</v>
      </c>
      <c r="I11" s="52">
        <f>IF(ISBLANK(G11),0,INDEX(Tablo_E!$B$2:$CX$102,MATCH(ROUND(Uzman_E!B$10,1),Tablo_E!$A$2:$A$102,1),MATCH(ROUND(H11,1),Tablo_E!$B$1:$CX$1,1)))</f>
        <v>0</v>
      </c>
      <c r="J11" s="55"/>
      <c r="K11" s="60">
        <f>IF(ISBLANK(J11),0,ABS(Uzman_E!C$10-J11))</f>
        <v>0</v>
      </c>
      <c r="L11" s="52">
        <f>IF(ISBLANK(J11),0,INDEX(Tablo_E!$B$2:$CX$102,MATCH(ROUND(Uzman_E!C$10,1),Tablo_E!$A$2:$A$102,1),MATCH(ROUND(K11,1),Tablo_E!$B$1:$CX$1,1)))</f>
        <v>0</v>
      </c>
      <c r="M11" s="55"/>
      <c r="N11" s="60">
        <f>IF(ISBLANK(M11),0,ABS(Uzman_E!D$10-M11))</f>
        <v>0</v>
      </c>
      <c r="O11" s="52">
        <f>IF(ISBLANK(M11),0,INDEX(Tablo_E!$B$2:$CX$102,MATCH(ROUND(Uzman_E!D$10,1),Tablo_E!$A$2:$A$102,1),MATCH(ROUND(N11,1),Tablo_E!$B$1:$CX$1,1)))</f>
        <v>0</v>
      </c>
      <c r="P11" s="55"/>
      <c r="Q11" s="60">
        <f>IF(ISBLANK(P11),0,ABS(Uzman_E!E$10-P11))</f>
        <v>0</v>
      </c>
      <c r="R11" s="52">
        <f>IF(ISBLANK(P11),0,INDEX(Tablo_E!$B$2:$CX$102,MATCH(ROUND(Uzman_E!E$10,1),Tablo_E!$A$2:$A$102,1),MATCH(ROUND(Q11,1),Tablo_E!$B$1:$CX$1,1)))</f>
        <v>0</v>
      </c>
      <c r="S11" s="53">
        <f t="shared" si="0"/>
        <v>0</v>
      </c>
      <c r="T11" s="49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x14ac:dyDescent="0.45">
      <c r="A12" s="54">
        <v>9</v>
      </c>
      <c r="B12" s="80" t="str">
        <f>Hakemler!B12</f>
        <v>ÜNAL</v>
      </c>
      <c r="C12" s="81" t="str">
        <f>Hakemler!C12</f>
        <v>NAZLINEHİR</v>
      </c>
      <c r="D12" s="55"/>
      <c r="E12" s="60">
        <f>IF(ISBLANK(D12),0,ABS(Uzman_E!A$10-D12))</f>
        <v>0</v>
      </c>
      <c r="F12" s="52">
        <f>IF(ISBLANK(D12),0,INDEX(Tablo_E!$B$2:$CX$102,MATCH(ROUND(Uzman_E!A$10,1),Tablo_E!$A$2:$A$102,1),MATCH(ROUND(E12,1),Tablo_E!$B$1:$CX$1,1)))</f>
        <v>0</v>
      </c>
      <c r="G12" s="55"/>
      <c r="H12" s="60">
        <f>IF(ISBLANK(G12),0,ABS(Uzman_E!B$10-G12))</f>
        <v>0</v>
      </c>
      <c r="I12" s="52">
        <f>IF(ISBLANK(G12),0,INDEX(Tablo_E!$B$2:$CX$102,MATCH(ROUND(Uzman_E!B$10,1),Tablo_E!$A$2:$A$102,1),MATCH(ROUND(H12,1),Tablo_E!$B$1:$CX$1,1)))</f>
        <v>0</v>
      </c>
      <c r="J12" s="55"/>
      <c r="K12" s="60">
        <f>IF(ISBLANK(J12),0,ABS(Uzman_E!C$10-J12))</f>
        <v>0</v>
      </c>
      <c r="L12" s="52">
        <f>IF(ISBLANK(J12),0,INDEX(Tablo_E!$B$2:$CX$102,MATCH(ROUND(Uzman_E!C$10,1),Tablo_E!$A$2:$A$102,1),MATCH(ROUND(K12,1),Tablo_E!$B$1:$CX$1,1)))</f>
        <v>0</v>
      </c>
      <c r="M12" s="55"/>
      <c r="N12" s="60">
        <f>IF(ISBLANK(M12),0,ABS(Uzman_E!D$10-M12))</f>
        <v>0</v>
      </c>
      <c r="O12" s="52">
        <f>IF(ISBLANK(M12),0,INDEX(Tablo_E!$B$2:$CX$102,MATCH(ROUND(Uzman_E!D$10,1),Tablo_E!$A$2:$A$102,1),MATCH(ROUND(N12,1),Tablo_E!$B$1:$CX$1,1)))</f>
        <v>0</v>
      </c>
      <c r="P12" s="55"/>
      <c r="Q12" s="60">
        <f>IF(ISBLANK(P12),0,ABS(Uzman_E!E$10-P12))</f>
        <v>0</v>
      </c>
      <c r="R12" s="52">
        <f>IF(ISBLANK(P12),0,INDEX(Tablo_E!$B$2:$CX$102,MATCH(ROUND(Uzman_E!E$10,1),Tablo_E!$A$2:$A$102,1),MATCH(ROUND(Q12,1),Tablo_E!$B$1:$CX$1,1)))</f>
        <v>0</v>
      </c>
      <c r="S12" s="53">
        <f t="shared" si="0"/>
        <v>0</v>
      </c>
      <c r="T12" s="49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x14ac:dyDescent="0.45">
      <c r="A13" s="54">
        <v>10</v>
      </c>
      <c r="B13" s="80" t="str">
        <f>Hakemler!B13</f>
        <v>ÜÇTAŞ ŞANLI</v>
      </c>
      <c r="C13" s="81" t="str">
        <f>Hakemler!C13</f>
        <v>GÖKSU</v>
      </c>
      <c r="D13" s="55"/>
      <c r="E13" s="60">
        <f>IF(ISBLANK(D13),0,ABS(Uzman_E!A$10-D13))</f>
        <v>0</v>
      </c>
      <c r="F13" s="52">
        <f>IF(ISBLANK(D13),0,INDEX(Tablo_E!$B$2:$CX$102,MATCH(ROUND(Uzman_E!A$10,1),Tablo_E!$A$2:$A$102,1),MATCH(ROUND(E13,1),Tablo_E!$B$1:$CX$1,1)))</f>
        <v>0</v>
      </c>
      <c r="G13" s="55"/>
      <c r="H13" s="60">
        <f>IF(ISBLANK(G13),0,ABS(Uzman_E!B$10-G13))</f>
        <v>0</v>
      </c>
      <c r="I13" s="52">
        <f>IF(ISBLANK(G13),0,INDEX(Tablo_E!$B$2:$CX$102,MATCH(ROUND(Uzman_E!B$10,1),Tablo_E!$A$2:$A$102,1),MATCH(ROUND(H13,1),Tablo_E!$B$1:$CX$1,1)))</f>
        <v>0</v>
      </c>
      <c r="J13" s="55"/>
      <c r="K13" s="60">
        <f>IF(ISBLANK(J13),0,ABS(Uzman_E!C$10-J13))</f>
        <v>0</v>
      </c>
      <c r="L13" s="52">
        <f>IF(ISBLANK(J13),0,INDEX(Tablo_E!$B$2:$CX$102,MATCH(ROUND(Uzman_E!C$10,1),Tablo_E!$A$2:$A$102,1),MATCH(ROUND(K13,1),Tablo_E!$B$1:$CX$1,1)))</f>
        <v>0</v>
      </c>
      <c r="M13" s="55"/>
      <c r="N13" s="60">
        <f>IF(ISBLANK(M13),0,ABS(Uzman_E!D$10-M13))</f>
        <v>0</v>
      </c>
      <c r="O13" s="52">
        <f>IF(ISBLANK(M13),0,INDEX(Tablo_E!$B$2:$CX$102,MATCH(ROUND(Uzman_E!D$10,1),Tablo_E!$A$2:$A$102,1),MATCH(ROUND(N13,1),Tablo_E!$B$1:$CX$1,1)))</f>
        <v>0</v>
      </c>
      <c r="P13" s="55"/>
      <c r="Q13" s="60">
        <f>IF(ISBLANK(P13),0,ABS(Uzman_E!E$10-P13))</f>
        <v>0</v>
      </c>
      <c r="R13" s="52">
        <f>IF(ISBLANK(P13),0,INDEX(Tablo_E!$B$2:$CX$102,MATCH(ROUND(Uzman_E!E$10,1),Tablo_E!$A$2:$A$102,1),MATCH(ROUND(Q13,1),Tablo_E!$B$1:$CX$1,1)))</f>
        <v>0</v>
      </c>
      <c r="S13" s="53">
        <f t="shared" si="0"/>
        <v>0</v>
      </c>
      <c r="T13" s="49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x14ac:dyDescent="0.45">
      <c r="A14" s="54">
        <v>11</v>
      </c>
      <c r="B14" s="80" t="str">
        <f>Hakemler!B14</f>
        <v>YÜCEL</v>
      </c>
      <c r="C14" s="81" t="str">
        <f>Hakemler!C14</f>
        <v>SİBEL</v>
      </c>
      <c r="D14" s="55"/>
      <c r="E14" s="60">
        <f>IF(ISBLANK(D14),0,ABS(Uzman_E!A$10-D14))</f>
        <v>0</v>
      </c>
      <c r="F14" s="52">
        <f>IF(ISBLANK(D14),0,INDEX(Tablo_E!$B$2:$CX$102,MATCH(ROUND(Uzman_E!A$10,1),Tablo_E!$A$2:$A$102,1),MATCH(ROUND(E14,1),Tablo_E!$B$1:$CX$1,1)))</f>
        <v>0</v>
      </c>
      <c r="G14" s="55"/>
      <c r="H14" s="60">
        <f>IF(ISBLANK(G14),0,ABS(Uzman_E!B$10-G14))</f>
        <v>0</v>
      </c>
      <c r="I14" s="52">
        <f>IF(ISBLANK(G14),0,INDEX(Tablo_E!$B$2:$CX$102,MATCH(ROUND(Uzman_E!B$10,1),Tablo_E!$A$2:$A$102,1),MATCH(ROUND(H14,1),Tablo_E!$B$1:$CX$1,1)))</f>
        <v>0</v>
      </c>
      <c r="J14" s="55"/>
      <c r="K14" s="60">
        <f>IF(ISBLANK(J14),0,ABS(Uzman_E!C$10-J14))</f>
        <v>0</v>
      </c>
      <c r="L14" s="52">
        <f>IF(ISBLANK(J14),0,INDEX(Tablo_E!$B$2:$CX$102,MATCH(ROUND(Uzman_E!C$10,1),Tablo_E!$A$2:$A$102,1),MATCH(ROUND(K14,1),Tablo_E!$B$1:$CX$1,1)))</f>
        <v>0</v>
      </c>
      <c r="M14" s="55"/>
      <c r="N14" s="60">
        <f>IF(ISBLANK(M14),0,ABS(Uzman_E!D$10-M14))</f>
        <v>0</v>
      </c>
      <c r="O14" s="52">
        <f>IF(ISBLANK(M14),0,INDEX(Tablo_E!$B$2:$CX$102,MATCH(ROUND(Uzman_E!D$10,1),Tablo_E!$A$2:$A$102,1),MATCH(ROUND(N14,1),Tablo_E!$B$1:$CX$1,1)))</f>
        <v>0</v>
      </c>
      <c r="P14" s="55"/>
      <c r="Q14" s="60">
        <f>IF(ISBLANK(P14),0,ABS(Uzman_E!E$10-P14))</f>
        <v>0</v>
      </c>
      <c r="R14" s="52">
        <f>IF(ISBLANK(P14),0,INDEX(Tablo_E!$B$2:$CX$102,MATCH(ROUND(Uzman_E!E$10,1),Tablo_E!$A$2:$A$102,1),MATCH(ROUND(Q14,1),Tablo_E!$B$1:$CX$1,1)))</f>
        <v>0</v>
      </c>
      <c r="S14" s="53">
        <f t="shared" si="0"/>
        <v>0</v>
      </c>
      <c r="T14" s="49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x14ac:dyDescent="0.45">
      <c r="A15" s="54">
        <v>12</v>
      </c>
      <c r="B15" s="80" t="str">
        <f>Hakemler!B15</f>
        <v>YILMAZER</v>
      </c>
      <c r="C15" s="81" t="str">
        <f>Hakemler!C15</f>
        <v>ZEHRA</v>
      </c>
      <c r="D15" s="55"/>
      <c r="E15" s="60">
        <f>IF(ISBLANK(D15),0,ABS(Uzman_E!A$10-D15))</f>
        <v>0</v>
      </c>
      <c r="F15" s="52">
        <f>IF(ISBLANK(D15),0,INDEX(Tablo_E!$B$2:$CX$102,MATCH(ROUND(Uzman_E!A$10,1),Tablo_E!$A$2:$A$102,1),MATCH(ROUND(E15,1),Tablo_E!$B$1:$CX$1,1)))</f>
        <v>0</v>
      </c>
      <c r="G15" s="55"/>
      <c r="H15" s="60">
        <f>IF(ISBLANK(G15),0,ABS(Uzman_E!B$10-G15))</f>
        <v>0</v>
      </c>
      <c r="I15" s="52">
        <f>IF(ISBLANK(G15),0,INDEX(Tablo_E!$B$2:$CX$102,MATCH(ROUND(Uzman_E!B$10,1),Tablo_E!$A$2:$A$102,1),MATCH(ROUND(H15,1),Tablo_E!$B$1:$CX$1,1)))</f>
        <v>0</v>
      </c>
      <c r="J15" s="55"/>
      <c r="K15" s="60">
        <f>IF(ISBLANK(J15),0,ABS(Uzman_E!C$10-J15))</f>
        <v>0</v>
      </c>
      <c r="L15" s="52">
        <f>IF(ISBLANK(J15),0,INDEX(Tablo_E!$B$2:$CX$102,MATCH(ROUND(Uzman_E!C$10,1),Tablo_E!$A$2:$A$102,1),MATCH(ROUND(K15,1),Tablo_E!$B$1:$CX$1,1)))</f>
        <v>0</v>
      </c>
      <c r="M15" s="55"/>
      <c r="N15" s="60">
        <f>IF(ISBLANK(M15),0,ABS(Uzman_E!D$10-M15))</f>
        <v>0</v>
      </c>
      <c r="O15" s="52">
        <f>IF(ISBLANK(M15),0,INDEX(Tablo_E!$B$2:$CX$102,MATCH(ROUND(Uzman_E!D$10,1),Tablo_E!$A$2:$A$102,1),MATCH(ROUND(N15,1),Tablo_E!$B$1:$CX$1,1)))</f>
        <v>0</v>
      </c>
      <c r="P15" s="55"/>
      <c r="Q15" s="60">
        <f>IF(ISBLANK(P15),0,ABS(Uzman_E!E$10-P15))</f>
        <v>0</v>
      </c>
      <c r="R15" s="52">
        <f>IF(ISBLANK(P15),0,INDEX(Tablo_E!$B$2:$CX$102,MATCH(ROUND(Uzman_E!E$10,1),Tablo_E!$A$2:$A$102,1),MATCH(ROUND(Q15,1),Tablo_E!$B$1:$CX$1,1)))</f>
        <v>0</v>
      </c>
      <c r="S15" s="53">
        <f t="shared" si="0"/>
        <v>0</v>
      </c>
      <c r="T15" s="49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x14ac:dyDescent="0.45">
      <c r="A16" s="54">
        <v>13</v>
      </c>
      <c r="B16" s="80" t="str">
        <f>Hakemler!B16</f>
        <v>ŞAHİNTEKİN</v>
      </c>
      <c r="C16" s="81" t="str">
        <f>Hakemler!C16</f>
        <v>MUHAMMED</v>
      </c>
      <c r="D16" s="55"/>
      <c r="E16" s="60">
        <f>IF(ISBLANK(D16),0,ABS(Uzman_E!A$10-D16))</f>
        <v>0</v>
      </c>
      <c r="F16" s="52">
        <f>IF(ISBLANK(D16),0,INDEX(Tablo_E!$B$2:$CX$102,MATCH(ROUND(Uzman_E!A$10,1),Tablo_E!$A$2:$A$102,1),MATCH(ROUND(E16,1),Tablo_E!$B$1:$CX$1,1)))</f>
        <v>0</v>
      </c>
      <c r="G16" s="55"/>
      <c r="H16" s="60">
        <f>IF(ISBLANK(G16),0,ABS(Uzman_E!B$10-G16))</f>
        <v>0</v>
      </c>
      <c r="I16" s="52">
        <f>IF(ISBLANK(G16),0,INDEX(Tablo_E!$B$2:$CX$102,MATCH(ROUND(Uzman_E!B$10,1),Tablo_E!$A$2:$A$102,1),MATCH(ROUND(H16,1),Tablo_E!$B$1:$CX$1,1)))</f>
        <v>0</v>
      </c>
      <c r="J16" s="55"/>
      <c r="K16" s="60">
        <f>IF(ISBLANK(J16),0,ABS(Uzman_E!C$10-J16))</f>
        <v>0</v>
      </c>
      <c r="L16" s="52">
        <f>IF(ISBLANK(J16),0,INDEX(Tablo_E!$B$2:$CX$102,MATCH(ROUND(Uzman_E!C$10,1),Tablo_E!$A$2:$A$102,1),MATCH(ROUND(K16,1),Tablo_E!$B$1:$CX$1,1)))</f>
        <v>0</v>
      </c>
      <c r="M16" s="55"/>
      <c r="N16" s="60">
        <f>IF(ISBLANK(M16),0,ABS(Uzman_E!D$10-M16))</f>
        <v>0</v>
      </c>
      <c r="O16" s="52">
        <f>IF(ISBLANK(M16),0,INDEX(Tablo_E!$B$2:$CX$102,MATCH(ROUND(Uzman_E!D$10,1),Tablo_E!$A$2:$A$102,1),MATCH(ROUND(N16,1),Tablo_E!$B$1:$CX$1,1)))</f>
        <v>0</v>
      </c>
      <c r="P16" s="55"/>
      <c r="Q16" s="60">
        <f>IF(ISBLANK(P16),0,ABS(Uzman_E!E$10-P16))</f>
        <v>0</v>
      </c>
      <c r="R16" s="52">
        <f>IF(ISBLANK(P16),0,INDEX(Tablo_E!$B$2:$CX$102,MATCH(ROUND(Uzman_E!E$10,1),Tablo_E!$A$2:$A$102,1),MATCH(ROUND(Q16,1),Tablo_E!$B$1:$CX$1,1)))</f>
        <v>0</v>
      </c>
      <c r="S16" s="53">
        <f t="shared" si="0"/>
        <v>0</v>
      </c>
      <c r="T16" s="49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x14ac:dyDescent="0.45">
      <c r="A17" s="54">
        <v>14</v>
      </c>
      <c r="B17" s="80" t="str">
        <f>Hakemler!B17</f>
        <v>ERKUT</v>
      </c>
      <c r="C17" s="81" t="str">
        <f>Hakemler!C17</f>
        <v>OYA</v>
      </c>
      <c r="D17" s="55"/>
      <c r="E17" s="60">
        <f>IF(ISBLANK(D17),0,ABS(Uzman_E!A$10-D17))</f>
        <v>0</v>
      </c>
      <c r="F17" s="52">
        <f>IF(ISBLANK(D17),0,INDEX(Tablo_E!$B$2:$CX$102,MATCH(ROUND(Uzman_E!A$10,1),Tablo_E!$A$2:$A$102,1),MATCH(ROUND(E17,1),Tablo_E!$B$1:$CX$1,1)))</f>
        <v>0</v>
      </c>
      <c r="G17" s="55"/>
      <c r="H17" s="60">
        <f>IF(ISBLANK(G17),0,ABS(Uzman_E!B$10-G17))</f>
        <v>0</v>
      </c>
      <c r="I17" s="52">
        <f>IF(ISBLANK(G17),0,INDEX(Tablo_E!$B$2:$CX$102,MATCH(ROUND(Uzman_E!B$10,1),Tablo_E!$A$2:$A$102,1),MATCH(ROUND(H17,1),Tablo_E!$B$1:$CX$1,1)))</f>
        <v>0</v>
      </c>
      <c r="J17" s="55"/>
      <c r="K17" s="60">
        <f>IF(ISBLANK(J17),0,ABS(Uzman_E!C$10-J17))</f>
        <v>0</v>
      </c>
      <c r="L17" s="52">
        <f>IF(ISBLANK(J17),0,INDEX(Tablo_E!$B$2:$CX$102,MATCH(ROUND(Uzman_E!C$10,1),Tablo_E!$A$2:$A$102,1),MATCH(ROUND(K17,1),Tablo_E!$B$1:$CX$1,1)))</f>
        <v>0</v>
      </c>
      <c r="M17" s="55"/>
      <c r="N17" s="60">
        <f>IF(ISBLANK(M17),0,ABS(Uzman_E!D$10-M17))</f>
        <v>0</v>
      </c>
      <c r="O17" s="52">
        <f>IF(ISBLANK(M17),0,INDEX(Tablo_E!$B$2:$CX$102,MATCH(ROUND(Uzman_E!D$10,1),Tablo_E!$A$2:$A$102,1),MATCH(ROUND(N17,1),Tablo_E!$B$1:$CX$1,1)))</f>
        <v>0</v>
      </c>
      <c r="P17" s="55"/>
      <c r="Q17" s="60">
        <f>IF(ISBLANK(P17),0,ABS(Uzman_E!E$10-P17))</f>
        <v>0</v>
      </c>
      <c r="R17" s="52">
        <f>IF(ISBLANK(P17),0,INDEX(Tablo_E!$B$2:$CX$102,MATCH(ROUND(Uzman_E!E$10,1),Tablo_E!$A$2:$A$102,1),MATCH(ROUND(Q17,1),Tablo_E!$B$1:$CX$1,1)))</f>
        <v>0</v>
      </c>
      <c r="S17" s="53">
        <f t="shared" si="0"/>
        <v>0</v>
      </c>
      <c r="T17" s="49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x14ac:dyDescent="0.45">
      <c r="A18" s="54">
        <v>15</v>
      </c>
      <c r="B18" s="80" t="str">
        <f>Hakemler!B18</f>
        <v>GÜMÜŞLÜ</v>
      </c>
      <c r="C18" s="81" t="str">
        <f>Hakemler!C18</f>
        <v>AYSEL</v>
      </c>
      <c r="D18" s="55"/>
      <c r="E18" s="60">
        <f>IF(ISBLANK(D18),0,ABS(Uzman_E!A$10-D18))</f>
        <v>0</v>
      </c>
      <c r="F18" s="52">
        <f>IF(ISBLANK(D18),0,INDEX(Tablo_E!$B$2:$CX$102,MATCH(ROUND(Uzman_E!A$10,1),Tablo_E!$A$2:$A$102,1),MATCH(ROUND(E18,1),Tablo_E!$B$1:$CX$1,1)))</f>
        <v>0</v>
      </c>
      <c r="G18" s="55"/>
      <c r="H18" s="60">
        <f>IF(ISBLANK(G18),0,ABS(Uzman_E!B$10-G18))</f>
        <v>0</v>
      </c>
      <c r="I18" s="52">
        <f>IF(ISBLANK(G18),0,INDEX(Tablo_E!$B$2:$CX$102,MATCH(ROUND(Uzman_E!B$10,1),Tablo_E!$A$2:$A$102,1),MATCH(ROUND(H18,1),Tablo_E!$B$1:$CX$1,1)))</f>
        <v>0</v>
      </c>
      <c r="J18" s="55"/>
      <c r="K18" s="60">
        <f>IF(ISBLANK(J18),0,ABS(Uzman_E!C$10-J18))</f>
        <v>0</v>
      </c>
      <c r="L18" s="52">
        <f>IF(ISBLANK(J18),0,INDEX(Tablo_E!$B$2:$CX$102,MATCH(ROUND(Uzman_E!C$10,1),Tablo_E!$A$2:$A$102,1),MATCH(ROUND(K18,1),Tablo_E!$B$1:$CX$1,1)))</f>
        <v>0</v>
      </c>
      <c r="M18" s="55"/>
      <c r="N18" s="60">
        <f>IF(ISBLANK(M18),0,ABS(Uzman_E!D$10-M18))</f>
        <v>0</v>
      </c>
      <c r="O18" s="52">
        <f>IF(ISBLANK(M18),0,INDEX(Tablo_E!$B$2:$CX$102,MATCH(ROUND(Uzman_E!D$10,1),Tablo_E!$A$2:$A$102,1),MATCH(ROUND(N18,1),Tablo_E!$B$1:$CX$1,1)))</f>
        <v>0</v>
      </c>
      <c r="P18" s="55"/>
      <c r="Q18" s="60">
        <f>IF(ISBLANK(P18),0,ABS(Uzman_E!E$10-P18))</f>
        <v>0</v>
      </c>
      <c r="R18" s="52">
        <f>IF(ISBLANK(P18),0,INDEX(Tablo_E!$B$2:$CX$102,MATCH(ROUND(Uzman_E!E$10,1),Tablo_E!$A$2:$A$102,1),MATCH(ROUND(Q18,1),Tablo_E!$B$1:$CX$1,1)))</f>
        <v>0</v>
      </c>
      <c r="S18" s="53">
        <f t="shared" si="0"/>
        <v>0</v>
      </c>
      <c r="T18" s="4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x14ac:dyDescent="0.45">
      <c r="A19" s="54">
        <v>16</v>
      </c>
      <c r="B19" s="80" t="str">
        <f>Hakemler!B19</f>
        <v>CURA COŞKUN</v>
      </c>
      <c r="C19" s="81" t="str">
        <f>Hakemler!C19</f>
        <v>MELİKE</v>
      </c>
      <c r="D19" s="55"/>
      <c r="E19" s="60">
        <f>IF(ISBLANK(D19),0,ABS(Uzman_E!A$10-D19))</f>
        <v>0</v>
      </c>
      <c r="F19" s="52">
        <f>IF(ISBLANK(D19),0,INDEX(Tablo_E!$B$2:$CX$102,MATCH(ROUND(Uzman_E!A$10,1),Tablo_E!$A$2:$A$102,1),MATCH(ROUND(E19,1),Tablo_E!$B$1:$CX$1,1)))</f>
        <v>0</v>
      </c>
      <c r="G19" s="55"/>
      <c r="H19" s="60">
        <f>IF(ISBLANK(G19),0,ABS(Uzman_E!B$10-G19))</f>
        <v>0</v>
      </c>
      <c r="I19" s="52">
        <f>IF(ISBLANK(G19),0,INDEX(Tablo_E!$B$2:$CX$102,MATCH(ROUND(Uzman_E!B$10,1),Tablo_E!$A$2:$A$102,1),MATCH(ROUND(H19,1),Tablo_E!$B$1:$CX$1,1)))</f>
        <v>0</v>
      </c>
      <c r="J19" s="55"/>
      <c r="K19" s="60">
        <f>IF(ISBLANK(J19),0,ABS(Uzman_E!C$10-J19))</f>
        <v>0</v>
      </c>
      <c r="L19" s="52">
        <f>IF(ISBLANK(J19),0,INDEX(Tablo_E!$B$2:$CX$102,MATCH(ROUND(Uzman_E!C$10,1),Tablo_E!$A$2:$A$102,1),MATCH(ROUND(K19,1),Tablo_E!$B$1:$CX$1,1)))</f>
        <v>0</v>
      </c>
      <c r="M19" s="55"/>
      <c r="N19" s="60">
        <f>IF(ISBLANK(M19),0,ABS(Uzman_E!D$10-M19))</f>
        <v>0</v>
      </c>
      <c r="O19" s="52">
        <f>IF(ISBLANK(M19),0,INDEX(Tablo_E!$B$2:$CX$102,MATCH(ROUND(Uzman_E!D$10,1),Tablo_E!$A$2:$A$102,1),MATCH(ROUND(N19,1),Tablo_E!$B$1:$CX$1,1)))</f>
        <v>0</v>
      </c>
      <c r="P19" s="55"/>
      <c r="Q19" s="60">
        <f>IF(ISBLANK(P19),0,ABS(Uzman_E!E$10-P19))</f>
        <v>0</v>
      </c>
      <c r="R19" s="52">
        <f>IF(ISBLANK(P19),0,INDEX(Tablo_E!$B$2:$CX$102,MATCH(ROUND(Uzman_E!E$10,1),Tablo_E!$A$2:$A$102,1),MATCH(ROUND(Q19,1),Tablo_E!$B$1:$CX$1,1)))</f>
        <v>0</v>
      </c>
      <c r="S19" s="53">
        <f t="shared" si="0"/>
        <v>0</v>
      </c>
      <c r="T19" s="49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x14ac:dyDescent="0.45">
      <c r="A20" s="54">
        <v>17</v>
      </c>
      <c r="B20" s="80" t="str">
        <f>Hakemler!B20</f>
        <v>KENDİRCİ</v>
      </c>
      <c r="C20" s="81" t="str">
        <f>Hakemler!C20</f>
        <v>CEMRE</v>
      </c>
      <c r="D20" s="55"/>
      <c r="E20" s="60">
        <f>IF(ISBLANK(D20),0,ABS(Uzman_E!A$10-D20))</f>
        <v>0</v>
      </c>
      <c r="F20" s="52">
        <f>IF(ISBLANK(D20),0,INDEX(Tablo_E!$B$2:$CX$102,MATCH(ROUND(Uzman_E!A$10,1),Tablo_E!$A$2:$A$102,1),MATCH(ROUND(E20,1),Tablo_E!$B$1:$CX$1,1)))</f>
        <v>0</v>
      </c>
      <c r="G20" s="55"/>
      <c r="H20" s="60">
        <f>IF(ISBLANK(G20),0,ABS(Uzman_E!B$10-G20))</f>
        <v>0</v>
      </c>
      <c r="I20" s="52">
        <f>IF(ISBLANK(G20),0,INDEX(Tablo_E!$B$2:$CX$102,MATCH(ROUND(Uzman_E!B$10,1),Tablo_E!$A$2:$A$102,1),MATCH(ROUND(H20,1),Tablo_E!$B$1:$CX$1,1)))</f>
        <v>0</v>
      </c>
      <c r="J20" s="55"/>
      <c r="K20" s="60">
        <f>IF(ISBLANK(J20),0,ABS(Uzman_E!C$10-J20))</f>
        <v>0</v>
      </c>
      <c r="L20" s="52">
        <f>IF(ISBLANK(J20),0,INDEX(Tablo_E!$B$2:$CX$102,MATCH(ROUND(Uzman_E!C$10,1),Tablo_E!$A$2:$A$102,1),MATCH(ROUND(K20,1),Tablo_E!$B$1:$CX$1,1)))</f>
        <v>0</v>
      </c>
      <c r="M20" s="55"/>
      <c r="N20" s="60">
        <f>IF(ISBLANK(M20),0,ABS(Uzman_E!D$10-M20))</f>
        <v>0</v>
      </c>
      <c r="O20" s="52">
        <f>IF(ISBLANK(M20),0,INDEX(Tablo_E!$B$2:$CX$102,MATCH(ROUND(Uzman_E!D$10,1),Tablo_E!$A$2:$A$102,1),MATCH(ROUND(N20,1),Tablo_E!$B$1:$CX$1,1)))</f>
        <v>0</v>
      </c>
      <c r="P20" s="55"/>
      <c r="Q20" s="60">
        <f>IF(ISBLANK(P20),0,ABS(Uzman_E!E$10-P20))</f>
        <v>0</v>
      </c>
      <c r="R20" s="52">
        <f>IF(ISBLANK(P20),0,INDEX(Tablo_E!$B$2:$CX$102,MATCH(ROUND(Uzman_E!E$10,1),Tablo_E!$A$2:$A$102,1),MATCH(ROUND(Q20,1),Tablo_E!$B$1:$CX$1,1)))</f>
        <v>0</v>
      </c>
      <c r="S20" s="53">
        <f t="shared" si="0"/>
        <v>0</v>
      </c>
      <c r="T20" s="49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x14ac:dyDescent="0.45">
      <c r="A21" s="54">
        <v>18</v>
      </c>
      <c r="B21" s="80" t="str">
        <f>Hakemler!B21</f>
        <v>CANATAN</v>
      </c>
      <c r="C21" s="81" t="str">
        <f>Hakemler!C21</f>
        <v>BEYZA</v>
      </c>
      <c r="D21" s="55"/>
      <c r="E21" s="60">
        <f>IF(ISBLANK(D21),0,ABS(Uzman_E!A$10-D21))</f>
        <v>0</v>
      </c>
      <c r="F21" s="52">
        <f>IF(ISBLANK(D21),0,INDEX(Tablo_E!$B$2:$CX$102,MATCH(ROUND(Uzman_E!A$10,1),Tablo_E!$A$2:$A$102,1),MATCH(ROUND(E21,1),Tablo_E!$B$1:$CX$1,1)))</f>
        <v>0</v>
      </c>
      <c r="G21" s="55"/>
      <c r="H21" s="60">
        <f>IF(ISBLANK(G21),0,ABS(Uzman_E!B$10-G21))</f>
        <v>0</v>
      </c>
      <c r="I21" s="52">
        <f>IF(ISBLANK(G21),0,INDEX(Tablo_E!$B$2:$CX$102,MATCH(ROUND(Uzman_E!B$10,1),Tablo_E!$A$2:$A$102,1),MATCH(ROUND(H21,1),Tablo_E!$B$1:$CX$1,1)))</f>
        <v>0</v>
      </c>
      <c r="J21" s="55"/>
      <c r="K21" s="60">
        <f>IF(ISBLANK(J21),0,ABS(Uzman_E!C$10-J21))</f>
        <v>0</v>
      </c>
      <c r="L21" s="52">
        <f>IF(ISBLANK(J21),0,INDEX(Tablo_E!$B$2:$CX$102,MATCH(ROUND(Uzman_E!C$10,1),Tablo_E!$A$2:$A$102,1),MATCH(ROUND(K21,1),Tablo_E!$B$1:$CX$1,1)))</f>
        <v>0</v>
      </c>
      <c r="M21" s="55"/>
      <c r="N21" s="60">
        <f>IF(ISBLANK(M21),0,ABS(Uzman_E!D$10-M21))</f>
        <v>0</v>
      </c>
      <c r="O21" s="52">
        <f>IF(ISBLANK(M21),0,INDEX(Tablo_E!$B$2:$CX$102,MATCH(ROUND(Uzman_E!D$10,1),Tablo_E!$A$2:$A$102,1),MATCH(ROUND(N21,1),Tablo_E!$B$1:$CX$1,1)))</f>
        <v>0</v>
      </c>
      <c r="P21" s="55"/>
      <c r="Q21" s="60">
        <f>IF(ISBLANK(P21),0,ABS(Uzman_E!E$10-P21))</f>
        <v>0</v>
      </c>
      <c r="R21" s="52">
        <f>IF(ISBLANK(P21),0,INDEX(Tablo_E!$B$2:$CX$102,MATCH(ROUND(Uzman_E!E$10,1),Tablo_E!$A$2:$A$102,1),MATCH(ROUND(Q21,1),Tablo_E!$B$1:$CX$1,1)))</f>
        <v>0</v>
      </c>
      <c r="S21" s="53">
        <f t="shared" si="0"/>
        <v>0</v>
      </c>
      <c r="T21" s="49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x14ac:dyDescent="0.45">
      <c r="A22" s="54">
        <v>19</v>
      </c>
      <c r="B22" s="80" t="str">
        <f>Hakemler!B22</f>
        <v>SAYIN</v>
      </c>
      <c r="C22" s="81" t="str">
        <f>Hakemler!C22</f>
        <v>ZEYNEP TÜRKAN</v>
      </c>
      <c r="D22" s="55"/>
      <c r="E22" s="60">
        <f>IF(ISBLANK(D22),0,ABS(Uzman_E!A$10-D22))</f>
        <v>0</v>
      </c>
      <c r="F22" s="52">
        <f>IF(ISBLANK(D22),0,INDEX(Tablo_E!$B$2:$CX$102,MATCH(ROUND(Uzman_E!A$10,1),Tablo_E!$A$2:$A$102,1),MATCH(ROUND(E22,1),Tablo_E!$B$1:$CX$1,1)))</f>
        <v>0</v>
      </c>
      <c r="G22" s="55"/>
      <c r="H22" s="60">
        <f>IF(ISBLANK(G22),0,ABS(Uzman_E!B$10-G22))</f>
        <v>0</v>
      </c>
      <c r="I22" s="52">
        <f>IF(ISBLANK(G22),0,INDEX(Tablo_E!$B$2:$CX$102,MATCH(ROUND(Uzman_E!B$10,1),Tablo_E!$A$2:$A$102,1),MATCH(ROUND(H22,1),Tablo_E!$B$1:$CX$1,1)))</f>
        <v>0</v>
      </c>
      <c r="J22" s="55"/>
      <c r="K22" s="60">
        <f>IF(ISBLANK(J22),0,ABS(Uzman_E!C$10-J22))</f>
        <v>0</v>
      </c>
      <c r="L22" s="52">
        <f>IF(ISBLANK(J22),0,INDEX(Tablo_E!$B$2:$CX$102,MATCH(ROUND(Uzman_E!C$10,1),Tablo_E!$A$2:$A$102,1),MATCH(ROUND(K22,1),Tablo_E!$B$1:$CX$1,1)))</f>
        <v>0</v>
      </c>
      <c r="M22" s="55"/>
      <c r="N22" s="60">
        <f>IF(ISBLANK(M22),0,ABS(Uzman_E!D$10-M22))</f>
        <v>0</v>
      </c>
      <c r="O22" s="52">
        <f>IF(ISBLANK(M22),0,INDEX(Tablo_E!$B$2:$CX$102,MATCH(ROUND(Uzman_E!D$10,1),Tablo_E!$A$2:$A$102,1),MATCH(ROUND(N22,1),Tablo_E!$B$1:$CX$1,1)))</f>
        <v>0</v>
      </c>
      <c r="P22" s="55"/>
      <c r="Q22" s="60">
        <f>IF(ISBLANK(P22),0,ABS(Uzman_E!E$10-P22))</f>
        <v>0</v>
      </c>
      <c r="R22" s="52">
        <f>IF(ISBLANK(P22),0,INDEX(Tablo_E!$B$2:$CX$102,MATCH(ROUND(Uzman_E!E$10,1),Tablo_E!$A$2:$A$102,1),MATCH(ROUND(Q22,1),Tablo_E!$B$1:$CX$1,1)))</f>
        <v>0</v>
      </c>
      <c r="S22" s="53">
        <f t="shared" si="0"/>
        <v>0</v>
      </c>
      <c r="T22" s="49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x14ac:dyDescent="0.45">
      <c r="A23" s="54">
        <v>20</v>
      </c>
      <c r="B23" s="80" t="str">
        <f>Hakemler!B23</f>
        <v>ÖNER AĞAN</v>
      </c>
      <c r="C23" s="81" t="str">
        <f>Hakemler!C23</f>
        <v>DERYA</v>
      </c>
      <c r="D23" s="55"/>
      <c r="E23" s="60">
        <f>IF(ISBLANK(D23),0,ABS(Uzman_E!A$10-D23))</f>
        <v>0</v>
      </c>
      <c r="F23" s="52">
        <f>IF(ISBLANK(D23),0,INDEX(Tablo_E!$B$2:$CX$102,MATCH(ROUND(Uzman_E!A$10,1),Tablo_E!$A$2:$A$102,1),MATCH(ROUND(E23,1),Tablo_E!$B$1:$CX$1,1)))</f>
        <v>0</v>
      </c>
      <c r="G23" s="55"/>
      <c r="H23" s="60">
        <f>IF(ISBLANK(G23),0,ABS(Uzman_E!B$10-G23))</f>
        <v>0</v>
      </c>
      <c r="I23" s="52">
        <f>IF(ISBLANK(G23),0,INDEX(Tablo_E!$B$2:$CX$102,MATCH(ROUND(Uzman_E!B$10,1),Tablo_E!$A$2:$A$102,1),MATCH(ROUND(H23,1),Tablo_E!$B$1:$CX$1,1)))</f>
        <v>0</v>
      </c>
      <c r="J23" s="55"/>
      <c r="K23" s="60">
        <f>IF(ISBLANK(J23),0,ABS(Uzman_E!C$10-J23))</f>
        <v>0</v>
      </c>
      <c r="L23" s="52">
        <f>IF(ISBLANK(J23),0,INDEX(Tablo_E!$B$2:$CX$102,MATCH(ROUND(Uzman_E!C$10,1),Tablo_E!$A$2:$A$102,1),MATCH(ROUND(K23,1),Tablo_E!$B$1:$CX$1,1)))</f>
        <v>0</v>
      </c>
      <c r="M23" s="55"/>
      <c r="N23" s="60">
        <f>IF(ISBLANK(M23),0,ABS(Uzman_E!D$10-M23))</f>
        <v>0</v>
      </c>
      <c r="O23" s="52">
        <f>IF(ISBLANK(M23),0,INDEX(Tablo_E!$B$2:$CX$102,MATCH(ROUND(Uzman_E!D$10,1),Tablo_E!$A$2:$A$102,1),MATCH(ROUND(N23,1),Tablo_E!$B$1:$CX$1,1)))</f>
        <v>0</v>
      </c>
      <c r="P23" s="55"/>
      <c r="Q23" s="60">
        <f>IF(ISBLANK(P23),0,ABS(Uzman_E!E$10-P23))</f>
        <v>0</v>
      </c>
      <c r="R23" s="52">
        <f>IF(ISBLANK(P23),0,INDEX(Tablo_E!$B$2:$CX$102,MATCH(ROUND(Uzman_E!E$10,1),Tablo_E!$A$2:$A$102,1),MATCH(ROUND(Q23,1),Tablo_E!$B$1:$CX$1,1)))</f>
        <v>0</v>
      </c>
      <c r="S23" s="53">
        <f t="shared" si="0"/>
        <v>0</v>
      </c>
      <c r="T23" s="49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x14ac:dyDescent="0.45">
      <c r="A24" s="54">
        <v>21</v>
      </c>
      <c r="B24" s="158" t="str">
        <f>Hakemler!B24</f>
        <v>ABACI</v>
      </c>
      <c r="C24" s="159" t="str">
        <f>Hakemler!C24</f>
        <v>BUSE</v>
      </c>
      <c r="D24" s="55">
        <v>3.3</v>
      </c>
      <c r="E24" s="60">
        <f>IF(ISBLANK(D24),0,ABS(Uzman_E!A$10-D24))</f>
        <v>0.20000000000000018</v>
      </c>
      <c r="F24" s="52">
        <f>IF(ISBLANK(D24),0,INDEX(Tablo_E!$B$2:$CX$102,MATCH(ROUND(Uzman_E!A$10,1),Tablo_E!$A$2:$A$102,1),MATCH(ROUND(E24,1),Tablo_E!$B$1:$CX$1,1)))</f>
        <v>1</v>
      </c>
      <c r="G24" s="55">
        <v>3.6</v>
      </c>
      <c r="H24" s="60">
        <f>IF(ISBLANK(G24),0,ABS(Uzman_E!B$10-G24))</f>
        <v>1.1999999999999997</v>
      </c>
      <c r="I24" s="52">
        <f>IF(ISBLANK(G24),0,INDEX(Tablo_E!$B$2:$CX$102,MATCH(ROUND(Uzman_E!B$10,1),Tablo_E!$A$2:$A$102,1),MATCH(ROUND(H24,1),Tablo_E!$B$1:$CX$1,1)))</f>
        <v>0.3</v>
      </c>
      <c r="J24" s="55">
        <v>2.9</v>
      </c>
      <c r="K24" s="60">
        <f>IF(ISBLANK(J24),0,ABS(Uzman_E!C$10-J24))</f>
        <v>0.20000000000000018</v>
      </c>
      <c r="L24" s="52">
        <f>IF(ISBLANK(J24),0,INDEX(Tablo_E!$B$2:$CX$102,MATCH(ROUND(Uzman_E!C$10,1),Tablo_E!$A$2:$A$102,1),MATCH(ROUND(K24,1),Tablo_E!$B$1:$CX$1,1)))</f>
        <v>1</v>
      </c>
      <c r="M24" s="55">
        <v>2.8</v>
      </c>
      <c r="N24" s="60">
        <f>IF(ISBLANK(M24),0,ABS(Uzman_E!D$10-M24))</f>
        <v>0.60000000000000009</v>
      </c>
      <c r="O24" s="52">
        <f>IF(ISBLANK(M24),0,INDEX(Tablo_E!$B$2:$CX$102,MATCH(ROUND(Uzman_E!D$10,1),Tablo_E!$A$2:$A$102,1),MATCH(ROUND(N24,1),Tablo_E!$B$1:$CX$1,1)))</f>
        <v>0.85</v>
      </c>
      <c r="P24" s="55">
        <v>3.9</v>
      </c>
      <c r="Q24" s="60">
        <f>IF(ISBLANK(P24),0,ABS(Uzman_E!E$10-P24))</f>
        <v>0</v>
      </c>
      <c r="R24" s="52">
        <f>IF(ISBLANK(P24),0,INDEX(Tablo_E!$B$2:$CX$102,MATCH(ROUND(Uzman_E!E$10,1),Tablo_E!$A$2:$A$102,1),MATCH(ROUND(Q24,1),Tablo_E!$B$1:$CX$1,1)))</f>
        <v>1</v>
      </c>
      <c r="S24" s="53">
        <f t="shared" si="0"/>
        <v>0.83000000000000007</v>
      </c>
      <c r="T24" s="49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x14ac:dyDescent="0.45">
      <c r="A25" s="54">
        <v>22</v>
      </c>
      <c r="B25" s="158" t="str">
        <f>Hakemler!B25</f>
        <v>KARAKAŞ</v>
      </c>
      <c r="C25" s="159" t="str">
        <f>Hakemler!C25</f>
        <v>TAHİR</v>
      </c>
      <c r="D25" s="55">
        <v>3.3</v>
      </c>
      <c r="E25" s="60">
        <f>IF(ISBLANK(D25),0,ABS(Uzman_E!A$10-D25))</f>
        <v>0.20000000000000018</v>
      </c>
      <c r="F25" s="52">
        <f>IF(ISBLANK(D25),0,INDEX(Tablo_E!$B$2:$CX$102,MATCH(ROUND(Uzman_E!A$10,1),Tablo_E!$A$2:$A$102,1),MATCH(ROUND(E25,1),Tablo_E!$B$1:$CX$1,1)))</f>
        <v>1</v>
      </c>
      <c r="G25" s="55">
        <v>4.9000000000000004</v>
      </c>
      <c r="H25" s="60">
        <f>IF(ISBLANK(G25),0,ABS(Uzman_E!B$10-G25))</f>
        <v>0.10000000000000053</v>
      </c>
      <c r="I25" s="52">
        <f>IF(ISBLANK(G25),0,INDEX(Tablo_E!$B$2:$CX$102,MATCH(ROUND(Uzman_E!B$10,1),Tablo_E!$A$2:$A$102,1),MATCH(ROUND(H25,1),Tablo_E!$B$1:$CX$1,1)))</f>
        <v>1</v>
      </c>
      <c r="J25" s="55">
        <v>2.4</v>
      </c>
      <c r="K25" s="60">
        <f>IF(ISBLANK(J25),0,ABS(Uzman_E!C$10-J25))</f>
        <v>0.70000000000000018</v>
      </c>
      <c r="L25" s="52">
        <f>IF(ISBLANK(J25),0,INDEX(Tablo_E!$B$2:$CX$102,MATCH(ROUND(Uzman_E!C$10,1),Tablo_E!$A$2:$A$102,1),MATCH(ROUND(K25,1),Tablo_E!$B$1:$CX$1,1)))</f>
        <v>0.8</v>
      </c>
      <c r="M25" s="55">
        <v>3.9</v>
      </c>
      <c r="N25" s="60">
        <f>IF(ISBLANK(M25),0,ABS(Uzman_E!D$10-M25))</f>
        <v>0.5</v>
      </c>
      <c r="O25" s="52">
        <f>IF(ISBLANK(M25),0,INDEX(Tablo_E!$B$2:$CX$102,MATCH(ROUND(Uzman_E!D$10,1),Tablo_E!$A$2:$A$102,1),MATCH(ROUND(N25,1),Tablo_E!$B$1:$CX$1,1)))</f>
        <v>0.95</v>
      </c>
      <c r="P25" s="55">
        <v>4</v>
      </c>
      <c r="Q25" s="60">
        <f>IF(ISBLANK(P25),0,ABS(Uzman_E!E$10-P25))</f>
        <v>0.10000000000000009</v>
      </c>
      <c r="R25" s="52">
        <f>IF(ISBLANK(P25),0,INDEX(Tablo_E!$B$2:$CX$102,MATCH(ROUND(Uzman_E!E$10,1),Tablo_E!$A$2:$A$102,1),MATCH(ROUND(Q25,1),Tablo_E!$B$1:$CX$1,1)))</f>
        <v>1</v>
      </c>
      <c r="S25" s="53">
        <f t="shared" si="0"/>
        <v>0.95</v>
      </c>
      <c r="T25" s="49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x14ac:dyDescent="0.45">
      <c r="A26" s="54">
        <v>23</v>
      </c>
      <c r="B26" s="158" t="str">
        <f>Hakemler!B26</f>
        <v>SAVAŞ OK</v>
      </c>
      <c r="C26" s="159" t="str">
        <f>Hakemler!C26</f>
        <v>DİLAY</v>
      </c>
      <c r="D26" s="55">
        <v>3.2</v>
      </c>
      <c r="E26" s="60">
        <f>IF(ISBLANK(D26),0,ABS(Uzman_E!A$10-D26))</f>
        <v>0.29999999999999982</v>
      </c>
      <c r="F26" s="52">
        <f>IF(ISBLANK(D26),0,INDEX(Tablo_E!$B$2:$CX$102,MATCH(ROUND(Uzman_E!A$10,1),Tablo_E!$A$2:$A$102,1),MATCH(ROUND(E26,1),Tablo_E!$B$1:$CX$1,1)))</f>
        <v>1</v>
      </c>
      <c r="G26" s="55">
        <v>4.0999999999999996</v>
      </c>
      <c r="H26" s="60">
        <f>IF(ISBLANK(G26),0,ABS(Uzman_E!B$10-G26))</f>
        <v>0.70000000000000018</v>
      </c>
      <c r="I26" s="52">
        <f>IF(ISBLANK(G26),0,INDEX(Tablo_E!$B$2:$CX$102,MATCH(ROUND(Uzman_E!B$10,1),Tablo_E!$A$2:$A$102,1),MATCH(ROUND(H26,1),Tablo_E!$B$1:$CX$1,1)))</f>
        <v>0.8</v>
      </c>
      <c r="J26" s="55">
        <v>2.6</v>
      </c>
      <c r="K26" s="60">
        <f>IF(ISBLANK(J26),0,ABS(Uzman_E!C$10-J26))</f>
        <v>0.5</v>
      </c>
      <c r="L26" s="52">
        <f>IF(ISBLANK(J26),0,INDEX(Tablo_E!$B$2:$CX$102,MATCH(ROUND(Uzman_E!C$10,1),Tablo_E!$A$2:$A$102,1),MATCH(ROUND(K26,1),Tablo_E!$B$1:$CX$1,1)))</f>
        <v>0.95</v>
      </c>
      <c r="M26" s="55">
        <v>3.4</v>
      </c>
      <c r="N26" s="60">
        <f>IF(ISBLANK(M26),0,ABS(Uzman_E!D$10-M26))</f>
        <v>0</v>
      </c>
      <c r="O26" s="52">
        <f>IF(ISBLANK(M26),0,INDEX(Tablo_E!$B$2:$CX$102,MATCH(ROUND(Uzman_E!D$10,1),Tablo_E!$A$2:$A$102,1),MATCH(ROUND(N26,1),Tablo_E!$B$1:$CX$1,1)))</f>
        <v>1</v>
      </c>
      <c r="P26" s="55">
        <v>4.9000000000000004</v>
      </c>
      <c r="Q26" s="60">
        <f>IF(ISBLANK(P26),0,ABS(Uzman_E!E$10-P26))</f>
        <v>1.0000000000000004</v>
      </c>
      <c r="R26" s="52">
        <f>IF(ISBLANK(P26),0,INDEX(Tablo_E!$B$2:$CX$102,MATCH(ROUND(Uzman_E!E$10,1),Tablo_E!$A$2:$A$102,1),MATCH(ROUND(Q26,1),Tablo_E!$B$1:$CX$1,1)))</f>
        <v>0.5</v>
      </c>
      <c r="S26" s="53">
        <f t="shared" si="0"/>
        <v>0.85</v>
      </c>
      <c r="T26" s="49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x14ac:dyDescent="0.45">
      <c r="A27" s="54">
        <v>24</v>
      </c>
      <c r="B27" s="158" t="str">
        <f>Hakemler!B27</f>
        <v>AYDEMİR</v>
      </c>
      <c r="C27" s="159" t="str">
        <f>Hakemler!C27</f>
        <v>AYŞE DİLARA</v>
      </c>
      <c r="D27" s="55">
        <v>3.8</v>
      </c>
      <c r="E27" s="60">
        <f>IF(ISBLANK(D27),0,ABS(Uzman_E!A$10-D27))</f>
        <v>0.29999999999999982</v>
      </c>
      <c r="F27" s="52">
        <f>IF(ISBLANK(D27),0,INDEX(Tablo_E!$B$2:$CX$102,MATCH(ROUND(Uzman_E!A$10,1),Tablo_E!$A$2:$A$102,1),MATCH(ROUND(E27,1),Tablo_E!$B$1:$CX$1,1)))</f>
        <v>1</v>
      </c>
      <c r="G27" s="55">
        <v>4.5999999999999996</v>
      </c>
      <c r="H27" s="60">
        <f>IF(ISBLANK(G27),0,ABS(Uzman_E!B$10-G27))</f>
        <v>0.20000000000000018</v>
      </c>
      <c r="I27" s="52">
        <f>IF(ISBLANK(G27),0,INDEX(Tablo_E!$B$2:$CX$102,MATCH(ROUND(Uzman_E!B$10,1),Tablo_E!$A$2:$A$102,1),MATCH(ROUND(H27,1),Tablo_E!$B$1:$CX$1,1)))</f>
        <v>1</v>
      </c>
      <c r="J27" s="55">
        <v>3.4</v>
      </c>
      <c r="K27" s="60">
        <f>IF(ISBLANK(J27),0,ABS(Uzman_E!C$10-J27))</f>
        <v>0.29999999999999982</v>
      </c>
      <c r="L27" s="52">
        <f>IF(ISBLANK(J27),0,INDEX(Tablo_E!$B$2:$CX$102,MATCH(ROUND(Uzman_E!C$10,1),Tablo_E!$A$2:$A$102,1),MATCH(ROUND(K27,1),Tablo_E!$B$1:$CX$1,1)))</f>
        <v>1</v>
      </c>
      <c r="M27" s="55">
        <v>3.8</v>
      </c>
      <c r="N27" s="60">
        <f>IF(ISBLANK(M27),0,ABS(Uzman_E!D$10-M27))</f>
        <v>0.39999999999999991</v>
      </c>
      <c r="O27" s="52">
        <f>IF(ISBLANK(M27),0,INDEX(Tablo_E!$B$2:$CX$102,MATCH(ROUND(Uzman_E!D$10,1),Tablo_E!$A$2:$A$102,1),MATCH(ROUND(N27,1),Tablo_E!$B$1:$CX$1,1)))</f>
        <v>1</v>
      </c>
      <c r="P27" s="55">
        <v>5</v>
      </c>
      <c r="Q27" s="60">
        <f>IF(ISBLANK(P27),0,ABS(Uzman_E!E$10-P27))</f>
        <v>1.1000000000000001</v>
      </c>
      <c r="R27" s="52">
        <f>IF(ISBLANK(P27),0,INDEX(Tablo_E!$B$2:$CX$102,MATCH(ROUND(Uzman_E!E$10,1),Tablo_E!$A$2:$A$102,1),MATCH(ROUND(Q27,1),Tablo_E!$B$1:$CX$1,1)))</f>
        <v>0.4</v>
      </c>
      <c r="S27" s="53">
        <f t="shared" si="0"/>
        <v>0.88000000000000012</v>
      </c>
      <c r="T27" s="49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x14ac:dyDescent="0.45">
      <c r="A28" s="54">
        <v>25</v>
      </c>
      <c r="B28" s="158" t="str">
        <f>Hakemler!B28</f>
        <v>AKIN</v>
      </c>
      <c r="C28" s="159" t="str">
        <f>Hakemler!C28</f>
        <v>MANOLYA</v>
      </c>
      <c r="D28" s="55">
        <v>2.9</v>
      </c>
      <c r="E28" s="60">
        <f>IF(ISBLANK(D28),0,ABS(Uzman_E!A$10-D28))</f>
        <v>0.60000000000000009</v>
      </c>
      <c r="F28" s="52">
        <f>IF(ISBLANK(D28),0,INDEX(Tablo_E!$B$2:$CX$102,MATCH(ROUND(Uzman_E!A$10,1),Tablo_E!$A$2:$A$102,1),MATCH(ROUND(E28,1),Tablo_E!$B$1:$CX$1,1)))</f>
        <v>0.85</v>
      </c>
      <c r="G28" s="55">
        <v>4.3</v>
      </c>
      <c r="H28" s="60">
        <f>IF(ISBLANK(G28),0,ABS(Uzman_E!B$10-G28))</f>
        <v>0.5</v>
      </c>
      <c r="I28" s="52">
        <f>IF(ISBLANK(G28),0,INDEX(Tablo_E!$B$2:$CX$102,MATCH(ROUND(Uzman_E!B$10,1),Tablo_E!$A$2:$A$102,1),MATCH(ROUND(H28,1),Tablo_E!$B$1:$CX$1,1)))</f>
        <v>0.95</v>
      </c>
      <c r="J28" s="55">
        <v>2.5</v>
      </c>
      <c r="K28" s="60">
        <f>IF(ISBLANK(J28),0,ABS(Uzman_E!C$10-J28))</f>
        <v>0.60000000000000009</v>
      </c>
      <c r="L28" s="52">
        <f>IF(ISBLANK(J28),0,INDEX(Tablo_E!$B$2:$CX$102,MATCH(ROUND(Uzman_E!C$10,1),Tablo_E!$A$2:$A$102,1),MATCH(ROUND(K28,1),Tablo_E!$B$1:$CX$1,1)))</f>
        <v>0.85</v>
      </c>
      <c r="M28" s="55">
        <v>3.2</v>
      </c>
      <c r="N28" s="60">
        <f>IF(ISBLANK(M28),0,ABS(Uzman_E!D$10-M28))</f>
        <v>0.19999999999999973</v>
      </c>
      <c r="O28" s="52">
        <f>IF(ISBLANK(M28),0,INDEX(Tablo_E!$B$2:$CX$102,MATCH(ROUND(Uzman_E!D$10,1),Tablo_E!$A$2:$A$102,1),MATCH(ROUND(N28,1),Tablo_E!$B$1:$CX$1,1)))</f>
        <v>1</v>
      </c>
      <c r="P28" s="55">
        <v>2.8</v>
      </c>
      <c r="Q28" s="60">
        <f>IF(ISBLANK(P28),0,ABS(Uzman_E!E$10-P28))</f>
        <v>1.1000000000000001</v>
      </c>
      <c r="R28" s="52">
        <f>IF(ISBLANK(P28),0,INDEX(Tablo_E!$B$2:$CX$102,MATCH(ROUND(Uzman_E!E$10,1),Tablo_E!$A$2:$A$102,1),MATCH(ROUND(Q28,1),Tablo_E!$B$1:$CX$1,1)))</f>
        <v>0.4</v>
      </c>
      <c r="S28" s="53">
        <f t="shared" si="0"/>
        <v>0.80999999999999994</v>
      </c>
      <c r="T28" s="49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x14ac:dyDescent="0.45">
      <c r="A29" s="54">
        <v>26</v>
      </c>
      <c r="B29" s="158" t="str">
        <f>Hakemler!B29</f>
        <v>PINAR</v>
      </c>
      <c r="C29" s="159" t="str">
        <f>Hakemler!C29</f>
        <v>YELİZ</v>
      </c>
      <c r="D29" s="55">
        <v>3.6</v>
      </c>
      <c r="E29" s="60">
        <f>IF(ISBLANK(D29),0,ABS(Uzman_E!A$10-D29))</f>
        <v>0.10000000000000009</v>
      </c>
      <c r="F29" s="52">
        <f>IF(ISBLANK(D29),0,INDEX(Tablo_E!$B$2:$CX$102,MATCH(ROUND(Uzman_E!A$10,1),Tablo_E!$A$2:$A$102,1),MATCH(ROUND(E29,1),Tablo_E!$B$1:$CX$1,1)))</f>
        <v>1</v>
      </c>
      <c r="G29" s="55">
        <v>3.3</v>
      </c>
      <c r="H29" s="60">
        <f>IF(ISBLANK(G29),0,ABS(Uzman_E!B$10-G29))</f>
        <v>1.5</v>
      </c>
      <c r="I29" s="52">
        <f>IF(ISBLANK(G29),0,INDEX(Tablo_E!$B$2:$CX$102,MATCH(ROUND(Uzman_E!B$10,1),Tablo_E!$A$2:$A$102,1),MATCH(ROUND(H29,1),Tablo_E!$B$1:$CX$1,1)))</f>
        <v>0</v>
      </c>
      <c r="J29" s="55">
        <v>2.5</v>
      </c>
      <c r="K29" s="60">
        <f>IF(ISBLANK(J29),0,ABS(Uzman_E!C$10-J29))</f>
        <v>0.60000000000000009</v>
      </c>
      <c r="L29" s="52">
        <f>IF(ISBLANK(J29),0,INDEX(Tablo_E!$B$2:$CX$102,MATCH(ROUND(Uzman_E!C$10,1),Tablo_E!$A$2:$A$102,1),MATCH(ROUND(K29,1),Tablo_E!$B$1:$CX$1,1)))</f>
        <v>0.85</v>
      </c>
      <c r="M29" s="55">
        <v>3.5</v>
      </c>
      <c r="N29" s="60">
        <f>IF(ISBLANK(M29),0,ABS(Uzman_E!D$10-M29))</f>
        <v>0.10000000000000009</v>
      </c>
      <c r="O29" s="52">
        <f>IF(ISBLANK(M29),0,INDEX(Tablo_E!$B$2:$CX$102,MATCH(ROUND(Uzman_E!D$10,1),Tablo_E!$A$2:$A$102,1),MATCH(ROUND(N29,1),Tablo_E!$B$1:$CX$1,1)))</f>
        <v>1</v>
      </c>
      <c r="P29" s="55">
        <v>3.3</v>
      </c>
      <c r="Q29" s="60">
        <f>IF(ISBLANK(P29),0,ABS(Uzman_E!E$10-P29))</f>
        <v>0.60000000000000009</v>
      </c>
      <c r="R29" s="52">
        <f>IF(ISBLANK(P29),0,INDEX(Tablo_E!$B$2:$CX$102,MATCH(ROUND(Uzman_E!E$10,1),Tablo_E!$A$2:$A$102,1),MATCH(ROUND(Q29,1),Tablo_E!$B$1:$CX$1,1)))</f>
        <v>0.85</v>
      </c>
      <c r="S29" s="53">
        <f t="shared" si="0"/>
        <v>0.74</v>
      </c>
      <c r="T29" s="49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x14ac:dyDescent="0.45">
      <c r="A30" s="54">
        <v>27</v>
      </c>
      <c r="B30" s="158" t="str">
        <f>Hakemler!B30</f>
        <v>KATRANCI</v>
      </c>
      <c r="C30" s="159" t="str">
        <f>Hakemler!C30</f>
        <v>AYŞEN</v>
      </c>
      <c r="D30" s="55">
        <v>2.9</v>
      </c>
      <c r="E30" s="60">
        <f>IF(ISBLANK(D30),0,ABS(Uzman_E!A$10-D30))</f>
        <v>0.60000000000000009</v>
      </c>
      <c r="F30" s="52">
        <f>IF(ISBLANK(D30),0,INDEX(Tablo_E!$B$2:$CX$102,MATCH(ROUND(Uzman_E!A$10,1),Tablo_E!$A$2:$A$102,1),MATCH(ROUND(E30,1),Tablo_E!$B$1:$CX$1,1)))</f>
        <v>0.85</v>
      </c>
      <c r="G30" s="55">
        <v>3.1</v>
      </c>
      <c r="H30" s="60">
        <f>IF(ISBLANK(G30),0,ABS(Uzman_E!B$10-G30))</f>
        <v>1.6999999999999997</v>
      </c>
      <c r="I30" s="52">
        <f>IF(ISBLANK(G30),0,INDEX(Tablo_E!$B$2:$CX$102,MATCH(ROUND(Uzman_E!B$10,1),Tablo_E!$A$2:$A$102,1),MATCH(ROUND(H30,1),Tablo_E!$B$1:$CX$1,1)))</f>
        <v>0</v>
      </c>
      <c r="J30" s="55">
        <v>2.1</v>
      </c>
      <c r="K30" s="60">
        <f>IF(ISBLANK(J30),0,ABS(Uzman_E!C$10-J30))</f>
        <v>1</v>
      </c>
      <c r="L30" s="52">
        <f>IF(ISBLANK(J30),0,INDEX(Tablo_E!$B$2:$CX$102,MATCH(ROUND(Uzman_E!C$10,1),Tablo_E!$A$2:$A$102,1),MATCH(ROUND(K30,1),Tablo_E!$B$1:$CX$1,1)))</f>
        <v>0.5</v>
      </c>
      <c r="M30" s="55">
        <v>2.5</v>
      </c>
      <c r="N30" s="60">
        <f>IF(ISBLANK(M30),0,ABS(Uzman_E!D$10-M30))</f>
        <v>0.89999999999999991</v>
      </c>
      <c r="O30" s="52">
        <f>IF(ISBLANK(M30),0,INDEX(Tablo_E!$B$2:$CX$102,MATCH(ROUND(Uzman_E!D$10,1),Tablo_E!$A$2:$A$102,1),MATCH(ROUND(N30,1),Tablo_E!$B$1:$CX$1,1)))</f>
        <v>0.6</v>
      </c>
      <c r="P30" s="55">
        <v>2.9</v>
      </c>
      <c r="Q30" s="60">
        <f>IF(ISBLANK(P30),0,ABS(Uzman_E!E$10-P30))</f>
        <v>1</v>
      </c>
      <c r="R30" s="52">
        <f>IF(ISBLANK(P30),0,INDEX(Tablo_E!$B$2:$CX$102,MATCH(ROUND(Uzman_E!E$10,1),Tablo_E!$A$2:$A$102,1),MATCH(ROUND(Q30,1),Tablo_E!$B$1:$CX$1,1)))</f>
        <v>0.5</v>
      </c>
      <c r="S30" s="53">
        <f t="shared" si="0"/>
        <v>0.49000000000000005</v>
      </c>
      <c r="T30" s="49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x14ac:dyDescent="0.45">
      <c r="A31" s="54">
        <v>28</v>
      </c>
      <c r="B31" s="158" t="str">
        <f>Hakemler!B31</f>
        <v>GÜRKAN KİRAZ</v>
      </c>
      <c r="C31" s="159" t="str">
        <f>Hakemler!C31</f>
        <v>FULYA</v>
      </c>
      <c r="D31" s="55">
        <v>3.8</v>
      </c>
      <c r="E31" s="60">
        <f>IF(ISBLANK(D31),0,ABS(Uzman_E!A$10-D31))</f>
        <v>0.29999999999999982</v>
      </c>
      <c r="F31" s="52">
        <f>IF(ISBLANK(D31),0,INDEX(Tablo_E!$B$2:$CX$102,MATCH(ROUND(Uzman_E!A$10,1),Tablo_E!$A$2:$A$102,1),MATCH(ROUND(E31,1),Tablo_E!$B$1:$CX$1,1)))</f>
        <v>1</v>
      </c>
      <c r="G31" s="55">
        <v>4.2</v>
      </c>
      <c r="H31" s="60">
        <f>IF(ISBLANK(G31),0,ABS(Uzman_E!B$10-G31))</f>
        <v>0.59999999999999964</v>
      </c>
      <c r="I31" s="52">
        <f>IF(ISBLANK(G31),0,INDEX(Tablo_E!$B$2:$CX$102,MATCH(ROUND(Uzman_E!B$10,1),Tablo_E!$A$2:$A$102,1),MATCH(ROUND(H31,1),Tablo_E!$B$1:$CX$1,1)))</f>
        <v>0.85</v>
      </c>
      <c r="J31" s="55">
        <v>2.4</v>
      </c>
      <c r="K31" s="60">
        <f>IF(ISBLANK(J31),0,ABS(Uzman_E!C$10-J31))</f>
        <v>0.70000000000000018</v>
      </c>
      <c r="L31" s="52">
        <f>IF(ISBLANK(J31),0,INDEX(Tablo_E!$B$2:$CX$102,MATCH(ROUND(Uzman_E!C$10,1),Tablo_E!$A$2:$A$102,1),MATCH(ROUND(K31,1),Tablo_E!$B$1:$CX$1,1)))</f>
        <v>0.8</v>
      </c>
      <c r="M31" s="55">
        <v>3.1</v>
      </c>
      <c r="N31" s="60">
        <f>IF(ISBLANK(M31),0,ABS(Uzman_E!D$10-M31))</f>
        <v>0.29999999999999982</v>
      </c>
      <c r="O31" s="52">
        <f>IF(ISBLANK(M31),0,INDEX(Tablo_E!$B$2:$CX$102,MATCH(ROUND(Uzman_E!D$10,1),Tablo_E!$A$2:$A$102,1),MATCH(ROUND(N31,1),Tablo_E!$B$1:$CX$1,1)))</f>
        <v>1</v>
      </c>
      <c r="P31" s="55">
        <v>3.8</v>
      </c>
      <c r="Q31" s="60">
        <f>IF(ISBLANK(P31),0,ABS(Uzman_E!E$10-P31))</f>
        <v>0.10000000000000009</v>
      </c>
      <c r="R31" s="52">
        <f>IF(ISBLANK(P31),0,INDEX(Tablo_E!$B$2:$CX$102,MATCH(ROUND(Uzman_E!E$10,1),Tablo_E!$A$2:$A$102,1),MATCH(ROUND(Q31,1),Tablo_E!$B$1:$CX$1,1)))</f>
        <v>1</v>
      </c>
      <c r="S31" s="53">
        <f t="shared" si="0"/>
        <v>0.93</v>
      </c>
      <c r="T31" s="49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x14ac:dyDescent="0.45">
      <c r="A32" s="54">
        <v>29</v>
      </c>
      <c r="B32" s="158" t="str">
        <f>Hakemler!B32</f>
        <v>KILIÇ</v>
      </c>
      <c r="C32" s="159" t="str">
        <f>Hakemler!C32</f>
        <v>AYŞE</v>
      </c>
      <c r="D32" s="55">
        <v>4.7</v>
      </c>
      <c r="E32" s="60">
        <f>IF(ISBLANK(D32),0,ABS(Uzman_E!A$10-D32))</f>
        <v>1.2000000000000002</v>
      </c>
      <c r="F32" s="52">
        <f>IF(ISBLANK(D32),0,INDEX(Tablo_E!$B$2:$CX$102,MATCH(ROUND(Uzman_E!A$10,1),Tablo_E!$A$2:$A$102,1),MATCH(ROUND(E32,1),Tablo_E!$B$1:$CX$1,1)))</f>
        <v>0.3</v>
      </c>
      <c r="G32" s="55">
        <v>4.9000000000000004</v>
      </c>
      <c r="H32" s="60">
        <f>IF(ISBLANK(G32),0,ABS(Uzman_E!B$10-G32))</f>
        <v>0.10000000000000053</v>
      </c>
      <c r="I32" s="52">
        <f>IF(ISBLANK(G32),0,INDEX(Tablo_E!$B$2:$CX$102,MATCH(ROUND(Uzman_E!B$10,1),Tablo_E!$A$2:$A$102,1),MATCH(ROUND(H32,1),Tablo_E!$B$1:$CX$1,1)))</f>
        <v>1</v>
      </c>
      <c r="J32" s="55">
        <v>3.5</v>
      </c>
      <c r="K32" s="60">
        <f>IF(ISBLANK(J32),0,ABS(Uzman_E!C$10-J32))</f>
        <v>0.39999999999999991</v>
      </c>
      <c r="L32" s="52">
        <f>IF(ISBLANK(J32),0,INDEX(Tablo_E!$B$2:$CX$102,MATCH(ROUND(Uzman_E!C$10,1),Tablo_E!$A$2:$A$102,1),MATCH(ROUND(K32,1),Tablo_E!$B$1:$CX$1,1)))</f>
        <v>1</v>
      </c>
      <c r="M32" s="55">
        <v>3.9</v>
      </c>
      <c r="N32" s="60">
        <f>IF(ISBLANK(M32),0,ABS(Uzman_E!D$10-M32))</f>
        <v>0.5</v>
      </c>
      <c r="O32" s="52">
        <f>IF(ISBLANK(M32),0,INDEX(Tablo_E!$B$2:$CX$102,MATCH(ROUND(Uzman_E!D$10,1),Tablo_E!$A$2:$A$102,1),MATCH(ROUND(N32,1),Tablo_E!$B$1:$CX$1,1)))</f>
        <v>0.95</v>
      </c>
      <c r="P32" s="55">
        <v>3.1</v>
      </c>
      <c r="Q32" s="60">
        <f>IF(ISBLANK(P32),0,ABS(Uzman_E!E$10-P32))</f>
        <v>0.79999999999999982</v>
      </c>
      <c r="R32" s="52">
        <f>IF(ISBLANK(P32),0,INDEX(Tablo_E!$B$2:$CX$102,MATCH(ROUND(Uzman_E!E$10,1),Tablo_E!$A$2:$A$102,1),MATCH(ROUND(Q32,1),Tablo_E!$B$1:$CX$1,1)))</f>
        <v>0.7</v>
      </c>
      <c r="S32" s="53">
        <f t="shared" si="0"/>
        <v>0.79</v>
      </c>
      <c r="T32" s="49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x14ac:dyDescent="0.45">
      <c r="A33" s="54">
        <v>30</v>
      </c>
      <c r="B33" s="158" t="str">
        <f>Hakemler!B33</f>
        <v>ÖZGENLİK TATAR</v>
      </c>
      <c r="C33" s="159" t="str">
        <f>Hakemler!C33</f>
        <v>ARZU</v>
      </c>
      <c r="D33" s="55">
        <v>3.6</v>
      </c>
      <c r="E33" s="60">
        <f>IF(ISBLANK(D33),0,ABS(Uzman_E!A$10-D33))</f>
        <v>0.10000000000000009</v>
      </c>
      <c r="F33" s="52">
        <f>IF(ISBLANK(D33),0,INDEX(Tablo_E!$B$2:$CX$102,MATCH(ROUND(Uzman_E!A$10,1),Tablo_E!$A$2:$A$102,1),MATCH(ROUND(E33,1),Tablo_E!$B$1:$CX$1,1)))</f>
        <v>1</v>
      </c>
      <c r="G33" s="55">
        <v>3.8</v>
      </c>
      <c r="H33" s="60">
        <f>IF(ISBLANK(G33),0,ABS(Uzman_E!B$10-G33))</f>
        <v>1</v>
      </c>
      <c r="I33" s="52">
        <f>IF(ISBLANK(G33),0,INDEX(Tablo_E!$B$2:$CX$102,MATCH(ROUND(Uzman_E!B$10,1),Tablo_E!$A$2:$A$102,1),MATCH(ROUND(H33,1),Tablo_E!$B$1:$CX$1,1)))</f>
        <v>0.5</v>
      </c>
      <c r="J33" s="55">
        <v>2.9</v>
      </c>
      <c r="K33" s="60">
        <f>IF(ISBLANK(J33),0,ABS(Uzman_E!C$10-J33))</f>
        <v>0.20000000000000018</v>
      </c>
      <c r="L33" s="52">
        <f>IF(ISBLANK(J33),0,INDEX(Tablo_E!$B$2:$CX$102,MATCH(ROUND(Uzman_E!C$10,1),Tablo_E!$A$2:$A$102,1),MATCH(ROUND(K33,1),Tablo_E!$B$1:$CX$1,1)))</f>
        <v>1</v>
      </c>
      <c r="M33" s="55">
        <v>2.8</v>
      </c>
      <c r="N33" s="60">
        <f>IF(ISBLANK(M33),0,ABS(Uzman_E!D$10-M33))</f>
        <v>0.60000000000000009</v>
      </c>
      <c r="O33" s="52">
        <f>IF(ISBLANK(M33),0,INDEX(Tablo_E!$B$2:$CX$102,MATCH(ROUND(Uzman_E!D$10,1),Tablo_E!$A$2:$A$102,1),MATCH(ROUND(N33,1),Tablo_E!$B$1:$CX$1,1)))</f>
        <v>0.85</v>
      </c>
      <c r="P33" s="55">
        <v>3.2</v>
      </c>
      <c r="Q33" s="60">
        <f>IF(ISBLANK(P33),0,ABS(Uzman_E!E$10-P33))</f>
        <v>0.69999999999999973</v>
      </c>
      <c r="R33" s="52">
        <f>IF(ISBLANK(P33),0,INDEX(Tablo_E!$B$2:$CX$102,MATCH(ROUND(Uzman_E!E$10,1),Tablo_E!$A$2:$A$102,1),MATCH(ROUND(Q33,1),Tablo_E!$B$1:$CX$1,1)))</f>
        <v>0.8</v>
      </c>
      <c r="S33" s="53">
        <f t="shared" si="0"/>
        <v>0.83000000000000007</v>
      </c>
      <c r="T33" s="49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x14ac:dyDescent="0.45">
      <c r="A34" s="54">
        <v>31</v>
      </c>
      <c r="B34" s="158" t="str">
        <f>Hakemler!B34</f>
        <v>KARADENİZ</v>
      </c>
      <c r="C34" s="159" t="str">
        <f>Hakemler!C34</f>
        <v>EMEL</v>
      </c>
      <c r="D34" s="55">
        <v>5</v>
      </c>
      <c r="E34" s="60">
        <f>IF(ISBLANK(D34),0,ABS(Uzman_E!A$10-D34))</f>
        <v>1.5</v>
      </c>
      <c r="F34" s="52">
        <f>IF(ISBLANK(D34),0,INDEX(Tablo_E!$B$2:$CX$102,MATCH(ROUND(Uzman_E!A$10,1),Tablo_E!$A$2:$A$102,1),MATCH(ROUND(E34,1),Tablo_E!$B$1:$CX$1,1)))</f>
        <v>0</v>
      </c>
      <c r="G34" s="55">
        <v>4.4000000000000004</v>
      </c>
      <c r="H34" s="60">
        <f>IF(ISBLANK(G34),0,ABS(Uzman_E!B$10-G34))</f>
        <v>0.39999999999999947</v>
      </c>
      <c r="I34" s="52">
        <f>IF(ISBLANK(G34),0,INDEX(Tablo_E!$B$2:$CX$102,MATCH(ROUND(Uzman_E!B$10,1),Tablo_E!$A$2:$A$102,1),MATCH(ROUND(H34,1),Tablo_E!$B$1:$CX$1,1)))</f>
        <v>1</v>
      </c>
      <c r="J34" s="55">
        <v>3.4</v>
      </c>
      <c r="K34" s="60">
        <f>IF(ISBLANK(J34),0,ABS(Uzman_E!C$10-J34))</f>
        <v>0.29999999999999982</v>
      </c>
      <c r="L34" s="52">
        <f>IF(ISBLANK(J34),0,INDEX(Tablo_E!$B$2:$CX$102,MATCH(ROUND(Uzman_E!C$10,1),Tablo_E!$A$2:$A$102,1),MATCH(ROUND(K34,1),Tablo_E!$B$1:$CX$1,1)))</f>
        <v>1</v>
      </c>
      <c r="M34" s="55">
        <v>4.2</v>
      </c>
      <c r="N34" s="60">
        <f>IF(ISBLANK(M34),0,ABS(Uzman_E!D$10-M34))</f>
        <v>0.80000000000000027</v>
      </c>
      <c r="O34" s="52">
        <f>IF(ISBLANK(M34),0,INDEX(Tablo_E!$B$2:$CX$102,MATCH(ROUND(Uzman_E!D$10,1),Tablo_E!$A$2:$A$102,1),MATCH(ROUND(N34,1),Tablo_E!$B$1:$CX$1,1)))</f>
        <v>0.7</v>
      </c>
      <c r="P34" s="55">
        <v>3.8</v>
      </c>
      <c r="Q34" s="60">
        <f>IF(ISBLANK(P34),0,ABS(Uzman_E!E$10-P34))</f>
        <v>0.10000000000000009</v>
      </c>
      <c r="R34" s="52">
        <f>IF(ISBLANK(P34),0,INDEX(Tablo_E!$B$2:$CX$102,MATCH(ROUND(Uzman_E!E$10,1),Tablo_E!$A$2:$A$102,1),MATCH(ROUND(Q34,1),Tablo_E!$B$1:$CX$1,1)))</f>
        <v>1</v>
      </c>
      <c r="S34" s="53">
        <f t="shared" si="0"/>
        <v>0.74</v>
      </c>
      <c r="T34" s="49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x14ac:dyDescent="0.45">
      <c r="A35" s="54">
        <v>32</v>
      </c>
      <c r="B35" s="158" t="str">
        <f>Hakemler!B35</f>
        <v>TOYRAN</v>
      </c>
      <c r="C35" s="159" t="str">
        <f>Hakemler!C35</f>
        <v>SİNEM NUR</v>
      </c>
      <c r="D35" s="55">
        <v>3.6</v>
      </c>
      <c r="E35" s="60">
        <f>IF(ISBLANK(D35),0,ABS(Uzman_E!A$10-D35))</f>
        <v>0.10000000000000009</v>
      </c>
      <c r="F35" s="52">
        <f>IF(ISBLANK(D35),0,INDEX(Tablo_E!$B$2:$CX$102,MATCH(ROUND(Uzman_E!A$10,1),Tablo_E!$A$2:$A$102,1),MATCH(ROUND(E35,1),Tablo_E!$B$1:$CX$1,1)))</f>
        <v>1</v>
      </c>
      <c r="G35" s="55">
        <v>4.3</v>
      </c>
      <c r="H35" s="60">
        <f>IF(ISBLANK(G35),0,ABS(Uzman_E!B$10-G35))</f>
        <v>0.5</v>
      </c>
      <c r="I35" s="52">
        <f>IF(ISBLANK(G35),0,INDEX(Tablo_E!$B$2:$CX$102,MATCH(ROUND(Uzman_E!B$10,1),Tablo_E!$A$2:$A$102,1),MATCH(ROUND(H35,1),Tablo_E!$B$1:$CX$1,1)))</f>
        <v>0.95</v>
      </c>
      <c r="J35" s="55">
        <v>2.6</v>
      </c>
      <c r="K35" s="60">
        <f>IF(ISBLANK(J35),0,ABS(Uzman_E!C$10-J35))</f>
        <v>0.5</v>
      </c>
      <c r="L35" s="52">
        <f>IF(ISBLANK(J35),0,INDEX(Tablo_E!$B$2:$CX$102,MATCH(ROUND(Uzman_E!C$10,1),Tablo_E!$A$2:$A$102,1),MATCH(ROUND(K35,1),Tablo_E!$B$1:$CX$1,1)))</f>
        <v>0.95</v>
      </c>
      <c r="M35" s="55">
        <v>3.6</v>
      </c>
      <c r="N35" s="60">
        <f>IF(ISBLANK(M35),0,ABS(Uzman_E!D$10-M35))</f>
        <v>0.20000000000000018</v>
      </c>
      <c r="O35" s="52">
        <f>IF(ISBLANK(M35),0,INDEX(Tablo_E!$B$2:$CX$102,MATCH(ROUND(Uzman_E!D$10,1),Tablo_E!$A$2:$A$102,1),MATCH(ROUND(N35,1),Tablo_E!$B$1:$CX$1,1)))</f>
        <v>1</v>
      </c>
      <c r="P35" s="55">
        <v>3.9</v>
      </c>
      <c r="Q35" s="60">
        <f>IF(ISBLANK(P35),0,ABS(Uzman_E!E$10-P35))</f>
        <v>0</v>
      </c>
      <c r="R35" s="52">
        <f>IF(ISBLANK(P35),0,INDEX(Tablo_E!$B$2:$CX$102,MATCH(ROUND(Uzman_E!E$10,1),Tablo_E!$A$2:$A$102,1),MATCH(ROUND(Q35,1),Tablo_E!$B$1:$CX$1,1)))</f>
        <v>1</v>
      </c>
      <c r="S35" s="53">
        <f t="shared" si="0"/>
        <v>0.98000000000000009</v>
      </c>
      <c r="T35" s="49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x14ac:dyDescent="0.45">
      <c r="A36" s="54">
        <v>33</v>
      </c>
      <c r="B36" s="158" t="str">
        <f>Hakemler!B36</f>
        <v>SEVERBAŞ</v>
      </c>
      <c r="C36" s="159" t="str">
        <f>Hakemler!C36</f>
        <v>PINAR</v>
      </c>
      <c r="D36" s="55">
        <v>3.5</v>
      </c>
      <c r="E36" s="60">
        <f>IF(ISBLANK(D36),0,ABS(Uzman_E!A$10-D36))</f>
        <v>0</v>
      </c>
      <c r="F36" s="52">
        <f>IF(ISBLANK(D36),0,INDEX(Tablo_E!$B$2:$CX$102,MATCH(ROUND(Uzman_E!A$10,1),Tablo_E!$A$2:$A$102,1),MATCH(ROUND(E36,1),Tablo_E!$B$1:$CX$1,1)))</f>
        <v>1</v>
      </c>
      <c r="G36" s="55">
        <v>4</v>
      </c>
      <c r="H36" s="60">
        <f>IF(ISBLANK(G36),0,ABS(Uzman_E!B$10-G36))</f>
        <v>0.79999999999999982</v>
      </c>
      <c r="I36" s="52">
        <f>IF(ISBLANK(G36),0,INDEX(Tablo_E!$B$2:$CX$102,MATCH(ROUND(Uzman_E!B$10,1),Tablo_E!$A$2:$A$102,1),MATCH(ROUND(H36,1),Tablo_E!$B$1:$CX$1,1)))</f>
        <v>0.7</v>
      </c>
      <c r="J36" s="55">
        <v>2.8</v>
      </c>
      <c r="K36" s="60">
        <f>IF(ISBLANK(J36),0,ABS(Uzman_E!C$10-J36))</f>
        <v>0.30000000000000027</v>
      </c>
      <c r="L36" s="52">
        <f>IF(ISBLANK(J36),0,INDEX(Tablo_E!$B$2:$CX$102,MATCH(ROUND(Uzman_E!C$10,1),Tablo_E!$A$2:$A$102,1),MATCH(ROUND(K36,1),Tablo_E!$B$1:$CX$1,1)))</f>
        <v>1</v>
      </c>
      <c r="M36" s="55">
        <v>2.6</v>
      </c>
      <c r="N36" s="60">
        <f>IF(ISBLANK(M36),0,ABS(Uzman_E!D$10-M36))</f>
        <v>0.79999999999999982</v>
      </c>
      <c r="O36" s="52">
        <f>IF(ISBLANK(M36),0,INDEX(Tablo_E!$B$2:$CX$102,MATCH(ROUND(Uzman_E!D$10,1),Tablo_E!$A$2:$A$102,1),MATCH(ROUND(N36,1),Tablo_E!$B$1:$CX$1,1)))</f>
        <v>0.7</v>
      </c>
      <c r="P36" s="55">
        <v>3.2</v>
      </c>
      <c r="Q36" s="60">
        <f>IF(ISBLANK(P36),0,ABS(Uzman_E!E$10-P36))</f>
        <v>0.69999999999999973</v>
      </c>
      <c r="R36" s="52">
        <f>IF(ISBLANK(P36),0,INDEX(Tablo_E!$B$2:$CX$102,MATCH(ROUND(Uzman_E!E$10,1),Tablo_E!$A$2:$A$102,1),MATCH(ROUND(Q36,1),Tablo_E!$B$1:$CX$1,1)))</f>
        <v>0.8</v>
      </c>
      <c r="S36" s="53">
        <f t="shared" ref="S36:S67" si="1">(F36+I36+L36+O36+R36)/5</f>
        <v>0.84000000000000008</v>
      </c>
      <c r="T36" s="49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x14ac:dyDescent="0.45">
      <c r="A37" s="54">
        <v>34</v>
      </c>
      <c r="B37" s="158" t="str">
        <f>Hakemler!B37</f>
        <v>KASAP TOPAL</v>
      </c>
      <c r="C37" s="159" t="str">
        <f>Hakemler!C37</f>
        <v>AYTEN</v>
      </c>
      <c r="D37" s="55">
        <v>4.5</v>
      </c>
      <c r="E37" s="60">
        <f>IF(ISBLANK(D37),0,ABS(Uzman_E!A$10-D37))</f>
        <v>1</v>
      </c>
      <c r="F37" s="52">
        <f>IF(ISBLANK(D37),0,INDEX(Tablo_E!$B$2:$CX$102,MATCH(ROUND(Uzman_E!A$10,1),Tablo_E!$A$2:$A$102,1),MATCH(ROUND(E37,1),Tablo_E!$B$1:$CX$1,1)))</f>
        <v>0.5</v>
      </c>
      <c r="G37" s="55">
        <v>5</v>
      </c>
      <c r="H37" s="60">
        <f>IF(ISBLANK(G37),0,ABS(Uzman_E!B$10-G37))</f>
        <v>0.20000000000000018</v>
      </c>
      <c r="I37" s="52">
        <f>IF(ISBLANK(G37),0,INDEX(Tablo_E!$B$2:$CX$102,MATCH(ROUND(Uzman_E!B$10,1),Tablo_E!$A$2:$A$102,1),MATCH(ROUND(H37,1),Tablo_E!$B$1:$CX$1,1)))</f>
        <v>1</v>
      </c>
      <c r="J37" s="55">
        <v>3.7</v>
      </c>
      <c r="K37" s="60">
        <f>IF(ISBLANK(J37),0,ABS(Uzman_E!C$10-J37))</f>
        <v>0.60000000000000009</v>
      </c>
      <c r="L37" s="52">
        <f>IF(ISBLANK(J37),0,INDEX(Tablo_E!$B$2:$CX$102,MATCH(ROUND(Uzman_E!C$10,1),Tablo_E!$A$2:$A$102,1),MATCH(ROUND(K37,1),Tablo_E!$B$1:$CX$1,1)))</f>
        <v>0.85</v>
      </c>
      <c r="M37" s="55">
        <v>3.2</v>
      </c>
      <c r="N37" s="60">
        <f>IF(ISBLANK(M37),0,ABS(Uzman_E!D$10-M37))</f>
        <v>0.19999999999999973</v>
      </c>
      <c r="O37" s="52">
        <f>IF(ISBLANK(M37),0,INDEX(Tablo_E!$B$2:$CX$102,MATCH(ROUND(Uzman_E!D$10,1),Tablo_E!$A$2:$A$102,1),MATCH(ROUND(N37,1),Tablo_E!$B$1:$CX$1,1)))</f>
        <v>1</v>
      </c>
      <c r="P37" s="55">
        <v>4.4000000000000004</v>
      </c>
      <c r="Q37" s="60">
        <f>IF(ISBLANK(P37),0,ABS(Uzman_E!E$10-P37))</f>
        <v>0.50000000000000044</v>
      </c>
      <c r="R37" s="52">
        <f>IF(ISBLANK(P37),0,INDEX(Tablo_E!$B$2:$CX$102,MATCH(ROUND(Uzman_E!E$10,1),Tablo_E!$A$2:$A$102,1),MATCH(ROUND(Q37,1),Tablo_E!$B$1:$CX$1,1)))</f>
        <v>0.95</v>
      </c>
      <c r="S37" s="53">
        <f t="shared" si="1"/>
        <v>0.86</v>
      </c>
      <c r="T37" s="49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x14ac:dyDescent="0.45">
      <c r="A38" s="54">
        <v>35</v>
      </c>
      <c r="B38" s="158" t="str">
        <f>Hakemler!B38</f>
        <v>DİCLE</v>
      </c>
      <c r="C38" s="159" t="str">
        <f>Hakemler!C38</f>
        <v>SENA HAZEL</v>
      </c>
      <c r="D38" s="55">
        <v>3.8</v>
      </c>
      <c r="E38" s="60">
        <f>IF(ISBLANK(D38),0,ABS(Uzman_E!A$10-D38))</f>
        <v>0.29999999999999982</v>
      </c>
      <c r="F38" s="52">
        <f>IF(ISBLANK(D38),0,INDEX(Tablo_E!$B$2:$CX$102,MATCH(ROUND(Uzman_E!A$10,1),Tablo_E!$A$2:$A$102,1),MATCH(ROUND(E38,1),Tablo_E!$B$1:$CX$1,1)))</f>
        <v>1</v>
      </c>
      <c r="G38" s="55">
        <v>4.7</v>
      </c>
      <c r="H38" s="60">
        <f>IF(ISBLANK(G38),0,ABS(Uzman_E!B$10-G38))</f>
        <v>9.9999999999999645E-2</v>
      </c>
      <c r="I38" s="52">
        <f>IF(ISBLANK(G38),0,INDEX(Tablo_E!$B$2:$CX$102,MATCH(ROUND(Uzman_E!B$10,1),Tablo_E!$A$2:$A$102,1),MATCH(ROUND(H38,1),Tablo_E!$B$1:$CX$1,1)))</f>
        <v>1</v>
      </c>
      <c r="J38" s="55">
        <v>2.2999999999999998</v>
      </c>
      <c r="K38" s="60">
        <f>IF(ISBLANK(J38),0,ABS(Uzman_E!C$10-J38))</f>
        <v>0.80000000000000027</v>
      </c>
      <c r="L38" s="52">
        <f>IF(ISBLANK(J38),0,INDEX(Tablo_E!$B$2:$CX$102,MATCH(ROUND(Uzman_E!C$10,1),Tablo_E!$A$2:$A$102,1),MATCH(ROUND(K38,1),Tablo_E!$B$1:$CX$1,1)))</f>
        <v>0.7</v>
      </c>
      <c r="M38" s="55">
        <v>3.8</v>
      </c>
      <c r="N38" s="60">
        <f>IF(ISBLANK(M38),0,ABS(Uzman_E!D$10-M38))</f>
        <v>0.39999999999999991</v>
      </c>
      <c r="O38" s="52">
        <f>IF(ISBLANK(M38),0,INDEX(Tablo_E!$B$2:$CX$102,MATCH(ROUND(Uzman_E!D$10,1),Tablo_E!$A$2:$A$102,1),MATCH(ROUND(N38,1),Tablo_E!$B$1:$CX$1,1)))</f>
        <v>1</v>
      </c>
      <c r="P38" s="55">
        <v>4.4000000000000004</v>
      </c>
      <c r="Q38" s="60">
        <f>IF(ISBLANK(P38),0,ABS(Uzman_E!E$10-P38))</f>
        <v>0.50000000000000044</v>
      </c>
      <c r="R38" s="52">
        <f>IF(ISBLANK(P38),0,INDEX(Tablo_E!$B$2:$CX$102,MATCH(ROUND(Uzman_E!E$10,1),Tablo_E!$A$2:$A$102,1),MATCH(ROUND(Q38,1),Tablo_E!$B$1:$CX$1,1)))</f>
        <v>0.95</v>
      </c>
      <c r="S38" s="53">
        <f t="shared" si="1"/>
        <v>0.93</v>
      </c>
      <c r="T38" s="49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x14ac:dyDescent="0.45">
      <c r="A39" s="54">
        <v>36</v>
      </c>
      <c r="B39" s="158" t="str">
        <f>Hakemler!B39</f>
        <v>KARAHAN</v>
      </c>
      <c r="C39" s="159" t="str">
        <f>Hakemler!C39</f>
        <v>NESRİN</v>
      </c>
      <c r="D39" s="55">
        <v>2.8</v>
      </c>
      <c r="E39" s="60">
        <f>IF(ISBLANK(D39),0,ABS(Uzman_E!A$10-D39))</f>
        <v>0.70000000000000018</v>
      </c>
      <c r="F39" s="52">
        <f>IF(ISBLANK(D39),0,INDEX(Tablo_E!$B$2:$CX$102,MATCH(ROUND(Uzman_E!A$10,1),Tablo_E!$A$2:$A$102,1),MATCH(ROUND(E39,1),Tablo_E!$B$1:$CX$1,1)))</f>
        <v>0.8</v>
      </c>
      <c r="G39" s="55">
        <v>3.5</v>
      </c>
      <c r="H39" s="60">
        <f>IF(ISBLANK(G39),0,ABS(Uzman_E!B$10-G39))</f>
        <v>1.2999999999999998</v>
      </c>
      <c r="I39" s="52">
        <f>IF(ISBLANK(G39),0,INDEX(Tablo_E!$B$2:$CX$102,MATCH(ROUND(Uzman_E!B$10,1),Tablo_E!$A$2:$A$102,1),MATCH(ROUND(H39,1),Tablo_E!$B$1:$CX$1,1)))</f>
        <v>0.2</v>
      </c>
      <c r="J39" s="55">
        <v>2.2000000000000002</v>
      </c>
      <c r="K39" s="60">
        <f>IF(ISBLANK(J39),0,ABS(Uzman_E!C$10-J39))</f>
        <v>0.89999999999999991</v>
      </c>
      <c r="L39" s="52">
        <f>IF(ISBLANK(J39),0,INDEX(Tablo_E!$B$2:$CX$102,MATCH(ROUND(Uzman_E!C$10,1),Tablo_E!$A$2:$A$102,1),MATCH(ROUND(K39,1),Tablo_E!$B$1:$CX$1,1)))</f>
        <v>0.6</v>
      </c>
      <c r="M39" s="55">
        <v>2.9</v>
      </c>
      <c r="N39" s="60">
        <f>IF(ISBLANK(M39),0,ABS(Uzman_E!D$10-M39))</f>
        <v>0.5</v>
      </c>
      <c r="O39" s="52">
        <f>IF(ISBLANK(M39),0,INDEX(Tablo_E!$B$2:$CX$102,MATCH(ROUND(Uzman_E!D$10,1),Tablo_E!$A$2:$A$102,1),MATCH(ROUND(N39,1),Tablo_E!$B$1:$CX$1,1)))</f>
        <v>0.95</v>
      </c>
      <c r="P39" s="55">
        <v>3.2</v>
      </c>
      <c r="Q39" s="60">
        <f>IF(ISBLANK(P39),0,ABS(Uzman_E!E$10-P39))</f>
        <v>0.69999999999999973</v>
      </c>
      <c r="R39" s="52">
        <f>IF(ISBLANK(P39),0,INDEX(Tablo_E!$B$2:$CX$102,MATCH(ROUND(Uzman_E!E$10,1),Tablo_E!$A$2:$A$102,1),MATCH(ROUND(Q39,1),Tablo_E!$B$1:$CX$1,1)))</f>
        <v>0.8</v>
      </c>
      <c r="S39" s="53">
        <f t="shared" si="1"/>
        <v>0.66999999999999993</v>
      </c>
      <c r="T39" s="49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45">
      <c r="A40" s="54">
        <v>37</v>
      </c>
      <c r="B40" s="160" t="str">
        <f>Hakemler!B40</f>
        <v>ALTAY</v>
      </c>
      <c r="C40" s="161" t="str">
        <f>Hakemler!C40</f>
        <v>SERDİNÇ</v>
      </c>
      <c r="D40" s="55">
        <v>3.8</v>
      </c>
      <c r="E40" s="60">
        <f>IF(ISBLANK(D40),0,ABS(Uzman_E!A$10-D40))</f>
        <v>0.29999999999999982</v>
      </c>
      <c r="F40" s="52">
        <f>IF(ISBLANK(D40),0,INDEX(Tablo_E!$B$2:$CX$102,MATCH(ROUND(Uzman_E!A$10,1),Tablo_E!$A$2:$A$102,1),MATCH(ROUND(E40,1),Tablo_E!$B$1:$CX$1,1)))</f>
        <v>1</v>
      </c>
      <c r="G40" s="55">
        <v>3.9</v>
      </c>
      <c r="H40" s="60">
        <f>IF(ISBLANK(G40),0,ABS(Uzman_E!B$10-G40))</f>
        <v>0.89999999999999991</v>
      </c>
      <c r="I40" s="52">
        <f>IF(ISBLANK(G40),0,INDEX(Tablo_E!$B$2:$CX$102,MATCH(ROUND(Uzman_E!B$10,1),Tablo_E!$A$2:$A$102,1),MATCH(ROUND(H40,1),Tablo_E!$B$1:$CX$1,1)))</f>
        <v>0.6</v>
      </c>
      <c r="J40" s="55">
        <v>3.6</v>
      </c>
      <c r="K40" s="60">
        <f>IF(ISBLANK(J40),0,ABS(Uzman_E!C$10-J40))</f>
        <v>0.5</v>
      </c>
      <c r="L40" s="52">
        <f>IF(ISBLANK(J40),0,INDEX(Tablo_E!$B$2:$CX$102,MATCH(ROUND(Uzman_E!C$10,1),Tablo_E!$A$2:$A$102,1),MATCH(ROUND(K40,1),Tablo_E!$B$1:$CX$1,1)))</f>
        <v>0.95</v>
      </c>
      <c r="M40" s="55">
        <v>3.9</v>
      </c>
      <c r="N40" s="60">
        <f>IF(ISBLANK(M40),0,ABS(Uzman_E!D$10-M40))</f>
        <v>0.5</v>
      </c>
      <c r="O40" s="52">
        <f>IF(ISBLANK(M40),0,INDEX(Tablo_E!$B$2:$CX$102,MATCH(ROUND(Uzman_E!D$10,1),Tablo_E!$A$2:$A$102,1),MATCH(ROUND(N40,1),Tablo_E!$B$1:$CX$1,1)))</f>
        <v>0.95</v>
      </c>
      <c r="P40" s="55">
        <v>3.9</v>
      </c>
      <c r="Q40" s="60">
        <f>IF(ISBLANK(P40),0,ABS(Uzman_E!E$10-P40))</f>
        <v>0</v>
      </c>
      <c r="R40" s="52">
        <f>IF(ISBLANK(P40),0,INDEX(Tablo_E!$B$2:$CX$102,MATCH(ROUND(Uzman_E!E$10,1),Tablo_E!$A$2:$A$102,1),MATCH(ROUND(Q40,1),Tablo_E!$B$1:$CX$1,1)))</f>
        <v>1</v>
      </c>
      <c r="S40" s="53">
        <f t="shared" si="1"/>
        <v>0.9</v>
      </c>
      <c r="T40" s="49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x14ac:dyDescent="0.45">
      <c r="A41" s="54">
        <v>38</v>
      </c>
      <c r="B41" s="160" t="str">
        <f>Hakemler!B41</f>
        <v>TOPTAŞ</v>
      </c>
      <c r="C41" s="161" t="str">
        <f>Hakemler!C41</f>
        <v>BİRSEN</v>
      </c>
      <c r="D41" s="55">
        <v>2.9</v>
      </c>
      <c r="E41" s="60">
        <f>IF(ISBLANK(D41),0,ABS(Uzman_E!A$10-D41))</f>
        <v>0.60000000000000009</v>
      </c>
      <c r="F41" s="52">
        <f>IF(ISBLANK(D41),0,INDEX(Tablo_E!$B$2:$CX$102,MATCH(ROUND(Uzman_E!A$10,1),Tablo_E!$A$2:$A$102,1),MATCH(ROUND(E41,1),Tablo_E!$B$1:$CX$1,1)))</f>
        <v>0.85</v>
      </c>
      <c r="G41" s="55">
        <v>3.9</v>
      </c>
      <c r="H41" s="60">
        <f>IF(ISBLANK(G41),0,ABS(Uzman_E!B$10-G41))</f>
        <v>0.89999999999999991</v>
      </c>
      <c r="I41" s="52">
        <f>IF(ISBLANK(G41),0,INDEX(Tablo_E!$B$2:$CX$102,MATCH(ROUND(Uzman_E!B$10,1),Tablo_E!$A$2:$A$102,1),MATCH(ROUND(H41,1),Tablo_E!$B$1:$CX$1,1)))</f>
        <v>0.6</v>
      </c>
      <c r="J41" s="55">
        <v>3</v>
      </c>
      <c r="K41" s="60">
        <f>IF(ISBLANK(J41),0,ABS(Uzman_E!C$10-J41))</f>
        <v>0.10000000000000009</v>
      </c>
      <c r="L41" s="52">
        <f>IF(ISBLANK(J41),0,INDEX(Tablo_E!$B$2:$CX$102,MATCH(ROUND(Uzman_E!C$10,1),Tablo_E!$A$2:$A$102,1),MATCH(ROUND(K41,1),Tablo_E!$B$1:$CX$1,1)))</f>
        <v>1</v>
      </c>
      <c r="M41" s="55">
        <v>3.5</v>
      </c>
      <c r="N41" s="60">
        <f>IF(ISBLANK(M41),0,ABS(Uzman_E!D$10-M41))</f>
        <v>0.10000000000000009</v>
      </c>
      <c r="O41" s="52">
        <f>IF(ISBLANK(M41),0,INDEX(Tablo_E!$B$2:$CX$102,MATCH(ROUND(Uzman_E!D$10,1),Tablo_E!$A$2:$A$102,1),MATCH(ROUND(N41,1),Tablo_E!$B$1:$CX$1,1)))</f>
        <v>1</v>
      </c>
      <c r="P41" s="55">
        <v>4.0999999999999996</v>
      </c>
      <c r="Q41" s="60">
        <f>IF(ISBLANK(P41),0,ABS(Uzman_E!E$10-P41))</f>
        <v>0.19999999999999973</v>
      </c>
      <c r="R41" s="52">
        <f>IF(ISBLANK(P41),0,INDEX(Tablo_E!$B$2:$CX$102,MATCH(ROUND(Uzman_E!E$10,1),Tablo_E!$A$2:$A$102,1),MATCH(ROUND(Q41,1),Tablo_E!$B$1:$CX$1,1)))</f>
        <v>1</v>
      </c>
      <c r="S41" s="53">
        <f t="shared" si="1"/>
        <v>0.89</v>
      </c>
      <c r="T41" s="49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x14ac:dyDescent="0.45">
      <c r="A42" s="54">
        <v>39</v>
      </c>
      <c r="B42" s="160" t="str">
        <f>Hakemler!B42</f>
        <v>ODACIĞLU TURHAN</v>
      </c>
      <c r="C42" s="161" t="str">
        <f>Hakemler!C42</f>
        <v xml:space="preserve">AYŞEGÜL </v>
      </c>
      <c r="D42" s="55">
        <v>3.1</v>
      </c>
      <c r="E42" s="60">
        <f>IF(ISBLANK(D42),0,ABS(Uzman_E!A$10-D42))</f>
        <v>0.39999999999999991</v>
      </c>
      <c r="F42" s="52">
        <f>IF(ISBLANK(D42),0,INDEX(Tablo_E!$B$2:$CX$102,MATCH(ROUND(Uzman_E!A$10,1),Tablo_E!$A$2:$A$102,1),MATCH(ROUND(E42,1),Tablo_E!$B$1:$CX$1,1)))</f>
        <v>1</v>
      </c>
      <c r="G42" s="55">
        <v>3.3</v>
      </c>
      <c r="H42" s="60">
        <f>IF(ISBLANK(G42),0,ABS(Uzman_E!B$10-G42))</f>
        <v>1.5</v>
      </c>
      <c r="I42" s="52">
        <f>IF(ISBLANK(G42),0,INDEX(Tablo_E!$B$2:$CX$102,MATCH(ROUND(Uzman_E!B$10,1),Tablo_E!$A$2:$A$102,1),MATCH(ROUND(H42,1),Tablo_E!$B$1:$CX$1,1)))</f>
        <v>0</v>
      </c>
      <c r="J42" s="55">
        <v>2.2000000000000002</v>
      </c>
      <c r="K42" s="60">
        <f>IF(ISBLANK(J42),0,ABS(Uzman_E!C$10-J42))</f>
        <v>0.89999999999999991</v>
      </c>
      <c r="L42" s="52">
        <f>IF(ISBLANK(J42),0,INDEX(Tablo_E!$B$2:$CX$102,MATCH(ROUND(Uzman_E!C$10,1),Tablo_E!$A$2:$A$102,1),MATCH(ROUND(K42,1),Tablo_E!$B$1:$CX$1,1)))</f>
        <v>0.6</v>
      </c>
      <c r="M42" s="55">
        <v>2.1</v>
      </c>
      <c r="N42" s="60">
        <f>IF(ISBLANK(M42),0,ABS(Uzman_E!D$10-M42))</f>
        <v>1.2999999999999998</v>
      </c>
      <c r="O42" s="52">
        <f>IF(ISBLANK(M42),0,INDEX(Tablo_E!$B$2:$CX$102,MATCH(ROUND(Uzman_E!D$10,1),Tablo_E!$A$2:$A$102,1),MATCH(ROUND(N42,1),Tablo_E!$B$1:$CX$1,1)))</f>
        <v>0.2</v>
      </c>
      <c r="P42" s="55">
        <v>2.5</v>
      </c>
      <c r="Q42" s="60">
        <f>IF(ISBLANK(P42),0,ABS(Uzman_E!E$10-P42))</f>
        <v>1.4</v>
      </c>
      <c r="R42" s="52">
        <f>IF(ISBLANK(P42),0,INDEX(Tablo_E!$B$2:$CX$102,MATCH(ROUND(Uzman_E!E$10,1),Tablo_E!$A$2:$A$102,1),MATCH(ROUND(Q42,1),Tablo_E!$B$1:$CX$1,1)))</f>
        <v>0.1</v>
      </c>
      <c r="S42" s="53">
        <f t="shared" si="1"/>
        <v>0.38</v>
      </c>
      <c r="T42" s="49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x14ac:dyDescent="0.45">
      <c r="A43" s="54">
        <v>40</v>
      </c>
      <c r="B43" s="158" t="str">
        <f>Hakemler!B43</f>
        <v>CANATAN</v>
      </c>
      <c r="C43" s="159" t="str">
        <f>Hakemler!C43</f>
        <v>BÜŞRA</v>
      </c>
      <c r="D43" s="55">
        <v>4.2</v>
      </c>
      <c r="E43" s="60">
        <f>IF(ISBLANK(D43),0,ABS(Uzman_E!A$10-D43))</f>
        <v>0.70000000000000018</v>
      </c>
      <c r="F43" s="52">
        <f>IF(ISBLANK(D43),0,INDEX(Tablo_E!$B$2:$CX$102,MATCH(ROUND(Uzman_E!A$10,1),Tablo_E!$A$2:$A$102,1),MATCH(ROUND(E43,1),Tablo_E!$B$1:$CX$1,1)))</f>
        <v>0.8</v>
      </c>
      <c r="G43" s="55">
        <v>4.8</v>
      </c>
      <c r="H43" s="60">
        <f>IF(ISBLANK(G43),0,ABS(Uzman_E!B$10-G43))</f>
        <v>0</v>
      </c>
      <c r="I43" s="52">
        <f>IF(ISBLANK(G43),0,INDEX(Tablo_E!$B$2:$CX$102,MATCH(ROUND(Uzman_E!B$10,1),Tablo_E!$A$2:$A$102,1),MATCH(ROUND(H43,1),Tablo_E!$B$1:$CX$1,1)))</f>
        <v>1</v>
      </c>
      <c r="J43" s="55">
        <v>2.5</v>
      </c>
      <c r="K43" s="60">
        <f>IF(ISBLANK(J43),0,ABS(Uzman_E!C$10-J43))</f>
        <v>0.60000000000000009</v>
      </c>
      <c r="L43" s="52">
        <f>IF(ISBLANK(J43),0,INDEX(Tablo_E!$B$2:$CX$102,MATCH(ROUND(Uzman_E!C$10,1),Tablo_E!$A$2:$A$102,1),MATCH(ROUND(K43,1),Tablo_E!$B$1:$CX$1,1)))</f>
        <v>0.85</v>
      </c>
      <c r="M43" s="55">
        <v>3.2</v>
      </c>
      <c r="N43" s="60">
        <f>IF(ISBLANK(M43),0,ABS(Uzman_E!D$10-M43))</f>
        <v>0.19999999999999973</v>
      </c>
      <c r="O43" s="52">
        <f>IF(ISBLANK(M43),0,INDEX(Tablo_E!$B$2:$CX$102,MATCH(ROUND(Uzman_E!D$10,1),Tablo_E!$A$2:$A$102,1),MATCH(ROUND(N43,1),Tablo_E!$B$1:$CX$1,1)))</f>
        <v>1</v>
      </c>
      <c r="P43" s="55">
        <v>4.8</v>
      </c>
      <c r="Q43" s="60">
        <f>IF(ISBLANK(P43),0,ABS(Uzman_E!E$10-P43))</f>
        <v>0.89999999999999991</v>
      </c>
      <c r="R43" s="52">
        <f>IF(ISBLANK(P43),0,INDEX(Tablo_E!$B$2:$CX$102,MATCH(ROUND(Uzman_E!E$10,1),Tablo_E!$A$2:$A$102,1),MATCH(ROUND(Q43,1),Tablo_E!$B$1:$CX$1,1)))</f>
        <v>0.6</v>
      </c>
      <c r="S43" s="53">
        <f t="shared" si="1"/>
        <v>0.85</v>
      </c>
      <c r="T43" s="49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x14ac:dyDescent="0.45">
      <c r="A44" s="54">
        <v>41</v>
      </c>
      <c r="B44" s="160" t="str">
        <f>Hakemler!B44</f>
        <v>ELİK</v>
      </c>
      <c r="C44" s="161" t="str">
        <f>Hakemler!C44</f>
        <v>MUSTAFA</v>
      </c>
      <c r="D44" s="55">
        <v>4.2</v>
      </c>
      <c r="E44" s="60">
        <f>IF(ISBLANK(D44),0,ABS(Uzman_E!A$10-D44))</f>
        <v>0.70000000000000018</v>
      </c>
      <c r="F44" s="52">
        <f>IF(ISBLANK(D44),0,INDEX(Tablo_E!$B$2:$CX$102,MATCH(ROUND(Uzman_E!A$10,1),Tablo_E!$A$2:$A$102,1),MATCH(ROUND(E44,1),Tablo_E!$B$1:$CX$1,1)))</f>
        <v>0.8</v>
      </c>
      <c r="G44" s="55">
        <v>5.4</v>
      </c>
      <c r="H44" s="60">
        <f>IF(ISBLANK(G44),0,ABS(Uzman_E!B$10-G44))</f>
        <v>0.60000000000000053</v>
      </c>
      <c r="I44" s="52">
        <f>IF(ISBLANK(G44),0,INDEX(Tablo_E!$B$2:$CX$102,MATCH(ROUND(Uzman_E!B$10,1),Tablo_E!$A$2:$A$102,1),MATCH(ROUND(H44,1),Tablo_E!$B$1:$CX$1,1)))</f>
        <v>0.85</v>
      </c>
      <c r="J44" s="55">
        <v>3.4</v>
      </c>
      <c r="K44" s="60">
        <f>IF(ISBLANK(J44),0,ABS(Uzman_E!C$10-J44))</f>
        <v>0.29999999999999982</v>
      </c>
      <c r="L44" s="52">
        <f>IF(ISBLANK(J44),0,INDEX(Tablo_E!$B$2:$CX$102,MATCH(ROUND(Uzman_E!C$10,1),Tablo_E!$A$2:$A$102,1),MATCH(ROUND(K44,1),Tablo_E!$B$1:$CX$1,1)))</f>
        <v>1</v>
      </c>
      <c r="M44" s="55">
        <v>3.9</v>
      </c>
      <c r="N44" s="60">
        <f>IF(ISBLANK(M44),0,ABS(Uzman_E!D$10-M44))</f>
        <v>0.5</v>
      </c>
      <c r="O44" s="52">
        <f>IF(ISBLANK(M44),0,INDEX(Tablo_E!$B$2:$CX$102,MATCH(ROUND(Uzman_E!D$10,1),Tablo_E!$A$2:$A$102,1),MATCH(ROUND(N44,1),Tablo_E!$B$1:$CX$1,1)))</f>
        <v>0.95</v>
      </c>
      <c r="P44" s="55">
        <v>4.3</v>
      </c>
      <c r="Q44" s="60">
        <f>IF(ISBLANK(P44),0,ABS(Uzman_E!E$10-P44))</f>
        <v>0.39999999999999991</v>
      </c>
      <c r="R44" s="52">
        <f>IF(ISBLANK(P44),0,INDEX(Tablo_E!$B$2:$CX$102,MATCH(ROUND(Uzman_E!E$10,1),Tablo_E!$A$2:$A$102,1),MATCH(ROUND(Q44,1),Tablo_E!$B$1:$CX$1,1)))</f>
        <v>1</v>
      </c>
      <c r="S44" s="53">
        <f t="shared" si="1"/>
        <v>0.91999999999999993</v>
      </c>
      <c r="T44" s="49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x14ac:dyDescent="0.45">
      <c r="A45" s="54">
        <v>42</v>
      </c>
      <c r="B45" s="158" t="str">
        <f>Hakemler!B45</f>
        <v>BAKAR</v>
      </c>
      <c r="C45" s="159" t="str">
        <f>Hakemler!C45</f>
        <v>İPEK</v>
      </c>
      <c r="D45" s="55">
        <v>3.5</v>
      </c>
      <c r="E45" s="60">
        <f>IF(ISBLANK(D45),0,ABS(Uzman_E!A$10-D45))</f>
        <v>0</v>
      </c>
      <c r="F45" s="52">
        <f>IF(ISBLANK(D45),0,INDEX(Tablo_E!$B$2:$CX$102,MATCH(ROUND(Uzman_E!A$10,1),Tablo_E!$A$2:$A$102,1),MATCH(ROUND(E45,1),Tablo_E!$B$1:$CX$1,1)))</f>
        <v>1</v>
      </c>
      <c r="G45" s="55">
        <v>4.5</v>
      </c>
      <c r="H45" s="60">
        <f>IF(ISBLANK(G45),0,ABS(Uzman_E!B$10-G45))</f>
        <v>0.29999999999999982</v>
      </c>
      <c r="I45" s="52">
        <f>IF(ISBLANK(G45),0,INDEX(Tablo_E!$B$2:$CX$102,MATCH(ROUND(Uzman_E!B$10,1),Tablo_E!$A$2:$A$102,1),MATCH(ROUND(H45,1),Tablo_E!$B$1:$CX$1,1)))</f>
        <v>1</v>
      </c>
      <c r="J45" s="55">
        <v>3.2</v>
      </c>
      <c r="K45" s="60">
        <f>IF(ISBLANK(J45),0,ABS(Uzman_E!C$10-J45))</f>
        <v>0.10000000000000009</v>
      </c>
      <c r="L45" s="52">
        <f>IF(ISBLANK(J45),0,INDEX(Tablo_E!$B$2:$CX$102,MATCH(ROUND(Uzman_E!C$10,1),Tablo_E!$A$2:$A$102,1),MATCH(ROUND(K45,1),Tablo_E!$B$1:$CX$1,1)))</f>
        <v>1</v>
      </c>
      <c r="M45" s="55">
        <v>4.9000000000000004</v>
      </c>
      <c r="N45" s="60">
        <f>IF(ISBLANK(M45),0,ABS(Uzman_E!D$10-M45))</f>
        <v>1.5000000000000004</v>
      </c>
      <c r="O45" s="52">
        <f>IF(ISBLANK(M45),0,INDEX(Tablo_E!$B$2:$CX$102,MATCH(ROUND(Uzman_E!D$10,1),Tablo_E!$A$2:$A$102,1),MATCH(ROUND(N45,1),Tablo_E!$B$1:$CX$1,1)))</f>
        <v>0</v>
      </c>
      <c r="P45" s="55">
        <v>5.3</v>
      </c>
      <c r="Q45" s="60">
        <f>IF(ISBLANK(P45),0,ABS(Uzman_E!E$10-P45))</f>
        <v>1.4</v>
      </c>
      <c r="R45" s="52">
        <f>IF(ISBLANK(P45),0,INDEX(Tablo_E!$B$2:$CX$102,MATCH(ROUND(Uzman_E!E$10,1),Tablo_E!$A$2:$A$102,1),MATCH(ROUND(Q45,1),Tablo_E!$B$1:$CX$1,1)))</f>
        <v>0.1</v>
      </c>
      <c r="S45" s="53">
        <f t="shared" si="1"/>
        <v>0.62</v>
      </c>
      <c r="T45" s="49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x14ac:dyDescent="0.45">
      <c r="A46" s="54">
        <v>43</v>
      </c>
      <c r="B46" s="160" t="str">
        <f>Hakemler!B46</f>
        <v>UÇAK</v>
      </c>
      <c r="C46" s="161" t="str">
        <f>Hakemler!C46</f>
        <v>ECEM</v>
      </c>
      <c r="D46" s="55">
        <v>2.8</v>
      </c>
      <c r="E46" s="60">
        <f>IF(ISBLANK(D46),0,ABS(Uzman_E!A$10-D46))</f>
        <v>0.70000000000000018</v>
      </c>
      <c r="F46" s="52">
        <f>IF(ISBLANK(D46),0,INDEX(Tablo_E!$B$2:$CX$102,MATCH(ROUND(Uzman_E!A$10,1),Tablo_E!$A$2:$A$102,1),MATCH(ROUND(E46,1),Tablo_E!$B$1:$CX$1,1)))</f>
        <v>0.8</v>
      </c>
      <c r="G46" s="55">
        <v>2.8</v>
      </c>
      <c r="H46" s="60">
        <f>IF(ISBLANK(G46),0,ABS(Uzman_E!B$10-G46))</f>
        <v>2</v>
      </c>
      <c r="I46" s="52">
        <f>IF(ISBLANK(G46),0,INDEX(Tablo_E!$B$2:$CX$102,MATCH(ROUND(Uzman_E!B$10,1),Tablo_E!$A$2:$A$102,1),MATCH(ROUND(H46,1),Tablo_E!$B$1:$CX$1,1)))</f>
        <v>0</v>
      </c>
      <c r="J46" s="55">
        <v>2.4</v>
      </c>
      <c r="K46" s="60">
        <f>IF(ISBLANK(J46),0,ABS(Uzman_E!C$10-J46))</f>
        <v>0.70000000000000018</v>
      </c>
      <c r="L46" s="52">
        <f>IF(ISBLANK(J46),0,INDEX(Tablo_E!$B$2:$CX$102,MATCH(ROUND(Uzman_E!C$10,1),Tablo_E!$A$2:$A$102,1),MATCH(ROUND(K46,1),Tablo_E!$B$1:$CX$1,1)))</f>
        <v>0.8</v>
      </c>
      <c r="M46" s="55">
        <v>2.8</v>
      </c>
      <c r="N46" s="60">
        <f>IF(ISBLANK(M46),0,ABS(Uzman_E!D$10-M46))</f>
        <v>0.60000000000000009</v>
      </c>
      <c r="O46" s="52">
        <f>IF(ISBLANK(M46),0,INDEX(Tablo_E!$B$2:$CX$102,MATCH(ROUND(Uzman_E!D$10,1),Tablo_E!$A$2:$A$102,1),MATCH(ROUND(N46,1),Tablo_E!$B$1:$CX$1,1)))</f>
        <v>0.85</v>
      </c>
      <c r="P46" s="55">
        <v>2.4</v>
      </c>
      <c r="Q46" s="60">
        <f>IF(ISBLANK(P46),0,ABS(Uzman_E!E$10-P46))</f>
        <v>1.5</v>
      </c>
      <c r="R46" s="52">
        <f>IF(ISBLANK(P46),0,INDEX(Tablo_E!$B$2:$CX$102,MATCH(ROUND(Uzman_E!E$10,1),Tablo_E!$A$2:$A$102,1),MATCH(ROUND(Q46,1),Tablo_E!$B$1:$CX$1,1)))</f>
        <v>0</v>
      </c>
      <c r="S46" s="53">
        <f t="shared" si="1"/>
        <v>0.49000000000000005</v>
      </c>
      <c r="T46" s="49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x14ac:dyDescent="0.45">
      <c r="A47" s="54">
        <v>44</v>
      </c>
      <c r="B47" s="160" t="str">
        <f>Hakemler!B47</f>
        <v>EFENDİAĞA</v>
      </c>
      <c r="C47" s="161" t="str">
        <f>Hakemler!C47</f>
        <v>EMİNE AYÇA</v>
      </c>
      <c r="D47" s="55">
        <v>2</v>
      </c>
      <c r="E47" s="60">
        <f>IF(ISBLANK(D47),0,ABS(Uzman_E!A$10-D47))</f>
        <v>1.5</v>
      </c>
      <c r="F47" s="52">
        <f>IF(ISBLANK(D47),0,INDEX(Tablo_E!$B$2:$CX$102,MATCH(ROUND(Uzman_E!A$10,1),Tablo_E!$A$2:$A$102,1),MATCH(ROUND(E47,1),Tablo_E!$B$1:$CX$1,1)))</f>
        <v>0</v>
      </c>
      <c r="G47" s="55">
        <v>3.1</v>
      </c>
      <c r="H47" s="60">
        <f>IF(ISBLANK(G47),0,ABS(Uzman_E!B$10-G47))</f>
        <v>1.6999999999999997</v>
      </c>
      <c r="I47" s="52">
        <f>IF(ISBLANK(G47),0,INDEX(Tablo_E!$B$2:$CX$102,MATCH(ROUND(Uzman_E!B$10,1),Tablo_E!$A$2:$A$102,1),MATCH(ROUND(H47,1),Tablo_E!$B$1:$CX$1,1)))</f>
        <v>0</v>
      </c>
      <c r="J47" s="55">
        <v>1.4</v>
      </c>
      <c r="K47" s="60">
        <f>IF(ISBLANK(J47),0,ABS(Uzman_E!C$10-J47))</f>
        <v>1.7000000000000002</v>
      </c>
      <c r="L47" s="52">
        <f>IF(ISBLANK(J47),0,INDEX(Tablo_E!$B$2:$CX$102,MATCH(ROUND(Uzman_E!C$10,1),Tablo_E!$A$2:$A$102,1),MATCH(ROUND(K47,1),Tablo_E!$B$1:$CX$1,1)))</f>
        <v>0</v>
      </c>
      <c r="M47" s="55">
        <v>1.2</v>
      </c>
      <c r="N47" s="60">
        <f>IF(ISBLANK(M47),0,ABS(Uzman_E!D$10-M47))</f>
        <v>2.2000000000000002</v>
      </c>
      <c r="O47" s="52">
        <f>IF(ISBLANK(M47),0,INDEX(Tablo_E!$B$2:$CX$102,MATCH(ROUND(Uzman_E!D$10,1),Tablo_E!$A$2:$A$102,1),MATCH(ROUND(N47,1),Tablo_E!$B$1:$CX$1,1)))</f>
        <v>0</v>
      </c>
      <c r="P47" s="55">
        <v>2.4</v>
      </c>
      <c r="Q47" s="60">
        <f>IF(ISBLANK(P47),0,ABS(Uzman_E!E$10-P47))</f>
        <v>1.5</v>
      </c>
      <c r="R47" s="52">
        <f>IF(ISBLANK(P47),0,INDEX(Tablo_E!$B$2:$CX$102,MATCH(ROUND(Uzman_E!E$10,1),Tablo_E!$A$2:$A$102,1),MATCH(ROUND(Q47,1),Tablo_E!$B$1:$CX$1,1)))</f>
        <v>0</v>
      </c>
      <c r="S47" s="53">
        <f t="shared" si="1"/>
        <v>0</v>
      </c>
      <c r="T47" s="49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x14ac:dyDescent="0.45">
      <c r="A48" s="54">
        <v>45</v>
      </c>
      <c r="B48" s="158" t="str">
        <f>Hakemler!B48</f>
        <v>DAL</v>
      </c>
      <c r="C48" s="159" t="str">
        <f>Hakemler!C48</f>
        <v>SİNEM</v>
      </c>
      <c r="D48" s="55">
        <v>4.5999999999999996</v>
      </c>
      <c r="E48" s="60">
        <f>IF(ISBLANK(D48),0,ABS(Uzman_E!A$10-D48))</f>
        <v>1.0999999999999996</v>
      </c>
      <c r="F48" s="52">
        <f>IF(ISBLANK(D48),0,INDEX(Tablo_E!$B$2:$CX$102,MATCH(ROUND(Uzman_E!A$10,1),Tablo_E!$A$2:$A$102,1),MATCH(ROUND(E48,1),Tablo_E!$B$1:$CX$1,1)))</f>
        <v>0.4</v>
      </c>
      <c r="G48" s="55">
        <v>5.2</v>
      </c>
      <c r="H48" s="60">
        <f>IF(ISBLANK(G48),0,ABS(Uzman_E!B$10-G48))</f>
        <v>0.40000000000000036</v>
      </c>
      <c r="I48" s="52">
        <f>IF(ISBLANK(G48),0,INDEX(Tablo_E!$B$2:$CX$102,MATCH(ROUND(Uzman_E!B$10,1),Tablo_E!$A$2:$A$102,1),MATCH(ROUND(H48,1),Tablo_E!$B$1:$CX$1,1)))</f>
        <v>1</v>
      </c>
      <c r="J48" s="55">
        <v>3.5</v>
      </c>
      <c r="K48" s="60">
        <f>IF(ISBLANK(J48),0,ABS(Uzman_E!C$10-J48))</f>
        <v>0.39999999999999991</v>
      </c>
      <c r="L48" s="52">
        <f>IF(ISBLANK(J48),0,INDEX(Tablo_E!$B$2:$CX$102,MATCH(ROUND(Uzman_E!C$10,1),Tablo_E!$A$2:$A$102,1),MATCH(ROUND(K48,1),Tablo_E!$B$1:$CX$1,1)))</f>
        <v>1</v>
      </c>
      <c r="M48" s="55">
        <v>4.2</v>
      </c>
      <c r="N48" s="60">
        <f>IF(ISBLANK(M48),0,ABS(Uzman_E!D$10-M48))</f>
        <v>0.80000000000000027</v>
      </c>
      <c r="O48" s="52">
        <f>IF(ISBLANK(M48),0,INDEX(Tablo_E!$B$2:$CX$102,MATCH(ROUND(Uzman_E!D$10,1),Tablo_E!$A$2:$A$102,1),MATCH(ROUND(N48,1),Tablo_E!$B$1:$CX$1,1)))</f>
        <v>0.7</v>
      </c>
      <c r="P48" s="55">
        <v>4.0999999999999996</v>
      </c>
      <c r="Q48" s="60">
        <f>IF(ISBLANK(P48),0,ABS(Uzman_E!E$10-P48))</f>
        <v>0.19999999999999973</v>
      </c>
      <c r="R48" s="52">
        <f>IF(ISBLANK(P48),0,INDEX(Tablo_E!$B$2:$CX$102,MATCH(ROUND(Uzman_E!E$10,1),Tablo_E!$A$2:$A$102,1),MATCH(ROUND(Q48,1),Tablo_E!$B$1:$CX$1,1)))</f>
        <v>1</v>
      </c>
      <c r="S48" s="53">
        <f t="shared" si="1"/>
        <v>0.82</v>
      </c>
      <c r="T48" s="49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x14ac:dyDescent="0.45">
      <c r="A49" s="54">
        <v>46</v>
      </c>
      <c r="B49" s="160" t="str">
        <f>Hakemler!B49</f>
        <v>EDE</v>
      </c>
      <c r="C49" s="161" t="str">
        <f>Hakemler!C49</f>
        <v>İHSAN</v>
      </c>
      <c r="D49" s="55">
        <v>3.2</v>
      </c>
      <c r="E49" s="60">
        <f>IF(ISBLANK(D49),0,ABS(Uzman_E!A$10-D49))</f>
        <v>0.29999999999999982</v>
      </c>
      <c r="F49" s="52">
        <f>IF(ISBLANK(D49),0,INDEX(Tablo_E!$B$2:$CX$102,MATCH(ROUND(Uzman_E!A$10,1),Tablo_E!$A$2:$A$102,1),MATCH(ROUND(E49,1),Tablo_E!$B$1:$CX$1,1)))</f>
        <v>1</v>
      </c>
      <c r="G49" s="55">
        <v>3.5</v>
      </c>
      <c r="H49" s="60">
        <f>IF(ISBLANK(G49),0,ABS(Uzman_E!B$10-G49))</f>
        <v>1.2999999999999998</v>
      </c>
      <c r="I49" s="52">
        <f>IF(ISBLANK(G49),0,INDEX(Tablo_E!$B$2:$CX$102,MATCH(ROUND(Uzman_E!B$10,1),Tablo_E!$A$2:$A$102,1),MATCH(ROUND(H49,1),Tablo_E!$B$1:$CX$1,1)))</f>
        <v>0.2</v>
      </c>
      <c r="J49" s="55">
        <v>2.5</v>
      </c>
      <c r="K49" s="60">
        <f>IF(ISBLANK(J49),0,ABS(Uzman_E!C$10-J49))</f>
        <v>0.60000000000000009</v>
      </c>
      <c r="L49" s="52">
        <f>IF(ISBLANK(J49),0,INDEX(Tablo_E!$B$2:$CX$102,MATCH(ROUND(Uzman_E!C$10,1),Tablo_E!$A$2:$A$102,1),MATCH(ROUND(K49,1),Tablo_E!$B$1:$CX$1,1)))</f>
        <v>0.85</v>
      </c>
      <c r="M49" s="55">
        <v>2.6</v>
      </c>
      <c r="N49" s="60">
        <f>IF(ISBLANK(M49),0,ABS(Uzman_E!D$10-M49))</f>
        <v>0.79999999999999982</v>
      </c>
      <c r="O49" s="52">
        <f>IF(ISBLANK(M49),0,INDEX(Tablo_E!$B$2:$CX$102,MATCH(ROUND(Uzman_E!D$10,1),Tablo_E!$A$2:$A$102,1),MATCH(ROUND(N49,1),Tablo_E!$B$1:$CX$1,1)))</f>
        <v>0.7</v>
      </c>
      <c r="P49" s="55">
        <v>3</v>
      </c>
      <c r="Q49" s="60">
        <f>IF(ISBLANK(P49),0,ABS(Uzman_E!E$10-P49))</f>
        <v>0.89999999999999991</v>
      </c>
      <c r="R49" s="52">
        <f>IF(ISBLANK(P49),0,INDEX(Tablo_E!$B$2:$CX$102,MATCH(ROUND(Uzman_E!E$10,1),Tablo_E!$A$2:$A$102,1),MATCH(ROUND(Q49,1),Tablo_E!$B$1:$CX$1,1)))</f>
        <v>0.6</v>
      </c>
      <c r="S49" s="53">
        <f t="shared" si="1"/>
        <v>0.67</v>
      </c>
      <c r="T49" s="49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x14ac:dyDescent="0.45">
      <c r="A50" s="54">
        <v>47</v>
      </c>
      <c r="B50" s="80">
        <f>Hakemler!B50</f>
        <v>0</v>
      </c>
      <c r="C50" s="81">
        <f>Hakemler!C50</f>
        <v>0</v>
      </c>
      <c r="D50" s="55"/>
      <c r="E50" s="60">
        <f>IF(ISBLANK(D50),0,ABS(Uzman_E!A$10-D50))</f>
        <v>0</v>
      </c>
      <c r="F50" s="52">
        <f>IF(ISBLANK(D50),0,INDEX(Tablo_E!$B$2:$CX$102,MATCH(ROUND(Uzman_E!A$10,1),Tablo_E!$A$2:$A$102,1),MATCH(ROUND(E50,1),Tablo_E!$B$1:$CX$1,1)))</f>
        <v>0</v>
      </c>
      <c r="G50" s="55"/>
      <c r="H50" s="60">
        <f>IF(ISBLANK(G50),0,ABS(Uzman_E!B$10-G50))</f>
        <v>0</v>
      </c>
      <c r="I50" s="52">
        <f>IF(ISBLANK(G50),0,INDEX(Tablo_E!$B$2:$CX$102,MATCH(ROUND(Uzman_E!B$10,1),Tablo_E!$A$2:$A$102,1),MATCH(ROUND(H50,1),Tablo_E!$B$1:$CX$1,1)))</f>
        <v>0</v>
      </c>
      <c r="J50" s="55"/>
      <c r="K50" s="60">
        <f>IF(ISBLANK(J50),0,ABS(Uzman_E!C$10-J50))</f>
        <v>0</v>
      </c>
      <c r="L50" s="52">
        <f>IF(ISBLANK(J50),0,INDEX(Tablo_E!$B$2:$CX$102,MATCH(ROUND(Uzman_E!C$10,1),Tablo_E!$A$2:$A$102,1),MATCH(ROUND(K50,1),Tablo_E!$B$1:$CX$1,1)))</f>
        <v>0</v>
      </c>
      <c r="M50" s="55"/>
      <c r="N50" s="60">
        <f>IF(ISBLANK(M50),0,ABS(Uzman_E!D$10-M50))</f>
        <v>0</v>
      </c>
      <c r="O50" s="52">
        <f>IF(ISBLANK(M50),0,INDEX(Tablo_E!$B$2:$CX$102,MATCH(ROUND(Uzman_E!D$10,1),Tablo_E!$A$2:$A$102,1),MATCH(ROUND(N50,1),Tablo_E!$B$1:$CX$1,1)))</f>
        <v>0</v>
      </c>
      <c r="P50" s="55"/>
      <c r="Q50" s="60">
        <f>IF(ISBLANK(P50),0,ABS(Uzman_E!E$10-P50))</f>
        <v>0</v>
      </c>
      <c r="R50" s="52">
        <f>IF(ISBLANK(P50),0,INDEX(Tablo_E!$B$2:$CX$102,MATCH(ROUND(Uzman_E!E$10,1),Tablo_E!$A$2:$A$102,1),MATCH(ROUND(Q50,1),Tablo_E!$B$1:$CX$1,1)))</f>
        <v>0</v>
      </c>
      <c r="S50" s="53">
        <f t="shared" si="1"/>
        <v>0</v>
      </c>
      <c r="T50" s="49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x14ac:dyDescent="0.45">
      <c r="A51" s="54">
        <v>48</v>
      </c>
      <c r="B51" s="35">
        <f>Hakemler!B51</f>
        <v>0</v>
      </c>
      <c r="C51" s="82">
        <f>Hakemler!C51</f>
        <v>0</v>
      </c>
      <c r="D51" s="55"/>
      <c r="E51" s="60">
        <f>IF(ISBLANK(D51),0,ABS(Uzman_E!A$10-D51))</f>
        <v>0</v>
      </c>
      <c r="F51" s="52">
        <f>IF(ISBLANK(D51),0,INDEX(Tablo_E!$B$2:$CX$102,MATCH(ROUND(Uzman_E!A$10,1),Tablo_E!$A$2:$A$102,1),MATCH(ROUND(E51,1),Tablo_E!$B$1:$CX$1,1)))</f>
        <v>0</v>
      </c>
      <c r="G51" s="55"/>
      <c r="H51" s="60">
        <f>IF(ISBLANK(G51),0,ABS(Uzman_E!B$10-G51))</f>
        <v>0</v>
      </c>
      <c r="I51" s="52">
        <f>IF(ISBLANK(G51),0,INDEX(Tablo_E!$B$2:$CX$102,MATCH(ROUND(Uzman_E!B$10,1),Tablo_E!$A$2:$A$102,1),MATCH(ROUND(H51,1),Tablo_E!$B$1:$CX$1,1)))</f>
        <v>0</v>
      </c>
      <c r="J51" s="55"/>
      <c r="K51" s="60">
        <f>IF(ISBLANK(J51),0,ABS(Uzman_E!C$10-J51))</f>
        <v>0</v>
      </c>
      <c r="L51" s="52">
        <f>IF(ISBLANK(J51),0,INDEX(Tablo_E!$B$2:$CX$102,MATCH(ROUND(Uzman_E!C$10,1),Tablo_E!$A$2:$A$102,1),MATCH(ROUND(K51,1),Tablo_E!$B$1:$CX$1,1)))</f>
        <v>0</v>
      </c>
      <c r="M51" s="55"/>
      <c r="N51" s="60">
        <f>IF(ISBLANK(M51),0,ABS(Uzman_E!D$10-M51))</f>
        <v>0</v>
      </c>
      <c r="O51" s="52">
        <f>IF(ISBLANK(M51),0,INDEX(Tablo_E!$B$2:$CX$102,MATCH(ROUND(Uzman_E!D$10,1),Tablo_E!$A$2:$A$102,1),MATCH(ROUND(N51,1),Tablo_E!$B$1:$CX$1,1)))</f>
        <v>0</v>
      </c>
      <c r="P51" s="55"/>
      <c r="Q51" s="60">
        <f>IF(ISBLANK(P51),0,ABS(Uzman_E!E$10-P51))</f>
        <v>0</v>
      </c>
      <c r="R51" s="52">
        <f>IF(ISBLANK(P51),0,INDEX(Tablo_E!$B$2:$CX$102,MATCH(ROUND(Uzman_E!E$10,1),Tablo_E!$A$2:$A$102,1),MATCH(ROUND(Q51,1),Tablo_E!$B$1:$CX$1,1)))</f>
        <v>0</v>
      </c>
      <c r="S51" s="53">
        <f t="shared" si="1"/>
        <v>0</v>
      </c>
      <c r="T51" s="49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x14ac:dyDescent="0.45">
      <c r="A52" s="54">
        <v>49</v>
      </c>
      <c r="B52" s="80">
        <f>Hakemler!B52</f>
        <v>0</v>
      </c>
      <c r="C52" s="81">
        <f>Hakemler!C52</f>
        <v>0</v>
      </c>
      <c r="D52" s="55"/>
      <c r="E52" s="60">
        <f>IF(ISBLANK(D52),0,ABS(Uzman_E!A$10-D52))</f>
        <v>0</v>
      </c>
      <c r="F52" s="52">
        <f>IF(ISBLANK(D52),0,INDEX(Tablo_E!$B$2:$CX$102,MATCH(ROUND(Uzman_E!A$10,1),Tablo_E!$A$2:$A$102,1),MATCH(ROUND(E52,1),Tablo_E!$B$1:$CX$1,1)))</f>
        <v>0</v>
      </c>
      <c r="G52" s="55"/>
      <c r="H52" s="60">
        <f>IF(ISBLANK(G52),0,ABS(Uzman_E!B$10-G52))</f>
        <v>0</v>
      </c>
      <c r="I52" s="52">
        <f>IF(ISBLANK(G52),0,INDEX(Tablo_E!$B$2:$CX$102,MATCH(ROUND(Uzman_E!B$10,1),Tablo_E!$A$2:$A$102,1),MATCH(ROUND(H52,1),Tablo_E!$B$1:$CX$1,1)))</f>
        <v>0</v>
      </c>
      <c r="J52" s="55"/>
      <c r="K52" s="60">
        <f>IF(ISBLANK(J52),0,ABS(Uzman_E!C$10-J52))</f>
        <v>0</v>
      </c>
      <c r="L52" s="52">
        <f>IF(ISBLANK(J52),0,INDEX(Tablo_E!$B$2:$CX$102,MATCH(ROUND(Uzman_E!C$10,1),Tablo_E!$A$2:$A$102,1),MATCH(ROUND(K52,1),Tablo_E!$B$1:$CX$1,1)))</f>
        <v>0</v>
      </c>
      <c r="M52" s="55"/>
      <c r="N52" s="60">
        <f>IF(ISBLANK(M52),0,ABS(Uzman_E!D$10-M52))</f>
        <v>0</v>
      </c>
      <c r="O52" s="52">
        <f>IF(ISBLANK(M52),0,INDEX(Tablo_E!$B$2:$CX$102,MATCH(ROUND(Uzman_E!D$10,1),Tablo_E!$A$2:$A$102,1),MATCH(ROUND(N52,1),Tablo_E!$B$1:$CX$1,1)))</f>
        <v>0</v>
      </c>
      <c r="P52" s="55"/>
      <c r="Q52" s="60">
        <f>IF(ISBLANK(P52),0,ABS(Uzman_E!E$10-P52))</f>
        <v>0</v>
      </c>
      <c r="R52" s="52">
        <f>IF(ISBLANK(P52),0,INDEX(Tablo_E!$B$2:$CX$102,MATCH(ROUND(Uzman_E!E$10,1),Tablo_E!$A$2:$A$102,1),MATCH(ROUND(Q52,1),Tablo_E!$B$1:$CX$1,1)))</f>
        <v>0</v>
      </c>
      <c r="S52" s="53">
        <f t="shared" si="1"/>
        <v>0</v>
      </c>
      <c r="T52" s="49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x14ac:dyDescent="0.45">
      <c r="A53" s="54">
        <v>50</v>
      </c>
      <c r="B53" s="80">
        <f>Hakemler!B53</f>
        <v>0</v>
      </c>
      <c r="C53" s="81">
        <f>Hakemler!C53</f>
        <v>0</v>
      </c>
      <c r="D53" s="55"/>
      <c r="E53" s="60">
        <f>IF(ISBLANK(D53),0,ABS(Uzman_E!A$10-D53))</f>
        <v>0</v>
      </c>
      <c r="F53" s="52">
        <f>IF(ISBLANK(D53),0,INDEX(Tablo_E!$B$2:$CX$102,MATCH(ROUND(Uzman_E!A$10,1),Tablo_E!$A$2:$A$102,1),MATCH(ROUND(E53,1),Tablo_E!$B$1:$CX$1,1)))</f>
        <v>0</v>
      </c>
      <c r="G53" s="55"/>
      <c r="H53" s="60">
        <f>IF(ISBLANK(G53),0,ABS(Uzman_E!B$10-G53))</f>
        <v>0</v>
      </c>
      <c r="I53" s="52">
        <f>IF(ISBLANK(G53),0,INDEX(Tablo_E!$B$2:$CX$102,MATCH(ROUND(Uzman_E!B$10,1),Tablo_E!$A$2:$A$102,1),MATCH(ROUND(H53,1),Tablo_E!$B$1:$CX$1,1)))</f>
        <v>0</v>
      </c>
      <c r="J53" s="55"/>
      <c r="K53" s="60">
        <f>IF(ISBLANK(J53),0,ABS(Uzman_E!C$10-J53))</f>
        <v>0</v>
      </c>
      <c r="L53" s="52">
        <f>IF(ISBLANK(J53),0,INDEX(Tablo_E!$B$2:$CX$102,MATCH(ROUND(Uzman_E!C$10,1),Tablo_E!$A$2:$A$102,1),MATCH(ROUND(K53,1),Tablo_E!$B$1:$CX$1,1)))</f>
        <v>0</v>
      </c>
      <c r="M53" s="55"/>
      <c r="N53" s="60">
        <f>IF(ISBLANK(M53),0,ABS(Uzman_E!D$10-M53))</f>
        <v>0</v>
      </c>
      <c r="O53" s="52">
        <f>IF(ISBLANK(M53),0,INDEX(Tablo_E!$B$2:$CX$102,MATCH(ROUND(Uzman_E!D$10,1),Tablo_E!$A$2:$A$102,1),MATCH(ROUND(N53,1),Tablo_E!$B$1:$CX$1,1)))</f>
        <v>0</v>
      </c>
      <c r="P53" s="55"/>
      <c r="Q53" s="60">
        <f>IF(ISBLANK(P53),0,ABS(Uzman_E!E$10-P53))</f>
        <v>0</v>
      </c>
      <c r="R53" s="52">
        <f>IF(ISBLANK(P53),0,INDEX(Tablo_E!$B$2:$CX$102,MATCH(ROUND(Uzman_E!E$10,1),Tablo_E!$A$2:$A$102,1),MATCH(ROUND(Q53,1),Tablo_E!$B$1:$CX$1,1)))</f>
        <v>0</v>
      </c>
      <c r="S53" s="53">
        <f t="shared" si="1"/>
        <v>0</v>
      </c>
      <c r="T53" s="49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x14ac:dyDescent="0.45">
      <c r="A54" s="54">
        <v>51</v>
      </c>
      <c r="B54" s="35">
        <f>Hakemler!B54</f>
        <v>0</v>
      </c>
      <c r="C54" s="82">
        <f>Hakemler!C54</f>
        <v>0</v>
      </c>
      <c r="D54" s="55"/>
      <c r="E54" s="60">
        <f>IF(ISBLANK(D54),0,ABS(Uzman_E!A$10-D54))</f>
        <v>0</v>
      </c>
      <c r="F54" s="52">
        <f>IF(ISBLANK(D54),0,INDEX(Tablo_E!$B$2:$CX$102,MATCH(ROUND(Uzman_E!A$10,1),Tablo_E!$A$2:$A$102,1),MATCH(ROUND(E54,1),Tablo_E!$B$1:$CX$1,1)))</f>
        <v>0</v>
      </c>
      <c r="G54" s="55"/>
      <c r="H54" s="60">
        <f>IF(ISBLANK(G54),0,ABS(Uzman_E!B$10-G54))</f>
        <v>0</v>
      </c>
      <c r="I54" s="52">
        <f>IF(ISBLANK(G54),0,INDEX(Tablo_E!$B$2:$CX$102,MATCH(ROUND(Uzman_E!B$10,1),Tablo_E!$A$2:$A$102,1),MATCH(ROUND(H54,1),Tablo_E!$B$1:$CX$1,1)))</f>
        <v>0</v>
      </c>
      <c r="J54" s="55"/>
      <c r="K54" s="60">
        <f>IF(ISBLANK(J54),0,ABS(Uzman_E!C$10-J54))</f>
        <v>0</v>
      </c>
      <c r="L54" s="52">
        <f>IF(ISBLANK(J54),0,INDEX(Tablo_E!$B$2:$CX$102,MATCH(ROUND(Uzman_E!C$10,1),Tablo_E!$A$2:$A$102,1),MATCH(ROUND(K54,1),Tablo_E!$B$1:$CX$1,1)))</f>
        <v>0</v>
      </c>
      <c r="M54" s="55"/>
      <c r="N54" s="60">
        <f>IF(ISBLANK(M54),0,ABS(Uzman_E!D$10-M54))</f>
        <v>0</v>
      </c>
      <c r="O54" s="52">
        <f>IF(ISBLANK(M54),0,INDEX(Tablo_E!$B$2:$CX$102,MATCH(ROUND(Uzman_E!D$10,1),Tablo_E!$A$2:$A$102,1),MATCH(ROUND(N54,1),Tablo_E!$B$1:$CX$1,1)))</f>
        <v>0</v>
      </c>
      <c r="P54" s="55"/>
      <c r="Q54" s="60">
        <f>IF(ISBLANK(P54),0,ABS(Uzman_E!E$10-P54))</f>
        <v>0</v>
      </c>
      <c r="R54" s="52">
        <f>IF(ISBLANK(P54),0,INDEX(Tablo_E!$B$2:$CX$102,MATCH(ROUND(Uzman_E!E$10,1),Tablo_E!$A$2:$A$102,1),MATCH(ROUND(Q54,1),Tablo_E!$B$1:$CX$1,1)))</f>
        <v>0</v>
      </c>
      <c r="S54" s="53">
        <f t="shared" si="1"/>
        <v>0</v>
      </c>
      <c r="T54" s="49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x14ac:dyDescent="0.45">
      <c r="A55" s="54">
        <v>52</v>
      </c>
      <c r="B55" s="35">
        <f>Hakemler!B55</f>
        <v>0</v>
      </c>
      <c r="C55" s="82">
        <f>Hakemler!C55</f>
        <v>0</v>
      </c>
      <c r="D55" s="55"/>
      <c r="E55" s="60">
        <f>IF(ISBLANK(D55),0,ABS(Uzman_E!A$10-D55))</f>
        <v>0</v>
      </c>
      <c r="F55" s="52">
        <f>IF(ISBLANK(D55),0,INDEX(Tablo_E!$B$2:$CX$102,MATCH(ROUND(Uzman_E!A$10,1),Tablo_E!$A$2:$A$102,1),MATCH(ROUND(E55,1),Tablo_E!$B$1:$CX$1,1)))</f>
        <v>0</v>
      </c>
      <c r="G55" s="55"/>
      <c r="H55" s="60">
        <f>IF(ISBLANK(G55),0,ABS(Uzman_E!B$10-G55))</f>
        <v>0</v>
      </c>
      <c r="I55" s="52">
        <f>IF(ISBLANK(G55),0,INDEX(Tablo_E!$B$2:$CX$102,MATCH(ROUND(Uzman_E!B$10,1),Tablo_E!$A$2:$A$102,1),MATCH(ROUND(H55,1),Tablo_E!$B$1:$CX$1,1)))</f>
        <v>0</v>
      </c>
      <c r="J55" s="55"/>
      <c r="K55" s="60">
        <f>IF(ISBLANK(J55),0,ABS(Uzman_E!C$10-J55))</f>
        <v>0</v>
      </c>
      <c r="L55" s="52">
        <f>IF(ISBLANK(J55),0,INDEX(Tablo_E!$B$2:$CX$102,MATCH(ROUND(Uzman_E!C$10,1),Tablo_E!$A$2:$A$102,1),MATCH(ROUND(K55,1),Tablo_E!$B$1:$CX$1,1)))</f>
        <v>0</v>
      </c>
      <c r="M55" s="55"/>
      <c r="N55" s="60">
        <f>IF(ISBLANK(M55),0,ABS(Uzman_E!D$10-M55))</f>
        <v>0</v>
      </c>
      <c r="O55" s="52">
        <f>IF(ISBLANK(M55),0,INDEX(Tablo_E!$B$2:$CX$102,MATCH(ROUND(Uzman_E!D$10,1),Tablo_E!$A$2:$A$102,1),MATCH(ROUND(N55,1),Tablo_E!$B$1:$CX$1,1)))</f>
        <v>0</v>
      </c>
      <c r="P55" s="55"/>
      <c r="Q55" s="60">
        <f>IF(ISBLANK(P55),0,ABS(Uzman_E!E$10-P55))</f>
        <v>0</v>
      </c>
      <c r="R55" s="52">
        <f>IF(ISBLANK(P55),0,INDEX(Tablo_E!$B$2:$CX$102,MATCH(ROUND(Uzman_E!E$10,1),Tablo_E!$A$2:$A$102,1),MATCH(ROUND(Q55,1),Tablo_E!$B$1:$CX$1,1)))</f>
        <v>0</v>
      </c>
      <c r="S55" s="53">
        <f t="shared" si="1"/>
        <v>0</v>
      </c>
      <c r="T55" s="49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x14ac:dyDescent="0.45">
      <c r="A56" s="54">
        <v>53</v>
      </c>
      <c r="B56" s="35">
        <f>Hakemler!B56</f>
        <v>0</v>
      </c>
      <c r="C56" s="81">
        <f>Hakemler!C56</f>
        <v>0</v>
      </c>
      <c r="D56" s="55"/>
      <c r="E56" s="60">
        <f>IF(ISBLANK(D56),0,ABS(Uzman_E!A$10-D56))</f>
        <v>0</v>
      </c>
      <c r="F56" s="52">
        <f>IF(ISBLANK(D56),0,INDEX(Tablo_E!$B$2:$CX$102,MATCH(ROUND(Uzman_E!A$10,1),Tablo_E!$A$2:$A$102,1),MATCH(ROUND(E56,1),Tablo_E!$B$1:$CX$1,1)))</f>
        <v>0</v>
      </c>
      <c r="G56" s="55"/>
      <c r="H56" s="60">
        <f>IF(ISBLANK(G56),0,ABS(Uzman_E!B$10-G56))</f>
        <v>0</v>
      </c>
      <c r="I56" s="52">
        <f>IF(ISBLANK(G56),0,INDEX(Tablo_E!$B$2:$CX$102,MATCH(ROUND(Uzman_E!B$10,1),Tablo_E!$A$2:$A$102,1),MATCH(ROUND(H56,1),Tablo_E!$B$1:$CX$1,1)))</f>
        <v>0</v>
      </c>
      <c r="J56" s="55"/>
      <c r="K56" s="60">
        <f>IF(ISBLANK(J56),0,ABS(Uzman_E!C$10-J56))</f>
        <v>0</v>
      </c>
      <c r="L56" s="52">
        <f>IF(ISBLANK(J56),0,INDEX(Tablo_E!$B$2:$CX$102,MATCH(ROUND(Uzman_E!C$10,1),Tablo_E!$A$2:$A$102,1),MATCH(ROUND(K56,1),Tablo_E!$B$1:$CX$1,1)))</f>
        <v>0</v>
      </c>
      <c r="M56" s="55"/>
      <c r="N56" s="60">
        <f>IF(ISBLANK(M56),0,ABS(Uzman_E!D$10-M56))</f>
        <v>0</v>
      </c>
      <c r="O56" s="52">
        <f>IF(ISBLANK(M56),0,INDEX(Tablo_E!$B$2:$CX$102,MATCH(ROUND(Uzman_E!D$10,1),Tablo_E!$A$2:$A$102,1),MATCH(ROUND(N56,1),Tablo_E!$B$1:$CX$1,1)))</f>
        <v>0</v>
      </c>
      <c r="P56" s="55"/>
      <c r="Q56" s="60">
        <f>IF(ISBLANK(P56),0,ABS(Uzman_E!E$10-P56))</f>
        <v>0</v>
      </c>
      <c r="R56" s="52">
        <f>IF(ISBLANK(P56),0,INDEX(Tablo_E!$B$2:$CX$102,MATCH(ROUND(Uzman_E!E$10,1),Tablo_E!$A$2:$A$102,1),MATCH(ROUND(Q56,1),Tablo_E!$B$1:$CX$1,1)))</f>
        <v>0</v>
      </c>
      <c r="S56" s="53">
        <f t="shared" si="1"/>
        <v>0</v>
      </c>
      <c r="T56" s="49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x14ac:dyDescent="0.45">
      <c r="A57" s="54">
        <v>54</v>
      </c>
      <c r="B57" s="80">
        <f>Hakemler!B57</f>
        <v>0</v>
      </c>
      <c r="C57" s="81">
        <f>Hakemler!C57</f>
        <v>0</v>
      </c>
      <c r="D57" s="55"/>
      <c r="E57" s="60">
        <f>IF(ISBLANK(D57),0,ABS(Uzman_E!A$10-D57))</f>
        <v>0</v>
      </c>
      <c r="F57" s="52">
        <f>IF(ISBLANK(D57),0,INDEX(Tablo_E!$B$2:$CX$102,MATCH(ROUND(Uzman_E!A$10,1),Tablo_E!$A$2:$A$102,1),MATCH(ROUND(E57,1),Tablo_E!$B$1:$CX$1,1)))</f>
        <v>0</v>
      </c>
      <c r="G57" s="55"/>
      <c r="H57" s="60">
        <f>IF(ISBLANK(G57),0,ABS(Uzman_E!B$10-G57))</f>
        <v>0</v>
      </c>
      <c r="I57" s="52">
        <f>IF(ISBLANK(G57),0,INDEX(Tablo_E!$B$2:$CX$102,MATCH(ROUND(Uzman_E!B$10,1),Tablo_E!$A$2:$A$102,1),MATCH(ROUND(H57,1),Tablo_E!$B$1:$CX$1,1)))</f>
        <v>0</v>
      </c>
      <c r="J57" s="55"/>
      <c r="K57" s="60">
        <f>IF(ISBLANK(J57),0,ABS(Uzman_E!C$10-J57))</f>
        <v>0</v>
      </c>
      <c r="L57" s="52">
        <f>IF(ISBLANK(J57),0,INDEX(Tablo_E!$B$2:$CX$102,MATCH(ROUND(Uzman_E!C$10,1),Tablo_E!$A$2:$A$102,1),MATCH(ROUND(K57,1),Tablo_E!$B$1:$CX$1,1)))</f>
        <v>0</v>
      </c>
      <c r="M57" s="55"/>
      <c r="N57" s="60">
        <f>IF(ISBLANK(M57),0,ABS(Uzman_E!D$10-M57))</f>
        <v>0</v>
      </c>
      <c r="O57" s="52">
        <f>IF(ISBLANK(M57),0,INDEX(Tablo_E!$B$2:$CX$102,MATCH(ROUND(Uzman_E!D$10,1),Tablo_E!$A$2:$A$102,1),MATCH(ROUND(N57,1),Tablo_E!$B$1:$CX$1,1)))</f>
        <v>0</v>
      </c>
      <c r="P57" s="55"/>
      <c r="Q57" s="60">
        <f>IF(ISBLANK(P57),0,ABS(Uzman_E!E$10-P57))</f>
        <v>0</v>
      </c>
      <c r="R57" s="52">
        <f>IF(ISBLANK(P57),0,INDEX(Tablo_E!$B$2:$CX$102,MATCH(ROUND(Uzman_E!E$10,1),Tablo_E!$A$2:$A$102,1),MATCH(ROUND(Q57,1),Tablo_E!$B$1:$CX$1,1)))</f>
        <v>0</v>
      </c>
      <c r="S57" s="53">
        <f t="shared" si="1"/>
        <v>0</v>
      </c>
      <c r="T57" s="49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x14ac:dyDescent="0.45">
      <c r="A58" s="54">
        <v>55</v>
      </c>
      <c r="B58" s="35">
        <f>Hakemler!B58</f>
        <v>0</v>
      </c>
      <c r="C58" s="82">
        <f>Hakemler!C58</f>
        <v>0</v>
      </c>
      <c r="D58" s="55"/>
      <c r="E58" s="60">
        <f>IF(ISBLANK(D58),0,ABS(Uzman_E!A$10-D58))</f>
        <v>0</v>
      </c>
      <c r="F58" s="52">
        <f>IF(ISBLANK(D58),0,INDEX(Tablo_E!$B$2:$CX$102,MATCH(ROUND(Uzman_E!A$10,1),Tablo_E!$A$2:$A$102,1),MATCH(ROUND(E58,1),Tablo_E!$B$1:$CX$1,1)))</f>
        <v>0</v>
      </c>
      <c r="G58" s="55"/>
      <c r="H58" s="60">
        <f>IF(ISBLANK(G58),0,ABS(Uzman_E!B$10-G58))</f>
        <v>0</v>
      </c>
      <c r="I58" s="52">
        <f>IF(ISBLANK(G58),0,INDEX(Tablo_E!$B$2:$CX$102,MATCH(ROUND(Uzman_E!B$10,1),Tablo_E!$A$2:$A$102,1),MATCH(ROUND(H58,1),Tablo_E!$B$1:$CX$1,1)))</f>
        <v>0</v>
      </c>
      <c r="J58" s="55"/>
      <c r="K58" s="60">
        <f>IF(ISBLANK(J58),0,ABS(Uzman_E!C$10-J58))</f>
        <v>0</v>
      </c>
      <c r="L58" s="52">
        <f>IF(ISBLANK(J58),0,INDEX(Tablo_E!$B$2:$CX$102,MATCH(ROUND(Uzman_E!C$10,1),Tablo_E!$A$2:$A$102,1),MATCH(ROUND(K58,1),Tablo_E!$B$1:$CX$1,1)))</f>
        <v>0</v>
      </c>
      <c r="M58" s="55"/>
      <c r="N58" s="60">
        <f>IF(ISBLANK(M58),0,ABS(Uzman_E!D$10-M58))</f>
        <v>0</v>
      </c>
      <c r="O58" s="52">
        <f>IF(ISBLANK(M58),0,INDEX(Tablo_E!$B$2:$CX$102,MATCH(ROUND(Uzman_E!D$10,1),Tablo_E!$A$2:$A$102,1),MATCH(ROUND(N58,1),Tablo_E!$B$1:$CX$1,1)))</f>
        <v>0</v>
      </c>
      <c r="P58" s="55"/>
      <c r="Q58" s="60">
        <f>IF(ISBLANK(P58),0,ABS(Uzman_E!E$10-P58))</f>
        <v>0</v>
      </c>
      <c r="R58" s="52">
        <f>IF(ISBLANK(P58),0,INDEX(Tablo_E!$B$2:$CX$102,MATCH(ROUND(Uzman_E!E$10,1),Tablo_E!$A$2:$A$102,1),MATCH(ROUND(Q58,1),Tablo_E!$B$1:$CX$1,1)))</f>
        <v>0</v>
      </c>
      <c r="S58" s="53">
        <f t="shared" si="1"/>
        <v>0</v>
      </c>
      <c r="T58" s="49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x14ac:dyDescent="0.45">
      <c r="A59" s="54">
        <v>56</v>
      </c>
      <c r="B59" s="80">
        <f>Hakemler!B59</f>
        <v>0</v>
      </c>
      <c r="C59" s="81">
        <f>Hakemler!C59</f>
        <v>0</v>
      </c>
      <c r="D59" s="55"/>
      <c r="E59" s="60">
        <f>IF(ISBLANK(D59),0,ABS(Uzman_E!A$10-D59))</f>
        <v>0</v>
      </c>
      <c r="F59" s="52">
        <f>IF(ISBLANK(D59),0,INDEX(Tablo_E!$B$2:$CX$102,MATCH(ROUND(Uzman_E!A$10,1),Tablo_E!$A$2:$A$102,1),MATCH(ROUND(E59,1),Tablo_E!$B$1:$CX$1,1)))</f>
        <v>0</v>
      </c>
      <c r="G59" s="55"/>
      <c r="H59" s="60">
        <f>IF(ISBLANK(G59),0,ABS(Uzman_E!B$10-G59))</f>
        <v>0</v>
      </c>
      <c r="I59" s="52">
        <f>IF(ISBLANK(G59),0,INDEX(Tablo_E!$B$2:$CX$102,MATCH(ROUND(Uzman_E!B$10,1),Tablo_E!$A$2:$A$102,1),MATCH(ROUND(H59,1),Tablo_E!$B$1:$CX$1,1)))</f>
        <v>0</v>
      </c>
      <c r="J59" s="55"/>
      <c r="K59" s="60">
        <f>IF(ISBLANK(J59),0,ABS(Uzman_E!C$10-J59))</f>
        <v>0</v>
      </c>
      <c r="L59" s="52">
        <f>IF(ISBLANK(J59),0,INDEX(Tablo_E!$B$2:$CX$102,MATCH(ROUND(Uzman_E!C$10,1),Tablo_E!$A$2:$A$102,1),MATCH(ROUND(K59,1),Tablo_E!$B$1:$CX$1,1)))</f>
        <v>0</v>
      </c>
      <c r="M59" s="55"/>
      <c r="N59" s="60">
        <f>IF(ISBLANK(M59),0,ABS(Uzman_E!D$10-M59))</f>
        <v>0</v>
      </c>
      <c r="O59" s="52">
        <f>IF(ISBLANK(M59),0,INDEX(Tablo_E!$B$2:$CX$102,MATCH(ROUND(Uzman_E!D$10,1),Tablo_E!$A$2:$A$102,1),MATCH(ROUND(N59,1),Tablo_E!$B$1:$CX$1,1)))</f>
        <v>0</v>
      </c>
      <c r="P59" s="55"/>
      <c r="Q59" s="60">
        <f>IF(ISBLANK(P59),0,ABS(Uzman_E!E$10-P59))</f>
        <v>0</v>
      </c>
      <c r="R59" s="52">
        <f>IF(ISBLANK(P59),0,INDEX(Tablo_E!$B$2:$CX$102,MATCH(ROUND(Uzman_E!E$10,1),Tablo_E!$A$2:$A$102,1),MATCH(ROUND(Q59,1),Tablo_E!$B$1:$CX$1,1)))</f>
        <v>0</v>
      </c>
      <c r="S59" s="53">
        <f t="shared" si="1"/>
        <v>0</v>
      </c>
      <c r="T59" s="49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x14ac:dyDescent="0.45">
      <c r="A60" s="54">
        <v>57</v>
      </c>
      <c r="B60" s="35">
        <f>Hakemler!B60</f>
        <v>0</v>
      </c>
      <c r="C60" s="82">
        <f>Hakemler!C60</f>
        <v>0</v>
      </c>
      <c r="D60" s="55"/>
      <c r="E60" s="60">
        <f>IF(ISBLANK(D60),0,ABS(Uzman_E!A$10-D60))</f>
        <v>0</v>
      </c>
      <c r="F60" s="52">
        <f>IF(ISBLANK(D60),0,INDEX(Tablo_E!$B$2:$CX$102,MATCH(ROUND(Uzman_E!A$10,1),Tablo_E!$A$2:$A$102,1),MATCH(ROUND(E60,1),Tablo_E!$B$1:$CX$1,1)))</f>
        <v>0</v>
      </c>
      <c r="G60" s="55"/>
      <c r="H60" s="60">
        <f>IF(ISBLANK(G60),0,ABS(Uzman_E!B$10-G60))</f>
        <v>0</v>
      </c>
      <c r="I60" s="52">
        <f>IF(ISBLANK(G60),0,INDEX(Tablo_E!$B$2:$CX$102,MATCH(ROUND(Uzman_E!B$10,1),Tablo_E!$A$2:$A$102,1),MATCH(ROUND(H60,1),Tablo_E!$B$1:$CX$1,1)))</f>
        <v>0</v>
      </c>
      <c r="J60" s="55"/>
      <c r="K60" s="60">
        <f>IF(ISBLANK(J60),0,ABS(Uzman_E!C$10-J60))</f>
        <v>0</v>
      </c>
      <c r="L60" s="52">
        <f>IF(ISBLANK(J60),0,INDEX(Tablo_E!$B$2:$CX$102,MATCH(ROUND(Uzman_E!C$10,1),Tablo_E!$A$2:$A$102,1),MATCH(ROUND(K60,1),Tablo_E!$B$1:$CX$1,1)))</f>
        <v>0</v>
      </c>
      <c r="M60" s="55"/>
      <c r="N60" s="60">
        <f>IF(ISBLANK(M60),0,ABS(Uzman_E!D$10-M60))</f>
        <v>0</v>
      </c>
      <c r="O60" s="52">
        <f>IF(ISBLANK(M60),0,INDEX(Tablo_E!$B$2:$CX$102,MATCH(ROUND(Uzman_E!D$10,1),Tablo_E!$A$2:$A$102,1),MATCH(ROUND(N60,1),Tablo_E!$B$1:$CX$1,1)))</f>
        <v>0</v>
      </c>
      <c r="P60" s="55"/>
      <c r="Q60" s="60">
        <f>IF(ISBLANK(P60),0,ABS(Uzman_E!E$10-P60))</f>
        <v>0</v>
      </c>
      <c r="R60" s="52">
        <f>IF(ISBLANK(P60),0,INDEX(Tablo_E!$B$2:$CX$102,MATCH(ROUND(Uzman_E!E$10,1),Tablo_E!$A$2:$A$102,1),MATCH(ROUND(Q60,1),Tablo_E!$B$1:$CX$1,1)))</f>
        <v>0</v>
      </c>
      <c r="S60" s="53">
        <f t="shared" si="1"/>
        <v>0</v>
      </c>
      <c r="T60" s="49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x14ac:dyDescent="0.45">
      <c r="A61" s="54">
        <v>58</v>
      </c>
      <c r="B61" s="80">
        <f>Hakemler!B61</f>
        <v>0</v>
      </c>
      <c r="C61" s="81">
        <f>Hakemler!C61</f>
        <v>0</v>
      </c>
      <c r="D61" s="55"/>
      <c r="E61" s="60">
        <f>IF(ISBLANK(D61),0,ABS(Uzman_E!A$10-D61))</f>
        <v>0</v>
      </c>
      <c r="F61" s="52">
        <f>IF(ISBLANK(D61),0,INDEX(Tablo_E!$B$2:$CX$102,MATCH(ROUND(Uzman_E!A$10,1),Tablo_E!$A$2:$A$102,1),MATCH(ROUND(E61,1),Tablo_E!$B$1:$CX$1,1)))</f>
        <v>0</v>
      </c>
      <c r="G61" s="55"/>
      <c r="H61" s="60">
        <f>IF(ISBLANK(G61),0,ABS(Uzman_E!B$10-G61))</f>
        <v>0</v>
      </c>
      <c r="I61" s="52">
        <f>IF(ISBLANK(G61),0,INDEX(Tablo_E!$B$2:$CX$102,MATCH(ROUND(Uzman_E!B$10,1),Tablo_E!$A$2:$A$102,1),MATCH(ROUND(H61,1),Tablo_E!$B$1:$CX$1,1)))</f>
        <v>0</v>
      </c>
      <c r="J61" s="55"/>
      <c r="K61" s="60">
        <f>IF(ISBLANK(J61),0,ABS(Uzman_E!C$10-J61))</f>
        <v>0</v>
      </c>
      <c r="L61" s="52">
        <f>IF(ISBLANK(J61),0,INDEX(Tablo_E!$B$2:$CX$102,MATCH(ROUND(Uzman_E!C$10,1),Tablo_E!$A$2:$A$102,1),MATCH(ROUND(K61,1),Tablo_E!$B$1:$CX$1,1)))</f>
        <v>0</v>
      </c>
      <c r="M61" s="55"/>
      <c r="N61" s="60">
        <f>IF(ISBLANK(M61),0,ABS(Uzman_E!D$10-M61))</f>
        <v>0</v>
      </c>
      <c r="O61" s="52">
        <f>IF(ISBLANK(M61),0,INDEX(Tablo_E!$B$2:$CX$102,MATCH(ROUND(Uzman_E!D$10,1),Tablo_E!$A$2:$A$102,1),MATCH(ROUND(N61,1),Tablo_E!$B$1:$CX$1,1)))</f>
        <v>0</v>
      </c>
      <c r="P61" s="55"/>
      <c r="Q61" s="60">
        <f>IF(ISBLANK(P61),0,ABS(Uzman_E!E$10-P61))</f>
        <v>0</v>
      </c>
      <c r="R61" s="52">
        <f>IF(ISBLANK(P61),0,INDEX(Tablo_E!$B$2:$CX$102,MATCH(ROUND(Uzman_E!E$10,1),Tablo_E!$A$2:$A$102,1),MATCH(ROUND(Q61,1),Tablo_E!$B$1:$CX$1,1)))</f>
        <v>0</v>
      </c>
      <c r="S61" s="53">
        <f t="shared" si="1"/>
        <v>0</v>
      </c>
      <c r="T61" s="49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x14ac:dyDescent="0.45">
      <c r="A62" s="54">
        <v>59</v>
      </c>
      <c r="B62" s="80">
        <f>Hakemler!B62</f>
        <v>0</v>
      </c>
      <c r="C62" s="81">
        <f>Hakemler!C62</f>
        <v>0</v>
      </c>
      <c r="D62" s="55"/>
      <c r="E62" s="60">
        <f>IF(ISBLANK(D62),0,ABS(Uzman_E!A$10-D62))</f>
        <v>0</v>
      </c>
      <c r="F62" s="52">
        <f>IF(ISBLANK(D62),0,INDEX(Tablo_E!$B$2:$CX$102,MATCH(ROUND(Uzman_E!A$10,1),Tablo_E!$A$2:$A$102,1),MATCH(ROUND(E62,1),Tablo_E!$B$1:$CX$1,1)))</f>
        <v>0</v>
      </c>
      <c r="G62" s="55"/>
      <c r="H62" s="60">
        <f>IF(ISBLANK(G62),0,ABS(Uzman_E!B$10-G62))</f>
        <v>0</v>
      </c>
      <c r="I62" s="52">
        <f>IF(ISBLANK(G62),0,INDEX(Tablo_E!$B$2:$CX$102,MATCH(ROUND(Uzman_E!B$10,1),Tablo_E!$A$2:$A$102,1),MATCH(ROUND(H62,1),Tablo_E!$B$1:$CX$1,1)))</f>
        <v>0</v>
      </c>
      <c r="J62" s="55"/>
      <c r="K62" s="60">
        <f>IF(ISBLANK(J62),0,ABS(Uzman_E!C$10-J62))</f>
        <v>0</v>
      </c>
      <c r="L62" s="52">
        <f>IF(ISBLANK(J62),0,INDEX(Tablo_E!$B$2:$CX$102,MATCH(ROUND(Uzman_E!C$10,1),Tablo_E!$A$2:$A$102,1),MATCH(ROUND(K62,1),Tablo_E!$B$1:$CX$1,1)))</f>
        <v>0</v>
      </c>
      <c r="M62" s="55"/>
      <c r="N62" s="60">
        <f>IF(ISBLANK(M62),0,ABS(Uzman_E!D$10-M62))</f>
        <v>0</v>
      </c>
      <c r="O62" s="52">
        <f>IF(ISBLANK(M62),0,INDEX(Tablo_E!$B$2:$CX$102,MATCH(ROUND(Uzman_E!D$10,1),Tablo_E!$A$2:$A$102,1),MATCH(ROUND(N62,1),Tablo_E!$B$1:$CX$1,1)))</f>
        <v>0</v>
      </c>
      <c r="P62" s="55"/>
      <c r="Q62" s="60">
        <f>IF(ISBLANK(P62),0,ABS(Uzman_E!E$10-P62))</f>
        <v>0</v>
      </c>
      <c r="R62" s="52">
        <f>IF(ISBLANK(P62),0,INDEX(Tablo_E!$B$2:$CX$102,MATCH(ROUND(Uzman_E!E$10,1),Tablo_E!$A$2:$A$102,1),MATCH(ROUND(Q62,1),Tablo_E!$B$1:$CX$1,1)))</f>
        <v>0</v>
      </c>
      <c r="S62" s="53">
        <f t="shared" si="1"/>
        <v>0</v>
      </c>
      <c r="T62" s="49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x14ac:dyDescent="0.45">
      <c r="A63" s="54">
        <v>60</v>
      </c>
      <c r="B63" s="80">
        <f>Hakemler!B63</f>
        <v>0</v>
      </c>
      <c r="C63" s="81">
        <f>Hakemler!C63</f>
        <v>0</v>
      </c>
      <c r="D63" s="55"/>
      <c r="E63" s="60">
        <f>IF(ISBLANK(D63),0,ABS(Uzman_E!A$10-D63))</f>
        <v>0</v>
      </c>
      <c r="F63" s="52">
        <f>IF(ISBLANK(D63),0,INDEX(Tablo_E!$B$2:$CX$102,MATCH(ROUND(Uzman_E!A$10,1),Tablo_E!$A$2:$A$102,1),MATCH(ROUND(E63,1),Tablo_E!$B$1:$CX$1,1)))</f>
        <v>0</v>
      </c>
      <c r="G63" s="55"/>
      <c r="H63" s="60">
        <f>IF(ISBLANK(G63),0,ABS(Uzman_E!B$10-G63))</f>
        <v>0</v>
      </c>
      <c r="I63" s="52">
        <f>IF(ISBLANK(G63),0,INDEX(Tablo_E!$B$2:$CX$102,MATCH(ROUND(Uzman_E!B$10,1),Tablo_E!$A$2:$A$102,1),MATCH(ROUND(H63,1),Tablo_E!$B$1:$CX$1,1)))</f>
        <v>0</v>
      </c>
      <c r="J63" s="55"/>
      <c r="K63" s="60">
        <f>IF(ISBLANK(J63),0,ABS(Uzman_E!C$10-J63))</f>
        <v>0</v>
      </c>
      <c r="L63" s="52">
        <f>IF(ISBLANK(J63),0,INDEX(Tablo_E!$B$2:$CX$102,MATCH(ROUND(Uzman_E!C$10,1),Tablo_E!$A$2:$A$102,1),MATCH(ROUND(K63,1),Tablo_E!$B$1:$CX$1,1)))</f>
        <v>0</v>
      </c>
      <c r="M63" s="55"/>
      <c r="N63" s="60">
        <f>IF(ISBLANK(M63),0,ABS(Uzman_E!D$10-M63))</f>
        <v>0</v>
      </c>
      <c r="O63" s="52">
        <f>IF(ISBLANK(M63),0,INDEX(Tablo_E!$B$2:$CX$102,MATCH(ROUND(Uzman_E!D$10,1),Tablo_E!$A$2:$A$102,1),MATCH(ROUND(N63,1),Tablo_E!$B$1:$CX$1,1)))</f>
        <v>0</v>
      </c>
      <c r="P63" s="55"/>
      <c r="Q63" s="60">
        <f>IF(ISBLANK(P63),0,ABS(Uzman_E!E$10-P63))</f>
        <v>0</v>
      </c>
      <c r="R63" s="52">
        <f>IF(ISBLANK(P63),0,INDEX(Tablo_E!$B$2:$CX$102,MATCH(ROUND(Uzman_E!E$10,1),Tablo_E!$A$2:$A$102,1),MATCH(ROUND(Q63,1),Tablo_E!$B$1:$CX$1,1)))</f>
        <v>0</v>
      </c>
      <c r="S63" s="53">
        <f t="shared" si="1"/>
        <v>0</v>
      </c>
      <c r="T63" s="49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x14ac:dyDescent="0.45">
      <c r="A64" s="54">
        <v>61</v>
      </c>
      <c r="B64" s="80">
        <f>Hakemler!B64</f>
        <v>0</v>
      </c>
      <c r="C64" s="81">
        <f>Hakemler!C64</f>
        <v>0</v>
      </c>
      <c r="D64" s="55"/>
      <c r="E64" s="60">
        <f>IF(ISBLANK(D64),0,ABS(Uzman_E!A$10-D64))</f>
        <v>0</v>
      </c>
      <c r="F64" s="52">
        <f>IF(ISBLANK(D64),0,INDEX(Tablo_E!$B$2:$CX$102,MATCH(ROUND(Uzman_E!A$10,1),Tablo_E!$A$2:$A$102,1),MATCH(ROUND(E64,1),Tablo_E!$B$1:$CX$1,1)))</f>
        <v>0</v>
      </c>
      <c r="G64" s="55"/>
      <c r="H64" s="60">
        <f>IF(ISBLANK(G64),0,ABS(Uzman_E!B$10-G64))</f>
        <v>0</v>
      </c>
      <c r="I64" s="52">
        <f>IF(ISBLANK(G64),0,INDEX(Tablo_E!$B$2:$CX$102,MATCH(ROUND(Uzman_E!B$10,1),Tablo_E!$A$2:$A$102,1),MATCH(ROUND(H64,1),Tablo_E!$B$1:$CX$1,1)))</f>
        <v>0</v>
      </c>
      <c r="J64" s="55"/>
      <c r="K64" s="60">
        <f>IF(ISBLANK(J64),0,ABS(Uzman_E!C$10-J64))</f>
        <v>0</v>
      </c>
      <c r="L64" s="52">
        <f>IF(ISBLANK(J64),0,INDEX(Tablo_E!$B$2:$CX$102,MATCH(ROUND(Uzman_E!C$10,1),Tablo_E!$A$2:$A$102,1),MATCH(ROUND(K64,1),Tablo_E!$B$1:$CX$1,1)))</f>
        <v>0</v>
      </c>
      <c r="M64" s="55"/>
      <c r="N64" s="60">
        <f>IF(ISBLANK(M64),0,ABS(Uzman_E!D$10-M64))</f>
        <v>0</v>
      </c>
      <c r="O64" s="52">
        <f>IF(ISBLANK(M64),0,INDEX(Tablo_E!$B$2:$CX$102,MATCH(ROUND(Uzman_E!D$10,1),Tablo_E!$A$2:$A$102,1),MATCH(ROUND(N64,1),Tablo_E!$B$1:$CX$1,1)))</f>
        <v>0</v>
      </c>
      <c r="P64" s="55"/>
      <c r="Q64" s="60">
        <f>IF(ISBLANK(P64),0,ABS(Uzman_E!E$10-P64))</f>
        <v>0</v>
      </c>
      <c r="R64" s="52">
        <f>IF(ISBLANK(P64),0,INDEX(Tablo_E!$B$2:$CX$102,MATCH(ROUND(Uzman_E!E$10,1),Tablo_E!$A$2:$A$102,1),MATCH(ROUND(Q64,1),Tablo_E!$B$1:$CX$1,1)))</f>
        <v>0</v>
      </c>
      <c r="S64" s="53">
        <f t="shared" si="1"/>
        <v>0</v>
      </c>
      <c r="T64" s="49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x14ac:dyDescent="0.45">
      <c r="A65" s="54">
        <v>62</v>
      </c>
      <c r="B65" s="80">
        <f>Hakemler!B65</f>
        <v>0</v>
      </c>
      <c r="C65" s="81">
        <f>Hakemler!C65</f>
        <v>0</v>
      </c>
      <c r="D65" s="55"/>
      <c r="E65" s="60">
        <f>IF(ISBLANK(D65),0,ABS(Uzman_E!A$10-D65))</f>
        <v>0</v>
      </c>
      <c r="F65" s="52">
        <f>IF(ISBLANK(D65),0,INDEX(Tablo_E!$B$2:$CX$102,MATCH(ROUND(Uzman_E!A$10,1),Tablo_E!$A$2:$A$102,1),MATCH(ROUND(E65,1),Tablo_E!$B$1:$CX$1,1)))</f>
        <v>0</v>
      </c>
      <c r="G65" s="55"/>
      <c r="H65" s="60">
        <f>IF(ISBLANK(G65),0,ABS(Uzman_E!B$10-G65))</f>
        <v>0</v>
      </c>
      <c r="I65" s="52">
        <f>IF(ISBLANK(G65),0,INDEX(Tablo_E!$B$2:$CX$102,MATCH(ROUND(Uzman_E!B$10,1),Tablo_E!$A$2:$A$102,1),MATCH(ROUND(H65,1),Tablo_E!$B$1:$CX$1,1)))</f>
        <v>0</v>
      </c>
      <c r="J65" s="55"/>
      <c r="K65" s="60">
        <f>IF(ISBLANK(J65),0,ABS(Uzman_E!C$10-J65))</f>
        <v>0</v>
      </c>
      <c r="L65" s="52">
        <f>IF(ISBLANK(J65),0,INDEX(Tablo_E!$B$2:$CX$102,MATCH(ROUND(Uzman_E!C$10,1),Tablo_E!$A$2:$A$102,1),MATCH(ROUND(K65,1),Tablo_E!$B$1:$CX$1,1)))</f>
        <v>0</v>
      </c>
      <c r="M65" s="55"/>
      <c r="N65" s="60">
        <f>IF(ISBLANK(M65),0,ABS(Uzman_E!D$10-M65))</f>
        <v>0</v>
      </c>
      <c r="O65" s="52">
        <f>IF(ISBLANK(M65),0,INDEX(Tablo_E!$B$2:$CX$102,MATCH(ROUND(Uzman_E!D$10,1),Tablo_E!$A$2:$A$102,1),MATCH(ROUND(N65,1),Tablo_E!$B$1:$CX$1,1)))</f>
        <v>0</v>
      </c>
      <c r="P65" s="55"/>
      <c r="Q65" s="60">
        <f>IF(ISBLANK(P65),0,ABS(Uzman_E!E$10-P65))</f>
        <v>0</v>
      </c>
      <c r="R65" s="52">
        <f>IF(ISBLANK(P65),0,INDEX(Tablo_E!$B$2:$CX$102,MATCH(ROUND(Uzman_E!E$10,1),Tablo_E!$A$2:$A$102,1),MATCH(ROUND(Q65,1),Tablo_E!$B$1:$CX$1,1)))</f>
        <v>0</v>
      </c>
      <c r="S65" s="53">
        <f t="shared" si="1"/>
        <v>0</v>
      </c>
      <c r="T65" s="49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x14ac:dyDescent="0.45">
      <c r="A66" s="54">
        <v>63</v>
      </c>
      <c r="B66" s="80">
        <f>Hakemler!B66</f>
        <v>0</v>
      </c>
      <c r="C66" s="81">
        <f>Hakemler!C66</f>
        <v>0</v>
      </c>
      <c r="D66" s="55"/>
      <c r="E66" s="60">
        <f>IF(ISBLANK(D66),0,ABS(Uzman_E!A$10-D66))</f>
        <v>0</v>
      </c>
      <c r="F66" s="52">
        <f>IF(ISBLANK(D66),0,INDEX(Tablo_E!$B$2:$CX$102,MATCH(ROUND(Uzman_E!A$10,1),Tablo_E!$A$2:$A$102,1),MATCH(ROUND(E66,1),Tablo_E!$B$1:$CX$1,1)))</f>
        <v>0</v>
      </c>
      <c r="G66" s="55"/>
      <c r="H66" s="60">
        <f>IF(ISBLANK(G66),0,ABS(Uzman_E!B$10-G66))</f>
        <v>0</v>
      </c>
      <c r="I66" s="52">
        <f>IF(ISBLANK(G66),0,INDEX(Tablo_E!$B$2:$CX$102,MATCH(ROUND(Uzman_E!B$10,1),Tablo_E!$A$2:$A$102,1),MATCH(ROUND(H66,1),Tablo_E!$B$1:$CX$1,1)))</f>
        <v>0</v>
      </c>
      <c r="J66" s="55"/>
      <c r="K66" s="60">
        <f>IF(ISBLANK(J66),0,ABS(Uzman_E!C$10-J66))</f>
        <v>0</v>
      </c>
      <c r="L66" s="52">
        <f>IF(ISBLANK(J66),0,INDEX(Tablo_E!$B$2:$CX$102,MATCH(ROUND(Uzman_E!C$10,1),Tablo_E!$A$2:$A$102,1),MATCH(ROUND(K66,1),Tablo_E!$B$1:$CX$1,1)))</f>
        <v>0</v>
      </c>
      <c r="M66" s="55"/>
      <c r="N66" s="60">
        <f>IF(ISBLANK(M66),0,ABS(Uzman_E!D$10-M66))</f>
        <v>0</v>
      </c>
      <c r="O66" s="52">
        <f>IF(ISBLANK(M66),0,INDEX(Tablo_E!$B$2:$CX$102,MATCH(ROUND(Uzman_E!D$10,1),Tablo_E!$A$2:$A$102,1),MATCH(ROUND(N66,1),Tablo_E!$B$1:$CX$1,1)))</f>
        <v>0</v>
      </c>
      <c r="P66" s="55"/>
      <c r="Q66" s="60">
        <f>IF(ISBLANK(P66),0,ABS(Uzman_E!E$10-P66))</f>
        <v>0</v>
      </c>
      <c r="R66" s="52">
        <f>IF(ISBLANK(P66),0,INDEX(Tablo_E!$B$2:$CX$102,MATCH(ROUND(Uzman_E!E$10,1),Tablo_E!$A$2:$A$102,1),MATCH(ROUND(Q66,1),Tablo_E!$B$1:$CX$1,1)))</f>
        <v>0</v>
      </c>
      <c r="S66" s="53">
        <f t="shared" si="1"/>
        <v>0</v>
      </c>
      <c r="T66" s="49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x14ac:dyDescent="0.45">
      <c r="A67" s="54">
        <v>64</v>
      </c>
      <c r="B67" s="35">
        <f>Hakemler!B67</f>
        <v>0</v>
      </c>
      <c r="C67" s="82">
        <f>Hakemler!C67</f>
        <v>0</v>
      </c>
      <c r="D67" s="55"/>
      <c r="E67" s="60">
        <f>IF(ISBLANK(D67),0,ABS(Uzman_E!A$10-D67))</f>
        <v>0</v>
      </c>
      <c r="F67" s="52">
        <f>IF(ISBLANK(D67),0,INDEX(Tablo_E!$B$2:$CX$102,MATCH(ROUND(Uzman_E!A$10,1),Tablo_E!$A$2:$A$102,1),MATCH(ROUND(E67,1),Tablo_E!$B$1:$CX$1,1)))</f>
        <v>0</v>
      </c>
      <c r="G67" s="55"/>
      <c r="H67" s="60">
        <f>IF(ISBLANK(G67),0,ABS(Uzman_E!B$10-G67))</f>
        <v>0</v>
      </c>
      <c r="I67" s="52">
        <f>IF(ISBLANK(G67),0,INDEX(Tablo_E!$B$2:$CX$102,MATCH(ROUND(Uzman_E!B$10,1),Tablo_E!$A$2:$A$102,1),MATCH(ROUND(H67,1),Tablo_E!$B$1:$CX$1,1)))</f>
        <v>0</v>
      </c>
      <c r="J67" s="55"/>
      <c r="K67" s="60">
        <f>IF(ISBLANK(J67),0,ABS(Uzman_E!C$10-J67))</f>
        <v>0</v>
      </c>
      <c r="L67" s="52">
        <f>IF(ISBLANK(J67),0,INDEX(Tablo_E!$B$2:$CX$102,MATCH(ROUND(Uzman_E!C$10,1),Tablo_E!$A$2:$A$102,1),MATCH(ROUND(K67,1),Tablo_E!$B$1:$CX$1,1)))</f>
        <v>0</v>
      </c>
      <c r="M67" s="55"/>
      <c r="N67" s="60">
        <f>IF(ISBLANK(M67),0,ABS(Uzman_E!D$10-M67))</f>
        <v>0</v>
      </c>
      <c r="O67" s="52">
        <f>IF(ISBLANK(M67),0,INDEX(Tablo_E!$B$2:$CX$102,MATCH(ROUND(Uzman_E!D$10,1),Tablo_E!$A$2:$A$102,1),MATCH(ROUND(N67,1),Tablo_E!$B$1:$CX$1,1)))</f>
        <v>0</v>
      </c>
      <c r="P67" s="55"/>
      <c r="Q67" s="60">
        <f>IF(ISBLANK(P67),0,ABS(Uzman_E!E$10-P67))</f>
        <v>0</v>
      </c>
      <c r="R67" s="52">
        <f>IF(ISBLANK(P67),0,INDEX(Tablo_E!$B$2:$CX$102,MATCH(ROUND(Uzman_E!E$10,1),Tablo_E!$A$2:$A$102,1),MATCH(ROUND(Q67,1),Tablo_E!$B$1:$CX$1,1)))</f>
        <v>0</v>
      </c>
      <c r="S67" s="53">
        <f t="shared" si="1"/>
        <v>0</v>
      </c>
      <c r="T67" s="49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x14ac:dyDescent="0.45">
      <c r="A68" s="54">
        <v>65</v>
      </c>
      <c r="B68" s="35">
        <f>Hakemler!B68</f>
        <v>0</v>
      </c>
      <c r="C68" s="82">
        <f>Hakemler!C68</f>
        <v>0</v>
      </c>
      <c r="D68" s="55"/>
      <c r="E68" s="60">
        <f>IF(ISBLANK(D68),0,ABS(Uzman_E!A$10-D68))</f>
        <v>0</v>
      </c>
      <c r="F68" s="52">
        <f>IF(ISBLANK(D68),0,INDEX(Tablo_E!$B$2:$CX$102,MATCH(ROUND(Uzman_E!A$10,1),Tablo_E!$A$2:$A$102,1),MATCH(ROUND(E68,1),Tablo_E!$B$1:$CX$1,1)))</f>
        <v>0</v>
      </c>
      <c r="G68" s="55"/>
      <c r="H68" s="60">
        <f>IF(ISBLANK(G68),0,ABS(Uzman_E!B$10-G68))</f>
        <v>0</v>
      </c>
      <c r="I68" s="52">
        <f>IF(ISBLANK(G68),0,INDEX(Tablo_E!$B$2:$CX$102,MATCH(ROUND(Uzman_E!B$10,1),Tablo_E!$A$2:$A$102,1),MATCH(ROUND(H68,1),Tablo_E!$B$1:$CX$1,1)))</f>
        <v>0</v>
      </c>
      <c r="J68" s="55"/>
      <c r="K68" s="60">
        <f>IF(ISBLANK(J68),0,ABS(Uzman_E!C$10-J68))</f>
        <v>0</v>
      </c>
      <c r="L68" s="52">
        <f>IF(ISBLANK(J68),0,INDEX(Tablo_E!$B$2:$CX$102,MATCH(ROUND(Uzman_E!C$10,1),Tablo_E!$A$2:$A$102,1),MATCH(ROUND(K68,1),Tablo_E!$B$1:$CX$1,1)))</f>
        <v>0</v>
      </c>
      <c r="M68" s="55"/>
      <c r="N68" s="60">
        <f>IF(ISBLANK(M68),0,ABS(Uzman_E!D$10-M68))</f>
        <v>0</v>
      </c>
      <c r="O68" s="52">
        <f>IF(ISBLANK(M68),0,INDEX(Tablo_E!$B$2:$CX$102,MATCH(ROUND(Uzman_E!D$10,1),Tablo_E!$A$2:$A$102,1),MATCH(ROUND(N68,1),Tablo_E!$B$1:$CX$1,1)))</f>
        <v>0</v>
      </c>
      <c r="P68" s="55"/>
      <c r="Q68" s="60">
        <f>IF(ISBLANK(P68),0,ABS(Uzman_E!E$10-P68))</f>
        <v>0</v>
      </c>
      <c r="R68" s="52">
        <f>IF(ISBLANK(P68),0,INDEX(Tablo_E!$B$2:$CX$102,MATCH(ROUND(Uzman_E!E$10,1),Tablo_E!$A$2:$A$102,1),MATCH(ROUND(Q68,1),Tablo_E!$B$1:$CX$1,1)))</f>
        <v>0</v>
      </c>
      <c r="S68" s="53">
        <f t="shared" ref="S68:S99" si="2">(F68+I68+L68+O68+R68)/5</f>
        <v>0</v>
      </c>
      <c r="T68" s="49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x14ac:dyDescent="0.45">
      <c r="A69" s="54">
        <v>66</v>
      </c>
      <c r="B69" s="35">
        <f>Hakemler!B69</f>
        <v>0</v>
      </c>
      <c r="C69" s="82">
        <f>Hakemler!C69</f>
        <v>0</v>
      </c>
      <c r="D69" s="55"/>
      <c r="E69" s="60">
        <f>IF(ISBLANK(D69),0,ABS(Uzman_E!A$10-D69))</f>
        <v>0</v>
      </c>
      <c r="F69" s="52">
        <f>IF(ISBLANK(D69),0,INDEX(Tablo_E!$B$2:$CX$102,MATCH(ROUND(Uzman_E!A$10,1),Tablo_E!$A$2:$A$102,1),MATCH(ROUND(E69,1),Tablo_E!$B$1:$CX$1,1)))</f>
        <v>0</v>
      </c>
      <c r="G69" s="55"/>
      <c r="H69" s="60">
        <f>IF(ISBLANK(G69),0,ABS(Uzman_E!B$10-G69))</f>
        <v>0</v>
      </c>
      <c r="I69" s="52">
        <f>IF(ISBLANK(G69),0,INDEX(Tablo_E!$B$2:$CX$102,MATCH(ROUND(Uzman_E!B$10,1),Tablo_E!$A$2:$A$102,1),MATCH(ROUND(H69,1),Tablo_E!$B$1:$CX$1,1)))</f>
        <v>0</v>
      </c>
      <c r="J69" s="55"/>
      <c r="K69" s="60">
        <f>IF(ISBLANK(J69),0,ABS(Uzman_E!C$10-J69))</f>
        <v>0</v>
      </c>
      <c r="L69" s="52">
        <f>IF(ISBLANK(J69),0,INDEX(Tablo_E!$B$2:$CX$102,MATCH(ROUND(Uzman_E!C$10,1),Tablo_E!$A$2:$A$102,1),MATCH(ROUND(K69,1),Tablo_E!$B$1:$CX$1,1)))</f>
        <v>0</v>
      </c>
      <c r="M69" s="55"/>
      <c r="N69" s="60">
        <f>IF(ISBLANK(M69),0,ABS(Uzman_E!D$10-M69))</f>
        <v>0</v>
      </c>
      <c r="O69" s="52">
        <f>IF(ISBLANK(M69),0,INDEX(Tablo_E!$B$2:$CX$102,MATCH(ROUND(Uzman_E!D$10,1),Tablo_E!$A$2:$A$102,1),MATCH(ROUND(N69,1),Tablo_E!$B$1:$CX$1,1)))</f>
        <v>0</v>
      </c>
      <c r="P69" s="55"/>
      <c r="Q69" s="60">
        <f>IF(ISBLANK(P69),0,ABS(Uzman_E!E$10-P69))</f>
        <v>0</v>
      </c>
      <c r="R69" s="52">
        <f>IF(ISBLANK(P69),0,INDEX(Tablo_E!$B$2:$CX$102,MATCH(ROUND(Uzman_E!E$10,1),Tablo_E!$A$2:$A$102,1),MATCH(ROUND(Q69,1),Tablo_E!$B$1:$CX$1,1)))</f>
        <v>0</v>
      </c>
      <c r="S69" s="53">
        <f t="shared" si="2"/>
        <v>0</v>
      </c>
      <c r="T69" s="49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x14ac:dyDescent="0.45">
      <c r="A70" s="54">
        <v>67</v>
      </c>
      <c r="B70" s="35">
        <f>Hakemler!B70</f>
        <v>0</v>
      </c>
      <c r="C70" s="82">
        <f>Hakemler!C70</f>
        <v>0</v>
      </c>
      <c r="D70" s="55"/>
      <c r="E70" s="60">
        <f>IF(ISBLANK(D70),0,ABS(Uzman_E!A$10-D70))</f>
        <v>0</v>
      </c>
      <c r="F70" s="52">
        <f>IF(ISBLANK(D70),0,INDEX(Tablo_E!$B$2:$CX$102,MATCH(ROUND(Uzman_E!A$10,1),Tablo_E!$A$2:$A$102,1),MATCH(ROUND(E70,1),Tablo_E!$B$1:$CX$1,1)))</f>
        <v>0</v>
      </c>
      <c r="G70" s="55"/>
      <c r="H70" s="60">
        <f>IF(ISBLANK(G70),0,ABS(Uzman_E!B$10-G70))</f>
        <v>0</v>
      </c>
      <c r="I70" s="52">
        <f>IF(ISBLANK(G70),0,INDEX(Tablo_E!$B$2:$CX$102,MATCH(ROUND(Uzman_E!B$10,1),Tablo_E!$A$2:$A$102,1),MATCH(ROUND(H70,1),Tablo_E!$B$1:$CX$1,1)))</f>
        <v>0</v>
      </c>
      <c r="J70" s="55"/>
      <c r="K70" s="60">
        <f>IF(ISBLANK(J70),0,ABS(Uzman_E!C$10-J70))</f>
        <v>0</v>
      </c>
      <c r="L70" s="52">
        <f>IF(ISBLANK(J70),0,INDEX(Tablo_E!$B$2:$CX$102,MATCH(ROUND(Uzman_E!C$10,1),Tablo_E!$A$2:$A$102,1),MATCH(ROUND(K70,1),Tablo_E!$B$1:$CX$1,1)))</f>
        <v>0</v>
      </c>
      <c r="M70" s="55"/>
      <c r="N70" s="60">
        <f>IF(ISBLANK(M70),0,ABS(Uzman_E!D$10-M70))</f>
        <v>0</v>
      </c>
      <c r="O70" s="52">
        <f>IF(ISBLANK(M70),0,INDEX(Tablo_E!$B$2:$CX$102,MATCH(ROUND(Uzman_E!D$10,1),Tablo_E!$A$2:$A$102,1),MATCH(ROUND(N70,1),Tablo_E!$B$1:$CX$1,1)))</f>
        <v>0</v>
      </c>
      <c r="P70" s="55"/>
      <c r="Q70" s="60">
        <f>IF(ISBLANK(P70),0,ABS(Uzman_E!E$10-P70))</f>
        <v>0</v>
      </c>
      <c r="R70" s="52">
        <f>IF(ISBLANK(P70),0,INDEX(Tablo_E!$B$2:$CX$102,MATCH(ROUND(Uzman_E!E$10,1),Tablo_E!$A$2:$A$102,1),MATCH(ROUND(Q70,1),Tablo_E!$B$1:$CX$1,1)))</f>
        <v>0</v>
      </c>
      <c r="S70" s="53">
        <f t="shared" si="2"/>
        <v>0</v>
      </c>
      <c r="T70" s="49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x14ac:dyDescent="0.45">
      <c r="A71" s="54">
        <v>68</v>
      </c>
      <c r="B71" s="35">
        <f>Hakemler!B71</f>
        <v>0</v>
      </c>
      <c r="C71" s="82">
        <f>Hakemler!C71</f>
        <v>0</v>
      </c>
      <c r="D71" s="55"/>
      <c r="E71" s="60">
        <f>IF(ISBLANK(D71),0,ABS(Uzman_E!A$10-D71))</f>
        <v>0</v>
      </c>
      <c r="F71" s="52">
        <f>IF(ISBLANK(D71),0,INDEX(Tablo_E!$B$2:$CX$102,MATCH(ROUND(Uzman_E!A$10,1),Tablo_E!$A$2:$A$102,1),MATCH(ROUND(E71,1),Tablo_E!$B$1:$CX$1,1)))</f>
        <v>0</v>
      </c>
      <c r="G71" s="55"/>
      <c r="H71" s="60">
        <f>IF(ISBLANK(G71),0,ABS(Uzman_E!B$10-G71))</f>
        <v>0</v>
      </c>
      <c r="I71" s="52">
        <f>IF(ISBLANK(G71),0,INDEX(Tablo_E!$B$2:$CX$102,MATCH(ROUND(Uzman_E!B$10,1),Tablo_E!$A$2:$A$102,1),MATCH(ROUND(H71,1),Tablo_E!$B$1:$CX$1,1)))</f>
        <v>0</v>
      </c>
      <c r="J71" s="55"/>
      <c r="K71" s="60">
        <f>IF(ISBLANK(J71),0,ABS(Uzman_E!C$10-J71))</f>
        <v>0</v>
      </c>
      <c r="L71" s="52">
        <f>IF(ISBLANK(J71),0,INDEX(Tablo_E!$B$2:$CX$102,MATCH(ROUND(Uzman_E!C$10,1),Tablo_E!$A$2:$A$102,1),MATCH(ROUND(K71,1),Tablo_E!$B$1:$CX$1,1)))</f>
        <v>0</v>
      </c>
      <c r="M71" s="55"/>
      <c r="N71" s="60">
        <f>IF(ISBLANK(M71),0,ABS(Uzman_E!D$10-M71))</f>
        <v>0</v>
      </c>
      <c r="O71" s="52">
        <f>IF(ISBLANK(M71),0,INDEX(Tablo_E!$B$2:$CX$102,MATCH(ROUND(Uzman_E!D$10,1),Tablo_E!$A$2:$A$102,1),MATCH(ROUND(N71,1),Tablo_E!$B$1:$CX$1,1)))</f>
        <v>0</v>
      </c>
      <c r="P71" s="55"/>
      <c r="Q71" s="60">
        <f>IF(ISBLANK(P71),0,ABS(Uzman_E!E$10-P71))</f>
        <v>0</v>
      </c>
      <c r="R71" s="52">
        <f>IF(ISBLANK(P71),0,INDEX(Tablo_E!$B$2:$CX$102,MATCH(ROUND(Uzman_E!E$10,1),Tablo_E!$A$2:$A$102,1),MATCH(ROUND(Q71,1),Tablo_E!$B$1:$CX$1,1)))</f>
        <v>0</v>
      </c>
      <c r="S71" s="53">
        <f t="shared" si="2"/>
        <v>0</v>
      </c>
      <c r="T71" s="49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x14ac:dyDescent="0.45">
      <c r="A72" s="54">
        <v>69</v>
      </c>
      <c r="B72" s="35">
        <f>Hakemler!B72</f>
        <v>0</v>
      </c>
      <c r="C72" s="82">
        <f>Hakemler!C72</f>
        <v>0</v>
      </c>
      <c r="D72" s="55"/>
      <c r="E72" s="60">
        <f>IF(ISBLANK(D72),0,ABS(Uzman_E!A$10-D72))</f>
        <v>0</v>
      </c>
      <c r="F72" s="52">
        <f>IF(ISBLANK(D72),0,INDEX(Tablo_E!$B$2:$CX$102,MATCH(ROUND(Uzman_E!A$10,1),Tablo_E!$A$2:$A$102,1),MATCH(ROUND(E72,1),Tablo_E!$B$1:$CX$1,1)))</f>
        <v>0</v>
      </c>
      <c r="G72" s="55"/>
      <c r="H72" s="60">
        <f>IF(ISBLANK(G72),0,ABS(Uzman_E!B$10-G72))</f>
        <v>0</v>
      </c>
      <c r="I72" s="52">
        <f>IF(ISBLANK(G72),0,INDEX(Tablo_E!$B$2:$CX$102,MATCH(ROUND(Uzman_E!B$10,1),Tablo_E!$A$2:$A$102,1),MATCH(ROUND(H72,1),Tablo_E!$B$1:$CX$1,1)))</f>
        <v>0</v>
      </c>
      <c r="J72" s="55"/>
      <c r="K72" s="60">
        <f>IF(ISBLANK(J72),0,ABS(Uzman_E!C$10-J72))</f>
        <v>0</v>
      </c>
      <c r="L72" s="52">
        <f>IF(ISBLANK(J72),0,INDEX(Tablo_E!$B$2:$CX$102,MATCH(ROUND(Uzman_E!C$10,1),Tablo_E!$A$2:$A$102,1),MATCH(ROUND(K72,1),Tablo_E!$B$1:$CX$1,1)))</f>
        <v>0</v>
      </c>
      <c r="M72" s="55"/>
      <c r="N72" s="60">
        <f>IF(ISBLANK(M72),0,ABS(Uzman_E!D$10-M72))</f>
        <v>0</v>
      </c>
      <c r="O72" s="52">
        <f>IF(ISBLANK(M72),0,INDEX(Tablo_E!$B$2:$CX$102,MATCH(ROUND(Uzman_E!D$10,1),Tablo_E!$A$2:$A$102,1),MATCH(ROUND(N72,1),Tablo_E!$B$1:$CX$1,1)))</f>
        <v>0</v>
      </c>
      <c r="P72" s="55"/>
      <c r="Q72" s="60">
        <f>IF(ISBLANK(P72),0,ABS(Uzman_E!E$10-P72))</f>
        <v>0</v>
      </c>
      <c r="R72" s="52">
        <f>IF(ISBLANK(P72),0,INDEX(Tablo_E!$B$2:$CX$102,MATCH(ROUND(Uzman_E!E$10,1),Tablo_E!$A$2:$A$102,1),MATCH(ROUND(Q72,1),Tablo_E!$B$1:$CX$1,1)))</f>
        <v>0</v>
      </c>
      <c r="S72" s="53">
        <f t="shared" si="2"/>
        <v>0</v>
      </c>
      <c r="T72" s="49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x14ac:dyDescent="0.45">
      <c r="A73" s="54">
        <v>70</v>
      </c>
      <c r="B73" s="35">
        <f>Hakemler!B73</f>
        <v>0</v>
      </c>
      <c r="C73" s="82">
        <f>Hakemler!C73</f>
        <v>0</v>
      </c>
      <c r="D73" s="55"/>
      <c r="E73" s="60">
        <f>IF(ISBLANK(D73),0,ABS(Uzman_E!A$10-D73))</f>
        <v>0</v>
      </c>
      <c r="F73" s="52">
        <f>IF(ISBLANK(D73),0,INDEX(Tablo_E!$B$2:$CX$102,MATCH(ROUND(Uzman_E!A$10,1),Tablo_E!$A$2:$A$102,1),MATCH(ROUND(E73,1),Tablo_E!$B$1:$CX$1,1)))</f>
        <v>0</v>
      </c>
      <c r="G73" s="55"/>
      <c r="H73" s="60">
        <f>IF(ISBLANK(G73),0,ABS(Uzman_E!B$10-G73))</f>
        <v>0</v>
      </c>
      <c r="I73" s="52">
        <f>IF(ISBLANK(G73),0,INDEX(Tablo_E!$B$2:$CX$102,MATCH(ROUND(Uzman_E!B$10,1),Tablo_E!$A$2:$A$102,1),MATCH(ROUND(H73,1),Tablo_E!$B$1:$CX$1,1)))</f>
        <v>0</v>
      </c>
      <c r="J73" s="55"/>
      <c r="K73" s="60">
        <f>IF(ISBLANK(J73),0,ABS(Uzman_E!C$10-J73))</f>
        <v>0</v>
      </c>
      <c r="L73" s="52">
        <f>IF(ISBLANK(J73),0,INDEX(Tablo_E!$B$2:$CX$102,MATCH(ROUND(Uzman_E!C$10,1),Tablo_E!$A$2:$A$102,1),MATCH(ROUND(K73,1),Tablo_E!$B$1:$CX$1,1)))</f>
        <v>0</v>
      </c>
      <c r="M73" s="55"/>
      <c r="N73" s="60">
        <f>IF(ISBLANK(M73),0,ABS(Uzman_E!D$10-M73))</f>
        <v>0</v>
      </c>
      <c r="O73" s="52">
        <f>IF(ISBLANK(M73),0,INDEX(Tablo_E!$B$2:$CX$102,MATCH(ROUND(Uzman_E!D$10,1),Tablo_E!$A$2:$A$102,1),MATCH(ROUND(N73,1),Tablo_E!$B$1:$CX$1,1)))</f>
        <v>0</v>
      </c>
      <c r="P73" s="55"/>
      <c r="Q73" s="60">
        <f>IF(ISBLANK(P73),0,ABS(Uzman_E!E$10-P73))</f>
        <v>0</v>
      </c>
      <c r="R73" s="52">
        <f>IF(ISBLANK(P73),0,INDEX(Tablo_E!$B$2:$CX$102,MATCH(ROUND(Uzman_E!E$10,1),Tablo_E!$A$2:$A$102,1),MATCH(ROUND(Q73,1),Tablo_E!$B$1:$CX$1,1)))</f>
        <v>0</v>
      </c>
      <c r="S73" s="53">
        <f t="shared" si="2"/>
        <v>0</v>
      </c>
      <c r="T73" s="49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x14ac:dyDescent="0.45">
      <c r="A74" s="54">
        <v>71</v>
      </c>
      <c r="B74" s="35">
        <f>Hakemler!B74</f>
        <v>0</v>
      </c>
      <c r="C74" s="82">
        <f>Hakemler!C74</f>
        <v>0</v>
      </c>
      <c r="D74" s="55"/>
      <c r="E74" s="60">
        <f>IF(ISBLANK(D74),0,ABS(Uzman_E!A$10-D74))</f>
        <v>0</v>
      </c>
      <c r="F74" s="52">
        <f>IF(ISBLANK(D74),0,INDEX(Tablo_E!$B$2:$CX$102,MATCH(ROUND(Uzman_E!A$10,1),Tablo_E!$A$2:$A$102,1),MATCH(ROUND(E74,1),Tablo_E!$B$1:$CX$1,1)))</f>
        <v>0</v>
      </c>
      <c r="G74" s="55"/>
      <c r="H74" s="60">
        <f>IF(ISBLANK(G74),0,ABS(Uzman_E!B$10-G74))</f>
        <v>0</v>
      </c>
      <c r="I74" s="52">
        <f>IF(ISBLANK(G74),0,INDEX(Tablo_E!$B$2:$CX$102,MATCH(ROUND(Uzman_E!B$10,1),Tablo_E!$A$2:$A$102,1),MATCH(ROUND(H74,1),Tablo_E!$B$1:$CX$1,1)))</f>
        <v>0</v>
      </c>
      <c r="J74" s="55"/>
      <c r="K74" s="60">
        <f>IF(ISBLANK(J74),0,ABS(Uzman_E!C$10-J74))</f>
        <v>0</v>
      </c>
      <c r="L74" s="52">
        <f>IF(ISBLANK(J74),0,INDEX(Tablo_E!$B$2:$CX$102,MATCH(ROUND(Uzman_E!C$10,1),Tablo_E!$A$2:$A$102,1),MATCH(ROUND(K74,1),Tablo_E!$B$1:$CX$1,1)))</f>
        <v>0</v>
      </c>
      <c r="M74" s="55"/>
      <c r="N74" s="60">
        <f>IF(ISBLANK(M74),0,ABS(Uzman_E!D$10-M74))</f>
        <v>0</v>
      </c>
      <c r="O74" s="52">
        <f>IF(ISBLANK(M74),0,INDEX(Tablo_E!$B$2:$CX$102,MATCH(ROUND(Uzman_E!D$10,1),Tablo_E!$A$2:$A$102,1),MATCH(ROUND(N74,1),Tablo_E!$B$1:$CX$1,1)))</f>
        <v>0</v>
      </c>
      <c r="P74" s="55"/>
      <c r="Q74" s="60">
        <f>IF(ISBLANK(P74),0,ABS(Uzman_E!E$10-P74))</f>
        <v>0</v>
      </c>
      <c r="R74" s="52">
        <f>IF(ISBLANK(P74),0,INDEX(Tablo_E!$B$2:$CX$102,MATCH(ROUND(Uzman_E!E$10,1),Tablo_E!$A$2:$A$102,1),MATCH(ROUND(Q74,1),Tablo_E!$B$1:$CX$1,1)))</f>
        <v>0</v>
      </c>
      <c r="S74" s="53">
        <f t="shared" si="2"/>
        <v>0</v>
      </c>
      <c r="T74" s="49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x14ac:dyDescent="0.45">
      <c r="A75" s="54">
        <v>72</v>
      </c>
      <c r="B75" s="35">
        <f>Hakemler!B75</f>
        <v>0</v>
      </c>
      <c r="C75" s="82">
        <f>Hakemler!C75</f>
        <v>0</v>
      </c>
      <c r="D75" s="55"/>
      <c r="E75" s="60">
        <f>IF(ISBLANK(D75),0,ABS(Uzman_E!A$10-D75))</f>
        <v>0</v>
      </c>
      <c r="F75" s="52">
        <f>IF(ISBLANK(D75),0,INDEX(Tablo_E!$B$2:$CX$102,MATCH(ROUND(Uzman_E!A$10,1),Tablo_E!$A$2:$A$102,1),MATCH(ROUND(E75,1),Tablo_E!$B$1:$CX$1,1)))</f>
        <v>0</v>
      </c>
      <c r="G75" s="55"/>
      <c r="H75" s="60">
        <f>IF(ISBLANK(G75),0,ABS(Uzman_E!B$10-G75))</f>
        <v>0</v>
      </c>
      <c r="I75" s="52">
        <f>IF(ISBLANK(G75),0,INDEX(Tablo_E!$B$2:$CX$102,MATCH(ROUND(Uzman_E!B$10,1),Tablo_E!$A$2:$A$102,1),MATCH(ROUND(H75,1),Tablo_E!$B$1:$CX$1,1)))</f>
        <v>0</v>
      </c>
      <c r="J75" s="55"/>
      <c r="K75" s="60">
        <f>IF(ISBLANK(J75),0,ABS(Uzman_E!C$10-J75))</f>
        <v>0</v>
      </c>
      <c r="L75" s="52">
        <f>IF(ISBLANK(J75),0,INDEX(Tablo_E!$B$2:$CX$102,MATCH(ROUND(Uzman_E!C$10,1),Tablo_E!$A$2:$A$102,1),MATCH(ROUND(K75,1),Tablo_E!$B$1:$CX$1,1)))</f>
        <v>0</v>
      </c>
      <c r="M75" s="55"/>
      <c r="N75" s="60">
        <f>IF(ISBLANK(M75),0,ABS(Uzman_E!D$10-M75))</f>
        <v>0</v>
      </c>
      <c r="O75" s="52">
        <f>IF(ISBLANK(M75),0,INDEX(Tablo_E!$B$2:$CX$102,MATCH(ROUND(Uzman_E!D$10,1),Tablo_E!$A$2:$A$102,1),MATCH(ROUND(N75,1),Tablo_E!$B$1:$CX$1,1)))</f>
        <v>0</v>
      </c>
      <c r="P75" s="55"/>
      <c r="Q75" s="60">
        <f>IF(ISBLANK(P75),0,ABS(Uzman_E!E$10-P75))</f>
        <v>0</v>
      </c>
      <c r="R75" s="52">
        <f>IF(ISBLANK(P75),0,INDEX(Tablo_E!$B$2:$CX$102,MATCH(ROUND(Uzman_E!E$10,1),Tablo_E!$A$2:$A$102,1),MATCH(ROUND(Q75,1),Tablo_E!$B$1:$CX$1,1)))</f>
        <v>0</v>
      </c>
      <c r="S75" s="53">
        <f t="shared" si="2"/>
        <v>0</v>
      </c>
      <c r="T75" s="49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x14ac:dyDescent="0.45">
      <c r="A76" s="54">
        <v>73</v>
      </c>
      <c r="B76" s="35">
        <f>Hakemler!B76</f>
        <v>0</v>
      </c>
      <c r="C76" s="82">
        <f>Hakemler!C76</f>
        <v>0</v>
      </c>
      <c r="D76" s="55"/>
      <c r="E76" s="60">
        <f>IF(ISBLANK(D76),0,ABS(Uzman_E!A$10-D76))</f>
        <v>0</v>
      </c>
      <c r="F76" s="52">
        <f>IF(ISBLANK(D76),0,INDEX(Tablo_E!$B$2:$CX$102,MATCH(ROUND(Uzman_E!A$10,1),Tablo_E!$A$2:$A$102,1),MATCH(ROUND(E76,1),Tablo_E!$B$1:$CX$1,1)))</f>
        <v>0</v>
      </c>
      <c r="G76" s="55"/>
      <c r="H76" s="60">
        <f>IF(ISBLANK(G76),0,ABS(Uzman_E!B$10-G76))</f>
        <v>0</v>
      </c>
      <c r="I76" s="52">
        <f>IF(ISBLANK(G76),0,INDEX(Tablo_E!$B$2:$CX$102,MATCH(ROUND(Uzman_E!B$10,1),Tablo_E!$A$2:$A$102,1),MATCH(ROUND(H76,1),Tablo_E!$B$1:$CX$1,1)))</f>
        <v>0</v>
      </c>
      <c r="J76" s="55"/>
      <c r="K76" s="60">
        <f>IF(ISBLANK(J76),0,ABS(Uzman_E!C$10-J76))</f>
        <v>0</v>
      </c>
      <c r="L76" s="52">
        <f>IF(ISBLANK(J76),0,INDEX(Tablo_E!$B$2:$CX$102,MATCH(ROUND(Uzman_E!C$10,1),Tablo_E!$A$2:$A$102,1),MATCH(ROUND(K76,1),Tablo_E!$B$1:$CX$1,1)))</f>
        <v>0</v>
      </c>
      <c r="M76" s="55"/>
      <c r="N76" s="60">
        <f>IF(ISBLANK(M76),0,ABS(Uzman_E!D$10-M76))</f>
        <v>0</v>
      </c>
      <c r="O76" s="52">
        <f>IF(ISBLANK(M76),0,INDEX(Tablo_E!$B$2:$CX$102,MATCH(ROUND(Uzman_E!D$10,1),Tablo_E!$A$2:$A$102,1),MATCH(ROUND(N76,1),Tablo_E!$B$1:$CX$1,1)))</f>
        <v>0</v>
      </c>
      <c r="P76" s="55"/>
      <c r="Q76" s="60">
        <f>IF(ISBLANK(P76),0,ABS(Uzman_E!E$10-P76))</f>
        <v>0</v>
      </c>
      <c r="R76" s="52">
        <f>IF(ISBLANK(P76),0,INDEX(Tablo_E!$B$2:$CX$102,MATCH(ROUND(Uzman_E!E$10,1),Tablo_E!$A$2:$A$102,1),MATCH(ROUND(Q76,1),Tablo_E!$B$1:$CX$1,1)))</f>
        <v>0</v>
      </c>
      <c r="S76" s="53">
        <f t="shared" si="2"/>
        <v>0</v>
      </c>
      <c r="T76" s="49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x14ac:dyDescent="0.45">
      <c r="A77" s="54">
        <v>74</v>
      </c>
      <c r="B77" s="35">
        <f>Hakemler!B77</f>
        <v>0</v>
      </c>
      <c r="C77" s="82">
        <f>Hakemler!C77</f>
        <v>0</v>
      </c>
      <c r="D77" s="55"/>
      <c r="E77" s="60">
        <f>IF(ISBLANK(D77),0,ABS(Uzman_E!A$10-D77))</f>
        <v>0</v>
      </c>
      <c r="F77" s="52">
        <f>IF(ISBLANK(D77),0,INDEX(Tablo_E!$B$2:$CX$102,MATCH(ROUND(Uzman_E!A$10,1),Tablo_E!$A$2:$A$102,1),MATCH(ROUND(E77,1),Tablo_E!$B$1:$CX$1,1)))</f>
        <v>0</v>
      </c>
      <c r="G77" s="55"/>
      <c r="H77" s="60">
        <f>IF(ISBLANK(G77),0,ABS(Uzman_E!B$10-G77))</f>
        <v>0</v>
      </c>
      <c r="I77" s="52">
        <f>IF(ISBLANK(G77),0,INDEX(Tablo_E!$B$2:$CX$102,MATCH(ROUND(Uzman_E!B$10,1),Tablo_E!$A$2:$A$102,1),MATCH(ROUND(H77,1),Tablo_E!$B$1:$CX$1,1)))</f>
        <v>0</v>
      </c>
      <c r="J77" s="55"/>
      <c r="K77" s="60">
        <f>IF(ISBLANK(J77),0,ABS(Uzman_E!C$10-J77))</f>
        <v>0</v>
      </c>
      <c r="L77" s="52">
        <f>IF(ISBLANK(J77),0,INDEX(Tablo_E!$B$2:$CX$102,MATCH(ROUND(Uzman_E!C$10,1),Tablo_E!$A$2:$A$102,1),MATCH(ROUND(K77,1),Tablo_E!$B$1:$CX$1,1)))</f>
        <v>0</v>
      </c>
      <c r="M77" s="55"/>
      <c r="N77" s="60">
        <f>IF(ISBLANK(M77),0,ABS(Uzman_E!D$10-M77))</f>
        <v>0</v>
      </c>
      <c r="O77" s="52">
        <f>IF(ISBLANK(M77),0,INDEX(Tablo_E!$B$2:$CX$102,MATCH(ROUND(Uzman_E!D$10,1),Tablo_E!$A$2:$A$102,1),MATCH(ROUND(N77,1),Tablo_E!$B$1:$CX$1,1)))</f>
        <v>0</v>
      </c>
      <c r="P77" s="55"/>
      <c r="Q77" s="60">
        <f>IF(ISBLANK(P77),0,ABS(Uzman_E!E$10-P77))</f>
        <v>0</v>
      </c>
      <c r="R77" s="52">
        <f>IF(ISBLANK(P77),0,INDEX(Tablo_E!$B$2:$CX$102,MATCH(ROUND(Uzman_E!E$10,1),Tablo_E!$A$2:$A$102,1),MATCH(ROUND(Q77,1),Tablo_E!$B$1:$CX$1,1)))</f>
        <v>0</v>
      </c>
      <c r="S77" s="53">
        <f t="shared" si="2"/>
        <v>0</v>
      </c>
      <c r="T77" s="49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x14ac:dyDescent="0.45">
      <c r="A78" s="54">
        <v>75</v>
      </c>
      <c r="B78" s="35">
        <f>Hakemler!B78</f>
        <v>0</v>
      </c>
      <c r="C78" s="82">
        <f>Hakemler!C78</f>
        <v>0</v>
      </c>
      <c r="D78" s="55"/>
      <c r="E78" s="60">
        <f>IF(ISBLANK(D78),0,ABS(Uzman_E!A$10-D78))</f>
        <v>0</v>
      </c>
      <c r="F78" s="52">
        <f>IF(ISBLANK(D78),0,INDEX(Tablo_E!$B$2:$CX$102,MATCH(ROUND(Uzman_E!A$10,1),Tablo_E!$A$2:$A$102,1),MATCH(ROUND(E78,1),Tablo_E!$B$1:$CX$1,1)))</f>
        <v>0</v>
      </c>
      <c r="G78" s="55"/>
      <c r="H78" s="60">
        <f>IF(ISBLANK(G78),0,ABS(Uzman_E!B$10-G78))</f>
        <v>0</v>
      </c>
      <c r="I78" s="52">
        <f>IF(ISBLANK(G78),0,INDEX(Tablo_E!$B$2:$CX$102,MATCH(ROUND(Uzman_E!B$10,1),Tablo_E!$A$2:$A$102,1),MATCH(ROUND(H78,1),Tablo_E!$B$1:$CX$1,1)))</f>
        <v>0</v>
      </c>
      <c r="J78" s="55"/>
      <c r="K78" s="60">
        <f>IF(ISBLANK(J78),0,ABS(Uzman_E!C$10-J78))</f>
        <v>0</v>
      </c>
      <c r="L78" s="52">
        <f>IF(ISBLANK(J78),0,INDEX(Tablo_E!$B$2:$CX$102,MATCH(ROUND(Uzman_E!C$10,1),Tablo_E!$A$2:$A$102,1),MATCH(ROUND(K78,1),Tablo_E!$B$1:$CX$1,1)))</f>
        <v>0</v>
      </c>
      <c r="M78" s="55"/>
      <c r="N78" s="60">
        <f>IF(ISBLANK(M78),0,ABS(Uzman_E!D$10-M78))</f>
        <v>0</v>
      </c>
      <c r="O78" s="52">
        <f>IF(ISBLANK(M78),0,INDEX(Tablo_E!$B$2:$CX$102,MATCH(ROUND(Uzman_E!D$10,1),Tablo_E!$A$2:$A$102,1),MATCH(ROUND(N78,1),Tablo_E!$B$1:$CX$1,1)))</f>
        <v>0</v>
      </c>
      <c r="P78" s="55"/>
      <c r="Q78" s="60">
        <f>IF(ISBLANK(P78),0,ABS(Uzman_E!E$10-P78))</f>
        <v>0</v>
      </c>
      <c r="R78" s="52">
        <f>IF(ISBLANK(P78),0,INDEX(Tablo_E!$B$2:$CX$102,MATCH(ROUND(Uzman_E!E$10,1),Tablo_E!$A$2:$A$102,1),MATCH(ROUND(Q78,1),Tablo_E!$B$1:$CX$1,1)))</f>
        <v>0</v>
      </c>
      <c r="S78" s="53">
        <f t="shared" si="2"/>
        <v>0</v>
      </c>
      <c r="T78" s="49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x14ac:dyDescent="0.45">
      <c r="A79" s="54">
        <v>76</v>
      </c>
      <c r="B79" s="35">
        <f>Hakemler!B79</f>
        <v>0</v>
      </c>
      <c r="C79" s="82">
        <f>Hakemler!C79</f>
        <v>0</v>
      </c>
      <c r="D79" s="55"/>
      <c r="E79" s="60">
        <f>IF(ISBLANK(D79),0,ABS(Uzman_E!A$10-D79))</f>
        <v>0</v>
      </c>
      <c r="F79" s="52">
        <f>IF(ISBLANK(D79),0,INDEX(Tablo_E!$B$2:$CX$102,MATCH(ROUND(Uzman_E!A$10,1),Tablo_E!$A$2:$A$102,1),MATCH(ROUND(E79,1),Tablo_E!$B$1:$CX$1,1)))</f>
        <v>0</v>
      </c>
      <c r="G79" s="55"/>
      <c r="H79" s="60">
        <f>IF(ISBLANK(G79),0,ABS(Uzman_E!B$10-G79))</f>
        <v>0</v>
      </c>
      <c r="I79" s="52">
        <f>IF(ISBLANK(G79),0,INDEX(Tablo_E!$B$2:$CX$102,MATCH(ROUND(Uzman_E!B$10,1),Tablo_E!$A$2:$A$102,1),MATCH(ROUND(H79,1),Tablo_E!$B$1:$CX$1,1)))</f>
        <v>0</v>
      </c>
      <c r="J79" s="55"/>
      <c r="K79" s="60">
        <f>IF(ISBLANK(J79),0,ABS(Uzman_E!C$10-J79))</f>
        <v>0</v>
      </c>
      <c r="L79" s="52">
        <f>IF(ISBLANK(J79),0,INDEX(Tablo_E!$B$2:$CX$102,MATCH(ROUND(Uzman_E!C$10,1),Tablo_E!$A$2:$A$102,1),MATCH(ROUND(K79,1),Tablo_E!$B$1:$CX$1,1)))</f>
        <v>0</v>
      </c>
      <c r="M79" s="55"/>
      <c r="N79" s="60">
        <f>IF(ISBLANK(M79),0,ABS(Uzman_E!D$10-M79))</f>
        <v>0</v>
      </c>
      <c r="O79" s="52">
        <f>IF(ISBLANK(M79),0,INDEX(Tablo_E!$B$2:$CX$102,MATCH(ROUND(Uzman_E!D$10,1),Tablo_E!$A$2:$A$102,1),MATCH(ROUND(N79,1),Tablo_E!$B$1:$CX$1,1)))</f>
        <v>0</v>
      </c>
      <c r="P79" s="55"/>
      <c r="Q79" s="60">
        <f>IF(ISBLANK(P79),0,ABS(Uzman_E!E$10-P79))</f>
        <v>0</v>
      </c>
      <c r="R79" s="52">
        <f>IF(ISBLANK(P79),0,INDEX(Tablo_E!$B$2:$CX$102,MATCH(ROUND(Uzman_E!E$10,1),Tablo_E!$A$2:$A$102,1),MATCH(ROUND(Q79,1),Tablo_E!$B$1:$CX$1,1)))</f>
        <v>0</v>
      </c>
      <c r="S79" s="53">
        <f t="shared" si="2"/>
        <v>0</v>
      </c>
      <c r="T79" s="49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x14ac:dyDescent="0.45">
      <c r="A80" s="54">
        <v>77</v>
      </c>
      <c r="B80" s="35">
        <f>Hakemler!B80</f>
        <v>0</v>
      </c>
      <c r="C80" s="82">
        <f>Hakemler!C80</f>
        <v>0</v>
      </c>
      <c r="D80" s="55"/>
      <c r="E80" s="60">
        <f>IF(ISBLANK(D80),0,ABS(Uzman_E!A$10-D80))</f>
        <v>0</v>
      </c>
      <c r="F80" s="52">
        <f>IF(ISBLANK(D80),0,INDEX(Tablo_E!$B$2:$CX$102,MATCH(ROUND(Uzman_E!A$10,1),Tablo_E!$A$2:$A$102,1),MATCH(ROUND(E80,1),Tablo_E!$B$1:$CX$1,1)))</f>
        <v>0</v>
      </c>
      <c r="G80" s="55"/>
      <c r="H80" s="60">
        <f>IF(ISBLANK(G80),0,ABS(Uzman_E!B$10-G80))</f>
        <v>0</v>
      </c>
      <c r="I80" s="52">
        <f>IF(ISBLANK(G80),0,INDEX(Tablo_E!$B$2:$CX$102,MATCH(ROUND(Uzman_E!B$10,1),Tablo_E!$A$2:$A$102,1),MATCH(ROUND(H80,1),Tablo_E!$B$1:$CX$1,1)))</f>
        <v>0</v>
      </c>
      <c r="J80" s="55"/>
      <c r="K80" s="60">
        <f>IF(ISBLANK(J80),0,ABS(Uzman_E!C$10-J80))</f>
        <v>0</v>
      </c>
      <c r="L80" s="52">
        <f>IF(ISBLANK(J80),0,INDEX(Tablo_E!$B$2:$CX$102,MATCH(ROUND(Uzman_E!C$10,1),Tablo_E!$A$2:$A$102,1),MATCH(ROUND(K80,1),Tablo_E!$B$1:$CX$1,1)))</f>
        <v>0</v>
      </c>
      <c r="M80" s="55"/>
      <c r="N80" s="60">
        <f>IF(ISBLANK(M80),0,ABS(Uzman_E!D$10-M80))</f>
        <v>0</v>
      </c>
      <c r="O80" s="52">
        <f>IF(ISBLANK(M80),0,INDEX(Tablo_E!$B$2:$CX$102,MATCH(ROUND(Uzman_E!D$10,1),Tablo_E!$A$2:$A$102,1),MATCH(ROUND(N80,1),Tablo_E!$B$1:$CX$1,1)))</f>
        <v>0</v>
      </c>
      <c r="P80" s="55"/>
      <c r="Q80" s="60">
        <f>IF(ISBLANK(P80),0,ABS(Uzman_E!E$10-P80))</f>
        <v>0</v>
      </c>
      <c r="R80" s="52">
        <f>IF(ISBLANK(P80),0,INDEX(Tablo_E!$B$2:$CX$102,MATCH(ROUND(Uzman_E!E$10,1),Tablo_E!$A$2:$A$102,1),MATCH(ROUND(Q80,1),Tablo_E!$B$1:$CX$1,1)))</f>
        <v>0</v>
      </c>
      <c r="S80" s="53">
        <f t="shared" si="2"/>
        <v>0</v>
      </c>
      <c r="T80" s="49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x14ac:dyDescent="0.45">
      <c r="A81" s="54">
        <v>78</v>
      </c>
      <c r="B81" s="35">
        <f>Hakemler!B81</f>
        <v>0</v>
      </c>
      <c r="C81" s="82">
        <f>Hakemler!C81</f>
        <v>0</v>
      </c>
      <c r="D81" s="55"/>
      <c r="E81" s="60">
        <f>IF(ISBLANK(D81),0,ABS(Uzman_E!A$10-D81))</f>
        <v>0</v>
      </c>
      <c r="F81" s="52">
        <f>IF(ISBLANK(D81),0,INDEX(Tablo_E!$B$2:$CX$102,MATCH(ROUND(Uzman_E!A$10,1),Tablo_E!$A$2:$A$102,1),MATCH(ROUND(E81,1),Tablo_E!$B$1:$CX$1,1)))</f>
        <v>0</v>
      </c>
      <c r="G81" s="55"/>
      <c r="H81" s="60">
        <f>IF(ISBLANK(G81),0,ABS(Uzman_E!B$10-G81))</f>
        <v>0</v>
      </c>
      <c r="I81" s="52">
        <f>IF(ISBLANK(G81),0,INDEX(Tablo_E!$B$2:$CX$102,MATCH(ROUND(Uzman_E!B$10,1),Tablo_E!$A$2:$A$102,1),MATCH(ROUND(H81,1),Tablo_E!$B$1:$CX$1,1)))</f>
        <v>0</v>
      </c>
      <c r="J81" s="55"/>
      <c r="K81" s="60">
        <f>IF(ISBLANK(J81),0,ABS(Uzman_E!C$10-J81))</f>
        <v>0</v>
      </c>
      <c r="L81" s="52">
        <f>IF(ISBLANK(J81),0,INDEX(Tablo_E!$B$2:$CX$102,MATCH(ROUND(Uzman_E!C$10,1),Tablo_E!$A$2:$A$102,1),MATCH(ROUND(K81,1),Tablo_E!$B$1:$CX$1,1)))</f>
        <v>0</v>
      </c>
      <c r="M81" s="55"/>
      <c r="N81" s="60">
        <f>IF(ISBLANK(M81),0,ABS(Uzman_E!D$10-M81))</f>
        <v>0</v>
      </c>
      <c r="O81" s="52">
        <f>IF(ISBLANK(M81),0,INDEX(Tablo_E!$B$2:$CX$102,MATCH(ROUND(Uzman_E!D$10,1),Tablo_E!$A$2:$A$102,1),MATCH(ROUND(N81,1),Tablo_E!$B$1:$CX$1,1)))</f>
        <v>0</v>
      </c>
      <c r="P81" s="55"/>
      <c r="Q81" s="60">
        <f>IF(ISBLANK(P81),0,ABS(Uzman_E!E$10-P81))</f>
        <v>0</v>
      </c>
      <c r="R81" s="52">
        <f>IF(ISBLANK(P81),0,INDEX(Tablo_E!$B$2:$CX$102,MATCH(ROUND(Uzman_E!E$10,1),Tablo_E!$A$2:$A$102,1),MATCH(ROUND(Q81,1),Tablo_E!$B$1:$CX$1,1)))</f>
        <v>0</v>
      </c>
      <c r="S81" s="53">
        <f t="shared" si="2"/>
        <v>0</v>
      </c>
      <c r="T81" s="49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x14ac:dyDescent="0.45">
      <c r="A82" s="54">
        <v>79</v>
      </c>
      <c r="B82" s="35">
        <f>Hakemler!B82</f>
        <v>0</v>
      </c>
      <c r="C82" s="82">
        <f>Hakemler!C82</f>
        <v>0</v>
      </c>
      <c r="D82" s="55"/>
      <c r="E82" s="60">
        <f>IF(ISBLANK(D82),0,ABS(Uzman_E!A$10-D82))</f>
        <v>0</v>
      </c>
      <c r="F82" s="52">
        <f>IF(ISBLANK(D82),0,INDEX(Tablo_E!$B$2:$CX$102,MATCH(ROUND(Uzman_E!A$10,1),Tablo_E!$A$2:$A$102,1),MATCH(ROUND(E82,1),Tablo_E!$B$1:$CX$1,1)))</f>
        <v>0</v>
      </c>
      <c r="G82" s="55"/>
      <c r="H82" s="60">
        <f>IF(ISBLANK(G82),0,ABS(Uzman_E!B$10-G82))</f>
        <v>0</v>
      </c>
      <c r="I82" s="52">
        <f>IF(ISBLANK(G82),0,INDEX(Tablo_E!$B$2:$CX$102,MATCH(ROUND(Uzman_E!B$10,1),Tablo_E!$A$2:$A$102,1),MATCH(ROUND(H82,1),Tablo_E!$B$1:$CX$1,1)))</f>
        <v>0</v>
      </c>
      <c r="J82" s="55"/>
      <c r="K82" s="60">
        <f>IF(ISBLANK(J82),0,ABS(Uzman_E!C$10-J82))</f>
        <v>0</v>
      </c>
      <c r="L82" s="52">
        <f>IF(ISBLANK(J82),0,INDEX(Tablo_E!$B$2:$CX$102,MATCH(ROUND(Uzman_E!C$10,1),Tablo_E!$A$2:$A$102,1),MATCH(ROUND(K82,1),Tablo_E!$B$1:$CX$1,1)))</f>
        <v>0</v>
      </c>
      <c r="M82" s="55"/>
      <c r="N82" s="60">
        <f>IF(ISBLANK(M82),0,ABS(Uzman_E!D$10-M82))</f>
        <v>0</v>
      </c>
      <c r="O82" s="52">
        <f>IF(ISBLANK(M82),0,INDEX(Tablo_E!$B$2:$CX$102,MATCH(ROUND(Uzman_E!D$10,1),Tablo_E!$A$2:$A$102,1),MATCH(ROUND(N82,1),Tablo_E!$B$1:$CX$1,1)))</f>
        <v>0</v>
      </c>
      <c r="P82" s="55"/>
      <c r="Q82" s="60">
        <f>IF(ISBLANK(P82),0,ABS(Uzman_E!E$10-P82))</f>
        <v>0</v>
      </c>
      <c r="R82" s="52">
        <f>IF(ISBLANK(P82),0,INDEX(Tablo_E!$B$2:$CX$102,MATCH(ROUND(Uzman_E!E$10,1),Tablo_E!$A$2:$A$102,1),MATCH(ROUND(Q82,1),Tablo_E!$B$1:$CX$1,1)))</f>
        <v>0</v>
      </c>
      <c r="S82" s="53">
        <f t="shared" si="2"/>
        <v>0</v>
      </c>
      <c r="T82" s="49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x14ac:dyDescent="0.45">
      <c r="A83" s="54">
        <v>80</v>
      </c>
      <c r="B83" s="35">
        <f>Hakemler!B83</f>
        <v>0</v>
      </c>
      <c r="C83" s="82">
        <f>Hakemler!C83</f>
        <v>0</v>
      </c>
      <c r="D83" s="55"/>
      <c r="E83" s="60">
        <f>IF(ISBLANK(D83),0,ABS(Uzman_E!A$10-D83))</f>
        <v>0</v>
      </c>
      <c r="F83" s="52">
        <f>IF(ISBLANK(D83),0,INDEX(Tablo_E!$B$2:$CX$102,MATCH(ROUND(Uzman_E!A$10,1),Tablo_E!$A$2:$A$102,1),MATCH(ROUND(E83,1),Tablo_E!$B$1:$CX$1,1)))</f>
        <v>0</v>
      </c>
      <c r="G83" s="55"/>
      <c r="H83" s="60">
        <f>IF(ISBLANK(G83),0,ABS(Uzman_E!B$10-G83))</f>
        <v>0</v>
      </c>
      <c r="I83" s="52">
        <f>IF(ISBLANK(G83),0,INDEX(Tablo_E!$B$2:$CX$102,MATCH(ROUND(Uzman_E!B$10,1),Tablo_E!$A$2:$A$102,1),MATCH(ROUND(H83,1),Tablo_E!$B$1:$CX$1,1)))</f>
        <v>0</v>
      </c>
      <c r="J83" s="55"/>
      <c r="K83" s="60">
        <f>IF(ISBLANK(J83),0,ABS(Uzman_E!C$10-J83))</f>
        <v>0</v>
      </c>
      <c r="L83" s="52">
        <f>IF(ISBLANK(J83),0,INDEX(Tablo_E!$B$2:$CX$102,MATCH(ROUND(Uzman_E!C$10,1),Tablo_E!$A$2:$A$102,1),MATCH(ROUND(K83,1),Tablo_E!$B$1:$CX$1,1)))</f>
        <v>0</v>
      </c>
      <c r="M83" s="55"/>
      <c r="N83" s="60">
        <f>IF(ISBLANK(M83),0,ABS(Uzman_E!D$10-M83))</f>
        <v>0</v>
      </c>
      <c r="O83" s="52">
        <f>IF(ISBLANK(M83),0,INDEX(Tablo_E!$B$2:$CX$102,MATCH(ROUND(Uzman_E!D$10,1),Tablo_E!$A$2:$A$102,1),MATCH(ROUND(N83,1),Tablo_E!$B$1:$CX$1,1)))</f>
        <v>0</v>
      </c>
      <c r="P83" s="55"/>
      <c r="Q83" s="60">
        <f>IF(ISBLANK(P83),0,ABS(Uzman_E!E$10-P83))</f>
        <v>0</v>
      </c>
      <c r="R83" s="52">
        <f>IF(ISBLANK(P83),0,INDEX(Tablo_E!$B$2:$CX$102,MATCH(ROUND(Uzman_E!E$10,1),Tablo_E!$A$2:$A$102,1),MATCH(ROUND(Q83,1),Tablo_E!$B$1:$CX$1,1)))</f>
        <v>0</v>
      </c>
      <c r="S83" s="53">
        <f t="shared" si="2"/>
        <v>0</v>
      </c>
      <c r="T83" s="49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x14ac:dyDescent="0.45">
      <c r="A84" s="54">
        <v>81</v>
      </c>
      <c r="B84" s="35">
        <f>Hakemler!B84</f>
        <v>0</v>
      </c>
      <c r="C84" s="82">
        <f>Hakemler!C84</f>
        <v>0</v>
      </c>
      <c r="D84" s="55"/>
      <c r="E84" s="60">
        <f>IF(ISBLANK(D84),0,ABS(Uzman_E!A$10-D84))</f>
        <v>0</v>
      </c>
      <c r="F84" s="52">
        <f>IF(ISBLANK(D84),0,INDEX(Tablo_E!$B$2:$CX$102,MATCH(ROUND(Uzman_E!A$10,1),Tablo_E!$A$2:$A$102,1),MATCH(ROUND(E84,1),Tablo_E!$B$1:$CX$1,1)))</f>
        <v>0</v>
      </c>
      <c r="G84" s="55"/>
      <c r="H84" s="60">
        <f>IF(ISBLANK(G84),0,ABS(Uzman_E!B$10-G84))</f>
        <v>0</v>
      </c>
      <c r="I84" s="52">
        <f>IF(ISBLANK(G84),0,INDEX(Tablo_E!$B$2:$CX$102,MATCH(ROUND(Uzman_E!B$10,1),Tablo_E!$A$2:$A$102,1),MATCH(ROUND(H84,1),Tablo_E!$B$1:$CX$1,1)))</f>
        <v>0</v>
      </c>
      <c r="J84" s="55"/>
      <c r="K84" s="60">
        <f>IF(ISBLANK(J84),0,ABS(Uzman_E!C$10-J84))</f>
        <v>0</v>
      </c>
      <c r="L84" s="52">
        <f>IF(ISBLANK(J84),0,INDEX(Tablo_E!$B$2:$CX$102,MATCH(ROUND(Uzman_E!C$10,1),Tablo_E!$A$2:$A$102,1),MATCH(ROUND(K84,1),Tablo_E!$B$1:$CX$1,1)))</f>
        <v>0</v>
      </c>
      <c r="M84" s="55"/>
      <c r="N84" s="60">
        <f>IF(ISBLANK(M84),0,ABS(Uzman_E!D$10-M84))</f>
        <v>0</v>
      </c>
      <c r="O84" s="52">
        <f>IF(ISBLANK(M84),0,INDEX(Tablo_E!$B$2:$CX$102,MATCH(ROUND(Uzman_E!D$10,1),Tablo_E!$A$2:$A$102,1),MATCH(ROUND(N84,1),Tablo_E!$B$1:$CX$1,1)))</f>
        <v>0</v>
      </c>
      <c r="P84" s="55"/>
      <c r="Q84" s="60">
        <f>IF(ISBLANK(P84),0,ABS(Uzman_E!E$10-P84))</f>
        <v>0</v>
      </c>
      <c r="R84" s="52">
        <f>IF(ISBLANK(P84),0,INDEX(Tablo_E!$B$2:$CX$102,MATCH(ROUND(Uzman_E!E$10,1),Tablo_E!$A$2:$A$102,1),MATCH(ROUND(Q84,1),Tablo_E!$B$1:$CX$1,1)))</f>
        <v>0</v>
      </c>
      <c r="S84" s="53">
        <f t="shared" si="2"/>
        <v>0</v>
      </c>
      <c r="T84" s="49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x14ac:dyDescent="0.45">
      <c r="A85" s="54">
        <v>82</v>
      </c>
      <c r="B85" s="35">
        <f>Hakemler!B85</f>
        <v>0</v>
      </c>
      <c r="C85" s="82">
        <f>Hakemler!C85</f>
        <v>0</v>
      </c>
      <c r="D85" s="55"/>
      <c r="E85" s="60">
        <f>IF(ISBLANK(D85),0,ABS(Uzman_E!A$10-D85))</f>
        <v>0</v>
      </c>
      <c r="F85" s="52">
        <f>IF(ISBLANK(D85),0,INDEX(Tablo_E!$B$2:$CX$102,MATCH(ROUND(Uzman_E!A$10,1),Tablo_E!$A$2:$A$102,1),MATCH(ROUND(E85,1),Tablo_E!$B$1:$CX$1,1)))</f>
        <v>0</v>
      </c>
      <c r="G85" s="55"/>
      <c r="H85" s="60">
        <f>IF(ISBLANK(G85),0,ABS(Uzman_E!B$10-G85))</f>
        <v>0</v>
      </c>
      <c r="I85" s="52">
        <f>IF(ISBLANK(G85),0,INDEX(Tablo_E!$B$2:$CX$102,MATCH(ROUND(Uzman_E!B$10,1),Tablo_E!$A$2:$A$102,1),MATCH(ROUND(H85,1),Tablo_E!$B$1:$CX$1,1)))</f>
        <v>0</v>
      </c>
      <c r="J85" s="55"/>
      <c r="K85" s="60">
        <f>IF(ISBLANK(J85),0,ABS(Uzman_E!C$10-J85))</f>
        <v>0</v>
      </c>
      <c r="L85" s="52">
        <f>IF(ISBLANK(J85),0,INDEX(Tablo_E!$B$2:$CX$102,MATCH(ROUND(Uzman_E!C$10,1),Tablo_E!$A$2:$A$102,1),MATCH(ROUND(K85,1),Tablo_E!$B$1:$CX$1,1)))</f>
        <v>0</v>
      </c>
      <c r="M85" s="55"/>
      <c r="N85" s="60">
        <f>IF(ISBLANK(M85),0,ABS(Uzman_E!D$10-M85))</f>
        <v>0</v>
      </c>
      <c r="O85" s="52">
        <f>IF(ISBLANK(M85),0,INDEX(Tablo_E!$B$2:$CX$102,MATCH(ROUND(Uzman_E!D$10,1),Tablo_E!$A$2:$A$102,1),MATCH(ROUND(N85,1),Tablo_E!$B$1:$CX$1,1)))</f>
        <v>0</v>
      </c>
      <c r="P85" s="55"/>
      <c r="Q85" s="60">
        <f>IF(ISBLANK(P85),0,ABS(Uzman_E!E$10-P85))</f>
        <v>0</v>
      </c>
      <c r="R85" s="52">
        <f>IF(ISBLANK(P85),0,INDEX(Tablo_E!$B$2:$CX$102,MATCH(ROUND(Uzman_E!E$10,1),Tablo_E!$A$2:$A$102,1),MATCH(ROUND(Q85,1),Tablo_E!$B$1:$CX$1,1)))</f>
        <v>0</v>
      </c>
      <c r="S85" s="53">
        <f t="shared" si="2"/>
        <v>0</v>
      </c>
      <c r="T85" s="49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x14ac:dyDescent="0.45">
      <c r="A86" s="54">
        <v>83</v>
      </c>
      <c r="B86" s="35">
        <f>Hakemler!B86</f>
        <v>0</v>
      </c>
      <c r="C86" s="82">
        <f>Hakemler!C86</f>
        <v>0</v>
      </c>
      <c r="D86" s="55"/>
      <c r="E86" s="60">
        <f>IF(ISBLANK(D86),0,ABS(Uzman_E!A$10-D86))</f>
        <v>0</v>
      </c>
      <c r="F86" s="52">
        <f>IF(ISBLANK(D86),0,INDEX(Tablo_E!$B$2:$CX$102,MATCH(ROUND(Uzman_E!A$10,1),Tablo_E!$A$2:$A$102,1),MATCH(ROUND(E86,1),Tablo_E!$B$1:$CX$1,1)))</f>
        <v>0</v>
      </c>
      <c r="G86" s="55"/>
      <c r="H86" s="60">
        <f>IF(ISBLANK(G86),0,ABS(Uzman_E!B$10-G86))</f>
        <v>0</v>
      </c>
      <c r="I86" s="52">
        <f>IF(ISBLANK(G86),0,INDEX(Tablo_E!$B$2:$CX$102,MATCH(ROUND(Uzman_E!B$10,1),Tablo_E!$A$2:$A$102,1),MATCH(ROUND(H86,1),Tablo_E!$B$1:$CX$1,1)))</f>
        <v>0</v>
      </c>
      <c r="J86" s="55"/>
      <c r="K86" s="60">
        <f>IF(ISBLANK(J86),0,ABS(Uzman_E!C$10-J86))</f>
        <v>0</v>
      </c>
      <c r="L86" s="52">
        <f>IF(ISBLANK(J86),0,INDEX(Tablo_E!$B$2:$CX$102,MATCH(ROUND(Uzman_E!C$10,1),Tablo_E!$A$2:$A$102,1),MATCH(ROUND(K86,1),Tablo_E!$B$1:$CX$1,1)))</f>
        <v>0</v>
      </c>
      <c r="M86" s="55"/>
      <c r="N86" s="60">
        <f>IF(ISBLANK(M86),0,ABS(Uzman_E!D$10-M86))</f>
        <v>0</v>
      </c>
      <c r="O86" s="52">
        <f>IF(ISBLANK(M86),0,INDEX(Tablo_E!$B$2:$CX$102,MATCH(ROUND(Uzman_E!D$10,1),Tablo_E!$A$2:$A$102,1),MATCH(ROUND(N86,1),Tablo_E!$B$1:$CX$1,1)))</f>
        <v>0</v>
      </c>
      <c r="P86" s="55"/>
      <c r="Q86" s="60">
        <f>IF(ISBLANK(P86),0,ABS(Uzman_E!E$10-P86))</f>
        <v>0</v>
      </c>
      <c r="R86" s="52">
        <f>IF(ISBLANK(P86),0,INDEX(Tablo_E!$B$2:$CX$102,MATCH(ROUND(Uzman_E!E$10,1),Tablo_E!$A$2:$A$102,1),MATCH(ROUND(Q86,1),Tablo_E!$B$1:$CX$1,1)))</f>
        <v>0</v>
      </c>
      <c r="S86" s="53">
        <f t="shared" si="2"/>
        <v>0</v>
      </c>
      <c r="T86" s="49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x14ac:dyDescent="0.45">
      <c r="A87" s="54">
        <v>84</v>
      </c>
      <c r="B87" s="35">
        <f>Hakemler!B87</f>
        <v>0</v>
      </c>
      <c r="C87" s="82">
        <f>Hakemler!C87</f>
        <v>0</v>
      </c>
      <c r="D87" s="55"/>
      <c r="E87" s="60">
        <f>IF(ISBLANK(D87),0,ABS(Uzman_E!A$10-D87))</f>
        <v>0</v>
      </c>
      <c r="F87" s="52">
        <f>IF(ISBLANK(D87),0,INDEX(Tablo_E!$B$2:$CX$102,MATCH(ROUND(Uzman_E!A$10,1),Tablo_E!$A$2:$A$102,1),MATCH(ROUND(E87,1),Tablo_E!$B$1:$CX$1,1)))</f>
        <v>0</v>
      </c>
      <c r="G87" s="55"/>
      <c r="H87" s="60">
        <f>IF(ISBLANK(G87),0,ABS(Uzman_E!B$10-G87))</f>
        <v>0</v>
      </c>
      <c r="I87" s="52">
        <f>IF(ISBLANK(G87),0,INDEX(Tablo_E!$B$2:$CX$102,MATCH(ROUND(Uzman_E!B$10,1),Tablo_E!$A$2:$A$102,1),MATCH(ROUND(H87,1),Tablo_E!$B$1:$CX$1,1)))</f>
        <v>0</v>
      </c>
      <c r="J87" s="55"/>
      <c r="K87" s="60">
        <f>IF(ISBLANK(J87),0,ABS(Uzman_E!C$10-J87))</f>
        <v>0</v>
      </c>
      <c r="L87" s="52">
        <f>IF(ISBLANK(J87),0,INDEX(Tablo_E!$B$2:$CX$102,MATCH(ROUND(Uzman_E!C$10,1),Tablo_E!$A$2:$A$102,1),MATCH(ROUND(K87,1),Tablo_E!$B$1:$CX$1,1)))</f>
        <v>0</v>
      </c>
      <c r="M87" s="55"/>
      <c r="N87" s="60">
        <f>IF(ISBLANK(M87),0,ABS(Uzman_E!D$10-M87))</f>
        <v>0</v>
      </c>
      <c r="O87" s="52">
        <f>IF(ISBLANK(M87),0,INDEX(Tablo_E!$B$2:$CX$102,MATCH(ROUND(Uzman_E!D$10,1),Tablo_E!$A$2:$A$102,1),MATCH(ROUND(N87,1),Tablo_E!$B$1:$CX$1,1)))</f>
        <v>0</v>
      </c>
      <c r="P87" s="55"/>
      <c r="Q87" s="60">
        <f>IF(ISBLANK(P87),0,ABS(Uzman_E!E$10-P87))</f>
        <v>0</v>
      </c>
      <c r="R87" s="52">
        <f>IF(ISBLANK(P87),0,INDEX(Tablo_E!$B$2:$CX$102,MATCH(ROUND(Uzman_E!E$10,1),Tablo_E!$A$2:$A$102,1),MATCH(ROUND(Q87,1),Tablo_E!$B$1:$CX$1,1)))</f>
        <v>0</v>
      </c>
      <c r="S87" s="53">
        <f t="shared" si="2"/>
        <v>0</v>
      </c>
      <c r="T87" s="49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x14ac:dyDescent="0.45">
      <c r="A88" s="54">
        <v>85</v>
      </c>
      <c r="B88" s="35">
        <f>Hakemler!B88</f>
        <v>0</v>
      </c>
      <c r="C88" s="82">
        <f>Hakemler!C88</f>
        <v>0</v>
      </c>
      <c r="D88" s="55"/>
      <c r="E88" s="60">
        <f>IF(ISBLANK(D88),0,ABS(Uzman_E!A$10-D88))</f>
        <v>0</v>
      </c>
      <c r="F88" s="52">
        <f>IF(ISBLANK(D88),0,INDEX(Tablo_E!$B$2:$CX$102,MATCH(ROUND(Uzman_E!A$10,1),Tablo_E!$A$2:$A$102,1),MATCH(ROUND(E88,1),Tablo_E!$B$1:$CX$1,1)))</f>
        <v>0</v>
      </c>
      <c r="G88" s="55"/>
      <c r="H88" s="60">
        <f>IF(ISBLANK(G88),0,ABS(Uzman_E!B$10-G88))</f>
        <v>0</v>
      </c>
      <c r="I88" s="52">
        <f>IF(ISBLANK(G88),0,INDEX(Tablo_E!$B$2:$CX$102,MATCH(ROUND(Uzman_E!B$10,1),Tablo_E!$A$2:$A$102,1),MATCH(ROUND(H88,1),Tablo_E!$B$1:$CX$1,1)))</f>
        <v>0</v>
      </c>
      <c r="J88" s="55"/>
      <c r="K88" s="60">
        <f>IF(ISBLANK(J88),0,ABS(Uzman_E!C$10-J88))</f>
        <v>0</v>
      </c>
      <c r="L88" s="52">
        <f>IF(ISBLANK(J88),0,INDEX(Tablo_E!$B$2:$CX$102,MATCH(ROUND(Uzman_E!C$10,1),Tablo_E!$A$2:$A$102,1),MATCH(ROUND(K88,1),Tablo_E!$B$1:$CX$1,1)))</f>
        <v>0</v>
      </c>
      <c r="M88" s="55"/>
      <c r="N88" s="60">
        <f>IF(ISBLANK(M88),0,ABS(Uzman_E!D$10-M88))</f>
        <v>0</v>
      </c>
      <c r="O88" s="52">
        <f>IF(ISBLANK(M88),0,INDEX(Tablo_E!$B$2:$CX$102,MATCH(ROUND(Uzman_E!D$10,1),Tablo_E!$A$2:$A$102,1),MATCH(ROUND(N88,1),Tablo_E!$B$1:$CX$1,1)))</f>
        <v>0</v>
      </c>
      <c r="P88" s="55"/>
      <c r="Q88" s="60">
        <f>IF(ISBLANK(P88),0,ABS(Uzman_E!E$10-P88))</f>
        <v>0</v>
      </c>
      <c r="R88" s="52">
        <f>IF(ISBLANK(P88),0,INDEX(Tablo_E!$B$2:$CX$102,MATCH(ROUND(Uzman_E!E$10,1),Tablo_E!$A$2:$A$102,1),MATCH(ROUND(Q88,1),Tablo_E!$B$1:$CX$1,1)))</f>
        <v>0</v>
      </c>
      <c r="S88" s="53">
        <f t="shared" si="2"/>
        <v>0</v>
      </c>
      <c r="T88" s="49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x14ac:dyDescent="0.45">
      <c r="A89" s="54">
        <v>86</v>
      </c>
      <c r="B89" s="35">
        <f>Hakemler!B89</f>
        <v>0</v>
      </c>
      <c r="C89" s="82">
        <f>Hakemler!C89</f>
        <v>0</v>
      </c>
      <c r="D89" s="55"/>
      <c r="E89" s="60">
        <f>IF(ISBLANK(D89),0,ABS(Uzman_E!A$10-D89))</f>
        <v>0</v>
      </c>
      <c r="F89" s="52">
        <f>IF(ISBLANK(D89),0,INDEX(Tablo_E!$B$2:$CX$102,MATCH(ROUND(Uzman_E!A$10,1),Tablo_E!$A$2:$A$102,1),MATCH(ROUND(E89,1),Tablo_E!$B$1:$CX$1,1)))</f>
        <v>0</v>
      </c>
      <c r="G89" s="55"/>
      <c r="H89" s="60">
        <f>IF(ISBLANK(G89),0,ABS(Uzman_E!B$10-G89))</f>
        <v>0</v>
      </c>
      <c r="I89" s="52">
        <f>IF(ISBLANK(G89),0,INDEX(Tablo_E!$B$2:$CX$102,MATCH(ROUND(Uzman_E!B$10,1),Tablo_E!$A$2:$A$102,1),MATCH(ROUND(H89,1),Tablo_E!$B$1:$CX$1,1)))</f>
        <v>0</v>
      </c>
      <c r="J89" s="55"/>
      <c r="K89" s="60">
        <f>IF(ISBLANK(J89),0,ABS(Uzman_E!C$10-J89))</f>
        <v>0</v>
      </c>
      <c r="L89" s="52">
        <f>IF(ISBLANK(J89),0,INDEX(Tablo_E!$B$2:$CX$102,MATCH(ROUND(Uzman_E!C$10,1),Tablo_E!$A$2:$A$102,1),MATCH(ROUND(K89,1),Tablo_E!$B$1:$CX$1,1)))</f>
        <v>0</v>
      </c>
      <c r="M89" s="55"/>
      <c r="N89" s="60">
        <f>IF(ISBLANK(M89),0,ABS(Uzman_E!D$10-M89))</f>
        <v>0</v>
      </c>
      <c r="O89" s="52">
        <f>IF(ISBLANK(M89),0,INDEX(Tablo_E!$B$2:$CX$102,MATCH(ROUND(Uzman_E!D$10,1),Tablo_E!$A$2:$A$102,1),MATCH(ROUND(N89,1),Tablo_E!$B$1:$CX$1,1)))</f>
        <v>0</v>
      </c>
      <c r="P89" s="55"/>
      <c r="Q89" s="60">
        <f>IF(ISBLANK(P89),0,ABS(Uzman_E!E$10-P89))</f>
        <v>0</v>
      </c>
      <c r="R89" s="52">
        <f>IF(ISBLANK(P89),0,INDEX(Tablo_E!$B$2:$CX$102,MATCH(ROUND(Uzman_E!E$10,1),Tablo_E!$A$2:$A$102,1),MATCH(ROUND(Q89,1),Tablo_E!$B$1:$CX$1,1)))</f>
        <v>0</v>
      </c>
      <c r="S89" s="53">
        <f t="shared" si="2"/>
        <v>0</v>
      </c>
      <c r="T89" s="49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x14ac:dyDescent="0.45">
      <c r="A90" s="54">
        <v>87</v>
      </c>
      <c r="B90" s="35">
        <f>Hakemler!B90</f>
        <v>0</v>
      </c>
      <c r="C90" s="82">
        <f>Hakemler!C90</f>
        <v>0</v>
      </c>
      <c r="D90" s="55"/>
      <c r="E90" s="60">
        <f>IF(ISBLANK(D90),0,ABS(Uzman_E!A$10-D90))</f>
        <v>0</v>
      </c>
      <c r="F90" s="52">
        <f>IF(ISBLANK(D90),0,INDEX(Tablo_E!$B$2:$CX$102,MATCH(ROUND(Uzman_E!A$10,1),Tablo_E!$A$2:$A$102,1),MATCH(ROUND(E90,1),Tablo_E!$B$1:$CX$1,1)))</f>
        <v>0</v>
      </c>
      <c r="G90" s="55"/>
      <c r="H90" s="60">
        <f>IF(ISBLANK(G90),0,ABS(Uzman_E!B$10-G90))</f>
        <v>0</v>
      </c>
      <c r="I90" s="52">
        <f>IF(ISBLANK(G90),0,INDEX(Tablo_E!$B$2:$CX$102,MATCH(ROUND(Uzman_E!B$10,1),Tablo_E!$A$2:$A$102,1),MATCH(ROUND(H90,1),Tablo_E!$B$1:$CX$1,1)))</f>
        <v>0</v>
      </c>
      <c r="J90" s="55"/>
      <c r="K90" s="60">
        <f>IF(ISBLANK(J90),0,ABS(Uzman_E!C$10-J90))</f>
        <v>0</v>
      </c>
      <c r="L90" s="52">
        <f>IF(ISBLANK(J90),0,INDEX(Tablo_E!$B$2:$CX$102,MATCH(ROUND(Uzman_E!C$10,1),Tablo_E!$A$2:$A$102,1),MATCH(ROUND(K90,1),Tablo_E!$B$1:$CX$1,1)))</f>
        <v>0</v>
      </c>
      <c r="M90" s="55"/>
      <c r="N90" s="60">
        <f>IF(ISBLANK(M90),0,ABS(Uzman_E!D$10-M90))</f>
        <v>0</v>
      </c>
      <c r="O90" s="52">
        <f>IF(ISBLANK(M90),0,INDEX(Tablo_E!$B$2:$CX$102,MATCH(ROUND(Uzman_E!D$10,1),Tablo_E!$A$2:$A$102,1),MATCH(ROUND(N90,1),Tablo_E!$B$1:$CX$1,1)))</f>
        <v>0</v>
      </c>
      <c r="P90" s="55"/>
      <c r="Q90" s="60">
        <f>IF(ISBLANK(P90),0,ABS(Uzman_E!E$10-P90))</f>
        <v>0</v>
      </c>
      <c r="R90" s="52">
        <f>IF(ISBLANK(P90),0,INDEX(Tablo_E!$B$2:$CX$102,MATCH(ROUND(Uzman_E!E$10,1),Tablo_E!$A$2:$A$102,1),MATCH(ROUND(Q90,1),Tablo_E!$B$1:$CX$1,1)))</f>
        <v>0</v>
      </c>
      <c r="S90" s="53">
        <f t="shared" si="2"/>
        <v>0</v>
      </c>
      <c r="T90" s="49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x14ac:dyDescent="0.45">
      <c r="A91" s="54">
        <v>88</v>
      </c>
      <c r="B91" s="35">
        <f>Hakemler!B91</f>
        <v>0</v>
      </c>
      <c r="C91" s="82">
        <f>Hakemler!C91</f>
        <v>0</v>
      </c>
      <c r="D91" s="55"/>
      <c r="E91" s="60">
        <f>IF(ISBLANK(D91),0,ABS(Uzman_E!A$10-D91))</f>
        <v>0</v>
      </c>
      <c r="F91" s="52">
        <f>IF(ISBLANK(D91),0,INDEX(Tablo_E!$B$2:$CX$102,MATCH(ROUND(Uzman_E!A$10,1),Tablo_E!$A$2:$A$102,1),MATCH(ROUND(E91,1),Tablo_E!$B$1:$CX$1,1)))</f>
        <v>0</v>
      </c>
      <c r="G91" s="55"/>
      <c r="H91" s="60">
        <f>IF(ISBLANK(G91),0,ABS(Uzman_E!B$10-G91))</f>
        <v>0</v>
      </c>
      <c r="I91" s="52">
        <f>IF(ISBLANK(G91),0,INDEX(Tablo_E!$B$2:$CX$102,MATCH(ROUND(Uzman_E!B$10,1),Tablo_E!$A$2:$A$102,1),MATCH(ROUND(H91,1),Tablo_E!$B$1:$CX$1,1)))</f>
        <v>0</v>
      </c>
      <c r="J91" s="55"/>
      <c r="K91" s="60">
        <f>IF(ISBLANK(J91),0,ABS(Uzman_E!C$10-J91))</f>
        <v>0</v>
      </c>
      <c r="L91" s="52">
        <f>IF(ISBLANK(J91),0,INDEX(Tablo_E!$B$2:$CX$102,MATCH(ROUND(Uzman_E!C$10,1),Tablo_E!$A$2:$A$102,1),MATCH(ROUND(K91,1),Tablo_E!$B$1:$CX$1,1)))</f>
        <v>0</v>
      </c>
      <c r="M91" s="55"/>
      <c r="N91" s="60">
        <f>IF(ISBLANK(M91),0,ABS(Uzman_E!D$10-M91))</f>
        <v>0</v>
      </c>
      <c r="O91" s="52">
        <f>IF(ISBLANK(M91),0,INDEX(Tablo_E!$B$2:$CX$102,MATCH(ROUND(Uzman_E!D$10,1),Tablo_E!$A$2:$A$102,1),MATCH(ROUND(N91,1),Tablo_E!$B$1:$CX$1,1)))</f>
        <v>0</v>
      </c>
      <c r="P91" s="55"/>
      <c r="Q91" s="60">
        <f>IF(ISBLANK(P91),0,ABS(Uzman_E!E$10-P91))</f>
        <v>0</v>
      </c>
      <c r="R91" s="52">
        <f>IF(ISBLANK(P91),0,INDEX(Tablo_E!$B$2:$CX$102,MATCH(ROUND(Uzman_E!E$10,1),Tablo_E!$A$2:$A$102,1),MATCH(ROUND(Q91,1),Tablo_E!$B$1:$CX$1,1)))</f>
        <v>0</v>
      </c>
      <c r="S91" s="53">
        <f t="shared" si="2"/>
        <v>0</v>
      </c>
      <c r="T91" s="49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x14ac:dyDescent="0.45">
      <c r="A92" s="54">
        <v>89</v>
      </c>
      <c r="B92" s="35">
        <f>Hakemler!B92</f>
        <v>0</v>
      </c>
      <c r="C92" s="82">
        <f>Hakemler!C92</f>
        <v>0</v>
      </c>
      <c r="D92" s="55"/>
      <c r="E92" s="60">
        <f>IF(ISBLANK(D92),0,ABS(Uzman_E!A$10-D92))</f>
        <v>0</v>
      </c>
      <c r="F92" s="52">
        <f>IF(ISBLANK(D92),0,INDEX(Tablo_E!$B$2:$CX$102,MATCH(ROUND(Uzman_E!A$10,1),Tablo_E!$A$2:$A$102,1),MATCH(ROUND(E92,1),Tablo_E!$B$1:$CX$1,1)))</f>
        <v>0</v>
      </c>
      <c r="G92" s="55"/>
      <c r="H92" s="60">
        <f>IF(ISBLANK(G92),0,ABS(Uzman_E!B$10-G92))</f>
        <v>0</v>
      </c>
      <c r="I92" s="52">
        <f>IF(ISBLANK(G92),0,INDEX(Tablo_E!$B$2:$CX$102,MATCH(ROUND(Uzman_E!B$10,1),Tablo_E!$A$2:$A$102,1),MATCH(ROUND(H92,1),Tablo_E!$B$1:$CX$1,1)))</f>
        <v>0</v>
      </c>
      <c r="J92" s="55"/>
      <c r="K92" s="60">
        <f>IF(ISBLANK(J92),0,ABS(Uzman_E!C$10-J92))</f>
        <v>0</v>
      </c>
      <c r="L92" s="52">
        <f>IF(ISBLANK(J92),0,INDEX(Tablo_E!$B$2:$CX$102,MATCH(ROUND(Uzman_E!C$10,1),Tablo_E!$A$2:$A$102,1),MATCH(ROUND(K92,1),Tablo_E!$B$1:$CX$1,1)))</f>
        <v>0</v>
      </c>
      <c r="M92" s="55"/>
      <c r="N92" s="60">
        <f>IF(ISBLANK(M92),0,ABS(Uzman_E!D$10-M92))</f>
        <v>0</v>
      </c>
      <c r="O92" s="52">
        <f>IF(ISBLANK(M92),0,INDEX(Tablo_E!$B$2:$CX$102,MATCH(ROUND(Uzman_E!D$10,1),Tablo_E!$A$2:$A$102,1),MATCH(ROUND(N92,1),Tablo_E!$B$1:$CX$1,1)))</f>
        <v>0</v>
      </c>
      <c r="P92" s="55"/>
      <c r="Q92" s="60">
        <f>IF(ISBLANK(P92),0,ABS(Uzman_E!E$10-P92))</f>
        <v>0</v>
      </c>
      <c r="R92" s="52">
        <f>IF(ISBLANK(P92),0,INDEX(Tablo_E!$B$2:$CX$102,MATCH(ROUND(Uzman_E!E$10,1),Tablo_E!$A$2:$A$102,1),MATCH(ROUND(Q92,1),Tablo_E!$B$1:$CX$1,1)))</f>
        <v>0</v>
      </c>
      <c r="S92" s="53">
        <f t="shared" si="2"/>
        <v>0</v>
      </c>
      <c r="T92" s="49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x14ac:dyDescent="0.45">
      <c r="A93" s="54">
        <v>90</v>
      </c>
      <c r="B93" s="35">
        <f>Hakemler!B93</f>
        <v>0</v>
      </c>
      <c r="C93" s="82">
        <f>Hakemler!C93</f>
        <v>0</v>
      </c>
      <c r="D93" s="55"/>
      <c r="E93" s="60">
        <f>IF(ISBLANK(D93),0,ABS(Uzman_E!A$10-D93))</f>
        <v>0</v>
      </c>
      <c r="F93" s="52">
        <f>IF(ISBLANK(D93),0,INDEX(Tablo_E!$B$2:$CX$102,MATCH(ROUND(Uzman_E!A$10,1),Tablo_E!$A$2:$A$102,1),MATCH(ROUND(E93,1),Tablo_E!$B$1:$CX$1,1)))</f>
        <v>0</v>
      </c>
      <c r="G93" s="55"/>
      <c r="H93" s="60">
        <f>IF(ISBLANK(G93),0,ABS(Uzman_E!B$10-G93))</f>
        <v>0</v>
      </c>
      <c r="I93" s="52">
        <f>IF(ISBLANK(G93),0,INDEX(Tablo_E!$B$2:$CX$102,MATCH(ROUND(Uzman_E!B$10,1),Tablo_E!$A$2:$A$102,1),MATCH(ROUND(H93,1),Tablo_E!$B$1:$CX$1,1)))</f>
        <v>0</v>
      </c>
      <c r="J93" s="55"/>
      <c r="K93" s="60">
        <f>IF(ISBLANK(J93),0,ABS(Uzman_E!C$10-J93))</f>
        <v>0</v>
      </c>
      <c r="L93" s="52">
        <f>IF(ISBLANK(J93),0,INDEX(Tablo_E!$B$2:$CX$102,MATCH(ROUND(Uzman_E!C$10,1),Tablo_E!$A$2:$A$102,1),MATCH(ROUND(K93,1),Tablo_E!$B$1:$CX$1,1)))</f>
        <v>0</v>
      </c>
      <c r="M93" s="55"/>
      <c r="N93" s="60">
        <f>IF(ISBLANK(M93),0,ABS(Uzman_E!D$10-M93))</f>
        <v>0</v>
      </c>
      <c r="O93" s="52">
        <f>IF(ISBLANK(M93),0,INDEX(Tablo_E!$B$2:$CX$102,MATCH(ROUND(Uzman_E!D$10,1),Tablo_E!$A$2:$A$102,1),MATCH(ROUND(N93,1),Tablo_E!$B$1:$CX$1,1)))</f>
        <v>0</v>
      </c>
      <c r="P93" s="55"/>
      <c r="Q93" s="60">
        <f>IF(ISBLANK(P93),0,ABS(Uzman_E!E$10-P93))</f>
        <v>0</v>
      </c>
      <c r="R93" s="52">
        <f>IF(ISBLANK(P93),0,INDEX(Tablo_E!$B$2:$CX$102,MATCH(ROUND(Uzman_E!E$10,1),Tablo_E!$A$2:$A$102,1),MATCH(ROUND(Q93,1),Tablo_E!$B$1:$CX$1,1)))</f>
        <v>0</v>
      </c>
      <c r="S93" s="53">
        <f t="shared" si="2"/>
        <v>0</v>
      </c>
      <c r="T93" s="49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x14ac:dyDescent="0.45">
      <c r="A94" s="54">
        <v>91</v>
      </c>
      <c r="B94" s="35">
        <f>Hakemler!B94</f>
        <v>0</v>
      </c>
      <c r="C94" s="82">
        <f>Hakemler!C94</f>
        <v>0</v>
      </c>
      <c r="D94" s="55"/>
      <c r="E94" s="60">
        <f>IF(ISBLANK(D94),0,ABS(Uzman_E!A$10-D94))</f>
        <v>0</v>
      </c>
      <c r="F94" s="52">
        <f>IF(ISBLANK(D94),0,INDEX(Tablo_E!$B$2:$CX$102,MATCH(ROUND(Uzman_E!A$10,1),Tablo_E!$A$2:$A$102,1),MATCH(ROUND(E94,1),Tablo_E!$B$1:$CX$1,1)))</f>
        <v>0</v>
      </c>
      <c r="G94" s="55"/>
      <c r="H94" s="60">
        <f>IF(ISBLANK(G94),0,ABS(Uzman_E!B$10-G94))</f>
        <v>0</v>
      </c>
      <c r="I94" s="52">
        <f>IF(ISBLANK(G94),0,INDEX(Tablo_E!$B$2:$CX$102,MATCH(ROUND(Uzman_E!B$10,1),Tablo_E!$A$2:$A$102,1),MATCH(ROUND(H94,1),Tablo_E!$B$1:$CX$1,1)))</f>
        <v>0</v>
      </c>
      <c r="J94" s="55"/>
      <c r="K94" s="60">
        <f>IF(ISBLANK(J94),0,ABS(Uzman_E!C$10-J94))</f>
        <v>0</v>
      </c>
      <c r="L94" s="52">
        <f>IF(ISBLANK(J94),0,INDEX(Tablo_E!$B$2:$CX$102,MATCH(ROUND(Uzman_E!C$10,1),Tablo_E!$A$2:$A$102,1),MATCH(ROUND(K94,1),Tablo_E!$B$1:$CX$1,1)))</f>
        <v>0</v>
      </c>
      <c r="M94" s="55"/>
      <c r="N94" s="60">
        <f>IF(ISBLANK(M94),0,ABS(Uzman_E!D$10-M94))</f>
        <v>0</v>
      </c>
      <c r="O94" s="52">
        <f>IF(ISBLANK(M94),0,INDEX(Tablo_E!$B$2:$CX$102,MATCH(ROUND(Uzman_E!D$10,1),Tablo_E!$A$2:$A$102,1),MATCH(ROUND(N94,1),Tablo_E!$B$1:$CX$1,1)))</f>
        <v>0</v>
      </c>
      <c r="P94" s="55"/>
      <c r="Q94" s="60">
        <f>IF(ISBLANK(P94),0,ABS(Uzman_E!E$10-P94))</f>
        <v>0</v>
      </c>
      <c r="R94" s="52">
        <f>IF(ISBLANK(P94),0,INDEX(Tablo_E!$B$2:$CX$102,MATCH(ROUND(Uzman_E!E$10,1),Tablo_E!$A$2:$A$102,1),MATCH(ROUND(Q94,1),Tablo_E!$B$1:$CX$1,1)))</f>
        <v>0</v>
      </c>
      <c r="S94" s="53">
        <f t="shared" si="2"/>
        <v>0</v>
      </c>
      <c r="T94" s="49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x14ac:dyDescent="0.45">
      <c r="A95" s="54">
        <v>92</v>
      </c>
      <c r="B95" s="35">
        <f>Hakemler!B95</f>
        <v>0</v>
      </c>
      <c r="C95" s="82">
        <f>Hakemler!C95</f>
        <v>0</v>
      </c>
      <c r="D95" s="55"/>
      <c r="E95" s="60">
        <f>IF(ISBLANK(D95),0,ABS(Uzman_E!A$10-D95))</f>
        <v>0</v>
      </c>
      <c r="F95" s="52">
        <f>IF(ISBLANK(D95),0,INDEX(Tablo_E!$B$2:$CX$102,MATCH(ROUND(Uzman_E!A$10,1),Tablo_E!$A$2:$A$102,1),MATCH(ROUND(E95,1),Tablo_E!$B$1:$CX$1,1)))</f>
        <v>0</v>
      </c>
      <c r="G95" s="55"/>
      <c r="H95" s="60">
        <f>IF(ISBLANK(G95),0,ABS(Uzman_E!B$10-G95))</f>
        <v>0</v>
      </c>
      <c r="I95" s="52">
        <f>IF(ISBLANK(G95),0,INDEX(Tablo_E!$B$2:$CX$102,MATCH(ROUND(Uzman_E!B$10,1),Tablo_E!$A$2:$A$102,1),MATCH(ROUND(H95,1),Tablo_E!$B$1:$CX$1,1)))</f>
        <v>0</v>
      </c>
      <c r="J95" s="55"/>
      <c r="K95" s="60">
        <f>IF(ISBLANK(J95),0,ABS(Uzman_E!C$10-J95))</f>
        <v>0</v>
      </c>
      <c r="L95" s="52">
        <f>IF(ISBLANK(J95),0,INDEX(Tablo_E!$B$2:$CX$102,MATCH(ROUND(Uzman_E!C$10,1),Tablo_E!$A$2:$A$102,1),MATCH(ROUND(K95,1),Tablo_E!$B$1:$CX$1,1)))</f>
        <v>0</v>
      </c>
      <c r="M95" s="55"/>
      <c r="N95" s="60">
        <f>IF(ISBLANK(M95),0,ABS(Uzman_E!D$10-M95))</f>
        <v>0</v>
      </c>
      <c r="O95" s="52">
        <f>IF(ISBLANK(M95),0,INDEX(Tablo_E!$B$2:$CX$102,MATCH(ROUND(Uzman_E!D$10,1),Tablo_E!$A$2:$A$102,1),MATCH(ROUND(N95,1),Tablo_E!$B$1:$CX$1,1)))</f>
        <v>0</v>
      </c>
      <c r="P95" s="55"/>
      <c r="Q95" s="60">
        <f>IF(ISBLANK(P95),0,ABS(Uzman_E!E$10-P95))</f>
        <v>0</v>
      </c>
      <c r="R95" s="52">
        <f>IF(ISBLANK(P95),0,INDEX(Tablo_E!$B$2:$CX$102,MATCH(ROUND(Uzman_E!E$10,1),Tablo_E!$A$2:$A$102,1),MATCH(ROUND(Q95,1),Tablo_E!$B$1:$CX$1,1)))</f>
        <v>0</v>
      </c>
      <c r="S95" s="53">
        <f t="shared" si="2"/>
        <v>0</v>
      </c>
      <c r="T95" s="49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x14ac:dyDescent="0.45">
      <c r="A96" s="54">
        <v>93</v>
      </c>
      <c r="B96" s="35">
        <f>Hakemler!B96</f>
        <v>0</v>
      </c>
      <c r="C96" s="82">
        <f>Hakemler!C96</f>
        <v>0</v>
      </c>
      <c r="D96" s="55"/>
      <c r="E96" s="60">
        <f>IF(ISBLANK(D96),0,ABS(Uzman_E!A$10-D96))</f>
        <v>0</v>
      </c>
      <c r="F96" s="52">
        <f>IF(ISBLANK(D96),0,INDEX(Tablo_E!$B$2:$CX$102,MATCH(ROUND(Uzman_E!A$10,1),Tablo_E!$A$2:$A$102,1),MATCH(ROUND(E96,1),Tablo_E!$B$1:$CX$1,1)))</f>
        <v>0</v>
      </c>
      <c r="G96" s="55"/>
      <c r="H96" s="60">
        <f>IF(ISBLANK(G96),0,ABS(Uzman_E!B$10-G96))</f>
        <v>0</v>
      </c>
      <c r="I96" s="52">
        <f>IF(ISBLANK(G96),0,INDEX(Tablo_E!$B$2:$CX$102,MATCH(ROUND(Uzman_E!B$10,1),Tablo_E!$A$2:$A$102,1),MATCH(ROUND(H96,1),Tablo_E!$B$1:$CX$1,1)))</f>
        <v>0</v>
      </c>
      <c r="J96" s="55"/>
      <c r="K96" s="60">
        <f>IF(ISBLANK(J96),0,ABS(Uzman_E!C$10-J96))</f>
        <v>0</v>
      </c>
      <c r="L96" s="52">
        <f>IF(ISBLANK(J96),0,INDEX(Tablo_E!$B$2:$CX$102,MATCH(ROUND(Uzman_E!C$10,1),Tablo_E!$A$2:$A$102,1),MATCH(ROUND(K96,1),Tablo_E!$B$1:$CX$1,1)))</f>
        <v>0</v>
      </c>
      <c r="M96" s="55"/>
      <c r="N96" s="60">
        <f>IF(ISBLANK(M96),0,ABS(Uzman_E!D$10-M96))</f>
        <v>0</v>
      </c>
      <c r="O96" s="52">
        <f>IF(ISBLANK(M96),0,INDEX(Tablo_E!$B$2:$CX$102,MATCH(ROUND(Uzman_E!D$10,1),Tablo_E!$A$2:$A$102,1),MATCH(ROUND(N96,1),Tablo_E!$B$1:$CX$1,1)))</f>
        <v>0</v>
      </c>
      <c r="P96" s="55"/>
      <c r="Q96" s="60">
        <f>IF(ISBLANK(P96),0,ABS(Uzman_E!E$10-P96))</f>
        <v>0</v>
      </c>
      <c r="R96" s="52">
        <f>IF(ISBLANK(P96),0,INDEX(Tablo_E!$B$2:$CX$102,MATCH(ROUND(Uzman_E!E$10,1),Tablo_E!$A$2:$A$102,1),MATCH(ROUND(Q96,1),Tablo_E!$B$1:$CX$1,1)))</f>
        <v>0</v>
      </c>
      <c r="S96" s="53">
        <f t="shared" si="2"/>
        <v>0</v>
      </c>
      <c r="T96" s="49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x14ac:dyDescent="0.45">
      <c r="A97" s="54">
        <v>94</v>
      </c>
      <c r="B97" s="35">
        <f>Hakemler!B97</f>
        <v>0</v>
      </c>
      <c r="C97" s="82">
        <f>Hakemler!C97</f>
        <v>0</v>
      </c>
      <c r="D97" s="55"/>
      <c r="E97" s="60">
        <f>IF(ISBLANK(D97),0,ABS(Uzman_E!A$10-D97))</f>
        <v>0</v>
      </c>
      <c r="F97" s="52">
        <f>IF(ISBLANK(D97),0,INDEX(Tablo_E!$B$2:$CX$102,MATCH(ROUND(Uzman_E!A$10,1),Tablo_E!$A$2:$A$102,1),MATCH(ROUND(E97,1),Tablo_E!$B$1:$CX$1,1)))</f>
        <v>0</v>
      </c>
      <c r="G97" s="55"/>
      <c r="H97" s="60">
        <f>IF(ISBLANK(G97),0,ABS(Uzman_E!B$10-G97))</f>
        <v>0</v>
      </c>
      <c r="I97" s="52">
        <f>IF(ISBLANK(G97),0,INDEX(Tablo_E!$B$2:$CX$102,MATCH(ROUND(Uzman_E!B$10,1),Tablo_E!$A$2:$A$102,1),MATCH(ROUND(H97,1),Tablo_E!$B$1:$CX$1,1)))</f>
        <v>0</v>
      </c>
      <c r="J97" s="55"/>
      <c r="K97" s="60">
        <f>IF(ISBLANK(J97),0,ABS(Uzman_E!C$10-J97))</f>
        <v>0</v>
      </c>
      <c r="L97" s="52">
        <f>IF(ISBLANK(J97),0,INDEX(Tablo_E!$B$2:$CX$102,MATCH(ROUND(Uzman_E!C$10,1),Tablo_E!$A$2:$A$102,1),MATCH(ROUND(K97,1),Tablo_E!$B$1:$CX$1,1)))</f>
        <v>0</v>
      </c>
      <c r="M97" s="55"/>
      <c r="N97" s="60">
        <f>IF(ISBLANK(M97),0,ABS(Uzman_E!D$10-M97))</f>
        <v>0</v>
      </c>
      <c r="O97" s="52">
        <f>IF(ISBLANK(M97),0,INDEX(Tablo_E!$B$2:$CX$102,MATCH(ROUND(Uzman_E!D$10,1),Tablo_E!$A$2:$A$102,1),MATCH(ROUND(N97,1),Tablo_E!$B$1:$CX$1,1)))</f>
        <v>0</v>
      </c>
      <c r="P97" s="55"/>
      <c r="Q97" s="60">
        <f>IF(ISBLANK(P97),0,ABS(Uzman_E!E$10-P97))</f>
        <v>0</v>
      </c>
      <c r="R97" s="52">
        <f>IF(ISBLANK(P97),0,INDEX(Tablo_E!$B$2:$CX$102,MATCH(ROUND(Uzman_E!E$10,1),Tablo_E!$A$2:$A$102,1),MATCH(ROUND(Q97,1),Tablo_E!$B$1:$CX$1,1)))</f>
        <v>0</v>
      </c>
      <c r="S97" s="53">
        <f t="shared" si="2"/>
        <v>0</v>
      </c>
      <c r="T97" s="49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x14ac:dyDescent="0.45">
      <c r="A98" s="54">
        <v>95</v>
      </c>
      <c r="B98" s="35">
        <f>Hakemler!B98</f>
        <v>0</v>
      </c>
      <c r="C98" s="82">
        <f>Hakemler!C98</f>
        <v>0</v>
      </c>
      <c r="D98" s="55"/>
      <c r="E98" s="60">
        <f>IF(ISBLANK(D98),0,ABS(Uzman_E!A$10-D98))</f>
        <v>0</v>
      </c>
      <c r="F98" s="52">
        <f>IF(ISBLANK(D98),0,INDEX(Tablo_E!$B$2:$CX$102,MATCH(ROUND(Uzman_E!A$10,1),Tablo_E!$A$2:$A$102,1),MATCH(ROUND(E98,1),Tablo_E!$B$1:$CX$1,1)))</f>
        <v>0</v>
      </c>
      <c r="G98" s="55"/>
      <c r="H98" s="60">
        <f>IF(ISBLANK(G98),0,ABS(Uzman_E!B$10-G98))</f>
        <v>0</v>
      </c>
      <c r="I98" s="52">
        <f>IF(ISBLANK(G98),0,INDEX(Tablo_E!$B$2:$CX$102,MATCH(ROUND(Uzman_E!B$10,1),Tablo_E!$A$2:$A$102,1),MATCH(ROUND(H98,1),Tablo_E!$B$1:$CX$1,1)))</f>
        <v>0</v>
      </c>
      <c r="J98" s="55"/>
      <c r="K98" s="60">
        <f>IF(ISBLANK(J98),0,ABS(Uzman_E!C$10-J98))</f>
        <v>0</v>
      </c>
      <c r="L98" s="52">
        <f>IF(ISBLANK(J98),0,INDEX(Tablo_E!$B$2:$CX$102,MATCH(ROUND(Uzman_E!C$10,1),Tablo_E!$A$2:$A$102,1),MATCH(ROUND(K98,1),Tablo_E!$B$1:$CX$1,1)))</f>
        <v>0</v>
      </c>
      <c r="M98" s="55"/>
      <c r="N98" s="60">
        <f>IF(ISBLANK(M98),0,ABS(Uzman_E!D$10-M98))</f>
        <v>0</v>
      </c>
      <c r="O98" s="52">
        <f>IF(ISBLANK(M98),0,INDEX(Tablo_E!$B$2:$CX$102,MATCH(ROUND(Uzman_E!D$10,1),Tablo_E!$A$2:$A$102,1),MATCH(ROUND(N98,1),Tablo_E!$B$1:$CX$1,1)))</f>
        <v>0</v>
      </c>
      <c r="P98" s="55"/>
      <c r="Q98" s="60">
        <f>IF(ISBLANK(P98),0,ABS(Uzman_E!E$10-P98))</f>
        <v>0</v>
      </c>
      <c r="R98" s="52">
        <f>IF(ISBLANK(P98),0,INDEX(Tablo_E!$B$2:$CX$102,MATCH(ROUND(Uzman_E!E$10,1),Tablo_E!$A$2:$A$102,1),MATCH(ROUND(Q98,1),Tablo_E!$B$1:$CX$1,1)))</f>
        <v>0</v>
      </c>
      <c r="S98" s="53">
        <f t="shared" si="2"/>
        <v>0</v>
      </c>
      <c r="T98" s="49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x14ac:dyDescent="0.45">
      <c r="A99" s="54">
        <v>96</v>
      </c>
      <c r="B99" s="35">
        <f>Hakemler!B99</f>
        <v>0</v>
      </c>
      <c r="C99" s="82">
        <f>Hakemler!C99</f>
        <v>0</v>
      </c>
      <c r="D99" s="55"/>
      <c r="E99" s="60">
        <f>IF(ISBLANK(D99),0,ABS(Uzman_E!A$10-D99))</f>
        <v>0</v>
      </c>
      <c r="F99" s="52">
        <f>IF(ISBLANK(D99),0,INDEX(Tablo_E!$B$2:$CX$102,MATCH(ROUND(Uzman_E!A$10,1),Tablo_E!$A$2:$A$102,1),MATCH(ROUND(E99,1),Tablo_E!$B$1:$CX$1,1)))</f>
        <v>0</v>
      </c>
      <c r="G99" s="55"/>
      <c r="H99" s="60">
        <f>IF(ISBLANK(G99),0,ABS(Uzman_E!B$10-G99))</f>
        <v>0</v>
      </c>
      <c r="I99" s="52">
        <f>IF(ISBLANK(G99),0,INDEX(Tablo_E!$B$2:$CX$102,MATCH(ROUND(Uzman_E!B$10,1),Tablo_E!$A$2:$A$102,1),MATCH(ROUND(H99,1),Tablo_E!$B$1:$CX$1,1)))</f>
        <v>0</v>
      </c>
      <c r="J99" s="55"/>
      <c r="K99" s="60">
        <f>IF(ISBLANK(J99),0,ABS(Uzman_E!C$10-J99))</f>
        <v>0</v>
      </c>
      <c r="L99" s="52">
        <f>IF(ISBLANK(J99),0,INDEX(Tablo_E!$B$2:$CX$102,MATCH(ROUND(Uzman_E!C$10,1),Tablo_E!$A$2:$A$102,1),MATCH(ROUND(K99,1),Tablo_E!$B$1:$CX$1,1)))</f>
        <v>0</v>
      </c>
      <c r="M99" s="55"/>
      <c r="N99" s="60">
        <f>IF(ISBLANK(M99),0,ABS(Uzman_E!D$10-M99))</f>
        <v>0</v>
      </c>
      <c r="O99" s="52">
        <f>IF(ISBLANK(M99),0,INDEX(Tablo_E!$B$2:$CX$102,MATCH(ROUND(Uzman_E!D$10,1),Tablo_E!$A$2:$A$102,1),MATCH(ROUND(N99,1),Tablo_E!$B$1:$CX$1,1)))</f>
        <v>0</v>
      </c>
      <c r="P99" s="55"/>
      <c r="Q99" s="60">
        <f>IF(ISBLANK(P99),0,ABS(Uzman_E!E$10-P99))</f>
        <v>0</v>
      </c>
      <c r="R99" s="52">
        <f>IF(ISBLANK(P99),0,INDEX(Tablo_E!$B$2:$CX$102,MATCH(ROUND(Uzman_E!E$10,1),Tablo_E!$A$2:$A$102,1),MATCH(ROUND(Q99,1),Tablo_E!$B$1:$CX$1,1)))</f>
        <v>0</v>
      </c>
      <c r="S99" s="53">
        <f t="shared" si="2"/>
        <v>0</v>
      </c>
      <c r="T99" s="49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x14ac:dyDescent="0.45">
      <c r="A100" s="54">
        <v>97</v>
      </c>
      <c r="B100" s="35">
        <f>Hakemler!B100</f>
        <v>0</v>
      </c>
      <c r="C100" s="82">
        <f>Hakemler!C100</f>
        <v>0</v>
      </c>
      <c r="D100" s="55"/>
      <c r="E100" s="60">
        <f>IF(ISBLANK(D100),0,ABS(Uzman_E!A$10-D100))</f>
        <v>0</v>
      </c>
      <c r="F100" s="52">
        <f>IF(ISBLANK(D100),0,INDEX(Tablo_E!$B$2:$CX$102,MATCH(ROUND(Uzman_E!A$10,1),Tablo_E!$A$2:$A$102,1),MATCH(ROUND(E100,1),Tablo_E!$B$1:$CX$1,1)))</f>
        <v>0</v>
      </c>
      <c r="G100" s="55"/>
      <c r="H100" s="60">
        <f>IF(ISBLANK(G100),0,ABS(Uzman_E!B$10-G100))</f>
        <v>0</v>
      </c>
      <c r="I100" s="52">
        <f>IF(ISBLANK(G100),0,INDEX(Tablo_E!$B$2:$CX$102,MATCH(ROUND(Uzman_E!B$10,1),Tablo_E!$A$2:$A$102,1),MATCH(ROUND(H100,1),Tablo_E!$B$1:$CX$1,1)))</f>
        <v>0</v>
      </c>
      <c r="J100" s="55"/>
      <c r="K100" s="60">
        <f>IF(ISBLANK(J100),0,ABS(Uzman_E!C$10-J100))</f>
        <v>0</v>
      </c>
      <c r="L100" s="52">
        <f>IF(ISBLANK(J100),0,INDEX(Tablo_E!$B$2:$CX$102,MATCH(ROUND(Uzman_E!C$10,1),Tablo_E!$A$2:$A$102,1),MATCH(ROUND(K100,1),Tablo_E!$B$1:$CX$1,1)))</f>
        <v>0</v>
      </c>
      <c r="M100" s="55"/>
      <c r="N100" s="60">
        <f>IF(ISBLANK(M100),0,ABS(Uzman_E!D$10-M100))</f>
        <v>0</v>
      </c>
      <c r="O100" s="52">
        <f>IF(ISBLANK(M100),0,INDEX(Tablo_E!$B$2:$CX$102,MATCH(ROUND(Uzman_E!D$10,1),Tablo_E!$A$2:$A$102,1),MATCH(ROUND(N100,1),Tablo_E!$B$1:$CX$1,1)))</f>
        <v>0</v>
      </c>
      <c r="P100" s="55"/>
      <c r="Q100" s="60">
        <f>IF(ISBLANK(P100),0,ABS(Uzman_E!E$10-P100))</f>
        <v>0</v>
      </c>
      <c r="R100" s="52">
        <f>IF(ISBLANK(P100),0,INDEX(Tablo_E!$B$2:$CX$102,MATCH(ROUND(Uzman_E!E$10,1),Tablo_E!$A$2:$A$102,1),MATCH(ROUND(Q100,1),Tablo_E!$B$1:$CX$1,1)))</f>
        <v>0</v>
      </c>
      <c r="S100" s="53">
        <f t="shared" ref="S100:S103" si="3">(F100+I100+L100+O100+R100)/5</f>
        <v>0</v>
      </c>
      <c r="T100" s="49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x14ac:dyDescent="0.45">
      <c r="A101" s="54">
        <v>98</v>
      </c>
      <c r="B101" s="35">
        <f>Hakemler!B101</f>
        <v>0</v>
      </c>
      <c r="C101" s="82">
        <f>Hakemler!C101</f>
        <v>0</v>
      </c>
      <c r="D101" s="55"/>
      <c r="E101" s="60">
        <f>IF(ISBLANK(D101),0,ABS(Uzman_E!A$10-D101))</f>
        <v>0</v>
      </c>
      <c r="F101" s="52">
        <f>IF(ISBLANK(D101),0,INDEX(Tablo_E!$B$2:$CX$102,MATCH(ROUND(Uzman_E!A$10,1),Tablo_E!$A$2:$A$102,1),MATCH(ROUND(E101,1),Tablo_E!$B$1:$CX$1,1)))</f>
        <v>0</v>
      </c>
      <c r="G101" s="55"/>
      <c r="H101" s="60">
        <f>IF(ISBLANK(G101),0,ABS(Uzman_E!B$10-G101))</f>
        <v>0</v>
      </c>
      <c r="I101" s="52">
        <f>IF(ISBLANK(G101),0,INDEX(Tablo_E!$B$2:$CX$102,MATCH(ROUND(Uzman_E!B$10,1),Tablo_E!$A$2:$A$102,1),MATCH(ROUND(H101,1),Tablo_E!$B$1:$CX$1,1)))</f>
        <v>0</v>
      </c>
      <c r="J101" s="55"/>
      <c r="K101" s="60">
        <f>IF(ISBLANK(J101),0,ABS(Uzman_E!C$10-J101))</f>
        <v>0</v>
      </c>
      <c r="L101" s="52">
        <f>IF(ISBLANK(J101),0,INDEX(Tablo_E!$B$2:$CX$102,MATCH(ROUND(Uzman_E!C$10,1),Tablo_E!$A$2:$A$102,1),MATCH(ROUND(K101,1),Tablo_E!$B$1:$CX$1,1)))</f>
        <v>0</v>
      </c>
      <c r="M101" s="55"/>
      <c r="N101" s="60">
        <f>IF(ISBLANK(M101),0,ABS(Uzman_E!D$10-M101))</f>
        <v>0</v>
      </c>
      <c r="O101" s="52">
        <f>IF(ISBLANK(M101),0,INDEX(Tablo_E!$B$2:$CX$102,MATCH(ROUND(Uzman_E!D$10,1),Tablo_E!$A$2:$A$102,1),MATCH(ROUND(N101,1),Tablo_E!$B$1:$CX$1,1)))</f>
        <v>0</v>
      </c>
      <c r="P101" s="55"/>
      <c r="Q101" s="60">
        <f>IF(ISBLANK(P101),0,ABS(Uzman_E!E$10-P101))</f>
        <v>0</v>
      </c>
      <c r="R101" s="52">
        <f>IF(ISBLANK(P101),0,INDEX(Tablo_E!$B$2:$CX$102,MATCH(ROUND(Uzman_E!E$10,1),Tablo_E!$A$2:$A$102,1),MATCH(ROUND(Q101,1),Tablo_E!$B$1:$CX$1,1)))</f>
        <v>0</v>
      </c>
      <c r="S101" s="53">
        <f t="shared" si="3"/>
        <v>0</v>
      </c>
      <c r="T101" s="49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x14ac:dyDescent="0.45">
      <c r="A102" s="54">
        <v>99</v>
      </c>
      <c r="B102" s="35">
        <f>Hakemler!B102</f>
        <v>0</v>
      </c>
      <c r="C102" s="82">
        <f>Hakemler!C102</f>
        <v>0</v>
      </c>
      <c r="D102" s="55"/>
      <c r="E102" s="60">
        <f>IF(ISBLANK(D102),0,ABS(Uzman_E!A$10-D102))</f>
        <v>0</v>
      </c>
      <c r="F102" s="52">
        <f>IF(ISBLANK(D102),0,INDEX(Tablo_E!$B$2:$CX$102,MATCH(ROUND(Uzman_E!A$10,1),Tablo_E!$A$2:$A$102,1),MATCH(ROUND(E102,1),Tablo_E!$B$1:$CX$1,1)))</f>
        <v>0</v>
      </c>
      <c r="G102" s="55"/>
      <c r="H102" s="60">
        <f>IF(ISBLANK(G102),0,ABS(Uzman_E!B$10-G102))</f>
        <v>0</v>
      </c>
      <c r="I102" s="52">
        <f>IF(ISBLANK(G102),0,INDEX(Tablo_E!$B$2:$CX$102,MATCH(ROUND(Uzman_E!B$10,1),Tablo_E!$A$2:$A$102,1),MATCH(ROUND(H102,1),Tablo_E!$B$1:$CX$1,1)))</f>
        <v>0</v>
      </c>
      <c r="J102" s="55"/>
      <c r="K102" s="60">
        <f>IF(ISBLANK(J102),0,ABS(Uzman_E!C$10-J102))</f>
        <v>0</v>
      </c>
      <c r="L102" s="52">
        <f>IF(ISBLANK(J102),0,INDEX(Tablo_E!$B$2:$CX$102,MATCH(ROUND(Uzman_E!C$10,1),Tablo_E!$A$2:$A$102,1),MATCH(ROUND(K102,1),Tablo_E!$B$1:$CX$1,1)))</f>
        <v>0</v>
      </c>
      <c r="M102" s="55"/>
      <c r="N102" s="60">
        <f>IF(ISBLANK(M102),0,ABS(Uzman_E!D$10-M102))</f>
        <v>0</v>
      </c>
      <c r="O102" s="52">
        <f>IF(ISBLANK(M102),0,INDEX(Tablo_E!$B$2:$CX$102,MATCH(ROUND(Uzman_E!D$10,1),Tablo_E!$A$2:$A$102,1),MATCH(ROUND(N102,1),Tablo_E!$B$1:$CX$1,1)))</f>
        <v>0</v>
      </c>
      <c r="P102" s="55"/>
      <c r="Q102" s="60">
        <f>IF(ISBLANK(P102),0,ABS(Uzman_E!E$10-P102))</f>
        <v>0</v>
      </c>
      <c r="R102" s="52">
        <f>IF(ISBLANK(P102),0,INDEX(Tablo_E!$B$2:$CX$102,MATCH(ROUND(Uzman_E!E$10,1),Tablo_E!$A$2:$A$102,1),MATCH(ROUND(Q102,1),Tablo_E!$B$1:$CX$1,1)))</f>
        <v>0</v>
      </c>
      <c r="S102" s="53">
        <f t="shared" si="3"/>
        <v>0</v>
      </c>
      <c r="T102" s="49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45">
      <c r="A103" s="54">
        <v>100</v>
      </c>
      <c r="B103" s="35">
        <f>Hakemler!B103</f>
        <v>0</v>
      </c>
      <c r="C103" s="82">
        <f>Hakemler!C103</f>
        <v>0</v>
      </c>
      <c r="D103" s="55"/>
      <c r="E103" s="62">
        <f>IF(ISBLANK(D103),0,ABS(Uzman_E!A$10-D103))</f>
        <v>0</v>
      </c>
      <c r="F103" s="57">
        <f>IF(ISBLANK(D103),0,INDEX(Tablo_E!$B$2:$CX$102,MATCH(ROUND(Uzman_E!A$10,1),Tablo_E!$A$2:$A$102,1),MATCH(ROUND(E103,1),Tablo_E!$B$1:$CX$1,1)))</f>
        <v>0</v>
      </c>
      <c r="G103" s="55"/>
      <c r="H103" s="62">
        <f>IF(ISBLANK(G103),0,ABS(Uzman_E!B$10-G103))</f>
        <v>0</v>
      </c>
      <c r="I103" s="57">
        <f>IF(ISBLANK(G103),0,INDEX(Tablo_E!$B$2:$CX$102,MATCH(ROUND(Uzman_E!B$10,1),Tablo_E!$A$2:$A$102,1),MATCH(ROUND(H103,1),Tablo_E!$B$1:$CX$1,1)))</f>
        <v>0</v>
      </c>
      <c r="J103" s="55"/>
      <c r="K103" s="62">
        <f>IF(ISBLANK(J103),0,ABS(Uzman_E!C$10-J103))</f>
        <v>0</v>
      </c>
      <c r="L103" s="57">
        <f>IF(ISBLANK(J103),0,INDEX(Tablo_E!$B$2:$CX$102,MATCH(ROUND(Uzman_E!C$10,1),Tablo_E!$A$2:$A$102,1),MATCH(ROUND(K103,1),Tablo_E!$B$1:$CX$1,1)))</f>
        <v>0</v>
      </c>
      <c r="M103" s="55"/>
      <c r="N103" s="62">
        <f>IF(ISBLANK(M103),0,ABS(Uzman_E!D$10-M103))</f>
        <v>0</v>
      </c>
      <c r="O103" s="57">
        <f>IF(ISBLANK(M103),0,INDEX(Tablo_E!$B$2:$CX$102,MATCH(ROUND(Uzman_E!D$10,1),Tablo_E!$A$2:$A$102,1),MATCH(ROUND(N103,1),Tablo_E!$B$1:$CX$1,1)))</f>
        <v>0</v>
      </c>
      <c r="P103" s="55"/>
      <c r="Q103" s="62">
        <f>IF(ISBLANK(P103),0,ABS(Uzman_E!E$10-P103))</f>
        <v>0</v>
      </c>
      <c r="R103" s="57">
        <f>IF(ISBLANK(P103),0,INDEX(Tablo_E!$B$2:$CX$102,MATCH(ROUND(Uzman_E!E$10,1),Tablo_E!$A$2:$A$102,1),MATCH(ROUND(Q103,1),Tablo_E!$B$1:$CX$1,1)))</f>
        <v>0</v>
      </c>
      <c r="S103" s="58">
        <f t="shared" si="3"/>
        <v>0</v>
      </c>
      <c r="T103" s="49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P2:R2"/>
    <mergeCell ref="G2:I2"/>
    <mergeCell ref="A1:S1"/>
    <mergeCell ref="B2:B3"/>
    <mergeCell ref="M2:O2"/>
    <mergeCell ref="C2:C3"/>
    <mergeCell ref="A2:A3"/>
    <mergeCell ref="D2:F2"/>
    <mergeCell ref="J2:L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03"/>
  <sheetViews>
    <sheetView showGridLines="0" workbookViewId="0">
      <pane xSplit="16" ySplit="11" topLeftCell="AN12" activePane="bottomRight" state="frozen"/>
      <selection pane="topRight" activeCell="Q1" sqref="Q1"/>
      <selection pane="bottomLeft" activeCell="A12" sqref="A12"/>
      <selection pane="bottomRight" activeCell="G17" sqref="G17"/>
    </sheetView>
  </sheetViews>
  <sheetFormatPr defaultColWidth="8.796875" defaultRowHeight="15" customHeight="1" x14ac:dyDescent="0.45"/>
  <cols>
    <col min="1" max="1" width="5" style="1" customWidth="1"/>
    <col min="2" max="2" width="18.265625" style="1" bestFit="1" customWidth="1"/>
    <col min="3" max="3" width="15.796875" style="1" bestFit="1" customWidth="1"/>
    <col min="4" max="15" width="3.46484375" style="1" customWidth="1"/>
    <col min="16" max="16" width="7.6640625" style="1" customWidth="1"/>
    <col min="17" max="28" width="3.46484375" style="1" customWidth="1"/>
    <col min="29" max="29" width="7" style="1" customWidth="1"/>
    <col min="30" max="41" width="3.46484375" style="1" customWidth="1"/>
    <col min="42" max="42" width="6.46484375" style="1" customWidth="1"/>
    <col min="43" max="54" width="3.46484375" style="1" customWidth="1"/>
    <col min="55" max="55" width="6.46484375" style="1" customWidth="1"/>
    <col min="56" max="67" width="3.46484375" style="1" customWidth="1"/>
    <col min="68" max="68" width="7" style="1" bestFit="1" customWidth="1"/>
    <col min="69" max="69" width="10.46484375" style="1" customWidth="1"/>
    <col min="70" max="256" width="8.86328125" style="1" customWidth="1"/>
  </cols>
  <sheetData>
    <row r="1" spans="1:69" ht="18.75" customHeight="1" x14ac:dyDescent="0.45">
      <c r="A1" s="210" t="s">
        <v>87</v>
      </c>
      <c r="B1" s="211"/>
      <c r="C1" s="211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3"/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  <c r="AQ1" s="214"/>
      <c r="AR1" s="214"/>
      <c r="AS1" s="214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  <c r="BK1" s="214"/>
      <c r="BL1" s="214"/>
      <c r="BM1" s="214"/>
      <c r="BN1" s="214"/>
      <c r="BO1" s="214"/>
      <c r="BP1" s="214"/>
      <c r="BQ1" s="215"/>
    </row>
    <row r="2" spans="1:69" ht="15.75" customHeight="1" x14ac:dyDescent="0.45">
      <c r="A2" s="218" t="s">
        <v>9</v>
      </c>
      <c r="B2" s="226" t="s">
        <v>10</v>
      </c>
      <c r="C2" s="224" t="s">
        <v>11</v>
      </c>
      <c r="D2" s="202" t="s">
        <v>54</v>
      </c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4"/>
      <c r="Q2" s="205" t="s">
        <v>55</v>
      </c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7"/>
      <c r="AD2" s="202" t="s">
        <v>56</v>
      </c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4"/>
      <c r="AQ2" s="205" t="s">
        <v>57</v>
      </c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7"/>
      <c r="BD2" s="202" t="s">
        <v>58</v>
      </c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4"/>
      <c r="BQ2" s="65"/>
    </row>
    <row r="3" spans="1:69" ht="15.75" customHeight="1" x14ac:dyDescent="0.45">
      <c r="A3" s="219"/>
      <c r="B3" s="227"/>
      <c r="C3" s="225"/>
      <c r="D3" s="66" t="s">
        <v>74</v>
      </c>
      <c r="E3" s="67" t="s">
        <v>75</v>
      </c>
      <c r="F3" s="67" t="s">
        <v>76</v>
      </c>
      <c r="G3" s="67" t="s">
        <v>77</v>
      </c>
      <c r="H3" s="67" t="s">
        <v>78</v>
      </c>
      <c r="I3" s="67" t="s">
        <v>79</v>
      </c>
      <c r="J3" s="67" t="s">
        <v>80</v>
      </c>
      <c r="K3" s="67" t="s">
        <v>81</v>
      </c>
      <c r="L3" s="67" t="s">
        <v>82</v>
      </c>
      <c r="M3" s="67" t="s">
        <v>83</v>
      </c>
      <c r="N3" s="67" t="s">
        <v>84</v>
      </c>
      <c r="O3" s="67" t="s">
        <v>85</v>
      </c>
      <c r="P3" s="68" t="s">
        <v>64</v>
      </c>
      <c r="Q3" s="66" t="s">
        <v>74</v>
      </c>
      <c r="R3" s="67" t="s">
        <v>75</v>
      </c>
      <c r="S3" s="67" t="s">
        <v>76</v>
      </c>
      <c r="T3" s="67" t="s">
        <v>77</v>
      </c>
      <c r="U3" s="67" t="s">
        <v>78</v>
      </c>
      <c r="V3" s="67" t="s">
        <v>79</v>
      </c>
      <c r="W3" s="67" t="s">
        <v>80</v>
      </c>
      <c r="X3" s="67" t="s">
        <v>81</v>
      </c>
      <c r="Y3" s="67" t="s">
        <v>82</v>
      </c>
      <c r="Z3" s="67" t="s">
        <v>83</v>
      </c>
      <c r="AA3" s="67" t="s">
        <v>84</v>
      </c>
      <c r="AB3" s="67" t="s">
        <v>85</v>
      </c>
      <c r="AC3" s="68" t="s">
        <v>64</v>
      </c>
      <c r="AD3" s="66" t="s">
        <v>74</v>
      </c>
      <c r="AE3" s="67" t="s">
        <v>75</v>
      </c>
      <c r="AF3" s="67" t="s">
        <v>76</v>
      </c>
      <c r="AG3" s="67" t="s">
        <v>77</v>
      </c>
      <c r="AH3" s="67" t="s">
        <v>78</v>
      </c>
      <c r="AI3" s="67" t="s">
        <v>79</v>
      </c>
      <c r="AJ3" s="67" t="s">
        <v>80</v>
      </c>
      <c r="AK3" s="67" t="s">
        <v>81</v>
      </c>
      <c r="AL3" s="67" t="s">
        <v>82</v>
      </c>
      <c r="AM3" s="67" t="s">
        <v>83</v>
      </c>
      <c r="AN3" s="67" t="s">
        <v>84</v>
      </c>
      <c r="AO3" s="67" t="s">
        <v>85</v>
      </c>
      <c r="AP3" s="68" t="s">
        <v>64</v>
      </c>
      <c r="AQ3" s="66" t="s">
        <v>74</v>
      </c>
      <c r="AR3" s="67" t="s">
        <v>75</v>
      </c>
      <c r="AS3" s="67" t="s">
        <v>76</v>
      </c>
      <c r="AT3" s="67" t="s">
        <v>77</v>
      </c>
      <c r="AU3" s="67" t="s">
        <v>78</v>
      </c>
      <c r="AV3" s="67" t="s">
        <v>79</v>
      </c>
      <c r="AW3" s="67" t="s">
        <v>80</v>
      </c>
      <c r="AX3" s="67" t="s">
        <v>81</v>
      </c>
      <c r="AY3" s="67" t="s">
        <v>82</v>
      </c>
      <c r="AZ3" s="67" t="s">
        <v>83</v>
      </c>
      <c r="BA3" s="67" t="s">
        <v>84</v>
      </c>
      <c r="BB3" s="67" t="s">
        <v>85</v>
      </c>
      <c r="BC3" s="68" t="s">
        <v>64</v>
      </c>
      <c r="BD3" s="66" t="s">
        <v>74</v>
      </c>
      <c r="BE3" s="67" t="s">
        <v>75</v>
      </c>
      <c r="BF3" s="67" t="s">
        <v>76</v>
      </c>
      <c r="BG3" s="67" t="s">
        <v>77</v>
      </c>
      <c r="BH3" s="67" t="s">
        <v>78</v>
      </c>
      <c r="BI3" s="67" t="s">
        <v>79</v>
      </c>
      <c r="BJ3" s="67" t="s">
        <v>80</v>
      </c>
      <c r="BK3" s="67" t="s">
        <v>81</v>
      </c>
      <c r="BL3" s="67" t="s">
        <v>82</v>
      </c>
      <c r="BM3" s="67" t="s">
        <v>83</v>
      </c>
      <c r="BN3" s="67" t="s">
        <v>84</v>
      </c>
      <c r="BO3" s="67" t="s">
        <v>85</v>
      </c>
      <c r="BP3" s="68" t="s">
        <v>64</v>
      </c>
      <c r="BQ3" s="69" t="s">
        <v>65</v>
      </c>
    </row>
    <row r="4" spans="1:69" ht="15.5" customHeight="1" x14ac:dyDescent="0.45">
      <c r="A4" s="54">
        <v>1</v>
      </c>
      <c r="B4" s="29" t="str">
        <f>Hakemler!B4</f>
        <v>YAZICI</v>
      </c>
      <c r="C4" s="29" t="str">
        <f>Hakemler!C4</f>
        <v>SUZAN</v>
      </c>
      <c r="D4" s="56">
        <v>1</v>
      </c>
      <c r="E4" s="56">
        <v>1</v>
      </c>
      <c r="F4" s="56">
        <v>2</v>
      </c>
      <c r="G4" s="56">
        <v>2</v>
      </c>
      <c r="H4" s="56">
        <v>2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70">
        <v>2</v>
      </c>
      <c r="O4" s="70">
        <v>0.4</v>
      </c>
      <c r="P4" s="71">
        <v>0.8</v>
      </c>
      <c r="Q4" s="56">
        <v>0</v>
      </c>
      <c r="R4" s="56">
        <v>2</v>
      </c>
      <c r="S4" s="56">
        <v>4</v>
      </c>
      <c r="T4" s="56">
        <v>2</v>
      </c>
      <c r="U4" s="56">
        <v>0</v>
      </c>
      <c r="V4" s="56">
        <v>0</v>
      </c>
      <c r="W4" s="56">
        <v>0</v>
      </c>
      <c r="X4" s="56">
        <v>0</v>
      </c>
      <c r="Y4" s="56">
        <v>0</v>
      </c>
      <c r="Z4" s="56">
        <v>0</v>
      </c>
      <c r="AA4" s="70">
        <v>2</v>
      </c>
      <c r="AB4" s="70">
        <v>0</v>
      </c>
      <c r="AC4" s="71">
        <v>0.8</v>
      </c>
      <c r="AD4" s="56">
        <v>0</v>
      </c>
      <c r="AE4" s="56">
        <v>1</v>
      </c>
      <c r="AF4" s="56">
        <v>3</v>
      </c>
      <c r="AG4" s="56">
        <v>4</v>
      </c>
      <c r="AH4" s="56">
        <v>0</v>
      </c>
      <c r="AI4" s="56">
        <v>0</v>
      </c>
      <c r="AJ4" s="56">
        <v>0</v>
      </c>
      <c r="AK4" s="56">
        <v>0</v>
      </c>
      <c r="AL4" s="56">
        <v>0</v>
      </c>
      <c r="AM4" s="56">
        <v>0</v>
      </c>
      <c r="AN4" s="70">
        <v>2</v>
      </c>
      <c r="AO4" s="70">
        <v>0.2</v>
      </c>
      <c r="AP4" s="71">
        <v>1</v>
      </c>
      <c r="AQ4" s="56">
        <v>2</v>
      </c>
      <c r="AR4" s="56">
        <v>2</v>
      </c>
      <c r="AS4" s="56">
        <v>4</v>
      </c>
      <c r="AT4" s="56">
        <v>0</v>
      </c>
      <c r="AU4" s="56">
        <v>0</v>
      </c>
      <c r="AV4" s="56">
        <v>0</v>
      </c>
      <c r="AW4" s="56">
        <v>0</v>
      </c>
      <c r="AX4" s="56">
        <v>0</v>
      </c>
      <c r="AY4" s="56">
        <v>0</v>
      </c>
      <c r="AZ4" s="56">
        <v>0</v>
      </c>
      <c r="BA4" s="70">
        <v>1.5</v>
      </c>
      <c r="BB4" s="70">
        <v>0</v>
      </c>
      <c r="BC4" s="71">
        <v>1</v>
      </c>
      <c r="BD4" s="56">
        <v>1</v>
      </c>
      <c r="BE4" s="56">
        <v>1</v>
      </c>
      <c r="BF4" s="56">
        <v>5</v>
      </c>
      <c r="BG4" s="56">
        <v>1</v>
      </c>
      <c r="BH4" s="56">
        <v>0</v>
      </c>
      <c r="BI4" s="56">
        <v>0</v>
      </c>
      <c r="BJ4" s="56">
        <v>0</v>
      </c>
      <c r="BK4" s="56">
        <v>0</v>
      </c>
      <c r="BL4" s="56">
        <v>0</v>
      </c>
      <c r="BM4" s="56">
        <v>0</v>
      </c>
      <c r="BN4" s="70">
        <v>2</v>
      </c>
      <c r="BO4" s="70">
        <v>0</v>
      </c>
      <c r="BP4" s="71">
        <v>0.7</v>
      </c>
      <c r="BQ4" s="72">
        <f t="shared" ref="BQ4:BQ35" si="0">(P4+AC4+AP4+BC4+BP4)/5</f>
        <v>0.86</v>
      </c>
    </row>
    <row r="5" spans="1:69" ht="15" customHeight="1" x14ac:dyDescent="0.45">
      <c r="A5" s="54">
        <v>2</v>
      </c>
      <c r="B5" s="29" t="str">
        <f>Hakemler!B5</f>
        <v>ASLAN</v>
      </c>
      <c r="C5" s="29" t="str">
        <f>Hakemler!C5</f>
        <v>SEMA FİDEL</v>
      </c>
      <c r="D5" s="56">
        <v>1</v>
      </c>
      <c r="E5" s="56">
        <v>2</v>
      </c>
      <c r="F5" s="56">
        <v>2</v>
      </c>
      <c r="G5" s="56">
        <v>2</v>
      </c>
      <c r="H5" s="56">
        <v>2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70">
        <v>2</v>
      </c>
      <c r="O5" s="70">
        <v>0.4</v>
      </c>
      <c r="P5" s="71">
        <f>1-(SUM(IF(D5-Uzman_D!$B$18&lt;0,-(D5-Uzman_D!$B$18),D5-Uzman_D!$B$18)*0.1+IF(E5-Uzman_D!$C$18&lt;0,-(E5-Uzman_D!$C$18),E5-Uzman_D!$C$18)*0.1+IF(F5-Uzman_D!$D$18&lt;0,-(F5-Uzman_D!$D$18),F5-Uzman_D!$D$18)*0.1+IF(G5-Uzman_D!$E$18&lt;0,-(G5-Uzman_D!$E$18),G5-Uzman_D!$E$18)*0.1+IF(H5-Uzman_D!$F$18&lt;0,-(H5-Uzman_D!$F$18),H5-Uzman_D!$F$18)*0.1+IF(I5-Uzman_D!$G$18&lt;0,-(I5-Uzman_D!$G$18),I5-Uzman_D!$G$18)*0.1+IF(J5-Uzman_D!$H$18&lt;0,-(J5-Uzman_D!$H$18),J5-Uzman_D!$H$18)*0.1+IF(K5-Uzman_D!$I$18&lt;0,-(K5-Uzman_D!$I$18),K5-Uzman_D!$I$18)*0.1+IF(L5-Uzman_D!$J$18&lt;0,-(L5-Uzman_D!$J$18),L5-Uzman_D!$J$18)*0.1)+IF(ROUND((IF(N5-Uzman_D!$L$18&lt;0,-(N5-Uzman_D!$L$18),N5-Uzman_D!$L$18)*2),0)/2=IF(N5-Uzman_D!$L$18&lt;0,-(N5-Uzman_D!$L$18),N5-Uzman_D!$L$18),(ROUND((IF(N5-Uzman_D!$L$18&lt;0,-(N5-Uzman_D!$L$18),N5-Uzman_D!$L$18)*2),0)/1*0.1),0)+IF(O5-Uzman_D!$M$18&lt;0,-(O5-Uzman_D!$M$18),O5-Uzman_D!$M$18)*1)</f>
        <v>0.7</v>
      </c>
      <c r="Q5" s="56">
        <v>0</v>
      </c>
      <c r="R5" s="56">
        <v>1</v>
      </c>
      <c r="S5" s="56">
        <v>5</v>
      </c>
      <c r="T5" s="56">
        <v>2</v>
      </c>
      <c r="U5" s="56">
        <v>0</v>
      </c>
      <c r="V5" s="56">
        <v>0</v>
      </c>
      <c r="W5" s="56">
        <v>0</v>
      </c>
      <c r="X5" s="56">
        <v>0</v>
      </c>
      <c r="Y5" s="56">
        <v>0</v>
      </c>
      <c r="Z5" s="56">
        <v>0</v>
      </c>
      <c r="AA5" s="70">
        <v>2</v>
      </c>
      <c r="AB5" s="70">
        <v>0</v>
      </c>
      <c r="AC5" s="71">
        <f>1-(SUM(IF(Q5-Uzman_D!$B$19&lt;0,-(Q5-Uzman_D!$B$19),Q5-Uzman_D!$B$19)*0.1+IF(R5-Uzman_D!$C$19&lt;0,-(R5-Uzman_D!$C$19),R5-Uzman_D!$C$19)*0.1+IF(S5-Uzman_D!$D$19&lt;0,-(S5-Uzman_D!$D$19),S5-Uzman_D!$D$19)*0.1+IF(T5-Uzman_D!$E$19&lt;0,-(T5-Uzman_D!$E$19),T5-Uzman_D!$E$19)*0.1+IF(U5-Uzman_D!$F$19&lt;0,-(U5-Uzman_D!$F$19),U5-Uzman_D!$F$19)*0.1+IF(V5-Uzman_D!$G$19&lt;0,-(V5-Uzman_D!$G$19),V5-Uzman_D!$G$19)*0.1+IF(W5-Uzman_D!$H$19&lt;0,-(W5-Uzman_D!$H$19),W5-Uzman_D!$H$19)*0.1+IF(X5-Uzman_D!$I$19&lt;0,-(X5-Uzman_D!$I$19),X5-Uzman_D!$I$19)*0.1+IF(Y5-Uzman_D!$J$19&lt;0,-(Y5-Uzman_D!$J$19),Y5-Uzman_D!$J$19)*0.1)+IF(ROUND((IF(AA5-Uzman_D!$L$19&lt;0,-(AA5-Uzman_D!$L$19),AA5-Uzman_D!$L$19)*2),0)/2=IF(AA5-Uzman_D!$L$19&lt;0,-(AA5-Uzman_D!$L$19),AA5-Uzman_D!$L$19),(ROUND((IF(AA5-Uzman_D!$L$19&lt;0,-(AA5-Uzman_D!$L$19),AA5-Uzman_D!$L$19)*2),0)/1*0.1),0)+IF(AB5-Uzman_D!$M$19&lt;0,-(AB5-Uzman_D!$M$19),AB5-Uzman_D!$M$19)*1)</f>
        <v>1</v>
      </c>
      <c r="AD5" s="56">
        <v>0</v>
      </c>
      <c r="AE5" s="56">
        <v>2</v>
      </c>
      <c r="AF5" s="56">
        <v>3</v>
      </c>
      <c r="AG5" s="56">
        <v>3</v>
      </c>
      <c r="AH5" s="56">
        <v>0</v>
      </c>
      <c r="AI5" s="56">
        <v>0</v>
      </c>
      <c r="AJ5" s="56">
        <v>0</v>
      </c>
      <c r="AK5" s="56">
        <v>0</v>
      </c>
      <c r="AL5" s="56">
        <v>0</v>
      </c>
      <c r="AM5" s="56">
        <v>0</v>
      </c>
      <c r="AN5" s="70">
        <v>2</v>
      </c>
      <c r="AO5" s="70">
        <v>0.4</v>
      </c>
      <c r="AP5" s="71">
        <f>1-(SUM(IF(AD5-Uzman_D!$B$20&lt;0,-(AD5-Uzman_D!$B$20),AD5-Uzman_D!$B$20)*0.1+IF(AE5-Uzman_D!$C$20&lt;0,-(AE5-Uzman_D!$C$20),AE5-Uzman_D!$C$20)*0.1+IF(AF5-Uzman_D!$D$20&lt;0,-(AF5-Uzman_D!$D$20),AF5-Uzman_D!$D$20)*0.1+IF(AG5-Uzman_D!$E$20&lt;0,-(AG5-Uzman_D!$E$20),AG5-Uzman_D!$E$20)*0.1+IF(AH5-Uzman_D!$F$20&lt;0,-(AH5-Uzman_D!$F$20),AH5-Uzman_D!$F$20)*0.1+IF(AI5-Uzman_D!$G$20&lt;0,-(AI5-Uzman_D!$G$20),AI5-Uzman_D!$G$20)*0.1+IF(AJ5-Uzman_D!$H$20&lt;0,-(AJ5-Uzman_D!$H$20),AJ5-Uzman_D!$H$20)*0.1+IF(AK5-Uzman_D!$I$20&lt;0,-(AK5-Uzman_D!$I$20),AK5-Uzman_D!$I$20)*0.1+IF(AL5-Uzman_D!$J$20&lt;0,-(AL5-Uzman_D!$J$20),AL5-Uzman_D!$J$20)*0.1)+IF(ROUND((IF(AN5-Uzman_D!$L$20&lt;0,-(AN5-Uzman_D!$L$20),AN5-Uzman_D!$L$20)*2),0)/2=IF(AN5-Uzman_D!$L$20&lt;0,-(AN5-Uzman_D!$L$20),AN5-Uzman_D!$L$20),(ROUND((IF(AN5-Uzman_D!$L$20&lt;0,-(AN5-Uzman_D!$L$20),AN5-Uzman_D!$L$20)*2),0)/1*0.1),0)+IF(AO5-Uzman_D!$M$20&lt;0,-(AO5-Uzman_D!$M$20),AO5-Uzman_D!$M$20)*1)</f>
        <v>0.6</v>
      </c>
      <c r="AQ5" s="56">
        <v>3</v>
      </c>
      <c r="AR5" s="56">
        <v>2</v>
      </c>
      <c r="AS5" s="56">
        <v>3</v>
      </c>
      <c r="AT5" s="56">
        <v>0</v>
      </c>
      <c r="AU5" s="56">
        <v>0</v>
      </c>
      <c r="AV5" s="56">
        <v>0</v>
      </c>
      <c r="AW5" s="56">
        <v>0</v>
      </c>
      <c r="AX5" s="56">
        <v>0</v>
      </c>
      <c r="AY5" s="56">
        <v>0</v>
      </c>
      <c r="AZ5" s="56">
        <v>0</v>
      </c>
      <c r="BA5" s="70">
        <v>1.5</v>
      </c>
      <c r="BB5" s="70">
        <v>0</v>
      </c>
      <c r="BC5" s="71">
        <f>1-(SUM(IF(AQ5-Uzman_D!$B$21&lt;0,-(AQ5-Uzman_D!$B$21),AQ5-Uzman_D!$B$21)*0.1+IF(AR5-Uzman_D!$C$21&lt;0,-(AR5-Uzman_D!$C$21),AR5-Uzman_D!$C$21)*0.1+IF(AS5-Uzman_D!$D$21&lt;0,-(AS5-Uzman_D!$D$21),AS5-Uzman_D!$D$21)*0.1+IF(AT5-Uzman_D!$E$21&lt;0,-(AT5-Uzman_D!$E$21),AT5-Uzman_D!$E$21)*0.1+IF(AU5-Uzman_D!$F$21&lt;0,-(AU5-Uzman_D!$F$21),AU5-Uzman_D!$F$21)*0.1+IF(AV5-Uzman_D!$G$21&lt;0,-(AV5-Uzman_D!$G$21),AV5-Uzman_D!$G$21)*0.1+IF(AW5-Uzman_D!$H$21&lt;0,-(AW5-Uzman_D!$H$21),AW5-Uzman_D!$H$21)*0.1+IF(AX5-Uzman_D!$I$21&lt;0,-(AX5-Uzman_D!$I$21),AX5-Uzman_D!$I$21)*0.1+IF(AY5-Uzman_D!$J$21&lt;0,-(AY5-Uzman_D!$J$21),AY5-Uzman_D!$J$21)*0.1)+IF(ROUND((IF(BA5-Uzman_D!$L$21&lt;0,-(BA5-Uzman_D!$L$21),BA5-Uzman_D!$L$21)*2),0)/2=IF(BA5-Uzman_D!$L$21&lt;0,-(BA5-Uzman_D!$L$21),BA5-Uzman_D!$L$21),(ROUND((IF(BA5-Uzman_D!$L$21&lt;0,-(BA5-Uzman_D!$L$21),BA5-Uzman_D!$L$21)*2),0)/1*0.1),0)+IF(BB5-Uzman_D!$M$21&lt;0,-(BB5-Uzman_D!$M$21),BB5-Uzman_D!$M$21)*1)</f>
        <v>0.8</v>
      </c>
      <c r="BD5" s="56">
        <v>1</v>
      </c>
      <c r="BE5" s="56">
        <v>2</v>
      </c>
      <c r="BF5" s="56">
        <v>4</v>
      </c>
      <c r="BG5" s="56">
        <v>1</v>
      </c>
      <c r="BH5" s="56">
        <v>0</v>
      </c>
      <c r="BI5" s="56">
        <v>0</v>
      </c>
      <c r="BJ5" s="56">
        <v>0</v>
      </c>
      <c r="BK5" s="56">
        <v>0</v>
      </c>
      <c r="BL5" s="56">
        <v>0</v>
      </c>
      <c r="BM5" s="56">
        <v>0</v>
      </c>
      <c r="BN5" s="70">
        <v>2</v>
      </c>
      <c r="BO5" s="70">
        <v>0</v>
      </c>
      <c r="BP5" s="71">
        <f>1-(SUM(IF(BD5-Uzman_D!$B$22&lt;0,-(BD5-Uzman_D!$B$22),BD5-Uzman_D!$B$22)*0.1+IF(BE5-Uzman_D!$C$22&lt;0,-(BE5-Uzman_D!$C$22),BE5-Uzman_D!$C$22)*0.1+IF(BF5-Uzman_D!$D$22&lt;0,-(BF5-Uzman_D!$D$22),BF5-Uzman_D!$D$22)*0.1+IF(BG5-Uzman_D!$E$22&lt;0,-(BG5-Uzman_D!$E$22),BG5-Uzman_D!$E$22)*0.1+IF(BH5-Uzman_D!$F$22&lt;0,-(BH5-Uzman_D!$F$22),BH5-Uzman_D!$F$22)*0.1+IF(BI5-Uzman_D!$G$22&lt;0,-(BI5-Uzman_D!$G$22),BI5-Uzman_D!$G$22)*0.1+IF(BJ5-Uzman_D!$H$22&lt;0,-(BJ5-Uzman_D!$H$22),BJ5-Uzman_D!$H$22)*0.1+IF(BK5-Uzman_D!$I$22&lt;0,-(BK5-Uzman_D!$I$22),BK5-Uzman_D!$I$22)*0.1+IF(BL5-Uzman_D!$J$22&lt;0,-(BL5-Uzman_D!$J$22),BL5-Uzman_D!$J$22)*0.1)+IF(ROUND((IF(BN5-Uzman_D!$L$22&lt;0,-(BN5-Uzman_D!$L$22),BN5-Uzman_D!$L$22)*2),0)/2=IF(BN5-Uzman_D!$L$22&lt;0,-(BN5-Uzman_D!$L$22),BN5-Uzman_D!$L$22),(ROUND((IF(BN5-Uzman_D!$L$22&lt;0,-(BN5-Uzman_D!$L$22),BN5-Uzman_D!$L$22)*2),0)/1*0.1),0)+IF(BO5-Uzman_D!$M$22&lt;0,-(BO5-Uzman_D!$M$22),BO5-Uzman_D!$M$22)*1)</f>
        <v>0.9</v>
      </c>
      <c r="BQ5" s="72">
        <f t="shared" si="0"/>
        <v>0.79999999999999993</v>
      </c>
    </row>
    <row r="6" spans="1:69" ht="15" customHeight="1" x14ac:dyDescent="0.45">
      <c r="A6" s="54">
        <v>3</v>
      </c>
      <c r="B6" s="29" t="str">
        <f>Hakemler!B6</f>
        <v>TUNA</v>
      </c>
      <c r="C6" s="29" t="str">
        <f>Hakemler!C6</f>
        <v>MUNİSE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70"/>
      <c r="O6" s="70"/>
      <c r="P6" s="71">
        <f>1-(SUM(IF(D6-Uzman_D!$B$18&lt;0,-(D6-Uzman_D!$B$18),D6-Uzman_D!$B$18)*0.1+IF(E6-Uzman_D!$C$18&lt;0,-(E6-Uzman_D!$C$18),E6-Uzman_D!$C$18)*0.1+IF(F6-Uzman_D!$D$18&lt;0,-(F6-Uzman_D!$D$18),F6-Uzman_D!$D$18)*0.1+IF(G6-Uzman_D!$E$18&lt;0,-(G6-Uzman_D!$E$18),G6-Uzman_D!$E$18)*0.1+IF(H6-Uzman_D!$F$18&lt;0,-(H6-Uzman_D!$F$18),H6-Uzman_D!$F$18)*0.1+IF(I6-Uzman_D!$G$18&lt;0,-(I6-Uzman_D!$G$18),I6-Uzman_D!$G$18)*0.1+IF(J6-Uzman_D!$H$18&lt;0,-(J6-Uzman_D!$H$18),J6-Uzman_D!$H$18)*0.1+IF(K6-Uzman_D!$I$18&lt;0,-(K6-Uzman_D!$I$18),K6-Uzman_D!$I$18)*0.1+IF(L6-Uzman_D!$J$18&lt;0,-(L6-Uzman_D!$J$18),L6-Uzman_D!$J$18)*0.1)+IF(ROUND((IF(N6-Uzman_D!$L$18&lt;0,-(N6-Uzman_D!$L$18),N6-Uzman_D!$L$18)*2),0)/2=IF(N6-Uzman_D!$L$18&lt;0,-(N6-Uzman_D!$L$18),N6-Uzman_D!$L$18),(ROUND((IF(N6-Uzman_D!$L$18&lt;0,-(N6-Uzman_D!$L$18),N6-Uzman_D!$L$18)*2),0)/1*0.1),0)+IF(O6-Uzman_D!$M$18&lt;0,-(O6-Uzman_D!$M$18),O6-Uzman_D!$M$18)*1)</f>
        <v>-0.60000000000000009</v>
      </c>
      <c r="Q6" s="56"/>
      <c r="R6" s="56"/>
      <c r="S6" s="56"/>
      <c r="T6" s="56"/>
      <c r="U6" s="56"/>
      <c r="V6" s="56"/>
      <c r="W6" s="56"/>
      <c r="X6" s="56"/>
      <c r="Y6" s="56"/>
      <c r="Z6" s="56"/>
      <c r="AA6" s="70"/>
      <c r="AB6" s="70"/>
      <c r="AC6" s="71">
        <f>1-(SUM(IF(Q6-Uzman_D!$B$19&lt;0,-(Q6-Uzman_D!$B$19),Q6-Uzman_D!$B$19)*0.1+IF(R6-Uzman_D!$C$19&lt;0,-(R6-Uzman_D!$C$19),R6-Uzman_D!$C$19)*0.1+IF(S6-Uzman_D!$D$19&lt;0,-(S6-Uzman_D!$D$19),S6-Uzman_D!$D$19)*0.1+IF(T6-Uzman_D!$E$19&lt;0,-(T6-Uzman_D!$E$19),T6-Uzman_D!$E$19)*0.1+IF(U6-Uzman_D!$F$19&lt;0,-(U6-Uzman_D!$F$19),U6-Uzman_D!$F$19)*0.1+IF(V6-Uzman_D!$G$19&lt;0,-(V6-Uzman_D!$G$19),V6-Uzman_D!$G$19)*0.1+IF(W6-Uzman_D!$H$19&lt;0,-(W6-Uzman_D!$H$19),W6-Uzman_D!$H$19)*0.1+IF(X6-Uzman_D!$I$19&lt;0,-(X6-Uzman_D!$I$19),X6-Uzman_D!$I$19)*0.1+IF(Y6-Uzman_D!$J$19&lt;0,-(Y6-Uzman_D!$J$19),Y6-Uzman_D!$J$19)*0.1)+IF(ROUND((IF(AA6-Uzman_D!$L$19&lt;0,-(AA6-Uzman_D!$L$19),AA6-Uzman_D!$L$19)*2),0)/2=IF(AA6-Uzman_D!$L$19&lt;0,-(AA6-Uzman_D!$L$19),AA6-Uzman_D!$L$19),(ROUND((IF(AA6-Uzman_D!$L$19&lt;0,-(AA6-Uzman_D!$L$19),AA6-Uzman_D!$L$19)*2),0)/1*0.1),0)+IF(AB6-Uzman_D!$M$19&lt;0,-(AB6-Uzman_D!$M$19),AB6-Uzman_D!$M$19)*1)</f>
        <v>-0.20000000000000018</v>
      </c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0"/>
      <c r="AO6" s="70"/>
      <c r="AP6" s="71">
        <f>1-(SUM(IF(AD6-Uzman_D!$B$20&lt;0,-(AD6-Uzman_D!$B$20),AD6-Uzman_D!$B$20)*0.1+IF(AE6-Uzman_D!$C$20&lt;0,-(AE6-Uzman_D!$C$20),AE6-Uzman_D!$C$20)*0.1+IF(AF6-Uzman_D!$D$20&lt;0,-(AF6-Uzman_D!$D$20),AF6-Uzman_D!$D$20)*0.1+IF(AG6-Uzman_D!$E$20&lt;0,-(AG6-Uzman_D!$E$20),AG6-Uzman_D!$E$20)*0.1+IF(AH6-Uzman_D!$F$20&lt;0,-(AH6-Uzman_D!$F$20),AH6-Uzman_D!$F$20)*0.1+IF(AI6-Uzman_D!$G$20&lt;0,-(AI6-Uzman_D!$G$20),AI6-Uzman_D!$G$20)*0.1+IF(AJ6-Uzman_D!$H$20&lt;0,-(AJ6-Uzman_D!$H$20),AJ6-Uzman_D!$H$20)*0.1+IF(AK6-Uzman_D!$I$20&lt;0,-(AK6-Uzman_D!$I$20),AK6-Uzman_D!$I$20)*0.1+IF(AL6-Uzman_D!$J$20&lt;0,-(AL6-Uzman_D!$J$20),AL6-Uzman_D!$J$20)*0.1)+IF(ROUND((IF(AN6-Uzman_D!$L$20&lt;0,-(AN6-Uzman_D!$L$20),AN6-Uzman_D!$L$20)*2),0)/2=IF(AN6-Uzman_D!$L$20&lt;0,-(AN6-Uzman_D!$L$20),AN6-Uzman_D!$L$20),(ROUND((IF(AN6-Uzman_D!$L$20&lt;0,-(AN6-Uzman_D!$L$20),AN6-Uzman_D!$L$20)*2),0)/1*0.1),0)+IF(AO6-Uzman_D!$M$20&lt;0,-(AO6-Uzman_D!$M$20),AO6-Uzman_D!$M$20)*1)</f>
        <v>-0.40000000000000013</v>
      </c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70"/>
      <c r="BB6" s="70"/>
      <c r="BC6" s="71">
        <f>1-(SUM(IF(AQ6-Uzman_D!$B$21&lt;0,-(AQ6-Uzman_D!$B$21),AQ6-Uzman_D!$B$21)*0.1+IF(AR6-Uzman_D!$C$21&lt;0,-(AR6-Uzman_D!$C$21),AR6-Uzman_D!$C$21)*0.1+IF(AS6-Uzman_D!$D$21&lt;0,-(AS6-Uzman_D!$D$21),AS6-Uzman_D!$D$21)*0.1+IF(AT6-Uzman_D!$E$21&lt;0,-(AT6-Uzman_D!$E$21),AT6-Uzman_D!$E$21)*0.1+IF(AU6-Uzman_D!$F$21&lt;0,-(AU6-Uzman_D!$F$21),AU6-Uzman_D!$F$21)*0.1+IF(AV6-Uzman_D!$G$21&lt;0,-(AV6-Uzman_D!$G$21),AV6-Uzman_D!$G$21)*0.1+IF(AW6-Uzman_D!$H$21&lt;0,-(AW6-Uzman_D!$H$21),AW6-Uzman_D!$H$21)*0.1+IF(AX6-Uzman_D!$I$21&lt;0,-(AX6-Uzman_D!$I$21),AX6-Uzman_D!$I$21)*0.1+IF(AY6-Uzman_D!$J$21&lt;0,-(AY6-Uzman_D!$J$21),AY6-Uzman_D!$J$21)*0.1)+IF(ROUND((IF(BA6-Uzman_D!$L$21&lt;0,-(BA6-Uzman_D!$L$21),BA6-Uzman_D!$L$21)*2),0)/2=IF(BA6-Uzman_D!$L$21&lt;0,-(BA6-Uzman_D!$L$21),BA6-Uzman_D!$L$21),(ROUND((IF(BA6-Uzman_D!$L$21&lt;0,-(BA6-Uzman_D!$L$21),BA6-Uzman_D!$L$21)*2),0)/1*0.1),0)+IF(BB6-Uzman_D!$M$21&lt;0,-(BB6-Uzman_D!$M$21),BB6-Uzman_D!$M$21)*1)</f>
        <v>-0.10000000000000009</v>
      </c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70"/>
      <c r="BO6" s="70"/>
      <c r="BP6" s="71">
        <f>1-(SUM(IF(BD6-Uzman_D!$B$22&lt;0,-(BD6-Uzman_D!$B$22),BD6-Uzman_D!$B$22)*0.1+IF(BE6-Uzman_D!$C$22&lt;0,-(BE6-Uzman_D!$C$22),BE6-Uzman_D!$C$22)*0.1+IF(BF6-Uzman_D!$D$22&lt;0,-(BF6-Uzman_D!$D$22),BF6-Uzman_D!$D$22)*0.1+IF(BG6-Uzman_D!$E$22&lt;0,-(BG6-Uzman_D!$E$22),BG6-Uzman_D!$E$22)*0.1+IF(BH6-Uzman_D!$F$22&lt;0,-(BH6-Uzman_D!$F$22),BH6-Uzman_D!$F$22)*0.1+IF(BI6-Uzman_D!$G$22&lt;0,-(BI6-Uzman_D!$G$22),BI6-Uzman_D!$G$22)*0.1+IF(BJ6-Uzman_D!$H$22&lt;0,-(BJ6-Uzman_D!$H$22),BJ6-Uzman_D!$H$22)*0.1+IF(BK6-Uzman_D!$I$22&lt;0,-(BK6-Uzman_D!$I$22),BK6-Uzman_D!$I$22)*0.1+IF(BL6-Uzman_D!$J$22&lt;0,-(BL6-Uzman_D!$J$22),BL6-Uzman_D!$J$22)*0.1)+IF(ROUND((IF(BN6-Uzman_D!$L$22&lt;0,-(BN6-Uzman_D!$L$22),BN6-Uzman_D!$L$22)*2),0)/2=IF(BN6-Uzman_D!$L$22&lt;0,-(BN6-Uzman_D!$L$22),BN6-Uzman_D!$L$22),(ROUND((IF(BN6-Uzman_D!$L$22&lt;0,-(BN6-Uzman_D!$L$22),BN6-Uzman_D!$L$22)*2),0)/1*0.1),0)+IF(BO6-Uzman_D!$M$22&lt;0,-(BO6-Uzman_D!$M$22),BO6-Uzman_D!$M$22)*1)</f>
        <v>-0.10000000000000009</v>
      </c>
      <c r="BQ6" s="72">
        <f t="shared" si="0"/>
        <v>-0.28000000000000014</v>
      </c>
    </row>
    <row r="7" spans="1:69" ht="15" customHeight="1" x14ac:dyDescent="0.45">
      <c r="A7" s="54">
        <v>4</v>
      </c>
      <c r="B7" s="29" t="str">
        <f>Hakemler!B7</f>
        <v>ÜNAL</v>
      </c>
      <c r="C7" s="29" t="str">
        <f>Hakemler!C7</f>
        <v>FATMA HANIM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70"/>
      <c r="O7" s="70"/>
      <c r="P7" s="71">
        <f>1-(SUM(IF(D7-Uzman_D!$B$18&lt;0,-(D7-Uzman_D!$B$18),D7-Uzman_D!$B$18)*0.1+IF(E7-Uzman_D!$C$18&lt;0,-(E7-Uzman_D!$C$18),E7-Uzman_D!$C$18)*0.1+IF(F7-Uzman_D!$D$18&lt;0,-(F7-Uzman_D!$D$18),F7-Uzman_D!$D$18)*0.1+IF(G7-Uzman_D!$E$18&lt;0,-(G7-Uzman_D!$E$18),G7-Uzman_D!$E$18)*0.1+IF(H7-Uzman_D!$F$18&lt;0,-(H7-Uzman_D!$F$18),H7-Uzman_D!$F$18)*0.1+IF(I7-Uzman_D!$G$18&lt;0,-(I7-Uzman_D!$G$18),I7-Uzman_D!$G$18)*0.1+IF(J7-Uzman_D!$H$18&lt;0,-(J7-Uzman_D!$H$18),J7-Uzman_D!$H$18)*0.1+IF(K7-Uzman_D!$I$18&lt;0,-(K7-Uzman_D!$I$18),K7-Uzman_D!$I$18)*0.1+IF(L7-Uzman_D!$J$18&lt;0,-(L7-Uzman_D!$J$18),L7-Uzman_D!$J$18)*0.1)+IF(ROUND((IF(N7-Uzman_D!$L$18&lt;0,-(N7-Uzman_D!$L$18),N7-Uzman_D!$L$18)*2),0)/2=IF(N7-Uzman_D!$L$18&lt;0,-(N7-Uzman_D!$L$18),N7-Uzman_D!$L$18),(ROUND((IF(N7-Uzman_D!$L$18&lt;0,-(N7-Uzman_D!$L$18),N7-Uzman_D!$L$18)*2),0)/1*0.1),0)+IF(O7-Uzman_D!$M$18&lt;0,-(O7-Uzman_D!$M$18),O7-Uzman_D!$M$18)*1)</f>
        <v>-0.60000000000000009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70"/>
      <c r="AB7" s="70"/>
      <c r="AC7" s="71">
        <f>1-(SUM(IF(Q7-Uzman_D!$B$19&lt;0,-(Q7-Uzman_D!$B$19),Q7-Uzman_D!$B$19)*0.1+IF(R7-Uzman_D!$C$19&lt;0,-(R7-Uzman_D!$C$19),R7-Uzman_D!$C$19)*0.1+IF(S7-Uzman_D!$D$19&lt;0,-(S7-Uzman_D!$D$19),S7-Uzman_D!$D$19)*0.1+IF(T7-Uzman_D!$E$19&lt;0,-(T7-Uzman_D!$E$19),T7-Uzman_D!$E$19)*0.1+IF(U7-Uzman_D!$F$19&lt;0,-(U7-Uzman_D!$F$19),U7-Uzman_D!$F$19)*0.1+IF(V7-Uzman_D!$G$19&lt;0,-(V7-Uzman_D!$G$19),V7-Uzman_D!$G$19)*0.1+IF(W7-Uzman_D!$H$19&lt;0,-(W7-Uzman_D!$H$19),W7-Uzman_D!$H$19)*0.1+IF(X7-Uzman_D!$I$19&lt;0,-(X7-Uzman_D!$I$19),X7-Uzman_D!$I$19)*0.1+IF(Y7-Uzman_D!$J$19&lt;0,-(Y7-Uzman_D!$J$19),Y7-Uzman_D!$J$19)*0.1)+IF(ROUND((IF(AA7-Uzman_D!$L$19&lt;0,-(AA7-Uzman_D!$L$19),AA7-Uzman_D!$L$19)*2),0)/2=IF(AA7-Uzman_D!$L$19&lt;0,-(AA7-Uzman_D!$L$19),AA7-Uzman_D!$L$19),(ROUND((IF(AA7-Uzman_D!$L$19&lt;0,-(AA7-Uzman_D!$L$19),AA7-Uzman_D!$L$19)*2),0)/1*0.1),0)+IF(AB7-Uzman_D!$M$19&lt;0,-(AB7-Uzman_D!$M$19),AB7-Uzman_D!$M$19)*1)</f>
        <v>-0.20000000000000018</v>
      </c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70"/>
      <c r="AO7" s="70"/>
      <c r="AP7" s="71">
        <f>1-(SUM(IF(AD7-Uzman_D!$B$20&lt;0,-(AD7-Uzman_D!$B$20),AD7-Uzman_D!$B$20)*0.1+IF(AE7-Uzman_D!$C$20&lt;0,-(AE7-Uzman_D!$C$20),AE7-Uzman_D!$C$20)*0.1+IF(AF7-Uzman_D!$D$20&lt;0,-(AF7-Uzman_D!$D$20),AF7-Uzman_D!$D$20)*0.1+IF(AG7-Uzman_D!$E$20&lt;0,-(AG7-Uzman_D!$E$20),AG7-Uzman_D!$E$20)*0.1+IF(AH7-Uzman_D!$F$20&lt;0,-(AH7-Uzman_D!$F$20),AH7-Uzman_D!$F$20)*0.1+IF(AI7-Uzman_D!$G$20&lt;0,-(AI7-Uzman_D!$G$20),AI7-Uzman_D!$G$20)*0.1+IF(AJ7-Uzman_D!$H$20&lt;0,-(AJ7-Uzman_D!$H$20),AJ7-Uzman_D!$H$20)*0.1+IF(AK7-Uzman_D!$I$20&lt;0,-(AK7-Uzman_D!$I$20),AK7-Uzman_D!$I$20)*0.1+IF(AL7-Uzman_D!$J$20&lt;0,-(AL7-Uzman_D!$J$20),AL7-Uzman_D!$J$20)*0.1)+IF(ROUND((IF(AN7-Uzman_D!$L$20&lt;0,-(AN7-Uzman_D!$L$20),AN7-Uzman_D!$L$20)*2),0)/2=IF(AN7-Uzman_D!$L$20&lt;0,-(AN7-Uzman_D!$L$20),AN7-Uzman_D!$L$20),(ROUND((IF(AN7-Uzman_D!$L$20&lt;0,-(AN7-Uzman_D!$L$20),AN7-Uzman_D!$L$20)*2),0)/1*0.1),0)+IF(AO7-Uzman_D!$M$20&lt;0,-(AO7-Uzman_D!$M$20),AO7-Uzman_D!$M$20)*1)</f>
        <v>-0.40000000000000013</v>
      </c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70"/>
      <c r="BB7" s="70"/>
      <c r="BC7" s="71">
        <f>1-(SUM(IF(AQ7-Uzman_D!$B$21&lt;0,-(AQ7-Uzman_D!$B$21),AQ7-Uzman_D!$B$21)*0.1+IF(AR7-Uzman_D!$C$21&lt;0,-(AR7-Uzman_D!$C$21),AR7-Uzman_D!$C$21)*0.1+IF(AS7-Uzman_D!$D$21&lt;0,-(AS7-Uzman_D!$D$21),AS7-Uzman_D!$D$21)*0.1+IF(AT7-Uzman_D!$E$21&lt;0,-(AT7-Uzman_D!$E$21),AT7-Uzman_D!$E$21)*0.1+IF(AU7-Uzman_D!$F$21&lt;0,-(AU7-Uzman_D!$F$21),AU7-Uzman_D!$F$21)*0.1+IF(AV7-Uzman_D!$G$21&lt;0,-(AV7-Uzman_D!$G$21),AV7-Uzman_D!$G$21)*0.1+IF(AW7-Uzman_D!$H$21&lt;0,-(AW7-Uzman_D!$H$21),AW7-Uzman_D!$H$21)*0.1+IF(AX7-Uzman_D!$I$21&lt;0,-(AX7-Uzman_D!$I$21),AX7-Uzman_D!$I$21)*0.1+IF(AY7-Uzman_D!$J$21&lt;0,-(AY7-Uzman_D!$J$21),AY7-Uzman_D!$J$21)*0.1)+IF(ROUND((IF(BA7-Uzman_D!$L$21&lt;0,-(BA7-Uzman_D!$L$21),BA7-Uzman_D!$L$21)*2),0)/2=IF(BA7-Uzman_D!$L$21&lt;0,-(BA7-Uzman_D!$L$21),BA7-Uzman_D!$L$21),(ROUND((IF(BA7-Uzman_D!$L$21&lt;0,-(BA7-Uzman_D!$L$21),BA7-Uzman_D!$L$21)*2),0)/1*0.1),0)+IF(BB7-Uzman_D!$M$21&lt;0,-(BB7-Uzman_D!$M$21),BB7-Uzman_D!$M$21)*1)</f>
        <v>-0.10000000000000009</v>
      </c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70"/>
      <c r="BO7" s="70"/>
      <c r="BP7" s="71">
        <f>1-(SUM(IF(BD7-Uzman_D!$B$22&lt;0,-(BD7-Uzman_D!$B$22),BD7-Uzman_D!$B$22)*0.1+IF(BE7-Uzman_D!$C$22&lt;0,-(BE7-Uzman_D!$C$22),BE7-Uzman_D!$C$22)*0.1+IF(BF7-Uzman_D!$D$22&lt;0,-(BF7-Uzman_D!$D$22),BF7-Uzman_D!$D$22)*0.1+IF(BG7-Uzman_D!$E$22&lt;0,-(BG7-Uzman_D!$E$22),BG7-Uzman_D!$E$22)*0.1+IF(BH7-Uzman_D!$F$22&lt;0,-(BH7-Uzman_D!$F$22),BH7-Uzman_D!$F$22)*0.1+IF(BI7-Uzman_D!$G$22&lt;0,-(BI7-Uzman_D!$G$22),BI7-Uzman_D!$G$22)*0.1+IF(BJ7-Uzman_D!$H$22&lt;0,-(BJ7-Uzman_D!$H$22),BJ7-Uzman_D!$H$22)*0.1+IF(BK7-Uzman_D!$I$22&lt;0,-(BK7-Uzman_D!$I$22),BK7-Uzman_D!$I$22)*0.1+IF(BL7-Uzman_D!$J$22&lt;0,-(BL7-Uzman_D!$J$22),BL7-Uzman_D!$J$22)*0.1)+IF(ROUND((IF(BN7-Uzman_D!$L$22&lt;0,-(BN7-Uzman_D!$L$22),BN7-Uzman_D!$L$22)*2),0)/2=IF(BN7-Uzman_D!$L$22&lt;0,-(BN7-Uzman_D!$L$22),BN7-Uzman_D!$L$22),(ROUND((IF(BN7-Uzman_D!$L$22&lt;0,-(BN7-Uzman_D!$L$22),BN7-Uzman_D!$L$22)*2),0)/1*0.1),0)+IF(BO7-Uzman_D!$M$22&lt;0,-(BO7-Uzman_D!$M$22),BO7-Uzman_D!$M$22)*1)</f>
        <v>-0.10000000000000009</v>
      </c>
      <c r="BQ7" s="72">
        <f t="shared" si="0"/>
        <v>-0.28000000000000014</v>
      </c>
    </row>
    <row r="8" spans="1:69" ht="15" customHeight="1" x14ac:dyDescent="0.45">
      <c r="A8" s="54">
        <v>5</v>
      </c>
      <c r="B8" s="29" t="str">
        <f>Hakemler!B8</f>
        <v>BAŞKAN PERÇİN</v>
      </c>
      <c r="C8" s="29" t="str">
        <f>Hakemler!C8</f>
        <v>ÖZGE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70"/>
      <c r="O8" s="70"/>
      <c r="P8" s="71">
        <f>1-(SUM(IF(D8-Uzman_D!$B$18&lt;0,-(D8-Uzman_D!$B$18),D8-Uzman_D!$B$18)*0.1+IF(E8-Uzman_D!$C$18&lt;0,-(E8-Uzman_D!$C$18),E8-Uzman_D!$C$18)*0.1+IF(F8-Uzman_D!$D$18&lt;0,-(F8-Uzman_D!$D$18),F8-Uzman_D!$D$18)*0.1+IF(G8-Uzman_D!$E$18&lt;0,-(G8-Uzman_D!$E$18),G8-Uzman_D!$E$18)*0.1+IF(H8-Uzman_D!$F$18&lt;0,-(H8-Uzman_D!$F$18),H8-Uzman_D!$F$18)*0.1+IF(I8-Uzman_D!$G$18&lt;0,-(I8-Uzman_D!$G$18),I8-Uzman_D!$G$18)*0.1+IF(J8-Uzman_D!$H$18&lt;0,-(J8-Uzman_D!$H$18),J8-Uzman_D!$H$18)*0.1+IF(K8-Uzman_D!$I$18&lt;0,-(K8-Uzman_D!$I$18),K8-Uzman_D!$I$18)*0.1+IF(L8-Uzman_D!$J$18&lt;0,-(L8-Uzman_D!$J$18),L8-Uzman_D!$J$18)*0.1)+IF(ROUND((IF(N8-Uzman_D!$L$18&lt;0,-(N8-Uzman_D!$L$18),N8-Uzman_D!$L$18)*2),0)/2=IF(N8-Uzman_D!$L$18&lt;0,-(N8-Uzman_D!$L$18),N8-Uzman_D!$L$18),(ROUND((IF(N8-Uzman_D!$L$18&lt;0,-(N8-Uzman_D!$L$18),N8-Uzman_D!$L$18)*2),0)/1*0.1),0)+IF(O8-Uzman_D!$M$18&lt;0,-(O8-Uzman_D!$M$18),O8-Uzman_D!$M$18)*1)</f>
        <v>-0.60000000000000009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70"/>
      <c r="AB8" s="70"/>
      <c r="AC8" s="71">
        <f>1-(SUM(IF(Q8-Uzman_D!$B$19&lt;0,-(Q8-Uzman_D!$B$19),Q8-Uzman_D!$B$19)*0.1+IF(R8-Uzman_D!$C$19&lt;0,-(R8-Uzman_D!$C$19),R8-Uzman_D!$C$19)*0.1+IF(S8-Uzman_D!$D$19&lt;0,-(S8-Uzman_D!$D$19),S8-Uzman_D!$D$19)*0.1+IF(T8-Uzman_D!$E$19&lt;0,-(T8-Uzman_D!$E$19),T8-Uzman_D!$E$19)*0.1+IF(U8-Uzman_D!$F$19&lt;0,-(U8-Uzman_D!$F$19),U8-Uzman_D!$F$19)*0.1+IF(V8-Uzman_D!$G$19&lt;0,-(V8-Uzman_D!$G$19),V8-Uzman_D!$G$19)*0.1+IF(W8-Uzman_D!$H$19&lt;0,-(W8-Uzman_D!$H$19),W8-Uzman_D!$H$19)*0.1+IF(X8-Uzman_D!$I$19&lt;0,-(X8-Uzman_D!$I$19),X8-Uzman_D!$I$19)*0.1+IF(Y8-Uzman_D!$J$19&lt;0,-(Y8-Uzman_D!$J$19),Y8-Uzman_D!$J$19)*0.1)+IF(ROUND((IF(AA8-Uzman_D!$L$19&lt;0,-(AA8-Uzman_D!$L$19),AA8-Uzman_D!$L$19)*2),0)/2=IF(AA8-Uzman_D!$L$19&lt;0,-(AA8-Uzman_D!$L$19),AA8-Uzman_D!$L$19),(ROUND((IF(AA8-Uzman_D!$L$19&lt;0,-(AA8-Uzman_D!$L$19),AA8-Uzman_D!$L$19)*2),0)/1*0.1),0)+IF(AB8-Uzman_D!$M$19&lt;0,-(AB8-Uzman_D!$M$19),AB8-Uzman_D!$M$19)*1)</f>
        <v>-0.20000000000000018</v>
      </c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70"/>
      <c r="AO8" s="70"/>
      <c r="AP8" s="71">
        <f>1-(SUM(IF(AD8-Uzman_D!$B$20&lt;0,-(AD8-Uzman_D!$B$20),AD8-Uzman_D!$B$20)*0.1+IF(AE8-Uzman_D!$C$20&lt;0,-(AE8-Uzman_D!$C$20),AE8-Uzman_D!$C$20)*0.1+IF(AF8-Uzman_D!$D$20&lt;0,-(AF8-Uzman_D!$D$20),AF8-Uzman_D!$D$20)*0.1+IF(AG8-Uzman_D!$E$20&lt;0,-(AG8-Uzman_D!$E$20),AG8-Uzman_D!$E$20)*0.1+IF(AH8-Uzman_D!$F$20&lt;0,-(AH8-Uzman_D!$F$20),AH8-Uzman_D!$F$20)*0.1+IF(AI8-Uzman_D!$G$20&lt;0,-(AI8-Uzman_D!$G$20),AI8-Uzman_D!$G$20)*0.1+IF(AJ8-Uzman_D!$H$20&lt;0,-(AJ8-Uzman_D!$H$20),AJ8-Uzman_D!$H$20)*0.1+IF(AK8-Uzman_D!$I$20&lt;0,-(AK8-Uzman_D!$I$20),AK8-Uzman_D!$I$20)*0.1+IF(AL8-Uzman_D!$J$20&lt;0,-(AL8-Uzman_D!$J$20),AL8-Uzman_D!$J$20)*0.1)+IF(ROUND((IF(AN8-Uzman_D!$L$20&lt;0,-(AN8-Uzman_D!$L$20),AN8-Uzman_D!$L$20)*2),0)/2=IF(AN8-Uzman_D!$L$20&lt;0,-(AN8-Uzman_D!$L$20),AN8-Uzman_D!$L$20),(ROUND((IF(AN8-Uzman_D!$L$20&lt;0,-(AN8-Uzman_D!$L$20),AN8-Uzman_D!$L$20)*2),0)/1*0.1),0)+IF(AO8-Uzman_D!$M$20&lt;0,-(AO8-Uzman_D!$M$20),AO8-Uzman_D!$M$20)*1)</f>
        <v>-0.40000000000000013</v>
      </c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70"/>
      <c r="BB8" s="70"/>
      <c r="BC8" s="71">
        <f>1-(SUM(IF(AQ8-Uzman_D!$B$21&lt;0,-(AQ8-Uzman_D!$B$21),AQ8-Uzman_D!$B$21)*0.1+IF(AR8-Uzman_D!$C$21&lt;0,-(AR8-Uzman_D!$C$21),AR8-Uzman_D!$C$21)*0.1+IF(AS8-Uzman_D!$D$21&lt;0,-(AS8-Uzman_D!$D$21),AS8-Uzman_D!$D$21)*0.1+IF(AT8-Uzman_D!$E$21&lt;0,-(AT8-Uzman_D!$E$21),AT8-Uzman_D!$E$21)*0.1+IF(AU8-Uzman_D!$F$21&lt;0,-(AU8-Uzman_D!$F$21),AU8-Uzman_D!$F$21)*0.1+IF(AV8-Uzman_D!$G$21&lt;0,-(AV8-Uzman_D!$G$21),AV8-Uzman_D!$G$21)*0.1+IF(AW8-Uzman_D!$H$21&lt;0,-(AW8-Uzman_D!$H$21),AW8-Uzman_D!$H$21)*0.1+IF(AX8-Uzman_D!$I$21&lt;0,-(AX8-Uzman_D!$I$21),AX8-Uzman_D!$I$21)*0.1+IF(AY8-Uzman_D!$J$21&lt;0,-(AY8-Uzman_D!$J$21),AY8-Uzman_D!$J$21)*0.1)+IF(ROUND((IF(BA8-Uzman_D!$L$21&lt;0,-(BA8-Uzman_D!$L$21),BA8-Uzman_D!$L$21)*2),0)/2=IF(BA8-Uzman_D!$L$21&lt;0,-(BA8-Uzman_D!$L$21),BA8-Uzman_D!$L$21),(ROUND((IF(BA8-Uzman_D!$L$21&lt;0,-(BA8-Uzman_D!$L$21),BA8-Uzman_D!$L$21)*2),0)/1*0.1),0)+IF(BB8-Uzman_D!$M$21&lt;0,-(BB8-Uzman_D!$M$21),BB8-Uzman_D!$M$21)*1)</f>
        <v>-0.10000000000000009</v>
      </c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70"/>
      <c r="BO8" s="70"/>
      <c r="BP8" s="71">
        <f>1-(SUM(IF(BD8-Uzman_D!$B$22&lt;0,-(BD8-Uzman_D!$B$22),BD8-Uzman_D!$B$22)*0.1+IF(BE8-Uzman_D!$C$22&lt;0,-(BE8-Uzman_D!$C$22),BE8-Uzman_D!$C$22)*0.1+IF(BF8-Uzman_D!$D$22&lt;0,-(BF8-Uzman_D!$D$22),BF8-Uzman_D!$D$22)*0.1+IF(BG8-Uzman_D!$E$22&lt;0,-(BG8-Uzman_D!$E$22),BG8-Uzman_D!$E$22)*0.1+IF(BH8-Uzman_D!$F$22&lt;0,-(BH8-Uzman_D!$F$22),BH8-Uzman_D!$F$22)*0.1+IF(BI8-Uzman_D!$G$22&lt;0,-(BI8-Uzman_D!$G$22),BI8-Uzman_D!$G$22)*0.1+IF(BJ8-Uzman_D!$H$22&lt;0,-(BJ8-Uzman_D!$H$22),BJ8-Uzman_D!$H$22)*0.1+IF(BK8-Uzman_D!$I$22&lt;0,-(BK8-Uzman_D!$I$22),BK8-Uzman_D!$I$22)*0.1+IF(BL8-Uzman_D!$J$22&lt;0,-(BL8-Uzman_D!$J$22),BL8-Uzman_D!$J$22)*0.1)+IF(ROUND((IF(BN8-Uzman_D!$L$22&lt;0,-(BN8-Uzman_D!$L$22),BN8-Uzman_D!$L$22)*2),0)/2=IF(BN8-Uzman_D!$L$22&lt;0,-(BN8-Uzman_D!$L$22),BN8-Uzman_D!$L$22),(ROUND((IF(BN8-Uzman_D!$L$22&lt;0,-(BN8-Uzman_D!$L$22),BN8-Uzman_D!$L$22)*2),0)/1*0.1),0)+IF(BO8-Uzman_D!$M$22&lt;0,-(BO8-Uzman_D!$M$22),BO8-Uzman_D!$M$22)*1)</f>
        <v>-0.10000000000000009</v>
      </c>
      <c r="BQ8" s="72">
        <f t="shared" si="0"/>
        <v>-0.28000000000000014</v>
      </c>
    </row>
    <row r="9" spans="1:69" ht="15" customHeight="1" x14ac:dyDescent="0.45">
      <c r="A9" s="54">
        <v>6</v>
      </c>
      <c r="B9" s="29" t="str">
        <f>Hakemler!B9</f>
        <v>ŞEN İZMİRLİ</v>
      </c>
      <c r="C9" s="29" t="str">
        <f>Hakemler!C9</f>
        <v>SİNEM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70"/>
      <c r="O9" s="70"/>
      <c r="P9" s="71">
        <f>1-(SUM(IF(D9-Uzman_D!$B$18&lt;0,-(D9-Uzman_D!$B$18),D9-Uzman_D!$B$18)*0.1+IF(E9-Uzman_D!$C$18&lt;0,-(E9-Uzman_D!$C$18),E9-Uzman_D!$C$18)*0.1+IF(F9-Uzman_D!$D$18&lt;0,-(F9-Uzman_D!$D$18),F9-Uzman_D!$D$18)*0.1+IF(G9-Uzman_D!$E$18&lt;0,-(G9-Uzman_D!$E$18),G9-Uzman_D!$E$18)*0.1+IF(H9-Uzman_D!$F$18&lt;0,-(H9-Uzman_D!$F$18),H9-Uzman_D!$F$18)*0.1+IF(I9-Uzman_D!$G$18&lt;0,-(I9-Uzman_D!$G$18),I9-Uzman_D!$G$18)*0.1+IF(J9-Uzman_D!$H$18&lt;0,-(J9-Uzman_D!$H$18),J9-Uzman_D!$H$18)*0.1+IF(K9-Uzman_D!$I$18&lt;0,-(K9-Uzman_D!$I$18),K9-Uzman_D!$I$18)*0.1+IF(L9-Uzman_D!$J$18&lt;0,-(L9-Uzman_D!$J$18),L9-Uzman_D!$J$18)*0.1)+IF(ROUND((IF(N9-Uzman_D!$L$18&lt;0,-(N9-Uzman_D!$L$18),N9-Uzman_D!$L$18)*2),0)/2=IF(N9-Uzman_D!$L$18&lt;0,-(N9-Uzman_D!$L$18),N9-Uzman_D!$L$18),(ROUND((IF(N9-Uzman_D!$L$18&lt;0,-(N9-Uzman_D!$L$18),N9-Uzman_D!$L$18)*2),0)/1*0.1),0)+IF(O9-Uzman_D!$M$18&lt;0,-(O9-Uzman_D!$M$18),O9-Uzman_D!$M$18)*1)</f>
        <v>-0.60000000000000009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70"/>
      <c r="AB9" s="70"/>
      <c r="AC9" s="71">
        <f>1-(SUM(IF(Q9-Uzman_D!$B$19&lt;0,-(Q9-Uzman_D!$B$19),Q9-Uzman_D!$B$19)*0.1+IF(R9-Uzman_D!$C$19&lt;0,-(R9-Uzman_D!$C$19),R9-Uzman_D!$C$19)*0.1+IF(S9-Uzman_D!$D$19&lt;0,-(S9-Uzman_D!$D$19),S9-Uzman_D!$D$19)*0.1+IF(T9-Uzman_D!$E$19&lt;0,-(T9-Uzman_D!$E$19),T9-Uzman_D!$E$19)*0.1+IF(U9-Uzman_D!$F$19&lt;0,-(U9-Uzman_D!$F$19),U9-Uzman_D!$F$19)*0.1+IF(V9-Uzman_D!$G$19&lt;0,-(V9-Uzman_D!$G$19),V9-Uzman_D!$G$19)*0.1+IF(W9-Uzman_D!$H$19&lt;0,-(W9-Uzman_D!$H$19),W9-Uzman_D!$H$19)*0.1+IF(X9-Uzman_D!$I$19&lt;0,-(X9-Uzman_D!$I$19),X9-Uzman_D!$I$19)*0.1+IF(Y9-Uzman_D!$J$19&lt;0,-(Y9-Uzman_D!$J$19),Y9-Uzman_D!$J$19)*0.1)+IF(ROUND((IF(AA9-Uzman_D!$L$19&lt;0,-(AA9-Uzman_D!$L$19),AA9-Uzman_D!$L$19)*2),0)/2=IF(AA9-Uzman_D!$L$19&lt;0,-(AA9-Uzman_D!$L$19),AA9-Uzman_D!$L$19),(ROUND((IF(AA9-Uzman_D!$L$19&lt;0,-(AA9-Uzman_D!$L$19),AA9-Uzman_D!$L$19)*2),0)/1*0.1),0)+IF(AB9-Uzman_D!$M$19&lt;0,-(AB9-Uzman_D!$M$19),AB9-Uzman_D!$M$19)*1)</f>
        <v>-0.20000000000000018</v>
      </c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70"/>
      <c r="AO9" s="70"/>
      <c r="AP9" s="71">
        <f>1-(SUM(IF(AD9-Uzman_D!$B$20&lt;0,-(AD9-Uzman_D!$B$20),AD9-Uzman_D!$B$20)*0.1+IF(AE9-Uzman_D!$C$20&lt;0,-(AE9-Uzman_D!$C$20),AE9-Uzman_D!$C$20)*0.1+IF(AF9-Uzman_D!$D$20&lt;0,-(AF9-Uzman_D!$D$20),AF9-Uzman_D!$D$20)*0.1+IF(AG9-Uzman_D!$E$20&lt;0,-(AG9-Uzman_D!$E$20),AG9-Uzman_D!$E$20)*0.1+IF(AH9-Uzman_D!$F$20&lt;0,-(AH9-Uzman_D!$F$20),AH9-Uzman_D!$F$20)*0.1+IF(AI9-Uzman_D!$G$20&lt;0,-(AI9-Uzman_D!$G$20),AI9-Uzman_D!$G$20)*0.1+IF(AJ9-Uzman_D!$H$20&lt;0,-(AJ9-Uzman_D!$H$20),AJ9-Uzman_D!$H$20)*0.1+IF(AK9-Uzman_D!$I$20&lt;0,-(AK9-Uzman_D!$I$20),AK9-Uzman_D!$I$20)*0.1+IF(AL9-Uzman_D!$J$20&lt;0,-(AL9-Uzman_D!$J$20),AL9-Uzman_D!$J$20)*0.1)+IF(ROUND((IF(AN9-Uzman_D!$L$20&lt;0,-(AN9-Uzman_D!$L$20),AN9-Uzman_D!$L$20)*2),0)/2=IF(AN9-Uzman_D!$L$20&lt;0,-(AN9-Uzman_D!$L$20),AN9-Uzman_D!$L$20),(ROUND((IF(AN9-Uzman_D!$L$20&lt;0,-(AN9-Uzman_D!$L$20),AN9-Uzman_D!$L$20)*2),0)/1*0.1),0)+IF(AO9-Uzman_D!$M$20&lt;0,-(AO9-Uzman_D!$M$20),AO9-Uzman_D!$M$20)*1)</f>
        <v>-0.40000000000000013</v>
      </c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70"/>
      <c r="BB9" s="70"/>
      <c r="BC9" s="71">
        <f>1-(SUM(IF(AQ9-Uzman_D!$B$21&lt;0,-(AQ9-Uzman_D!$B$21),AQ9-Uzman_D!$B$21)*0.1+IF(AR9-Uzman_D!$C$21&lt;0,-(AR9-Uzman_D!$C$21),AR9-Uzman_D!$C$21)*0.1+IF(AS9-Uzman_D!$D$21&lt;0,-(AS9-Uzman_D!$D$21),AS9-Uzman_D!$D$21)*0.1+IF(AT9-Uzman_D!$E$21&lt;0,-(AT9-Uzman_D!$E$21),AT9-Uzman_D!$E$21)*0.1+IF(AU9-Uzman_D!$F$21&lt;0,-(AU9-Uzman_D!$F$21),AU9-Uzman_D!$F$21)*0.1+IF(AV9-Uzman_D!$G$21&lt;0,-(AV9-Uzman_D!$G$21),AV9-Uzman_D!$G$21)*0.1+IF(AW9-Uzman_D!$H$21&lt;0,-(AW9-Uzman_D!$H$21),AW9-Uzman_D!$H$21)*0.1+IF(AX9-Uzman_D!$I$21&lt;0,-(AX9-Uzman_D!$I$21),AX9-Uzman_D!$I$21)*0.1+IF(AY9-Uzman_D!$J$21&lt;0,-(AY9-Uzman_D!$J$21),AY9-Uzman_D!$J$21)*0.1)+IF(ROUND((IF(BA9-Uzman_D!$L$21&lt;0,-(BA9-Uzman_D!$L$21),BA9-Uzman_D!$L$21)*2),0)/2=IF(BA9-Uzman_D!$L$21&lt;0,-(BA9-Uzman_D!$L$21),BA9-Uzman_D!$L$21),(ROUND((IF(BA9-Uzman_D!$L$21&lt;0,-(BA9-Uzman_D!$L$21),BA9-Uzman_D!$L$21)*2),0)/1*0.1),0)+IF(BB9-Uzman_D!$M$21&lt;0,-(BB9-Uzman_D!$M$21),BB9-Uzman_D!$M$21)*1)</f>
        <v>-0.10000000000000009</v>
      </c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70"/>
      <c r="BO9" s="70"/>
      <c r="BP9" s="71">
        <f>1-(SUM(IF(BD9-Uzman_D!$B$22&lt;0,-(BD9-Uzman_D!$B$22),BD9-Uzman_D!$B$22)*0.1+IF(BE9-Uzman_D!$C$22&lt;0,-(BE9-Uzman_D!$C$22),BE9-Uzman_D!$C$22)*0.1+IF(BF9-Uzman_D!$D$22&lt;0,-(BF9-Uzman_D!$D$22),BF9-Uzman_D!$D$22)*0.1+IF(BG9-Uzman_D!$E$22&lt;0,-(BG9-Uzman_D!$E$22),BG9-Uzman_D!$E$22)*0.1+IF(BH9-Uzman_D!$F$22&lt;0,-(BH9-Uzman_D!$F$22),BH9-Uzman_D!$F$22)*0.1+IF(BI9-Uzman_D!$G$22&lt;0,-(BI9-Uzman_D!$G$22),BI9-Uzman_D!$G$22)*0.1+IF(BJ9-Uzman_D!$H$22&lt;0,-(BJ9-Uzman_D!$H$22),BJ9-Uzman_D!$H$22)*0.1+IF(BK9-Uzman_D!$I$22&lt;0,-(BK9-Uzman_D!$I$22),BK9-Uzman_D!$I$22)*0.1+IF(BL9-Uzman_D!$J$22&lt;0,-(BL9-Uzman_D!$J$22),BL9-Uzman_D!$J$22)*0.1)+IF(ROUND((IF(BN9-Uzman_D!$L$22&lt;0,-(BN9-Uzman_D!$L$22),BN9-Uzman_D!$L$22)*2),0)/2=IF(BN9-Uzman_D!$L$22&lt;0,-(BN9-Uzman_D!$L$22),BN9-Uzman_D!$L$22),(ROUND((IF(BN9-Uzman_D!$L$22&lt;0,-(BN9-Uzman_D!$L$22),BN9-Uzman_D!$L$22)*2),0)/1*0.1),0)+IF(BO9-Uzman_D!$M$22&lt;0,-(BO9-Uzman_D!$M$22),BO9-Uzman_D!$M$22)*1)</f>
        <v>-0.10000000000000009</v>
      </c>
      <c r="BQ9" s="72">
        <f t="shared" si="0"/>
        <v>-0.28000000000000014</v>
      </c>
    </row>
    <row r="10" spans="1:69" ht="15" customHeight="1" x14ac:dyDescent="0.45">
      <c r="A10" s="54">
        <v>7</v>
      </c>
      <c r="B10" s="29" t="str">
        <f>Hakemler!B10</f>
        <v>YILDIRIMER</v>
      </c>
      <c r="C10" s="29" t="str">
        <f>Hakemler!C10</f>
        <v>BUSE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70"/>
      <c r="O10" s="70"/>
      <c r="P10" s="71">
        <f>1-(SUM(IF(D10-Uzman_D!$B$18&lt;0,-(D10-Uzman_D!$B$18),D10-Uzman_D!$B$18)*0.1+IF(E10-Uzman_D!$C$18&lt;0,-(E10-Uzman_D!$C$18),E10-Uzman_D!$C$18)*0.1+IF(F10-Uzman_D!$D$18&lt;0,-(F10-Uzman_D!$D$18),F10-Uzman_D!$D$18)*0.1+IF(G10-Uzman_D!$E$18&lt;0,-(G10-Uzman_D!$E$18),G10-Uzman_D!$E$18)*0.1+IF(H10-Uzman_D!$F$18&lt;0,-(H10-Uzman_D!$F$18),H10-Uzman_D!$F$18)*0.1+IF(I10-Uzman_D!$G$18&lt;0,-(I10-Uzman_D!$G$18),I10-Uzman_D!$G$18)*0.1+IF(J10-Uzman_D!$H$18&lt;0,-(J10-Uzman_D!$H$18),J10-Uzman_D!$H$18)*0.1+IF(K10-Uzman_D!$I$18&lt;0,-(K10-Uzman_D!$I$18),K10-Uzman_D!$I$18)*0.1+IF(L10-Uzman_D!$J$18&lt;0,-(L10-Uzman_D!$J$18),L10-Uzman_D!$J$18)*0.1)+IF(ROUND((IF(N10-Uzman_D!$L$18&lt;0,-(N10-Uzman_D!$L$18),N10-Uzman_D!$L$18)*2),0)/2=IF(N10-Uzman_D!$L$18&lt;0,-(N10-Uzman_D!$L$18),N10-Uzman_D!$L$18),(ROUND((IF(N10-Uzman_D!$L$18&lt;0,-(N10-Uzman_D!$L$18),N10-Uzman_D!$L$18)*2),0)/1*0.1),0)+IF(O10-Uzman_D!$M$18&lt;0,-(O10-Uzman_D!$M$18),O10-Uzman_D!$M$18)*1)</f>
        <v>-0.60000000000000009</v>
      </c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70"/>
      <c r="AB10" s="70"/>
      <c r="AC10" s="71">
        <f>1-(SUM(IF(Q10-Uzman_D!$B$19&lt;0,-(Q10-Uzman_D!$B$19),Q10-Uzman_D!$B$19)*0.1+IF(R10-Uzman_D!$C$19&lt;0,-(R10-Uzman_D!$C$19),R10-Uzman_D!$C$19)*0.1+IF(S10-Uzman_D!$D$19&lt;0,-(S10-Uzman_D!$D$19),S10-Uzman_D!$D$19)*0.1+IF(T10-Uzman_D!$E$19&lt;0,-(T10-Uzman_D!$E$19),T10-Uzman_D!$E$19)*0.1+IF(U10-Uzman_D!$F$19&lt;0,-(U10-Uzman_D!$F$19),U10-Uzman_D!$F$19)*0.1+IF(V10-Uzman_D!$G$19&lt;0,-(V10-Uzman_D!$G$19),V10-Uzman_D!$G$19)*0.1+IF(W10-Uzman_D!$H$19&lt;0,-(W10-Uzman_D!$H$19),W10-Uzman_D!$H$19)*0.1+IF(X10-Uzman_D!$I$19&lt;0,-(X10-Uzman_D!$I$19),X10-Uzman_D!$I$19)*0.1+IF(Y10-Uzman_D!$J$19&lt;0,-(Y10-Uzman_D!$J$19),Y10-Uzman_D!$J$19)*0.1)+IF(ROUND((IF(AA10-Uzman_D!$L$19&lt;0,-(AA10-Uzman_D!$L$19),AA10-Uzman_D!$L$19)*2),0)/2=IF(AA10-Uzman_D!$L$19&lt;0,-(AA10-Uzman_D!$L$19),AA10-Uzman_D!$L$19),(ROUND((IF(AA10-Uzman_D!$L$19&lt;0,-(AA10-Uzman_D!$L$19),AA10-Uzman_D!$L$19)*2),0)/1*0.1),0)+IF(AB10-Uzman_D!$M$19&lt;0,-(AB10-Uzman_D!$M$19),AB10-Uzman_D!$M$19)*1)</f>
        <v>-0.20000000000000018</v>
      </c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70"/>
      <c r="AO10" s="70"/>
      <c r="AP10" s="71">
        <f>1-(SUM(IF(AD10-Uzman_D!$B$20&lt;0,-(AD10-Uzman_D!$B$20),AD10-Uzman_D!$B$20)*0.1+IF(AE10-Uzman_D!$C$20&lt;0,-(AE10-Uzman_D!$C$20),AE10-Uzman_D!$C$20)*0.1+IF(AF10-Uzman_D!$D$20&lt;0,-(AF10-Uzman_D!$D$20),AF10-Uzman_D!$D$20)*0.1+IF(AG10-Uzman_D!$E$20&lt;0,-(AG10-Uzman_D!$E$20),AG10-Uzman_D!$E$20)*0.1+IF(AH10-Uzman_D!$F$20&lt;0,-(AH10-Uzman_D!$F$20),AH10-Uzman_D!$F$20)*0.1+IF(AI10-Uzman_D!$G$20&lt;0,-(AI10-Uzman_D!$G$20),AI10-Uzman_D!$G$20)*0.1+IF(AJ10-Uzman_D!$H$20&lt;0,-(AJ10-Uzman_D!$H$20),AJ10-Uzman_D!$H$20)*0.1+IF(AK10-Uzman_D!$I$20&lt;0,-(AK10-Uzman_D!$I$20),AK10-Uzman_D!$I$20)*0.1+IF(AL10-Uzman_D!$J$20&lt;0,-(AL10-Uzman_D!$J$20),AL10-Uzman_D!$J$20)*0.1)+IF(ROUND((IF(AN10-Uzman_D!$L$20&lt;0,-(AN10-Uzman_D!$L$20),AN10-Uzman_D!$L$20)*2),0)/2=IF(AN10-Uzman_D!$L$20&lt;0,-(AN10-Uzman_D!$L$20),AN10-Uzman_D!$L$20),(ROUND((IF(AN10-Uzman_D!$L$20&lt;0,-(AN10-Uzman_D!$L$20),AN10-Uzman_D!$L$20)*2),0)/1*0.1),0)+IF(AO10-Uzman_D!$M$20&lt;0,-(AO10-Uzman_D!$M$20),AO10-Uzman_D!$M$20)*1)</f>
        <v>-0.40000000000000013</v>
      </c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70"/>
      <c r="BB10" s="70"/>
      <c r="BC10" s="71">
        <f>1-(SUM(IF(AQ10-Uzman_D!$B$21&lt;0,-(AQ10-Uzman_D!$B$21),AQ10-Uzman_D!$B$21)*0.1+IF(AR10-Uzman_D!$C$21&lt;0,-(AR10-Uzman_D!$C$21),AR10-Uzman_D!$C$21)*0.1+IF(AS10-Uzman_D!$D$21&lt;0,-(AS10-Uzman_D!$D$21),AS10-Uzman_D!$D$21)*0.1+IF(AT10-Uzman_D!$E$21&lt;0,-(AT10-Uzman_D!$E$21),AT10-Uzman_D!$E$21)*0.1+IF(AU10-Uzman_D!$F$21&lt;0,-(AU10-Uzman_D!$F$21),AU10-Uzman_D!$F$21)*0.1+IF(AV10-Uzman_D!$G$21&lt;0,-(AV10-Uzman_D!$G$21),AV10-Uzman_D!$G$21)*0.1+IF(AW10-Uzman_D!$H$21&lt;0,-(AW10-Uzman_D!$H$21),AW10-Uzman_D!$H$21)*0.1+IF(AX10-Uzman_D!$I$21&lt;0,-(AX10-Uzman_D!$I$21),AX10-Uzman_D!$I$21)*0.1+IF(AY10-Uzman_D!$J$21&lt;0,-(AY10-Uzman_D!$J$21),AY10-Uzman_D!$J$21)*0.1)+IF(ROUND((IF(BA10-Uzman_D!$L$21&lt;0,-(BA10-Uzman_D!$L$21),BA10-Uzman_D!$L$21)*2),0)/2=IF(BA10-Uzman_D!$L$21&lt;0,-(BA10-Uzman_D!$L$21),BA10-Uzman_D!$L$21),(ROUND((IF(BA10-Uzman_D!$L$21&lt;0,-(BA10-Uzman_D!$L$21),BA10-Uzman_D!$L$21)*2),0)/1*0.1),0)+IF(BB10-Uzman_D!$M$21&lt;0,-(BB10-Uzman_D!$M$21),BB10-Uzman_D!$M$21)*1)</f>
        <v>-0.10000000000000009</v>
      </c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70"/>
      <c r="BO10" s="70"/>
      <c r="BP10" s="71">
        <f>1-(SUM(IF(BD10-Uzman_D!$B$22&lt;0,-(BD10-Uzman_D!$B$22),BD10-Uzman_D!$B$22)*0.1+IF(BE10-Uzman_D!$C$22&lt;0,-(BE10-Uzman_D!$C$22),BE10-Uzman_D!$C$22)*0.1+IF(BF10-Uzman_D!$D$22&lt;0,-(BF10-Uzman_D!$D$22),BF10-Uzman_D!$D$22)*0.1+IF(BG10-Uzman_D!$E$22&lt;0,-(BG10-Uzman_D!$E$22),BG10-Uzman_D!$E$22)*0.1+IF(BH10-Uzman_D!$F$22&lt;0,-(BH10-Uzman_D!$F$22),BH10-Uzman_D!$F$22)*0.1+IF(BI10-Uzman_D!$G$22&lt;0,-(BI10-Uzman_D!$G$22),BI10-Uzman_D!$G$22)*0.1+IF(BJ10-Uzman_D!$H$22&lt;0,-(BJ10-Uzman_D!$H$22),BJ10-Uzman_D!$H$22)*0.1+IF(BK10-Uzman_D!$I$22&lt;0,-(BK10-Uzman_D!$I$22),BK10-Uzman_D!$I$22)*0.1+IF(BL10-Uzman_D!$J$22&lt;0,-(BL10-Uzman_D!$J$22),BL10-Uzman_D!$J$22)*0.1)+IF(ROUND((IF(BN10-Uzman_D!$L$22&lt;0,-(BN10-Uzman_D!$L$22),BN10-Uzman_D!$L$22)*2),0)/2=IF(BN10-Uzman_D!$L$22&lt;0,-(BN10-Uzman_D!$L$22),BN10-Uzman_D!$L$22),(ROUND((IF(BN10-Uzman_D!$L$22&lt;0,-(BN10-Uzman_D!$L$22),BN10-Uzman_D!$L$22)*2),0)/1*0.1),0)+IF(BO10-Uzman_D!$M$22&lt;0,-(BO10-Uzman_D!$M$22),BO10-Uzman_D!$M$22)*1)</f>
        <v>-0.10000000000000009</v>
      </c>
      <c r="BQ10" s="72">
        <f t="shared" si="0"/>
        <v>-0.28000000000000014</v>
      </c>
    </row>
    <row r="11" spans="1:69" ht="15" customHeight="1" x14ac:dyDescent="0.45">
      <c r="A11" s="54">
        <v>8</v>
      </c>
      <c r="B11" s="29" t="str">
        <f>Hakemler!B11</f>
        <v>KESKİN</v>
      </c>
      <c r="C11" s="29" t="str">
        <f>Hakemler!C11</f>
        <v>ENFAL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70"/>
      <c r="O11" s="70"/>
      <c r="P11" s="71">
        <f>1-(SUM(IF(D11-Uzman_D!$B$18&lt;0,-(D11-Uzman_D!$B$18),D11-Uzman_D!$B$18)*0.1+IF(E11-Uzman_D!$C$18&lt;0,-(E11-Uzman_D!$C$18),E11-Uzman_D!$C$18)*0.1+IF(F11-Uzman_D!$D$18&lt;0,-(F11-Uzman_D!$D$18),F11-Uzman_D!$D$18)*0.1+IF(G11-Uzman_D!$E$18&lt;0,-(G11-Uzman_D!$E$18),G11-Uzman_D!$E$18)*0.1+IF(H11-Uzman_D!$F$18&lt;0,-(H11-Uzman_D!$F$18),H11-Uzman_D!$F$18)*0.1+IF(I11-Uzman_D!$G$18&lt;0,-(I11-Uzman_D!$G$18),I11-Uzman_D!$G$18)*0.1+IF(J11-Uzman_D!$H$18&lt;0,-(J11-Uzman_D!$H$18),J11-Uzman_D!$H$18)*0.1+IF(K11-Uzman_D!$I$18&lt;0,-(K11-Uzman_D!$I$18),K11-Uzman_D!$I$18)*0.1+IF(L11-Uzman_D!$J$18&lt;0,-(L11-Uzman_D!$J$18),L11-Uzman_D!$J$18)*0.1)+IF(ROUND((IF(N11-Uzman_D!$L$18&lt;0,-(N11-Uzman_D!$L$18),N11-Uzman_D!$L$18)*2),0)/2=IF(N11-Uzman_D!$L$18&lt;0,-(N11-Uzman_D!$L$18),N11-Uzman_D!$L$18),(ROUND((IF(N11-Uzman_D!$L$18&lt;0,-(N11-Uzman_D!$L$18),N11-Uzman_D!$L$18)*2),0)/1*0.1),0)+IF(O11-Uzman_D!$M$18&lt;0,-(O11-Uzman_D!$M$18),O11-Uzman_D!$M$18)*1)</f>
        <v>-0.60000000000000009</v>
      </c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70"/>
      <c r="AB11" s="70"/>
      <c r="AC11" s="71">
        <f>1-(SUM(IF(Q11-Uzman_D!$B$19&lt;0,-(Q11-Uzman_D!$B$19),Q11-Uzman_D!$B$19)*0.1+IF(R11-Uzman_D!$C$19&lt;0,-(R11-Uzman_D!$C$19),R11-Uzman_D!$C$19)*0.1+IF(S11-Uzman_D!$D$19&lt;0,-(S11-Uzman_D!$D$19),S11-Uzman_D!$D$19)*0.1+IF(T11-Uzman_D!$E$19&lt;0,-(T11-Uzman_D!$E$19),T11-Uzman_D!$E$19)*0.1+IF(U11-Uzman_D!$F$19&lt;0,-(U11-Uzman_D!$F$19),U11-Uzman_D!$F$19)*0.1+IF(V11-Uzman_D!$G$19&lt;0,-(V11-Uzman_D!$G$19),V11-Uzman_D!$G$19)*0.1+IF(W11-Uzman_D!$H$19&lt;0,-(W11-Uzman_D!$H$19),W11-Uzman_D!$H$19)*0.1+IF(X11-Uzman_D!$I$19&lt;0,-(X11-Uzman_D!$I$19),X11-Uzman_D!$I$19)*0.1+IF(Y11-Uzman_D!$J$19&lt;0,-(Y11-Uzman_D!$J$19),Y11-Uzman_D!$J$19)*0.1)+IF(ROUND((IF(AA11-Uzman_D!$L$19&lt;0,-(AA11-Uzman_D!$L$19),AA11-Uzman_D!$L$19)*2),0)/2=IF(AA11-Uzman_D!$L$19&lt;0,-(AA11-Uzman_D!$L$19),AA11-Uzman_D!$L$19),(ROUND((IF(AA11-Uzman_D!$L$19&lt;0,-(AA11-Uzman_D!$L$19),AA11-Uzman_D!$L$19)*2),0)/1*0.1),0)+IF(AB11-Uzman_D!$M$19&lt;0,-(AB11-Uzman_D!$M$19),AB11-Uzman_D!$M$19)*1)</f>
        <v>-0.20000000000000018</v>
      </c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70"/>
      <c r="AO11" s="70"/>
      <c r="AP11" s="71">
        <f>1-(SUM(IF(AD11-Uzman_D!$B$20&lt;0,-(AD11-Uzman_D!$B$20),AD11-Uzman_D!$B$20)*0.1+IF(AE11-Uzman_D!$C$20&lt;0,-(AE11-Uzman_D!$C$20),AE11-Uzman_D!$C$20)*0.1+IF(AF11-Uzman_D!$D$20&lt;0,-(AF11-Uzman_D!$D$20),AF11-Uzman_D!$D$20)*0.1+IF(AG11-Uzman_D!$E$20&lt;0,-(AG11-Uzman_D!$E$20),AG11-Uzman_D!$E$20)*0.1+IF(AH11-Uzman_D!$F$20&lt;0,-(AH11-Uzman_D!$F$20),AH11-Uzman_D!$F$20)*0.1+IF(AI11-Uzman_D!$G$20&lt;0,-(AI11-Uzman_D!$G$20),AI11-Uzman_D!$G$20)*0.1+IF(AJ11-Uzman_D!$H$20&lt;0,-(AJ11-Uzman_D!$H$20),AJ11-Uzman_D!$H$20)*0.1+IF(AK11-Uzman_D!$I$20&lt;0,-(AK11-Uzman_D!$I$20),AK11-Uzman_D!$I$20)*0.1+IF(AL11-Uzman_D!$J$20&lt;0,-(AL11-Uzman_D!$J$20),AL11-Uzman_D!$J$20)*0.1)+IF(ROUND((IF(AN11-Uzman_D!$L$20&lt;0,-(AN11-Uzman_D!$L$20),AN11-Uzman_D!$L$20)*2),0)/2=IF(AN11-Uzman_D!$L$20&lt;0,-(AN11-Uzman_D!$L$20),AN11-Uzman_D!$L$20),(ROUND((IF(AN11-Uzman_D!$L$20&lt;0,-(AN11-Uzman_D!$L$20),AN11-Uzman_D!$L$20)*2),0)/1*0.1),0)+IF(AO11-Uzman_D!$M$20&lt;0,-(AO11-Uzman_D!$M$20),AO11-Uzman_D!$M$20)*1)</f>
        <v>-0.40000000000000013</v>
      </c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70"/>
      <c r="BB11" s="70"/>
      <c r="BC11" s="71">
        <f>1-(SUM(IF(AQ11-Uzman_D!$B$21&lt;0,-(AQ11-Uzman_D!$B$21),AQ11-Uzman_D!$B$21)*0.1+IF(AR11-Uzman_D!$C$21&lt;0,-(AR11-Uzman_D!$C$21),AR11-Uzman_D!$C$21)*0.1+IF(AS11-Uzman_D!$D$21&lt;0,-(AS11-Uzman_D!$D$21),AS11-Uzman_D!$D$21)*0.1+IF(AT11-Uzman_D!$E$21&lt;0,-(AT11-Uzman_D!$E$21),AT11-Uzman_D!$E$21)*0.1+IF(AU11-Uzman_D!$F$21&lt;0,-(AU11-Uzman_D!$F$21),AU11-Uzman_D!$F$21)*0.1+IF(AV11-Uzman_D!$G$21&lt;0,-(AV11-Uzman_D!$G$21),AV11-Uzman_D!$G$21)*0.1+IF(AW11-Uzman_D!$H$21&lt;0,-(AW11-Uzman_D!$H$21),AW11-Uzman_D!$H$21)*0.1+IF(AX11-Uzman_D!$I$21&lt;0,-(AX11-Uzman_D!$I$21),AX11-Uzman_D!$I$21)*0.1+IF(AY11-Uzman_D!$J$21&lt;0,-(AY11-Uzman_D!$J$21),AY11-Uzman_D!$J$21)*0.1)+IF(ROUND((IF(BA11-Uzman_D!$L$21&lt;0,-(BA11-Uzman_D!$L$21),BA11-Uzman_D!$L$21)*2),0)/2=IF(BA11-Uzman_D!$L$21&lt;0,-(BA11-Uzman_D!$L$21),BA11-Uzman_D!$L$21),(ROUND((IF(BA11-Uzman_D!$L$21&lt;0,-(BA11-Uzman_D!$L$21),BA11-Uzman_D!$L$21)*2),0)/1*0.1),0)+IF(BB11-Uzman_D!$M$21&lt;0,-(BB11-Uzman_D!$M$21),BB11-Uzman_D!$M$21)*1)</f>
        <v>-0.10000000000000009</v>
      </c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70"/>
      <c r="BO11" s="70"/>
      <c r="BP11" s="71">
        <f>1-(SUM(IF(BD11-Uzman_D!$B$22&lt;0,-(BD11-Uzman_D!$B$22),BD11-Uzman_D!$B$22)*0.1+IF(BE11-Uzman_D!$C$22&lt;0,-(BE11-Uzman_D!$C$22),BE11-Uzman_D!$C$22)*0.1+IF(BF11-Uzman_D!$D$22&lt;0,-(BF11-Uzman_D!$D$22),BF11-Uzman_D!$D$22)*0.1+IF(BG11-Uzman_D!$E$22&lt;0,-(BG11-Uzman_D!$E$22),BG11-Uzman_D!$E$22)*0.1+IF(BH11-Uzman_D!$F$22&lt;0,-(BH11-Uzman_D!$F$22),BH11-Uzman_D!$F$22)*0.1+IF(BI11-Uzman_D!$G$22&lt;0,-(BI11-Uzman_D!$G$22),BI11-Uzman_D!$G$22)*0.1+IF(BJ11-Uzman_D!$H$22&lt;0,-(BJ11-Uzman_D!$H$22),BJ11-Uzman_D!$H$22)*0.1+IF(BK11-Uzman_D!$I$22&lt;0,-(BK11-Uzman_D!$I$22),BK11-Uzman_D!$I$22)*0.1+IF(BL11-Uzman_D!$J$22&lt;0,-(BL11-Uzman_D!$J$22),BL11-Uzman_D!$J$22)*0.1)+IF(ROUND((IF(BN11-Uzman_D!$L$22&lt;0,-(BN11-Uzman_D!$L$22),BN11-Uzman_D!$L$22)*2),0)/2=IF(BN11-Uzman_D!$L$22&lt;0,-(BN11-Uzman_D!$L$22),BN11-Uzman_D!$L$22),(ROUND((IF(BN11-Uzman_D!$L$22&lt;0,-(BN11-Uzman_D!$L$22),BN11-Uzman_D!$L$22)*2),0)/1*0.1),0)+IF(BO11-Uzman_D!$M$22&lt;0,-(BO11-Uzman_D!$M$22),BO11-Uzman_D!$M$22)*1)</f>
        <v>-0.10000000000000009</v>
      </c>
      <c r="BQ11" s="72">
        <f t="shared" si="0"/>
        <v>-0.28000000000000014</v>
      </c>
    </row>
    <row r="12" spans="1:69" ht="15" customHeight="1" x14ac:dyDescent="0.45">
      <c r="A12" s="54">
        <v>9</v>
      </c>
      <c r="B12" s="29" t="str">
        <f>Hakemler!B12</f>
        <v>ÜNAL</v>
      </c>
      <c r="C12" s="29" t="str">
        <f>Hakemler!C12</f>
        <v>NAZLINEHİR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70"/>
      <c r="O12" s="70"/>
      <c r="P12" s="71">
        <f>1-(SUM(IF(D12-Uzman_D!$B$18&lt;0,-(D12-Uzman_D!$B$18),D12-Uzman_D!$B$18)*0.1+IF(E12-Uzman_D!$C$18&lt;0,-(E12-Uzman_D!$C$18),E12-Uzman_D!$C$18)*0.1+IF(F12-Uzman_D!$D$18&lt;0,-(F12-Uzman_D!$D$18),F12-Uzman_D!$D$18)*0.1+IF(G12-Uzman_D!$E$18&lt;0,-(G12-Uzman_D!$E$18),G12-Uzman_D!$E$18)*0.1+IF(H12-Uzman_D!$F$18&lt;0,-(H12-Uzman_D!$F$18),H12-Uzman_D!$F$18)*0.1+IF(I12-Uzman_D!$G$18&lt;0,-(I12-Uzman_D!$G$18),I12-Uzman_D!$G$18)*0.1+IF(J12-Uzman_D!$H$18&lt;0,-(J12-Uzman_D!$H$18),J12-Uzman_D!$H$18)*0.1+IF(K12-Uzman_D!$I$18&lt;0,-(K12-Uzman_D!$I$18),K12-Uzman_D!$I$18)*0.1+IF(L12-Uzman_D!$J$18&lt;0,-(L12-Uzman_D!$J$18),L12-Uzman_D!$J$18)*0.1)+IF(ROUND((IF(N12-Uzman_D!$L$18&lt;0,-(N12-Uzman_D!$L$18),N12-Uzman_D!$L$18)*2),0)/2=IF(N12-Uzman_D!$L$18&lt;0,-(N12-Uzman_D!$L$18),N12-Uzman_D!$L$18),(ROUND((IF(N12-Uzman_D!$L$18&lt;0,-(N12-Uzman_D!$L$18),N12-Uzman_D!$L$18)*2),0)/1*0.1),0)+IF(O12-Uzman_D!$M$18&lt;0,-(O12-Uzman_D!$M$18),O12-Uzman_D!$M$18)*1)</f>
        <v>-0.60000000000000009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70"/>
      <c r="AB12" s="70"/>
      <c r="AC12" s="71">
        <f>1-(SUM(IF(Q12-Uzman_D!$B$19&lt;0,-(Q12-Uzman_D!$B$19),Q12-Uzman_D!$B$19)*0.1+IF(R12-Uzman_D!$C$19&lt;0,-(R12-Uzman_D!$C$19),R12-Uzman_D!$C$19)*0.1+IF(S12-Uzman_D!$D$19&lt;0,-(S12-Uzman_D!$D$19),S12-Uzman_D!$D$19)*0.1+IF(T12-Uzman_D!$E$19&lt;0,-(T12-Uzman_D!$E$19),T12-Uzman_D!$E$19)*0.1+IF(U12-Uzman_D!$F$19&lt;0,-(U12-Uzman_D!$F$19),U12-Uzman_D!$F$19)*0.1+IF(V12-Uzman_D!$G$19&lt;0,-(V12-Uzman_D!$G$19),V12-Uzman_D!$G$19)*0.1+IF(W12-Uzman_D!$H$19&lt;0,-(W12-Uzman_D!$H$19),W12-Uzman_D!$H$19)*0.1+IF(X12-Uzman_D!$I$19&lt;0,-(X12-Uzman_D!$I$19),X12-Uzman_D!$I$19)*0.1+IF(Y12-Uzman_D!$J$19&lt;0,-(Y12-Uzman_D!$J$19),Y12-Uzman_D!$J$19)*0.1)+IF(ROUND((IF(AA12-Uzman_D!$L$19&lt;0,-(AA12-Uzman_D!$L$19),AA12-Uzman_D!$L$19)*2),0)/2=IF(AA12-Uzman_D!$L$19&lt;0,-(AA12-Uzman_D!$L$19),AA12-Uzman_D!$L$19),(ROUND((IF(AA12-Uzman_D!$L$19&lt;0,-(AA12-Uzman_D!$L$19),AA12-Uzman_D!$L$19)*2),0)/1*0.1),0)+IF(AB12-Uzman_D!$M$19&lt;0,-(AB12-Uzman_D!$M$19),AB12-Uzman_D!$M$19)*1)</f>
        <v>-0.20000000000000018</v>
      </c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70"/>
      <c r="AO12" s="70"/>
      <c r="AP12" s="71">
        <f>1-(SUM(IF(AD12-Uzman_D!$B$20&lt;0,-(AD12-Uzman_D!$B$20),AD12-Uzman_D!$B$20)*0.1+IF(AE12-Uzman_D!$C$20&lt;0,-(AE12-Uzman_D!$C$20),AE12-Uzman_D!$C$20)*0.1+IF(AF12-Uzman_D!$D$20&lt;0,-(AF12-Uzman_D!$D$20),AF12-Uzman_D!$D$20)*0.1+IF(AG12-Uzman_D!$E$20&lt;0,-(AG12-Uzman_D!$E$20),AG12-Uzman_D!$E$20)*0.1+IF(AH12-Uzman_D!$F$20&lt;0,-(AH12-Uzman_D!$F$20),AH12-Uzman_D!$F$20)*0.1+IF(AI12-Uzman_D!$G$20&lt;0,-(AI12-Uzman_D!$G$20),AI12-Uzman_D!$G$20)*0.1+IF(AJ12-Uzman_D!$H$20&lt;0,-(AJ12-Uzman_D!$H$20),AJ12-Uzman_D!$H$20)*0.1+IF(AK12-Uzman_D!$I$20&lt;0,-(AK12-Uzman_D!$I$20),AK12-Uzman_D!$I$20)*0.1+IF(AL12-Uzman_D!$J$20&lt;0,-(AL12-Uzman_D!$J$20),AL12-Uzman_D!$J$20)*0.1)+IF(ROUND((IF(AN12-Uzman_D!$L$20&lt;0,-(AN12-Uzman_D!$L$20),AN12-Uzman_D!$L$20)*2),0)/2=IF(AN12-Uzman_D!$L$20&lt;0,-(AN12-Uzman_D!$L$20),AN12-Uzman_D!$L$20),(ROUND((IF(AN12-Uzman_D!$L$20&lt;0,-(AN12-Uzman_D!$L$20),AN12-Uzman_D!$L$20)*2),0)/1*0.1),0)+IF(AO12-Uzman_D!$M$20&lt;0,-(AO12-Uzman_D!$M$20),AO12-Uzman_D!$M$20)*1)</f>
        <v>-0.40000000000000013</v>
      </c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70"/>
      <c r="BB12" s="70"/>
      <c r="BC12" s="71">
        <f>1-(SUM(IF(AQ12-Uzman_D!$B$21&lt;0,-(AQ12-Uzman_D!$B$21),AQ12-Uzman_D!$B$21)*0.1+IF(AR12-Uzman_D!$C$21&lt;0,-(AR12-Uzman_D!$C$21),AR12-Uzman_D!$C$21)*0.1+IF(AS12-Uzman_D!$D$21&lt;0,-(AS12-Uzman_D!$D$21),AS12-Uzman_D!$D$21)*0.1+IF(AT12-Uzman_D!$E$21&lt;0,-(AT12-Uzman_D!$E$21),AT12-Uzman_D!$E$21)*0.1+IF(AU12-Uzman_D!$F$21&lt;0,-(AU12-Uzman_D!$F$21),AU12-Uzman_D!$F$21)*0.1+IF(AV12-Uzman_D!$G$21&lt;0,-(AV12-Uzman_D!$G$21),AV12-Uzman_D!$G$21)*0.1+IF(AW12-Uzman_D!$H$21&lt;0,-(AW12-Uzman_D!$H$21),AW12-Uzman_D!$H$21)*0.1+IF(AX12-Uzman_D!$I$21&lt;0,-(AX12-Uzman_D!$I$21),AX12-Uzman_D!$I$21)*0.1+IF(AY12-Uzman_D!$J$21&lt;0,-(AY12-Uzman_D!$J$21),AY12-Uzman_D!$J$21)*0.1)+IF(ROUND((IF(BA12-Uzman_D!$L$21&lt;0,-(BA12-Uzman_D!$L$21),BA12-Uzman_D!$L$21)*2),0)/2=IF(BA12-Uzman_D!$L$21&lt;0,-(BA12-Uzman_D!$L$21),BA12-Uzman_D!$L$21),(ROUND((IF(BA12-Uzman_D!$L$21&lt;0,-(BA12-Uzman_D!$L$21),BA12-Uzman_D!$L$21)*2),0)/1*0.1),0)+IF(BB12-Uzman_D!$M$21&lt;0,-(BB12-Uzman_D!$M$21),BB12-Uzman_D!$M$21)*1)</f>
        <v>-0.10000000000000009</v>
      </c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70"/>
      <c r="BO12" s="70"/>
      <c r="BP12" s="71">
        <f>1-(SUM(IF(BD12-Uzman_D!$B$22&lt;0,-(BD12-Uzman_D!$B$22),BD12-Uzman_D!$B$22)*0.1+IF(BE12-Uzman_D!$C$22&lt;0,-(BE12-Uzman_D!$C$22),BE12-Uzman_D!$C$22)*0.1+IF(BF12-Uzman_D!$D$22&lt;0,-(BF12-Uzman_D!$D$22),BF12-Uzman_D!$D$22)*0.1+IF(BG12-Uzman_D!$E$22&lt;0,-(BG12-Uzman_D!$E$22),BG12-Uzman_D!$E$22)*0.1+IF(BH12-Uzman_D!$F$22&lt;0,-(BH12-Uzman_D!$F$22),BH12-Uzman_D!$F$22)*0.1+IF(BI12-Uzman_D!$G$22&lt;0,-(BI12-Uzman_D!$G$22),BI12-Uzman_D!$G$22)*0.1+IF(BJ12-Uzman_D!$H$22&lt;0,-(BJ12-Uzman_D!$H$22),BJ12-Uzman_D!$H$22)*0.1+IF(BK12-Uzman_D!$I$22&lt;0,-(BK12-Uzman_D!$I$22),BK12-Uzman_D!$I$22)*0.1+IF(BL12-Uzman_D!$J$22&lt;0,-(BL12-Uzman_D!$J$22),BL12-Uzman_D!$J$22)*0.1)+IF(ROUND((IF(BN12-Uzman_D!$L$22&lt;0,-(BN12-Uzman_D!$L$22),BN12-Uzman_D!$L$22)*2),0)/2=IF(BN12-Uzman_D!$L$22&lt;0,-(BN12-Uzman_D!$L$22),BN12-Uzman_D!$L$22),(ROUND((IF(BN12-Uzman_D!$L$22&lt;0,-(BN12-Uzman_D!$L$22),BN12-Uzman_D!$L$22)*2),0)/1*0.1),0)+IF(BO12-Uzman_D!$M$22&lt;0,-(BO12-Uzman_D!$M$22),BO12-Uzman_D!$M$22)*1)</f>
        <v>-0.10000000000000009</v>
      </c>
      <c r="BQ12" s="72">
        <f t="shared" si="0"/>
        <v>-0.28000000000000014</v>
      </c>
    </row>
    <row r="13" spans="1:69" ht="15" customHeight="1" x14ac:dyDescent="0.45">
      <c r="A13" s="54">
        <v>10</v>
      </c>
      <c r="B13" s="29" t="str">
        <f>Hakemler!B13</f>
        <v>ÜÇTAŞ ŞANLI</v>
      </c>
      <c r="C13" s="29" t="str">
        <f>Hakemler!C13</f>
        <v>GÖKSU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70"/>
      <c r="O13" s="70"/>
      <c r="P13" s="71">
        <f>1-(SUM(IF(D13-Uzman_D!$B$18&lt;0,-(D13-Uzman_D!$B$18),D13-Uzman_D!$B$18)*0.1+IF(E13-Uzman_D!$C$18&lt;0,-(E13-Uzman_D!$C$18),E13-Uzman_D!$C$18)*0.1+IF(F13-Uzman_D!$D$18&lt;0,-(F13-Uzman_D!$D$18),F13-Uzman_D!$D$18)*0.1+IF(G13-Uzman_D!$E$18&lt;0,-(G13-Uzman_D!$E$18),G13-Uzman_D!$E$18)*0.1+IF(H13-Uzman_D!$F$18&lt;0,-(H13-Uzman_D!$F$18),H13-Uzman_D!$F$18)*0.1+IF(I13-Uzman_D!$G$18&lt;0,-(I13-Uzman_D!$G$18),I13-Uzman_D!$G$18)*0.1+IF(J13-Uzman_D!$H$18&lt;0,-(J13-Uzman_D!$H$18),J13-Uzman_D!$H$18)*0.1+IF(K13-Uzman_D!$I$18&lt;0,-(K13-Uzman_D!$I$18),K13-Uzman_D!$I$18)*0.1+IF(L13-Uzman_D!$J$18&lt;0,-(L13-Uzman_D!$J$18),L13-Uzman_D!$J$18)*0.1)+IF(ROUND((IF(N13-Uzman_D!$L$18&lt;0,-(N13-Uzman_D!$L$18),N13-Uzman_D!$L$18)*2),0)/2=IF(N13-Uzman_D!$L$18&lt;0,-(N13-Uzman_D!$L$18),N13-Uzman_D!$L$18),(ROUND((IF(N13-Uzman_D!$L$18&lt;0,-(N13-Uzman_D!$L$18),N13-Uzman_D!$L$18)*2),0)/1*0.1),0)+IF(O13-Uzman_D!$M$18&lt;0,-(O13-Uzman_D!$M$18),O13-Uzman_D!$M$18)*1)</f>
        <v>-0.60000000000000009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70"/>
      <c r="AB13" s="70"/>
      <c r="AC13" s="71">
        <f>1-(SUM(IF(Q13-Uzman_D!$B$19&lt;0,-(Q13-Uzman_D!$B$19),Q13-Uzman_D!$B$19)*0.1+IF(R13-Uzman_D!$C$19&lt;0,-(R13-Uzman_D!$C$19),R13-Uzman_D!$C$19)*0.1+IF(S13-Uzman_D!$D$19&lt;0,-(S13-Uzman_D!$D$19),S13-Uzman_D!$D$19)*0.1+IF(T13-Uzman_D!$E$19&lt;0,-(T13-Uzman_D!$E$19),T13-Uzman_D!$E$19)*0.1+IF(U13-Uzman_D!$F$19&lt;0,-(U13-Uzman_D!$F$19),U13-Uzman_D!$F$19)*0.1+IF(V13-Uzman_D!$G$19&lt;0,-(V13-Uzman_D!$G$19),V13-Uzman_D!$G$19)*0.1+IF(W13-Uzman_D!$H$19&lt;0,-(W13-Uzman_D!$H$19),W13-Uzman_D!$H$19)*0.1+IF(X13-Uzman_D!$I$19&lt;0,-(X13-Uzman_D!$I$19),X13-Uzman_D!$I$19)*0.1+IF(Y13-Uzman_D!$J$19&lt;0,-(Y13-Uzman_D!$J$19),Y13-Uzman_D!$J$19)*0.1)+IF(ROUND((IF(AA13-Uzman_D!$L$19&lt;0,-(AA13-Uzman_D!$L$19),AA13-Uzman_D!$L$19)*2),0)/2=IF(AA13-Uzman_D!$L$19&lt;0,-(AA13-Uzman_D!$L$19),AA13-Uzman_D!$L$19),(ROUND((IF(AA13-Uzman_D!$L$19&lt;0,-(AA13-Uzman_D!$L$19),AA13-Uzman_D!$L$19)*2),0)/1*0.1),0)+IF(AB13-Uzman_D!$M$19&lt;0,-(AB13-Uzman_D!$M$19),AB13-Uzman_D!$M$19)*1)</f>
        <v>-0.20000000000000018</v>
      </c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70"/>
      <c r="AO13" s="70"/>
      <c r="AP13" s="71">
        <f>1-(SUM(IF(AD13-Uzman_D!$B$20&lt;0,-(AD13-Uzman_D!$B$20),AD13-Uzman_D!$B$20)*0.1+IF(AE13-Uzman_D!$C$20&lt;0,-(AE13-Uzman_D!$C$20),AE13-Uzman_D!$C$20)*0.1+IF(AF13-Uzman_D!$D$20&lt;0,-(AF13-Uzman_D!$D$20),AF13-Uzman_D!$D$20)*0.1+IF(AG13-Uzman_D!$E$20&lt;0,-(AG13-Uzman_D!$E$20),AG13-Uzman_D!$E$20)*0.1+IF(AH13-Uzman_D!$F$20&lt;0,-(AH13-Uzman_D!$F$20),AH13-Uzman_D!$F$20)*0.1+IF(AI13-Uzman_D!$G$20&lt;0,-(AI13-Uzman_D!$G$20),AI13-Uzman_D!$G$20)*0.1+IF(AJ13-Uzman_D!$H$20&lt;0,-(AJ13-Uzman_D!$H$20),AJ13-Uzman_D!$H$20)*0.1+IF(AK13-Uzman_D!$I$20&lt;0,-(AK13-Uzman_D!$I$20),AK13-Uzman_D!$I$20)*0.1+IF(AL13-Uzman_D!$J$20&lt;0,-(AL13-Uzman_D!$J$20),AL13-Uzman_D!$J$20)*0.1)+IF(ROUND((IF(AN13-Uzman_D!$L$20&lt;0,-(AN13-Uzman_D!$L$20),AN13-Uzman_D!$L$20)*2),0)/2=IF(AN13-Uzman_D!$L$20&lt;0,-(AN13-Uzman_D!$L$20),AN13-Uzman_D!$L$20),(ROUND((IF(AN13-Uzman_D!$L$20&lt;0,-(AN13-Uzman_D!$L$20),AN13-Uzman_D!$L$20)*2),0)/1*0.1),0)+IF(AO13-Uzman_D!$M$20&lt;0,-(AO13-Uzman_D!$M$20),AO13-Uzman_D!$M$20)*1)</f>
        <v>-0.40000000000000013</v>
      </c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70"/>
      <c r="BB13" s="70"/>
      <c r="BC13" s="71">
        <f>1-(SUM(IF(AQ13-Uzman_D!$B$21&lt;0,-(AQ13-Uzman_D!$B$21),AQ13-Uzman_D!$B$21)*0.1+IF(AR13-Uzman_D!$C$21&lt;0,-(AR13-Uzman_D!$C$21),AR13-Uzman_D!$C$21)*0.1+IF(AS13-Uzman_D!$D$21&lt;0,-(AS13-Uzman_D!$D$21),AS13-Uzman_D!$D$21)*0.1+IF(AT13-Uzman_D!$E$21&lt;0,-(AT13-Uzman_D!$E$21),AT13-Uzman_D!$E$21)*0.1+IF(AU13-Uzman_D!$F$21&lt;0,-(AU13-Uzman_D!$F$21),AU13-Uzman_D!$F$21)*0.1+IF(AV13-Uzman_D!$G$21&lt;0,-(AV13-Uzman_D!$G$21),AV13-Uzman_D!$G$21)*0.1+IF(AW13-Uzman_D!$H$21&lt;0,-(AW13-Uzman_D!$H$21),AW13-Uzman_D!$H$21)*0.1+IF(AX13-Uzman_D!$I$21&lt;0,-(AX13-Uzman_D!$I$21),AX13-Uzman_D!$I$21)*0.1+IF(AY13-Uzman_D!$J$21&lt;0,-(AY13-Uzman_D!$J$21),AY13-Uzman_D!$J$21)*0.1)+IF(ROUND((IF(BA13-Uzman_D!$L$21&lt;0,-(BA13-Uzman_D!$L$21),BA13-Uzman_D!$L$21)*2),0)/2=IF(BA13-Uzman_D!$L$21&lt;0,-(BA13-Uzman_D!$L$21),BA13-Uzman_D!$L$21),(ROUND((IF(BA13-Uzman_D!$L$21&lt;0,-(BA13-Uzman_D!$L$21),BA13-Uzman_D!$L$21)*2),0)/1*0.1),0)+IF(BB13-Uzman_D!$M$21&lt;0,-(BB13-Uzman_D!$M$21),BB13-Uzman_D!$M$21)*1)</f>
        <v>-0.10000000000000009</v>
      </c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70"/>
      <c r="BO13" s="70"/>
      <c r="BP13" s="71">
        <f>1-(SUM(IF(BD13-Uzman_D!$B$22&lt;0,-(BD13-Uzman_D!$B$22),BD13-Uzman_D!$B$22)*0.1+IF(BE13-Uzman_D!$C$22&lt;0,-(BE13-Uzman_D!$C$22),BE13-Uzman_D!$C$22)*0.1+IF(BF13-Uzman_D!$D$22&lt;0,-(BF13-Uzman_D!$D$22),BF13-Uzman_D!$D$22)*0.1+IF(BG13-Uzman_D!$E$22&lt;0,-(BG13-Uzman_D!$E$22),BG13-Uzman_D!$E$22)*0.1+IF(BH13-Uzman_D!$F$22&lt;0,-(BH13-Uzman_D!$F$22),BH13-Uzman_D!$F$22)*0.1+IF(BI13-Uzman_D!$G$22&lt;0,-(BI13-Uzman_D!$G$22),BI13-Uzman_D!$G$22)*0.1+IF(BJ13-Uzman_D!$H$22&lt;0,-(BJ13-Uzman_D!$H$22),BJ13-Uzman_D!$H$22)*0.1+IF(BK13-Uzman_D!$I$22&lt;0,-(BK13-Uzman_D!$I$22),BK13-Uzman_D!$I$22)*0.1+IF(BL13-Uzman_D!$J$22&lt;0,-(BL13-Uzman_D!$J$22),BL13-Uzman_D!$J$22)*0.1)+IF(ROUND((IF(BN13-Uzman_D!$L$22&lt;0,-(BN13-Uzman_D!$L$22),BN13-Uzman_D!$L$22)*2),0)/2=IF(BN13-Uzman_D!$L$22&lt;0,-(BN13-Uzman_D!$L$22),BN13-Uzman_D!$L$22),(ROUND((IF(BN13-Uzman_D!$L$22&lt;0,-(BN13-Uzman_D!$L$22),BN13-Uzman_D!$L$22)*2),0)/1*0.1),0)+IF(BO13-Uzman_D!$M$22&lt;0,-(BO13-Uzman_D!$M$22),BO13-Uzman_D!$M$22)*1)</f>
        <v>-0.10000000000000009</v>
      </c>
      <c r="BQ13" s="72">
        <f t="shared" si="0"/>
        <v>-0.28000000000000014</v>
      </c>
    </row>
    <row r="14" spans="1:69" ht="15" customHeight="1" x14ac:dyDescent="0.45">
      <c r="A14" s="54">
        <v>11</v>
      </c>
      <c r="B14" s="29" t="str">
        <f>Hakemler!B14</f>
        <v>YÜCEL</v>
      </c>
      <c r="C14" s="29" t="str">
        <f>Hakemler!C14</f>
        <v>SİBEL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70"/>
      <c r="O14" s="70"/>
      <c r="P14" s="71">
        <f>1-(SUM(IF(D14-Uzman_D!$B$18&lt;0,-(D14-Uzman_D!$B$18),D14-Uzman_D!$B$18)*0.1+IF(E14-Uzman_D!$C$18&lt;0,-(E14-Uzman_D!$C$18),E14-Uzman_D!$C$18)*0.1+IF(F14-Uzman_D!$D$18&lt;0,-(F14-Uzman_D!$D$18),F14-Uzman_D!$D$18)*0.1+IF(G14-Uzman_D!$E$18&lt;0,-(G14-Uzman_D!$E$18),G14-Uzman_D!$E$18)*0.1+IF(H14-Uzman_D!$F$18&lt;0,-(H14-Uzman_D!$F$18),H14-Uzman_D!$F$18)*0.1+IF(I14-Uzman_D!$G$18&lt;0,-(I14-Uzman_D!$G$18),I14-Uzman_D!$G$18)*0.1+IF(J14-Uzman_D!$H$18&lt;0,-(J14-Uzman_D!$H$18),J14-Uzman_D!$H$18)*0.1+IF(K14-Uzman_D!$I$18&lt;0,-(K14-Uzman_D!$I$18),K14-Uzman_D!$I$18)*0.1+IF(L14-Uzman_D!$J$18&lt;0,-(L14-Uzman_D!$J$18),L14-Uzman_D!$J$18)*0.1)+IF(ROUND((IF(N14-Uzman_D!$L$18&lt;0,-(N14-Uzman_D!$L$18),N14-Uzman_D!$L$18)*2),0)/2=IF(N14-Uzman_D!$L$18&lt;0,-(N14-Uzman_D!$L$18),N14-Uzman_D!$L$18),(ROUND((IF(N14-Uzman_D!$L$18&lt;0,-(N14-Uzman_D!$L$18),N14-Uzman_D!$L$18)*2),0)/1*0.1),0)+IF(O14-Uzman_D!$M$18&lt;0,-(O14-Uzman_D!$M$18),O14-Uzman_D!$M$18)*1)</f>
        <v>-0.60000000000000009</v>
      </c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70"/>
      <c r="AB14" s="70"/>
      <c r="AC14" s="71">
        <f>1-(SUM(IF(Q14-Uzman_D!$B$19&lt;0,-(Q14-Uzman_D!$B$19),Q14-Uzman_D!$B$19)*0.1+IF(R14-Uzman_D!$C$19&lt;0,-(R14-Uzman_D!$C$19),R14-Uzman_D!$C$19)*0.1+IF(S14-Uzman_D!$D$19&lt;0,-(S14-Uzman_D!$D$19),S14-Uzman_D!$D$19)*0.1+IF(T14-Uzman_D!$E$19&lt;0,-(T14-Uzman_D!$E$19),T14-Uzman_D!$E$19)*0.1+IF(U14-Uzman_D!$F$19&lt;0,-(U14-Uzman_D!$F$19),U14-Uzman_D!$F$19)*0.1+IF(V14-Uzman_D!$G$19&lt;0,-(V14-Uzman_D!$G$19),V14-Uzman_D!$G$19)*0.1+IF(W14-Uzman_D!$H$19&lt;0,-(W14-Uzman_D!$H$19),W14-Uzman_D!$H$19)*0.1+IF(X14-Uzman_D!$I$19&lt;0,-(X14-Uzman_D!$I$19),X14-Uzman_D!$I$19)*0.1+IF(Y14-Uzman_D!$J$19&lt;0,-(Y14-Uzman_D!$J$19),Y14-Uzman_D!$J$19)*0.1)+IF(ROUND((IF(AA14-Uzman_D!$L$19&lt;0,-(AA14-Uzman_D!$L$19),AA14-Uzman_D!$L$19)*2),0)/2=IF(AA14-Uzman_D!$L$19&lt;0,-(AA14-Uzman_D!$L$19),AA14-Uzman_D!$L$19),(ROUND((IF(AA14-Uzman_D!$L$19&lt;0,-(AA14-Uzman_D!$L$19),AA14-Uzman_D!$L$19)*2),0)/1*0.1),0)+IF(AB14-Uzman_D!$M$19&lt;0,-(AB14-Uzman_D!$M$19),AB14-Uzman_D!$M$19)*1)</f>
        <v>-0.20000000000000018</v>
      </c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70"/>
      <c r="AO14" s="70"/>
      <c r="AP14" s="71">
        <f>1-(SUM(IF(AD14-Uzman_D!$B$20&lt;0,-(AD14-Uzman_D!$B$20),AD14-Uzman_D!$B$20)*0.1+IF(AE14-Uzman_D!$C$20&lt;0,-(AE14-Uzman_D!$C$20),AE14-Uzman_D!$C$20)*0.1+IF(AF14-Uzman_D!$D$20&lt;0,-(AF14-Uzman_D!$D$20),AF14-Uzman_D!$D$20)*0.1+IF(AG14-Uzman_D!$E$20&lt;0,-(AG14-Uzman_D!$E$20),AG14-Uzman_D!$E$20)*0.1+IF(AH14-Uzman_D!$F$20&lt;0,-(AH14-Uzman_D!$F$20),AH14-Uzman_D!$F$20)*0.1+IF(AI14-Uzman_D!$G$20&lt;0,-(AI14-Uzman_D!$G$20),AI14-Uzman_D!$G$20)*0.1+IF(AJ14-Uzman_D!$H$20&lt;0,-(AJ14-Uzman_D!$H$20),AJ14-Uzman_D!$H$20)*0.1+IF(AK14-Uzman_D!$I$20&lt;0,-(AK14-Uzman_D!$I$20),AK14-Uzman_D!$I$20)*0.1+IF(AL14-Uzman_D!$J$20&lt;0,-(AL14-Uzman_D!$J$20),AL14-Uzman_D!$J$20)*0.1)+IF(ROUND((IF(AN14-Uzman_D!$L$20&lt;0,-(AN14-Uzman_D!$L$20),AN14-Uzman_D!$L$20)*2),0)/2=IF(AN14-Uzman_D!$L$20&lt;0,-(AN14-Uzman_D!$L$20),AN14-Uzman_D!$L$20),(ROUND((IF(AN14-Uzman_D!$L$20&lt;0,-(AN14-Uzman_D!$L$20),AN14-Uzman_D!$L$20)*2),0)/1*0.1),0)+IF(AO14-Uzman_D!$M$20&lt;0,-(AO14-Uzman_D!$M$20),AO14-Uzman_D!$M$20)*1)</f>
        <v>-0.40000000000000013</v>
      </c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70"/>
      <c r="BB14" s="70"/>
      <c r="BC14" s="71">
        <f>1-(SUM(IF(AQ14-Uzman_D!$B$21&lt;0,-(AQ14-Uzman_D!$B$21),AQ14-Uzman_D!$B$21)*0.1+IF(AR14-Uzman_D!$C$21&lt;0,-(AR14-Uzman_D!$C$21),AR14-Uzman_D!$C$21)*0.1+IF(AS14-Uzman_D!$D$21&lt;0,-(AS14-Uzman_D!$D$21),AS14-Uzman_D!$D$21)*0.1+IF(AT14-Uzman_D!$E$21&lt;0,-(AT14-Uzman_D!$E$21),AT14-Uzman_D!$E$21)*0.1+IF(AU14-Uzman_D!$F$21&lt;0,-(AU14-Uzman_D!$F$21),AU14-Uzman_D!$F$21)*0.1+IF(AV14-Uzman_D!$G$21&lt;0,-(AV14-Uzman_D!$G$21),AV14-Uzman_D!$G$21)*0.1+IF(AW14-Uzman_D!$H$21&lt;0,-(AW14-Uzman_D!$H$21),AW14-Uzman_D!$H$21)*0.1+IF(AX14-Uzman_D!$I$21&lt;0,-(AX14-Uzman_D!$I$21),AX14-Uzman_D!$I$21)*0.1+IF(AY14-Uzman_D!$J$21&lt;0,-(AY14-Uzman_D!$J$21),AY14-Uzman_D!$J$21)*0.1)+IF(ROUND((IF(BA14-Uzman_D!$L$21&lt;0,-(BA14-Uzman_D!$L$21),BA14-Uzman_D!$L$21)*2),0)/2=IF(BA14-Uzman_D!$L$21&lt;0,-(BA14-Uzman_D!$L$21),BA14-Uzman_D!$L$21),(ROUND((IF(BA14-Uzman_D!$L$21&lt;0,-(BA14-Uzman_D!$L$21),BA14-Uzman_D!$L$21)*2),0)/1*0.1),0)+IF(BB14-Uzman_D!$M$21&lt;0,-(BB14-Uzman_D!$M$21),BB14-Uzman_D!$M$21)*1)</f>
        <v>-0.10000000000000009</v>
      </c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70"/>
      <c r="BO14" s="70"/>
      <c r="BP14" s="71">
        <f>1-(SUM(IF(BD14-Uzman_D!$B$22&lt;0,-(BD14-Uzman_D!$B$22),BD14-Uzman_D!$B$22)*0.1+IF(BE14-Uzman_D!$C$22&lt;0,-(BE14-Uzman_D!$C$22),BE14-Uzman_D!$C$22)*0.1+IF(BF14-Uzman_D!$D$22&lt;0,-(BF14-Uzman_D!$D$22),BF14-Uzman_D!$D$22)*0.1+IF(BG14-Uzman_D!$E$22&lt;0,-(BG14-Uzman_D!$E$22),BG14-Uzman_D!$E$22)*0.1+IF(BH14-Uzman_D!$F$22&lt;0,-(BH14-Uzman_D!$F$22),BH14-Uzman_D!$F$22)*0.1+IF(BI14-Uzman_D!$G$22&lt;0,-(BI14-Uzman_D!$G$22),BI14-Uzman_D!$G$22)*0.1+IF(BJ14-Uzman_D!$H$22&lt;0,-(BJ14-Uzman_D!$H$22),BJ14-Uzman_D!$H$22)*0.1+IF(BK14-Uzman_D!$I$22&lt;0,-(BK14-Uzman_D!$I$22),BK14-Uzman_D!$I$22)*0.1+IF(BL14-Uzman_D!$J$22&lt;0,-(BL14-Uzman_D!$J$22),BL14-Uzman_D!$J$22)*0.1)+IF(ROUND((IF(BN14-Uzman_D!$L$22&lt;0,-(BN14-Uzman_D!$L$22),BN14-Uzman_D!$L$22)*2),0)/2=IF(BN14-Uzman_D!$L$22&lt;0,-(BN14-Uzman_D!$L$22),BN14-Uzman_D!$L$22),(ROUND((IF(BN14-Uzman_D!$L$22&lt;0,-(BN14-Uzman_D!$L$22),BN14-Uzman_D!$L$22)*2),0)/1*0.1),0)+IF(BO14-Uzman_D!$M$22&lt;0,-(BO14-Uzman_D!$M$22),BO14-Uzman_D!$M$22)*1)</f>
        <v>-0.10000000000000009</v>
      </c>
      <c r="BQ14" s="72">
        <f t="shared" si="0"/>
        <v>-0.28000000000000014</v>
      </c>
    </row>
    <row r="15" spans="1:69" ht="15" customHeight="1" x14ac:dyDescent="0.45">
      <c r="A15" s="54">
        <v>12</v>
      </c>
      <c r="B15" s="29" t="str">
        <f>Hakemler!B15</f>
        <v>YILMAZER</v>
      </c>
      <c r="C15" s="29" t="str">
        <f>Hakemler!C15</f>
        <v>ZEHRA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70"/>
      <c r="O15" s="70"/>
      <c r="P15" s="71">
        <f>1-(SUM(IF(D15-Uzman_D!$B$18&lt;0,-(D15-Uzman_D!$B$18),D15-Uzman_D!$B$18)*0.1+IF(E15-Uzman_D!$C$18&lt;0,-(E15-Uzman_D!$C$18),E15-Uzman_D!$C$18)*0.1+IF(F15-Uzman_D!$D$18&lt;0,-(F15-Uzman_D!$D$18),F15-Uzman_D!$D$18)*0.1+IF(G15-Uzman_D!$E$18&lt;0,-(G15-Uzman_D!$E$18),G15-Uzman_D!$E$18)*0.1+IF(H15-Uzman_D!$F$18&lt;0,-(H15-Uzman_D!$F$18),H15-Uzman_D!$F$18)*0.1+IF(I15-Uzman_D!$G$18&lt;0,-(I15-Uzman_D!$G$18),I15-Uzman_D!$G$18)*0.1+IF(J15-Uzman_D!$H$18&lt;0,-(J15-Uzman_D!$H$18),J15-Uzman_D!$H$18)*0.1+IF(K15-Uzman_D!$I$18&lt;0,-(K15-Uzman_D!$I$18),K15-Uzman_D!$I$18)*0.1+IF(L15-Uzman_D!$J$18&lt;0,-(L15-Uzman_D!$J$18),L15-Uzman_D!$J$18)*0.1)+IF(ROUND((IF(N15-Uzman_D!$L$18&lt;0,-(N15-Uzman_D!$L$18),N15-Uzman_D!$L$18)*2),0)/2=IF(N15-Uzman_D!$L$18&lt;0,-(N15-Uzman_D!$L$18),N15-Uzman_D!$L$18),(ROUND((IF(N15-Uzman_D!$L$18&lt;0,-(N15-Uzman_D!$L$18),N15-Uzman_D!$L$18)*2),0)/1*0.1),0)+IF(O15-Uzman_D!$M$18&lt;0,-(O15-Uzman_D!$M$18),O15-Uzman_D!$M$18)*1)</f>
        <v>-0.60000000000000009</v>
      </c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70"/>
      <c r="AB15" s="70"/>
      <c r="AC15" s="71">
        <f>1-(SUM(IF(Q15-Uzman_D!$B$19&lt;0,-(Q15-Uzman_D!$B$19),Q15-Uzman_D!$B$19)*0.1+IF(R15-Uzman_D!$C$19&lt;0,-(R15-Uzman_D!$C$19),R15-Uzman_D!$C$19)*0.1+IF(S15-Uzman_D!$D$19&lt;0,-(S15-Uzman_D!$D$19),S15-Uzman_D!$D$19)*0.1+IF(T15-Uzman_D!$E$19&lt;0,-(T15-Uzman_D!$E$19),T15-Uzman_D!$E$19)*0.1+IF(U15-Uzman_D!$F$19&lt;0,-(U15-Uzman_D!$F$19),U15-Uzman_D!$F$19)*0.1+IF(V15-Uzman_D!$G$19&lt;0,-(V15-Uzman_D!$G$19),V15-Uzman_D!$G$19)*0.1+IF(W15-Uzman_D!$H$19&lt;0,-(W15-Uzman_D!$H$19),W15-Uzman_D!$H$19)*0.1+IF(X15-Uzman_D!$I$19&lt;0,-(X15-Uzman_D!$I$19),X15-Uzman_D!$I$19)*0.1+IF(Y15-Uzman_D!$J$19&lt;0,-(Y15-Uzman_D!$J$19),Y15-Uzman_D!$J$19)*0.1)+IF(ROUND((IF(AA15-Uzman_D!$L$19&lt;0,-(AA15-Uzman_D!$L$19),AA15-Uzman_D!$L$19)*2),0)/2=IF(AA15-Uzman_D!$L$19&lt;0,-(AA15-Uzman_D!$L$19),AA15-Uzman_D!$L$19),(ROUND((IF(AA15-Uzman_D!$L$19&lt;0,-(AA15-Uzman_D!$L$19),AA15-Uzman_D!$L$19)*2),0)/1*0.1),0)+IF(AB15-Uzman_D!$M$19&lt;0,-(AB15-Uzman_D!$M$19),AB15-Uzman_D!$M$19)*1)</f>
        <v>-0.20000000000000018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70"/>
      <c r="AO15" s="70"/>
      <c r="AP15" s="71">
        <f>1-(SUM(IF(AD15-Uzman_D!$B$20&lt;0,-(AD15-Uzman_D!$B$20),AD15-Uzman_D!$B$20)*0.1+IF(AE15-Uzman_D!$C$20&lt;0,-(AE15-Uzman_D!$C$20),AE15-Uzman_D!$C$20)*0.1+IF(AF15-Uzman_D!$D$20&lt;0,-(AF15-Uzman_D!$D$20),AF15-Uzman_D!$D$20)*0.1+IF(AG15-Uzman_D!$E$20&lt;0,-(AG15-Uzman_D!$E$20),AG15-Uzman_D!$E$20)*0.1+IF(AH15-Uzman_D!$F$20&lt;0,-(AH15-Uzman_D!$F$20),AH15-Uzman_D!$F$20)*0.1+IF(AI15-Uzman_D!$G$20&lt;0,-(AI15-Uzman_D!$G$20),AI15-Uzman_D!$G$20)*0.1+IF(AJ15-Uzman_D!$H$20&lt;0,-(AJ15-Uzman_D!$H$20),AJ15-Uzman_D!$H$20)*0.1+IF(AK15-Uzman_D!$I$20&lt;0,-(AK15-Uzman_D!$I$20),AK15-Uzman_D!$I$20)*0.1+IF(AL15-Uzman_D!$J$20&lt;0,-(AL15-Uzman_D!$J$20),AL15-Uzman_D!$J$20)*0.1)+IF(ROUND((IF(AN15-Uzman_D!$L$20&lt;0,-(AN15-Uzman_D!$L$20),AN15-Uzman_D!$L$20)*2),0)/2=IF(AN15-Uzman_D!$L$20&lt;0,-(AN15-Uzman_D!$L$20),AN15-Uzman_D!$L$20),(ROUND((IF(AN15-Uzman_D!$L$20&lt;0,-(AN15-Uzman_D!$L$20),AN15-Uzman_D!$L$20)*2),0)/1*0.1),0)+IF(AO15-Uzman_D!$M$20&lt;0,-(AO15-Uzman_D!$M$20),AO15-Uzman_D!$M$20)*1)</f>
        <v>-0.40000000000000013</v>
      </c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70"/>
      <c r="BB15" s="70"/>
      <c r="BC15" s="71">
        <f>1-(SUM(IF(AQ15-Uzman_D!$B$21&lt;0,-(AQ15-Uzman_D!$B$21),AQ15-Uzman_D!$B$21)*0.1+IF(AR15-Uzman_D!$C$21&lt;0,-(AR15-Uzman_D!$C$21),AR15-Uzman_D!$C$21)*0.1+IF(AS15-Uzman_D!$D$21&lt;0,-(AS15-Uzman_D!$D$21),AS15-Uzman_D!$D$21)*0.1+IF(AT15-Uzman_D!$E$21&lt;0,-(AT15-Uzman_D!$E$21),AT15-Uzman_D!$E$21)*0.1+IF(AU15-Uzman_D!$F$21&lt;0,-(AU15-Uzman_D!$F$21),AU15-Uzman_D!$F$21)*0.1+IF(AV15-Uzman_D!$G$21&lt;0,-(AV15-Uzman_D!$G$21),AV15-Uzman_D!$G$21)*0.1+IF(AW15-Uzman_D!$H$21&lt;0,-(AW15-Uzman_D!$H$21),AW15-Uzman_D!$H$21)*0.1+IF(AX15-Uzman_D!$I$21&lt;0,-(AX15-Uzman_D!$I$21),AX15-Uzman_D!$I$21)*0.1+IF(AY15-Uzman_D!$J$21&lt;0,-(AY15-Uzman_D!$J$21),AY15-Uzman_D!$J$21)*0.1)+IF(ROUND((IF(BA15-Uzman_D!$L$21&lt;0,-(BA15-Uzman_D!$L$21),BA15-Uzman_D!$L$21)*2),0)/2=IF(BA15-Uzman_D!$L$21&lt;0,-(BA15-Uzman_D!$L$21),BA15-Uzman_D!$L$21),(ROUND((IF(BA15-Uzman_D!$L$21&lt;0,-(BA15-Uzman_D!$L$21),BA15-Uzman_D!$L$21)*2),0)/1*0.1),0)+IF(BB15-Uzman_D!$M$21&lt;0,-(BB15-Uzman_D!$M$21),BB15-Uzman_D!$M$21)*1)</f>
        <v>-0.10000000000000009</v>
      </c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70"/>
      <c r="BO15" s="70"/>
      <c r="BP15" s="71">
        <f>1-(SUM(IF(BD15-Uzman_D!$B$22&lt;0,-(BD15-Uzman_D!$B$22),BD15-Uzman_D!$B$22)*0.1+IF(BE15-Uzman_D!$C$22&lt;0,-(BE15-Uzman_D!$C$22),BE15-Uzman_D!$C$22)*0.1+IF(BF15-Uzman_D!$D$22&lt;0,-(BF15-Uzman_D!$D$22),BF15-Uzman_D!$D$22)*0.1+IF(BG15-Uzman_D!$E$22&lt;0,-(BG15-Uzman_D!$E$22),BG15-Uzman_D!$E$22)*0.1+IF(BH15-Uzman_D!$F$22&lt;0,-(BH15-Uzman_D!$F$22),BH15-Uzman_D!$F$22)*0.1+IF(BI15-Uzman_D!$G$22&lt;0,-(BI15-Uzman_D!$G$22),BI15-Uzman_D!$G$22)*0.1+IF(BJ15-Uzman_D!$H$22&lt;0,-(BJ15-Uzman_D!$H$22),BJ15-Uzman_D!$H$22)*0.1+IF(BK15-Uzman_D!$I$22&lt;0,-(BK15-Uzman_D!$I$22),BK15-Uzman_D!$I$22)*0.1+IF(BL15-Uzman_D!$J$22&lt;0,-(BL15-Uzman_D!$J$22),BL15-Uzman_D!$J$22)*0.1)+IF(ROUND((IF(BN15-Uzman_D!$L$22&lt;0,-(BN15-Uzman_D!$L$22),BN15-Uzman_D!$L$22)*2),0)/2=IF(BN15-Uzman_D!$L$22&lt;0,-(BN15-Uzman_D!$L$22),BN15-Uzman_D!$L$22),(ROUND((IF(BN15-Uzman_D!$L$22&lt;0,-(BN15-Uzman_D!$L$22),BN15-Uzman_D!$L$22)*2),0)/1*0.1),0)+IF(BO15-Uzman_D!$M$22&lt;0,-(BO15-Uzman_D!$M$22),BO15-Uzman_D!$M$22)*1)</f>
        <v>-0.10000000000000009</v>
      </c>
      <c r="BQ15" s="72">
        <f t="shared" si="0"/>
        <v>-0.28000000000000014</v>
      </c>
    </row>
    <row r="16" spans="1:69" ht="15" customHeight="1" x14ac:dyDescent="0.45">
      <c r="A16" s="54">
        <v>13</v>
      </c>
      <c r="B16" s="29" t="str">
        <f>Hakemler!B16</f>
        <v>ŞAHİNTEKİN</v>
      </c>
      <c r="C16" s="29" t="str">
        <f>Hakemler!C16</f>
        <v>MUHAMMED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70"/>
      <c r="O16" s="70"/>
      <c r="P16" s="71">
        <f>1-(SUM(IF(D16-Uzman_D!$B$18&lt;0,-(D16-Uzman_D!$B$18),D16-Uzman_D!$B$18)*0.1+IF(E16-Uzman_D!$C$18&lt;0,-(E16-Uzman_D!$C$18),E16-Uzman_D!$C$18)*0.1+IF(F16-Uzman_D!$D$18&lt;0,-(F16-Uzman_D!$D$18),F16-Uzman_D!$D$18)*0.1+IF(G16-Uzman_D!$E$18&lt;0,-(G16-Uzman_D!$E$18),G16-Uzman_D!$E$18)*0.1+IF(H16-Uzman_D!$F$18&lt;0,-(H16-Uzman_D!$F$18),H16-Uzman_D!$F$18)*0.1+IF(I16-Uzman_D!$G$18&lt;0,-(I16-Uzman_D!$G$18),I16-Uzman_D!$G$18)*0.1+IF(J16-Uzman_D!$H$18&lt;0,-(J16-Uzman_D!$H$18),J16-Uzman_D!$H$18)*0.1+IF(K16-Uzman_D!$I$18&lt;0,-(K16-Uzman_D!$I$18),K16-Uzman_D!$I$18)*0.1+IF(L16-Uzman_D!$J$18&lt;0,-(L16-Uzman_D!$J$18),L16-Uzman_D!$J$18)*0.1)+IF(ROUND((IF(N16-Uzman_D!$L$18&lt;0,-(N16-Uzman_D!$L$18),N16-Uzman_D!$L$18)*2),0)/2=IF(N16-Uzman_D!$L$18&lt;0,-(N16-Uzman_D!$L$18),N16-Uzman_D!$L$18),(ROUND((IF(N16-Uzman_D!$L$18&lt;0,-(N16-Uzman_D!$L$18),N16-Uzman_D!$L$18)*2),0)/1*0.1),0)+IF(O16-Uzman_D!$M$18&lt;0,-(O16-Uzman_D!$M$18),O16-Uzman_D!$M$18)*1)</f>
        <v>-0.60000000000000009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70"/>
      <c r="AB16" s="70"/>
      <c r="AC16" s="71">
        <f>1-(SUM(IF(Q16-Uzman_D!$B$19&lt;0,-(Q16-Uzman_D!$B$19),Q16-Uzman_D!$B$19)*0.1+IF(R16-Uzman_D!$C$19&lt;0,-(R16-Uzman_D!$C$19),R16-Uzman_D!$C$19)*0.1+IF(S16-Uzman_D!$D$19&lt;0,-(S16-Uzman_D!$D$19),S16-Uzman_D!$D$19)*0.1+IF(T16-Uzman_D!$E$19&lt;0,-(T16-Uzman_D!$E$19),T16-Uzman_D!$E$19)*0.1+IF(U16-Uzman_D!$F$19&lt;0,-(U16-Uzman_D!$F$19),U16-Uzman_D!$F$19)*0.1+IF(V16-Uzman_D!$G$19&lt;0,-(V16-Uzman_D!$G$19),V16-Uzman_D!$G$19)*0.1+IF(W16-Uzman_D!$H$19&lt;0,-(W16-Uzman_D!$H$19),W16-Uzman_D!$H$19)*0.1+IF(X16-Uzman_D!$I$19&lt;0,-(X16-Uzman_D!$I$19),X16-Uzman_D!$I$19)*0.1+IF(Y16-Uzman_D!$J$19&lt;0,-(Y16-Uzman_D!$J$19),Y16-Uzman_D!$J$19)*0.1)+IF(ROUND((IF(AA16-Uzman_D!$L$19&lt;0,-(AA16-Uzman_D!$L$19),AA16-Uzman_D!$L$19)*2),0)/2=IF(AA16-Uzman_D!$L$19&lt;0,-(AA16-Uzman_D!$L$19),AA16-Uzman_D!$L$19),(ROUND((IF(AA16-Uzman_D!$L$19&lt;0,-(AA16-Uzman_D!$L$19),AA16-Uzman_D!$L$19)*2),0)/1*0.1),0)+IF(AB16-Uzman_D!$M$19&lt;0,-(AB16-Uzman_D!$M$19),AB16-Uzman_D!$M$19)*1)</f>
        <v>-0.20000000000000018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70"/>
      <c r="AO16" s="70"/>
      <c r="AP16" s="71">
        <f>1-(SUM(IF(AD16-Uzman_D!$B$20&lt;0,-(AD16-Uzman_D!$B$20),AD16-Uzman_D!$B$20)*0.1+IF(AE16-Uzman_D!$C$20&lt;0,-(AE16-Uzman_D!$C$20),AE16-Uzman_D!$C$20)*0.1+IF(AF16-Uzman_D!$D$20&lt;0,-(AF16-Uzman_D!$D$20),AF16-Uzman_D!$D$20)*0.1+IF(AG16-Uzman_D!$E$20&lt;0,-(AG16-Uzman_D!$E$20),AG16-Uzman_D!$E$20)*0.1+IF(AH16-Uzman_D!$F$20&lt;0,-(AH16-Uzman_D!$F$20),AH16-Uzman_D!$F$20)*0.1+IF(AI16-Uzman_D!$G$20&lt;0,-(AI16-Uzman_D!$G$20),AI16-Uzman_D!$G$20)*0.1+IF(AJ16-Uzman_D!$H$20&lt;0,-(AJ16-Uzman_D!$H$20),AJ16-Uzman_D!$H$20)*0.1+IF(AK16-Uzman_D!$I$20&lt;0,-(AK16-Uzman_D!$I$20),AK16-Uzman_D!$I$20)*0.1+IF(AL16-Uzman_D!$J$20&lt;0,-(AL16-Uzman_D!$J$20),AL16-Uzman_D!$J$20)*0.1)+IF(ROUND((IF(AN16-Uzman_D!$L$20&lt;0,-(AN16-Uzman_D!$L$20),AN16-Uzman_D!$L$20)*2),0)/2=IF(AN16-Uzman_D!$L$20&lt;0,-(AN16-Uzman_D!$L$20),AN16-Uzman_D!$L$20),(ROUND((IF(AN16-Uzman_D!$L$20&lt;0,-(AN16-Uzman_D!$L$20),AN16-Uzman_D!$L$20)*2),0)/1*0.1),0)+IF(AO16-Uzman_D!$M$20&lt;0,-(AO16-Uzman_D!$M$20),AO16-Uzman_D!$M$20)*1)</f>
        <v>-0.40000000000000013</v>
      </c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70"/>
      <c r="BB16" s="70"/>
      <c r="BC16" s="71">
        <f>1-(SUM(IF(AQ16-Uzman_D!$B$21&lt;0,-(AQ16-Uzman_D!$B$21),AQ16-Uzman_D!$B$21)*0.1+IF(AR16-Uzman_D!$C$21&lt;0,-(AR16-Uzman_D!$C$21),AR16-Uzman_D!$C$21)*0.1+IF(AS16-Uzman_D!$D$21&lt;0,-(AS16-Uzman_D!$D$21),AS16-Uzman_D!$D$21)*0.1+IF(AT16-Uzman_D!$E$21&lt;0,-(AT16-Uzman_D!$E$21),AT16-Uzman_D!$E$21)*0.1+IF(AU16-Uzman_D!$F$21&lt;0,-(AU16-Uzman_D!$F$21),AU16-Uzman_D!$F$21)*0.1+IF(AV16-Uzman_D!$G$21&lt;0,-(AV16-Uzman_D!$G$21),AV16-Uzman_D!$G$21)*0.1+IF(AW16-Uzman_D!$H$21&lt;0,-(AW16-Uzman_D!$H$21),AW16-Uzman_D!$H$21)*0.1+IF(AX16-Uzman_D!$I$21&lt;0,-(AX16-Uzman_D!$I$21),AX16-Uzman_D!$I$21)*0.1+IF(AY16-Uzman_D!$J$21&lt;0,-(AY16-Uzman_D!$J$21),AY16-Uzman_D!$J$21)*0.1)+IF(ROUND((IF(BA16-Uzman_D!$L$21&lt;0,-(BA16-Uzman_D!$L$21),BA16-Uzman_D!$L$21)*2),0)/2=IF(BA16-Uzman_D!$L$21&lt;0,-(BA16-Uzman_D!$L$21),BA16-Uzman_D!$L$21),(ROUND((IF(BA16-Uzman_D!$L$21&lt;0,-(BA16-Uzman_D!$L$21),BA16-Uzman_D!$L$21)*2),0)/1*0.1),0)+IF(BB16-Uzman_D!$M$21&lt;0,-(BB16-Uzman_D!$M$21),BB16-Uzman_D!$M$21)*1)</f>
        <v>-0.10000000000000009</v>
      </c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70"/>
      <c r="BO16" s="70"/>
      <c r="BP16" s="71">
        <f>1-(SUM(IF(BD16-Uzman_D!$B$22&lt;0,-(BD16-Uzman_D!$B$22),BD16-Uzman_D!$B$22)*0.1+IF(BE16-Uzman_D!$C$22&lt;0,-(BE16-Uzman_D!$C$22),BE16-Uzman_D!$C$22)*0.1+IF(BF16-Uzman_D!$D$22&lt;0,-(BF16-Uzman_D!$D$22),BF16-Uzman_D!$D$22)*0.1+IF(BG16-Uzman_D!$E$22&lt;0,-(BG16-Uzman_D!$E$22),BG16-Uzman_D!$E$22)*0.1+IF(BH16-Uzman_D!$F$22&lt;0,-(BH16-Uzman_D!$F$22),BH16-Uzman_D!$F$22)*0.1+IF(BI16-Uzman_D!$G$22&lt;0,-(BI16-Uzman_D!$G$22),BI16-Uzman_D!$G$22)*0.1+IF(BJ16-Uzman_D!$H$22&lt;0,-(BJ16-Uzman_D!$H$22),BJ16-Uzman_D!$H$22)*0.1+IF(BK16-Uzman_D!$I$22&lt;0,-(BK16-Uzman_D!$I$22),BK16-Uzman_D!$I$22)*0.1+IF(BL16-Uzman_D!$J$22&lt;0,-(BL16-Uzman_D!$J$22),BL16-Uzman_D!$J$22)*0.1)+IF(ROUND((IF(BN16-Uzman_D!$L$22&lt;0,-(BN16-Uzman_D!$L$22),BN16-Uzman_D!$L$22)*2),0)/2=IF(BN16-Uzman_D!$L$22&lt;0,-(BN16-Uzman_D!$L$22),BN16-Uzman_D!$L$22),(ROUND((IF(BN16-Uzman_D!$L$22&lt;0,-(BN16-Uzman_D!$L$22),BN16-Uzman_D!$L$22)*2),0)/1*0.1),0)+IF(BO16-Uzman_D!$M$22&lt;0,-(BO16-Uzman_D!$M$22),BO16-Uzman_D!$M$22)*1)</f>
        <v>-0.10000000000000009</v>
      </c>
      <c r="BQ16" s="72">
        <f t="shared" si="0"/>
        <v>-0.28000000000000014</v>
      </c>
    </row>
    <row r="17" spans="1:69" ht="15" customHeight="1" x14ac:dyDescent="0.45">
      <c r="A17" s="54">
        <v>14</v>
      </c>
      <c r="B17" s="29" t="str">
        <f>Hakemler!B17</f>
        <v>ERKUT</v>
      </c>
      <c r="C17" s="29" t="str">
        <f>Hakemler!C17</f>
        <v>OYA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70"/>
      <c r="O17" s="70"/>
      <c r="P17" s="71">
        <f>1-(SUM(IF(D17-Uzman_D!$B$18&lt;0,-(D17-Uzman_D!$B$18),D17-Uzman_D!$B$18)*0.1+IF(E17-Uzman_D!$C$18&lt;0,-(E17-Uzman_D!$C$18),E17-Uzman_D!$C$18)*0.1+IF(F17-Uzman_D!$D$18&lt;0,-(F17-Uzman_D!$D$18),F17-Uzman_D!$D$18)*0.1+IF(G17-Uzman_D!$E$18&lt;0,-(G17-Uzman_D!$E$18),G17-Uzman_D!$E$18)*0.1+IF(H17-Uzman_D!$F$18&lt;0,-(H17-Uzman_D!$F$18),H17-Uzman_D!$F$18)*0.1+IF(I17-Uzman_D!$G$18&lt;0,-(I17-Uzman_D!$G$18),I17-Uzman_D!$G$18)*0.1+IF(J17-Uzman_D!$H$18&lt;0,-(J17-Uzman_D!$H$18),J17-Uzman_D!$H$18)*0.1+IF(K17-Uzman_D!$I$18&lt;0,-(K17-Uzman_D!$I$18),K17-Uzman_D!$I$18)*0.1+IF(L17-Uzman_D!$J$18&lt;0,-(L17-Uzman_D!$J$18),L17-Uzman_D!$J$18)*0.1)+IF(ROUND((IF(N17-Uzman_D!$L$18&lt;0,-(N17-Uzman_D!$L$18),N17-Uzman_D!$L$18)*2),0)/2=IF(N17-Uzman_D!$L$18&lt;0,-(N17-Uzman_D!$L$18),N17-Uzman_D!$L$18),(ROUND((IF(N17-Uzman_D!$L$18&lt;0,-(N17-Uzman_D!$L$18),N17-Uzman_D!$L$18)*2),0)/1*0.1),0)+IF(O17-Uzman_D!$M$18&lt;0,-(O17-Uzman_D!$M$18),O17-Uzman_D!$M$18)*1)</f>
        <v>-0.60000000000000009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70"/>
      <c r="AB17" s="70"/>
      <c r="AC17" s="71">
        <f>1-(SUM(IF(Q17-Uzman_D!$B$19&lt;0,-(Q17-Uzman_D!$B$19),Q17-Uzman_D!$B$19)*0.1+IF(R17-Uzman_D!$C$19&lt;0,-(R17-Uzman_D!$C$19),R17-Uzman_D!$C$19)*0.1+IF(S17-Uzman_D!$D$19&lt;0,-(S17-Uzman_D!$D$19),S17-Uzman_D!$D$19)*0.1+IF(T17-Uzman_D!$E$19&lt;0,-(T17-Uzman_D!$E$19),T17-Uzman_D!$E$19)*0.1+IF(U17-Uzman_D!$F$19&lt;0,-(U17-Uzman_D!$F$19),U17-Uzman_D!$F$19)*0.1+IF(V17-Uzman_D!$G$19&lt;0,-(V17-Uzman_D!$G$19),V17-Uzman_D!$G$19)*0.1+IF(W17-Uzman_D!$H$19&lt;0,-(W17-Uzman_D!$H$19),W17-Uzman_D!$H$19)*0.1+IF(X17-Uzman_D!$I$19&lt;0,-(X17-Uzman_D!$I$19),X17-Uzman_D!$I$19)*0.1+IF(Y17-Uzman_D!$J$19&lt;0,-(Y17-Uzman_D!$J$19),Y17-Uzman_D!$J$19)*0.1)+IF(ROUND((IF(AA17-Uzman_D!$L$19&lt;0,-(AA17-Uzman_D!$L$19),AA17-Uzman_D!$L$19)*2),0)/2=IF(AA17-Uzman_D!$L$19&lt;0,-(AA17-Uzman_D!$L$19),AA17-Uzman_D!$L$19),(ROUND((IF(AA17-Uzman_D!$L$19&lt;0,-(AA17-Uzman_D!$L$19),AA17-Uzman_D!$L$19)*2),0)/1*0.1),0)+IF(AB17-Uzman_D!$M$19&lt;0,-(AB17-Uzman_D!$M$19),AB17-Uzman_D!$M$19)*1)</f>
        <v>-0.20000000000000018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70"/>
      <c r="AO17" s="70"/>
      <c r="AP17" s="71">
        <f>1-(SUM(IF(AD17-Uzman_D!$B$20&lt;0,-(AD17-Uzman_D!$B$20),AD17-Uzman_D!$B$20)*0.1+IF(AE17-Uzman_D!$C$20&lt;0,-(AE17-Uzman_D!$C$20),AE17-Uzman_D!$C$20)*0.1+IF(AF17-Uzman_D!$D$20&lt;0,-(AF17-Uzman_D!$D$20),AF17-Uzman_D!$D$20)*0.1+IF(AG17-Uzman_D!$E$20&lt;0,-(AG17-Uzman_D!$E$20),AG17-Uzman_D!$E$20)*0.1+IF(AH17-Uzman_D!$F$20&lt;0,-(AH17-Uzman_D!$F$20),AH17-Uzman_D!$F$20)*0.1+IF(AI17-Uzman_D!$G$20&lt;0,-(AI17-Uzman_D!$G$20),AI17-Uzman_D!$G$20)*0.1+IF(AJ17-Uzman_D!$H$20&lt;0,-(AJ17-Uzman_D!$H$20),AJ17-Uzman_D!$H$20)*0.1+IF(AK17-Uzman_D!$I$20&lt;0,-(AK17-Uzman_D!$I$20),AK17-Uzman_D!$I$20)*0.1+IF(AL17-Uzman_D!$J$20&lt;0,-(AL17-Uzman_D!$J$20),AL17-Uzman_D!$J$20)*0.1)+IF(ROUND((IF(AN17-Uzman_D!$L$20&lt;0,-(AN17-Uzman_D!$L$20),AN17-Uzman_D!$L$20)*2),0)/2=IF(AN17-Uzman_D!$L$20&lt;0,-(AN17-Uzman_D!$L$20),AN17-Uzman_D!$L$20),(ROUND((IF(AN17-Uzman_D!$L$20&lt;0,-(AN17-Uzman_D!$L$20),AN17-Uzman_D!$L$20)*2),0)/1*0.1),0)+IF(AO17-Uzman_D!$M$20&lt;0,-(AO17-Uzman_D!$M$20),AO17-Uzman_D!$M$20)*1)</f>
        <v>-0.40000000000000013</v>
      </c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70"/>
      <c r="BB17" s="70"/>
      <c r="BC17" s="71">
        <f>1-(SUM(IF(AQ17-Uzman_D!$B$21&lt;0,-(AQ17-Uzman_D!$B$21),AQ17-Uzman_D!$B$21)*0.1+IF(AR17-Uzman_D!$C$21&lt;0,-(AR17-Uzman_D!$C$21),AR17-Uzman_D!$C$21)*0.1+IF(AS17-Uzman_D!$D$21&lt;0,-(AS17-Uzman_D!$D$21),AS17-Uzman_D!$D$21)*0.1+IF(AT17-Uzman_D!$E$21&lt;0,-(AT17-Uzman_D!$E$21),AT17-Uzman_D!$E$21)*0.1+IF(AU17-Uzman_D!$F$21&lt;0,-(AU17-Uzman_D!$F$21),AU17-Uzman_D!$F$21)*0.1+IF(AV17-Uzman_D!$G$21&lt;0,-(AV17-Uzman_D!$G$21),AV17-Uzman_D!$G$21)*0.1+IF(AW17-Uzman_D!$H$21&lt;0,-(AW17-Uzman_D!$H$21),AW17-Uzman_D!$H$21)*0.1+IF(AX17-Uzman_D!$I$21&lt;0,-(AX17-Uzman_D!$I$21),AX17-Uzman_D!$I$21)*0.1+IF(AY17-Uzman_D!$J$21&lt;0,-(AY17-Uzman_D!$J$21),AY17-Uzman_D!$J$21)*0.1)+IF(ROUND((IF(BA17-Uzman_D!$L$21&lt;0,-(BA17-Uzman_D!$L$21),BA17-Uzman_D!$L$21)*2),0)/2=IF(BA17-Uzman_D!$L$21&lt;0,-(BA17-Uzman_D!$L$21),BA17-Uzman_D!$L$21),(ROUND((IF(BA17-Uzman_D!$L$21&lt;0,-(BA17-Uzman_D!$L$21),BA17-Uzman_D!$L$21)*2),0)/1*0.1),0)+IF(BB17-Uzman_D!$M$21&lt;0,-(BB17-Uzman_D!$M$21),BB17-Uzman_D!$M$21)*1)</f>
        <v>-0.10000000000000009</v>
      </c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70"/>
      <c r="BO17" s="70"/>
      <c r="BP17" s="71">
        <f>1-(SUM(IF(BD17-Uzman_D!$B$22&lt;0,-(BD17-Uzman_D!$B$22),BD17-Uzman_D!$B$22)*0.1+IF(BE17-Uzman_D!$C$22&lt;0,-(BE17-Uzman_D!$C$22),BE17-Uzman_D!$C$22)*0.1+IF(BF17-Uzman_D!$D$22&lt;0,-(BF17-Uzman_D!$D$22),BF17-Uzman_D!$D$22)*0.1+IF(BG17-Uzman_D!$E$22&lt;0,-(BG17-Uzman_D!$E$22),BG17-Uzman_D!$E$22)*0.1+IF(BH17-Uzman_D!$F$22&lt;0,-(BH17-Uzman_D!$F$22),BH17-Uzman_D!$F$22)*0.1+IF(BI17-Uzman_D!$G$22&lt;0,-(BI17-Uzman_D!$G$22),BI17-Uzman_D!$G$22)*0.1+IF(BJ17-Uzman_D!$H$22&lt;0,-(BJ17-Uzman_D!$H$22),BJ17-Uzman_D!$H$22)*0.1+IF(BK17-Uzman_D!$I$22&lt;0,-(BK17-Uzman_D!$I$22),BK17-Uzman_D!$I$22)*0.1+IF(BL17-Uzman_D!$J$22&lt;0,-(BL17-Uzman_D!$J$22),BL17-Uzman_D!$J$22)*0.1)+IF(ROUND((IF(BN17-Uzman_D!$L$22&lt;0,-(BN17-Uzman_D!$L$22),BN17-Uzman_D!$L$22)*2),0)/2=IF(BN17-Uzman_D!$L$22&lt;0,-(BN17-Uzman_D!$L$22),BN17-Uzman_D!$L$22),(ROUND((IF(BN17-Uzman_D!$L$22&lt;0,-(BN17-Uzman_D!$L$22),BN17-Uzman_D!$L$22)*2),0)/1*0.1),0)+IF(BO17-Uzman_D!$M$22&lt;0,-(BO17-Uzman_D!$M$22),BO17-Uzman_D!$M$22)*1)</f>
        <v>-0.10000000000000009</v>
      </c>
      <c r="BQ17" s="72">
        <f t="shared" si="0"/>
        <v>-0.28000000000000014</v>
      </c>
    </row>
    <row r="18" spans="1:69" ht="15" customHeight="1" x14ac:dyDescent="0.45">
      <c r="A18" s="54">
        <v>15</v>
      </c>
      <c r="B18" s="29" t="str">
        <f>Hakemler!B18</f>
        <v>GÜMÜŞLÜ</v>
      </c>
      <c r="C18" s="29" t="str">
        <f>Hakemler!C18</f>
        <v>AYSEL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70"/>
      <c r="O18" s="70"/>
      <c r="P18" s="71">
        <f>1-(SUM(IF(D18-Uzman_D!$B$18&lt;0,-(D18-Uzman_D!$B$18),D18-Uzman_D!$B$18)*0.1+IF(E18-Uzman_D!$C$18&lt;0,-(E18-Uzman_D!$C$18),E18-Uzman_D!$C$18)*0.1+IF(F18-Uzman_D!$D$18&lt;0,-(F18-Uzman_D!$D$18),F18-Uzman_D!$D$18)*0.1+IF(G18-Uzman_D!$E$18&lt;0,-(G18-Uzman_D!$E$18),G18-Uzman_D!$E$18)*0.1+IF(H18-Uzman_D!$F$18&lt;0,-(H18-Uzman_D!$F$18),H18-Uzman_D!$F$18)*0.1+IF(I18-Uzman_D!$G$18&lt;0,-(I18-Uzman_D!$G$18),I18-Uzman_D!$G$18)*0.1+IF(J18-Uzman_D!$H$18&lt;0,-(J18-Uzman_D!$H$18),J18-Uzman_D!$H$18)*0.1+IF(K18-Uzman_D!$I$18&lt;0,-(K18-Uzman_D!$I$18),K18-Uzman_D!$I$18)*0.1+IF(L18-Uzman_D!$J$18&lt;0,-(L18-Uzman_D!$J$18),L18-Uzman_D!$J$18)*0.1)+IF(ROUND((IF(N18-Uzman_D!$L$18&lt;0,-(N18-Uzman_D!$L$18),N18-Uzman_D!$L$18)*2),0)/2=IF(N18-Uzman_D!$L$18&lt;0,-(N18-Uzman_D!$L$18),N18-Uzman_D!$L$18),(ROUND((IF(N18-Uzman_D!$L$18&lt;0,-(N18-Uzman_D!$L$18),N18-Uzman_D!$L$18)*2),0)/1*0.1),0)+IF(O18-Uzman_D!$M$18&lt;0,-(O18-Uzman_D!$M$18),O18-Uzman_D!$M$18)*1)</f>
        <v>-0.60000000000000009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70"/>
      <c r="AB18" s="70"/>
      <c r="AC18" s="71">
        <f>1-(SUM(IF(Q18-Uzman_D!$B$19&lt;0,-(Q18-Uzman_D!$B$19),Q18-Uzman_D!$B$19)*0.1+IF(R18-Uzman_D!$C$19&lt;0,-(R18-Uzman_D!$C$19),R18-Uzman_D!$C$19)*0.1+IF(S18-Uzman_D!$D$19&lt;0,-(S18-Uzman_D!$D$19),S18-Uzman_D!$D$19)*0.1+IF(T18-Uzman_D!$E$19&lt;0,-(T18-Uzman_D!$E$19),T18-Uzman_D!$E$19)*0.1+IF(U18-Uzman_D!$F$19&lt;0,-(U18-Uzman_D!$F$19),U18-Uzman_D!$F$19)*0.1+IF(V18-Uzman_D!$G$19&lt;0,-(V18-Uzman_D!$G$19),V18-Uzman_D!$G$19)*0.1+IF(W18-Uzman_D!$H$19&lt;0,-(W18-Uzman_D!$H$19),W18-Uzman_D!$H$19)*0.1+IF(X18-Uzman_D!$I$19&lt;0,-(X18-Uzman_D!$I$19),X18-Uzman_D!$I$19)*0.1+IF(Y18-Uzman_D!$J$19&lt;0,-(Y18-Uzman_D!$J$19),Y18-Uzman_D!$J$19)*0.1)+IF(ROUND((IF(AA18-Uzman_D!$L$19&lt;0,-(AA18-Uzman_D!$L$19),AA18-Uzman_D!$L$19)*2),0)/2=IF(AA18-Uzman_D!$L$19&lt;0,-(AA18-Uzman_D!$L$19),AA18-Uzman_D!$L$19),(ROUND((IF(AA18-Uzman_D!$L$19&lt;0,-(AA18-Uzman_D!$L$19),AA18-Uzman_D!$L$19)*2),0)/1*0.1),0)+IF(AB18-Uzman_D!$M$19&lt;0,-(AB18-Uzman_D!$M$19),AB18-Uzman_D!$M$19)*1)</f>
        <v>-0.20000000000000018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70"/>
      <c r="AO18" s="70"/>
      <c r="AP18" s="71">
        <f>1-(SUM(IF(AD18-Uzman_D!$B$20&lt;0,-(AD18-Uzman_D!$B$20),AD18-Uzman_D!$B$20)*0.1+IF(AE18-Uzman_D!$C$20&lt;0,-(AE18-Uzman_D!$C$20),AE18-Uzman_D!$C$20)*0.1+IF(AF18-Uzman_D!$D$20&lt;0,-(AF18-Uzman_D!$D$20),AF18-Uzman_D!$D$20)*0.1+IF(AG18-Uzman_D!$E$20&lt;0,-(AG18-Uzman_D!$E$20),AG18-Uzman_D!$E$20)*0.1+IF(AH18-Uzman_D!$F$20&lt;0,-(AH18-Uzman_D!$F$20),AH18-Uzman_D!$F$20)*0.1+IF(AI18-Uzman_D!$G$20&lt;0,-(AI18-Uzman_D!$G$20),AI18-Uzman_D!$G$20)*0.1+IF(AJ18-Uzman_D!$H$20&lt;0,-(AJ18-Uzman_D!$H$20),AJ18-Uzman_D!$H$20)*0.1+IF(AK18-Uzman_D!$I$20&lt;0,-(AK18-Uzman_D!$I$20),AK18-Uzman_D!$I$20)*0.1+IF(AL18-Uzman_D!$J$20&lt;0,-(AL18-Uzman_D!$J$20),AL18-Uzman_D!$J$20)*0.1)+IF(ROUND((IF(AN18-Uzman_D!$L$20&lt;0,-(AN18-Uzman_D!$L$20),AN18-Uzman_D!$L$20)*2),0)/2=IF(AN18-Uzman_D!$L$20&lt;0,-(AN18-Uzman_D!$L$20),AN18-Uzman_D!$L$20),(ROUND((IF(AN18-Uzman_D!$L$20&lt;0,-(AN18-Uzman_D!$L$20),AN18-Uzman_D!$L$20)*2),0)/1*0.1),0)+IF(AO18-Uzman_D!$M$20&lt;0,-(AO18-Uzman_D!$M$20),AO18-Uzman_D!$M$20)*1)</f>
        <v>-0.40000000000000013</v>
      </c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70"/>
      <c r="BB18" s="70"/>
      <c r="BC18" s="71">
        <f>1-(SUM(IF(AQ18-Uzman_D!$B$21&lt;0,-(AQ18-Uzman_D!$B$21),AQ18-Uzman_D!$B$21)*0.1+IF(AR18-Uzman_D!$C$21&lt;0,-(AR18-Uzman_D!$C$21),AR18-Uzman_D!$C$21)*0.1+IF(AS18-Uzman_D!$D$21&lt;0,-(AS18-Uzman_D!$D$21),AS18-Uzman_D!$D$21)*0.1+IF(AT18-Uzman_D!$E$21&lt;0,-(AT18-Uzman_D!$E$21),AT18-Uzman_D!$E$21)*0.1+IF(AU18-Uzman_D!$F$21&lt;0,-(AU18-Uzman_D!$F$21),AU18-Uzman_D!$F$21)*0.1+IF(AV18-Uzman_D!$G$21&lt;0,-(AV18-Uzman_D!$G$21),AV18-Uzman_D!$G$21)*0.1+IF(AW18-Uzman_D!$H$21&lt;0,-(AW18-Uzman_D!$H$21),AW18-Uzman_D!$H$21)*0.1+IF(AX18-Uzman_D!$I$21&lt;0,-(AX18-Uzman_D!$I$21),AX18-Uzman_D!$I$21)*0.1+IF(AY18-Uzman_D!$J$21&lt;0,-(AY18-Uzman_D!$J$21),AY18-Uzman_D!$J$21)*0.1)+IF(ROUND((IF(BA18-Uzman_D!$L$21&lt;0,-(BA18-Uzman_D!$L$21),BA18-Uzman_D!$L$21)*2),0)/2=IF(BA18-Uzman_D!$L$21&lt;0,-(BA18-Uzman_D!$L$21),BA18-Uzman_D!$L$21),(ROUND((IF(BA18-Uzman_D!$L$21&lt;0,-(BA18-Uzman_D!$L$21),BA18-Uzman_D!$L$21)*2),0)/1*0.1),0)+IF(BB18-Uzman_D!$M$21&lt;0,-(BB18-Uzman_D!$M$21),BB18-Uzman_D!$M$21)*1)</f>
        <v>-0.10000000000000009</v>
      </c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70"/>
      <c r="BO18" s="70"/>
      <c r="BP18" s="71">
        <f>1-(SUM(IF(BD18-Uzman_D!$B$22&lt;0,-(BD18-Uzman_D!$B$22),BD18-Uzman_D!$B$22)*0.1+IF(BE18-Uzman_D!$C$22&lt;0,-(BE18-Uzman_D!$C$22),BE18-Uzman_D!$C$22)*0.1+IF(BF18-Uzman_D!$D$22&lt;0,-(BF18-Uzman_D!$D$22),BF18-Uzman_D!$D$22)*0.1+IF(BG18-Uzman_D!$E$22&lt;0,-(BG18-Uzman_D!$E$22),BG18-Uzman_D!$E$22)*0.1+IF(BH18-Uzman_D!$F$22&lt;0,-(BH18-Uzman_D!$F$22),BH18-Uzman_D!$F$22)*0.1+IF(BI18-Uzman_D!$G$22&lt;0,-(BI18-Uzman_D!$G$22),BI18-Uzman_D!$G$22)*0.1+IF(BJ18-Uzman_D!$H$22&lt;0,-(BJ18-Uzman_D!$H$22),BJ18-Uzman_D!$H$22)*0.1+IF(BK18-Uzman_D!$I$22&lt;0,-(BK18-Uzman_D!$I$22),BK18-Uzman_D!$I$22)*0.1+IF(BL18-Uzman_D!$J$22&lt;0,-(BL18-Uzman_D!$J$22),BL18-Uzman_D!$J$22)*0.1)+IF(ROUND((IF(BN18-Uzman_D!$L$22&lt;0,-(BN18-Uzman_D!$L$22),BN18-Uzman_D!$L$22)*2),0)/2=IF(BN18-Uzman_D!$L$22&lt;0,-(BN18-Uzman_D!$L$22),BN18-Uzman_D!$L$22),(ROUND((IF(BN18-Uzman_D!$L$22&lt;0,-(BN18-Uzman_D!$L$22),BN18-Uzman_D!$L$22)*2),0)/1*0.1),0)+IF(BO18-Uzman_D!$M$22&lt;0,-(BO18-Uzman_D!$M$22),BO18-Uzman_D!$M$22)*1)</f>
        <v>-0.10000000000000009</v>
      </c>
      <c r="BQ18" s="72">
        <f t="shared" si="0"/>
        <v>-0.28000000000000014</v>
      </c>
    </row>
    <row r="19" spans="1:69" ht="15" customHeight="1" x14ac:dyDescent="0.45">
      <c r="A19" s="54">
        <v>16</v>
      </c>
      <c r="B19" s="29" t="str">
        <f>Hakemler!B19</f>
        <v>CURA COŞKUN</v>
      </c>
      <c r="C19" s="29" t="str">
        <f>Hakemler!C19</f>
        <v>MELİKE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70"/>
      <c r="O19" s="70"/>
      <c r="P19" s="71">
        <f>1-(SUM(IF(D19-Uzman_D!$B$18&lt;0,-(D19-Uzman_D!$B$18),D19-Uzman_D!$B$18)*0.1+IF(E19-Uzman_D!$C$18&lt;0,-(E19-Uzman_D!$C$18),E19-Uzman_D!$C$18)*0.1+IF(F19-Uzman_D!$D$18&lt;0,-(F19-Uzman_D!$D$18),F19-Uzman_D!$D$18)*0.1+IF(G19-Uzman_D!$E$18&lt;0,-(G19-Uzman_D!$E$18),G19-Uzman_D!$E$18)*0.1+IF(H19-Uzman_D!$F$18&lt;0,-(H19-Uzman_D!$F$18),H19-Uzman_D!$F$18)*0.1+IF(I19-Uzman_D!$G$18&lt;0,-(I19-Uzman_D!$G$18),I19-Uzman_D!$G$18)*0.1+IF(J19-Uzman_D!$H$18&lt;0,-(J19-Uzman_D!$H$18),J19-Uzman_D!$H$18)*0.1+IF(K19-Uzman_D!$I$18&lt;0,-(K19-Uzman_D!$I$18),K19-Uzman_D!$I$18)*0.1+IF(L19-Uzman_D!$J$18&lt;0,-(L19-Uzman_D!$J$18),L19-Uzman_D!$J$18)*0.1)+IF(ROUND((IF(N19-Uzman_D!$L$18&lt;0,-(N19-Uzman_D!$L$18),N19-Uzman_D!$L$18)*2),0)/2=IF(N19-Uzman_D!$L$18&lt;0,-(N19-Uzman_D!$L$18),N19-Uzman_D!$L$18),(ROUND((IF(N19-Uzman_D!$L$18&lt;0,-(N19-Uzman_D!$L$18),N19-Uzman_D!$L$18)*2),0)/1*0.1),0)+IF(O19-Uzman_D!$M$18&lt;0,-(O19-Uzman_D!$M$18),O19-Uzman_D!$M$18)*1)</f>
        <v>-0.60000000000000009</v>
      </c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70"/>
      <c r="AB19" s="70"/>
      <c r="AC19" s="71">
        <f>1-(SUM(IF(Q19-Uzman_D!$B$19&lt;0,-(Q19-Uzman_D!$B$19),Q19-Uzman_D!$B$19)*0.1+IF(R19-Uzman_D!$C$19&lt;0,-(R19-Uzman_D!$C$19),R19-Uzman_D!$C$19)*0.1+IF(S19-Uzman_D!$D$19&lt;0,-(S19-Uzman_D!$D$19),S19-Uzman_D!$D$19)*0.1+IF(T19-Uzman_D!$E$19&lt;0,-(T19-Uzman_D!$E$19),T19-Uzman_D!$E$19)*0.1+IF(U19-Uzman_D!$F$19&lt;0,-(U19-Uzman_D!$F$19),U19-Uzman_D!$F$19)*0.1+IF(V19-Uzman_D!$G$19&lt;0,-(V19-Uzman_D!$G$19),V19-Uzman_D!$G$19)*0.1+IF(W19-Uzman_D!$H$19&lt;0,-(W19-Uzman_D!$H$19),W19-Uzman_D!$H$19)*0.1+IF(X19-Uzman_D!$I$19&lt;0,-(X19-Uzman_D!$I$19),X19-Uzman_D!$I$19)*0.1+IF(Y19-Uzman_D!$J$19&lt;0,-(Y19-Uzman_D!$J$19),Y19-Uzman_D!$J$19)*0.1)+IF(ROUND((IF(AA19-Uzman_D!$L$19&lt;0,-(AA19-Uzman_D!$L$19),AA19-Uzman_D!$L$19)*2),0)/2=IF(AA19-Uzman_D!$L$19&lt;0,-(AA19-Uzman_D!$L$19),AA19-Uzman_D!$L$19),(ROUND((IF(AA19-Uzman_D!$L$19&lt;0,-(AA19-Uzman_D!$L$19),AA19-Uzman_D!$L$19)*2),0)/1*0.1),0)+IF(AB19-Uzman_D!$M$19&lt;0,-(AB19-Uzman_D!$M$19),AB19-Uzman_D!$M$19)*1)</f>
        <v>-0.20000000000000018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70"/>
      <c r="AO19" s="70"/>
      <c r="AP19" s="71">
        <f>1-(SUM(IF(AD19-Uzman_D!$B$20&lt;0,-(AD19-Uzman_D!$B$20),AD19-Uzman_D!$B$20)*0.1+IF(AE19-Uzman_D!$C$20&lt;0,-(AE19-Uzman_D!$C$20),AE19-Uzman_D!$C$20)*0.1+IF(AF19-Uzman_D!$D$20&lt;0,-(AF19-Uzman_D!$D$20),AF19-Uzman_D!$D$20)*0.1+IF(AG19-Uzman_D!$E$20&lt;0,-(AG19-Uzman_D!$E$20),AG19-Uzman_D!$E$20)*0.1+IF(AH19-Uzman_D!$F$20&lt;0,-(AH19-Uzman_D!$F$20),AH19-Uzman_D!$F$20)*0.1+IF(AI19-Uzman_D!$G$20&lt;0,-(AI19-Uzman_D!$G$20),AI19-Uzman_D!$G$20)*0.1+IF(AJ19-Uzman_D!$H$20&lt;0,-(AJ19-Uzman_D!$H$20),AJ19-Uzman_D!$H$20)*0.1+IF(AK19-Uzman_D!$I$20&lt;0,-(AK19-Uzman_D!$I$20),AK19-Uzman_D!$I$20)*0.1+IF(AL19-Uzman_D!$J$20&lt;0,-(AL19-Uzman_D!$J$20),AL19-Uzman_D!$J$20)*0.1)+IF(ROUND((IF(AN19-Uzman_D!$L$20&lt;0,-(AN19-Uzman_D!$L$20),AN19-Uzman_D!$L$20)*2),0)/2=IF(AN19-Uzman_D!$L$20&lt;0,-(AN19-Uzman_D!$L$20),AN19-Uzman_D!$L$20),(ROUND((IF(AN19-Uzman_D!$L$20&lt;0,-(AN19-Uzman_D!$L$20),AN19-Uzman_D!$L$20)*2),0)/1*0.1),0)+IF(AO19-Uzman_D!$M$20&lt;0,-(AO19-Uzman_D!$M$20),AO19-Uzman_D!$M$20)*1)</f>
        <v>-0.40000000000000013</v>
      </c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70"/>
      <c r="BB19" s="70"/>
      <c r="BC19" s="71">
        <f>1-(SUM(IF(AQ19-Uzman_D!$B$21&lt;0,-(AQ19-Uzman_D!$B$21),AQ19-Uzman_D!$B$21)*0.1+IF(AR19-Uzman_D!$C$21&lt;0,-(AR19-Uzman_D!$C$21),AR19-Uzman_D!$C$21)*0.1+IF(AS19-Uzman_D!$D$21&lt;0,-(AS19-Uzman_D!$D$21),AS19-Uzman_D!$D$21)*0.1+IF(AT19-Uzman_D!$E$21&lt;0,-(AT19-Uzman_D!$E$21),AT19-Uzman_D!$E$21)*0.1+IF(AU19-Uzman_D!$F$21&lt;0,-(AU19-Uzman_D!$F$21),AU19-Uzman_D!$F$21)*0.1+IF(AV19-Uzman_D!$G$21&lt;0,-(AV19-Uzman_D!$G$21),AV19-Uzman_D!$G$21)*0.1+IF(AW19-Uzman_D!$H$21&lt;0,-(AW19-Uzman_D!$H$21),AW19-Uzman_D!$H$21)*0.1+IF(AX19-Uzman_D!$I$21&lt;0,-(AX19-Uzman_D!$I$21),AX19-Uzman_D!$I$21)*0.1+IF(AY19-Uzman_D!$J$21&lt;0,-(AY19-Uzman_D!$J$21),AY19-Uzman_D!$J$21)*0.1)+IF(ROUND((IF(BA19-Uzman_D!$L$21&lt;0,-(BA19-Uzman_D!$L$21),BA19-Uzman_D!$L$21)*2),0)/2=IF(BA19-Uzman_D!$L$21&lt;0,-(BA19-Uzman_D!$L$21),BA19-Uzman_D!$L$21),(ROUND((IF(BA19-Uzman_D!$L$21&lt;0,-(BA19-Uzman_D!$L$21),BA19-Uzman_D!$L$21)*2),0)/1*0.1),0)+IF(BB19-Uzman_D!$M$21&lt;0,-(BB19-Uzman_D!$M$21),BB19-Uzman_D!$M$21)*1)</f>
        <v>-0.10000000000000009</v>
      </c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70"/>
      <c r="BO19" s="70"/>
      <c r="BP19" s="71">
        <f>1-(SUM(IF(BD19-Uzman_D!$B$22&lt;0,-(BD19-Uzman_D!$B$22),BD19-Uzman_D!$B$22)*0.1+IF(BE19-Uzman_D!$C$22&lt;0,-(BE19-Uzman_D!$C$22),BE19-Uzman_D!$C$22)*0.1+IF(BF19-Uzman_D!$D$22&lt;0,-(BF19-Uzman_D!$D$22),BF19-Uzman_D!$D$22)*0.1+IF(BG19-Uzman_D!$E$22&lt;0,-(BG19-Uzman_D!$E$22),BG19-Uzman_D!$E$22)*0.1+IF(BH19-Uzman_D!$F$22&lt;0,-(BH19-Uzman_D!$F$22),BH19-Uzman_D!$F$22)*0.1+IF(BI19-Uzman_D!$G$22&lt;0,-(BI19-Uzman_D!$G$22),BI19-Uzman_D!$G$22)*0.1+IF(BJ19-Uzman_D!$H$22&lt;0,-(BJ19-Uzman_D!$H$22),BJ19-Uzman_D!$H$22)*0.1+IF(BK19-Uzman_D!$I$22&lt;0,-(BK19-Uzman_D!$I$22),BK19-Uzman_D!$I$22)*0.1+IF(BL19-Uzman_D!$J$22&lt;0,-(BL19-Uzman_D!$J$22),BL19-Uzman_D!$J$22)*0.1)+IF(ROUND((IF(BN19-Uzman_D!$L$22&lt;0,-(BN19-Uzman_D!$L$22),BN19-Uzman_D!$L$22)*2),0)/2=IF(BN19-Uzman_D!$L$22&lt;0,-(BN19-Uzman_D!$L$22),BN19-Uzman_D!$L$22),(ROUND((IF(BN19-Uzman_D!$L$22&lt;0,-(BN19-Uzman_D!$L$22),BN19-Uzman_D!$L$22)*2),0)/1*0.1),0)+IF(BO19-Uzman_D!$M$22&lt;0,-(BO19-Uzman_D!$M$22),BO19-Uzman_D!$M$22)*1)</f>
        <v>-0.10000000000000009</v>
      </c>
      <c r="BQ19" s="72">
        <f t="shared" si="0"/>
        <v>-0.28000000000000014</v>
      </c>
    </row>
    <row r="20" spans="1:69" ht="15" customHeight="1" x14ac:dyDescent="0.45">
      <c r="A20" s="54">
        <v>17</v>
      </c>
      <c r="B20" s="29" t="str">
        <f>Hakemler!B20</f>
        <v>KENDİRCİ</v>
      </c>
      <c r="C20" s="29" t="str">
        <f>Hakemler!C20</f>
        <v>CEMRE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70"/>
      <c r="O20" s="70"/>
      <c r="P20" s="71">
        <f>1-(SUM(IF(D20-Uzman_D!$B$18&lt;0,-(D20-Uzman_D!$B$18),D20-Uzman_D!$B$18)*0.1+IF(E20-Uzman_D!$C$18&lt;0,-(E20-Uzman_D!$C$18),E20-Uzman_D!$C$18)*0.1+IF(F20-Uzman_D!$D$18&lt;0,-(F20-Uzman_D!$D$18),F20-Uzman_D!$D$18)*0.1+IF(G20-Uzman_D!$E$18&lt;0,-(G20-Uzman_D!$E$18),G20-Uzman_D!$E$18)*0.1+IF(H20-Uzman_D!$F$18&lt;0,-(H20-Uzman_D!$F$18),H20-Uzman_D!$F$18)*0.1+IF(I20-Uzman_D!$G$18&lt;0,-(I20-Uzman_D!$G$18),I20-Uzman_D!$G$18)*0.1+IF(J20-Uzman_D!$H$18&lt;0,-(J20-Uzman_D!$H$18),J20-Uzman_D!$H$18)*0.1+IF(K20-Uzman_D!$I$18&lt;0,-(K20-Uzman_D!$I$18),K20-Uzman_D!$I$18)*0.1+IF(L20-Uzman_D!$J$18&lt;0,-(L20-Uzman_D!$J$18),L20-Uzman_D!$J$18)*0.1)+IF(ROUND((IF(N20-Uzman_D!$L$18&lt;0,-(N20-Uzman_D!$L$18),N20-Uzman_D!$L$18)*2),0)/2=IF(N20-Uzman_D!$L$18&lt;0,-(N20-Uzman_D!$L$18),N20-Uzman_D!$L$18),(ROUND((IF(N20-Uzman_D!$L$18&lt;0,-(N20-Uzman_D!$L$18),N20-Uzman_D!$L$18)*2),0)/1*0.1),0)+IF(O20-Uzman_D!$M$18&lt;0,-(O20-Uzman_D!$M$18),O20-Uzman_D!$M$18)*1)</f>
        <v>-0.60000000000000009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70"/>
      <c r="AB20" s="70"/>
      <c r="AC20" s="71">
        <f>1-(SUM(IF(Q20-Uzman_D!$B$19&lt;0,-(Q20-Uzman_D!$B$19),Q20-Uzman_D!$B$19)*0.1+IF(R20-Uzman_D!$C$19&lt;0,-(R20-Uzman_D!$C$19),R20-Uzman_D!$C$19)*0.1+IF(S20-Uzman_D!$D$19&lt;0,-(S20-Uzman_D!$D$19),S20-Uzman_D!$D$19)*0.1+IF(T20-Uzman_D!$E$19&lt;0,-(T20-Uzman_D!$E$19),T20-Uzman_D!$E$19)*0.1+IF(U20-Uzman_D!$F$19&lt;0,-(U20-Uzman_D!$F$19),U20-Uzman_D!$F$19)*0.1+IF(V20-Uzman_D!$G$19&lt;0,-(V20-Uzman_D!$G$19),V20-Uzman_D!$G$19)*0.1+IF(W20-Uzman_D!$H$19&lt;0,-(W20-Uzman_D!$H$19),W20-Uzman_D!$H$19)*0.1+IF(X20-Uzman_D!$I$19&lt;0,-(X20-Uzman_D!$I$19),X20-Uzman_D!$I$19)*0.1+IF(Y20-Uzman_D!$J$19&lt;0,-(Y20-Uzman_D!$J$19),Y20-Uzman_D!$J$19)*0.1)+IF(ROUND((IF(AA20-Uzman_D!$L$19&lt;0,-(AA20-Uzman_D!$L$19),AA20-Uzman_D!$L$19)*2),0)/2=IF(AA20-Uzman_D!$L$19&lt;0,-(AA20-Uzman_D!$L$19),AA20-Uzman_D!$L$19),(ROUND((IF(AA20-Uzman_D!$L$19&lt;0,-(AA20-Uzman_D!$L$19),AA20-Uzman_D!$L$19)*2),0)/1*0.1),0)+IF(AB20-Uzman_D!$M$19&lt;0,-(AB20-Uzman_D!$M$19),AB20-Uzman_D!$M$19)*1)</f>
        <v>-0.20000000000000018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70"/>
      <c r="AO20" s="70"/>
      <c r="AP20" s="71">
        <f>1-(SUM(IF(AD20-Uzman_D!$B$20&lt;0,-(AD20-Uzman_D!$B$20),AD20-Uzman_D!$B$20)*0.1+IF(AE20-Uzman_D!$C$20&lt;0,-(AE20-Uzman_D!$C$20),AE20-Uzman_D!$C$20)*0.1+IF(AF20-Uzman_D!$D$20&lt;0,-(AF20-Uzman_D!$D$20),AF20-Uzman_D!$D$20)*0.1+IF(AG20-Uzman_D!$E$20&lt;0,-(AG20-Uzman_D!$E$20),AG20-Uzman_D!$E$20)*0.1+IF(AH20-Uzman_D!$F$20&lt;0,-(AH20-Uzman_D!$F$20),AH20-Uzman_D!$F$20)*0.1+IF(AI20-Uzman_D!$G$20&lt;0,-(AI20-Uzman_D!$G$20),AI20-Uzman_D!$G$20)*0.1+IF(AJ20-Uzman_D!$H$20&lt;0,-(AJ20-Uzman_D!$H$20),AJ20-Uzman_D!$H$20)*0.1+IF(AK20-Uzman_D!$I$20&lt;0,-(AK20-Uzman_D!$I$20),AK20-Uzman_D!$I$20)*0.1+IF(AL20-Uzman_D!$J$20&lt;0,-(AL20-Uzman_D!$J$20),AL20-Uzman_D!$J$20)*0.1)+IF(ROUND((IF(AN20-Uzman_D!$L$20&lt;0,-(AN20-Uzman_D!$L$20),AN20-Uzman_D!$L$20)*2),0)/2=IF(AN20-Uzman_D!$L$20&lt;0,-(AN20-Uzman_D!$L$20),AN20-Uzman_D!$L$20),(ROUND((IF(AN20-Uzman_D!$L$20&lt;0,-(AN20-Uzman_D!$L$20),AN20-Uzman_D!$L$20)*2),0)/1*0.1),0)+IF(AO20-Uzman_D!$M$20&lt;0,-(AO20-Uzman_D!$M$20),AO20-Uzman_D!$M$20)*1)</f>
        <v>-0.40000000000000013</v>
      </c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70"/>
      <c r="BB20" s="70"/>
      <c r="BC20" s="71">
        <f>1-(SUM(IF(AQ20-Uzman_D!$B$21&lt;0,-(AQ20-Uzman_D!$B$21),AQ20-Uzman_D!$B$21)*0.1+IF(AR20-Uzman_D!$C$21&lt;0,-(AR20-Uzman_D!$C$21),AR20-Uzman_D!$C$21)*0.1+IF(AS20-Uzman_D!$D$21&lt;0,-(AS20-Uzman_D!$D$21),AS20-Uzman_D!$D$21)*0.1+IF(AT20-Uzman_D!$E$21&lt;0,-(AT20-Uzman_D!$E$21),AT20-Uzman_D!$E$21)*0.1+IF(AU20-Uzman_D!$F$21&lt;0,-(AU20-Uzman_D!$F$21),AU20-Uzman_D!$F$21)*0.1+IF(AV20-Uzman_D!$G$21&lt;0,-(AV20-Uzman_D!$G$21),AV20-Uzman_D!$G$21)*0.1+IF(AW20-Uzman_D!$H$21&lt;0,-(AW20-Uzman_D!$H$21),AW20-Uzman_D!$H$21)*0.1+IF(AX20-Uzman_D!$I$21&lt;0,-(AX20-Uzman_D!$I$21),AX20-Uzman_D!$I$21)*0.1+IF(AY20-Uzman_D!$J$21&lt;0,-(AY20-Uzman_D!$J$21),AY20-Uzman_D!$J$21)*0.1)+IF(ROUND((IF(BA20-Uzman_D!$L$21&lt;0,-(BA20-Uzman_D!$L$21),BA20-Uzman_D!$L$21)*2),0)/2=IF(BA20-Uzman_D!$L$21&lt;0,-(BA20-Uzman_D!$L$21),BA20-Uzman_D!$L$21),(ROUND((IF(BA20-Uzman_D!$L$21&lt;0,-(BA20-Uzman_D!$L$21),BA20-Uzman_D!$L$21)*2),0)/1*0.1),0)+IF(BB20-Uzman_D!$M$21&lt;0,-(BB20-Uzman_D!$M$21),BB20-Uzman_D!$M$21)*1)</f>
        <v>-0.10000000000000009</v>
      </c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70"/>
      <c r="BO20" s="70"/>
      <c r="BP20" s="71">
        <f>1-(SUM(IF(BD20-Uzman_D!$B$22&lt;0,-(BD20-Uzman_D!$B$22),BD20-Uzman_D!$B$22)*0.1+IF(BE20-Uzman_D!$C$22&lt;0,-(BE20-Uzman_D!$C$22),BE20-Uzman_D!$C$22)*0.1+IF(BF20-Uzman_D!$D$22&lt;0,-(BF20-Uzman_D!$D$22),BF20-Uzman_D!$D$22)*0.1+IF(BG20-Uzman_D!$E$22&lt;0,-(BG20-Uzman_D!$E$22),BG20-Uzman_D!$E$22)*0.1+IF(BH20-Uzman_D!$F$22&lt;0,-(BH20-Uzman_D!$F$22),BH20-Uzman_D!$F$22)*0.1+IF(BI20-Uzman_D!$G$22&lt;0,-(BI20-Uzman_D!$G$22),BI20-Uzman_D!$G$22)*0.1+IF(BJ20-Uzman_D!$H$22&lt;0,-(BJ20-Uzman_D!$H$22),BJ20-Uzman_D!$H$22)*0.1+IF(BK20-Uzman_D!$I$22&lt;0,-(BK20-Uzman_D!$I$22),BK20-Uzman_D!$I$22)*0.1+IF(BL20-Uzman_D!$J$22&lt;0,-(BL20-Uzman_D!$J$22),BL20-Uzman_D!$J$22)*0.1)+IF(ROUND((IF(BN20-Uzman_D!$L$22&lt;0,-(BN20-Uzman_D!$L$22),BN20-Uzman_D!$L$22)*2),0)/2=IF(BN20-Uzman_D!$L$22&lt;0,-(BN20-Uzman_D!$L$22),BN20-Uzman_D!$L$22),(ROUND((IF(BN20-Uzman_D!$L$22&lt;0,-(BN20-Uzman_D!$L$22),BN20-Uzman_D!$L$22)*2),0)/1*0.1),0)+IF(BO20-Uzman_D!$M$22&lt;0,-(BO20-Uzman_D!$M$22),BO20-Uzman_D!$M$22)*1)</f>
        <v>-0.10000000000000009</v>
      </c>
      <c r="BQ20" s="72">
        <f t="shared" si="0"/>
        <v>-0.28000000000000014</v>
      </c>
    </row>
    <row r="21" spans="1:69" ht="15" customHeight="1" x14ac:dyDescent="0.45">
      <c r="A21" s="54">
        <v>18</v>
      </c>
      <c r="B21" s="169" t="str">
        <f>Hakemler!B21</f>
        <v>CANATAN</v>
      </c>
      <c r="C21" s="169" t="str">
        <f>Hakemler!C21</f>
        <v>BEYZA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70"/>
      <c r="O21" s="70"/>
      <c r="P21" s="71">
        <f>1-(SUM(IF(D21-Uzman_D!$B$18&lt;0,-(D21-Uzman_D!$B$18),D21-Uzman_D!$B$18)*0.1+IF(E21-Uzman_D!$C$18&lt;0,-(E21-Uzman_D!$C$18),E21-Uzman_D!$C$18)*0.1+IF(F21-Uzman_D!$D$18&lt;0,-(F21-Uzman_D!$D$18),F21-Uzman_D!$D$18)*0.1+IF(G21-Uzman_D!$E$18&lt;0,-(G21-Uzman_D!$E$18),G21-Uzman_D!$E$18)*0.1+IF(H21-Uzman_D!$F$18&lt;0,-(H21-Uzman_D!$F$18),H21-Uzman_D!$F$18)*0.1+IF(I21-Uzman_D!$G$18&lt;0,-(I21-Uzman_D!$G$18),I21-Uzman_D!$G$18)*0.1+IF(J21-Uzman_D!$H$18&lt;0,-(J21-Uzman_D!$H$18),J21-Uzman_D!$H$18)*0.1+IF(K21-Uzman_D!$I$18&lt;0,-(K21-Uzman_D!$I$18),K21-Uzman_D!$I$18)*0.1+IF(L21-Uzman_D!$J$18&lt;0,-(L21-Uzman_D!$J$18),L21-Uzman_D!$J$18)*0.1)+IF(ROUND((IF(N21-Uzman_D!$L$18&lt;0,-(N21-Uzman_D!$L$18),N21-Uzman_D!$L$18)*2),0)/2=IF(N21-Uzman_D!$L$18&lt;0,-(N21-Uzman_D!$L$18),N21-Uzman_D!$L$18),(ROUND((IF(N21-Uzman_D!$L$18&lt;0,-(N21-Uzman_D!$L$18),N21-Uzman_D!$L$18)*2),0)/1*0.1),0)+IF(O21-Uzman_D!$M$18&lt;0,-(O21-Uzman_D!$M$18),O21-Uzman_D!$M$18)*1)</f>
        <v>-0.60000000000000009</v>
      </c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70"/>
      <c r="AB21" s="70"/>
      <c r="AC21" s="71">
        <f>1-(SUM(IF(Q21-Uzman_D!$B$19&lt;0,-(Q21-Uzman_D!$B$19),Q21-Uzman_D!$B$19)*0.1+IF(R21-Uzman_D!$C$19&lt;0,-(R21-Uzman_D!$C$19),R21-Uzman_D!$C$19)*0.1+IF(S21-Uzman_D!$D$19&lt;0,-(S21-Uzman_D!$D$19),S21-Uzman_D!$D$19)*0.1+IF(T21-Uzman_D!$E$19&lt;0,-(T21-Uzman_D!$E$19),T21-Uzman_D!$E$19)*0.1+IF(U21-Uzman_D!$F$19&lt;0,-(U21-Uzman_D!$F$19),U21-Uzman_D!$F$19)*0.1+IF(V21-Uzman_D!$G$19&lt;0,-(V21-Uzman_D!$G$19),V21-Uzman_D!$G$19)*0.1+IF(W21-Uzman_D!$H$19&lt;0,-(W21-Uzman_D!$H$19),W21-Uzman_D!$H$19)*0.1+IF(X21-Uzman_D!$I$19&lt;0,-(X21-Uzman_D!$I$19),X21-Uzman_D!$I$19)*0.1+IF(Y21-Uzman_D!$J$19&lt;0,-(Y21-Uzman_D!$J$19),Y21-Uzman_D!$J$19)*0.1)+IF(ROUND((IF(AA21-Uzman_D!$L$19&lt;0,-(AA21-Uzman_D!$L$19),AA21-Uzman_D!$L$19)*2),0)/2=IF(AA21-Uzman_D!$L$19&lt;0,-(AA21-Uzman_D!$L$19),AA21-Uzman_D!$L$19),(ROUND((IF(AA21-Uzman_D!$L$19&lt;0,-(AA21-Uzman_D!$L$19),AA21-Uzman_D!$L$19)*2),0)/1*0.1),0)+IF(AB21-Uzman_D!$M$19&lt;0,-(AB21-Uzman_D!$M$19),AB21-Uzman_D!$M$19)*1)</f>
        <v>-0.20000000000000018</v>
      </c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70"/>
      <c r="AO21" s="70"/>
      <c r="AP21" s="71">
        <f>1-(SUM(IF(AD21-Uzman_D!$B$20&lt;0,-(AD21-Uzman_D!$B$20),AD21-Uzman_D!$B$20)*0.1+IF(AE21-Uzman_D!$C$20&lt;0,-(AE21-Uzman_D!$C$20),AE21-Uzman_D!$C$20)*0.1+IF(AF21-Uzman_D!$D$20&lt;0,-(AF21-Uzman_D!$D$20),AF21-Uzman_D!$D$20)*0.1+IF(AG21-Uzman_D!$E$20&lt;0,-(AG21-Uzman_D!$E$20),AG21-Uzman_D!$E$20)*0.1+IF(AH21-Uzman_D!$F$20&lt;0,-(AH21-Uzman_D!$F$20),AH21-Uzman_D!$F$20)*0.1+IF(AI21-Uzman_D!$G$20&lt;0,-(AI21-Uzman_D!$G$20),AI21-Uzman_D!$G$20)*0.1+IF(AJ21-Uzman_D!$H$20&lt;0,-(AJ21-Uzman_D!$H$20),AJ21-Uzman_D!$H$20)*0.1+IF(AK21-Uzman_D!$I$20&lt;0,-(AK21-Uzman_D!$I$20),AK21-Uzman_D!$I$20)*0.1+IF(AL21-Uzman_D!$J$20&lt;0,-(AL21-Uzman_D!$J$20),AL21-Uzman_D!$J$20)*0.1)+IF(ROUND((IF(AN21-Uzman_D!$L$20&lt;0,-(AN21-Uzman_D!$L$20),AN21-Uzman_D!$L$20)*2),0)/2=IF(AN21-Uzman_D!$L$20&lt;0,-(AN21-Uzman_D!$L$20),AN21-Uzman_D!$L$20),(ROUND((IF(AN21-Uzman_D!$L$20&lt;0,-(AN21-Uzman_D!$L$20),AN21-Uzman_D!$L$20)*2),0)/1*0.1),0)+IF(AO21-Uzman_D!$M$20&lt;0,-(AO21-Uzman_D!$M$20),AO21-Uzman_D!$M$20)*1)</f>
        <v>-0.40000000000000013</v>
      </c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70"/>
      <c r="BB21" s="70"/>
      <c r="BC21" s="71">
        <f>1-(SUM(IF(AQ21-Uzman_D!$B$21&lt;0,-(AQ21-Uzman_D!$B$21),AQ21-Uzman_D!$B$21)*0.1+IF(AR21-Uzman_D!$C$21&lt;0,-(AR21-Uzman_D!$C$21),AR21-Uzman_D!$C$21)*0.1+IF(AS21-Uzman_D!$D$21&lt;0,-(AS21-Uzman_D!$D$21),AS21-Uzman_D!$D$21)*0.1+IF(AT21-Uzman_D!$E$21&lt;0,-(AT21-Uzman_D!$E$21),AT21-Uzman_D!$E$21)*0.1+IF(AU21-Uzman_D!$F$21&lt;0,-(AU21-Uzman_D!$F$21),AU21-Uzman_D!$F$21)*0.1+IF(AV21-Uzman_D!$G$21&lt;0,-(AV21-Uzman_D!$G$21),AV21-Uzman_D!$G$21)*0.1+IF(AW21-Uzman_D!$H$21&lt;0,-(AW21-Uzman_D!$H$21),AW21-Uzman_D!$H$21)*0.1+IF(AX21-Uzman_D!$I$21&lt;0,-(AX21-Uzman_D!$I$21),AX21-Uzman_D!$I$21)*0.1+IF(AY21-Uzman_D!$J$21&lt;0,-(AY21-Uzman_D!$J$21),AY21-Uzman_D!$J$21)*0.1)+IF(ROUND((IF(BA21-Uzman_D!$L$21&lt;0,-(BA21-Uzman_D!$L$21),BA21-Uzman_D!$L$21)*2),0)/2=IF(BA21-Uzman_D!$L$21&lt;0,-(BA21-Uzman_D!$L$21),BA21-Uzman_D!$L$21),(ROUND((IF(BA21-Uzman_D!$L$21&lt;0,-(BA21-Uzman_D!$L$21),BA21-Uzman_D!$L$21)*2),0)/1*0.1),0)+IF(BB21-Uzman_D!$M$21&lt;0,-(BB21-Uzman_D!$M$21),BB21-Uzman_D!$M$21)*1)</f>
        <v>-0.10000000000000009</v>
      </c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70"/>
      <c r="BO21" s="70"/>
      <c r="BP21" s="71">
        <f>1-(SUM(IF(BD21-Uzman_D!$B$22&lt;0,-(BD21-Uzman_D!$B$22),BD21-Uzman_D!$B$22)*0.1+IF(BE21-Uzman_D!$C$22&lt;0,-(BE21-Uzman_D!$C$22),BE21-Uzman_D!$C$22)*0.1+IF(BF21-Uzman_D!$D$22&lt;0,-(BF21-Uzman_D!$D$22),BF21-Uzman_D!$D$22)*0.1+IF(BG21-Uzman_D!$E$22&lt;0,-(BG21-Uzman_D!$E$22),BG21-Uzman_D!$E$22)*0.1+IF(BH21-Uzman_D!$F$22&lt;0,-(BH21-Uzman_D!$F$22),BH21-Uzman_D!$F$22)*0.1+IF(BI21-Uzman_D!$G$22&lt;0,-(BI21-Uzman_D!$G$22),BI21-Uzman_D!$G$22)*0.1+IF(BJ21-Uzman_D!$H$22&lt;0,-(BJ21-Uzman_D!$H$22),BJ21-Uzman_D!$H$22)*0.1+IF(BK21-Uzman_D!$I$22&lt;0,-(BK21-Uzman_D!$I$22),BK21-Uzman_D!$I$22)*0.1+IF(BL21-Uzman_D!$J$22&lt;0,-(BL21-Uzman_D!$J$22),BL21-Uzman_D!$J$22)*0.1)+IF(ROUND((IF(BN21-Uzman_D!$L$22&lt;0,-(BN21-Uzman_D!$L$22),BN21-Uzman_D!$L$22)*2),0)/2=IF(BN21-Uzman_D!$L$22&lt;0,-(BN21-Uzman_D!$L$22),BN21-Uzman_D!$L$22),(ROUND((IF(BN21-Uzman_D!$L$22&lt;0,-(BN21-Uzman_D!$L$22),BN21-Uzman_D!$L$22)*2),0)/1*0.1),0)+IF(BO21-Uzman_D!$M$22&lt;0,-(BO21-Uzman_D!$M$22),BO21-Uzman_D!$M$22)*1)</f>
        <v>-0.10000000000000009</v>
      </c>
      <c r="BQ21" s="72">
        <f t="shared" si="0"/>
        <v>-0.28000000000000014</v>
      </c>
    </row>
    <row r="22" spans="1:69" ht="15" customHeight="1" x14ac:dyDescent="0.45">
      <c r="A22" s="54">
        <v>19</v>
      </c>
      <c r="B22" s="169" t="str">
        <f>Hakemler!B22</f>
        <v>SAYIN</v>
      </c>
      <c r="C22" s="169" t="str">
        <f>Hakemler!C22</f>
        <v>ZEYNEP TÜRKAN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70"/>
      <c r="O22" s="70"/>
      <c r="P22" s="71">
        <f>1-(SUM(IF(D22-Uzman_D!$B$18&lt;0,-(D22-Uzman_D!$B$18),D22-Uzman_D!$B$18)*0.1+IF(E22-Uzman_D!$C$18&lt;0,-(E22-Uzman_D!$C$18),E22-Uzman_D!$C$18)*0.1+IF(F22-Uzman_D!$D$18&lt;0,-(F22-Uzman_D!$D$18),F22-Uzman_D!$D$18)*0.1+IF(G22-Uzman_D!$E$18&lt;0,-(G22-Uzman_D!$E$18),G22-Uzman_D!$E$18)*0.1+IF(H22-Uzman_D!$F$18&lt;0,-(H22-Uzman_D!$F$18),H22-Uzman_D!$F$18)*0.1+IF(I22-Uzman_D!$G$18&lt;0,-(I22-Uzman_D!$G$18),I22-Uzman_D!$G$18)*0.1+IF(J22-Uzman_D!$H$18&lt;0,-(J22-Uzman_D!$H$18),J22-Uzman_D!$H$18)*0.1+IF(K22-Uzman_D!$I$18&lt;0,-(K22-Uzman_D!$I$18),K22-Uzman_D!$I$18)*0.1+IF(L22-Uzman_D!$J$18&lt;0,-(L22-Uzman_D!$J$18),L22-Uzman_D!$J$18)*0.1)+IF(ROUND((IF(N22-Uzman_D!$L$18&lt;0,-(N22-Uzman_D!$L$18),N22-Uzman_D!$L$18)*2),0)/2=IF(N22-Uzman_D!$L$18&lt;0,-(N22-Uzman_D!$L$18),N22-Uzman_D!$L$18),(ROUND((IF(N22-Uzman_D!$L$18&lt;0,-(N22-Uzman_D!$L$18),N22-Uzman_D!$L$18)*2),0)/1*0.1),0)+IF(O22-Uzman_D!$M$18&lt;0,-(O22-Uzman_D!$M$18),O22-Uzman_D!$M$18)*1)</f>
        <v>-0.60000000000000009</v>
      </c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70"/>
      <c r="AB22" s="70"/>
      <c r="AC22" s="71">
        <f>1-(SUM(IF(Q22-Uzman_D!$B$19&lt;0,-(Q22-Uzman_D!$B$19),Q22-Uzman_D!$B$19)*0.1+IF(R22-Uzman_D!$C$19&lt;0,-(R22-Uzman_D!$C$19),R22-Uzman_D!$C$19)*0.1+IF(S22-Uzman_D!$D$19&lt;0,-(S22-Uzman_D!$D$19),S22-Uzman_D!$D$19)*0.1+IF(T22-Uzman_D!$E$19&lt;0,-(T22-Uzman_D!$E$19),T22-Uzman_D!$E$19)*0.1+IF(U22-Uzman_D!$F$19&lt;0,-(U22-Uzman_D!$F$19),U22-Uzman_D!$F$19)*0.1+IF(V22-Uzman_D!$G$19&lt;0,-(V22-Uzman_D!$G$19),V22-Uzman_D!$G$19)*0.1+IF(W22-Uzman_D!$H$19&lt;0,-(W22-Uzman_D!$H$19),W22-Uzman_D!$H$19)*0.1+IF(X22-Uzman_D!$I$19&lt;0,-(X22-Uzman_D!$I$19),X22-Uzman_D!$I$19)*0.1+IF(Y22-Uzman_D!$J$19&lt;0,-(Y22-Uzman_D!$J$19),Y22-Uzman_D!$J$19)*0.1)+IF(ROUND((IF(AA22-Uzman_D!$L$19&lt;0,-(AA22-Uzman_D!$L$19),AA22-Uzman_D!$L$19)*2),0)/2=IF(AA22-Uzman_D!$L$19&lt;0,-(AA22-Uzman_D!$L$19),AA22-Uzman_D!$L$19),(ROUND((IF(AA22-Uzman_D!$L$19&lt;0,-(AA22-Uzman_D!$L$19),AA22-Uzman_D!$L$19)*2),0)/1*0.1),0)+IF(AB22-Uzman_D!$M$19&lt;0,-(AB22-Uzman_D!$M$19),AB22-Uzman_D!$M$19)*1)</f>
        <v>-0.20000000000000018</v>
      </c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70"/>
      <c r="AO22" s="70"/>
      <c r="AP22" s="71">
        <f>1-(SUM(IF(AD22-Uzman_D!$B$20&lt;0,-(AD22-Uzman_D!$B$20),AD22-Uzman_D!$B$20)*0.1+IF(AE22-Uzman_D!$C$20&lt;0,-(AE22-Uzman_D!$C$20),AE22-Uzman_D!$C$20)*0.1+IF(AF22-Uzman_D!$D$20&lt;0,-(AF22-Uzman_D!$D$20),AF22-Uzman_D!$D$20)*0.1+IF(AG22-Uzman_D!$E$20&lt;0,-(AG22-Uzman_D!$E$20),AG22-Uzman_D!$E$20)*0.1+IF(AH22-Uzman_D!$F$20&lt;0,-(AH22-Uzman_D!$F$20),AH22-Uzman_D!$F$20)*0.1+IF(AI22-Uzman_D!$G$20&lt;0,-(AI22-Uzman_D!$G$20),AI22-Uzman_D!$G$20)*0.1+IF(AJ22-Uzman_D!$H$20&lt;0,-(AJ22-Uzman_D!$H$20),AJ22-Uzman_D!$H$20)*0.1+IF(AK22-Uzman_D!$I$20&lt;0,-(AK22-Uzman_D!$I$20),AK22-Uzman_D!$I$20)*0.1+IF(AL22-Uzman_D!$J$20&lt;0,-(AL22-Uzman_D!$J$20),AL22-Uzman_D!$J$20)*0.1)+IF(ROUND((IF(AN22-Uzman_D!$L$20&lt;0,-(AN22-Uzman_D!$L$20),AN22-Uzman_D!$L$20)*2),0)/2=IF(AN22-Uzman_D!$L$20&lt;0,-(AN22-Uzman_D!$L$20),AN22-Uzman_D!$L$20),(ROUND((IF(AN22-Uzman_D!$L$20&lt;0,-(AN22-Uzman_D!$L$20),AN22-Uzman_D!$L$20)*2),0)/1*0.1),0)+IF(AO22-Uzman_D!$M$20&lt;0,-(AO22-Uzman_D!$M$20),AO22-Uzman_D!$M$20)*1)</f>
        <v>-0.40000000000000013</v>
      </c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70"/>
      <c r="BB22" s="70"/>
      <c r="BC22" s="71">
        <f>1-(SUM(IF(AQ22-Uzman_D!$B$21&lt;0,-(AQ22-Uzman_D!$B$21),AQ22-Uzman_D!$B$21)*0.1+IF(AR22-Uzman_D!$C$21&lt;0,-(AR22-Uzman_D!$C$21),AR22-Uzman_D!$C$21)*0.1+IF(AS22-Uzman_D!$D$21&lt;0,-(AS22-Uzman_D!$D$21),AS22-Uzman_D!$D$21)*0.1+IF(AT22-Uzman_D!$E$21&lt;0,-(AT22-Uzman_D!$E$21),AT22-Uzman_D!$E$21)*0.1+IF(AU22-Uzman_D!$F$21&lt;0,-(AU22-Uzman_D!$F$21),AU22-Uzman_D!$F$21)*0.1+IF(AV22-Uzman_D!$G$21&lt;0,-(AV22-Uzman_D!$G$21),AV22-Uzman_D!$G$21)*0.1+IF(AW22-Uzman_D!$H$21&lt;0,-(AW22-Uzman_D!$H$21),AW22-Uzman_D!$H$21)*0.1+IF(AX22-Uzman_D!$I$21&lt;0,-(AX22-Uzman_D!$I$21),AX22-Uzman_D!$I$21)*0.1+IF(AY22-Uzman_D!$J$21&lt;0,-(AY22-Uzman_D!$J$21),AY22-Uzman_D!$J$21)*0.1)+IF(ROUND((IF(BA22-Uzman_D!$L$21&lt;0,-(BA22-Uzman_D!$L$21),BA22-Uzman_D!$L$21)*2),0)/2=IF(BA22-Uzman_D!$L$21&lt;0,-(BA22-Uzman_D!$L$21),BA22-Uzman_D!$L$21),(ROUND((IF(BA22-Uzman_D!$L$21&lt;0,-(BA22-Uzman_D!$L$21),BA22-Uzman_D!$L$21)*2),0)/1*0.1),0)+IF(BB22-Uzman_D!$M$21&lt;0,-(BB22-Uzman_D!$M$21),BB22-Uzman_D!$M$21)*1)</f>
        <v>-0.10000000000000009</v>
      </c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70"/>
      <c r="BO22" s="70"/>
      <c r="BP22" s="71">
        <f>1-(SUM(IF(BD22-Uzman_D!$B$22&lt;0,-(BD22-Uzman_D!$B$22),BD22-Uzman_D!$B$22)*0.1+IF(BE22-Uzman_D!$C$22&lt;0,-(BE22-Uzman_D!$C$22),BE22-Uzman_D!$C$22)*0.1+IF(BF22-Uzman_D!$D$22&lt;0,-(BF22-Uzman_D!$D$22),BF22-Uzman_D!$D$22)*0.1+IF(BG22-Uzman_D!$E$22&lt;0,-(BG22-Uzman_D!$E$22),BG22-Uzman_D!$E$22)*0.1+IF(BH22-Uzman_D!$F$22&lt;0,-(BH22-Uzman_D!$F$22),BH22-Uzman_D!$F$22)*0.1+IF(BI22-Uzman_D!$G$22&lt;0,-(BI22-Uzman_D!$G$22),BI22-Uzman_D!$G$22)*0.1+IF(BJ22-Uzman_D!$H$22&lt;0,-(BJ22-Uzman_D!$H$22),BJ22-Uzman_D!$H$22)*0.1+IF(BK22-Uzman_D!$I$22&lt;0,-(BK22-Uzman_D!$I$22),BK22-Uzman_D!$I$22)*0.1+IF(BL22-Uzman_D!$J$22&lt;0,-(BL22-Uzman_D!$J$22),BL22-Uzman_D!$J$22)*0.1)+IF(ROUND((IF(BN22-Uzman_D!$L$22&lt;0,-(BN22-Uzman_D!$L$22),BN22-Uzman_D!$L$22)*2),0)/2=IF(BN22-Uzman_D!$L$22&lt;0,-(BN22-Uzman_D!$L$22),BN22-Uzman_D!$L$22),(ROUND((IF(BN22-Uzman_D!$L$22&lt;0,-(BN22-Uzman_D!$L$22),BN22-Uzman_D!$L$22)*2),0)/1*0.1),0)+IF(BO22-Uzman_D!$M$22&lt;0,-(BO22-Uzman_D!$M$22),BO22-Uzman_D!$M$22)*1)</f>
        <v>-0.10000000000000009</v>
      </c>
      <c r="BQ22" s="72">
        <f t="shared" si="0"/>
        <v>-0.28000000000000014</v>
      </c>
    </row>
    <row r="23" spans="1:69" ht="15" customHeight="1" x14ac:dyDescent="0.45">
      <c r="A23" s="54">
        <v>20</v>
      </c>
      <c r="B23" s="169" t="str">
        <f>Hakemler!B23</f>
        <v>ÖNER AĞAN</v>
      </c>
      <c r="C23" s="169" t="str">
        <f>Hakemler!C23</f>
        <v>DERYA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70"/>
      <c r="O23" s="70"/>
      <c r="P23" s="71">
        <f>1-(SUM(IF(D23-Uzman_D!$B$18&lt;0,-(D23-Uzman_D!$B$18),D23-Uzman_D!$B$18)*0.1+IF(E23-Uzman_D!$C$18&lt;0,-(E23-Uzman_D!$C$18),E23-Uzman_D!$C$18)*0.1+IF(F23-Uzman_D!$D$18&lt;0,-(F23-Uzman_D!$D$18),F23-Uzman_D!$D$18)*0.1+IF(G23-Uzman_D!$E$18&lt;0,-(G23-Uzman_D!$E$18),G23-Uzman_D!$E$18)*0.1+IF(H23-Uzman_D!$F$18&lt;0,-(H23-Uzman_D!$F$18),H23-Uzman_D!$F$18)*0.1+IF(I23-Uzman_D!$G$18&lt;0,-(I23-Uzman_D!$G$18),I23-Uzman_D!$G$18)*0.1+IF(J23-Uzman_D!$H$18&lt;0,-(J23-Uzman_D!$H$18),J23-Uzman_D!$H$18)*0.1+IF(K23-Uzman_D!$I$18&lt;0,-(K23-Uzman_D!$I$18),K23-Uzman_D!$I$18)*0.1+IF(L23-Uzman_D!$J$18&lt;0,-(L23-Uzman_D!$J$18),L23-Uzman_D!$J$18)*0.1)+IF(ROUND((IF(N23-Uzman_D!$L$18&lt;0,-(N23-Uzman_D!$L$18),N23-Uzman_D!$L$18)*2),0)/2=IF(N23-Uzman_D!$L$18&lt;0,-(N23-Uzman_D!$L$18),N23-Uzman_D!$L$18),(ROUND((IF(N23-Uzman_D!$L$18&lt;0,-(N23-Uzman_D!$L$18),N23-Uzman_D!$L$18)*2),0)/1*0.1),0)+IF(O23-Uzman_D!$M$18&lt;0,-(O23-Uzman_D!$M$18),O23-Uzman_D!$M$18)*1)</f>
        <v>-0.60000000000000009</v>
      </c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70"/>
      <c r="AB23" s="70"/>
      <c r="AC23" s="71">
        <f>1-(SUM(IF(Q23-Uzman_D!$B$19&lt;0,-(Q23-Uzman_D!$B$19),Q23-Uzman_D!$B$19)*0.1+IF(R23-Uzman_D!$C$19&lt;0,-(R23-Uzman_D!$C$19),R23-Uzman_D!$C$19)*0.1+IF(S23-Uzman_D!$D$19&lt;0,-(S23-Uzman_D!$D$19),S23-Uzman_D!$D$19)*0.1+IF(T23-Uzman_D!$E$19&lt;0,-(T23-Uzman_D!$E$19),T23-Uzman_D!$E$19)*0.1+IF(U23-Uzman_D!$F$19&lt;0,-(U23-Uzman_D!$F$19),U23-Uzman_D!$F$19)*0.1+IF(V23-Uzman_D!$G$19&lt;0,-(V23-Uzman_D!$G$19),V23-Uzman_D!$G$19)*0.1+IF(W23-Uzman_D!$H$19&lt;0,-(W23-Uzman_D!$H$19),W23-Uzman_D!$H$19)*0.1+IF(X23-Uzman_D!$I$19&lt;0,-(X23-Uzman_D!$I$19),X23-Uzman_D!$I$19)*0.1+IF(Y23-Uzman_D!$J$19&lt;0,-(Y23-Uzman_D!$J$19),Y23-Uzman_D!$J$19)*0.1)+IF(ROUND((IF(AA23-Uzman_D!$L$19&lt;0,-(AA23-Uzman_D!$L$19),AA23-Uzman_D!$L$19)*2),0)/2=IF(AA23-Uzman_D!$L$19&lt;0,-(AA23-Uzman_D!$L$19),AA23-Uzman_D!$L$19),(ROUND((IF(AA23-Uzman_D!$L$19&lt;0,-(AA23-Uzman_D!$L$19),AA23-Uzman_D!$L$19)*2),0)/1*0.1),0)+IF(AB23-Uzman_D!$M$19&lt;0,-(AB23-Uzman_D!$M$19),AB23-Uzman_D!$M$19)*1)</f>
        <v>-0.20000000000000018</v>
      </c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70"/>
      <c r="AO23" s="70"/>
      <c r="AP23" s="71">
        <f>1-(SUM(IF(AD23-Uzman_D!$B$20&lt;0,-(AD23-Uzman_D!$B$20),AD23-Uzman_D!$B$20)*0.1+IF(AE23-Uzman_D!$C$20&lt;0,-(AE23-Uzman_D!$C$20),AE23-Uzman_D!$C$20)*0.1+IF(AF23-Uzman_D!$D$20&lt;0,-(AF23-Uzman_D!$D$20),AF23-Uzman_D!$D$20)*0.1+IF(AG23-Uzman_D!$E$20&lt;0,-(AG23-Uzman_D!$E$20),AG23-Uzman_D!$E$20)*0.1+IF(AH23-Uzman_D!$F$20&lt;0,-(AH23-Uzman_D!$F$20),AH23-Uzman_D!$F$20)*0.1+IF(AI23-Uzman_D!$G$20&lt;0,-(AI23-Uzman_D!$G$20),AI23-Uzman_D!$G$20)*0.1+IF(AJ23-Uzman_D!$H$20&lt;0,-(AJ23-Uzman_D!$H$20),AJ23-Uzman_D!$H$20)*0.1+IF(AK23-Uzman_D!$I$20&lt;0,-(AK23-Uzman_D!$I$20),AK23-Uzman_D!$I$20)*0.1+IF(AL23-Uzman_D!$J$20&lt;0,-(AL23-Uzman_D!$J$20),AL23-Uzman_D!$J$20)*0.1)+IF(ROUND((IF(AN23-Uzman_D!$L$20&lt;0,-(AN23-Uzman_D!$L$20),AN23-Uzman_D!$L$20)*2),0)/2=IF(AN23-Uzman_D!$L$20&lt;0,-(AN23-Uzman_D!$L$20),AN23-Uzman_D!$L$20),(ROUND((IF(AN23-Uzman_D!$L$20&lt;0,-(AN23-Uzman_D!$L$20),AN23-Uzman_D!$L$20)*2),0)/1*0.1),0)+IF(AO23-Uzman_D!$M$20&lt;0,-(AO23-Uzman_D!$M$20),AO23-Uzman_D!$M$20)*1)</f>
        <v>-0.40000000000000013</v>
      </c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70"/>
      <c r="BB23" s="70"/>
      <c r="BC23" s="71">
        <f>1-(SUM(IF(AQ23-Uzman_D!$B$21&lt;0,-(AQ23-Uzman_D!$B$21),AQ23-Uzman_D!$B$21)*0.1+IF(AR23-Uzman_D!$C$21&lt;0,-(AR23-Uzman_D!$C$21),AR23-Uzman_D!$C$21)*0.1+IF(AS23-Uzman_D!$D$21&lt;0,-(AS23-Uzman_D!$D$21),AS23-Uzman_D!$D$21)*0.1+IF(AT23-Uzman_D!$E$21&lt;0,-(AT23-Uzman_D!$E$21),AT23-Uzman_D!$E$21)*0.1+IF(AU23-Uzman_D!$F$21&lt;0,-(AU23-Uzman_D!$F$21),AU23-Uzman_D!$F$21)*0.1+IF(AV23-Uzman_D!$G$21&lt;0,-(AV23-Uzman_D!$G$21),AV23-Uzman_D!$G$21)*0.1+IF(AW23-Uzman_D!$H$21&lt;0,-(AW23-Uzman_D!$H$21),AW23-Uzman_D!$H$21)*0.1+IF(AX23-Uzman_D!$I$21&lt;0,-(AX23-Uzman_D!$I$21),AX23-Uzman_D!$I$21)*0.1+IF(AY23-Uzman_D!$J$21&lt;0,-(AY23-Uzman_D!$J$21),AY23-Uzman_D!$J$21)*0.1)+IF(ROUND((IF(BA23-Uzman_D!$L$21&lt;0,-(BA23-Uzman_D!$L$21),BA23-Uzman_D!$L$21)*2),0)/2=IF(BA23-Uzman_D!$L$21&lt;0,-(BA23-Uzman_D!$L$21),BA23-Uzman_D!$L$21),(ROUND((IF(BA23-Uzman_D!$L$21&lt;0,-(BA23-Uzman_D!$L$21),BA23-Uzman_D!$L$21)*2),0)/1*0.1),0)+IF(BB23-Uzman_D!$M$21&lt;0,-(BB23-Uzman_D!$M$21),BB23-Uzman_D!$M$21)*1)</f>
        <v>-0.10000000000000009</v>
      </c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70"/>
      <c r="BO23" s="70"/>
      <c r="BP23" s="71">
        <f>1-(SUM(IF(BD23-Uzman_D!$B$22&lt;0,-(BD23-Uzman_D!$B$22),BD23-Uzman_D!$B$22)*0.1+IF(BE23-Uzman_D!$C$22&lt;0,-(BE23-Uzman_D!$C$22),BE23-Uzman_D!$C$22)*0.1+IF(BF23-Uzman_D!$D$22&lt;0,-(BF23-Uzman_D!$D$22),BF23-Uzman_D!$D$22)*0.1+IF(BG23-Uzman_D!$E$22&lt;0,-(BG23-Uzman_D!$E$22),BG23-Uzman_D!$E$22)*0.1+IF(BH23-Uzman_D!$F$22&lt;0,-(BH23-Uzman_D!$F$22),BH23-Uzman_D!$F$22)*0.1+IF(BI23-Uzman_D!$G$22&lt;0,-(BI23-Uzman_D!$G$22),BI23-Uzman_D!$G$22)*0.1+IF(BJ23-Uzman_D!$H$22&lt;0,-(BJ23-Uzman_D!$H$22),BJ23-Uzman_D!$H$22)*0.1+IF(BK23-Uzman_D!$I$22&lt;0,-(BK23-Uzman_D!$I$22),BK23-Uzman_D!$I$22)*0.1+IF(BL23-Uzman_D!$J$22&lt;0,-(BL23-Uzman_D!$J$22),BL23-Uzman_D!$J$22)*0.1)+IF(ROUND((IF(BN23-Uzman_D!$L$22&lt;0,-(BN23-Uzman_D!$L$22),BN23-Uzman_D!$L$22)*2),0)/2=IF(BN23-Uzman_D!$L$22&lt;0,-(BN23-Uzman_D!$L$22),BN23-Uzman_D!$L$22),(ROUND((IF(BN23-Uzman_D!$L$22&lt;0,-(BN23-Uzman_D!$L$22),BN23-Uzman_D!$L$22)*2),0)/1*0.1),0)+IF(BO23-Uzman_D!$M$22&lt;0,-(BO23-Uzman_D!$M$22),BO23-Uzman_D!$M$22)*1)</f>
        <v>-0.10000000000000009</v>
      </c>
      <c r="BQ23" s="72">
        <f t="shared" si="0"/>
        <v>-0.28000000000000014</v>
      </c>
    </row>
    <row r="24" spans="1:69" ht="15" customHeight="1" x14ac:dyDescent="0.45">
      <c r="A24" s="54">
        <v>21</v>
      </c>
      <c r="B24" s="167" t="str">
        <f>Hakemler!B24</f>
        <v>ABACI</v>
      </c>
      <c r="C24" s="167" t="str">
        <f>Hakemler!C24</f>
        <v>BUSE</v>
      </c>
      <c r="D24" s="56"/>
      <c r="E24" s="56">
        <v>2</v>
      </c>
      <c r="F24" s="56">
        <v>2</v>
      </c>
      <c r="G24" s="56">
        <v>3</v>
      </c>
      <c r="H24" s="56">
        <v>1</v>
      </c>
      <c r="I24" s="56"/>
      <c r="J24" s="56"/>
      <c r="K24" s="56"/>
      <c r="L24" s="56"/>
      <c r="M24" s="56"/>
      <c r="N24" s="70">
        <v>1.5</v>
      </c>
      <c r="O24" s="70">
        <v>0.4</v>
      </c>
      <c r="P24" s="71">
        <f>1-(SUM(IF(D24-Uzman_D!$B$18&lt;0,-(D24-Uzman_D!$B$18),D24-Uzman_D!$B$18)*0.1+IF(E24-Uzman_D!$C$18&lt;0,-(E24-Uzman_D!$C$18),E24-Uzman_D!$C$18)*0.1+IF(F24-Uzman_D!$D$18&lt;0,-(F24-Uzman_D!$D$18),F24-Uzman_D!$D$18)*0.1+IF(G24-Uzman_D!$E$18&lt;0,-(G24-Uzman_D!$E$18),G24-Uzman_D!$E$18)*0.1+IF(H24-Uzman_D!$F$18&lt;0,-(H24-Uzman_D!$F$18),H24-Uzman_D!$F$18)*0.1+IF(I24-Uzman_D!$G$18&lt;0,-(I24-Uzman_D!$G$18),I24-Uzman_D!$G$18)*0.1+IF(J24-Uzman_D!$H$18&lt;0,-(J24-Uzman_D!$H$18),J24-Uzman_D!$H$18)*0.1+IF(K24-Uzman_D!$I$18&lt;0,-(K24-Uzman_D!$I$18),K24-Uzman_D!$I$18)*0.1+IF(L24-Uzman_D!$J$18&lt;0,-(L24-Uzman_D!$J$18),L24-Uzman_D!$J$18)*0.1)+IF(ROUND((IF(N24-Uzman_D!$L$18&lt;0,-(N24-Uzman_D!$L$18),N24-Uzman_D!$L$18)*2),0)/2=IF(N24-Uzman_D!$L$18&lt;0,-(N24-Uzman_D!$L$18),N24-Uzman_D!$L$18),(ROUND((IF(N24-Uzman_D!$L$18&lt;0,-(N24-Uzman_D!$L$18),N24-Uzman_D!$L$18)*2),0)/1*0.1),0)+IF(O24-Uzman_D!$M$18&lt;0,-(O24-Uzman_D!$M$18),O24-Uzman_D!$M$18)*1)</f>
        <v>0.30000000000000004</v>
      </c>
      <c r="Q24" s="56"/>
      <c r="R24" s="56"/>
      <c r="S24" s="56">
        <v>2</v>
      </c>
      <c r="T24" s="56">
        <v>3</v>
      </c>
      <c r="U24" s="56">
        <v>3</v>
      </c>
      <c r="V24" s="56"/>
      <c r="W24" s="56"/>
      <c r="X24" s="56"/>
      <c r="Y24" s="56"/>
      <c r="Z24" s="56"/>
      <c r="AA24" s="70">
        <v>1.5</v>
      </c>
      <c r="AB24" s="70">
        <v>0.3</v>
      </c>
      <c r="AC24" s="71">
        <f>1-(SUM(IF(Q24-Uzman_D!$B$19&lt;0,-(Q24-Uzman_D!$B$19),Q24-Uzman_D!$B$19)*0.1+IF(R24-Uzman_D!$C$19&lt;0,-(R24-Uzman_D!$C$19),R24-Uzman_D!$C$19)*0.1+IF(S24-Uzman_D!$D$19&lt;0,-(S24-Uzman_D!$D$19),S24-Uzman_D!$D$19)*0.1+IF(T24-Uzman_D!$E$19&lt;0,-(T24-Uzman_D!$E$19),T24-Uzman_D!$E$19)*0.1+IF(U24-Uzman_D!$F$19&lt;0,-(U24-Uzman_D!$F$19),U24-Uzman_D!$F$19)*0.1+IF(V24-Uzman_D!$G$19&lt;0,-(V24-Uzman_D!$G$19),V24-Uzman_D!$G$19)*0.1+IF(W24-Uzman_D!$H$19&lt;0,-(W24-Uzman_D!$H$19),W24-Uzman_D!$H$19)*0.1+IF(X24-Uzman_D!$I$19&lt;0,-(X24-Uzman_D!$I$19),X24-Uzman_D!$I$19)*0.1+IF(Y24-Uzman_D!$J$19&lt;0,-(Y24-Uzman_D!$J$19),Y24-Uzman_D!$J$19)*0.1)+IF(ROUND((IF(AA24-Uzman_D!$L$19&lt;0,-(AA24-Uzman_D!$L$19),AA24-Uzman_D!$L$19)*2),0)/2=IF(AA24-Uzman_D!$L$19&lt;0,-(AA24-Uzman_D!$L$19),AA24-Uzman_D!$L$19),(ROUND((IF(AA24-Uzman_D!$L$19&lt;0,-(AA24-Uzman_D!$L$19),AA24-Uzman_D!$L$19)*2),0)/1*0.1),0)+IF(AB24-Uzman_D!$M$19&lt;0,-(AB24-Uzman_D!$M$19),AB24-Uzman_D!$M$19)*1)</f>
        <v>-0.19999999999999996</v>
      </c>
      <c r="AD24" s="56"/>
      <c r="AE24" s="56">
        <v>2</v>
      </c>
      <c r="AF24" s="56">
        <v>3</v>
      </c>
      <c r="AG24" s="56">
        <v>3</v>
      </c>
      <c r="AH24" s="56"/>
      <c r="AI24" s="56"/>
      <c r="AJ24" s="56"/>
      <c r="AK24" s="56"/>
      <c r="AL24" s="56"/>
      <c r="AM24" s="56"/>
      <c r="AN24" s="70">
        <v>1.5</v>
      </c>
      <c r="AO24" s="70">
        <v>0.1</v>
      </c>
      <c r="AP24" s="71">
        <f>1-(SUM(IF(AD24-Uzman_D!$B$20&lt;0,-(AD24-Uzman_D!$B$20),AD24-Uzman_D!$B$20)*0.1+IF(AE24-Uzman_D!$C$20&lt;0,-(AE24-Uzman_D!$C$20),AE24-Uzman_D!$C$20)*0.1+IF(AF24-Uzman_D!$D$20&lt;0,-(AF24-Uzman_D!$D$20),AF24-Uzman_D!$D$20)*0.1+IF(AG24-Uzman_D!$E$20&lt;0,-(AG24-Uzman_D!$E$20),AG24-Uzman_D!$E$20)*0.1+IF(AH24-Uzman_D!$F$20&lt;0,-(AH24-Uzman_D!$F$20),AH24-Uzman_D!$F$20)*0.1+IF(AI24-Uzman_D!$G$20&lt;0,-(AI24-Uzman_D!$G$20),AI24-Uzman_D!$G$20)*0.1+IF(AJ24-Uzman_D!$H$20&lt;0,-(AJ24-Uzman_D!$H$20),AJ24-Uzman_D!$H$20)*0.1+IF(AK24-Uzman_D!$I$20&lt;0,-(AK24-Uzman_D!$I$20),AK24-Uzman_D!$I$20)*0.1+IF(AL24-Uzman_D!$J$20&lt;0,-(AL24-Uzman_D!$J$20),AL24-Uzman_D!$J$20)*0.1)+IF(ROUND((IF(AN24-Uzman_D!$L$20&lt;0,-(AN24-Uzman_D!$L$20),AN24-Uzman_D!$L$20)*2),0)/2=IF(AN24-Uzman_D!$L$20&lt;0,-(AN24-Uzman_D!$L$20),AN24-Uzman_D!$L$20),(ROUND((IF(AN24-Uzman_D!$L$20&lt;0,-(AN24-Uzman_D!$L$20),AN24-Uzman_D!$L$20)*2),0)/1*0.1),0)+IF(AO24-Uzman_D!$M$20&lt;0,-(AO24-Uzman_D!$M$20),AO24-Uzman_D!$M$20)*1)</f>
        <v>0.6</v>
      </c>
      <c r="AQ24" s="56"/>
      <c r="AR24" s="56">
        <v>2</v>
      </c>
      <c r="AS24" s="56">
        <v>2</v>
      </c>
      <c r="AT24" s="56">
        <v>4</v>
      </c>
      <c r="AU24" s="56"/>
      <c r="AV24" s="56"/>
      <c r="AW24" s="56"/>
      <c r="AX24" s="56"/>
      <c r="AY24" s="56"/>
      <c r="AZ24" s="56"/>
      <c r="BA24" s="70">
        <v>2</v>
      </c>
      <c r="BB24" s="70">
        <v>0.1</v>
      </c>
      <c r="BC24" s="71">
        <f>1-(SUM(IF(AQ24-Uzman_D!$B$21&lt;0,-(AQ24-Uzman_D!$B$21),AQ24-Uzman_D!$B$21)*0.1+IF(AR24-Uzman_D!$C$21&lt;0,-(AR24-Uzman_D!$C$21),AR24-Uzman_D!$C$21)*0.1+IF(AS24-Uzman_D!$D$21&lt;0,-(AS24-Uzman_D!$D$21),AS24-Uzman_D!$D$21)*0.1+IF(AT24-Uzman_D!$E$21&lt;0,-(AT24-Uzman_D!$E$21),AT24-Uzman_D!$E$21)*0.1+IF(AU24-Uzman_D!$F$21&lt;0,-(AU24-Uzman_D!$F$21),AU24-Uzman_D!$F$21)*0.1+IF(AV24-Uzman_D!$G$21&lt;0,-(AV24-Uzman_D!$G$21),AV24-Uzman_D!$G$21)*0.1+IF(AW24-Uzman_D!$H$21&lt;0,-(AW24-Uzman_D!$H$21),AW24-Uzman_D!$H$21)*0.1+IF(AX24-Uzman_D!$I$21&lt;0,-(AX24-Uzman_D!$I$21),AX24-Uzman_D!$I$21)*0.1+IF(AY24-Uzman_D!$J$21&lt;0,-(AY24-Uzman_D!$J$21),AY24-Uzman_D!$J$21)*0.1)+IF(ROUND((IF(BA24-Uzman_D!$L$21&lt;0,-(BA24-Uzman_D!$L$21),BA24-Uzman_D!$L$21)*2),0)/2=IF(BA24-Uzman_D!$L$21&lt;0,-(BA24-Uzman_D!$L$21),BA24-Uzman_D!$L$21),(ROUND((IF(BA24-Uzman_D!$L$21&lt;0,-(BA24-Uzman_D!$L$21),BA24-Uzman_D!$L$21)*2),0)/1*0.1),0)+IF(BB24-Uzman_D!$M$21&lt;0,-(BB24-Uzman_D!$M$21),BB24-Uzman_D!$M$21)*1)</f>
        <v>0</v>
      </c>
      <c r="BD24" s="56"/>
      <c r="BE24" s="56"/>
      <c r="BF24" s="56">
        <v>3</v>
      </c>
      <c r="BG24" s="56">
        <v>3</v>
      </c>
      <c r="BH24" s="56">
        <v>1</v>
      </c>
      <c r="BI24" s="56">
        <v>1</v>
      </c>
      <c r="BJ24" s="56"/>
      <c r="BK24" s="56"/>
      <c r="BL24" s="56"/>
      <c r="BM24" s="56"/>
      <c r="BN24" s="70">
        <v>2</v>
      </c>
      <c r="BO24" s="70">
        <v>0.4</v>
      </c>
      <c r="BP24" s="71">
        <f>1-(SUM(IF(BD24-Uzman_D!$B$22&lt;0,-(BD24-Uzman_D!$B$22),BD24-Uzman_D!$B$22)*0.1+IF(BE24-Uzman_D!$C$22&lt;0,-(BE24-Uzman_D!$C$22),BE24-Uzman_D!$C$22)*0.1+IF(BF24-Uzman_D!$D$22&lt;0,-(BF24-Uzman_D!$D$22),BF24-Uzman_D!$D$22)*0.1+IF(BG24-Uzman_D!$E$22&lt;0,-(BG24-Uzman_D!$E$22),BG24-Uzman_D!$E$22)*0.1+IF(BH24-Uzman_D!$F$22&lt;0,-(BH24-Uzman_D!$F$22),BH24-Uzman_D!$F$22)*0.1+IF(BI24-Uzman_D!$G$22&lt;0,-(BI24-Uzman_D!$G$22),BI24-Uzman_D!$G$22)*0.1+IF(BJ24-Uzman_D!$H$22&lt;0,-(BJ24-Uzman_D!$H$22),BJ24-Uzman_D!$H$22)*0.1+IF(BK24-Uzman_D!$I$22&lt;0,-(BK24-Uzman_D!$I$22),BK24-Uzman_D!$I$22)*0.1+IF(BL24-Uzman_D!$J$22&lt;0,-(BL24-Uzman_D!$J$22),BL24-Uzman_D!$J$22)*0.1)+IF(ROUND((IF(BN24-Uzman_D!$L$22&lt;0,-(BN24-Uzman_D!$L$22),BN24-Uzman_D!$L$22)*2),0)/2=IF(BN24-Uzman_D!$L$22&lt;0,-(BN24-Uzman_D!$L$22),BN24-Uzman_D!$L$22),(ROUND((IF(BN24-Uzman_D!$L$22&lt;0,-(BN24-Uzman_D!$L$22),BN24-Uzman_D!$L$22)*2),0)/1*0.1),0)+IF(BO24-Uzman_D!$M$22&lt;0,-(BO24-Uzman_D!$M$22),BO24-Uzman_D!$M$22)*1)</f>
        <v>-0.30000000000000004</v>
      </c>
      <c r="BQ24" s="72">
        <f t="shared" si="0"/>
        <v>0.08</v>
      </c>
    </row>
    <row r="25" spans="1:69" ht="15" customHeight="1" x14ac:dyDescent="0.45">
      <c r="A25" s="54">
        <v>22</v>
      </c>
      <c r="B25" s="167" t="str">
        <f>Hakemler!B25</f>
        <v>KARAKAŞ</v>
      </c>
      <c r="C25" s="167" t="str">
        <f>Hakemler!C25</f>
        <v>TAHİR</v>
      </c>
      <c r="D25" s="56">
        <v>1</v>
      </c>
      <c r="E25" s="56">
        <v>1</v>
      </c>
      <c r="F25" s="56">
        <v>2</v>
      </c>
      <c r="G25" s="56">
        <v>3</v>
      </c>
      <c r="H25" s="56"/>
      <c r="I25" s="56"/>
      <c r="J25" s="56"/>
      <c r="K25" s="56"/>
      <c r="L25" s="56"/>
      <c r="M25" s="56"/>
      <c r="N25" s="70">
        <v>2</v>
      </c>
      <c r="O25" s="70">
        <v>0.4</v>
      </c>
      <c r="P25" s="71">
        <f>1-(SUM(IF(D25-Uzman_D!$B$18&lt;0,-(D25-Uzman_D!$B$18),D25-Uzman_D!$B$18)*0.1+IF(E25-Uzman_D!$C$18&lt;0,-(E25-Uzman_D!$C$18),E25-Uzman_D!$C$18)*0.1+IF(F25-Uzman_D!$D$18&lt;0,-(F25-Uzman_D!$D$18),F25-Uzman_D!$D$18)*0.1+IF(G25-Uzman_D!$E$18&lt;0,-(G25-Uzman_D!$E$18),G25-Uzman_D!$E$18)*0.1+IF(H25-Uzman_D!$F$18&lt;0,-(H25-Uzman_D!$F$18),H25-Uzman_D!$F$18)*0.1+IF(I25-Uzman_D!$G$18&lt;0,-(I25-Uzman_D!$G$18),I25-Uzman_D!$G$18)*0.1+IF(J25-Uzman_D!$H$18&lt;0,-(J25-Uzman_D!$H$18),J25-Uzman_D!$H$18)*0.1+IF(K25-Uzman_D!$I$18&lt;0,-(K25-Uzman_D!$I$18),K25-Uzman_D!$I$18)*0.1+IF(L25-Uzman_D!$J$18&lt;0,-(L25-Uzman_D!$J$18),L25-Uzman_D!$J$18)*0.1)+IF(ROUND((IF(N25-Uzman_D!$L$18&lt;0,-(N25-Uzman_D!$L$18),N25-Uzman_D!$L$18)*2),0)/2=IF(N25-Uzman_D!$L$18&lt;0,-(N25-Uzman_D!$L$18),N25-Uzman_D!$L$18),(ROUND((IF(N25-Uzman_D!$L$18&lt;0,-(N25-Uzman_D!$L$18),N25-Uzman_D!$L$18)*2),0)/1*0.1),0)+IF(O25-Uzman_D!$M$18&lt;0,-(O25-Uzman_D!$M$18),O25-Uzman_D!$M$18)*1)</f>
        <v>0.5</v>
      </c>
      <c r="Q25" s="56">
        <v>1</v>
      </c>
      <c r="R25" s="56">
        <v>1</v>
      </c>
      <c r="S25" s="56">
        <v>4</v>
      </c>
      <c r="T25" s="56">
        <v>2</v>
      </c>
      <c r="U25" s="56"/>
      <c r="V25" s="56"/>
      <c r="W25" s="56"/>
      <c r="X25" s="56"/>
      <c r="Y25" s="56"/>
      <c r="Z25" s="56"/>
      <c r="AA25" s="70">
        <v>2</v>
      </c>
      <c r="AB25" s="70">
        <v>0</v>
      </c>
      <c r="AC25" s="71">
        <f>1-(SUM(IF(Q25-Uzman_D!$B$19&lt;0,-(Q25-Uzman_D!$B$19),Q25-Uzman_D!$B$19)*0.1+IF(R25-Uzman_D!$C$19&lt;0,-(R25-Uzman_D!$C$19),R25-Uzman_D!$C$19)*0.1+IF(S25-Uzman_D!$D$19&lt;0,-(S25-Uzman_D!$D$19),S25-Uzman_D!$D$19)*0.1+IF(T25-Uzman_D!$E$19&lt;0,-(T25-Uzman_D!$E$19),T25-Uzman_D!$E$19)*0.1+IF(U25-Uzman_D!$F$19&lt;0,-(U25-Uzman_D!$F$19),U25-Uzman_D!$F$19)*0.1+IF(V25-Uzman_D!$G$19&lt;0,-(V25-Uzman_D!$G$19),V25-Uzman_D!$G$19)*0.1+IF(W25-Uzman_D!$H$19&lt;0,-(W25-Uzman_D!$H$19),W25-Uzman_D!$H$19)*0.1+IF(X25-Uzman_D!$I$19&lt;0,-(X25-Uzman_D!$I$19),X25-Uzman_D!$I$19)*0.1+IF(Y25-Uzman_D!$J$19&lt;0,-(Y25-Uzman_D!$J$19),Y25-Uzman_D!$J$19)*0.1)+IF(ROUND((IF(AA25-Uzman_D!$L$19&lt;0,-(AA25-Uzman_D!$L$19),AA25-Uzman_D!$L$19)*2),0)/2=IF(AA25-Uzman_D!$L$19&lt;0,-(AA25-Uzman_D!$L$19),AA25-Uzman_D!$L$19),(ROUND((IF(AA25-Uzman_D!$L$19&lt;0,-(AA25-Uzman_D!$L$19),AA25-Uzman_D!$L$19)*2),0)/1*0.1),0)+IF(AB25-Uzman_D!$M$19&lt;0,-(AB25-Uzman_D!$M$19),AB25-Uzman_D!$M$19)*1)</f>
        <v>0.8</v>
      </c>
      <c r="AD25" s="56"/>
      <c r="AE25" s="56">
        <v>1</v>
      </c>
      <c r="AF25" s="56">
        <v>2</v>
      </c>
      <c r="AG25" s="56">
        <v>5</v>
      </c>
      <c r="AH25" s="56"/>
      <c r="AI25" s="56"/>
      <c r="AJ25" s="56"/>
      <c r="AK25" s="56"/>
      <c r="AL25" s="56"/>
      <c r="AM25" s="56"/>
      <c r="AN25" s="70">
        <v>2</v>
      </c>
      <c r="AO25" s="70">
        <v>0.2</v>
      </c>
      <c r="AP25" s="71">
        <f>1-(SUM(IF(AD25-Uzman_D!$B$20&lt;0,-(AD25-Uzman_D!$B$20),AD25-Uzman_D!$B$20)*0.1+IF(AE25-Uzman_D!$C$20&lt;0,-(AE25-Uzman_D!$C$20),AE25-Uzman_D!$C$20)*0.1+IF(AF25-Uzman_D!$D$20&lt;0,-(AF25-Uzman_D!$D$20),AF25-Uzman_D!$D$20)*0.1+IF(AG25-Uzman_D!$E$20&lt;0,-(AG25-Uzman_D!$E$20),AG25-Uzman_D!$E$20)*0.1+IF(AH25-Uzman_D!$F$20&lt;0,-(AH25-Uzman_D!$F$20),AH25-Uzman_D!$F$20)*0.1+IF(AI25-Uzman_D!$G$20&lt;0,-(AI25-Uzman_D!$G$20),AI25-Uzman_D!$G$20)*0.1+IF(AJ25-Uzman_D!$H$20&lt;0,-(AJ25-Uzman_D!$H$20),AJ25-Uzman_D!$H$20)*0.1+IF(AK25-Uzman_D!$I$20&lt;0,-(AK25-Uzman_D!$I$20),AK25-Uzman_D!$I$20)*0.1+IF(AL25-Uzman_D!$J$20&lt;0,-(AL25-Uzman_D!$J$20),AL25-Uzman_D!$J$20)*0.1)+IF(ROUND((IF(AN25-Uzman_D!$L$20&lt;0,-(AN25-Uzman_D!$L$20),AN25-Uzman_D!$L$20)*2),0)/2=IF(AN25-Uzman_D!$L$20&lt;0,-(AN25-Uzman_D!$L$20),AN25-Uzman_D!$L$20),(ROUND((IF(AN25-Uzman_D!$L$20&lt;0,-(AN25-Uzman_D!$L$20),AN25-Uzman_D!$L$20)*2),0)/1*0.1),0)+IF(AO25-Uzman_D!$M$20&lt;0,-(AO25-Uzman_D!$M$20),AO25-Uzman_D!$M$20)*1)</f>
        <v>0.8</v>
      </c>
      <c r="AQ25" s="56">
        <v>1</v>
      </c>
      <c r="AR25" s="56">
        <v>2</v>
      </c>
      <c r="AS25" s="56">
        <v>3</v>
      </c>
      <c r="AT25" s="56"/>
      <c r="AU25" s="56"/>
      <c r="AV25" s="56"/>
      <c r="AW25" s="56"/>
      <c r="AX25" s="56"/>
      <c r="AY25" s="56"/>
      <c r="AZ25" s="56"/>
      <c r="BA25" s="70">
        <v>1.5</v>
      </c>
      <c r="BB25" s="70">
        <v>0</v>
      </c>
      <c r="BC25" s="71">
        <f>1-(SUM(IF(AQ25-Uzman_D!$B$21&lt;0,-(AQ25-Uzman_D!$B$21),AQ25-Uzman_D!$B$21)*0.1+IF(AR25-Uzman_D!$C$21&lt;0,-(AR25-Uzman_D!$C$21),AR25-Uzman_D!$C$21)*0.1+IF(AS25-Uzman_D!$D$21&lt;0,-(AS25-Uzman_D!$D$21),AS25-Uzman_D!$D$21)*0.1+IF(AT25-Uzman_D!$E$21&lt;0,-(AT25-Uzman_D!$E$21),AT25-Uzman_D!$E$21)*0.1+IF(AU25-Uzman_D!$F$21&lt;0,-(AU25-Uzman_D!$F$21),AU25-Uzman_D!$F$21)*0.1+IF(AV25-Uzman_D!$G$21&lt;0,-(AV25-Uzman_D!$G$21),AV25-Uzman_D!$G$21)*0.1+IF(AW25-Uzman_D!$H$21&lt;0,-(AW25-Uzman_D!$H$21),AW25-Uzman_D!$H$21)*0.1+IF(AX25-Uzman_D!$I$21&lt;0,-(AX25-Uzman_D!$I$21),AX25-Uzman_D!$I$21)*0.1+IF(AY25-Uzman_D!$J$21&lt;0,-(AY25-Uzman_D!$J$21),AY25-Uzman_D!$J$21)*0.1)+IF(ROUND((IF(BA25-Uzman_D!$L$21&lt;0,-(BA25-Uzman_D!$L$21),BA25-Uzman_D!$L$21)*2),0)/2=IF(BA25-Uzman_D!$L$21&lt;0,-(BA25-Uzman_D!$L$21),BA25-Uzman_D!$L$21),(ROUND((IF(BA25-Uzman_D!$L$21&lt;0,-(BA25-Uzman_D!$L$21),BA25-Uzman_D!$L$21)*2),0)/1*0.1),0)+IF(BB25-Uzman_D!$M$21&lt;0,-(BB25-Uzman_D!$M$21),BB25-Uzman_D!$M$21)*1)</f>
        <v>0.8</v>
      </c>
      <c r="BD25" s="56">
        <v>1</v>
      </c>
      <c r="BE25" s="56">
        <v>3</v>
      </c>
      <c r="BF25" s="56">
        <v>3</v>
      </c>
      <c r="BG25" s="56">
        <v>1</v>
      </c>
      <c r="BH25" s="56"/>
      <c r="BI25" s="56"/>
      <c r="BJ25" s="56"/>
      <c r="BK25" s="56"/>
      <c r="BL25" s="56"/>
      <c r="BM25" s="56"/>
      <c r="BN25" s="70">
        <v>2</v>
      </c>
      <c r="BO25" s="70">
        <v>0</v>
      </c>
      <c r="BP25" s="71">
        <f>1-(SUM(IF(BD25-Uzman_D!$B$22&lt;0,-(BD25-Uzman_D!$B$22),BD25-Uzman_D!$B$22)*0.1+IF(BE25-Uzman_D!$C$22&lt;0,-(BE25-Uzman_D!$C$22),BE25-Uzman_D!$C$22)*0.1+IF(BF25-Uzman_D!$D$22&lt;0,-(BF25-Uzman_D!$D$22),BF25-Uzman_D!$D$22)*0.1+IF(BG25-Uzman_D!$E$22&lt;0,-(BG25-Uzman_D!$E$22),BG25-Uzman_D!$E$22)*0.1+IF(BH25-Uzman_D!$F$22&lt;0,-(BH25-Uzman_D!$F$22),BH25-Uzman_D!$F$22)*0.1+IF(BI25-Uzman_D!$G$22&lt;0,-(BI25-Uzman_D!$G$22),BI25-Uzman_D!$G$22)*0.1+IF(BJ25-Uzman_D!$H$22&lt;0,-(BJ25-Uzman_D!$H$22),BJ25-Uzman_D!$H$22)*0.1+IF(BK25-Uzman_D!$I$22&lt;0,-(BK25-Uzman_D!$I$22),BK25-Uzman_D!$I$22)*0.1+IF(BL25-Uzman_D!$J$22&lt;0,-(BL25-Uzman_D!$J$22),BL25-Uzman_D!$J$22)*0.1)+IF(ROUND((IF(BN25-Uzman_D!$L$22&lt;0,-(BN25-Uzman_D!$L$22),BN25-Uzman_D!$L$22)*2),0)/2=IF(BN25-Uzman_D!$L$22&lt;0,-(BN25-Uzman_D!$L$22),BN25-Uzman_D!$L$22),(ROUND((IF(BN25-Uzman_D!$L$22&lt;0,-(BN25-Uzman_D!$L$22),BN25-Uzman_D!$L$22)*2),0)/1*0.1),0)+IF(BO25-Uzman_D!$M$22&lt;0,-(BO25-Uzman_D!$M$22),BO25-Uzman_D!$M$22)*1)</f>
        <v>0.7</v>
      </c>
      <c r="BQ25" s="72">
        <f t="shared" si="0"/>
        <v>0.72000000000000008</v>
      </c>
    </row>
    <row r="26" spans="1:69" ht="15" customHeight="1" x14ac:dyDescent="0.45">
      <c r="A26" s="54">
        <v>23</v>
      </c>
      <c r="B26" s="167" t="str">
        <f>Hakemler!B26</f>
        <v>SAVAŞ OK</v>
      </c>
      <c r="C26" s="167" t="str">
        <f>Hakemler!C26</f>
        <v>DİLAY</v>
      </c>
      <c r="D26" s="56"/>
      <c r="E26" s="56"/>
      <c r="F26" s="56">
        <v>3</v>
      </c>
      <c r="G26" s="56">
        <v>2</v>
      </c>
      <c r="H26" s="56">
        <v>2</v>
      </c>
      <c r="I26" s="56"/>
      <c r="J26" s="56"/>
      <c r="K26" s="56"/>
      <c r="L26" s="56"/>
      <c r="M26" s="56"/>
      <c r="N26" s="70">
        <v>2</v>
      </c>
      <c r="O26" s="70">
        <v>0.7</v>
      </c>
      <c r="P26" s="71">
        <f>1-(SUM(IF(D26-Uzman_D!$B$18&lt;0,-(D26-Uzman_D!$B$18),D26-Uzman_D!$B$18)*0.1+IF(E26-Uzman_D!$C$18&lt;0,-(E26-Uzman_D!$C$18),E26-Uzman_D!$C$18)*0.1+IF(F26-Uzman_D!$D$18&lt;0,-(F26-Uzman_D!$D$18),F26-Uzman_D!$D$18)*0.1+IF(G26-Uzman_D!$E$18&lt;0,-(G26-Uzman_D!$E$18),G26-Uzman_D!$E$18)*0.1+IF(H26-Uzman_D!$F$18&lt;0,-(H26-Uzman_D!$F$18),H26-Uzman_D!$F$18)*0.1+IF(I26-Uzman_D!$G$18&lt;0,-(I26-Uzman_D!$G$18),I26-Uzman_D!$G$18)*0.1+IF(J26-Uzman_D!$H$18&lt;0,-(J26-Uzman_D!$H$18),J26-Uzman_D!$H$18)*0.1+IF(K26-Uzman_D!$I$18&lt;0,-(K26-Uzman_D!$I$18),K26-Uzman_D!$I$18)*0.1+IF(L26-Uzman_D!$J$18&lt;0,-(L26-Uzman_D!$J$18),L26-Uzman_D!$J$18)*0.1)+IF(ROUND((IF(N26-Uzman_D!$L$18&lt;0,-(N26-Uzman_D!$L$18),N26-Uzman_D!$L$18)*2),0)/2=IF(N26-Uzman_D!$L$18&lt;0,-(N26-Uzman_D!$L$18),N26-Uzman_D!$L$18),(ROUND((IF(N26-Uzman_D!$L$18&lt;0,-(N26-Uzman_D!$L$18),N26-Uzman_D!$L$18)*2),0)/1*0.1),0)+IF(O26-Uzman_D!$M$18&lt;0,-(O26-Uzman_D!$M$18),O26-Uzman_D!$M$18)*1)</f>
        <v>0.4</v>
      </c>
      <c r="Q26" s="56"/>
      <c r="R26" s="56">
        <v>2</v>
      </c>
      <c r="S26" s="56">
        <v>3</v>
      </c>
      <c r="T26" s="56"/>
      <c r="U26" s="56"/>
      <c r="V26" s="56"/>
      <c r="W26" s="56"/>
      <c r="X26" s="56"/>
      <c r="Y26" s="56"/>
      <c r="Z26" s="56"/>
      <c r="AA26" s="70">
        <v>1.5</v>
      </c>
      <c r="AB26" s="70">
        <v>0.2</v>
      </c>
      <c r="AC26" s="71">
        <f>1-(SUM(IF(Q26-Uzman_D!$B$19&lt;0,-(Q26-Uzman_D!$B$19),Q26-Uzman_D!$B$19)*0.1+IF(R26-Uzman_D!$C$19&lt;0,-(R26-Uzman_D!$C$19),R26-Uzman_D!$C$19)*0.1+IF(S26-Uzman_D!$D$19&lt;0,-(S26-Uzman_D!$D$19),S26-Uzman_D!$D$19)*0.1+IF(T26-Uzman_D!$E$19&lt;0,-(T26-Uzman_D!$E$19),T26-Uzman_D!$E$19)*0.1+IF(U26-Uzman_D!$F$19&lt;0,-(U26-Uzman_D!$F$19),U26-Uzman_D!$F$19)*0.1+IF(V26-Uzman_D!$G$19&lt;0,-(V26-Uzman_D!$G$19),V26-Uzman_D!$G$19)*0.1+IF(W26-Uzman_D!$H$19&lt;0,-(W26-Uzman_D!$H$19),W26-Uzman_D!$H$19)*0.1+IF(X26-Uzman_D!$I$19&lt;0,-(X26-Uzman_D!$I$19),X26-Uzman_D!$I$19)*0.1+IF(Y26-Uzman_D!$J$19&lt;0,-(Y26-Uzman_D!$J$19),Y26-Uzman_D!$J$19)*0.1)+IF(ROUND((IF(AA26-Uzman_D!$L$19&lt;0,-(AA26-Uzman_D!$L$19),AA26-Uzman_D!$L$19)*2),0)/2=IF(AA26-Uzman_D!$L$19&lt;0,-(AA26-Uzman_D!$L$19),AA26-Uzman_D!$L$19),(ROUND((IF(AA26-Uzman_D!$L$19&lt;0,-(AA26-Uzman_D!$L$19),AA26-Uzman_D!$L$19)*2),0)/1*0.1),0)+IF(AB26-Uzman_D!$M$19&lt;0,-(AB26-Uzman_D!$M$19),AB26-Uzman_D!$M$19)*1)</f>
        <v>0.19999999999999996</v>
      </c>
      <c r="AD26" s="56"/>
      <c r="AE26" s="56"/>
      <c r="AF26" s="56">
        <v>3</v>
      </c>
      <c r="AG26" s="56">
        <v>2</v>
      </c>
      <c r="AH26" s="56">
        <v>1</v>
      </c>
      <c r="AI26" s="56"/>
      <c r="AJ26" s="56"/>
      <c r="AK26" s="56"/>
      <c r="AL26" s="56"/>
      <c r="AM26" s="56"/>
      <c r="AN26" s="70">
        <v>2</v>
      </c>
      <c r="AO26" s="70">
        <v>0.2</v>
      </c>
      <c r="AP26" s="71">
        <f>1-(SUM(IF(AD26-Uzman_D!$B$20&lt;0,-(AD26-Uzman_D!$B$20),AD26-Uzman_D!$B$20)*0.1+IF(AE26-Uzman_D!$C$20&lt;0,-(AE26-Uzman_D!$C$20),AE26-Uzman_D!$C$20)*0.1+IF(AF26-Uzman_D!$D$20&lt;0,-(AF26-Uzman_D!$D$20),AF26-Uzman_D!$D$20)*0.1+IF(AG26-Uzman_D!$E$20&lt;0,-(AG26-Uzman_D!$E$20),AG26-Uzman_D!$E$20)*0.1+IF(AH26-Uzman_D!$F$20&lt;0,-(AH26-Uzman_D!$F$20),AH26-Uzman_D!$F$20)*0.1+IF(AI26-Uzman_D!$G$20&lt;0,-(AI26-Uzman_D!$G$20),AI26-Uzman_D!$G$20)*0.1+IF(AJ26-Uzman_D!$H$20&lt;0,-(AJ26-Uzman_D!$H$20),AJ26-Uzman_D!$H$20)*0.1+IF(AK26-Uzman_D!$I$20&lt;0,-(AK26-Uzman_D!$I$20),AK26-Uzman_D!$I$20)*0.1+IF(AL26-Uzman_D!$J$20&lt;0,-(AL26-Uzman_D!$J$20),AL26-Uzman_D!$J$20)*0.1)+IF(ROUND((IF(AN26-Uzman_D!$L$20&lt;0,-(AN26-Uzman_D!$L$20),AN26-Uzman_D!$L$20)*2),0)/2=IF(AN26-Uzman_D!$L$20&lt;0,-(AN26-Uzman_D!$L$20),AN26-Uzman_D!$L$20),(ROUND((IF(AN26-Uzman_D!$L$20&lt;0,-(AN26-Uzman_D!$L$20),AN26-Uzman_D!$L$20)*2),0)/1*0.1),0)+IF(AO26-Uzman_D!$M$20&lt;0,-(AO26-Uzman_D!$M$20),AO26-Uzman_D!$M$20)*1)</f>
        <v>0.6</v>
      </c>
      <c r="AQ26" s="56"/>
      <c r="AR26" s="56">
        <v>2</v>
      </c>
      <c r="AS26" s="56">
        <v>3</v>
      </c>
      <c r="AT26" s="56"/>
      <c r="AU26" s="56"/>
      <c r="AV26" s="56"/>
      <c r="AW26" s="56"/>
      <c r="AX26" s="56"/>
      <c r="AY26" s="56"/>
      <c r="AZ26" s="56"/>
      <c r="BA26" s="70">
        <v>1</v>
      </c>
      <c r="BB26" s="70">
        <v>0</v>
      </c>
      <c r="BC26" s="71">
        <f>1-(SUM(IF(AQ26-Uzman_D!$B$21&lt;0,-(AQ26-Uzman_D!$B$21),AQ26-Uzman_D!$B$21)*0.1+IF(AR26-Uzman_D!$C$21&lt;0,-(AR26-Uzman_D!$C$21),AR26-Uzman_D!$C$21)*0.1+IF(AS26-Uzman_D!$D$21&lt;0,-(AS26-Uzman_D!$D$21),AS26-Uzman_D!$D$21)*0.1+IF(AT26-Uzman_D!$E$21&lt;0,-(AT26-Uzman_D!$E$21),AT26-Uzman_D!$E$21)*0.1+IF(AU26-Uzman_D!$F$21&lt;0,-(AU26-Uzman_D!$F$21),AU26-Uzman_D!$F$21)*0.1+IF(AV26-Uzman_D!$G$21&lt;0,-(AV26-Uzman_D!$G$21),AV26-Uzman_D!$G$21)*0.1+IF(AW26-Uzman_D!$H$21&lt;0,-(AW26-Uzman_D!$H$21),AW26-Uzman_D!$H$21)*0.1+IF(AX26-Uzman_D!$I$21&lt;0,-(AX26-Uzman_D!$I$21),AX26-Uzman_D!$I$21)*0.1+IF(AY26-Uzman_D!$J$21&lt;0,-(AY26-Uzman_D!$J$21),AY26-Uzman_D!$J$21)*0.1)+IF(ROUND((IF(BA26-Uzman_D!$L$21&lt;0,-(BA26-Uzman_D!$L$21),BA26-Uzman_D!$L$21)*2),0)/2=IF(BA26-Uzman_D!$L$21&lt;0,-(BA26-Uzman_D!$L$21),BA26-Uzman_D!$L$21),(ROUND((IF(BA26-Uzman_D!$L$21&lt;0,-(BA26-Uzman_D!$L$21),BA26-Uzman_D!$L$21)*2),0)/1*0.1),0)+IF(BB26-Uzman_D!$M$21&lt;0,-(BB26-Uzman_D!$M$21),BB26-Uzman_D!$M$21)*1)</f>
        <v>0.6</v>
      </c>
      <c r="BD26" s="56">
        <v>1</v>
      </c>
      <c r="BE26" s="56">
        <v>3</v>
      </c>
      <c r="BF26" s="56">
        <v>3</v>
      </c>
      <c r="BG26" s="56">
        <v>1</v>
      </c>
      <c r="BH26" s="56"/>
      <c r="BI26" s="56"/>
      <c r="BJ26" s="56"/>
      <c r="BK26" s="56"/>
      <c r="BL26" s="56"/>
      <c r="BM26" s="56"/>
      <c r="BN26" s="70">
        <v>2</v>
      </c>
      <c r="BO26" s="70">
        <v>0</v>
      </c>
      <c r="BP26" s="71">
        <f>1-(SUM(IF(BD26-Uzman_D!$B$22&lt;0,-(BD26-Uzman_D!$B$22),BD26-Uzman_D!$B$22)*0.1+IF(BE26-Uzman_D!$C$22&lt;0,-(BE26-Uzman_D!$C$22),BE26-Uzman_D!$C$22)*0.1+IF(BF26-Uzman_D!$D$22&lt;0,-(BF26-Uzman_D!$D$22),BF26-Uzman_D!$D$22)*0.1+IF(BG26-Uzman_D!$E$22&lt;0,-(BG26-Uzman_D!$E$22),BG26-Uzman_D!$E$22)*0.1+IF(BH26-Uzman_D!$F$22&lt;0,-(BH26-Uzman_D!$F$22),BH26-Uzman_D!$F$22)*0.1+IF(BI26-Uzman_D!$G$22&lt;0,-(BI26-Uzman_D!$G$22),BI26-Uzman_D!$G$22)*0.1+IF(BJ26-Uzman_D!$H$22&lt;0,-(BJ26-Uzman_D!$H$22),BJ26-Uzman_D!$H$22)*0.1+IF(BK26-Uzman_D!$I$22&lt;0,-(BK26-Uzman_D!$I$22),BK26-Uzman_D!$I$22)*0.1+IF(BL26-Uzman_D!$J$22&lt;0,-(BL26-Uzman_D!$J$22),BL26-Uzman_D!$J$22)*0.1)+IF(ROUND((IF(BN26-Uzman_D!$L$22&lt;0,-(BN26-Uzman_D!$L$22),BN26-Uzman_D!$L$22)*2),0)/2=IF(BN26-Uzman_D!$L$22&lt;0,-(BN26-Uzman_D!$L$22),BN26-Uzman_D!$L$22),(ROUND((IF(BN26-Uzman_D!$L$22&lt;0,-(BN26-Uzman_D!$L$22),BN26-Uzman_D!$L$22)*2),0)/1*0.1),0)+IF(BO26-Uzman_D!$M$22&lt;0,-(BO26-Uzman_D!$M$22),BO26-Uzman_D!$M$22)*1)</f>
        <v>0.7</v>
      </c>
      <c r="BQ26" s="72">
        <f t="shared" si="0"/>
        <v>0.5</v>
      </c>
    </row>
    <row r="27" spans="1:69" ht="15" customHeight="1" x14ac:dyDescent="0.45">
      <c r="A27" s="54">
        <v>24</v>
      </c>
      <c r="B27" s="167" t="str">
        <f>Hakemler!B27</f>
        <v>AYDEMİR</v>
      </c>
      <c r="C27" s="167" t="str">
        <f>Hakemler!C27</f>
        <v>AYŞE DİLARA</v>
      </c>
      <c r="D27" s="56"/>
      <c r="E27" s="56"/>
      <c r="F27" s="56">
        <v>1</v>
      </c>
      <c r="G27" s="56">
        <v>2</v>
      </c>
      <c r="H27" s="56">
        <v>2</v>
      </c>
      <c r="I27" s="56">
        <v>2</v>
      </c>
      <c r="J27" s="56"/>
      <c r="K27" s="56"/>
      <c r="L27" s="56"/>
      <c r="M27" s="56"/>
      <c r="N27" s="70">
        <v>2</v>
      </c>
      <c r="O27" s="70">
        <v>0.4</v>
      </c>
      <c r="P27" s="71">
        <f>1-(SUM(IF(D27-Uzman_D!$B$18&lt;0,-(D27-Uzman_D!$B$18),D27-Uzman_D!$B$18)*0.1+IF(E27-Uzman_D!$C$18&lt;0,-(E27-Uzman_D!$C$18),E27-Uzman_D!$C$18)*0.1+IF(F27-Uzman_D!$D$18&lt;0,-(F27-Uzman_D!$D$18),F27-Uzman_D!$D$18)*0.1+IF(G27-Uzman_D!$E$18&lt;0,-(G27-Uzman_D!$E$18),G27-Uzman_D!$E$18)*0.1+IF(H27-Uzman_D!$F$18&lt;0,-(H27-Uzman_D!$F$18),H27-Uzman_D!$F$18)*0.1+IF(I27-Uzman_D!$G$18&lt;0,-(I27-Uzman_D!$G$18),I27-Uzman_D!$G$18)*0.1+IF(J27-Uzman_D!$H$18&lt;0,-(J27-Uzman_D!$H$18),J27-Uzman_D!$H$18)*0.1+IF(K27-Uzman_D!$I$18&lt;0,-(K27-Uzman_D!$I$18),K27-Uzman_D!$I$18)*0.1+IF(L27-Uzman_D!$J$18&lt;0,-(L27-Uzman_D!$J$18),L27-Uzman_D!$J$18)*0.1)+IF(ROUND((IF(N27-Uzman_D!$L$18&lt;0,-(N27-Uzman_D!$L$18),N27-Uzman_D!$L$18)*2),0)/2=IF(N27-Uzman_D!$L$18&lt;0,-(N27-Uzman_D!$L$18),N27-Uzman_D!$L$18),(ROUND((IF(N27-Uzman_D!$L$18&lt;0,-(N27-Uzman_D!$L$18),N27-Uzman_D!$L$18)*2),0)/1*0.1),0)+IF(O27-Uzman_D!$M$18&lt;0,-(O27-Uzman_D!$M$18),O27-Uzman_D!$M$18)*1)</f>
        <v>0.30000000000000004</v>
      </c>
      <c r="Q27" s="56">
        <v>1</v>
      </c>
      <c r="R27" s="56"/>
      <c r="S27" s="56">
        <v>3</v>
      </c>
      <c r="T27" s="56">
        <v>4</v>
      </c>
      <c r="U27" s="56"/>
      <c r="V27" s="56"/>
      <c r="W27" s="56"/>
      <c r="X27" s="56"/>
      <c r="Y27" s="56"/>
      <c r="Z27" s="56"/>
      <c r="AA27" s="70">
        <v>2</v>
      </c>
      <c r="AB27" s="70">
        <v>0</v>
      </c>
      <c r="AC27" s="71">
        <f>1-(SUM(IF(Q27-Uzman_D!$B$19&lt;0,-(Q27-Uzman_D!$B$19),Q27-Uzman_D!$B$19)*0.1+IF(R27-Uzman_D!$C$19&lt;0,-(R27-Uzman_D!$C$19),R27-Uzman_D!$C$19)*0.1+IF(S27-Uzman_D!$D$19&lt;0,-(S27-Uzman_D!$D$19),S27-Uzman_D!$D$19)*0.1+IF(T27-Uzman_D!$E$19&lt;0,-(T27-Uzman_D!$E$19),T27-Uzman_D!$E$19)*0.1+IF(U27-Uzman_D!$F$19&lt;0,-(U27-Uzman_D!$F$19),U27-Uzman_D!$F$19)*0.1+IF(V27-Uzman_D!$G$19&lt;0,-(V27-Uzman_D!$G$19),V27-Uzman_D!$G$19)*0.1+IF(W27-Uzman_D!$H$19&lt;0,-(W27-Uzman_D!$H$19),W27-Uzman_D!$H$19)*0.1+IF(X27-Uzman_D!$I$19&lt;0,-(X27-Uzman_D!$I$19),X27-Uzman_D!$I$19)*0.1+IF(Y27-Uzman_D!$J$19&lt;0,-(Y27-Uzman_D!$J$19),Y27-Uzman_D!$J$19)*0.1)+IF(ROUND((IF(AA27-Uzman_D!$L$19&lt;0,-(AA27-Uzman_D!$L$19),AA27-Uzman_D!$L$19)*2),0)/2=IF(AA27-Uzman_D!$L$19&lt;0,-(AA27-Uzman_D!$L$19),AA27-Uzman_D!$L$19),(ROUND((IF(AA27-Uzman_D!$L$19&lt;0,-(AA27-Uzman_D!$L$19),AA27-Uzman_D!$L$19)*2),0)/1*0.1),0)+IF(AB27-Uzman_D!$M$19&lt;0,-(AB27-Uzman_D!$M$19),AB27-Uzman_D!$M$19)*1)</f>
        <v>0.39999999999999991</v>
      </c>
      <c r="AD27" s="56"/>
      <c r="AE27" s="56">
        <v>3</v>
      </c>
      <c r="AF27" s="56">
        <v>1</v>
      </c>
      <c r="AG27" s="56">
        <v>4</v>
      </c>
      <c r="AH27" s="56"/>
      <c r="AI27" s="56"/>
      <c r="AJ27" s="56"/>
      <c r="AK27" s="56"/>
      <c r="AL27" s="56"/>
      <c r="AM27" s="56"/>
      <c r="AN27" s="70">
        <v>1.5</v>
      </c>
      <c r="AO27" s="70">
        <v>0.2</v>
      </c>
      <c r="AP27" s="71">
        <f>1-(SUM(IF(AD27-Uzman_D!$B$20&lt;0,-(AD27-Uzman_D!$B$20),AD27-Uzman_D!$B$20)*0.1+IF(AE27-Uzman_D!$C$20&lt;0,-(AE27-Uzman_D!$C$20),AE27-Uzman_D!$C$20)*0.1+IF(AF27-Uzman_D!$D$20&lt;0,-(AF27-Uzman_D!$D$20),AF27-Uzman_D!$D$20)*0.1+IF(AG27-Uzman_D!$E$20&lt;0,-(AG27-Uzman_D!$E$20),AG27-Uzman_D!$E$20)*0.1+IF(AH27-Uzman_D!$F$20&lt;0,-(AH27-Uzman_D!$F$20),AH27-Uzman_D!$F$20)*0.1+IF(AI27-Uzman_D!$G$20&lt;0,-(AI27-Uzman_D!$G$20),AI27-Uzman_D!$G$20)*0.1+IF(AJ27-Uzman_D!$H$20&lt;0,-(AJ27-Uzman_D!$H$20),AJ27-Uzman_D!$H$20)*0.1+IF(AK27-Uzman_D!$I$20&lt;0,-(AK27-Uzman_D!$I$20),AK27-Uzman_D!$I$20)*0.1+IF(AL27-Uzman_D!$J$20&lt;0,-(AL27-Uzman_D!$J$20),AL27-Uzman_D!$J$20)*0.1)+IF(ROUND((IF(AN27-Uzman_D!$L$20&lt;0,-(AN27-Uzman_D!$L$20),AN27-Uzman_D!$L$20)*2),0)/2=IF(AN27-Uzman_D!$L$20&lt;0,-(AN27-Uzman_D!$L$20),AN27-Uzman_D!$L$20),(ROUND((IF(AN27-Uzman_D!$L$20&lt;0,-(AN27-Uzman_D!$L$20),AN27-Uzman_D!$L$20)*2),0)/1*0.1),0)+IF(AO27-Uzman_D!$M$20&lt;0,-(AO27-Uzman_D!$M$20),AO27-Uzman_D!$M$20)*1)</f>
        <v>0.5</v>
      </c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70">
        <v>1</v>
      </c>
      <c r="BB27" s="70">
        <v>0</v>
      </c>
      <c r="BC27" s="71">
        <f>1-(SUM(IF(AQ27-Uzman_D!$B$21&lt;0,-(AQ27-Uzman_D!$B$21),AQ27-Uzman_D!$B$21)*0.1+IF(AR27-Uzman_D!$C$21&lt;0,-(AR27-Uzman_D!$C$21),AR27-Uzman_D!$C$21)*0.1+IF(AS27-Uzman_D!$D$21&lt;0,-(AS27-Uzman_D!$D$21),AS27-Uzman_D!$D$21)*0.1+IF(AT27-Uzman_D!$E$21&lt;0,-(AT27-Uzman_D!$E$21),AT27-Uzman_D!$E$21)*0.1+IF(AU27-Uzman_D!$F$21&lt;0,-(AU27-Uzman_D!$F$21),AU27-Uzman_D!$F$21)*0.1+IF(AV27-Uzman_D!$G$21&lt;0,-(AV27-Uzman_D!$G$21),AV27-Uzman_D!$G$21)*0.1+IF(AW27-Uzman_D!$H$21&lt;0,-(AW27-Uzman_D!$H$21),AW27-Uzman_D!$H$21)*0.1+IF(AX27-Uzman_D!$I$21&lt;0,-(AX27-Uzman_D!$I$21),AX27-Uzman_D!$I$21)*0.1+IF(AY27-Uzman_D!$J$21&lt;0,-(AY27-Uzman_D!$J$21),AY27-Uzman_D!$J$21)*0.1)+IF(ROUND((IF(BA27-Uzman_D!$L$21&lt;0,-(BA27-Uzman_D!$L$21),BA27-Uzman_D!$L$21)*2),0)/2=IF(BA27-Uzman_D!$L$21&lt;0,-(BA27-Uzman_D!$L$21),BA27-Uzman_D!$L$21),(ROUND((IF(BA27-Uzman_D!$L$21&lt;0,-(BA27-Uzman_D!$L$21),BA27-Uzman_D!$L$21)*2),0)/1*0.1),0)+IF(BB27-Uzman_D!$M$21&lt;0,-(BB27-Uzman_D!$M$21),BB27-Uzman_D!$M$21)*1)</f>
        <v>9.9999999999999978E-2</v>
      </c>
      <c r="BD27" s="56">
        <v>1</v>
      </c>
      <c r="BE27" s="56"/>
      <c r="BF27" s="56">
        <v>3</v>
      </c>
      <c r="BG27" s="56">
        <v>3</v>
      </c>
      <c r="BH27" s="56"/>
      <c r="BI27" s="56">
        <v>1</v>
      </c>
      <c r="BJ27" s="56"/>
      <c r="BK27" s="56"/>
      <c r="BL27" s="56"/>
      <c r="BM27" s="56"/>
      <c r="BN27" s="70">
        <v>2</v>
      </c>
      <c r="BO27" s="70">
        <v>0</v>
      </c>
      <c r="BP27" s="71">
        <f>1-(SUM(IF(BD27-Uzman_D!$B$22&lt;0,-(BD27-Uzman_D!$B$22),BD27-Uzman_D!$B$22)*0.1+IF(BE27-Uzman_D!$C$22&lt;0,-(BE27-Uzman_D!$C$22),BE27-Uzman_D!$C$22)*0.1+IF(BF27-Uzman_D!$D$22&lt;0,-(BF27-Uzman_D!$D$22),BF27-Uzman_D!$D$22)*0.1+IF(BG27-Uzman_D!$E$22&lt;0,-(BG27-Uzman_D!$E$22),BG27-Uzman_D!$E$22)*0.1+IF(BH27-Uzman_D!$F$22&lt;0,-(BH27-Uzman_D!$F$22),BH27-Uzman_D!$F$22)*0.1+IF(BI27-Uzman_D!$G$22&lt;0,-(BI27-Uzman_D!$G$22),BI27-Uzman_D!$G$22)*0.1+IF(BJ27-Uzman_D!$H$22&lt;0,-(BJ27-Uzman_D!$H$22),BJ27-Uzman_D!$H$22)*0.1+IF(BK27-Uzman_D!$I$22&lt;0,-(BK27-Uzman_D!$I$22),BK27-Uzman_D!$I$22)*0.1+IF(BL27-Uzman_D!$J$22&lt;0,-(BL27-Uzman_D!$J$22),BL27-Uzman_D!$J$22)*0.1)+IF(ROUND((IF(BN27-Uzman_D!$L$22&lt;0,-(BN27-Uzman_D!$L$22),BN27-Uzman_D!$L$22)*2),0)/2=IF(BN27-Uzman_D!$L$22&lt;0,-(BN27-Uzman_D!$L$22),BN27-Uzman_D!$L$22),(ROUND((IF(BN27-Uzman_D!$L$22&lt;0,-(BN27-Uzman_D!$L$22),BN27-Uzman_D!$L$22)*2),0)/1*0.1),0)+IF(BO27-Uzman_D!$M$22&lt;0,-(BO27-Uzman_D!$M$22),BO27-Uzman_D!$M$22)*1)</f>
        <v>0.30000000000000004</v>
      </c>
      <c r="BQ27" s="72">
        <f t="shared" si="0"/>
        <v>0.31999999999999995</v>
      </c>
    </row>
    <row r="28" spans="1:69" ht="15" customHeight="1" x14ac:dyDescent="0.45">
      <c r="A28" s="54">
        <v>25</v>
      </c>
      <c r="B28" s="167" t="str">
        <f>Hakemler!B28</f>
        <v>AKIN</v>
      </c>
      <c r="C28" s="167" t="str">
        <f>Hakemler!C28</f>
        <v>MANOLYA</v>
      </c>
      <c r="D28" s="56"/>
      <c r="E28" s="56"/>
      <c r="F28" s="56">
        <v>4</v>
      </c>
      <c r="G28" s="56">
        <v>2</v>
      </c>
      <c r="H28" s="56">
        <v>2</v>
      </c>
      <c r="I28" s="56"/>
      <c r="J28" s="56"/>
      <c r="K28" s="56"/>
      <c r="L28" s="56"/>
      <c r="M28" s="56"/>
      <c r="N28" s="70">
        <v>2</v>
      </c>
      <c r="O28" s="70">
        <v>0.4</v>
      </c>
      <c r="P28" s="71">
        <f>1-(SUM(IF(D28-Uzman_D!$B$18&lt;0,-(D28-Uzman_D!$B$18),D28-Uzman_D!$B$18)*0.1+IF(E28-Uzman_D!$C$18&lt;0,-(E28-Uzman_D!$C$18),E28-Uzman_D!$C$18)*0.1+IF(F28-Uzman_D!$D$18&lt;0,-(F28-Uzman_D!$D$18),F28-Uzman_D!$D$18)*0.1+IF(G28-Uzman_D!$E$18&lt;0,-(G28-Uzman_D!$E$18),G28-Uzman_D!$E$18)*0.1+IF(H28-Uzman_D!$F$18&lt;0,-(H28-Uzman_D!$F$18),H28-Uzman_D!$F$18)*0.1+IF(I28-Uzman_D!$G$18&lt;0,-(I28-Uzman_D!$G$18),I28-Uzman_D!$G$18)*0.1+IF(J28-Uzman_D!$H$18&lt;0,-(J28-Uzman_D!$H$18),J28-Uzman_D!$H$18)*0.1+IF(K28-Uzman_D!$I$18&lt;0,-(K28-Uzman_D!$I$18),K28-Uzman_D!$I$18)*0.1+IF(L28-Uzman_D!$J$18&lt;0,-(L28-Uzman_D!$J$18),L28-Uzman_D!$J$18)*0.1)+IF(ROUND((IF(N28-Uzman_D!$L$18&lt;0,-(N28-Uzman_D!$L$18),N28-Uzman_D!$L$18)*2),0)/2=IF(N28-Uzman_D!$L$18&lt;0,-(N28-Uzman_D!$L$18),N28-Uzman_D!$L$18),(ROUND((IF(N28-Uzman_D!$L$18&lt;0,-(N28-Uzman_D!$L$18),N28-Uzman_D!$L$18)*2),0)/1*0.1),0)+IF(O28-Uzman_D!$M$18&lt;0,-(O28-Uzman_D!$M$18),O28-Uzman_D!$M$18)*1)</f>
        <v>0.6</v>
      </c>
      <c r="Q28" s="56"/>
      <c r="R28" s="56">
        <v>1</v>
      </c>
      <c r="S28" s="56">
        <v>6</v>
      </c>
      <c r="T28" s="56">
        <v>1</v>
      </c>
      <c r="U28" s="56"/>
      <c r="V28" s="56"/>
      <c r="W28" s="56"/>
      <c r="X28" s="56"/>
      <c r="Y28" s="56"/>
      <c r="Z28" s="56"/>
      <c r="AA28" s="70">
        <v>2</v>
      </c>
      <c r="AB28" s="70">
        <v>0</v>
      </c>
      <c r="AC28" s="71">
        <f>1-(SUM(IF(Q28-Uzman_D!$B$19&lt;0,-(Q28-Uzman_D!$B$19),Q28-Uzman_D!$B$19)*0.1+IF(R28-Uzman_D!$C$19&lt;0,-(R28-Uzman_D!$C$19),R28-Uzman_D!$C$19)*0.1+IF(S28-Uzman_D!$D$19&lt;0,-(S28-Uzman_D!$D$19),S28-Uzman_D!$D$19)*0.1+IF(T28-Uzman_D!$E$19&lt;0,-(T28-Uzman_D!$E$19),T28-Uzman_D!$E$19)*0.1+IF(U28-Uzman_D!$F$19&lt;0,-(U28-Uzman_D!$F$19),U28-Uzman_D!$F$19)*0.1+IF(V28-Uzman_D!$G$19&lt;0,-(V28-Uzman_D!$G$19),V28-Uzman_D!$G$19)*0.1+IF(W28-Uzman_D!$H$19&lt;0,-(W28-Uzman_D!$H$19),W28-Uzman_D!$H$19)*0.1+IF(X28-Uzman_D!$I$19&lt;0,-(X28-Uzman_D!$I$19),X28-Uzman_D!$I$19)*0.1+IF(Y28-Uzman_D!$J$19&lt;0,-(Y28-Uzman_D!$J$19),Y28-Uzman_D!$J$19)*0.1)+IF(ROUND((IF(AA28-Uzman_D!$L$19&lt;0,-(AA28-Uzman_D!$L$19),AA28-Uzman_D!$L$19)*2),0)/2=IF(AA28-Uzman_D!$L$19&lt;0,-(AA28-Uzman_D!$L$19),AA28-Uzman_D!$L$19),(ROUND((IF(AA28-Uzman_D!$L$19&lt;0,-(AA28-Uzman_D!$L$19),AA28-Uzman_D!$L$19)*2),0)/1*0.1),0)+IF(AB28-Uzman_D!$M$19&lt;0,-(AB28-Uzman_D!$M$19),AB28-Uzman_D!$M$19)*1)</f>
        <v>0.8</v>
      </c>
      <c r="AD28" s="56"/>
      <c r="AE28" s="56"/>
      <c r="AF28" s="56">
        <v>5</v>
      </c>
      <c r="AG28" s="56">
        <v>3</v>
      </c>
      <c r="AH28" s="56"/>
      <c r="AI28" s="56"/>
      <c r="AJ28" s="56"/>
      <c r="AK28" s="56"/>
      <c r="AL28" s="56"/>
      <c r="AM28" s="56"/>
      <c r="AN28" s="70">
        <v>2</v>
      </c>
      <c r="AO28" s="70">
        <v>0.4</v>
      </c>
      <c r="AP28" s="71">
        <f>1-(SUM(IF(AD28-Uzman_D!$B$20&lt;0,-(AD28-Uzman_D!$B$20),AD28-Uzman_D!$B$20)*0.1+IF(AE28-Uzman_D!$C$20&lt;0,-(AE28-Uzman_D!$C$20),AE28-Uzman_D!$C$20)*0.1+IF(AF28-Uzman_D!$D$20&lt;0,-(AF28-Uzman_D!$D$20),AF28-Uzman_D!$D$20)*0.1+IF(AG28-Uzman_D!$E$20&lt;0,-(AG28-Uzman_D!$E$20),AG28-Uzman_D!$E$20)*0.1+IF(AH28-Uzman_D!$F$20&lt;0,-(AH28-Uzman_D!$F$20),AH28-Uzman_D!$F$20)*0.1+IF(AI28-Uzman_D!$G$20&lt;0,-(AI28-Uzman_D!$G$20),AI28-Uzman_D!$G$20)*0.1+IF(AJ28-Uzman_D!$H$20&lt;0,-(AJ28-Uzman_D!$H$20),AJ28-Uzman_D!$H$20)*0.1+IF(AK28-Uzman_D!$I$20&lt;0,-(AK28-Uzman_D!$I$20),AK28-Uzman_D!$I$20)*0.1+IF(AL28-Uzman_D!$J$20&lt;0,-(AL28-Uzman_D!$J$20),AL28-Uzman_D!$J$20)*0.1)+IF(ROUND((IF(AN28-Uzman_D!$L$20&lt;0,-(AN28-Uzman_D!$L$20),AN28-Uzman_D!$L$20)*2),0)/2=IF(AN28-Uzman_D!$L$20&lt;0,-(AN28-Uzman_D!$L$20),AN28-Uzman_D!$L$20),(ROUND((IF(AN28-Uzman_D!$L$20&lt;0,-(AN28-Uzman_D!$L$20),AN28-Uzman_D!$L$20)*2),0)/1*0.1),0)+IF(AO28-Uzman_D!$M$20&lt;0,-(AO28-Uzman_D!$M$20),AO28-Uzman_D!$M$20)*1)</f>
        <v>0.39999999999999991</v>
      </c>
      <c r="AQ28" s="56">
        <v>1</v>
      </c>
      <c r="AR28" s="56">
        <v>2</v>
      </c>
      <c r="AS28" s="56">
        <v>5</v>
      </c>
      <c r="AT28" s="56"/>
      <c r="AU28" s="56"/>
      <c r="AV28" s="56"/>
      <c r="AW28" s="56"/>
      <c r="AX28" s="56"/>
      <c r="AY28" s="56"/>
      <c r="AZ28" s="56"/>
      <c r="BA28" s="70">
        <v>2</v>
      </c>
      <c r="BB28" s="70">
        <v>0</v>
      </c>
      <c r="BC28" s="71">
        <f>1-(SUM(IF(AQ28-Uzman_D!$B$21&lt;0,-(AQ28-Uzman_D!$B$21),AQ28-Uzman_D!$B$21)*0.1+IF(AR28-Uzman_D!$C$21&lt;0,-(AR28-Uzman_D!$C$21),AR28-Uzman_D!$C$21)*0.1+IF(AS28-Uzman_D!$D$21&lt;0,-(AS28-Uzman_D!$D$21),AS28-Uzman_D!$D$21)*0.1+IF(AT28-Uzman_D!$E$21&lt;0,-(AT28-Uzman_D!$E$21),AT28-Uzman_D!$E$21)*0.1+IF(AU28-Uzman_D!$F$21&lt;0,-(AU28-Uzman_D!$F$21),AU28-Uzman_D!$F$21)*0.1+IF(AV28-Uzman_D!$G$21&lt;0,-(AV28-Uzman_D!$G$21),AV28-Uzman_D!$G$21)*0.1+IF(AW28-Uzman_D!$H$21&lt;0,-(AW28-Uzman_D!$H$21),AW28-Uzman_D!$H$21)*0.1+IF(AX28-Uzman_D!$I$21&lt;0,-(AX28-Uzman_D!$I$21),AX28-Uzman_D!$I$21)*0.1+IF(AY28-Uzman_D!$J$21&lt;0,-(AY28-Uzman_D!$J$21),AY28-Uzman_D!$J$21)*0.1)+IF(ROUND((IF(BA28-Uzman_D!$L$21&lt;0,-(BA28-Uzman_D!$L$21),BA28-Uzman_D!$L$21)*2),0)/2=IF(BA28-Uzman_D!$L$21&lt;0,-(BA28-Uzman_D!$L$21),BA28-Uzman_D!$L$21),(ROUND((IF(BA28-Uzman_D!$L$21&lt;0,-(BA28-Uzman_D!$L$21),BA28-Uzman_D!$L$21)*2),0)/1*0.1),0)+IF(BB28-Uzman_D!$M$21&lt;0,-(BB28-Uzman_D!$M$21),BB28-Uzman_D!$M$21)*1)</f>
        <v>0.7</v>
      </c>
      <c r="BD28" s="56">
        <v>1</v>
      </c>
      <c r="BE28" s="56">
        <v>2</v>
      </c>
      <c r="BF28" s="56">
        <v>4</v>
      </c>
      <c r="BG28" s="56">
        <v>1</v>
      </c>
      <c r="BH28" s="56"/>
      <c r="BI28" s="56"/>
      <c r="BJ28" s="56"/>
      <c r="BK28" s="56"/>
      <c r="BL28" s="56"/>
      <c r="BM28" s="56"/>
      <c r="BN28" s="70">
        <v>2</v>
      </c>
      <c r="BO28" s="70">
        <v>0</v>
      </c>
      <c r="BP28" s="71">
        <f>1-(SUM(IF(BD28-Uzman_D!$B$22&lt;0,-(BD28-Uzman_D!$B$22),BD28-Uzman_D!$B$22)*0.1+IF(BE28-Uzman_D!$C$22&lt;0,-(BE28-Uzman_D!$C$22),BE28-Uzman_D!$C$22)*0.1+IF(BF28-Uzman_D!$D$22&lt;0,-(BF28-Uzman_D!$D$22),BF28-Uzman_D!$D$22)*0.1+IF(BG28-Uzman_D!$E$22&lt;0,-(BG28-Uzman_D!$E$22),BG28-Uzman_D!$E$22)*0.1+IF(BH28-Uzman_D!$F$22&lt;0,-(BH28-Uzman_D!$F$22),BH28-Uzman_D!$F$22)*0.1+IF(BI28-Uzman_D!$G$22&lt;0,-(BI28-Uzman_D!$G$22),BI28-Uzman_D!$G$22)*0.1+IF(BJ28-Uzman_D!$H$22&lt;0,-(BJ28-Uzman_D!$H$22),BJ28-Uzman_D!$H$22)*0.1+IF(BK28-Uzman_D!$I$22&lt;0,-(BK28-Uzman_D!$I$22),BK28-Uzman_D!$I$22)*0.1+IF(BL28-Uzman_D!$J$22&lt;0,-(BL28-Uzman_D!$J$22),BL28-Uzman_D!$J$22)*0.1)+IF(ROUND((IF(BN28-Uzman_D!$L$22&lt;0,-(BN28-Uzman_D!$L$22),BN28-Uzman_D!$L$22)*2),0)/2=IF(BN28-Uzman_D!$L$22&lt;0,-(BN28-Uzman_D!$L$22),BN28-Uzman_D!$L$22),(ROUND((IF(BN28-Uzman_D!$L$22&lt;0,-(BN28-Uzman_D!$L$22),BN28-Uzman_D!$L$22)*2),0)/1*0.1),0)+IF(BO28-Uzman_D!$M$22&lt;0,-(BO28-Uzman_D!$M$22),BO28-Uzman_D!$M$22)*1)</f>
        <v>0.9</v>
      </c>
      <c r="BQ28" s="72">
        <f t="shared" si="0"/>
        <v>0.67999999999999994</v>
      </c>
    </row>
    <row r="29" spans="1:69" ht="15" customHeight="1" x14ac:dyDescent="0.45">
      <c r="A29" s="54">
        <v>26</v>
      </c>
      <c r="B29" s="167" t="str">
        <f>Hakemler!B29</f>
        <v>PINAR</v>
      </c>
      <c r="C29" s="167" t="str">
        <f>Hakemler!C29</f>
        <v>YELİZ</v>
      </c>
      <c r="D29" s="56">
        <v>1</v>
      </c>
      <c r="E29" s="56">
        <v>1</v>
      </c>
      <c r="F29" s="56">
        <v>2</v>
      </c>
      <c r="G29" s="56">
        <v>2</v>
      </c>
      <c r="H29" s="56">
        <v>2</v>
      </c>
      <c r="I29" s="56"/>
      <c r="J29" s="56"/>
      <c r="K29" s="56"/>
      <c r="L29" s="56"/>
      <c r="M29" s="56"/>
      <c r="N29" s="70">
        <v>2</v>
      </c>
      <c r="O29" s="70">
        <v>0.2</v>
      </c>
      <c r="P29" s="71">
        <f>1-(SUM(IF(D29-Uzman_D!$B$18&lt;0,-(D29-Uzman_D!$B$18),D29-Uzman_D!$B$18)*0.1+IF(E29-Uzman_D!$C$18&lt;0,-(E29-Uzman_D!$C$18),E29-Uzman_D!$C$18)*0.1+IF(F29-Uzman_D!$D$18&lt;0,-(F29-Uzman_D!$D$18),F29-Uzman_D!$D$18)*0.1+IF(G29-Uzman_D!$E$18&lt;0,-(G29-Uzman_D!$E$18),G29-Uzman_D!$E$18)*0.1+IF(H29-Uzman_D!$F$18&lt;0,-(H29-Uzman_D!$F$18),H29-Uzman_D!$F$18)*0.1+IF(I29-Uzman_D!$G$18&lt;0,-(I29-Uzman_D!$G$18),I29-Uzman_D!$G$18)*0.1+IF(J29-Uzman_D!$H$18&lt;0,-(J29-Uzman_D!$H$18),J29-Uzman_D!$H$18)*0.1+IF(K29-Uzman_D!$I$18&lt;0,-(K29-Uzman_D!$I$18),K29-Uzman_D!$I$18)*0.1+IF(L29-Uzman_D!$J$18&lt;0,-(L29-Uzman_D!$J$18),L29-Uzman_D!$J$18)*0.1)+IF(ROUND((IF(N29-Uzman_D!$L$18&lt;0,-(N29-Uzman_D!$L$18),N29-Uzman_D!$L$18)*2),0)/2=IF(N29-Uzman_D!$L$18&lt;0,-(N29-Uzman_D!$L$18),N29-Uzman_D!$L$18),(ROUND((IF(N29-Uzman_D!$L$18&lt;0,-(N29-Uzman_D!$L$18),N29-Uzman_D!$L$18)*2),0)/1*0.1),0)+IF(O29-Uzman_D!$M$18&lt;0,-(O29-Uzman_D!$M$18),O29-Uzman_D!$M$18)*1)</f>
        <v>0.6</v>
      </c>
      <c r="Q29" s="56"/>
      <c r="R29" s="56">
        <v>1</v>
      </c>
      <c r="S29" s="56">
        <v>5</v>
      </c>
      <c r="T29" s="56">
        <v>1</v>
      </c>
      <c r="U29" s="56"/>
      <c r="V29" s="56"/>
      <c r="W29" s="56"/>
      <c r="X29" s="56"/>
      <c r="Y29" s="56"/>
      <c r="Z29" s="56"/>
      <c r="AA29" s="70">
        <v>1.5</v>
      </c>
      <c r="AB29" s="70">
        <v>0.1</v>
      </c>
      <c r="AC29" s="71">
        <f>1-(SUM(IF(Q29-Uzman_D!$B$19&lt;0,-(Q29-Uzman_D!$B$19),Q29-Uzman_D!$B$19)*0.1+IF(R29-Uzman_D!$C$19&lt;0,-(R29-Uzman_D!$C$19),R29-Uzman_D!$C$19)*0.1+IF(S29-Uzman_D!$D$19&lt;0,-(S29-Uzman_D!$D$19),S29-Uzman_D!$D$19)*0.1+IF(T29-Uzman_D!$E$19&lt;0,-(T29-Uzman_D!$E$19),T29-Uzman_D!$E$19)*0.1+IF(U29-Uzman_D!$F$19&lt;0,-(U29-Uzman_D!$F$19),U29-Uzman_D!$F$19)*0.1+IF(V29-Uzman_D!$G$19&lt;0,-(V29-Uzman_D!$G$19),V29-Uzman_D!$G$19)*0.1+IF(W29-Uzman_D!$H$19&lt;0,-(W29-Uzman_D!$H$19),W29-Uzman_D!$H$19)*0.1+IF(X29-Uzman_D!$I$19&lt;0,-(X29-Uzman_D!$I$19),X29-Uzman_D!$I$19)*0.1+IF(Y29-Uzman_D!$J$19&lt;0,-(Y29-Uzman_D!$J$19),Y29-Uzman_D!$J$19)*0.1)+IF(ROUND((IF(AA29-Uzman_D!$L$19&lt;0,-(AA29-Uzman_D!$L$19),AA29-Uzman_D!$L$19)*2),0)/2=IF(AA29-Uzman_D!$L$19&lt;0,-(AA29-Uzman_D!$L$19),AA29-Uzman_D!$L$19),(ROUND((IF(AA29-Uzman_D!$L$19&lt;0,-(AA29-Uzman_D!$L$19),AA29-Uzman_D!$L$19)*2),0)/1*0.1),0)+IF(AB29-Uzman_D!$M$19&lt;0,-(AB29-Uzman_D!$M$19),AB29-Uzman_D!$M$19)*1)</f>
        <v>0.7</v>
      </c>
      <c r="AD29" s="56">
        <v>1</v>
      </c>
      <c r="AE29" s="56">
        <v>2</v>
      </c>
      <c r="AF29" s="56">
        <v>5</v>
      </c>
      <c r="AG29" s="56"/>
      <c r="AH29" s="56"/>
      <c r="AI29" s="56"/>
      <c r="AJ29" s="56"/>
      <c r="AK29" s="56"/>
      <c r="AL29" s="56"/>
      <c r="AM29" s="56"/>
      <c r="AN29" s="70">
        <v>1.5</v>
      </c>
      <c r="AO29" s="70">
        <v>0</v>
      </c>
      <c r="AP29" s="71">
        <f>1-(SUM(IF(AD29-Uzman_D!$B$20&lt;0,-(AD29-Uzman_D!$B$20),AD29-Uzman_D!$B$20)*0.1+IF(AE29-Uzman_D!$C$20&lt;0,-(AE29-Uzman_D!$C$20),AE29-Uzman_D!$C$20)*0.1+IF(AF29-Uzman_D!$D$20&lt;0,-(AF29-Uzman_D!$D$20),AF29-Uzman_D!$D$20)*0.1+IF(AG29-Uzman_D!$E$20&lt;0,-(AG29-Uzman_D!$E$20),AG29-Uzman_D!$E$20)*0.1+IF(AH29-Uzman_D!$F$20&lt;0,-(AH29-Uzman_D!$F$20),AH29-Uzman_D!$F$20)*0.1+IF(AI29-Uzman_D!$G$20&lt;0,-(AI29-Uzman_D!$G$20),AI29-Uzman_D!$G$20)*0.1+IF(AJ29-Uzman_D!$H$20&lt;0,-(AJ29-Uzman_D!$H$20),AJ29-Uzman_D!$H$20)*0.1+IF(AK29-Uzman_D!$I$20&lt;0,-(AK29-Uzman_D!$I$20),AK29-Uzman_D!$I$20)*0.1+IF(AL29-Uzman_D!$J$20&lt;0,-(AL29-Uzman_D!$J$20),AL29-Uzman_D!$J$20)*0.1)+IF(ROUND((IF(AN29-Uzman_D!$L$20&lt;0,-(AN29-Uzman_D!$L$20),AN29-Uzman_D!$L$20)*2),0)/2=IF(AN29-Uzman_D!$L$20&lt;0,-(AN29-Uzman_D!$L$20),AN29-Uzman_D!$L$20),(ROUND((IF(AN29-Uzman_D!$L$20&lt;0,-(AN29-Uzman_D!$L$20),AN29-Uzman_D!$L$20)*2),0)/1*0.1),0)+IF(AO29-Uzman_D!$M$20&lt;0,-(AO29-Uzman_D!$M$20),AO29-Uzman_D!$M$20)*1)</f>
        <v>-0.10000000000000009</v>
      </c>
      <c r="AQ29" s="56">
        <v>1</v>
      </c>
      <c r="AR29" s="56">
        <v>4</v>
      </c>
      <c r="AS29" s="56">
        <v>3</v>
      </c>
      <c r="AT29" s="56"/>
      <c r="AU29" s="56"/>
      <c r="AV29" s="56"/>
      <c r="AW29" s="56"/>
      <c r="AX29" s="56"/>
      <c r="AY29" s="56"/>
      <c r="AZ29" s="56"/>
      <c r="BA29" s="70">
        <v>1.5</v>
      </c>
      <c r="BB29" s="70">
        <v>0</v>
      </c>
      <c r="BC29" s="71">
        <f>1-(SUM(IF(AQ29-Uzman_D!$B$21&lt;0,-(AQ29-Uzman_D!$B$21),AQ29-Uzman_D!$B$21)*0.1+IF(AR29-Uzman_D!$C$21&lt;0,-(AR29-Uzman_D!$C$21),AR29-Uzman_D!$C$21)*0.1+IF(AS29-Uzman_D!$D$21&lt;0,-(AS29-Uzman_D!$D$21),AS29-Uzman_D!$D$21)*0.1+IF(AT29-Uzman_D!$E$21&lt;0,-(AT29-Uzman_D!$E$21),AT29-Uzman_D!$E$21)*0.1+IF(AU29-Uzman_D!$F$21&lt;0,-(AU29-Uzman_D!$F$21),AU29-Uzman_D!$F$21)*0.1+IF(AV29-Uzman_D!$G$21&lt;0,-(AV29-Uzman_D!$G$21),AV29-Uzman_D!$G$21)*0.1+IF(AW29-Uzman_D!$H$21&lt;0,-(AW29-Uzman_D!$H$21),AW29-Uzman_D!$H$21)*0.1+IF(AX29-Uzman_D!$I$21&lt;0,-(AX29-Uzman_D!$I$21),AX29-Uzman_D!$I$21)*0.1+IF(AY29-Uzman_D!$J$21&lt;0,-(AY29-Uzman_D!$J$21),AY29-Uzman_D!$J$21)*0.1)+IF(ROUND((IF(BA29-Uzman_D!$L$21&lt;0,-(BA29-Uzman_D!$L$21),BA29-Uzman_D!$L$21)*2),0)/2=IF(BA29-Uzman_D!$L$21&lt;0,-(BA29-Uzman_D!$L$21),BA29-Uzman_D!$L$21),(ROUND((IF(BA29-Uzman_D!$L$21&lt;0,-(BA29-Uzman_D!$L$21),BA29-Uzman_D!$L$21)*2),0)/1*0.1),0)+IF(BB29-Uzman_D!$M$21&lt;0,-(BB29-Uzman_D!$M$21),BB29-Uzman_D!$M$21)*1)</f>
        <v>0.6</v>
      </c>
      <c r="BD29" s="56"/>
      <c r="BE29" s="56">
        <v>3</v>
      </c>
      <c r="BF29" s="56">
        <v>2</v>
      </c>
      <c r="BG29" s="56">
        <v>1</v>
      </c>
      <c r="BH29" s="56">
        <v>1</v>
      </c>
      <c r="BI29" s="56">
        <v>1</v>
      </c>
      <c r="BJ29" s="56"/>
      <c r="BK29" s="56"/>
      <c r="BL29" s="56"/>
      <c r="BM29" s="56"/>
      <c r="BN29" s="70">
        <v>2</v>
      </c>
      <c r="BO29" s="70">
        <v>0</v>
      </c>
      <c r="BP29" s="71">
        <f>1-(SUM(IF(BD29-Uzman_D!$B$22&lt;0,-(BD29-Uzman_D!$B$22),BD29-Uzman_D!$B$22)*0.1+IF(BE29-Uzman_D!$C$22&lt;0,-(BE29-Uzman_D!$C$22),BE29-Uzman_D!$C$22)*0.1+IF(BF29-Uzman_D!$D$22&lt;0,-(BF29-Uzman_D!$D$22),BF29-Uzman_D!$D$22)*0.1+IF(BG29-Uzman_D!$E$22&lt;0,-(BG29-Uzman_D!$E$22),BG29-Uzman_D!$E$22)*0.1+IF(BH29-Uzman_D!$F$22&lt;0,-(BH29-Uzman_D!$F$22),BH29-Uzman_D!$F$22)*0.1+IF(BI29-Uzman_D!$G$22&lt;0,-(BI29-Uzman_D!$G$22),BI29-Uzman_D!$G$22)*0.1+IF(BJ29-Uzman_D!$H$22&lt;0,-(BJ29-Uzman_D!$H$22),BJ29-Uzman_D!$H$22)*0.1+IF(BK29-Uzman_D!$I$22&lt;0,-(BK29-Uzman_D!$I$22),BK29-Uzman_D!$I$22)*0.1+IF(BL29-Uzman_D!$J$22&lt;0,-(BL29-Uzman_D!$J$22),BL29-Uzman_D!$J$22)*0.1)+IF(ROUND((IF(BN29-Uzman_D!$L$22&lt;0,-(BN29-Uzman_D!$L$22),BN29-Uzman_D!$L$22)*2),0)/2=IF(BN29-Uzman_D!$L$22&lt;0,-(BN29-Uzman_D!$L$22),BN29-Uzman_D!$L$22),(ROUND((IF(BN29-Uzman_D!$L$22&lt;0,-(BN29-Uzman_D!$L$22),BN29-Uzman_D!$L$22)*2),0)/1*0.1),0)+IF(BO29-Uzman_D!$M$22&lt;0,-(BO29-Uzman_D!$M$22),BO29-Uzman_D!$M$22)*1)</f>
        <v>0.30000000000000004</v>
      </c>
      <c r="BQ29" s="72">
        <f t="shared" si="0"/>
        <v>0.41999999999999993</v>
      </c>
    </row>
    <row r="30" spans="1:69" ht="15" customHeight="1" x14ac:dyDescent="0.45">
      <c r="A30" s="54">
        <v>27</v>
      </c>
      <c r="B30" s="167" t="str">
        <f>Hakemler!B30</f>
        <v>KATRANCI</v>
      </c>
      <c r="C30" s="167" t="str">
        <f>Hakemler!C30</f>
        <v>AYŞEN</v>
      </c>
      <c r="D30" s="56"/>
      <c r="E30" s="56">
        <v>1</v>
      </c>
      <c r="F30" s="56">
        <v>3</v>
      </c>
      <c r="G30" s="56">
        <v>2</v>
      </c>
      <c r="H30" s="56"/>
      <c r="I30" s="56">
        <v>1</v>
      </c>
      <c r="J30" s="56"/>
      <c r="K30" s="56"/>
      <c r="L30" s="56"/>
      <c r="M30" s="56"/>
      <c r="N30" s="70">
        <v>2</v>
      </c>
      <c r="O30" s="70">
        <v>0.1</v>
      </c>
      <c r="P30" s="71">
        <f>1-(SUM(IF(D30-Uzman_D!$B$18&lt;0,-(D30-Uzman_D!$B$18),D30-Uzman_D!$B$18)*0.1+IF(E30-Uzman_D!$C$18&lt;0,-(E30-Uzman_D!$C$18),E30-Uzman_D!$C$18)*0.1+IF(F30-Uzman_D!$D$18&lt;0,-(F30-Uzman_D!$D$18),F30-Uzman_D!$D$18)*0.1+IF(G30-Uzman_D!$E$18&lt;0,-(G30-Uzman_D!$E$18),G30-Uzman_D!$E$18)*0.1+IF(H30-Uzman_D!$F$18&lt;0,-(H30-Uzman_D!$F$18),H30-Uzman_D!$F$18)*0.1+IF(I30-Uzman_D!$G$18&lt;0,-(I30-Uzman_D!$G$18),I30-Uzman_D!$G$18)*0.1+IF(J30-Uzman_D!$H$18&lt;0,-(J30-Uzman_D!$H$18),J30-Uzman_D!$H$18)*0.1+IF(K30-Uzman_D!$I$18&lt;0,-(K30-Uzman_D!$I$18),K30-Uzman_D!$I$18)*0.1+IF(L30-Uzman_D!$J$18&lt;0,-(L30-Uzman_D!$J$18),L30-Uzman_D!$J$18)*0.1)+IF(ROUND((IF(N30-Uzman_D!$L$18&lt;0,-(N30-Uzman_D!$L$18),N30-Uzman_D!$L$18)*2),0)/2=IF(N30-Uzman_D!$L$18&lt;0,-(N30-Uzman_D!$L$18),N30-Uzman_D!$L$18),(ROUND((IF(N30-Uzman_D!$L$18&lt;0,-(N30-Uzman_D!$L$18),N30-Uzman_D!$L$18)*2),0)/1*0.1),0)+IF(O30-Uzman_D!$M$18&lt;0,-(O30-Uzman_D!$M$18),O30-Uzman_D!$M$18)*1)</f>
        <v>0.19999999999999996</v>
      </c>
      <c r="Q30" s="56">
        <v>1</v>
      </c>
      <c r="R30" s="56">
        <v>3</v>
      </c>
      <c r="S30" s="56">
        <v>3</v>
      </c>
      <c r="T30" s="56">
        <v>1</v>
      </c>
      <c r="U30" s="56"/>
      <c r="V30" s="56"/>
      <c r="W30" s="56"/>
      <c r="X30" s="56"/>
      <c r="Y30" s="56"/>
      <c r="Z30" s="56"/>
      <c r="AA30" s="70">
        <v>2</v>
      </c>
      <c r="AB30" s="70">
        <v>0</v>
      </c>
      <c r="AC30" s="71">
        <f>1-(SUM(IF(Q30-Uzman_D!$B$19&lt;0,-(Q30-Uzman_D!$B$19),Q30-Uzman_D!$B$19)*0.1+IF(R30-Uzman_D!$C$19&lt;0,-(R30-Uzman_D!$C$19),R30-Uzman_D!$C$19)*0.1+IF(S30-Uzman_D!$D$19&lt;0,-(S30-Uzman_D!$D$19),S30-Uzman_D!$D$19)*0.1+IF(T30-Uzman_D!$E$19&lt;0,-(T30-Uzman_D!$E$19),T30-Uzman_D!$E$19)*0.1+IF(U30-Uzman_D!$F$19&lt;0,-(U30-Uzman_D!$F$19),U30-Uzman_D!$F$19)*0.1+IF(V30-Uzman_D!$G$19&lt;0,-(V30-Uzman_D!$G$19),V30-Uzman_D!$G$19)*0.1+IF(W30-Uzman_D!$H$19&lt;0,-(W30-Uzman_D!$H$19),W30-Uzman_D!$H$19)*0.1+IF(X30-Uzman_D!$I$19&lt;0,-(X30-Uzman_D!$I$19),X30-Uzman_D!$I$19)*0.1+IF(Y30-Uzman_D!$J$19&lt;0,-(Y30-Uzman_D!$J$19),Y30-Uzman_D!$J$19)*0.1)+IF(ROUND((IF(AA30-Uzman_D!$L$19&lt;0,-(AA30-Uzman_D!$L$19),AA30-Uzman_D!$L$19)*2),0)/2=IF(AA30-Uzman_D!$L$19&lt;0,-(AA30-Uzman_D!$L$19),AA30-Uzman_D!$L$19),(ROUND((IF(AA30-Uzman_D!$L$19&lt;0,-(AA30-Uzman_D!$L$19),AA30-Uzman_D!$L$19)*2),0)/1*0.1),0)+IF(AB30-Uzman_D!$M$19&lt;0,-(AB30-Uzman_D!$M$19),AB30-Uzman_D!$M$19)*1)</f>
        <v>0.4</v>
      </c>
      <c r="AD30" s="56"/>
      <c r="AE30" s="56">
        <v>2</v>
      </c>
      <c r="AF30" s="56">
        <v>3</v>
      </c>
      <c r="AG30" s="56">
        <v>3</v>
      </c>
      <c r="AH30" s="56"/>
      <c r="AI30" s="56"/>
      <c r="AJ30" s="56"/>
      <c r="AK30" s="56"/>
      <c r="AL30" s="56"/>
      <c r="AM30" s="56"/>
      <c r="AN30" s="70">
        <v>2</v>
      </c>
      <c r="AO30" s="70">
        <v>0.2</v>
      </c>
      <c r="AP30" s="71">
        <f>1-(SUM(IF(AD30-Uzman_D!$B$20&lt;0,-(AD30-Uzman_D!$B$20),AD30-Uzman_D!$B$20)*0.1+IF(AE30-Uzman_D!$C$20&lt;0,-(AE30-Uzman_D!$C$20),AE30-Uzman_D!$C$20)*0.1+IF(AF30-Uzman_D!$D$20&lt;0,-(AF30-Uzman_D!$D$20),AF30-Uzman_D!$D$20)*0.1+IF(AG30-Uzman_D!$E$20&lt;0,-(AG30-Uzman_D!$E$20),AG30-Uzman_D!$E$20)*0.1+IF(AH30-Uzman_D!$F$20&lt;0,-(AH30-Uzman_D!$F$20),AH30-Uzman_D!$F$20)*0.1+IF(AI30-Uzman_D!$G$20&lt;0,-(AI30-Uzman_D!$G$20),AI30-Uzman_D!$G$20)*0.1+IF(AJ30-Uzman_D!$H$20&lt;0,-(AJ30-Uzman_D!$H$20),AJ30-Uzman_D!$H$20)*0.1+IF(AK30-Uzman_D!$I$20&lt;0,-(AK30-Uzman_D!$I$20),AK30-Uzman_D!$I$20)*0.1+IF(AL30-Uzman_D!$J$20&lt;0,-(AL30-Uzman_D!$J$20),AL30-Uzman_D!$J$20)*0.1)+IF(ROUND((IF(AN30-Uzman_D!$L$20&lt;0,-(AN30-Uzman_D!$L$20),AN30-Uzman_D!$L$20)*2),0)/2=IF(AN30-Uzman_D!$L$20&lt;0,-(AN30-Uzman_D!$L$20),AN30-Uzman_D!$L$20),(ROUND((IF(AN30-Uzman_D!$L$20&lt;0,-(AN30-Uzman_D!$L$20),AN30-Uzman_D!$L$20)*2),0)/1*0.1),0)+IF(AO30-Uzman_D!$M$20&lt;0,-(AO30-Uzman_D!$M$20),AO30-Uzman_D!$M$20)*1)</f>
        <v>0.8</v>
      </c>
      <c r="AQ30" s="56">
        <v>1</v>
      </c>
      <c r="AR30" s="56">
        <v>2</v>
      </c>
      <c r="AS30" s="56">
        <v>4</v>
      </c>
      <c r="AT30" s="56"/>
      <c r="AU30" s="56"/>
      <c r="AV30" s="56"/>
      <c r="AW30" s="56"/>
      <c r="AX30" s="56"/>
      <c r="AY30" s="56"/>
      <c r="AZ30" s="56"/>
      <c r="BA30" s="70">
        <v>1.5</v>
      </c>
      <c r="BB30" s="70">
        <v>0</v>
      </c>
      <c r="BC30" s="71">
        <f>1-(SUM(IF(AQ30-Uzman_D!$B$21&lt;0,-(AQ30-Uzman_D!$B$21),AQ30-Uzman_D!$B$21)*0.1+IF(AR30-Uzman_D!$C$21&lt;0,-(AR30-Uzman_D!$C$21),AR30-Uzman_D!$C$21)*0.1+IF(AS30-Uzman_D!$D$21&lt;0,-(AS30-Uzman_D!$D$21),AS30-Uzman_D!$D$21)*0.1+IF(AT30-Uzman_D!$E$21&lt;0,-(AT30-Uzman_D!$E$21),AT30-Uzman_D!$E$21)*0.1+IF(AU30-Uzman_D!$F$21&lt;0,-(AU30-Uzman_D!$F$21),AU30-Uzman_D!$F$21)*0.1+IF(AV30-Uzman_D!$G$21&lt;0,-(AV30-Uzman_D!$G$21),AV30-Uzman_D!$G$21)*0.1+IF(AW30-Uzman_D!$H$21&lt;0,-(AW30-Uzman_D!$H$21),AW30-Uzman_D!$H$21)*0.1+IF(AX30-Uzman_D!$I$21&lt;0,-(AX30-Uzman_D!$I$21),AX30-Uzman_D!$I$21)*0.1+IF(AY30-Uzman_D!$J$21&lt;0,-(AY30-Uzman_D!$J$21),AY30-Uzman_D!$J$21)*0.1)+IF(ROUND((IF(BA30-Uzman_D!$L$21&lt;0,-(BA30-Uzman_D!$L$21),BA30-Uzman_D!$L$21)*2),0)/2=IF(BA30-Uzman_D!$L$21&lt;0,-(BA30-Uzman_D!$L$21),BA30-Uzman_D!$L$21),(ROUND((IF(BA30-Uzman_D!$L$21&lt;0,-(BA30-Uzman_D!$L$21),BA30-Uzman_D!$L$21)*2),0)/1*0.1),0)+IF(BB30-Uzman_D!$M$21&lt;0,-(BB30-Uzman_D!$M$21),BB30-Uzman_D!$M$21)*1)</f>
        <v>0.9</v>
      </c>
      <c r="BD30" s="56">
        <v>2</v>
      </c>
      <c r="BE30" s="56">
        <v>1</v>
      </c>
      <c r="BF30" s="56">
        <v>4</v>
      </c>
      <c r="BG30" s="56">
        <v>1</v>
      </c>
      <c r="BH30" s="56"/>
      <c r="BI30" s="56"/>
      <c r="BJ30" s="56"/>
      <c r="BK30" s="56"/>
      <c r="BL30" s="56"/>
      <c r="BM30" s="56"/>
      <c r="BN30" s="70">
        <v>2</v>
      </c>
      <c r="BO30" s="70">
        <v>0</v>
      </c>
      <c r="BP30" s="71">
        <f>1-(SUM(IF(BD30-Uzman_D!$B$22&lt;0,-(BD30-Uzman_D!$B$22),BD30-Uzman_D!$B$22)*0.1+IF(BE30-Uzman_D!$C$22&lt;0,-(BE30-Uzman_D!$C$22),BE30-Uzman_D!$C$22)*0.1+IF(BF30-Uzman_D!$D$22&lt;0,-(BF30-Uzman_D!$D$22),BF30-Uzman_D!$D$22)*0.1+IF(BG30-Uzman_D!$E$22&lt;0,-(BG30-Uzman_D!$E$22),BG30-Uzman_D!$E$22)*0.1+IF(BH30-Uzman_D!$F$22&lt;0,-(BH30-Uzman_D!$F$22),BH30-Uzman_D!$F$22)*0.1+IF(BI30-Uzman_D!$G$22&lt;0,-(BI30-Uzman_D!$G$22),BI30-Uzman_D!$G$22)*0.1+IF(BJ30-Uzman_D!$H$22&lt;0,-(BJ30-Uzman_D!$H$22),BJ30-Uzman_D!$H$22)*0.1+IF(BK30-Uzman_D!$I$22&lt;0,-(BK30-Uzman_D!$I$22),BK30-Uzman_D!$I$22)*0.1+IF(BL30-Uzman_D!$J$22&lt;0,-(BL30-Uzman_D!$J$22),BL30-Uzman_D!$J$22)*0.1)+IF(ROUND((IF(BN30-Uzman_D!$L$22&lt;0,-(BN30-Uzman_D!$L$22),BN30-Uzman_D!$L$22)*2),0)/2=IF(BN30-Uzman_D!$L$22&lt;0,-(BN30-Uzman_D!$L$22),BN30-Uzman_D!$L$22),(ROUND((IF(BN30-Uzman_D!$L$22&lt;0,-(BN30-Uzman_D!$L$22),BN30-Uzman_D!$L$22)*2),0)/1*0.1),0)+IF(BO30-Uzman_D!$M$22&lt;0,-(BO30-Uzman_D!$M$22),BO30-Uzman_D!$M$22)*1)</f>
        <v>0.7</v>
      </c>
      <c r="BQ30" s="72">
        <f t="shared" si="0"/>
        <v>0.6</v>
      </c>
    </row>
    <row r="31" spans="1:69" ht="15" customHeight="1" x14ac:dyDescent="0.45">
      <c r="A31" s="54">
        <v>28</v>
      </c>
      <c r="B31" s="167" t="str">
        <f>Hakemler!B31</f>
        <v>GÜRKAN KİRAZ</v>
      </c>
      <c r="C31" s="167" t="str">
        <f>Hakemler!C31</f>
        <v>FULYA</v>
      </c>
      <c r="D31" s="56"/>
      <c r="E31" s="56">
        <v>3</v>
      </c>
      <c r="F31" s="56">
        <v>2</v>
      </c>
      <c r="G31" s="56">
        <v>2</v>
      </c>
      <c r="H31" s="56"/>
      <c r="I31" s="56"/>
      <c r="J31" s="56"/>
      <c r="K31" s="56"/>
      <c r="L31" s="56"/>
      <c r="M31" s="56"/>
      <c r="N31" s="70">
        <v>1</v>
      </c>
      <c r="O31" s="70">
        <v>0</v>
      </c>
      <c r="P31" s="71">
        <f>1-(SUM(IF(D31-Uzman_D!$B$18&lt;0,-(D31-Uzman_D!$B$18),D31-Uzman_D!$B$18)*0.1+IF(E31-Uzman_D!$C$18&lt;0,-(E31-Uzman_D!$C$18),E31-Uzman_D!$C$18)*0.1+IF(F31-Uzman_D!$D$18&lt;0,-(F31-Uzman_D!$D$18),F31-Uzman_D!$D$18)*0.1+IF(G31-Uzman_D!$E$18&lt;0,-(G31-Uzman_D!$E$18),G31-Uzman_D!$E$18)*0.1+IF(H31-Uzman_D!$F$18&lt;0,-(H31-Uzman_D!$F$18),H31-Uzman_D!$F$18)*0.1+IF(I31-Uzman_D!$G$18&lt;0,-(I31-Uzman_D!$G$18),I31-Uzman_D!$G$18)*0.1+IF(J31-Uzman_D!$H$18&lt;0,-(J31-Uzman_D!$H$18),J31-Uzman_D!$H$18)*0.1+IF(K31-Uzman_D!$I$18&lt;0,-(K31-Uzman_D!$I$18),K31-Uzman_D!$I$18)*0.1+IF(L31-Uzman_D!$J$18&lt;0,-(L31-Uzman_D!$J$18),L31-Uzman_D!$J$18)*0.1)+IF(ROUND((IF(N31-Uzman_D!$L$18&lt;0,-(N31-Uzman_D!$L$18),N31-Uzman_D!$L$18)*2),0)/2=IF(N31-Uzman_D!$L$18&lt;0,-(N31-Uzman_D!$L$18),N31-Uzman_D!$L$18),(ROUND((IF(N31-Uzman_D!$L$18&lt;0,-(N31-Uzman_D!$L$18),N31-Uzman_D!$L$18)*2),0)/1*0.1),0)+IF(O31-Uzman_D!$M$18&lt;0,-(O31-Uzman_D!$M$18),O31-Uzman_D!$M$18)*1)</f>
        <v>-0.29999999999999982</v>
      </c>
      <c r="Q31" s="56"/>
      <c r="R31" s="56">
        <v>2</v>
      </c>
      <c r="S31" s="56">
        <v>4</v>
      </c>
      <c r="T31" s="56">
        <v>2</v>
      </c>
      <c r="U31" s="56"/>
      <c r="V31" s="56"/>
      <c r="W31" s="56"/>
      <c r="X31" s="56"/>
      <c r="Y31" s="56"/>
      <c r="Z31" s="56"/>
      <c r="AA31" s="70">
        <v>1.5</v>
      </c>
      <c r="AB31" s="70">
        <v>0</v>
      </c>
      <c r="AC31" s="71">
        <f>1-(SUM(IF(Q31-Uzman_D!$B$19&lt;0,-(Q31-Uzman_D!$B$19),Q31-Uzman_D!$B$19)*0.1+IF(R31-Uzman_D!$C$19&lt;0,-(R31-Uzman_D!$C$19),R31-Uzman_D!$C$19)*0.1+IF(S31-Uzman_D!$D$19&lt;0,-(S31-Uzman_D!$D$19),S31-Uzman_D!$D$19)*0.1+IF(T31-Uzman_D!$E$19&lt;0,-(T31-Uzman_D!$E$19),T31-Uzman_D!$E$19)*0.1+IF(U31-Uzman_D!$F$19&lt;0,-(U31-Uzman_D!$F$19),U31-Uzman_D!$F$19)*0.1+IF(V31-Uzman_D!$G$19&lt;0,-(V31-Uzman_D!$G$19),V31-Uzman_D!$G$19)*0.1+IF(W31-Uzman_D!$H$19&lt;0,-(W31-Uzman_D!$H$19),W31-Uzman_D!$H$19)*0.1+IF(X31-Uzman_D!$I$19&lt;0,-(X31-Uzman_D!$I$19),X31-Uzman_D!$I$19)*0.1+IF(Y31-Uzman_D!$J$19&lt;0,-(Y31-Uzman_D!$J$19),Y31-Uzman_D!$J$19)*0.1)+IF(ROUND((IF(AA31-Uzman_D!$L$19&lt;0,-(AA31-Uzman_D!$L$19),AA31-Uzman_D!$L$19)*2),0)/2=IF(AA31-Uzman_D!$L$19&lt;0,-(AA31-Uzman_D!$L$19),AA31-Uzman_D!$L$19),(ROUND((IF(AA31-Uzman_D!$L$19&lt;0,-(AA31-Uzman_D!$L$19),AA31-Uzman_D!$L$19)*2),0)/1*0.1),0)+IF(AB31-Uzman_D!$M$19&lt;0,-(AB31-Uzman_D!$M$19),AB31-Uzman_D!$M$19)*1)</f>
        <v>0.7</v>
      </c>
      <c r="AD31" s="56"/>
      <c r="AE31" s="56"/>
      <c r="AF31" s="56">
        <v>3</v>
      </c>
      <c r="AG31" s="56">
        <v>5</v>
      </c>
      <c r="AH31" s="56"/>
      <c r="AI31" s="56"/>
      <c r="AJ31" s="56"/>
      <c r="AK31" s="56"/>
      <c r="AL31" s="56"/>
      <c r="AM31" s="56"/>
      <c r="AN31" s="70">
        <v>2</v>
      </c>
      <c r="AO31" s="70">
        <v>0</v>
      </c>
      <c r="AP31" s="71">
        <f>1-(SUM(IF(AD31-Uzman_D!$B$20&lt;0,-(AD31-Uzman_D!$B$20),AD31-Uzman_D!$B$20)*0.1+IF(AE31-Uzman_D!$C$20&lt;0,-(AE31-Uzman_D!$C$20),AE31-Uzman_D!$C$20)*0.1+IF(AF31-Uzman_D!$D$20&lt;0,-(AF31-Uzman_D!$D$20),AF31-Uzman_D!$D$20)*0.1+IF(AG31-Uzman_D!$E$20&lt;0,-(AG31-Uzman_D!$E$20),AG31-Uzman_D!$E$20)*0.1+IF(AH31-Uzman_D!$F$20&lt;0,-(AH31-Uzman_D!$F$20),AH31-Uzman_D!$F$20)*0.1+IF(AI31-Uzman_D!$G$20&lt;0,-(AI31-Uzman_D!$G$20),AI31-Uzman_D!$G$20)*0.1+IF(AJ31-Uzman_D!$H$20&lt;0,-(AJ31-Uzman_D!$H$20),AJ31-Uzman_D!$H$20)*0.1+IF(AK31-Uzman_D!$I$20&lt;0,-(AK31-Uzman_D!$I$20),AK31-Uzman_D!$I$20)*0.1+IF(AL31-Uzman_D!$J$20&lt;0,-(AL31-Uzman_D!$J$20),AL31-Uzman_D!$J$20)*0.1)+IF(ROUND((IF(AN31-Uzman_D!$L$20&lt;0,-(AN31-Uzman_D!$L$20),AN31-Uzman_D!$L$20)*2),0)/2=IF(AN31-Uzman_D!$L$20&lt;0,-(AN31-Uzman_D!$L$20),AN31-Uzman_D!$L$20),(ROUND((IF(AN31-Uzman_D!$L$20&lt;0,-(AN31-Uzman_D!$L$20),AN31-Uzman_D!$L$20)*2),0)/1*0.1),0)+IF(AO31-Uzman_D!$M$20&lt;0,-(AO31-Uzman_D!$M$20),AO31-Uzman_D!$M$20)*1)</f>
        <v>0.6</v>
      </c>
      <c r="AQ31" s="56">
        <v>1</v>
      </c>
      <c r="AR31" s="56">
        <v>3</v>
      </c>
      <c r="AS31" s="56">
        <v>4</v>
      </c>
      <c r="AT31" s="56"/>
      <c r="AU31" s="56"/>
      <c r="AV31" s="56"/>
      <c r="AW31" s="56"/>
      <c r="AX31" s="56"/>
      <c r="AY31" s="56"/>
      <c r="AZ31" s="56"/>
      <c r="BA31" s="70">
        <v>1.5</v>
      </c>
      <c r="BB31" s="70">
        <v>0</v>
      </c>
      <c r="BC31" s="71">
        <f>1-(SUM(IF(AQ31-Uzman_D!$B$21&lt;0,-(AQ31-Uzman_D!$B$21),AQ31-Uzman_D!$B$21)*0.1+IF(AR31-Uzman_D!$C$21&lt;0,-(AR31-Uzman_D!$C$21),AR31-Uzman_D!$C$21)*0.1+IF(AS31-Uzman_D!$D$21&lt;0,-(AS31-Uzman_D!$D$21),AS31-Uzman_D!$D$21)*0.1+IF(AT31-Uzman_D!$E$21&lt;0,-(AT31-Uzman_D!$E$21),AT31-Uzman_D!$E$21)*0.1+IF(AU31-Uzman_D!$F$21&lt;0,-(AU31-Uzman_D!$F$21),AU31-Uzman_D!$F$21)*0.1+IF(AV31-Uzman_D!$G$21&lt;0,-(AV31-Uzman_D!$G$21),AV31-Uzman_D!$G$21)*0.1+IF(AW31-Uzman_D!$H$21&lt;0,-(AW31-Uzman_D!$H$21),AW31-Uzman_D!$H$21)*0.1+IF(AX31-Uzman_D!$I$21&lt;0,-(AX31-Uzman_D!$I$21),AX31-Uzman_D!$I$21)*0.1+IF(AY31-Uzman_D!$J$21&lt;0,-(AY31-Uzman_D!$J$21),AY31-Uzman_D!$J$21)*0.1)+IF(ROUND((IF(BA31-Uzman_D!$L$21&lt;0,-(BA31-Uzman_D!$L$21),BA31-Uzman_D!$L$21)*2),0)/2=IF(BA31-Uzman_D!$L$21&lt;0,-(BA31-Uzman_D!$L$21),BA31-Uzman_D!$L$21),(ROUND((IF(BA31-Uzman_D!$L$21&lt;0,-(BA31-Uzman_D!$L$21),BA31-Uzman_D!$L$21)*2),0)/1*0.1),0)+IF(BB31-Uzman_D!$M$21&lt;0,-(BB31-Uzman_D!$M$21),BB31-Uzman_D!$M$21)*1)</f>
        <v>0.8</v>
      </c>
      <c r="BD31" s="56"/>
      <c r="BE31" s="56">
        <v>2</v>
      </c>
      <c r="BF31" s="56">
        <v>4</v>
      </c>
      <c r="BG31" s="56">
        <v>1</v>
      </c>
      <c r="BH31" s="56"/>
      <c r="BI31" s="56">
        <v>1</v>
      </c>
      <c r="BJ31" s="56"/>
      <c r="BK31" s="56"/>
      <c r="BL31" s="56"/>
      <c r="BM31" s="56"/>
      <c r="BN31" s="70">
        <v>2</v>
      </c>
      <c r="BO31" s="70">
        <v>0</v>
      </c>
      <c r="BP31" s="71">
        <f>1-(SUM(IF(BD31-Uzman_D!$B$22&lt;0,-(BD31-Uzman_D!$B$22),BD31-Uzman_D!$B$22)*0.1+IF(BE31-Uzman_D!$C$22&lt;0,-(BE31-Uzman_D!$C$22),BE31-Uzman_D!$C$22)*0.1+IF(BF31-Uzman_D!$D$22&lt;0,-(BF31-Uzman_D!$D$22),BF31-Uzman_D!$D$22)*0.1+IF(BG31-Uzman_D!$E$22&lt;0,-(BG31-Uzman_D!$E$22),BG31-Uzman_D!$E$22)*0.1+IF(BH31-Uzman_D!$F$22&lt;0,-(BH31-Uzman_D!$F$22),BH31-Uzman_D!$F$22)*0.1+IF(BI31-Uzman_D!$G$22&lt;0,-(BI31-Uzman_D!$G$22),BI31-Uzman_D!$G$22)*0.1+IF(BJ31-Uzman_D!$H$22&lt;0,-(BJ31-Uzman_D!$H$22),BJ31-Uzman_D!$H$22)*0.1+IF(BK31-Uzman_D!$I$22&lt;0,-(BK31-Uzman_D!$I$22),BK31-Uzman_D!$I$22)*0.1+IF(BL31-Uzman_D!$J$22&lt;0,-(BL31-Uzman_D!$J$22),BL31-Uzman_D!$J$22)*0.1)+IF(ROUND((IF(BN31-Uzman_D!$L$22&lt;0,-(BN31-Uzman_D!$L$22),BN31-Uzman_D!$L$22)*2),0)/2=IF(BN31-Uzman_D!$L$22&lt;0,-(BN31-Uzman_D!$L$22),BN31-Uzman_D!$L$22),(ROUND((IF(BN31-Uzman_D!$L$22&lt;0,-(BN31-Uzman_D!$L$22),BN31-Uzman_D!$L$22)*2),0)/1*0.1),0)+IF(BO31-Uzman_D!$M$22&lt;0,-(BO31-Uzman_D!$M$22),BO31-Uzman_D!$M$22)*1)</f>
        <v>0.7</v>
      </c>
      <c r="BQ31" s="72">
        <f t="shared" si="0"/>
        <v>0.5</v>
      </c>
    </row>
    <row r="32" spans="1:69" ht="15" customHeight="1" x14ac:dyDescent="0.45">
      <c r="A32" s="54">
        <v>29</v>
      </c>
      <c r="B32" s="167" t="str">
        <f>Hakemler!B32</f>
        <v>KILIÇ</v>
      </c>
      <c r="C32" s="167" t="str">
        <f>Hakemler!C32</f>
        <v>AYŞE</v>
      </c>
      <c r="D32" s="56"/>
      <c r="E32" s="56">
        <v>3</v>
      </c>
      <c r="F32" s="56">
        <v>1</v>
      </c>
      <c r="G32" s="56">
        <v>3</v>
      </c>
      <c r="H32" s="56">
        <v>2</v>
      </c>
      <c r="I32" s="56"/>
      <c r="J32" s="56"/>
      <c r="K32" s="56"/>
      <c r="L32" s="56"/>
      <c r="M32" s="56"/>
      <c r="N32" s="70">
        <v>2</v>
      </c>
      <c r="O32" s="70">
        <v>0.3</v>
      </c>
      <c r="P32" s="71">
        <f>1-(SUM(IF(D32-Uzman_D!$B$18&lt;0,-(D32-Uzman_D!$B$18),D32-Uzman_D!$B$18)*0.1+IF(E32-Uzman_D!$C$18&lt;0,-(E32-Uzman_D!$C$18),E32-Uzman_D!$C$18)*0.1+IF(F32-Uzman_D!$D$18&lt;0,-(F32-Uzman_D!$D$18),F32-Uzman_D!$D$18)*0.1+IF(G32-Uzman_D!$E$18&lt;0,-(G32-Uzman_D!$E$18),G32-Uzman_D!$E$18)*0.1+IF(H32-Uzman_D!$F$18&lt;0,-(H32-Uzman_D!$F$18),H32-Uzman_D!$F$18)*0.1+IF(I32-Uzman_D!$G$18&lt;0,-(I32-Uzman_D!$G$18),I32-Uzman_D!$G$18)*0.1+IF(J32-Uzman_D!$H$18&lt;0,-(J32-Uzman_D!$H$18),J32-Uzman_D!$H$18)*0.1+IF(K32-Uzman_D!$I$18&lt;0,-(K32-Uzman_D!$I$18),K32-Uzman_D!$I$18)*0.1+IF(L32-Uzman_D!$J$18&lt;0,-(L32-Uzman_D!$J$18),L32-Uzman_D!$J$18)*0.1)+IF(ROUND((IF(N32-Uzman_D!$L$18&lt;0,-(N32-Uzman_D!$L$18),N32-Uzman_D!$L$18)*2),0)/2=IF(N32-Uzman_D!$L$18&lt;0,-(N32-Uzman_D!$L$18),N32-Uzman_D!$L$18),(ROUND((IF(N32-Uzman_D!$L$18&lt;0,-(N32-Uzman_D!$L$18),N32-Uzman_D!$L$18)*2),0)/1*0.1),0)+IF(O32-Uzman_D!$M$18&lt;0,-(O32-Uzman_D!$M$18),O32-Uzman_D!$M$18)*1)</f>
        <v>0.19999999999999996</v>
      </c>
      <c r="Q32" s="56"/>
      <c r="R32" s="56">
        <v>1</v>
      </c>
      <c r="S32" s="56">
        <v>5</v>
      </c>
      <c r="T32" s="56">
        <v>2</v>
      </c>
      <c r="U32" s="56"/>
      <c r="V32" s="56"/>
      <c r="W32" s="56"/>
      <c r="X32" s="56"/>
      <c r="Y32" s="56"/>
      <c r="Z32" s="56"/>
      <c r="AA32" s="70">
        <v>2</v>
      </c>
      <c r="AB32" s="70">
        <v>0</v>
      </c>
      <c r="AC32" s="71">
        <f>1-(SUM(IF(Q32-Uzman_D!$B$19&lt;0,-(Q32-Uzman_D!$B$19),Q32-Uzman_D!$B$19)*0.1+IF(R32-Uzman_D!$C$19&lt;0,-(R32-Uzman_D!$C$19),R32-Uzman_D!$C$19)*0.1+IF(S32-Uzman_D!$D$19&lt;0,-(S32-Uzman_D!$D$19),S32-Uzman_D!$D$19)*0.1+IF(T32-Uzman_D!$E$19&lt;0,-(T32-Uzman_D!$E$19),T32-Uzman_D!$E$19)*0.1+IF(U32-Uzman_D!$F$19&lt;0,-(U32-Uzman_D!$F$19),U32-Uzman_D!$F$19)*0.1+IF(V32-Uzman_D!$G$19&lt;0,-(V32-Uzman_D!$G$19),V32-Uzman_D!$G$19)*0.1+IF(W32-Uzman_D!$H$19&lt;0,-(W32-Uzman_D!$H$19),W32-Uzman_D!$H$19)*0.1+IF(X32-Uzman_D!$I$19&lt;0,-(X32-Uzman_D!$I$19),X32-Uzman_D!$I$19)*0.1+IF(Y32-Uzman_D!$J$19&lt;0,-(Y32-Uzman_D!$J$19),Y32-Uzman_D!$J$19)*0.1)+IF(ROUND((IF(AA32-Uzman_D!$L$19&lt;0,-(AA32-Uzman_D!$L$19),AA32-Uzman_D!$L$19)*2),0)/2=IF(AA32-Uzman_D!$L$19&lt;0,-(AA32-Uzman_D!$L$19),AA32-Uzman_D!$L$19),(ROUND((IF(AA32-Uzman_D!$L$19&lt;0,-(AA32-Uzman_D!$L$19),AA32-Uzman_D!$L$19)*2),0)/1*0.1),0)+IF(AB32-Uzman_D!$M$19&lt;0,-(AB32-Uzman_D!$M$19),AB32-Uzman_D!$M$19)*1)</f>
        <v>1</v>
      </c>
      <c r="AD32" s="56"/>
      <c r="AE32" s="56"/>
      <c r="AF32" s="56">
        <v>2</v>
      </c>
      <c r="AG32" s="56">
        <v>5</v>
      </c>
      <c r="AH32" s="56"/>
      <c r="AI32" s="56"/>
      <c r="AJ32" s="56"/>
      <c r="AK32" s="56"/>
      <c r="AL32" s="56"/>
      <c r="AM32" s="56"/>
      <c r="AN32" s="70">
        <v>2</v>
      </c>
      <c r="AO32" s="70">
        <v>0.2</v>
      </c>
      <c r="AP32" s="71">
        <f>1-(SUM(IF(AD32-Uzman_D!$B$20&lt;0,-(AD32-Uzman_D!$B$20),AD32-Uzman_D!$B$20)*0.1+IF(AE32-Uzman_D!$C$20&lt;0,-(AE32-Uzman_D!$C$20),AE32-Uzman_D!$C$20)*0.1+IF(AF32-Uzman_D!$D$20&lt;0,-(AF32-Uzman_D!$D$20),AF32-Uzman_D!$D$20)*0.1+IF(AG32-Uzman_D!$E$20&lt;0,-(AG32-Uzman_D!$E$20),AG32-Uzman_D!$E$20)*0.1+IF(AH32-Uzman_D!$F$20&lt;0,-(AH32-Uzman_D!$F$20),AH32-Uzman_D!$F$20)*0.1+IF(AI32-Uzman_D!$G$20&lt;0,-(AI32-Uzman_D!$G$20),AI32-Uzman_D!$G$20)*0.1+IF(AJ32-Uzman_D!$H$20&lt;0,-(AJ32-Uzman_D!$H$20),AJ32-Uzman_D!$H$20)*0.1+IF(AK32-Uzman_D!$I$20&lt;0,-(AK32-Uzman_D!$I$20),AK32-Uzman_D!$I$20)*0.1+IF(AL32-Uzman_D!$J$20&lt;0,-(AL32-Uzman_D!$J$20),AL32-Uzman_D!$J$20)*0.1)+IF(ROUND((IF(AN32-Uzman_D!$L$20&lt;0,-(AN32-Uzman_D!$L$20),AN32-Uzman_D!$L$20)*2),0)/2=IF(AN32-Uzman_D!$L$20&lt;0,-(AN32-Uzman_D!$L$20),AN32-Uzman_D!$L$20),(ROUND((IF(AN32-Uzman_D!$L$20&lt;0,-(AN32-Uzman_D!$L$20),AN32-Uzman_D!$L$20)*2),0)/1*0.1),0)+IF(AO32-Uzman_D!$M$20&lt;0,-(AO32-Uzman_D!$M$20),AO32-Uzman_D!$M$20)*1)</f>
        <v>0.7</v>
      </c>
      <c r="AQ32" s="56"/>
      <c r="AR32" s="56">
        <v>3</v>
      </c>
      <c r="AS32" s="56">
        <v>4</v>
      </c>
      <c r="AT32" s="56"/>
      <c r="AU32" s="56"/>
      <c r="AV32" s="56"/>
      <c r="AW32" s="56"/>
      <c r="AX32" s="56"/>
      <c r="AY32" s="56"/>
      <c r="AZ32" s="56"/>
      <c r="BA32" s="70">
        <v>1.5</v>
      </c>
      <c r="BB32" s="70">
        <v>0</v>
      </c>
      <c r="BC32" s="71">
        <f>1-(SUM(IF(AQ32-Uzman_D!$B$21&lt;0,-(AQ32-Uzman_D!$B$21),AQ32-Uzman_D!$B$21)*0.1+IF(AR32-Uzman_D!$C$21&lt;0,-(AR32-Uzman_D!$C$21),AR32-Uzman_D!$C$21)*0.1+IF(AS32-Uzman_D!$D$21&lt;0,-(AS32-Uzman_D!$D$21),AS32-Uzman_D!$D$21)*0.1+IF(AT32-Uzman_D!$E$21&lt;0,-(AT32-Uzman_D!$E$21),AT32-Uzman_D!$E$21)*0.1+IF(AU32-Uzman_D!$F$21&lt;0,-(AU32-Uzman_D!$F$21),AU32-Uzman_D!$F$21)*0.1+IF(AV32-Uzman_D!$G$21&lt;0,-(AV32-Uzman_D!$G$21),AV32-Uzman_D!$G$21)*0.1+IF(AW32-Uzman_D!$H$21&lt;0,-(AW32-Uzman_D!$H$21),AW32-Uzman_D!$H$21)*0.1+IF(AX32-Uzman_D!$I$21&lt;0,-(AX32-Uzman_D!$I$21),AX32-Uzman_D!$I$21)*0.1+IF(AY32-Uzman_D!$J$21&lt;0,-(AY32-Uzman_D!$J$21),AY32-Uzman_D!$J$21)*0.1)+IF(ROUND((IF(BA32-Uzman_D!$L$21&lt;0,-(BA32-Uzman_D!$L$21),BA32-Uzman_D!$L$21)*2),0)/2=IF(BA32-Uzman_D!$L$21&lt;0,-(BA32-Uzman_D!$L$21),BA32-Uzman_D!$L$21),(ROUND((IF(BA32-Uzman_D!$L$21&lt;0,-(BA32-Uzman_D!$L$21),BA32-Uzman_D!$L$21)*2),0)/1*0.1),0)+IF(BB32-Uzman_D!$M$21&lt;0,-(BB32-Uzman_D!$M$21),BB32-Uzman_D!$M$21)*1)</f>
        <v>0.7</v>
      </c>
      <c r="BD32" s="56">
        <v>1</v>
      </c>
      <c r="BE32" s="56">
        <v>1</v>
      </c>
      <c r="BF32" s="56">
        <v>4</v>
      </c>
      <c r="BG32" s="56">
        <v>2</v>
      </c>
      <c r="BH32" s="56"/>
      <c r="BI32" s="56"/>
      <c r="BJ32" s="56"/>
      <c r="BK32" s="56"/>
      <c r="BL32" s="56"/>
      <c r="BM32" s="56"/>
      <c r="BN32" s="70">
        <v>2</v>
      </c>
      <c r="BO32" s="70">
        <v>0</v>
      </c>
      <c r="BP32" s="71">
        <f>1-(SUM(IF(BD32-Uzman_D!$B$22&lt;0,-(BD32-Uzman_D!$B$22),BD32-Uzman_D!$B$22)*0.1+IF(BE32-Uzman_D!$C$22&lt;0,-(BE32-Uzman_D!$C$22),BE32-Uzman_D!$C$22)*0.1+IF(BF32-Uzman_D!$D$22&lt;0,-(BF32-Uzman_D!$D$22),BF32-Uzman_D!$D$22)*0.1+IF(BG32-Uzman_D!$E$22&lt;0,-(BG32-Uzman_D!$E$22),BG32-Uzman_D!$E$22)*0.1+IF(BH32-Uzman_D!$F$22&lt;0,-(BH32-Uzman_D!$F$22),BH32-Uzman_D!$F$22)*0.1+IF(BI32-Uzman_D!$G$22&lt;0,-(BI32-Uzman_D!$G$22),BI32-Uzman_D!$G$22)*0.1+IF(BJ32-Uzman_D!$H$22&lt;0,-(BJ32-Uzman_D!$H$22),BJ32-Uzman_D!$H$22)*0.1+IF(BK32-Uzman_D!$I$22&lt;0,-(BK32-Uzman_D!$I$22),BK32-Uzman_D!$I$22)*0.1+IF(BL32-Uzman_D!$J$22&lt;0,-(BL32-Uzman_D!$J$22),BL32-Uzman_D!$J$22)*0.1)+IF(ROUND((IF(BN32-Uzman_D!$L$22&lt;0,-(BN32-Uzman_D!$L$22),BN32-Uzman_D!$L$22)*2),0)/2=IF(BN32-Uzman_D!$L$22&lt;0,-(BN32-Uzman_D!$L$22),BN32-Uzman_D!$L$22),(ROUND((IF(BN32-Uzman_D!$L$22&lt;0,-(BN32-Uzman_D!$L$22),BN32-Uzman_D!$L$22)*2),0)/1*0.1),0)+IF(BO32-Uzman_D!$M$22&lt;0,-(BO32-Uzman_D!$M$22),BO32-Uzman_D!$M$22)*1)</f>
        <v>0.7</v>
      </c>
      <c r="BQ32" s="72">
        <f t="shared" si="0"/>
        <v>0.65999999999999992</v>
      </c>
    </row>
    <row r="33" spans="1:69" ht="15" customHeight="1" x14ac:dyDescent="0.45">
      <c r="A33" s="54">
        <v>30</v>
      </c>
      <c r="B33" s="167" t="str">
        <f>Hakemler!B33</f>
        <v>ÖZGENLİK TATAR</v>
      </c>
      <c r="C33" s="167" t="str">
        <f>Hakemler!C33</f>
        <v>ARZU</v>
      </c>
      <c r="D33" s="56"/>
      <c r="E33" s="56">
        <v>0</v>
      </c>
      <c r="F33" s="56">
        <v>0</v>
      </c>
      <c r="G33" s="56">
        <v>1</v>
      </c>
      <c r="H33" s="56">
        <v>0</v>
      </c>
      <c r="I33" s="56"/>
      <c r="J33" s="56"/>
      <c r="K33" s="56"/>
      <c r="L33" s="56"/>
      <c r="M33" s="56"/>
      <c r="N33" s="70">
        <v>2</v>
      </c>
      <c r="O33" s="70">
        <v>0.1</v>
      </c>
      <c r="P33" s="71">
        <f>1-(SUM(IF(D33-Uzman_D!$B$18&lt;0,-(D33-Uzman_D!$B$18),D33-Uzman_D!$B$18)*0.1+IF(E33-Uzman_D!$C$18&lt;0,-(E33-Uzman_D!$C$18),E33-Uzman_D!$C$18)*0.1+IF(F33-Uzman_D!$D$18&lt;0,-(F33-Uzman_D!$D$18),F33-Uzman_D!$D$18)*0.1+IF(G33-Uzman_D!$E$18&lt;0,-(G33-Uzman_D!$E$18),G33-Uzman_D!$E$18)*0.1+IF(H33-Uzman_D!$F$18&lt;0,-(H33-Uzman_D!$F$18),H33-Uzman_D!$F$18)*0.1+IF(I33-Uzman_D!$G$18&lt;0,-(I33-Uzman_D!$G$18),I33-Uzman_D!$G$18)*0.1+IF(J33-Uzman_D!$H$18&lt;0,-(J33-Uzman_D!$H$18),J33-Uzman_D!$H$18)*0.1+IF(K33-Uzman_D!$I$18&lt;0,-(K33-Uzman_D!$I$18),K33-Uzman_D!$I$18)*0.1+IF(L33-Uzman_D!$J$18&lt;0,-(L33-Uzman_D!$J$18),L33-Uzman_D!$J$18)*0.1)+IF(ROUND((IF(N33-Uzman_D!$L$18&lt;0,-(N33-Uzman_D!$L$18),N33-Uzman_D!$L$18)*2),0)/2=IF(N33-Uzman_D!$L$18&lt;0,-(N33-Uzman_D!$L$18),N33-Uzman_D!$L$18),(ROUND((IF(N33-Uzman_D!$L$18&lt;0,-(N33-Uzman_D!$L$18),N33-Uzman_D!$L$18)*2),0)/1*0.1),0)+IF(O33-Uzman_D!$M$18&lt;0,-(O33-Uzman_D!$M$18),O33-Uzman_D!$M$18)*1)</f>
        <v>0</v>
      </c>
      <c r="Q33" s="56"/>
      <c r="R33" s="56">
        <v>0</v>
      </c>
      <c r="S33" s="56">
        <v>0</v>
      </c>
      <c r="T33" s="56">
        <v>1</v>
      </c>
      <c r="U33" s="56"/>
      <c r="V33" s="56"/>
      <c r="W33" s="56"/>
      <c r="X33" s="56"/>
      <c r="Y33" s="56"/>
      <c r="Z33" s="56"/>
      <c r="AA33" s="70">
        <v>2</v>
      </c>
      <c r="AB33" s="70">
        <v>0</v>
      </c>
      <c r="AC33" s="71">
        <f>1-(SUM(IF(Q33-Uzman_D!$B$19&lt;0,-(Q33-Uzman_D!$B$19),Q33-Uzman_D!$B$19)*0.1+IF(R33-Uzman_D!$C$19&lt;0,-(R33-Uzman_D!$C$19),R33-Uzman_D!$C$19)*0.1+IF(S33-Uzman_D!$D$19&lt;0,-(S33-Uzman_D!$D$19),S33-Uzman_D!$D$19)*0.1+IF(T33-Uzman_D!$E$19&lt;0,-(T33-Uzman_D!$E$19),T33-Uzman_D!$E$19)*0.1+IF(U33-Uzman_D!$F$19&lt;0,-(U33-Uzman_D!$F$19),U33-Uzman_D!$F$19)*0.1+IF(V33-Uzman_D!$G$19&lt;0,-(V33-Uzman_D!$G$19),V33-Uzman_D!$G$19)*0.1+IF(W33-Uzman_D!$H$19&lt;0,-(W33-Uzman_D!$H$19),W33-Uzman_D!$H$19)*0.1+IF(X33-Uzman_D!$I$19&lt;0,-(X33-Uzman_D!$I$19),X33-Uzman_D!$I$19)*0.1+IF(Y33-Uzman_D!$J$19&lt;0,-(Y33-Uzman_D!$J$19),Y33-Uzman_D!$J$19)*0.1)+IF(ROUND((IF(AA33-Uzman_D!$L$19&lt;0,-(AA33-Uzman_D!$L$19),AA33-Uzman_D!$L$19)*2),0)/2=IF(AA33-Uzman_D!$L$19&lt;0,-(AA33-Uzman_D!$L$19),AA33-Uzman_D!$L$19),(ROUND((IF(AA33-Uzman_D!$L$19&lt;0,-(AA33-Uzman_D!$L$19),AA33-Uzman_D!$L$19)*2),0)/1*0.1),0)+IF(AB33-Uzman_D!$M$19&lt;0,-(AB33-Uzman_D!$M$19),AB33-Uzman_D!$M$19)*1)</f>
        <v>0.30000000000000004</v>
      </c>
      <c r="AD33" s="56"/>
      <c r="AE33" s="56">
        <v>0</v>
      </c>
      <c r="AF33" s="56">
        <v>0</v>
      </c>
      <c r="AG33" s="56">
        <v>0</v>
      </c>
      <c r="AH33" s="56"/>
      <c r="AI33" s="56"/>
      <c r="AJ33" s="56"/>
      <c r="AK33" s="56"/>
      <c r="AL33" s="56"/>
      <c r="AM33" s="56"/>
      <c r="AN33" s="70">
        <v>2</v>
      </c>
      <c r="AO33" s="70">
        <v>0</v>
      </c>
      <c r="AP33" s="71">
        <f>1-(SUM(IF(AD33-Uzman_D!$B$20&lt;0,-(AD33-Uzman_D!$B$20),AD33-Uzman_D!$B$20)*0.1+IF(AE33-Uzman_D!$C$20&lt;0,-(AE33-Uzman_D!$C$20),AE33-Uzman_D!$C$20)*0.1+IF(AF33-Uzman_D!$D$20&lt;0,-(AF33-Uzman_D!$D$20),AF33-Uzman_D!$D$20)*0.1+IF(AG33-Uzman_D!$E$20&lt;0,-(AG33-Uzman_D!$E$20),AG33-Uzman_D!$E$20)*0.1+IF(AH33-Uzman_D!$F$20&lt;0,-(AH33-Uzman_D!$F$20),AH33-Uzman_D!$F$20)*0.1+IF(AI33-Uzman_D!$G$20&lt;0,-(AI33-Uzman_D!$G$20),AI33-Uzman_D!$G$20)*0.1+IF(AJ33-Uzman_D!$H$20&lt;0,-(AJ33-Uzman_D!$H$20),AJ33-Uzman_D!$H$20)*0.1+IF(AK33-Uzman_D!$I$20&lt;0,-(AK33-Uzman_D!$I$20),AK33-Uzman_D!$I$20)*0.1+IF(AL33-Uzman_D!$J$20&lt;0,-(AL33-Uzman_D!$J$20),AL33-Uzman_D!$J$20)*0.1)+IF(ROUND((IF(AN33-Uzman_D!$L$20&lt;0,-(AN33-Uzman_D!$L$20),AN33-Uzman_D!$L$20)*2),0)/2=IF(AN33-Uzman_D!$L$20&lt;0,-(AN33-Uzman_D!$L$20),AN33-Uzman_D!$L$20),(ROUND((IF(AN33-Uzman_D!$L$20&lt;0,-(AN33-Uzman_D!$L$20),AN33-Uzman_D!$L$20)*2),0)/1*0.1),0)+IF(AO33-Uzman_D!$M$20&lt;0,-(AO33-Uzman_D!$M$20),AO33-Uzman_D!$M$20)*1)</f>
        <v>0</v>
      </c>
      <c r="AQ33" s="56">
        <v>1</v>
      </c>
      <c r="AR33" s="56">
        <v>0</v>
      </c>
      <c r="AS33" s="56">
        <v>0</v>
      </c>
      <c r="AT33" s="56"/>
      <c r="AU33" s="56"/>
      <c r="AV33" s="56"/>
      <c r="AW33" s="56"/>
      <c r="AX33" s="56"/>
      <c r="AY33" s="56"/>
      <c r="AZ33" s="56"/>
      <c r="BA33" s="70">
        <v>2</v>
      </c>
      <c r="BB33" s="70">
        <v>0</v>
      </c>
      <c r="BC33" s="71">
        <f>1-(SUM(IF(AQ33-Uzman_D!$B$21&lt;0,-(AQ33-Uzman_D!$B$21),AQ33-Uzman_D!$B$21)*0.1+IF(AR33-Uzman_D!$C$21&lt;0,-(AR33-Uzman_D!$C$21),AR33-Uzman_D!$C$21)*0.1+IF(AS33-Uzman_D!$D$21&lt;0,-(AS33-Uzman_D!$D$21),AS33-Uzman_D!$D$21)*0.1+IF(AT33-Uzman_D!$E$21&lt;0,-(AT33-Uzman_D!$E$21),AT33-Uzman_D!$E$21)*0.1+IF(AU33-Uzman_D!$F$21&lt;0,-(AU33-Uzman_D!$F$21),AU33-Uzman_D!$F$21)*0.1+IF(AV33-Uzman_D!$G$21&lt;0,-(AV33-Uzman_D!$G$21),AV33-Uzman_D!$G$21)*0.1+IF(AW33-Uzman_D!$H$21&lt;0,-(AW33-Uzman_D!$H$21),AW33-Uzman_D!$H$21)*0.1+IF(AX33-Uzman_D!$I$21&lt;0,-(AX33-Uzman_D!$I$21),AX33-Uzman_D!$I$21)*0.1+IF(AY33-Uzman_D!$J$21&lt;0,-(AY33-Uzman_D!$J$21),AY33-Uzman_D!$J$21)*0.1)+IF(ROUND((IF(BA33-Uzman_D!$L$21&lt;0,-(BA33-Uzman_D!$L$21),BA33-Uzman_D!$L$21)*2),0)/2=IF(BA33-Uzman_D!$L$21&lt;0,-(BA33-Uzman_D!$L$21),BA33-Uzman_D!$L$21),(ROUND((IF(BA33-Uzman_D!$L$21&lt;0,-(BA33-Uzman_D!$L$21),BA33-Uzman_D!$L$21)*2),0)/1*0.1),0)+IF(BB33-Uzman_D!$M$21&lt;0,-(BB33-Uzman_D!$M$21),BB33-Uzman_D!$M$21)*1)</f>
        <v>0.19999999999999996</v>
      </c>
      <c r="BD33" s="56"/>
      <c r="BE33" s="56">
        <v>0</v>
      </c>
      <c r="BF33" s="56">
        <v>0</v>
      </c>
      <c r="BG33" s="56"/>
      <c r="BH33" s="56">
        <v>1</v>
      </c>
      <c r="BI33" s="56"/>
      <c r="BJ33" s="56"/>
      <c r="BK33" s="56"/>
      <c r="BL33" s="56"/>
      <c r="BM33" s="56"/>
      <c r="BN33" s="70">
        <v>2</v>
      </c>
      <c r="BO33" s="70">
        <v>0</v>
      </c>
      <c r="BP33" s="71">
        <f>1-(SUM(IF(BD33-Uzman_D!$B$22&lt;0,-(BD33-Uzman_D!$B$22),BD33-Uzman_D!$B$22)*0.1+IF(BE33-Uzman_D!$C$22&lt;0,-(BE33-Uzman_D!$C$22),BE33-Uzman_D!$C$22)*0.1+IF(BF33-Uzman_D!$D$22&lt;0,-(BF33-Uzman_D!$D$22),BF33-Uzman_D!$D$22)*0.1+IF(BG33-Uzman_D!$E$22&lt;0,-(BG33-Uzman_D!$E$22),BG33-Uzman_D!$E$22)*0.1+IF(BH33-Uzman_D!$F$22&lt;0,-(BH33-Uzman_D!$F$22),BH33-Uzman_D!$F$22)*0.1+IF(BI33-Uzman_D!$G$22&lt;0,-(BI33-Uzman_D!$G$22),BI33-Uzman_D!$G$22)*0.1+IF(BJ33-Uzman_D!$H$22&lt;0,-(BJ33-Uzman_D!$H$22),BJ33-Uzman_D!$H$22)*0.1+IF(BK33-Uzman_D!$I$22&lt;0,-(BK33-Uzman_D!$I$22),BK33-Uzman_D!$I$22)*0.1+IF(BL33-Uzman_D!$J$22&lt;0,-(BL33-Uzman_D!$J$22),BL33-Uzman_D!$J$22)*0.1)+IF(ROUND((IF(BN33-Uzman_D!$L$22&lt;0,-(BN33-Uzman_D!$L$22),BN33-Uzman_D!$L$22)*2),0)/2=IF(BN33-Uzman_D!$L$22&lt;0,-(BN33-Uzman_D!$L$22),BN33-Uzman_D!$L$22),(ROUND((IF(BN33-Uzman_D!$L$22&lt;0,-(BN33-Uzman_D!$L$22),BN33-Uzman_D!$L$22)*2),0)/1*0.1),0)+IF(BO33-Uzman_D!$M$22&lt;0,-(BO33-Uzman_D!$M$22),BO33-Uzman_D!$M$22)*1)</f>
        <v>0</v>
      </c>
      <c r="BQ33" s="72">
        <f t="shared" si="0"/>
        <v>0.1</v>
      </c>
    </row>
    <row r="34" spans="1:69" ht="15" customHeight="1" x14ac:dyDescent="0.45">
      <c r="A34" s="54">
        <v>31</v>
      </c>
      <c r="B34" s="167" t="str">
        <f>Hakemler!B34</f>
        <v>KARADENİZ</v>
      </c>
      <c r="C34" s="167" t="str">
        <f>Hakemler!C34</f>
        <v>EMEL</v>
      </c>
      <c r="D34" s="56"/>
      <c r="E34" s="56"/>
      <c r="F34" s="56">
        <v>1</v>
      </c>
      <c r="G34" s="56">
        <v>3</v>
      </c>
      <c r="H34" s="56">
        <v>1</v>
      </c>
      <c r="I34" s="56">
        <v>1</v>
      </c>
      <c r="J34" s="56"/>
      <c r="K34" s="56"/>
      <c r="L34" s="56"/>
      <c r="M34" s="56"/>
      <c r="N34" s="70">
        <v>2</v>
      </c>
      <c r="O34" s="70">
        <v>0.6</v>
      </c>
      <c r="P34" s="71">
        <f>1-(SUM(IF(D34-Uzman_D!$B$18&lt;0,-(D34-Uzman_D!$B$18),D34-Uzman_D!$B$18)*0.1+IF(E34-Uzman_D!$C$18&lt;0,-(E34-Uzman_D!$C$18),E34-Uzman_D!$C$18)*0.1+IF(F34-Uzman_D!$D$18&lt;0,-(F34-Uzman_D!$D$18),F34-Uzman_D!$D$18)*0.1+IF(G34-Uzman_D!$E$18&lt;0,-(G34-Uzman_D!$E$18),G34-Uzman_D!$E$18)*0.1+IF(H34-Uzman_D!$F$18&lt;0,-(H34-Uzman_D!$F$18),H34-Uzman_D!$F$18)*0.1+IF(I34-Uzman_D!$G$18&lt;0,-(I34-Uzman_D!$G$18),I34-Uzman_D!$G$18)*0.1+IF(J34-Uzman_D!$H$18&lt;0,-(J34-Uzman_D!$H$18),J34-Uzman_D!$H$18)*0.1+IF(K34-Uzman_D!$I$18&lt;0,-(K34-Uzman_D!$I$18),K34-Uzman_D!$I$18)*0.1+IF(L34-Uzman_D!$J$18&lt;0,-(L34-Uzman_D!$J$18),L34-Uzman_D!$J$18)*0.1)+IF(ROUND((IF(N34-Uzman_D!$L$18&lt;0,-(N34-Uzman_D!$L$18),N34-Uzman_D!$L$18)*2),0)/2=IF(N34-Uzman_D!$L$18&lt;0,-(N34-Uzman_D!$L$18),N34-Uzman_D!$L$18),(ROUND((IF(N34-Uzman_D!$L$18&lt;0,-(N34-Uzman_D!$L$18),N34-Uzman_D!$L$18)*2),0)/1*0.1),0)+IF(O34-Uzman_D!$M$18&lt;0,-(O34-Uzman_D!$M$18),O34-Uzman_D!$M$18)*1)</f>
        <v>0</v>
      </c>
      <c r="Q34" s="56"/>
      <c r="R34" s="56">
        <v>1</v>
      </c>
      <c r="S34" s="56">
        <v>4</v>
      </c>
      <c r="T34" s="56">
        <v>3</v>
      </c>
      <c r="U34" s="56"/>
      <c r="V34" s="56"/>
      <c r="W34" s="56"/>
      <c r="X34" s="56"/>
      <c r="Y34" s="56"/>
      <c r="Z34" s="56"/>
      <c r="AA34" s="70">
        <v>2</v>
      </c>
      <c r="AB34" s="70">
        <v>0.3</v>
      </c>
      <c r="AC34" s="71">
        <f>1-(SUM(IF(Q34-Uzman_D!$B$19&lt;0,-(Q34-Uzman_D!$B$19),Q34-Uzman_D!$B$19)*0.1+IF(R34-Uzman_D!$C$19&lt;0,-(R34-Uzman_D!$C$19),R34-Uzman_D!$C$19)*0.1+IF(S34-Uzman_D!$D$19&lt;0,-(S34-Uzman_D!$D$19),S34-Uzman_D!$D$19)*0.1+IF(T34-Uzman_D!$E$19&lt;0,-(T34-Uzman_D!$E$19),T34-Uzman_D!$E$19)*0.1+IF(U34-Uzman_D!$F$19&lt;0,-(U34-Uzman_D!$F$19),U34-Uzman_D!$F$19)*0.1+IF(V34-Uzman_D!$G$19&lt;0,-(V34-Uzman_D!$G$19),V34-Uzman_D!$G$19)*0.1+IF(W34-Uzman_D!$H$19&lt;0,-(W34-Uzman_D!$H$19),W34-Uzman_D!$H$19)*0.1+IF(X34-Uzman_D!$I$19&lt;0,-(X34-Uzman_D!$I$19),X34-Uzman_D!$I$19)*0.1+IF(Y34-Uzman_D!$J$19&lt;0,-(Y34-Uzman_D!$J$19),Y34-Uzman_D!$J$19)*0.1)+IF(ROUND((IF(AA34-Uzman_D!$L$19&lt;0,-(AA34-Uzman_D!$L$19),AA34-Uzman_D!$L$19)*2),0)/2=IF(AA34-Uzman_D!$L$19&lt;0,-(AA34-Uzman_D!$L$19),AA34-Uzman_D!$L$19),(ROUND((IF(AA34-Uzman_D!$L$19&lt;0,-(AA34-Uzman_D!$L$19),AA34-Uzman_D!$L$19)*2),0)/1*0.1),0)+IF(AB34-Uzman_D!$M$19&lt;0,-(AB34-Uzman_D!$M$19),AB34-Uzman_D!$M$19)*1)</f>
        <v>0.5</v>
      </c>
      <c r="AD34" s="56"/>
      <c r="AE34" s="56">
        <v>1</v>
      </c>
      <c r="AF34" s="56">
        <v>2</v>
      </c>
      <c r="AG34" s="56">
        <v>4</v>
      </c>
      <c r="AH34" s="56"/>
      <c r="AI34" s="56"/>
      <c r="AJ34" s="56"/>
      <c r="AK34" s="56"/>
      <c r="AL34" s="56"/>
      <c r="AM34" s="56"/>
      <c r="AN34" s="70">
        <v>1.5</v>
      </c>
      <c r="AO34" s="70">
        <v>0</v>
      </c>
      <c r="AP34" s="71">
        <f>1-(SUM(IF(AD34-Uzman_D!$B$20&lt;0,-(AD34-Uzman_D!$B$20),AD34-Uzman_D!$B$20)*0.1+IF(AE34-Uzman_D!$C$20&lt;0,-(AE34-Uzman_D!$C$20),AE34-Uzman_D!$C$20)*0.1+IF(AF34-Uzman_D!$D$20&lt;0,-(AF34-Uzman_D!$D$20),AF34-Uzman_D!$D$20)*0.1+IF(AG34-Uzman_D!$E$20&lt;0,-(AG34-Uzman_D!$E$20),AG34-Uzman_D!$E$20)*0.1+IF(AH34-Uzman_D!$F$20&lt;0,-(AH34-Uzman_D!$F$20),AH34-Uzman_D!$F$20)*0.1+IF(AI34-Uzman_D!$G$20&lt;0,-(AI34-Uzman_D!$G$20),AI34-Uzman_D!$G$20)*0.1+IF(AJ34-Uzman_D!$H$20&lt;0,-(AJ34-Uzman_D!$H$20),AJ34-Uzman_D!$H$20)*0.1+IF(AK34-Uzman_D!$I$20&lt;0,-(AK34-Uzman_D!$I$20),AK34-Uzman_D!$I$20)*0.1+IF(AL34-Uzman_D!$J$20&lt;0,-(AL34-Uzman_D!$J$20),AL34-Uzman_D!$J$20)*0.1)+IF(ROUND((IF(AN34-Uzman_D!$L$20&lt;0,-(AN34-Uzman_D!$L$20),AN34-Uzman_D!$L$20)*2),0)/2=IF(AN34-Uzman_D!$L$20&lt;0,-(AN34-Uzman_D!$L$20),AN34-Uzman_D!$L$20),(ROUND((IF(AN34-Uzman_D!$L$20&lt;0,-(AN34-Uzman_D!$L$20),AN34-Uzman_D!$L$20)*2),0)/1*0.1),0)+IF(AO34-Uzman_D!$M$20&lt;0,-(AO34-Uzman_D!$M$20),AO34-Uzman_D!$M$20)*1)</f>
        <v>0.6</v>
      </c>
      <c r="AQ34" s="56">
        <v>1</v>
      </c>
      <c r="AR34" s="56">
        <v>4</v>
      </c>
      <c r="AS34" s="56">
        <v>2</v>
      </c>
      <c r="AT34" s="56">
        <v>1</v>
      </c>
      <c r="AU34" s="56"/>
      <c r="AV34" s="56"/>
      <c r="AW34" s="56"/>
      <c r="AX34" s="56"/>
      <c r="AY34" s="56"/>
      <c r="AZ34" s="56"/>
      <c r="BA34" s="70">
        <v>1</v>
      </c>
      <c r="BB34" s="70">
        <v>0</v>
      </c>
      <c r="BC34" s="71">
        <f>1-(SUM(IF(AQ34-Uzman_D!$B$21&lt;0,-(AQ34-Uzman_D!$B$21),AQ34-Uzman_D!$B$21)*0.1+IF(AR34-Uzman_D!$C$21&lt;0,-(AR34-Uzman_D!$C$21),AR34-Uzman_D!$C$21)*0.1+IF(AS34-Uzman_D!$D$21&lt;0,-(AS34-Uzman_D!$D$21),AS34-Uzman_D!$D$21)*0.1+IF(AT34-Uzman_D!$E$21&lt;0,-(AT34-Uzman_D!$E$21),AT34-Uzman_D!$E$21)*0.1+IF(AU34-Uzman_D!$F$21&lt;0,-(AU34-Uzman_D!$F$21),AU34-Uzman_D!$F$21)*0.1+IF(AV34-Uzman_D!$G$21&lt;0,-(AV34-Uzman_D!$G$21),AV34-Uzman_D!$G$21)*0.1+IF(AW34-Uzman_D!$H$21&lt;0,-(AW34-Uzman_D!$H$21),AW34-Uzman_D!$H$21)*0.1+IF(AX34-Uzman_D!$I$21&lt;0,-(AX34-Uzman_D!$I$21),AX34-Uzman_D!$I$21)*0.1+IF(AY34-Uzman_D!$J$21&lt;0,-(AY34-Uzman_D!$J$21),AY34-Uzman_D!$J$21)*0.1)+IF(ROUND((IF(BA34-Uzman_D!$L$21&lt;0,-(BA34-Uzman_D!$L$21),BA34-Uzman_D!$L$21)*2),0)/2=IF(BA34-Uzman_D!$L$21&lt;0,-(BA34-Uzman_D!$L$21),BA34-Uzman_D!$L$21),(ROUND((IF(BA34-Uzman_D!$L$21&lt;0,-(BA34-Uzman_D!$L$21),BA34-Uzman_D!$L$21)*2),0)/1*0.1),0)+IF(BB34-Uzman_D!$M$21&lt;0,-(BB34-Uzman_D!$M$21),BB34-Uzman_D!$M$21)*1)</f>
        <v>0.30000000000000004</v>
      </c>
      <c r="BD34" s="56"/>
      <c r="BE34" s="56">
        <v>1</v>
      </c>
      <c r="BF34" s="56">
        <v>3</v>
      </c>
      <c r="BG34" s="56">
        <v>3</v>
      </c>
      <c r="BH34" s="56"/>
      <c r="BI34" s="56"/>
      <c r="BJ34" s="56"/>
      <c r="BK34" s="56"/>
      <c r="BL34" s="56"/>
      <c r="BM34" s="56"/>
      <c r="BN34" s="70">
        <v>1.5</v>
      </c>
      <c r="BO34" s="70">
        <v>0</v>
      </c>
      <c r="BP34" s="71">
        <f>1-(SUM(IF(BD34-Uzman_D!$B$22&lt;0,-(BD34-Uzman_D!$B$22),BD34-Uzman_D!$B$22)*0.1+IF(BE34-Uzman_D!$C$22&lt;0,-(BE34-Uzman_D!$C$22),BE34-Uzman_D!$C$22)*0.1+IF(BF34-Uzman_D!$D$22&lt;0,-(BF34-Uzman_D!$D$22),BF34-Uzman_D!$D$22)*0.1+IF(BG34-Uzman_D!$E$22&lt;0,-(BG34-Uzman_D!$E$22),BG34-Uzman_D!$E$22)*0.1+IF(BH34-Uzman_D!$F$22&lt;0,-(BH34-Uzman_D!$F$22),BH34-Uzman_D!$F$22)*0.1+IF(BI34-Uzman_D!$G$22&lt;0,-(BI34-Uzman_D!$G$22),BI34-Uzman_D!$G$22)*0.1+IF(BJ34-Uzman_D!$H$22&lt;0,-(BJ34-Uzman_D!$H$22),BJ34-Uzman_D!$H$22)*0.1+IF(BK34-Uzman_D!$I$22&lt;0,-(BK34-Uzman_D!$I$22),BK34-Uzman_D!$I$22)*0.1+IF(BL34-Uzman_D!$J$22&lt;0,-(BL34-Uzman_D!$J$22),BL34-Uzman_D!$J$22)*0.1)+IF(ROUND((IF(BN34-Uzman_D!$L$22&lt;0,-(BN34-Uzman_D!$L$22),BN34-Uzman_D!$L$22)*2),0)/2=IF(BN34-Uzman_D!$L$22&lt;0,-(BN34-Uzman_D!$L$22),BN34-Uzman_D!$L$22),(ROUND((IF(BN34-Uzman_D!$L$22&lt;0,-(BN34-Uzman_D!$L$22),BN34-Uzman_D!$L$22)*2),0)/1*0.1),0)+IF(BO34-Uzman_D!$M$22&lt;0,-(BO34-Uzman_D!$M$22),BO34-Uzman_D!$M$22)*1)</f>
        <v>0.5</v>
      </c>
      <c r="BQ34" s="72">
        <f t="shared" si="0"/>
        <v>0.38</v>
      </c>
    </row>
    <row r="35" spans="1:69" ht="15" customHeight="1" x14ac:dyDescent="0.45">
      <c r="A35" s="54">
        <v>32</v>
      </c>
      <c r="B35" s="167" t="str">
        <f>Hakemler!B35</f>
        <v>TOYRAN</v>
      </c>
      <c r="C35" s="167" t="str">
        <f>Hakemler!C35</f>
        <v>SİNEM NUR</v>
      </c>
      <c r="D35" s="56"/>
      <c r="E35" s="56"/>
      <c r="F35" s="56">
        <v>3</v>
      </c>
      <c r="G35" s="56">
        <v>4</v>
      </c>
      <c r="H35" s="56">
        <v>1</v>
      </c>
      <c r="I35" s="56"/>
      <c r="J35" s="56"/>
      <c r="K35" s="56"/>
      <c r="L35" s="56"/>
      <c r="M35" s="56"/>
      <c r="N35" s="70">
        <v>2</v>
      </c>
      <c r="O35" s="70">
        <v>0.3</v>
      </c>
      <c r="P35" s="71">
        <f>1-(SUM(IF(D35-Uzman_D!$B$18&lt;0,-(D35-Uzman_D!$B$18),D35-Uzman_D!$B$18)*0.1+IF(E35-Uzman_D!$C$18&lt;0,-(E35-Uzman_D!$C$18),E35-Uzman_D!$C$18)*0.1+IF(F35-Uzman_D!$D$18&lt;0,-(F35-Uzman_D!$D$18),F35-Uzman_D!$D$18)*0.1+IF(G35-Uzman_D!$E$18&lt;0,-(G35-Uzman_D!$E$18),G35-Uzman_D!$E$18)*0.1+IF(H35-Uzman_D!$F$18&lt;0,-(H35-Uzman_D!$F$18),H35-Uzman_D!$F$18)*0.1+IF(I35-Uzman_D!$G$18&lt;0,-(I35-Uzman_D!$G$18),I35-Uzman_D!$G$18)*0.1+IF(J35-Uzman_D!$H$18&lt;0,-(J35-Uzman_D!$H$18),J35-Uzman_D!$H$18)*0.1+IF(K35-Uzman_D!$I$18&lt;0,-(K35-Uzman_D!$I$18),K35-Uzman_D!$I$18)*0.1+IF(L35-Uzman_D!$J$18&lt;0,-(L35-Uzman_D!$J$18),L35-Uzman_D!$J$18)*0.1)+IF(ROUND((IF(N35-Uzman_D!$L$18&lt;0,-(N35-Uzman_D!$L$18),N35-Uzman_D!$L$18)*2),0)/2=IF(N35-Uzman_D!$L$18&lt;0,-(N35-Uzman_D!$L$18),N35-Uzman_D!$L$18),(ROUND((IF(N35-Uzman_D!$L$18&lt;0,-(N35-Uzman_D!$L$18),N35-Uzman_D!$L$18)*2),0)/1*0.1),0)+IF(O35-Uzman_D!$M$18&lt;0,-(O35-Uzman_D!$M$18),O35-Uzman_D!$M$18)*1)</f>
        <v>0.30000000000000004</v>
      </c>
      <c r="Q35" s="56"/>
      <c r="R35" s="56">
        <v>2</v>
      </c>
      <c r="S35" s="56">
        <v>6</v>
      </c>
      <c r="T35" s="56">
        <v>1</v>
      </c>
      <c r="U35" s="56"/>
      <c r="V35" s="56"/>
      <c r="W35" s="56"/>
      <c r="X35" s="56"/>
      <c r="Y35" s="56"/>
      <c r="Z35" s="56"/>
      <c r="AA35" s="70">
        <v>2</v>
      </c>
      <c r="AB35" s="70">
        <v>0</v>
      </c>
      <c r="AC35" s="71">
        <f>1-(SUM(IF(Q35-Uzman_D!$B$19&lt;0,-(Q35-Uzman_D!$B$19),Q35-Uzman_D!$B$19)*0.1+IF(R35-Uzman_D!$C$19&lt;0,-(R35-Uzman_D!$C$19),R35-Uzman_D!$C$19)*0.1+IF(S35-Uzman_D!$D$19&lt;0,-(S35-Uzman_D!$D$19),S35-Uzman_D!$D$19)*0.1+IF(T35-Uzman_D!$E$19&lt;0,-(T35-Uzman_D!$E$19),T35-Uzman_D!$E$19)*0.1+IF(U35-Uzman_D!$F$19&lt;0,-(U35-Uzman_D!$F$19),U35-Uzman_D!$F$19)*0.1+IF(V35-Uzman_D!$G$19&lt;0,-(V35-Uzman_D!$G$19),V35-Uzman_D!$G$19)*0.1+IF(W35-Uzman_D!$H$19&lt;0,-(W35-Uzman_D!$H$19),W35-Uzman_D!$H$19)*0.1+IF(X35-Uzman_D!$I$19&lt;0,-(X35-Uzman_D!$I$19),X35-Uzman_D!$I$19)*0.1+IF(Y35-Uzman_D!$J$19&lt;0,-(Y35-Uzman_D!$J$19),Y35-Uzman_D!$J$19)*0.1)+IF(ROUND((IF(AA35-Uzman_D!$L$19&lt;0,-(AA35-Uzman_D!$L$19),AA35-Uzman_D!$L$19)*2),0)/2=IF(AA35-Uzman_D!$L$19&lt;0,-(AA35-Uzman_D!$L$19),AA35-Uzman_D!$L$19),(ROUND((IF(AA35-Uzman_D!$L$19&lt;0,-(AA35-Uzman_D!$L$19),AA35-Uzman_D!$L$19)*2),0)/1*0.1),0)+IF(AB35-Uzman_D!$M$19&lt;0,-(AB35-Uzman_D!$M$19),AB35-Uzman_D!$M$19)*1)</f>
        <v>0.7</v>
      </c>
      <c r="AD35" s="56"/>
      <c r="AE35" s="56">
        <v>2</v>
      </c>
      <c r="AF35" s="56">
        <v>3</v>
      </c>
      <c r="AG35" s="56">
        <v>4</v>
      </c>
      <c r="AH35" s="56"/>
      <c r="AI35" s="56"/>
      <c r="AJ35" s="56"/>
      <c r="AK35" s="56"/>
      <c r="AL35" s="56"/>
      <c r="AM35" s="56"/>
      <c r="AN35" s="70">
        <v>2</v>
      </c>
      <c r="AO35" s="70">
        <v>0.3</v>
      </c>
      <c r="AP35" s="71">
        <f>1-(SUM(IF(AD35-Uzman_D!$B$20&lt;0,-(AD35-Uzman_D!$B$20),AD35-Uzman_D!$B$20)*0.1+IF(AE35-Uzman_D!$C$20&lt;0,-(AE35-Uzman_D!$C$20),AE35-Uzman_D!$C$20)*0.1+IF(AF35-Uzman_D!$D$20&lt;0,-(AF35-Uzman_D!$D$20),AF35-Uzman_D!$D$20)*0.1+IF(AG35-Uzman_D!$E$20&lt;0,-(AG35-Uzman_D!$E$20),AG35-Uzman_D!$E$20)*0.1+IF(AH35-Uzman_D!$F$20&lt;0,-(AH35-Uzman_D!$F$20),AH35-Uzman_D!$F$20)*0.1+IF(AI35-Uzman_D!$G$20&lt;0,-(AI35-Uzman_D!$G$20),AI35-Uzman_D!$G$20)*0.1+IF(AJ35-Uzman_D!$H$20&lt;0,-(AJ35-Uzman_D!$H$20),AJ35-Uzman_D!$H$20)*0.1+IF(AK35-Uzman_D!$I$20&lt;0,-(AK35-Uzman_D!$I$20),AK35-Uzman_D!$I$20)*0.1+IF(AL35-Uzman_D!$J$20&lt;0,-(AL35-Uzman_D!$J$20),AL35-Uzman_D!$J$20)*0.1)+IF(ROUND((IF(AN35-Uzman_D!$L$20&lt;0,-(AN35-Uzman_D!$L$20),AN35-Uzman_D!$L$20)*2),0)/2=IF(AN35-Uzman_D!$L$20&lt;0,-(AN35-Uzman_D!$L$20),AN35-Uzman_D!$L$20),(ROUND((IF(AN35-Uzman_D!$L$20&lt;0,-(AN35-Uzman_D!$L$20),AN35-Uzman_D!$L$20)*2),0)/1*0.1),0)+IF(AO35-Uzman_D!$M$20&lt;0,-(AO35-Uzman_D!$M$20),AO35-Uzman_D!$M$20)*1)</f>
        <v>0.8</v>
      </c>
      <c r="AQ35" s="56">
        <v>1</v>
      </c>
      <c r="AR35" s="56">
        <v>2</v>
      </c>
      <c r="AS35" s="56">
        <v>2</v>
      </c>
      <c r="AT35" s="56"/>
      <c r="AU35" s="56"/>
      <c r="AV35" s="56"/>
      <c r="AW35" s="56"/>
      <c r="AX35" s="56"/>
      <c r="AY35" s="56"/>
      <c r="AZ35" s="56"/>
      <c r="BA35" s="70">
        <v>2</v>
      </c>
      <c r="BB35" s="70">
        <v>0</v>
      </c>
      <c r="BC35" s="71">
        <f>1-(SUM(IF(AQ35-Uzman_D!$B$21&lt;0,-(AQ35-Uzman_D!$B$21),AQ35-Uzman_D!$B$21)*0.1+IF(AR35-Uzman_D!$C$21&lt;0,-(AR35-Uzman_D!$C$21),AR35-Uzman_D!$C$21)*0.1+IF(AS35-Uzman_D!$D$21&lt;0,-(AS35-Uzman_D!$D$21),AS35-Uzman_D!$D$21)*0.1+IF(AT35-Uzman_D!$E$21&lt;0,-(AT35-Uzman_D!$E$21),AT35-Uzman_D!$E$21)*0.1+IF(AU35-Uzman_D!$F$21&lt;0,-(AU35-Uzman_D!$F$21),AU35-Uzman_D!$F$21)*0.1+IF(AV35-Uzman_D!$G$21&lt;0,-(AV35-Uzman_D!$G$21),AV35-Uzman_D!$G$21)*0.1+IF(AW35-Uzman_D!$H$21&lt;0,-(AW35-Uzman_D!$H$21),AW35-Uzman_D!$H$21)*0.1+IF(AX35-Uzman_D!$I$21&lt;0,-(AX35-Uzman_D!$I$21),AX35-Uzman_D!$I$21)*0.1+IF(AY35-Uzman_D!$J$21&lt;0,-(AY35-Uzman_D!$J$21),AY35-Uzman_D!$J$21)*0.1)+IF(ROUND((IF(BA35-Uzman_D!$L$21&lt;0,-(BA35-Uzman_D!$L$21),BA35-Uzman_D!$L$21)*2),0)/2=IF(BA35-Uzman_D!$L$21&lt;0,-(BA35-Uzman_D!$L$21),BA35-Uzman_D!$L$21),(ROUND((IF(BA35-Uzman_D!$L$21&lt;0,-(BA35-Uzman_D!$L$21),BA35-Uzman_D!$L$21)*2),0)/1*0.1),0)+IF(BB35-Uzman_D!$M$21&lt;0,-(BB35-Uzman_D!$M$21),BB35-Uzman_D!$M$21)*1)</f>
        <v>0.6</v>
      </c>
      <c r="BD35" s="56"/>
      <c r="BE35" s="56">
        <v>2</v>
      </c>
      <c r="BF35" s="56">
        <v>5</v>
      </c>
      <c r="BG35" s="56"/>
      <c r="BH35" s="56"/>
      <c r="BI35" s="56">
        <v>1</v>
      </c>
      <c r="BJ35" s="56"/>
      <c r="BK35" s="56"/>
      <c r="BL35" s="56"/>
      <c r="BM35" s="56"/>
      <c r="BN35" s="70">
        <v>1.5</v>
      </c>
      <c r="BO35" s="70">
        <v>0</v>
      </c>
      <c r="BP35" s="71">
        <f>1-(SUM(IF(BD35-Uzman_D!$B$22&lt;0,-(BD35-Uzman_D!$B$22),BD35-Uzman_D!$B$22)*0.1+IF(BE35-Uzman_D!$C$22&lt;0,-(BE35-Uzman_D!$C$22),BE35-Uzman_D!$C$22)*0.1+IF(BF35-Uzman_D!$D$22&lt;0,-(BF35-Uzman_D!$D$22),BF35-Uzman_D!$D$22)*0.1+IF(BG35-Uzman_D!$E$22&lt;0,-(BG35-Uzman_D!$E$22),BG35-Uzman_D!$E$22)*0.1+IF(BH35-Uzman_D!$F$22&lt;0,-(BH35-Uzman_D!$F$22),BH35-Uzman_D!$F$22)*0.1+IF(BI35-Uzman_D!$G$22&lt;0,-(BI35-Uzman_D!$G$22),BI35-Uzman_D!$G$22)*0.1+IF(BJ35-Uzman_D!$H$22&lt;0,-(BJ35-Uzman_D!$H$22),BJ35-Uzman_D!$H$22)*0.1+IF(BK35-Uzman_D!$I$22&lt;0,-(BK35-Uzman_D!$I$22),BK35-Uzman_D!$I$22)*0.1+IF(BL35-Uzman_D!$J$22&lt;0,-(BL35-Uzman_D!$J$22),BL35-Uzman_D!$J$22)*0.1)+IF(ROUND((IF(BN35-Uzman_D!$L$22&lt;0,-(BN35-Uzman_D!$L$22),BN35-Uzman_D!$L$22)*2),0)/2=IF(BN35-Uzman_D!$L$22&lt;0,-(BN35-Uzman_D!$L$22),BN35-Uzman_D!$L$22),(ROUND((IF(BN35-Uzman_D!$L$22&lt;0,-(BN35-Uzman_D!$L$22),BN35-Uzman_D!$L$22)*2),0)/1*0.1),0)+IF(BO35-Uzman_D!$M$22&lt;0,-(BO35-Uzman_D!$M$22),BO35-Uzman_D!$M$22)*1)</f>
        <v>0.6</v>
      </c>
      <c r="BQ35" s="72">
        <f t="shared" si="0"/>
        <v>0.6</v>
      </c>
    </row>
    <row r="36" spans="1:69" ht="15" customHeight="1" x14ac:dyDescent="0.45">
      <c r="A36" s="54">
        <v>33</v>
      </c>
      <c r="B36" s="167" t="str">
        <f>Hakemler!B36</f>
        <v>SEVERBAŞ</v>
      </c>
      <c r="C36" s="167" t="str">
        <f>Hakemler!C36</f>
        <v>PINAR</v>
      </c>
      <c r="D36" s="56"/>
      <c r="E36" s="56"/>
      <c r="F36" s="56">
        <v>2</v>
      </c>
      <c r="G36" s="56">
        <v>2</v>
      </c>
      <c r="H36" s="56">
        <v>3</v>
      </c>
      <c r="I36" s="56">
        <v>1</v>
      </c>
      <c r="J36" s="56"/>
      <c r="K36" s="56"/>
      <c r="L36" s="56"/>
      <c r="M36" s="56"/>
      <c r="N36" s="70">
        <v>2</v>
      </c>
      <c r="O36" s="70">
        <v>0.8</v>
      </c>
      <c r="P36" s="71">
        <f>1-(SUM(IF(D36-Uzman_D!$B$18&lt;0,-(D36-Uzman_D!$B$18),D36-Uzman_D!$B$18)*0.1+IF(E36-Uzman_D!$C$18&lt;0,-(E36-Uzman_D!$C$18),E36-Uzman_D!$C$18)*0.1+IF(F36-Uzman_D!$D$18&lt;0,-(F36-Uzman_D!$D$18),F36-Uzman_D!$D$18)*0.1+IF(G36-Uzman_D!$E$18&lt;0,-(G36-Uzman_D!$E$18),G36-Uzman_D!$E$18)*0.1+IF(H36-Uzman_D!$F$18&lt;0,-(H36-Uzman_D!$F$18),H36-Uzman_D!$F$18)*0.1+IF(I36-Uzman_D!$G$18&lt;0,-(I36-Uzman_D!$G$18),I36-Uzman_D!$G$18)*0.1+IF(J36-Uzman_D!$H$18&lt;0,-(J36-Uzman_D!$H$18),J36-Uzman_D!$H$18)*0.1+IF(K36-Uzman_D!$I$18&lt;0,-(K36-Uzman_D!$I$18),K36-Uzman_D!$I$18)*0.1+IF(L36-Uzman_D!$J$18&lt;0,-(L36-Uzman_D!$J$18),L36-Uzman_D!$J$18)*0.1)+IF(ROUND((IF(N36-Uzman_D!$L$18&lt;0,-(N36-Uzman_D!$L$18),N36-Uzman_D!$L$18)*2),0)/2=IF(N36-Uzman_D!$L$18&lt;0,-(N36-Uzman_D!$L$18),N36-Uzman_D!$L$18),(ROUND((IF(N36-Uzman_D!$L$18&lt;0,-(N36-Uzman_D!$L$18),N36-Uzman_D!$L$18)*2),0)/1*0.1),0)+IF(O36-Uzman_D!$M$18&lt;0,-(O36-Uzman_D!$M$18),O36-Uzman_D!$M$18)*1)</f>
        <v>0</v>
      </c>
      <c r="Q36" s="56"/>
      <c r="R36" s="56"/>
      <c r="S36" s="56">
        <v>4</v>
      </c>
      <c r="T36" s="56">
        <v>3</v>
      </c>
      <c r="U36" s="56">
        <v>2</v>
      </c>
      <c r="V36" s="56"/>
      <c r="W36" s="56"/>
      <c r="X36" s="56"/>
      <c r="Y36" s="56"/>
      <c r="Z36" s="56"/>
      <c r="AA36" s="70">
        <v>2</v>
      </c>
      <c r="AB36" s="70">
        <v>0.3</v>
      </c>
      <c r="AC36" s="71">
        <f>1-(SUM(IF(Q36-Uzman_D!$B$19&lt;0,-(Q36-Uzman_D!$B$19),Q36-Uzman_D!$B$19)*0.1+IF(R36-Uzman_D!$C$19&lt;0,-(R36-Uzman_D!$C$19),R36-Uzman_D!$C$19)*0.1+IF(S36-Uzman_D!$D$19&lt;0,-(S36-Uzman_D!$D$19),S36-Uzman_D!$D$19)*0.1+IF(T36-Uzman_D!$E$19&lt;0,-(T36-Uzman_D!$E$19),T36-Uzman_D!$E$19)*0.1+IF(U36-Uzman_D!$F$19&lt;0,-(U36-Uzman_D!$F$19),U36-Uzman_D!$F$19)*0.1+IF(V36-Uzman_D!$G$19&lt;0,-(V36-Uzman_D!$G$19),V36-Uzman_D!$G$19)*0.1+IF(W36-Uzman_D!$H$19&lt;0,-(W36-Uzman_D!$H$19),W36-Uzman_D!$H$19)*0.1+IF(X36-Uzman_D!$I$19&lt;0,-(X36-Uzman_D!$I$19),X36-Uzman_D!$I$19)*0.1+IF(Y36-Uzman_D!$J$19&lt;0,-(Y36-Uzman_D!$J$19),Y36-Uzman_D!$J$19)*0.1)+IF(ROUND((IF(AA36-Uzman_D!$L$19&lt;0,-(AA36-Uzman_D!$L$19),AA36-Uzman_D!$L$19)*2),0)/2=IF(AA36-Uzman_D!$L$19&lt;0,-(AA36-Uzman_D!$L$19),AA36-Uzman_D!$L$19),(ROUND((IF(AA36-Uzman_D!$L$19&lt;0,-(AA36-Uzman_D!$L$19),AA36-Uzman_D!$L$19)*2),0)/1*0.1),0)+IF(AB36-Uzman_D!$M$19&lt;0,-(AB36-Uzman_D!$M$19),AB36-Uzman_D!$M$19)*1)</f>
        <v>0.19999999999999996</v>
      </c>
      <c r="AD36" s="56"/>
      <c r="AE36" s="56">
        <v>1</v>
      </c>
      <c r="AF36" s="56">
        <v>2</v>
      </c>
      <c r="AG36" s="56">
        <v>3</v>
      </c>
      <c r="AH36" s="56">
        <v>2</v>
      </c>
      <c r="AI36" s="56"/>
      <c r="AJ36" s="56"/>
      <c r="AK36" s="56"/>
      <c r="AL36" s="56"/>
      <c r="AM36" s="56"/>
      <c r="AN36" s="70">
        <v>1</v>
      </c>
      <c r="AO36" s="70">
        <v>0</v>
      </c>
      <c r="AP36" s="71">
        <f>1-(SUM(IF(AD36-Uzman_D!$B$20&lt;0,-(AD36-Uzman_D!$B$20),AD36-Uzman_D!$B$20)*0.1+IF(AE36-Uzman_D!$C$20&lt;0,-(AE36-Uzman_D!$C$20),AE36-Uzman_D!$C$20)*0.1+IF(AF36-Uzman_D!$D$20&lt;0,-(AF36-Uzman_D!$D$20),AF36-Uzman_D!$D$20)*0.1+IF(AG36-Uzman_D!$E$20&lt;0,-(AG36-Uzman_D!$E$20),AG36-Uzman_D!$E$20)*0.1+IF(AH36-Uzman_D!$F$20&lt;0,-(AH36-Uzman_D!$F$20),AH36-Uzman_D!$F$20)*0.1+IF(AI36-Uzman_D!$G$20&lt;0,-(AI36-Uzman_D!$G$20),AI36-Uzman_D!$G$20)*0.1+IF(AJ36-Uzman_D!$H$20&lt;0,-(AJ36-Uzman_D!$H$20),AJ36-Uzman_D!$H$20)*0.1+IF(AK36-Uzman_D!$I$20&lt;0,-(AK36-Uzman_D!$I$20),AK36-Uzman_D!$I$20)*0.1+IF(AL36-Uzman_D!$J$20&lt;0,-(AL36-Uzman_D!$J$20),AL36-Uzman_D!$J$20)*0.1)+IF(ROUND((IF(AN36-Uzman_D!$L$20&lt;0,-(AN36-Uzman_D!$L$20),AN36-Uzman_D!$L$20)*2),0)/2=IF(AN36-Uzman_D!$L$20&lt;0,-(AN36-Uzman_D!$L$20),AN36-Uzman_D!$L$20),(ROUND((IF(AN36-Uzman_D!$L$20&lt;0,-(AN36-Uzman_D!$L$20),AN36-Uzman_D!$L$20)*2),0)/1*0.1),0)+IF(AO36-Uzman_D!$M$20&lt;0,-(AO36-Uzman_D!$M$20),AO36-Uzman_D!$M$20)*1)</f>
        <v>0.19999999999999996</v>
      </c>
      <c r="AQ36" s="56">
        <v>1</v>
      </c>
      <c r="AR36" s="56">
        <v>1</v>
      </c>
      <c r="AS36" s="56">
        <v>3</v>
      </c>
      <c r="AT36" s="56">
        <v>2</v>
      </c>
      <c r="AU36" s="56">
        <v>1</v>
      </c>
      <c r="AV36" s="56"/>
      <c r="AW36" s="56"/>
      <c r="AX36" s="56"/>
      <c r="AY36" s="56"/>
      <c r="AZ36" s="56"/>
      <c r="BA36" s="70">
        <v>2</v>
      </c>
      <c r="BB36" s="70">
        <v>0.2</v>
      </c>
      <c r="BC36" s="71">
        <f>1-(SUM(IF(AQ36-Uzman_D!$B$21&lt;0,-(AQ36-Uzman_D!$B$21),AQ36-Uzman_D!$B$21)*0.1+IF(AR36-Uzman_D!$C$21&lt;0,-(AR36-Uzman_D!$C$21),AR36-Uzman_D!$C$21)*0.1+IF(AS36-Uzman_D!$D$21&lt;0,-(AS36-Uzman_D!$D$21),AS36-Uzman_D!$D$21)*0.1+IF(AT36-Uzman_D!$E$21&lt;0,-(AT36-Uzman_D!$E$21),AT36-Uzman_D!$E$21)*0.1+IF(AU36-Uzman_D!$F$21&lt;0,-(AU36-Uzman_D!$F$21),AU36-Uzman_D!$F$21)*0.1+IF(AV36-Uzman_D!$G$21&lt;0,-(AV36-Uzman_D!$G$21),AV36-Uzman_D!$G$21)*0.1+IF(AW36-Uzman_D!$H$21&lt;0,-(AW36-Uzman_D!$H$21),AW36-Uzman_D!$H$21)*0.1+IF(AX36-Uzman_D!$I$21&lt;0,-(AX36-Uzman_D!$I$21),AX36-Uzman_D!$I$21)*0.1+IF(AY36-Uzman_D!$J$21&lt;0,-(AY36-Uzman_D!$J$21),AY36-Uzman_D!$J$21)*0.1)+IF(ROUND((IF(BA36-Uzman_D!$L$21&lt;0,-(BA36-Uzman_D!$L$21),BA36-Uzman_D!$L$21)*2),0)/2=IF(BA36-Uzman_D!$L$21&lt;0,-(BA36-Uzman_D!$L$21),BA36-Uzman_D!$L$21),(ROUND((IF(BA36-Uzman_D!$L$21&lt;0,-(BA36-Uzman_D!$L$21),BA36-Uzman_D!$L$21)*2),0)/1*0.1),0)+IF(BB36-Uzman_D!$M$21&lt;0,-(BB36-Uzman_D!$M$21),BB36-Uzman_D!$M$21)*1)</f>
        <v>0.10000000000000009</v>
      </c>
      <c r="BD36" s="56">
        <v>1</v>
      </c>
      <c r="BE36" s="56">
        <v>2</v>
      </c>
      <c r="BF36" s="56">
        <v>2</v>
      </c>
      <c r="BG36" s="56">
        <v>2</v>
      </c>
      <c r="BH36" s="56">
        <v>1</v>
      </c>
      <c r="BI36" s="56"/>
      <c r="BJ36" s="56"/>
      <c r="BK36" s="56"/>
      <c r="BL36" s="56"/>
      <c r="BM36" s="56"/>
      <c r="BN36" s="70">
        <v>2</v>
      </c>
      <c r="BO36" s="70">
        <v>0.2</v>
      </c>
      <c r="BP36" s="71">
        <f>1-(SUM(IF(BD36-Uzman_D!$B$22&lt;0,-(BD36-Uzman_D!$B$22),BD36-Uzman_D!$B$22)*0.1+IF(BE36-Uzman_D!$C$22&lt;0,-(BE36-Uzman_D!$C$22),BE36-Uzman_D!$C$22)*0.1+IF(BF36-Uzman_D!$D$22&lt;0,-(BF36-Uzman_D!$D$22),BF36-Uzman_D!$D$22)*0.1+IF(BG36-Uzman_D!$E$22&lt;0,-(BG36-Uzman_D!$E$22),BG36-Uzman_D!$E$22)*0.1+IF(BH36-Uzman_D!$F$22&lt;0,-(BH36-Uzman_D!$F$22),BH36-Uzman_D!$F$22)*0.1+IF(BI36-Uzman_D!$G$22&lt;0,-(BI36-Uzman_D!$G$22),BI36-Uzman_D!$G$22)*0.1+IF(BJ36-Uzman_D!$H$22&lt;0,-(BJ36-Uzman_D!$H$22),BJ36-Uzman_D!$H$22)*0.1+IF(BK36-Uzman_D!$I$22&lt;0,-(BK36-Uzman_D!$I$22),BK36-Uzman_D!$I$22)*0.1+IF(BL36-Uzman_D!$J$22&lt;0,-(BL36-Uzman_D!$J$22),BL36-Uzman_D!$J$22)*0.1)+IF(ROUND((IF(BN36-Uzman_D!$L$22&lt;0,-(BN36-Uzman_D!$L$22),BN36-Uzman_D!$L$22)*2),0)/2=IF(BN36-Uzman_D!$L$22&lt;0,-(BN36-Uzman_D!$L$22),BN36-Uzman_D!$L$22),(ROUND((IF(BN36-Uzman_D!$L$22&lt;0,-(BN36-Uzman_D!$L$22),BN36-Uzman_D!$L$22)*2),0)/1*0.1),0)+IF(BO36-Uzman_D!$M$22&lt;0,-(BO36-Uzman_D!$M$22),BO36-Uzman_D!$M$22)*1)</f>
        <v>0.30000000000000004</v>
      </c>
      <c r="BQ36" s="72">
        <f t="shared" ref="BQ36:BQ67" si="1">(P36+AC36+AP36+BC36+BP36)/5</f>
        <v>0.16</v>
      </c>
    </row>
    <row r="37" spans="1:69" ht="15" customHeight="1" x14ac:dyDescent="0.45">
      <c r="A37" s="54">
        <v>34</v>
      </c>
      <c r="B37" s="167" t="str">
        <f>Hakemler!B37</f>
        <v>KASAP TOPAL</v>
      </c>
      <c r="C37" s="167" t="str">
        <f>Hakemler!C37</f>
        <v>AYTEN</v>
      </c>
      <c r="D37" s="56"/>
      <c r="E37" s="56">
        <v>3</v>
      </c>
      <c r="F37" s="56">
        <v>2</v>
      </c>
      <c r="G37" s="56">
        <v>3</v>
      </c>
      <c r="H37" s="56"/>
      <c r="I37" s="56"/>
      <c r="J37" s="56"/>
      <c r="K37" s="56"/>
      <c r="L37" s="56"/>
      <c r="M37" s="56"/>
      <c r="N37" s="70">
        <v>2</v>
      </c>
      <c r="O37" s="70">
        <v>0.2</v>
      </c>
      <c r="P37" s="71">
        <f>1-(SUM(IF(D37-Uzman_D!$B$18&lt;0,-(D37-Uzman_D!$B$18),D37-Uzman_D!$B$18)*0.1+IF(E37-Uzman_D!$C$18&lt;0,-(E37-Uzman_D!$C$18),E37-Uzman_D!$C$18)*0.1+IF(F37-Uzman_D!$D$18&lt;0,-(F37-Uzman_D!$D$18),F37-Uzman_D!$D$18)*0.1+IF(G37-Uzman_D!$E$18&lt;0,-(G37-Uzman_D!$E$18),G37-Uzman_D!$E$18)*0.1+IF(H37-Uzman_D!$F$18&lt;0,-(H37-Uzman_D!$F$18),H37-Uzman_D!$F$18)*0.1+IF(I37-Uzman_D!$G$18&lt;0,-(I37-Uzman_D!$G$18),I37-Uzman_D!$G$18)*0.1+IF(J37-Uzman_D!$H$18&lt;0,-(J37-Uzman_D!$H$18),J37-Uzman_D!$H$18)*0.1+IF(K37-Uzman_D!$I$18&lt;0,-(K37-Uzman_D!$I$18),K37-Uzman_D!$I$18)*0.1+IF(L37-Uzman_D!$J$18&lt;0,-(L37-Uzman_D!$J$18),L37-Uzman_D!$J$18)*0.1)+IF(ROUND((IF(N37-Uzman_D!$L$18&lt;0,-(N37-Uzman_D!$L$18),N37-Uzman_D!$L$18)*2),0)/2=IF(N37-Uzman_D!$L$18&lt;0,-(N37-Uzman_D!$L$18),N37-Uzman_D!$L$18),(ROUND((IF(N37-Uzman_D!$L$18&lt;0,-(N37-Uzman_D!$L$18),N37-Uzman_D!$L$18)*2),0)/1*0.1),0)+IF(O37-Uzman_D!$M$18&lt;0,-(O37-Uzman_D!$M$18),O37-Uzman_D!$M$18)*1)</f>
        <v>0</v>
      </c>
      <c r="Q37" s="56">
        <v>1</v>
      </c>
      <c r="R37" s="56">
        <v>4</v>
      </c>
      <c r="S37" s="56">
        <v>3</v>
      </c>
      <c r="T37" s="56"/>
      <c r="U37" s="56"/>
      <c r="V37" s="56"/>
      <c r="W37" s="56"/>
      <c r="X37" s="56"/>
      <c r="Y37" s="56"/>
      <c r="Z37" s="56"/>
      <c r="AA37" s="70">
        <v>2</v>
      </c>
      <c r="AB37" s="70">
        <v>0.2</v>
      </c>
      <c r="AC37" s="71">
        <f>1-(SUM(IF(Q37-Uzman_D!$B$19&lt;0,-(Q37-Uzman_D!$B$19),Q37-Uzman_D!$B$19)*0.1+IF(R37-Uzman_D!$C$19&lt;0,-(R37-Uzman_D!$C$19),R37-Uzman_D!$C$19)*0.1+IF(S37-Uzman_D!$D$19&lt;0,-(S37-Uzman_D!$D$19),S37-Uzman_D!$D$19)*0.1+IF(T37-Uzman_D!$E$19&lt;0,-(T37-Uzman_D!$E$19),T37-Uzman_D!$E$19)*0.1+IF(U37-Uzman_D!$F$19&lt;0,-(U37-Uzman_D!$F$19),U37-Uzman_D!$F$19)*0.1+IF(V37-Uzman_D!$G$19&lt;0,-(V37-Uzman_D!$G$19),V37-Uzman_D!$G$19)*0.1+IF(W37-Uzman_D!$H$19&lt;0,-(W37-Uzman_D!$H$19),W37-Uzman_D!$H$19)*0.1+IF(X37-Uzman_D!$I$19&lt;0,-(X37-Uzman_D!$I$19),X37-Uzman_D!$I$19)*0.1+IF(Y37-Uzman_D!$J$19&lt;0,-(Y37-Uzman_D!$J$19),Y37-Uzman_D!$J$19)*0.1)+IF(ROUND((IF(AA37-Uzman_D!$L$19&lt;0,-(AA37-Uzman_D!$L$19),AA37-Uzman_D!$L$19)*2),0)/2=IF(AA37-Uzman_D!$L$19&lt;0,-(AA37-Uzman_D!$L$19),AA37-Uzman_D!$L$19),(ROUND((IF(AA37-Uzman_D!$L$19&lt;0,-(AA37-Uzman_D!$L$19),AA37-Uzman_D!$L$19)*2),0)/1*0.1),0)+IF(AB37-Uzman_D!$M$19&lt;0,-(AB37-Uzman_D!$M$19),AB37-Uzman_D!$M$19)*1)</f>
        <v>0</v>
      </c>
      <c r="AD37" s="56"/>
      <c r="AE37" s="56">
        <v>2</v>
      </c>
      <c r="AF37" s="56">
        <v>3</v>
      </c>
      <c r="AG37" s="56">
        <v>3</v>
      </c>
      <c r="AH37" s="56"/>
      <c r="AI37" s="56"/>
      <c r="AJ37" s="56"/>
      <c r="AK37" s="56"/>
      <c r="AL37" s="56"/>
      <c r="AM37" s="56"/>
      <c r="AN37" s="70">
        <v>2</v>
      </c>
      <c r="AO37" s="70">
        <v>0.2</v>
      </c>
      <c r="AP37" s="71">
        <f>1-(SUM(IF(AD37-Uzman_D!$B$20&lt;0,-(AD37-Uzman_D!$B$20),AD37-Uzman_D!$B$20)*0.1+IF(AE37-Uzman_D!$C$20&lt;0,-(AE37-Uzman_D!$C$20),AE37-Uzman_D!$C$20)*0.1+IF(AF37-Uzman_D!$D$20&lt;0,-(AF37-Uzman_D!$D$20),AF37-Uzman_D!$D$20)*0.1+IF(AG37-Uzman_D!$E$20&lt;0,-(AG37-Uzman_D!$E$20),AG37-Uzman_D!$E$20)*0.1+IF(AH37-Uzman_D!$F$20&lt;0,-(AH37-Uzman_D!$F$20),AH37-Uzman_D!$F$20)*0.1+IF(AI37-Uzman_D!$G$20&lt;0,-(AI37-Uzman_D!$G$20),AI37-Uzman_D!$G$20)*0.1+IF(AJ37-Uzman_D!$H$20&lt;0,-(AJ37-Uzman_D!$H$20),AJ37-Uzman_D!$H$20)*0.1+IF(AK37-Uzman_D!$I$20&lt;0,-(AK37-Uzman_D!$I$20),AK37-Uzman_D!$I$20)*0.1+IF(AL37-Uzman_D!$J$20&lt;0,-(AL37-Uzman_D!$J$20),AL37-Uzman_D!$J$20)*0.1)+IF(ROUND((IF(AN37-Uzman_D!$L$20&lt;0,-(AN37-Uzman_D!$L$20),AN37-Uzman_D!$L$20)*2),0)/2=IF(AN37-Uzman_D!$L$20&lt;0,-(AN37-Uzman_D!$L$20),AN37-Uzman_D!$L$20),(ROUND((IF(AN37-Uzman_D!$L$20&lt;0,-(AN37-Uzman_D!$L$20),AN37-Uzman_D!$L$20)*2),0)/1*0.1),0)+IF(AO37-Uzman_D!$M$20&lt;0,-(AO37-Uzman_D!$M$20),AO37-Uzman_D!$M$20)*1)</f>
        <v>0.8</v>
      </c>
      <c r="AQ37" s="56"/>
      <c r="AR37" s="56">
        <v>2</v>
      </c>
      <c r="AS37" s="56">
        <v>3</v>
      </c>
      <c r="AT37" s="56">
        <v>3</v>
      </c>
      <c r="AU37" s="56"/>
      <c r="AV37" s="56"/>
      <c r="AW37" s="56"/>
      <c r="AX37" s="56"/>
      <c r="AY37" s="56"/>
      <c r="AZ37" s="56"/>
      <c r="BA37" s="70">
        <v>2</v>
      </c>
      <c r="BB37" s="70">
        <v>0.1</v>
      </c>
      <c r="BC37" s="71">
        <f>1-(SUM(IF(AQ37-Uzman_D!$B$21&lt;0,-(AQ37-Uzman_D!$B$21),AQ37-Uzman_D!$B$21)*0.1+IF(AR37-Uzman_D!$C$21&lt;0,-(AR37-Uzman_D!$C$21),AR37-Uzman_D!$C$21)*0.1+IF(AS37-Uzman_D!$D$21&lt;0,-(AS37-Uzman_D!$D$21),AS37-Uzman_D!$D$21)*0.1+IF(AT37-Uzman_D!$E$21&lt;0,-(AT37-Uzman_D!$E$21),AT37-Uzman_D!$E$21)*0.1+IF(AU37-Uzman_D!$F$21&lt;0,-(AU37-Uzman_D!$F$21),AU37-Uzman_D!$F$21)*0.1+IF(AV37-Uzman_D!$G$21&lt;0,-(AV37-Uzman_D!$G$21),AV37-Uzman_D!$G$21)*0.1+IF(AW37-Uzman_D!$H$21&lt;0,-(AW37-Uzman_D!$H$21),AW37-Uzman_D!$H$21)*0.1+IF(AX37-Uzman_D!$I$21&lt;0,-(AX37-Uzman_D!$I$21),AX37-Uzman_D!$I$21)*0.1+IF(AY37-Uzman_D!$J$21&lt;0,-(AY37-Uzman_D!$J$21),AY37-Uzman_D!$J$21)*0.1)+IF(ROUND((IF(BA37-Uzman_D!$L$21&lt;0,-(BA37-Uzman_D!$L$21),BA37-Uzman_D!$L$21)*2),0)/2=IF(BA37-Uzman_D!$L$21&lt;0,-(BA37-Uzman_D!$L$21),BA37-Uzman_D!$L$21),(ROUND((IF(BA37-Uzman_D!$L$21&lt;0,-(BA37-Uzman_D!$L$21),BA37-Uzman_D!$L$21)*2),0)/1*0.1),0)+IF(BB37-Uzman_D!$M$21&lt;0,-(BB37-Uzman_D!$M$21),BB37-Uzman_D!$M$21)*1)</f>
        <v>0.19999999999999996</v>
      </c>
      <c r="BD37" s="56"/>
      <c r="BE37" s="56">
        <v>3</v>
      </c>
      <c r="BF37" s="56">
        <v>2</v>
      </c>
      <c r="BG37" s="56">
        <v>3</v>
      </c>
      <c r="BH37" s="56"/>
      <c r="BI37" s="56"/>
      <c r="BJ37" s="56"/>
      <c r="BK37" s="56"/>
      <c r="BL37" s="56"/>
      <c r="BM37" s="56"/>
      <c r="BN37" s="70">
        <v>2</v>
      </c>
      <c r="BO37" s="70">
        <v>0.2</v>
      </c>
      <c r="BP37" s="71">
        <f>1-(SUM(IF(BD37-Uzman_D!$B$22&lt;0,-(BD37-Uzman_D!$B$22),BD37-Uzman_D!$B$22)*0.1+IF(BE37-Uzman_D!$C$22&lt;0,-(BE37-Uzman_D!$C$22),BE37-Uzman_D!$C$22)*0.1+IF(BF37-Uzman_D!$D$22&lt;0,-(BF37-Uzman_D!$D$22),BF37-Uzman_D!$D$22)*0.1+IF(BG37-Uzman_D!$E$22&lt;0,-(BG37-Uzman_D!$E$22),BG37-Uzman_D!$E$22)*0.1+IF(BH37-Uzman_D!$F$22&lt;0,-(BH37-Uzman_D!$F$22),BH37-Uzman_D!$F$22)*0.1+IF(BI37-Uzman_D!$G$22&lt;0,-(BI37-Uzman_D!$G$22),BI37-Uzman_D!$G$22)*0.1+IF(BJ37-Uzman_D!$H$22&lt;0,-(BJ37-Uzman_D!$H$22),BJ37-Uzman_D!$H$22)*0.1+IF(BK37-Uzman_D!$I$22&lt;0,-(BK37-Uzman_D!$I$22),BK37-Uzman_D!$I$22)*0.1+IF(BL37-Uzman_D!$J$22&lt;0,-(BL37-Uzman_D!$J$22),BL37-Uzman_D!$J$22)*0.1)+IF(ROUND((IF(BN37-Uzman_D!$L$22&lt;0,-(BN37-Uzman_D!$L$22),BN37-Uzman_D!$L$22)*2),0)/2=IF(BN37-Uzman_D!$L$22&lt;0,-(BN37-Uzman_D!$L$22),BN37-Uzman_D!$L$22),(ROUND((IF(BN37-Uzman_D!$L$22&lt;0,-(BN37-Uzman_D!$L$22),BN37-Uzman_D!$L$22)*2),0)/1*0.1),0)+IF(BO37-Uzman_D!$M$22&lt;0,-(BO37-Uzman_D!$M$22),BO37-Uzman_D!$M$22)*1)</f>
        <v>9.9999999999999867E-2</v>
      </c>
      <c r="BQ37" s="72">
        <f t="shared" si="1"/>
        <v>0.21999999999999997</v>
      </c>
    </row>
    <row r="38" spans="1:69" ht="15" customHeight="1" x14ac:dyDescent="0.45">
      <c r="A38" s="54">
        <v>35</v>
      </c>
      <c r="B38" s="167" t="str">
        <f>Hakemler!B38</f>
        <v>DİCLE</v>
      </c>
      <c r="C38" s="167" t="str">
        <f>Hakemler!C38</f>
        <v>SENA HAZEL</v>
      </c>
      <c r="D38" s="56"/>
      <c r="E38" s="56">
        <v>1</v>
      </c>
      <c r="F38" s="56">
        <v>3</v>
      </c>
      <c r="G38" s="56">
        <v>3</v>
      </c>
      <c r="H38" s="56">
        <v>1</v>
      </c>
      <c r="I38" s="56"/>
      <c r="J38" s="56"/>
      <c r="K38" s="56"/>
      <c r="L38" s="56"/>
      <c r="M38" s="56"/>
      <c r="N38" s="70">
        <v>2</v>
      </c>
      <c r="O38" s="70">
        <v>0.4</v>
      </c>
      <c r="P38" s="71">
        <f>1-(SUM(IF(D38-Uzman_D!$B$18&lt;0,-(D38-Uzman_D!$B$18),D38-Uzman_D!$B$18)*0.1+IF(E38-Uzman_D!$C$18&lt;0,-(E38-Uzman_D!$C$18),E38-Uzman_D!$C$18)*0.1+IF(F38-Uzman_D!$D$18&lt;0,-(F38-Uzman_D!$D$18),F38-Uzman_D!$D$18)*0.1+IF(G38-Uzman_D!$E$18&lt;0,-(G38-Uzman_D!$E$18),G38-Uzman_D!$E$18)*0.1+IF(H38-Uzman_D!$F$18&lt;0,-(H38-Uzman_D!$F$18),H38-Uzman_D!$F$18)*0.1+IF(I38-Uzman_D!$G$18&lt;0,-(I38-Uzman_D!$G$18),I38-Uzman_D!$G$18)*0.1+IF(J38-Uzman_D!$H$18&lt;0,-(J38-Uzman_D!$H$18),J38-Uzman_D!$H$18)*0.1+IF(K38-Uzman_D!$I$18&lt;0,-(K38-Uzman_D!$I$18),K38-Uzman_D!$I$18)*0.1+IF(L38-Uzman_D!$J$18&lt;0,-(L38-Uzman_D!$J$18),L38-Uzman_D!$J$18)*0.1)+IF(ROUND((IF(N38-Uzman_D!$L$18&lt;0,-(N38-Uzman_D!$L$18),N38-Uzman_D!$L$18)*2),0)/2=IF(N38-Uzman_D!$L$18&lt;0,-(N38-Uzman_D!$L$18),N38-Uzman_D!$L$18),(ROUND((IF(N38-Uzman_D!$L$18&lt;0,-(N38-Uzman_D!$L$18),N38-Uzman_D!$L$18)*2),0)/1*0.1),0)+IF(O38-Uzman_D!$M$18&lt;0,-(O38-Uzman_D!$M$18),O38-Uzman_D!$M$18)*1)</f>
        <v>0.6</v>
      </c>
      <c r="Q38" s="56">
        <v>1</v>
      </c>
      <c r="R38" s="56">
        <v>3</v>
      </c>
      <c r="S38" s="56">
        <v>3</v>
      </c>
      <c r="T38" s="56">
        <v>1</v>
      </c>
      <c r="U38" s="56"/>
      <c r="V38" s="56"/>
      <c r="W38" s="56"/>
      <c r="X38" s="56"/>
      <c r="Y38" s="56"/>
      <c r="Z38" s="56"/>
      <c r="AA38" s="70">
        <v>1</v>
      </c>
      <c r="AB38" s="70">
        <v>0.1</v>
      </c>
      <c r="AC38" s="71">
        <f>1-(SUM(IF(Q38-Uzman_D!$B$19&lt;0,-(Q38-Uzman_D!$B$19),Q38-Uzman_D!$B$19)*0.1+IF(R38-Uzman_D!$C$19&lt;0,-(R38-Uzman_D!$C$19),R38-Uzman_D!$C$19)*0.1+IF(S38-Uzman_D!$D$19&lt;0,-(S38-Uzman_D!$D$19),S38-Uzman_D!$D$19)*0.1+IF(T38-Uzman_D!$E$19&lt;0,-(T38-Uzman_D!$E$19),T38-Uzman_D!$E$19)*0.1+IF(U38-Uzman_D!$F$19&lt;0,-(U38-Uzman_D!$F$19),U38-Uzman_D!$F$19)*0.1+IF(V38-Uzman_D!$G$19&lt;0,-(V38-Uzman_D!$G$19),V38-Uzman_D!$G$19)*0.1+IF(W38-Uzman_D!$H$19&lt;0,-(W38-Uzman_D!$H$19),W38-Uzman_D!$H$19)*0.1+IF(X38-Uzman_D!$I$19&lt;0,-(X38-Uzman_D!$I$19),X38-Uzman_D!$I$19)*0.1+IF(Y38-Uzman_D!$J$19&lt;0,-(Y38-Uzman_D!$J$19),Y38-Uzman_D!$J$19)*0.1)+IF(ROUND((IF(AA38-Uzman_D!$L$19&lt;0,-(AA38-Uzman_D!$L$19),AA38-Uzman_D!$L$19)*2),0)/2=IF(AA38-Uzman_D!$L$19&lt;0,-(AA38-Uzman_D!$L$19),AA38-Uzman_D!$L$19),(ROUND((IF(AA38-Uzman_D!$L$19&lt;0,-(AA38-Uzman_D!$L$19),AA38-Uzman_D!$L$19)*2),0)/1*0.1),0)+IF(AB38-Uzman_D!$M$19&lt;0,-(AB38-Uzman_D!$M$19),AB38-Uzman_D!$M$19)*1)</f>
        <v>9.9999999999999978E-2</v>
      </c>
      <c r="AD38" s="56"/>
      <c r="AE38" s="56">
        <v>1</v>
      </c>
      <c r="AF38" s="56">
        <v>3</v>
      </c>
      <c r="AG38" s="56">
        <v>3</v>
      </c>
      <c r="AH38" s="56">
        <v>1</v>
      </c>
      <c r="AI38" s="56"/>
      <c r="AJ38" s="56"/>
      <c r="AK38" s="56"/>
      <c r="AL38" s="56"/>
      <c r="AM38" s="56"/>
      <c r="AN38" s="70">
        <v>2</v>
      </c>
      <c r="AO38" s="70">
        <v>0.2</v>
      </c>
      <c r="AP38" s="71">
        <f>1-(SUM(IF(AD38-Uzman_D!$B$20&lt;0,-(AD38-Uzman_D!$B$20),AD38-Uzman_D!$B$20)*0.1+IF(AE38-Uzman_D!$C$20&lt;0,-(AE38-Uzman_D!$C$20),AE38-Uzman_D!$C$20)*0.1+IF(AF38-Uzman_D!$D$20&lt;0,-(AF38-Uzman_D!$D$20),AF38-Uzman_D!$D$20)*0.1+IF(AG38-Uzman_D!$E$20&lt;0,-(AG38-Uzman_D!$E$20),AG38-Uzman_D!$E$20)*0.1+IF(AH38-Uzman_D!$F$20&lt;0,-(AH38-Uzman_D!$F$20),AH38-Uzman_D!$F$20)*0.1+IF(AI38-Uzman_D!$G$20&lt;0,-(AI38-Uzman_D!$G$20),AI38-Uzman_D!$G$20)*0.1+IF(AJ38-Uzman_D!$H$20&lt;0,-(AJ38-Uzman_D!$H$20),AJ38-Uzman_D!$H$20)*0.1+IF(AK38-Uzman_D!$I$20&lt;0,-(AK38-Uzman_D!$I$20),AK38-Uzman_D!$I$20)*0.1+IF(AL38-Uzman_D!$J$20&lt;0,-(AL38-Uzman_D!$J$20),AL38-Uzman_D!$J$20)*0.1)+IF(ROUND((IF(AN38-Uzman_D!$L$20&lt;0,-(AN38-Uzman_D!$L$20),AN38-Uzman_D!$L$20)*2),0)/2=IF(AN38-Uzman_D!$L$20&lt;0,-(AN38-Uzman_D!$L$20),AN38-Uzman_D!$L$20),(ROUND((IF(AN38-Uzman_D!$L$20&lt;0,-(AN38-Uzman_D!$L$20),AN38-Uzman_D!$L$20)*2),0)/1*0.1),0)+IF(AO38-Uzman_D!$M$20&lt;0,-(AO38-Uzman_D!$M$20),AO38-Uzman_D!$M$20)*1)</f>
        <v>0.8</v>
      </c>
      <c r="AQ38" s="56"/>
      <c r="AR38" s="56">
        <v>5</v>
      </c>
      <c r="AS38" s="56">
        <v>2</v>
      </c>
      <c r="AT38" s="56"/>
      <c r="AU38" s="56">
        <v>1</v>
      </c>
      <c r="AV38" s="56"/>
      <c r="AW38" s="56"/>
      <c r="AX38" s="56"/>
      <c r="AY38" s="56"/>
      <c r="AZ38" s="56"/>
      <c r="BA38" s="70">
        <v>2</v>
      </c>
      <c r="BB38" s="70">
        <v>0.1</v>
      </c>
      <c r="BC38" s="71">
        <f>1-(SUM(IF(AQ38-Uzman_D!$B$21&lt;0,-(AQ38-Uzman_D!$B$21),AQ38-Uzman_D!$B$21)*0.1+IF(AR38-Uzman_D!$C$21&lt;0,-(AR38-Uzman_D!$C$21),AR38-Uzman_D!$C$21)*0.1+IF(AS38-Uzman_D!$D$21&lt;0,-(AS38-Uzman_D!$D$21),AS38-Uzman_D!$D$21)*0.1+IF(AT38-Uzman_D!$E$21&lt;0,-(AT38-Uzman_D!$E$21),AT38-Uzman_D!$E$21)*0.1+IF(AU38-Uzman_D!$F$21&lt;0,-(AU38-Uzman_D!$F$21),AU38-Uzman_D!$F$21)*0.1+IF(AV38-Uzman_D!$G$21&lt;0,-(AV38-Uzman_D!$G$21),AV38-Uzman_D!$G$21)*0.1+IF(AW38-Uzman_D!$H$21&lt;0,-(AW38-Uzman_D!$H$21),AW38-Uzman_D!$H$21)*0.1+IF(AX38-Uzman_D!$I$21&lt;0,-(AX38-Uzman_D!$I$21),AX38-Uzman_D!$I$21)*0.1+IF(AY38-Uzman_D!$J$21&lt;0,-(AY38-Uzman_D!$J$21),AY38-Uzman_D!$J$21)*0.1)+IF(ROUND((IF(BA38-Uzman_D!$L$21&lt;0,-(BA38-Uzman_D!$L$21),BA38-Uzman_D!$L$21)*2),0)/2=IF(BA38-Uzman_D!$L$21&lt;0,-(BA38-Uzman_D!$L$21),BA38-Uzman_D!$L$21),(ROUND((IF(BA38-Uzman_D!$L$21&lt;0,-(BA38-Uzman_D!$L$21),BA38-Uzman_D!$L$21)*2),0)/1*0.1),0)+IF(BB38-Uzman_D!$M$21&lt;0,-(BB38-Uzman_D!$M$21),BB38-Uzman_D!$M$21)*1)</f>
        <v>0</v>
      </c>
      <c r="BD38" s="56"/>
      <c r="BE38" s="56">
        <v>3</v>
      </c>
      <c r="BF38" s="56">
        <v>3</v>
      </c>
      <c r="BG38" s="56">
        <v>1</v>
      </c>
      <c r="BH38" s="56"/>
      <c r="BI38" s="56">
        <v>1</v>
      </c>
      <c r="BJ38" s="56"/>
      <c r="BK38" s="56"/>
      <c r="BL38" s="56"/>
      <c r="BM38" s="56"/>
      <c r="BN38" s="70">
        <v>2</v>
      </c>
      <c r="BO38" s="70">
        <v>0.4</v>
      </c>
      <c r="BP38" s="71">
        <f>1-(SUM(IF(BD38-Uzman_D!$B$22&lt;0,-(BD38-Uzman_D!$B$22),BD38-Uzman_D!$B$22)*0.1+IF(BE38-Uzman_D!$C$22&lt;0,-(BE38-Uzman_D!$C$22),BE38-Uzman_D!$C$22)*0.1+IF(BF38-Uzman_D!$D$22&lt;0,-(BF38-Uzman_D!$D$22),BF38-Uzman_D!$D$22)*0.1+IF(BG38-Uzman_D!$E$22&lt;0,-(BG38-Uzman_D!$E$22),BG38-Uzman_D!$E$22)*0.1+IF(BH38-Uzman_D!$F$22&lt;0,-(BH38-Uzman_D!$F$22),BH38-Uzman_D!$F$22)*0.1+IF(BI38-Uzman_D!$G$22&lt;0,-(BI38-Uzman_D!$G$22),BI38-Uzman_D!$G$22)*0.1+IF(BJ38-Uzman_D!$H$22&lt;0,-(BJ38-Uzman_D!$H$22),BJ38-Uzman_D!$H$22)*0.1+IF(BK38-Uzman_D!$I$22&lt;0,-(BK38-Uzman_D!$I$22),BK38-Uzman_D!$I$22)*0.1+IF(BL38-Uzman_D!$J$22&lt;0,-(BL38-Uzman_D!$J$22),BL38-Uzman_D!$J$22)*0.1)+IF(ROUND((IF(BN38-Uzman_D!$L$22&lt;0,-(BN38-Uzman_D!$L$22),BN38-Uzman_D!$L$22)*2),0)/2=IF(BN38-Uzman_D!$L$22&lt;0,-(BN38-Uzman_D!$L$22),BN38-Uzman_D!$L$22),(ROUND((IF(BN38-Uzman_D!$L$22&lt;0,-(BN38-Uzman_D!$L$22),BN38-Uzman_D!$L$22)*2),0)/1*0.1),0)+IF(BO38-Uzman_D!$M$22&lt;0,-(BO38-Uzman_D!$M$22),BO38-Uzman_D!$M$22)*1)</f>
        <v>9.9999999999999978E-2</v>
      </c>
      <c r="BQ38" s="72">
        <f t="shared" si="1"/>
        <v>0.32</v>
      </c>
    </row>
    <row r="39" spans="1:69" ht="15" customHeight="1" x14ac:dyDescent="0.45">
      <c r="A39" s="54">
        <v>36</v>
      </c>
      <c r="B39" s="167" t="str">
        <f>Hakemler!B39</f>
        <v>KARAHAN</v>
      </c>
      <c r="C39" s="167" t="str">
        <f>Hakemler!C39</f>
        <v>NESRİN</v>
      </c>
      <c r="D39" s="56"/>
      <c r="E39" s="56">
        <v>2</v>
      </c>
      <c r="F39" s="56">
        <v>1</v>
      </c>
      <c r="G39" s="56">
        <v>4</v>
      </c>
      <c r="H39" s="56">
        <v>1</v>
      </c>
      <c r="I39" s="56"/>
      <c r="J39" s="56"/>
      <c r="K39" s="56"/>
      <c r="L39" s="56"/>
      <c r="M39" s="56"/>
      <c r="N39" s="70">
        <v>1.5</v>
      </c>
      <c r="O39" s="70">
        <v>0.2</v>
      </c>
      <c r="P39" s="71">
        <f>1-(SUM(IF(D39-Uzman_D!$B$18&lt;0,-(D39-Uzman_D!$B$18),D39-Uzman_D!$B$18)*0.1+IF(E39-Uzman_D!$C$18&lt;0,-(E39-Uzman_D!$C$18),E39-Uzman_D!$C$18)*0.1+IF(F39-Uzman_D!$D$18&lt;0,-(F39-Uzman_D!$D$18),F39-Uzman_D!$D$18)*0.1+IF(G39-Uzman_D!$E$18&lt;0,-(G39-Uzman_D!$E$18),G39-Uzman_D!$E$18)*0.1+IF(H39-Uzman_D!$F$18&lt;0,-(H39-Uzman_D!$F$18),H39-Uzman_D!$F$18)*0.1+IF(I39-Uzman_D!$G$18&lt;0,-(I39-Uzman_D!$G$18),I39-Uzman_D!$G$18)*0.1+IF(J39-Uzman_D!$H$18&lt;0,-(J39-Uzman_D!$H$18),J39-Uzman_D!$H$18)*0.1+IF(K39-Uzman_D!$I$18&lt;0,-(K39-Uzman_D!$I$18),K39-Uzman_D!$I$18)*0.1+IF(L39-Uzman_D!$J$18&lt;0,-(L39-Uzman_D!$J$18),L39-Uzman_D!$J$18)*0.1)+IF(ROUND((IF(N39-Uzman_D!$L$18&lt;0,-(N39-Uzman_D!$L$18),N39-Uzman_D!$L$18)*2),0)/2=IF(N39-Uzman_D!$L$18&lt;0,-(N39-Uzman_D!$L$18),N39-Uzman_D!$L$18),(ROUND((IF(N39-Uzman_D!$L$18&lt;0,-(N39-Uzman_D!$L$18),N39-Uzman_D!$L$18)*2),0)/1*0.1),0)+IF(O39-Uzman_D!$M$18&lt;0,-(O39-Uzman_D!$M$18),O39-Uzman_D!$M$18)*1)</f>
        <v>-0.10000000000000009</v>
      </c>
      <c r="Q39" s="56">
        <v>1</v>
      </c>
      <c r="R39" s="56"/>
      <c r="S39" s="56">
        <v>4</v>
      </c>
      <c r="T39" s="56">
        <v>3</v>
      </c>
      <c r="U39" s="56"/>
      <c r="V39" s="56"/>
      <c r="W39" s="56"/>
      <c r="X39" s="56"/>
      <c r="Y39" s="56"/>
      <c r="Z39" s="56"/>
      <c r="AA39" s="70">
        <v>1.5</v>
      </c>
      <c r="AB39" s="70">
        <v>0.3</v>
      </c>
      <c r="AC39" s="71">
        <f>1-(SUM(IF(Q39-Uzman_D!$B$19&lt;0,-(Q39-Uzman_D!$B$19),Q39-Uzman_D!$B$19)*0.1+IF(R39-Uzman_D!$C$19&lt;0,-(R39-Uzman_D!$C$19),R39-Uzman_D!$C$19)*0.1+IF(S39-Uzman_D!$D$19&lt;0,-(S39-Uzman_D!$D$19),S39-Uzman_D!$D$19)*0.1+IF(T39-Uzman_D!$E$19&lt;0,-(T39-Uzman_D!$E$19),T39-Uzman_D!$E$19)*0.1+IF(U39-Uzman_D!$F$19&lt;0,-(U39-Uzman_D!$F$19),U39-Uzman_D!$F$19)*0.1+IF(V39-Uzman_D!$G$19&lt;0,-(V39-Uzman_D!$G$19),V39-Uzman_D!$G$19)*0.1+IF(W39-Uzman_D!$H$19&lt;0,-(W39-Uzman_D!$H$19),W39-Uzman_D!$H$19)*0.1+IF(X39-Uzman_D!$I$19&lt;0,-(X39-Uzman_D!$I$19),X39-Uzman_D!$I$19)*0.1+IF(Y39-Uzman_D!$J$19&lt;0,-(Y39-Uzman_D!$J$19),Y39-Uzman_D!$J$19)*0.1)+IF(ROUND((IF(AA39-Uzman_D!$L$19&lt;0,-(AA39-Uzman_D!$L$19),AA39-Uzman_D!$L$19)*2),0)/2=IF(AA39-Uzman_D!$L$19&lt;0,-(AA39-Uzman_D!$L$19),AA39-Uzman_D!$L$19),(ROUND((IF(AA39-Uzman_D!$L$19&lt;0,-(AA39-Uzman_D!$L$19),AA39-Uzman_D!$L$19)*2),0)/1*0.1),0)+IF(AB39-Uzman_D!$M$19&lt;0,-(AB39-Uzman_D!$M$19),AB39-Uzman_D!$M$19)*1)</f>
        <v>0.19999999999999996</v>
      </c>
      <c r="AD39" s="56"/>
      <c r="AE39" s="56"/>
      <c r="AF39" s="56">
        <v>2</v>
      </c>
      <c r="AG39" s="56">
        <v>4</v>
      </c>
      <c r="AH39" s="56">
        <v>2</v>
      </c>
      <c r="AI39" s="56"/>
      <c r="AJ39" s="56"/>
      <c r="AK39" s="56"/>
      <c r="AL39" s="56"/>
      <c r="AM39" s="56"/>
      <c r="AN39" s="70">
        <v>1.5</v>
      </c>
      <c r="AO39" s="70">
        <v>0.3</v>
      </c>
      <c r="AP39" s="71">
        <f>1-(SUM(IF(AD39-Uzman_D!$B$20&lt;0,-(AD39-Uzman_D!$B$20),AD39-Uzman_D!$B$20)*0.1+IF(AE39-Uzman_D!$C$20&lt;0,-(AE39-Uzman_D!$C$20),AE39-Uzman_D!$C$20)*0.1+IF(AF39-Uzman_D!$D$20&lt;0,-(AF39-Uzman_D!$D$20),AF39-Uzman_D!$D$20)*0.1+IF(AG39-Uzman_D!$E$20&lt;0,-(AG39-Uzman_D!$E$20),AG39-Uzman_D!$E$20)*0.1+IF(AH39-Uzman_D!$F$20&lt;0,-(AH39-Uzman_D!$F$20),AH39-Uzman_D!$F$20)*0.1+IF(AI39-Uzman_D!$G$20&lt;0,-(AI39-Uzman_D!$G$20),AI39-Uzman_D!$G$20)*0.1+IF(AJ39-Uzman_D!$H$20&lt;0,-(AJ39-Uzman_D!$H$20),AJ39-Uzman_D!$H$20)*0.1+IF(AK39-Uzman_D!$I$20&lt;0,-(AK39-Uzman_D!$I$20),AK39-Uzman_D!$I$20)*0.1+IF(AL39-Uzman_D!$J$20&lt;0,-(AL39-Uzman_D!$J$20),AL39-Uzman_D!$J$20)*0.1)+IF(ROUND((IF(AN39-Uzman_D!$L$20&lt;0,-(AN39-Uzman_D!$L$20),AN39-Uzman_D!$L$20)*2),0)/2=IF(AN39-Uzman_D!$L$20&lt;0,-(AN39-Uzman_D!$L$20),AN39-Uzman_D!$L$20),(ROUND((IF(AN39-Uzman_D!$L$20&lt;0,-(AN39-Uzman_D!$L$20),AN39-Uzman_D!$L$20)*2),0)/1*0.1),0)+IF(AO39-Uzman_D!$M$20&lt;0,-(AO39-Uzman_D!$M$20),AO39-Uzman_D!$M$20)*1)</f>
        <v>0.4</v>
      </c>
      <c r="AQ39" s="56">
        <v>2</v>
      </c>
      <c r="AR39" s="56">
        <v>2</v>
      </c>
      <c r="AS39" s="56">
        <v>2</v>
      </c>
      <c r="AT39" s="56">
        <v>2</v>
      </c>
      <c r="AU39" s="56"/>
      <c r="AV39" s="56"/>
      <c r="AW39" s="56"/>
      <c r="AX39" s="56"/>
      <c r="AY39" s="56"/>
      <c r="AZ39" s="56"/>
      <c r="BA39" s="70">
        <v>1</v>
      </c>
      <c r="BB39" s="70">
        <v>0.1</v>
      </c>
      <c r="BC39" s="71">
        <f>1-(SUM(IF(AQ39-Uzman_D!$B$21&lt;0,-(AQ39-Uzman_D!$B$21),AQ39-Uzman_D!$B$21)*0.1+IF(AR39-Uzman_D!$C$21&lt;0,-(AR39-Uzman_D!$C$21),AR39-Uzman_D!$C$21)*0.1+IF(AS39-Uzman_D!$D$21&lt;0,-(AS39-Uzman_D!$D$21),AS39-Uzman_D!$D$21)*0.1+IF(AT39-Uzman_D!$E$21&lt;0,-(AT39-Uzman_D!$E$21),AT39-Uzman_D!$E$21)*0.1+IF(AU39-Uzman_D!$F$21&lt;0,-(AU39-Uzman_D!$F$21),AU39-Uzman_D!$F$21)*0.1+IF(AV39-Uzman_D!$G$21&lt;0,-(AV39-Uzman_D!$G$21),AV39-Uzman_D!$G$21)*0.1+IF(AW39-Uzman_D!$H$21&lt;0,-(AW39-Uzman_D!$H$21),AW39-Uzman_D!$H$21)*0.1+IF(AX39-Uzman_D!$I$21&lt;0,-(AX39-Uzman_D!$I$21),AX39-Uzman_D!$I$21)*0.1+IF(AY39-Uzman_D!$J$21&lt;0,-(AY39-Uzman_D!$J$21),AY39-Uzman_D!$J$21)*0.1)+IF(ROUND((IF(BA39-Uzman_D!$L$21&lt;0,-(BA39-Uzman_D!$L$21),BA39-Uzman_D!$L$21)*2),0)/2=IF(BA39-Uzman_D!$L$21&lt;0,-(BA39-Uzman_D!$L$21),BA39-Uzman_D!$L$21),(ROUND((IF(BA39-Uzman_D!$L$21&lt;0,-(BA39-Uzman_D!$L$21),BA39-Uzman_D!$L$21)*2),0)/1*0.1),0)+IF(BB39-Uzman_D!$M$21&lt;0,-(BB39-Uzman_D!$M$21),BB39-Uzman_D!$M$21)*1)</f>
        <v>0.4</v>
      </c>
      <c r="BD39" s="56">
        <v>2</v>
      </c>
      <c r="BE39" s="56">
        <v>2</v>
      </c>
      <c r="BF39" s="56">
        <v>4</v>
      </c>
      <c r="BG39" s="56"/>
      <c r="BH39" s="56"/>
      <c r="BI39" s="56"/>
      <c r="BJ39" s="56"/>
      <c r="BK39" s="56"/>
      <c r="BL39" s="56"/>
      <c r="BM39" s="56"/>
      <c r="BN39" s="70">
        <v>1</v>
      </c>
      <c r="BO39" s="70">
        <v>0.1</v>
      </c>
      <c r="BP39" s="71">
        <f>1-(SUM(IF(BD39-Uzman_D!$B$22&lt;0,-(BD39-Uzman_D!$B$22),BD39-Uzman_D!$B$22)*0.1+IF(BE39-Uzman_D!$C$22&lt;0,-(BE39-Uzman_D!$C$22),BE39-Uzman_D!$C$22)*0.1+IF(BF39-Uzman_D!$D$22&lt;0,-(BF39-Uzman_D!$D$22),BF39-Uzman_D!$D$22)*0.1+IF(BG39-Uzman_D!$E$22&lt;0,-(BG39-Uzman_D!$E$22),BG39-Uzman_D!$E$22)*0.1+IF(BH39-Uzman_D!$F$22&lt;0,-(BH39-Uzman_D!$F$22),BH39-Uzman_D!$F$22)*0.1+IF(BI39-Uzman_D!$G$22&lt;0,-(BI39-Uzman_D!$G$22),BI39-Uzman_D!$G$22)*0.1+IF(BJ39-Uzman_D!$H$22&lt;0,-(BJ39-Uzman_D!$H$22),BJ39-Uzman_D!$H$22)*0.1+IF(BK39-Uzman_D!$I$22&lt;0,-(BK39-Uzman_D!$I$22),BK39-Uzman_D!$I$22)*0.1+IF(BL39-Uzman_D!$J$22&lt;0,-(BL39-Uzman_D!$J$22),BL39-Uzman_D!$J$22)*0.1)+IF(ROUND((IF(BN39-Uzman_D!$L$22&lt;0,-(BN39-Uzman_D!$L$22),BN39-Uzman_D!$L$22)*2),0)/2=IF(BN39-Uzman_D!$L$22&lt;0,-(BN39-Uzman_D!$L$22),BN39-Uzman_D!$L$22),(ROUND((IF(BN39-Uzman_D!$L$22&lt;0,-(BN39-Uzman_D!$L$22),BN39-Uzman_D!$L$22)*2),0)/1*0.1),0)+IF(BO39-Uzman_D!$M$22&lt;0,-(BO39-Uzman_D!$M$22),BO39-Uzman_D!$M$22)*1)</f>
        <v>0.6</v>
      </c>
      <c r="BQ39" s="72">
        <f t="shared" si="1"/>
        <v>0.3</v>
      </c>
    </row>
    <row r="40" spans="1:69" ht="15" customHeight="1" x14ac:dyDescent="0.45">
      <c r="A40" s="54">
        <v>37</v>
      </c>
      <c r="B40" s="168" t="str">
        <f>Hakemler!B40</f>
        <v>ALTAY</v>
      </c>
      <c r="C40" s="168" t="str">
        <f>Hakemler!C40</f>
        <v>SERDİNÇ</v>
      </c>
      <c r="D40" s="56"/>
      <c r="E40" s="56"/>
      <c r="F40" s="56">
        <v>4</v>
      </c>
      <c r="G40" s="56">
        <v>0</v>
      </c>
      <c r="H40" s="56">
        <v>5</v>
      </c>
      <c r="I40" s="56"/>
      <c r="J40" s="56"/>
      <c r="K40" s="56"/>
      <c r="L40" s="56"/>
      <c r="M40" s="56"/>
      <c r="N40" s="70">
        <v>2</v>
      </c>
      <c r="O40" s="70">
        <v>0.5</v>
      </c>
      <c r="P40" s="71">
        <f>1-(SUM(IF(D40-Uzman_D!$B$18&lt;0,-(D40-Uzman_D!$B$18),D40-Uzman_D!$B$18)*0.1+IF(E40-Uzman_D!$C$18&lt;0,-(E40-Uzman_D!$C$18),E40-Uzman_D!$C$18)*0.1+IF(F40-Uzman_D!$D$18&lt;0,-(F40-Uzman_D!$D$18),F40-Uzman_D!$D$18)*0.1+IF(G40-Uzman_D!$E$18&lt;0,-(G40-Uzman_D!$E$18),G40-Uzman_D!$E$18)*0.1+IF(H40-Uzman_D!$F$18&lt;0,-(H40-Uzman_D!$F$18),H40-Uzman_D!$F$18)*0.1+IF(I40-Uzman_D!$G$18&lt;0,-(I40-Uzman_D!$G$18),I40-Uzman_D!$G$18)*0.1+IF(J40-Uzman_D!$H$18&lt;0,-(J40-Uzman_D!$H$18),J40-Uzman_D!$H$18)*0.1+IF(K40-Uzman_D!$I$18&lt;0,-(K40-Uzman_D!$I$18),K40-Uzman_D!$I$18)*0.1+IF(L40-Uzman_D!$J$18&lt;0,-(L40-Uzman_D!$J$18),L40-Uzman_D!$J$18)*0.1)+IF(ROUND((IF(N40-Uzman_D!$L$18&lt;0,-(N40-Uzman_D!$L$18),N40-Uzman_D!$L$18)*2),0)/2=IF(N40-Uzman_D!$L$18&lt;0,-(N40-Uzman_D!$L$18),N40-Uzman_D!$L$18),(ROUND((IF(N40-Uzman_D!$L$18&lt;0,-(N40-Uzman_D!$L$18),N40-Uzman_D!$L$18)*2),0)/1*0.1),0)+IF(O40-Uzman_D!$M$18&lt;0,-(O40-Uzman_D!$M$18),O40-Uzman_D!$M$18)*1)</f>
        <v>0.19999999999999996</v>
      </c>
      <c r="Q40" s="56"/>
      <c r="R40" s="56">
        <v>2</v>
      </c>
      <c r="S40" s="56">
        <v>3</v>
      </c>
      <c r="T40" s="56">
        <v>3</v>
      </c>
      <c r="U40" s="56"/>
      <c r="V40" s="56"/>
      <c r="W40" s="56"/>
      <c r="X40" s="56"/>
      <c r="Y40" s="56"/>
      <c r="Z40" s="56"/>
      <c r="AA40" s="70">
        <v>2</v>
      </c>
      <c r="AB40" s="70">
        <v>0.2</v>
      </c>
      <c r="AC40" s="71">
        <f>1-(SUM(IF(Q40-Uzman_D!$B$19&lt;0,-(Q40-Uzman_D!$B$19),Q40-Uzman_D!$B$19)*0.1+IF(R40-Uzman_D!$C$19&lt;0,-(R40-Uzman_D!$C$19),R40-Uzman_D!$C$19)*0.1+IF(S40-Uzman_D!$D$19&lt;0,-(S40-Uzman_D!$D$19),S40-Uzman_D!$D$19)*0.1+IF(T40-Uzman_D!$E$19&lt;0,-(T40-Uzman_D!$E$19),T40-Uzman_D!$E$19)*0.1+IF(U40-Uzman_D!$F$19&lt;0,-(U40-Uzman_D!$F$19),U40-Uzman_D!$F$19)*0.1+IF(V40-Uzman_D!$G$19&lt;0,-(V40-Uzman_D!$G$19),V40-Uzman_D!$G$19)*0.1+IF(W40-Uzman_D!$H$19&lt;0,-(W40-Uzman_D!$H$19),W40-Uzman_D!$H$19)*0.1+IF(X40-Uzman_D!$I$19&lt;0,-(X40-Uzman_D!$I$19),X40-Uzman_D!$I$19)*0.1+IF(Y40-Uzman_D!$J$19&lt;0,-(Y40-Uzman_D!$J$19),Y40-Uzman_D!$J$19)*0.1)+IF(ROUND((IF(AA40-Uzman_D!$L$19&lt;0,-(AA40-Uzman_D!$L$19),AA40-Uzman_D!$L$19)*2),0)/2=IF(AA40-Uzman_D!$L$19&lt;0,-(AA40-Uzman_D!$L$19),AA40-Uzman_D!$L$19),(ROUND((IF(AA40-Uzman_D!$L$19&lt;0,-(AA40-Uzman_D!$L$19),AA40-Uzman_D!$L$19)*2),0)/1*0.1),0)+IF(AB40-Uzman_D!$M$19&lt;0,-(AB40-Uzman_D!$M$19),AB40-Uzman_D!$M$19)*1)</f>
        <v>0.39999999999999991</v>
      </c>
      <c r="AD40" s="56"/>
      <c r="AE40" s="56">
        <v>3</v>
      </c>
      <c r="AF40" s="56">
        <v>3</v>
      </c>
      <c r="AG40" s="56">
        <v>2</v>
      </c>
      <c r="AH40" s="56"/>
      <c r="AI40" s="56"/>
      <c r="AJ40" s="56"/>
      <c r="AK40" s="56"/>
      <c r="AL40" s="56"/>
      <c r="AM40" s="56"/>
      <c r="AN40" s="70">
        <v>2</v>
      </c>
      <c r="AO40" s="70">
        <v>0.3</v>
      </c>
      <c r="AP40" s="71">
        <f>1-(SUM(IF(AD40-Uzman_D!$B$20&lt;0,-(AD40-Uzman_D!$B$20),AD40-Uzman_D!$B$20)*0.1+IF(AE40-Uzman_D!$C$20&lt;0,-(AE40-Uzman_D!$C$20),AE40-Uzman_D!$C$20)*0.1+IF(AF40-Uzman_D!$D$20&lt;0,-(AF40-Uzman_D!$D$20),AF40-Uzman_D!$D$20)*0.1+IF(AG40-Uzman_D!$E$20&lt;0,-(AG40-Uzman_D!$E$20),AG40-Uzman_D!$E$20)*0.1+IF(AH40-Uzman_D!$F$20&lt;0,-(AH40-Uzman_D!$F$20),AH40-Uzman_D!$F$20)*0.1+IF(AI40-Uzman_D!$G$20&lt;0,-(AI40-Uzman_D!$G$20),AI40-Uzman_D!$G$20)*0.1+IF(AJ40-Uzman_D!$H$20&lt;0,-(AJ40-Uzman_D!$H$20),AJ40-Uzman_D!$H$20)*0.1+IF(AK40-Uzman_D!$I$20&lt;0,-(AK40-Uzman_D!$I$20),AK40-Uzman_D!$I$20)*0.1+IF(AL40-Uzman_D!$J$20&lt;0,-(AL40-Uzman_D!$J$20),AL40-Uzman_D!$J$20)*0.1)+IF(ROUND((IF(AN40-Uzman_D!$L$20&lt;0,-(AN40-Uzman_D!$L$20),AN40-Uzman_D!$L$20)*2),0)/2=IF(AN40-Uzman_D!$L$20&lt;0,-(AN40-Uzman_D!$L$20),AN40-Uzman_D!$L$20),(ROUND((IF(AN40-Uzman_D!$L$20&lt;0,-(AN40-Uzman_D!$L$20),AN40-Uzman_D!$L$20)*2),0)/1*0.1),0)+IF(AO40-Uzman_D!$M$20&lt;0,-(AO40-Uzman_D!$M$20),AO40-Uzman_D!$M$20)*1)</f>
        <v>0.5</v>
      </c>
      <c r="AQ40" s="56"/>
      <c r="AR40" s="56"/>
      <c r="AS40" s="56">
        <v>5</v>
      </c>
      <c r="AT40" s="56">
        <v>3</v>
      </c>
      <c r="AU40" s="56"/>
      <c r="AV40" s="56"/>
      <c r="AW40" s="56"/>
      <c r="AX40" s="56"/>
      <c r="AY40" s="56"/>
      <c r="AZ40" s="56"/>
      <c r="BA40" s="70">
        <v>2</v>
      </c>
      <c r="BB40" s="70">
        <v>0.3</v>
      </c>
      <c r="BC40" s="71">
        <f>1-(SUM(IF(AQ40-Uzman_D!$B$21&lt;0,-(AQ40-Uzman_D!$B$21),AQ40-Uzman_D!$B$21)*0.1+IF(AR40-Uzman_D!$C$21&lt;0,-(AR40-Uzman_D!$C$21),AR40-Uzman_D!$C$21)*0.1+IF(AS40-Uzman_D!$D$21&lt;0,-(AS40-Uzman_D!$D$21),AS40-Uzman_D!$D$21)*0.1+IF(AT40-Uzman_D!$E$21&lt;0,-(AT40-Uzman_D!$E$21),AT40-Uzman_D!$E$21)*0.1+IF(AU40-Uzman_D!$F$21&lt;0,-(AU40-Uzman_D!$F$21),AU40-Uzman_D!$F$21)*0.1+IF(AV40-Uzman_D!$G$21&lt;0,-(AV40-Uzman_D!$G$21),AV40-Uzman_D!$G$21)*0.1+IF(AW40-Uzman_D!$H$21&lt;0,-(AW40-Uzman_D!$H$21),AW40-Uzman_D!$H$21)*0.1+IF(AX40-Uzman_D!$I$21&lt;0,-(AX40-Uzman_D!$I$21),AX40-Uzman_D!$I$21)*0.1+IF(AY40-Uzman_D!$J$21&lt;0,-(AY40-Uzman_D!$J$21),AY40-Uzman_D!$J$21)*0.1)+IF(ROUND((IF(BA40-Uzman_D!$L$21&lt;0,-(BA40-Uzman_D!$L$21),BA40-Uzman_D!$L$21)*2),0)/2=IF(BA40-Uzman_D!$L$21&lt;0,-(BA40-Uzman_D!$L$21),BA40-Uzman_D!$L$21),(ROUND((IF(BA40-Uzman_D!$L$21&lt;0,-(BA40-Uzman_D!$L$21),BA40-Uzman_D!$L$21)*2),0)/1*0.1),0)+IF(BB40-Uzman_D!$M$21&lt;0,-(BB40-Uzman_D!$M$21),BB40-Uzman_D!$M$21)*1)</f>
        <v>-0.19999999999999996</v>
      </c>
      <c r="BD40" s="56"/>
      <c r="BE40" s="56">
        <v>3</v>
      </c>
      <c r="BF40" s="56">
        <v>4</v>
      </c>
      <c r="BG40" s="56">
        <v>2</v>
      </c>
      <c r="BH40" s="56"/>
      <c r="BI40" s="56"/>
      <c r="BJ40" s="56"/>
      <c r="BK40" s="56"/>
      <c r="BL40" s="56"/>
      <c r="BM40" s="56"/>
      <c r="BN40" s="70">
        <v>2</v>
      </c>
      <c r="BO40" s="70">
        <v>0.3</v>
      </c>
      <c r="BP40" s="71">
        <f>1-(SUM(IF(BD40-Uzman_D!$B$22&lt;0,-(BD40-Uzman_D!$B$22),BD40-Uzman_D!$B$22)*0.1+IF(BE40-Uzman_D!$C$22&lt;0,-(BE40-Uzman_D!$C$22),BE40-Uzman_D!$C$22)*0.1+IF(BF40-Uzman_D!$D$22&lt;0,-(BF40-Uzman_D!$D$22),BF40-Uzman_D!$D$22)*0.1+IF(BG40-Uzman_D!$E$22&lt;0,-(BG40-Uzman_D!$E$22),BG40-Uzman_D!$E$22)*0.1+IF(BH40-Uzman_D!$F$22&lt;0,-(BH40-Uzman_D!$F$22),BH40-Uzman_D!$F$22)*0.1+IF(BI40-Uzman_D!$G$22&lt;0,-(BI40-Uzman_D!$G$22),BI40-Uzman_D!$G$22)*0.1+IF(BJ40-Uzman_D!$H$22&lt;0,-(BJ40-Uzman_D!$H$22),BJ40-Uzman_D!$H$22)*0.1+IF(BK40-Uzman_D!$I$22&lt;0,-(BK40-Uzman_D!$I$22),BK40-Uzman_D!$I$22)*0.1+IF(BL40-Uzman_D!$J$22&lt;0,-(BL40-Uzman_D!$J$22),BL40-Uzman_D!$J$22)*0.1)+IF(ROUND((IF(BN40-Uzman_D!$L$22&lt;0,-(BN40-Uzman_D!$L$22),BN40-Uzman_D!$L$22)*2),0)/2=IF(BN40-Uzman_D!$L$22&lt;0,-(BN40-Uzman_D!$L$22),BN40-Uzman_D!$L$22),(ROUND((IF(BN40-Uzman_D!$L$22&lt;0,-(BN40-Uzman_D!$L$22),BN40-Uzman_D!$L$22)*2),0)/1*0.1),0)+IF(BO40-Uzman_D!$M$22&lt;0,-(BO40-Uzman_D!$M$22),BO40-Uzman_D!$M$22)*1)</f>
        <v>0.30000000000000004</v>
      </c>
      <c r="BQ40" s="72">
        <f t="shared" si="1"/>
        <v>0.24</v>
      </c>
    </row>
    <row r="41" spans="1:69" ht="15" customHeight="1" x14ac:dyDescent="0.45">
      <c r="A41" s="54">
        <v>38</v>
      </c>
      <c r="B41" s="168" t="str">
        <f>Hakemler!B41</f>
        <v>TOPTAŞ</v>
      </c>
      <c r="C41" s="168" t="str">
        <f>Hakemler!C41</f>
        <v>BİRSEN</v>
      </c>
      <c r="D41" s="56"/>
      <c r="E41" s="56">
        <v>1</v>
      </c>
      <c r="F41" s="56">
        <v>4</v>
      </c>
      <c r="G41" s="56">
        <v>2</v>
      </c>
      <c r="H41" s="56">
        <v>1</v>
      </c>
      <c r="I41" s="56"/>
      <c r="J41" s="56"/>
      <c r="K41" s="56"/>
      <c r="L41" s="56"/>
      <c r="M41" s="56"/>
      <c r="N41" s="70">
        <v>2</v>
      </c>
      <c r="O41" s="70">
        <v>0.2</v>
      </c>
      <c r="P41" s="71">
        <f>1-(SUM(IF(D41-Uzman_D!$B$18&lt;0,-(D41-Uzman_D!$B$18),D41-Uzman_D!$B$18)*0.1+IF(E41-Uzman_D!$C$18&lt;0,-(E41-Uzman_D!$C$18),E41-Uzman_D!$C$18)*0.1+IF(F41-Uzman_D!$D$18&lt;0,-(F41-Uzman_D!$D$18),F41-Uzman_D!$D$18)*0.1+IF(G41-Uzman_D!$E$18&lt;0,-(G41-Uzman_D!$E$18),G41-Uzman_D!$E$18)*0.1+IF(H41-Uzman_D!$F$18&lt;0,-(H41-Uzman_D!$F$18),H41-Uzman_D!$F$18)*0.1+IF(I41-Uzman_D!$G$18&lt;0,-(I41-Uzman_D!$G$18),I41-Uzman_D!$G$18)*0.1+IF(J41-Uzman_D!$H$18&lt;0,-(J41-Uzman_D!$H$18),J41-Uzman_D!$H$18)*0.1+IF(K41-Uzman_D!$I$18&lt;0,-(K41-Uzman_D!$I$18),K41-Uzman_D!$I$18)*0.1+IF(L41-Uzman_D!$J$18&lt;0,-(L41-Uzman_D!$J$18),L41-Uzman_D!$J$18)*0.1)+IF(ROUND((IF(N41-Uzman_D!$L$18&lt;0,-(N41-Uzman_D!$L$18),N41-Uzman_D!$L$18)*2),0)/2=IF(N41-Uzman_D!$L$18&lt;0,-(N41-Uzman_D!$L$18),N41-Uzman_D!$L$18),(ROUND((IF(N41-Uzman_D!$L$18&lt;0,-(N41-Uzman_D!$L$18),N41-Uzman_D!$L$18)*2),0)/1*0.1),0)+IF(O41-Uzman_D!$M$18&lt;0,-(O41-Uzman_D!$M$18),O41-Uzman_D!$M$18)*1)</f>
        <v>0.39999999999999991</v>
      </c>
      <c r="Q41" s="56">
        <v>1</v>
      </c>
      <c r="R41" s="56">
        <v>1</v>
      </c>
      <c r="S41" s="56">
        <v>5</v>
      </c>
      <c r="T41" s="56">
        <v>1</v>
      </c>
      <c r="U41" s="56"/>
      <c r="V41" s="56"/>
      <c r="W41" s="56"/>
      <c r="X41" s="56"/>
      <c r="Y41" s="56"/>
      <c r="Z41" s="56"/>
      <c r="AA41" s="70">
        <v>2</v>
      </c>
      <c r="AB41" s="70">
        <v>0</v>
      </c>
      <c r="AC41" s="71">
        <f>1-(SUM(IF(Q41-Uzman_D!$B$19&lt;0,-(Q41-Uzman_D!$B$19),Q41-Uzman_D!$B$19)*0.1+IF(R41-Uzman_D!$C$19&lt;0,-(R41-Uzman_D!$C$19),R41-Uzman_D!$C$19)*0.1+IF(S41-Uzman_D!$D$19&lt;0,-(S41-Uzman_D!$D$19),S41-Uzman_D!$D$19)*0.1+IF(T41-Uzman_D!$E$19&lt;0,-(T41-Uzman_D!$E$19),T41-Uzman_D!$E$19)*0.1+IF(U41-Uzman_D!$F$19&lt;0,-(U41-Uzman_D!$F$19),U41-Uzman_D!$F$19)*0.1+IF(V41-Uzman_D!$G$19&lt;0,-(V41-Uzman_D!$G$19),V41-Uzman_D!$G$19)*0.1+IF(W41-Uzman_D!$H$19&lt;0,-(W41-Uzman_D!$H$19),W41-Uzman_D!$H$19)*0.1+IF(X41-Uzman_D!$I$19&lt;0,-(X41-Uzman_D!$I$19),X41-Uzman_D!$I$19)*0.1+IF(Y41-Uzman_D!$J$19&lt;0,-(Y41-Uzman_D!$J$19),Y41-Uzman_D!$J$19)*0.1)+IF(ROUND((IF(AA41-Uzman_D!$L$19&lt;0,-(AA41-Uzman_D!$L$19),AA41-Uzman_D!$L$19)*2),0)/2=IF(AA41-Uzman_D!$L$19&lt;0,-(AA41-Uzman_D!$L$19),AA41-Uzman_D!$L$19),(ROUND((IF(AA41-Uzman_D!$L$19&lt;0,-(AA41-Uzman_D!$L$19),AA41-Uzman_D!$L$19)*2),0)/1*0.1),0)+IF(AB41-Uzman_D!$M$19&lt;0,-(AB41-Uzman_D!$M$19),AB41-Uzman_D!$M$19)*1)</f>
        <v>0.8</v>
      </c>
      <c r="AD41" s="56">
        <v>1</v>
      </c>
      <c r="AE41" s="56"/>
      <c r="AF41" s="56">
        <v>5</v>
      </c>
      <c r="AG41" s="56">
        <v>2</v>
      </c>
      <c r="AH41" s="56"/>
      <c r="AI41" s="56"/>
      <c r="AJ41" s="56"/>
      <c r="AK41" s="56"/>
      <c r="AL41" s="56"/>
      <c r="AM41" s="56"/>
      <c r="AN41" s="70">
        <v>2</v>
      </c>
      <c r="AO41" s="70">
        <v>0.2</v>
      </c>
      <c r="AP41" s="71">
        <f>1-(SUM(IF(AD41-Uzman_D!$B$20&lt;0,-(AD41-Uzman_D!$B$20),AD41-Uzman_D!$B$20)*0.1+IF(AE41-Uzman_D!$C$20&lt;0,-(AE41-Uzman_D!$C$20),AE41-Uzman_D!$C$20)*0.1+IF(AF41-Uzman_D!$D$20&lt;0,-(AF41-Uzman_D!$D$20),AF41-Uzman_D!$D$20)*0.1+IF(AG41-Uzman_D!$E$20&lt;0,-(AG41-Uzman_D!$E$20),AG41-Uzman_D!$E$20)*0.1+IF(AH41-Uzman_D!$F$20&lt;0,-(AH41-Uzman_D!$F$20),AH41-Uzman_D!$F$20)*0.1+IF(AI41-Uzman_D!$G$20&lt;0,-(AI41-Uzman_D!$G$20),AI41-Uzman_D!$G$20)*0.1+IF(AJ41-Uzman_D!$H$20&lt;0,-(AJ41-Uzman_D!$H$20),AJ41-Uzman_D!$H$20)*0.1+IF(AK41-Uzman_D!$I$20&lt;0,-(AK41-Uzman_D!$I$20),AK41-Uzman_D!$I$20)*0.1+IF(AL41-Uzman_D!$J$20&lt;0,-(AL41-Uzman_D!$J$20),AL41-Uzman_D!$J$20)*0.1)+IF(ROUND((IF(AN41-Uzman_D!$L$20&lt;0,-(AN41-Uzman_D!$L$20),AN41-Uzman_D!$L$20)*2),0)/2=IF(AN41-Uzman_D!$L$20&lt;0,-(AN41-Uzman_D!$L$20),AN41-Uzman_D!$L$20),(ROUND((IF(AN41-Uzman_D!$L$20&lt;0,-(AN41-Uzman_D!$L$20),AN41-Uzman_D!$L$20)*2),0)/1*0.1),0)+IF(AO41-Uzman_D!$M$20&lt;0,-(AO41-Uzman_D!$M$20),AO41-Uzman_D!$M$20)*1)</f>
        <v>0.39999999999999991</v>
      </c>
      <c r="AQ41" s="56">
        <v>1</v>
      </c>
      <c r="AR41" s="56">
        <v>2</v>
      </c>
      <c r="AS41" s="56">
        <v>5</v>
      </c>
      <c r="AT41" s="56"/>
      <c r="AU41" s="56"/>
      <c r="AV41" s="56"/>
      <c r="AW41" s="56"/>
      <c r="AX41" s="56"/>
      <c r="AY41" s="56"/>
      <c r="AZ41" s="56"/>
      <c r="BA41" s="70">
        <v>2</v>
      </c>
      <c r="BB41" s="70">
        <v>0</v>
      </c>
      <c r="BC41" s="71">
        <f>1-(SUM(IF(AQ41-Uzman_D!$B$21&lt;0,-(AQ41-Uzman_D!$B$21),AQ41-Uzman_D!$B$21)*0.1+IF(AR41-Uzman_D!$C$21&lt;0,-(AR41-Uzman_D!$C$21),AR41-Uzman_D!$C$21)*0.1+IF(AS41-Uzman_D!$D$21&lt;0,-(AS41-Uzman_D!$D$21),AS41-Uzman_D!$D$21)*0.1+IF(AT41-Uzman_D!$E$21&lt;0,-(AT41-Uzman_D!$E$21),AT41-Uzman_D!$E$21)*0.1+IF(AU41-Uzman_D!$F$21&lt;0,-(AU41-Uzman_D!$F$21),AU41-Uzman_D!$F$21)*0.1+IF(AV41-Uzman_D!$G$21&lt;0,-(AV41-Uzman_D!$G$21),AV41-Uzman_D!$G$21)*0.1+IF(AW41-Uzman_D!$H$21&lt;0,-(AW41-Uzman_D!$H$21),AW41-Uzman_D!$H$21)*0.1+IF(AX41-Uzman_D!$I$21&lt;0,-(AX41-Uzman_D!$I$21),AX41-Uzman_D!$I$21)*0.1+IF(AY41-Uzman_D!$J$21&lt;0,-(AY41-Uzman_D!$J$21),AY41-Uzman_D!$J$21)*0.1)+IF(ROUND((IF(BA41-Uzman_D!$L$21&lt;0,-(BA41-Uzman_D!$L$21),BA41-Uzman_D!$L$21)*2),0)/2=IF(BA41-Uzman_D!$L$21&lt;0,-(BA41-Uzman_D!$L$21),BA41-Uzman_D!$L$21),(ROUND((IF(BA41-Uzman_D!$L$21&lt;0,-(BA41-Uzman_D!$L$21),BA41-Uzman_D!$L$21)*2),0)/1*0.1),0)+IF(BB41-Uzman_D!$M$21&lt;0,-(BB41-Uzman_D!$M$21),BB41-Uzman_D!$M$21)*1)</f>
        <v>0.7</v>
      </c>
      <c r="BD41" s="56"/>
      <c r="BE41" s="56">
        <v>3</v>
      </c>
      <c r="BF41" s="56">
        <v>2</v>
      </c>
      <c r="BG41" s="56">
        <v>2</v>
      </c>
      <c r="BH41" s="56"/>
      <c r="BI41" s="56">
        <v>1</v>
      </c>
      <c r="BJ41" s="56"/>
      <c r="BK41" s="56"/>
      <c r="BL41" s="56"/>
      <c r="BM41" s="56"/>
      <c r="BN41" s="70">
        <v>2</v>
      </c>
      <c r="BO41" s="70">
        <v>0</v>
      </c>
      <c r="BP41" s="71">
        <f>1-(SUM(IF(BD41-Uzman_D!$B$22&lt;0,-(BD41-Uzman_D!$B$22),BD41-Uzman_D!$B$22)*0.1+IF(BE41-Uzman_D!$C$22&lt;0,-(BE41-Uzman_D!$C$22),BE41-Uzman_D!$C$22)*0.1+IF(BF41-Uzman_D!$D$22&lt;0,-(BF41-Uzman_D!$D$22),BF41-Uzman_D!$D$22)*0.1+IF(BG41-Uzman_D!$E$22&lt;0,-(BG41-Uzman_D!$E$22),BG41-Uzman_D!$E$22)*0.1+IF(BH41-Uzman_D!$F$22&lt;0,-(BH41-Uzman_D!$F$22),BH41-Uzman_D!$F$22)*0.1+IF(BI41-Uzman_D!$G$22&lt;0,-(BI41-Uzman_D!$G$22),BI41-Uzman_D!$G$22)*0.1+IF(BJ41-Uzman_D!$H$22&lt;0,-(BJ41-Uzman_D!$H$22),BJ41-Uzman_D!$H$22)*0.1+IF(BK41-Uzman_D!$I$22&lt;0,-(BK41-Uzman_D!$I$22),BK41-Uzman_D!$I$22)*0.1+IF(BL41-Uzman_D!$J$22&lt;0,-(BL41-Uzman_D!$J$22),BL41-Uzman_D!$J$22)*0.1)+IF(ROUND((IF(BN41-Uzman_D!$L$22&lt;0,-(BN41-Uzman_D!$L$22),BN41-Uzman_D!$L$22)*2),0)/2=IF(BN41-Uzman_D!$L$22&lt;0,-(BN41-Uzman_D!$L$22),BN41-Uzman_D!$L$22),(ROUND((IF(BN41-Uzman_D!$L$22&lt;0,-(BN41-Uzman_D!$L$22),BN41-Uzman_D!$L$22)*2),0)/1*0.1),0)+IF(BO41-Uzman_D!$M$22&lt;0,-(BO41-Uzman_D!$M$22),BO41-Uzman_D!$M$22)*1)</f>
        <v>0.30000000000000004</v>
      </c>
      <c r="BQ41" s="72">
        <f t="shared" si="1"/>
        <v>0.51999999999999991</v>
      </c>
    </row>
    <row r="42" spans="1:69" ht="15" customHeight="1" x14ac:dyDescent="0.45">
      <c r="A42" s="54">
        <v>39</v>
      </c>
      <c r="B42" s="168" t="str">
        <f>Hakemler!B42</f>
        <v>ODACIĞLU TURHAN</v>
      </c>
      <c r="C42" s="168" t="str">
        <f>Hakemler!C42</f>
        <v xml:space="preserve">AYŞEGÜL </v>
      </c>
      <c r="D42" s="56"/>
      <c r="E42" s="56"/>
      <c r="F42" s="56">
        <v>1</v>
      </c>
      <c r="G42" s="56">
        <v>2</v>
      </c>
      <c r="H42" s="56">
        <v>3</v>
      </c>
      <c r="I42" s="56"/>
      <c r="J42" s="56"/>
      <c r="K42" s="56">
        <v>1</v>
      </c>
      <c r="L42" s="56"/>
      <c r="M42" s="56"/>
      <c r="N42" s="70">
        <v>2</v>
      </c>
      <c r="O42" s="70">
        <v>0</v>
      </c>
      <c r="P42" s="71">
        <f>1-(SUM(IF(D42-Uzman_D!$B$18&lt;0,-(D42-Uzman_D!$B$18),D42-Uzman_D!$B$18)*0.1+IF(E42-Uzman_D!$C$18&lt;0,-(E42-Uzman_D!$C$18),E42-Uzman_D!$C$18)*0.1+IF(F42-Uzman_D!$D$18&lt;0,-(F42-Uzman_D!$D$18),F42-Uzman_D!$D$18)*0.1+IF(G42-Uzman_D!$E$18&lt;0,-(G42-Uzman_D!$E$18),G42-Uzman_D!$E$18)*0.1+IF(H42-Uzman_D!$F$18&lt;0,-(H42-Uzman_D!$F$18),H42-Uzman_D!$F$18)*0.1+IF(I42-Uzman_D!$G$18&lt;0,-(I42-Uzman_D!$G$18),I42-Uzman_D!$G$18)*0.1+IF(J42-Uzman_D!$H$18&lt;0,-(J42-Uzman_D!$H$18),J42-Uzman_D!$H$18)*0.1+IF(K42-Uzman_D!$I$18&lt;0,-(K42-Uzman_D!$I$18),K42-Uzman_D!$I$18)*0.1+IF(L42-Uzman_D!$J$18&lt;0,-(L42-Uzman_D!$J$18),L42-Uzman_D!$J$18)*0.1)+IF(ROUND((IF(N42-Uzman_D!$L$18&lt;0,-(N42-Uzman_D!$L$18),N42-Uzman_D!$L$18)*2),0)/2=IF(N42-Uzman_D!$L$18&lt;0,-(N42-Uzman_D!$L$18),N42-Uzman_D!$L$18),(ROUND((IF(N42-Uzman_D!$L$18&lt;0,-(N42-Uzman_D!$L$18),N42-Uzman_D!$L$18)*2),0)/1*0.1),0)+IF(O42-Uzman_D!$M$18&lt;0,-(O42-Uzman_D!$M$18),O42-Uzman_D!$M$18)*1)</f>
        <v>-0.10000000000000009</v>
      </c>
      <c r="Q42" s="56"/>
      <c r="R42" s="56">
        <v>2</v>
      </c>
      <c r="S42" s="56">
        <v>2</v>
      </c>
      <c r="T42" s="56"/>
      <c r="U42" s="56">
        <v>1</v>
      </c>
      <c r="V42" s="56">
        <v>1</v>
      </c>
      <c r="W42" s="56"/>
      <c r="X42" s="56"/>
      <c r="Y42" s="56"/>
      <c r="Z42" s="56"/>
      <c r="AA42" s="70">
        <v>1.5</v>
      </c>
      <c r="AB42" s="70">
        <v>0</v>
      </c>
      <c r="AC42" s="71">
        <f>1-(SUM(IF(Q42-Uzman_D!$B$19&lt;0,-(Q42-Uzman_D!$B$19),Q42-Uzman_D!$B$19)*0.1+IF(R42-Uzman_D!$C$19&lt;0,-(R42-Uzman_D!$C$19),R42-Uzman_D!$C$19)*0.1+IF(S42-Uzman_D!$D$19&lt;0,-(S42-Uzman_D!$D$19),S42-Uzman_D!$D$19)*0.1+IF(T42-Uzman_D!$E$19&lt;0,-(T42-Uzman_D!$E$19),T42-Uzman_D!$E$19)*0.1+IF(U42-Uzman_D!$F$19&lt;0,-(U42-Uzman_D!$F$19),U42-Uzman_D!$F$19)*0.1+IF(V42-Uzman_D!$G$19&lt;0,-(V42-Uzman_D!$G$19),V42-Uzman_D!$G$19)*0.1+IF(W42-Uzman_D!$H$19&lt;0,-(W42-Uzman_D!$H$19),W42-Uzman_D!$H$19)*0.1+IF(X42-Uzman_D!$I$19&lt;0,-(X42-Uzman_D!$I$19),X42-Uzman_D!$I$19)*0.1+IF(Y42-Uzman_D!$J$19&lt;0,-(Y42-Uzman_D!$J$19),Y42-Uzman_D!$J$19)*0.1)+IF(ROUND((IF(AA42-Uzman_D!$L$19&lt;0,-(AA42-Uzman_D!$L$19),AA42-Uzman_D!$L$19)*2),0)/2=IF(AA42-Uzman_D!$L$19&lt;0,-(AA42-Uzman_D!$L$19),AA42-Uzman_D!$L$19),(ROUND((IF(AA42-Uzman_D!$L$19&lt;0,-(AA42-Uzman_D!$L$19),AA42-Uzman_D!$L$19)*2),0)/1*0.1),0)+IF(AB42-Uzman_D!$M$19&lt;0,-(AB42-Uzman_D!$M$19),AB42-Uzman_D!$M$19)*1)</f>
        <v>9.9999999999999978E-2</v>
      </c>
      <c r="AD42" s="56"/>
      <c r="AE42" s="56">
        <v>3</v>
      </c>
      <c r="AF42" s="56">
        <v>3</v>
      </c>
      <c r="AG42" s="56"/>
      <c r="AH42" s="56">
        <v>2</v>
      </c>
      <c r="AI42" s="56"/>
      <c r="AJ42" s="56"/>
      <c r="AK42" s="56"/>
      <c r="AL42" s="56"/>
      <c r="AM42" s="56"/>
      <c r="AN42" s="70">
        <v>2</v>
      </c>
      <c r="AO42" s="70">
        <v>0.2</v>
      </c>
      <c r="AP42" s="71">
        <f>1-(SUM(IF(AD42-Uzman_D!$B$20&lt;0,-(AD42-Uzman_D!$B$20),AD42-Uzman_D!$B$20)*0.1+IF(AE42-Uzman_D!$C$20&lt;0,-(AE42-Uzman_D!$C$20),AE42-Uzman_D!$C$20)*0.1+IF(AF42-Uzman_D!$D$20&lt;0,-(AF42-Uzman_D!$D$20),AF42-Uzman_D!$D$20)*0.1+IF(AG42-Uzman_D!$E$20&lt;0,-(AG42-Uzman_D!$E$20),AG42-Uzman_D!$E$20)*0.1+IF(AH42-Uzman_D!$F$20&lt;0,-(AH42-Uzman_D!$F$20),AH42-Uzman_D!$F$20)*0.1+IF(AI42-Uzman_D!$G$20&lt;0,-(AI42-Uzman_D!$G$20),AI42-Uzman_D!$G$20)*0.1+IF(AJ42-Uzman_D!$H$20&lt;0,-(AJ42-Uzman_D!$H$20),AJ42-Uzman_D!$H$20)*0.1+IF(AK42-Uzman_D!$I$20&lt;0,-(AK42-Uzman_D!$I$20),AK42-Uzman_D!$I$20)*0.1+IF(AL42-Uzman_D!$J$20&lt;0,-(AL42-Uzman_D!$J$20),AL42-Uzman_D!$J$20)*0.1)+IF(ROUND((IF(AN42-Uzman_D!$L$20&lt;0,-(AN42-Uzman_D!$L$20),AN42-Uzman_D!$L$20)*2),0)/2=IF(AN42-Uzman_D!$L$20&lt;0,-(AN42-Uzman_D!$L$20),AN42-Uzman_D!$L$20),(ROUND((IF(AN42-Uzman_D!$L$20&lt;0,-(AN42-Uzman_D!$L$20),AN42-Uzman_D!$L$20)*2),0)/1*0.1),0)+IF(AO42-Uzman_D!$M$20&lt;0,-(AO42-Uzman_D!$M$20),AO42-Uzman_D!$M$20)*1)</f>
        <v>0.19999999999999996</v>
      </c>
      <c r="AQ42" s="56"/>
      <c r="AR42" s="56">
        <v>3</v>
      </c>
      <c r="AS42" s="56">
        <v>3</v>
      </c>
      <c r="AT42" s="56">
        <v>2</v>
      </c>
      <c r="AU42" s="56"/>
      <c r="AV42" s="56"/>
      <c r="AW42" s="56"/>
      <c r="AX42" s="56"/>
      <c r="AY42" s="56"/>
      <c r="AZ42" s="56"/>
      <c r="BA42" s="70">
        <v>2</v>
      </c>
      <c r="BB42" s="70">
        <v>0.1</v>
      </c>
      <c r="BC42" s="71">
        <f>1-(SUM(IF(AQ42-Uzman_D!$B$21&lt;0,-(AQ42-Uzman_D!$B$21),AQ42-Uzman_D!$B$21)*0.1+IF(AR42-Uzman_D!$C$21&lt;0,-(AR42-Uzman_D!$C$21),AR42-Uzman_D!$C$21)*0.1+IF(AS42-Uzman_D!$D$21&lt;0,-(AS42-Uzman_D!$D$21),AS42-Uzman_D!$D$21)*0.1+IF(AT42-Uzman_D!$E$21&lt;0,-(AT42-Uzman_D!$E$21),AT42-Uzman_D!$E$21)*0.1+IF(AU42-Uzman_D!$F$21&lt;0,-(AU42-Uzman_D!$F$21),AU42-Uzman_D!$F$21)*0.1+IF(AV42-Uzman_D!$G$21&lt;0,-(AV42-Uzman_D!$G$21),AV42-Uzman_D!$G$21)*0.1+IF(AW42-Uzman_D!$H$21&lt;0,-(AW42-Uzman_D!$H$21),AW42-Uzman_D!$H$21)*0.1+IF(AX42-Uzman_D!$I$21&lt;0,-(AX42-Uzman_D!$I$21),AX42-Uzman_D!$I$21)*0.1+IF(AY42-Uzman_D!$J$21&lt;0,-(AY42-Uzman_D!$J$21),AY42-Uzman_D!$J$21)*0.1)+IF(ROUND((IF(BA42-Uzman_D!$L$21&lt;0,-(BA42-Uzman_D!$L$21),BA42-Uzman_D!$L$21)*2),0)/2=IF(BA42-Uzman_D!$L$21&lt;0,-(BA42-Uzman_D!$L$21),BA42-Uzman_D!$L$21),(ROUND((IF(BA42-Uzman_D!$L$21&lt;0,-(BA42-Uzman_D!$L$21),BA42-Uzman_D!$L$21)*2),0)/1*0.1),0)+IF(BB42-Uzman_D!$M$21&lt;0,-(BB42-Uzman_D!$M$21),BB42-Uzman_D!$M$21)*1)</f>
        <v>0.19999999999999996</v>
      </c>
      <c r="BD42" s="56"/>
      <c r="BE42" s="56">
        <v>3</v>
      </c>
      <c r="BF42" s="56">
        <v>3</v>
      </c>
      <c r="BG42" s="56">
        <v>2</v>
      </c>
      <c r="BH42" s="56"/>
      <c r="BI42" s="56"/>
      <c r="BJ42" s="56"/>
      <c r="BK42" s="56"/>
      <c r="BL42" s="56"/>
      <c r="BM42" s="56"/>
      <c r="BN42" s="70">
        <v>2</v>
      </c>
      <c r="BO42" s="70">
        <v>0.1</v>
      </c>
      <c r="BP42" s="71">
        <f>1-(SUM(IF(BD42-Uzman_D!$B$22&lt;0,-(BD42-Uzman_D!$B$22),BD42-Uzman_D!$B$22)*0.1+IF(BE42-Uzman_D!$C$22&lt;0,-(BE42-Uzman_D!$C$22),BE42-Uzman_D!$C$22)*0.1+IF(BF42-Uzman_D!$D$22&lt;0,-(BF42-Uzman_D!$D$22),BF42-Uzman_D!$D$22)*0.1+IF(BG42-Uzman_D!$E$22&lt;0,-(BG42-Uzman_D!$E$22),BG42-Uzman_D!$E$22)*0.1+IF(BH42-Uzman_D!$F$22&lt;0,-(BH42-Uzman_D!$F$22),BH42-Uzman_D!$F$22)*0.1+IF(BI42-Uzman_D!$G$22&lt;0,-(BI42-Uzman_D!$G$22),BI42-Uzman_D!$G$22)*0.1+IF(BJ42-Uzman_D!$H$22&lt;0,-(BJ42-Uzman_D!$H$22),BJ42-Uzman_D!$H$22)*0.1+IF(BK42-Uzman_D!$I$22&lt;0,-(BK42-Uzman_D!$I$22),BK42-Uzman_D!$I$22)*0.1+IF(BL42-Uzman_D!$J$22&lt;0,-(BL42-Uzman_D!$J$22),BL42-Uzman_D!$J$22)*0.1)+IF(ROUND((IF(BN42-Uzman_D!$L$22&lt;0,-(BN42-Uzman_D!$L$22),BN42-Uzman_D!$L$22)*2),0)/2=IF(BN42-Uzman_D!$L$22&lt;0,-(BN42-Uzman_D!$L$22),BN42-Uzman_D!$L$22),(ROUND((IF(BN42-Uzman_D!$L$22&lt;0,-(BN42-Uzman_D!$L$22),BN42-Uzman_D!$L$22)*2),0)/1*0.1),0)+IF(BO42-Uzman_D!$M$22&lt;0,-(BO42-Uzman_D!$M$22),BO42-Uzman_D!$M$22)*1)</f>
        <v>0.4</v>
      </c>
      <c r="BQ42" s="72">
        <f t="shared" si="1"/>
        <v>0.15999999999999998</v>
      </c>
    </row>
    <row r="43" spans="1:69" ht="15" customHeight="1" x14ac:dyDescent="0.45">
      <c r="A43" s="54">
        <v>40</v>
      </c>
      <c r="B43" s="167" t="str">
        <f>Hakemler!B43</f>
        <v>CANATAN</v>
      </c>
      <c r="C43" s="167" t="str">
        <f>Hakemler!C43</f>
        <v>BÜŞRA</v>
      </c>
      <c r="D43" s="56"/>
      <c r="E43" s="56">
        <v>1</v>
      </c>
      <c r="F43" s="56">
        <v>2</v>
      </c>
      <c r="G43" s="56">
        <v>3</v>
      </c>
      <c r="H43" s="56">
        <v>1</v>
      </c>
      <c r="I43" s="56"/>
      <c r="J43" s="56"/>
      <c r="K43" s="56"/>
      <c r="L43" s="56"/>
      <c r="M43" s="56"/>
      <c r="N43" s="70">
        <v>2</v>
      </c>
      <c r="O43" s="70">
        <v>0</v>
      </c>
      <c r="P43" s="71">
        <f>1-(SUM(IF(D43-Uzman_D!$B$18&lt;0,-(D43-Uzman_D!$B$18),D43-Uzman_D!$B$18)*0.1+IF(E43-Uzman_D!$C$18&lt;0,-(E43-Uzman_D!$C$18),E43-Uzman_D!$C$18)*0.1+IF(F43-Uzman_D!$D$18&lt;0,-(F43-Uzman_D!$D$18),F43-Uzman_D!$D$18)*0.1+IF(G43-Uzman_D!$E$18&lt;0,-(G43-Uzman_D!$E$18),G43-Uzman_D!$E$18)*0.1+IF(H43-Uzman_D!$F$18&lt;0,-(H43-Uzman_D!$F$18),H43-Uzman_D!$F$18)*0.1+IF(I43-Uzman_D!$G$18&lt;0,-(I43-Uzman_D!$G$18),I43-Uzman_D!$G$18)*0.1+IF(J43-Uzman_D!$H$18&lt;0,-(J43-Uzman_D!$H$18),J43-Uzman_D!$H$18)*0.1+IF(K43-Uzman_D!$I$18&lt;0,-(K43-Uzman_D!$I$18),K43-Uzman_D!$I$18)*0.1+IF(L43-Uzman_D!$J$18&lt;0,-(L43-Uzman_D!$J$18),L43-Uzman_D!$J$18)*0.1)+IF(ROUND((IF(N43-Uzman_D!$L$18&lt;0,-(N43-Uzman_D!$L$18),N43-Uzman_D!$L$18)*2),0)/2=IF(N43-Uzman_D!$L$18&lt;0,-(N43-Uzman_D!$L$18),N43-Uzman_D!$L$18),(ROUND((IF(N43-Uzman_D!$L$18&lt;0,-(N43-Uzman_D!$L$18),N43-Uzman_D!$L$18)*2),0)/1*0.1),0)+IF(O43-Uzman_D!$M$18&lt;0,-(O43-Uzman_D!$M$18),O43-Uzman_D!$M$18)*1)</f>
        <v>9.9999999999999978E-2</v>
      </c>
      <c r="Q43" s="56"/>
      <c r="R43" s="56">
        <v>3</v>
      </c>
      <c r="S43" s="56">
        <v>4</v>
      </c>
      <c r="T43" s="56">
        <v>1</v>
      </c>
      <c r="U43" s="56"/>
      <c r="V43" s="56"/>
      <c r="W43" s="56"/>
      <c r="X43" s="56"/>
      <c r="Y43" s="56"/>
      <c r="Z43" s="56"/>
      <c r="AA43" s="70">
        <v>2</v>
      </c>
      <c r="AB43" s="70">
        <v>0</v>
      </c>
      <c r="AC43" s="71">
        <f>1-(SUM(IF(Q43-Uzman_D!$B$19&lt;0,-(Q43-Uzman_D!$B$19),Q43-Uzman_D!$B$19)*0.1+IF(R43-Uzman_D!$C$19&lt;0,-(R43-Uzman_D!$C$19),R43-Uzman_D!$C$19)*0.1+IF(S43-Uzman_D!$D$19&lt;0,-(S43-Uzman_D!$D$19),S43-Uzman_D!$D$19)*0.1+IF(T43-Uzman_D!$E$19&lt;0,-(T43-Uzman_D!$E$19),T43-Uzman_D!$E$19)*0.1+IF(U43-Uzman_D!$F$19&lt;0,-(U43-Uzman_D!$F$19),U43-Uzman_D!$F$19)*0.1+IF(V43-Uzman_D!$G$19&lt;0,-(V43-Uzman_D!$G$19),V43-Uzman_D!$G$19)*0.1+IF(W43-Uzman_D!$H$19&lt;0,-(W43-Uzman_D!$H$19),W43-Uzman_D!$H$19)*0.1+IF(X43-Uzman_D!$I$19&lt;0,-(X43-Uzman_D!$I$19),X43-Uzman_D!$I$19)*0.1+IF(Y43-Uzman_D!$J$19&lt;0,-(Y43-Uzman_D!$J$19),Y43-Uzman_D!$J$19)*0.1)+IF(ROUND((IF(AA43-Uzman_D!$L$19&lt;0,-(AA43-Uzman_D!$L$19),AA43-Uzman_D!$L$19)*2),0)/2=IF(AA43-Uzman_D!$L$19&lt;0,-(AA43-Uzman_D!$L$19),AA43-Uzman_D!$L$19),(ROUND((IF(AA43-Uzman_D!$L$19&lt;0,-(AA43-Uzman_D!$L$19),AA43-Uzman_D!$L$19)*2),0)/1*0.1),0)+IF(AB43-Uzman_D!$M$19&lt;0,-(AB43-Uzman_D!$M$19),AB43-Uzman_D!$M$19)*1)</f>
        <v>0.6</v>
      </c>
      <c r="AD43" s="56"/>
      <c r="AE43" s="56">
        <v>2</v>
      </c>
      <c r="AF43" s="56">
        <v>2</v>
      </c>
      <c r="AG43" s="56">
        <v>4</v>
      </c>
      <c r="AH43" s="56"/>
      <c r="AI43" s="56"/>
      <c r="AJ43" s="56"/>
      <c r="AK43" s="56"/>
      <c r="AL43" s="56"/>
      <c r="AM43" s="56"/>
      <c r="AN43" s="70">
        <v>2</v>
      </c>
      <c r="AO43" s="70">
        <v>0</v>
      </c>
      <c r="AP43" s="71">
        <f>1-(SUM(IF(AD43-Uzman_D!$B$20&lt;0,-(AD43-Uzman_D!$B$20),AD43-Uzman_D!$B$20)*0.1+IF(AE43-Uzman_D!$C$20&lt;0,-(AE43-Uzman_D!$C$20),AE43-Uzman_D!$C$20)*0.1+IF(AF43-Uzman_D!$D$20&lt;0,-(AF43-Uzman_D!$D$20),AF43-Uzman_D!$D$20)*0.1+IF(AG43-Uzman_D!$E$20&lt;0,-(AG43-Uzman_D!$E$20),AG43-Uzman_D!$E$20)*0.1+IF(AH43-Uzman_D!$F$20&lt;0,-(AH43-Uzman_D!$F$20),AH43-Uzman_D!$F$20)*0.1+IF(AI43-Uzman_D!$G$20&lt;0,-(AI43-Uzman_D!$G$20),AI43-Uzman_D!$G$20)*0.1+IF(AJ43-Uzman_D!$H$20&lt;0,-(AJ43-Uzman_D!$H$20),AJ43-Uzman_D!$H$20)*0.1+IF(AK43-Uzman_D!$I$20&lt;0,-(AK43-Uzman_D!$I$20),AK43-Uzman_D!$I$20)*0.1+IF(AL43-Uzman_D!$J$20&lt;0,-(AL43-Uzman_D!$J$20),AL43-Uzman_D!$J$20)*0.1)+IF(ROUND((IF(AN43-Uzman_D!$L$20&lt;0,-(AN43-Uzman_D!$L$20),AN43-Uzman_D!$L$20)*2),0)/2=IF(AN43-Uzman_D!$L$20&lt;0,-(AN43-Uzman_D!$L$20),AN43-Uzman_D!$L$20),(ROUND((IF(AN43-Uzman_D!$L$20&lt;0,-(AN43-Uzman_D!$L$20),AN43-Uzman_D!$L$20)*2),0)/1*0.1),0)+IF(AO43-Uzman_D!$M$20&lt;0,-(AO43-Uzman_D!$M$20),AO43-Uzman_D!$M$20)*1)</f>
        <v>0.6</v>
      </c>
      <c r="AQ43" s="56">
        <v>1</v>
      </c>
      <c r="AR43" s="56">
        <v>3</v>
      </c>
      <c r="AS43" s="56">
        <v>4</v>
      </c>
      <c r="AT43" s="56"/>
      <c r="AU43" s="56"/>
      <c r="AV43" s="56"/>
      <c r="AW43" s="56"/>
      <c r="AX43" s="56"/>
      <c r="AY43" s="56"/>
      <c r="AZ43" s="56"/>
      <c r="BA43" s="70">
        <v>2</v>
      </c>
      <c r="BB43" s="70">
        <v>0</v>
      </c>
      <c r="BC43" s="71">
        <f>1-(SUM(IF(AQ43-Uzman_D!$B$21&lt;0,-(AQ43-Uzman_D!$B$21),AQ43-Uzman_D!$B$21)*0.1+IF(AR43-Uzman_D!$C$21&lt;0,-(AR43-Uzman_D!$C$21),AR43-Uzman_D!$C$21)*0.1+IF(AS43-Uzman_D!$D$21&lt;0,-(AS43-Uzman_D!$D$21),AS43-Uzman_D!$D$21)*0.1+IF(AT43-Uzman_D!$E$21&lt;0,-(AT43-Uzman_D!$E$21),AT43-Uzman_D!$E$21)*0.1+IF(AU43-Uzman_D!$F$21&lt;0,-(AU43-Uzman_D!$F$21),AU43-Uzman_D!$F$21)*0.1+IF(AV43-Uzman_D!$G$21&lt;0,-(AV43-Uzman_D!$G$21),AV43-Uzman_D!$G$21)*0.1+IF(AW43-Uzman_D!$H$21&lt;0,-(AW43-Uzman_D!$H$21),AW43-Uzman_D!$H$21)*0.1+IF(AX43-Uzman_D!$I$21&lt;0,-(AX43-Uzman_D!$I$21),AX43-Uzman_D!$I$21)*0.1+IF(AY43-Uzman_D!$J$21&lt;0,-(AY43-Uzman_D!$J$21),AY43-Uzman_D!$J$21)*0.1)+IF(ROUND((IF(BA43-Uzman_D!$L$21&lt;0,-(BA43-Uzman_D!$L$21),BA43-Uzman_D!$L$21)*2),0)/2=IF(BA43-Uzman_D!$L$21&lt;0,-(BA43-Uzman_D!$L$21),BA43-Uzman_D!$L$21),(ROUND((IF(BA43-Uzman_D!$L$21&lt;0,-(BA43-Uzman_D!$L$21),BA43-Uzman_D!$L$21)*2),0)/1*0.1),0)+IF(BB43-Uzman_D!$M$21&lt;0,-(BB43-Uzman_D!$M$21),BB43-Uzman_D!$M$21)*1)</f>
        <v>0.7</v>
      </c>
      <c r="BD43" s="56"/>
      <c r="BE43" s="56">
        <v>3</v>
      </c>
      <c r="BF43" s="56">
        <v>3</v>
      </c>
      <c r="BG43" s="56">
        <v>1</v>
      </c>
      <c r="BH43" s="56"/>
      <c r="BI43" s="56">
        <v>1</v>
      </c>
      <c r="BJ43" s="56"/>
      <c r="BK43" s="56"/>
      <c r="BL43" s="56"/>
      <c r="BM43" s="56"/>
      <c r="BN43" s="70">
        <v>2</v>
      </c>
      <c r="BO43" s="70">
        <v>0</v>
      </c>
      <c r="BP43" s="71">
        <f>1-(SUM(IF(BD43-Uzman_D!$B$22&lt;0,-(BD43-Uzman_D!$B$22),BD43-Uzman_D!$B$22)*0.1+IF(BE43-Uzman_D!$C$22&lt;0,-(BE43-Uzman_D!$C$22),BE43-Uzman_D!$C$22)*0.1+IF(BF43-Uzman_D!$D$22&lt;0,-(BF43-Uzman_D!$D$22),BF43-Uzman_D!$D$22)*0.1+IF(BG43-Uzman_D!$E$22&lt;0,-(BG43-Uzman_D!$E$22),BG43-Uzman_D!$E$22)*0.1+IF(BH43-Uzman_D!$F$22&lt;0,-(BH43-Uzman_D!$F$22),BH43-Uzman_D!$F$22)*0.1+IF(BI43-Uzman_D!$G$22&lt;0,-(BI43-Uzman_D!$G$22),BI43-Uzman_D!$G$22)*0.1+IF(BJ43-Uzman_D!$H$22&lt;0,-(BJ43-Uzman_D!$H$22),BJ43-Uzman_D!$H$22)*0.1+IF(BK43-Uzman_D!$I$22&lt;0,-(BK43-Uzman_D!$I$22),BK43-Uzman_D!$I$22)*0.1+IF(BL43-Uzman_D!$J$22&lt;0,-(BL43-Uzman_D!$J$22),BL43-Uzman_D!$J$22)*0.1)+IF(ROUND((IF(BN43-Uzman_D!$L$22&lt;0,-(BN43-Uzman_D!$L$22),BN43-Uzman_D!$L$22)*2),0)/2=IF(BN43-Uzman_D!$L$22&lt;0,-(BN43-Uzman_D!$L$22),BN43-Uzman_D!$L$22),(ROUND((IF(BN43-Uzman_D!$L$22&lt;0,-(BN43-Uzman_D!$L$22),BN43-Uzman_D!$L$22)*2),0)/1*0.1),0)+IF(BO43-Uzman_D!$M$22&lt;0,-(BO43-Uzman_D!$M$22),BO43-Uzman_D!$M$22)*1)</f>
        <v>0.5</v>
      </c>
      <c r="BQ43" s="72">
        <f t="shared" si="1"/>
        <v>0.5</v>
      </c>
    </row>
    <row r="44" spans="1:69" ht="15" customHeight="1" x14ac:dyDescent="0.45">
      <c r="A44" s="54">
        <v>41</v>
      </c>
      <c r="B44" s="168" t="str">
        <f>Hakemler!B44</f>
        <v>ELİK</v>
      </c>
      <c r="C44" s="168" t="str">
        <f>Hakemler!C44</f>
        <v>MUSTAFA</v>
      </c>
      <c r="D44" s="56"/>
      <c r="E44" s="56"/>
      <c r="F44" s="56"/>
      <c r="G44" s="56">
        <v>0</v>
      </c>
      <c r="H44" s="56">
        <v>0</v>
      </c>
      <c r="I44" s="56">
        <v>0</v>
      </c>
      <c r="J44" s="56"/>
      <c r="K44" s="56"/>
      <c r="L44" s="56"/>
      <c r="M44" s="56"/>
      <c r="N44" s="70">
        <v>0.5</v>
      </c>
      <c r="O44" s="70">
        <v>0.3</v>
      </c>
      <c r="P44" s="71">
        <f>1-(SUM(IF(D44-Uzman_D!$B$18&lt;0,-(D44-Uzman_D!$B$18),D44-Uzman_D!$B$18)*0.1+IF(E44-Uzman_D!$C$18&lt;0,-(E44-Uzman_D!$C$18),E44-Uzman_D!$C$18)*0.1+IF(F44-Uzman_D!$D$18&lt;0,-(F44-Uzman_D!$D$18),F44-Uzman_D!$D$18)*0.1+IF(G44-Uzman_D!$E$18&lt;0,-(G44-Uzman_D!$E$18),G44-Uzman_D!$E$18)*0.1+IF(H44-Uzman_D!$F$18&lt;0,-(H44-Uzman_D!$F$18),H44-Uzman_D!$F$18)*0.1+IF(I44-Uzman_D!$G$18&lt;0,-(I44-Uzman_D!$G$18),I44-Uzman_D!$G$18)*0.1+IF(J44-Uzman_D!$H$18&lt;0,-(J44-Uzman_D!$H$18),J44-Uzman_D!$H$18)*0.1+IF(K44-Uzman_D!$I$18&lt;0,-(K44-Uzman_D!$I$18),K44-Uzman_D!$I$18)*0.1+IF(L44-Uzman_D!$J$18&lt;0,-(L44-Uzman_D!$J$18),L44-Uzman_D!$J$18)*0.1)+IF(ROUND((IF(N44-Uzman_D!$L$18&lt;0,-(N44-Uzman_D!$L$18),N44-Uzman_D!$L$18)*2),0)/2=IF(N44-Uzman_D!$L$18&lt;0,-(N44-Uzman_D!$L$18),N44-Uzman_D!$L$18),(ROUND((IF(N44-Uzman_D!$L$18&lt;0,-(N44-Uzman_D!$L$18),N44-Uzman_D!$L$18)*2),0)/1*0.1),0)+IF(O44-Uzman_D!$M$18&lt;0,-(O44-Uzman_D!$M$18),O44-Uzman_D!$M$18)*1)</f>
        <v>-0.20000000000000018</v>
      </c>
      <c r="Q44" s="56"/>
      <c r="R44" s="56">
        <v>1</v>
      </c>
      <c r="S44" s="56"/>
      <c r="T44" s="56">
        <v>0</v>
      </c>
      <c r="U44" s="56">
        <v>0</v>
      </c>
      <c r="V44" s="56">
        <v>0</v>
      </c>
      <c r="W44" s="56"/>
      <c r="X44" s="56"/>
      <c r="Y44" s="56"/>
      <c r="Z44" s="56"/>
      <c r="AA44" s="70">
        <v>1</v>
      </c>
      <c r="AB44" s="70">
        <v>0.4</v>
      </c>
      <c r="AC44" s="71">
        <f>1-(SUM(IF(Q44-Uzman_D!$B$19&lt;0,-(Q44-Uzman_D!$B$19),Q44-Uzman_D!$B$19)*0.1+IF(R44-Uzman_D!$C$19&lt;0,-(R44-Uzman_D!$C$19),R44-Uzman_D!$C$19)*0.1+IF(S44-Uzman_D!$D$19&lt;0,-(S44-Uzman_D!$D$19),S44-Uzman_D!$D$19)*0.1+IF(T44-Uzman_D!$E$19&lt;0,-(T44-Uzman_D!$E$19),T44-Uzman_D!$E$19)*0.1+IF(U44-Uzman_D!$F$19&lt;0,-(U44-Uzman_D!$F$19),U44-Uzman_D!$F$19)*0.1+IF(V44-Uzman_D!$G$19&lt;0,-(V44-Uzman_D!$G$19),V44-Uzman_D!$G$19)*0.1+IF(W44-Uzman_D!$H$19&lt;0,-(W44-Uzman_D!$H$19),W44-Uzman_D!$H$19)*0.1+IF(X44-Uzman_D!$I$19&lt;0,-(X44-Uzman_D!$I$19),X44-Uzman_D!$I$19)*0.1+IF(Y44-Uzman_D!$J$19&lt;0,-(Y44-Uzman_D!$J$19),Y44-Uzman_D!$J$19)*0.1)+IF(ROUND((IF(AA44-Uzman_D!$L$19&lt;0,-(AA44-Uzman_D!$L$19),AA44-Uzman_D!$L$19)*2),0)/2=IF(AA44-Uzman_D!$L$19&lt;0,-(AA44-Uzman_D!$L$19),AA44-Uzman_D!$L$19),(ROUND((IF(AA44-Uzman_D!$L$19&lt;0,-(AA44-Uzman_D!$L$19),AA44-Uzman_D!$L$19)*2),0)/1*0.1),0)+IF(AB44-Uzman_D!$M$19&lt;0,-(AB44-Uzman_D!$M$19),AB44-Uzman_D!$M$19)*1)</f>
        <v>-0.29999999999999982</v>
      </c>
      <c r="AD44" s="56"/>
      <c r="AE44" s="56">
        <v>4</v>
      </c>
      <c r="AF44" s="56">
        <v>0</v>
      </c>
      <c r="AG44" s="56">
        <v>0</v>
      </c>
      <c r="AH44" s="56">
        <v>5</v>
      </c>
      <c r="AI44" s="56"/>
      <c r="AJ44" s="56"/>
      <c r="AK44" s="56"/>
      <c r="AL44" s="56"/>
      <c r="AM44" s="56"/>
      <c r="AN44" s="70">
        <v>0</v>
      </c>
      <c r="AO44" s="70">
        <v>0.2</v>
      </c>
      <c r="AP44" s="71">
        <f>1-(SUM(IF(AD44-Uzman_D!$B$20&lt;0,-(AD44-Uzman_D!$B$20),AD44-Uzman_D!$B$20)*0.1+IF(AE44-Uzman_D!$C$20&lt;0,-(AE44-Uzman_D!$C$20),AE44-Uzman_D!$C$20)*0.1+IF(AF44-Uzman_D!$D$20&lt;0,-(AF44-Uzman_D!$D$20),AF44-Uzman_D!$D$20)*0.1+IF(AG44-Uzman_D!$E$20&lt;0,-(AG44-Uzman_D!$E$20),AG44-Uzman_D!$E$20)*0.1+IF(AH44-Uzman_D!$F$20&lt;0,-(AH44-Uzman_D!$F$20),AH44-Uzman_D!$F$20)*0.1+IF(AI44-Uzman_D!$G$20&lt;0,-(AI44-Uzman_D!$G$20),AI44-Uzman_D!$G$20)*0.1+IF(AJ44-Uzman_D!$H$20&lt;0,-(AJ44-Uzman_D!$H$20),AJ44-Uzman_D!$H$20)*0.1+IF(AK44-Uzman_D!$I$20&lt;0,-(AK44-Uzman_D!$I$20),AK44-Uzman_D!$I$20)*0.1+IF(AL44-Uzman_D!$J$20&lt;0,-(AL44-Uzman_D!$J$20),AL44-Uzman_D!$J$20)*0.1)+IF(ROUND((IF(AN44-Uzman_D!$L$20&lt;0,-(AN44-Uzman_D!$L$20),AN44-Uzman_D!$L$20)*2),0)/2=IF(AN44-Uzman_D!$L$20&lt;0,-(AN44-Uzman_D!$L$20),AN44-Uzman_D!$L$20),(ROUND((IF(AN44-Uzman_D!$L$20&lt;0,-(AN44-Uzman_D!$L$20),AN44-Uzman_D!$L$20)*2),0)/1*0.1),0)+IF(AO44-Uzman_D!$M$20&lt;0,-(AO44-Uzman_D!$M$20),AO44-Uzman_D!$M$20)*1)</f>
        <v>-0.89999999999999991</v>
      </c>
      <c r="AQ44" s="56"/>
      <c r="AR44" s="56"/>
      <c r="AS44" s="56">
        <v>3</v>
      </c>
      <c r="AT44" s="56">
        <v>0</v>
      </c>
      <c r="AU44" s="56">
        <v>0</v>
      </c>
      <c r="AV44" s="56">
        <v>5</v>
      </c>
      <c r="AW44" s="56"/>
      <c r="AX44" s="56"/>
      <c r="AY44" s="56"/>
      <c r="AZ44" s="56"/>
      <c r="BA44" s="70"/>
      <c r="BB44" s="70"/>
      <c r="BC44" s="71">
        <f>1-(SUM(IF(AQ44-Uzman_D!$B$21&lt;0,-(AQ44-Uzman_D!$B$21),AQ44-Uzman_D!$B$21)*0.1+IF(AR44-Uzman_D!$C$21&lt;0,-(AR44-Uzman_D!$C$21),AR44-Uzman_D!$C$21)*0.1+IF(AS44-Uzman_D!$D$21&lt;0,-(AS44-Uzman_D!$D$21),AS44-Uzman_D!$D$21)*0.1+IF(AT44-Uzman_D!$E$21&lt;0,-(AT44-Uzman_D!$E$21),AT44-Uzman_D!$E$21)*0.1+IF(AU44-Uzman_D!$F$21&lt;0,-(AU44-Uzman_D!$F$21),AU44-Uzman_D!$F$21)*0.1+IF(AV44-Uzman_D!$G$21&lt;0,-(AV44-Uzman_D!$G$21),AV44-Uzman_D!$G$21)*0.1+IF(AW44-Uzman_D!$H$21&lt;0,-(AW44-Uzman_D!$H$21),AW44-Uzman_D!$H$21)*0.1+IF(AX44-Uzman_D!$I$21&lt;0,-(AX44-Uzman_D!$I$21),AX44-Uzman_D!$I$21)*0.1+IF(AY44-Uzman_D!$J$21&lt;0,-(AY44-Uzman_D!$J$21),AY44-Uzman_D!$J$21)*0.1)+IF(ROUND((IF(BA44-Uzman_D!$L$21&lt;0,-(BA44-Uzman_D!$L$21),BA44-Uzman_D!$L$21)*2),0)/2=IF(BA44-Uzman_D!$L$21&lt;0,-(BA44-Uzman_D!$L$21),BA44-Uzman_D!$L$21),(ROUND((IF(BA44-Uzman_D!$L$21&lt;0,-(BA44-Uzman_D!$L$21),BA44-Uzman_D!$L$21)*2),0)/1*0.1),0)+IF(BB44-Uzman_D!$M$21&lt;0,-(BB44-Uzman_D!$M$21),BB44-Uzman_D!$M$21)*1)</f>
        <v>-0.30000000000000004</v>
      </c>
      <c r="BD44" s="56"/>
      <c r="BE44" s="56"/>
      <c r="BF44" s="56"/>
      <c r="BG44" s="56">
        <v>0</v>
      </c>
      <c r="BH44" s="56">
        <v>6</v>
      </c>
      <c r="BI44" s="56">
        <v>0</v>
      </c>
      <c r="BJ44" s="56"/>
      <c r="BK44" s="56"/>
      <c r="BL44" s="56"/>
      <c r="BM44" s="56"/>
      <c r="BN44" s="70">
        <v>1.5</v>
      </c>
      <c r="BO44" s="70">
        <v>0.3</v>
      </c>
      <c r="BP44" s="71">
        <f>1-(SUM(IF(BD44-Uzman_D!$B$22&lt;0,-(BD44-Uzman_D!$B$22),BD44-Uzman_D!$B$22)*0.1+IF(BE44-Uzman_D!$C$22&lt;0,-(BE44-Uzman_D!$C$22),BE44-Uzman_D!$C$22)*0.1+IF(BF44-Uzman_D!$D$22&lt;0,-(BF44-Uzman_D!$D$22),BF44-Uzman_D!$D$22)*0.1+IF(BG44-Uzman_D!$E$22&lt;0,-(BG44-Uzman_D!$E$22),BG44-Uzman_D!$E$22)*0.1+IF(BH44-Uzman_D!$F$22&lt;0,-(BH44-Uzman_D!$F$22),BH44-Uzman_D!$F$22)*0.1+IF(BI44-Uzman_D!$G$22&lt;0,-(BI44-Uzman_D!$G$22),BI44-Uzman_D!$G$22)*0.1+IF(BJ44-Uzman_D!$H$22&lt;0,-(BJ44-Uzman_D!$H$22),BJ44-Uzman_D!$H$22)*0.1+IF(BK44-Uzman_D!$I$22&lt;0,-(BK44-Uzman_D!$I$22),BK44-Uzman_D!$I$22)*0.1+IF(BL44-Uzman_D!$J$22&lt;0,-(BL44-Uzman_D!$J$22),BL44-Uzman_D!$J$22)*0.1)+IF(ROUND((IF(BN44-Uzman_D!$L$22&lt;0,-(BN44-Uzman_D!$L$22),BN44-Uzman_D!$L$22)*2),0)/2=IF(BN44-Uzman_D!$L$22&lt;0,-(BN44-Uzman_D!$L$22),BN44-Uzman_D!$L$22),(ROUND((IF(BN44-Uzman_D!$L$22&lt;0,-(BN44-Uzman_D!$L$22),BN44-Uzman_D!$L$22)*2),0)/1*0.1),0)+IF(BO44-Uzman_D!$M$22&lt;0,-(BO44-Uzman_D!$M$22),BO44-Uzman_D!$M$22)*1)</f>
        <v>-0.70000000000000018</v>
      </c>
      <c r="BQ44" s="72">
        <f t="shared" si="1"/>
        <v>-0.48000000000000009</v>
      </c>
    </row>
    <row r="45" spans="1:69" ht="15" customHeight="1" x14ac:dyDescent="0.45">
      <c r="A45" s="54">
        <v>42</v>
      </c>
      <c r="B45" s="167" t="str">
        <f>Hakemler!B45</f>
        <v>BAKAR</v>
      </c>
      <c r="C45" s="167" t="str">
        <f>Hakemler!C45</f>
        <v>İPEK</v>
      </c>
      <c r="D45" s="56"/>
      <c r="E45" s="56"/>
      <c r="F45" s="56">
        <v>0</v>
      </c>
      <c r="G45" s="56">
        <v>0</v>
      </c>
      <c r="H45" s="56">
        <v>0</v>
      </c>
      <c r="I45" s="56">
        <v>2</v>
      </c>
      <c r="J45" s="56"/>
      <c r="K45" s="56"/>
      <c r="L45" s="56"/>
      <c r="M45" s="56"/>
      <c r="N45" s="70">
        <v>1.5</v>
      </c>
      <c r="O45" s="70">
        <v>0.2</v>
      </c>
      <c r="P45" s="71">
        <f>1-(SUM(IF(D45-Uzman_D!$B$18&lt;0,-(D45-Uzman_D!$B$18),D45-Uzman_D!$B$18)*0.1+IF(E45-Uzman_D!$C$18&lt;0,-(E45-Uzman_D!$C$18),E45-Uzman_D!$C$18)*0.1+IF(F45-Uzman_D!$D$18&lt;0,-(F45-Uzman_D!$D$18),F45-Uzman_D!$D$18)*0.1+IF(G45-Uzman_D!$E$18&lt;0,-(G45-Uzman_D!$E$18),G45-Uzman_D!$E$18)*0.1+IF(H45-Uzman_D!$F$18&lt;0,-(H45-Uzman_D!$F$18),H45-Uzman_D!$F$18)*0.1+IF(I45-Uzman_D!$G$18&lt;0,-(I45-Uzman_D!$G$18),I45-Uzman_D!$G$18)*0.1+IF(J45-Uzman_D!$H$18&lt;0,-(J45-Uzman_D!$H$18),J45-Uzman_D!$H$18)*0.1+IF(K45-Uzman_D!$I$18&lt;0,-(K45-Uzman_D!$I$18),K45-Uzman_D!$I$18)*0.1+IF(L45-Uzman_D!$J$18&lt;0,-(L45-Uzman_D!$J$18),L45-Uzman_D!$J$18)*0.1)+IF(ROUND((IF(N45-Uzman_D!$L$18&lt;0,-(N45-Uzman_D!$L$18),N45-Uzman_D!$L$18)*2),0)/2=IF(N45-Uzman_D!$L$18&lt;0,-(N45-Uzman_D!$L$18),N45-Uzman_D!$L$18),(ROUND((IF(N45-Uzman_D!$L$18&lt;0,-(N45-Uzman_D!$L$18),N45-Uzman_D!$L$18)*2),0)/1*0.1),0)+IF(O45-Uzman_D!$M$18&lt;0,-(O45-Uzman_D!$M$18),O45-Uzman_D!$M$18)*1)</f>
        <v>-0.30000000000000004</v>
      </c>
      <c r="Q45" s="56"/>
      <c r="R45" s="56">
        <v>8</v>
      </c>
      <c r="S45" s="56">
        <v>0</v>
      </c>
      <c r="T45" s="56">
        <v>0</v>
      </c>
      <c r="U45" s="56">
        <v>6</v>
      </c>
      <c r="V45" s="56"/>
      <c r="W45" s="56"/>
      <c r="X45" s="56"/>
      <c r="Y45" s="56"/>
      <c r="Z45" s="56"/>
      <c r="AA45" s="70">
        <v>1.5</v>
      </c>
      <c r="AB45" s="70">
        <v>0</v>
      </c>
      <c r="AC45" s="71">
        <f>1-(SUM(IF(Q45-Uzman_D!$B$19&lt;0,-(Q45-Uzman_D!$B$19),Q45-Uzman_D!$B$19)*0.1+IF(R45-Uzman_D!$C$19&lt;0,-(R45-Uzman_D!$C$19),R45-Uzman_D!$C$19)*0.1+IF(S45-Uzman_D!$D$19&lt;0,-(S45-Uzman_D!$D$19),S45-Uzman_D!$D$19)*0.1+IF(T45-Uzman_D!$E$19&lt;0,-(T45-Uzman_D!$E$19),T45-Uzman_D!$E$19)*0.1+IF(U45-Uzman_D!$F$19&lt;0,-(U45-Uzman_D!$F$19),U45-Uzman_D!$F$19)*0.1+IF(V45-Uzman_D!$G$19&lt;0,-(V45-Uzman_D!$G$19),V45-Uzman_D!$G$19)*0.1+IF(W45-Uzman_D!$H$19&lt;0,-(W45-Uzman_D!$H$19),W45-Uzman_D!$H$19)*0.1+IF(X45-Uzman_D!$I$19&lt;0,-(X45-Uzman_D!$I$19),X45-Uzman_D!$I$19)*0.1+IF(Y45-Uzman_D!$J$19&lt;0,-(Y45-Uzman_D!$J$19),Y45-Uzman_D!$J$19)*0.1)+IF(ROUND((IF(AA45-Uzman_D!$L$19&lt;0,-(AA45-Uzman_D!$L$19),AA45-Uzman_D!$L$19)*2),0)/2=IF(AA45-Uzman_D!$L$19&lt;0,-(AA45-Uzman_D!$L$19),AA45-Uzman_D!$L$19),(ROUND((IF(AA45-Uzman_D!$L$19&lt;0,-(AA45-Uzman_D!$L$19),AA45-Uzman_D!$L$19)*2),0)/1*0.1),0)+IF(AB45-Uzman_D!$M$19&lt;0,-(AB45-Uzman_D!$M$19),AB45-Uzman_D!$M$19)*1)</f>
        <v>-1.1000000000000001</v>
      </c>
      <c r="AD45" s="56"/>
      <c r="AE45" s="56">
        <v>1</v>
      </c>
      <c r="AF45" s="56">
        <v>3</v>
      </c>
      <c r="AG45" s="56">
        <v>0</v>
      </c>
      <c r="AH45" s="56"/>
      <c r="AI45" s="56"/>
      <c r="AJ45" s="56"/>
      <c r="AK45" s="56"/>
      <c r="AL45" s="56"/>
      <c r="AM45" s="56"/>
      <c r="AN45" s="70">
        <v>1.5</v>
      </c>
      <c r="AO45" s="70">
        <v>0.1</v>
      </c>
      <c r="AP45" s="71">
        <f>1-(SUM(IF(AD45-Uzman_D!$B$20&lt;0,-(AD45-Uzman_D!$B$20),AD45-Uzman_D!$B$20)*0.1+IF(AE45-Uzman_D!$C$20&lt;0,-(AE45-Uzman_D!$C$20),AE45-Uzman_D!$C$20)*0.1+IF(AF45-Uzman_D!$D$20&lt;0,-(AF45-Uzman_D!$D$20),AF45-Uzman_D!$D$20)*0.1+IF(AG45-Uzman_D!$E$20&lt;0,-(AG45-Uzman_D!$E$20),AG45-Uzman_D!$E$20)*0.1+IF(AH45-Uzman_D!$F$20&lt;0,-(AH45-Uzman_D!$F$20),AH45-Uzman_D!$F$20)*0.1+IF(AI45-Uzman_D!$G$20&lt;0,-(AI45-Uzman_D!$G$20),AI45-Uzman_D!$G$20)*0.1+IF(AJ45-Uzman_D!$H$20&lt;0,-(AJ45-Uzman_D!$H$20),AJ45-Uzman_D!$H$20)*0.1+IF(AK45-Uzman_D!$I$20&lt;0,-(AK45-Uzman_D!$I$20),AK45-Uzman_D!$I$20)*0.1+IF(AL45-Uzman_D!$J$20&lt;0,-(AL45-Uzman_D!$J$20),AL45-Uzman_D!$J$20)*0.1)+IF(ROUND((IF(AN45-Uzman_D!$L$20&lt;0,-(AN45-Uzman_D!$L$20),AN45-Uzman_D!$L$20)*2),0)/2=IF(AN45-Uzman_D!$L$20&lt;0,-(AN45-Uzman_D!$L$20),AN45-Uzman_D!$L$20),(ROUND((IF(AN45-Uzman_D!$L$20&lt;0,-(AN45-Uzman_D!$L$20),AN45-Uzman_D!$L$20)*2),0)/1*0.1),0)+IF(AO45-Uzman_D!$M$20&lt;0,-(AO45-Uzman_D!$M$20),AO45-Uzman_D!$M$20)*1)</f>
        <v>0.4</v>
      </c>
      <c r="AQ45" s="56">
        <v>3</v>
      </c>
      <c r="AR45" s="56">
        <v>0</v>
      </c>
      <c r="AS45" s="56">
        <v>0</v>
      </c>
      <c r="AT45" s="56">
        <v>0</v>
      </c>
      <c r="AU45" s="56"/>
      <c r="AV45" s="56"/>
      <c r="AW45" s="56"/>
      <c r="AX45" s="56"/>
      <c r="AY45" s="56"/>
      <c r="AZ45" s="56"/>
      <c r="BA45" s="70">
        <v>1</v>
      </c>
      <c r="BB45" s="70">
        <v>0.1</v>
      </c>
      <c r="BC45" s="71">
        <f>1-(SUM(IF(AQ45-Uzman_D!$B$21&lt;0,-(AQ45-Uzman_D!$B$21),AQ45-Uzman_D!$B$21)*0.1+IF(AR45-Uzman_D!$C$21&lt;0,-(AR45-Uzman_D!$C$21),AR45-Uzman_D!$C$21)*0.1+IF(AS45-Uzman_D!$D$21&lt;0,-(AS45-Uzman_D!$D$21),AS45-Uzman_D!$D$21)*0.1+IF(AT45-Uzman_D!$E$21&lt;0,-(AT45-Uzman_D!$E$21),AT45-Uzman_D!$E$21)*0.1+IF(AU45-Uzman_D!$F$21&lt;0,-(AU45-Uzman_D!$F$21),AU45-Uzman_D!$F$21)*0.1+IF(AV45-Uzman_D!$G$21&lt;0,-(AV45-Uzman_D!$G$21),AV45-Uzman_D!$G$21)*0.1+IF(AW45-Uzman_D!$H$21&lt;0,-(AW45-Uzman_D!$H$21),AW45-Uzman_D!$H$21)*0.1+IF(AX45-Uzman_D!$I$21&lt;0,-(AX45-Uzman_D!$I$21),AX45-Uzman_D!$I$21)*0.1+IF(AY45-Uzman_D!$J$21&lt;0,-(AY45-Uzman_D!$J$21),AY45-Uzman_D!$J$21)*0.1)+IF(ROUND((IF(BA45-Uzman_D!$L$21&lt;0,-(BA45-Uzman_D!$L$21),BA45-Uzman_D!$L$21)*2),0)/2=IF(BA45-Uzman_D!$L$21&lt;0,-(BA45-Uzman_D!$L$21),BA45-Uzman_D!$L$21),(ROUND((IF(BA45-Uzman_D!$L$21&lt;0,-(BA45-Uzman_D!$L$21),BA45-Uzman_D!$L$21)*2),0)/1*0.1),0)+IF(BB45-Uzman_D!$M$21&lt;0,-(BB45-Uzman_D!$M$21),BB45-Uzman_D!$M$21)*1)</f>
        <v>9.9999999999999978E-2</v>
      </c>
      <c r="BD45" s="56"/>
      <c r="BE45" s="56"/>
      <c r="BF45" s="56">
        <v>0</v>
      </c>
      <c r="BG45" s="56">
        <v>0</v>
      </c>
      <c r="BH45" s="56">
        <v>0</v>
      </c>
      <c r="BI45" s="56"/>
      <c r="BJ45" s="56"/>
      <c r="BK45" s="56"/>
      <c r="BL45" s="56"/>
      <c r="BM45" s="56"/>
      <c r="BN45" s="70">
        <v>2</v>
      </c>
      <c r="BO45" s="70">
        <v>0</v>
      </c>
      <c r="BP45" s="71">
        <f>1-(SUM(IF(BD45-Uzman_D!$B$22&lt;0,-(BD45-Uzman_D!$B$22),BD45-Uzman_D!$B$22)*0.1+IF(BE45-Uzman_D!$C$22&lt;0,-(BE45-Uzman_D!$C$22),BE45-Uzman_D!$C$22)*0.1+IF(BF45-Uzman_D!$D$22&lt;0,-(BF45-Uzman_D!$D$22),BF45-Uzman_D!$D$22)*0.1+IF(BG45-Uzman_D!$E$22&lt;0,-(BG45-Uzman_D!$E$22),BG45-Uzman_D!$E$22)*0.1+IF(BH45-Uzman_D!$F$22&lt;0,-(BH45-Uzman_D!$F$22),BH45-Uzman_D!$F$22)*0.1+IF(BI45-Uzman_D!$G$22&lt;0,-(BI45-Uzman_D!$G$22),BI45-Uzman_D!$G$22)*0.1+IF(BJ45-Uzman_D!$H$22&lt;0,-(BJ45-Uzman_D!$H$22),BJ45-Uzman_D!$H$22)*0.1+IF(BK45-Uzman_D!$I$22&lt;0,-(BK45-Uzman_D!$I$22),BK45-Uzman_D!$I$22)*0.1+IF(BL45-Uzman_D!$J$22&lt;0,-(BL45-Uzman_D!$J$22),BL45-Uzman_D!$J$22)*0.1)+IF(ROUND((IF(BN45-Uzman_D!$L$22&lt;0,-(BN45-Uzman_D!$L$22),BN45-Uzman_D!$L$22)*2),0)/2=IF(BN45-Uzman_D!$L$22&lt;0,-(BN45-Uzman_D!$L$22),BN45-Uzman_D!$L$22),(ROUND((IF(BN45-Uzman_D!$L$22&lt;0,-(BN45-Uzman_D!$L$22),BN45-Uzman_D!$L$22)*2),0)/1*0.1),0)+IF(BO45-Uzman_D!$M$22&lt;0,-(BO45-Uzman_D!$M$22),BO45-Uzman_D!$M$22)*1)</f>
        <v>9.9999999999999978E-2</v>
      </c>
      <c r="BQ45" s="72">
        <f t="shared" si="1"/>
        <v>-0.16</v>
      </c>
    </row>
    <row r="46" spans="1:69" ht="15" customHeight="1" x14ac:dyDescent="0.45">
      <c r="A46" s="54">
        <v>43</v>
      </c>
      <c r="B46" s="168" t="str">
        <f>Hakemler!B46</f>
        <v>UÇAK</v>
      </c>
      <c r="C46" s="168" t="str">
        <f>Hakemler!C46</f>
        <v>ECEM</v>
      </c>
      <c r="D46" s="56">
        <v>0</v>
      </c>
      <c r="E46" s="56">
        <v>1</v>
      </c>
      <c r="F46" s="56">
        <v>2</v>
      </c>
      <c r="G46" s="56">
        <v>1</v>
      </c>
      <c r="H46" s="56">
        <v>1</v>
      </c>
      <c r="I46" s="56">
        <v>1</v>
      </c>
      <c r="J46" s="56"/>
      <c r="K46" s="56"/>
      <c r="L46" s="56"/>
      <c r="M46" s="56"/>
      <c r="N46" s="70">
        <v>1</v>
      </c>
      <c r="O46" s="70">
        <v>0.4</v>
      </c>
      <c r="P46" s="71">
        <f>1-(SUM(IF(D46-Uzman_D!$B$18&lt;0,-(D46-Uzman_D!$B$18),D46-Uzman_D!$B$18)*0.1+IF(E46-Uzman_D!$C$18&lt;0,-(E46-Uzman_D!$C$18),E46-Uzman_D!$C$18)*0.1+IF(F46-Uzman_D!$D$18&lt;0,-(F46-Uzman_D!$D$18),F46-Uzman_D!$D$18)*0.1+IF(G46-Uzman_D!$E$18&lt;0,-(G46-Uzman_D!$E$18),G46-Uzman_D!$E$18)*0.1+IF(H46-Uzman_D!$F$18&lt;0,-(H46-Uzman_D!$F$18),H46-Uzman_D!$F$18)*0.1+IF(I46-Uzman_D!$G$18&lt;0,-(I46-Uzman_D!$G$18),I46-Uzman_D!$G$18)*0.1+IF(J46-Uzman_D!$H$18&lt;0,-(J46-Uzman_D!$H$18),J46-Uzman_D!$H$18)*0.1+IF(K46-Uzman_D!$I$18&lt;0,-(K46-Uzman_D!$I$18),K46-Uzman_D!$I$18)*0.1+IF(L46-Uzman_D!$J$18&lt;0,-(L46-Uzman_D!$J$18),L46-Uzman_D!$J$18)*0.1)+IF(ROUND((IF(N46-Uzman_D!$L$18&lt;0,-(N46-Uzman_D!$L$18),N46-Uzman_D!$L$18)*2),0)/2=IF(N46-Uzman_D!$L$18&lt;0,-(N46-Uzman_D!$L$18),N46-Uzman_D!$L$18),(ROUND((IF(N46-Uzman_D!$L$18&lt;0,-(N46-Uzman_D!$L$18),N46-Uzman_D!$L$18)*2),0)/1*0.1),0)+IF(O46-Uzman_D!$M$18&lt;0,-(O46-Uzman_D!$M$18),O46-Uzman_D!$M$18)*1)</f>
        <v>0.39999999999999991</v>
      </c>
      <c r="Q46" s="56">
        <v>1</v>
      </c>
      <c r="R46" s="56">
        <v>2</v>
      </c>
      <c r="S46" s="56">
        <v>3</v>
      </c>
      <c r="T46" s="56">
        <v>2</v>
      </c>
      <c r="U46" s="56">
        <v>2</v>
      </c>
      <c r="V46" s="56"/>
      <c r="W46" s="56"/>
      <c r="X46" s="56"/>
      <c r="Y46" s="56"/>
      <c r="Z46" s="56"/>
      <c r="AA46" s="70">
        <v>0.5</v>
      </c>
      <c r="AB46" s="70">
        <v>0.2</v>
      </c>
      <c r="AC46" s="71">
        <f>1-(SUM(IF(Q46-Uzman_D!$B$19&lt;0,-(Q46-Uzman_D!$B$19),Q46-Uzman_D!$B$19)*0.1+IF(R46-Uzman_D!$C$19&lt;0,-(R46-Uzman_D!$C$19),R46-Uzman_D!$C$19)*0.1+IF(S46-Uzman_D!$D$19&lt;0,-(S46-Uzman_D!$D$19),S46-Uzman_D!$D$19)*0.1+IF(T46-Uzman_D!$E$19&lt;0,-(T46-Uzman_D!$E$19),T46-Uzman_D!$E$19)*0.1+IF(U46-Uzman_D!$F$19&lt;0,-(U46-Uzman_D!$F$19),U46-Uzman_D!$F$19)*0.1+IF(V46-Uzman_D!$G$19&lt;0,-(V46-Uzman_D!$G$19),V46-Uzman_D!$G$19)*0.1+IF(W46-Uzman_D!$H$19&lt;0,-(W46-Uzman_D!$H$19),W46-Uzman_D!$H$19)*0.1+IF(X46-Uzman_D!$I$19&lt;0,-(X46-Uzman_D!$I$19),X46-Uzman_D!$I$19)*0.1+IF(Y46-Uzman_D!$J$19&lt;0,-(Y46-Uzman_D!$J$19),Y46-Uzman_D!$J$19)*0.1)+IF(ROUND((IF(AA46-Uzman_D!$L$19&lt;0,-(AA46-Uzman_D!$L$19),AA46-Uzman_D!$L$19)*2),0)/2=IF(AA46-Uzman_D!$L$19&lt;0,-(AA46-Uzman_D!$L$19),AA46-Uzman_D!$L$19),(ROUND((IF(AA46-Uzman_D!$L$19&lt;0,-(AA46-Uzman_D!$L$19),AA46-Uzman_D!$L$19)*2),0)/1*0.1),0)+IF(AB46-Uzman_D!$M$19&lt;0,-(AB46-Uzman_D!$M$19),AB46-Uzman_D!$M$19)*1)</f>
        <v>-0.10000000000000009</v>
      </c>
      <c r="AD46" s="56">
        <v>0</v>
      </c>
      <c r="AE46" s="56">
        <v>2</v>
      </c>
      <c r="AF46" s="56">
        <v>3</v>
      </c>
      <c r="AG46" s="56">
        <v>0</v>
      </c>
      <c r="AH46" s="56">
        <v>1</v>
      </c>
      <c r="AI46" s="56">
        <v>1</v>
      </c>
      <c r="AJ46" s="56"/>
      <c r="AK46" s="56"/>
      <c r="AL46" s="56"/>
      <c r="AM46" s="56"/>
      <c r="AN46" s="70">
        <v>0.5</v>
      </c>
      <c r="AO46" s="70">
        <v>0.2</v>
      </c>
      <c r="AP46" s="71">
        <f>1-(SUM(IF(AD46-Uzman_D!$B$20&lt;0,-(AD46-Uzman_D!$B$20),AD46-Uzman_D!$B$20)*0.1+IF(AE46-Uzman_D!$C$20&lt;0,-(AE46-Uzman_D!$C$20),AE46-Uzman_D!$C$20)*0.1+IF(AF46-Uzman_D!$D$20&lt;0,-(AF46-Uzman_D!$D$20),AF46-Uzman_D!$D$20)*0.1+IF(AG46-Uzman_D!$E$20&lt;0,-(AG46-Uzman_D!$E$20),AG46-Uzman_D!$E$20)*0.1+IF(AH46-Uzman_D!$F$20&lt;0,-(AH46-Uzman_D!$F$20),AH46-Uzman_D!$F$20)*0.1+IF(AI46-Uzman_D!$G$20&lt;0,-(AI46-Uzman_D!$G$20),AI46-Uzman_D!$G$20)*0.1+IF(AJ46-Uzman_D!$H$20&lt;0,-(AJ46-Uzman_D!$H$20),AJ46-Uzman_D!$H$20)*0.1+IF(AK46-Uzman_D!$I$20&lt;0,-(AK46-Uzman_D!$I$20),AK46-Uzman_D!$I$20)*0.1+IF(AL46-Uzman_D!$J$20&lt;0,-(AL46-Uzman_D!$J$20),AL46-Uzman_D!$J$20)*0.1)+IF(ROUND((IF(AN46-Uzman_D!$L$20&lt;0,-(AN46-Uzman_D!$L$20),AN46-Uzman_D!$L$20)*2),0)/2=IF(AN46-Uzman_D!$L$20&lt;0,-(AN46-Uzman_D!$L$20),AN46-Uzman_D!$L$20),(ROUND((IF(AN46-Uzman_D!$L$20&lt;0,-(AN46-Uzman_D!$L$20),AN46-Uzman_D!$L$20)*2),0)/1*0.1),0)+IF(AO46-Uzman_D!$M$20&lt;0,-(AO46-Uzman_D!$M$20),AO46-Uzman_D!$M$20)*1)</f>
        <v>0</v>
      </c>
      <c r="AQ46" s="56">
        <v>1</v>
      </c>
      <c r="AR46" s="56">
        <v>0</v>
      </c>
      <c r="AS46" s="56">
        <v>2</v>
      </c>
      <c r="AT46" s="56">
        <v>2</v>
      </c>
      <c r="AU46" s="56">
        <v>1</v>
      </c>
      <c r="AV46" s="56">
        <v>1</v>
      </c>
      <c r="AW46" s="56"/>
      <c r="AX46" s="56"/>
      <c r="AY46" s="56"/>
      <c r="AZ46" s="56"/>
      <c r="BA46" s="70">
        <v>1.5</v>
      </c>
      <c r="BB46" s="70">
        <v>0.2</v>
      </c>
      <c r="BC46" s="71">
        <f>1-(SUM(IF(AQ46-Uzman_D!$B$21&lt;0,-(AQ46-Uzman_D!$B$21),AQ46-Uzman_D!$B$21)*0.1+IF(AR46-Uzman_D!$C$21&lt;0,-(AR46-Uzman_D!$C$21),AR46-Uzman_D!$C$21)*0.1+IF(AS46-Uzman_D!$D$21&lt;0,-(AS46-Uzman_D!$D$21),AS46-Uzman_D!$D$21)*0.1+IF(AT46-Uzman_D!$E$21&lt;0,-(AT46-Uzman_D!$E$21),AT46-Uzman_D!$E$21)*0.1+IF(AU46-Uzman_D!$F$21&lt;0,-(AU46-Uzman_D!$F$21),AU46-Uzman_D!$F$21)*0.1+IF(AV46-Uzman_D!$G$21&lt;0,-(AV46-Uzman_D!$G$21),AV46-Uzman_D!$G$21)*0.1+IF(AW46-Uzman_D!$H$21&lt;0,-(AW46-Uzman_D!$H$21),AW46-Uzman_D!$H$21)*0.1+IF(AX46-Uzman_D!$I$21&lt;0,-(AX46-Uzman_D!$I$21),AX46-Uzman_D!$I$21)*0.1+IF(AY46-Uzman_D!$J$21&lt;0,-(AY46-Uzman_D!$J$21),AY46-Uzman_D!$J$21)*0.1)+IF(ROUND((IF(BA46-Uzman_D!$L$21&lt;0,-(BA46-Uzman_D!$L$21),BA46-Uzman_D!$L$21)*2),0)/2=IF(BA46-Uzman_D!$L$21&lt;0,-(BA46-Uzman_D!$L$21),BA46-Uzman_D!$L$21),(ROUND((IF(BA46-Uzman_D!$L$21&lt;0,-(BA46-Uzman_D!$L$21),BA46-Uzman_D!$L$21)*2),0)/1*0.1),0)+IF(BB46-Uzman_D!$M$21&lt;0,-(BB46-Uzman_D!$M$21),BB46-Uzman_D!$M$21)*1)</f>
        <v>-9.9999999999999867E-2</v>
      </c>
      <c r="BD46" s="56">
        <v>0</v>
      </c>
      <c r="BE46" s="56">
        <v>1</v>
      </c>
      <c r="BF46" s="56">
        <v>1</v>
      </c>
      <c r="BG46" s="56">
        <v>1</v>
      </c>
      <c r="BH46" s="56">
        <v>0</v>
      </c>
      <c r="BI46" s="56">
        <v>1</v>
      </c>
      <c r="BJ46" s="56"/>
      <c r="BK46" s="56"/>
      <c r="BL46" s="56"/>
      <c r="BM46" s="56"/>
      <c r="BN46" s="70">
        <v>1.5</v>
      </c>
      <c r="BO46" s="70">
        <v>0.4</v>
      </c>
      <c r="BP46" s="71">
        <f>1-(SUM(IF(BD46-Uzman_D!$B$22&lt;0,-(BD46-Uzman_D!$B$22),BD46-Uzman_D!$B$22)*0.1+IF(BE46-Uzman_D!$C$22&lt;0,-(BE46-Uzman_D!$C$22),BE46-Uzman_D!$C$22)*0.1+IF(BF46-Uzman_D!$D$22&lt;0,-(BF46-Uzman_D!$D$22),BF46-Uzman_D!$D$22)*0.1+IF(BG46-Uzman_D!$E$22&lt;0,-(BG46-Uzman_D!$E$22),BG46-Uzman_D!$E$22)*0.1+IF(BH46-Uzman_D!$F$22&lt;0,-(BH46-Uzman_D!$F$22),BH46-Uzman_D!$F$22)*0.1+IF(BI46-Uzman_D!$G$22&lt;0,-(BI46-Uzman_D!$G$22),BI46-Uzman_D!$G$22)*0.1+IF(BJ46-Uzman_D!$H$22&lt;0,-(BJ46-Uzman_D!$H$22),BJ46-Uzman_D!$H$22)*0.1+IF(BK46-Uzman_D!$I$22&lt;0,-(BK46-Uzman_D!$I$22),BK46-Uzman_D!$I$22)*0.1+IF(BL46-Uzman_D!$J$22&lt;0,-(BL46-Uzman_D!$J$22),BL46-Uzman_D!$J$22)*0.1)+IF(ROUND((IF(BN46-Uzman_D!$L$22&lt;0,-(BN46-Uzman_D!$L$22),BN46-Uzman_D!$L$22)*2),0)/2=IF(BN46-Uzman_D!$L$22&lt;0,-(BN46-Uzman_D!$L$22),BN46-Uzman_D!$L$22),(ROUND((IF(BN46-Uzman_D!$L$22&lt;0,-(BN46-Uzman_D!$L$22),BN46-Uzman_D!$L$22)*2),0)/1*0.1),0)+IF(BO46-Uzman_D!$M$22&lt;0,-(BO46-Uzman_D!$M$22),BO46-Uzman_D!$M$22)*1)</f>
        <v>0</v>
      </c>
      <c r="BQ46" s="72">
        <f t="shared" si="1"/>
        <v>3.9999999999999994E-2</v>
      </c>
    </row>
    <row r="47" spans="1:69" ht="15" customHeight="1" x14ac:dyDescent="0.45">
      <c r="A47" s="54">
        <v>44</v>
      </c>
      <c r="B47" s="168" t="str">
        <f>Hakemler!B47</f>
        <v>EFENDİAĞA</v>
      </c>
      <c r="C47" s="168" t="str">
        <f>Hakemler!C47</f>
        <v>EMİNE AYÇA</v>
      </c>
      <c r="D47" s="56"/>
      <c r="E47" s="56"/>
      <c r="F47" s="56">
        <v>4</v>
      </c>
      <c r="G47" s="56">
        <v>2</v>
      </c>
      <c r="H47" s="56">
        <v>2</v>
      </c>
      <c r="I47" s="56"/>
      <c r="J47" s="56"/>
      <c r="K47" s="56"/>
      <c r="L47" s="56"/>
      <c r="M47" s="56"/>
      <c r="N47" s="70">
        <v>2</v>
      </c>
      <c r="O47" s="70">
        <v>0.3</v>
      </c>
      <c r="P47" s="71">
        <f>1-(SUM(IF(D47-Uzman_D!$B$18&lt;0,-(D47-Uzman_D!$B$18),D47-Uzman_D!$B$18)*0.1+IF(E47-Uzman_D!$C$18&lt;0,-(E47-Uzman_D!$C$18),E47-Uzman_D!$C$18)*0.1+IF(F47-Uzman_D!$D$18&lt;0,-(F47-Uzman_D!$D$18),F47-Uzman_D!$D$18)*0.1+IF(G47-Uzman_D!$E$18&lt;0,-(G47-Uzman_D!$E$18),G47-Uzman_D!$E$18)*0.1+IF(H47-Uzman_D!$F$18&lt;0,-(H47-Uzman_D!$F$18),H47-Uzman_D!$F$18)*0.1+IF(I47-Uzman_D!$G$18&lt;0,-(I47-Uzman_D!$G$18),I47-Uzman_D!$G$18)*0.1+IF(J47-Uzman_D!$H$18&lt;0,-(J47-Uzman_D!$H$18),J47-Uzman_D!$H$18)*0.1+IF(K47-Uzman_D!$I$18&lt;0,-(K47-Uzman_D!$I$18),K47-Uzman_D!$I$18)*0.1+IF(L47-Uzman_D!$J$18&lt;0,-(L47-Uzman_D!$J$18),L47-Uzman_D!$J$18)*0.1)+IF(ROUND((IF(N47-Uzman_D!$L$18&lt;0,-(N47-Uzman_D!$L$18),N47-Uzman_D!$L$18)*2),0)/2=IF(N47-Uzman_D!$L$18&lt;0,-(N47-Uzman_D!$L$18),N47-Uzman_D!$L$18),(ROUND((IF(N47-Uzman_D!$L$18&lt;0,-(N47-Uzman_D!$L$18),N47-Uzman_D!$L$18)*2),0)/1*0.1),0)+IF(O47-Uzman_D!$M$18&lt;0,-(O47-Uzman_D!$M$18),O47-Uzman_D!$M$18)*1)</f>
        <v>0.5</v>
      </c>
      <c r="Q47" s="56"/>
      <c r="R47" s="56">
        <v>1</v>
      </c>
      <c r="S47" s="56">
        <v>5</v>
      </c>
      <c r="T47" s="56">
        <v>2</v>
      </c>
      <c r="U47" s="56"/>
      <c r="V47" s="56"/>
      <c r="W47" s="56"/>
      <c r="X47" s="56"/>
      <c r="Y47" s="56"/>
      <c r="Z47" s="56"/>
      <c r="AA47" s="70">
        <v>2</v>
      </c>
      <c r="AB47" s="70">
        <v>0</v>
      </c>
      <c r="AC47" s="71">
        <f>1-(SUM(IF(Q47-Uzman_D!$B$19&lt;0,-(Q47-Uzman_D!$B$19),Q47-Uzman_D!$B$19)*0.1+IF(R47-Uzman_D!$C$19&lt;0,-(R47-Uzman_D!$C$19),R47-Uzman_D!$C$19)*0.1+IF(S47-Uzman_D!$D$19&lt;0,-(S47-Uzman_D!$D$19),S47-Uzman_D!$D$19)*0.1+IF(T47-Uzman_D!$E$19&lt;0,-(T47-Uzman_D!$E$19),T47-Uzman_D!$E$19)*0.1+IF(U47-Uzman_D!$F$19&lt;0,-(U47-Uzman_D!$F$19),U47-Uzman_D!$F$19)*0.1+IF(V47-Uzman_D!$G$19&lt;0,-(V47-Uzman_D!$G$19),V47-Uzman_D!$G$19)*0.1+IF(W47-Uzman_D!$H$19&lt;0,-(W47-Uzman_D!$H$19),W47-Uzman_D!$H$19)*0.1+IF(X47-Uzman_D!$I$19&lt;0,-(X47-Uzman_D!$I$19),X47-Uzman_D!$I$19)*0.1+IF(Y47-Uzman_D!$J$19&lt;0,-(Y47-Uzman_D!$J$19),Y47-Uzman_D!$J$19)*0.1)+IF(ROUND((IF(AA47-Uzman_D!$L$19&lt;0,-(AA47-Uzman_D!$L$19),AA47-Uzman_D!$L$19)*2),0)/2=IF(AA47-Uzman_D!$L$19&lt;0,-(AA47-Uzman_D!$L$19),AA47-Uzman_D!$L$19),(ROUND((IF(AA47-Uzman_D!$L$19&lt;0,-(AA47-Uzman_D!$L$19),AA47-Uzman_D!$L$19)*2),0)/1*0.1),0)+IF(AB47-Uzman_D!$M$19&lt;0,-(AB47-Uzman_D!$M$19),AB47-Uzman_D!$M$19)*1)</f>
        <v>1</v>
      </c>
      <c r="AD47" s="56">
        <v>2</v>
      </c>
      <c r="AE47" s="56">
        <v>3</v>
      </c>
      <c r="AF47" s="56">
        <v>1</v>
      </c>
      <c r="AG47" s="56"/>
      <c r="AH47" s="56"/>
      <c r="AI47" s="56"/>
      <c r="AJ47" s="56"/>
      <c r="AK47" s="56"/>
      <c r="AL47" s="56"/>
      <c r="AM47" s="56"/>
      <c r="AN47" s="70">
        <v>2</v>
      </c>
      <c r="AO47" s="70">
        <v>0.4</v>
      </c>
      <c r="AP47" s="71">
        <f>1-(SUM(IF(AD47-Uzman_D!$B$20&lt;0,-(AD47-Uzman_D!$B$20),AD47-Uzman_D!$B$20)*0.1+IF(AE47-Uzman_D!$C$20&lt;0,-(AE47-Uzman_D!$C$20),AE47-Uzman_D!$C$20)*0.1+IF(AF47-Uzman_D!$D$20&lt;0,-(AF47-Uzman_D!$D$20),AF47-Uzman_D!$D$20)*0.1+IF(AG47-Uzman_D!$E$20&lt;0,-(AG47-Uzman_D!$E$20),AG47-Uzman_D!$E$20)*0.1+IF(AH47-Uzman_D!$F$20&lt;0,-(AH47-Uzman_D!$F$20),AH47-Uzman_D!$F$20)*0.1+IF(AI47-Uzman_D!$G$20&lt;0,-(AI47-Uzman_D!$G$20),AI47-Uzman_D!$G$20)*0.1+IF(AJ47-Uzman_D!$H$20&lt;0,-(AJ47-Uzman_D!$H$20),AJ47-Uzman_D!$H$20)*0.1+IF(AK47-Uzman_D!$I$20&lt;0,-(AK47-Uzman_D!$I$20),AK47-Uzman_D!$I$20)*0.1+IF(AL47-Uzman_D!$J$20&lt;0,-(AL47-Uzman_D!$J$20),AL47-Uzman_D!$J$20)*0.1)+IF(ROUND((IF(AN47-Uzman_D!$L$20&lt;0,-(AN47-Uzman_D!$L$20),AN47-Uzman_D!$L$20)*2),0)/2=IF(AN47-Uzman_D!$L$20&lt;0,-(AN47-Uzman_D!$L$20),AN47-Uzman_D!$L$20),(ROUND((IF(AN47-Uzman_D!$L$20&lt;0,-(AN47-Uzman_D!$L$20),AN47-Uzman_D!$L$20)*2),0)/1*0.1),0)+IF(AO47-Uzman_D!$M$20&lt;0,-(AO47-Uzman_D!$M$20),AO47-Uzman_D!$M$20)*1)</f>
        <v>-0.19999999999999996</v>
      </c>
      <c r="AQ47" s="56">
        <v>1</v>
      </c>
      <c r="AR47" s="56">
        <v>2</v>
      </c>
      <c r="AS47" s="56">
        <v>5</v>
      </c>
      <c r="AT47" s="56"/>
      <c r="AU47" s="56"/>
      <c r="AV47" s="56"/>
      <c r="AW47" s="56"/>
      <c r="AX47" s="56"/>
      <c r="AY47" s="56"/>
      <c r="AZ47" s="56"/>
      <c r="BA47" s="70">
        <v>2</v>
      </c>
      <c r="BB47" s="70">
        <v>0</v>
      </c>
      <c r="BC47" s="71">
        <f>1-(SUM(IF(AQ47-Uzman_D!$B$21&lt;0,-(AQ47-Uzman_D!$B$21),AQ47-Uzman_D!$B$21)*0.1+IF(AR47-Uzman_D!$C$21&lt;0,-(AR47-Uzman_D!$C$21),AR47-Uzman_D!$C$21)*0.1+IF(AS47-Uzman_D!$D$21&lt;0,-(AS47-Uzman_D!$D$21),AS47-Uzman_D!$D$21)*0.1+IF(AT47-Uzman_D!$E$21&lt;0,-(AT47-Uzman_D!$E$21),AT47-Uzman_D!$E$21)*0.1+IF(AU47-Uzman_D!$F$21&lt;0,-(AU47-Uzman_D!$F$21),AU47-Uzman_D!$F$21)*0.1+IF(AV47-Uzman_D!$G$21&lt;0,-(AV47-Uzman_D!$G$21),AV47-Uzman_D!$G$21)*0.1+IF(AW47-Uzman_D!$H$21&lt;0,-(AW47-Uzman_D!$H$21),AW47-Uzman_D!$H$21)*0.1+IF(AX47-Uzman_D!$I$21&lt;0,-(AX47-Uzman_D!$I$21),AX47-Uzman_D!$I$21)*0.1+IF(AY47-Uzman_D!$J$21&lt;0,-(AY47-Uzman_D!$J$21),AY47-Uzman_D!$J$21)*0.1)+IF(ROUND((IF(BA47-Uzman_D!$L$21&lt;0,-(BA47-Uzman_D!$L$21),BA47-Uzman_D!$L$21)*2),0)/2=IF(BA47-Uzman_D!$L$21&lt;0,-(BA47-Uzman_D!$L$21),BA47-Uzman_D!$L$21),(ROUND((IF(BA47-Uzman_D!$L$21&lt;0,-(BA47-Uzman_D!$L$21),BA47-Uzman_D!$L$21)*2),0)/1*0.1),0)+IF(BB47-Uzman_D!$M$21&lt;0,-(BB47-Uzman_D!$M$21),BB47-Uzman_D!$M$21)*1)</f>
        <v>0.7</v>
      </c>
      <c r="BD47" s="56">
        <v>1</v>
      </c>
      <c r="BE47" s="56">
        <v>2</v>
      </c>
      <c r="BF47" s="56">
        <v>4</v>
      </c>
      <c r="BG47" s="56">
        <v>1</v>
      </c>
      <c r="BH47" s="56"/>
      <c r="BI47" s="56"/>
      <c r="BJ47" s="56"/>
      <c r="BK47" s="56"/>
      <c r="BL47" s="56"/>
      <c r="BM47" s="56"/>
      <c r="BN47" s="70">
        <v>2</v>
      </c>
      <c r="BO47" s="70">
        <v>0</v>
      </c>
      <c r="BP47" s="71">
        <f>1-(SUM(IF(BD47-Uzman_D!$B$22&lt;0,-(BD47-Uzman_D!$B$22),BD47-Uzman_D!$B$22)*0.1+IF(BE47-Uzman_D!$C$22&lt;0,-(BE47-Uzman_D!$C$22),BE47-Uzman_D!$C$22)*0.1+IF(BF47-Uzman_D!$D$22&lt;0,-(BF47-Uzman_D!$D$22),BF47-Uzman_D!$D$22)*0.1+IF(BG47-Uzman_D!$E$22&lt;0,-(BG47-Uzman_D!$E$22),BG47-Uzman_D!$E$22)*0.1+IF(BH47-Uzman_D!$F$22&lt;0,-(BH47-Uzman_D!$F$22),BH47-Uzman_D!$F$22)*0.1+IF(BI47-Uzman_D!$G$22&lt;0,-(BI47-Uzman_D!$G$22),BI47-Uzman_D!$G$22)*0.1+IF(BJ47-Uzman_D!$H$22&lt;0,-(BJ47-Uzman_D!$H$22),BJ47-Uzman_D!$H$22)*0.1+IF(BK47-Uzman_D!$I$22&lt;0,-(BK47-Uzman_D!$I$22),BK47-Uzman_D!$I$22)*0.1+IF(BL47-Uzman_D!$J$22&lt;0,-(BL47-Uzman_D!$J$22),BL47-Uzman_D!$J$22)*0.1)+IF(ROUND((IF(BN47-Uzman_D!$L$22&lt;0,-(BN47-Uzman_D!$L$22),BN47-Uzman_D!$L$22)*2),0)/2=IF(BN47-Uzman_D!$L$22&lt;0,-(BN47-Uzman_D!$L$22),BN47-Uzman_D!$L$22),(ROUND((IF(BN47-Uzman_D!$L$22&lt;0,-(BN47-Uzman_D!$L$22),BN47-Uzman_D!$L$22)*2),0)/1*0.1),0)+IF(BO47-Uzman_D!$M$22&lt;0,-(BO47-Uzman_D!$M$22),BO47-Uzman_D!$M$22)*1)</f>
        <v>0.9</v>
      </c>
      <c r="BQ47" s="72">
        <f t="shared" si="1"/>
        <v>0.57999999999999996</v>
      </c>
    </row>
    <row r="48" spans="1:69" ht="15" customHeight="1" x14ac:dyDescent="0.45">
      <c r="A48" s="54">
        <v>45</v>
      </c>
      <c r="B48" s="167" t="str">
        <f>Hakemler!B48</f>
        <v>DAL</v>
      </c>
      <c r="C48" s="167" t="str">
        <f>Hakemler!C48</f>
        <v>SİNEM</v>
      </c>
      <c r="D48" s="56">
        <v>1</v>
      </c>
      <c r="E48" s="56">
        <v>2</v>
      </c>
      <c r="F48" s="56">
        <v>0</v>
      </c>
      <c r="G48" s="56">
        <v>2</v>
      </c>
      <c r="H48" s="56">
        <v>3</v>
      </c>
      <c r="I48" s="56"/>
      <c r="J48" s="56">
        <v>2</v>
      </c>
      <c r="K48" s="56"/>
      <c r="L48" s="56"/>
      <c r="M48" s="56"/>
      <c r="N48" s="70">
        <v>1.5</v>
      </c>
      <c r="O48" s="70">
        <v>0.6</v>
      </c>
      <c r="P48" s="71">
        <f>1-(SUM(IF(D48-Uzman_D!$B$18&lt;0,-(D48-Uzman_D!$B$18),D48-Uzman_D!$B$18)*0.1+IF(E48-Uzman_D!$C$18&lt;0,-(E48-Uzman_D!$C$18),E48-Uzman_D!$C$18)*0.1+IF(F48-Uzman_D!$D$18&lt;0,-(F48-Uzman_D!$D$18),F48-Uzman_D!$D$18)*0.1+IF(G48-Uzman_D!$E$18&lt;0,-(G48-Uzman_D!$E$18),G48-Uzman_D!$E$18)*0.1+IF(H48-Uzman_D!$F$18&lt;0,-(H48-Uzman_D!$F$18),H48-Uzman_D!$F$18)*0.1+IF(I48-Uzman_D!$G$18&lt;0,-(I48-Uzman_D!$G$18),I48-Uzman_D!$G$18)*0.1+IF(J48-Uzman_D!$H$18&lt;0,-(J48-Uzman_D!$H$18),J48-Uzman_D!$H$18)*0.1+IF(K48-Uzman_D!$I$18&lt;0,-(K48-Uzman_D!$I$18),K48-Uzman_D!$I$18)*0.1+IF(L48-Uzman_D!$J$18&lt;0,-(L48-Uzman_D!$J$18),L48-Uzman_D!$J$18)*0.1)+IF(ROUND((IF(N48-Uzman_D!$L$18&lt;0,-(N48-Uzman_D!$L$18),N48-Uzman_D!$L$18)*2),0)/2=IF(N48-Uzman_D!$L$18&lt;0,-(N48-Uzman_D!$L$18),N48-Uzman_D!$L$18),(ROUND((IF(N48-Uzman_D!$L$18&lt;0,-(N48-Uzman_D!$L$18),N48-Uzman_D!$L$18)*2),0)/1*0.1),0)+IF(O48-Uzman_D!$M$18&lt;0,-(O48-Uzman_D!$M$18),O48-Uzman_D!$M$18)*1)</f>
        <v>-0.10000000000000009</v>
      </c>
      <c r="Q48" s="56">
        <v>0</v>
      </c>
      <c r="R48" s="56">
        <v>2</v>
      </c>
      <c r="S48" s="56">
        <v>0</v>
      </c>
      <c r="T48" s="56">
        <v>1</v>
      </c>
      <c r="U48" s="56"/>
      <c r="V48" s="56">
        <v>5</v>
      </c>
      <c r="W48" s="56"/>
      <c r="X48" s="56"/>
      <c r="Y48" s="56"/>
      <c r="Z48" s="56"/>
      <c r="AA48" s="70">
        <v>1.5</v>
      </c>
      <c r="AB48" s="70">
        <v>0.2</v>
      </c>
      <c r="AC48" s="71">
        <f>1-(SUM(IF(Q48-Uzman_D!$B$19&lt;0,-(Q48-Uzman_D!$B$19),Q48-Uzman_D!$B$19)*0.1+IF(R48-Uzman_D!$C$19&lt;0,-(R48-Uzman_D!$C$19),R48-Uzman_D!$C$19)*0.1+IF(S48-Uzman_D!$D$19&lt;0,-(S48-Uzman_D!$D$19),S48-Uzman_D!$D$19)*0.1+IF(T48-Uzman_D!$E$19&lt;0,-(T48-Uzman_D!$E$19),T48-Uzman_D!$E$19)*0.1+IF(U48-Uzman_D!$F$19&lt;0,-(U48-Uzman_D!$F$19),U48-Uzman_D!$F$19)*0.1+IF(V48-Uzman_D!$G$19&lt;0,-(V48-Uzman_D!$G$19),V48-Uzman_D!$G$19)*0.1+IF(W48-Uzman_D!$H$19&lt;0,-(W48-Uzman_D!$H$19),W48-Uzman_D!$H$19)*0.1+IF(X48-Uzman_D!$I$19&lt;0,-(X48-Uzman_D!$I$19),X48-Uzman_D!$I$19)*0.1+IF(Y48-Uzman_D!$J$19&lt;0,-(Y48-Uzman_D!$J$19),Y48-Uzman_D!$J$19)*0.1)+IF(ROUND((IF(AA48-Uzman_D!$L$19&lt;0,-(AA48-Uzman_D!$L$19),AA48-Uzman_D!$L$19)*2),0)/2=IF(AA48-Uzman_D!$L$19&lt;0,-(AA48-Uzman_D!$L$19),AA48-Uzman_D!$L$19),(ROUND((IF(AA48-Uzman_D!$L$19&lt;0,-(AA48-Uzman_D!$L$19),AA48-Uzman_D!$L$19)*2),0)/1*0.1),0)+IF(AB48-Uzman_D!$M$19&lt;0,-(AB48-Uzman_D!$M$19),AB48-Uzman_D!$M$19)*1)</f>
        <v>-0.5</v>
      </c>
      <c r="AD48" s="56"/>
      <c r="AE48" s="56"/>
      <c r="AF48" s="56">
        <v>0</v>
      </c>
      <c r="AG48" s="56">
        <v>2</v>
      </c>
      <c r="AH48" s="56">
        <v>2</v>
      </c>
      <c r="AI48" s="56">
        <v>6</v>
      </c>
      <c r="AJ48" s="56"/>
      <c r="AK48" s="56"/>
      <c r="AL48" s="56"/>
      <c r="AM48" s="56"/>
      <c r="AN48" s="70">
        <v>1.5</v>
      </c>
      <c r="AO48" s="70">
        <v>0.2</v>
      </c>
      <c r="AP48" s="71">
        <f>1-(SUM(IF(AD48-Uzman_D!$B$20&lt;0,-(AD48-Uzman_D!$B$20),AD48-Uzman_D!$B$20)*0.1+IF(AE48-Uzman_D!$C$20&lt;0,-(AE48-Uzman_D!$C$20),AE48-Uzman_D!$C$20)*0.1+IF(AF48-Uzman_D!$D$20&lt;0,-(AF48-Uzman_D!$D$20),AF48-Uzman_D!$D$20)*0.1+IF(AG48-Uzman_D!$E$20&lt;0,-(AG48-Uzman_D!$E$20),AG48-Uzman_D!$E$20)*0.1+IF(AH48-Uzman_D!$F$20&lt;0,-(AH48-Uzman_D!$F$20),AH48-Uzman_D!$F$20)*0.1+IF(AI48-Uzman_D!$G$20&lt;0,-(AI48-Uzman_D!$G$20),AI48-Uzman_D!$G$20)*0.1+IF(AJ48-Uzman_D!$H$20&lt;0,-(AJ48-Uzman_D!$H$20),AJ48-Uzman_D!$H$20)*0.1+IF(AK48-Uzman_D!$I$20&lt;0,-(AK48-Uzman_D!$I$20),AK48-Uzman_D!$I$20)*0.1+IF(AL48-Uzman_D!$J$20&lt;0,-(AL48-Uzman_D!$J$20),AL48-Uzman_D!$J$20)*0.1)+IF(ROUND((IF(AN48-Uzman_D!$L$20&lt;0,-(AN48-Uzman_D!$L$20),AN48-Uzman_D!$L$20)*2),0)/2=IF(AN48-Uzman_D!$L$20&lt;0,-(AN48-Uzman_D!$L$20),AN48-Uzman_D!$L$20),(ROUND((IF(AN48-Uzman_D!$L$20&lt;0,-(AN48-Uzman_D!$L$20),AN48-Uzman_D!$L$20)*2),0)/1*0.1),0)+IF(AO48-Uzman_D!$M$20&lt;0,-(AO48-Uzman_D!$M$20),AO48-Uzman_D!$M$20)*1)</f>
        <v>-0.50000000000000022</v>
      </c>
      <c r="AQ48" s="56">
        <v>1</v>
      </c>
      <c r="AR48" s="56">
        <v>0</v>
      </c>
      <c r="AS48" s="56">
        <v>3</v>
      </c>
      <c r="AT48" s="56">
        <v>4</v>
      </c>
      <c r="AU48" s="56"/>
      <c r="AV48" s="56"/>
      <c r="AW48" s="56"/>
      <c r="AX48" s="56"/>
      <c r="AY48" s="56"/>
      <c r="AZ48" s="56"/>
      <c r="BA48" s="70">
        <v>1</v>
      </c>
      <c r="BB48" s="70">
        <v>0.1</v>
      </c>
      <c r="BC48" s="71">
        <f>1-(SUM(IF(AQ48-Uzman_D!$B$21&lt;0,-(AQ48-Uzman_D!$B$21),AQ48-Uzman_D!$B$21)*0.1+IF(AR48-Uzman_D!$C$21&lt;0,-(AR48-Uzman_D!$C$21),AR48-Uzman_D!$C$21)*0.1+IF(AS48-Uzman_D!$D$21&lt;0,-(AS48-Uzman_D!$D$21),AS48-Uzman_D!$D$21)*0.1+IF(AT48-Uzman_D!$E$21&lt;0,-(AT48-Uzman_D!$E$21),AT48-Uzman_D!$E$21)*0.1+IF(AU48-Uzman_D!$F$21&lt;0,-(AU48-Uzman_D!$F$21),AU48-Uzman_D!$F$21)*0.1+IF(AV48-Uzman_D!$G$21&lt;0,-(AV48-Uzman_D!$G$21),AV48-Uzman_D!$G$21)*0.1+IF(AW48-Uzman_D!$H$21&lt;0,-(AW48-Uzman_D!$H$21),AW48-Uzman_D!$H$21)*0.1+IF(AX48-Uzman_D!$I$21&lt;0,-(AX48-Uzman_D!$I$21),AX48-Uzman_D!$I$21)*0.1+IF(AY48-Uzman_D!$J$21&lt;0,-(AY48-Uzman_D!$J$21),AY48-Uzman_D!$J$21)*0.1)+IF(ROUND((IF(BA48-Uzman_D!$L$21&lt;0,-(BA48-Uzman_D!$L$21),BA48-Uzman_D!$L$21)*2),0)/2=IF(BA48-Uzman_D!$L$21&lt;0,-(BA48-Uzman_D!$L$21),BA48-Uzman_D!$L$21),(ROUND((IF(BA48-Uzman_D!$L$21&lt;0,-(BA48-Uzman_D!$L$21),BA48-Uzman_D!$L$21)*2),0)/1*0.1),0)+IF(BB48-Uzman_D!$M$21&lt;0,-(BB48-Uzman_D!$M$21),BB48-Uzman_D!$M$21)*1)</f>
        <v>0</v>
      </c>
      <c r="BD48" s="56">
        <v>1</v>
      </c>
      <c r="BE48" s="56"/>
      <c r="BF48" s="56">
        <v>0</v>
      </c>
      <c r="BG48" s="56">
        <v>0</v>
      </c>
      <c r="BH48" s="56"/>
      <c r="BI48" s="56">
        <v>6</v>
      </c>
      <c r="BJ48" s="56"/>
      <c r="BK48" s="56"/>
      <c r="BL48" s="56"/>
      <c r="BM48" s="56"/>
      <c r="BN48" s="70">
        <v>2</v>
      </c>
      <c r="BO48" s="70">
        <v>0.6</v>
      </c>
      <c r="BP48" s="71">
        <f>1-(SUM(IF(BD48-Uzman_D!$B$22&lt;0,-(BD48-Uzman_D!$B$22),BD48-Uzman_D!$B$22)*0.1+IF(BE48-Uzman_D!$C$22&lt;0,-(BE48-Uzman_D!$C$22),BE48-Uzman_D!$C$22)*0.1+IF(BF48-Uzman_D!$D$22&lt;0,-(BF48-Uzman_D!$D$22),BF48-Uzman_D!$D$22)*0.1+IF(BG48-Uzman_D!$E$22&lt;0,-(BG48-Uzman_D!$E$22),BG48-Uzman_D!$E$22)*0.1+IF(BH48-Uzman_D!$F$22&lt;0,-(BH48-Uzman_D!$F$22),BH48-Uzman_D!$F$22)*0.1+IF(BI48-Uzman_D!$G$22&lt;0,-(BI48-Uzman_D!$G$22),BI48-Uzman_D!$G$22)*0.1+IF(BJ48-Uzman_D!$H$22&lt;0,-(BJ48-Uzman_D!$H$22),BJ48-Uzman_D!$H$22)*0.1+IF(BK48-Uzman_D!$I$22&lt;0,-(BK48-Uzman_D!$I$22),BK48-Uzman_D!$I$22)*0.1+IF(BL48-Uzman_D!$J$22&lt;0,-(BL48-Uzman_D!$J$22),BL48-Uzman_D!$J$22)*0.1)+IF(ROUND((IF(BN48-Uzman_D!$L$22&lt;0,-(BN48-Uzman_D!$L$22),BN48-Uzman_D!$L$22)*2),0)/2=IF(BN48-Uzman_D!$L$22&lt;0,-(BN48-Uzman_D!$L$22),BN48-Uzman_D!$L$22),(ROUND((IF(BN48-Uzman_D!$L$22&lt;0,-(BN48-Uzman_D!$L$22),BN48-Uzman_D!$L$22)*2),0)/1*0.1),0)+IF(BO48-Uzman_D!$M$22&lt;0,-(BO48-Uzman_D!$M$22),BO48-Uzman_D!$M$22)*1)</f>
        <v>-1.0000000000000004</v>
      </c>
      <c r="BQ48" s="72">
        <f t="shared" si="1"/>
        <v>-0.4200000000000001</v>
      </c>
    </row>
    <row r="49" spans="1:69" ht="15" customHeight="1" x14ac:dyDescent="0.45">
      <c r="A49" s="54">
        <v>46</v>
      </c>
      <c r="B49" s="168" t="str">
        <f>Hakemler!B49</f>
        <v>EDE</v>
      </c>
      <c r="C49" s="168" t="str">
        <f>Hakemler!C49</f>
        <v>İHSAN</v>
      </c>
      <c r="D49" s="56">
        <v>2</v>
      </c>
      <c r="E49" s="56">
        <v>1</v>
      </c>
      <c r="F49" s="56">
        <v>4</v>
      </c>
      <c r="G49" s="56">
        <v>1</v>
      </c>
      <c r="H49" s="56"/>
      <c r="I49" s="56"/>
      <c r="J49" s="56"/>
      <c r="K49" s="56"/>
      <c r="L49" s="56"/>
      <c r="M49" s="56"/>
      <c r="N49" s="70">
        <v>2</v>
      </c>
      <c r="O49" s="70">
        <v>1</v>
      </c>
      <c r="P49" s="71">
        <f>1-(SUM(IF(D49-Uzman_D!$B$18&lt;0,-(D49-Uzman_D!$B$18),D49-Uzman_D!$B$18)*0.1+IF(E49-Uzman_D!$C$18&lt;0,-(E49-Uzman_D!$C$18),E49-Uzman_D!$C$18)*0.1+IF(F49-Uzman_D!$D$18&lt;0,-(F49-Uzman_D!$D$18),F49-Uzman_D!$D$18)*0.1+IF(G49-Uzman_D!$E$18&lt;0,-(G49-Uzman_D!$E$18),G49-Uzman_D!$E$18)*0.1+IF(H49-Uzman_D!$F$18&lt;0,-(H49-Uzman_D!$F$18),H49-Uzman_D!$F$18)*0.1+IF(I49-Uzman_D!$G$18&lt;0,-(I49-Uzman_D!$G$18),I49-Uzman_D!$G$18)*0.1+IF(J49-Uzman_D!$H$18&lt;0,-(J49-Uzman_D!$H$18),J49-Uzman_D!$H$18)*0.1+IF(K49-Uzman_D!$I$18&lt;0,-(K49-Uzman_D!$I$18),K49-Uzman_D!$I$18)*0.1+IF(L49-Uzman_D!$J$18&lt;0,-(L49-Uzman_D!$J$18),L49-Uzman_D!$J$18)*0.1)+IF(ROUND((IF(N49-Uzman_D!$L$18&lt;0,-(N49-Uzman_D!$L$18),N49-Uzman_D!$L$18)*2),0)/2=IF(N49-Uzman_D!$L$18&lt;0,-(N49-Uzman_D!$L$18),N49-Uzman_D!$L$18),(ROUND((IF(N49-Uzman_D!$L$18&lt;0,-(N49-Uzman_D!$L$18),N49-Uzman_D!$L$18)*2),0)/1*0.1),0)+IF(O49-Uzman_D!$M$18&lt;0,-(O49-Uzman_D!$M$18),O49-Uzman_D!$M$18)*1)</f>
        <v>0</v>
      </c>
      <c r="Q49" s="56">
        <v>1</v>
      </c>
      <c r="R49" s="56">
        <v>3</v>
      </c>
      <c r="S49" s="56">
        <v>4</v>
      </c>
      <c r="T49" s="56"/>
      <c r="U49" s="56"/>
      <c r="V49" s="56"/>
      <c r="W49" s="56"/>
      <c r="X49" s="56"/>
      <c r="Y49" s="56"/>
      <c r="Z49" s="56"/>
      <c r="AA49" s="70">
        <v>2</v>
      </c>
      <c r="AB49" s="70">
        <v>0.8</v>
      </c>
      <c r="AC49" s="71">
        <f>1-(SUM(IF(Q49-Uzman_D!$B$19&lt;0,-(Q49-Uzman_D!$B$19),Q49-Uzman_D!$B$19)*0.1+IF(R49-Uzman_D!$C$19&lt;0,-(R49-Uzman_D!$C$19),R49-Uzman_D!$C$19)*0.1+IF(S49-Uzman_D!$D$19&lt;0,-(S49-Uzman_D!$D$19),S49-Uzman_D!$D$19)*0.1+IF(T49-Uzman_D!$E$19&lt;0,-(T49-Uzman_D!$E$19),T49-Uzman_D!$E$19)*0.1+IF(U49-Uzman_D!$F$19&lt;0,-(U49-Uzman_D!$F$19),U49-Uzman_D!$F$19)*0.1+IF(V49-Uzman_D!$G$19&lt;0,-(V49-Uzman_D!$G$19),V49-Uzman_D!$G$19)*0.1+IF(W49-Uzman_D!$H$19&lt;0,-(W49-Uzman_D!$H$19),W49-Uzman_D!$H$19)*0.1+IF(X49-Uzman_D!$I$19&lt;0,-(X49-Uzman_D!$I$19),X49-Uzman_D!$I$19)*0.1+IF(Y49-Uzman_D!$J$19&lt;0,-(Y49-Uzman_D!$J$19),Y49-Uzman_D!$J$19)*0.1)+IF(ROUND((IF(AA49-Uzman_D!$L$19&lt;0,-(AA49-Uzman_D!$L$19),AA49-Uzman_D!$L$19)*2),0)/2=IF(AA49-Uzman_D!$L$19&lt;0,-(AA49-Uzman_D!$L$19),AA49-Uzman_D!$L$19),(ROUND((IF(AA49-Uzman_D!$L$19&lt;0,-(AA49-Uzman_D!$L$19),AA49-Uzman_D!$L$19)*2),0)/1*0.1),0)+IF(AB49-Uzman_D!$M$19&lt;0,-(AB49-Uzman_D!$M$19),AB49-Uzman_D!$M$19)*1)</f>
        <v>-0.40000000000000013</v>
      </c>
      <c r="AD49" s="56"/>
      <c r="AE49" s="56">
        <v>1</v>
      </c>
      <c r="AF49" s="56">
        <v>4</v>
      </c>
      <c r="AG49" s="56">
        <v>2</v>
      </c>
      <c r="AH49" s="56">
        <v>1</v>
      </c>
      <c r="AI49" s="56"/>
      <c r="AJ49" s="56"/>
      <c r="AK49" s="56"/>
      <c r="AL49" s="56"/>
      <c r="AM49" s="56"/>
      <c r="AN49" s="70">
        <v>2</v>
      </c>
      <c r="AO49" s="70">
        <v>0.8</v>
      </c>
      <c r="AP49" s="71">
        <f>1-(SUM(IF(AD49-Uzman_D!$B$20&lt;0,-(AD49-Uzman_D!$B$20),AD49-Uzman_D!$B$20)*0.1+IF(AE49-Uzman_D!$C$20&lt;0,-(AE49-Uzman_D!$C$20),AE49-Uzman_D!$C$20)*0.1+IF(AF49-Uzman_D!$D$20&lt;0,-(AF49-Uzman_D!$D$20),AF49-Uzman_D!$D$20)*0.1+IF(AG49-Uzman_D!$E$20&lt;0,-(AG49-Uzman_D!$E$20),AG49-Uzman_D!$E$20)*0.1+IF(AH49-Uzman_D!$F$20&lt;0,-(AH49-Uzman_D!$F$20),AH49-Uzman_D!$F$20)*0.1+IF(AI49-Uzman_D!$G$20&lt;0,-(AI49-Uzman_D!$G$20),AI49-Uzman_D!$G$20)*0.1+IF(AJ49-Uzman_D!$H$20&lt;0,-(AJ49-Uzman_D!$H$20),AJ49-Uzman_D!$H$20)*0.1+IF(AK49-Uzman_D!$I$20&lt;0,-(AK49-Uzman_D!$I$20),AK49-Uzman_D!$I$20)*0.1+IF(AL49-Uzman_D!$J$20&lt;0,-(AL49-Uzman_D!$J$20),AL49-Uzman_D!$J$20)*0.1)+IF(ROUND((IF(AN49-Uzman_D!$L$20&lt;0,-(AN49-Uzman_D!$L$20),AN49-Uzman_D!$L$20)*2),0)/2=IF(AN49-Uzman_D!$L$20&lt;0,-(AN49-Uzman_D!$L$20),AN49-Uzman_D!$L$20),(ROUND((IF(AN49-Uzman_D!$L$20&lt;0,-(AN49-Uzman_D!$L$20),AN49-Uzman_D!$L$20)*2),0)/1*0.1),0)+IF(AO49-Uzman_D!$M$20&lt;0,-(AO49-Uzman_D!$M$20),AO49-Uzman_D!$M$20)*1)</f>
        <v>0</v>
      </c>
      <c r="AQ49" s="56">
        <v>2</v>
      </c>
      <c r="AR49" s="56">
        <v>4</v>
      </c>
      <c r="AS49" s="56">
        <v>1</v>
      </c>
      <c r="AT49" s="56">
        <v>1</v>
      </c>
      <c r="AU49" s="56"/>
      <c r="AV49" s="56"/>
      <c r="AW49" s="56"/>
      <c r="AX49" s="56"/>
      <c r="AY49" s="56"/>
      <c r="AZ49" s="56"/>
      <c r="BA49" s="70">
        <v>1</v>
      </c>
      <c r="BB49" s="70">
        <v>0.3</v>
      </c>
      <c r="BC49" s="71">
        <f>1-(SUM(IF(AQ49-Uzman_D!$B$21&lt;0,-(AQ49-Uzman_D!$B$21),AQ49-Uzman_D!$B$21)*0.1+IF(AR49-Uzman_D!$C$21&lt;0,-(AR49-Uzman_D!$C$21),AR49-Uzman_D!$C$21)*0.1+IF(AS49-Uzman_D!$D$21&lt;0,-(AS49-Uzman_D!$D$21),AS49-Uzman_D!$D$21)*0.1+IF(AT49-Uzman_D!$E$21&lt;0,-(AT49-Uzman_D!$E$21),AT49-Uzman_D!$E$21)*0.1+IF(AU49-Uzman_D!$F$21&lt;0,-(AU49-Uzman_D!$F$21),AU49-Uzman_D!$F$21)*0.1+IF(AV49-Uzman_D!$G$21&lt;0,-(AV49-Uzman_D!$G$21),AV49-Uzman_D!$G$21)*0.1+IF(AW49-Uzman_D!$H$21&lt;0,-(AW49-Uzman_D!$H$21),AW49-Uzman_D!$H$21)*0.1+IF(AX49-Uzman_D!$I$21&lt;0,-(AX49-Uzman_D!$I$21),AX49-Uzman_D!$I$21)*0.1+IF(AY49-Uzman_D!$J$21&lt;0,-(AY49-Uzman_D!$J$21),AY49-Uzman_D!$J$21)*0.1)+IF(ROUND((IF(BA49-Uzman_D!$L$21&lt;0,-(BA49-Uzman_D!$L$21),BA49-Uzman_D!$L$21)*2),0)/2=IF(BA49-Uzman_D!$L$21&lt;0,-(BA49-Uzman_D!$L$21),BA49-Uzman_D!$L$21),(ROUND((IF(BA49-Uzman_D!$L$21&lt;0,-(BA49-Uzman_D!$L$21),BA49-Uzman_D!$L$21)*2),0)/1*0.1),0)+IF(BB49-Uzman_D!$M$21&lt;0,-(BB49-Uzman_D!$M$21),BB49-Uzman_D!$M$21)*1)</f>
        <v>0</v>
      </c>
      <c r="BD49" s="56">
        <v>2</v>
      </c>
      <c r="BE49" s="56">
        <v>4</v>
      </c>
      <c r="BF49" s="56">
        <v>2</v>
      </c>
      <c r="BG49" s="56">
        <v>2</v>
      </c>
      <c r="BH49" s="56"/>
      <c r="BI49" s="56"/>
      <c r="BJ49" s="56"/>
      <c r="BK49" s="56"/>
      <c r="BL49" s="56"/>
      <c r="BM49" s="56"/>
      <c r="BN49" s="70">
        <v>2</v>
      </c>
      <c r="BO49" s="70">
        <v>0.3</v>
      </c>
      <c r="BP49" s="71">
        <f>1-(SUM(IF(BD49-Uzman_D!$B$22&lt;0,-(BD49-Uzman_D!$B$22),BD49-Uzman_D!$B$22)*0.1+IF(BE49-Uzman_D!$C$22&lt;0,-(BE49-Uzman_D!$C$22),BE49-Uzman_D!$C$22)*0.1+IF(BF49-Uzman_D!$D$22&lt;0,-(BF49-Uzman_D!$D$22),BF49-Uzman_D!$D$22)*0.1+IF(BG49-Uzman_D!$E$22&lt;0,-(BG49-Uzman_D!$E$22),BG49-Uzman_D!$E$22)*0.1+IF(BH49-Uzman_D!$F$22&lt;0,-(BH49-Uzman_D!$F$22),BH49-Uzman_D!$F$22)*0.1+IF(BI49-Uzman_D!$G$22&lt;0,-(BI49-Uzman_D!$G$22),BI49-Uzman_D!$G$22)*0.1+IF(BJ49-Uzman_D!$H$22&lt;0,-(BJ49-Uzman_D!$H$22),BJ49-Uzman_D!$H$22)*0.1+IF(BK49-Uzman_D!$I$22&lt;0,-(BK49-Uzman_D!$I$22),BK49-Uzman_D!$I$22)*0.1+IF(BL49-Uzman_D!$J$22&lt;0,-(BL49-Uzman_D!$J$22),BL49-Uzman_D!$J$22)*0.1)+IF(ROUND((IF(BN49-Uzman_D!$L$22&lt;0,-(BN49-Uzman_D!$L$22),BN49-Uzman_D!$L$22)*2),0)/2=IF(BN49-Uzman_D!$L$22&lt;0,-(BN49-Uzman_D!$L$22),BN49-Uzman_D!$L$22),(ROUND((IF(BN49-Uzman_D!$L$22&lt;0,-(BN49-Uzman_D!$L$22),BN49-Uzman_D!$L$22)*2),0)/1*0.1),0)+IF(BO49-Uzman_D!$M$22&lt;0,-(BO49-Uzman_D!$M$22),BO49-Uzman_D!$M$22)*1)</f>
        <v>0</v>
      </c>
      <c r="BQ49" s="72">
        <f t="shared" si="1"/>
        <v>-8.0000000000000029E-2</v>
      </c>
    </row>
    <row r="50" spans="1:69" ht="15" customHeight="1" x14ac:dyDescent="0.45">
      <c r="A50" s="54">
        <v>47</v>
      </c>
      <c r="B50" s="170">
        <f>Hakemler!B50</f>
        <v>0</v>
      </c>
      <c r="C50" s="170">
        <f>Hakemler!C50</f>
        <v>0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70"/>
      <c r="O50" s="70"/>
      <c r="P50" s="71">
        <f>1-(SUM(IF(D50-Uzman_D!$B$18&lt;0,-(D50-Uzman_D!$B$18),D50-Uzman_D!$B$18)*0.1+IF(E50-Uzman_D!$C$18&lt;0,-(E50-Uzman_D!$C$18),E50-Uzman_D!$C$18)*0.1+IF(F50-Uzman_D!$D$18&lt;0,-(F50-Uzman_D!$D$18),F50-Uzman_D!$D$18)*0.1+IF(G50-Uzman_D!$E$18&lt;0,-(G50-Uzman_D!$E$18),G50-Uzman_D!$E$18)*0.1+IF(H50-Uzman_D!$F$18&lt;0,-(H50-Uzman_D!$F$18),H50-Uzman_D!$F$18)*0.1+IF(I50-Uzman_D!$G$18&lt;0,-(I50-Uzman_D!$G$18),I50-Uzman_D!$G$18)*0.1+IF(J50-Uzman_D!$H$18&lt;0,-(J50-Uzman_D!$H$18),J50-Uzman_D!$H$18)*0.1+IF(K50-Uzman_D!$I$18&lt;0,-(K50-Uzman_D!$I$18),K50-Uzman_D!$I$18)*0.1+IF(L50-Uzman_D!$J$18&lt;0,-(L50-Uzman_D!$J$18),L50-Uzman_D!$J$18)*0.1)+IF(ROUND((IF(N50-Uzman_D!$L$18&lt;0,-(N50-Uzman_D!$L$18),N50-Uzman_D!$L$18)*2),0)/2=IF(N50-Uzman_D!$L$18&lt;0,-(N50-Uzman_D!$L$18),N50-Uzman_D!$L$18),(ROUND((IF(N50-Uzman_D!$L$18&lt;0,-(N50-Uzman_D!$L$18),N50-Uzman_D!$L$18)*2),0)/1*0.1),0)+IF(O50-Uzman_D!$M$18&lt;0,-(O50-Uzman_D!$M$18),O50-Uzman_D!$M$18)*1)</f>
        <v>-0.60000000000000009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70"/>
      <c r="AB50" s="70"/>
      <c r="AC50" s="71">
        <f>1-(SUM(IF(Q50-Uzman_D!$B$19&lt;0,-(Q50-Uzman_D!$B$19),Q50-Uzman_D!$B$19)*0.1+IF(R50-Uzman_D!$C$19&lt;0,-(R50-Uzman_D!$C$19),R50-Uzman_D!$C$19)*0.1+IF(S50-Uzman_D!$D$19&lt;0,-(S50-Uzman_D!$D$19),S50-Uzman_D!$D$19)*0.1+IF(T50-Uzman_D!$E$19&lt;0,-(T50-Uzman_D!$E$19),T50-Uzman_D!$E$19)*0.1+IF(U50-Uzman_D!$F$19&lt;0,-(U50-Uzman_D!$F$19),U50-Uzman_D!$F$19)*0.1+IF(V50-Uzman_D!$G$19&lt;0,-(V50-Uzman_D!$G$19),V50-Uzman_D!$G$19)*0.1+IF(W50-Uzman_D!$H$19&lt;0,-(W50-Uzman_D!$H$19),W50-Uzman_D!$H$19)*0.1+IF(X50-Uzman_D!$I$19&lt;0,-(X50-Uzman_D!$I$19),X50-Uzman_D!$I$19)*0.1+IF(Y50-Uzman_D!$J$19&lt;0,-(Y50-Uzman_D!$J$19),Y50-Uzman_D!$J$19)*0.1)+IF(ROUND((IF(AA50-Uzman_D!$L$19&lt;0,-(AA50-Uzman_D!$L$19),AA50-Uzman_D!$L$19)*2),0)/2=IF(AA50-Uzman_D!$L$19&lt;0,-(AA50-Uzman_D!$L$19),AA50-Uzman_D!$L$19),(ROUND((IF(AA50-Uzman_D!$L$19&lt;0,-(AA50-Uzman_D!$L$19),AA50-Uzman_D!$L$19)*2),0)/1*0.1),0)+IF(AB50-Uzman_D!$M$19&lt;0,-(AB50-Uzman_D!$M$19),AB50-Uzman_D!$M$19)*1)</f>
        <v>-0.20000000000000018</v>
      </c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70"/>
      <c r="AO50" s="70"/>
      <c r="AP50" s="71">
        <f>1-(SUM(IF(AD50-Uzman_D!$B$20&lt;0,-(AD50-Uzman_D!$B$20),AD50-Uzman_D!$B$20)*0.1+IF(AE50-Uzman_D!$C$20&lt;0,-(AE50-Uzman_D!$C$20),AE50-Uzman_D!$C$20)*0.1+IF(AF50-Uzman_D!$D$20&lt;0,-(AF50-Uzman_D!$D$20),AF50-Uzman_D!$D$20)*0.1+IF(AG50-Uzman_D!$E$20&lt;0,-(AG50-Uzman_D!$E$20),AG50-Uzman_D!$E$20)*0.1+IF(AH50-Uzman_D!$F$20&lt;0,-(AH50-Uzman_D!$F$20),AH50-Uzman_D!$F$20)*0.1+IF(AI50-Uzman_D!$G$20&lt;0,-(AI50-Uzman_D!$G$20),AI50-Uzman_D!$G$20)*0.1+IF(AJ50-Uzman_D!$H$20&lt;0,-(AJ50-Uzman_D!$H$20),AJ50-Uzman_D!$H$20)*0.1+IF(AK50-Uzman_D!$I$20&lt;0,-(AK50-Uzman_D!$I$20),AK50-Uzman_D!$I$20)*0.1+IF(AL50-Uzman_D!$J$20&lt;0,-(AL50-Uzman_D!$J$20),AL50-Uzman_D!$J$20)*0.1)+IF(ROUND((IF(AN50-Uzman_D!$L$20&lt;0,-(AN50-Uzman_D!$L$20),AN50-Uzman_D!$L$20)*2),0)/2=IF(AN50-Uzman_D!$L$20&lt;0,-(AN50-Uzman_D!$L$20),AN50-Uzman_D!$L$20),(ROUND((IF(AN50-Uzman_D!$L$20&lt;0,-(AN50-Uzman_D!$L$20),AN50-Uzman_D!$L$20)*2),0)/1*0.1),0)+IF(AO50-Uzman_D!$M$20&lt;0,-(AO50-Uzman_D!$M$20),AO50-Uzman_D!$M$20)*1)</f>
        <v>-0.40000000000000013</v>
      </c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70"/>
      <c r="BB50" s="70"/>
      <c r="BC50" s="71">
        <f>1-(SUM(IF(AQ50-Uzman_D!$B$21&lt;0,-(AQ50-Uzman_D!$B$21),AQ50-Uzman_D!$B$21)*0.1+IF(AR50-Uzman_D!$C$21&lt;0,-(AR50-Uzman_D!$C$21),AR50-Uzman_D!$C$21)*0.1+IF(AS50-Uzman_D!$D$21&lt;0,-(AS50-Uzman_D!$D$21),AS50-Uzman_D!$D$21)*0.1+IF(AT50-Uzman_D!$E$21&lt;0,-(AT50-Uzman_D!$E$21),AT50-Uzman_D!$E$21)*0.1+IF(AU50-Uzman_D!$F$21&lt;0,-(AU50-Uzman_D!$F$21),AU50-Uzman_D!$F$21)*0.1+IF(AV50-Uzman_D!$G$21&lt;0,-(AV50-Uzman_D!$G$21),AV50-Uzman_D!$G$21)*0.1+IF(AW50-Uzman_D!$H$21&lt;0,-(AW50-Uzman_D!$H$21),AW50-Uzman_D!$H$21)*0.1+IF(AX50-Uzman_D!$I$21&lt;0,-(AX50-Uzman_D!$I$21),AX50-Uzman_D!$I$21)*0.1+IF(AY50-Uzman_D!$J$21&lt;0,-(AY50-Uzman_D!$J$21),AY50-Uzman_D!$J$21)*0.1)+IF(ROUND((IF(BA50-Uzman_D!$L$21&lt;0,-(BA50-Uzman_D!$L$21),BA50-Uzman_D!$L$21)*2),0)/2=IF(BA50-Uzman_D!$L$21&lt;0,-(BA50-Uzman_D!$L$21),BA50-Uzman_D!$L$21),(ROUND((IF(BA50-Uzman_D!$L$21&lt;0,-(BA50-Uzman_D!$L$21),BA50-Uzman_D!$L$21)*2),0)/1*0.1),0)+IF(BB50-Uzman_D!$M$21&lt;0,-(BB50-Uzman_D!$M$21),BB50-Uzman_D!$M$21)*1)</f>
        <v>-0.10000000000000009</v>
      </c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70"/>
      <c r="BO50" s="70"/>
      <c r="BP50" s="71">
        <f>1-(SUM(IF(BD50-Uzman_D!$B$22&lt;0,-(BD50-Uzman_D!$B$22),BD50-Uzman_D!$B$22)*0.1+IF(BE50-Uzman_D!$C$22&lt;0,-(BE50-Uzman_D!$C$22),BE50-Uzman_D!$C$22)*0.1+IF(BF50-Uzman_D!$D$22&lt;0,-(BF50-Uzman_D!$D$22),BF50-Uzman_D!$D$22)*0.1+IF(BG50-Uzman_D!$E$22&lt;0,-(BG50-Uzman_D!$E$22),BG50-Uzman_D!$E$22)*0.1+IF(BH50-Uzman_D!$F$22&lt;0,-(BH50-Uzman_D!$F$22),BH50-Uzman_D!$F$22)*0.1+IF(BI50-Uzman_D!$G$22&lt;0,-(BI50-Uzman_D!$G$22),BI50-Uzman_D!$G$22)*0.1+IF(BJ50-Uzman_D!$H$22&lt;0,-(BJ50-Uzman_D!$H$22),BJ50-Uzman_D!$H$22)*0.1+IF(BK50-Uzman_D!$I$22&lt;0,-(BK50-Uzman_D!$I$22),BK50-Uzman_D!$I$22)*0.1+IF(BL50-Uzman_D!$J$22&lt;0,-(BL50-Uzman_D!$J$22),BL50-Uzman_D!$J$22)*0.1)+IF(ROUND((IF(BN50-Uzman_D!$L$22&lt;0,-(BN50-Uzman_D!$L$22),BN50-Uzman_D!$L$22)*2),0)/2=IF(BN50-Uzman_D!$L$22&lt;0,-(BN50-Uzman_D!$L$22),BN50-Uzman_D!$L$22),(ROUND((IF(BN50-Uzman_D!$L$22&lt;0,-(BN50-Uzman_D!$L$22),BN50-Uzman_D!$L$22)*2),0)/1*0.1),0)+IF(BO50-Uzman_D!$M$22&lt;0,-(BO50-Uzman_D!$M$22),BO50-Uzman_D!$M$22)*1)</f>
        <v>-0.10000000000000009</v>
      </c>
      <c r="BQ50" s="72">
        <f t="shared" si="1"/>
        <v>-0.28000000000000014</v>
      </c>
    </row>
    <row r="51" spans="1:69" ht="15" customHeight="1" x14ac:dyDescent="0.45">
      <c r="A51" s="54">
        <v>48</v>
      </c>
      <c r="B51" s="170">
        <f>Hakemler!B51</f>
        <v>0</v>
      </c>
      <c r="C51" s="170">
        <f>Hakemler!C51</f>
        <v>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70"/>
      <c r="O51" s="70"/>
      <c r="P51" s="71">
        <f>1-(SUM(IF(D51-Uzman_D!$B$18&lt;0,-(D51-Uzman_D!$B$18),D51-Uzman_D!$B$18)*0.1+IF(E51-Uzman_D!$C$18&lt;0,-(E51-Uzman_D!$C$18),E51-Uzman_D!$C$18)*0.1+IF(F51-Uzman_D!$D$18&lt;0,-(F51-Uzman_D!$D$18),F51-Uzman_D!$D$18)*0.1+IF(G51-Uzman_D!$E$18&lt;0,-(G51-Uzman_D!$E$18),G51-Uzman_D!$E$18)*0.1+IF(H51-Uzman_D!$F$18&lt;0,-(H51-Uzman_D!$F$18),H51-Uzman_D!$F$18)*0.1+IF(I51-Uzman_D!$G$18&lt;0,-(I51-Uzman_D!$G$18),I51-Uzman_D!$G$18)*0.1+IF(J51-Uzman_D!$H$18&lt;0,-(J51-Uzman_D!$H$18),J51-Uzman_D!$H$18)*0.1+IF(K51-Uzman_D!$I$18&lt;0,-(K51-Uzman_D!$I$18),K51-Uzman_D!$I$18)*0.1+IF(L51-Uzman_D!$J$18&lt;0,-(L51-Uzman_D!$J$18),L51-Uzman_D!$J$18)*0.1)+IF(ROUND((IF(N51-Uzman_D!$L$18&lt;0,-(N51-Uzman_D!$L$18),N51-Uzman_D!$L$18)*2),0)/2=IF(N51-Uzman_D!$L$18&lt;0,-(N51-Uzman_D!$L$18),N51-Uzman_D!$L$18),(ROUND((IF(N51-Uzman_D!$L$18&lt;0,-(N51-Uzman_D!$L$18),N51-Uzman_D!$L$18)*2),0)/1*0.1),0)+IF(O51-Uzman_D!$M$18&lt;0,-(O51-Uzman_D!$M$18),O51-Uzman_D!$M$18)*1)</f>
        <v>-0.60000000000000009</v>
      </c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70"/>
      <c r="AB51" s="70"/>
      <c r="AC51" s="71">
        <f>1-(SUM(IF(Q51-Uzman_D!$B$19&lt;0,-(Q51-Uzman_D!$B$19),Q51-Uzman_D!$B$19)*0.1+IF(R51-Uzman_D!$C$19&lt;0,-(R51-Uzman_D!$C$19),R51-Uzman_D!$C$19)*0.1+IF(S51-Uzman_D!$D$19&lt;0,-(S51-Uzman_D!$D$19),S51-Uzman_D!$D$19)*0.1+IF(T51-Uzman_D!$E$19&lt;0,-(T51-Uzman_D!$E$19),T51-Uzman_D!$E$19)*0.1+IF(U51-Uzman_D!$F$19&lt;0,-(U51-Uzman_D!$F$19),U51-Uzman_D!$F$19)*0.1+IF(V51-Uzman_D!$G$19&lt;0,-(V51-Uzman_D!$G$19),V51-Uzman_D!$G$19)*0.1+IF(W51-Uzman_D!$H$19&lt;0,-(W51-Uzman_D!$H$19),W51-Uzman_D!$H$19)*0.1+IF(X51-Uzman_D!$I$19&lt;0,-(X51-Uzman_D!$I$19),X51-Uzman_D!$I$19)*0.1+IF(Y51-Uzman_D!$J$19&lt;0,-(Y51-Uzman_D!$J$19),Y51-Uzman_D!$J$19)*0.1)+IF(ROUND((IF(AA51-Uzman_D!$L$19&lt;0,-(AA51-Uzman_D!$L$19),AA51-Uzman_D!$L$19)*2),0)/2=IF(AA51-Uzman_D!$L$19&lt;0,-(AA51-Uzman_D!$L$19),AA51-Uzman_D!$L$19),(ROUND((IF(AA51-Uzman_D!$L$19&lt;0,-(AA51-Uzman_D!$L$19),AA51-Uzman_D!$L$19)*2),0)/1*0.1),0)+IF(AB51-Uzman_D!$M$19&lt;0,-(AB51-Uzman_D!$M$19),AB51-Uzman_D!$M$19)*1)</f>
        <v>-0.20000000000000018</v>
      </c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70"/>
      <c r="AO51" s="70"/>
      <c r="AP51" s="71">
        <f>1-(SUM(IF(AD51-Uzman_D!$B$20&lt;0,-(AD51-Uzman_D!$B$20),AD51-Uzman_D!$B$20)*0.1+IF(AE51-Uzman_D!$C$20&lt;0,-(AE51-Uzman_D!$C$20),AE51-Uzman_D!$C$20)*0.1+IF(AF51-Uzman_D!$D$20&lt;0,-(AF51-Uzman_D!$D$20),AF51-Uzman_D!$D$20)*0.1+IF(AG51-Uzman_D!$E$20&lt;0,-(AG51-Uzman_D!$E$20),AG51-Uzman_D!$E$20)*0.1+IF(AH51-Uzman_D!$F$20&lt;0,-(AH51-Uzman_D!$F$20),AH51-Uzman_D!$F$20)*0.1+IF(AI51-Uzman_D!$G$20&lt;0,-(AI51-Uzman_D!$G$20),AI51-Uzman_D!$G$20)*0.1+IF(AJ51-Uzman_D!$H$20&lt;0,-(AJ51-Uzman_D!$H$20),AJ51-Uzman_D!$H$20)*0.1+IF(AK51-Uzman_D!$I$20&lt;0,-(AK51-Uzman_D!$I$20),AK51-Uzman_D!$I$20)*0.1+IF(AL51-Uzman_D!$J$20&lt;0,-(AL51-Uzman_D!$J$20),AL51-Uzman_D!$J$20)*0.1)+IF(ROUND((IF(AN51-Uzman_D!$L$20&lt;0,-(AN51-Uzman_D!$L$20),AN51-Uzman_D!$L$20)*2),0)/2=IF(AN51-Uzman_D!$L$20&lt;0,-(AN51-Uzman_D!$L$20),AN51-Uzman_D!$L$20),(ROUND((IF(AN51-Uzman_D!$L$20&lt;0,-(AN51-Uzman_D!$L$20),AN51-Uzman_D!$L$20)*2),0)/1*0.1),0)+IF(AO51-Uzman_D!$M$20&lt;0,-(AO51-Uzman_D!$M$20),AO51-Uzman_D!$M$20)*1)</f>
        <v>-0.40000000000000013</v>
      </c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70"/>
      <c r="BB51" s="70"/>
      <c r="BC51" s="71">
        <f>1-(SUM(IF(AQ51-Uzman_D!$B$21&lt;0,-(AQ51-Uzman_D!$B$21),AQ51-Uzman_D!$B$21)*0.1+IF(AR51-Uzman_D!$C$21&lt;0,-(AR51-Uzman_D!$C$21),AR51-Uzman_D!$C$21)*0.1+IF(AS51-Uzman_D!$D$21&lt;0,-(AS51-Uzman_D!$D$21),AS51-Uzman_D!$D$21)*0.1+IF(AT51-Uzman_D!$E$21&lt;0,-(AT51-Uzman_D!$E$21),AT51-Uzman_D!$E$21)*0.1+IF(AU51-Uzman_D!$F$21&lt;0,-(AU51-Uzman_D!$F$21),AU51-Uzman_D!$F$21)*0.1+IF(AV51-Uzman_D!$G$21&lt;0,-(AV51-Uzman_D!$G$21),AV51-Uzman_D!$G$21)*0.1+IF(AW51-Uzman_D!$H$21&lt;0,-(AW51-Uzman_D!$H$21),AW51-Uzman_D!$H$21)*0.1+IF(AX51-Uzman_D!$I$21&lt;0,-(AX51-Uzman_D!$I$21),AX51-Uzman_D!$I$21)*0.1+IF(AY51-Uzman_D!$J$21&lt;0,-(AY51-Uzman_D!$J$21),AY51-Uzman_D!$J$21)*0.1)+IF(ROUND((IF(BA51-Uzman_D!$L$21&lt;0,-(BA51-Uzman_D!$L$21),BA51-Uzman_D!$L$21)*2),0)/2=IF(BA51-Uzman_D!$L$21&lt;0,-(BA51-Uzman_D!$L$21),BA51-Uzman_D!$L$21),(ROUND((IF(BA51-Uzman_D!$L$21&lt;0,-(BA51-Uzman_D!$L$21),BA51-Uzman_D!$L$21)*2),0)/1*0.1),0)+IF(BB51-Uzman_D!$M$21&lt;0,-(BB51-Uzman_D!$M$21),BB51-Uzman_D!$M$21)*1)</f>
        <v>-0.10000000000000009</v>
      </c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70"/>
      <c r="BO51" s="70"/>
      <c r="BP51" s="71">
        <f>1-(SUM(IF(BD51-Uzman_D!$B$22&lt;0,-(BD51-Uzman_D!$B$22),BD51-Uzman_D!$B$22)*0.1+IF(BE51-Uzman_D!$C$22&lt;0,-(BE51-Uzman_D!$C$22),BE51-Uzman_D!$C$22)*0.1+IF(BF51-Uzman_D!$D$22&lt;0,-(BF51-Uzman_D!$D$22),BF51-Uzman_D!$D$22)*0.1+IF(BG51-Uzman_D!$E$22&lt;0,-(BG51-Uzman_D!$E$22),BG51-Uzman_D!$E$22)*0.1+IF(BH51-Uzman_D!$F$22&lt;0,-(BH51-Uzman_D!$F$22),BH51-Uzman_D!$F$22)*0.1+IF(BI51-Uzman_D!$G$22&lt;0,-(BI51-Uzman_D!$G$22),BI51-Uzman_D!$G$22)*0.1+IF(BJ51-Uzman_D!$H$22&lt;0,-(BJ51-Uzman_D!$H$22),BJ51-Uzman_D!$H$22)*0.1+IF(BK51-Uzman_D!$I$22&lt;0,-(BK51-Uzman_D!$I$22),BK51-Uzman_D!$I$22)*0.1+IF(BL51-Uzman_D!$J$22&lt;0,-(BL51-Uzman_D!$J$22),BL51-Uzman_D!$J$22)*0.1)+IF(ROUND((IF(BN51-Uzman_D!$L$22&lt;0,-(BN51-Uzman_D!$L$22),BN51-Uzman_D!$L$22)*2),0)/2=IF(BN51-Uzman_D!$L$22&lt;0,-(BN51-Uzman_D!$L$22),BN51-Uzman_D!$L$22),(ROUND((IF(BN51-Uzman_D!$L$22&lt;0,-(BN51-Uzman_D!$L$22),BN51-Uzman_D!$L$22)*2),0)/1*0.1),0)+IF(BO51-Uzman_D!$M$22&lt;0,-(BO51-Uzman_D!$M$22),BO51-Uzman_D!$M$22)*1)</f>
        <v>-0.10000000000000009</v>
      </c>
      <c r="BQ51" s="72">
        <f t="shared" si="1"/>
        <v>-0.28000000000000014</v>
      </c>
    </row>
    <row r="52" spans="1:69" ht="15" customHeight="1" x14ac:dyDescent="0.45">
      <c r="A52" s="54">
        <v>49</v>
      </c>
      <c r="B52" s="170">
        <f>Hakemler!B52</f>
        <v>0</v>
      </c>
      <c r="C52" s="170">
        <f>Hakemler!C52</f>
        <v>0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70"/>
      <c r="O52" s="70"/>
      <c r="P52" s="71">
        <f>1-(SUM(IF(D52-Uzman_D!$B$18&lt;0,-(D52-Uzman_D!$B$18),D52-Uzman_D!$B$18)*0.1+IF(E52-Uzman_D!$C$18&lt;0,-(E52-Uzman_D!$C$18),E52-Uzman_D!$C$18)*0.1+IF(F52-Uzman_D!$D$18&lt;0,-(F52-Uzman_D!$D$18),F52-Uzman_D!$D$18)*0.1+IF(G52-Uzman_D!$E$18&lt;0,-(G52-Uzman_D!$E$18),G52-Uzman_D!$E$18)*0.1+IF(H52-Uzman_D!$F$18&lt;0,-(H52-Uzman_D!$F$18),H52-Uzman_D!$F$18)*0.1+IF(I52-Uzman_D!$G$18&lt;0,-(I52-Uzman_D!$G$18),I52-Uzman_D!$G$18)*0.1+IF(J52-Uzman_D!$H$18&lt;0,-(J52-Uzman_D!$H$18),J52-Uzman_D!$H$18)*0.1+IF(K52-Uzman_D!$I$18&lt;0,-(K52-Uzman_D!$I$18),K52-Uzman_D!$I$18)*0.1+IF(L52-Uzman_D!$J$18&lt;0,-(L52-Uzman_D!$J$18),L52-Uzman_D!$J$18)*0.1)+IF(ROUND((IF(N52-Uzman_D!$L$18&lt;0,-(N52-Uzman_D!$L$18),N52-Uzman_D!$L$18)*2),0)/2=IF(N52-Uzman_D!$L$18&lt;0,-(N52-Uzman_D!$L$18),N52-Uzman_D!$L$18),(ROUND((IF(N52-Uzman_D!$L$18&lt;0,-(N52-Uzman_D!$L$18),N52-Uzman_D!$L$18)*2),0)/1*0.1),0)+IF(O52-Uzman_D!$M$18&lt;0,-(O52-Uzman_D!$M$18),O52-Uzman_D!$M$18)*1)</f>
        <v>-0.60000000000000009</v>
      </c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70"/>
      <c r="AB52" s="70"/>
      <c r="AC52" s="71">
        <f>1-(SUM(IF(Q52-Uzman_D!$B$19&lt;0,-(Q52-Uzman_D!$B$19),Q52-Uzman_D!$B$19)*0.1+IF(R52-Uzman_D!$C$19&lt;0,-(R52-Uzman_D!$C$19),R52-Uzman_D!$C$19)*0.1+IF(S52-Uzman_D!$D$19&lt;0,-(S52-Uzman_D!$D$19),S52-Uzman_D!$D$19)*0.1+IF(T52-Uzman_D!$E$19&lt;0,-(T52-Uzman_D!$E$19),T52-Uzman_D!$E$19)*0.1+IF(U52-Uzman_D!$F$19&lt;0,-(U52-Uzman_D!$F$19),U52-Uzman_D!$F$19)*0.1+IF(V52-Uzman_D!$G$19&lt;0,-(V52-Uzman_D!$G$19),V52-Uzman_D!$G$19)*0.1+IF(W52-Uzman_D!$H$19&lt;0,-(W52-Uzman_D!$H$19),W52-Uzman_D!$H$19)*0.1+IF(X52-Uzman_D!$I$19&lt;0,-(X52-Uzman_D!$I$19),X52-Uzman_D!$I$19)*0.1+IF(Y52-Uzman_D!$J$19&lt;0,-(Y52-Uzman_D!$J$19),Y52-Uzman_D!$J$19)*0.1)+IF(ROUND((IF(AA52-Uzman_D!$L$19&lt;0,-(AA52-Uzman_D!$L$19),AA52-Uzman_D!$L$19)*2),0)/2=IF(AA52-Uzman_D!$L$19&lt;0,-(AA52-Uzman_D!$L$19),AA52-Uzman_D!$L$19),(ROUND((IF(AA52-Uzman_D!$L$19&lt;0,-(AA52-Uzman_D!$L$19),AA52-Uzman_D!$L$19)*2),0)/1*0.1),0)+IF(AB52-Uzman_D!$M$19&lt;0,-(AB52-Uzman_D!$M$19),AB52-Uzman_D!$M$19)*1)</f>
        <v>-0.20000000000000018</v>
      </c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70"/>
      <c r="AO52" s="70"/>
      <c r="AP52" s="71">
        <f>1-(SUM(IF(AD52-Uzman_D!$B$20&lt;0,-(AD52-Uzman_D!$B$20),AD52-Uzman_D!$B$20)*0.1+IF(AE52-Uzman_D!$C$20&lt;0,-(AE52-Uzman_D!$C$20),AE52-Uzman_D!$C$20)*0.1+IF(AF52-Uzman_D!$D$20&lt;0,-(AF52-Uzman_D!$D$20),AF52-Uzman_D!$D$20)*0.1+IF(AG52-Uzman_D!$E$20&lt;0,-(AG52-Uzman_D!$E$20),AG52-Uzman_D!$E$20)*0.1+IF(AH52-Uzman_D!$F$20&lt;0,-(AH52-Uzman_D!$F$20),AH52-Uzman_D!$F$20)*0.1+IF(AI52-Uzman_D!$G$20&lt;0,-(AI52-Uzman_D!$G$20),AI52-Uzman_D!$G$20)*0.1+IF(AJ52-Uzman_D!$H$20&lt;0,-(AJ52-Uzman_D!$H$20),AJ52-Uzman_D!$H$20)*0.1+IF(AK52-Uzman_D!$I$20&lt;0,-(AK52-Uzman_D!$I$20),AK52-Uzman_D!$I$20)*0.1+IF(AL52-Uzman_D!$J$20&lt;0,-(AL52-Uzman_D!$J$20),AL52-Uzman_D!$J$20)*0.1)+IF(ROUND((IF(AN52-Uzman_D!$L$20&lt;0,-(AN52-Uzman_D!$L$20),AN52-Uzman_D!$L$20)*2),0)/2=IF(AN52-Uzman_D!$L$20&lt;0,-(AN52-Uzman_D!$L$20),AN52-Uzman_D!$L$20),(ROUND((IF(AN52-Uzman_D!$L$20&lt;0,-(AN52-Uzman_D!$L$20),AN52-Uzman_D!$L$20)*2),0)/1*0.1),0)+IF(AO52-Uzman_D!$M$20&lt;0,-(AO52-Uzman_D!$M$20),AO52-Uzman_D!$M$20)*1)</f>
        <v>-0.40000000000000013</v>
      </c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70"/>
      <c r="BB52" s="70"/>
      <c r="BC52" s="71">
        <f>1-(SUM(IF(AQ52-Uzman_D!$B$21&lt;0,-(AQ52-Uzman_D!$B$21),AQ52-Uzman_D!$B$21)*0.1+IF(AR52-Uzman_D!$C$21&lt;0,-(AR52-Uzman_D!$C$21),AR52-Uzman_D!$C$21)*0.1+IF(AS52-Uzman_D!$D$21&lt;0,-(AS52-Uzman_D!$D$21),AS52-Uzman_D!$D$21)*0.1+IF(AT52-Uzman_D!$E$21&lt;0,-(AT52-Uzman_D!$E$21),AT52-Uzman_D!$E$21)*0.1+IF(AU52-Uzman_D!$F$21&lt;0,-(AU52-Uzman_D!$F$21),AU52-Uzman_D!$F$21)*0.1+IF(AV52-Uzman_D!$G$21&lt;0,-(AV52-Uzman_D!$G$21),AV52-Uzman_D!$G$21)*0.1+IF(AW52-Uzman_D!$H$21&lt;0,-(AW52-Uzman_D!$H$21),AW52-Uzman_D!$H$21)*0.1+IF(AX52-Uzman_D!$I$21&lt;0,-(AX52-Uzman_D!$I$21),AX52-Uzman_D!$I$21)*0.1+IF(AY52-Uzman_D!$J$21&lt;0,-(AY52-Uzman_D!$J$21),AY52-Uzman_D!$J$21)*0.1)+IF(ROUND((IF(BA52-Uzman_D!$L$21&lt;0,-(BA52-Uzman_D!$L$21),BA52-Uzman_D!$L$21)*2),0)/2=IF(BA52-Uzman_D!$L$21&lt;0,-(BA52-Uzman_D!$L$21),BA52-Uzman_D!$L$21),(ROUND((IF(BA52-Uzman_D!$L$21&lt;0,-(BA52-Uzman_D!$L$21),BA52-Uzman_D!$L$21)*2),0)/1*0.1),0)+IF(BB52-Uzman_D!$M$21&lt;0,-(BB52-Uzman_D!$M$21),BB52-Uzman_D!$M$21)*1)</f>
        <v>-0.10000000000000009</v>
      </c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70"/>
      <c r="BO52" s="70"/>
      <c r="BP52" s="71">
        <f>1-(SUM(IF(BD52-Uzman_D!$B$22&lt;0,-(BD52-Uzman_D!$B$22),BD52-Uzman_D!$B$22)*0.1+IF(BE52-Uzman_D!$C$22&lt;0,-(BE52-Uzman_D!$C$22),BE52-Uzman_D!$C$22)*0.1+IF(BF52-Uzman_D!$D$22&lt;0,-(BF52-Uzman_D!$D$22),BF52-Uzman_D!$D$22)*0.1+IF(BG52-Uzman_D!$E$22&lt;0,-(BG52-Uzman_D!$E$22),BG52-Uzman_D!$E$22)*0.1+IF(BH52-Uzman_D!$F$22&lt;0,-(BH52-Uzman_D!$F$22),BH52-Uzman_D!$F$22)*0.1+IF(BI52-Uzman_D!$G$22&lt;0,-(BI52-Uzman_D!$G$22),BI52-Uzman_D!$G$22)*0.1+IF(BJ52-Uzman_D!$H$22&lt;0,-(BJ52-Uzman_D!$H$22),BJ52-Uzman_D!$H$22)*0.1+IF(BK52-Uzman_D!$I$22&lt;0,-(BK52-Uzman_D!$I$22),BK52-Uzman_D!$I$22)*0.1+IF(BL52-Uzman_D!$J$22&lt;0,-(BL52-Uzman_D!$J$22),BL52-Uzman_D!$J$22)*0.1)+IF(ROUND((IF(BN52-Uzman_D!$L$22&lt;0,-(BN52-Uzman_D!$L$22),BN52-Uzman_D!$L$22)*2),0)/2=IF(BN52-Uzman_D!$L$22&lt;0,-(BN52-Uzman_D!$L$22),BN52-Uzman_D!$L$22),(ROUND((IF(BN52-Uzman_D!$L$22&lt;0,-(BN52-Uzman_D!$L$22),BN52-Uzman_D!$L$22)*2),0)/1*0.1),0)+IF(BO52-Uzman_D!$M$22&lt;0,-(BO52-Uzman_D!$M$22),BO52-Uzman_D!$M$22)*1)</f>
        <v>-0.10000000000000009</v>
      </c>
      <c r="BQ52" s="72">
        <f t="shared" si="1"/>
        <v>-0.28000000000000014</v>
      </c>
    </row>
    <row r="53" spans="1:69" ht="15" customHeight="1" x14ac:dyDescent="0.45">
      <c r="A53" s="54">
        <v>50</v>
      </c>
      <c r="B53" s="170">
        <f>Hakemler!B53</f>
        <v>0</v>
      </c>
      <c r="C53" s="170">
        <f>Hakemler!C53</f>
        <v>0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70"/>
      <c r="O53" s="70"/>
      <c r="P53" s="71">
        <f>1-(SUM(IF(D53-Uzman_D!$B$18&lt;0,-(D53-Uzman_D!$B$18),D53-Uzman_D!$B$18)*0.1+IF(E53-Uzman_D!$C$18&lt;0,-(E53-Uzman_D!$C$18),E53-Uzman_D!$C$18)*0.1+IF(F53-Uzman_D!$D$18&lt;0,-(F53-Uzman_D!$D$18),F53-Uzman_D!$D$18)*0.1+IF(G53-Uzman_D!$E$18&lt;0,-(G53-Uzman_D!$E$18),G53-Uzman_D!$E$18)*0.1+IF(H53-Uzman_D!$F$18&lt;0,-(H53-Uzman_D!$F$18),H53-Uzman_D!$F$18)*0.1+IF(I53-Uzman_D!$G$18&lt;0,-(I53-Uzman_D!$G$18),I53-Uzman_D!$G$18)*0.1+IF(J53-Uzman_D!$H$18&lt;0,-(J53-Uzman_D!$H$18),J53-Uzman_D!$H$18)*0.1+IF(K53-Uzman_D!$I$18&lt;0,-(K53-Uzman_D!$I$18),K53-Uzman_D!$I$18)*0.1+IF(L53-Uzman_D!$J$18&lt;0,-(L53-Uzman_D!$J$18),L53-Uzman_D!$J$18)*0.1)+IF(ROUND((IF(N53-Uzman_D!$L$18&lt;0,-(N53-Uzman_D!$L$18),N53-Uzman_D!$L$18)*2),0)/2=IF(N53-Uzman_D!$L$18&lt;0,-(N53-Uzman_D!$L$18),N53-Uzman_D!$L$18),(ROUND((IF(N53-Uzman_D!$L$18&lt;0,-(N53-Uzman_D!$L$18),N53-Uzman_D!$L$18)*2),0)/1*0.1),0)+IF(O53-Uzman_D!$M$18&lt;0,-(O53-Uzman_D!$M$18),O53-Uzman_D!$M$18)*1)</f>
        <v>-0.60000000000000009</v>
      </c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70"/>
      <c r="AB53" s="70"/>
      <c r="AC53" s="71">
        <f>1-(SUM(IF(Q53-Uzman_D!$B$19&lt;0,-(Q53-Uzman_D!$B$19),Q53-Uzman_D!$B$19)*0.1+IF(R53-Uzman_D!$C$19&lt;0,-(R53-Uzman_D!$C$19),R53-Uzman_D!$C$19)*0.1+IF(S53-Uzman_D!$D$19&lt;0,-(S53-Uzman_D!$D$19),S53-Uzman_D!$D$19)*0.1+IF(T53-Uzman_D!$E$19&lt;0,-(T53-Uzman_D!$E$19),T53-Uzman_D!$E$19)*0.1+IF(U53-Uzman_D!$F$19&lt;0,-(U53-Uzman_D!$F$19),U53-Uzman_D!$F$19)*0.1+IF(V53-Uzman_D!$G$19&lt;0,-(V53-Uzman_D!$G$19),V53-Uzman_D!$G$19)*0.1+IF(W53-Uzman_D!$H$19&lt;0,-(W53-Uzman_D!$H$19),W53-Uzman_D!$H$19)*0.1+IF(X53-Uzman_D!$I$19&lt;0,-(X53-Uzman_D!$I$19),X53-Uzman_D!$I$19)*0.1+IF(Y53-Uzman_D!$J$19&lt;0,-(Y53-Uzman_D!$J$19),Y53-Uzman_D!$J$19)*0.1)+IF(ROUND((IF(AA53-Uzman_D!$L$19&lt;0,-(AA53-Uzman_D!$L$19),AA53-Uzman_D!$L$19)*2),0)/2=IF(AA53-Uzman_D!$L$19&lt;0,-(AA53-Uzman_D!$L$19),AA53-Uzman_D!$L$19),(ROUND((IF(AA53-Uzman_D!$L$19&lt;0,-(AA53-Uzman_D!$L$19),AA53-Uzman_D!$L$19)*2),0)/1*0.1),0)+IF(AB53-Uzman_D!$M$19&lt;0,-(AB53-Uzman_D!$M$19),AB53-Uzman_D!$M$19)*1)</f>
        <v>-0.20000000000000018</v>
      </c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70"/>
      <c r="AO53" s="70"/>
      <c r="AP53" s="71">
        <f>1-(SUM(IF(AD53-Uzman_D!$B$20&lt;0,-(AD53-Uzman_D!$B$20),AD53-Uzman_D!$B$20)*0.1+IF(AE53-Uzman_D!$C$20&lt;0,-(AE53-Uzman_D!$C$20),AE53-Uzman_D!$C$20)*0.1+IF(AF53-Uzman_D!$D$20&lt;0,-(AF53-Uzman_D!$D$20),AF53-Uzman_D!$D$20)*0.1+IF(AG53-Uzman_D!$E$20&lt;0,-(AG53-Uzman_D!$E$20),AG53-Uzman_D!$E$20)*0.1+IF(AH53-Uzman_D!$F$20&lt;0,-(AH53-Uzman_D!$F$20),AH53-Uzman_D!$F$20)*0.1+IF(AI53-Uzman_D!$G$20&lt;0,-(AI53-Uzman_D!$G$20),AI53-Uzman_D!$G$20)*0.1+IF(AJ53-Uzman_D!$H$20&lt;0,-(AJ53-Uzman_D!$H$20),AJ53-Uzman_D!$H$20)*0.1+IF(AK53-Uzman_D!$I$20&lt;0,-(AK53-Uzman_D!$I$20),AK53-Uzman_D!$I$20)*0.1+IF(AL53-Uzman_D!$J$20&lt;0,-(AL53-Uzman_D!$J$20),AL53-Uzman_D!$J$20)*0.1)+IF(ROUND((IF(AN53-Uzman_D!$L$20&lt;0,-(AN53-Uzman_D!$L$20),AN53-Uzman_D!$L$20)*2),0)/2=IF(AN53-Uzman_D!$L$20&lt;0,-(AN53-Uzman_D!$L$20),AN53-Uzman_D!$L$20),(ROUND((IF(AN53-Uzman_D!$L$20&lt;0,-(AN53-Uzman_D!$L$20),AN53-Uzman_D!$L$20)*2),0)/1*0.1),0)+IF(AO53-Uzman_D!$M$20&lt;0,-(AO53-Uzman_D!$M$20),AO53-Uzman_D!$M$20)*1)</f>
        <v>-0.40000000000000013</v>
      </c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70"/>
      <c r="BB53" s="70"/>
      <c r="BC53" s="71">
        <f>1-(SUM(IF(AQ53-Uzman_D!$B$21&lt;0,-(AQ53-Uzman_D!$B$21),AQ53-Uzman_D!$B$21)*0.1+IF(AR53-Uzman_D!$C$21&lt;0,-(AR53-Uzman_D!$C$21),AR53-Uzman_D!$C$21)*0.1+IF(AS53-Uzman_D!$D$21&lt;0,-(AS53-Uzman_D!$D$21),AS53-Uzman_D!$D$21)*0.1+IF(AT53-Uzman_D!$E$21&lt;0,-(AT53-Uzman_D!$E$21),AT53-Uzman_D!$E$21)*0.1+IF(AU53-Uzman_D!$F$21&lt;0,-(AU53-Uzman_D!$F$21),AU53-Uzman_D!$F$21)*0.1+IF(AV53-Uzman_D!$G$21&lt;0,-(AV53-Uzman_D!$G$21),AV53-Uzman_D!$G$21)*0.1+IF(AW53-Uzman_D!$H$21&lt;0,-(AW53-Uzman_D!$H$21),AW53-Uzman_D!$H$21)*0.1+IF(AX53-Uzman_D!$I$21&lt;0,-(AX53-Uzman_D!$I$21),AX53-Uzman_D!$I$21)*0.1+IF(AY53-Uzman_D!$J$21&lt;0,-(AY53-Uzman_D!$J$21),AY53-Uzman_D!$J$21)*0.1)+IF(ROUND((IF(BA53-Uzman_D!$L$21&lt;0,-(BA53-Uzman_D!$L$21),BA53-Uzman_D!$L$21)*2),0)/2=IF(BA53-Uzman_D!$L$21&lt;0,-(BA53-Uzman_D!$L$21),BA53-Uzman_D!$L$21),(ROUND((IF(BA53-Uzman_D!$L$21&lt;0,-(BA53-Uzman_D!$L$21),BA53-Uzman_D!$L$21)*2),0)/1*0.1),0)+IF(BB53-Uzman_D!$M$21&lt;0,-(BB53-Uzman_D!$M$21),BB53-Uzman_D!$M$21)*1)</f>
        <v>-0.10000000000000009</v>
      </c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70"/>
      <c r="BO53" s="70"/>
      <c r="BP53" s="71">
        <f>1-(SUM(IF(BD53-Uzman_D!$B$22&lt;0,-(BD53-Uzman_D!$B$22),BD53-Uzman_D!$B$22)*0.1+IF(BE53-Uzman_D!$C$22&lt;0,-(BE53-Uzman_D!$C$22),BE53-Uzman_D!$C$22)*0.1+IF(BF53-Uzman_D!$D$22&lt;0,-(BF53-Uzman_D!$D$22),BF53-Uzman_D!$D$22)*0.1+IF(BG53-Uzman_D!$E$22&lt;0,-(BG53-Uzman_D!$E$22),BG53-Uzman_D!$E$22)*0.1+IF(BH53-Uzman_D!$F$22&lt;0,-(BH53-Uzman_D!$F$22),BH53-Uzman_D!$F$22)*0.1+IF(BI53-Uzman_D!$G$22&lt;0,-(BI53-Uzman_D!$G$22),BI53-Uzman_D!$G$22)*0.1+IF(BJ53-Uzman_D!$H$22&lt;0,-(BJ53-Uzman_D!$H$22),BJ53-Uzman_D!$H$22)*0.1+IF(BK53-Uzman_D!$I$22&lt;0,-(BK53-Uzman_D!$I$22),BK53-Uzman_D!$I$22)*0.1+IF(BL53-Uzman_D!$J$22&lt;0,-(BL53-Uzman_D!$J$22),BL53-Uzman_D!$J$22)*0.1)+IF(ROUND((IF(BN53-Uzman_D!$L$22&lt;0,-(BN53-Uzman_D!$L$22),BN53-Uzman_D!$L$22)*2),0)/2=IF(BN53-Uzman_D!$L$22&lt;0,-(BN53-Uzman_D!$L$22),BN53-Uzman_D!$L$22),(ROUND((IF(BN53-Uzman_D!$L$22&lt;0,-(BN53-Uzman_D!$L$22),BN53-Uzman_D!$L$22)*2),0)/1*0.1),0)+IF(BO53-Uzman_D!$M$22&lt;0,-(BO53-Uzman_D!$M$22),BO53-Uzman_D!$M$22)*1)</f>
        <v>-0.10000000000000009</v>
      </c>
      <c r="BQ53" s="72">
        <f t="shared" si="1"/>
        <v>-0.28000000000000014</v>
      </c>
    </row>
    <row r="54" spans="1:69" ht="15" customHeight="1" x14ac:dyDescent="0.45">
      <c r="A54" s="54">
        <v>51</v>
      </c>
      <c r="B54" s="170">
        <f>Hakemler!B54</f>
        <v>0</v>
      </c>
      <c r="C54" s="170">
        <f>Hakemler!C54</f>
        <v>0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70"/>
      <c r="O54" s="70"/>
      <c r="P54" s="71">
        <f>1-(SUM(IF(D54-Uzman_D!$B$18&lt;0,-(D54-Uzman_D!$B$18),D54-Uzman_D!$B$18)*0.1+IF(E54-Uzman_D!$C$18&lt;0,-(E54-Uzman_D!$C$18),E54-Uzman_D!$C$18)*0.1+IF(F54-Uzman_D!$D$18&lt;0,-(F54-Uzman_D!$D$18),F54-Uzman_D!$D$18)*0.1+IF(G54-Uzman_D!$E$18&lt;0,-(G54-Uzman_D!$E$18),G54-Uzman_D!$E$18)*0.1+IF(H54-Uzman_D!$F$18&lt;0,-(H54-Uzman_D!$F$18),H54-Uzman_D!$F$18)*0.1+IF(I54-Uzman_D!$G$18&lt;0,-(I54-Uzman_D!$G$18),I54-Uzman_D!$G$18)*0.1+IF(J54-Uzman_D!$H$18&lt;0,-(J54-Uzman_D!$H$18),J54-Uzman_D!$H$18)*0.1+IF(K54-Uzman_D!$I$18&lt;0,-(K54-Uzman_D!$I$18),K54-Uzman_D!$I$18)*0.1+IF(L54-Uzman_D!$J$18&lt;0,-(L54-Uzman_D!$J$18),L54-Uzman_D!$J$18)*0.1)+IF(ROUND((IF(N54-Uzman_D!$L$18&lt;0,-(N54-Uzman_D!$L$18),N54-Uzman_D!$L$18)*2),0)/2=IF(N54-Uzman_D!$L$18&lt;0,-(N54-Uzman_D!$L$18),N54-Uzman_D!$L$18),(ROUND((IF(N54-Uzman_D!$L$18&lt;0,-(N54-Uzman_D!$L$18),N54-Uzman_D!$L$18)*2),0)/1*0.1),0)+IF(O54-Uzman_D!$M$18&lt;0,-(O54-Uzman_D!$M$18),O54-Uzman_D!$M$18)*1)</f>
        <v>-0.60000000000000009</v>
      </c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70"/>
      <c r="AB54" s="70"/>
      <c r="AC54" s="71">
        <f>1-(SUM(IF(Q54-Uzman_D!$B$19&lt;0,-(Q54-Uzman_D!$B$19),Q54-Uzman_D!$B$19)*0.1+IF(R54-Uzman_D!$C$19&lt;0,-(R54-Uzman_D!$C$19),R54-Uzman_D!$C$19)*0.1+IF(S54-Uzman_D!$D$19&lt;0,-(S54-Uzman_D!$D$19),S54-Uzman_D!$D$19)*0.1+IF(T54-Uzman_D!$E$19&lt;0,-(T54-Uzman_D!$E$19),T54-Uzman_D!$E$19)*0.1+IF(U54-Uzman_D!$F$19&lt;0,-(U54-Uzman_D!$F$19),U54-Uzman_D!$F$19)*0.1+IF(V54-Uzman_D!$G$19&lt;0,-(V54-Uzman_D!$G$19),V54-Uzman_D!$G$19)*0.1+IF(W54-Uzman_D!$H$19&lt;0,-(W54-Uzman_D!$H$19),W54-Uzman_D!$H$19)*0.1+IF(X54-Uzman_D!$I$19&lt;0,-(X54-Uzman_D!$I$19),X54-Uzman_D!$I$19)*0.1+IF(Y54-Uzman_D!$J$19&lt;0,-(Y54-Uzman_D!$J$19),Y54-Uzman_D!$J$19)*0.1)+IF(ROUND((IF(AA54-Uzman_D!$L$19&lt;0,-(AA54-Uzman_D!$L$19),AA54-Uzman_D!$L$19)*2),0)/2=IF(AA54-Uzman_D!$L$19&lt;0,-(AA54-Uzman_D!$L$19),AA54-Uzman_D!$L$19),(ROUND((IF(AA54-Uzman_D!$L$19&lt;0,-(AA54-Uzman_D!$L$19),AA54-Uzman_D!$L$19)*2),0)/1*0.1),0)+IF(AB54-Uzman_D!$M$19&lt;0,-(AB54-Uzman_D!$M$19),AB54-Uzman_D!$M$19)*1)</f>
        <v>-0.20000000000000018</v>
      </c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70"/>
      <c r="AO54" s="70"/>
      <c r="AP54" s="71">
        <f>1-(SUM(IF(AD54-Uzman_D!$B$20&lt;0,-(AD54-Uzman_D!$B$20),AD54-Uzman_D!$B$20)*0.1+IF(AE54-Uzman_D!$C$20&lt;0,-(AE54-Uzman_D!$C$20),AE54-Uzman_D!$C$20)*0.1+IF(AF54-Uzman_D!$D$20&lt;0,-(AF54-Uzman_D!$D$20),AF54-Uzman_D!$D$20)*0.1+IF(AG54-Uzman_D!$E$20&lt;0,-(AG54-Uzman_D!$E$20),AG54-Uzman_D!$E$20)*0.1+IF(AH54-Uzman_D!$F$20&lt;0,-(AH54-Uzman_D!$F$20),AH54-Uzman_D!$F$20)*0.1+IF(AI54-Uzman_D!$G$20&lt;0,-(AI54-Uzman_D!$G$20),AI54-Uzman_D!$G$20)*0.1+IF(AJ54-Uzman_D!$H$20&lt;0,-(AJ54-Uzman_D!$H$20),AJ54-Uzman_D!$H$20)*0.1+IF(AK54-Uzman_D!$I$20&lt;0,-(AK54-Uzman_D!$I$20),AK54-Uzman_D!$I$20)*0.1+IF(AL54-Uzman_D!$J$20&lt;0,-(AL54-Uzman_D!$J$20),AL54-Uzman_D!$J$20)*0.1)+IF(ROUND((IF(AN54-Uzman_D!$L$20&lt;0,-(AN54-Uzman_D!$L$20),AN54-Uzman_D!$L$20)*2),0)/2=IF(AN54-Uzman_D!$L$20&lt;0,-(AN54-Uzman_D!$L$20),AN54-Uzman_D!$L$20),(ROUND((IF(AN54-Uzman_D!$L$20&lt;0,-(AN54-Uzman_D!$L$20),AN54-Uzman_D!$L$20)*2),0)/1*0.1),0)+IF(AO54-Uzman_D!$M$20&lt;0,-(AO54-Uzman_D!$M$20),AO54-Uzman_D!$M$20)*1)</f>
        <v>-0.40000000000000013</v>
      </c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70"/>
      <c r="BB54" s="70"/>
      <c r="BC54" s="71">
        <f>1-(SUM(IF(AQ54-Uzman_D!$B$21&lt;0,-(AQ54-Uzman_D!$B$21),AQ54-Uzman_D!$B$21)*0.1+IF(AR54-Uzman_D!$C$21&lt;0,-(AR54-Uzman_D!$C$21),AR54-Uzman_D!$C$21)*0.1+IF(AS54-Uzman_D!$D$21&lt;0,-(AS54-Uzman_D!$D$21),AS54-Uzman_D!$D$21)*0.1+IF(AT54-Uzman_D!$E$21&lt;0,-(AT54-Uzman_D!$E$21),AT54-Uzman_D!$E$21)*0.1+IF(AU54-Uzman_D!$F$21&lt;0,-(AU54-Uzman_D!$F$21),AU54-Uzman_D!$F$21)*0.1+IF(AV54-Uzman_D!$G$21&lt;0,-(AV54-Uzman_D!$G$21),AV54-Uzman_D!$G$21)*0.1+IF(AW54-Uzman_D!$H$21&lt;0,-(AW54-Uzman_D!$H$21),AW54-Uzman_D!$H$21)*0.1+IF(AX54-Uzman_D!$I$21&lt;0,-(AX54-Uzman_D!$I$21),AX54-Uzman_D!$I$21)*0.1+IF(AY54-Uzman_D!$J$21&lt;0,-(AY54-Uzman_D!$J$21),AY54-Uzman_D!$J$21)*0.1)+IF(ROUND((IF(BA54-Uzman_D!$L$21&lt;0,-(BA54-Uzman_D!$L$21),BA54-Uzman_D!$L$21)*2),0)/2=IF(BA54-Uzman_D!$L$21&lt;0,-(BA54-Uzman_D!$L$21),BA54-Uzman_D!$L$21),(ROUND((IF(BA54-Uzman_D!$L$21&lt;0,-(BA54-Uzman_D!$L$21),BA54-Uzman_D!$L$21)*2),0)/1*0.1),0)+IF(BB54-Uzman_D!$M$21&lt;0,-(BB54-Uzman_D!$M$21),BB54-Uzman_D!$M$21)*1)</f>
        <v>-0.10000000000000009</v>
      </c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70"/>
      <c r="BO54" s="70"/>
      <c r="BP54" s="71">
        <f>1-(SUM(IF(BD54-Uzman_D!$B$22&lt;0,-(BD54-Uzman_D!$B$22),BD54-Uzman_D!$B$22)*0.1+IF(BE54-Uzman_D!$C$22&lt;0,-(BE54-Uzman_D!$C$22),BE54-Uzman_D!$C$22)*0.1+IF(BF54-Uzman_D!$D$22&lt;0,-(BF54-Uzman_D!$D$22),BF54-Uzman_D!$D$22)*0.1+IF(BG54-Uzman_D!$E$22&lt;0,-(BG54-Uzman_D!$E$22),BG54-Uzman_D!$E$22)*0.1+IF(BH54-Uzman_D!$F$22&lt;0,-(BH54-Uzman_D!$F$22),BH54-Uzman_D!$F$22)*0.1+IF(BI54-Uzman_D!$G$22&lt;0,-(BI54-Uzman_D!$G$22),BI54-Uzman_D!$G$22)*0.1+IF(BJ54-Uzman_D!$H$22&lt;0,-(BJ54-Uzman_D!$H$22),BJ54-Uzman_D!$H$22)*0.1+IF(BK54-Uzman_D!$I$22&lt;0,-(BK54-Uzman_D!$I$22),BK54-Uzman_D!$I$22)*0.1+IF(BL54-Uzman_D!$J$22&lt;0,-(BL54-Uzman_D!$J$22),BL54-Uzman_D!$J$22)*0.1)+IF(ROUND((IF(BN54-Uzman_D!$L$22&lt;0,-(BN54-Uzman_D!$L$22),BN54-Uzman_D!$L$22)*2),0)/2=IF(BN54-Uzman_D!$L$22&lt;0,-(BN54-Uzman_D!$L$22),BN54-Uzman_D!$L$22),(ROUND((IF(BN54-Uzman_D!$L$22&lt;0,-(BN54-Uzman_D!$L$22),BN54-Uzman_D!$L$22)*2),0)/1*0.1),0)+IF(BO54-Uzman_D!$M$22&lt;0,-(BO54-Uzman_D!$M$22),BO54-Uzman_D!$M$22)*1)</f>
        <v>-0.10000000000000009</v>
      </c>
      <c r="BQ54" s="72">
        <f t="shared" si="1"/>
        <v>-0.28000000000000014</v>
      </c>
    </row>
    <row r="55" spans="1:69" ht="15" customHeight="1" x14ac:dyDescent="0.45">
      <c r="A55" s="54">
        <v>52</v>
      </c>
      <c r="B55" s="170">
        <f>Hakemler!B55</f>
        <v>0</v>
      </c>
      <c r="C55" s="170">
        <f>Hakemler!C55</f>
        <v>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70"/>
      <c r="O55" s="70"/>
      <c r="P55" s="71">
        <f>1-(SUM(IF(D55-Uzman_D!$B$18&lt;0,-(D55-Uzman_D!$B$18),D55-Uzman_D!$B$18)*0.1+IF(E55-Uzman_D!$C$18&lt;0,-(E55-Uzman_D!$C$18),E55-Uzman_D!$C$18)*0.1+IF(F55-Uzman_D!$D$18&lt;0,-(F55-Uzman_D!$D$18),F55-Uzman_D!$D$18)*0.1+IF(G55-Uzman_D!$E$18&lt;0,-(G55-Uzman_D!$E$18),G55-Uzman_D!$E$18)*0.1+IF(H55-Uzman_D!$F$18&lt;0,-(H55-Uzman_D!$F$18),H55-Uzman_D!$F$18)*0.1+IF(I55-Uzman_D!$G$18&lt;0,-(I55-Uzman_D!$G$18),I55-Uzman_D!$G$18)*0.1+IF(J55-Uzman_D!$H$18&lt;0,-(J55-Uzman_D!$H$18),J55-Uzman_D!$H$18)*0.1+IF(K55-Uzman_D!$I$18&lt;0,-(K55-Uzman_D!$I$18),K55-Uzman_D!$I$18)*0.1+IF(L55-Uzman_D!$J$18&lt;0,-(L55-Uzman_D!$J$18),L55-Uzman_D!$J$18)*0.1)+IF(ROUND((IF(N55-Uzman_D!$L$18&lt;0,-(N55-Uzman_D!$L$18),N55-Uzman_D!$L$18)*2),0)/2=IF(N55-Uzman_D!$L$18&lt;0,-(N55-Uzman_D!$L$18),N55-Uzman_D!$L$18),(ROUND((IF(N55-Uzman_D!$L$18&lt;0,-(N55-Uzman_D!$L$18),N55-Uzman_D!$L$18)*2),0)/1*0.1),0)+IF(O55-Uzman_D!$M$18&lt;0,-(O55-Uzman_D!$M$18),O55-Uzman_D!$M$18)*1)</f>
        <v>-0.60000000000000009</v>
      </c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70"/>
      <c r="AB55" s="70"/>
      <c r="AC55" s="71">
        <f>1-(SUM(IF(Q55-Uzman_D!$B$19&lt;0,-(Q55-Uzman_D!$B$19),Q55-Uzman_D!$B$19)*0.1+IF(R55-Uzman_D!$C$19&lt;0,-(R55-Uzman_D!$C$19),R55-Uzman_D!$C$19)*0.1+IF(S55-Uzman_D!$D$19&lt;0,-(S55-Uzman_D!$D$19),S55-Uzman_D!$D$19)*0.1+IF(T55-Uzman_D!$E$19&lt;0,-(T55-Uzman_D!$E$19),T55-Uzman_D!$E$19)*0.1+IF(U55-Uzman_D!$F$19&lt;0,-(U55-Uzman_D!$F$19),U55-Uzman_D!$F$19)*0.1+IF(V55-Uzman_D!$G$19&lt;0,-(V55-Uzman_D!$G$19),V55-Uzman_D!$G$19)*0.1+IF(W55-Uzman_D!$H$19&lt;0,-(W55-Uzman_D!$H$19),W55-Uzman_D!$H$19)*0.1+IF(X55-Uzman_D!$I$19&lt;0,-(X55-Uzman_D!$I$19),X55-Uzman_D!$I$19)*0.1+IF(Y55-Uzman_D!$J$19&lt;0,-(Y55-Uzman_D!$J$19),Y55-Uzman_D!$J$19)*0.1)+IF(ROUND((IF(AA55-Uzman_D!$L$19&lt;0,-(AA55-Uzman_D!$L$19),AA55-Uzman_D!$L$19)*2),0)/2=IF(AA55-Uzman_D!$L$19&lt;0,-(AA55-Uzman_D!$L$19),AA55-Uzman_D!$L$19),(ROUND((IF(AA55-Uzman_D!$L$19&lt;0,-(AA55-Uzman_D!$L$19),AA55-Uzman_D!$L$19)*2),0)/1*0.1),0)+IF(AB55-Uzman_D!$M$19&lt;0,-(AB55-Uzman_D!$M$19),AB55-Uzman_D!$M$19)*1)</f>
        <v>-0.20000000000000018</v>
      </c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70"/>
      <c r="AO55" s="70"/>
      <c r="AP55" s="71">
        <f>1-(SUM(IF(AD55-Uzman_D!$B$20&lt;0,-(AD55-Uzman_D!$B$20),AD55-Uzman_D!$B$20)*0.1+IF(AE55-Uzman_D!$C$20&lt;0,-(AE55-Uzman_D!$C$20),AE55-Uzman_D!$C$20)*0.1+IF(AF55-Uzman_D!$D$20&lt;0,-(AF55-Uzman_D!$D$20),AF55-Uzman_D!$D$20)*0.1+IF(AG55-Uzman_D!$E$20&lt;0,-(AG55-Uzman_D!$E$20),AG55-Uzman_D!$E$20)*0.1+IF(AH55-Uzman_D!$F$20&lt;0,-(AH55-Uzman_D!$F$20),AH55-Uzman_D!$F$20)*0.1+IF(AI55-Uzman_D!$G$20&lt;0,-(AI55-Uzman_D!$G$20),AI55-Uzman_D!$G$20)*0.1+IF(AJ55-Uzman_D!$H$20&lt;0,-(AJ55-Uzman_D!$H$20),AJ55-Uzman_D!$H$20)*0.1+IF(AK55-Uzman_D!$I$20&lt;0,-(AK55-Uzman_D!$I$20),AK55-Uzman_D!$I$20)*0.1+IF(AL55-Uzman_D!$J$20&lt;0,-(AL55-Uzman_D!$J$20),AL55-Uzman_D!$J$20)*0.1)+IF(ROUND((IF(AN55-Uzman_D!$L$20&lt;0,-(AN55-Uzman_D!$L$20),AN55-Uzman_D!$L$20)*2),0)/2=IF(AN55-Uzman_D!$L$20&lt;0,-(AN55-Uzman_D!$L$20),AN55-Uzman_D!$L$20),(ROUND((IF(AN55-Uzman_D!$L$20&lt;0,-(AN55-Uzman_D!$L$20),AN55-Uzman_D!$L$20)*2),0)/1*0.1),0)+IF(AO55-Uzman_D!$M$20&lt;0,-(AO55-Uzman_D!$M$20),AO55-Uzman_D!$M$20)*1)</f>
        <v>-0.40000000000000013</v>
      </c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70"/>
      <c r="BB55" s="70"/>
      <c r="BC55" s="71">
        <f>1-(SUM(IF(AQ55-Uzman_D!$B$21&lt;0,-(AQ55-Uzman_D!$B$21),AQ55-Uzman_D!$B$21)*0.1+IF(AR55-Uzman_D!$C$21&lt;0,-(AR55-Uzman_D!$C$21),AR55-Uzman_D!$C$21)*0.1+IF(AS55-Uzman_D!$D$21&lt;0,-(AS55-Uzman_D!$D$21),AS55-Uzman_D!$D$21)*0.1+IF(AT55-Uzman_D!$E$21&lt;0,-(AT55-Uzman_D!$E$21),AT55-Uzman_D!$E$21)*0.1+IF(AU55-Uzman_D!$F$21&lt;0,-(AU55-Uzman_D!$F$21),AU55-Uzman_D!$F$21)*0.1+IF(AV55-Uzman_D!$G$21&lt;0,-(AV55-Uzman_D!$G$21),AV55-Uzman_D!$G$21)*0.1+IF(AW55-Uzman_D!$H$21&lt;0,-(AW55-Uzman_D!$H$21),AW55-Uzman_D!$H$21)*0.1+IF(AX55-Uzman_D!$I$21&lt;0,-(AX55-Uzman_D!$I$21),AX55-Uzman_D!$I$21)*0.1+IF(AY55-Uzman_D!$J$21&lt;0,-(AY55-Uzman_D!$J$21),AY55-Uzman_D!$J$21)*0.1)+IF(ROUND((IF(BA55-Uzman_D!$L$21&lt;0,-(BA55-Uzman_D!$L$21),BA55-Uzman_D!$L$21)*2),0)/2=IF(BA55-Uzman_D!$L$21&lt;0,-(BA55-Uzman_D!$L$21),BA55-Uzman_D!$L$21),(ROUND((IF(BA55-Uzman_D!$L$21&lt;0,-(BA55-Uzman_D!$L$21),BA55-Uzman_D!$L$21)*2),0)/1*0.1),0)+IF(BB55-Uzman_D!$M$21&lt;0,-(BB55-Uzman_D!$M$21),BB55-Uzman_D!$M$21)*1)</f>
        <v>-0.10000000000000009</v>
      </c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70"/>
      <c r="BO55" s="70"/>
      <c r="BP55" s="71">
        <f>1-(SUM(IF(BD55-Uzman_D!$B$22&lt;0,-(BD55-Uzman_D!$B$22),BD55-Uzman_D!$B$22)*0.1+IF(BE55-Uzman_D!$C$22&lt;0,-(BE55-Uzman_D!$C$22),BE55-Uzman_D!$C$22)*0.1+IF(BF55-Uzman_D!$D$22&lt;0,-(BF55-Uzman_D!$D$22),BF55-Uzman_D!$D$22)*0.1+IF(BG55-Uzman_D!$E$22&lt;0,-(BG55-Uzman_D!$E$22),BG55-Uzman_D!$E$22)*0.1+IF(BH55-Uzman_D!$F$22&lt;0,-(BH55-Uzman_D!$F$22),BH55-Uzman_D!$F$22)*0.1+IF(BI55-Uzman_D!$G$22&lt;0,-(BI55-Uzman_D!$G$22),BI55-Uzman_D!$G$22)*0.1+IF(BJ55-Uzman_D!$H$22&lt;0,-(BJ55-Uzman_D!$H$22),BJ55-Uzman_D!$H$22)*0.1+IF(BK55-Uzman_D!$I$22&lt;0,-(BK55-Uzman_D!$I$22),BK55-Uzman_D!$I$22)*0.1+IF(BL55-Uzman_D!$J$22&lt;0,-(BL55-Uzman_D!$J$22),BL55-Uzman_D!$J$22)*0.1)+IF(ROUND((IF(BN55-Uzman_D!$L$22&lt;0,-(BN55-Uzman_D!$L$22),BN55-Uzman_D!$L$22)*2),0)/2=IF(BN55-Uzman_D!$L$22&lt;0,-(BN55-Uzman_D!$L$22),BN55-Uzman_D!$L$22),(ROUND((IF(BN55-Uzman_D!$L$22&lt;0,-(BN55-Uzman_D!$L$22),BN55-Uzman_D!$L$22)*2),0)/1*0.1),0)+IF(BO55-Uzman_D!$M$22&lt;0,-(BO55-Uzman_D!$M$22),BO55-Uzman_D!$M$22)*1)</f>
        <v>-0.10000000000000009</v>
      </c>
      <c r="BQ55" s="72">
        <f t="shared" si="1"/>
        <v>-0.28000000000000014</v>
      </c>
    </row>
    <row r="56" spans="1:69" ht="15" customHeight="1" x14ac:dyDescent="0.45">
      <c r="A56" s="54">
        <v>53</v>
      </c>
      <c r="B56" s="170">
        <f>Hakemler!B56</f>
        <v>0</v>
      </c>
      <c r="C56" s="170">
        <f>Hakemler!C56</f>
        <v>0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70"/>
      <c r="O56" s="70"/>
      <c r="P56" s="71">
        <f>1-(SUM(IF(D56-Uzman_D!$B$18&lt;0,-(D56-Uzman_D!$B$18),D56-Uzman_D!$B$18)*0.1+IF(E56-Uzman_D!$C$18&lt;0,-(E56-Uzman_D!$C$18),E56-Uzman_D!$C$18)*0.1+IF(F56-Uzman_D!$D$18&lt;0,-(F56-Uzman_D!$D$18),F56-Uzman_D!$D$18)*0.1+IF(G56-Uzman_D!$E$18&lt;0,-(G56-Uzman_D!$E$18),G56-Uzman_D!$E$18)*0.1+IF(H56-Uzman_D!$F$18&lt;0,-(H56-Uzman_D!$F$18),H56-Uzman_D!$F$18)*0.1+IF(I56-Uzman_D!$G$18&lt;0,-(I56-Uzman_D!$G$18),I56-Uzman_D!$G$18)*0.1+IF(J56-Uzman_D!$H$18&lt;0,-(J56-Uzman_D!$H$18),J56-Uzman_D!$H$18)*0.1+IF(K56-Uzman_D!$I$18&lt;0,-(K56-Uzman_D!$I$18),K56-Uzman_D!$I$18)*0.1+IF(L56-Uzman_D!$J$18&lt;0,-(L56-Uzman_D!$J$18),L56-Uzman_D!$J$18)*0.1)+IF(ROUND((IF(N56-Uzman_D!$L$18&lt;0,-(N56-Uzman_D!$L$18),N56-Uzman_D!$L$18)*2),0)/2=IF(N56-Uzman_D!$L$18&lt;0,-(N56-Uzman_D!$L$18),N56-Uzman_D!$L$18),(ROUND((IF(N56-Uzman_D!$L$18&lt;0,-(N56-Uzman_D!$L$18),N56-Uzman_D!$L$18)*2),0)/1*0.1),0)+IF(O56-Uzman_D!$M$18&lt;0,-(O56-Uzman_D!$M$18),O56-Uzman_D!$M$18)*1)</f>
        <v>-0.60000000000000009</v>
      </c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70"/>
      <c r="AB56" s="70"/>
      <c r="AC56" s="71">
        <f>1-(SUM(IF(Q56-Uzman_D!$B$19&lt;0,-(Q56-Uzman_D!$B$19),Q56-Uzman_D!$B$19)*0.1+IF(R56-Uzman_D!$C$19&lt;0,-(R56-Uzman_D!$C$19),R56-Uzman_D!$C$19)*0.1+IF(S56-Uzman_D!$D$19&lt;0,-(S56-Uzman_D!$D$19),S56-Uzman_D!$D$19)*0.1+IF(T56-Uzman_D!$E$19&lt;0,-(T56-Uzman_D!$E$19),T56-Uzman_D!$E$19)*0.1+IF(U56-Uzman_D!$F$19&lt;0,-(U56-Uzman_D!$F$19),U56-Uzman_D!$F$19)*0.1+IF(V56-Uzman_D!$G$19&lt;0,-(V56-Uzman_D!$G$19),V56-Uzman_D!$G$19)*0.1+IF(W56-Uzman_D!$H$19&lt;0,-(W56-Uzman_D!$H$19),W56-Uzman_D!$H$19)*0.1+IF(X56-Uzman_D!$I$19&lt;0,-(X56-Uzman_D!$I$19),X56-Uzman_D!$I$19)*0.1+IF(Y56-Uzman_D!$J$19&lt;0,-(Y56-Uzman_D!$J$19),Y56-Uzman_D!$J$19)*0.1)+IF(ROUND((IF(AA56-Uzman_D!$L$19&lt;0,-(AA56-Uzman_D!$L$19),AA56-Uzman_D!$L$19)*2),0)/2=IF(AA56-Uzman_D!$L$19&lt;0,-(AA56-Uzman_D!$L$19),AA56-Uzman_D!$L$19),(ROUND((IF(AA56-Uzman_D!$L$19&lt;0,-(AA56-Uzman_D!$L$19),AA56-Uzman_D!$L$19)*2),0)/1*0.1),0)+IF(AB56-Uzman_D!$M$19&lt;0,-(AB56-Uzman_D!$M$19),AB56-Uzman_D!$M$19)*1)</f>
        <v>-0.20000000000000018</v>
      </c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70"/>
      <c r="AO56" s="70"/>
      <c r="AP56" s="71">
        <f>1-(SUM(IF(AD56-Uzman_D!$B$20&lt;0,-(AD56-Uzman_D!$B$20),AD56-Uzman_D!$B$20)*0.1+IF(AE56-Uzman_D!$C$20&lt;0,-(AE56-Uzman_D!$C$20),AE56-Uzman_D!$C$20)*0.1+IF(AF56-Uzman_D!$D$20&lt;0,-(AF56-Uzman_D!$D$20),AF56-Uzman_D!$D$20)*0.1+IF(AG56-Uzman_D!$E$20&lt;0,-(AG56-Uzman_D!$E$20),AG56-Uzman_D!$E$20)*0.1+IF(AH56-Uzman_D!$F$20&lt;0,-(AH56-Uzman_D!$F$20),AH56-Uzman_D!$F$20)*0.1+IF(AI56-Uzman_D!$G$20&lt;0,-(AI56-Uzman_D!$G$20),AI56-Uzman_D!$G$20)*0.1+IF(AJ56-Uzman_D!$H$20&lt;0,-(AJ56-Uzman_D!$H$20),AJ56-Uzman_D!$H$20)*0.1+IF(AK56-Uzman_D!$I$20&lt;0,-(AK56-Uzman_D!$I$20),AK56-Uzman_D!$I$20)*0.1+IF(AL56-Uzman_D!$J$20&lt;0,-(AL56-Uzman_D!$J$20),AL56-Uzman_D!$J$20)*0.1)+IF(ROUND((IF(AN56-Uzman_D!$L$20&lt;0,-(AN56-Uzman_D!$L$20),AN56-Uzman_D!$L$20)*2),0)/2=IF(AN56-Uzman_D!$L$20&lt;0,-(AN56-Uzman_D!$L$20),AN56-Uzman_D!$L$20),(ROUND((IF(AN56-Uzman_D!$L$20&lt;0,-(AN56-Uzman_D!$L$20),AN56-Uzman_D!$L$20)*2),0)/1*0.1),0)+IF(AO56-Uzman_D!$M$20&lt;0,-(AO56-Uzman_D!$M$20),AO56-Uzman_D!$M$20)*1)</f>
        <v>-0.40000000000000013</v>
      </c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70"/>
      <c r="BB56" s="70"/>
      <c r="BC56" s="71">
        <f>1-(SUM(IF(AQ56-Uzman_D!$B$21&lt;0,-(AQ56-Uzman_D!$B$21),AQ56-Uzman_D!$B$21)*0.1+IF(AR56-Uzman_D!$C$21&lt;0,-(AR56-Uzman_D!$C$21),AR56-Uzman_D!$C$21)*0.1+IF(AS56-Uzman_D!$D$21&lt;0,-(AS56-Uzman_D!$D$21),AS56-Uzman_D!$D$21)*0.1+IF(AT56-Uzman_D!$E$21&lt;0,-(AT56-Uzman_D!$E$21),AT56-Uzman_D!$E$21)*0.1+IF(AU56-Uzman_D!$F$21&lt;0,-(AU56-Uzman_D!$F$21),AU56-Uzman_D!$F$21)*0.1+IF(AV56-Uzman_D!$G$21&lt;0,-(AV56-Uzman_D!$G$21),AV56-Uzman_D!$G$21)*0.1+IF(AW56-Uzman_D!$H$21&lt;0,-(AW56-Uzman_D!$H$21),AW56-Uzman_D!$H$21)*0.1+IF(AX56-Uzman_D!$I$21&lt;0,-(AX56-Uzman_D!$I$21),AX56-Uzman_D!$I$21)*0.1+IF(AY56-Uzman_D!$J$21&lt;0,-(AY56-Uzman_D!$J$21),AY56-Uzman_D!$J$21)*0.1)+IF(ROUND((IF(BA56-Uzman_D!$L$21&lt;0,-(BA56-Uzman_D!$L$21),BA56-Uzman_D!$L$21)*2),0)/2=IF(BA56-Uzman_D!$L$21&lt;0,-(BA56-Uzman_D!$L$21),BA56-Uzman_D!$L$21),(ROUND((IF(BA56-Uzman_D!$L$21&lt;0,-(BA56-Uzman_D!$L$21),BA56-Uzman_D!$L$21)*2),0)/1*0.1),0)+IF(BB56-Uzman_D!$M$21&lt;0,-(BB56-Uzman_D!$M$21),BB56-Uzman_D!$M$21)*1)</f>
        <v>-0.10000000000000009</v>
      </c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70"/>
      <c r="BO56" s="70"/>
      <c r="BP56" s="71">
        <f>1-(SUM(IF(BD56-Uzman_D!$B$22&lt;0,-(BD56-Uzman_D!$B$22),BD56-Uzman_D!$B$22)*0.1+IF(BE56-Uzman_D!$C$22&lt;0,-(BE56-Uzman_D!$C$22),BE56-Uzman_D!$C$22)*0.1+IF(BF56-Uzman_D!$D$22&lt;0,-(BF56-Uzman_D!$D$22),BF56-Uzman_D!$D$22)*0.1+IF(BG56-Uzman_D!$E$22&lt;0,-(BG56-Uzman_D!$E$22),BG56-Uzman_D!$E$22)*0.1+IF(BH56-Uzman_D!$F$22&lt;0,-(BH56-Uzman_D!$F$22),BH56-Uzman_D!$F$22)*0.1+IF(BI56-Uzman_D!$G$22&lt;0,-(BI56-Uzman_D!$G$22),BI56-Uzman_D!$G$22)*0.1+IF(BJ56-Uzman_D!$H$22&lt;0,-(BJ56-Uzman_D!$H$22),BJ56-Uzman_D!$H$22)*0.1+IF(BK56-Uzman_D!$I$22&lt;0,-(BK56-Uzman_D!$I$22),BK56-Uzman_D!$I$22)*0.1+IF(BL56-Uzman_D!$J$22&lt;0,-(BL56-Uzman_D!$J$22),BL56-Uzman_D!$J$22)*0.1)+IF(ROUND((IF(BN56-Uzman_D!$L$22&lt;0,-(BN56-Uzman_D!$L$22),BN56-Uzman_D!$L$22)*2),0)/2=IF(BN56-Uzman_D!$L$22&lt;0,-(BN56-Uzman_D!$L$22),BN56-Uzman_D!$L$22),(ROUND((IF(BN56-Uzman_D!$L$22&lt;0,-(BN56-Uzman_D!$L$22),BN56-Uzman_D!$L$22)*2),0)/1*0.1),0)+IF(BO56-Uzman_D!$M$22&lt;0,-(BO56-Uzman_D!$M$22),BO56-Uzman_D!$M$22)*1)</f>
        <v>-0.10000000000000009</v>
      </c>
      <c r="BQ56" s="72">
        <f t="shared" si="1"/>
        <v>-0.28000000000000014</v>
      </c>
    </row>
    <row r="57" spans="1:69" ht="15" customHeight="1" x14ac:dyDescent="0.45">
      <c r="A57" s="54">
        <v>54</v>
      </c>
      <c r="B57" s="170">
        <f>Hakemler!B57</f>
        <v>0</v>
      </c>
      <c r="C57" s="170">
        <f>Hakemler!C57</f>
        <v>0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70"/>
      <c r="O57" s="70"/>
      <c r="P57" s="71">
        <f>1-(SUM(IF(D57-Uzman_D!$B$18&lt;0,-(D57-Uzman_D!$B$18),D57-Uzman_D!$B$18)*0.1+IF(E57-Uzman_D!$C$18&lt;0,-(E57-Uzman_D!$C$18),E57-Uzman_D!$C$18)*0.1+IF(F57-Uzman_D!$D$18&lt;0,-(F57-Uzman_D!$D$18),F57-Uzman_D!$D$18)*0.1+IF(G57-Uzman_D!$E$18&lt;0,-(G57-Uzman_D!$E$18),G57-Uzman_D!$E$18)*0.1+IF(H57-Uzman_D!$F$18&lt;0,-(H57-Uzman_D!$F$18),H57-Uzman_D!$F$18)*0.1+IF(I57-Uzman_D!$G$18&lt;0,-(I57-Uzman_D!$G$18),I57-Uzman_D!$G$18)*0.1+IF(J57-Uzman_D!$H$18&lt;0,-(J57-Uzman_D!$H$18),J57-Uzman_D!$H$18)*0.1+IF(K57-Uzman_D!$I$18&lt;0,-(K57-Uzman_D!$I$18),K57-Uzman_D!$I$18)*0.1+IF(L57-Uzman_D!$J$18&lt;0,-(L57-Uzman_D!$J$18),L57-Uzman_D!$J$18)*0.1)+IF(ROUND((IF(N57-Uzman_D!$L$18&lt;0,-(N57-Uzman_D!$L$18),N57-Uzman_D!$L$18)*2),0)/2=IF(N57-Uzman_D!$L$18&lt;0,-(N57-Uzman_D!$L$18),N57-Uzman_D!$L$18),(ROUND((IF(N57-Uzman_D!$L$18&lt;0,-(N57-Uzman_D!$L$18),N57-Uzman_D!$L$18)*2),0)/1*0.1),0)+IF(O57-Uzman_D!$M$18&lt;0,-(O57-Uzman_D!$M$18),O57-Uzman_D!$M$18)*1)</f>
        <v>-0.60000000000000009</v>
      </c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70"/>
      <c r="AB57" s="70"/>
      <c r="AC57" s="71">
        <f>1-(SUM(IF(Q57-Uzman_D!$B$19&lt;0,-(Q57-Uzman_D!$B$19),Q57-Uzman_D!$B$19)*0.1+IF(R57-Uzman_D!$C$19&lt;0,-(R57-Uzman_D!$C$19),R57-Uzman_D!$C$19)*0.1+IF(S57-Uzman_D!$D$19&lt;0,-(S57-Uzman_D!$D$19),S57-Uzman_D!$D$19)*0.1+IF(T57-Uzman_D!$E$19&lt;0,-(T57-Uzman_D!$E$19),T57-Uzman_D!$E$19)*0.1+IF(U57-Uzman_D!$F$19&lt;0,-(U57-Uzman_D!$F$19),U57-Uzman_D!$F$19)*0.1+IF(V57-Uzman_D!$G$19&lt;0,-(V57-Uzman_D!$G$19),V57-Uzman_D!$G$19)*0.1+IF(W57-Uzman_D!$H$19&lt;0,-(W57-Uzman_D!$H$19),W57-Uzman_D!$H$19)*0.1+IF(X57-Uzman_D!$I$19&lt;0,-(X57-Uzman_D!$I$19),X57-Uzman_D!$I$19)*0.1+IF(Y57-Uzman_D!$J$19&lt;0,-(Y57-Uzman_D!$J$19),Y57-Uzman_D!$J$19)*0.1)+IF(ROUND((IF(AA57-Uzman_D!$L$19&lt;0,-(AA57-Uzman_D!$L$19),AA57-Uzman_D!$L$19)*2),0)/2=IF(AA57-Uzman_D!$L$19&lt;0,-(AA57-Uzman_D!$L$19),AA57-Uzman_D!$L$19),(ROUND((IF(AA57-Uzman_D!$L$19&lt;0,-(AA57-Uzman_D!$L$19),AA57-Uzman_D!$L$19)*2),0)/1*0.1),0)+IF(AB57-Uzman_D!$M$19&lt;0,-(AB57-Uzman_D!$M$19),AB57-Uzman_D!$M$19)*1)</f>
        <v>-0.20000000000000018</v>
      </c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70"/>
      <c r="AO57" s="70"/>
      <c r="AP57" s="71">
        <f>1-(SUM(IF(AD57-Uzman_D!$B$20&lt;0,-(AD57-Uzman_D!$B$20),AD57-Uzman_D!$B$20)*0.1+IF(AE57-Uzman_D!$C$20&lt;0,-(AE57-Uzman_D!$C$20),AE57-Uzman_D!$C$20)*0.1+IF(AF57-Uzman_D!$D$20&lt;0,-(AF57-Uzman_D!$D$20),AF57-Uzman_D!$D$20)*0.1+IF(AG57-Uzman_D!$E$20&lt;0,-(AG57-Uzman_D!$E$20),AG57-Uzman_D!$E$20)*0.1+IF(AH57-Uzman_D!$F$20&lt;0,-(AH57-Uzman_D!$F$20),AH57-Uzman_D!$F$20)*0.1+IF(AI57-Uzman_D!$G$20&lt;0,-(AI57-Uzman_D!$G$20),AI57-Uzman_D!$G$20)*0.1+IF(AJ57-Uzman_D!$H$20&lt;0,-(AJ57-Uzman_D!$H$20),AJ57-Uzman_D!$H$20)*0.1+IF(AK57-Uzman_D!$I$20&lt;0,-(AK57-Uzman_D!$I$20),AK57-Uzman_D!$I$20)*0.1+IF(AL57-Uzman_D!$J$20&lt;0,-(AL57-Uzman_D!$J$20),AL57-Uzman_D!$J$20)*0.1)+IF(ROUND((IF(AN57-Uzman_D!$L$20&lt;0,-(AN57-Uzman_D!$L$20),AN57-Uzman_D!$L$20)*2),0)/2=IF(AN57-Uzman_D!$L$20&lt;0,-(AN57-Uzman_D!$L$20),AN57-Uzman_D!$L$20),(ROUND((IF(AN57-Uzman_D!$L$20&lt;0,-(AN57-Uzman_D!$L$20),AN57-Uzman_D!$L$20)*2),0)/1*0.1),0)+IF(AO57-Uzman_D!$M$20&lt;0,-(AO57-Uzman_D!$M$20),AO57-Uzman_D!$M$20)*1)</f>
        <v>-0.40000000000000013</v>
      </c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70"/>
      <c r="BB57" s="70"/>
      <c r="BC57" s="71">
        <f>1-(SUM(IF(AQ57-Uzman_D!$B$21&lt;0,-(AQ57-Uzman_D!$B$21),AQ57-Uzman_D!$B$21)*0.1+IF(AR57-Uzman_D!$C$21&lt;0,-(AR57-Uzman_D!$C$21),AR57-Uzman_D!$C$21)*0.1+IF(AS57-Uzman_D!$D$21&lt;0,-(AS57-Uzman_D!$D$21),AS57-Uzman_D!$D$21)*0.1+IF(AT57-Uzman_D!$E$21&lt;0,-(AT57-Uzman_D!$E$21),AT57-Uzman_D!$E$21)*0.1+IF(AU57-Uzman_D!$F$21&lt;0,-(AU57-Uzman_D!$F$21),AU57-Uzman_D!$F$21)*0.1+IF(AV57-Uzman_D!$G$21&lt;0,-(AV57-Uzman_D!$G$21),AV57-Uzman_D!$G$21)*0.1+IF(AW57-Uzman_D!$H$21&lt;0,-(AW57-Uzman_D!$H$21),AW57-Uzman_D!$H$21)*0.1+IF(AX57-Uzman_D!$I$21&lt;0,-(AX57-Uzman_D!$I$21),AX57-Uzman_D!$I$21)*0.1+IF(AY57-Uzman_D!$J$21&lt;0,-(AY57-Uzman_D!$J$21),AY57-Uzman_D!$J$21)*0.1)+IF(ROUND((IF(BA57-Uzman_D!$L$21&lt;0,-(BA57-Uzman_D!$L$21),BA57-Uzman_D!$L$21)*2),0)/2=IF(BA57-Uzman_D!$L$21&lt;0,-(BA57-Uzman_D!$L$21),BA57-Uzman_D!$L$21),(ROUND((IF(BA57-Uzman_D!$L$21&lt;0,-(BA57-Uzman_D!$L$21),BA57-Uzman_D!$L$21)*2),0)/1*0.1),0)+IF(BB57-Uzman_D!$M$21&lt;0,-(BB57-Uzman_D!$M$21),BB57-Uzman_D!$M$21)*1)</f>
        <v>-0.10000000000000009</v>
      </c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70"/>
      <c r="BO57" s="70"/>
      <c r="BP57" s="71">
        <f>1-(SUM(IF(BD57-Uzman_D!$B$22&lt;0,-(BD57-Uzman_D!$B$22),BD57-Uzman_D!$B$22)*0.1+IF(BE57-Uzman_D!$C$22&lt;0,-(BE57-Uzman_D!$C$22),BE57-Uzman_D!$C$22)*0.1+IF(BF57-Uzman_D!$D$22&lt;0,-(BF57-Uzman_D!$D$22),BF57-Uzman_D!$D$22)*0.1+IF(BG57-Uzman_D!$E$22&lt;0,-(BG57-Uzman_D!$E$22),BG57-Uzman_D!$E$22)*0.1+IF(BH57-Uzman_D!$F$22&lt;0,-(BH57-Uzman_D!$F$22),BH57-Uzman_D!$F$22)*0.1+IF(BI57-Uzman_D!$G$22&lt;0,-(BI57-Uzman_D!$G$22),BI57-Uzman_D!$G$22)*0.1+IF(BJ57-Uzman_D!$H$22&lt;0,-(BJ57-Uzman_D!$H$22),BJ57-Uzman_D!$H$22)*0.1+IF(BK57-Uzman_D!$I$22&lt;0,-(BK57-Uzman_D!$I$22),BK57-Uzman_D!$I$22)*0.1+IF(BL57-Uzman_D!$J$22&lt;0,-(BL57-Uzman_D!$J$22),BL57-Uzman_D!$J$22)*0.1)+IF(ROUND((IF(BN57-Uzman_D!$L$22&lt;0,-(BN57-Uzman_D!$L$22),BN57-Uzman_D!$L$22)*2),0)/2=IF(BN57-Uzman_D!$L$22&lt;0,-(BN57-Uzman_D!$L$22),BN57-Uzman_D!$L$22),(ROUND((IF(BN57-Uzman_D!$L$22&lt;0,-(BN57-Uzman_D!$L$22),BN57-Uzman_D!$L$22)*2),0)/1*0.1),0)+IF(BO57-Uzman_D!$M$22&lt;0,-(BO57-Uzman_D!$M$22),BO57-Uzman_D!$M$22)*1)</f>
        <v>-0.10000000000000009</v>
      </c>
      <c r="BQ57" s="72">
        <f t="shared" si="1"/>
        <v>-0.28000000000000014</v>
      </c>
    </row>
    <row r="58" spans="1:69" ht="15" customHeight="1" x14ac:dyDescent="0.45">
      <c r="A58" s="54">
        <v>55</v>
      </c>
      <c r="B58" s="170">
        <f>Hakemler!B58</f>
        <v>0</v>
      </c>
      <c r="C58" s="170">
        <f>Hakemler!C58</f>
        <v>0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70"/>
      <c r="O58" s="70"/>
      <c r="P58" s="71">
        <f>1-(SUM(IF(D58-Uzman_D!$B$18&lt;0,-(D58-Uzman_D!$B$18),D58-Uzman_D!$B$18)*0.1+IF(E58-Uzman_D!$C$18&lt;0,-(E58-Uzman_D!$C$18),E58-Uzman_D!$C$18)*0.1+IF(F58-Uzman_D!$D$18&lt;0,-(F58-Uzman_D!$D$18),F58-Uzman_D!$D$18)*0.1+IF(G58-Uzman_D!$E$18&lt;0,-(G58-Uzman_D!$E$18),G58-Uzman_D!$E$18)*0.1+IF(H58-Uzman_D!$F$18&lt;0,-(H58-Uzman_D!$F$18),H58-Uzman_D!$F$18)*0.1+IF(I58-Uzman_D!$G$18&lt;0,-(I58-Uzman_D!$G$18),I58-Uzman_D!$G$18)*0.1+IF(J58-Uzman_D!$H$18&lt;0,-(J58-Uzman_D!$H$18),J58-Uzman_D!$H$18)*0.1+IF(K58-Uzman_D!$I$18&lt;0,-(K58-Uzman_D!$I$18),K58-Uzman_D!$I$18)*0.1+IF(L58-Uzman_D!$J$18&lt;0,-(L58-Uzman_D!$J$18),L58-Uzman_D!$J$18)*0.1)+IF(ROUND((IF(N58-Uzman_D!$L$18&lt;0,-(N58-Uzman_D!$L$18),N58-Uzman_D!$L$18)*2),0)/2=IF(N58-Uzman_D!$L$18&lt;0,-(N58-Uzman_D!$L$18),N58-Uzman_D!$L$18),(ROUND((IF(N58-Uzman_D!$L$18&lt;0,-(N58-Uzman_D!$L$18),N58-Uzman_D!$L$18)*2),0)/1*0.1),0)+IF(O58-Uzman_D!$M$18&lt;0,-(O58-Uzman_D!$M$18),O58-Uzman_D!$M$18)*1)</f>
        <v>-0.60000000000000009</v>
      </c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70"/>
      <c r="AB58" s="70"/>
      <c r="AC58" s="71">
        <f>1-(SUM(IF(Q58-Uzman_D!$B$19&lt;0,-(Q58-Uzman_D!$B$19),Q58-Uzman_D!$B$19)*0.1+IF(R58-Uzman_D!$C$19&lt;0,-(R58-Uzman_D!$C$19),R58-Uzman_D!$C$19)*0.1+IF(S58-Uzman_D!$D$19&lt;0,-(S58-Uzman_D!$D$19),S58-Uzman_D!$D$19)*0.1+IF(T58-Uzman_D!$E$19&lt;0,-(T58-Uzman_D!$E$19),T58-Uzman_D!$E$19)*0.1+IF(U58-Uzman_D!$F$19&lt;0,-(U58-Uzman_D!$F$19),U58-Uzman_D!$F$19)*0.1+IF(V58-Uzman_D!$G$19&lt;0,-(V58-Uzman_D!$G$19),V58-Uzman_D!$G$19)*0.1+IF(W58-Uzman_D!$H$19&lt;0,-(W58-Uzman_D!$H$19),W58-Uzman_D!$H$19)*0.1+IF(X58-Uzman_D!$I$19&lt;0,-(X58-Uzman_D!$I$19),X58-Uzman_D!$I$19)*0.1+IF(Y58-Uzman_D!$J$19&lt;0,-(Y58-Uzman_D!$J$19),Y58-Uzman_D!$J$19)*0.1)+IF(ROUND((IF(AA58-Uzman_D!$L$19&lt;0,-(AA58-Uzman_D!$L$19),AA58-Uzman_D!$L$19)*2),0)/2=IF(AA58-Uzman_D!$L$19&lt;0,-(AA58-Uzman_D!$L$19),AA58-Uzman_D!$L$19),(ROUND((IF(AA58-Uzman_D!$L$19&lt;0,-(AA58-Uzman_D!$L$19),AA58-Uzman_D!$L$19)*2),0)/1*0.1),0)+IF(AB58-Uzman_D!$M$19&lt;0,-(AB58-Uzman_D!$M$19),AB58-Uzman_D!$M$19)*1)</f>
        <v>-0.20000000000000018</v>
      </c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70"/>
      <c r="AO58" s="70"/>
      <c r="AP58" s="71">
        <f>1-(SUM(IF(AD58-Uzman_D!$B$20&lt;0,-(AD58-Uzman_D!$B$20),AD58-Uzman_D!$B$20)*0.1+IF(AE58-Uzman_D!$C$20&lt;0,-(AE58-Uzman_D!$C$20),AE58-Uzman_D!$C$20)*0.1+IF(AF58-Uzman_D!$D$20&lt;0,-(AF58-Uzman_D!$D$20),AF58-Uzman_D!$D$20)*0.1+IF(AG58-Uzman_D!$E$20&lt;0,-(AG58-Uzman_D!$E$20),AG58-Uzman_D!$E$20)*0.1+IF(AH58-Uzman_D!$F$20&lt;0,-(AH58-Uzman_D!$F$20),AH58-Uzman_D!$F$20)*0.1+IF(AI58-Uzman_D!$G$20&lt;0,-(AI58-Uzman_D!$G$20),AI58-Uzman_D!$G$20)*0.1+IF(AJ58-Uzman_D!$H$20&lt;0,-(AJ58-Uzman_D!$H$20),AJ58-Uzman_D!$H$20)*0.1+IF(AK58-Uzman_D!$I$20&lt;0,-(AK58-Uzman_D!$I$20),AK58-Uzman_D!$I$20)*0.1+IF(AL58-Uzman_D!$J$20&lt;0,-(AL58-Uzman_D!$J$20),AL58-Uzman_D!$J$20)*0.1)+IF(ROUND((IF(AN58-Uzman_D!$L$20&lt;0,-(AN58-Uzman_D!$L$20),AN58-Uzman_D!$L$20)*2),0)/2=IF(AN58-Uzman_D!$L$20&lt;0,-(AN58-Uzman_D!$L$20),AN58-Uzman_D!$L$20),(ROUND((IF(AN58-Uzman_D!$L$20&lt;0,-(AN58-Uzman_D!$L$20),AN58-Uzman_D!$L$20)*2),0)/1*0.1),0)+IF(AO58-Uzman_D!$M$20&lt;0,-(AO58-Uzman_D!$M$20),AO58-Uzman_D!$M$20)*1)</f>
        <v>-0.40000000000000013</v>
      </c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70"/>
      <c r="BB58" s="70"/>
      <c r="BC58" s="71">
        <f>1-(SUM(IF(AQ58-Uzman_D!$B$21&lt;0,-(AQ58-Uzman_D!$B$21),AQ58-Uzman_D!$B$21)*0.1+IF(AR58-Uzman_D!$C$21&lt;0,-(AR58-Uzman_D!$C$21),AR58-Uzman_D!$C$21)*0.1+IF(AS58-Uzman_D!$D$21&lt;0,-(AS58-Uzman_D!$D$21),AS58-Uzman_D!$D$21)*0.1+IF(AT58-Uzman_D!$E$21&lt;0,-(AT58-Uzman_D!$E$21),AT58-Uzman_D!$E$21)*0.1+IF(AU58-Uzman_D!$F$21&lt;0,-(AU58-Uzman_D!$F$21),AU58-Uzman_D!$F$21)*0.1+IF(AV58-Uzman_D!$G$21&lt;0,-(AV58-Uzman_D!$G$21),AV58-Uzman_D!$G$21)*0.1+IF(AW58-Uzman_D!$H$21&lt;0,-(AW58-Uzman_D!$H$21),AW58-Uzman_D!$H$21)*0.1+IF(AX58-Uzman_D!$I$21&lt;0,-(AX58-Uzman_D!$I$21),AX58-Uzman_D!$I$21)*0.1+IF(AY58-Uzman_D!$J$21&lt;0,-(AY58-Uzman_D!$J$21),AY58-Uzman_D!$J$21)*0.1)+IF(ROUND((IF(BA58-Uzman_D!$L$21&lt;0,-(BA58-Uzman_D!$L$21),BA58-Uzman_D!$L$21)*2),0)/2=IF(BA58-Uzman_D!$L$21&lt;0,-(BA58-Uzman_D!$L$21),BA58-Uzman_D!$L$21),(ROUND((IF(BA58-Uzman_D!$L$21&lt;0,-(BA58-Uzman_D!$L$21),BA58-Uzman_D!$L$21)*2),0)/1*0.1),0)+IF(BB58-Uzman_D!$M$21&lt;0,-(BB58-Uzman_D!$M$21),BB58-Uzman_D!$M$21)*1)</f>
        <v>-0.10000000000000009</v>
      </c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70"/>
      <c r="BO58" s="70"/>
      <c r="BP58" s="71">
        <f>1-(SUM(IF(BD58-Uzman_D!$B$22&lt;0,-(BD58-Uzman_D!$B$22),BD58-Uzman_D!$B$22)*0.1+IF(BE58-Uzman_D!$C$22&lt;0,-(BE58-Uzman_D!$C$22),BE58-Uzman_D!$C$22)*0.1+IF(BF58-Uzman_D!$D$22&lt;0,-(BF58-Uzman_D!$D$22),BF58-Uzman_D!$D$22)*0.1+IF(BG58-Uzman_D!$E$22&lt;0,-(BG58-Uzman_D!$E$22),BG58-Uzman_D!$E$22)*0.1+IF(BH58-Uzman_D!$F$22&lt;0,-(BH58-Uzman_D!$F$22),BH58-Uzman_D!$F$22)*0.1+IF(BI58-Uzman_D!$G$22&lt;0,-(BI58-Uzman_D!$G$22),BI58-Uzman_D!$G$22)*0.1+IF(BJ58-Uzman_D!$H$22&lt;0,-(BJ58-Uzman_D!$H$22),BJ58-Uzman_D!$H$22)*0.1+IF(BK58-Uzman_D!$I$22&lt;0,-(BK58-Uzman_D!$I$22),BK58-Uzman_D!$I$22)*0.1+IF(BL58-Uzman_D!$J$22&lt;0,-(BL58-Uzman_D!$J$22),BL58-Uzman_D!$J$22)*0.1)+IF(ROUND((IF(BN58-Uzman_D!$L$22&lt;0,-(BN58-Uzman_D!$L$22),BN58-Uzman_D!$L$22)*2),0)/2=IF(BN58-Uzman_D!$L$22&lt;0,-(BN58-Uzman_D!$L$22),BN58-Uzman_D!$L$22),(ROUND((IF(BN58-Uzman_D!$L$22&lt;0,-(BN58-Uzman_D!$L$22),BN58-Uzman_D!$L$22)*2),0)/1*0.1),0)+IF(BO58-Uzman_D!$M$22&lt;0,-(BO58-Uzman_D!$M$22),BO58-Uzman_D!$M$22)*1)</f>
        <v>-0.10000000000000009</v>
      </c>
      <c r="BQ58" s="72">
        <f t="shared" si="1"/>
        <v>-0.28000000000000014</v>
      </c>
    </row>
    <row r="59" spans="1:69" ht="15" customHeight="1" x14ac:dyDescent="0.45">
      <c r="A59" s="54">
        <v>56</v>
      </c>
      <c r="B59" s="170">
        <f>Hakemler!B59</f>
        <v>0</v>
      </c>
      <c r="C59" s="170">
        <f>Hakemler!C59</f>
        <v>0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70"/>
      <c r="O59" s="70"/>
      <c r="P59" s="71">
        <f>1-(SUM(IF(D59-Uzman_D!$B$18&lt;0,-(D59-Uzman_D!$B$18),D59-Uzman_D!$B$18)*0.1+IF(E59-Uzman_D!$C$18&lt;0,-(E59-Uzman_D!$C$18),E59-Uzman_D!$C$18)*0.1+IF(F59-Uzman_D!$D$18&lt;0,-(F59-Uzman_D!$D$18),F59-Uzman_D!$D$18)*0.1+IF(G59-Uzman_D!$E$18&lt;0,-(G59-Uzman_D!$E$18),G59-Uzman_D!$E$18)*0.1+IF(H59-Uzman_D!$F$18&lt;0,-(H59-Uzman_D!$F$18),H59-Uzman_D!$F$18)*0.1+IF(I59-Uzman_D!$G$18&lt;0,-(I59-Uzman_D!$G$18),I59-Uzman_D!$G$18)*0.1+IF(J59-Uzman_D!$H$18&lt;0,-(J59-Uzman_D!$H$18),J59-Uzman_D!$H$18)*0.1+IF(K59-Uzman_D!$I$18&lt;0,-(K59-Uzman_D!$I$18),K59-Uzman_D!$I$18)*0.1+IF(L59-Uzman_D!$J$18&lt;0,-(L59-Uzman_D!$J$18),L59-Uzman_D!$J$18)*0.1)+IF(ROUND((IF(N59-Uzman_D!$L$18&lt;0,-(N59-Uzman_D!$L$18),N59-Uzman_D!$L$18)*2),0)/2=IF(N59-Uzman_D!$L$18&lt;0,-(N59-Uzman_D!$L$18),N59-Uzman_D!$L$18),(ROUND((IF(N59-Uzman_D!$L$18&lt;0,-(N59-Uzman_D!$L$18),N59-Uzman_D!$L$18)*2),0)/1*0.1),0)+IF(O59-Uzman_D!$M$18&lt;0,-(O59-Uzman_D!$M$18),O59-Uzman_D!$M$18)*1)</f>
        <v>-0.60000000000000009</v>
      </c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70"/>
      <c r="AB59" s="70"/>
      <c r="AC59" s="71">
        <f>1-(SUM(IF(Q59-Uzman_D!$B$19&lt;0,-(Q59-Uzman_D!$B$19),Q59-Uzman_D!$B$19)*0.1+IF(R59-Uzman_D!$C$19&lt;0,-(R59-Uzman_D!$C$19),R59-Uzman_D!$C$19)*0.1+IF(S59-Uzman_D!$D$19&lt;0,-(S59-Uzman_D!$D$19),S59-Uzman_D!$D$19)*0.1+IF(T59-Uzman_D!$E$19&lt;0,-(T59-Uzman_D!$E$19),T59-Uzman_D!$E$19)*0.1+IF(U59-Uzman_D!$F$19&lt;0,-(U59-Uzman_D!$F$19),U59-Uzman_D!$F$19)*0.1+IF(V59-Uzman_D!$G$19&lt;0,-(V59-Uzman_D!$G$19),V59-Uzman_D!$G$19)*0.1+IF(W59-Uzman_D!$H$19&lt;0,-(W59-Uzman_D!$H$19),W59-Uzman_D!$H$19)*0.1+IF(X59-Uzman_D!$I$19&lt;0,-(X59-Uzman_D!$I$19),X59-Uzman_D!$I$19)*0.1+IF(Y59-Uzman_D!$J$19&lt;0,-(Y59-Uzman_D!$J$19),Y59-Uzman_D!$J$19)*0.1)+IF(ROUND((IF(AA59-Uzman_D!$L$19&lt;0,-(AA59-Uzman_D!$L$19),AA59-Uzman_D!$L$19)*2),0)/2=IF(AA59-Uzman_D!$L$19&lt;0,-(AA59-Uzman_D!$L$19),AA59-Uzman_D!$L$19),(ROUND((IF(AA59-Uzman_D!$L$19&lt;0,-(AA59-Uzman_D!$L$19),AA59-Uzman_D!$L$19)*2),0)/1*0.1),0)+IF(AB59-Uzman_D!$M$19&lt;0,-(AB59-Uzman_D!$M$19),AB59-Uzman_D!$M$19)*1)</f>
        <v>-0.20000000000000018</v>
      </c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70"/>
      <c r="AO59" s="70"/>
      <c r="AP59" s="71">
        <f>1-(SUM(IF(AD59-Uzman_D!$B$20&lt;0,-(AD59-Uzman_D!$B$20),AD59-Uzman_D!$B$20)*0.1+IF(AE59-Uzman_D!$C$20&lt;0,-(AE59-Uzman_D!$C$20),AE59-Uzman_D!$C$20)*0.1+IF(AF59-Uzman_D!$D$20&lt;0,-(AF59-Uzman_D!$D$20),AF59-Uzman_D!$D$20)*0.1+IF(AG59-Uzman_D!$E$20&lt;0,-(AG59-Uzman_D!$E$20),AG59-Uzman_D!$E$20)*0.1+IF(AH59-Uzman_D!$F$20&lt;0,-(AH59-Uzman_D!$F$20),AH59-Uzman_D!$F$20)*0.1+IF(AI59-Uzman_D!$G$20&lt;0,-(AI59-Uzman_D!$G$20),AI59-Uzman_D!$G$20)*0.1+IF(AJ59-Uzman_D!$H$20&lt;0,-(AJ59-Uzman_D!$H$20),AJ59-Uzman_D!$H$20)*0.1+IF(AK59-Uzman_D!$I$20&lt;0,-(AK59-Uzman_D!$I$20),AK59-Uzman_D!$I$20)*0.1+IF(AL59-Uzman_D!$J$20&lt;0,-(AL59-Uzman_D!$J$20),AL59-Uzman_D!$J$20)*0.1)+IF(ROUND((IF(AN59-Uzman_D!$L$20&lt;0,-(AN59-Uzman_D!$L$20),AN59-Uzman_D!$L$20)*2),0)/2=IF(AN59-Uzman_D!$L$20&lt;0,-(AN59-Uzman_D!$L$20),AN59-Uzman_D!$L$20),(ROUND((IF(AN59-Uzman_D!$L$20&lt;0,-(AN59-Uzman_D!$L$20),AN59-Uzman_D!$L$20)*2),0)/1*0.1),0)+IF(AO59-Uzman_D!$M$20&lt;0,-(AO59-Uzman_D!$M$20),AO59-Uzman_D!$M$20)*1)</f>
        <v>-0.40000000000000013</v>
      </c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70"/>
      <c r="BB59" s="70"/>
      <c r="BC59" s="71">
        <f>1-(SUM(IF(AQ59-Uzman_D!$B$21&lt;0,-(AQ59-Uzman_D!$B$21),AQ59-Uzman_D!$B$21)*0.1+IF(AR59-Uzman_D!$C$21&lt;0,-(AR59-Uzman_D!$C$21),AR59-Uzman_D!$C$21)*0.1+IF(AS59-Uzman_D!$D$21&lt;0,-(AS59-Uzman_D!$D$21),AS59-Uzman_D!$D$21)*0.1+IF(AT59-Uzman_D!$E$21&lt;0,-(AT59-Uzman_D!$E$21),AT59-Uzman_D!$E$21)*0.1+IF(AU59-Uzman_D!$F$21&lt;0,-(AU59-Uzman_D!$F$21),AU59-Uzman_D!$F$21)*0.1+IF(AV59-Uzman_D!$G$21&lt;0,-(AV59-Uzman_D!$G$21),AV59-Uzman_D!$G$21)*0.1+IF(AW59-Uzman_D!$H$21&lt;0,-(AW59-Uzman_D!$H$21),AW59-Uzman_D!$H$21)*0.1+IF(AX59-Uzman_D!$I$21&lt;0,-(AX59-Uzman_D!$I$21),AX59-Uzman_D!$I$21)*0.1+IF(AY59-Uzman_D!$J$21&lt;0,-(AY59-Uzman_D!$J$21),AY59-Uzman_D!$J$21)*0.1)+IF(ROUND((IF(BA59-Uzman_D!$L$21&lt;0,-(BA59-Uzman_D!$L$21),BA59-Uzman_D!$L$21)*2),0)/2=IF(BA59-Uzman_D!$L$21&lt;0,-(BA59-Uzman_D!$L$21),BA59-Uzman_D!$L$21),(ROUND((IF(BA59-Uzman_D!$L$21&lt;0,-(BA59-Uzman_D!$L$21),BA59-Uzman_D!$L$21)*2),0)/1*0.1),0)+IF(BB59-Uzman_D!$M$21&lt;0,-(BB59-Uzman_D!$M$21),BB59-Uzman_D!$M$21)*1)</f>
        <v>-0.10000000000000009</v>
      </c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70"/>
      <c r="BO59" s="70"/>
      <c r="BP59" s="71">
        <f>1-(SUM(IF(BD59-Uzman_D!$B$22&lt;0,-(BD59-Uzman_D!$B$22),BD59-Uzman_D!$B$22)*0.1+IF(BE59-Uzman_D!$C$22&lt;0,-(BE59-Uzman_D!$C$22),BE59-Uzman_D!$C$22)*0.1+IF(BF59-Uzman_D!$D$22&lt;0,-(BF59-Uzman_D!$D$22),BF59-Uzman_D!$D$22)*0.1+IF(BG59-Uzman_D!$E$22&lt;0,-(BG59-Uzman_D!$E$22),BG59-Uzman_D!$E$22)*0.1+IF(BH59-Uzman_D!$F$22&lt;0,-(BH59-Uzman_D!$F$22),BH59-Uzman_D!$F$22)*0.1+IF(BI59-Uzman_D!$G$22&lt;0,-(BI59-Uzman_D!$G$22),BI59-Uzman_D!$G$22)*0.1+IF(BJ59-Uzman_D!$H$22&lt;0,-(BJ59-Uzman_D!$H$22),BJ59-Uzman_D!$H$22)*0.1+IF(BK59-Uzman_D!$I$22&lt;0,-(BK59-Uzman_D!$I$22),BK59-Uzman_D!$I$22)*0.1+IF(BL59-Uzman_D!$J$22&lt;0,-(BL59-Uzman_D!$J$22),BL59-Uzman_D!$J$22)*0.1)+IF(ROUND((IF(BN59-Uzman_D!$L$22&lt;0,-(BN59-Uzman_D!$L$22),BN59-Uzman_D!$L$22)*2),0)/2=IF(BN59-Uzman_D!$L$22&lt;0,-(BN59-Uzman_D!$L$22),BN59-Uzman_D!$L$22),(ROUND((IF(BN59-Uzman_D!$L$22&lt;0,-(BN59-Uzman_D!$L$22),BN59-Uzman_D!$L$22)*2),0)/1*0.1),0)+IF(BO59-Uzman_D!$M$22&lt;0,-(BO59-Uzman_D!$M$22),BO59-Uzman_D!$M$22)*1)</f>
        <v>-0.10000000000000009</v>
      </c>
      <c r="BQ59" s="72">
        <f t="shared" si="1"/>
        <v>-0.28000000000000014</v>
      </c>
    </row>
    <row r="60" spans="1:69" ht="15" customHeight="1" x14ac:dyDescent="0.45">
      <c r="A60" s="54">
        <v>57</v>
      </c>
      <c r="B60" s="170">
        <f>Hakemler!B60</f>
        <v>0</v>
      </c>
      <c r="C60" s="170">
        <f>Hakemler!C60</f>
        <v>0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70"/>
      <c r="O60" s="70"/>
      <c r="P60" s="71">
        <f>1-(SUM(IF(D60-Uzman_D!$B$18&lt;0,-(D60-Uzman_D!$B$18),D60-Uzman_D!$B$18)*0.1+IF(E60-Uzman_D!$C$18&lt;0,-(E60-Uzman_D!$C$18),E60-Uzman_D!$C$18)*0.1+IF(F60-Uzman_D!$D$18&lt;0,-(F60-Uzman_D!$D$18),F60-Uzman_D!$D$18)*0.1+IF(G60-Uzman_D!$E$18&lt;0,-(G60-Uzman_D!$E$18),G60-Uzman_D!$E$18)*0.1+IF(H60-Uzman_D!$F$18&lt;0,-(H60-Uzman_D!$F$18),H60-Uzman_D!$F$18)*0.1+IF(I60-Uzman_D!$G$18&lt;0,-(I60-Uzman_D!$G$18),I60-Uzman_D!$G$18)*0.1+IF(J60-Uzman_D!$H$18&lt;0,-(J60-Uzman_D!$H$18),J60-Uzman_D!$H$18)*0.1+IF(K60-Uzman_D!$I$18&lt;0,-(K60-Uzman_D!$I$18),K60-Uzman_D!$I$18)*0.1+IF(L60-Uzman_D!$J$18&lt;0,-(L60-Uzman_D!$J$18),L60-Uzman_D!$J$18)*0.1)+IF(ROUND((IF(N60-Uzman_D!$L$18&lt;0,-(N60-Uzman_D!$L$18),N60-Uzman_D!$L$18)*2),0)/2=IF(N60-Uzman_D!$L$18&lt;0,-(N60-Uzman_D!$L$18),N60-Uzman_D!$L$18),(ROUND((IF(N60-Uzman_D!$L$18&lt;0,-(N60-Uzman_D!$L$18),N60-Uzman_D!$L$18)*2),0)/1*0.1),0)+IF(O60-Uzman_D!$M$18&lt;0,-(O60-Uzman_D!$M$18),O60-Uzman_D!$M$18)*1)</f>
        <v>-0.60000000000000009</v>
      </c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70"/>
      <c r="AB60" s="70"/>
      <c r="AC60" s="71">
        <f>1-(SUM(IF(Q60-Uzman_D!$B$19&lt;0,-(Q60-Uzman_D!$B$19),Q60-Uzman_D!$B$19)*0.1+IF(R60-Uzman_D!$C$19&lt;0,-(R60-Uzman_D!$C$19),R60-Uzman_D!$C$19)*0.1+IF(S60-Uzman_D!$D$19&lt;0,-(S60-Uzman_D!$D$19),S60-Uzman_D!$D$19)*0.1+IF(T60-Uzman_D!$E$19&lt;0,-(T60-Uzman_D!$E$19),T60-Uzman_D!$E$19)*0.1+IF(U60-Uzman_D!$F$19&lt;0,-(U60-Uzman_D!$F$19),U60-Uzman_D!$F$19)*0.1+IF(V60-Uzman_D!$G$19&lt;0,-(V60-Uzman_D!$G$19),V60-Uzman_D!$G$19)*0.1+IF(W60-Uzman_D!$H$19&lt;0,-(W60-Uzman_D!$H$19),W60-Uzman_D!$H$19)*0.1+IF(X60-Uzman_D!$I$19&lt;0,-(X60-Uzman_D!$I$19),X60-Uzman_D!$I$19)*0.1+IF(Y60-Uzman_D!$J$19&lt;0,-(Y60-Uzman_D!$J$19),Y60-Uzman_D!$J$19)*0.1)+IF(ROUND((IF(AA60-Uzman_D!$L$19&lt;0,-(AA60-Uzman_D!$L$19),AA60-Uzman_D!$L$19)*2),0)/2=IF(AA60-Uzman_D!$L$19&lt;0,-(AA60-Uzman_D!$L$19),AA60-Uzman_D!$L$19),(ROUND((IF(AA60-Uzman_D!$L$19&lt;0,-(AA60-Uzman_D!$L$19),AA60-Uzman_D!$L$19)*2),0)/1*0.1),0)+IF(AB60-Uzman_D!$M$19&lt;0,-(AB60-Uzman_D!$M$19),AB60-Uzman_D!$M$19)*1)</f>
        <v>-0.20000000000000018</v>
      </c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70"/>
      <c r="AO60" s="70"/>
      <c r="AP60" s="71">
        <f>1-(SUM(IF(AD60-Uzman_D!$B$20&lt;0,-(AD60-Uzman_D!$B$20),AD60-Uzman_D!$B$20)*0.1+IF(AE60-Uzman_D!$C$20&lt;0,-(AE60-Uzman_D!$C$20),AE60-Uzman_D!$C$20)*0.1+IF(AF60-Uzman_D!$D$20&lt;0,-(AF60-Uzman_D!$D$20),AF60-Uzman_D!$D$20)*0.1+IF(AG60-Uzman_D!$E$20&lt;0,-(AG60-Uzman_D!$E$20),AG60-Uzman_D!$E$20)*0.1+IF(AH60-Uzman_D!$F$20&lt;0,-(AH60-Uzman_D!$F$20),AH60-Uzman_D!$F$20)*0.1+IF(AI60-Uzman_D!$G$20&lt;0,-(AI60-Uzman_D!$G$20),AI60-Uzman_D!$G$20)*0.1+IF(AJ60-Uzman_D!$H$20&lt;0,-(AJ60-Uzman_D!$H$20),AJ60-Uzman_D!$H$20)*0.1+IF(AK60-Uzman_D!$I$20&lt;0,-(AK60-Uzman_D!$I$20),AK60-Uzman_D!$I$20)*0.1+IF(AL60-Uzman_D!$J$20&lt;0,-(AL60-Uzman_D!$J$20),AL60-Uzman_D!$J$20)*0.1)+IF(ROUND((IF(AN60-Uzman_D!$L$20&lt;0,-(AN60-Uzman_D!$L$20),AN60-Uzman_D!$L$20)*2),0)/2=IF(AN60-Uzman_D!$L$20&lt;0,-(AN60-Uzman_D!$L$20),AN60-Uzman_D!$L$20),(ROUND((IF(AN60-Uzman_D!$L$20&lt;0,-(AN60-Uzman_D!$L$20),AN60-Uzman_D!$L$20)*2),0)/1*0.1),0)+IF(AO60-Uzman_D!$M$20&lt;0,-(AO60-Uzman_D!$M$20),AO60-Uzman_D!$M$20)*1)</f>
        <v>-0.40000000000000013</v>
      </c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70"/>
      <c r="BB60" s="70"/>
      <c r="BC60" s="71">
        <f>1-(SUM(IF(AQ60-Uzman_D!$B$21&lt;0,-(AQ60-Uzman_D!$B$21),AQ60-Uzman_D!$B$21)*0.1+IF(AR60-Uzman_D!$C$21&lt;0,-(AR60-Uzman_D!$C$21),AR60-Uzman_D!$C$21)*0.1+IF(AS60-Uzman_D!$D$21&lt;0,-(AS60-Uzman_D!$D$21),AS60-Uzman_D!$D$21)*0.1+IF(AT60-Uzman_D!$E$21&lt;0,-(AT60-Uzman_D!$E$21),AT60-Uzman_D!$E$21)*0.1+IF(AU60-Uzman_D!$F$21&lt;0,-(AU60-Uzman_D!$F$21),AU60-Uzman_D!$F$21)*0.1+IF(AV60-Uzman_D!$G$21&lt;0,-(AV60-Uzman_D!$G$21),AV60-Uzman_D!$G$21)*0.1+IF(AW60-Uzman_D!$H$21&lt;0,-(AW60-Uzman_D!$H$21),AW60-Uzman_D!$H$21)*0.1+IF(AX60-Uzman_D!$I$21&lt;0,-(AX60-Uzman_D!$I$21),AX60-Uzman_D!$I$21)*0.1+IF(AY60-Uzman_D!$J$21&lt;0,-(AY60-Uzman_D!$J$21),AY60-Uzman_D!$J$21)*0.1)+IF(ROUND((IF(BA60-Uzman_D!$L$21&lt;0,-(BA60-Uzman_D!$L$21),BA60-Uzman_D!$L$21)*2),0)/2=IF(BA60-Uzman_D!$L$21&lt;0,-(BA60-Uzman_D!$L$21),BA60-Uzman_D!$L$21),(ROUND((IF(BA60-Uzman_D!$L$21&lt;0,-(BA60-Uzman_D!$L$21),BA60-Uzman_D!$L$21)*2),0)/1*0.1),0)+IF(BB60-Uzman_D!$M$21&lt;0,-(BB60-Uzman_D!$M$21),BB60-Uzman_D!$M$21)*1)</f>
        <v>-0.10000000000000009</v>
      </c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70"/>
      <c r="BO60" s="70"/>
      <c r="BP60" s="71">
        <f>1-(SUM(IF(BD60-Uzman_D!$B$22&lt;0,-(BD60-Uzman_D!$B$22),BD60-Uzman_D!$B$22)*0.1+IF(BE60-Uzman_D!$C$22&lt;0,-(BE60-Uzman_D!$C$22),BE60-Uzman_D!$C$22)*0.1+IF(BF60-Uzman_D!$D$22&lt;0,-(BF60-Uzman_D!$D$22),BF60-Uzman_D!$D$22)*0.1+IF(BG60-Uzman_D!$E$22&lt;0,-(BG60-Uzman_D!$E$22),BG60-Uzman_D!$E$22)*0.1+IF(BH60-Uzman_D!$F$22&lt;0,-(BH60-Uzman_D!$F$22),BH60-Uzman_D!$F$22)*0.1+IF(BI60-Uzman_D!$G$22&lt;0,-(BI60-Uzman_D!$G$22),BI60-Uzman_D!$G$22)*0.1+IF(BJ60-Uzman_D!$H$22&lt;0,-(BJ60-Uzman_D!$H$22),BJ60-Uzman_D!$H$22)*0.1+IF(BK60-Uzman_D!$I$22&lt;0,-(BK60-Uzman_D!$I$22),BK60-Uzman_D!$I$22)*0.1+IF(BL60-Uzman_D!$J$22&lt;0,-(BL60-Uzman_D!$J$22),BL60-Uzman_D!$J$22)*0.1)+IF(ROUND((IF(BN60-Uzman_D!$L$22&lt;0,-(BN60-Uzman_D!$L$22),BN60-Uzman_D!$L$22)*2),0)/2=IF(BN60-Uzman_D!$L$22&lt;0,-(BN60-Uzman_D!$L$22),BN60-Uzman_D!$L$22),(ROUND((IF(BN60-Uzman_D!$L$22&lt;0,-(BN60-Uzman_D!$L$22),BN60-Uzman_D!$L$22)*2),0)/1*0.1),0)+IF(BO60-Uzman_D!$M$22&lt;0,-(BO60-Uzman_D!$M$22),BO60-Uzman_D!$M$22)*1)</f>
        <v>-0.10000000000000009</v>
      </c>
      <c r="BQ60" s="72">
        <f t="shared" si="1"/>
        <v>-0.28000000000000014</v>
      </c>
    </row>
    <row r="61" spans="1:69" ht="15" customHeight="1" x14ac:dyDescent="0.45">
      <c r="A61" s="54">
        <v>58</v>
      </c>
      <c r="B61" s="170">
        <f>Hakemler!B61</f>
        <v>0</v>
      </c>
      <c r="C61" s="170">
        <f>Hakemler!C61</f>
        <v>0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70"/>
      <c r="O61" s="70"/>
      <c r="P61" s="71">
        <f>1-(SUM(IF(D61-Uzman_D!$B$18&lt;0,-(D61-Uzman_D!$B$18),D61-Uzman_D!$B$18)*0.1+IF(E61-Uzman_D!$C$18&lt;0,-(E61-Uzman_D!$C$18),E61-Uzman_D!$C$18)*0.1+IF(F61-Uzman_D!$D$18&lt;0,-(F61-Uzman_D!$D$18),F61-Uzman_D!$D$18)*0.1+IF(G61-Uzman_D!$E$18&lt;0,-(G61-Uzman_D!$E$18),G61-Uzman_D!$E$18)*0.1+IF(H61-Uzman_D!$F$18&lt;0,-(H61-Uzman_D!$F$18),H61-Uzman_D!$F$18)*0.1+IF(I61-Uzman_D!$G$18&lt;0,-(I61-Uzman_D!$G$18),I61-Uzman_D!$G$18)*0.1+IF(J61-Uzman_D!$H$18&lt;0,-(J61-Uzman_D!$H$18),J61-Uzman_D!$H$18)*0.1+IF(K61-Uzman_D!$I$18&lt;0,-(K61-Uzman_D!$I$18),K61-Uzman_D!$I$18)*0.1+IF(L61-Uzman_D!$J$18&lt;0,-(L61-Uzman_D!$J$18),L61-Uzman_D!$J$18)*0.1)+IF(ROUND((IF(N61-Uzman_D!$L$18&lt;0,-(N61-Uzman_D!$L$18),N61-Uzman_D!$L$18)*2),0)/2=IF(N61-Uzman_D!$L$18&lt;0,-(N61-Uzman_D!$L$18),N61-Uzman_D!$L$18),(ROUND((IF(N61-Uzman_D!$L$18&lt;0,-(N61-Uzman_D!$L$18),N61-Uzman_D!$L$18)*2),0)/1*0.1),0)+IF(O61-Uzman_D!$M$18&lt;0,-(O61-Uzman_D!$M$18),O61-Uzman_D!$M$18)*1)</f>
        <v>-0.60000000000000009</v>
      </c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70"/>
      <c r="AB61" s="70"/>
      <c r="AC61" s="71">
        <f>1-(SUM(IF(Q61-Uzman_D!$B$19&lt;0,-(Q61-Uzman_D!$B$19),Q61-Uzman_D!$B$19)*0.1+IF(R61-Uzman_D!$C$19&lt;0,-(R61-Uzman_D!$C$19),R61-Uzman_D!$C$19)*0.1+IF(S61-Uzman_D!$D$19&lt;0,-(S61-Uzman_D!$D$19),S61-Uzman_D!$D$19)*0.1+IF(T61-Uzman_D!$E$19&lt;0,-(T61-Uzman_D!$E$19),T61-Uzman_D!$E$19)*0.1+IF(U61-Uzman_D!$F$19&lt;0,-(U61-Uzman_D!$F$19),U61-Uzman_D!$F$19)*0.1+IF(V61-Uzman_D!$G$19&lt;0,-(V61-Uzman_D!$G$19),V61-Uzman_D!$G$19)*0.1+IF(W61-Uzman_D!$H$19&lt;0,-(W61-Uzman_D!$H$19),W61-Uzman_D!$H$19)*0.1+IF(X61-Uzman_D!$I$19&lt;0,-(X61-Uzman_D!$I$19),X61-Uzman_D!$I$19)*0.1+IF(Y61-Uzman_D!$J$19&lt;0,-(Y61-Uzman_D!$J$19),Y61-Uzman_D!$J$19)*0.1)+IF(ROUND((IF(AA61-Uzman_D!$L$19&lt;0,-(AA61-Uzman_D!$L$19),AA61-Uzman_D!$L$19)*2),0)/2=IF(AA61-Uzman_D!$L$19&lt;0,-(AA61-Uzman_D!$L$19),AA61-Uzman_D!$L$19),(ROUND((IF(AA61-Uzman_D!$L$19&lt;0,-(AA61-Uzman_D!$L$19),AA61-Uzman_D!$L$19)*2),0)/1*0.1),0)+IF(AB61-Uzman_D!$M$19&lt;0,-(AB61-Uzman_D!$M$19),AB61-Uzman_D!$M$19)*1)</f>
        <v>-0.20000000000000018</v>
      </c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70"/>
      <c r="AO61" s="70"/>
      <c r="AP61" s="71">
        <f>1-(SUM(IF(AD61-Uzman_D!$B$20&lt;0,-(AD61-Uzman_D!$B$20),AD61-Uzman_D!$B$20)*0.1+IF(AE61-Uzman_D!$C$20&lt;0,-(AE61-Uzman_D!$C$20),AE61-Uzman_D!$C$20)*0.1+IF(AF61-Uzman_D!$D$20&lt;0,-(AF61-Uzman_D!$D$20),AF61-Uzman_D!$D$20)*0.1+IF(AG61-Uzman_D!$E$20&lt;0,-(AG61-Uzman_D!$E$20),AG61-Uzman_D!$E$20)*0.1+IF(AH61-Uzman_D!$F$20&lt;0,-(AH61-Uzman_D!$F$20),AH61-Uzman_D!$F$20)*0.1+IF(AI61-Uzman_D!$G$20&lt;0,-(AI61-Uzman_D!$G$20),AI61-Uzman_D!$G$20)*0.1+IF(AJ61-Uzman_D!$H$20&lt;0,-(AJ61-Uzman_D!$H$20),AJ61-Uzman_D!$H$20)*0.1+IF(AK61-Uzman_D!$I$20&lt;0,-(AK61-Uzman_D!$I$20),AK61-Uzman_D!$I$20)*0.1+IF(AL61-Uzman_D!$J$20&lt;0,-(AL61-Uzman_D!$J$20),AL61-Uzman_D!$J$20)*0.1)+IF(ROUND((IF(AN61-Uzman_D!$L$20&lt;0,-(AN61-Uzman_D!$L$20),AN61-Uzman_D!$L$20)*2),0)/2=IF(AN61-Uzman_D!$L$20&lt;0,-(AN61-Uzman_D!$L$20),AN61-Uzman_D!$L$20),(ROUND((IF(AN61-Uzman_D!$L$20&lt;0,-(AN61-Uzman_D!$L$20),AN61-Uzman_D!$L$20)*2),0)/1*0.1),0)+IF(AO61-Uzman_D!$M$20&lt;0,-(AO61-Uzman_D!$M$20),AO61-Uzman_D!$M$20)*1)</f>
        <v>-0.40000000000000013</v>
      </c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70"/>
      <c r="BB61" s="70"/>
      <c r="BC61" s="71">
        <f>1-(SUM(IF(AQ61-Uzman_D!$B$21&lt;0,-(AQ61-Uzman_D!$B$21),AQ61-Uzman_D!$B$21)*0.1+IF(AR61-Uzman_D!$C$21&lt;0,-(AR61-Uzman_D!$C$21),AR61-Uzman_D!$C$21)*0.1+IF(AS61-Uzman_D!$D$21&lt;0,-(AS61-Uzman_D!$D$21),AS61-Uzman_D!$D$21)*0.1+IF(AT61-Uzman_D!$E$21&lt;0,-(AT61-Uzman_D!$E$21),AT61-Uzman_D!$E$21)*0.1+IF(AU61-Uzman_D!$F$21&lt;0,-(AU61-Uzman_D!$F$21),AU61-Uzman_D!$F$21)*0.1+IF(AV61-Uzman_D!$G$21&lt;0,-(AV61-Uzman_D!$G$21),AV61-Uzman_D!$G$21)*0.1+IF(AW61-Uzman_D!$H$21&lt;0,-(AW61-Uzman_D!$H$21),AW61-Uzman_D!$H$21)*0.1+IF(AX61-Uzman_D!$I$21&lt;0,-(AX61-Uzman_D!$I$21),AX61-Uzman_D!$I$21)*0.1+IF(AY61-Uzman_D!$J$21&lt;0,-(AY61-Uzman_D!$J$21),AY61-Uzman_D!$J$21)*0.1)+IF(ROUND((IF(BA61-Uzman_D!$L$21&lt;0,-(BA61-Uzman_D!$L$21),BA61-Uzman_D!$L$21)*2),0)/2=IF(BA61-Uzman_D!$L$21&lt;0,-(BA61-Uzman_D!$L$21),BA61-Uzman_D!$L$21),(ROUND((IF(BA61-Uzman_D!$L$21&lt;0,-(BA61-Uzman_D!$L$21),BA61-Uzman_D!$L$21)*2),0)/1*0.1),0)+IF(BB61-Uzman_D!$M$21&lt;0,-(BB61-Uzman_D!$M$21),BB61-Uzman_D!$M$21)*1)</f>
        <v>-0.10000000000000009</v>
      </c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70"/>
      <c r="BO61" s="70"/>
      <c r="BP61" s="71">
        <f>1-(SUM(IF(BD61-Uzman_D!$B$22&lt;0,-(BD61-Uzman_D!$B$22),BD61-Uzman_D!$B$22)*0.1+IF(BE61-Uzman_D!$C$22&lt;0,-(BE61-Uzman_D!$C$22),BE61-Uzman_D!$C$22)*0.1+IF(BF61-Uzman_D!$D$22&lt;0,-(BF61-Uzman_D!$D$22),BF61-Uzman_D!$D$22)*0.1+IF(BG61-Uzman_D!$E$22&lt;0,-(BG61-Uzman_D!$E$22),BG61-Uzman_D!$E$22)*0.1+IF(BH61-Uzman_D!$F$22&lt;0,-(BH61-Uzman_D!$F$22),BH61-Uzman_D!$F$22)*0.1+IF(BI61-Uzman_D!$G$22&lt;0,-(BI61-Uzman_D!$G$22),BI61-Uzman_D!$G$22)*0.1+IF(BJ61-Uzman_D!$H$22&lt;0,-(BJ61-Uzman_D!$H$22),BJ61-Uzman_D!$H$22)*0.1+IF(BK61-Uzman_D!$I$22&lt;0,-(BK61-Uzman_D!$I$22),BK61-Uzman_D!$I$22)*0.1+IF(BL61-Uzman_D!$J$22&lt;0,-(BL61-Uzman_D!$J$22),BL61-Uzman_D!$J$22)*0.1)+IF(ROUND((IF(BN61-Uzman_D!$L$22&lt;0,-(BN61-Uzman_D!$L$22),BN61-Uzman_D!$L$22)*2),0)/2=IF(BN61-Uzman_D!$L$22&lt;0,-(BN61-Uzman_D!$L$22),BN61-Uzman_D!$L$22),(ROUND((IF(BN61-Uzman_D!$L$22&lt;0,-(BN61-Uzman_D!$L$22),BN61-Uzman_D!$L$22)*2),0)/1*0.1),0)+IF(BO61-Uzman_D!$M$22&lt;0,-(BO61-Uzman_D!$M$22),BO61-Uzman_D!$M$22)*1)</f>
        <v>-0.10000000000000009</v>
      </c>
      <c r="BQ61" s="72">
        <f t="shared" si="1"/>
        <v>-0.28000000000000014</v>
      </c>
    </row>
    <row r="62" spans="1:69" ht="15" customHeight="1" x14ac:dyDescent="0.45">
      <c r="A62" s="54">
        <v>59</v>
      </c>
      <c r="B62" s="170">
        <f>Hakemler!B62</f>
        <v>0</v>
      </c>
      <c r="C62" s="170">
        <f>Hakemler!C62</f>
        <v>0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70"/>
      <c r="O62" s="70"/>
      <c r="P62" s="71">
        <f>1-(SUM(IF(D62-Uzman_D!$B$18&lt;0,-(D62-Uzman_D!$B$18),D62-Uzman_D!$B$18)*0.1+IF(E62-Uzman_D!$C$18&lt;0,-(E62-Uzman_D!$C$18),E62-Uzman_D!$C$18)*0.1+IF(F62-Uzman_D!$D$18&lt;0,-(F62-Uzman_D!$D$18),F62-Uzman_D!$D$18)*0.1+IF(G62-Uzman_D!$E$18&lt;0,-(G62-Uzman_D!$E$18),G62-Uzman_D!$E$18)*0.1+IF(H62-Uzman_D!$F$18&lt;0,-(H62-Uzman_D!$F$18),H62-Uzman_D!$F$18)*0.1+IF(I62-Uzman_D!$G$18&lt;0,-(I62-Uzman_D!$G$18),I62-Uzman_D!$G$18)*0.1+IF(J62-Uzman_D!$H$18&lt;0,-(J62-Uzman_D!$H$18),J62-Uzman_D!$H$18)*0.1+IF(K62-Uzman_D!$I$18&lt;0,-(K62-Uzman_D!$I$18),K62-Uzman_D!$I$18)*0.1+IF(L62-Uzman_D!$J$18&lt;0,-(L62-Uzman_D!$J$18),L62-Uzman_D!$J$18)*0.1)+IF(ROUND((IF(N62-Uzman_D!$L$18&lt;0,-(N62-Uzman_D!$L$18),N62-Uzman_D!$L$18)*2),0)/2=IF(N62-Uzman_D!$L$18&lt;0,-(N62-Uzman_D!$L$18),N62-Uzman_D!$L$18),(ROUND((IF(N62-Uzman_D!$L$18&lt;0,-(N62-Uzman_D!$L$18),N62-Uzman_D!$L$18)*2),0)/1*0.1),0)+IF(O62-Uzman_D!$M$18&lt;0,-(O62-Uzman_D!$M$18),O62-Uzman_D!$M$18)*1)</f>
        <v>-0.60000000000000009</v>
      </c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70"/>
      <c r="AB62" s="70"/>
      <c r="AC62" s="71">
        <f>1-(SUM(IF(Q62-Uzman_D!$B$19&lt;0,-(Q62-Uzman_D!$B$19),Q62-Uzman_D!$B$19)*0.1+IF(R62-Uzman_D!$C$19&lt;0,-(R62-Uzman_D!$C$19),R62-Uzman_D!$C$19)*0.1+IF(S62-Uzman_D!$D$19&lt;0,-(S62-Uzman_D!$D$19),S62-Uzman_D!$D$19)*0.1+IF(T62-Uzman_D!$E$19&lt;0,-(T62-Uzman_D!$E$19),T62-Uzman_D!$E$19)*0.1+IF(U62-Uzman_D!$F$19&lt;0,-(U62-Uzman_D!$F$19),U62-Uzman_D!$F$19)*0.1+IF(V62-Uzman_D!$G$19&lt;0,-(V62-Uzman_D!$G$19),V62-Uzman_D!$G$19)*0.1+IF(W62-Uzman_D!$H$19&lt;0,-(W62-Uzman_D!$H$19),W62-Uzman_D!$H$19)*0.1+IF(X62-Uzman_D!$I$19&lt;0,-(X62-Uzman_D!$I$19),X62-Uzman_D!$I$19)*0.1+IF(Y62-Uzman_D!$J$19&lt;0,-(Y62-Uzman_D!$J$19),Y62-Uzman_D!$J$19)*0.1)+IF(ROUND((IF(AA62-Uzman_D!$L$19&lt;0,-(AA62-Uzman_D!$L$19),AA62-Uzman_D!$L$19)*2),0)/2=IF(AA62-Uzman_D!$L$19&lt;0,-(AA62-Uzman_D!$L$19),AA62-Uzman_D!$L$19),(ROUND((IF(AA62-Uzman_D!$L$19&lt;0,-(AA62-Uzman_D!$L$19),AA62-Uzman_D!$L$19)*2),0)/1*0.1),0)+IF(AB62-Uzman_D!$M$19&lt;0,-(AB62-Uzman_D!$M$19),AB62-Uzman_D!$M$19)*1)</f>
        <v>-0.20000000000000018</v>
      </c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70"/>
      <c r="AO62" s="70"/>
      <c r="AP62" s="71">
        <f>1-(SUM(IF(AD62-Uzman_D!$B$20&lt;0,-(AD62-Uzman_D!$B$20),AD62-Uzman_D!$B$20)*0.1+IF(AE62-Uzman_D!$C$20&lt;0,-(AE62-Uzman_D!$C$20),AE62-Uzman_D!$C$20)*0.1+IF(AF62-Uzman_D!$D$20&lt;0,-(AF62-Uzman_D!$D$20),AF62-Uzman_D!$D$20)*0.1+IF(AG62-Uzman_D!$E$20&lt;0,-(AG62-Uzman_D!$E$20),AG62-Uzman_D!$E$20)*0.1+IF(AH62-Uzman_D!$F$20&lt;0,-(AH62-Uzman_D!$F$20),AH62-Uzman_D!$F$20)*0.1+IF(AI62-Uzman_D!$G$20&lt;0,-(AI62-Uzman_D!$G$20),AI62-Uzman_D!$G$20)*0.1+IF(AJ62-Uzman_D!$H$20&lt;0,-(AJ62-Uzman_D!$H$20),AJ62-Uzman_D!$H$20)*0.1+IF(AK62-Uzman_D!$I$20&lt;0,-(AK62-Uzman_D!$I$20),AK62-Uzman_D!$I$20)*0.1+IF(AL62-Uzman_D!$J$20&lt;0,-(AL62-Uzman_D!$J$20),AL62-Uzman_D!$J$20)*0.1)+IF(ROUND((IF(AN62-Uzman_D!$L$20&lt;0,-(AN62-Uzman_D!$L$20),AN62-Uzman_D!$L$20)*2),0)/2=IF(AN62-Uzman_D!$L$20&lt;0,-(AN62-Uzman_D!$L$20),AN62-Uzman_D!$L$20),(ROUND((IF(AN62-Uzman_D!$L$20&lt;0,-(AN62-Uzman_D!$L$20),AN62-Uzman_D!$L$20)*2),0)/1*0.1),0)+IF(AO62-Uzman_D!$M$20&lt;0,-(AO62-Uzman_D!$M$20),AO62-Uzman_D!$M$20)*1)</f>
        <v>-0.40000000000000013</v>
      </c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70"/>
      <c r="BB62" s="70"/>
      <c r="BC62" s="71">
        <f>1-(SUM(IF(AQ62-Uzman_D!$B$21&lt;0,-(AQ62-Uzman_D!$B$21),AQ62-Uzman_D!$B$21)*0.1+IF(AR62-Uzman_D!$C$21&lt;0,-(AR62-Uzman_D!$C$21),AR62-Uzman_D!$C$21)*0.1+IF(AS62-Uzman_D!$D$21&lt;0,-(AS62-Uzman_D!$D$21),AS62-Uzman_D!$D$21)*0.1+IF(AT62-Uzman_D!$E$21&lt;0,-(AT62-Uzman_D!$E$21),AT62-Uzman_D!$E$21)*0.1+IF(AU62-Uzman_D!$F$21&lt;0,-(AU62-Uzman_D!$F$21),AU62-Uzman_D!$F$21)*0.1+IF(AV62-Uzman_D!$G$21&lt;0,-(AV62-Uzman_D!$G$21),AV62-Uzman_D!$G$21)*0.1+IF(AW62-Uzman_D!$H$21&lt;0,-(AW62-Uzman_D!$H$21),AW62-Uzman_D!$H$21)*0.1+IF(AX62-Uzman_D!$I$21&lt;0,-(AX62-Uzman_D!$I$21),AX62-Uzman_D!$I$21)*0.1+IF(AY62-Uzman_D!$J$21&lt;0,-(AY62-Uzman_D!$J$21),AY62-Uzman_D!$J$21)*0.1)+IF(ROUND((IF(BA62-Uzman_D!$L$21&lt;0,-(BA62-Uzman_D!$L$21),BA62-Uzman_D!$L$21)*2),0)/2=IF(BA62-Uzman_D!$L$21&lt;0,-(BA62-Uzman_D!$L$21),BA62-Uzman_D!$L$21),(ROUND((IF(BA62-Uzman_D!$L$21&lt;0,-(BA62-Uzman_D!$L$21),BA62-Uzman_D!$L$21)*2),0)/1*0.1),0)+IF(BB62-Uzman_D!$M$21&lt;0,-(BB62-Uzman_D!$M$21),BB62-Uzman_D!$M$21)*1)</f>
        <v>-0.10000000000000009</v>
      </c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70"/>
      <c r="BO62" s="70"/>
      <c r="BP62" s="71">
        <f>1-(SUM(IF(BD62-Uzman_D!$B$22&lt;0,-(BD62-Uzman_D!$B$22),BD62-Uzman_D!$B$22)*0.1+IF(BE62-Uzman_D!$C$22&lt;0,-(BE62-Uzman_D!$C$22),BE62-Uzman_D!$C$22)*0.1+IF(BF62-Uzman_D!$D$22&lt;0,-(BF62-Uzman_D!$D$22),BF62-Uzman_D!$D$22)*0.1+IF(BG62-Uzman_D!$E$22&lt;0,-(BG62-Uzman_D!$E$22),BG62-Uzman_D!$E$22)*0.1+IF(BH62-Uzman_D!$F$22&lt;0,-(BH62-Uzman_D!$F$22),BH62-Uzman_D!$F$22)*0.1+IF(BI62-Uzman_D!$G$22&lt;0,-(BI62-Uzman_D!$G$22),BI62-Uzman_D!$G$22)*0.1+IF(BJ62-Uzman_D!$H$22&lt;0,-(BJ62-Uzman_D!$H$22),BJ62-Uzman_D!$H$22)*0.1+IF(BK62-Uzman_D!$I$22&lt;0,-(BK62-Uzman_D!$I$22),BK62-Uzman_D!$I$22)*0.1+IF(BL62-Uzman_D!$J$22&lt;0,-(BL62-Uzman_D!$J$22),BL62-Uzman_D!$J$22)*0.1)+IF(ROUND((IF(BN62-Uzman_D!$L$22&lt;0,-(BN62-Uzman_D!$L$22),BN62-Uzman_D!$L$22)*2),0)/2=IF(BN62-Uzman_D!$L$22&lt;0,-(BN62-Uzman_D!$L$22),BN62-Uzman_D!$L$22),(ROUND((IF(BN62-Uzman_D!$L$22&lt;0,-(BN62-Uzman_D!$L$22),BN62-Uzman_D!$L$22)*2),0)/1*0.1),0)+IF(BO62-Uzman_D!$M$22&lt;0,-(BO62-Uzman_D!$M$22),BO62-Uzman_D!$M$22)*1)</f>
        <v>-0.10000000000000009</v>
      </c>
      <c r="BQ62" s="72">
        <f t="shared" si="1"/>
        <v>-0.28000000000000014</v>
      </c>
    </row>
    <row r="63" spans="1:69" ht="15" customHeight="1" x14ac:dyDescent="0.45">
      <c r="A63" s="54">
        <v>60</v>
      </c>
      <c r="B63" s="170">
        <f>Hakemler!B63</f>
        <v>0</v>
      </c>
      <c r="C63" s="170">
        <f>Hakemler!C63</f>
        <v>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70"/>
      <c r="O63" s="70"/>
      <c r="P63" s="71">
        <f>1-(SUM(IF(D63-Uzman_D!$B$18&lt;0,-(D63-Uzman_D!$B$18),D63-Uzman_D!$B$18)*0.1+IF(E63-Uzman_D!$C$18&lt;0,-(E63-Uzman_D!$C$18),E63-Uzman_D!$C$18)*0.1+IF(F63-Uzman_D!$D$18&lt;0,-(F63-Uzman_D!$D$18),F63-Uzman_D!$D$18)*0.1+IF(G63-Uzman_D!$E$18&lt;0,-(G63-Uzman_D!$E$18),G63-Uzman_D!$E$18)*0.1+IF(H63-Uzman_D!$F$18&lt;0,-(H63-Uzman_D!$F$18),H63-Uzman_D!$F$18)*0.1+IF(I63-Uzman_D!$G$18&lt;0,-(I63-Uzman_D!$G$18),I63-Uzman_D!$G$18)*0.1+IF(J63-Uzman_D!$H$18&lt;0,-(J63-Uzman_D!$H$18),J63-Uzman_D!$H$18)*0.1+IF(K63-Uzman_D!$I$18&lt;0,-(K63-Uzman_D!$I$18),K63-Uzman_D!$I$18)*0.1+IF(L63-Uzman_D!$J$18&lt;0,-(L63-Uzman_D!$J$18),L63-Uzman_D!$J$18)*0.1)+IF(ROUND((IF(N63-Uzman_D!$L$18&lt;0,-(N63-Uzman_D!$L$18),N63-Uzman_D!$L$18)*2),0)/2=IF(N63-Uzman_D!$L$18&lt;0,-(N63-Uzman_D!$L$18),N63-Uzman_D!$L$18),(ROUND((IF(N63-Uzman_D!$L$18&lt;0,-(N63-Uzman_D!$L$18),N63-Uzman_D!$L$18)*2),0)/1*0.1),0)+IF(O63-Uzman_D!$M$18&lt;0,-(O63-Uzman_D!$M$18),O63-Uzman_D!$M$18)*1)</f>
        <v>-0.60000000000000009</v>
      </c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70"/>
      <c r="AB63" s="70"/>
      <c r="AC63" s="71">
        <f>1-(SUM(IF(Q63-Uzman_D!$B$19&lt;0,-(Q63-Uzman_D!$B$19),Q63-Uzman_D!$B$19)*0.1+IF(R63-Uzman_D!$C$19&lt;0,-(R63-Uzman_D!$C$19),R63-Uzman_D!$C$19)*0.1+IF(S63-Uzman_D!$D$19&lt;0,-(S63-Uzman_D!$D$19),S63-Uzman_D!$D$19)*0.1+IF(T63-Uzman_D!$E$19&lt;0,-(T63-Uzman_D!$E$19),T63-Uzman_D!$E$19)*0.1+IF(U63-Uzman_D!$F$19&lt;0,-(U63-Uzman_D!$F$19),U63-Uzman_D!$F$19)*0.1+IF(V63-Uzman_D!$G$19&lt;0,-(V63-Uzman_D!$G$19),V63-Uzman_D!$G$19)*0.1+IF(W63-Uzman_D!$H$19&lt;0,-(W63-Uzman_D!$H$19),W63-Uzman_D!$H$19)*0.1+IF(X63-Uzman_D!$I$19&lt;0,-(X63-Uzman_D!$I$19),X63-Uzman_D!$I$19)*0.1+IF(Y63-Uzman_D!$J$19&lt;0,-(Y63-Uzman_D!$J$19),Y63-Uzman_D!$J$19)*0.1)+IF(ROUND((IF(AA63-Uzman_D!$L$19&lt;0,-(AA63-Uzman_D!$L$19),AA63-Uzman_D!$L$19)*2),0)/2=IF(AA63-Uzman_D!$L$19&lt;0,-(AA63-Uzman_D!$L$19),AA63-Uzman_D!$L$19),(ROUND((IF(AA63-Uzman_D!$L$19&lt;0,-(AA63-Uzman_D!$L$19),AA63-Uzman_D!$L$19)*2),0)/1*0.1),0)+IF(AB63-Uzman_D!$M$19&lt;0,-(AB63-Uzman_D!$M$19),AB63-Uzman_D!$M$19)*1)</f>
        <v>-0.20000000000000018</v>
      </c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70"/>
      <c r="AO63" s="70"/>
      <c r="AP63" s="71">
        <f>1-(SUM(IF(AD63-Uzman_D!$B$20&lt;0,-(AD63-Uzman_D!$B$20),AD63-Uzman_D!$B$20)*0.1+IF(AE63-Uzman_D!$C$20&lt;0,-(AE63-Uzman_D!$C$20),AE63-Uzman_D!$C$20)*0.1+IF(AF63-Uzman_D!$D$20&lt;0,-(AF63-Uzman_D!$D$20),AF63-Uzman_D!$D$20)*0.1+IF(AG63-Uzman_D!$E$20&lt;0,-(AG63-Uzman_D!$E$20),AG63-Uzman_D!$E$20)*0.1+IF(AH63-Uzman_D!$F$20&lt;0,-(AH63-Uzman_D!$F$20),AH63-Uzman_D!$F$20)*0.1+IF(AI63-Uzman_D!$G$20&lt;0,-(AI63-Uzman_D!$G$20),AI63-Uzman_D!$G$20)*0.1+IF(AJ63-Uzman_D!$H$20&lt;0,-(AJ63-Uzman_D!$H$20),AJ63-Uzman_D!$H$20)*0.1+IF(AK63-Uzman_D!$I$20&lt;0,-(AK63-Uzman_D!$I$20),AK63-Uzman_D!$I$20)*0.1+IF(AL63-Uzman_D!$J$20&lt;0,-(AL63-Uzman_D!$J$20),AL63-Uzman_D!$J$20)*0.1)+IF(ROUND((IF(AN63-Uzman_D!$L$20&lt;0,-(AN63-Uzman_D!$L$20),AN63-Uzman_D!$L$20)*2),0)/2=IF(AN63-Uzman_D!$L$20&lt;0,-(AN63-Uzman_D!$L$20),AN63-Uzman_D!$L$20),(ROUND((IF(AN63-Uzman_D!$L$20&lt;0,-(AN63-Uzman_D!$L$20),AN63-Uzman_D!$L$20)*2),0)/1*0.1),0)+IF(AO63-Uzman_D!$M$20&lt;0,-(AO63-Uzman_D!$M$20),AO63-Uzman_D!$M$20)*1)</f>
        <v>-0.40000000000000013</v>
      </c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70"/>
      <c r="BB63" s="70"/>
      <c r="BC63" s="71">
        <f>1-(SUM(IF(AQ63-Uzman_D!$B$21&lt;0,-(AQ63-Uzman_D!$B$21),AQ63-Uzman_D!$B$21)*0.1+IF(AR63-Uzman_D!$C$21&lt;0,-(AR63-Uzman_D!$C$21),AR63-Uzman_D!$C$21)*0.1+IF(AS63-Uzman_D!$D$21&lt;0,-(AS63-Uzman_D!$D$21),AS63-Uzman_D!$D$21)*0.1+IF(AT63-Uzman_D!$E$21&lt;0,-(AT63-Uzman_D!$E$21),AT63-Uzman_D!$E$21)*0.1+IF(AU63-Uzman_D!$F$21&lt;0,-(AU63-Uzman_D!$F$21),AU63-Uzman_D!$F$21)*0.1+IF(AV63-Uzman_D!$G$21&lt;0,-(AV63-Uzman_D!$G$21),AV63-Uzman_D!$G$21)*0.1+IF(AW63-Uzman_D!$H$21&lt;0,-(AW63-Uzman_D!$H$21),AW63-Uzman_D!$H$21)*0.1+IF(AX63-Uzman_D!$I$21&lt;0,-(AX63-Uzman_D!$I$21),AX63-Uzman_D!$I$21)*0.1+IF(AY63-Uzman_D!$J$21&lt;0,-(AY63-Uzman_D!$J$21),AY63-Uzman_D!$J$21)*0.1)+IF(ROUND((IF(BA63-Uzman_D!$L$21&lt;0,-(BA63-Uzman_D!$L$21),BA63-Uzman_D!$L$21)*2),0)/2=IF(BA63-Uzman_D!$L$21&lt;0,-(BA63-Uzman_D!$L$21),BA63-Uzman_D!$L$21),(ROUND((IF(BA63-Uzman_D!$L$21&lt;0,-(BA63-Uzman_D!$L$21),BA63-Uzman_D!$L$21)*2),0)/1*0.1),0)+IF(BB63-Uzman_D!$M$21&lt;0,-(BB63-Uzman_D!$M$21),BB63-Uzman_D!$M$21)*1)</f>
        <v>-0.10000000000000009</v>
      </c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70"/>
      <c r="BO63" s="70"/>
      <c r="BP63" s="71">
        <f>1-(SUM(IF(BD63-Uzman_D!$B$22&lt;0,-(BD63-Uzman_D!$B$22),BD63-Uzman_D!$B$22)*0.1+IF(BE63-Uzman_D!$C$22&lt;0,-(BE63-Uzman_D!$C$22),BE63-Uzman_D!$C$22)*0.1+IF(BF63-Uzman_D!$D$22&lt;0,-(BF63-Uzman_D!$D$22),BF63-Uzman_D!$D$22)*0.1+IF(BG63-Uzman_D!$E$22&lt;0,-(BG63-Uzman_D!$E$22),BG63-Uzman_D!$E$22)*0.1+IF(BH63-Uzman_D!$F$22&lt;0,-(BH63-Uzman_D!$F$22),BH63-Uzman_D!$F$22)*0.1+IF(BI63-Uzman_D!$G$22&lt;0,-(BI63-Uzman_D!$G$22),BI63-Uzman_D!$G$22)*0.1+IF(BJ63-Uzman_D!$H$22&lt;0,-(BJ63-Uzman_D!$H$22),BJ63-Uzman_D!$H$22)*0.1+IF(BK63-Uzman_D!$I$22&lt;0,-(BK63-Uzman_D!$I$22),BK63-Uzman_D!$I$22)*0.1+IF(BL63-Uzman_D!$J$22&lt;0,-(BL63-Uzman_D!$J$22),BL63-Uzman_D!$J$22)*0.1)+IF(ROUND((IF(BN63-Uzman_D!$L$22&lt;0,-(BN63-Uzman_D!$L$22),BN63-Uzman_D!$L$22)*2),0)/2=IF(BN63-Uzman_D!$L$22&lt;0,-(BN63-Uzman_D!$L$22),BN63-Uzman_D!$L$22),(ROUND((IF(BN63-Uzman_D!$L$22&lt;0,-(BN63-Uzman_D!$L$22),BN63-Uzman_D!$L$22)*2),0)/1*0.1),0)+IF(BO63-Uzman_D!$M$22&lt;0,-(BO63-Uzman_D!$M$22),BO63-Uzman_D!$M$22)*1)</f>
        <v>-0.10000000000000009</v>
      </c>
      <c r="BQ63" s="72">
        <f t="shared" si="1"/>
        <v>-0.28000000000000014</v>
      </c>
    </row>
    <row r="64" spans="1:69" ht="15" customHeight="1" x14ac:dyDescent="0.45">
      <c r="A64" s="54">
        <v>61</v>
      </c>
      <c r="B64" s="170">
        <f>Hakemler!B64</f>
        <v>0</v>
      </c>
      <c r="C64" s="170">
        <f>Hakemler!C64</f>
        <v>0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70"/>
      <c r="O64" s="70"/>
      <c r="P64" s="71">
        <f>1-(SUM(IF(D64-Uzman_D!$B$18&lt;0,-(D64-Uzman_D!$B$18),D64-Uzman_D!$B$18)*0.1+IF(E64-Uzman_D!$C$18&lt;0,-(E64-Uzman_D!$C$18),E64-Uzman_D!$C$18)*0.1+IF(F64-Uzman_D!$D$18&lt;0,-(F64-Uzman_D!$D$18),F64-Uzman_D!$D$18)*0.1+IF(G64-Uzman_D!$E$18&lt;0,-(G64-Uzman_D!$E$18),G64-Uzman_D!$E$18)*0.1+IF(H64-Uzman_D!$F$18&lt;0,-(H64-Uzman_D!$F$18),H64-Uzman_D!$F$18)*0.1+IF(I64-Uzman_D!$G$18&lt;0,-(I64-Uzman_D!$G$18),I64-Uzman_D!$G$18)*0.1+IF(J64-Uzman_D!$H$18&lt;0,-(J64-Uzman_D!$H$18),J64-Uzman_D!$H$18)*0.1+IF(K64-Uzman_D!$I$18&lt;0,-(K64-Uzman_D!$I$18),K64-Uzman_D!$I$18)*0.1+IF(L64-Uzman_D!$J$18&lt;0,-(L64-Uzman_D!$J$18),L64-Uzman_D!$J$18)*0.1)+IF(ROUND((IF(N64-Uzman_D!$L$18&lt;0,-(N64-Uzman_D!$L$18),N64-Uzman_D!$L$18)*2),0)/2=IF(N64-Uzman_D!$L$18&lt;0,-(N64-Uzman_D!$L$18),N64-Uzman_D!$L$18),(ROUND((IF(N64-Uzman_D!$L$18&lt;0,-(N64-Uzman_D!$L$18),N64-Uzman_D!$L$18)*2),0)/1*0.1),0)+IF(O64-Uzman_D!$M$18&lt;0,-(O64-Uzman_D!$M$18),O64-Uzman_D!$M$18)*1)</f>
        <v>-0.60000000000000009</v>
      </c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70"/>
      <c r="AB64" s="70"/>
      <c r="AC64" s="71">
        <f>1-(SUM(IF(Q64-Uzman_D!$B$19&lt;0,-(Q64-Uzman_D!$B$19),Q64-Uzman_D!$B$19)*0.1+IF(R64-Uzman_D!$C$19&lt;0,-(R64-Uzman_D!$C$19),R64-Uzman_D!$C$19)*0.1+IF(S64-Uzman_D!$D$19&lt;0,-(S64-Uzman_D!$D$19),S64-Uzman_D!$D$19)*0.1+IF(T64-Uzman_D!$E$19&lt;0,-(T64-Uzman_D!$E$19),T64-Uzman_D!$E$19)*0.1+IF(U64-Uzman_D!$F$19&lt;0,-(U64-Uzman_D!$F$19),U64-Uzman_D!$F$19)*0.1+IF(V64-Uzman_D!$G$19&lt;0,-(V64-Uzman_D!$G$19),V64-Uzman_D!$G$19)*0.1+IF(W64-Uzman_D!$H$19&lt;0,-(W64-Uzman_D!$H$19),W64-Uzman_D!$H$19)*0.1+IF(X64-Uzman_D!$I$19&lt;0,-(X64-Uzman_D!$I$19),X64-Uzman_D!$I$19)*0.1+IF(Y64-Uzman_D!$J$19&lt;0,-(Y64-Uzman_D!$J$19),Y64-Uzman_D!$J$19)*0.1)+IF(ROUND((IF(AA64-Uzman_D!$L$19&lt;0,-(AA64-Uzman_D!$L$19),AA64-Uzman_D!$L$19)*2),0)/2=IF(AA64-Uzman_D!$L$19&lt;0,-(AA64-Uzman_D!$L$19),AA64-Uzman_D!$L$19),(ROUND((IF(AA64-Uzman_D!$L$19&lt;0,-(AA64-Uzman_D!$L$19),AA64-Uzman_D!$L$19)*2),0)/1*0.1),0)+IF(AB64-Uzman_D!$M$19&lt;0,-(AB64-Uzman_D!$M$19),AB64-Uzman_D!$M$19)*1)</f>
        <v>-0.20000000000000018</v>
      </c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70"/>
      <c r="AO64" s="70"/>
      <c r="AP64" s="71">
        <f>1-(SUM(IF(AD64-Uzman_D!$B$20&lt;0,-(AD64-Uzman_D!$B$20),AD64-Uzman_D!$B$20)*0.1+IF(AE64-Uzman_D!$C$20&lt;0,-(AE64-Uzman_D!$C$20),AE64-Uzman_D!$C$20)*0.1+IF(AF64-Uzman_D!$D$20&lt;0,-(AF64-Uzman_D!$D$20),AF64-Uzman_D!$D$20)*0.1+IF(AG64-Uzman_D!$E$20&lt;0,-(AG64-Uzman_D!$E$20),AG64-Uzman_D!$E$20)*0.1+IF(AH64-Uzman_D!$F$20&lt;0,-(AH64-Uzman_D!$F$20),AH64-Uzman_D!$F$20)*0.1+IF(AI64-Uzman_D!$G$20&lt;0,-(AI64-Uzman_D!$G$20),AI64-Uzman_D!$G$20)*0.1+IF(AJ64-Uzman_D!$H$20&lt;0,-(AJ64-Uzman_D!$H$20),AJ64-Uzman_D!$H$20)*0.1+IF(AK64-Uzman_D!$I$20&lt;0,-(AK64-Uzman_D!$I$20),AK64-Uzman_D!$I$20)*0.1+IF(AL64-Uzman_D!$J$20&lt;0,-(AL64-Uzman_D!$J$20),AL64-Uzman_D!$J$20)*0.1)+IF(ROUND((IF(AN64-Uzman_D!$L$20&lt;0,-(AN64-Uzman_D!$L$20),AN64-Uzman_D!$L$20)*2),0)/2=IF(AN64-Uzman_D!$L$20&lt;0,-(AN64-Uzman_D!$L$20),AN64-Uzman_D!$L$20),(ROUND((IF(AN64-Uzman_D!$L$20&lt;0,-(AN64-Uzman_D!$L$20),AN64-Uzman_D!$L$20)*2),0)/1*0.1),0)+IF(AO64-Uzman_D!$M$20&lt;0,-(AO64-Uzman_D!$M$20),AO64-Uzman_D!$M$20)*1)</f>
        <v>-0.40000000000000013</v>
      </c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70"/>
      <c r="BB64" s="70"/>
      <c r="BC64" s="71">
        <f>1-(SUM(IF(AQ64-Uzman_D!$B$21&lt;0,-(AQ64-Uzman_D!$B$21),AQ64-Uzman_D!$B$21)*0.1+IF(AR64-Uzman_D!$C$21&lt;0,-(AR64-Uzman_D!$C$21),AR64-Uzman_D!$C$21)*0.1+IF(AS64-Uzman_D!$D$21&lt;0,-(AS64-Uzman_D!$D$21),AS64-Uzman_D!$D$21)*0.1+IF(AT64-Uzman_D!$E$21&lt;0,-(AT64-Uzman_D!$E$21),AT64-Uzman_D!$E$21)*0.1+IF(AU64-Uzman_D!$F$21&lt;0,-(AU64-Uzman_D!$F$21),AU64-Uzman_D!$F$21)*0.1+IF(AV64-Uzman_D!$G$21&lt;0,-(AV64-Uzman_D!$G$21),AV64-Uzman_D!$G$21)*0.1+IF(AW64-Uzman_D!$H$21&lt;0,-(AW64-Uzman_D!$H$21),AW64-Uzman_D!$H$21)*0.1+IF(AX64-Uzman_D!$I$21&lt;0,-(AX64-Uzman_D!$I$21),AX64-Uzman_D!$I$21)*0.1+IF(AY64-Uzman_D!$J$21&lt;0,-(AY64-Uzman_D!$J$21),AY64-Uzman_D!$J$21)*0.1)+IF(ROUND((IF(BA64-Uzman_D!$L$21&lt;0,-(BA64-Uzman_D!$L$21),BA64-Uzman_D!$L$21)*2),0)/2=IF(BA64-Uzman_D!$L$21&lt;0,-(BA64-Uzman_D!$L$21),BA64-Uzman_D!$L$21),(ROUND((IF(BA64-Uzman_D!$L$21&lt;0,-(BA64-Uzman_D!$L$21),BA64-Uzman_D!$L$21)*2),0)/1*0.1),0)+IF(BB64-Uzman_D!$M$21&lt;0,-(BB64-Uzman_D!$M$21),BB64-Uzman_D!$M$21)*1)</f>
        <v>-0.10000000000000009</v>
      </c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70"/>
      <c r="BO64" s="70"/>
      <c r="BP64" s="71">
        <f>1-(SUM(IF(BD64-Uzman_D!$B$22&lt;0,-(BD64-Uzman_D!$B$22),BD64-Uzman_D!$B$22)*0.1+IF(BE64-Uzman_D!$C$22&lt;0,-(BE64-Uzman_D!$C$22),BE64-Uzman_D!$C$22)*0.1+IF(BF64-Uzman_D!$D$22&lt;0,-(BF64-Uzman_D!$D$22),BF64-Uzman_D!$D$22)*0.1+IF(BG64-Uzman_D!$E$22&lt;0,-(BG64-Uzman_D!$E$22),BG64-Uzman_D!$E$22)*0.1+IF(BH64-Uzman_D!$F$22&lt;0,-(BH64-Uzman_D!$F$22),BH64-Uzman_D!$F$22)*0.1+IF(BI64-Uzman_D!$G$22&lt;0,-(BI64-Uzman_D!$G$22),BI64-Uzman_D!$G$22)*0.1+IF(BJ64-Uzman_D!$H$22&lt;0,-(BJ64-Uzman_D!$H$22),BJ64-Uzman_D!$H$22)*0.1+IF(BK64-Uzman_D!$I$22&lt;0,-(BK64-Uzman_D!$I$22),BK64-Uzman_D!$I$22)*0.1+IF(BL64-Uzman_D!$J$22&lt;0,-(BL64-Uzman_D!$J$22),BL64-Uzman_D!$J$22)*0.1)+IF(ROUND((IF(BN64-Uzman_D!$L$22&lt;0,-(BN64-Uzman_D!$L$22),BN64-Uzman_D!$L$22)*2),0)/2=IF(BN64-Uzman_D!$L$22&lt;0,-(BN64-Uzman_D!$L$22),BN64-Uzman_D!$L$22),(ROUND((IF(BN64-Uzman_D!$L$22&lt;0,-(BN64-Uzman_D!$L$22),BN64-Uzman_D!$L$22)*2),0)/1*0.1),0)+IF(BO64-Uzman_D!$M$22&lt;0,-(BO64-Uzman_D!$M$22),BO64-Uzman_D!$M$22)*1)</f>
        <v>-0.10000000000000009</v>
      </c>
      <c r="BQ64" s="72">
        <f t="shared" si="1"/>
        <v>-0.28000000000000014</v>
      </c>
    </row>
    <row r="65" spans="1:69" ht="15" customHeight="1" x14ac:dyDescent="0.45">
      <c r="A65" s="54">
        <v>62</v>
      </c>
      <c r="B65" s="170">
        <f>Hakemler!B65</f>
        <v>0</v>
      </c>
      <c r="C65" s="170">
        <f>Hakemler!C65</f>
        <v>0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70"/>
      <c r="O65" s="70"/>
      <c r="P65" s="71">
        <f>1-(SUM(IF(D65-Uzman_D!$B$18&lt;0,-(D65-Uzman_D!$B$18),D65-Uzman_D!$B$18)*0.1+IF(E65-Uzman_D!$C$18&lt;0,-(E65-Uzman_D!$C$18),E65-Uzman_D!$C$18)*0.1+IF(F65-Uzman_D!$D$18&lt;0,-(F65-Uzman_D!$D$18),F65-Uzman_D!$D$18)*0.1+IF(G65-Uzman_D!$E$18&lt;0,-(G65-Uzman_D!$E$18),G65-Uzman_D!$E$18)*0.1+IF(H65-Uzman_D!$F$18&lt;0,-(H65-Uzman_D!$F$18),H65-Uzman_D!$F$18)*0.1+IF(I65-Uzman_D!$G$18&lt;0,-(I65-Uzman_D!$G$18),I65-Uzman_D!$G$18)*0.1+IF(J65-Uzman_D!$H$18&lt;0,-(J65-Uzman_D!$H$18),J65-Uzman_D!$H$18)*0.1+IF(K65-Uzman_D!$I$18&lt;0,-(K65-Uzman_D!$I$18),K65-Uzman_D!$I$18)*0.1+IF(L65-Uzman_D!$J$18&lt;0,-(L65-Uzman_D!$J$18),L65-Uzman_D!$J$18)*0.1)+IF(ROUND((IF(N65-Uzman_D!$L$18&lt;0,-(N65-Uzman_D!$L$18),N65-Uzman_D!$L$18)*2),0)/2=IF(N65-Uzman_D!$L$18&lt;0,-(N65-Uzman_D!$L$18),N65-Uzman_D!$L$18),(ROUND((IF(N65-Uzman_D!$L$18&lt;0,-(N65-Uzman_D!$L$18),N65-Uzman_D!$L$18)*2),0)/1*0.1),0)+IF(O65-Uzman_D!$M$18&lt;0,-(O65-Uzman_D!$M$18),O65-Uzman_D!$M$18)*1)</f>
        <v>-0.60000000000000009</v>
      </c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70"/>
      <c r="AB65" s="70"/>
      <c r="AC65" s="71">
        <f>1-(SUM(IF(Q65-Uzman_D!$B$19&lt;0,-(Q65-Uzman_D!$B$19),Q65-Uzman_D!$B$19)*0.1+IF(R65-Uzman_D!$C$19&lt;0,-(R65-Uzman_D!$C$19),R65-Uzman_D!$C$19)*0.1+IF(S65-Uzman_D!$D$19&lt;0,-(S65-Uzman_D!$D$19),S65-Uzman_D!$D$19)*0.1+IF(T65-Uzman_D!$E$19&lt;0,-(T65-Uzman_D!$E$19),T65-Uzman_D!$E$19)*0.1+IF(U65-Uzman_D!$F$19&lt;0,-(U65-Uzman_D!$F$19),U65-Uzman_D!$F$19)*0.1+IF(V65-Uzman_D!$G$19&lt;0,-(V65-Uzman_D!$G$19),V65-Uzman_D!$G$19)*0.1+IF(W65-Uzman_D!$H$19&lt;0,-(W65-Uzman_D!$H$19),W65-Uzman_D!$H$19)*0.1+IF(X65-Uzman_D!$I$19&lt;0,-(X65-Uzman_D!$I$19),X65-Uzman_D!$I$19)*0.1+IF(Y65-Uzman_D!$J$19&lt;0,-(Y65-Uzman_D!$J$19),Y65-Uzman_D!$J$19)*0.1)+IF(ROUND((IF(AA65-Uzman_D!$L$19&lt;0,-(AA65-Uzman_D!$L$19),AA65-Uzman_D!$L$19)*2),0)/2=IF(AA65-Uzman_D!$L$19&lt;0,-(AA65-Uzman_D!$L$19),AA65-Uzman_D!$L$19),(ROUND((IF(AA65-Uzman_D!$L$19&lt;0,-(AA65-Uzman_D!$L$19),AA65-Uzman_D!$L$19)*2),0)/1*0.1),0)+IF(AB65-Uzman_D!$M$19&lt;0,-(AB65-Uzman_D!$M$19),AB65-Uzman_D!$M$19)*1)</f>
        <v>-0.20000000000000018</v>
      </c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70"/>
      <c r="AO65" s="70"/>
      <c r="AP65" s="71">
        <f>1-(SUM(IF(AD65-Uzman_D!$B$20&lt;0,-(AD65-Uzman_D!$B$20),AD65-Uzman_D!$B$20)*0.1+IF(AE65-Uzman_D!$C$20&lt;0,-(AE65-Uzman_D!$C$20),AE65-Uzman_D!$C$20)*0.1+IF(AF65-Uzman_D!$D$20&lt;0,-(AF65-Uzman_D!$D$20),AF65-Uzman_D!$D$20)*0.1+IF(AG65-Uzman_D!$E$20&lt;0,-(AG65-Uzman_D!$E$20),AG65-Uzman_D!$E$20)*0.1+IF(AH65-Uzman_D!$F$20&lt;0,-(AH65-Uzman_D!$F$20),AH65-Uzman_D!$F$20)*0.1+IF(AI65-Uzman_D!$G$20&lt;0,-(AI65-Uzman_D!$G$20),AI65-Uzman_D!$G$20)*0.1+IF(AJ65-Uzman_D!$H$20&lt;0,-(AJ65-Uzman_D!$H$20),AJ65-Uzman_D!$H$20)*0.1+IF(AK65-Uzman_D!$I$20&lt;0,-(AK65-Uzman_D!$I$20),AK65-Uzman_D!$I$20)*0.1+IF(AL65-Uzman_D!$J$20&lt;0,-(AL65-Uzman_D!$J$20),AL65-Uzman_D!$J$20)*0.1)+IF(ROUND((IF(AN65-Uzman_D!$L$20&lt;0,-(AN65-Uzman_D!$L$20),AN65-Uzman_D!$L$20)*2),0)/2=IF(AN65-Uzman_D!$L$20&lt;0,-(AN65-Uzman_D!$L$20),AN65-Uzman_D!$L$20),(ROUND((IF(AN65-Uzman_D!$L$20&lt;0,-(AN65-Uzman_D!$L$20),AN65-Uzman_D!$L$20)*2),0)/1*0.1),0)+IF(AO65-Uzman_D!$M$20&lt;0,-(AO65-Uzman_D!$M$20),AO65-Uzman_D!$M$20)*1)</f>
        <v>-0.40000000000000013</v>
      </c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70"/>
      <c r="BB65" s="70"/>
      <c r="BC65" s="71">
        <f>1-(SUM(IF(AQ65-Uzman_D!$B$21&lt;0,-(AQ65-Uzman_D!$B$21),AQ65-Uzman_D!$B$21)*0.1+IF(AR65-Uzman_D!$C$21&lt;0,-(AR65-Uzman_D!$C$21),AR65-Uzman_D!$C$21)*0.1+IF(AS65-Uzman_D!$D$21&lt;0,-(AS65-Uzman_D!$D$21),AS65-Uzman_D!$D$21)*0.1+IF(AT65-Uzman_D!$E$21&lt;0,-(AT65-Uzman_D!$E$21),AT65-Uzman_D!$E$21)*0.1+IF(AU65-Uzman_D!$F$21&lt;0,-(AU65-Uzman_D!$F$21),AU65-Uzman_D!$F$21)*0.1+IF(AV65-Uzman_D!$G$21&lt;0,-(AV65-Uzman_D!$G$21),AV65-Uzman_D!$G$21)*0.1+IF(AW65-Uzman_D!$H$21&lt;0,-(AW65-Uzman_D!$H$21),AW65-Uzman_D!$H$21)*0.1+IF(AX65-Uzman_D!$I$21&lt;0,-(AX65-Uzman_D!$I$21),AX65-Uzman_D!$I$21)*0.1+IF(AY65-Uzman_D!$J$21&lt;0,-(AY65-Uzman_D!$J$21),AY65-Uzman_D!$J$21)*0.1)+IF(ROUND((IF(BA65-Uzman_D!$L$21&lt;0,-(BA65-Uzman_D!$L$21),BA65-Uzman_D!$L$21)*2),0)/2=IF(BA65-Uzman_D!$L$21&lt;0,-(BA65-Uzman_D!$L$21),BA65-Uzman_D!$L$21),(ROUND((IF(BA65-Uzman_D!$L$21&lt;0,-(BA65-Uzman_D!$L$21),BA65-Uzman_D!$L$21)*2),0)/1*0.1),0)+IF(BB65-Uzman_D!$M$21&lt;0,-(BB65-Uzman_D!$M$21),BB65-Uzman_D!$M$21)*1)</f>
        <v>-0.10000000000000009</v>
      </c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70"/>
      <c r="BO65" s="70"/>
      <c r="BP65" s="71">
        <f>1-(SUM(IF(BD65-Uzman_D!$B$22&lt;0,-(BD65-Uzman_D!$B$22),BD65-Uzman_D!$B$22)*0.1+IF(BE65-Uzman_D!$C$22&lt;0,-(BE65-Uzman_D!$C$22),BE65-Uzman_D!$C$22)*0.1+IF(BF65-Uzman_D!$D$22&lt;0,-(BF65-Uzman_D!$D$22),BF65-Uzman_D!$D$22)*0.1+IF(BG65-Uzman_D!$E$22&lt;0,-(BG65-Uzman_D!$E$22),BG65-Uzman_D!$E$22)*0.1+IF(BH65-Uzman_D!$F$22&lt;0,-(BH65-Uzman_D!$F$22),BH65-Uzman_D!$F$22)*0.1+IF(BI65-Uzman_D!$G$22&lt;0,-(BI65-Uzman_D!$G$22),BI65-Uzman_D!$G$22)*0.1+IF(BJ65-Uzman_D!$H$22&lt;0,-(BJ65-Uzman_D!$H$22),BJ65-Uzman_D!$H$22)*0.1+IF(BK65-Uzman_D!$I$22&lt;0,-(BK65-Uzman_D!$I$22),BK65-Uzman_D!$I$22)*0.1+IF(BL65-Uzman_D!$J$22&lt;0,-(BL65-Uzman_D!$J$22),BL65-Uzman_D!$J$22)*0.1)+IF(ROUND((IF(BN65-Uzman_D!$L$22&lt;0,-(BN65-Uzman_D!$L$22),BN65-Uzman_D!$L$22)*2),0)/2=IF(BN65-Uzman_D!$L$22&lt;0,-(BN65-Uzman_D!$L$22),BN65-Uzman_D!$L$22),(ROUND((IF(BN65-Uzman_D!$L$22&lt;0,-(BN65-Uzman_D!$L$22),BN65-Uzman_D!$L$22)*2),0)/1*0.1),0)+IF(BO65-Uzman_D!$M$22&lt;0,-(BO65-Uzman_D!$M$22),BO65-Uzman_D!$M$22)*1)</f>
        <v>-0.10000000000000009</v>
      </c>
      <c r="BQ65" s="72">
        <f t="shared" si="1"/>
        <v>-0.28000000000000014</v>
      </c>
    </row>
    <row r="66" spans="1:69" ht="15" customHeight="1" x14ac:dyDescent="0.45">
      <c r="A66" s="54">
        <v>63</v>
      </c>
      <c r="B66" s="170">
        <f>Hakemler!B66</f>
        <v>0</v>
      </c>
      <c r="C66" s="170">
        <f>Hakemler!C66</f>
        <v>0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70"/>
      <c r="O66" s="70"/>
      <c r="P66" s="71">
        <f>1-(SUM(IF(D66-Uzman_D!$B$18&lt;0,-(D66-Uzman_D!$B$18),D66-Uzman_D!$B$18)*0.1+IF(E66-Uzman_D!$C$18&lt;0,-(E66-Uzman_D!$C$18),E66-Uzman_D!$C$18)*0.1+IF(F66-Uzman_D!$D$18&lt;0,-(F66-Uzman_D!$D$18),F66-Uzman_D!$D$18)*0.1+IF(G66-Uzman_D!$E$18&lt;0,-(G66-Uzman_D!$E$18),G66-Uzman_D!$E$18)*0.1+IF(H66-Uzman_D!$F$18&lt;0,-(H66-Uzman_D!$F$18),H66-Uzman_D!$F$18)*0.1+IF(I66-Uzman_D!$G$18&lt;0,-(I66-Uzman_D!$G$18),I66-Uzman_D!$G$18)*0.1+IF(J66-Uzman_D!$H$18&lt;0,-(J66-Uzman_D!$H$18),J66-Uzman_D!$H$18)*0.1+IF(K66-Uzman_D!$I$18&lt;0,-(K66-Uzman_D!$I$18),K66-Uzman_D!$I$18)*0.1+IF(L66-Uzman_D!$J$18&lt;0,-(L66-Uzman_D!$J$18),L66-Uzman_D!$J$18)*0.1)+IF(ROUND((IF(N66-Uzman_D!$L$18&lt;0,-(N66-Uzman_D!$L$18),N66-Uzman_D!$L$18)*2),0)/2=IF(N66-Uzman_D!$L$18&lt;0,-(N66-Uzman_D!$L$18),N66-Uzman_D!$L$18),(ROUND((IF(N66-Uzman_D!$L$18&lt;0,-(N66-Uzman_D!$L$18),N66-Uzman_D!$L$18)*2),0)/1*0.1),0)+IF(O66-Uzman_D!$M$18&lt;0,-(O66-Uzman_D!$M$18),O66-Uzman_D!$M$18)*1)</f>
        <v>-0.60000000000000009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70"/>
      <c r="AB66" s="70"/>
      <c r="AC66" s="71">
        <f>1-(SUM(IF(Q66-Uzman_D!$B$19&lt;0,-(Q66-Uzman_D!$B$19),Q66-Uzman_D!$B$19)*0.1+IF(R66-Uzman_D!$C$19&lt;0,-(R66-Uzman_D!$C$19),R66-Uzman_D!$C$19)*0.1+IF(S66-Uzman_D!$D$19&lt;0,-(S66-Uzman_D!$D$19),S66-Uzman_D!$D$19)*0.1+IF(T66-Uzman_D!$E$19&lt;0,-(T66-Uzman_D!$E$19),T66-Uzman_D!$E$19)*0.1+IF(U66-Uzman_D!$F$19&lt;0,-(U66-Uzman_D!$F$19),U66-Uzman_D!$F$19)*0.1+IF(V66-Uzman_D!$G$19&lt;0,-(V66-Uzman_D!$G$19),V66-Uzman_D!$G$19)*0.1+IF(W66-Uzman_D!$H$19&lt;0,-(W66-Uzman_D!$H$19),W66-Uzman_D!$H$19)*0.1+IF(X66-Uzman_D!$I$19&lt;0,-(X66-Uzman_D!$I$19),X66-Uzman_D!$I$19)*0.1+IF(Y66-Uzman_D!$J$19&lt;0,-(Y66-Uzman_D!$J$19),Y66-Uzman_D!$J$19)*0.1)+IF(ROUND((IF(AA66-Uzman_D!$L$19&lt;0,-(AA66-Uzman_D!$L$19),AA66-Uzman_D!$L$19)*2),0)/2=IF(AA66-Uzman_D!$L$19&lt;0,-(AA66-Uzman_D!$L$19),AA66-Uzman_D!$L$19),(ROUND((IF(AA66-Uzman_D!$L$19&lt;0,-(AA66-Uzman_D!$L$19),AA66-Uzman_D!$L$19)*2),0)/1*0.1),0)+IF(AB66-Uzman_D!$M$19&lt;0,-(AB66-Uzman_D!$M$19),AB66-Uzman_D!$M$19)*1)</f>
        <v>-0.20000000000000018</v>
      </c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70"/>
      <c r="AO66" s="70"/>
      <c r="AP66" s="71">
        <f>1-(SUM(IF(AD66-Uzman_D!$B$20&lt;0,-(AD66-Uzman_D!$B$20),AD66-Uzman_D!$B$20)*0.1+IF(AE66-Uzman_D!$C$20&lt;0,-(AE66-Uzman_D!$C$20),AE66-Uzman_D!$C$20)*0.1+IF(AF66-Uzman_D!$D$20&lt;0,-(AF66-Uzman_D!$D$20),AF66-Uzman_D!$D$20)*0.1+IF(AG66-Uzman_D!$E$20&lt;0,-(AG66-Uzman_D!$E$20),AG66-Uzman_D!$E$20)*0.1+IF(AH66-Uzman_D!$F$20&lt;0,-(AH66-Uzman_D!$F$20),AH66-Uzman_D!$F$20)*0.1+IF(AI66-Uzman_D!$G$20&lt;0,-(AI66-Uzman_D!$G$20),AI66-Uzman_D!$G$20)*0.1+IF(AJ66-Uzman_D!$H$20&lt;0,-(AJ66-Uzman_D!$H$20),AJ66-Uzman_D!$H$20)*0.1+IF(AK66-Uzman_D!$I$20&lt;0,-(AK66-Uzman_D!$I$20),AK66-Uzman_D!$I$20)*0.1+IF(AL66-Uzman_D!$J$20&lt;0,-(AL66-Uzman_D!$J$20),AL66-Uzman_D!$J$20)*0.1)+IF(ROUND((IF(AN66-Uzman_D!$L$20&lt;0,-(AN66-Uzman_D!$L$20),AN66-Uzman_D!$L$20)*2),0)/2=IF(AN66-Uzman_D!$L$20&lt;0,-(AN66-Uzman_D!$L$20),AN66-Uzman_D!$L$20),(ROUND((IF(AN66-Uzman_D!$L$20&lt;0,-(AN66-Uzman_D!$L$20),AN66-Uzman_D!$L$20)*2),0)/1*0.1),0)+IF(AO66-Uzman_D!$M$20&lt;0,-(AO66-Uzman_D!$M$20),AO66-Uzman_D!$M$20)*1)</f>
        <v>-0.40000000000000013</v>
      </c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70"/>
      <c r="BB66" s="70"/>
      <c r="BC66" s="71">
        <f>1-(SUM(IF(AQ66-Uzman_D!$B$21&lt;0,-(AQ66-Uzman_D!$B$21),AQ66-Uzman_D!$B$21)*0.1+IF(AR66-Uzman_D!$C$21&lt;0,-(AR66-Uzman_D!$C$21),AR66-Uzman_D!$C$21)*0.1+IF(AS66-Uzman_D!$D$21&lt;0,-(AS66-Uzman_D!$D$21),AS66-Uzman_D!$D$21)*0.1+IF(AT66-Uzman_D!$E$21&lt;0,-(AT66-Uzman_D!$E$21),AT66-Uzman_D!$E$21)*0.1+IF(AU66-Uzman_D!$F$21&lt;0,-(AU66-Uzman_D!$F$21),AU66-Uzman_D!$F$21)*0.1+IF(AV66-Uzman_D!$G$21&lt;0,-(AV66-Uzman_D!$G$21),AV66-Uzman_D!$G$21)*0.1+IF(AW66-Uzman_D!$H$21&lt;0,-(AW66-Uzman_D!$H$21),AW66-Uzman_D!$H$21)*0.1+IF(AX66-Uzman_D!$I$21&lt;0,-(AX66-Uzman_D!$I$21),AX66-Uzman_D!$I$21)*0.1+IF(AY66-Uzman_D!$J$21&lt;0,-(AY66-Uzman_D!$J$21),AY66-Uzman_D!$J$21)*0.1)+IF(ROUND((IF(BA66-Uzman_D!$L$21&lt;0,-(BA66-Uzman_D!$L$21),BA66-Uzman_D!$L$21)*2),0)/2=IF(BA66-Uzman_D!$L$21&lt;0,-(BA66-Uzman_D!$L$21),BA66-Uzman_D!$L$21),(ROUND((IF(BA66-Uzman_D!$L$21&lt;0,-(BA66-Uzman_D!$L$21),BA66-Uzman_D!$L$21)*2),0)/1*0.1),0)+IF(BB66-Uzman_D!$M$21&lt;0,-(BB66-Uzman_D!$M$21),BB66-Uzman_D!$M$21)*1)</f>
        <v>-0.10000000000000009</v>
      </c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70"/>
      <c r="BO66" s="70"/>
      <c r="BP66" s="71">
        <f>1-(SUM(IF(BD66-Uzman_D!$B$22&lt;0,-(BD66-Uzman_D!$B$22),BD66-Uzman_D!$B$22)*0.1+IF(BE66-Uzman_D!$C$22&lt;0,-(BE66-Uzman_D!$C$22),BE66-Uzman_D!$C$22)*0.1+IF(BF66-Uzman_D!$D$22&lt;0,-(BF66-Uzman_D!$D$22),BF66-Uzman_D!$D$22)*0.1+IF(BG66-Uzman_D!$E$22&lt;0,-(BG66-Uzman_D!$E$22),BG66-Uzman_D!$E$22)*0.1+IF(BH66-Uzman_D!$F$22&lt;0,-(BH66-Uzman_D!$F$22),BH66-Uzman_D!$F$22)*0.1+IF(BI66-Uzman_D!$G$22&lt;0,-(BI66-Uzman_D!$G$22),BI66-Uzman_D!$G$22)*0.1+IF(BJ66-Uzman_D!$H$22&lt;0,-(BJ66-Uzman_D!$H$22),BJ66-Uzman_D!$H$22)*0.1+IF(BK66-Uzman_D!$I$22&lt;0,-(BK66-Uzman_D!$I$22),BK66-Uzman_D!$I$22)*0.1+IF(BL66-Uzman_D!$J$22&lt;0,-(BL66-Uzman_D!$J$22),BL66-Uzman_D!$J$22)*0.1)+IF(ROUND((IF(BN66-Uzman_D!$L$22&lt;0,-(BN66-Uzman_D!$L$22),BN66-Uzman_D!$L$22)*2),0)/2=IF(BN66-Uzman_D!$L$22&lt;0,-(BN66-Uzman_D!$L$22),BN66-Uzman_D!$L$22),(ROUND((IF(BN66-Uzman_D!$L$22&lt;0,-(BN66-Uzman_D!$L$22),BN66-Uzman_D!$L$22)*2),0)/1*0.1),0)+IF(BO66-Uzman_D!$M$22&lt;0,-(BO66-Uzman_D!$M$22),BO66-Uzman_D!$M$22)*1)</f>
        <v>-0.10000000000000009</v>
      </c>
      <c r="BQ66" s="72">
        <f t="shared" si="1"/>
        <v>-0.28000000000000014</v>
      </c>
    </row>
    <row r="67" spans="1:69" ht="15" customHeight="1" x14ac:dyDescent="0.45">
      <c r="A67" s="54">
        <v>64</v>
      </c>
      <c r="B67" s="170">
        <f>Hakemler!B67</f>
        <v>0</v>
      </c>
      <c r="C67" s="170">
        <f>Hakemler!C67</f>
        <v>0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73"/>
      <c r="O67" s="73"/>
      <c r="P67" s="71">
        <f>1-(SUM(IF(D67-Uzman_D!$B$18&lt;0,-(D67-Uzman_D!$B$18),D67-Uzman_D!$B$18)*0.1+IF(E67-Uzman_D!$C$18&lt;0,-(E67-Uzman_D!$C$18),E67-Uzman_D!$C$18)*0.1+IF(F67-Uzman_D!$D$18&lt;0,-(F67-Uzman_D!$D$18),F67-Uzman_D!$D$18)*0.1+IF(G67-Uzman_D!$E$18&lt;0,-(G67-Uzman_D!$E$18),G67-Uzman_D!$E$18)*0.1+IF(H67-Uzman_D!$F$18&lt;0,-(H67-Uzman_D!$F$18),H67-Uzman_D!$F$18)*0.1+IF(I67-Uzman_D!$G$18&lt;0,-(I67-Uzman_D!$G$18),I67-Uzman_D!$G$18)*0.1+IF(J67-Uzman_D!$H$18&lt;0,-(J67-Uzman_D!$H$18),J67-Uzman_D!$H$18)*0.1+IF(K67-Uzman_D!$I$18&lt;0,-(K67-Uzman_D!$I$18),K67-Uzman_D!$I$18)*0.1+IF(L67-Uzman_D!$J$18&lt;0,-(L67-Uzman_D!$J$18),L67-Uzman_D!$J$18)*0.1)+IF(ROUND((IF(N67-Uzman_D!$L$18&lt;0,-(N67-Uzman_D!$L$18),N67-Uzman_D!$L$18)*2),0)/2=IF(N67-Uzman_D!$L$18&lt;0,-(N67-Uzman_D!$L$18),N67-Uzman_D!$L$18),(ROUND((IF(N67-Uzman_D!$L$18&lt;0,-(N67-Uzman_D!$L$18),N67-Uzman_D!$L$18)*2),0)/1*0.1),0)+IF(O67-Uzman_D!$M$18&lt;0,-(O67-Uzman_D!$M$18),O67-Uzman_D!$M$18)*1)</f>
        <v>-0.60000000000000009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73"/>
      <c r="AB67" s="73"/>
      <c r="AC67" s="71">
        <f>1-(SUM(IF(Q67-Uzman_D!$B$19&lt;0,-(Q67-Uzman_D!$B$19),Q67-Uzman_D!$B$19)*0.1+IF(R67-Uzman_D!$C$19&lt;0,-(R67-Uzman_D!$C$19),R67-Uzman_D!$C$19)*0.1+IF(S67-Uzman_D!$D$19&lt;0,-(S67-Uzman_D!$D$19),S67-Uzman_D!$D$19)*0.1+IF(T67-Uzman_D!$E$19&lt;0,-(T67-Uzman_D!$E$19),T67-Uzman_D!$E$19)*0.1+IF(U67-Uzman_D!$F$19&lt;0,-(U67-Uzman_D!$F$19),U67-Uzman_D!$F$19)*0.1+IF(V67-Uzman_D!$G$19&lt;0,-(V67-Uzman_D!$G$19),V67-Uzman_D!$G$19)*0.1+IF(W67-Uzman_D!$H$19&lt;0,-(W67-Uzman_D!$H$19),W67-Uzman_D!$H$19)*0.1+IF(X67-Uzman_D!$I$19&lt;0,-(X67-Uzman_D!$I$19),X67-Uzman_D!$I$19)*0.1+IF(Y67-Uzman_D!$J$19&lt;0,-(Y67-Uzman_D!$J$19),Y67-Uzman_D!$J$19)*0.1)+IF(ROUND((IF(AA67-Uzman_D!$L$19&lt;0,-(AA67-Uzman_D!$L$19),AA67-Uzman_D!$L$19)*2),0)/2=IF(AA67-Uzman_D!$L$19&lt;0,-(AA67-Uzman_D!$L$19),AA67-Uzman_D!$L$19),(ROUND((IF(AA67-Uzman_D!$L$19&lt;0,-(AA67-Uzman_D!$L$19),AA67-Uzman_D!$L$19)*2),0)/1*0.1),0)+IF(AB67-Uzman_D!$M$19&lt;0,-(AB67-Uzman_D!$M$19),AB67-Uzman_D!$M$19)*1)</f>
        <v>-0.20000000000000018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73"/>
      <c r="AO67" s="73"/>
      <c r="AP67" s="71">
        <f>1-(SUM(IF(AD67-Uzman_D!$B$20&lt;0,-(AD67-Uzman_D!$B$20),AD67-Uzman_D!$B$20)*0.1+IF(AE67-Uzman_D!$C$20&lt;0,-(AE67-Uzman_D!$C$20),AE67-Uzman_D!$C$20)*0.1+IF(AF67-Uzman_D!$D$20&lt;0,-(AF67-Uzman_D!$D$20),AF67-Uzman_D!$D$20)*0.1+IF(AG67-Uzman_D!$E$20&lt;0,-(AG67-Uzman_D!$E$20),AG67-Uzman_D!$E$20)*0.1+IF(AH67-Uzman_D!$F$20&lt;0,-(AH67-Uzman_D!$F$20),AH67-Uzman_D!$F$20)*0.1+IF(AI67-Uzman_D!$G$20&lt;0,-(AI67-Uzman_D!$G$20),AI67-Uzman_D!$G$20)*0.1+IF(AJ67-Uzman_D!$H$20&lt;0,-(AJ67-Uzman_D!$H$20),AJ67-Uzman_D!$H$20)*0.1+IF(AK67-Uzman_D!$I$20&lt;0,-(AK67-Uzman_D!$I$20),AK67-Uzman_D!$I$20)*0.1+IF(AL67-Uzman_D!$J$20&lt;0,-(AL67-Uzman_D!$J$20),AL67-Uzman_D!$J$20)*0.1)+IF(ROUND((IF(AN67-Uzman_D!$L$20&lt;0,-(AN67-Uzman_D!$L$20),AN67-Uzman_D!$L$20)*2),0)/2=IF(AN67-Uzman_D!$L$20&lt;0,-(AN67-Uzman_D!$L$20),AN67-Uzman_D!$L$20),(ROUND((IF(AN67-Uzman_D!$L$20&lt;0,-(AN67-Uzman_D!$L$20),AN67-Uzman_D!$L$20)*2),0)/1*0.1),0)+IF(AO67-Uzman_D!$M$20&lt;0,-(AO67-Uzman_D!$M$20),AO67-Uzman_D!$M$20)*1)</f>
        <v>-0.40000000000000013</v>
      </c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73"/>
      <c r="BB67" s="73"/>
      <c r="BC67" s="71">
        <f>1-(SUM(IF(AQ67-Uzman_D!$B$21&lt;0,-(AQ67-Uzman_D!$B$21),AQ67-Uzman_D!$B$21)*0.1+IF(AR67-Uzman_D!$C$21&lt;0,-(AR67-Uzman_D!$C$21),AR67-Uzman_D!$C$21)*0.1+IF(AS67-Uzman_D!$D$21&lt;0,-(AS67-Uzman_D!$D$21),AS67-Uzman_D!$D$21)*0.1+IF(AT67-Uzman_D!$E$21&lt;0,-(AT67-Uzman_D!$E$21),AT67-Uzman_D!$E$21)*0.1+IF(AU67-Uzman_D!$F$21&lt;0,-(AU67-Uzman_D!$F$21),AU67-Uzman_D!$F$21)*0.1+IF(AV67-Uzman_D!$G$21&lt;0,-(AV67-Uzman_D!$G$21),AV67-Uzman_D!$G$21)*0.1+IF(AW67-Uzman_D!$H$21&lt;0,-(AW67-Uzman_D!$H$21),AW67-Uzman_D!$H$21)*0.1+IF(AX67-Uzman_D!$I$21&lt;0,-(AX67-Uzman_D!$I$21),AX67-Uzman_D!$I$21)*0.1+IF(AY67-Uzman_D!$J$21&lt;0,-(AY67-Uzman_D!$J$21),AY67-Uzman_D!$J$21)*0.1)+IF(ROUND((IF(BA67-Uzman_D!$L$21&lt;0,-(BA67-Uzman_D!$L$21),BA67-Uzman_D!$L$21)*2),0)/2=IF(BA67-Uzman_D!$L$21&lt;0,-(BA67-Uzman_D!$L$21),BA67-Uzman_D!$L$21),(ROUND((IF(BA67-Uzman_D!$L$21&lt;0,-(BA67-Uzman_D!$L$21),BA67-Uzman_D!$L$21)*2),0)/1*0.1),0)+IF(BB67-Uzman_D!$M$21&lt;0,-(BB67-Uzman_D!$M$21),BB67-Uzman_D!$M$21)*1)</f>
        <v>-0.10000000000000009</v>
      </c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73"/>
      <c r="BO67" s="73"/>
      <c r="BP67" s="71">
        <f>1-(SUM(IF(BD67-Uzman_D!$B$22&lt;0,-(BD67-Uzman_D!$B$22),BD67-Uzman_D!$B$22)*0.1+IF(BE67-Uzman_D!$C$22&lt;0,-(BE67-Uzman_D!$C$22),BE67-Uzman_D!$C$22)*0.1+IF(BF67-Uzman_D!$D$22&lt;0,-(BF67-Uzman_D!$D$22),BF67-Uzman_D!$D$22)*0.1+IF(BG67-Uzman_D!$E$22&lt;0,-(BG67-Uzman_D!$E$22),BG67-Uzman_D!$E$22)*0.1+IF(BH67-Uzman_D!$F$22&lt;0,-(BH67-Uzman_D!$F$22),BH67-Uzman_D!$F$22)*0.1+IF(BI67-Uzman_D!$G$22&lt;0,-(BI67-Uzman_D!$G$22),BI67-Uzman_D!$G$22)*0.1+IF(BJ67-Uzman_D!$H$22&lt;0,-(BJ67-Uzman_D!$H$22),BJ67-Uzman_D!$H$22)*0.1+IF(BK67-Uzman_D!$I$22&lt;0,-(BK67-Uzman_D!$I$22),BK67-Uzman_D!$I$22)*0.1+IF(BL67-Uzman_D!$J$22&lt;0,-(BL67-Uzman_D!$J$22),BL67-Uzman_D!$J$22)*0.1)+IF(ROUND((IF(BN67-Uzman_D!$L$22&lt;0,-(BN67-Uzman_D!$L$22),BN67-Uzman_D!$L$22)*2),0)/2=IF(BN67-Uzman_D!$L$22&lt;0,-(BN67-Uzman_D!$L$22),BN67-Uzman_D!$L$22),(ROUND((IF(BN67-Uzman_D!$L$22&lt;0,-(BN67-Uzman_D!$L$22),BN67-Uzman_D!$L$22)*2),0)/1*0.1),0)+IF(BO67-Uzman_D!$M$22&lt;0,-(BO67-Uzman_D!$M$22),BO67-Uzman_D!$M$22)*1)</f>
        <v>-0.10000000000000009</v>
      </c>
      <c r="BQ67" s="72">
        <f t="shared" si="1"/>
        <v>-0.28000000000000014</v>
      </c>
    </row>
    <row r="68" spans="1:69" ht="15" customHeight="1" x14ac:dyDescent="0.45">
      <c r="A68" s="54">
        <v>65</v>
      </c>
      <c r="B68" s="170">
        <f>Hakemler!B68</f>
        <v>0</v>
      </c>
      <c r="C68" s="170">
        <f>Hakemler!C68</f>
        <v>0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73"/>
      <c r="O68" s="73"/>
      <c r="P68" s="71">
        <f>1-(SUM(IF(D68-Uzman_D!$B$18&lt;0,-(D68-Uzman_D!$B$18),D68-Uzman_D!$B$18)*0.1+IF(E68-Uzman_D!$C$18&lt;0,-(E68-Uzman_D!$C$18),E68-Uzman_D!$C$18)*0.1+IF(F68-Uzman_D!$D$18&lt;0,-(F68-Uzman_D!$D$18),F68-Uzman_D!$D$18)*0.1+IF(G68-Uzman_D!$E$18&lt;0,-(G68-Uzman_D!$E$18),G68-Uzman_D!$E$18)*0.1+IF(H68-Uzman_D!$F$18&lt;0,-(H68-Uzman_D!$F$18),H68-Uzman_D!$F$18)*0.1+IF(I68-Uzman_D!$G$18&lt;0,-(I68-Uzman_D!$G$18),I68-Uzman_D!$G$18)*0.1+IF(J68-Uzman_D!$H$18&lt;0,-(J68-Uzman_D!$H$18),J68-Uzman_D!$H$18)*0.1+IF(K68-Uzman_D!$I$18&lt;0,-(K68-Uzman_D!$I$18),K68-Uzman_D!$I$18)*0.1+IF(L68-Uzman_D!$J$18&lt;0,-(L68-Uzman_D!$J$18),L68-Uzman_D!$J$18)*0.1)+IF(ROUND((IF(N68-Uzman_D!$L$18&lt;0,-(N68-Uzman_D!$L$18),N68-Uzman_D!$L$18)*2),0)/2=IF(N68-Uzman_D!$L$18&lt;0,-(N68-Uzman_D!$L$18),N68-Uzman_D!$L$18),(ROUND((IF(N68-Uzman_D!$L$18&lt;0,-(N68-Uzman_D!$L$18),N68-Uzman_D!$L$18)*2),0)/1*0.1),0)+IF(O68-Uzman_D!$M$18&lt;0,-(O68-Uzman_D!$M$18),O68-Uzman_D!$M$18)*1)</f>
        <v>-0.60000000000000009</v>
      </c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73"/>
      <c r="AB68" s="73"/>
      <c r="AC68" s="71">
        <f>1-(SUM(IF(Q68-Uzman_D!$B$19&lt;0,-(Q68-Uzman_D!$B$19),Q68-Uzman_D!$B$19)*0.1+IF(R68-Uzman_D!$C$19&lt;0,-(R68-Uzman_D!$C$19),R68-Uzman_D!$C$19)*0.1+IF(S68-Uzman_D!$D$19&lt;0,-(S68-Uzman_D!$D$19),S68-Uzman_D!$D$19)*0.1+IF(T68-Uzman_D!$E$19&lt;0,-(T68-Uzman_D!$E$19),T68-Uzman_D!$E$19)*0.1+IF(U68-Uzman_D!$F$19&lt;0,-(U68-Uzman_D!$F$19),U68-Uzman_D!$F$19)*0.1+IF(V68-Uzman_D!$G$19&lt;0,-(V68-Uzman_D!$G$19),V68-Uzman_D!$G$19)*0.1+IF(W68-Uzman_D!$H$19&lt;0,-(W68-Uzman_D!$H$19),W68-Uzman_D!$H$19)*0.1+IF(X68-Uzman_D!$I$19&lt;0,-(X68-Uzman_D!$I$19),X68-Uzman_D!$I$19)*0.1+IF(Y68-Uzman_D!$J$19&lt;0,-(Y68-Uzman_D!$J$19),Y68-Uzman_D!$J$19)*0.1)+IF(ROUND((IF(AA68-Uzman_D!$L$19&lt;0,-(AA68-Uzman_D!$L$19),AA68-Uzman_D!$L$19)*2),0)/2=IF(AA68-Uzman_D!$L$19&lt;0,-(AA68-Uzman_D!$L$19),AA68-Uzman_D!$L$19),(ROUND((IF(AA68-Uzman_D!$L$19&lt;0,-(AA68-Uzman_D!$L$19),AA68-Uzman_D!$L$19)*2),0)/1*0.1),0)+IF(AB68-Uzman_D!$M$19&lt;0,-(AB68-Uzman_D!$M$19),AB68-Uzman_D!$M$19)*1)</f>
        <v>-0.20000000000000018</v>
      </c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73"/>
      <c r="AO68" s="73"/>
      <c r="AP68" s="71">
        <f>1-(SUM(IF(AD68-Uzman_D!$B$20&lt;0,-(AD68-Uzman_D!$B$20),AD68-Uzman_D!$B$20)*0.1+IF(AE68-Uzman_D!$C$20&lt;0,-(AE68-Uzman_D!$C$20),AE68-Uzman_D!$C$20)*0.1+IF(AF68-Uzman_D!$D$20&lt;0,-(AF68-Uzman_D!$D$20),AF68-Uzman_D!$D$20)*0.1+IF(AG68-Uzman_D!$E$20&lt;0,-(AG68-Uzman_D!$E$20),AG68-Uzman_D!$E$20)*0.1+IF(AH68-Uzman_D!$F$20&lt;0,-(AH68-Uzman_D!$F$20),AH68-Uzman_D!$F$20)*0.1+IF(AI68-Uzman_D!$G$20&lt;0,-(AI68-Uzman_D!$G$20),AI68-Uzman_D!$G$20)*0.1+IF(AJ68-Uzman_D!$H$20&lt;0,-(AJ68-Uzman_D!$H$20),AJ68-Uzman_D!$H$20)*0.1+IF(AK68-Uzman_D!$I$20&lt;0,-(AK68-Uzman_D!$I$20),AK68-Uzman_D!$I$20)*0.1+IF(AL68-Uzman_D!$J$20&lt;0,-(AL68-Uzman_D!$J$20),AL68-Uzman_D!$J$20)*0.1)+IF(ROUND((IF(AN68-Uzman_D!$L$20&lt;0,-(AN68-Uzman_D!$L$20),AN68-Uzman_D!$L$20)*2),0)/2=IF(AN68-Uzman_D!$L$20&lt;0,-(AN68-Uzman_D!$L$20),AN68-Uzman_D!$L$20),(ROUND((IF(AN68-Uzman_D!$L$20&lt;0,-(AN68-Uzman_D!$L$20),AN68-Uzman_D!$L$20)*2),0)/1*0.1),0)+IF(AO68-Uzman_D!$M$20&lt;0,-(AO68-Uzman_D!$M$20),AO68-Uzman_D!$M$20)*1)</f>
        <v>-0.40000000000000013</v>
      </c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73"/>
      <c r="BB68" s="73"/>
      <c r="BC68" s="71">
        <f>1-(SUM(IF(AQ68-Uzman_D!$B$21&lt;0,-(AQ68-Uzman_D!$B$21),AQ68-Uzman_D!$B$21)*0.1+IF(AR68-Uzman_D!$C$21&lt;0,-(AR68-Uzman_D!$C$21),AR68-Uzman_D!$C$21)*0.1+IF(AS68-Uzman_D!$D$21&lt;0,-(AS68-Uzman_D!$D$21),AS68-Uzman_D!$D$21)*0.1+IF(AT68-Uzman_D!$E$21&lt;0,-(AT68-Uzman_D!$E$21),AT68-Uzman_D!$E$21)*0.1+IF(AU68-Uzman_D!$F$21&lt;0,-(AU68-Uzman_D!$F$21),AU68-Uzman_D!$F$21)*0.1+IF(AV68-Uzman_D!$G$21&lt;0,-(AV68-Uzman_D!$G$21),AV68-Uzman_D!$G$21)*0.1+IF(AW68-Uzman_D!$H$21&lt;0,-(AW68-Uzman_D!$H$21),AW68-Uzman_D!$H$21)*0.1+IF(AX68-Uzman_D!$I$21&lt;0,-(AX68-Uzman_D!$I$21),AX68-Uzman_D!$I$21)*0.1+IF(AY68-Uzman_D!$J$21&lt;0,-(AY68-Uzman_D!$J$21),AY68-Uzman_D!$J$21)*0.1)+IF(ROUND((IF(BA68-Uzman_D!$L$21&lt;0,-(BA68-Uzman_D!$L$21),BA68-Uzman_D!$L$21)*2),0)/2=IF(BA68-Uzman_D!$L$21&lt;0,-(BA68-Uzman_D!$L$21),BA68-Uzman_D!$L$21),(ROUND((IF(BA68-Uzman_D!$L$21&lt;0,-(BA68-Uzman_D!$L$21),BA68-Uzman_D!$L$21)*2),0)/1*0.1),0)+IF(BB68-Uzman_D!$M$21&lt;0,-(BB68-Uzman_D!$M$21),BB68-Uzman_D!$M$21)*1)</f>
        <v>-0.10000000000000009</v>
      </c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73"/>
      <c r="BO68" s="73"/>
      <c r="BP68" s="71">
        <f>1-(SUM(IF(BD68-Uzman_D!$B$22&lt;0,-(BD68-Uzman_D!$B$22),BD68-Uzman_D!$B$22)*0.1+IF(BE68-Uzman_D!$C$22&lt;0,-(BE68-Uzman_D!$C$22),BE68-Uzman_D!$C$22)*0.1+IF(BF68-Uzman_D!$D$22&lt;0,-(BF68-Uzman_D!$D$22),BF68-Uzman_D!$D$22)*0.1+IF(BG68-Uzman_D!$E$22&lt;0,-(BG68-Uzman_D!$E$22),BG68-Uzman_D!$E$22)*0.1+IF(BH68-Uzman_D!$F$22&lt;0,-(BH68-Uzman_D!$F$22),BH68-Uzman_D!$F$22)*0.1+IF(BI68-Uzman_D!$G$22&lt;0,-(BI68-Uzman_D!$G$22),BI68-Uzman_D!$G$22)*0.1+IF(BJ68-Uzman_D!$H$22&lt;0,-(BJ68-Uzman_D!$H$22),BJ68-Uzman_D!$H$22)*0.1+IF(BK68-Uzman_D!$I$22&lt;0,-(BK68-Uzman_D!$I$22),BK68-Uzman_D!$I$22)*0.1+IF(BL68-Uzman_D!$J$22&lt;0,-(BL68-Uzman_D!$J$22),BL68-Uzman_D!$J$22)*0.1)+IF(ROUND((IF(BN68-Uzman_D!$L$22&lt;0,-(BN68-Uzman_D!$L$22),BN68-Uzman_D!$L$22)*2),0)/2=IF(BN68-Uzman_D!$L$22&lt;0,-(BN68-Uzman_D!$L$22),BN68-Uzman_D!$L$22),(ROUND((IF(BN68-Uzman_D!$L$22&lt;0,-(BN68-Uzman_D!$L$22),BN68-Uzman_D!$L$22)*2),0)/1*0.1),0)+IF(BO68-Uzman_D!$M$22&lt;0,-(BO68-Uzman_D!$M$22),BO68-Uzman_D!$M$22)*1)</f>
        <v>-0.10000000000000009</v>
      </c>
      <c r="BQ68" s="72">
        <f t="shared" ref="BQ68:BQ99" si="2">(P68+AC68+AP68+BC68+BP68)/5</f>
        <v>-0.28000000000000014</v>
      </c>
    </row>
    <row r="69" spans="1:69" ht="15" customHeight="1" x14ac:dyDescent="0.45">
      <c r="A69" s="54">
        <v>66</v>
      </c>
      <c r="B69" s="170">
        <f>Hakemler!B69</f>
        <v>0</v>
      </c>
      <c r="C69" s="170">
        <f>Hakemler!C69</f>
        <v>0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73"/>
      <c r="O69" s="73"/>
      <c r="P69" s="71">
        <f>1-(SUM(IF(D69-Uzman_D!$B$18&lt;0,-(D69-Uzman_D!$B$18),D69-Uzman_D!$B$18)*0.1+IF(E69-Uzman_D!$C$18&lt;0,-(E69-Uzman_D!$C$18),E69-Uzman_D!$C$18)*0.1+IF(F69-Uzman_D!$D$18&lt;0,-(F69-Uzman_D!$D$18),F69-Uzman_D!$D$18)*0.1+IF(G69-Uzman_D!$E$18&lt;0,-(G69-Uzman_D!$E$18),G69-Uzman_D!$E$18)*0.1+IF(H69-Uzman_D!$F$18&lt;0,-(H69-Uzman_D!$F$18),H69-Uzman_D!$F$18)*0.1+IF(I69-Uzman_D!$G$18&lt;0,-(I69-Uzman_D!$G$18),I69-Uzman_D!$G$18)*0.1+IF(J69-Uzman_D!$H$18&lt;0,-(J69-Uzman_D!$H$18),J69-Uzman_D!$H$18)*0.1+IF(K69-Uzman_D!$I$18&lt;0,-(K69-Uzman_D!$I$18),K69-Uzman_D!$I$18)*0.1+IF(L69-Uzman_D!$J$18&lt;0,-(L69-Uzman_D!$J$18),L69-Uzman_D!$J$18)*0.1)+IF(ROUND((IF(N69-Uzman_D!$L$18&lt;0,-(N69-Uzman_D!$L$18),N69-Uzman_D!$L$18)*2),0)/2=IF(N69-Uzman_D!$L$18&lt;0,-(N69-Uzman_D!$L$18),N69-Uzman_D!$L$18),(ROUND((IF(N69-Uzman_D!$L$18&lt;0,-(N69-Uzman_D!$L$18),N69-Uzman_D!$L$18)*2),0)/1*0.1),0)+IF(O69-Uzman_D!$M$18&lt;0,-(O69-Uzman_D!$M$18),O69-Uzman_D!$M$18)*1)</f>
        <v>-0.60000000000000009</v>
      </c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73"/>
      <c r="AB69" s="73"/>
      <c r="AC69" s="71">
        <f>1-(SUM(IF(Q69-Uzman_D!$B$19&lt;0,-(Q69-Uzman_D!$B$19),Q69-Uzman_D!$B$19)*0.1+IF(R69-Uzman_D!$C$19&lt;0,-(R69-Uzman_D!$C$19),R69-Uzman_D!$C$19)*0.1+IF(S69-Uzman_D!$D$19&lt;0,-(S69-Uzman_D!$D$19),S69-Uzman_D!$D$19)*0.1+IF(T69-Uzman_D!$E$19&lt;0,-(T69-Uzman_D!$E$19),T69-Uzman_D!$E$19)*0.1+IF(U69-Uzman_D!$F$19&lt;0,-(U69-Uzman_D!$F$19),U69-Uzman_D!$F$19)*0.1+IF(V69-Uzman_D!$G$19&lt;0,-(V69-Uzman_D!$G$19),V69-Uzman_D!$G$19)*0.1+IF(W69-Uzman_D!$H$19&lt;0,-(W69-Uzman_D!$H$19),W69-Uzman_D!$H$19)*0.1+IF(X69-Uzman_D!$I$19&lt;0,-(X69-Uzman_D!$I$19),X69-Uzman_D!$I$19)*0.1+IF(Y69-Uzman_D!$J$19&lt;0,-(Y69-Uzman_D!$J$19),Y69-Uzman_D!$J$19)*0.1)+IF(ROUND((IF(AA69-Uzman_D!$L$19&lt;0,-(AA69-Uzman_D!$L$19),AA69-Uzman_D!$L$19)*2),0)/2=IF(AA69-Uzman_D!$L$19&lt;0,-(AA69-Uzman_D!$L$19),AA69-Uzman_D!$L$19),(ROUND((IF(AA69-Uzman_D!$L$19&lt;0,-(AA69-Uzman_D!$L$19),AA69-Uzman_D!$L$19)*2),0)/1*0.1),0)+IF(AB69-Uzman_D!$M$19&lt;0,-(AB69-Uzman_D!$M$19),AB69-Uzman_D!$M$19)*1)</f>
        <v>-0.20000000000000018</v>
      </c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73"/>
      <c r="AO69" s="73"/>
      <c r="AP69" s="71">
        <f>1-(SUM(IF(AD69-Uzman_D!$B$20&lt;0,-(AD69-Uzman_D!$B$20),AD69-Uzman_D!$B$20)*0.1+IF(AE69-Uzman_D!$C$20&lt;0,-(AE69-Uzman_D!$C$20),AE69-Uzman_D!$C$20)*0.1+IF(AF69-Uzman_D!$D$20&lt;0,-(AF69-Uzman_D!$D$20),AF69-Uzman_D!$D$20)*0.1+IF(AG69-Uzman_D!$E$20&lt;0,-(AG69-Uzman_D!$E$20),AG69-Uzman_D!$E$20)*0.1+IF(AH69-Uzman_D!$F$20&lt;0,-(AH69-Uzman_D!$F$20),AH69-Uzman_D!$F$20)*0.1+IF(AI69-Uzman_D!$G$20&lt;0,-(AI69-Uzman_D!$G$20),AI69-Uzman_D!$G$20)*0.1+IF(AJ69-Uzman_D!$H$20&lt;0,-(AJ69-Uzman_D!$H$20),AJ69-Uzman_D!$H$20)*0.1+IF(AK69-Uzman_D!$I$20&lt;0,-(AK69-Uzman_D!$I$20),AK69-Uzman_D!$I$20)*0.1+IF(AL69-Uzman_D!$J$20&lt;0,-(AL69-Uzman_D!$J$20),AL69-Uzman_D!$J$20)*0.1)+IF(ROUND((IF(AN69-Uzman_D!$L$20&lt;0,-(AN69-Uzman_D!$L$20),AN69-Uzman_D!$L$20)*2),0)/2=IF(AN69-Uzman_D!$L$20&lt;0,-(AN69-Uzman_D!$L$20),AN69-Uzman_D!$L$20),(ROUND((IF(AN69-Uzman_D!$L$20&lt;0,-(AN69-Uzman_D!$L$20),AN69-Uzman_D!$L$20)*2),0)/1*0.1),0)+IF(AO69-Uzman_D!$M$20&lt;0,-(AO69-Uzman_D!$M$20),AO69-Uzman_D!$M$20)*1)</f>
        <v>-0.40000000000000013</v>
      </c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73"/>
      <c r="BB69" s="73"/>
      <c r="BC69" s="71">
        <f>1-(SUM(IF(AQ69-Uzman_D!$B$21&lt;0,-(AQ69-Uzman_D!$B$21),AQ69-Uzman_D!$B$21)*0.1+IF(AR69-Uzman_D!$C$21&lt;0,-(AR69-Uzman_D!$C$21),AR69-Uzman_D!$C$21)*0.1+IF(AS69-Uzman_D!$D$21&lt;0,-(AS69-Uzman_D!$D$21),AS69-Uzman_D!$D$21)*0.1+IF(AT69-Uzman_D!$E$21&lt;0,-(AT69-Uzman_D!$E$21),AT69-Uzman_D!$E$21)*0.1+IF(AU69-Uzman_D!$F$21&lt;0,-(AU69-Uzman_D!$F$21),AU69-Uzman_D!$F$21)*0.1+IF(AV69-Uzman_D!$G$21&lt;0,-(AV69-Uzman_D!$G$21),AV69-Uzman_D!$G$21)*0.1+IF(AW69-Uzman_D!$H$21&lt;0,-(AW69-Uzman_D!$H$21),AW69-Uzman_D!$H$21)*0.1+IF(AX69-Uzman_D!$I$21&lt;0,-(AX69-Uzman_D!$I$21),AX69-Uzman_D!$I$21)*0.1+IF(AY69-Uzman_D!$J$21&lt;0,-(AY69-Uzman_D!$J$21),AY69-Uzman_D!$J$21)*0.1)+IF(ROUND((IF(BA69-Uzman_D!$L$21&lt;0,-(BA69-Uzman_D!$L$21),BA69-Uzman_D!$L$21)*2),0)/2=IF(BA69-Uzman_D!$L$21&lt;0,-(BA69-Uzman_D!$L$21),BA69-Uzman_D!$L$21),(ROUND((IF(BA69-Uzman_D!$L$21&lt;0,-(BA69-Uzman_D!$L$21),BA69-Uzman_D!$L$21)*2),0)/1*0.1),0)+IF(BB69-Uzman_D!$M$21&lt;0,-(BB69-Uzman_D!$M$21),BB69-Uzman_D!$M$21)*1)</f>
        <v>-0.10000000000000009</v>
      </c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73"/>
      <c r="BO69" s="73"/>
      <c r="BP69" s="71">
        <f>1-(SUM(IF(BD69-Uzman_D!$B$22&lt;0,-(BD69-Uzman_D!$B$22),BD69-Uzman_D!$B$22)*0.1+IF(BE69-Uzman_D!$C$22&lt;0,-(BE69-Uzman_D!$C$22),BE69-Uzman_D!$C$22)*0.1+IF(BF69-Uzman_D!$D$22&lt;0,-(BF69-Uzman_D!$D$22),BF69-Uzman_D!$D$22)*0.1+IF(BG69-Uzman_D!$E$22&lt;0,-(BG69-Uzman_D!$E$22),BG69-Uzman_D!$E$22)*0.1+IF(BH69-Uzman_D!$F$22&lt;0,-(BH69-Uzman_D!$F$22),BH69-Uzman_D!$F$22)*0.1+IF(BI69-Uzman_D!$G$22&lt;0,-(BI69-Uzman_D!$G$22),BI69-Uzman_D!$G$22)*0.1+IF(BJ69-Uzman_D!$H$22&lt;0,-(BJ69-Uzman_D!$H$22),BJ69-Uzman_D!$H$22)*0.1+IF(BK69-Uzman_D!$I$22&lt;0,-(BK69-Uzman_D!$I$22),BK69-Uzman_D!$I$22)*0.1+IF(BL69-Uzman_D!$J$22&lt;0,-(BL69-Uzman_D!$J$22),BL69-Uzman_D!$J$22)*0.1)+IF(ROUND((IF(BN69-Uzman_D!$L$22&lt;0,-(BN69-Uzman_D!$L$22),BN69-Uzman_D!$L$22)*2),0)/2=IF(BN69-Uzman_D!$L$22&lt;0,-(BN69-Uzman_D!$L$22),BN69-Uzman_D!$L$22),(ROUND((IF(BN69-Uzman_D!$L$22&lt;0,-(BN69-Uzman_D!$L$22),BN69-Uzman_D!$L$22)*2),0)/1*0.1),0)+IF(BO69-Uzman_D!$M$22&lt;0,-(BO69-Uzman_D!$M$22),BO69-Uzman_D!$M$22)*1)</f>
        <v>-0.10000000000000009</v>
      </c>
      <c r="BQ69" s="72">
        <f t="shared" si="2"/>
        <v>-0.28000000000000014</v>
      </c>
    </row>
    <row r="70" spans="1:69" ht="15" customHeight="1" x14ac:dyDescent="0.45">
      <c r="A70" s="54">
        <v>67</v>
      </c>
      <c r="B70" s="170">
        <f>Hakemler!B70</f>
        <v>0</v>
      </c>
      <c r="C70" s="170">
        <f>Hakemler!C70</f>
        <v>0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73"/>
      <c r="O70" s="73"/>
      <c r="P70" s="71">
        <f>1-(SUM(IF(D70-Uzman_D!$B$18&lt;0,-(D70-Uzman_D!$B$18),D70-Uzman_D!$B$18)*0.1+IF(E70-Uzman_D!$C$18&lt;0,-(E70-Uzman_D!$C$18),E70-Uzman_D!$C$18)*0.1+IF(F70-Uzman_D!$D$18&lt;0,-(F70-Uzman_D!$D$18),F70-Uzman_D!$D$18)*0.1+IF(G70-Uzman_D!$E$18&lt;0,-(G70-Uzman_D!$E$18),G70-Uzman_D!$E$18)*0.1+IF(H70-Uzman_D!$F$18&lt;0,-(H70-Uzman_D!$F$18),H70-Uzman_D!$F$18)*0.1+IF(I70-Uzman_D!$G$18&lt;0,-(I70-Uzman_D!$G$18),I70-Uzman_D!$G$18)*0.1+IF(J70-Uzman_D!$H$18&lt;0,-(J70-Uzman_D!$H$18),J70-Uzman_D!$H$18)*0.1+IF(K70-Uzman_D!$I$18&lt;0,-(K70-Uzman_D!$I$18),K70-Uzman_D!$I$18)*0.1+IF(L70-Uzman_D!$J$18&lt;0,-(L70-Uzman_D!$J$18),L70-Uzman_D!$J$18)*0.1)+IF(ROUND((IF(N70-Uzman_D!$L$18&lt;0,-(N70-Uzman_D!$L$18),N70-Uzman_D!$L$18)*2),0)/2=IF(N70-Uzman_D!$L$18&lt;0,-(N70-Uzman_D!$L$18),N70-Uzman_D!$L$18),(ROUND((IF(N70-Uzman_D!$L$18&lt;0,-(N70-Uzman_D!$L$18),N70-Uzman_D!$L$18)*2),0)/1*0.1),0)+IF(O70-Uzman_D!$M$18&lt;0,-(O70-Uzman_D!$M$18),O70-Uzman_D!$M$18)*1)</f>
        <v>-0.60000000000000009</v>
      </c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73"/>
      <c r="AB70" s="73"/>
      <c r="AC70" s="71">
        <f>1-(SUM(IF(Q70-Uzman_D!$B$19&lt;0,-(Q70-Uzman_D!$B$19),Q70-Uzman_D!$B$19)*0.1+IF(R70-Uzman_D!$C$19&lt;0,-(R70-Uzman_D!$C$19),R70-Uzman_D!$C$19)*0.1+IF(S70-Uzman_D!$D$19&lt;0,-(S70-Uzman_D!$D$19),S70-Uzman_D!$D$19)*0.1+IF(T70-Uzman_D!$E$19&lt;0,-(T70-Uzman_D!$E$19),T70-Uzman_D!$E$19)*0.1+IF(U70-Uzman_D!$F$19&lt;0,-(U70-Uzman_D!$F$19),U70-Uzman_D!$F$19)*0.1+IF(V70-Uzman_D!$G$19&lt;0,-(V70-Uzman_D!$G$19),V70-Uzman_D!$G$19)*0.1+IF(W70-Uzman_D!$H$19&lt;0,-(W70-Uzman_D!$H$19),W70-Uzman_D!$H$19)*0.1+IF(X70-Uzman_D!$I$19&lt;0,-(X70-Uzman_D!$I$19),X70-Uzman_D!$I$19)*0.1+IF(Y70-Uzman_D!$J$19&lt;0,-(Y70-Uzman_D!$J$19),Y70-Uzman_D!$J$19)*0.1)+IF(ROUND((IF(AA70-Uzman_D!$L$19&lt;0,-(AA70-Uzman_D!$L$19),AA70-Uzman_D!$L$19)*2),0)/2=IF(AA70-Uzman_D!$L$19&lt;0,-(AA70-Uzman_D!$L$19),AA70-Uzman_D!$L$19),(ROUND((IF(AA70-Uzman_D!$L$19&lt;0,-(AA70-Uzman_D!$L$19),AA70-Uzman_D!$L$19)*2),0)/1*0.1),0)+IF(AB70-Uzman_D!$M$19&lt;0,-(AB70-Uzman_D!$M$19),AB70-Uzman_D!$M$19)*1)</f>
        <v>-0.20000000000000018</v>
      </c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73"/>
      <c r="AO70" s="73"/>
      <c r="AP70" s="71">
        <f>1-(SUM(IF(AD70-Uzman_D!$B$20&lt;0,-(AD70-Uzman_D!$B$20),AD70-Uzman_D!$B$20)*0.1+IF(AE70-Uzman_D!$C$20&lt;0,-(AE70-Uzman_D!$C$20),AE70-Uzman_D!$C$20)*0.1+IF(AF70-Uzman_D!$D$20&lt;0,-(AF70-Uzman_D!$D$20),AF70-Uzman_D!$D$20)*0.1+IF(AG70-Uzman_D!$E$20&lt;0,-(AG70-Uzman_D!$E$20),AG70-Uzman_D!$E$20)*0.1+IF(AH70-Uzman_D!$F$20&lt;0,-(AH70-Uzman_D!$F$20),AH70-Uzman_D!$F$20)*0.1+IF(AI70-Uzman_D!$G$20&lt;0,-(AI70-Uzman_D!$G$20),AI70-Uzman_D!$G$20)*0.1+IF(AJ70-Uzman_D!$H$20&lt;0,-(AJ70-Uzman_D!$H$20),AJ70-Uzman_D!$H$20)*0.1+IF(AK70-Uzman_D!$I$20&lt;0,-(AK70-Uzman_D!$I$20),AK70-Uzman_D!$I$20)*0.1+IF(AL70-Uzman_D!$J$20&lt;0,-(AL70-Uzman_D!$J$20),AL70-Uzman_D!$J$20)*0.1)+IF(ROUND((IF(AN70-Uzman_D!$L$20&lt;0,-(AN70-Uzman_D!$L$20),AN70-Uzman_D!$L$20)*2),0)/2=IF(AN70-Uzman_D!$L$20&lt;0,-(AN70-Uzman_D!$L$20),AN70-Uzman_D!$L$20),(ROUND((IF(AN70-Uzman_D!$L$20&lt;0,-(AN70-Uzman_D!$L$20),AN70-Uzman_D!$L$20)*2),0)/1*0.1),0)+IF(AO70-Uzman_D!$M$20&lt;0,-(AO70-Uzman_D!$M$20),AO70-Uzman_D!$M$20)*1)</f>
        <v>-0.40000000000000013</v>
      </c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73"/>
      <c r="BB70" s="73"/>
      <c r="BC70" s="71">
        <f>1-(SUM(IF(AQ70-Uzman_D!$B$21&lt;0,-(AQ70-Uzman_D!$B$21),AQ70-Uzman_D!$B$21)*0.1+IF(AR70-Uzman_D!$C$21&lt;0,-(AR70-Uzman_D!$C$21),AR70-Uzman_D!$C$21)*0.1+IF(AS70-Uzman_D!$D$21&lt;0,-(AS70-Uzman_D!$D$21),AS70-Uzman_D!$D$21)*0.1+IF(AT70-Uzman_D!$E$21&lt;0,-(AT70-Uzman_D!$E$21),AT70-Uzman_D!$E$21)*0.1+IF(AU70-Uzman_D!$F$21&lt;0,-(AU70-Uzman_D!$F$21),AU70-Uzman_D!$F$21)*0.1+IF(AV70-Uzman_D!$G$21&lt;0,-(AV70-Uzman_D!$G$21),AV70-Uzman_D!$G$21)*0.1+IF(AW70-Uzman_D!$H$21&lt;0,-(AW70-Uzman_D!$H$21),AW70-Uzman_D!$H$21)*0.1+IF(AX70-Uzman_D!$I$21&lt;0,-(AX70-Uzman_D!$I$21),AX70-Uzman_D!$I$21)*0.1+IF(AY70-Uzman_D!$J$21&lt;0,-(AY70-Uzman_D!$J$21),AY70-Uzman_D!$J$21)*0.1)+IF(ROUND((IF(BA70-Uzman_D!$L$21&lt;0,-(BA70-Uzman_D!$L$21),BA70-Uzman_D!$L$21)*2),0)/2=IF(BA70-Uzman_D!$L$21&lt;0,-(BA70-Uzman_D!$L$21),BA70-Uzman_D!$L$21),(ROUND((IF(BA70-Uzman_D!$L$21&lt;0,-(BA70-Uzman_D!$L$21),BA70-Uzman_D!$L$21)*2),0)/1*0.1),0)+IF(BB70-Uzman_D!$M$21&lt;0,-(BB70-Uzman_D!$M$21),BB70-Uzman_D!$M$21)*1)</f>
        <v>-0.10000000000000009</v>
      </c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73"/>
      <c r="BO70" s="73"/>
      <c r="BP70" s="71">
        <f>1-(SUM(IF(BD70-Uzman_D!$B$22&lt;0,-(BD70-Uzman_D!$B$22),BD70-Uzman_D!$B$22)*0.1+IF(BE70-Uzman_D!$C$22&lt;0,-(BE70-Uzman_D!$C$22),BE70-Uzman_D!$C$22)*0.1+IF(BF70-Uzman_D!$D$22&lt;0,-(BF70-Uzman_D!$D$22),BF70-Uzman_D!$D$22)*0.1+IF(BG70-Uzman_D!$E$22&lt;0,-(BG70-Uzman_D!$E$22),BG70-Uzman_D!$E$22)*0.1+IF(BH70-Uzman_D!$F$22&lt;0,-(BH70-Uzman_D!$F$22),BH70-Uzman_D!$F$22)*0.1+IF(BI70-Uzman_D!$G$22&lt;0,-(BI70-Uzman_D!$G$22),BI70-Uzman_D!$G$22)*0.1+IF(BJ70-Uzman_D!$H$22&lt;0,-(BJ70-Uzman_D!$H$22),BJ70-Uzman_D!$H$22)*0.1+IF(BK70-Uzman_D!$I$22&lt;0,-(BK70-Uzman_D!$I$22),BK70-Uzman_D!$I$22)*0.1+IF(BL70-Uzman_D!$J$22&lt;0,-(BL70-Uzman_D!$J$22),BL70-Uzman_D!$J$22)*0.1)+IF(ROUND((IF(BN70-Uzman_D!$L$22&lt;0,-(BN70-Uzman_D!$L$22),BN70-Uzman_D!$L$22)*2),0)/2=IF(BN70-Uzman_D!$L$22&lt;0,-(BN70-Uzman_D!$L$22),BN70-Uzman_D!$L$22),(ROUND((IF(BN70-Uzman_D!$L$22&lt;0,-(BN70-Uzman_D!$L$22),BN70-Uzman_D!$L$22)*2),0)/1*0.1),0)+IF(BO70-Uzman_D!$M$22&lt;0,-(BO70-Uzman_D!$M$22),BO70-Uzman_D!$M$22)*1)</f>
        <v>-0.10000000000000009</v>
      </c>
      <c r="BQ70" s="72">
        <f t="shared" si="2"/>
        <v>-0.28000000000000014</v>
      </c>
    </row>
    <row r="71" spans="1:69" ht="15" customHeight="1" x14ac:dyDescent="0.45">
      <c r="A71" s="54">
        <v>68</v>
      </c>
      <c r="B71" s="170">
        <f>Hakemler!B71</f>
        <v>0</v>
      </c>
      <c r="C71" s="170">
        <f>Hakemler!C71</f>
        <v>0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73"/>
      <c r="O71" s="73"/>
      <c r="P71" s="71">
        <f>1-(SUM(IF(D71-Uzman_D!$B$18&lt;0,-(D71-Uzman_D!$B$18),D71-Uzman_D!$B$18)*0.1+IF(E71-Uzman_D!$C$18&lt;0,-(E71-Uzman_D!$C$18),E71-Uzman_D!$C$18)*0.1+IF(F71-Uzman_D!$D$18&lt;0,-(F71-Uzman_D!$D$18),F71-Uzman_D!$D$18)*0.1+IF(G71-Uzman_D!$E$18&lt;0,-(G71-Uzman_D!$E$18),G71-Uzman_D!$E$18)*0.1+IF(H71-Uzman_D!$F$18&lt;0,-(H71-Uzman_D!$F$18),H71-Uzman_D!$F$18)*0.1+IF(I71-Uzman_D!$G$18&lt;0,-(I71-Uzman_D!$G$18),I71-Uzman_D!$G$18)*0.1+IF(J71-Uzman_D!$H$18&lt;0,-(J71-Uzman_D!$H$18),J71-Uzman_D!$H$18)*0.1+IF(K71-Uzman_D!$I$18&lt;0,-(K71-Uzman_D!$I$18),K71-Uzman_D!$I$18)*0.1+IF(L71-Uzman_D!$J$18&lt;0,-(L71-Uzman_D!$J$18),L71-Uzman_D!$J$18)*0.1)+IF(ROUND((IF(N71-Uzman_D!$L$18&lt;0,-(N71-Uzman_D!$L$18),N71-Uzman_D!$L$18)*2),0)/2=IF(N71-Uzman_D!$L$18&lt;0,-(N71-Uzman_D!$L$18),N71-Uzman_D!$L$18),(ROUND((IF(N71-Uzman_D!$L$18&lt;0,-(N71-Uzman_D!$L$18),N71-Uzman_D!$L$18)*2),0)/1*0.1),0)+IF(O71-Uzman_D!$M$18&lt;0,-(O71-Uzman_D!$M$18),O71-Uzman_D!$M$18)*1)</f>
        <v>-0.60000000000000009</v>
      </c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73"/>
      <c r="AB71" s="73"/>
      <c r="AC71" s="71">
        <f>1-(SUM(IF(Q71-Uzman_D!$B$19&lt;0,-(Q71-Uzman_D!$B$19),Q71-Uzman_D!$B$19)*0.1+IF(R71-Uzman_D!$C$19&lt;0,-(R71-Uzman_D!$C$19),R71-Uzman_D!$C$19)*0.1+IF(S71-Uzman_D!$D$19&lt;0,-(S71-Uzman_D!$D$19),S71-Uzman_D!$D$19)*0.1+IF(T71-Uzman_D!$E$19&lt;0,-(T71-Uzman_D!$E$19),T71-Uzman_D!$E$19)*0.1+IF(U71-Uzman_D!$F$19&lt;0,-(U71-Uzman_D!$F$19),U71-Uzman_D!$F$19)*0.1+IF(V71-Uzman_D!$G$19&lt;0,-(V71-Uzman_D!$G$19),V71-Uzman_D!$G$19)*0.1+IF(W71-Uzman_D!$H$19&lt;0,-(W71-Uzman_D!$H$19),W71-Uzman_D!$H$19)*0.1+IF(X71-Uzman_D!$I$19&lt;0,-(X71-Uzman_D!$I$19),X71-Uzman_D!$I$19)*0.1+IF(Y71-Uzman_D!$J$19&lt;0,-(Y71-Uzman_D!$J$19),Y71-Uzman_D!$J$19)*0.1)+IF(ROUND((IF(AA71-Uzman_D!$L$19&lt;0,-(AA71-Uzman_D!$L$19),AA71-Uzman_D!$L$19)*2),0)/2=IF(AA71-Uzman_D!$L$19&lt;0,-(AA71-Uzman_D!$L$19),AA71-Uzman_D!$L$19),(ROUND((IF(AA71-Uzman_D!$L$19&lt;0,-(AA71-Uzman_D!$L$19),AA71-Uzman_D!$L$19)*2),0)/1*0.1),0)+IF(AB71-Uzman_D!$M$19&lt;0,-(AB71-Uzman_D!$M$19),AB71-Uzman_D!$M$19)*1)</f>
        <v>-0.20000000000000018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73"/>
      <c r="AO71" s="73"/>
      <c r="AP71" s="71">
        <f>1-(SUM(IF(AD71-Uzman_D!$B$20&lt;0,-(AD71-Uzman_D!$B$20),AD71-Uzman_D!$B$20)*0.1+IF(AE71-Uzman_D!$C$20&lt;0,-(AE71-Uzman_D!$C$20),AE71-Uzman_D!$C$20)*0.1+IF(AF71-Uzman_D!$D$20&lt;0,-(AF71-Uzman_D!$D$20),AF71-Uzman_D!$D$20)*0.1+IF(AG71-Uzman_D!$E$20&lt;0,-(AG71-Uzman_D!$E$20),AG71-Uzman_D!$E$20)*0.1+IF(AH71-Uzman_D!$F$20&lt;0,-(AH71-Uzman_D!$F$20),AH71-Uzman_D!$F$20)*0.1+IF(AI71-Uzman_D!$G$20&lt;0,-(AI71-Uzman_D!$G$20),AI71-Uzman_D!$G$20)*0.1+IF(AJ71-Uzman_D!$H$20&lt;0,-(AJ71-Uzman_D!$H$20),AJ71-Uzman_D!$H$20)*0.1+IF(AK71-Uzman_D!$I$20&lt;0,-(AK71-Uzman_D!$I$20),AK71-Uzman_D!$I$20)*0.1+IF(AL71-Uzman_D!$J$20&lt;0,-(AL71-Uzman_D!$J$20),AL71-Uzman_D!$J$20)*0.1)+IF(ROUND((IF(AN71-Uzman_D!$L$20&lt;0,-(AN71-Uzman_D!$L$20),AN71-Uzman_D!$L$20)*2),0)/2=IF(AN71-Uzman_D!$L$20&lt;0,-(AN71-Uzman_D!$L$20),AN71-Uzman_D!$L$20),(ROUND((IF(AN71-Uzman_D!$L$20&lt;0,-(AN71-Uzman_D!$L$20),AN71-Uzman_D!$L$20)*2),0)/1*0.1),0)+IF(AO71-Uzman_D!$M$20&lt;0,-(AO71-Uzman_D!$M$20),AO71-Uzman_D!$M$20)*1)</f>
        <v>-0.40000000000000013</v>
      </c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73"/>
      <c r="BB71" s="73"/>
      <c r="BC71" s="71">
        <f>1-(SUM(IF(AQ71-Uzman_D!$B$21&lt;0,-(AQ71-Uzman_D!$B$21),AQ71-Uzman_D!$B$21)*0.1+IF(AR71-Uzman_D!$C$21&lt;0,-(AR71-Uzman_D!$C$21),AR71-Uzman_D!$C$21)*0.1+IF(AS71-Uzman_D!$D$21&lt;0,-(AS71-Uzman_D!$D$21),AS71-Uzman_D!$D$21)*0.1+IF(AT71-Uzman_D!$E$21&lt;0,-(AT71-Uzman_D!$E$21),AT71-Uzman_D!$E$21)*0.1+IF(AU71-Uzman_D!$F$21&lt;0,-(AU71-Uzman_D!$F$21),AU71-Uzman_D!$F$21)*0.1+IF(AV71-Uzman_D!$G$21&lt;0,-(AV71-Uzman_D!$G$21),AV71-Uzman_D!$G$21)*0.1+IF(AW71-Uzman_D!$H$21&lt;0,-(AW71-Uzman_D!$H$21),AW71-Uzman_D!$H$21)*0.1+IF(AX71-Uzman_D!$I$21&lt;0,-(AX71-Uzman_D!$I$21),AX71-Uzman_D!$I$21)*0.1+IF(AY71-Uzman_D!$J$21&lt;0,-(AY71-Uzman_D!$J$21),AY71-Uzman_D!$J$21)*0.1)+IF(ROUND((IF(BA71-Uzman_D!$L$21&lt;0,-(BA71-Uzman_D!$L$21),BA71-Uzman_D!$L$21)*2),0)/2=IF(BA71-Uzman_D!$L$21&lt;0,-(BA71-Uzman_D!$L$21),BA71-Uzman_D!$L$21),(ROUND((IF(BA71-Uzman_D!$L$21&lt;0,-(BA71-Uzman_D!$L$21),BA71-Uzman_D!$L$21)*2),0)/1*0.1),0)+IF(BB71-Uzman_D!$M$21&lt;0,-(BB71-Uzman_D!$M$21),BB71-Uzman_D!$M$21)*1)</f>
        <v>-0.10000000000000009</v>
      </c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73"/>
      <c r="BO71" s="73"/>
      <c r="BP71" s="71">
        <f>1-(SUM(IF(BD71-Uzman_D!$B$22&lt;0,-(BD71-Uzman_D!$B$22),BD71-Uzman_D!$B$22)*0.1+IF(BE71-Uzman_D!$C$22&lt;0,-(BE71-Uzman_D!$C$22),BE71-Uzman_D!$C$22)*0.1+IF(BF71-Uzman_D!$D$22&lt;0,-(BF71-Uzman_D!$D$22),BF71-Uzman_D!$D$22)*0.1+IF(BG71-Uzman_D!$E$22&lt;0,-(BG71-Uzman_D!$E$22),BG71-Uzman_D!$E$22)*0.1+IF(BH71-Uzman_D!$F$22&lt;0,-(BH71-Uzman_D!$F$22),BH71-Uzman_D!$F$22)*0.1+IF(BI71-Uzman_D!$G$22&lt;0,-(BI71-Uzman_D!$G$22),BI71-Uzman_D!$G$22)*0.1+IF(BJ71-Uzman_D!$H$22&lt;0,-(BJ71-Uzman_D!$H$22),BJ71-Uzman_D!$H$22)*0.1+IF(BK71-Uzman_D!$I$22&lt;0,-(BK71-Uzman_D!$I$22),BK71-Uzman_D!$I$22)*0.1+IF(BL71-Uzman_D!$J$22&lt;0,-(BL71-Uzman_D!$J$22),BL71-Uzman_D!$J$22)*0.1)+IF(ROUND((IF(BN71-Uzman_D!$L$22&lt;0,-(BN71-Uzman_D!$L$22),BN71-Uzman_D!$L$22)*2),0)/2=IF(BN71-Uzman_D!$L$22&lt;0,-(BN71-Uzman_D!$L$22),BN71-Uzman_D!$L$22),(ROUND((IF(BN71-Uzman_D!$L$22&lt;0,-(BN71-Uzman_D!$L$22),BN71-Uzman_D!$L$22)*2),0)/1*0.1),0)+IF(BO71-Uzman_D!$M$22&lt;0,-(BO71-Uzman_D!$M$22),BO71-Uzman_D!$M$22)*1)</f>
        <v>-0.10000000000000009</v>
      </c>
      <c r="BQ71" s="72">
        <f t="shared" si="2"/>
        <v>-0.28000000000000014</v>
      </c>
    </row>
    <row r="72" spans="1:69" ht="15" customHeight="1" x14ac:dyDescent="0.45">
      <c r="A72" s="54">
        <v>69</v>
      </c>
      <c r="B72" s="170">
        <f>Hakemler!B72</f>
        <v>0</v>
      </c>
      <c r="C72" s="170">
        <f>Hakemler!C72</f>
        <v>0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73"/>
      <c r="O72" s="73"/>
      <c r="P72" s="71">
        <f>1-(SUM(IF(D72-Uzman_D!$B$18&lt;0,-(D72-Uzman_D!$B$18),D72-Uzman_D!$B$18)*0.1+IF(E72-Uzman_D!$C$18&lt;0,-(E72-Uzman_D!$C$18),E72-Uzman_D!$C$18)*0.1+IF(F72-Uzman_D!$D$18&lt;0,-(F72-Uzman_D!$D$18),F72-Uzman_D!$D$18)*0.1+IF(G72-Uzman_D!$E$18&lt;0,-(G72-Uzman_D!$E$18),G72-Uzman_D!$E$18)*0.1+IF(H72-Uzman_D!$F$18&lt;0,-(H72-Uzman_D!$F$18),H72-Uzman_D!$F$18)*0.1+IF(I72-Uzman_D!$G$18&lt;0,-(I72-Uzman_D!$G$18),I72-Uzman_D!$G$18)*0.1+IF(J72-Uzman_D!$H$18&lt;0,-(J72-Uzman_D!$H$18),J72-Uzman_D!$H$18)*0.1+IF(K72-Uzman_D!$I$18&lt;0,-(K72-Uzman_D!$I$18),K72-Uzman_D!$I$18)*0.1+IF(L72-Uzman_D!$J$18&lt;0,-(L72-Uzman_D!$J$18),L72-Uzman_D!$J$18)*0.1)+IF(ROUND((IF(N72-Uzman_D!$L$18&lt;0,-(N72-Uzman_D!$L$18),N72-Uzman_D!$L$18)*2),0)/2=IF(N72-Uzman_D!$L$18&lt;0,-(N72-Uzman_D!$L$18),N72-Uzman_D!$L$18),(ROUND((IF(N72-Uzman_D!$L$18&lt;0,-(N72-Uzman_D!$L$18),N72-Uzman_D!$L$18)*2),0)/1*0.1),0)+IF(O72-Uzman_D!$M$18&lt;0,-(O72-Uzman_D!$M$18),O72-Uzman_D!$M$18)*1)</f>
        <v>-0.60000000000000009</v>
      </c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73"/>
      <c r="AB72" s="73"/>
      <c r="AC72" s="71">
        <f>1-(SUM(IF(Q72-Uzman_D!$B$19&lt;0,-(Q72-Uzman_D!$B$19),Q72-Uzman_D!$B$19)*0.1+IF(R72-Uzman_D!$C$19&lt;0,-(R72-Uzman_D!$C$19),R72-Uzman_D!$C$19)*0.1+IF(S72-Uzman_D!$D$19&lt;0,-(S72-Uzman_D!$D$19),S72-Uzman_D!$D$19)*0.1+IF(T72-Uzman_D!$E$19&lt;0,-(T72-Uzman_D!$E$19),T72-Uzman_D!$E$19)*0.1+IF(U72-Uzman_D!$F$19&lt;0,-(U72-Uzman_D!$F$19),U72-Uzman_D!$F$19)*0.1+IF(V72-Uzman_D!$G$19&lt;0,-(V72-Uzman_D!$G$19),V72-Uzman_D!$G$19)*0.1+IF(W72-Uzman_D!$H$19&lt;0,-(W72-Uzman_D!$H$19),W72-Uzman_D!$H$19)*0.1+IF(X72-Uzman_D!$I$19&lt;0,-(X72-Uzman_D!$I$19),X72-Uzman_D!$I$19)*0.1+IF(Y72-Uzman_D!$J$19&lt;0,-(Y72-Uzman_D!$J$19),Y72-Uzman_D!$J$19)*0.1)+IF(ROUND((IF(AA72-Uzman_D!$L$19&lt;0,-(AA72-Uzman_D!$L$19),AA72-Uzman_D!$L$19)*2),0)/2=IF(AA72-Uzman_D!$L$19&lt;0,-(AA72-Uzman_D!$L$19),AA72-Uzman_D!$L$19),(ROUND((IF(AA72-Uzman_D!$L$19&lt;0,-(AA72-Uzman_D!$L$19),AA72-Uzman_D!$L$19)*2),0)/1*0.1),0)+IF(AB72-Uzman_D!$M$19&lt;0,-(AB72-Uzman_D!$M$19),AB72-Uzman_D!$M$19)*1)</f>
        <v>-0.20000000000000018</v>
      </c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73"/>
      <c r="AO72" s="73"/>
      <c r="AP72" s="71">
        <f>1-(SUM(IF(AD72-Uzman_D!$B$20&lt;0,-(AD72-Uzman_D!$B$20),AD72-Uzman_D!$B$20)*0.1+IF(AE72-Uzman_D!$C$20&lt;0,-(AE72-Uzman_D!$C$20),AE72-Uzman_D!$C$20)*0.1+IF(AF72-Uzman_D!$D$20&lt;0,-(AF72-Uzman_D!$D$20),AF72-Uzman_D!$D$20)*0.1+IF(AG72-Uzman_D!$E$20&lt;0,-(AG72-Uzman_D!$E$20),AG72-Uzman_D!$E$20)*0.1+IF(AH72-Uzman_D!$F$20&lt;0,-(AH72-Uzman_D!$F$20),AH72-Uzman_D!$F$20)*0.1+IF(AI72-Uzman_D!$G$20&lt;0,-(AI72-Uzman_D!$G$20),AI72-Uzman_D!$G$20)*0.1+IF(AJ72-Uzman_D!$H$20&lt;0,-(AJ72-Uzman_D!$H$20),AJ72-Uzman_D!$H$20)*0.1+IF(AK72-Uzman_D!$I$20&lt;0,-(AK72-Uzman_D!$I$20),AK72-Uzman_D!$I$20)*0.1+IF(AL72-Uzman_D!$J$20&lt;0,-(AL72-Uzman_D!$J$20),AL72-Uzman_D!$J$20)*0.1)+IF(ROUND((IF(AN72-Uzman_D!$L$20&lt;0,-(AN72-Uzman_D!$L$20),AN72-Uzman_D!$L$20)*2),0)/2=IF(AN72-Uzman_D!$L$20&lt;0,-(AN72-Uzman_D!$L$20),AN72-Uzman_D!$L$20),(ROUND((IF(AN72-Uzman_D!$L$20&lt;0,-(AN72-Uzman_D!$L$20),AN72-Uzman_D!$L$20)*2),0)/1*0.1),0)+IF(AO72-Uzman_D!$M$20&lt;0,-(AO72-Uzman_D!$M$20),AO72-Uzman_D!$M$20)*1)</f>
        <v>-0.40000000000000013</v>
      </c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73"/>
      <c r="BB72" s="73"/>
      <c r="BC72" s="71">
        <f>1-(SUM(IF(AQ72-Uzman_D!$B$21&lt;0,-(AQ72-Uzman_D!$B$21),AQ72-Uzman_D!$B$21)*0.1+IF(AR72-Uzman_D!$C$21&lt;0,-(AR72-Uzman_D!$C$21),AR72-Uzman_D!$C$21)*0.1+IF(AS72-Uzman_D!$D$21&lt;0,-(AS72-Uzman_D!$D$21),AS72-Uzman_D!$D$21)*0.1+IF(AT72-Uzman_D!$E$21&lt;0,-(AT72-Uzman_D!$E$21),AT72-Uzman_D!$E$21)*0.1+IF(AU72-Uzman_D!$F$21&lt;0,-(AU72-Uzman_D!$F$21),AU72-Uzman_D!$F$21)*0.1+IF(AV72-Uzman_D!$G$21&lt;0,-(AV72-Uzman_D!$G$21),AV72-Uzman_D!$G$21)*0.1+IF(AW72-Uzman_D!$H$21&lt;0,-(AW72-Uzman_D!$H$21),AW72-Uzman_D!$H$21)*0.1+IF(AX72-Uzman_D!$I$21&lt;0,-(AX72-Uzman_D!$I$21),AX72-Uzman_D!$I$21)*0.1+IF(AY72-Uzman_D!$J$21&lt;0,-(AY72-Uzman_D!$J$21),AY72-Uzman_D!$J$21)*0.1)+IF(ROUND((IF(BA72-Uzman_D!$L$21&lt;0,-(BA72-Uzman_D!$L$21),BA72-Uzman_D!$L$21)*2),0)/2=IF(BA72-Uzman_D!$L$21&lt;0,-(BA72-Uzman_D!$L$21),BA72-Uzman_D!$L$21),(ROUND((IF(BA72-Uzman_D!$L$21&lt;0,-(BA72-Uzman_D!$L$21),BA72-Uzman_D!$L$21)*2),0)/1*0.1),0)+IF(BB72-Uzman_D!$M$21&lt;0,-(BB72-Uzman_D!$M$21),BB72-Uzman_D!$M$21)*1)</f>
        <v>-0.10000000000000009</v>
      </c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73"/>
      <c r="BO72" s="73"/>
      <c r="BP72" s="71">
        <f>1-(SUM(IF(BD72-Uzman_D!$B$22&lt;0,-(BD72-Uzman_D!$B$22),BD72-Uzman_D!$B$22)*0.1+IF(BE72-Uzman_D!$C$22&lt;0,-(BE72-Uzman_D!$C$22),BE72-Uzman_D!$C$22)*0.1+IF(BF72-Uzman_D!$D$22&lt;0,-(BF72-Uzman_D!$D$22),BF72-Uzman_D!$D$22)*0.1+IF(BG72-Uzman_D!$E$22&lt;0,-(BG72-Uzman_D!$E$22),BG72-Uzman_D!$E$22)*0.1+IF(BH72-Uzman_D!$F$22&lt;0,-(BH72-Uzman_D!$F$22),BH72-Uzman_D!$F$22)*0.1+IF(BI72-Uzman_D!$G$22&lt;0,-(BI72-Uzman_D!$G$22),BI72-Uzman_D!$G$22)*0.1+IF(BJ72-Uzman_D!$H$22&lt;0,-(BJ72-Uzman_D!$H$22),BJ72-Uzman_D!$H$22)*0.1+IF(BK72-Uzman_D!$I$22&lt;0,-(BK72-Uzman_D!$I$22),BK72-Uzman_D!$I$22)*0.1+IF(BL72-Uzman_D!$J$22&lt;0,-(BL72-Uzman_D!$J$22),BL72-Uzman_D!$J$22)*0.1)+IF(ROUND((IF(BN72-Uzman_D!$L$22&lt;0,-(BN72-Uzman_D!$L$22),BN72-Uzman_D!$L$22)*2),0)/2=IF(BN72-Uzman_D!$L$22&lt;0,-(BN72-Uzman_D!$L$22),BN72-Uzman_D!$L$22),(ROUND((IF(BN72-Uzman_D!$L$22&lt;0,-(BN72-Uzman_D!$L$22),BN72-Uzman_D!$L$22)*2),0)/1*0.1),0)+IF(BO72-Uzman_D!$M$22&lt;0,-(BO72-Uzman_D!$M$22),BO72-Uzman_D!$M$22)*1)</f>
        <v>-0.10000000000000009</v>
      </c>
      <c r="BQ72" s="72">
        <f t="shared" si="2"/>
        <v>-0.28000000000000014</v>
      </c>
    </row>
    <row r="73" spans="1:69" ht="15" customHeight="1" x14ac:dyDescent="0.45">
      <c r="A73" s="54">
        <v>70</v>
      </c>
      <c r="B73" s="170">
        <f>Hakemler!B73</f>
        <v>0</v>
      </c>
      <c r="C73" s="170">
        <f>Hakemler!C73</f>
        <v>0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73"/>
      <c r="O73" s="73"/>
      <c r="P73" s="71">
        <f>1-(SUM(IF(D73-Uzman_D!$B$18&lt;0,-(D73-Uzman_D!$B$18),D73-Uzman_D!$B$18)*0.1+IF(E73-Uzman_D!$C$18&lt;0,-(E73-Uzman_D!$C$18),E73-Uzman_D!$C$18)*0.1+IF(F73-Uzman_D!$D$18&lt;0,-(F73-Uzman_D!$D$18),F73-Uzman_D!$D$18)*0.1+IF(G73-Uzman_D!$E$18&lt;0,-(G73-Uzman_D!$E$18),G73-Uzman_D!$E$18)*0.1+IF(H73-Uzman_D!$F$18&lt;0,-(H73-Uzman_D!$F$18),H73-Uzman_D!$F$18)*0.1+IF(I73-Uzman_D!$G$18&lt;0,-(I73-Uzman_D!$G$18),I73-Uzman_D!$G$18)*0.1+IF(J73-Uzman_D!$H$18&lt;0,-(J73-Uzman_D!$H$18),J73-Uzman_D!$H$18)*0.1+IF(K73-Uzman_D!$I$18&lt;0,-(K73-Uzman_D!$I$18),K73-Uzman_D!$I$18)*0.1+IF(L73-Uzman_D!$J$18&lt;0,-(L73-Uzman_D!$J$18),L73-Uzman_D!$J$18)*0.1)+IF(ROUND((IF(N73-Uzman_D!$L$18&lt;0,-(N73-Uzman_D!$L$18),N73-Uzman_D!$L$18)*2),0)/2=IF(N73-Uzman_D!$L$18&lt;0,-(N73-Uzman_D!$L$18),N73-Uzman_D!$L$18),(ROUND((IF(N73-Uzman_D!$L$18&lt;0,-(N73-Uzman_D!$L$18),N73-Uzman_D!$L$18)*2),0)/1*0.1),0)+IF(O73-Uzman_D!$M$18&lt;0,-(O73-Uzman_D!$M$18),O73-Uzman_D!$M$18)*1)</f>
        <v>-0.60000000000000009</v>
      </c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73"/>
      <c r="AB73" s="73"/>
      <c r="AC73" s="71">
        <f>1-(SUM(IF(Q73-Uzman_D!$B$19&lt;0,-(Q73-Uzman_D!$B$19),Q73-Uzman_D!$B$19)*0.1+IF(R73-Uzman_D!$C$19&lt;0,-(R73-Uzman_D!$C$19),R73-Uzman_D!$C$19)*0.1+IF(S73-Uzman_D!$D$19&lt;0,-(S73-Uzman_D!$D$19),S73-Uzman_D!$D$19)*0.1+IF(T73-Uzman_D!$E$19&lt;0,-(T73-Uzman_D!$E$19),T73-Uzman_D!$E$19)*0.1+IF(U73-Uzman_D!$F$19&lt;0,-(U73-Uzman_D!$F$19),U73-Uzman_D!$F$19)*0.1+IF(V73-Uzman_D!$G$19&lt;0,-(V73-Uzman_D!$G$19),V73-Uzman_D!$G$19)*0.1+IF(W73-Uzman_D!$H$19&lt;0,-(W73-Uzman_D!$H$19),W73-Uzman_D!$H$19)*0.1+IF(X73-Uzman_D!$I$19&lt;0,-(X73-Uzman_D!$I$19),X73-Uzman_D!$I$19)*0.1+IF(Y73-Uzman_D!$J$19&lt;0,-(Y73-Uzman_D!$J$19),Y73-Uzman_D!$J$19)*0.1)+IF(ROUND((IF(AA73-Uzman_D!$L$19&lt;0,-(AA73-Uzman_D!$L$19),AA73-Uzman_D!$L$19)*2),0)/2=IF(AA73-Uzman_D!$L$19&lt;0,-(AA73-Uzman_D!$L$19),AA73-Uzman_D!$L$19),(ROUND((IF(AA73-Uzman_D!$L$19&lt;0,-(AA73-Uzman_D!$L$19),AA73-Uzman_D!$L$19)*2),0)/1*0.1),0)+IF(AB73-Uzman_D!$M$19&lt;0,-(AB73-Uzman_D!$M$19),AB73-Uzman_D!$M$19)*1)</f>
        <v>-0.20000000000000018</v>
      </c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73"/>
      <c r="AO73" s="73"/>
      <c r="AP73" s="71">
        <f>1-(SUM(IF(AD73-Uzman_D!$B$20&lt;0,-(AD73-Uzman_D!$B$20),AD73-Uzman_D!$B$20)*0.1+IF(AE73-Uzman_D!$C$20&lt;0,-(AE73-Uzman_D!$C$20),AE73-Uzman_D!$C$20)*0.1+IF(AF73-Uzman_D!$D$20&lt;0,-(AF73-Uzman_D!$D$20),AF73-Uzman_D!$D$20)*0.1+IF(AG73-Uzman_D!$E$20&lt;0,-(AG73-Uzman_D!$E$20),AG73-Uzman_D!$E$20)*0.1+IF(AH73-Uzman_D!$F$20&lt;0,-(AH73-Uzman_D!$F$20),AH73-Uzman_D!$F$20)*0.1+IF(AI73-Uzman_D!$G$20&lt;0,-(AI73-Uzman_D!$G$20),AI73-Uzman_D!$G$20)*0.1+IF(AJ73-Uzman_D!$H$20&lt;0,-(AJ73-Uzman_D!$H$20),AJ73-Uzman_D!$H$20)*0.1+IF(AK73-Uzman_D!$I$20&lt;0,-(AK73-Uzman_D!$I$20),AK73-Uzman_D!$I$20)*0.1+IF(AL73-Uzman_D!$J$20&lt;0,-(AL73-Uzman_D!$J$20),AL73-Uzman_D!$J$20)*0.1)+IF(ROUND((IF(AN73-Uzman_D!$L$20&lt;0,-(AN73-Uzman_D!$L$20),AN73-Uzman_D!$L$20)*2),0)/2=IF(AN73-Uzman_D!$L$20&lt;0,-(AN73-Uzman_D!$L$20),AN73-Uzman_D!$L$20),(ROUND((IF(AN73-Uzman_D!$L$20&lt;0,-(AN73-Uzman_D!$L$20),AN73-Uzman_D!$L$20)*2),0)/1*0.1),0)+IF(AO73-Uzman_D!$M$20&lt;0,-(AO73-Uzman_D!$M$20),AO73-Uzman_D!$M$20)*1)</f>
        <v>-0.40000000000000013</v>
      </c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73"/>
      <c r="BB73" s="73"/>
      <c r="BC73" s="71">
        <f>1-(SUM(IF(AQ73-Uzman_D!$B$21&lt;0,-(AQ73-Uzman_D!$B$21),AQ73-Uzman_D!$B$21)*0.1+IF(AR73-Uzman_D!$C$21&lt;0,-(AR73-Uzman_D!$C$21),AR73-Uzman_D!$C$21)*0.1+IF(AS73-Uzman_D!$D$21&lt;0,-(AS73-Uzman_D!$D$21),AS73-Uzman_D!$D$21)*0.1+IF(AT73-Uzman_D!$E$21&lt;0,-(AT73-Uzman_D!$E$21),AT73-Uzman_D!$E$21)*0.1+IF(AU73-Uzman_D!$F$21&lt;0,-(AU73-Uzman_D!$F$21),AU73-Uzman_D!$F$21)*0.1+IF(AV73-Uzman_D!$G$21&lt;0,-(AV73-Uzman_D!$G$21),AV73-Uzman_D!$G$21)*0.1+IF(AW73-Uzman_D!$H$21&lt;0,-(AW73-Uzman_D!$H$21),AW73-Uzman_D!$H$21)*0.1+IF(AX73-Uzman_D!$I$21&lt;0,-(AX73-Uzman_D!$I$21),AX73-Uzman_D!$I$21)*0.1+IF(AY73-Uzman_D!$J$21&lt;0,-(AY73-Uzman_D!$J$21),AY73-Uzman_D!$J$21)*0.1)+IF(ROUND((IF(BA73-Uzman_D!$L$21&lt;0,-(BA73-Uzman_D!$L$21),BA73-Uzman_D!$L$21)*2),0)/2=IF(BA73-Uzman_D!$L$21&lt;0,-(BA73-Uzman_D!$L$21),BA73-Uzman_D!$L$21),(ROUND((IF(BA73-Uzman_D!$L$21&lt;0,-(BA73-Uzman_D!$L$21),BA73-Uzman_D!$L$21)*2),0)/1*0.1),0)+IF(BB73-Uzman_D!$M$21&lt;0,-(BB73-Uzman_D!$M$21),BB73-Uzman_D!$M$21)*1)</f>
        <v>-0.10000000000000009</v>
      </c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73"/>
      <c r="BO73" s="73"/>
      <c r="BP73" s="71">
        <f>1-(SUM(IF(BD73-Uzman_D!$B$22&lt;0,-(BD73-Uzman_D!$B$22),BD73-Uzman_D!$B$22)*0.1+IF(BE73-Uzman_D!$C$22&lt;0,-(BE73-Uzman_D!$C$22),BE73-Uzman_D!$C$22)*0.1+IF(BF73-Uzman_D!$D$22&lt;0,-(BF73-Uzman_D!$D$22),BF73-Uzman_D!$D$22)*0.1+IF(BG73-Uzman_D!$E$22&lt;0,-(BG73-Uzman_D!$E$22),BG73-Uzman_D!$E$22)*0.1+IF(BH73-Uzman_D!$F$22&lt;0,-(BH73-Uzman_D!$F$22),BH73-Uzman_D!$F$22)*0.1+IF(BI73-Uzman_D!$G$22&lt;0,-(BI73-Uzman_D!$G$22),BI73-Uzman_D!$G$22)*0.1+IF(BJ73-Uzman_D!$H$22&lt;0,-(BJ73-Uzman_D!$H$22),BJ73-Uzman_D!$H$22)*0.1+IF(BK73-Uzman_D!$I$22&lt;0,-(BK73-Uzman_D!$I$22),BK73-Uzman_D!$I$22)*0.1+IF(BL73-Uzman_D!$J$22&lt;0,-(BL73-Uzman_D!$J$22),BL73-Uzman_D!$J$22)*0.1)+IF(ROUND((IF(BN73-Uzman_D!$L$22&lt;0,-(BN73-Uzman_D!$L$22),BN73-Uzman_D!$L$22)*2),0)/2=IF(BN73-Uzman_D!$L$22&lt;0,-(BN73-Uzman_D!$L$22),BN73-Uzman_D!$L$22),(ROUND((IF(BN73-Uzman_D!$L$22&lt;0,-(BN73-Uzman_D!$L$22),BN73-Uzman_D!$L$22)*2),0)/1*0.1),0)+IF(BO73-Uzman_D!$M$22&lt;0,-(BO73-Uzman_D!$M$22),BO73-Uzman_D!$M$22)*1)</f>
        <v>-0.10000000000000009</v>
      </c>
      <c r="BQ73" s="72">
        <f t="shared" si="2"/>
        <v>-0.28000000000000014</v>
      </c>
    </row>
    <row r="74" spans="1:69" ht="15" customHeight="1" x14ac:dyDescent="0.45">
      <c r="A74" s="54">
        <v>71</v>
      </c>
      <c r="B74" s="170">
        <f>Hakemler!B74</f>
        <v>0</v>
      </c>
      <c r="C74" s="170">
        <f>Hakemler!C74</f>
        <v>0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73"/>
      <c r="O74" s="73"/>
      <c r="P74" s="71">
        <f>1-(SUM(IF(D74-Uzman_D!$B$18&lt;0,-(D74-Uzman_D!$B$18),D74-Uzman_D!$B$18)*0.1+IF(E74-Uzman_D!$C$18&lt;0,-(E74-Uzman_D!$C$18),E74-Uzman_D!$C$18)*0.1+IF(F74-Uzman_D!$D$18&lt;0,-(F74-Uzman_D!$D$18),F74-Uzman_D!$D$18)*0.1+IF(G74-Uzman_D!$E$18&lt;0,-(G74-Uzman_D!$E$18),G74-Uzman_D!$E$18)*0.1+IF(H74-Uzman_D!$F$18&lt;0,-(H74-Uzman_D!$F$18),H74-Uzman_D!$F$18)*0.1+IF(I74-Uzman_D!$G$18&lt;0,-(I74-Uzman_D!$G$18),I74-Uzman_D!$G$18)*0.1+IF(J74-Uzman_D!$H$18&lt;0,-(J74-Uzman_D!$H$18),J74-Uzman_D!$H$18)*0.1+IF(K74-Uzman_D!$I$18&lt;0,-(K74-Uzman_D!$I$18),K74-Uzman_D!$I$18)*0.1+IF(L74-Uzman_D!$J$18&lt;0,-(L74-Uzman_D!$J$18),L74-Uzman_D!$J$18)*0.1)+IF(ROUND((IF(N74-Uzman_D!$L$18&lt;0,-(N74-Uzman_D!$L$18),N74-Uzman_D!$L$18)*2),0)/2=IF(N74-Uzman_D!$L$18&lt;0,-(N74-Uzman_D!$L$18),N74-Uzman_D!$L$18),(ROUND((IF(N74-Uzman_D!$L$18&lt;0,-(N74-Uzman_D!$L$18),N74-Uzman_D!$L$18)*2),0)/1*0.1),0)+IF(O74-Uzman_D!$M$18&lt;0,-(O74-Uzman_D!$M$18),O74-Uzman_D!$M$18)*1)</f>
        <v>-0.60000000000000009</v>
      </c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73"/>
      <c r="AB74" s="73"/>
      <c r="AC74" s="71">
        <f>1-(SUM(IF(Q74-Uzman_D!$B$19&lt;0,-(Q74-Uzman_D!$B$19),Q74-Uzman_D!$B$19)*0.1+IF(R74-Uzman_D!$C$19&lt;0,-(R74-Uzman_D!$C$19),R74-Uzman_D!$C$19)*0.1+IF(S74-Uzman_D!$D$19&lt;0,-(S74-Uzman_D!$D$19),S74-Uzman_D!$D$19)*0.1+IF(T74-Uzman_D!$E$19&lt;0,-(T74-Uzman_D!$E$19),T74-Uzman_D!$E$19)*0.1+IF(U74-Uzman_D!$F$19&lt;0,-(U74-Uzman_D!$F$19),U74-Uzman_D!$F$19)*0.1+IF(V74-Uzman_D!$G$19&lt;0,-(V74-Uzman_D!$G$19),V74-Uzman_D!$G$19)*0.1+IF(W74-Uzman_D!$H$19&lt;0,-(W74-Uzman_D!$H$19),W74-Uzman_D!$H$19)*0.1+IF(X74-Uzman_D!$I$19&lt;0,-(X74-Uzman_D!$I$19),X74-Uzman_D!$I$19)*0.1+IF(Y74-Uzman_D!$J$19&lt;0,-(Y74-Uzman_D!$J$19),Y74-Uzman_D!$J$19)*0.1)+IF(ROUND((IF(AA74-Uzman_D!$L$19&lt;0,-(AA74-Uzman_D!$L$19),AA74-Uzman_D!$L$19)*2),0)/2=IF(AA74-Uzman_D!$L$19&lt;0,-(AA74-Uzman_D!$L$19),AA74-Uzman_D!$L$19),(ROUND((IF(AA74-Uzman_D!$L$19&lt;0,-(AA74-Uzman_D!$L$19),AA74-Uzman_D!$L$19)*2),0)/1*0.1),0)+IF(AB74-Uzman_D!$M$19&lt;0,-(AB74-Uzman_D!$M$19),AB74-Uzman_D!$M$19)*1)</f>
        <v>-0.20000000000000018</v>
      </c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73"/>
      <c r="AO74" s="73"/>
      <c r="AP74" s="71">
        <f>1-(SUM(IF(AD74-Uzman_D!$B$20&lt;0,-(AD74-Uzman_D!$B$20),AD74-Uzman_D!$B$20)*0.1+IF(AE74-Uzman_D!$C$20&lt;0,-(AE74-Uzman_D!$C$20),AE74-Uzman_D!$C$20)*0.1+IF(AF74-Uzman_D!$D$20&lt;0,-(AF74-Uzman_D!$D$20),AF74-Uzman_D!$D$20)*0.1+IF(AG74-Uzman_D!$E$20&lt;0,-(AG74-Uzman_D!$E$20),AG74-Uzman_D!$E$20)*0.1+IF(AH74-Uzman_D!$F$20&lt;0,-(AH74-Uzman_D!$F$20),AH74-Uzman_D!$F$20)*0.1+IF(AI74-Uzman_D!$G$20&lt;0,-(AI74-Uzman_D!$G$20),AI74-Uzman_D!$G$20)*0.1+IF(AJ74-Uzman_D!$H$20&lt;0,-(AJ74-Uzman_D!$H$20),AJ74-Uzman_D!$H$20)*0.1+IF(AK74-Uzman_D!$I$20&lt;0,-(AK74-Uzman_D!$I$20),AK74-Uzman_D!$I$20)*0.1+IF(AL74-Uzman_D!$J$20&lt;0,-(AL74-Uzman_D!$J$20),AL74-Uzman_D!$J$20)*0.1)+IF(ROUND((IF(AN74-Uzman_D!$L$20&lt;0,-(AN74-Uzman_D!$L$20),AN74-Uzman_D!$L$20)*2),0)/2=IF(AN74-Uzman_D!$L$20&lt;0,-(AN74-Uzman_D!$L$20),AN74-Uzman_D!$L$20),(ROUND((IF(AN74-Uzman_D!$L$20&lt;0,-(AN74-Uzman_D!$L$20),AN74-Uzman_D!$L$20)*2),0)/1*0.1),0)+IF(AO74-Uzman_D!$M$20&lt;0,-(AO74-Uzman_D!$M$20),AO74-Uzman_D!$M$20)*1)</f>
        <v>-0.40000000000000013</v>
      </c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73"/>
      <c r="BB74" s="73"/>
      <c r="BC74" s="71">
        <f>1-(SUM(IF(AQ74-Uzman_D!$B$21&lt;0,-(AQ74-Uzman_D!$B$21),AQ74-Uzman_D!$B$21)*0.1+IF(AR74-Uzman_D!$C$21&lt;0,-(AR74-Uzman_D!$C$21),AR74-Uzman_D!$C$21)*0.1+IF(AS74-Uzman_D!$D$21&lt;0,-(AS74-Uzman_D!$D$21),AS74-Uzman_D!$D$21)*0.1+IF(AT74-Uzman_D!$E$21&lt;0,-(AT74-Uzman_D!$E$21),AT74-Uzman_D!$E$21)*0.1+IF(AU74-Uzman_D!$F$21&lt;0,-(AU74-Uzman_D!$F$21),AU74-Uzman_D!$F$21)*0.1+IF(AV74-Uzman_D!$G$21&lt;0,-(AV74-Uzman_D!$G$21),AV74-Uzman_D!$G$21)*0.1+IF(AW74-Uzman_D!$H$21&lt;0,-(AW74-Uzman_D!$H$21),AW74-Uzman_D!$H$21)*0.1+IF(AX74-Uzman_D!$I$21&lt;0,-(AX74-Uzman_D!$I$21),AX74-Uzman_D!$I$21)*0.1+IF(AY74-Uzman_D!$J$21&lt;0,-(AY74-Uzman_D!$J$21),AY74-Uzman_D!$J$21)*0.1)+IF(ROUND((IF(BA74-Uzman_D!$L$21&lt;0,-(BA74-Uzman_D!$L$21),BA74-Uzman_D!$L$21)*2),0)/2=IF(BA74-Uzman_D!$L$21&lt;0,-(BA74-Uzman_D!$L$21),BA74-Uzman_D!$L$21),(ROUND((IF(BA74-Uzman_D!$L$21&lt;0,-(BA74-Uzman_D!$L$21),BA74-Uzman_D!$L$21)*2),0)/1*0.1),0)+IF(BB74-Uzman_D!$M$21&lt;0,-(BB74-Uzman_D!$M$21),BB74-Uzman_D!$M$21)*1)</f>
        <v>-0.10000000000000009</v>
      </c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73"/>
      <c r="BO74" s="73"/>
      <c r="BP74" s="71">
        <f>1-(SUM(IF(BD74-Uzman_D!$B$22&lt;0,-(BD74-Uzman_D!$B$22),BD74-Uzman_D!$B$22)*0.1+IF(BE74-Uzman_D!$C$22&lt;0,-(BE74-Uzman_D!$C$22),BE74-Uzman_D!$C$22)*0.1+IF(BF74-Uzman_D!$D$22&lt;0,-(BF74-Uzman_D!$D$22),BF74-Uzman_D!$D$22)*0.1+IF(BG74-Uzman_D!$E$22&lt;0,-(BG74-Uzman_D!$E$22),BG74-Uzman_D!$E$22)*0.1+IF(BH74-Uzman_D!$F$22&lt;0,-(BH74-Uzman_D!$F$22),BH74-Uzman_D!$F$22)*0.1+IF(BI74-Uzman_D!$G$22&lt;0,-(BI74-Uzman_D!$G$22),BI74-Uzman_D!$G$22)*0.1+IF(BJ74-Uzman_D!$H$22&lt;0,-(BJ74-Uzman_D!$H$22),BJ74-Uzman_D!$H$22)*0.1+IF(BK74-Uzman_D!$I$22&lt;0,-(BK74-Uzman_D!$I$22),BK74-Uzman_D!$I$22)*0.1+IF(BL74-Uzman_D!$J$22&lt;0,-(BL74-Uzman_D!$J$22),BL74-Uzman_D!$J$22)*0.1)+IF(ROUND((IF(BN74-Uzman_D!$L$22&lt;0,-(BN74-Uzman_D!$L$22),BN74-Uzman_D!$L$22)*2),0)/2=IF(BN74-Uzman_D!$L$22&lt;0,-(BN74-Uzman_D!$L$22),BN74-Uzman_D!$L$22),(ROUND((IF(BN74-Uzman_D!$L$22&lt;0,-(BN74-Uzman_D!$L$22),BN74-Uzman_D!$L$22)*2),0)/1*0.1),0)+IF(BO74-Uzman_D!$M$22&lt;0,-(BO74-Uzman_D!$M$22),BO74-Uzman_D!$M$22)*1)</f>
        <v>-0.10000000000000009</v>
      </c>
      <c r="BQ74" s="72">
        <f t="shared" si="2"/>
        <v>-0.28000000000000014</v>
      </c>
    </row>
    <row r="75" spans="1:69" ht="15" customHeight="1" x14ac:dyDescent="0.45">
      <c r="A75" s="54">
        <v>72</v>
      </c>
      <c r="B75" s="170">
        <f>Hakemler!B75</f>
        <v>0</v>
      </c>
      <c r="C75" s="170">
        <f>Hakemler!C75</f>
        <v>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73"/>
      <c r="O75" s="73"/>
      <c r="P75" s="71">
        <f>1-(SUM(IF(D75-Uzman_D!$B$18&lt;0,-(D75-Uzman_D!$B$18),D75-Uzman_D!$B$18)*0.1+IF(E75-Uzman_D!$C$18&lt;0,-(E75-Uzman_D!$C$18),E75-Uzman_D!$C$18)*0.1+IF(F75-Uzman_D!$D$18&lt;0,-(F75-Uzman_D!$D$18),F75-Uzman_D!$D$18)*0.1+IF(G75-Uzman_D!$E$18&lt;0,-(G75-Uzman_D!$E$18),G75-Uzman_D!$E$18)*0.1+IF(H75-Uzman_D!$F$18&lt;0,-(H75-Uzman_D!$F$18),H75-Uzman_D!$F$18)*0.1+IF(I75-Uzman_D!$G$18&lt;0,-(I75-Uzman_D!$G$18),I75-Uzman_D!$G$18)*0.1+IF(J75-Uzman_D!$H$18&lt;0,-(J75-Uzman_D!$H$18),J75-Uzman_D!$H$18)*0.1+IF(K75-Uzman_D!$I$18&lt;0,-(K75-Uzman_D!$I$18),K75-Uzman_D!$I$18)*0.1+IF(L75-Uzman_D!$J$18&lt;0,-(L75-Uzman_D!$J$18),L75-Uzman_D!$J$18)*0.1)+IF(ROUND((IF(N75-Uzman_D!$L$18&lt;0,-(N75-Uzman_D!$L$18),N75-Uzman_D!$L$18)*2),0)/2=IF(N75-Uzman_D!$L$18&lt;0,-(N75-Uzman_D!$L$18),N75-Uzman_D!$L$18),(ROUND((IF(N75-Uzman_D!$L$18&lt;0,-(N75-Uzman_D!$L$18),N75-Uzman_D!$L$18)*2),0)/1*0.1),0)+IF(O75-Uzman_D!$M$18&lt;0,-(O75-Uzman_D!$M$18),O75-Uzman_D!$M$18)*1)</f>
        <v>-0.60000000000000009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73"/>
      <c r="AB75" s="73"/>
      <c r="AC75" s="71">
        <f>1-(SUM(IF(Q75-Uzman_D!$B$19&lt;0,-(Q75-Uzman_D!$B$19),Q75-Uzman_D!$B$19)*0.1+IF(R75-Uzman_D!$C$19&lt;0,-(R75-Uzman_D!$C$19),R75-Uzman_D!$C$19)*0.1+IF(S75-Uzman_D!$D$19&lt;0,-(S75-Uzman_D!$D$19),S75-Uzman_D!$D$19)*0.1+IF(T75-Uzman_D!$E$19&lt;0,-(T75-Uzman_D!$E$19),T75-Uzman_D!$E$19)*0.1+IF(U75-Uzman_D!$F$19&lt;0,-(U75-Uzman_D!$F$19),U75-Uzman_D!$F$19)*0.1+IF(V75-Uzman_D!$G$19&lt;0,-(V75-Uzman_D!$G$19),V75-Uzman_D!$G$19)*0.1+IF(W75-Uzman_D!$H$19&lt;0,-(W75-Uzman_D!$H$19),W75-Uzman_D!$H$19)*0.1+IF(X75-Uzman_D!$I$19&lt;0,-(X75-Uzman_D!$I$19),X75-Uzman_D!$I$19)*0.1+IF(Y75-Uzman_D!$J$19&lt;0,-(Y75-Uzman_D!$J$19),Y75-Uzman_D!$J$19)*0.1)+IF(ROUND((IF(AA75-Uzman_D!$L$19&lt;0,-(AA75-Uzman_D!$L$19),AA75-Uzman_D!$L$19)*2),0)/2=IF(AA75-Uzman_D!$L$19&lt;0,-(AA75-Uzman_D!$L$19),AA75-Uzman_D!$L$19),(ROUND((IF(AA75-Uzman_D!$L$19&lt;0,-(AA75-Uzman_D!$L$19),AA75-Uzman_D!$L$19)*2),0)/1*0.1),0)+IF(AB75-Uzman_D!$M$19&lt;0,-(AB75-Uzman_D!$M$19),AB75-Uzman_D!$M$19)*1)</f>
        <v>-0.20000000000000018</v>
      </c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73"/>
      <c r="AO75" s="73"/>
      <c r="AP75" s="71">
        <f>1-(SUM(IF(AD75-Uzman_D!$B$20&lt;0,-(AD75-Uzman_D!$B$20),AD75-Uzman_D!$B$20)*0.1+IF(AE75-Uzman_D!$C$20&lt;0,-(AE75-Uzman_D!$C$20),AE75-Uzman_D!$C$20)*0.1+IF(AF75-Uzman_D!$D$20&lt;0,-(AF75-Uzman_D!$D$20),AF75-Uzman_D!$D$20)*0.1+IF(AG75-Uzman_D!$E$20&lt;0,-(AG75-Uzman_D!$E$20),AG75-Uzman_D!$E$20)*0.1+IF(AH75-Uzman_D!$F$20&lt;0,-(AH75-Uzman_D!$F$20),AH75-Uzman_D!$F$20)*0.1+IF(AI75-Uzman_D!$G$20&lt;0,-(AI75-Uzman_D!$G$20),AI75-Uzman_D!$G$20)*0.1+IF(AJ75-Uzman_D!$H$20&lt;0,-(AJ75-Uzman_D!$H$20),AJ75-Uzman_D!$H$20)*0.1+IF(AK75-Uzman_D!$I$20&lt;0,-(AK75-Uzman_D!$I$20),AK75-Uzman_D!$I$20)*0.1+IF(AL75-Uzman_D!$J$20&lt;0,-(AL75-Uzman_D!$J$20),AL75-Uzman_D!$J$20)*0.1)+IF(ROUND((IF(AN75-Uzman_D!$L$20&lt;0,-(AN75-Uzman_D!$L$20),AN75-Uzman_D!$L$20)*2),0)/2=IF(AN75-Uzman_D!$L$20&lt;0,-(AN75-Uzman_D!$L$20),AN75-Uzman_D!$L$20),(ROUND((IF(AN75-Uzman_D!$L$20&lt;0,-(AN75-Uzman_D!$L$20),AN75-Uzman_D!$L$20)*2),0)/1*0.1),0)+IF(AO75-Uzman_D!$M$20&lt;0,-(AO75-Uzman_D!$M$20),AO75-Uzman_D!$M$20)*1)</f>
        <v>-0.40000000000000013</v>
      </c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73"/>
      <c r="BB75" s="73"/>
      <c r="BC75" s="71">
        <f>1-(SUM(IF(AQ75-Uzman_D!$B$21&lt;0,-(AQ75-Uzman_D!$B$21),AQ75-Uzman_D!$B$21)*0.1+IF(AR75-Uzman_D!$C$21&lt;0,-(AR75-Uzman_D!$C$21),AR75-Uzman_D!$C$21)*0.1+IF(AS75-Uzman_D!$D$21&lt;0,-(AS75-Uzman_D!$D$21),AS75-Uzman_D!$D$21)*0.1+IF(AT75-Uzman_D!$E$21&lt;0,-(AT75-Uzman_D!$E$21),AT75-Uzman_D!$E$21)*0.1+IF(AU75-Uzman_D!$F$21&lt;0,-(AU75-Uzman_D!$F$21),AU75-Uzman_D!$F$21)*0.1+IF(AV75-Uzman_D!$G$21&lt;0,-(AV75-Uzman_D!$G$21),AV75-Uzman_D!$G$21)*0.1+IF(AW75-Uzman_D!$H$21&lt;0,-(AW75-Uzman_D!$H$21),AW75-Uzman_D!$H$21)*0.1+IF(AX75-Uzman_D!$I$21&lt;0,-(AX75-Uzman_D!$I$21),AX75-Uzman_D!$I$21)*0.1+IF(AY75-Uzman_D!$J$21&lt;0,-(AY75-Uzman_D!$J$21),AY75-Uzman_D!$J$21)*0.1)+IF(ROUND((IF(BA75-Uzman_D!$L$21&lt;0,-(BA75-Uzman_D!$L$21),BA75-Uzman_D!$L$21)*2),0)/2=IF(BA75-Uzman_D!$L$21&lt;0,-(BA75-Uzman_D!$L$21),BA75-Uzman_D!$L$21),(ROUND((IF(BA75-Uzman_D!$L$21&lt;0,-(BA75-Uzman_D!$L$21),BA75-Uzman_D!$L$21)*2),0)/1*0.1),0)+IF(BB75-Uzman_D!$M$21&lt;0,-(BB75-Uzman_D!$M$21),BB75-Uzman_D!$M$21)*1)</f>
        <v>-0.10000000000000009</v>
      </c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73"/>
      <c r="BO75" s="73"/>
      <c r="BP75" s="71">
        <f>1-(SUM(IF(BD75-Uzman_D!$B$22&lt;0,-(BD75-Uzman_D!$B$22),BD75-Uzman_D!$B$22)*0.1+IF(BE75-Uzman_D!$C$22&lt;0,-(BE75-Uzman_D!$C$22),BE75-Uzman_D!$C$22)*0.1+IF(BF75-Uzman_D!$D$22&lt;0,-(BF75-Uzman_D!$D$22),BF75-Uzman_D!$D$22)*0.1+IF(BG75-Uzman_D!$E$22&lt;0,-(BG75-Uzman_D!$E$22),BG75-Uzman_D!$E$22)*0.1+IF(BH75-Uzman_D!$F$22&lt;0,-(BH75-Uzman_D!$F$22),BH75-Uzman_D!$F$22)*0.1+IF(BI75-Uzman_D!$G$22&lt;0,-(BI75-Uzman_D!$G$22),BI75-Uzman_D!$G$22)*0.1+IF(BJ75-Uzman_D!$H$22&lt;0,-(BJ75-Uzman_D!$H$22),BJ75-Uzman_D!$H$22)*0.1+IF(BK75-Uzman_D!$I$22&lt;0,-(BK75-Uzman_D!$I$22),BK75-Uzman_D!$I$22)*0.1+IF(BL75-Uzman_D!$J$22&lt;0,-(BL75-Uzman_D!$J$22),BL75-Uzman_D!$J$22)*0.1)+IF(ROUND((IF(BN75-Uzman_D!$L$22&lt;0,-(BN75-Uzman_D!$L$22),BN75-Uzman_D!$L$22)*2),0)/2=IF(BN75-Uzman_D!$L$22&lt;0,-(BN75-Uzman_D!$L$22),BN75-Uzman_D!$L$22),(ROUND((IF(BN75-Uzman_D!$L$22&lt;0,-(BN75-Uzman_D!$L$22),BN75-Uzman_D!$L$22)*2),0)/1*0.1),0)+IF(BO75-Uzman_D!$M$22&lt;0,-(BO75-Uzman_D!$M$22),BO75-Uzman_D!$M$22)*1)</f>
        <v>-0.10000000000000009</v>
      </c>
      <c r="BQ75" s="72">
        <f t="shared" si="2"/>
        <v>-0.28000000000000014</v>
      </c>
    </row>
    <row r="76" spans="1:69" ht="15" customHeight="1" x14ac:dyDescent="0.45">
      <c r="A76" s="54">
        <v>73</v>
      </c>
      <c r="B76" s="170">
        <f>Hakemler!B76</f>
        <v>0</v>
      </c>
      <c r="C76" s="170">
        <f>Hakemler!C76</f>
        <v>0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73"/>
      <c r="O76" s="73"/>
      <c r="P76" s="71">
        <f>1-(SUM(IF(D76-Uzman_D!$B$18&lt;0,-(D76-Uzman_D!$B$18),D76-Uzman_D!$B$18)*0.1+IF(E76-Uzman_D!$C$18&lt;0,-(E76-Uzman_D!$C$18),E76-Uzman_D!$C$18)*0.1+IF(F76-Uzman_D!$D$18&lt;0,-(F76-Uzman_D!$D$18),F76-Uzman_D!$D$18)*0.1+IF(G76-Uzman_D!$E$18&lt;0,-(G76-Uzman_D!$E$18),G76-Uzman_D!$E$18)*0.1+IF(H76-Uzman_D!$F$18&lt;0,-(H76-Uzman_D!$F$18),H76-Uzman_D!$F$18)*0.1+IF(I76-Uzman_D!$G$18&lt;0,-(I76-Uzman_D!$G$18),I76-Uzman_D!$G$18)*0.1+IF(J76-Uzman_D!$H$18&lt;0,-(J76-Uzman_D!$H$18),J76-Uzman_D!$H$18)*0.1+IF(K76-Uzman_D!$I$18&lt;0,-(K76-Uzman_D!$I$18),K76-Uzman_D!$I$18)*0.1+IF(L76-Uzman_D!$J$18&lt;0,-(L76-Uzman_D!$J$18),L76-Uzman_D!$J$18)*0.1)+IF(ROUND((IF(N76-Uzman_D!$L$18&lt;0,-(N76-Uzman_D!$L$18),N76-Uzman_D!$L$18)*2),0)/2=IF(N76-Uzman_D!$L$18&lt;0,-(N76-Uzman_D!$L$18),N76-Uzman_D!$L$18),(ROUND((IF(N76-Uzman_D!$L$18&lt;0,-(N76-Uzman_D!$L$18),N76-Uzman_D!$L$18)*2),0)/1*0.1),0)+IF(O76-Uzman_D!$M$18&lt;0,-(O76-Uzman_D!$M$18),O76-Uzman_D!$M$18)*1)</f>
        <v>-0.60000000000000009</v>
      </c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73"/>
      <c r="AB76" s="73"/>
      <c r="AC76" s="71">
        <f>1-(SUM(IF(Q76-Uzman_D!$B$19&lt;0,-(Q76-Uzman_D!$B$19),Q76-Uzman_D!$B$19)*0.1+IF(R76-Uzman_D!$C$19&lt;0,-(R76-Uzman_D!$C$19),R76-Uzman_D!$C$19)*0.1+IF(S76-Uzman_D!$D$19&lt;0,-(S76-Uzman_D!$D$19),S76-Uzman_D!$D$19)*0.1+IF(T76-Uzman_D!$E$19&lt;0,-(T76-Uzman_D!$E$19),T76-Uzman_D!$E$19)*0.1+IF(U76-Uzman_D!$F$19&lt;0,-(U76-Uzman_D!$F$19),U76-Uzman_D!$F$19)*0.1+IF(V76-Uzman_D!$G$19&lt;0,-(V76-Uzman_D!$G$19),V76-Uzman_D!$G$19)*0.1+IF(W76-Uzman_D!$H$19&lt;0,-(W76-Uzman_D!$H$19),W76-Uzman_D!$H$19)*0.1+IF(X76-Uzman_D!$I$19&lt;0,-(X76-Uzman_D!$I$19),X76-Uzman_D!$I$19)*0.1+IF(Y76-Uzman_D!$J$19&lt;0,-(Y76-Uzman_D!$J$19),Y76-Uzman_D!$J$19)*0.1)+IF(ROUND((IF(AA76-Uzman_D!$L$19&lt;0,-(AA76-Uzman_D!$L$19),AA76-Uzman_D!$L$19)*2),0)/2=IF(AA76-Uzman_D!$L$19&lt;0,-(AA76-Uzman_D!$L$19),AA76-Uzman_D!$L$19),(ROUND((IF(AA76-Uzman_D!$L$19&lt;0,-(AA76-Uzman_D!$L$19),AA76-Uzman_D!$L$19)*2),0)/1*0.1),0)+IF(AB76-Uzman_D!$M$19&lt;0,-(AB76-Uzman_D!$M$19),AB76-Uzman_D!$M$19)*1)</f>
        <v>-0.20000000000000018</v>
      </c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73"/>
      <c r="AO76" s="73"/>
      <c r="AP76" s="71">
        <f>1-(SUM(IF(AD76-Uzman_D!$B$20&lt;0,-(AD76-Uzman_D!$B$20),AD76-Uzman_D!$B$20)*0.1+IF(AE76-Uzman_D!$C$20&lt;0,-(AE76-Uzman_D!$C$20),AE76-Uzman_D!$C$20)*0.1+IF(AF76-Uzman_D!$D$20&lt;0,-(AF76-Uzman_D!$D$20),AF76-Uzman_D!$D$20)*0.1+IF(AG76-Uzman_D!$E$20&lt;0,-(AG76-Uzman_D!$E$20),AG76-Uzman_D!$E$20)*0.1+IF(AH76-Uzman_D!$F$20&lt;0,-(AH76-Uzman_D!$F$20),AH76-Uzman_D!$F$20)*0.1+IF(AI76-Uzman_D!$G$20&lt;0,-(AI76-Uzman_D!$G$20),AI76-Uzman_D!$G$20)*0.1+IF(AJ76-Uzman_D!$H$20&lt;0,-(AJ76-Uzman_D!$H$20),AJ76-Uzman_D!$H$20)*0.1+IF(AK76-Uzman_D!$I$20&lt;0,-(AK76-Uzman_D!$I$20),AK76-Uzman_D!$I$20)*0.1+IF(AL76-Uzman_D!$J$20&lt;0,-(AL76-Uzman_D!$J$20),AL76-Uzman_D!$J$20)*0.1)+IF(ROUND((IF(AN76-Uzman_D!$L$20&lt;0,-(AN76-Uzman_D!$L$20),AN76-Uzman_D!$L$20)*2),0)/2=IF(AN76-Uzman_D!$L$20&lt;0,-(AN76-Uzman_D!$L$20),AN76-Uzman_D!$L$20),(ROUND((IF(AN76-Uzman_D!$L$20&lt;0,-(AN76-Uzman_D!$L$20),AN76-Uzman_D!$L$20)*2),0)/1*0.1),0)+IF(AO76-Uzman_D!$M$20&lt;0,-(AO76-Uzman_D!$M$20),AO76-Uzman_D!$M$20)*1)</f>
        <v>-0.40000000000000013</v>
      </c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73"/>
      <c r="BB76" s="73"/>
      <c r="BC76" s="71">
        <f>1-(SUM(IF(AQ76-Uzman_D!$B$21&lt;0,-(AQ76-Uzman_D!$B$21),AQ76-Uzman_D!$B$21)*0.1+IF(AR76-Uzman_D!$C$21&lt;0,-(AR76-Uzman_D!$C$21),AR76-Uzman_D!$C$21)*0.1+IF(AS76-Uzman_D!$D$21&lt;0,-(AS76-Uzman_D!$D$21),AS76-Uzman_D!$D$21)*0.1+IF(AT76-Uzman_D!$E$21&lt;0,-(AT76-Uzman_D!$E$21),AT76-Uzman_D!$E$21)*0.1+IF(AU76-Uzman_D!$F$21&lt;0,-(AU76-Uzman_D!$F$21),AU76-Uzman_D!$F$21)*0.1+IF(AV76-Uzman_D!$G$21&lt;0,-(AV76-Uzman_D!$G$21),AV76-Uzman_D!$G$21)*0.1+IF(AW76-Uzman_D!$H$21&lt;0,-(AW76-Uzman_D!$H$21),AW76-Uzman_D!$H$21)*0.1+IF(AX76-Uzman_D!$I$21&lt;0,-(AX76-Uzman_D!$I$21),AX76-Uzman_D!$I$21)*0.1+IF(AY76-Uzman_D!$J$21&lt;0,-(AY76-Uzman_D!$J$21),AY76-Uzman_D!$J$21)*0.1)+IF(ROUND((IF(BA76-Uzman_D!$L$21&lt;0,-(BA76-Uzman_D!$L$21),BA76-Uzman_D!$L$21)*2),0)/2=IF(BA76-Uzman_D!$L$21&lt;0,-(BA76-Uzman_D!$L$21),BA76-Uzman_D!$L$21),(ROUND((IF(BA76-Uzman_D!$L$21&lt;0,-(BA76-Uzman_D!$L$21),BA76-Uzman_D!$L$21)*2),0)/1*0.1),0)+IF(BB76-Uzman_D!$M$21&lt;0,-(BB76-Uzman_D!$M$21),BB76-Uzman_D!$M$21)*1)</f>
        <v>-0.10000000000000009</v>
      </c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73"/>
      <c r="BO76" s="73"/>
      <c r="BP76" s="71">
        <f>1-(SUM(IF(BD76-Uzman_D!$B$22&lt;0,-(BD76-Uzman_D!$B$22),BD76-Uzman_D!$B$22)*0.1+IF(BE76-Uzman_D!$C$22&lt;0,-(BE76-Uzman_D!$C$22),BE76-Uzman_D!$C$22)*0.1+IF(BF76-Uzman_D!$D$22&lt;0,-(BF76-Uzman_D!$D$22),BF76-Uzman_D!$D$22)*0.1+IF(BG76-Uzman_D!$E$22&lt;0,-(BG76-Uzman_D!$E$22),BG76-Uzman_D!$E$22)*0.1+IF(BH76-Uzman_D!$F$22&lt;0,-(BH76-Uzman_D!$F$22),BH76-Uzman_D!$F$22)*0.1+IF(BI76-Uzman_D!$G$22&lt;0,-(BI76-Uzman_D!$G$22),BI76-Uzman_D!$G$22)*0.1+IF(BJ76-Uzman_D!$H$22&lt;0,-(BJ76-Uzman_D!$H$22),BJ76-Uzman_D!$H$22)*0.1+IF(BK76-Uzman_D!$I$22&lt;0,-(BK76-Uzman_D!$I$22),BK76-Uzman_D!$I$22)*0.1+IF(BL76-Uzman_D!$J$22&lt;0,-(BL76-Uzman_D!$J$22),BL76-Uzman_D!$J$22)*0.1)+IF(ROUND((IF(BN76-Uzman_D!$L$22&lt;0,-(BN76-Uzman_D!$L$22),BN76-Uzman_D!$L$22)*2),0)/2=IF(BN76-Uzman_D!$L$22&lt;0,-(BN76-Uzman_D!$L$22),BN76-Uzman_D!$L$22),(ROUND((IF(BN76-Uzman_D!$L$22&lt;0,-(BN76-Uzman_D!$L$22),BN76-Uzman_D!$L$22)*2),0)/1*0.1),0)+IF(BO76-Uzman_D!$M$22&lt;0,-(BO76-Uzman_D!$M$22),BO76-Uzman_D!$M$22)*1)</f>
        <v>-0.10000000000000009</v>
      </c>
      <c r="BQ76" s="72">
        <f t="shared" si="2"/>
        <v>-0.28000000000000014</v>
      </c>
    </row>
    <row r="77" spans="1:69" ht="15" customHeight="1" x14ac:dyDescent="0.45">
      <c r="A77" s="54">
        <v>74</v>
      </c>
      <c r="B77" s="170">
        <f>Hakemler!B77</f>
        <v>0</v>
      </c>
      <c r="C77" s="170">
        <f>Hakemler!C77</f>
        <v>0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73"/>
      <c r="O77" s="73"/>
      <c r="P77" s="71">
        <f>1-(SUM(IF(D77-Uzman_D!$B$18&lt;0,-(D77-Uzman_D!$B$18),D77-Uzman_D!$B$18)*0.1+IF(E77-Uzman_D!$C$18&lt;0,-(E77-Uzman_D!$C$18),E77-Uzman_D!$C$18)*0.1+IF(F77-Uzman_D!$D$18&lt;0,-(F77-Uzman_D!$D$18),F77-Uzman_D!$D$18)*0.1+IF(G77-Uzman_D!$E$18&lt;0,-(G77-Uzman_D!$E$18),G77-Uzman_D!$E$18)*0.1+IF(H77-Uzman_D!$F$18&lt;0,-(H77-Uzman_D!$F$18),H77-Uzman_D!$F$18)*0.1+IF(I77-Uzman_D!$G$18&lt;0,-(I77-Uzman_D!$G$18),I77-Uzman_D!$G$18)*0.1+IF(J77-Uzman_D!$H$18&lt;0,-(J77-Uzman_D!$H$18),J77-Uzman_D!$H$18)*0.1+IF(K77-Uzman_D!$I$18&lt;0,-(K77-Uzman_D!$I$18),K77-Uzman_D!$I$18)*0.1+IF(L77-Uzman_D!$J$18&lt;0,-(L77-Uzman_D!$J$18),L77-Uzman_D!$J$18)*0.1)+IF(ROUND((IF(N77-Uzman_D!$L$18&lt;0,-(N77-Uzman_D!$L$18),N77-Uzman_D!$L$18)*2),0)/2=IF(N77-Uzman_D!$L$18&lt;0,-(N77-Uzman_D!$L$18),N77-Uzman_D!$L$18),(ROUND((IF(N77-Uzman_D!$L$18&lt;0,-(N77-Uzman_D!$L$18),N77-Uzman_D!$L$18)*2),0)/1*0.1),0)+IF(O77-Uzman_D!$M$18&lt;0,-(O77-Uzman_D!$M$18),O77-Uzman_D!$M$18)*1)</f>
        <v>-0.60000000000000009</v>
      </c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73"/>
      <c r="AB77" s="73"/>
      <c r="AC77" s="71">
        <f>1-(SUM(IF(Q77-Uzman_D!$B$19&lt;0,-(Q77-Uzman_D!$B$19),Q77-Uzman_D!$B$19)*0.1+IF(R77-Uzman_D!$C$19&lt;0,-(R77-Uzman_D!$C$19),R77-Uzman_D!$C$19)*0.1+IF(S77-Uzman_D!$D$19&lt;0,-(S77-Uzman_D!$D$19),S77-Uzman_D!$D$19)*0.1+IF(T77-Uzman_D!$E$19&lt;0,-(T77-Uzman_D!$E$19),T77-Uzman_D!$E$19)*0.1+IF(U77-Uzman_D!$F$19&lt;0,-(U77-Uzman_D!$F$19),U77-Uzman_D!$F$19)*0.1+IF(V77-Uzman_D!$G$19&lt;0,-(V77-Uzman_D!$G$19),V77-Uzman_D!$G$19)*0.1+IF(W77-Uzman_D!$H$19&lt;0,-(W77-Uzman_D!$H$19),W77-Uzman_D!$H$19)*0.1+IF(X77-Uzman_D!$I$19&lt;0,-(X77-Uzman_D!$I$19),X77-Uzman_D!$I$19)*0.1+IF(Y77-Uzman_D!$J$19&lt;0,-(Y77-Uzman_D!$J$19),Y77-Uzman_D!$J$19)*0.1)+IF(ROUND((IF(AA77-Uzman_D!$L$19&lt;0,-(AA77-Uzman_D!$L$19),AA77-Uzman_D!$L$19)*2),0)/2=IF(AA77-Uzman_D!$L$19&lt;0,-(AA77-Uzman_D!$L$19),AA77-Uzman_D!$L$19),(ROUND((IF(AA77-Uzman_D!$L$19&lt;0,-(AA77-Uzman_D!$L$19),AA77-Uzman_D!$L$19)*2),0)/1*0.1),0)+IF(AB77-Uzman_D!$M$19&lt;0,-(AB77-Uzman_D!$M$19),AB77-Uzman_D!$M$19)*1)</f>
        <v>-0.20000000000000018</v>
      </c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73"/>
      <c r="AO77" s="73"/>
      <c r="AP77" s="71">
        <f>1-(SUM(IF(AD77-Uzman_D!$B$20&lt;0,-(AD77-Uzman_D!$B$20),AD77-Uzman_D!$B$20)*0.1+IF(AE77-Uzman_D!$C$20&lt;0,-(AE77-Uzman_D!$C$20),AE77-Uzman_D!$C$20)*0.1+IF(AF77-Uzman_D!$D$20&lt;0,-(AF77-Uzman_D!$D$20),AF77-Uzman_D!$D$20)*0.1+IF(AG77-Uzman_D!$E$20&lt;0,-(AG77-Uzman_D!$E$20),AG77-Uzman_D!$E$20)*0.1+IF(AH77-Uzman_D!$F$20&lt;0,-(AH77-Uzman_D!$F$20),AH77-Uzman_D!$F$20)*0.1+IF(AI77-Uzman_D!$G$20&lt;0,-(AI77-Uzman_D!$G$20),AI77-Uzman_D!$G$20)*0.1+IF(AJ77-Uzman_D!$H$20&lt;0,-(AJ77-Uzman_D!$H$20),AJ77-Uzman_D!$H$20)*0.1+IF(AK77-Uzman_D!$I$20&lt;0,-(AK77-Uzman_D!$I$20),AK77-Uzman_D!$I$20)*0.1+IF(AL77-Uzman_D!$J$20&lt;0,-(AL77-Uzman_D!$J$20),AL77-Uzman_D!$J$20)*0.1)+IF(ROUND((IF(AN77-Uzman_D!$L$20&lt;0,-(AN77-Uzman_D!$L$20),AN77-Uzman_D!$L$20)*2),0)/2=IF(AN77-Uzman_D!$L$20&lt;0,-(AN77-Uzman_D!$L$20),AN77-Uzman_D!$L$20),(ROUND((IF(AN77-Uzman_D!$L$20&lt;0,-(AN77-Uzman_D!$L$20),AN77-Uzman_D!$L$20)*2),0)/1*0.1),0)+IF(AO77-Uzman_D!$M$20&lt;0,-(AO77-Uzman_D!$M$20),AO77-Uzman_D!$M$20)*1)</f>
        <v>-0.40000000000000013</v>
      </c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73"/>
      <c r="BB77" s="73"/>
      <c r="BC77" s="71">
        <f>1-(SUM(IF(AQ77-Uzman_D!$B$21&lt;0,-(AQ77-Uzman_D!$B$21),AQ77-Uzman_D!$B$21)*0.1+IF(AR77-Uzman_D!$C$21&lt;0,-(AR77-Uzman_D!$C$21),AR77-Uzman_D!$C$21)*0.1+IF(AS77-Uzman_D!$D$21&lt;0,-(AS77-Uzman_D!$D$21),AS77-Uzman_D!$D$21)*0.1+IF(AT77-Uzman_D!$E$21&lt;0,-(AT77-Uzman_D!$E$21),AT77-Uzman_D!$E$21)*0.1+IF(AU77-Uzman_D!$F$21&lt;0,-(AU77-Uzman_D!$F$21),AU77-Uzman_D!$F$21)*0.1+IF(AV77-Uzman_D!$G$21&lt;0,-(AV77-Uzman_D!$G$21),AV77-Uzman_D!$G$21)*0.1+IF(AW77-Uzman_D!$H$21&lt;0,-(AW77-Uzman_D!$H$21),AW77-Uzman_D!$H$21)*0.1+IF(AX77-Uzman_D!$I$21&lt;0,-(AX77-Uzman_D!$I$21),AX77-Uzman_D!$I$21)*0.1+IF(AY77-Uzman_D!$J$21&lt;0,-(AY77-Uzman_D!$J$21),AY77-Uzman_D!$J$21)*0.1)+IF(ROUND((IF(BA77-Uzman_D!$L$21&lt;0,-(BA77-Uzman_D!$L$21),BA77-Uzman_D!$L$21)*2),0)/2=IF(BA77-Uzman_D!$L$21&lt;0,-(BA77-Uzman_D!$L$21),BA77-Uzman_D!$L$21),(ROUND((IF(BA77-Uzman_D!$L$21&lt;0,-(BA77-Uzman_D!$L$21),BA77-Uzman_D!$L$21)*2),0)/1*0.1),0)+IF(BB77-Uzman_D!$M$21&lt;0,-(BB77-Uzman_D!$M$21),BB77-Uzman_D!$M$21)*1)</f>
        <v>-0.10000000000000009</v>
      </c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73"/>
      <c r="BO77" s="73"/>
      <c r="BP77" s="71">
        <f>1-(SUM(IF(BD77-Uzman_D!$B$22&lt;0,-(BD77-Uzman_D!$B$22),BD77-Uzman_D!$B$22)*0.1+IF(BE77-Uzman_D!$C$22&lt;0,-(BE77-Uzman_D!$C$22),BE77-Uzman_D!$C$22)*0.1+IF(BF77-Uzman_D!$D$22&lt;0,-(BF77-Uzman_D!$D$22),BF77-Uzman_D!$D$22)*0.1+IF(BG77-Uzman_D!$E$22&lt;0,-(BG77-Uzman_D!$E$22),BG77-Uzman_D!$E$22)*0.1+IF(BH77-Uzman_D!$F$22&lt;0,-(BH77-Uzman_D!$F$22),BH77-Uzman_D!$F$22)*0.1+IF(BI77-Uzman_D!$G$22&lt;0,-(BI77-Uzman_D!$G$22),BI77-Uzman_D!$G$22)*0.1+IF(BJ77-Uzman_D!$H$22&lt;0,-(BJ77-Uzman_D!$H$22),BJ77-Uzman_D!$H$22)*0.1+IF(BK77-Uzman_D!$I$22&lt;0,-(BK77-Uzman_D!$I$22),BK77-Uzman_D!$I$22)*0.1+IF(BL77-Uzman_D!$J$22&lt;0,-(BL77-Uzman_D!$J$22),BL77-Uzman_D!$J$22)*0.1)+IF(ROUND((IF(BN77-Uzman_D!$L$22&lt;0,-(BN77-Uzman_D!$L$22),BN77-Uzman_D!$L$22)*2),0)/2=IF(BN77-Uzman_D!$L$22&lt;0,-(BN77-Uzman_D!$L$22),BN77-Uzman_D!$L$22),(ROUND((IF(BN77-Uzman_D!$L$22&lt;0,-(BN77-Uzman_D!$L$22),BN77-Uzman_D!$L$22)*2),0)/1*0.1),0)+IF(BO77-Uzman_D!$M$22&lt;0,-(BO77-Uzman_D!$M$22),BO77-Uzman_D!$M$22)*1)</f>
        <v>-0.10000000000000009</v>
      </c>
      <c r="BQ77" s="72">
        <f t="shared" si="2"/>
        <v>-0.28000000000000014</v>
      </c>
    </row>
    <row r="78" spans="1:69" ht="15" customHeight="1" x14ac:dyDescent="0.45">
      <c r="A78" s="54">
        <v>75</v>
      </c>
      <c r="B78" s="170">
        <f>Hakemler!B78</f>
        <v>0</v>
      </c>
      <c r="C78" s="170">
        <f>Hakemler!C78</f>
        <v>0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73"/>
      <c r="O78" s="73"/>
      <c r="P78" s="71">
        <f>1-(SUM(IF(D78-Uzman_D!$B$18&lt;0,-(D78-Uzman_D!$B$18),D78-Uzman_D!$B$18)*0.1+IF(E78-Uzman_D!$C$18&lt;0,-(E78-Uzman_D!$C$18),E78-Uzman_D!$C$18)*0.1+IF(F78-Uzman_D!$D$18&lt;0,-(F78-Uzman_D!$D$18),F78-Uzman_D!$D$18)*0.1+IF(G78-Uzman_D!$E$18&lt;0,-(G78-Uzman_D!$E$18),G78-Uzman_D!$E$18)*0.1+IF(H78-Uzman_D!$F$18&lt;0,-(H78-Uzman_D!$F$18),H78-Uzman_D!$F$18)*0.1+IF(I78-Uzman_D!$G$18&lt;0,-(I78-Uzman_D!$G$18),I78-Uzman_D!$G$18)*0.1+IF(J78-Uzman_D!$H$18&lt;0,-(J78-Uzman_D!$H$18),J78-Uzman_D!$H$18)*0.1+IF(K78-Uzman_D!$I$18&lt;0,-(K78-Uzman_D!$I$18),K78-Uzman_D!$I$18)*0.1+IF(L78-Uzman_D!$J$18&lt;0,-(L78-Uzman_D!$J$18),L78-Uzman_D!$J$18)*0.1)+IF(ROUND((IF(N78-Uzman_D!$L$18&lt;0,-(N78-Uzman_D!$L$18),N78-Uzman_D!$L$18)*2),0)/2=IF(N78-Uzman_D!$L$18&lt;0,-(N78-Uzman_D!$L$18),N78-Uzman_D!$L$18),(ROUND((IF(N78-Uzman_D!$L$18&lt;0,-(N78-Uzman_D!$L$18),N78-Uzman_D!$L$18)*2),0)/1*0.1),0)+IF(O78-Uzman_D!$M$18&lt;0,-(O78-Uzman_D!$M$18),O78-Uzman_D!$M$18)*1)</f>
        <v>-0.60000000000000009</v>
      </c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73"/>
      <c r="AB78" s="73"/>
      <c r="AC78" s="71">
        <f>1-(SUM(IF(Q78-Uzman_D!$B$19&lt;0,-(Q78-Uzman_D!$B$19),Q78-Uzman_D!$B$19)*0.1+IF(R78-Uzman_D!$C$19&lt;0,-(R78-Uzman_D!$C$19),R78-Uzman_D!$C$19)*0.1+IF(S78-Uzman_D!$D$19&lt;0,-(S78-Uzman_D!$D$19),S78-Uzman_D!$D$19)*0.1+IF(T78-Uzman_D!$E$19&lt;0,-(T78-Uzman_D!$E$19),T78-Uzman_D!$E$19)*0.1+IF(U78-Uzman_D!$F$19&lt;0,-(U78-Uzman_D!$F$19),U78-Uzman_D!$F$19)*0.1+IF(V78-Uzman_D!$G$19&lt;0,-(V78-Uzman_D!$G$19),V78-Uzman_D!$G$19)*0.1+IF(W78-Uzman_D!$H$19&lt;0,-(W78-Uzman_D!$H$19),W78-Uzman_D!$H$19)*0.1+IF(X78-Uzman_D!$I$19&lt;0,-(X78-Uzman_D!$I$19),X78-Uzman_D!$I$19)*0.1+IF(Y78-Uzman_D!$J$19&lt;0,-(Y78-Uzman_D!$J$19),Y78-Uzman_D!$J$19)*0.1)+IF(ROUND((IF(AA78-Uzman_D!$L$19&lt;0,-(AA78-Uzman_D!$L$19),AA78-Uzman_D!$L$19)*2),0)/2=IF(AA78-Uzman_D!$L$19&lt;0,-(AA78-Uzman_D!$L$19),AA78-Uzman_D!$L$19),(ROUND((IF(AA78-Uzman_D!$L$19&lt;0,-(AA78-Uzman_D!$L$19),AA78-Uzman_D!$L$19)*2),0)/1*0.1),0)+IF(AB78-Uzman_D!$M$19&lt;0,-(AB78-Uzman_D!$M$19),AB78-Uzman_D!$M$19)*1)</f>
        <v>-0.20000000000000018</v>
      </c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73"/>
      <c r="AO78" s="73"/>
      <c r="AP78" s="71">
        <f>1-(SUM(IF(AD78-Uzman_D!$B$20&lt;0,-(AD78-Uzman_D!$B$20),AD78-Uzman_D!$B$20)*0.1+IF(AE78-Uzman_D!$C$20&lt;0,-(AE78-Uzman_D!$C$20),AE78-Uzman_D!$C$20)*0.1+IF(AF78-Uzman_D!$D$20&lt;0,-(AF78-Uzman_D!$D$20),AF78-Uzman_D!$D$20)*0.1+IF(AG78-Uzman_D!$E$20&lt;0,-(AG78-Uzman_D!$E$20),AG78-Uzman_D!$E$20)*0.1+IF(AH78-Uzman_D!$F$20&lt;0,-(AH78-Uzman_D!$F$20),AH78-Uzman_D!$F$20)*0.1+IF(AI78-Uzman_D!$G$20&lt;0,-(AI78-Uzman_D!$G$20),AI78-Uzman_D!$G$20)*0.1+IF(AJ78-Uzman_D!$H$20&lt;0,-(AJ78-Uzman_D!$H$20),AJ78-Uzman_D!$H$20)*0.1+IF(AK78-Uzman_D!$I$20&lt;0,-(AK78-Uzman_D!$I$20),AK78-Uzman_D!$I$20)*0.1+IF(AL78-Uzman_D!$J$20&lt;0,-(AL78-Uzman_D!$J$20),AL78-Uzman_D!$J$20)*0.1)+IF(ROUND((IF(AN78-Uzman_D!$L$20&lt;0,-(AN78-Uzman_D!$L$20),AN78-Uzman_D!$L$20)*2),0)/2=IF(AN78-Uzman_D!$L$20&lt;0,-(AN78-Uzman_D!$L$20),AN78-Uzman_D!$L$20),(ROUND((IF(AN78-Uzman_D!$L$20&lt;0,-(AN78-Uzman_D!$L$20),AN78-Uzman_D!$L$20)*2),0)/1*0.1),0)+IF(AO78-Uzman_D!$M$20&lt;0,-(AO78-Uzman_D!$M$20),AO78-Uzman_D!$M$20)*1)</f>
        <v>-0.40000000000000013</v>
      </c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73"/>
      <c r="BB78" s="73"/>
      <c r="BC78" s="71">
        <f>1-(SUM(IF(AQ78-Uzman_D!$B$21&lt;0,-(AQ78-Uzman_D!$B$21),AQ78-Uzman_D!$B$21)*0.1+IF(AR78-Uzman_D!$C$21&lt;0,-(AR78-Uzman_D!$C$21),AR78-Uzman_D!$C$21)*0.1+IF(AS78-Uzman_D!$D$21&lt;0,-(AS78-Uzman_D!$D$21),AS78-Uzman_D!$D$21)*0.1+IF(AT78-Uzman_D!$E$21&lt;0,-(AT78-Uzman_D!$E$21),AT78-Uzman_D!$E$21)*0.1+IF(AU78-Uzman_D!$F$21&lt;0,-(AU78-Uzman_D!$F$21),AU78-Uzman_D!$F$21)*0.1+IF(AV78-Uzman_D!$G$21&lt;0,-(AV78-Uzman_D!$G$21),AV78-Uzman_D!$G$21)*0.1+IF(AW78-Uzman_D!$H$21&lt;0,-(AW78-Uzman_D!$H$21),AW78-Uzman_D!$H$21)*0.1+IF(AX78-Uzman_D!$I$21&lt;0,-(AX78-Uzman_D!$I$21),AX78-Uzman_D!$I$21)*0.1+IF(AY78-Uzman_D!$J$21&lt;0,-(AY78-Uzman_D!$J$21),AY78-Uzman_D!$J$21)*0.1)+IF(ROUND((IF(BA78-Uzman_D!$L$21&lt;0,-(BA78-Uzman_D!$L$21),BA78-Uzman_D!$L$21)*2),0)/2=IF(BA78-Uzman_D!$L$21&lt;0,-(BA78-Uzman_D!$L$21),BA78-Uzman_D!$L$21),(ROUND((IF(BA78-Uzman_D!$L$21&lt;0,-(BA78-Uzman_D!$L$21),BA78-Uzman_D!$L$21)*2),0)/1*0.1),0)+IF(BB78-Uzman_D!$M$21&lt;0,-(BB78-Uzman_D!$M$21),BB78-Uzman_D!$M$21)*1)</f>
        <v>-0.10000000000000009</v>
      </c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73"/>
      <c r="BO78" s="73"/>
      <c r="BP78" s="71">
        <f>1-(SUM(IF(BD78-Uzman_D!$B$22&lt;0,-(BD78-Uzman_D!$B$22),BD78-Uzman_D!$B$22)*0.1+IF(BE78-Uzman_D!$C$22&lt;0,-(BE78-Uzman_D!$C$22),BE78-Uzman_D!$C$22)*0.1+IF(BF78-Uzman_D!$D$22&lt;0,-(BF78-Uzman_D!$D$22),BF78-Uzman_D!$D$22)*0.1+IF(BG78-Uzman_D!$E$22&lt;0,-(BG78-Uzman_D!$E$22),BG78-Uzman_D!$E$22)*0.1+IF(BH78-Uzman_D!$F$22&lt;0,-(BH78-Uzman_D!$F$22),BH78-Uzman_D!$F$22)*0.1+IF(BI78-Uzman_D!$G$22&lt;0,-(BI78-Uzman_D!$G$22),BI78-Uzman_D!$G$22)*0.1+IF(BJ78-Uzman_D!$H$22&lt;0,-(BJ78-Uzman_D!$H$22),BJ78-Uzman_D!$H$22)*0.1+IF(BK78-Uzman_D!$I$22&lt;0,-(BK78-Uzman_D!$I$22),BK78-Uzman_D!$I$22)*0.1+IF(BL78-Uzman_D!$J$22&lt;0,-(BL78-Uzman_D!$J$22),BL78-Uzman_D!$J$22)*0.1)+IF(ROUND((IF(BN78-Uzman_D!$L$22&lt;0,-(BN78-Uzman_D!$L$22),BN78-Uzman_D!$L$22)*2),0)/2=IF(BN78-Uzman_D!$L$22&lt;0,-(BN78-Uzman_D!$L$22),BN78-Uzman_D!$L$22),(ROUND((IF(BN78-Uzman_D!$L$22&lt;0,-(BN78-Uzman_D!$L$22),BN78-Uzman_D!$L$22)*2),0)/1*0.1),0)+IF(BO78-Uzman_D!$M$22&lt;0,-(BO78-Uzman_D!$M$22),BO78-Uzman_D!$M$22)*1)</f>
        <v>-0.10000000000000009</v>
      </c>
      <c r="BQ78" s="72">
        <f t="shared" si="2"/>
        <v>-0.28000000000000014</v>
      </c>
    </row>
    <row r="79" spans="1:69" ht="15" customHeight="1" x14ac:dyDescent="0.45">
      <c r="A79" s="54">
        <v>76</v>
      </c>
      <c r="B79" s="170">
        <f>Hakemler!B79</f>
        <v>0</v>
      </c>
      <c r="C79" s="170">
        <f>Hakemler!C79</f>
        <v>0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73"/>
      <c r="O79" s="73"/>
      <c r="P79" s="71">
        <f>1-(SUM(IF(D79-Uzman_D!$B$18&lt;0,-(D79-Uzman_D!$B$18),D79-Uzman_D!$B$18)*0.1+IF(E79-Uzman_D!$C$18&lt;0,-(E79-Uzman_D!$C$18),E79-Uzman_D!$C$18)*0.1+IF(F79-Uzman_D!$D$18&lt;0,-(F79-Uzman_D!$D$18),F79-Uzman_D!$D$18)*0.1+IF(G79-Uzman_D!$E$18&lt;0,-(G79-Uzman_D!$E$18),G79-Uzman_D!$E$18)*0.1+IF(H79-Uzman_D!$F$18&lt;0,-(H79-Uzman_D!$F$18),H79-Uzman_D!$F$18)*0.1+IF(I79-Uzman_D!$G$18&lt;0,-(I79-Uzman_D!$G$18),I79-Uzman_D!$G$18)*0.1+IF(J79-Uzman_D!$H$18&lt;0,-(J79-Uzman_D!$H$18),J79-Uzman_D!$H$18)*0.1+IF(K79-Uzman_D!$I$18&lt;0,-(K79-Uzman_D!$I$18),K79-Uzman_D!$I$18)*0.1+IF(L79-Uzman_D!$J$18&lt;0,-(L79-Uzman_D!$J$18),L79-Uzman_D!$J$18)*0.1)+IF(ROUND((IF(N79-Uzman_D!$L$18&lt;0,-(N79-Uzman_D!$L$18),N79-Uzman_D!$L$18)*2),0)/2=IF(N79-Uzman_D!$L$18&lt;0,-(N79-Uzman_D!$L$18),N79-Uzman_D!$L$18),(ROUND((IF(N79-Uzman_D!$L$18&lt;0,-(N79-Uzman_D!$L$18),N79-Uzman_D!$L$18)*2),0)/1*0.1),0)+IF(O79-Uzman_D!$M$18&lt;0,-(O79-Uzman_D!$M$18),O79-Uzman_D!$M$18)*1)</f>
        <v>-0.60000000000000009</v>
      </c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73"/>
      <c r="AB79" s="73"/>
      <c r="AC79" s="71">
        <f>1-(SUM(IF(Q79-Uzman_D!$B$19&lt;0,-(Q79-Uzman_D!$B$19),Q79-Uzman_D!$B$19)*0.1+IF(R79-Uzman_D!$C$19&lt;0,-(R79-Uzman_D!$C$19),R79-Uzman_D!$C$19)*0.1+IF(S79-Uzman_D!$D$19&lt;0,-(S79-Uzman_D!$D$19),S79-Uzman_D!$D$19)*0.1+IF(T79-Uzman_D!$E$19&lt;0,-(T79-Uzman_D!$E$19),T79-Uzman_D!$E$19)*0.1+IF(U79-Uzman_D!$F$19&lt;0,-(U79-Uzman_D!$F$19),U79-Uzman_D!$F$19)*0.1+IF(V79-Uzman_D!$G$19&lt;0,-(V79-Uzman_D!$G$19),V79-Uzman_D!$G$19)*0.1+IF(W79-Uzman_D!$H$19&lt;0,-(W79-Uzman_D!$H$19),W79-Uzman_D!$H$19)*0.1+IF(X79-Uzman_D!$I$19&lt;0,-(X79-Uzman_D!$I$19),X79-Uzman_D!$I$19)*0.1+IF(Y79-Uzman_D!$J$19&lt;0,-(Y79-Uzman_D!$J$19),Y79-Uzman_D!$J$19)*0.1)+IF(ROUND((IF(AA79-Uzman_D!$L$19&lt;0,-(AA79-Uzman_D!$L$19),AA79-Uzman_D!$L$19)*2),0)/2=IF(AA79-Uzman_D!$L$19&lt;0,-(AA79-Uzman_D!$L$19),AA79-Uzman_D!$L$19),(ROUND((IF(AA79-Uzman_D!$L$19&lt;0,-(AA79-Uzman_D!$L$19),AA79-Uzman_D!$L$19)*2),0)/1*0.1),0)+IF(AB79-Uzman_D!$M$19&lt;0,-(AB79-Uzman_D!$M$19),AB79-Uzman_D!$M$19)*1)</f>
        <v>-0.20000000000000018</v>
      </c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73"/>
      <c r="AO79" s="73"/>
      <c r="AP79" s="71">
        <f>1-(SUM(IF(AD79-Uzman_D!$B$20&lt;0,-(AD79-Uzman_D!$B$20),AD79-Uzman_D!$B$20)*0.1+IF(AE79-Uzman_D!$C$20&lt;0,-(AE79-Uzman_D!$C$20),AE79-Uzman_D!$C$20)*0.1+IF(AF79-Uzman_D!$D$20&lt;0,-(AF79-Uzman_D!$D$20),AF79-Uzman_D!$D$20)*0.1+IF(AG79-Uzman_D!$E$20&lt;0,-(AG79-Uzman_D!$E$20),AG79-Uzman_D!$E$20)*0.1+IF(AH79-Uzman_D!$F$20&lt;0,-(AH79-Uzman_D!$F$20),AH79-Uzman_D!$F$20)*0.1+IF(AI79-Uzman_D!$G$20&lt;0,-(AI79-Uzman_D!$G$20),AI79-Uzman_D!$G$20)*0.1+IF(AJ79-Uzman_D!$H$20&lt;0,-(AJ79-Uzman_D!$H$20),AJ79-Uzman_D!$H$20)*0.1+IF(AK79-Uzman_D!$I$20&lt;0,-(AK79-Uzman_D!$I$20),AK79-Uzman_D!$I$20)*0.1+IF(AL79-Uzman_D!$J$20&lt;0,-(AL79-Uzman_D!$J$20),AL79-Uzman_D!$J$20)*0.1)+IF(ROUND((IF(AN79-Uzman_D!$L$20&lt;0,-(AN79-Uzman_D!$L$20),AN79-Uzman_D!$L$20)*2),0)/2=IF(AN79-Uzman_D!$L$20&lt;0,-(AN79-Uzman_D!$L$20),AN79-Uzman_D!$L$20),(ROUND((IF(AN79-Uzman_D!$L$20&lt;0,-(AN79-Uzman_D!$L$20),AN79-Uzman_D!$L$20)*2),0)/1*0.1),0)+IF(AO79-Uzman_D!$M$20&lt;0,-(AO79-Uzman_D!$M$20),AO79-Uzman_D!$M$20)*1)</f>
        <v>-0.40000000000000013</v>
      </c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73"/>
      <c r="BB79" s="73"/>
      <c r="BC79" s="71">
        <f>1-(SUM(IF(AQ79-Uzman_D!$B$21&lt;0,-(AQ79-Uzman_D!$B$21),AQ79-Uzman_D!$B$21)*0.1+IF(AR79-Uzman_D!$C$21&lt;0,-(AR79-Uzman_D!$C$21),AR79-Uzman_D!$C$21)*0.1+IF(AS79-Uzman_D!$D$21&lt;0,-(AS79-Uzman_D!$D$21),AS79-Uzman_D!$D$21)*0.1+IF(AT79-Uzman_D!$E$21&lt;0,-(AT79-Uzman_D!$E$21),AT79-Uzman_D!$E$21)*0.1+IF(AU79-Uzman_D!$F$21&lt;0,-(AU79-Uzman_D!$F$21),AU79-Uzman_D!$F$21)*0.1+IF(AV79-Uzman_D!$G$21&lt;0,-(AV79-Uzman_D!$G$21),AV79-Uzman_D!$G$21)*0.1+IF(AW79-Uzman_D!$H$21&lt;0,-(AW79-Uzman_D!$H$21),AW79-Uzman_D!$H$21)*0.1+IF(AX79-Uzman_D!$I$21&lt;0,-(AX79-Uzman_D!$I$21),AX79-Uzman_D!$I$21)*0.1+IF(AY79-Uzman_D!$J$21&lt;0,-(AY79-Uzman_D!$J$21),AY79-Uzman_D!$J$21)*0.1)+IF(ROUND((IF(BA79-Uzman_D!$L$21&lt;0,-(BA79-Uzman_D!$L$21),BA79-Uzman_D!$L$21)*2),0)/2=IF(BA79-Uzman_D!$L$21&lt;0,-(BA79-Uzman_D!$L$21),BA79-Uzman_D!$L$21),(ROUND((IF(BA79-Uzman_D!$L$21&lt;0,-(BA79-Uzman_D!$L$21),BA79-Uzman_D!$L$21)*2),0)/1*0.1),0)+IF(BB79-Uzman_D!$M$21&lt;0,-(BB79-Uzman_D!$M$21),BB79-Uzman_D!$M$21)*1)</f>
        <v>-0.10000000000000009</v>
      </c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73"/>
      <c r="BO79" s="73"/>
      <c r="BP79" s="71">
        <f>1-(SUM(IF(BD79-Uzman_D!$B$22&lt;0,-(BD79-Uzman_D!$B$22),BD79-Uzman_D!$B$22)*0.1+IF(BE79-Uzman_D!$C$22&lt;0,-(BE79-Uzman_D!$C$22),BE79-Uzman_D!$C$22)*0.1+IF(BF79-Uzman_D!$D$22&lt;0,-(BF79-Uzman_D!$D$22),BF79-Uzman_D!$D$22)*0.1+IF(BG79-Uzman_D!$E$22&lt;0,-(BG79-Uzman_D!$E$22),BG79-Uzman_D!$E$22)*0.1+IF(BH79-Uzman_D!$F$22&lt;0,-(BH79-Uzman_D!$F$22),BH79-Uzman_D!$F$22)*0.1+IF(BI79-Uzman_D!$G$22&lt;0,-(BI79-Uzman_D!$G$22),BI79-Uzman_D!$G$22)*0.1+IF(BJ79-Uzman_D!$H$22&lt;0,-(BJ79-Uzman_D!$H$22),BJ79-Uzman_D!$H$22)*0.1+IF(BK79-Uzman_D!$I$22&lt;0,-(BK79-Uzman_D!$I$22),BK79-Uzman_D!$I$22)*0.1+IF(BL79-Uzman_D!$J$22&lt;0,-(BL79-Uzman_D!$J$22),BL79-Uzman_D!$J$22)*0.1)+IF(ROUND((IF(BN79-Uzman_D!$L$22&lt;0,-(BN79-Uzman_D!$L$22),BN79-Uzman_D!$L$22)*2),0)/2=IF(BN79-Uzman_D!$L$22&lt;0,-(BN79-Uzman_D!$L$22),BN79-Uzman_D!$L$22),(ROUND((IF(BN79-Uzman_D!$L$22&lt;0,-(BN79-Uzman_D!$L$22),BN79-Uzman_D!$L$22)*2),0)/1*0.1),0)+IF(BO79-Uzman_D!$M$22&lt;0,-(BO79-Uzman_D!$M$22),BO79-Uzman_D!$M$22)*1)</f>
        <v>-0.10000000000000009</v>
      </c>
      <c r="BQ79" s="72">
        <f t="shared" si="2"/>
        <v>-0.28000000000000014</v>
      </c>
    </row>
    <row r="80" spans="1:69" ht="15" customHeight="1" x14ac:dyDescent="0.45">
      <c r="A80" s="54">
        <v>77</v>
      </c>
      <c r="B80" s="170">
        <f>Hakemler!B80</f>
        <v>0</v>
      </c>
      <c r="C80" s="170">
        <f>Hakemler!C80</f>
        <v>0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73"/>
      <c r="O80" s="73"/>
      <c r="P80" s="71">
        <f>1-(SUM(IF(D80-Uzman_D!$B$18&lt;0,-(D80-Uzman_D!$B$18),D80-Uzman_D!$B$18)*0.1+IF(E80-Uzman_D!$C$18&lt;0,-(E80-Uzman_D!$C$18),E80-Uzman_D!$C$18)*0.1+IF(F80-Uzman_D!$D$18&lt;0,-(F80-Uzman_D!$D$18),F80-Uzman_D!$D$18)*0.1+IF(G80-Uzman_D!$E$18&lt;0,-(G80-Uzman_D!$E$18),G80-Uzman_D!$E$18)*0.1+IF(H80-Uzman_D!$F$18&lt;0,-(H80-Uzman_D!$F$18),H80-Uzman_D!$F$18)*0.1+IF(I80-Uzman_D!$G$18&lt;0,-(I80-Uzman_D!$G$18),I80-Uzman_D!$G$18)*0.1+IF(J80-Uzman_D!$H$18&lt;0,-(J80-Uzman_D!$H$18),J80-Uzman_D!$H$18)*0.1+IF(K80-Uzman_D!$I$18&lt;0,-(K80-Uzman_D!$I$18),K80-Uzman_D!$I$18)*0.1+IF(L80-Uzman_D!$J$18&lt;0,-(L80-Uzman_D!$J$18),L80-Uzman_D!$J$18)*0.1)+IF(ROUND((IF(N80-Uzman_D!$L$18&lt;0,-(N80-Uzman_D!$L$18),N80-Uzman_D!$L$18)*2),0)/2=IF(N80-Uzman_D!$L$18&lt;0,-(N80-Uzman_D!$L$18),N80-Uzman_D!$L$18),(ROUND((IF(N80-Uzman_D!$L$18&lt;0,-(N80-Uzman_D!$L$18),N80-Uzman_D!$L$18)*2),0)/1*0.1),0)+IF(O80-Uzman_D!$M$18&lt;0,-(O80-Uzman_D!$M$18),O80-Uzman_D!$M$18)*1)</f>
        <v>-0.60000000000000009</v>
      </c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73"/>
      <c r="AB80" s="73"/>
      <c r="AC80" s="71">
        <f>1-(SUM(IF(Q80-Uzman_D!$B$19&lt;0,-(Q80-Uzman_D!$B$19),Q80-Uzman_D!$B$19)*0.1+IF(R80-Uzman_D!$C$19&lt;0,-(R80-Uzman_D!$C$19),R80-Uzman_D!$C$19)*0.1+IF(S80-Uzman_D!$D$19&lt;0,-(S80-Uzman_D!$D$19),S80-Uzman_D!$D$19)*0.1+IF(T80-Uzman_D!$E$19&lt;0,-(T80-Uzman_D!$E$19),T80-Uzman_D!$E$19)*0.1+IF(U80-Uzman_D!$F$19&lt;0,-(U80-Uzman_D!$F$19),U80-Uzman_D!$F$19)*0.1+IF(V80-Uzman_D!$G$19&lt;0,-(V80-Uzman_D!$G$19),V80-Uzman_D!$G$19)*0.1+IF(W80-Uzman_D!$H$19&lt;0,-(W80-Uzman_D!$H$19),W80-Uzman_D!$H$19)*0.1+IF(X80-Uzman_D!$I$19&lt;0,-(X80-Uzman_D!$I$19),X80-Uzman_D!$I$19)*0.1+IF(Y80-Uzman_D!$J$19&lt;0,-(Y80-Uzman_D!$J$19),Y80-Uzman_D!$J$19)*0.1)+IF(ROUND((IF(AA80-Uzman_D!$L$19&lt;0,-(AA80-Uzman_D!$L$19),AA80-Uzman_D!$L$19)*2),0)/2=IF(AA80-Uzman_D!$L$19&lt;0,-(AA80-Uzman_D!$L$19),AA80-Uzman_D!$L$19),(ROUND((IF(AA80-Uzman_D!$L$19&lt;0,-(AA80-Uzman_D!$L$19),AA80-Uzman_D!$L$19)*2),0)/1*0.1),0)+IF(AB80-Uzman_D!$M$19&lt;0,-(AB80-Uzman_D!$M$19),AB80-Uzman_D!$M$19)*1)</f>
        <v>-0.20000000000000018</v>
      </c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73"/>
      <c r="AO80" s="73"/>
      <c r="AP80" s="71">
        <f>1-(SUM(IF(AD80-Uzman_D!$B$20&lt;0,-(AD80-Uzman_D!$B$20),AD80-Uzman_D!$B$20)*0.1+IF(AE80-Uzman_D!$C$20&lt;0,-(AE80-Uzman_D!$C$20),AE80-Uzman_D!$C$20)*0.1+IF(AF80-Uzman_D!$D$20&lt;0,-(AF80-Uzman_D!$D$20),AF80-Uzman_D!$D$20)*0.1+IF(AG80-Uzman_D!$E$20&lt;0,-(AG80-Uzman_D!$E$20),AG80-Uzman_D!$E$20)*0.1+IF(AH80-Uzman_D!$F$20&lt;0,-(AH80-Uzman_D!$F$20),AH80-Uzman_D!$F$20)*0.1+IF(AI80-Uzman_D!$G$20&lt;0,-(AI80-Uzman_D!$G$20),AI80-Uzman_D!$G$20)*0.1+IF(AJ80-Uzman_D!$H$20&lt;0,-(AJ80-Uzman_D!$H$20),AJ80-Uzman_D!$H$20)*0.1+IF(AK80-Uzman_D!$I$20&lt;0,-(AK80-Uzman_D!$I$20),AK80-Uzman_D!$I$20)*0.1+IF(AL80-Uzman_D!$J$20&lt;0,-(AL80-Uzman_D!$J$20),AL80-Uzman_D!$J$20)*0.1)+IF(ROUND((IF(AN80-Uzman_D!$L$20&lt;0,-(AN80-Uzman_D!$L$20),AN80-Uzman_D!$L$20)*2),0)/2=IF(AN80-Uzman_D!$L$20&lt;0,-(AN80-Uzman_D!$L$20),AN80-Uzman_D!$L$20),(ROUND((IF(AN80-Uzman_D!$L$20&lt;0,-(AN80-Uzman_D!$L$20),AN80-Uzman_D!$L$20)*2),0)/1*0.1),0)+IF(AO80-Uzman_D!$M$20&lt;0,-(AO80-Uzman_D!$M$20),AO80-Uzman_D!$M$20)*1)</f>
        <v>-0.40000000000000013</v>
      </c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73"/>
      <c r="BB80" s="73"/>
      <c r="BC80" s="71">
        <f>1-(SUM(IF(AQ80-Uzman_D!$B$21&lt;0,-(AQ80-Uzman_D!$B$21),AQ80-Uzman_D!$B$21)*0.1+IF(AR80-Uzman_D!$C$21&lt;0,-(AR80-Uzman_D!$C$21),AR80-Uzman_D!$C$21)*0.1+IF(AS80-Uzman_D!$D$21&lt;0,-(AS80-Uzman_D!$D$21),AS80-Uzman_D!$D$21)*0.1+IF(AT80-Uzman_D!$E$21&lt;0,-(AT80-Uzman_D!$E$21),AT80-Uzman_D!$E$21)*0.1+IF(AU80-Uzman_D!$F$21&lt;0,-(AU80-Uzman_D!$F$21),AU80-Uzman_D!$F$21)*0.1+IF(AV80-Uzman_D!$G$21&lt;0,-(AV80-Uzman_D!$G$21),AV80-Uzman_D!$G$21)*0.1+IF(AW80-Uzman_D!$H$21&lt;0,-(AW80-Uzman_D!$H$21),AW80-Uzman_D!$H$21)*0.1+IF(AX80-Uzman_D!$I$21&lt;0,-(AX80-Uzman_D!$I$21),AX80-Uzman_D!$I$21)*0.1+IF(AY80-Uzman_D!$J$21&lt;0,-(AY80-Uzman_D!$J$21),AY80-Uzman_D!$J$21)*0.1)+IF(ROUND((IF(BA80-Uzman_D!$L$21&lt;0,-(BA80-Uzman_D!$L$21),BA80-Uzman_D!$L$21)*2),0)/2=IF(BA80-Uzman_D!$L$21&lt;0,-(BA80-Uzman_D!$L$21),BA80-Uzman_D!$L$21),(ROUND((IF(BA80-Uzman_D!$L$21&lt;0,-(BA80-Uzman_D!$L$21),BA80-Uzman_D!$L$21)*2),0)/1*0.1),0)+IF(BB80-Uzman_D!$M$21&lt;0,-(BB80-Uzman_D!$M$21),BB80-Uzman_D!$M$21)*1)</f>
        <v>-0.10000000000000009</v>
      </c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73"/>
      <c r="BO80" s="73"/>
      <c r="BP80" s="71">
        <f>1-(SUM(IF(BD80-Uzman_D!$B$22&lt;0,-(BD80-Uzman_D!$B$22),BD80-Uzman_D!$B$22)*0.1+IF(BE80-Uzman_D!$C$22&lt;0,-(BE80-Uzman_D!$C$22),BE80-Uzman_D!$C$22)*0.1+IF(BF80-Uzman_D!$D$22&lt;0,-(BF80-Uzman_D!$D$22),BF80-Uzman_D!$D$22)*0.1+IF(BG80-Uzman_D!$E$22&lt;0,-(BG80-Uzman_D!$E$22),BG80-Uzman_D!$E$22)*0.1+IF(BH80-Uzman_D!$F$22&lt;0,-(BH80-Uzman_D!$F$22),BH80-Uzman_D!$F$22)*0.1+IF(BI80-Uzman_D!$G$22&lt;0,-(BI80-Uzman_D!$G$22),BI80-Uzman_D!$G$22)*0.1+IF(BJ80-Uzman_D!$H$22&lt;0,-(BJ80-Uzman_D!$H$22),BJ80-Uzman_D!$H$22)*0.1+IF(BK80-Uzman_D!$I$22&lt;0,-(BK80-Uzman_D!$I$22),BK80-Uzman_D!$I$22)*0.1+IF(BL80-Uzman_D!$J$22&lt;0,-(BL80-Uzman_D!$J$22),BL80-Uzman_D!$J$22)*0.1)+IF(ROUND((IF(BN80-Uzman_D!$L$22&lt;0,-(BN80-Uzman_D!$L$22),BN80-Uzman_D!$L$22)*2),0)/2=IF(BN80-Uzman_D!$L$22&lt;0,-(BN80-Uzman_D!$L$22),BN80-Uzman_D!$L$22),(ROUND((IF(BN80-Uzman_D!$L$22&lt;0,-(BN80-Uzman_D!$L$22),BN80-Uzman_D!$L$22)*2),0)/1*0.1),0)+IF(BO80-Uzman_D!$M$22&lt;0,-(BO80-Uzman_D!$M$22),BO80-Uzman_D!$M$22)*1)</f>
        <v>-0.10000000000000009</v>
      </c>
      <c r="BQ80" s="72">
        <f t="shared" si="2"/>
        <v>-0.28000000000000014</v>
      </c>
    </row>
    <row r="81" spans="1:69" ht="15" customHeight="1" x14ac:dyDescent="0.45">
      <c r="A81" s="54">
        <v>78</v>
      </c>
      <c r="B81" s="170">
        <f>Hakemler!B81</f>
        <v>0</v>
      </c>
      <c r="C81" s="170">
        <f>Hakemler!C81</f>
        <v>0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73"/>
      <c r="O81" s="73"/>
      <c r="P81" s="71">
        <f>1-(SUM(IF(D81-Uzman_D!$B$18&lt;0,-(D81-Uzman_D!$B$18),D81-Uzman_D!$B$18)*0.1+IF(E81-Uzman_D!$C$18&lt;0,-(E81-Uzman_D!$C$18),E81-Uzman_D!$C$18)*0.1+IF(F81-Uzman_D!$D$18&lt;0,-(F81-Uzman_D!$D$18),F81-Uzman_D!$D$18)*0.1+IF(G81-Uzman_D!$E$18&lt;0,-(G81-Uzman_D!$E$18),G81-Uzman_D!$E$18)*0.1+IF(H81-Uzman_D!$F$18&lt;0,-(H81-Uzman_D!$F$18),H81-Uzman_D!$F$18)*0.1+IF(I81-Uzman_D!$G$18&lt;0,-(I81-Uzman_D!$G$18),I81-Uzman_D!$G$18)*0.1+IF(J81-Uzman_D!$H$18&lt;0,-(J81-Uzman_D!$H$18),J81-Uzman_D!$H$18)*0.1+IF(K81-Uzman_D!$I$18&lt;0,-(K81-Uzman_D!$I$18),K81-Uzman_D!$I$18)*0.1+IF(L81-Uzman_D!$J$18&lt;0,-(L81-Uzman_D!$J$18),L81-Uzman_D!$J$18)*0.1)+IF(ROUND((IF(N81-Uzman_D!$L$18&lt;0,-(N81-Uzman_D!$L$18),N81-Uzman_D!$L$18)*2),0)/2=IF(N81-Uzman_D!$L$18&lt;0,-(N81-Uzman_D!$L$18),N81-Uzman_D!$L$18),(ROUND((IF(N81-Uzman_D!$L$18&lt;0,-(N81-Uzman_D!$L$18),N81-Uzman_D!$L$18)*2),0)/1*0.1),0)+IF(O81-Uzman_D!$M$18&lt;0,-(O81-Uzman_D!$M$18),O81-Uzman_D!$M$18)*1)</f>
        <v>-0.60000000000000009</v>
      </c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73"/>
      <c r="AB81" s="73"/>
      <c r="AC81" s="71">
        <f>1-(SUM(IF(Q81-Uzman_D!$B$19&lt;0,-(Q81-Uzman_D!$B$19),Q81-Uzman_D!$B$19)*0.1+IF(R81-Uzman_D!$C$19&lt;0,-(R81-Uzman_D!$C$19),R81-Uzman_D!$C$19)*0.1+IF(S81-Uzman_D!$D$19&lt;0,-(S81-Uzman_D!$D$19),S81-Uzman_D!$D$19)*0.1+IF(T81-Uzman_D!$E$19&lt;0,-(T81-Uzman_D!$E$19),T81-Uzman_D!$E$19)*0.1+IF(U81-Uzman_D!$F$19&lt;0,-(U81-Uzman_D!$F$19),U81-Uzman_D!$F$19)*0.1+IF(V81-Uzman_D!$G$19&lt;0,-(V81-Uzman_D!$G$19),V81-Uzman_D!$G$19)*0.1+IF(W81-Uzman_D!$H$19&lt;0,-(W81-Uzman_D!$H$19),W81-Uzman_D!$H$19)*0.1+IF(X81-Uzman_D!$I$19&lt;0,-(X81-Uzman_D!$I$19),X81-Uzman_D!$I$19)*0.1+IF(Y81-Uzman_D!$J$19&lt;0,-(Y81-Uzman_D!$J$19),Y81-Uzman_D!$J$19)*0.1)+IF(ROUND((IF(AA81-Uzman_D!$L$19&lt;0,-(AA81-Uzman_D!$L$19),AA81-Uzman_D!$L$19)*2),0)/2=IF(AA81-Uzman_D!$L$19&lt;0,-(AA81-Uzman_D!$L$19),AA81-Uzman_D!$L$19),(ROUND((IF(AA81-Uzman_D!$L$19&lt;0,-(AA81-Uzman_D!$L$19),AA81-Uzman_D!$L$19)*2),0)/1*0.1),0)+IF(AB81-Uzman_D!$M$19&lt;0,-(AB81-Uzman_D!$M$19),AB81-Uzman_D!$M$19)*1)</f>
        <v>-0.20000000000000018</v>
      </c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73"/>
      <c r="AO81" s="73"/>
      <c r="AP81" s="71">
        <f>1-(SUM(IF(AD81-Uzman_D!$B$20&lt;0,-(AD81-Uzman_D!$B$20),AD81-Uzman_D!$B$20)*0.1+IF(AE81-Uzman_D!$C$20&lt;0,-(AE81-Uzman_D!$C$20),AE81-Uzman_D!$C$20)*0.1+IF(AF81-Uzman_D!$D$20&lt;0,-(AF81-Uzman_D!$D$20),AF81-Uzman_D!$D$20)*0.1+IF(AG81-Uzman_D!$E$20&lt;0,-(AG81-Uzman_D!$E$20),AG81-Uzman_D!$E$20)*0.1+IF(AH81-Uzman_D!$F$20&lt;0,-(AH81-Uzman_D!$F$20),AH81-Uzman_D!$F$20)*0.1+IF(AI81-Uzman_D!$G$20&lt;0,-(AI81-Uzman_D!$G$20),AI81-Uzman_D!$G$20)*0.1+IF(AJ81-Uzman_D!$H$20&lt;0,-(AJ81-Uzman_D!$H$20),AJ81-Uzman_D!$H$20)*0.1+IF(AK81-Uzman_D!$I$20&lt;0,-(AK81-Uzman_D!$I$20),AK81-Uzman_D!$I$20)*0.1+IF(AL81-Uzman_D!$J$20&lt;0,-(AL81-Uzman_D!$J$20),AL81-Uzman_D!$J$20)*0.1)+IF(ROUND((IF(AN81-Uzman_D!$L$20&lt;0,-(AN81-Uzman_D!$L$20),AN81-Uzman_D!$L$20)*2),0)/2=IF(AN81-Uzman_D!$L$20&lt;0,-(AN81-Uzman_D!$L$20),AN81-Uzman_D!$L$20),(ROUND((IF(AN81-Uzman_D!$L$20&lt;0,-(AN81-Uzman_D!$L$20),AN81-Uzman_D!$L$20)*2),0)/1*0.1),0)+IF(AO81-Uzman_D!$M$20&lt;0,-(AO81-Uzman_D!$M$20),AO81-Uzman_D!$M$20)*1)</f>
        <v>-0.40000000000000013</v>
      </c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73"/>
      <c r="BB81" s="73"/>
      <c r="BC81" s="71">
        <f>1-(SUM(IF(AQ81-Uzman_D!$B$21&lt;0,-(AQ81-Uzman_D!$B$21),AQ81-Uzman_D!$B$21)*0.1+IF(AR81-Uzman_D!$C$21&lt;0,-(AR81-Uzman_D!$C$21),AR81-Uzman_D!$C$21)*0.1+IF(AS81-Uzman_D!$D$21&lt;0,-(AS81-Uzman_D!$D$21),AS81-Uzman_D!$D$21)*0.1+IF(AT81-Uzman_D!$E$21&lt;0,-(AT81-Uzman_D!$E$21),AT81-Uzman_D!$E$21)*0.1+IF(AU81-Uzman_D!$F$21&lt;0,-(AU81-Uzman_D!$F$21),AU81-Uzman_D!$F$21)*0.1+IF(AV81-Uzman_D!$G$21&lt;0,-(AV81-Uzman_D!$G$21),AV81-Uzman_D!$G$21)*0.1+IF(AW81-Uzman_D!$H$21&lt;0,-(AW81-Uzman_D!$H$21),AW81-Uzman_D!$H$21)*0.1+IF(AX81-Uzman_D!$I$21&lt;0,-(AX81-Uzman_D!$I$21),AX81-Uzman_D!$I$21)*0.1+IF(AY81-Uzman_D!$J$21&lt;0,-(AY81-Uzman_D!$J$21),AY81-Uzman_D!$J$21)*0.1)+IF(ROUND((IF(BA81-Uzman_D!$L$21&lt;0,-(BA81-Uzman_D!$L$21),BA81-Uzman_D!$L$21)*2),0)/2=IF(BA81-Uzman_D!$L$21&lt;0,-(BA81-Uzman_D!$L$21),BA81-Uzman_D!$L$21),(ROUND((IF(BA81-Uzman_D!$L$21&lt;0,-(BA81-Uzman_D!$L$21),BA81-Uzman_D!$L$21)*2),0)/1*0.1),0)+IF(BB81-Uzman_D!$M$21&lt;0,-(BB81-Uzman_D!$M$21),BB81-Uzman_D!$M$21)*1)</f>
        <v>-0.10000000000000009</v>
      </c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73"/>
      <c r="BO81" s="73"/>
      <c r="BP81" s="71">
        <f>1-(SUM(IF(BD81-Uzman_D!$B$22&lt;0,-(BD81-Uzman_D!$B$22),BD81-Uzman_D!$B$22)*0.1+IF(BE81-Uzman_D!$C$22&lt;0,-(BE81-Uzman_D!$C$22),BE81-Uzman_D!$C$22)*0.1+IF(BF81-Uzman_D!$D$22&lt;0,-(BF81-Uzman_D!$D$22),BF81-Uzman_D!$D$22)*0.1+IF(BG81-Uzman_D!$E$22&lt;0,-(BG81-Uzman_D!$E$22),BG81-Uzman_D!$E$22)*0.1+IF(BH81-Uzman_D!$F$22&lt;0,-(BH81-Uzman_D!$F$22),BH81-Uzman_D!$F$22)*0.1+IF(BI81-Uzman_D!$G$22&lt;0,-(BI81-Uzman_D!$G$22),BI81-Uzman_D!$G$22)*0.1+IF(BJ81-Uzman_D!$H$22&lt;0,-(BJ81-Uzman_D!$H$22),BJ81-Uzman_D!$H$22)*0.1+IF(BK81-Uzman_D!$I$22&lt;0,-(BK81-Uzman_D!$I$22),BK81-Uzman_D!$I$22)*0.1+IF(BL81-Uzman_D!$J$22&lt;0,-(BL81-Uzman_D!$J$22),BL81-Uzman_D!$J$22)*0.1)+IF(ROUND((IF(BN81-Uzman_D!$L$22&lt;0,-(BN81-Uzman_D!$L$22),BN81-Uzman_D!$L$22)*2),0)/2=IF(BN81-Uzman_D!$L$22&lt;0,-(BN81-Uzman_D!$L$22),BN81-Uzman_D!$L$22),(ROUND((IF(BN81-Uzman_D!$L$22&lt;0,-(BN81-Uzman_D!$L$22),BN81-Uzman_D!$L$22)*2),0)/1*0.1),0)+IF(BO81-Uzman_D!$M$22&lt;0,-(BO81-Uzman_D!$M$22),BO81-Uzman_D!$M$22)*1)</f>
        <v>-0.10000000000000009</v>
      </c>
      <c r="BQ81" s="72">
        <f t="shared" si="2"/>
        <v>-0.28000000000000014</v>
      </c>
    </row>
    <row r="82" spans="1:69" ht="15" customHeight="1" x14ac:dyDescent="0.45">
      <c r="A82" s="54">
        <v>79</v>
      </c>
      <c r="B82" s="170">
        <f>Hakemler!B82</f>
        <v>0</v>
      </c>
      <c r="C82" s="170">
        <f>Hakemler!C82</f>
        <v>0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73"/>
      <c r="O82" s="73"/>
      <c r="P82" s="71">
        <f>1-(SUM(IF(D82-Uzman_D!$B$18&lt;0,-(D82-Uzman_D!$B$18),D82-Uzman_D!$B$18)*0.1+IF(E82-Uzman_D!$C$18&lt;0,-(E82-Uzman_D!$C$18),E82-Uzman_D!$C$18)*0.1+IF(F82-Uzman_D!$D$18&lt;0,-(F82-Uzman_D!$D$18),F82-Uzman_D!$D$18)*0.1+IF(G82-Uzman_D!$E$18&lt;0,-(G82-Uzman_D!$E$18),G82-Uzman_D!$E$18)*0.1+IF(H82-Uzman_D!$F$18&lt;0,-(H82-Uzman_D!$F$18),H82-Uzman_D!$F$18)*0.1+IF(I82-Uzman_D!$G$18&lt;0,-(I82-Uzman_D!$G$18),I82-Uzman_D!$G$18)*0.1+IF(J82-Uzman_D!$H$18&lt;0,-(J82-Uzman_D!$H$18),J82-Uzman_D!$H$18)*0.1+IF(K82-Uzman_D!$I$18&lt;0,-(K82-Uzman_D!$I$18),K82-Uzman_D!$I$18)*0.1+IF(L82-Uzman_D!$J$18&lt;0,-(L82-Uzman_D!$J$18),L82-Uzman_D!$J$18)*0.1)+IF(ROUND((IF(N82-Uzman_D!$L$18&lt;0,-(N82-Uzman_D!$L$18),N82-Uzman_D!$L$18)*2),0)/2=IF(N82-Uzman_D!$L$18&lt;0,-(N82-Uzman_D!$L$18),N82-Uzman_D!$L$18),(ROUND((IF(N82-Uzman_D!$L$18&lt;0,-(N82-Uzman_D!$L$18),N82-Uzman_D!$L$18)*2),0)/1*0.1),0)+IF(O82-Uzman_D!$M$18&lt;0,-(O82-Uzman_D!$M$18),O82-Uzman_D!$M$18)*1)</f>
        <v>-0.60000000000000009</v>
      </c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73"/>
      <c r="AB82" s="73"/>
      <c r="AC82" s="71">
        <f>1-(SUM(IF(Q82-Uzman_D!$B$19&lt;0,-(Q82-Uzman_D!$B$19),Q82-Uzman_D!$B$19)*0.1+IF(R82-Uzman_D!$C$19&lt;0,-(R82-Uzman_D!$C$19),R82-Uzman_D!$C$19)*0.1+IF(S82-Uzman_D!$D$19&lt;0,-(S82-Uzman_D!$D$19),S82-Uzman_D!$D$19)*0.1+IF(T82-Uzman_D!$E$19&lt;0,-(T82-Uzman_D!$E$19),T82-Uzman_D!$E$19)*0.1+IF(U82-Uzman_D!$F$19&lt;0,-(U82-Uzman_D!$F$19),U82-Uzman_D!$F$19)*0.1+IF(V82-Uzman_D!$G$19&lt;0,-(V82-Uzman_D!$G$19),V82-Uzman_D!$G$19)*0.1+IF(W82-Uzman_D!$H$19&lt;0,-(W82-Uzman_D!$H$19),W82-Uzman_D!$H$19)*0.1+IF(X82-Uzman_D!$I$19&lt;0,-(X82-Uzman_D!$I$19),X82-Uzman_D!$I$19)*0.1+IF(Y82-Uzman_D!$J$19&lt;0,-(Y82-Uzman_D!$J$19),Y82-Uzman_D!$J$19)*0.1)+IF(ROUND((IF(AA82-Uzman_D!$L$19&lt;0,-(AA82-Uzman_D!$L$19),AA82-Uzman_D!$L$19)*2),0)/2=IF(AA82-Uzman_D!$L$19&lt;0,-(AA82-Uzman_D!$L$19),AA82-Uzman_D!$L$19),(ROUND((IF(AA82-Uzman_D!$L$19&lt;0,-(AA82-Uzman_D!$L$19),AA82-Uzman_D!$L$19)*2),0)/1*0.1),0)+IF(AB82-Uzman_D!$M$19&lt;0,-(AB82-Uzman_D!$M$19),AB82-Uzman_D!$M$19)*1)</f>
        <v>-0.20000000000000018</v>
      </c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73"/>
      <c r="AO82" s="73"/>
      <c r="AP82" s="71">
        <f>1-(SUM(IF(AD82-Uzman_D!$B$20&lt;0,-(AD82-Uzman_D!$B$20),AD82-Uzman_D!$B$20)*0.1+IF(AE82-Uzman_D!$C$20&lt;0,-(AE82-Uzman_D!$C$20),AE82-Uzman_D!$C$20)*0.1+IF(AF82-Uzman_D!$D$20&lt;0,-(AF82-Uzman_D!$D$20),AF82-Uzman_D!$D$20)*0.1+IF(AG82-Uzman_D!$E$20&lt;0,-(AG82-Uzman_D!$E$20),AG82-Uzman_D!$E$20)*0.1+IF(AH82-Uzman_D!$F$20&lt;0,-(AH82-Uzman_D!$F$20),AH82-Uzman_D!$F$20)*0.1+IF(AI82-Uzman_D!$G$20&lt;0,-(AI82-Uzman_D!$G$20),AI82-Uzman_D!$G$20)*0.1+IF(AJ82-Uzman_D!$H$20&lt;0,-(AJ82-Uzman_D!$H$20),AJ82-Uzman_D!$H$20)*0.1+IF(AK82-Uzman_D!$I$20&lt;0,-(AK82-Uzman_D!$I$20),AK82-Uzman_D!$I$20)*0.1+IF(AL82-Uzman_D!$J$20&lt;0,-(AL82-Uzman_D!$J$20),AL82-Uzman_D!$J$20)*0.1)+IF(ROUND((IF(AN82-Uzman_D!$L$20&lt;0,-(AN82-Uzman_D!$L$20),AN82-Uzman_D!$L$20)*2),0)/2=IF(AN82-Uzman_D!$L$20&lt;0,-(AN82-Uzman_D!$L$20),AN82-Uzman_D!$L$20),(ROUND((IF(AN82-Uzman_D!$L$20&lt;0,-(AN82-Uzman_D!$L$20),AN82-Uzman_D!$L$20)*2),0)/1*0.1),0)+IF(AO82-Uzman_D!$M$20&lt;0,-(AO82-Uzman_D!$M$20),AO82-Uzman_D!$M$20)*1)</f>
        <v>-0.40000000000000013</v>
      </c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73"/>
      <c r="BB82" s="73"/>
      <c r="BC82" s="71">
        <f>1-(SUM(IF(AQ82-Uzman_D!$B$21&lt;0,-(AQ82-Uzman_D!$B$21),AQ82-Uzman_D!$B$21)*0.1+IF(AR82-Uzman_D!$C$21&lt;0,-(AR82-Uzman_D!$C$21),AR82-Uzman_D!$C$21)*0.1+IF(AS82-Uzman_D!$D$21&lt;0,-(AS82-Uzman_D!$D$21),AS82-Uzman_D!$D$21)*0.1+IF(AT82-Uzman_D!$E$21&lt;0,-(AT82-Uzman_D!$E$21),AT82-Uzman_D!$E$21)*0.1+IF(AU82-Uzman_D!$F$21&lt;0,-(AU82-Uzman_D!$F$21),AU82-Uzman_D!$F$21)*0.1+IF(AV82-Uzman_D!$G$21&lt;0,-(AV82-Uzman_D!$G$21),AV82-Uzman_D!$G$21)*0.1+IF(AW82-Uzman_D!$H$21&lt;0,-(AW82-Uzman_D!$H$21),AW82-Uzman_D!$H$21)*0.1+IF(AX82-Uzman_D!$I$21&lt;0,-(AX82-Uzman_D!$I$21),AX82-Uzman_D!$I$21)*0.1+IF(AY82-Uzman_D!$J$21&lt;0,-(AY82-Uzman_D!$J$21),AY82-Uzman_D!$J$21)*0.1)+IF(ROUND((IF(BA82-Uzman_D!$L$21&lt;0,-(BA82-Uzman_D!$L$21),BA82-Uzman_D!$L$21)*2),0)/2=IF(BA82-Uzman_D!$L$21&lt;0,-(BA82-Uzman_D!$L$21),BA82-Uzman_D!$L$21),(ROUND((IF(BA82-Uzman_D!$L$21&lt;0,-(BA82-Uzman_D!$L$21),BA82-Uzman_D!$L$21)*2),0)/1*0.1),0)+IF(BB82-Uzman_D!$M$21&lt;0,-(BB82-Uzman_D!$M$21),BB82-Uzman_D!$M$21)*1)</f>
        <v>-0.10000000000000009</v>
      </c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73"/>
      <c r="BO82" s="73"/>
      <c r="BP82" s="71">
        <f>1-(SUM(IF(BD82-Uzman_D!$B$22&lt;0,-(BD82-Uzman_D!$B$22),BD82-Uzman_D!$B$22)*0.1+IF(BE82-Uzman_D!$C$22&lt;0,-(BE82-Uzman_D!$C$22),BE82-Uzman_D!$C$22)*0.1+IF(BF82-Uzman_D!$D$22&lt;0,-(BF82-Uzman_D!$D$22),BF82-Uzman_D!$D$22)*0.1+IF(BG82-Uzman_D!$E$22&lt;0,-(BG82-Uzman_D!$E$22),BG82-Uzman_D!$E$22)*0.1+IF(BH82-Uzman_D!$F$22&lt;0,-(BH82-Uzman_D!$F$22),BH82-Uzman_D!$F$22)*0.1+IF(BI82-Uzman_D!$G$22&lt;0,-(BI82-Uzman_D!$G$22),BI82-Uzman_D!$G$22)*0.1+IF(BJ82-Uzman_D!$H$22&lt;0,-(BJ82-Uzman_D!$H$22),BJ82-Uzman_D!$H$22)*0.1+IF(BK82-Uzman_D!$I$22&lt;0,-(BK82-Uzman_D!$I$22),BK82-Uzman_D!$I$22)*0.1+IF(BL82-Uzman_D!$J$22&lt;0,-(BL82-Uzman_D!$J$22),BL82-Uzman_D!$J$22)*0.1)+IF(ROUND((IF(BN82-Uzman_D!$L$22&lt;0,-(BN82-Uzman_D!$L$22),BN82-Uzman_D!$L$22)*2),0)/2=IF(BN82-Uzman_D!$L$22&lt;0,-(BN82-Uzman_D!$L$22),BN82-Uzman_D!$L$22),(ROUND((IF(BN82-Uzman_D!$L$22&lt;0,-(BN82-Uzman_D!$L$22),BN82-Uzman_D!$L$22)*2),0)/1*0.1),0)+IF(BO82-Uzman_D!$M$22&lt;0,-(BO82-Uzman_D!$M$22),BO82-Uzman_D!$M$22)*1)</f>
        <v>-0.10000000000000009</v>
      </c>
      <c r="BQ82" s="72">
        <f t="shared" si="2"/>
        <v>-0.28000000000000014</v>
      </c>
    </row>
    <row r="83" spans="1:69" ht="15" customHeight="1" x14ac:dyDescent="0.45">
      <c r="A83" s="54">
        <v>80</v>
      </c>
      <c r="B83" s="170">
        <f>Hakemler!B83</f>
        <v>0</v>
      </c>
      <c r="C83" s="170">
        <f>Hakemler!C83</f>
        <v>0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73"/>
      <c r="O83" s="73"/>
      <c r="P83" s="71">
        <f>1-(SUM(IF(D83-Uzman_D!$B$18&lt;0,-(D83-Uzman_D!$B$18),D83-Uzman_D!$B$18)*0.1+IF(E83-Uzman_D!$C$18&lt;0,-(E83-Uzman_D!$C$18),E83-Uzman_D!$C$18)*0.1+IF(F83-Uzman_D!$D$18&lt;0,-(F83-Uzman_D!$D$18),F83-Uzman_D!$D$18)*0.1+IF(G83-Uzman_D!$E$18&lt;0,-(G83-Uzman_D!$E$18),G83-Uzman_D!$E$18)*0.1+IF(H83-Uzman_D!$F$18&lt;0,-(H83-Uzman_D!$F$18),H83-Uzman_D!$F$18)*0.1+IF(I83-Uzman_D!$G$18&lt;0,-(I83-Uzman_D!$G$18),I83-Uzman_D!$G$18)*0.1+IF(J83-Uzman_D!$H$18&lt;0,-(J83-Uzman_D!$H$18),J83-Uzman_D!$H$18)*0.1+IF(K83-Uzman_D!$I$18&lt;0,-(K83-Uzman_D!$I$18),K83-Uzman_D!$I$18)*0.1+IF(L83-Uzman_D!$J$18&lt;0,-(L83-Uzman_D!$J$18),L83-Uzman_D!$J$18)*0.1)+IF(ROUND((IF(N83-Uzman_D!$L$18&lt;0,-(N83-Uzman_D!$L$18),N83-Uzman_D!$L$18)*2),0)/2=IF(N83-Uzman_D!$L$18&lt;0,-(N83-Uzman_D!$L$18),N83-Uzman_D!$L$18),(ROUND((IF(N83-Uzman_D!$L$18&lt;0,-(N83-Uzman_D!$L$18),N83-Uzman_D!$L$18)*2),0)/1*0.1),0)+IF(O83-Uzman_D!$M$18&lt;0,-(O83-Uzman_D!$M$18),O83-Uzman_D!$M$18)*1)</f>
        <v>-0.60000000000000009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73"/>
      <c r="AB83" s="73"/>
      <c r="AC83" s="71">
        <f>1-(SUM(IF(Q83-Uzman_D!$B$19&lt;0,-(Q83-Uzman_D!$B$19),Q83-Uzman_D!$B$19)*0.1+IF(R83-Uzman_D!$C$19&lt;0,-(R83-Uzman_D!$C$19),R83-Uzman_D!$C$19)*0.1+IF(S83-Uzman_D!$D$19&lt;0,-(S83-Uzman_D!$D$19),S83-Uzman_D!$D$19)*0.1+IF(T83-Uzman_D!$E$19&lt;0,-(T83-Uzman_D!$E$19),T83-Uzman_D!$E$19)*0.1+IF(U83-Uzman_D!$F$19&lt;0,-(U83-Uzman_D!$F$19),U83-Uzman_D!$F$19)*0.1+IF(V83-Uzman_D!$G$19&lt;0,-(V83-Uzman_D!$G$19),V83-Uzman_D!$G$19)*0.1+IF(W83-Uzman_D!$H$19&lt;0,-(W83-Uzman_D!$H$19),W83-Uzman_D!$H$19)*0.1+IF(X83-Uzman_D!$I$19&lt;0,-(X83-Uzman_D!$I$19),X83-Uzman_D!$I$19)*0.1+IF(Y83-Uzman_D!$J$19&lt;0,-(Y83-Uzman_D!$J$19),Y83-Uzman_D!$J$19)*0.1)+IF(ROUND((IF(AA83-Uzman_D!$L$19&lt;0,-(AA83-Uzman_D!$L$19),AA83-Uzman_D!$L$19)*2),0)/2=IF(AA83-Uzman_D!$L$19&lt;0,-(AA83-Uzman_D!$L$19),AA83-Uzman_D!$L$19),(ROUND((IF(AA83-Uzman_D!$L$19&lt;0,-(AA83-Uzman_D!$L$19),AA83-Uzman_D!$L$19)*2),0)/1*0.1),0)+IF(AB83-Uzman_D!$M$19&lt;0,-(AB83-Uzman_D!$M$19),AB83-Uzman_D!$M$19)*1)</f>
        <v>-0.20000000000000018</v>
      </c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73"/>
      <c r="AO83" s="73"/>
      <c r="AP83" s="71">
        <f>1-(SUM(IF(AD83-Uzman_D!$B$20&lt;0,-(AD83-Uzman_D!$B$20),AD83-Uzman_D!$B$20)*0.1+IF(AE83-Uzman_D!$C$20&lt;0,-(AE83-Uzman_D!$C$20),AE83-Uzman_D!$C$20)*0.1+IF(AF83-Uzman_D!$D$20&lt;0,-(AF83-Uzman_D!$D$20),AF83-Uzman_D!$D$20)*0.1+IF(AG83-Uzman_D!$E$20&lt;0,-(AG83-Uzman_D!$E$20),AG83-Uzman_D!$E$20)*0.1+IF(AH83-Uzman_D!$F$20&lt;0,-(AH83-Uzman_D!$F$20),AH83-Uzman_D!$F$20)*0.1+IF(AI83-Uzman_D!$G$20&lt;0,-(AI83-Uzman_D!$G$20),AI83-Uzman_D!$G$20)*0.1+IF(AJ83-Uzman_D!$H$20&lt;0,-(AJ83-Uzman_D!$H$20),AJ83-Uzman_D!$H$20)*0.1+IF(AK83-Uzman_D!$I$20&lt;0,-(AK83-Uzman_D!$I$20),AK83-Uzman_D!$I$20)*0.1+IF(AL83-Uzman_D!$J$20&lt;0,-(AL83-Uzman_D!$J$20),AL83-Uzman_D!$J$20)*0.1)+IF(ROUND((IF(AN83-Uzman_D!$L$20&lt;0,-(AN83-Uzman_D!$L$20),AN83-Uzman_D!$L$20)*2),0)/2=IF(AN83-Uzman_D!$L$20&lt;0,-(AN83-Uzman_D!$L$20),AN83-Uzman_D!$L$20),(ROUND((IF(AN83-Uzman_D!$L$20&lt;0,-(AN83-Uzman_D!$L$20),AN83-Uzman_D!$L$20)*2),0)/1*0.1),0)+IF(AO83-Uzman_D!$M$20&lt;0,-(AO83-Uzman_D!$M$20),AO83-Uzman_D!$M$20)*1)</f>
        <v>-0.40000000000000013</v>
      </c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73"/>
      <c r="BB83" s="73"/>
      <c r="BC83" s="71">
        <f>1-(SUM(IF(AQ83-Uzman_D!$B$21&lt;0,-(AQ83-Uzman_D!$B$21),AQ83-Uzman_D!$B$21)*0.1+IF(AR83-Uzman_D!$C$21&lt;0,-(AR83-Uzman_D!$C$21),AR83-Uzman_D!$C$21)*0.1+IF(AS83-Uzman_D!$D$21&lt;0,-(AS83-Uzman_D!$D$21),AS83-Uzman_D!$D$21)*0.1+IF(AT83-Uzman_D!$E$21&lt;0,-(AT83-Uzman_D!$E$21),AT83-Uzman_D!$E$21)*0.1+IF(AU83-Uzman_D!$F$21&lt;0,-(AU83-Uzman_D!$F$21),AU83-Uzman_D!$F$21)*0.1+IF(AV83-Uzman_D!$G$21&lt;0,-(AV83-Uzman_D!$G$21),AV83-Uzman_D!$G$21)*0.1+IF(AW83-Uzman_D!$H$21&lt;0,-(AW83-Uzman_D!$H$21),AW83-Uzman_D!$H$21)*0.1+IF(AX83-Uzman_D!$I$21&lt;0,-(AX83-Uzman_D!$I$21),AX83-Uzman_D!$I$21)*0.1+IF(AY83-Uzman_D!$J$21&lt;0,-(AY83-Uzman_D!$J$21),AY83-Uzman_D!$J$21)*0.1)+IF(ROUND((IF(BA83-Uzman_D!$L$21&lt;0,-(BA83-Uzman_D!$L$21),BA83-Uzman_D!$L$21)*2),0)/2=IF(BA83-Uzman_D!$L$21&lt;0,-(BA83-Uzman_D!$L$21),BA83-Uzman_D!$L$21),(ROUND((IF(BA83-Uzman_D!$L$21&lt;0,-(BA83-Uzman_D!$L$21),BA83-Uzman_D!$L$21)*2),0)/1*0.1),0)+IF(BB83-Uzman_D!$M$21&lt;0,-(BB83-Uzman_D!$M$21),BB83-Uzman_D!$M$21)*1)</f>
        <v>-0.10000000000000009</v>
      </c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73"/>
      <c r="BO83" s="73"/>
      <c r="BP83" s="71">
        <f>1-(SUM(IF(BD83-Uzman_D!$B$22&lt;0,-(BD83-Uzman_D!$B$22),BD83-Uzman_D!$B$22)*0.1+IF(BE83-Uzman_D!$C$22&lt;0,-(BE83-Uzman_D!$C$22),BE83-Uzman_D!$C$22)*0.1+IF(BF83-Uzman_D!$D$22&lt;0,-(BF83-Uzman_D!$D$22),BF83-Uzman_D!$D$22)*0.1+IF(BG83-Uzman_D!$E$22&lt;0,-(BG83-Uzman_D!$E$22),BG83-Uzman_D!$E$22)*0.1+IF(BH83-Uzman_D!$F$22&lt;0,-(BH83-Uzman_D!$F$22),BH83-Uzman_D!$F$22)*0.1+IF(BI83-Uzman_D!$G$22&lt;0,-(BI83-Uzman_D!$G$22),BI83-Uzman_D!$G$22)*0.1+IF(BJ83-Uzman_D!$H$22&lt;0,-(BJ83-Uzman_D!$H$22),BJ83-Uzman_D!$H$22)*0.1+IF(BK83-Uzman_D!$I$22&lt;0,-(BK83-Uzman_D!$I$22),BK83-Uzman_D!$I$22)*0.1+IF(BL83-Uzman_D!$J$22&lt;0,-(BL83-Uzman_D!$J$22),BL83-Uzman_D!$J$22)*0.1)+IF(ROUND((IF(BN83-Uzman_D!$L$22&lt;0,-(BN83-Uzman_D!$L$22),BN83-Uzman_D!$L$22)*2),0)/2=IF(BN83-Uzman_D!$L$22&lt;0,-(BN83-Uzman_D!$L$22),BN83-Uzman_D!$L$22),(ROUND((IF(BN83-Uzman_D!$L$22&lt;0,-(BN83-Uzman_D!$L$22),BN83-Uzman_D!$L$22)*2),0)/1*0.1),0)+IF(BO83-Uzman_D!$M$22&lt;0,-(BO83-Uzman_D!$M$22),BO83-Uzman_D!$M$22)*1)</f>
        <v>-0.10000000000000009</v>
      </c>
      <c r="BQ83" s="72">
        <f t="shared" si="2"/>
        <v>-0.28000000000000014</v>
      </c>
    </row>
    <row r="84" spans="1:69" ht="15" customHeight="1" x14ac:dyDescent="0.45">
      <c r="A84" s="54">
        <v>81</v>
      </c>
      <c r="B84" s="170">
        <f>Hakemler!B84</f>
        <v>0</v>
      </c>
      <c r="C84" s="170">
        <f>Hakemler!C84</f>
        <v>0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73"/>
      <c r="O84" s="73"/>
      <c r="P84" s="71">
        <f>1-(SUM(IF(D84-Uzman_D!$B$18&lt;0,-(D84-Uzman_D!$B$18),D84-Uzman_D!$B$18)*0.1+IF(E84-Uzman_D!$C$18&lt;0,-(E84-Uzman_D!$C$18),E84-Uzman_D!$C$18)*0.1+IF(F84-Uzman_D!$D$18&lt;0,-(F84-Uzman_D!$D$18),F84-Uzman_D!$D$18)*0.1+IF(G84-Uzman_D!$E$18&lt;0,-(G84-Uzman_D!$E$18),G84-Uzman_D!$E$18)*0.1+IF(H84-Uzman_D!$F$18&lt;0,-(H84-Uzman_D!$F$18),H84-Uzman_D!$F$18)*0.1+IF(I84-Uzman_D!$G$18&lt;0,-(I84-Uzman_D!$G$18),I84-Uzman_D!$G$18)*0.1+IF(J84-Uzman_D!$H$18&lt;0,-(J84-Uzman_D!$H$18),J84-Uzman_D!$H$18)*0.1+IF(K84-Uzman_D!$I$18&lt;0,-(K84-Uzman_D!$I$18),K84-Uzman_D!$I$18)*0.1+IF(L84-Uzman_D!$J$18&lt;0,-(L84-Uzman_D!$J$18),L84-Uzman_D!$J$18)*0.1)+IF(ROUND((IF(N84-Uzman_D!$L$18&lt;0,-(N84-Uzman_D!$L$18),N84-Uzman_D!$L$18)*2),0)/2=IF(N84-Uzman_D!$L$18&lt;0,-(N84-Uzman_D!$L$18),N84-Uzman_D!$L$18),(ROUND((IF(N84-Uzman_D!$L$18&lt;0,-(N84-Uzman_D!$L$18),N84-Uzman_D!$L$18)*2),0)/1*0.1),0)+IF(O84-Uzman_D!$M$18&lt;0,-(O84-Uzman_D!$M$18),O84-Uzman_D!$M$18)*1)</f>
        <v>-0.60000000000000009</v>
      </c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73"/>
      <c r="AB84" s="73"/>
      <c r="AC84" s="71">
        <f>1-(SUM(IF(Q84-Uzman_D!$B$19&lt;0,-(Q84-Uzman_D!$B$19),Q84-Uzman_D!$B$19)*0.1+IF(R84-Uzman_D!$C$19&lt;0,-(R84-Uzman_D!$C$19),R84-Uzman_D!$C$19)*0.1+IF(S84-Uzman_D!$D$19&lt;0,-(S84-Uzman_D!$D$19),S84-Uzman_D!$D$19)*0.1+IF(T84-Uzman_D!$E$19&lt;0,-(T84-Uzman_D!$E$19),T84-Uzman_D!$E$19)*0.1+IF(U84-Uzman_D!$F$19&lt;0,-(U84-Uzman_D!$F$19),U84-Uzman_D!$F$19)*0.1+IF(V84-Uzman_D!$G$19&lt;0,-(V84-Uzman_D!$G$19),V84-Uzman_D!$G$19)*0.1+IF(W84-Uzman_D!$H$19&lt;0,-(W84-Uzman_D!$H$19),W84-Uzman_D!$H$19)*0.1+IF(X84-Uzman_D!$I$19&lt;0,-(X84-Uzman_D!$I$19),X84-Uzman_D!$I$19)*0.1+IF(Y84-Uzman_D!$J$19&lt;0,-(Y84-Uzman_D!$J$19),Y84-Uzman_D!$J$19)*0.1)+IF(ROUND((IF(AA84-Uzman_D!$L$19&lt;0,-(AA84-Uzman_D!$L$19),AA84-Uzman_D!$L$19)*2),0)/2=IF(AA84-Uzman_D!$L$19&lt;0,-(AA84-Uzman_D!$L$19),AA84-Uzman_D!$L$19),(ROUND((IF(AA84-Uzman_D!$L$19&lt;0,-(AA84-Uzman_D!$L$19),AA84-Uzman_D!$L$19)*2),0)/1*0.1),0)+IF(AB84-Uzman_D!$M$19&lt;0,-(AB84-Uzman_D!$M$19),AB84-Uzman_D!$M$19)*1)</f>
        <v>-0.20000000000000018</v>
      </c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73"/>
      <c r="AO84" s="73"/>
      <c r="AP84" s="71">
        <f>1-(SUM(IF(AD84-Uzman_D!$B$20&lt;0,-(AD84-Uzman_D!$B$20),AD84-Uzman_D!$B$20)*0.1+IF(AE84-Uzman_D!$C$20&lt;0,-(AE84-Uzman_D!$C$20),AE84-Uzman_D!$C$20)*0.1+IF(AF84-Uzman_D!$D$20&lt;0,-(AF84-Uzman_D!$D$20),AF84-Uzman_D!$D$20)*0.1+IF(AG84-Uzman_D!$E$20&lt;0,-(AG84-Uzman_D!$E$20),AG84-Uzman_D!$E$20)*0.1+IF(AH84-Uzman_D!$F$20&lt;0,-(AH84-Uzman_D!$F$20),AH84-Uzman_D!$F$20)*0.1+IF(AI84-Uzman_D!$G$20&lt;0,-(AI84-Uzman_D!$G$20),AI84-Uzman_D!$G$20)*0.1+IF(AJ84-Uzman_D!$H$20&lt;0,-(AJ84-Uzman_D!$H$20),AJ84-Uzman_D!$H$20)*0.1+IF(AK84-Uzman_D!$I$20&lt;0,-(AK84-Uzman_D!$I$20),AK84-Uzman_D!$I$20)*0.1+IF(AL84-Uzman_D!$J$20&lt;0,-(AL84-Uzman_D!$J$20),AL84-Uzman_D!$J$20)*0.1)+IF(ROUND((IF(AN84-Uzman_D!$L$20&lt;0,-(AN84-Uzman_D!$L$20),AN84-Uzman_D!$L$20)*2),0)/2=IF(AN84-Uzman_D!$L$20&lt;0,-(AN84-Uzman_D!$L$20),AN84-Uzman_D!$L$20),(ROUND((IF(AN84-Uzman_D!$L$20&lt;0,-(AN84-Uzman_D!$L$20),AN84-Uzman_D!$L$20)*2),0)/1*0.1),0)+IF(AO84-Uzman_D!$M$20&lt;0,-(AO84-Uzman_D!$M$20),AO84-Uzman_D!$M$20)*1)</f>
        <v>-0.40000000000000013</v>
      </c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73"/>
      <c r="BB84" s="73"/>
      <c r="BC84" s="71">
        <f>1-(SUM(IF(AQ84-Uzman_D!$B$21&lt;0,-(AQ84-Uzman_D!$B$21),AQ84-Uzman_D!$B$21)*0.1+IF(AR84-Uzman_D!$C$21&lt;0,-(AR84-Uzman_D!$C$21),AR84-Uzman_D!$C$21)*0.1+IF(AS84-Uzman_D!$D$21&lt;0,-(AS84-Uzman_D!$D$21),AS84-Uzman_D!$D$21)*0.1+IF(AT84-Uzman_D!$E$21&lt;0,-(AT84-Uzman_D!$E$21),AT84-Uzman_D!$E$21)*0.1+IF(AU84-Uzman_D!$F$21&lt;0,-(AU84-Uzman_D!$F$21),AU84-Uzman_D!$F$21)*0.1+IF(AV84-Uzman_D!$G$21&lt;0,-(AV84-Uzman_D!$G$21),AV84-Uzman_D!$G$21)*0.1+IF(AW84-Uzman_D!$H$21&lt;0,-(AW84-Uzman_D!$H$21),AW84-Uzman_D!$H$21)*0.1+IF(AX84-Uzman_D!$I$21&lt;0,-(AX84-Uzman_D!$I$21),AX84-Uzman_D!$I$21)*0.1+IF(AY84-Uzman_D!$J$21&lt;0,-(AY84-Uzman_D!$J$21),AY84-Uzman_D!$J$21)*0.1)+IF(ROUND((IF(BA84-Uzman_D!$L$21&lt;0,-(BA84-Uzman_D!$L$21),BA84-Uzman_D!$L$21)*2),0)/2=IF(BA84-Uzman_D!$L$21&lt;0,-(BA84-Uzman_D!$L$21),BA84-Uzman_D!$L$21),(ROUND((IF(BA84-Uzman_D!$L$21&lt;0,-(BA84-Uzman_D!$L$21),BA84-Uzman_D!$L$21)*2),0)/1*0.1),0)+IF(BB84-Uzman_D!$M$21&lt;0,-(BB84-Uzman_D!$M$21),BB84-Uzman_D!$M$21)*1)</f>
        <v>-0.10000000000000009</v>
      </c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73"/>
      <c r="BO84" s="73"/>
      <c r="BP84" s="71">
        <f>1-(SUM(IF(BD84-Uzman_D!$B$22&lt;0,-(BD84-Uzman_D!$B$22),BD84-Uzman_D!$B$22)*0.1+IF(BE84-Uzman_D!$C$22&lt;0,-(BE84-Uzman_D!$C$22),BE84-Uzman_D!$C$22)*0.1+IF(BF84-Uzman_D!$D$22&lt;0,-(BF84-Uzman_D!$D$22),BF84-Uzman_D!$D$22)*0.1+IF(BG84-Uzman_D!$E$22&lt;0,-(BG84-Uzman_D!$E$22),BG84-Uzman_D!$E$22)*0.1+IF(BH84-Uzman_D!$F$22&lt;0,-(BH84-Uzman_D!$F$22),BH84-Uzman_D!$F$22)*0.1+IF(BI84-Uzman_D!$G$22&lt;0,-(BI84-Uzman_D!$G$22),BI84-Uzman_D!$G$22)*0.1+IF(BJ84-Uzman_D!$H$22&lt;0,-(BJ84-Uzman_D!$H$22),BJ84-Uzman_D!$H$22)*0.1+IF(BK84-Uzman_D!$I$22&lt;0,-(BK84-Uzman_D!$I$22),BK84-Uzman_D!$I$22)*0.1+IF(BL84-Uzman_D!$J$22&lt;0,-(BL84-Uzman_D!$J$22),BL84-Uzman_D!$J$22)*0.1)+IF(ROUND((IF(BN84-Uzman_D!$L$22&lt;0,-(BN84-Uzman_D!$L$22),BN84-Uzman_D!$L$22)*2),0)/2=IF(BN84-Uzman_D!$L$22&lt;0,-(BN84-Uzman_D!$L$22),BN84-Uzman_D!$L$22),(ROUND((IF(BN84-Uzman_D!$L$22&lt;0,-(BN84-Uzman_D!$L$22),BN84-Uzman_D!$L$22)*2),0)/1*0.1),0)+IF(BO84-Uzman_D!$M$22&lt;0,-(BO84-Uzman_D!$M$22),BO84-Uzman_D!$M$22)*1)</f>
        <v>-0.10000000000000009</v>
      </c>
      <c r="BQ84" s="72">
        <f t="shared" si="2"/>
        <v>-0.28000000000000014</v>
      </c>
    </row>
    <row r="85" spans="1:69" ht="15" customHeight="1" x14ac:dyDescent="0.45">
      <c r="A85" s="54">
        <v>82</v>
      </c>
      <c r="B85" s="170">
        <f>Hakemler!B85</f>
        <v>0</v>
      </c>
      <c r="C85" s="170">
        <f>Hakemler!C85</f>
        <v>0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73"/>
      <c r="O85" s="73"/>
      <c r="P85" s="71">
        <f>1-(SUM(IF(D85-Uzman_D!$B$18&lt;0,-(D85-Uzman_D!$B$18),D85-Uzman_D!$B$18)*0.1+IF(E85-Uzman_D!$C$18&lt;0,-(E85-Uzman_D!$C$18),E85-Uzman_D!$C$18)*0.1+IF(F85-Uzman_D!$D$18&lt;0,-(F85-Uzman_D!$D$18),F85-Uzman_D!$D$18)*0.1+IF(G85-Uzman_D!$E$18&lt;0,-(G85-Uzman_D!$E$18),G85-Uzman_D!$E$18)*0.1+IF(H85-Uzman_D!$F$18&lt;0,-(H85-Uzman_D!$F$18),H85-Uzman_D!$F$18)*0.1+IF(I85-Uzman_D!$G$18&lt;0,-(I85-Uzman_D!$G$18),I85-Uzman_D!$G$18)*0.1+IF(J85-Uzman_D!$H$18&lt;0,-(J85-Uzman_D!$H$18),J85-Uzman_D!$H$18)*0.1+IF(K85-Uzman_D!$I$18&lt;0,-(K85-Uzman_D!$I$18),K85-Uzman_D!$I$18)*0.1+IF(L85-Uzman_D!$J$18&lt;0,-(L85-Uzman_D!$J$18),L85-Uzman_D!$J$18)*0.1)+IF(ROUND((IF(N85-Uzman_D!$L$18&lt;0,-(N85-Uzman_D!$L$18),N85-Uzman_D!$L$18)*2),0)/2=IF(N85-Uzman_D!$L$18&lt;0,-(N85-Uzman_D!$L$18),N85-Uzman_D!$L$18),(ROUND((IF(N85-Uzman_D!$L$18&lt;0,-(N85-Uzman_D!$L$18),N85-Uzman_D!$L$18)*2),0)/1*0.1),0)+IF(O85-Uzman_D!$M$18&lt;0,-(O85-Uzman_D!$M$18),O85-Uzman_D!$M$18)*1)</f>
        <v>-0.60000000000000009</v>
      </c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73"/>
      <c r="AB85" s="73"/>
      <c r="AC85" s="71">
        <f>1-(SUM(IF(Q85-Uzman_D!$B$19&lt;0,-(Q85-Uzman_D!$B$19),Q85-Uzman_D!$B$19)*0.1+IF(R85-Uzman_D!$C$19&lt;0,-(R85-Uzman_D!$C$19),R85-Uzman_D!$C$19)*0.1+IF(S85-Uzman_D!$D$19&lt;0,-(S85-Uzman_D!$D$19),S85-Uzman_D!$D$19)*0.1+IF(T85-Uzman_D!$E$19&lt;0,-(T85-Uzman_D!$E$19),T85-Uzman_D!$E$19)*0.1+IF(U85-Uzman_D!$F$19&lt;0,-(U85-Uzman_D!$F$19),U85-Uzman_D!$F$19)*0.1+IF(V85-Uzman_D!$G$19&lt;0,-(V85-Uzman_D!$G$19),V85-Uzman_D!$G$19)*0.1+IF(W85-Uzman_D!$H$19&lt;0,-(W85-Uzman_D!$H$19),W85-Uzman_D!$H$19)*0.1+IF(X85-Uzman_D!$I$19&lt;0,-(X85-Uzman_D!$I$19),X85-Uzman_D!$I$19)*0.1+IF(Y85-Uzman_D!$J$19&lt;0,-(Y85-Uzman_D!$J$19),Y85-Uzman_D!$J$19)*0.1)+IF(ROUND((IF(AA85-Uzman_D!$L$19&lt;0,-(AA85-Uzman_D!$L$19),AA85-Uzman_D!$L$19)*2),0)/2=IF(AA85-Uzman_D!$L$19&lt;0,-(AA85-Uzman_D!$L$19),AA85-Uzman_D!$L$19),(ROUND((IF(AA85-Uzman_D!$L$19&lt;0,-(AA85-Uzman_D!$L$19),AA85-Uzman_D!$L$19)*2),0)/1*0.1),0)+IF(AB85-Uzman_D!$M$19&lt;0,-(AB85-Uzman_D!$M$19),AB85-Uzman_D!$M$19)*1)</f>
        <v>-0.20000000000000018</v>
      </c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73"/>
      <c r="AO85" s="73"/>
      <c r="AP85" s="71">
        <f>1-(SUM(IF(AD85-Uzman_D!$B$20&lt;0,-(AD85-Uzman_D!$B$20),AD85-Uzman_D!$B$20)*0.1+IF(AE85-Uzman_D!$C$20&lt;0,-(AE85-Uzman_D!$C$20),AE85-Uzman_D!$C$20)*0.1+IF(AF85-Uzman_D!$D$20&lt;0,-(AF85-Uzman_D!$D$20),AF85-Uzman_D!$D$20)*0.1+IF(AG85-Uzman_D!$E$20&lt;0,-(AG85-Uzman_D!$E$20),AG85-Uzman_D!$E$20)*0.1+IF(AH85-Uzman_D!$F$20&lt;0,-(AH85-Uzman_D!$F$20),AH85-Uzman_D!$F$20)*0.1+IF(AI85-Uzman_D!$G$20&lt;0,-(AI85-Uzman_D!$G$20),AI85-Uzman_D!$G$20)*0.1+IF(AJ85-Uzman_D!$H$20&lt;0,-(AJ85-Uzman_D!$H$20),AJ85-Uzman_D!$H$20)*0.1+IF(AK85-Uzman_D!$I$20&lt;0,-(AK85-Uzman_D!$I$20),AK85-Uzman_D!$I$20)*0.1+IF(AL85-Uzman_D!$J$20&lt;0,-(AL85-Uzman_D!$J$20),AL85-Uzman_D!$J$20)*0.1)+IF(ROUND((IF(AN85-Uzman_D!$L$20&lt;0,-(AN85-Uzman_D!$L$20),AN85-Uzman_D!$L$20)*2),0)/2=IF(AN85-Uzman_D!$L$20&lt;0,-(AN85-Uzman_D!$L$20),AN85-Uzman_D!$L$20),(ROUND((IF(AN85-Uzman_D!$L$20&lt;0,-(AN85-Uzman_D!$L$20),AN85-Uzman_D!$L$20)*2),0)/1*0.1),0)+IF(AO85-Uzman_D!$M$20&lt;0,-(AO85-Uzman_D!$M$20),AO85-Uzman_D!$M$20)*1)</f>
        <v>-0.40000000000000013</v>
      </c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73"/>
      <c r="BB85" s="73"/>
      <c r="BC85" s="71">
        <f>1-(SUM(IF(AQ85-Uzman_D!$B$21&lt;0,-(AQ85-Uzman_D!$B$21),AQ85-Uzman_D!$B$21)*0.1+IF(AR85-Uzman_D!$C$21&lt;0,-(AR85-Uzman_D!$C$21),AR85-Uzman_D!$C$21)*0.1+IF(AS85-Uzman_D!$D$21&lt;0,-(AS85-Uzman_D!$D$21),AS85-Uzman_D!$D$21)*0.1+IF(AT85-Uzman_D!$E$21&lt;0,-(AT85-Uzman_D!$E$21),AT85-Uzman_D!$E$21)*0.1+IF(AU85-Uzman_D!$F$21&lt;0,-(AU85-Uzman_D!$F$21),AU85-Uzman_D!$F$21)*0.1+IF(AV85-Uzman_D!$G$21&lt;0,-(AV85-Uzman_D!$G$21),AV85-Uzman_D!$G$21)*0.1+IF(AW85-Uzman_D!$H$21&lt;0,-(AW85-Uzman_D!$H$21),AW85-Uzman_D!$H$21)*0.1+IF(AX85-Uzman_D!$I$21&lt;0,-(AX85-Uzman_D!$I$21),AX85-Uzman_D!$I$21)*0.1+IF(AY85-Uzman_D!$J$21&lt;0,-(AY85-Uzman_D!$J$21),AY85-Uzman_D!$J$21)*0.1)+IF(ROUND((IF(BA85-Uzman_D!$L$21&lt;0,-(BA85-Uzman_D!$L$21),BA85-Uzman_D!$L$21)*2),0)/2=IF(BA85-Uzman_D!$L$21&lt;0,-(BA85-Uzman_D!$L$21),BA85-Uzman_D!$L$21),(ROUND((IF(BA85-Uzman_D!$L$21&lt;0,-(BA85-Uzman_D!$L$21),BA85-Uzman_D!$L$21)*2),0)/1*0.1),0)+IF(BB85-Uzman_D!$M$21&lt;0,-(BB85-Uzman_D!$M$21),BB85-Uzman_D!$M$21)*1)</f>
        <v>-0.10000000000000009</v>
      </c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73"/>
      <c r="BO85" s="73"/>
      <c r="BP85" s="71">
        <f>1-(SUM(IF(BD85-Uzman_D!$B$22&lt;0,-(BD85-Uzman_D!$B$22),BD85-Uzman_D!$B$22)*0.1+IF(BE85-Uzman_D!$C$22&lt;0,-(BE85-Uzman_D!$C$22),BE85-Uzman_D!$C$22)*0.1+IF(BF85-Uzman_D!$D$22&lt;0,-(BF85-Uzman_D!$D$22),BF85-Uzman_D!$D$22)*0.1+IF(BG85-Uzman_D!$E$22&lt;0,-(BG85-Uzman_D!$E$22),BG85-Uzman_D!$E$22)*0.1+IF(BH85-Uzman_D!$F$22&lt;0,-(BH85-Uzman_D!$F$22),BH85-Uzman_D!$F$22)*0.1+IF(BI85-Uzman_D!$G$22&lt;0,-(BI85-Uzman_D!$G$22),BI85-Uzman_D!$G$22)*0.1+IF(BJ85-Uzman_D!$H$22&lt;0,-(BJ85-Uzman_D!$H$22),BJ85-Uzman_D!$H$22)*0.1+IF(BK85-Uzman_D!$I$22&lt;0,-(BK85-Uzman_D!$I$22),BK85-Uzman_D!$I$22)*0.1+IF(BL85-Uzman_D!$J$22&lt;0,-(BL85-Uzman_D!$J$22),BL85-Uzman_D!$J$22)*0.1)+IF(ROUND((IF(BN85-Uzman_D!$L$22&lt;0,-(BN85-Uzman_D!$L$22),BN85-Uzman_D!$L$22)*2),0)/2=IF(BN85-Uzman_D!$L$22&lt;0,-(BN85-Uzman_D!$L$22),BN85-Uzman_D!$L$22),(ROUND((IF(BN85-Uzman_D!$L$22&lt;0,-(BN85-Uzman_D!$L$22),BN85-Uzman_D!$L$22)*2),0)/1*0.1),0)+IF(BO85-Uzman_D!$M$22&lt;0,-(BO85-Uzman_D!$M$22),BO85-Uzman_D!$M$22)*1)</f>
        <v>-0.10000000000000009</v>
      </c>
      <c r="BQ85" s="72">
        <f t="shared" si="2"/>
        <v>-0.28000000000000014</v>
      </c>
    </row>
    <row r="86" spans="1:69" ht="15" customHeight="1" x14ac:dyDescent="0.45">
      <c r="A86" s="54">
        <v>83</v>
      </c>
      <c r="B86" s="170">
        <f>Hakemler!B86</f>
        <v>0</v>
      </c>
      <c r="C86" s="170">
        <f>Hakemler!C86</f>
        <v>0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73"/>
      <c r="O86" s="73"/>
      <c r="P86" s="71">
        <f>1-(SUM(IF(D86-Uzman_D!$B$18&lt;0,-(D86-Uzman_D!$B$18),D86-Uzman_D!$B$18)*0.1+IF(E86-Uzman_D!$C$18&lt;0,-(E86-Uzman_D!$C$18),E86-Uzman_D!$C$18)*0.1+IF(F86-Uzman_D!$D$18&lt;0,-(F86-Uzman_D!$D$18),F86-Uzman_D!$D$18)*0.1+IF(G86-Uzman_D!$E$18&lt;0,-(G86-Uzman_D!$E$18),G86-Uzman_D!$E$18)*0.1+IF(H86-Uzman_D!$F$18&lt;0,-(H86-Uzman_D!$F$18),H86-Uzman_D!$F$18)*0.1+IF(I86-Uzman_D!$G$18&lt;0,-(I86-Uzman_D!$G$18),I86-Uzman_D!$G$18)*0.1+IF(J86-Uzman_D!$H$18&lt;0,-(J86-Uzman_D!$H$18),J86-Uzman_D!$H$18)*0.1+IF(K86-Uzman_D!$I$18&lt;0,-(K86-Uzman_D!$I$18),K86-Uzman_D!$I$18)*0.1+IF(L86-Uzman_D!$J$18&lt;0,-(L86-Uzman_D!$J$18),L86-Uzman_D!$J$18)*0.1)+IF(ROUND((IF(N86-Uzman_D!$L$18&lt;0,-(N86-Uzman_D!$L$18),N86-Uzman_D!$L$18)*2),0)/2=IF(N86-Uzman_D!$L$18&lt;0,-(N86-Uzman_D!$L$18),N86-Uzman_D!$L$18),(ROUND((IF(N86-Uzman_D!$L$18&lt;0,-(N86-Uzman_D!$L$18),N86-Uzman_D!$L$18)*2),0)/1*0.1),0)+IF(O86-Uzman_D!$M$18&lt;0,-(O86-Uzman_D!$M$18),O86-Uzman_D!$M$18)*1)</f>
        <v>-0.60000000000000009</v>
      </c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73"/>
      <c r="AB86" s="73"/>
      <c r="AC86" s="71">
        <f>1-(SUM(IF(Q86-Uzman_D!$B$19&lt;0,-(Q86-Uzman_D!$B$19),Q86-Uzman_D!$B$19)*0.1+IF(R86-Uzman_D!$C$19&lt;0,-(R86-Uzman_D!$C$19),R86-Uzman_D!$C$19)*0.1+IF(S86-Uzman_D!$D$19&lt;0,-(S86-Uzman_D!$D$19),S86-Uzman_D!$D$19)*0.1+IF(T86-Uzman_D!$E$19&lt;0,-(T86-Uzman_D!$E$19),T86-Uzman_D!$E$19)*0.1+IF(U86-Uzman_D!$F$19&lt;0,-(U86-Uzman_D!$F$19),U86-Uzman_D!$F$19)*0.1+IF(V86-Uzman_D!$G$19&lt;0,-(V86-Uzman_D!$G$19),V86-Uzman_D!$G$19)*0.1+IF(W86-Uzman_D!$H$19&lt;0,-(W86-Uzman_D!$H$19),W86-Uzman_D!$H$19)*0.1+IF(X86-Uzman_D!$I$19&lt;0,-(X86-Uzman_D!$I$19),X86-Uzman_D!$I$19)*0.1+IF(Y86-Uzman_D!$J$19&lt;0,-(Y86-Uzman_D!$J$19),Y86-Uzman_D!$J$19)*0.1)+IF(ROUND((IF(AA86-Uzman_D!$L$19&lt;0,-(AA86-Uzman_D!$L$19),AA86-Uzman_D!$L$19)*2),0)/2=IF(AA86-Uzman_D!$L$19&lt;0,-(AA86-Uzman_D!$L$19),AA86-Uzman_D!$L$19),(ROUND((IF(AA86-Uzman_D!$L$19&lt;0,-(AA86-Uzman_D!$L$19),AA86-Uzman_D!$L$19)*2),0)/1*0.1),0)+IF(AB86-Uzman_D!$M$19&lt;0,-(AB86-Uzman_D!$M$19),AB86-Uzman_D!$M$19)*1)</f>
        <v>-0.20000000000000018</v>
      </c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73"/>
      <c r="AO86" s="73"/>
      <c r="AP86" s="71">
        <f>1-(SUM(IF(AD86-Uzman_D!$B$20&lt;0,-(AD86-Uzman_D!$B$20),AD86-Uzman_D!$B$20)*0.1+IF(AE86-Uzman_D!$C$20&lt;0,-(AE86-Uzman_D!$C$20),AE86-Uzman_D!$C$20)*0.1+IF(AF86-Uzman_D!$D$20&lt;0,-(AF86-Uzman_D!$D$20),AF86-Uzman_D!$D$20)*0.1+IF(AG86-Uzman_D!$E$20&lt;0,-(AG86-Uzman_D!$E$20),AG86-Uzman_D!$E$20)*0.1+IF(AH86-Uzman_D!$F$20&lt;0,-(AH86-Uzman_D!$F$20),AH86-Uzman_D!$F$20)*0.1+IF(AI86-Uzman_D!$G$20&lt;0,-(AI86-Uzman_D!$G$20),AI86-Uzman_D!$G$20)*0.1+IF(AJ86-Uzman_D!$H$20&lt;0,-(AJ86-Uzman_D!$H$20),AJ86-Uzman_D!$H$20)*0.1+IF(AK86-Uzman_D!$I$20&lt;0,-(AK86-Uzman_D!$I$20),AK86-Uzman_D!$I$20)*0.1+IF(AL86-Uzman_D!$J$20&lt;0,-(AL86-Uzman_D!$J$20),AL86-Uzman_D!$J$20)*0.1)+IF(ROUND((IF(AN86-Uzman_D!$L$20&lt;0,-(AN86-Uzman_D!$L$20),AN86-Uzman_D!$L$20)*2),0)/2=IF(AN86-Uzman_D!$L$20&lt;0,-(AN86-Uzman_D!$L$20),AN86-Uzman_D!$L$20),(ROUND((IF(AN86-Uzman_D!$L$20&lt;0,-(AN86-Uzman_D!$L$20),AN86-Uzman_D!$L$20)*2),0)/1*0.1),0)+IF(AO86-Uzman_D!$M$20&lt;0,-(AO86-Uzman_D!$M$20),AO86-Uzman_D!$M$20)*1)</f>
        <v>-0.40000000000000013</v>
      </c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73"/>
      <c r="BB86" s="73"/>
      <c r="BC86" s="71">
        <f>1-(SUM(IF(AQ86-Uzman_D!$B$21&lt;0,-(AQ86-Uzman_D!$B$21),AQ86-Uzman_D!$B$21)*0.1+IF(AR86-Uzman_D!$C$21&lt;0,-(AR86-Uzman_D!$C$21),AR86-Uzman_D!$C$21)*0.1+IF(AS86-Uzman_D!$D$21&lt;0,-(AS86-Uzman_D!$D$21),AS86-Uzman_D!$D$21)*0.1+IF(AT86-Uzman_D!$E$21&lt;0,-(AT86-Uzman_D!$E$21),AT86-Uzman_D!$E$21)*0.1+IF(AU86-Uzman_D!$F$21&lt;0,-(AU86-Uzman_D!$F$21),AU86-Uzman_D!$F$21)*0.1+IF(AV86-Uzman_D!$G$21&lt;0,-(AV86-Uzman_D!$G$21),AV86-Uzman_D!$G$21)*0.1+IF(AW86-Uzman_D!$H$21&lt;0,-(AW86-Uzman_D!$H$21),AW86-Uzman_D!$H$21)*0.1+IF(AX86-Uzman_D!$I$21&lt;0,-(AX86-Uzman_D!$I$21),AX86-Uzman_D!$I$21)*0.1+IF(AY86-Uzman_D!$J$21&lt;0,-(AY86-Uzman_D!$J$21),AY86-Uzman_D!$J$21)*0.1)+IF(ROUND((IF(BA86-Uzman_D!$L$21&lt;0,-(BA86-Uzman_D!$L$21),BA86-Uzman_D!$L$21)*2),0)/2=IF(BA86-Uzman_D!$L$21&lt;0,-(BA86-Uzman_D!$L$21),BA86-Uzman_D!$L$21),(ROUND((IF(BA86-Uzman_D!$L$21&lt;0,-(BA86-Uzman_D!$L$21),BA86-Uzman_D!$L$21)*2),0)/1*0.1),0)+IF(BB86-Uzman_D!$M$21&lt;0,-(BB86-Uzman_D!$M$21),BB86-Uzman_D!$M$21)*1)</f>
        <v>-0.10000000000000009</v>
      </c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73"/>
      <c r="BO86" s="73"/>
      <c r="BP86" s="71">
        <f>1-(SUM(IF(BD86-Uzman_D!$B$22&lt;0,-(BD86-Uzman_D!$B$22),BD86-Uzman_D!$B$22)*0.1+IF(BE86-Uzman_D!$C$22&lt;0,-(BE86-Uzman_D!$C$22),BE86-Uzman_D!$C$22)*0.1+IF(BF86-Uzman_D!$D$22&lt;0,-(BF86-Uzman_D!$D$22),BF86-Uzman_D!$D$22)*0.1+IF(BG86-Uzman_D!$E$22&lt;0,-(BG86-Uzman_D!$E$22),BG86-Uzman_D!$E$22)*0.1+IF(BH86-Uzman_D!$F$22&lt;0,-(BH86-Uzman_D!$F$22),BH86-Uzman_D!$F$22)*0.1+IF(BI86-Uzman_D!$G$22&lt;0,-(BI86-Uzman_D!$G$22),BI86-Uzman_D!$G$22)*0.1+IF(BJ86-Uzman_D!$H$22&lt;0,-(BJ86-Uzman_D!$H$22),BJ86-Uzman_D!$H$22)*0.1+IF(BK86-Uzman_D!$I$22&lt;0,-(BK86-Uzman_D!$I$22),BK86-Uzman_D!$I$22)*0.1+IF(BL86-Uzman_D!$J$22&lt;0,-(BL86-Uzman_D!$J$22),BL86-Uzman_D!$J$22)*0.1)+IF(ROUND((IF(BN86-Uzman_D!$L$22&lt;0,-(BN86-Uzman_D!$L$22),BN86-Uzman_D!$L$22)*2),0)/2=IF(BN86-Uzman_D!$L$22&lt;0,-(BN86-Uzman_D!$L$22),BN86-Uzman_D!$L$22),(ROUND((IF(BN86-Uzman_D!$L$22&lt;0,-(BN86-Uzman_D!$L$22),BN86-Uzman_D!$L$22)*2),0)/1*0.1),0)+IF(BO86-Uzman_D!$M$22&lt;0,-(BO86-Uzman_D!$M$22),BO86-Uzman_D!$M$22)*1)</f>
        <v>-0.10000000000000009</v>
      </c>
      <c r="BQ86" s="72">
        <f t="shared" si="2"/>
        <v>-0.28000000000000014</v>
      </c>
    </row>
    <row r="87" spans="1:69" ht="15" customHeight="1" x14ac:dyDescent="0.45">
      <c r="A87" s="54">
        <v>84</v>
      </c>
      <c r="B87" s="170">
        <f>Hakemler!B87</f>
        <v>0</v>
      </c>
      <c r="C87" s="170">
        <f>Hakemler!C87</f>
        <v>0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73"/>
      <c r="O87" s="73"/>
      <c r="P87" s="71">
        <f>1-(SUM(IF(D87-Uzman_D!$B$18&lt;0,-(D87-Uzman_D!$B$18),D87-Uzman_D!$B$18)*0.1+IF(E87-Uzman_D!$C$18&lt;0,-(E87-Uzman_D!$C$18),E87-Uzman_D!$C$18)*0.1+IF(F87-Uzman_D!$D$18&lt;0,-(F87-Uzman_D!$D$18),F87-Uzman_D!$D$18)*0.1+IF(G87-Uzman_D!$E$18&lt;0,-(G87-Uzman_D!$E$18),G87-Uzman_D!$E$18)*0.1+IF(H87-Uzman_D!$F$18&lt;0,-(H87-Uzman_D!$F$18),H87-Uzman_D!$F$18)*0.1+IF(I87-Uzman_D!$G$18&lt;0,-(I87-Uzman_D!$G$18),I87-Uzman_D!$G$18)*0.1+IF(J87-Uzman_D!$H$18&lt;0,-(J87-Uzman_D!$H$18),J87-Uzman_D!$H$18)*0.1+IF(K87-Uzman_D!$I$18&lt;0,-(K87-Uzman_D!$I$18),K87-Uzman_D!$I$18)*0.1+IF(L87-Uzman_D!$J$18&lt;0,-(L87-Uzman_D!$J$18),L87-Uzman_D!$J$18)*0.1)+IF(ROUND((IF(N87-Uzman_D!$L$18&lt;0,-(N87-Uzman_D!$L$18),N87-Uzman_D!$L$18)*2),0)/2=IF(N87-Uzman_D!$L$18&lt;0,-(N87-Uzman_D!$L$18),N87-Uzman_D!$L$18),(ROUND((IF(N87-Uzman_D!$L$18&lt;0,-(N87-Uzman_D!$L$18),N87-Uzman_D!$L$18)*2),0)/1*0.1),0)+IF(O87-Uzman_D!$M$18&lt;0,-(O87-Uzman_D!$M$18),O87-Uzman_D!$M$18)*1)</f>
        <v>-0.60000000000000009</v>
      </c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73"/>
      <c r="AB87" s="73"/>
      <c r="AC87" s="71">
        <f>1-(SUM(IF(Q87-Uzman_D!$B$19&lt;0,-(Q87-Uzman_D!$B$19),Q87-Uzman_D!$B$19)*0.1+IF(R87-Uzman_D!$C$19&lt;0,-(R87-Uzman_D!$C$19),R87-Uzman_D!$C$19)*0.1+IF(S87-Uzman_D!$D$19&lt;0,-(S87-Uzman_D!$D$19),S87-Uzman_D!$D$19)*0.1+IF(T87-Uzman_D!$E$19&lt;0,-(T87-Uzman_D!$E$19),T87-Uzman_D!$E$19)*0.1+IF(U87-Uzman_D!$F$19&lt;0,-(U87-Uzman_D!$F$19),U87-Uzman_D!$F$19)*0.1+IF(V87-Uzman_D!$G$19&lt;0,-(V87-Uzman_D!$G$19),V87-Uzman_D!$G$19)*0.1+IF(W87-Uzman_D!$H$19&lt;0,-(W87-Uzman_D!$H$19),W87-Uzman_D!$H$19)*0.1+IF(X87-Uzman_D!$I$19&lt;0,-(X87-Uzman_D!$I$19),X87-Uzman_D!$I$19)*0.1+IF(Y87-Uzman_D!$J$19&lt;0,-(Y87-Uzman_D!$J$19),Y87-Uzman_D!$J$19)*0.1)+IF(ROUND((IF(AA87-Uzman_D!$L$19&lt;0,-(AA87-Uzman_D!$L$19),AA87-Uzman_D!$L$19)*2),0)/2=IF(AA87-Uzman_D!$L$19&lt;0,-(AA87-Uzman_D!$L$19),AA87-Uzman_D!$L$19),(ROUND((IF(AA87-Uzman_D!$L$19&lt;0,-(AA87-Uzman_D!$L$19),AA87-Uzman_D!$L$19)*2),0)/1*0.1),0)+IF(AB87-Uzman_D!$M$19&lt;0,-(AB87-Uzman_D!$M$19),AB87-Uzman_D!$M$19)*1)</f>
        <v>-0.20000000000000018</v>
      </c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73"/>
      <c r="AO87" s="73"/>
      <c r="AP87" s="71">
        <f>1-(SUM(IF(AD87-Uzman_D!$B$20&lt;0,-(AD87-Uzman_D!$B$20),AD87-Uzman_D!$B$20)*0.1+IF(AE87-Uzman_D!$C$20&lt;0,-(AE87-Uzman_D!$C$20),AE87-Uzman_D!$C$20)*0.1+IF(AF87-Uzman_D!$D$20&lt;0,-(AF87-Uzman_D!$D$20),AF87-Uzman_D!$D$20)*0.1+IF(AG87-Uzman_D!$E$20&lt;0,-(AG87-Uzman_D!$E$20),AG87-Uzman_D!$E$20)*0.1+IF(AH87-Uzman_D!$F$20&lt;0,-(AH87-Uzman_D!$F$20),AH87-Uzman_D!$F$20)*0.1+IF(AI87-Uzman_D!$G$20&lt;0,-(AI87-Uzman_D!$G$20),AI87-Uzman_D!$G$20)*0.1+IF(AJ87-Uzman_D!$H$20&lt;0,-(AJ87-Uzman_D!$H$20),AJ87-Uzman_D!$H$20)*0.1+IF(AK87-Uzman_D!$I$20&lt;0,-(AK87-Uzman_D!$I$20),AK87-Uzman_D!$I$20)*0.1+IF(AL87-Uzman_D!$J$20&lt;0,-(AL87-Uzman_D!$J$20),AL87-Uzman_D!$J$20)*0.1)+IF(ROUND((IF(AN87-Uzman_D!$L$20&lt;0,-(AN87-Uzman_D!$L$20),AN87-Uzman_D!$L$20)*2),0)/2=IF(AN87-Uzman_D!$L$20&lt;0,-(AN87-Uzman_D!$L$20),AN87-Uzman_D!$L$20),(ROUND((IF(AN87-Uzman_D!$L$20&lt;0,-(AN87-Uzman_D!$L$20),AN87-Uzman_D!$L$20)*2),0)/1*0.1),0)+IF(AO87-Uzman_D!$M$20&lt;0,-(AO87-Uzman_D!$M$20),AO87-Uzman_D!$M$20)*1)</f>
        <v>-0.40000000000000013</v>
      </c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73"/>
      <c r="BB87" s="73"/>
      <c r="BC87" s="71">
        <f>1-(SUM(IF(AQ87-Uzman_D!$B$21&lt;0,-(AQ87-Uzman_D!$B$21),AQ87-Uzman_D!$B$21)*0.1+IF(AR87-Uzman_D!$C$21&lt;0,-(AR87-Uzman_D!$C$21),AR87-Uzman_D!$C$21)*0.1+IF(AS87-Uzman_D!$D$21&lt;0,-(AS87-Uzman_D!$D$21),AS87-Uzman_D!$D$21)*0.1+IF(AT87-Uzman_D!$E$21&lt;0,-(AT87-Uzman_D!$E$21),AT87-Uzman_D!$E$21)*0.1+IF(AU87-Uzman_D!$F$21&lt;0,-(AU87-Uzman_D!$F$21),AU87-Uzman_D!$F$21)*0.1+IF(AV87-Uzman_D!$G$21&lt;0,-(AV87-Uzman_D!$G$21),AV87-Uzman_D!$G$21)*0.1+IF(AW87-Uzman_D!$H$21&lt;0,-(AW87-Uzman_D!$H$21),AW87-Uzman_D!$H$21)*0.1+IF(AX87-Uzman_D!$I$21&lt;0,-(AX87-Uzman_D!$I$21),AX87-Uzman_D!$I$21)*0.1+IF(AY87-Uzman_D!$J$21&lt;0,-(AY87-Uzman_D!$J$21),AY87-Uzman_D!$J$21)*0.1)+IF(ROUND((IF(BA87-Uzman_D!$L$21&lt;0,-(BA87-Uzman_D!$L$21),BA87-Uzman_D!$L$21)*2),0)/2=IF(BA87-Uzman_D!$L$21&lt;0,-(BA87-Uzman_D!$L$21),BA87-Uzman_D!$L$21),(ROUND((IF(BA87-Uzman_D!$L$21&lt;0,-(BA87-Uzman_D!$L$21),BA87-Uzman_D!$L$21)*2),0)/1*0.1),0)+IF(BB87-Uzman_D!$M$21&lt;0,-(BB87-Uzman_D!$M$21),BB87-Uzman_D!$M$21)*1)</f>
        <v>-0.10000000000000009</v>
      </c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73"/>
      <c r="BO87" s="73"/>
      <c r="BP87" s="71">
        <f>1-(SUM(IF(BD87-Uzman_D!$B$22&lt;0,-(BD87-Uzman_D!$B$22),BD87-Uzman_D!$B$22)*0.1+IF(BE87-Uzman_D!$C$22&lt;0,-(BE87-Uzman_D!$C$22),BE87-Uzman_D!$C$22)*0.1+IF(BF87-Uzman_D!$D$22&lt;0,-(BF87-Uzman_D!$D$22),BF87-Uzman_D!$D$22)*0.1+IF(BG87-Uzman_D!$E$22&lt;0,-(BG87-Uzman_D!$E$22),BG87-Uzman_D!$E$22)*0.1+IF(BH87-Uzman_D!$F$22&lt;0,-(BH87-Uzman_D!$F$22),BH87-Uzman_D!$F$22)*0.1+IF(BI87-Uzman_D!$G$22&lt;0,-(BI87-Uzman_D!$G$22),BI87-Uzman_D!$G$22)*0.1+IF(BJ87-Uzman_D!$H$22&lt;0,-(BJ87-Uzman_D!$H$22),BJ87-Uzman_D!$H$22)*0.1+IF(BK87-Uzman_D!$I$22&lt;0,-(BK87-Uzman_D!$I$22),BK87-Uzman_D!$I$22)*0.1+IF(BL87-Uzman_D!$J$22&lt;0,-(BL87-Uzman_D!$J$22),BL87-Uzman_D!$J$22)*0.1)+IF(ROUND((IF(BN87-Uzman_D!$L$22&lt;0,-(BN87-Uzman_D!$L$22),BN87-Uzman_D!$L$22)*2),0)/2=IF(BN87-Uzman_D!$L$22&lt;0,-(BN87-Uzman_D!$L$22),BN87-Uzman_D!$L$22),(ROUND((IF(BN87-Uzman_D!$L$22&lt;0,-(BN87-Uzman_D!$L$22),BN87-Uzman_D!$L$22)*2),0)/1*0.1),0)+IF(BO87-Uzman_D!$M$22&lt;0,-(BO87-Uzman_D!$M$22),BO87-Uzman_D!$M$22)*1)</f>
        <v>-0.10000000000000009</v>
      </c>
      <c r="BQ87" s="72">
        <f t="shared" si="2"/>
        <v>-0.28000000000000014</v>
      </c>
    </row>
    <row r="88" spans="1:69" ht="15" customHeight="1" x14ac:dyDescent="0.45">
      <c r="A88" s="54">
        <v>85</v>
      </c>
      <c r="B88" s="170">
        <f>Hakemler!B88</f>
        <v>0</v>
      </c>
      <c r="C88" s="170">
        <f>Hakemler!C88</f>
        <v>0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73"/>
      <c r="O88" s="73"/>
      <c r="P88" s="71">
        <f>1-(SUM(IF(D88-Uzman_D!$B$18&lt;0,-(D88-Uzman_D!$B$18),D88-Uzman_D!$B$18)*0.1+IF(E88-Uzman_D!$C$18&lt;0,-(E88-Uzman_D!$C$18),E88-Uzman_D!$C$18)*0.1+IF(F88-Uzman_D!$D$18&lt;0,-(F88-Uzman_D!$D$18),F88-Uzman_D!$D$18)*0.1+IF(G88-Uzman_D!$E$18&lt;0,-(G88-Uzman_D!$E$18),G88-Uzman_D!$E$18)*0.1+IF(H88-Uzman_D!$F$18&lt;0,-(H88-Uzman_D!$F$18),H88-Uzman_D!$F$18)*0.1+IF(I88-Uzman_D!$G$18&lt;0,-(I88-Uzman_D!$G$18),I88-Uzman_D!$G$18)*0.1+IF(J88-Uzman_D!$H$18&lt;0,-(J88-Uzman_D!$H$18),J88-Uzman_D!$H$18)*0.1+IF(K88-Uzman_D!$I$18&lt;0,-(K88-Uzman_D!$I$18),K88-Uzman_D!$I$18)*0.1+IF(L88-Uzman_D!$J$18&lt;0,-(L88-Uzman_D!$J$18),L88-Uzman_D!$J$18)*0.1)+IF(ROUND((IF(N88-Uzman_D!$L$18&lt;0,-(N88-Uzman_D!$L$18),N88-Uzman_D!$L$18)*2),0)/2=IF(N88-Uzman_D!$L$18&lt;0,-(N88-Uzman_D!$L$18),N88-Uzman_D!$L$18),(ROUND((IF(N88-Uzman_D!$L$18&lt;0,-(N88-Uzman_D!$L$18),N88-Uzman_D!$L$18)*2),0)/1*0.1),0)+IF(O88-Uzman_D!$M$18&lt;0,-(O88-Uzman_D!$M$18),O88-Uzman_D!$M$18)*1)</f>
        <v>-0.60000000000000009</v>
      </c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73"/>
      <c r="AB88" s="73"/>
      <c r="AC88" s="71">
        <f>1-(SUM(IF(Q88-Uzman_D!$B$19&lt;0,-(Q88-Uzman_D!$B$19),Q88-Uzman_D!$B$19)*0.1+IF(R88-Uzman_D!$C$19&lt;0,-(R88-Uzman_D!$C$19),R88-Uzman_D!$C$19)*0.1+IF(S88-Uzman_D!$D$19&lt;0,-(S88-Uzman_D!$D$19),S88-Uzman_D!$D$19)*0.1+IF(T88-Uzman_D!$E$19&lt;0,-(T88-Uzman_D!$E$19),T88-Uzman_D!$E$19)*0.1+IF(U88-Uzman_D!$F$19&lt;0,-(U88-Uzman_D!$F$19),U88-Uzman_D!$F$19)*0.1+IF(V88-Uzman_D!$G$19&lt;0,-(V88-Uzman_D!$G$19),V88-Uzman_D!$G$19)*0.1+IF(W88-Uzman_D!$H$19&lt;0,-(W88-Uzman_D!$H$19),W88-Uzman_D!$H$19)*0.1+IF(X88-Uzman_D!$I$19&lt;0,-(X88-Uzman_D!$I$19),X88-Uzman_D!$I$19)*0.1+IF(Y88-Uzman_D!$J$19&lt;0,-(Y88-Uzman_D!$J$19),Y88-Uzman_D!$J$19)*0.1)+IF(ROUND((IF(AA88-Uzman_D!$L$19&lt;0,-(AA88-Uzman_D!$L$19),AA88-Uzman_D!$L$19)*2),0)/2=IF(AA88-Uzman_D!$L$19&lt;0,-(AA88-Uzman_D!$L$19),AA88-Uzman_D!$L$19),(ROUND((IF(AA88-Uzman_D!$L$19&lt;0,-(AA88-Uzman_D!$L$19),AA88-Uzman_D!$L$19)*2),0)/1*0.1),0)+IF(AB88-Uzman_D!$M$19&lt;0,-(AB88-Uzman_D!$M$19),AB88-Uzman_D!$M$19)*1)</f>
        <v>-0.20000000000000018</v>
      </c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73"/>
      <c r="AO88" s="73"/>
      <c r="AP88" s="71">
        <f>1-(SUM(IF(AD88-Uzman_D!$B$20&lt;0,-(AD88-Uzman_D!$B$20),AD88-Uzman_D!$B$20)*0.1+IF(AE88-Uzman_D!$C$20&lt;0,-(AE88-Uzman_D!$C$20),AE88-Uzman_D!$C$20)*0.1+IF(AF88-Uzman_D!$D$20&lt;0,-(AF88-Uzman_D!$D$20),AF88-Uzman_D!$D$20)*0.1+IF(AG88-Uzman_D!$E$20&lt;0,-(AG88-Uzman_D!$E$20),AG88-Uzman_D!$E$20)*0.1+IF(AH88-Uzman_D!$F$20&lt;0,-(AH88-Uzman_D!$F$20),AH88-Uzman_D!$F$20)*0.1+IF(AI88-Uzman_D!$G$20&lt;0,-(AI88-Uzman_D!$G$20),AI88-Uzman_D!$G$20)*0.1+IF(AJ88-Uzman_D!$H$20&lt;0,-(AJ88-Uzman_D!$H$20),AJ88-Uzman_D!$H$20)*0.1+IF(AK88-Uzman_D!$I$20&lt;0,-(AK88-Uzman_D!$I$20),AK88-Uzman_D!$I$20)*0.1+IF(AL88-Uzman_D!$J$20&lt;0,-(AL88-Uzman_D!$J$20),AL88-Uzman_D!$J$20)*0.1)+IF(ROUND((IF(AN88-Uzman_D!$L$20&lt;0,-(AN88-Uzman_D!$L$20),AN88-Uzman_D!$L$20)*2),0)/2=IF(AN88-Uzman_D!$L$20&lt;0,-(AN88-Uzman_D!$L$20),AN88-Uzman_D!$L$20),(ROUND((IF(AN88-Uzman_D!$L$20&lt;0,-(AN88-Uzman_D!$L$20),AN88-Uzman_D!$L$20)*2),0)/1*0.1),0)+IF(AO88-Uzman_D!$M$20&lt;0,-(AO88-Uzman_D!$M$20),AO88-Uzman_D!$M$20)*1)</f>
        <v>-0.40000000000000013</v>
      </c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73"/>
      <c r="BB88" s="73"/>
      <c r="BC88" s="71">
        <f>1-(SUM(IF(AQ88-Uzman_D!$B$21&lt;0,-(AQ88-Uzman_D!$B$21),AQ88-Uzman_D!$B$21)*0.1+IF(AR88-Uzman_D!$C$21&lt;0,-(AR88-Uzman_D!$C$21),AR88-Uzman_D!$C$21)*0.1+IF(AS88-Uzman_D!$D$21&lt;0,-(AS88-Uzman_D!$D$21),AS88-Uzman_D!$D$21)*0.1+IF(AT88-Uzman_D!$E$21&lt;0,-(AT88-Uzman_D!$E$21),AT88-Uzman_D!$E$21)*0.1+IF(AU88-Uzman_D!$F$21&lt;0,-(AU88-Uzman_D!$F$21),AU88-Uzman_D!$F$21)*0.1+IF(AV88-Uzman_D!$G$21&lt;0,-(AV88-Uzman_D!$G$21),AV88-Uzman_D!$G$21)*0.1+IF(AW88-Uzman_D!$H$21&lt;0,-(AW88-Uzman_D!$H$21),AW88-Uzman_D!$H$21)*0.1+IF(AX88-Uzman_D!$I$21&lt;0,-(AX88-Uzman_D!$I$21),AX88-Uzman_D!$I$21)*0.1+IF(AY88-Uzman_D!$J$21&lt;0,-(AY88-Uzman_D!$J$21),AY88-Uzman_D!$J$21)*0.1)+IF(ROUND((IF(BA88-Uzman_D!$L$21&lt;0,-(BA88-Uzman_D!$L$21),BA88-Uzman_D!$L$21)*2),0)/2=IF(BA88-Uzman_D!$L$21&lt;0,-(BA88-Uzman_D!$L$21),BA88-Uzman_D!$L$21),(ROUND((IF(BA88-Uzman_D!$L$21&lt;0,-(BA88-Uzman_D!$L$21),BA88-Uzman_D!$L$21)*2),0)/1*0.1),0)+IF(BB88-Uzman_D!$M$21&lt;0,-(BB88-Uzman_D!$M$21),BB88-Uzman_D!$M$21)*1)</f>
        <v>-0.10000000000000009</v>
      </c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73"/>
      <c r="BO88" s="73"/>
      <c r="BP88" s="71">
        <f>1-(SUM(IF(BD88-Uzman_D!$B$22&lt;0,-(BD88-Uzman_D!$B$22),BD88-Uzman_D!$B$22)*0.1+IF(BE88-Uzman_D!$C$22&lt;0,-(BE88-Uzman_D!$C$22),BE88-Uzman_D!$C$22)*0.1+IF(BF88-Uzman_D!$D$22&lt;0,-(BF88-Uzman_D!$D$22),BF88-Uzman_D!$D$22)*0.1+IF(BG88-Uzman_D!$E$22&lt;0,-(BG88-Uzman_D!$E$22),BG88-Uzman_D!$E$22)*0.1+IF(BH88-Uzman_D!$F$22&lt;0,-(BH88-Uzman_D!$F$22),BH88-Uzman_D!$F$22)*0.1+IF(BI88-Uzman_D!$G$22&lt;0,-(BI88-Uzman_D!$G$22),BI88-Uzman_D!$G$22)*0.1+IF(BJ88-Uzman_D!$H$22&lt;0,-(BJ88-Uzman_D!$H$22),BJ88-Uzman_D!$H$22)*0.1+IF(BK88-Uzman_D!$I$22&lt;0,-(BK88-Uzman_D!$I$22),BK88-Uzman_D!$I$22)*0.1+IF(BL88-Uzman_D!$J$22&lt;0,-(BL88-Uzman_D!$J$22),BL88-Uzman_D!$J$22)*0.1)+IF(ROUND((IF(BN88-Uzman_D!$L$22&lt;0,-(BN88-Uzman_D!$L$22),BN88-Uzman_D!$L$22)*2),0)/2=IF(BN88-Uzman_D!$L$22&lt;0,-(BN88-Uzman_D!$L$22),BN88-Uzman_D!$L$22),(ROUND((IF(BN88-Uzman_D!$L$22&lt;0,-(BN88-Uzman_D!$L$22),BN88-Uzman_D!$L$22)*2),0)/1*0.1),0)+IF(BO88-Uzman_D!$M$22&lt;0,-(BO88-Uzman_D!$M$22),BO88-Uzman_D!$M$22)*1)</f>
        <v>-0.10000000000000009</v>
      </c>
      <c r="BQ88" s="72">
        <f t="shared" si="2"/>
        <v>-0.28000000000000014</v>
      </c>
    </row>
    <row r="89" spans="1:69" ht="15" customHeight="1" x14ac:dyDescent="0.45">
      <c r="A89" s="54">
        <v>86</v>
      </c>
      <c r="B89" s="170">
        <f>Hakemler!B89</f>
        <v>0</v>
      </c>
      <c r="C89" s="170">
        <f>Hakemler!C89</f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73"/>
      <c r="O89" s="73"/>
      <c r="P89" s="71">
        <f>1-(SUM(IF(D89-Uzman_D!$B$18&lt;0,-(D89-Uzman_D!$B$18),D89-Uzman_D!$B$18)*0.1+IF(E89-Uzman_D!$C$18&lt;0,-(E89-Uzman_D!$C$18),E89-Uzman_D!$C$18)*0.1+IF(F89-Uzman_D!$D$18&lt;0,-(F89-Uzman_D!$D$18),F89-Uzman_D!$D$18)*0.1+IF(G89-Uzman_D!$E$18&lt;0,-(G89-Uzman_D!$E$18),G89-Uzman_D!$E$18)*0.1+IF(H89-Uzman_D!$F$18&lt;0,-(H89-Uzman_D!$F$18),H89-Uzman_D!$F$18)*0.1+IF(I89-Uzman_D!$G$18&lt;0,-(I89-Uzman_D!$G$18),I89-Uzman_D!$G$18)*0.1+IF(J89-Uzman_D!$H$18&lt;0,-(J89-Uzman_D!$H$18),J89-Uzman_D!$H$18)*0.1+IF(K89-Uzman_D!$I$18&lt;0,-(K89-Uzman_D!$I$18),K89-Uzman_D!$I$18)*0.1+IF(L89-Uzman_D!$J$18&lt;0,-(L89-Uzman_D!$J$18),L89-Uzman_D!$J$18)*0.1)+IF(ROUND((IF(N89-Uzman_D!$L$18&lt;0,-(N89-Uzman_D!$L$18),N89-Uzman_D!$L$18)*2),0)/2=IF(N89-Uzman_D!$L$18&lt;0,-(N89-Uzman_D!$L$18),N89-Uzman_D!$L$18),(ROUND((IF(N89-Uzman_D!$L$18&lt;0,-(N89-Uzman_D!$L$18),N89-Uzman_D!$L$18)*2),0)/1*0.1),0)+IF(O89-Uzman_D!$M$18&lt;0,-(O89-Uzman_D!$M$18),O89-Uzman_D!$M$18)*1)</f>
        <v>-0.60000000000000009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73"/>
      <c r="AB89" s="73"/>
      <c r="AC89" s="71">
        <f>1-(SUM(IF(Q89-Uzman_D!$B$19&lt;0,-(Q89-Uzman_D!$B$19),Q89-Uzman_D!$B$19)*0.1+IF(R89-Uzman_D!$C$19&lt;0,-(R89-Uzman_D!$C$19),R89-Uzman_D!$C$19)*0.1+IF(S89-Uzman_D!$D$19&lt;0,-(S89-Uzman_D!$D$19),S89-Uzman_D!$D$19)*0.1+IF(T89-Uzman_D!$E$19&lt;0,-(T89-Uzman_D!$E$19),T89-Uzman_D!$E$19)*0.1+IF(U89-Uzman_D!$F$19&lt;0,-(U89-Uzman_D!$F$19),U89-Uzman_D!$F$19)*0.1+IF(V89-Uzman_D!$G$19&lt;0,-(V89-Uzman_D!$G$19),V89-Uzman_D!$G$19)*0.1+IF(W89-Uzman_D!$H$19&lt;0,-(W89-Uzman_D!$H$19),W89-Uzman_D!$H$19)*0.1+IF(X89-Uzman_D!$I$19&lt;0,-(X89-Uzman_D!$I$19),X89-Uzman_D!$I$19)*0.1+IF(Y89-Uzman_D!$J$19&lt;0,-(Y89-Uzman_D!$J$19),Y89-Uzman_D!$J$19)*0.1)+IF(ROUND((IF(AA89-Uzman_D!$L$19&lt;0,-(AA89-Uzman_D!$L$19),AA89-Uzman_D!$L$19)*2),0)/2=IF(AA89-Uzman_D!$L$19&lt;0,-(AA89-Uzman_D!$L$19),AA89-Uzman_D!$L$19),(ROUND((IF(AA89-Uzman_D!$L$19&lt;0,-(AA89-Uzman_D!$L$19),AA89-Uzman_D!$L$19)*2),0)/1*0.1),0)+IF(AB89-Uzman_D!$M$19&lt;0,-(AB89-Uzman_D!$M$19),AB89-Uzman_D!$M$19)*1)</f>
        <v>-0.20000000000000018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73"/>
      <c r="AO89" s="73"/>
      <c r="AP89" s="71">
        <f>1-(SUM(IF(AD89-Uzman_D!$B$20&lt;0,-(AD89-Uzman_D!$B$20),AD89-Uzman_D!$B$20)*0.1+IF(AE89-Uzman_D!$C$20&lt;0,-(AE89-Uzman_D!$C$20),AE89-Uzman_D!$C$20)*0.1+IF(AF89-Uzman_D!$D$20&lt;0,-(AF89-Uzman_D!$D$20),AF89-Uzman_D!$D$20)*0.1+IF(AG89-Uzman_D!$E$20&lt;0,-(AG89-Uzman_D!$E$20),AG89-Uzman_D!$E$20)*0.1+IF(AH89-Uzman_D!$F$20&lt;0,-(AH89-Uzman_D!$F$20),AH89-Uzman_D!$F$20)*0.1+IF(AI89-Uzman_D!$G$20&lt;0,-(AI89-Uzman_D!$G$20),AI89-Uzman_D!$G$20)*0.1+IF(AJ89-Uzman_D!$H$20&lt;0,-(AJ89-Uzman_D!$H$20),AJ89-Uzman_D!$H$20)*0.1+IF(AK89-Uzman_D!$I$20&lt;0,-(AK89-Uzman_D!$I$20),AK89-Uzman_D!$I$20)*0.1+IF(AL89-Uzman_D!$J$20&lt;0,-(AL89-Uzman_D!$J$20),AL89-Uzman_D!$J$20)*0.1)+IF(ROUND((IF(AN89-Uzman_D!$L$20&lt;0,-(AN89-Uzman_D!$L$20),AN89-Uzman_D!$L$20)*2),0)/2=IF(AN89-Uzman_D!$L$20&lt;0,-(AN89-Uzman_D!$L$20),AN89-Uzman_D!$L$20),(ROUND((IF(AN89-Uzman_D!$L$20&lt;0,-(AN89-Uzman_D!$L$20),AN89-Uzman_D!$L$20)*2),0)/1*0.1),0)+IF(AO89-Uzman_D!$M$20&lt;0,-(AO89-Uzman_D!$M$20),AO89-Uzman_D!$M$20)*1)</f>
        <v>-0.40000000000000013</v>
      </c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73"/>
      <c r="BB89" s="73"/>
      <c r="BC89" s="71">
        <f>1-(SUM(IF(AQ89-Uzman_D!$B$21&lt;0,-(AQ89-Uzman_D!$B$21),AQ89-Uzman_D!$B$21)*0.1+IF(AR89-Uzman_D!$C$21&lt;0,-(AR89-Uzman_D!$C$21),AR89-Uzman_D!$C$21)*0.1+IF(AS89-Uzman_D!$D$21&lt;0,-(AS89-Uzman_D!$D$21),AS89-Uzman_D!$D$21)*0.1+IF(AT89-Uzman_D!$E$21&lt;0,-(AT89-Uzman_D!$E$21),AT89-Uzman_D!$E$21)*0.1+IF(AU89-Uzman_D!$F$21&lt;0,-(AU89-Uzman_D!$F$21),AU89-Uzman_D!$F$21)*0.1+IF(AV89-Uzman_D!$G$21&lt;0,-(AV89-Uzman_D!$G$21),AV89-Uzman_D!$G$21)*0.1+IF(AW89-Uzman_D!$H$21&lt;0,-(AW89-Uzman_D!$H$21),AW89-Uzman_D!$H$21)*0.1+IF(AX89-Uzman_D!$I$21&lt;0,-(AX89-Uzman_D!$I$21),AX89-Uzman_D!$I$21)*0.1+IF(AY89-Uzman_D!$J$21&lt;0,-(AY89-Uzman_D!$J$21),AY89-Uzman_D!$J$21)*0.1)+IF(ROUND((IF(BA89-Uzman_D!$L$21&lt;0,-(BA89-Uzman_D!$L$21),BA89-Uzman_D!$L$21)*2),0)/2=IF(BA89-Uzman_D!$L$21&lt;0,-(BA89-Uzman_D!$L$21),BA89-Uzman_D!$L$21),(ROUND((IF(BA89-Uzman_D!$L$21&lt;0,-(BA89-Uzman_D!$L$21),BA89-Uzman_D!$L$21)*2),0)/1*0.1),0)+IF(BB89-Uzman_D!$M$21&lt;0,-(BB89-Uzman_D!$M$21),BB89-Uzman_D!$M$21)*1)</f>
        <v>-0.10000000000000009</v>
      </c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73"/>
      <c r="BO89" s="73"/>
      <c r="BP89" s="71">
        <f>1-(SUM(IF(BD89-Uzman_D!$B$22&lt;0,-(BD89-Uzman_D!$B$22),BD89-Uzman_D!$B$22)*0.1+IF(BE89-Uzman_D!$C$22&lt;0,-(BE89-Uzman_D!$C$22),BE89-Uzman_D!$C$22)*0.1+IF(BF89-Uzman_D!$D$22&lt;0,-(BF89-Uzman_D!$D$22),BF89-Uzman_D!$D$22)*0.1+IF(BG89-Uzman_D!$E$22&lt;0,-(BG89-Uzman_D!$E$22),BG89-Uzman_D!$E$22)*0.1+IF(BH89-Uzman_D!$F$22&lt;0,-(BH89-Uzman_D!$F$22),BH89-Uzman_D!$F$22)*0.1+IF(BI89-Uzman_D!$G$22&lt;0,-(BI89-Uzman_D!$G$22),BI89-Uzman_D!$G$22)*0.1+IF(BJ89-Uzman_D!$H$22&lt;0,-(BJ89-Uzman_D!$H$22),BJ89-Uzman_D!$H$22)*0.1+IF(BK89-Uzman_D!$I$22&lt;0,-(BK89-Uzman_D!$I$22),BK89-Uzman_D!$I$22)*0.1+IF(BL89-Uzman_D!$J$22&lt;0,-(BL89-Uzman_D!$J$22),BL89-Uzman_D!$J$22)*0.1)+IF(ROUND((IF(BN89-Uzman_D!$L$22&lt;0,-(BN89-Uzman_D!$L$22),BN89-Uzman_D!$L$22)*2),0)/2=IF(BN89-Uzman_D!$L$22&lt;0,-(BN89-Uzman_D!$L$22),BN89-Uzman_D!$L$22),(ROUND((IF(BN89-Uzman_D!$L$22&lt;0,-(BN89-Uzman_D!$L$22),BN89-Uzman_D!$L$22)*2),0)/1*0.1),0)+IF(BO89-Uzman_D!$M$22&lt;0,-(BO89-Uzman_D!$M$22),BO89-Uzman_D!$M$22)*1)</f>
        <v>-0.10000000000000009</v>
      </c>
      <c r="BQ89" s="72">
        <f t="shared" si="2"/>
        <v>-0.28000000000000014</v>
      </c>
    </row>
    <row r="90" spans="1:69" ht="15" customHeight="1" x14ac:dyDescent="0.45">
      <c r="A90" s="54">
        <v>87</v>
      </c>
      <c r="B90" s="170">
        <f>Hakemler!B90</f>
        <v>0</v>
      </c>
      <c r="C90" s="170">
        <f>Hakemler!C90</f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73"/>
      <c r="O90" s="73"/>
      <c r="P90" s="71">
        <f>1-(SUM(IF(D90-Uzman_D!$B$18&lt;0,-(D90-Uzman_D!$B$18),D90-Uzman_D!$B$18)*0.1+IF(E90-Uzman_D!$C$18&lt;0,-(E90-Uzman_D!$C$18),E90-Uzman_D!$C$18)*0.1+IF(F90-Uzman_D!$D$18&lt;0,-(F90-Uzman_D!$D$18),F90-Uzman_D!$D$18)*0.1+IF(G90-Uzman_D!$E$18&lt;0,-(G90-Uzman_D!$E$18),G90-Uzman_D!$E$18)*0.1+IF(H90-Uzman_D!$F$18&lt;0,-(H90-Uzman_D!$F$18),H90-Uzman_D!$F$18)*0.1+IF(I90-Uzman_D!$G$18&lt;0,-(I90-Uzman_D!$G$18),I90-Uzman_D!$G$18)*0.1+IF(J90-Uzman_D!$H$18&lt;0,-(J90-Uzman_D!$H$18),J90-Uzman_D!$H$18)*0.1+IF(K90-Uzman_D!$I$18&lt;0,-(K90-Uzman_D!$I$18),K90-Uzman_D!$I$18)*0.1+IF(L90-Uzman_D!$J$18&lt;0,-(L90-Uzman_D!$J$18),L90-Uzman_D!$J$18)*0.1)+IF(ROUND((IF(N90-Uzman_D!$L$18&lt;0,-(N90-Uzman_D!$L$18),N90-Uzman_D!$L$18)*2),0)/2=IF(N90-Uzman_D!$L$18&lt;0,-(N90-Uzman_D!$L$18),N90-Uzman_D!$L$18),(ROUND((IF(N90-Uzman_D!$L$18&lt;0,-(N90-Uzman_D!$L$18),N90-Uzman_D!$L$18)*2),0)/1*0.1),0)+IF(O90-Uzman_D!$M$18&lt;0,-(O90-Uzman_D!$M$18),O90-Uzman_D!$M$18)*1)</f>
        <v>-0.60000000000000009</v>
      </c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73"/>
      <c r="AB90" s="73"/>
      <c r="AC90" s="71">
        <f>1-(SUM(IF(Q90-Uzman_D!$B$19&lt;0,-(Q90-Uzman_D!$B$19),Q90-Uzman_D!$B$19)*0.1+IF(R90-Uzman_D!$C$19&lt;0,-(R90-Uzman_D!$C$19),R90-Uzman_D!$C$19)*0.1+IF(S90-Uzman_D!$D$19&lt;0,-(S90-Uzman_D!$D$19),S90-Uzman_D!$D$19)*0.1+IF(T90-Uzman_D!$E$19&lt;0,-(T90-Uzman_D!$E$19),T90-Uzman_D!$E$19)*0.1+IF(U90-Uzman_D!$F$19&lt;0,-(U90-Uzman_D!$F$19),U90-Uzman_D!$F$19)*0.1+IF(V90-Uzman_D!$G$19&lt;0,-(V90-Uzman_D!$G$19),V90-Uzman_D!$G$19)*0.1+IF(W90-Uzman_D!$H$19&lt;0,-(W90-Uzman_D!$H$19),W90-Uzman_D!$H$19)*0.1+IF(X90-Uzman_D!$I$19&lt;0,-(X90-Uzman_D!$I$19),X90-Uzman_D!$I$19)*0.1+IF(Y90-Uzman_D!$J$19&lt;0,-(Y90-Uzman_D!$J$19),Y90-Uzman_D!$J$19)*0.1)+IF(ROUND((IF(AA90-Uzman_D!$L$19&lt;0,-(AA90-Uzman_D!$L$19),AA90-Uzman_D!$L$19)*2),0)/2=IF(AA90-Uzman_D!$L$19&lt;0,-(AA90-Uzman_D!$L$19),AA90-Uzman_D!$L$19),(ROUND((IF(AA90-Uzman_D!$L$19&lt;0,-(AA90-Uzman_D!$L$19),AA90-Uzman_D!$L$19)*2),0)/1*0.1),0)+IF(AB90-Uzman_D!$M$19&lt;0,-(AB90-Uzman_D!$M$19),AB90-Uzman_D!$M$19)*1)</f>
        <v>-0.20000000000000018</v>
      </c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73"/>
      <c r="AO90" s="73"/>
      <c r="AP90" s="71">
        <f>1-(SUM(IF(AD90-Uzman_D!$B$20&lt;0,-(AD90-Uzman_D!$B$20),AD90-Uzman_D!$B$20)*0.1+IF(AE90-Uzman_D!$C$20&lt;0,-(AE90-Uzman_D!$C$20),AE90-Uzman_D!$C$20)*0.1+IF(AF90-Uzman_D!$D$20&lt;0,-(AF90-Uzman_D!$D$20),AF90-Uzman_D!$D$20)*0.1+IF(AG90-Uzman_D!$E$20&lt;0,-(AG90-Uzman_D!$E$20),AG90-Uzman_D!$E$20)*0.1+IF(AH90-Uzman_D!$F$20&lt;0,-(AH90-Uzman_D!$F$20),AH90-Uzman_D!$F$20)*0.1+IF(AI90-Uzman_D!$G$20&lt;0,-(AI90-Uzman_D!$G$20),AI90-Uzman_D!$G$20)*0.1+IF(AJ90-Uzman_D!$H$20&lt;0,-(AJ90-Uzman_D!$H$20),AJ90-Uzman_D!$H$20)*0.1+IF(AK90-Uzman_D!$I$20&lt;0,-(AK90-Uzman_D!$I$20),AK90-Uzman_D!$I$20)*0.1+IF(AL90-Uzman_D!$J$20&lt;0,-(AL90-Uzman_D!$J$20),AL90-Uzman_D!$J$20)*0.1)+IF(ROUND((IF(AN90-Uzman_D!$L$20&lt;0,-(AN90-Uzman_D!$L$20),AN90-Uzman_D!$L$20)*2),0)/2=IF(AN90-Uzman_D!$L$20&lt;0,-(AN90-Uzman_D!$L$20),AN90-Uzman_D!$L$20),(ROUND((IF(AN90-Uzman_D!$L$20&lt;0,-(AN90-Uzman_D!$L$20),AN90-Uzman_D!$L$20)*2),0)/1*0.1),0)+IF(AO90-Uzman_D!$M$20&lt;0,-(AO90-Uzman_D!$M$20),AO90-Uzman_D!$M$20)*1)</f>
        <v>-0.40000000000000013</v>
      </c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73"/>
      <c r="BB90" s="73"/>
      <c r="BC90" s="71">
        <f>1-(SUM(IF(AQ90-Uzman_D!$B$21&lt;0,-(AQ90-Uzman_D!$B$21),AQ90-Uzman_D!$B$21)*0.1+IF(AR90-Uzman_D!$C$21&lt;0,-(AR90-Uzman_D!$C$21),AR90-Uzman_D!$C$21)*0.1+IF(AS90-Uzman_D!$D$21&lt;0,-(AS90-Uzman_D!$D$21),AS90-Uzman_D!$D$21)*0.1+IF(AT90-Uzman_D!$E$21&lt;0,-(AT90-Uzman_D!$E$21),AT90-Uzman_D!$E$21)*0.1+IF(AU90-Uzman_D!$F$21&lt;0,-(AU90-Uzman_D!$F$21),AU90-Uzman_D!$F$21)*0.1+IF(AV90-Uzman_D!$G$21&lt;0,-(AV90-Uzman_D!$G$21),AV90-Uzman_D!$G$21)*0.1+IF(AW90-Uzman_D!$H$21&lt;0,-(AW90-Uzman_D!$H$21),AW90-Uzman_D!$H$21)*0.1+IF(AX90-Uzman_D!$I$21&lt;0,-(AX90-Uzman_D!$I$21),AX90-Uzman_D!$I$21)*0.1+IF(AY90-Uzman_D!$J$21&lt;0,-(AY90-Uzman_D!$J$21),AY90-Uzman_D!$J$21)*0.1)+IF(ROUND((IF(BA90-Uzman_D!$L$21&lt;0,-(BA90-Uzman_D!$L$21),BA90-Uzman_D!$L$21)*2),0)/2=IF(BA90-Uzman_D!$L$21&lt;0,-(BA90-Uzman_D!$L$21),BA90-Uzman_D!$L$21),(ROUND((IF(BA90-Uzman_D!$L$21&lt;0,-(BA90-Uzman_D!$L$21),BA90-Uzman_D!$L$21)*2),0)/1*0.1),0)+IF(BB90-Uzman_D!$M$21&lt;0,-(BB90-Uzman_D!$M$21),BB90-Uzman_D!$M$21)*1)</f>
        <v>-0.10000000000000009</v>
      </c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73"/>
      <c r="BO90" s="73"/>
      <c r="BP90" s="71">
        <f>1-(SUM(IF(BD90-Uzman_D!$B$22&lt;0,-(BD90-Uzman_D!$B$22),BD90-Uzman_D!$B$22)*0.1+IF(BE90-Uzman_D!$C$22&lt;0,-(BE90-Uzman_D!$C$22),BE90-Uzman_D!$C$22)*0.1+IF(BF90-Uzman_D!$D$22&lt;0,-(BF90-Uzman_D!$D$22),BF90-Uzman_D!$D$22)*0.1+IF(BG90-Uzman_D!$E$22&lt;0,-(BG90-Uzman_D!$E$22),BG90-Uzman_D!$E$22)*0.1+IF(BH90-Uzman_D!$F$22&lt;0,-(BH90-Uzman_D!$F$22),BH90-Uzman_D!$F$22)*0.1+IF(BI90-Uzman_D!$G$22&lt;0,-(BI90-Uzman_D!$G$22),BI90-Uzman_D!$G$22)*0.1+IF(BJ90-Uzman_D!$H$22&lt;0,-(BJ90-Uzman_D!$H$22),BJ90-Uzman_D!$H$22)*0.1+IF(BK90-Uzman_D!$I$22&lt;0,-(BK90-Uzman_D!$I$22),BK90-Uzman_D!$I$22)*0.1+IF(BL90-Uzman_D!$J$22&lt;0,-(BL90-Uzman_D!$J$22),BL90-Uzman_D!$J$22)*0.1)+IF(ROUND((IF(BN90-Uzman_D!$L$22&lt;0,-(BN90-Uzman_D!$L$22),BN90-Uzman_D!$L$22)*2),0)/2=IF(BN90-Uzman_D!$L$22&lt;0,-(BN90-Uzman_D!$L$22),BN90-Uzman_D!$L$22),(ROUND((IF(BN90-Uzman_D!$L$22&lt;0,-(BN90-Uzman_D!$L$22),BN90-Uzman_D!$L$22)*2),0)/1*0.1),0)+IF(BO90-Uzman_D!$M$22&lt;0,-(BO90-Uzman_D!$M$22),BO90-Uzman_D!$M$22)*1)</f>
        <v>-0.10000000000000009</v>
      </c>
      <c r="BQ90" s="72">
        <f t="shared" si="2"/>
        <v>-0.28000000000000014</v>
      </c>
    </row>
    <row r="91" spans="1:69" ht="15" customHeight="1" x14ac:dyDescent="0.45">
      <c r="A91" s="54">
        <v>88</v>
      </c>
      <c r="B91" s="170">
        <f>Hakemler!B91</f>
        <v>0</v>
      </c>
      <c r="C91" s="170">
        <f>Hakemler!C91</f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73"/>
      <c r="O91" s="73"/>
      <c r="P91" s="71">
        <f>1-(SUM(IF(D91-Uzman_D!$B$18&lt;0,-(D91-Uzman_D!$B$18),D91-Uzman_D!$B$18)*0.1+IF(E91-Uzman_D!$C$18&lt;0,-(E91-Uzman_D!$C$18),E91-Uzman_D!$C$18)*0.1+IF(F91-Uzman_D!$D$18&lt;0,-(F91-Uzman_D!$D$18),F91-Uzman_D!$D$18)*0.1+IF(G91-Uzman_D!$E$18&lt;0,-(G91-Uzman_D!$E$18),G91-Uzman_D!$E$18)*0.1+IF(H91-Uzman_D!$F$18&lt;0,-(H91-Uzman_D!$F$18),H91-Uzman_D!$F$18)*0.1+IF(I91-Uzman_D!$G$18&lt;0,-(I91-Uzman_D!$G$18),I91-Uzman_D!$G$18)*0.1+IF(J91-Uzman_D!$H$18&lt;0,-(J91-Uzman_D!$H$18),J91-Uzman_D!$H$18)*0.1+IF(K91-Uzman_D!$I$18&lt;0,-(K91-Uzman_D!$I$18),K91-Uzman_D!$I$18)*0.1+IF(L91-Uzman_D!$J$18&lt;0,-(L91-Uzman_D!$J$18),L91-Uzman_D!$J$18)*0.1)+IF(ROUND((IF(N91-Uzman_D!$L$18&lt;0,-(N91-Uzman_D!$L$18),N91-Uzman_D!$L$18)*2),0)/2=IF(N91-Uzman_D!$L$18&lt;0,-(N91-Uzman_D!$L$18),N91-Uzman_D!$L$18),(ROUND((IF(N91-Uzman_D!$L$18&lt;0,-(N91-Uzman_D!$L$18),N91-Uzman_D!$L$18)*2),0)/1*0.1),0)+IF(O91-Uzman_D!$M$18&lt;0,-(O91-Uzman_D!$M$18),O91-Uzman_D!$M$18)*1)</f>
        <v>-0.60000000000000009</v>
      </c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73"/>
      <c r="AB91" s="73"/>
      <c r="AC91" s="71">
        <f>1-(SUM(IF(Q91-Uzman_D!$B$19&lt;0,-(Q91-Uzman_D!$B$19),Q91-Uzman_D!$B$19)*0.1+IF(R91-Uzman_D!$C$19&lt;0,-(R91-Uzman_D!$C$19),R91-Uzman_D!$C$19)*0.1+IF(S91-Uzman_D!$D$19&lt;0,-(S91-Uzman_D!$D$19),S91-Uzman_D!$D$19)*0.1+IF(T91-Uzman_D!$E$19&lt;0,-(T91-Uzman_D!$E$19),T91-Uzman_D!$E$19)*0.1+IF(U91-Uzman_D!$F$19&lt;0,-(U91-Uzman_D!$F$19),U91-Uzman_D!$F$19)*0.1+IF(V91-Uzman_D!$G$19&lt;0,-(V91-Uzman_D!$G$19),V91-Uzman_D!$G$19)*0.1+IF(W91-Uzman_D!$H$19&lt;0,-(W91-Uzman_D!$H$19),W91-Uzman_D!$H$19)*0.1+IF(X91-Uzman_D!$I$19&lt;0,-(X91-Uzman_D!$I$19),X91-Uzman_D!$I$19)*0.1+IF(Y91-Uzman_D!$J$19&lt;0,-(Y91-Uzman_D!$J$19),Y91-Uzman_D!$J$19)*0.1)+IF(ROUND((IF(AA91-Uzman_D!$L$19&lt;0,-(AA91-Uzman_D!$L$19),AA91-Uzman_D!$L$19)*2),0)/2=IF(AA91-Uzman_D!$L$19&lt;0,-(AA91-Uzman_D!$L$19),AA91-Uzman_D!$L$19),(ROUND((IF(AA91-Uzman_D!$L$19&lt;0,-(AA91-Uzman_D!$L$19),AA91-Uzman_D!$L$19)*2),0)/1*0.1),0)+IF(AB91-Uzman_D!$M$19&lt;0,-(AB91-Uzman_D!$M$19),AB91-Uzman_D!$M$19)*1)</f>
        <v>-0.20000000000000018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73"/>
      <c r="AO91" s="73"/>
      <c r="AP91" s="71">
        <f>1-(SUM(IF(AD91-Uzman_D!$B$20&lt;0,-(AD91-Uzman_D!$B$20),AD91-Uzman_D!$B$20)*0.1+IF(AE91-Uzman_D!$C$20&lt;0,-(AE91-Uzman_D!$C$20),AE91-Uzman_D!$C$20)*0.1+IF(AF91-Uzman_D!$D$20&lt;0,-(AF91-Uzman_D!$D$20),AF91-Uzman_D!$D$20)*0.1+IF(AG91-Uzman_D!$E$20&lt;0,-(AG91-Uzman_D!$E$20),AG91-Uzman_D!$E$20)*0.1+IF(AH91-Uzman_D!$F$20&lt;0,-(AH91-Uzman_D!$F$20),AH91-Uzman_D!$F$20)*0.1+IF(AI91-Uzman_D!$G$20&lt;0,-(AI91-Uzman_D!$G$20),AI91-Uzman_D!$G$20)*0.1+IF(AJ91-Uzman_D!$H$20&lt;0,-(AJ91-Uzman_D!$H$20),AJ91-Uzman_D!$H$20)*0.1+IF(AK91-Uzman_D!$I$20&lt;0,-(AK91-Uzman_D!$I$20),AK91-Uzman_D!$I$20)*0.1+IF(AL91-Uzman_D!$J$20&lt;0,-(AL91-Uzman_D!$J$20),AL91-Uzman_D!$J$20)*0.1)+IF(ROUND((IF(AN91-Uzman_D!$L$20&lt;0,-(AN91-Uzman_D!$L$20),AN91-Uzman_D!$L$20)*2),0)/2=IF(AN91-Uzman_D!$L$20&lt;0,-(AN91-Uzman_D!$L$20),AN91-Uzman_D!$L$20),(ROUND((IF(AN91-Uzman_D!$L$20&lt;0,-(AN91-Uzman_D!$L$20),AN91-Uzman_D!$L$20)*2),0)/1*0.1),0)+IF(AO91-Uzman_D!$M$20&lt;0,-(AO91-Uzman_D!$M$20),AO91-Uzman_D!$M$20)*1)</f>
        <v>-0.40000000000000013</v>
      </c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73"/>
      <c r="BB91" s="73"/>
      <c r="BC91" s="71">
        <f>1-(SUM(IF(AQ91-Uzman_D!$B$21&lt;0,-(AQ91-Uzman_D!$B$21),AQ91-Uzman_D!$B$21)*0.1+IF(AR91-Uzman_D!$C$21&lt;0,-(AR91-Uzman_D!$C$21),AR91-Uzman_D!$C$21)*0.1+IF(AS91-Uzman_D!$D$21&lt;0,-(AS91-Uzman_D!$D$21),AS91-Uzman_D!$D$21)*0.1+IF(AT91-Uzman_D!$E$21&lt;0,-(AT91-Uzman_D!$E$21),AT91-Uzman_D!$E$21)*0.1+IF(AU91-Uzman_D!$F$21&lt;0,-(AU91-Uzman_D!$F$21),AU91-Uzman_D!$F$21)*0.1+IF(AV91-Uzman_D!$G$21&lt;0,-(AV91-Uzman_D!$G$21),AV91-Uzman_D!$G$21)*0.1+IF(AW91-Uzman_D!$H$21&lt;0,-(AW91-Uzman_D!$H$21),AW91-Uzman_D!$H$21)*0.1+IF(AX91-Uzman_D!$I$21&lt;0,-(AX91-Uzman_D!$I$21),AX91-Uzman_D!$I$21)*0.1+IF(AY91-Uzman_D!$J$21&lt;0,-(AY91-Uzman_D!$J$21),AY91-Uzman_D!$J$21)*0.1)+IF(ROUND((IF(BA91-Uzman_D!$L$21&lt;0,-(BA91-Uzman_D!$L$21),BA91-Uzman_D!$L$21)*2),0)/2=IF(BA91-Uzman_D!$L$21&lt;0,-(BA91-Uzman_D!$L$21),BA91-Uzman_D!$L$21),(ROUND((IF(BA91-Uzman_D!$L$21&lt;0,-(BA91-Uzman_D!$L$21),BA91-Uzman_D!$L$21)*2),0)/1*0.1),0)+IF(BB91-Uzman_D!$M$21&lt;0,-(BB91-Uzman_D!$M$21),BB91-Uzman_D!$M$21)*1)</f>
        <v>-0.10000000000000009</v>
      </c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73"/>
      <c r="BO91" s="73"/>
      <c r="BP91" s="71">
        <f>1-(SUM(IF(BD91-Uzman_D!$B$22&lt;0,-(BD91-Uzman_D!$B$22),BD91-Uzman_D!$B$22)*0.1+IF(BE91-Uzman_D!$C$22&lt;0,-(BE91-Uzman_D!$C$22),BE91-Uzman_D!$C$22)*0.1+IF(BF91-Uzman_D!$D$22&lt;0,-(BF91-Uzman_D!$D$22),BF91-Uzman_D!$D$22)*0.1+IF(BG91-Uzman_D!$E$22&lt;0,-(BG91-Uzman_D!$E$22),BG91-Uzman_D!$E$22)*0.1+IF(BH91-Uzman_D!$F$22&lt;0,-(BH91-Uzman_D!$F$22),BH91-Uzman_D!$F$22)*0.1+IF(BI91-Uzman_D!$G$22&lt;0,-(BI91-Uzman_D!$G$22),BI91-Uzman_D!$G$22)*0.1+IF(BJ91-Uzman_D!$H$22&lt;0,-(BJ91-Uzman_D!$H$22),BJ91-Uzman_D!$H$22)*0.1+IF(BK91-Uzman_D!$I$22&lt;0,-(BK91-Uzman_D!$I$22),BK91-Uzman_D!$I$22)*0.1+IF(BL91-Uzman_D!$J$22&lt;0,-(BL91-Uzman_D!$J$22),BL91-Uzman_D!$J$22)*0.1)+IF(ROUND((IF(BN91-Uzman_D!$L$22&lt;0,-(BN91-Uzman_D!$L$22),BN91-Uzman_D!$L$22)*2),0)/2=IF(BN91-Uzman_D!$L$22&lt;0,-(BN91-Uzman_D!$L$22),BN91-Uzman_D!$L$22),(ROUND((IF(BN91-Uzman_D!$L$22&lt;0,-(BN91-Uzman_D!$L$22),BN91-Uzman_D!$L$22)*2),0)/1*0.1),0)+IF(BO91-Uzman_D!$M$22&lt;0,-(BO91-Uzman_D!$M$22),BO91-Uzman_D!$M$22)*1)</f>
        <v>-0.10000000000000009</v>
      </c>
      <c r="BQ91" s="72">
        <f t="shared" si="2"/>
        <v>-0.28000000000000014</v>
      </c>
    </row>
    <row r="92" spans="1:69" ht="15" customHeight="1" x14ac:dyDescent="0.45">
      <c r="A92" s="54">
        <v>89</v>
      </c>
      <c r="B92" s="170">
        <f>Hakemler!B92</f>
        <v>0</v>
      </c>
      <c r="C92" s="170">
        <f>Hakemler!C92</f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73"/>
      <c r="O92" s="73"/>
      <c r="P92" s="71">
        <f>1-(SUM(IF(D92-Uzman_D!$B$18&lt;0,-(D92-Uzman_D!$B$18),D92-Uzman_D!$B$18)*0.1+IF(E92-Uzman_D!$C$18&lt;0,-(E92-Uzman_D!$C$18),E92-Uzman_D!$C$18)*0.1+IF(F92-Uzman_D!$D$18&lt;0,-(F92-Uzman_D!$D$18),F92-Uzman_D!$D$18)*0.1+IF(G92-Uzman_D!$E$18&lt;0,-(G92-Uzman_D!$E$18),G92-Uzman_D!$E$18)*0.1+IF(H92-Uzman_D!$F$18&lt;0,-(H92-Uzman_D!$F$18),H92-Uzman_D!$F$18)*0.1+IF(I92-Uzman_D!$G$18&lt;0,-(I92-Uzman_D!$G$18),I92-Uzman_D!$G$18)*0.1+IF(J92-Uzman_D!$H$18&lt;0,-(J92-Uzman_D!$H$18),J92-Uzman_D!$H$18)*0.1+IF(K92-Uzman_D!$I$18&lt;0,-(K92-Uzman_D!$I$18),K92-Uzman_D!$I$18)*0.1+IF(L92-Uzman_D!$J$18&lt;0,-(L92-Uzman_D!$J$18),L92-Uzman_D!$J$18)*0.1)+IF(ROUND((IF(N92-Uzman_D!$L$18&lt;0,-(N92-Uzman_D!$L$18),N92-Uzman_D!$L$18)*2),0)/2=IF(N92-Uzman_D!$L$18&lt;0,-(N92-Uzman_D!$L$18),N92-Uzman_D!$L$18),(ROUND((IF(N92-Uzman_D!$L$18&lt;0,-(N92-Uzman_D!$L$18),N92-Uzman_D!$L$18)*2),0)/1*0.1),0)+IF(O92-Uzman_D!$M$18&lt;0,-(O92-Uzman_D!$M$18),O92-Uzman_D!$M$18)*1)</f>
        <v>-0.60000000000000009</v>
      </c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73"/>
      <c r="AB92" s="73"/>
      <c r="AC92" s="71">
        <f>1-(SUM(IF(Q92-Uzman_D!$B$19&lt;0,-(Q92-Uzman_D!$B$19),Q92-Uzman_D!$B$19)*0.1+IF(R92-Uzman_D!$C$19&lt;0,-(R92-Uzman_D!$C$19),R92-Uzman_D!$C$19)*0.1+IF(S92-Uzman_D!$D$19&lt;0,-(S92-Uzman_D!$D$19),S92-Uzman_D!$D$19)*0.1+IF(T92-Uzman_D!$E$19&lt;0,-(T92-Uzman_D!$E$19),T92-Uzman_D!$E$19)*0.1+IF(U92-Uzman_D!$F$19&lt;0,-(U92-Uzman_D!$F$19),U92-Uzman_D!$F$19)*0.1+IF(V92-Uzman_D!$G$19&lt;0,-(V92-Uzman_D!$G$19),V92-Uzman_D!$G$19)*0.1+IF(W92-Uzman_D!$H$19&lt;0,-(W92-Uzman_D!$H$19),W92-Uzman_D!$H$19)*0.1+IF(X92-Uzman_D!$I$19&lt;0,-(X92-Uzman_D!$I$19),X92-Uzman_D!$I$19)*0.1+IF(Y92-Uzman_D!$J$19&lt;0,-(Y92-Uzman_D!$J$19),Y92-Uzman_D!$J$19)*0.1)+IF(ROUND((IF(AA92-Uzman_D!$L$19&lt;0,-(AA92-Uzman_D!$L$19),AA92-Uzman_D!$L$19)*2),0)/2=IF(AA92-Uzman_D!$L$19&lt;0,-(AA92-Uzman_D!$L$19),AA92-Uzman_D!$L$19),(ROUND((IF(AA92-Uzman_D!$L$19&lt;0,-(AA92-Uzman_D!$L$19),AA92-Uzman_D!$L$19)*2),0)/1*0.1),0)+IF(AB92-Uzman_D!$M$19&lt;0,-(AB92-Uzman_D!$M$19),AB92-Uzman_D!$M$19)*1)</f>
        <v>-0.20000000000000018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73"/>
      <c r="AO92" s="73"/>
      <c r="AP92" s="71">
        <f>1-(SUM(IF(AD92-Uzman_D!$B$20&lt;0,-(AD92-Uzman_D!$B$20),AD92-Uzman_D!$B$20)*0.1+IF(AE92-Uzman_D!$C$20&lt;0,-(AE92-Uzman_D!$C$20),AE92-Uzman_D!$C$20)*0.1+IF(AF92-Uzman_D!$D$20&lt;0,-(AF92-Uzman_D!$D$20),AF92-Uzman_D!$D$20)*0.1+IF(AG92-Uzman_D!$E$20&lt;0,-(AG92-Uzman_D!$E$20),AG92-Uzman_D!$E$20)*0.1+IF(AH92-Uzman_D!$F$20&lt;0,-(AH92-Uzman_D!$F$20),AH92-Uzman_D!$F$20)*0.1+IF(AI92-Uzman_D!$G$20&lt;0,-(AI92-Uzman_D!$G$20),AI92-Uzman_D!$G$20)*0.1+IF(AJ92-Uzman_D!$H$20&lt;0,-(AJ92-Uzman_D!$H$20),AJ92-Uzman_D!$H$20)*0.1+IF(AK92-Uzman_D!$I$20&lt;0,-(AK92-Uzman_D!$I$20),AK92-Uzman_D!$I$20)*0.1+IF(AL92-Uzman_D!$J$20&lt;0,-(AL92-Uzman_D!$J$20),AL92-Uzman_D!$J$20)*0.1)+IF(ROUND((IF(AN92-Uzman_D!$L$20&lt;0,-(AN92-Uzman_D!$L$20),AN92-Uzman_D!$L$20)*2),0)/2=IF(AN92-Uzman_D!$L$20&lt;0,-(AN92-Uzman_D!$L$20),AN92-Uzman_D!$L$20),(ROUND((IF(AN92-Uzman_D!$L$20&lt;0,-(AN92-Uzman_D!$L$20),AN92-Uzman_D!$L$20)*2),0)/1*0.1),0)+IF(AO92-Uzman_D!$M$20&lt;0,-(AO92-Uzman_D!$M$20),AO92-Uzman_D!$M$20)*1)</f>
        <v>-0.40000000000000013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73"/>
      <c r="BB92" s="73"/>
      <c r="BC92" s="71">
        <f>1-(SUM(IF(AQ92-Uzman_D!$B$21&lt;0,-(AQ92-Uzman_D!$B$21),AQ92-Uzman_D!$B$21)*0.1+IF(AR92-Uzman_D!$C$21&lt;0,-(AR92-Uzman_D!$C$21),AR92-Uzman_D!$C$21)*0.1+IF(AS92-Uzman_D!$D$21&lt;0,-(AS92-Uzman_D!$D$21),AS92-Uzman_D!$D$21)*0.1+IF(AT92-Uzman_D!$E$21&lt;0,-(AT92-Uzman_D!$E$21),AT92-Uzman_D!$E$21)*0.1+IF(AU92-Uzman_D!$F$21&lt;0,-(AU92-Uzman_D!$F$21),AU92-Uzman_D!$F$21)*0.1+IF(AV92-Uzman_D!$G$21&lt;0,-(AV92-Uzman_D!$G$21),AV92-Uzman_D!$G$21)*0.1+IF(AW92-Uzman_D!$H$21&lt;0,-(AW92-Uzman_D!$H$21),AW92-Uzman_D!$H$21)*0.1+IF(AX92-Uzman_D!$I$21&lt;0,-(AX92-Uzman_D!$I$21),AX92-Uzman_D!$I$21)*0.1+IF(AY92-Uzman_D!$J$21&lt;0,-(AY92-Uzman_D!$J$21),AY92-Uzman_D!$J$21)*0.1)+IF(ROUND((IF(BA92-Uzman_D!$L$21&lt;0,-(BA92-Uzman_D!$L$21),BA92-Uzman_D!$L$21)*2),0)/2=IF(BA92-Uzman_D!$L$21&lt;0,-(BA92-Uzman_D!$L$21),BA92-Uzman_D!$L$21),(ROUND((IF(BA92-Uzman_D!$L$21&lt;0,-(BA92-Uzman_D!$L$21),BA92-Uzman_D!$L$21)*2),0)/1*0.1),0)+IF(BB92-Uzman_D!$M$21&lt;0,-(BB92-Uzman_D!$M$21),BB92-Uzman_D!$M$21)*1)</f>
        <v>-0.10000000000000009</v>
      </c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73"/>
      <c r="BO92" s="73"/>
      <c r="BP92" s="71">
        <f>1-(SUM(IF(BD92-Uzman_D!$B$22&lt;0,-(BD92-Uzman_D!$B$22),BD92-Uzman_D!$B$22)*0.1+IF(BE92-Uzman_D!$C$22&lt;0,-(BE92-Uzman_D!$C$22),BE92-Uzman_D!$C$22)*0.1+IF(BF92-Uzman_D!$D$22&lt;0,-(BF92-Uzman_D!$D$22),BF92-Uzman_D!$D$22)*0.1+IF(BG92-Uzman_D!$E$22&lt;0,-(BG92-Uzman_D!$E$22),BG92-Uzman_D!$E$22)*0.1+IF(BH92-Uzman_D!$F$22&lt;0,-(BH92-Uzman_D!$F$22),BH92-Uzman_D!$F$22)*0.1+IF(BI92-Uzman_D!$G$22&lt;0,-(BI92-Uzman_D!$G$22),BI92-Uzman_D!$G$22)*0.1+IF(BJ92-Uzman_D!$H$22&lt;0,-(BJ92-Uzman_D!$H$22),BJ92-Uzman_D!$H$22)*0.1+IF(BK92-Uzman_D!$I$22&lt;0,-(BK92-Uzman_D!$I$22),BK92-Uzman_D!$I$22)*0.1+IF(BL92-Uzman_D!$J$22&lt;0,-(BL92-Uzman_D!$J$22),BL92-Uzman_D!$J$22)*0.1)+IF(ROUND((IF(BN92-Uzman_D!$L$22&lt;0,-(BN92-Uzman_D!$L$22),BN92-Uzman_D!$L$22)*2),0)/2=IF(BN92-Uzman_D!$L$22&lt;0,-(BN92-Uzman_D!$L$22),BN92-Uzman_D!$L$22),(ROUND((IF(BN92-Uzman_D!$L$22&lt;0,-(BN92-Uzman_D!$L$22),BN92-Uzman_D!$L$22)*2),0)/1*0.1),0)+IF(BO92-Uzman_D!$M$22&lt;0,-(BO92-Uzman_D!$M$22),BO92-Uzman_D!$M$22)*1)</f>
        <v>-0.10000000000000009</v>
      </c>
      <c r="BQ92" s="72">
        <f t="shared" si="2"/>
        <v>-0.28000000000000014</v>
      </c>
    </row>
    <row r="93" spans="1:69" ht="15" customHeight="1" x14ac:dyDescent="0.45">
      <c r="A93" s="54">
        <v>90</v>
      </c>
      <c r="B93" s="170">
        <f>Hakemler!B93</f>
        <v>0</v>
      </c>
      <c r="C93" s="170">
        <f>Hakemler!C93</f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73"/>
      <c r="O93" s="73"/>
      <c r="P93" s="71">
        <f>1-(SUM(IF(D93-Uzman_D!$B$18&lt;0,-(D93-Uzman_D!$B$18),D93-Uzman_D!$B$18)*0.1+IF(E93-Uzman_D!$C$18&lt;0,-(E93-Uzman_D!$C$18),E93-Uzman_D!$C$18)*0.1+IF(F93-Uzman_D!$D$18&lt;0,-(F93-Uzman_D!$D$18),F93-Uzman_D!$D$18)*0.1+IF(G93-Uzman_D!$E$18&lt;0,-(G93-Uzman_D!$E$18),G93-Uzman_D!$E$18)*0.1+IF(H93-Uzman_D!$F$18&lt;0,-(H93-Uzman_D!$F$18),H93-Uzman_D!$F$18)*0.1+IF(I93-Uzman_D!$G$18&lt;0,-(I93-Uzman_D!$G$18),I93-Uzman_D!$G$18)*0.1+IF(J93-Uzman_D!$H$18&lt;0,-(J93-Uzman_D!$H$18),J93-Uzman_D!$H$18)*0.1+IF(K93-Uzman_D!$I$18&lt;0,-(K93-Uzman_D!$I$18),K93-Uzman_D!$I$18)*0.1+IF(L93-Uzman_D!$J$18&lt;0,-(L93-Uzman_D!$J$18),L93-Uzman_D!$J$18)*0.1)+IF(ROUND((IF(N93-Uzman_D!$L$18&lt;0,-(N93-Uzman_D!$L$18),N93-Uzman_D!$L$18)*2),0)/2=IF(N93-Uzman_D!$L$18&lt;0,-(N93-Uzman_D!$L$18),N93-Uzman_D!$L$18),(ROUND((IF(N93-Uzman_D!$L$18&lt;0,-(N93-Uzman_D!$L$18),N93-Uzman_D!$L$18)*2),0)/1*0.1),0)+IF(O93-Uzman_D!$M$18&lt;0,-(O93-Uzman_D!$M$18),O93-Uzman_D!$M$18)*1)</f>
        <v>-0.60000000000000009</v>
      </c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73"/>
      <c r="AB93" s="73"/>
      <c r="AC93" s="71">
        <f>1-(SUM(IF(Q93-Uzman_D!$B$19&lt;0,-(Q93-Uzman_D!$B$19),Q93-Uzman_D!$B$19)*0.1+IF(R93-Uzman_D!$C$19&lt;0,-(R93-Uzman_D!$C$19),R93-Uzman_D!$C$19)*0.1+IF(S93-Uzman_D!$D$19&lt;0,-(S93-Uzman_D!$D$19),S93-Uzman_D!$D$19)*0.1+IF(T93-Uzman_D!$E$19&lt;0,-(T93-Uzman_D!$E$19),T93-Uzman_D!$E$19)*0.1+IF(U93-Uzman_D!$F$19&lt;0,-(U93-Uzman_D!$F$19),U93-Uzman_D!$F$19)*0.1+IF(V93-Uzman_D!$G$19&lt;0,-(V93-Uzman_D!$G$19),V93-Uzman_D!$G$19)*0.1+IF(W93-Uzman_D!$H$19&lt;0,-(W93-Uzman_D!$H$19),W93-Uzman_D!$H$19)*0.1+IF(X93-Uzman_D!$I$19&lt;0,-(X93-Uzman_D!$I$19),X93-Uzman_D!$I$19)*0.1+IF(Y93-Uzman_D!$J$19&lt;0,-(Y93-Uzman_D!$J$19),Y93-Uzman_D!$J$19)*0.1)+IF(ROUND((IF(AA93-Uzman_D!$L$19&lt;0,-(AA93-Uzman_D!$L$19),AA93-Uzman_D!$L$19)*2),0)/2=IF(AA93-Uzman_D!$L$19&lt;0,-(AA93-Uzman_D!$L$19),AA93-Uzman_D!$L$19),(ROUND((IF(AA93-Uzman_D!$L$19&lt;0,-(AA93-Uzman_D!$L$19),AA93-Uzman_D!$L$19)*2),0)/1*0.1),0)+IF(AB93-Uzman_D!$M$19&lt;0,-(AB93-Uzman_D!$M$19),AB93-Uzman_D!$M$19)*1)</f>
        <v>-0.20000000000000018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73"/>
      <c r="AO93" s="73"/>
      <c r="AP93" s="71">
        <f>1-(SUM(IF(AD93-Uzman_D!$B$20&lt;0,-(AD93-Uzman_D!$B$20),AD93-Uzman_D!$B$20)*0.1+IF(AE93-Uzman_D!$C$20&lt;0,-(AE93-Uzman_D!$C$20),AE93-Uzman_D!$C$20)*0.1+IF(AF93-Uzman_D!$D$20&lt;0,-(AF93-Uzman_D!$D$20),AF93-Uzman_D!$D$20)*0.1+IF(AG93-Uzman_D!$E$20&lt;0,-(AG93-Uzman_D!$E$20),AG93-Uzman_D!$E$20)*0.1+IF(AH93-Uzman_D!$F$20&lt;0,-(AH93-Uzman_D!$F$20),AH93-Uzman_D!$F$20)*0.1+IF(AI93-Uzman_D!$G$20&lt;0,-(AI93-Uzman_D!$G$20),AI93-Uzman_D!$G$20)*0.1+IF(AJ93-Uzman_D!$H$20&lt;0,-(AJ93-Uzman_D!$H$20),AJ93-Uzman_D!$H$20)*0.1+IF(AK93-Uzman_D!$I$20&lt;0,-(AK93-Uzman_D!$I$20),AK93-Uzman_D!$I$20)*0.1+IF(AL93-Uzman_D!$J$20&lt;0,-(AL93-Uzman_D!$J$20),AL93-Uzman_D!$J$20)*0.1)+IF(ROUND((IF(AN93-Uzman_D!$L$20&lt;0,-(AN93-Uzman_D!$L$20),AN93-Uzman_D!$L$20)*2),0)/2=IF(AN93-Uzman_D!$L$20&lt;0,-(AN93-Uzman_D!$L$20),AN93-Uzman_D!$L$20),(ROUND((IF(AN93-Uzman_D!$L$20&lt;0,-(AN93-Uzman_D!$L$20),AN93-Uzman_D!$L$20)*2),0)/1*0.1),0)+IF(AO93-Uzman_D!$M$20&lt;0,-(AO93-Uzman_D!$M$20),AO93-Uzman_D!$M$20)*1)</f>
        <v>-0.40000000000000013</v>
      </c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73"/>
      <c r="BB93" s="73"/>
      <c r="BC93" s="71">
        <f>1-(SUM(IF(AQ93-Uzman_D!$B$21&lt;0,-(AQ93-Uzman_D!$B$21),AQ93-Uzman_D!$B$21)*0.1+IF(AR93-Uzman_D!$C$21&lt;0,-(AR93-Uzman_D!$C$21),AR93-Uzman_D!$C$21)*0.1+IF(AS93-Uzman_D!$D$21&lt;0,-(AS93-Uzman_D!$D$21),AS93-Uzman_D!$D$21)*0.1+IF(AT93-Uzman_D!$E$21&lt;0,-(AT93-Uzman_D!$E$21),AT93-Uzman_D!$E$21)*0.1+IF(AU93-Uzman_D!$F$21&lt;0,-(AU93-Uzman_D!$F$21),AU93-Uzman_D!$F$21)*0.1+IF(AV93-Uzman_D!$G$21&lt;0,-(AV93-Uzman_D!$G$21),AV93-Uzman_D!$G$21)*0.1+IF(AW93-Uzman_D!$H$21&lt;0,-(AW93-Uzman_D!$H$21),AW93-Uzman_D!$H$21)*0.1+IF(AX93-Uzman_D!$I$21&lt;0,-(AX93-Uzman_D!$I$21),AX93-Uzman_D!$I$21)*0.1+IF(AY93-Uzman_D!$J$21&lt;0,-(AY93-Uzman_D!$J$21),AY93-Uzman_D!$J$21)*0.1)+IF(ROUND((IF(BA93-Uzman_D!$L$21&lt;0,-(BA93-Uzman_D!$L$21),BA93-Uzman_D!$L$21)*2),0)/2=IF(BA93-Uzman_D!$L$21&lt;0,-(BA93-Uzman_D!$L$21),BA93-Uzman_D!$L$21),(ROUND((IF(BA93-Uzman_D!$L$21&lt;0,-(BA93-Uzman_D!$L$21),BA93-Uzman_D!$L$21)*2),0)/1*0.1),0)+IF(BB93-Uzman_D!$M$21&lt;0,-(BB93-Uzman_D!$M$21),BB93-Uzman_D!$M$21)*1)</f>
        <v>-0.10000000000000009</v>
      </c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73"/>
      <c r="BO93" s="73"/>
      <c r="BP93" s="71">
        <f>1-(SUM(IF(BD93-Uzman_D!$B$22&lt;0,-(BD93-Uzman_D!$B$22),BD93-Uzman_D!$B$22)*0.1+IF(BE93-Uzman_D!$C$22&lt;0,-(BE93-Uzman_D!$C$22),BE93-Uzman_D!$C$22)*0.1+IF(BF93-Uzman_D!$D$22&lt;0,-(BF93-Uzman_D!$D$22),BF93-Uzman_D!$D$22)*0.1+IF(BG93-Uzman_D!$E$22&lt;0,-(BG93-Uzman_D!$E$22),BG93-Uzman_D!$E$22)*0.1+IF(BH93-Uzman_D!$F$22&lt;0,-(BH93-Uzman_D!$F$22),BH93-Uzman_D!$F$22)*0.1+IF(BI93-Uzman_D!$G$22&lt;0,-(BI93-Uzman_D!$G$22),BI93-Uzman_D!$G$22)*0.1+IF(BJ93-Uzman_D!$H$22&lt;0,-(BJ93-Uzman_D!$H$22),BJ93-Uzman_D!$H$22)*0.1+IF(BK93-Uzman_D!$I$22&lt;0,-(BK93-Uzman_D!$I$22),BK93-Uzman_D!$I$22)*0.1+IF(BL93-Uzman_D!$J$22&lt;0,-(BL93-Uzman_D!$J$22),BL93-Uzman_D!$J$22)*0.1)+IF(ROUND((IF(BN93-Uzman_D!$L$22&lt;0,-(BN93-Uzman_D!$L$22),BN93-Uzman_D!$L$22)*2),0)/2=IF(BN93-Uzman_D!$L$22&lt;0,-(BN93-Uzman_D!$L$22),BN93-Uzman_D!$L$22),(ROUND((IF(BN93-Uzman_D!$L$22&lt;0,-(BN93-Uzman_D!$L$22),BN93-Uzman_D!$L$22)*2),0)/1*0.1),0)+IF(BO93-Uzman_D!$M$22&lt;0,-(BO93-Uzman_D!$M$22),BO93-Uzman_D!$M$22)*1)</f>
        <v>-0.10000000000000009</v>
      </c>
      <c r="BQ93" s="72">
        <f t="shared" si="2"/>
        <v>-0.28000000000000014</v>
      </c>
    </row>
    <row r="94" spans="1:69" ht="15" customHeight="1" x14ac:dyDescent="0.45">
      <c r="A94" s="54">
        <v>91</v>
      </c>
      <c r="B94" s="37">
        <f>Hakemler!B94</f>
        <v>0</v>
      </c>
      <c r="C94" s="37">
        <f>Hakemler!C94</f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73"/>
      <c r="O94" s="73"/>
      <c r="P94" s="71">
        <f>1-(SUM(IF(D94-Uzman_D!$B$18&lt;0,-(D94-Uzman_D!$B$18),D94-Uzman_D!$B$18)*0.1+IF(E94-Uzman_D!$C$18&lt;0,-(E94-Uzman_D!$C$18),E94-Uzman_D!$C$18)*0.1+IF(F94-Uzman_D!$D$18&lt;0,-(F94-Uzman_D!$D$18),F94-Uzman_D!$D$18)*0.1+IF(G94-Uzman_D!$E$18&lt;0,-(G94-Uzman_D!$E$18),G94-Uzman_D!$E$18)*0.1+IF(H94-Uzman_D!$F$18&lt;0,-(H94-Uzman_D!$F$18),H94-Uzman_D!$F$18)*0.1+IF(I94-Uzman_D!$G$18&lt;0,-(I94-Uzman_D!$G$18),I94-Uzman_D!$G$18)*0.1+IF(J94-Uzman_D!$H$18&lt;0,-(J94-Uzman_D!$H$18),J94-Uzman_D!$H$18)*0.1+IF(K94-Uzman_D!$I$18&lt;0,-(K94-Uzman_D!$I$18),K94-Uzman_D!$I$18)*0.1+IF(L94-Uzman_D!$J$18&lt;0,-(L94-Uzman_D!$J$18),L94-Uzman_D!$J$18)*0.1)+IF(ROUND((IF(N94-Uzman_D!$L$18&lt;0,-(N94-Uzman_D!$L$18),N94-Uzman_D!$L$18)*2),0)/2=IF(N94-Uzman_D!$L$18&lt;0,-(N94-Uzman_D!$L$18),N94-Uzman_D!$L$18),(ROUND((IF(N94-Uzman_D!$L$18&lt;0,-(N94-Uzman_D!$L$18),N94-Uzman_D!$L$18)*2),0)/1*0.1),0)+IF(O94-Uzman_D!$M$18&lt;0,-(O94-Uzman_D!$M$18),O94-Uzman_D!$M$18)*1)</f>
        <v>-0.60000000000000009</v>
      </c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73"/>
      <c r="AB94" s="73"/>
      <c r="AC94" s="71">
        <f>1-(SUM(IF(Q94-Uzman_D!$B$19&lt;0,-(Q94-Uzman_D!$B$19),Q94-Uzman_D!$B$19)*0.1+IF(R94-Uzman_D!$C$19&lt;0,-(R94-Uzman_D!$C$19),R94-Uzman_D!$C$19)*0.1+IF(S94-Uzman_D!$D$19&lt;0,-(S94-Uzman_D!$D$19),S94-Uzman_D!$D$19)*0.1+IF(T94-Uzman_D!$E$19&lt;0,-(T94-Uzman_D!$E$19),T94-Uzman_D!$E$19)*0.1+IF(U94-Uzman_D!$F$19&lt;0,-(U94-Uzman_D!$F$19),U94-Uzman_D!$F$19)*0.1+IF(V94-Uzman_D!$G$19&lt;0,-(V94-Uzman_D!$G$19),V94-Uzman_D!$G$19)*0.1+IF(W94-Uzman_D!$H$19&lt;0,-(W94-Uzman_D!$H$19),W94-Uzman_D!$H$19)*0.1+IF(X94-Uzman_D!$I$19&lt;0,-(X94-Uzman_D!$I$19),X94-Uzman_D!$I$19)*0.1+IF(Y94-Uzman_D!$J$19&lt;0,-(Y94-Uzman_D!$J$19),Y94-Uzman_D!$J$19)*0.1)+IF(ROUND((IF(AA94-Uzman_D!$L$19&lt;0,-(AA94-Uzman_D!$L$19),AA94-Uzman_D!$L$19)*2),0)/2=IF(AA94-Uzman_D!$L$19&lt;0,-(AA94-Uzman_D!$L$19),AA94-Uzman_D!$L$19),(ROUND((IF(AA94-Uzman_D!$L$19&lt;0,-(AA94-Uzman_D!$L$19),AA94-Uzman_D!$L$19)*2),0)/1*0.1),0)+IF(AB94-Uzman_D!$M$19&lt;0,-(AB94-Uzman_D!$M$19),AB94-Uzman_D!$M$19)*1)</f>
        <v>-0.20000000000000018</v>
      </c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73"/>
      <c r="AO94" s="73"/>
      <c r="AP94" s="71">
        <f>1-(SUM(IF(AD94-Uzman_D!$B$20&lt;0,-(AD94-Uzman_D!$B$20),AD94-Uzman_D!$B$20)*0.1+IF(AE94-Uzman_D!$C$20&lt;0,-(AE94-Uzman_D!$C$20),AE94-Uzman_D!$C$20)*0.1+IF(AF94-Uzman_D!$D$20&lt;0,-(AF94-Uzman_D!$D$20),AF94-Uzman_D!$D$20)*0.1+IF(AG94-Uzman_D!$E$20&lt;0,-(AG94-Uzman_D!$E$20),AG94-Uzman_D!$E$20)*0.1+IF(AH94-Uzman_D!$F$20&lt;0,-(AH94-Uzman_D!$F$20),AH94-Uzman_D!$F$20)*0.1+IF(AI94-Uzman_D!$G$20&lt;0,-(AI94-Uzman_D!$G$20),AI94-Uzman_D!$G$20)*0.1+IF(AJ94-Uzman_D!$H$20&lt;0,-(AJ94-Uzman_D!$H$20),AJ94-Uzman_D!$H$20)*0.1+IF(AK94-Uzman_D!$I$20&lt;0,-(AK94-Uzman_D!$I$20),AK94-Uzman_D!$I$20)*0.1+IF(AL94-Uzman_D!$J$20&lt;0,-(AL94-Uzman_D!$J$20),AL94-Uzman_D!$J$20)*0.1)+IF(ROUND((IF(AN94-Uzman_D!$L$20&lt;0,-(AN94-Uzman_D!$L$20),AN94-Uzman_D!$L$20)*2),0)/2=IF(AN94-Uzman_D!$L$20&lt;0,-(AN94-Uzman_D!$L$20),AN94-Uzman_D!$L$20),(ROUND((IF(AN94-Uzman_D!$L$20&lt;0,-(AN94-Uzman_D!$L$20),AN94-Uzman_D!$L$20)*2),0)/1*0.1),0)+IF(AO94-Uzman_D!$M$20&lt;0,-(AO94-Uzman_D!$M$20),AO94-Uzman_D!$M$20)*1)</f>
        <v>-0.40000000000000013</v>
      </c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73"/>
      <c r="BB94" s="73"/>
      <c r="BC94" s="71">
        <f>1-(SUM(IF(AQ94-Uzman_D!$B$21&lt;0,-(AQ94-Uzman_D!$B$21),AQ94-Uzman_D!$B$21)*0.1+IF(AR94-Uzman_D!$C$21&lt;0,-(AR94-Uzman_D!$C$21),AR94-Uzman_D!$C$21)*0.1+IF(AS94-Uzman_D!$D$21&lt;0,-(AS94-Uzman_D!$D$21),AS94-Uzman_D!$D$21)*0.1+IF(AT94-Uzman_D!$E$21&lt;0,-(AT94-Uzman_D!$E$21),AT94-Uzman_D!$E$21)*0.1+IF(AU94-Uzman_D!$F$21&lt;0,-(AU94-Uzman_D!$F$21),AU94-Uzman_D!$F$21)*0.1+IF(AV94-Uzman_D!$G$21&lt;0,-(AV94-Uzman_D!$G$21),AV94-Uzman_D!$G$21)*0.1+IF(AW94-Uzman_D!$H$21&lt;0,-(AW94-Uzman_D!$H$21),AW94-Uzman_D!$H$21)*0.1+IF(AX94-Uzman_D!$I$21&lt;0,-(AX94-Uzman_D!$I$21),AX94-Uzman_D!$I$21)*0.1+IF(AY94-Uzman_D!$J$21&lt;0,-(AY94-Uzman_D!$J$21),AY94-Uzman_D!$J$21)*0.1)+IF(ROUND((IF(BA94-Uzman_D!$L$21&lt;0,-(BA94-Uzman_D!$L$21),BA94-Uzman_D!$L$21)*2),0)/2=IF(BA94-Uzman_D!$L$21&lt;0,-(BA94-Uzman_D!$L$21),BA94-Uzman_D!$L$21),(ROUND((IF(BA94-Uzman_D!$L$21&lt;0,-(BA94-Uzman_D!$L$21),BA94-Uzman_D!$L$21)*2),0)/1*0.1),0)+IF(BB94-Uzman_D!$M$21&lt;0,-(BB94-Uzman_D!$M$21),BB94-Uzman_D!$M$21)*1)</f>
        <v>-0.10000000000000009</v>
      </c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73"/>
      <c r="BO94" s="73"/>
      <c r="BP94" s="71">
        <f>1-(SUM(IF(BD94-Uzman_D!$B$22&lt;0,-(BD94-Uzman_D!$B$22),BD94-Uzman_D!$B$22)*0.1+IF(BE94-Uzman_D!$C$22&lt;0,-(BE94-Uzman_D!$C$22),BE94-Uzman_D!$C$22)*0.1+IF(BF94-Uzman_D!$D$22&lt;0,-(BF94-Uzman_D!$D$22),BF94-Uzman_D!$D$22)*0.1+IF(BG94-Uzman_D!$E$22&lt;0,-(BG94-Uzman_D!$E$22),BG94-Uzman_D!$E$22)*0.1+IF(BH94-Uzman_D!$F$22&lt;0,-(BH94-Uzman_D!$F$22),BH94-Uzman_D!$F$22)*0.1+IF(BI94-Uzman_D!$G$22&lt;0,-(BI94-Uzman_D!$G$22),BI94-Uzman_D!$G$22)*0.1+IF(BJ94-Uzman_D!$H$22&lt;0,-(BJ94-Uzman_D!$H$22),BJ94-Uzman_D!$H$22)*0.1+IF(BK94-Uzman_D!$I$22&lt;0,-(BK94-Uzman_D!$I$22),BK94-Uzman_D!$I$22)*0.1+IF(BL94-Uzman_D!$J$22&lt;0,-(BL94-Uzman_D!$J$22),BL94-Uzman_D!$J$22)*0.1)+IF(ROUND((IF(BN94-Uzman_D!$L$22&lt;0,-(BN94-Uzman_D!$L$22),BN94-Uzman_D!$L$22)*2),0)/2=IF(BN94-Uzman_D!$L$22&lt;0,-(BN94-Uzman_D!$L$22),BN94-Uzman_D!$L$22),(ROUND((IF(BN94-Uzman_D!$L$22&lt;0,-(BN94-Uzman_D!$L$22),BN94-Uzman_D!$L$22)*2),0)/1*0.1),0)+IF(BO94-Uzman_D!$M$22&lt;0,-(BO94-Uzman_D!$M$22),BO94-Uzman_D!$M$22)*1)</f>
        <v>-0.10000000000000009</v>
      </c>
      <c r="BQ94" s="72">
        <f t="shared" si="2"/>
        <v>-0.28000000000000014</v>
      </c>
    </row>
    <row r="95" spans="1:69" ht="15" customHeight="1" x14ac:dyDescent="0.45">
      <c r="A95" s="54">
        <v>92</v>
      </c>
      <c r="B95" s="37">
        <f>Hakemler!B95</f>
        <v>0</v>
      </c>
      <c r="C95" s="37">
        <f>Hakemler!C95</f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73"/>
      <c r="O95" s="73"/>
      <c r="P95" s="71">
        <f>1-(SUM(IF(D95-Uzman_D!$B$18&lt;0,-(D95-Uzman_D!$B$18),D95-Uzman_D!$B$18)*0.1+IF(E95-Uzman_D!$C$18&lt;0,-(E95-Uzman_D!$C$18),E95-Uzman_D!$C$18)*0.1+IF(F95-Uzman_D!$D$18&lt;0,-(F95-Uzman_D!$D$18),F95-Uzman_D!$D$18)*0.1+IF(G95-Uzman_D!$E$18&lt;0,-(G95-Uzman_D!$E$18),G95-Uzman_D!$E$18)*0.1+IF(H95-Uzman_D!$F$18&lt;0,-(H95-Uzman_D!$F$18),H95-Uzman_D!$F$18)*0.1+IF(I95-Uzman_D!$G$18&lt;0,-(I95-Uzman_D!$G$18),I95-Uzman_D!$G$18)*0.1+IF(J95-Uzman_D!$H$18&lt;0,-(J95-Uzman_D!$H$18),J95-Uzman_D!$H$18)*0.1+IF(K95-Uzman_D!$I$18&lt;0,-(K95-Uzman_D!$I$18),K95-Uzman_D!$I$18)*0.1+IF(L95-Uzman_D!$J$18&lt;0,-(L95-Uzman_D!$J$18),L95-Uzman_D!$J$18)*0.1)+IF(ROUND((IF(N95-Uzman_D!$L$18&lt;0,-(N95-Uzman_D!$L$18),N95-Uzman_D!$L$18)*2),0)/2=IF(N95-Uzman_D!$L$18&lt;0,-(N95-Uzman_D!$L$18),N95-Uzman_D!$L$18),(ROUND((IF(N95-Uzman_D!$L$18&lt;0,-(N95-Uzman_D!$L$18),N95-Uzman_D!$L$18)*2),0)/1*0.1),0)+IF(O95-Uzman_D!$M$18&lt;0,-(O95-Uzman_D!$M$18),O95-Uzman_D!$M$18)*1)</f>
        <v>-0.60000000000000009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73"/>
      <c r="AB95" s="73"/>
      <c r="AC95" s="71">
        <f>1-(SUM(IF(Q95-Uzman_D!$B$19&lt;0,-(Q95-Uzman_D!$B$19),Q95-Uzman_D!$B$19)*0.1+IF(R95-Uzman_D!$C$19&lt;0,-(R95-Uzman_D!$C$19),R95-Uzman_D!$C$19)*0.1+IF(S95-Uzman_D!$D$19&lt;0,-(S95-Uzman_D!$D$19),S95-Uzman_D!$D$19)*0.1+IF(T95-Uzman_D!$E$19&lt;0,-(T95-Uzman_D!$E$19),T95-Uzman_D!$E$19)*0.1+IF(U95-Uzman_D!$F$19&lt;0,-(U95-Uzman_D!$F$19),U95-Uzman_D!$F$19)*0.1+IF(V95-Uzman_D!$G$19&lt;0,-(V95-Uzman_D!$G$19),V95-Uzman_D!$G$19)*0.1+IF(W95-Uzman_D!$H$19&lt;0,-(W95-Uzman_D!$H$19),W95-Uzman_D!$H$19)*0.1+IF(X95-Uzman_D!$I$19&lt;0,-(X95-Uzman_D!$I$19),X95-Uzman_D!$I$19)*0.1+IF(Y95-Uzman_D!$J$19&lt;0,-(Y95-Uzman_D!$J$19),Y95-Uzman_D!$J$19)*0.1)+IF(ROUND((IF(AA95-Uzman_D!$L$19&lt;0,-(AA95-Uzman_D!$L$19),AA95-Uzman_D!$L$19)*2),0)/2=IF(AA95-Uzman_D!$L$19&lt;0,-(AA95-Uzman_D!$L$19),AA95-Uzman_D!$L$19),(ROUND((IF(AA95-Uzman_D!$L$19&lt;0,-(AA95-Uzman_D!$L$19),AA95-Uzman_D!$L$19)*2),0)/1*0.1),0)+IF(AB95-Uzman_D!$M$19&lt;0,-(AB95-Uzman_D!$M$19),AB95-Uzman_D!$M$19)*1)</f>
        <v>-0.20000000000000018</v>
      </c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73"/>
      <c r="AO95" s="73"/>
      <c r="AP95" s="71">
        <f>1-(SUM(IF(AD95-Uzman_D!$B$20&lt;0,-(AD95-Uzman_D!$B$20),AD95-Uzman_D!$B$20)*0.1+IF(AE95-Uzman_D!$C$20&lt;0,-(AE95-Uzman_D!$C$20),AE95-Uzman_D!$C$20)*0.1+IF(AF95-Uzman_D!$D$20&lt;0,-(AF95-Uzman_D!$D$20),AF95-Uzman_D!$D$20)*0.1+IF(AG95-Uzman_D!$E$20&lt;0,-(AG95-Uzman_D!$E$20),AG95-Uzman_D!$E$20)*0.1+IF(AH95-Uzman_D!$F$20&lt;0,-(AH95-Uzman_D!$F$20),AH95-Uzman_D!$F$20)*0.1+IF(AI95-Uzman_D!$G$20&lt;0,-(AI95-Uzman_D!$G$20),AI95-Uzman_D!$G$20)*0.1+IF(AJ95-Uzman_D!$H$20&lt;0,-(AJ95-Uzman_D!$H$20),AJ95-Uzman_D!$H$20)*0.1+IF(AK95-Uzman_D!$I$20&lt;0,-(AK95-Uzman_D!$I$20),AK95-Uzman_D!$I$20)*0.1+IF(AL95-Uzman_D!$J$20&lt;0,-(AL95-Uzman_D!$J$20),AL95-Uzman_D!$J$20)*0.1)+IF(ROUND((IF(AN95-Uzman_D!$L$20&lt;0,-(AN95-Uzman_D!$L$20),AN95-Uzman_D!$L$20)*2),0)/2=IF(AN95-Uzman_D!$L$20&lt;0,-(AN95-Uzman_D!$L$20),AN95-Uzman_D!$L$20),(ROUND((IF(AN95-Uzman_D!$L$20&lt;0,-(AN95-Uzman_D!$L$20),AN95-Uzman_D!$L$20)*2),0)/1*0.1),0)+IF(AO95-Uzman_D!$M$20&lt;0,-(AO95-Uzman_D!$M$20),AO95-Uzman_D!$M$20)*1)</f>
        <v>-0.40000000000000013</v>
      </c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73"/>
      <c r="BB95" s="73"/>
      <c r="BC95" s="71">
        <f>1-(SUM(IF(AQ95-Uzman_D!$B$21&lt;0,-(AQ95-Uzman_D!$B$21),AQ95-Uzman_D!$B$21)*0.1+IF(AR95-Uzman_D!$C$21&lt;0,-(AR95-Uzman_D!$C$21),AR95-Uzman_D!$C$21)*0.1+IF(AS95-Uzman_D!$D$21&lt;0,-(AS95-Uzman_D!$D$21),AS95-Uzman_D!$D$21)*0.1+IF(AT95-Uzman_D!$E$21&lt;0,-(AT95-Uzman_D!$E$21),AT95-Uzman_D!$E$21)*0.1+IF(AU95-Uzman_D!$F$21&lt;0,-(AU95-Uzman_D!$F$21),AU95-Uzman_D!$F$21)*0.1+IF(AV95-Uzman_D!$G$21&lt;0,-(AV95-Uzman_D!$G$21),AV95-Uzman_D!$G$21)*0.1+IF(AW95-Uzman_D!$H$21&lt;0,-(AW95-Uzman_D!$H$21),AW95-Uzman_D!$H$21)*0.1+IF(AX95-Uzman_D!$I$21&lt;0,-(AX95-Uzman_D!$I$21),AX95-Uzman_D!$I$21)*0.1+IF(AY95-Uzman_D!$J$21&lt;0,-(AY95-Uzman_D!$J$21),AY95-Uzman_D!$J$21)*0.1)+IF(ROUND((IF(BA95-Uzman_D!$L$21&lt;0,-(BA95-Uzman_D!$L$21),BA95-Uzman_D!$L$21)*2),0)/2=IF(BA95-Uzman_D!$L$21&lt;0,-(BA95-Uzman_D!$L$21),BA95-Uzman_D!$L$21),(ROUND((IF(BA95-Uzman_D!$L$21&lt;0,-(BA95-Uzman_D!$L$21),BA95-Uzman_D!$L$21)*2),0)/1*0.1),0)+IF(BB95-Uzman_D!$M$21&lt;0,-(BB95-Uzman_D!$M$21),BB95-Uzman_D!$M$21)*1)</f>
        <v>-0.10000000000000009</v>
      </c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73"/>
      <c r="BO95" s="73"/>
      <c r="BP95" s="71">
        <f>1-(SUM(IF(BD95-Uzman_D!$B$22&lt;0,-(BD95-Uzman_D!$B$22),BD95-Uzman_D!$B$22)*0.1+IF(BE95-Uzman_D!$C$22&lt;0,-(BE95-Uzman_D!$C$22),BE95-Uzman_D!$C$22)*0.1+IF(BF95-Uzman_D!$D$22&lt;0,-(BF95-Uzman_D!$D$22),BF95-Uzman_D!$D$22)*0.1+IF(BG95-Uzman_D!$E$22&lt;0,-(BG95-Uzman_D!$E$22),BG95-Uzman_D!$E$22)*0.1+IF(BH95-Uzman_D!$F$22&lt;0,-(BH95-Uzman_D!$F$22),BH95-Uzman_D!$F$22)*0.1+IF(BI95-Uzman_D!$G$22&lt;0,-(BI95-Uzman_D!$G$22),BI95-Uzman_D!$G$22)*0.1+IF(BJ95-Uzman_D!$H$22&lt;0,-(BJ95-Uzman_D!$H$22),BJ95-Uzman_D!$H$22)*0.1+IF(BK95-Uzman_D!$I$22&lt;0,-(BK95-Uzman_D!$I$22),BK95-Uzman_D!$I$22)*0.1+IF(BL95-Uzman_D!$J$22&lt;0,-(BL95-Uzman_D!$J$22),BL95-Uzman_D!$J$22)*0.1)+IF(ROUND((IF(BN95-Uzman_D!$L$22&lt;0,-(BN95-Uzman_D!$L$22),BN95-Uzman_D!$L$22)*2),0)/2=IF(BN95-Uzman_D!$L$22&lt;0,-(BN95-Uzman_D!$L$22),BN95-Uzman_D!$L$22),(ROUND((IF(BN95-Uzman_D!$L$22&lt;0,-(BN95-Uzman_D!$L$22),BN95-Uzman_D!$L$22)*2),0)/1*0.1),0)+IF(BO95-Uzman_D!$M$22&lt;0,-(BO95-Uzman_D!$M$22),BO95-Uzman_D!$M$22)*1)</f>
        <v>-0.10000000000000009</v>
      </c>
      <c r="BQ95" s="72">
        <f t="shared" si="2"/>
        <v>-0.28000000000000014</v>
      </c>
    </row>
    <row r="96" spans="1:69" ht="15" customHeight="1" x14ac:dyDescent="0.45">
      <c r="A96" s="54">
        <v>93</v>
      </c>
      <c r="B96" s="37">
        <f>Hakemler!B96</f>
        <v>0</v>
      </c>
      <c r="C96" s="37">
        <f>Hakemler!C96</f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73"/>
      <c r="O96" s="73"/>
      <c r="P96" s="71">
        <f>1-(SUM(IF(D96-Uzman_D!$B$18&lt;0,-(D96-Uzman_D!$B$18),D96-Uzman_D!$B$18)*0.1+IF(E96-Uzman_D!$C$18&lt;0,-(E96-Uzman_D!$C$18),E96-Uzman_D!$C$18)*0.1+IF(F96-Uzman_D!$D$18&lt;0,-(F96-Uzman_D!$D$18),F96-Uzman_D!$D$18)*0.1+IF(G96-Uzman_D!$E$18&lt;0,-(G96-Uzman_D!$E$18),G96-Uzman_D!$E$18)*0.1+IF(H96-Uzman_D!$F$18&lt;0,-(H96-Uzman_D!$F$18),H96-Uzman_D!$F$18)*0.1+IF(I96-Uzman_D!$G$18&lt;0,-(I96-Uzman_D!$G$18),I96-Uzman_D!$G$18)*0.1+IF(J96-Uzman_D!$H$18&lt;0,-(J96-Uzman_D!$H$18),J96-Uzman_D!$H$18)*0.1+IF(K96-Uzman_D!$I$18&lt;0,-(K96-Uzman_D!$I$18),K96-Uzman_D!$I$18)*0.1+IF(L96-Uzman_D!$J$18&lt;0,-(L96-Uzman_D!$J$18),L96-Uzman_D!$J$18)*0.1)+IF(ROUND((IF(N96-Uzman_D!$L$18&lt;0,-(N96-Uzman_D!$L$18),N96-Uzman_D!$L$18)*2),0)/2=IF(N96-Uzman_D!$L$18&lt;0,-(N96-Uzman_D!$L$18),N96-Uzman_D!$L$18),(ROUND((IF(N96-Uzman_D!$L$18&lt;0,-(N96-Uzman_D!$L$18),N96-Uzman_D!$L$18)*2),0)/1*0.1),0)+IF(O96-Uzman_D!$M$18&lt;0,-(O96-Uzman_D!$M$18),O96-Uzman_D!$M$18)*1)</f>
        <v>-0.60000000000000009</v>
      </c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73"/>
      <c r="AB96" s="73"/>
      <c r="AC96" s="71">
        <f>1-(SUM(IF(Q96-Uzman_D!$B$19&lt;0,-(Q96-Uzman_D!$B$19),Q96-Uzman_D!$B$19)*0.1+IF(R96-Uzman_D!$C$19&lt;0,-(R96-Uzman_D!$C$19),R96-Uzman_D!$C$19)*0.1+IF(S96-Uzman_D!$D$19&lt;0,-(S96-Uzman_D!$D$19),S96-Uzman_D!$D$19)*0.1+IF(T96-Uzman_D!$E$19&lt;0,-(T96-Uzman_D!$E$19),T96-Uzman_D!$E$19)*0.1+IF(U96-Uzman_D!$F$19&lt;0,-(U96-Uzman_D!$F$19),U96-Uzman_D!$F$19)*0.1+IF(V96-Uzman_D!$G$19&lt;0,-(V96-Uzman_D!$G$19),V96-Uzman_D!$G$19)*0.1+IF(W96-Uzman_D!$H$19&lt;0,-(W96-Uzman_D!$H$19),W96-Uzman_D!$H$19)*0.1+IF(X96-Uzman_D!$I$19&lt;0,-(X96-Uzman_D!$I$19),X96-Uzman_D!$I$19)*0.1+IF(Y96-Uzman_D!$J$19&lt;0,-(Y96-Uzman_D!$J$19),Y96-Uzman_D!$J$19)*0.1)+IF(ROUND((IF(AA96-Uzman_D!$L$19&lt;0,-(AA96-Uzman_D!$L$19),AA96-Uzman_D!$L$19)*2),0)/2=IF(AA96-Uzman_D!$L$19&lt;0,-(AA96-Uzman_D!$L$19),AA96-Uzman_D!$L$19),(ROUND((IF(AA96-Uzman_D!$L$19&lt;0,-(AA96-Uzman_D!$L$19),AA96-Uzman_D!$L$19)*2),0)/1*0.1),0)+IF(AB96-Uzman_D!$M$19&lt;0,-(AB96-Uzman_D!$M$19),AB96-Uzman_D!$M$19)*1)</f>
        <v>-0.20000000000000018</v>
      </c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73"/>
      <c r="AO96" s="73"/>
      <c r="AP96" s="71">
        <f>1-(SUM(IF(AD96-Uzman_D!$B$20&lt;0,-(AD96-Uzman_D!$B$20),AD96-Uzman_D!$B$20)*0.1+IF(AE96-Uzman_D!$C$20&lt;0,-(AE96-Uzman_D!$C$20),AE96-Uzman_D!$C$20)*0.1+IF(AF96-Uzman_D!$D$20&lt;0,-(AF96-Uzman_D!$D$20),AF96-Uzman_D!$D$20)*0.1+IF(AG96-Uzman_D!$E$20&lt;0,-(AG96-Uzman_D!$E$20),AG96-Uzman_D!$E$20)*0.1+IF(AH96-Uzman_D!$F$20&lt;0,-(AH96-Uzman_D!$F$20),AH96-Uzman_D!$F$20)*0.1+IF(AI96-Uzman_D!$G$20&lt;0,-(AI96-Uzman_D!$G$20),AI96-Uzman_D!$G$20)*0.1+IF(AJ96-Uzman_D!$H$20&lt;0,-(AJ96-Uzman_D!$H$20),AJ96-Uzman_D!$H$20)*0.1+IF(AK96-Uzman_D!$I$20&lt;0,-(AK96-Uzman_D!$I$20),AK96-Uzman_D!$I$20)*0.1+IF(AL96-Uzman_D!$J$20&lt;0,-(AL96-Uzman_D!$J$20),AL96-Uzman_D!$J$20)*0.1)+IF(ROUND((IF(AN96-Uzman_D!$L$20&lt;0,-(AN96-Uzman_D!$L$20),AN96-Uzman_D!$L$20)*2),0)/2=IF(AN96-Uzman_D!$L$20&lt;0,-(AN96-Uzman_D!$L$20),AN96-Uzman_D!$L$20),(ROUND((IF(AN96-Uzman_D!$L$20&lt;0,-(AN96-Uzman_D!$L$20),AN96-Uzman_D!$L$20)*2),0)/1*0.1),0)+IF(AO96-Uzman_D!$M$20&lt;0,-(AO96-Uzman_D!$M$20),AO96-Uzman_D!$M$20)*1)</f>
        <v>-0.40000000000000013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73"/>
      <c r="BB96" s="73"/>
      <c r="BC96" s="71">
        <f>1-(SUM(IF(AQ96-Uzman_D!$B$21&lt;0,-(AQ96-Uzman_D!$B$21),AQ96-Uzman_D!$B$21)*0.1+IF(AR96-Uzman_D!$C$21&lt;0,-(AR96-Uzman_D!$C$21),AR96-Uzman_D!$C$21)*0.1+IF(AS96-Uzman_D!$D$21&lt;0,-(AS96-Uzman_D!$D$21),AS96-Uzman_D!$D$21)*0.1+IF(AT96-Uzman_D!$E$21&lt;0,-(AT96-Uzman_D!$E$21),AT96-Uzman_D!$E$21)*0.1+IF(AU96-Uzman_D!$F$21&lt;0,-(AU96-Uzman_D!$F$21),AU96-Uzman_D!$F$21)*0.1+IF(AV96-Uzman_D!$G$21&lt;0,-(AV96-Uzman_D!$G$21),AV96-Uzman_D!$G$21)*0.1+IF(AW96-Uzman_D!$H$21&lt;0,-(AW96-Uzman_D!$H$21),AW96-Uzman_D!$H$21)*0.1+IF(AX96-Uzman_D!$I$21&lt;0,-(AX96-Uzman_D!$I$21),AX96-Uzman_D!$I$21)*0.1+IF(AY96-Uzman_D!$J$21&lt;0,-(AY96-Uzman_D!$J$21),AY96-Uzman_D!$J$21)*0.1)+IF(ROUND((IF(BA96-Uzman_D!$L$21&lt;0,-(BA96-Uzman_D!$L$21),BA96-Uzman_D!$L$21)*2),0)/2=IF(BA96-Uzman_D!$L$21&lt;0,-(BA96-Uzman_D!$L$21),BA96-Uzman_D!$L$21),(ROUND((IF(BA96-Uzman_D!$L$21&lt;0,-(BA96-Uzman_D!$L$21),BA96-Uzman_D!$L$21)*2),0)/1*0.1),0)+IF(BB96-Uzman_D!$M$21&lt;0,-(BB96-Uzman_D!$M$21),BB96-Uzman_D!$M$21)*1)</f>
        <v>-0.10000000000000009</v>
      </c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73"/>
      <c r="BO96" s="73"/>
      <c r="BP96" s="71">
        <f>1-(SUM(IF(BD96-Uzman_D!$B$22&lt;0,-(BD96-Uzman_D!$B$22),BD96-Uzman_D!$B$22)*0.1+IF(BE96-Uzman_D!$C$22&lt;0,-(BE96-Uzman_D!$C$22),BE96-Uzman_D!$C$22)*0.1+IF(BF96-Uzman_D!$D$22&lt;0,-(BF96-Uzman_D!$D$22),BF96-Uzman_D!$D$22)*0.1+IF(BG96-Uzman_D!$E$22&lt;0,-(BG96-Uzman_D!$E$22),BG96-Uzman_D!$E$22)*0.1+IF(BH96-Uzman_D!$F$22&lt;0,-(BH96-Uzman_D!$F$22),BH96-Uzman_D!$F$22)*0.1+IF(BI96-Uzman_D!$G$22&lt;0,-(BI96-Uzman_D!$G$22),BI96-Uzman_D!$G$22)*0.1+IF(BJ96-Uzman_D!$H$22&lt;0,-(BJ96-Uzman_D!$H$22),BJ96-Uzman_D!$H$22)*0.1+IF(BK96-Uzman_D!$I$22&lt;0,-(BK96-Uzman_D!$I$22),BK96-Uzman_D!$I$22)*0.1+IF(BL96-Uzman_D!$J$22&lt;0,-(BL96-Uzman_D!$J$22),BL96-Uzman_D!$J$22)*0.1)+IF(ROUND((IF(BN96-Uzman_D!$L$22&lt;0,-(BN96-Uzman_D!$L$22),BN96-Uzman_D!$L$22)*2),0)/2=IF(BN96-Uzman_D!$L$22&lt;0,-(BN96-Uzman_D!$L$22),BN96-Uzman_D!$L$22),(ROUND((IF(BN96-Uzman_D!$L$22&lt;0,-(BN96-Uzman_D!$L$22),BN96-Uzman_D!$L$22)*2),0)/1*0.1),0)+IF(BO96-Uzman_D!$M$22&lt;0,-(BO96-Uzman_D!$M$22),BO96-Uzman_D!$M$22)*1)</f>
        <v>-0.10000000000000009</v>
      </c>
      <c r="BQ96" s="72">
        <f t="shared" si="2"/>
        <v>-0.28000000000000014</v>
      </c>
    </row>
    <row r="97" spans="1:69" ht="15" customHeight="1" x14ac:dyDescent="0.45">
      <c r="A97" s="54">
        <v>94</v>
      </c>
      <c r="B97" s="37">
        <f>Hakemler!B97</f>
        <v>0</v>
      </c>
      <c r="C97" s="37">
        <f>Hakemler!C97</f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73"/>
      <c r="O97" s="73"/>
      <c r="P97" s="71">
        <f>1-(SUM(IF(D97-Uzman_D!$B$18&lt;0,-(D97-Uzman_D!$B$18),D97-Uzman_D!$B$18)*0.1+IF(E97-Uzman_D!$C$18&lt;0,-(E97-Uzman_D!$C$18),E97-Uzman_D!$C$18)*0.1+IF(F97-Uzman_D!$D$18&lt;0,-(F97-Uzman_D!$D$18),F97-Uzman_D!$D$18)*0.1+IF(G97-Uzman_D!$E$18&lt;0,-(G97-Uzman_D!$E$18),G97-Uzman_D!$E$18)*0.1+IF(H97-Uzman_D!$F$18&lt;0,-(H97-Uzman_D!$F$18),H97-Uzman_D!$F$18)*0.1+IF(I97-Uzman_D!$G$18&lt;0,-(I97-Uzman_D!$G$18),I97-Uzman_D!$G$18)*0.1+IF(J97-Uzman_D!$H$18&lt;0,-(J97-Uzman_D!$H$18),J97-Uzman_D!$H$18)*0.1+IF(K97-Uzman_D!$I$18&lt;0,-(K97-Uzman_D!$I$18),K97-Uzman_D!$I$18)*0.1+IF(L97-Uzman_D!$J$18&lt;0,-(L97-Uzman_D!$J$18),L97-Uzman_D!$J$18)*0.1)+IF(ROUND((IF(N97-Uzman_D!$L$18&lt;0,-(N97-Uzman_D!$L$18),N97-Uzman_D!$L$18)*2),0)/2=IF(N97-Uzman_D!$L$18&lt;0,-(N97-Uzman_D!$L$18),N97-Uzman_D!$L$18),(ROUND((IF(N97-Uzman_D!$L$18&lt;0,-(N97-Uzman_D!$L$18),N97-Uzman_D!$L$18)*2),0)/1*0.1),0)+IF(O97-Uzman_D!$M$18&lt;0,-(O97-Uzman_D!$M$18),O97-Uzman_D!$M$18)*1)</f>
        <v>-0.60000000000000009</v>
      </c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73"/>
      <c r="AB97" s="73"/>
      <c r="AC97" s="71">
        <f>1-(SUM(IF(Q97-Uzman_D!$B$19&lt;0,-(Q97-Uzman_D!$B$19),Q97-Uzman_D!$B$19)*0.1+IF(R97-Uzman_D!$C$19&lt;0,-(R97-Uzman_D!$C$19),R97-Uzman_D!$C$19)*0.1+IF(S97-Uzman_D!$D$19&lt;0,-(S97-Uzman_D!$D$19),S97-Uzman_D!$D$19)*0.1+IF(T97-Uzman_D!$E$19&lt;0,-(T97-Uzman_D!$E$19),T97-Uzman_D!$E$19)*0.1+IF(U97-Uzman_D!$F$19&lt;0,-(U97-Uzman_D!$F$19),U97-Uzman_D!$F$19)*0.1+IF(V97-Uzman_D!$G$19&lt;0,-(V97-Uzman_D!$G$19),V97-Uzman_D!$G$19)*0.1+IF(W97-Uzman_D!$H$19&lt;0,-(W97-Uzman_D!$H$19),W97-Uzman_D!$H$19)*0.1+IF(X97-Uzman_D!$I$19&lt;0,-(X97-Uzman_D!$I$19),X97-Uzman_D!$I$19)*0.1+IF(Y97-Uzman_D!$J$19&lt;0,-(Y97-Uzman_D!$J$19),Y97-Uzman_D!$J$19)*0.1)+IF(ROUND((IF(AA97-Uzman_D!$L$19&lt;0,-(AA97-Uzman_D!$L$19),AA97-Uzman_D!$L$19)*2),0)/2=IF(AA97-Uzman_D!$L$19&lt;0,-(AA97-Uzman_D!$L$19),AA97-Uzman_D!$L$19),(ROUND((IF(AA97-Uzman_D!$L$19&lt;0,-(AA97-Uzman_D!$L$19),AA97-Uzman_D!$L$19)*2),0)/1*0.1),0)+IF(AB97-Uzman_D!$M$19&lt;0,-(AB97-Uzman_D!$M$19),AB97-Uzman_D!$M$19)*1)</f>
        <v>-0.20000000000000018</v>
      </c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73"/>
      <c r="AO97" s="73"/>
      <c r="AP97" s="71">
        <f>1-(SUM(IF(AD97-Uzman_D!$B$20&lt;0,-(AD97-Uzman_D!$B$20),AD97-Uzman_D!$B$20)*0.1+IF(AE97-Uzman_D!$C$20&lt;0,-(AE97-Uzman_D!$C$20),AE97-Uzman_D!$C$20)*0.1+IF(AF97-Uzman_D!$D$20&lt;0,-(AF97-Uzman_D!$D$20),AF97-Uzman_D!$D$20)*0.1+IF(AG97-Uzman_D!$E$20&lt;0,-(AG97-Uzman_D!$E$20),AG97-Uzman_D!$E$20)*0.1+IF(AH97-Uzman_D!$F$20&lt;0,-(AH97-Uzman_D!$F$20),AH97-Uzman_D!$F$20)*0.1+IF(AI97-Uzman_D!$G$20&lt;0,-(AI97-Uzman_D!$G$20),AI97-Uzman_D!$G$20)*0.1+IF(AJ97-Uzman_D!$H$20&lt;0,-(AJ97-Uzman_D!$H$20),AJ97-Uzman_D!$H$20)*0.1+IF(AK97-Uzman_D!$I$20&lt;0,-(AK97-Uzman_D!$I$20),AK97-Uzman_D!$I$20)*0.1+IF(AL97-Uzman_D!$J$20&lt;0,-(AL97-Uzman_D!$J$20),AL97-Uzman_D!$J$20)*0.1)+IF(ROUND((IF(AN97-Uzman_D!$L$20&lt;0,-(AN97-Uzman_D!$L$20),AN97-Uzman_D!$L$20)*2),0)/2=IF(AN97-Uzman_D!$L$20&lt;0,-(AN97-Uzman_D!$L$20),AN97-Uzman_D!$L$20),(ROUND((IF(AN97-Uzman_D!$L$20&lt;0,-(AN97-Uzman_D!$L$20),AN97-Uzman_D!$L$20)*2),0)/1*0.1),0)+IF(AO97-Uzman_D!$M$20&lt;0,-(AO97-Uzman_D!$M$20),AO97-Uzman_D!$M$20)*1)</f>
        <v>-0.40000000000000013</v>
      </c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73"/>
      <c r="BB97" s="73"/>
      <c r="BC97" s="71">
        <f>1-(SUM(IF(AQ97-Uzman_D!$B$21&lt;0,-(AQ97-Uzman_D!$B$21),AQ97-Uzman_D!$B$21)*0.1+IF(AR97-Uzman_D!$C$21&lt;0,-(AR97-Uzman_D!$C$21),AR97-Uzman_D!$C$21)*0.1+IF(AS97-Uzman_D!$D$21&lt;0,-(AS97-Uzman_D!$D$21),AS97-Uzman_D!$D$21)*0.1+IF(AT97-Uzman_D!$E$21&lt;0,-(AT97-Uzman_D!$E$21),AT97-Uzman_D!$E$21)*0.1+IF(AU97-Uzman_D!$F$21&lt;0,-(AU97-Uzman_D!$F$21),AU97-Uzman_D!$F$21)*0.1+IF(AV97-Uzman_D!$G$21&lt;0,-(AV97-Uzman_D!$G$21),AV97-Uzman_D!$G$21)*0.1+IF(AW97-Uzman_D!$H$21&lt;0,-(AW97-Uzman_D!$H$21),AW97-Uzman_D!$H$21)*0.1+IF(AX97-Uzman_D!$I$21&lt;0,-(AX97-Uzman_D!$I$21),AX97-Uzman_D!$I$21)*0.1+IF(AY97-Uzman_D!$J$21&lt;0,-(AY97-Uzman_D!$J$21),AY97-Uzman_D!$J$21)*0.1)+IF(ROUND((IF(BA97-Uzman_D!$L$21&lt;0,-(BA97-Uzman_D!$L$21),BA97-Uzman_D!$L$21)*2),0)/2=IF(BA97-Uzman_D!$L$21&lt;0,-(BA97-Uzman_D!$L$21),BA97-Uzman_D!$L$21),(ROUND((IF(BA97-Uzman_D!$L$21&lt;0,-(BA97-Uzman_D!$L$21),BA97-Uzman_D!$L$21)*2),0)/1*0.1),0)+IF(BB97-Uzman_D!$M$21&lt;0,-(BB97-Uzman_D!$M$21),BB97-Uzman_D!$M$21)*1)</f>
        <v>-0.10000000000000009</v>
      </c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73"/>
      <c r="BO97" s="73"/>
      <c r="BP97" s="71">
        <f>1-(SUM(IF(BD97-Uzman_D!$B$22&lt;0,-(BD97-Uzman_D!$B$22),BD97-Uzman_D!$B$22)*0.1+IF(BE97-Uzman_D!$C$22&lt;0,-(BE97-Uzman_D!$C$22),BE97-Uzman_D!$C$22)*0.1+IF(BF97-Uzman_D!$D$22&lt;0,-(BF97-Uzman_D!$D$22),BF97-Uzman_D!$D$22)*0.1+IF(BG97-Uzman_D!$E$22&lt;0,-(BG97-Uzman_D!$E$22),BG97-Uzman_D!$E$22)*0.1+IF(BH97-Uzman_D!$F$22&lt;0,-(BH97-Uzman_D!$F$22),BH97-Uzman_D!$F$22)*0.1+IF(BI97-Uzman_D!$G$22&lt;0,-(BI97-Uzman_D!$G$22),BI97-Uzman_D!$G$22)*0.1+IF(BJ97-Uzman_D!$H$22&lt;0,-(BJ97-Uzman_D!$H$22),BJ97-Uzman_D!$H$22)*0.1+IF(BK97-Uzman_D!$I$22&lt;0,-(BK97-Uzman_D!$I$22),BK97-Uzman_D!$I$22)*0.1+IF(BL97-Uzman_D!$J$22&lt;0,-(BL97-Uzman_D!$J$22),BL97-Uzman_D!$J$22)*0.1)+IF(ROUND((IF(BN97-Uzman_D!$L$22&lt;0,-(BN97-Uzman_D!$L$22),BN97-Uzman_D!$L$22)*2),0)/2=IF(BN97-Uzman_D!$L$22&lt;0,-(BN97-Uzman_D!$L$22),BN97-Uzman_D!$L$22),(ROUND((IF(BN97-Uzman_D!$L$22&lt;0,-(BN97-Uzman_D!$L$22),BN97-Uzman_D!$L$22)*2),0)/1*0.1),0)+IF(BO97-Uzman_D!$M$22&lt;0,-(BO97-Uzman_D!$M$22),BO97-Uzman_D!$M$22)*1)</f>
        <v>-0.10000000000000009</v>
      </c>
      <c r="BQ97" s="72">
        <f t="shared" si="2"/>
        <v>-0.28000000000000014</v>
      </c>
    </row>
    <row r="98" spans="1:69" ht="15" customHeight="1" x14ac:dyDescent="0.45">
      <c r="A98" s="54">
        <v>95</v>
      </c>
      <c r="B98" s="37">
        <f>Hakemler!B98</f>
        <v>0</v>
      </c>
      <c r="C98" s="37">
        <f>Hakemler!C98</f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73"/>
      <c r="O98" s="73"/>
      <c r="P98" s="71">
        <f>1-(SUM(IF(D98-Uzman_D!$B$18&lt;0,-(D98-Uzman_D!$B$18),D98-Uzman_D!$B$18)*0.1+IF(E98-Uzman_D!$C$18&lt;0,-(E98-Uzman_D!$C$18),E98-Uzman_D!$C$18)*0.1+IF(F98-Uzman_D!$D$18&lt;0,-(F98-Uzman_D!$D$18),F98-Uzman_D!$D$18)*0.1+IF(G98-Uzman_D!$E$18&lt;0,-(G98-Uzman_D!$E$18),G98-Uzman_D!$E$18)*0.1+IF(H98-Uzman_D!$F$18&lt;0,-(H98-Uzman_D!$F$18),H98-Uzman_D!$F$18)*0.1+IF(I98-Uzman_D!$G$18&lt;0,-(I98-Uzman_D!$G$18),I98-Uzman_D!$G$18)*0.1+IF(J98-Uzman_D!$H$18&lt;0,-(J98-Uzman_D!$H$18),J98-Uzman_D!$H$18)*0.1+IF(K98-Uzman_D!$I$18&lt;0,-(K98-Uzman_D!$I$18),K98-Uzman_D!$I$18)*0.1+IF(L98-Uzman_D!$J$18&lt;0,-(L98-Uzman_D!$J$18),L98-Uzman_D!$J$18)*0.1)+IF(ROUND((IF(N98-Uzman_D!$L$18&lt;0,-(N98-Uzman_D!$L$18),N98-Uzman_D!$L$18)*2),0)/2=IF(N98-Uzman_D!$L$18&lt;0,-(N98-Uzman_D!$L$18),N98-Uzman_D!$L$18),(ROUND((IF(N98-Uzman_D!$L$18&lt;0,-(N98-Uzman_D!$L$18),N98-Uzman_D!$L$18)*2),0)/1*0.1),0)+IF(O98-Uzman_D!$M$18&lt;0,-(O98-Uzman_D!$M$18),O98-Uzman_D!$M$18)*1)</f>
        <v>-0.60000000000000009</v>
      </c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73"/>
      <c r="AB98" s="73"/>
      <c r="AC98" s="71">
        <f>1-(SUM(IF(Q98-Uzman_D!$B$19&lt;0,-(Q98-Uzman_D!$B$19),Q98-Uzman_D!$B$19)*0.1+IF(R98-Uzman_D!$C$19&lt;0,-(R98-Uzman_D!$C$19),R98-Uzman_D!$C$19)*0.1+IF(S98-Uzman_D!$D$19&lt;0,-(S98-Uzman_D!$D$19),S98-Uzman_D!$D$19)*0.1+IF(T98-Uzman_D!$E$19&lt;0,-(T98-Uzman_D!$E$19),T98-Uzman_D!$E$19)*0.1+IF(U98-Uzman_D!$F$19&lt;0,-(U98-Uzman_D!$F$19),U98-Uzman_D!$F$19)*0.1+IF(V98-Uzman_D!$G$19&lt;0,-(V98-Uzman_D!$G$19),V98-Uzman_D!$G$19)*0.1+IF(W98-Uzman_D!$H$19&lt;0,-(W98-Uzman_D!$H$19),W98-Uzman_D!$H$19)*0.1+IF(X98-Uzman_D!$I$19&lt;0,-(X98-Uzman_D!$I$19),X98-Uzman_D!$I$19)*0.1+IF(Y98-Uzman_D!$J$19&lt;0,-(Y98-Uzman_D!$J$19),Y98-Uzman_D!$J$19)*0.1)+IF(ROUND((IF(AA98-Uzman_D!$L$19&lt;0,-(AA98-Uzman_D!$L$19),AA98-Uzman_D!$L$19)*2),0)/2=IF(AA98-Uzman_D!$L$19&lt;0,-(AA98-Uzman_D!$L$19),AA98-Uzman_D!$L$19),(ROUND((IF(AA98-Uzman_D!$L$19&lt;0,-(AA98-Uzman_D!$L$19),AA98-Uzman_D!$L$19)*2),0)/1*0.1),0)+IF(AB98-Uzman_D!$M$19&lt;0,-(AB98-Uzman_D!$M$19),AB98-Uzman_D!$M$19)*1)</f>
        <v>-0.20000000000000018</v>
      </c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73"/>
      <c r="AO98" s="73"/>
      <c r="AP98" s="71">
        <f>1-(SUM(IF(AD98-Uzman_D!$B$20&lt;0,-(AD98-Uzman_D!$B$20),AD98-Uzman_D!$B$20)*0.1+IF(AE98-Uzman_D!$C$20&lt;0,-(AE98-Uzman_D!$C$20),AE98-Uzman_D!$C$20)*0.1+IF(AF98-Uzman_D!$D$20&lt;0,-(AF98-Uzman_D!$D$20),AF98-Uzman_D!$D$20)*0.1+IF(AG98-Uzman_D!$E$20&lt;0,-(AG98-Uzman_D!$E$20),AG98-Uzman_D!$E$20)*0.1+IF(AH98-Uzman_D!$F$20&lt;0,-(AH98-Uzman_D!$F$20),AH98-Uzman_D!$F$20)*0.1+IF(AI98-Uzman_D!$G$20&lt;0,-(AI98-Uzman_D!$G$20),AI98-Uzman_D!$G$20)*0.1+IF(AJ98-Uzman_D!$H$20&lt;0,-(AJ98-Uzman_D!$H$20),AJ98-Uzman_D!$H$20)*0.1+IF(AK98-Uzman_D!$I$20&lt;0,-(AK98-Uzman_D!$I$20),AK98-Uzman_D!$I$20)*0.1+IF(AL98-Uzman_D!$J$20&lt;0,-(AL98-Uzman_D!$J$20),AL98-Uzman_D!$J$20)*0.1)+IF(ROUND((IF(AN98-Uzman_D!$L$20&lt;0,-(AN98-Uzman_D!$L$20),AN98-Uzman_D!$L$20)*2),0)/2=IF(AN98-Uzman_D!$L$20&lt;0,-(AN98-Uzman_D!$L$20),AN98-Uzman_D!$L$20),(ROUND((IF(AN98-Uzman_D!$L$20&lt;0,-(AN98-Uzman_D!$L$20),AN98-Uzman_D!$L$20)*2),0)/1*0.1),0)+IF(AO98-Uzman_D!$M$20&lt;0,-(AO98-Uzman_D!$M$20),AO98-Uzman_D!$M$20)*1)</f>
        <v>-0.40000000000000013</v>
      </c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73"/>
      <c r="BB98" s="73"/>
      <c r="BC98" s="71">
        <f>1-(SUM(IF(AQ98-Uzman_D!$B$21&lt;0,-(AQ98-Uzman_D!$B$21),AQ98-Uzman_D!$B$21)*0.1+IF(AR98-Uzman_D!$C$21&lt;0,-(AR98-Uzman_D!$C$21),AR98-Uzman_D!$C$21)*0.1+IF(AS98-Uzman_D!$D$21&lt;0,-(AS98-Uzman_D!$D$21),AS98-Uzman_D!$D$21)*0.1+IF(AT98-Uzman_D!$E$21&lt;0,-(AT98-Uzman_D!$E$21),AT98-Uzman_D!$E$21)*0.1+IF(AU98-Uzman_D!$F$21&lt;0,-(AU98-Uzman_D!$F$21),AU98-Uzman_D!$F$21)*0.1+IF(AV98-Uzman_D!$G$21&lt;0,-(AV98-Uzman_D!$G$21),AV98-Uzman_D!$G$21)*0.1+IF(AW98-Uzman_D!$H$21&lt;0,-(AW98-Uzman_D!$H$21),AW98-Uzman_D!$H$21)*0.1+IF(AX98-Uzman_D!$I$21&lt;0,-(AX98-Uzman_D!$I$21),AX98-Uzman_D!$I$21)*0.1+IF(AY98-Uzman_D!$J$21&lt;0,-(AY98-Uzman_D!$J$21),AY98-Uzman_D!$J$21)*0.1)+IF(ROUND((IF(BA98-Uzman_D!$L$21&lt;0,-(BA98-Uzman_D!$L$21),BA98-Uzman_D!$L$21)*2),0)/2=IF(BA98-Uzman_D!$L$21&lt;0,-(BA98-Uzman_D!$L$21),BA98-Uzman_D!$L$21),(ROUND((IF(BA98-Uzman_D!$L$21&lt;0,-(BA98-Uzman_D!$L$21),BA98-Uzman_D!$L$21)*2),0)/1*0.1),0)+IF(BB98-Uzman_D!$M$21&lt;0,-(BB98-Uzman_D!$M$21),BB98-Uzman_D!$M$21)*1)</f>
        <v>-0.10000000000000009</v>
      </c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73"/>
      <c r="BO98" s="73"/>
      <c r="BP98" s="71">
        <f>1-(SUM(IF(BD98-Uzman_D!$B$22&lt;0,-(BD98-Uzman_D!$B$22),BD98-Uzman_D!$B$22)*0.1+IF(BE98-Uzman_D!$C$22&lt;0,-(BE98-Uzman_D!$C$22),BE98-Uzman_D!$C$22)*0.1+IF(BF98-Uzman_D!$D$22&lt;0,-(BF98-Uzman_D!$D$22),BF98-Uzman_D!$D$22)*0.1+IF(BG98-Uzman_D!$E$22&lt;0,-(BG98-Uzman_D!$E$22),BG98-Uzman_D!$E$22)*0.1+IF(BH98-Uzman_D!$F$22&lt;0,-(BH98-Uzman_D!$F$22),BH98-Uzman_D!$F$22)*0.1+IF(BI98-Uzman_D!$G$22&lt;0,-(BI98-Uzman_D!$G$22),BI98-Uzman_D!$G$22)*0.1+IF(BJ98-Uzman_D!$H$22&lt;0,-(BJ98-Uzman_D!$H$22),BJ98-Uzman_D!$H$22)*0.1+IF(BK98-Uzman_D!$I$22&lt;0,-(BK98-Uzman_D!$I$22),BK98-Uzman_D!$I$22)*0.1+IF(BL98-Uzman_D!$J$22&lt;0,-(BL98-Uzman_D!$J$22),BL98-Uzman_D!$J$22)*0.1)+IF(ROUND((IF(BN98-Uzman_D!$L$22&lt;0,-(BN98-Uzman_D!$L$22),BN98-Uzman_D!$L$22)*2),0)/2=IF(BN98-Uzman_D!$L$22&lt;0,-(BN98-Uzman_D!$L$22),BN98-Uzman_D!$L$22),(ROUND((IF(BN98-Uzman_D!$L$22&lt;0,-(BN98-Uzman_D!$L$22),BN98-Uzman_D!$L$22)*2),0)/1*0.1),0)+IF(BO98-Uzman_D!$M$22&lt;0,-(BO98-Uzman_D!$M$22),BO98-Uzman_D!$M$22)*1)</f>
        <v>-0.10000000000000009</v>
      </c>
      <c r="BQ98" s="72">
        <f t="shared" si="2"/>
        <v>-0.28000000000000014</v>
      </c>
    </row>
    <row r="99" spans="1:69" ht="15" customHeight="1" x14ac:dyDescent="0.45">
      <c r="A99" s="54">
        <v>96</v>
      </c>
      <c r="B99" s="37">
        <f>Hakemler!B99</f>
        <v>0</v>
      </c>
      <c r="C99" s="37">
        <f>Hakemler!C99</f>
        <v>0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73"/>
      <c r="O99" s="73"/>
      <c r="P99" s="71">
        <f>1-(SUM(IF(D99-Uzman_D!$B$18&lt;0,-(D99-Uzman_D!$B$18),D99-Uzman_D!$B$18)*0.1+IF(E99-Uzman_D!$C$18&lt;0,-(E99-Uzman_D!$C$18),E99-Uzman_D!$C$18)*0.1+IF(F99-Uzman_D!$D$18&lt;0,-(F99-Uzman_D!$D$18),F99-Uzman_D!$D$18)*0.1+IF(G99-Uzman_D!$E$18&lt;0,-(G99-Uzman_D!$E$18),G99-Uzman_D!$E$18)*0.1+IF(H99-Uzman_D!$F$18&lt;0,-(H99-Uzman_D!$F$18),H99-Uzman_D!$F$18)*0.1+IF(I99-Uzman_D!$G$18&lt;0,-(I99-Uzman_D!$G$18),I99-Uzman_D!$G$18)*0.1+IF(J99-Uzman_D!$H$18&lt;0,-(J99-Uzman_D!$H$18),J99-Uzman_D!$H$18)*0.1+IF(K99-Uzman_D!$I$18&lt;0,-(K99-Uzman_D!$I$18),K99-Uzman_D!$I$18)*0.1+IF(L99-Uzman_D!$J$18&lt;0,-(L99-Uzman_D!$J$18),L99-Uzman_D!$J$18)*0.1)+IF(ROUND((IF(N99-Uzman_D!$L$18&lt;0,-(N99-Uzman_D!$L$18),N99-Uzman_D!$L$18)*2),0)/2=IF(N99-Uzman_D!$L$18&lt;0,-(N99-Uzman_D!$L$18),N99-Uzman_D!$L$18),(ROUND((IF(N99-Uzman_D!$L$18&lt;0,-(N99-Uzman_D!$L$18),N99-Uzman_D!$L$18)*2),0)/1*0.1),0)+IF(O99-Uzman_D!$M$18&lt;0,-(O99-Uzman_D!$M$18),O99-Uzman_D!$M$18)*1)</f>
        <v>-0.60000000000000009</v>
      </c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73"/>
      <c r="AB99" s="73"/>
      <c r="AC99" s="71">
        <f>1-(SUM(IF(Q99-Uzman_D!$B$19&lt;0,-(Q99-Uzman_D!$B$19),Q99-Uzman_D!$B$19)*0.1+IF(R99-Uzman_D!$C$19&lt;0,-(R99-Uzman_D!$C$19),R99-Uzman_D!$C$19)*0.1+IF(S99-Uzman_D!$D$19&lt;0,-(S99-Uzman_D!$D$19),S99-Uzman_D!$D$19)*0.1+IF(T99-Uzman_D!$E$19&lt;0,-(T99-Uzman_D!$E$19),T99-Uzman_D!$E$19)*0.1+IF(U99-Uzman_D!$F$19&lt;0,-(U99-Uzman_D!$F$19),U99-Uzman_D!$F$19)*0.1+IF(V99-Uzman_D!$G$19&lt;0,-(V99-Uzman_D!$G$19),V99-Uzman_D!$G$19)*0.1+IF(W99-Uzman_D!$H$19&lt;0,-(W99-Uzman_D!$H$19),W99-Uzman_D!$H$19)*0.1+IF(X99-Uzman_D!$I$19&lt;0,-(X99-Uzman_D!$I$19),X99-Uzman_D!$I$19)*0.1+IF(Y99-Uzman_D!$J$19&lt;0,-(Y99-Uzman_D!$J$19),Y99-Uzman_D!$J$19)*0.1)+IF(ROUND((IF(AA99-Uzman_D!$L$19&lt;0,-(AA99-Uzman_D!$L$19),AA99-Uzman_D!$L$19)*2),0)/2=IF(AA99-Uzman_D!$L$19&lt;0,-(AA99-Uzman_D!$L$19),AA99-Uzman_D!$L$19),(ROUND((IF(AA99-Uzman_D!$L$19&lt;0,-(AA99-Uzman_D!$L$19),AA99-Uzman_D!$L$19)*2),0)/1*0.1),0)+IF(AB99-Uzman_D!$M$19&lt;0,-(AB99-Uzman_D!$M$19),AB99-Uzman_D!$M$19)*1)</f>
        <v>-0.20000000000000018</v>
      </c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73"/>
      <c r="AO99" s="73"/>
      <c r="AP99" s="71">
        <f>1-(SUM(IF(AD99-Uzman_D!$B$20&lt;0,-(AD99-Uzman_D!$B$20),AD99-Uzman_D!$B$20)*0.1+IF(AE99-Uzman_D!$C$20&lt;0,-(AE99-Uzman_D!$C$20),AE99-Uzman_D!$C$20)*0.1+IF(AF99-Uzman_D!$D$20&lt;0,-(AF99-Uzman_D!$D$20),AF99-Uzman_D!$D$20)*0.1+IF(AG99-Uzman_D!$E$20&lt;0,-(AG99-Uzman_D!$E$20),AG99-Uzman_D!$E$20)*0.1+IF(AH99-Uzman_D!$F$20&lt;0,-(AH99-Uzman_D!$F$20),AH99-Uzman_D!$F$20)*0.1+IF(AI99-Uzman_D!$G$20&lt;0,-(AI99-Uzman_D!$G$20),AI99-Uzman_D!$G$20)*0.1+IF(AJ99-Uzman_D!$H$20&lt;0,-(AJ99-Uzman_D!$H$20),AJ99-Uzman_D!$H$20)*0.1+IF(AK99-Uzman_D!$I$20&lt;0,-(AK99-Uzman_D!$I$20),AK99-Uzman_D!$I$20)*0.1+IF(AL99-Uzman_D!$J$20&lt;0,-(AL99-Uzman_D!$J$20),AL99-Uzman_D!$J$20)*0.1)+IF(ROUND((IF(AN99-Uzman_D!$L$20&lt;0,-(AN99-Uzman_D!$L$20),AN99-Uzman_D!$L$20)*2),0)/2=IF(AN99-Uzman_D!$L$20&lt;0,-(AN99-Uzman_D!$L$20),AN99-Uzman_D!$L$20),(ROUND((IF(AN99-Uzman_D!$L$20&lt;0,-(AN99-Uzman_D!$L$20),AN99-Uzman_D!$L$20)*2),0)/1*0.1),0)+IF(AO99-Uzman_D!$M$20&lt;0,-(AO99-Uzman_D!$M$20),AO99-Uzman_D!$M$20)*1)</f>
        <v>-0.40000000000000013</v>
      </c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73"/>
      <c r="BB99" s="73"/>
      <c r="BC99" s="71">
        <f>1-(SUM(IF(AQ99-Uzman_D!$B$21&lt;0,-(AQ99-Uzman_D!$B$21),AQ99-Uzman_D!$B$21)*0.1+IF(AR99-Uzman_D!$C$21&lt;0,-(AR99-Uzman_D!$C$21),AR99-Uzman_D!$C$21)*0.1+IF(AS99-Uzman_D!$D$21&lt;0,-(AS99-Uzman_D!$D$21),AS99-Uzman_D!$D$21)*0.1+IF(AT99-Uzman_D!$E$21&lt;0,-(AT99-Uzman_D!$E$21),AT99-Uzman_D!$E$21)*0.1+IF(AU99-Uzman_D!$F$21&lt;0,-(AU99-Uzman_D!$F$21),AU99-Uzman_D!$F$21)*0.1+IF(AV99-Uzman_D!$G$21&lt;0,-(AV99-Uzman_D!$G$21),AV99-Uzman_D!$G$21)*0.1+IF(AW99-Uzman_D!$H$21&lt;0,-(AW99-Uzman_D!$H$21),AW99-Uzman_D!$H$21)*0.1+IF(AX99-Uzman_D!$I$21&lt;0,-(AX99-Uzman_D!$I$21),AX99-Uzman_D!$I$21)*0.1+IF(AY99-Uzman_D!$J$21&lt;0,-(AY99-Uzman_D!$J$21),AY99-Uzman_D!$J$21)*0.1)+IF(ROUND((IF(BA99-Uzman_D!$L$21&lt;0,-(BA99-Uzman_D!$L$21),BA99-Uzman_D!$L$21)*2),0)/2=IF(BA99-Uzman_D!$L$21&lt;0,-(BA99-Uzman_D!$L$21),BA99-Uzman_D!$L$21),(ROUND((IF(BA99-Uzman_D!$L$21&lt;0,-(BA99-Uzman_D!$L$21),BA99-Uzman_D!$L$21)*2),0)/1*0.1),0)+IF(BB99-Uzman_D!$M$21&lt;0,-(BB99-Uzman_D!$M$21),BB99-Uzman_D!$M$21)*1)</f>
        <v>-0.10000000000000009</v>
      </c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73"/>
      <c r="BO99" s="73"/>
      <c r="BP99" s="71">
        <f>1-(SUM(IF(BD99-Uzman_D!$B$22&lt;0,-(BD99-Uzman_D!$B$22),BD99-Uzman_D!$B$22)*0.1+IF(BE99-Uzman_D!$C$22&lt;0,-(BE99-Uzman_D!$C$22),BE99-Uzman_D!$C$22)*0.1+IF(BF99-Uzman_D!$D$22&lt;0,-(BF99-Uzman_D!$D$22),BF99-Uzman_D!$D$22)*0.1+IF(BG99-Uzman_D!$E$22&lt;0,-(BG99-Uzman_D!$E$22),BG99-Uzman_D!$E$22)*0.1+IF(BH99-Uzman_D!$F$22&lt;0,-(BH99-Uzman_D!$F$22),BH99-Uzman_D!$F$22)*0.1+IF(BI99-Uzman_D!$G$22&lt;0,-(BI99-Uzman_D!$G$22),BI99-Uzman_D!$G$22)*0.1+IF(BJ99-Uzman_D!$H$22&lt;0,-(BJ99-Uzman_D!$H$22),BJ99-Uzman_D!$H$22)*0.1+IF(BK99-Uzman_D!$I$22&lt;0,-(BK99-Uzman_D!$I$22),BK99-Uzman_D!$I$22)*0.1+IF(BL99-Uzman_D!$J$22&lt;0,-(BL99-Uzman_D!$J$22),BL99-Uzman_D!$J$22)*0.1)+IF(ROUND((IF(BN99-Uzman_D!$L$22&lt;0,-(BN99-Uzman_D!$L$22),BN99-Uzman_D!$L$22)*2),0)/2=IF(BN99-Uzman_D!$L$22&lt;0,-(BN99-Uzman_D!$L$22),BN99-Uzman_D!$L$22),(ROUND((IF(BN99-Uzman_D!$L$22&lt;0,-(BN99-Uzman_D!$L$22),BN99-Uzman_D!$L$22)*2),0)/1*0.1),0)+IF(BO99-Uzman_D!$M$22&lt;0,-(BO99-Uzman_D!$M$22),BO99-Uzman_D!$M$22)*1)</f>
        <v>-0.10000000000000009</v>
      </c>
      <c r="BQ99" s="72">
        <f t="shared" si="2"/>
        <v>-0.28000000000000014</v>
      </c>
    </row>
    <row r="100" spans="1:69" ht="15" customHeight="1" x14ac:dyDescent="0.45">
      <c r="A100" s="54">
        <v>97</v>
      </c>
      <c r="B100" s="37">
        <f>Hakemler!B100</f>
        <v>0</v>
      </c>
      <c r="C100" s="37">
        <f>Hakemler!C100</f>
        <v>0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73"/>
      <c r="O100" s="73"/>
      <c r="P100" s="71">
        <f>1-(SUM(IF(D100-Uzman_D!$B$18&lt;0,-(D100-Uzman_D!$B$18),D100-Uzman_D!$B$18)*0.1+IF(E100-Uzman_D!$C$18&lt;0,-(E100-Uzman_D!$C$18),E100-Uzman_D!$C$18)*0.1+IF(F100-Uzman_D!$D$18&lt;0,-(F100-Uzman_D!$D$18),F100-Uzman_D!$D$18)*0.1+IF(G100-Uzman_D!$E$18&lt;0,-(G100-Uzman_D!$E$18),G100-Uzman_D!$E$18)*0.1+IF(H100-Uzman_D!$F$18&lt;0,-(H100-Uzman_D!$F$18),H100-Uzman_D!$F$18)*0.1+IF(I100-Uzman_D!$G$18&lt;0,-(I100-Uzman_D!$G$18),I100-Uzman_D!$G$18)*0.1+IF(J100-Uzman_D!$H$18&lt;0,-(J100-Uzman_D!$H$18),J100-Uzman_D!$H$18)*0.1+IF(K100-Uzman_D!$I$18&lt;0,-(K100-Uzman_D!$I$18),K100-Uzman_D!$I$18)*0.1+IF(L100-Uzman_D!$J$18&lt;0,-(L100-Uzman_D!$J$18),L100-Uzman_D!$J$18)*0.1)+IF(ROUND((IF(N100-Uzman_D!$L$18&lt;0,-(N100-Uzman_D!$L$18),N100-Uzman_D!$L$18)*2),0)/2=IF(N100-Uzman_D!$L$18&lt;0,-(N100-Uzman_D!$L$18),N100-Uzman_D!$L$18),(ROUND((IF(N100-Uzman_D!$L$18&lt;0,-(N100-Uzman_D!$L$18),N100-Uzman_D!$L$18)*2),0)/1*0.1),0)+IF(O100-Uzman_D!$M$18&lt;0,-(O100-Uzman_D!$M$18),O100-Uzman_D!$M$18)*1)</f>
        <v>-0.60000000000000009</v>
      </c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73"/>
      <c r="AB100" s="73"/>
      <c r="AC100" s="71">
        <f>1-(SUM(IF(Q100-Uzman_D!$B$19&lt;0,-(Q100-Uzman_D!$B$19),Q100-Uzman_D!$B$19)*0.1+IF(R100-Uzman_D!$C$19&lt;0,-(R100-Uzman_D!$C$19),R100-Uzman_D!$C$19)*0.1+IF(S100-Uzman_D!$D$19&lt;0,-(S100-Uzman_D!$D$19),S100-Uzman_D!$D$19)*0.1+IF(T100-Uzman_D!$E$19&lt;0,-(T100-Uzman_D!$E$19),T100-Uzman_D!$E$19)*0.1+IF(U100-Uzman_D!$F$19&lt;0,-(U100-Uzman_D!$F$19),U100-Uzman_D!$F$19)*0.1+IF(V100-Uzman_D!$G$19&lt;0,-(V100-Uzman_D!$G$19),V100-Uzman_D!$G$19)*0.1+IF(W100-Uzman_D!$H$19&lt;0,-(W100-Uzman_D!$H$19),W100-Uzman_D!$H$19)*0.1+IF(X100-Uzman_D!$I$19&lt;0,-(X100-Uzman_D!$I$19),X100-Uzman_D!$I$19)*0.1+IF(Y100-Uzman_D!$J$19&lt;0,-(Y100-Uzman_D!$J$19),Y100-Uzman_D!$J$19)*0.1)+IF(ROUND((IF(AA100-Uzman_D!$L$19&lt;0,-(AA100-Uzman_D!$L$19),AA100-Uzman_D!$L$19)*2),0)/2=IF(AA100-Uzman_D!$L$19&lt;0,-(AA100-Uzman_D!$L$19),AA100-Uzman_D!$L$19),(ROUND((IF(AA100-Uzman_D!$L$19&lt;0,-(AA100-Uzman_D!$L$19),AA100-Uzman_D!$L$19)*2),0)/1*0.1),0)+IF(AB100-Uzman_D!$M$19&lt;0,-(AB100-Uzman_D!$M$19),AB100-Uzman_D!$M$19)*1)</f>
        <v>-0.20000000000000018</v>
      </c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73"/>
      <c r="AO100" s="73"/>
      <c r="AP100" s="71">
        <f>1-(SUM(IF(AD100-Uzman_D!$B$20&lt;0,-(AD100-Uzman_D!$B$20),AD100-Uzman_D!$B$20)*0.1+IF(AE100-Uzman_D!$C$20&lt;0,-(AE100-Uzman_D!$C$20),AE100-Uzman_D!$C$20)*0.1+IF(AF100-Uzman_D!$D$20&lt;0,-(AF100-Uzman_D!$D$20),AF100-Uzman_D!$D$20)*0.1+IF(AG100-Uzman_D!$E$20&lt;0,-(AG100-Uzman_D!$E$20),AG100-Uzman_D!$E$20)*0.1+IF(AH100-Uzman_D!$F$20&lt;0,-(AH100-Uzman_D!$F$20),AH100-Uzman_D!$F$20)*0.1+IF(AI100-Uzman_D!$G$20&lt;0,-(AI100-Uzman_D!$G$20),AI100-Uzman_D!$G$20)*0.1+IF(AJ100-Uzman_D!$H$20&lt;0,-(AJ100-Uzman_D!$H$20),AJ100-Uzman_D!$H$20)*0.1+IF(AK100-Uzman_D!$I$20&lt;0,-(AK100-Uzman_D!$I$20),AK100-Uzman_D!$I$20)*0.1+IF(AL100-Uzman_D!$J$20&lt;0,-(AL100-Uzman_D!$J$20),AL100-Uzman_D!$J$20)*0.1)+IF(ROUND((IF(AN100-Uzman_D!$L$20&lt;0,-(AN100-Uzman_D!$L$20),AN100-Uzman_D!$L$20)*2),0)/2=IF(AN100-Uzman_D!$L$20&lt;0,-(AN100-Uzman_D!$L$20),AN100-Uzman_D!$L$20),(ROUND((IF(AN100-Uzman_D!$L$20&lt;0,-(AN100-Uzman_D!$L$20),AN100-Uzman_D!$L$20)*2),0)/1*0.1),0)+IF(AO100-Uzman_D!$M$20&lt;0,-(AO100-Uzman_D!$M$20),AO100-Uzman_D!$M$20)*1)</f>
        <v>-0.40000000000000013</v>
      </c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73"/>
      <c r="BB100" s="73"/>
      <c r="BC100" s="71">
        <f>1-(SUM(IF(AQ100-Uzman_D!$B$21&lt;0,-(AQ100-Uzman_D!$B$21),AQ100-Uzman_D!$B$21)*0.1+IF(AR100-Uzman_D!$C$21&lt;0,-(AR100-Uzman_D!$C$21),AR100-Uzman_D!$C$21)*0.1+IF(AS100-Uzman_D!$D$21&lt;0,-(AS100-Uzman_D!$D$21),AS100-Uzman_D!$D$21)*0.1+IF(AT100-Uzman_D!$E$21&lt;0,-(AT100-Uzman_D!$E$21),AT100-Uzman_D!$E$21)*0.1+IF(AU100-Uzman_D!$F$21&lt;0,-(AU100-Uzman_D!$F$21),AU100-Uzman_D!$F$21)*0.1+IF(AV100-Uzman_D!$G$21&lt;0,-(AV100-Uzman_D!$G$21),AV100-Uzman_D!$G$21)*0.1+IF(AW100-Uzman_D!$H$21&lt;0,-(AW100-Uzman_D!$H$21),AW100-Uzman_D!$H$21)*0.1+IF(AX100-Uzman_D!$I$21&lt;0,-(AX100-Uzman_D!$I$21),AX100-Uzman_D!$I$21)*0.1+IF(AY100-Uzman_D!$J$21&lt;0,-(AY100-Uzman_D!$J$21),AY100-Uzman_D!$J$21)*0.1)+IF(ROUND((IF(BA100-Uzman_D!$L$21&lt;0,-(BA100-Uzman_D!$L$21),BA100-Uzman_D!$L$21)*2),0)/2=IF(BA100-Uzman_D!$L$21&lt;0,-(BA100-Uzman_D!$L$21),BA100-Uzman_D!$L$21),(ROUND((IF(BA100-Uzman_D!$L$21&lt;0,-(BA100-Uzman_D!$L$21),BA100-Uzman_D!$L$21)*2),0)/1*0.1),0)+IF(BB100-Uzman_D!$M$21&lt;0,-(BB100-Uzman_D!$M$21),BB100-Uzman_D!$M$21)*1)</f>
        <v>-0.10000000000000009</v>
      </c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73"/>
      <c r="BO100" s="73"/>
      <c r="BP100" s="71">
        <f>1-(SUM(IF(BD100-Uzman_D!$B$22&lt;0,-(BD100-Uzman_D!$B$22),BD100-Uzman_D!$B$22)*0.1+IF(BE100-Uzman_D!$C$22&lt;0,-(BE100-Uzman_D!$C$22),BE100-Uzman_D!$C$22)*0.1+IF(BF100-Uzman_D!$D$22&lt;0,-(BF100-Uzman_D!$D$22),BF100-Uzman_D!$D$22)*0.1+IF(BG100-Uzman_D!$E$22&lt;0,-(BG100-Uzman_D!$E$22),BG100-Uzman_D!$E$22)*0.1+IF(BH100-Uzman_D!$F$22&lt;0,-(BH100-Uzman_D!$F$22),BH100-Uzman_D!$F$22)*0.1+IF(BI100-Uzman_D!$G$22&lt;0,-(BI100-Uzman_D!$G$22),BI100-Uzman_D!$G$22)*0.1+IF(BJ100-Uzman_D!$H$22&lt;0,-(BJ100-Uzman_D!$H$22),BJ100-Uzman_D!$H$22)*0.1+IF(BK100-Uzman_D!$I$22&lt;0,-(BK100-Uzman_D!$I$22),BK100-Uzman_D!$I$22)*0.1+IF(BL100-Uzman_D!$J$22&lt;0,-(BL100-Uzman_D!$J$22),BL100-Uzman_D!$J$22)*0.1)+IF(ROUND((IF(BN100-Uzman_D!$L$22&lt;0,-(BN100-Uzman_D!$L$22),BN100-Uzman_D!$L$22)*2),0)/2=IF(BN100-Uzman_D!$L$22&lt;0,-(BN100-Uzman_D!$L$22),BN100-Uzman_D!$L$22),(ROUND((IF(BN100-Uzman_D!$L$22&lt;0,-(BN100-Uzman_D!$L$22),BN100-Uzman_D!$L$22)*2),0)/1*0.1),0)+IF(BO100-Uzman_D!$M$22&lt;0,-(BO100-Uzman_D!$M$22),BO100-Uzman_D!$M$22)*1)</f>
        <v>-0.10000000000000009</v>
      </c>
      <c r="BQ100" s="72">
        <f t="shared" ref="BQ100:BQ103" si="3">(P100+AC100+AP100+BC100+BP100)/5</f>
        <v>-0.28000000000000014</v>
      </c>
    </row>
    <row r="101" spans="1:69" ht="15" customHeight="1" x14ac:dyDescent="0.45">
      <c r="A101" s="54">
        <v>98</v>
      </c>
      <c r="B101" s="37">
        <f>Hakemler!B101</f>
        <v>0</v>
      </c>
      <c r="C101" s="37">
        <f>Hakemler!C101</f>
        <v>0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73"/>
      <c r="O101" s="73"/>
      <c r="P101" s="71">
        <f>1-(SUM(IF(D101-Uzman_D!$B$18&lt;0,-(D101-Uzman_D!$B$18),D101-Uzman_D!$B$18)*0.1+IF(E101-Uzman_D!$C$18&lt;0,-(E101-Uzman_D!$C$18),E101-Uzman_D!$C$18)*0.1+IF(F101-Uzman_D!$D$18&lt;0,-(F101-Uzman_D!$D$18),F101-Uzman_D!$D$18)*0.1+IF(G101-Uzman_D!$E$18&lt;0,-(G101-Uzman_D!$E$18),G101-Uzman_D!$E$18)*0.1+IF(H101-Uzman_D!$F$18&lt;0,-(H101-Uzman_D!$F$18),H101-Uzman_D!$F$18)*0.1+IF(I101-Uzman_D!$G$18&lt;0,-(I101-Uzman_D!$G$18),I101-Uzman_D!$G$18)*0.1+IF(J101-Uzman_D!$H$18&lt;0,-(J101-Uzman_D!$H$18),J101-Uzman_D!$H$18)*0.1+IF(K101-Uzman_D!$I$18&lt;0,-(K101-Uzman_D!$I$18),K101-Uzman_D!$I$18)*0.1+IF(L101-Uzman_D!$J$18&lt;0,-(L101-Uzman_D!$J$18),L101-Uzman_D!$J$18)*0.1)+IF(ROUND((IF(N101-Uzman_D!$L$18&lt;0,-(N101-Uzman_D!$L$18),N101-Uzman_D!$L$18)*2),0)/2=IF(N101-Uzman_D!$L$18&lt;0,-(N101-Uzman_D!$L$18),N101-Uzman_D!$L$18),(ROUND((IF(N101-Uzman_D!$L$18&lt;0,-(N101-Uzman_D!$L$18),N101-Uzman_D!$L$18)*2),0)/1*0.1),0)+IF(O101-Uzman_D!$M$18&lt;0,-(O101-Uzman_D!$M$18),O101-Uzman_D!$M$18)*1)</f>
        <v>-0.60000000000000009</v>
      </c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73"/>
      <c r="AB101" s="73"/>
      <c r="AC101" s="71">
        <f>1-(SUM(IF(Q101-Uzman_D!$B$19&lt;0,-(Q101-Uzman_D!$B$19),Q101-Uzman_D!$B$19)*0.1+IF(R101-Uzman_D!$C$19&lt;0,-(R101-Uzman_D!$C$19),R101-Uzman_D!$C$19)*0.1+IF(S101-Uzman_D!$D$19&lt;0,-(S101-Uzman_D!$D$19),S101-Uzman_D!$D$19)*0.1+IF(T101-Uzman_D!$E$19&lt;0,-(T101-Uzman_D!$E$19),T101-Uzman_D!$E$19)*0.1+IF(U101-Uzman_D!$F$19&lt;0,-(U101-Uzman_D!$F$19),U101-Uzman_D!$F$19)*0.1+IF(V101-Uzman_D!$G$19&lt;0,-(V101-Uzman_D!$G$19),V101-Uzman_D!$G$19)*0.1+IF(W101-Uzman_D!$H$19&lt;0,-(W101-Uzman_D!$H$19),W101-Uzman_D!$H$19)*0.1+IF(X101-Uzman_D!$I$19&lt;0,-(X101-Uzman_D!$I$19),X101-Uzman_D!$I$19)*0.1+IF(Y101-Uzman_D!$J$19&lt;0,-(Y101-Uzman_D!$J$19),Y101-Uzman_D!$J$19)*0.1)+IF(ROUND((IF(AA101-Uzman_D!$L$19&lt;0,-(AA101-Uzman_D!$L$19),AA101-Uzman_D!$L$19)*2),0)/2=IF(AA101-Uzman_D!$L$19&lt;0,-(AA101-Uzman_D!$L$19),AA101-Uzman_D!$L$19),(ROUND((IF(AA101-Uzman_D!$L$19&lt;0,-(AA101-Uzman_D!$L$19),AA101-Uzman_D!$L$19)*2),0)/1*0.1),0)+IF(AB101-Uzman_D!$M$19&lt;0,-(AB101-Uzman_D!$M$19),AB101-Uzman_D!$M$19)*1)</f>
        <v>-0.20000000000000018</v>
      </c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73"/>
      <c r="AO101" s="73"/>
      <c r="AP101" s="71">
        <f>1-(SUM(IF(AD101-Uzman_D!$B$20&lt;0,-(AD101-Uzman_D!$B$20),AD101-Uzman_D!$B$20)*0.1+IF(AE101-Uzman_D!$C$20&lt;0,-(AE101-Uzman_D!$C$20),AE101-Uzman_D!$C$20)*0.1+IF(AF101-Uzman_D!$D$20&lt;0,-(AF101-Uzman_D!$D$20),AF101-Uzman_D!$D$20)*0.1+IF(AG101-Uzman_D!$E$20&lt;0,-(AG101-Uzman_D!$E$20),AG101-Uzman_D!$E$20)*0.1+IF(AH101-Uzman_D!$F$20&lt;0,-(AH101-Uzman_D!$F$20),AH101-Uzman_D!$F$20)*0.1+IF(AI101-Uzman_D!$G$20&lt;0,-(AI101-Uzman_D!$G$20),AI101-Uzman_D!$G$20)*0.1+IF(AJ101-Uzman_D!$H$20&lt;0,-(AJ101-Uzman_D!$H$20),AJ101-Uzman_D!$H$20)*0.1+IF(AK101-Uzman_D!$I$20&lt;0,-(AK101-Uzman_D!$I$20),AK101-Uzman_D!$I$20)*0.1+IF(AL101-Uzman_D!$J$20&lt;0,-(AL101-Uzman_D!$J$20),AL101-Uzman_D!$J$20)*0.1)+IF(ROUND((IF(AN101-Uzman_D!$L$20&lt;0,-(AN101-Uzman_D!$L$20),AN101-Uzman_D!$L$20)*2),0)/2=IF(AN101-Uzman_D!$L$20&lt;0,-(AN101-Uzman_D!$L$20),AN101-Uzman_D!$L$20),(ROUND((IF(AN101-Uzman_D!$L$20&lt;0,-(AN101-Uzman_D!$L$20),AN101-Uzman_D!$L$20)*2),0)/1*0.1),0)+IF(AO101-Uzman_D!$M$20&lt;0,-(AO101-Uzman_D!$M$20),AO101-Uzman_D!$M$20)*1)</f>
        <v>-0.40000000000000013</v>
      </c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73"/>
      <c r="BB101" s="73"/>
      <c r="BC101" s="71">
        <f>1-(SUM(IF(AQ101-Uzman_D!$B$21&lt;0,-(AQ101-Uzman_D!$B$21),AQ101-Uzman_D!$B$21)*0.1+IF(AR101-Uzman_D!$C$21&lt;0,-(AR101-Uzman_D!$C$21),AR101-Uzman_D!$C$21)*0.1+IF(AS101-Uzman_D!$D$21&lt;0,-(AS101-Uzman_D!$D$21),AS101-Uzman_D!$D$21)*0.1+IF(AT101-Uzman_D!$E$21&lt;0,-(AT101-Uzman_D!$E$21),AT101-Uzman_D!$E$21)*0.1+IF(AU101-Uzman_D!$F$21&lt;0,-(AU101-Uzman_D!$F$21),AU101-Uzman_D!$F$21)*0.1+IF(AV101-Uzman_D!$G$21&lt;0,-(AV101-Uzman_D!$G$21),AV101-Uzman_D!$G$21)*0.1+IF(AW101-Uzman_D!$H$21&lt;0,-(AW101-Uzman_D!$H$21),AW101-Uzman_D!$H$21)*0.1+IF(AX101-Uzman_D!$I$21&lt;0,-(AX101-Uzman_D!$I$21),AX101-Uzman_D!$I$21)*0.1+IF(AY101-Uzman_D!$J$21&lt;0,-(AY101-Uzman_D!$J$21),AY101-Uzman_D!$J$21)*0.1)+IF(ROUND((IF(BA101-Uzman_D!$L$21&lt;0,-(BA101-Uzman_D!$L$21),BA101-Uzman_D!$L$21)*2),0)/2=IF(BA101-Uzman_D!$L$21&lt;0,-(BA101-Uzman_D!$L$21),BA101-Uzman_D!$L$21),(ROUND((IF(BA101-Uzman_D!$L$21&lt;0,-(BA101-Uzman_D!$L$21),BA101-Uzman_D!$L$21)*2),0)/1*0.1),0)+IF(BB101-Uzman_D!$M$21&lt;0,-(BB101-Uzman_D!$M$21),BB101-Uzman_D!$M$21)*1)</f>
        <v>-0.10000000000000009</v>
      </c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73"/>
      <c r="BO101" s="73"/>
      <c r="BP101" s="71">
        <f>1-(SUM(IF(BD101-Uzman_D!$B$22&lt;0,-(BD101-Uzman_D!$B$22),BD101-Uzman_D!$B$22)*0.1+IF(BE101-Uzman_D!$C$22&lt;0,-(BE101-Uzman_D!$C$22),BE101-Uzman_D!$C$22)*0.1+IF(BF101-Uzman_D!$D$22&lt;0,-(BF101-Uzman_D!$D$22),BF101-Uzman_D!$D$22)*0.1+IF(BG101-Uzman_D!$E$22&lt;0,-(BG101-Uzman_D!$E$22),BG101-Uzman_D!$E$22)*0.1+IF(BH101-Uzman_D!$F$22&lt;0,-(BH101-Uzman_D!$F$22),BH101-Uzman_D!$F$22)*0.1+IF(BI101-Uzman_D!$G$22&lt;0,-(BI101-Uzman_D!$G$22),BI101-Uzman_D!$G$22)*0.1+IF(BJ101-Uzman_D!$H$22&lt;0,-(BJ101-Uzman_D!$H$22),BJ101-Uzman_D!$H$22)*0.1+IF(BK101-Uzman_D!$I$22&lt;0,-(BK101-Uzman_D!$I$22),BK101-Uzman_D!$I$22)*0.1+IF(BL101-Uzman_D!$J$22&lt;0,-(BL101-Uzman_D!$J$22),BL101-Uzman_D!$J$22)*0.1)+IF(ROUND((IF(BN101-Uzman_D!$L$22&lt;0,-(BN101-Uzman_D!$L$22),BN101-Uzman_D!$L$22)*2),0)/2=IF(BN101-Uzman_D!$L$22&lt;0,-(BN101-Uzman_D!$L$22),BN101-Uzman_D!$L$22),(ROUND((IF(BN101-Uzman_D!$L$22&lt;0,-(BN101-Uzman_D!$L$22),BN101-Uzman_D!$L$22)*2),0)/1*0.1),0)+IF(BO101-Uzman_D!$M$22&lt;0,-(BO101-Uzman_D!$M$22),BO101-Uzman_D!$M$22)*1)</f>
        <v>-0.10000000000000009</v>
      </c>
      <c r="BQ101" s="72">
        <f t="shared" si="3"/>
        <v>-0.28000000000000014</v>
      </c>
    </row>
    <row r="102" spans="1:69" ht="15" customHeight="1" x14ac:dyDescent="0.45">
      <c r="A102" s="54">
        <v>99</v>
      </c>
      <c r="B102" s="37">
        <f>Hakemler!B102</f>
        <v>0</v>
      </c>
      <c r="C102" s="37">
        <f>Hakemler!C102</f>
        <v>0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73"/>
      <c r="O102" s="73"/>
      <c r="P102" s="71">
        <f>1-(SUM(IF(D102-Uzman_D!$B$18&lt;0,-(D102-Uzman_D!$B$18),D102-Uzman_D!$B$18)*0.1+IF(E102-Uzman_D!$C$18&lt;0,-(E102-Uzman_D!$C$18),E102-Uzman_D!$C$18)*0.1+IF(F102-Uzman_D!$D$18&lt;0,-(F102-Uzman_D!$D$18),F102-Uzman_D!$D$18)*0.1+IF(G102-Uzman_D!$E$18&lt;0,-(G102-Uzman_D!$E$18),G102-Uzman_D!$E$18)*0.1+IF(H102-Uzman_D!$F$18&lt;0,-(H102-Uzman_D!$F$18),H102-Uzman_D!$F$18)*0.1+IF(I102-Uzman_D!$G$18&lt;0,-(I102-Uzman_D!$G$18),I102-Uzman_D!$G$18)*0.1+IF(J102-Uzman_D!$H$18&lt;0,-(J102-Uzman_D!$H$18),J102-Uzman_D!$H$18)*0.1+IF(K102-Uzman_D!$I$18&lt;0,-(K102-Uzman_D!$I$18),K102-Uzman_D!$I$18)*0.1+IF(L102-Uzman_D!$J$18&lt;0,-(L102-Uzman_D!$J$18),L102-Uzman_D!$J$18)*0.1)+IF(ROUND((IF(N102-Uzman_D!$L$18&lt;0,-(N102-Uzman_D!$L$18),N102-Uzman_D!$L$18)*2),0)/2=IF(N102-Uzman_D!$L$18&lt;0,-(N102-Uzman_D!$L$18),N102-Uzman_D!$L$18),(ROUND((IF(N102-Uzman_D!$L$18&lt;0,-(N102-Uzman_D!$L$18),N102-Uzman_D!$L$18)*2),0)/1*0.1),0)+IF(O102-Uzman_D!$M$18&lt;0,-(O102-Uzman_D!$M$18),O102-Uzman_D!$M$18)*1)</f>
        <v>-0.60000000000000009</v>
      </c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73"/>
      <c r="AB102" s="73"/>
      <c r="AC102" s="71">
        <f>1-(SUM(IF(Q102-Uzman_D!$B$19&lt;0,-(Q102-Uzman_D!$B$19),Q102-Uzman_D!$B$19)*0.1+IF(R102-Uzman_D!$C$19&lt;0,-(R102-Uzman_D!$C$19),R102-Uzman_D!$C$19)*0.1+IF(S102-Uzman_D!$D$19&lt;0,-(S102-Uzman_D!$D$19),S102-Uzman_D!$D$19)*0.1+IF(T102-Uzman_D!$E$19&lt;0,-(T102-Uzman_D!$E$19),T102-Uzman_D!$E$19)*0.1+IF(U102-Uzman_D!$F$19&lt;0,-(U102-Uzman_D!$F$19),U102-Uzman_D!$F$19)*0.1+IF(V102-Uzman_D!$G$19&lt;0,-(V102-Uzman_D!$G$19),V102-Uzman_D!$G$19)*0.1+IF(W102-Uzman_D!$H$19&lt;0,-(W102-Uzman_D!$H$19),W102-Uzman_D!$H$19)*0.1+IF(X102-Uzman_D!$I$19&lt;0,-(X102-Uzman_D!$I$19),X102-Uzman_D!$I$19)*0.1+IF(Y102-Uzman_D!$J$19&lt;0,-(Y102-Uzman_D!$J$19),Y102-Uzman_D!$J$19)*0.1)+IF(ROUND((IF(AA102-Uzman_D!$L$19&lt;0,-(AA102-Uzman_D!$L$19),AA102-Uzman_D!$L$19)*2),0)/2=IF(AA102-Uzman_D!$L$19&lt;0,-(AA102-Uzman_D!$L$19),AA102-Uzman_D!$L$19),(ROUND((IF(AA102-Uzman_D!$L$19&lt;0,-(AA102-Uzman_D!$L$19),AA102-Uzman_D!$L$19)*2),0)/1*0.1),0)+IF(AB102-Uzman_D!$M$19&lt;0,-(AB102-Uzman_D!$M$19),AB102-Uzman_D!$M$19)*1)</f>
        <v>-0.20000000000000018</v>
      </c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73"/>
      <c r="AO102" s="73"/>
      <c r="AP102" s="71">
        <f>1-(SUM(IF(AD102-Uzman_D!$B$20&lt;0,-(AD102-Uzman_D!$B$20),AD102-Uzman_D!$B$20)*0.1+IF(AE102-Uzman_D!$C$20&lt;0,-(AE102-Uzman_D!$C$20),AE102-Uzman_D!$C$20)*0.1+IF(AF102-Uzman_D!$D$20&lt;0,-(AF102-Uzman_D!$D$20),AF102-Uzman_D!$D$20)*0.1+IF(AG102-Uzman_D!$E$20&lt;0,-(AG102-Uzman_D!$E$20),AG102-Uzman_D!$E$20)*0.1+IF(AH102-Uzman_D!$F$20&lt;0,-(AH102-Uzman_D!$F$20),AH102-Uzman_D!$F$20)*0.1+IF(AI102-Uzman_D!$G$20&lt;0,-(AI102-Uzman_D!$G$20),AI102-Uzman_D!$G$20)*0.1+IF(AJ102-Uzman_D!$H$20&lt;0,-(AJ102-Uzman_D!$H$20),AJ102-Uzman_D!$H$20)*0.1+IF(AK102-Uzman_D!$I$20&lt;0,-(AK102-Uzman_D!$I$20),AK102-Uzman_D!$I$20)*0.1+IF(AL102-Uzman_D!$J$20&lt;0,-(AL102-Uzman_D!$J$20),AL102-Uzman_D!$J$20)*0.1)+IF(ROUND((IF(AN102-Uzman_D!$L$20&lt;0,-(AN102-Uzman_D!$L$20),AN102-Uzman_D!$L$20)*2),0)/2=IF(AN102-Uzman_D!$L$20&lt;0,-(AN102-Uzman_D!$L$20),AN102-Uzman_D!$L$20),(ROUND((IF(AN102-Uzman_D!$L$20&lt;0,-(AN102-Uzman_D!$L$20),AN102-Uzman_D!$L$20)*2),0)/1*0.1),0)+IF(AO102-Uzman_D!$M$20&lt;0,-(AO102-Uzman_D!$M$20),AO102-Uzman_D!$M$20)*1)</f>
        <v>-0.40000000000000013</v>
      </c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73"/>
      <c r="BB102" s="73"/>
      <c r="BC102" s="71">
        <f>1-(SUM(IF(AQ102-Uzman_D!$B$21&lt;0,-(AQ102-Uzman_D!$B$21),AQ102-Uzman_D!$B$21)*0.1+IF(AR102-Uzman_D!$C$21&lt;0,-(AR102-Uzman_D!$C$21),AR102-Uzman_D!$C$21)*0.1+IF(AS102-Uzman_D!$D$21&lt;0,-(AS102-Uzman_D!$D$21),AS102-Uzman_D!$D$21)*0.1+IF(AT102-Uzman_D!$E$21&lt;0,-(AT102-Uzman_D!$E$21),AT102-Uzman_D!$E$21)*0.1+IF(AU102-Uzman_D!$F$21&lt;0,-(AU102-Uzman_D!$F$21),AU102-Uzman_D!$F$21)*0.1+IF(AV102-Uzman_D!$G$21&lt;0,-(AV102-Uzman_D!$G$21),AV102-Uzman_D!$G$21)*0.1+IF(AW102-Uzman_D!$H$21&lt;0,-(AW102-Uzman_D!$H$21),AW102-Uzman_D!$H$21)*0.1+IF(AX102-Uzman_D!$I$21&lt;0,-(AX102-Uzman_D!$I$21),AX102-Uzman_D!$I$21)*0.1+IF(AY102-Uzman_D!$J$21&lt;0,-(AY102-Uzman_D!$J$21),AY102-Uzman_D!$J$21)*0.1)+IF(ROUND((IF(BA102-Uzman_D!$L$21&lt;0,-(BA102-Uzman_D!$L$21),BA102-Uzman_D!$L$21)*2),0)/2=IF(BA102-Uzman_D!$L$21&lt;0,-(BA102-Uzman_D!$L$21),BA102-Uzman_D!$L$21),(ROUND((IF(BA102-Uzman_D!$L$21&lt;0,-(BA102-Uzman_D!$L$21),BA102-Uzman_D!$L$21)*2),0)/1*0.1),0)+IF(BB102-Uzman_D!$M$21&lt;0,-(BB102-Uzman_D!$M$21),BB102-Uzman_D!$M$21)*1)</f>
        <v>-0.10000000000000009</v>
      </c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73"/>
      <c r="BO102" s="73"/>
      <c r="BP102" s="71">
        <f>1-(SUM(IF(BD102-Uzman_D!$B$22&lt;0,-(BD102-Uzman_D!$B$22),BD102-Uzman_D!$B$22)*0.1+IF(BE102-Uzman_D!$C$22&lt;0,-(BE102-Uzman_D!$C$22),BE102-Uzman_D!$C$22)*0.1+IF(BF102-Uzman_D!$D$22&lt;0,-(BF102-Uzman_D!$D$22),BF102-Uzman_D!$D$22)*0.1+IF(BG102-Uzman_D!$E$22&lt;0,-(BG102-Uzman_D!$E$22),BG102-Uzman_D!$E$22)*0.1+IF(BH102-Uzman_D!$F$22&lt;0,-(BH102-Uzman_D!$F$22),BH102-Uzman_D!$F$22)*0.1+IF(BI102-Uzman_D!$G$22&lt;0,-(BI102-Uzman_D!$G$22),BI102-Uzman_D!$G$22)*0.1+IF(BJ102-Uzman_D!$H$22&lt;0,-(BJ102-Uzman_D!$H$22),BJ102-Uzman_D!$H$22)*0.1+IF(BK102-Uzman_D!$I$22&lt;0,-(BK102-Uzman_D!$I$22),BK102-Uzman_D!$I$22)*0.1+IF(BL102-Uzman_D!$J$22&lt;0,-(BL102-Uzman_D!$J$22),BL102-Uzman_D!$J$22)*0.1)+IF(ROUND((IF(BN102-Uzman_D!$L$22&lt;0,-(BN102-Uzman_D!$L$22),BN102-Uzman_D!$L$22)*2),0)/2=IF(BN102-Uzman_D!$L$22&lt;0,-(BN102-Uzman_D!$L$22),BN102-Uzman_D!$L$22),(ROUND((IF(BN102-Uzman_D!$L$22&lt;0,-(BN102-Uzman_D!$L$22),BN102-Uzman_D!$L$22)*2),0)/1*0.1),0)+IF(BO102-Uzman_D!$M$22&lt;0,-(BO102-Uzman_D!$M$22),BO102-Uzman_D!$M$22)*1)</f>
        <v>-0.10000000000000009</v>
      </c>
      <c r="BQ102" s="72">
        <f t="shared" si="3"/>
        <v>-0.28000000000000014</v>
      </c>
    </row>
    <row r="103" spans="1:69" ht="15.75" customHeight="1" x14ac:dyDescent="0.45">
      <c r="A103" s="74">
        <v>100</v>
      </c>
      <c r="B103" s="37">
        <f>Hakemler!B103</f>
        <v>0</v>
      </c>
      <c r="C103" s="37">
        <f>Hakemler!C103</f>
        <v>0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73"/>
      <c r="O103" s="73"/>
      <c r="P103" s="71">
        <f>1-(SUM(IF(D103-Uzman_D!$B$18&lt;0,-(D103-Uzman_D!$B$18),D103-Uzman_D!$B$18)*0.1+IF(E103-Uzman_D!$C$18&lt;0,-(E103-Uzman_D!$C$18),E103-Uzman_D!$C$18)*0.1+IF(F103-Uzman_D!$D$18&lt;0,-(F103-Uzman_D!$D$18),F103-Uzman_D!$D$18)*0.1+IF(G103-Uzman_D!$E$18&lt;0,-(G103-Uzman_D!$E$18),G103-Uzman_D!$E$18)*0.1+IF(H103-Uzman_D!$F$18&lt;0,-(H103-Uzman_D!$F$18),H103-Uzman_D!$F$18)*0.1+IF(I103-Uzman_D!$G$18&lt;0,-(I103-Uzman_D!$G$18),I103-Uzman_D!$G$18)*0.1+IF(J103-Uzman_D!$H$18&lt;0,-(J103-Uzman_D!$H$18),J103-Uzman_D!$H$18)*0.1+IF(K103-Uzman_D!$I$18&lt;0,-(K103-Uzman_D!$I$18),K103-Uzman_D!$I$18)*0.1+IF(L103-Uzman_D!$J$18&lt;0,-(L103-Uzman_D!$J$18),L103-Uzman_D!$J$18)*0.1)+IF(ROUND((IF(N103-Uzman_D!$L$18&lt;0,-(N103-Uzman_D!$L$18),N103-Uzman_D!$L$18)*2),0)/2=IF(N103-Uzman_D!$L$18&lt;0,-(N103-Uzman_D!$L$18),N103-Uzman_D!$L$18),(ROUND((IF(N103-Uzman_D!$L$18&lt;0,-(N103-Uzman_D!$L$18),N103-Uzman_D!$L$18)*2),0)/1*0.1),0)+IF(O103-Uzman_D!$M$18&lt;0,-(O103-Uzman_D!$M$18),O103-Uzman_D!$M$18)*1)</f>
        <v>-0.60000000000000009</v>
      </c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73"/>
      <c r="AB103" s="73"/>
      <c r="AC103" s="71">
        <f>1-(SUM(IF(Q103-Uzman_D!$B$19&lt;0,-(Q103-Uzman_D!$B$19),Q103-Uzman_D!$B$19)*0.1+IF(R103-Uzman_D!$C$19&lt;0,-(R103-Uzman_D!$C$19),R103-Uzman_D!$C$19)*0.1+IF(S103-Uzman_D!$D$19&lt;0,-(S103-Uzman_D!$D$19),S103-Uzman_D!$D$19)*0.1+IF(T103-Uzman_D!$E$19&lt;0,-(T103-Uzman_D!$E$19),T103-Uzman_D!$E$19)*0.1+IF(U103-Uzman_D!$F$19&lt;0,-(U103-Uzman_D!$F$19),U103-Uzman_D!$F$19)*0.1+IF(V103-Uzman_D!$G$19&lt;0,-(V103-Uzman_D!$G$19),V103-Uzman_D!$G$19)*0.1+IF(W103-Uzman_D!$H$19&lt;0,-(W103-Uzman_D!$H$19),W103-Uzman_D!$H$19)*0.1+IF(X103-Uzman_D!$I$19&lt;0,-(X103-Uzman_D!$I$19),X103-Uzman_D!$I$19)*0.1+IF(Y103-Uzman_D!$J$19&lt;0,-(Y103-Uzman_D!$J$19),Y103-Uzman_D!$J$19)*0.1)+IF(ROUND((IF(AA103-Uzman_D!$L$19&lt;0,-(AA103-Uzman_D!$L$19),AA103-Uzman_D!$L$19)*2),0)/2=IF(AA103-Uzman_D!$L$19&lt;0,-(AA103-Uzman_D!$L$19),AA103-Uzman_D!$L$19),(ROUND((IF(AA103-Uzman_D!$L$19&lt;0,-(AA103-Uzman_D!$L$19),AA103-Uzman_D!$L$19)*2),0)/1*0.1),0)+IF(AB103-Uzman_D!$M$19&lt;0,-(AB103-Uzman_D!$M$19),AB103-Uzman_D!$M$19)*1)</f>
        <v>-0.20000000000000018</v>
      </c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73"/>
      <c r="AO103" s="73"/>
      <c r="AP103" s="71">
        <f>1-(SUM(IF(AD103-Uzman_D!$B$20&lt;0,-(AD103-Uzman_D!$B$20),AD103-Uzman_D!$B$20)*0.1+IF(AE103-Uzman_D!$C$20&lt;0,-(AE103-Uzman_D!$C$20),AE103-Uzman_D!$C$20)*0.1+IF(AF103-Uzman_D!$D$20&lt;0,-(AF103-Uzman_D!$D$20),AF103-Uzman_D!$D$20)*0.1+IF(AG103-Uzman_D!$E$20&lt;0,-(AG103-Uzman_D!$E$20),AG103-Uzman_D!$E$20)*0.1+IF(AH103-Uzman_D!$F$20&lt;0,-(AH103-Uzman_D!$F$20),AH103-Uzman_D!$F$20)*0.1+IF(AI103-Uzman_D!$G$20&lt;0,-(AI103-Uzman_D!$G$20),AI103-Uzman_D!$G$20)*0.1+IF(AJ103-Uzman_D!$H$20&lt;0,-(AJ103-Uzman_D!$H$20),AJ103-Uzman_D!$H$20)*0.1+IF(AK103-Uzman_D!$I$20&lt;0,-(AK103-Uzman_D!$I$20),AK103-Uzman_D!$I$20)*0.1+IF(AL103-Uzman_D!$J$20&lt;0,-(AL103-Uzman_D!$J$20),AL103-Uzman_D!$J$20)*0.1)+IF(ROUND((IF(AN103-Uzman_D!$L$20&lt;0,-(AN103-Uzman_D!$L$20),AN103-Uzman_D!$L$20)*2),0)/2=IF(AN103-Uzman_D!$L$20&lt;0,-(AN103-Uzman_D!$L$20),AN103-Uzman_D!$L$20),(ROUND((IF(AN103-Uzman_D!$L$20&lt;0,-(AN103-Uzman_D!$L$20),AN103-Uzman_D!$L$20)*2),0)/1*0.1),0)+IF(AO103-Uzman_D!$M$20&lt;0,-(AO103-Uzman_D!$M$20),AO103-Uzman_D!$M$20)*1)</f>
        <v>-0.40000000000000013</v>
      </c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73"/>
      <c r="BB103" s="73"/>
      <c r="BC103" s="71">
        <f>1-(SUM(IF(AQ103-Uzman_D!$B$21&lt;0,-(AQ103-Uzman_D!$B$21),AQ103-Uzman_D!$B$21)*0.1+IF(AR103-Uzman_D!$C$21&lt;0,-(AR103-Uzman_D!$C$21),AR103-Uzman_D!$C$21)*0.1+IF(AS103-Uzman_D!$D$21&lt;0,-(AS103-Uzman_D!$D$21),AS103-Uzman_D!$D$21)*0.1+IF(AT103-Uzman_D!$E$21&lt;0,-(AT103-Uzman_D!$E$21),AT103-Uzman_D!$E$21)*0.1+IF(AU103-Uzman_D!$F$21&lt;0,-(AU103-Uzman_D!$F$21),AU103-Uzman_D!$F$21)*0.1+IF(AV103-Uzman_D!$G$21&lt;0,-(AV103-Uzman_D!$G$21),AV103-Uzman_D!$G$21)*0.1+IF(AW103-Uzman_D!$H$21&lt;0,-(AW103-Uzman_D!$H$21),AW103-Uzman_D!$H$21)*0.1+IF(AX103-Uzman_D!$I$21&lt;0,-(AX103-Uzman_D!$I$21),AX103-Uzman_D!$I$21)*0.1+IF(AY103-Uzman_D!$J$21&lt;0,-(AY103-Uzman_D!$J$21),AY103-Uzman_D!$J$21)*0.1)+IF(ROUND((IF(BA103-Uzman_D!$L$21&lt;0,-(BA103-Uzman_D!$L$21),BA103-Uzman_D!$L$21)*2),0)/2=IF(BA103-Uzman_D!$L$21&lt;0,-(BA103-Uzman_D!$L$21),BA103-Uzman_D!$L$21),(ROUND((IF(BA103-Uzman_D!$L$21&lt;0,-(BA103-Uzman_D!$L$21),BA103-Uzman_D!$L$21)*2),0)/1*0.1),0)+IF(BB103-Uzman_D!$M$21&lt;0,-(BB103-Uzman_D!$M$21),BB103-Uzman_D!$M$21)*1)</f>
        <v>-0.10000000000000009</v>
      </c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73"/>
      <c r="BO103" s="73"/>
      <c r="BP103" s="71">
        <f>1-(SUM(IF(BD103-Uzman_D!$B$22&lt;0,-(BD103-Uzman_D!$B$22),BD103-Uzman_D!$B$22)*0.1+IF(BE103-Uzman_D!$C$22&lt;0,-(BE103-Uzman_D!$C$22),BE103-Uzman_D!$C$22)*0.1+IF(BF103-Uzman_D!$D$22&lt;0,-(BF103-Uzman_D!$D$22),BF103-Uzman_D!$D$22)*0.1+IF(BG103-Uzman_D!$E$22&lt;0,-(BG103-Uzman_D!$E$22),BG103-Uzman_D!$E$22)*0.1+IF(BH103-Uzman_D!$F$22&lt;0,-(BH103-Uzman_D!$F$22),BH103-Uzman_D!$F$22)*0.1+IF(BI103-Uzman_D!$G$22&lt;0,-(BI103-Uzman_D!$G$22),BI103-Uzman_D!$G$22)*0.1+IF(BJ103-Uzman_D!$H$22&lt;0,-(BJ103-Uzman_D!$H$22),BJ103-Uzman_D!$H$22)*0.1+IF(BK103-Uzman_D!$I$22&lt;0,-(BK103-Uzman_D!$I$22),BK103-Uzman_D!$I$22)*0.1+IF(BL103-Uzman_D!$J$22&lt;0,-(BL103-Uzman_D!$J$22),BL103-Uzman_D!$J$22)*0.1)+IF(ROUND((IF(BN103-Uzman_D!$L$22&lt;0,-(BN103-Uzman_D!$L$22),BN103-Uzman_D!$L$22)*2),0)/2=IF(BN103-Uzman_D!$L$22&lt;0,-(BN103-Uzman_D!$L$22),BN103-Uzman_D!$L$22),(ROUND((IF(BN103-Uzman_D!$L$22&lt;0,-(BN103-Uzman_D!$L$22),BN103-Uzman_D!$L$22)*2),0)/1*0.1),0)+IF(BO103-Uzman_D!$M$22&lt;0,-(BO103-Uzman_D!$M$22),BO103-Uzman_D!$M$22)*1)</f>
        <v>-0.10000000000000009</v>
      </c>
      <c r="BQ103" s="72">
        <f t="shared" si="3"/>
        <v>-0.28000000000000014</v>
      </c>
    </row>
  </sheetData>
  <mergeCells count="9">
    <mergeCell ref="D2:P2"/>
    <mergeCell ref="C2:C3"/>
    <mergeCell ref="Q2:AC2"/>
    <mergeCell ref="AD2:AP2"/>
    <mergeCell ref="A1:BQ1"/>
    <mergeCell ref="B2:B3"/>
    <mergeCell ref="AQ2:BC2"/>
    <mergeCell ref="BD2:BP2"/>
    <mergeCell ref="A2:A3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03"/>
  <sheetViews>
    <sheetView showGridLines="0" topLeftCell="A19" workbookViewId="0">
      <selection activeCell="R32" sqref="R32"/>
    </sheetView>
  </sheetViews>
  <sheetFormatPr defaultColWidth="8.796875" defaultRowHeight="15" customHeight="1" x14ac:dyDescent="0.45"/>
  <cols>
    <col min="1" max="1" width="3.46484375" style="1" customWidth="1"/>
    <col min="2" max="2" width="16.46484375" style="1" bestFit="1" customWidth="1"/>
    <col min="3" max="3" width="19.19921875" style="1" customWidth="1"/>
    <col min="4" max="18" width="5.46484375" style="1" customWidth="1"/>
    <col min="19" max="19" width="9.46484375" style="1" customWidth="1"/>
    <col min="20" max="256" width="8.86328125" style="1" customWidth="1"/>
  </cols>
  <sheetData>
    <row r="1" spans="1:36" ht="18.75" customHeight="1" x14ac:dyDescent="0.45">
      <c r="A1" s="191" t="s">
        <v>89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3"/>
      <c r="T1" s="41"/>
      <c r="U1" s="42"/>
      <c r="V1" s="42"/>
      <c r="W1" s="42"/>
      <c r="X1" s="42"/>
      <c r="Y1" s="42"/>
      <c r="Z1" s="42"/>
      <c r="AA1" s="42"/>
      <c r="AB1" s="42"/>
      <c r="AC1" s="42"/>
      <c r="AD1" s="42"/>
      <c r="AE1" s="25"/>
      <c r="AF1" s="25"/>
      <c r="AG1" s="25"/>
      <c r="AH1" s="25"/>
      <c r="AI1" s="25"/>
      <c r="AJ1" s="25"/>
    </row>
    <row r="2" spans="1:36" ht="15.75" customHeight="1" x14ac:dyDescent="0.45">
      <c r="A2" s="187" t="s">
        <v>9</v>
      </c>
      <c r="B2" s="220" t="s">
        <v>10</v>
      </c>
      <c r="C2" s="222" t="s">
        <v>11</v>
      </c>
      <c r="D2" s="189" t="s">
        <v>67</v>
      </c>
      <c r="E2" s="201"/>
      <c r="F2" s="190"/>
      <c r="G2" s="194" t="s">
        <v>68</v>
      </c>
      <c r="H2" s="200"/>
      <c r="I2" s="195"/>
      <c r="J2" s="189" t="s">
        <v>69</v>
      </c>
      <c r="K2" s="201"/>
      <c r="L2" s="190"/>
      <c r="M2" s="194" t="s">
        <v>70</v>
      </c>
      <c r="N2" s="200"/>
      <c r="O2" s="195"/>
      <c r="P2" s="189" t="s">
        <v>71</v>
      </c>
      <c r="Q2" s="201"/>
      <c r="R2" s="190"/>
      <c r="S2" s="43"/>
      <c r="T2" s="4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ht="15.75" customHeight="1" x14ac:dyDescent="0.45">
      <c r="A3" s="188"/>
      <c r="B3" s="221"/>
      <c r="C3" s="223"/>
      <c r="D3" s="45" t="s">
        <v>67</v>
      </c>
      <c r="E3" s="59" t="s">
        <v>72</v>
      </c>
      <c r="F3" s="47" t="s">
        <v>64</v>
      </c>
      <c r="G3" s="45" t="s">
        <v>68</v>
      </c>
      <c r="H3" s="59" t="s">
        <v>72</v>
      </c>
      <c r="I3" s="47" t="s">
        <v>64</v>
      </c>
      <c r="J3" s="45" t="s">
        <v>69</v>
      </c>
      <c r="K3" s="59" t="s">
        <v>72</v>
      </c>
      <c r="L3" s="47" t="s">
        <v>64</v>
      </c>
      <c r="M3" s="45" t="s">
        <v>70</v>
      </c>
      <c r="N3" s="59" t="s">
        <v>72</v>
      </c>
      <c r="O3" s="47" t="s">
        <v>64</v>
      </c>
      <c r="P3" s="45" t="s">
        <v>71</v>
      </c>
      <c r="Q3" s="59" t="s">
        <v>72</v>
      </c>
      <c r="R3" s="47" t="s">
        <v>64</v>
      </c>
      <c r="S3" s="48" t="s">
        <v>65</v>
      </c>
      <c r="T3" s="49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ht="15.5" customHeight="1" x14ac:dyDescent="0.45">
      <c r="A4" s="50">
        <v>1</v>
      </c>
      <c r="B4" s="78" t="str">
        <f>Hakemler!B4</f>
        <v>YAZICI</v>
      </c>
      <c r="C4" s="79" t="str">
        <f>Hakemler!C4</f>
        <v>SUZAN</v>
      </c>
      <c r="D4" s="51">
        <v>2.2000000000000002</v>
      </c>
      <c r="E4" s="60">
        <f>IF(ISBLANK(D4),0,ABS(Uzman_E!A$13-D4))</f>
        <v>9.9999999999999645E-2</v>
      </c>
      <c r="F4" s="52">
        <f>IF(ISBLANK(D4),0,INDEX(Tablo_E!$B$2:$CX$102,MATCH(ROUND(Uzman_E!A$13,1),Tablo_E!$A$2:$A$102,1),MATCH(ROUND(E4,1),Tablo_E!$B$1:$CX$1,1)))</f>
        <v>1</v>
      </c>
      <c r="G4" s="51">
        <v>3.2</v>
      </c>
      <c r="H4" s="60">
        <f>IF(ISBLANK(G4),0,ABS(Uzman_E!B$13-G4))</f>
        <v>0.10000000000000009</v>
      </c>
      <c r="I4" s="52">
        <f>IF(ISBLANK(G4),0,INDEX(Tablo_E!$B$2:$CX$102,MATCH(ROUND(Uzman_E!B$13,1),Tablo_E!$A$2:$A$102,1),MATCH(ROUND(H4,1),Tablo_E!$B$1:$CX$1,1)))</f>
        <v>1</v>
      </c>
      <c r="J4" s="51">
        <v>2.5</v>
      </c>
      <c r="K4" s="60">
        <f>IF(ISBLANK(J4),0,ABS(Uzman_E!C$13-J4))</f>
        <v>0.5</v>
      </c>
      <c r="L4" s="52">
        <f>IF(ISBLANK(J4),0,INDEX(Tablo_E!$B$2:$CX$102,MATCH(ROUND(Uzman_E!C$13,1),Tablo_E!$A$2:$A$102,1),MATCH(ROUND(K4,1),Tablo_E!$B$1:$CX$1,1)))</f>
        <v>0.95</v>
      </c>
      <c r="M4" s="51">
        <v>2.4</v>
      </c>
      <c r="N4" s="60">
        <f>IF(ISBLANK(M4),0,ABS(Uzman_E!D$13-M4))</f>
        <v>0</v>
      </c>
      <c r="O4" s="52">
        <f>IF(ISBLANK(M4),0,INDEX(Tablo_E!$B$2:$CX$102,MATCH(ROUND(Uzman_E!D$13,1),Tablo_E!$A$2:$A$102,1),MATCH(ROUND(N4,1),Tablo_E!$B$1:$CX$1,1)))</f>
        <v>1</v>
      </c>
      <c r="P4" s="51">
        <v>2.5</v>
      </c>
      <c r="Q4" s="60">
        <f>IF(ISBLANK(P4),0,ABS(Uzman_E!E$13-P4))</f>
        <v>0.60000000000000009</v>
      </c>
      <c r="R4" s="52">
        <f>IF(ISBLANK(P4),0,INDEX(Tablo_E!$B$2:$CX$102,MATCH(ROUND(Uzman_E!E$13,1),Tablo_E!$A$2:$A$102,1),MATCH(ROUND(Q4,1),Tablo_E!$B$1:$CX$1,1)))</f>
        <v>0.7</v>
      </c>
      <c r="S4" s="53">
        <f t="shared" ref="S4:S35" si="0">(F4+I4+L4+O4+R4)/5</f>
        <v>0.93</v>
      </c>
      <c r="T4" s="49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5" customHeight="1" x14ac:dyDescent="0.45">
      <c r="A5" s="54">
        <v>2</v>
      </c>
      <c r="B5" s="80" t="str">
        <f>Hakemler!B5</f>
        <v>ASLAN</v>
      </c>
      <c r="C5" s="81" t="str">
        <f>Hakemler!C5</f>
        <v>SEMA FİDEL</v>
      </c>
      <c r="D5" s="55"/>
      <c r="E5" s="60">
        <f>IF(ISBLANK(D5),0,ABS(Uzman_E!A$13-D5))</f>
        <v>0</v>
      </c>
      <c r="F5" s="52">
        <f>IF(ISBLANK(D5),0,INDEX(Tablo_E!$B$2:$CX$102,MATCH(ROUND(Uzman_E!A$13,1),Tablo_E!$A$2:$A$102,1),MATCH(ROUND(E5,1),Tablo_E!$B$1:$CX$1,1)))</f>
        <v>0</v>
      </c>
      <c r="G5" s="55"/>
      <c r="H5" s="60">
        <f>IF(ISBLANK(G5),0,ABS(Uzman_E!B$13-G5))</f>
        <v>0</v>
      </c>
      <c r="I5" s="52">
        <f>IF(ISBLANK(G5),0,INDEX(Tablo_E!$B$2:$CX$102,MATCH(ROUND(Uzman_E!B$13,1),Tablo_E!$A$2:$A$102,1),MATCH(ROUND(H5,1),Tablo_E!$B$1:$CX$1,1)))</f>
        <v>0</v>
      </c>
      <c r="J5" s="55"/>
      <c r="K5" s="60">
        <f>IF(ISBLANK(J5),0,ABS(Uzman_E!C$13-J5))</f>
        <v>0</v>
      </c>
      <c r="L5" s="52">
        <f>IF(ISBLANK(J5),0,INDEX(Tablo_E!$B$2:$CX$102,MATCH(ROUND(Uzman_E!C$13,1),Tablo_E!$A$2:$A$102,1),MATCH(ROUND(K5,1),Tablo_E!$B$1:$CX$1,1)))</f>
        <v>0</v>
      </c>
      <c r="M5" s="55"/>
      <c r="N5" s="60">
        <f>IF(ISBLANK(M5),0,ABS(Uzman_E!D$13-M5))</f>
        <v>0</v>
      </c>
      <c r="O5" s="52">
        <f>IF(ISBLANK(M5),0,INDEX(Tablo_E!$B$2:$CX$102,MATCH(ROUND(Uzman_E!D$13,1),Tablo_E!$A$2:$A$102,1),MATCH(ROUND(N5,1),Tablo_E!$B$1:$CX$1,1)))</f>
        <v>0</v>
      </c>
      <c r="P5" s="55"/>
      <c r="Q5" s="60">
        <f>IF(ISBLANK(P5),0,ABS(Uzman_E!E$13-P5))</f>
        <v>0</v>
      </c>
      <c r="R5" s="52">
        <f>IF(ISBLANK(P5),0,INDEX(Tablo_E!$B$2:$CX$102,MATCH(ROUND(Uzman_E!E$13,1),Tablo_E!$A$2:$A$102,1),MATCH(ROUND(Q5,1),Tablo_E!$B$1:$CX$1,1)))</f>
        <v>0</v>
      </c>
      <c r="S5" s="53">
        <f t="shared" si="0"/>
        <v>0</v>
      </c>
      <c r="T5" s="49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5" customHeight="1" x14ac:dyDescent="0.45">
      <c r="A6" s="54">
        <v>3</v>
      </c>
      <c r="B6" s="80" t="str">
        <f>Hakemler!B6</f>
        <v>TUNA</v>
      </c>
      <c r="C6" s="81" t="str">
        <f>Hakemler!C6</f>
        <v>MUNİSE</v>
      </c>
      <c r="D6" s="55"/>
      <c r="E6" s="60">
        <f>IF(ISBLANK(D6),0,ABS(Uzman_E!A$13-D6))</f>
        <v>0</v>
      </c>
      <c r="F6" s="52">
        <f>IF(ISBLANK(D6),0,INDEX(Tablo_E!$B$2:$CX$102,MATCH(ROUND(Uzman_E!A$13,1),Tablo_E!$A$2:$A$102,1),MATCH(ROUND(E6,1),Tablo_E!$B$1:$CX$1,1)))</f>
        <v>0</v>
      </c>
      <c r="G6" s="55"/>
      <c r="H6" s="60">
        <f>IF(ISBLANK(G6),0,ABS(Uzman_E!B$13-G6))</f>
        <v>0</v>
      </c>
      <c r="I6" s="52">
        <f>IF(ISBLANK(G6),0,INDEX(Tablo_E!$B$2:$CX$102,MATCH(ROUND(Uzman_E!B$13,1),Tablo_E!$A$2:$A$102,1),MATCH(ROUND(H6,1),Tablo_E!$B$1:$CX$1,1)))</f>
        <v>0</v>
      </c>
      <c r="J6" s="55"/>
      <c r="K6" s="60">
        <f>IF(ISBLANK(J6),0,ABS(Uzman_E!C$13-J6))</f>
        <v>0</v>
      </c>
      <c r="L6" s="52">
        <f>IF(ISBLANK(J6),0,INDEX(Tablo_E!$B$2:$CX$102,MATCH(ROUND(Uzman_E!C$13,1),Tablo_E!$A$2:$A$102,1),MATCH(ROUND(K6,1),Tablo_E!$B$1:$CX$1,1)))</f>
        <v>0</v>
      </c>
      <c r="M6" s="55"/>
      <c r="N6" s="60">
        <f>IF(ISBLANK(M6),0,ABS(Uzman_E!D$13-M6))</f>
        <v>0</v>
      </c>
      <c r="O6" s="52">
        <f>IF(ISBLANK(M6),0,INDEX(Tablo_E!$B$2:$CX$102,MATCH(ROUND(Uzman_E!D$13,1),Tablo_E!$A$2:$A$102,1),MATCH(ROUND(N6,1),Tablo_E!$B$1:$CX$1,1)))</f>
        <v>0</v>
      </c>
      <c r="P6" s="55"/>
      <c r="Q6" s="60">
        <f>IF(ISBLANK(P6),0,ABS(Uzman_E!E$13-P6))</f>
        <v>0</v>
      </c>
      <c r="R6" s="52">
        <f>IF(ISBLANK(P6),0,INDEX(Tablo_E!$B$2:$CX$102,MATCH(ROUND(Uzman_E!E$13,1),Tablo_E!$A$2:$A$102,1),MATCH(ROUND(Q6,1),Tablo_E!$B$1:$CX$1,1)))</f>
        <v>0</v>
      </c>
      <c r="S6" s="53">
        <f t="shared" si="0"/>
        <v>0</v>
      </c>
      <c r="T6" s="49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 spans="1:36" ht="15" customHeight="1" x14ac:dyDescent="0.45">
      <c r="A7" s="54">
        <v>4</v>
      </c>
      <c r="B7" s="80" t="str">
        <f>Hakemler!B7</f>
        <v>ÜNAL</v>
      </c>
      <c r="C7" s="81" t="str">
        <f>Hakemler!C7</f>
        <v>FATMA HANIM</v>
      </c>
      <c r="D7" s="55"/>
      <c r="E7" s="60">
        <f>IF(ISBLANK(D7),0,ABS(Uzman_E!A$13-D7))</f>
        <v>0</v>
      </c>
      <c r="F7" s="52">
        <f>IF(ISBLANK(D7),0,INDEX(Tablo_E!$B$2:$CX$102,MATCH(ROUND(Uzman_E!A$13,1),Tablo_E!$A$2:$A$102,1),MATCH(ROUND(E7,1),Tablo_E!$B$1:$CX$1,1)))</f>
        <v>0</v>
      </c>
      <c r="G7" s="55"/>
      <c r="H7" s="60">
        <f>IF(ISBLANK(G7),0,ABS(Uzman_E!B$13-G7))</f>
        <v>0</v>
      </c>
      <c r="I7" s="52">
        <f>IF(ISBLANK(G7),0,INDEX(Tablo_E!$B$2:$CX$102,MATCH(ROUND(Uzman_E!B$13,1),Tablo_E!$A$2:$A$102,1),MATCH(ROUND(H7,1),Tablo_E!$B$1:$CX$1,1)))</f>
        <v>0</v>
      </c>
      <c r="J7" s="55"/>
      <c r="K7" s="60">
        <f>IF(ISBLANK(J7),0,ABS(Uzman_E!C$13-J7))</f>
        <v>0</v>
      </c>
      <c r="L7" s="52">
        <f>IF(ISBLANK(J7),0,INDEX(Tablo_E!$B$2:$CX$102,MATCH(ROUND(Uzman_E!C$13,1),Tablo_E!$A$2:$A$102,1),MATCH(ROUND(K7,1),Tablo_E!$B$1:$CX$1,1)))</f>
        <v>0</v>
      </c>
      <c r="M7" s="55"/>
      <c r="N7" s="60">
        <f>IF(ISBLANK(M7),0,ABS(Uzman_E!D$13-M7))</f>
        <v>0</v>
      </c>
      <c r="O7" s="52">
        <f>IF(ISBLANK(M7),0,INDEX(Tablo_E!$B$2:$CX$102,MATCH(ROUND(Uzman_E!D$13,1),Tablo_E!$A$2:$A$102,1),MATCH(ROUND(N7,1),Tablo_E!$B$1:$CX$1,1)))</f>
        <v>0</v>
      </c>
      <c r="P7" s="55"/>
      <c r="Q7" s="60">
        <f>IF(ISBLANK(P7),0,ABS(Uzman_E!E$13-P7))</f>
        <v>0</v>
      </c>
      <c r="R7" s="52">
        <f>IF(ISBLANK(P7),0,INDEX(Tablo_E!$B$2:$CX$102,MATCH(ROUND(Uzman_E!E$13,1),Tablo_E!$A$2:$A$102,1),MATCH(ROUND(Q7,1),Tablo_E!$B$1:$CX$1,1)))</f>
        <v>0</v>
      </c>
      <c r="S7" s="53">
        <f t="shared" si="0"/>
        <v>0</v>
      </c>
      <c r="T7" s="49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 spans="1:36" ht="15" customHeight="1" x14ac:dyDescent="0.45">
      <c r="A8" s="54">
        <v>5</v>
      </c>
      <c r="B8" s="80" t="str">
        <f>Hakemler!B8</f>
        <v>BAŞKAN PERÇİN</v>
      </c>
      <c r="C8" s="81" t="str">
        <f>Hakemler!C8</f>
        <v>ÖZGE</v>
      </c>
      <c r="D8" s="55"/>
      <c r="E8" s="60">
        <f>IF(ISBLANK(D8),0,ABS(Uzman_E!A$13-D8))</f>
        <v>0</v>
      </c>
      <c r="F8" s="52">
        <f>IF(ISBLANK(D8),0,INDEX(Tablo_E!$B$2:$CX$102,MATCH(ROUND(Uzman_E!A$13,1),Tablo_E!$A$2:$A$102,1),MATCH(ROUND(E8,1),Tablo_E!$B$1:$CX$1,1)))</f>
        <v>0</v>
      </c>
      <c r="G8" s="55"/>
      <c r="H8" s="60">
        <f>IF(ISBLANK(G8),0,ABS(Uzman_E!B$13-G8))</f>
        <v>0</v>
      </c>
      <c r="I8" s="52">
        <f>IF(ISBLANK(G8),0,INDEX(Tablo_E!$B$2:$CX$102,MATCH(ROUND(Uzman_E!B$13,1),Tablo_E!$A$2:$A$102,1),MATCH(ROUND(H8,1),Tablo_E!$B$1:$CX$1,1)))</f>
        <v>0</v>
      </c>
      <c r="J8" s="55"/>
      <c r="K8" s="60">
        <f>IF(ISBLANK(J8),0,ABS(Uzman_E!C$13-J8))</f>
        <v>0</v>
      </c>
      <c r="L8" s="52">
        <f>IF(ISBLANK(J8),0,INDEX(Tablo_E!$B$2:$CX$102,MATCH(ROUND(Uzman_E!C$13,1),Tablo_E!$A$2:$A$102,1),MATCH(ROUND(K8,1),Tablo_E!$B$1:$CX$1,1)))</f>
        <v>0</v>
      </c>
      <c r="M8" s="55"/>
      <c r="N8" s="60">
        <f>IF(ISBLANK(M8),0,ABS(Uzman_E!D$13-M8))</f>
        <v>0</v>
      </c>
      <c r="O8" s="52">
        <f>IF(ISBLANK(M8),0,INDEX(Tablo_E!$B$2:$CX$102,MATCH(ROUND(Uzman_E!D$13,1),Tablo_E!$A$2:$A$102,1),MATCH(ROUND(N8,1),Tablo_E!$B$1:$CX$1,1)))</f>
        <v>0</v>
      </c>
      <c r="P8" s="55"/>
      <c r="Q8" s="60">
        <f>IF(ISBLANK(P8),0,ABS(Uzman_E!E$13-P8))</f>
        <v>0</v>
      </c>
      <c r="R8" s="52">
        <f>IF(ISBLANK(P8),0,INDEX(Tablo_E!$B$2:$CX$102,MATCH(ROUND(Uzman_E!E$13,1),Tablo_E!$A$2:$A$102,1),MATCH(ROUND(Q8,1),Tablo_E!$B$1:$CX$1,1)))</f>
        <v>0</v>
      </c>
      <c r="S8" s="53">
        <f t="shared" si="0"/>
        <v>0</v>
      </c>
      <c r="T8" s="49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 spans="1:36" ht="15" customHeight="1" x14ac:dyDescent="0.45">
      <c r="A9" s="54">
        <v>6</v>
      </c>
      <c r="B9" s="80" t="str">
        <f>Hakemler!B9</f>
        <v>ŞEN İZMİRLİ</v>
      </c>
      <c r="C9" s="81" t="str">
        <f>Hakemler!C9</f>
        <v>SİNEM</v>
      </c>
      <c r="D9" s="55"/>
      <c r="E9" s="60">
        <f>IF(ISBLANK(D9),0,ABS(Uzman_E!A$13-D9))</f>
        <v>0</v>
      </c>
      <c r="F9" s="52">
        <f>IF(ISBLANK(D9),0,INDEX(Tablo_E!$B$2:$CX$102,MATCH(ROUND(Uzman_E!A$13,1),Tablo_E!$A$2:$A$102,1),MATCH(ROUND(E9,1),Tablo_E!$B$1:$CX$1,1)))</f>
        <v>0</v>
      </c>
      <c r="G9" s="55"/>
      <c r="H9" s="60">
        <f>IF(ISBLANK(G9),0,ABS(Uzman_E!B$13-G9))</f>
        <v>0</v>
      </c>
      <c r="I9" s="52">
        <f>IF(ISBLANK(G9),0,INDEX(Tablo_E!$B$2:$CX$102,MATCH(ROUND(Uzman_E!B$13,1),Tablo_E!$A$2:$A$102,1),MATCH(ROUND(H9,1),Tablo_E!$B$1:$CX$1,1)))</f>
        <v>0</v>
      </c>
      <c r="J9" s="55"/>
      <c r="K9" s="60">
        <f>IF(ISBLANK(J9),0,ABS(Uzman_E!C$13-J9))</f>
        <v>0</v>
      </c>
      <c r="L9" s="52">
        <f>IF(ISBLANK(J9),0,INDEX(Tablo_E!$B$2:$CX$102,MATCH(ROUND(Uzman_E!C$13,1),Tablo_E!$A$2:$A$102,1),MATCH(ROUND(K9,1),Tablo_E!$B$1:$CX$1,1)))</f>
        <v>0</v>
      </c>
      <c r="M9" s="55"/>
      <c r="N9" s="60">
        <f>IF(ISBLANK(M9),0,ABS(Uzman_E!D$13-M9))</f>
        <v>0</v>
      </c>
      <c r="O9" s="52">
        <f>IF(ISBLANK(M9),0,INDEX(Tablo_E!$B$2:$CX$102,MATCH(ROUND(Uzman_E!D$13,1),Tablo_E!$A$2:$A$102,1),MATCH(ROUND(N9,1),Tablo_E!$B$1:$CX$1,1)))</f>
        <v>0</v>
      </c>
      <c r="P9" s="55"/>
      <c r="Q9" s="60">
        <f>IF(ISBLANK(P9),0,ABS(Uzman_E!E$13-P9))</f>
        <v>0</v>
      </c>
      <c r="R9" s="52">
        <f>IF(ISBLANK(P9),0,INDEX(Tablo_E!$B$2:$CX$102,MATCH(ROUND(Uzman_E!E$13,1),Tablo_E!$A$2:$A$102,1),MATCH(ROUND(Q9,1),Tablo_E!$B$1:$CX$1,1)))</f>
        <v>0</v>
      </c>
      <c r="S9" s="53">
        <f t="shared" si="0"/>
        <v>0</v>
      </c>
      <c r="T9" s="49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 spans="1:36" ht="15" customHeight="1" x14ac:dyDescent="0.45">
      <c r="A10" s="54">
        <v>7</v>
      </c>
      <c r="B10" s="80" t="str">
        <f>Hakemler!B10</f>
        <v>YILDIRIMER</v>
      </c>
      <c r="C10" s="81" t="str">
        <f>Hakemler!C10</f>
        <v>BUSE</v>
      </c>
      <c r="D10" s="55"/>
      <c r="E10" s="60">
        <f>IF(ISBLANK(D10),0,ABS(Uzman_E!A$13-D10))</f>
        <v>0</v>
      </c>
      <c r="F10" s="52">
        <f>IF(ISBLANK(D10),0,INDEX(Tablo_E!$B$2:$CX$102,MATCH(ROUND(Uzman_E!A$13,1),Tablo_E!$A$2:$A$102,1),MATCH(ROUND(E10,1),Tablo_E!$B$1:$CX$1,1)))</f>
        <v>0</v>
      </c>
      <c r="G10" s="55"/>
      <c r="H10" s="60">
        <f>IF(ISBLANK(G10),0,ABS(Uzman_E!B$13-G10))</f>
        <v>0</v>
      </c>
      <c r="I10" s="52">
        <f>IF(ISBLANK(G10),0,INDEX(Tablo_E!$B$2:$CX$102,MATCH(ROUND(Uzman_E!B$13,1),Tablo_E!$A$2:$A$102,1),MATCH(ROUND(H10,1),Tablo_E!$B$1:$CX$1,1)))</f>
        <v>0</v>
      </c>
      <c r="J10" s="55"/>
      <c r="K10" s="60">
        <f>IF(ISBLANK(J10),0,ABS(Uzman_E!C$13-J10))</f>
        <v>0</v>
      </c>
      <c r="L10" s="52">
        <f>IF(ISBLANK(J10),0,INDEX(Tablo_E!$B$2:$CX$102,MATCH(ROUND(Uzman_E!C$13,1),Tablo_E!$A$2:$A$102,1),MATCH(ROUND(K10,1),Tablo_E!$B$1:$CX$1,1)))</f>
        <v>0</v>
      </c>
      <c r="M10" s="55"/>
      <c r="N10" s="60">
        <f>IF(ISBLANK(M10),0,ABS(Uzman_E!D$13-M10))</f>
        <v>0</v>
      </c>
      <c r="O10" s="52">
        <f>IF(ISBLANK(M10),0,INDEX(Tablo_E!$B$2:$CX$102,MATCH(ROUND(Uzman_E!D$13,1),Tablo_E!$A$2:$A$102,1),MATCH(ROUND(N10,1),Tablo_E!$B$1:$CX$1,1)))</f>
        <v>0</v>
      </c>
      <c r="P10" s="55"/>
      <c r="Q10" s="60">
        <f>IF(ISBLANK(P10),0,ABS(Uzman_E!E$13-P10))</f>
        <v>0</v>
      </c>
      <c r="R10" s="52">
        <f>IF(ISBLANK(P10),0,INDEX(Tablo_E!$B$2:$CX$102,MATCH(ROUND(Uzman_E!E$13,1),Tablo_E!$A$2:$A$102,1),MATCH(ROUND(Q10,1),Tablo_E!$B$1:$CX$1,1)))</f>
        <v>0</v>
      </c>
      <c r="S10" s="53">
        <f t="shared" si="0"/>
        <v>0</v>
      </c>
      <c r="T10" s="49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 spans="1:36" ht="15" customHeight="1" x14ac:dyDescent="0.45">
      <c r="A11" s="54">
        <v>8</v>
      </c>
      <c r="B11" s="80" t="str">
        <f>Hakemler!B11</f>
        <v>KESKİN</v>
      </c>
      <c r="C11" s="81" t="str">
        <f>Hakemler!C11</f>
        <v>ENFAL</v>
      </c>
      <c r="D11" s="55"/>
      <c r="E11" s="60">
        <f>IF(ISBLANK(D11),0,ABS(Uzman_E!A$13-D11))</f>
        <v>0</v>
      </c>
      <c r="F11" s="52">
        <f>IF(ISBLANK(D11),0,INDEX(Tablo_E!$B$2:$CX$102,MATCH(ROUND(Uzman_E!A$13,1),Tablo_E!$A$2:$A$102,1),MATCH(ROUND(E11,1),Tablo_E!$B$1:$CX$1,1)))</f>
        <v>0</v>
      </c>
      <c r="G11" s="55"/>
      <c r="H11" s="60">
        <f>IF(ISBLANK(G11),0,ABS(Uzman_E!B$13-G11))</f>
        <v>0</v>
      </c>
      <c r="I11" s="52">
        <f>IF(ISBLANK(G11),0,INDEX(Tablo_E!$B$2:$CX$102,MATCH(ROUND(Uzman_E!B$13,1),Tablo_E!$A$2:$A$102,1),MATCH(ROUND(H11,1),Tablo_E!$B$1:$CX$1,1)))</f>
        <v>0</v>
      </c>
      <c r="J11" s="55"/>
      <c r="K11" s="60">
        <f>IF(ISBLANK(J11),0,ABS(Uzman_E!C$13-J11))</f>
        <v>0</v>
      </c>
      <c r="L11" s="52">
        <f>IF(ISBLANK(J11),0,INDEX(Tablo_E!$B$2:$CX$102,MATCH(ROUND(Uzman_E!C$13,1),Tablo_E!$A$2:$A$102,1),MATCH(ROUND(K11,1),Tablo_E!$B$1:$CX$1,1)))</f>
        <v>0</v>
      </c>
      <c r="M11" s="55"/>
      <c r="N11" s="60">
        <f>IF(ISBLANK(M11),0,ABS(Uzman_E!D$13-M11))</f>
        <v>0</v>
      </c>
      <c r="O11" s="52">
        <f>IF(ISBLANK(M11),0,INDEX(Tablo_E!$B$2:$CX$102,MATCH(ROUND(Uzman_E!D$13,1),Tablo_E!$A$2:$A$102,1),MATCH(ROUND(N11,1),Tablo_E!$B$1:$CX$1,1)))</f>
        <v>0</v>
      </c>
      <c r="P11" s="55"/>
      <c r="Q11" s="60">
        <f>IF(ISBLANK(P11),0,ABS(Uzman_E!E$13-P11))</f>
        <v>0</v>
      </c>
      <c r="R11" s="52">
        <f>IF(ISBLANK(P11),0,INDEX(Tablo_E!$B$2:$CX$102,MATCH(ROUND(Uzman_E!E$13,1),Tablo_E!$A$2:$A$102,1),MATCH(ROUND(Q11,1),Tablo_E!$B$1:$CX$1,1)))</f>
        <v>0</v>
      </c>
      <c r="S11" s="53">
        <f t="shared" si="0"/>
        <v>0</v>
      </c>
      <c r="T11" s="49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 spans="1:36" ht="15" customHeight="1" x14ac:dyDescent="0.45">
      <c r="A12" s="54">
        <v>9</v>
      </c>
      <c r="B12" s="80" t="str">
        <f>Hakemler!B12</f>
        <v>ÜNAL</v>
      </c>
      <c r="C12" s="81" t="str">
        <f>Hakemler!C12</f>
        <v>NAZLINEHİR</v>
      </c>
      <c r="D12" s="55"/>
      <c r="E12" s="60">
        <f>IF(ISBLANK(D12),0,ABS(Uzman_E!A$13-D12))</f>
        <v>0</v>
      </c>
      <c r="F12" s="52">
        <f>IF(ISBLANK(D12),0,INDEX(Tablo_E!$B$2:$CX$102,MATCH(ROUND(Uzman_E!A$13,1),Tablo_E!$A$2:$A$102,1),MATCH(ROUND(E12,1),Tablo_E!$B$1:$CX$1,1)))</f>
        <v>0</v>
      </c>
      <c r="G12" s="55"/>
      <c r="H12" s="60">
        <f>IF(ISBLANK(G12),0,ABS(Uzman_E!B$13-G12))</f>
        <v>0</v>
      </c>
      <c r="I12" s="52">
        <f>IF(ISBLANK(G12),0,INDEX(Tablo_E!$B$2:$CX$102,MATCH(ROUND(Uzman_E!B$13,1),Tablo_E!$A$2:$A$102,1),MATCH(ROUND(H12,1),Tablo_E!$B$1:$CX$1,1)))</f>
        <v>0</v>
      </c>
      <c r="J12" s="55"/>
      <c r="K12" s="60">
        <f>IF(ISBLANK(J12),0,ABS(Uzman_E!C$13-J12))</f>
        <v>0</v>
      </c>
      <c r="L12" s="52">
        <f>IF(ISBLANK(J12),0,INDEX(Tablo_E!$B$2:$CX$102,MATCH(ROUND(Uzman_E!C$13,1),Tablo_E!$A$2:$A$102,1),MATCH(ROUND(K12,1),Tablo_E!$B$1:$CX$1,1)))</f>
        <v>0</v>
      </c>
      <c r="M12" s="55"/>
      <c r="N12" s="60">
        <f>IF(ISBLANK(M12),0,ABS(Uzman_E!D$13-M12))</f>
        <v>0</v>
      </c>
      <c r="O12" s="52">
        <f>IF(ISBLANK(M12),0,INDEX(Tablo_E!$B$2:$CX$102,MATCH(ROUND(Uzman_E!D$13,1),Tablo_E!$A$2:$A$102,1),MATCH(ROUND(N12,1),Tablo_E!$B$1:$CX$1,1)))</f>
        <v>0</v>
      </c>
      <c r="P12" s="55"/>
      <c r="Q12" s="60">
        <f>IF(ISBLANK(P12),0,ABS(Uzman_E!E$13-P12))</f>
        <v>0</v>
      </c>
      <c r="R12" s="52">
        <f>IF(ISBLANK(P12),0,INDEX(Tablo_E!$B$2:$CX$102,MATCH(ROUND(Uzman_E!E$13,1),Tablo_E!$A$2:$A$102,1),MATCH(ROUND(Q12,1),Tablo_E!$B$1:$CX$1,1)))</f>
        <v>0</v>
      </c>
      <c r="S12" s="53">
        <f t="shared" si="0"/>
        <v>0</v>
      </c>
      <c r="T12" s="49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 spans="1:36" ht="15" customHeight="1" x14ac:dyDescent="0.45">
      <c r="A13" s="54">
        <v>10</v>
      </c>
      <c r="B13" s="80" t="str">
        <f>Hakemler!B13</f>
        <v>ÜÇTAŞ ŞANLI</v>
      </c>
      <c r="C13" s="81" t="str">
        <f>Hakemler!C13</f>
        <v>GÖKSU</v>
      </c>
      <c r="D13" s="55"/>
      <c r="E13" s="60">
        <f>IF(ISBLANK(D13),0,ABS(Uzman_E!A$13-D13))</f>
        <v>0</v>
      </c>
      <c r="F13" s="52">
        <f>IF(ISBLANK(D13),0,INDEX(Tablo_E!$B$2:$CX$102,MATCH(ROUND(Uzman_E!A$13,1),Tablo_E!$A$2:$A$102,1),MATCH(ROUND(E13,1),Tablo_E!$B$1:$CX$1,1)))</f>
        <v>0</v>
      </c>
      <c r="G13" s="55"/>
      <c r="H13" s="60">
        <f>IF(ISBLANK(G13),0,ABS(Uzman_E!B$13-G13))</f>
        <v>0</v>
      </c>
      <c r="I13" s="52">
        <f>IF(ISBLANK(G13),0,INDEX(Tablo_E!$B$2:$CX$102,MATCH(ROUND(Uzman_E!B$13,1),Tablo_E!$A$2:$A$102,1),MATCH(ROUND(H13,1),Tablo_E!$B$1:$CX$1,1)))</f>
        <v>0</v>
      </c>
      <c r="J13" s="55"/>
      <c r="K13" s="60">
        <f>IF(ISBLANK(J13),0,ABS(Uzman_E!C$13-J13))</f>
        <v>0</v>
      </c>
      <c r="L13" s="52">
        <f>IF(ISBLANK(J13),0,INDEX(Tablo_E!$B$2:$CX$102,MATCH(ROUND(Uzman_E!C$13,1),Tablo_E!$A$2:$A$102,1),MATCH(ROUND(K13,1),Tablo_E!$B$1:$CX$1,1)))</f>
        <v>0</v>
      </c>
      <c r="M13" s="55"/>
      <c r="N13" s="60">
        <f>IF(ISBLANK(M13),0,ABS(Uzman_E!D$13-M13))</f>
        <v>0</v>
      </c>
      <c r="O13" s="52">
        <f>IF(ISBLANK(M13),0,INDEX(Tablo_E!$B$2:$CX$102,MATCH(ROUND(Uzman_E!D$13,1),Tablo_E!$A$2:$A$102,1),MATCH(ROUND(N13,1),Tablo_E!$B$1:$CX$1,1)))</f>
        <v>0</v>
      </c>
      <c r="P13" s="55"/>
      <c r="Q13" s="60">
        <f>IF(ISBLANK(P13),0,ABS(Uzman_E!E$13-P13))</f>
        <v>0</v>
      </c>
      <c r="R13" s="52">
        <f>IF(ISBLANK(P13),0,INDEX(Tablo_E!$B$2:$CX$102,MATCH(ROUND(Uzman_E!E$13,1),Tablo_E!$A$2:$A$102,1),MATCH(ROUND(Q13,1),Tablo_E!$B$1:$CX$1,1)))</f>
        <v>0</v>
      </c>
      <c r="S13" s="53">
        <f t="shared" si="0"/>
        <v>0</v>
      </c>
      <c r="T13" s="49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 spans="1:36" ht="15" customHeight="1" x14ac:dyDescent="0.45">
      <c r="A14" s="54">
        <v>11</v>
      </c>
      <c r="B14" s="80" t="str">
        <f>Hakemler!B14</f>
        <v>YÜCEL</v>
      </c>
      <c r="C14" s="81" t="str">
        <f>Hakemler!C14</f>
        <v>SİBEL</v>
      </c>
      <c r="D14" s="55"/>
      <c r="E14" s="60">
        <f>IF(ISBLANK(D14),0,ABS(Uzman_E!A$13-D14))</f>
        <v>0</v>
      </c>
      <c r="F14" s="52">
        <f>IF(ISBLANK(D14),0,INDEX(Tablo_E!$B$2:$CX$102,MATCH(ROUND(Uzman_E!A$13,1),Tablo_E!$A$2:$A$102,1),MATCH(ROUND(E14,1),Tablo_E!$B$1:$CX$1,1)))</f>
        <v>0</v>
      </c>
      <c r="G14" s="55"/>
      <c r="H14" s="60">
        <f>IF(ISBLANK(G14),0,ABS(Uzman_E!B$13-G14))</f>
        <v>0</v>
      </c>
      <c r="I14" s="52">
        <f>IF(ISBLANK(G14),0,INDEX(Tablo_E!$B$2:$CX$102,MATCH(ROUND(Uzman_E!B$13,1),Tablo_E!$A$2:$A$102,1),MATCH(ROUND(H14,1),Tablo_E!$B$1:$CX$1,1)))</f>
        <v>0</v>
      </c>
      <c r="J14" s="55"/>
      <c r="K14" s="60">
        <f>IF(ISBLANK(J14),0,ABS(Uzman_E!C$13-J14))</f>
        <v>0</v>
      </c>
      <c r="L14" s="52">
        <f>IF(ISBLANK(J14),0,INDEX(Tablo_E!$B$2:$CX$102,MATCH(ROUND(Uzman_E!C$13,1),Tablo_E!$A$2:$A$102,1),MATCH(ROUND(K14,1),Tablo_E!$B$1:$CX$1,1)))</f>
        <v>0</v>
      </c>
      <c r="M14" s="55"/>
      <c r="N14" s="60">
        <f>IF(ISBLANK(M14),0,ABS(Uzman_E!D$13-M14))</f>
        <v>0</v>
      </c>
      <c r="O14" s="52">
        <f>IF(ISBLANK(M14),0,INDEX(Tablo_E!$B$2:$CX$102,MATCH(ROUND(Uzman_E!D$13,1),Tablo_E!$A$2:$A$102,1),MATCH(ROUND(N14,1),Tablo_E!$B$1:$CX$1,1)))</f>
        <v>0</v>
      </c>
      <c r="P14" s="55"/>
      <c r="Q14" s="60">
        <f>IF(ISBLANK(P14),0,ABS(Uzman_E!E$13-P14))</f>
        <v>0</v>
      </c>
      <c r="R14" s="52">
        <f>IF(ISBLANK(P14),0,INDEX(Tablo_E!$B$2:$CX$102,MATCH(ROUND(Uzman_E!E$13,1),Tablo_E!$A$2:$A$102,1),MATCH(ROUND(Q14,1),Tablo_E!$B$1:$CX$1,1)))</f>
        <v>0</v>
      </c>
      <c r="S14" s="53">
        <f t="shared" si="0"/>
        <v>0</v>
      </c>
      <c r="T14" s="49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 spans="1:36" ht="15" customHeight="1" x14ac:dyDescent="0.45">
      <c r="A15" s="54">
        <v>12</v>
      </c>
      <c r="B15" s="80" t="str">
        <f>Hakemler!B15</f>
        <v>YILMAZER</v>
      </c>
      <c r="C15" s="81" t="str">
        <f>Hakemler!C15</f>
        <v>ZEHRA</v>
      </c>
      <c r="D15" s="55"/>
      <c r="E15" s="60">
        <f>IF(ISBLANK(D15),0,ABS(Uzman_E!A$13-D15))</f>
        <v>0</v>
      </c>
      <c r="F15" s="52">
        <f>IF(ISBLANK(D15),0,INDEX(Tablo_E!$B$2:$CX$102,MATCH(ROUND(Uzman_E!A$13,1),Tablo_E!$A$2:$A$102,1),MATCH(ROUND(E15,1),Tablo_E!$B$1:$CX$1,1)))</f>
        <v>0</v>
      </c>
      <c r="G15" s="55"/>
      <c r="H15" s="60">
        <f>IF(ISBLANK(G15),0,ABS(Uzman_E!B$13-G15))</f>
        <v>0</v>
      </c>
      <c r="I15" s="52">
        <f>IF(ISBLANK(G15),0,INDEX(Tablo_E!$B$2:$CX$102,MATCH(ROUND(Uzman_E!B$13,1),Tablo_E!$A$2:$A$102,1),MATCH(ROUND(H15,1),Tablo_E!$B$1:$CX$1,1)))</f>
        <v>0</v>
      </c>
      <c r="J15" s="55"/>
      <c r="K15" s="60">
        <f>IF(ISBLANK(J15),0,ABS(Uzman_E!C$13-J15))</f>
        <v>0</v>
      </c>
      <c r="L15" s="52">
        <f>IF(ISBLANK(J15),0,INDEX(Tablo_E!$B$2:$CX$102,MATCH(ROUND(Uzman_E!C$13,1),Tablo_E!$A$2:$A$102,1),MATCH(ROUND(K15,1),Tablo_E!$B$1:$CX$1,1)))</f>
        <v>0</v>
      </c>
      <c r="M15" s="55"/>
      <c r="N15" s="60">
        <f>IF(ISBLANK(M15),0,ABS(Uzman_E!D$13-M15))</f>
        <v>0</v>
      </c>
      <c r="O15" s="52">
        <f>IF(ISBLANK(M15),0,INDEX(Tablo_E!$B$2:$CX$102,MATCH(ROUND(Uzman_E!D$13,1),Tablo_E!$A$2:$A$102,1),MATCH(ROUND(N15,1),Tablo_E!$B$1:$CX$1,1)))</f>
        <v>0</v>
      </c>
      <c r="P15" s="55"/>
      <c r="Q15" s="60">
        <f>IF(ISBLANK(P15),0,ABS(Uzman_E!E$13-P15))</f>
        <v>0</v>
      </c>
      <c r="R15" s="52">
        <f>IF(ISBLANK(P15),0,INDEX(Tablo_E!$B$2:$CX$102,MATCH(ROUND(Uzman_E!E$13,1),Tablo_E!$A$2:$A$102,1),MATCH(ROUND(Q15,1),Tablo_E!$B$1:$CX$1,1)))</f>
        <v>0</v>
      </c>
      <c r="S15" s="53">
        <f t="shared" si="0"/>
        <v>0</v>
      </c>
      <c r="T15" s="49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 spans="1:36" ht="15" customHeight="1" x14ac:dyDescent="0.45">
      <c r="A16" s="54">
        <v>13</v>
      </c>
      <c r="B16" s="80" t="str">
        <f>Hakemler!B16</f>
        <v>ŞAHİNTEKİN</v>
      </c>
      <c r="C16" s="81" t="str">
        <f>Hakemler!C16</f>
        <v>MUHAMMED</v>
      </c>
      <c r="D16" s="55"/>
      <c r="E16" s="60">
        <f>IF(ISBLANK(D16),0,ABS(Uzman_E!A$13-D16))</f>
        <v>0</v>
      </c>
      <c r="F16" s="52">
        <f>IF(ISBLANK(D16),0,INDEX(Tablo_E!$B$2:$CX$102,MATCH(ROUND(Uzman_E!A$13,1),Tablo_E!$A$2:$A$102,1),MATCH(ROUND(E16,1),Tablo_E!$B$1:$CX$1,1)))</f>
        <v>0</v>
      </c>
      <c r="G16" s="55"/>
      <c r="H16" s="60">
        <f>IF(ISBLANK(G16),0,ABS(Uzman_E!B$13-G16))</f>
        <v>0</v>
      </c>
      <c r="I16" s="52">
        <f>IF(ISBLANK(G16),0,INDEX(Tablo_E!$B$2:$CX$102,MATCH(ROUND(Uzman_E!B$13,1),Tablo_E!$A$2:$A$102,1),MATCH(ROUND(H16,1),Tablo_E!$B$1:$CX$1,1)))</f>
        <v>0</v>
      </c>
      <c r="J16" s="55"/>
      <c r="K16" s="60">
        <f>IF(ISBLANK(J16),0,ABS(Uzman_E!C$13-J16))</f>
        <v>0</v>
      </c>
      <c r="L16" s="52">
        <f>IF(ISBLANK(J16),0,INDEX(Tablo_E!$B$2:$CX$102,MATCH(ROUND(Uzman_E!C$13,1),Tablo_E!$A$2:$A$102,1),MATCH(ROUND(K16,1),Tablo_E!$B$1:$CX$1,1)))</f>
        <v>0</v>
      </c>
      <c r="M16" s="55"/>
      <c r="N16" s="60">
        <f>IF(ISBLANK(M16),0,ABS(Uzman_E!D$13-M16))</f>
        <v>0</v>
      </c>
      <c r="O16" s="52">
        <f>IF(ISBLANK(M16),0,INDEX(Tablo_E!$B$2:$CX$102,MATCH(ROUND(Uzman_E!D$13,1),Tablo_E!$A$2:$A$102,1),MATCH(ROUND(N16,1),Tablo_E!$B$1:$CX$1,1)))</f>
        <v>0</v>
      </c>
      <c r="P16" s="55"/>
      <c r="Q16" s="60">
        <f>IF(ISBLANK(P16),0,ABS(Uzman_E!E$13-P16))</f>
        <v>0</v>
      </c>
      <c r="R16" s="52">
        <f>IF(ISBLANK(P16),0,INDEX(Tablo_E!$B$2:$CX$102,MATCH(ROUND(Uzman_E!E$13,1),Tablo_E!$A$2:$A$102,1),MATCH(ROUND(Q16,1),Tablo_E!$B$1:$CX$1,1)))</f>
        <v>0</v>
      </c>
      <c r="S16" s="53">
        <f t="shared" si="0"/>
        <v>0</v>
      </c>
      <c r="T16" s="49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6" ht="15" customHeight="1" x14ac:dyDescent="0.45">
      <c r="A17" s="54">
        <v>14</v>
      </c>
      <c r="B17" s="80" t="str">
        <f>Hakemler!B17</f>
        <v>ERKUT</v>
      </c>
      <c r="C17" s="81" t="str">
        <f>Hakemler!C17</f>
        <v>OYA</v>
      </c>
      <c r="D17" s="55"/>
      <c r="E17" s="60">
        <f>IF(ISBLANK(D17),0,ABS(Uzman_E!A$13-D17))</f>
        <v>0</v>
      </c>
      <c r="F17" s="52">
        <f>IF(ISBLANK(D17),0,INDEX(Tablo_E!$B$2:$CX$102,MATCH(ROUND(Uzman_E!A$13,1),Tablo_E!$A$2:$A$102,1),MATCH(ROUND(E17,1),Tablo_E!$B$1:$CX$1,1)))</f>
        <v>0</v>
      </c>
      <c r="G17" s="55"/>
      <c r="H17" s="60">
        <f>IF(ISBLANK(G17),0,ABS(Uzman_E!B$13-G17))</f>
        <v>0</v>
      </c>
      <c r="I17" s="52">
        <f>IF(ISBLANK(G17),0,INDEX(Tablo_E!$B$2:$CX$102,MATCH(ROUND(Uzman_E!B$13,1),Tablo_E!$A$2:$A$102,1),MATCH(ROUND(H17,1),Tablo_E!$B$1:$CX$1,1)))</f>
        <v>0</v>
      </c>
      <c r="J17" s="55"/>
      <c r="K17" s="60">
        <f>IF(ISBLANK(J17),0,ABS(Uzman_E!C$13-J17))</f>
        <v>0</v>
      </c>
      <c r="L17" s="52">
        <f>IF(ISBLANK(J17),0,INDEX(Tablo_E!$B$2:$CX$102,MATCH(ROUND(Uzman_E!C$13,1),Tablo_E!$A$2:$A$102,1),MATCH(ROUND(K17,1),Tablo_E!$B$1:$CX$1,1)))</f>
        <v>0</v>
      </c>
      <c r="M17" s="55"/>
      <c r="N17" s="60">
        <f>IF(ISBLANK(M17),0,ABS(Uzman_E!D$13-M17))</f>
        <v>0</v>
      </c>
      <c r="O17" s="52">
        <f>IF(ISBLANK(M17),0,INDEX(Tablo_E!$B$2:$CX$102,MATCH(ROUND(Uzman_E!D$13,1),Tablo_E!$A$2:$A$102,1),MATCH(ROUND(N17,1),Tablo_E!$B$1:$CX$1,1)))</f>
        <v>0</v>
      </c>
      <c r="P17" s="55"/>
      <c r="Q17" s="60">
        <f>IF(ISBLANK(P17),0,ABS(Uzman_E!E$13-P17))</f>
        <v>0</v>
      </c>
      <c r="R17" s="52">
        <f>IF(ISBLANK(P17),0,INDEX(Tablo_E!$B$2:$CX$102,MATCH(ROUND(Uzman_E!E$13,1),Tablo_E!$A$2:$A$102,1),MATCH(ROUND(Q17,1),Tablo_E!$B$1:$CX$1,1)))</f>
        <v>0</v>
      </c>
      <c r="S17" s="53">
        <f t="shared" si="0"/>
        <v>0</v>
      </c>
      <c r="T17" s="49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6" ht="15" customHeight="1" x14ac:dyDescent="0.45">
      <c r="A18" s="54">
        <v>15</v>
      </c>
      <c r="B18" s="80" t="str">
        <f>Hakemler!B18</f>
        <v>GÜMÜŞLÜ</v>
      </c>
      <c r="C18" s="81" t="str">
        <f>Hakemler!C18</f>
        <v>AYSEL</v>
      </c>
      <c r="D18" s="55"/>
      <c r="E18" s="60">
        <f>IF(ISBLANK(D18),0,ABS(Uzman_E!A$13-D18))</f>
        <v>0</v>
      </c>
      <c r="F18" s="52">
        <f>IF(ISBLANK(D18),0,INDEX(Tablo_E!$B$2:$CX$102,MATCH(ROUND(Uzman_E!A$13,1),Tablo_E!$A$2:$A$102,1),MATCH(ROUND(E18,1),Tablo_E!$B$1:$CX$1,1)))</f>
        <v>0</v>
      </c>
      <c r="G18" s="55"/>
      <c r="H18" s="60">
        <f>IF(ISBLANK(G18),0,ABS(Uzman_E!B$13-G18))</f>
        <v>0</v>
      </c>
      <c r="I18" s="52">
        <f>IF(ISBLANK(G18),0,INDEX(Tablo_E!$B$2:$CX$102,MATCH(ROUND(Uzman_E!B$13,1),Tablo_E!$A$2:$A$102,1),MATCH(ROUND(H18,1),Tablo_E!$B$1:$CX$1,1)))</f>
        <v>0</v>
      </c>
      <c r="J18" s="55"/>
      <c r="K18" s="60">
        <f>IF(ISBLANK(J18),0,ABS(Uzman_E!C$13-J18))</f>
        <v>0</v>
      </c>
      <c r="L18" s="52">
        <f>IF(ISBLANK(J18),0,INDEX(Tablo_E!$B$2:$CX$102,MATCH(ROUND(Uzman_E!C$13,1),Tablo_E!$A$2:$A$102,1),MATCH(ROUND(K18,1),Tablo_E!$B$1:$CX$1,1)))</f>
        <v>0</v>
      </c>
      <c r="M18" s="55"/>
      <c r="N18" s="60">
        <f>IF(ISBLANK(M18),0,ABS(Uzman_E!D$13-M18))</f>
        <v>0</v>
      </c>
      <c r="O18" s="52">
        <f>IF(ISBLANK(M18),0,INDEX(Tablo_E!$B$2:$CX$102,MATCH(ROUND(Uzman_E!D$13,1),Tablo_E!$A$2:$A$102,1),MATCH(ROUND(N18,1),Tablo_E!$B$1:$CX$1,1)))</f>
        <v>0</v>
      </c>
      <c r="P18" s="55"/>
      <c r="Q18" s="60">
        <f>IF(ISBLANK(P18),0,ABS(Uzman_E!E$13-P18))</f>
        <v>0</v>
      </c>
      <c r="R18" s="52">
        <f>IF(ISBLANK(P18),0,INDEX(Tablo_E!$B$2:$CX$102,MATCH(ROUND(Uzman_E!E$13,1),Tablo_E!$A$2:$A$102,1),MATCH(ROUND(Q18,1),Tablo_E!$B$1:$CX$1,1)))</f>
        <v>0</v>
      </c>
      <c r="S18" s="53">
        <f t="shared" si="0"/>
        <v>0</v>
      </c>
      <c r="T18" s="4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6" ht="15" customHeight="1" x14ac:dyDescent="0.45">
      <c r="A19" s="54">
        <v>16</v>
      </c>
      <c r="B19" s="80" t="str">
        <f>Hakemler!B19</f>
        <v>CURA COŞKUN</v>
      </c>
      <c r="C19" s="81" t="str">
        <f>Hakemler!C19</f>
        <v>MELİKE</v>
      </c>
      <c r="D19" s="55"/>
      <c r="E19" s="60">
        <f>IF(ISBLANK(D19),0,ABS(Uzman_E!A$13-D19))</f>
        <v>0</v>
      </c>
      <c r="F19" s="52">
        <f>IF(ISBLANK(D19),0,INDEX(Tablo_E!$B$2:$CX$102,MATCH(ROUND(Uzman_E!A$13,1),Tablo_E!$A$2:$A$102,1),MATCH(ROUND(E19,1),Tablo_E!$B$1:$CX$1,1)))</f>
        <v>0</v>
      </c>
      <c r="G19" s="55"/>
      <c r="H19" s="60">
        <f>IF(ISBLANK(G19),0,ABS(Uzman_E!B$13-G19))</f>
        <v>0</v>
      </c>
      <c r="I19" s="52">
        <f>IF(ISBLANK(G19),0,INDEX(Tablo_E!$B$2:$CX$102,MATCH(ROUND(Uzman_E!B$13,1),Tablo_E!$A$2:$A$102,1),MATCH(ROUND(H19,1),Tablo_E!$B$1:$CX$1,1)))</f>
        <v>0</v>
      </c>
      <c r="J19" s="55"/>
      <c r="K19" s="60">
        <f>IF(ISBLANK(J19),0,ABS(Uzman_E!C$13-J19))</f>
        <v>0</v>
      </c>
      <c r="L19" s="52">
        <f>IF(ISBLANK(J19),0,INDEX(Tablo_E!$B$2:$CX$102,MATCH(ROUND(Uzman_E!C$13,1),Tablo_E!$A$2:$A$102,1),MATCH(ROUND(K19,1),Tablo_E!$B$1:$CX$1,1)))</f>
        <v>0</v>
      </c>
      <c r="M19" s="55"/>
      <c r="N19" s="60">
        <f>IF(ISBLANK(M19),0,ABS(Uzman_E!D$13-M19))</f>
        <v>0</v>
      </c>
      <c r="O19" s="52">
        <f>IF(ISBLANK(M19),0,INDEX(Tablo_E!$B$2:$CX$102,MATCH(ROUND(Uzman_E!D$13,1),Tablo_E!$A$2:$A$102,1),MATCH(ROUND(N19,1),Tablo_E!$B$1:$CX$1,1)))</f>
        <v>0</v>
      </c>
      <c r="P19" s="55"/>
      <c r="Q19" s="60">
        <f>IF(ISBLANK(P19),0,ABS(Uzman_E!E$13-P19))</f>
        <v>0</v>
      </c>
      <c r="R19" s="52">
        <f>IF(ISBLANK(P19),0,INDEX(Tablo_E!$B$2:$CX$102,MATCH(ROUND(Uzman_E!E$13,1),Tablo_E!$A$2:$A$102,1),MATCH(ROUND(Q19,1),Tablo_E!$B$1:$CX$1,1)))</f>
        <v>0</v>
      </c>
      <c r="S19" s="53">
        <f t="shared" si="0"/>
        <v>0</v>
      </c>
      <c r="T19" s="49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6" ht="15" customHeight="1" x14ac:dyDescent="0.45">
      <c r="A20" s="54">
        <v>17</v>
      </c>
      <c r="B20" s="80" t="str">
        <f>Hakemler!B20</f>
        <v>KENDİRCİ</v>
      </c>
      <c r="C20" s="81" t="str">
        <f>Hakemler!C20</f>
        <v>CEMRE</v>
      </c>
      <c r="D20" s="55"/>
      <c r="E20" s="60">
        <f>IF(ISBLANK(D20),0,ABS(Uzman_E!A$13-D20))</f>
        <v>0</v>
      </c>
      <c r="F20" s="52">
        <f>IF(ISBLANK(D20),0,INDEX(Tablo_E!$B$2:$CX$102,MATCH(ROUND(Uzman_E!A$13,1),Tablo_E!$A$2:$A$102,1),MATCH(ROUND(E20,1),Tablo_E!$B$1:$CX$1,1)))</f>
        <v>0</v>
      </c>
      <c r="G20" s="55"/>
      <c r="H20" s="60">
        <f>IF(ISBLANK(G20),0,ABS(Uzman_E!B$13-G20))</f>
        <v>0</v>
      </c>
      <c r="I20" s="52">
        <f>IF(ISBLANK(G20),0,INDEX(Tablo_E!$B$2:$CX$102,MATCH(ROUND(Uzman_E!B$13,1),Tablo_E!$A$2:$A$102,1),MATCH(ROUND(H20,1),Tablo_E!$B$1:$CX$1,1)))</f>
        <v>0</v>
      </c>
      <c r="J20" s="55"/>
      <c r="K20" s="60">
        <f>IF(ISBLANK(J20),0,ABS(Uzman_E!C$13-J20))</f>
        <v>0</v>
      </c>
      <c r="L20" s="52">
        <f>IF(ISBLANK(J20),0,INDEX(Tablo_E!$B$2:$CX$102,MATCH(ROUND(Uzman_E!C$13,1),Tablo_E!$A$2:$A$102,1),MATCH(ROUND(K20,1),Tablo_E!$B$1:$CX$1,1)))</f>
        <v>0</v>
      </c>
      <c r="M20" s="55"/>
      <c r="N20" s="60">
        <f>IF(ISBLANK(M20),0,ABS(Uzman_E!D$13-M20))</f>
        <v>0</v>
      </c>
      <c r="O20" s="52">
        <f>IF(ISBLANK(M20),0,INDEX(Tablo_E!$B$2:$CX$102,MATCH(ROUND(Uzman_E!D$13,1),Tablo_E!$A$2:$A$102,1),MATCH(ROUND(N20,1),Tablo_E!$B$1:$CX$1,1)))</f>
        <v>0</v>
      </c>
      <c r="P20" s="55"/>
      <c r="Q20" s="60">
        <f>IF(ISBLANK(P20),0,ABS(Uzman_E!E$13-P20))</f>
        <v>0</v>
      </c>
      <c r="R20" s="52">
        <f>IF(ISBLANK(P20),0,INDEX(Tablo_E!$B$2:$CX$102,MATCH(ROUND(Uzman_E!E$13,1),Tablo_E!$A$2:$A$102,1),MATCH(ROUND(Q20,1),Tablo_E!$B$1:$CX$1,1)))</f>
        <v>0</v>
      </c>
      <c r="S20" s="53">
        <f t="shared" si="0"/>
        <v>0</v>
      </c>
      <c r="T20" s="49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6" ht="15" customHeight="1" x14ac:dyDescent="0.45">
      <c r="A21" s="54">
        <v>18</v>
      </c>
      <c r="B21" s="80" t="str">
        <f>Hakemler!B21</f>
        <v>CANATAN</v>
      </c>
      <c r="C21" s="81" t="str">
        <f>Hakemler!C21</f>
        <v>BEYZA</v>
      </c>
      <c r="D21" s="55"/>
      <c r="E21" s="60">
        <f>IF(ISBLANK(D21),0,ABS(Uzman_E!A$13-D21))</f>
        <v>0</v>
      </c>
      <c r="F21" s="52">
        <f>IF(ISBLANK(D21),0,INDEX(Tablo_E!$B$2:$CX$102,MATCH(ROUND(Uzman_E!A$13,1),Tablo_E!$A$2:$A$102,1),MATCH(ROUND(E21,1),Tablo_E!$B$1:$CX$1,1)))</f>
        <v>0</v>
      </c>
      <c r="G21" s="55"/>
      <c r="H21" s="60">
        <f>IF(ISBLANK(G21),0,ABS(Uzman_E!B$13-G21))</f>
        <v>0</v>
      </c>
      <c r="I21" s="52">
        <f>IF(ISBLANK(G21),0,INDEX(Tablo_E!$B$2:$CX$102,MATCH(ROUND(Uzman_E!B$13,1),Tablo_E!$A$2:$A$102,1),MATCH(ROUND(H21,1),Tablo_E!$B$1:$CX$1,1)))</f>
        <v>0</v>
      </c>
      <c r="J21" s="55"/>
      <c r="K21" s="60">
        <f>IF(ISBLANK(J21),0,ABS(Uzman_E!C$13-J21))</f>
        <v>0</v>
      </c>
      <c r="L21" s="52">
        <f>IF(ISBLANK(J21),0,INDEX(Tablo_E!$B$2:$CX$102,MATCH(ROUND(Uzman_E!C$13,1),Tablo_E!$A$2:$A$102,1),MATCH(ROUND(K21,1),Tablo_E!$B$1:$CX$1,1)))</f>
        <v>0</v>
      </c>
      <c r="M21" s="55"/>
      <c r="N21" s="60">
        <f>IF(ISBLANK(M21),0,ABS(Uzman_E!D$13-M21))</f>
        <v>0</v>
      </c>
      <c r="O21" s="52">
        <f>IF(ISBLANK(M21),0,INDEX(Tablo_E!$B$2:$CX$102,MATCH(ROUND(Uzman_E!D$13,1),Tablo_E!$A$2:$A$102,1),MATCH(ROUND(N21,1),Tablo_E!$B$1:$CX$1,1)))</f>
        <v>0</v>
      </c>
      <c r="P21" s="55"/>
      <c r="Q21" s="60">
        <f>IF(ISBLANK(P21),0,ABS(Uzman_E!E$13-P21))</f>
        <v>0</v>
      </c>
      <c r="R21" s="52">
        <f>IF(ISBLANK(P21),0,INDEX(Tablo_E!$B$2:$CX$102,MATCH(ROUND(Uzman_E!E$13,1),Tablo_E!$A$2:$A$102,1),MATCH(ROUND(Q21,1),Tablo_E!$B$1:$CX$1,1)))</f>
        <v>0</v>
      </c>
      <c r="S21" s="53">
        <f t="shared" si="0"/>
        <v>0</v>
      </c>
      <c r="T21" s="49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6" ht="15" customHeight="1" x14ac:dyDescent="0.45">
      <c r="A22" s="54">
        <v>19</v>
      </c>
      <c r="B22" s="80" t="str">
        <f>Hakemler!B22</f>
        <v>SAYIN</v>
      </c>
      <c r="C22" s="81" t="str">
        <f>Hakemler!C22</f>
        <v>ZEYNEP TÜRKAN</v>
      </c>
      <c r="D22" s="55"/>
      <c r="E22" s="60">
        <f>IF(ISBLANK(D22),0,ABS(Uzman_E!A$13-D22))</f>
        <v>0</v>
      </c>
      <c r="F22" s="52">
        <f>IF(ISBLANK(D22),0,INDEX(Tablo_E!$B$2:$CX$102,MATCH(ROUND(Uzman_E!A$13,1),Tablo_E!$A$2:$A$102,1),MATCH(ROUND(E22,1),Tablo_E!$B$1:$CX$1,1)))</f>
        <v>0</v>
      </c>
      <c r="G22" s="55"/>
      <c r="H22" s="60">
        <f>IF(ISBLANK(G22),0,ABS(Uzman_E!B$13-G22))</f>
        <v>0</v>
      </c>
      <c r="I22" s="52">
        <f>IF(ISBLANK(G22),0,INDEX(Tablo_E!$B$2:$CX$102,MATCH(ROUND(Uzman_E!B$13,1),Tablo_E!$A$2:$A$102,1),MATCH(ROUND(H22,1),Tablo_E!$B$1:$CX$1,1)))</f>
        <v>0</v>
      </c>
      <c r="J22" s="55"/>
      <c r="K22" s="60">
        <f>IF(ISBLANK(J22),0,ABS(Uzman_E!C$13-J22))</f>
        <v>0</v>
      </c>
      <c r="L22" s="52">
        <f>IF(ISBLANK(J22),0,INDEX(Tablo_E!$B$2:$CX$102,MATCH(ROUND(Uzman_E!C$13,1),Tablo_E!$A$2:$A$102,1),MATCH(ROUND(K22,1),Tablo_E!$B$1:$CX$1,1)))</f>
        <v>0</v>
      </c>
      <c r="M22" s="55"/>
      <c r="N22" s="60">
        <f>IF(ISBLANK(M22),0,ABS(Uzman_E!D$13-M22))</f>
        <v>0</v>
      </c>
      <c r="O22" s="52">
        <f>IF(ISBLANK(M22),0,INDEX(Tablo_E!$B$2:$CX$102,MATCH(ROUND(Uzman_E!D$13,1),Tablo_E!$A$2:$A$102,1),MATCH(ROUND(N22,1),Tablo_E!$B$1:$CX$1,1)))</f>
        <v>0</v>
      </c>
      <c r="P22" s="55"/>
      <c r="Q22" s="60">
        <f>IF(ISBLANK(P22),0,ABS(Uzman_E!E$13-P22))</f>
        <v>0</v>
      </c>
      <c r="R22" s="52">
        <f>IF(ISBLANK(P22),0,INDEX(Tablo_E!$B$2:$CX$102,MATCH(ROUND(Uzman_E!E$13,1),Tablo_E!$A$2:$A$102,1),MATCH(ROUND(Q22,1),Tablo_E!$B$1:$CX$1,1)))</f>
        <v>0</v>
      </c>
      <c r="S22" s="53">
        <f t="shared" si="0"/>
        <v>0</v>
      </c>
      <c r="T22" s="49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6" ht="15" customHeight="1" x14ac:dyDescent="0.45">
      <c r="A23" s="54">
        <v>20</v>
      </c>
      <c r="B23" s="80" t="str">
        <f>Hakemler!B23</f>
        <v>ÖNER AĞAN</v>
      </c>
      <c r="C23" s="81" t="str">
        <f>Hakemler!C23</f>
        <v>DERYA</v>
      </c>
      <c r="D23" s="55"/>
      <c r="E23" s="60">
        <f>IF(ISBLANK(D23),0,ABS(Uzman_E!A$13-D23))</f>
        <v>0</v>
      </c>
      <c r="F23" s="52">
        <f>IF(ISBLANK(D23),0,INDEX(Tablo_E!$B$2:$CX$102,MATCH(ROUND(Uzman_E!A$13,1),Tablo_E!$A$2:$A$102,1),MATCH(ROUND(E23,1),Tablo_E!$B$1:$CX$1,1)))</f>
        <v>0</v>
      </c>
      <c r="G23" s="55"/>
      <c r="H23" s="60">
        <f>IF(ISBLANK(G23),0,ABS(Uzman_E!B$13-G23))</f>
        <v>0</v>
      </c>
      <c r="I23" s="52">
        <f>IF(ISBLANK(G23),0,INDEX(Tablo_E!$B$2:$CX$102,MATCH(ROUND(Uzman_E!B$13,1),Tablo_E!$A$2:$A$102,1),MATCH(ROUND(H23,1),Tablo_E!$B$1:$CX$1,1)))</f>
        <v>0</v>
      </c>
      <c r="J23" s="55"/>
      <c r="K23" s="60">
        <f>IF(ISBLANK(J23),0,ABS(Uzman_E!C$13-J23))</f>
        <v>0</v>
      </c>
      <c r="L23" s="52">
        <f>IF(ISBLANK(J23),0,INDEX(Tablo_E!$B$2:$CX$102,MATCH(ROUND(Uzman_E!C$13,1),Tablo_E!$A$2:$A$102,1),MATCH(ROUND(K23,1),Tablo_E!$B$1:$CX$1,1)))</f>
        <v>0</v>
      </c>
      <c r="M23" s="55"/>
      <c r="N23" s="60">
        <f>IF(ISBLANK(M23),0,ABS(Uzman_E!D$13-M23))</f>
        <v>0</v>
      </c>
      <c r="O23" s="52">
        <f>IF(ISBLANK(M23),0,INDEX(Tablo_E!$B$2:$CX$102,MATCH(ROUND(Uzman_E!D$13,1),Tablo_E!$A$2:$A$102,1),MATCH(ROUND(N23,1),Tablo_E!$B$1:$CX$1,1)))</f>
        <v>0</v>
      </c>
      <c r="P23" s="55"/>
      <c r="Q23" s="60">
        <f>IF(ISBLANK(P23),0,ABS(Uzman_E!E$13-P23))</f>
        <v>0</v>
      </c>
      <c r="R23" s="52">
        <f>IF(ISBLANK(P23),0,INDEX(Tablo_E!$B$2:$CX$102,MATCH(ROUND(Uzman_E!E$13,1),Tablo_E!$A$2:$A$102,1),MATCH(ROUND(Q23,1),Tablo_E!$B$1:$CX$1,1)))</f>
        <v>0</v>
      </c>
      <c r="S23" s="53">
        <f t="shared" si="0"/>
        <v>0</v>
      </c>
      <c r="T23" s="49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6" ht="15" customHeight="1" x14ac:dyDescent="0.45">
      <c r="A24" s="54">
        <v>21</v>
      </c>
      <c r="B24" s="158" t="str">
        <f>Hakemler!B24</f>
        <v>ABACI</v>
      </c>
      <c r="C24" s="159" t="str">
        <f>Hakemler!C24</f>
        <v>BUSE</v>
      </c>
      <c r="D24" s="55">
        <v>2.2000000000000002</v>
      </c>
      <c r="E24" s="60">
        <f>IF(ISBLANK(D24),0,ABS(Uzman_E!A$13-D24))</f>
        <v>9.9999999999999645E-2</v>
      </c>
      <c r="F24" s="52">
        <f>IF(ISBLANK(D24),0,INDEX(Tablo_E!$B$2:$CX$102,MATCH(ROUND(Uzman_E!A$13,1),Tablo_E!$A$2:$A$102,1),MATCH(ROUND(E24,1),Tablo_E!$B$1:$CX$1,1)))</f>
        <v>1</v>
      </c>
      <c r="G24" s="55">
        <v>2.5</v>
      </c>
      <c r="H24" s="60">
        <f>IF(ISBLANK(G24),0,ABS(Uzman_E!B$13-G24))</f>
        <v>0.60000000000000009</v>
      </c>
      <c r="I24" s="52">
        <f>IF(ISBLANK(G24),0,INDEX(Tablo_E!$B$2:$CX$102,MATCH(ROUND(Uzman_E!B$13,1),Tablo_E!$A$2:$A$102,1),MATCH(ROUND(H24,1),Tablo_E!$B$1:$CX$1,1)))</f>
        <v>0.85</v>
      </c>
      <c r="J24" s="55">
        <v>2.8</v>
      </c>
      <c r="K24" s="60">
        <f>IF(ISBLANK(J24),0,ABS(Uzman_E!C$13-J24))</f>
        <v>0.20000000000000018</v>
      </c>
      <c r="L24" s="52">
        <f>IF(ISBLANK(J24),0,INDEX(Tablo_E!$B$2:$CX$102,MATCH(ROUND(Uzman_E!C$13,1),Tablo_E!$A$2:$A$102,1),MATCH(ROUND(K24,1),Tablo_E!$B$1:$CX$1,1)))</f>
        <v>1</v>
      </c>
      <c r="M24" s="55">
        <v>2.4</v>
      </c>
      <c r="N24" s="60">
        <f>IF(ISBLANK(M24),0,ABS(Uzman_E!D$13-M24))</f>
        <v>0</v>
      </c>
      <c r="O24" s="52">
        <f>IF(ISBLANK(M24),0,INDEX(Tablo_E!$B$2:$CX$102,MATCH(ROUND(Uzman_E!D$13,1),Tablo_E!$A$2:$A$102,1),MATCH(ROUND(N24,1),Tablo_E!$B$1:$CX$1,1)))</f>
        <v>1</v>
      </c>
      <c r="P24" s="55">
        <v>2.2000000000000002</v>
      </c>
      <c r="Q24" s="60">
        <f>IF(ISBLANK(P24),0,ABS(Uzman_E!E$13-P24))</f>
        <v>0.30000000000000027</v>
      </c>
      <c r="R24" s="52">
        <f>IF(ISBLANK(P24),0,INDEX(Tablo_E!$B$2:$CX$102,MATCH(ROUND(Uzman_E!E$13,1),Tablo_E!$A$2:$A$102,1),MATCH(ROUND(Q24,1),Tablo_E!$B$1:$CX$1,1)))</f>
        <v>1</v>
      </c>
      <c r="S24" s="53">
        <f t="shared" si="0"/>
        <v>0.97</v>
      </c>
      <c r="T24" s="49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5" customHeight="1" x14ac:dyDescent="0.45">
      <c r="A25" s="54">
        <v>22</v>
      </c>
      <c r="B25" s="158" t="str">
        <f>Hakemler!B25</f>
        <v>KARAKAŞ</v>
      </c>
      <c r="C25" s="159" t="str">
        <f>Hakemler!C25</f>
        <v>TAHİR</v>
      </c>
      <c r="D25" s="55">
        <v>3.1</v>
      </c>
      <c r="E25" s="60">
        <f>IF(ISBLANK(D25),0,ABS(Uzman_E!A$13-D25))</f>
        <v>0.80000000000000027</v>
      </c>
      <c r="F25" s="52">
        <f>IF(ISBLANK(D25),0,INDEX(Tablo_E!$B$2:$CX$102,MATCH(ROUND(Uzman_E!A$13,1),Tablo_E!$A$2:$A$102,1),MATCH(ROUND(E25,1),Tablo_E!$B$1:$CX$1,1)))</f>
        <v>0.6</v>
      </c>
      <c r="G25" s="55">
        <v>3.9</v>
      </c>
      <c r="H25" s="60">
        <f>IF(ISBLANK(G25),0,ABS(Uzman_E!B$13-G25))</f>
        <v>0.79999999999999982</v>
      </c>
      <c r="I25" s="52">
        <f>IF(ISBLANK(G25),0,INDEX(Tablo_E!$B$2:$CX$102,MATCH(ROUND(Uzman_E!B$13,1),Tablo_E!$A$2:$A$102,1),MATCH(ROUND(H25,1),Tablo_E!$B$1:$CX$1,1)))</f>
        <v>0.7</v>
      </c>
      <c r="J25" s="55">
        <v>2.8</v>
      </c>
      <c r="K25" s="60">
        <f>IF(ISBLANK(J25),0,ABS(Uzman_E!C$13-J25))</f>
        <v>0.20000000000000018</v>
      </c>
      <c r="L25" s="52">
        <f>IF(ISBLANK(J25),0,INDEX(Tablo_E!$B$2:$CX$102,MATCH(ROUND(Uzman_E!C$13,1),Tablo_E!$A$2:$A$102,1),MATCH(ROUND(K25,1),Tablo_E!$B$1:$CX$1,1)))</f>
        <v>1</v>
      </c>
      <c r="M25" s="55">
        <v>2.2999999999999998</v>
      </c>
      <c r="N25" s="60">
        <f>IF(ISBLANK(M25),0,ABS(Uzman_E!D$13-M25))</f>
        <v>0.10000000000000009</v>
      </c>
      <c r="O25" s="52">
        <f>IF(ISBLANK(M25),0,INDEX(Tablo_E!$B$2:$CX$102,MATCH(ROUND(Uzman_E!D$13,1),Tablo_E!$A$2:$A$102,1),MATCH(ROUND(N25,1),Tablo_E!$B$1:$CX$1,1)))</f>
        <v>1</v>
      </c>
      <c r="P25" s="55">
        <v>2.6</v>
      </c>
      <c r="Q25" s="60">
        <f>IF(ISBLANK(P25),0,ABS(Uzman_E!E$13-P25))</f>
        <v>0.70000000000000018</v>
      </c>
      <c r="R25" s="52">
        <f>IF(ISBLANK(P25),0,INDEX(Tablo_E!$B$2:$CX$102,MATCH(ROUND(Uzman_E!E$13,1),Tablo_E!$A$2:$A$102,1),MATCH(ROUND(Q25,1),Tablo_E!$B$1:$CX$1,1)))</f>
        <v>0.6</v>
      </c>
      <c r="S25" s="53">
        <f t="shared" si="0"/>
        <v>0.78</v>
      </c>
      <c r="T25" s="49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5" customHeight="1" x14ac:dyDescent="0.45">
      <c r="A26" s="54">
        <v>23</v>
      </c>
      <c r="B26" s="158" t="str">
        <f>Hakemler!B26</f>
        <v>SAVAŞ OK</v>
      </c>
      <c r="C26" s="159" t="str">
        <f>Hakemler!C26</f>
        <v>DİLAY</v>
      </c>
      <c r="D26" s="55">
        <v>1.9</v>
      </c>
      <c r="E26" s="60">
        <f>IF(ISBLANK(D26),0,ABS(Uzman_E!A$13-D26))</f>
        <v>0.39999999999999991</v>
      </c>
      <c r="F26" s="52">
        <f>IF(ISBLANK(D26),0,INDEX(Tablo_E!$B$2:$CX$102,MATCH(ROUND(Uzman_E!A$13,1),Tablo_E!$A$2:$A$102,1),MATCH(ROUND(E26,1),Tablo_E!$B$1:$CX$1,1)))</f>
        <v>0.95</v>
      </c>
      <c r="G26" s="55">
        <v>4</v>
      </c>
      <c r="H26" s="60">
        <f>IF(ISBLANK(G26),0,ABS(Uzman_E!B$13-G26))</f>
        <v>0.89999999999999991</v>
      </c>
      <c r="I26" s="52">
        <f>IF(ISBLANK(G26),0,INDEX(Tablo_E!$B$2:$CX$102,MATCH(ROUND(Uzman_E!B$13,1),Tablo_E!$A$2:$A$102,1),MATCH(ROUND(H26,1),Tablo_E!$B$1:$CX$1,1)))</f>
        <v>0.6</v>
      </c>
      <c r="J26" s="55">
        <v>2.8</v>
      </c>
      <c r="K26" s="60">
        <f>IF(ISBLANK(J26),0,ABS(Uzman_E!C$13-J26))</f>
        <v>0.20000000000000018</v>
      </c>
      <c r="L26" s="52">
        <f>IF(ISBLANK(J26),0,INDEX(Tablo_E!$B$2:$CX$102,MATCH(ROUND(Uzman_E!C$13,1),Tablo_E!$A$2:$A$102,1),MATCH(ROUND(K26,1),Tablo_E!$B$1:$CX$1,1)))</f>
        <v>1</v>
      </c>
      <c r="M26" s="55">
        <v>2.5</v>
      </c>
      <c r="N26" s="60">
        <f>IF(ISBLANK(M26),0,ABS(Uzman_E!D$13-M26))</f>
        <v>0.10000000000000009</v>
      </c>
      <c r="O26" s="52">
        <f>IF(ISBLANK(M26),0,INDEX(Tablo_E!$B$2:$CX$102,MATCH(ROUND(Uzman_E!D$13,1),Tablo_E!$A$2:$A$102,1),MATCH(ROUND(N26,1),Tablo_E!$B$1:$CX$1,1)))</f>
        <v>1</v>
      </c>
      <c r="P26" s="55">
        <v>2.1</v>
      </c>
      <c r="Q26" s="60">
        <f>IF(ISBLANK(P26),0,ABS(Uzman_E!E$13-P26))</f>
        <v>0.20000000000000018</v>
      </c>
      <c r="R26" s="52">
        <f>IF(ISBLANK(P26),0,INDEX(Tablo_E!$B$2:$CX$102,MATCH(ROUND(Uzman_E!E$13,1),Tablo_E!$A$2:$A$102,1),MATCH(ROUND(Q26,1),Tablo_E!$B$1:$CX$1,1)))</f>
        <v>1</v>
      </c>
      <c r="S26" s="53">
        <f t="shared" si="0"/>
        <v>0.90999999999999992</v>
      </c>
      <c r="T26" s="49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5" customHeight="1" x14ac:dyDescent="0.45">
      <c r="A27" s="54">
        <v>24</v>
      </c>
      <c r="B27" s="158" t="str">
        <f>Hakemler!B27</f>
        <v>AYDEMİR</v>
      </c>
      <c r="C27" s="159" t="str">
        <f>Hakemler!C27</f>
        <v>AYŞE DİLARA</v>
      </c>
      <c r="D27" s="55">
        <v>3.4</v>
      </c>
      <c r="E27" s="60">
        <f>IF(ISBLANK(D27),0,ABS(Uzman_E!A$13-D27))</f>
        <v>1.1000000000000001</v>
      </c>
      <c r="F27" s="52">
        <f>IF(ISBLANK(D27),0,INDEX(Tablo_E!$B$2:$CX$102,MATCH(ROUND(Uzman_E!A$13,1),Tablo_E!$A$2:$A$102,1),MATCH(ROUND(E27,1),Tablo_E!$B$1:$CX$1,1)))</f>
        <v>0.3</v>
      </c>
      <c r="G27" s="55">
        <v>3.9</v>
      </c>
      <c r="H27" s="60">
        <f>IF(ISBLANK(G27),0,ABS(Uzman_E!B$13-G27))</f>
        <v>0.79999999999999982</v>
      </c>
      <c r="I27" s="52">
        <f>IF(ISBLANK(G27),0,INDEX(Tablo_E!$B$2:$CX$102,MATCH(ROUND(Uzman_E!B$13,1),Tablo_E!$A$2:$A$102,1),MATCH(ROUND(H27,1),Tablo_E!$B$1:$CX$1,1)))</f>
        <v>0.7</v>
      </c>
      <c r="J27" s="55">
        <v>3.6</v>
      </c>
      <c r="K27" s="60">
        <f>IF(ISBLANK(J27),0,ABS(Uzman_E!C$13-J27))</f>
        <v>0.60000000000000009</v>
      </c>
      <c r="L27" s="52">
        <f>IF(ISBLANK(J27),0,INDEX(Tablo_E!$B$2:$CX$102,MATCH(ROUND(Uzman_E!C$13,1),Tablo_E!$A$2:$A$102,1),MATCH(ROUND(K27,1),Tablo_E!$B$1:$CX$1,1)))</f>
        <v>0.85</v>
      </c>
      <c r="M27" s="55">
        <v>3.1</v>
      </c>
      <c r="N27" s="60">
        <f>IF(ISBLANK(M27),0,ABS(Uzman_E!D$13-M27))</f>
        <v>0.70000000000000018</v>
      </c>
      <c r="O27" s="52">
        <f>IF(ISBLANK(M27),0,INDEX(Tablo_E!$B$2:$CX$102,MATCH(ROUND(Uzman_E!D$13,1),Tablo_E!$A$2:$A$102,1),MATCH(ROUND(N27,1),Tablo_E!$B$1:$CX$1,1)))</f>
        <v>0.7</v>
      </c>
      <c r="P27" s="55">
        <v>2.9</v>
      </c>
      <c r="Q27" s="60">
        <f>IF(ISBLANK(P27),0,ABS(Uzman_E!E$13-P27))</f>
        <v>1</v>
      </c>
      <c r="R27" s="52">
        <f>IF(ISBLANK(P27),0,INDEX(Tablo_E!$B$2:$CX$102,MATCH(ROUND(Uzman_E!E$13,1),Tablo_E!$A$2:$A$102,1),MATCH(ROUND(Q27,1),Tablo_E!$B$1:$CX$1,1)))</f>
        <v>0.3</v>
      </c>
      <c r="S27" s="53">
        <f t="shared" si="0"/>
        <v>0.56999999999999995</v>
      </c>
      <c r="T27" s="49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6" ht="15" customHeight="1" x14ac:dyDescent="0.45">
      <c r="A28" s="54">
        <v>25</v>
      </c>
      <c r="B28" s="158" t="str">
        <f>Hakemler!B28</f>
        <v>AKIN</v>
      </c>
      <c r="C28" s="159" t="str">
        <f>Hakemler!C28</f>
        <v>MANOLYA</v>
      </c>
      <c r="D28" s="55">
        <v>1.4</v>
      </c>
      <c r="E28" s="60">
        <f>IF(ISBLANK(D28),0,ABS(Uzman_E!A$13-D28))</f>
        <v>0.89999999999999991</v>
      </c>
      <c r="F28" s="52">
        <f>IF(ISBLANK(D28),0,INDEX(Tablo_E!$B$2:$CX$102,MATCH(ROUND(Uzman_E!A$13,1),Tablo_E!$A$2:$A$102,1),MATCH(ROUND(E28,1),Tablo_E!$B$1:$CX$1,1)))</f>
        <v>0.5</v>
      </c>
      <c r="G28" s="55">
        <v>2.2999999999999998</v>
      </c>
      <c r="H28" s="60">
        <f>IF(ISBLANK(G28),0,ABS(Uzman_E!B$13-G28))</f>
        <v>0.80000000000000027</v>
      </c>
      <c r="I28" s="52">
        <f>IF(ISBLANK(G28),0,INDEX(Tablo_E!$B$2:$CX$102,MATCH(ROUND(Uzman_E!B$13,1),Tablo_E!$A$2:$A$102,1),MATCH(ROUND(H28,1),Tablo_E!$B$1:$CX$1,1)))</f>
        <v>0.7</v>
      </c>
      <c r="J28" s="55">
        <v>2.2000000000000002</v>
      </c>
      <c r="K28" s="60">
        <f>IF(ISBLANK(J28),0,ABS(Uzman_E!C$13-J28))</f>
        <v>0.79999999999999982</v>
      </c>
      <c r="L28" s="52">
        <f>IF(ISBLANK(J28),0,INDEX(Tablo_E!$B$2:$CX$102,MATCH(ROUND(Uzman_E!C$13,1),Tablo_E!$A$2:$A$102,1),MATCH(ROUND(K28,1),Tablo_E!$B$1:$CX$1,1)))</f>
        <v>0.7</v>
      </c>
      <c r="M28" s="55">
        <v>1.5</v>
      </c>
      <c r="N28" s="60">
        <f>IF(ISBLANK(M28),0,ABS(Uzman_E!D$13-M28))</f>
        <v>0.89999999999999991</v>
      </c>
      <c r="O28" s="52">
        <f>IF(ISBLANK(M28),0,INDEX(Tablo_E!$B$2:$CX$102,MATCH(ROUND(Uzman_E!D$13,1),Tablo_E!$A$2:$A$102,1),MATCH(ROUND(N28,1),Tablo_E!$B$1:$CX$1,1)))</f>
        <v>0.5</v>
      </c>
      <c r="P28" s="55">
        <v>2</v>
      </c>
      <c r="Q28" s="60">
        <f>IF(ISBLANK(P28),0,ABS(Uzman_E!E$13-P28))</f>
        <v>0.10000000000000009</v>
      </c>
      <c r="R28" s="52">
        <f>IF(ISBLANK(P28),0,INDEX(Tablo_E!$B$2:$CX$102,MATCH(ROUND(Uzman_E!E$13,1),Tablo_E!$A$2:$A$102,1),MATCH(ROUND(Q28,1),Tablo_E!$B$1:$CX$1,1)))</f>
        <v>1</v>
      </c>
      <c r="S28" s="53">
        <f t="shared" si="0"/>
        <v>0.67999999999999994</v>
      </c>
      <c r="T28" s="49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6" ht="15" customHeight="1" x14ac:dyDescent="0.45">
      <c r="A29" s="54">
        <v>26</v>
      </c>
      <c r="B29" s="158" t="str">
        <f>Hakemler!B29</f>
        <v>PINAR</v>
      </c>
      <c r="C29" s="159" t="str">
        <f>Hakemler!C29</f>
        <v>YELİZ</v>
      </c>
      <c r="D29" s="55">
        <v>2.2000000000000002</v>
      </c>
      <c r="E29" s="60">
        <f>IF(ISBLANK(D29),0,ABS(Uzman_E!A$13-D29))</f>
        <v>9.9999999999999645E-2</v>
      </c>
      <c r="F29" s="52">
        <f>IF(ISBLANK(D29),0,INDEX(Tablo_E!$B$2:$CX$102,MATCH(ROUND(Uzman_E!A$13,1),Tablo_E!$A$2:$A$102,1),MATCH(ROUND(E29,1),Tablo_E!$B$1:$CX$1,1)))</f>
        <v>1</v>
      </c>
      <c r="G29" s="55">
        <v>2.1</v>
      </c>
      <c r="H29" s="60">
        <f>IF(ISBLANK(G29),0,ABS(Uzman_E!B$13-G29))</f>
        <v>1</v>
      </c>
      <c r="I29" s="52">
        <f>IF(ISBLANK(G29),0,INDEX(Tablo_E!$B$2:$CX$102,MATCH(ROUND(Uzman_E!B$13,1),Tablo_E!$A$2:$A$102,1),MATCH(ROUND(H29,1),Tablo_E!$B$1:$CX$1,1)))</f>
        <v>0.5</v>
      </c>
      <c r="J29" s="55">
        <v>2.1</v>
      </c>
      <c r="K29" s="60">
        <f>IF(ISBLANK(J29),0,ABS(Uzman_E!C$13-J29))</f>
        <v>0.89999999999999991</v>
      </c>
      <c r="L29" s="52">
        <f>IF(ISBLANK(J29),0,INDEX(Tablo_E!$B$2:$CX$102,MATCH(ROUND(Uzman_E!C$13,1),Tablo_E!$A$2:$A$102,1),MATCH(ROUND(K29,1),Tablo_E!$B$1:$CX$1,1)))</f>
        <v>0.6</v>
      </c>
      <c r="M29" s="55">
        <v>1.8</v>
      </c>
      <c r="N29" s="60">
        <f>IF(ISBLANK(M29),0,ABS(Uzman_E!D$13-M29))</f>
        <v>0.59999999999999987</v>
      </c>
      <c r="O29" s="52">
        <f>IF(ISBLANK(M29),0,INDEX(Tablo_E!$B$2:$CX$102,MATCH(ROUND(Uzman_E!D$13,1),Tablo_E!$A$2:$A$102,1),MATCH(ROUND(N29,1),Tablo_E!$B$1:$CX$1,1)))</f>
        <v>0.8</v>
      </c>
      <c r="P29" s="55">
        <v>1.7</v>
      </c>
      <c r="Q29" s="60">
        <f>IF(ISBLANK(P29),0,ABS(Uzman_E!E$13-P29))</f>
        <v>0.19999999999999996</v>
      </c>
      <c r="R29" s="52">
        <f>IF(ISBLANK(P29),0,INDEX(Tablo_E!$B$2:$CX$102,MATCH(ROUND(Uzman_E!E$13,1),Tablo_E!$A$2:$A$102,1),MATCH(ROUND(Q29,1),Tablo_E!$B$1:$CX$1,1)))</f>
        <v>1</v>
      </c>
      <c r="S29" s="53">
        <f t="shared" si="0"/>
        <v>0.78</v>
      </c>
      <c r="T29" s="49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6" ht="15" customHeight="1" x14ac:dyDescent="0.45">
      <c r="A30" s="54">
        <v>27</v>
      </c>
      <c r="B30" s="158" t="str">
        <f>Hakemler!B30</f>
        <v>KATRANCI</v>
      </c>
      <c r="C30" s="159" t="str">
        <f>Hakemler!C30</f>
        <v>AYŞEN</v>
      </c>
      <c r="D30" s="55">
        <v>2.2999999999999998</v>
      </c>
      <c r="E30" s="60">
        <f>IF(ISBLANK(D30),0,ABS(Uzman_E!A$13-D30))</f>
        <v>0</v>
      </c>
      <c r="F30" s="52">
        <f>IF(ISBLANK(D30),0,INDEX(Tablo_E!$B$2:$CX$102,MATCH(ROUND(Uzman_E!A$13,1),Tablo_E!$A$2:$A$102,1),MATCH(ROUND(E30,1),Tablo_E!$B$1:$CX$1,1)))</f>
        <v>1</v>
      </c>
      <c r="G30" s="55">
        <v>3.2</v>
      </c>
      <c r="H30" s="60">
        <f>IF(ISBLANK(G30),0,ABS(Uzman_E!B$13-G30))</f>
        <v>0.10000000000000009</v>
      </c>
      <c r="I30" s="52">
        <f>IF(ISBLANK(G30),0,INDEX(Tablo_E!$B$2:$CX$102,MATCH(ROUND(Uzman_E!B$13,1),Tablo_E!$A$2:$A$102,1),MATCH(ROUND(H30,1),Tablo_E!$B$1:$CX$1,1)))</f>
        <v>1</v>
      </c>
      <c r="J30" s="55">
        <v>3.1</v>
      </c>
      <c r="K30" s="60">
        <f>IF(ISBLANK(J30),0,ABS(Uzman_E!C$13-J30))</f>
        <v>0.10000000000000009</v>
      </c>
      <c r="L30" s="52">
        <f>IF(ISBLANK(J30),0,INDEX(Tablo_E!$B$2:$CX$102,MATCH(ROUND(Uzman_E!C$13,1),Tablo_E!$A$2:$A$102,1),MATCH(ROUND(K30,1),Tablo_E!$B$1:$CX$1,1)))</f>
        <v>1</v>
      </c>
      <c r="M30" s="55">
        <v>2.8</v>
      </c>
      <c r="N30" s="60">
        <f>IF(ISBLANK(M30),0,ABS(Uzman_E!D$13-M30))</f>
        <v>0.39999999999999991</v>
      </c>
      <c r="O30" s="52">
        <f>IF(ISBLANK(M30),0,INDEX(Tablo_E!$B$2:$CX$102,MATCH(ROUND(Uzman_E!D$13,1),Tablo_E!$A$2:$A$102,1),MATCH(ROUND(N30,1),Tablo_E!$B$1:$CX$1,1)))</f>
        <v>0.95</v>
      </c>
      <c r="P30" s="55">
        <v>1.5</v>
      </c>
      <c r="Q30" s="60">
        <f>IF(ISBLANK(P30),0,ABS(Uzman_E!E$13-P30))</f>
        <v>0.39999999999999991</v>
      </c>
      <c r="R30" s="52">
        <f>IF(ISBLANK(P30),0,INDEX(Tablo_E!$B$2:$CX$102,MATCH(ROUND(Uzman_E!E$13,1),Tablo_E!$A$2:$A$102,1),MATCH(ROUND(Q30,1),Tablo_E!$B$1:$CX$1,1)))</f>
        <v>0.9</v>
      </c>
      <c r="S30" s="53">
        <f t="shared" si="0"/>
        <v>0.97000000000000008</v>
      </c>
      <c r="T30" s="49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6" ht="15" customHeight="1" x14ac:dyDescent="0.45">
      <c r="A31" s="54">
        <v>28</v>
      </c>
      <c r="B31" s="158" t="str">
        <f>Hakemler!B31</f>
        <v>GÜRKAN KİRAZ</v>
      </c>
      <c r="C31" s="159" t="str">
        <f>Hakemler!C31</f>
        <v>FULYA</v>
      </c>
      <c r="D31" s="55">
        <v>2.7</v>
      </c>
      <c r="E31" s="60">
        <f>IF(ISBLANK(D31),0,ABS(Uzman_E!A$13-D31))</f>
        <v>0.40000000000000036</v>
      </c>
      <c r="F31" s="52">
        <f>IF(ISBLANK(D31),0,INDEX(Tablo_E!$B$2:$CX$102,MATCH(ROUND(Uzman_E!A$13,1),Tablo_E!$A$2:$A$102,1),MATCH(ROUND(E31,1),Tablo_E!$B$1:$CX$1,1)))</f>
        <v>0.95</v>
      </c>
      <c r="G31" s="55">
        <v>3.5</v>
      </c>
      <c r="H31" s="60">
        <f>IF(ISBLANK(G31),0,ABS(Uzman_E!B$13-G31))</f>
        <v>0.39999999999999991</v>
      </c>
      <c r="I31" s="52">
        <f>IF(ISBLANK(G31),0,INDEX(Tablo_E!$B$2:$CX$102,MATCH(ROUND(Uzman_E!B$13,1),Tablo_E!$A$2:$A$102,1),MATCH(ROUND(H31,1),Tablo_E!$B$1:$CX$1,1)))</f>
        <v>1</v>
      </c>
      <c r="J31" s="55">
        <v>4</v>
      </c>
      <c r="K31" s="60">
        <f>IF(ISBLANK(J31),0,ABS(Uzman_E!C$13-J31))</f>
        <v>1</v>
      </c>
      <c r="L31" s="52">
        <f>IF(ISBLANK(J31),0,INDEX(Tablo_E!$B$2:$CX$102,MATCH(ROUND(Uzman_E!C$13,1),Tablo_E!$A$2:$A$102,1),MATCH(ROUND(K31,1),Tablo_E!$B$1:$CX$1,1)))</f>
        <v>0.5</v>
      </c>
      <c r="M31" s="55">
        <v>2.4</v>
      </c>
      <c r="N31" s="60">
        <f>IF(ISBLANK(M31),0,ABS(Uzman_E!D$13-M31))</f>
        <v>0</v>
      </c>
      <c r="O31" s="52">
        <f>IF(ISBLANK(M31),0,INDEX(Tablo_E!$B$2:$CX$102,MATCH(ROUND(Uzman_E!D$13,1),Tablo_E!$A$2:$A$102,1),MATCH(ROUND(N31,1),Tablo_E!$B$1:$CX$1,1)))</f>
        <v>1</v>
      </c>
      <c r="P31" s="55">
        <v>3.4</v>
      </c>
      <c r="Q31" s="60">
        <f>IF(ISBLANK(P31),0,ABS(Uzman_E!E$13-P31))</f>
        <v>1.5</v>
      </c>
      <c r="R31" s="52">
        <f>IF(ISBLANK(P31),0,INDEX(Tablo_E!$B$2:$CX$102,MATCH(ROUND(Uzman_E!E$13,1),Tablo_E!$A$2:$A$102,1),MATCH(ROUND(Q31,1),Tablo_E!$B$1:$CX$1,1)))</f>
        <v>0</v>
      </c>
      <c r="S31" s="53">
        <f t="shared" si="0"/>
        <v>0.69000000000000006</v>
      </c>
      <c r="T31" s="49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6" ht="15" customHeight="1" x14ac:dyDescent="0.45">
      <c r="A32" s="54">
        <v>29</v>
      </c>
      <c r="B32" s="158" t="str">
        <f>Hakemler!B32</f>
        <v>KILIÇ</v>
      </c>
      <c r="C32" s="159" t="str">
        <f>Hakemler!C32</f>
        <v>AYŞE</v>
      </c>
      <c r="D32" s="55">
        <v>2.9</v>
      </c>
      <c r="E32" s="60">
        <f>IF(ISBLANK(D32),0,ABS(Uzman_E!A$13-D32))</f>
        <v>0.60000000000000009</v>
      </c>
      <c r="F32" s="52">
        <f>IF(ISBLANK(D32),0,INDEX(Tablo_E!$B$2:$CX$102,MATCH(ROUND(Uzman_E!A$13,1),Tablo_E!$A$2:$A$102,1),MATCH(ROUND(E32,1),Tablo_E!$B$1:$CX$1,1)))</f>
        <v>0.8</v>
      </c>
      <c r="G32" s="55">
        <v>4.5</v>
      </c>
      <c r="H32" s="60">
        <f>IF(ISBLANK(G32),0,ABS(Uzman_E!B$13-G32))</f>
        <v>1.4</v>
      </c>
      <c r="I32" s="52">
        <f>IF(ISBLANK(G32),0,INDEX(Tablo_E!$B$2:$CX$102,MATCH(ROUND(Uzman_E!B$13,1),Tablo_E!$A$2:$A$102,1),MATCH(ROUND(H32,1),Tablo_E!$B$1:$CX$1,1)))</f>
        <v>0.1</v>
      </c>
      <c r="J32" s="55">
        <v>2.1</v>
      </c>
      <c r="K32" s="60">
        <f>IF(ISBLANK(J32),0,ABS(Uzman_E!C$13-J32))</f>
        <v>0.89999999999999991</v>
      </c>
      <c r="L32" s="52">
        <f>IF(ISBLANK(J32),0,INDEX(Tablo_E!$B$2:$CX$102,MATCH(ROUND(Uzman_E!C$13,1),Tablo_E!$A$2:$A$102,1),MATCH(ROUND(K32,1),Tablo_E!$B$1:$CX$1,1)))</f>
        <v>0.6</v>
      </c>
      <c r="M32" s="55">
        <v>2.2000000000000002</v>
      </c>
      <c r="N32" s="60">
        <f>IF(ISBLANK(M32),0,ABS(Uzman_E!D$13-M32))</f>
        <v>0.19999999999999973</v>
      </c>
      <c r="O32" s="52">
        <f>IF(ISBLANK(M32),0,INDEX(Tablo_E!$B$2:$CX$102,MATCH(ROUND(Uzman_E!D$13,1),Tablo_E!$A$2:$A$102,1),MATCH(ROUND(N32,1),Tablo_E!$B$1:$CX$1,1)))</f>
        <v>1</v>
      </c>
      <c r="P32" s="55">
        <v>2.6</v>
      </c>
      <c r="Q32" s="60">
        <f>IF(ISBLANK(P32),0,ABS(Uzman_E!E$13-P32))</f>
        <v>0.70000000000000018</v>
      </c>
      <c r="R32" s="52">
        <f>IF(ISBLANK(P32),0,INDEX(Tablo_E!$B$2:$CX$102,MATCH(ROUND(Uzman_E!E$13,1),Tablo_E!$A$2:$A$102,1),MATCH(ROUND(Q32,1),Tablo_E!$B$1:$CX$1,1)))</f>
        <v>0.6</v>
      </c>
      <c r="S32" s="53">
        <f t="shared" si="0"/>
        <v>0.62</v>
      </c>
      <c r="T32" s="49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spans="1:36" ht="15" customHeight="1" x14ac:dyDescent="0.45">
      <c r="A33" s="54">
        <v>30</v>
      </c>
      <c r="B33" s="158" t="str">
        <f>Hakemler!B33</f>
        <v>ÖZGENLİK TATAR</v>
      </c>
      <c r="C33" s="159" t="str">
        <f>Hakemler!C33</f>
        <v>ARZU</v>
      </c>
      <c r="D33" s="55">
        <v>2.1</v>
      </c>
      <c r="E33" s="60">
        <f>IF(ISBLANK(D33),0,ABS(Uzman_E!A$13-D33))</f>
        <v>0.19999999999999973</v>
      </c>
      <c r="F33" s="52">
        <f>IF(ISBLANK(D33),0,INDEX(Tablo_E!$B$2:$CX$102,MATCH(ROUND(Uzman_E!A$13,1),Tablo_E!$A$2:$A$102,1),MATCH(ROUND(E33,1),Tablo_E!$B$1:$CX$1,1)))</f>
        <v>1</v>
      </c>
      <c r="G33" s="55">
        <v>2.8</v>
      </c>
      <c r="H33" s="60">
        <f>IF(ISBLANK(G33),0,ABS(Uzman_E!B$13-G33))</f>
        <v>0.30000000000000027</v>
      </c>
      <c r="I33" s="52">
        <f>IF(ISBLANK(G33),0,INDEX(Tablo_E!$B$2:$CX$102,MATCH(ROUND(Uzman_E!B$13,1),Tablo_E!$A$2:$A$102,1),MATCH(ROUND(H33,1),Tablo_E!$B$1:$CX$1,1)))</f>
        <v>1</v>
      </c>
      <c r="J33" s="55">
        <v>2.2999999999999998</v>
      </c>
      <c r="K33" s="60">
        <f>IF(ISBLANK(J33),0,ABS(Uzman_E!C$13-J33))</f>
        <v>0.70000000000000018</v>
      </c>
      <c r="L33" s="52">
        <f>IF(ISBLANK(J33),0,INDEX(Tablo_E!$B$2:$CX$102,MATCH(ROUND(Uzman_E!C$13,1),Tablo_E!$A$2:$A$102,1),MATCH(ROUND(K33,1),Tablo_E!$B$1:$CX$1,1)))</f>
        <v>0.8</v>
      </c>
      <c r="M33" s="55">
        <v>2</v>
      </c>
      <c r="N33" s="60">
        <f>IF(ISBLANK(M33),0,ABS(Uzman_E!D$13-M33))</f>
        <v>0.39999999999999991</v>
      </c>
      <c r="O33" s="52">
        <f>IF(ISBLANK(M33),0,INDEX(Tablo_E!$B$2:$CX$102,MATCH(ROUND(Uzman_E!D$13,1),Tablo_E!$A$2:$A$102,1),MATCH(ROUND(N33,1),Tablo_E!$B$1:$CX$1,1)))</f>
        <v>0.95</v>
      </c>
      <c r="P33" s="55">
        <v>1.7</v>
      </c>
      <c r="Q33" s="60">
        <f>IF(ISBLANK(P33),0,ABS(Uzman_E!E$13-P33))</f>
        <v>0.19999999999999996</v>
      </c>
      <c r="R33" s="52">
        <f>IF(ISBLANK(P33),0,INDEX(Tablo_E!$B$2:$CX$102,MATCH(ROUND(Uzman_E!E$13,1),Tablo_E!$A$2:$A$102,1),MATCH(ROUND(Q33,1),Tablo_E!$B$1:$CX$1,1)))</f>
        <v>1</v>
      </c>
      <c r="S33" s="53">
        <f t="shared" si="0"/>
        <v>0.95</v>
      </c>
      <c r="T33" s="49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spans="1:36" ht="15" customHeight="1" x14ac:dyDescent="0.45">
      <c r="A34" s="54">
        <v>31</v>
      </c>
      <c r="B34" s="158" t="str">
        <f>Hakemler!B34</f>
        <v>KARADENİZ</v>
      </c>
      <c r="C34" s="159" t="str">
        <f>Hakemler!C34</f>
        <v>EMEL</v>
      </c>
      <c r="D34" s="55">
        <v>4</v>
      </c>
      <c r="E34" s="60">
        <f>IF(ISBLANK(D34),0,ABS(Uzman_E!A$13-D34))</f>
        <v>1.7000000000000002</v>
      </c>
      <c r="F34" s="52">
        <f>IF(ISBLANK(D34),0,INDEX(Tablo_E!$B$2:$CX$102,MATCH(ROUND(Uzman_E!A$13,1),Tablo_E!$A$2:$A$102,1),MATCH(ROUND(E34,1),Tablo_E!$B$1:$CX$1,1)))</f>
        <v>0</v>
      </c>
      <c r="G34" s="55">
        <v>4</v>
      </c>
      <c r="H34" s="60">
        <f>IF(ISBLANK(G34),0,ABS(Uzman_E!B$13-G34))</f>
        <v>0.89999999999999991</v>
      </c>
      <c r="I34" s="52">
        <f>IF(ISBLANK(G34),0,INDEX(Tablo_E!$B$2:$CX$102,MATCH(ROUND(Uzman_E!B$13,1),Tablo_E!$A$2:$A$102,1),MATCH(ROUND(H34,1),Tablo_E!$B$1:$CX$1,1)))</f>
        <v>0.6</v>
      </c>
      <c r="J34" s="55">
        <v>3.6</v>
      </c>
      <c r="K34" s="60">
        <f>IF(ISBLANK(J34),0,ABS(Uzman_E!C$13-J34))</f>
        <v>0.60000000000000009</v>
      </c>
      <c r="L34" s="52">
        <f>IF(ISBLANK(J34),0,INDEX(Tablo_E!$B$2:$CX$102,MATCH(ROUND(Uzman_E!C$13,1),Tablo_E!$A$2:$A$102,1),MATCH(ROUND(K34,1),Tablo_E!$B$1:$CX$1,1)))</f>
        <v>0.85</v>
      </c>
      <c r="M34" s="55">
        <v>3.2</v>
      </c>
      <c r="N34" s="60">
        <f>IF(ISBLANK(M34),0,ABS(Uzman_E!D$13-M34))</f>
        <v>0.80000000000000027</v>
      </c>
      <c r="O34" s="52">
        <f>IF(ISBLANK(M34),0,INDEX(Tablo_E!$B$2:$CX$102,MATCH(ROUND(Uzman_E!D$13,1),Tablo_E!$A$2:$A$102,1),MATCH(ROUND(N34,1),Tablo_E!$B$1:$CX$1,1)))</f>
        <v>0.6</v>
      </c>
      <c r="P34" s="55">
        <v>2.4</v>
      </c>
      <c r="Q34" s="60">
        <f>IF(ISBLANK(P34),0,ABS(Uzman_E!E$13-P34))</f>
        <v>0.5</v>
      </c>
      <c r="R34" s="52">
        <f>IF(ISBLANK(P34),0,INDEX(Tablo_E!$B$2:$CX$102,MATCH(ROUND(Uzman_E!E$13,1),Tablo_E!$A$2:$A$102,1),MATCH(ROUND(Q34,1),Tablo_E!$B$1:$CX$1,1)))</f>
        <v>0.8</v>
      </c>
      <c r="S34" s="53">
        <f t="shared" si="0"/>
        <v>0.56999999999999995</v>
      </c>
      <c r="T34" s="49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spans="1:36" ht="15" customHeight="1" x14ac:dyDescent="0.45">
      <c r="A35" s="54">
        <v>32</v>
      </c>
      <c r="B35" s="158" t="str">
        <f>Hakemler!B35</f>
        <v>TOYRAN</v>
      </c>
      <c r="C35" s="159" t="str">
        <f>Hakemler!C35</f>
        <v>SİNEM NUR</v>
      </c>
      <c r="D35" s="55">
        <v>2.2000000000000002</v>
      </c>
      <c r="E35" s="60">
        <f>IF(ISBLANK(D35),0,ABS(Uzman_E!A$13-D35))</f>
        <v>9.9999999999999645E-2</v>
      </c>
      <c r="F35" s="52">
        <f>IF(ISBLANK(D35),0,INDEX(Tablo_E!$B$2:$CX$102,MATCH(ROUND(Uzman_E!A$13,1),Tablo_E!$A$2:$A$102,1),MATCH(ROUND(E35,1),Tablo_E!$B$1:$CX$1,1)))</f>
        <v>1</v>
      </c>
      <c r="G35" s="55">
        <v>3.3</v>
      </c>
      <c r="H35" s="60">
        <f>IF(ISBLANK(G35),0,ABS(Uzman_E!B$13-G35))</f>
        <v>0.19999999999999973</v>
      </c>
      <c r="I35" s="52">
        <f>IF(ISBLANK(G35),0,INDEX(Tablo_E!$B$2:$CX$102,MATCH(ROUND(Uzman_E!B$13,1),Tablo_E!$A$2:$A$102,1),MATCH(ROUND(H35,1),Tablo_E!$B$1:$CX$1,1)))</f>
        <v>1</v>
      </c>
      <c r="J35" s="55">
        <v>2.5</v>
      </c>
      <c r="K35" s="60">
        <f>IF(ISBLANK(J35),0,ABS(Uzman_E!C$13-J35))</f>
        <v>0.5</v>
      </c>
      <c r="L35" s="52">
        <f>IF(ISBLANK(J35),0,INDEX(Tablo_E!$B$2:$CX$102,MATCH(ROUND(Uzman_E!C$13,1),Tablo_E!$A$2:$A$102,1),MATCH(ROUND(K35,1),Tablo_E!$B$1:$CX$1,1)))</f>
        <v>0.95</v>
      </c>
      <c r="M35" s="55">
        <v>2.2999999999999998</v>
      </c>
      <c r="N35" s="60">
        <f>IF(ISBLANK(M35),0,ABS(Uzman_E!D$13-M35))</f>
        <v>0.10000000000000009</v>
      </c>
      <c r="O35" s="52">
        <f>IF(ISBLANK(M35),0,INDEX(Tablo_E!$B$2:$CX$102,MATCH(ROUND(Uzman_E!D$13,1),Tablo_E!$A$2:$A$102,1),MATCH(ROUND(N35,1),Tablo_E!$B$1:$CX$1,1)))</f>
        <v>1</v>
      </c>
      <c r="P35" s="55">
        <v>2.1</v>
      </c>
      <c r="Q35" s="60">
        <f>IF(ISBLANK(P35),0,ABS(Uzman_E!E$13-P35))</f>
        <v>0.20000000000000018</v>
      </c>
      <c r="R35" s="52">
        <f>IF(ISBLANK(P35),0,INDEX(Tablo_E!$B$2:$CX$102,MATCH(ROUND(Uzman_E!E$13,1),Tablo_E!$A$2:$A$102,1),MATCH(ROUND(Q35,1),Tablo_E!$B$1:$CX$1,1)))</f>
        <v>1</v>
      </c>
      <c r="S35" s="53">
        <f t="shared" si="0"/>
        <v>0.99</v>
      </c>
      <c r="T35" s="49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spans="1:36" ht="15" customHeight="1" x14ac:dyDescent="0.45">
      <c r="A36" s="54">
        <v>33</v>
      </c>
      <c r="B36" s="158" t="str">
        <f>Hakemler!B36</f>
        <v>SEVERBAŞ</v>
      </c>
      <c r="C36" s="159" t="str">
        <f>Hakemler!C36</f>
        <v>PINAR</v>
      </c>
      <c r="D36" s="55">
        <v>2.9</v>
      </c>
      <c r="E36" s="60">
        <f>IF(ISBLANK(D36),0,ABS(Uzman_E!A$13-D36))</f>
        <v>0.60000000000000009</v>
      </c>
      <c r="F36" s="52">
        <f>IF(ISBLANK(D36),0,INDEX(Tablo_E!$B$2:$CX$102,MATCH(ROUND(Uzman_E!A$13,1),Tablo_E!$A$2:$A$102,1),MATCH(ROUND(E36,1),Tablo_E!$B$1:$CX$1,1)))</f>
        <v>0.8</v>
      </c>
      <c r="G36" s="55">
        <v>3</v>
      </c>
      <c r="H36" s="60">
        <f>IF(ISBLANK(G36),0,ABS(Uzman_E!B$13-G36))</f>
        <v>0.10000000000000009</v>
      </c>
      <c r="I36" s="52">
        <f>IF(ISBLANK(G36),0,INDEX(Tablo_E!$B$2:$CX$102,MATCH(ROUND(Uzman_E!B$13,1),Tablo_E!$A$2:$A$102,1),MATCH(ROUND(H36,1),Tablo_E!$B$1:$CX$1,1)))</f>
        <v>1</v>
      </c>
      <c r="J36" s="55">
        <v>2.8</v>
      </c>
      <c r="K36" s="60">
        <f>IF(ISBLANK(J36),0,ABS(Uzman_E!C$13-J36))</f>
        <v>0.20000000000000018</v>
      </c>
      <c r="L36" s="52">
        <f>IF(ISBLANK(J36),0,INDEX(Tablo_E!$B$2:$CX$102,MATCH(ROUND(Uzman_E!C$13,1),Tablo_E!$A$2:$A$102,1),MATCH(ROUND(K36,1),Tablo_E!$B$1:$CX$1,1)))</f>
        <v>1</v>
      </c>
      <c r="M36" s="55">
        <v>2.2000000000000002</v>
      </c>
      <c r="N36" s="60">
        <f>IF(ISBLANK(M36),0,ABS(Uzman_E!D$13-M36))</f>
        <v>0.19999999999999973</v>
      </c>
      <c r="O36" s="52">
        <f>IF(ISBLANK(M36),0,INDEX(Tablo_E!$B$2:$CX$102,MATCH(ROUND(Uzman_E!D$13,1),Tablo_E!$A$2:$A$102,1),MATCH(ROUND(N36,1),Tablo_E!$B$1:$CX$1,1)))</f>
        <v>1</v>
      </c>
      <c r="P36" s="55">
        <v>1.3</v>
      </c>
      <c r="Q36" s="60">
        <f>IF(ISBLANK(P36),0,ABS(Uzman_E!E$13-P36))</f>
        <v>0.59999999999999987</v>
      </c>
      <c r="R36" s="52">
        <f>IF(ISBLANK(P36),0,INDEX(Tablo_E!$B$2:$CX$102,MATCH(ROUND(Uzman_E!E$13,1),Tablo_E!$A$2:$A$102,1),MATCH(ROUND(Q36,1),Tablo_E!$B$1:$CX$1,1)))</f>
        <v>0.7</v>
      </c>
      <c r="S36" s="53">
        <f t="shared" ref="S36:S67" si="1">(F36+I36+L36+O36+R36)/5</f>
        <v>0.9</v>
      </c>
      <c r="T36" s="49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5" customHeight="1" x14ac:dyDescent="0.45">
      <c r="A37" s="54">
        <v>34</v>
      </c>
      <c r="B37" s="158" t="str">
        <f>Hakemler!B37</f>
        <v>KASAP TOPAL</v>
      </c>
      <c r="C37" s="159" t="str">
        <f>Hakemler!C37</f>
        <v>AYTEN</v>
      </c>
      <c r="D37" s="55">
        <v>2.4</v>
      </c>
      <c r="E37" s="60">
        <f>IF(ISBLANK(D37),0,ABS(Uzman_E!A$13-D37))</f>
        <v>0.10000000000000009</v>
      </c>
      <c r="F37" s="52">
        <f>IF(ISBLANK(D37),0,INDEX(Tablo_E!$B$2:$CX$102,MATCH(ROUND(Uzman_E!A$13,1),Tablo_E!$A$2:$A$102,1),MATCH(ROUND(E37,1),Tablo_E!$B$1:$CX$1,1)))</f>
        <v>1</v>
      </c>
      <c r="G37" s="55">
        <v>2.7</v>
      </c>
      <c r="H37" s="60">
        <f>IF(ISBLANK(G37),0,ABS(Uzman_E!B$13-G37))</f>
        <v>0.39999999999999991</v>
      </c>
      <c r="I37" s="52">
        <f>IF(ISBLANK(G37),0,INDEX(Tablo_E!$B$2:$CX$102,MATCH(ROUND(Uzman_E!B$13,1),Tablo_E!$A$2:$A$102,1),MATCH(ROUND(H37,1),Tablo_E!$B$1:$CX$1,1)))</f>
        <v>1</v>
      </c>
      <c r="J37" s="55">
        <v>2.1</v>
      </c>
      <c r="K37" s="60">
        <f>IF(ISBLANK(J37),0,ABS(Uzman_E!C$13-J37))</f>
        <v>0.89999999999999991</v>
      </c>
      <c r="L37" s="52">
        <f>IF(ISBLANK(J37),0,INDEX(Tablo_E!$B$2:$CX$102,MATCH(ROUND(Uzman_E!C$13,1),Tablo_E!$A$2:$A$102,1),MATCH(ROUND(K37,1),Tablo_E!$B$1:$CX$1,1)))</f>
        <v>0.6</v>
      </c>
      <c r="M37" s="55">
        <v>2.7</v>
      </c>
      <c r="N37" s="60">
        <f>IF(ISBLANK(M37),0,ABS(Uzman_E!D$13-M37))</f>
        <v>0.30000000000000027</v>
      </c>
      <c r="O37" s="52">
        <f>IF(ISBLANK(M37),0,INDEX(Tablo_E!$B$2:$CX$102,MATCH(ROUND(Uzman_E!D$13,1),Tablo_E!$A$2:$A$102,1),MATCH(ROUND(N37,1),Tablo_E!$B$1:$CX$1,1)))</f>
        <v>1</v>
      </c>
      <c r="P37" s="55">
        <v>2</v>
      </c>
      <c r="Q37" s="60">
        <f>IF(ISBLANK(P37),0,ABS(Uzman_E!E$13-P37))</f>
        <v>0.10000000000000009</v>
      </c>
      <c r="R37" s="52">
        <f>IF(ISBLANK(P37),0,INDEX(Tablo_E!$B$2:$CX$102,MATCH(ROUND(Uzman_E!E$13,1),Tablo_E!$A$2:$A$102,1),MATCH(ROUND(Q37,1),Tablo_E!$B$1:$CX$1,1)))</f>
        <v>1</v>
      </c>
      <c r="S37" s="53">
        <f t="shared" si="1"/>
        <v>0.91999999999999993</v>
      </c>
      <c r="T37" s="49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spans="1:36" ht="15" customHeight="1" x14ac:dyDescent="0.45">
      <c r="A38" s="54">
        <v>35</v>
      </c>
      <c r="B38" s="158" t="str">
        <f>Hakemler!B38</f>
        <v>DİCLE</v>
      </c>
      <c r="C38" s="159" t="str">
        <f>Hakemler!C38</f>
        <v>SENA HAZEL</v>
      </c>
      <c r="D38" s="55">
        <v>2.8</v>
      </c>
      <c r="E38" s="60">
        <f>IF(ISBLANK(D38),0,ABS(Uzman_E!A$13-D38))</f>
        <v>0.5</v>
      </c>
      <c r="F38" s="52">
        <f>IF(ISBLANK(D38),0,INDEX(Tablo_E!$B$2:$CX$102,MATCH(ROUND(Uzman_E!A$13,1),Tablo_E!$A$2:$A$102,1),MATCH(ROUND(E38,1),Tablo_E!$B$1:$CX$1,1)))</f>
        <v>0.85</v>
      </c>
      <c r="G38" s="55">
        <v>3.5</v>
      </c>
      <c r="H38" s="60">
        <f>IF(ISBLANK(G38),0,ABS(Uzman_E!B$13-G38))</f>
        <v>0.39999999999999991</v>
      </c>
      <c r="I38" s="52">
        <f>IF(ISBLANK(G38),0,INDEX(Tablo_E!$B$2:$CX$102,MATCH(ROUND(Uzman_E!B$13,1),Tablo_E!$A$2:$A$102,1),MATCH(ROUND(H38,1),Tablo_E!$B$1:$CX$1,1)))</f>
        <v>1</v>
      </c>
      <c r="J38" s="55">
        <v>3.2</v>
      </c>
      <c r="K38" s="60">
        <f>IF(ISBLANK(J38),0,ABS(Uzman_E!C$13-J38))</f>
        <v>0.20000000000000018</v>
      </c>
      <c r="L38" s="52">
        <f>IF(ISBLANK(J38),0,INDEX(Tablo_E!$B$2:$CX$102,MATCH(ROUND(Uzman_E!C$13,1),Tablo_E!$A$2:$A$102,1),MATCH(ROUND(K38,1),Tablo_E!$B$1:$CX$1,1)))</f>
        <v>1</v>
      </c>
      <c r="M38" s="55">
        <v>2.2000000000000002</v>
      </c>
      <c r="N38" s="60">
        <f>IF(ISBLANK(M38),0,ABS(Uzman_E!D$13-M38))</f>
        <v>0.19999999999999973</v>
      </c>
      <c r="O38" s="52">
        <f>IF(ISBLANK(M38),0,INDEX(Tablo_E!$B$2:$CX$102,MATCH(ROUND(Uzman_E!D$13,1),Tablo_E!$A$2:$A$102,1),MATCH(ROUND(N38,1),Tablo_E!$B$1:$CX$1,1)))</f>
        <v>1</v>
      </c>
      <c r="P38" s="55">
        <v>3</v>
      </c>
      <c r="Q38" s="60">
        <f>IF(ISBLANK(P38),0,ABS(Uzman_E!E$13-P38))</f>
        <v>1.1000000000000001</v>
      </c>
      <c r="R38" s="52">
        <f>IF(ISBLANK(P38),0,INDEX(Tablo_E!$B$2:$CX$102,MATCH(ROUND(Uzman_E!E$13,1),Tablo_E!$A$2:$A$102,1),MATCH(ROUND(Q38,1),Tablo_E!$B$1:$CX$1,1)))</f>
        <v>0.2</v>
      </c>
      <c r="S38" s="53">
        <f t="shared" si="1"/>
        <v>0.80999999999999994</v>
      </c>
      <c r="T38" s="49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spans="1:36" ht="15" customHeight="1" x14ac:dyDescent="0.45">
      <c r="A39" s="54">
        <v>36</v>
      </c>
      <c r="B39" s="158" t="str">
        <f>Hakemler!B39</f>
        <v>KARAHAN</v>
      </c>
      <c r="C39" s="159" t="str">
        <f>Hakemler!C39</f>
        <v>NESRİN</v>
      </c>
      <c r="D39" s="55">
        <v>1.9</v>
      </c>
      <c r="E39" s="60">
        <f>IF(ISBLANK(D39),0,ABS(Uzman_E!A$13-D39))</f>
        <v>0.39999999999999991</v>
      </c>
      <c r="F39" s="52">
        <f>IF(ISBLANK(D39),0,INDEX(Tablo_E!$B$2:$CX$102,MATCH(ROUND(Uzman_E!A$13,1),Tablo_E!$A$2:$A$102,1),MATCH(ROUND(E39,1),Tablo_E!$B$1:$CX$1,1)))</f>
        <v>0.95</v>
      </c>
      <c r="G39" s="55">
        <v>4</v>
      </c>
      <c r="H39" s="60">
        <f>IF(ISBLANK(G39),0,ABS(Uzman_E!B$13-G39))</f>
        <v>0.89999999999999991</v>
      </c>
      <c r="I39" s="52">
        <f>IF(ISBLANK(G39),0,INDEX(Tablo_E!$B$2:$CX$102,MATCH(ROUND(Uzman_E!B$13,1),Tablo_E!$A$2:$A$102,1),MATCH(ROUND(H39,1),Tablo_E!$B$1:$CX$1,1)))</f>
        <v>0.6</v>
      </c>
      <c r="J39" s="55">
        <v>2.5</v>
      </c>
      <c r="K39" s="60">
        <f>IF(ISBLANK(J39),0,ABS(Uzman_E!C$13-J39))</f>
        <v>0.5</v>
      </c>
      <c r="L39" s="52">
        <f>IF(ISBLANK(J39),0,INDEX(Tablo_E!$B$2:$CX$102,MATCH(ROUND(Uzman_E!C$13,1),Tablo_E!$A$2:$A$102,1),MATCH(ROUND(K39,1),Tablo_E!$B$1:$CX$1,1)))</f>
        <v>0.95</v>
      </c>
      <c r="M39" s="55">
        <v>2.2000000000000002</v>
      </c>
      <c r="N39" s="60">
        <f>IF(ISBLANK(M39),0,ABS(Uzman_E!D$13-M39))</f>
        <v>0.19999999999999973</v>
      </c>
      <c r="O39" s="52">
        <f>IF(ISBLANK(M39),0,INDEX(Tablo_E!$B$2:$CX$102,MATCH(ROUND(Uzman_E!D$13,1),Tablo_E!$A$2:$A$102,1),MATCH(ROUND(N39,1),Tablo_E!$B$1:$CX$1,1)))</f>
        <v>1</v>
      </c>
      <c r="P39" s="55">
        <v>2.2999999999999998</v>
      </c>
      <c r="Q39" s="60">
        <f>IF(ISBLANK(P39),0,ABS(Uzman_E!E$13-P39))</f>
        <v>0.39999999999999991</v>
      </c>
      <c r="R39" s="52">
        <f>IF(ISBLANK(P39),0,INDEX(Tablo_E!$B$2:$CX$102,MATCH(ROUND(Uzman_E!E$13,1),Tablo_E!$A$2:$A$102,1),MATCH(ROUND(Q39,1),Tablo_E!$B$1:$CX$1,1)))</f>
        <v>0.9</v>
      </c>
      <c r="S39" s="53">
        <f t="shared" si="1"/>
        <v>0.88000000000000012</v>
      </c>
      <c r="T39" s="49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spans="1:36" ht="15" customHeight="1" x14ac:dyDescent="0.45">
      <c r="A40" s="54">
        <v>37</v>
      </c>
      <c r="B40" s="160" t="str">
        <f>Hakemler!B40</f>
        <v>ALTAY</v>
      </c>
      <c r="C40" s="161" t="str">
        <f>Hakemler!C40</f>
        <v>SERDİNÇ</v>
      </c>
      <c r="D40" s="55">
        <v>2.9</v>
      </c>
      <c r="E40" s="60">
        <f>IF(ISBLANK(D40),0,ABS(Uzman_E!A$13-D40))</f>
        <v>0.60000000000000009</v>
      </c>
      <c r="F40" s="52">
        <f>IF(ISBLANK(D40),0,INDEX(Tablo_E!$B$2:$CX$102,MATCH(ROUND(Uzman_E!A$13,1),Tablo_E!$A$2:$A$102,1),MATCH(ROUND(E40,1),Tablo_E!$B$1:$CX$1,1)))</f>
        <v>0.8</v>
      </c>
      <c r="G40" s="55">
        <v>3</v>
      </c>
      <c r="H40" s="60">
        <f>IF(ISBLANK(G40),0,ABS(Uzman_E!B$13-G40))</f>
        <v>0.10000000000000009</v>
      </c>
      <c r="I40" s="52">
        <f>IF(ISBLANK(G40),0,INDEX(Tablo_E!$B$2:$CX$102,MATCH(ROUND(Uzman_E!B$13,1),Tablo_E!$A$2:$A$102,1),MATCH(ROUND(H40,1),Tablo_E!$B$1:$CX$1,1)))</f>
        <v>1</v>
      </c>
      <c r="J40" s="55">
        <v>2.7</v>
      </c>
      <c r="K40" s="60">
        <f>IF(ISBLANK(J40),0,ABS(Uzman_E!C$13-J40))</f>
        <v>0.29999999999999982</v>
      </c>
      <c r="L40" s="52">
        <f>IF(ISBLANK(J40),0,INDEX(Tablo_E!$B$2:$CX$102,MATCH(ROUND(Uzman_E!C$13,1),Tablo_E!$A$2:$A$102,1),MATCH(ROUND(K40,1),Tablo_E!$B$1:$CX$1,1)))</f>
        <v>1</v>
      </c>
      <c r="M40" s="55">
        <v>3.3</v>
      </c>
      <c r="N40" s="60">
        <f>IF(ISBLANK(M40),0,ABS(Uzman_E!D$13-M40))</f>
        <v>0.89999999999999991</v>
      </c>
      <c r="O40" s="52">
        <f>IF(ISBLANK(M40),0,INDEX(Tablo_E!$B$2:$CX$102,MATCH(ROUND(Uzman_E!D$13,1),Tablo_E!$A$2:$A$102,1),MATCH(ROUND(N40,1),Tablo_E!$B$1:$CX$1,1)))</f>
        <v>0.5</v>
      </c>
      <c r="P40" s="55">
        <v>2.4</v>
      </c>
      <c r="Q40" s="60">
        <f>IF(ISBLANK(P40),0,ABS(Uzman_E!E$13-P40))</f>
        <v>0.5</v>
      </c>
      <c r="R40" s="52">
        <f>IF(ISBLANK(P40),0,INDEX(Tablo_E!$B$2:$CX$102,MATCH(ROUND(Uzman_E!E$13,1),Tablo_E!$A$2:$A$102,1),MATCH(ROUND(Q40,1),Tablo_E!$B$1:$CX$1,1)))</f>
        <v>0.8</v>
      </c>
      <c r="S40" s="53">
        <f t="shared" si="1"/>
        <v>0.82</v>
      </c>
      <c r="T40" s="49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spans="1:36" ht="15" customHeight="1" x14ac:dyDescent="0.45">
      <c r="A41" s="54">
        <v>38</v>
      </c>
      <c r="B41" s="160" t="str">
        <f>Hakemler!B41</f>
        <v>TOPTAŞ</v>
      </c>
      <c r="C41" s="161" t="str">
        <f>Hakemler!C41</f>
        <v>BİRSEN</v>
      </c>
      <c r="D41" s="55">
        <v>2.4</v>
      </c>
      <c r="E41" s="60">
        <f>IF(ISBLANK(D41),0,ABS(Uzman_E!A$13-D41))</f>
        <v>0.10000000000000009</v>
      </c>
      <c r="F41" s="52">
        <f>IF(ISBLANK(D41),0,INDEX(Tablo_E!$B$2:$CX$102,MATCH(ROUND(Uzman_E!A$13,1),Tablo_E!$A$2:$A$102,1),MATCH(ROUND(E41,1),Tablo_E!$B$1:$CX$1,1)))</f>
        <v>1</v>
      </c>
      <c r="G41" s="55">
        <v>3.5</v>
      </c>
      <c r="H41" s="60">
        <f>IF(ISBLANK(G41),0,ABS(Uzman_E!B$13-G41))</f>
        <v>0.39999999999999991</v>
      </c>
      <c r="I41" s="52">
        <f>IF(ISBLANK(G41),0,INDEX(Tablo_E!$B$2:$CX$102,MATCH(ROUND(Uzman_E!B$13,1),Tablo_E!$A$2:$A$102,1),MATCH(ROUND(H41,1),Tablo_E!$B$1:$CX$1,1)))</f>
        <v>1</v>
      </c>
      <c r="J41" s="55">
        <v>2</v>
      </c>
      <c r="K41" s="60">
        <f>IF(ISBLANK(J41),0,ABS(Uzman_E!C$13-J41))</f>
        <v>1</v>
      </c>
      <c r="L41" s="52">
        <f>IF(ISBLANK(J41),0,INDEX(Tablo_E!$B$2:$CX$102,MATCH(ROUND(Uzman_E!C$13,1),Tablo_E!$A$2:$A$102,1),MATCH(ROUND(K41,1),Tablo_E!$B$1:$CX$1,1)))</f>
        <v>0.5</v>
      </c>
      <c r="M41" s="55">
        <v>1.7</v>
      </c>
      <c r="N41" s="60">
        <f>IF(ISBLANK(M41),0,ABS(Uzman_E!D$13-M41))</f>
        <v>0.7</v>
      </c>
      <c r="O41" s="52">
        <f>IF(ISBLANK(M41),0,INDEX(Tablo_E!$B$2:$CX$102,MATCH(ROUND(Uzman_E!D$13,1),Tablo_E!$A$2:$A$102,1),MATCH(ROUND(N41,1),Tablo_E!$B$1:$CX$1,1)))</f>
        <v>0.7</v>
      </c>
      <c r="P41" s="55">
        <v>2.6</v>
      </c>
      <c r="Q41" s="60">
        <f>IF(ISBLANK(P41),0,ABS(Uzman_E!E$13-P41))</f>
        <v>0.70000000000000018</v>
      </c>
      <c r="R41" s="52">
        <f>IF(ISBLANK(P41),0,INDEX(Tablo_E!$B$2:$CX$102,MATCH(ROUND(Uzman_E!E$13,1),Tablo_E!$A$2:$A$102,1),MATCH(ROUND(Q41,1),Tablo_E!$B$1:$CX$1,1)))</f>
        <v>0.6</v>
      </c>
      <c r="S41" s="53">
        <f t="shared" si="1"/>
        <v>0.76</v>
      </c>
      <c r="T41" s="49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5" customHeight="1" x14ac:dyDescent="0.45">
      <c r="A42" s="54">
        <v>39</v>
      </c>
      <c r="B42" s="160" t="str">
        <f>Hakemler!B42</f>
        <v>ODACIĞLU TURHAN</v>
      </c>
      <c r="C42" s="161" t="str">
        <f>Hakemler!C42</f>
        <v xml:space="preserve">AYŞEGÜL </v>
      </c>
      <c r="D42" s="55">
        <v>2</v>
      </c>
      <c r="E42" s="60">
        <f>IF(ISBLANK(D42),0,ABS(Uzman_E!A$13-D42))</f>
        <v>0.29999999999999982</v>
      </c>
      <c r="F42" s="52">
        <f>IF(ISBLANK(D42),0,INDEX(Tablo_E!$B$2:$CX$102,MATCH(ROUND(Uzman_E!A$13,1),Tablo_E!$A$2:$A$102,1),MATCH(ROUND(E42,1),Tablo_E!$B$1:$CX$1,1)))</f>
        <v>1</v>
      </c>
      <c r="G42" s="55">
        <v>2.7</v>
      </c>
      <c r="H42" s="60">
        <f>IF(ISBLANK(G42),0,ABS(Uzman_E!B$13-G42))</f>
        <v>0.39999999999999991</v>
      </c>
      <c r="I42" s="52">
        <f>IF(ISBLANK(G42),0,INDEX(Tablo_E!$B$2:$CX$102,MATCH(ROUND(Uzman_E!B$13,1),Tablo_E!$A$2:$A$102,1),MATCH(ROUND(H42,1),Tablo_E!$B$1:$CX$1,1)))</f>
        <v>1</v>
      </c>
      <c r="J42" s="55">
        <v>1.8</v>
      </c>
      <c r="K42" s="60">
        <f>IF(ISBLANK(J42),0,ABS(Uzman_E!C$13-J42))</f>
        <v>1.2</v>
      </c>
      <c r="L42" s="52">
        <f>IF(ISBLANK(J42),0,INDEX(Tablo_E!$B$2:$CX$102,MATCH(ROUND(Uzman_E!C$13,1),Tablo_E!$A$2:$A$102,1),MATCH(ROUND(K42,1),Tablo_E!$B$1:$CX$1,1)))</f>
        <v>0.3</v>
      </c>
      <c r="M42" s="55">
        <v>1.9</v>
      </c>
      <c r="N42" s="60">
        <f>IF(ISBLANK(M42),0,ABS(Uzman_E!D$13-M42))</f>
        <v>0.5</v>
      </c>
      <c r="O42" s="52">
        <f>IF(ISBLANK(M42),0,INDEX(Tablo_E!$B$2:$CX$102,MATCH(ROUND(Uzman_E!D$13,1),Tablo_E!$A$2:$A$102,1),MATCH(ROUND(N42,1),Tablo_E!$B$1:$CX$1,1)))</f>
        <v>0.85</v>
      </c>
      <c r="P42" s="55">
        <v>2.2000000000000002</v>
      </c>
      <c r="Q42" s="60">
        <f>IF(ISBLANK(P42),0,ABS(Uzman_E!E$13-P42))</f>
        <v>0.30000000000000027</v>
      </c>
      <c r="R42" s="52">
        <f>IF(ISBLANK(P42),0,INDEX(Tablo_E!$B$2:$CX$102,MATCH(ROUND(Uzman_E!E$13,1),Tablo_E!$A$2:$A$102,1),MATCH(ROUND(Q42,1),Tablo_E!$B$1:$CX$1,1)))</f>
        <v>1</v>
      </c>
      <c r="S42" s="53">
        <f t="shared" si="1"/>
        <v>0.83000000000000007</v>
      </c>
      <c r="T42" s="49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spans="1:36" ht="15" customHeight="1" x14ac:dyDescent="0.45">
      <c r="A43" s="54">
        <v>40</v>
      </c>
      <c r="B43" s="158" t="str">
        <f>Hakemler!B43</f>
        <v>CANATAN</v>
      </c>
      <c r="C43" s="159" t="str">
        <f>Hakemler!C43</f>
        <v>BÜŞRA</v>
      </c>
      <c r="D43" s="55">
        <v>2.2000000000000002</v>
      </c>
      <c r="E43" s="60">
        <f>IF(ISBLANK(D43),0,ABS(Uzman_E!A$13-D43))</f>
        <v>9.9999999999999645E-2</v>
      </c>
      <c r="F43" s="52">
        <f>IF(ISBLANK(D43),0,INDEX(Tablo_E!$B$2:$CX$102,MATCH(ROUND(Uzman_E!A$13,1),Tablo_E!$A$2:$A$102,1),MATCH(ROUND(E43,1),Tablo_E!$B$1:$CX$1,1)))</f>
        <v>1</v>
      </c>
      <c r="G43" s="55">
        <v>3.3</v>
      </c>
      <c r="H43" s="60">
        <f>IF(ISBLANK(G43),0,ABS(Uzman_E!B$13-G43))</f>
        <v>0.19999999999999973</v>
      </c>
      <c r="I43" s="52">
        <f>IF(ISBLANK(G43),0,INDEX(Tablo_E!$B$2:$CX$102,MATCH(ROUND(Uzman_E!B$13,1),Tablo_E!$A$2:$A$102,1),MATCH(ROUND(H43,1),Tablo_E!$B$1:$CX$1,1)))</f>
        <v>1</v>
      </c>
      <c r="J43" s="55">
        <v>3</v>
      </c>
      <c r="K43" s="60">
        <f>IF(ISBLANK(J43),0,ABS(Uzman_E!C$13-J43))</f>
        <v>0</v>
      </c>
      <c r="L43" s="52">
        <f>IF(ISBLANK(J43),0,INDEX(Tablo_E!$B$2:$CX$102,MATCH(ROUND(Uzman_E!C$13,1),Tablo_E!$A$2:$A$102,1),MATCH(ROUND(K43,1),Tablo_E!$B$1:$CX$1,1)))</f>
        <v>1</v>
      </c>
      <c r="M43" s="55">
        <v>2</v>
      </c>
      <c r="N43" s="60">
        <f>IF(ISBLANK(M43),0,ABS(Uzman_E!D$13-M43))</f>
        <v>0.39999999999999991</v>
      </c>
      <c r="O43" s="52">
        <f>IF(ISBLANK(M43),0,INDEX(Tablo_E!$B$2:$CX$102,MATCH(ROUND(Uzman_E!D$13,1),Tablo_E!$A$2:$A$102,1),MATCH(ROUND(N43,1),Tablo_E!$B$1:$CX$1,1)))</f>
        <v>0.95</v>
      </c>
      <c r="P43" s="55">
        <v>2.2000000000000002</v>
      </c>
      <c r="Q43" s="60">
        <f>IF(ISBLANK(P43),0,ABS(Uzman_E!E$13-P43))</f>
        <v>0.30000000000000027</v>
      </c>
      <c r="R43" s="52">
        <f>IF(ISBLANK(P43),0,INDEX(Tablo_E!$B$2:$CX$102,MATCH(ROUND(Uzman_E!E$13,1),Tablo_E!$A$2:$A$102,1),MATCH(ROUND(Q43,1),Tablo_E!$B$1:$CX$1,1)))</f>
        <v>1</v>
      </c>
      <c r="S43" s="53">
        <f t="shared" si="1"/>
        <v>0.99</v>
      </c>
      <c r="T43" s="49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spans="1:36" ht="15" customHeight="1" x14ac:dyDescent="0.45">
      <c r="A44" s="54">
        <v>41</v>
      </c>
      <c r="B44" s="160" t="str">
        <f>Hakemler!B44</f>
        <v>ELİK</v>
      </c>
      <c r="C44" s="161" t="str">
        <f>Hakemler!C44</f>
        <v>MUSTAFA</v>
      </c>
      <c r="D44" s="55">
        <v>1.7</v>
      </c>
      <c r="E44" s="60">
        <f>IF(ISBLANK(D44),0,ABS(Uzman_E!A$13-D44))</f>
        <v>0.59999999999999987</v>
      </c>
      <c r="F44" s="52">
        <f>IF(ISBLANK(D44),0,INDEX(Tablo_E!$B$2:$CX$102,MATCH(ROUND(Uzman_E!A$13,1),Tablo_E!$A$2:$A$102,1),MATCH(ROUND(E44,1),Tablo_E!$B$1:$CX$1,1)))</f>
        <v>0.8</v>
      </c>
      <c r="G44" s="55">
        <v>3.2</v>
      </c>
      <c r="H44" s="60">
        <f>IF(ISBLANK(G44),0,ABS(Uzman_E!B$13-G44))</f>
        <v>0.10000000000000009</v>
      </c>
      <c r="I44" s="52">
        <f>IF(ISBLANK(G44),0,INDEX(Tablo_E!$B$2:$CX$102,MATCH(ROUND(Uzman_E!B$13,1),Tablo_E!$A$2:$A$102,1),MATCH(ROUND(H44,1),Tablo_E!$B$1:$CX$1,1)))</f>
        <v>1</v>
      </c>
      <c r="J44" s="55">
        <v>2.4</v>
      </c>
      <c r="K44" s="60">
        <f>IF(ISBLANK(J44),0,ABS(Uzman_E!C$13-J44))</f>
        <v>0.60000000000000009</v>
      </c>
      <c r="L44" s="52">
        <f>IF(ISBLANK(J44),0,INDEX(Tablo_E!$B$2:$CX$102,MATCH(ROUND(Uzman_E!C$13,1),Tablo_E!$A$2:$A$102,1),MATCH(ROUND(K44,1),Tablo_E!$B$1:$CX$1,1)))</f>
        <v>0.85</v>
      </c>
      <c r="M44" s="55">
        <v>2.2000000000000002</v>
      </c>
      <c r="N44" s="60">
        <f>IF(ISBLANK(M44),0,ABS(Uzman_E!D$13-M44))</f>
        <v>0.19999999999999973</v>
      </c>
      <c r="O44" s="52">
        <f>IF(ISBLANK(M44),0,INDEX(Tablo_E!$B$2:$CX$102,MATCH(ROUND(Uzman_E!D$13,1),Tablo_E!$A$2:$A$102,1),MATCH(ROUND(N44,1),Tablo_E!$B$1:$CX$1,1)))</f>
        <v>1</v>
      </c>
      <c r="P44" s="55">
        <v>1.8</v>
      </c>
      <c r="Q44" s="60">
        <f>IF(ISBLANK(P44),0,ABS(Uzman_E!E$13-P44))</f>
        <v>9.9999999999999867E-2</v>
      </c>
      <c r="R44" s="52">
        <f>IF(ISBLANK(P44),0,INDEX(Tablo_E!$B$2:$CX$102,MATCH(ROUND(Uzman_E!E$13,1),Tablo_E!$A$2:$A$102,1),MATCH(ROUND(Q44,1),Tablo_E!$B$1:$CX$1,1)))</f>
        <v>1</v>
      </c>
      <c r="S44" s="53">
        <f t="shared" si="1"/>
        <v>0.93</v>
      </c>
      <c r="T44" s="49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spans="1:36" ht="15" customHeight="1" x14ac:dyDescent="0.45">
      <c r="A45" s="54">
        <v>42</v>
      </c>
      <c r="B45" s="158" t="str">
        <f>Hakemler!B45</f>
        <v>BAKAR</v>
      </c>
      <c r="C45" s="159" t="str">
        <f>Hakemler!C45</f>
        <v>İPEK</v>
      </c>
      <c r="D45" s="55">
        <v>4.2</v>
      </c>
      <c r="E45" s="60">
        <f>IF(ISBLANK(D45),0,ABS(Uzman_E!A$13-D45))</f>
        <v>1.9000000000000004</v>
      </c>
      <c r="F45" s="52">
        <f>IF(ISBLANK(D45),0,INDEX(Tablo_E!$B$2:$CX$102,MATCH(ROUND(Uzman_E!A$13,1),Tablo_E!$A$2:$A$102,1),MATCH(ROUND(E45,1),Tablo_E!$B$1:$CX$1,1)))</f>
        <v>0</v>
      </c>
      <c r="G45" s="55">
        <v>4.4000000000000004</v>
      </c>
      <c r="H45" s="60">
        <f>IF(ISBLANK(G45),0,ABS(Uzman_E!B$13-G45))</f>
        <v>1.3000000000000003</v>
      </c>
      <c r="I45" s="52">
        <f>IF(ISBLANK(G45),0,INDEX(Tablo_E!$B$2:$CX$102,MATCH(ROUND(Uzman_E!B$13,1),Tablo_E!$A$2:$A$102,1),MATCH(ROUND(H45,1),Tablo_E!$B$1:$CX$1,1)))</f>
        <v>0.2</v>
      </c>
      <c r="J45" s="55">
        <v>4.9000000000000004</v>
      </c>
      <c r="K45" s="60">
        <f>IF(ISBLANK(J45),0,ABS(Uzman_E!C$13-J45))</f>
        <v>1.9000000000000004</v>
      </c>
      <c r="L45" s="52">
        <f>IF(ISBLANK(J45),0,INDEX(Tablo_E!$B$2:$CX$102,MATCH(ROUND(Uzman_E!C$13,1),Tablo_E!$A$2:$A$102,1),MATCH(ROUND(K45,1),Tablo_E!$B$1:$CX$1,1)))</f>
        <v>0</v>
      </c>
      <c r="M45" s="55">
        <v>3.8</v>
      </c>
      <c r="N45" s="60">
        <f>IF(ISBLANK(M45),0,ABS(Uzman_E!D$13-M45))</f>
        <v>1.4</v>
      </c>
      <c r="O45" s="52">
        <f>IF(ISBLANK(M45),0,INDEX(Tablo_E!$B$2:$CX$102,MATCH(ROUND(Uzman_E!D$13,1),Tablo_E!$A$2:$A$102,1),MATCH(ROUND(N45,1),Tablo_E!$B$1:$CX$1,1)))</f>
        <v>0</v>
      </c>
      <c r="P45" s="55">
        <v>4.2</v>
      </c>
      <c r="Q45" s="60">
        <f>IF(ISBLANK(P45),0,ABS(Uzman_E!E$13-P45))</f>
        <v>2.3000000000000003</v>
      </c>
      <c r="R45" s="52">
        <f>IF(ISBLANK(P45),0,INDEX(Tablo_E!$B$2:$CX$102,MATCH(ROUND(Uzman_E!E$13,1),Tablo_E!$A$2:$A$102,1),MATCH(ROUND(Q45,1),Tablo_E!$B$1:$CX$1,1)))</f>
        <v>0</v>
      </c>
      <c r="S45" s="53">
        <f t="shared" si="1"/>
        <v>0.04</v>
      </c>
      <c r="T45" s="49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spans="1:36" ht="15" customHeight="1" x14ac:dyDescent="0.45">
      <c r="A46" s="54">
        <v>43</v>
      </c>
      <c r="B46" s="160" t="str">
        <f>Hakemler!B46</f>
        <v>UÇAK</v>
      </c>
      <c r="C46" s="161" t="str">
        <f>Hakemler!C46</f>
        <v>ECEM</v>
      </c>
      <c r="D46" s="55">
        <v>1.8</v>
      </c>
      <c r="E46" s="60">
        <f>IF(ISBLANK(D46),0,ABS(Uzman_E!A$13-D46))</f>
        <v>0.49999999999999978</v>
      </c>
      <c r="F46" s="52">
        <f>IF(ISBLANK(D46),0,INDEX(Tablo_E!$B$2:$CX$102,MATCH(ROUND(Uzman_E!A$13,1),Tablo_E!$A$2:$A$102,1),MATCH(ROUND(E46,1),Tablo_E!$B$1:$CX$1,1)))</f>
        <v>0.85</v>
      </c>
      <c r="G46" s="55">
        <v>2.8</v>
      </c>
      <c r="H46" s="60">
        <f>IF(ISBLANK(G46),0,ABS(Uzman_E!B$13-G46))</f>
        <v>0.30000000000000027</v>
      </c>
      <c r="I46" s="52">
        <f>IF(ISBLANK(G46),0,INDEX(Tablo_E!$B$2:$CX$102,MATCH(ROUND(Uzman_E!B$13,1),Tablo_E!$A$2:$A$102,1),MATCH(ROUND(H46,1),Tablo_E!$B$1:$CX$1,1)))</f>
        <v>1</v>
      </c>
      <c r="J46" s="55">
        <v>1.8</v>
      </c>
      <c r="K46" s="60">
        <f>IF(ISBLANK(J46),0,ABS(Uzman_E!C$13-J46))</f>
        <v>1.2</v>
      </c>
      <c r="L46" s="52">
        <f>IF(ISBLANK(J46),0,INDEX(Tablo_E!$B$2:$CX$102,MATCH(ROUND(Uzman_E!C$13,1),Tablo_E!$A$2:$A$102,1),MATCH(ROUND(K46,1),Tablo_E!$B$1:$CX$1,1)))</f>
        <v>0.3</v>
      </c>
      <c r="M46" s="55">
        <v>2.1</v>
      </c>
      <c r="N46" s="60">
        <f>IF(ISBLANK(M46),0,ABS(Uzman_E!D$13-M46))</f>
        <v>0.29999999999999982</v>
      </c>
      <c r="O46" s="52">
        <f>IF(ISBLANK(M46),0,INDEX(Tablo_E!$B$2:$CX$102,MATCH(ROUND(Uzman_E!D$13,1),Tablo_E!$A$2:$A$102,1),MATCH(ROUND(N46,1),Tablo_E!$B$1:$CX$1,1)))</f>
        <v>1</v>
      </c>
      <c r="P46" s="55">
        <v>1.5</v>
      </c>
      <c r="Q46" s="60">
        <f>IF(ISBLANK(P46),0,ABS(Uzman_E!E$13-P46))</f>
        <v>0.39999999999999991</v>
      </c>
      <c r="R46" s="52">
        <f>IF(ISBLANK(P46),0,INDEX(Tablo_E!$B$2:$CX$102,MATCH(ROUND(Uzman_E!E$13,1),Tablo_E!$A$2:$A$102,1),MATCH(ROUND(Q46,1),Tablo_E!$B$1:$CX$1,1)))</f>
        <v>0.9</v>
      </c>
      <c r="S46" s="53">
        <f t="shared" si="1"/>
        <v>0.80999999999999994</v>
      </c>
      <c r="T46" s="49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spans="1:36" ht="15" customHeight="1" x14ac:dyDescent="0.45">
      <c r="A47" s="54">
        <v>44</v>
      </c>
      <c r="B47" s="160" t="str">
        <f>Hakemler!B47</f>
        <v>EFENDİAĞA</v>
      </c>
      <c r="C47" s="161" t="str">
        <f>Hakemler!C47</f>
        <v>EMİNE AYÇA</v>
      </c>
      <c r="D47" s="55">
        <v>0.7</v>
      </c>
      <c r="E47" s="60">
        <f>IF(ISBLANK(D47),0,ABS(Uzman_E!A$13-D47))</f>
        <v>1.5999999999999999</v>
      </c>
      <c r="F47" s="52">
        <f>IF(ISBLANK(D47),0,INDEX(Tablo_E!$B$2:$CX$102,MATCH(ROUND(Uzman_E!A$13,1),Tablo_E!$A$2:$A$102,1),MATCH(ROUND(E47,1),Tablo_E!$B$1:$CX$1,1)))</f>
        <v>0</v>
      </c>
      <c r="G47" s="55">
        <v>2.2999999999999998</v>
      </c>
      <c r="H47" s="60">
        <f>IF(ISBLANK(G47),0,ABS(Uzman_E!B$13-G47))</f>
        <v>0.80000000000000027</v>
      </c>
      <c r="I47" s="52">
        <f>IF(ISBLANK(G47),0,INDEX(Tablo_E!$B$2:$CX$102,MATCH(ROUND(Uzman_E!B$13,1),Tablo_E!$A$2:$A$102,1),MATCH(ROUND(H47,1),Tablo_E!$B$1:$CX$1,1)))</f>
        <v>0.7</v>
      </c>
      <c r="J47" s="55">
        <v>0.9</v>
      </c>
      <c r="K47" s="60">
        <f>IF(ISBLANK(J47),0,ABS(Uzman_E!C$13-J47))</f>
        <v>2.1</v>
      </c>
      <c r="L47" s="52">
        <f>IF(ISBLANK(J47),0,INDEX(Tablo_E!$B$2:$CX$102,MATCH(ROUND(Uzman_E!C$13,1),Tablo_E!$A$2:$A$102,1),MATCH(ROUND(K47,1),Tablo_E!$B$1:$CX$1,1)))</f>
        <v>0</v>
      </c>
      <c r="M47" s="55">
        <v>1.9</v>
      </c>
      <c r="N47" s="60">
        <f>IF(ISBLANK(M47),0,ABS(Uzman_E!D$13-M47))</f>
        <v>0.5</v>
      </c>
      <c r="O47" s="52">
        <f>IF(ISBLANK(M47),0,INDEX(Tablo_E!$B$2:$CX$102,MATCH(ROUND(Uzman_E!D$13,1),Tablo_E!$A$2:$A$102,1),MATCH(ROUND(N47,1),Tablo_E!$B$1:$CX$1,1)))</f>
        <v>0.85</v>
      </c>
      <c r="P47" s="55">
        <v>2</v>
      </c>
      <c r="Q47" s="60">
        <f>IF(ISBLANK(P47),0,ABS(Uzman_E!E$13-P47))</f>
        <v>0.10000000000000009</v>
      </c>
      <c r="R47" s="52">
        <f>IF(ISBLANK(P47),0,INDEX(Tablo_E!$B$2:$CX$102,MATCH(ROUND(Uzman_E!E$13,1),Tablo_E!$A$2:$A$102,1),MATCH(ROUND(Q47,1),Tablo_E!$B$1:$CX$1,1)))</f>
        <v>1</v>
      </c>
      <c r="S47" s="53">
        <f t="shared" si="1"/>
        <v>0.51</v>
      </c>
      <c r="T47" s="49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spans="1:36" ht="15" customHeight="1" x14ac:dyDescent="0.45">
      <c r="A48" s="54">
        <v>45</v>
      </c>
      <c r="B48" s="158" t="str">
        <f>Hakemler!B48</f>
        <v>DAL</v>
      </c>
      <c r="C48" s="159" t="str">
        <f>Hakemler!C48</f>
        <v>SİNEM</v>
      </c>
      <c r="D48" s="55">
        <v>1.8</v>
      </c>
      <c r="E48" s="60">
        <f>IF(ISBLANK(D48),0,ABS(Uzman_E!A$13-D48))</f>
        <v>0.49999999999999978</v>
      </c>
      <c r="F48" s="52">
        <f>IF(ISBLANK(D48),0,INDEX(Tablo_E!$B$2:$CX$102,MATCH(ROUND(Uzman_E!A$13,1),Tablo_E!$A$2:$A$102,1),MATCH(ROUND(E48,1),Tablo_E!$B$1:$CX$1,1)))</f>
        <v>0.85</v>
      </c>
      <c r="G48" s="55">
        <v>2.9</v>
      </c>
      <c r="H48" s="60">
        <f>IF(ISBLANK(G48),0,ABS(Uzman_E!B$13-G48))</f>
        <v>0.20000000000000018</v>
      </c>
      <c r="I48" s="52">
        <f>IF(ISBLANK(G48),0,INDEX(Tablo_E!$B$2:$CX$102,MATCH(ROUND(Uzman_E!B$13,1),Tablo_E!$A$2:$A$102,1),MATCH(ROUND(H48,1),Tablo_E!$B$1:$CX$1,1)))</f>
        <v>1</v>
      </c>
      <c r="J48" s="55">
        <v>1.8</v>
      </c>
      <c r="K48" s="60">
        <f>IF(ISBLANK(J48),0,ABS(Uzman_E!C$13-J48))</f>
        <v>1.2</v>
      </c>
      <c r="L48" s="52">
        <f>IF(ISBLANK(J48),0,INDEX(Tablo_E!$B$2:$CX$102,MATCH(ROUND(Uzman_E!C$13,1),Tablo_E!$A$2:$A$102,1),MATCH(ROUND(K48,1),Tablo_E!$B$1:$CX$1,1)))</f>
        <v>0.3</v>
      </c>
      <c r="M48" s="55">
        <v>2.5</v>
      </c>
      <c r="N48" s="60">
        <f>IF(ISBLANK(M48),0,ABS(Uzman_E!D$13-M48))</f>
        <v>0.10000000000000009</v>
      </c>
      <c r="O48" s="52">
        <f>IF(ISBLANK(M48),0,INDEX(Tablo_E!$B$2:$CX$102,MATCH(ROUND(Uzman_E!D$13,1),Tablo_E!$A$2:$A$102,1),MATCH(ROUND(N48,1),Tablo_E!$B$1:$CX$1,1)))</f>
        <v>1</v>
      </c>
      <c r="P48" s="55">
        <v>1.5</v>
      </c>
      <c r="Q48" s="60">
        <f>IF(ISBLANK(P48),0,ABS(Uzman_E!E$13-P48))</f>
        <v>0.39999999999999991</v>
      </c>
      <c r="R48" s="52">
        <f>IF(ISBLANK(P48),0,INDEX(Tablo_E!$B$2:$CX$102,MATCH(ROUND(Uzman_E!E$13,1),Tablo_E!$A$2:$A$102,1),MATCH(ROUND(Q48,1),Tablo_E!$B$1:$CX$1,1)))</f>
        <v>0.9</v>
      </c>
      <c r="S48" s="53">
        <f t="shared" si="1"/>
        <v>0.80999999999999994</v>
      </c>
      <c r="T48" s="49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spans="1:36" ht="15" customHeight="1" x14ac:dyDescent="0.45">
      <c r="A49" s="54">
        <v>46</v>
      </c>
      <c r="B49" s="160" t="str">
        <f>Hakemler!B49</f>
        <v>EDE</v>
      </c>
      <c r="C49" s="161" t="str">
        <f>Hakemler!C49</f>
        <v>İHSAN</v>
      </c>
      <c r="D49" s="55">
        <v>1.2</v>
      </c>
      <c r="E49" s="60">
        <f>IF(ISBLANK(D49),0,ABS(Uzman_E!A$13-D49))</f>
        <v>1.0999999999999999</v>
      </c>
      <c r="F49" s="52">
        <f>IF(ISBLANK(D49),0,INDEX(Tablo_E!$B$2:$CX$102,MATCH(ROUND(Uzman_E!A$13,1),Tablo_E!$A$2:$A$102,1),MATCH(ROUND(E49,1),Tablo_E!$B$1:$CX$1,1)))</f>
        <v>0.3</v>
      </c>
      <c r="G49" s="55">
        <v>1.6</v>
      </c>
      <c r="H49" s="60">
        <f>IF(ISBLANK(G49),0,ABS(Uzman_E!B$13-G49))</f>
        <v>1.5</v>
      </c>
      <c r="I49" s="52">
        <f>IF(ISBLANK(G49),0,INDEX(Tablo_E!$B$2:$CX$102,MATCH(ROUND(Uzman_E!B$13,1),Tablo_E!$A$2:$A$102,1),MATCH(ROUND(H49,1),Tablo_E!$B$1:$CX$1,1)))</f>
        <v>0</v>
      </c>
      <c r="J49" s="55">
        <v>1.2</v>
      </c>
      <c r="K49" s="60">
        <f>IF(ISBLANK(J49),0,ABS(Uzman_E!C$13-J49))</f>
        <v>1.8</v>
      </c>
      <c r="L49" s="52">
        <f>IF(ISBLANK(J49),0,INDEX(Tablo_E!$B$2:$CX$102,MATCH(ROUND(Uzman_E!C$13,1),Tablo_E!$A$2:$A$102,1),MATCH(ROUND(K49,1),Tablo_E!$B$1:$CX$1,1)))</f>
        <v>0</v>
      </c>
      <c r="M49" s="55">
        <v>0.8</v>
      </c>
      <c r="N49" s="60">
        <f>IF(ISBLANK(M49),0,ABS(Uzman_E!D$13-M49))</f>
        <v>1.5999999999999999</v>
      </c>
      <c r="O49" s="52">
        <f>IF(ISBLANK(M49),0,INDEX(Tablo_E!$B$2:$CX$102,MATCH(ROUND(Uzman_E!D$13,1),Tablo_E!$A$2:$A$102,1),MATCH(ROUND(N49,1),Tablo_E!$B$1:$CX$1,1)))</f>
        <v>0</v>
      </c>
      <c r="P49" s="55">
        <v>0.7</v>
      </c>
      <c r="Q49" s="60">
        <f>IF(ISBLANK(P49),0,ABS(Uzman_E!E$13-P49))</f>
        <v>1.2</v>
      </c>
      <c r="R49" s="52">
        <f>IF(ISBLANK(P49),0,INDEX(Tablo_E!$B$2:$CX$102,MATCH(ROUND(Uzman_E!E$13,1),Tablo_E!$A$2:$A$102,1),MATCH(ROUND(Q49,1),Tablo_E!$B$1:$CX$1,1)))</f>
        <v>0.1</v>
      </c>
      <c r="S49" s="53">
        <f t="shared" si="1"/>
        <v>0.08</v>
      </c>
      <c r="T49" s="49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spans="1:36" ht="15" customHeight="1" x14ac:dyDescent="0.45">
      <c r="A50" s="54">
        <v>47</v>
      </c>
      <c r="B50" s="80">
        <f>Hakemler!B50</f>
        <v>0</v>
      </c>
      <c r="C50" s="81">
        <f>Hakemler!C50</f>
        <v>0</v>
      </c>
      <c r="D50" s="55"/>
      <c r="E50" s="60">
        <f>IF(ISBLANK(D50),0,ABS(Uzman_E!A$13-D50))</f>
        <v>0</v>
      </c>
      <c r="F50" s="52">
        <f>IF(ISBLANK(D50),0,INDEX(Tablo_E!$B$2:$CX$102,MATCH(ROUND(Uzman_E!A$13,1),Tablo_E!$A$2:$A$102,1),MATCH(ROUND(E50,1),Tablo_E!$B$1:$CX$1,1)))</f>
        <v>0</v>
      </c>
      <c r="G50" s="55"/>
      <c r="H50" s="60">
        <f>IF(ISBLANK(G50),0,ABS(Uzman_E!B$13-G50))</f>
        <v>0</v>
      </c>
      <c r="I50" s="52">
        <f>IF(ISBLANK(G50),0,INDEX(Tablo_E!$B$2:$CX$102,MATCH(ROUND(Uzman_E!B$13,1),Tablo_E!$A$2:$A$102,1),MATCH(ROUND(H50,1),Tablo_E!$B$1:$CX$1,1)))</f>
        <v>0</v>
      </c>
      <c r="J50" s="55"/>
      <c r="K50" s="60">
        <f>IF(ISBLANK(J50),0,ABS(Uzman_E!C$13-J50))</f>
        <v>0</v>
      </c>
      <c r="L50" s="52">
        <f>IF(ISBLANK(J50),0,INDEX(Tablo_E!$B$2:$CX$102,MATCH(ROUND(Uzman_E!C$13,1),Tablo_E!$A$2:$A$102,1),MATCH(ROUND(K50,1),Tablo_E!$B$1:$CX$1,1)))</f>
        <v>0</v>
      </c>
      <c r="M50" s="55"/>
      <c r="N50" s="60">
        <f>IF(ISBLANK(M50),0,ABS(Uzman_E!D$13-M50))</f>
        <v>0</v>
      </c>
      <c r="O50" s="52">
        <f>IF(ISBLANK(M50),0,INDEX(Tablo_E!$B$2:$CX$102,MATCH(ROUND(Uzman_E!D$13,1),Tablo_E!$A$2:$A$102,1),MATCH(ROUND(N50,1),Tablo_E!$B$1:$CX$1,1)))</f>
        <v>0</v>
      </c>
      <c r="P50" s="55"/>
      <c r="Q50" s="60">
        <f>IF(ISBLANK(P50),0,ABS(Uzman_E!E$13-P50))</f>
        <v>0</v>
      </c>
      <c r="R50" s="52">
        <f>IF(ISBLANK(P50),0,INDEX(Tablo_E!$B$2:$CX$102,MATCH(ROUND(Uzman_E!E$13,1),Tablo_E!$A$2:$A$102,1),MATCH(ROUND(Q50,1),Tablo_E!$B$1:$CX$1,1)))</f>
        <v>0</v>
      </c>
      <c r="S50" s="53">
        <f t="shared" si="1"/>
        <v>0</v>
      </c>
      <c r="T50" s="49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spans="1:36" ht="15" customHeight="1" x14ac:dyDescent="0.45">
      <c r="A51" s="54">
        <v>48</v>
      </c>
      <c r="B51" s="35">
        <f>Hakemler!B51</f>
        <v>0</v>
      </c>
      <c r="C51" s="82">
        <f>Hakemler!C51</f>
        <v>0</v>
      </c>
      <c r="D51" s="55"/>
      <c r="E51" s="60">
        <f>IF(ISBLANK(D51),0,ABS(Uzman_E!A$13-D51))</f>
        <v>0</v>
      </c>
      <c r="F51" s="52">
        <f>IF(ISBLANK(D51),0,INDEX(Tablo_E!$B$2:$CX$102,MATCH(ROUND(Uzman_E!A$13,1),Tablo_E!$A$2:$A$102,1),MATCH(ROUND(E51,1),Tablo_E!$B$1:$CX$1,1)))</f>
        <v>0</v>
      </c>
      <c r="G51" s="55"/>
      <c r="H51" s="60">
        <f>IF(ISBLANK(G51),0,ABS(Uzman_E!B$13-G51))</f>
        <v>0</v>
      </c>
      <c r="I51" s="52">
        <f>IF(ISBLANK(G51),0,INDEX(Tablo_E!$B$2:$CX$102,MATCH(ROUND(Uzman_E!B$13,1),Tablo_E!$A$2:$A$102,1),MATCH(ROUND(H51,1),Tablo_E!$B$1:$CX$1,1)))</f>
        <v>0</v>
      </c>
      <c r="J51" s="55"/>
      <c r="K51" s="60">
        <f>IF(ISBLANK(J51),0,ABS(Uzman_E!C$13-J51))</f>
        <v>0</v>
      </c>
      <c r="L51" s="52">
        <f>IF(ISBLANK(J51),0,INDEX(Tablo_E!$B$2:$CX$102,MATCH(ROUND(Uzman_E!C$13,1),Tablo_E!$A$2:$A$102,1),MATCH(ROUND(K51,1),Tablo_E!$B$1:$CX$1,1)))</f>
        <v>0</v>
      </c>
      <c r="M51" s="55"/>
      <c r="N51" s="60">
        <f>IF(ISBLANK(M51),0,ABS(Uzman_E!D$13-M51))</f>
        <v>0</v>
      </c>
      <c r="O51" s="52">
        <f>IF(ISBLANK(M51),0,INDEX(Tablo_E!$B$2:$CX$102,MATCH(ROUND(Uzman_E!D$13,1),Tablo_E!$A$2:$A$102,1),MATCH(ROUND(N51,1),Tablo_E!$B$1:$CX$1,1)))</f>
        <v>0</v>
      </c>
      <c r="P51" s="55"/>
      <c r="Q51" s="60">
        <f>IF(ISBLANK(P51),0,ABS(Uzman_E!E$13-P51))</f>
        <v>0</v>
      </c>
      <c r="R51" s="52">
        <f>IF(ISBLANK(P51),0,INDEX(Tablo_E!$B$2:$CX$102,MATCH(ROUND(Uzman_E!E$13,1),Tablo_E!$A$2:$A$102,1),MATCH(ROUND(Q51,1),Tablo_E!$B$1:$CX$1,1)))</f>
        <v>0</v>
      </c>
      <c r="S51" s="53">
        <f t="shared" si="1"/>
        <v>0</v>
      </c>
      <c r="T51" s="49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5" customHeight="1" x14ac:dyDescent="0.45">
      <c r="A52" s="54">
        <v>49</v>
      </c>
      <c r="B52" s="80">
        <f>Hakemler!B52</f>
        <v>0</v>
      </c>
      <c r="C52" s="81">
        <f>Hakemler!C52</f>
        <v>0</v>
      </c>
      <c r="D52" s="55"/>
      <c r="E52" s="60">
        <f>IF(ISBLANK(D52),0,ABS(Uzman_E!A$13-D52))</f>
        <v>0</v>
      </c>
      <c r="F52" s="52">
        <f>IF(ISBLANK(D52),0,INDEX(Tablo_E!$B$2:$CX$102,MATCH(ROUND(Uzman_E!A$13,1),Tablo_E!$A$2:$A$102,1),MATCH(ROUND(E52,1),Tablo_E!$B$1:$CX$1,1)))</f>
        <v>0</v>
      </c>
      <c r="G52" s="55"/>
      <c r="H52" s="60">
        <f>IF(ISBLANK(G52),0,ABS(Uzman_E!B$13-G52))</f>
        <v>0</v>
      </c>
      <c r="I52" s="52">
        <f>IF(ISBLANK(G52),0,INDEX(Tablo_E!$B$2:$CX$102,MATCH(ROUND(Uzman_E!B$13,1),Tablo_E!$A$2:$A$102,1),MATCH(ROUND(H52,1),Tablo_E!$B$1:$CX$1,1)))</f>
        <v>0</v>
      </c>
      <c r="J52" s="55"/>
      <c r="K52" s="60">
        <f>IF(ISBLANK(J52),0,ABS(Uzman_E!C$13-J52))</f>
        <v>0</v>
      </c>
      <c r="L52" s="52">
        <f>IF(ISBLANK(J52),0,INDEX(Tablo_E!$B$2:$CX$102,MATCH(ROUND(Uzman_E!C$13,1),Tablo_E!$A$2:$A$102,1),MATCH(ROUND(K52,1),Tablo_E!$B$1:$CX$1,1)))</f>
        <v>0</v>
      </c>
      <c r="M52" s="55"/>
      <c r="N52" s="60">
        <f>IF(ISBLANK(M52),0,ABS(Uzman_E!D$13-M52))</f>
        <v>0</v>
      </c>
      <c r="O52" s="52">
        <f>IF(ISBLANK(M52),0,INDEX(Tablo_E!$B$2:$CX$102,MATCH(ROUND(Uzman_E!D$13,1),Tablo_E!$A$2:$A$102,1),MATCH(ROUND(N52,1),Tablo_E!$B$1:$CX$1,1)))</f>
        <v>0</v>
      </c>
      <c r="P52" s="55"/>
      <c r="Q52" s="60">
        <f>IF(ISBLANK(P52),0,ABS(Uzman_E!E$13-P52))</f>
        <v>0</v>
      </c>
      <c r="R52" s="52">
        <f>IF(ISBLANK(P52),0,INDEX(Tablo_E!$B$2:$CX$102,MATCH(ROUND(Uzman_E!E$13,1),Tablo_E!$A$2:$A$102,1),MATCH(ROUND(Q52,1),Tablo_E!$B$1:$CX$1,1)))</f>
        <v>0</v>
      </c>
      <c r="S52" s="53">
        <f t="shared" si="1"/>
        <v>0</v>
      </c>
      <c r="T52" s="49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spans="1:36" ht="15" customHeight="1" x14ac:dyDescent="0.45">
      <c r="A53" s="54">
        <v>50</v>
      </c>
      <c r="B53" s="80">
        <f>Hakemler!B53</f>
        <v>0</v>
      </c>
      <c r="C53" s="81">
        <f>Hakemler!C53</f>
        <v>0</v>
      </c>
      <c r="D53" s="55"/>
      <c r="E53" s="60">
        <f>IF(ISBLANK(D53),0,ABS(Uzman_E!A$13-D53))</f>
        <v>0</v>
      </c>
      <c r="F53" s="52">
        <f>IF(ISBLANK(D53),0,INDEX(Tablo_E!$B$2:$CX$102,MATCH(ROUND(Uzman_E!A$13,1),Tablo_E!$A$2:$A$102,1),MATCH(ROUND(E53,1),Tablo_E!$B$1:$CX$1,1)))</f>
        <v>0</v>
      </c>
      <c r="G53" s="55"/>
      <c r="H53" s="60">
        <f>IF(ISBLANK(G53),0,ABS(Uzman_E!B$13-G53))</f>
        <v>0</v>
      </c>
      <c r="I53" s="52">
        <f>IF(ISBLANK(G53),0,INDEX(Tablo_E!$B$2:$CX$102,MATCH(ROUND(Uzman_E!B$13,1),Tablo_E!$A$2:$A$102,1),MATCH(ROUND(H53,1),Tablo_E!$B$1:$CX$1,1)))</f>
        <v>0</v>
      </c>
      <c r="J53" s="55"/>
      <c r="K53" s="60">
        <f>IF(ISBLANK(J53),0,ABS(Uzman_E!C$13-J53))</f>
        <v>0</v>
      </c>
      <c r="L53" s="52">
        <f>IF(ISBLANK(J53),0,INDEX(Tablo_E!$B$2:$CX$102,MATCH(ROUND(Uzman_E!C$13,1),Tablo_E!$A$2:$A$102,1),MATCH(ROUND(K53,1),Tablo_E!$B$1:$CX$1,1)))</f>
        <v>0</v>
      </c>
      <c r="M53" s="55"/>
      <c r="N53" s="60">
        <f>IF(ISBLANK(M53),0,ABS(Uzman_E!D$13-M53))</f>
        <v>0</v>
      </c>
      <c r="O53" s="52">
        <f>IF(ISBLANK(M53),0,INDEX(Tablo_E!$B$2:$CX$102,MATCH(ROUND(Uzman_E!D$13,1),Tablo_E!$A$2:$A$102,1),MATCH(ROUND(N53,1),Tablo_E!$B$1:$CX$1,1)))</f>
        <v>0</v>
      </c>
      <c r="P53" s="55"/>
      <c r="Q53" s="60">
        <f>IF(ISBLANK(P53),0,ABS(Uzman_E!E$13-P53))</f>
        <v>0</v>
      </c>
      <c r="R53" s="52">
        <f>IF(ISBLANK(P53),0,INDEX(Tablo_E!$B$2:$CX$102,MATCH(ROUND(Uzman_E!E$13,1),Tablo_E!$A$2:$A$102,1),MATCH(ROUND(Q53,1),Tablo_E!$B$1:$CX$1,1)))</f>
        <v>0</v>
      </c>
      <c r="S53" s="53">
        <f t="shared" si="1"/>
        <v>0</v>
      </c>
      <c r="T53" s="49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spans="1:36" ht="15" customHeight="1" x14ac:dyDescent="0.45">
      <c r="A54" s="54">
        <v>51</v>
      </c>
      <c r="B54" s="35">
        <f>Hakemler!B54</f>
        <v>0</v>
      </c>
      <c r="C54" s="82">
        <f>Hakemler!C54</f>
        <v>0</v>
      </c>
      <c r="D54" s="55"/>
      <c r="E54" s="60">
        <f>IF(ISBLANK(D54),0,ABS(Uzman_E!A$13-D54))</f>
        <v>0</v>
      </c>
      <c r="F54" s="52">
        <f>IF(ISBLANK(D54),0,INDEX(Tablo_E!$B$2:$CX$102,MATCH(ROUND(Uzman_E!A$13,1),Tablo_E!$A$2:$A$102,1),MATCH(ROUND(E54,1),Tablo_E!$B$1:$CX$1,1)))</f>
        <v>0</v>
      </c>
      <c r="G54" s="55"/>
      <c r="H54" s="60">
        <f>IF(ISBLANK(G54),0,ABS(Uzman_E!B$13-G54))</f>
        <v>0</v>
      </c>
      <c r="I54" s="52">
        <f>IF(ISBLANK(G54),0,INDEX(Tablo_E!$B$2:$CX$102,MATCH(ROUND(Uzman_E!B$13,1),Tablo_E!$A$2:$A$102,1),MATCH(ROUND(H54,1),Tablo_E!$B$1:$CX$1,1)))</f>
        <v>0</v>
      </c>
      <c r="J54" s="55"/>
      <c r="K54" s="60">
        <f>IF(ISBLANK(J54),0,ABS(Uzman_E!C$13-J54))</f>
        <v>0</v>
      </c>
      <c r="L54" s="52">
        <f>IF(ISBLANK(J54),0,INDEX(Tablo_E!$B$2:$CX$102,MATCH(ROUND(Uzman_E!C$13,1),Tablo_E!$A$2:$A$102,1),MATCH(ROUND(K54,1),Tablo_E!$B$1:$CX$1,1)))</f>
        <v>0</v>
      </c>
      <c r="M54" s="55"/>
      <c r="N54" s="60">
        <f>IF(ISBLANK(M54),0,ABS(Uzman_E!D$13-M54))</f>
        <v>0</v>
      </c>
      <c r="O54" s="52">
        <f>IF(ISBLANK(M54),0,INDEX(Tablo_E!$B$2:$CX$102,MATCH(ROUND(Uzman_E!D$13,1),Tablo_E!$A$2:$A$102,1),MATCH(ROUND(N54,1),Tablo_E!$B$1:$CX$1,1)))</f>
        <v>0</v>
      </c>
      <c r="P54" s="55"/>
      <c r="Q54" s="60">
        <f>IF(ISBLANK(P54),0,ABS(Uzman_E!E$13-P54))</f>
        <v>0</v>
      </c>
      <c r="R54" s="52">
        <f>IF(ISBLANK(P54),0,INDEX(Tablo_E!$B$2:$CX$102,MATCH(ROUND(Uzman_E!E$13,1),Tablo_E!$A$2:$A$102,1),MATCH(ROUND(Q54,1),Tablo_E!$B$1:$CX$1,1)))</f>
        <v>0</v>
      </c>
      <c r="S54" s="53">
        <f t="shared" si="1"/>
        <v>0</v>
      </c>
      <c r="T54" s="49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spans="1:36" ht="15" customHeight="1" x14ac:dyDescent="0.45">
      <c r="A55" s="54">
        <v>52</v>
      </c>
      <c r="B55" s="35">
        <f>Hakemler!B55</f>
        <v>0</v>
      </c>
      <c r="C55" s="82">
        <f>Hakemler!C55</f>
        <v>0</v>
      </c>
      <c r="D55" s="55"/>
      <c r="E55" s="60">
        <f>IF(ISBLANK(D55),0,ABS(Uzman_E!A$13-D55))</f>
        <v>0</v>
      </c>
      <c r="F55" s="52">
        <f>IF(ISBLANK(D55),0,INDEX(Tablo_E!$B$2:$CX$102,MATCH(ROUND(Uzman_E!A$13,1),Tablo_E!$A$2:$A$102,1),MATCH(ROUND(E55,1),Tablo_E!$B$1:$CX$1,1)))</f>
        <v>0</v>
      </c>
      <c r="G55" s="55"/>
      <c r="H55" s="60">
        <f>IF(ISBLANK(G55),0,ABS(Uzman_E!B$13-G55))</f>
        <v>0</v>
      </c>
      <c r="I55" s="52">
        <f>IF(ISBLANK(G55),0,INDEX(Tablo_E!$B$2:$CX$102,MATCH(ROUND(Uzman_E!B$13,1),Tablo_E!$A$2:$A$102,1),MATCH(ROUND(H55,1),Tablo_E!$B$1:$CX$1,1)))</f>
        <v>0</v>
      </c>
      <c r="J55" s="55"/>
      <c r="K55" s="60">
        <f>IF(ISBLANK(J55),0,ABS(Uzman_E!C$13-J55))</f>
        <v>0</v>
      </c>
      <c r="L55" s="52">
        <f>IF(ISBLANK(J55),0,INDEX(Tablo_E!$B$2:$CX$102,MATCH(ROUND(Uzman_E!C$13,1),Tablo_E!$A$2:$A$102,1),MATCH(ROUND(K55,1),Tablo_E!$B$1:$CX$1,1)))</f>
        <v>0</v>
      </c>
      <c r="M55" s="55"/>
      <c r="N55" s="60">
        <f>IF(ISBLANK(M55),0,ABS(Uzman_E!D$13-M55))</f>
        <v>0</v>
      </c>
      <c r="O55" s="52">
        <f>IF(ISBLANK(M55),0,INDEX(Tablo_E!$B$2:$CX$102,MATCH(ROUND(Uzman_E!D$13,1),Tablo_E!$A$2:$A$102,1),MATCH(ROUND(N55,1),Tablo_E!$B$1:$CX$1,1)))</f>
        <v>0</v>
      </c>
      <c r="P55" s="55"/>
      <c r="Q55" s="60">
        <f>IF(ISBLANK(P55),0,ABS(Uzman_E!E$13-P55))</f>
        <v>0</v>
      </c>
      <c r="R55" s="52">
        <f>IF(ISBLANK(P55),0,INDEX(Tablo_E!$B$2:$CX$102,MATCH(ROUND(Uzman_E!E$13,1),Tablo_E!$A$2:$A$102,1),MATCH(ROUND(Q55,1),Tablo_E!$B$1:$CX$1,1)))</f>
        <v>0</v>
      </c>
      <c r="S55" s="53">
        <f t="shared" si="1"/>
        <v>0</v>
      </c>
      <c r="T55" s="49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5" customHeight="1" x14ac:dyDescent="0.45">
      <c r="A56" s="54">
        <v>53</v>
      </c>
      <c r="B56" s="35">
        <f>Hakemler!B56</f>
        <v>0</v>
      </c>
      <c r="C56" s="81">
        <f>Hakemler!C56</f>
        <v>0</v>
      </c>
      <c r="D56" s="55"/>
      <c r="E56" s="60">
        <f>IF(ISBLANK(D56),0,ABS(Uzman_E!A$13-D56))</f>
        <v>0</v>
      </c>
      <c r="F56" s="52">
        <f>IF(ISBLANK(D56),0,INDEX(Tablo_E!$B$2:$CX$102,MATCH(ROUND(Uzman_E!A$13,1),Tablo_E!$A$2:$A$102,1),MATCH(ROUND(E56,1),Tablo_E!$B$1:$CX$1,1)))</f>
        <v>0</v>
      </c>
      <c r="G56" s="55"/>
      <c r="H56" s="60">
        <f>IF(ISBLANK(G56),0,ABS(Uzman_E!B$13-G56))</f>
        <v>0</v>
      </c>
      <c r="I56" s="52">
        <f>IF(ISBLANK(G56),0,INDEX(Tablo_E!$B$2:$CX$102,MATCH(ROUND(Uzman_E!B$13,1),Tablo_E!$A$2:$A$102,1),MATCH(ROUND(H56,1),Tablo_E!$B$1:$CX$1,1)))</f>
        <v>0</v>
      </c>
      <c r="J56" s="55"/>
      <c r="K56" s="60">
        <f>IF(ISBLANK(J56),0,ABS(Uzman_E!C$13-J56))</f>
        <v>0</v>
      </c>
      <c r="L56" s="52">
        <f>IF(ISBLANK(J56),0,INDEX(Tablo_E!$B$2:$CX$102,MATCH(ROUND(Uzman_E!C$13,1),Tablo_E!$A$2:$A$102,1),MATCH(ROUND(K56,1),Tablo_E!$B$1:$CX$1,1)))</f>
        <v>0</v>
      </c>
      <c r="M56" s="55"/>
      <c r="N56" s="60">
        <f>IF(ISBLANK(M56),0,ABS(Uzman_E!D$13-M56))</f>
        <v>0</v>
      </c>
      <c r="O56" s="52">
        <f>IF(ISBLANK(M56),0,INDEX(Tablo_E!$B$2:$CX$102,MATCH(ROUND(Uzman_E!D$13,1),Tablo_E!$A$2:$A$102,1),MATCH(ROUND(N56,1),Tablo_E!$B$1:$CX$1,1)))</f>
        <v>0</v>
      </c>
      <c r="P56" s="55"/>
      <c r="Q56" s="60">
        <f>IF(ISBLANK(P56),0,ABS(Uzman_E!E$13-P56))</f>
        <v>0</v>
      </c>
      <c r="R56" s="52">
        <f>IF(ISBLANK(P56),0,INDEX(Tablo_E!$B$2:$CX$102,MATCH(ROUND(Uzman_E!E$13,1),Tablo_E!$A$2:$A$102,1),MATCH(ROUND(Q56,1),Tablo_E!$B$1:$CX$1,1)))</f>
        <v>0</v>
      </c>
      <c r="S56" s="53">
        <f t="shared" si="1"/>
        <v>0</v>
      </c>
      <c r="T56" s="49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5" customHeight="1" x14ac:dyDescent="0.45">
      <c r="A57" s="54">
        <v>54</v>
      </c>
      <c r="B57" s="80">
        <f>Hakemler!B57</f>
        <v>0</v>
      </c>
      <c r="C57" s="81">
        <f>Hakemler!C57</f>
        <v>0</v>
      </c>
      <c r="D57" s="55"/>
      <c r="E57" s="60">
        <f>IF(ISBLANK(D57),0,ABS(Uzman_E!A$13-D57))</f>
        <v>0</v>
      </c>
      <c r="F57" s="52">
        <f>IF(ISBLANK(D57),0,INDEX(Tablo_E!$B$2:$CX$102,MATCH(ROUND(Uzman_E!A$13,1),Tablo_E!$A$2:$A$102,1),MATCH(ROUND(E57,1),Tablo_E!$B$1:$CX$1,1)))</f>
        <v>0</v>
      </c>
      <c r="G57" s="55"/>
      <c r="H57" s="60">
        <f>IF(ISBLANK(G57),0,ABS(Uzman_E!B$13-G57))</f>
        <v>0</v>
      </c>
      <c r="I57" s="52">
        <f>IF(ISBLANK(G57),0,INDEX(Tablo_E!$B$2:$CX$102,MATCH(ROUND(Uzman_E!B$13,1),Tablo_E!$A$2:$A$102,1),MATCH(ROUND(H57,1),Tablo_E!$B$1:$CX$1,1)))</f>
        <v>0</v>
      </c>
      <c r="J57" s="55"/>
      <c r="K57" s="60">
        <f>IF(ISBLANK(J57),0,ABS(Uzman_E!C$13-J57))</f>
        <v>0</v>
      </c>
      <c r="L57" s="52">
        <f>IF(ISBLANK(J57),0,INDEX(Tablo_E!$B$2:$CX$102,MATCH(ROUND(Uzman_E!C$13,1),Tablo_E!$A$2:$A$102,1),MATCH(ROUND(K57,1),Tablo_E!$B$1:$CX$1,1)))</f>
        <v>0</v>
      </c>
      <c r="M57" s="55"/>
      <c r="N57" s="60">
        <f>IF(ISBLANK(M57),0,ABS(Uzman_E!D$13-M57))</f>
        <v>0</v>
      </c>
      <c r="O57" s="52">
        <f>IF(ISBLANK(M57),0,INDEX(Tablo_E!$B$2:$CX$102,MATCH(ROUND(Uzman_E!D$13,1),Tablo_E!$A$2:$A$102,1),MATCH(ROUND(N57,1),Tablo_E!$B$1:$CX$1,1)))</f>
        <v>0</v>
      </c>
      <c r="P57" s="55"/>
      <c r="Q57" s="60">
        <f>IF(ISBLANK(P57),0,ABS(Uzman_E!E$13-P57))</f>
        <v>0</v>
      </c>
      <c r="R57" s="52">
        <f>IF(ISBLANK(P57),0,INDEX(Tablo_E!$B$2:$CX$102,MATCH(ROUND(Uzman_E!E$13,1),Tablo_E!$A$2:$A$102,1),MATCH(ROUND(Q57,1),Tablo_E!$B$1:$CX$1,1)))</f>
        <v>0</v>
      </c>
      <c r="S57" s="53">
        <f t="shared" si="1"/>
        <v>0</v>
      </c>
      <c r="T57" s="49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5" customHeight="1" x14ac:dyDescent="0.45">
      <c r="A58" s="54">
        <v>55</v>
      </c>
      <c r="B58" s="35">
        <f>Hakemler!B58</f>
        <v>0</v>
      </c>
      <c r="C58" s="82">
        <f>Hakemler!C58</f>
        <v>0</v>
      </c>
      <c r="D58" s="55"/>
      <c r="E58" s="60">
        <f>IF(ISBLANK(D58),0,ABS(Uzman_E!A$13-D58))</f>
        <v>0</v>
      </c>
      <c r="F58" s="52">
        <f>IF(ISBLANK(D58),0,INDEX(Tablo_E!$B$2:$CX$102,MATCH(ROUND(Uzman_E!A$13,1),Tablo_E!$A$2:$A$102,1),MATCH(ROUND(E58,1),Tablo_E!$B$1:$CX$1,1)))</f>
        <v>0</v>
      </c>
      <c r="G58" s="55"/>
      <c r="H58" s="60">
        <f>IF(ISBLANK(G58),0,ABS(Uzman_E!B$13-G58))</f>
        <v>0</v>
      </c>
      <c r="I58" s="52">
        <f>IF(ISBLANK(G58),0,INDEX(Tablo_E!$B$2:$CX$102,MATCH(ROUND(Uzman_E!B$13,1),Tablo_E!$A$2:$A$102,1),MATCH(ROUND(H58,1),Tablo_E!$B$1:$CX$1,1)))</f>
        <v>0</v>
      </c>
      <c r="J58" s="55"/>
      <c r="K58" s="60">
        <f>IF(ISBLANK(J58),0,ABS(Uzman_E!C$13-J58))</f>
        <v>0</v>
      </c>
      <c r="L58" s="52">
        <f>IF(ISBLANK(J58),0,INDEX(Tablo_E!$B$2:$CX$102,MATCH(ROUND(Uzman_E!C$13,1),Tablo_E!$A$2:$A$102,1),MATCH(ROUND(K58,1),Tablo_E!$B$1:$CX$1,1)))</f>
        <v>0</v>
      </c>
      <c r="M58" s="55"/>
      <c r="N58" s="60">
        <f>IF(ISBLANK(M58),0,ABS(Uzman_E!D$13-M58))</f>
        <v>0</v>
      </c>
      <c r="O58" s="52">
        <f>IF(ISBLANK(M58),0,INDEX(Tablo_E!$B$2:$CX$102,MATCH(ROUND(Uzman_E!D$13,1),Tablo_E!$A$2:$A$102,1),MATCH(ROUND(N58,1),Tablo_E!$B$1:$CX$1,1)))</f>
        <v>0</v>
      </c>
      <c r="P58" s="55"/>
      <c r="Q58" s="60">
        <f>IF(ISBLANK(P58),0,ABS(Uzman_E!E$13-P58))</f>
        <v>0</v>
      </c>
      <c r="R58" s="52">
        <f>IF(ISBLANK(P58),0,INDEX(Tablo_E!$B$2:$CX$102,MATCH(ROUND(Uzman_E!E$13,1),Tablo_E!$A$2:$A$102,1),MATCH(ROUND(Q58,1),Tablo_E!$B$1:$CX$1,1)))</f>
        <v>0</v>
      </c>
      <c r="S58" s="53">
        <f t="shared" si="1"/>
        <v>0</v>
      </c>
      <c r="T58" s="49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5" customHeight="1" x14ac:dyDescent="0.45">
      <c r="A59" s="54">
        <v>56</v>
      </c>
      <c r="B59" s="80">
        <f>Hakemler!B59</f>
        <v>0</v>
      </c>
      <c r="C59" s="81">
        <f>Hakemler!C59</f>
        <v>0</v>
      </c>
      <c r="D59" s="55"/>
      <c r="E59" s="60">
        <f>IF(ISBLANK(D59),0,ABS(Uzman_E!A$13-D59))</f>
        <v>0</v>
      </c>
      <c r="F59" s="52">
        <f>IF(ISBLANK(D59),0,INDEX(Tablo_E!$B$2:$CX$102,MATCH(ROUND(Uzman_E!A$13,1),Tablo_E!$A$2:$A$102,1),MATCH(ROUND(E59,1),Tablo_E!$B$1:$CX$1,1)))</f>
        <v>0</v>
      </c>
      <c r="G59" s="55"/>
      <c r="H59" s="60">
        <f>IF(ISBLANK(G59),0,ABS(Uzman_E!B$13-G59))</f>
        <v>0</v>
      </c>
      <c r="I59" s="52">
        <f>IF(ISBLANK(G59),0,INDEX(Tablo_E!$B$2:$CX$102,MATCH(ROUND(Uzman_E!B$13,1),Tablo_E!$A$2:$A$102,1),MATCH(ROUND(H59,1),Tablo_E!$B$1:$CX$1,1)))</f>
        <v>0</v>
      </c>
      <c r="J59" s="55"/>
      <c r="K59" s="60">
        <f>IF(ISBLANK(J59),0,ABS(Uzman_E!C$13-J59))</f>
        <v>0</v>
      </c>
      <c r="L59" s="52">
        <f>IF(ISBLANK(J59),0,INDEX(Tablo_E!$B$2:$CX$102,MATCH(ROUND(Uzman_E!C$13,1),Tablo_E!$A$2:$A$102,1),MATCH(ROUND(K59,1),Tablo_E!$B$1:$CX$1,1)))</f>
        <v>0</v>
      </c>
      <c r="M59" s="55"/>
      <c r="N59" s="60">
        <f>IF(ISBLANK(M59),0,ABS(Uzman_E!D$13-M59))</f>
        <v>0</v>
      </c>
      <c r="O59" s="52">
        <f>IF(ISBLANK(M59),0,INDEX(Tablo_E!$B$2:$CX$102,MATCH(ROUND(Uzman_E!D$13,1),Tablo_E!$A$2:$A$102,1),MATCH(ROUND(N59,1),Tablo_E!$B$1:$CX$1,1)))</f>
        <v>0</v>
      </c>
      <c r="P59" s="55"/>
      <c r="Q59" s="60">
        <f>IF(ISBLANK(P59),0,ABS(Uzman_E!E$13-P59))</f>
        <v>0</v>
      </c>
      <c r="R59" s="52">
        <f>IF(ISBLANK(P59),0,INDEX(Tablo_E!$B$2:$CX$102,MATCH(ROUND(Uzman_E!E$13,1),Tablo_E!$A$2:$A$102,1),MATCH(ROUND(Q59,1),Tablo_E!$B$1:$CX$1,1)))</f>
        <v>0</v>
      </c>
      <c r="S59" s="53">
        <f t="shared" si="1"/>
        <v>0</v>
      </c>
      <c r="T59" s="49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5" customHeight="1" x14ac:dyDescent="0.45">
      <c r="A60" s="54">
        <v>57</v>
      </c>
      <c r="B60" s="35">
        <f>Hakemler!B60</f>
        <v>0</v>
      </c>
      <c r="C60" s="82">
        <f>Hakemler!C60</f>
        <v>0</v>
      </c>
      <c r="D60" s="55"/>
      <c r="E60" s="60">
        <f>IF(ISBLANK(D60),0,ABS(Uzman_E!A$13-D60))</f>
        <v>0</v>
      </c>
      <c r="F60" s="52">
        <f>IF(ISBLANK(D60),0,INDEX(Tablo_E!$B$2:$CX$102,MATCH(ROUND(Uzman_E!A$13,1),Tablo_E!$A$2:$A$102,1),MATCH(ROUND(E60,1),Tablo_E!$B$1:$CX$1,1)))</f>
        <v>0</v>
      </c>
      <c r="G60" s="55"/>
      <c r="H60" s="60">
        <f>IF(ISBLANK(G60),0,ABS(Uzman_E!B$13-G60))</f>
        <v>0</v>
      </c>
      <c r="I60" s="52">
        <f>IF(ISBLANK(G60),0,INDEX(Tablo_E!$B$2:$CX$102,MATCH(ROUND(Uzman_E!B$13,1),Tablo_E!$A$2:$A$102,1),MATCH(ROUND(H60,1),Tablo_E!$B$1:$CX$1,1)))</f>
        <v>0</v>
      </c>
      <c r="J60" s="55"/>
      <c r="K60" s="60">
        <f>IF(ISBLANK(J60),0,ABS(Uzman_E!C$13-J60))</f>
        <v>0</v>
      </c>
      <c r="L60" s="52">
        <f>IF(ISBLANK(J60),0,INDEX(Tablo_E!$B$2:$CX$102,MATCH(ROUND(Uzman_E!C$13,1),Tablo_E!$A$2:$A$102,1),MATCH(ROUND(K60,1),Tablo_E!$B$1:$CX$1,1)))</f>
        <v>0</v>
      </c>
      <c r="M60" s="55"/>
      <c r="N60" s="60">
        <f>IF(ISBLANK(M60),0,ABS(Uzman_E!D$13-M60))</f>
        <v>0</v>
      </c>
      <c r="O60" s="52">
        <f>IF(ISBLANK(M60),0,INDEX(Tablo_E!$B$2:$CX$102,MATCH(ROUND(Uzman_E!D$13,1),Tablo_E!$A$2:$A$102,1),MATCH(ROUND(N60,1),Tablo_E!$B$1:$CX$1,1)))</f>
        <v>0</v>
      </c>
      <c r="P60" s="55"/>
      <c r="Q60" s="60">
        <f>IF(ISBLANK(P60),0,ABS(Uzman_E!E$13-P60))</f>
        <v>0</v>
      </c>
      <c r="R60" s="52">
        <f>IF(ISBLANK(P60),0,INDEX(Tablo_E!$B$2:$CX$102,MATCH(ROUND(Uzman_E!E$13,1),Tablo_E!$A$2:$A$102,1),MATCH(ROUND(Q60,1),Tablo_E!$B$1:$CX$1,1)))</f>
        <v>0</v>
      </c>
      <c r="S60" s="53">
        <f t="shared" si="1"/>
        <v>0</v>
      </c>
      <c r="T60" s="49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5" customHeight="1" x14ac:dyDescent="0.45">
      <c r="A61" s="54">
        <v>58</v>
      </c>
      <c r="B61" s="80">
        <f>Hakemler!B61</f>
        <v>0</v>
      </c>
      <c r="C61" s="81">
        <f>Hakemler!C61</f>
        <v>0</v>
      </c>
      <c r="D61" s="55"/>
      <c r="E61" s="60">
        <f>IF(ISBLANK(D61),0,ABS(Uzman_E!A$13-D61))</f>
        <v>0</v>
      </c>
      <c r="F61" s="52">
        <f>IF(ISBLANK(D61),0,INDEX(Tablo_E!$B$2:$CX$102,MATCH(ROUND(Uzman_E!A$13,1),Tablo_E!$A$2:$A$102,1),MATCH(ROUND(E61,1),Tablo_E!$B$1:$CX$1,1)))</f>
        <v>0</v>
      </c>
      <c r="G61" s="55"/>
      <c r="H61" s="60">
        <f>IF(ISBLANK(G61),0,ABS(Uzman_E!B$13-G61))</f>
        <v>0</v>
      </c>
      <c r="I61" s="52">
        <f>IF(ISBLANK(G61),0,INDEX(Tablo_E!$B$2:$CX$102,MATCH(ROUND(Uzman_E!B$13,1),Tablo_E!$A$2:$A$102,1),MATCH(ROUND(H61,1),Tablo_E!$B$1:$CX$1,1)))</f>
        <v>0</v>
      </c>
      <c r="J61" s="55"/>
      <c r="K61" s="60">
        <f>IF(ISBLANK(J61),0,ABS(Uzman_E!C$13-J61))</f>
        <v>0</v>
      </c>
      <c r="L61" s="52">
        <f>IF(ISBLANK(J61),0,INDEX(Tablo_E!$B$2:$CX$102,MATCH(ROUND(Uzman_E!C$13,1),Tablo_E!$A$2:$A$102,1),MATCH(ROUND(K61,1),Tablo_E!$B$1:$CX$1,1)))</f>
        <v>0</v>
      </c>
      <c r="M61" s="55"/>
      <c r="N61" s="60">
        <f>IF(ISBLANK(M61),0,ABS(Uzman_E!D$13-M61))</f>
        <v>0</v>
      </c>
      <c r="O61" s="52">
        <f>IF(ISBLANK(M61),0,INDEX(Tablo_E!$B$2:$CX$102,MATCH(ROUND(Uzman_E!D$13,1),Tablo_E!$A$2:$A$102,1),MATCH(ROUND(N61,1),Tablo_E!$B$1:$CX$1,1)))</f>
        <v>0</v>
      </c>
      <c r="P61" s="55"/>
      <c r="Q61" s="60">
        <f>IF(ISBLANK(P61),0,ABS(Uzman_E!E$13-P61))</f>
        <v>0</v>
      </c>
      <c r="R61" s="52">
        <f>IF(ISBLANK(P61),0,INDEX(Tablo_E!$B$2:$CX$102,MATCH(ROUND(Uzman_E!E$13,1),Tablo_E!$A$2:$A$102,1),MATCH(ROUND(Q61,1),Tablo_E!$B$1:$CX$1,1)))</f>
        <v>0</v>
      </c>
      <c r="S61" s="53">
        <f t="shared" si="1"/>
        <v>0</v>
      </c>
      <c r="T61" s="49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5" customHeight="1" x14ac:dyDescent="0.45">
      <c r="A62" s="54">
        <v>59</v>
      </c>
      <c r="B62" s="80">
        <f>Hakemler!B62</f>
        <v>0</v>
      </c>
      <c r="C62" s="81">
        <f>Hakemler!C62</f>
        <v>0</v>
      </c>
      <c r="D62" s="55"/>
      <c r="E62" s="60">
        <f>IF(ISBLANK(D62),0,ABS(Uzman_E!A$13-D62))</f>
        <v>0</v>
      </c>
      <c r="F62" s="52">
        <f>IF(ISBLANK(D62),0,INDEX(Tablo_E!$B$2:$CX$102,MATCH(ROUND(Uzman_E!A$13,1),Tablo_E!$A$2:$A$102,1),MATCH(ROUND(E62,1),Tablo_E!$B$1:$CX$1,1)))</f>
        <v>0</v>
      </c>
      <c r="G62" s="55"/>
      <c r="H62" s="60">
        <f>IF(ISBLANK(G62),0,ABS(Uzman_E!B$13-G62))</f>
        <v>0</v>
      </c>
      <c r="I62" s="52">
        <f>IF(ISBLANK(G62),0,INDEX(Tablo_E!$B$2:$CX$102,MATCH(ROUND(Uzman_E!B$13,1),Tablo_E!$A$2:$A$102,1),MATCH(ROUND(H62,1),Tablo_E!$B$1:$CX$1,1)))</f>
        <v>0</v>
      </c>
      <c r="J62" s="55"/>
      <c r="K62" s="60">
        <f>IF(ISBLANK(J62),0,ABS(Uzman_E!C$13-J62))</f>
        <v>0</v>
      </c>
      <c r="L62" s="52">
        <f>IF(ISBLANK(J62),0,INDEX(Tablo_E!$B$2:$CX$102,MATCH(ROUND(Uzman_E!C$13,1),Tablo_E!$A$2:$A$102,1),MATCH(ROUND(K62,1),Tablo_E!$B$1:$CX$1,1)))</f>
        <v>0</v>
      </c>
      <c r="M62" s="55"/>
      <c r="N62" s="60">
        <f>IF(ISBLANK(M62),0,ABS(Uzman_E!D$13-M62))</f>
        <v>0</v>
      </c>
      <c r="O62" s="52">
        <f>IF(ISBLANK(M62),0,INDEX(Tablo_E!$B$2:$CX$102,MATCH(ROUND(Uzman_E!D$13,1),Tablo_E!$A$2:$A$102,1),MATCH(ROUND(N62,1),Tablo_E!$B$1:$CX$1,1)))</f>
        <v>0</v>
      </c>
      <c r="P62" s="55"/>
      <c r="Q62" s="60">
        <f>IF(ISBLANK(P62),0,ABS(Uzman_E!E$13-P62))</f>
        <v>0</v>
      </c>
      <c r="R62" s="52">
        <f>IF(ISBLANK(P62),0,INDEX(Tablo_E!$B$2:$CX$102,MATCH(ROUND(Uzman_E!E$13,1),Tablo_E!$A$2:$A$102,1),MATCH(ROUND(Q62,1),Tablo_E!$B$1:$CX$1,1)))</f>
        <v>0</v>
      </c>
      <c r="S62" s="53">
        <f t="shared" si="1"/>
        <v>0</v>
      </c>
      <c r="T62" s="49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5" customHeight="1" x14ac:dyDescent="0.45">
      <c r="A63" s="54">
        <v>60</v>
      </c>
      <c r="B63" s="80">
        <f>Hakemler!B63</f>
        <v>0</v>
      </c>
      <c r="C63" s="81">
        <f>Hakemler!C63</f>
        <v>0</v>
      </c>
      <c r="D63" s="55"/>
      <c r="E63" s="60">
        <f>IF(ISBLANK(D63),0,ABS(Uzman_E!A$13-D63))</f>
        <v>0</v>
      </c>
      <c r="F63" s="52">
        <f>IF(ISBLANK(D63),0,INDEX(Tablo_E!$B$2:$CX$102,MATCH(ROUND(Uzman_E!A$13,1),Tablo_E!$A$2:$A$102,1),MATCH(ROUND(E63,1),Tablo_E!$B$1:$CX$1,1)))</f>
        <v>0</v>
      </c>
      <c r="G63" s="55"/>
      <c r="H63" s="60">
        <f>IF(ISBLANK(G63),0,ABS(Uzman_E!B$13-G63))</f>
        <v>0</v>
      </c>
      <c r="I63" s="52">
        <f>IF(ISBLANK(G63),0,INDEX(Tablo_E!$B$2:$CX$102,MATCH(ROUND(Uzman_E!B$13,1),Tablo_E!$A$2:$A$102,1),MATCH(ROUND(H63,1),Tablo_E!$B$1:$CX$1,1)))</f>
        <v>0</v>
      </c>
      <c r="J63" s="55"/>
      <c r="K63" s="60">
        <f>IF(ISBLANK(J63),0,ABS(Uzman_E!C$13-J63))</f>
        <v>0</v>
      </c>
      <c r="L63" s="52">
        <f>IF(ISBLANK(J63),0,INDEX(Tablo_E!$B$2:$CX$102,MATCH(ROUND(Uzman_E!C$13,1),Tablo_E!$A$2:$A$102,1),MATCH(ROUND(K63,1),Tablo_E!$B$1:$CX$1,1)))</f>
        <v>0</v>
      </c>
      <c r="M63" s="55"/>
      <c r="N63" s="60">
        <f>IF(ISBLANK(M63),0,ABS(Uzman_E!D$13-M63))</f>
        <v>0</v>
      </c>
      <c r="O63" s="52">
        <f>IF(ISBLANK(M63),0,INDEX(Tablo_E!$B$2:$CX$102,MATCH(ROUND(Uzman_E!D$13,1),Tablo_E!$A$2:$A$102,1),MATCH(ROUND(N63,1),Tablo_E!$B$1:$CX$1,1)))</f>
        <v>0</v>
      </c>
      <c r="P63" s="55"/>
      <c r="Q63" s="60">
        <f>IF(ISBLANK(P63),0,ABS(Uzman_E!E$13-P63))</f>
        <v>0</v>
      </c>
      <c r="R63" s="52">
        <f>IF(ISBLANK(P63),0,INDEX(Tablo_E!$B$2:$CX$102,MATCH(ROUND(Uzman_E!E$13,1),Tablo_E!$A$2:$A$102,1),MATCH(ROUND(Q63,1),Tablo_E!$B$1:$CX$1,1)))</f>
        <v>0</v>
      </c>
      <c r="S63" s="53">
        <f t="shared" si="1"/>
        <v>0</v>
      </c>
      <c r="T63" s="49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5" customHeight="1" x14ac:dyDescent="0.45">
      <c r="A64" s="54">
        <v>61</v>
      </c>
      <c r="B64" s="80">
        <f>Hakemler!B64</f>
        <v>0</v>
      </c>
      <c r="C64" s="81">
        <f>Hakemler!C64</f>
        <v>0</v>
      </c>
      <c r="D64" s="55"/>
      <c r="E64" s="60">
        <f>IF(ISBLANK(D64),0,ABS(Uzman_E!A$13-D64))</f>
        <v>0</v>
      </c>
      <c r="F64" s="52">
        <f>IF(ISBLANK(D64),0,INDEX(Tablo_E!$B$2:$CX$102,MATCH(ROUND(Uzman_E!A$13,1),Tablo_E!$A$2:$A$102,1),MATCH(ROUND(E64,1),Tablo_E!$B$1:$CX$1,1)))</f>
        <v>0</v>
      </c>
      <c r="G64" s="55"/>
      <c r="H64" s="60">
        <f>IF(ISBLANK(G64),0,ABS(Uzman_E!B$13-G64))</f>
        <v>0</v>
      </c>
      <c r="I64" s="52">
        <f>IF(ISBLANK(G64),0,INDEX(Tablo_E!$B$2:$CX$102,MATCH(ROUND(Uzman_E!B$13,1),Tablo_E!$A$2:$A$102,1),MATCH(ROUND(H64,1),Tablo_E!$B$1:$CX$1,1)))</f>
        <v>0</v>
      </c>
      <c r="J64" s="55"/>
      <c r="K64" s="60">
        <f>IF(ISBLANK(J64),0,ABS(Uzman_E!C$13-J64))</f>
        <v>0</v>
      </c>
      <c r="L64" s="52">
        <f>IF(ISBLANK(J64),0,INDEX(Tablo_E!$B$2:$CX$102,MATCH(ROUND(Uzman_E!C$13,1),Tablo_E!$A$2:$A$102,1),MATCH(ROUND(K64,1),Tablo_E!$B$1:$CX$1,1)))</f>
        <v>0</v>
      </c>
      <c r="M64" s="55"/>
      <c r="N64" s="60">
        <f>IF(ISBLANK(M64),0,ABS(Uzman_E!D$13-M64))</f>
        <v>0</v>
      </c>
      <c r="O64" s="52">
        <f>IF(ISBLANK(M64),0,INDEX(Tablo_E!$B$2:$CX$102,MATCH(ROUND(Uzman_E!D$13,1),Tablo_E!$A$2:$A$102,1),MATCH(ROUND(N64,1),Tablo_E!$B$1:$CX$1,1)))</f>
        <v>0</v>
      </c>
      <c r="P64" s="55"/>
      <c r="Q64" s="60">
        <f>IF(ISBLANK(P64),0,ABS(Uzman_E!E$13-P64))</f>
        <v>0</v>
      </c>
      <c r="R64" s="52">
        <f>IF(ISBLANK(P64),0,INDEX(Tablo_E!$B$2:$CX$102,MATCH(ROUND(Uzman_E!E$13,1),Tablo_E!$A$2:$A$102,1),MATCH(ROUND(Q64,1),Tablo_E!$B$1:$CX$1,1)))</f>
        <v>0</v>
      </c>
      <c r="S64" s="53">
        <f t="shared" si="1"/>
        <v>0</v>
      </c>
      <c r="T64" s="49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6" ht="15" customHeight="1" x14ac:dyDescent="0.45">
      <c r="A65" s="54">
        <v>62</v>
      </c>
      <c r="B65" s="80">
        <f>Hakemler!B65</f>
        <v>0</v>
      </c>
      <c r="C65" s="81">
        <f>Hakemler!C65</f>
        <v>0</v>
      </c>
      <c r="D65" s="55"/>
      <c r="E65" s="60">
        <f>IF(ISBLANK(D65),0,ABS(Uzman_E!A$13-D65))</f>
        <v>0</v>
      </c>
      <c r="F65" s="52">
        <f>IF(ISBLANK(D65),0,INDEX(Tablo_E!$B$2:$CX$102,MATCH(ROUND(Uzman_E!A$13,1),Tablo_E!$A$2:$A$102,1),MATCH(ROUND(E65,1),Tablo_E!$B$1:$CX$1,1)))</f>
        <v>0</v>
      </c>
      <c r="G65" s="55"/>
      <c r="H65" s="60">
        <f>IF(ISBLANK(G65),0,ABS(Uzman_E!B$13-G65))</f>
        <v>0</v>
      </c>
      <c r="I65" s="52">
        <f>IF(ISBLANK(G65),0,INDEX(Tablo_E!$B$2:$CX$102,MATCH(ROUND(Uzman_E!B$13,1),Tablo_E!$A$2:$A$102,1),MATCH(ROUND(H65,1),Tablo_E!$B$1:$CX$1,1)))</f>
        <v>0</v>
      </c>
      <c r="J65" s="55"/>
      <c r="K65" s="60">
        <f>IF(ISBLANK(J65),0,ABS(Uzman_E!C$13-J65))</f>
        <v>0</v>
      </c>
      <c r="L65" s="52">
        <f>IF(ISBLANK(J65),0,INDEX(Tablo_E!$B$2:$CX$102,MATCH(ROUND(Uzman_E!C$13,1),Tablo_E!$A$2:$A$102,1),MATCH(ROUND(K65,1),Tablo_E!$B$1:$CX$1,1)))</f>
        <v>0</v>
      </c>
      <c r="M65" s="55"/>
      <c r="N65" s="60">
        <f>IF(ISBLANK(M65),0,ABS(Uzman_E!D$13-M65))</f>
        <v>0</v>
      </c>
      <c r="O65" s="52">
        <f>IF(ISBLANK(M65),0,INDEX(Tablo_E!$B$2:$CX$102,MATCH(ROUND(Uzman_E!D$13,1),Tablo_E!$A$2:$A$102,1),MATCH(ROUND(N65,1),Tablo_E!$B$1:$CX$1,1)))</f>
        <v>0</v>
      </c>
      <c r="P65" s="55"/>
      <c r="Q65" s="60">
        <f>IF(ISBLANK(P65),0,ABS(Uzman_E!E$13-P65))</f>
        <v>0</v>
      </c>
      <c r="R65" s="52">
        <f>IF(ISBLANK(P65),0,INDEX(Tablo_E!$B$2:$CX$102,MATCH(ROUND(Uzman_E!E$13,1),Tablo_E!$A$2:$A$102,1),MATCH(ROUND(Q65,1),Tablo_E!$B$1:$CX$1,1)))</f>
        <v>0</v>
      </c>
      <c r="S65" s="53">
        <f t="shared" si="1"/>
        <v>0</v>
      </c>
      <c r="T65" s="49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6" ht="15" customHeight="1" x14ac:dyDescent="0.45">
      <c r="A66" s="54">
        <v>63</v>
      </c>
      <c r="B66" s="80">
        <f>Hakemler!B66</f>
        <v>0</v>
      </c>
      <c r="C66" s="81">
        <f>Hakemler!C66</f>
        <v>0</v>
      </c>
      <c r="D66" s="55"/>
      <c r="E66" s="60">
        <f>IF(ISBLANK(D66),0,ABS(Uzman_E!A$13-D66))</f>
        <v>0</v>
      </c>
      <c r="F66" s="52">
        <f>IF(ISBLANK(D66),0,INDEX(Tablo_E!$B$2:$CX$102,MATCH(ROUND(Uzman_E!A$13,1),Tablo_E!$A$2:$A$102,1),MATCH(ROUND(E66,1),Tablo_E!$B$1:$CX$1,1)))</f>
        <v>0</v>
      </c>
      <c r="G66" s="55"/>
      <c r="H66" s="60">
        <f>IF(ISBLANK(G66),0,ABS(Uzman_E!B$13-G66))</f>
        <v>0</v>
      </c>
      <c r="I66" s="52">
        <f>IF(ISBLANK(G66),0,INDEX(Tablo_E!$B$2:$CX$102,MATCH(ROUND(Uzman_E!B$13,1),Tablo_E!$A$2:$A$102,1),MATCH(ROUND(H66,1),Tablo_E!$B$1:$CX$1,1)))</f>
        <v>0</v>
      </c>
      <c r="J66" s="55"/>
      <c r="K66" s="60">
        <f>IF(ISBLANK(J66),0,ABS(Uzman_E!C$13-J66))</f>
        <v>0</v>
      </c>
      <c r="L66" s="52">
        <f>IF(ISBLANK(J66),0,INDEX(Tablo_E!$B$2:$CX$102,MATCH(ROUND(Uzman_E!C$13,1),Tablo_E!$A$2:$A$102,1),MATCH(ROUND(K66,1),Tablo_E!$B$1:$CX$1,1)))</f>
        <v>0</v>
      </c>
      <c r="M66" s="55"/>
      <c r="N66" s="60">
        <f>IF(ISBLANK(M66),0,ABS(Uzman_E!D$13-M66))</f>
        <v>0</v>
      </c>
      <c r="O66" s="52">
        <f>IF(ISBLANK(M66),0,INDEX(Tablo_E!$B$2:$CX$102,MATCH(ROUND(Uzman_E!D$13,1),Tablo_E!$A$2:$A$102,1),MATCH(ROUND(N66,1),Tablo_E!$B$1:$CX$1,1)))</f>
        <v>0</v>
      </c>
      <c r="P66" s="55"/>
      <c r="Q66" s="60">
        <f>IF(ISBLANK(P66),0,ABS(Uzman_E!E$13-P66))</f>
        <v>0</v>
      </c>
      <c r="R66" s="52">
        <f>IF(ISBLANK(P66),0,INDEX(Tablo_E!$B$2:$CX$102,MATCH(ROUND(Uzman_E!E$13,1),Tablo_E!$A$2:$A$102,1),MATCH(ROUND(Q66,1),Tablo_E!$B$1:$CX$1,1)))</f>
        <v>0</v>
      </c>
      <c r="S66" s="53">
        <f t="shared" si="1"/>
        <v>0</v>
      </c>
      <c r="T66" s="49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6" ht="15" customHeight="1" x14ac:dyDescent="0.45">
      <c r="A67" s="54">
        <v>64</v>
      </c>
      <c r="B67" s="35">
        <f>Hakemler!B67</f>
        <v>0</v>
      </c>
      <c r="C67" s="82">
        <f>Hakemler!C67</f>
        <v>0</v>
      </c>
      <c r="D67" s="55"/>
      <c r="E67" s="60">
        <f>IF(ISBLANK(D67),0,ABS(Uzman_E!A$13-D67))</f>
        <v>0</v>
      </c>
      <c r="F67" s="52">
        <f>IF(ISBLANK(D67),0,INDEX(Tablo_E!$B$2:$CX$102,MATCH(ROUND(Uzman_E!A$13,1),Tablo_E!$A$2:$A$102,1),MATCH(ROUND(E67,1),Tablo_E!$B$1:$CX$1,1)))</f>
        <v>0</v>
      </c>
      <c r="G67" s="55"/>
      <c r="H67" s="60">
        <f>IF(ISBLANK(G67),0,ABS(Uzman_E!B$13-G67))</f>
        <v>0</v>
      </c>
      <c r="I67" s="52">
        <f>IF(ISBLANK(G67),0,INDEX(Tablo_E!$B$2:$CX$102,MATCH(ROUND(Uzman_E!B$13,1),Tablo_E!$A$2:$A$102,1),MATCH(ROUND(H67,1),Tablo_E!$B$1:$CX$1,1)))</f>
        <v>0</v>
      </c>
      <c r="J67" s="55"/>
      <c r="K67" s="60">
        <f>IF(ISBLANK(J67),0,ABS(Uzman_E!C$13-J67))</f>
        <v>0</v>
      </c>
      <c r="L67" s="52">
        <f>IF(ISBLANK(J67),0,INDEX(Tablo_E!$B$2:$CX$102,MATCH(ROUND(Uzman_E!C$13,1),Tablo_E!$A$2:$A$102,1),MATCH(ROUND(K67,1),Tablo_E!$B$1:$CX$1,1)))</f>
        <v>0</v>
      </c>
      <c r="M67" s="55"/>
      <c r="N67" s="60">
        <f>IF(ISBLANK(M67),0,ABS(Uzman_E!D$13-M67))</f>
        <v>0</v>
      </c>
      <c r="O67" s="52">
        <f>IF(ISBLANK(M67),0,INDEX(Tablo_E!$B$2:$CX$102,MATCH(ROUND(Uzman_E!D$13,1),Tablo_E!$A$2:$A$102,1),MATCH(ROUND(N67,1),Tablo_E!$B$1:$CX$1,1)))</f>
        <v>0</v>
      </c>
      <c r="P67" s="55"/>
      <c r="Q67" s="60">
        <f>IF(ISBLANK(P67),0,ABS(Uzman_E!E$13-P67))</f>
        <v>0</v>
      </c>
      <c r="R67" s="52">
        <f>IF(ISBLANK(P67),0,INDEX(Tablo_E!$B$2:$CX$102,MATCH(ROUND(Uzman_E!E$13,1),Tablo_E!$A$2:$A$102,1),MATCH(ROUND(Q67,1),Tablo_E!$B$1:$CX$1,1)))</f>
        <v>0</v>
      </c>
      <c r="S67" s="53">
        <f t="shared" si="1"/>
        <v>0</v>
      </c>
      <c r="T67" s="49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6" ht="15" customHeight="1" x14ac:dyDescent="0.45">
      <c r="A68" s="54">
        <v>65</v>
      </c>
      <c r="B68" s="35">
        <f>Hakemler!B68</f>
        <v>0</v>
      </c>
      <c r="C68" s="82">
        <f>Hakemler!C68</f>
        <v>0</v>
      </c>
      <c r="D68" s="55"/>
      <c r="E68" s="60">
        <f>IF(ISBLANK(D68),0,ABS(Uzman_E!A$13-D68))</f>
        <v>0</v>
      </c>
      <c r="F68" s="52">
        <f>IF(ISBLANK(D68),0,INDEX(Tablo_E!$B$2:$CX$102,MATCH(ROUND(Uzman_E!A$13,1),Tablo_E!$A$2:$A$102,1),MATCH(ROUND(E68,1),Tablo_E!$B$1:$CX$1,1)))</f>
        <v>0</v>
      </c>
      <c r="G68" s="55"/>
      <c r="H68" s="60">
        <f>IF(ISBLANK(G68),0,ABS(Uzman_E!B$13-G68))</f>
        <v>0</v>
      </c>
      <c r="I68" s="52">
        <f>IF(ISBLANK(G68),0,INDEX(Tablo_E!$B$2:$CX$102,MATCH(ROUND(Uzman_E!B$13,1),Tablo_E!$A$2:$A$102,1),MATCH(ROUND(H68,1),Tablo_E!$B$1:$CX$1,1)))</f>
        <v>0</v>
      </c>
      <c r="J68" s="55"/>
      <c r="K68" s="60">
        <f>IF(ISBLANK(J68),0,ABS(Uzman_E!C$13-J68))</f>
        <v>0</v>
      </c>
      <c r="L68" s="52">
        <f>IF(ISBLANK(J68),0,INDEX(Tablo_E!$B$2:$CX$102,MATCH(ROUND(Uzman_E!C$13,1),Tablo_E!$A$2:$A$102,1),MATCH(ROUND(K68,1),Tablo_E!$B$1:$CX$1,1)))</f>
        <v>0</v>
      </c>
      <c r="M68" s="55"/>
      <c r="N68" s="60">
        <f>IF(ISBLANK(M68),0,ABS(Uzman_E!D$13-M68))</f>
        <v>0</v>
      </c>
      <c r="O68" s="52">
        <f>IF(ISBLANK(M68),0,INDEX(Tablo_E!$B$2:$CX$102,MATCH(ROUND(Uzman_E!D$13,1),Tablo_E!$A$2:$A$102,1),MATCH(ROUND(N68,1),Tablo_E!$B$1:$CX$1,1)))</f>
        <v>0</v>
      </c>
      <c r="P68" s="55"/>
      <c r="Q68" s="60">
        <f>IF(ISBLANK(P68),0,ABS(Uzman_E!E$13-P68))</f>
        <v>0</v>
      </c>
      <c r="R68" s="52">
        <f>IF(ISBLANK(P68),0,INDEX(Tablo_E!$B$2:$CX$102,MATCH(ROUND(Uzman_E!E$13,1),Tablo_E!$A$2:$A$102,1),MATCH(ROUND(Q68,1),Tablo_E!$B$1:$CX$1,1)))</f>
        <v>0</v>
      </c>
      <c r="S68" s="53">
        <f t="shared" ref="S68:S99" si="2">(F68+I68+L68+O68+R68)/5</f>
        <v>0</v>
      </c>
      <c r="T68" s="49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6" ht="15" customHeight="1" x14ac:dyDescent="0.45">
      <c r="A69" s="54">
        <v>66</v>
      </c>
      <c r="B69" s="35">
        <f>Hakemler!B69</f>
        <v>0</v>
      </c>
      <c r="C69" s="82">
        <f>Hakemler!C69</f>
        <v>0</v>
      </c>
      <c r="D69" s="55"/>
      <c r="E69" s="60">
        <f>IF(ISBLANK(D69),0,ABS(Uzman_E!A$13-D69))</f>
        <v>0</v>
      </c>
      <c r="F69" s="52">
        <f>IF(ISBLANK(D69),0,INDEX(Tablo_E!$B$2:$CX$102,MATCH(ROUND(Uzman_E!A$13,1),Tablo_E!$A$2:$A$102,1),MATCH(ROUND(E69,1),Tablo_E!$B$1:$CX$1,1)))</f>
        <v>0</v>
      </c>
      <c r="G69" s="55"/>
      <c r="H69" s="60">
        <f>IF(ISBLANK(G69),0,ABS(Uzman_E!B$13-G69))</f>
        <v>0</v>
      </c>
      <c r="I69" s="52">
        <f>IF(ISBLANK(G69),0,INDEX(Tablo_E!$B$2:$CX$102,MATCH(ROUND(Uzman_E!B$13,1),Tablo_E!$A$2:$A$102,1),MATCH(ROUND(H69,1),Tablo_E!$B$1:$CX$1,1)))</f>
        <v>0</v>
      </c>
      <c r="J69" s="55"/>
      <c r="K69" s="60">
        <f>IF(ISBLANK(J69),0,ABS(Uzman_E!C$13-J69))</f>
        <v>0</v>
      </c>
      <c r="L69" s="52">
        <f>IF(ISBLANK(J69),0,INDEX(Tablo_E!$B$2:$CX$102,MATCH(ROUND(Uzman_E!C$13,1),Tablo_E!$A$2:$A$102,1),MATCH(ROUND(K69,1),Tablo_E!$B$1:$CX$1,1)))</f>
        <v>0</v>
      </c>
      <c r="M69" s="55"/>
      <c r="N69" s="60">
        <f>IF(ISBLANK(M69),0,ABS(Uzman_E!D$13-M69))</f>
        <v>0</v>
      </c>
      <c r="O69" s="52">
        <f>IF(ISBLANK(M69),0,INDEX(Tablo_E!$B$2:$CX$102,MATCH(ROUND(Uzman_E!D$13,1),Tablo_E!$A$2:$A$102,1),MATCH(ROUND(N69,1),Tablo_E!$B$1:$CX$1,1)))</f>
        <v>0</v>
      </c>
      <c r="P69" s="55"/>
      <c r="Q69" s="60">
        <f>IF(ISBLANK(P69),0,ABS(Uzman_E!E$13-P69))</f>
        <v>0</v>
      </c>
      <c r="R69" s="52">
        <f>IF(ISBLANK(P69),0,INDEX(Tablo_E!$B$2:$CX$102,MATCH(ROUND(Uzman_E!E$13,1),Tablo_E!$A$2:$A$102,1),MATCH(ROUND(Q69,1),Tablo_E!$B$1:$CX$1,1)))</f>
        <v>0</v>
      </c>
      <c r="S69" s="53">
        <f t="shared" si="2"/>
        <v>0</v>
      </c>
      <c r="T69" s="49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6" ht="15" customHeight="1" x14ac:dyDescent="0.45">
      <c r="A70" s="54">
        <v>67</v>
      </c>
      <c r="B70" s="35">
        <f>Hakemler!B70</f>
        <v>0</v>
      </c>
      <c r="C70" s="82">
        <f>Hakemler!C70</f>
        <v>0</v>
      </c>
      <c r="D70" s="55"/>
      <c r="E70" s="60">
        <f>IF(ISBLANK(D70),0,ABS(Uzman_E!A$13-D70))</f>
        <v>0</v>
      </c>
      <c r="F70" s="52">
        <f>IF(ISBLANK(D70),0,INDEX(Tablo_E!$B$2:$CX$102,MATCH(ROUND(Uzman_E!A$13,1),Tablo_E!$A$2:$A$102,1),MATCH(ROUND(E70,1),Tablo_E!$B$1:$CX$1,1)))</f>
        <v>0</v>
      </c>
      <c r="G70" s="55"/>
      <c r="H70" s="60">
        <f>IF(ISBLANK(G70),0,ABS(Uzman_E!B$13-G70))</f>
        <v>0</v>
      </c>
      <c r="I70" s="52">
        <f>IF(ISBLANK(G70),0,INDEX(Tablo_E!$B$2:$CX$102,MATCH(ROUND(Uzman_E!B$13,1),Tablo_E!$A$2:$A$102,1),MATCH(ROUND(H70,1),Tablo_E!$B$1:$CX$1,1)))</f>
        <v>0</v>
      </c>
      <c r="J70" s="55"/>
      <c r="K70" s="60">
        <f>IF(ISBLANK(J70),0,ABS(Uzman_E!C$13-J70))</f>
        <v>0</v>
      </c>
      <c r="L70" s="52">
        <f>IF(ISBLANK(J70),0,INDEX(Tablo_E!$B$2:$CX$102,MATCH(ROUND(Uzman_E!C$13,1),Tablo_E!$A$2:$A$102,1),MATCH(ROUND(K70,1),Tablo_E!$B$1:$CX$1,1)))</f>
        <v>0</v>
      </c>
      <c r="M70" s="55"/>
      <c r="N70" s="60">
        <f>IF(ISBLANK(M70),0,ABS(Uzman_E!D$13-M70))</f>
        <v>0</v>
      </c>
      <c r="O70" s="52">
        <f>IF(ISBLANK(M70),0,INDEX(Tablo_E!$B$2:$CX$102,MATCH(ROUND(Uzman_E!D$13,1),Tablo_E!$A$2:$A$102,1),MATCH(ROUND(N70,1),Tablo_E!$B$1:$CX$1,1)))</f>
        <v>0</v>
      </c>
      <c r="P70" s="55"/>
      <c r="Q70" s="60">
        <f>IF(ISBLANK(P70),0,ABS(Uzman_E!E$13-P70))</f>
        <v>0</v>
      </c>
      <c r="R70" s="52">
        <f>IF(ISBLANK(P70),0,INDEX(Tablo_E!$B$2:$CX$102,MATCH(ROUND(Uzman_E!E$13,1),Tablo_E!$A$2:$A$102,1),MATCH(ROUND(Q70,1),Tablo_E!$B$1:$CX$1,1)))</f>
        <v>0</v>
      </c>
      <c r="S70" s="53">
        <f t="shared" si="2"/>
        <v>0</v>
      </c>
      <c r="T70" s="49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spans="1:36" ht="15" customHeight="1" x14ac:dyDescent="0.45">
      <c r="A71" s="54">
        <v>68</v>
      </c>
      <c r="B71" s="35">
        <f>Hakemler!B71</f>
        <v>0</v>
      </c>
      <c r="C71" s="82">
        <f>Hakemler!C71</f>
        <v>0</v>
      </c>
      <c r="D71" s="55"/>
      <c r="E71" s="60">
        <f>IF(ISBLANK(D71),0,ABS(Uzman_E!A$13-D71))</f>
        <v>0</v>
      </c>
      <c r="F71" s="52">
        <f>IF(ISBLANK(D71),0,INDEX(Tablo_E!$B$2:$CX$102,MATCH(ROUND(Uzman_E!A$13,1),Tablo_E!$A$2:$A$102,1),MATCH(ROUND(E71,1),Tablo_E!$B$1:$CX$1,1)))</f>
        <v>0</v>
      </c>
      <c r="G71" s="55"/>
      <c r="H71" s="60">
        <f>IF(ISBLANK(G71),0,ABS(Uzman_E!B$13-G71))</f>
        <v>0</v>
      </c>
      <c r="I71" s="52">
        <f>IF(ISBLANK(G71),0,INDEX(Tablo_E!$B$2:$CX$102,MATCH(ROUND(Uzman_E!B$13,1),Tablo_E!$A$2:$A$102,1),MATCH(ROUND(H71,1),Tablo_E!$B$1:$CX$1,1)))</f>
        <v>0</v>
      </c>
      <c r="J71" s="55"/>
      <c r="K71" s="60">
        <f>IF(ISBLANK(J71),0,ABS(Uzman_E!C$13-J71))</f>
        <v>0</v>
      </c>
      <c r="L71" s="52">
        <f>IF(ISBLANK(J71),0,INDEX(Tablo_E!$B$2:$CX$102,MATCH(ROUND(Uzman_E!C$13,1),Tablo_E!$A$2:$A$102,1),MATCH(ROUND(K71,1),Tablo_E!$B$1:$CX$1,1)))</f>
        <v>0</v>
      </c>
      <c r="M71" s="55"/>
      <c r="N71" s="60">
        <f>IF(ISBLANK(M71),0,ABS(Uzman_E!D$13-M71))</f>
        <v>0</v>
      </c>
      <c r="O71" s="52">
        <f>IF(ISBLANK(M71),0,INDEX(Tablo_E!$B$2:$CX$102,MATCH(ROUND(Uzman_E!D$13,1),Tablo_E!$A$2:$A$102,1),MATCH(ROUND(N71,1),Tablo_E!$B$1:$CX$1,1)))</f>
        <v>0</v>
      </c>
      <c r="P71" s="55"/>
      <c r="Q71" s="60">
        <f>IF(ISBLANK(P71),0,ABS(Uzman_E!E$13-P71))</f>
        <v>0</v>
      </c>
      <c r="R71" s="52">
        <f>IF(ISBLANK(P71),0,INDEX(Tablo_E!$B$2:$CX$102,MATCH(ROUND(Uzman_E!E$13,1),Tablo_E!$A$2:$A$102,1),MATCH(ROUND(Q71,1),Tablo_E!$B$1:$CX$1,1)))</f>
        <v>0</v>
      </c>
      <c r="S71" s="53">
        <f t="shared" si="2"/>
        <v>0</v>
      </c>
      <c r="T71" s="49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spans="1:36" ht="15" customHeight="1" x14ac:dyDescent="0.45">
      <c r="A72" s="54">
        <v>69</v>
      </c>
      <c r="B72" s="35">
        <f>Hakemler!B72</f>
        <v>0</v>
      </c>
      <c r="C72" s="82">
        <f>Hakemler!C72</f>
        <v>0</v>
      </c>
      <c r="D72" s="55"/>
      <c r="E72" s="60">
        <f>IF(ISBLANK(D72),0,ABS(Uzman_E!A$13-D72))</f>
        <v>0</v>
      </c>
      <c r="F72" s="52">
        <f>IF(ISBLANK(D72),0,INDEX(Tablo_E!$B$2:$CX$102,MATCH(ROUND(Uzman_E!A$13,1),Tablo_E!$A$2:$A$102,1),MATCH(ROUND(E72,1),Tablo_E!$B$1:$CX$1,1)))</f>
        <v>0</v>
      </c>
      <c r="G72" s="55"/>
      <c r="H72" s="60">
        <f>IF(ISBLANK(G72),0,ABS(Uzman_E!B$13-G72))</f>
        <v>0</v>
      </c>
      <c r="I72" s="52">
        <f>IF(ISBLANK(G72),0,INDEX(Tablo_E!$B$2:$CX$102,MATCH(ROUND(Uzman_E!B$13,1),Tablo_E!$A$2:$A$102,1),MATCH(ROUND(H72,1),Tablo_E!$B$1:$CX$1,1)))</f>
        <v>0</v>
      </c>
      <c r="J72" s="55"/>
      <c r="K72" s="60">
        <f>IF(ISBLANK(J72),0,ABS(Uzman_E!C$13-J72))</f>
        <v>0</v>
      </c>
      <c r="L72" s="52">
        <f>IF(ISBLANK(J72),0,INDEX(Tablo_E!$B$2:$CX$102,MATCH(ROUND(Uzman_E!C$13,1),Tablo_E!$A$2:$A$102,1),MATCH(ROUND(K72,1),Tablo_E!$B$1:$CX$1,1)))</f>
        <v>0</v>
      </c>
      <c r="M72" s="55"/>
      <c r="N72" s="60">
        <f>IF(ISBLANK(M72),0,ABS(Uzman_E!D$13-M72))</f>
        <v>0</v>
      </c>
      <c r="O72" s="52">
        <f>IF(ISBLANK(M72),0,INDEX(Tablo_E!$B$2:$CX$102,MATCH(ROUND(Uzman_E!D$13,1),Tablo_E!$A$2:$A$102,1),MATCH(ROUND(N72,1),Tablo_E!$B$1:$CX$1,1)))</f>
        <v>0</v>
      </c>
      <c r="P72" s="55"/>
      <c r="Q72" s="60">
        <f>IF(ISBLANK(P72),0,ABS(Uzman_E!E$13-P72))</f>
        <v>0</v>
      </c>
      <c r="R72" s="52">
        <f>IF(ISBLANK(P72),0,INDEX(Tablo_E!$B$2:$CX$102,MATCH(ROUND(Uzman_E!E$13,1),Tablo_E!$A$2:$A$102,1),MATCH(ROUND(Q72,1),Tablo_E!$B$1:$CX$1,1)))</f>
        <v>0</v>
      </c>
      <c r="S72" s="53">
        <f t="shared" si="2"/>
        <v>0</v>
      </c>
      <c r="T72" s="49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spans="1:36" ht="15" customHeight="1" x14ac:dyDescent="0.45">
      <c r="A73" s="54">
        <v>70</v>
      </c>
      <c r="B73" s="35">
        <f>Hakemler!B73</f>
        <v>0</v>
      </c>
      <c r="C73" s="82">
        <f>Hakemler!C73</f>
        <v>0</v>
      </c>
      <c r="D73" s="55"/>
      <c r="E73" s="60">
        <f>IF(ISBLANK(D73),0,ABS(Uzman_E!A$13-D73))</f>
        <v>0</v>
      </c>
      <c r="F73" s="52">
        <f>IF(ISBLANK(D73),0,INDEX(Tablo_E!$B$2:$CX$102,MATCH(ROUND(Uzman_E!A$13,1),Tablo_E!$A$2:$A$102,1),MATCH(ROUND(E73,1),Tablo_E!$B$1:$CX$1,1)))</f>
        <v>0</v>
      </c>
      <c r="G73" s="55"/>
      <c r="H73" s="60">
        <f>IF(ISBLANK(G73),0,ABS(Uzman_E!B$13-G73))</f>
        <v>0</v>
      </c>
      <c r="I73" s="52">
        <f>IF(ISBLANK(G73),0,INDEX(Tablo_E!$B$2:$CX$102,MATCH(ROUND(Uzman_E!B$13,1),Tablo_E!$A$2:$A$102,1),MATCH(ROUND(H73,1),Tablo_E!$B$1:$CX$1,1)))</f>
        <v>0</v>
      </c>
      <c r="J73" s="55"/>
      <c r="K73" s="60">
        <f>IF(ISBLANK(J73),0,ABS(Uzman_E!C$13-J73))</f>
        <v>0</v>
      </c>
      <c r="L73" s="52">
        <f>IF(ISBLANK(J73),0,INDEX(Tablo_E!$B$2:$CX$102,MATCH(ROUND(Uzman_E!C$13,1),Tablo_E!$A$2:$A$102,1),MATCH(ROUND(K73,1),Tablo_E!$B$1:$CX$1,1)))</f>
        <v>0</v>
      </c>
      <c r="M73" s="55"/>
      <c r="N73" s="60">
        <f>IF(ISBLANK(M73),0,ABS(Uzman_E!D$13-M73))</f>
        <v>0</v>
      </c>
      <c r="O73" s="52">
        <f>IF(ISBLANK(M73),0,INDEX(Tablo_E!$B$2:$CX$102,MATCH(ROUND(Uzman_E!D$13,1),Tablo_E!$A$2:$A$102,1),MATCH(ROUND(N73,1),Tablo_E!$B$1:$CX$1,1)))</f>
        <v>0</v>
      </c>
      <c r="P73" s="55"/>
      <c r="Q73" s="60">
        <f>IF(ISBLANK(P73),0,ABS(Uzman_E!E$13-P73))</f>
        <v>0</v>
      </c>
      <c r="R73" s="52">
        <f>IF(ISBLANK(P73),0,INDEX(Tablo_E!$B$2:$CX$102,MATCH(ROUND(Uzman_E!E$13,1),Tablo_E!$A$2:$A$102,1),MATCH(ROUND(Q73,1),Tablo_E!$B$1:$CX$1,1)))</f>
        <v>0</v>
      </c>
      <c r="S73" s="53">
        <f t="shared" si="2"/>
        <v>0</v>
      </c>
      <c r="T73" s="49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spans="1:36" ht="15" customHeight="1" x14ac:dyDescent="0.45">
      <c r="A74" s="54">
        <v>71</v>
      </c>
      <c r="B74" s="35">
        <f>Hakemler!B74</f>
        <v>0</v>
      </c>
      <c r="C74" s="82">
        <f>Hakemler!C74</f>
        <v>0</v>
      </c>
      <c r="D74" s="55"/>
      <c r="E74" s="60">
        <f>IF(ISBLANK(D74),0,ABS(Uzman_E!A$13-D74))</f>
        <v>0</v>
      </c>
      <c r="F74" s="52">
        <f>IF(ISBLANK(D74),0,INDEX(Tablo_E!$B$2:$CX$102,MATCH(ROUND(Uzman_E!A$13,1),Tablo_E!$A$2:$A$102,1),MATCH(ROUND(E74,1),Tablo_E!$B$1:$CX$1,1)))</f>
        <v>0</v>
      </c>
      <c r="G74" s="55"/>
      <c r="H74" s="60">
        <f>IF(ISBLANK(G74),0,ABS(Uzman_E!B$13-G74))</f>
        <v>0</v>
      </c>
      <c r="I74" s="52">
        <f>IF(ISBLANK(G74),0,INDEX(Tablo_E!$B$2:$CX$102,MATCH(ROUND(Uzman_E!B$13,1),Tablo_E!$A$2:$A$102,1),MATCH(ROUND(H74,1),Tablo_E!$B$1:$CX$1,1)))</f>
        <v>0</v>
      </c>
      <c r="J74" s="55"/>
      <c r="K74" s="60">
        <f>IF(ISBLANK(J74),0,ABS(Uzman_E!C$13-J74))</f>
        <v>0</v>
      </c>
      <c r="L74" s="52">
        <f>IF(ISBLANK(J74),0,INDEX(Tablo_E!$B$2:$CX$102,MATCH(ROUND(Uzman_E!C$13,1),Tablo_E!$A$2:$A$102,1),MATCH(ROUND(K74,1),Tablo_E!$B$1:$CX$1,1)))</f>
        <v>0</v>
      </c>
      <c r="M74" s="55"/>
      <c r="N74" s="60">
        <f>IF(ISBLANK(M74),0,ABS(Uzman_E!D$13-M74))</f>
        <v>0</v>
      </c>
      <c r="O74" s="52">
        <f>IF(ISBLANK(M74),0,INDEX(Tablo_E!$B$2:$CX$102,MATCH(ROUND(Uzman_E!D$13,1),Tablo_E!$A$2:$A$102,1),MATCH(ROUND(N74,1),Tablo_E!$B$1:$CX$1,1)))</f>
        <v>0</v>
      </c>
      <c r="P74" s="55"/>
      <c r="Q74" s="60">
        <f>IF(ISBLANK(P74),0,ABS(Uzman_E!E$13-P74))</f>
        <v>0</v>
      </c>
      <c r="R74" s="52">
        <f>IF(ISBLANK(P74),0,INDEX(Tablo_E!$B$2:$CX$102,MATCH(ROUND(Uzman_E!E$13,1),Tablo_E!$A$2:$A$102,1),MATCH(ROUND(Q74,1),Tablo_E!$B$1:$CX$1,1)))</f>
        <v>0</v>
      </c>
      <c r="S74" s="53">
        <f t="shared" si="2"/>
        <v>0</v>
      </c>
      <c r="T74" s="49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spans="1:36" ht="15" customHeight="1" x14ac:dyDescent="0.45">
      <c r="A75" s="54">
        <v>72</v>
      </c>
      <c r="B75" s="35">
        <f>Hakemler!B75</f>
        <v>0</v>
      </c>
      <c r="C75" s="82">
        <f>Hakemler!C75</f>
        <v>0</v>
      </c>
      <c r="D75" s="55"/>
      <c r="E75" s="60">
        <f>IF(ISBLANK(D75),0,ABS(Uzman_E!A$13-D75))</f>
        <v>0</v>
      </c>
      <c r="F75" s="52">
        <f>IF(ISBLANK(D75),0,INDEX(Tablo_E!$B$2:$CX$102,MATCH(ROUND(Uzman_E!A$13,1),Tablo_E!$A$2:$A$102,1),MATCH(ROUND(E75,1),Tablo_E!$B$1:$CX$1,1)))</f>
        <v>0</v>
      </c>
      <c r="G75" s="55"/>
      <c r="H75" s="60">
        <f>IF(ISBLANK(G75),0,ABS(Uzman_E!B$13-G75))</f>
        <v>0</v>
      </c>
      <c r="I75" s="52">
        <f>IF(ISBLANK(G75),0,INDEX(Tablo_E!$B$2:$CX$102,MATCH(ROUND(Uzman_E!B$13,1),Tablo_E!$A$2:$A$102,1),MATCH(ROUND(H75,1),Tablo_E!$B$1:$CX$1,1)))</f>
        <v>0</v>
      </c>
      <c r="J75" s="55"/>
      <c r="K75" s="60">
        <f>IF(ISBLANK(J75),0,ABS(Uzman_E!C$13-J75))</f>
        <v>0</v>
      </c>
      <c r="L75" s="52">
        <f>IF(ISBLANK(J75),0,INDEX(Tablo_E!$B$2:$CX$102,MATCH(ROUND(Uzman_E!C$13,1),Tablo_E!$A$2:$A$102,1),MATCH(ROUND(K75,1),Tablo_E!$B$1:$CX$1,1)))</f>
        <v>0</v>
      </c>
      <c r="M75" s="55"/>
      <c r="N75" s="60">
        <f>IF(ISBLANK(M75),0,ABS(Uzman_E!D$13-M75))</f>
        <v>0</v>
      </c>
      <c r="O75" s="52">
        <f>IF(ISBLANK(M75),0,INDEX(Tablo_E!$B$2:$CX$102,MATCH(ROUND(Uzman_E!D$13,1),Tablo_E!$A$2:$A$102,1),MATCH(ROUND(N75,1),Tablo_E!$B$1:$CX$1,1)))</f>
        <v>0</v>
      </c>
      <c r="P75" s="55"/>
      <c r="Q75" s="60">
        <f>IF(ISBLANK(P75),0,ABS(Uzman_E!E$13-P75))</f>
        <v>0</v>
      </c>
      <c r="R75" s="52">
        <f>IF(ISBLANK(P75),0,INDEX(Tablo_E!$B$2:$CX$102,MATCH(ROUND(Uzman_E!E$13,1),Tablo_E!$A$2:$A$102,1),MATCH(ROUND(Q75,1),Tablo_E!$B$1:$CX$1,1)))</f>
        <v>0</v>
      </c>
      <c r="S75" s="53">
        <f t="shared" si="2"/>
        <v>0</v>
      </c>
      <c r="T75" s="49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spans="1:36" ht="15" customHeight="1" x14ac:dyDescent="0.45">
      <c r="A76" s="54">
        <v>73</v>
      </c>
      <c r="B76" s="35">
        <f>Hakemler!B76</f>
        <v>0</v>
      </c>
      <c r="C76" s="82">
        <f>Hakemler!C76</f>
        <v>0</v>
      </c>
      <c r="D76" s="55"/>
      <c r="E76" s="60">
        <f>IF(ISBLANK(D76),0,ABS(Uzman_E!A$13-D76))</f>
        <v>0</v>
      </c>
      <c r="F76" s="52">
        <f>IF(ISBLANK(D76),0,INDEX(Tablo_E!$B$2:$CX$102,MATCH(ROUND(Uzman_E!A$13,1),Tablo_E!$A$2:$A$102,1),MATCH(ROUND(E76,1),Tablo_E!$B$1:$CX$1,1)))</f>
        <v>0</v>
      </c>
      <c r="G76" s="55"/>
      <c r="H76" s="60">
        <f>IF(ISBLANK(G76),0,ABS(Uzman_E!B$13-G76))</f>
        <v>0</v>
      </c>
      <c r="I76" s="52">
        <f>IF(ISBLANK(G76),0,INDEX(Tablo_E!$B$2:$CX$102,MATCH(ROUND(Uzman_E!B$13,1),Tablo_E!$A$2:$A$102,1),MATCH(ROUND(H76,1),Tablo_E!$B$1:$CX$1,1)))</f>
        <v>0</v>
      </c>
      <c r="J76" s="55"/>
      <c r="K76" s="60">
        <f>IF(ISBLANK(J76),0,ABS(Uzman_E!C$13-J76))</f>
        <v>0</v>
      </c>
      <c r="L76" s="52">
        <f>IF(ISBLANK(J76),0,INDEX(Tablo_E!$B$2:$CX$102,MATCH(ROUND(Uzman_E!C$13,1),Tablo_E!$A$2:$A$102,1),MATCH(ROUND(K76,1),Tablo_E!$B$1:$CX$1,1)))</f>
        <v>0</v>
      </c>
      <c r="M76" s="55"/>
      <c r="N76" s="60">
        <f>IF(ISBLANK(M76),0,ABS(Uzman_E!D$13-M76))</f>
        <v>0</v>
      </c>
      <c r="O76" s="52">
        <f>IF(ISBLANK(M76),0,INDEX(Tablo_E!$B$2:$CX$102,MATCH(ROUND(Uzman_E!D$13,1),Tablo_E!$A$2:$A$102,1),MATCH(ROUND(N76,1),Tablo_E!$B$1:$CX$1,1)))</f>
        <v>0</v>
      </c>
      <c r="P76" s="55"/>
      <c r="Q76" s="60">
        <f>IF(ISBLANK(P76),0,ABS(Uzman_E!E$13-P76))</f>
        <v>0</v>
      </c>
      <c r="R76" s="52">
        <f>IF(ISBLANK(P76),0,INDEX(Tablo_E!$B$2:$CX$102,MATCH(ROUND(Uzman_E!E$13,1),Tablo_E!$A$2:$A$102,1),MATCH(ROUND(Q76,1),Tablo_E!$B$1:$CX$1,1)))</f>
        <v>0</v>
      </c>
      <c r="S76" s="53">
        <f t="shared" si="2"/>
        <v>0</v>
      </c>
      <c r="T76" s="49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spans="1:36" ht="15" customHeight="1" x14ac:dyDescent="0.45">
      <c r="A77" s="54">
        <v>74</v>
      </c>
      <c r="B77" s="35">
        <f>Hakemler!B77</f>
        <v>0</v>
      </c>
      <c r="C77" s="82">
        <f>Hakemler!C77</f>
        <v>0</v>
      </c>
      <c r="D77" s="55"/>
      <c r="E77" s="60">
        <f>IF(ISBLANK(D77),0,ABS(Uzman_E!A$13-D77))</f>
        <v>0</v>
      </c>
      <c r="F77" s="52">
        <f>IF(ISBLANK(D77),0,INDEX(Tablo_E!$B$2:$CX$102,MATCH(ROUND(Uzman_E!A$13,1),Tablo_E!$A$2:$A$102,1),MATCH(ROUND(E77,1),Tablo_E!$B$1:$CX$1,1)))</f>
        <v>0</v>
      </c>
      <c r="G77" s="55"/>
      <c r="H77" s="60">
        <f>IF(ISBLANK(G77),0,ABS(Uzman_E!B$13-G77))</f>
        <v>0</v>
      </c>
      <c r="I77" s="52">
        <f>IF(ISBLANK(G77),0,INDEX(Tablo_E!$B$2:$CX$102,MATCH(ROUND(Uzman_E!B$13,1),Tablo_E!$A$2:$A$102,1),MATCH(ROUND(H77,1),Tablo_E!$B$1:$CX$1,1)))</f>
        <v>0</v>
      </c>
      <c r="J77" s="55"/>
      <c r="K77" s="60">
        <f>IF(ISBLANK(J77),0,ABS(Uzman_E!C$13-J77))</f>
        <v>0</v>
      </c>
      <c r="L77" s="52">
        <f>IF(ISBLANK(J77),0,INDEX(Tablo_E!$B$2:$CX$102,MATCH(ROUND(Uzman_E!C$13,1),Tablo_E!$A$2:$A$102,1),MATCH(ROUND(K77,1),Tablo_E!$B$1:$CX$1,1)))</f>
        <v>0</v>
      </c>
      <c r="M77" s="55"/>
      <c r="N77" s="60">
        <f>IF(ISBLANK(M77),0,ABS(Uzman_E!D$13-M77))</f>
        <v>0</v>
      </c>
      <c r="O77" s="52">
        <f>IF(ISBLANK(M77),0,INDEX(Tablo_E!$B$2:$CX$102,MATCH(ROUND(Uzman_E!D$13,1),Tablo_E!$A$2:$A$102,1),MATCH(ROUND(N77,1),Tablo_E!$B$1:$CX$1,1)))</f>
        <v>0</v>
      </c>
      <c r="P77" s="55"/>
      <c r="Q77" s="60">
        <f>IF(ISBLANK(P77),0,ABS(Uzman_E!E$13-P77))</f>
        <v>0</v>
      </c>
      <c r="R77" s="52">
        <f>IF(ISBLANK(P77),0,INDEX(Tablo_E!$B$2:$CX$102,MATCH(ROUND(Uzman_E!E$13,1),Tablo_E!$A$2:$A$102,1),MATCH(ROUND(Q77,1),Tablo_E!$B$1:$CX$1,1)))</f>
        <v>0</v>
      </c>
      <c r="S77" s="53">
        <f t="shared" si="2"/>
        <v>0</v>
      </c>
      <c r="T77" s="49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spans="1:36" ht="15" customHeight="1" x14ac:dyDescent="0.45">
      <c r="A78" s="54">
        <v>75</v>
      </c>
      <c r="B78" s="35">
        <f>Hakemler!B78</f>
        <v>0</v>
      </c>
      <c r="C78" s="82">
        <f>Hakemler!C78</f>
        <v>0</v>
      </c>
      <c r="D78" s="55"/>
      <c r="E78" s="60">
        <f>IF(ISBLANK(D78),0,ABS(Uzman_E!A$13-D78))</f>
        <v>0</v>
      </c>
      <c r="F78" s="52">
        <f>IF(ISBLANK(D78),0,INDEX(Tablo_E!$B$2:$CX$102,MATCH(ROUND(Uzman_E!A$13,1),Tablo_E!$A$2:$A$102,1),MATCH(ROUND(E78,1),Tablo_E!$B$1:$CX$1,1)))</f>
        <v>0</v>
      </c>
      <c r="G78" s="55"/>
      <c r="H78" s="60">
        <f>IF(ISBLANK(G78),0,ABS(Uzman_E!B$13-G78))</f>
        <v>0</v>
      </c>
      <c r="I78" s="52">
        <f>IF(ISBLANK(G78),0,INDEX(Tablo_E!$B$2:$CX$102,MATCH(ROUND(Uzman_E!B$13,1),Tablo_E!$A$2:$A$102,1),MATCH(ROUND(H78,1),Tablo_E!$B$1:$CX$1,1)))</f>
        <v>0</v>
      </c>
      <c r="J78" s="55"/>
      <c r="K78" s="60">
        <f>IF(ISBLANK(J78),0,ABS(Uzman_E!C$13-J78))</f>
        <v>0</v>
      </c>
      <c r="L78" s="52">
        <f>IF(ISBLANK(J78),0,INDEX(Tablo_E!$B$2:$CX$102,MATCH(ROUND(Uzman_E!C$13,1),Tablo_E!$A$2:$A$102,1),MATCH(ROUND(K78,1),Tablo_E!$B$1:$CX$1,1)))</f>
        <v>0</v>
      </c>
      <c r="M78" s="55"/>
      <c r="N78" s="60">
        <f>IF(ISBLANK(M78),0,ABS(Uzman_E!D$13-M78))</f>
        <v>0</v>
      </c>
      <c r="O78" s="52">
        <f>IF(ISBLANK(M78),0,INDEX(Tablo_E!$B$2:$CX$102,MATCH(ROUND(Uzman_E!D$13,1),Tablo_E!$A$2:$A$102,1),MATCH(ROUND(N78,1),Tablo_E!$B$1:$CX$1,1)))</f>
        <v>0</v>
      </c>
      <c r="P78" s="55"/>
      <c r="Q78" s="60">
        <f>IF(ISBLANK(P78),0,ABS(Uzman_E!E$13-P78))</f>
        <v>0</v>
      </c>
      <c r="R78" s="52">
        <f>IF(ISBLANK(P78),0,INDEX(Tablo_E!$B$2:$CX$102,MATCH(ROUND(Uzman_E!E$13,1),Tablo_E!$A$2:$A$102,1),MATCH(ROUND(Q78,1),Tablo_E!$B$1:$CX$1,1)))</f>
        <v>0</v>
      </c>
      <c r="S78" s="53">
        <f t="shared" si="2"/>
        <v>0</v>
      </c>
      <c r="T78" s="49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spans="1:36" ht="15" customHeight="1" x14ac:dyDescent="0.45">
      <c r="A79" s="54">
        <v>76</v>
      </c>
      <c r="B79" s="35">
        <f>Hakemler!B79</f>
        <v>0</v>
      </c>
      <c r="C79" s="82">
        <f>Hakemler!C79</f>
        <v>0</v>
      </c>
      <c r="D79" s="55"/>
      <c r="E79" s="60">
        <f>IF(ISBLANK(D79),0,ABS(Uzman_E!A$13-D79))</f>
        <v>0</v>
      </c>
      <c r="F79" s="52">
        <f>IF(ISBLANK(D79),0,INDEX(Tablo_E!$B$2:$CX$102,MATCH(ROUND(Uzman_E!A$13,1),Tablo_E!$A$2:$A$102,1),MATCH(ROUND(E79,1),Tablo_E!$B$1:$CX$1,1)))</f>
        <v>0</v>
      </c>
      <c r="G79" s="55"/>
      <c r="H79" s="60">
        <f>IF(ISBLANK(G79),0,ABS(Uzman_E!B$13-G79))</f>
        <v>0</v>
      </c>
      <c r="I79" s="52">
        <f>IF(ISBLANK(G79),0,INDEX(Tablo_E!$B$2:$CX$102,MATCH(ROUND(Uzman_E!B$13,1),Tablo_E!$A$2:$A$102,1),MATCH(ROUND(H79,1),Tablo_E!$B$1:$CX$1,1)))</f>
        <v>0</v>
      </c>
      <c r="J79" s="55"/>
      <c r="K79" s="60">
        <f>IF(ISBLANK(J79),0,ABS(Uzman_E!C$13-J79))</f>
        <v>0</v>
      </c>
      <c r="L79" s="52">
        <f>IF(ISBLANK(J79),0,INDEX(Tablo_E!$B$2:$CX$102,MATCH(ROUND(Uzman_E!C$13,1),Tablo_E!$A$2:$A$102,1),MATCH(ROUND(K79,1),Tablo_E!$B$1:$CX$1,1)))</f>
        <v>0</v>
      </c>
      <c r="M79" s="55"/>
      <c r="N79" s="60">
        <f>IF(ISBLANK(M79),0,ABS(Uzman_E!D$13-M79))</f>
        <v>0</v>
      </c>
      <c r="O79" s="52">
        <f>IF(ISBLANK(M79),0,INDEX(Tablo_E!$B$2:$CX$102,MATCH(ROUND(Uzman_E!D$13,1),Tablo_E!$A$2:$A$102,1),MATCH(ROUND(N79,1),Tablo_E!$B$1:$CX$1,1)))</f>
        <v>0</v>
      </c>
      <c r="P79" s="55"/>
      <c r="Q79" s="60">
        <f>IF(ISBLANK(P79),0,ABS(Uzman_E!E$13-P79))</f>
        <v>0</v>
      </c>
      <c r="R79" s="52">
        <f>IF(ISBLANK(P79),0,INDEX(Tablo_E!$B$2:$CX$102,MATCH(ROUND(Uzman_E!E$13,1),Tablo_E!$A$2:$A$102,1),MATCH(ROUND(Q79,1),Tablo_E!$B$1:$CX$1,1)))</f>
        <v>0</v>
      </c>
      <c r="S79" s="53">
        <f t="shared" si="2"/>
        <v>0</v>
      </c>
      <c r="T79" s="49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spans="1:36" ht="15" customHeight="1" x14ac:dyDescent="0.45">
      <c r="A80" s="54">
        <v>77</v>
      </c>
      <c r="B80" s="35">
        <f>Hakemler!B80</f>
        <v>0</v>
      </c>
      <c r="C80" s="82">
        <f>Hakemler!C80</f>
        <v>0</v>
      </c>
      <c r="D80" s="55"/>
      <c r="E80" s="60">
        <f>IF(ISBLANK(D80),0,ABS(Uzman_E!A$13-D80))</f>
        <v>0</v>
      </c>
      <c r="F80" s="52">
        <f>IF(ISBLANK(D80),0,INDEX(Tablo_E!$B$2:$CX$102,MATCH(ROUND(Uzman_E!A$13,1),Tablo_E!$A$2:$A$102,1),MATCH(ROUND(E80,1),Tablo_E!$B$1:$CX$1,1)))</f>
        <v>0</v>
      </c>
      <c r="G80" s="55"/>
      <c r="H80" s="60">
        <f>IF(ISBLANK(G80),0,ABS(Uzman_E!B$13-G80))</f>
        <v>0</v>
      </c>
      <c r="I80" s="52">
        <f>IF(ISBLANK(G80),0,INDEX(Tablo_E!$B$2:$CX$102,MATCH(ROUND(Uzman_E!B$13,1),Tablo_E!$A$2:$A$102,1),MATCH(ROUND(H80,1),Tablo_E!$B$1:$CX$1,1)))</f>
        <v>0</v>
      </c>
      <c r="J80" s="55"/>
      <c r="K80" s="60">
        <f>IF(ISBLANK(J80),0,ABS(Uzman_E!C$13-J80))</f>
        <v>0</v>
      </c>
      <c r="L80" s="52">
        <f>IF(ISBLANK(J80),0,INDEX(Tablo_E!$B$2:$CX$102,MATCH(ROUND(Uzman_E!C$13,1),Tablo_E!$A$2:$A$102,1),MATCH(ROUND(K80,1),Tablo_E!$B$1:$CX$1,1)))</f>
        <v>0</v>
      </c>
      <c r="M80" s="55"/>
      <c r="N80" s="60">
        <f>IF(ISBLANK(M80),0,ABS(Uzman_E!D$13-M80))</f>
        <v>0</v>
      </c>
      <c r="O80" s="52">
        <f>IF(ISBLANK(M80),0,INDEX(Tablo_E!$B$2:$CX$102,MATCH(ROUND(Uzman_E!D$13,1),Tablo_E!$A$2:$A$102,1),MATCH(ROUND(N80,1),Tablo_E!$B$1:$CX$1,1)))</f>
        <v>0</v>
      </c>
      <c r="P80" s="55"/>
      <c r="Q80" s="60">
        <f>IF(ISBLANK(P80),0,ABS(Uzman_E!E$13-P80))</f>
        <v>0</v>
      </c>
      <c r="R80" s="52">
        <f>IF(ISBLANK(P80),0,INDEX(Tablo_E!$B$2:$CX$102,MATCH(ROUND(Uzman_E!E$13,1),Tablo_E!$A$2:$A$102,1),MATCH(ROUND(Q80,1),Tablo_E!$B$1:$CX$1,1)))</f>
        <v>0</v>
      </c>
      <c r="S80" s="53">
        <f t="shared" si="2"/>
        <v>0</v>
      </c>
      <c r="T80" s="49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</row>
    <row r="81" spans="1:36" ht="15" customHeight="1" x14ac:dyDescent="0.45">
      <c r="A81" s="54">
        <v>78</v>
      </c>
      <c r="B81" s="35">
        <f>Hakemler!B81</f>
        <v>0</v>
      </c>
      <c r="C81" s="82">
        <f>Hakemler!C81</f>
        <v>0</v>
      </c>
      <c r="D81" s="55"/>
      <c r="E81" s="60">
        <f>IF(ISBLANK(D81),0,ABS(Uzman_E!A$13-D81))</f>
        <v>0</v>
      </c>
      <c r="F81" s="52">
        <f>IF(ISBLANK(D81),0,INDEX(Tablo_E!$B$2:$CX$102,MATCH(ROUND(Uzman_E!A$13,1),Tablo_E!$A$2:$A$102,1),MATCH(ROUND(E81,1),Tablo_E!$B$1:$CX$1,1)))</f>
        <v>0</v>
      </c>
      <c r="G81" s="55"/>
      <c r="H81" s="60">
        <f>IF(ISBLANK(G81),0,ABS(Uzman_E!B$13-G81))</f>
        <v>0</v>
      </c>
      <c r="I81" s="52">
        <f>IF(ISBLANK(G81),0,INDEX(Tablo_E!$B$2:$CX$102,MATCH(ROUND(Uzman_E!B$13,1),Tablo_E!$A$2:$A$102,1),MATCH(ROUND(H81,1),Tablo_E!$B$1:$CX$1,1)))</f>
        <v>0</v>
      </c>
      <c r="J81" s="55"/>
      <c r="K81" s="60">
        <f>IF(ISBLANK(J81),0,ABS(Uzman_E!C$13-J81))</f>
        <v>0</v>
      </c>
      <c r="L81" s="52">
        <f>IF(ISBLANK(J81),0,INDEX(Tablo_E!$B$2:$CX$102,MATCH(ROUND(Uzman_E!C$13,1),Tablo_E!$A$2:$A$102,1),MATCH(ROUND(K81,1),Tablo_E!$B$1:$CX$1,1)))</f>
        <v>0</v>
      </c>
      <c r="M81" s="55"/>
      <c r="N81" s="60">
        <f>IF(ISBLANK(M81),0,ABS(Uzman_E!D$13-M81))</f>
        <v>0</v>
      </c>
      <c r="O81" s="52">
        <f>IF(ISBLANK(M81),0,INDEX(Tablo_E!$B$2:$CX$102,MATCH(ROUND(Uzman_E!D$13,1),Tablo_E!$A$2:$A$102,1),MATCH(ROUND(N81,1),Tablo_E!$B$1:$CX$1,1)))</f>
        <v>0</v>
      </c>
      <c r="P81" s="55"/>
      <c r="Q81" s="60">
        <f>IF(ISBLANK(P81),0,ABS(Uzman_E!E$13-P81))</f>
        <v>0</v>
      </c>
      <c r="R81" s="52">
        <f>IF(ISBLANK(P81),0,INDEX(Tablo_E!$B$2:$CX$102,MATCH(ROUND(Uzman_E!E$13,1),Tablo_E!$A$2:$A$102,1),MATCH(ROUND(Q81,1),Tablo_E!$B$1:$CX$1,1)))</f>
        <v>0</v>
      </c>
      <c r="S81" s="53">
        <f t="shared" si="2"/>
        <v>0</v>
      </c>
      <c r="T81" s="49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</row>
    <row r="82" spans="1:36" ht="15" customHeight="1" x14ac:dyDescent="0.45">
      <c r="A82" s="54">
        <v>79</v>
      </c>
      <c r="B82" s="35">
        <f>Hakemler!B82</f>
        <v>0</v>
      </c>
      <c r="C82" s="82">
        <f>Hakemler!C82</f>
        <v>0</v>
      </c>
      <c r="D82" s="55"/>
      <c r="E82" s="60">
        <f>IF(ISBLANK(D82),0,ABS(Uzman_E!A$13-D82))</f>
        <v>0</v>
      </c>
      <c r="F82" s="52">
        <f>IF(ISBLANK(D82),0,INDEX(Tablo_E!$B$2:$CX$102,MATCH(ROUND(Uzman_E!A$13,1),Tablo_E!$A$2:$A$102,1),MATCH(ROUND(E82,1),Tablo_E!$B$1:$CX$1,1)))</f>
        <v>0</v>
      </c>
      <c r="G82" s="55"/>
      <c r="H82" s="60">
        <f>IF(ISBLANK(G82),0,ABS(Uzman_E!B$13-G82))</f>
        <v>0</v>
      </c>
      <c r="I82" s="52">
        <f>IF(ISBLANK(G82),0,INDEX(Tablo_E!$B$2:$CX$102,MATCH(ROUND(Uzman_E!B$13,1),Tablo_E!$A$2:$A$102,1),MATCH(ROUND(H82,1),Tablo_E!$B$1:$CX$1,1)))</f>
        <v>0</v>
      </c>
      <c r="J82" s="55"/>
      <c r="K82" s="60">
        <f>IF(ISBLANK(J82),0,ABS(Uzman_E!C$13-J82))</f>
        <v>0</v>
      </c>
      <c r="L82" s="52">
        <f>IF(ISBLANK(J82),0,INDEX(Tablo_E!$B$2:$CX$102,MATCH(ROUND(Uzman_E!C$13,1),Tablo_E!$A$2:$A$102,1),MATCH(ROUND(K82,1),Tablo_E!$B$1:$CX$1,1)))</f>
        <v>0</v>
      </c>
      <c r="M82" s="55"/>
      <c r="N82" s="60">
        <f>IF(ISBLANK(M82),0,ABS(Uzman_E!D$13-M82))</f>
        <v>0</v>
      </c>
      <c r="O82" s="52">
        <f>IF(ISBLANK(M82),0,INDEX(Tablo_E!$B$2:$CX$102,MATCH(ROUND(Uzman_E!D$13,1),Tablo_E!$A$2:$A$102,1),MATCH(ROUND(N82,1),Tablo_E!$B$1:$CX$1,1)))</f>
        <v>0</v>
      </c>
      <c r="P82" s="55"/>
      <c r="Q82" s="60">
        <f>IF(ISBLANK(P82),0,ABS(Uzman_E!E$13-P82))</f>
        <v>0</v>
      </c>
      <c r="R82" s="52">
        <f>IF(ISBLANK(P82),0,INDEX(Tablo_E!$B$2:$CX$102,MATCH(ROUND(Uzman_E!E$13,1),Tablo_E!$A$2:$A$102,1),MATCH(ROUND(Q82,1),Tablo_E!$B$1:$CX$1,1)))</f>
        <v>0</v>
      </c>
      <c r="S82" s="53">
        <f t="shared" si="2"/>
        <v>0</v>
      </c>
      <c r="T82" s="49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</row>
    <row r="83" spans="1:36" ht="15" customHeight="1" x14ac:dyDescent="0.45">
      <c r="A83" s="54">
        <v>80</v>
      </c>
      <c r="B83" s="35">
        <f>Hakemler!B83</f>
        <v>0</v>
      </c>
      <c r="C83" s="82">
        <f>Hakemler!C83</f>
        <v>0</v>
      </c>
      <c r="D83" s="55"/>
      <c r="E83" s="60">
        <f>IF(ISBLANK(D83),0,ABS(Uzman_E!A$13-D83))</f>
        <v>0</v>
      </c>
      <c r="F83" s="52">
        <f>IF(ISBLANK(D83),0,INDEX(Tablo_E!$B$2:$CX$102,MATCH(ROUND(Uzman_E!A$13,1),Tablo_E!$A$2:$A$102,1),MATCH(ROUND(E83,1),Tablo_E!$B$1:$CX$1,1)))</f>
        <v>0</v>
      </c>
      <c r="G83" s="55"/>
      <c r="H83" s="60">
        <f>IF(ISBLANK(G83),0,ABS(Uzman_E!B$13-G83))</f>
        <v>0</v>
      </c>
      <c r="I83" s="52">
        <f>IF(ISBLANK(G83),0,INDEX(Tablo_E!$B$2:$CX$102,MATCH(ROUND(Uzman_E!B$13,1),Tablo_E!$A$2:$A$102,1),MATCH(ROUND(H83,1),Tablo_E!$B$1:$CX$1,1)))</f>
        <v>0</v>
      </c>
      <c r="J83" s="55"/>
      <c r="K83" s="60">
        <f>IF(ISBLANK(J83),0,ABS(Uzman_E!C$13-J83))</f>
        <v>0</v>
      </c>
      <c r="L83" s="52">
        <f>IF(ISBLANK(J83),0,INDEX(Tablo_E!$B$2:$CX$102,MATCH(ROUND(Uzman_E!C$13,1),Tablo_E!$A$2:$A$102,1),MATCH(ROUND(K83,1),Tablo_E!$B$1:$CX$1,1)))</f>
        <v>0</v>
      </c>
      <c r="M83" s="55"/>
      <c r="N83" s="60">
        <f>IF(ISBLANK(M83),0,ABS(Uzman_E!D$13-M83))</f>
        <v>0</v>
      </c>
      <c r="O83" s="52">
        <f>IF(ISBLANK(M83),0,INDEX(Tablo_E!$B$2:$CX$102,MATCH(ROUND(Uzman_E!D$13,1),Tablo_E!$A$2:$A$102,1),MATCH(ROUND(N83,1),Tablo_E!$B$1:$CX$1,1)))</f>
        <v>0</v>
      </c>
      <c r="P83" s="55"/>
      <c r="Q83" s="60">
        <f>IF(ISBLANK(P83),0,ABS(Uzman_E!E$13-P83))</f>
        <v>0</v>
      </c>
      <c r="R83" s="52">
        <f>IF(ISBLANK(P83),0,INDEX(Tablo_E!$B$2:$CX$102,MATCH(ROUND(Uzman_E!E$13,1),Tablo_E!$A$2:$A$102,1),MATCH(ROUND(Q83,1),Tablo_E!$B$1:$CX$1,1)))</f>
        <v>0</v>
      </c>
      <c r="S83" s="53">
        <f t="shared" si="2"/>
        <v>0</v>
      </c>
      <c r="T83" s="49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</row>
    <row r="84" spans="1:36" ht="15" customHeight="1" x14ac:dyDescent="0.45">
      <c r="A84" s="54">
        <v>81</v>
      </c>
      <c r="B84" s="35">
        <f>Hakemler!B84</f>
        <v>0</v>
      </c>
      <c r="C84" s="82">
        <f>Hakemler!C84</f>
        <v>0</v>
      </c>
      <c r="D84" s="55"/>
      <c r="E84" s="60">
        <f>IF(ISBLANK(D84),0,ABS(Uzman_E!A$13-D84))</f>
        <v>0</v>
      </c>
      <c r="F84" s="52">
        <f>IF(ISBLANK(D84),0,INDEX(Tablo_E!$B$2:$CX$102,MATCH(ROUND(Uzman_E!A$13,1),Tablo_E!$A$2:$A$102,1),MATCH(ROUND(E84,1),Tablo_E!$B$1:$CX$1,1)))</f>
        <v>0</v>
      </c>
      <c r="G84" s="55"/>
      <c r="H84" s="60">
        <f>IF(ISBLANK(G84),0,ABS(Uzman_E!B$13-G84))</f>
        <v>0</v>
      </c>
      <c r="I84" s="52">
        <f>IF(ISBLANK(G84),0,INDEX(Tablo_E!$B$2:$CX$102,MATCH(ROUND(Uzman_E!B$13,1),Tablo_E!$A$2:$A$102,1),MATCH(ROUND(H84,1),Tablo_E!$B$1:$CX$1,1)))</f>
        <v>0</v>
      </c>
      <c r="J84" s="55"/>
      <c r="K84" s="60">
        <f>IF(ISBLANK(J84),0,ABS(Uzman_E!C$13-J84))</f>
        <v>0</v>
      </c>
      <c r="L84" s="52">
        <f>IF(ISBLANK(J84),0,INDEX(Tablo_E!$B$2:$CX$102,MATCH(ROUND(Uzman_E!C$13,1),Tablo_E!$A$2:$A$102,1),MATCH(ROUND(K84,1),Tablo_E!$B$1:$CX$1,1)))</f>
        <v>0</v>
      </c>
      <c r="M84" s="55"/>
      <c r="N84" s="60">
        <f>IF(ISBLANK(M84),0,ABS(Uzman_E!D$13-M84))</f>
        <v>0</v>
      </c>
      <c r="O84" s="52">
        <f>IF(ISBLANK(M84),0,INDEX(Tablo_E!$B$2:$CX$102,MATCH(ROUND(Uzman_E!D$13,1),Tablo_E!$A$2:$A$102,1),MATCH(ROUND(N84,1),Tablo_E!$B$1:$CX$1,1)))</f>
        <v>0</v>
      </c>
      <c r="P84" s="55"/>
      <c r="Q84" s="60">
        <f>IF(ISBLANK(P84),0,ABS(Uzman_E!E$13-P84))</f>
        <v>0</v>
      </c>
      <c r="R84" s="52">
        <f>IF(ISBLANK(P84),0,INDEX(Tablo_E!$B$2:$CX$102,MATCH(ROUND(Uzman_E!E$13,1),Tablo_E!$A$2:$A$102,1),MATCH(ROUND(Q84,1),Tablo_E!$B$1:$CX$1,1)))</f>
        <v>0</v>
      </c>
      <c r="S84" s="53">
        <f t="shared" si="2"/>
        <v>0</v>
      </c>
      <c r="T84" s="49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</row>
    <row r="85" spans="1:36" ht="15" customHeight="1" x14ac:dyDescent="0.45">
      <c r="A85" s="54">
        <v>82</v>
      </c>
      <c r="B85" s="35">
        <f>Hakemler!B85</f>
        <v>0</v>
      </c>
      <c r="C85" s="82">
        <f>Hakemler!C85</f>
        <v>0</v>
      </c>
      <c r="D85" s="55"/>
      <c r="E85" s="60">
        <f>IF(ISBLANK(D85),0,ABS(Uzman_E!A$13-D85))</f>
        <v>0</v>
      </c>
      <c r="F85" s="52">
        <f>IF(ISBLANK(D85),0,INDEX(Tablo_E!$B$2:$CX$102,MATCH(ROUND(Uzman_E!A$13,1),Tablo_E!$A$2:$A$102,1),MATCH(ROUND(E85,1),Tablo_E!$B$1:$CX$1,1)))</f>
        <v>0</v>
      </c>
      <c r="G85" s="55"/>
      <c r="H85" s="60">
        <f>IF(ISBLANK(G85),0,ABS(Uzman_E!B$13-G85))</f>
        <v>0</v>
      </c>
      <c r="I85" s="52">
        <f>IF(ISBLANK(G85),0,INDEX(Tablo_E!$B$2:$CX$102,MATCH(ROUND(Uzman_E!B$13,1),Tablo_E!$A$2:$A$102,1),MATCH(ROUND(H85,1),Tablo_E!$B$1:$CX$1,1)))</f>
        <v>0</v>
      </c>
      <c r="J85" s="55"/>
      <c r="K85" s="60">
        <f>IF(ISBLANK(J85),0,ABS(Uzman_E!C$13-J85))</f>
        <v>0</v>
      </c>
      <c r="L85" s="52">
        <f>IF(ISBLANK(J85),0,INDEX(Tablo_E!$B$2:$CX$102,MATCH(ROUND(Uzman_E!C$13,1),Tablo_E!$A$2:$A$102,1),MATCH(ROUND(K85,1),Tablo_E!$B$1:$CX$1,1)))</f>
        <v>0</v>
      </c>
      <c r="M85" s="55"/>
      <c r="N85" s="60">
        <f>IF(ISBLANK(M85),0,ABS(Uzman_E!D$13-M85))</f>
        <v>0</v>
      </c>
      <c r="O85" s="52">
        <f>IF(ISBLANK(M85),0,INDEX(Tablo_E!$B$2:$CX$102,MATCH(ROUND(Uzman_E!D$13,1),Tablo_E!$A$2:$A$102,1),MATCH(ROUND(N85,1),Tablo_E!$B$1:$CX$1,1)))</f>
        <v>0</v>
      </c>
      <c r="P85" s="55"/>
      <c r="Q85" s="60">
        <f>IF(ISBLANK(P85),0,ABS(Uzman_E!E$13-P85))</f>
        <v>0</v>
      </c>
      <c r="R85" s="52">
        <f>IF(ISBLANK(P85),0,INDEX(Tablo_E!$B$2:$CX$102,MATCH(ROUND(Uzman_E!E$13,1),Tablo_E!$A$2:$A$102,1),MATCH(ROUND(Q85,1),Tablo_E!$B$1:$CX$1,1)))</f>
        <v>0</v>
      </c>
      <c r="S85" s="53">
        <f t="shared" si="2"/>
        <v>0</v>
      </c>
      <c r="T85" s="49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</row>
    <row r="86" spans="1:36" ht="15" customHeight="1" x14ac:dyDescent="0.45">
      <c r="A86" s="54">
        <v>83</v>
      </c>
      <c r="B86" s="35">
        <f>Hakemler!B86</f>
        <v>0</v>
      </c>
      <c r="C86" s="82">
        <f>Hakemler!C86</f>
        <v>0</v>
      </c>
      <c r="D86" s="55"/>
      <c r="E86" s="60">
        <f>IF(ISBLANK(D86),0,ABS(Uzman_E!A$13-D86))</f>
        <v>0</v>
      </c>
      <c r="F86" s="52">
        <f>IF(ISBLANK(D86),0,INDEX(Tablo_E!$B$2:$CX$102,MATCH(ROUND(Uzman_E!A$13,1),Tablo_E!$A$2:$A$102,1),MATCH(ROUND(E86,1),Tablo_E!$B$1:$CX$1,1)))</f>
        <v>0</v>
      </c>
      <c r="G86" s="55"/>
      <c r="H86" s="60">
        <f>IF(ISBLANK(G86),0,ABS(Uzman_E!B$13-G86))</f>
        <v>0</v>
      </c>
      <c r="I86" s="52">
        <f>IF(ISBLANK(G86),0,INDEX(Tablo_E!$B$2:$CX$102,MATCH(ROUND(Uzman_E!B$13,1),Tablo_E!$A$2:$A$102,1),MATCH(ROUND(H86,1),Tablo_E!$B$1:$CX$1,1)))</f>
        <v>0</v>
      </c>
      <c r="J86" s="55"/>
      <c r="K86" s="60">
        <f>IF(ISBLANK(J86),0,ABS(Uzman_E!C$13-J86))</f>
        <v>0</v>
      </c>
      <c r="L86" s="52">
        <f>IF(ISBLANK(J86),0,INDEX(Tablo_E!$B$2:$CX$102,MATCH(ROUND(Uzman_E!C$13,1),Tablo_E!$A$2:$A$102,1),MATCH(ROUND(K86,1),Tablo_E!$B$1:$CX$1,1)))</f>
        <v>0</v>
      </c>
      <c r="M86" s="55"/>
      <c r="N86" s="60">
        <f>IF(ISBLANK(M86),0,ABS(Uzman_E!D$13-M86))</f>
        <v>0</v>
      </c>
      <c r="O86" s="52">
        <f>IF(ISBLANK(M86),0,INDEX(Tablo_E!$B$2:$CX$102,MATCH(ROUND(Uzman_E!D$13,1),Tablo_E!$A$2:$A$102,1),MATCH(ROUND(N86,1),Tablo_E!$B$1:$CX$1,1)))</f>
        <v>0</v>
      </c>
      <c r="P86" s="55"/>
      <c r="Q86" s="60">
        <f>IF(ISBLANK(P86),0,ABS(Uzman_E!E$13-P86))</f>
        <v>0</v>
      </c>
      <c r="R86" s="52">
        <f>IF(ISBLANK(P86),0,INDEX(Tablo_E!$B$2:$CX$102,MATCH(ROUND(Uzman_E!E$13,1),Tablo_E!$A$2:$A$102,1),MATCH(ROUND(Q86,1),Tablo_E!$B$1:$CX$1,1)))</f>
        <v>0</v>
      </c>
      <c r="S86" s="53">
        <f t="shared" si="2"/>
        <v>0</v>
      </c>
      <c r="T86" s="49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</row>
    <row r="87" spans="1:36" ht="15" customHeight="1" x14ac:dyDescent="0.45">
      <c r="A87" s="54">
        <v>84</v>
      </c>
      <c r="B87" s="35">
        <f>Hakemler!B87</f>
        <v>0</v>
      </c>
      <c r="C87" s="82">
        <f>Hakemler!C87</f>
        <v>0</v>
      </c>
      <c r="D87" s="55"/>
      <c r="E87" s="60">
        <f>IF(ISBLANK(D87),0,ABS(Uzman_E!A$13-D87))</f>
        <v>0</v>
      </c>
      <c r="F87" s="52">
        <f>IF(ISBLANK(D87),0,INDEX(Tablo_E!$B$2:$CX$102,MATCH(ROUND(Uzman_E!A$13,1),Tablo_E!$A$2:$A$102,1),MATCH(ROUND(E87,1),Tablo_E!$B$1:$CX$1,1)))</f>
        <v>0</v>
      </c>
      <c r="G87" s="55"/>
      <c r="H87" s="60">
        <f>IF(ISBLANK(G87),0,ABS(Uzman_E!B$13-G87))</f>
        <v>0</v>
      </c>
      <c r="I87" s="52">
        <f>IF(ISBLANK(G87),0,INDEX(Tablo_E!$B$2:$CX$102,MATCH(ROUND(Uzman_E!B$13,1),Tablo_E!$A$2:$A$102,1),MATCH(ROUND(H87,1),Tablo_E!$B$1:$CX$1,1)))</f>
        <v>0</v>
      </c>
      <c r="J87" s="55"/>
      <c r="K87" s="60">
        <f>IF(ISBLANK(J87),0,ABS(Uzman_E!C$13-J87))</f>
        <v>0</v>
      </c>
      <c r="L87" s="52">
        <f>IF(ISBLANK(J87),0,INDEX(Tablo_E!$B$2:$CX$102,MATCH(ROUND(Uzman_E!C$13,1),Tablo_E!$A$2:$A$102,1),MATCH(ROUND(K87,1),Tablo_E!$B$1:$CX$1,1)))</f>
        <v>0</v>
      </c>
      <c r="M87" s="55"/>
      <c r="N87" s="60">
        <f>IF(ISBLANK(M87),0,ABS(Uzman_E!D$13-M87))</f>
        <v>0</v>
      </c>
      <c r="O87" s="52">
        <f>IF(ISBLANK(M87),0,INDEX(Tablo_E!$B$2:$CX$102,MATCH(ROUND(Uzman_E!D$13,1),Tablo_E!$A$2:$A$102,1),MATCH(ROUND(N87,1),Tablo_E!$B$1:$CX$1,1)))</f>
        <v>0</v>
      </c>
      <c r="P87" s="55"/>
      <c r="Q87" s="60">
        <f>IF(ISBLANK(P87),0,ABS(Uzman_E!E$13-P87))</f>
        <v>0</v>
      </c>
      <c r="R87" s="52">
        <f>IF(ISBLANK(P87),0,INDEX(Tablo_E!$B$2:$CX$102,MATCH(ROUND(Uzman_E!E$13,1),Tablo_E!$A$2:$A$102,1),MATCH(ROUND(Q87,1),Tablo_E!$B$1:$CX$1,1)))</f>
        <v>0</v>
      </c>
      <c r="S87" s="53">
        <f t="shared" si="2"/>
        <v>0</v>
      </c>
      <c r="T87" s="49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</row>
    <row r="88" spans="1:36" ht="15" customHeight="1" x14ac:dyDescent="0.45">
      <c r="A88" s="54">
        <v>85</v>
      </c>
      <c r="B88" s="35">
        <f>Hakemler!B88</f>
        <v>0</v>
      </c>
      <c r="C88" s="82">
        <f>Hakemler!C88</f>
        <v>0</v>
      </c>
      <c r="D88" s="55"/>
      <c r="E88" s="60">
        <f>IF(ISBLANK(D88),0,ABS(Uzman_E!A$13-D88))</f>
        <v>0</v>
      </c>
      <c r="F88" s="52">
        <f>IF(ISBLANK(D88),0,INDEX(Tablo_E!$B$2:$CX$102,MATCH(ROUND(Uzman_E!A$13,1),Tablo_E!$A$2:$A$102,1),MATCH(ROUND(E88,1),Tablo_E!$B$1:$CX$1,1)))</f>
        <v>0</v>
      </c>
      <c r="G88" s="55"/>
      <c r="H88" s="60">
        <f>IF(ISBLANK(G88),0,ABS(Uzman_E!B$13-G88))</f>
        <v>0</v>
      </c>
      <c r="I88" s="52">
        <f>IF(ISBLANK(G88),0,INDEX(Tablo_E!$B$2:$CX$102,MATCH(ROUND(Uzman_E!B$13,1),Tablo_E!$A$2:$A$102,1),MATCH(ROUND(H88,1),Tablo_E!$B$1:$CX$1,1)))</f>
        <v>0</v>
      </c>
      <c r="J88" s="55"/>
      <c r="K88" s="60">
        <f>IF(ISBLANK(J88),0,ABS(Uzman_E!C$13-J88))</f>
        <v>0</v>
      </c>
      <c r="L88" s="52">
        <f>IF(ISBLANK(J88),0,INDEX(Tablo_E!$B$2:$CX$102,MATCH(ROUND(Uzman_E!C$13,1),Tablo_E!$A$2:$A$102,1),MATCH(ROUND(K88,1),Tablo_E!$B$1:$CX$1,1)))</f>
        <v>0</v>
      </c>
      <c r="M88" s="55"/>
      <c r="N88" s="60">
        <f>IF(ISBLANK(M88),0,ABS(Uzman_E!D$13-M88))</f>
        <v>0</v>
      </c>
      <c r="O88" s="52">
        <f>IF(ISBLANK(M88),0,INDEX(Tablo_E!$B$2:$CX$102,MATCH(ROUND(Uzman_E!D$13,1),Tablo_E!$A$2:$A$102,1),MATCH(ROUND(N88,1),Tablo_E!$B$1:$CX$1,1)))</f>
        <v>0</v>
      </c>
      <c r="P88" s="55"/>
      <c r="Q88" s="60">
        <f>IF(ISBLANK(P88),0,ABS(Uzman_E!E$13-P88))</f>
        <v>0</v>
      </c>
      <c r="R88" s="52">
        <f>IF(ISBLANK(P88),0,INDEX(Tablo_E!$B$2:$CX$102,MATCH(ROUND(Uzman_E!E$13,1),Tablo_E!$A$2:$A$102,1),MATCH(ROUND(Q88,1),Tablo_E!$B$1:$CX$1,1)))</f>
        <v>0</v>
      </c>
      <c r="S88" s="53">
        <f t="shared" si="2"/>
        <v>0</v>
      </c>
      <c r="T88" s="49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</row>
    <row r="89" spans="1:36" ht="15" customHeight="1" x14ac:dyDescent="0.45">
      <c r="A89" s="54">
        <v>86</v>
      </c>
      <c r="B89" s="35">
        <f>Hakemler!B89</f>
        <v>0</v>
      </c>
      <c r="C89" s="82">
        <f>Hakemler!C89</f>
        <v>0</v>
      </c>
      <c r="D89" s="55"/>
      <c r="E89" s="60">
        <f>IF(ISBLANK(D89),0,ABS(Uzman_E!A$13-D89))</f>
        <v>0</v>
      </c>
      <c r="F89" s="52">
        <f>IF(ISBLANK(D89),0,INDEX(Tablo_E!$B$2:$CX$102,MATCH(ROUND(Uzman_E!A$13,1),Tablo_E!$A$2:$A$102,1),MATCH(ROUND(E89,1),Tablo_E!$B$1:$CX$1,1)))</f>
        <v>0</v>
      </c>
      <c r="G89" s="55"/>
      <c r="H89" s="60">
        <f>IF(ISBLANK(G89),0,ABS(Uzman_E!B$13-G89))</f>
        <v>0</v>
      </c>
      <c r="I89" s="52">
        <f>IF(ISBLANK(G89),0,INDEX(Tablo_E!$B$2:$CX$102,MATCH(ROUND(Uzman_E!B$13,1),Tablo_E!$A$2:$A$102,1),MATCH(ROUND(H89,1),Tablo_E!$B$1:$CX$1,1)))</f>
        <v>0</v>
      </c>
      <c r="J89" s="55"/>
      <c r="K89" s="60">
        <f>IF(ISBLANK(J89),0,ABS(Uzman_E!C$13-J89))</f>
        <v>0</v>
      </c>
      <c r="L89" s="52">
        <f>IF(ISBLANK(J89),0,INDEX(Tablo_E!$B$2:$CX$102,MATCH(ROUND(Uzman_E!C$13,1),Tablo_E!$A$2:$A$102,1),MATCH(ROUND(K89,1),Tablo_E!$B$1:$CX$1,1)))</f>
        <v>0</v>
      </c>
      <c r="M89" s="55"/>
      <c r="N89" s="60">
        <f>IF(ISBLANK(M89),0,ABS(Uzman_E!D$13-M89))</f>
        <v>0</v>
      </c>
      <c r="O89" s="52">
        <f>IF(ISBLANK(M89),0,INDEX(Tablo_E!$B$2:$CX$102,MATCH(ROUND(Uzman_E!D$13,1),Tablo_E!$A$2:$A$102,1),MATCH(ROUND(N89,1),Tablo_E!$B$1:$CX$1,1)))</f>
        <v>0</v>
      </c>
      <c r="P89" s="55"/>
      <c r="Q89" s="60">
        <f>IF(ISBLANK(P89),0,ABS(Uzman_E!E$13-P89))</f>
        <v>0</v>
      </c>
      <c r="R89" s="52">
        <f>IF(ISBLANK(P89),0,INDEX(Tablo_E!$B$2:$CX$102,MATCH(ROUND(Uzman_E!E$13,1),Tablo_E!$A$2:$A$102,1),MATCH(ROUND(Q89,1),Tablo_E!$B$1:$CX$1,1)))</f>
        <v>0</v>
      </c>
      <c r="S89" s="53">
        <f t="shared" si="2"/>
        <v>0</v>
      </c>
      <c r="T89" s="49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</row>
    <row r="90" spans="1:36" ht="15" customHeight="1" x14ac:dyDescent="0.45">
      <c r="A90" s="54">
        <v>87</v>
      </c>
      <c r="B90" s="35">
        <f>Hakemler!B90</f>
        <v>0</v>
      </c>
      <c r="C90" s="82">
        <f>Hakemler!C90</f>
        <v>0</v>
      </c>
      <c r="D90" s="55"/>
      <c r="E90" s="60">
        <f>IF(ISBLANK(D90),0,ABS(Uzman_E!A$13-D90))</f>
        <v>0</v>
      </c>
      <c r="F90" s="52">
        <f>IF(ISBLANK(D90),0,INDEX(Tablo_E!$B$2:$CX$102,MATCH(ROUND(Uzman_E!A$13,1),Tablo_E!$A$2:$A$102,1),MATCH(ROUND(E90,1),Tablo_E!$B$1:$CX$1,1)))</f>
        <v>0</v>
      </c>
      <c r="G90" s="55"/>
      <c r="H90" s="60">
        <f>IF(ISBLANK(G90),0,ABS(Uzman_E!B$13-G90))</f>
        <v>0</v>
      </c>
      <c r="I90" s="52">
        <f>IF(ISBLANK(G90),0,INDEX(Tablo_E!$B$2:$CX$102,MATCH(ROUND(Uzman_E!B$13,1),Tablo_E!$A$2:$A$102,1),MATCH(ROUND(H90,1),Tablo_E!$B$1:$CX$1,1)))</f>
        <v>0</v>
      </c>
      <c r="J90" s="55"/>
      <c r="K90" s="60">
        <f>IF(ISBLANK(J90),0,ABS(Uzman_E!C$13-J90))</f>
        <v>0</v>
      </c>
      <c r="L90" s="52">
        <f>IF(ISBLANK(J90),0,INDEX(Tablo_E!$B$2:$CX$102,MATCH(ROUND(Uzman_E!C$13,1),Tablo_E!$A$2:$A$102,1),MATCH(ROUND(K90,1),Tablo_E!$B$1:$CX$1,1)))</f>
        <v>0</v>
      </c>
      <c r="M90" s="55"/>
      <c r="N90" s="60">
        <f>IF(ISBLANK(M90),0,ABS(Uzman_E!D$13-M90))</f>
        <v>0</v>
      </c>
      <c r="O90" s="52">
        <f>IF(ISBLANK(M90),0,INDEX(Tablo_E!$B$2:$CX$102,MATCH(ROUND(Uzman_E!D$13,1),Tablo_E!$A$2:$A$102,1),MATCH(ROUND(N90,1),Tablo_E!$B$1:$CX$1,1)))</f>
        <v>0</v>
      </c>
      <c r="P90" s="55"/>
      <c r="Q90" s="60">
        <f>IF(ISBLANK(P90),0,ABS(Uzman_E!E$13-P90))</f>
        <v>0</v>
      </c>
      <c r="R90" s="52">
        <f>IF(ISBLANK(P90),0,INDEX(Tablo_E!$B$2:$CX$102,MATCH(ROUND(Uzman_E!E$13,1),Tablo_E!$A$2:$A$102,1),MATCH(ROUND(Q90,1),Tablo_E!$B$1:$CX$1,1)))</f>
        <v>0</v>
      </c>
      <c r="S90" s="53">
        <f t="shared" si="2"/>
        <v>0</v>
      </c>
      <c r="T90" s="49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</row>
    <row r="91" spans="1:36" ht="15" customHeight="1" x14ac:dyDescent="0.45">
      <c r="A91" s="54">
        <v>88</v>
      </c>
      <c r="B91" s="35">
        <f>Hakemler!B91</f>
        <v>0</v>
      </c>
      <c r="C91" s="82">
        <f>Hakemler!C91</f>
        <v>0</v>
      </c>
      <c r="D91" s="55"/>
      <c r="E91" s="60">
        <f>IF(ISBLANK(D91),0,ABS(Uzman_E!A$13-D91))</f>
        <v>0</v>
      </c>
      <c r="F91" s="52">
        <f>IF(ISBLANK(D91),0,INDEX(Tablo_E!$B$2:$CX$102,MATCH(ROUND(Uzman_E!A$13,1),Tablo_E!$A$2:$A$102,1),MATCH(ROUND(E91,1),Tablo_E!$B$1:$CX$1,1)))</f>
        <v>0</v>
      </c>
      <c r="G91" s="55"/>
      <c r="H91" s="60">
        <f>IF(ISBLANK(G91),0,ABS(Uzman_E!B$13-G91))</f>
        <v>0</v>
      </c>
      <c r="I91" s="52">
        <f>IF(ISBLANK(G91),0,INDEX(Tablo_E!$B$2:$CX$102,MATCH(ROUND(Uzman_E!B$13,1),Tablo_E!$A$2:$A$102,1),MATCH(ROUND(H91,1),Tablo_E!$B$1:$CX$1,1)))</f>
        <v>0</v>
      </c>
      <c r="J91" s="55"/>
      <c r="K91" s="60">
        <f>IF(ISBLANK(J91),0,ABS(Uzman_E!C$13-J91))</f>
        <v>0</v>
      </c>
      <c r="L91" s="52">
        <f>IF(ISBLANK(J91),0,INDEX(Tablo_E!$B$2:$CX$102,MATCH(ROUND(Uzman_E!C$13,1),Tablo_E!$A$2:$A$102,1),MATCH(ROUND(K91,1),Tablo_E!$B$1:$CX$1,1)))</f>
        <v>0</v>
      </c>
      <c r="M91" s="55"/>
      <c r="N91" s="60">
        <f>IF(ISBLANK(M91),0,ABS(Uzman_E!D$13-M91))</f>
        <v>0</v>
      </c>
      <c r="O91" s="52">
        <f>IF(ISBLANK(M91),0,INDEX(Tablo_E!$B$2:$CX$102,MATCH(ROUND(Uzman_E!D$13,1),Tablo_E!$A$2:$A$102,1),MATCH(ROUND(N91,1),Tablo_E!$B$1:$CX$1,1)))</f>
        <v>0</v>
      </c>
      <c r="P91" s="55"/>
      <c r="Q91" s="60">
        <f>IF(ISBLANK(P91),0,ABS(Uzman_E!E$13-P91))</f>
        <v>0</v>
      </c>
      <c r="R91" s="52">
        <f>IF(ISBLANK(P91),0,INDEX(Tablo_E!$B$2:$CX$102,MATCH(ROUND(Uzman_E!E$13,1),Tablo_E!$A$2:$A$102,1),MATCH(ROUND(Q91,1),Tablo_E!$B$1:$CX$1,1)))</f>
        <v>0</v>
      </c>
      <c r="S91" s="53">
        <f t="shared" si="2"/>
        <v>0</v>
      </c>
      <c r="T91" s="49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</row>
    <row r="92" spans="1:36" ht="15" customHeight="1" x14ac:dyDescent="0.45">
      <c r="A92" s="54">
        <v>89</v>
      </c>
      <c r="B92" s="35">
        <f>Hakemler!B92</f>
        <v>0</v>
      </c>
      <c r="C92" s="82">
        <f>Hakemler!C92</f>
        <v>0</v>
      </c>
      <c r="D92" s="55"/>
      <c r="E92" s="60">
        <f>IF(ISBLANK(D92),0,ABS(Uzman_E!A$13-D92))</f>
        <v>0</v>
      </c>
      <c r="F92" s="52">
        <f>IF(ISBLANK(D92),0,INDEX(Tablo_E!$B$2:$CX$102,MATCH(ROUND(Uzman_E!A$13,1),Tablo_E!$A$2:$A$102,1),MATCH(ROUND(E92,1),Tablo_E!$B$1:$CX$1,1)))</f>
        <v>0</v>
      </c>
      <c r="G92" s="55"/>
      <c r="H92" s="60">
        <f>IF(ISBLANK(G92),0,ABS(Uzman_E!B$13-G92))</f>
        <v>0</v>
      </c>
      <c r="I92" s="52">
        <f>IF(ISBLANK(G92),0,INDEX(Tablo_E!$B$2:$CX$102,MATCH(ROUND(Uzman_E!B$13,1),Tablo_E!$A$2:$A$102,1),MATCH(ROUND(H92,1),Tablo_E!$B$1:$CX$1,1)))</f>
        <v>0</v>
      </c>
      <c r="J92" s="55"/>
      <c r="K92" s="60">
        <f>IF(ISBLANK(J92),0,ABS(Uzman_E!C$13-J92))</f>
        <v>0</v>
      </c>
      <c r="L92" s="52">
        <f>IF(ISBLANK(J92),0,INDEX(Tablo_E!$B$2:$CX$102,MATCH(ROUND(Uzman_E!C$13,1),Tablo_E!$A$2:$A$102,1),MATCH(ROUND(K92,1),Tablo_E!$B$1:$CX$1,1)))</f>
        <v>0</v>
      </c>
      <c r="M92" s="55"/>
      <c r="N92" s="60">
        <f>IF(ISBLANK(M92),0,ABS(Uzman_E!D$13-M92))</f>
        <v>0</v>
      </c>
      <c r="O92" s="52">
        <f>IF(ISBLANK(M92),0,INDEX(Tablo_E!$B$2:$CX$102,MATCH(ROUND(Uzman_E!D$13,1),Tablo_E!$A$2:$A$102,1),MATCH(ROUND(N92,1),Tablo_E!$B$1:$CX$1,1)))</f>
        <v>0</v>
      </c>
      <c r="P92" s="55"/>
      <c r="Q92" s="60">
        <f>IF(ISBLANK(P92),0,ABS(Uzman_E!E$13-P92))</f>
        <v>0</v>
      </c>
      <c r="R92" s="52">
        <f>IF(ISBLANK(P92),0,INDEX(Tablo_E!$B$2:$CX$102,MATCH(ROUND(Uzman_E!E$13,1),Tablo_E!$A$2:$A$102,1),MATCH(ROUND(Q92,1),Tablo_E!$B$1:$CX$1,1)))</f>
        <v>0</v>
      </c>
      <c r="S92" s="53">
        <f t="shared" si="2"/>
        <v>0</v>
      </c>
      <c r="T92" s="49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</row>
    <row r="93" spans="1:36" ht="15" customHeight="1" x14ac:dyDescent="0.45">
      <c r="A93" s="54">
        <v>90</v>
      </c>
      <c r="B93" s="35">
        <f>Hakemler!B93</f>
        <v>0</v>
      </c>
      <c r="C93" s="82">
        <f>Hakemler!C93</f>
        <v>0</v>
      </c>
      <c r="D93" s="55"/>
      <c r="E93" s="60">
        <f>IF(ISBLANK(D93),0,ABS(Uzman_E!A$13-D93))</f>
        <v>0</v>
      </c>
      <c r="F93" s="52">
        <f>IF(ISBLANK(D93),0,INDEX(Tablo_E!$B$2:$CX$102,MATCH(ROUND(Uzman_E!A$13,1),Tablo_E!$A$2:$A$102,1),MATCH(ROUND(E93,1),Tablo_E!$B$1:$CX$1,1)))</f>
        <v>0</v>
      </c>
      <c r="G93" s="55"/>
      <c r="H93" s="60">
        <f>IF(ISBLANK(G93),0,ABS(Uzman_E!B$13-G93))</f>
        <v>0</v>
      </c>
      <c r="I93" s="52">
        <f>IF(ISBLANK(G93),0,INDEX(Tablo_E!$B$2:$CX$102,MATCH(ROUND(Uzman_E!B$13,1),Tablo_E!$A$2:$A$102,1),MATCH(ROUND(H93,1),Tablo_E!$B$1:$CX$1,1)))</f>
        <v>0</v>
      </c>
      <c r="J93" s="55"/>
      <c r="K93" s="60">
        <f>IF(ISBLANK(J93),0,ABS(Uzman_E!C$13-J93))</f>
        <v>0</v>
      </c>
      <c r="L93" s="52">
        <f>IF(ISBLANK(J93),0,INDEX(Tablo_E!$B$2:$CX$102,MATCH(ROUND(Uzman_E!C$13,1),Tablo_E!$A$2:$A$102,1),MATCH(ROUND(K93,1),Tablo_E!$B$1:$CX$1,1)))</f>
        <v>0</v>
      </c>
      <c r="M93" s="55"/>
      <c r="N93" s="60">
        <f>IF(ISBLANK(M93),0,ABS(Uzman_E!D$13-M93))</f>
        <v>0</v>
      </c>
      <c r="O93" s="52">
        <f>IF(ISBLANK(M93),0,INDEX(Tablo_E!$B$2:$CX$102,MATCH(ROUND(Uzman_E!D$13,1),Tablo_E!$A$2:$A$102,1),MATCH(ROUND(N93,1),Tablo_E!$B$1:$CX$1,1)))</f>
        <v>0</v>
      </c>
      <c r="P93" s="55"/>
      <c r="Q93" s="60">
        <f>IF(ISBLANK(P93),0,ABS(Uzman_E!E$13-P93))</f>
        <v>0</v>
      </c>
      <c r="R93" s="52">
        <f>IF(ISBLANK(P93),0,INDEX(Tablo_E!$B$2:$CX$102,MATCH(ROUND(Uzman_E!E$13,1),Tablo_E!$A$2:$A$102,1),MATCH(ROUND(Q93,1),Tablo_E!$B$1:$CX$1,1)))</f>
        <v>0</v>
      </c>
      <c r="S93" s="53">
        <f t="shared" si="2"/>
        <v>0</v>
      </c>
      <c r="T93" s="49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</row>
    <row r="94" spans="1:36" ht="15" customHeight="1" x14ac:dyDescent="0.45">
      <c r="A94" s="54">
        <v>91</v>
      </c>
      <c r="B94" s="35">
        <f>Hakemler!B94</f>
        <v>0</v>
      </c>
      <c r="C94" s="82">
        <f>Hakemler!C94</f>
        <v>0</v>
      </c>
      <c r="D94" s="55"/>
      <c r="E94" s="60">
        <f>IF(ISBLANK(D94),0,ABS(Uzman_E!A$13-D94))</f>
        <v>0</v>
      </c>
      <c r="F94" s="52">
        <f>IF(ISBLANK(D94),0,INDEX(Tablo_E!$B$2:$CX$102,MATCH(ROUND(Uzman_E!A$13,1),Tablo_E!$A$2:$A$102,1),MATCH(ROUND(E94,1),Tablo_E!$B$1:$CX$1,1)))</f>
        <v>0</v>
      </c>
      <c r="G94" s="55"/>
      <c r="H94" s="60">
        <f>IF(ISBLANK(G94),0,ABS(Uzman_E!B$13-G94))</f>
        <v>0</v>
      </c>
      <c r="I94" s="52">
        <f>IF(ISBLANK(G94),0,INDEX(Tablo_E!$B$2:$CX$102,MATCH(ROUND(Uzman_E!B$13,1),Tablo_E!$A$2:$A$102,1),MATCH(ROUND(H94,1),Tablo_E!$B$1:$CX$1,1)))</f>
        <v>0</v>
      </c>
      <c r="J94" s="55"/>
      <c r="K94" s="60">
        <f>IF(ISBLANK(J94),0,ABS(Uzman_E!C$13-J94))</f>
        <v>0</v>
      </c>
      <c r="L94" s="52">
        <f>IF(ISBLANK(J94),0,INDEX(Tablo_E!$B$2:$CX$102,MATCH(ROUND(Uzman_E!C$13,1),Tablo_E!$A$2:$A$102,1),MATCH(ROUND(K94,1),Tablo_E!$B$1:$CX$1,1)))</f>
        <v>0</v>
      </c>
      <c r="M94" s="55"/>
      <c r="N94" s="60">
        <f>IF(ISBLANK(M94),0,ABS(Uzman_E!D$13-M94))</f>
        <v>0</v>
      </c>
      <c r="O94" s="52">
        <f>IF(ISBLANK(M94),0,INDEX(Tablo_E!$B$2:$CX$102,MATCH(ROUND(Uzman_E!D$13,1),Tablo_E!$A$2:$A$102,1),MATCH(ROUND(N94,1),Tablo_E!$B$1:$CX$1,1)))</f>
        <v>0</v>
      </c>
      <c r="P94" s="55"/>
      <c r="Q94" s="60">
        <f>IF(ISBLANK(P94),0,ABS(Uzman_E!E$13-P94))</f>
        <v>0</v>
      </c>
      <c r="R94" s="52">
        <f>IF(ISBLANK(P94),0,INDEX(Tablo_E!$B$2:$CX$102,MATCH(ROUND(Uzman_E!E$13,1),Tablo_E!$A$2:$A$102,1),MATCH(ROUND(Q94,1),Tablo_E!$B$1:$CX$1,1)))</f>
        <v>0</v>
      </c>
      <c r="S94" s="53">
        <f t="shared" si="2"/>
        <v>0</v>
      </c>
      <c r="T94" s="49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</row>
    <row r="95" spans="1:36" ht="15" customHeight="1" x14ac:dyDescent="0.45">
      <c r="A95" s="54">
        <v>92</v>
      </c>
      <c r="B95" s="35">
        <f>Hakemler!B95</f>
        <v>0</v>
      </c>
      <c r="C95" s="82">
        <f>Hakemler!C95</f>
        <v>0</v>
      </c>
      <c r="D95" s="55"/>
      <c r="E95" s="60">
        <f>IF(ISBLANK(D95),0,ABS(Uzman_E!A$13-D95))</f>
        <v>0</v>
      </c>
      <c r="F95" s="52">
        <f>IF(ISBLANK(D95),0,INDEX(Tablo_E!$B$2:$CX$102,MATCH(ROUND(Uzman_E!A$13,1),Tablo_E!$A$2:$A$102,1),MATCH(ROUND(E95,1),Tablo_E!$B$1:$CX$1,1)))</f>
        <v>0</v>
      </c>
      <c r="G95" s="55"/>
      <c r="H95" s="60">
        <f>IF(ISBLANK(G95),0,ABS(Uzman_E!B$13-G95))</f>
        <v>0</v>
      </c>
      <c r="I95" s="52">
        <f>IF(ISBLANK(G95),0,INDEX(Tablo_E!$B$2:$CX$102,MATCH(ROUND(Uzman_E!B$13,1),Tablo_E!$A$2:$A$102,1),MATCH(ROUND(H95,1),Tablo_E!$B$1:$CX$1,1)))</f>
        <v>0</v>
      </c>
      <c r="J95" s="55"/>
      <c r="K95" s="60">
        <f>IF(ISBLANK(J95),0,ABS(Uzman_E!C$13-J95))</f>
        <v>0</v>
      </c>
      <c r="L95" s="52">
        <f>IF(ISBLANK(J95),0,INDEX(Tablo_E!$B$2:$CX$102,MATCH(ROUND(Uzman_E!C$13,1),Tablo_E!$A$2:$A$102,1),MATCH(ROUND(K95,1),Tablo_E!$B$1:$CX$1,1)))</f>
        <v>0</v>
      </c>
      <c r="M95" s="55"/>
      <c r="N95" s="60">
        <f>IF(ISBLANK(M95),0,ABS(Uzman_E!D$13-M95))</f>
        <v>0</v>
      </c>
      <c r="O95" s="52">
        <f>IF(ISBLANK(M95),0,INDEX(Tablo_E!$B$2:$CX$102,MATCH(ROUND(Uzman_E!D$13,1),Tablo_E!$A$2:$A$102,1),MATCH(ROUND(N95,1),Tablo_E!$B$1:$CX$1,1)))</f>
        <v>0</v>
      </c>
      <c r="P95" s="55"/>
      <c r="Q95" s="60">
        <f>IF(ISBLANK(P95),0,ABS(Uzman_E!E$13-P95))</f>
        <v>0</v>
      </c>
      <c r="R95" s="52">
        <f>IF(ISBLANK(P95),0,INDEX(Tablo_E!$B$2:$CX$102,MATCH(ROUND(Uzman_E!E$13,1),Tablo_E!$A$2:$A$102,1),MATCH(ROUND(Q95,1),Tablo_E!$B$1:$CX$1,1)))</f>
        <v>0</v>
      </c>
      <c r="S95" s="53">
        <f t="shared" si="2"/>
        <v>0</v>
      </c>
      <c r="T95" s="49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</row>
    <row r="96" spans="1:36" ht="15" customHeight="1" x14ac:dyDescent="0.45">
      <c r="A96" s="54">
        <v>93</v>
      </c>
      <c r="B96" s="35">
        <f>Hakemler!B96</f>
        <v>0</v>
      </c>
      <c r="C96" s="82">
        <f>Hakemler!C96</f>
        <v>0</v>
      </c>
      <c r="D96" s="55"/>
      <c r="E96" s="60">
        <f>IF(ISBLANK(D96),0,ABS(Uzman_E!A$13-D96))</f>
        <v>0</v>
      </c>
      <c r="F96" s="52">
        <f>IF(ISBLANK(D96),0,INDEX(Tablo_E!$B$2:$CX$102,MATCH(ROUND(Uzman_E!A$13,1),Tablo_E!$A$2:$A$102,1),MATCH(ROUND(E96,1),Tablo_E!$B$1:$CX$1,1)))</f>
        <v>0</v>
      </c>
      <c r="G96" s="55"/>
      <c r="H96" s="60">
        <f>IF(ISBLANK(G96),0,ABS(Uzman_E!B$13-G96))</f>
        <v>0</v>
      </c>
      <c r="I96" s="52">
        <f>IF(ISBLANK(G96),0,INDEX(Tablo_E!$B$2:$CX$102,MATCH(ROUND(Uzman_E!B$13,1),Tablo_E!$A$2:$A$102,1),MATCH(ROUND(H96,1),Tablo_E!$B$1:$CX$1,1)))</f>
        <v>0</v>
      </c>
      <c r="J96" s="55"/>
      <c r="K96" s="60">
        <f>IF(ISBLANK(J96),0,ABS(Uzman_E!C$13-J96))</f>
        <v>0</v>
      </c>
      <c r="L96" s="52">
        <f>IF(ISBLANK(J96),0,INDEX(Tablo_E!$B$2:$CX$102,MATCH(ROUND(Uzman_E!C$13,1),Tablo_E!$A$2:$A$102,1),MATCH(ROUND(K96,1),Tablo_E!$B$1:$CX$1,1)))</f>
        <v>0</v>
      </c>
      <c r="M96" s="55"/>
      <c r="N96" s="60">
        <f>IF(ISBLANK(M96),0,ABS(Uzman_E!D$13-M96))</f>
        <v>0</v>
      </c>
      <c r="O96" s="52">
        <f>IF(ISBLANK(M96),0,INDEX(Tablo_E!$B$2:$CX$102,MATCH(ROUND(Uzman_E!D$13,1),Tablo_E!$A$2:$A$102,1),MATCH(ROUND(N96,1),Tablo_E!$B$1:$CX$1,1)))</f>
        <v>0</v>
      </c>
      <c r="P96" s="55"/>
      <c r="Q96" s="60">
        <f>IF(ISBLANK(P96),0,ABS(Uzman_E!E$13-P96))</f>
        <v>0</v>
      </c>
      <c r="R96" s="52">
        <f>IF(ISBLANK(P96),0,INDEX(Tablo_E!$B$2:$CX$102,MATCH(ROUND(Uzman_E!E$13,1),Tablo_E!$A$2:$A$102,1),MATCH(ROUND(Q96,1),Tablo_E!$B$1:$CX$1,1)))</f>
        <v>0</v>
      </c>
      <c r="S96" s="53">
        <f t="shared" si="2"/>
        <v>0</v>
      </c>
      <c r="T96" s="49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</row>
    <row r="97" spans="1:36" ht="15" customHeight="1" x14ac:dyDescent="0.45">
      <c r="A97" s="54">
        <v>94</v>
      </c>
      <c r="B97" s="35">
        <f>Hakemler!B97</f>
        <v>0</v>
      </c>
      <c r="C97" s="82">
        <f>Hakemler!C97</f>
        <v>0</v>
      </c>
      <c r="D97" s="55"/>
      <c r="E97" s="60">
        <f>IF(ISBLANK(D97),0,ABS(Uzman_E!A$13-D97))</f>
        <v>0</v>
      </c>
      <c r="F97" s="52">
        <f>IF(ISBLANK(D97),0,INDEX(Tablo_E!$B$2:$CX$102,MATCH(ROUND(Uzman_E!A$13,1),Tablo_E!$A$2:$A$102,1),MATCH(ROUND(E97,1),Tablo_E!$B$1:$CX$1,1)))</f>
        <v>0</v>
      </c>
      <c r="G97" s="55"/>
      <c r="H97" s="60">
        <f>IF(ISBLANK(G97),0,ABS(Uzman_E!B$13-G97))</f>
        <v>0</v>
      </c>
      <c r="I97" s="52">
        <f>IF(ISBLANK(G97),0,INDEX(Tablo_E!$B$2:$CX$102,MATCH(ROUND(Uzman_E!B$13,1),Tablo_E!$A$2:$A$102,1),MATCH(ROUND(H97,1),Tablo_E!$B$1:$CX$1,1)))</f>
        <v>0</v>
      </c>
      <c r="J97" s="55"/>
      <c r="K97" s="60">
        <f>IF(ISBLANK(J97),0,ABS(Uzman_E!C$13-J97))</f>
        <v>0</v>
      </c>
      <c r="L97" s="52">
        <f>IF(ISBLANK(J97),0,INDEX(Tablo_E!$B$2:$CX$102,MATCH(ROUND(Uzman_E!C$13,1),Tablo_E!$A$2:$A$102,1),MATCH(ROUND(K97,1),Tablo_E!$B$1:$CX$1,1)))</f>
        <v>0</v>
      </c>
      <c r="M97" s="55"/>
      <c r="N97" s="60">
        <f>IF(ISBLANK(M97),0,ABS(Uzman_E!D$13-M97))</f>
        <v>0</v>
      </c>
      <c r="O97" s="52">
        <f>IF(ISBLANK(M97),0,INDEX(Tablo_E!$B$2:$CX$102,MATCH(ROUND(Uzman_E!D$13,1),Tablo_E!$A$2:$A$102,1),MATCH(ROUND(N97,1),Tablo_E!$B$1:$CX$1,1)))</f>
        <v>0</v>
      </c>
      <c r="P97" s="55"/>
      <c r="Q97" s="60">
        <f>IF(ISBLANK(P97),0,ABS(Uzman_E!E$13-P97))</f>
        <v>0</v>
      </c>
      <c r="R97" s="52">
        <f>IF(ISBLANK(P97),0,INDEX(Tablo_E!$B$2:$CX$102,MATCH(ROUND(Uzman_E!E$13,1),Tablo_E!$A$2:$A$102,1),MATCH(ROUND(Q97,1),Tablo_E!$B$1:$CX$1,1)))</f>
        <v>0</v>
      </c>
      <c r="S97" s="53">
        <f t="shared" si="2"/>
        <v>0</v>
      </c>
      <c r="T97" s="49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</row>
    <row r="98" spans="1:36" ht="15" customHeight="1" x14ac:dyDescent="0.45">
      <c r="A98" s="54">
        <v>95</v>
      </c>
      <c r="B98" s="35">
        <f>Hakemler!B98</f>
        <v>0</v>
      </c>
      <c r="C98" s="82">
        <f>Hakemler!C98</f>
        <v>0</v>
      </c>
      <c r="D98" s="55"/>
      <c r="E98" s="60">
        <f>IF(ISBLANK(D98),0,ABS(Uzman_E!A$13-D98))</f>
        <v>0</v>
      </c>
      <c r="F98" s="52">
        <f>IF(ISBLANK(D98),0,INDEX(Tablo_E!$B$2:$CX$102,MATCH(ROUND(Uzman_E!A$13,1),Tablo_E!$A$2:$A$102,1),MATCH(ROUND(E98,1),Tablo_E!$B$1:$CX$1,1)))</f>
        <v>0</v>
      </c>
      <c r="G98" s="55"/>
      <c r="H98" s="60">
        <f>IF(ISBLANK(G98),0,ABS(Uzman_E!B$13-G98))</f>
        <v>0</v>
      </c>
      <c r="I98" s="52">
        <f>IF(ISBLANK(G98),0,INDEX(Tablo_E!$B$2:$CX$102,MATCH(ROUND(Uzman_E!B$13,1),Tablo_E!$A$2:$A$102,1),MATCH(ROUND(H98,1),Tablo_E!$B$1:$CX$1,1)))</f>
        <v>0</v>
      </c>
      <c r="J98" s="55"/>
      <c r="K98" s="60">
        <f>IF(ISBLANK(J98),0,ABS(Uzman_E!C$13-J98))</f>
        <v>0</v>
      </c>
      <c r="L98" s="52">
        <f>IF(ISBLANK(J98),0,INDEX(Tablo_E!$B$2:$CX$102,MATCH(ROUND(Uzman_E!C$13,1),Tablo_E!$A$2:$A$102,1),MATCH(ROUND(K98,1),Tablo_E!$B$1:$CX$1,1)))</f>
        <v>0</v>
      </c>
      <c r="M98" s="55"/>
      <c r="N98" s="60">
        <f>IF(ISBLANK(M98),0,ABS(Uzman_E!D$13-M98))</f>
        <v>0</v>
      </c>
      <c r="O98" s="52">
        <f>IF(ISBLANK(M98),0,INDEX(Tablo_E!$B$2:$CX$102,MATCH(ROUND(Uzman_E!D$13,1),Tablo_E!$A$2:$A$102,1),MATCH(ROUND(N98,1),Tablo_E!$B$1:$CX$1,1)))</f>
        <v>0</v>
      </c>
      <c r="P98" s="55"/>
      <c r="Q98" s="60">
        <f>IF(ISBLANK(P98),0,ABS(Uzman_E!E$13-P98))</f>
        <v>0</v>
      </c>
      <c r="R98" s="52">
        <f>IF(ISBLANK(P98),0,INDEX(Tablo_E!$B$2:$CX$102,MATCH(ROUND(Uzman_E!E$13,1),Tablo_E!$A$2:$A$102,1),MATCH(ROUND(Q98,1),Tablo_E!$B$1:$CX$1,1)))</f>
        <v>0</v>
      </c>
      <c r="S98" s="53">
        <f t="shared" si="2"/>
        <v>0</v>
      </c>
      <c r="T98" s="49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</row>
    <row r="99" spans="1:36" ht="15" customHeight="1" x14ac:dyDescent="0.45">
      <c r="A99" s="54">
        <v>96</v>
      </c>
      <c r="B99" s="35">
        <f>Hakemler!B99</f>
        <v>0</v>
      </c>
      <c r="C99" s="82">
        <f>Hakemler!C99</f>
        <v>0</v>
      </c>
      <c r="D99" s="55"/>
      <c r="E99" s="60">
        <f>IF(ISBLANK(D99),0,ABS(Uzman_E!A$13-D99))</f>
        <v>0</v>
      </c>
      <c r="F99" s="52">
        <f>IF(ISBLANK(D99),0,INDEX(Tablo_E!$B$2:$CX$102,MATCH(ROUND(Uzman_E!A$13,1),Tablo_E!$A$2:$A$102,1),MATCH(ROUND(E99,1),Tablo_E!$B$1:$CX$1,1)))</f>
        <v>0</v>
      </c>
      <c r="G99" s="55"/>
      <c r="H99" s="60">
        <f>IF(ISBLANK(G99),0,ABS(Uzman_E!B$13-G99))</f>
        <v>0</v>
      </c>
      <c r="I99" s="52">
        <f>IF(ISBLANK(G99),0,INDEX(Tablo_E!$B$2:$CX$102,MATCH(ROUND(Uzman_E!B$13,1),Tablo_E!$A$2:$A$102,1),MATCH(ROUND(H99,1),Tablo_E!$B$1:$CX$1,1)))</f>
        <v>0</v>
      </c>
      <c r="J99" s="55"/>
      <c r="K99" s="60">
        <f>IF(ISBLANK(J99),0,ABS(Uzman_E!C$13-J99))</f>
        <v>0</v>
      </c>
      <c r="L99" s="52">
        <f>IF(ISBLANK(J99),0,INDEX(Tablo_E!$B$2:$CX$102,MATCH(ROUND(Uzman_E!C$13,1),Tablo_E!$A$2:$A$102,1),MATCH(ROUND(K99,1),Tablo_E!$B$1:$CX$1,1)))</f>
        <v>0</v>
      </c>
      <c r="M99" s="55"/>
      <c r="N99" s="60">
        <f>IF(ISBLANK(M99),0,ABS(Uzman_E!D$13-M99))</f>
        <v>0</v>
      </c>
      <c r="O99" s="52">
        <f>IF(ISBLANK(M99),0,INDEX(Tablo_E!$B$2:$CX$102,MATCH(ROUND(Uzman_E!D$13,1),Tablo_E!$A$2:$A$102,1),MATCH(ROUND(N99,1),Tablo_E!$B$1:$CX$1,1)))</f>
        <v>0</v>
      </c>
      <c r="P99" s="55"/>
      <c r="Q99" s="60">
        <f>IF(ISBLANK(P99),0,ABS(Uzman_E!E$13-P99))</f>
        <v>0</v>
      </c>
      <c r="R99" s="52">
        <f>IF(ISBLANK(P99),0,INDEX(Tablo_E!$B$2:$CX$102,MATCH(ROUND(Uzman_E!E$13,1),Tablo_E!$A$2:$A$102,1),MATCH(ROUND(Q99,1),Tablo_E!$B$1:$CX$1,1)))</f>
        <v>0</v>
      </c>
      <c r="S99" s="53">
        <f t="shared" si="2"/>
        <v>0</v>
      </c>
      <c r="T99" s="49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</row>
    <row r="100" spans="1:36" ht="15" customHeight="1" x14ac:dyDescent="0.45">
      <c r="A100" s="54">
        <v>97</v>
      </c>
      <c r="B100" s="35">
        <f>Hakemler!B100</f>
        <v>0</v>
      </c>
      <c r="C100" s="82">
        <f>Hakemler!C100</f>
        <v>0</v>
      </c>
      <c r="D100" s="55"/>
      <c r="E100" s="60">
        <f>IF(ISBLANK(D100),0,ABS(Uzman_E!A$13-D100))</f>
        <v>0</v>
      </c>
      <c r="F100" s="52">
        <f>IF(ISBLANK(D100),0,INDEX(Tablo_E!$B$2:$CX$102,MATCH(ROUND(Uzman_E!A$13,1),Tablo_E!$A$2:$A$102,1),MATCH(ROUND(E100,1),Tablo_E!$B$1:$CX$1,1)))</f>
        <v>0</v>
      </c>
      <c r="G100" s="55"/>
      <c r="H100" s="60">
        <f>IF(ISBLANK(G100),0,ABS(Uzman_E!B$13-G100))</f>
        <v>0</v>
      </c>
      <c r="I100" s="52">
        <f>IF(ISBLANK(G100),0,INDEX(Tablo_E!$B$2:$CX$102,MATCH(ROUND(Uzman_E!B$13,1),Tablo_E!$A$2:$A$102,1),MATCH(ROUND(H100,1),Tablo_E!$B$1:$CX$1,1)))</f>
        <v>0</v>
      </c>
      <c r="J100" s="55"/>
      <c r="K100" s="60">
        <f>IF(ISBLANK(J100),0,ABS(Uzman_E!C$13-J100))</f>
        <v>0</v>
      </c>
      <c r="L100" s="52">
        <f>IF(ISBLANK(J100),0,INDEX(Tablo_E!$B$2:$CX$102,MATCH(ROUND(Uzman_E!C$13,1),Tablo_E!$A$2:$A$102,1),MATCH(ROUND(K100,1),Tablo_E!$B$1:$CX$1,1)))</f>
        <v>0</v>
      </c>
      <c r="M100" s="55"/>
      <c r="N100" s="60">
        <f>IF(ISBLANK(M100),0,ABS(Uzman_E!D$13-M100))</f>
        <v>0</v>
      </c>
      <c r="O100" s="52">
        <f>IF(ISBLANK(M100),0,INDEX(Tablo_E!$B$2:$CX$102,MATCH(ROUND(Uzman_E!D$13,1),Tablo_E!$A$2:$A$102,1),MATCH(ROUND(N100,1),Tablo_E!$B$1:$CX$1,1)))</f>
        <v>0</v>
      </c>
      <c r="P100" s="55"/>
      <c r="Q100" s="60">
        <f>IF(ISBLANK(P100),0,ABS(Uzman_E!E$13-P100))</f>
        <v>0</v>
      </c>
      <c r="R100" s="52">
        <f>IF(ISBLANK(P100),0,INDEX(Tablo_E!$B$2:$CX$102,MATCH(ROUND(Uzman_E!E$13,1),Tablo_E!$A$2:$A$102,1),MATCH(ROUND(Q100,1),Tablo_E!$B$1:$CX$1,1)))</f>
        <v>0</v>
      </c>
      <c r="S100" s="53">
        <f t="shared" ref="S100:S103" si="3">(F100+I100+L100+O100+R100)/5</f>
        <v>0</v>
      </c>
      <c r="T100" s="49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</row>
    <row r="101" spans="1:36" ht="15" customHeight="1" x14ac:dyDescent="0.45">
      <c r="A101" s="54">
        <v>98</v>
      </c>
      <c r="B101" s="35">
        <f>Hakemler!B101</f>
        <v>0</v>
      </c>
      <c r="C101" s="82">
        <f>Hakemler!C101</f>
        <v>0</v>
      </c>
      <c r="D101" s="55"/>
      <c r="E101" s="60">
        <f>IF(ISBLANK(D101),0,ABS(Uzman_E!A$13-D101))</f>
        <v>0</v>
      </c>
      <c r="F101" s="52">
        <f>IF(ISBLANK(D101),0,INDEX(Tablo_E!$B$2:$CX$102,MATCH(ROUND(Uzman_E!A$13,1),Tablo_E!$A$2:$A$102,1),MATCH(ROUND(E101,1),Tablo_E!$B$1:$CX$1,1)))</f>
        <v>0</v>
      </c>
      <c r="G101" s="55"/>
      <c r="H101" s="60">
        <f>IF(ISBLANK(G101),0,ABS(Uzman_E!B$13-G101))</f>
        <v>0</v>
      </c>
      <c r="I101" s="52">
        <f>IF(ISBLANK(G101),0,INDEX(Tablo_E!$B$2:$CX$102,MATCH(ROUND(Uzman_E!B$13,1),Tablo_E!$A$2:$A$102,1),MATCH(ROUND(H101,1),Tablo_E!$B$1:$CX$1,1)))</f>
        <v>0</v>
      </c>
      <c r="J101" s="55"/>
      <c r="K101" s="60">
        <f>IF(ISBLANK(J101),0,ABS(Uzman_E!C$13-J101))</f>
        <v>0</v>
      </c>
      <c r="L101" s="52">
        <f>IF(ISBLANK(J101),0,INDEX(Tablo_E!$B$2:$CX$102,MATCH(ROUND(Uzman_E!C$13,1),Tablo_E!$A$2:$A$102,1),MATCH(ROUND(K101,1),Tablo_E!$B$1:$CX$1,1)))</f>
        <v>0</v>
      </c>
      <c r="M101" s="55"/>
      <c r="N101" s="60">
        <f>IF(ISBLANK(M101),0,ABS(Uzman_E!D$13-M101))</f>
        <v>0</v>
      </c>
      <c r="O101" s="52">
        <f>IF(ISBLANK(M101),0,INDEX(Tablo_E!$B$2:$CX$102,MATCH(ROUND(Uzman_E!D$13,1),Tablo_E!$A$2:$A$102,1),MATCH(ROUND(N101,1),Tablo_E!$B$1:$CX$1,1)))</f>
        <v>0</v>
      </c>
      <c r="P101" s="55"/>
      <c r="Q101" s="60">
        <f>IF(ISBLANK(P101),0,ABS(Uzman_E!E$13-P101))</f>
        <v>0</v>
      </c>
      <c r="R101" s="52">
        <f>IF(ISBLANK(P101),0,INDEX(Tablo_E!$B$2:$CX$102,MATCH(ROUND(Uzman_E!E$13,1),Tablo_E!$A$2:$A$102,1),MATCH(ROUND(Q101,1),Tablo_E!$B$1:$CX$1,1)))</f>
        <v>0</v>
      </c>
      <c r="S101" s="53">
        <f t="shared" si="3"/>
        <v>0</v>
      </c>
      <c r="T101" s="49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</row>
    <row r="102" spans="1:36" ht="15" customHeight="1" x14ac:dyDescent="0.45">
      <c r="A102" s="54">
        <v>99</v>
      </c>
      <c r="B102" s="35">
        <f>Hakemler!B102</f>
        <v>0</v>
      </c>
      <c r="C102" s="82">
        <f>Hakemler!C102</f>
        <v>0</v>
      </c>
      <c r="D102" s="55"/>
      <c r="E102" s="60">
        <f>IF(ISBLANK(D102),0,ABS(Uzman_E!A$13-D102))</f>
        <v>0</v>
      </c>
      <c r="F102" s="52">
        <f>IF(ISBLANK(D102),0,INDEX(Tablo_E!$B$2:$CX$102,MATCH(ROUND(Uzman_E!A$13,1),Tablo_E!$A$2:$A$102,1),MATCH(ROUND(E102,1),Tablo_E!$B$1:$CX$1,1)))</f>
        <v>0</v>
      </c>
      <c r="G102" s="55"/>
      <c r="H102" s="60">
        <f>IF(ISBLANK(G102),0,ABS(Uzman_E!B$13-G102))</f>
        <v>0</v>
      </c>
      <c r="I102" s="52">
        <f>IF(ISBLANK(G102),0,INDEX(Tablo_E!$B$2:$CX$102,MATCH(ROUND(Uzman_E!B$13,1),Tablo_E!$A$2:$A$102,1),MATCH(ROUND(H102,1),Tablo_E!$B$1:$CX$1,1)))</f>
        <v>0</v>
      </c>
      <c r="J102" s="55"/>
      <c r="K102" s="60">
        <f>IF(ISBLANK(J102),0,ABS(Uzman_E!C$13-J102))</f>
        <v>0</v>
      </c>
      <c r="L102" s="52">
        <f>IF(ISBLANK(J102),0,INDEX(Tablo_E!$B$2:$CX$102,MATCH(ROUND(Uzman_E!C$13,1),Tablo_E!$A$2:$A$102,1),MATCH(ROUND(K102,1),Tablo_E!$B$1:$CX$1,1)))</f>
        <v>0</v>
      </c>
      <c r="M102" s="55"/>
      <c r="N102" s="60">
        <f>IF(ISBLANK(M102),0,ABS(Uzman_E!D$13-M102))</f>
        <v>0</v>
      </c>
      <c r="O102" s="52">
        <f>IF(ISBLANK(M102),0,INDEX(Tablo_E!$B$2:$CX$102,MATCH(ROUND(Uzman_E!D$13,1),Tablo_E!$A$2:$A$102,1),MATCH(ROUND(N102,1),Tablo_E!$B$1:$CX$1,1)))</f>
        <v>0</v>
      </c>
      <c r="P102" s="55"/>
      <c r="Q102" s="60">
        <f>IF(ISBLANK(P102),0,ABS(Uzman_E!E$13-P102))</f>
        <v>0</v>
      </c>
      <c r="R102" s="52">
        <f>IF(ISBLANK(P102),0,INDEX(Tablo_E!$B$2:$CX$102,MATCH(ROUND(Uzman_E!E$13,1),Tablo_E!$A$2:$A$102,1),MATCH(ROUND(Q102,1),Tablo_E!$B$1:$CX$1,1)))</f>
        <v>0</v>
      </c>
      <c r="S102" s="53">
        <f t="shared" si="3"/>
        <v>0</v>
      </c>
      <c r="T102" s="49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</row>
    <row r="103" spans="1:36" ht="15" customHeight="1" x14ac:dyDescent="0.45">
      <c r="A103" s="54">
        <v>100</v>
      </c>
      <c r="B103" s="35">
        <f>Hakemler!B103</f>
        <v>0</v>
      </c>
      <c r="C103" s="82">
        <f>Hakemler!C103</f>
        <v>0</v>
      </c>
      <c r="D103" s="55"/>
      <c r="E103" s="62">
        <f>IF(ISBLANK(D103),0,ABS(Uzman_E!A$13-D103))</f>
        <v>0</v>
      </c>
      <c r="F103" s="57">
        <f>IF(ISBLANK(D103),0,INDEX(Tablo_E!$B$2:$CX$102,MATCH(ROUND(Uzman_E!A$13,1),Tablo_E!$A$2:$A$102,1),MATCH(ROUND(E103,1),Tablo_E!$B$1:$CX$1,1)))</f>
        <v>0</v>
      </c>
      <c r="G103" s="55"/>
      <c r="H103" s="62">
        <f>IF(ISBLANK(G103),0,ABS(Uzman_E!B$13-G103))</f>
        <v>0</v>
      </c>
      <c r="I103" s="57">
        <f>IF(ISBLANK(G103),0,INDEX(Tablo_E!$B$2:$CX$102,MATCH(ROUND(Uzman_E!B$13,1),Tablo_E!$A$2:$A$102,1),MATCH(ROUND(H103,1),Tablo_E!$B$1:$CX$1,1)))</f>
        <v>0</v>
      </c>
      <c r="J103" s="55"/>
      <c r="K103" s="62">
        <f>IF(ISBLANK(J103),0,ABS(Uzman_E!C$13-J103))</f>
        <v>0</v>
      </c>
      <c r="L103" s="57">
        <f>IF(ISBLANK(J103),0,INDEX(Tablo_E!$B$2:$CX$102,MATCH(ROUND(Uzman_E!C$13,1),Tablo_E!$A$2:$A$102,1),MATCH(ROUND(K103,1),Tablo_E!$B$1:$CX$1,1)))</f>
        <v>0</v>
      </c>
      <c r="M103" s="55"/>
      <c r="N103" s="62">
        <f>IF(ISBLANK(M103),0,ABS(Uzman_E!D$13-M103))</f>
        <v>0</v>
      </c>
      <c r="O103" s="57">
        <f>IF(ISBLANK(M103),0,INDEX(Tablo_E!$B$2:$CX$102,MATCH(ROUND(Uzman_E!D$13,1),Tablo_E!$A$2:$A$102,1),MATCH(ROUND(N103,1),Tablo_E!$B$1:$CX$1,1)))</f>
        <v>0</v>
      </c>
      <c r="P103" s="55"/>
      <c r="Q103" s="62">
        <f>IF(ISBLANK(P103),0,ABS(Uzman_E!E$13-P103))</f>
        <v>0</v>
      </c>
      <c r="R103" s="57">
        <f>IF(ISBLANK(P103),0,INDEX(Tablo_E!$B$2:$CX$102,MATCH(ROUND(Uzman_E!E$13,1),Tablo_E!$A$2:$A$102,1),MATCH(ROUND(Q103,1),Tablo_E!$B$1:$CX$1,1)))</f>
        <v>0</v>
      </c>
      <c r="S103" s="58">
        <f t="shared" si="3"/>
        <v>0</v>
      </c>
      <c r="T103" s="49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</row>
  </sheetData>
  <mergeCells count="9">
    <mergeCell ref="P2:R2"/>
    <mergeCell ref="G2:I2"/>
    <mergeCell ref="A1:S1"/>
    <mergeCell ref="B2:B3"/>
    <mergeCell ref="M2:O2"/>
    <mergeCell ref="C2:C3"/>
    <mergeCell ref="A2:A3"/>
    <mergeCell ref="D2:F2"/>
    <mergeCell ref="J2:L2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03"/>
  <sheetViews>
    <sheetView showGridLines="0" tabSelected="1" topLeftCell="A22" workbookViewId="0">
      <selection activeCell="J33" sqref="J33"/>
    </sheetView>
  </sheetViews>
  <sheetFormatPr defaultColWidth="8.796875" defaultRowHeight="15" customHeight="1" x14ac:dyDescent="0.45"/>
  <cols>
    <col min="1" max="1" width="3.46484375" style="1" customWidth="1"/>
    <col min="2" max="2" width="16.46484375" style="1" bestFit="1" customWidth="1"/>
    <col min="3" max="3" width="13.46484375" style="1" customWidth="1"/>
    <col min="4" max="11" width="8.46484375" style="1" customWidth="1"/>
    <col min="12" max="13" width="10.46484375" style="1" customWidth="1"/>
    <col min="14" max="256" width="8.86328125" style="1" customWidth="1"/>
  </cols>
  <sheetData>
    <row r="1" spans="1:13" ht="18.75" customHeight="1" x14ac:dyDescent="0.45">
      <c r="A1" s="232" t="s">
        <v>90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4"/>
    </row>
    <row r="2" spans="1:13" ht="15.75" customHeight="1" x14ac:dyDescent="0.45">
      <c r="A2" s="83" t="s">
        <v>9</v>
      </c>
      <c r="B2" s="83" t="s">
        <v>10</v>
      </c>
      <c r="C2" s="83" t="s">
        <v>11</v>
      </c>
      <c r="D2" s="228" t="s">
        <v>91</v>
      </c>
      <c r="E2" s="229"/>
      <c r="F2" s="230" t="s">
        <v>92</v>
      </c>
      <c r="G2" s="231"/>
      <c r="H2" s="228" t="s">
        <v>77</v>
      </c>
      <c r="I2" s="229"/>
      <c r="J2" s="230" t="s">
        <v>93</v>
      </c>
      <c r="K2" s="231"/>
      <c r="L2" s="84" t="s">
        <v>94</v>
      </c>
      <c r="M2" s="84" t="s">
        <v>95</v>
      </c>
    </row>
    <row r="3" spans="1:13" ht="15.75" customHeight="1" x14ac:dyDescent="0.45">
      <c r="A3" s="85"/>
      <c r="B3" s="85"/>
      <c r="C3" s="85"/>
      <c r="D3" s="86" t="s">
        <v>77</v>
      </c>
      <c r="E3" s="87" t="s">
        <v>78</v>
      </c>
      <c r="F3" s="86" t="s">
        <v>77</v>
      </c>
      <c r="G3" s="87" t="s">
        <v>78</v>
      </c>
      <c r="H3" s="86" t="s">
        <v>77</v>
      </c>
      <c r="I3" s="87" t="s">
        <v>78</v>
      </c>
      <c r="J3" s="86" t="s">
        <v>77</v>
      </c>
      <c r="K3" s="87" t="s">
        <v>78</v>
      </c>
      <c r="L3" s="88"/>
      <c r="M3" s="88"/>
    </row>
    <row r="4" spans="1:13" ht="15.5" customHeight="1" x14ac:dyDescent="0.45">
      <c r="A4" s="50">
        <v>1</v>
      </c>
      <c r="B4" s="78" t="str">
        <f>Hakemler!B4</f>
        <v>YAZICI</v>
      </c>
      <c r="C4" s="79" t="str">
        <f>Hakemler!C4</f>
        <v>SUZAN</v>
      </c>
      <c r="D4" s="89">
        <f>AtM_D!X4</f>
        <v>0.9</v>
      </c>
      <c r="E4" s="90">
        <f>AtM_E!S4</f>
        <v>0.97</v>
      </c>
      <c r="F4" s="91">
        <f>KP_D!BQ4</f>
        <v>0.92000000000000015</v>
      </c>
      <c r="G4" s="90">
        <f>KP_E!S4</f>
        <v>0.75</v>
      </c>
      <c r="H4" s="91">
        <f>D_D!BQ4</f>
        <v>0.7</v>
      </c>
      <c r="I4" s="90">
        <f>D_E!S4</f>
        <v>0.91999999999999993</v>
      </c>
      <c r="J4" s="91">
        <f>Y_D!BQ4</f>
        <v>0.86</v>
      </c>
      <c r="K4" s="90">
        <f>Y_E!S4</f>
        <v>0.93</v>
      </c>
      <c r="L4" s="92">
        <f t="shared" ref="L4:L35" si="0">(D4+F4+H4+J4)/4</f>
        <v>0.84500000000000008</v>
      </c>
      <c r="M4" s="92">
        <f t="shared" ref="M4:M35" si="1">(E4+G4+I4+K4)/4</f>
        <v>0.89249999999999996</v>
      </c>
    </row>
    <row r="5" spans="1:13" ht="15" customHeight="1" x14ac:dyDescent="0.45">
      <c r="A5" s="54">
        <v>2</v>
      </c>
      <c r="B5" s="80" t="str">
        <f>Hakemler!B5</f>
        <v>ASLAN</v>
      </c>
      <c r="C5" s="81" t="str">
        <f>Hakemler!C5</f>
        <v>SEMA FİDEL</v>
      </c>
      <c r="D5" s="93">
        <f>AtM_D!X5</f>
        <v>0.8</v>
      </c>
      <c r="E5" s="94">
        <f>AtM_E!S5</f>
        <v>0.36</v>
      </c>
      <c r="F5" s="95">
        <f>KP_D!BQ5</f>
        <v>0.9</v>
      </c>
      <c r="G5" s="94">
        <f>KP_E!S5</f>
        <v>0.52</v>
      </c>
      <c r="H5" s="95">
        <f>D_D!BQ5</f>
        <v>0.78</v>
      </c>
      <c r="I5" s="94">
        <f>D_E!S5</f>
        <v>0</v>
      </c>
      <c r="J5" s="95">
        <f>Y_D!BQ5</f>
        <v>0.79999999999999993</v>
      </c>
      <c r="K5" s="94">
        <f>Y_E!S5</f>
        <v>0</v>
      </c>
      <c r="L5" s="96">
        <f t="shared" si="0"/>
        <v>0.82000000000000006</v>
      </c>
      <c r="M5" s="96">
        <f t="shared" si="1"/>
        <v>0.22</v>
      </c>
    </row>
    <row r="6" spans="1:13" ht="15" customHeight="1" x14ac:dyDescent="0.45">
      <c r="A6" s="54">
        <v>3</v>
      </c>
      <c r="B6" s="80" t="str">
        <f>Hakemler!B6</f>
        <v>TUNA</v>
      </c>
      <c r="C6" s="81" t="str">
        <f>Hakemler!C6</f>
        <v>MUNİSE</v>
      </c>
      <c r="D6" s="93">
        <f>AtM_D!X6</f>
        <v>0.1</v>
      </c>
      <c r="E6" s="94">
        <f>AtM_E!S6</f>
        <v>0.2</v>
      </c>
      <c r="F6" s="95">
        <f>KP_D!BQ6</f>
        <v>-0.48000000000000009</v>
      </c>
      <c r="G6" s="94">
        <f>KP_E!S6</f>
        <v>0.51</v>
      </c>
      <c r="H6" s="95">
        <f>D_D!BQ6</f>
        <v>-0.54</v>
      </c>
      <c r="I6" s="94">
        <f>D_E!S6</f>
        <v>0</v>
      </c>
      <c r="J6" s="95">
        <f>Y_D!BQ6</f>
        <v>-0.28000000000000014</v>
      </c>
      <c r="K6" s="94">
        <f>Y_E!S6</f>
        <v>0</v>
      </c>
      <c r="L6" s="96">
        <f t="shared" si="0"/>
        <v>-0.30000000000000004</v>
      </c>
      <c r="M6" s="96">
        <f t="shared" si="1"/>
        <v>0.17749999999999999</v>
      </c>
    </row>
    <row r="7" spans="1:13" ht="15" customHeight="1" x14ac:dyDescent="0.45">
      <c r="A7" s="54">
        <v>4</v>
      </c>
      <c r="B7" s="80" t="str">
        <f>Hakemler!B7</f>
        <v>ÜNAL</v>
      </c>
      <c r="C7" s="81" t="str">
        <f>Hakemler!C7</f>
        <v>FATMA HANIM</v>
      </c>
      <c r="D7" s="93">
        <f>AtM_D!X7</f>
        <v>0.1</v>
      </c>
      <c r="E7" s="94">
        <f>AtM_E!S7</f>
        <v>0.45</v>
      </c>
      <c r="F7" s="95">
        <f>KP_D!BQ7</f>
        <v>-0.48000000000000009</v>
      </c>
      <c r="G7" s="94">
        <f>KP_E!S7</f>
        <v>0.51</v>
      </c>
      <c r="H7" s="95">
        <f>D_D!BQ7</f>
        <v>-0.54</v>
      </c>
      <c r="I7" s="94">
        <f>D_E!S7</f>
        <v>0</v>
      </c>
      <c r="J7" s="95">
        <f>Y_D!BQ7</f>
        <v>-0.28000000000000014</v>
      </c>
      <c r="K7" s="94">
        <f>Y_E!S7</f>
        <v>0</v>
      </c>
      <c r="L7" s="96">
        <f t="shared" si="0"/>
        <v>-0.30000000000000004</v>
      </c>
      <c r="M7" s="96">
        <f t="shared" si="1"/>
        <v>0.24</v>
      </c>
    </row>
    <row r="8" spans="1:13" ht="15" customHeight="1" x14ac:dyDescent="0.45">
      <c r="A8" s="54">
        <v>5</v>
      </c>
      <c r="B8" s="80" t="str">
        <f>Hakemler!B8</f>
        <v>BAŞKAN PERÇİN</v>
      </c>
      <c r="C8" s="81" t="str">
        <f>Hakemler!C8</f>
        <v>ÖZGE</v>
      </c>
      <c r="D8" s="93">
        <f>AtM_D!X8</f>
        <v>0.1</v>
      </c>
      <c r="E8" s="94">
        <f>AtM_E!S8</f>
        <v>0.26</v>
      </c>
      <c r="F8" s="95">
        <f>KP_D!BQ8</f>
        <v>-0.48000000000000009</v>
      </c>
      <c r="G8" s="94">
        <f>KP_E!S8</f>
        <v>0.54</v>
      </c>
      <c r="H8" s="95">
        <f>D_D!BQ8</f>
        <v>-0.54</v>
      </c>
      <c r="I8" s="94">
        <f>D_E!S8</f>
        <v>0</v>
      </c>
      <c r="J8" s="95">
        <f>Y_D!BQ8</f>
        <v>-0.28000000000000014</v>
      </c>
      <c r="K8" s="94">
        <f>Y_E!S8</f>
        <v>0</v>
      </c>
      <c r="L8" s="96">
        <f t="shared" si="0"/>
        <v>-0.30000000000000004</v>
      </c>
      <c r="M8" s="96">
        <f t="shared" si="1"/>
        <v>0.2</v>
      </c>
    </row>
    <row r="9" spans="1:13" ht="15" customHeight="1" x14ac:dyDescent="0.45">
      <c r="A9" s="54">
        <v>6</v>
      </c>
      <c r="B9" s="80" t="str">
        <f>Hakemler!B9</f>
        <v>ŞEN İZMİRLİ</v>
      </c>
      <c r="C9" s="81" t="str">
        <f>Hakemler!C9</f>
        <v>SİNEM</v>
      </c>
      <c r="D9" s="93">
        <f>AtM_D!X9</f>
        <v>0.1</v>
      </c>
      <c r="E9" s="94">
        <f>AtM_E!S9</f>
        <v>0.02</v>
      </c>
      <c r="F9" s="95">
        <f>KP_D!BQ9</f>
        <v>-0.48000000000000009</v>
      </c>
      <c r="G9" s="94">
        <f>KP_E!S9</f>
        <v>0.53</v>
      </c>
      <c r="H9" s="95">
        <f>D_D!BQ9</f>
        <v>-0.54</v>
      </c>
      <c r="I9" s="94">
        <f>D_E!S9</f>
        <v>0</v>
      </c>
      <c r="J9" s="95">
        <f>Y_D!BQ9</f>
        <v>-0.28000000000000014</v>
      </c>
      <c r="K9" s="94">
        <f>Y_E!S9</f>
        <v>0</v>
      </c>
      <c r="L9" s="96">
        <f t="shared" si="0"/>
        <v>-0.30000000000000004</v>
      </c>
      <c r="M9" s="96">
        <f t="shared" si="1"/>
        <v>0.13750000000000001</v>
      </c>
    </row>
    <row r="10" spans="1:13" ht="15" customHeight="1" x14ac:dyDescent="0.45">
      <c r="A10" s="54">
        <v>7</v>
      </c>
      <c r="B10" s="80" t="str">
        <f>Hakemler!B10</f>
        <v>YILDIRIMER</v>
      </c>
      <c r="C10" s="81" t="str">
        <f>Hakemler!C10</f>
        <v>BUSE</v>
      </c>
      <c r="D10" s="93">
        <f>AtM_D!X10</f>
        <v>0.1</v>
      </c>
      <c r="E10" s="94">
        <f>AtM_E!S10</f>
        <v>0.12</v>
      </c>
      <c r="F10" s="95">
        <f>KP_D!BQ10</f>
        <v>-0.48000000000000009</v>
      </c>
      <c r="G10" s="94">
        <f>KP_E!S10</f>
        <v>0.42000000000000004</v>
      </c>
      <c r="H10" s="95">
        <f>D_D!BQ10</f>
        <v>-0.54</v>
      </c>
      <c r="I10" s="94">
        <f>D_E!S10</f>
        <v>0</v>
      </c>
      <c r="J10" s="95">
        <f>Y_D!BQ10</f>
        <v>-0.28000000000000014</v>
      </c>
      <c r="K10" s="94">
        <f>Y_E!S10</f>
        <v>0</v>
      </c>
      <c r="L10" s="96">
        <f t="shared" si="0"/>
        <v>-0.30000000000000004</v>
      </c>
      <c r="M10" s="96">
        <f t="shared" si="1"/>
        <v>0.13500000000000001</v>
      </c>
    </row>
    <row r="11" spans="1:13" ht="15" customHeight="1" x14ac:dyDescent="0.45">
      <c r="A11" s="54">
        <v>8</v>
      </c>
      <c r="B11" s="80" t="str">
        <f>Hakemler!B11</f>
        <v>KESKİN</v>
      </c>
      <c r="C11" s="81" t="str">
        <f>Hakemler!C11</f>
        <v>ENFAL</v>
      </c>
      <c r="D11" s="93">
        <f>AtM_D!X11</f>
        <v>0.1</v>
      </c>
      <c r="E11" s="94">
        <f>AtM_E!S11</f>
        <v>0</v>
      </c>
      <c r="F11" s="95">
        <f>KP_D!BQ11</f>
        <v>-0.48000000000000009</v>
      </c>
      <c r="G11" s="94">
        <f>KP_E!S11</f>
        <v>0.36</v>
      </c>
      <c r="H11" s="95">
        <f>D_D!BQ11</f>
        <v>-0.54</v>
      </c>
      <c r="I11" s="94">
        <f>D_E!S11</f>
        <v>0</v>
      </c>
      <c r="J11" s="95">
        <f>Y_D!BQ11</f>
        <v>-0.28000000000000014</v>
      </c>
      <c r="K11" s="94">
        <f>Y_E!S11</f>
        <v>0</v>
      </c>
      <c r="L11" s="96">
        <f t="shared" si="0"/>
        <v>-0.30000000000000004</v>
      </c>
      <c r="M11" s="96">
        <f t="shared" si="1"/>
        <v>0.09</v>
      </c>
    </row>
    <row r="12" spans="1:13" ht="15" customHeight="1" x14ac:dyDescent="0.45">
      <c r="A12" s="54">
        <v>9</v>
      </c>
      <c r="B12" s="80" t="str">
        <f>Hakemler!B12</f>
        <v>ÜNAL</v>
      </c>
      <c r="C12" s="81" t="str">
        <f>Hakemler!C12</f>
        <v>NAZLINEHİR</v>
      </c>
      <c r="D12" s="93">
        <f>AtM_D!X12</f>
        <v>0.1</v>
      </c>
      <c r="E12" s="94">
        <f>AtM_E!S12</f>
        <v>0</v>
      </c>
      <c r="F12" s="95">
        <f>KP_D!BQ12</f>
        <v>-0.48000000000000009</v>
      </c>
      <c r="G12" s="94">
        <f>KP_E!S12</f>
        <v>0.26</v>
      </c>
      <c r="H12" s="95">
        <f>D_D!BQ12</f>
        <v>-0.54</v>
      </c>
      <c r="I12" s="94">
        <f>D_E!S12</f>
        <v>0</v>
      </c>
      <c r="J12" s="95">
        <f>Y_D!BQ12</f>
        <v>-0.28000000000000014</v>
      </c>
      <c r="K12" s="94">
        <f>Y_E!S12</f>
        <v>0</v>
      </c>
      <c r="L12" s="96">
        <f t="shared" si="0"/>
        <v>-0.30000000000000004</v>
      </c>
      <c r="M12" s="96">
        <f t="shared" si="1"/>
        <v>6.5000000000000002E-2</v>
      </c>
    </row>
    <row r="13" spans="1:13" ht="15" customHeight="1" x14ac:dyDescent="0.45">
      <c r="A13" s="54">
        <v>10</v>
      </c>
      <c r="B13" s="80" t="str">
        <f>Hakemler!B13</f>
        <v>ÜÇTAŞ ŞANLI</v>
      </c>
      <c r="C13" s="81" t="str">
        <f>Hakemler!C13</f>
        <v>GÖKSU</v>
      </c>
      <c r="D13" s="93">
        <f>AtM_D!X13</f>
        <v>0.1</v>
      </c>
      <c r="E13" s="94">
        <f>AtM_E!S13</f>
        <v>0.2</v>
      </c>
      <c r="F13" s="95">
        <f>KP_D!BQ13</f>
        <v>-0.48000000000000009</v>
      </c>
      <c r="G13" s="94">
        <f>KP_E!S13</f>
        <v>0.26</v>
      </c>
      <c r="H13" s="95">
        <f>D_D!BQ13</f>
        <v>-0.54</v>
      </c>
      <c r="I13" s="94">
        <f>D_E!S13</f>
        <v>0</v>
      </c>
      <c r="J13" s="95">
        <f>Y_D!BQ13</f>
        <v>-0.28000000000000014</v>
      </c>
      <c r="K13" s="94">
        <f>Y_E!S13</f>
        <v>0</v>
      </c>
      <c r="L13" s="96">
        <f t="shared" si="0"/>
        <v>-0.30000000000000004</v>
      </c>
      <c r="M13" s="96">
        <f t="shared" si="1"/>
        <v>0.115</v>
      </c>
    </row>
    <row r="14" spans="1:13" ht="15" customHeight="1" x14ac:dyDescent="0.45">
      <c r="A14" s="54">
        <v>11</v>
      </c>
      <c r="B14" s="80" t="str">
        <f>Hakemler!B14</f>
        <v>YÜCEL</v>
      </c>
      <c r="C14" s="81" t="str">
        <f>Hakemler!C14</f>
        <v>SİBEL</v>
      </c>
      <c r="D14" s="93">
        <f>AtM_D!X14</f>
        <v>0.1</v>
      </c>
      <c r="E14" s="94">
        <f>AtM_E!S14</f>
        <v>0.2</v>
      </c>
      <c r="F14" s="95">
        <f>KP_D!BQ14</f>
        <v>-0.48000000000000009</v>
      </c>
      <c r="G14" s="94">
        <f>KP_E!S14</f>
        <v>0.13999999999999999</v>
      </c>
      <c r="H14" s="95">
        <f>D_D!BQ14</f>
        <v>-0.54</v>
      </c>
      <c r="I14" s="94">
        <f>D_E!S14</f>
        <v>0</v>
      </c>
      <c r="J14" s="95">
        <f>Y_D!BQ14</f>
        <v>-0.28000000000000014</v>
      </c>
      <c r="K14" s="94">
        <f>Y_E!S14</f>
        <v>0</v>
      </c>
      <c r="L14" s="96">
        <f t="shared" si="0"/>
        <v>-0.30000000000000004</v>
      </c>
      <c r="M14" s="96">
        <f t="shared" si="1"/>
        <v>8.4999999999999992E-2</v>
      </c>
    </row>
    <row r="15" spans="1:13" ht="15" customHeight="1" x14ac:dyDescent="0.45">
      <c r="A15" s="54">
        <v>12</v>
      </c>
      <c r="B15" s="80" t="str">
        <f>Hakemler!B15</f>
        <v>YILMAZER</v>
      </c>
      <c r="C15" s="81" t="str">
        <f>Hakemler!C15</f>
        <v>ZEHRA</v>
      </c>
      <c r="D15" s="93">
        <f>AtM_D!X15</f>
        <v>0.1</v>
      </c>
      <c r="E15" s="94">
        <f>AtM_E!S15</f>
        <v>0.26</v>
      </c>
      <c r="F15" s="95">
        <f>KP_D!BQ15</f>
        <v>-0.48000000000000009</v>
      </c>
      <c r="G15" s="94">
        <f>KP_E!S15</f>
        <v>0.02</v>
      </c>
      <c r="H15" s="95">
        <f>D_D!BQ15</f>
        <v>-0.54</v>
      </c>
      <c r="I15" s="94">
        <f>D_E!S15</f>
        <v>0</v>
      </c>
      <c r="J15" s="95">
        <f>Y_D!BQ15</f>
        <v>-0.28000000000000014</v>
      </c>
      <c r="K15" s="94">
        <f>Y_E!S15</f>
        <v>0</v>
      </c>
      <c r="L15" s="96">
        <f t="shared" si="0"/>
        <v>-0.30000000000000004</v>
      </c>
      <c r="M15" s="96">
        <f t="shared" si="1"/>
        <v>7.0000000000000007E-2</v>
      </c>
    </row>
    <row r="16" spans="1:13" ht="15" customHeight="1" x14ac:dyDescent="0.45">
      <c r="A16" s="54">
        <v>13</v>
      </c>
      <c r="B16" s="80" t="str">
        <f>Hakemler!B16</f>
        <v>ŞAHİNTEKİN</v>
      </c>
      <c r="C16" s="81" t="str">
        <f>Hakemler!C16</f>
        <v>MUHAMMED</v>
      </c>
      <c r="D16" s="93">
        <f>AtM_D!X16</f>
        <v>0.1</v>
      </c>
      <c r="E16" s="94">
        <f>AtM_E!S16</f>
        <v>0.08</v>
      </c>
      <c r="F16" s="95">
        <f>KP_D!BQ16</f>
        <v>-0.48000000000000009</v>
      </c>
      <c r="G16" s="94">
        <f>KP_E!S16</f>
        <v>0</v>
      </c>
      <c r="H16" s="95">
        <f>D_D!BQ16</f>
        <v>-0.54</v>
      </c>
      <c r="I16" s="94">
        <f>D_E!S16</f>
        <v>0</v>
      </c>
      <c r="J16" s="95">
        <f>Y_D!BQ16</f>
        <v>-0.28000000000000014</v>
      </c>
      <c r="K16" s="94">
        <f>Y_E!S16</f>
        <v>0</v>
      </c>
      <c r="L16" s="96">
        <f t="shared" si="0"/>
        <v>-0.30000000000000004</v>
      </c>
      <c r="M16" s="96">
        <f t="shared" si="1"/>
        <v>0.02</v>
      </c>
    </row>
    <row r="17" spans="1:13" ht="15" customHeight="1" x14ac:dyDescent="0.45">
      <c r="A17" s="54">
        <v>14</v>
      </c>
      <c r="B17" s="80" t="str">
        <f>Hakemler!B17</f>
        <v>ERKUT</v>
      </c>
      <c r="C17" s="81" t="str">
        <f>Hakemler!C17</f>
        <v>OYA</v>
      </c>
      <c r="D17" s="93">
        <f>AtM_D!X17</f>
        <v>0.1</v>
      </c>
      <c r="E17" s="94">
        <f>AtM_E!S17</f>
        <v>0.1</v>
      </c>
      <c r="F17" s="95">
        <f>KP_D!BQ17</f>
        <v>-0.48000000000000009</v>
      </c>
      <c r="G17" s="94">
        <f>KP_E!S17</f>
        <v>0</v>
      </c>
      <c r="H17" s="95">
        <f>D_D!BQ17</f>
        <v>-0.54</v>
      </c>
      <c r="I17" s="94">
        <f>D_E!S17</f>
        <v>0</v>
      </c>
      <c r="J17" s="95">
        <f>Y_D!BQ17</f>
        <v>-0.28000000000000014</v>
      </c>
      <c r="K17" s="94">
        <f>Y_E!S17</f>
        <v>0</v>
      </c>
      <c r="L17" s="96">
        <f t="shared" si="0"/>
        <v>-0.30000000000000004</v>
      </c>
      <c r="M17" s="96">
        <f t="shared" si="1"/>
        <v>2.5000000000000001E-2</v>
      </c>
    </row>
    <row r="18" spans="1:13" ht="15" customHeight="1" x14ac:dyDescent="0.45">
      <c r="A18" s="54">
        <v>15</v>
      </c>
      <c r="B18" s="80" t="str">
        <f>Hakemler!B18</f>
        <v>GÜMÜŞLÜ</v>
      </c>
      <c r="C18" s="81" t="str">
        <f>Hakemler!C18</f>
        <v>AYSEL</v>
      </c>
      <c r="D18" s="93">
        <f>AtM_D!X18</f>
        <v>0.1</v>
      </c>
      <c r="E18" s="94">
        <f>AtM_E!S18</f>
        <v>0.12</v>
      </c>
      <c r="F18" s="95">
        <f>KP_D!BQ18</f>
        <v>-0.48000000000000009</v>
      </c>
      <c r="G18" s="94">
        <f>KP_E!S18</f>
        <v>0</v>
      </c>
      <c r="H18" s="95">
        <f>D_D!BQ18</f>
        <v>-0.54</v>
      </c>
      <c r="I18" s="94">
        <f>D_E!S18</f>
        <v>0</v>
      </c>
      <c r="J18" s="95">
        <f>Y_D!BQ18</f>
        <v>-0.28000000000000014</v>
      </c>
      <c r="K18" s="94">
        <f>Y_E!S18</f>
        <v>0</v>
      </c>
      <c r="L18" s="96">
        <f t="shared" si="0"/>
        <v>-0.30000000000000004</v>
      </c>
      <c r="M18" s="96">
        <f t="shared" si="1"/>
        <v>0.03</v>
      </c>
    </row>
    <row r="19" spans="1:13" ht="15" customHeight="1" x14ac:dyDescent="0.45">
      <c r="A19" s="54">
        <v>16</v>
      </c>
      <c r="B19" s="80" t="str">
        <f>Hakemler!B19</f>
        <v>CURA COŞKUN</v>
      </c>
      <c r="C19" s="81" t="str">
        <f>Hakemler!C19</f>
        <v>MELİKE</v>
      </c>
      <c r="D19" s="93">
        <f>AtM_D!X19</f>
        <v>0.1</v>
      </c>
      <c r="E19" s="94">
        <f>AtM_E!S19</f>
        <v>0.13999999999999999</v>
      </c>
      <c r="F19" s="95">
        <f>KP_D!BQ19</f>
        <v>-0.48000000000000009</v>
      </c>
      <c r="G19" s="94">
        <f>KP_E!S19</f>
        <v>0</v>
      </c>
      <c r="H19" s="95">
        <f>D_D!BQ19</f>
        <v>-0.54</v>
      </c>
      <c r="I19" s="94">
        <f>D_E!S19</f>
        <v>0</v>
      </c>
      <c r="J19" s="95">
        <f>Y_D!BQ19</f>
        <v>-0.28000000000000014</v>
      </c>
      <c r="K19" s="94">
        <f>Y_E!S19</f>
        <v>0</v>
      </c>
      <c r="L19" s="96">
        <f t="shared" si="0"/>
        <v>-0.30000000000000004</v>
      </c>
      <c r="M19" s="96">
        <f t="shared" si="1"/>
        <v>3.4999999999999996E-2</v>
      </c>
    </row>
    <row r="20" spans="1:13" ht="15" customHeight="1" x14ac:dyDescent="0.45">
      <c r="A20" s="54">
        <v>17</v>
      </c>
      <c r="B20" s="80" t="str">
        <f>Hakemler!B20</f>
        <v>KENDİRCİ</v>
      </c>
      <c r="C20" s="81" t="str">
        <f>Hakemler!C20</f>
        <v>CEMRE</v>
      </c>
      <c r="D20" s="93">
        <f>AtM_D!X20</f>
        <v>0.1</v>
      </c>
      <c r="E20" s="94">
        <f>AtM_E!S20</f>
        <v>0.16</v>
      </c>
      <c r="F20" s="95">
        <f>KP_D!BQ20</f>
        <v>-0.48000000000000009</v>
      </c>
      <c r="G20" s="94">
        <f>KP_E!S20</f>
        <v>0</v>
      </c>
      <c r="H20" s="95">
        <f>D_D!BQ20</f>
        <v>-0.54</v>
      </c>
      <c r="I20" s="94">
        <f>D_E!S20</f>
        <v>0</v>
      </c>
      <c r="J20" s="95">
        <f>Y_D!BQ20</f>
        <v>-0.28000000000000014</v>
      </c>
      <c r="K20" s="94">
        <f>Y_E!S20</f>
        <v>0</v>
      </c>
      <c r="L20" s="96">
        <f t="shared" si="0"/>
        <v>-0.30000000000000004</v>
      </c>
      <c r="M20" s="96">
        <f t="shared" si="1"/>
        <v>0.04</v>
      </c>
    </row>
    <row r="21" spans="1:13" ht="15" customHeight="1" x14ac:dyDescent="0.45">
      <c r="A21" s="54">
        <v>18</v>
      </c>
      <c r="B21" s="80" t="str">
        <f>Hakemler!B21</f>
        <v>CANATAN</v>
      </c>
      <c r="C21" s="81" t="str">
        <f>Hakemler!C21</f>
        <v>BEYZA</v>
      </c>
      <c r="D21" s="93">
        <f>AtM_D!X21</f>
        <v>0.1</v>
      </c>
      <c r="E21" s="94">
        <f>AtM_E!S21</f>
        <v>0.2</v>
      </c>
      <c r="F21" s="95">
        <f>KP_D!BQ21</f>
        <v>-0.48000000000000009</v>
      </c>
      <c r="G21" s="94">
        <f>KP_E!S21</f>
        <v>0</v>
      </c>
      <c r="H21" s="95">
        <f>D_D!BQ21</f>
        <v>-0.54</v>
      </c>
      <c r="I21" s="94">
        <f>D_E!S21</f>
        <v>0</v>
      </c>
      <c r="J21" s="95">
        <f>Y_D!BQ21</f>
        <v>-0.28000000000000014</v>
      </c>
      <c r="K21" s="94">
        <f>Y_E!S21</f>
        <v>0</v>
      </c>
      <c r="L21" s="96">
        <f t="shared" si="0"/>
        <v>-0.30000000000000004</v>
      </c>
      <c r="M21" s="96">
        <f t="shared" si="1"/>
        <v>0.05</v>
      </c>
    </row>
    <row r="22" spans="1:13" ht="15" customHeight="1" x14ac:dyDescent="0.45">
      <c r="A22" s="54">
        <v>19</v>
      </c>
      <c r="B22" s="80" t="str">
        <f>Hakemler!B22</f>
        <v>SAYIN</v>
      </c>
      <c r="C22" s="81" t="str">
        <f>Hakemler!C22</f>
        <v>ZEYNEP TÜRKAN</v>
      </c>
      <c r="D22" s="93">
        <f>AtM_D!X22</f>
        <v>0.1</v>
      </c>
      <c r="E22" s="94">
        <f>AtM_E!S22</f>
        <v>0</v>
      </c>
      <c r="F22" s="95">
        <f>KP_D!BQ22</f>
        <v>-0.48000000000000009</v>
      </c>
      <c r="G22" s="94">
        <f>KP_E!S22</f>
        <v>0</v>
      </c>
      <c r="H22" s="95">
        <f>D_D!BQ22</f>
        <v>-0.54</v>
      </c>
      <c r="I22" s="94">
        <f>D_E!S22</f>
        <v>0</v>
      </c>
      <c r="J22" s="95">
        <f>Y_D!BQ22</f>
        <v>-0.28000000000000014</v>
      </c>
      <c r="K22" s="94">
        <f>Y_E!S22</f>
        <v>0</v>
      </c>
      <c r="L22" s="96">
        <f t="shared" si="0"/>
        <v>-0.30000000000000004</v>
      </c>
      <c r="M22" s="96">
        <f t="shared" si="1"/>
        <v>0</v>
      </c>
    </row>
    <row r="23" spans="1:13" ht="15" customHeight="1" x14ac:dyDescent="0.45">
      <c r="A23" s="54">
        <v>20</v>
      </c>
      <c r="B23" s="80" t="str">
        <f>Hakemler!B23</f>
        <v>ÖNER AĞAN</v>
      </c>
      <c r="C23" s="81" t="str">
        <f>Hakemler!C23</f>
        <v>DERYA</v>
      </c>
      <c r="D23" s="93">
        <f>AtM_D!X23</f>
        <v>0.1</v>
      </c>
      <c r="E23" s="94">
        <f>AtM_E!S23</f>
        <v>0</v>
      </c>
      <c r="F23" s="95">
        <f>KP_D!BQ23</f>
        <v>-0.48000000000000009</v>
      </c>
      <c r="G23" s="94">
        <f>KP_E!S23</f>
        <v>0</v>
      </c>
      <c r="H23" s="95">
        <f>D_D!BQ23</f>
        <v>-0.54</v>
      </c>
      <c r="I23" s="94">
        <f>D_E!S23</f>
        <v>0</v>
      </c>
      <c r="J23" s="95">
        <f>Y_D!BQ23</f>
        <v>-0.28000000000000014</v>
      </c>
      <c r="K23" s="94">
        <f>Y_E!S23</f>
        <v>0</v>
      </c>
      <c r="L23" s="96">
        <f t="shared" si="0"/>
        <v>-0.30000000000000004</v>
      </c>
      <c r="M23" s="96">
        <f t="shared" si="1"/>
        <v>0</v>
      </c>
    </row>
    <row r="24" spans="1:13" ht="15" customHeight="1" x14ac:dyDescent="0.45">
      <c r="A24" s="171">
        <v>21</v>
      </c>
      <c r="B24" s="158" t="str">
        <f>Hakemler!B24</f>
        <v>ABACI</v>
      </c>
      <c r="C24" s="159" t="str">
        <f>Hakemler!C24</f>
        <v>BUSE</v>
      </c>
      <c r="D24" s="93">
        <f>AtM_D!X24</f>
        <v>0.5</v>
      </c>
      <c r="E24" s="94">
        <f>AtM_E!S24</f>
        <v>0.82999999999999985</v>
      </c>
      <c r="F24" s="95">
        <f>KP_D!BQ24</f>
        <v>0.4</v>
      </c>
      <c r="G24" s="94">
        <f>KP_E!S24</f>
        <v>0.8</v>
      </c>
      <c r="H24" s="95">
        <f>D_D!BQ24</f>
        <v>0.34</v>
      </c>
      <c r="I24" s="94">
        <f>D_E!S24</f>
        <v>0.83000000000000007</v>
      </c>
      <c r="J24" s="95">
        <f>Y_D!BQ24</f>
        <v>0.08</v>
      </c>
      <c r="K24" s="94">
        <f>Y_E!S24</f>
        <v>0.97</v>
      </c>
      <c r="L24" s="96">
        <f t="shared" si="0"/>
        <v>0.33</v>
      </c>
      <c r="M24" s="96">
        <f t="shared" si="1"/>
        <v>0.85749999999999993</v>
      </c>
    </row>
    <row r="25" spans="1:13" ht="15" customHeight="1" x14ac:dyDescent="0.45">
      <c r="A25" s="171">
        <v>22</v>
      </c>
      <c r="B25" s="158" t="str">
        <f>Hakemler!B25</f>
        <v>KARAKAŞ</v>
      </c>
      <c r="C25" s="159" t="str">
        <f>Hakemler!C25</f>
        <v>TAHİR</v>
      </c>
      <c r="D25" s="93">
        <f>AtM_D!X25</f>
        <v>0.4</v>
      </c>
      <c r="E25" s="94">
        <f>AtM_E!S25</f>
        <v>1</v>
      </c>
      <c r="F25" s="95">
        <f>KP_D!BQ25</f>
        <v>0.82</v>
      </c>
      <c r="G25" s="94">
        <f>KP_E!S25</f>
        <v>0.86</v>
      </c>
      <c r="H25" s="95">
        <f>D_D!BQ25</f>
        <v>0.61999999999999988</v>
      </c>
      <c r="I25" s="94">
        <f>D_E!S25</f>
        <v>0.95</v>
      </c>
      <c r="J25" s="95">
        <f>Y_D!BQ25</f>
        <v>0.72000000000000008</v>
      </c>
      <c r="K25" s="94">
        <f>Y_E!S25</f>
        <v>0.78</v>
      </c>
      <c r="L25" s="96">
        <f t="shared" si="0"/>
        <v>0.64</v>
      </c>
      <c r="M25" s="96">
        <f t="shared" si="1"/>
        <v>0.89749999999999996</v>
      </c>
    </row>
    <row r="26" spans="1:13" ht="15" customHeight="1" x14ac:dyDescent="0.45">
      <c r="A26" s="171">
        <v>23</v>
      </c>
      <c r="B26" s="158" t="str">
        <f>Hakemler!B26</f>
        <v>SAVAŞ OK</v>
      </c>
      <c r="C26" s="159" t="str">
        <f>Hakemler!C26</f>
        <v>DİLAY</v>
      </c>
      <c r="D26" s="93">
        <f>AtM_D!X26</f>
        <v>0.6</v>
      </c>
      <c r="E26" s="94">
        <f>AtM_E!S26</f>
        <v>0.78</v>
      </c>
      <c r="F26" s="95">
        <f>KP_D!BQ26</f>
        <v>0.33999999999999997</v>
      </c>
      <c r="G26" s="94">
        <f>KP_E!S26</f>
        <v>0.72</v>
      </c>
      <c r="H26" s="95">
        <f>D_D!BQ26</f>
        <v>0.15999999999999998</v>
      </c>
      <c r="I26" s="94">
        <f>D_E!S26</f>
        <v>0.85</v>
      </c>
      <c r="J26" s="95">
        <f>Y_D!BQ26</f>
        <v>0.5</v>
      </c>
      <c r="K26" s="94">
        <f>Y_E!S26</f>
        <v>0.90999999999999992</v>
      </c>
      <c r="L26" s="96">
        <f t="shared" si="0"/>
        <v>0.39999999999999997</v>
      </c>
      <c r="M26" s="96">
        <f t="shared" si="1"/>
        <v>0.81499999999999995</v>
      </c>
    </row>
    <row r="27" spans="1:13" ht="15" customHeight="1" x14ac:dyDescent="0.45">
      <c r="A27" s="171">
        <v>24</v>
      </c>
      <c r="B27" s="158" t="str">
        <f>Hakemler!B27</f>
        <v>AYDEMİR</v>
      </c>
      <c r="C27" s="159" t="str">
        <f>Hakemler!C27</f>
        <v>AYŞE DİLARA</v>
      </c>
      <c r="D27" s="93">
        <f>AtM_D!X27</f>
        <v>0.8</v>
      </c>
      <c r="E27" s="94">
        <f>AtM_E!S27</f>
        <v>0.80999999999999994</v>
      </c>
      <c r="F27" s="95">
        <f>KP_D!BQ27</f>
        <v>0.1</v>
      </c>
      <c r="G27" s="94">
        <f>KP_E!S27</f>
        <v>0.82</v>
      </c>
      <c r="H27" s="95">
        <f>D_D!BQ27</f>
        <v>0.26</v>
      </c>
      <c r="I27" s="94">
        <f>D_E!S27</f>
        <v>0.88000000000000012</v>
      </c>
      <c r="J27" s="95">
        <f>Y_D!BQ27</f>
        <v>0.31999999999999995</v>
      </c>
      <c r="K27" s="94">
        <f>Y_E!S27</f>
        <v>0.56999999999999995</v>
      </c>
      <c r="L27" s="96">
        <f t="shared" si="0"/>
        <v>0.37</v>
      </c>
      <c r="M27" s="96">
        <f t="shared" si="1"/>
        <v>0.76999999999999991</v>
      </c>
    </row>
    <row r="28" spans="1:13" ht="15" customHeight="1" x14ac:dyDescent="0.45">
      <c r="A28" s="171">
        <v>25</v>
      </c>
      <c r="B28" s="158" t="str">
        <f>Hakemler!B28</f>
        <v>AKIN</v>
      </c>
      <c r="C28" s="159" t="str">
        <f>Hakemler!C28</f>
        <v>MANOLYA</v>
      </c>
      <c r="D28" s="93">
        <f>AtM_D!X28</f>
        <v>0.2</v>
      </c>
      <c r="E28" s="94">
        <f>AtM_E!S28</f>
        <v>0.98000000000000009</v>
      </c>
      <c r="F28" s="95">
        <f>KP_D!BQ28</f>
        <v>0.6</v>
      </c>
      <c r="G28" s="94">
        <f>KP_E!S28</f>
        <v>0.71</v>
      </c>
      <c r="H28" s="95">
        <f>D_D!BQ28</f>
        <v>0.55999999999999994</v>
      </c>
      <c r="I28" s="94">
        <f>D_E!S28</f>
        <v>0.80999999999999994</v>
      </c>
      <c r="J28" s="95">
        <f>Y_D!BQ28</f>
        <v>0.67999999999999994</v>
      </c>
      <c r="K28" s="94">
        <f>Y_E!S28</f>
        <v>0.67999999999999994</v>
      </c>
      <c r="L28" s="96">
        <f t="shared" si="0"/>
        <v>0.51</v>
      </c>
      <c r="M28" s="96">
        <f t="shared" si="1"/>
        <v>0.79499999999999993</v>
      </c>
    </row>
    <row r="29" spans="1:13" ht="15" customHeight="1" x14ac:dyDescent="0.45">
      <c r="A29" s="171">
        <v>26</v>
      </c>
      <c r="B29" s="158" t="str">
        <f>Hakemler!B29</f>
        <v>PINAR</v>
      </c>
      <c r="C29" s="159" t="str">
        <f>Hakemler!C29</f>
        <v>YELİZ</v>
      </c>
      <c r="D29" s="93">
        <f>AtM_D!X29</f>
        <v>0.6</v>
      </c>
      <c r="E29" s="94">
        <f>AtM_E!S29</f>
        <v>0.90999999999999992</v>
      </c>
      <c r="F29" s="95">
        <f>KP_D!BQ29</f>
        <v>0.57999999999999996</v>
      </c>
      <c r="G29" s="94">
        <f>KP_E!S29</f>
        <v>0.86999999999999988</v>
      </c>
      <c r="H29" s="95">
        <f>D_D!BQ29</f>
        <v>0.64</v>
      </c>
      <c r="I29" s="94">
        <f>D_E!S29</f>
        <v>0.74</v>
      </c>
      <c r="J29" s="95">
        <f>Y_D!BQ29</f>
        <v>0.41999999999999993</v>
      </c>
      <c r="K29" s="94">
        <f>Y_E!S29</f>
        <v>0.78</v>
      </c>
      <c r="L29" s="96">
        <f t="shared" si="0"/>
        <v>0.55999999999999994</v>
      </c>
      <c r="M29" s="96">
        <f t="shared" si="1"/>
        <v>0.82499999999999996</v>
      </c>
    </row>
    <row r="30" spans="1:13" ht="15" customHeight="1" x14ac:dyDescent="0.45">
      <c r="A30" s="171">
        <v>27</v>
      </c>
      <c r="B30" s="158" t="str">
        <f>Hakemler!B30</f>
        <v>KATRANCI</v>
      </c>
      <c r="C30" s="159" t="str">
        <f>Hakemler!C30</f>
        <v>AYŞEN</v>
      </c>
      <c r="D30" s="93">
        <f>AtM_D!X30</f>
        <v>0.7</v>
      </c>
      <c r="E30" s="94">
        <f>AtM_E!S30</f>
        <v>0.82</v>
      </c>
      <c r="F30" s="95">
        <f>KP_D!BQ30</f>
        <v>0.37999999999999989</v>
      </c>
      <c r="G30" s="94">
        <f>KP_E!S30</f>
        <v>0.44000000000000006</v>
      </c>
      <c r="H30" s="95">
        <f>D_D!BQ30</f>
        <v>0.25999999999999995</v>
      </c>
      <c r="I30" s="94">
        <f>D_E!S30</f>
        <v>0.49000000000000005</v>
      </c>
      <c r="J30" s="95">
        <f>Y_D!BQ30</f>
        <v>0.6</v>
      </c>
      <c r="K30" s="94">
        <f>Y_E!S30</f>
        <v>0.97000000000000008</v>
      </c>
      <c r="L30" s="96">
        <f t="shared" si="0"/>
        <v>0.48499999999999999</v>
      </c>
      <c r="M30" s="96">
        <f t="shared" si="1"/>
        <v>0.68</v>
      </c>
    </row>
    <row r="31" spans="1:13" ht="15" customHeight="1" x14ac:dyDescent="0.45">
      <c r="A31" s="171">
        <v>28</v>
      </c>
      <c r="B31" s="158" t="str">
        <f>Hakemler!B31</f>
        <v>GÜRKAN KİRAZ</v>
      </c>
      <c r="C31" s="159" t="str">
        <f>Hakemler!C31</f>
        <v>FULYA</v>
      </c>
      <c r="D31" s="93">
        <f>AtM_D!X31</f>
        <v>0.2</v>
      </c>
      <c r="E31" s="94">
        <f>AtM_E!S31</f>
        <v>0.97</v>
      </c>
      <c r="F31" s="95">
        <f>KP_D!BQ31</f>
        <v>0.31999999999999995</v>
      </c>
      <c r="G31" s="94">
        <f>KP_E!S31</f>
        <v>0.81000000000000016</v>
      </c>
      <c r="H31" s="95">
        <f>D_D!BQ31</f>
        <v>0.52</v>
      </c>
      <c r="I31" s="94">
        <f>D_E!S31</f>
        <v>0.93</v>
      </c>
      <c r="J31" s="95">
        <f>Y_D!BQ31</f>
        <v>0.5</v>
      </c>
      <c r="K31" s="94">
        <f>Y_E!S31</f>
        <v>0.69000000000000006</v>
      </c>
      <c r="L31" s="96">
        <f t="shared" si="0"/>
        <v>0.38500000000000001</v>
      </c>
      <c r="M31" s="96">
        <f t="shared" si="1"/>
        <v>0.85000000000000009</v>
      </c>
    </row>
    <row r="32" spans="1:13" ht="15" customHeight="1" x14ac:dyDescent="0.45">
      <c r="A32" s="171">
        <v>29</v>
      </c>
      <c r="B32" s="158" t="str">
        <f>Hakemler!B32</f>
        <v>KILIÇ</v>
      </c>
      <c r="C32" s="159" t="str">
        <f>Hakemler!C32</f>
        <v>AYŞE</v>
      </c>
      <c r="D32" s="93">
        <f>AtM_D!X32</f>
        <v>0</v>
      </c>
      <c r="E32" s="94">
        <f>AtM_E!S32</f>
        <v>0.96</v>
      </c>
      <c r="F32" s="95">
        <f>KP_D!BQ32</f>
        <v>0.49999999999999989</v>
      </c>
      <c r="G32" s="94">
        <f>KP_E!S32</f>
        <v>0.85</v>
      </c>
      <c r="H32" s="95">
        <f>D_D!BQ32</f>
        <v>0.38</v>
      </c>
      <c r="I32" s="94">
        <f>D_E!S32</f>
        <v>0.79</v>
      </c>
      <c r="J32" s="95">
        <f>Y_D!BQ32</f>
        <v>0.65999999999999992</v>
      </c>
      <c r="K32" s="94">
        <f>Y_E!S32</f>
        <v>0.62</v>
      </c>
      <c r="L32" s="96">
        <f t="shared" si="0"/>
        <v>0.38499999999999995</v>
      </c>
      <c r="M32" s="96">
        <f t="shared" si="1"/>
        <v>0.80500000000000005</v>
      </c>
    </row>
    <row r="33" spans="1:13" ht="15" customHeight="1" x14ac:dyDescent="0.45">
      <c r="A33" s="171">
        <v>30</v>
      </c>
      <c r="B33" s="158" t="str">
        <f>Hakemler!B33</f>
        <v>ÖZGENLİK TATAR</v>
      </c>
      <c r="C33" s="159" t="str">
        <f>Hakemler!C33</f>
        <v>ARZU</v>
      </c>
      <c r="D33" s="93">
        <f>AtM_D!X33</f>
        <v>0.6</v>
      </c>
      <c r="E33" s="94">
        <f>AtM_E!S33</f>
        <v>1</v>
      </c>
      <c r="F33" s="95">
        <f>KP_D!BQ33</f>
        <v>1.9999999999999928E-2</v>
      </c>
      <c r="G33" s="94">
        <f>KP_E!S33</f>
        <v>0.74</v>
      </c>
      <c r="H33" s="95">
        <f>D_D!BQ33</f>
        <v>0</v>
      </c>
      <c r="I33" s="94">
        <f>D_E!S33</f>
        <v>0.83000000000000007</v>
      </c>
      <c r="J33" s="95">
        <f>Y_D!BQ33</f>
        <v>0.1</v>
      </c>
      <c r="K33" s="94">
        <f>Y_E!S33</f>
        <v>0.95</v>
      </c>
      <c r="L33" s="96">
        <f t="shared" si="0"/>
        <v>0.17999999999999997</v>
      </c>
      <c r="M33" s="96">
        <f t="shared" si="1"/>
        <v>0.88000000000000012</v>
      </c>
    </row>
    <row r="34" spans="1:13" ht="15" customHeight="1" x14ac:dyDescent="0.45">
      <c r="A34" s="171">
        <v>31</v>
      </c>
      <c r="B34" s="158" t="str">
        <f>Hakemler!B34</f>
        <v>KARADENİZ</v>
      </c>
      <c r="C34" s="159" t="str">
        <f>Hakemler!C34</f>
        <v>EMEL</v>
      </c>
      <c r="D34" s="93">
        <f>AtM_D!X34</f>
        <v>0.4</v>
      </c>
      <c r="E34" s="94">
        <f>AtM_E!S34</f>
        <v>0.71</v>
      </c>
      <c r="F34" s="95">
        <f>KP_D!BQ34</f>
        <v>0.36</v>
      </c>
      <c r="G34" s="94">
        <f>KP_E!S34</f>
        <v>0.82999999999999985</v>
      </c>
      <c r="H34" s="95">
        <f>D_D!BQ34</f>
        <v>0.39999999999999997</v>
      </c>
      <c r="I34" s="94">
        <f>D_E!S34</f>
        <v>0.74</v>
      </c>
      <c r="J34" s="95">
        <f>Y_D!BQ34</f>
        <v>0.38</v>
      </c>
      <c r="K34" s="94">
        <f>Y_E!S34</f>
        <v>0.56999999999999995</v>
      </c>
      <c r="L34" s="96">
        <f t="shared" si="0"/>
        <v>0.38500000000000001</v>
      </c>
      <c r="M34" s="96">
        <f t="shared" si="1"/>
        <v>0.71249999999999991</v>
      </c>
    </row>
    <row r="35" spans="1:13" ht="15" customHeight="1" x14ac:dyDescent="0.45">
      <c r="A35" s="171">
        <v>32</v>
      </c>
      <c r="B35" s="158" t="str">
        <f>Hakemler!B35</f>
        <v>TOYRAN</v>
      </c>
      <c r="C35" s="159" t="str">
        <f>Hakemler!C35</f>
        <v>SİNEM NUR</v>
      </c>
      <c r="D35" s="93">
        <f>AtM_D!X35</f>
        <v>0.3</v>
      </c>
      <c r="E35" s="94">
        <f>AtM_E!S35</f>
        <v>0.89</v>
      </c>
      <c r="F35" s="95">
        <f>KP_D!BQ35</f>
        <v>0.55999999999999994</v>
      </c>
      <c r="G35" s="94">
        <f>KP_E!S35</f>
        <v>0.80999999999999994</v>
      </c>
      <c r="H35" s="95">
        <f>D_D!BQ35</f>
        <v>0.34</v>
      </c>
      <c r="I35" s="94">
        <f>D_E!S35</f>
        <v>0.98000000000000009</v>
      </c>
      <c r="J35" s="95">
        <f>Y_D!BQ35</f>
        <v>0.6</v>
      </c>
      <c r="K35" s="94">
        <f>Y_E!S35</f>
        <v>0.99</v>
      </c>
      <c r="L35" s="96">
        <f t="shared" si="0"/>
        <v>0.44999999999999996</v>
      </c>
      <c r="M35" s="96">
        <f t="shared" si="1"/>
        <v>0.91749999999999998</v>
      </c>
    </row>
    <row r="36" spans="1:13" ht="15" customHeight="1" x14ac:dyDescent="0.45">
      <c r="A36" s="171">
        <v>33</v>
      </c>
      <c r="B36" s="158" t="str">
        <f>Hakemler!B36</f>
        <v>SEVERBAŞ</v>
      </c>
      <c r="C36" s="159" t="str">
        <f>Hakemler!C36</f>
        <v>PINAR</v>
      </c>
      <c r="D36" s="93">
        <f>AtM_D!X36</f>
        <v>0.2</v>
      </c>
      <c r="E36" s="94">
        <f>AtM_E!S36</f>
        <v>0.52</v>
      </c>
      <c r="F36" s="95">
        <f>KP_D!BQ36</f>
        <v>0.31999999999999995</v>
      </c>
      <c r="G36" s="94">
        <f>KP_E!S36</f>
        <v>0.78</v>
      </c>
      <c r="H36" s="95">
        <f>D_D!BQ36</f>
        <v>0.31999999999999995</v>
      </c>
      <c r="I36" s="94">
        <f>D_E!S36</f>
        <v>0.84000000000000008</v>
      </c>
      <c r="J36" s="95">
        <f>Y_D!BQ36</f>
        <v>0.16</v>
      </c>
      <c r="K36" s="94">
        <f>Y_E!S36</f>
        <v>0.9</v>
      </c>
      <c r="L36" s="96">
        <f t="shared" ref="L36:L67" si="2">(D36+F36+H36+J36)/4</f>
        <v>0.25</v>
      </c>
      <c r="M36" s="96">
        <f t="shared" ref="M36:M67" si="3">(E36+G36+I36+K36)/4</f>
        <v>0.76</v>
      </c>
    </row>
    <row r="37" spans="1:13" ht="15" customHeight="1" x14ac:dyDescent="0.45">
      <c r="A37" s="171">
        <v>34</v>
      </c>
      <c r="B37" s="158" t="str">
        <f>Hakemler!B37</f>
        <v>KASAP TOPAL</v>
      </c>
      <c r="C37" s="159" t="str">
        <f>Hakemler!C37</f>
        <v>AYTEN</v>
      </c>
      <c r="D37" s="93">
        <f>AtM_D!X37</f>
        <v>0.1</v>
      </c>
      <c r="E37" s="94">
        <f>AtM_E!S37</f>
        <v>0.83000000000000007</v>
      </c>
      <c r="F37" s="95">
        <f>KP_D!BQ37</f>
        <v>3.9999999999999945E-2</v>
      </c>
      <c r="G37" s="94">
        <f>KP_E!S37</f>
        <v>0.91999999999999993</v>
      </c>
      <c r="H37" s="95">
        <f>D_D!BQ37</f>
        <v>0.10000000000000002</v>
      </c>
      <c r="I37" s="94">
        <f>D_E!S37</f>
        <v>0.86</v>
      </c>
      <c r="J37" s="95">
        <f>Y_D!BQ37</f>
        <v>0.21999999999999997</v>
      </c>
      <c r="K37" s="94">
        <f>Y_E!S37</f>
        <v>0.91999999999999993</v>
      </c>
      <c r="L37" s="96">
        <f t="shared" si="2"/>
        <v>0.11499999999999999</v>
      </c>
      <c r="M37" s="96">
        <f t="shared" si="3"/>
        <v>0.88249999999999995</v>
      </c>
    </row>
    <row r="38" spans="1:13" ht="15" customHeight="1" x14ac:dyDescent="0.45">
      <c r="A38" s="171">
        <v>35</v>
      </c>
      <c r="B38" s="158" t="str">
        <f>Hakemler!B38</f>
        <v>DİCLE</v>
      </c>
      <c r="C38" s="159" t="str">
        <f>Hakemler!C38</f>
        <v>SENA HAZEL</v>
      </c>
      <c r="D38" s="93">
        <f>AtM_D!X38</f>
        <v>0.2</v>
      </c>
      <c r="E38" s="94">
        <f>AtM_E!S38</f>
        <v>0.49000000000000005</v>
      </c>
      <c r="F38" s="95">
        <f>KP_D!BQ38</f>
        <v>0.36</v>
      </c>
      <c r="G38" s="94">
        <f>KP_E!S38</f>
        <v>0.65999999999999992</v>
      </c>
      <c r="H38" s="95">
        <f>D_D!BQ38</f>
        <v>0.23999999999999994</v>
      </c>
      <c r="I38" s="94">
        <f>D_E!S38</f>
        <v>0.93</v>
      </c>
      <c r="J38" s="95">
        <f>Y_D!BQ38</f>
        <v>0.32</v>
      </c>
      <c r="K38" s="94">
        <f>Y_E!S38</f>
        <v>0.80999999999999994</v>
      </c>
      <c r="L38" s="96">
        <f t="shared" si="2"/>
        <v>0.28000000000000003</v>
      </c>
      <c r="M38" s="96">
        <f t="shared" si="3"/>
        <v>0.72250000000000003</v>
      </c>
    </row>
    <row r="39" spans="1:13" ht="15" customHeight="1" x14ac:dyDescent="0.45">
      <c r="A39" s="171">
        <v>36</v>
      </c>
      <c r="B39" s="158" t="str">
        <f>Hakemler!B39</f>
        <v>KARAHAN</v>
      </c>
      <c r="C39" s="159" t="str">
        <f>Hakemler!C39</f>
        <v>NESRİN</v>
      </c>
      <c r="D39" s="93">
        <f>AtM_D!X39</f>
        <v>0</v>
      </c>
      <c r="E39" s="94">
        <f>AtM_E!S39</f>
        <v>0.97</v>
      </c>
      <c r="F39" s="95">
        <f>KP_D!BQ39</f>
        <v>0.21999999999999997</v>
      </c>
      <c r="G39" s="94">
        <f>KP_E!S39</f>
        <v>0.82</v>
      </c>
      <c r="H39" s="95">
        <f>D_D!BQ39</f>
        <v>1.9999999999999997E-2</v>
      </c>
      <c r="I39" s="94">
        <f>D_E!S39</f>
        <v>0.66999999999999993</v>
      </c>
      <c r="J39" s="95">
        <f>Y_D!BQ39</f>
        <v>0.3</v>
      </c>
      <c r="K39" s="94">
        <f>Y_E!S39</f>
        <v>0.88000000000000012</v>
      </c>
      <c r="L39" s="96">
        <f t="shared" si="2"/>
        <v>0.13499999999999998</v>
      </c>
      <c r="M39" s="96">
        <f t="shared" si="3"/>
        <v>0.83499999999999996</v>
      </c>
    </row>
    <row r="40" spans="1:13" ht="15" customHeight="1" x14ac:dyDescent="0.45">
      <c r="A40" s="171">
        <v>37</v>
      </c>
      <c r="B40" s="160" t="str">
        <f>Hakemler!B40</f>
        <v>ALTAY</v>
      </c>
      <c r="C40" s="161" t="str">
        <f>Hakemler!C40</f>
        <v>SERDİNÇ</v>
      </c>
      <c r="D40" s="93">
        <f>AtM_D!X40</f>
        <v>0.4</v>
      </c>
      <c r="E40" s="94">
        <f>AtM_E!S40</f>
        <v>0.75</v>
      </c>
      <c r="F40" s="95">
        <f>KP_D!BQ40</f>
        <v>5.9999999999999873E-2</v>
      </c>
      <c r="G40" s="94">
        <f>KP_E!S40</f>
        <v>0.82</v>
      </c>
      <c r="H40" s="95">
        <f>D_D!BQ40</f>
        <v>0.17999999999999997</v>
      </c>
      <c r="I40" s="94">
        <f>D_E!S40</f>
        <v>0.9</v>
      </c>
      <c r="J40" s="95">
        <f>Y_D!BQ40</f>
        <v>0.24</v>
      </c>
      <c r="K40" s="94">
        <f>Y_E!S40</f>
        <v>0.82</v>
      </c>
      <c r="L40" s="96">
        <f t="shared" si="2"/>
        <v>0.21999999999999997</v>
      </c>
      <c r="M40" s="96">
        <f t="shared" si="3"/>
        <v>0.8224999999999999</v>
      </c>
    </row>
    <row r="41" spans="1:13" ht="15" customHeight="1" x14ac:dyDescent="0.45">
      <c r="A41" s="171">
        <v>38</v>
      </c>
      <c r="B41" s="160" t="str">
        <f>Hakemler!B41</f>
        <v>TOPTAŞ</v>
      </c>
      <c r="C41" s="161" t="str">
        <f>Hakemler!C41</f>
        <v>BİRSEN</v>
      </c>
      <c r="D41" s="93">
        <f>AtM_D!X41</f>
        <v>0.2</v>
      </c>
      <c r="E41" s="94">
        <f>AtM_E!S41</f>
        <v>0.9</v>
      </c>
      <c r="F41" s="95">
        <f>KP_D!BQ41</f>
        <v>0.36</v>
      </c>
      <c r="G41" s="94">
        <f>KP_E!S41</f>
        <v>0.69000000000000006</v>
      </c>
      <c r="H41" s="95">
        <f>D_D!BQ41</f>
        <v>0.25999999999999995</v>
      </c>
      <c r="I41" s="94">
        <f>D_E!S41</f>
        <v>0.89</v>
      </c>
      <c r="J41" s="95">
        <f>Y_D!BQ41</f>
        <v>0.51999999999999991</v>
      </c>
      <c r="K41" s="94">
        <f>Y_E!S41</f>
        <v>0.76</v>
      </c>
      <c r="L41" s="96">
        <f t="shared" si="2"/>
        <v>0.33499999999999996</v>
      </c>
      <c r="M41" s="96">
        <f t="shared" si="3"/>
        <v>0.81</v>
      </c>
    </row>
    <row r="42" spans="1:13" ht="15" customHeight="1" x14ac:dyDescent="0.45">
      <c r="A42" s="171">
        <v>39</v>
      </c>
      <c r="B42" s="160" t="str">
        <f>Hakemler!B42</f>
        <v>ODACIĞLU TURHAN</v>
      </c>
      <c r="C42" s="161" t="str">
        <f>Hakemler!C42</f>
        <v xml:space="preserve">AYŞEGÜL </v>
      </c>
      <c r="D42" s="93">
        <f>AtM_D!X42</f>
        <v>0.2</v>
      </c>
      <c r="E42" s="94">
        <f>AtM_E!S42</f>
        <v>0.78</v>
      </c>
      <c r="F42" s="95">
        <f>KP_D!BQ42</f>
        <v>0.43999999999999995</v>
      </c>
      <c r="G42" s="94">
        <f>KP_E!S42</f>
        <v>0.35</v>
      </c>
      <c r="H42" s="95">
        <f>D_D!BQ42</f>
        <v>0.5</v>
      </c>
      <c r="I42" s="94">
        <f>D_E!S42</f>
        <v>0.38</v>
      </c>
      <c r="J42" s="95">
        <f>Y_D!BQ42</f>
        <v>0.15999999999999998</v>
      </c>
      <c r="K42" s="94">
        <f>Y_E!S42</f>
        <v>0.83000000000000007</v>
      </c>
      <c r="L42" s="96">
        <f t="shared" si="2"/>
        <v>0.32499999999999996</v>
      </c>
      <c r="M42" s="96">
        <f t="shared" si="3"/>
        <v>0.58499999999999996</v>
      </c>
    </row>
    <row r="43" spans="1:13" ht="15" customHeight="1" x14ac:dyDescent="0.45">
      <c r="A43" s="171">
        <v>40</v>
      </c>
      <c r="B43" s="158" t="str">
        <f>Hakemler!B43</f>
        <v>CANATAN</v>
      </c>
      <c r="C43" s="159" t="str">
        <f>Hakemler!C43</f>
        <v>BÜŞRA</v>
      </c>
      <c r="D43" s="93">
        <f>AtM_D!X43</f>
        <v>0.4</v>
      </c>
      <c r="E43" s="94">
        <f>AtM_E!S43</f>
        <v>1</v>
      </c>
      <c r="F43" s="95">
        <f>KP_D!BQ43</f>
        <v>0.58000000000000007</v>
      </c>
      <c r="G43" s="94">
        <f>KP_E!S43</f>
        <v>0.75000000000000011</v>
      </c>
      <c r="H43" s="95">
        <f>D_D!BQ43</f>
        <v>0.45999999999999996</v>
      </c>
      <c r="I43" s="94">
        <f>D_E!S43</f>
        <v>0.85</v>
      </c>
      <c r="J43" s="95">
        <f>Y_D!BQ43</f>
        <v>0.5</v>
      </c>
      <c r="K43" s="94">
        <f>Y_E!S43</f>
        <v>0.99</v>
      </c>
      <c r="L43" s="96">
        <f t="shared" si="2"/>
        <v>0.48499999999999999</v>
      </c>
      <c r="M43" s="96">
        <f t="shared" si="3"/>
        <v>0.89749999999999996</v>
      </c>
    </row>
    <row r="44" spans="1:13" ht="15" customHeight="1" x14ac:dyDescent="0.45">
      <c r="A44" s="171">
        <v>41</v>
      </c>
      <c r="B44" s="160" t="str">
        <f>Hakemler!B44</f>
        <v>ELİK</v>
      </c>
      <c r="C44" s="161" t="str">
        <f>Hakemler!C44</f>
        <v>MUSTAFA</v>
      </c>
      <c r="D44" s="93">
        <f>AtM_D!X44</f>
        <v>0</v>
      </c>
      <c r="E44" s="94">
        <f>AtM_E!S44</f>
        <v>0.69000000000000006</v>
      </c>
      <c r="F44" s="95">
        <f>KP_D!BQ44</f>
        <v>-0.38000000000000012</v>
      </c>
      <c r="G44" s="94">
        <f>KP_E!S44</f>
        <v>0.86999999999999988</v>
      </c>
      <c r="H44" s="95">
        <f>D_D!BQ44</f>
        <v>-0.64000000000000012</v>
      </c>
      <c r="I44" s="94">
        <f>D_E!S44</f>
        <v>0.91999999999999993</v>
      </c>
      <c r="J44" s="95">
        <f>Y_D!BQ44</f>
        <v>-0.48000000000000009</v>
      </c>
      <c r="K44" s="94">
        <f>Y_E!S44</f>
        <v>0.93</v>
      </c>
      <c r="L44" s="96">
        <f t="shared" si="2"/>
        <v>-0.37500000000000011</v>
      </c>
      <c r="M44" s="96">
        <f t="shared" si="3"/>
        <v>0.85250000000000004</v>
      </c>
    </row>
    <row r="45" spans="1:13" ht="15" customHeight="1" x14ac:dyDescent="0.45">
      <c r="A45" s="171">
        <v>42</v>
      </c>
      <c r="B45" s="158" t="str">
        <f>Hakemler!B45</f>
        <v>BAKAR</v>
      </c>
      <c r="C45" s="159" t="str">
        <f>Hakemler!C45</f>
        <v>İPEK</v>
      </c>
      <c r="D45" s="93">
        <f>AtM_D!X45</f>
        <v>0.7</v>
      </c>
      <c r="E45" s="94">
        <f>AtM_E!S45</f>
        <v>0.79</v>
      </c>
      <c r="F45" s="95">
        <f>KP_D!BQ45</f>
        <v>-0.24000000000000005</v>
      </c>
      <c r="G45" s="94">
        <f>KP_E!S45</f>
        <v>0.79</v>
      </c>
      <c r="H45" s="95">
        <f>D_D!BQ45</f>
        <v>-8.0000000000000043E-2</v>
      </c>
      <c r="I45" s="94">
        <f>D_E!S45</f>
        <v>0.62</v>
      </c>
      <c r="J45" s="95">
        <f>Y_D!BQ45</f>
        <v>-0.16</v>
      </c>
      <c r="K45" s="94">
        <f>Y_E!S45</f>
        <v>0.04</v>
      </c>
      <c r="L45" s="96">
        <f t="shared" si="2"/>
        <v>5.4999999999999973E-2</v>
      </c>
      <c r="M45" s="96">
        <f t="shared" si="3"/>
        <v>0.56000000000000005</v>
      </c>
    </row>
    <row r="46" spans="1:13" ht="15" customHeight="1" x14ac:dyDescent="0.45">
      <c r="A46" s="171">
        <v>43</v>
      </c>
      <c r="B46" s="160" t="str">
        <f>Hakemler!B46</f>
        <v>UÇAK</v>
      </c>
      <c r="C46" s="161" t="str">
        <f>Hakemler!C46</f>
        <v>ECEM</v>
      </c>
      <c r="D46" s="93">
        <f>AtM_D!X46</f>
        <v>0</v>
      </c>
      <c r="E46" s="94">
        <f>AtM_E!S46</f>
        <v>0.67</v>
      </c>
      <c r="F46" s="95">
        <f>KP_D!BQ46</f>
        <v>-6.0000000000000012E-2</v>
      </c>
      <c r="G46" s="94">
        <f>KP_E!S46</f>
        <v>0.57999999999999996</v>
      </c>
      <c r="H46" s="95">
        <f>D_D!BQ46</f>
        <v>-9.9999999999999978E-2</v>
      </c>
      <c r="I46" s="94">
        <f>D_E!S46</f>
        <v>0.49000000000000005</v>
      </c>
      <c r="J46" s="95">
        <f>Y_D!BQ46</f>
        <v>3.9999999999999994E-2</v>
      </c>
      <c r="K46" s="94">
        <f>Y_E!S46</f>
        <v>0.80999999999999994</v>
      </c>
      <c r="L46" s="96">
        <f t="shared" si="2"/>
        <v>-2.9999999999999995E-2</v>
      </c>
      <c r="M46" s="96">
        <f t="shared" si="3"/>
        <v>0.63749999999999996</v>
      </c>
    </row>
    <row r="47" spans="1:13" ht="15" customHeight="1" x14ac:dyDescent="0.45">
      <c r="A47" s="171">
        <v>44</v>
      </c>
      <c r="B47" s="160" t="str">
        <f>Hakemler!B47</f>
        <v>EFENDİAĞA</v>
      </c>
      <c r="C47" s="161" t="str">
        <f>Hakemler!C47</f>
        <v>EMİNE AYÇA</v>
      </c>
      <c r="D47" s="93">
        <f>AtM_D!X47</f>
        <v>0</v>
      </c>
      <c r="E47" s="94">
        <f>AtM_E!S47</f>
        <v>0.98000000000000009</v>
      </c>
      <c r="F47" s="95">
        <f>KP_D!BQ47</f>
        <v>0.11999999999999995</v>
      </c>
      <c r="G47" s="94">
        <f>KP_E!S47</f>
        <v>0.56000000000000005</v>
      </c>
      <c r="H47" s="95">
        <f>D_D!BQ47</f>
        <v>0.57999999999999985</v>
      </c>
      <c r="I47" s="94">
        <f>D_E!S47</f>
        <v>0</v>
      </c>
      <c r="J47" s="95">
        <f>Y_D!BQ47</f>
        <v>0.57999999999999996</v>
      </c>
      <c r="K47" s="94">
        <f>Y_E!S47</f>
        <v>0.51</v>
      </c>
      <c r="L47" s="96">
        <f t="shared" si="2"/>
        <v>0.31999999999999995</v>
      </c>
      <c r="M47" s="96">
        <f t="shared" si="3"/>
        <v>0.51249999999999996</v>
      </c>
    </row>
    <row r="48" spans="1:13" ht="15" customHeight="1" x14ac:dyDescent="0.45">
      <c r="A48" s="171">
        <v>45</v>
      </c>
      <c r="B48" s="158" t="str">
        <f>Hakemler!B48</f>
        <v>DAL</v>
      </c>
      <c r="C48" s="159" t="str">
        <f>Hakemler!C48</f>
        <v>SİNEM</v>
      </c>
      <c r="D48" s="93">
        <f>AtM_D!X48</f>
        <v>0</v>
      </c>
      <c r="E48" s="94">
        <f>AtM_E!S48</f>
        <v>0.47000000000000003</v>
      </c>
      <c r="F48" s="95">
        <f>KP_D!BQ48</f>
        <v>-0.62</v>
      </c>
      <c r="G48" s="94">
        <f>KP_E!S48</f>
        <v>0.9</v>
      </c>
      <c r="H48" s="95">
        <f>D_D!BQ48</f>
        <v>-0.4</v>
      </c>
      <c r="I48" s="94">
        <f>D_E!S48</f>
        <v>0.82</v>
      </c>
      <c r="J48" s="95">
        <f>Y_D!BQ48</f>
        <v>-0.4200000000000001</v>
      </c>
      <c r="K48" s="94">
        <f>Y_E!S48</f>
        <v>0.80999999999999994</v>
      </c>
      <c r="L48" s="96">
        <f t="shared" si="2"/>
        <v>-0.36000000000000004</v>
      </c>
      <c r="M48" s="96">
        <f t="shared" si="3"/>
        <v>0.75</v>
      </c>
    </row>
    <row r="49" spans="1:13" ht="15" customHeight="1" x14ac:dyDescent="0.45">
      <c r="A49" s="171">
        <v>46</v>
      </c>
      <c r="B49" s="160" t="str">
        <f>Hakemler!B49</f>
        <v>EDE</v>
      </c>
      <c r="C49" s="161" t="str">
        <f>Hakemler!C49</f>
        <v>İHSAN</v>
      </c>
      <c r="D49" s="93">
        <f>AtM_D!X49</f>
        <v>0</v>
      </c>
      <c r="E49" s="94">
        <f>AtM_E!S49</f>
        <v>0.91999999999999993</v>
      </c>
      <c r="F49" s="95">
        <f>KP_D!BQ49</f>
        <v>-4.0000000000000036E-2</v>
      </c>
      <c r="G49" s="94">
        <f>KP_E!S49</f>
        <v>0.68</v>
      </c>
      <c r="H49" s="95">
        <f>D_D!BQ49</f>
        <v>1.9999999999999952E-2</v>
      </c>
      <c r="I49" s="94">
        <f>D_E!S49</f>
        <v>0.67</v>
      </c>
      <c r="J49" s="95">
        <f>Y_D!BQ49</f>
        <v>-8.0000000000000029E-2</v>
      </c>
      <c r="K49" s="94">
        <f>Y_E!S49</f>
        <v>0.08</v>
      </c>
      <c r="L49" s="96">
        <f t="shared" si="2"/>
        <v>-2.5000000000000029E-2</v>
      </c>
      <c r="M49" s="96">
        <f t="shared" si="3"/>
        <v>0.58750000000000002</v>
      </c>
    </row>
    <row r="50" spans="1:13" ht="15" customHeight="1" x14ac:dyDescent="0.45">
      <c r="A50" s="54">
        <v>47</v>
      </c>
      <c r="B50" s="172">
        <f>Hakemler!B50</f>
        <v>0</v>
      </c>
      <c r="C50" s="173">
        <f>Hakemler!C50</f>
        <v>0</v>
      </c>
      <c r="D50" s="93">
        <f>AtM_D!X50</f>
        <v>0.1</v>
      </c>
      <c r="E50" s="94">
        <f>AtM_E!S50</f>
        <v>0</v>
      </c>
      <c r="F50" s="95">
        <f>KP_D!BQ50</f>
        <v>-0.48000000000000009</v>
      </c>
      <c r="G50" s="94">
        <f>KP_E!S50</f>
        <v>0</v>
      </c>
      <c r="H50" s="95">
        <f>D_D!BQ50</f>
        <v>-0.54</v>
      </c>
      <c r="I50" s="94">
        <f>D_E!S50</f>
        <v>0</v>
      </c>
      <c r="J50" s="95">
        <f>Y_D!BQ50</f>
        <v>-0.28000000000000014</v>
      </c>
      <c r="K50" s="94">
        <f>Y_E!S50</f>
        <v>0</v>
      </c>
      <c r="L50" s="96">
        <f t="shared" si="2"/>
        <v>-0.30000000000000004</v>
      </c>
      <c r="M50" s="96">
        <f t="shared" si="3"/>
        <v>0</v>
      </c>
    </row>
    <row r="51" spans="1:13" ht="15" customHeight="1" x14ac:dyDescent="0.45">
      <c r="A51" s="54">
        <v>48</v>
      </c>
      <c r="B51" s="174">
        <f>Hakemler!B51</f>
        <v>0</v>
      </c>
      <c r="C51" s="175">
        <f>Hakemler!C51</f>
        <v>0</v>
      </c>
      <c r="D51" s="93">
        <f>AtM_D!X51</f>
        <v>0.1</v>
      </c>
      <c r="E51" s="94">
        <f>AtM_E!S51</f>
        <v>0</v>
      </c>
      <c r="F51" s="95">
        <f>KP_D!BQ51</f>
        <v>-0.48000000000000009</v>
      </c>
      <c r="G51" s="94">
        <f>KP_E!S51</f>
        <v>0</v>
      </c>
      <c r="H51" s="95">
        <f>D_D!BQ51</f>
        <v>-0.54</v>
      </c>
      <c r="I51" s="94">
        <f>D_E!S51</f>
        <v>0</v>
      </c>
      <c r="J51" s="95">
        <f>Y_D!BQ51</f>
        <v>-0.28000000000000014</v>
      </c>
      <c r="K51" s="94">
        <f>Y_E!S51</f>
        <v>0</v>
      </c>
      <c r="L51" s="96">
        <f t="shared" si="2"/>
        <v>-0.30000000000000004</v>
      </c>
      <c r="M51" s="96">
        <f t="shared" si="3"/>
        <v>0</v>
      </c>
    </row>
    <row r="52" spans="1:13" ht="15" customHeight="1" x14ac:dyDescent="0.45">
      <c r="A52" s="54">
        <v>49</v>
      </c>
      <c r="B52" s="172">
        <f>Hakemler!B52</f>
        <v>0</v>
      </c>
      <c r="C52" s="173">
        <f>Hakemler!C52</f>
        <v>0</v>
      </c>
      <c r="D52" s="93">
        <f>AtM_D!X52</f>
        <v>0.1</v>
      </c>
      <c r="E52" s="94">
        <f>AtM_E!S52</f>
        <v>0</v>
      </c>
      <c r="F52" s="95">
        <f>KP_D!BQ52</f>
        <v>-0.48000000000000009</v>
      </c>
      <c r="G52" s="94">
        <f>KP_E!S52</f>
        <v>0</v>
      </c>
      <c r="H52" s="95">
        <f>D_D!BQ52</f>
        <v>-0.54</v>
      </c>
      <c r="I52" s="94">
        <f>D_E!S52</f>
        <v>0</v>
      </c>
      <c r="J52" s="95">
        <f>Y_D!BQ52</f>
        <v>-0.28000000000000014</v>
      </c>
      <c r="K52" s="94">
        <f>Y_E!S52</f>
        <v>0</v>
      </c>
      <c r="L52" s="96">
        <f t="shared" si="2"/>
        <v>-0.30000000000000004</v>
      </c>
      <c r="M52" s="96">
        <f t="shared" si="3"/>
        <v>0</v>
      </c>
    </row>
    <row r="53" spans="1:13" ht="15" customHeight="1" x14ac:dyDescent="0.45">
      <c r="A53" s="54">
        <v>50</v>
      </c>
      <c r="B53" s="172">
        <f>Hakemler!B53</f>
        <v>0</v>
      </c>
      <c r="C53" s="173">
        <f>Hakemler!C53</f>
        <v>0</v>
      </c>
      <c r="D53" s="93">
        <f>AtM_D!X53</f>
        <v>0.1</v>
      </c>
      <c r="E53" s="94">
        <f>AtM_E!S53</f>
        <v>0</v>
      </c>
      <c r="F53" s="95">
        <f>KP_D!BQ53</f>
        <v>-0.48000000000000009</v>
      </c>
      <c r="G53" s="94">
        <f>KP_E!S53</f>
        <v>0</v>
      </c>
      <c r="H53" s="95">
        <f>D_D!BQ53</f>
        <v>-0.54</v>
      </c>
      <c r="I53" s="94">
        <f>D_E!S53</f>
        <v>0</v>
      </c>
      <c r="J53" s="95">
        <f>Y_D!BQ53</f>
        <v>-0.28000000000000014</v>
      </c>
      <c r="K53" s="94">
        <f>Y_E!S53</f>
        <v>0</v>
      </c>
      <c r="L53" s="96">
        <f t="shared" si="2"/>
        <v>-0.30000000000000004</v>
      </c>
      <c r="M53" s="96">
        <f t="shared" si="3"/>
        <v>0</v>
      </c>
    </row>
    <row r="54" spans="1:13" ht="15" customHeight="1" x14ac:dyDescent="0.45">
      <c r="A54" s="54">
        <v>51</v>
      </c>
      <c r="B54" s="174">
        <f>Hakemler!B54</f>
        <v>0</v>
      </c>
      <c r="C54" s="175">
        <f>Hakemler!C54</f>
        <v>0</v>
      </c>
      <c r="D54" s="93">
        <f>AtM_D!X54</f>
        <v>0.1</v>
      </c>
      <c r="E54" s="94">
        <f>AtM_E!S54</f>
        <v>0</v>
      </c>
      <c r="F54" s="95">
        <f>KP_D!BQ54</f>
        <v>-0.48000000000000009</v>
      </c>
      <c r="G54" s="94">
        <f>KP_E!S54</f>
        <v>0</v>
      </c>
      <c r="H54" s="95">
        <f>D_D!BQ54</f>
        <v>-0.54</v>
      </c>
      <c r="I54" s="94">
        <f>D_E!S54</f>
        <v>0</v>
      </c>
      <c r="J54" s="95">
        <f>Y_D!BQ54</f>
        <v>-0.28000000000000014</v>
      </c>
      <c r="K54" s="94">
        <f>Y_E!S54</f>
        <v>0</v>
      </c>
      <c r="L54" s="96">
        <f t="shared" si="2"/>
        <v>-0.30000000000000004</v>
      </c>
      <c r="M54" s="96">
        <f t="shared" si="3"/>
        <v>0</v>
      </c>
    </row>
    <row r="55" spans="1:13" ht="15" customHeight="1" x14ac:dyDescent="0.45">
      <c r="A55" s="54">
        <v>52</v>
      </c>
      <c r="B55" s="174">
        <f>Hakemler!B55</f>
        <v>0</v>
      </c>
      <c r="C55" s="175">
        <f>Hakemler!C55</f>
        <v>0</v>
      </c>
      <c r="D55" s="93">
        <f>AtM_D!X55</f>
        <v>0.1</v>
      </c>
      <c r="E55" s="94">
        <f>AtM_E!S55</f>
        <v>0</v>
      </c>
      <c r="F55" s="95">
        <f>KP_D!BQ55</f>
        <v>-0.48000000000000009</v>
      </c>
      <c r="G55" s="94">
        <f>KP_E!S55</f>
        <v>0</v>
      </c>
      <c r="H55" s="95">
        <f>D_D!BQ55</f>
        <v>-0.54</v>
      </c>
      <c r="I55" s="94">
        <f>D_E!S55</f>
        <v>0</v>
      </c>
      <c r="J55" s="95">
        <f>Y_D!BQ55</f>
        <v>-0.28000000000000014</v>
      </c>
      <c r="K55" s="94">
        <f>Y_E!S55</f>
        <v>0</v>
      </c>
      <c r="L55" s="96">
        <f t="shared" si="2"/>
        <v>-0.30000000000000004</v>
      </c>
      <c r="M55" s="96">
        <f t="shared" si="3"/>
        <v>0</v>
      </c>
    </row>
    <row r="56" spans="1:13" ht="15" customHeight="1" x14ac:dyDescent="0.45">
      <c r="A56" s="54">
        <v>53</v>
      </c>
      <c r="B56" s="174">
        <f>Hakemler!B56</f>
        <v>0</v>
      </c>
      <c r="C56" s="173">
        <f>Hakemler!C56</f>
        <v>0</v>
      </c>
      <c r="D56" s="93">
        <f>AtM_D!X56</f>
        <v>0.1</v>
      </c>
      <c r="E56" s="94">
        <f>AtM_E!S56</f>
        <v>0</v>
      </c>
      <c r="F56" s="95">
        <f>KP_D!BQ56</f>
        <v>-0.48000000000000009</v>
      </c>
      <c r="G56" s="94">
        <f>KP_E!S56</f>
        <v>0</v>
      </c>
      <c r="H56" s="95">
        <f>D_D!BQ56</f>
        <v>-0.54</v>
      </c>
      <c r="I56" s="94">
        <f>D_E!S56</f>
        <v>0</v>
      </c>
      <c r="J56" s="95">
        <f>Y_D!BQ56</f>
        <v>-0.28000000000000014</v>
      </c>
      <c r="K56" s="94">
        <f>Y_E!S56</f>
        <v>0</v>
      </c>
      <c r="L56" s="96">
        <f t="shared" si="2"/>
        <v>-0.30000000000000004</v>
      </c>
      <c r="M56" s="96">
        <f t="shared" si="3"/>
        <v>0</v>
      </c>
    </row>
    <row r="57" spans="1:13" ht="15" customHeight="1" x14ac:dyDescent="0.45">
      <c r="A57" s="54">
        <v>54</v>
      </c>
      <c r="B57" s="172">
        <f>Hakemler!B57</f>
        <v>0</v>
      </c>
      <c r="C57" s="173">
        <f>Hakemler!C57</f>
        <v>0</v>
      </c>
      <c r="D57" s="93">
        <f>AtM_D!X57</f>
        <v>0.1</v>
      </c>
      <c r="E57" s="94">
        <f>AtM_E!S57</f>
        <v>0</v>
      </c>
      <c r="F57" s="95">
        <f>KP_D!BQ57</f>
        <v>-0.48000000000000009</v>
      </c>
      <c r="G57" s="94">
        <f>KP_E!S57</f>
        <v>0</v>
      </c>
      <c r="H57" s="95">
        <f>D_D!BQ57</f>
        <v>-0.54</v>
      </c>
      <c r="I57" s="94">
        <f>D_E!S57</f>
        <v>0</v>
      </c>
      <c r="J57" s="95">
        <f>Y_D!BQ57</f>
        <v>-0.28000000000000014</v>
      </c>
      <c r="K57" s="94">
        <f>Y_E!S57</f>
        <v>0</v>
      </c>
      <c r="L57" s="96">
        <f t="shared" si="2"/>
        <v>-0.30000000000000004</v>
      </c>
      <c r="M57" s="96">
        <f t="shared" si="3"/>
        <v>0</v>
      </c>
    </row>
    <row r="58" spans="1:13" ht="15" customHeight="1" x14ac:dyDescent="0.45">
      <c r="A58" s="54">
        <v>55</v>
      </c>
      <c r="B58" s="174">
        <f>Hakemler!B58</f>
        <v>0</v>
      </c>
      <c r="C58" s="175">
        <f>Hakemler!C58</f>
        <v>0</v>
      </c>
      <c r="D58" s="93">
        <f>AtM_D!X58</f>
        <v>0.1</v>
      </c>
      <c r="E58" s="94">
        <f>AtM_E!S58</f>
        <v>0</v>
      </c>
      <c r="F58" s="95">
        <f>KP_D!BQ58</f>
        <v>-0.48000000000000009</v>
      </c>
      <c r="G58" s="94">
        <f>KP_E!S58</f>
        <v>0</v>
      </c>
      <c r="H58" s="95">
        <f>D_D!BQ58</f>
        <v>-0.54</v>
      </c>
      <c r="I58" s="94">
        <f>D_E!S58</f>
        <v>0</v>
      </c>
      <c r="J58" s="95">
        <f>Y_D!BQ58</f>
        <v>-0.28000000000000014</v>
      </c>
      <c r="K58" s="94">
        <f>Y_E!S58</f>
        <v>0</v>
      </c>
      <c r="L58" s="96">
        <f t="shared" si="2"/>
        <v>-0.30000000000000004</v>
      </c>
      <c r="M58" s="96">
        <f t="shared" si="3"/>
        <v>0</v>
      </c>
    </row>
    <row r="59" spans="1:13" ht="15" customHeight="1" x14ac:dyDescent="0.45">
      <c r="A59" s="54">
        <v>56</v>
      </c>
      <c r="B59" s="172">
        <f>Hakemler!B59</f>
        <v>0</v>
      </c>
      <c r="C59" s="173">
        <f>Hakemler!C59</f>
        <v>0</v>
      </c>
      <c r="D59" s="93">
        <f>AtM_D!X59</f>
        <v>0.1</v>
      </c>
      <c r="E59" s="94">
        <f>AtM_E!S59</f>
        <v>0</v>
      </c>
      <c r="F59" s="95">
        <f>KP_D!BQ59</f>
        <v>-0.48000000000000009</v>
      </c>
      <c r="G59" s="94">
        <f>KP_E!S59</f>
        <v>0</v>
      </c>
      <c r="H59" s="95">
        <f>D_D!BQ59</f>
        <v>-0.54</v>
      </c>
      <c r="I59" s="94">
        <f>D_E!S59</f>
        <v>0</v>
      </c>
      <c r="J59" s="95">
        <f>Y_D!BQ59</f>
        <v>-0.28000000000000014</v>
      </c>
      <c r="K59" s="94">
        <f>Y_E!S59</f>
        <v>0</v>
      </c>
      <c r="L59" s="96">
        <f t="shared" si="2"/>
        <v>-0.30000000000000004</v>
      </c>
      <c r="M59" s="96">
        <f t="shared" si="3"/>
        <v>0</v>
      </c>
    </row>
    <row r="60" spans="1:13" ht="15" customHeight="1" x14ac:dyDescent="0.45">
      <c r="A60" s="54">
        <v>57</v>
      </c>
      <c r="B60" s="174">
        <f>Hakemler!B60</f>
        <v>0</v>
      </c>
      <c r="C60" s="175">
        <f>Hakemler!C60</f>
        <v>0</v>
      </c>
      <c r="D60" s="93">
        <f>AtM_D!X60</f>
        <v>0.1</v>
      </c>
      <c r="E60" s="94">
        <f>AtM_E!S60</f>
        <v>0</v>
      </c>
      <c r="F60" s="95">
        <f>KP_D!BQ60</f>
        <v>-0.48000000000000009</v>
      </c>
      <c r="G60" s="94">
        <f>KP_E!S60</f>
        <v>0</v>
      </c>
      <c r="H60" s="95">
        <f>D_D!BQ60</f>
        <v>-0.54</v>
      </c>
      <c r="I60" s="94">
        <f>D_E!S60</f>
        <v>0</v>
      </c>
      <c r="J60" s="95">
        <f>Y_D!BQ60</f>
        <v>-0.28000000000000014</v>
      </c>
      <c r="K60" s="94">
        <f>Y_E!S60</f>
        <v>0</v>
      </c>
      <c r="L60" s="96">
        <f t="shared" si="2"/>
        <v>-0.30000000000000004</v>
      </c>
      <c r="M60" s="96">
        <f t="shared" si="3"/>
        <v>0</v>
      </c>
    </row>
    <row r="61" spans="1:13" ht="15" customHeight="1" x14ac:dyDescent="0.45">
      <c r="A61" s="54">
        <v>58</v>
      </c>
      <c r="B61" s="172">
        <f>Hakemler!B61</f>
        <v>0</v>
      </c>
      <c r="C61" s="173">
        <f>Hakemler!C61</f>
        <v>0</v>
      </c>
      <c r="D61" s="93">
        <f>AtM_D!X61</f>
        <v>0.1</v>
      </c>
      <c r="E61" s="94">
        <f>AtM_E!S61</f>
        <v>0</v>
      </c>
      <c r="F61" s="95">
        <f>KP_D!BQ61</f>
        <v>-0.48000000000000009</v>
      </c>
      <c r="G61" s="94">
        <f>KP_E!S61</f>
        <v>0</v>
      </c>
      <c r="H61" s="95">
        <f>D_D!BQ61</f>
        <v>-0.54</v>
      </c>
      <c r="I61" s="94">
        <f>D_E!S61</f>
        <v>0</v>
      </c>
      <c r="J61" s="95">
        <f>Y_D!BQ61</f>
        <v>-0.28000000000000014</v>
      </c>
      <c r="K61" s="94">
        <f>Y_E!S61</f>
        <v>0</v>
      </c>
      <c r="L61" s="96">
        <f t="shared" si="2"/>
        <v>-0.30000000000000004</v>
      </c>
      <c r="M61" s="96">
        <f t="shared" si="3"/>
        <v>0</v>
      </c>
    </row>
    <row r="62" spans="1:13" ht="15" customHeight="1" x14ac:dyDescent="0.45">
      <c r="A62" s="54">
        <v>59</v>
      </c>
      <c r="B62" s="172">
        <f>Hakemler!B62</f>
        <v>0</v>
      </c>
      <c r="C62" s="173">
        <f>Hakemler!C62</f>
        <v>0</v>
      </c>
      <c r="D62" s="93">
        <f>AtM_D!X62</f>
        <v>0.1</v>
      </c>
      <c r="E62" s="94">
        <f>AtM_E!S62</f>
        <v>0</v>
      </c>
      <c r="F62" s="95">
        <f>KP_D!BQ62</f>
        <v>-0.48000000000000009</v>
      </c>
      <c r="G62" s="94">
        <f>KP_E!S62</f>
        <v>0</v>
      </c>
      <c r="H62" s="95">
        <f>D_D!BQ62</f>
        <v>-0.54</v>
      </c>
      <c r="I62" s="94">
        <f>D_E!S62</f>
        <v>0</v>
      </c>
      <c r="J62" s="95">
        <f>Y_D!BQ62</f>
        <v>-0.28000000000000014</v>
      </c>
      <c r="K62" s="94">
        <f>Y_E!S62</f>
        <v>0</v>
      </c>
      <c r="L62" s="96">
        <f t="shared" si="2"/>
        <v>-0.30000000000000004</v>
      </c>
      <c r="M62" s="96">
        <f t="shared" si="3"/>
        <v>0</v>
      </c>
    </row>
    <row r="63" spans="1:13" ht="15" customHeight="1" x14ac:dyDescent="0.45">
      <c r="A63" s="54">
        <v>60</v>
      </c>
      <c r="B63" s="172">
        <f>Hakemler!B63</f>
        <v>0</v>
      </c>
      <c r="C63" s="173">
        <f>Hakemler!C63</f>
        <v>0</v>
      </c>
      <c r="D63" s="93">
        <f>AtM_D!X63</f>
        <v>0.1</v>
      </c>
      <c r="E63" s="94">
        <f>AtM_E!S63</f>
        <v>0</v>
      </c>
      <c r="F63" s="95">
        <f>KP_D!BQ63</f>
        <v>-0.48000000000000009</v>
      </c>
      <c r="G63" s="94">
        <f>KP_E!S63</f>
        <v>0</v>
      </c>
      <c r="H63" s="95">
        <f>D_D!BQ63</f>
        <v>-0.54</v>
      </c>
      <c r="I63" s="94">
        <f>D_E!S63</f>
        <v>0</v>
      </c>
      <c r="J63" s="95">
        <f>Y_D!BQ63</f>
        <v>-0.28000000000000014</v>
      </c>
      <c r="K63" s="94">
        <f>Y_E!S63</f>
        <v>0</v>
      </c>
      <c r="L63" s="96">
        <f t="shared" si="2"/>
        <v>-0.30000000000000004</v>
      </c>
      <c r="M63" s="96">
        <f t="shared" si="3"/>
        <v>0</v>
      </c>
    </row>
    <row r="64" spans="1:13" ht="15" customHeight="1" x14ac:dyDescent="0.45">
      <c r="A64" s="54">
        <v>61</v>
      </c>
      <c r="B64" s="172">
        <f>Hakemler!B64</f>
        <v>0</v>
      </c>
      <c r="C64" s="173">
        <f>Hakemler!C64</f>
        <v>0</v>
      </c>
      <c r="D64" s="93">
        <f>AtM_D!X64</f>
        <v>0.1</v>
      </c>
      <c r="E64" s="94">
        <f>AtM_E!S64</f>
        <v>0</v>
      </c>
      <c r="F64" s="95">
        <f>KP_D!BQ64</f>
        <v>-0.48000000000000009</v>
      </c>
      <c r="G64" s="94">
        <f>KP_E!S64</f>
        <v>0</v>
      </c>
      <c r="H64" s="95">
        <f>D_D!BQ64</f>
        <v>-0.54</v>
      </c>
      <c r="I64" s="94">
        <f>D_E!S64</f>
        <v>0</v>
      </c>
      <c r="J64" s="95">
        <f>Y_D!BQ64</f>
        <v>-0.28000000000000014</v>
      </c>
      <c r="K64" s="94">
        <f>Y_E!S64</f>
        <v>0</v>
      </c>
      <c r="L64" s="96">
        <f t="shared" si="2"/>
        <v>-0.30000000000000004</v>
      </c>
      <c r="M64" s="96">
        <f t="shared" si="3"/>
        <v>0</v>
      </c>
    </row>
    <row r="65" spans="1:13" ht="15" customHeight="1" x14ac:dyDescent="0.45">
      <c r="A65" s="54">
        <v>62</v>
      </c>
      <c r="B65" s="172">
        <f>Hakemler!B65</f>
        <v>0</v>
      </c>
      <c r="C65" s="173">
        <f>Hakemler!C65</f>
        <v>0</v>
      </c>
      <c r="D65" s="93">
        <f>AtM_D!X65</f>
        <v>0.1</v>
      </c>
      <c r="E65" s="94">
        <f>AtM_E!S65</f>
        <v>0</v>
      </c>
      <c r="F65" s="95">
        <f>KP_D!BQ65</f>
        <v>-0.48000000000000009</v>
      </c>
      <c r="G65" s="94">
        <f>KP_E!S65</f>
        <v>0</v>
      </c>
      <c r="H65" s="95">
        <f>D_D!BQ65</f>
        <v>-0.54</v>
      </c>
      <c r="I65" s="94">
        <f>D_E!S65</f>
        <v>0</v>
      </c>
      <c r="J65" s="95">
        <f>Y_D!BQ65</f>
        <v>-0.28000000000000014</v>
      </c>
      <c r="K65" s="94">
        <f>Y_E!S65</f>
        <v>0</v>
      </c>
      <c r="L65" s="96">
        <f t="shared" si="2"/>
        <v>-0.30000000000000004</v>
      </c>
      <c r="M65" s="96">
        <f t="shared" si="3"/>
        <v>0</v>
      </c>
    </row>
    <row r="66" spans="1:13" ht="15" customHeight="1" x14ac:dyDescent="0.45">
      <c r="A66" s="54">
        <v>63</v>
      </c>
      <c r="B66" s="172">
        <f>Hakemler!B66</f>
        <v>0</v>
      </c>
      <c r="C66" s="173">
        <f>Hakemler!C66</f>
        <v>0</v>
      </c>
      <c r="D66" s="93">
        <f>AtM_D!X66</f>
        <v>0.1</v>
      </c>
      <c r="E66" s="94">
        <f>AtM_E!S66</f>
        <v>0</v>
      </c>
      <c r="F66" s="95">
        <f>KP_D!BQ66</f>
        <v>-0.48000000000000009</v>
      </c>
      <c r="G66" s="94">
        <f>KP_E!S66</f>
        <v>0</v>
      </c>
      <c r="H66" s="95">
        <f>D_D!BQ66</f>
        <v>-0.54</v>
      </c>
      <c r="I66" s="94">
        <f>D_E!S66</f>
        <v>0</v>
      </c>
      <c r="J66" s="95">
        <f>Y_D!BQ66</f>
        <v>-0.28000000000000014</v>
      </c>
      <c r="K66" s="94">
        <f>Y_E!S66</f>
        <v>0</v>
      </c>
      <c r="L66" s="96">
        <f t="shared" si="2"/>
        <v>-0.30000000000000004</v>
      </c>
      <c r="M66" s="96">
        <f t="shared" si="3"/>
        <v>0</v>
      </c>
    </row>
    <row r="67" spans="1:13" ht="15" customHeight="1" x14ac:dyDescent="0.45">
      <c r="A67" s="54">
        <v>64</v>
      </c>
      <c r="B67" s="174">
        <f>Hakemler!B67</f>
        <v>0</v>
      </c>
      <c r="C67" s="175">
        <f>Hakemler!C67</f>
        <v>0</v>
      </c>
      <c r="D67" s="93">
        <f>AtM_D!X67</f>
        <v>0.1</v>
      </c>
      <c r="E67" s="94">
        <f>AtM_E!S67</f>
        <v>0</v>
      </c>
      <c r="F67" s="95">
        <f>KP_D!BQ67</f>
        <v>-0.48000000000000009</v>
      </c>
      <c r="G67" s="94">
        <f>KP_E!S67</f>
        <v>0</v>
      </c>
      <c r="H67" s="95">
        <f>D_D!BQ67</f>
        <v>-0.54</v>
      </c>
      <c r="I67" s="94">
        <f>D_E!S67</f>
        <v>0</v>
      </c>
      <c r="J67" s="95">
        <f>Y_D!BQ67</f>
        <v>-0.28000000000000014</v>
      </c>
      <c r="K67" s="94">
        <f>Y_E!S67</f>
        <v>0</v>
      </c>
      <c r="L67" s="96">
        <f t="shared" si="2"/>
        <v>-0.30000000000000004</v>
      </c>
      <c r="M67" s="96">
        <f t="shared" si="3"/>
        <v>0</v>
      </c>
    </row>
    <row r="68" spans="1:13" ht="15" customHeight="1" x14ac:dyDescent="0.45">
      <c r="A68" s="54">
        <v>65</v>
      </c>
      <c r="B68" s="174">
        <f>Hakemler!B68</f>
        <v>0</v>
      </c>
      <c r="C68" s="175">
        <f>Hakemler!C68</f>
        <v>0</v>
      </c>
      <c r="D68" s="93">
        <f>AtM_D!X68</f>
        <v>0.1</v>
      </c>
      <c r="E68" s="94">
        <f>AtM_E!S68</f>
        <v>0</v>
      </c>
      <c r="F68" s="95">
        <f>KP_D!BQ68</f>
        <v>-0.48000000000000009</v>
      </c>
      <c r="G68" s="94">
        <f>KP_E!S68</f>
        <v>0</v>
      </c>
      <c r="H68" s="95">
        <f>D_D!BQ68</f>
        <v>-0.54</v>
      </c>
      <c r="I68" s="94">
        <f>D_E!S68</f>
        <v>0</v>
      </c>
      <c r="J68" s="95">
        <f>Y_D!BQ68</f>
        <v>-0.28000000000000014</v>
      </c>
      <c r="K68" s="94">
        <f>Y_E!S68</f>
        <v>0</v>
      </c>
      <c r="L68" s="96">
        <f t="shared" ref="L68:L103" si="4">(D68+F68+H68+J68)/4</f>
        <v>-0.30000000000000004</v>
      </c>
      <c r="M68" s="96">
        <f t="shared" ref="M68:M103" si="5">(E68+G68+I68+K68)/4</f>
        <v>0</v>
      </c>
    </row>
    <row r="69" spans="1:13" ht="15" customHeight="1" x14ac:dyDescent="0.45">
      <c r="A69" s="54">
        <v>66</v>
      </c>
      <c r="B69" s="174">
        <f>Hakemler!B69</f>
        <v>0</v>
      </c>
      <c r="C69" s="175">
        <f>Hakemler!C69</f>
        <v>0</v>
      </c>
      <c r="D69" s="93">
        <f>AtM_D!X69</f>
        <v>0.1</v>
      </c>
      <c r="E69" s="94">
        <f>AtM_E!S69</f>
        <v>0</v>
      </c>
      <c r="F69" s="95">
        <f>KP_D!BQ69</f>
        <v>-0.48000000000000009</v>
      </c>
      <c r="G69" s="94">
        <f>KP_E!S69</f>
        <v>0</v>
      </c>
      <c r="H69" s="95">
        <f>D_D!BQ69</f>
        <v>-0.54</v>
      </c>
      <c r="I69" s="94">
        <f>D_E!S69</f>
        <v>0</v>
      </c>
      <c r="J69" s="95">
        <f>Y_D!BQ69</f>
        <v>-0.28000000000000014</v>
      </c>
      <c r="K69" s="94">
        <f>Y_E!S69</f>
        <v>0</v>
      </c>
      <c r="L69" s="96">
        <f t="shared" si="4"/>
        <v>-0.30000000000000004</v>
      </c>
      <c r="M69" s="96">
        <f t="shared" si="5"/>
        <v>0</v>
      </c>
    </row>
    <row r="70" spans="1:13" ht="15" customHeight="1" x14ac:dyDescent="0.45">
      <c r="A70" s="54">
        <v>67</v>
      </c>
      <c r="B70" s="174">
        <f>Hakemler!B70</f>
        <v>0</v>
      </c>
      <c r="C70" s="175">
        <f>Hakemler!C70</f>
        <v>0</v>
      </c>
      <c r="D70" s="93">
        <f>AtM_D!X70</f>
        <v>0.1</v>
      </c>
      <c r="E70" s="94">
        <f>AtM_E!S70</f>
        <v>0</v>
      </c>
      <c r="F70" s="95">
        <f>KP_D!BQ70</f>
        <v>-0.48000000000000009</v>
      </c>
      <c r="G70" s="94">
        <f>KP_E!S70</f>
        <v>0</v>
      </c>
      <c r="H70" s="95">
        <f>D_D!BQ70</f>
        <v>-0.54</v>
      </c>
      <c r="I70" s="94">
        <f>D_E!S70</f>
        <v>0</v>
      </c>
      <c r="J70" s="95">
        <f>Y_D!BQ70</f>
        <v>-0.28000000000000014</v>
      </c>
      <c r="K70" s="94">
        <f>Y_E!S70</f>
        <v>0</v>
      </c>
      <c r="L70" s="96">
        <f t="shared" si="4"/>
        <v>-0.30000000000000004</v>
      </c>
      <c r="M70" s="96">
        <f t="shared" si="5"/>
        <v>0</v>
      </c>
    </row>
    <row r="71" spans="1:13" ht="15" customHeight="1" x14ac:dyDescent="0.45">
      <c r="A71" s="54">
        <v>68</v>
      </c>
      <c r="B71" s="174">
        <f>Hakemler!B71</f>
        <v>0</v>
      </c>
      <c r="C71" s="175">
        <f>Hakemler!C71</f>
        <v>0</v>
      </c>
      <c r="D71" s="93">
        <f>AtM_D!X71</f>
        <v>0.1</v>
      </c>
      <c r="E71" s="94">
        <f>AtM_E!S71</f>
        <v>0</v>
      </c>
      <c r="F71" s="95">
        <f>KP_D!BQ71</f>
        <v>-0.48000000000000009</v>
      </c>
      <c r="G71" s="94">
        <f>KP_E!S71</f>
        <v>0</v>
      </c>
      <c r="H71" s="95">
        <f>D_D!BQ71</f>
        <v>-0.54</v>
      </c>
      <c r="I71" s="94">
        <f>D_E!S71</f>
        <v>0</v>
      </c>
      <c r="J71" s="95">
        <f>Y_D!BQ71</f>
        <v>-0.28000000000000014</v>
      </c>
      <c r="K71" s="94">
        <f>Y_E!S71</f>
        <v>0</v>
      </c>
      <c r="L71" s="96">
        <f t="shared" si="4"/>
        <v>-0.30000000000000004</v>
      </c>
      <c r="M71" s="96">
        <f t="shared" si="5"/>
        <v>0</v>
      </c>
    </row>
    <row r="72" spans="1:13" ht="15" customHeight="1" x14ac:dyDescent="0.45">
      <c r="A72" s="54">
        <v>69</v>
      </c>
      <c r="B72" s="174">
        <f>Hakemler!B72</f>
        <v>0</v>
      </c>
      <c r="C72" s="175">
        <f>Hakemler!C72</f>
        <v>0</v>
      </c>
      <c r="D72" s="93">
        <f>AtM_D!X72</f>
        <v>0.1</v>
      </c>
      <c r="E72" s="94">
        <f>AtM_E!S72</f>
        <v>0</v>
      </c>
      <c r="F72" s="95">
        <f>KP_D!BQ72</f>
        <v>-0.48000000000000009</v>
      </c>
      <c r="G72" s="94">
        <f>KP_E!S72</f>
        <v>0</v>
      </c>
      <c r="H72" s="95">
        <f>D_D!BQ72</f>
        <v>-0.54</v>
      </c>
      <c r="I72" s="94">
        <f>D_E!S72</f>
        <v>0</v>
      </c>
      <c r="J72" s="95">
        <f>Y_D!BQ72</f>
        <v>-0.28000000000000014</v>
      </c>
      <c r="K72" s="94">
        <f>Y_E!S72</f>
        <v>0</v>
      </c>
      <c r="L72" s="96">
        <f t="shared" si="4"/>
        <v>-0.30000000000000004</v>
      </c>
      <c r="M72" s="96">
        <f t="shared" si="5"/>
        <v>0</v>
      </c>
    </row>
    <row r="73" spans="1:13" ht="15" customHeight="1" x14ac:dyDescent="0.45">
      <c r="A73" s="54">
        <v>70</v>
      </c>
      <c r="B73" s="174">
        <f>Hakemler!B73</f>
        <v>0</v>
      </c>
      <c r="C73" s="175">
        <f>Hakemler!C73</f>
        <v>0</v>
      </c>
      <c r="D73" s="93">
        <f>AtM_D!X73</f>
        <v>0.1</v>
      </c>
      <c r="E73" s="94">
        <f>AtM_E!S73</f>
        <v>0</v>
      </c>
      <c r="F73" s="95">
        <f>KP_D!BQ73</f>
        <v>-0.48000000000000009</v>
      </c>
      <c r="G73" s="94">
        <f>KP_E!S73</f>
        <v>0</v>
      </c>
      <c r="H73" s="95">
        <f>D_D!BQ73</f>
        <v>-0.54</v>
      </c>
      <c r="I73" s="94">
        <f>D_E!S73</f>
        <v>0</v>
      </c>
      <c r="J73" s="95">
        <f>Y_D!BQ73</f>
        <v>-0.28000000000000014</v>
      </c>
      <c r="K73" s="94">
        <f>Y_E!S73</f>
        <v>0</v>
      </c>
      <c r="L73" s="96">
        <f t="shared" si="4"/>
        <v>-0.30000000000000004</v>
      </c>
      <c r="M73" s="96">
        <f t="shared" si="5"/>
        <v>0</v>
      </c>
    </row>
    <row r="74" spans="1:13" ht="15" customHeight="1" x14ac:dyDescent="0.45">
      <c r="A74" s="54">
        <v>71</v>
      </c>
      <c r="B74" s="174">
        <f>Hakemler!B74</f>
        <v>0</v>
      </c>
      <c r="C74" s="175">
        <f>Hakemler!C74</f>
        <v>0</v>
      </c>
      <c r="D74" s="93">
        <f>AtM_D!X74</f>
        <v>0.1</v>
      </c>
      <c r="E74" s="94">
        <f>AtM_E!S74</f>
        <v>0</v>
      </c>
      <c r="F74" s="95">
        <f>KP_D!BQ74</f>
        <v>-0.48000000000000009</v>
      </c>
      <c r="G74" s="94">
        <f>KP_E!S74</f>
        <v>0</v>
      </c>
      <c r="H74" s="95">
        <f>D_D!BQ74</f>
        <v>-0.54</v>
      </c>
      <c r="I74" s="94">
        <f>D_E!S74</f>
        <v>0</v>
      </c>
      <c r="J74" s="95">
        <f>Y_D!BQ74</f>
        <v>-0.28000000000000014</v>
      </c>
      <c r="K74" s="94">
        <f>Y_E!S74</f>
        <v>0</v>
      </c>
      <c r="L74" s="96">
        <f t="shared" si="4"/>
        <v>-0.30000000000000004</v>
      </c>
      <c r="M74" s="96">
        <f t="shared" si="5"/>
        <v>0</v>
      </c>
    </row>
    <row r="75" spans="1:13" ht="15" customHeight="1" x14ac:dyDescent="0.45">
      <c r="A75" s="54">
        <v>72</v>
      </c>
      <c r="B75" s="174">
        <f>Hakemler!B75</f>
        <v>0</v>
      </c>
      <c r="C75" s="175">
        <f>Hakemler!C75</f>
        <v>0</v>
      </c>
      <c r="D75" s="93">
        <f>AtM_D!X75</f>
        <v>0.1</v>
      </c>
      <c r="E75" s="94">
        <f>AtM_E!S75</f>
        <v>0</v>
      </c>
      <c r="F75" s="95">
        <f>KP_D!BQ75</f>
        <v>-0.48000000000000009</v>
      </c>
      <c r="G75" s="94">
        <f>KP_E!S75</f>
        <v>0</v>
      </c>
      <c r="H75" s="95">
        <f>D_D!BQ75</f>
        <v>-0.54</v>
      </c>
      <c r="I75" s="94">
        <f>D_E!S75</f>
        <v>0</v>
      </c>
      <c r="J75" s="95">
        <f>Y_D!BQ75</f>
        <v>-0.28000000000000014</v>
      </c>
      <c r="K75" s="94">
        <f>Y_E!S75</f>
        <v>0</v>
      </c>
      <c r="L75" s="96">
        <f t="shared" si="4"/>
        <v>-0.30000000000000004</v>
      </c>
      <c r="M75" s="96">
        <f t="shared" si="5"/>
        <v>0</v>
      </c>
    </row>
    <row r="76" spans="1:13" ht="15" customHeight="1" x14ac:dyDescent="0.45">
      <c r="A76" s="54">
        <v>73</v>
      </c>
      <c r="B76" s="174">
        <f>Hakemler!B76</f>
        <v>0</v>
      </c>
      <c r="C76" s="175">
        <f>Hakemler!C76</f>
        <v>0</v>
      </c>
      <c r="D76" s="93">
        <f>AtM_D!X76</f>
        <v>0.1</v>
      </c>
      <c r="E76" s="94">
        <f>AtM_E!S76</f>
        <v>0</v>
      </c>
      <c r="F76" s="95">
        <f>KP_D!BQ76</f>
        <v>-0.48000000000000009</v>
      </c>
      <c r="G76" s="94">
        <f>KP_E!S76</f>
        <v>0</v>
      </c>
      <c r="H76" s="95">
        <f>D_D!BQ76</f>
        <v>-0.54</v>
      </c>
      <c r="I76" s="94">
        <f>D_E!S76</f>
        <v>0</v>
      </c>
      <c r="J76" s="95">
        <f>Y_D!BQ76</f>
        <v>-0.28000000000000014</v>
      </c>
      <c r="K76" s="94">
        <f>Y_E!S76</f>
        <v>0</v>
      </c>
      <c r="L76" s="96">
        <f t="shared" si="4"/>
        <v>-0.30000000000000004</v>
      </c>
      <c r="M76" s="96">
        <f t="shared" si="5"/>
        <v>0</v>
      </c>
    </row>
    <row r="77" spans="1:13" ht="15" customHeight="1" x14ac:dyDescent="0.45">
      <c r="A77" s="54">
        <v>74</v>
      </c>
      <c r="B77" s="174">
        <f>Hakemler!B77</f>
        <v>0</v>
      </c>
      <c r="C77" s="175">
        <f>Hakemler!C77</f>
        <v>0</v>
      </c>
      <c r="D77" s="93">
        <f>AtM_D!X77</f>
        <v>0.1</v>
      </c>
      <c r="E77" s="94">
        <f>AtM_E!S77</f>
        <v>0</v>
      </c>
      <c r="F77" s="95">
        <f>KP_D!BQ77</f>
        <v>-0.48000000000000009</v>
      </c>
      <c r="G77" s="94">
        <f>KP_E!S77</f>
        <v>0</v>
      </c>
      <c r="H77" s="95">
        <f>D_D!BQ77</f>
        <v>-0.54</v>
      </c>
      <c r="I77" s="94">
        <f>D_E!S77</f>
        <v>0</v>
      </c>
      <c r="J77" s="95">
        <f>Y_D!BQ77</f>
        <v>-0.28000000000000014</v>
      </c>
      <c r="K77" s="94">
        <f>Y_E!S77</f>
        <v>0</v>
      </c>
      <c r="L77" s="96">
        <f t="shared" si="4"/>
        <v>-0.30000000000000004</v>
      </c>
      <c r="M77" s="96">
        <f t="shared" si="5"/>
        <v>0</v>
      </c>
    </row>
    <row r="78" spans="1:13" ht="15" customHeight="1" x14ac:dyDescent="0.45">
      <c r="A78" s="54">
        <v>75</v>
      </c>
      <c r="B78" s="174">
        <f>Hakemler!B78</f>
        <v>0</v>
      </c>
      <c r="C78" s="175">
        <f>Hakemler!C78</f>
        <v>0</v>
      </c>
      <c r="D78" s="93">
        <f>AtM_D!X78</f>
        <v>0.1</v>
      </c>
      <c r="E78" s="94">
        <f>AtM_E!S78</f>
        <v>0</v>
      </c>
      <c r="F78" s="95">
        <f>KP_D!BQ78</f>
        <v>-0.48000000000000009</v>
      </c>
      <c r="G78" s="94">
        <f>KP_E!S78</f>
        <v>0</v>
      </c>
      <c r="H78" s="95">
        <f>D_D!BQ78</f>
        <v>-0.54</v>
      </c>
      <c r="I78" s="94">
        <f>D_E!S78</f>
        <v>0</v>
      </c>
      <c r="J78" s="95">
        <f>Y_D!BQ78</f>
        <v>-0.28000000000000014</v>
      </c>
      <c r="K78" s="94">
        <f>Y_E!S78</f>
        <v>0</v>
      </c>
      <c r="L78" s="96">
        <f t="shared" si="4"/>
        <v>-0.30000000000000004</v>
      </c>
      <c r="M78" s="96">
        <f t="shared" si="5"/>
        <v>0</v>
      </c>
    </row>
    <row r="79" spans="1:13" ht="15" customHeight="1" x14ac:dyDescent="0.45">
      <c r="A79" s="54">
        <v>76</v>
      </c>
      <c r="B79" s="174">
        <f>Hakemler!B79</f>
        <v>0</v>
      </c>
      <c r="C79" s="175">
        <f>Hakemler!C79</f>
        <v>0</v>
      </c>
      <c r="D79" s="93">
        <f>AtM_D!X79</f>
        <v>0.1</v>
      </c>
      <c r="E79" s="94">
        <f>AtM_E!S79</f>
        <v>0</v>
      </c>
      <c r="F79" s="95">
        <f>KP_D!BQ79</f>
        <v>-0.48000000000000009</v>
      </c>
      <c r="G79" s="94">
        <f>KP_E!S79</f>
        <v>0</v>
      </c>
      <c r="H79" s="95">
        <f>D_D!BQ79</f>
        <v>-0.54</v>
      </c>
      <c r="I79" s="94">
        <f>D_E!S79</f>
        <v>0</v>
      </c>
      <c r="J79" s="95">
        <f>Y_D!BQ79</f>
        <v>-0.28000000000000014</v>
      </c>
      <c r="K79" s="94">
        <f>Y_E!S79</f>
        <v>0</v>
      </c>
      <c r="L79" s="96">
        <f t="shared" si="4"/>
        <v>-0.30000000000000004</v>
      </c>
      <c r="M79" s="96">
        <f t="shared" si="5"/>
        <v>0</v>
      </c>
    </row>
    <row r="80" spans="1:13" ht="15" customHeight="1" x14ac:dyDescent="0.45">
      <c r="A80" s="54">
        <v>77</v>
      </c>
      <c r="B80" s="174">
        <f>Hakemler!B80</f>
        <v>0</v>
      </c>
      <c r="C80" s="175">
        <f>Hakemler!C80</f>
        <v>0</v>
      </c>
      <c r="D80" s="93">
        <f>AtM_D!X80</f>
        <v>0.1</v>
      </c>
      <c r="E80" s="94">
        <f>AtM_E!S80</f>
        <v>0</v>
      </c>
      <c r="F80" s="95">
        <f>KP_D!BQ80</f>
        <v>-0.48000000000000009</v>
      </c>
      <c r="G80" s="94">
        <f>KP_E!S80</f>
        <v>0</v>
      </c>
      <c r="H80" s="95">
        <f>D_D!BQ80</f>
        <v>-0.54</v>
      </c>
      <c r="I80" s="94">
        <f>D_E!S80</f>
        <v>0</v>
      </c>
      <c r="J80" s="95">
        <f>Y_D!BQ80</f>
        <v>-0.28000000000000014</v>
      </c>
      <c r="K80" s="94">
        <f>Y_E!S80</f>
        <v>0</v>
      </c>
      <c r="L80" s="96">
        <f t="shared" si="4"/>
        <v>-0.30000000000000004</v>
      </c>
      <c r="M80" s="96">
        <f t="shared" si="5"/>
        <v>0</v>
      </c>
    </row>
    <row r="81" spans="1:13" ht="15" customHeight="1" x14ac:dyDescent="0.45">
      <c r="A81" s="54">
        <v>78</v>
      </c>
      <c r="B81" s="174">
        <f>Hakemler!B81</f>
        <v>0</v>
      </c>
      <c r="C81" s="175">
        <f>Hakemler!C81</f>
        <v>0</v>
      </c>
      <c r="D81" s="93">
        <f>AtM_D!X81</f>
        <v>0.1</v>
      </c>
      <c r="E81" s="94">
        <f>AtM_E!S81</f>
        <v>0</v>
      </c>
      <c r="F81" s="95">
        <f>KP_D!BQ81</f>
        <v>-0.48000000000000009</v>
      </c>
      <c r="G81" s="94">
        <f>KP_E!S81</f>
        <v>0</v>
      </c>
      <c r="H81" s="95">
        <f>D_D!BQ81</f>
        <v>-0.54</v>
      </c>
      <c r="I81" s="94">
        <f>D_E!S81</f>
        <v>0</v>
      </c>
      <c r="J81" s="95">
        <f>Y_D!BQ81</f>
        <v>-0.28000000000000014</v>
      </c>
      <c r="K81" s="94">
        <f>Y_E!S81</f>
        <v>0</v>
      </c>
      <c r="L81" s="96">
        <f t="shared" si="4"/>
        <v>-0.30000000000000004</v>
      </c>
      <c r="M81" s="96">
        <f t="shared" si="5"/>
        <v>0</v>
      </c>
    </row>
    <row r="82" spans="1:13" ht="15" customHeight="1" x14ac:dyDescent="0.45">
      <c r="A82" s="54">
        <v>79</v>
      </c>
      <c r="B82" s="174">
        <f>Hakemler!B82</f>
        <v>0</v>
      </c>
      <c r="C82" s="175">
        <f>Hakemler!C82</f>
        <v>0</v>
      </c>
      <c r="D82" s="93">
        <f>AtM_D!X82</f>
        <v>0.1</v>
      </c>
      <c r="E82" s="94">
        <f>AtM_E!S82</f>
        <v>0</v>
      </c>
      <c r="F82" s="95">
        <f>KP_D!BQ82</f>
        <v>-0.48000000000000009</v>
      </c>
      <c r="G82" s="94">
        <f>KP_E!S82</f>
        <v>0</v>
      </c>
      <c r="H82" s="95">
        <f>D_D!BQ82</f>
        <v>-0.54</v>
      </c>
      <c r="I82" s="94">
        <f>D_E!S82</f>
        <v>0</v>
      </c>
      <c r="J82" s="95">
        <f>Y_D!BQ82</f>
        <v>-0.28000000000000014</v>
      </c>
      <c r="K82" s="94">
        <f>Y_E!S82</f>
        <v>0</v>
      </c>
      <c r="L82" s="96">
        <f t="shared" si="4"/>
        <v>-0.30000000000000004</v>
      </c>
      <c r="M82" s="96">
        <f t="shared" si="5"/>
        <v>0</v>
      </c>
    </row>
    <row r="83" spans="1:13" ht="15" customHeight="1" x14ac:dyDescent="0.45">
      <c r="A83" s="54">
        <v>80</v>
      </c>
      <c r="B83" s="174">
        <f>Hakemler!B83</f>
        <v>0</v>
      </c>
      <c r="C83" s="175">
        <f>Hakemler!C83</f>
        <v>0</v>
      </c>
      <c r="D83" s="93">
        <f>AtM_D!X83</f>
        <v>0.1</v>
      </c>
      <c r="E83" s="94">
        <f>AtM_E!S83</f>
        <v>0</v>
      </c>
      <c r="F83" s="95">
        <f>KP_D!BQ83</f>
        <v>-0.48000000000000009</v>
      </c>
      <c r="G83" s="94">
        <f>KP_E!S83</f>
        <v>0</v>
      </c>
      <c r="H83" s="95">
        <f>D_D!BQ83</f>
        <v>-0.54</v>
      </c>
      <c r="I83" s="94">
        <f>D_E!S83</f>
        <v>0</v>
      </c>
      <c r="J83" s="95">
        <f>Y_D!BQ83</f>
        <v>-0.28000000000000014</v>
      </c>
      <c r="K83" s="94">
        <f>Y_E!S83</f>
        <v>0</v>
      </c>
      <c r="L83" s="96">
        <f t="shared" si="4"/>
        <v>-0.30000000000000004</v>
      </c>
      <c r="M83" s="96">
        <f t="shared" si="5"/>
        <v>0</v>
      </c>
    </row>
    <row r="84" spans="1:13" ht="15" customHeight="1" x14ac:dyDescent="0.45">
      <c r="A84" s="54">
        <v>81</v>
      </c>
      <c r="B84" s="174">
        <f>Hakemler!B84</f>
        <v>0</v>
      </c>
      <c r="C84" s="175">
        <f>Hakemler!C84</f>
        <v>0</v>
      </c>
      <c r="D84" s="93">
        <f>AtM_D!X84</f>
        <v>0.1</v>
      </c>
      <c r="E84" s="94">
        <f>AtM_E!S84</f>
        <v>0</v>
      </c>
      <c r="F84" s="95">
        <f>KP_D!BQ84</f>
        <v>-0.48000000000000009</v>
      </c>
      <c r="G84" s="94">
        <f>KP_E!S84</f>
        <v>0</v>
      </c>
      <c r="H84" s="95">
        <f>D_D!BQ84</f>
        <v>-0.54</v>
      </c>
      <c r="I84" s="94">
        <f>D_E!S84</f>
        <v>0</v>
      </c>
      <c r="J84" s="95">
        <f>Y_D!BQ84</f>
        <v>-0.28000000000000014</v>
      </c>
      <c r="K84" s="94">
        <f>Y_E!S84</f>
        <v>0</v>
      </c>
      <c r="L84" s="96">
        <f t="shared" si="4"/>
        <v>-0.30000000000000004</v>
      </c>
      <c r="M84" s="96">
        <f t="shared" si="5"/>
        <v>0</v>
      </c>
    </row>
    <row r="85" spans="1:13" ht="15" customHeight="1" x14ac:dyDescent="0.45">
      <c r="A85" s="54">
        <v>82</v>
      </c>
      <c r="B85" s="174">
        <f>Hakemler!B85</f>
        <v>0</v>
      </c>
      <c r="C85" s="175">
        <f>Hakemler!C85</f>
        <v>0</v>
      </c>
      <c r="D85" s="93">
        <f>AtM_D!X85</f>
        <v>0.1</v>
      </c>
      <c r="E85" s="94">
        <f>AtM_E!S85</f>
        <v>0</v>
      </c>
      <c r="F85" s="95">
        <f>KP_D!BQ85</f>
        <v>-0.48000000000000009</v>
      </c>
      <c r="G85" s="94">
        <f>KP_E!S85</f>
        <v>0</v>
      </c>
      <c r="H85" s="95">
        <f>D_D!BQ85</f>
        <v>-0.54</v>
      </c>
      <c r="I85" s="94">
        <f>D_E!S85</f>
        <v>0</v>
      </c>
      <c r="J85" s="95">
        <f>Y_D!BQ85</f>
        <v>-0.28000000000000014</v>
      </c>
      <c r="K85" s="94">
        <f>Y_E!S85</f>
        <v>0</v>
      </c>
      <c r="L85" s="96">
        <f t="shared" si="4"/>
        <v>-0.30000000000000004</v>
      </c>
      <c r="M85" s="96">
        <f t="shared" si="5"/>
        <v>0</v>
      </c>
    </row>
    <row r="86" spans="1:13" ht="15" customHeight="1" x14ac:dyDescent="0.45">
      <c r="A86" s="54">
        <v>83</v>
      </c>
      <c r="B86" s="174">
        <f>Hakemler!B86</f>
        <v>0</v>
      </c>
      <c r="C86" s="175">
        <f>Hakemler!C86</f>
        <v>0</v>
      </c>
      <c r="D86" s="93">
        <f>AtM_D!X86</f>
        <v>0.1</v>
      </c>
      <c r="E86" s="94">
        <f>AtM_E!S86</f>
        <v>0</v>
      </c>
      <c r="F86" s="95">
        <f>KP_D!BQ86</f>
        <v>-0.48000000000000009</v>
      </c>
      <c r="G86" s="94">
        <f>KP_E!S86</f>
        <v>0</v>
      </c>
      <c r="H86" s="95">
        <f>D_D!BQ86</f>
        <v>-0.54</v>
      </c>
      <c r="I86" s="94">
        <f>D_E!S86</f>
        <v>0</v>
      </c>
      <c r="J86" s="95">
        <f>Y_D!BQ86</f>
        <v>-0.28000000000000014</v>
      </c>
      <c r="K86" s="94">
        <f>Y_E!S86</f>
        <v>0</v>
      </c>
      <c r="L86" s="96">
        <f t="shared" si="4"/>
        <v>-0.30000000000000004</v>
      </c>
      <c r="M86" s="96">
        <f t="shared" si="5"/>
        <v>0</v>
      </c>
    </row>
    <row r="87" spans="1:13" ht="15" customHeight="1" x14ac:dyDescent="0.45">
      <c r="A87" s="54">
        <v>84</v>
      </c>
      <c r="B87" s="174">
        <f>Hakemler!B87</f>
        <v>0</v>
      </c>
      <c r="C87" s="175">
        <f>Hakemler!C87</f>
        <v>0</v>
      </c>
      <c r="D87" s="93">
        <f>AtM_D!X87</f>
        <v>0.1</v>
      </c>
      <c r="E87" s="94">
        <f>AtM_E!S87</f>
        <v>0</v>
      </c>
      <c r="F87" s="95">
        <f>KP_D!BQ87</f>
        <v>-0.48000000000000009</v>
      </c>
      <c r="G87" s="94">
        <f>KP_E!S87</f>
        <v>0</v>
      </c>
      <c r="H87" s="95">
        <f>D_D!BQ87</f>
        <v>-0.54</v>
      </c>
      <c r="I87" s="94">
        <f>D_E!S87</f>
        <v>0</v>
      </c>
      <c r="J87" s="95">
        <f>Y_D!BQ87</f>
        <v>-0.28000000000000014</v>
      </c>
      <c r="K87" s="94">
        <f>Y_E!S87</f>
        <v>0</v>
      </c>
      <c r="L87" s="96">
        <f t="shared" si="4"/>
        <v>-0.30000000000000004</v>
      </c>
      <c r="M87" s="96">
        <f t="shared" si="5"/>
        <v>0</v>
      </c>
    </row>
    <row r="88" spans="1:13" ht="15" customHeight="1" x14ac:dyDescent="0.45">
      <c r="A88" s="54">
        <v>85</v>
      </c>
      <c r="B88" s="174">
        <f>Hakemler!B88</f>
        <v>0</v>
      </c>
      <c r="C88" s="175">
        <f>Hakemler!C88</f>
        <v>0</v>
      </c>
      <c r="D88" s="93">
        <f>AtM_D!X88</f>
        <v>0.1</v>
      </c>
      <c r="E88" s="94">
        <f>AtM_E!S88</f>
        <v>0</v>
      </c>
      <c r="F88" s="95">
        <f>KP_D!BQ88</f>
        <v>-0.48000000000000009</v>
      </c>
      <c r="G88" s="94">
        <f>KP_E!S88</f>
        <v>0</v>
      </c>
      <c r="H88" s="95">
        <f>D_D!BQ88</f>
        <v>-0.54</v>
      </c>
      <c r="I88" s="94">
        <f>D_E!S88</f>
        <v>0</v>
      </c>
      <c r="J88" s="95">
        <f>Y_D!BQ88</f>
        <v>-0.28000000000000014</v>
      </c>
      <c r="K88" s="94">
        <f>Y_E!S88</f>
        <v>0</v>
      </c>
      <c r="L88" s="96">
        <f t="shared" si="4"/>
        <v>-0.30000000000000004</v>
      </c>
      <c r="M88" s="96">
        <f t="shared" si="5"/>
        <v>0</v>
      </c>
    </row>
    <row r="89" spans="1:13" ht="15" customHeight="1" x14ac:dyDescent="0.45">
      <c r="A89" s="54">
        <v>86</v>
      </c>
      <c r="B89" s="174">
        <f>Hakemler!B89</f>
        <v>0</v>
      </c>
      <c r="C89" s="175">
        <f>Hakemler!C89</f>
        <v>0</v>
      </c>
      <c r="D89" s="93">
        <f>AtM_D!X89</f>
        <v>0.1</v>
      </c>
      <c r="E89" s="94">
        <f>AtM_E!S89</f>
        <v>0</v>
      </c>
      <c r="F89" s="95">
        <f>KP_D!BQ89</f>
        <v>-0.48000000000000009</v>
      </c>
      <c r="G89" s="94">
        <f>KP_E!S89</f>
        <v>0</v>
      </c>
      <c r="H89" s="95">
        <f>D_D!BQ89</f>
        <v>-0.54</v>
      </c>
      <c r="I89" s="94">
        <f>D_E!S89</f>
        <v>0</v>
      </c>
      <c r="J89" s="95">
        <f>Y_D!BQ89</f>
        <v>-0.28000000000000014</v>
      </c>
      <c r="K89" s="94">
        <f>Y_E!S89</f>
        <v>0</v>
      </c>
      <c r="L89" s="96">
        <f t="shared" si="4"/>
        <v>-0.30000000000000004</v>
      </c>
      <c r="M89" s="96">
        <f t="shared" si="5"/>
        <v>0</v>
      </c>
    </row>
    <row r="90" spans="1:13" ht="15" customHeight="1" x14ac:dyDescent="0.45">
      <c r="A90" s="54">
        <v>87</v>
      </c>
      <c r="B90" s="174">
        <f>Hakemler!B90</f>
        <v>0</v>
      </c>
      <c r="C90" s="175">
        <f>Hakemler!C90</f>
        <v>0</v>
      </c>
      <c r="D90" s="93">
        <f>AtM_D!X90</f>
        <v>0.1</v>
      </c>
      <c r="E90" s="94">
        <f>AtM_E!S90</f>
        <v>0</v>
      </c>
      <c r="F90" s="95">
        <f>KP_D!BQ90</f>
        <v>-0.48000000000000009</v>
      </c>
      <c r="G90" s="94">
        <f>KP_E!S90</f>
        <v>0</v>
      </c>
      <c r="H90" s="95">
        <f>D_D!BQ90</f>
        <v>-0.54</v>
      </c>
      <c r="I90" s="94">
        <f>D_E!S90</f>
        <v>0</v>
      </c>
      <c r="J90" s="95">
        <f>Y_D!BQ90</f>
        <v>-0.28000000000000014</v>
      </c>
      <c r="K90" s="94">
        <f>Y_E!S90</f>
        <v>0</v>
      </c>
      <c r="L90" s="96">
        <f t="shared" si="4"/>
        <v>-0.30000000000000004</v>
      </c>
      <c r="M90" s="96">
        <f t="shared" si="5"/>
        <v>0</v>
      </c>
    </row>
    <row r="91" spans="1:13" ht="15" customHeight="1" x14ac:dyDescent="0.45">
      <c r="A91" s="54">
        <v>88</v>
      </c>
      <c r="B91" s="174">
        <f>Hakemler!B91</f>
        <v>0</v>
      </c>
      <c r="C91" s="175">
        <f>Hakemler!C91</f>
        <v>0</v>
      </c>
      <c r="D91" s="93">
        <f>AtM_D!X91</f>
        <v>0.1</v>
      </c>
      <c r="E91" s="94">
        <f>AtM_E!S91</f>
        <v>0</v>
      </c>
      <c r="F91" s="95">
        <f>KP_D!BQ91</f>
        <v>-0.48000000000000009</v>
      </c>
      <c r="G91" s="94">
        <f>KP_E!S91</f>
        <v>0</v>
      </c>
      <c r="H91" s="95">
        <f>D_D!BQ91</f>
        <v>-0.54</v>
      </c>
      <c r="I91" s="94">
        <f>D_E!S91</f>
        <v>0</v>
      </c>
      <c r="J91" s="95">
        <f>Y_D!BQ91</f>
        <v>-0.28000000000000014</v>
      </c>
      <c r="K91" s="94">
        <f>Y_E!S91</f>
        <v>0</v>
      </c>
      <c r="L91" s="96">
        <f t="shared" si="4"/>
        <v>-0.30000000000000004</v>
      </c>
      <c r="M91" s="96">
        <f t="shared" si="5"/>
        <v>0</v>
      </c>
    </row>
    <row r="92" spans="1:13" ht="15" customHeight="1" x14ac:dyDescent="0.45">
      <c r="A92" s="54">
        <v>89</v>
      </c>
      <c r="B92" s="174">
        <f>Hakemler!B92</f>
        <v>0</v>
      </c>
      <c r="C92" s="175">
        <f>Hakemler!C92</f>
        <v>0</v>
      </c>
      <c r="D92" s="93">
        <f>AtM_D!X92</f>
        <v>0.1</v>
      </c>
      <c r="E92" s="94">
        <f>AtM_E!S92</f>
        <v>0</v>
      </c>
      <c r="F92" s="95">
        <f>KP_D!BQ92</f>
        <v>-0.48000000000000009</v>
      </c>
      <c r="G92" s="94">
        <f>KP_E!S92</f>
        <v>0</v>
      </c>
      <c r="H92" s="95">
        <f>D_D!BQ92</f>
        <v>-0.54</v>
      </c>
      <c r="I92" s="94">
        <f>D_E!S92</f>
        <v>0</v>
      </c>
      <c r="J92" s="95">
        <f>Y_D!BQ92</f>
        <v>-0.28000000000000014</v>
      </c>
      <c r="K92" s="94">
        <f>Y_E!S92</f>
        <v>0</v>
      </c>
      <c r="L92" s="96">
        <f t="shared" si="4"/>
        <v>-0.30000000000000004</v>
      </c>
      <c r="M92" s="96">
        <f t="shared" si="5"/>
        <v>0</v>
      </c>
    </row>
    <row r="93" spans="1:13" ht="15" customHeight="1" x14ac:dyDescent="0.45">
      <c r="A93" s="54">
        <v>90</v>
      </c>
      <c r="B93" s="174">
        <f>Hakemler!B93</f>
        <v>0</v>
      </c>
      <c r="C93" s="175">
        <f>Hakemler!C93</f>
        <v>0</v>
      </c>
      <c r="D93" s="93">
        <f>AtM_D!X93</f>
        <v>0.1</v>
      </c>
      <c r="E93" s="94">
        <f>AtM_E!S93</f>
        <v>0</v>
      </c>
      <c r="F93" s="95">
        <f>KP_D!BQ93</f>
        <v>-0.48000000000000009</v>
      </c>
      <c r="G93" s="94">
        <f>KP_E!S93</f>
        <v>0</v>
      </c>
      <c r="H93" s="95">
        <f>D_D!BQ93</f>
        <v>-0.54</v>
      </c>
      <c r="I93" s="94">
        <f>D_E!S93</f>
        <v>0</v>
      </c>
      <c r="J93" s="95">
        <f>Y_D!BQ93</f>
        <v>-0.28000000000000014</v>
      </c>
      <c r="K93" s="94">
        <f>Y_E!S93</f>
        <v>0</v>
      </c>
      <c r="L93" s="96">
        <f t="shared" si="4"/>
        <v>-0.30000000000000004</v>
      </c>
      <c r="M93" s="96">
        <f t="shared" si="5"/>
        <v>0</v>
      </c>
    </row>
    <row r="94" spans="1:13" ht="15" customHeight="1" x14ac:dyDescent="0.45">
      <c r="A94" s="54">
        <v>91</v>
      </c>
      <c r="B94" s="174">
        <f>Hakemler!B94</f>
        <v>0</v>
      </c>
      <c r="C94" s="175">
        <f>Hakemler!C94</f>
        <v>0</v>
      </c>
      <c r="D94" s="93">
        <f>AtM_D!X94</f>
        <v>0.1</v>
      </c>
      <c r="E94" s="94">
        <f>AtM_E!S94</f>
        <v>0</v>
      </c>
      <c r="F94" s="95">
        <f>KP_D!BQ94</f>
        <v>-0.48000000000000009</v>
      </c>
      <c r="G94" s="94">
        <f>KP_E!S94</f>
        <v>0</v>
      </c>
      <c r="H94" s="95">
        <f>D_D!BQ94</f>
        <v>-0.54</v>
      </c>
      <c r="I94" s="94">
        <f>D_E!S94</f>
        <v>0</v>
      </c>
      <c r="J94" s="95">
        <f>Y_D!BQ94</f>
        <v>-0.28000000000000014</v>
      </c>
      <c r="K94" s="94">
        <f>Y_E!S94</f>
        <v>0</v>
      </c>
      <c r="L94" s="96">
        <f t="shared" si="4"/>
        <v>-0.30000000000000004</v>
      </c>
      <c r="M94" s="96">
        <f t="shared" si="5"/>
        <v>0</v>
      </c>
    </row>
    <row r="95" spans="1:13" ht="15" customHeight="1" x14ac:dyDescent="0.45">
      <c r="A95" s="54">
        <v>92</v>
      </c>
      <c r="B95" s="174">
        <f>Hakemler!B95</f>
        <v>0</v>
      </c>
      <c r="C95" s="175">
        <f>Hakemler!C95</f>
        <v>0</v>
      </c>
      <c r="D95" s="93">
        <f>AtM_D!X95</f>
        <v>0.1</v>
      </c>
      <c r="E95" s="94">
        <f>AtM_E!S95</f>
        <v>0</v>
      </c>
      <c r="F95" s="95">
        <f>KP_D!BQ95</f>
        <v>-0.48000000000000009</v>
      </c>
      <c r="G95" s="94">
        <f>KP_E!S95</f>
        <v>0</v>
      </c>
      <c r="H95" s="95">
        <f>D_D!BQ95</f>
        <v>-0.54</v>
      </c>
      <c r="I95" s="94">
        <f>D_E!S95</f>
        <v>0</v>
      </c>
      <c r="J95" s="95">
        <f>Y_D!BQ95</f>
        <v>-0.28000000000000014</v>
      </c>
      <c r="K95" s="94">
        <f>Y_E!S95</f>
        <v>0</v>
      </c>
      <c r="L95" s="96">
        <f t="shared" si="4"/>
        <v>-0.30000000000000004</v>
      </c>
      <c r="M95" s="96">
        <f t="shared" si="5"/>
        <v>0</v>
      </c>
    </row>
    <row r="96" spans="1:13" ht="15" customHeight="1" x14ac:dyDescent="0.45">
      <c r="A96" s="54">
        <v>93</v>
      </c>
      <c r="B96" s="174">
        <f>Hakemler!B96</f>
        <v>0</v>
      </c>
      <c r="C96" s="175">
        <f>Hakemler!C96</f>
        <v>0</v>
      </c>
      <c r="D96" s="93">
        <f>AtM_D!X96</f>
        <v>0.1</v>
      </c>
      <c r="E96" s="94">
        <f>AtM_E!S96</f>
        <v>0</v>
      </c>
      <c r="F96" s="95">
        <f>KP_D!BQ96</f>
        <v>-0.48000000000000009</v>
      </c>
      <c r="G96" s="94">
        <f>KP_E!S96</f>
        <v>0</v>
      </c>
      <c r="H96" s="95">
        <f>D_D!BQ96</f>
        <v>-0.54</v>
      </c>
      <c r="I96" s="94">
        <f>D_E!S96</f>
        <v>0</v>
      </c>
      <c r="J96" s="95">
        <f>Y_D!BQ96</f>
        <v>-0.28000000000000014</v>
      </c>
      <c r="K96" s="94">
        <f>Y_E!S96</f>
        <v>0</v>
      </c>
      <c r="L96" s="96">
        <f t="shared" si="4"/>
        <v>-0.30000000000000004</v>
      </c>
      <c r="M96" s="96">
        <f t="shared" si="5"/>
        <v>0</v>
      </c>
    </row>
    <row r="97" spans="1:13" ht="15" customHeight="1" x14ac:dyDescent="0.45">
      <c r="A97" s="54">
        <v>94</v>
      </c>
      <c r="B97" s="174">
        <f>Hakemler!B97</f>
        <v>0</v>
      </c>
      <c r="C97" s="175">
        <f>Hakemler!C97</f>
        <v>0</v>
      </c>
      <c r="D97" s="93">
        <f>AtM_D!X97</f>
        <v>0.1</v>
      </c>
      <c r="E97" s="94">
        <f>AtM_E!S97</f>
        <v>0</v>
      </c>
      <c r="F97" s="95">
        <f>KP_D!BQ97</f>
        <v>-0.48000000000000009</v>
      </c>
      <c r="G97" s="94">
        <f>KP_E!S97</f>
        <v>0</v>
      </c>
      <c r="H97" s="95">
        <f>D_D!BQ97</f>
        <v>-0.54</v>
      </c>
      <c r="I97" s="94">
        <f>D_E!S97</f>
        <v>0</v>
      </c>
      <c r="J97" s="95">
        <f>Y_D!BQ97</f>
        <v>-0.28000000000000014</v>
      </c>
      <c r="K97" s="94">
        <f>Y_E!S97</f>
        <v>0</v>
      </c>
      <c r="L97" s="96">
        <f t="shared" si="4"/>
        <v>-0.30000000000000004</v>
      </c>
      <c r="M97" s="96">
        <f t="shared" si="5"/>
        <v>0</v>
      </c>
    </row>
    <row r="98" spans="1:13" ht="15" customHeight="1" x14ac:dyDescent="0.45">
      <c r="A98" s="54">
        <v>95</v>
      </c>
      <c r="B98" s="174">
        <f>Hakemler!B98</f>
        <v>0</v>
      </c>
      <c r="C98" s="175">
        <f>Hakemler!C98</f>
        <v>0</v>
      </c>
      <c r="D98" s="93">
        <f>AtM_D!X98</f>
        <v>0.1</v>
      </c>
      <c r="E98" s="94">
        <f>AtM_E!S98</f>
        <v>0</v>
      </c>
      <c r="F98" s="95">
        <f>KP_D!BQ98</f>
        <v>-0.48000000000000009</v>
      </c>
      <c r="G98" s="94">
        <f>KP_E!S98</f>
        <v>0</v>
      </c>
      <c r="H98" s="95">
        <f>D_D!BQ98</f>
        <v>-0.54</v>
      </c>
      <c r="I98" s="94">
        <f>D_E!S98</f>
        <v>0</v>
      </c>
      <c r="J98" s="95">
        <f>Y_D!BQ98</f>
        <v>-0.28000000000000014</v>
      </c>
      <c r="K98" s="94">
        <f>Y_E!S98</f>
        <v>0</v>
      </c>
      <c r="L98" s="96">
        <f t="shared" si="4"/>
        <v>-0.30000000000000004</v>
      </c>
      <c r="M98" s="96">
        <f t="shared" si="5"/>
        <v>0</v>
      </c>
    </row>
    <row r="99" spans="1:13" ht="15" customHeight="1" x14ac:dyDescent="0.45">
      <c r="A99" s="54">
        <v>96</v>
      </c>
      <c r="B99" s="174">
        <f>Hakemler!B99</f>
        <v>0</v>
      </c>
      <c r="C99" s="175">
        <f>Hakemler!C99</f>
        <v>0</v>
      </c>
      <c r="D99" s="93">
        <f>AtM_D!X99</f>
        <v>0.1</v>
      </c>
      <c r="E99" s="94">
        <f>AtM_E!S99</f>
        <v>0</v>
      </c>
      <c r="F99" s="95">
        <f>KP_D!BQ99</f>
        <v>-0.48000000000000009</v>
      </c>
      <c r="G99" s="94">
        <f>KP_E!S99</f>
        <v>0</v>
      </c>
      <c r="H99" s="95">
        <f>D_D!BQ99</f>
        <v>-0.54</v>
      </c>
      <c r="I99" s="94">
        <f>D_E!S99</f>
        <v>0</v>
      </c>
      <c r="J99" s="95">
        <f>Y_D!BQ99</f>
        <v>-0.28000000000000014</v>
      </c>
      <c r="K99" s="94">
        <f>Y_E!S99</f>
        <v>0</v>
      </c>
      <c r="L99" s="96">
        <f t="shared" si="4"/>
        <v>-0.30000000000000004</v>
      </c>
      <c r="M99" s="96">
        <f t="shared" si="5"/>
        <v>0</v>
      </c>
    </row>
    <row r="100" spans="1:13" ht="15" customHeight="1" x14ac:dyDescent="0.45">
      <c r="A100" s="54">
        <v>97</v>
      </c>
      <c r="B100" s="35">
        <f>Hakemler!B100</f>
        <v>0</v>
      </c>
      <c r="C100" s="82">
        <f>Hakemler!C100</f>
        <v>0</v>
      </c>
      <c r="D100" s="93">
        <f>AtM_D!X100</f>
        <v>0.1</v>
      </c>
      <c r="E100" s="94">
        <f>AtM_E!S100</f>
        <v>0</v>
      </c>
      <c r="F100" s="95">
        <f>KP_D!BQ100</f>
        <v>-0.48000000000000009</v>
      </c>
      <c r="G100" s="94">
        <f>KP_E!S100</f>
        <v>0</v>
      </c>
      <c r="H100" s="95">
        <f>D_D!BQ100</f>
        <v>-0.54</v>
      </c>
      <c r="I100" s="94">
        <f>D_E!S100</f>
        <v>0</v>
      </c>
      <c r="J100" s="95">
        <f>Y_D!BQ100</f>
        <v>-0.28000000000000014</v>
      </c>
      <c r="K100" s="94">
        <f>Y_E!S100</f>
        <v>0</v>
      </c>
      <c r="L100" s="96">
        <f t="shared" si="4"/>
        <v>-0.30000000000000004</v>
      </c>
      <c r="M100" s="96">
        <f t="shared" si="5"/>
        <v>0</v>
      </c>
    </row>
    <row r="101" spans="1:13" ht="15" customHeight="1" x14ac:dyDescent="0.45">
      <c r="A101" s="54">
        <v>98</v>
      </c>
      <c r="B101" s="35">
        <f>Hakemler!B101</f>
        <v>0</v>
      </c>
      <c r="C101" s="82">
        <f>Hakemler!C101</f>
        <v>0</v>
      </c>
      <c r="D101" s="93">
        <f>AtM_D!X101</f>
        <v>0.1</v>
      </c>
      <c r="E101" s="94">
        <f>AtM_E!S101</f>
        <v>0</v>
      </c>
      <c r="F101" s="95">
        <f>KP_D!BQ101</f>
        <v>-0.48000000000000009</v>
      </c>
      <c r="G101" s="94">
        <f>KP_E!S101</f>
        <v>0</v>
      </c>
      <c r="H101" s="95">
        <f>D_D!BQ101</f>
        <v>-0.54</v>
      </c>
      <c r="I101" s="94">
        <f>D_E!S101</f>
        <v>0</v>
      </c>
      <c r="J101" s="95">
        <f>Y_D!BQ101</f>
        <v>-0.28000000000000014</v>
      </c>
      <c r="K101" s="94">
        <f>Y_E!S101</f>
        <v>0</v>
      </c>
      <c r="L101" s="96">
        <f t="shared" si="4"/>
        <v>-0.30000000000000004</v>
      </c>
      <c r="M101" s="96">
        <f t="shared" si="5"/>
        <v>0</v>
      </c>
    </row>
    <row r="102" spans="1:13" ht="15" customHeight="1" x14ac:dyDescent="0.45">
      <c r="A102" s="54">
        <v>99</v>
      </c>
      <c r="B102" s="35">
        <f>Hakemler!B102</f>
        <v>0</v>
      </c>
      <c r="C102" s="82">
        <f>Hakemler!C102</f>
        <v>0</v>
      </c>
      <c r="D102" s="93">
        <f>AtM_D!X102</f>
        <v>0.1</v>
      </c>
      <c r="E102" s="94">
        <f>AtM_E!S102</f>
        <v>0</v>
      </c>
      <c r="F102" s="95">
        <f>KP_D!BQ102</f>
        <v>-0.48000000000000009</v>
      </c>
      <c r="G102" s="94">
        <f>KP_E!S102</f>
        <v>0</v>
      </c>
      <c r="H102" s="95">
        <f>D_D!BQ102</f>
        <v>-0.54</v>
      </c>
      <c r="I102" s="94">
        <f>D_E!S102</f>
        <v>0</v>
      </c>
      <c r="J102" s="95">
        <f>Y_D!BQ102</f>
        <v>-0.28000000000000014</v>
      </c>
      <c r="K102" s="94">
        <f>Y_E!S102</f>
        <v>0</v>
      </c>
      <c r="L102" s="96">
        <f t="shared" si="4"/>
        <v>-0.30000000000000004</v>
      </c>
      <c r="M102" s="96">
        <f t="shared" si="5"/>
        <v>0</v>
      </c>
    </row>
    <row r="103" spans="1:13" ht="15.75" customHeight="1" x14ac:dyDescent="0.45">
      <c r="A103" s="74">
        <v>100</v>
      </c>
      <c r="B103" s="35">
        <f>Hakemler!B103</f>
        <v>0</v>
      </c>
      <c r="C103" s="82">
        <f>Hakemler!C103</f>
        <v>0</v>
      </c>
      <c r="D103" s="93">
        <f>AtM_D!X103</f>
        <v>0.1</v>
      </c>
      <c r="E103" s="94">
        <f>AtM_E!S103</f>
        <v>0</v>
      </c>
      <c r="F103" s="95">
        <f>KP_D!BQ103</f>
        <v>-0.48000000000000009</v>
      </c>
      <c r="G103" s="94">
        <f>KP_E!S103</f>
        <v>0</v>
      </c>
      <c r="H103" s="95">
        <f>D_D!BQ103</f>
        <v>-0.54</v>
      </c>
      <c r="I103" s="94">
        <f>D_E!S103</f>
        <v>0</v>
      </c>
      <c r="J103" s="95">
        <f>Y_D!BQ103</f>
        <v>-0.28000000000000014</v>
      </c>
      <c r="K103" s="94">
        <f>Y_E!S103</f>
        <v>0</v>
      </c>
      <c r="L103" s="96">
        <f t="shared" si="4"/>
        <v>-0.30000000000000004</v>
      </c>
      <c r="M103" s="96">
        <f t="shared" si="5"/>
        <v>0</v>
      </c>
    </row>
  </sheetData>
  <mergeCells count="5">
    <mergeCell ref="D2:E2"/>
    <mergeCell ref="F2:G2"/>
    <mergeCell ref="H2:I2"/>
    <mergeCell ref="J2:K2"/>
    <mergeCell ref="A1:M1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36"/>
  <sheetViews>
    <sheetView showGridLines="0" workbookViewId="0">
      <selection activeCell="M5" sqref="M5"/>
    </sheetView>
  </sheetViews>
  <sheetFormatPr defaultColWidth="8.796875" defaultRowHeight="15" customHeight="1" x14ac:dyDescent="0.45"/>
  <cols>
    <col min="1" max="256" width="8.86328125" style="1" customWidth="1"/>
  </cols>
  <sheetData>
    <row r="1" spans="1:20" ht="18" customHeight="1" x14ac:dyDescent="0.45">
      <c r="A1" s="235" t="s">
        <v>96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44"/>
      <c r="O1" s="97"/>
      <c r="P1" s="98"/>
      <c r="Q1" s="98"/>
      <c r="R1" s="98"/>
      <c r="S1" s="98"/>
      <c r="T1" s="99"/>
    </row>
    <row r="2" spans="1:20" ht="18" customHeight="1" x14ac:dyDescent="0.45">
      <c r="A2" s="242" t="s">
        <v>97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44"/>
      <c r="O2" s="100"/>
      <c r="P2" s="101"/>
      <c r="Q2" s="101"/>
      <c r="R2" s="101"/>
      <c r="S2" s="101"/>
      <c r="T2" s="102"/>
    </row>
    <row r="3" spans="1:20" ht="15" customHeight="1" x14ac:dyDescent="0.45">
      <c r="A3" s="103"/>
      <c r="B3" s="104" t="s">
        <v>74</v>
      </c>
      <c r="C3" s="104" t="s">
        <v>75</v>
      </c>
      <c r="D3" s="104" t="s">
        <v>76</v>
      </c>
      <c r="E3" s="104" t="s">
        <v>77</v>
      </c>
      <c r="F3" s="104" t="s">
        <v>78</v>
      </c>
      <c r="G3" s="104" t="s">
        <v>79</v>
      </c>
      <c r="H3" s="104" t="s">
        <v>80</v>
      </c>
      <c r="I3" s="104"/>
      <c r="J3" s="104"/>
      <c r="K3" s="104"/>
      <c r="L3" s="104" t="s">
        <v>84</v>
      </c>
      <c r="M3" s="104" t="s">
        <v>98</v>
      </c>
      <c r="N3" s="105"/>
      <c r="O3" s="100"/>
      <c r="P3" s="101"/>
      <c r="Q3" s="101"/>
      <c r="R3" s="101"/>
      <c r="S3" s="101"/>
      <c r="T3" s="102"/>
    </row>
    <row r="4" spans="1:20" ht="15" customHeight="1" x14ac:dyDescent="0.45">
      <c r="A4" s="106" t="s">
        <v>54</v>
      </c>
      <c r="B4" s="107">
        <v>1</v>
      </c>
      <c r="C4" s="107">
        <v>4</v>
      </c>
      <c r="D4" s="107">
        <v>2</v>
      </c>
      <c r="E4" s="107">
        <v>1</v>
      </c>
      <c r="F4" s="107">
        <v>0</v>
      </c>
      <c r="G4" s="107">
        <v>0</v>
      </c>
      <c r="H4" s="107">
        <v>0</v>
      </c>
      <c r="I4" s="107">
        <v>0</v>
      </c>
      <c r="J4" s="107">
        <v>0</v>
      </c>
      <c r="K4" s="107">
        <v>0</v>
      </c>
      <c r="L4" s="108">
        <v>2</v>
      </c>
      <c r="M4" s="108">
        <v>0</v>
      </c>
      <c r="N4" s="105"/>
      <c r="O4" s="100"/>
      <c r="P4" s="101"/>
      <c r="Q4" s="101"/>
      <c r="R4" s="101"/>
      <c r="S4" s="101"/>
      <c r="T4" s="102"/>
    </row>
    <row r="5" spans="1:20" ht="15" customHeight="1" x14ac:dyDescent="0.45">
      <c r="A5" s="106" t="s">
        <v>55</v>
      </c>
      <c r="B5" s="107">
        <v>0</v>
      </c>
      <c r="C5" s="107">
        <v>3</v>
      </c>
      <c r="D5" s="107">
        <v>1</v>
      </c>
      <c r="E5" s="107">
        <v>4</v>
      </c>
      <c r="F5" s="107">
        <v>0</v>
      </c>
      <c r="G5" s="107">
        <v>0</v>
      </c>
      <c r="H5" s="107">
        <v>0</v>
      </c>
      <c r="I5" s="107">
        <v>0</v>
      </c>
      <c r="J5" s="107">
        <v>0</v>
      </c>
      <c r="K5" s="107">
        <v>0</v>
      </c>
      <c r="L5" s="108">
        <v>2</v>
      </c>
      <c r="M5" s="108">
        <v>0.2</v>
      </c>
      <c r="N5" s="105"/>
      <c r="O5" s="100"/>
      <c r="P5" s="101"/>
      <c r="Q5" s="101"/>
      <c r="R5" s="101"/>
      <c r="S5" s="101"/>
      <c r="T5" s="102"/>
    </row>
    <row r="6" spans="1:20" ht="15" customHeight="1" x14ac:dyDescent="0.45">
      <c r="A6" s="106" t="s">
        <v>56</v>
      </c>
      <c r="B6" s="107">
        <v>0</v>
      </c>
      <c r="C6" s="107">
        <v>3</v>
      </c>
      <c r="D6" s="107">
        <v>4</v>
      </c>
      <c r="E6" s="107">
        <v>1</v>
      </c>
      <c r="F6" s="107">
        <v>0</v>
      </c>
      <c r="G6" s="107">
        <v>0</v>
      </c>
      <c r="H6" s="107">
        <v>0</v>
      </c>
      <c r="I6" s="107">
        <v>0</v>
      </c>
      <c r="J6" s="107">
        <v>0</v>
      </c>
      <c r="K6" s="107">
        <v>0</v>
      </c>
      <c r="L6" s="108">
        <v>1.5</v>
      </c>
      <c r="M6" s="108">
        <v>0</v>
      </c>
      <c r="N6" s="105"/>
      <c r="O6" s="100"/>
      <c r="P6" s="101"/>
      <c r="Q6" s="101"/>
      <c r="R6" s="101"/>
      <c r="S6" s="101"/>
      <c r="T6" s="102"/>
    </row>
    <row r="7" spans="1:20" ht="15" customHeight="1" x14ac:dyDescent="0.45">
      <c r="A7" s="106" t="s">
        <v>57</v>
      </c>
      <c r="B7" s="107">
        <v>0</v>
      </c>
      <c r="C7" s="107">
        <v>0</v>
      </c>
      <c r="D7" s="107">
        <v>1</v>
      </c>
      <c r="E7" s="107">
        <v>4</v>
      </c>
      <c r="F7" s="107">
        <v>2</v>
      </c>
      <c r="G7" s="107">
        <v>1</v>
      </c>
      <c r="H7" s="107">
        <v>0</v>
      </c>
      <c r="I7" s="107">
        <v>0</v>
      </c>
      <c r="J7" s="107">
        <v>0</v>
      </c>
      <c r="K7" s="107">
        <v>0</v>
      </c>
      <c r="L7" s="108">
        <v>2</v>
      </c>
      <c r="M7" s="108">
        <v>0.5</v>
      </c>
      <c r="N7" s="105"/>
      <c r="O7" s="100"/>
      <c r="P7" s="101"/>
      <c r="Q7" s="101"/>
      <c r="R7" s="101"/>
      <c r="S7" s="101"/>
      <c r="T7" s="102"/>
    </row>
    <row r="8" spans="1:20" ht="15" customHeight="1" x14ac:dyDescent="0.45">
      <c r="A8" s="106" t="s">
        <v>58</v>
      </c>
      <c r="B8" s="107">
        <v>0</v>
      </c>
      <c r="C8" s="107">
        <v>0</v>
      </c>
      <c r="D8" s="107">
        <v>0</v>
      </c>
      <c r="E8" s="107">
        <v>6</v>
      </c>
      <c r="F8" s="107">
        <v>1</v>
      </c>
      <c r="G8" s="107">
        <v>1</v>
      </c>
      <c r="H8" s="107">
        <v>0</v>
      </c>
      <c r="I8" s="107">
        <v>0</v>
      </c>
      <c r="J8" s="107">
        <v>0</v>
      </c>
      <c r="K8" s="107">
        <v>0</v>
      </c>
      <c r="L8" s="108">
        <v>2</v>
      </c>
      <c r="M8" s="108">
        <v>0.8</v>
      </c>
      <c r="N8" s="105"/>
      <c r="O8" s="100"/>
      <c r="P8" s="101"/>
      <c r="Q8" s="101"/>
      <c r="R8" s="101"/>
      <c r="S8" s="101"/>
      <c r="T8" s="102"/>
    </row>
    <row r="9" spans="1:20" ht="18" customHeight="1" x14ac:dyDescent="0.45">
      <c r="A9" s="237" t="s">
        <v>99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44"/>
      <c r="O9" s="100"/>
      <c r="P9" s="101"/>
      <c r="Q9" s="101"/>
      <c r="R9" s="101"/>
      <c r="S9" s="101"/>
      <c r="T9" s="102"/>
    </row>
    <row r="10" spans="1:20" ht="15" customHeight="1" x14ac:dyDescent="0.45">
      <c r="A10" s="103"/>
      <c r="B10" s="104" t="s">
        <v>74</v>
      </c>
      <c r="C10" s="104" t="s">
        <v>75</v>
      </c>
      <c r="D10" s="104" t="s">
        <v>76</v>
      </c>
      <c r="E10" s="104" t="s">
        <v>77</v>
      </c>
      <c r="F10" s="104" t="s">
        <v>78</v>
      </c>
      <c r="G10" s="104" t="s">
        <v>79</v>
      </c>
      <c r="H10" s="104" t="s">
        <v>80</v>
      </c>
      <c r="I10" s="104" t="s">
        <v>81</v>
      </c>
      <c r="J10" s="104"/>
      <c r="K10" s="104"/>
      <c r="L10" s="104" t="s">
        <v>84</v>
      </c>
      <c r="M10" s="104" t="s">
        <v>98</v>
      </c>
      <c r="N10" s="105"/>
      <c r="O10" s="100"/>
      <c r="P10" s="101"/>
      <c r="Q10" s="101"/>
      <c r="R10" s="101"/>
      <c r="S10" s="101"/>
      <c r="T10" s="102"/>
    </row>
    <row r="11" spans="1:20" ht="15" customHeight="1" x14ac:dyDescent="0.45">
      <c r="A11" s="106" t="s">
        <v>54</v>
      </c>
      <c r="B11" s="107">
        <v>0</v>
      </c>
      <c r="C11" s="107">
        <v>0</v>
      </c>
      <c r="D11" s="107">
        <v>1</v>
      </c>
      <c r="E11" s="107">
        <v>6</v>
      </c>
      <c r="F11" s="107">
        <v>1</v>
      </c>
      <c r="G11" s="107">
        <v>0</v>
      </c>
      <c r="H11" s="107">
        <v>0</v>
      </c>
      <c r="I11" s="107">
        <v>0</v>
      </c>
      <c r="J11" s="107">
        <v>0</v>
      </c>
      <c r="K11" s="107">
        <v>0</v>
      </c>
      <c r="L11" s="108">
        <v>2</v>
      </c>
      <c r="M11" s="108">
        <v>0.7</v>
      </c>
      <c r="N11" s="105"/>
      <c r="O11" s="100"/>
      <c r="P11" s="101"/>
      <c r="Q11" s="101"/>
      <c r="R11" s="101"/>
      <c r="S11" s="101"/>
      <c r="T11" s="102"/>
    </row>
    <row r="12" spans="1:20" ht="15" customHeight="1" x14ac:dyDescent="0.45">
      <c r="A12" s="106" t="s">
        <v>55</v>
      </c>
      <c r="B12" s="107">
        <v>0</v>
      </c>
      <c r="C12" s="107">
        <v>0</v>
      </c>
      <c r="D12" s="107">
        <v>1</v>
      </c>
      <c r="E12" s="107">
        <v>4</v>
      </c>
      <c r="F12" s="107">
        <v>2</v>
      </c>
      <c r="G12" s="107">
        <v>1</v>
      </c>
      <c r="H12" s="107">
        <v>0</v>
      </c>
      <c r="I12" s="107">
        <v>0</v>
      </c>
      <c r="J12" s="107">
        <v>0</v>
      </c>
      <c r="K12" s="107">
        <v>0</v>
      </c>
      <c r="L12" s="108">
        <v>2</v>
      </c>
      <c r="M12" s="108">
        <v>0.5</v>
      </c>
      <c r="N12" s="105"/>
      <c r="O12" s="100"/>
      <c r="P12" s="101"/>
      <c r="Q12" s="101"/>
      <c r="R12" s="101"/>
      <c r="S12" s="101"/>
      <c r="T12" s="102"/>
    </row>
    <row r="13" spans="1:20" ht="15" customHeight="1" x14ac:dyDescent="0.45">
      <c r="A13" s="106" t="s">
        <v>56</v>
      </c>
      <c r="B13" s="107">
        <v>0</v>
      </c>
      <c r="C13" s="107">
        <v>0</v>
      </c>
      <c r="D13" s="107">
        <v>5</v>
      </c>
      <c r="E13" s="107">
        <v>3</v>
      </c>
      <c r="F13" s="107">
        <v>0</v>
      </c>
      <c r="G13" s="107">
        <v>1</v>
      </c>
      <c r="H13" s="107">
        <v>0</v>
      </c>
      <c r="I13" s="107">
        <v>0</v>
      </c>
      <c r="J13" s="107">
        <v>0</v>
      </c>
      <c r="K13" s="107">
        <v>0</v>
      </c>
      <c r="L13" s="108">
        <v>2</v>
      </c>
      <c r="M13" s="108">
        <v>0</v>
      </c>
      <c r="N13" s="105"/>
      <c r="O13" s="100"/>
      <c r="P13" s="101"/>
      <c r="Q13" s="101"/>
      <c r="R13" s="101"/>
      <c r="S13" s="101"/>
      <c r="T13" s="102"/>
    </row>
    <row r="14" spans="1:20" ht="15" customHeight="1" x14ac:dyDescent="0.45">
      <c r="A14" s="106" t="s">
        <v>57</v>
      </c>
      <c r="B14" s="107">
        <v>0</v>
      </c>
      <c r="C14" s="107">
        <v>3</v>
      </c>
      <c r="D14" s="107">
        <v>3</v>
      </c>
      <c r="E14" s="107">
        <v>2</v>
      </c>
      <c r="F14" s="107">
        <v>0</v>
      </c>
      <c r="G14" s="107">
        <v>0</v>
      </c>
      <c r="H14" s="107">
        <v>0</v>
      </c>
      <c r="I14" s="107">
        <v>0</v>
      </c>
      <c r="J14" s="107">
        <v>0</v>
      </c>
      <c r="K14" s="107">
        <v>0</v>
      </c>
      <c r="L14" s="108">
        <v>2</v>
      </c>
      <c r="M14" s="108">
        <v>0.1</v>
      </c>
      <c r="N14" s="105"/>
      <c r="O14" s="100"/>
      <c r="P14" s="101"/>
      <c r="Q14" s="101"/>
      <c r="R14" s="101"/>
      <c r="S14" s="101"/>
      <c r="T14" s="102"/>
    </row>
    <row r="15" spans="1:20" ht="15" customHeight="1" x14ac:dyDescent="0.45">
      <c r="A15" s="106" t="s">
        <v>58</v>
      </c>
      <c r="B15" s="107">
        <v>0</v>
      </c>
      <c r="C15" s="107">
        <v>1</v>
      </c>
      <c r="D15" s="107">
        <v>3</v>
      </c>
      <c r="E15" s="107">
        <v>3</v>
      </c>
      <c r="F15" s="107">
        <v>1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  <c r="L15" s="108">
        <v>2</v>
      </c>
      <c r="M15" s="108">
        <v>0.3</v>
      </c>
      <c r="N15" s="105"/>
      <c r="O15" s="100"/>
      <c r="P15" s="101"/>
      <c r="Q15" s="101"/>
      <c r="R15" s="101"/>
      <c r="S15" s="101"/>
      <c r="T15" s="102"/>
    </row>
    <row r="16" spans="1:20" ht="18" customHeight="1" x14ac:dyDescent="0.45">
      <c r="A16" s="237" t="s">
        <v>100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44"/>
      <c r="O16" s="100"/>
      <c r="P16" s="101"/>
      <c r="Q16" s="101"/>
      <c r="R16" s="101"/>
      <c r="S16" s="101"/>
      <c r="T16" s="102"/>
    </row>
    <row r="17" spans="1:20" ht="15" customHeight="1" x14ac:dyDescent="0.45">
      <c r="A17" s="103"/>
      <c r="B17" s="104" t="s">
        <v>74</v>
      </c>
      <c r="C17" s="104" t="s">
        <v>75</v>
      </c>
      <c r="D17" s="104" t="s">
        <v>76</v>
      </c>
      <c r="E17" s="104" t="s">
        <v>77</v>
      </c>
      <c r="F17" s="104" t="s">
        <v>78</v>
      </c>
      <c r="G17" s="104" t="s">
        <v>79</v>
      </c>
      <c r="H17" s="104" t="s">
        <v>80</v>
      </c>
      <c r="I17" s="104" t="s">
        <v>81</v>
      </c>
      <c r="J17" s="104" t="s">
        <v>82</v>
      </c>
      <c r="K17" s="104" t="s">
        <v>83</v>
      </c>
      <c r="L17" s="104" t="s">
        <v>84</v>
      </c>
      <c r="M17" s="104" t="s">
        <v>98</v>
      </c>
      <c r="N17" s="105"/>
      <c r="O17" s="100"/>
      <c r="P17" s="101"/>
      <c r="Q17" s="101"/>
      <c r="R17" s="101"/>
      <c r="S17" s="101"/>
      <c r="T17" s="102"/>
    </row>
    <row r="18" spans="1:20" ht="15" customHeight="1" x14ac:dyDescent="0.45">
      <c r="A18" s="106" t="s">
        <v>54</v>
      </c>
      <c r="B18" s="107">
        <v>1</v>
      </c>
      <c r="C18" s="107">
        <v>1</v>
      </c>
      <c r="D18" s="107">
        <v>3</v>
      </c>
      <c r="E18" s="107">
        <v>1</v>
      </c>
      <c r="F18" s="107">
        <v>2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8">
        <v>2</v>
      </c>
      <c r="M18" s="108">
        <v>0.4</v>
      </c>
      <c r="N18" s="105"/>
      <c r="O18" s="100"/>
      <c r="P18" s="101"/>
      <c r="Q18" s="101"/>
      <c r="R18" s="101"/>
      <c r="S18" s="101"/>
      <c r="T18" s="102"/>
    </row>
    <row r="19" spans="1:20" ht="15" customHeight="1" x14ac:dyDescent="0.45">
      <c r="A19" s="106" t="s">
        <v>55</v>
      </c>
      <c r="B19" s="107">
        <v>0</v>
      </c>
      <c r="C19" s="107">
        <v>1</v>
      </c>
      <c r="D19" s="107">
        <v>5</v>
      </c>
      <c r="E19" s="107">
        <v>2</v>
      </c>
      <c r="F19" s="107">
        <v>0</v>
      </c>
      <c r="G19" s="107">
        <v>0</v>
      </c>
      <c r="H19" s="107">
        <v>0</v>
      </c>
      <c r="I19" s="107">
        <v>0</v>
      </c>
      <c r="J19" s="107">
        <v>0</v>
      </c>
      <c r="K19" s="107">
        <v>0</v>
      </c>
      <c r="L19" s="108">
        <v>2</v>
      </c>
      <c r="M19" s="108">
        <v>0</v>
      </c>
      <c r="N19" s="105"/>
      <c r="O19" s="100"/>
      <c r="P19" s="101"/>
      <c r="Q19" s="101"/>
      <c r="R19" s="101"/>
      <c r="S19" s="101"/>
      <c r="T19" s="102"/>
    </row>
    <row r="20" spans="1:20" ht="15" customHeight="1" x14ac:dyDescent="0.45">
      <c r="A20" s="106" t="s">
        <v>56</v>
      </c>
      <c r="B20" s="107">
        <v>0</v>
      </c>
      <c r="C20" s="107">
        <v>1</v>
      </c>
      <c r="D20" s="107">
        <v>3</v>
      </c>
      <c r="E20" s="107">
        <v>4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  <c r="L20" s="108">
        <v>2</v>
      </c>
      <c r="M20" s="108">
        <v>0.2</v>
      </c>
      <c r="N20" s="105"/>
      <c r="O20" s="100"/>
      <c r="P20" s="101"/>
      <c r="Q20" s="101"/>
      <c r="R20" s="101"/>
      <c r="S20" s="101"/>
      <c r="T20" s="102"/>
    </row>
    <row r="21" spans="1:20" ht="15" customHeight="1" x14ac:dyDescent="0.45">
      <c r="A21" s="106" t="s">
        <v>57</v>
      </c>
      <c r="B21" s="107">
        <v>2</v>
      </c>
      <c r="C21" s="107">
        <v>2</v>
      </c>
      <c r="D21" s="107">
        <v>4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8">
        <v>1.5</v>
      </c>
      <c r="M21" s="108">
        <v>0</v>
      </c>
      <c r="N21" s="105"/>
      <c r="O21" s="100"/>
      <c r="P21" s="101"/>
      <c r="Q21" s="101"/>
      <c r="R21" s="101"/>
      <c r="S21" s="101"/>
      <c r="T21" s="102"/>
    </row>
    <row r="22" spans="1:20" ht="15" customHeight="1" x14ac:dyDescent="0.45">
      <c r="A22" s="106" t="s">
        <v>58</v>
      </c>
      <c r="B22" s="107">
        <v>1</v>
      </c>
      <c r="C22" s="107">
        <v>2</v>
      </c>
      <c r="D22" s="107">
        <v>4</v>
      </c>
      <c r="E22" s="107">
        <v>1</v>
      </c>
      <c r="F22" s="107">
        <v>0</v>
      </c>
      <c r="G22" s="107">
        <v>0</v>
      </c>
      <c r="H22" s="107">
        <v>0</v>
      </c>
      <c r="I22" s="107">
        <v>0</v>
      </c>
      <c r="J22" s="107">
        <v>0</v>
      </c>
      <c r="K22" s="107">
        <v>0</v>
      </c>
      <c r="L22" s="108">
        <v>1.5</v>
      </c>
      <c r="M22" s="108">
        <v>0</v>
      </c>
      <c r="N22" s="105"/>
      <c r="O22" s="100"/>
      <c r="P22" s="101"/>
      <c r="Q22" s="101"/>
      <c r="R22" s="101"/>
      <c r="S22" s="101"/>
      <c r="T22" s="102"/>
    </row>
    <row r="23" spans="1:20" ht="15" customHeight="1" x14ac:dyDescent="0.45">
      <c r="A23" s="237" t="s">
        <v>101</v>
      </c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9"/>
      <c r="N23" s="25"/>
      <c r="O23" s="100"/>
      <c r="P23" s="101"/>
      <c r="Q23" s="101"/>
      <c r="R23" s="101"/>
      <c r="S23" s="101"/>
      <c r="T23" s="102"/>
    </row>
    <row r="24" spans="1:20" ht="15" customHeight="1" x14ac:dyDescent="0.45">
      <c r="A24" s="106" t="s">
        <v>54</v>
      </c>
      <c r="B24" s="109">
        <v>3.8</v>
      </c>
      <c r="C24" s="110"/>
      <c r="D24" s="110"/>
      <c r="E24" s="111"/>
      <c r="F24" s="111"/>
      <c r="G24" s="111"/>
      <c r="H24" s="111"/>
      <c r="I24" s="111"/>
      <c r="J24" s="111"/>
      <c r="K24" s="111"/>
      <c r="L24" s="111"/>
      <c r="M24" s="111"/>
      <c r="N24" s="25"/>
      <c r="O24" s="100"/>
      <c r="P24" s="101"/>
      <c r="Q24" s="101"/>
      <c r="R24" s="101"/>
      <c r="S24" s="101"/>
      <c r="T24" s="102"/>
    </row>
    <row r="25" spans="1:20" ht="15" customHeight="1" x14ac:dyDescent="0.45">
      <c r="A25" s="106" t="s">
        <v>55</v>
      </c>
      <c r="B25" s="109">
        <v>0</v>
      </c>
      <c r="C25" s="110"/>
      <c r="D25" s="110"/>
      <c r="E25" s="111"/>
      <c r="F25" s="111"/>
      <c r="G25" s="111"/>
      <c r="H25" s="111"/>
      <c r="I25" s="111"/>
      <c r="J25" s="111"/>
      <c r="K25" s="111"/>
      <c r="L25" s="111"/>
      <c r="M25" s="111"/>
      <c r="N25" s="25"/>
      <c r="O25" s="100"/>
      <c r="P25" s="101"/>
      <c r="Q25" s="101"/>
      <c r="R25" s="101"/>
      <c r="S25" s="101"/>
      <c r="T25" s="102"/>
    </row>
    <row r="26" spans="1:20" ht="15" customHeight="1" x14ac:dyDescent="0.45">
      <c r="A26" s="106" t="s">
        <v>56</v>
      </c>
      <c r="B26" s="109">
        <v>5</v>
      </c>
      <c r="C26" s="110"/>
      <c r="D26" s="110"/>
      <c r="E26" s="111"/>
      <c r="F26" s="111"/>
      <c r="G26" s="111"/>
      <c r="H26" s="111"/>
      <c r="I26" s="111"/>
      <c r="J26" s="111"/>
      <c r="K26" s="111"/>
      <c r="L26" s="111"/>
      <c r="M26" s="111"/>
      <c r="N26" s="25"/>
      <c r="O26" s="100"/>
      <c r="P26" s="101"/>
      <c r="Q26" s="101"/>
      <c r="R26" s="101"/>
      <c r="S26" s="101"/>
      <c r="T26" s="102"/>
    </row>
    <row r="27" spans="1:20" ht="15" customHeight="1" x14ac:dyDescent="0.45">
      <c r="A27" s="106" t="s">
        <v>57</v>
      </c>
      <c r="B27" s="109">
        <v>3.8</v>
      </c>
      <c r="C27" s="110"/>
      <c r="D27" s="110"/>
      <c r="E27" s="111"/>
      <c r="F27" s="111"/>
      <c r="G27" s="111"/>
      <c r="H27" s="111"/>
      <c r="I27" s="111"/>
      <c r="J27" s="111"/>
      <c r="K27" s="111"/>
      <c r="L27" s="111"/>
      <c r="M27" s="111"/>
      <c r="N27" s="25"/>
      <c r="O27" s="100"/>
      <c r="P27" s="101"/>
      <c r="Q27" s="101"/>
      <c r="R27" s="101"/>
      <c r="S27" s="101"/>
      <c r="T27" s="102"/>
    </row>
    <row r="28" spans="1:20" ht="15" customHeight="1" x14ac:dyDescent="0.45">
      <c r="A28" s="106" t="s">
        <v>58</v>
      </c>
      <c r="B28" s="109">
        <v>4.2</v>
      </c>
      <c r="C28" s="110"/>
      <c r="D28" s="110"/>
      <c r="E28" s="111"/>
      <c r="F28" s="111"/>
      <c r="G28" s="111"/>
      <c r="H28" s="111"/>
      <c r="I28" s="111"/>
      <c r="J28" s="111"/>
      <c r="K28" s="111"/>
      <c r="L28" s="111"/>
      <c r="M28" s="111"/>
      <c r="N28" s="25"/>
      <c r="O28" s="100"/>
      <c r="P28" s="101"/>
      <c r="Q28" s="101"/>
      <c r="R28" s="101"/>
      <c r="S28" s="101"/>
      <c r="T28" s="102"/>
    </row>
    <row r="29" spans="1:20" ht="15" customHeight="1" x14ac:dyDescent="0.45">
      <c r="A29" s="106" t="s">
        <v>59</v>
      </c>
      <c r="B29" s="109">
        <v>4.2</v>
      </c>
      <c r="C29" s="110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25"/>
      <c r="O29" s="100"/>
      <c r="P29" s="101"/>
      <c r="Q29" s="101"/>
      <c r="R29" s="101"/>
      <c r="S29" s="101"/>
      <c r="T29" s="102"/>
    </row>
    <row r="30" spans="1:20" ht="15" customHeight="1" x14ac:dyDescent="0.45">
      <c r="A30" s="106" t="s">
        <v>60</v>
      </c>
      <c r="B30" s="109">
        <v>3.2</v>
      </c>
      <c r="C30" s="110"/>
      <c r="D30" s="110"/>
      <c r="E30" s="111"/>
      <c r="F30" s="111"/>
      <c r="G30" s="111"/>
      <c r="H30" s="111"/>
      <c r="I30" s="111"/>
      <c r="J30" s="111"/>
      <c r="K30" s="111"/>
      <c r="L30" s="111"/>
      <c r="M30" s="111"/>
      <c r="N30" s="25"/>
      <c r="O30" s="100"/>
      <c r="P30" s="101"/>
      <c r="Q30" s="101"/>
      <c r="R30" s="101"/>
      <c r="S30" s="101"/>
      <c r="T30" s="102"/>
    </row>
    <row r="31" spans="1:20" ht="15" customHeight="1" x14ac:dyDescent="0.45">
      <c r="A31" s="106" t="s">
        <v>61</v>
      </c>
      <c r="B31" s="109">
        <v>4.4000000000000004</v>
      </c>
      <c r="C31" s="110"/>
      <c r="D31" s="110"/>
      <c r="E31" s="111"/>
      <c r="F31" s="111"/>
      <c r="G31" s="111"/>
      <c r="H31" s="111"/>
      <c r="I31" s="111"/>
      <c r="J31" s="111"/>
      <c r="K31" s="111"/>
      <c r="L31" s="111"/>
      <c r="M31" s="111"/>
      <c r="N31" s="25"/>
      <c r="O31" s="100"/>
      <c r="P31" s="101"/>
      <c r="Q31" s="101"/>
      <c r="R31" s="101"/>
      <c r="S31" s="101"/>
      <c r="T31" s="102"/>
    </row>
    <row r="32" spans="1:20" ht="15" customHeight="1" x14ac:dyDescent="0.45">
      <c r="A32" s="106" t="s">
        <v>62</v>
      </c>
      <c r="B32" s="109">
        <v>4.2</v>
      </c>
      <c r="C32" s="110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25"/>
      <c r="O32" s="100"/>
      <c r="P32" s="101"/>
      <c r="Q32" s="101"/>
      <c r="R32" s="101"/>
      <c r="S32" s="101"/>
      <c r="T32" s="102"/>
    </row>
    <row r="33" spans="1:20" ht="15" customHeight="1" x14ac:dyDescent="0.45">
      <c r="A33" s="106" t="s">
        <v>63</v>
      </c>
      <c r="B33" s="109">
        <v>4.5999999999999996</v>
      </c>
      <c r="C33" s="110"/>
      <c r="D33" s="110"/>
      <c r="E33" s="111"/>
      <c r="F33" s="111"/>
      <c r="G33" s="111"/>
      <c r="H33" s="111"/>
      <c r="I33" s="111"/>
      <c r="J33" s="111"/>
      <c r="K33" s="111"/>
      <c r="L33" s="111"/>
      <c r="M33" s="111"/>
      <c r="N33" s="25"/>
      <c r="O33" s="100"/>
      <c r="P33" s="101"/>
      <c r="Q33" s="101"/>
      <c r="R33" s="101"/>
      <c r="S33" s="101"/>
      <c r="T33" s="102"/>
    </row>
    <row r="34" spans="1:20" ht="15" customHeight="1" x14ac:dyDescent="0.45">
      <c r="A34" s="246" t="s">
        <v>102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5"/>
      <c r="O34" s="100"/>
      <c r="P34" s="101"/>
      <c r="Q34" s="101"/>
      <c r="R34" s="101"/>
      <c r="S34" s="101"/>
      <c r="T34" s="102"/>
    </row>
    <row r="35" spans="1:20" ht="15" customHeight="1" x14ac:dyDescent="0.45">
      <c r="A35" s="244" t="s">
        <v>103</v>
      </c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5"/>
      <c r="O35" s="100"/>
      <c r="P35" s="101"/>
      <c r="Q35" s="101"/>
      <c r="R35" s="101"/>
      <c r="S35" s="101"/>
      <c r="T35" s="102"/>
    </row>
    <row r="36" spans="1:20" ht="15" customHeight="1" x14ac:dyDescent="0.45">
      <c r="A36" s="240" t="s">
        <v>104</v>
      </c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5"/>
      <c r="O36" s="113"/>
      <c r="P36" s="114"/>
      <c r="Q36" s="114"/>
      <c r="R36" s="114"/>
      <c r="S36" s="114"/>
      <c r="T36" s="115"/>
    </row>
  </sheetData>
  <mergeCells count="8">
    <mergeCell ref="A1:M1"/>
    <mergeCell ref="A23:M23"/>
    <mergeCell ref="A9:M9"/>
    <mergeCell ref="A36:M36"/>
    <mergeCell ref="A2:M2"/>
    <mergeCell ref="A35:M35"/>
    <mergeCell ref="A16:M16"/>
    <mergeCell ref="A34:M34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9"/>
  <sheetViews>
    <sheetView showGridLines="0" workbookViewId="0">
      <selection sqref="A1:E1"/>
    </sheetView>
  </sheetViews>
  <sheetFormatPr defaultColWidth="8.796875" defaultRowHeight="15" customHeight="1" x14ac:dyDescent="0.45"/>
  <cols>
    <col min="1" max="5" width="15.46484375" style="1" customWidth="1"/>
    <col min="6" max="256" width="8.86328125" style="1" customWidth="1"/>
  </cols>
  <sheetData>
    <row r="1" spans="1:12" ht="18" customHeight="1" x14ac:dyDescent="0.45">
      <c r="A1" s="235" t="s">
        <v>105</v>
      </c>
      <c r="B1" s="248"/>
      <c r="C1" s="248"/>
      <c r="D1" s="248"/>
      <c r="E1" s="249"/>
      <c r="F1" s="42"/>
      <c r="G1" s="42"/>
      <c r="H1" s="42"/>
      <c r="I1" s="42"/>
      <c r="J1" s="25"/>
      <c r="K1" s="25"/>
      <c r="L1" s="25"/>
    </row>
    <row r="2" spans="1:12" ht="18" customHeight="1" x14ac:dyDescent="0.45">
      <c r="A2" s="242" t="s">
        <v>101</v>
      </c>
      <c r="B2" s="250"/>
      <c r="C2" s="250"/>
      <c r="D2" s="250"/>
      <c r="E2" s="251"/>
      <c r="F2" s="116"/>
      <c r="G2" s="116"/>
      <c r="H2" s="116"/>
      <c r="I2" s="116"/>
      <c r="J2" s="25"/>
      <c r="K2" s="25"/>
      <c r="L2" s="25"/>
    </row>
    <row r="3" spans="1:12" ht="15" customHeight="1" x14ac:dyDescent="0.45">
      <c r="A3" s="117" t="s">
        <v>67</v>
      </c>
      <c r="B3" s="117" t="s">
        <v>68</v>
      </c>
      <c r="C3" s="117" t="s">
        <v>69</v>
      </c>
      <c r="D3" s="117" t="s">
        <v>70</v>
      </c>
      <c r="E3" s="118" t="s">
        <v>71</v>
      </c>
      <c r="F3" s="25"/>
      <c r="G3" s="25"/>
      <c r="H3" s="25"/>
      <c r="I3" s="25"/>
      <c r="J3" s="25"/>
      <c r="K3" s="25"/>
      <c r="L3" s="25"/>
    </row>
    <row r="4" spans="1:12" ht="15" customHeight="1" x14ac:dyDescent="0.45">
      <c r="A4" s="119">
        <v>1.4</v>
      </c>
      <c r="B4" s="119">
        <v>2.2999999999999998</v>
      </c>
      <c r="C4" s="119">
        <v>1.1000000000000001</v>
      </c>
      <c r="D4" s="119">
        <v>0.8</v>
      </c>
      <c r="E4" s="120">
        <v>1</v>
      </c>
      <c r="F4" s="25"/>
      <c r="G4" s="25"/>
      <c r="H4" s="25"/>
      <c r="I4" s="25"/>
      <c r="J4" s="25"/>
      <c r="K4" s="25"/>
      <c r="L4" s="25"/>
    </row>
    <row r="5" spans="1:12" ht="18" customHeight="1" x14ac:dyDescent="0.45">
      <c r="A5" s="237" t="s">
        <v>97</v>
      </c>
      <c r="B5" s="252"/>
      <c r="C5" s="252"/>
      <c r="D5" s="252"/>
      <c r="E5" s="253"/>
      <c r="F5" s="25"/>
      <c r="G5" s="25"/>
      <c r="H5" s="25"/>
      <c r="I5" s="25"/>
      <c r="J5" s="25"/>
      <c r="K5" s="25"/>
      <c r="L5" s="25"/>
    </row>
    <row r="6" spans="1:12" ht="15" customHeight="1" x14ac:dyDescent="0.45">
      <c r="A6" s="117" t="s">
        <v>67</v>
      </c>
      <c r="B6" s="117" t="s">
        <v>68</v>
      </c>
      <c r="C6" s="117" t="s">
        <v>69</v>
      </c>
      <c r="D6" s="117" t="s">
        <v>70</v>
      </c>
      <c r="E6" s="118" t="s">
        <v>71</v>
      </c>
      <c r="F6" s="25"/>
      <c r="G6" s="25"/>
      <c r="H6" s="25"/>
      <c r="I6" s="25"/>
      <c r="J6" s="25"/>
      <c r="K6" s="25"/>
      <c r="L6" s="25"/>
    </row>
    <row r="7" spans="1:12" ht="15" customHeight="1" x14ac:dyDescent="0.45">
      <c r="A7" s="119">
        <v>4.4000000000000004</v>
      </c>
      <c r="B7" s="119">
        <v>1.8</v>
      </c>
      <c r="C7" s="119">
        <v>2.6</v>
      </c>
      <c r="D7" s="119">
        <v>1.6</v>
      </c>
      <c r="E7" s="120">
        <v>3.2</v>
      </c>
      <c r="F7" s="25"/>
      <c r="G7" s="25"/>
      <c r="H7" s="25"/>
      <c r="I7" s="25"/>
      <c r="J7" s="25"/>
      <c r="K7" s="25"/>
      <c r="L7" s="25"/>
    </row>
    <row r="8" spans="1:12" ht="18" customHeight="1" x14ac:dyDescent="0.45">
      <c r="A8" s="237" t="s">
        <v>99</v>
      </c>
      <c r="B8" s="252"/>
      <c r="C8" s="252"/>
      <c r="D8" s="252"/>
      <c r="E8" s="253"/>
      <c r="F8" s="25"/>
      <c r="G8" s="25"/>
      <c r="H8" s="25"/>
      <c r="I8" s="25"/>
      <c r="J8" s="25"/>
      <c r="K8" s="25"/>
      <c r="L8" s="25"/>
    </row>
    <row r="9" spans="1:12" ht="15" customHeight="1" x14ac:dyDescent="0.45">
      <c r="A9" s="117" t="s">
        <v>67</v>
      </c>
      <c r="B9" s="117" t="s">
        <v>68</v>
      </c>
      <c r="C9" s="117" t="s">
        <v>69</v>
      </c>
      <c r="D9" s="117" t="s">
        <v>70</v>
      </c>
      <c r="E9" s="118" t="s">
        <v>71</v>
      </c>
      <c r="F9" s="25"/>
      <c r="G9" s="25"/>
      <c r="H9" s="25"/>
      <c r="I9" s="25"/>
      <c r="J9" s="25"/>
      <c r="K9" s="25"/>
      <c r="L9" s="25"/>
    </row>
    <row r="10" spans="1:12" ht="15" customHeight="1" x14ac:dyDescent="0.45">
      <c r="A10" s="119">
        <v>3.5</v>
      </c>
      <c r="B10" s="119">
        <v>4.8</v>
      </c>
      <c r="C10" s="119">
        <v>3.1</v>
      </c>
      <c r="D10" s="119">
        <v>3.4</v>
      </c>
      <c r="E10" s="120">
        <v>3.9</v>
      </c>
      <c r="F10" s="25"/>
      <c r="G10" s="25"/>
      <c r="H10" s="25"/>
      <c r="I10" s="25"/>
      <c r="J10" s="25"/>
      <c r="K10" s="25"/>
      <c r="L10" s="25"/>
    </row>
    <row r="11" spans="1:12" ht="18" customHeight="1" x14ac:dyDescent="0.45">
      <c r="A11" s="237" t="s">
        <v>100</v>
      </c>
      <c r="B11" s="252"/>
      <c r="C11" s="252"/>
      <c r="D11" s="252"/>
      <c r="E11" s="253"/>
      <c r="F11" s="25"/>
      <c r="G11" s="25"/>
      <c r="H11" s="25"/>
      <c r="I11" s="25"/>
      <c r="J11" s="25"/>
      <c r="K11" s="25"/>
      <c r="L11" s="25"/>
    </row>
    <row r="12" spans="1:12" ht="15" customHeight="1" x14ac:dyDescent="0.45">
      <c r="A12" s="117" t="s">
        <v>67</v>
      </c>
      <c r="B12" s="117" t="s">
        <v>68</v>
      </c>
      <c r="C12" s="117" t="s">
        <v>69</v>
      </c>
      <c r="D12" s="117" t="s">
        <v>70</v>
      </c>
      <c r="E12" s="118" t="s">
        <v>71</v>
      </c>
      <c r="F12" s="25"/>
      <c r="G12" s="25"/>
      <c r="H12" s="25"/>
      <c r="I12" s="25"/>
      <c r="J12" s="25"/>
      <c r="K12" s="25"/>
      <c r="L12" s="25"/>
    </row>
    <row r="13" spans="1:12" ht="15" customHeight="1" x14ac:dyDescent="0.45">
      <c r="A13" s="119">
        <v>2.2999999999999998</v>
      </c>
      <c r="B13" s="119">
        <v>3.1</v>
      </c>
      <c r="C13" s="119">
        <v>3</v>
      </c>
      <c r="D13" s="121">
        <v>2.4</v>
      </c>
      <c r="E13" s="122">
        <v>1.9</v>
      </c>
      <c r="F13" s="25"/>
      <c r="G13" s="25"/>
      <c r="H13" s="25"/>
      <c r="I13" s="25"/>
      <c r="J13" s="25"/>
      <c r="K13" s="25"/>
      <c r="L13" s="25"/>
    </row>
    <row r="14" spans="1:12" ht="15" customHeight="1" x14ac:dyDescent="0.45">
      <c r="A14" s="123"/>
      <c r="B14" s="123"/>
      <c r="C14" s="123"/>
      <c r="D14" s="112"/>
      <c r="E14" s="112"/>
      <c r="F14" s="112"/>
      <c r="G14" s="112"/>
      <c r="H14" s="112"/>
      <c r="I14" s="112"/>
      <c r="J14" s="25"/>
      <c r="K14" s="25"/>
      <c r="L14" s="25"/>
    </row>
    <row r="15" spans="1:12" ht="15" customHeight="1" x14ac:dyDescent="0.45">
      <c r="A15" s="246" t="s">
        <v>102</v>
      </c>
      <c r="B15" s="247"/>
      <c r="C15" s="247"/>
      <c r="D15" s="247"/>
      <c r="E15" s="247"/>
      <c r="F15" s="247"/>
      <c r="G15" s="247"/>
      <c r="H15" s="247"/>
      <c r="I15" s="247"/>
      <c r="J15" s="25"/>
      <c r="K15" s="25"/>
      <c r="L15" s="25"/>
    </row>
    <row r="16" spans="1:12" ht="15" customHeight="1" x14ac:dyDescent="0.45">
      <c r="A16" s="244" t="s">
        <v>103</v>
      </c>
      <c r="B16" s="245"/>
      <c r="C16" s="245"/>
      <c r="D16" s="245"/>
      <c r="E16" s="245"/>
      <c r="F16" s="245"/>
      <c r="G16" s="245"/>
      <c r="H16" s="245"/>
      <c r="I16" s="245"/>
      <c r="J16" s="25"/>
      <c r="K16" s="25"/>
      <c r="L16" s="25"/>
    </row>
    <row r="17" spans="1:12" ht="15" customHeight="1" x14ac:dyDescent="0.45">
      <c r="A17" s="240" t="s">
        <v>104</v>
      </c>
      <c r="B17" s="241"/>
      <c r="C17" s="241"/>
      <c r="D17" s="241"/>
      <c r="E17" s="241"/>
      <c r="F17" s="241"/>
      <c r="G17" s="241"/>
      <c r="H17" s="241"/>
      <c r="I17" s="241"/>
      <c r="J17" s="25"/>
      <c r="K17" s="25"/>
      <c r="L17" s="25"/>
    </row>
    <row r="18" spans="1:12" ht="15" customHeight="1" x14ac:dyDescent="0.45">
      <c r="A18" s="124"/>
      <c r="B18" s="124"/>
      <c r="C18" s="124"/>
      <c r="D18" s="124"/>
      <c r="E18" s="124"/>
      <c r="F18" s="124"/>
      <c r="G18" s="124"/>
      <c r="H18" s="124"/>
      <c r="I18" s="124"/>
      <c r="J18" s="25"/>
      <c r="K18" s="25"/>
      <c r="L18" s="25"/>
    </row>
    <row r="19" spans="1:12" ht="15" customHeight="1" x14ac:dyDescent="0.45">
      <c r="A19" s="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</row>
  </sheetData>
  <mergeCells count="8">
    <mergeCell ref="A1:E1"/>
    <mergeCell ref="A15:I15"/>
    <mergeCell ref="A17:I17"/>
    <mergeCell ref="A2:E2"/>
    <mergeCell ref="A8:E8"/>
    <mergeCell ref="A11:E11"/>
    <mergeCell ref="A5:E5"/>
    <mergeCell ref="A16:I16"/>
  </mergeCells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02"/>
  <sheetViews>
    <sheetView showGridLines="0" workbookViewId="0"/>
  </sheetViews>
  <sheetFormatPr defaultColWidth="8.796875" defaultRowHeight="15" customHeight="1" x14ac:dyDescent="0.45"/>
  <cols>
    <col min="1" max="102" width="5.6640625" style="1" customWidth="1"/>
    <col min="103" max="256" width="8.86328125" style="1" customWidth="1"/>
  </cols>
  <sheetData>
    <row r="1" spans="1:102" ht="15" customHeight="1" x14ac:dyDescent="0.45">
      <c r="A1" s="126"/>
      <c r="B1" s="127">
        <v>0</v>
      </c>
      <c r="C1" s="127">
        <v>0.1</v>
      </c>
      <c r="D1" s="127">
        <v>0.2</v>
      </c>
      <c r="E1" s="127">
        <v>0.3</v>
      </c>
      <c r="F1" s="127">
        <v>0.4</v>
      </c>
      <c r="G1" s="127">
        <v>0.5</v>
      </c>
      <c r="H1" s="127">
        <v>0.6</v>
      </c>
      <c r="I1" s="127">
        <v>0.7</v>
      </c>
      <c r="J1" s="127">
        <v>0.8</v>
      </c>
      <c r="K1" s="127">
        <v>0.9</v>
      </c>
      <c r="L1" s="127">
        <v>1</v>
      </c>
      <c r="M1" s="127">
        <v>1.1000000000000001</v>
      </c>
      <c r="N1" s="127">
        <v>1.2</v>
      </c>
      <c r="O1" s="127">
        <v>1.3</v>
      </c>
      <c r="P1" s="127">
        <v>1.4</v>
      </c>
      <c r="Q1" s="127">
        <v>1.5</v>
      </c>
      <c r="R1" s="127">
        <v>1.6</v>
      </c>
      <c r="S1" s="127">
        <v>1.7</v>
      </c>
      <c r="T1" s="127">
        <v>1.8</v>
      </c>
      <c r="U1" s="127">
        <v>1.9</v>
      </c>
      <c r="V1" s="127">
        <v>2</v>
      </c>
      <c r="W1" s="127">
        <v>2.1</v>
      </c>
      <c r="X1" s="127">
        <v>2.2000000000000002</v>
      </c>
      <c r="Y1" s="127">
        <v>2.2999999999999998</v>
      </c>
      <c r="Z1" s="127">
        <v>2.4</v>
      </c>
      <c r="AA1" s="127">
        <v>2.5</v>
      </c>
      <c r="AB1" s="127">
        <v>2.6</v>
      </c>
      <c r="AC1" s="127">
        <v>2.7</v>
      </c>
      <c r="AD1" s="127">
        <v>2.8</v>
      </c>
      <c r="AE1" s="127">
        <v>2.9</v>
      </c>
      <c r="AF1" s="127">
        <v>3</v>
      </c>
      <c r="AG1" s="127">
        <v>3.1</v>
      </c>
      <c r="AH1" s="127">
        <v>3.2</v>
      </c>
      <c r="AI1" s="127">
        <v>3.3</v>
      </c>
      <c r="AJ1" s="127">
        <v>3.4</v>
      </c>
      <c r="AK1" s="127">
        <v>3.5</v>
      </c>
      <c r="AL1" s="127">
        <v>3.6</v>
      </c>
      <c r="AM1" s="127">
        <v>3.7</v>
      </c>
      <c r="AN1" s="127">
        <v>3.8</v>
      </c>
      <c r="AO1" s="127">
        <v>3.9</v>
      </c>
      <c r="AP1" s="127">
        <v>4</v>
      </c>
      <c r="AQ1" s="127">
        <v>4.0999999999999996</v>
      </c>
      <c r="AR1" s="127">
        <v>4.2</v>
      </c>
      <c r="AS1" s="127">
        <v>4.3</v>
      </c>
      <c r="AT1" s="127">
        <v>4.4000000000000004</v>
      </c>
      <c r="AU1" s="127">
        <v>4.5</v>
      </c>
      <c r="AV1" s="127">
        <v>4.5999999999999996</v>
      </c>
      <c r="AW1" s="127">
        <v>4.7</v>
      </c>
      <c r="AX1" s="127">
        <v>4.8</v>
      </c>
      <c r="AY1" s="127">
        <v>4.9000000000000004</v>
      </c>
      <c r="AZ1" s="127">
        <v>5</v>
      </c>
      <c r="BA1" s="127">
        <v>5.0999999999999996</v>
      </c>
      <c r="BB1" s="127">
        <v>5.2</v>
      </c>
      <c r="BC1" s="127">
        <v>5.3</v>
      </c>
      <c r="BD1" s="127">
        <v>5.4</v>
      </c>
      <c r="BE1" s="127">
        <v>5.5</v>
      </c>
      <c r="BF1" s="127">
        <v>5.6</v>
      </c>
      <c r="BG1" s="127">
        <v>5.7</v>
      </c>
      <c r="BH1" s="127">
        <v>5.8</v>
      </c>
      <c r="BI1" s="127">
        <v>5.9</v>
      </c>
      <c r="BJ1" s="127">
        <v>6</v>
      </c>
      <c r="BK1" s="127">
        <v>6.1</v>
      </c>
      <c r="BL1" s="127">
        <v>6.2</v>
      </c>
      <c r="BM1" s="127">
        <v>6.3</v>
      </c>
      <c r="BN1" s="127">
        <v>6.4</v>
      </c>
      <c r="BO1" s="127">
        <v>6.5</v>
      </c>
      <c r="BP1" s="127">
        <v>6.6</v>
      </c>
      <c r="BQ1" s="127">
        <v>6.7</v>
      </c>
      <c r="BR1" s="127">
        <v>6.8</v>
      </c>
      <c r="BS1" s="127">
        <v>6.9</v>
      </c>
      <c r="BT1" s="127">
        <v>7</v>
      </c>
      <c r="BU1" s="127">
        <v>7.1</v>
      </c>
      <c r="BV1" s="127">
        <v>7.2</v>
      </c>
      <c r="BW1" s="127">
        <v>7.3</v>
      </c>
      <c r="BX1" s="127">
        <v>7.4</v>
      </c>
      <c r="BY1" s="127">
        <v>7.5</v>
      </c>
      <c r="BZ1" s="127">
        <v>7.6</v>
      </c>
      <c r="CA1" s="127">
        <v>7.7</v>
      </c>
      <c r="CB1" s="127">
        <v>7.8</v>
      </c>
      <c r="CC1" s="127">
        <v>7.9</v>
      </c>
      <c r="CD1" s="127">
        <v>8</v>
      </c>
      <c r="CE1" s="127">
        <v>8.1</v>
      </c>
      <c r="CF1" s="127">
        <v>8.1999999999999993</v>
      </c>
      <c r="CG1" s="127">
        <v>8.3000000000000007</v>
      </c>
      <c r="CH1" s="127">
        <v>8.4</v>
      </c>
      <c r="CI1" s="127">
        <v>8.5</v>
      </c>
      <c r="CJ1" s="127">
        <v>8.6</v>
      </c>
      <c r="CK1" s="127">
        <v>8.6999999999999993</v>
      </c>
      <c r="CL1" s="127">
        <v>8.8000000000000007</v>
      </c>
      <c r="CM1" s="127">
        <v>8.9</v>
      </c>
      <c r="CN1" s="127">
        <v>9</v>
      </c>
      <c r="CO1" s="127">
        <v>9.1</v>
      </c>
      <c r="CP1" s="127">
        <v>9.1999999999999993</v>
      </c>
      <c r="CQ1" s="127">
        <v>9.3000000000000007</v>
      </c>
      <c r="CR1" s="127">
        <v>9.4</v>
      </c>
      <c r="CS1" s="127">
        <v>9.5</v>
      </c>
      <c r="CT1" s="127">
        <v>9.6</v>
      </c>
      <c r="CU1" s="127">
        <v>9.6999999999999993</v>
      </c>
      <c r="CV1" s="127">
        <v>9.8000000000000007</v>
      </c>
      <c r="CW1" s="127">
        <v>9.9</v>
      </c>
      <c r="CX1" s="128">
        <v>10</v>
      </c>
    </row>
    <row r="2" spans="1:102" ht="15" customHeight="1" x14ac:dyDescent="0.45">
      <c r="A2" s="129">
        <v>0</v>
      </c>
      <c r="B2" s="130">
        <v>1</v>
      </c>
      <c r="C2" s="131">
        <v>1</v>
      </c>
      <c r="D2" s="131">
        <v>0.75</v>
      </c>
      <c r="E2" s="131">
        <v>0.65</v>
      </c>
      <c r="F2" s="131">
        <v>0.55000000000000004</v>
      </c>
      <c r="G2" s="131">
        <v>0.45</v>
      </c>
      <c r="H2" s="131">
        <v>0.35</v>
      </c>
      <c r="I2" s="131">
        <v>0.25</v>
      </c>
      <c r="J2" s="131">
        <v>0.15</v>
      </c>
      <c r="K2" s="131">
        <v>0.05</v>
      </c>
      <c r="L2" s="131">
        <v>0</v>
      </c>
      <c r="M2" s="131">
        <v>0</v>
      </c>
      <c r="N2" s="131">
        <v>0</v>
      </c>
      <c r="O2" s="131">
        <v>0</v>
      </c>
      <c r="P2" s="131">
        <v>0</v>
      </c>
      <c r="Q2" s="131">
        <v>0</v>
      </c>
      <c r="R2" s="131">
        <v>0</v>
      </c>
      <c r="S2" s="131">
        <v>0</v>
      </c>
      <c r="T2" s="131">
        <v>0</v>
      </c>
      <c r="U2" s="131">
        <v>0</v>
      </c>
      <c r="V2" s="131">
        <v>0</v>
      </c>
      <c r="W2" s="131">
        <v>0</v>
      </c>
      <c r="X2" s="131">
        <v>0</v>
      </c>
      <c r="Y2" s="131">
        <v>0</v>
      </c>
      <c r="Z2" s="131">
        <v>0</v>
      </c>
      <c r="AA2" s="131">
        <v>0</v>
      </c>
      <c r="AB2" s="131">
        <v>0</v>
      </c>
      <c r="AC2" s="131">
        <v>0</v>
      </c>
      <c r="AD2" s="131">
        <v>0</v>
      </c>
      <c r="AE2" s="131">
        <v>0</v>
      </c>
      <c r="AF2" s="131">
        <v>0</v>
      </c>
      <c r="AG2" s="131">
        <v>0</v>
      </c>
      <c r="AH2" s="131">
        <v>0</v>
      </c>
      <c r="AI2" s="131">
        <v>0</v>
      </c>
      <c r="AJ2" s="131">
        <v>0</v>
      </c>
      <c r="AK2" s="131">
        <v>0</v>
      </c>
      <c r="AL2" s="131">
        <v>0</v>
      </c>
      <c r="AM2" s="131">
        <v>0</v>
      </c>
      <c r="AN2" s="131">
        <v>0</v>
      </c>
      <c r="AO2" s="131">
        <v>0</v>
      </c>
      <c r="AP2" s="131">
        <v>0</v>
      </c>
      <c r="AQ2" s="131">
        <v>0</v>
      </c>
      <c r="AR2" s="131">
        <v>0</v>
      </c>
      <c r="AS2" s="131">
        <v>0</v>
      </c>
      <c r="AT2" s="131">
        <v>0</v>
      </c>
      <c r="AU2" s="131">
        <v>0</v>
      </c>
      <c r="AV2" s="131">
        <v>0</v>
      </c>
      <c r="AW2" s="131">
        <v>0</v>
      </c>
      <c r="AX2" s="131">
        <v>0</v>
      </c>
      <c r="AY2" s="131">
        <v>0</v>
      </c>
      <c r="AZ2" s="131">
        <v>0</v>
      </c>
      <c r="BA2" s="131">
        <v>0</v>
      </c>
      <c r="BB2" s="131">
        <v>0</v>
      </c>
      <c r="BC2" s="131">
        <v>0</v>
      </c>
      <c r="BD2" s="131">
        <v>0</v>
      </c>
      <c r="BE2" s="131">
        <v>0</v>
      </c>
      <c r="BF2" s="131">
        <v>0</v>
      </c>
      <c r="BG2" s="131">
        <v>0</v>
      </c>
      <c r="BH2" s="131">
        <v>0</v>
      </c>
      <c r="BI2" s="131">
        <v>0</v>
      </c>
      <c r="BJ2" s="131">
        <v>0</v>
      </c>
      <c r="BK2" s="131">
        <v>0</v>
      </c>
      <c r="BL2" s="131">
        <v>0</v>
      </c>
      <c r="BM2" s="131">
        <v>0</v>
      </c>
      <c r="BN2" s="131">
        <v>0</v>
      </c>
      <c r="BO2" s="131">
        <v>0</v>
      </c>
      <c r="BP2" s="131">
        <v>0</v>
      </c>
      <c r="BQ2" s="131">
        <v>0</v>
      </c>
      <c r="BR2" s="131">
        <v>0</v>
      </c>
      <c r="BS2" s="131">
        <v>0</v>
      </c>
      <c r="BT2" s="131">
        <v>0</v>
      </c>
      <c r="BU2" s="131">
        <v>0</v>
      </c>
      <c r="BV2" s="131">
        <v>0</v>
      </c>
      <c r="BW2" s="131">
        <v>0</v>
      </c>
      <c r="BX2" s="131">
        <v>0</v>
      </c>
      <c r="BY2" s="131">
        <v>0</v>
      </c>
      <c r="BZ2" s="131">
        <v>0</v>
      </c>
      <c r="CA2" s="131">
        <v>0</v>
      </c>
      <c r="CB2" s="131">
        <v>0</v>
      </c>
      <c r="CC2" s="131">
        <v>0</v>
      </c>
      <c r="CD2" s="131">
        <v>0</v>
      </c>
      <c r="CE2" s="131">
        <v>0</v>
      </c>
      <c r="CF2" s="131">
        <v>0</v>
      </c>
      <c r="CG2" s="131">
        <v>0</v>
      </c>
      <c r="CH2" s="131">
        <v>0</v>
      </c>
      <c r="CI2" s="131">
        <v>0</v>
      </c>
      <c r="CJ2" s="131">
        <v>0</v>
      </c>
      <c r="CK2" s="131">
        <v>0</v>
      </c>
      <c r="CL2" s="131">
        <v>0</v>
      </c>
      <c r="CM2" s="131">
        <v>0</v>
      </c>
      <c r="CN2" s="131">
        <v>0</v>
      </c>
      <c r="CO2" s="131">
        <v>0</v>
      </c>
      <c r="CP2" s="131">
        <v>0</v>
      </c>
      <c r="CQ2" s="131">
        <v>0</v>
      </c>
      <c r="CR2" s="131">
        <v>0</v>
      </c>
      <c r="CS2" s="131">
        <v>0</v>
      </c>
      <c r="CT2" s="131">
        <v>0</v>
      </c>
      <c r="CU2" s="131">
        <v>0</v>
      </c>
      <c r="CV2" s="131">
        <v>0</v>
      </c>
      <c r="CW2" s="131">
        <v>0</v>
      </c>
      <c r="CX2" s="131">
        <v>0</v>
      </c>
    </row>
    <row r="3" spans="1:102" ht="15" customHeight="1" x14ac:dyDescent="0.45">
      <c r="A3" s="129">
        <v>0.1</v>
      </c>
      <c r="B3" s="132">
        <v>1</v>
      </c>
      <c r="C3" s="133">
        <v>1</v>
      </c>
      <c r="D3" s="133">
        <v>0.75</v>
      </c>
      <c r="E3" s="133">
        <v>0.65</v>
      </c>
      <c r="F3" s="133">
        <v>0.55000000000000004</v>
      </c>
      <c r="G3" s="133">
        <v>0.45</v>
      </c>
      <c r="H3" s="133">
        <v>0.35</v>
      </c>
      <c r="I3" s="133">
        <v>0.25</v>
      </c>
      <c r="J3" s="133">
        <v>0.15</v>
      </c>
      <c r="K3" s="133">
        <v>0.05</v>
      </c>
      <c r="L3" s="133">
        <v>0</v>
      </c>
      <c r="M3" s="133">
        <v>0</v>
      </c>
      <c r="N3" s="133">
        <v>0</v>
      </c>
      <c r="O3" s="133">
        <v>0</v>
      </c>
      <c r="P3" s="133">
        <v>0</v>
      </c>
      <c r="Q3" s="133">
        <v>0</v>
      </c>
      <c r="R3" s="133">
        <v>0</v>
      </c>
      <c r="S3" s="133">
        <v>0</v>
      </c>
      <c r="T3" s="133">
        <v>0</v>
      </c>
      <c r="U3" s="133">
        <v>0</v>
      </c>
      <c r="V3" s="133">
        <v>0</v>
      </c>
      <c r="W3" s="133">
        <v>0</v>
      </c>
      <c r="X3" s="133">
        <v>0</v>
      </c>
      <c r="Y3" s="133">
        <v>0</v>
      </c>
      <c r="Z3" s="133">
        <v>0</v>
      </c>
      <c r="AA3" s="133">
        <v>0</v>
      </c>
      <c r="AB3" s="133">
        <v>0</v>
      </c>
      <c r="AC3" s="133">
        <v>0</v>
      </c>
      <c r="AD3" s="133">
        <v>0</v>
      </c>
      <c r="AE3" s="133">
        <v>0</v>
      </c>
      <c r="AF3" s="133">
        <v>0</v>
      </c>
      <c r="AG3" s="133">
        <v>0</v>
      </c>
      <c r="AH3" s="133">
        <v>0</v>
      </c>
      <c r="AI3" s="133">
        <v>0</v>
      </c>
      <c r="AJ3" s="133">
        <v>0</v>
      </c>
      <c r="AK3" s="133">
        <v>0</v>
      </c>
      <c r="AL3" s="133">
        <v>0</v>
      </c>
      <c r="AM3" s="133">
        <v>0</v>
      </c>
      <c r="AN3" s="133"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3">
        <v>0</v>
      </c>
      <c r="BB3" s="133">
        <v>0</v>
      </c>
      <c r="BC3" s="133">
        <v>0</v>
      </c>
      <c r="BD3" s="133">
        <v>0</v>
      </c>
      <c r="BE3" s="133">
        <v>0</v>
      </c>
      <c r="BF3" s="133">
        <v>0</v>
      </c>
      <c r="BG3" s="133">
        <v>0</v>
      </c>
      <c r="BH3" s="133">
        <v>0</v>
      </c>
      <c r="BI3" s="133">
        <v>0</v>
      </c>
      <c r="BJ3" s="133">
        <v>0</v>
      </c>
      <c r="BK3" s="133">
        <v>0</v>
      </c>
      <c r="BL3" s="133">
        <v>0</v>
      </c>
      <c r="BM3" s="133">
        <v>0</v>
      </c>
      <c r="BN3" s="133">
        <v>0</v>
      </c>
      <c r="BO3" s="133">
        <v>0</v>
      </c>
      <c r="BP3" s="133">
        <v>0</v>
      </c>
      <c r="BQ3" s="133">
        <v>0</v>
      </c>
      <c r="BR3" s="133">
        <v>0</v>
      </c>
      <c r="BS3" s="133">
        <v>0</v>
      </c>
      <c r="BT3" s="133">
        <v>0</v>
      </c>
      <c r="BU3" s="133">
        <v>0</v>
      </c>
      <c r="BV3" s="133">
        <v>0</v>
      </c>
      <c r="BW3" s="133">
        <v>0</v>
      </c>
      <c r="BX3" s="133">
        <v>0</v>
      </c>
      <c r="BY3" s="133">
        <v>0</v>
      </c>
      <c r="BZ3" s="133">
        <v>0</v>
      </c>
      <c r="CA3" s="133">
        <v>0</v>
      </c>
      <c r="CB3" s="133">
        <v>0</v>
      </c>
      <c r="CC3" s="133">
        <v>0</v>
      </c>
      <c r="CD3" s="133">
        <v>0</v>
      </c>
      <c r="CE3" s="133">
        <v>0</v>
      </c>
      <c r="CF3" s="133">
        <v>0</v>
      </c>
      <c r="CG3" s="133">
        <v>0</v>
      </c>
      <c r="CH3" s="133">
        <v>0</v>
      </c>
      <c r="CI3" s="133">
        <v>0</v>
      </c>
      <c r="CJ3" s="133">
        <v>0</v>
      </c>
      <c r="CK3" s="133">
        <v>0</v>
      </c>
      <c r="CL3" s="133">
        <v>0</v>
      </c>
      <c r="CM3" s="133">
        <v>0</v>
      </c>
      <c r="CN3" s="133">
        <v>0</v>
      </c>
      <c r="CO3" s="133">
        <v>0</v>
      </c>
      <c r="CP3" s="133">
        <v>0</v>
      </c>
      <c r="CQ3" s="133">
        <v>0</v>
      </c>
      <c r="CR3" s="133">
        <v>0</v>
      </c>
      <c r="CS3" s="133">
        <v>0</v>
      </c>
      <c r="CT3" s="133">
        <v>0</v>
      </c>
      <c r="CU3" s="133">
        <v>0</v>
      </c>
      <c r="CV3" s="133">
        <v>0</v>
      </c>
      <c r="CW3" s="133">
        <v>0</v>
      </c>
      <c r="CX3" s="133">
        <v>0</v>
      </c>
    </row>
    <row r="4" spans="1:102" ht="15" customHeight="1" x14ac:dyDescent="0.45">
      <c r="A4" s="129">
        <v>0.2</v>
      </c>
      <c r="B4" s="132">
        <v>1</v>
      </c>
      <c r="C4" s="133">
        <v>1</v>
      </c>
      <c r="D4" s="133">
        <v>0.75</v>
      </c>
      <c r="E4" s="133">
        <v>0.65</v>
      </c>
      <c r="F4" s="133">
        <v>0.55000000000000004</v>
      </c>
      <c r="G4" s="133">
        <v>0.45</v>
      </c>
      <c r="H4" s="133">
        <v>0.35</v>
      </c>
      <c r="I4" s="133">
        <v>0.25</v>
      </c>
      <c r="J4" s="133">
        <v>0.15</v>
      </c>
      <c r="K4" s="133">
        <v>0.05</v>
      </c>
      <c r="L4" s="133">
        <v>0</v>
      </c>
      <c r="M4" s="133">
        <v>0</v>
      </c>
      <c r="N4" s="133">
        <v>0</v>
      </c>
      <c r="O4" s="133">
        <v>0</v>
      </c>
      <c r="P4" s="133">
        <v>0</v>
      </c>
      <c r="Q4" s="133">
        <v>0</v>
      </c>
      <c r="R4" s="133">
        <v>0</v>
      </c>
      <c r="S4" s="133">
        <v>0</v>
      </c>
      <c r="T4" s="133">
        <v>0</v>
      </c>
      <c r="U4" s="133">
        <v>0</v>
      </c>
      <c r="V4" s="133">
        <v>0</v>
      </c>
      <c r="W4" s="133">
        <v>0</v>
      </c>
      <c r="X4" s="133">
        <v>0</v>
      </c>
      <c r="Y4" s="133">
        <v>0</v>
      </c>
      <c r="Z4" s="133">
        <v>0</v>
      </c>
      <c r="AA4" s="133">
        <v>0</v>
      </c>
      <c r="AB4" s="133">
        <v>0</v>
      </c>
      <c r="AC4" s="133">
        <v>0</v>
      </c>
      <c r="AD4" s="133">
        <v>0</v>
      </c>
      <c r="AE4" s="133">
        <v>0</v>
      </c>
      <c r="AF4" s="133">
        <v>0</v>
      </c>
      <c r="AG4" s="133">
        <v>0</v>
      </c>
      <c r="AH4" s="133">
        <v>0</v>
      </c>
      <c r="AI4" s="133">
        <v>0</v>
      </c>
      <c r="AJ4" s="133">
        <v>0</v>
      </c>
      <c r="AK4" s="133">
        <v>0</v>
      </c>
      <c r="AL4" s="133">
        <v>0</v>
      </c>
      <c r="AM4" s="133">
        <v>0</v>
      </c>
      <c r="AN4" s="133">
        <v>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0</v>
      </c>
      <c r="AY4" s="133">
        <v>0</v>
      </c>
      <c r="AZ4" s="133">
        <v>0</v>
      </c>
      <c r="BA4" s="133">
        <v>0</v>
      </c>
      <c r="BB4" s="133">
        <v>0</v>
      </c>
      <c r="BC4" s="133">
        <v>0</v>
      </c>
      <c r="BD4" s="133">
        <v>0</v>
      </c>
      <c r="BE4" s="133">
        <v>0</v>
      </c>
      <c r="BF4" s="133">
        <v>0</v>
      </c>
      <c r="BG4" s="133">
        <v>0</v>
      </c>
      <c r="BH4" s="133">
        <v>0</v>
      </c>
      <c r="BI4" s="133">
        <v>0</v>
      </c>
      <c r="BJ4" s="133">
        <v>0</v>
      </c>
      <c r="BK4" s="133">
        <v>0</v>
      </c>
      <c r="BL4" s="133">
        <v>0</v>
      </c>
      <c r="BM4" s="133">
        <v>0</v>
      </c>
      <c r="BN4" s="133">
        <v>0</v>
      </c>
      <c r="BO4" s="133">
        <v>0</v>
      </c>
      <c r="BP4" s="133">
        <v>0</v>
      </c>
      <c r="BQ4" s="133">
        <v>0</v>
      </c>
      <c r="BR4" s="133">
        <v>0</v>
      </c>
      <c r="BS4" s="133">
        <v>0</v>
      </c>
      <c r="BT4" s="133">
        <v>0</v>
      </c>
      <c r="BU4" s="133">
        <v>0</v>
      </c>
      <c r="BV4" s="133">
        <v>0</v>
      </c>
      <c r="BW4" s="133">
        <v>0</v>
      </c>
      <c r="BX4" s="133">
        <v>0</v>
      </c>
      <c r="BY4" s="133">
        <v>0</v>
      </c>
      <c r="BZ4" s="133">
        <v>0</v>
      </c>
      <c r="CA4" s="133">
        <v>0</v>
      </c>
      <c r="CB4" s="133">
        <v>0</v>
      </c>
      <c r="CC4" s="133">
        <v>0</v>
      </c>
      <c r="CD4" s="133">
        <v>0</v>
      </c>
      <c r="CE4" s="133">
        <v>0</v>
      </c>
      <c r="CF4" s="133">
        <v>0</v>
      </c>
      <c r="CG4" s="133">
        <v>0</v>
      </c>
      <c r="CH4" s="133">
        <v>0</v>
      </c>
      <c r="CI4" s="133">
        <v>0</v>
      </c>
      <c r="CJ4" s="133">
        <v>0</v>
      </c>
      <c r="CK4" s="133">
        <v>0</v>
      </c>
      <c r="CL4" s="133">
        <v>0</v>
      </c>
      <c r="CM4" s="133">
        <v>0</v>
      </c>
      <c r="CN4" s="133">
        <v>0</v>
      </c>
      <c r="CO4" s="133">
        <v>0</v>
      </c>
      <c r="CP4" s="133">
        <v>0</v>
      </c>
      <c r="CQ4" s="133">
        <v>0</v>
      </c>
      <c r="CR4" s="133">
        <v>0</v>
      </c>
      <c r="CS4" s="133">
        <v>0</v>
      </c>
      <c r="CT4" s="133">
        <v>0</v>
      </c>
      <c r="CU4" s="133">
        <v>0</v>
      </c>
      <c r="CV4" s="133">
        <v>0</v>
      </c>
      <c r="CW4" s="133">
        <v>0</v>
      </c>
      <c r="CX4" s="133">
        <v>0</v>
      </c>
    </row>
    <row r="5" spans="1:102" ht="15" customHeight="1" x14ac:dyDescent="0.45">
      <c r="A5" s="129">
        <v>0.3</v>
      </c>
      <c r="B5" s="132">
        <v>1</v>
      </c>
      <c r="C5" s="133">
        <v>1</v>
      </c>
      <c r="D5" s="133">
        <v>0.75</v>
      </c>
      <c r="E5" s="133">
        <v>0.65</v>
      </c>
      <c r="F5" s="133">
        <v>0.55000000000000004</v>
      </c>
      <c r="G5" s="133">
        <v>0.45</v>
      </c>
      <c r="H5" s="133">
        <v>0.35</v>
      </c>
      <c r="I5" s="133">
        <v>0.25</v>
      </c>
      <c r="J5" s="133">
        <v>0.15</v>
      </c>
      <c r="K5" s="133">
        <v>0.05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X5" s="133">
        <v>0</v>
      </c>
      <c r="Y5" s="133">
        <v>0</v>
      </c>
      <c r="Z5" s="133">
        <v>0</v>
      </c>
      <c r="AA5" s="133">
        <v>0</v>
      </c>
      <c r="AB5" s="133">
        <v>0</v>
      </c>
      <c r="AC5" s="133">
        <v>0</v>
      </c>
      <c r="AD5" s="133">
        <v>0</v>
      </c>
      <c r="AE5" s="133">
        <v>0</v>
      </c>
      <c r="AF5" s="133">
        <v>0</v>
      </c>
      <c r="AG5" s="133">
        <v>0</v>
      </c>
      <c r="AH5" s="133">
        <v>0</v>
      </c>
      <c r="AI5" s="133">
        <v>0</v>
      </c>
      <c r="AJ5" s="133">
        <v>0</v>
      </c>
      <c r="AK5" s="133">
        <v>0</v>
      </c>
      <c r="AL5" s="133">
        <v>0</v>
      </c>
      <c r="AM5" s="133">
        <v>0</v>
      </c>
      <c r="AN5" s="133">
        <v>0</v>
      </c>
      <c r="AO5" s="133">
        <v>0</v>
      </c>
      <c r="AP5" s="133">
        <v>0</v>
      </c>
      <c r="AQ5" s="133">
        <v>0</v>
      </c>
      <c r="AR5" s="133">
        <v>0</v>
      </c>
      <c r="AS5" s="133">
        <v>0</v>
      </c>
      <c r="AT5" s="133">
        <v>0</v>
      </c>
      <c r="AU5" s="133">
        <v>0</v>
      </c>
      <c r="AV5" s="133">
        <v>0</v>
      </c>
      <c r="AW5" s="133">
        <v>0</v>
      </c>
      <c r="AX5" s="133">
        <v>0</v>
      </c>
      <c r="AY5" s="133">
        <v>0</v>
      </c>
      <c r="AZ5" s="133">
        <v>0</v>
      </c>
      <c r="BA5" s="133">
        <v>0</v>
      </c>
      <c r="BB5" s="133">
        <v>0</v>
      </c>
      <c r="BC5" s="133">
        <v>0</v>
      </c>
      <c r="BD5" s="133">
        <v>0</v>
      </c>
      <c r="BE5" s="133">
        <v>0</v>
      </c>
      <c r="BF5" s="133">
        <v>0</v>
      </c>
      <c r="BG5" s="133">
        <v>0</v>
      </c>
      <c r="BH5" s="133">
        <v>0</v>
      </c>
      <c r="BI5" s="133">
        <v>0</v>
      </c>
      <c r="BJ5" s="133">
        <v>0</v>
      </c>
      <c r="BK5" s="133">
        <v>0</v>
      </c>
      <c r="BL5" s="133">
        <v>0</v>
      </c>
      <c r="BM5" s="133">
        <v>0</v>
      </c>
      <c r="BN5" s="133">
        <v>0</v>
      </c>
      <c r="BO5" s="133">
        <v>0</v>
      </c>
      <c r="BP5" s="133">
        <v>0</v>
      </c>
      <c r="BQ5" s="133">
        <v>0</v>
      </c>
      <c r="BR5" s="133">
        <v>0</v>
      </c>
      <c r="BS5" s="133">
        <v>0</v>
      </c>
      <c r="BT5" s="133">
        <v>0</v>
      </c>
      <c r="BU5" s="133">
        <v>0</v>
      </c>
      <c r="BV5" s="133">
        <v>0</v>
      </c>
      <c r="BW5" s="133">
        <v>0</v>
      </c>
      <c r="BX5" s="133">
        <v>0</v>
      </c>
      <c r="BY5" s="133">
        <v>0</v>
      </c>
      <c r="BZ5" s="133">
        <v>0</v>
      </c>
      <c r="CA5" s="133">
        <v>0</v>
      </c>
      <c r="CB5" s="133">
        <v>0</v>
      </c>
      <c r="CC5" s="133">
        <v>0</v>
      </c>
      <c r="CD5" s="133">
        <v>0</v>
      </c>
      <c r="CE5" s="133">
        <v>0</v>
      </c>
      <c r="CF5" s="133">
        <v>0</v>
      </c>
      <c r="CG5" s="133">
        <v>0</v>
      </c>
      <c r="CH5" s="133">
        <v>0</v>
      </c>
      <c r="CI5" s="133">
        <v>0</v>
      </c>
      <c r="CJ5" s="133">
        <v>0</v>
      </c>
      <c r="CK5" s="133">
        <v>0</v>
      </c>
      <c r="CL5" s="133">
        <v>0</v>
      </c>
      <c r="CM5" s="133">
        <v>0</v>
      </c>
      <c r="CN5" s="133">
        <v>0</v>
      </c>
      <c r="CO5" s="133">
        <v>0</v>
      </c>
      <c r="CP5" s="133">
        <v>0</v>
      </c>
      <c r="CQ5" s="133">
        <v>0</v>
      </c>
      <c r="CR5" s="133">
        <v>0</v>
      </c>
      <c r="CS5" s="133">
        <v>0</v>
      </c>
      <c r="CT5" s="133">
        <v>0</v>
      </c>
      <c r="CU5" s="133">
        <v>0</v>
      </c>
      <c r="CV5" s="133">
        <v>0</v>
      </c>
      <c r="CW5" s="133">
        <v>0</v>
      </c>
      <c r="CX5" s="133">
        <v>0</v>
      </c>
    </row>
    <row r="6" spans="1:102" ht="15" customHeight="1" x14ac:dyDescent="0.45">
      <c r="A6" s="129">
        <v>0.4</v>
      </c>
      <c r="B6" s="132">
        <v>1</v>
      </c>
      <c r="C6" s="133">
        <v>1</v>
      </c>
      <c r="D6" s="133">
        <v>0.75</v>
      </c>
      <c r="E6" s="133">
        <v>0.65</v>
      </c>
      <c r="F6" s="133">
        <v>0.55000000000000004</v>
      </c>
      <c r="G6" s="133">
        <v>0.45</v>
      </c>
      <c r="H6" s="133">
        <v>0.35</v>
      </c>
      <c r="I6" s="133">
        <v>0.25</v>
      </c>
      <c r="J6" s="133">
        <v>0.15</v>
      </c>
      <c r="K6" s="133">
        <v>0.05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X6" s="133">
        <v>0</v>
      </c>
      <c r="Y6" s="133">
        <v>0</v>
      </c>
      <c r="Z6" s="133">
        <v>0</v>
      </c>
      <c r="AA6" s="133">
        <v>0</v>
      </c>
      <c r="AB6" s="133">
        <v>0</v>
      </c>
      <c r="AC6" s="133">
        <v>0</v>
      </c>
      <c r="AD6" s="133">
        <v>0</v>
      </c>
      <c r="AE6" s="133">
        <v>0</v>
      </c>
      <c r="AF6" s="133">
        <v>0</v>
      </c>
      <c r="AG6" s="133">
        <v>0</v>
      </c>
      <c r="AH6" s="133">
        <v>0</v>
      </c>
      <c r="AI6" s="133">
        <v>0</v>
      </c>
      <c r="AJ6" s="133">
        <v>0</v>
      </c>
      <c r="AK6" s="133">
        <v>0</v>
      </c>
      <c r="AL6" s="133">
        <v>0</v>
      </c>
      <c r="AM6" s="133">
        <v>0</v>
      </c>
      <c r="AN6" s="133">
        <v>0</v>
      </c>
      <c r="AO6" s="133">
        <v>0</v>
      </c>
      <c r="AP6" s="133">
        <v>0</v>
      </c>
      <c r="AQ6" s="133">
        <v>0</v>
      </c>
      <c r="AR6" s="133">
        <v>0</v>
      </c>
      <c r="AS6" s="133">
        <v>0</v>
      </c>
      <c r="AT6" s="133">
        <v>0</v>
      </c>
      <c r="AU6" s="133">
        <v>0</v>
      </c>
      <c r="AV6" s="133">
        <v>0</v>
      </c>
      <c r="AW6" s="133">
        <v>0</v>
      </c>
      <c r="AX6" s="133">
        <v>0</v>
      </c>
      <c r="AY6" s="133">
        <v>0</v>
      </c>
      <c r="AZ6" s="133">
        <v>0</v>
      </c>
      <c r="BA6" s="133">
        <v>0</v>
      </c>
      <c r="BB6" s="133">
        <v>0</v>
      </c>
      <c r="BC6" s="133">
        <v>0</v>
      </c>
      <c r="BD6" s="133">
        <v>0</v>
      </c>
      <c r="BE6" s="133">
        <v>0</v>
      </c>
      <c r="BF6" s="133">
        <v>0</v>
      </c>
      <c r="BG6" s="133">
        <v>0</v>
      </c>
      <c r="BH6" s="133">
        <v>0</v>
      </c>
      <c r="BI6" s="133">
        <v>0</v>
      </c>
      <c r="BJ6" s="133">
        <v>0</v>
      </c>
      <c r="BK6" s="133">
        <v>0</v>
      </c>
      <c r="BL6" s="133">
        <v>0</v>
      </c>
      <c r="BM6" s="133">
        <v>0</v>
      </c>
      <c r="BN6" s="133">
        <v>0</v>
      </c>
      <c r="BO6" s="133">
        <v>0</v>
      </c>
      <c r="BP6" s="133">
        <v>0</v>
      </c>
      <c r="BQ6" s="133">
        <v>0</v>
      </c>
      <c r="BR6" s="133">
        <v>0</v>
      </c>
      <c r="BS6" s="133">
        <v>0</v>
      </c>
      <c r="BT6" s="133">
        <v>0</v>
      </c>
      <c r="BU6" s="133">
        <v>0</v>
      </c>
      <c r="BV6" s="133">
        <v>0</v>
      </c>
      <c r="BW6" s="133">
        <v>0</v>
      </c>
      <c r="BX6" s="133">
        <v>0</v>
      </c>
      <c r="BY6" s="133">
        <v>0</v>
      </c>
      <c r="BZ6" s="133">
        <v>0</v>
      </c>
      <c r="CA6" s="133">
        <v>0</v>
      </c>
      <c r="CB6" s="133">
        <v>0</v>
      </c>
      <c r="CC6" s="133">
        <v>0</v>
      </c>
      <c r="CD6" s="133">
        <v>0</v>
      </c>
      <c r="CE6" s="133">
        <v>0</v>
      </c>
      <c r="CF6" s="133">
        <v>0</v>
      </c>
      <c r="CG6" s="133">
        <v>0</v>
      </c>
      <c r="CH6" s="133">
        <v>0</v>
      </c>
      <c r="CI6" s="133">
        <v>0</v>
      </c>
      <c r="CJ6" s="133">
        <v>0</v>
      </c>
      <c r="CK6" s="133">
        <v>0</v>
      </c>
      <c r="CL6" s="133">
        <v>0</v>
      </c>
      <c r="CM6" s="133">
        <v>0</v>
      </c>
      <c r="CN6" s="133">
        <v>0</v>
      </c>
      <c r="CO6" s="133">
        <v>0</v>
      </c>
      <c r="CP6" s="133">
        <v>0</v>
      </c>
      <c r="CQ6" s="133">
        <v>0</v>
      </c>
      <c r="CR6" s="133">
        <v>0</v>
      </c>
      <c r="CS6" s="133">
        <v>0</v>
      </c>
      <c r="CT6" s="133">
        <v>0</v>
      </c>
      <c r="CU6" s="133">
        <v>0</v>
      </c>
      <c r="CV6" s="133">
        <v>0</v>
      </c>
      <c r="CW6" s="133">
        <v>0</v>
      </c>
      <c r="CX6" s="133">
        <v>0</v>
      </c>
    </row>
    <row r="7" spans="1:102" ht="15" customHeight="1" x14ac:dyDescent="0.45">
      <c r="A7" s="129">
        <v>0.5</v>
      </c>
      <c r="B7" s="132">
        <v>1</v>
      </c>
      <c r="C7" s="133">
        <v>1</v>
      </c>
      <c r="D7" s="133">
        <v>0.8</v>
      </c>
      <c r="E7" s="133">
        <v>0.7</v>
      </c>
      <c r="F7" s="133">
        <v>0.6</v>
      </c>
      <c r="G7" s="133">
        <v>0.5</v>
      </c>
      <c r="H7" s="133">
        <v>0.4</v>
      </c>
      <c r="I7" s="133">
        <v>0.3</v>
      </c>
      <c r="J7" s="133">
        <v>0.2</v>
      </c>
      <c r="K7" s="133">
        <v>0.1</v>
      </c>
      <c r="L7" s="133">
        <v>0</v>
      </c>
      <c r="M7" s="133">
        <v>0</v>
      </c>
      <c r="N7" s="133">
        <v>0</v>
      </c>
      <c r="O7" s="133">
        <v>0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0</v>
      </c>
      <c r="V7" s="133">
        <v>0</v>
      </c>
      <c r="W7" s="133">
        <v>0</v>
      </c>
      <c r="X7" s="133">
        <v>0</v>
      </c>
      <c r="Y7" s="133">
        <v>0</v>
      </c>
      <c r="Z7" s="133">
        <v>0</v>
      </c>
      <c r="AA7" s="133">
        <v>0</v>
      </c>
      <c r="AB7" s="133">
        <v>0</v>
      </c>
      <c r="AC7" s="133">
        <v>0</v>
      </c>
      <c r="AD7" s="133">
        <v>0</v>
      </c>
      <c r="AE7" s="133">
        <v>0</v>
      </c>
      <c r="AF7" s="133">
        <v>0</v>
      </c>
      <c r="AG7" s="133">
        <v>0</v>
      </c>
      <c r="AH7" s="133">
        <v>0</v>
      </c>
      <c r="AI7" s="133">
        <v>0</v>
      </c>
      <c r="AJ7" s="133">
        <v>0</v>
      </c>
      <c r="AK7" s="133">
        <v>0</v>
      </c>
      <c r="AL7" s="133">
        <v>0</v>
      </c>
      <c r="AM7" s="133">
        <v>0</v>
      </c>
      <c r="AN7" s="133"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133">
        <v>0</v>
      </c>
      <c r="BB7" s="133">
        <v>0</v>
      </c>
      <c r="BC7" s="133">
        <v>0</v>
      </c>
      <c r="BD7" s="133">
        <v>0</v>
      </c>
      <c r="BE7" s="133">
        <v>0</v>
      </c>
      <c r="BF7" s="133">
        <v>0</v>
      </c>
      <c r="BG7" s="133">
        <v>0</v>
      </c>
      <c r="BH7" s="133">
        <v>0</v>
      </c>
      <c r="BI7" s="133">
        <v>0</v>
      </c>
      <c r="BJ7" s="133">
        <v>0</v>
      </c>
      <c r="BK7" s="133">
        <v>0</v>
      </c>
      <c r="BL7" s="133">
        <v>0</v>
      </c>
      <c r="BM7" s="133">
        <v>0</v>
      </c>
      <c r="BN7" s="133">
        <v>0</v>
      </c>
      <c r="BO7" s="133">
        <v>0</v>
      </c>
      <c r="BP7" s="133">
        <v>0</v>
      </c>
      <c r="BQ7" s="133">
        <v>0</v>
      </c>
      <c r="BR7" s="133">
        <v>0</v>
      </c>
      <c r="BS7" s="133">
        <v>0</v>
      </c>
      <c r="BT7" s="133">
        <v>0</v>
      </c>
      <c r="BU7" s="133">
        <v>0</v>
      </c>
      <c r="BV7" s="133">
        <v>0</v>
      </c>
      <c r="BW7" s="133">
        <v>0</v>
      </c>
      <c r="BX7" s="133">
        <v>0</v>
      </c>
      <c r="BY7" s="133">
        <v>0</v>
      </c>
      <c r="BZ7" s="133">
        <v>0</v>
      </c>
      <c r="CA7" s="133">
        <v>0</v>
      </c>
      <c r="CB7" s="133">
        <v>0</v>
      </c>
      <c r="CC7" s="133">
        <v>0</v>
      </c>
      <c r="CD7" s="133">
        <v>0</v>
      </c>
      <c r="CE7" s="133">
        <v>0</v>
      </c>
      <c r="CF7" s="133">
        <v>0</v>
      </c>
      <c r="CG7" s="133">
        <v>0</v>
      </c>
      <c r="CH7" s="133">
        <v>0</v>
      </c>
      <c r="CI7" s="133">
        <v>0</v>
      </c>
      <c r="CJ7" s="133">
        <v>0</v>
      </c>
      <c r="CK7" s="133">
        <v>0</v>
      </c>
      <c r="CL7" s="133">
        <v>0</v>
      </c>
      <c r="CM7" s="133">
        <v>0</v>
      </c>
      <c r="CN7" s="133">
        <v>0</v>
      </c>
      <c r="CO7" s="133">
        <v>0</v>
      </c>
      <c r="CP7" s="133">
        <v>0</v>
      </c>
      <c r="CQ7" s="133">
        <v>0</v>
      </c>
      <c r="CR7" s="133">
        <v>0</v>
      </c>
      <c r="CS7" s="133">
        <v>0</v>
      </c>
      <c r="CT7" s="133">
        <v>0</v>
      </c>
      <c r="CU7" s="133">
        <v>0</v>
      </c>
      <c r="CV7" s="133">
        <v>0</v>
      </c>
      <c r="CW7" s="133">
        <v>0</v>
      </c>
      <c r="CX7" s="133">
        <v>0</v>
      </c>
    </row>
    <row r="8" spans="1:102" ht="15" customHeight="1" x14ac:dyDescent="0.45">
      <c r="A8" s="129">
        <v>0.6</v>
      </c>
      <c r="B8" s="132">
        <v>1</v>
      </c>
      <c r="C8" s="133">
        <v>1</v>
      </c>
      <c r="D8" s="133">
        <v>0.8</v>
      </c>
      <c r="E8" s="133">
        <v>0.7</v>
      </c>
      <c r="F8" s="133">
        <v>0.6</v>
      </c>
      <c r="G8" s="133">
        <v>0.5</v>
      </c>
      <c r="H8" s="133">
        <v>0.4</v>
      </c>
      <c r="I8" s="133">
        <v>0.3</v>
      </c>
      <c r="J8" s="133">
        <v>0.2</v>
      </c>
      <c r="K8" s="133">
        <v>0.1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X8" s="133">
        <v>0</v>
      </c>
      <c r="Y8" s="133">
        <v>0</v>
      </c>
      <c r="Z8" s="133">
        <v>0</v>
      </c>
      <c r="AA8" s="133">
        <v>0</v>
      </c>
      <c r="AB8" s="133">
        <v>0</v>
      </c>
      <c r="AC8" s="133">
        <v>0</v>
      </c>
      <c r="AD8" s="133">
        <v>0</v>
      </c>
      <c r="AE8" s="133">
        <v>0</v>
      </c>
      <c r="AF8" s="133">
        <v>0</v>
      </c>
      <c r="AG8" s="133">
        <v>0</v>
      </c>
      <c r="AH8" s="133">
        <v>0</v>
      </c>
      <c r="AI8" s="133">
        <v>0</v>
      </c>
      <c r="AJ8" s="133">
        <v>0</v>
      </c>
      <c r="AK8" s="133">
        <v>0</v>
      </c>
      <c r="AL8" s="133">
        <v>0</v>
      </c>
      <c r="AM8" s="133">
        <v>0</v>
      </c>
      <c r="AN8" s="133"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>
        <v>0</v>
      </c>
      <c r="BA8" s="133">
        <v>0</v>
      </c>
      <c r="BB8" s="133">
        <v>0</v>
      </c>
      <c r="BC8" s="133">
        <v>0</v>
      </c>
      <c r="BD8" s="133">
        <v>0</v>
      </c>
      <c r="BE8" s="133">
        <v>0</v>
      </c>
      <c r="BF8" s="133">
        <v>0</v>
      </c>
      <c r="BG8" s="133">
        <v>0</v>
      </c>
      <c r="BH8" s="133">
        <v>0</v>
      </c>
      <c r="BI8" s="133">
        <v>0</v>
      </c>
      <c r="BJ8" s="133">
        <v>0</v>
      </c>
      <c r="BK8" s="133">
        <v>0</v>
      </c>
      <c r="BL8" s="133">
        <v>0</v>
      </c>
      <c r="BM8" s="133">
        <v>0</v>
      </c>
      <c r="BN8" s="133">
        <v>0</v>
      </c>
      <c r="BO8" s="133">
        <v>0</v>
      </c>
      <c r="BP8" s="133">
        <v>0</v>
      </c>
      <c r="BQ8" s="133">
        <v>0</v>
      </c>
      <c r="BR8" s="133">
        <v>0</v>
      </c>
      <c r="BS8" s="133">
        <v>0</v>
      </c>
      <c r="BT8" s="133">
        <v>0</v>
      </c>
      <c r="BU8" s="133">
        <v>0</v>
      </c>
      <c r="BV8" s="133">
        <v>0</v>
      </c>
      <c r="BW8" s="133">
        <v>0</v>
      </c>
      <c r="BX8" s="133">
        <v>0</v>
      </c>
      <c r="BY8" s="133">
        <v>0</v>
      </c>
      <c r="BZ8" s="133">
        <v>0</v>
      </c>
      <c r="CA8" s="133">
        <v>0</v>
      </c>
      <c r="CB8" s="133">
        <v>0</v>
      </c>
      <c r="CC8" s="133">
        <v>0</v>
      </c>
      <c r="CD8" s="133">
        <v>0</v>
      </c>
      <c r="CE8" s="133">
        <v>0</v>
      </c>
      <c r="CF8" s="133">
        <v>0</v>
      </c>
      <c r="CG8" s="133">
        <v>0</v>
      </c>
      <c r="CH8" s="133">
        <v>0</v>
      </c>
      <c r="CI8" s="133">
        <v>0</v>
      </c>
      <c r="CJ8" s="133">
        <v>0</v>
      </c>
      <c r="CK8" s="133">
        <v>0</v>
      </c>
      <c r="CL8" s="133">
        <v>0</v>
      </c>
      <c r="CM8" s="133">
        <v>0</v>
      </c>
      <c r="CN8" s="133">
        <v>0</v>
      </c>
      <c r="CO8" s="133">
        <v>0</v>
      </c>
      <c r="CP8" s="133">
        <v>0</v>
      </c>
      <c r="CQ8" s="133">
        <v>0</v>
      </c>
      <c r="CR8" s="133">
        <v>0</v>
      </c>
      <c r="CS8" s="133">
        <v>0</v>
      </c>
      <c r="CT8" s="133">
        <v>0</v>
      </c>
      <c r="CU8" s="133">
        <v>0</v>
      </c>
      <c r="CV8" s="133">
        <v>0</v>
      </c>
      <c r="CW8" s="133">
        <v>0</v>
      </c>
      <c r="CX8" s="133">
        <v>0</v>
      </c>
    </row>
    <row r="9" spans="1:102" ht="15" customHeight="1" x14ac:dyDescent="0.45">
      <c r="A9" s="129">
        <v>0.7</v>
      </c>
      <c r="B9" s="132">
        <v>1</v>
      </c>
      <c r="C9" s="133">
        <v>1</v>
      </c>
      <c r="D9" s="133">
        <v>1</v>
      </c>
      <c r="E9" s="133">
        <v>0.8</v>
      </c>
      <c r="F9" s="133">
        <v>0.7</v>
      </c>
      <c r="G9" s="133">
        <v>0.6</v>
      </c>
      <c r="H9" s="133">
        <v>0.5</v>
      </c>
      <c r="I9" s="133">
        <v>0.4</v>
      </c>
      <c r="J9" s="133">
        <v>0.3</v>
      </c>
      <c r="K9" s="133">
        <v>0.2</v>
      </c>
      <c r="L9" s="133">
        <v>0.1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X9" s="133">
        <v>0</v>
      </c>
      <c r="Y9" s="133">
        <v>0</v>
      </c>
      <c r="Z9" s="133">
        <v>0</v>
      </c>
      <c r="AA9" s="133">
        <v>0</v>
      </c>
      <c r="AB9" s="133">
        <v>0</v>
      </c>
      <c r="AC9" s="133">
        <v>0</v>
      </c>
      <c r="AD9" s="133">
        <v>0</v>
      </c>
      <c r="AE9" s="133">
        <v>0</v>
      </c>
      <c r="AF9" s="133">
        <v>0</v>
      </c>
      <c r="AG9" s="133">
        <v>0</v>
      </c>
      <c r="AH9" s="133">
        <v>0</v>
      </c>
      <c r="AI9" s="133">
        <v>0</v>
      </c>
      <c r="AJ9" s="133">
        <v>0</v>
      </c>
      <c r="AK9" s="133">
        <v>0</v>
      </c>
      <c r="AL9" s="133">
        <v>0</v>
      </c>
      <c r="AM9" s="133">
        <v>0</v>
      </c>
      <c r="AN9" s="133"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>
        <v>0</v>
      </c>
      <c r="BA9" s="133">
        <v>0</v>
      </c>
      <c r="BB9" s="133">
        <v>0</v>
      </c>
      <c r="BC9" s="133">
        <v>0</v>
      </c>
      <c r="BD9" s="133">
        <v>0</v>
      </c>
      <c r="BE9" s="133">
        <v>0</v>
      </c>
      <c r="BF9" s="133">
        <v>0</v>
      </c>
      <c r="BG9" s="133">
        <v>0</v>
      </c>
      <c r="BH9" s="133">
        <v>0</v>
      </c>
      <c r="BI9" s="133">
        <v>0</v>
      </c>
      <c r="BJ9" s="133">
        <v>0</v>
      </c>
      <c r="BK9" s="133">
        <v>0</v>
      </c>
      <c r="BL9" s="133">
        <v>0</v>
      </c>
      <c r="BM9" s="133">
        <v>0</v>
      </c>
      <c r="BN9" s="133">
        <v>0</v>
      </c>
      <c r="BO9" s="133">
        <v>0</v>
      </c>
      <c r="BP9" s="133">
        <v>0</v>
      </c>
      <c r="BQ9" s="133">
        <v>0</v>
      </c>
      <c r="BR9" s="133">
        <v>0</v>
      </c>
      <c r="BS9" s="133">
        <v>0</v>
      </c>
      <c r="BT9" s="133">
        <v>0</v>
      </c>
      <c r="BU9" s="133">
        <v>0</v>
      </c>
      <c r="BV9" s="133">
        <v>0</v>
      </c>
      <c r="BW9" s="133">
        <v>0</v>
      </c>
      <c r="BX9" s="133">
        <v>0</v>
      </c>
      <c r="BY9" s="133">
        <v>0</v>
      </c>
      <c r="BZ9" s="133">
        <v>0</v>
      </c>
      <c r="CA9" s="133">
        <v>0</v>
      </c>
      <c r="CB9" s="133">
        <v>0</v>
      </c>
      <c r="CC9" s="133">
        <v>0</v>
      </c>
      <c r="CD9" s="133">
        <v>0</v>
      </c>
      <c r="CE9" s="133">
        <v>0</v>
      </c>
      <c r="CF9" s="133">
        <v>0</v>
      </c>
      <c r="CG9" s="133">
        <v>0</v>
      </c>
      <c r="CH9" s="133">
        <v>0</v>
      </c>
      <c r="CI9" s="133">
        <v>0</v>
      </c>
      <c r="CJ9" s="133">
        <v>0</v>
      </c>
      <c r="CK9" s="133">
        <v>0</v>
      </c>
      <c r="CL9" s="133">
        <v>0</v>
      </c>
      <c r="CM9" s="133">
        <v>0</v>
      </c>
      <c r="CN9" s="133">
        <v>0</v>
      </c>
      <c r="CO9" s="133">
        <v>0</v>
      </c>
      <c r="CP9" s="133">
        <v>0</v>
      </c>
      <c r="CQ9" s="133">
        <v>0</v>
      </c>
      <c r="CR9" s="133">
        <v>0</v>
      </c>
      <c r="CS9" s="133">
        <v>0</v>
      </c>
      <c r="CT9" s="133">
        <v>0</v>
      </c>
      <c r="CU9" s="133">
        <v>0</v>
      </c>
      <c r="CV9" s="133">
        <v>0</v>
      </c>
      <c r="CW9" s="133">
        <v>0</v>
      </c>
      <c r="CX9" s="133">
        <v>0</v>
      </c>
    </row>
    <row r="10" spans="1:102" ht="15" customHeight="1" x14ac:dyDescent="0.45">
      <c r="A10" s="129">
        <v>0.8</v>
      </c>
      <c r="B10" s="132">
        <v>1</v>
      </c>
      <c r="C10" s="133">
        <v>1</v>
      </c>
      <c r="D10" s="133">
        <v>1</v>
      </c>
      <c r="E10" s="133">
        <v>0.8</v>
      </c>
      <c r="F10" s="133">
        <v>0.7</v>
      </c>
      <c r="G10" s="133">
        <v>0.6</v>
      </c>
      <c r="H10" s="133">
        <v>0.5</v>
      </c>
      <c r="I10" s="133">
        <v>0.4</v>
      </c>
      <c r="J10" s="133">
        <v>0.3</v>
      </c>
      <c r="K10" s="133">
        <v>0.2</v>
      </c>
      <c r="L10" s="133">
        <v>0.1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X10" s="133">
        <v>0</v>
      </c>
      <c r="Y10" s="133">
        <v>0</v>
      </c>
      <c r="Z10" s="133">
        <v>0</v>
      </c>
      <c r="AA10" s="133">
        <v>0</v>
      </c>
      <c r="AB10" s="133">
        <v>0</v>
      </c>
      <c r="AC10" s="133">
        <v>0</v>
      </c>
      <c r="AD10" s="133">
        <v>0</v>
      </c>
      <c r="AE10" s="133">
        <v>0</v>
      </c>
      <c r="AF10" s="133">
        <v>0</v>
      </c>
      <c r="AG10" s="133">
        <v>0</v>
      </c>
      <c r="AH10" s="133">
        <v>0</v>
      </c>
      <c r="AI10" s="133">
        <v>0</v>
      </c>
      <c r="AJ10" s="133">
        <v>0</v>
      </c>
      <c r="AK10" s="133">
        <v>0</v>
      </c>
      <c r="AL10" s="133">
        <v>0</v>
      </c>
      <c r="AM10" s="133">
        <v>0</v>
      </c>
      <c r="AN10" s="133">
        <v>0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133">
        <v>0</v>
      </c>
      <c r="BB10" s="133">
        <v>0</v>
      </c>
      <c r="BC10" s="133">
        <v>0</v>
      </c>
      <c r="BD10" s="133">
        <v>0</v>
      </c>
      <c r="BE10" s="133">
        <v>0</v>
      </c>
      <c r="BF10" s="133">
        <v>0</v>
      </c>
      <c r="BG10" s="133">
        <v>0</v>
      </c>
      <c r="BH10" s="133">
        <v>0</v>
      </c>
      <c r="BI10" s="133">
        <v>0</v>
      </c>
      <c r="BJ10" s="133">
        <v>0</v>
      </c>
      <c r="BK10" s="133">
        <v>0</v>
      </c>
      <c r="BL10" s="133">
        <v>0</v>
      </c>
      <c r="BM10" s="133">
        <v>0</v>
      </c>
      <c r="BN10" s="133">
        <v>0</v>
      </c>
      <c r="BO10" s="133">
        <v>0</v>
      </c>
      <c r="BP10" s="133">
        <v>0</v>
      </c>
      <c r="BQ10" s="133">
        <v>0</v>
      </c>
      <c r="BR10" s="133">
        <v>0</v>
      </c>
      <c r="BS10" s="133">
        <v>0</v>
      </c>
      <c r="BT10" s="133">
        <v>0</v>
      </c>
      <c r="BU10" s="133">
        <v>0</v>
      </c>
      <c r="BV10" s="133">
        <v>0</v>
      </c>
      <c r="BW10" s="133">
        <v>0</v>
      </c>
      <c r="BX10" s="133">
        <v>0</v>
      </c>
      <c r="BY10" s="133">
        <v>0</v>
      </c>
      <c r="BZ10" s="133">
        <v>0</v>
      </c>
      <c r="CA10" s="133">
        <v>0</v>
      </c>
      <c r="CB10" s="133">
        <v>0</v>
      </c>
      <c r="CC10" s="133">
        <v>0</v>
      </c>
      <c r="CD10" s="133">
        <v>0</v>
      </c>
      <c r="CE10" s="133">
        <v>0</v>
      </c>
      <c r="CF10" s="133">
        <v>0</v>
      </c>
      <c r="CG10" s="133">
        <v>0</v>
      </c>
      <c r="CH10" s="133">
        <v>0</v>
      </c>
      <c r="CI10" s="133">
        <v>0</v>
      </c>
      <c r="CJ10" s="133">
        <v>0</v>
      </c>
      <c r="CK10" s="133">
        <v>0</v>
      </c>
      <c r="CL10" s="133">
        <v>0</v>
      </c>
      <c r="CM10" s="133">
        <v>0</v>
      </c>
      <c r="CN10" s="133">
        <v>0</v>
      </c>
      <c r="CO10" s="133">
        <v>0</v>
      </c>
      <c r="CP10" s="133">
        <v>0</v>
      </c>
      <c r="CQ10" s="133">
        <v>0</v>
      </c>
      <c r="CR10" s="133">
        <v>0</v>
      </c>
      <c r="CS10" s="133">
        <v>0</v>
      </c>
      <c r="CT10" s="133">
        <v>0</v>
      </c>
      <c r="CU10" s="133">
        <v>0</v>
      </c>
      <c r="CV10" s="133">
        <v>0</v>
      </c>
      <c r="CW10" s="133">
        <v>0</v>
      </c>
      <c r="CX10" s="133">
        <v>0</v>
      </c>
    </row>
    <row r="11" spans="1:102" ht="15" customHeight="1" x14ac:dyDescent="0.45">
      <c r="A11" s="129">
        <v>0.9</v>
      </c>
      <c r="B11" s="132">
        <v>1</v>
      </c>
      <c r="C11" s="133">
        <v>1</v>
      </c>
      <c r="D11" s="133">
        <v>1</v>
      </c>
      <c r="E11" s="133">
        <v>0.8</v>
      </c>
      <c r="F11" s="133">
        <v>0.7</v>
      </c>
      <c r="G11" s="133">
        <v>0.6</v>
      </c>
      <c r="H11" s="133">
        <v>0.5</v>
      </c>
      <c r="I11" s="133">
        <v>0.4</v>
      </c>
      <c r="J11" s="133">
        <v>0.3</v>
      </c>
      <c r="K11" s="133">
        <v>0.2</v>
      </c>
      <c r="L11" s="133">
        <v>0.1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X11" s="133">
        <v>0</v>
      </c>
      <c r="Y11" s="133">
        <v>0</v>
      </c>
      <c r="Z11" s="133">
        <v>0</v>
      </c>
      <c r="AA11" s="133">
        <v>0</v>
      </c>
      <c r="AB11" s="133">
        <v>0</v>
      </c>
      <c r="AC11" s="133">
        <v>0</v>
      </c>
      <c r="AD11" s="133">
        <v>0</v>
      </c>
      <c r="AE11" s="133">
        <v>0</v>
      </c>
      <c r="AF11" s="133">
        <v>0</v>
      </c>
      <c r="AG11" s="133">
        <v>0</v>
      </c>
      <c r="AH11" s="133">
        <v>0</v>
      </c>
      <c r="AI11" s="133">
        <v>0</v>
      </c>
      <c r="AJ11" s="133">
        <v>0</v>
      </c>
      <c r="AK11" s="133">
        <v>0</v>
      </c>
      <c r="AL11" s="133">
        <v>0</v>
      </c>
      <c r="AM11" s="133">
        <v>0</v>
      </c>
      <c r="AN11" s="133"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>
        <v>0</v>
      </c>
      <c r="BA11" s="133">
        <v>0</v>
      </c>
      <c r="BB11" s="133">
        <v>0</v>
      </c>
      <c r="BC11" s="133">
        <v>0</v>
      </c>
      <c r="BD11" s="133">
        <v>0</v>
      </c>
      <c r="BE11" s="133">
        <v>0</v>
      </c>
      <c r="BF11" s="133">
        <v>0</v>
      </c>
      <c r="BG11" s="133">
        <v>0</v>
      </c>
      <c r="BH11" s="133">
        <v>0</v>
      </c>
      <c r="BI11" s="133">
        <v>0</v>
      </c>
      <c r="BJ11" s="133">
        <v>0</v>
      </c>
      <c r="BK11" s="133">
        <v>0</v>
      </c>
      <c r="BL11" s="133">
        <v>0</v>
      </c>
      <c r="BM11" s="133">
        <v>0</v>
      </c>
      <c r="BN11" s="133">
        <v>0</v>
      </c>
      <c r="BO11" s="133">
        <v>0</v>
      </c>
      <c r="BP11" s="133">
        <v>0</v>
      </c>
      <c r="BQ11" s="133">
        <v>0</v>
      </c>
      <c r="BR11" s="133">
        <v>0</v>
      </c>
      <c r="BS11" s="133">
        <v>0</v>
      </c>
      <c r="BT11" s="133">
        <v>0</v>
      </c>
      <c r="BU11" s="133">
        <v>0</v>
      </c>
      <c r="BV11" s="133">
        <v>0</v>
      </c>
      <c r="BW11" s="133">
        <v>0</v>
      </c>
      <c r="BX11" s="133">
        <v>0</v>
      </c>
      <c r="BY11" s="133">
        <v>0</v>
      </c>
      <c r="BZ11" s="133">
        <v>0</v>
      </c>
      <c r="CA11" s="133">
        <v>0</v>
      </c>
      <c r="CB11" s="133">
        <v>0</v>
      </c>
      <c r="CC11" s="133">
        <v>0</v>
      </c>
      <c r="CD11" s="133">
        <v>0</v>
      </c>
      <c r="CE11" s="133">
        <v>0</v>
      </c>
      <c r="CF11" s="133">
        <v>0</v>
      </c>
      <c r="CG11" s="133">
        <v>0</v>
      </c>
      <c r="CH11" s="133">
        <v>0</v>
      </c>
      <c r="CI11" s="133">
        <v>0</v>
      </c>
      <c r="CJ11" s="133">
        <v>0</v>
      </c>
      <c r="CK11" s="133">
        <v>0</v>
      </c>
      <c r="CL11" s="133">
        <v>0</v>
      </c>
      <c r="CM11" s="133">
        <v>0</v>
      </c>
      <c r="CN11" s="133">
        <v>0</v>
      </c>
      <c r="CO11" s="133">
        <v>0</v>
      </c>
      <c r="CP11" s="133">
        <v>0</v>
      </c>
      <c r="CQ11" s="133">
        <v>0</v>
      </c>
      <c r="CR11" s="133">
        <v>0</v>
      </c>
      <c r="CS11" s="133">
        <v>0</v>
      </c>
      <c r="CT11" s="133">
        <v>0</v>
      </c>
      <c r="CU11" s="133">
        <v>0</v>
      </c>
      <c r="CV11" s="133">
        <v>0</v>
      </c>
      <c r="CW11" s="133">
        <v>0</v>
      </c>
      <c r="CX11" s="133">
        <v>0</v>
      </c>
    </row>
    <row r="12" spans="1:102" ht="15" customHeight="1" x14ac:dyDescent="0.45">
      <c r="A12" s="129">
        <v>1</v>
      </c>
      <c r="B12" s="132">
        <v>1</v>
      </c>
      <c r="C12" s="133">
        <v>1</v>
      </c>
      <c r="D12" s="133">
        <v>1</v>
      </c>
      <c r="E12" s="133">
        <v>0.8</v>
      </c>
      <c r="F12" s="133">
        <v>0.7</v>
      </c>
      <c r="G12" s="133">
        <v>0.6</v>
      </c>
      <c r="H12" s="133">
        <v>0.5</v>
      </c>
      <c r="I12" s="133">
        <v>0.4</v>
      </c>
      <c r="J12" s="133">
        <v>0.3</v>
      </c>
      <c r="K12" s="133">
        <v>0.2</v>
      </c>
      <c r="L12" s="133">
        <v>0.1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X12" s="133">
        <v>0</v>
      </c>
      <c r="Y12" s="133">
        <v>0</v>
      </c>
      <c r="Z12" s="133">
        <v>0</v>
      </c>
      <c r="AA12" s="133">
        <v>0</v>
      </c>
      <c r="AB12" s="133">
        <v>0</v>
      </c>
      <c r="AC12" s="133">
        <v>0</v>
      </c>
      <c r="AD12" s="133">
        <v>0</v>
      </c>
      <c r="AE12" s="133">
        <v>0</v>
      </c>
      <c r="AF12" s="133">
        <v>0</v>
      </c>
      <c r="AG12" s="133">
        <v>0</v>
      </c>
      <c r="AH12" s="133">
        <v>0</v>
      </c>
      <c r="AI12" s="133">
        <v>0</v>
      </c>
      <c r="AJ12" s="133">
        <v>0</v>
      </c>
      <c r="AK12" s="133">
        <v>0</v>
      </c>
      <c r="AL12" s="133">
        <v>0</v>
      </c>
      <c r="AM12" s="133">
        <v>0</v>
      </c>
      <c r="AN12" s="133"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>
        <v>0</v>
      </c>
      <c r="BA12" s="133">
        <v>0</v>
      </c>
      <c r="BB12" s="133">
        <v>0</v>
      </c>
      <c r="BC12" s="133">
        <v>0</v>
      </c>
      <c r="BD12" s="133">
        <v>0</v>
      </c>
      <c r="BE12" s="133">
        <v>0</v>
      </c>
      <c r="BF12" s="133">
        <v>0</v>
      </c>
      <c r="BG12" s="133">
        <v>0</v>
      </c>
      <c r="BH12" s="133">
        <v>0</v>
      </c>
      <c r="BI12" s="133">
        <v>0</v>
      </c>
      <c r="BJ12" s="133">
        <v>0</v>
      </c>
      <c r="BK12" s="133">
        <v>0</v>
      </c>
      <c r="BL12" s="133">
        <v>0</v>
      </c>
      <c r="BM12" s="133">
        <v>0</v>
      </c>
      <c r="BN12" s="133">
        <v>0</v>
      </c>
      <c r="BO12" s="133">
        <v>0</v>
      </c>
      <c r="BP12" s="133">
        <v>0</v>
      </c>
      <c r="BQ12" s="133">
        <v>0</v>
      </c>
      <c r="BR12" s="133">
        <v>0</v>
      </c>
      <c r="BS12" s="133">
        <v>0</v>
      </c>
      <c r="BT12" s="133">
        <v>0</v>
      </c>
      <c r="BU12" s="133">
        <v>0</v>
      </c>
      <c r="BV12" s="133">
        <v>0</v>
      </c>
      <c r="BW12" s="133">
        <v>0</v>
      </c>
      <c r="BX12" s="133">
        <v>0</v>
      </c>
      <c r="BY12" s="133">
        <v>0</v>
      </c>
      <c r="BZ12" s="133">
        <v>0</v>
      </c>
      <c r="CA12" s="133">
        <v>0</v>
      </c>
      <c r="CB12" s="133">
        <v>0</v>
      </c>
      <c r="CC12" s="133">
        <v>0</v>
      </c>
      <c r="CD12" s="133">
        <v>0</v>
      </c>
      <c r="CE12" s="133">
        <v>0</v>
      </c>
      <c r="CF12" s="133">
        <v>0</v>
      </c>
      <c r="CG12" s="133">
        <v>0</v>
      </c>
      <c r="CH12" s="133">
        <v>0</v>
      </c>
      <c r="CI12" s="133">
        <v>0</v>
      </c>
      <c r="CJ12" s="133">
        <v>0</v>
      </c>
      <c r="CK12" s="133">
        <v>0</v>
      </c>
      <c r="CL12" s="133">
        <v>0</v>
      </c>
      <c r="CM12" s="133">
        <v>0</v>
      </c>
      <c r="CN12" s="133">
        <v>0</v>
      </c>
      <c r="CO12" s="133">
        <v>0</v>
      </c>
      <c r="CP12" s="133">
        <v>0</v>
      </c>
      <c r="CQ12" s="133">
        <v>0</v>
      </c>
      <c r="CR12" s="133">
        <v>0</v>
      </c>
      <c r="CS12" s="133">
        <v>0</v>
      </c>
      <c r="CT12" s="133">
        <v>0</v>
      </c>
      <c r="CU12" s="133">
        <v>0</v>
      </c>
      <c r="CV12" s="133">
        <v>0</v>
      </c>
      <c r="CW12" s="133">
        <v>0</v>
      </c>
      <c r="CX12" s="133">
        <v>0</v>
      </c>
    </row>
    <row r="13" spans="1:102" ht="15" customHeight="1" x14ac:dyDescent="0.45">
      <c r="A13" s="129">
        <v>1.1000000000000001</v>
      </c>
      <c r="B13" s="132">
        <v>1</v>
      </c>
      <c r="C13" s="133">
        <v>1</v>
      </c>
      <c r="D13" s="133">
        <v>1</v>
      </c>
      <c r="E13" s="133">
        <v>0.9</v>
      </c>
      <c r="F13" s="133">
        <v>0.8</v>
      </c>
      <c r="G13" s="133">
        <v>0.7</v>
      </c>
      <c r="H13" s="133">
        <v>0.6</v>
      </c>
      <c r="I13" s="133">
        <v>0.5</v>
      </c>
      <c r="J13" s="133">
        <v>0.4</v>
      </c>
      <c r="K13" s="133">
        <v>0.3</v>
      </c>
      <c r="L13" s="133">
        <v>0.2</v>
      </c>
      <c r="M13" s="133">
        <v>0.1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X13" s="133">
        <v>0</v>
      </c>
      <c r="Y13" s="133">
        <v>0</v>
      </c>
      <c r="Z13" s="133">
        <v>0</v>
      </c>
      <c r="AA13" s="133">
        <v>0</v>
      </c>
      <c r="AB13" s="133">
        <v>0</v>
      </c>
      <c r="AC13" s="133">
        <v>0</v>
      </c>
      <c r="AD13" s="133">
        <v>0</v>
      </c>
      <c r="AE13" s="133">
        <v>0</v>
      </c>
      <c r="AF13" s="133">
        <v>0</v>
      </c>
      <c r="AG13" s="133">
        <v>0</v>
      </c>
      <c r="AH13" s="133">
        <v>0</v>
      </c>
      <c r="AI13" s="133">
        <v>0</v>
      </c>
      <c r="AJ13" s="133">
        <v>0</v>
      </c>
      <c r="AK13" s="133">
        <v>0</v>
      </c>
      <c r="AL13" s="133">
        <v>0</v>
      </c>
      <c r="AM13" s="133">
        <v>0</v>
      </c>
      <c r="AN13" s="133"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>
        <v>0</v>
      </c>
      <c r="BA13" s="133">
        <v>0</v>
      </c>
      <c r="BB13" s="133">
        <v>0</v>
      </c>
      <c r="BC13" s="133">
        <v>0</v>
      </c>
      <c r="BD13" s="133">
        <v>0</v>
      </c>
      <c r="BE13" s="133">
        <v>0</v>
      </c>
      <c r="BF13" s="133">
        <v>0</v>
      </c>
      <c r="BG13" s="133">
        <v>0</v>
      </c>
      <c r="BH13" s="133">
        <v>0</v>
      </c>
      <c r="BI13" s="133">
        <v>0</v>
      </c>
      <c r="BJ13" s="133">
        <v>0</v>
      </c>
      <c r="BK13" s="133">
        <v>0</v>
      </c>
      <c r="BL13" s="133">
        <v>0</v>
      </c>
      <c r="BM13" s="133">
        <v>0</v>
      </c>
      <c r="BN13" s="133">
        <v>0</v>
      </c>
      <c r="BO13" s="133">
        <v>0</v>
      </c>
      <c r="BP13" s="133">
        <v>0</v>
      </c>
      <c r="BQ13" s="133">
        <v>0</v>
      </c>
      <c r="BR13" s="133">
        <v>0</v>
      </c>
      <c r="BS13" s="133">
        <v>0</v>
      </c>
      <c r="BT13" s="133">
        <v>0</v>
      </c>
      <c r="BU13" s="133">
        <v>0</v>
      </c>
      <c r="BV13" s="133">
        <v>0</v>
      </c>
      <c r="BW13" s="133">
        <v>0</v>
      </c>
      <c r="BX13" s="133">
        <v>0</v>
      </c>
      <c r="BY13" s="133">
        <v>0</v>
      </c>
      <c r="BZ13" s="133">
        <v>0</v>
      </c>
      <c r="CA13" s="133">
        <v>0</v>
      </c>
      <c r="CB13" s="133">
        <v>0</v>
      </c>
      <c r="CC13" s="133">
        <v>0</v>
      </c>
      <c r="CD13" s="133">
        <v>0</v>
      </c>
      <c r="CE13" s="133">
        <v>0</v>
      </c>
      <c r="CF13" s="133">
        <v>0</v>
      </c>
      <c r="CG13" s="133">
        <v>0</v>
      </c>
      <c r="CH13" s="133">
        <v>0</v>
      </c>
      <c r="CI13" s="133">
        <v>0</v>
      </c>
      <c r="CJ13" s="133">
        <v>0</v>
      </c>
      <c r="CK13" s="133">
        <v>0</v>
      </c>
      <c r="CL13" s="133">
        <v>0</v>
      </c>
      <c r="CM13" s="133">
        <v>0</v>
      </c>
      <c r="CN13" s="133">
        <v>0</v>
      </c>
      <c r="CO13" s="133">
        <v>0</v>
      </c>
      <c r="CP13" s="133">
        <v>0</v>
      </c>
      <c r="CQ13" s="133">
        <v>0</v>
      </c>
      <c r="CR13" s="133">
        <v>0</v>
      </c>
      <c r="CS13" s="133">
        <v>0</v>
      </c>
      <c r="CT13" s="133">
        <v>0</v>
      </c>
      <c r="CU13" s="133">
        <v>0</v>
      </c>
      <c r="CV13" s="133">
        <v>0</v>
      </c>
      <c r="CW13" s="133">
        <v>0</v>
      </c>
      <c r="CX13" s="133">
        <v>0</v>
      </c>
    </row>
    <row r="14" spans="1:102" ht="15" customHeight="1" x14ac:dyDescent="0.45">
      <c r="A14" s="129">
        <v>1.2</v>
      </c>
      <c r="B14" s="132">
        <v>1</v>
      </c>
      <c r="C14" s="133">
        <v>1</v>
      </c>
      <c r="D14" s="133">
        <v>1</v>
      </c>
      <c r="E14" s="133">
        <v>0.9</v>
      </c>
      <c r="F14" s="133">
        <v>0.8</v>
      </c>
      <c r="G14" s="133">
        <v>0.7</v>
      </c>
      <c r="H14" s="133">
        <v>0.6</v>
      </c>
      <c r="I14" s="133">
        <v>0.5</v>
      </c>
      <c r="J14" s="133">
        <v>0.4</v>
      </c>
      <c r="K14" s="133">
        <v>0.3</v>
      </c>
      <c r="L14" s="133">
        <v>0.2</v>
      </c>
      <c r="M14" s="133">
        <v>0.1</v>
      </c>
      <c r="N14" s="133">
        <v>0</v>
      </c>
      <c r="O14" s="133">
        <v>0</v>
      </c>
      <c r="P14" s="133">
        <v>0</v>
      </c>
      <c r="Q14" s="133">
        <v>0</v>
      </c>
      <c r="R14" s="133">
        <v>0</v>
      </c>
      <c r="S14" s="133">
        <v>0</v>
      </c>
      <c r="T14" s="133">
        <v>0</v>
      </c>
      <c r="U14" s="133">
        <v>0</v>
      </c>
      <c r="V14" s="133">
        <v>0</v>
      </c>
      <c r="W14" s="133">
        <v>0</v>
      </c>
      <c r="X14" s="133">
        <v>0</v>
      </c>
      <c r="Y14" s="133">
        <v>0</v>
      </c>
      <c r="Z14" s="133">
        <v>0</v>
      </c>
      <c r="AA14" s="133">
        <v>0</v>
      </c>
      <c r="AB14" s="133">
        <v>0</v>
      </c>
      <c r="AC14" s="133">
        <v>0</v>
      </c>
      <c r="AD14" s="133">
        <v>0</v>
      </c>
      <c r="AE14" s="133">
        <v>0</v>
      </c>
      <c r="AF14" s="133">
        <v>0</v>
      </c>
      <c r="AG14" s="133">
        <v>0</v>
      </c>
      <c r="AH14" s="133">
        <v>0</v>
      </c>
      <c r="AI14" s="133">
        <v>0</v>
      </c>
      <c r="AJ14" s="133">
        <v>0</v>
      </c>
      <c r="AK14" s="133">
        <v>0</v>
      </c>
      <c r="AL14" s="133">
        <v>0</v>
      </c>
      <c r="AM14" s="133">
        <v>0</v>
      </c>
      <c r="AN14" s="133">
        <v>0</v>
      </c>
      <c r="AO14" s="133">
        <v>0</v>
      </c>
      <c r="AP14" s="133">
        <v>0</v>
      </c>
      <c r="AQ14" s="133">
        <v>0</v>
      </c>
      <c r="AR14" s="133">
        <v>0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>
        <v>0</v>
      </c>
      <c r="AY14" s="133">
        <v>0</v>
      </c>
      <c r="AZ14" s="133">
        <v>0</v>
      </c>
      <c r="BA14" s="133">
        <v>0</v>
      </c>
      <c r="BB14" s="133">
        <v>0</v>
      </c>
      <c r="BC14" s="133">
        <v>0</v>
      </c>
      <c r="BD14" s="133">
        <v>0</v>
      </c>
      <c r="BE14" s="133">
        <v>0</v>
      </c>
      <c r="BF14" s="133">
        <v>0</v>
      </c>
      <c r="BG14" s="133">
        <v>0</v>
      </c>
      <c r="BH14" s="133">
        <v>0</v>
      </c>
      <c r="BI14" s="133">
        <v>0</v>
      </c>
      <c r="BJ14" s="133">
        <v>0</v>
      </c>
      <c r="BK14" s="133">
        <v>0</v>
      </c>
      <c r="BL14" s="133">
        <v>0</v>
      </c>
      <c r="BM14" s="133">
        <v>0</v>
      </c>
      <c r="BN14" s="133">
        <v>0</v>
      </c>
      <c r="BO14" s="133">
        <v>0</v>
      </c>
      <c r="BP14" s="133">
        <v>0</v>
      </c>
      <c r="BQ14" s="133">
        <v>0</v>
      </c>
      <c r="BR14" s="133">
        <v>0</v>
      </c>
      <c r="BS14" s="133">
        <v>0</v>
      </c>
      <c r="BT14" s="133">
        <v>0</v>
      </c>
      <c r="BU14" s="133">
        <v>0</v>
      </c>
      <c r="BV14" s="133">
        <v>0</v>
      </c>
      <c r="BW14" s="133">
        <v>0</v>
      </c>
      <c r="BX14" s="133">
        <v>0</v>
      </c>
      <c r="BY14" s="133">
        <v>0</v>
      </c>
      <c r="BZ14" s="133">
        <v>0</v>
      </c>
      <c r="CA14" s="133">
        <v>0</v>
      </c>
      <c r="CB14" s="133">
        <v>0</v>
      </c>
      <c r="CC14" s="133">
        <v>0</v>
      </c>
      <c r="CD14" s="133">
        <v>0</v>
      </c>
      <c r="CE14" s="133">
        <v>0</v>
      </c>
      <c r="CF14" s="133">
        <v>0</v>
      </c>
      <c r="CG14" s="133">
        <v>0</v>
      </c>
      <c r="CH14" s="133">
        <v>0</v>
      </c>
      <c r="CI14" s="133">
        <v>0</v>
      </c>
      <c r="CJ14" s="133">
        <v>0</v>
      </c>
      <c r="CK14" s="133">
        <v>0</v>
      </c>
      <c r="CL14" s="133">
        <v>0</v>
      </c>
      <c r="CM14" s="133">
        <v>0</v>
      </c>
      <c r="CN14" s="133">
        <v>0</v>
      </c>
      <c r="CO14" s="133">
        <v>0</v>
      </c>
      <c r="CP14" s="133">
        <v>0</v>
      </c>
      <c r="CQ14" s="133">
        <v>0</v>
      </c>
      <c r="CR14" s="133">
        <v>0</v>
      </c>
      <c r="CS14" s="133">
        <v>0</v>
      </c>
      <c r="CT14" s="133">
        <v>0</v>
      </c>
      <c r="CU14" s="133">
        <v>0</v>
      </c>
      <c r="CV14" s="133">
        <v>0</v>
      </c>
      <c r="CW14" s="133">
        <v>0</v>
      </c>
      <c r="CX14" s="133">
        <v>0</v>
      </c>
    </row>
    <row r="15" spans="1:102" ht="15" customHeight="1" x14ac:dyDescent="0.45">
      <c r="A15" s="129">
        <v>1.3</v>
      </c>
      <c r="B15" s="132">
        <v>1</v>
      </c>
      <c r="C15" s="133">
        <v>1</v>
      </c>
      <c r="D15" s="133">
        <v>1</v>
      </c>
      <c r="E15" s="133">
        <v>0.9</v>
      </c>
      <c r="F15" s="133">
        <v>0.8</v>
      </c>
      <c r="G15" s="133">
        <v>0.7</v>
      </c>
      <c r="H15" s="133">
        <v>0.6</v>
      </c>
      <c r="I15" s="133">
        <v>0.5</v>
      </c>
      <c r="J15" s="133">
        <v>0.4</v>
      </c>
      <c r="K15" s="133">
        <v>0.3</v>
      </c>
      <c r="L15" s="133">
        <v>0.2</v>
      </c>
      <c r="M15" s="133">
        <v>0.1</v>
      </c>
      <c r="N15" s="133">
        <v>0</v>
      </c>
      <c r="O15" s="133">
        <v>0</v>
      </c>
      <c r="P15" s="133">
        <v>0</v>
      </c>
      <c r="Q15" s="133">
        <v>0</v>
      </c>
      <c r="R15" s="133">
        <v>0</v>
      </c>
      <c r="S15" s="133">
        <v>0</v>
      </c>
      <c r="T15" s="133">
        <v>0</v>
      </c>
      <c r="U15" s="133">
        <v>0</v>
      </c>
      <c r="V15" s="133">
        <v>0</v>
      </c>
      <c r="W15" s="133">
        <v>0</v>
      </c>
      <c r="X15" s="133">
        <v>0</v>
      </c>
      <c r="Y15" s="133">
        <v>0</v>
      </c>
      <c r="Z15" s="133">
        <v>0</v>
      </c>
      <c r="AA15" s="133">
        <v>0</v>
      </c>
      <c r="AB15" s="133">
        <v>0</v>
      </c>
      <c r="AC15" s="133">
        <v>0</v>
      </c>
      <c r="AD15" s="133">
        <v>0</v>
      </c>
      <c r="AE15" s="133">
        <v>0</v>
      </c>
      <c r="AF15" s="133">
        <v>0</v>
      </c>
      <c r="AG15" s="133">
        <v>0</v>
      </c>
      <c r="AH15" s="133">
        <v>0</v>
      </c>
      <c r="AI15" s="133">
        <v>0</v>
      </c>
      <c r="AJ15" s="133">
        <v>0</v>
      </c>
      <c r="AK15" s="133">
        <v>0</v>
      </c>
      <c r="AL15" s="133">
        <v>0</v>
      </c>
      <c r="AM15" s="133">
        <v>0</v>
      </c>
      <c r="AN15" s="133">
        <v>0</v>
      </c>
      <c r="AO15" s="133">
        <v>0</v>
      </c>
      <c r="AP15" s="133">
        <v>0</v>
      </c>
      <c r="AQ15" s="133">
        <v>0</v>
      </c>
      <c r="AR15" s="133">
        <v>0</v>
      </c>
      <c r="AS15" s="133">
        <v>0</v>
      </c>
      <c r="AT15" s="133">
        <v>0</v>
      </c>
      <c r="AU15" s="133">
        <v>0</v>
      </c>
      <c r="AV15" s="133">
        <v>0</v>
      </c>
      <c r="AW15" s="133">
        <v>0</v>
      </c>
      <c r="AX15" s="133">
        <v>0</v>
      </c>
      <c r="AY15" s="133">
        <v>0</v>
      </c>
      <c r="AZ15" s="133">
        <v>0</v>
      </c>
      <c r="BA15" s="133">
        <v>0</v>
      </c>
      <c r="BB15" s="133">
        <v>0</v>
      </c>
      <c r="BC15" s="133">
        <v>0</v>
      </c>
      <c r="BD15" s="133">
        <v>0</v>
      </c>
      <c r="BE15" s="133">
        <v>0</v>
      </c>
      <c r="BF15" s="133">
        <v>0</v>
      </c>
      <c r="BG15" s="133">
        <v>0</v>
      </c>
      <c r="BH15" s="133">
        <v>0</v>
      </c>
      <c r="BI15" s="133">
        <v>0</v>
      </c>
      <c r="BJ15" s="133">
        <v>0</v>
      </c>
      <c r="BK15" s="133">
        <v>0</v>
      </c>
      <c r="BL15" s="133">
        <v>0</v>
      </c>
      <c r="BM15" s="133">
        <v>0</v>
      </c>
      <c r="BN15" s="133">
        <v>0</v>
      </c>
      <c r="BO15" s="133">
        <v>0</v>
      </c>
      <c r="BP15" s="133">
        <v>0</v>
      </c>
      <c r="BQ15" s="133">
        <v>0</v>
      </c>
      <c r="BR15" s="133">
        <v>0</v>
      </c>
      <c r="BS15" s="133">
        <v>0</v>
      </c>
      <c r="BT15" s="133">
        <v>0</v>
      </c>
      <c r="BU15" s="133">
        <v>0</v>
      </c>
      <c r="BV15" s="133">
        <v>0</v>
      </c>
      <c r="BW15" s="133">
        <v>0</v>
      </c>
      <c r="BX15" s="133">
        <v>0</v>
      </c>
      <c r="BY15" s="133">
        <v>0</v>
      </c>
      <c r="BZ15" s="133">
        <v>0</v>
      </c>
      <c r="CA15" s="133">
        <v>0</v>
      </c>
      <c r="CB15" s="133">
        <v>0</v>
      </c>
      <c r="CC15" s="133">
        <v>0</v>
      </c>
      <c r="CD15" s="133">
        <v>0</v>
      </c>
      <c r="CE15" s="133">
        <v>0</v>
      </c>
      <c r="CF15" s="133">
        <v>0</v>
      </c>
      <c r="CG15" s="133">
        <v>0</v>
      </c>
      <c r="CH15" s="133">
        <v>0</v>
      </c>
      <c r="CI15" s="133">
        <v>0</v>
      </c>
      <c r="CJ15" s="133">
        <v>0</v>
      </c>
      <c r="CK15" s="133">
        <v>0</v>
      </c>
      <c r="CL15" s="133">
        <v>0</v>
      </c>
      <c r="CM15" s="133">
        <v>0</v>
      </c>
      <c r="CN15" s="133">
        <v>0</v>
      </c>
      <c r="CO15" s="133">
        <v>0</v>
      </c>
      <c r="CP15" s="133">
        <v>0</v>
      </c>
      <c r="CQ15" s="133">
        <v>0</v>
      </c>
      <c r="CR15" s="133">
        <v>0</v>
      </c>
      <c r="CS15" s="133">
        <v>0</v>
      </c>
      <c r="CT15" s="133">
        <v>0</v>
      </c>
      <c r="CU15" s="133">
        <v>0</v>
      </c>
      <c r="CV15" s="133">
        <v>0</v>
      </c>
      <c r="CW15" s="133">
        <v>0</v>
      </c>
      <c r="CX15" s="133">
        <v>0</v>
      </c>
    </row>
    <row r="16" spans="1:102" ht="15" customHeight="1" x14ac:dyDescent="0.45">
      <c r="A16" s="129">
        <v>1.4</v>
      </c>
      <c r="B16" s="132">
        <v>1</v>
      </c>
      <c r="C16" s="133">
        <v>1</v>
      </c>
      <c r="D16" s="133">
        <v>1</v>
      </c>
      <c r="E16" s="133">
        <v>0.9</v>
      </c>
      <c r="F16" s="133">
        <v>0.8</v>
      </c>
      <c r="G16" s="133">
        <v>0.7</v>
      </c>
      <c r="H16" s="133">
        <v>0.6</v>
      </c>
      <c r="I16" s="133">
        <v>0.5</v>
      </c>
      <c r="J16" s="133">
        <v>0.4</v>
      </c>
      <c r="K16" s="133">
        <v>0.3</v>
      </c>
      <c r="L16" s="133">
        <v>0.2</v>
      </c>
      <c r="M16" s="133">
        <v>0.1</v>
      </c>
      <c r="N16" s="133">
        <v>0</v>
      </c>
      <c r="O16" s="133">
        <v>0</v>
      </c>
      <c r="P16" s="133">
        <v>0</v>
      </c>
      <c r="Q16" s="133">
        <v>0</v>
      </c>
      <c r="R16" s="133">
        <v>0</v>
      </c>
      <c r="S16" s="133">
        <v>0</v>
      </c>
      <c r="T16" s="133">
        <v>0</v>
      </c>
      <c r="U16" s="133">
        <v>0</v>
      </c>
      <c r="V16" s="133">
        <v>0</v>
      </c>
      <c r="W16" s="133">
        <v>0</v>
      </c>
      <c r="X16" s="133">
        <v>0</v>
      </c>
      <c r="Y16" s="133">
        <v>0</v>
      </c>
      <c r="Z16" s="133">
        <v>0</v>
      </c>
      <c r="AA16" s="133">
        <v>0</v>
      </c>
      <c r="AB16" s="133">
        <v>0</v>
      </c>
      <c r="AC16" s="133">
        <v>0</v>
      </c>
      <c r="AD16" s="133">
        <v>0</v>
      </c>
      <c r="AE16" s="133">
        <v>0</v>
      </c>
      <c r="AF16" s="133">
        <v>0</v>
      </c>
      <c r="AG16" s="133">
        <v>0</v>
      </c>
      <c r="AH16" s="133">
        <v>0</v>
      </c>
      <c r="AI16" s="133">
        <v>0</v>
      </c>
      <c r="AJ16" s="133">
        <v>0</v>
      </c>
      <c r="AK16" s="133">
        <v>0</v>
      </c>
      <c r="AL16" s="133">
        <v>0</v>
      </c>
      <c r="AM16" s="133">
        <v>0</v>
      </c>
      <c r="AN16" s="133">
        <v>0</v>
      </c>
      <c r="AO16" s="133">
        <v>0</v>
      </c>
      <c r="AP16" s="133">
        <v>0</v>
      </c>
      <c r="AQ16" s="133">
        <v>0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133">
        <v>0</v>
      </c>
      <c r="BA16" s="133">
        <v>0</v>
      </c>
      <c r="BB16" s="133">
        <v>0</v>
      </c>
      <c r="BC16" s="133">
        <v>0</v>
      </c>
      <c r="BD16" s="133">
        <v>0</v>
      </c>
      <c r="BE16" s="133">
        <v>0</v>
      </c>
      <c r="BF16" s="133">
        <v>0</v>
      </c>
      <c r="BG16" s="133">
        <v>0</v>
      </c>
      <c r="BH16" s="133">
        <v>0</v>
      </c>
      <c r="BI16" s="133">
        <v>0</v>
      </c>
      <c r="BJ16" s="133">
        <v>0</v>
      </c>
      <c r="BK16" s="133">
        <v>0</v>
      </c>
      <c r="BL16" s="133">
        <v>0</v>
      </c>
      <c r="BM16" s="133">
        <v>0</v>
      </c>
      <c r="BN16" s="133">
        <v>0</v>
      </c>
      <c r="BO16" s="133">
        <v>0</v>
      </c>
      <c r="BP16" s="133">
        <v>0</v>
      </c>
      <c r="BQ16" s="133">
        <v>0</v>
      </c>
      <c r="BR16" s="133">
        <v>0</v>
      </c>
      <c r="BS16" s="133">
        <v>0</v>
      </c>
      <c r="BT16" s="133">
        <v>0</v>
      </c>
      <c r="BU16" s="133">
        <v>0</v>
      </c>
      <c r="BV16" s="133">
        <v>0</v>
      </c>
      <c r="BW16" s="133">
        <v>0</v>
      </c>
      <c r="BX16" s="133">
        <v>0</v>
      </c>
      <c r="BY16" s="133">
        <v>0</v>
      </c>
      <c r="BZ16" s="133">
        <v>0</v>
      </c>
      <c r="CA16" s="133">
        <v>0</v>
      </c>
      <c r="CB16" s="133">
        <v>0</v>
      </c>
      <c r="CC16" s="133">
        <v>0</v>
      </c>
      <c r="CD16" s="133">
        <v>0</v>
      </c>
      <c r="CE16" s="133">
        <v>0</v>
      </c>
      <c r="CF16" s="133">
        <v>0</v>
      </c>
      <c r="CG16" s="133">
        <v>0</v>
      </c>
      <c r="CH16" s="133">
        <v>0</v>
      </c>
      <c r="CI16" s="133">
        <v>0</v>
      </c>
      <c r="CJ16" s="133">
        <v>0</v>
      </c>
      <c r="CK16" s="133">
        <v>0</v>
      </c>
      <c r="CL16" s="133">
        <v>0</v>
      </c>
      <c r="CM16" s="133">
        <v>0</v>
      </c>
      <c r="CN16" s="133">
        <v>0</v>
      </c>
      <c r="CO16" s="133">
        <v>0</v>
      </c>
      <c r="CP16" s="133">
        <v>0</v>
      </c>
      <c r="CQ16" s="133">
        <v>0</v>
      </c>
      <c r="CR16" s="133">
        <v>0</v>
      </c>
      <c r="CS16" s="133">
        <v>0</v>
      </c>
      <c r="CT16" s="133">
        <v>0</v>
      </c>
      <c r="CU16" s="133">
        <v>0</v>
      </c>
      <c r="CV16" s="133">
        <v>0</v>
      </c>
      <c r="CW16" s="133">
        <v>0</v>
      </c>
      <c r="CX16" s="133">
        <v>0</v>
      </c>
    </row>
    <row r="17" spans="1:102" ht="15" customHeight="1" x14ac:dyDescent="0.45">
      <c r="A17" s="129">
        <v>1.5</v>
      </c>
      <c r="B17" s="132">
        <v>1</v>
      </c>
      <c r="C17" s="133">
        <v>1</v>
      </c>
      <c r="D17" s="133">
        <v>1</v>
      </c>
      <c r="E17" s="133">
        <v>0.9</v>
      </c>
      <c r="F17" s="133">
        <v>0.8</v>
      </c>
      <c r="G17" s="133">
        <v>0.7</v>
      </c>
      <c r="H17" s="133">
        <v>0.6</v>
      </c>
      <c r="I17" s="133">
        <v>0.5</v>
      </c>
      <c r="J17" s="133">
        <v>0.4</v>
      </c>
      <c r="K17" s="133">
        <v>0.3</v>
      </c>
      <c r="L17" s="133">
        <v>0.2</v>
      </c>
      <c r="M17" s="133">
        <v>0.1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X17" s="133">
        <v>0</v>
      </c>
      <c r="Y17" s="133">
        <v>0</v>
      </c>
      <c r="Z17" s="133">
        <v>0</v>
      </c>
      <c r="AA17" s="133">
        <v>0</v>
      </c>
      <c r="AB17" s="133">
        <v>0</v>
      </c>
      <c r="AC17" s="133">
        <v>0</v>
      </c>
      <c r="AD17" s="133">
        <v>0</v>
      </c>
      <c r="AE17" s="133">
        <v>0</v>
      </c>
      <c r="AF17" s="133">
        <v>0</v>
      </c>
      <c r="AG17" s="133">
        <v>0</v>
      </c>
      <c r="AH17" s="133">
        <v>0</v>
      </c>
      <c r="AI17" s="133">
        <v>0</v>
      </c>
      <c r="AJ17" s="133">
        <v>0</v>
      </c>
      <c r="AK17" s="133">
        <v>0</v>
      </c>
      <c r="AL17" s="133">
        <v>0</v>
      </c>
      <c r="AM17" s="133">
        <v>0</v>
      </c>
      <c r="AN17" s="133">
        <v>0</v>
      </c>
      <c r="AO17" s="133">
        <v>0</v>
      </c>
      <c r="AP17" s="133">
        <v>0</v>
      </c>
      <c r="AQ17" s="133">
        <v>0</v>
      </c>
      <c r="AR17" s="133">
        <v>0</v>
      </c>
      <c r="AS17" s="133">
        <v>0</v>
      </c>
      <c r="AT17" s="133">
        <v>0</v>
      </c>
      <c r="AU17" s="133">
        <v>0</v>
      </c>
      <c r="AV17" s="133">
        <v>0</v>
      </c>
      <c r="AW17" s="133">
        <v>0</v>
      </c>
      <c r="AX17" s="133">
        <v>0</v>
      </c>
      <c r="AY17" s="133">
        <v>0</v>
      </c>
      <c r="AZ17" s="133">
        <v>0</v>
      </c>
      <c r="BA17" s="133">
        <v>0</v>
      </c>
      <c r="BB17" s="133">
        <v>0</v>
      </c>
      <c r="BC17" s="133">
        <v>0</v>
      </c>
      <c r="BD17" s="133">
        <v>0</v>
      </c>
      <c r="BE17" s="133">
        <v>0</v>
      </c>
      <c r="BF17" s="133">
        <v>0</v>
      </c>
      <c r="BG17" s="133">
        <v>0</v>
      </c>
      <c r="BH17" s="133">
        <v>0</v>
      </c>
      <c r="BI17" s="133">
        <v>0</v>
      </c>
      <c r="BJ17" s="133">
        <v>0</v>
      </c>
      <c r="BK17" s="133">
        <v>0</v>
      </c>
      <c r="BL17" s="133">
        <v>0</v>
      </c>
      <c r="BM17" s="133">
        <v>0</v>
      </c>
      <c r="BN17" s="133">
        <v>0</v>
      </c>
      <c r="BO17" s="133">
        <v>0</v>
      </c>
      <c r="BP17" s="133">
        <v>0</v>
      </c>
      <c r="BQ17" s="133">
        <v>0</v>
      </c>
      <c r="BR17" s="133">
        <v>0</v>
      </c>
      <c r="BS17" s="133">
        <v>0</v>
      </c>
      <c r="BT17" s="133">
        <v>0</v>
      </c>
      <c r="BU17" s="133">
        <v>0</v>
      </c>
      <c r="BV17" s="133">
        <v>0</v>
      </c>
      <c r="BW17" s="133">
        <v>0</v>
      </c>
      <c r="BX17" s="133">
        <v>0</v>
      </c>
      <c r="BY17" s="133">
        <v>0</v>
      </c>
      <c r="BZ17" s="133">
        <v>0</v>
      </c>
      <c r="CA17" s="133">
        <v>0</v>
      </c>
      <c r="CB17" s="133">
        <v>0</v>
      </c>
      <c r="CC17" s="133">
        <v>0</v>
      </c>
      <c r="CD17" s="133">
        <v>0</v>
      </c>
      <c r="CE17" s="133">
        <v>0</v>
      </c>
      <c r="CF17" s="133">
        <v>0</v>
      </c>
      <c r="CG17" s="133">
        <v>0</v>
      </c>
      <c r="CH17" s="133">
        <v>0</v>
      </c>
      <c r="CI17" s="133">
        <v>0</v>
      </c>
      <c r="CJ17" s="133">
        <v>0</v>
      </c>
      <c r="CK17" s="133">
        <v>0</v>
      </c>
      <c r="CL17" s="133">
        <v>0</v>
      </c>
      <c r="CM17" s="133">
        <v>0</v>
      </c>
      <c r="CN17" s="133">
        <v>0</v>
      </c>
      <c r="CO17" s="133">
        <v>0</v>
      </c>
      <c r="CP17" s="133">
        <v>0</v>
      </c>
      <c r="CQ17" s="133">
        <v>0</v>
      </c>
      <c r="CR17" s="133">
        <v>0</v>
      </c>
      <c r="CS17" s="133">
        <v>0</v>
      </c>
      <c r="CT17" s="133">
        <v>0</v>
      </c>
      <c r="CU17" s="133">
        <v>0</v>
      </c>
      <c r="CV17" s="133">
        <v>0</v>
      </c>
      <c r="CW17" s="133">
        <v>0</v>
      </c>
      <c r="CX17" s="133">
        <v>0</v>
      </c>
    </row>
    <row r="18" spans="1:102" ht="15" customHeight="1" x14ac:dyDescent="0.45">
      <c r="A18" s="129">
        <v>1.6</v>
      </c>
      <c r="B18" s="132">
        <v>1</v>
      </c>
      <c r="C18" s="133">
        <v>1</v>
      </c>
      <c r="D18" s="133">
        <v>1</v>
      </c>
      <c r="E18" s="133">
        <v>1</v>
      </c>
      <c r="F18" s="133">
        <v>0.9</v>
      </c>
      <c r="G18" s="133">
        <v>0.8</v>
      </c>
      <c r="H18" s="133">
        <v>0.7</v>
      </c>
      <c r="I18" s="133">
        <v>0.6</v>
      </c>
      <c r="J18" s="133">
        <v>0.5</v>
      </c>
      <c r="K18" s="133">
        <v>0.4</v>
      </c>
      <c r="L18" s="133">
        <v>0.3</v>
      </c>
      <c r="M18" s="133">
        <v>0.2</v>
      </c>
      <c r="N18" s="133">
        <v>0.1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X18" s="133">
        <v>0</v>
      </c>
      <c r="Y18" s="133">
        <v>0</v>
      </c>
      <c r="Z18" s="133">
        <v>0</v>
      </c>
      <c r="AA18" s="133">
        <v>0</v>
      </c>
      <c r="AB18" s="133">
        <v>0</v>
      </c>
      <c r="AC18" s="133">
        <v>0</v>
      </c>
      <c r="AD18" s="133">
        <v>0</v>
      </c>
      <c r="AE18" s="133">
        <v>0</v>
      </c>
      <c r="AF18" s="133">
        <v>0</v>
      </c>
      <c r="AG18" s="133">
        <v>0</v>
      </c>
      <c r="AH18" s="133">
        <v>0</v>
      </c>
      <c r="AI18" s="133">
        <v>0</v>
      </c>
      <c r="AJ18" s="133">
        <v>0</v>
      </c>
      <c r="AK18" s="133">
        <v>0</v>
      </c>
      <c r="AL18" s="133">
        <v>0</v>
      </c>
      <c r="AM18" s="133">
        <v>0</v>
      </c>
      <c r="AN18" s="133">
        <v>0</v>
      </c>
      <c r="AO18" s="133">
        <v>0</v>
      </c>
      <c r="AP18" s="133">
        <v>0</v>
      </c>
      <c r="AQ18" s="133">
        <v>0</v>
      </c>
      <c r="AR18" s="133">
        <v>0</v>
      </c>
      <c r="AS18" s="133">
        <v>0</v>
      </c>
      <c r="AT18" s="133">
        <v>0</v>
      </c>
      <c r="AU18" s="133">
        <v>0</v>
      </c>
      <c r="AV18" s="133">
        <v>0</v>
      </c>
      <c r="AW18" s="133">
        <v>0</v>
      </c>
      <c r="AX18" s="133">
        <v>0</v>
      </c>
      <c r="AY18" s="133">
        <v>0</v>
      </c>
      <c r="AZ18" s="133">
        <v>0</v>
      </c>
      <c r="BA18" s="133">
        <v>0</v>
      </c>
      <c r="BB18" s="133">
        <v>0</v>
      </c>
      <c r="BC18" s="133">
        <v>0</v>
      </c>
      <c r="BD18" s="133">
        <v>0</v>
      </c>
      <c r="BE18" s="133">
        <v>0</v>
      </c>
      <c r="BF18" s="133">
        <v>0</v>
      </c>
      <c r="BG18" s="133">
        <v>0</v>
      </c>
      <c r="BH18" s="133">
        <v>0</v>
      </c>
      <c r="BI18" s="133">
        <v>0</v>
      </c>
      <c r="BJ18" s="133">
        <v>0</v>
      </c>
      <c r="BK18" s="133">
        <v>0</v>
      </c>
      <c r="BL18" s="133">
        <v>0</v>
      </c>
      <c r="BM18" s="133">
        <v>0</v>
      </c>
      <c r="BN18" s="133">
        <v>0</v>
      </c>
      <c r="BO18" s="133">
        <v>0</v>
      </c>
      <c r="BP18" s="133">
        <v>0</v>
      </c>
      <c r="BQ18" s="133">
        <v>0</v>
      </c>
      <c r="BR18" s="133">
        <v>0</v>
      </c>
      <c r="BS18" s="133">
        <v>0</v>
      </c>
      <c r="BT18" s="133">
        <v>0</v>
      </c>
      <c r="BU18" s="133">
        <v>0</v>
      </c>
      <c r="BV18" s="133">
        <v>0</v>
      </c>
      <c r="BW18" s="133">
        <v>0</v>
      </c>
      <c r="BX18" s="133">
        <v>0</v>
      </c>
      <c r="BY18" s="133">
        <v>0</v>
      </c>
      <c r="BZ18" s="133">
        <v>0</v>
      </c>
      <c r="CA18" s="133">
        <v>0</v>
      </c>
      <c r="CB18" s="133">
        <v>0</v>
      </c>
      <c r="CC18" s="133">
        <v>0</v>
      </c>
      <c r="CD18" s="133">
        <v>0</v>
      </c>
      <c r="CE18" s="133">
        <v>0</v>
      </c>
      <c r="CF18" s="133">
        <v>0</v>
      </c>
      <c r="CG18" s="133">
        <v>0</v>
      </c>
      <c r="CH18" s="133">
        <v>0</v>
      </c>
      <c r="CI18" s="133">
        <v>0</v>
      </c>
      <c r="CJ18" s="133">
        <v>0</v>
      </c>
      <c r="CK18" s="133">
        <v>0</v>
      </c>
      <c r="CL18" s="133">
        <v>0</v>
      </c>
      <c r="CM18" s="133">
        <v>0</v>
      </c>
      <c r="CN18" s="133">
        <v>0</v>
      </c>
      <c r="CO18" s="133">
        <v>0</v>
      </c>
      <c r="CP18" s="133">
        <v>0</v>
      </c>
      <c r="CQ18" s="133">
        <v>0</v>
      </c>
      <c r="CR18" s="133">
        <v>0</v>
      </c>
      <c r="CS18" s="133">
        <v>0</v>
      </c>
      <c r="CT18" s="133">
        <v>0</v>
      </c>
      <c r="CU18" s="133">
        <v>0</v>
      </c>
      <c r="CV18" s="133">
        <v>0</v>
      </c>
      <c r="CW18" s="133">
        <v>0</v>
      </c>
      <c r="CX18" s="133">
        <v>0</v>
      </c>
    </row>
    <row r="19" spans="1:102" ht="15" customHeight="1" x14ac:dyDescent="0.45">
      <c r="A19" s="129">
        <v>1.7</v>
      </c>
      <c r="B19" s="132">
        <v>1</v>
      </c>
      <c r="C19" s="133">
        <v>1</v>
      </c>
      <c r="D19" s="133">
        <v>1</v>
      </c>
      <c r="E19" s="133">
        <v>1</v>
      </c>
      <c r="F19" s="133">
        <v>0.9</v>
      </c>
      <c r="G19" s="133">
        <v>0.8</v>
      </c>
      <c r="H19" s="133">
        <v>0.7</v>
      </c>
      <c r="I19" s="133">
        <v>0.6</v>
      </c>
      <c r="J19" s="133">
        <v>0.5</v>
      </c>
      <c r="K19" s="133">
        <v>0.4</v>
      </c>
      <c r="L19" s="133">
        <v>0.3</v>
      </c>
      <c r="M19" s="133">
        <v>0.2</v>
      </c>
      <c r="N19" s="133">
        <v>0.1</v>
      </c>
      <c r="O19" s="133">
        <v>0</v>
      </c>
      <c r="P19" s="133">
        <v>0</v>
      </c>
      <c r="Q19" s="133">
        <v>0</v>
      </c>
      <c r="R19" s="133">
        <v>0</v>
      </c>
      <c r="S19" s="133">
        <v>0</v>
      </c>
      <c r="T19" s="133">
        <v>0</v>
      </c>
      <c r="U19" s="133">
        <v>0</v>
      </c>
      <c r="V19" s="133">
        <v>0</v>
      </c>
      <c r="W19" s="133">
        <v>0</v>
      </c>
      <c r="X19" s="133">
        <v>0</v>
      </c>
      <c r="Y19" s="133">
        <v>0</v>
      </c>
      <c r="Z19" s="133">
        <v>0</v>
      </c>
      <c r="AA19" s="133">
        <v>0</v>
      </c>
      <c r="AB19" s="133">
        <v>0</v>
      </c>
      <c r="AC19" s="133">
        <v>0</v>
      </c>
      <c r="AD19" s="133">
        <v>0</v>
      </c>
      <c r="AE19" s="133">
        <v>0</v>
      </c>
      <c r="AF19" s="133">
        <v>0</v>
      </c>
      <c r="AG19" s="133">
        <v>0</v>
      </c>
      <c r="AH19" s="133">
        <v>0</v>
      </c>
      <c r="AI19" s="133">
        <v>0</v>
      </c>
      <c r="AJ19" s="133">
        <v>0</v>
      </c>
      <c r="AK19" s="133">
        <v>0</v>
      </c>
      <c r="AL19" s="133">
        <v>0</v>
      </c>
      <c r="AM19" s="133">
        <v>0</v>
      </c>
      <c r="AN19" s="133">
        <v>0</v>
      </c>
      <c r="AO19" s="133">
        <v>0</v>
      </c>
      <c r="AP19" s="133">
        <v>0</v>
      </c>
      <c r="AQ19" s="133">
        <v>0</v>
      </c>
      <c r="AR19" s="133">
        <v>0</v>
      </c>
      <c r="AS19" s="133">
        <v>0</v>
      </c>
      <c r="AT19" s="133">
        <v>0</v>
      </c>
      <c r="AU19" s="133">
        <v>0</v>
      </c>
      <c r="AV19" s="133">
        <v>0</v>
      </c>
      <c r="AW19" s="133">
        <v>0</v>
      </c>
      <c r="AX19" s="133">
        <v>0</v>
      </c>
      <c r="AY19" s="133">
        <v>0</v>
      </c>
      <c r="AZ19" s="133">
        <v>0</v>
      </c>
      <c r="BA19" s="133">
        <v>0</v>
      </c>
      <c r="BB19" s="133">
        <v>0</v>
      </c>
      <c r="BC19" s="133">
        <v>0</v>
      </c>
      <c r="BD19" s="133">
        <v>0</v>
      </c>
      <c r="BE19" s="133">
        <v>0</v>
      </c>
      <c r="BF19" s="133">
        <v>0</v>
      </c>
      <c r="BG19" s="133">
        <v>0</v>
      </c>
      <c r="BH19" s="133">
        <v>0</v>
      </c>
      <c r="BI19" s="133">
        <v>0</v>
      </c>
      <c r="BJ19" s="133">
        <v>0</v>
      </c>
      <c r="BK19" s="133">
        <v>0</v>
      </c>
      <c r="BL19" s="133">
        <v>0</v>
      </c>
      <c r="BM19" s="133">
        <v>0</v>
      </c>
      <c r="BN19" s="133">
        <v>0</v>
      </c>
      <c r="BO19" s="133">
        <v>0</v>
      </c>
      <c r="BP19" s="133">
        <v>0</v>
      </c>
      <c r="BQ19" s="133">
        <v>0</v>
      </c>
      <c r="BR19" s="133">
        <v>0</v>
      </c>
      <c r="BS19" s="133">
        <v>0</v>
      </c>
      <c r="BT19" s="133">
        <v>0</v>
      </c>
      <c r="BU19" s="133">
        <v>0</v>
      </c>
      <c r="BV19" s="133">
        <v>0</v>
      </c>
      <c r="BW19" s="133">
        <v>0</v>
      </c>
      <c r="BX19" s="133">
        <v>0</v>
      </c>
      <c r="BY19" s="133">
        <v>0</v>
      </c>
      <c r="BZ19" s="133">
        <v>0</v>
      </c>
      <c r="CA19" s="133">
        <v>0</v>
      </c>
      <c r="CB19" s="133">
        <v>0</v>
      </c>
      <c r="CC19" s="133">
        <v>0</v>
      </c>
      <c r="CD19" s="133">
        <v>0</v>
      </c>
      <c r="CE19" s="133">
        <v>0</v>
      </c>
      <c r="CF19" s="133">
        <v>0</v>
      </c>
      <c r="CG19" s="133">
        <v>0</v>
      </c>
      <c r="CH19" s="133">
        <v>0</v>
      </c>
      <c r="CI19" s="133">
        <v>0</v>
      </c>
      <c r="CJ19" s="133">
        <v>0</v>
      </c>
      <c r="CK19" s="133">
        <v>0</v>
      </c>
      <c r="CL19" s="133">
        <v>0</v>
      </c>
      <c r="CM19" s="133">
        <v>0</v>
      </c>
      <c r="CN19" s="133">
        <v>0</v>
      </c>
      <c r="CO19" s="133">
        <v>0</v>
      </c>
      <c r="CP19" s="133">
        <v>0</v>
      </c>
      <c r="CQ19" s="133">
        <v>0</v>
      </c>
      <c r="CR19" s="133">
        <v>0</v>
      </c>
      <c r="CS19" s="133">
        <v>0</v>
      </c>
      <c r="CT19" s="133">
        <v>0</v>
      </c>
      <c r="CU19" s="133">
        <v>0</v>
      </c>
      <c r="CV19" s="133">
        <v>0</v>
      </c>
      <c r="CW19" s="133">
        <v>0</v>
      </c>
      <c r="CX19" s="133">
        <v>0</v>
      </c>
    </row>
    <row r="20" spans="1:102" ht="15" customHeight="1" x14ac:dyDescent="0.45">
      <c r="A20" s="129">
        <v>1.8</v>
      </c>
      <c r="B20" s="132">
        <v>1</v>
      </c>
      <c r="C20" s="133">
        <v>1</v>
      </c>
      <c r="D20" s="133">
        <v>1</v>
      </c>
      <c r="E20" s="133">
        <v>1</v>
      </c>
      <c r="F20" s="133">
        <v>0.9</v>
      </c>
      <c r="G20" s="133">
        <v>0.8</v>
      </c>
      <c r="H20" s="133">
        <v>0.7</v>
      </c>
      <c r="I20" s="133">
        <v>0.6</v>
      </c>
      <c r="J20" s="133">
        <v>0.5</v>
      </c>
      <c r="K20" s="133">
        <v>0.4</v>
      </c>
      <c r="L20" s="133">
        <v>0.3</v>
      </c>
      <c r="M20" s="133">
        <v>0.2</v>
      </c>
      <c r="N20" s="133">
        <v>0.1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X20" s="133">
        <v>0</v>
      </c>
      <c r="Y20" s="133">
        <v>0</v>
      </c>
      <c r="Z20" s="133">
        <v>0</v>
      </c>
      <c r="AA20" s="133">
        <v>0</v>
      </c>
      <c r="AB20" s="133">
        <v>0</v>
      </c>
      <c r="AC20" s="133">
        <v>0</v>
      </c>
      <c r="AD20" s="133">
        <v>0</v>
      </c>
      <c r="AE20" s="133">
        <v>0</v>
      </c>
      <c r="AF20" s="133">
        <v>0</v>
      </c>
      <c r="AG20" s="133">
        <v>0</v>
      </c>
      <c r="AH20" s="133">
        <v>0</v>
      </c>
      <c r="AI20" s="133">
        <v>0</v>
      </c>
      <c r="AJ20" s="133">
        <v>0</v>
      </c>
      <c r="AK20" s="133">
        <v>0</v>
      </c>
      <c r="AL20" s="133">
        <v>0</v>
      </c>
      <c r="AM20" s="133">
        <v>0</v>
      </c>
      <c r="AN20" s="133">
        <v>0</v>
      </c>
      <c r="AO20" s="133">
        <v>0</v>
      </c>
      <c r="AP20" s="133">
        <v>0</v>
      </c>
      <c r="AQ20" s="133">
        <v>0</v>
      </c>
      <c r="AR20" s="133">
        <v>0</v>
      </c>
      <c r="AS20" s="133">
        <v>0</v>
      </c>
      <c r="AT20" s="133">
        <v>0</v>
      </c>
      <c r="AU20" s="133">
        <v>0</v>
      </c>
      <c r="AV20" s="133">
        <v>0</v>
      </c>
      <c r="AW20" s="133">
        <v>0</v>
      </c>
      <c r="AX20" s="133">
        <v>0</v>
      </c>
      <c r="AY20" s="133">
        <v>0</v>
      </c>
      <c r="AZ20" s="133">
        <v>0</v>
      </c>
      <c r="BA20" s="133">
        <v>0</v>
      </c>
      <c r="BB20" s="133">
        <v>0</v>
      </c>
      <c r="BC20" s="133">
        <v>0</v>
      </c>
      <c r="BD20" s="133">
        <v>0</v>
      </c>
      <c r="BE20" s="133">
        <v>0</v>
      </c>
      <c r="BF20" s="133">
        <v>0</v>
      </c>
      <c r="BG20" s="133">
        <v>0</v>
      </c>
      <c r="BH20" s="133">
        <v>0</v>
      </c>
      <c r="BI20" s="133">
        <v>0</v>
      </c>
      <c r="BJ20" s="133">
        <v>0</v>
      </c>
      <c r="BK20" s="133">
        <v>0</v>
      </c>
      <c r="BL20" s="133">
        <v>0</v>
      </c>
      <c r="BM20" s="133">
        <v>0</v>
      </c>
      <c r="BN20" s="133">
        <v>0</v>
      </c>
      <c r="BO20" s="133">
        <v>0</v>
      </c>
      <c r="BP20" s="133">
        <v>0</v>
      </c>
      <c r="BQ20" s="133">
        <v>0</v>
      </c>
      <c r="BR20" s="133">
        <v>0</v>
      </c>
      <c r="BS20" s="133">
        <v>0</v>
      </c>
      <c r="BT20" s="133">
        <v>0</v>
      </c>
      <c r="BU20" s="133">
        <v>0</v>
      </c>
      <c r="BV20" s="133">
        <v>0</v>
      </c>
      <c r="BW20" s="133">
        <v>0</v>
      </c>
      <c r="BX20" s="133">
        <v>0</v>
      </c>
      <c r="BY20" s="133">
        <v>0</v>
      </c>
      <c r="BZ20" s="133">
        <v>0</v>
      </c>
      <c r="CA20" s="133">
        <v>0</v>
      </c>
      <c r="CB20" s="133">
        <v>0</v>
      </c>
      <c r="CC20" s="133">
        <v>0</v>
      </c>
      <c r="CD20" s="133">
        <v>0</v>
      </c>
      <c r="CE20" s="133">
        <v>0</v>
      </c>
      <c r="CF20" s="133">
        <v>0</v>
      </c>
      <c r="CG20" s="133">
        <v>0</v>
      </c>
      <c r="CH20" s="133">
        <v>0</v>
      </c>
      <c r="CI20" s="133">
        <v>0</v>
      </c>
      <c r="CJ20" s="133">
        <v>0</v>
      </c>
      <c r="CK20" s="133">
        <v>0</v>
      </c>
      <c r="CL20" s="133">
        <v>0</v>
      </c>
      <c r="CM20" s="133">
        <v>0</v>
      </c>
      <c r="CN20" s="133">
        <v>0</v>
      </c>
      <c r="CO20" s="133">
        <v>0</v>
      </c>
      <c r="CP20" s="133">
        <v>0</v>
      </c>
      <c r="CQ20" s="133">
        <v>0</v>
      </c>
      <c r="CR20" s="133">
        <v>0</v>
      </c>
      <c r="CS20" s="133">
        <v>0</v>
      </c>
      <c r="CT20" s="133">
        <v>0</v>
      </c>
      <c r="CU20" s="133">
        <v>0</v>
      </c>
      <c r="CV20" s="133">
        <v>0</v>
      </c>
      <c r="CW20" s="133">
        <v>0</v>
      </c>
      <c r="CX20" s="133">
        <v>0</v>
      </c>
    </row>
    <row r="21" spans="1:102" ht="15" customHeight="1" x14ac:dyDescent="0.45">
      <c r="A21" s="129">
        <v>1.9</v>
      </c>
      <c r="B21" s="132">
        <v>1</v>
      </c>
      <c r="C21" s="133">
        <v>1</v>
      </c>
      <c r="D21" s="133">
        <v>1</v>
      </c>
      <c r="E21" s="133">
        <v>1</v>
      </c>
      <c r="F21" s="133">
        <v>0.9</v>
      </c>
      <c r="G21" s="133">
        <v>0.8</v>
      </c>
      <c r="H21" s="133">
        <v>0.7</v>
      </c>
      <c r="I21" s="133">
        <v>0.6</v>
      </c>
      <c r="J21" s="133">
        <v>0.5</v>
      </c>
      <c r="K21" s="133">
        <v>0.4</v>
      </c>
      <c r="L21" s="133">
        <v>0.3</v>
      </c>
      <c r="M21" s="133">
        <v>0.2</v>
      </c>
      <c r="N21" s="133">
        <v>0.1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X21" s="133">
        <v>0</v>
      </c>
      <c r="Y21" s="133">
        <v>0</v>
      </c>
      <c r="Z21" s="133">
        <v>0</v>
      </c>
      <c r="AA21" s="133">
        <v>0</v>
      </c>
      <c r="AB21" s="133">
        <v>0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3">
        <v>0</v>
      </c>
      <c r="AI21" s="133">
        <v>0</v>
      </c>
      <c r="AJ21" s="133">
        <v>0</v>
      </c>
      <c r="AK21" s="133">
        <v>0</v>
      </c>
      <c r="AL21" s="133">
        <v>0</v>
      </c>
      <c r="AM21" s="133">
        <v>0</v>
      </c>
      <c r="AN21" s="133">
        <v>0</v>
      </c>
      <c r="AO21" s="133">
        <v>0</v>
      </c>
      <c r="AP21" s="133">
        <v>0</v>
      </c>
      <c r="AQ21" s="133">
        <v>0</v>
      </c>
      <c r="AR21" s="133">
        <v>0</v>
      </c>
      <c r="AS21" s="133">
        <v>0</v>
      </c>
      <c r="AT21" s="133">
        <v>0</v>
      </c>
      <c r="AU21" s="133">
        <v>0</v>
      </c>
      <c r="AV21" s="133">
        <v>0</v>
      </c>
      <c r="AW21" s="133">
        <v>0</v>
      </c>
      <c r="AX21" s="133">
        <v>0</v>
      </c>
      <c r="AY21" s="133">
        <v>0</v>
      </c>
      <c r="AZ21" s="133">
        <v>0</v>
      </c>
      <c r="BA21" s="133">
        <v>0</v>
      </c>
      <c r="BB21" s="133">
        <v>0</v>
      </c>
      <c r="BC21" s="133">
        <v>0</v>
      </c>
      <c r="BD21" s="133">
        <v>0</v>
      </c>
      <c r="BE21" s="133">
        <v>0</v>
      </c>
      <c r="BF21" s="133">
        <v>0</v>
      </c>
      <c r="BG21" s="133">
        <v>0</v>
      </c>
      <c r="BH21" s="133">
        <v>0</v>
      </c>
      <c r="BI21" s="133">
        <v>0</v>
      </c>
      <c r="BJ21" s="133">
        <v>0</v>
      </c>
      <c r="BK21" s="133">
        <v>0</v>
      </c>
      <c r="BL21" s="133">
        <v>0</v>
      </c>
      <c r="BM21" s="133">
        <v>0</v>
      </c>
      <c r="BN21" s="133">
        <v>0</v>
      </c>
      <c r="BO21" s="133">
        <v>0</v>
      </c>
      <c r="BP21" s="133">
        <v>0</v>
      </c>
      <c r="BQ21" s="133">
        <v>0</v>
      </c>
      <c r="BR21" s="133">
        <v>0</v>
      </c>
      <c r="BS21" s="133">
        <v>0</v>
      </c>
      <c r="BT21" s="133">
        <v>0</v>
      </c>
      <c r="BU21" s="133">
        <v>0</v>
      </c>
      <c r="BV21" s="133">
        <v>0</v>
      </c>
      <c r="BW21" s="133">
        <v>0</v>
      </c>
      <c r="BX21" s="133">
        <v>0</v>
      </c>
      <c r="BY21" s="133">
        <v>0</v>
      </c>
      <c r="BZ21" s="133">
        <v>0</v>
      </c>
      <c r="CA21" s="133">
        <v>0</v>
      </c>
      <c r="CB21" s="133">
        <v>0</v>
      </c>
      <c r="CC21" s="133">
        <v>0</v>
      </c>
      <c r="CD21" s="133">
        <v>0</v>
      </c>
      <c r="CE21" s="133">
        <v>0</v>
      </c>
      <c r="CF21" s="133">
        <v>0</v>
      </c>
      <c r="CG21" s="133">
        <v>0</v>
      </c>
      <c r="CH21" s="133">
        <v>0</v>
      </c>
      <c r="CI21" s="133">
        <v>0</v>
      </c>
      <c r="CJ21" s="133">
        <v>0</v>
      </c>
      <c r="CK21" s="133">
        <v>0</v>
      </c>
      <c r="CL21" s="133">
        <v>0</v>
      </c>
      <c r="CM21" s="133">
        <v>0</v>
      </c>
      <c r="CN21" s="133">
        <v>0</v>
      </c>
      <c r="CO21" s="133">
        <v>0</v>
      </c>
      <c r="CP21" s="133">
        <v>0</v>
      </c>
      <c r="CQ21" s="133">
        <v>0</v>
      </c>
      <c r="CR21" s="133">
        <v>0</v>
      </c>
      <c r="CS21" s="133">
        <v>0</v>
      </c>
      <c r="CT21" s="133">
        <v>0</v>
      </c>
      <c r="CU21" s="133">
        <v>0</v>
      </c>
      <c r="CV21" s="133">
        <v>0</v>
      </c>
      <c r="CW21" s="133">
        <v>0</v>
      </c>
      <c r="CX21" s="133">
        <v>0</v>
      </c>
    </row>
    <row r="22" spans="1:102" ht="15" customHeight="1" x14ac:dyDescent="0.45">
      <c r="A22" s="129">
        <v>2</v>
      </c>
      <c r="B22" s="132">
        <v>1</v>
      </c>
      <c r="C22" s="133">
        <v>1</v>
      </c>
      <c r="D22" s="133">
        <v>1</v>
      </c>
      <c r="E22" s="133">
        <v>1</v>
      </c>
      <c r="F22" s="133">
        <v>0.9</v>
      </c>
      <c r="G22" s="133">
        <v>0.8</v>
      </c>
      <c r="H22" s="133">
        <v>0.7</v>
      </c>
      <c r="I22" s="133">
        <v>0.6</v>
      </c>
      <c r="J22" s="133">
        <v>0.5</v>
      </c>
      <c r="K22" s="133">
        <v>0.4</v>
      </c>
      <c r="L22" s="133">
        <v>0.3</v>
      </c>
      <c r="M22" s="133">
        <v>0.2</v>
      </c>
      <c r="N22" s="133">
        <v>0.1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X22" s="133">
        <v>0</v>
      </c>
      <c r="Y22" s="133">
        <v>0</v>
      </c>
      <c r="Z22" s="133">
        <v>0</v>
      </c>
      <c r="AA22" s="133">
        <v>0</v>
      </c>
      <c r="AB22" s="133">
        <v>0</v>
      </c>
      <c r="AC22" s="133">
        <v>0</v>
      </c>
      <c r="AD22" s="133">
        <v>0</v>
      </c>
      <c r="AE22" s="133">
        <v>0</v>
      </c>
      <c r="AF22" s="133">
        <v>0</v>
      </c>
      <c r="AG22" s="133">
        <v>0</v>
      </c>
      <c r="AH22" s="133">
        <v>0</v>
      </c>
      <c r="AI22" s="133">
        <v>0</v>
      </c>
      <c r="AJ22" s="133">
        <v>0</v>
      </c>
      <c r="AK22" s="133">
        <v>0</v>
      </c>
      <c r="AL22" s="133">
        <v>0</v>
      </c>
      <c r="AM22" s="133">
        <v>0</v>
      </c>
      <c r="AN22" s="133">
        <v>0</v>
      </c>
      <c r="AO22" s="133">
        <v>0</v>
      </c>
      <c r="AP22" s="133">
        <v>0</v>
      </c>
      <c r="AQ22" s="133">
        <v>0</v>
      </c>
      <c r="AR22" s="133">
        <v>0</v>
      </c>
      <c r="AS22" s="133">
        <v>0</v>
      </c>
      <c r="AT22" s="133">
        <v>0</v>
      </c>
      <c r="AU22" s="133">
        <v>0</v>
      </c>
      <c r="AV22" s="133">
        <v>0</v>
      </c>
      <c r="AW22" s="133">
        <v>0</v>
      </c>
      <c r="AX22" s="133">
        <v>0</v>
      </c>
      <c r="AY22" s="133">
        <v>0</v>
      </c>
      <c r="AZ22" s="133">
        <v>0</v>
      </c>
      <c r="BA22" s="133">
        <v>0</v>
      </c>
      <c r="BB22" s="133">
        <v>0</v>
      </c>
      <c r="BC22" s="133">
        <v>0</v>
      </c>
      <c r="BD22" s="133">
        <v>0</v>
      </c>
      <c r="BE22" s="133">
        <v>0</v>
      </c>
      <c r="BF22" s="133">
        <v>0</v>
      </c>
      <c r="BG22" s="133">
        <v>0</v>
      </c>
      <c r="BH22" s="133">
        <v>0</v>
      </c>
      <c r="BI22" s="133">
        <v>0</v>
      </c>
      <c r="BJ22" s="133">
        <v>0</v>
      </c>
      <c r="BK22" s="133">
        <v>0</v>
      </c>
      <c r="BL22" s="133">
        <v>0</v>
      </c>
      <c r="BM22" s="133">
        <v>0</v>
      </c>
      <c r="BN22" s="133">
        <v>0</v>
      </c>
      <c r="BO22" s="133">
        <v>0</v>
      </c>
      <c r="BP22" s="133">
        <v>0</v>
      </c>
      <c r="BQ22" s="133">
        <v>0</v>
      </c>
      <c r="BR22" s="133">
        <v>0</v>
      </c>
      <c r="BS22" s="133">
        <v>0</v>
      </c>
      <c r="BT22" s="133">
        <v>0</v>
      </c>
      <c r="BU22" s="133">
        <v>0</v>
      </c>
      <c r="BV22" s="133">
        <v>0</v>
      </c>
      <c r="BW22" s="133">
        <v>0</v>
      </c>
      <c r="BX22" s="133">
        <v>0</v>
      </c>
      <c r="BY22" s="133">
        <v>0</v>
      </c>
      <c r="BZ22" s="133">
        <v>0</v>
      </c>
      <c r="CA22" s="133">
        <v>0</v>
      </c>
      <c r="CB22" s="133">
        <v>0</v>
      </c>
      <c r="CC22" s="133">
        <v>0</v>
      </c>
      <c r="CD22" s="133">
        <v>0</v>
      </c>
      <c r="CE22" s="133">
        <v>0</v>
      </c>
      <c r="CF22" s="133">
        <v>0</v>
      </c>
      <c r="CG22" s="133">
        <v>0</v>
      </c>
      <c r="CH22" s="133">
        <v>0</v>
      </c>
      <c r="CI22" s="133">
        <v>0</v>
      </c>
      <c r="CJ22" s="133">
        <v>0</v>
      </c>
      <c r="CK22" s="133">
        <v>0</v>
      </c>
      <c r="CL22" s="133">
        <v>0</v>
      </c>
      <c r="CM22" s="133">
        <v>0</v>
      </c>
      <c r="CN22" s="133">
        <v>0</v>
      </c>
      <c r="CO22" s="133">
        <v>0</v>
      </c>
      <c r="CP22" s="133">
        <v>0</v>
      </c>
      <c r="CQ22" s="133">
        <v>0</v>
      </c>
      <c r="CR22" s="133">
        <v>0</v>
      </c>
      <c r="CS22" s="133">
        <v>0</v>
      </c>
      <c r="CT22" s="133">
        <v>0</v>
      </c>
      <c r="CU22" s="133">
        <v>0</v>
      </c>
      <c r="CV22" s="133">
        <v>0</v>
      </c>
      <c r="CW22" s="133">
        <v>0</v>
      </c>
      <c r="CX22" s="133">
        <v>0</v>
      </c>
    </row>
    <row r="23" spans="1:102" ht="15" customHeight="1" x14ac:dyDescent="0.45">
      <c r="A23" s="129">
        <v>2.1</v>
      </c>
      <c r="B23" s="132">
        <v>1</v>
      </c>
      <c r="C23" s="133">
        <v>1</v>
      </c>
      <c r="D23" s="133">
        <v>1</v>
      </c>
      <c r="E23" s="133">
        <v>1</v>
      </c>
      <c r="F23" s="133">
        <v>0.95</v>
      </c>
      <c r="G23" s="133">
        <v>0.85</v>
      </c>
      <c r="H23" s="133">
        <v>0.8</v>
      </c>
      <c r="I23" s="133">
        <v>0.7</v>
      </c>
      <c r="J23" s="133">
        <v>0.6</v>
      </c>
      <c r="K23" s="133">
        <v>0.5</v>
      </c>
      <c r="L23" s="133">
        <v>0.4</v>
      </c>
      <c r="M23" s="133">
        <v>0.3</v>
      </c>
      <c r="N23" s="133">
        <v>0.2</v>
      </c>
      <c r="O23" s="133">
        <v>0.1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X23" s="133">
        <v>0</v>
      </c>
      <c r="Y23" s="133">
        <v>0</v>
      </c>
      <c r="Z23" s="133">
        <v>0</v>
      </c>
      <c r="AA23" s="133">
        <v>0</v>
      </c>
      <c r="AB23" s="133">
        <v>0</v>
      </c>
      <c r="AC23" s="133">
        <v>0</v>
      </c>
      <c r="AD23" s="133">
        <v>0</v>
      </c>
      <c r="AE23" s="133">
        <v>0</v>
      </c>
      <c r="AF23" s="133">
        <v>0</v>
      </c>
      <c r="AG23" s="133">
        <v>0</v>
      </c>
      <c r="AH23" s="133">
        <v>0</v>
      </c>
      <c r="AI23" s="133">
        <v>0</v>
      </c>
      <c r="AJ23" s="133">
        <v>0</v>
      </c>
      <c r="AK23" s="133">
        <v>0</v>
      </c>
      <c r="AL23" s="133">
        <v>0</v>
      </c>
      <c r="AM23" s="133">
        <v>0</v>
      </c>
      <c r="AN23" s="133">
        <v>0</v>
      </c>
      <c r="AO23" s="133">
        <v>0</v>
      </c>
      <c r="AP23" s="133">
        <v>0</v>
      </c>
      <c r="AQ23" s="133">
        <v>0</v>
      </c>
      <c r="AR23" s="133">
        <v>0</v>
      </c>
      <c r="AS23" s="133">
        <v>0</v>
      </c>
      <c r="AT23" s="133">
        <v>0</v>
      </c>
      <c r="AU23" s="133">
        <v>0</v>
      </c>
      <c r="AV23" s="133">
        <v>0</v>
      </c>
      <c r="AW23" s="133">
        <v>0</v>
      </c>
      <c r="AX23" s="133">
        <v>0</v>
      </c>
      <c r="AY23" s="133">
        <v>0</v>
      </c>
      <c r="AZ23" s="133">
        <v>0</v>
      </c>
      <c r="BA23" s="133">
        <v>0</v>
      </c>
      <c r="BB23" s="133">
        <v>0</v>
      </c>
      <c r="BC23" s="133">
        <v>0</v>
      </c>
      <c r="BD23" s="133">
        <v>0</v>
      </c>
      <c r="BE23" s="133">
        <v>0</v>
      </c>
      <c r="BF23" s="133">
        <v>0</v>
      </c>
      <c r="BG23" s="133">
        <v>0</v>
      </c>
      <c r="BH23" s="133">
        <v>0</v>
      </c>
      <c r="BI23" s="133">
        <v>0</v>
      </c>
      <c r="BJ23" s="133">
        <v>0</v>
      </c>
      <c r="BK23" s="133">
        <v>0</v>
      </c>
      <c r="BL23" s="133">
        <v>0</v>
      </c>
      <c r="BM23" s="133">
        <v>0</v>
      </c>
      <c r="BN23" s="133">
        <v>0</v>
      </c>
      <c r="BO23" s="133">
        <v>0</v>
      </c>
      <c r="BP23" s="133">
        <v>0</v>
      </c>
      <c r="BQ23" s="133">
        <v>0</v>
      </c>
      <c r="BR23" s="133">
        <v>0</v>
      </c>
      <c r="BS23" s="133">
        <v>0</v>
      </c>
      <c r="BT23" s="133">
        <v>0</v>
      </c>
      <c r="BU23" s="133">
        <v>0</v>
      </c>
      <c r="BV23" s="133">
        <v>0</v>
      </c>
      <c r="BW23" s="133">
        <v>0</v>
      </c>
      <c r="BX23" s="133">
        <v>0</v>
      </c>
      <c r="BY23" s="133">
        <v>0</v>
      </c>
      <c r="BZ23" s="133">
        <v>0</v>
      </c>
      <c r="CA23" s="133">
        <v>0</v>
      </c>
      <c r="CB23" s="133">
        <v>0</v>
      </c>
      <c r="CC23" s="133">
        <v>0</v>
      </c>
      <c r="CD23" s="133">
        <v>0</v>
      </c>
      <c r="CE23" s="133">
        <v>0</v>
      </c>
      <c r="CF23" s="133">
        <v>0</v>
      </c>
      <c r="CG23" s="133">
        <v>0</v>
      </c>
      <c r="CH23" s="133">
        <v>0</v>
      </c>
      <c r="CI23" s="133">
        <v>0</v>
      </c>
      <c r="CJ23" s="133">
        <v>0</v>
      </c>
      <c r="CK23" s="133">
        <v>0</v>
      </c>
      <c r="CL23" s="133">
        <v>0</v>
      </c>
      <c r="CM23" s="133">
        <v>0</v>
      </c>
      <c r="CN23" s="133">
        <v>0</v>
      </c>
      <c r="CO23" s="133">
        <v>0</v>
      </c>
      <c r="CP23" s="133">
        <v>0</v>
      </c>
      <c r="CQ23" s="133">
        <v>0</v>
      </c>
      <c r="CR23" s="133">
        <v>0</v>
      </c>
      <c r="CS23" s="133">
        <v>0</v>
      </c>
      <c r="CT23" s="133">
        <v>0</v>
      </c>
      <c r="CU23" s="133">
        <v>0</v>
      </c>
      <c r="CV23" s="133">
        <v>0</v>
      </c>
      <c r="CW23" s="133">
        <v>0</v>
      </c>
      <c r="CX23" s="133">
        <v>0</v>
      </c>
    </row>
    <row r="24" spans="1:102" ht="15" customHeight="1" x14ac:dyDescent="0.45">
      <c r="A24" s="129">
        <v>2.2000000000000002</v>
      </c>
      <c r="B24" s="132">
        <v>1</v>
      </c>
      <c r="C24" s="133">
        <v>1</v>
      </c>
      <c r="D24" s="133">
        <v>1</v>
      </c>
      <c r="E24" s="133">
        <v>1</v>
      </c>
      <c r="F24" s="133">
        <v>0.95</v>
      </c>
      <c r="G24" s="133">
        <v>0.85</v>
      </c>
      <c r="H24" s="133">
        <v>0.8</v>
      </c>
      <c r="I24" s="133">
        <v>0.7</v>
      </c>
      <c r="J24" s="133">
        <v>0.6</v>
      </c>
      <c r="K24" s="133">
        <v>0.5</v>
      </c>
      <c r="L24" s="133">
        <v>0.4</v>
      </c>
      <c r="M24" s="133">
        <v>0.3</v>
      </c>
      <c r="N24" s="133">
        <v>0.2</v>
      </c>
      <c r="O24" s="133">
        <v>0.1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X24" s="133">
        <v>0</v>
      </c>
      <c r="Y24" s="133">
        <v>0</v>
      </c>
      <c r="Z24" s="133">
        <v>0</v>
      </c>
      <c r="AA24" s="133">
        <v>0</v>
      </c>
      <c r="AB24" s="133">
        <v>0</v>
      </c>
      <c r="AC24" s="133">
        <v>0</v>
      </c>
      <c r="AD24" s="133">
        <v>0</v>
      </c>
      <c r="AE24" s="133">
        <v>0</v>
      </c>
      <c r="AF24" s="133">
        <v>0</v>
      </c>
      <c r="AG24" s="133">
        <v>0</v>
      </c>
      <c r="AH24" s="133">
        <v>0</v>
      </c>
      <c r="AI24" s="133">
        <v>0</v>
      </c>
      <c r="AJ24" s="133">
        <v>0</v>
      </c>
      <c r="AK24" s="133">
        <v>0</v>
      </c>
      <c r="AL24" s="133">
        <v>0</v>
      </c>
      <c r="AM24" s="133">
        <v>0</v>
      </c>
      <c r="AN24" s="133">
        <v>0</v>
      </c>
      <c r="AO24" s="133">
        <v>0</v>
      </c>
      <c r="AP24" s="133">
        <v>0</v>
      </c>
      <c r="AQ24" s="133">
        <v>0</v>
      </c>
      <c r="AR24" s="133">
        <v>0</v>
      </c>
      <c r="AS24" s="133">
        <v>0</v>
      </c>
      <c r="AT24" s="133">
        <v>0</v>
      </c>
      <c r="AU24" s="133">
        <v>0</v>
      </c>
      <c r="AV24" s="133">
        <v>0</v>
      </c>
      <c r="AW24" s="133">
        <v>0</v>
      </c>
      <c r="AX24" s="133">
        <v>0</v>
      </c>
      <c r="AY24" s="133">
        <v>0</v>
      </c>
      <c r="AZ24" s="133">
        <v>0</v>
      </c>
      <c r="BA24" s="133">
        <v>0</v>
      </c>
      <c r="BB24" s="133">
        <v>0</v>
      </c>
      <c r="BC24" s="133">
        <v>0</v>
      </c>
      <c r="BD24" s="133">
        <v>0</v>
      </c>
      <c r="BE24" s="133">
        <v>0</v>
      </c>
      <c r="BF24" s="133">
        <v>0</v>
      </c>
      <c r="BG24" s="133">
        <v>0</v>
      </c>
      <c r="BH24" s="133">
        <v>0</v>
      </c>
      <c r="BI24" s="133">
        <v>0</v>
      </c>
      <c r="BJ24" s="133">
        <v>0</v>
      </c>
      <c r="BK24" s="133">
        <v>0</v>
      </c>
      <c r="BL24" s="133">
        <v>0</v>
      </c>
      <c r="BM24" s="133">
        <v>0</v>
      </c>
      <c r="BN24" s="133">
        <v>0</v>
      </c>
      <c r="BO24" s="133">
        <v>0</v>
      </c>
      <c r="BP24" s="133">
        <v>0</v>
      </c>
      <c r="BQ24" s="133">
        <v>0</v>
      </c>
      <c r="BR24" s="133">
        <v>0</v>
      </c>
      <c r="BS24" s="133">
        <v>0</v>
      </c>
      <c r="BT24" s="133">
        <v>0</v>
      </c>
      <c r="BU24" s="133">
        <v>0</v>
      </c>
      <c r="BV24" s="133">
        <v>0</v>
      </c>
      <c r="BW24" s="133">
        <v>0</v>
      </c>
      <c r="BX24" s="133">
        <v>0</v>
      </c>
      <c r="BY24" s="133">
        <v>0</v>
      </c>
      <c r="BZ24" s="133">
        <v>0</v>
      </c>
      <c r="CA24" s="133">
        <v>0</v>
      </c>
      <c r="CB24" s="133">
        <v>0</v>
      </c>
      <c r="CC24" s="133">
        <v>0</v>
      </c>
      <c r="CD24" s="133">
        <v>0</v>
      </c>
      <c r="CE24" s="133">
        <v>0</v>
      </c>
      <c r="CF24" s="133">
        <v>0</v>
      </c>
      <c r="CG24" s="133">
        <v>0</v>
      </c>
      <c r="CH24" s="133">
        <v>0</v>
      </c>
      <c r="CI24" s="133">
        <v>0</v>
      </c>
      <c r="CJ24" s="133">
        <v>0</v>
      </c>
      <c r="CK24" s="133">
        <v>0</v>
      </c>
      <c r="CL24" s="133">
        <v>0</v>
      </c>
      <c r="CM24" s="133">
        <v>0</v>
      </c>
      <c r="CN24" s="133">
        <v>0</v>
      </c>
      <c r="CO24" s="133">
        <v>0</v>
      </c>
      <c r="CP24" s="133">
        <v>0</v>
      </c>
      <c r="CQ24" s="133">
        <v>0</v>
      </c>
      <c r="CR24" s="133">
        <v>0</v>
      </c>
      <c r="CS24" s="133">
        <v>0</v>
      </c>
      <c r="CT24" s="133">
        <v>0</v>
      </c>
      <c r="CU24" s="133">
        <v>0</v>
      </c>
      <c r="CV24" s="133">
        <v>0</v>
      </c>
      <c r="CW24" s="133">
        <v>0</v>
      </c>
      <c r="CX24" s="133">
        <v>0</v>
      </c>
    </row>
    <row r="25" spans="1:102" ht="15" customHeight="1" x14ac:dyDescent="0.45">
      <c r="A25" s="129">
        <v>2.2999999999999998</v>
      </c>
      <c r="B25" s="132">
        <v>1</v>
      </c>
      <c r="C25" s="133">
        <v>1</v>
      </c>
      <c r="D25" s="133">
        <v>1</v>
      </c>
      <c r="E25" s="133">
        <v>1</v>
      </c>
      <c r="F25" s="133">
        <v>0.95</v>
      </c>
      <c r="G25" s="133">
        <v>0.85</v>
      </c>
      <c r="H25" s="133">
        <v>0.8</v>
      </c>
      <c r="I25" s="133">
        <v>0.7</v>
      </c>
      <c r="J25" s="133">
        <v>0.6</v>
      </c>
      <c r="K25" s="133">
        <v>0.5</v>
      </c>
      <c r="L25" s="133">
        <v>0.4</v>
      </c>
      <c r="M25" s="133">
        <v>0.3</v>
      </c>
      <c r="N25" s="133">
        <v>0.2</v>
      </c>
      <c r="O25" s="133">
        <v>0.1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X25" s="133">
        <v>0</v>
      </c>
      <c r="Y25" s="133">
        <v>0</v>
      </c>
      <c r="Z25" s="133">
        <v>0</v>
      </c>
      <c r="AA25" s="133">
        <v>0</v>
      </c>
      <c r="AB25" s="133">
        <v>0</v>
      </c>
      <c r="AC25" s="133">
        <v>0</v>
      </c>
      <c r="AD25" s="133">
        <v>0</v>
      </c>
      <c r="AE25" s="133">
        <v>0</v>
      </c>
      <c r="AF25" s="133">
        <v>0</v>
      </c>
      <c r="AG25" s="133">
        <v>0</v>
      </c>
      <c r="AH25" s="133">
        <v>0</v>
      </c>
      <c r="AI25" s="133">
        <v>0</v>
      </c>
      <c r="AJ25" s="133">
        <v>0</v>
      </c>
      <c r="AK25" s="133">
        <v>0</v>
      </c>
      <c r="AL25" s="133">
        <v>0</v>
      </c>
      <c r="AM25" s="133">
        <v>0</v>
      </c>
      <c r="AN25" s="133">
        <v>0</v>
      </c>
      <c r="AO25" s="133">
        <v>0</v>
      </c>
      <c r="AP25" s="133">
        <v>0</v>
      </c>
      <c r="AQ25" s="133">
        <v>0</v>
      </c>
      <c r="AR25" s="133">
        <v>0</v>
      </c>
      <c r="AS25" s="133">
        <v>0</v>
      </c>
      <c r="AT25" s="133">
        <v>0</v>
      </c>
      <c r="AU25" s="133">
        <v>0</v>
      </c>
      <c r="AV25" s="133">
        <v>0</v>
      </c>
      <c r="AW25" s="133">
        <v>0</v>
      </c>
      <c r="AX25" s="133">
        <v>0</v>
      </c>
      <c r="AY25" s="133">
        <v>0</v>
      </c>
      <c r="AZ25" s="133">
        <v>0</v>
      </c>
      <c r="BA25" s="133">
        <v>0</v>
      </c>
      <c r="BB25" s="133">
        <v>0</v>
      </c>
      <c r="BC25" s="133">
        <v>0</v>
      </c>
      <c r="BD25" s="133">
        <v>0</v>
      </c>
      <c r="BE25" s="133">
        <v>0</v>
      </c>
      <c r="BF25" s="133">
        <v>0</v>
      </c>
      <c r="BG25" s="133">
        <v>0</v>
      </c>
      <c r="BH25" s="133">
        <v>0</v>
      </c>
      <c r="BI25" s="133">
        <v>0</v>
      </c>
      <c r="BJ25" s="133">
        <v>0</v>
      </c>
      <c r="BK25" s="133">
        <v>0</v>
      </c>
      <c r="BL25" s="133">
        <v>0</v>
      </c>
      <c r="BM25" s="133">
        <v>0</v>
      </c>
      <c r="BN25" s="133">
        <v>0</v>
      </c>
      <c r="BO25" s="133">
        <v>0</v>
      </c>
      <c r="BP25" s="133">
        <v>0</v>
      </c>
      <c r="BQ25" s="133">
        <v>0</v>
      </c>
      <c r="BR25" s="133">
        <v>0</v>
      </c>
      <c r="BS25" s="133">
        <v>0</v>
      </c>
      <c r="BT25" s="133">
        <v>0</v>
      </c>
      <c r="BU25" s="133">
        <v>0</v>
      </c>
      <c r="BV25" s="133">
        <v>0</v>
      </c>
      <c r="BW25" s="133">
        <v>0</v>
      </c>
      <c r="BX25" s="133">
        <v>0</v>
      </c>
      <c r="BY25" s="133">
        <v>0</v>
      </c>
      <c r="BZ25" s="133">
        <v>0</v>
      </c>
      <c r="CA25" s="133">
        <v>0</v>
      </c>
      <c r="CB25" s="133">
        <v>0</v>
      </c>
      <c r="CC25" s="133">
        <v>0</v>
      </c>
      <c r="CD25" s="133">
        <v>0</v>
      </c>
      <c r="CE25" s="133">
        <v>0</v>
      </c>
      <c r="CF25" s="133">
        <v>0</v>
      </c>
      <c r="CG25" s="133">
        <v>0</v>
      </c>
      <c r="CH25" s="133">
        <v>0</v>
      </c>
      <c r="CI25" s="133">
        <v>0</v>
      </c>
      <c r="CJ25" s="133">
        <v>0</v>
      </c>
      <c r="CK25" s="133">
        <v>0</v>
      </c>
      <c r="CL25" s="133">
        <v>0</v>
      </c>
      <c r="CM25" s="133">
        <v>0</v>
      </c>
      <c r="CN25" s="133">
        <v>0</v>
      </c>
      <c r="CO25" s="133">
        <v>0</v>
      </c>
      <c r="CP25" s="133">
        <v>0</v>
      </c>
      <c r="CQ25" s="133">
        <v>0</v>
      </c>
      <c r="CR25" s="133">
        <v>0</v>
      </c>
      <c r="CS25" s="133">
        <v>0</v>
      </c>
      <c r="CT25" s="133">
        <v>0</v>
      </c>
      <c r="CU25" s="133">
        <v>0</v>
      </c>
      <c r="CV25" s="133">
        <v>0</v>
      </c>
      <c r="CW25" s="133">
        <v>0</v>
      </c>
      <c r="CX25" s="133">
        <v>0</v>
      </c>
    </row>
    <row r="26" spans="1:102" ht="15" customHeight="1" x14ac:dyDescent="0.45">
      <c r="A26" s="129">
        <v>2.4</v>
      </c>
      <c r="B26" s="132">
        <v>1</v>
      </c>
      <c r="C26" s="133">
        <v>1</v>
      </c>
      <c r="D26" s="133">
        <v>1</v>
      </c>
      <c r="E26" s="133">
        <v>1</v>
      </c>
      <c r="F26" s="133">
        <v>0.95</v>
      </c>
      <c r="G26" s="133">
        <v>0.85</v>
      </c>
      <c r="H26" s="133">
        <v>0.8</v>
      </c>
      <c r="I26" s="133">
        <v>0.7</v>
      </c>
      <c r="J26" s="133">
        <v>0.6</v>
      </c>
      <c r="K26" s="133">
        <v>0.5</v>
      </c>
      <c r="L26" s="133">
        <v>0.4</v>
      </c>
      <c r="M26" s="133">
        <v>0.3</v>
      </c>
      <c r="N26" s="133">
        <v>0.2</v>
      </c>
      <c r="O26" s="133">
        <v>0.1</v>
      </c>
      <c r="P26" s="133">
        <v>0</v>
      </c>
      <c r="Q26" s="133">
        <v>0</v>
      </c>
      <c r="R26" s="133">
        <v>0</v>
      </c>
      <c r="S26" s="133">
        <v>0</v>
      </c>
      <c r="T26" s="133">
        <v>0</v>
      </c>
      <c r="U26" s="133">
        <v>0</v>
      </c>
      <c r="V26" s="133">
        <v>0</v>
      </c>
      <c r="W26" s="133">
        <v>0</v>
      </c>
      <c r="X26" s="133">
        <v>0</v>
      </c>
      <c r="Y26" s="133">
        <v>0</v>
      </c>
      <c r="Z26" s="133">
        <v>0</v>
      </c>
      <c r="AA26" s="133">
        <v>0</v>
      </c>
      <c r="AB26" s="133">
        <v>0</v>
      </c>
      <c r="AC26" s="133">
        <v>0</v>
      </c>
      <c r="AD26" s="133">
        <v>0</v>
      </c>
      <c r="AE26" s="133">
        <v>0</v>
      </c>
      <c r="AF26" s="133">
        <v>0</v>
      </c>
      <c r="AG26" s="133">
        <v>0</v>
      </c>
      <c r="AH26" s="133">
        <v>0</v>
      </c>
      <c r="AI26" s="133">
        <v>0</v>
      </c>
      <c r="AJ26" s="133">
        <v>0</v>
      </c>
      <c r="AK26" s="133">
        <v>0</v>
      </c>
      <c r="AL26" s="133">
        <v>0</v>
      </c>
      <c r="AM26" s="133">
        <v>0</v>
      </c>
      <c r="AN26" s="133">
        <v>0</v>
      </c>
      <c r="AO26" s="133">
        <v>0</v>
      </c>
      <c r="AP26" s="133">
        <v>0</v>
      </c>
      <c r="AQ26" s="133">
        <v>0</v>
      </c>
      <c r="AR26" s="133">
        <v>0</v>
      </c>
      <c r="AS26" s="133">
        <v>0</v>
      </c>
      <c r="AT26" s="133">
        <v>0</v>
      </c>
      <c r="AU26" s="133">
        <v>0</v>
      </c>
      <c r="AV26" s="133">
        <v>0</v>
      </c>
      <c r="AW26" s="133">
        <v>0</v>
      </c>
      <c r="AX26" s="133">
        <v>0</v>
      </c>
      <c r="AY26" s="133">
        <v>0</v>
      </c>
      <c r="AZ26" s="133">
        <v>0</v>
      </c>
      <c r="BA26" s="133">
        <v>0</v>
      </c>
      <c r="BB26" s="133">
        <v>0</v>
      </c>
      <c r="BC26" s="133">
        <v>0</v>
      </c>
      <c r="BD26" s="133">
        <v>0</v>
      </c>
      <c r="BE26" s="133">
        <v>0</v>
      </c>
      <c r="BF26" s="133">
        <v>0</v>
      </c>
      <c r="BG26" s="133">
        <v>0</v>
      </c>
      <c r="BH26" s="133">
        <v>0</v>
      </c>
      <c r="BI26" s="133">
        <v>0</v>
      </c>
      <c r="BJ26" s="133">
        <v>0</v>
      </c>
      <c r="BK26" s="133">
        <v>0</v>
      </c>
      <c r="BL26" s="133">
        <v>0</v>
      </c>
      <c r="BM26" s="133">
        <v>0</v>
      </c>
      <c r="BN26" s="133">
        <v>0</v>
      </c>
      <c r="BO26" s="133">
        <v>0</v>
      </c>
      <c r="BP26" s="133">
        <v>0</v>
      </c>
      <c r="BQ26" s="133">
        <v>0</v>
      </c>
      <c r="BR26" s="133">
        <v>0</v>
      </c>
      <c r="BS26" s="133">
        <v>0</v>
      </c>
      <c r="BT26" s="133">
        <v>0</v>
      </c>
      <c r="BU26" s="133">
        <v>0</v>
      </c>
      <c r="BV26" s="133">
        <v>0</v>
      </c>
      <c r="BW26" s="133">
        <v>0</v>
      </c>
      <c r="BX26" s="133">
        <v>0</v>
      </c>
      <c r="BY26" s="133">
        <v>0</v>
      </c>
      <c r="BZ26" s="133">
        <v>0</v>
      </c>
      <c r="CA26" s="133">
        <v>0</v>
      </c>
      <c r="CB26" s="133">
        <v>0</v>
      </c>
      <c r="CC26" s="133">
        <v>0</v>
      </c>
      <c r="CD26" s="133">
        <v>0</v>
      </c>
      <c r="CE26" s="133">
        <v>0</v>
      </c>
      <c r="CF26" s="133">
        <v>0</v>
      </c>
      <c r="CG26" s="133">
        <v>0</v>
      </c>
      <c r="CH26" s="133">
        <v>0</v>
      </c>
      <c r="CI26" s="133">
        <v>0</v>
      </c>
      <c r="CJ26" s="133">
        <v>0</v>
      </c>
      <c r="CK26" s="133">
        <v>0</v>
      </c>
      <c r="CL26" s="133">
        <v>0</v>
      </c>
      <c r="CM26" s="133">
        <v>0</v>
      </c>
      <c r="CN26" s="133">
        <v>0</v>
      </c>
      <c r="CO26" s="133">
        <v>0</v>
      </c>
      <c r="CP26" s="133">
        <v>0</v>
      </c>
      <c r="CQ26" s="133">
        <v>0</v>
      </c>
      <c r="CR26" s="133">
        <v>0</v>
      </c>
      <c r="CS26" s="133">
        <v>0</v>
      </c>
      <c r="CT26" s="133">
        <v>0</v>
      </c>
      <c r="CU26" s="133">
        <v>0</v>
      </c>
      <c r="CV26" s="133">
        <v>0</v>
      </c>
      <c r="CW26" s="133">
        <v>0</v>
      </c>
      <c r="CX26" s="133">
        <v>0</v>
      </c>
    </row>
    <row r="27" spans="1:102" ht="15" customHeight="1" x14ac:dyDescent="0.45">
      <c r="A27" s="129">
        <v>2.5</v>
      </c>
      <c r="B27" s="132">
        <v>1</v>
      </c>
      <c r="C27" s="133">
        <v>1</v>
      </c>
      <c r="D27" s="133">
        <v>1</v>
      </c>
      <c r="E27" s="133">
        <v>1</v>
      </c>
      <c r="F27" s="133">
        <v>0.95</v>
      </c>
      <c r="G27" s="133">
        <v>0.85</v>
      </c>
      <c r="H27" s="133">
        <v>0.8</v>
      </c>
      <c r="I27" s="133">
        <v>0.7</v>
      </c>
      <c r="J27" s="133">
        <v>0.6</v>
      </c>
      <c r="K27" s="133">
        <v>0.5</v>
      </c>
      <c r="L27" s="133">
        <v>0.4</v>
      </c>
      <c r="M27" s="133">
        <v>0.3</v>
      </c>
      <c r="N27" s="133">
        <v>0.2</v>
      </c>
      <c r="O27" s="133">
        <v>0.1</v>
      </c>
      <c r="P27" s="133">
        <v>0</v>
      </c>
      <c r="Q27" s="133">
        <v>0</v>
      </c>
      <c r="R27" s="133">
        <v>0</v>
      </c>
      <c r="S27" s="133">
        <v>0</v>
      </c>
      <c r="T27" s="133">
        <v>0</v>
      </c>
      <c r="U27" s="133">
        <v>0</v>
      </c>
      <c r="V27" s="133">
        <v>0</v>
      </c>
      <c r="W27" s="133">
        <v>0</v>
      </c>
      <c r="X27" s="133">
        <v>0</v>
      </c>
      <c r="Y27" s="133">
        <v>0</v>
      </c>
      <c r="Z27" s="133">
        <v>0</v>
      </c>
      <c r="AA27" s="133">
        <v>0</v>
      </c>
      <c r="AB27" s="133">
        <v>0</v>
      </c>
      <c r="AC27" s="133">
        <v>0</v>
      </c>
      <c r="AD27" s="133">
        <v>0</v>
      </c>
      <c r="AE27" s="133">
        <v>0</v>
      </c>
      <c r="AF27" s="133">
        <v>0</v>
      </c>
      <c r="AG27" s="133">
        <v>0</v>
      </c>
      <c r="AH27" s="133">
        <v>0</v>
      </c>
      <c r="AI27" s="133">
        <v>0</v>
      </c>
      <c r="AJ27" s="133">
        <v>0</v>
      </c>
      <c r="AK27" s="133">
        <v>0</v>
      </c>
      <c r="AL27" s="133">
        <v>0</v>
      </c>
      <c r="AM27" s="133">
        <v>0</v>
      </c>
      <c r="AN27" s="133">
        <v>0</v>
      </c>
      <c r="AO27" s="133">
        <v>0</v>
      </c>
      <c r="AP27" s="133">
        <v>0</v>
      </c>
      <c r="AQ27" s="133">
        <v>0</v>
      </c>
      <c r="AR27" s="133">
        <v>0</v>
      </c>
      <c r="AS27" s="133">
        <v>0</v>
      </c>
      <c r="AT27" s="133">
        <v>0</v>
      </c>
      <c r="AU27" s="133">
        <v>0</v>
      </c>
      <c r="AV27" s="133">
        <v>0</v>
      </c>
      <c r="AW27" s="133">
        <v>0</v>
      </c>
      <c r="AX27" s="133">
        <v>0</v>
      </c>
      <c r="AY27" s="133">
        <v>0</v>
      </c>
      <c r="AZ27" s="133">
        <v>0</v>
      </c>
      <c r="BA27" s="133">
        <v>0</v>
      </c>
      <c r="BB27" s="133">
        <v>0</v>
      </c>
      <c r="BC27" s="133">
        <v>0</v>
      </c>
      <c r="BD27" s="133">
        <v>0</v>
      </c>
      <c r="BE27" s="133">
        <v>0</v>
      </c>
      <c r="BF27" s="133">
        <v>0</v>
      </c>
      <c r="BG27" s="133">
        <v>0</v>
      </c>
      <c r="BH27" s="133">
        <v>0</v>
      </c>
      <c r="BI27" s="133">
        <v>0</v>
      </c>
      <c r="BJ27" s="133">
        <v>0</v>
      </c>
      <c r="BK27" s="133">
        <v>0</v>
      </c>
      <c r="BL27" s="133">
        <v>0</v>
      </c>
      <c r="BM27" s="133">
        <v>0</v>
      </c>
      <c r="BN27" s="133">
        <v>0</v>
      </c>
      <c r="BO27" s="133">
        <v>0</v>
      </c>
      <c r="BP27" s="133">
        <v>0</v>
      </c>
      <c r="BQ27" s="133">
        <v>0</v>
      </c>
      <c r="BR27" s="133">
        <v>0</v>
      </c>
      <c r="BS27" s="133">
        <v>0</v>
      </c>
      <c r="BT27" s="133">
        <v>0</v>
      </c>
      <c r="BU27" s="133">
        <v>0</v>
      </c>
      <c r="BV27" s="133">
        <v>0</v>
      </c>
      <c r="BW27" s="133">
        <v>0</v>
      </c>
      <c r="BX27" s="133">
        <v>0</v>
      </c>
      <c r="BY27" s="133">
        <v>0</v>
      </c>
      <c r="BZ27" s="133">
        <v>0</v>
      </c>
      <c r="CA27" s="133">
        <v>0</v>
      </c>
      <c r="CB27" s="133">
        <v>0</v>
      </c>
      <c r="CC27" s="133">
        <v>0</v>
      </c>
      <c r="CD27" s="133">
        <v>0</v>
      </c>
      <c r="CE27" s="133">
        <v>0</v>
      </c>
      <c r="CF27" s="133">
        <v>0</v>
      </c>
      <c r="CG27" s="133">
        <v>0</v>
      </c>
      <c r="CH27" s="133">
        <v>0</v>
      </c>
      <c r="CI27" s="133">
        <v>0</v>
      </c>
      <c r="CJ27" s="133">
        <v>0</v>
      </c>
      <c r="CK27" s="133">
        <v>0</v>
      </c>
      <c r="CL27" s="133">
        <v>0</v>
      </c>
      <c r="CM27" s="133">
        <v>0</v>
      </c>
      <c r="CN27" s="133">
        <v>0</v>
      </c>
      <c r="CO27" s="133">
        <v>0</v>
      </c>
      <c r="CP27" s="133">
        <v>0</v>
      </c>
      <c r="CQ27" s="133">
        <v>0</v>
      </c>
      <c r="CR27" s="133">
        <v>0</v>
      </c>
      <c r="CS27" s="133">
        <v>0</v>
      </c>
      <c r="CT27" s="133">
        <v>0</v>
      </c>
      <c r="CU27" s="133">
        <v>0</v>
      </c>
      <c r="CV27" s="133">
        <v>0</v>
      </c>
      <c r="CW27" s="133">
        <v>0</v>
      </c>
      <c r="CX27" s="133">
        <v>0</v>
      </c>
    </row>
    <row r="28" spans="1:102" ht="15" customHeight="1" x14ac:dyDescent="0.45">
      <c r="A28" s="129">
        <v>2.6</v>
      </c>
      <c r="B28" s="132">
        <v>1</v>
      </c>
      <c r="C28" s="133">
        <v>1</v>
      </c>
      <c r="D28" s="133">
        <v>1</v>
      </c>
      <c r="E28" s="133">
        <v>1</v>
      </c>
      <c r="F28" s="133">
        <v>1</v>
      </c>
      <c r="G28" s="133">
        <v>0.95</v>
      </c>
      <c r="H28" s="133">
        <v>0.85</v>
      </c>
      <c r="I28" s="133">
        <v>0.8</v>
      </c>
      <c r="J28" s="133">
        <v>0.7</v>
      </c>
      <c r="K28" s="133">
        <v>0.6</v>
      </c>
      <c r="L28" s="133">
        <v>0.5</v>
      </c>
      <c r="M28" s="133">
        <v>0.4</v>
      </c>
      <c r="N28" s="133">
        <v>0.3</v>
      </c>
      <c r="O28" s="133">
        <v>0.2</v>
      </c>
      <c r="P28" s="133">
        <v>0.1</v>
      </c>
      <c r="Q28" s="133">
        <v>0</v>
      </c>
      <c r="R28" s="133">
        <v>0</v>
      </c>
      <c r="S28" s="133">
        <v>0</v>
      </c>
      <c r="T28" s="133">
        <v>0</v>
      </c>
      <c r="U28" s="133">
        <v>0</v>
      </c>
      <c r="V28" s="133">
        <v>0</v>
      </c>
      <c r="W28" s="133">
        <v>0</v>
      </c>
      <c r="X28" s="133">
        <v>0</v>
      </c>
      <c r="Y28" s="133">
        <v>0</v>
      </c>
      <c r="Z28" s="133">
        <v>0</v>
      </c>
      <c r="AA28" s="133">
        <v>0</v>
      </c>
      <c r="AB28" s="133">
        <v>0</v>
      </c>
      <c r="AC28" s="133">
        <v>0</v>
      </c>
      <c r="AD28" s="133">
        <v>0</v>
      </c>
      <c r="AE28" s="133">
        <v>0</v>
      </c>
      <c r="AF28" s="133">
        <v>0</v>
      </c>
      <c r="AG28" s="133">
        <v>0</v>
      </c>
      <c r="AH28" s="133">
        <v>0</v>
      </c>
      <c r="AI28" s="133">
        <v>0</v>
      </c>
      <c r="AJ28" s="133">
        <v>0</v>
      </c>
      <c r="AK28" s="133">
        <v>0</v>
      </c>
      <c r="AL28" s="133">
        <v>0</v>
      </c>
      <c r="AM28" s="133">
        <v>0</v>
      </c>
      <c r="AN28" s="133">
        <v>0</v>
      </c>
      <c r="AO28" s="133">
        <v>0</v>
      </c>
      <c r="AP28" s="133">
        <v>0</v>
      </c>
      <c r="AQ28" s="133">
        <v>0</v>
      </c>
      <c r="AR28" s="133">
        <v>0</v>
      </c>
      <c r="AS28" s="133">
        <v>0</v>
      </c>
      <c r="AT28" s="133">
        <v>0</v>
      </c>
      <c r="AU28" s="133">
        <v>0</v>
      </c>
      <c r="AV28" s="133">
        <v>0</v>
      </c>
      <c r="AW28" s="133">
        <v>0</v>
      </c>
      <c r="AX28" s="133">
        <v>0</v>
      </c>
      <c r="AY28" s="133">
        <v>0</v>
      </c>
      <c r="AZ28" s="133">
        <v>0</v>
      </c>
      <c r="BA28" s="133">
        <v>0</v>
      </c>
      <c r="BB28" s="133">
        <v>0</v>
      </c>
      <c r="BC28" s="133">
        <v>0</v>
      </c>
      <c r="BD28" s="133">
        <v>0</v>
      </c>
      <c r="BE28" s="133">
        <v>0</v>
      </c>
      <c r="BF28" s="133">
        <v>0</v>
      </c>
      <c r="BG28" s="133">
        <v>0</v>
      </c>
      <c r="BH28" s="133">
        <v>0</v>
      </c>
      <c r="BI28" s="133">
        <v>0</v>
      </c>
      <c r="BJ28" s="133">
        <v>0</v>
      </c>
      <c r="BK28" s="133">
        <v>0</v>
      </c>
      <c r="BL28" s="133">
        <v>0</v>
      </c>
      <c r="BM28" s="133">
        <v>0</v>
      </c>
      <c r="BN28" s="133">
        <v>0</v>
      </c>
      <c r="BO28" s="133">
        <v>0</v>
      </c>
      <c r="BP28" s="133">
        <v>0</v>
      </c>
      <c r="BQ28" s="133">
        <v>0</v>
      </c>
      <c r="BR28" s="133">
        <v>0</v>
      </c>
      <c r="BS28" s="133">
        <v>0</v>
      </c>
      <c r="BT28" s="133">
        <v>0</v>
      </c>
      <c r="BU28" s="133">
        <v>0</v>
      </c>
      <c r="BV28" s="133">
        <v>0</v>
      </c>
      <c r="BW28" s="133">
        <v>0</v>
      </c>
      <c r="BX28" s="133">
        <v>0</v>
      </c>
      <c r="BY28" s="133">
        <v>0</v>
      </c>
      <c r="BZ28" s="133">
        <v>0</v>
      </c>
      <c r="CA28" s="133">
        <v>0</v>
      </c>
      <c r="CB28" s="133">
        <v>0</v>
      </c>
      <c r="CC28" s="133">
        <v>0</v>
      </c>
      <c r="CD28" s="133">
        <v>0</v>
      </c>
      <c r="CE28" s="133">
        <v>0</v>
      </c>
      <c r="CF28" s="133">
        <v>0</v>
      </c>
      <c r="CG28" s="133">
        <v>0</v>
      </c>
      <c r="CH28" s="133">
        <v>0</v>
      </c>
      <c r="CI28" s="133">
        <v>0</v>
      </c>
      <c r="CJ28" s="133">
        <v>0</v>
      </c>
      <c r="CK28" s="133">
        <v>0</v>
      </c>
      <c r="CL28" s="133">
        <v>0</v>
      </c>
      <c r="CM28" s="133">
        <v>0</v>
      </c>
      <c r="CN28" s="133">
        <v>0</v>
      </c>
      <c r="CO28" s="133">
        <v>0</v>
      </c>
      <c r="CP28" s="133">
        <v>0</v>
      </c>
      <c r="CQ28" s="133">
        <v>0</v>
      </c>
      <c r="CR28" s="133">
        <v>0</v>
      </c>
      <c r="CS28" s="133">
        <v>0</v>
      </c>
      <c r="CT28" s="133">
        <v>0</v>
      </c>
      <c r="CU28" s="133">
        <v>0</v>
      </c>
      <c r="CV28" s="133">
        <v>0</v>
      </c>
      <c r="CW28" s="133">
        <v>0</v>
      </c>
      <c r="CX28" s="133">
        <v>0</v>
      </c>
    </row>
    <row r="29" spans="1:102" ht="15" customHeight="1" x14ac:dyDescent="0.45">
      <c r="A29" s="129">
        <v>2.7</v>
      </c>
      <c r="B29" s="132">
        <v>1</v>
      </c>
      <c r="C29" s="133">
        <v>1</v>
      </c>
      <c r="D29" s="133">
        <v>1</v>
      </c>
      <c r="E29" s="133">
        <v>1</v>
      </c>
      <c r="F29" s="133">
        <v>1</v>
      </c>
      <c r="G29" s="133">
        <v>0.95</v>
      </c>
      <c r="H29" s="133">
        <v>0.85</v>
      </c>
      <c r="I29" s="133">
        <v>0.8</v>
      </c>
      <c r="J29" s="133">
        <v>0.7</v>
      </c>
      <c r="K29" s="133">
        <v>0.6</v>
      </c>
      <c r="L29" s="133">
        <v>0.5</v>
      </c>
      <c r="M29" s="133">
        <v>0.4</v>
      </c>
      <c r="N29" s="133">
        <v>0.3</v>
      </c>
      <c r="O29" s="133">
        <v>0.2</v>
      </c>
      <c r="P29" s="133">
        <v>0.1</v>
      </c>
      <c r="Q29" s="133">
        <v>0</v>
      </c>
      <c r="R29" s="133">
        <v>0</v>
      </c>
      <c r="S29" s="133">
        <v>0</v>
      </c>
      <c r="T29" s="133">
        <v>0</v>
      </c>
      <c r="U29" s="133">
        <v>0</v>
      </c>
      <c r="V29" s="133">
        <v>0</v>
      </c>
      <c r="W29" s="133">
        <v>0</v>
      </c>
      <c r="X29" s="133">
        <v>0</v>
      </c>
      <c r="Y29" s="133">
        <v>0</v>
      </c>
      <c r="Z29" s="133">
        <v>0</v>
      </c>
      <c r="AA29" s="133">
        <v>0</v>
      </c>
      <c r="AB29" s="133">
        <v>0</v>
      </c>
      <c r="AC29" s="133">
        <v>0</v>
      </c>
      <c r="AD29" s="133">
        <v>0</v>
      </c>
      <c r="AE29" s="133">
        <v>0</v>
      </c>
      <c r="AF29" s="133">
        <v>0</v>
      </c>
      <c r="AG29" s="133">
        <v>0</v>
      </c>
      <c r="AH29" s="133">
        <v>0</v>
      </c>
      <c r="AI29" s="133">
        <v>0</v>
      </c>
      <c r="AJ29" s="133">
        <v>0</v>
      </c>
      <c r="AK29" s="133">
        <v>0</v>
      </c>
      <c r="AL29" s="133">
        <v>0</v>
      </c>
      <c r="AM29" s="133">
        <v>0</v>
      </c>
      <c r="AN29" s="133">
        <v>0</v>
      </c>
      <c r="AO29" s="133">
        <v>0</v>
      </c>
      <c r="AP29" s="133">
        <v>0</v>
      </c>
      <c r="AQ29" s="133">
        <v>0</v>
      </c>
      <c r="AR29" s="133">
        <v>0</v>
      </c>
      <c r="AS29" s="133">
        <v>0</v>
      </c>
      <c r="AT29" s="133">
        <v>0</v>
      </c>
      <c r="AU29" s="133">
        <v>0</v>
      </c>
      <c r="AV29" s="133">
        <v>0</v>
      </c>
      <c r="AW29" s="133">
        <v>0</v>
      </c>
      <c r="AX29" s="133">
        <v>0</v>
      </c>
      <c r="AY29" s="133">
        <v>0</v>
      </c>
      <c r="AZ29" s="133">
        <v>0</v>
      </c>
      <c r="BA29" s="133">
        <v>0</v>
      </c>
      <c r="BB29" s="133">
        <v>0</v>
      </c>
      <c r="BC29" s="133">
        <v>0</v>
      </c>
      <c r="BD29" s="133">
        <v>0</v>
      </c>
      <c r="BE29" s="133">
        <v>0</v>
      </c>
      <c r="BF29" s="133">
        <v>0</v>
      </c>
      <c r="BG29" s="133">
        <v>0</v>
      </c>
      <c r="BH29" s="133">
        <v>0</v>
      </c>
      <c r="BI29" s="133">
        <v>0</v>
      </c>
      <c r="BJ29" s="133">
        <v>0</v>
      </c>
      <c r="BK29" s="133">
        <v>0</v>
      </c>
      <c r="BL29" s="133">
        <v>0</v>
      </c>
      <c r="BM29" s="133">
        <v>0</v>
      </c>
      <c r="BN29" s="133">
        <v>0</v>
      </c>
      <c r="BO29" s="133">
        <v>0</v>
      </c>
      <c r="BP29" s="133">
        <v>0</v>
      </c>
      <c r="BQ29" s="133">
        <v>0</v>
      </c>
      <c r="BR29" s="133">
        <v>0</v>
      </c>
      <c r="BS29" s="133">
        <v>0</v>
      </c>
      <c r="BT29" s="133">
        <v>0</v>
      </c>
      <c r="BU29" s="133">
        <v>0</v>
      </c>
      <c r="BV29" s="133">
        <v>0</v>
      </c>
      <c r="BW29" s="133">
        <v>0</v>
      </c>
      <c r="BX29" s="133">
        <v>0</v>
      </c>
      <c r="BY29" s="133">
        <v>0</v>
      </c>
      <c r="BZ29" s="133">
        <v>0</v>
      </c>
      <c r="CA29" s="133">
        <v>0</v>
      </c>
      <c r="CB29" s="133">
        <v>0</v>
      </c>
      <c r="CC29" s="133">
        <v>0</v>
      </c>
      <c r="CD29" s="133">
        <v>0</v>
      </c>
      <c r="CE29" s="133">
        <v>0</v>
      </c>
      <c r="CF29" s="133">
        <v>0</v>
      </c>
      <c r="CG29" s="133">
        <v>0</v>
      </c>
      <c r="CH29" s="133">
        <v>0</v>
      </c>
      <c r="CI29" s="133">
        <v>0</v>
      </c>
      <c r="CJ29" s="133">
        <v>0</v>
      </c>
      <c r="CK29" s="133">
        <v>0</v>
      </c>
      <c r="CL29" s="133">
        <v>0</v>
      </c>
      <c r="CM29" s="133">
        <v>0</v>
      </c>
      <c r="CN29" s="133">
        <v>0</v>
      </c>
      <c r="CO29" s="133">
        <v>0</v>
      </c>
      <c r="CP29" s="133">
        <v>0</v>
      </c>
      <c r="CQ29" s="133">
        <v>0</v>
      </c>
      <c r="CR29" s="133">
        <v>0</v>
      </c>
      <c r="CS29" s="133">
        <v>0</v>
      </c>
      <c r="CT29" s="133">
        <v>0</v>
      </c>
      <c r="CU29" s="133">
        <v>0</v>
      </c>
      <c r="CV29" s="133">
        <v>0</v>
      </c>
      <c r="CW29" s="133">
        <v>0</v>
      </c>
      <c r="CX29" s="133">
        <v>0</v>
      </c>
    </row>
    <row r="30" spans="1:102" ht="15" customHeight="1" x14ac:dyDescent="0.45">
      <c r="A30" s="129">
        <v>2.8</v>
      </c>
      <c r="B30" s="132">
        <v>1</v>
      </c>
      <c r="C30" s="133">
        <v>1</v>
      </c>
      <c r="D30" s="133">
        <v>1</v>
      </c>
      <c r="E30" s="133">
        <v>1</v>
      </c>
      <c r="F30" s="133">
        <v>1</v>
      </c>
      <c r="G30" s="133">
        <v>0.95</v>
      </c>
      <c r="H30" s="133">
        <v>0.85</v>
      </c>
      <c r="I30" s="133">
        <v>0.8</v>
      </c>
      <c r="J30" s="133">
        <v>0.7</v>
      </c>
      <c r="K30" s="133">
        <v>0.6</v>
      </c>
      <c r="L30" s="133">
        <v>0.5</v>
      </c>
      <c r="M30" s="133">
        <v>0.4</v>
      </c>
      <c r="N30" s="133">
        <v>0.3</v>
      </c>
      <c r="O30" s="133">
        <v>0.2</v>
      </c>
      <c r="P30" s="133">
        <v>0.1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X30" s="133">
        <v>0</v>
      </c>
      <c r="Y30" s="133">
        <v>0</v>
      </c>
      <c r="Z30" s="133">
        <v>0</v>
      </c>
      <c r="AA30" s="133">
        <v>0</v>
      </c>
      <c r="AB30" s="133">
        <v>0</v>
      </c>
      <c r="AC30" s="133">
        <v>0</v>
      </c>
      <c r="AD30" s="133">
        <v>0</v>
      </c>
      <c r="AE30" s="133">
        <v>0</v>
      </c>
      <c r="AF30" s="133">
        <v>0</v>
      </c>
      <c r="AG30" s="133">
        <v>0</v>
      </c>
      <c r="AH30" s="133">
        <v>0</v>
      </c>
      <c r="AI30" s="133">
        <v>0</v>
      </c>
      <c r="AJ30" s="133">
        <v>0</v>
      </c>
      <c r="AK30" s="133">
        <v>0</v>
      </c>
      <c r="AL30" s="133">
        <v>0</v>
      </c>
      <c r="AM30" s="133">
        <v>0</v>
      </c>
      <c r="AN30" s="133">
        <v>0</v>
      </c>
      <c r="AO30" s="133">
        <v>0</v>
      </c>
      <c r="AP30" s="133">
        <v>0</v>
      </c>
      <c r="AQ30" s="133">
        <v>0</v>
      </c>
      <c r="AR30" s="133">
        <v>0</v>
      </c>
      <c r="AS30" s="133">
        <v>0</v>
      </c>
      <c r="AT30" s="133">
        <v>0</v>
      </c>
      <c r="AU30" s="133">
        <v>0</v>
      </c>
      <c r="AV30" s="133">
        <v>0</v>
      </c>
      <c r="AW30" s="133">
        <v>0</v>
      </c>
      <c r="AX30" s="133">
        <v>0</v>
      </c>
      <c r="AY30" s="133">
        <v>0</v>
      </c>
      <c r="AZ30" s="133">
        <v>0</v>
      </c>
      <c r="BA30" s="133">
        <v>0</v>
      </c>
      <c r="BB30" s="133">
        <v>0</v>
      </c>
      <c r="BC30" s="133">
        <v>0</v>
      </c>
      <c r="BD30" s="133">
        <v>0</v>
      </c>
      <c r="BE30" s="133">
        <v>0</v>
      </c>
      <c r="BF30" s="133">
        <v>0</v>
      </c>
      <c r="BG30" s="133">
        <v>0</v>
      </c>
      <c r="BH30" s="133">
        <v>0</v>
      </c>
      <c r="BI30" s="133">
        <v>0</v>
      </c>
      <c r="BJ30" s="133">
        <v>0</v>
      </c>
      <c r="BK30" s="133">
        <v>0</v>
      </c>
      <c r="BL30" s="133">
        <v>0</v>
      </c>
      <c r="BM30" s="133">
        <v>0</v>
      </c>
      <c r="BN30" s="133">
        <v>0</v>
      </c>
      <c r="BO30" s="133">
        <v>0</v>
      </c>
      <c r="BP30" s="133">
        <v>0</v>
      </c>
      <c r="BQ30" s="133">
        <v>0</v>
      </c>
      <c r="BR30" s="133">
        <v>0</v>
      </c>
      <c r="BS30" s="133">
        <v>0</v>
      </c>
      <c r="BT30" s="133">
        <v>0</v>
      </c>
      <c r="BU30" s="133">
        <v>0</v>
      </c>
      <c r="BV30" s="133">
        <v>0</v>
      </c>
      <c r="BW30" s="133">
        <v>0</v>
      </c>
      <c r="BX30" s="133">
        <v>0</v>
      </c>
      <c r="BY30" s="133">
        <v>0</v>
      </c>
      <c r="BZ30" s="133">
        <v>0</v>
      </c>
      <c r="CA30" s="133">
        <v>0</v>
      </c>
      <c r="CB30" s="133">
        <v>0</v>
      </c>
      <c r="CC30" s="133">
        <v>0</v>
      </c>
      <c r="CD30" s="133">
        <v>0</v>
      </c>
      <c r="CE30" s="133">
        <v>0</v>
      </c>
      <c r="CF30" s="133">
        <v>0</v>
      </c>
      <c r="CG30" s="133">
        <v>0</v>
      </c>
      <c r="CH30" s="133">
        <v>0</v>
      </c>
      <c r="CI30" s="133">
        <v>0</v>
      </c>
      <c r="CJ30" s="133">
        <v>0</v>
      </c>
      <c r="CK30" s="133">
        <v>0</v>
      </c>
      <c r="CL30" s="133">
        <v>0</v>
      </c>
      <c r="CM30" s="133">
        <v>0</v>
      </c>
      <c r="CN30" s="133">
        <v>0</v>
      </c>
      <c r="CO30" s="133">
        <v>0</v>
      </c>
      <c r="CP30" s="133">
        <v>0</v>
      </c>
      <c r="CQ30" s="133">
        <v>0</v>
      </c>
      <c r="CR30" s="133">
        <v>0</v>
      </c>
      <c r="CS30" s="133">
        <v>0</v>
      </c>
      <c r="CT30" s="133">
        <v>0</v>
      </c>
      <c r="CU30" s="133">
        <v>0</v>
      </c>
      <c r="CV30" s="133">
        <v>0</v>
      </c>
      <c r="CW30" s="133">
        <v>0</v>
      </c>
      <c r="CX30" s="133">
        <v>0</v>
      </c>
    </row>
    <row r="31" spans="1:102" ht="15" customHeight="1" x14ac:dyDescent="0.45">
      <c r="A31" s="129">
        <v>2.9</v>
      </c>
      <c r="B31" s="132">
        <v>1</v>
      </c>
      <c r="C31" s="133">
        <v>1</v>
      </c>
      <c r="D31" s="133">
        <v>1</v>
      </c>
      <c r="E31" s="133">
        <v>1</v>
      </c>
      <c r="F31" s="133">
        <v>1</v>
      </c>
      <c r="G31" s="133">
        <v>0.95</v>
      </c>
      <c r="H31" s="133">
        <v>0.85</v>
      </c>
      <c r="I31" s="133">
        <v>0.8</v>
      </c>
      <c r="J31" s="133">
        <v>0.7</v>
      </c>
      <c r="K31" s="133">
        <v>0.6</v>
      </c>
      <c r="L31" s="133">
        <v>0.5</v>
      </c>
      <c r="M31" s="133">
        <v>0.4</v>
      </c>
      <c r="N31" s="133">
        <v>0.3</v>
      </c>
      <c r="O31" s="133">
        <v>0.2</v>
      </c>
      <c r="P31" s="133">
        <v>0.1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X31" s="133">
        <v>0</v>
      </c>
      <c r="Y31" s="133">
        <v>0</v>
      </c>
      <c r="Z31" s="133">
        <v>0</v>
      </c>
      <c r="AA31" s="133">
        <v>0</v>
      </c>
      <c r="AB31" s="133">
        <v>0</v>
      </c>
      <c r="AC31" s="133">
        <v>0</v>
      </c>
      <c r="AD31" s="133">
        <v>0</v>
      </c>
      <c r="AE31" s="133">
        <v>0</v>
      </c>
      <c r="AF31" s="133">
        <v>0</v>
      </c>
      <c r="AG31" s="133">
        <v>0</v>
      </c>
      <c r="AH31" s="133">
        <v>0</v>
      </c>
      <c r="AI31" s="133">
        <v>0</v>
      </c>
      <c r="AJ31" s="133">
        <v>0</v>
      </c>
      <c r="AK31" s="133">
        <v>0</v>
      </c>
      <c r="AL31" s="133">
        <v>0</v>
      </c>
      <c r="AM31" s="133">
        <v>0</v>
      </c>
      <c r="AN31" s="133">
        <v>0</v>
      </c>
      <c r="AO31" s="133">
        <v>0</v>
      </c>
      <c r="AP31" s="133">
        <v>0</v>
      </c>
      <c r="AQ31" s="133">
        <v>0</v>
      </c>
      <c r="AR31" s="133">
        <v>0</v>
      </c>
      <c r="AS31" s="133">
        <v>0</v>
      </c>
      <c r="AT31" s="133">
        <v>0</v>
      </c>
      <c r="AU31" s="133">
        <v>0</v>
      </c>
      <c r="AV31" s="133">
        <v>0</v>
      </c>
      <c r="AW31" s="133">
        <v>0</v>
      </c>
      <c r="AX31" s="133">
        <v>0</v>
      </c>
      <c r="AY31" s="133">
        <v>0</v>
      </c>
      <c r="AZ31" s="133">
        <v>0</v>
      </c>
      <c r="BA31" s="133">
        <v>0</v>
      </c>
      <c r="BB31" s="133">
        <v>0</v>
      </c>
      <c r="BC31" s="133">
        <v>0</v>
      </c>
      <c r="BD31" s="133">
        <v>0</v>
      </c>
      <c r="BE31" s="133">
        <v>0</v>
      </c>
      <c r="BF31" s="133">
        <v>0</v>
      </c>
      <c r="BG31" s="133">
        <v>0</v>
      </c>
      <c r="BH31" s="133">
        <v>0</v>
      </c>
      <c r="BI31" s="133">
        <v>0</v>
      </c>
      <c r="BJ31" s="133">
        <v>0</v>
      </c>
      <c r="BK31" s="133">
        <v>0</v>
      </c>
      <c r="BL31" s="133">
        <v>0</v>
      </c>
      <c r="BM31" s="133">
        <v>0</v>
      </c>
      <c r="BN31" s="133">
        <v>0</v>
      </c>
      <c r="BO31" s="133">
        <v>0</v>
      </c>
      <c r="BP31" s="133">
        <v>0</v>
      </c>
      <c r="BQ31" s="133">
        <v>0</v>
      </c>
      <c r="BR31" s="133">
        <v>0</v>
      </c>
      <c r="BS31" s="133">
        <v>0</v>
      </c>
      <c r="BT31" s="133">
        <v>0</v>
      </c>
      <c r="BU31" s="133">
        <v>0</v>
      </c>
      <c r="BV31" s="133">
        <v>0</v>
      </c>
      <c r="BW31" s="133">
        <v>0</v>
      </c>
      <c r="BX31" s="133">
        <v>0</v>
      </c>
      <c r="BY31" s="133">
        <v>0</v>
      </c>
      <c r="BZ31" s="133">
        <v>0</v>
      </c>
      <c r="CA31" s="133">
        <v>0</v>
      </c>
      <c r="CB31" s="133">
        <v>0</v>
      </c>
      <c r="CC31" s="133">
        <v>0</v>
      </c>
      <c r="CD31" s="133">
        <v>0</v>
      </c>
      <c r="CE31" s="133">
        <v>0</v>
      </c>
      <c r="CF31" s="133">
        <v>0</v>
      </c>
      <c r="CG31" s="133">
        <v>0</v>
      </c>
      <c r="CH31" s="133">
        <v>0</v>
      </c>
      <c r="CI31" s="133">
        <v>0</v>
      </c>
      <c r="CJ31" s="133">
        <v>0</v>
      </c>
      <c r="CK31" s="133">
        <v>0</v>
      </c>
      <c r="CL31" s="133">
        <v>0</v>
      </c>
      <c r="CM31" s="133">
        <v>0</v>
      </c>
      <c r="CN31" s="133">
        <v>0</v>
      </c>
      <c r="CO31" s="133">
        <v>0</v>
      </c>
      <c r="CP31" s="133">
        <v>0</v>
      </c>
      <c r="CQ31" s="133">
        <v>0</v>
      </c>
      <c r="CR31" s="133">
        <v>0</v>
      </c>
      <c r="CS31" s="133">
        <v>0</v>
      </c>
      <c r="CT31" s="133">
        <v>0</v>
      </c>
      <c r="CU31" s="133">
        <v>0</v>
      </c>
      <c r="CV31" s="133">
        <v>0</v>
      </c>
      <c r="CW31" s="133">
        <v>0</v>
      </c>
      <c r="CX31" s="133">
        <v>0</v>
      </c>
    </row>
    <row r="32" spans="1:102" ht="15" customHeight="1" x14ac:dyDescent="0.45">
      <c r="A32" s="129">
        <v>3</v>
      </c>
      <c r="B32" s="132">
        <v>1</v>
      </c>
      <c r="C32" s="133">
        <v>1</v>
      </c>
      <c r="D32" s="133">
        <v>1</v>
      </c>
      <c r="E32" s="133">
        <v>1</v>
      </c>
      <c r="F32" s="133">
        <v>1</v>
      </c>
      <c r="G32" s="133">
        <v>0.95</v>
      </c>
      <c r="H32" s="133">
        <v>0.85</v>
      </c>
      <c r="I32" s="133">
        <v>0.8</v>
      </c>
      <c r="J32" s="133">
        <v>0.7</v>
      </c>
      <c r="K32" s="133">
        <v>0.6</v>
      </c>
      <c r="L32" s="133">
        <v>0.5</v>
      </c>
      <c r="M32" s="133">
        <v>0.4</v>
      </c>
      <c r="N32" s="133">
        <v>0.3</v>
      </c>
      <c r="O32" s="133">
        <v>0.2</v>
      </c>
      <c r="P32" s="133">
        <v>0.1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X32" s="133">
        <v>0</v>
      </c>
      <c r="Y32" s="133">
        <v>0</v>
      </c>
      <c r="Z32" s="133">
        <v>0</v>
      </c>
      <c r="AA32" s="133">
        <v>0</v>
      </c>
      <c r="AB32" s="133">
        <v>0</v>
      </c>
      <c r="AC32" s="133">
        <v>0</v>
      </c>
      <c r="AD32" s="133">
        <v>0</v>
      </c>
      <c r="AE32" s="133">
        <v>0</v>
      </c>
      <c r="AF32" s="133">
        <v>0</v>
      </c>
      <c r="AG32" s="133">
        <v>0</v>
      </c>
      <c r="AH32" s="133">
        <v>0</v>
      </c>
      <c r="AI32" s="133">
        <v>0</v>
      </c>
      <c r="AJ32" s="133">
        <v>0</v>
      </c>
      <c r="AK32" s="133">
        <v>0</v>
      </c>
      <c r="AL32" s="133">
        <v>0</v>
      </c>
      <c r="AM32" s="133">
        <v>0</v>
      </c>
      <c r="AN32" s="133">
        <v>0</v>
      </c>
      <c r="AO32" s="133">
        <v>0</v>
      </c>
      <c r="AP32" s="133">
        <v>0</v>
      </c>
      <c r="AQ32" s="133">
        <v>0</v>
      </c>
      <c r="AR32" s="133">
        <v>0</v>
      </c>
      <c r="AS32" s="133">
        <v>0</v>
      </c>
      <c r="AT32" s="133">
        <v>0</v>
      </c>
      <c r="AU32" s="133">
        <v>0</v>
      </c>
      <c r="AV32" s="133">
        <v>0</v>
      </c>
      <c r="AW32" s="133">
        <v>0</v>
      </c>
      <c r="AX32" s="133">
        <v>0</v>
      </c>
      <c r="AY32" s="133">
        <v>0</v>
      </c>
      <c r="AZ32" s="133">
        <v>0</v>
      </c>
      <c r="BA32" s="133">
        <v>0</v>
      </c>
      <c r="BB32" s="133">
        <v>0</v>
      </c>
      <c r="BC32" s="133">
        <v>0</v>
      </c>
      <c r="BD32" s="133">
        <v>0</v>
      </c>
      <c r="BE32" s="133">
        <v>0</v>
      </c>
      <c r="BF32" s="133">
        <v>0</v>
      </c>
      <c r="BG32" s="133">
        <v>0</v>
      </c>
      <c r="BH32" s="133">
        <v>0</v>
      </c>
      <c r="BI32" s="133">
        <v>0</v>
      </c>
      <c r="BJ32" s="133">
        <v>0</v>
      </c>
      <c r="BK32" s="133">
        <v>0</v>
      </c>
      <c r="BL32" s="133">
        <v>0</v>
      </c>
      <c r="BM32" s="133">
        <v>0</v>
      </c>
      <c r="BN32" s="133">
        <v>0</v>
      </c>
      <c r="BO32" s="133">
        <v>0</v>
      </c>
      <c r="BP32" s="133">
        <v>0</v>
      </c>
      <c r="BQ32" s="133">
        <v>0</v>
      </c>
      <c r="BR32" s="133">
        <v>0</v>
      </c>
      <c r="BS32" s="133">
        <v>0</v>
      </c>
      <c r="BT32" s="133">
        <v>0</v>
      </c>
      <c r="BU32" s="133">
        <v>0</v>
      </c>
      <c r="BV32" s="133">
        <v>0</v>
      </c>
      <c r="BW32" s="133">
        <v>0</v>
      </c>
      <c r="BX32" s="133">
        <v>0</v>
      </c>
      <c r="BY32" s="133">
        <v>0</v>
      </c>
      <c r="BZ32" s="133">
        <v>0</v>
      </c>
      <c r="CA32" s="133">
        <v>0</v>
      </c>
      <c r="CB32" s="133">
        <v>0</v>
      </c>
      <c r="CC32" s="133">
        <v>0</v>
      </c>
      <c r="CD32" s="133">
        <v>0</v>
      </c>
      <c r="CE32" s="133">
        <v>0</v>
      </c>
      <c r="CF32" s="133">
        <v>0</v>
      </c>
      <c r="CG32" s="133">
        <v>0</v>
      </c>
      <c r="CH32" s="133">
        <v>0</v>
      </c>
      <c r="CI32" s="133">
        <v>0</v>
      </c>
      <c r="CJ32" s="133">
        <v>0</v>
      </c>
      <c r="CK32" s="133">
        <v>0</v>
      </c>
      <c r="CL32" s="133">
        <v>0</v>
      </c>
      <c r="CM32" s="133">
        <v>0</v>
      </c>
      <c r="CN32" s="133">
        <v>0</v>
      </c>
      <c r="CO32" s="133">
        <v>0</v>
      </c>
      <c r="CP32" s="133">
        <v>0</v>
      </c>
      <c r="CQ32" s="133">
        <v>0</v>
      </c>
      <c r="CR32" s="133">
        <v>0</v>
      </c>
      <c r="CS32" s="133">
        <v>0</v>
      </c>
      <c r="CT32" s="133">
        <v>0</v>
      </c>
      <c r="CU32" s="133">
        <v>0</v>
      </c>
      <c r="CV32" s="133">
        <v>0</v>
      </c>
      <c r="CW32" s="133">
        <v>0</v>
      </c>
      <c r="CX32" s="133">
        <v>0</v>
      </c>
    </row>
    <row r="33" spans="1:102" ht="15" customHeight="1" x14ac:dyDescent="0.45">
      <c r="A33" s="129">
        <v>3.1</v>
      </c>
      <c r="B33" s="132">
        <v>1</v>
      </c>
      <c r="C33" s="133">
        <v>1</v>
      </c>
      <c r="D33" s="133">
        <v>1</v>
      </c>
      <c r="E33" s="133">
        <v>1</v>
      </c>
      <c r="F33" s="133">
        <v>1</v>
      </c>
      <c r="G33" s="133">
        <v>0.95</v>
      </c>
      <c r="H33" s="133">
        <v>0.85</v>
      </c>
      <c r="I33" s="133">
        <v>0.8</v>
      </c>
      <c r="J33" s="133">
        <v>0.7</v>
      </c>
      <c r="K33" s="133">
        <v>0.6</v>
      </c>
      <c r="L33" s="133">
        <v>0.5</v>
      </c>
      <c r="M33" s="133">
        <v>0.4</v>
      </c>
      <c r="N33" s="133">
        <v>0.3</v>
      </c>
      <c r="O33" s="133">
        <v>0.2</v>
      </c>
      <c r="P33" s="133">
        <v>0.1</v>
      </c>
      <c r="Q33" s="133">
        <v>0</v>
      </c>
      <c r="R33" s="133">
        <v>0</v>
      </c>
      <c r="S33" s="133">
        <v>0</v>
      </c>
      <c r="T33" s="133">
        <v>0</v>
      </c>
      <c r="U33" s="133">
        <v>0</v>
      </c>
      <c r="V33" s="133">
        <v>0</v>
      </c>
      <c r="W33" s="133">
        <v>0</v>
      </c>
      <c r="X33" s="133">
        <v>0</v>
      </c>
      <c r="Y33" s="133">
        <v>0</v>
      </c>
      <c r="Z33" s="133">
        <v>0</v>
      </c>
      <c r="AA33" s="133">
        <v>0</v>
      </c>
      <c r="AB33" s="133">
        <v>0</v>
      </c>
      <c r="AC33" s="133">
        <v>0</v>
      </c>
      <c r="AD33" s="133">
        <v>0</v>
      </c>
      <c r="AE33" s="133">
        <v>0</v>
      </c>
      <c r="AF33" s="133">
        <v>0</v>
      </c>
      <c r="AG33" s="133">
        <v>0</v>
      </c>
      <c r="AH33" s="133">
        <v>0</v>
      </c>
      <c r="AI33" s="133">
        <v>0</v>
      </c>
      <c r="AJ33" s="133">
        <v>0</v>
      </c>
      <c r="AK33" s="133">
        <v>0</v>
      </c>
      <c r="AL33" s="133">
        <v>0</v>
      </c>
      <c r="AM33" s="133">
        <v>0</v>
      </c>
      <c r="AN33" s="133">
        <v>0</v>
      </c>
      <c r="AO33" s="133">
        <v>0</v>
      </c>
      <c r="AP33" s="133">
        <v>0</v>
      </c>
      <c r="AQ33" s="133">
        <v>0</v>
      </c>
      <c r="AR33" s="133">
        <v>0</v>
      </c>
      <c r="AS33" s="133">
        <v>0</v>
      </c>
      <c r="AT33" s="133">
        <v>0</v>
      </c>
      <c r="AU33" s="133">
        <v>0</v>
      </c>
      <c r="AV33" s="133">
        <v>0</v>
      </c>
      <c r="AW33" s="133">
        <v>0</v>
      </c>
      <c r="AX33" s="133">
        <v>0</v>
      </c>
      <c r="AY33" s="133">
        <v>0</v>
      </c>
      <c r="AZ33" s="133">
        <v>0</v>
      </c>
      <c r="BA33" s="133">
        <v>0</v>
      </c>
      <c r="BB33" s="133">
        <v>0</v>
      </c>
      <c r="BC33" s="133">
        <v>0</v>
      </c>
      <c r="BD33" s="133">
        <v>0</v>
      </c>
      <c r="BE33" s="133">
        <v>0</v>
      </c>
      <c r="BF33" s="133">
        <v>0</v>
      </c>
      <c r="BG33" s="133">
        <v>0</v>
      </c>
      <c r="BH33" s="133">
        <v>0</v>
      </c>
      <c r="BI33" s="133">
        <v>0</v>
      </c>
      <c r="BJ33" s="133">
        <v>0</v>
      </c>
      <c r="BK33" s="133">
        <v>0</v>
      </c>
      <c r="BL33" s="133">
        <v>0</v>
      </c>
      <c r="BM33" s="133">
        <v>0</v>
      </c>
      <c r="BN33" s="133">
        <v>0</v>
      </c>
      <c r="BO33" s="133">
        <v>0</v>
      </c>
      <c r="BP33" s="133">
        <v>0</v>
      </c>
      <c r="BQ33" s="133">
        <v>0</v>
      </c>
      <c r="BR33" s="133">
        <v>0</v>
      </c>
      <c r="BS33" s="133">
        <v>0</v>
      </c>
      <c r="BT33" s="133">
        <v>0</v>
      </c>
      <c r="BU33" s="133">
        <v>0</v>
      </c>
      <c r="BV33" s="133">
        <v>0</v>
      </c>
      <c r="BW33" s="133">
        <v>0</v>
      </c>
      <c r="BX33" s="133">
        <v>0</v>
      </c>
      <c r="BY33" s="133">
        <v>0</v>
      </c>
      <c r="BZ33" s="133">
        <v>0</v>
      </c>
      <c r="CA33" s="133">
        <v>0</v>
      </c>
      <c r="CB33" s="133">
        <v>0</v>
      </c>
      <c r="CC33" s="133">
        <v>0</v>
      </c>
      <c r="CD33" s="133">
        <v>0</v>
      </c>
      <c r="CE33" s="133">
        <v>0</v>
      </c>
      <c r="CF33" s="133">
        <v>0</v>
      </c>
      <c r="CG33" s="133">
        <v>0</v>
      </c>
      <c r="CH33" s="133">
        <v>0</v>
      </c>
      <c r="CI33" s="133">
        <v>0</v>
      </c>
      <c r="CJ33" s="133">
        <v>0</v>
      </c>
      <c r="CK33" s="133">
        <v>0</v>
      </c>
      <c r="CL33" s="133">
        <v>0</v>
      </c>
      <c r="CM33" s="133">
        <v>0</v>
      </c>
      <c r="CN33" s="133">
        <v>0</v>
      </c>
      <c r="CO33" s="133">
        <v>0</v>
      </c>
      <c r="CP33" s="133">
        <v>0</v>
      </c>
      <c r="CQ33" s="133">
        <v>0</v>
      </c>
      <c r="CR33" s="133">
        <v>0</v>
      </c>
      <c r="CS33" s="133">
        <v>0</v>
      </c>
      <c r="CT33" s="133">
        <v>0</v>
      </c>
      <c r="CU33" s="133">
        <v>0</v>
      </c>
      <c r="CV33" s="133">
        <v>0</v>
      </c>
      <c r="CW33" s="133">
        <v>0</v>
      </c>
      <c r="CX33" s="133">
        <v>0</v>
      </c>
    </row>
    <row r="34" spans="1:102" ht="15" customHeight="1" x14ac:dyDescent="0.45">
      <c r="A34" s="129">
        <v>3.2</v>
      </c>
      <c r="B34" s="132">
        <v>1</v>
      </c>
      <c r="C34" s="133">
        <v>1</v>
      </c>
      <c r="D34" s="133">
        <v>1</v>
      </c>
      <c r="E34" s="133">
        <v>1</v>
      </c>
      <c r="F34" s="133">
        <v>1</v>
      </c>
      <c r="G34" s="133">
        <v>0.95</v>
      </c>
      <c r="H34" s="133">
        <v>0.85</v>
      </c>
      <c r="I34" s="133">
        <v>0.8</v>
      </c>
      <c r="J34" s="133">
        <v>0.7</v>
      </c>
      <c r="K34" s="133">
        <v>0.6</v>
      </c>
      <c r="L34" s="133">
        <v>0.5</v>
      </c>
      <c r="M34" s="133">
        <v>0.4</v>
      </c>
      <c r="N34" s="133">
        <v>0.3</v>
      </c>
      <c r="O34" s="133">
        <v>0.2</v>
      </c>
      <c r="P34" s="133">
        <v>0.1</v>
      </c>
      <c r="Q34" s="133">
        <v>0</v>
      </c>
      <c r="R34" s="133">
        <v>0</v>
      </c>
      <c r="S34" s="133">
        <v>0</v>
      </c>
      <c r="T34" s="133">
        <v>0</v>
      </c>
      <c r="U34" s="133">
        <v>0</v>
      </c>
      <c r="V34" s="133">
        <v>0</v>
      </c>
      <c r="W34" s="133">
        <v>0</v>
      </c>
      <c r="X34" s="133">
        <v>0</v>
      </c>
      <c r="Y34" s="133">
        <v>0</v>
      </c>
      <c r="Z34" s="133">
        <v>0</v>
      </c>
      <c r="AA34" s="133">
        <v>0</v>
      </c>
      <c r="AB34" s="133">
        <v>0</v>
      </c>
      <c r="AC34" s="133">
        <v>0</v>
      </c>
      <c r="AD34" s="133">
        <v>0</v>
      </c>
      <c r="AE34" s="133">
        <v>0</v>
      </c>
      <c r="AF34" s="133">
        <v>0</v>
      </c>
      <c r="AG34" s="133">
        <v>0</v>
      </c>
      <c r="AH34" s="133">
        <v>0</v>
      </c>
      <c r="AI34" s="133">
        <v>0</v>
      </c>
      <c r="AJ34" s="133">
        <v>0</v>
      </c>
      <c r="AK34" s="133">
        <v>0</v>
      </c>
      <c r="AL34" s="133">
        <v>0</v>
      </c>
      <c r="AM34" s="133">
        <v>0</v>
      </c>
      <c r="AN34" s="133">
        <v>0</v>
      </c>
      <c r="AO34" s="133">
        <v>0</v>
      </c>
      <c r="AP34" s="133">
        <v>0</v>
      </c>
      <c r="AQ34" s="133">
        <v>0</v>
      </c>
      <c r="AR34" s="133">
        <v>0</v>
      </c>
      <c r="AS34" s="133">
        <v>0</v>
      </c>
      <c r="AT34" s="133">
        <v>0</v>
      </c>
      <c r="AU34" s="133">
        <v>0</v>
      </c>
      <c r="AV34" s="133">
        <v>0</v>
      </c>
      <c r="AW34" s="133">
        <v>0</v>
      </c>
      <c r="AX34" s="133">
        <v>0</v>
      </c>
      <c r="AY34" s="133">
        <v>0</v>
      </c>
      <c r="AZ34" s="133">
        <v>0</v>
      </c>
      <c r="BA34" s="133">
        <v>0</v>
      </c>
      <c r="BB34" s="133">
        <v>0</v>
      </c>
      <c r="BC34" s="133">
        <v>0</v>
      </c>
      <c r="BD34" s="133">
        <v>0</v>
      </c>
      <c r="BE34" s="133">
        <v>0</v>
      </c>
      <c r="BF34" s="133">
        <v>0</v>
      </c>
      <c r="BG34" s="133">
        <v>0</v>
      </c>
      <c r="BH34" s="133">
        <v>0</v>
      </c>
      <c r="BI34" s="133">
        <v>0</v>
      </c>
      <c r="BJ34" s="133">
        <v>0</v>
      </c>
      <c r="BK34" s="133">
        <v>0</v>
      </c>
      <c r="BL34" s="133">
        <v>0</v>
      </c>
      <c r="BM34" s="133">
        <v>0</v>
      </c>
      <c r="BN34" s="133">
        <v>0</v>
      </c>
      <c r="BO34" s="133">
        <v>0</v>
      </c>
      <c r="BP34" s="133">
        <v>0</v>
      </c>
      <c r="BQ34" s="133">
        <v>0</v>
      </c>
      <c r="BR34" s="133">
        <v>0</v>
      </c>
      <c r="BS34" s="133">
        <v>0</v>
      </c>
      <c r="BT34" s="133">
        <v>0</v>
      </c>
      <c r="BU34" s="133">
        <v>0</v>
      </c>
      <c r="BV34" s="133">
        <v>0</v>
      </c>
      <c r="BW34" s="133">
        <v>0</v>
      </c>
      <c r="BX34" s="133">
        <v>0</v>
      </c>
      <c r="BY34" s="133">
        <v>0</v>
      </c>
      <c r="BZ34" s="133">
        <v>0</v>
      </c>
      <c r="CA34" s="133">
        <v>0</v>
      </c>
      <c r="CB34" s="133">
        <v>0</v>
      </c>
      <c r="CC34" s="133">
        <v>0</v>
      </c>
      <c r="CD34" s="133">
        <v>0</v>
      </c>
      <c r="CE34" s="133">
        <v>0</v>
      </c>
      <c r="CF34" s="133">
        <v>0</v>
      </c>
      <c r="CG34" s="133">
        <v>0</v>
      </c>
      <c r="CH34" s="133">
        <v>0</v>
      </c>
      <c r="CI34" s="133">
        <v>0</v>
      </c>
      <c r="CJ34" s="133">
        <v>0</v>
      </c>
      <c r="CK34" s="133">
        <v>0</v>
      </c>
      <c r="CL34" s="133">
        <v>0</v>
      </c>
      <c r="CM34" s="133">
        <v>0</v>
      </c>
      <c r="CN34" s="133">
        <v>0</v>
      </c>
      <c r="CO34" s="133">
        <v>0</v>
      </c>
      <c r="CP34" s="133">
        <v>0</v>
      </c>
      <c r="CQ34" s="133">
        <v>0</v>
      </c>
      <c r="CR34" s="133">
        <v>0</v>
      </c>
      <c r="CS34" s="133">
        <v>0</v>
      </c>
      <c r="CT34" s="133">
        <v>0</v>
      </c>
      <c r="CU34" s="133">
        <v>0</v>
      </c>
      <c r="CV34" s="133">
        <v>0</v>
      </c>
      <c r="CW34" s="133">
        <v>0</v>
      </c>
      <c r="CX34" s="133">
        <v>0</v>
      </c>
    </row>
    <row r="35" spans="1:102" ht="15" customHeight="1" x14ac:dyDescent="0.45">
      <c r="A35" s="129">
        <v>3.3</v>
      </c>
      <c r="B35" s="132">
        <v>1</v>
      </c>
      <c r="C35" s="133">
        <v>1</v>
      </c>
      <c r="D35" s="133">
        <v>1</v>
      </c>
      <c r="E35" s="133">
        <v>1</v>
      </c>
      <c r="F35" s="133">
        <v>1</v>
      </c>
      <c r="G35" s="133">
        <v>0.95</v>
      </c>
      <c r="H35" s="133">
        <v>0.85</v>
      </c>
      <c r="I35" s="133">
        <v>0.8</v>
      </c>
      <c r="J35" s="133">
        <v>0.7</v>
      </c>
      <c r="K35" s="133">
        <v>0.6</v>
      </c>
      <c r="L35" s="133">
        <v>0.5</v>
      </c>
      <c r="M35" s="133">
        <v>0.4</v>
      </c>
      <c r="N35" s="133">
        <v>0.3</v>
      </c>
      <c r="O35" s="133">
        <v>0.2</v>
      </c>
      <c r="P35" s="133">
        <v>0.1</v>
      </c>
      <c r="Q35" s="133">
        <v>0</v>
      </c>
      <c r="R35" s="133">
        <v>0</v>
      </c>
      <c r="S35" s="133">
        <v>0</v>
      </c>
      <c r="T35" s="133">
        <v>0</v>
      </c>
      <c r="U35" s="133">
        <v>0</v>
      </c>
      <c r="V35" s="133">
        <v>0</v>
      </c>
      <c r="W35" s="133">
        <v>0</v>
      </c>
      <c r="X35" s="133">
        <v>0</v>
      </c>
      <c r="Y35" s="133">
        <v>0</v>
      </c>
      <c r="Z35" s="133">
        <v>0</v>
      </c>
      <c r="AA35" s="133">
        <v>0</v>
      </c>
      <c r="AB35" s="133">
        <v>0</v>
      </c>
      <c r="AC35" s="133">
        <v>0</v>
      </c>
      <c r="AD35" s="133">
        <v>0</v>
      </c>
      <c r="AE35" s="133">
        <v>0</v>
      </c>
      <c r="AF35" s="133">
        <v>0</v>
      </c>
      <c r="AG35" s="133">
        <v>0</v>
      </c>
      <c r="AH35" s="133">
        <v>0</v>
      </c>
      <c r="AI35" s="133">
        <v>0</v>
      </c>
      <c r="AJ35" s="133">
        <v>0</v>
      </c>
      <c r="AK35" s="133">
        <v>0</v>
      </c>
      <c r="AL35" s="133">
        <v>0</v>
      </c>
      <c r="AM35" s="133">
        <v>0</v>
      </c>
      <c r="AN35" s="133">
        <v>0</v>
      </c>
      <c r="AO35" s="133">
        <v>0</v>
      </c>
      <c r="AP35" s="133">
        <v>0</v>
      </c>
      <c r="AQ35" s="133">
        <v>0</v>
      </c>
      <c r="AR35" s="133">
        <v>0</v>
      </c>
      <c r="AS35" s="133">
        <v>0</v>
      </c>
      <c r="AT35" s="133">
        <v>0</v>
      </c>
      <c r="AU35" s="133">
        <v>0</v>
      </c>
      <c r="AV35" s="133">
        <v>0</v>
      </c>
      <c r="AW35" s="133">
        <v>0</v>
      </c>
      <c r="AX35" s="133">
        <v>0</v>
      </c>
      <c r="AY35" s="133">
        <v>0</v>
      </c>
      <c r="AZ35" s="133">
        <v>0</v>
      </c>
      <c r="BA35" s="133">
        <v>0</v>
      </c>
      <c r="BB35" s="133">
        <v>0</v>
      </c>
      <c r="BC35" s="133">
        <v>0</v>
      </c>
      <c r="BD35" s="133">
        <v>0</v>
      </c>
      <c r="BE35" s="133">
        <v>0</v>
      </c>
      <c r="BF35" s="133">
        <v>0</v>
      </c>
      <c r="BG35" s="133">
        <v>0</v>
      </c>
      <c r="BH35" s="133">
        <v>0</v>
      </c>
      <c r="BI35" s="133">
        <v>0</v>
      </c>
      <c r="BJ35" s="133">
        <v>0</v>
      </c>
      <c r="BK35" s="133">
        <v>0</v>
      </c>
      <c r="BL35" s="133">
        <v>0</v>
      </c>
      <c r="BM35" s="133">
        <v>0</v>
      </c>
      <c r="BN35" s="133">
        <v>0</v>
      </c>
      <c r="BO35" s="133">
        <v>0</v>
      </c>
      <c r="BP35" s="133">
        <v>0</v>
      </c>
      <c r="BQ35" s="133">
        <v>0</v>
      </c>
      <c r="BR35" s="133">
        <v>0</v>
      </c>
      <c r="BS35" s="133">
        <v>0</v>
      </c>
      <c r="BT35" s="133">
        <v>0</v>
      </c>
      <c r="BU35" s="133">
        <v>0</v>
      </c>
      <c r="BV35" s="133">
        <v>0</v>
      </c>
      <c r="BW35" s="133">
        <v>0</v>
      </c>
      <c r="BX35" s="133">
        <v>0</v>
      </c>
      <c r="BY35" s="133">
        <v>0</v>
      </c>
      <c r="BZ35" s="133">
        <v>0</v>
      </c>
      <c r="CA35" s="133">
        <v>0</v>
      </c>
      <c r="CB35" s="133">
        <v>0</v>
      </c>
      <c r="CC35" s="133">
        <v>0</v>
      </c>
      <c r="CD35" s="133">
        <v>0</v>
      </c>
      <c r="CE35" s="133">
        <v>0</v>
      </c>
      <c r="CF35" s="133">
        <v>0</v>
      </c>
      <c r="CG35" s="133">
        <v>0</v>
      </c>
      <c r="CH35" s="133">
        <v>0</v>
      </c>
      <c r="CI35" s="133">
        <v>0</v>
      </c>
      <c r="CJ35" s="133">
        <v>0</v>
      </c>
      <c r="CK35" s="133">
        <v>0</v>
      </c>
      <c r="CL35" s="133">
        <v>0</v>
      </c>
      <c r="CM35" s="133">
        <v>0</v>
      </c>
      <c r="CN35" s="133">
        <v>0</v>
      </c>
      <c r="CO35" s="133">
        <v>0</v>
      </c>
      <c r="CP35" s="133">
        <v>0</v>
      </c>
      <c r="CQ35" s="133">
        <v>0</v>
      </c>
      <c r="CR35" s="133">
        <v>0</v>
      </c>
      <c r="CS35" s="133">
        <v>0</v>
      </c>
      <c r="CT35" s="133">
        <v>0</v>
      </c>
      <c r="CU35" s="133">
        <v>0</v>
      </c>
      <c r="CV35" s="133">
        <v>0</v>
      </c>
      <c r="CW35" s="133">
        <v>0</v>
      </c>
      <c r="CX35" s="133">
        <v>0</v>
      </c>
    </row>
    <row r="36" spans="1:102" ht="15" customHeight="1" x14ac:dyDescent="0.45">
      <c r="A36" s="129">
        <v>3.4</v>
      </c>
      <c r="B36" s="132">
        <v>1</v>
      </c>
      <c r="C36" s="133">
        <v>1</v>
      </c>
      <c r="D36" s="133">
        <v>1</v>
      </c>
      <c r="E36" s="133">
        <v>1</v>
      </c>
      <c r="F36" s="133">
        <v>1</v>
      </c>
      <c r="G36" s="133">
        <v>0.95</v>
      </c>
      <c r="H36" s="133">
        <v>0.85</v>
      </c>
      <c r="I36" s="133">
        <v>0.8</v>
      </c>
      <c r="J36" s="133">
        <v>0.7</v>
      </c>
      <c r="K36" s="133">
        <v>0.6</v>
      </c>
      <c r="L36" s="133">
        <v>0.5</v>
      </c>
      <c r="M36" s="133">
        <v>0.4</v>
      </c>
      <c r="N36" s="133">
        <v>0.3</v>
      </c>
      <c r="O36" s="133">
        <v>0.2</v>
      </c>
      <c r="P36" s="133">
        <v>0.1</v>
      </c>
      <c r="Q36" s="133">
        <v>0</v>
      </c>
      <c r="R36" s="133">
        <v>0</v>
      </c>
      <c r="S36" s="133">
        <v>0</v>
      </c>
      <c r="T36" s="133">
        <v>0</v>
      </c>
      <c r="U36" s="133">
        <v>0</v>
      </c>
      <c r="V36" s="133">
        <v>0</v>
      </c>
      <c r="W36" s="133">
        <v>0</v>
      </c>
      <c r="X36" s="133">
        <v>0</v>
      </c>
      <c r="Y36" s="133">
        <v>0</v>
      </c>
      <c r="Z36" s="133">
        <v>0</v>
      </c>
      <c r="AA36" s="133">
        <v>0</v>
      </c>
      <c r="AB36" s="133">
        <v>0</v>
      </c>
      <c r="AC36" s="133">
        <v>0</v>
      </c>
      <c r="AD36" s="133">
        <v>0</v>
      </c>
      <c r="AE36" s="133">
        <v>0</v>
      </c>
      <c r="AF36" s="133">
        <v>0</v>
      </c>
      <c r="AG36" s="133">
        <v>0</v>
      </c>
      <c r="AH36" s="133">
        <v>0</v>
      </c>
      <c r="AI36" s="133">
        <v>0</v>
      </c>
      <c r="AJ36" s="133">
        <v>0</v>
      </c>
      <c r="AK36" s="133">
        <v>0</v>
      </c>
      <c r="AL36" s="133">
        <v>0</v>
      </c>
      <c r="AM36" s="133">
        <v>0</v>
      </c>
      <c r="AN36" s="133">
        <v>0</v>
      </c>
      <c r="AO36" s="133">
        <v>0</v>
      </c>
      <c r="AP36" s="133">
        <v>0</v>
      </c>
      <c r="AQ36" s="133">
        <v>0</v>
      </c>
      <c r="AR36" s="133">
        <v>0</v>
      </c>
      <c r="AS36" s="133">
        <v>0</v>
      </c>
      <c r="AT36" s="133">
        <v>0</v>
      </c>
      <c r="AU36" s="133">
        <v>0</v>
      </c>
      <c r="AV36" s="133">
        <v>0</v>
      </c>
      <c r="AW36" s="133">
        <v>0</v>
      </c>
      <c r="AX36" s="133">
        <v>0</v>
      </c>
      <c r="AY36" s="133">
        <v>0</v>
      </c>
      <c r="AZ36" s="133">
        <v>0</v>
      </c>
      <c r="BA36" s="133">
        <v>0</v>
      </c>
      <c r="BB36" s="133">
        <v>0</v>
      </c>
      <c r="BC36" s="133">
        <v>0</v>
      </c>
      <c r="BD36" s="133">
        <v>0</v>
      </c>
      <c r="BE36" s="133">
        <v>0</v>
      </c>
      <c r="BF36" s="133">
        <v>0</v>
      </c>
      <c r="BG36" s="133">
        <v>0</v>
      </c>
      <c r="BH36" s="133">
        <v>0</v>
      </c>
      <c r="BI36" s="133">
        <v>0</v>
      </c>
      <c r="BJ36" s="133">
        <v>0</v>
      </c>
      <c r="BK36" s="133">
        <v>0</v>
      </c>
      <c r="BL36" s="133">
        <v>0</v>
      </c>
      <c r="BM36" s="133">
        <v>0</v>
      </c>
      <c r="BN36" s="133">
        <v>0</v>
      </c>
      <c r="BO36" s="133">
        <v>0</v>
      </c>
      <c r="BP36" s="133">
        <v>0</v>
      </c>
      <c r="BQ36" s="133">
        <v>0</v>
      </c>
      <c r="BR36" s="133">
        <v>0</v>
      </c>
      <c r="BS36" s="133">
        <v>0</v>
      </c>
      <c r="BT36" s="133">
        <v>0</v>
      </c>
      <c r="BU36" s="133">
        <v>0</v>
      </c>
      <c r="BV36" s="133">
        <v>0</v>
      </c>
      <c r="BW36" s="133">
        <v>0</v>
      </c>
      <c r="BX36" s="133">
        <v>0</v>
      </c>
      <c r="BY36" s="133">
        <v>0</v>
      </c>
      <c r="BZ36" s="133">
        <v>0</v>
      </c>
      <c r="CA36" s="133">
        <v>0</v>
      </c>
      <c r="CB36" s="133">
        <v>0</v>
      </c>
      <c r="CC36" s="133">
        <v>0</v>
      </c>
      <c r="CD36" s="133">
        <v>0</v>
      </c>
      <c r="CE36" s="133">
        <v>0</v>
      </c>
      <c r="CF36" s="133">
        <v>0</v>
      </c>
      <c r="CG36" s="133">
        <v>0</v>
      </c>
      <c r="CH36" s="133">
        <v>0</v>
      </c>
      <c r="CI36" s="133">
        <v>0</v>
      </c>
      <c r="CJ36" s="133">
        <v>0</v>
      </c>
      <c r="CK36" s="133">
        <v>0</v>
      </c>
      <c r="CL36" s="133">
        <v>0</v>
      </c>
      <c r="CM36" s="133">
        <v>0</v>
      </c>
      <c r="CN36" s="133">
        <v>0</v>
      </c>
      <c r="CO36" s="133">
        <v>0</v>
      </c>
      <c r="CP36" s="133">
        <v>0</v>
      </c>
      <c r="CQ36" s="133">
        <v>0</v>
      </c>
      <c r="CR36" s="133">
        <v>0</v>
      </c>
      <c r="CS36" s="133">
        <v>0</v>
      </c>
      <c r="CT36" s="133">
        <v>0</v>
      </c>
      <c r="CU36" s="133">
        <v>0</v>
      </c>
      <c r="CV36" s="133">
        <v>0</v>
      </c>
      <c r="CW36" s="133">
        <v>0</v>
      </c>
      <c r="CX36" s="133">
        <v>0</v>
      </c>
    </row>
    <row r="37" spans="1:102" ht="15" customHeight="1" x14ac:dyDescent="0.45">
      <c r="A37" s="129">
        <v>3.5</v>
      </c>
      <c r="B37" s="132">
        <v>1</v>
      </c>
      <c r="C37" s="133">
        <v>1</v>
      </c>
      <c r="D37" s="133">
        <v>1</v>
      </c>
      <c r="E37" s="133">
        <v>1</v>
      </c>
      <c r="F37" s="133">
        <v>1</v>
      </c>
      <c r="G37" s="133">
        <v>0.95</v>
      </c>
      <c r="H37" s="133">
        <v>0.85</v>
      </c>
      <c r="I37" s="133">
        <v>0.8</v>
      </c>
      <c r="J37" s="133">
        <v>0.7</v>
      </c>
      <c r="K37" s="133">
        <v>0.6</v>
      </c>
      <c r="L37" s="133">
        <v>0.5</v>
      </c>
      <c r="M37" s="133">
        <v>0.4</v>
      </c>
      <c r="N37" s="133">
        <v>0.3</v>
      </c>
      <c r="O37" s="133">
        <v>0.2</v>
      </c>
      <c r="P37" s="133">
        <v>0.1</v>
      </c>
      <c r="Q37" s="133">
        <v>0</v>
      </c>
      <c r="R37" s="133">
        <v>0</v>
      </c>
      <c r="S37" s="133">
        <v>0</v>
      </c>
      <c r="T37" s="133">
        <v>0</v>
      </c>
      <c r="U37" s="133">
        <v>0</v>
      </c>
      <c r="V37" s="133">
        <v>0</v>
      </c>
      <c r="W37" s="133">
        <v>0</v>
      </c>
      <c r="X37" s="133">
        <v>0</v>
      </c>
      <c r="Y37" s="133">
        <v>0</v>
      </c>
      <c r="Z37" s="133">
        <v>0</v>
      </c>
      <c r="AA37" s="133">
        <v>0</v>
      </c>
      <c r="AB37" s="133">
        <v>0</v>
      </c>
      <c r="AC37" s="133">
        <v>0</v>
      </c>
      <c r="AD37" s="133">
        <v>0</v>
      </c>
      <c r="AE37" s="133">
        <v>0</v>
      </c>
      <c r="AF37" s="133">
        <v>0</v>
      </c>
      <c r="AG37" s="133">
        <v>0</v>
      </c>
      <c r="AH37" s="133">
        <v>0</v>
      </c>
      <c r="AI37" s="133">
        <v>0</v>
      </c>
      <c r="AJ37" s="133">
        <v>0</v>
      </c>
      <c r="AK37" s="133">
        <v>0</v>
      </c>
      <c r="AL37" s="133">
        <v>0</v>
      </c>
      <c r="AM37" s="133">
        <v>0</v>
      </c>
      <c r="AN37" s="133">
        <v>0</v>
      </c>
      <c r="AO37" s="133">
        <v>0</v>
      </c>
      <c r="AP37" s="133">
        <v>0</v>
      </c>
      <c r="AQ37" s="133">
        <v>0</v>
      </c>
      <c r="AR37" s="133">
        <v>0</v>
      </c>
      <c r="AS37" s="133">
        <v>0</v>
      </c>
      <c r="AT37" s="133">
        <v>0</v>
      </c>
      <c r="AU37" s="133">
        <v>0</v>
      </c>
      <c r="AV37" s="133">
        <v>0</v>
      </c>
      <c r="AW37" s="133">
        <v>0</v>
      </c>
      <c r="AX37" s="133">
        <v>0</v>
      </c>
      <c r="AY37" s="133">
        <v>0</v>
      </c>
      <c r="AZ37" s="133">
        <v>0</v>
      </c>
      <c r="BA37" s="133">
        <v>0</v>
      </c>
      <c r="BB37" s="133">
        <v>0</v>
      </c>
      <c r="BC37" s="133">
        <v>0</v>
      </c>
      <c r="BD37" s="133">
        <v>0</v>
      </c>
      <c r="BE37" s="133">
        <v>0</v>
      </c>
      <c r="BF37" s="133">
        <v>0</v>
      </c>
      <c r="BG37" s="133">
        <v>0</v>
      </c>
      <c r="BH37" s="133">
        <v>0</v>
      </c>
      <c r="BI37" s="133">
        <v>0</v>
      </c>
      <c r="BJ37" s="133">
        <v>0</v>
      </c>
      <c r="BK37" s="133">
        <v>0</v>
      </c>
      <c r="BL37" s="133">
        <v>0</v>
      </c>
      <c r="BM37" s="133">
        <v>0</v>
      </c>
      <c r="BN37" s="133">
        <v>0</v>
      </c>
      <c r="BO37" s="133">
        <v>0</v>
      </c>
      <c r="BP37" s="133">
        <v>0</v>
      </c>
      <c r="BQ37" s="133">
        <v>0</v>
      </c>
      <c r="BR37" s="133">
        <v>0</v>
      </c>
      <c r="BS37" s="133">
        <v>0</v>
      </c>
      <c r="BT37" s="133">
        <v>0</v>
      </c>
      <c r="BU37" s="133">
        <v>0</v>
      </c>
      <c r="BV37" s="133">
        <v>0</v>
      </c>
      <c r="BW37" s="133">
        <v>0</v>
      </c>
      <c r="BX37" s="133">
        <v>0</v>
      </c>
      <c r="BY37" s="133">
        <v>0</v>
      </c>
      <c r="BZ37" s="133">
        <v>0</v>
      </c>
      <c r="CA37" s="133">
        <v>0</v>
      </c>
      <c r="CB37" s="133">
        <v>0</v>
      </c>
      <c r="CC37" s="133">
        <v>0</v>
      </c>
      <c r="CD37" s="133">
        <v>0</v>
      </c>
      <c r="CE37" s="133">
        <v>0</v>
      </c>
      <c r="CF37" s="133">
        <v>0</v>
      </c>
      <c r="CG37" s="133">
        <v>0</v>
      </c>
      <c r="CH37" s="133">
        <v>0</v>
      </c>
      <c r="CI37" s="133">
        <v>0</v>
      </c>
      <c r="CJ37" s="133">
        <v>0</v>
      </c>
      <c r="CK37" s="133">
        <v>0</v>
      </c>
      <c r="CL37" s="133">
        <v>0</v>
      </c>
      <c r="CM37" s="133">
        <v>0</v>
      </c>
      <c r="CN37" s="133">
        <v>0</v>
      </c>
      <c r="CO37" s="133">
        <v>0</v>
      </c>
      <c r="CP37" s="133">
        <v>0</v>
      </c>
      <c r="CQ37" s="133">
        <v>0</v>
      </c>
      <c r="CR37" s="133">
        <v>0</v>
      </c>
      <c r="CS37" s="133">
        <v>0</v>
      </c>
      <c r="CT37" s="133">
        <v>0</v>
      </c>
      <c r="CU37" s="133">
        <v>0</v>
      </c>
      <c r="CV37" s="133">
        <v>0</v>
      </c>
      <c r="CW37" s="133">
        <v>0</v>
      </c>
      <c r="CX37" s="133">
        <v>0</v>
      </c>
    </row>
    <row r="38" spans="1:102" ht="15" customHeight="1" x14ac:dyDescent="0.45">
      <c r="A38" s="129">
        <v>3.6</v>
      </c>
      <c r="B38" s="132">
        <v>1</v>
      </c>
      <c r="C38" s="133">
        <v>1</v>
      </c>
      <c r="D38" s="133">
        <v>1</v>
      </c>
      <c r="E38" s="133">
        <v>1</v>
      </c>
      <c r="F38" s="133">
        <v>1</v>
      </c>
      <c r="G38" s="133">
        <v>0.95</v>
      </c>
      <c r="H38" s="133">
        <v>0.85</v>
      </c>
      <c r="I38" s="133">
        <v>0.8</v>
      </c>
      <c r="J38" s="133">
        <v>0.7</v>
      </c>
      <c r="K38" s="133">
        <v>0.6</v>
      </c>
      <c r="L38" s="133">
        <v>0.5</v>
      </c>
      <c r="M38" s="133">
        <v>0.4</v>
      </c>
      <c r="N38" s="133">
        <v>0.3</v>
      </c>
      <c r="O38" s="133">
        <v>0.2</v>
      </c>
      <c r="P38" s="133">
        <v>0.1</v>
      </c>
      <c r="Q38" s="133">
        <v>0</v>
      </c>
      <c r="R38" s="133">
        <v>0</v>
      </c>
      <c r="S38" s="133">
        <v>0</v>
      </c>
      <c r="T38" s="133">
        <v>0</v>
      </c>
      <c r="U38" s="133">
        <v>0</v>
      </c>
      <c r="V38" s="133">
        <v>0</v>
      </c>
      <c r="W38" s="133">
        <v>0</v>
      </c>
      <c r="X38" s="133">
        <v>0</v>
      </c>
      <c r="Y38" s="133">
        <v>0</v>
      </c>
      <c r="Z38" s="133">
        <v>0</v>
      </c>
      <c r="AA38" s="133">
        <v>0</v>
      </c>
      <c r="AB38" s="133">
        <v>0</v>
      </c>
      <c r="AC38" s="133">
        <v>0</v>
      </c>
      <c r="AD38" s="133">
        <v>0</v>
      </c>
      <c r="AE38" s="133">
        <v>0</v>
      </c>
      <c r="AF38" s="133">
        <v>0</v>
      </c>
      <c r="AG38" s="133">
        <v>0</v>
      </c>
      <c r="AH38" s="133">
        <v>0</v>
      </c>
      <c r="AI38" s="133">
        <v>0</v>
      </c>
      <c r="AJ38" s="133">
        <v>0</v>
      </c>
      <c r="AK38" s="133">
        <v>0</v>
      </c>
      <c r="AL38" s="133">
        <v>0</v>
      </c>
      <c r="AM38" s="133">
        <v>0</v>
      </c>
      <c r="AN38" s="133">
        <v>0</v>
      </c>
      <c r="AO38" s="133">
        <v>0</v>
      </c>
      <c r="AP38" s="133">
        <v>0</v>
      </c>
      <c r="AQ38" s="133">
        <v>0</v>
      </c>
      <c r="AR38" s="133">
        <v>0</v>
      </c>
      <c r="AS38" s="133">
        <v>0</v>
      </c>
      <c r="AT38" s="133">
        <v>0</v>
      </c>
      <c r="AU38" s="133">
        <v>0</v>
      </c>
      <c r="AV38" s="133">
        <v>0</v>
      </c>
      <c r="AW38" s="133">
        <v>0</v>
      </c>
      <c r="AX38" s="133">
        <v>0</v>
      </c>
      <c r="AY38" s="133">
        <v>0</v>
      </c>
      <c r="AZ38" s="133">
        <v>0</v>
      </c>
      <c r="BA38" s="133">
        <v>0</v>
      </c>
      <c r="BB38" s="133">
        <v>0</v>
      </c>
      <c r="BC38" s="133">
        <v>0</v>
      </c>
      <c r="BD38" s="133">
        <v>0</v>
      </c>
      <c r="BE38" s="133">
        <v>0</v>
      </c>
      <c r="BF38" s="133">
        <v>0</v>
      </c>
      <c r="BG38" s="133">
        <v>0</v>
      </c>
      <c r="BH38" s="133">
        <v>0</v>
      </c>
      <c r="BI38" s="133">
        <v>0</v>
      </c>
      <c r="BJ38" s="133">
        <v>0</v>
      </c>
      <c r="BK38" s="133">
        <v>0</v>
      </c>
      <c r="BL38" s="133">
        <v>0</v>
      </c>
      <c r="BM38" s="133">
        <v>0</v>
      </c>
      <c r="BN38" s="133">
        <v>0</v>
      </c>
      <c r="BO38" s="133">
        <v>0</v>
      </c>
      <c r="BP38" s="133">
        <v>0</v>
      </c>
      <c r="BQ38" s="133">
        <v>0</v>
      </c>
      <c r="BR38" s="133">
        <v>0</v>
      </c>
      <c r="BS38" s="133">
        <v>0</v>
      </c>
      <c r="BT38" s="133">
        <v>0</v>
      </c>
      <c r="BU38" s="133">
        <v>0</v>
      </c>
      <c r="BV38" s="133">
        <v>0</v>
      </c>
      <c r="BW38" s="133">
        <v>0</v>
      </c>
      <c r="BX38" s="133">
        <v>0</v>
      </c>
      <c r="BY38" s="133">
        <v>0</v>
      </c>
      <c r="BZ38" s="133">
        <v>0</v>
      </c>
      <c r="CA38" s="133">
        <v>0</v>
      </c>
      <c r="CB38" s="133">
        <v>0</v>
      </c>
      <c r="CC38" s="133">
        <v>0</v>
      </c>
      <c r="CD38" s="133">
        <v>0</v>
      </c>
      <c r="CE38" s="133">
        <v>0</v>
      </c>
      <c r="CF38" s="133">
        <v>0</v>
      </c>
      <c r="CG38" s="133">
        <v>0</v>
      </c>
      <c r="CH38" s="133">
        <v>0</v>
      </c>
      <c r="CI38" s="133">
        <v>0</v>
      </c>
      <c r="CJ38" s="133">
        <v>0</v>
      </c>
      <c r="CK38" s="133">
        <v>0</v>
      </c>
      <c r="CL38" s="133">
        <v>0</v>
      </c>
      <c r="CM38" s="133">
        <v>0</v>
      </c>
      <c r="CN38" s="133">
        <v>0</v>
      </c>
      <c r="CO38" s="133">
        <v>0</v>
      </c>
      <c r="CP38" s="133">
        <v>0</v>
      </c>
      <c r="CQ38" s="133">
        <v>0</v>
      </c>
      <c r="CR38" s="133">
        <v>0</v>
      </c>
      <c r="CS38" s="133">
        <v>0</v>
      </c>
      <c r="CT38" s="133">
        <v>0</v>
      </c>
      <c r="CU38" s="133">
        <v>0</v>
      </c>
      <c r="CV38" s="133">
        <v>0</v>
      </c>
      <c r="CW38" s="133">
        <v>0</v>
      </c>
      <c r="CX38" s="133">
        <v>0</v>
      </c>
    </row>
    <row r="39" spans="1:102" ht="15" customHeight="1" x14ac:dyDescent="0.45">
      <c r="A39" s="129">
        <v>3.7</v>
      </c>
      <c r="B39" s="132">
        <v>1</v>
      </c>
      <c r="C39" s="133">
        <v>1</v>
      </c>
      <c r="D39" s="133">
        <v>1</v>
      </c>
      <c r="E39" s="133">
        <v>1</v>
      </c>
      <c r="F39" s="133">
        <v>1</v>
      </c>
      <c r="G39" s="133">
        <v>0.95</v>
      </c>
      <c r="H39" s="133">
        <v>0.85</v>
      </c>
      <c r="I39" s="133">
        <v>0.8</v>
      </c>
      <c r="J39" s="133">
        <v>0.7</v>
      </c>
      <c r="K39" s="133">
        <v>0.6</v>
      </c>
      <c r="L39" s="133">
        <v>0.5</v>
      </c>
      <c r="M39" s="133">
        <v>0.4</v>
      </c>
      <c r="N39" s="133">
        <v>0.3</v>
      </c>
      <c r="O39" s="133">
        <v>0.2</v>
      </c>
      <c r="P39" s="133">
        <v>0.1</v>
      </c>
      <c r="Q39" s="133">
        <v>0</v>
      </c>
      <c r="R39" s="133">
        <v>0</v>
      </c>
      <c r="S39" s="133">
        <v>0</v>
      </c>
      <c r="T39" s="133">
        <v>0</v>
      </c>
      <c r="U39" s="133">
        <v>0</v>
      </c>
      <c r="V39" s="133">
        <v>0</v>
      </c>
      <c r="W39" s="133">
        <v>0</v>
      </c>
      <c r="X39" s="133">
        <v>0</v>
      </c>
      <c r="Y39" s="133">
        <v>0</v>
      </c>
      <c r="Z39" s="133">
        <v>0</v>
      </c>
      <c r="AA39" s="133">
        <v>0</v>
      </c>
      <c r="AB39" s="133">
        <v>0</v>
      </c>
      <c r="AC39" s="133">
        <v>0</v>
      </c>
      <c r="AD39" s="133">
        <v>0</v>
      </c>
      <c r="AE39" s="133">
        <v>0</v>
      </c>
      <c r="AF39" s="133">
        <v>0</v>
      </c>
      <c r="AG39" s="133">
        <v>0</v>
      </c>
      <c r="AH39" s="133">
        <v>0</v>
      </c>
      <c r="AI39" s="133">
        <v>0</v>
      </c>
      <c r="AJ39" s="133">
        <v>0</v>
      </c>
      <c r="AK39" s="133">
        <v>0</v>
      </c>
      <c r="AL39" s="133">
        <v>0</v>
      </c>
      <c r="AM39" s="133">
        <v>0</v>
      </c>
      <c r="AN39" s="133">
        <v>0</v>
      </c>
      <c r="AO39" s="133">
        <v>0</v>
      </c>
      <c r="AP39" s="133">
        <v>0</v>
      </c>
      <c r="AQ39" s="133">
        <v>0</v>
      </c>
      <c r="AR39" s="133">
        <v>0</v>
      </c>
      <c r="AS39" s="133">
        <v>0</v>
      </c>
      <c r="AT39" s="133">
        <v>0</v>
      </c>
      <c r="AU39" s="133">
        <v>0</v>
      </c>
      <c r="AV39" s="133">
        <v>0</v>
      </c>
      <c r="AW39" s="133">
        <v>0</v>
      </c>
      <c r="AX39" s="133">
        <v>0</v>
      </c>
      <c r="AY39" s="133">
        <v>0</v>
      </c>
      <c r="AZ39" s="133">
        <v>0</v>
      </c>
      <c r="BA39" s="133">
        <v>0</v>
      </c>
      <c r="BB39" s="133">
        <v>0</v>
      </c>
      <c r="BC39" s="133">
        <v>0</v>
      </c>
      <c r="BD39" s="133">
        <v>0</v>
      </c>
      <c r="BE39" s="133">
        <v>0</v>
      </c>
      <c r="BF39" s="133">
        <v>0</v>
      </c>
      <c r="BG39" s="133">
        <v>0</v>
      </c>
      <c r="BH39" s="133">
        <v>0</v>
      </c>
      <c r="BI39" s="133">
        <v>0</v>
      </c>
      <c r="BJ39" s="133">
        <v>0</v>
      </c>
      <c r="BK39" s="133">
        <v>0</v>
      </c>
      <c r="BL39" s="133">
        <v>0</v>
      </c>
      <c r="BM39" s="133">
        <v>0</v>
      </c>
      <c r="BN39" s="133">
        <v>0</v>
      </c>
      <c r="BO39" s="133">
        <v>0</v>
      </c>
      <c r="BP39" s="133">
        <v>0</v>
      </c>
      <c r="BQ39" s="133">
        <v>0</v>
      </c>
      <c r="BR39" s="133">
        <v>0</v>
      </c>
      <c r="BS39" s="133">
        <v>0</v>
      </c>
      <c r="BT39" s="133">
        <v>0</v>
      </c>
      <c r="BU39" s="133">
        <v>0</v>
      </c>
      <c r="BV39" s="133">
        <v>0</v>
      </c>
      <c r="BW39" s="133">
        <v>0</v>
      </c>
      <c r="BX39" s="133">
        <v>0</v>
      </c>
      <c r="BY39" s="133">
        <v>0</v>
      </c>
      <c r="BZ39" s="133">
        <v>0</v>
      </c>
      <c r="CA39" s="133">
        <v>0</v>
      </c>
      <c r="CB39" s="133">
        <v>0</v>
      </c>
      <c r="CC39" s="133">
        <v>0</v>
      </c>
      <c r="CD39" s="133">
        <v>0</v>
      </c>
      <c r="CE39" s="133">
        <v>0</v>
      </c>
      <c r="CF39" s="133">
        <v>0</v>
      </c>
      <c r="CG39" s="133">
        <v>0</v>
      </c>
      <c r="CH39" s="133">
        <v>0</v>
      </c>
      <c r="CI39" s="133">
        <v>0</v>
      </c>
      <c r="CJ39" s="133">
        <v>0</v>
      </c>
      <c r="CK39" s="133">
        <v>0</v>
      </c>
      <c r="CL39" s="133">
        <v>0</v>
      </c>
      <c r="CM39" s="133">
        <v>0</v>
      </c>
      <c r="CN39" s="133">
        <v>0</v>
      </c>
      <c r="CO39" s="133">
        <v>0</v>
      </c>
      <c r="CP39" s="133">
        <v>0</v>
      </c>
      <c r="CQ39" s="133">
        <v>0</v>
      </c>
      <c r="CR39" s="133">
        <v>0</v>
      </c>
      <c r="CS39" s="133">
        <v>0</v>
      </c>
      <c r="CT39" s="133">
        <v>0</v>
      </c>
      <c r="CU39" s="133">
        <v>0</v>
      </c>
      <c r="CV39" s="133">
        <v>0</v>
      </c>
      <c r="CW39" s="133">
        <v>0</v>
      </c>
      <c r="CX39" s="133">
        <v>0</v>
      </c>
    </row>
    <row r="40" spans="1:102" ht="15" customHeight="1" x14ac:dyDescent="0.45">
      <c r="A40" s="129">
        <v>3.8</v>
      </c>
      <c r="B40" s="132">
        <v>1</v>
      </c>
      <c r="C40" s="133">
        <v>1</v>
      </c>
      <c r="D40" s="133">
        <v>1</v>
      </c>
      <c r="E40" s="133">
        <v>1</v>
      </c>
      <c r="F40" s="133">
        <v>1</v>
      </c>
      <c r="G40" s="133">
        <v>0.95</v>
      </c>
      <c r="H40" s="133">
        <v>0.85</v>
      </c>
      <c r="I40" s="133">
        <v>0.8</v>
      </c>
      <c r="J40" s="133">
        <v>0.7</v>
      </c>
      <c r="K40" s="133">
        <v>0.6</v>
      </c>
      <c r="L40" s="133">
        <v>0.5</v>
      </c>
      <c r="M40" s="133">
        <v>0.4</v>
      </c>
      <c r="N40" s="133">
        <v>0.3</v>
      </c>
      <c r="O40" s="133">
        <v>0.2</v>
      </c>
      <c r="P40" s="133">
        <v>0.1</v>
      </c>
      <c r="Q40" s="133">
        <v>0</v>
      </c>
      <c r="R40" s="133">
        <v>0</v>
      </c>
      <c r="S40" s="133">
        <v>0</v>
      </c>
      <c r="T40" s="133">
        <v>0</v>
      </c>
      <c r="U40" s="133">
        <v>0</v>
      </c>
      <c r="V40" s="133">
        <v>0</v>
      </c>
      <c r="W40" s="133">
        <v>0</v>
      </c>
      <c r="X40" s="133">
        <v>0</v>
      </c>
      <c r="Y40" s="133">
        <v>0</v>
      </c>
      <c r="Z40" s="133">
        <v>0</v>
      </c>
      <c r="AA40" s="133">
        <v>0</v>
      </c>
      <c r="AB40" s="133">
        <v>0</v>
      </c>
      <c r="AC40" s="133">
        <v>0</v>
      </c>
      <c r="AD40" s="133">
        <v>0</v>
      </c>
      <c r="AE40" s="133">
        <v>0</v>
      </c>
      <c r="AF40" s="133">
        <v>0</v>
      </c>
      <c r="AG40" s="133">
        <v>0</v>
      </c>
      <c r="AH40" s="133">
        <v>0</v>
      </c>
      <c r="AI40" s="133">
        <v>0</v>
      </c>
      <c r="AJ40" s="133">
        <v>0</v>
      </c>
      <c r="AK40" s="133">
        <v>0</v>
      </c>
      <c r="AL40" s="133">
        <v>0</v>
      </c>
      <c r="AM40" s="133">
        <v>0</v>
      </c>
      <c r="AN40" s="133">
        <v>0</v>
      </c>
      <c r="AO40" s="133">
        <v>0</v>
      </c>
      <c r="AP40" s="133">
        <v>0</v>
      </c>
      <c r="AQ40" s="133">
        <v>0</v>
      </c>
      <c r="AR40" s="133">
        <v>0</v>
      </c>
      <c r="AS40" s="133">
        <v>0</v>
      </c>
      <c r="AT40" s="133">
        <v>0</v>
      </c>
      <c r="AU40" s="133">
        <v>0</v>
      </c>
      <c r="AV40" s="133">
        <v>0</v>
      </c>
      <c r="AW40" s="133">
        <v>0</v>
      </c>
      <c r="AX40" s="133">
        <v>0</v>
      </c>
      <c r="AY40" s="133">
        <v>0</v>
      </c>
      <c r="AZ40" s="133">
        <v>0</v>
      </c>
      <c r="BA40" s="133">
        <v>0</v>
      </c>
      <c r="BB40" s="133">
        <v>0</v>
      </c>
      <c r="BC40" s="133">
        <v>0</v>
      </c>
      <c r="BD40" s="133">
        <v>0</v>
      </c>
      <c r="BE40" s="133">
        <v>0</v>
      </c>
      <c r="BF40" s="133">
        <v>0</v>
      </c>
      <c r="BG40" s="133">
        <v>0</v>
      </c>
      <c r="BH40" s="133">
        <v>0</v>
      </c>
      <c r="BI40" s="133">
        <v>0</v>
      </c>
      <c r="BJ40" s="133">
        <v>0</v>
      </c>
      <c r="BK40" s="133">
        <v>0</v>
      </c>
      <c r="BL40" s="133">
        <v>0</v>
      </c>
      <c r="BM40" s="133">
        <v>0</v>
      </c>
      <c r="BN40" s="133">
        <v>0</v>
      </c>
      <c r="BO40" s="133">
        <v>0</v>
      </c>
      <c r="BP40" s="133">
        <v>0</v>
      </c>
      <c r="BQ40" s="133">
        <v>0</v>
      </c>
      <c r="BR40" s="133">
        <v>0</v>
      </c>
      <c r="BS40" s="133">
        <v>0</v>
      </c>
      <c r="BT40" s="133">
        <v>0</v>
      </c>
      <c r="BU40" s="133">
        <v>0</v>
      </c>
      <c r="BV40" s="133">
        <v>0</v>
      </c>
      <c r="BW40" s="133">
        <v>0</v>
      </c>
      <c r="BX40" s="133">
        <v>0</v>
      </c>
      <c r="BY40" s="133">
        <v>0</v>
      </c>
      <c r="BZ40" s="133">
        <v>0</v>
      </c>
      <c r="CA40" s="133">
        <v>0</v>
      </c>
      <c r="CB40" s="133">
        <v>0</v>
      </c>
      <c r="CC40" s="133">
        <v>0</v>
      </c>
      <c r="CD40" s="133">
        <v>0</v>
      </c>
      <c r="CE40" s="133">
        <v>0</v>
      </c>
      <c r="CF40" s="133">
        <v>0</v>
      </c>
      <c r="CG40" s="133">
        <v>0</v>
      </c>
      <c r="CH40" s="133">
        <v>0</v>
      </c>
      <c r="CI40" s="133">
        <v>0</v>
      </c>
      <c r="CJ40" s="133">
        <v>0</v>
      </c>
      <c r="CK40" s="133">
        <v>0</v>
      </c>
      <c r="CL40" s="133">
        <v>0</v>
      </c>
      <c r="CM40" s="133">
        <v>0</v>
      </c>
      <c r="CN40" s="133">
        <v>0</v>
      </c>
      <c r="CO40" s="133">
        <v>0</v>
      </c>
      <c r="CP40" s="133">
        <v>0</v>
      </c>
      <c r="CQ40" s="133">
        <v>0</v>
      </c>
      <c r="CR40" s="133">
        <v>0</v>
      </c>
      <c r="CS40" s="133">
        <v>0</v>
      </c>
      <c r="CT40" s="133">
        <v>0</v>
      </c>
      <c r="CU40" s="133">
        <v>0</v>
      </c>
      <c r="CV40" s="133">
        <v>0</v>
      </c>
      <c r="CW40" s="133">
        <v>0</v>
      </c>
      <c r="CX40" s="133">
        <v>0</v>
      </c>
    </row>
    <row r="41" spans="1:102" ht="15" customHeight="1" x14ac:dyDescent="0.45">
      <c r="A41" s="129">
        <v>3.9</v>
      </c>
      <c r="B41" s="132">
        <v>1</v>
      </c>
      <c r="C41" s="133">
        <v>1</v>
      </c>
      <c r="D41" s="133">
        <v>1</v>
      </c>
      <c r="E41" s="133">
        <v>1</v>
      </c>
      <c r="F41" s="133">
        <v>1</v>
      </c>
      <c r="G41" s="133">
        <v>0.95</v>
      </c>
      <c r="H41" s="133">
        <v>0.85</v>
      </c>
      <c r="I41" s="133">
        <v>0.8</v>
      </c>
      <c r="J41" s="133">
        <v>0.7</v>
      </c>
      <c r="K41" s="133">
        <v>0.6</v>
      </c>
      <c r="L41" s="133">
        <v>0.5</v>
      </c>
      <c r="M41" s="133">
        <v>0.4</v>
      </c>
      <c r="N41" s="133">
        <v>0.3</v>
      </c>
      <c r="O41" s="133">
        <v>0.2</v>
      </c>
      <c r="P41" s="133">
        <v>0.1</v>
      </c>
      <c r="Q41" s="133">
        <v>0</v>
      </c>
      <c r="R41" s="133">
        <v>0</v>
      </c>
      <c r="S41" s="133">
        <v>0</v>
      </c>
      <c r="T41" s="133">
        <v>0</v>
      </c>
      <c r="U41" s="133">
        <v>0</v>
      </c>
      <c r="V41" s="133">
        <v>0</v>
      </c>
      <c r="W41" s="133">
        <v>0</v>
      </c>
      <c r="X41" s="133">
        <v>0</v>
      </c>
      <c r="Y41" s="133">
        <v>0</v>
      </c>
      <c r="Z41" s="133">
        <v>0</v>
      </c>
      <c r="AA41" s="133">
        <v>0</v>
      </c>
      <c r="AB41" s="133">
        <v>0</v>
      </c>
      <c r="AC41" s="133">
        <v>0</v>
      </c>
      <c r="AD41" s="133">
        <v>0</v>
      </c>
      <c r="AE41" s="133">
        <v>0</v>
      </c>
      <c r="AF41" s="133">
        <v>0</v>
      </c>
      <c r="AG41" s="133">
        <v>0</v>
      </c>
      <c r="AH41" s="133">
        <v>0</v>
      </c>
      <c r="AI41" s="133">
        <v>0</v>
      </c>
      <c r="AJ41" s="133">
        <v>0</v>
      </c>
      <c r="AK41" s="133">
        <v>0</v>
      </c>
      <c r="AL41" s="133">
        <v>0</v>
      </c>
      <c r="AM41" s="133">
        <v>0</v>
      </c>
      <c r="AN41" s="133">
        <v>0</v>
      </c>
      <c r="AO41" s="133">
        <v>0</v>
      </c>
      <c r="AP41" s="133">
        <v>0</v>
      </c>
      <c r="AQ41" s="133">
        <v>0</v>
      </c>
      <c r="AR41" s="133">
        <v>0</v>
      </c>
      <c r="AS41" s="133">
        <v>0</v>
      </c>
      <c r="AT41" s="133">
        <v>0</v>
      </c>
      <c r="AU41" s="133">
        <v>0</v>
      </c>
      <c r="AV41" s="133">
        <v>0</v>
      </c>
      <c r="AW41" s="133">
        <v>0</v>
      </c>
      <c r="AX41" s="133">
        <v>0</v>
      </c>
      <c r="AY41" s="133">
        <v>0</v>
      </c>
      <c r="AZ41" s="133">
        <v>0</v>
      </c>
      <c r="BA41" s="133">
        <v>0</v>
      </c>
      <c r="BB41" s="133">
        <v>0</v>
      </c>
      <c r="BC41" s="133">
        <v>0</v>
      </c>
      <c r="BD41" s="133">
        <v>0</v>
      </c>
      <c r="BE41" s="133">
        <v>0</v>
      </c>
      <c r="BF41" s="133">
        <v>0</v>
      </c>
      <c r="BG41" s="133">
        <v>0</v>
      </c>
      <c r="BH41" s="133">
        <v>0</v>
      </c>
      <c r="BI41" s="133">
        <v>0</v>
      </c>
      <c r="BJ41" s="133">
        <v>0</v>
      </c>
      <c r="BK41" s="133">
        <v>0</v>
      </c>
      <c r="BL41" s="133">
        <v>0</v>
      </c>
      <c r="BM41" s="133">
        <v>0</v>
      </c>
      <c r="BN41" s="133">
        <v>0</v>
      </c>
      <c r="BO41" s="133">
        <v>0</v>
      </c>
      <c r="BP41" s="133">
        <v>0</v>
      </c>
      <c r="BQ41" s="133">
        <v>0</v>
      </c>
      <c r="BR41" s="133">
        <v>0</v>
      </c>
      <c r="BS41" s="133">
        <v>0</v>
      </c>
      <c r="BT41" s="133">
        <v>0</v>
      </c>
      <c r="BU41" s="133">
        <v>0</v>
      </c>
      <c r="BV41" s="133">
        <v>0</v>
      </c>
      <c r="BW41" s="133">
        <v>0</v>
      </c>
      <c r="BX41" s="133">
        <v>0</v>
      </c>
      <c r="BY41" s="133">
        <v>0</v>
      </c>
      <c r="BZ41" s="133">
        <v>0</v>
      </c>
      <c r="CA41" s="133">
        <v>0</v>
      </c>
      <c r="CB41" s="133">
        <v>0</v>
      </c>
      <c r="CC41" s="133">
        <v>0</v>
      </c>
      <c r="CD41" s="133">
        <v>0</v>
      </c>
      <c r="CE41" s="133">
        <v>0</v>
      </c>
      <c r="CF41" s="133">
        <v>0</v>
      </c>
      <c r="CG41" s="133">
        <v>0</v>
      </c>
      <c r="CH41" s="133">
        <v>0</v>
      </c>
      <c r="CI41" s="133">
        <v>0</v>
      </c>
      <c r="CJ41" s="133">
        <v>0</v>
      </c>
      <c r="CK41" s="133">
        <v>0</v>
      </c>
      <c r="CL41" s="133">
        <v>0</v>
      </c>
      <c r="CM41" s="133">
        <v>0</v>
      </c>
      <c r="CN41" s="133">
        <v>0</v>
      </c>
      <c r="CO41" s="133">
        <v>0</v>
      </c>
      <c r="CP41" s="133">
        <v>0</v>
      </c>
      <c r="CQ41" s="133">
        <v>0</v>
      </c>
      <c r="CR41" s="133">
        <v>0</v>
      </c>
      <c r="CS41" s="133">
        <v>0</v>
      </c>
      <c r="CT41" s="133">
        <v>0</v>
      </c>
      <c r="CU41" s="133">
        <v>0</v>
      </c>
      <c r="CV41" s="133">
        <v>0</v>
      </c>
      <c r="CW41" s="133">
        <v>0</v>
      </c>
      <c r="CX41" s="133">
        <v>0</v>
      </c>
    </row>
    <row r="42" spans="1:102" ht="15" customHeight="1" x14ac:dyDescent="0.45">
      <c r="A42" s="129">
        <v>4</v>
      </c>
      <c r="B42" s="132">
        <v>1</v>
      </c>
      <c r="C42" s="133">
        <v>1</v>
      </c>
      <c r="D42" s="133">
        <v>1</v>
      </c>
      <c r="E42" s="133">
        <v>1</v>
      </c>
      <c r="F42" s="133">
        <v>1</v>
      </c>
      <c r="G42" s="133">
        <v>0.95</v>
      </c>
      <c r="H42" s="133">
        <v>0.85</v>
      </c>
      <c r="I42" s="133">
        <v>0.8</v>
      </c>
      <c r="J42" s="133">
        <v>0.7</v>
      </c>
      <c r="K42" s="133">
        <v>0.6</v>
      </c>
      <c r="L42" s="133">
        <v>0.5</v>
      </c>
      <c r="M42" s="133">
        <v>0.4</v>
      </c>
      <c r="N42" s="133">
        <v>0.3</v>
      </c>
      <c r="O42" s="133">
        <v>0.2</v>
      </c>
      <c r="P42" s="133">
        <v>0.1</v>
      </c>
      <c r="Q42" s="133">
        <v>0</v>
      </c>
      <c r="R42" s="133">
        <v>0</v>
      </c>
      <c r="S42" s="133">
        <v>0</v>
      </c>
      <c r="T42" s="133">
        <v>0</v>
      </c>
      <c r="U42" s="133">
        <v>0</v>
      </c>
      <c r="V42" s="133">
        <v>0</v>
      </c>
      <c r="W42" s="133">
        <v>0</v>
      </c>
      <c r="X42" s="133">
        <v>0</v>
      </c>
      <c r="Y42" s="133">
        <v>0</v>
      </c>
      <c r="Z42" s="133">
        <v>0</v>
      </c>
      <c r="AA42" s="133">
        <v>0</v>
      </c>
      <c r="AB42" s="133">
        <v>0</v>
      </c>
      <c r="AC42" s="133">
        <v>0</v>
      </c>
      <c r="AD42" s="133">
        <v>0</v>
      </c>
      <c r="AE42" s="133">
        <v>0</v>
      </c>
      <c r="AF42" s="133">
        <v>0</v>
      </c>
      <c r="AG42" s="133">
        <v>0</v>
      </c>
      <c r="AH42" s="133">
        <v>0</v>
      </c>
      <c r="AI42" s="133">
        <v>0</v>
      </c>
      <c r="AJ42" s="133">
        <v>0</v>
      </c>
      <c r="AK42" s="133">
        <v>0</v>
      </c>
      <c r="AL42" s="133">
        <v>0</v>
      </c>
      <c r="AM42" s="133">
        <v>0</v>
      </c>
      <c r="AN42" s="133">
        <v>0</v>
      </c>
      <c r="AO42" s="133">
        <v>0</v>
      </c>
      <c r="AP42" s="133">
        <v>0</v>
      </c>
      <c r="AQ42" s="133">
        <v>0</v>
      </c>
      <c r="AR42" s="133">
        <v>0</v>
      </c>
      <c r="AS42" s="133">
        <v>0</v>
      </c>
      <c r="AT42" s="133">
        <v>0</v>
      </c>
      <c r="AU42" s="133">
        <v>0</v>
      </c>
      <c r="AV42" s="133">
        <v>0</v>
      </c>
      <c r="AW42" s="133">
        <v>0</v>
      </c>
      <c r="AX42" s="133">
        <v>0</v>
      </c>
      <c r="AY42" s="133">
        <v>0</v>
      </c>
      <c r="AZ42" s="133">
        <v>0</v>
      </c>
      <c r="BA42" s="133">
        <v>0</v>
      </c>
      <c r="BB42" s="133">
        <v>0</v>
      </c>
      <c r="BC42" s="133">
        <v>0</v>
      </c>
      <c r="BD42" s="133">
        <v>0</v>
      </c>
      <c r="BE42" s="133">
        <v>0</v>
      </c>
      <c r="BF42" s="133">
        <v>0</v>
      </c>
      <c r="BG42" s="133">
        <v>0</v>
      </c>
      <c r="BH42" s="133">
        <v>0</v>
      </c>
      <c r="BI42" s="133">
        <v>0</v>
      </c>
      <c r="BJ42" s="133">
        <v>0</v>
      </c>
      <c r="BK42" s="133">
        <v>0</v>
      </c>
      <c r="BL42" s="133">
        <v>0</v>
      </c>
      <c r="BM42" s="133">
        <v>0</v>
      </c>
      <c r="BN42" s="133">
        <v>0</v>
      </c>
      <c r="BO42" s="133">
        <v>0</v>
      </c>
      <c r="BP42" s="133">
        <v>0</v>
      </c>
      <c r="BQ42" s="133">
        <v>0</v>
      </c>
      <c r="BR42" s="133">
        <v>0</v>
      </c>
      <c r="BS42" s="133">
        <v>0</v>
      </c>
      <c r="BT42" s="133">
        <v>0</v>
      </c>
      <c r="BU42" s="133">
        <v>0</v>
      </c>
      <c r="BV42" s="133">
        <v>0</v>
      </c>
      <c r="BW42" s="133">
        <v>0</v>
      </c>
      <c r="BX42" s="133">
        <v>0</v>
      </c>
      <c r="BY42" s="133">
        <v>0</v>
      </c>
      <c r="BZ42" s="133">
        <v>0</v>
      </c>
      <c r="CA42" s="133">
        <v>0</v>
      </c>
      <c r="CB42" s="133">
        <v>0</v>
      </c>
      <c r="CC42" s="133">
        <v>0</v>
      </c>
      <c r="CD42" s="133">
        <v>0</v>
      </c>
      <c r="CE42" s="133">
        <v>0</v>
      </c>
      <c r="CF42" s="133">
        <v>0</v>
      </c>
      <c r="CG42" s="133">
        <v>0</v>
      </c>
      <c r="CH42" s="133">
        <v>0</v>
      </c>
      <c r="CI42" s="133">
        <v>0</v>
      </c>
      <c r="CJ42" s="133">
        <v>0</v>
      </c>
      <c r="CK42" s="133">
        <v>0</v>
      </c>
      <c r="CL42" s="133">
        <v>0</v>
      </c>
      <c r="CM42" s="133">
        <v>0</v>
      </c>
      <c r="CN42" s="133">
        <v>0</v>
      </c>
      <c r="CO42" s="133">
        <v>0</v>
      </c>
      <c r="CP42" s="133">
        <v>0</v>
      </c>
      <c r="CQ42" s="133">
        <v>0</v>
      </c>
      <c r="CR42" s="133">
        <v>0</v>
      </c>
      <c r="CS42" s="133">
        <v>0</v>
      </c>
      <c r="CT42" s="133">
        <v>0</v>
      </c>
      <c r="CU42" s="133">
        <v>0</v>
      </c>
      <c r="CV42" s="133">
        <v>0</v>
      </c>
      <c r="CW42" s="133">
        <v>0</v>
      </c>
      <c r="CX42" s="133">
        <v>0</v>
      </c>
    </row>
    <row r="43" spans="1:102" ht="15" customHeight="1" x14ac:dyDescent="0.45">
      <c r="A43" s="129">
        <v>4.0999999999999996</v>
      </c>
      <c r="B43" s="132">
        <v>1</v>
      </c>
      <c r="C43" s="133">
        <v>1</v>
      </c>
      <c r="D43" s="133">
        <v>1</v>
      </c>
      <c r="E43" s="133">
        <v>1</v>
      </c>
      <c r="F43" s="133">
        <v>1</v>
      </c>
      <c r="G43" s="133">
        <v>0.95</v>
      </c>
      <c r="H43" s="133">
        <v>0.85</v>
      </c>
      <c r="I43" s="133">
        <v>0.8</v>
      </c>
      <c r="J43" s="133">
        <v>0.7</v>
      </c>
      <c r="K43" s="133">
        <v>0.6</v>
      </c>
      <c r="L43" s="133">
        <v>0.5</v>
      </c>
      <c r="M43" s="133">
        <v>0.4</v>
      </c>
      <c r="N43" s="133">
        <v>0.3</v>
      </c>
      <c r="O43" s="133">
        <v>0.2</v>
      </c>
      <c r="P43" s="133">
        <v>0.1</v>
      </c>
      <c r="Q43" s="133">
        <v>0</v>
      </c>
      <c r="R43" s="133">
        <v>0</v>
      </c>
      <c r="S43" s="133">
        <v>0</v>
      </c>
      <c r="T43" s="133">
        <v>0</v>
      </c>
      <c r="U43" s="133">
        <v>0</v>
      </c>
      <c r="V43" s="133">
        <v>0</v>
      </c>
      <c r="W43" s="133">
        <v>0</v>
      </c>
      <c r="X43" s="133">
        <v>0</v>
      </c>
      <c r="Y43" s="133">
        <v>0</v>
      </c>
      <c r="Z43" s="133">
        <v>0</v>
      </c>
      <c r="AA43" s="133">
        <v>0</v>
      </c>
      <c r="AB43" s="133">
        <v>0</v>
      </c>
      <c r="AC43" s="133">
        <v>0</v>
      </c>
      <c r="AD43" s="133">
        <v>0</v>
      </c>
      <c r="AE43" s="133">
        <v>0</v>
      </c>
      <c r="AF43" s="133">
        <v>0</v>
      </c>
      <c r="AG43" s="133">
        <v>0</v>
      </c>
      <c r="AH43" s="133">
        <v>0</v>
      </c>
      <c r="AI43" s="133">
        <v>0</v>
      </c>
      <c r="AJ43" s="133">
        <v>0</v>
      </c>
      <c r="AK43" s="133">
        <v>0</v>
      </c>
      <c r="AL43" s="133">
        <v>0</v>
      </c>
      <c r="AM43" s="133">
        <v>0</v>
      </c>
      <c r="AN43" s="133">
        <v>0</v>
      </c>
      <c r="AO43" s="133">
        <v>0</v>
      </c>
      <c r="AP43" s="133">
        <v>0</v>
      </c>
      <c r="AQ43" s="133">
        <v>0</v>
      </c>
      <c r="AR43" s="133">
        <v>0</v>
      </c>
      <c r="AS43" s="133">
        <v>0</v>
      </c>
      <c r="AT43" s="133">
        <v>0</v>
      </c>
      <c r="AU43" s="133">
        <v>0</v>
      </c>
      <c r="AV43" s="133">
        <v>0</v>
      </c>
      <c r="AW43" s="133">
        <v>0</v>
      </c>
      <c r="AX43" s="133">
        <v>0</v>
      </c>
      <c r="AY43" s="133">
        <v>0</v>
      </c>
      <c r="AZ43" s="133">
        <v>0</v>
      </c>
      <c r="BA43" s="133">
        <v>0</v>
      </c>
      <c r="BB43" s="133">
        <v>0</v>
      </c>
      <c r="BC43" s="133">
        <v>0</v>
      </c>
      <c r="BD43" s="133">
        <v>0</v>
      </c>
      <c r="BE43" s="133">
        <v>0</v>
      </c>
      <c r="BF43" s="133">
        <v>0</v>
      </c>
      <c r="BG43" s="133">
        <v>0</v>
      </c>
      <c r="BH43" s="133">
        <v>0</v>
      </c>
      <c r="BI43" s="133">
        <v>0</v>
      </c>
      <c r="BJ43" s="133">
        <v>0</v>
      </c>
      <c r="BK43" s="133">
        <v>0</v>
      </c>
      <c r="BL43" s="133">
        <v>0</v>
      </c>
      <c r="BM43" s="133">
        <v>0</v>
      </c>
      <c r="BN43" s="133">
        <v>0</v>
      </c>
      <c r="BO43" s="133">
        <v>0</v>
      </c>
      <c r="BP43" s="133">
        <v>0</v>
      </c>
      <c r="BQ43" s="133">
        <v>0</v>
      </c>
      <c r="BR43" s="133">
        <v>0</v>
      </c>
      <c r="BS43" s="133">
        <v>0</v>
      </c>
      <c r="BT43" s="133">
        <v>0</v>
      </c>
      <c r="BU43" s="133">
        <v>0</v>
      </c>
      <c r="BV43" s="133">
        <v>0</v>
      </c>
      <c r="BW43" s="133">
        <v>0</v>
      </c>
      <c r="BX43" s="133">
        <v>0</v>
      </c>
      <c r="BY43" s="133">
        <v>0</v>
      </c>
      <c r="BZ43" s="133">
        <v>0</v>
      </c>
      <c r="CA43" s="133">
        <v>0</v>
      </c>
      <c r="CB43" s="133">
        <v>0</v>
      </c>
      <c r="CC43" s="133">
        <v>0</v>
      </c>
      <c r="CD43" s="133">
        <v>0</v>
      </c>
      <c r="CE43" s="133">
        <v>0</v>
      </c>
      <c r="CF43" s="133">
        <v>0</v>
      </c>
      <c r="CG43" s="133">
        <v>0</v>
      </c>
      <c r="CH43" s="133">
        <v>0</v>
      </c>
      <c r="CI43" s="133">
        <v>0</v>
      </c>
      <c r="CJ43" s="133">
        <v>0</v>
      </c>
      <c r="CK43" s="133">
        <v>0</v>
      </c>
      <c r="CL43" s="133">
        <v>0</v>
      </c>
      <c r="CM43" s="133">
        <v>0</v>
      </c>
      <c r="CN43" s="133">
        <v>0</v>
      </c>
      <c r="CO43" s="133">
        <v>0</v>
      </c>
      <c r="CP43" s="133">
        <v>0</v>
      </c>
      <c r="CQ43" s="133">
        <v>0</v>
      </c>
      <c r="CR43" s="133">
        <v>0</v>
      </c>
      <c r="CS43" s="133">
        <v>0</v>
      </c>
      <c r="CT43" s="133">
        <v>0</v>
      </c>
      <c r="CU43" s="133">
        <v>0</v>
      </c>
      <c r="CV43" s="133">
        <v>0</v>
      </c>
      <c r="CW43" s="133">
        <v>0</v>
      </c>
      <c r="CX43" s="133">
        <v>0</v>
      </c>
    </row>
    <row r="44" spans="1:102" ht="15" customHeight="1" x14ac:dyDescent="0.45">
      <c r="A44" s="129">
        <v>4.2</v>
      </c>
      <c r="B44" s="132">
        <v>1</v>
      </c>
      <c r="C44" s="133">
        <v>1</v>
      </c>
      <c r="D44" s="133">
        <v>1</v>
      </c>
      <c r="E44" s="133">
        <v>1</v>
      </c>
      <c r="F44" s="133">
        <v>1</v>
      </c>
      <c r="G44" s="133">
        <v>0.95</v>
      </c>
      <c r="H44" s="133">
        <v>0.85</v>
      </c>
      <c r="I44" s="133">
        <v>0.8</v>
      </c>
      <c r="J44" s="133">
        <v>0.7</v>
      </c>
      <c r="K44" s="133">
        <v>0.6</v>
      </c>
      <c r="L44" s="133">
        <v>0.5</v>
      </c>
      <c r="M44" s="133">
        <v>0.4</v>
      </c>
      <c r="N44" s="133">
        <v>0.3</v>
      </c>
      <c r="O44" s="133">
        <v>0.2</v>
      </c>
      <c r="P44" s="133">
        <v>0.1</v>
      </c>
      <c r="Q44" s="133">
        <v>0</v>
      </c>
      <c r="R44" s="133">
        <v>0</v>
      </c>
      <c r="S44" s="133">
        <v>0</v>
      </c>
      <c r="T44" s="133">
        <v>0</v>
      </c>
      <c r="U44" s="133">
        <v>0</v>
      </c>
      <c r="V44" s="133">
        <v>0</v>
      </c>
      <c r="W44" s="133">
        <v>0</v>
      </c>
      <c r="X44" s="133">
        <v>0</v>
      </c>
      <c r="Y44" s="133">
        <v>0</v>
      </c>
      <c r="Z44" s="133">
        <v>0</v>
      </c>
      <c r="AA44" s="133">
        <v>0</v>
      </c>
      <c r="AB44" s="133">
        <v>0</v>
      </c>
      <c r="AC44" s="133">
        <v>0</v>
      </c>
      <c r="AD44" s="133">
        <v>0</v>
      </c>
      <c r="AE44" s="133">
        <v>0</v>
      </c>
      <c r="AF44" s="133">
        <v>0</v>
      </c>
      <c r="AG44" s="133">
        <v>0</v>
      </c>
      <c r="AH44" s="133">
        <v>0</v>
      </c>
      <c r="AI44" s="133">
        <v>0</v>
      </c>
      <c r="AJ44" s="133">
        <v>0</v>
      </c>
      <c r="AK44" s="133">
        <v>0</v>
      </c>
      <c r="AL44" s="133">
        <v>0</v>
      </c>
      <c r="AM44" s="133">
        <v>0</v>
      </c>
      <c r="AN44" s="133">
        <v>0</v>
      </c>
      <c r="AO44" s="133">
        <v>0</v>
      </c>
      <c r="AP44" s="133">
        <v>0</v>
      </c>
      <c r="AQ44" s="133">
        <v>0</v>
      </c>
      <c r="AR44" s="133">
        <v>0</v>
      </c>
      <c r="AS44" s="133">
        <v>0</v>
      </c>
      <c r="AT44" s="133">
        <v>0</v>
      </c>
      <c r="AU44" s="133">
        <v>0</v>
      </c>
      <c r="AV44" s="133">
        <v>0</v>
      </c>
      <c r="AW44" s="133">
        <v>0</v>
      </c>
      <c r="AX44" s="133">
        <v>0</v>
      </c>
      <c r="AY44" s="133">
        <v>0</v>
      </c>
      <c r="AZ44" s="133">
        <v>0</v>
      </c>
      <c r="BA44" s="133">
        <v>0</v>
      </c>
      <c r="BB44" s="133">
        <v>0</v>
      </c>
      <c r="BC44" s="133">
        <v>0</v>
      </c>
      <c r="BD44" s="133">
        <v>0</v>
      </c>
      <c r="BE44" s="133">
        <v>0</v>
      </c>
      <c r="BF44" s="133">
        <v>0</v>
      </c>
      <c r="BG44" s="133">
        <v>0</v>
      </c>
      <c r="BH44" s="133">
        <v>0</v>
      </c>
      <c r="BI44" s="133">
        <v>0</v>
      </c>
      <c r="BJ44" s="133">
        <v>0</v>
      </c>
      <c r="BK44" s="133">
        <v>0</v>
      </c>
      <c r="BL44" s="133">
        <v>0</v>
      </c>
      <c r="BM44" s="133">
        <v>0</v>
      </c>
      <c r="BN44" s="133">
        <v>0</v>
      </c>
      <c r="BO44" s="133">
        <v>0</v>
      </c>
      <c r="BP44" s="133">
        <v>0</v>
      </c>
      <c r="BQ44" s="133">
        <v>0</v>
      </c>
      <c r="BR44" s="133">
        <v>0</v>
      </c>
      <c r="BS44" s="133">
        <v>0</v>
      </c>
      <c r="BT44" s="133">
        <v>0</v>
      </c>
      <c r="BU44" s="133">
        <v>0</v>
      </c>
      <c r="BV44" s="133">
        <v>0</v>
      </c>
      <c r="BW44" s="133">
        <v>0</v>
      </c>
      <c r="BX44" s="133">
        <v>0</v>
      </c>
      <c r="BY44" s="133">
        <v>0</v>
      </c>
      <c r="BZ44" s="133">
        <v>0</v>
      </c>
      <c r="CA44" s="133">
        <v>0</v>
      </c>
      <c r="CB44" s="133">
        <v>0</v>
      </c>
      <c r="CC44" s="133">
        <v>0</v>
      </c>
      <c r="CD44" s="133">
        <v>0</v>
      </c>
      <c r="CE44" s="133">
        <v>0</v>
      </c>
      <c r="CF44" s="133">
        <v>0</v>
      </c>
      <c r="CG44" s="133">
        <v>0</v>
      </c>
      <c r="CH44" s="133">
        <v>0</v>
      </c>
      <c r="CI44" s="133">
        <v>0</v>
      </c>
      <c r="CJ44" s="133">
        <v>0</v>
      </c>
      <c r="CK44" s="133">
        <v>0</v>
      </c>
      <c r="CL44" s="133">
        <v>0</v>
      </c>
      <c r="CM44" s="133">
        <v>0</v>
      </c>
      <c r="CN44" s="133">
        <v>0</v>
      </c>
      <c r="CO44" s="133">
        <v>0</v>
      </c>
      <c r="CP44" s="133">
        <v>0</v>
      </c>
      <c r="CQ44" s="133">
        <v>0</v>
      </c>
      <c r="CR44" s="133">
        <v>0</v>
      </c>
      <c r="CS44" s="133">
        <v>0</v>
      </c>
      <c r="CT44" s="133">
        <v>0</v>
      </c>
      <c r="CU44" s="133">
        <v>0</v>
      </c>
      <c r="CV44" s="133">
        <v>0</v>
      </c>
      <c r="CW44" s="133">
        <v>0</v>
      </c>
      <c r="CX44" s="133">
        <v>0</v>
      </c>
    </row>
    <row r="45" spans="1:102" ht="15" customHeight="1" x14ac:dyDescent="0.45">
      <c r="A45" s="129">
        <v>4.3</v>
      </c>
      <c r="B45" s="132">
        <v>1</v>
      </c>
      <c r="C45" s="133">
        <v>1</v>
      </c>
      <c r="D45" s="133">
        <v>1</v>
      </c>
      <c r="E45" s="133">
        <v>1</v>
      </c>
      <c r="F45" s="133">
        <v>1</v>
      </c>
      <c r="G45" s="133">
        <v>0.95</v>
      </c>
      <c r="H45" s="133">
        <v>0.85</v>
      </c>
      <c r="I45" s="133">
        <v>0.8</v>
      </c>
      <c r="J45" s="133">
        <v>0.7</v>
      </c>
      <c r="K45" s="133">
        <v>0.6</v>
      </c>
      <c r="L45" s="133">
        <v>0.5</v>
      </c>
      <c r="M45" s="133">
        <v>0.4</v>
      </c>
      <c r="N45" s="133">
        <v>0.3</v>
      </c>
      <c r="O45" s="133">
        <v>0.2</v>
      </c>
      <c r="P45" s="133">
        <v>0.1</v>
      </c>
      <c r="Q45" s="133">
        <v>0</v>
      </c>
      <c r="R45" s="133">
        <v>0</v>
      </c>
      <c r="S45" s="133">
        <v>0</v>
      </c>
      <c r="T45" s="133">
        <v>0</v>
      </c>
      <c r="U45" s="133">
        <v>0</v>
      </c>
      <c r="V45" s="133">
        <v>0</v>
      </c>
      <c r="W45" s="133">
        <v>0</v>
      </c>
      <c r="X45" s="133">
        <v>0</v>
      </c>
      <c r="Y45" s="133">
        <v>0</v>
      </c>
      <c r="Z45" s="133">
        <v>0</v>
      </c>
      <c r="AA45" s="133">
        <v>0</v>
      </c>
      <c r="AB45" s="133">
        <v>0</v>
      </c>
      <c r="AC45" s="133">
        <v>0</v>
      </c>
      <c r="AD45" s="133">
        <v>0</v>
      </c>
      <c r="AE45" s="133">
        <v>0</v>
      </c>
      <c r="AF45" s="133">
        <v>0</v>
      </c>
      <c r="AG45" s="133">
        <v>0</v>
      </c>
      <c r="AH45" s="133">
        <v>0</v>
      </c>
      <c r="AI45" s="133">
        <v>0</v>
      </c>
      <c r="AJ45" s="133">
        <v>0</v>
      </c>
      <c r="AK45" s="133">
        <v>0</v>
      </c>
      <c r="AL45" s="133">
        <v>0</v>
      </c>
      <c r="AM45" s="133">
        <v>0</v>
      </c>
      <c r="AN45" s="133">
        <v>0</v>
      </c>
      <c r="AO45" s="133">
        <v>0</v>
      </c>
      <c r="AP45" s="133">
        <v>0</v>
      </c>
      <c r="AQ45" s="133">
        <v>0</v>
      </c>
      <c r="AR45" s="133">
        <v>0</v>
      </c>
      <c r="AS45" s="133">
        <v>0</v>
      </c>
      <c r="AT45" s="133">
        <v>0</v>
      </c>
      <c r="AU45" s="133">
        <v>0</v>
      </c>
      <c r="AV45" s="133">
        <v>0</v>
      </c>
      <c r="AW45" s="133">
        <v>0</v>
      </c>
      <c r="AX45" s="133">
        <v>0</v>
      </c>
      <c r="AY45" s="133">
        <v>0</v>
      </c>
      <c r="AZ45" s="133">
        <v>0</v>
      </c>
      <c r="BA45" s="133">
        <v>0</v>
      </c>
      <c r="BB45" s="133">
        <v>0</v>
      </c>
      <c r="BC45" s="133">
        <v>0</v>
      </c>
      <c r="BD45" s="133">
        <v>0</v>
      </c>
      <c r="BE45" s="133">
        <v>0</v>
      </c>
      <c r="BF45" s="133">
        <v>0</v>
      </c>
      <c r="BG45" s="133">
        <v>0</v>
      </c>
      <c r="BH45" s="133">
        <v>0</v>
      </c>
      <c r="BI45" s="133">
        <v>0</v>
      </c>
      <c r="BJ45" s="133">
        <v>0</v>
      </c>
      <c r="BK45" s="133">
        <v>0</v>
      </c>
      <c r="BL45" s="133">
        <v>0</v>
      </c>
      <c r="BM45" s="133">
        <v>0</v>
      </c>
      <c r="BN45" s="133">
        <v>0</v>
      </c>
      <c r="BO45" s="133">
        <v>0</v>
      </c>
      <c r="BP45" s="133">
        <v>0</v>
      </c>
      <c r="BQ45" s="133">
        <v>0</v>
      </c>
      <c r="BR45" s="133">
        <v>0</v>
      </c>
      <c r="BS45" s="133">
        <v>0</v>
      </c>
      <c r="BT45" s="133">
        <v>0</v>
      </c>
      <c r="BU45" s="133">
        <v>0</v>
      </c>
      <c r="BV45" s="133">
        <v>0</v>
      </c>
      <c r="BW45" s="133">
        <v>0</v>
      </c>
      <c r="BX45" s="133">
        <v>0</v>
      </c>
      <c r="BY45" s="133">
        <v>0</v>
      </c>
      <c r="BZ45" s="133">
        <v>0</v>
      </c>
      <c r="CA45" s="133">
        <v>0</v>
      </c>
      <c r="CB45" s="133">
        <v>0</v>
      </c>
      <c r="CC45" s="133">
        <v>0</v>
      </c>
      <c r="CD45" s="133">
        <v>0</v>
      </c>
      <c r="CE45" s="133">
        <v>0</v>
      </c>
      <c r="CF45" s="133">
        <v>0</v>
      </c>
      <c r="CG45" s="133">
        <v>0</v>
      </c>
      <c r="CH45" s="133">
        <v>0</v>
      </c>
      <c r="CI45" s="133">
        <v>0</v>
      </c>
      <c r="CJ45" s="133">
        <v>0</v>
      </c>
      <c r="CK45" s="133">
        <v>0</v>
      </c>
      <c r="CL45" s="133">
        <v>0</v>
      </c>
      <c r="CM45" s="133">
        <v>0</v>
      </c>
      <c r="CN45" s="133">
        <v>0</v>
      </c>
      <c r="CO45" s="133">
        <v>0</v>
      </c>
      <c r="CP45" s="133">
        <v>0</v>
      </c>
      <c r="CQ45" s="133">
        <v>0</v>
      </c>
      <c r="CR45" s="133">
        <v>0</v>
      </c>
      <c r="CS45" s="133">
        <v>0</v>
      </c>
      <c r="CT45" s="133">
        <v>0</v>
      </c>
      <c r="CU45" s="133">
        <v>0</v>
      </c>
      <c r="CV45" s="133">
        <v>0</v>
      </c>
      <c r="CW45" s="133">
        <v>0</v>
      </c>
      <c r="CX45" s="133">
        <v>0</v>
      </c>
    </row>
    <row r="46" spans="1:102" ht="15" customHeight="1" x14ac:dyDescent="0.45">
      <c r="A46" s="129">
        <v>4.4000000000000004</v>
      </c>
      <c r="B46" s="132">
        <v>1</v>
      </c>
      <c r="C46" s="133">
        <v>1</v>
      </c>
      <c r="D46" s="133">
        <v>1</v>
      </c>
      <c r="E46" s="133">
        <v>1</v>
      </c>
      <c r="F46" s="133">
        <v>1</v>
      </c>
      <c r="G46" s="133">
        <v>0.95</v>
      </c>
      <c r="H46" s="133">
        <v>0.85</v>
      </c>
      <c r="I46" s="133">
        <v>0.8</v>
      </c>
      <c r="J46" s="133">
        <v>0.7</v>
      </c>
      <c r="K46" s="133">
        <v>0.6</v>
      </c>
      <c r="L46" s="133">
        <v>0.5</v>
      </c>
      <c r="M46" s="133">
        <v>0.4</v>
      </c>
      <c r="N46" s="133">
        <v>0.3</v>
      </c>
      <c r="O46" s="133">
        <v>0.2</v>
      </c>
      <c r="P46" s="133">
        <v>0.1</v>
      </c>
      <c r="Q46" s="133">
        <v>0</v>
      </c>
      <c r="R46" s="133">
        <v>0</v>
      </c>
      <c r="S46" s="133">
        <v>0</v>
      </c>
      <c r="T46" s="133">
        <v>0</v>
      </c>
      <c r="U46" s="133">
        <v>0</v>
      </c>
      <c r="V46" s="133">
        <v>0</v>
      </c>
      <c r="W46" s="133">
        <v>0</v>
      </c>
      <c r="X46" s="133">
        <v>0</v>
      </c>
      <c r="Y46" s="133">
        <v>0</v>
      </c>
      <c r="Z46" s="133">
        <v>0</v>
      </c>
      <c r="AA46" s="133">
        <v>0</v>
      </c>
      <c r="AB46" s="133">
        <v>0</v>
      </c>
      <c r="AC46" s="133">
        <v>0</v>
      </c>
      <c r="AD46" s="133">
        <v>0</v>
      </c>
      <c r="AE46" s="133">
        <v>0</v>
      </c>
      <c r="AF46" s="133">
        <v>0</v>
      </c>
      <c r="AG46" s="133">
        <v>0</v>
      </c>
      <c r="AH46" s="133">
        <v>0</v>
      </c>
      <c r="AI46" s="133">
        <v>0</v>
      </c>
      <c r="AJ46" s="133">
        <v>0</v>
      </c>
      <c r="AK46" s="133">
        <v>0</v>
      </c>
      <c r="AL46" s="133">
        <v>0</v>
      </c>
      <c r="AM46" s="133">
        <v>0</v>
      </c>
      <c r="AN46" s="133">
        <v>0</v>
      </c>
      <c r="AO46" s="133">
        <v>0</v>
      </c>
      <c r="AP46" s="133">
        <v>0</v>
      </c>
      <c r="AQ46" s="133">
        <v>0</v>
      </c>
      <c r="AR46" s="133">
        <v>0</v>
      </c>
      <c r="AS46" s="133">
        <v>0</v>
      </c>
      <c r="AT46" s="133">
        <v>0</v>
      </c>
      <c r="AU46" s="133">
        <v>0</v>
      </c>
      <c r="AV46" s="133">
        <v>0</v>
      </c>
      <c r="AW46" s="133">
        <v>0</v>
      </c>
      <c r="AX46" s="133">
        <v>0</v>
      </c>
      <c r="AY46" s="133">
        <v>0</v>
      </c>
      <c r="AZ46" s="133">
        <v>0</v>
      </c>
      <c r="BA46" s="133">
        <v>0</v>
      </c>
      <c r="BB46" s="133">
        <v>0</v>
      </c>
      <c r="BC46" s="133">
        <v>0</v>
      </c>
      <c r="BD46" s="133">
        <v>0</v>
      </c>
      <c r="BE46" s="133">
        <v>0</v>
      </c>
      <c r="BF46" s="133">
        <v>0</v>
      </c>
      <c r="BG46" s="133">
        <v>0</v>
      </c>
      <c r="BH46" s="133">
        <v>0</v>
      </c>
      <c r="BI46" s="133">
        <v>0</v>
      </c>
      <c r="BJ46" s="133">
        <v>0</v>
      </c>
      <c r="BK46" s="133">
        <v>0</v>
      </c>
      <c r="BL46" s="133">
        <v>0</v>
      </c>
      <c r="BM46" s="133">
        <v>0</v>
      </c>
      <c r="BN46" s="133">
        <v>0</v>
      </c>
      <c r="BO46" s="133">
        <v>0</v>
      </c>
      <c r="BP46" s="133">
        <v>0</v>
      </c>
      <c r="BQ46" s="133">
        <v>0</v>
      </c>
      <c r="BR46" s="133">
        <v>0</v>
      </c>
      <c r="BS46" s="133">
        <v>0</v>
      </c>
      <c r="BT46" s="133">
        <v>0</v>
      </c>
      <c r="BU46" s="133">
        <v>0</v>
      </c>
      <c r="BV46" s="133">
        <v>0</v>
      </c>
      <c r="BW46" s="133">
        <v>0</v>
      </c>
      <c r="BX46" s="133">
        <v>0</v>
      </c>
      <c r="BY46" s="133">
        <v>0</v>
      </c>
      <c r="BZ46" s="133">
        <v>0</v>
      </c>
      <c r="CA46" s="133">
        <v>0</v>
      </c>
      <c r="CB46" s="133">
        <v>0</v>
      </c>
      <c r="CC46" s="133">
        <v>0</v>
      </c>
      <c r="CD46" s="133">
        <v>0</v>
      </c>
      <c r="CE46" s="133">
        <v>0</v>
      </c>
      <c r="CF46" s="133">
        <v>0</v>
      </c>
      <c r="CG46" s="133">
        <v>0</v>
      </c>
      <c r="CH46" s="133">
        <v>0</v>
      </c>
      <c r="CI46" s="133">
        <v>0</v>
      </c>
      <c r="CJ46" s="133">
        <v>0</v>
      </c>
      <c r="CK46" s="133">
        <v>0</v>
      </c>
      <c r="CL46" s="133">
        <v>0</v>
      </c>
      <c r="CM46" s="133">
        <v>0</v>
      </c>
      <c r="CN46" s="133">
        <v>0</v>
      </c>
      <c r="CO46" s="133">
        <v>0</v>
      </c>
      <c r="CP46" s="133">
        <v>0</v>
      </c>
      <c r="CQ46" s="133">
        <v>0</v>
      </c>
      <c r="CR46" s="133">
        <v>0</v>
      </c>
      <c r="CS46" s="133">
        <v>0</v>
      </c>
      <c r="CT46" s="133">
        <v>0</v>
      </c>
      <c r="CU46" s="133">
        <v>0</v>
      </c>
      <c r="CV46" s="133">
        <v>0</v>
      </c>
      <c r="CW46" s="133">
        <v>0</v>
      </c>
      <c r="CX46" s="133">
        <v>0</v>
      </c>
    </row>
    <row r="47" spans="1:102" ht="15" customHeight="1" x14ac:dyDescent="0.45">
      <c r="A47" s="129">
        <v>4.5</v>
      </c>
      <c r="B47" s="132">
        <v>1</v>
      </c>
      <c r="C47" s="133">
        <v>1</v>
      </c>
      <c r="D47" s="133">
        <v>1</v>
      </c>
      <c r="E47" s="133">
        <v>1</v>
      </c>
      <c r="F47" s="133">
        <v>1</v>
      </c>
      <c r="G47" s="133">
        <v>0.95</v>
      </c>
      <c r="H47" s="133">
        <v>0.85</v>
      </c>
      <c r="I47" s="133">
        <v>0.8</v>
      </c>
      <c r="J47" s="133">
        <v>0.7</v>
      </c>
      <c r="K47" s="133">
        <v>0.6</v>
      </c>
      <c r="L47" s="133">
        <v>0.5</v>
      </c>
      <c r="M47" s="133">
        <v>0.4</v>
      </c>
      <c r="N47" s="133">
        <v>0.3</v>
      </c>
      <c r="O47" s="133">
        <v>0.2</v>
      </c>
      <c r="P47" s="133">
        <v>0.1</v>
      </c>
      <c r="Q47" s="133">
        <v>0</v>
      </c>
      <c r="R47" s="133">
        <v>0</v>
      </c>
      <c r="S47" s="133">
        <v>0</v>
      </c>
      <c r="T47" s="133">
        <v>0</v>
      </c>
      <c r="U47" s="133">
        <v>0</v>
      </c>
      <c r="V47" s="133">
        <v>0</v>
      </c>
      <c r="W47" s="133">
        <v>0</v>
      </c>
      <c r="X47" s="133">
        <v>0</v>
      </c>
      <c r="Y47" s="133">
        <v>0</v>
      </c>
      <c r="Z47" s="133">
        <v>0</v>
      </c>
      <c r="AA47" s="133">
        <v>0</v>
      </c>
      <c r="AB47" s="133">
        <v>0</v>
      </c>
      <c r="AC47" s="133">
        <v>0</v>
      </c>
      <c r="AD47" s="133">
        <v>0</v>
      </c>
      <c r="AE47" s="133">
        <v>0</v>
      </c>
      <c r="AF47" s="133">
        <v>0</v>
      </c>
      <c r="AG47" s="133">
        <v>0</v>
      </c>
      <c r="AH47" s="133">
        <v>0</v>
      </c>
      <c r="AI47" s="133">
        <v>0</v>
      </c>
      <c r="AJ47" s="133">
        <v>0</v>
      </c>
      <c r="AK47" s="133">
        <v>0</v>
      </c>
      <c r="AL47" s="133">
        <v>0</v>
      </c>
      <c r="AM47" s="133">
        <v>0</v>
      </c>
      <c r="AN47" s="133">
        <v>0</v>
      </c>
      <c r="AO47" s="133">
        <v>0</v>
      </c>
      <c r="AP47" s="133">
        <v>0</v>
      </c>
      <c r="AQ47" s="133">
        <v>0</v>
      </c>
      <c r="AR47" s="133">
        <v>0</v>
      </c>
      <c r="AS47" s="133">
        <v>0</v>
      </c>
      <c r="AT47" s="133">
        <v>0</v>
      </c>
      <c r="AU47" s="133">
        <v>0</v>
      </c>
      <c r="AV47" s="133">
        <v>0</v>
      </c>
      <c r="AW47" s="133">
        <v>0</v>
      </c>
      <c r="AX47" s="133">
        <v>0</v>
      </c>
      <c r="AY47" s="133">
        <v>0</v>
      </c>
      <c r="AZ47" s="133">
        <v>0</v>
      </c>
      <c r="BA47" s="133">
        <v>0</v>
      </c>
      <c r="BB47" s="133">
        <v>0</v>
      </c>
      <c r="BC47" s="133">
        <v>0</v>
      </c>
      <c r="BD47" s="133">
        <v>0</v>
      </c>
      <c r="BE47" s="133">
        <v>0</v>
      </c>
      <c r="BF47" s="133">
        <v>0</v>
      </c>
      <c r="BG47" s="133">
        <v>0</v>
      </c>
      <c r="BH47" s="133">
        <v>0</v>
      </c>
      <c r="BI47" s="133">
        <v>0</v>
      </c>
      <c r="BJ47" s="133">
        <v>0</v>
      </c>
      <c r="BK47" s="133">
        <v>0</v>
      </c>
      <c r="BL47" s="133">
        <v>0</v>
      </c>
      <c r="BM47" s="133">
        <v>0</v>
      </c>
      <c r="BN47" s="133">
        <v>0</v>
      </c>
      <c r="BO47" s="133">
        <v>0</v>
      </c>
      <c r="BP47" s="133">
        <v>0</v>
      </c>
      <c r="BQ47" s="133">
        <v>0</v>
      </c>
      <c r="BR47" s="133">
        <v>0</v>
      </c>
      <c r="BS47" s="133">
        <v>0</v>
      </c>
      <c r="BT47" s="133">
        <v>0</v>
      </c>
      <c r="BU47" s="133">
        <v>0</v>
      </c>
      <c r="BV47" s="133">
        <v>0</v>
      </c>
      <c r="BW47" s="133">
        <v>0</v>
      </c>
      <c r="BX47" s="133">
        <v>0</v>
      </c>
      <c r="BY47" s="133">
        <v>0</v>
      </c>
      <c r="BZ47" s="133">
        <v>0</v>
      </c>
      <c r="CA47" s="133">
        <v>0</v>
      </c>
      <c r="CB47" s="133">
        <v>0</v>
      </c>
      <c r="CC47" s="133">
        <v>0</v>
      </c>
      <c r="CD47" s="133">
        <v>0</v>
      </c>
      <c r="CE47" s="133">
        <v>0</v>
      </c>
      <c r="CF47" s="133">
        <v>0</v>
      </c>
      <c r="CG47" s="133">
        <v>0</v>
      </c>
      <c r="CH47" s="133">
        <v>0</v>
      </c>
      <c r="CI47" s="133">
        <v>0</v>
      </c>
      <c r="CJ47" s="133">
        <v>0</v>
      </c>
      <c r="CK47" s="133">
        <v>0</v>
      </c>
      <c r="CL47" s="133">
        <v>0</v>
      </c>
      <c r="CM47" s="133">
        <v>0</v>
      </c>
      <c r="CN47" s="133">
        <v>0</v>
      </c>
      <c r="CO47" s="133">
        <v>0</v>
      </c>
      <c r="CP47" s="133">
        <v>0</v>
      </c>
      <c r="CQ47" s="133">
        <v>0</v>
      </c>
      <c r="CR47" s="133">
        <v>0</v>
      </c>
      <c r="CS47" s="133">
        <v>0</v>
      </c>
      <c r="CT47" s="133">
        <v>0</v>
      </c>
      <c r="CU47" s="133">
        <v>0</v>
      </c>
      <c r="CV47" s="133">
        <v>0</v>
      </c>
      <c r="CW47" s="133">
        <v>0</v>
      </c>
      <c r="CX47" s="133">
        <v>0</v>
      </c>
    </row>
    <row r="48" spans="1:102" ht="15" customHeight="1" x14ac:dyDescent="0.45">
      <c r="A48" s="129">
        <v>4.5999999999999996</v>
      </c>
      <c r="B48" s="132">
        <v>1</v>
      </c>
      <c r="C48" s="133">
        <v>1</v>
      </c>
      <c r="D48" s="133">
        <v>1</v>
      </c>
      <c r="E48" s="133">
        <v>1</v>
      </c>
      <c r="F48" s="133">
        <v>1</v>
      </c>
      <c r="G48" s="133">
        <v>0.95</v>
      </c>
      <c r="H48" s="133">
        <v>0.85</v>
      </c>
      <c r="I48" s="133">
        <v>0.8</v>
      </c>
      <c r="J48" s="133">
        <v>0.7</v>
      </c>
      <c r="K48" s="133">
        <v>0.6</v>
      </c>
      <c r="L48" s="133">
        <v>0.5</v>
      </c>
      <c r="M48" s="133">
        <v>0.4</v>
      </c>
      <c r="N48" s="133">
        <v>0.3</v>
      </c>
      <c r="O48" s="133">
        <v>0.2</v>
      </c>
      <c r="P48" s="133">
        <v>0.1</v>
      </c>
      <c r="Q48" s="133">
        <v>0</v>
      </c>
      <c r="R48" s="133">
        <v>0</v>
      </c>
      <c r="S48" s="133">
        <v>0</v>
      </c>
      <c r="T48" s="133">
        <v>0</v>
      </c>
      <c r="U48" s="133">
        <v>0</v>
      </c>
      <c r="V48" s="133">
        <v>0</v>
      </c>
      <c r="W48" s="133">
        <v>0</v>
      </c>
      <c r="X48" s="133">
        <v>0</v>
      </c>
      <c r="Y48" s="133">
        <v>0</v>
      </c>
      <c r="Z48" s="133">
        <v>0</v>
      </c>
      <c r="AA48" s="133">
        <v>0</v>
      </c>
      <c r="AB48" s="133">
        <v>0</v>
      </c>
      <c r="AC48" s="133">
        <v>0</v>
      </c>
      <c r="AD48" s="133">
        <v>0</v>
      </c>
      <c r="AE48" s="133">
        <v>0</v>
      </c>
      <c r="AF48" s="133">
        <v>0</v>
      </c>
      <c r="AG48" s="133">
        <v>0</v>
      </c>
      <c r="AH48" s="133">
        <v>0</v>
      </c>
      <c r="AI48" s="133">
        <v>0</v>
      </c>
      <c r="AJ48" s="133">
        <v>0</v>
      </c>
      <c r="AK48" s="133">
        <v>0</v>
      </c>
      <c r="AL48" s="133">
        <v>0</v>
      </c>
      <c r="AM48" s="133">
        <v>0</v>
      </c>
      <c r="AN48" s="133">
        <v>0</v>
      </c>
      <c r="AO48" s="133">
        <v>0</v>
      </c>
      <c r="AP48" s="133">
        <v>0</v>
      </c>
      <c r="AQ48" s="133">
        <v>0</v>
      </c>
      <c r="AR48" s="133">
        <v>0</v>
      </c>
      <c r="AS48" s="133">
        <v>0</v>
      </c>
      <c r="AT48" s="133">
        <v>0</v>
      </c>
      <c r="AU48" s="133">
        <v>0</v>
      </c>
      <c r="AV48" s="133">
        <v>0</v>
      </c>
      <c r="AW48" s="133">
        <v>0</v>
      </c>
      <c r="AX48" s="133">
        <v>0</v>
      </c>
      <c r="AY48" s="133">
        <v>0</v>
      </c>
      <c r="AZ48" s="133">
        <v>0</v>
      </c>
      <c r="BA48" s="133">
        <v>0</v>
      </c>
      <c r="BB48" s="133">
        <v>0</v>
      </c>
      <c r="BC48" s="133">
        <v>0</v>
      </c>
      <c r="BD48" s="133">
        <v>0</v>
      </c>
      <c r="BE48" s="133">
        <v>0</v>
      </c>
      <c r="BF48" s="133">
        <v>0</v>
      </c>
      <c r="BG48" s="133">
        <v>0</v>
      </c>
      <c r="BH48" s="133">
        <v>0</v>
      </c>
      <c r="BI48" s="133">
        <v>0</v>
      </c>
      <c r="BJ48" s="133">
        <v>0</v>
      </c>
      <c r="BK48" s="133">
        <v>0</v>
      </c>
      <c r="BL48" s="133">
        <v>0</v>
      </c>
      <c r="BM48" s="133">
        <v>0</v>
      </c>
      <c r="BN48" s="133">
        <v>0</v>
      </c>
      <c r="BO48" s="133">
        <v>0</v>
      </c>
      <c r="BP48" s="133">
        <v>0</v>
      </c>
      <c r="BQ48" s="133">
        <v>0</v>
      </c>
      <c r="BR48" s="133">
        <v>0</v>
      </c>
      <c r="BS48" s="133">
        <v>0</v>
      </c>
      <c r="BT48" s="133">
        <v>0</v>
      </c>
      <c r="BU48" s="133">
        <v>0</v>
      </c>
      <c r="BV48" s="133">
        <v>0</v>
      </c>
      <c r="BW48" s="133">
        <v>0</v>
      </c>
      <c r="BX48" s="133">
        <v>0</v>
      </c>
      <c r="BY48" s="133">
        <v>0</v>
      </c>
      <c r="BZ48" s="133">
        <v>0</v>
      </c>
      <c r="CA48" s="133">
        <v>0</v>
      </c>
      <c r="CB48" s="133">
        <v>0</v>
      </c>
      <c r="CC48" s="133">
        <v>0</v>
      </c>
      <c r="CD48" s="133">
        <v>0</v>
      </c>
      <c r="CE48" s="133">
        <v>0</v>
      </c>
      <c r="CF48" s="133">
        <v>0</v>
      </c>
      <c r="CG48" s="133">
        <v>0</v>
      </c>
      <c r="CH48" s="133">
        <v>0</v>
      </c>
      <c r="CI48" s="133">
        <v>0</v>
      </c>
      <c r="CJ48" s="133">
        <v>0</v>
      </c>
      <c r="CK48" s="133">
        <v>0</v>
      </c>
      <c r="CL48" s="133">
        <v>0</v>
      </c>
      <c r="CM48" s="133">
        <v>0</v>
      </c>
      <c r="CN48" s="133">
        <v>0</v>
      </c>
      <c r="CO48" s="133">
        <v>0</v>
      </c>
      <c r="CP48" s="133">
        <v>0</v>
      </c>
      <c r="CQ48" s="133">
        <v>0</v>
      </c>
      <c r="CR48" s="133">
        <v>0</v>
      </c>
      <c r="CS48" s="133">
        <v>0</v>
      </c>
      <c r="CT48" s="133">
        <v>0</v>
      </c>
      <c r="CU48" s="133">
        <v>0</v>
      </c>
      <c r="CV48" s="133">
        <v>0</v>
      </c>
      <c r="CW48" s="133">
        <v>0</v>
      </c>
      <c r="CX48" s="133">
        <v>0</v>
      </c>
    </row>
    <row r="49" spans="1:102" ht="15" customHeight="1" x14ac:dyDescent="0.45">
      <c r="A49" s="129">
        <v>4.7</v>
      </c>
      <c r="B49" s="132">
        <v>1</v>
      </c>
      <c r="C49" s="133">
        <v>1</v>
      </c>
      <c r="D49" s="133">
        <v>1</v>
      </c>
      <c r="E49" s="133">
        <v>1</v>
      </c>
      <c r="F49" s="133">
        <v>1</v>
      </c>
      <c r="G49" s="133">
        <v>0.95</v>
      </c>
      <c r="H49" s="133">
        <v>0.85</v>
      </c>
      <c r="I49" s="133">
        <v>0.8</v>
      </c>
      <c r="J49" s="133">
        <v>0.7</v>
      </c>
      <c r="K49" s="133">
        <v>0.6</v>
      </c>
      <c r="L49" s="133">
        <v>0.5</v>
      </c>
      <c r="M49" s="133">
        <v>0.4</v>
      </c>
      <c r="N49" s="133">
        <v>0.3</v>
      </c>
      <c r="O49" s="133">
        <v>0.2</v>
      </c>
      <c r="P49" s="133">
        <v>0.1</v>
      </c>
      <c r="Q49" s="133">
        <v>0</v>
      </c>
      <c r="R49" s="133">
        <v>0</v>
      </c>
      <c r="S49" s="133">
        <v>0</v>
      </c>
      <c r="T49" s="133">
        <v>0</v>
      </c>
      <c r="U49" s="133">
        <v>0</v>
      </c>
      <c r="V49" s="133">
        <v>0</v>
      </c>
      <c r="W49" s="133">
        <v>0</v>
      </c>
      <c r="X49" s="133">
        <v>0</v>
      </c>
      <c r="Y49" s="133">
        <v>0</v>
      </c>
      <c r="Z49" s="133">
        <v>0</v>
      </c>
      <c r="AA49" s="133">
        <v>0</v>
      </c>
      <c r="AB49" s="133">
        <v>0</v>
      </c>
      <c r="AC49" s="133">
        <v>0</v>
      </c>
      <c r="AD49" s="133">
        <v>0</v>
      </c>
      <c r="AE49" s="133">
        <v>0</v>
      </c>
      <c r="AF49" s="133">
        <v>0</v>
      </c>
      <c r="AG49" s="133">
        <v>0</v>
      </c>
      <c r="AH49" s="133">
        <v>0</v>
      </c>
      <c r="AI49" s="133">
        <v>0</v>
      </c>
      <c r="AJ49" s="133">
        <v>0</v>
      </c>
      <c r="AK49" s="133">
        <v>0</v>
      </c>
      <c r="AL49" s="133">
        <v>0</v>
      </c>
      <c r="AM49" s="133">
        <v>0</v>
      </c>
      <c r="AN49" s="133">
        <v>0</v>
      </c>
      <c r="AO49" s="133">
        <v>0</v>
      </c>
      <c r="AP49" s="133">
        <v>0</v>
      </c>
      <c r="AQ49" s="133">
        <v>0</v>
      </c>
      <c r="AR49" s="133">
        <v>0</v>
      </c>
      <c r="AS49" s="133">
        <v>0</v>
      </c>
      <c r="AT49" s="133">
        <v>0</v>
      </c>
      <c r="AU49" s="133">
        <v>0</v>
      </c>
      <c r="AV49" s="133">
        <v>0</v>
      </c>
      <c r="AW49" s="133">
        <v>0</v>
      </c>
      <c r="AX49" s="133">
        <v>0</v>
      </c>
      <c r="AY49" s="133">
        <v>0</v>
      </c>
      <c r="AZ49" s="133">
        <v>0</v>
      </c>
      <c r="BA49" s="133">
        <v>0</v>
      </c>
      <c r="BB49" s="133">
        <v>0</v>
      </c>
      <c r="BC49" s="133">
        <v>0</v>
      </c>
      <c r="BD49" s="133">
        <v>0</v>
      </c>
      <c r="BE49" s="133">
        <v>0</v>
      </c>
      <c r="BF49" s="133">
        <v>0</v>
      </c>
      <c r="BG49" s="133">
        <v>0</v>
      </c>
      <c r="BH49" s="133">
        <v>0</v>
      </c>
      <c r="BI49" s="133">
        <v>0</v>
      </c>
      <c r="BJ49" s="133">
        <v>0</v>
      </c>
      <c r="BK49" s="133">
        <v>0</v>
      </c>
      <c r="BL49" s="133">
        <v>0</v>
      </c>
      <c r="BM49" s="133">
        <v>0</v>
      </c>
      <c r="BN49" s="133">
        <v>0</v>
      </c>
      <c r="BO49" s="133">
        <v>0</v>
      </c>
      <c r="BP49" s="133">
        <v>0</v>
      </c>
      <c r="BQ49" s="133">
        <v>0</v>
      </c>
      <c r="BR49" s="133">
        <v>0</v>
      </c>
      <c r="BS49" s="133">
        <v>0</v>
      </c>
      <c r="BT49" s="133">
        <v>0</v>
      </c>
      <c r="BU49" s="133">
        <v>0</v>
      </c>
      <c r="BV49" s="133">
        <v>0</v>
      </c>
      <c r="BW49" s="133">
        <v>0</v>
      </c>
      <c r="BX49" s="133">
        <v>0</v>
      </c>
      <c r="BY49" s="133">
        <v>0</v>
      </c>
      <c r="BZ49" s="133">
        <v>0</v>
      </c>
      <c r="CA49" s="133">
        <v>0</v>
      </c>
      <c r="CB49" s="133">
        <v>0</v>
      </c>
      <c r="CC49" s="133">
        <v>0</v>
      </c>
      <c r="CD49" s="133">
        <v>0</v>
      </c>
      <c r="CE49" s="133">
        <v>0</v>
      </c>
      <c r="CF49" s="133">
        <v>0</v>
      </c>
      <c r="CG49" s="133">
        <v>0</v>
      </c>
      <c r="CH49" s="133">
        <v>0</v>
      </c>
      <c r="CI49" s="133">
        <v>0</v>
      </c>
      <c r="CJ49" s="133">
        <v>0</v>
      </c>
      <c r="CK49" s="133">
        <v>0</v>
      </c>
      <c r="CL49" s="133">
        <v>0</v>
      </c>
      <c r="CM49" s="133">
        <v>0</v>
      </c>
      <c r="CN49" s="133">
        <v>0</v>
      </c>
      <c r="CO49" s="133">
        <v>0</v>
      </c>
      <c r="CP49" s="133">
        <v>0</v>
      </c>
      <c r="CQ49" s="133">
        <v>0</v>
      </c>
      <c r="CR49" s="133">
        <v>0</v>
      </c>
      <c r="CS49" s="133">
        <v>0</v>
      </c>
      <c r="CT49" s="133">
        <v>0</v>
      </c>
      <c r="CU49" s="133">
        <v>0</v>
      </c>
      <c r="CV49" s="133">
        <v>0</v>
      </c>
      <c r="CW49" s="133">
        <v>0</v>
      </c>
      <c r="CX49" s="133">
        <v>0</v>
      </c>
    </row>
    <row r="50" spans="1:102" ht="15" customHeight="1" x14ac:dyDescent="0.45">
      <c r="A50" s="129">
        <v>4.8</v>
      </c>
      <c r="B50" s="132">
        <v>1</v>
      </c>
      <c r="C50" s="133">
        <v>1</v>
      </c>
      <c r="D50" s="133">
        <v>1</v>
      </c>
      <c r="E50" s="133">
        <v>1</v>
      </c>
      <c r="F50" s="133">
        <v>1</v>
      </c>
      <c r="G50" s="133">
        <v>0.95</v>
      </c>
      <c r="H50" s="133">
        <v>0.85</v>
      </c>
      <c r="I50" s="133">
        <v>0.8</v>
      </c>
      <c r="J50" s="133">
        <v>0.7</v>
      </c>
      <c r="K50" s="133">
        <v>0.6</v>
      </c>
      <c r="L50" s="133">
        <v>0.5</v>
      </c>
      <c r="M50" s="133">
        <v>0.4</v>
      </c>
      <c r="N50" s="133">
        <v>0.3</v>
      </c>
      <c r="O50" s="133">
        <v>0.2</v>
      </c>
      <c r="P50" s="133">
        <v>0.1</v>
      </c>
      <c r="Q50" s="133">
        <v>0</v>
      </c>
      <c r="R50" s="133">
        <v>0</v>
      </c>
      <c r="S50" s="133">
        <v>0</v>
      </c>
      <c r="T50" s="133">
        <v>0</v>
      </c>
      <c r="U50" s="133">
        <v>0</v>
      </c>
      <c r="V50" s="133">
        <v>0</v>
      </c>
      <c r="W50" s="133">
        <v>0</v>
      </c>
      <c r="X50" s="133">
        <v>0</v>
      </c>
      <c r="Y50" s="133">
        <v>0</v>
      </c>
      <c r="Z50" s="133">
        <v>0</v>
      </c>
      <c r="AA50" s="133">
        <v>0</v>
      </c>
      <c r="AB50" s="133">
        <v>0</v>
      </c>
      <c r="AC50" s="133">
        <v>0</v>
      </c>
      <c r="AD50" s="133">
        <v>0</v>
      </c>
      <c r="AE50" s="133">
        <v>0</v>
      </c>
      <c r="AF50" s="133">
        <v>0</v>
      </c>
      <c r="AG50" s="133">
        <v>0</v>
      </c>
      <c r="AH50" s="133">
        <v>0</v>
      </c>
      <c r="AI50" s="133">
        <v>0</v>
      </c>
      <c r="AJ50" s="133">
        <v>0</v>
      </c>
      <c r="AK50" s="133">
        <v>0</v>
      </c>
      <c r="AL50" s="133">
        <v>0</v>
      </c>
      <c r="AM50" s="133">
        <v>0</v>
      </c>
      <c r="AN50" s="133">
        <v>0</v>
      </c>
      <c r="AO50" s="133">
        <v>0</v>
      </c>
      <c r="AP50" s="133">
        <v>0</v>
      </c>
      <c r="AQ50" s="133">
        <v>0</v>
      </c>
      <c r="AR50" s="133">
        <v>0</v>
      </c>
      <c r="AS50" s="133">
        <v>0</v>
      </c>
      <c r="AT50" s="133">
        <v>0</v>
      </c>
      <c r="AU50" s="133">
        <v>0</v>
      </c>
      <c r="AV50" s="133">
        <v>0</v>
      </c>
      <c r="AW50" s="133">
        <v>0</v>
      </c>
      <c r="AX50" s="133">
        <v>0</v>
      </c>
      <c r="AY50" s="133">
        <v>0</v>
      </c>
      <c r="AZ50" s="133">
        <v>0</v>
      </c>
      <c r="BA50" s="133">
        <v>0</v>
      </c>
      <c r="BB50" s="133">
        <v>0</v>
      </c>
      <c r="BC50" s="133">
        <v>0</v>
      </c>
      <c r="BD50" s="133">
        <v>0</v>
      </c>
      <c r="BE50" s="133">
        <v>0</v>
      </c>
      <c r="BF50" s="133">
        <v>0</v>
      </c>
      <c r="BG50" s="133">
        <v>0</v>
      </c>
      <c r="BH50" s="133">
        <v>0</v>
      </c>
      <c r="BI50" s="133">
        <v>0</v>
      </c>
      <c r="BJ50" s="133">
        <v>0</v>
      </c>
      <c r="BK50" s="133">
        <v>0</v>
      </c>
      <c r="BL50" s="133">
        <v>0</v>
      </c>
      <c r="BM50" s="133">
        <v>0</v>
      </c>
      <c r="BN50" s="133">
        <v>0</v>
      </c>
      <c r="BO50" s="133">
        <v>0</v>
      </c>
      <c r="BP50" s="133">
        <v>0</v>
      </c>
      <c r="BQ50" s="133">
        <v>0</v>
      </c>
      <c r="BR50" s="133">
        <v>0</v>
      </c>
      <c r="BS50" s="133">
        <v>0</v>
      </c>
      <c r="BT50" s="133">
        <v>0</v>
      </c>
      <c r="BU50" s="133">
        <v>0</v>
      </c>
      <c r="BV50" s="133">
        <v>0</v>
      </c>
      <c r="BW50" s="133">
        <v>0</v>
      </c>
      <c r="BX50" s="133">
        <v>0</v>
      </c>
      <c r="BY50" s="133">
        <v>0</v>
      </c>
      <c r="BZ50" s="133">
        <v>0</v>
      </c>
      <c r="CA50" s="133">
        <v>0</v>
      </c>
      <c r="CB50" s="133">
        <v>0</v>
      </c>
      <c r="CC50" s="133">
        <v>0</v>
      </c>
      <c r="CD50" s="133">
        <v>0</v>
      </c>
      <c r="CE50" s="133">
        <v>0</v>
      </c>
      <c r="CF50" s="133">
        <v>0</v>
      </c>
      <c r="CG50" s="133">
        <v>0</v>
      </c>
      <c r="CH50" s="133">
        <v>0</v>
      </c>
      <c r="CI50" s="133">
        <v>0</v>
      </c>
      <c r="CJ50" s="133">
        <v>0</v>
      </c>
      <c r="CK50" s="133">
        <v>0</v>
      </c>
      <c r="CL50" s="133">
        <v>0</v>
      </c>
      <c r="CM50" s="133">
        <v>0</v>
      </c>
      <c r="CN50" s="133">
        <v>0</v>
      </c>
      <c r="CO50" s="133">
        <v>0</v>
      </c>
      <c r="CP50" s="133">
        <v>0</v>
      </c>
      <c r="CQ50" s="133">
        <v>0</v>
      </c>
      <c r="CR50" s="133">
        <v>0</v>
      </c>
      <c r="CS50" s="133">
        <v>0</v>
      </c>
      <c r="CT50" s="133">
        <v>0</v>
      </c>
      <c r="CU50" s="133">
        <v>0</v>
      </c>
      <c r="CV50" s="133">
        <v>0</v>
      </c>
      <c r="CW50" s="133">
        <v>0</v>
      </c>
      <c r="CX50" s="133">
        <v>0</v>
      </c>
    </row>
    <row r="51" spans="1:102" ht="15" customHeight="1" x14ac:dyDescent="0.45">
      <c r="A51" s="129">
        <v>4.9000000000000004</v>
      </c>
      <c r="B51" s="132">
        <v>1</v>
      </c>
      <c r="C51" s="133">
        <v>1</v>
      </c>
      <c r="D51" s="133">
        <v>1</v>
      </c>
      <c r="E51" s="133">
        <v>1</v>
      </c>
      <c r="F51" s="133">
        <v>1</v>
      </c>
      <c r="G51" s="133">
        <v>0.95</v>
      </c>
      <c r="H51" s="133">
        <v>0.85</v>
      </c>
      <c r="I51" s="133">
        <v>0.8</v>
      </c>
      <c r="J51" s="133">
        <v>0.7</v>
      </c>
      <c r="K51" s="133">
        <v>0.6</v>
      </c>
      <c r="L51" s="133">
        <v>0.5</v>
      </c>
      <c r="M51" s="133">
        <v>0.4</v>
      </c>
      <c r="N51" s="133">
        <v>0.3</v>
      </c>
      <c r="O51" s="133">
        <v>0.2</v>
      </c>
      <c r="P51" s="133">
        <v>0.1</v>
      </c>
      <c r="Q51" s="133">
        <v>0</v>
      </c>
      <c r="R51" s="133">
        <v>0</v>
      </c>
      <c r="S51" s="133">
        <v>0</v>
      </c>
      <c r="T51" s="133">
        <v>0</v>
      </c>
      <c r="U51" s="133">
        <v>0</v>
      </c>
      <c r="V51" s="133">
        <v>0</v>
      </c>
      <c r="W51" s="133">
        <v>0</v>
      </c>
      <c r="X51" s="133">
        <v>0</v>
      </c>
      <c r="Y51" s="133">
        <v>0</v>
      </c>
      <c r="Z51" s="133">
        <v>0</v>
      </c>
      <c r="AA51" s="133">
        <v>0</v>
      </c>
      <c r="AB51" s="133">
        <v>0</v>
      </c>
      <c r="AC51" s="133">
        <v>0</v>
      </c>
      <c r="AD51" s="133">
        <v>0</v>
      </c>
      <c r="AE51" s="133">
        <v>0</v>
      </c>
      <c r="AF51" s="133">
        <v>0</v>
      </c>
      <c r="AG51" s="133">
        <v>0</v>
      </c>
      <c r="AH51" s="133">
        <v>0</v>
      </c>
      <c r="AI51" s="133">
        <v>0</v>
      </c>
      <c r="AJ51" s="133">
        <v>0</v>
      </c>
      <c r="AK51" s="133">
        <v>0</v>
      </c>
      <c r="AL51" s="133">
        <v>0</v>
      </c>
      <c r="AM51" s="133">
        <v>0</v>
      </c>
      <c r="AN51" s="133">
        <v>0</v>
      </c>
      <c r="AO51" s="133">
        <v>0</v>
      </c>
      <c r="AP51" s="133">
        <v>0</v>
      </c>
      <c r="AQ51" s="133">
        <v>0</v>
      </c>
      <c r="AR51" s="133">
        <v>0</v>
      </c>
      <c r="AS51" s="133">
        <v>0</v>
      </c>
      <c r="AT51" s="133">
        <v>0</v>
      </c>
      <c r="AU51" s="133">
        <v>0</v>
      </c>
      <c r="AV51" s="133">
        <v>0</v>
      </c>
      <c r="AW51" s="133">
        <v>0</v>
      </c>
      <c r="AX51" s="133">
        <v>0</v>
      </c>
      <c r="AY51" s="133">
        <v>0</v>
      </c>
      <c r="AZ51" s="133">
        <v>0</v>
      </c>
      <c r="BA51" s="133">
        <v>0</v>
      </c>
      <c r="BB51" s="133">
        <v>0</v>
      </c>
      <c r="BC51" s="133">
        <v>0</v>
      </c>
      <c r="BD51" s="133">
        <v>0</v>
      </c>
      <c r="BE51" s="133">
        <v>0</v>
      </c>
      <c r="BF51" s="133">
        <v>0</v>
      </c>
      <c r="BG51" s="133">
        <v>0</v>
      </c>
      <c r="BH51" s="133">
        <v>0</v>
      </c>
      <c r="BI51" s="133">
        <v>0</v>
      </c>
      <c r="BJ51" s="133">
        <v>0</v>
      </c>
      <c r="BK51" s="133">
        <v>0</v>
      </c>
      <c r="BL51" s="133">
        <v>0</v>
      </c>
      <c r="BM51" s="133">
        <v>0</v>
      </c>
      <c r="BN51" s="133">
        <v>0</v>
      </c>
      <c r="BO51" s="133">
        <v>0</v>
      </c>
      <c r="BP51" s="133">
        <v>0</v>
      </c>
      <c r="BQ51" s="133">
        <v>0</v>
      </c>
      <c r="BR51" s="133">
        <v>0</v>
      </c>
      <c r="BS51" s="133">
        <v>0</v>
      </c>
      <c r="BT51" s="133">
        <v>0</v>
      </c>
      <c r="BU51" s="133">
        <v>0</v>
      </c>
      <c r="BV51" s="133">
        <v>0</v>
      </c>
      <c r="BW51" s="133">
        <v>0</v>
      </c>
      <c r="BX51" s="133">
        <v>0</v>
      </c>
      <c r="BY51" s="133">
        <v>0</v>
      </c>
      <c r="BZ51" s="133">
        <v>0</v>
      </c>
      <c r="CA51" s="133">
        <v>0</v>
      </c>
      <c r="CB51" s="133">
        <v>0</v>
      </c>
      <c r="CC51" s="133">
        <v>0</v>
      </c>
      <c r="CD51" s="133">
        <v>0</v>
      </c>
      <c r="CE51" s="133">
        <v>0</v>
      </c>
      <c r="CF51" s="133">
        <v>0</v>
      </c>
      <c r="CG51" s="133">
        <v>0</v>
      </c>
      <c r="CH51" s="133">
        <v>0</v>
      </c>
      <c r="CI51" s="133">
        <v>0</v>
      </c>
      <c r="CJ51" s="133">
        <v>0</v>
      </c>
      <c r="CK51" s="133">
        <v>0</v>
      </c>
      <c r="CL51" s="133">
        <v>0</v>
      </c>
      <c r="CM51" s="133">
        <v>0</v>
      </c>
      <c r="CN51" s="133">
        <v>0</v>
      </c>
      <c r="CO51" s="133">
        <v>0</v>
      </c>
      <c r="CP51" s="133">
        <v>0</v>
      </c>
      <c r="CQ51" s="133">
        <v>0</v>
      </c>
      <c r="CR51" s="133">
        <v>0</v>
      </c>
      <c r="CS51" s="133">
        <v>0</v>
      </c>
      <c r="CT51" s="133">
        <v>0</v>
      </c>
      <c r="CU51" s="133">
        <v>0</v>
      </c>
      <c r="CV51" s="133">
        <v>0</v>
      </c>
      <c r="CW51" s="133">
        <v>0</v>
      </c>
      <c r="CX51" s="133">
        <v>0</v>
      </c>
    </row>
    <row r="52" spans="1:102" ht="15" customHeight="1" x14ac:dyDescent="0.45">
      <c r="A52" s="129">
        <v>5</v>
      </c>
      <c r="B52" s="132">
        <v>1</v>
      </c>
      <c r="C52" s="133">
        <v>1</v>
      </c>
      <c r="D52" s="133">
        <v>1</v>
      </c>
      <c r="E52" s="133">
        <v>1</v>
      </c>
      <c r="F52" s="133">
        <v>1</v>
      </c>
      <c r="G52" s="133">
        <v>0.95</v>
      </c>
      <c r="H52" s="133">
        <v>0.85</v>
      </c>
      <c r="I52" s="133">
        <v>0.8</v>
      </c>
      <c r="J52" s="133">
        <v>0.7</v>
      </c>
      <c r="K52" s="133">
        <v>0.6</v>
      </c>
      <c r="L52" s="133">
        <v>0.5</v>
      </c>
      <c r="M52" s="133">
        <v>0.4</v>
      </c>
      <c r="N52" s="133">
        <v>0.3</v>
      </c>
      <c r="O52" s="133">
        <v>0.2</v>
      </c>
      <c r="P52" s="133">
        <v>0.1</v>
      </c>
      <c r="Q52" s="133">
        <v>0</v>
      </c>
      <c r="R52" s="133">
        <v>0</v>
      </c>
      <c r="S52" s="133">
        <v>0</v>
      </c>
      <c r="T52" s="133">
        <v>0</v>
      </c>
      <c r="U52" s="133">
        <v>0</v>
      </c>
      <c r="V52" s="133">
        <v>0</v>
      </c>
      <c r="W52" s="133">
        <v>0</v>
      </c>
      <c r="X52" s="133">
        <v>0</v>
      </c>
      <c r="Y52" s="133">
        <v>0</v>
      </c>
      <c r="Z52" s="133">
        <v>0</v>
      </c>
      <c r="AA52" s="133">
        <v>0</v>
      </c>
      <c r="AB52" s="133">
        <v>0</v>
      </c>
      <c r="AC52" s="133">
        <v>0</v>
      </c>
      <c r="AD52" s="133">
        <v>0</v>
      </c>
      <c r="AE52" s="133">
        <v>0</v>
      </c>
      <c r="AF52" s="133">
        <v>0</v>
      </c>
      <c r="AG52" s="133">
        <v>0</v>
      </c>
      <c r="AH52" s="133">
        <v>0</v>
      </c>
      <c r="AI52" s="133">
        <v>0</v>
      </c>
      <c r="AJ52" s="133">
        <v>0</v>
      </c>
      <c r="AK52" s="133">
        <v>0</v>
      </c>
      <c r="AL52" s="133">
        <v>0</v>
      </c>
      <c r="AM52" s="133">
        <v>0</v>
      </c>
      <c r="AN52" s="133">
        <v>0</v>
      </c>
      <c r="AO52" s="133">
        <v>0</v>
      </c>
      <c r="AP52" s="133">
        <v>0</v>
      </c>
      <c r="AQ52" s="133">
        <v>0</v>
      </c>
      <c r="AR52" s="133">
        <v>0</v>
      </c>
      <c r="AS52" s="133">
        <v>0</v>
      </c>
      <c r="AT52" s="133">
        <v>0</v>
      </c>
      <c r="AU52" s="133">
        <v>0</v>
      </c>
      <c r="AV52" s="133">
        <v>0</v>
      </c>
      <c r="AW52" s="133">
        <v>0</v>
      </c>
      <c r="AX52" s="133">
        <v>0</v>
      </c>
      <c r="AY52" s="133">
        <v>0</v>
      </c>
      <c r="AZ52" s="133">
        <v>0</v>
      </c>
      <c r="BA52" s="133">
        <v>0</v>
      </c>
      <c r="BB52" s="133">
        <v>0</v>
      </c>
      <c r="BC52" s="133">
        <v>0</v>
      </c>
      <c r="BD52" s="133">
        <v>0</v>
      </c>
      <c r="BE52" s="133">
        <v>0</v>
      </c>
      <c r="BF52" s="133">
        <v>0</v>
      </c>
      <c r="BG52" s="133">
        <v>0</v>
      </c>
      <c r="BH52" s="133">
        <v>0</v>
      </c>
      <c r="BI52" s="133">
        <v>0</v>
      </c>
      <c r="BJ52" s="133">
        <v>0</v>
      </c>
      <c r="BK52" s="133">
        <v>0</v>
      </c>
      <c r="BL52" s="133">
        <v>0</v>
      </c>
      <c r="BM52" s="133">
        <v>0</v>
      </c>
      <c r="BN52" s="133">
        <v>0</v>
      </c>
      <c r="BO52" s="133">
        <v>0</v>
      </c>
      <c r="BP52" s="133">
        <v>0</v>
      </c>
      <c r="BQ52" s="133">
        <v>0</v>
      </c>
      <c r="BR52" s="133">
        <v>0</v>
      </c>
      <c r="BS52" s="133">
        <v>0</v>
      </c>
      <c r="BT52" s="133">
        <v>0</v>
      </c>
      <c r="BU52" s="133">
        <v>0</v>
      </c>
      <c r="BV52" s="133">
        <v>0</v>
      </c>
      <c r="BW52" s="133">
        <v>0</v>
      </c>
      <c r="BX52" s="133">
        <v>0</v>
      </c>
      <c r="BY52" s="133">
        <v>0</v>
      </c>
      <c r="BZ52" s="133">
        <v>0</v>
      </c>
      <c r="CA52" s="133">
        <v>0</v>
      </c>
      <c r="CB52" s="133">
        <v>0</v>
      </c>
      <c r="CC52" s="133">
        <v>0</v>
      </c>
      <c r="CD52" s="133">
        <v>0</v>
      </c>
      <c r="CE52" s="133">
        <v>0</v>
      </c>
      <c r="CF52" s="133">
        <v>0</v>
      </c>
      <c r="CG52" s="133">
        <v>0</v>
      </c>
      <c r="CH52" s="133">
        <v>0</v>
      </c>
      <c r="CI52" s="133">
        <v>0</v>
      </c>
      <c r="CJ52" s="133">
        <v>0</v>
      </c>
      <c r="CK52" s="133">
        <v>0</v>
      </c>
      <c r="CL52" s="133">
        <v>0</v>
      </c>
      <c r="CM52" s="133">
        <v>0</v>
      </c>
      <c r="CN52" s="133">
        <v>0</v>
      </c>
      <c r="CO52" s="133">
        <v>0</v>
      </c>
      <c r="CP52" s="133">
        <v>0</v>
      </c>
      <c r="CQ52" s="133">
        <v>0</v>
      </c>
      <c r="CR52" s="133">
        <v>0</v>
      </c>
      <c r="CS52" s="133">
        <v>0</v>
      </c>
      <c r="CT52" s="133">
        <v>0</v>
      </c>
      <c r="CU52" s="133">
        <v>0</v>
      </c>
      <c r="CV52" s="133">
        <v>0</v>
      </c>
      <c r="CW52" s="133">
        <v>0</v>
      </c>
      <c r="CX52" s="133">
        <v>0</v>
      </c>
    </row>
    <row r="53" spans="1:102" ht="15" customHeight="1" x14ac:dyDescent="0.45">
      <c r="A53" s="129">
        <v>5.0999999999999996</v>
      </c>
      <c r="B53" s="132">
        <v>1</v>
      </c>
      <c r="C53" s="133">
        <v>1</v>
      </c>
      <c r="D53" s="133">
        <v>1</v>
      </c>
      <c r="E53" s="133">
        <v>1</v>
      </c>
      <c r="F53" s="133">
        <v>1</v>
      </c>
      <c r="G53" s="133">
        <v>0.95</v>
      </c>
      <c r="H53" s="133">
        <v>0.85</v>
      </c>
      <c r="I53" s="133">
        <v>0.8</v>
      </c>
      <c r="J53" s="133">
        <v>0.7</v>
      </c>
      <c r="K53" s="133">
        <v>0.6</v>
      </c>
      <c r="L53" s="133">
        <v>0.5</v>
      </c>
      <c r="M53" s="133">
        <v>0.4</v>
      </c>
      <c r="N53" s="133">
        <v>0.3</v>
      </c>
      <c r="O53" s="133">
        <v>0.2</v>
      </c>
      <c r="P53" s="133">
        <v>0.1</v>
      </c>
      <c r="Q53" s="133">
        <v>0</v>
      </c>
      <c r="R53" s="133">
        <v>0</v>
      </c>
      <c r="S53" s="133">
        <v>0</v>
      </c>
      <c r="T53" s="133">
        <v>0</v>
      </c>
      <c r="U53" s="133">
        <v>0</v>
      </c>
      <c r="V53" s="133">
        <v>0</v>
      </c>
      <c r="W53" s="133">
        <v>0</v>
      </c>
      <c r="X53" s="133">
        <v>0</v>
      </c>
      <c r="Y53" s="133">
        <v>0</v>
      </c>
      <c r="Z53" s="133">
        <v>0</v>
      </c>
      <c r="AA53" s="133">
        <v>0</v>
      </c>
      <c r="AB53" s="133">
        <v>0</v>
      </c>
      <c r="AC53" s="133">
        <v>0</v>
      </c>
      <c r="AD53" s="133">
        <v>0</v>
      </c>
      <c r="AE53" s="133">
        <v>0</v>
      </c>
      <c r="AF53" s="133">
        <v>0</v>
      </c>
      <c r="AG53" s="133">
        <v>0</v>
      </c>
      <c r="AH53" s="133">
        <v>0</v>
      </c>
      <c r="AI53" s="133">
        <v>0</v>
      </c>
      <c r="AJ53" s="133">
        <v>0</v>
      </c>
      <c r="AK53" s="133">
        <v>0</v>
      </c>
      <c r="AL53" s="133">
        <v>0</v>
      </c>
      <c r="AM53" s="133">
        <v>0</v>
      </c>
      <c r="AN53" s="133">
        <v>0</v>
      </c>
      <c r="AO53" s="133">
        <v>0</v>
      </c>
      <c r="AP53" s="133">
        <v>0</v>
      </c>
      <c r="AQ53" s="133">
        <v>0</v>
      </c>
      <c r="AR53" s="133">
        <v>0</v>
      </c>
      <c r="AS53" s="133">
        <v>0</v>
      </c>
      <c r="AT53" s="133">
        <v>0</v>
      </c>
      <c r="AU53" s="133">
        <v>0</v>
      </c>
      <c r="AV53" s="133">
        <v>0</v>
      </c>
      <c r="AW53" s="133">
        <v>0</v>
      </c>
      <c r="AX53" s="133">
        <v>0</v>
      </c>
      <c r="AY53" s="133">
        <v>0</v>
      </c>
      <c r="AZ53" s="133">
        <v>0</v>
      </c>
      <c r="BA53" s="133">
        <v>0</v>
      </c>
      <c r="BB53" s="133">
        <v>0</v>
      </c>
      <c r="BC53" s="133">
        <v>0</v>
      </c>
      <c r="BD53" s="133">
        <v>0</v>
      </c>
      <c r="BE53" s="133">
        <v>0</v>
      </c>
      <c r="BF53" s="133">
        <v>0</v>
      </c>
      <c r="BG53" s="133">
        <v>0</v>
      </c>
      <c r="BH53" s="133">
        <v>0</v>
      </c>
      <c r="BI53" s="133">
        <v>0</v>
      </c>
      <c r="BJ53" s="133">
        <v>0</v>
      </c>
      <c r="BK53" s="133">
        <v>0</v>
      </c>
      <c r="BL53" s="133">
        <v>0</v>
      </c>
      <c r="BM53" s="133">
        <v>0</v>
      </c>
      <c r="BN53" s="133">
        <v>0</v>
      </c>
      <c r="BO53" s="133">
        <v>0</v>
      </c>
      <c r="BP53" s="133">
        <v>0</v>
      </c>
      <c r="BQ53" s="133">
        <v>0</v>
      </c>
      <c r="BR53" s="133">
        <v>0</v>
      </c>
      <c r="BS53" s="133">
        <v>0</v>
      </c>
      <c r="BT53" s="133">
        <v>0</v>
      </c>
      <c r="BU53" s="133">
        <v>0</v>
      </c>
      <c r="BV53" s="133">
        <v>0</v>
      </c>
      <c r="BW53" s="133">
        <v>0</v>
      </c>
      <c r="BX53" s="133">
        <v>0</v>
      </c>
      <c r="BY53" s="133">
        <v>0</v>
      </c>
      <c r="BZ53" s="133">
        <v>0</v>
      </c>
      <c r="CA53" s="133">
        <v>0</v>
      </c>
      <c r="CB53" s="133">
        <v>0</v>
      </c>
      <c r="CC53" s="133">
        <v>0</v>
      </c>
      <c r="CD53" s="133">
        <v>0</v>
      </c>
      <c r="CE53" s="133">
        <v>0</v>
      </c>
      <c r="CF53" s="133">
        <v>0</v>
      </c>
      <c r="CG53" s="133">
        <v>0</v>
      </c>
      <c r="CH53" s="133">
        <v>0</v>
      </c>
      <c r="CI53" s="133">
        <v>0</v>
      </c>
      <c r="CJ53" s="133">
        <v>0</v>
      </c>
      <c r="CK53" s="133">
        <v>0</v>
      </c>
      <c r="CL53" s="133">
        <v>0</v>
      </c>
      <c r="CM53" s="133">
        <v>0</v>
      </c>
      <c r="CN53" s="133">
        <v>0</v>
      </c>
      <c r="CO53" s="133">
        <v>0</v>
      </c>
      <c r="CP53" s="133">
        <v>0</v>
      </c>
      <c r="CQ53" s="133">
        <v>0</v>
      </c>
      <c r="CR53" s="133">
        <v>0</v>
      </c>
      <c r="CS53" s="133">
        <v>0</v>
      </c>
      <c r="CT53" s="133">
        <v>0</v>
      </c>
      <c r="CU53" s="133">
        <v>0</v>
      </c>
      <c r="CV53" s="133">
        <v>0</v>
      </c>
      <c r="CW53" s="133">
        <v>0</v>
      </c>
      <c r="CX53" s="133">
        <v>0</v>
      </c>
    </row>
    <row r="54" spans="1:102" ht="15" customHeight="1" x14ac:dyDescent="0.45">
      <c r="A54" s="129">
        <v>5.2</v>
      </c>
      <c r="B54" s="132">
        <v>1</v>
      </c>
      <c r="C54" s="133">
        <v>1</v>
      </c>
      <c r="D54" s="133">
        <v>1</v>
      </c>
      <c r="E54" s="133">
        <v>1</v>
      </c>
      <c r="F54" s="133">
        <v>1</v>
      </c>
      <c r="G54" s="133">
        <v>0.95</v>
      </c>
      <c r="H54" s="133">
        <v>0.85</v>
      </c>
      <c r="I54" s="133">
        <v>0.8</v>
      </c>
      <c r="J54" s="133">
        <v>0.7</v>
      </c>
      <c r="K54" s="133">
        <v>0.6</v>
      </c>
      <c r="L54" s="133">
        <v>0.5</v>
      </c>
      <c r="M54" s="133">
        <v>0.4</v>
      </c>
      <c r="N54" s="133">
        <v>0.3</v>
      </c>
      <c r="O54" s="133">
        <v>0.2</v>
      </c>
      <c r="P54" s="133">
        <v>0.1</v>
      </c>
      <c r="Q54" s="133">
        <v>0</v>
      </c>
      <c r="R54" s="133">
        <v>0</v>
      </c>
      <c r="S54" s="133">
        <v>0</v>
      </c>
      <c r="T54" s="133">
        <v>0</v>
      </c>
      <c r="U54" s="133">
        <v>0</v>
      </c>
      <c r="V54" s="133">
        <v>0</v>
      </c>
      <c r="W54" s="133">
        <v>0</v>
      </c>
      <c r="X54" s="133">
        <v>0</v>
      </c>
      <c r="Y54" s="133">
        <v>0</v>
      </c>
      <c r="Z54" s="133">
        <v>0</v>
      </c>
      <c r="AA54" s="133">
        <v>0</v>
      </c>
      <c r="AB54" s="133">
        <v>0</v>
      </c>
      <c r="AC54" s="133">
        <v>0</v>
      </c>
      <c r="AD54" s="133">
        <v>0</v>
      </c>
      <c r="AE54" s="133">
        <v>0</v>
      </c>
      <c r="AF54" s="133">
        <v>0</v>
      </c>
      <c r="AG54" s="133">
        <v>0</v>
      </c>
      <c r="AH54" s="133">
        <v>0</v>
      </c>
      <c r="AI54" s="133">
        <v>0</v>
      </c>
      <c r="AJ54" s="133">
        <v>0</v>
      </c>
      <c r="AK54" s="133">
        <v>0</v>
      </c>
      <c r="AL54" s="133">
        <v>0</v>
      </c>
      <c r="AM54" s="133">
        <v>0</v>
      </c>
      <c r="AN54" s="133">
        <v>0</v>
      </c>
      <c r="AO54" s="133">
        <v>0</v>
      </c>
      <c r="AP54" s="133">
        <v>0</v>
      </c>
      <c r="AQ54" s="133">
        <v>0</v>
      </c>
      <c r="AR54" s="133">
        <v>0</v>
      </c>
      <c r="AS54" s="133">
        <v>0</v>
      </c>
      <c r="AT54" s="133">
        <v>0</v>
      </c>
      <c r="AU54" s="133">
        <v>0</v>
      </c>
      <c r="AV54" s="133">
        <v>0</v>
      </c>
      <c r="AW54" s="133">
        <v>0</v>
      </c>
      <c r="AX54" s="133">
        <v>0</v>
      </c>
      <c r="AY54" s="133">
        <v>0</v>
      </c>
      <c r="AZ54" s="133">
        <v>0</v>
      </c>
      <c r="BA54" s="133">
        <v>0</v>
      </c>
      <c r="BB54" s="133">
        <v>0</v>
      </c>
      <c r="BC54" s="133">
        <v>0</v>
      </c>
      <c r="BD54" s="133">
        <v>0</v>
      </c>
      <c r="BE54" s="133">
        <v>0</v>
      </c>
      <c r="BF54" s="133">
        <v>0</v>
      </c>
      <c r="BG54" s="133">
        <v>0</v>
      </c>
      <c r="BH54" s="133">
        <v>0</v>
      </c>
      <c r="BI54" s="133">
        <v>0</v>
      </c>
      <c r="BJ54" s="133">
        <v>0</v>
      </c>
      <c r="BK54" s="133">
        <v>0</v>
      </c>
      <c r="BL54" s="133">
        <v>0</v>
      </c>
      <c r="BM54" s="133">
        <v>0</v>
      </c>
      <c r="BN54" s="133">
        <v>0</v>
      </c>
      <c r="BO54" s="133">
        <v>0</v>
      </c>
      <c r="BP54" s="133">
        <v>0</v>
      </c>
      <c r="BQ54" s="133">
        <v>0</v>
      </c>
      <c r="BR54" s="133">
        <v>0</v>
      </c>
      <c r="BS54" s="133">
        <v>0</v>
      </c>
      <c r="BT54" s="133">
        <v>0</v>
      </c>
      <c r="BU54" s="133">
        <v>0</v>
      </c>
      <c r="BV54" s="133">
        <v>0</v>
      </c>
      <c r="BW54" s="133">
        <v>0</v>
      </c>
      <c r="BX54" s="133">
        <v>0</v>
      </c>
      <c r="BY54" s="133">
        <v>0</v>
      </c>
      <c r="BZ54" s="133">
        <v>0</v>
      </c>
      <c r="CA54" s="133">
        <v>0</v>
      </c>
      <c r="CB54" s="133">
        <v>0</v>
      </c>
      <c r="CC54" s="133">
        <v>0</v>
      </c>
      <c r="CD54" s="133">
        <v>0</v>
      </c>
      <c r="CE54" s="133">
        <v>0</v>
      </c>
      <c r="CF54" s="133">
        <v>0</v>
      </c>
      <c r="CG54" s="133">
        <v>0</v>
      </c>
      <c r="CH54" s="133">
        <v>0</v>
      </c>
      <c r="CI54" s="133">
        <v>0</v>
      </c>
      <c r="CJ54" s="133">
        <v>0</v>
      </c>
      <c r="CK54" s="133">
        <v>0</v>
      </c>
      <c r="CL54" s="133">
        <v>0</v>
      </c>
      <c r="CM54" s="133">
        <v>0</v>
      </c>
      <c r="CN54" s="133">
        <v>0</v>
      </c>
      <c r="CO54" s="133">
        <v>0</v>
      </c>
      <c r="CP54" s="133">
        <v>0</v>
      </c>
      <c r="CQ54" s="133">
        <v>0</v>
      </c>
      <c r="CR54" s="133">
        <v>0</v>
      </c>
      <c r="CS54" s="133">
        <v>0</v>
      </c>
      <c r="CT54" s="133">
        <v>0</v>
      </c>
      <c r="CU54" s="133">
        <v>0</v>
      </c>
      <c r="CV54" s="133">
        <v>0</v>
      </c>
      <c r="CW54" s="133">
        <v>0</v>
      </c>
      <c r="CX54" s="133">
        <v>0</v>
      </c>
    </row>
    <row r="55" spans="1:102" ht="15" customHeight="1" x14ac:dyDescent="0.45">
      <c r="A55" s="129">
        <v>5.3</v>
      </c>
      <c r="B55" s="132">
        <v>1</v>
      </c>
      <c r="C55" s="133">
        <v>1</v>
      </c>
      <c r="D55" s="133">
        <v>1</v>
      </c>
      <c r="E55" s="133">
        <v>1</v>
      </c>
      <c r="F55" s="133">
        <v>1</v>
      </c>
      <c r="G55" s="133">
        <v>0.95</v>
      </c>
      <c r="H55" s="133">
        <v>0.85</v>
      </c>
      <c r="I55" s="133">
        <v>0.8</v>
      </c>
      <c r="J55" s="133">
        <v>0.7</v>
      </c>
      <c r="K55" s="133">
        <v>0.6</v>
      </c>
      <c r="L55" s="133">
        <v>0.5</v>
      </c>
      <c r="M55" s="133">
        <v>0.4</v>
      </c>
      <c r="N55" s="133">
        <v>0.3</v>
      </c>
      <c r="O55" s="133">
        <v>0.2</v>
      </c>
      <c r="P55" s="133">
        <v>0.1</v>
      </c>
      <c r="Q55" s="133">
        <v>0</v>
      </c>
      <c r="R55" s="133">
        <v>0</v>
      </c>
      <c r="S55" s="133">
        <v>0</v>
      </c>
      <c r="T55" s="133">
        <v>0</v>
      </c>
      <c r="U55" s="133">
        <v>0</v>
      </c>
      <c r="V55" s="133">
        <v>0</v>
      </c>
      <c r="W55" s="133">
        <v>0</v>
      </c>
      <c r="X55" s="133">
        <v>0</v>
      </c>
      <c r="Y55" s="133">
        <v>0</v>
      </c>
      <c r="Z55" s="133">
        <v>0</v>
      </c>
      <c r="AA55" s="133">
        <v>0</v>
      </c>
      <c r="AB55" s="133">
        <v>0</v>
      </c>
      <c r="AC55" s="133">
        <v>0</v>
      </c>
      <c r="AD55" s="133">
        <v>0</v>
      </c>
      <c r="AE55" s="133">
        <v>0</v>
      </c>
      <c r="AF55" s="133">
        <v>0</v>
      </c>
      <c r="AG55" s="133">
        <v>0</v>
      </c>
      <c r="AH55" s="133">
        <v>0</v>
      </c>
      <c r="AI55" s="133">
        <v>0</v>
      </c>
      <c r="AJ55" s="133">
        <v>0</v>
      </c>
      <c r="AK55" s="133">
        <v>0</v>
      </c>
      <c r="AL55" s="133">
        <v>0</v>
      </c>
      <c r="AM55" s="133">
        <v>0</v>
      </c>
      <c r="AN55" s="133">
        <v>0</v>
      </c>
      <c r="AO55" s="133">
        <v>0</v>
      </c>
      <c r="AP55" s="133">
        <v>0</v>
      </c>
      <c r="AQ55" s="133">
        <v>0</v>
      </c>
      <c r="AR55" s="133">
        <v>0</v>
      </c>
      <c r="AS55" s="133">
        <v>0</v>
      </c>
      <c r="AT55" s="133">
        <v>0</v>
      </c>
      <c r="AU55" s="133">
        <v>0</v>
      </c>
      <c r="AV55" s="133">
        <v>0</v>
      </c>
      <c r="AW55" s="133">
        <v>0</v>
      </c>
      <c r="AX55" s="133">
        <v>0</v>
      </c>
      <c r="AY55" s="133">
        <v>0</v>
      </c>
      <c r="AZ55" s="133">
        <v>0</v>
      </c>
      <c r="BA55" s="133">
        <v>0</v>
      </c>
      <c r="BB55" s="133">
        <v>0</v>
      </c>
      <c r="BC55" s="133">
        <v>0</v>
      </c>
      <c r="BD55" s="133">
        <v>0</v>
      </c>
      <c r="BE55" s="133">
        <v>0</v>
      </c>
      <c r="BF55" s="133">
        <v>0</v>
      </c>
      <c r="BG55" s="133">
        <v>0</v>
      </c>
      <c r="BH55" s="133">
        <v>0</v>
      </c>
      <c r="BI55" s="133">
        <v>0</v>
      </c>
      <c r="BJ55" s="133">
        <v>0</v>
      </c>
      <c r="BK55" s="133">
        <v>0</v>
      </c>
      <c r="BL55" s="133">
        <v>0</v>
      </c>
      <c r="BM55" s="133">
        <v>0</v>
      </c>
      <c r="BN55" s="133">
        <v>0</v>
      </c>
      <c r="BO55" s="133">
        <v>0</v>
      </c>
      <c r="BP55" s="133">
        <v>0</v>
      </c>
      <c r="BQ55" s="133">
        <v>0</v>
      </c>
      <c r="BR55" s="133">
        <v>0</v>
      </c>
      <c r="BS55" s="133">
        <v>0</v>
      </c>
      <c r="BT55" s="133">
        <v>0</v>
      </c>
      <c r="BU55" s="133">
        <v>0</v>
      </c>
      <c r="BV55" s="133">
        <v>0</v>
      </c>
      <c r="BW55" s="133">
        <v>0</v>
      </c>
      <c r="BX55" s="133">
        <v>0</v>
      </c>
      <c r="BY55" s="133">
        <v>0</v>
      </c>
      <c r="BZ55" s="133">
        <v>0</v>
      </c>
      <c r="CA55" s="133">
        <v>0</v>
      </c>
      <c r="CB55" s="133">
        <v>0</v>
      </c>
      <c r="CC55" s="133">
        <v>0</v>
      </c>
      <c r="CD55" s="133">
        <v>0</v>
      </c>
      <c r="CE55" s="133">
        <v>0</v>
      </c>
      <c r="CF55" s="133">
        <v>0</v>
      </c>
      <c r="CG55" s="133">
        <v>0</v>
      </c>
      <c r="CH55" s="133">
        <v>0</v>
      </c>
      <c r="CI55" s="133">
        <v>0</v>
      </c>
      <c r="CJ55" s="133">
        <v>0</v>
      </c>
      <c r="CK55" s="133">
        <v>0</v>
      </c>
      <c r="CL55" s="133">
        <v>0</v>
      </c>
      <c r="CM55" s="133">
        <v>0</v>
      </c>
      <c r="CN55" s="133">
        <v>0</v>
      </c>
      <c r="CO55" s="133">
        <v>0</v>
      </c>
      <c r="CP55" s="133">
        <v>0</v>
      </c>
      <c r="CQ55" s="133">
        <v>0</v>
      </c>
      <c r="CR55" s="133">
        <v>0</v>
      </c>
      <c r="CS55" s="133">
        <v>0</v>
      </c>
      <c r="CT55" s="133">
        <v>0</v>
      </c>
      <c r="CU55" s="133">
        <v>0</v>
      </c>
      <c r="CV55" s="133">
        <v>0</v>
      </c>
      <c r="CW55" s="133">
        <v>0</v>
      </c>
      <c r="CX55" s="133">
        <v>0</v>
      </c>
    </row>
    <row r="56" spans="1:102" ht="15" customHeight="1" x14ac:dyDescent="0.45">
      <c r="A56" s="129">
        <v>5.4</v>
      </c>
      <c r="B56" s="132">
        <v>1</v>
      </c>
      <c r="C56" s="133">
        <v>1</v>
      </c>
      <c r="D56" s="133">
        <v>1</v>
      </c>
      <c r="E56" s="133">
        <v>1</v>
      </c>
      <c r="F56" s="133">
        <v>1</v>
      </c>
      <c r="G56" s="133">
        <v>0.95</v>
      </c>
      <c r="H56" s="133">
        <v>0.85</v>
      </c>
      <c r="I56" s="133">
        <v>0.8</v>
      </c>
      <c r="J56" s="133">
        <v>0.7</v>
      </c>
      <c r="K56" s="133">
        <v>0.6</v>
      </c>
      <c r="L56" s="133">
        <v>0.5</v>
      </c>
      <c r="M56" s="133">
        <v>0.4</v>
      </c>
      <c r="N56" s="133">
        <v>0.3</v>
      </c>
      <c r="O56" s="133">
        <v>0.2</v>
      </c>
      <c r="P56" s="133">
        <v>0.1</v>
      </c>
      <c r="Q56" s="133">
        <v>0</v>
      </c>
      <c r="R56" s="133">
        <v>0</v>
      </c>
      <c r="S56" s="133">
        <v>0</v>
      </c>
      <c r="T56" s="133">
        <v>0</v>
      </c>
      <c r="U56" s="133">
        <v>0</v>
      </c>
      <c r="V56" s="133">
        <v>0</v>
      </c>
      <c r="W56" s="133">
        <v>0</v>
      </c>
      <c r="X56" s="133">
        <v>0</v>
      </c>
      <c r="Y56" s="133">
        <v>0</v>
      </c>
      <c r="Z56" s="133">
        <v>0</v>
      </c>
      <c r="AA56" s="133">
        <v>0</v>
      </c>
      <c r="AB56" s="133">
        <v>0</v>
      </c>
      <c r="AC56" s="133">
        <v>0</v>
      </c>
      <c r="AD56" s="133">
        <v>0</v>
      </c>
      <c r="AE56" s="133">
        <v>0</v>
      </c>
      <c r="AF56" s="133">
        <v>0</v>
      </c>
      <c r="AG56" s="133">
        <v>0</v>
      </c>
      <c r="AH56" s="133">
        <v>0</v>
      </c>
      <c r="AI56" s="133">
        <v>0</v>
      </c>
      <c r="AJ56" s="133">
        <v>0</v>
      </c>
      <c r="AK56" s="133">
        <v>0</v>
      </c>
      <c r="AL56" s="133">
        <v>0</v>
      </c>
      <c r="AM56" s="133">
        <v>0</v>
      </c>
      <c r="AN56" s="133">
        <v>0</v>
      </c>
      <c r="AO56" s="133">
        <v>0</v>
      </c>
      <c r="AP56" s="133">
        <v>0</v>
      </c>
      <c r="AQ56" s="133">
        <v>0</v>
      </c>
      <c r="AR56" s="133">
        <v>0</v>
      </c>
      <c r="AS56" s="133">
        <v>0</v>
      </c>
      <c r="AT56" s="133">
        <v>0</v>
      </c>
      <c r="AU56" s="133">
        <v>0</v>
      </c>
      <c r="AV56" s="133">
        <v>0</v>
      </c>
      <c r="AW56" s="133">
        <v>0</v>
      </c>
      <c r="AX56" s="133">
        <v>0</v>
      </c>
      <c r="AY56" s="133">
        <v>0</v>
      </c>
      <c r="AZ56" s="133">
        <v>0</v>
      </c>
      <c r="BA56" s="133">
        <v>0</v>
      </c>
      <c r="BB56" s="133">
        <v>0</v>
      </c>
      <c r="BC56" s="133">
        <v>0</v>
      </c>
      <c r="BD56" s="133">
        <v>0</v>
      </c>
      <c r="BE56" s="133">
        <v>0</v>
      </c>
      <c r="BF56" s="133">
        <v>0</v>
      </c>
      <c r="BG56" s="133">
        <v>0</v>
      </c>
      <c r="BH56" s="133">
        <v>0</v>
      </c>
      <c r="BI56" s="133">
        <v>0</v>
      </c>
      <c r="BJ56" s="133">
        <v>0</v>
      </c>
      <c r="BK56" s="133">
        <v>0</v>
      </c>
      <c r="BL56" s="133">
        <v>0</v>
      </c>
      <c r="BM56" s="133">
        <v>0</v>
      </c>
      <c r="BN56" s="133">
        <v>0</v>
      </c>
      <c r="BO56" s="133">
        <v>0</v>
      </c>
      <c r="BP56" s="133">
        <v>0</v>
      </c>
      <c r="BQ56" s="133">
        <v>0</v>
      </c>
      <c r="BR56" s="133">
        <v>0</v>
      </c>
      <c r="BS56" s="133">
        <v>0</v>
      </c>
      <c r="BT56" s="133">
        <v>0</v>
      </c>
      <c r="BU56" s="133">
        <v>0</v>
      </c>
      <c r="BV56" s="133">
        <v>0</v>
      </c>
      <c r="BW56" s="133">
        <v>0</v>
      </c>
      <c r="BX56" s="133">
        <v>0</v>
      </c>
      <c r="BY56" s="133">
        <v>0</v>
      </c>
      <c r="BZ56" s="133">
        <v>0</v>
      </c>
      <c r="CA56" s="133">
        <v>0</v>
      </c>
      <c r="CB56" s="133">
        <v>0</v>
      </c>
      <c r="CC56" s="133">
        <v>0</v>
      </c>
      <c r="CD56" s="133">
        <v>0</v>
      </c>
      <c r="CE56" s="133">
        <v>0</v>
      </c>
      <c r="CF56" s="133">
        <v>0</v>
      </c>
      <c r="CG56" s="133">
        <v>0</v>
      </c>
      <c r="CH56" s="133">
        <v>0</v>
      </c>
      <c r="CI56" s="133">
        <v>0</v>
      </c>
      <c r="CJ56" s="133">
        <v>0</v>
      </c>
      <c r="CK56" s="133">
        <v>0</v>
      </c>
      <c r="CL56" s="133">
        <v>0</v>
      </c>
      <c r="CM56" s="133">
        <v>0</v>
      </c>
      <c r="CN56" s="133">
        <v>0</v>
      </c>
      <c r="CO56" s="133">
        <v>0</v>
      </c>
      <c r="CP56" s="133">
        <v>0</v>
      </c>
      <c r="CQ56" s="133">
        <v>0</v>
      </c>
      <c r="CR56" s="133">
        <v>0</v>
      </c>
      <c r="CS56" s="133">
        <v>0</v>
      </c>
      <c r="CT56" s="133">
        <v>0</v>
      </c>
      <c r="CU56" s="133">
        <v>0</v>
      </c>
      <c r="CV56" s="133">
        <v>0</v>
      </c>
      <c r="CW56" s="133">
        <v>0</v>
      </c>
      <c r="CX56" s="133">
        <v>0</v>
      </c>
    </row>
    <row r="57" spans="1:102" ht="15" customHeight="1" x14ac:dyDescent="0.45">
      <c r="A57" s="129">
        <v>5.5</v>
      </c>
      <c r="B57" s="132">
        <v>1</v>
      </c>
      <c r="C57" s="133">
        <v>1</v>
      </c>
      <c r="D57" s="133">
        <v>1</v>
      </c>
      <c r="E57" s="133">
        <v>1</v>
      </c>
      <c r="F57" s="133">
        <v>1</v>
      </c>
      <c r="G57" s="133">
        <v>0.95</v>
      </c>
      <c r="H57" s="133">
        <v>0.85</v>
      </c>
      <c r="I57" s="133">
        <v>0.8</v>
      </c>
      <c r="J57" s="133">
        <v>0.7</v>
      </c>
      <c r="K57" s="133">
        <v>0.6</v>
      </c>
      <c r="L57" s="133">
        <v>0.5</v>
      </c>
      <c r="M57" s="133">
        <v>0.4</v>
      </c>
      <c r="N57" s="133">
        <v>0.3</v>
      </c>
      <c r="O57" s="133">
        <v>0.2</v>
      </c>
      <c r="P57" s="133">
        <v>0.1</v>
      </c>
      <c r="Q57" s="133">
        <v>0</v>
      </c>
      <c r="R57" s="133">
        <v>0</v>
      </c>
      <c r="S57" s="133">
        <v>0</v>
      </c>
      <c r="T57" s="133">
        <v>0</v>
      </c>
      <c r="U57" s="133">
        <v>0</v>
      </c>
      <c r="V57" s="133">
        <v>0</v>
      </c>
      <c r="W57" s="133">
        <v>0</v>
      </c>
      <c r="X57" s="133">
        <v>0</v>
      </c>
      <c r="Y57" s="133">
        <v>0</v>
      </c>
      <c r="Z57" s="133">
        <v>0</v>
      </c>
      <c r="AA57" s="133">
        <v>0</v>
      </c>
      <c r="AB57" s="133">
        <v>0</v>
      </c>
      <c r="AC57" s="133">
        <v>0</v>
      </c>
      <c r="AD57" s="133">
        <v>0</v>
      </c>
      <c r="AE57" s="133">
        <v>0</v>
      </c>
      <c r="AF57" s="133">
        <v>0</v>
      </c>
      <c r="AG57" s="133">
        <v>0</v>
      </c>
      <c r="AH57" s="133">
        <v>0</v>
      </c>
      <c r="AI57" s="133">
        <v>0</v>
      </c>
      <c r="AJ57" s="133">
        <v>0</v>
      </c>
      <c r="AK57" s="133">
        <v>0</v>
      </c>
      <c r="AL57" s="133">
        <v>0</v>
      </c>
      <c r="AM57" s="133">
        <v>0</v>
      </c>
      <c r="AN57" s="133">
        <v>0</v>
      </c>
      <c r="AO57" s="133">
        <v>0</v>
      </c>
      <c r="AP57" s="133">
        <v>0</v>
      </c>
      <c r="AQ57" s="133">
        <v>0</v>
      </c>
      <c r="AR57" s="133">
        <v>0</v>
      </c>
      <c r="AS57" s="133">
        <v>0</v>
      </c>
      <c r="AT57" s="133">
        <v>0</v>
      </c>
      <c r="AU57" s="133">
        <v>0</v>
      </c>
      <c r="AV57" s="133">
        <v>0</v>
      </c>
      <c r="AW57" s="133">
        <v>0</v>
      </c>
      <c r="AX57" s="133">
        <v>0</v>
      </c>
      <c r="AY57" s="133">
        <v>0</v>
      </c>
      <c r="AZ57" s="133">
        <v>0</v>
      </c>
      <c r="BA57" s="133">
        <v>0</v>
      </c>
      <c r="BB57" s="133">
        <v>0</v>
      </c>
      <c r="BC57" s="133">
        <v>0</v>
      </c>
      <c r="BD57" s="133">
        <v>0</v>
      </c>
      <c r="BE57" s="133">
        <v>0</v>
      </c>
      <c r="BF57" s="133">
        <v>0</v>
      </c>
      <c r="BG57" s="133">
        <v>0</v>
      </c>
      <c r="BH57" s="133">
        <v>0</v>
      </c>
      <c r="BI57" s="133">
        <v>0</v>
      </c>
      <c r="BJ57" s="133">
        <v>0</v>
      </c>
      <c r="BK57" s="133">
        <v>0</v>
      </c>
      <c r="BL57" s="133">
        <v>0</v>
      </c>
      <c r="BM57" s="133">
        <v>0</v>
      </c>
      <c r="BN57" s="133">
        <v>0</v>
      </c>
      <c r="BO57" s="133">
        <v>0</v>
      </c>
      <c r="BP57" s="133">
        <v>0</v>
      </c>
      <c r="BQ57" s="133">
        <v>0</v>
      </c>
      <c r="BR57" s="133">
        <v>0</v>
      </c>
      <c r="BS57" s="133">
        <v>0</v>
      </c>
      <c r="BT57" s="133">
        <v>0</v>
      </c>
      <c r="BU57" s="133">
        <v>0</v>
      </c>
      <c r="BV57" s="133">
        <v>0</v>
      </c>
      <c r="BW57" s="133">
        <v>0</v>
      </c>
      <c r="BX57" s="133">
        <v>0</v>
      </c>
      <c r="BY57" s="133">
        <v>0</v>
      </c>
      <c r="BZ57" s="133">
        <v>0</v>
      </c>
      <c r="CA57" s="133">
        <v>0</v>
      </c>
      <c r="CB57" s="133">
        <v>0</v>
      </c>
      <c r="CC57" s="133">
        <v>0</v>
      </c>
      <c r="CD57" s="133">
        <v>0</v>
      </c>
      <c r="CE57" s="133">
        <v>0</v>
      </c>
      <c r="CF57" s="133">
        <v>0</v>
      </c>
      <c r="CG57" s="133">
        <v>0</v>
      </c>
      <c r="CH57" s="133">
        <v>0</v>
      </c>
      <c r="CI57" s="133">
        <v>0</v>
      </c>
      <c r="CJ57" s="133">
        <v>0</v>
      </c>
      <c r="CK57" s="133">
        <v>0</v>
      </c>
      <c r="CL57" s="133">
        <v>0</v>
      </c>
      <c r="CM57" s="133">
        <v>0</v>
      </c>
      <c r="CN57" s="133">
        <v>0</v>
      </c>
      <c r="CO57" s="133">
        <v>0</v>
      </c>
      <c r="CP57" s="133">
        <v>0</v>
      </c>
      <c r="CQ57" s="133">
        <v>0</v>
      </c>
      <c r="CR57" s="133">
        <v>0</v>
      </c>
      <c r="CS57" s="133">
        <v>0</v>
      </c>
      <c r="CT57" s="133">
        <v>0</v>
      </c>
      <c r="CU57" s="133">
        <v>0</v>
      </c>
      <c r="CV57" s="133">
        <v>0</v>
      </c>
      <c r="CW57" s="133">
        <v>0</v>
      </c>
      <c r="CX57" s="133">
        <v>0</v>
      </c>
    </row>
    <row r="58" spans="1:102" ht="15" customHeight="1" x14ac:dyDescent="0.45">
      <c r="A58" s="129">
        <v>5.6</v>
      </c>
      <c r="B58" s="132">
        <v>1</v>
      </c>
      <c r="C58" s="133">
        <v>1</v>
      </c>
      <c r="D58" s="133">
        <v>1</v>
      </c>
      <c r="E58" s="133">
        <v>1</v>
      </c>
      <c r="F58" s="133">
        <v>1</v>
      </c>
      <c r="G58" s="133">
        <v>0.95</v>
      </c>
      <c r="H58" s="133">
        <v>0.85</v>
      </c>
      <c r="I58" s="133">
        <v>0.8</v>
      </c>
      <c r="J58" s="133">
        <v>0.7</v>
      </c>
      <c r="K58" s="133">
        <v>0.6</v>
      </c>
      <c r="L58" s="133">
        <v>0.5</v>
      </c>
      <c r="M58" s="133">
        <v>0.4</v>
      </c>
      <c r="N58" s="133">
        <v>0.3</v>
      </c>
      <c r="O58" s="133">
        <v>0.2</v>
      </c>
      <c r="P58" s="133">
        <v>0.1</v>
      </c>
      <c r="Q58" s="133">
        <v>0</v>
      </c>
      <c r="R58" s="133">
        <v>0</v>
      </c>
      <c r="S58" s="133">
        <v>0</v>
      </c>
      <c r="T58" s="133">
        <v>0</v>
      </c>
      <c r="U58" s="133">
        <v>0</v>
      </c>
      <c r="V58" s="133">
        <v>0</v>
      </c>
      <c r="W58" s="133">
        <v>0</v>
      </c>
      <c r="X58" s="133">
        <v>0</v>
      </c>
      <c r="Y58" s="133">
        <v>0</v>
      </c>
      <c r="Z58" s="133">
        <v>0</v>
      </c>
      <c r="AA58" s="133">
        <v>0</v>
      </c>
      <c r="AB58" s="133">
        <v>0</v>
      </c>
      <c r="AC58" s="133">
        <v>0</v>
      </c>
      <c r="AD58" s="133">
        <v>0</v>
      </c>
      <c r="AE58" s="133">
        <v>0</v>
      </c>
      <c r="AF58" s="133">
        <v>0</v>
      </c>
      <c r="AG58" s="133">
        <v>0</v>
      </c>
      <c r="AH58" s="133">
        <v>0</v>
      </c>
      <c r="AI58" s="133">
        <v>0</v>
      </c>
      <c r="AJ58" s="133">
        <v>0</v>
      </c>
      <c r="AK58" s="133">
        <v>0</v>
      </c>
      <c r="AL58" s="133">
        <v>0</v>
      </c>
      <c r="AM58" s="133">
        <v>0</v>
      </c>
      <c r="AN58" s="133">
        <v>0</v>
      </c>
      <c r="AO58" s="133">
        <v>0</v>
      </c>
      <c r="AP58" s="133">
        <v>0</v>
      </c>
      <c r="AQ58" s="133">
        <v>0</v>
      </c>
      <c r="AR58" s="133">
        <v>0</v>
      </c>
      <c r="AS58" s="133">
        <v>0</v>
      </c>
      <c r="AT58" s="133">
        <v>0</v>
      </c>
      <c r="AU58" s="133">
        <v>0</v>
      </c>
      <c r="AV58" s="133">
        <v>0</v>
      </c>
      <c r="AW58" s="133">
        <v>0</v>
      </c>
      <c r="AX58" s="133">
        <v>0</v>
      </c>
      <c r="AY58" s="133">
        <v>0</v>
      </c>
      <c r="AZ58" s="133">
        <v>0</v>
      </c>
      <c r="BA58" s="133">
        <v>0</v>
      </c>
      <c r="BB58" s="133">
        <v>0</v>
      </c>
      <c r="BC58" s="133">
        <v>0</v>
      </c>
      <c r="BD58" s="133">
        <v>0</v>
      </c>
      <c r="BE58" s="133">
        <v>0</v>
      </c>
      <c r="BF58" s="133">
        <v>0</v>
      </c>
      <c r="BG58" s="133">
        <v>0</v>
      </c>
      <c r="BH58" s="133">
        <v>0</v>
      </c>
      <c r="BI58" s="133">
        <v>0</v>
      </c>
      <c r="BJ58" s="133">
        <v>0</v>
      </c>
      <c r="BK58" s="133">
        <v>0</v>
      </c>
      <c r="BL58" s="133">
        <v>0</v>
      </c>
      <c r="BM58" s="133">
        <v>0</v>
      </c>
      <c r="BN58" s="133">
        <v>0</v>
      </c>
      <c r="BO58" s="133">
        <v>0</v>
      </c>
      <c r="BP58" s="133">
        <v>0</v>
      </c>
      <c r="BQ58" s="133">
        <v>0</v>
      </c>
      <c r="BR58" s="133">
        <v>0</v>
      </c>
      <c r="BS58" s="133">
        <v>0</v>
      </c>
      <c r="BT58" s="133">
        <v>0</v>
      </c>
      <c r="BU58" s="133">
        <v>0</v>
      </c>
      <c r="BV58" s="133">
        <v>0</v>
      </c>
      <c r="BW58" s="133">
        <v>0</v>
      </c>
      <c r="BX58" s="133">
        <v>0</v>
      </c>
      <c r="BY58" s="133">
        <v>0</v>
      </c>
      <c r="BZ58" s="133">
        <v>0</v>
      </c>
      <c r="CA58" s="133">
        <v>0</v>
      </c>
      <c r="CB58" s="133">
        <v>0</v>
      </c>
      <c r="CC58" s="133">
        <v>0</v>
      </c>
      <c r="CD58" s="133">
        <v>0</v>
      </c>
      <c r="CE58" s="133">
        <v>0</v>
      </c>
      <c r="CF58" s="133">
        <v>0</v>
      </c>
      <c r="CG58" s="133">
        <v>0</v>
      </c>
      <c r="CH58" s="133">
        <v>0</v>
      </c>
      <c r="CI58" s="133">
        <v>0</v>
      </c>
      <c r="CJ58" s="133">
        <v>0</v>
      </c>
      <c r="CK58" s="133">
        <v>0</v>
      </c>
      <c r="CL58" s="133">
        <v>0</v>
      </c>
      <c r="CM58" s="133">
        <v>0</v>
      </c>
      <c r="CN58" s="133">
        <v>0</v>
      </c>
      <c r="CO58" s="133">
        <v>0</v>
      </c>
      <c r="CP58" s="133">
        <v>0</v>
      </c>
      <c r="CQ58" s="133">
        <v>0</v>
      </c>
      <c r="CR58" s="133">
        <v>0</v>
      </c>
      <c r="CS58" s="133">
        <v>0</v>
      </c>
      <c r="CT58" s="133">
        <v>0</v>
      </c>
      <c r="CU58" s="133">
        <v>0</v>
      </c>
      <c r="CV58" s="133">
        <v>0</v>
      </c>
      <c r="CW58" s="133">
        <v>0</v>
      </c>
      <c r="CX58" s="133">
        <v>0</v>
      </c>
    </row>
    <row r="59" spans="1:102" ht="15" customHeight="1" x14ac:dyDescent="0.45">
      <c r="A59" s="129">
        <v>5.7</v>
      </c>
      <c r="B59" s="132">
        <v>1</v>
      </c>
      <c r="C59" s="133">
        <v>1</v>
      </c>
      <c r="D59" s="133">
        <v>1</v>
      </c>
      <c r="E59" s="133">
        <v>1</v>
      </c>
      <c r="F59" s="133">
        <v>1</v>
      </c>
      <c r="G59" s="133">
        <v>0.95</v>
      </c>
      <c r="H59" s="133">
        <v>0.85</v>
      </c>
      <c r="I59" s="133">
        <v>0.8</v>
      </c>
      <c r="J59" s="133">
        <v>0.7</v>
      </c>
      <c r="K59" s="133">
        <v>0.6</v>
      </c>
      <c r="L59" s="133">
        <v>0.5</v>
      </c>
      <c r="M59" s="133">
        <v>0.4</v>
      </c>
      <c r="N59" s="133">
        <v>0.3</v>
      </c>
      <c r="O59" s="133">
        <v>0.2</v>
      </c>
      <c r="P59" s="133">
        <v>0.1</v>
      </c>
      <c r="Q59" s="133">
        <v>0</v>
      </c>
      <c r="R59" s="133">
        <v>0</v>
      </c>
      <c r="S59" s="133">
        <v>0</v>
      </c>
      <c r="T59" s="133">
        <v>0</v>
      </c>
      <c r="U59" s="133">
        <v>0</v>
      </c>
      <c r="V59" s="133">
        <v>0</v>
      </c>
      <c r="W59" s="133">
        <v>0</v>
      </c>
      <c r="X59" s="133">
        <v>0</v>
      </c>
      <c r="Y59" s="133">
        <v>0</v>
      </c>
      <c r="Z59" s="133">
        <v>0</v>
      </c>
      <c r="AA59" s="133">
        <v>0</v>
      </c>
      <c r="AB59" s="133">
        <v>0</v>
      </c>
      <c r="AC59" s="133">
        <v>0</v>
      </c>
      <c r="AD59" s="133">
        <v>0</v>
      </c>
      <c r="AE59" s="133">
        <v>0</v>
      </c>
      <c r="AF59" s="133">
        <v>0</v>
      </c>
      <c r="AG59" s="133">
        <v>0</v>
      </c>
      <c r="AH59" s="133">
        <v>0</v>
      </c>
      <c r="AI59" s="133">
        <v>0</v>
      </c>
      <c r="AJ59" s="133">
        <v>0</v>
      </c>
      <c r="AK59" s="133">
        <v>0</v>
      </c>
      <c r="AL59" s="133">
        <v>0</v>
      </c>
      <c r="AM59" s="133">
        <v>0</v>
      </c>
      <c r="AN59" s="133">
        <v>0</v>
      </c>
      <c r="AO59" s="133">
        <v>0</v>
      </c>
      <c r="AP59" s="133">
        <v>0</v>
      </c>
      <c r="AQ59" s="133">
        <v>0</v>
      </c>
      <c r="AR59" s="133">
        <v>0</v>
      </c>
      <c r="AS59" s="133">
        <v>0</v>
      </c>
      <c r="AT59" s="133">
        <v>0</v>
      </c>
      <c r="AU59" s="133">
        <v>0</v>
      </c>
      <c r="AV59" s="133">
        <v>0</v>
      </c>
      <c r="AW59" s="133">
        <v>0</v>
      </c>
      <c r="AX59" s="133">
        <v>0</v>
      </c>
      <c r="AY59" s="133">
        <v>0</v>
      </c>
      <c r="AZ59" s="133">
        <v>0</v>
      </c>
      <c r="BA59" s="133">
        <v>0</v>
      </c>
      <c r="BB59" s="133">
        <v>0</v>
      </c>
      <c r="BC59" s="133">
        <v>0</v>
      </c>
      <c r="BD59" s="133">
        <v>0</v>
      </c>
      <c r="BE59" s="133">
        <v>0</v>
      </c>
      <c r="BF59" s="133">
        <v>0</v>
      </c>
      <c r="BG59" s="133">
        <v>0</v>
      </c>
      <c r="BH59" s="133">
        <v>0</v>
      </c>
      <c r="BI59" s="133">
        <v>0</v>
      </c>
      <c r="BJ59" s="133">
        <v>0</v>
      </c>
      <c r="BK59" s="133">
        <v>0</v>
      </c>
      <c r="BL59" s="133">
        <v>0</v>
      </c>
      <c r="BM59" s="133">
        <v>0</v>
      </c>
      <c r="BN59" s="133">
        <v>0</v>
      </c>
      <c r="BO59" s="133">
        <v>0</v>
      </c>
      <c r="BP59" s="133">
        <v>0</v>
      </c>
      <c r="BQ59" s="133">
        <v>0</v>
      </c>
      <c r="BR59" s="133">
        <v>0</v>
      </c>
      <c r="BS59" s="133">
        <v>0</v>
      </c>
      <c r="BT59" s="133">
        <v>0</v>
      </c>
      <c r="BU59" s="133">
        <v>0</v>
      </c>
      <c r="BV59" s="133">
        <v>0</v>
      </c>
      <c r="BW59" s="133">
        <v>0</v>
      </c>
      <c r="BX59" s="133">
        <v>0</v>
      </c>
      <c r="BY59" s="133">
        <v>0</v>
      </c>
      <c r="BZ59" s="133">
        <v>0</v>
      </c>
      <c r="CA59" s="133">
        <v>0</v>
      </c>
      <c r="CB59" s="133">
        <v>0</v>
      </c>
      <c r="CC59" s="133">
        <v>0</v>
      </c>
      <c r="CD59" s="133">
        <v>0</v>
      </c>
      <c r="CE59" s="133">
        <v>0</v>
      </c>
      <c r="CF59" s="133">
        <v>0</v>
      </c>
      <c r="CG59" s="133">
        <v>0</v>
      </c>
      <c r="CH59" s="133">
        <v>0</v>
      </c>
      <c r="CI59" s="133">
        <v>0</v>
      </c>
      <c r="CJ59" s="133">
        <v>0</v>
      </c>
      <c r="CK59" s="133">
        <v>0</v>
      </c>
      <c r="CL59" s="133">
        <v>0</v>
      </c>
      <c r="CM59" s="133">
        <v>0</v>
      </c>
      <c r="CN59" s="133">
        <v>0</v>
      </c>
      <c r="CO59" s="133">
        <v>0</v>
      </c>
      <c r="CP59" s="133">
        <v>0</v>
      </c>
      <c r="CQ59" s="133">
        <v>0</v>
      </c>
      <c r="CR59" s="133">
        <v>0</v>
      </c>
      <c r="CS59" s="133">
        <v>0</v>
      </c>
      <c r="CT59" s="133">
        <v>0</v>
      </c>
      <c r="CU59" s="133">
        <v>0</v>
      </c>
      <c r="CV59" s="133">
        <v>0</v>
      </c>
      <c r="CW59" s="133">
        <v>0</v>
      </c>
      <c r="CX59" s="133">
        <v>0</v>
      </c>
    </row>
    <row r="60" spans="1:102" ht="15" customHeight="1" x14ac:dyDescent="0.45">
      <c r="A60" s="129">
        <v>5.8</v>
      </c>
      <c r="B60" s="132">
        <v>1</v>
      </c>
      <c r="C60" s="133">
        <v>1</v>
      </c>
      <c r="D60" s="133">
        <v>1</v>
      </c>
      <c r="E60" s="133">
        <v>1</v>
      </c>
      <c r="F60" s="133">
        <v>1</v>
      </c>
      <c r="G60" s="133">
        <v>0.95</v>
      </c>
      <c r="H60" s="133">
        <v>0.85</v>
      </c>
      <c r="I60" s="133">
        <v>0.8</v>
      </c>
      <c r="J60" s="133">
        <v>0.7</v>
      </c>
      <c r="K60" s="133">
        <v>0.6</v>
      </c>
      <c r="L60" s="133">
        <v>0.5</v>
      </c>
      <c r="M60" s="133">
        <v>0.4</v>
      </c>
      <c r="N60" s="133">
        <v>0.3</v>
      </c>
      <c r="O60" s="133">
        <v>0.2</v>
      </c>
      <c r="P60" s="133">
        <v>0.1</v>
      </c>
      <c r="Q60" s="133">
        <v>0</v>
      </c>
      <c r="R60" s="133">
        <v>0</v>
      </c>
      <c r="S60" s="133">
        <v>0</v>
      </c>
      <c r="T60" s="133">
        <v>0</v>
      </c>
      <c r="U60" s="133">
        <v>0</v>
      </c>
      <c r="V60" s="133">
        <v>0</v>
      </c>
      <c r="W60" s="133">
        <v>0</v>
      </c>
      <c r="X60" s="133">
        <v>0</v>
      </c>
      <c r="Y60" s="133">
        <v>0</v>
      </c>
      <c r="Z60" s="133">
        <v>0</v>
      </c>
      <c r="AA60" s="133">
        <v>0</v>
      </c>
      <c r="AB60" s="133">
        <v>0</v>
      </c>
      <c r="AC60" s="133">
        <v>0</v>
      </c>
      <c r="AD60" s="133">
        <v>0</v>
      </c>
      <c r="AE60" s="133">
        <v>0</v>
      </c>
      <c r="AF60" s="133">
        <v>0</v>
      </c>
      <c r="AG60" s="133">
        <v>0</v>
      </c>
      <c r="AH60" s="133">
        <v>0</v>
      </c>
      <c r="AI60" s="133">
        <v>0</v>
      </c>
      <c r="AJ60" s="133">
        <v>0</v>
      </c>
      <c r="AK60" s="133">
        <v>0</v>
      </c>
      <c r="AL60" s="133">
        <v>0</v>
      </c>
      <c r="AM60" s="133">
        <v>0</v>
      </c>
      <c r="AN60" s="133">
        <v>0</v>
      </c>
      <c r="AO60" s="133">
        <v>0</v>
      </c>
      <c r="AP60" s="133">
        <v>0</v>
      </c>
      <c r="AQ60" s="133">
        <v>0</v>
      </c>
      <c r="AR60" s="133">
        <v>0</v>
      </c>
      <c r="AS60" s="133">
        <v>0</v>
      </c>
      <c r="AT60" s="133">
        <v>0</v>
      </c>
      <c r="AU60" s="133">
        <v>0</v>
      </c>
      <c r="AV60" s="133">
        <v>0</v>
      </c>
      <c r="AW60" s="133">
        <v>0</v>
      </c>
      <c r="AX60" s="133">
        <v>0</v>
      </c>
      <c r="AY60" s="133">
        <v>0</v>
      </c>
      <c r="AZ60" s="133">
        <v>0</v>
      </c>
      <c r="BA60" s="133">
        <v>0</v>
      </c>
      <c r="BB60" s="133">
        <v>0</v>
      </c>
      <c r="BC60" s="133">
        <v>0</v>
      </c>
      <c r="BD60" s="133">
        <v>0</v>
      </c>
      <c r="BE60" s="133">
        <v>0</v>
      </c>
      <c r="BF60" s="133">
        <v>0</v>
      </c>
      <c r="BG60" s="133">
        <v>0</v>
      </c>
      <c r="BH60" s="133">
        <v>0</v>
      </c>
      <c r="BI60" s="133">
        <v>0</v>
      </c>
      <c r="BJ60" s="133">
        <v>0</v>
      </c>
      <c r="BK60" s="133">
        <v>0</v>
      </c>
      <c r="BL60" s="133">
        <v>0</v>
      </c>
      <c r="BM60" s="133">
        <v>0</v>
      </c>
      <c r="BN60" s="133">
        <v>0</v>
      </c>
      <c r="BO60" s="133">
        <v>0</v>
      </c>
      <c r="BP60" s="133">
        <v>0</v>
      </c>
      <c r="BQ60" s="133">
        <v>0</v>
      </c>
      <c r="BR60" s="133">
        <v>0</v>
      </c>
      <c r="BS60" s="133">
        <v>0</v>
      </c>
      <c r="BT60" s="133">
        <v>0</v>
      </c>
      <c r="BU60" s="133">
        <v>0</v>
      </c>
      <c r="BV60" s="133">
        <v>0</v>
      </c>
      <c r="BW60" s="133">
        <v>0</v>
      </c>
      <c r="BX60" s="133">
        <v>0</v>
      </c>
      <c r="BY60" s="133">
        <v>0</v>
      </c>
      <c r="BZ60" s="133">
        <v>0</v>
      </c>
      <c r="CA60" s="133">
        <v>0</v>
      </c>
      <c r="CB60" s="133">
        <v>0</v>
      </c>
      <c r="CC60" s="133">
        <v>0</v>
      </c>
      <c r="CD60" s="133">
        <v>0</v>
      </c>
      <c r="CE60" s="133">
        <v>0</v>
      </c>
      <c r="CF60" s="133">
        <v>0</v>
      </c>
      <c r="CG60" s="133">
        <v>0</v>
      </c>
      <c r="CH60" s="133">
        <v>0</v>
      </c>
      <c r="CI60" s="133">
        <v>0</v>
      </c>
      <c r="CJ60" s="133">
        <v>0</v>
      </c>
      <c r="CK60" s="133">
        <v>0</v>
      </c>
      <c r="CL60" s="133">
        <v>0</v>
      </c>
      <c r="CM60" s="133">
        <v>0</v>
      </c>
      <c r="CN60" s="133">
        <v>0</v>
      </c>
      <c r="CO60" s="133">
        <v>0</v>
      </c>
      <c r="CP60" s="133">
        <v>0</v>
      </c>
      <c r="CQ60" s="133">
        <v>0</v>
      </c>
      <c r="CR60" s="133">
        <v>0</v>
      </c>
      <c r="CS60" s="133">
        <v>0</v>
      </c>
      <c r="CT60" s="133">
        <v>0</v>
      </c>
      <c r="CU60" s="133">
        <v>0</v>
      </c>
      <c r="CV60" s="133">
        <v>0</v>
      </c>
      <c r="CW60" s="133">
        <v>0</v>
      </c>
      <c r="CX60" s="133">
        <v>0</v>
      </c>
    </row>
    <row r="61" spans="1:102" ht="15" customHeight="1" x14ac:dyDescent="0.45">
      <c r="A61" s="129">
        <v>5.9</v>
      </c>
      <c r="B61" s="132">
        <v>1</v>
      </c>
      <c r="C61" s="133">
        <v>1</v>
      </c>
      <c r="D61" s="133">
        <v>1</v>
      </c>
      <c r="E61" s="133">
        <v>1</v>
      </c>
      <c r="F61" s="133">
        <v>1</v>
      </c>
      <c r="G61" s="133">
        <v>0.95</v>
      </c>
      <c r="H61" s="133">
        <v>0.85</v>
      </c>
      <c r="I61" s="133">
        <v>0.8</v>
      </c>
      <c r="J61" s="133">
        <v>0.7</v>
      </c>
      <c r="K61" s="133">
        <v>0.6</v>
      </c>
      <c r="L61" s="133">
        <v>0.5</v>
      </c>
      <c r="M61" s="133">
        <v>0.4</v>
      </c>
      <c r="N61" s="133">
        <v>0.3</v>
      </c>
      <c r="O61" s="133">
        <v>0.2</v>
      </c>
      <c r="P61" s="133">
        <v>0.1</v>
      </c>
      <c r="Q61" s="133">
        <v>0</v>
      </c>
      <c r="R61" s="133">
        <v>0</v>
      </c>
      <c r="S61" s="133">
        <v>0</v>
      </c>
      <c r="T61" s="133">
        <v>0</v>
      </c>
      <c r="U61" s="133">
        <v>0</v>
      </c>
      <c r="V61" s="133">
        <v>0</v>
      </c>
      <c r="W61" s="133">
        <v>0</v>
      </c>
      <c r="X61" s="133">
        <v>0</v>
      </c>
      <c r="Y61" s="133">
        <v>0</v>
      </c>
      <c r="Z61" s="133">
        <v>0</v>
      </c>
      <c r="AA61" s="133">
        <v>0</v>
      </c>
      <c r="AB61" s="133">
        <v>0</v>
      </c>
      <c r="AC61" s="133">
        <v>0</v>
      </c>
      <c r="AD61" s="133">
        <v>0</v>
      </c>
      <c r="AE61" s="133">
        <v>0</v>
      </c>
      <c r="AF61" s="133">
        <v>0</v>
      </c>
      <c r="AG61" s="133">
        <v>0</v>
      </c>
      <c r="AH61" s="133">
        <v>0</v>
      </c>
      <c r="AI61" s="133">
        <v>0</v>
      </c>
      <c r="AJ61" s="133">
        <v>0</v>
      </c>
      <c r="AK61" s="133">
        <v>0</v>
      </c>
      <c r="AL61" s="133">
        <v>0</v>
      </c>
      <c r="AM61" s="133">
        <v>0</v>
      </c>
      <c r="AN61" s="133">
        <v>0</v>
      </c>
      <c r="AO61" s="133">
        <v>0</v>
      </c>
      <c r="AP61" s="133">
        <v>0</v>
      </c>
      <c r="AQ61" s="133">
        <v>0</v>
      </c>
      <c r="AR61" s="133">
        <v>0</v>
      </c>
      <c r="AS61" s="133">
        <v>0</v>
      </c>
      <c r="AT61" s="133">
        <v>0</v>
      </c>
      <c r="AU61" s="133">
        <v>0</v>
      </c>
      <c r="AV61" s="133">
        <v>0</v>
      </c>
      <c r="AW61" s="133">
        <v>0</v>
      </c>
      <c r="AX61" s="133">
        <v>0</v>
      </c>
      <c r="AY61" s="133">
        <v>0</v>
      </c>
      <c r="AZ61" s="133">
        <v>0</v>
      </c>
      <c r="BA61" s="133">
        <v>0</v>
      </c>
      <c r="BB61" s="133">
        <v>0</v>
      </c>
      <c r="BC61" s="133">
        <v>0</v>
      </c>
      <c r="BD61" s="133">
        <v>0</v>
      </c>
      <c r="BE61" s="133">
        <v>0</v>
      </c>
      <c r="BF61" s="133">
        <v>0</v>
      </c>
      <c r="BG61" s="133">
        <v>0</v>
      </c>
      <c r="BH61" s="133">
        <v>0</v>
      </c>
      <c r="BI61" s="133">
        <v>0</v>
      </c>
      <c r="BJ61" s="133">
        <v>0</v>
      </c>
      <c r="BK61" s="133">
        <v>0</v>
      </c>
      <c r="BL61" s="133">
        <v>0</v>
      </c>
      <c r="BM61" s="133">
        <v>0</v>
      </c>
      <c r="BN61" s="133">
        <v>0</v>
      </c>
      <c r="BO61" s="133">
        <v>0</v>
      </c>
      <c r="BP61" s="133">
        <v>0</v>
      </c>
      <c r="BQ61" s="133">
        <v>0</v>
      </c>
      <c r="BR61" s="133">
        <v>0</v>
      </c>
      <c r="BS61" s="133">
        <v>0</v>
      </c>
      <c r="BT61" s="133">
        <v>0</v>
      </c>
      <c r="BU61" s="133">
        <v>0</v>
      </c>
      <c r="BV61" s="133">
        <v>0</v>
      </c>
      <c r="BW61" s="133">
        <v>0</v>
      </c>
      <c r="BX61" s="133">
        <v>0</v>
      </c>
      <c r="BY61" s="133">
        <v>0</v>
      </c>
      <c r="BZ61" s="133">
        <v>0</v>
      </c>
      <c r="CA61" s="133">
        <v>0</v>
      </c>
      <c r="CB61" s="133">
        <v>0</v>
      </c>
      <c r="CC61" s="133">
        <v>0</v>
      </c>
      <c r="CD61" s="133">
        <v>0</v>
      </c>
      <c r="CE61" s="133">
        <v>0</v>
      </c>
      <c r="CF61" s="133">
        <v>0</v>
      </c>
      <c r="CG61" s="133">
        <v>0</v>
      </c>
      <c r="CH61" s="133">
        <v>0</v>
      </c>
      <c r="CI61" s="133">
        <v>0</v>
      </c>
      <c r="CJ61" s="133">
        <v>0</v>
      </c>
      <c r="CK61" s="133">
        <v>0</v>
      </c>
      <c r="CL61" s="133">
        <v>0</v>
      </c>
      <c r="CM61" s="133">
        <v>0</v>
      </c>
      <c r="CN61" s="133">
        <v>0</v>
      </c>
      <c r="CO61" s="133">
        <v>0</v>
      </c>
      <c r="CP61" s="133">
        <v>0</v>
      </c>
      <c r="CQ61" s="133">
        <v>0</v>
      </c>
      <c r="CR61" s="133">
        <v>0</v>
      </c>
      <c r="CS61" s="133">
        <v>0</v>
      </c>
      <c r="CT61" s="133">
        <v>0</v>
      </c>
      <c r="CU61" s="133">
        <v>0</v>
      </c>
      <c r="CV61" s="133">
        <v>0</v>
      </c>
      <c r="CW61" s="133">
        <v>0</v>
      </c>
      <c r="CX61" s="133">
        <v>0</v>
      </c>
    </row>
    <row r="62" spans="1:102" ht="15" customHeight="1" x14ac:dyDescent="0.45">
      <c r="A62" s="129">
        <v>6</v>
      </c>
      <c r="B62" s="132">
        <v>1</v>
      </c>
      <c r="C62" s="133">
        <v>1</v>
      </c>
      <c r="D62" s="133">
        <v>1</v>
      </c>
      <c r="E62" s="133">
        <v>1</v>
      </c>
      <c r="F62" s="133">
        <v>1</v>
      </c>
      <c r="G62" s="133">
        <v>0.95</v>
      </c>
      <c r="H62" s="133">
        <v>0.85</v>
      </c>
      <c r="I62" s="133">
        <v>0.8</v>
      </c>
      <c r="J62" s="133">
        <v>0.7</v>
      </c>
      <c r="K62" s="133">
        <v>0.6</v>
      </c>
      <c r="L62" s="133">
        <v>0.5</v>
      </c>
      <c r="M62" s="133">
        <v>0.4</v>
      </c>
      <c r="N62" s="133">
        <v>0.3</v>
      </c>
      <c r="O62" s="133">
        <v>0.2</v>
      </c>
      <c r="P62" s="133">
        <v>0.1</v>
      </c>
      <c r="Q62" s="133">
        <v>0</v>
      </c>
      <c r="R62" s="133">
        <v>0</v>
      </c>
      <c r="S62" s="133">
        <v>0</v>
      </c>
      <c r="T62" s="133">
        <v>0</v>
      </c>
      <c r="U62" s="133">
        <v>0</v>
      </c>
      <c r="V62" s="133">
        <v>0</v>
      </c>
      <c r="W62" s="133">
        <v>0</v>
      </c>
      <c r="X62" s="133">
        <v>0</v>
      </c>
      <c r="Y62" s="133">
        <v>0</v>
      </c>
      <c r="Z62" s="133">
        <v>0</v>
      </c>
      <c r="AA62" s="133">
        <v>0</v>
      </c>
      <c r="AB62" s="133">
        <v>0</v>
      </c>
      <c r="AC62" s="133">
        <v>0</v>
      </c>
      <c r="AD62" s="133">
        <v>0</v>
      </c>
      <c r="AE62" s="133">
        <v>0</v>
      </c>
      <c r="AF62" s="133">
        <v>0</v>
      </c>
      <c r="AG62" s="133">
        <v>0</v>
      </c>
      <c r="AH62" s="133">
        <v>0</v>
      </c>
      <c r="AI62" s="133">
        <v>0</v>
      </c>
      <c r="AJ62" s="133">
        <v>0</v>
      </c>
      <c r="AK62" s="133">
        <v>0</v>
      </c>
      <c r="AL62" s="133">
        <v>0</v>
      </c>
      <c r="AM62" s="133">
        <v>0</v>
      </c>
      <c r="AN62" s="133">
        <v>0</v>
      </c>
      <c r="AO62" s="133">
        <v>0</v>
      </c>
      <c r="AP62" s="133">
        <v>0</v>
      </c>
      <c r="AQ62" s="133">
        <v>0</v>
      </c>
      <c r="AR62" s="133">
        <v>0</v>
      </c>
      <c r="AS62" s="133">
        <v>0</v>
      </c>
      <c r="AT62" s="133">
        <v>0</v>
      </c>
      <c r="AU62" s="133">
        <v>0</v>
      </c>
      <c r="AV62" s="133">
        <v>0</v>
      </c>
      <c r="AW62" s="133">
        <v>0</v>
      </c>
      <c r="AX62" s="133">
        <v>0</v>
      </c>
      <c r="AY62" s="133">
        <v>0</v>
      </c>
      <c r="AZ62" s="133">
        <v>0</v>
      </c>
      <c r="BA62" s="133">
        <v>0</v>
      </c>
      <c r="BB62" s="133">
        <v>0</v>
      </c>
      <c r="BC62" s="133">
        <v>0</v>
      </c>
      <c r="BD62" s="133">
        <v>0</v>
      </c>
      <c r="BE62" s="133">
        <v>0</v>
      </c>
      <c r="BF62" s="133">
        <v>0</v>
      </c>
      <c r="BG62" s="133">
        <v>0</v>
      </c>
      <c r="BH62" s="133">
        <v>0</v>
      </c>
      <c r="BI62" s="133">
        <v>0</v>
      </c>
      <c r="BJ62" s="133">
        <v>0</v>
      </c>
      <c r="BK62" s="133">
        <v>0</v>
      </c>
      <c r="BL62" s="133">
        <v>0</v>
      </c>
      <c r="BM62" s="133">
        <v>0</v>
      </c>
      <c r="BN62" s="133">
        <v>0</v>
      </c>
      <c r="BO62" s="133">
        <v>0</v>
      </c>
      <c r="BP62" s="133">
        <v>0</v>
      </c>
      <c r="BQ62" s="133">
        <v>0</v>
      </c>
      <c r="BR62" s="133">
        <v>0</v>
      </c>
      <c r="BS62" s="133">
        <v>0</v>
      </c>
      <c r="BT62" s="133">
        <v>0</v>
      </c>
      <c r="BU62" s="133">
        <v>0</v>
      </c>
      <c r="BV62" s="133">
        <v>0</v>
      </c>
      <c r="BW62" s="133">
        <v>0</v>
      </c>
      <c r="BX62" s="133">
        <v>0</v>
      </c>
      <c r="BY62" s="133">
        <v>0</v>
      </c>
      <c r="BZ62" s="133">
        <v>0</v>
      </c>
      <c r="CA62" s="133">
        <v>0</v>
      </c>
      <c r="CB62" s="133">
        <v>0</v>
      </c>
      <c r="CC62" s="133">
        <v>0</v>
      </c>
      <c r="CD62" s="133">
        <v>0</v>
      </c>
      <c r="CE62" s="133">
        <v>0</v>
      </c>
      <c r="CF62" s="133">
        <v>0</v>
      </c>
      <c r="CG62" s="133">
        <v>0</v>
      </c>
      <c r="CH62" s="133">
        <v>0</v>
      </c>
      <c r="CI62" s="133">
        <v>0</v>
      </c>
      <c r="CJ62" s="133">
        <v>0</v>
      </c>
      <c r="CK62" s="133">
        <v>0</v>
      </c>
      <c r="CL62" s="133">
        <v>0</v>
      </c>
      <c r="CM62" s="133">
        <v>0</v>
      </c>
      <c r="CN62" s="133">
        <v>0</v>
      </c>
      <c r="CO62" s="133">
        <v>0</v>
      </c>
      <c r="CP62" s="133">
        <v>0</v>
      </c>
      <c r="CQ62" s="133">
        <v>0</v>
      </c>
      <c r="CR62" s="133">
        <v>0</v>
      </c>
      <c r="CS62" s="133">
        <v>0</v>
      </c>
      <c r="CT62" s="133">
        <v>0</v>
      </c>
      <c r="CU62" s="133">
        <v>0</v>
      </c>
      <c r="CV62" s="133">
        <v>0</v>
      </c>
      <c r="CW62" s="133">
        <v>0</v>
      </c>
      <c r="CX62" s="133">
        <v>0</v>
      </c>
    </row>
    <row r="63" spans="1:102" ht="15" customHeight="1" x14ac:dyDescent="0.45">
      <c r="A63" s="129">
        <v>6.1</v>
      </c>
      <c r="B63" s="132">
        <v>1</v>
      </c>
      <c r="C63" s="133">
        <v>1</v>
      </c>
      <c r="D63" s="133">
        <v>1</v>
      </c>
      <c r="E63" s="133">
        <v>1</v>
      </c>
      <c r="F63" s="133">
        <v>1</v>
      </c>
      <c r="G63" s="133">
        <v>0.95</v>
      </c>
      <c r="H63" s="133">
        <v>0.85</v>
      </c>
      <c r="I63" s="133">
        <v>0.8</v>
      </c>
      <c r="J63" s="133">
        <v>0.7</v>
      </c>
      <c r="K63" s="133">
        <v>0.6</v>
      </c>
      <c r="L63" s="133">
        <v>0.5</v>
      </c>
      <c r="M63" s="133">
        <v>0.4</v>
      </c>
      <c r="N63" s="133">
        <v>0.3</v>
      </c>
      <c r="O63" s="133">
        <v>0.2</v>
      </c>
      <c r="P63" s="133">
        <v>0.1</v>
      </c>
      <c r="Q63" s="133">
        <v>0</v>
      </c>
      <c r="R63" s="133">
        <v>0</v>
      </c>
      <c r="S63" s="133">
        <v>0</v>
      </c>
      <c r="T63" s="133">
        <v>0</v>
      </c>
      <c r="U63" s="133">
        <v>0</v>
      </c>
      <c r="V63" s="133">
        <v>0</v>
      </c>
      <c r="W63" s="133">
        <v>0</v>
      </c>
      <c r="X63" s="133">
        <v>0</v>
      </c>
      <c r="Y63" s="133">
        <v>0</v>
      </c>
      <c r="Z63" s="133">
        <v>0</v>
      </c>
      <c r="AA63" s="133">
        <v>0</v>
      </c>
      <c r="AB63" s="133">
        <v>0</v>
      </c>
      <c r="AC63" s="133">
        <v>0</v>
      </c>
      <c r="AD63" s="133">
        <v>0</v>
      </c>
      <c r="AE63" s="133">
        <v>0</v>
      </c>
      <c r="AF63" s="133">
        <v>0</v>
      </c>
      <c r="AG63" s="133">
        <v>0</v>
      </c>
      <c r="AH63" s="133">
        <v>0</v>
      </c>
      <c r="AI63" s="133">
        <v>0</v>
      </c>
      <c r="AJ63" s="133">
        <v>0</v>
      </c>
      <c r="AK63" s="133">
        <v>0</v>
      </c>
      <c r="AL63" s="133">
        <v>0</v>
      </c>
      <c r="AM63" s="133">
        <v>0</v>
      </c>
      <c r="AN63" s="133">
        <v>0</v>
      </c>
      <c r="AO63" s="133">
        <v>0</v>
      </c>
      <c r="AP63" s="133">
        <v>0</v>
      </c>
      <c r="AQ63" s="133">
        <v>0</v>
      </c>
      <c r="AR63" s="133">
        <v>0</v>
      </c>
      <c r="AS63" s="133">
        <v>0</v>
      </c>
      <c r="AT63" s="133">
        <v>0</v>
      </c>
      <c r="AU63" s="133">
        <v>0</v>
      </c>
      <c r="AV63" s="133">
        <v>0</v>
      </c>
      <c r="AW63" s="133">
        <v>0</v>
      </c>
      <c r="AX63" s="133">
        <v>0</v>
      </c>
      <c r="AY63" s="133">
        <v>0</v>
      </c>
      <c r="AZ63" s="133">
        <v>0</v>
      </c>
      <c r="BA63" s="133">
        <v>0</v>
      </c>
      <c r="BB63" s="133">
        <v>0</v>
      </c>
      <c r="BC63" s="133">
        <v>0</v>
      </c>
      <c r="BD63" s="133">
        <v>0</v>
      </c>
      <c r="BE63" s="133">
        <v>0</v>
      </c>
      <c r="BF63" s="133">
        <v>0</v>
      </c>
      <c r="BG63" s="133">
        <v>0</v>
      </c>
      <c r="BH63" s="133">
        <v>0</v>
      </c>
      <c r="BI63" s="133">
        <v>0</v>
      </c>
      <c r="BJ63" s="133">
        <v>0</v>
      </c>
      <c r="BK63" s="133">
        <v>0</v>
      </c>
      <c r="BL63" s="133">
        <v>0</v>
      </c>
      <c r="BM63" s="133">
        <v>0</v>
      </c>
      <c r="BN63" s="133">
        <v>0</v>
      </c>
      <c r="BO63" s="133">
        <v>0</v>
      </c>
      <c r="BP63" s="133">
        <v>0</v>
      </c>
      <c r="BQ63" s="133">
        <v>0</v>
      </c>
      <c r="BR63" s="133">
        <v>0</v>
      </c>
      <c r="BS63" s="133">
        <v>0</v>
      </c>
      <c r="BT63" s="133">
        <v>0</v>
      </c>
      <c r="BU63" s="133">
        <v>0</v>
      </c>
      <c r="BV63" s="133">
        <v>0</v>
      </c>
      <c r="BW63" s="133">
        <v>0</v>
      </c>
      <c r="BX63" s="133">
        <v>0</v>
      </c>
      <c r="BY63" s="133">
        <v>0</v>
      </c>
      <c r="BZ63" s="133">
        <v>0</v>
      </c>
      <c r="CA63" s="133">
        <v>0</v>
      </c>
      <c r="CB63" s="133">
        <v>0</v>
      </c>
      <c r="CC63" s="133">
        <v>0</v>
      </c>
      <c r="CD63" s="133">
        <v>0</v>
      </c>
      <c r="CE63" s="133">
        <v>0</v>
      </c>
      <c r="CF63" s="133">
        <v>0</v>
      </c>
      <c r="CG63" s="133">
        <v>0</v>
      </c>
      <c r="CH63" s="133">
        <v>0</v>
      </c>
      <c r="CI63" s="133">
        <v>0</v>
      </c>
      <c r="CJ63" s="133">
        <v>0</v>
      </c>
      <c r="CK63" s="133">
        <v>0</v>
      </c>
      <c r="CL63" s="133">
        <v>0</v>
      </c>
      <c r="CM63" s="133">
        <v>0</v>
      </c>
      <c r="CN63" s="133">
        <v>0</v>
      </c>
      <c r="CO63" s="133">
        <v>0</v>
      </c>
      <c r="CP63" s="133">
        <v>0</v>
      </c>
      <c r="CQ63" s="133">
        <v>0</v>
      </c>
      <c r="CR63" s="133">
        <v>0</v>
      </c>
      <c r="CS63" s="133">
        <v>0</v>
      </c>
      <c r="CT63" s="133">
        <v>0</v>
      </c>
      <c r="CU63" s="133">
        <v>0</v>
      </c>
      <c r="CV63" s="133">
        <v>0</v>
      </c>
      <c r="CW63" s="133">
        <v>0</v>
      </c>
      <c r="CX63" s="133">
        <v>0</v>
      </c>
    </row>
    <row r="64" spans="1:102" ht="15" customHeight="1" x14ac:dyDescent="0.45">
      <c r="A64" s="129">
        <v>6.2</v>
      </c>
      <c r="B64" s="132">
        <v>1</v>
      </c>
      <c r="C64" s="133">
        <v>1</v>
      </c>
      <c r="D64" s="133">
        <v>1</v>
      </c>
      <c r="E64" s="133">
        <v>1</v>
      </c>
      <c r="F64" s="133">
        <v>1</v>
      </c>
      <c r="G64" s="133">
        <v>0.95</v>
      </c>
      <c r="H64" s="133">
        <v>0.85</v>
      </c>
      <c r="I64" s="133">
        <v>0.8</v>
      </c>
      <c r="J64" s="133">
        <v>0.7</v>
      </c>
      <c r="K64" s="133">
        <v>0.6</v>
      </c>
      <c r="L64" s="133">
        <v>0.5</v>
      </c>
      <c r="M64" s="133">
        <v>0.4</v>
      </c>
      <c r="N64" s="133">
        <v>0.3</v>
      </c>
      <c r="O64" s="133">
        <v>0.2</v>
      </c>
      <c r="P64" s="133">
        <v>0.1</v>
      </c>
      <c r="Q64" s="133">
        <v>0</v>
      </c>
      <c r="R64" s="133">
        <v>0</v>
      </c>
      <c r="S64" s="133">
        <v>0</v>
      </c>
      <c r="T64" s="133">
        <v>0</v>
      </c>
      <c r="U64" s="133">
        <v>0</v>
      </c>
      <c r="V64" s="133">
        <v>0</v>
      </c>
      <c r="W64" s="133">
        <v>0</v>
      </c>
      <c r="X64" s="133">
        <v>0</v>
      </c>
      <c r="Y64" s="133">
        <v>0</v>
      </c>
      <c r="Z64" s="133">
        <v>0</v>
      </c>
      <c r="AA64" s="133">
        <v>0</v>
      </c>
      <c r="AB64" s="133">
        <v>0</v>
      </c>
      <c r="AC64" s="133">
        <v>0</v>
      </c>
      <c r="AD64" s="133">
        <v>0</v>
      </c>
      <c r="AE64" s="133">
        <v>0</v>
      </c>
      <c r="AF64" s="133">
        <v>0</v>
      </c>
      <c r="AG64" s="133">
        <v>0</v>
      </c>
      <c r="AH64" s="133">
        <v>0</v>
      </c>
      <c r="AI64" s="133">
        <v>0</v>
      </c>
      <c r="AJ64" s="133">
        <v>0</v>
      </c>
      <c r="AK64" s="133">
        <v>0</v>
      </c>
      <c r="AL64" s="133">
        <v>0</v>
      </c>
      <c r="AM64" s="133">
        <v>0</v>
      </c>
      <c r="AN64" s="133">
        <v>0</v>
      </c>
      <c r="AO64" s="133">
        <v>0</v>
      </c>
      <c r="AP64" s="133">
        <v>0</v>
      </c>
      <c r="AQ64" s="133">
        <v>0</v>
      </c>
      <c r="AR64" s="133">
        <v>0</v>
      </c>
      <c r="AS64" s="133">
        <v>0</v>
      </c>
      <c r="AT64" s="133">
        <v>0</v>
      </c>
      <c r="AU64" s="133">
        <v>0</v>
      </c>
      <c r="AV64" s="133">
        <v>0</v>
      </c>
      <c r="AW64" s="133">
        <v>0</v>
      </c>
      <c r="AX64" s="133">
        <v>0</v>
      </c>
      <c r="AY64" s="133">
        <v>0</v>
      </c>
      <c r="AZ64" s="133">
        <v>0</v>
      </c>
      <c r="BA64" s="133">
        <v>0</v>
      </c>
      <c r="BB64" s="133">
        <v>0</v>
      </c>
      <c r="BC64" s="133">
        <v>0</v>
      </c>
      <c r="BD64" s="133">
        <v>0</v>
      </c>
      <c r="BE64" s="133">
        <v>0</v>
      </c>
      <c r="BF64" s="133">
        <v>0</v>
      </c>
      <c r="BG64" s="133">
        <v>0</v>
      </c>
      <c r="BH64" s="133">
        <v>0</v>
      </c>
      <c r="BI64" s="133">
        <v>0</v>
      </c>
      <c r="BJ64" s="133">
        <v>0</v>
      </c>
      <c r="BK64" s="133">
        <v>0</v>
      </c>
      <c r="BL64" s="133">
        <v>0</v>
      </c>
      <c r="BM64" s="133">
        <v>0</v>
      </c>
      <c r="BN64" s="133">
        <v>0</v>
      </c>
      <c r="BO64" s="133">
        <v>0</v>
      </c>
      <c r="BP64" s="133">
        <v>0</v>
      </c>
      <c r="BQ64" s="133">
        <v>0</v>
      </c>
      <c r="BR64" s="133">
        <v>0</v>
      </c>
      <c r="BS64" s="133">
        <v>0</v>
      </c>
      <c r="BT64" s="133">
        <v>0</v>
      </c>
      <c r="BU64" s="133">
        <v>0</v>
      </c>
      <c r="BV64" s="133">
        <v>0</v>
      </c>
      <c r="BW64" s="133">
        <v>0</v>
      </c>
      <c r="BX64" s="133">
        <v>0</v>
      </c>
      <c r="BY64" s="133">
        <v>0</v>
      </c>
      <c r="BZ64" s="133">
        <v>0</v>
      </c>
      <c r="CA64" s="133">
        <v>0</v>
      </c>
      <c r="CB64" s="133">
        <v>0</v>
      </c>
      <c r="CC64" s="133">
        <v>0</v>
      </c>
      <c r="CD64" s="133">
        <v>0</v>
      </c>
      <c r="CE64" s="133">
        <v>0</v>
      </c>
      <c r="CF64" s="133">
        <v>0</v>
      </c>
      <c r="CG64" s="133">
        <v>0</v>
      </c>
      <c r="CH64" s="133">
        <v>0</v>
      </c>
      <c r="CI64" s="133">
        <v>0</v>
      </c>
      <c r="CJ64" s="133">
        <v>0</v>
      </c>
      <c r="CK64" s="133">
        <v>0</v>
      </c>
      <c r="CL64" s="133">
        <v>0</v>
      </c>
      <c r="CM64" s="133">
        <v>0</v>
      </c>
      <c r="CN64" s="133">
        <v>0</v>
      </c>
      <c r="CO64" s="133">
        <v>0</v>
      </c>
      <c r="CP64" s="133">
        <v>0</v>
      </c>
      <c r="CQ64" s="133">
        <v>0</v>
      </c>
      <c r="CR64" s="133">
        <v>0</v>
      </c>
      <c r="CS64" s="133">
        <v>0</v>
      </c>
      <c r="CT64" s="133">
        <v>0</v>
      </c>
      <c r="CU64" s="133">
        <v>0</v>
      </c>
      <c r="CV64" s="133">
        <v>0</v>
      </c>
      <c r="CW64" s="133">
        <v>0</v>
      </c>
      <c r="CX64" s="133">
        <v>0</v>
      </c>
    </row>
    <row r="65" spans="1:102" ht="15" customHeight="1" x14ac:dyDescent="0.45">
      <c r="A65" s="129">
        <v>6.3</v>
      </c>
      <c r="B65" s="132">
        <v>1</v>
      </c>
      <c r="C65" s="133">
        <v>1</v>
      </c>
      <c r="D65" s="133">
        <v>1</v>
      </c>
      <c r="E65" s="133">
        <v>1</v>
      </c>
      <c r="F65" s="133">
        <v>1</v>
      </c>
      <c r="G65" s="133">
        <v>0.95</v>
      </c>
      <c r="H65" s="133">
        <v>0.85</v>
      </c>
      <c r="I65" s="133">
        <v>0.8</v>
      </c>
      <c r="J65" s="133">
        <v>0.7</v>
      </c>
      <c r="K65" s="133">
        <v>0.6</v>
      </c>
      <c r="L65" s="133">
        <v>0.5</v>
      </c>
      <c r="M65" s="133">
        <v>0.4</v>
      </c>
      <c r="N65" s="133">
        <v>0.3</v>
      </c>
      <c r="O65" s="133">
        <v>0.2</v>
      </c>
      <c r="P65" s="133">
        <v>0.1</v>
      </c>
      <c r="Q65" s="133">
        <v>0</v>
      </c>
      <c r="R65" s="133">
        <v>0</v>
      </c>
      <c r="S65" s="133">
        <v>0</v>
      </c>
      <c r="T65" s="133">
        <v>0</v>
      </c>
      <c r="U65" s="133">
        <v>0</v>
      </c>
      <c r="V65" s="133">
        <v>0</v>
      </c>
      <c r="W65" s="133">
        <v>0</v>
      </c>
      <c r="X65" s="133">
        <v>0</v>
      </c>
      <c r="Y65" s="133">
        <v>0</v>
      </c>
      <c r="Z65" s="133">
        <v>0</v>
      </c>
      <c r="AA65" s="133">
        <v>0</v>
      </c>
      <c r="AB65" s="133">
        <v>0</v>
      </c>
      <c r="AC65" s="133">
        <v>0</v>
      </c>
      <c r="AD65" s="133">
        <v>0</v>
      </c>
      <c r="AE65" s="133">
        <v>0</v>
      </c>
      <c r="AF65" s="133">
        <v>0</v>
      </c>
      <c r="AG65" s="133">
        <v>0</v>
      </c>
      <c r="AH65" s="133">
        <v>0</v>
      </c>
      <c r="AI65" s="133">
        <v>0</v>
      </c>
      <c r="AJ65" s="133">
        <v>0</v>
      </c>
      <c r="AK65" s="133">
        <v>0</v>
      </c>
      <c r="AL65" s="133">
        <v>0</v>
      </c>
      <c r="AM65" s="133">
        <v>0</v>
      </c>
      <c r="AN65" s="133">
        <v>0</v>
      </c>
      <c r="AO65" s="133">
        <v>0</v>
      </c>
      <c r="AP65" s="133">
        <v>0</v>
      </c>
      <c r="AQ65" s="133">
        <v>0</v>
      </c>
      <c r="AR65" s="133">
        <v>0</v>
      </c>
      <c r="AS65" s="133">
        <v>0</v>
      </c>
      <c r="AT65" s="133">
        <v>0</v>
      </c>
      <c r="AU65" s="133">
        <v>0</v>
      </c>
      <c r="AV65" s="133">
        <v>0</v>
      </c>
      <c r="AW65" s="133">
        <v>0</v>
      </c>
      <c r="AX65" s="133">
        <v>0</v>
      </c>
      <c r="AY65" s="133">
        <v>0</v>
      </c>
      <c r="AZ65" s="133">
        <v>0</v>
      </c>
      <c r="BA65" s="133">
        <v>0</v>
      </c>
      <c r="BB65" s="133">
        <v>0</v>
      </c>
      <c r="BC65" s="133">
        <v>0</v>
      </c>
      <c r="BD65" s="133">
        <v>0</v>
      </c>
      <c r="BE65" s="133">
        <v>0</v>
      </c>
      <c r="BF65" s="133">
        <v>0</v>
      </c>
      <c r="BG65" s="133">
        <v>0</v>
      </c>
      <c r="BH65" s="133">
        <v>0</v>
      </c>
      <c r="BI65" s="133">
        <v>0</v>
      </c>
      <c r="BJ65" s="133">
        <v>0</v>
      </c>
      <c r="BK65" s="133">
        <v>0</v>
      </c>
      <c r="BL65" s="133">
        <v>0</v>
      </c>
      <c r="BM65" s="133">
        <v>0</v>
      </c>
      <c r="BN65" s="133">
        <v>0</v>
      </c>
      <c r="BO65" s="133">
        <v>0</v>
      </c>
      <c r="BP65" s="133">
        <v>0</v>
      </c>
      <c r="BQ65" s="133">
        <v>0</v>
      </c>
      <c r="BR65" s="133">
        <v>0</v>
      </c>
      <c r="BS65" s="133">
        <v>0</v>
      </c>
      <c r="BT65" s="133">
        <v>0</v>
      </c>
      <c r="BU65" s="133">
        <v>0</v>
      </c>
      <c r="BV65" s="133">
        <v>0</v>
      </c>
      <c r="BW65" s="133">
        <v>0</v>
      </c>
      <c r="BX65" s="133">
        <v>0</v>
      </c>
      <c r="BY65" s="133">
        <v>0</v>
      </c>
      <c r="BZ65" s="133">
        <v>0</v>
      </c>
      <c r="CA65" s="133">
        <v>0</v>
      </c>
      <c r="CB65" s="133">
        <v>0</v>
      </c>
      <c r="CC65" s="133">
        <v>0</v>
      </c>
      <c r="CD65" s="133">
        <v>0</v>
      </c>
      <c r="CE65" s="133">
        <v>0</v>
      </c>
      <c r="CF65" s="133">
        <v>0</v>
      </c>
      <c r="CG65" s="133">
        <v>0</v>
      </c>
      <c r="CH65" s="133">
        <v>0</v>
      </c>
      <c r="CI65" s="133">
        <v>0</v>
      </c>
      <c r="CJ65" s="133">
        <v>0</v>
      </c>
      <c r="CK65" s="133">
        <v>0</v>
      </c>
      <c r="CL65" s="133">
        <v>0</v>
      </c>
      <c r="CM65" s="133">
        <v>0</v>
      </c>
      <c r="CN65" s="133">
        <v>0</v>
      </c>
      <c r="CO65" s="133">
        <v>0</v>
      </c>
      <c r="CP65" s="133">
        <v>0</v>
      </c>
      <c r="CQ65" s="133">
        <v>0</v>
      </c>
      <c r="CR65" s="133">
        <v>0</v>
      </c>
      <c r="CS65" s="133">
        <v>0</v>
      </c>
      <c r="CT65" s="133">
        <v>0</v>
      </c>
      <c r="CU65" s="133">
        <v>0</v>
      </c>
      <c r="CV65" s="133">
        <v>0</v>
      </c>
      <c r="CW65" s="133">
        <v>0</v>
      </c>
      <c r="CX65" s="133">
        <v>0</v>
      </c>
    </row>
    <row r="66" spans="1:102" ht="15" customHeight="1" x14ac:dyDescent="0.45">
      <c r="A66" s="129">
        <v>6.4</v>
      </c>
      <c r="B66" s="132">
        <v>1</v>
      </c>
      <c r="C66" s="133">
        <v>1</v>
      </c>
      <c r="D66" s="133">
        <v>1</v>
      </c>
      <c r="E66" s="133">
        <v>1</v>
      </c>
      <c r="F66" s="133">
        <v>1</v>
      </c>
      <c r="G66" s="133">
        <v>0.95</v>
      </c>
      <c r="H66" s="133">
        <v>0.85</v>
      </c>
      <c r="I66" s="133">
        <v>0.8</v>
      </c>
      <c r="J66" s="133">
        <v>0.7</v>
      </c>
      <c r="K66" s="133">
        <v>0.6</v>
      </c>
      <c r="L66" s="133">
        <v>0.5</v>
      </c>
      <c r="M66" s="133">
        <v>0.4</v>
      </c>
      <c r="N66" s="133">
        <v>0.3</v>
      </c>
      <c r="O66" s="133">
        <v>0.2</v>
      </c>
      <c r="P66" s="133">
        <v>0.1</v>
      </c>
      <c r="Q66" s="133">
        <v>0</v>
      </c>
      <c r="R66" s="133">
        <v>0</v>
      </c>
      <c r="S66" s="133">
        <v>0</v>
      </c>
      <c r="T66" s="133">
        <v>0</v>
      </c>
      <c r="U66" s="133">
        <v>0</v>
      </c>
      <c r="V66" s="133">
        <v>0</v>
      </c>
      <c r="W66" s="133">
        <v>0</v>
      </c>
      <c r="X66" s="133">
        <v>0</v>
      </c>
      <c r="Y66" s="133">
        <v>0</v>
      </c>
      <c r="Z66" s="133">
        <v>0</v>
      </c>
      <c r="AA66" s="133">
        <v>0</v>
      </c>
      <c r="AB66" s="133">
        <v>0</v>
      </c>
      <c r="AC66" s="133">
        <v>0</v>
      </c>
      <c r="AD66" s="133">
        <v>0</v>
      </c>
      <c r="AE66" s="133">
        <v>0</v>
      </c>
      <c r="AF66" s="133">
        <v>0</v>
      </c>
      <c r="AG66" s="133">
        <v>0</v>
      </c>
      <c r="AH66" s="133">
        <v>0</v>
      </c>
      <c r="AI66" s="133">
        <v>0</v>
      </c>
      <c r="AJ66" s="133">
        <v>0</v>
      </c>
      <c r="AK66" s="133">
        <v>0</v>
      </c>
      <c r="AL66" s="133">
        <v>0</v>
      </c>
      <c r="AM66" s="133">
        <v>0</v>
      </c>
      <c r="AN66" s="133">
        <v>0</v>
      </c>
      <c r="AO66" s="133">
        <v>0</v>
      </c>
      <c r="AP66" s="133">
        <v>0</v>
      </c>
      <c r="AQ66" s="133">
        <v>0</v>
      </c>
      <c r="AR66" s="133">
        <v>0</v>
      </c>
      <c r="AS66" s="133">
        <v>0</v>
      </c>
      <c r="AT66" s="133">
        <v>0</v>
      </c>
      <c r="AU66" s="133">
        <v>0</v>
      </c>
      <c r="AV66" s="133">
        <v>0</v>
      </c>
      <c r="AW66" s="133">
        <v>0</v>
      </c>
      <c r="AX66" s="133">
        <v>0</v>
      </c>
      <c r="AY66" s="133">
        <v>0</v>
      </c>
      <c r="AZ66" s="133">
        <v>0</v>
      </c>
      <c r="BA66" s="133">
        <v>0</v>
      </c>
      <c r="BB66" s="133">
        <v>0</v>
      </c>
      <c r="BC66" s="133">
        <v>0</v>
      </c>
      <c r="BD66" s="133">
        <v>0</v>
      </c>
      <c r="BE66" s="133">
        <v>0</v>
      </c>
      <c r="BF66" s="133">
        <v>0</v>
      </c>
      <c r="BG66" s="133">
        <v>0</v>
      </c>
      <c r="BH66" s="133">
        <v>0</v>
      </c>
      <c r="BI66" s="133">
        <v>0</v>
      </c>
      <c r="BJ66" s="133">
        <v>0</v>
      </c>
      <c r="BK66" s="133">
        <v>0</v>
      </c>
      <c r="BL66" s="133">
        <v>0</v>
      </c>
      <c r="BM66" s="133">
        <v>0</v>
      </c>
      <c r="BN66" s="133">
        <v>0</v>
      </c>
      <c r="BO66" s="133">
        <v>0</v>
      </c>
      <c r="BP66" s="133">
        <v>0</v>
      </c>
      <c r="BQ66" s="133">
        <v>0</v>
      </c>
      <c r="BR66" s="133">
        <v>0</v>
      </c>
      <c r="BS66" s="133">
        <v>0</v>
      </c>
      <c r="BT66" s="133">
        <v>0</v>
      </c>
      <c r="BU66" s="133">
        <v>0</v>
      </c>
      <c r="BV66" s="133">
        <v>0</v>
      </c>
      <c r="BW66" s="133">
        <v>0</v>
      </c>
      <c r="BX66" s="133">
        <v>0</v>
      </c>
      <c r="BY66" s="133">
        <v>0</v>
      </c>
      <c r="BZ66" s="133">
        <v>0</v>
      </c>
      <c r="CA66" s="133">
        <v>0</v>
      </c>
      <c r="CB66" s="133">
        <v>0</v>
      </c>
      <c r="CC66" s="133">
        <v>0</v>
      </c>
      <c r="CD66" s="133">
        <v>0</v>
      </c>
      <c r="CE66" s="133">
        <v>0</v>
      </c>
      <c r="CF66" s="133">
        <v>0</v>
      </c>
      <c r="CG66" s="133">
        <v>0</v>
      </c>
      <c r="CH66" s="133">
        <v>0</v>
      </c>
      <c r="CI66" s="133">
        <v>0</v>
      </c>
      <c r="CJ66" s="133">
        <v>0</v>
      </c>
      <c r="CK66" s="133">
        <v>0</v>
      </c>
      <c r="CL66" s="133">
        <v>0</v>
      </c>
      <c r="CM66" s="133">
        <v>0</v>
      </c>
      <c r="CN66" s="133">
        <v>0</v>
      </c>
      <c r="CO66" s="133">
        <v>0</v>
      </c>
      <c r="CP66" s="133">
        <v>0</v>
      </c>
      <c r="CQ66" s="133">
        <v>0</v>
      </c>
      <c r="CR66" s="133">
        <v>0</v>
      </c>
      <c r="CS66" s="133">
        <v>0</v>
      </c>
      <c r="CT66" s="133">
        <v>0</v>
      </c>
      <c r="CU66" s="133">
        <v>0</v>
      </c>
      <c r="CV66" s="133">
        <v>0</v>
      </c>
      <c r="CW66" s="133">
        <v>0</v>
      </c>
      <c r="CX66" s="133">
        <v>0</v>
      </c>
    </row>
    <row r="67" spans="1:102" ht="15" customHeight="1" x14ac:dyDescent="0.45">
      <c r="A67" s="129">
        <v>6.5</v>
      </c>
      <c r="B67" s="132">
        <v>1</v>
      </c>
      <c r="C67" s="133">
        <v>1</v>
      </c>
      <c r="D67" s="133">
        <v>1</v>
      </c>
      <c r="E67" s="133">
        <v>1</v>
      </c>
      <c r="F67" s="133">
        <v>1</v>
      </c>
      <c r="G67" s="133">
        <v>0.95</v>
      </c>
      <c r="H67" s="133">
        <v>0.85</v>
      </c>
      <c r="I67" s="133">
        <v>0.8</v>
      </c>
      <c r="J67" s="133">
        <v>0.7</v>
      </c>
      <c r="K67" s="133">
        <v>0.6</v>
      </c>
      <c r="L67" s="133">
        <v>0.5</v>
      </c>
      <c r="M67" s="133">
        <v>0.4</v>
      </c>
      <c r="N67" s="133">
        <v>0.3</v>
      </c>
      <c r="O67" s="133">
        <v>0.2</v>
      </c>
      <c r="P67" s="133">
        <v>0.1</v>
      </c>
      <c r="Q67" s="133">
        <v>0</v>
      </c>
      <c r="R67" s="133">
        <v>0</v>
      </c>
      <c r="S67" s="133">
        <v>0</v>
      </c>
      <c r="T67" s="133">
        <v>0</v>
      </c>
      <c r="U67" s="133">
        <v>0</v>
      </c>
      <c r="V67" s="133">
        <v>0</v>
      </c>
      <c r="W67" s="133">
        <v>0</v>
      </c>
      <c r="X67" s="133">
        <v>0</v>
      </c>
      <c r="Y67" s="133">
        <v>0</v>
      </c>
      <c r="Z67" s="133">
        <v>0</v>
      </c>
      <c r="AA67" s="133">
        <v>0</v>
      </c>
      <c r="AB67" s="133">
        <v>0</v>
      </c>
      <c r="AC67" s="133">
        <v>0</v>
      </c>
      <c r="AD67" s="133">
        <v>0</v>
      </c>
      <c r="AE67" s="133">
        <v>0</v>
      </c>
      <c r="AF67" s="133">
        <v>0</v>
      </c>
      <c r="AG67" s="133">
        <v>0</v>
      </c>
      <c r="AH67" s="133">
        <v>0</v>
      </c>
      <c r="AI67" s="133">
        <v>0</v>
      </c>
      <c r="AJ67" s="133">
        <v>0</v>
      </c>
      <c r="AK67" s="133">
        <v>0</v>
      </c>
      <c r="AL67" s="133">
        <v>0</v>
      </c>
      <c r="AM67" s="133">
        <v>0</v>
      </c>
      <c r="AN67" s="133">
        <v>0</v>
      </c>
      <c r="AO67" s="133">
        <v>0</v>
      </c>
      <c r="AP67" s="133">
        <v>0</v>
      </c>
      <c r="AQ67" s="133">
        <v>0</v>
      </c>
      <c r="AR67" s="133">
        <v>0</v>
      </c>
      <c r="AS67" s="133">
        <v>0</v>
      </c>
      <c r="AT67" s="133">
        <v>0</v>
      </c>
      <c r="AU67" s="133">
        <v>0</v>
      </c>
      <c r="AV67" s="133">
        <v>0</v>
      </c>
      <c r="AW67" s="133">
        <v>0</v>
      </c>
      <c r="AX67" s="133">
        <v>0</v>
      </c>
      <c r="AY67" s="133">
        <v>0</v>
      </c>
      <c r="AZ67" s="133">
        <v>0</v>
      </c>
      <c r="BA67" s="133">
        <v>0</v>
      </c>
      <c r="BB67" s="133">
        <v>0</v>
      </c>
      <c r="BC67" s="133">
        <v>0</v>
      </c>
      <c r="BD67" s="133">
        <v>0</v>
      </c>
      <c r="BE67" s="133">
        <v>0</v>
      </c>
      <c r="BF67" s="133">
        <v>0</v>
      </c>
      <c r="BG67" s="133">
        <v>0</v>
      </c>
      <c r="BH67" s="133">
        <v>0</v>
      </c>
      <c r="BI67" s="133">
        <v>0</v>
      </c>
      <c r="BJ67" s="133">
        <v>0</v>
      </c>
      <c r="BK67" s="133">
        <v>0</v>
      </c>
      <c r="BL67" s="133">
        <v>0</v>
      </c>
      <c r="BM67" s="133">
        <v>0</v>
      </c>
      <c r="BN67" s="133">
        <v>0</v>
      </c>
      <c r="BO67" s="133">
        <v>0</v>
      </c>
      <c r="BP67" s="133">
        <v>0</v>
      </c>
      <c r="BQ67" s="133">
        <v>0</v>
      </c>
      <c r="BR67" s="133">
        <v>0</v>
      </c>
      <c r="BS67" s="133">
        <v>0</v>
      </c>
      <c r="BT67" s="133">
        <v>0</v>
      </c>
      <c r="BU67" s="133">
        <v>0</v>
      </c>
      <c r="BV67" s="133">
        <v>0</v>
      </c>
      <c r="BW67" s="133">
        <v>0</v>
      </c>
      <c r="BX67" s="133">
        <v>0</v>
      </c>
      <c r="BY67" s="133">
        <v>0</v>
      </c>
      <c r="BZ67" s="133">
        <v>0</v>
      </c>
      <c r="CA67" s="133">
        <v>0</v>
      </c>
      <c r="CB67" s="133">
        <v>0</v>
      </c>
      <c r="CC67" s="133">
        <v>0</v>
      </c>
      <c r="CD67" s="133">
        <v>0</v>
      </c>
      <c r="CE67" s="133">
        <v>0</v>
      </c>
      <c r="CF67" s="133">
        <v>0</v>
      </c>
      <c r="CG67" s="133">
        <v>0</v>
      </c>
      <c r="CH67" s="133">
        <v>0</v>
      </c>
      <c r="CI67" s="133">
        <v>0</v>
      </c>
      <c r="CJ67" s="133">
        <v>0</v>
      </c>
      <c r="CK67" s="133">
        <v>0</v>
      </c>
      <c r="CL67" s="133">
        <v>0</v>
      </c>
      <c r="CM67" s="133">
        <v>0</v>
      </c>
      <c r="CN67" s="133">
        <v>0</v>
      </c>
      <c r="CO67" s="133">
        <v>0</v>
      </c>
      <c r="CP67" s="133">
        <v>0</v>
      </c>
      <c r="CQ67" s="133">
        <v>0</v>
      </c>
      <c r="CR67" s="133">
        <v>0</v>
      </c>
      <c r="CS67" s="133">
        <v>0</v>
      </c>
      <c r="CT67" s="133">
        <v>0</v>
      </c>
      <c r="CU67" s="133">
        <v>0</v>
      </c>
      <c r="CV67" s="133">
        <v>0</v>
      </c>
      <c r="CW67" s="133">
        <v>0</v>
      </c>
      <c r="CX67" s="133">
        <v>0</v>
      </c>
    </row>
    <row r="68" spans="1:102" ht="15" customHeight="1" x14ac:dyDescent="0.45">
      <c r="A68" s="129">
        <v>6.6</v>
      </c>
      <c r="B68" s="132">
        <v>1</v>
      </c>
      <c r="C68" s="133">
        <v>1</v>
      </c>
      <c r="D68" s="133">
        <v>1</v>
      </c>
      <c r="E68" s="133">
        <v>1</v>
      </c>
      <c r="F68" s="133">
        <v>1</v>
      </c>
      <c r="G68" s="133">
        <v>0.95</v>
      </c>
      <c r="H68" s="133">
        <v>0.85</v>
      </c>
      <c r="I68" s="133">
        <v>0.8</v>
      </c>
      <c r="J68" s="133">
        <v>0.7</v>
      </c>
      <c r="K68" s="133">
        <v>0.6</v>
      </c>
      <c r="L68" s="133">
        <v>0.5</v>
      </c>
      <c r="M68" s="133">
        <v>0.4</v>
      </c>
      <c r="N68" s="133">
        <v>0.3</v>
      </c>
      <c r="O68" s="133">
        <v>0.2</v>
      </c>
      <c r="P68" s="133">
        <v>0.1</v>
      </c>
      <c r="Q68" s="133">
        <v>0</v>
      </c>
      <c r="R68" s="133">
        <v>0</v>
      </c>
      <c r="S68" s="133">
        <v>0</v>
      </c>
      <c r="T68" s="133">
        <v>0</v>
      </c>
      <c r="U68" s="133">
        <v>0</v>
      </c>
      <c r="V68" s="133">
        <v>0</v>
      </c>
      <c r="W68" s="133">
        <v>0</v>
      </c>
      <c r="X68" s="133">
        <v>0</v>
      </c>
      <c r="Y68" s="133">
        <v>0</v>
      </c>
      <c r="Z68" s="133">
        <v>0</v>
      </c>
      <c r="AA68" s="133">
        <v>0</v>
      </c>
      <c r="AB68" s="133">
        <v>0</v>
      </c>
      <c r="AC68" s="133">
        <v>0</v>
      </c>
      <c r="AD68" s="133">
        <v>0</v>
      </c>
      <c r="AE68" s="133">
        <v>0</v>
      </c>
      <c r="AF68" s="133">
        <v>0</v>
      </c>
      <c r="AG68" s="133">
        <v>0</v>
      </c>
      <c r="AH68" s="133">
        <v>0</v>
      </c>
      <c r="AI68" s="133">
        <v>0</v>
      </c>
      <c r="AJ68" s="133">
        <v>0</v>
      </c>
      <c r="AK68" s="133">
        <v>0</v>
      </c>
      <c r="AL68" s="133">
        <v>0</v>
      </c>
      <c r="AM68" s="133">
        <v>0</v>
      </c>
      <c r="AN68" s="133">
        <v>0</v>
      </c>
      <c r="AO68" s="133">
        <v>0</v>
      </c>
      <c r="AP68" s="133">
        <v>0</v>
      </c>
      <c r="AQ68" s="133">
        <v>0</v>
      </c>
      <c r="AR68" s="133">
        <v>0</v>
      </c>
      <c r="AS68" s="133">
        <v>0</v>
      </c>
      <c r="AT68" s="133">
        <v>0</v>
      </c>
      <c r="AU68" s="133">
        <v>0</v>
      </c>
      <c r="AV68" s="133">
        <v>0</v>
      </c>
      <c r="AW68" s="133">
        <v>0</v>
      </c>
      <c r="AX68" s="133">
        <v>0</v>
      </c>
      <c r="AY68" s="133">
        <v>0</v>
      </c>
      <c r="AZ68" s="133">
        <v>0</v>
      </c>
      <c r="BA68" s="133">
        <v>0</v>
      </c>
      <c r="BB68" s="133">
        <v>0</v>
      </c>
      <c r="BC68" s="133">
        <v>0</v>
      </c>
      <c r="BD68" s="133">
        <v>0</v>
      </c>
      <c r="BE68" s="133">
        <v>0</v>
      </c>
      <c r="BF68" s="133">
        <v>0</v>
      </c>
      <c r="BG68" s="133">
        <v>0</v>
      </c>
      <c r="BH68" s="133">
        <v>0</v>
      </c>
      <c r="BI68" s="133">
        <v>0</v>
      </c>
      <c r="BJ68" s="133">
        <v>0</v>
      </c>
      <c r="BK68" s="133">
        <v>0</v>
      </c>
      <c r="BL68" s="133">
        <v>0</v>
      </c>
      <c r="BM68" s="133">
        <v>0</v>
      </c>
      <c r="BN68" s="133">
        <v>0</v>
      </c>
      <c r="BO68" s="133">
        <v>0</v>
      </c>
      <c r="BP68" s="133">
        <v>0</v>
      </c>
      <c r="BQ68" s="133">
        <v>0</v>
      </c>
      <c r="BR68" s="133">
        <v>0</v>
      </c>
      <c r="BS68" s="133">
        <v>0</v>
      </c>
      <c r="BT68" s="133">
        <v>0</v>
      </c>
      <c r="BU68" s="133">
        <v>0</v>
      </c>
      <c r="BV68" s="133">
        <v>0</v>
      </c>
      <c r="BW68" s="133">
        <v>0</v>
      </c>
      <c r="BX68" s="133">
        <v>0</v>
      </c>
      <c r="BY68" s="133">
        <v>0</v>
      </c>
      <c r="BZ68" s="133">
        <v>0</v>
      </c>
      <c r="CA68" s="133">
        <v>0</v>
      </c>
      <c r="CB68" s="133">
        <v>0</v>
      </c>
      <c r="CC68" s="133">
        <v>0</v>
      </c>
      <c r="CD68" s="133">
        <v>0</v>
      </c>
      <c r="CE68" s="133">
        <v>0</v>
      </c>
      <c r="CF68" s="133">
        <v>0</v>
      </c>
      <c r="CG68" s="133">
        <v>0</v>
      </c>
      <c r="CH68" s="133">
        <v>0</v>
      </c>
      <c r="CI68" s="133">
        <v>0</v>
      </c>
      <c r="CJ68" s="133">
        <v>0</v>
      </c>
      <c r="CK68" s="133">
        <v>0</v>
      </c>
      <c r="CL68" s="133">
        <v>0</v>
      </c>
      <c r="CM68" s="133">
        <v>0</v>
      </c>
      <c r="CN68" s="133">
        <v>0</v>
      </c>
      <c r="CO68" s="133">
        <v>0</v>
      </c>
      <c r="CP68" s="133">
        <v>0</v>
      </c>
      <c r="CQ68" s="133">
        <v>0</v>
      </c>
      <c r="CR68" s="133">
        <v>0</v>
      </c>
      <c r="CS68" s="133">
        <v>0</v>
      </c>
      <c r="CT68" s="133">
        <v>0</v>
      </c>
      <c r="CU68" s="133">
        <v>0</v>
      </c>
      <c r="CV68" s="133">
        <v>0</v>
      </c>
      <c r="CW68" s="133">
        <v>0</v>
      </c>
      <c r="CX68" s="133">
        <v>0</v>
      </c>
    </row>
    <row r="69" spans="1:102" ht="15" customHeight="1" x14ac:dyDescent="0.45">
      <c r="A69" s="129">
        <v>6.7</v>
      </c>
      <c r="B69" s="132">
        <v>1</v>
      </c>
      <c r="C69" s="133">
        <v>1</v>
      </c>
      <c r="D69" s="133">
        <v>1</v>
      </c>
      <c r="E69" s="133">
        <v>1</v>
      </c>
      <c r="F69" s="133">
        <v>1</v>
      </c>
      <c r="G69" s="133">
        <v>0.95</v>
      </c>
      <c r="H69" s="133">
        <v>0.85</v>
      </c>
      <c r="I69" s="133">
        <v>0.8</v>
      </c>
      <c r="J69" s="133">
        <v>0.7</v>
      </c>
      <c r="K69" s="133">
        <v>0.6</v>
      </c>
      <c r="L69" s="133">
        <v>0.5</v>
      </c>
      <c r="M69" s="133">
        <v>0.4</v>
      </c>
      <c r="N69" s="133">
        <v>0.3</v>
      </c>
      <c r="O69" s="133">
        <v>0.2</v>
      </c>
      <c r="P69" s="133">
        <v>0.1</v>
      </c>
      <c r="Q69" s="133">
        <v>0</v>
      </c>
      <c r="R69" s="133">
        <v>0</v>
      </c>
      <c r="S69" s="133">
        <v>0</v>
      </c>
      <c r="T69" s="133">
        <v>0</v>
      </c>
      <c r="U69" s="133">
        <v>0</v>
      </c>
      <c r="V69" s="133">
        <v>0</v>
      </c>
      <c r="W69" s="133">
        <v>0</v>
      </c>
      <c r="X69" s="133">
        <v>0</v>
      </c>
      <c r="Y69" s="133">
        <v>0</v>
      </c>
      <c r="Z69" s="133">
        <v>0</v>
      </c>
      <c r="AA69" s="133">
        <v>0</v>
      </c>
      <c r="AB69" s="133">
        <v>0</v>
      </c>
      <c r="AC69" s="133">
        <v>0</v>
      </c>
      <c r="AD69" s="133">
        <v>0</v>
      </c>
      <c r="AE69" s="133">
        <v>0</v>
      </c>
      <c r="AF69" s="133">
        <v>0</v>
      </c>
      <c r="AG69" s="133">
        <v>0</v>
      </c>
      <c r="AH69" s="133">
        <v>0</v>
      </c>
      <c r="AI69" s="133">
        <v>0</v>
      </c>
      <c r="AJ69" s="133">
        <v>0</v>
      </c>
      <c r="AK69" s="133">
        <v>0</v>
      </c>
      <c r="AL69" s="133">
        <v>0</v>
      </c>
      <c r="AM69" s="133">
        <v>0</v>
      </c>
      <c r="AN69" s="133">
        <v>0</v>
      </c>
      <c r="AO69" s="133">
        <v>0</v>
      </c>
      <c r="AP69" s="133">
        <v>0</v>
      </c>
      <c r="AQ69" s="133">
        <v>0</v>
      </c>
      <c r="AR69" s="133">
        <v>0</v>
      </c>
      <c r="AS69" s="133">
        <v>0</v>
      </c>
      <c r="AT69" s="133">
        <v>0</v>
      </c>
      <c r="AU69" s="133">
        <v>0</v>
      </c>
      <c r="AV69" s="133">
        <v>0</v>
      </c>
      <c r="AW69" s="133">
        <v>0</v>
      </c>
      <c r="AX69" s="133">
        <v>0</v>
      </c>
      <c r="AY69" s="133">
        <v>0</v>
      </c>
      <c r="AZ69" s="133">
        <v>0</v>
      </c>
      <c r="BA69" s="133">
        <v>0</v>
      </c>
      <c r="BB69" s="133">
        <v>0</v>
      </c>
      <c r="BC69" s="133">
        <v>0</v>
      </c>
      <c r="BD69" s="133">
        <v>0</v>
      </c>
      <c r="BE69" s="133">
        <v>0</v>
      </c>
      <c r="BF69" s="133">
        <v>0</v>
      </c>
      <c r="BG69" s="133">
        <v>0</v>
      </c>
      <c r="BH69" s="133">
        <v>0</v>
      </c>
      <c r="BI69" s="133">
        <v>0</v>
      </c>
      <c r="BJ69" s="133">
        <v>0</v>
      </c>
      <c r="BK69" s="133">
        <v>0</v>
      </c>
      <c r="BL69" s="133">
        <v>0</v>
      </c>
      <c r="BM69" s="133">
        <v>0</v>
      </c>
      <c r="BN69" s="133">
        <v>0</v>
      </c>
      <c r="BO69" s="133">
        <v>0</v>
      </c>
      <c r="BP69" s="133">
        <v>0</v>
      </c>
      <c r="BQ69" s="133">
        <v>0</v>
      </c>
      <c r="BR69" s="133">
        <v>0</v>
      </c>
      <c r="BS69" s="133">
        <v>0</v>
      </c>
      <c r="BT69" s="133">
        <v>0</v>
      </c>
      <c r="BU69" s="133">
        <v>0</v>
      </c>
      <c r="BV69" s="133">
        <v>0</v>
      </c>
      <c r="BW69" s="133">
        <v>0</v>
      </c>
      <c r="BX69" s="133">
        <v>0</v>
      </c>
      <c r="BY69" s="133">
        <v>0</v>
      </c>
      <c r="BZ69" s="133">
        <v>0</v>
      </c>
      <c r="CA69" s="133">
        <v>0</v>
      </c>
      <c r="CB69" s="133">
        <v>0</v>
      </c>
      <c r="CC69" s="133">
        <v>0</v>
      </c>
      <c r="CD69" s="133">
        <v>0</v>
      </c>
      <c r="CE69" s="133">
        <v>0</v>
      </c>
      <c r="CF69" s="133">
        <v>0</v>
      </c>
      <c r="CG69" s="133">
        <v>0</v>
      </c>
      <c r="CH69" s="133">
        <v>0</v>
      </c>
      <c r="CI69" s="133">
        <v>0</v>
      </c>
      <c r="CJ69" s="133">
        <v>0</v>
      </c>
      <c r="CK69" s="133">
        <v>0</v>
      </c>
      <c r="CL69" s="133">
        <v>0</v>
      </c>
      <c r="CM69" s="133">
        <v>0</v>
      </c>
      <c r="CN69" s="133">
        <v>0</v>
      </c>
      <c r="CO69" s="133">
        <v>0</v>
      </c>
      <c r="CP69" s="133">
        <v>0</v>
      </c>
      <c r="CQ69" s="133">
        <v>0</v>
      </c>
      <c r="CR69" s="133">
        <v>0</v>
      </c>
      <c r="CS69" s="133">
        <v>0</v>
      </c>
      <c r="CT69" s="133">
        <v>0</v>
      </c>
      <c r="CU69" s="133">
        <v>0</v>
      </c>
      <c r="CV69" s="133">
        <v>0</v>
      </c>
      <c r="CW69" s="133">
        <v>0</v>
      </c>
      <c r="CX69" s="133">
        <v>0</v>
      </c>
    </row>
    <row r="70" spans="1:102" ht="15" customHeight="1" x14ac:dyDescent="0.45">
      <c r="A70" s="129">
        <v>6.8</v>
      </c>
      <c r="B70" s="132">
        <v>1</v>
      </c>
      <c r="C70" s="133">
        <v>1</v>
      </c>
      <c r="D70" s="133">
        <v>1</v>
      </c>
      <c r="E70" s="133">
        <v>1</v>
      </c>
      <c r="F70" s="133">
        <v>1</v>
      </c>
      <c r="G70" s="133">
        <v>0.95</v>
      </c>
      <c r="H70" s="133">
        <v>0.85</v>
      </c>
      <c r="I70" s="133">
        <v>0.8</v>
      </c>
      <c r="J70" s="133">
        <v>0.7</v>
      </c>
      <c r="K70" s="133">
        <v>0.6</v>
      </c>
      <c r="L70" s="133">
        <v>0.5</v>
      </c>
      <c r="M70" s="133">
        <v>0.4</v>
      </c>
      <c r="N70" s="133">
        <v>0.3</v>
      </c>
      <c r="O70" s="133">
        <v>0.2</v>
      </c>
      <c r="P70" s="133">
        <v>0.1</v>
      </c>
      <c r="Q70" s="133">
        <v>0</v>
      </c>
      <c r="R70" s="133">
        <v>0</v>
      </c>
      <c r="S70" s="133">
        <v>0</v>
      </c>
      <c r="T70" s="133">
        <v>0</v>
      </c>
      <c r="U70" s="133">
        <v>0</v>
      </c>
      <c r="V70" s="133">
        <v>0</v>
      </c>
      <c r="W70" s="133">
        <v>0</v>
      </c>
      <c r="X70" s="133">
        <v>0</v>
      </c>
      <c r="Y70" s="133">
        <v>0</v>
      </c>
      <c r="Z70" s="133">
        <v>0</v>
      </c>
      <c r="AA70" s="133">
        <v>0</v>
      </c>
      <c r="AB70" s="133">
        <v>0</v>
      </c>
      <c r="AC70" s="133">
        <v>0</v>
      </c>
      <c r="AD70" s="133">
        <v>0</v>
      </c>
      <c r="AE70" s="133">
        <v>0</v>
      </c>
      <c r="AF70" s="133">
        <v>0</v>
      </c>
      <c r="AG70" s="133">
        <v>0</v>
      </c>
      <c r="AH70" s="133">
        <v>0</v>
      </c>
      <c r="AI70" s="133">
        <v>0</v>
      </c>
      <c r="AJ70" s="133">
        <v>0</v>
      </c>
      <c r="AK70" s="133">
        <v>0</v>
      </c>
      <c r="AL70" s="133">
        <v>0</v>
      </c>
      <c r="AM70" s="133">
        <v>0</v>
      </c>
      <c r="AN70" s="133">
        <v>0</v>
      </c>
      <c r="AO70" s="133">
        <v>0</v>
      </c>
      <c r="AP70" s="133">
        <v>0</v>
      </c>
      <c r="AQ70" s="133">
        <v>0</v>
      </c>
      <c r="AR70" s="133">
        <v>0</v>
      </c>
      <c r="AS70" s="133">
        <v>0</v>
      </c>
      <c r="AT70" s="133">
        <v>0</v>
      </c>
      <c r="AU70" s="133">
        <v>0</v>
      </c>
      <c r="AV70" s="133">
        <v>0</v>
      </c>
      <c r="AW70" s="133">
        <v>0</v>
      </c>
      <c r="AX70" s="133">
        <v>0</v>
      </c>
      <c r="AY70" s="133">
        <v>0</v>
      </c>
      <c r="AZ70" s="133">
        <v>0</v>
      </c>
      <c r="BA70" s="133">
        <v>0</v>
      </c>
      <c r="BB70" s="133">
        <v>0</v>
      </c>
      <c r="BC70" s="133">
        <v>0</v>
      </c>
      <c r="BD70" s="133">
        <v>0</v>
      </c>
      <c r="BE70" s="133">
        <v>0</v>
      </c>
      <c r="BF70" s="133">
        <v>0</v>
      </c>
      <c r="BG70" s="133">
        <v>0</v>
      </c>
      <c r="BH70" s="133">
        <v>0</v>
      </c>
      <c r="BI70" s="133">
        <v>0</v>
      </c>
      <c r="BJ70" s="133">
        <v>0</v>
      </c>
      <c r="BK70" s="133">
        <v>0</v>
      </c>
      <c r="BL70" s="133">
        <v>0</v>
      </c>
      <c r="BM70" s="133">
        <v>0</v>
      </c>
      <c r="BN70" s="133">
        <v>0</v>
      </c>
      <c r="BO70" s="133">
        <v>0</v>
      </c>
      <c r="BP70" s="133">
        <v>0</v>
      </c>
      <c r="BQ70" s="133">
        <v>0</v>
      </c>
      <c r="BR70" s="133">
        <v>0</v>
      </c>
      <c r="BS70" s="133">
        <v>0</v>
      </c>
      <c r="BT70" s="133">
        <v>0</v>
      </c>
      <c r="BU70" s="133">
        <v>0</v>
      </c>
      <c r="BV70" s="133">
        <v>0</v>
      </c>
      <c r="BW70" s="133">
        <v>0</v>
      </c>
      <c r="BX70" s="133">
        <v>0</v>
      </c>
      <c r="BY70" s="133">
        <v>0</v>
      </c>
      <c r="BZ70" s="133">
        <v>0</v>
      </c>
      <c r="CA70" s="133">
        <v>0</v>
      </c>
      <c r="CB70" s="133">
        <v>0</v>
      </c>
      <c r="CC70" s="133">
        <v>0</v>
      </c>
      <c r="CD70" s="133">
        <v>0</v>
      </c>
      <c r="CE70" s="133">
        <v>0</v>
      </c>
      <c r="CF70" s="133">
        <v>0</v>
      </c>
      <c r="CG70" s="133">
        <v>0</v>
      </c>
      <c r="CH70" s="133">
        <v>0</v>
      </c>
      <c r="CI70" s="133">
        <v>0</v>
      </c>
      <c r="CJ70" s="133">
        <v>0</v>
      </c>
      <c r="CK70" s="133">
        <v>0</v>
      </c>
      <c r="CL70" s="133">
        <v>0</v>
      </c>
      <c r="CM70" s="133">
        <v>0</v>
      </c>
      <c r="CN70" s="133">
        <v>0</v>
      </c>
      <c r="CO70" s="133">
        <v>0</v>
      </c>
      <c r="CP70" s="133">
        <v>0</v>
      </c>
      <c r="CQ70" s="133">
        <v>0</v>
      </c>
      <c r="CR70" s="133">
        <v>0</v>
      </c>
      <c r="CS70" s="133">
        <v>0</v>
      </c>
      <c r="CT70" s="133">
        <v>0</v>
      </c>
      <c r="CU70" s="133">
        <v>0</v>
      </c>
      <c r="CV70" s="133">
        <v>0</v>
      </c>
      <c r="CW70" s="133">
        <v>0</v>
      </c>
      <c r="CX70" s="133">
        <v>0</v>
      </c>
    </row>
    <row r="71" spans="1:102" ht="15" customHeight="1" x14ac:dyDescent="0.45">
      <c r="A71" s="129">
        <v>6.9</v>
      </c>
      <c r="B71" s="132">
        <v>1</v>
      </c>
      <c r="C71" s="133">
        <v>1</v>
      </c>
      <c r="D71" s="133">
        <v>1</v>
      </c>
      <c r="E71" s="133">
        <v>1</v>
      </c>
      <c r="F71" s="133">
        <v>1</v>
      </c>
      <c r="G71" s="133">
        <v>0.95</v>
      </c>
      <c r="H71" s="133">
        <v>0.85</v>
      </c>
      <c r="I71" s="133">
        <v>0.8</v>
      </c>
      <c r="J71" s="133">
        <v>0.7</v>
      </c>
      <c r="K71" s="133">
        <v>0.6</v>
      </c>
      <c r="L71" s="133">
        <v>0.5</v>
      </c>
      <c r="M71" s="133">
        <v>0.4</v>
      </c>
      <c r="N71" s="133">
        <v>0.3</v>
      </c>
      <c r="O71" s="133">
        <v>0.2</v>
      </c>
      <c r="P71" s="133">
        <v>0.1</v>
      </c>
      <c r="Q71" s="133">
        <v>0</v>
      </c>
      <c r="R71" s="133">
        <v>0</v>
      </c>
      <c r="S71" s="133">
        <v>0</v>
      </c>
      <c r="T71" s="133">
        <v>0</v>
      </c>
      <c r="U71" s="133">
        <v>0</v>
      </c>
      <c r="V71" s="133">
        <v>0</v>
      </c>
      <c r="W71" s="133">
        <v>0</v>
      </c>
      <c r="X71" s="133">
        <v>0</v>
      </c>
      <c r="Y71" s="133">
        <v>0</v>
      </c>
      <c r="Z71" s="133">
        <v>0</v>
      </c>
      <c r="AA71" s="133">
        <v>0</v>
      </c>
      <c r="AB71" s="133">
        <v>0</v>
      </c>
      <c r="AC71" s="133">
        <v>0</v>
      </c>
      <c r="AD71" s="133">
        <v>0</v>
      </c>
      <c r="AE71" s="133">
        <v>0</v>
      </c>
      <c r="AF71" s="133">
        <v>0</v>
      </c>
      <c r="AG71" s="133">
        <v>0</v>
      </c>
      <c r="AH71" s="133">
        <v>0</v>
      </c>
      <c r="AI71" s="133">
        <v>0</v>
      </c>
      <c r="AJ71" s="133">
        <v>0</v>
      </c>
      <c r="AK71" s="133">
        <v>0</v>
      </c>
      <c r="AL71" s="133">
        <v>0</v>
      </c>
      <c r="AM71" s="133">
        <v>0</v>
      </c>
      <c r="AN71" s="133">
        <v>0</v>
      </c>
      <c r="AO71" s="133">
        <v>0</v>
      </c>
      <c r="AP71" s="133">
        <v>0</v>
      </c>
      <c r="AQ71" s="133">
        <v>0</v>
      </c>
      <c r="AR71" s="133">
        <v>0</v>
      </c>
      <c r="AS71" s="133">
        <v>0</v>
      </c>
      <c r="AT71" s="133">
        <v>0</v>
      </c>
      <c r="AU71" s="133">
        <v>0</v>
      </c>
      <c r="AV71" s="133">
        <v>0</v>
      </c>
      <c r="AW71" s="133">
        <v>0</v>
      </c>
      <c r="AX71" s="133">
        <v>0</v>
      </c>
      <c r="AY71" s="133">
        <v>0</v>
      </c>
      <c r="AZ71" s="133">
        <v>0</v>
      </c>
      <c r="BA71" s="133">
        <v>0</v>
      </c>
      <c r="BB71" s="133">
        <v>0</v>
      </c>
      <c r="BC71" s="133">
        <v>0</v>
      </c>
      <c r="BD71" s="133">
        <v>0</v>
      </c>
      <c r="BE71" s="133">
        <v>0</v>
      </c>
      <c r="BF71" s="133">
        <v>0</v>
      </c>
      <c r="BG71" s="133">
        <v>0</v>
      </c>
      <c r="BH71" s="133">
        <v>0</v>
      </c>
      <c r="BI71" s="133">
        <v>0</v>
      </c>
      <c r="BJ71" s="133">
        <v>0</v>
      </c>
      <c r="BK71" s="133">
        <v>0</v>
      </c>
      <c r="BL71" s="133">
        <v>0</v>
      </c>
      <c r="BM71" s="133">
        <v>0</v>
      </c>
      <c r="BN71" s="133">
        <v>0</v>
      </c>
      <c r="BO71" s="133">
        <v>0</v>
      </c>
      <c r="BP71" s="133">
        <v>0</v>
      </c>
      <c r="BQ71" s="133">
        <v>0</v>
      </c>
      <c r="BR71" s="133">
        <v>0</v>
      </c>
      <c r="BS71" s="133">
        <v>0</v>
      </c>
      <c r="BT71" s="133">
        <v>0</v>
      </c>
      <c r="BU71" s="133">
        <v>0</v>
      </c>
      <c r="BV71" s="133">
        <v>0</v>
      </c>
      <c r="BW71" s="133">
        <v>0</v>
      </c>
      <c r="BX71" s="133">
        <v>0</v>
      </c>
      <c r="BY71" s="133">
        <v>0</v>
      </c>
      <c r="BZ71" s="133">
        <v>0</v>
      </c>
      <c r="CA71" s="133">
        <v>0</v>
      </c>
      <c r="CB71" s="133">
        <v>0</v>
      </c>
      <c r="CC71" s="133">
        <v>0</v>
      </c>
      <c r="CD71" s="133">
        <v>0</v>
      </c>
      <c r="CE71" s="133">
        <v>0</v>
      </c>
      <c r="CF71" s="133">
        <v>0</v>
      </c>
      <c r="CG71" s="133">
        <v>0</v>
      </c>
      <c r="CH71" s="133">
        <v>0</v>
      </c>
      <c r="CI71" s="133">
        <v>0</v>
      </c>
      <c r="CJ71" s="133">
        <v>0</v>
      </c>
      <c r="CK71" s="133">
        <v>0</v>
      </c>
      <c r="CL71" s="133">
        <v>0</v>
      </c>
      <c r="CM71" s="133">
        <v>0</v>
      </c>
      <c r="CN71" s="133">
        <v>0</v>
      </c>
      <c r="CO71" s="133">
        <v>0</v>
      </c>
      <c r="CP71" s="133">
        <v>0</v>
      </c>
      <c r="CQ71" s="133">
        <v>0</v>
      </c>
      <c r="CR71" s="133">
        <v>0</v>
      </c>
      <c r="CS71" s="133">
        <v>0</v>
      </c>
      <c r="CT71" s="133">
        <v>0</v>
      </c>
      <c r="CU71" s="133">
        <v>0</v>
      </c>
      <c r="CV71" s="133">
        <v>0</v>
      </c>
      <c r="CW71" s="133">
        <v>0</v>
      </c>
      <c r="CX71" s="133">
        <v>0</v>
      </c>
    </row>
    <row r="72" spans="1:102" ht="15" customHeight="1" x14ac:dyDescent="0.45">
      <c r="A72" s="129">
        <v>7</v>
      </c>
      <c r="B72" s="132">
        <v>1</v>
      </c>
      <c r="C72" s="133">
        <v>1</v>
      </c>
      <c r="D72" s="133">
        <v>1</v>
      </c>
      <c r="E72" s="133">
        <v>1</v>
      </c>
      <c r="F72" s="133">
        <v>1</v>
      </c>
      <c r="G72" s="133">
        <v>0.95</v>
      </c>
      <c r="H72" s="133">
        <v>0.85</v>
      </c>
      <c r="I72" s="133">
        <v>0.8</v>
      </c>
      <c r="J72" s="133">
        <v>0.7</v>
      </c>
      <c r="K72" s="133">
        <v>0.6</v>
      </c>
      <c r="L72" s="133">
        <v>0.5</v>
      </c>
      <c r="M72" s="133">
        <v>0.4</v>
      </c>
      <c r="N72" s="133">
        <v>0.3</v>
      </c>
      <c r="O72" s="133">
        <v>0.2</v>
      </c>
      <c r="P72" s="133">
        <v>0.1</v>
      </c>
      <c r="Q72" s="133">
        <v>0</v>
      </c>
      <c r="R72" s="133">
        <v>0</v>
      </c>
      <c r="S72" s="133">
        <v>0</v>
      </c>
      <c r="T72" s="133">
        <v>0</v>
      </c>
      <c r="U72" s="133">
        <v>0</v>
      </c>
      <c r="V72" s="133">
        <v>0</v>
      </c>
      <c r="W72" s="133">
        <v>0</v>
      </c>
      <c r="X72" s="133">
        <v>0</v>
      </c>
      <c r="Y72" s="133">
        <v>0</v>
      </c>
      <c r="Z72" s="133">
        <v>0</v>
      </c>
      <c r="AA72" s="133">
        <v>0</v>
      </c>
      <c r="AB72" s="133">
        <v>0</v>
      </c>
      <c r="AC72" s="133">
        <v>0</v>
      </c>
      <c r="AD72" s="133">
        <v>0</v>
      </c>
      <c r="AE72" s="133">
        <v>0</v>
      </c>
      <c r="AF72" s="133">
        <v>0</v>
      </c>
      <c r="AG72" s="133">
        <v>0</v>
      </c>
      <c r="AH72" s="133">
        <v>0</v>
      </c>
      <c r="AI72" s="133">
        <v>0</v>
      </c>
      <c r="AJ72" s="133">
        <v>0</v>
      </c>
      <c r="AK72" s="133">
        <v>0</v>
      </c>
      <c r="AL72" s="133">
        <v>0</v>
      </c>
      <c r="AM72" s="133">
        <v>0</v>
      </c>
      <c r="AN72" s="133">
        <v>0</v>
      </c>
      <c r="AO72" s="133">
        <v>0</v>
      </c>
      <c r="AP72" s="133">
        <v>0</v>
      </c>
      <c r="AQ72" s="133">
        <v>0</v>
      </c>
      <c r="AR72" s="133">
        <v>0</v>
      </c>
      <c r="AS72" s="133">
        <v>0</v>
      </c>
      <c r="AT72" s="133">
        <v>0</v>
      </c>
      <c r="AU72" s="133">
        <v>0</v>
      </c>
      <c r="AV72" s="133">
        <v>0</v>
      </c>
      <c r="AW72" s="133">
        <v>0</v>
      </c>
      <c r="AX72" s="133">
        <v>0</v>
      </c>
      <c r="AY72" s="133">
        <v>0</v>
      </c>
      <c r="AZ72" s="133">
        <v>0</v>
      </c>
      <c r="BA72" s="133">
        <v>0</v>
      </c>
      <c r="BB72" s="133">
        <v>0</v>
      </c>
      <c r="BC72" s="133">
        <v>0</v>
      </c>
      <c r="BD72" s="133">
        <v>0</v>
      </c>
      <c r="BE72" s="133">
        <v>0</v>
      </c>
      <c r="BF72" s="133">
        <v>0</v>
      </c>
      <c r="BG72" s="133">
        <v>0</v>
      </c>
      <c r="BH72" s="133">
        <v>0</v>
      </c>
      <c r="BI72" s="133">
        <v>0</v>
      </c>
      <c r="BJ72" s="133">
        <v>0</v>
      </c>
      <c r="BK72" s="133">
        <v>0</v>
      </c>
      <c r="BL72" s="133">
        <v>0</v>
      </c>
      <c r="BM72" s="133">
        <v>0</v>
      </c>
      <c r="BN72" s="133">
        <v>0</v>
      </c>
      <c r="BO72" s="133">
        <v>0</v>
      </c>
      <c r="BP72" s="133">
        <v>0</v>
      </c>
      <c r="BQ72" s="133">
        <v>0</v>
      </c>
      <c r="BR72" s="133">
        <v>0</v>
      </c>
      <c r="BS72" s="133">
        <v>0</v>
      </c>
      <c r="BT72" s="133">
        <v>0</v>
      </c>
      <c r="BU72" s="133">
        <v>0</v>
      </c>
      <c r="BV72" s="133">
        <v>0</v>
      </c>
      <c r="BW72" s="133">
        <v>0</v>
      </c>
      <c r="BX72" s="133">
        <v>0</v>
      </c>
      <c r="BY72" s="133">
        <v>0</v>
      </c>
      <c r="BZ72" s="133">
        <v>0</v>
      </c>
      <c r="CA72" s="133">
        <v>0</v>
      </c>
      <c r="CB72" s="133">
        <v>0</v>
      </c>
      <c r="CC72" s="133">
        <v>0</v>
      </c>
      <c r="CD72" s="133">
        <v>0</v>
      </c>
      <c r="CE72" s="133">
        <v>0</v>
      </c>
      <c r="CF72" s="133">
        <v>0</v>
      </c>
      <c r="CG72" s="133">
        <v>0</v>
      </c>
      <c r="CH72" s="133">
        <v>0</v>
      </c>
      <c r="CI72" s="133">
        <v>0</v>
      </c>
      <c r="CJ72" s="133">
        <v>0</v>
      </c>
      <c r="CK72" s="133">
        <v>0</v>
      </c>
      <c r="CL72" s="133">
        <v>0</v>
      </c>
      <c r="CM72" s="133">
        <v>0</v>
      </c>
      <c r="CN72" s="133">
        <v>0</v>
      </c>
      <c r="CO72" s="133">
        <v>0</v>
      </c>
      <c r="CP72" s="133">
        <v>0</v>
      </c>
      <c r="CQ72" s="133">
        <v>0</v>
      </c>
      <c r="CR72" s="133">
        <v>0</v>
      </c>
      <c r="CS72" s="133">
        <v>0</v>
      </c>
      <c r="CT72" s="133">
        <v>0</v>
      </c>
      <c r="CU72" s="133">
        <v>0</v>
      </c>
      <c r="CV72" s="133">
        <v>0</v>
      </c>
      <c r="CW72" s="133">
        <v>0</v>
      </c>
      <c r="CX72" s="133">
        <v>0</v>
      </c>
    </row>
    <row r="73" spans="1:102" ht="15" customHeight="1" x14ac:dyDescent="0.45">
      <c r="A73" s="129">
        <v>7.1</v>
      </c>
      <c r="B73" s="132">
        <v>1</v>
      </c>
      <c r="C73" s="133">
        <v>1</v>
      </c>
      <c r="D73" s="133">
        <v>1</v>
      </c>
      <c r="E73" s="133">
        <v>1</v>
      </c>
      <c r="F73" s="133">
        <v>1</v>
      </c>
      <c r="G73" s="133">
        <v>0.95</v>
      </c>
      <c r="H73" s="133">
        <v>0.85</v>
      </c>
      <c r="I73" s="133">
        <v>0.8</v>
      </c>
      <c r="J73" s="133">
        <v>0.7</v>
      </c>
      <c r="K73" s="133">
        <v>0.6</v>
      </c>
      <c r="L73" s="133">
        <v>0.5</v>
      </c>
      <c r="M73" s="133">
        <v>0.4</v>
      </c>
      <c r="N73" s="133">
        <v>0.3</v>
      </c>
      <c r="O73" s="133">
        <v>0.2</v>
      </c>
      <c r="P73" s="133">
        <v>0.1</v>
      </c>
      <c r="Q73" s="133">
        <v>0</v>
      </c>
      <c r="R73" s="133">
        <v>0</v>
      </c>
      <c r="S73" s="133">
        <v>0</v>
      </c>
      <c r="T73" s="133">
        <v>0</v>
      </c>
      <c r="U73" s="133">
        <v>0</v>
      </c>
      <c r="V73" s="133">
        <v>0</v>
      </c>
      <c r="W73" s="133">
        <v>0</v>
      </c>
      <c r="X73" s="133">
        <v>0</v>
      </c>
      <c r="Y73" s="133">
        <v>0</v>
      </c>
      <c r="Z73" s="133">
        <v>0</v>
      </c>
      <c r="AA73" s="133">
        <v>0</v>
      </c>
      <c r="AB73" s="133">
        <v>0</v>
      </c>
      <c r="AC73" s="133">
        <v>0</v>
      </c>
      <c r="AD73" s="133">
        <v>0</v>
      </c>
      <c r="AE73" s="133">
        <v>0</v>
      </c>
      <c r="AF73" s="133">
        <v>0</v>
      </c>
      <c r="AG73" s="133">
        <v>0</v>
      </c>
      <c r="AH73" s="133">
        <v>0</v>
      </c>
      <c r="AI73" s="133">
        <v>0</v>
      </c>
      <c r="AJ73" s="133">
        <v>0</v>
      </c>
      <c r="AK73" s="133">
        <v>0</v>
      </c>
      <c r="AL73" s="133">
        <v>0</v>
      </c>
      <c r="AM73" s="133">
        <v>0</v>
      </c>
      <c r="AN73" s="133">
        <v>0</v>
      </c>
      <c r="AO73" s="133">
        <v>0</v>
      </c>
      <c r="AP73" s="133">
        <v>0</v>
      </c>
      <c r="AQ73" s="133">
        <v>0</v>
      </c>
      <c r="AR73" s="133">
        <v>0</v>
      </c>
      <c r="AS73" s="133">
        <v>0</v>
      </c>
      <c r="AT73" s="133">
        <v>0</v>
      </c>
      <c r="AU73" s="133">
        <v>0</v>
      </c>
      <c r="AV73" s="133">
        <v>0</v>
      </c>
      <c r="AW73" s="133">
        <v>0</v>
      </c>
      <c r="AX73" s="133">
        <v>0</v>
      </c>
      <c r="AY73" s="133">
        <v>0</v>
      </c>
      <c r="AZ73" s="133">
        <v>0</v>
      </c>
      <c r="BA73" s="133">
        <v>0</v>
      </c>
      <c r="BB73" s="133">
        <v>0</v>
      </c>
      <c r="BC73" s="133">
        <v>0</v>
      </c>
      <c r="BD73" s="133">
        <v>0</v>
      </c>
      <c r="BE73" s="133">
        <v>0</v>
      </c>
      <c r="BF73" s="133">
        <v>0</v>
      </c>
      <c r="BG73" s="133">
        <v>0</v>
      </c>
      <c r="BH73" s="133">
        <v>0</v>
      </c>
      <c r="BI73" s="133">
        <v>0</v>
      </c>
      <c r="BJ73" s="133">
        <v>0</v>
      </c>
      <c r="BK73" s="133">
        <v>0</v>
      </c>
      <c r="BL73" s="133">
        <v>0</v>
      </c>
      <c r="BM73" s="133">
        <v>0</v>
      </c>
      <c r="BN73" s="133">
        <v>0</v>
      </c>
      <c r="BO73" s="133">
        <v>0</v>
      </c>
      <c r="BP73" s="133">
        <v>0</v>
      </c>
      <c r="BQ73" s="133">
        <v>0</v>
      </c>
      <c r="BR73" s="133">
        <v>0</v>
      </c>
      <c r="BS73" s="133">
        <v>0</v>
      </c>
      <c r="BT73" s="133">
        <v>0</v>
      </c>
      <c r="BU73" s="133">
        <v>0</v>
      </c>
      <c r="BV73" s="133">
        <v>0</v>
      </c>
      <c r="BW73" s="133">
        <v>0</v>
      </c>
      <c r="BX73" s="133">
        <v>0</v>
      </c>
      <c r="BY73" s="133">
        <v>0</v>
      </c>
      <c r="BZ73" s="133">
        <v>0</v>
      </c>
      <c r="CA73" s="133">
        <v>0</v>
      </c>
      <c r="CB73" s="133">
        <v>0</v>
      </c>
      <c r="CC73" s="133">
        <v>0</v>
      </c>
      <c r="CD73" s="133">
        <v>0</v>
      </c>
      <c r="CE73" s="133">
        <v>0</v>
      </c>
      <c r="CF73" s="133">
        <v>0</v>
      </c>
      <c r="CG73" s="133">
        <v>0</v>
      </c>
      <c r="CH73" s="133">
        <v>0</v>
      </c>
      <c r="CI73" s="133">
        <v>0</v>
      </c>
      <c r="CJ73" s="133">
        <v>0</v>
      </c>
      <c r="CK73" s="133">
        <v>0</v>
      </c>
      <c r="CL73" s="133">
        <v>0</v>
      </c>
      <c r="CM73" s="133">
        <v>0</v>
      </c>
      <c r="CN73" s="133">
        <v>0</v>
      </c>
      <c r="CO73" s="133">
        <v>0</v>
      </c>
      <c r="CP73" s="133">
        <v>0</v>
      </c>
      <c r="CQ73" s="133">
        <v>0</v>
      </c>
      <c r="CR73" s="133">
        <v>0</v>
      </c>
      <c r="CS73" s="133">
        <v>0</v>
      </c>
      <c r="CT73" s="133">
        <v>0</v>
      </c>
      <c r="CU73" s="133">
        <v>0</v>
      </c>
      <c r="CV73" s="133">
        <v>0</v>
      </c>
      <c r="CW73" s="133">
        <v>0</v>
      </c>
      <c r="CX73" s="133">
        <v>0</v>
      </c>
    </row>
    <row r="74" spans="1:102" ht="15" customHeight="1" x14ac:dyDescent="0.45">
      <c r="A74" s="129">
        <v>7.2</v>
      </c>
      <c r="B74" s="132">
        <v>1</v>
      </c>
      <c r="C74" s="133">
        <v>1</v>
      </c>
      <c r="D74" s="133">
        <v>1</v>
      </c>
      <c r="E74" s="133">
        <v>1</v>
      </c>
      <c r="F74" s="133">
        <v>1</v>
      </c>
      <c r="G74" s="133">
        <v>0.95</v>
      </c>
      <c r="H74" s="133">
        <v>0.85</v>
      </c>
      <c r="I74" s="133">
        <v>0.8</v>
      </c>
      <c r="J74" s="133">
        <v>0.7</v>
      </c>
      <c r="K74" s="133">
        <v>0.6</v>
      </c>
      <c r="L74" s="133">
        <v>0.5</v>
      </c>
      <c r="M74" s="133">
        <v>0.4</v>
      </c>
      <c r="N74" s="133">
        <v>0.3</v>
      </c>
      <c r="O74" s="133">
        <v>0.2</v>
      </c>
      <c r="P74" s="133">
        <v>0.1</v>
      </c>
      <c r="Q74" s="133">
        <v>0</v>
      </c>
      <c r="R74" s="133">
        <v>0</v>
      </c>
      <c r="S74" s="133">
        <v>0</v>
      </c>
      <c r="T74" s="133">
        <v>0</v>
      </c>
      <c r="U74" s="133">
        <v>0</v>
      </c>
      <c r="V74" s="133">
        <v>0</v>
      </c>
      <c r="W74" s="133">
        <v>0</v>
      </c>
      <c r="X74" s="133">
        <v>0</v>
      </c>
      <c r="Y74" s="133">
        <v>0</v>
      </c>
      <c r="Z74" s="133">
        <v>0</v>
      </c>
      <c r="AA74" s="133">
        <v>0</v>
      </c>
      <c r="AB74" s="133">
        <v>0</v>
      </c>
      <c r="AC74" s="133">
        <v>0</v>
      </c>
      <c r="AD74" s="133">
        <v>0</v>
      </c>
      <c r="AE74" s="133">
        <v>0</v>
      </c>
      <c r="AF74" s="133">
        <v>0</v>
      </c>
      <c r="AG74" s="133">
        <v>0</v>
      </c>
      <c r="AH74" s="133">
        <v>0</v>
      </c>
      <c r="AI74" s="133">
        <v>0</v>
      </c>
      <c r="AJ74" s="133">
        <v>0</v>
      </c>
      <c r="AK74" s="133">
        <v>0</v>
      </c>
      <c r="AL74" s="133">
        <v>0</v>
      </c>
      <c r="AM74" s="133">
        <v>0</v>
      </c>
      <c r="AN74" s="133">
        <v>0</v>
      </c>
      <c r="AO74" s="133">
        <v>0</v>
      </c>
      <c r="AP74" s="133">
        <v>0</v>
      </c>
      <c r="AQ74" s="133">
        <v>0</v>
      </c>
      <c r="AR74" s="133">
        <v>0</v>
      </c>
      <c r="AS74" s="133">
        <v>0</v>
      </c>
      <c r="AT74" s="133">
        <v>0</v>
      </c>
      <c r="AU74" s="133">
        <v>0</v>
      </c>
      <c r="AV74" s="133">
        <v>0</v>
      </c>
      <c r="AW74" s="133">
        <v>0</v>
      </c>
      <c r="AX74" s="133">
        <v>0</v>
      </c>
      <c r="AY74" s="133">
        <v>0</v>
      </c>
      <c r="AZ74" s="133">
        <v>0</v>
      </c>
      <c r="BA74" s="133">
        <v>0</v>
      </c>
      <c r="BB74" s="133">
        <v>0</v>
      </c>
      <c r="BC74" s="133">
        <v>0</v>
      </c>
      <c r="BD74" s="133">
        <v>0</v>
      </c>
      <c r="BE74" s="133">
        <v>0</v>
      </c>
      <c r="BF74" s="133">
        <v>0</v>
      </c>
      <c r="BG74" s="133">
        <v>0</v>
      </c>
      <c r="BH74" s="133">
        <v>0</v>
      </c>
      <c r="BI74" s="133">
        <v>0</v>
      </c>
      <c r="BJ74" s="133">
        <v>0</v>
      </c>
      <c r="BK74" s="133">
        <v>0</v>
      </c>
      <c r="BL74" s="133">
        <v>0</v>
      </c>
      <c r="BM74" s="133">
        <v>0</v>
      </c>
      <c r="BN74" s="133">
        <v>0</v>
      </c>
      <c r="BO74" s="133">
        <v>0</v>
      </c>
      <c r="BP74" s="133">
        <v>0</v>
      </c>
      <c r="BQ74" s="133">
        <v>0</v>
      </c>
      <c r="BR74" s="133">
        <v>0</v>
      </c>
      <c r="BS74" s="133">
        <v>0</v>
      </c>
      <c r="BT74" s="133">
        <v>0</v>
      </c>
      <c r="BU74" s="133">
        <v>0</v>
      </c>
      <c r="BV74" s="133">
        <v>0</v>
      </c>
      <c r="BW74" s="133">
        <v>0</v>
      </c>
      <c r="BX74" s="133">
        <v>0</v>
      </c>
      <c r="BY74" s="133">
        <v>0</v>
      </c>
      <c r="BZ74" s="133">
        <v>0</v>
      </c>
      <c r="CA74" s="133">
        <v>0</v>
      </c>
      <c r="CB74" s="133">
        <v>0</v>
      </c>
      <c r="CC74" s="133">
        <v>0</v>
      </c>
      <c r="CD74" s="133">
        <v>0</v>
      </c>
      <c r="CE74" s="133">
        <v>0</v>
      </c>
      <c r="CF74" s="133">
        <v>0</v>
      </c>
      <c r="CG74" s="133">
        <v>0</v>
      </c>
      <c r="CH74" s="133">
        <v>0</v>
      </c>
      <c r="CI74" s="133">
        <v>0</v>
      </c>
      <c r="CJ74" s="133">
        <v>0</v>
      </c>
      <c r="CK74" s="133">
        <v>0</v>
      </c>
      <c r="CL74" s="133">
        <v>0</v>
      </c>
      <c r="CM74" s="133">
        <v>0</v>
      </c>
      <c r="CN74" s="133">
        <v>0</v>
      </c>
      <c r="CO74" s="133">
        <v>0</v>
      </c>
      <c r="CP74" s="133">
        <v>0</v>
      </c>
      <c r="CQ74" s="133">
        <v>0</v>
      </c>
      <c r="CR74" s="133">
        <v>0</v>
      </c>
      <c r="CS74" s="133">
        <v>0</v>
      </c>
      <c r="CT74" s="133">
        <v>0</v>
      </c>
      <c r="CU74" s="133">
        <v>0</v>
      </c>
      <c r="CV74" s="133">
        <v>0</v>
      </c>
      <c r="CW74" s="133">
        <v>0</v>
      </c>
      <c r="CX74" s="133">
        <v>0</v>
      </c>
    </row>
    <row r="75" spans="1:102" ht="15" customHeight="1" x14ac:dyDescent="0.45">
      <c r="A75" s="129">
        <v>7.3</v>
      </c>
      <c r="B75" s="132">
        <v>1</v>
      </c>
      <c r="C75" s="133">
        <v>1</v>
      </c>
      <c r="D75" s="133">
        <v>1</v>
      </c>
      <c r="E75" s="133">
        <v>1</v>
      </c>
      <c r="F75" s="133">
        <v>1</v>
      </c>
      <c r="G75" s="133">
        <v>0.95</v>
      </c>
      <c r="H75" s="133">
        <v>0.85</v>
      </c>
      <c r="I75" s="133">
        <v>0.8</v>
      </c>
      <c r="J75" s="133">
        <v>0.7</v>
      </c>
      <c r="K75" s="133">
        <v>0.6</v>
      </c>
      <c r="L75" s="133">
        <v>0.5</v>
      </c>
      <c r="M75" s="133">
        <v>0.4</v>
      </c>
      <c r="N75" s="133">
        <v>0.3</v>
      </c>
      <c r="O75" s="133">
        <v>0.2</v>
      </c>
      <c r="P75" s="133">
        <v>0.1</v>
      </c>
      <c r="Q75" s="133">
        <v>0</v>
      </c>
      <c r="R75" s="133">
        <v>0</v>
      </c>
      <c r="S75" s="133">
        <v>0</v>
      </c>
      <c r="T75" s="133">
        <v>0</v>
      </c>
      <c r="U75" s="133">
        <v>0</v>
      </c>
      <c r="V75" s="133">
        <v>0</v>
      </c>
      <c r="W75" s="133">
        <v>0</v>
      </c>
      <c r="X75" s="133">
        <v>0</v>
      </c>
      <c r="Y75" s="133">
        <v>0</v>
      </c>
      <c r="Z75" s="133">
        <v>0</v>
      </c>
      <c r="AA75" s="133">
        <v>0</v>
      </c>
      <c r="AB75" s="133">
        <v>0</v>
      </c>
      <c r="AC75" s="133">
        <v>0</v>
      </c>
      <c r="AD75" s="133">
        <v>0</v>
      </c>
      <c r="AE75" s="133">
        <v>0</v>
      </c>
      <c r="AF75" s="133">
        <v>0</v>
      </c>
      <c r="AG75" s="133">
        <v>0</v>
      </c>
      <c r="AH75" s="133">
        <v>0</v>
      </c>
      <c r="AI75" s="133">
        <v>0</v>
      </c>
      <c r="AJ75" s="133">
        <v>0</v>
      </c>
      <c r="AK75" s="133">
        <v>0</v>
      </c>
      <c r="AL75" s="133">
        <v>0</v>
      </c>
      <c r="AM75" s="133">
        <v>0</v>
      </c>
      <c r="AN75" s="133">
        <v>0</v>
      </c>
      <c r="AO75" s="133">
        <v>0</v>
      </c>
      <c r="AP75" s="133">
        <v>0</v>
      </c>
      <c r="AQ75" s="133">
        <v>0</v>
      </c>
      <c r="AR75" s="133">
        <v>0</v>
      </c>
      <c r="AS75" s="133">
        <v>0</v>
      </c>
      <c r="AT75" s="133">
        <v>0</v>
      </c>
      <c r="AU75" s="133">
        <v>0</v>
      </c>
      <c r="AV75" s="133">
        <v>0</v>
      </c>
      <c r="AW75" s="133">
        <v>0</v>
      </c>
      <c r="AX75" s="133">
        <v>0</v>
      </c>
      <c r="AY75" s="133">
        <v>0</v>
      </c>
      <c r="AZ75" s="133">
        <v>0</v>
      </c>
      <c r="BA75" s="133">
        <v>0</v>
      </c>
      <c r="BB75" s="133">
        <v>0</v>
      </c>
      <c r="BC75" s="133">
        <v>0</v>
      </c>
      <c r="BD75" s="133">
        <v>0</v>
      </c>
      <c r="BE75" s="133">
        <v>0</v>
      </c>
      <c r="BF75" s="133">
        <v>0</v>
      </c>
      <c r="BG75" s="133">
        <v>0</v>
      </c>
      <c r="BH75" s="133">
        <v>0</v>
      </c>
      <c r="BI75" s="133">
        <v>0</v>
      </c>
      <c r="BJ75" s="133">
        <v>0</v>
      </c>
      <c r="BK75" s="133">
        <v>0</v>
      </c>
      <c r="BL75" s="133">
        <v>0</v>
      </c>
      <c r="BM75" s="133">
        <v>0</v>
      </c>
      <c r="BN75" s="133">
        <v>0</v>
      </c>
      <c r="BO75" s="133">
        <v>0</v>
      </c>
      <c r="BP75" s="133">
        <v>0</v>
      </c>
      <c r="BQ75" s="133">
        <v>0</v>
      </c>
      <c r="BR75" s="133">
        <v>0</v>
      </c>
      <c r="BS75" s="133">
        <v>0</v>
      </c>
      <c r="BT75" s="133">
        <v>0</v>
      </c>
      <c r="BU75" s="133">
        <v>0</v>
      </c>
      <c r="BV75" s="133">
        <v>0</v>
      </c>
      <c r="BW75" s="133">
        <v>0</v>
      </c>
      <c r="BX75" s="133">
        <v>0</v>
      </c>
      <c r="BY75" s="133">
        <v>0</v>
      </c>
      <c r="BZ75" s="133">
        <v>0</v>
      </c>
      <c r="CA75" s="133">
        <v>0</v>
      </c>
      <c r="CB75" s="133">
        <v>0</v>
      </c>
      <c r="CC75" s="133">
        <v>0</v>
      </c>
      <c r="CD75" s="133">
        <v>0</v>
      </c>
      <c r="CE75" s="133">
        <v>0</v>
      </c>
      <c r="CF75" s="133">
        <v>0</v>
      </c>
      <c r="CG75" s="133">
        <v>0</v>
      </c>
      <c r="CH75" s="133">
        <v>0</v>
      </c>
      <c r="CI75" s="133">
        <v>0</v>
      </c>
      <c r="CJ75" s="133">
        <v>0</v>
      </c>
      <c r="CK75" s="133">
        <v>0</v>
      </c>
      <c r="CL75" s="133">
        <v>0</v>
      </c>
      <c r="CM75" s="133">
        <v>0</v>
      </c>
      <c r="CN75" s="133">
        <v>0</v>
      </c>
      <c r="CO75" s="133">
        <v>0</v>
      </c>
      <c r="CP75" s="133">
        <v>0</v>
      </c>
      <c r="CQ75" s="133">
        <v>0</v>
      </c>
      <c r="CR75" s="133">
        <v>0</v>
      </c>
      <c r="CS75" s="133">
        <v>0</v>
      </c>
      <c r="CT75" s="133">
        <v>0</v>
      </c>
      <c r="CU75" s="133">
        <v>0</v>
      </c>
      <c r="CV75" s="133">
        <v>0</v>
      </c>
      <c r="CW75" s="133">
        <v>0</v>
      </c>
      <c r="CX75" s="133">
        <v>0</v>
      </c>
    </row>
    <row r="76" spans="1:102" ht="15" customHeight="1" x14ac:dyDescent="0.45">
      <c r="A76" s="129">
        <v>7.4</v>
      </c>
      <c r="B76" s="132">
        <v>1</v>
      </c>
      <c r="C76" s="133">
        <v>1</v>
      </c>
      <c r="D76" s="133">
        <v>1</v>
      </c>
      <c r="E76" s="133">
        <v>1</v>
      </c>
      <c r="F76" s="133">
        <v>1</v>
      </c>
      <c r="G76" s="133">
        <v>0.95</v>
      </c>
      <c r="H76" s="133">
        <v>0.85</v>
      </c>
      <c r="I76" s="133">
        <v>0.8</v>
      </c>
      <c r="J76" s="133">
        <v>0.7</v>
      </c>
      <c r="K76" s="133">
        <v>0.6</v>
      </c>
      <c r="L76" s="133">
        <v>0.5</v>
      </c>
      <c r="M76" s="133">
        <v>0.4</v>
      </c>
      <c r="N76" s="133">
        <v>0.3</v>
      </c>
      <c r="O76" s="133">
        <v>0.2</v>
      </c>
      <c r="P76" s="133">
        <v>0.1</v>
      </c>
      <c r="Q76" s="133">
        <v>0</v>
      </c>
      <c r="R76" s="133">
        <v>0</v>
      </c>
      <c r="S76" s="133">
        <v>0</v>
      </c>
      <c r="T76" s="133">
        <v>0</v>
      </c>
      <c r="U76" s="133">
        <v>0</v>
      </c>
      <c r="V76" s="133">
        <v>0</v>
      </c>
      <c r="W76" s="133">
        <v>0</v>
      </c>
      <c r="X76" s="133">
        <v>0</v>
      </c>
      <c r="Y76" s="133">
        <v>0</v>
      </c>
      <c r="Z76" s="133">
        <v>0</v>
      </c>
      <c r="AA76" s="133">
        <v>0</v>
      </c>
      <c r="AB76" s="133">
        <v>0</v>
      </c>
      <c r="AC76" s="133">
        <v>0</v>
      </c>
      <c r="AD76" s="133">
        <v>0</v>
      </c>
      <c r="AE76" s="133">
        <v>0</v>
      </c>
      <c r="AF76" s="133">
        <v>0</v>
      </c>
      <c r="AG76" s="133">
        <v>0</v>
      </c>
      <c r="AH76" s="133">
        <v>0</v>
      </c>
      <c r="AI76" s="133">
        <v>0</v>
      </c>
      <c r="AJ76" s="133">
        <v>0</v>
      </c>
      <c r="AK76" s="133">
        <v>0</v>
      </c>
      <c r="AL76" s="133">
        <v>0</v>
      </c>
      <c r="AM76" s="133">
        <v>0</v>
      </c>
      <c r="AN76" s="133">
        <v>0</v>
      </c>
      <c r="AO76" s="133">
        <v>0</v>
      </c>
      <c r="AP76" s="133">
        <v>0</v>
      </c>
      <c r="AQ76" s="133">
        <v>0</v>
      </c>
      <c r="AR76" s="133">
        <v>0</v>
      </c>
      <c r="AS76" s="133">
        <v>0</v>
      </c>
      <c r="AT76" s="133">
        <v>0</v>
      </c>
      <c r="AU76" s="133">
        <v>0</v>
      </c>
      <c r="AV76" s="133">
        <v>0</v>
      </c>
      <c r="AW76" s="133">
        <v>0</v>
      </c>
      <c r="AX76" s="133">
        <v>0</v>
      </c>
      <c r="AY76" s="133">
        <v>0</v>
      </c>
      <c r="AZ76" s="133">
        <v>0</v>
      </c>
      <c r="BA76" s="133">
        <v>0</v>
      </c>
      <c r="BB76" s="133">
        <v>0</v>
      </c>
      <c r="BC76" s="133">
        <v>0</v>
      </c>
      <c r="BD76" s="133">
        <v>0</v>
      </c>
      <c r="BE76" s="133">
        <v>0</v>
      </c>
      <c r="BF76" s="133">
        <v>0</v>
      </c>
      <c r="BG76" s="133">
        <v>0</v>
      </c>
      <c r="BH76" s="133">
        <v>0</v>
      </c>
      <c r="BI76" s="133">
        <v>0</v>
      </c>
      <c r="BJ76" s="133">
        <v>0</v>
      </c>
      <c r="BK76" s="133">
        <v>0</v>
      </c>
      <c r="BL76" s="133">
        <v>0</v>
      </c>
      <c r="BM76" s="133">
        <v>0</v>
      </c>
      <c r="BN76" s="133">
        <v>0</v>
      </c>
      <c r="BO76" s="133">
        <v>0</v>
      </c>
      <c r="BP76" s="133">
        <v>0</v>
      </c>
      <c r="BQ76" s="133">
        <v>0</v>
      </c>
      <c r="BR76" s="133">
        <v>0</v>
      </c>
      <c r="BS76" s="133">
        <v>0</v>
      </c>
      <c r="BT76" s="133">
        <v>0</v>
      </c>
      <c r="BU76" s="133">
        <v>0</v>
      </c>
      <c r="BV76" s="133">
        <v>0</v>
      </c>
      <c r="BW76" s="133">
        <v>0</v>
      </c>
      <c r="BX76" s="133">
        <v>0</v>
      </c>
      <c r="BY76" s="133">
        <v>0</v>
      </c>
      <c r="BZ76" s="133">
        <v>0</v>
      </c>
      <c r="CA76" s="133">
        <v>0</v>
      </c>
      <c r="CB76" s="133">
        <v>0</v>
      </c>
      <c r="CC76" s="133">
        <v>0</v>
      </c>
      <c r="CD76" s="133">
        <v>0</v>
      </c>
      <c r="CE76" s="133">
        <v>0</v>
      </c>
      <c r="CF76" s="133">
        <v>0</v>
      </c>
      <c r="CG76" s="133">
        <v>0</v>
      </c>
      <c r="CH76" s="133">
        <v>0</v>
      </c>
      <c r="CI76" s="133">
        <v>0</v>
      </c>
      <c r="CJ76" s="133">
        <v>0</v>
      </c>
      <c r="CK76" s="133">
        <v>0</v>
      </c>
      <c r="CL76" s="133">
        <v>0</v>
      </c>
      <c r="CM76" s="133">
        <v>0</v>
      </c>
      <c r="CN76" s="133">
        <v>0</v>
      </c>
      <c r="CO76" s="133">
        <v>0</v>
      </c>
      <c r="CP76" s="133">
        <v>0</v>
      </c>
      <c r="CQ76" s="133">
        <v>0</v>
      </c>
      <c r="CR76" s="133">
        <v>0</v>
      </c>
      <c r="CS76" s="133">
        <v>0</v>
      </c>
      <c r="CT76" s="133">
        <v>0</v>
      </c>
      <c r="CU76" s="133">
        <v>0</v>
      </c>
      <c r="CV76" s="133">
        <v>0</v>
      </c>
      <c r="CW76" s="133">
        <v>0</v>
      </c>
      <c r="CX76" s="133">
        <v>0</v>
      </c>
    </row>
    <row r="77" spans="1:102" ht="15" customHeight="1" x14ac:dyDescent="0.45">
      <c r="A77" s="129">
        <v>7.5</v>
      </c>
      <c r="B77" s="132">
        <v>1</v>
      </c>
      <c r="C77" s="133">
        <v>1</v>
      </c>
      <c r="D77" s="133">
        <v>1</v>
      </c>
      <c r="E77" s="133">
        <v>1</v>
      </c>
      <c r="F77" s="133">
        <v>1</v>
      </c>
      <c r="G77" s="133">
        <v>0.95</v>
      </c>
      <c r="H77" s="133">
        <v>0.85</v>
      </c>
      <c r="I77" s="133">
        <v>0.8</v>
      </c>
      <c r="J77" s="133">
        <v>0.7</v>
      </c>
      <c r="K77" s="133">
        <v>0.6</v>
      </c>
      <c r="L77" s="133">
        <v>0.5</v>
      </c>
      <c r="M77" s="133">
        <v>0.4</v>
      </c>
      <c r="N77" s="133">
        <v>0.3</v>
      </c>
      <c r="O77" s="133">
        <v>0.2</v>
      </c>
      <c r="P77" s="133">
        <v>0.1</v>
      </c>
      <c r="Q77" s="133">
        <v>0</v>
      </c>
      <c r="R77" s="133">
        <v>0</v>
      </c>
      <c r="S77" s="133">
        <v>0</v>
      </c>
      <c r="T77" s="133">
        <v>0</v>
      </c>
      <c r="U77" s="133">
        <v>0</v>
      </c>
      <c r="V77" s="133">
        <v>0</v>
      </c>
      <c r="W77" s="133">
        <v>0</v>
      </c>
      <c r="X77" s="133">
        <v>0</v>
      </c>
      <c r="Y77" s="133">
        <v>0</v>
      </c>
      <c r="Z77" s="133">
        <v>0</v>
      </c>
      <c r="AA77" s="133">
        <v>0</v>
      </c>
      <c r="AB77" s="133">
        <v>0</v>
      </c>
      <c r="AC77" s="133">
        <v>0</v>
      </c>
      <c r="AD77" s="133">
        <v>0</v>
      </c>
      <c r="AE77" s="133">
        <v>0</v>
      </c>
      <c r="AF77" s="133">
        <v>0</v>
      </c>
      <c r="AG77" s="133">
        <v>0</v>
      </c>
      <c r="AH77" s="133">
        <v>0</v>
      </c>
      <c r="AI77" s="133">
        <v>0</v>
      </c>
      <c r="AJ77" s="133">
        <v>0</v>
      </c>
      <c r="AK77" s="133">
        <v>0</v>
      </c>
      <c r="AL77" s="133">
        <v>0</v>
      </c>
      <c r="AM77" s="133">
        <v>0</v>
      </c>
      <c r="AN77" s="133">
        <v>0</v>
      </c>
      <c r="AO77" s="133">
        <v>0</v>
      </c>
      <c r="AP77" s="133">
        <v>0</v>
      </c>
      <c r="AQ77" s="133">
        <v>0</v>
      </c>
      <c r="AR77" s="133">
        <v>0</v>
      </c>
      <c r="AS77" s="133">
        <v>0</v>
      </c>
      <c r="AT77" s="133">
        <v>0</v>
      </c>
      <c r="AU77" s="133">
        <v>0</v>
      </c>
      <c r="AV77" s="133">
        <v>0</v>
      </c>
      <c r="AW77" s="133">
        <v>0</v>
      </c>
      <c r="AX77" s="133">
        <v>0</v>
      </c>
      <c r="AY77" s="133">
        <v>0</v>
      </c>
      <c r="AZ77" s="133">
        <v>0</v>
      </c>
      <c r="BA77" s="133">
        <v>0</v>
      </c>
      <c r="BB77" s="133">
        <v>0</v>
      </c>
      <c r="BC77" s="133">
        <v>0</v>
      </c>
      <c r="BD77" s="133">
        <v>0</v>
      </c>
      <c r="BE77" s="133">
        <v>0</v>
      </c>
      <c r="BF77" s="133">
        <v>0</v>
      </c>
      <c r="BG77" s="133">
        <v>0</v>
      </c>
      <c r="BH77" s="133">
        <v>0</v>
      </c>
      <c r="BI77" s="133">
        <v>0</v>
      </c>
      <c r="BJ77" s="133">
        <v>0</v>
      </c>
      <c r="BK77" s="133">
        <v>0</v>
      </c>
      <c r="BL77" s="133">
        <v>0</v>
      </c>
      <c r="BM77" s="133">
        <v>0</v>
      </c>
      <c r="BN77" s="133">
        <v>0</v>
      </c>
      <c r="BO77" s="133">
        <v>0</v>
      </c>
      <c r="BP77" s="133">
        <v>0</v>
      </c>
      <c r="BQ77" s="133">
        <v>0</v>
      </c>
      <c r="BR77" s="133">
        <v>0</v>
      </c>
      <c r="BS77" s="133">
        <v>0</v>
      </c>
      <c r="BT77" s="133">
        <v>0</v>
      </c>
      <c r="BU77" s="133">
        <v>0</v>
      </c>
      <c r="BV77" s="133">
        <v>0</v>
      </c>
      <c r="BW77" s="133">
        <v>0</v>
      </c>
      <c r="BX77" s="133">
        <v>0</v>
      </c>
      <c r="BY77" s="133">
        <v>0</v>
      </c>
      <c r="BZ77" s="133">
        <v>0</v>
      </c>
      <c r="CA77" s="133">
        <v>0</v>
      </c>
      <c r="CB77" s="133">
        <v>0</v>
      </c>
      <c r="CC77" s="133">
        <v>0</v>
      </c>
      <c r="CD77" s="133">
        <v>0</v>
      </c>
      <c r="CE77" s="133">
        <v>0</v>
      </c>
      <c r="CF77" s="133">
        <v>0</v>
      </c>
      <c r="CG77" s="133">
        <v>0</v>
      </c>
      <c r="CH77" s="133">
        <v>0</v>
      </c>
      <c r="CI77" s="133">
        <v>0</v>
      </c>
      <c r="CJ77" s="133">
        <v>0</v>
      </c>
      <c r="CK77" s="133">
        <v>0</v>
      </c>
      <c r="CL77" s="133">
        <v>0</v>
      </c>
      <c r="CM77" s="133">
        <v>0</v>
      </c>
      <c r="CN77" s="133">
        <v>0</v>
      </c>
      <c r="CO77" s="133">
        <v>0</v>
      </c>
      <c r="CP77" s="133">
        <v>0</v>
      </c>
      <c r="CQ77" s="133">
        <v>0</v>
      </c>
      <c r="CR77" s="133">
        <v>0</v>
      </c>
      <c r="CS77" s="133">
        <v>0</v>
      </c>
      <c r="CT77" s="133">
        <v>0</v>
      </c>
      <c r="CU77" s="133">
        <v>0</v>
      </c>
      <c r="CV77" s="133">
        <v>0</v>
      </c>
      <c r="CW77" s="133">
        <v>0</v>
      </c>
      <c r="CX77" s="133">
        <v>0</v>
      </c>
    </row>
    <row r="78" spans="1:102" ht="15" customHeight="1" x14ac:dyDescent="0.45">
      <c r="A78" s="129">
        <v>7.6</v>
      </c>
      <c r="B78" s="132">
        <v>1</v>
      </c>
      <c r="C78" s="133">
        <v>1</v>
      </c>
      <c r="D78" s="133">
        <v>1</v>
      </c>
      <c r="E78" s="133">
        <v>1</v>
      </c>
      <c r="F78" s="133">
        <v>1</v>
      </c>
      <c r="G78" s="133">
        <v>0.95</v>
      </c>
      <c r="H78" s="133">
        <v>0.85</v>
      </c>
      <c r="I78" s="133">
        <v>0.8</v>
      </c>
      <c r="J78" s="133">
        <v>0.7</v>
      </c>
      <c r="K78" s="133">
        <v>0.6</v>
      </c>
      <c r="L78" s="133">
        <v>0.5</v>
      </c>
      <c r="M78" s="133">
        <v>0.4</v>
      </c>
      <c r="N78" s="133">
        <v>0.3</v>
      </c>
      <c r="O78" s="133">
        <v>0.2</v>
      </c>
      <c r="P78" s="133">
        <v>0.1</v>
      </c>
      <c r="Q78" s="133">
        <v>0</v>
      </c>
      <c r="R78" s="133">
        <v>0</v>
      </c>
      <c r="S78" s="133">
        <v>0</v>
      </c>
      <c r="T78" s="133">
        <v>0</v>
      </c>
      <c r="U78" s="133">
        <v>0</v>
      </c>
      <c r="V78" s="133">
        <v>0</v>
      </c>
      <c r="W78" s="133">
        <v>0</v>
      </c>
      <c r="X78" s="133">
        <v>0</v>
      </c>
      <c r="Y78" s="133">
        <v>0</v>
      </c>
      <c r="Z78" s="133">
        <v>0</v>
      </c>
      <c r="AA78" s="133">
        <v>0</v>
      </c>
      <c r="AB78" s="133">
        <v>0</v>
      </c>
      <c r="AC78" s="133">
        <v>0</v>
      </c>
      <c r="AD78" s="133">
        <v>0</v>
      </c>
      <c r="AE78" s="133">
        <v>0</v>
      </c>
      <c r="AF78" s="133">
        <v>0</v>
      </c>
      <c r="AG78" s="133">
        <v>0</v>
      </c>
      <c r="AH78" s="133">
        <v>0</v>
      </c>
      <c r="AI78" s="133">
        <v>0</v>
      </c>
      <c r="AJ78" s="133">
        <v>0</v>
      </c>
      <c r="AK78" s="133">
        <v>0</v>
      </c>
      <c r="AL78" s="133">
        <v>0</v>
      </c>
      <c r="AM78" s="133">
        <v>0</v>
      </c>
      <c r="AN78" s="133">
        <v>0</v>
      </c>
      <c r="AO78" s="133">
        <v>0</v>
      </c>
      <c r="AP78" s="133">
        <v>0</v>
      </c>
      <c r="AQ78" s="133">
        <v>0</v>
      </c>
      <c r="AR78" s="133">
        <v>0</v>
      </c>
      <c r="AS78" s="133">
        <v>0</v>
      </c>
      <c r="AT78" s="133">
        <v>0</v>
      </c>
      <c r="AU78" s="133">
        <v>0</v>
      </c>
      <c r="AV78" s="133">
        <v>0</v>
      </c>
      <c r="AW78" s="133">
        <v>0</v>
      </c>
      <c r="AX78" s="133">
        <v>0</v>
      </c>
      <c r="AY78" s="133">
        <v>0</v>
      </c>
      <c r="AZ78" s="133">
        <v>0</v>
      </c>
      <c r="BA78" s="133">
        <v>0</v>
      </c>
      <c r="BB78" s="133">
        <v>0</v>
      </c>
      <c r="BC78" s="133">
        <v>0</v>
      </c>
      <c r="BD78" s="133">
        <v>0</v>
      </c>
      <c r="BE78" s="133">
        <v>0</v>
      </c>
      <c r="BF78" s="133">
        <v>0</v>
      </c>
      <c r="BG78" s="133">
        <v>0</v>
      </c>
      <c r="BH78" s="133">
        <v>0</v>
      </c>
      <c r="BI78" s="133">
        <v>0</v>
      </c>
      <c r="BJ78" s="133">
        <v>0</v>
      </c>
      <c r="BK78" s="133">
        <v>0</v>
      </c>
      <c r="BL78" s="133">
        <v>0</v>
      </c>
      <c r="BM78" s="133">
        <v>0</v>
      </c>
      <c r="BN78" s="133">
        <v>0</v>
      </c>
      <c r="BO78" s="133">
        <v>0</v>
      </c>
      <c r="BP78" s="133">
        <v>0</v>
      </c>
      <c r="BQ78" s="133">
        <v>0</v>
      </c>
      <c r="BR78" s="133">
        <v>0</v>
      </c>
      <c r="BS78" s="133">
        <v>0</v>
      </c>
      <c r="BT78" s="133">
        <v>0</v>
      </c>
      <c r="BU78" s="133">
        <v>0</v>
      </c>
      <c r="BV78" s="133">
        <v>0</v>
      </c>
      <c r="BW78" s="133">
        <v>0</v>
      </c>
      <c r="BX78" s="133">
        <v>0</v>
      </c>
      <c r="BY78" s="133">
        <v>0</v>
      </c>
      <c r="BZ78" s="133">
        <v>0</v>
      </c>
      <c r="CA78" s="133">
        <v>0</v>
      </c>
      <c r="CB78" s="133">
        <v>0</v>
      </c>
      <c r="CC78" s="133">
        <v>0</v>
      </c>
      <c r="CD78" s="133">
        <v>0</v>
      </c>
      <c r="CE78" s="133">
        <v>0</v>
      </c>
      <c r="CF78" s="133">
        <v>0</v>
      </c>
      <c r="CG78" s="133">
        <v>0</v>
      </c>
      <c r="CH78" s="133">
        <v>0</v>
      </c>
      <c r="CI78" s="133">
        <v>0</v>
      </c>
      <c r="CJ78" s="133">
        <v>0</v>
      </c>
      <c r="CK78" s="133">
        <v>0</v>
      </c>
      <c r="CL78" s="133">
        <v>0</v>
      </c>
      <c r="CM78" s="133">
        <v>0</v>
      </c>
      <c r="CN78" s="133">
        <v>0</v>
      </c>
      <c r="CO78" s="133">
        <v>0</v>
      </c>
      <c r="CP78" s="133">
        <v>0</v>
      </c>
      <c r="CQ78" s="133">
        <v>0</v>
      </c>
      <c r="CR78" s="133">
        <v>0</v>
      </c>
      <c r="CS78" s="133">
        <v>0</v>
      </c>
      <c r="CT78" s="133">
        <v>0</v>
      </c>
      <c r="CU78" s="133">
        <v>0</v>
      </c>
      <c r="CV78" s="133">
        <v>0</v>
      </c>
      <c r="CW78" s="133">
        <v>0</v>
      </c>
      <c r="CX78" s="133">
        <v>0</v>
      </c>
    </row>
    <row r="79" spans="1:102" ht="15" customHeight="1" x14ac:dyDescent="0.45">
      <c r="A79" s="129">
        <v>7.7</v>
      </c>
      <c r="B79" s="132">
        <v>1</v>
      </c>
      <c r="C79" s="133">
        <v>1</v>
      </c>
      <c r="D79" s="133">
        <v>1</v>
      </c>
      <c r="E79" s="133">
        <v>1</v>
      </c>
      <c r="F79" s="133">
        <v>1</v>
      </c>
      <c r="G79" s="133">
        <v>0.95</v>
      </c>
      <c r="H79" s="133">
        <v>0.85</v>
      </c>
      <c r="I79" s="133">
        <v>0.8</v>
      </c>
      <c r="J79" s="133">
        <v>0.7</v>
      </c>
      <c r="K79" s="133">
        <v>0.6</v>
      </c>
      <c r="L79" s="133">
        <v>0.5</v>
      </c>
      <c r="M79" s="133">
        <v>0.4</v>
      </c>
      <c r="N79" s="133">
        <v>0.3</v>
      </c>
      <c r="O79" s="133">
        <v>0.2</v>
      </c>
      <c r="P79" s="133">
        <v>0.1</v>
      </c>
      <c r="Q79" s="133">
        <v>0</v>
      </c>
      <c r="R79" s="133">
        <v>0</v>
      </c>
      <c r="S79" s="133">
        <v>0</v>
      </c>
      <c r="T79" s="133">
        <v>0</v>
      </c>
      <c r="U79" s="133">
        <v>0</v>
      </c>
      <c r="V79" s="133">
        <v>0</v>
      </c>
      <c r="W79" s="133">
        <v>0</v>
      </c>
      <c r="X79" s="133">
        <v>0</v>
      </c>
      <c r="Y79" s="133">
        <v>0</v>
      </c>
      <c r="Z79" s="133">
        <v>0</v>
      </c>
      <c r="AA79" s="133">
        <v>0</v>
      </c>
      <c r="AB79" s="133">
        <v>0</v>
      </c>
      <c r="AC79" s="133">
        <v>0</v>
      </c>
      <c r="AD79" s="133">
        <v>0</v>
      </c>
      <c r="AE79" s="133">
        <v>0</v>
      </c>
      <c r="AF79" s="133">
        <v>0</v>
      </c>
      <c r="AG79" s="133">
        <v>0</v>
      </c>
      <c r="AH79" s="133">
        <v>0</v>
      </c>
      <c r="AI79" s="133">
        <v>0</v>
      </c>
      <c r="AJ79" s="133">
        <v>0</v>
      </c>
      <c r="AK79" s="133">
        <v>0</v>
      </c>
      <c r="AL79" s="133">
        <v>0</v>
      </c>
      <c r="AM79" s="133">
        <v>0</v>
      </c>
      <c r="AN79" s="133">
        <v>0</v>
      </c>
      <c r="AO79" s="133">
        <v>0</v>
      </c>
      <c r="AP79" s="133">
        <v>0</v>
      </c>
      <c r="AQ79" s="133">
        <v>0</v>
      </c>
      <c r="AR79" s="133">
        <v>0</v>
      </c>
      <c r="AS79" s="133">
        <v>0</v>
      </c>
      <c r="AT79" s="133">
        <v>0</v>
      </c>
      <c r="AU79" s="133">
        <v>0</v>
      </c>
      <c r="AV79" s="133">
        <v>0</v>
      </c>
      <c r="AW79" s="133">
        <v>0</v>
      </c>
      <c r="AX79" s="133">
        <v>0</v>
      </c>
      <c r="AY79" s="133">
        <v>0</v>
      </c>
      <c r="AZ79" s="133">
        <v>0</v>
      </c>
      <c r="BA79" s="133">
        <v>0</v>
      </c>
      <c r="BB79" s="133">
        <v>0</v>
      </c>
      <c r="BC79" s="133">
        <v>0</v>
      </c>
      <c r="BD79" s="133">
        <v>0</v>
      </c>
      <c r="BE79" s="133">
        <v>0</v>
      </c>
      <c r="BF79" s="133">
        <v>0</v>
      </c>
      <c r="BG79" s="133">
        <v>0</v>
      </c>
      <c r="BH79" s="133">
        <v>0</v>
      </c>
      <c r="BI79" s="133">
        <v>0</v>
      </c>
      <c r="BJ79" s="133">
        <v>0</v>
      </c>
      <c r="BK79" s="133">
        <v>0</v>
      </c>
      <c r="BL79" s="133">
        <v>0</v>
      </c>
      <c r="BM79" s="133">
        <v>0</v>
      </c>
      <c r="BN79" s="133">
        <v>0</v>
      </c>
      <c r="BO79" s="133">
        <v>0</v>
      </c>
      <c r="BP79" s="133">
        <v>0</v>
      </c>
      <c r="BQ79" s="133">
        <v>0</v>
      </c>
      <c r="BR79" s="133">
        <v>0</v>
      </c>
      <c r="BS79" s="133">
        <v>0</v>
      </c>
      <c r="BT79" s="133">
        <v>0</v>
      </c>
      <c r="BU79" s="133">
        <v>0</v>
      </c>
      <c r="BV79" s="133">
        <v>0</v>
      </c>
      <c r="BW79" s="133">
        <v>0</v>
      </c>
      <c r="BX79" s="133">
        <v>0</v>
      </c>
      <c r="BY79" s="133">
        <v>0</v>
      </c>
      <c r="BZ79" s="133">
        <v>0</v>
      </c>
      <c r="CA79" s="133">
        <v>0</v>
      </c>
      <c r="CB79" s="133">
        <v>0</v>
      </c>
      <c r="CC79" s="133">
        <v>0</v>
      </c>
      <c r="CD79" s="133">
        <v>0</v>
      </c>
      <c r="CE79" s="133">
        <v>0</v>
      </c>
      <c r="CF79" s="133">
        <v>0</v>
      </c>
      <c r="CG79" s="133">
        <v>0</v>
      </c>
      <c r="CH79" s="133">
        <v>0</v>
      </c>
      <c r="CI79" s="133">
        <v>0</v>
      </c>
      <c r="CJ79" s="133">
        <v>0</v>
      </c>
      <c r="CK79" s="133">
        <v>0</v>
      </c>
      <c r="CL79" s="133">
        <v>0</v>
      </c>
      <c r="CM79" s="133">
        <v>0</v>
      </c>
      <c r="CN79" s="133">
        <v>0</v>
      </c>
      <c r="CO79" s="133">
        <v>0</v>
      </c>
      <c r="CP79" s="133">
        <v>0</v>
      </c>
      <c r="CQ79" s="133">
        <v>0</v>
      </c>
      <c r="CR79" s="133">
        <v>0</v>
      </c>
      <c r="CS79" s="133">
        <v>0</v>
      </c>
      <c r="CT79" s="133">
        <v>0</v>
      </c>
      <c r="CU79" s="133">
        <v>0</v>
      </c>
      <c r="CV79" s="133">
        <v>0</v>
      </c>
      <c r="CW79" s="133">
        <v>0</v>
      </c>
      <c r="CX79" s="133">
        <v>0</v>
      </c>
    </row>
    <row r="80" spans="1:102" ht="15" customHeight="1" x14ac:dyDescent="0.45">
      <c r="A80" s="129">
        <v>7.8</v>
      </c>
      <c r="B80" s="132">
        <v>1</v>
      </c>
      <c r="C80" s="133">
        <v>1</v>
      </c>
      <c r="D80" s="133">
        <v>1</v>
      </c>
      <c r="E80" s="133">
        <v>1</v>
      </c>
      <c r="F80" s="133">
        <v>1</v>
      </c>
      <c r="G80" s="133">
        <v>0.95</v>
      </c>
      <c r="H80" s="133">
        <v>0.85</v>
      </c>
      <c r="I80" s="133">
        <v>0.8</v>
      </c>
      <c r="J80" s="133">
        <v>0.7</v>
      </c>
      <c r="K80" s="133">
        <v>0.6</v>
      </c>
      <c r="L80" s="133">
        <v>0.5</v>
      </c>
      <c r="M80" s="133">
        <v>0.4</v>
      </c>
      <c r="N80" s="133">
        <v>0.3</v>
      </c>
      <c r="O80" s="133">
        <v>0.2</v>
      </c>
      <c r="P80" s="133">
        <v>0.1</v>
      </c>
      <c r="Q80" s="133">
        <v>0</v>
      </c>
      <c r="R80" s="133">
        <v>0</v>
      </c>
      <c r="S80" s="133">
        <v>0</v>
      </c>
      <c r="T80" s="133">
        <v>0</v>
      </c>
      <c r="U80" s="133">
        <v>0</v>
      </c>
      <c r="V80" s="133">
        <v>0</v>
      </c>
      <c r="W80" s="133">
        <v>0</v>
      </c>
      <c r="X80" s="133">
        <v>0</v>
      </c>
      <c r="Y80" s="133">
        <v>0</v>
      </c>
      <c r="Z80" s="133">
        <v>0</v>
      </c>
      <c r="AA80" s="133">
        <v>0</v>
      </c>
      <c r="AB80" s="133">
        <v>0</v>
      </c>
      <c r="AC80" s="133">
        <v>0</v>
      </c>
      <c r="AD80" s="133">
        <v>0</v>
      </c>
      <c r="AE80" s="133">
        <v>0</v>
      </c>
      <c r="AF80" s="133">
        <v>0</v>
      </c>
      <c r="AG80" s="133">
        <v>0</v>
      </c>
      <c r="AH80" s="133">
        <v>0</v>
      </c>
      <c r="AI80" s="133">
        <v>0</v>
      </c>
      <c r="AJ80" s="133">
        <v>0</v>
      </c>
      <c r="AK80" s="133">
        <v>0</v>
      </c>
      <c r="AL80" s="133">
        <v>0</v>
      </c>
      <c r="AM80" s="133">
        <v>0</v>
      </c>
      <c r="AN80" s="133">
        <v>0</v>
      </c>
      <c r="AO80" s="133">
        <v>0</v>
      </c>
      <c r="AP80" s="133">
        <v>0</v>
      </c>
      <c r="AQ80" s="133">
        <v>0</v>
      </c>
      <c r="AR80" s="133">
        <v>0</v>
      </c>
      <c r="AS80" s="133">
        <v>0</v>
      </c>
      <c r="AT80" s="133">
        <v>0</v>
      </c>
      <c r="AU80" s="133">
        <v>0</v>
      </c>
      <c r="AV80" s="133">
        <v>0</v>
      </c>
      <c r="AW80" s="133">
        <v>0</v>
      </c>
      <c r="AX80" s="133">
        <v>0</v>
      </c>
      <c r="AY80" s="133">
        <v>0</v>
      </c>
      <c r="AZ80" s="133">
        <v>0</v>
      </c>
      <c r="BA80" s="133">
        <v>0</v>
      </c>
      <c r="BB80" s="133">
        <v>0</v>
      </c>
      <c r="BC80" s="133">
        <v>0</v>
      </c>
      <c r="BD80" s="133">
        <v>0</v>
      </c>
      <c r="BE80" s="133">
        <v>0</v>
      </c>
      <c r="BF80" s="133">
        <v>0</v>
      </c>
      <c r="BG80" s="133">
        <v>0</v>
      </c>
      <c r="BH80" s="133">
        <v>0</v>
      </c>
      <c r="BI80" s="133">
        <v>0</v>
      </c>
      <c r="BJ80" s="133">
        <v>0</v>
      </c>
      <c r="BK80" s="133">
        <v>0</v>
      </c>
      <c r="BL80" s="133">
        <v>0</v>
      </c>
      <c r="BM80" s="133">
        <v>0</v>
      </c>
      <c r="BN80" s="133">
        <v>0</v>
      </c>
      <c r="BO80" s="133">
        <v>0</v>
      </c>
      <c r="BP80" s="133">
        <v>0</v>
      </c>
      <c r="BQ80" s="133">
        <v>0</v>
      </c>
      <c r="BR80" s="133">
        <v>0</v>
      </c>
      <c r="BS80" s="133">
        <v>0</v>
      </c>
      <c r="BT80" s="133">
        <v>0</v>
      </c>
      <c r="BU80" s="133">
        <v>0</v>
      </c>
      <c r="BV80" s="133">
        <v>0</v>
      </c>
      <c r="BW80" s="133">
        <v>0</v>
      </c>
      <c r="BX80" s="133">
        <v>0</v>
      </c>
      <c r="BY80" s="133">
        <v>0</v>
      </c>
      <c r="BZ80" s="133">
        <v>0</v>
      </c>
      <c r="CA80" s="133">
        <v>0</v>
      </c>
      <c r="CB80" s="133">
        <v>0</v>
      </c>
      <c r="CC80" s="133">
        <v>0</v>
      </c>
      <c r="CD80" s="133">
        <v>0</v>
      </c>
      <c r="CE80" s="133">
        <v>0</v>
      </c>
      <c r="CF80" s="133">
        <v>0</v>
      </c>
      <c r="CG80" s="133">
        <v>0</v>
      </c>
      <c r="CH80" s="133">
        <v>0</v>
      </c>
      <c r="CI80" s="133">
        <v>0</v>
      </c>
      <c r="CJ80" s="133">
        <v>0</v>
      </c>
      <c r="CK80" s="133">
        <v>0</v>
      </c>
      <c r="CL80" s="133">
        <v>0</v>
      </c>
      <c r="CM80" s="133">
        <v>0</v>
      </c>
      <c r="CN80" s="133">
        <v>0</v>
      </c>
      <c r="CO80" s="133">
        <v>0</v>
      </c>
      <c r="CP80" s="133">
        <v>0</v>
      </c>
      <c r="CQ80" s="133">
        <v>0</v>
      </c>
      <c r="CR80" s="133">
        <v>0</v>
      </c>
      <c r="CS80" s="133">
        <v>0</v>
      </c>
      <c r="CT80" s="133">
        <v>0</v>
      </c>
      <c r="CU80" s="133">
        <v>0</v>
      </c>
      <c r="CV80" s="133">
        <v>0</v>
      </c>
      <c r="CW80" s="133">
        <v>0</v>
      </c>
      <c r="CX80" s="133">
        <v>0</v>
      </c>
    </row>
    <row r="81" spans="1:102" ht="15" customHeight="1" x14ac:dyDescent="0.45">
      <c r="A81" s="129">
        <v>7.9</v>
      </c>
      <c r="B81" s="132">
        <v>1</v>
      </c>
      <c r="C81" s="133">
        <v>1</v>
      </c>
      <c r="D81" s="133">
        <v>1</v>
      </c>
      <c r="E81" s="133">
        <v>1</v>
      </c>
      <c r="F81" s="133">
        <v>1</v>
      </c>
      <c r="G81" s="133">
        <v>0.95</v>
      </c>
      <c r="H81" s="133">
        <v>0.85</v>
      </c>
      <c r="I81" s="133">
        <v>0.8</v>
      </c>
      <c r="J81" s="133">
        <v>0.7</v>
      </c>
      <c r="K81" s="133">
        <v>0.6</v>
      </c>
      <c r="L81" s="133">
        <v>0.5</v>
      </c>
      <c r="M81" s="133">
        <v>0.4</v>
      </c>
      <c r="N81" s="133">
        <v>0.3</v>
      </c>
      <c r="O81" s="133">
        <v>0.2</v>
      </c>
      <c r="P81" s="133">
        <v>0.1</v>
      </c>
      <c r="Q81" s="133">
        <v>0</v>
      </c>
      <c r="R81" s="133">
        <v>0</v>
      </c>
      <c r="S81" s="133">
        <v>0</v>
      </c>
      <c r="T81" s="133">
        <v>0</v>
      </c>
      <c r="U81" s="133">
        <v>0</v>
      </c>
      <c r="V81" s="133">
        <v>0</v>
      </c>
      <c r="W81" s="133">
        <v>0</v>
      </c>
      <c r="X81" s="133">
        <v>0</v>
      </c>
      <c r="Y81" s="133">
        <v>0</v>
      </c>
      <c r="Z81" s="133">
        <v>0</v>
      </c>
      <c r="AA81" s="133">
        <v>0</v>
      </c>
      <c r="AB81" s="133">
        <v>0</v>
      </c>
      <c r="AC81" s="133">
        <v>0</v>
      </c>
      <c r="AD81" s="133">
        <v>0</v>
      </c>
      <c r="AE81" s="133">
        <v>0</v>
      </c>
      <c r="AF81" s="133">
        <v>0</v>
      </c>
      <c r="AG81" s="133">
        <v>0</v>
      </c>
      <c r="AH81" s="133">
        <v>0</v>
      </c>
      <c r="AI81" s="133">
        <v>0</v>
      </c>
      <c r="AJ81" s="133">
        <v>0</v>
      </c>
      <c r="AK81" s="133">
        <v>0</v>
      </c>
      <c r="AL81" s="133">
        <v>0</v>
      </c>
      <c r="AM81" s="133">
        <v>0</v>
      </c>
      <c r="AN81" s="133">
        <v>0</v>
      </c>
      <c r="AO81" s="133">
        <v>0</v>
      </c>
      <c r="AP81" s="133">
        <v>0</v>
      </c>
      <c r="AQ81" s="133">
        <v>0</v>
      </c>
      <c r="AR81" s="133">
        <v>0</v>
      </c>
      <c r="AS81" s="133">
        <v>0</v>
      </c>
      <c r="AT81" s="133">
        <v>0</v>
      </c>
      <c r="AU81" s="133">
        <v>0</v>
      </c>
      <c r="AV81" s="133">
        <v>0</v>
      </c>
      <c r="AW81" s="133">
        <v>0</v>
      </c>
      <c r="AX81" s="133">
        <v>0</v>
      </c>
      <c r="AY81" s="133">
        <v>0</v>
      </c>
      <c r="AZ81" s="133">
        <v>0</v>
      </c>
      <c r="BA81" s="133">
        <v>0</v>
      </c>
      <c r="BB81" s="133">
        <v>0</v>
      </c>
      <c r="BC81" s="133">
        <v>0</v>
      </c>
      <c r="BD81" s="133">
        <v>0</v>
      </c>
      <c r="BE81" s="133">
        <v>0</v>
      </c>
      <c r="BF81" s="133">
        <v>0</v>
      </c>
      <c r="BG81" s="133">
        <v>0</v>
      </c>
      <c r="BH81" s="133">
        <v>0</v>
      </c>
      <c r="BI81" s="133">
        <v>0</v>
      </c>
      <c r="BJ81" s="133">
        <v>0</v>
      </c>
      <c r="BK81" s="133">
        <v>0</v>
      </c>
      <c r="BL81" s="133">
        <v>0</v>
      </c>
      <c r="BM81" s="133">
        <v>0</v>
      </c>
      <c r="BN81" s="133">
        <v>0</v>
      </c>
      <c r="BO81" s="133">
        <v>0</v>
      </c>
      <c r="BP81" s="133">
        <v>0</v>
      </c>
      <c r="BQ81" s="133">
        <v>0</v>
      </c>
      <c r="BR81" s="133">
        <v>0</v>
      </c>
      <c r="BS81" s="133">
        <v>0</v>
      </c>
      <c r="BT81" s="133">
        <v>0</v>
      </c>
      <c r="BU81" s="133">
        <v>0</v>
      </c>
      <c r="BV81" s="133">
        <v>0</v>
      </c>
      <c r="BW81" s="133">
        <v>0</v>
      </c>
      <c r="BX81" s="133">
        <v>0</v>
      </c>
      <c r="BY81" s="133">
        <v>0</v>
      </c>
      <c r="BZ81" s="133">
        <v>0</v>
      </c>
      <c r="CA81" s="133">
        <v>0</v>
      </c>
      <c r="CB81" s="133">
        <v>0</v>
      </c>
      <c r="CC81" s="133">
        <v>0</v>
      </c>
      <c r="CD81" s="133">
        <v>0</v>
      </c>
      <c r="CE81" s="133">
        <v>0</v>
      </c>
      <c r="CF81" s="133">
        <v>0</v>
      </c>
      <c r="CG81" s="133">
        <v>0</v>
      </c>
      <c r="CH81" s="133">
        <v>0</v>
      </c>
      <c r="CI81" s="133">
        <v>0</v>
      </c>
      <c r="CJ81" s="133">
        <v>0</v>
      </c>
      <c r="CK81" s="133">
        <v>0</v>
      </c>
      <c r="CL81" s="133">
        <v>0</v>
      </c>
      <c r="CM81" s="133">
        <v>0</v>
      </c>
      <c r="CN81" s="133">
        <v>0</v>
      </c>
      <c r="CO81" s="133">
        <v>0</v>
      </c>
      <c r="CP81" s="133">
        <v>0</v>
      </c>
      <c r="CQ81" s="133">
        <v>0</v>
      </c>
      <c r="CR81" s="133">
        <v>0</v>
      </c>
      <c r="CS81" s="133">
        <v>0</v>
      </c>
      <c r="CT81" s="133">
        <v>0</v>
      </c>
      <c r="CU81" s="133">
        <v>0</v>
      </c>
      <c r="CV81" s="133">
        <v>0</v>
      </c>
      <c r="CW81" s="133">
        <v>0</v>
      </c>
      <c r="CX81" s="133">
        <v>0</v>
      </c>
    </row>
    <row r="82" spans="1:102" ht="15" customHeight="1" x14ac:dyDescent="0.45">
      <c r="A82" s="129">
        <v>8</v>
      </c>
      <c r="B82" s="132">
        <v>1</v>
      </c>
      <c r="C82" s="133">
        <v>1</v>
      </c>
      <c r="D82" s="133">
        <v>1</v>
      </c>
      <c r="E82" s="133">
        <v>1</v>
      </c>
      <c r="F82" s="133">
        <v>1</v>
      </c>
      <c r="G82" s="133">
        <v>0.95</v>
      </c>
      <c r="H82" s="133">
        <v>0.85</v>
      </c>
      <c r="I82" s="133">
        <v>0.8</v>
      </c>
      <c r="J82" s="133">
        <v>0.7</v>
      </c>
      <c r="K82" s="133">
        <v>0.6</v>
      </c>
      <c r="L82" s="133">
        <v>0.5</v>
      </c>
      <c r="M82" s="133">
        <v>0.4</v>
      </c>
      <c r="N82" s="133">
        <v>0.3</v>
      </c>
      <c r="O82" s="133">
        <v>0.2</v>
      </c>
      <c r="P82" s="133">
        <v>0.1</v>
      </c>
      <c r="Q82" s="133">
        <v>0</v>
      </c>
      <c r="R82" s="133">
        <v>0</v>
      </c>
      <c r="S82" s="133">
        <v>0</v>
      </c>
      <c r="T82" s="133">
        <v>0</v>
      </c>
      <c r="U82" s="133">
        <v>0</v>
      </c>
      <c r="V82" s="133">
        <v>0</v>
      </c>
      <c r="W82" s="133">
        <v>0</v>
      </c>
      <c r="X82" s="133">
        <v>0</v>
      </c>
      <c r="Y82" s="133">
        <v>0</v>
      </c>
      <c r="Z82" s="133">
        <v>0</v>
      </c>
      <c r="AA82" s="133">
        <v>0</v>
      </c>
      <c r="AB82" s="133">
        <v>0</v>
      </c>
      <c r="AC82" s="133">
        <v>0</v>
      </c>
      <c r="AD82" s="133">
        <v>0</v>
      </c>
      <c r="AE82" s="133">
        <v>0</v>
      </c>
      <c r="AF82" s="133">
        <v>0</v>
      </c>
      <c r="AG82" s="133">
        <v>0</v>
      </c>
      <c r="AH82" s="133">
        <v>0</v>
      </c>
      <c r="AI82" s="133">
        <v>0</v>
      </c>
      <c r="AJ82" s="133">
        <v>0</v>
      </c>
      <c r="AK82" s="133">
        <v>0</v>
      </c>
      <c r="AL82" s="133">
        <v>0</v>
      </c>
      <c r="AM82" s="133">
        <v>0</v>
      </c>
      <c r="AN82" s="133">
        <v>0</v>
      </c>
      <c r="AO82" s="133">
        <v>0</v>
      </c>
      <c r="AP82" s="133">
        <v>0</v>
      </c>
      <c r="AQ82" s="133">
        <v>0</v>
      </c>
      <c r="AR82" s="133">
        <v>0</v>
      </c>
      <c r="AS82" s="133">
        <v>0</v>
      </c>
      <c r="AT82" s="133">
        <v>0</v>
      </c>
      <c r="AU82" s="133">
        <v>0</v>
      </c>
      <c r="AV82" s="133">
        <v>0</v>
      </c>
      <c r="AW82" s="133">
        <v>0</v>
      </c>
      <c r="AX82" s="133">
        <v>0</v>
      </c>
      <c r="AY82" s="133">
        <v>0</v>
      </c>
      <c r="AZ82" s="133">
        <v>0</v>
      </c>
      <c r="BA82" s="133">
        <v>0</v>
      </c>
      <c r="BB82" s="133">
        <v>0</v>
      </c>
      <c r="BC82" s="133">
        <v>0</v>
      </c>
      <c r="BD82" s="133">
        <v>0</v>
      </c>
      <c r="BE82" s="133">
        <v>0</v>
      </c>
      <c r="BF82" s="133">
        <v>0</v>
      </c>
      <c r="BG82" s="133">
        <v>0</v>
      </c>
      <c r="BH82" s="133">
        <v>0</v>
      </c>
      <c r="BI82" s="133">
        <v>0</v>
      </c>
      <c r="BJ82" s="133">
        <v>0</v>
      </c>
      <c r="BK82" s="133">
        <v>0</v>
      </c>
      <c r="BL82" s="133">
        <v>0</v>
      </c>
      <c r="BM82" s="133">
        <v>0</v>
      </c>
      <c r="BN82" s="133">
        <v>0</v>
      </c>
      <c r="BO82" s="133">
        <v>0</v>
      </c>
      <c r="BP82" s="133">
        <v>0</v>
      </c>
      <c r="BQ82" s="133">
        <v>0</v>
      </c>
      <c r="BR82" s="133">
        <v>0</v>
      </c>
      <c r="BS82" s="133">
        <v>0</v>
      </c>
      <c r="BT82" s="133">
        <v>0</v>
      </c>
      <c r="BU82" s="133">
        <v>0</v>
      </c>
      <c r="BV82" s="133">
        <v>0</v>
      </c>
      <c r="BW82" s="133">
        <v>0</v>
      </c>
      <c r="BX82" s="133">
        <v>0</v>
      </c>
      <c r="BY82" s="133">
        <v>0</v>
      </c>
      <c r="BZ82" s="133">
        <v>0</v>
      </c>
      <c r="CA82" s="133">
        <v>0</v>
      </c>
      <c r="CB82" s="133">
        <v>0</v>
      </c>
      <c r="CC82" s="133">
        <v>0</v>
      </c>
      <c r="CD82" s="133">
        <v>0</v>
      </c>
      <c r="CE82" s="133">
        <v>0</v>
      </c>
      <c r="CF82" s="133">
        <v>0</v>
      </c>
      <c r="CG82" s="133">
        <v>0</v>
      </c>
      <c r="CH82" s="133">
        <v>0</v>
      </c>
      <c r="CI82" s="133">
        <v>0</v>
      </c>
      <c r="CJ82" s="133">
        <v>0</v>
      </c>
      <c r="CK82" s="133">
        <v>0</v>
      </c>
      <c r="CL82" s="133">
        <v>0</v>
      </c>
      <c r="CM82" s="133">
        <v>0</v>
      </c>
      <c r="CN82" s="133">
        <v>0</v>
      </c>
      <c r="CO82" s="133">
        <v>0</v>
      </c>
      <c r="CP82" s="133">
        <v>0</v>
      </c>
      <c r="CQ82" s="133">
        <v>0</v>
      </c>
      <c r="CR82" s="133">
        <v>0</v>
      </c>
      <c r="CS82" s="133">
        <v>0</v>
      </c>
      <c r="CT82" s="133">
        <v>0</v>
      </c>
      <c r="CU82" s="133">
        <v>0</v>
      </c>
      <c r="CV82" s="133">
        <v>0</v>
      </c>
      <c r="CW82" s="133">
        <v>0</v>
      </c>
      <c r="CX82" s="133">
        <v>0</v>
      </c>
    </row>
    <row r="83" spans="1:102" ht="15" customHeight="1" x14ac:dyDescent="0.45">
      <c r="A83" s="129">
        <v>8.1</v>
      </c>
      <c r="B83" s="132">
        <v>1</v>
      </c>
      <c r="C83" s="133">
        <v>1</v>
      </c>
      <c r="D83" s="133">
        <v>1</v>
      </c>
      <c r="E83" s="133">
        <v>1</v>
      </c>
      <c r="F83" s="133">
        <v>1</v>
      </c>
      <c r="G83" s="133">
        <v>0.95</v>
      </c>
      <c r="H83" s="133">
        <v>0.85</v>
      </c>
      <c r="I83" s="133">
        <v>0.8</v>
      </c>
      <c r="J83" s="133">
        <v>0.7</v>
      </c>
      <c r="K83" s="133">
        <v>0.6</v>
      </c>
      <c r="L83" s="133">
        <v>0.5</v>
      </c>
      <c r="M83" s="133">
        <v>0.4</v>
      </c>
      <c r="N83" s="133">
        <v>0.3</v>
      </c>
      <c r="O83" s="133">
        <v>0.2</v>
      </c>
      <c r="P83" s="133">
        <v>0.1</v>
      </c>
      <c r="Q83" s="133">
        <v>0</v>
      </c>
      <c r="R83" s="133">
        <v>0</v>
      </c>
      <c r="S83" s="133">
        <v>0</v>
      </c>
      <c r="T83" s="133">
        <v>0</v>
      </c>
      <c r="U83" s="133">
        <v>0</v>
      </c>
      <c r="V83" s="133">
        <v>0</v>
      </c>
      <c r="W83" s="133">
        <v>0</v>
      </c>
      <c r="X83" s="133">
        <v>0</v>
      </c>
      <c r="Y83" s="133">
        <v>0</v>
      </c>
      <c r="Z83" s="133">
        <v>0</v>
      </c>
      <c r="AA83" s="133">
        <v>0</v>
      </c>
      <c r="AB83" s="133">
        <v>0</v>
      </c>
      <c r="AC83" s="133">
        <v>0</v>
      </c>
      <c r="AD83" s="133">
        <v>0</v>
      </c>
      <c r="AE83" s="133">
        <v>0</v>
      </c>
      <c r="AF83" s="133">
        <v>0</v>
      </c>
      <c r="AG83" s="133">
        <v>0</v>
      </c>
      <c r="AH83" s="133">
        <v>0</v>
      </c>
      <c r="AI83" s="133">
        <v>0</v>
      </c>
      <c r="AJ83" s="133">
        <v>0</v>
      </c>
      <c r="AK83" s="133">
        <v>0</v>
      </c>
      <c r="AL83" s="133">
        <v>0</v>
      </c>
      <c r="AM83" s="133">
        <v>0</v>
      </c>
      <c r="AN83" s="133">
        <v>0</v>
      </c>
      <c r="AO83" s="133">
        <v>0</v>
      </c>
      <c r="AP83" s="133">
        <v>0</v>
      </c>
      <c r="AQ83" s="133">
        <v>0</v>
      </c>
      <c r="AR83" s="133">
        <v>0</v>
      </c>
      <c r="AS83" s="133">
        <v>0</v>
      </c>
      <c r="AT83" s="133">
        <v>0</v>
      </c>
      <c r="AU83" s="133">
        <v>0</v>
      </c>
      <c r="AV83" s="133">
        <v>0</v>
      </c>
      <c r="AW83" s="133">
        <v>0</v>
      </c>
      <c r="AX83" s="133">
        <v>0</v>
      </c>
      <c r="AY83" s="133">
        <v>0</v>
      </c>
      <c r="AZ83" s="133">
        <v>0</v>
      </c>
      <c r="BA83" s="133">
        <v>0</v>
      </c>
      <c r="BB83" s="133">
        <v>0</v>
      </c>
      <c r="BC83" s="133">
        <v>0</v>
      </c>
      <c r="BD83" s="133">
        <v>0</v>
      </c>
      <c r="BE83" s="133">
        <v>0</v>
      </c>
      <c r="BF83" s="133">
        <v>0</v>
      </c>
      <c r="BG83" s="133">
        <v>0</v>
      </c>
      <c r="BH83" s="133">
        <v>0</v>
      </c>
      <c r="BI83" s="133">
        <v>0</v>
      </c>
      <c r="BJ83" s="133">
        <v>0</v>
      </c>
      <c r="BK83" s="133">
        <v>0</v>
      </c>
      <c r="BL83" s="133">
        <v>0</v>
      </c>
      <c r="BM83" s="133">
        <v>0</v>
      </c>
      <c r="BN83" s="133">
        <v>0</v>
      </c>
      <c r="BO83" s="133">
        <v>0</v>
      </c>
      <c r="BP83" s="133">
        <v>0</v>
      </c>
      <c r="BQ83" s="133">
        <v>0</v>
      </c>
      <c r="BR83" s="133">
        <v>0</v>
      </c>
      <c r="BS83" s="133">
        <v>0</v>
      </c>
      <c r="BT83" s="133">
        <v>0</v>
      </c>
      <c r="BU83" s="133">
        <v>0</v>
      </c>
      <c r="BV83" s="133">
        <v>0</v>
      </c>
      <c r="BW83" s="133">
        <v>0</v>
      </c>
      <c r="BX83" s="133">
        <v>0</v>
      </c>
      <c r="BY83" s="133">
        <v>0</v>
      </c>
      <c r="BZ83" s="133">
        <v>0</v>
      </c>
      <c r="CA83" s="133">
        <v>0</v>
      </c>
      <c r="CB83" s="133">
        <v>0</v>
      </c>
      <c r="CC83" s="133">
        <v>0</v>
      </c>
      <c r="CD83" s="133">
        <v>0</v>
      </c>
      <c r="CE83" s="133">
        <v>0</v>
      </c>
      <c r="CF83" s="133">
        <v>0</v>
      </c>
      <c r="CG83" s="133">
        <v>0</v>
      </c>
      <c r="CH83" s="133">
        <v>0</v>
      </c>
      <c r="CI83" s="133">
        <v>0</v>
      </c>
      <c r="CJ83" s="133">
        <v>0</v>
      </c>
      <c r="CK83" s="133">
        <v>0</v>
      </c>
      <c r="CL83" s="133">
        <v>0</v>
      </c>
      <c r="CM83" s="133">
        <v>0</v>
      </c>
      <c r="CN83" s="133">
        <v>0</v>
      </c>
      <c r="CO83" s="133">
        <v>0</v>
      </c>
      <c r="CP83" s="133">
        <v>0</v>
      </c>
      <c r="CQ83" s="133">
        <v>0</v>
      </c>
      <c r="CR83" s="133">
        <v>0</v>
      </c>
      <c r="CS83" s="133">
        <v>0</v>
      </c>
      <c r="CT83" s="133">
        <v>0</v>
      </c>
      <c r="CU83" s="133">
        <v>0</v>
      </c>
      <c r="CV83" s="133">
        <v>0</v>
      </c>
      <c r="CW83" s="133">
        <v>0</v>
      </c>
      <c r="CX83" s="133">
        <v>0</v>
      </c>
    </row>
    <row r="84" spans="1:102" ht="15" customHeight="1" x14ac:dyDescent="0.45">
      <c r="A84" s="129">
        <v>8.1999999999999993</v>
      </c>
      <c r="B84" s="132">
        <v>1</v>
      </c>
      <c r="C84" s="133">
        <v>1</v>
      </c>
      <c r="D84" s="133">
        <v>1</v>
      </c>
      <c r="E84" s="133">
        <v>1</v>
      </c>
      <c r="F84" s="133">
        <v>1</v>
      </c>
      <c r="G84" s="133">
        <v>0.95</v>
      </c>
      <c r="H84" s="133">
        <v>0.85</v>
      </c>
      <c r="I84" s="133">
        <v>0.8</v>
      </c>
      <c r="J84" s="133">
        <v>0.7</v>
      </c>
      <c r="K84" s="133">
        <v>0.6</v>
      </c>
      <c r="L84" s="133">
        <v>0.5</v>
      </c>
      <c r="M84" s="133">
        <v>0.4</v>
      </c>
      <c r="N84" s="133">
        <v>0.3</v>
      </c>
      <c r="O84" s="133">
        <v>0.2</v>
      </c>
      <c r="P84" s="133">
        <v>0.1</v>
      </c>
      <c r="Q84" s="133">
        <v>0</v>
      </c>
      <c r="R84" s="133">
        <v>0</v>
      </c>
      <c r="S84" s="133">
        <v>0</v>
      </c>
      <c r="T84" s="133">
        <v>0</v>
      </c>
      <c r="U84" s="133">
        <v>0</v>
      </c>
      <c r="V84" s="133">
        <v>0</v>
      </c>
      <c r="W84" s="133">
        <v>0</v>
      </c>
      <c r="X84" s="133">
        <v>0</v>
      </c>
      <c r="Y84" s="133">
        <v>0</v>
      </c>
      <c r="Z84" s="133">
        <v>0</v>
      </c>
      <c r="AA84" s="133">
        <v>0</v>
      </c>
      <c r="AB84" s="133">
        <v>0</v>
      </c>
      <c r="AC84" s="133">
        <v>0</v>
      </c>
      <c r="AD84" s="133">
        <v>0</v>
      </c>
      <c r="AE84" s="133">
        <v>0</v>
      </c>
      <c r="AF84" s="133">
        <v>0</v>
      </c>
      <c r="AG84" s="133">
        <v>0</v>
      </c>
      <c r="AH84" s="133">
        <v>0</v>
      </c>
      <c r="AI84" s="133">
        <v>0</v>
      </c>
      <c r="AJ84" s="133">
        <v>0</v>
      </c>
      <c r="AK84" s="133">
        <v>0</v>
      </c>
      <c r="AL84" s="133">
        <v>0</v>
      </c>
      <c r="AM84" s="133">
        <v>0</v>
      </c>
      <c r="AN84" s="133">
        <v>0</v>
      </c>
      <c r="AO84" s="133">
        <v>0</v>
      </c>
      <c r="AP84" s="133">
        <v>0</v>
      </c>
      <c r="AQ84" s="133">
        <v>0</v>
      </c>
      <c r="AR84" s="133">
        <v>0</v>
      </c>
      <c r="AS84" s="133">
        <v>0</v>
      </c>
      <c r="AT84" s="133">
        <v>0</v>
      </c>
      <c r="AU84" s="133">
        <v>0</v>
      </c>
      <c r="AV84" s="133">
        <v>0</v>
      </c>
      <c r="AW84" s="133">
        <v>0</v>
      </c>
      <c r="AX84" s="133">
        <v>0</v>
      </c>
      <c r="AY84" s="133">
        <v>0</v>
      </c>
      <c r="AZ84" s="133">
        <v>0</v>
      </c>
      <c r="BA84" s="133">
        <v>0</v>
      </c>
      <c r="BB84" s="133">
        <v>0</v>
      </c>
      <c r="BC84" s="133">
        <v>0</v>
      </c>
      <c r="BD84" s="133">
        <v>0</v>
      </c>
      <c r="BE84" s="133">
        <v>0</v>
      </c>
      <c r="BF84" s="133">
        <v>0</v>
      </c>
      <c r="BG84" s="133">
        <v>0</v>
      </c>
      <c r="BH84" s="133">
        <v>0</v>
      </c>
      <c r="BI84" s="133">
        <v>0</v>
      </c>
      <c r="BJ84" s="133">
        <v>0</v>
      </c>
      <c r="BK84" s="133">
        <v>0</v>
      </c>
      <c r="BL84" s="133">
        <v>0</v>
      </c>
      <c r="BM84" s="133">
        <v>0</v>
      </c>
      <c r="BN84" s="133">
        <v>0</v>
      </c>
      <c r="BO84" s="133">
        <v>0</v>
      </c>
      <c r="BP84" s="133">
        <v>0</v>
      </c>
      <c r="BQ84" s="133">
        <v>0</v>
      </c>
      <c r="BR84" s="133">
        <v>0</v>
      </c>
      <c r="BS84" s="133">
        <v>0</v>
      </c>
      <c r="BT84" s="133">
        <v>0</v>
      </c>
      <c r="BU84" s="133">
        <v>0</v>
      </c>
      <c r="BV84" s="133">
        <v>0</v>
      </c>
      <c r="BW84" s="133">
        <v>0</v>
      </c>
      <c r="BX84" s="133">
        <v>0</v>
      </c>
      <c r="BY84" s="133">
        <v>0</v>
      </c>
      <c r="BZ84" s="133">
        <v>0</v>
      </c>
      <c r="CA84" s="133">
        <v>0</v>
      </c>
      <c r="CB84" s="133">
        <v>0</v>
      </c>
      <c r="CC84" s="133">
        <v>0</v>
      </c>
      <c r="CD84" s="133">
        <v>0</v>
      </c>
      <c r="CE84" s="133">
        <v>0</v>
      </c>
      <c r="CF84" s="133">
        <v>0</v>
      </c>
      <c r="CG84" s="133">
        <v>0</v>
      </c>
      <c r="CH84" s="133">
        <v>0</v>
      </c>
      <c r="CI84" s="133">
        <v>0</v>
      </c>
      <c r="CJ84" s="133">
        <v>0</v>
      </c>
      <c r="CK84" s="133">
        <v>0</v>
      </c>
      <c r="CL84" s="133">
        <v>0</v>
      </c>
      <c r="CM84" s="133">
        <v>0</v>
      </c>
      <c r="CN84" s="133">
        <v>0</v>
      </c>
      <c r="CO84" s="133">
        <v>0</v>
      </c>
      <c r="CP84" s="133">
        <v>0</v>
      </c>
      <c r="CQ84" s="133">
        <v>0</v>
      </c>
      <c r="CR84" s="133">
        <v>0</v>
      </c>
      <c r="CS84" s="133">
        <v>0</v>
      </c>
      <c r="CT84" s="133">
        <v>0</v>
      </c>
      <c r="CU84" s="133">
        <v>0</v>
      </c>
      <c r="CV84" s="133">
        <v>0</v>
      </c>
      <c r="CW84" s="133">
        <v>0</v>
      </c>
      <c r="CX84" s="133">
        <v>0</v>
      </c>
    </row>
    <row r="85" spans="1:102" ht="15" customHeight="1" x14ac:dyDescent="0.45">
      <c r="A85" s="129">
        <v>8.3000000000000007</v>
      </c>
      <c r="B85" s="132">
        <v>1</v>
      </c>
      <c r="C85" s="133">
        <v>1</v>
      </c>
      <c r="D85" s="133">
        <v>1</v>
      </c>
      <c r="E85" s="133">
        <v>1</v>
      </c>
      <c r="F85" s="133">
        <v>1</v>
      </c>
      <c r="G85" s="133">
        <v>0.95</v>
      </c>
      <c r="H85" s="133">
        <v>0.85</v>
      </c>
      <c r="I85" s="133">
        <v>0.8</v>
      </c>
      <c r="J85" s="133">
        <v>0.7</v>
      </c>
      <c r="K85" s="133">
        <v>0.6</v>
      </c>
      <c r="L85" s="133">
        <v>0.5</v>
      </c>
      <c r="M85" s="133">
        <v>0.4</v>
      </c>
      <c r="N85" s="133">
        <v>0.3</v>
      </c>
      <c r="O85" s="133">
        <v>0.2</v>
      </c>
      <c r="P85" s="133">
        <v>0.1</v>
      </c>
      <c r="Q85" s="133">
        <v>0</v>
      </c>
      <c r="R85" s="133">
        <v>0</v>
      </c>
      <c r="S85" s="133">
        <v>0</v>
      </c>
      <c r="T85" s="133">
        <v>0</v>
      </c>
      <c r="U85" s="133">
        <v>0</v>
      </c>
      <c r="V85" s="133">
        <v>0</v>
      </c>
      <c r="W85" s="133">
        <v>0</v>
      </c>
      <c r="X85" s="133">
        <v>0</v>
      </c>
      <c r="Y85" s="133">
        <v>0</v>
      </c>
      <c r="Z85" s="133">
        <v>0</v>
      </c>
      <c r="AA85" s="133">
        <v>0</v>
      </c>
      <c r="AB85" s="133">
        <v>0</v>
      </c>
      <c r="AC85" s="133">
        <v>0</v>
      </c>
      <c r="AD85" s="133">
        <v>0</v>
      </c>
      <c r="AE85" s="133">
        <v>0</v>
      </c>
      <c r="AF85" s="133">
        <v>0</v>
      </c>
      <c r="AG85" s="133">
        <v>0</v>
      </c>
      <c r="AH85" s="133">
        <v>0</v>
      </c>
      <c r="AI85" s="133">
        <v>0</v>
      </c>
      <c r="AJ85" s="133">
        <v>0</v>
      </c>
      <c r="AK85" s="133">
        <v>0</v>
      </c>
      <c r="AL85" s="133">
        <v>0</v>
      </c>
      <c r="AM85" s="133">
        <v>0</v>
      </c>
      <c r="AN85" s="133">
        <v>0</v>
      </c>
      <c r="AO85" s="133">
        <v>0</v>
      </c>
      <c r="AP85" s="133">
        <v>0</v>
      </c>
      <c r="AQ85" s="133">
        <v>0</v>
      </c>
      <c r="AR85" s="133">
        <v>0</v>
      </c>
      <c r="AS85" s="133">
        <v>0</v>
      </c>
      <c r="AT85" s="133">
        <v>0</v>
      </c>
      <c r="AU85" s="133">
        <v>0</v>
      </c>
      <c r="AV85" s="133">
        <v>0</v>
      </c>
      <c r="AW85" s="133">
        <v>0</v>
      </c>
      <c r="AX85" s="133">
        <v>0</v>
      </c>
      <c r="AY85" s="133">
        <v>0</v>
      </c>
      <c r="AZ85" s="133">
        <v>0</v>
      </c>
      <c r="BA85" s="133">
        <v>0</v>
      </c>
      <c r="BB85" s="133">
        <v>0</v>
      </c>
      <c r="BC85" s="133">
        <v>0</v>
      </c>
      <c r="BD85" s="133">
        <v>0</v>
      </c>
      <c r="BE85" s="133">
        <v>0</v>
      </c>
      <c r="BF85" s="133">
        <v>0</v>
      </c>
      <c r="BG85" s="133">
        <v>0</v>
      </c>
      <c r="BH85" s="133">
        <v>0</v>
      </c>
      <c r="BI85" s="133">
        <v>0</v>
      </c>
      <c r="BJ85" s="133">
        <v>0</v>
      </c>
      <c r="BK85" s="133">
        <v>0</v>
      </c>
      <c r="BL85" s="133">
        <v>0</v>
      </c>
      <c r="BM85" s="133">
        <v>0</v>
      </c>
      <c r="BN85" s="133">
        <v>0</v>
      </c>
      <c r="BO85" s="133">
        <v>0</v>
      </c>
      <c r="BP85" s="133">
        <v>0</v>
      </c>
      <c r="BQ85" s="133">
        <v>0</v>
      </c>
      <c r="BR85" s="133">
        <v>0</v>
      </c>
      <c r="BS85" s="133">
        <v>0</v>
      </c>
      <c r="BT85" s="133">
        <v>0</v>
      </c>
      <c r="BU85" s="133">
        <v>0</v>
      </c>
      <c r="BV85" s="133">
        <v>0</v>
      </c>
      <c r="BW85" s="133">
        <v>0</v>
      </c>
      <c r="BX85" s="133">
        <v>0</v>
      </c>
      <c r="BY85" s="133">
        <v>0</v>
      </c>
      <c r="BZ85" s="133">
        <v>0</v>
      </c>
      <c r="CA85" s="133">
        <v>0</v>
      </c>
      <c r="CB85" s="133">
        <v>0</v>
      </c>
      <c r="CC85" s="133">
        <v>0</v>
      </c>
      <c r="CD85" s="133">
        <v>0</v>
      </c>
      <c r="CE85" s="133">
        <v>0</v>
      </c>
      <c r="CF85" s="133">
        <v>0</v>
      </c>
      <c r="CG85" s="133">
        <v>0</v>
      </c>
      <c r="CH85" s="133">
        <v>0</v>
      </c>
      <c r="CI85" s="133">
        <v>0</v>
      </c>
      <c r="CJ85" s="133">
        <v>0</v>
      </c>
      <c r="CK85" s="133">
        <v>0</v>
      </c>
      <c r="CL85" s="133">
        <v>0</v>
      </c>
      <c r="CM85" s="133">
        <v>0</v>
      </c>
      <c r="CN85" s="133">
        <v>0</v>
      </c>
      <c r="CO85" s="133">
        <v>0</v>
      </c>
      <c r="CP85" s="133">
        <v>0</v>
      </c>
      <c r="CQ85" s="133">
        <v>0</v>
      </c>
      <c r="CR85" s="133">
        <v>0</v>
      </c>
      <c r="CS85" s="133">
        <v>0</v>
      </c>
      <c r="CT85" s="133">
        <v>0</v>
      </c>
      <c r="CU85" s="133">
        <v>0</v>
      </c>
      <c r="CV85" s="133">
        <v>0</v>
      </c>
      <c r="CW85" s="133">
        <v>0</v>
      </c>
      <c r="CX85" s="133">
        <v>0</v>
      </c>
    </row>
    <row r="86" spans="1:102" ht="15" customHeight="1" x14ac:dyDescent="0.45">
      <c r="A86" s="129">
        <v>8.4</v>
      </c>
      <c r="B86" s="132">
        <v>1</v>
      </c>
      <c r="C86" s="133">
        <v>1</v>
      </c>
      <c r="D86" s="133">
        <v>1</v>
      </c>
      <c r="E86" s="133">
        <v>1</v>
      </c>
      <c r="F86" s="133">
        <v>1</v>
      </c>
      <c r="G86" s="133">
        <v>0.95</v>
      </c>
      <c r="H86" s="133">
        <v>0.85</v>
      </c>
      <c r="I86" s="133">
        <v>0.8</v>
      </c>
      <c r="J86" s="133">
        <v>0.7</v>
      </c>
      <c r="K86" s="133">
        <v>0.6</v>
      </c>
      <c r="L86" s="133">
        <v>0.5</v>
      </c>
      <c r="M86" s="133">
        <v>0.4</v>
      </c>
      <c r="N86" s="133">
        <v>0.3</v>
      </c>
      <c r="O86" s="133">
        <v>0.2</v>
      </c>
      <c r="P86" s="133">
        <v>0.1</v>
      </c>
      <c r="Q86" s="133">
        <v>0</v>
      </c>
      <c r="R86" s="133">
        <v>0</v>
      </c>
      <c r="S86" s="133">
        <v>0</v>
      </c>
      <c r="T86" s="133">
        <v>0</v>
      </c>
      <c r="U86" s="133">
        <v>0</v>
      </c>
      <c r="V86" s="133">
        <v>0</v>
      </c>
      <c r="W86" s="133">
        <v>0</v>
      </c>
      <c r="X86" s="133">
        <v>0</v>
      </c>
      <c r="Y86" s="133">
        <v>0</v>
      </c>
      <c r="Z86" s="133">
        <v>0</v>
      </c>
      <c r="AA86" s="133">
        <v>0</v>
      </c>
      <c r="AB86" s="133">
        <v>0</v>
      </c>
      <c r="AC86" s="133">
        <v>0</v>
      </c>
      <c r="AD86" s="133">
        <v>0</v>
      </c>
      <c r="AE86" s="133">
        <v>0</v>
      </c>
      <c r="AF86" s="133">
        <v>0</v>
      </c>
      <c r="AG86" s="133">
        <v>0</v>
      </c>
      <c r="AH86" s="133">
        <v>0</v>
      </c>
      <c r="AI86" s="133">
        <v>0</v>
      </c>
      <c r="AJ86" s="133">
        <v>0</v>
      </c>
      <c r="AK86" s="133">
        <v>0</v>
      </c>
      <c r="AL86" s="133">
        <v>0</v>
      </c>
      <c r="AM86" s="133">
        <v>0</v>
      </c>
      <c r="AN86" s="133">
        <v>0</v>
      </c>
      <c r="AO86" s="133">
        <v>0</v>
      </c>
      <c r="AP86" s="133">
        <v>0</v>
      </c>
      <c r="AQ86" s="133">
        <v>0</v>
      </c>
      <c r="AR86" s="133">
        <v>0</v>
      </c>
      <c r="AS86" s="133">
        <v>0</v>
      </c>
      <c r="AT86" s="133">
        <v>0</v>
      </c>
      <c r="AU86" s="133">
        <v>0</v>
      </c>
      <c r="AV86" s="133">
        <v>0</v>
      </c>
      <c r="AW86" s="133">
        <v>0</v>
      </c>
      <c r="AX86" s="133">
        <v>0</v>
      </c>
      <c r="AY86" s="133">
        <v>0</v>
      </c>
      <c r="AZ86" s="133">
        <v>0</v>
      </c>
      <c r="BA86" s="133">
        <v>0</v>
      </c>
      <c r="BB86" s="133">
        <v>0</v>
      </c>
      <c r="BC86" s="133">
        <v>0</v>
      </c>
      <c r="BD86" s="133">
        <v>0</v>
      </c>
      <c r="BE86" s="133">
        <v>0</v>
      </c>
      <c r="BF86" s="133">
        <v>0</v>
      </c>
      <c r="BG86" s="133">
        <v>0</v>
      </c>
      <c r="BH86" s="133">
        <v>0</v>
      </c>
      <c r="BI86" s="133">
        <v>0</v>
      </c>
      <c r="BJ86" s="133">
        <v>0</v>
      </c>
      <c r="BK86" s="133">
        <v>0</v>
      </c>
      <c r="BL86" s="133">
        <v>0</v>
      </c>
      <c r="BM86" s="133">
        <v>0</v>
      </c>
      <c r="BN86" s="133">
        <v>0</v>
      </c>
      <c r="BO86" s="133">
        <v>0</v>
      </c>
      <c r="BP86" s="133">
        <v>0</v>
      </c>
      <c r="BQ86" s="133">
        <v>0</v>
      </c>
      <c r="BR86" s="133">
        <v>0</v>
      </c>
      <c r="BS86" s="133">
        <v>0</v>
      </c>
      <c r="BT86" s="133">
        <v>0</v>
      </c>
      <c r="BU86" s="133">
        <v>0</v>
      </c>
      <c r="BV86" s="133">
        <v>0</v>
      </c>
      <c r="BW86" s="133">
        <v>0</v>
      </c>
      <c r="BX86" s="133">
        <v>0</v>
      </c>
      <c r="BY86" s="133">
        <v>0</v>
      </c>
      <c r="BZ86" s="133">
        <v>0</v>
      </c>
      <c r="CA86" s="133">
        <v>0</v>
      </c>
      <c r="CB86" s="133">
        <v>0</v>
      </c>
      <c r="CC86" s="133">
        <v>0</v>
      </c>
      <c r="CD86" s="133">
        <v>0</v>
      </c>
      <c r="CE86" s="133">
        <v>0</v>
      </c>
      <c r="CF86" s="133">
        <v>0</v>
      </c>
      <c r="CG86" s="133">
        <v>0</v>
      </c>
      <c r="CH86" s="133">
        <v>0</v>
      </c>
      <c r="CI86" s="133">
        <v>0</v>
      </c>
      <c r="CJ86" s="133">
        <v>0</v>
      </c>
      <c r="CK86" s="133">
        <v>0</v>
      </c>
      <c r="CL86" s="133">
        <v>0</v>
      </c>
      <c r="CM86" s="133">
        <v>0</v>
      </c>
      <c r="CN86" s="133">
        <v>0</v>
      </c>
      <c r="CO86" s="133">
        <v>0</v>
      </c>
      <c r="CP86" s="133">
        <v>0</v>
      </c>
      <c r="CQ86" s="133">
        <v>0</v>
      </c>
      <c r="CR86" s="133">
        <v>0</v>
      </c>
      <c r="CS86" s="133">
        <v>0</v>
      </c>
      <c r="CT86" s="133">
        <v>0</v>
      </c>
      <c r="CU86" s="133">
        <v>0</v>
      </c>
      <c r="CV86" s="133">
        <v>0</v>
      </c>
      <c r="CW86" s="133">
        <v>0</v>
      </c>
      <c r="CX86" s="133">
        <v>0</v>
      </c>
    </row>
    <row r="87" spans="1:102" ht="15" customHeight="1" x14ac:dyDescent="0.45">
      <c r="A87" s="129">
        <v>8.5</v>
      </c>
      <c r="B87" s="132">
        <v>1</v>
      </c>
      <c r="C87" s="133">
        <v>1</v>
      </c>
      <c r="D87" s="133">
        <v>1</v>
      </c>
      <c r="E87" s="133">
        <v>1</v>
      </c>
      <c r="F87" s="133">
        <v>1</v>
      </c>
      <c r="G87" s="133">
        <v>0.95</v>
      </c>
      <c r="H87" s="133">
        <v>0.85</v>
      </c>
      <c r="I87" s="133">
        <v>0.8</v>
      </c>
      <c r="J87" s="133">
        <v>0.7</v>
      </c>
      <c r="K87" s="133">
        <v>0.6</v>
      </c>
      <c r="L87" s="133">
        <v>0.5</v>
      </c>
      <c r="M87" s="133">
        <v>0.4</v>
      </c>
      <c r="N87" s="133">
        <v>0.3</v>
      </c>
      <c r="O87" s="133">
        <v>0.2</v>
      </c>
      <c r="P87" s="133">
        <v>0.1</v>
      </c>
      <c r="Q87" s="133">
        <v>0</v>
      </c>
      <c r="R87" s="133">
        <v>0</v>
      </c>
      <c r="S87" s="133">
        <v>0</v>
      </c>
      <c r="T87" s="133">
        <v>0</v>
      </c>
      <c r="U87" s="133">
        <v>0</v>
      </c>
      <c r="V87" s="133">
        <v>0</v>
      </c>
      <c r="W87" s="133">
        <v>0</v>
      </c>
      <c r="X87" s="133">
        <v>0</v>
      </c>
      <c r="Y87" s="133">
        <v>0</v>
      </c>
      <c r="Z87" s="133">
        <v>0</v>
      </c>
      <c r="AA87" s="133">
        <v>0</v>
      </c>
      <c r="AB87" s="133">
        <v>0</v>
      </c>
      <c r="AC87" s="133">
        <v>0</v>
      </c>
      <c r="AD87" s="133">
        <v>0</v>
      </c>
      <c r="AE87" s="133">
        <v>0</v>
      </c>
      <c r="AF87" s="133">
        <v>0</v>
      </c>
      <c r="AG87" s="133">
        <v>0</v>
      </c>
      <c r="AH87" s="133">
        <v>0</v>
      </c>
      <c r="AI87" s="133">
        <v>0</v>
      </c>
      <c r="AJ87" s="133">
        <v>0</v>
      </c>
      <c r="AK87" s="133">
        <v>0</v>
      </c>
      <c r="AL87" s="133">
        <v>0</v>
      </c>
      <c r="AM87" s="133">
        <v>0</v>
      </c>
      <c r="AN87" s="133">
        <v>0</v>
      </c>
      <c r="AO87" s="133">
        <v>0</v>
      </c>
      <c r="AP87" s="133">
        <v>0</v>
      </c>
      <c r="AQ87" s="133">
        <v>0</v>
      </c>
      <c r="AR87" s="133">
        <v>0</v>
      </c>
      <c r="AS87" s="133">
        <v>0</v>
      </c>
      <c r="AT87" s="133">
        <v>0</v>
      </c>
      <c r="AU87" s="133">
        <v>0</v>
      </c>
      <c r="AV87" s="133">
        <v>0</v>
      </c>
      <c r="AW87" s="133">
        <v>0</v>
      </c>
      <c r="AX87" s="133">
        <v>0</v>
      </c>
      <c r="AY87" s="133">
        <v>0</v>
      </c>
      <c r="AZ87" s="133">
        <v>0</v>
      </c>
      <c r="BA87" s="133">
        <v>0</v>
      </c>
      <c r="BB87" s="133">
        <v>0</v>
      </c>
      <c r="BC87" s="133">
        <v>0</v>
      </c>
      <c r="BD87" s="133">
        <v>0</v>
      </c>
      <c r="BE87" s="133">
        <v>0</v>
      </c>
      <c r="BF87" s="133">
        <v>0</v>
      </c>
      <c r="BG87" s="133">
        <v>0</v>
      </c>
      <c r="BH87" s="133">
        <v>0</v>
      </c>
      <c r="BI87" s="133">
        <v>0</v>
      </c>
      <c r="BJ87" s="133">
        <v>0</v>
      </c>
      <c r="BK87" s="133">
        <v>0</v>
      </c>
      <c r="BL87" s="133">
        <v>0</v>
      </c>
      <c r="BM87" s="133">
        <v>0</v>
      </c>
      <c r="BN87" s="133">
        <v>0</v>
      </c>
      <c r="BO87" s="133">
        <v>0</v>
      </c>
      <c r="BP87" s="133">
        <v>0</v>
      </c>
      <c r="BQ87" s="133">
        <v>0</v>
      </c>
      <c r="BR87" s="133">
        <v>0</v>
      </c>
      <c r="BS87" s="133">
        <v>0</v>
      </c>
      <c r="BT87" s="133">
        <v>0</v>
      </c>
      <c r="BU87" s="133">
        <v>0</v>
      </c>
      <c r="BV87" s="133">
        <v>0</v>
      </c>
      <c r="BW87" s="133">
        <v>0</v>
      </c>
      <c r="BX87" s="133">
        <v>0</v>
      </c>
      <c r="BY87" s="133">
        <v>0</v>
      </c>
      <c r="BZ87" s="133">
        <v>0</v>
      </c>
      <c r="CA87" s="133">
        <v>0</v>
      </c>
      <c r="CB87" s="133">
        <v>0</v>
      </c>
      <c r="CC87" s="133">
        <v>0</v>
      </c>
      <c r="CD87" s="133">
        <v>0</v>
      </c>
      <c r="CE87" s="133">
        <v>0</v>
      </c>
      <c r="CF87" s="133">
        <v>0</v>
      </c>
      <c r="CG87" s="133">
        <v>0</v>
      </c>
      <c r="CH87" s="133">
        <v>0</v>
      </c>
      <c r="CI87" s="133">
        <v>0</v>
      </c>
      <c r="CJ87" s="133">
        <v>0</v>
      </c>
      <c r="CK87" s="133">
        <v>0</v>
      </c>
      <c r="CL87" s="133">
        <v>0</v>
      </c>
      <c r="CM87" s="133">
        <v>0</v>
      </c>
      <c r="CN87" s="133">
        <v>0</v>
      </c>
      <c r="CO87" s="133">
        <v>0</v>
      </c>
      <c r="CP87" s="133">
        <v>0</v>
      </c>
      <c r="CQ87" s="133">
        <v>0</v>
      </c>
      <c r="CR87" s="133">
        <v>0</v>
      </c>
      <c r="CS87" s="133">
        <v>0</v>
      </c>
      <c r="CT87" s="133">
        <v>0</v>
      </c>
      <c r="CU87" s="133">
        <v>0</v>
      </c>
      <c r="CV87" s="133">
        <v>0</v>
      </c>
      <c r="CW87" s="133">
        <v>0</v>
      </c>
      <c r="CX87" s="133">
        <v>0</v>
      </c>
    </row>
    <row r="88" spans="1:102" ht="15" customHeight="1" x14ac:dyDescent="0.45">
      <c r="A88" s="129">
        <v>8.6</v>
      </c>
      <c r="B88" s="132">
        <v>1</v>
      </c>
      <c r="C88" s="133">
        <v>1</v>
      </c>
      <c r="D88" s="133">
        <v>1</v>
      </c>
      <c r="E88" s="133">
        <v>1</v>
      </c>
      <c r="F88" s="133">
        <v>1</v>
      </c>
      <c r="G88" s="133">
        <v>0.95</v>
      </c>
      <c r="H88" s="133">
        <v>0.85</v>
      </c>
      <c r="I88" s="133">
        <v>0.8</v>
      </c>
      <c r="J88" s="133">
        <v>0.7</v>
      </c>
      <c r="K88" s="133">
        <v>0.6</v>
      </c>
      <c r="L88" s="133">
        <v>0.5</v>
      </c>
      <c r="M88" s="133">
        <v>0.4</v>
      </c>
      <c r="N88" s="133">
        <v>0.3</v>
      </c>
      <c r="O88" s="133">
        <v>0.2</v>
      </c>
      <c r="P88" s="133">
        <v>0.1</v>
      </c>
      <c r="Q88" s="133">
        <v>0</v>
      </c>
      <c r="R88" s="133">
        <v>0</v>
      </c>
      <c r="S88" s="133">
        <v>0</v>
      </c>
      <c r="T88" s="133">
        <v>0</v>
      </c>
      <c r="U88" s="133">
        <v>0</v>
      </c>
      <c r="V88" s="133">
        <v>0</v>
      </c>
      <c r="W88" s="133">
        <v>0</v>
      </c>
      <c r="X88" s="133">
        <v>0</v>
      </c>
      <c r="Y88" s="133">
        <v>0</v>
      </c>
      <c r="Z88" s="133">
        <v>0</v>
      </c>
      <c r="AA88" s="133">
        <v>0</v>
      </c>
      <c r="AB88" s="133">
        <v>0</v>
      </c>
      <c r="AC88" s="133">
        <v>0</v>
      </c>
      <c r="AD88" s="133">
        <v>0</v>
      </c>
      <c r="AE88" s="133">
        <v>0</v>
      </c>
      <c r="AF88" s="133">
        <v>0</v>
      </c>
      <c r="AG88" s="133">
        <v>0</v>
      </c>
      <c r="AH88" s="133">
        <v>0</v>
      </c>
      <c r="AI88" s="133">
        <v>0</v>
      </c>
      <c r="AJ88" s="133">
        <v>0</v>
      </c>
      <c r="AK88" s="133">
        <v>0</v>
      </c>
      <c r="AL88" s="133">
        <v>0</v>
      </c>
      <c r="AM88" s="133">
        <v>0</v>
      </c>
      <c r="AN88" s="133">
        <v>0</v>
      </c>
      <c r="AO88" s="133">
        <v>0</v>
      </c>
      <c r="AP88" s="133">
        <v>0</v>
      </c>
      <c r="AQ88" s="133">
        <v>0</v>
      </c>
      <c r="AR88" s="133">
        <v>0</v>
      </c>
      <c r="AS88" s="133">
        <v>0</v>
      </c>
      <c r="AT88" s="133">
        <v>0</v>
      </c>
      <c r="AU88" s="133">
        <v>0</v>
      </c>
      <c r="AV88" s="133">
        <v>0</v>
      </c>
      <c r="AW88" s="133">
        <v>0</v>
      </c>
      <c r="AX88" s="133">
        <v>0</v>
      </c>
      <c r="AY88" s="133">
        <v>0</v>
      </c>
      <c r="AZ88" s="133">
        <v>0</v>
      </c>
      <c r="BA88" s="133">
        <v>0</v>
      </c>
      <c r="BB88" s="133">
        <v>0</v>
      </c>
      <c r="BC88" s="133">
        <v>0</v>
      </c>
      <c r="BD88" s="133">
        <v>0</v>
      </c>
      <c r="BE88" s="133">
        <v>0</v>
      </c>
      <c r="BF88" s="133">
        <v>0</v>
      </c>
      <c r="BG88" s="133">
        <v>0</v>
      </c>
      <c r="BH88" s="133">
        <v>0</v>
      </c>
      <c r="BI88" s="133">
        <v>0</v>
      </c>
      <c r="BJ88" s="133">
        <v>0</v>
      </c>
      <c r="BK88" s="133">
        <v>0</v>
      </c>
      <c r="BL88" s="133">
        <v>0</v>
      </c>
      <c r="BM88" s="133">
        <v>0</v>
      </c>
      <c r="BN88" s="133">
        <v>0</v>
      </c>
      <c r="BO88" s="133">
        <v>0</v>
      </c>
      <c r="BP88" s="133">
        <v>0</v>
      </c>
      <c r="BQ88" s="133">
        <v>0</v>
      </c>
      <c r="BR88" s="133">
        <v>0</v>
      </c>
      <c r="BS88" s="133">
        <v>0</v>
      </c>
      <c r="BT88" s="133">
        <v>0</v>
      </c>
      <c r="BU88" s="133">
        <v>0</v>
      </c>
      <c r="BV88" s="133">
        <v>0</v>
      </c>
      <c r="BW88" s="133">
        <v>0</v>
      </c>
      <c r="BX88" s="133">
        <v>0</v>
      </c>
      <c r="BY88" s="133">
        <v>0</v>
      </c>
      <c r="BZ88" s="133">
        <v>0</v>
      </c>
      <c r="CA88" s="133">
        <v>0</v>
      </c>
      <c r="CB88" s="133">
        <v>0</v>
      </c>
      <c r="CC88" s="133">
        <v>0</v>
      </c>
      <c r="CD88" s="133">
        <v>0</v>
      </c>
      <c r="CE88" s="133">
        <v>0</v>
      </c>
      <c r="CF88" s="133">
        <v>0</v>
      </c>
      <c r="CG88" s="133">
        <v>0</v>
      </c>
      <c r="CH88" s="133">
        <v>0</v>
      </c>
      <c r="CI88" s="133">
        <v>0</v>
      </c>
      <c r="CJ88" s="133">
        <v>0</v>
      </c>
      <c r="CK88" s="133">
        <v>0</v>
      </c>
      <c r="CL88" s="133">
        <v>0</v>
      </c>
      <c r="CM88" s="133">
        <v>0</v>
      </c>
      <c r="CN88" s="133">
        <v>0</v>
      </c>
      <c r="CO88" s="133">
        <v>0</v>
      </c>
      <c r="CP88" s="133">
        <v>0</v>
      </c>
      <c r="CQ88" s="133">
        <v>0</v>
      </c>
      <c r="CR88" s="133">
        <v>0</v>
      </c>
      <c r="CS88" s="133">
        <v>0</v>
      </c>
      <c r="CT88" s="133">
        <v>0</v>
      </c>
      <c r="CU88" s="133">
        <v>0</v>
      </c>
      <c r="CV88" s="133">
        <v>0</v>
      </c>
      <c r="CW88" s="133">
        <v>0</v>
      </c>
      <c r="CX88" s="133">
        <v>0</v>
      </c>
    </row>
    <row r="89" spans="1:102" ht="15" customHeight="1" x14ac:dyDescent="0.45">
      <c r="A89" s="129">
        <v>8.6999999999999993</v>
      </c>
      <c r="B89" s="132">
        <v>1</v>
      </c>
      <c r="C89" s="133">
        <v>1</v>
      </c>
      <c r="D89" s="133">
        <v>1</v>
      </c>
      <c r="E89" s="133">
        <v>1</v>
      </c>
      <c r="F89" s="133">
        <v>1</v>
      </c>
      <c r="G89" s="133">
        <v>0.95</v>
      </c>
      <c r="H89" s="133">
        <v>0.85</v>
      </c>
      <c r="I89" s="133">
        <v>0.8</v>
      </c>
      <c r="J89" s="133">
        <v>0.7</v>
      </c>
      <c r="K89" s="133">
        <v>0.6</v>
      </c>
      <c r="L89" s="133">
        <v>0.5</v>
      </c>
      <c r="M89" s="133">
        <v>0.4</v>
      </c>
      <c r="N89" s="133">
        <v>0.3</v>
      </c>
      <c r="O89" s="133">
        <v>0.2</v>
      </c>
      <c r="P89" s="133">
        <v>0.1</v>
      </c>
      <c r="Q89" s="133">
        <v>0</v>
      </c>
      <c r="R89" s="133">
        <v>0</v>
      </c>
      <c r="S89" s="133">
        <v>0</v>
      </c>
      <c r="T89" s="133">
        <v>0</v>
      </c>
      <c r="U89" s="133">
        <v>0</v>
      </c>
      <c r="V89" s="133">
        <v>0</v>
      </c>
      <c r="W89" s="133">
        <v>0</v>
      </c>
      <c r="X89" s="133">
        <v>0</v>
      </c>
      <c r="Y89" s="133">
        <v>0</v>
      </c>
      <c r="Z89" s="133">
        <v>0</v>
      </c>
      <c r="AA89" s="133">
        <v>0</v>
      </c>
      <c r="AB89" s="133">
        <v>0</v>
      </c>
      <c r="AC89" s="133">
        <v>0</v>
      </c>
      <c r="AD89" s="133">
        <v>0</v>
      </c>
      <c r="AE89" s="133">
        <v>0</v>
      </c>
      <c r="AF89" s="133">
        <v>0</v>
      </c>
      <c r="AG89" s="133">
        <v>0</v>
      </c>
      <c r="AH89" s="133">
        <v>0</v>
      </c>
      <c r="AI89" s="133">
        <v>0</v>
      </c>
      <c r="AJ89" s="133">
        <v>0</v>
      </c>
      <c r="AK89" s="133">
        <v>0</v>
      </c>
      <c r="AL89" s="133">
        <v>0</v>
      </c>
      <c r="AM89" s="133">
        <v>0</v>
      </c>
      <c r="AN89" s="133">
        <v>0</v>
      </c>
      <c r="AO89" s="133">
        <v>0</v>
      </c>
      <c r="AP89" s="133">
        <v>0</v>
      </c>
      <c r="AQ89" s="133">
        <v>0</v>
      </c>
      <c r="AR89" s="133">
        <v>0</v>
      </c>
      <c r="AS89" s="133">
        <v>0</v>
      </c>
      <c r="AT89" s="133">
        <v>0</v>
      </c>
      <c r="AU89" s="133">
        <v>0</v>
      </c>
      <c r="AV89" s="133">
        <v>0</v>
      </c>
      <c r="AW89" s="133">
        <v>0</v>
      </c>
      <c r="AX89" s="133">
        <v>0</v>
      </c>
      <c r="AY89" s="133">
        <v>0</v>
      </c>
      <c r="AZ89" s="133">
        <v>0</v>
      </c>
      <c r="BA89" s="133">
        <v>0</v>
      </c>
      <c r="BB89" s="133">
        <v>0</v>
      </c>
      <c r="BC89" s="133">
        <v>0</v>
      </c>
      <c r="BD89" s="133">
        <v>0</v>
      </c>
      <c r="BE89" s="133">
        <v>0</v>
      </c>
      <c r="BF89" s="133">
        <v>0</v>
      </c>
      <c r="BG89" s="133">
        <v>0</v>
      </c>
      <c r="BH89" s="133">
        <v>0</v>
      </c>
      <c r="BI89" s="133">
        <v>0</v>
      </c>
      <c r="BJ89" s="133">
        <v>0</v>
      </c>
      <c r="BK89" s="133">
        <v>0</v>
      </c>
      <c r="BL89" s="133">
        <v>0</v>
      </c>
      <c r="BM89" s="133">
        <v>0</v>
      </c>
      <c r="BN89" s="133">
        <v>0</v>
      </c>
      <c r="BO89" s="133">
        <v>0</v>
      </c>
      <c r="BP89" s="133">
        <v>0</v>
      </c>
      <c r="BQ89" s="133">
        <v>0</v>
      </c>
      <c r="BR89" s="133">
        <v>0</v>
      </c>
      <c r="BS89" s="133">
        <v>0</v>
      </c>
      <c r="BT89" s="133">
        <v>0</v>
      </c>
      <c r="BU89" s="133">
        <v>0</v>
      </c>
      <c r="BV89" s="133">
        <v>0</v>
      </c>
      <c r="BW89" s="133">
        <v>0</v>
      </c>
      <c r="BX89" s="133">
        <v>0</v>
      </c>
      <c r="BY89" s="133">
        <v>0</v>
      </c>
      <c r="BZ89" s="133">
        <v>0</v>
      </c>
      <c r="CA89" s="133">
        <v>0</v>
      </c>
      <c r="CB89" s="133">
        <v>0</v>
      </c>
      <c r="CC89" s="133">
        <v>0</v>
      </c>
      <c r="CD89" s="133">
        <v>0</v>
      </c>
      <c r="CE89" s="133">
        <v>0</v>
      </c>
      <c r="CF89" s="133">
        <v>0</v>
      </c>
      <c r="CG89" s="133">
        <v>0</v>
      </c>
      <c r="CH89" s="133">
        <v>0</v>
      </c>
      <c r="CI89" s="133">
        <v>0</v>
      </c>
      <c r="CJ89" s="133">
        <v>0</v>
      </c>
      <c r="CK89" s="133">
        <v>0</v>
      </c>
      <c r="CL89" s="133">
        <v>0</v>
      </c>
      <c r="CM89" s="133">
        <v>0</v>
      </c>
      <c r="CN89" s="133">
        <v>0</v>
      </c>
      <c r="CO89" s="133">
        <v>0</v>
      </c>
      <c r="CP89" s="133">
        <v>0</v>
      </c>
      <c r="CQ89" s="133">
        <v>0</v>
      </c>
      <c r="CR89" s="133">
        <v>0</v>
      </c>
      <c r="CS89" s="133">
        <v>0</v>
      </c>
      <c r="CT89" s="133">
        <v>0</v>
      </c>
      <c r="CU89" s="133">
        <v>0</v>
      </c>
      <c r="CV89" s="133">
        <v>0</v>
      </c>
      <c r="CW89" s="133">
        <v>0</v>
      </c>
      <c r="CX89" s="133">
        <v>0</v>
      </c>
    </row>
    <row r="90" spans="1:102" ht="15" customHeight="1" x14ac:dyDescent="0.45">
      <c r="A90" s="129">
        <v>8.8000000000000007</v>
      </c>
      <c r="B90" s="132">
        <v>1</v>
      </c>
      <c r="C90" s="133">
        <v>1</v>
      </c>
      <c r="D90" s="133">
        <v>1</v>
      </c>
      <c r="E90" s="133">
        <v>1</v>
      </c>
      <c r="F90" s="133">
        <v>1</v>
      </c>
      <c r="G90" s="133">
        <v>0.95</v>
      </c>
      <c r="H90" s="133">
        <v>0.85</v>
      </c>
      <c r="I90" s="133">
        <v>0.8</v>
      </c>
      <c r="J90" s="133">
        <v>0.7</v>
      </c>
      <c r="K90" s="133">
        <v>0.6</v>
      </c>
      <c r="L90" s="133">
        <v>0.5</v>
      </c>
      <c r="M90" s="133">
        <v>0.4</v>
      </c>
      <c r="N90" s="133">
        <v>0.3</v>
      </c>
      <c r="O90" s="133">
        <v>0.2</v>
      </c>
      <c r="P90" s="133">
        <v>0.1</v>
      </c>
      <c r="Q90" s="133">
        <v>0</v>
      </c>
      <c r="R90" s="133">
        <v>0</v>
      </c>
      <c r="S90" s="133">
        <v>0</v>
      </c>
      <c r="T90" s="133">
        <v>0</v>
      </c>
      <c r="U90" s="133">
        <v>0</v>
      </c>
      <c r="V90" s="133">
        <v>0</v>
      </c>
      <c r="W90" s="133">
        <v>0</v>
      </c>
      <c r="X90" s="133">
        <v>0</v>
      </c>
      <c r="Y90" s="133">
        <v>0</v>
      </c>
      <c r="Z90" s="133">
        <v>0</v>
      </c>
      <c r="AA90" s="133">
        <v>0</v>
      </c>
      <c r="AB90" s="133">
        <v>0</v>
      </c>
      <c r="AC90" s="133">
        <v>0</v>
      </c>
      <c r="AD90" s="133">
        <v>0</v>
      </c>
      <c r="AE90" s="133">
        <v>0</v>
      </c>
      <c r="AF90" s="133">
        <v>0</v>
      </c>
      <c r="AG90" s="133">
        <v>0</v>
      </c>
      <c r="AH90" s="133">
        <v>0</v>
      </c>
      <c r="AI90" s="133">
        <v>0</v>
      </c>
      <c r="AJ90" s="133">
        <v>0</v>
      </c>
      <c r="AK90" s="133">
        <v>0</v>
      </c>
      <c r="AL90" s="133">
        <v>0</v>
      </c>
      <c r="AM90" s="133">
        <v>0</v>
      </c>
      <c r="AN90" s="133">
        <v>0</v>
      </c>
      <c r="AO90" s="133">
        <v>0</v>
      </c>
      <c r="AP90" s="133">
        <v>0</v>
      </c>
      <c r="AQ90" s="133">
        <v>0</v>
      </c>
      <c r="AR90" s="133">
        <v>0</v>
      </c>
      <c r="AS90" s="133">
        <v>0</v>
      </c>
      <c r="AT90" s="133">
        <v>0</v>
      </c>
      <c r="AU90" s="133">
        <v>0</v>
      </c>
      <c r="AV90" s="133">
        <v>0</v>
      </c>
      <c r="AW90" s="133">
        <v>0</v>
      </c>
      <c r="AX90" s="133">
        <v>0</v>
      </c>
      <c r="AY90" s="133">
        <v>0</v>
      </c>
      <c r="AZ90" s="133">
        <v>0</v>
      </c>
      <c r="BA90" s="133">
        <v>0</v>
      </c>
      <c r="BB90" s="133">
        <v>0</v>
      </c>
      <c r="BC90" s="133">
        <v>0</v>
      </c>
      <c r="BD90" s="133">
        <v>0</v>
      </c>
      <c r="BE90" s="133">
        <v>0</v>
      </c>
      <c r="BF90" s="133">
        <v>0</v>
      </c>
      <c r="BG90" s="133">
        <v>0</v>
      </c>
      <c r="BH90" s="133">
        <v>0</v>
      </c>
      <c r="BI90" s="133">
        <v>0</v>
      </c>
      <c r="BJ90" s="133">
        <v>0</v>
      </c>
      <c r="BK90" s="133">
        <v>0</v>
      </c>
      <c r="BL90" s="133">
        <v>0</v>
      </c>
      <c r="BM90" s="133">
        <v>0</v>
      </c>
      <c r="BN90" s="133">
        <v>0</v>
      </c>
      <c r="BO90" s="133">
        <v>0</v>
      </c>
      <c r="BP90" s="133">
        <v>0</v>
      </c>
      <c r="BQ90" s="133">
        <v>0</v>
      </c>
      <c r="BR90" s="133">
        <v>0</v>
      </c>
      <c r="BS90" s="133">
        <v>0</v>
      </c>
      <c r="BT90" s="133">
        <v>0</v>
      </c>
      <c r="BU90" s="133">
        <v>0</v>
      </c>
      <c r="BV90" s="133">
        <v>0</v>
      </c>
      <c r="BW90" s="133">
        <v>0</v>
      </c>
      <c r="BX90" s="133">
        <v>0</v>
      </c>
      <c r="BY90" s="133">
        <v>0</v>
      </c>
      <c r="BZ90" s="133">
        <v>0</v>
      </c>
      <c r="CA90" s="133">
        <v>0</v>
      </c>
      <c r="CB90" s="133">
        <v>0</v>
      </c>
      <c r="CC90" s="133">
        <v>0</v>
      </c>
      <c r="CD90" s="133">
        <v>0</v>
      </c>
      <c r="CE90" s="133">
        <v>0</v>
      </c>
      <c r="CF90" s="133">
        <v>0</v>
      </c>
      <c r="CG90" s="133">
        <v>0</v>
      </c>
      <c r="CH90" s="133">
        <v>0</v>
      </c>
      <c r="CI90" s="133">
        <v>0</v>
      </c>
      <c r="CJ90" s="133">
        <v>0</v>
      </c>
      <c r="CK90" s="133">
        <v>0</v>
      </c>
      <c r="CL90" s="133">
        <v>0</v>
      </c>
      <c r="CM90" s="133">
        <v>0</v>
      </c>
      <c r="CN90" s="133">
        <v>0</v>
      </c>
      <c r="CO90" s="133">
        <v>0</v>
      </c>
      <c r="CP90" s="133">
        <v>0</v>
      </c>
      <c r="CQ90" s="133">
        <v>0</v>
      </c>
      <c r="CR90" s="133">
        <v>0</v>
      </c>
      <c r="CS90" s="133">
        <v>0</v>
      </c>
      <c r="CT90" s="133">
        <v>0</v>
      </c>
      <c r="CU90" s="133">
        <v>0</v>
      </c>
      <c r="CV90" s="133">
        <v>0</v>
      </c>
      <c r="CW90" s="133">
        <v>0</v>
      </c>
      <c r="CX90" s="133">
        <v>0</v>
      </c>
    </row>
    <row r="91" spans="1:102" ht="15" customHeight="1" x14ac:dyDescent="0.45">
      <c r="A91" s="129">
        <v>8.9</v>
      </c>
      <c r="B91" s="132">
        <v>1</v>
      </c>
      <c r="C91" s="133">
        <v>1</v>
      </c>
      <c r="D91" s="133">
        <v>1</v>
      </c>
      <c r="E91" s="133">
        <v>1</v>
      </c>
      <c r="F91" s="133">
        <v>1</v>
      </c>
      <c r="G91" s="133">
        <v>0.95</v>
      </c>
      <c r="H91" s="133">
        <v>0.85</v>
      </c>
      <c r="I91" s="133">
        <v>0.8</v>
      </c>
      <c r="J91" s="133">
        <v>0.7</v>
      </c>
      <c r="K91" s="133">
        <v>0.6</v>
      </c>
      <c r="L91" s="133">
        <v>0.5</v>
      </c>
      <c r="M91" s="133">
        <v>0.4</v>
      </c>
      <c r="N91" s="133">
        <v>0.3</v>
      </c>
      <c r="O91" s="133">
        <v>0.2</v>
      </c>
      <c r="P91" s="133">
        <v>0.1</v>
      </c>
      <c r="Q91" s="133">
        <v>0</v>
      </c>
      <c r="R91" s="133">
        <v>0</v>
      </c>
      <c r="S91" s="133">
        <v>0</v>
      </c>
      <c r="T91" s="133">
        <v>0</v>
      </c>
      <c r="U91" s="133">
        <v>0</v>
      </c>
      <c r="V91" s="133">
        <v>0</v>
      </c>
      <c r="W91" s="133">
        <v>0</v>
      </c>
      <c r="X91" s="133">
        <v>0</v>
      </c>
      <c r="Y91" s="133">
        <v>0</v>
      </c>
      <c r="Z91" s="133">
        <v>0</v>
      </c>
      <c r="AA91" s="133">
        <v>0</v>
      </c>
      <c r="AB91" s="133">
        <v>0</v>
      </c>
      <c r="AC91" s="133">
        <v>0</v>
      </c>
      <c r="AD91" s="133">
        <v>0</v>
      </c>
      <c r="AE91" s="133">
        <v>0</v>
      </c>
      <c r="AF91" s="133">
        <v>0</v>
      </c>
      <c r="AG91" s="133">
        <v>0</v>
      </c>
      <c r="AH91" s="133">
        <v>0</v>
      </c>
      <c r="AI91" s="133">
        <v>0</v>
      </c>
      <c r="AJ91" s="133">
        <v>0</v>
      </c>
      <c r="AK91" s="133">
        <v>0</v>
      </c>
      <c r="AL91" s="133">
        <v>0</v>
      </c>
      <c r="AM91" s="133">
        <v>0</v>
      </c>
      <c r="AN91" s="133">
        <v>0</v>
      </c>
      <c r="AO91" s="133">
        <v>0</v>
      </c>
      <c r="AP91" s="133">
        <v>0</v>
      </c>
      <c r="AQ91" s="133">
        <v>0</v>
      </c>
      <c r="AR91" s="133">
        <v>0</v>
      </c>
      <c r="AS91" s="133">
        <v>0</v>
      </c>
      <c r="AT91" s="133">
        <v>0</v>
      </c>
      <c r="AU91" s="133">
        <v>0</v>
      </c>
      <c r="AV91" s="133">
        <v>0</v>
      </c>
      <c r="AW91" s="133">
        <v>0</v>
      </c>
      <c r="AX91" s="133">
        <v>0</v>
      </c>
      <c r="AY91" s="133">
        <v>0</v>
      </c>
      <c r="AZ91" s="133">
        <v>0</v>
      </c>
      <c r="BA91" s="133">
        <v>0</v>
      </c>
      <c r="BB91" s="133">
        <v>0</v>
      </c>
      <c r="BC91" s="133">
        <v>0</v>
      </c>
      <c r="BD91" s="133">
        <v>0</v>
      </c>
      <c r="BE91" s="133">
        <v>0</v>
      </c>
      <c r="BF91" s="133">
        <v>0</v>
      </c>
      <c r="BG91" s="133">
        <v>0</v>
      </c>
      <c r="BH91" s="133">
        <v>0</v>
      </c>
      <c r="BI91" s="133">
        <v>0</v>
      </c>
      <c r="BJ91" s="133">
        <v>0</v>
      </c>
      <c r="BK91" s="133">
        <v>0</v>
      </c>
      <c r="BL91" s="133">
        <v>0</v>
      </c>
      <c r="BM91" s="133">
        <v>0</v>
      </c>
      <c r="BN91" s="133">
        <v>0</v>
      </c>
      <c r="BO91" s="133">
        <v>0</v>
      </c>
      <c r="BP91" s="133">
        <v>0</v>
      </c>
      <c r="BQ91" s="133">
        <v>0</v>
      </c>
      <c r="BR91" s="133">
        <v>0</v>
      </c>
      <c r="BS91" s="133">
        <v>0</v>
      </c>
      <c r="BT91" s="133">
        <v>0</v>
      </c>
      <c r="BU91" s="133">
        <v>0</v>
      </c>
      <c r="BV91" s="133">
        <v>0</v>
      </c>
      <c r="BW91" s="133">
        <v>0</v>
      </c>
      <c r="BX91" s="133">
        <v>0</v>
      </c>
      <c r="BY91" s="133">
        <v>0</v>
      </c>
      <c r="BZ91" s="133">
        <v>0</v>
      </c>
      <c r="CA91" s="133">
        <v>0</v>
      </c>
      <c r="CB91" s="133">
        <v>0</v>
      </c>
      <c r="CC91" s="133">
        <v>0</v>
      </c>
      <c r="CD91" s="133">
        <v>0</v>
      </c>
      <c r="CE91" s="133">
        <v>0</v>
      </c>
      <c r="CF91" s="133">
        <v>0</v>
      </c>
      <c r="CG91" s="133">
        <v>0</v>
      </c>
      <c r="CH91" s="133">
        <v>0</v>
      </c>
      <c r="CI91" s="133">
        <v>0</v>
      </c>
      <c r="CJ91" s="133">
        <v>0</v>
      </c>
      <c r="CK91" s="133">
        <v>0</v>
      </c>
      <c r="CL91" s="133">
        <v>0</v>
      </c>
      <c r="CM91" s="133">
        <v>0</v>
      </c>
      <c r="CN91" s="133">
        <v>0</v>
      </c>
      <c r="CO91" s="133">
        <v>0</v>
      </c>
      <c r="CP91" s="133">
        <v>0</v>
      </c>
      <c r="CQ91" s="133">
        <v>0</v>
      </c>
      <c r="CR91" s="133">
        <v>0</v>
      </c>
      <c r="CS91" s="133">
        <v>0</v>
      </c>
      <c r="CT91" s="133">
        <v>0</v>
      </c>
      <c r="CU91" s="133">
        <v>0</v>
      </c>
      <c r="CV91" s="133">
        <v>0</v>
      </c>
      <c r="CW91" s="133">
        <v>0</v>
      </c>
      <c r="CX91" s="133">
        <v>0</v>
      </c>
    </row>
    <row r="92" spans="1:102" ht="15" customHeight="1" x14ac:dyDescent="0.45">
      <c r="A92" s="129">
        <v>9</v>
      </c>
      <c r="B92" s="132">
        <v>1</v>
      </c>
      <c r="C92" s="133">
        <v>1</v>
      </c>
      <c r="D92" s="133">
        <v>1</v>
      </c>
      <c r="E92" s="133">
        <v>1</v>
      </c>
      <c r="F92" s="133">
        <v>1</v>
      </c>
      <c r="G92" s="133">
        <v>0.95</v>
      </c>
      <c r="H92" s="133">
        <v>0.85</v>
      </c>
      <c r="I92" s="133">
        <v>0.8</v>
      </c>
      <c r="J92" s="133">
        <v>0.7</v>
      </c>
      <c r="K92" s="133">
        <v>0.6</v>
      </c>
      <c r="L92" s="133">
        <v>0.5</v>
      </c>
      <c r="M92" s="133">
        <v>0.4</v>
      </c>
      <c r="N92" s="133">
        <v>0.3</v>
      </c>
      <c r="O92" s="133">
        <v>0.2</v>
      </c>
      <c r="P92" s="133">
        <v>0.1</v>
      </c>
      <c r="Q92" s="133">
        <v>0</v>
      </c>
      <c r="R92" s="133">
        <v>0</v>
      </c>
      <c r="S92" s="133">
        <v>0</v>
      </c>
      <c r="T92" s="133">
        <v>0</v>
      </c>
      <c r="U92" s="133">
        <v>0</v>
      </c>
      <c r="V92" s="133">
        <v>0</v>
      </c>
      <c r="W92" s="133">
        <v>0</v>
      </c>
      <c r="X92" s="133">
        <v>0</v>
      </c>
      <c r="Y92" s="133">
        <v>0</v>
      </c>
      <c r="Z92" s="133">
        <v>0</v>
      </c>
      <c r="AA92" s="133">
        <v>0</v>
      </c>
      <c r="AB92" s="133">
        <v>0</v>
      </c>
      <c r="AC92" s="133">
        <v>0</v>
      </c>
      <c r="AD92" s="133">
        <v>0</v>
      </c>
      <c r="AE92" s="133">
        <v>0</v>
      </c>
      <c r="AF92" s="133">
        <v>0</v>
      </c>
      <c r="AG92" s="133">
        <v>0</v>
      </c>
      <c r="AH92" s="133">
        <v>0</v>
      </c>
      <c r="AI92" s="133">
        <v>0</v>
      </c>
      <c r="AJ92" s="133">
        <v>0</v>
      </c>
      <c r="AK92" s="133">
        <v>0</v>
      </c>
      <c r="AL92" s="133">
        <v>0</v>
      </c>
      <c r="AM92" s="133">
        <v>0</v>
      </c>
      <c r="AN92" s="133">
        <v>0</v>
      </c>
      <c r="AO92" s="133">
        <v>0</v>
      </c>
      <c r="AP92" s="133">
        <v>0</v>
      </c>
      <c r="AQ92" s="133">
        <v>0</v>
      </c>
      <c r="AR92" s="133">
        <v>0</v>
      </c>
      <c r="AS92" s="133">
        <v>0</v>
      </c>
      <c r="AT92" s="133">
        <v>0</v>
      </c>
      <c r="AU92" s="133">
        <v>0</v>
      </c>
      <c r="AV92" s="133">
        <v>0</v>
      </c>
      <c r="AW92" s="133">
        <v>0</v>
      </c>
      <c r="AX92" s="133">
        <v>0</v>
      </c>
      <c r="AY92" s="133">
        <v>0</v>
      </c>
      <c r="AZ92" s="133">
        <v>0</v>
      </c>
      <c r="BA92" s="133">
        <v>0</v>
      </c>
      <c r="BB92" s="133">
        <v>0</v>
      </c>
      <c r="BC92" s="133">
        <v>0</v>
      </c>
      <c r="BD92" s="133">
        <v>0</v>
      </c>
      <c r="BE92" s="133">
        <v>0</v>
      </c>
      <c r="BF92" s="133">
        <v>0</v>
      </c>
      <c r="BG92" s="133">
        <v>0</v>
      </c>
      <c r="BH92" s="133">
        <v>0</v>
      </c>
      <c r="BI92" s="133">
        <v>0</v>
      </c>
      <c r="BJ92" s="133">
        <v>0</v>
      </c>
      <c r="BK92" s="133">
        <v>0</v>
      </c>
      <c r="BL92" s="133">
        <v>0</v>
      </c>
      <c r="BM92" s="133">
        <v>0</v>
      </c>
      <c r="BN92" s="133">
        <v>0</v>
      </c>
      <c r="BO92" s="133">
        <v>0</v>
      </c>
      <c r="BP92" s="133">
        <v>0</v>
      </c>
      <c r="BQ92" s="133">
        <v>0</v>
      </c>
      <c r="BR92" s="133">
        <v>0</v>
      </c>
      <c r="BS92" s="133">
        <v>0</v>
      </c>
      <c r="BT92" s="133">
        <v>0</v>
      </c>
      <c r="BU92" s="133">
        <v>0</v>
      </c>
      <c r="BV92" s="133">
        <v>0</v>
      </c>
      <c r="BW92" s="133">
        <v>0</v>
      </c>
      <c r="BX92" s="133">
        <v>0</v>
      </c>
      <c r="BY92" s="133">
        <v>0</v>
      </c>
      <c r="BZ92" s="133">
        <v>0</v>
      </c>
      <c r="CA92" s="133">
        <v>0</v>
      </c>
      <c r="CB92" s="133">
        <v>0</v>
      </c>
      <c r="CC92" s="133">
        <v>0</v>
      </c>
      <c r="CD92" s="133">
        <v>0</v>
      </c>
      <c r="CE92" s="133">
        <v>0</v>
      </c>
      <c r="CF92" s="133">
        <v>0</v>
      </c>
      <c r="CG92" s="133">
        <v>0</v>
      </c>
      <c r="CH92" s="133">
        <v>0</v>
      </c>
      <c r="CI92" s="133">
        <v>0</v>
      </c>
      <c r="CJ92" s="133">
        <v>0</v>
      </c>
      <c r="CK92" s="133">
        <v>0</v>
      </c>
      <c r="CL92" s="133">
        <v>0</v>
      </c>
      <c r="CM92" s="133">
        <v>0</v>
      </c>
      <c r="CN92" s="133">
        <v>0</v>
      </c>
      <c r="CO92" s="133">
        <v>0</v>
      </c>
      <c r="CP92" s="133">
        <v>0</v>
      </c>
      <c r="CQ92" s="133">
        <v>0</v>
      </c>
      <c r="CR92" s="133">
        <v>0</v>
      </c>
      <c r="CS92" s="133">
        <v>0</v>
      </c>
      <c r="CT92" s="133">
        <v>0</v>
      </c>
      <c r="CU92" s="133">
        <v>0</v>
      </c>
      <c r="CV92" s="133">
        <v>0</v>
      </c>
      <c r="CW92" s="133">
        <v>0</v>
      </c>
      <c r="CX92" s="133">
        <v>0</v>
      </c>
    </row>
    <row r="93" spans="1:102" ht="15" customHeight="1" x14ac:dyDescent="0.45">
      <c r="A93" s="129">
        <v>9.1</v>
      </c>
      <c r="B93" s="132">
        <v>1</v>
      </c>
      <c r="C93" s="133">
        <v>1</v>
      </c>
      <c r="D93" s="133">
        <v>1</v>
      </c>
      <c r="E93" s="133">
        <v>1</v>
      </c>
      <c r="F93" s="133">
        <v>1</v>
      </c>
      <c r="G93" s="133">
        <v>0.95</v>
      </c>
      <c r="H93" s="133">
        <v>0.85</v>
      </c>
      <c r="I93" s="133">
        <v>0.8</v>
      </c>
      <c r="J93" s="133">
        <v>0.7</v>
      </c>
      <c r="K93" s="133">
        <v>0.6</v>
      </c>
      <c r="L93" s="133">
        <v>0.5</v>
      </c>
      <c r="M93" s="133">
        <v>0.4</v>
      </c>
      <c r="N93" s="133">
        <v>0.3</v>
      </c>
      <c r="O93" s="133">
        <v>0.2</v>
      </c>
      <c r="P93" s="133">
        <v>0.1</v>
      </c>
      <c r="Q93" s="133">
        <v>0</v>
      </c>
      <c r="R93" s="133">
        <v>0</v>
      </c>
      <c r="S93" s="133">
        <v>0</v>
      </c>
      <c r="T93" s="133">
        <v>0</v>
      </c>
      <c r="U93" s="133">
        <v>0</v>
      </c>
      <c r="V93" s="133">
        <v>0</v>
      </c>
      <c r="W93" s="133">
        <v>0</v>
      </c>
      <c r="X93" s="133">
        <v>0</v>
      </c>
      <c r="Y93" s="133">
        <v>0</v>
      </c>
      <c r="Z93" s="133">
        <v>0</v>
      </c>
      <c r="AA93" s="133">
        <v>0</v>
      </c>
      <c r="AB93" s="133">
        <v>0</v>
      </c>
      <c r="AC93" s="133">
        <v>0</v>
      </c>
      <c r="AD93" s="133">
        <v>0</v>
      </c>
      <c r="AE93" s="133">
        <v>0</v>
      </c>
      <c r="AF93" s="133">
        <v>0</v>
      </c>
      <c r="AG93" s="133">
        <v>0</v>
      </c>
      <c r="AH93" s="133">
        <v>0</v>
      </c>
      <c r="AI93" s="133">
        <v>0</v>
      </c>
      <c r="AJ93" s="133">
        <v>0</v>
      </c>
      <c r="AK93" s="133">
        <v>0</v>
      </c>
      <c r="AL93" s="133">
        <v>0</v>
      </c>
      <c r="AM93" s="133">
        <v>0</v>
      </c>
      <c r="AN93" s="133">
        <v>0</v>
      </c>
      <c r="AO93" s="133">
        <v>0</v>
      </c>
      <c r="AP93" s="133">
        <v>0</v>
      </c>
      <c r="AQ93" s="133">
        <v>0</v>
      </c>
      <c r="AR93" s="133">
        <v>0</v>
      </c>
      <c r="AS93" s="133">
        <v>0</v>
      </c>
      <c r="AT93" s="133">
        <v>0</v>
      </c>
      <c r="AU93" s="133">
        <v>0</v>
      </c>
      <c r="AV93" s="133">
        <v>0</v>
      </c>
      <c r="AW93" s="133">
        <v>0</v>
      </c>
      <c r="AX93" s="133">
        <v>0</v>
      </c>
      <c r="AY93" s="133">
        <v>0</v>
      </c>
      <c r="AZ93" s="133">
        <v>0</v>
      </c>
      <c r="BA93" s="133">
        <v>0</v>
      </c>
      <c r="BB93" s="133">
        <v>0</v>
      </c>
      <c r="BC93" s="133">
        <v>0</v>
      </c>
      <c r="BD93" s="133">
        <v>0</v>
      </c>
      <c r="BE93" s="133">
        <v>0</v>
      </c>
      <c r="BF93" s="133">
        <v>0</v>
      </c>
      <c r="BG93" s="133">
        <v>0</v>
      </c>
      <c r="BH93" s="133">
        <v>0</v>
      </c>
      <c r="BI93" s="133">
        <v>0</v>
      </c>
      <c r="BJ93" s="133">
        <v>0</v>
      </c>
      <c r="BK93" s="133">
        <v>0</v>
      </c>
      <c r="BL93" s="133">
        <v>0</v>
      </c>
      <c r="BM93" s="133">
        <v>0</v>
      </c>
      <c r="BN93" s="133">
        <v>0</v>
      </c>
      <c r="BO93" s="133">
        <v>0</v>
      </c>
      <c r="BP93" s="133">
        <v>0</v>
      </c>
      <c r="BQ93" s="133">
        <v>0</v>
      </c>
      <c r="BR93" s="133">
        <v>0</v>
      </c>
      <c r="BS93" s="133">
        <v>0</v>
      </c>
      <c r="BT93" s="133">
        <v>0</v>
      </c>
      <c r="BU93" s="133">
        <v>0</v>
      </c>
      <c r="BV93" s="133">
        <v>0</v>
      </c>
      <c r="BW93" s="133">
        <v>0</v>
      </c>
      <c r="BX93" s="133">
        <v>0</v>
      </c>
      <c r="BY93" s="133">
        <v>0</v>
      </c>
      <c r="BZ93" s="133">
        <v>0</v>
      </c>
      <c r="CA93" s="133">
        <v>0</v>
      </c>
      <c r="CB93" s="133">
        <v>0</v>
      </c>
      <c r="CC93" s="133">
        <v>0</v>
      </c>
      <c r="CD93" s="133">
        <v>0</v>
      </c>
      <c r="CE93" s="133">
        <v>0</v>
      </c>
      <c r="CF93" s="133">
        <v>0</v>
      </c>
      <c r="CG93" s="133">
        <v>0</v>
      </c>
      <c r="CH93" s="133">
        <v>0</v>
      </c>
      <c r="CI93" s="133">
        <v>0</v>
      </c>
      <c r="CJ93" s="133">
        <v>0</v>
      </c>
      <c r="CK93" s="133">
        <v>0</v>
      </c>
      <c r="CL93" s="133">
        <v>0</v>
      </c>
      <c r="CM93" s="133">
        <v>0</v>
      </c>
      <c r="CN93" s="133">
        <v>0</v>
      </c>
      <c r="CO93" s="133">
        <v>0</v>
      </c>
      <c r="CP93" s="133">
        <v>0</v>
      </c>
      <c r="CQ93" s="133">
        <v>0</v>
      </c>
      <c r="CR93" s="133">
        <v>0</v>
      </c>
      <c r="CS93" s="133">
        <v>0</v>
      </c>
      <c r="CT93" s="133">
        <v>0</v>
      </c>
      <c r="CU93" s="133">
        <v>0</v>
      </c>
      <c r="CV93" s="133">
        <v>0</v>
      </c>
      <c r="CW93" s="133">
        <v>0</v>
      </c>
      <c r="CX93" s="133">
        <v>0</v>
      </c>
    </row>
    <row r="94" spans="1:102" ht="15" customHeight="1" x14ac:dyDescent="0.45">
      <c r="A94" s="129">
        <v>9.1999999999999993</v>
      </c>
      <c r="B94" s="132">
        <v>1</v>
      </c>
      <c r="C94" s="133">
        <v>1</v>
      </c>
      <c r="D94" s="133">
        <v>1</v>
      </c>
      <c r="E94" s="133">
        <v>1</v>
      </c>
      <c r="F94" s="133">
        <v>1</v>
      </c>
      <c r="G94" s="133">
        <v>0.95</v>
      </c>
      <c r="H94" s="133">
        <v>0.85</v>
      </c>
      <c r="I94" s="133">
        <v>0.8</v>
      </c>
      <c r="J94" s="133">
        <v>0.7</v>
      </c>
      <c r="K94" s="133">
        <v>0.6</v>
      </c>
      <c r="L94" s="133">
        <v>0.5</v>
      </c>
      <c r="M94" s="133">
        <v>0.4</v>
      </c>
      <c r="N94" s="133">
        <v>0.3</v>
      </c>
      <c r="O94" s="133">
        <v>0.2</v>
      </c>
      <c r="P94" s="133">
        <v>0.1</v>
      </c>
      <c r="Q94" s="133">
        <v>0</v>
      </c>
      <c r="R94" s="133">
        <v>0</v>
      </c>
      <c r="S94" s="133">
        <v>0</v>
      </c>
      <c r="T94" s="133">
        <v>0</v>
      </c>
      <c r="U94" s="133">
        <v>0</v>
      </c>
      <c r="V94" s="133">
        <v>0</v>
      </c>
      <c r="W94" s="133">
        <v>0</v>
      </c>
      <c r="X94" s="133">
        <v>0</v>
      </c>
      <c r="Y94" s="133">
        <v>0</v>
      </c>
      <c r="Z94" s="133">
        <v>0</v>
      </c>
      <c r="AA94" s="133">
        <v>0</v>
      </c>
      <c r="AB94" s="133">
        <v>0</v>
      </c>
      <c r="AC94" s="133">
        <v>0</v>
      </c>
      <c r="AD94" s="133">
        <v>0</v>
      </c>
      <c r="AE94" s="133">
        <v>0</v>
      </c>
      <c r="AF94" s="133">
        <v>0</v>
      </c>
      <c r="AG94" s="133">
        <v>0</v>
      </c>
      <c r="AH94" s="133">
        <v>0</v>
      </c>
      <c r="AI94" s="133">
        <v>0</v>
      </c>
      <c r="AJ94" s="133">
        <v>0</v>
      </c>
      <c r="AK94" s="133">
        <v>0</v>
      </c>
      <c r="AL94" s="133">
        <v>0</v>
      </c>
      <c r="AM94" s="133">
        <v>0</v>
      </c>
      <c r="AN94" s="133">
        <v>0</v>
      </c>
      <c r="AO94" s="133">
        <v>0</v>
      </c>
      <c r="AP94" s="133">
        <v>0</v>
      </c>
      <c r="AQ94" s="133">
        <v>0</v>
      </c>
      <c r="AR94" s="133">
        <v>0</v>
      </c>
      <c r="AS94" s="133">
        <v>0</v>
      </c>
      <c r="AT94" s="133">
        <v>0</v>
      </c>
      <c r="AU94" s="133">
        <v>0</v>
      </c>
      <c r="AV94" s="133">
        <v>0</v>
      </c>
      <c r="AW94" s="133">
        <v>0</v>
      </c>
      <c r="AX94" s="133">
        <v>0</v>
      </c>
      <c r="AY94" s="133">
        <v>0</v>
      </c>
      <c r="AZ94" s="133">
        <v>0</v>
      </c>
      <c r="BA94" s="133">
        <v>0</v>
      </c>
      <c r="BB94" s="133">
        <v>0</v>
      </c>
      <c r="BC94" s="133">
        <v>0</v>
      </c>
      <c r="BD94" s="133">
        <v>0</v>
      </c>
      <c r="BE94" s="133">
        <v>0</v>
      </c>
      <c r="BF94" s="133">
        <v>0</v>
      </c>
      <c r="BG94" s="133">
        <v>0</v>
      </c>
      <c r="BH94" s="133">
        <v>0</v>
      </c>
      <c r="BI94" s="133">
        <v>0</v>
      </c>
      <c r="BJ94" s="133">
        <v>0</v>
      </c>
      <c r="BK94" s="133">
        <v>0</v>
      </c>
      <c r="BL94" s="133">
        <v>0</v>
      </c>
      <c r="BM94" s="133">
        <v>0</v>
      </c>
      <c r="BN94" s="133">
        <v>0</v>
      </c>
      <c r="BO94" s="133">
        <v>0</v>
      </c>
      <c r="BP94" s="133">
        <v>0</v>
      </c>
      <c r="BQ94" s="133">
        <v>0</v>
      </c>
      <c r="BR94" s="133">
        <v>0</v>
      </c>
      <c r="BS94" s="133">
        <v>0</v>
      </c>
      <c r="BT94" s="133">
        <v>0</v>
      </c>
      <c r="BU94" s="133">
        <v>0</v>
      </c>
      <c r="BV94" s="133">
        <v>0</v>
      </c>
      <c r="BW94" s="133">
        <v>0</v>
      </c>
      <c r="BX94" s="133">
        <v>0</v>
      </c>
      <c r="BY94" s="133">
        <v>0</v>
      </c>
      <c r="BZ94" s="133">
        <v>0</v>
      </c>
      <c r="CA94" s="133">
        <v>0</v>
      </c>
      <c r="CB94" s="133">
        <v>0</v>
      </c>
      <c r="CC94" s="133">
        <v>0</v>
      </c>
      <c r="CD94" s="133">
        <v>0</v>
      </c>
      <c r="CE94" s="133">
        <v>0</v>
      </c>
      <c r="CF94" s="133">
        <v>0</v>
      </c>
      <c r="CG94" s="133">
        <v>0</v>
      </c>
      <c r="CH94" s="133">
        <v>0</v>
      </c>
      <c r="CI94" s="133">
        <v>0</v>
      </c>
      <c r="CJ94" s="133">
        <v>0</v>
      </c>
      <c r="CK94" s="133">
        <v>0</v>
      </c>
      <c r="CL94" s="133">
        <v>0</v>
      </c>
      <c r="CM94" s="133">
        <v>0</v>
      </c>
      <c r="CN94" s="133">
        <v>0</v>
      </c>
      <c r="CO94" s="133">
        <v>0</v>
      </c>
      <c r="CP94" s="133">
        <v>0</v>
      </c>
      <c r="CQ94" s="133">
        <v>0</v>
      </c>
      <c r="CR94" s="133">
        <v>0</v>
      </c>
      <c r="CS94" s="133">
        <v>0</v>
      </c>
      <c r="CT94" s="133">
        <v>0</v>
      </c>
      <c r="CU94" s="133">
        <v>0</v>
      </c>
      <c r="CV94" s="133">
        <v>0</v>
      </c>
      <c r="CW94" s="133">
        <v>0</v>
      </c>
      <c r="CX94" s="133">
        <v>0</v>
      </c>
    </row>
    <row r="95" spans="1:102" ht="15" customHeight="1" x14ac:dyDescent="0.45">
      <c r="A95" s="129">
        <v>9.3000000000000007</v>
      </c>
      <c r="B95" s="132">
        <v>1</v>
      </c>
      <c r="C95" s="133">
        <v>1</v>
      </c>
      <c r="D95" s="133">
        <v>1</v>
      </c>
      <c r="E95" s="133">
        <v>1</v>
      </c>
      <c r="F95" s="133">
        <v>1</v>
      </c>
      <c r="G95" s="133">
        <v>0.95</v>
      </c>
      <c r="H95" s="133">
        <v>0.85</v>
      </c>
      <c r="I95" s="133">
        <v>0.8</v>
      </c>
      <c r="J95" s="133">
        <v>0.7</v>
      </c>
      <c r="K95" s="133">
        <v>0.6</v>
      </c>
      <c r="L95" s="133">
        <v>0.5</v>
      </c>
      <c r="M95" s="133">
        <v>0.4</v>
      </c>
      <c r="N95" s="133">
        <v>0.3</v>
      </c>
      <c r="O95" s="133">
        <v>0.2</v>
      </c>
      <c r="P95" s="133">
        <v>0.1</v>
      </c>
      <c r="Q95" s="133">
        <v>0</v>
      </c>
      <c r="R95" s="133">
        <v>0</v>
      </c>
      <c r="S95" s="133">
        <v>0</v>
      </c>
      <c r="T95" s="133">
        <v>0</v>
      </c>
      <c r="U95" s="133">
        <v>0</v>
      </c>
      <c r="V95" s="133">
        <v>0</v>
      </c>
      <c r="W95" s="133">
        <v>0</v>
      </c>
      <c r="X95" s="133">
        <v>0</v>
      </c>
      <c r="Y95" s="133">
        <v>0</v>
      </c>
      <c r="Z95" s="133">
        <v>0</v>
      </c>
      <c r="AA95" s="133">
        <v>0</v>
      </c>
      <c r="AB95" s="133">
        <v>0</v>
      </c>
      <c r="AC95" s="133">
        <v>0</v>
      </c>
      <c r="AD95" s="133">
        <v>0</v>
      </c>
      <c r="AE95" s="133">
        <v>0</v>
      </c>
      <c r="AF95" s="133">
        <v>0</v>
      </c>
      <c r="AG95" s="133">
        <v>0</v>
      </c>
      <c r="AH95" s="133">
        <v>0</v>
      </c>
      <c r="AI95" s="133">
        <v>0</v>
      </c>
      <c r="AJ95" s="133">
        <v>0</v>
      </c>
      <c r="AK95" s="133">
        <v>0</v>
      </c>
      <c r="AL95" s="133">
        <v>0</v>
      </c>
      <c r="AM95" s="133">
        <v>0</v>
      </c>
      <c r="AN95" s="133">
        <v>0</v>
      </c>
      <c r="AO95" s="133">
        <v>0</v>
      </c>
      <c r="AP95" s="133">
        <v>0</v>
      </c>
      <c r="AQ95" s="133">
        <v>0</v>
      </c>
      <c r="AR95" s="133">
        <v>0</v>
      </c>
      <c r="AS95" s="133">
        <v>0</v>
      </c>
      <c r="AT95" s="133">
        <v>0</v>
      </c>
      <c r="AU95" s="133">
        <v>0</v>
      </c>
      <c r="AV95" s="133">
        <v>0</v>
      </c>
      <c r="AW95" s="133">
        <v>0</v>
      </c>
      <c r="AX95" s="133">
        <v>0</v>
      </c>
      <c r="AY95" s="133">
        <v>0</v>
      </c>
      <c r="AZ95" s="133">
        <v>0</v>
      </c>
      <c r="BA95" s="133">
        <v>0</v>
      </c>
      <c r="BB95" s="133">
        <v>0</v>
      </c>
      <c r="BC95" s="133">
        <v>0</v>
      </c>
      <c r="BD95" s="133">
        <v>0</v>
      </c>
      <c r="BE95" s="133">
        <v>0</v>
      </c>
      <c r="BF95" s="133">
        <v>0</v>
      </c>
      <c r="BG95" s="133">
        <v>0</v>
      </c>
      <c r="BH95" s="133">
        <v>0</v>
      </c>
      <c r="BI95" s="133">
        <v>0</v>
      </c>
      <c r="BJ95" s="133">
        <v>0</v>
      </c>
      <c r="BK95" s="133">
        <v>0</v>
      </c>
      <c r="BL95" s="133">
        <v>0</v>
      </c>
      <c r="BM95" s="133">
        <v>0</v>
      </c>
      <c r="BN95" s="133">
        <v>0</v>
      </c>
      <c r="BO95" s="133">
        <v>0</v>
      </c>
      <c r="BP95" s="133">
        <v>0</v>
      </c>
      <c r="BQ95" s="133">
        <v>0</v>
      </c>
      <c r="BR95" s="133">
        <v>0</v>
      </c>
      <c r="BS95" s="133">
        <v>0</v>
      </c>
      <c r="BT95" s="133">
        <v>0</v>
      </c>
      <c r="BU95" s="133">
        <v>0</v>
      </c>
      <c r="BV95" s="133">
        <v>0</v>
      </c>
      <c r="BW95" s="133">
        <v>0</v>
      </c>
      <c r="BX95" s="133">
        <v>0</v>
      </c>
      <c r="BY95" s="133">
        <v>0</v>
      </c>
      <c r="BZ95" s="133">
        <v>0</v>
      </c>
      <c r="CA95" s="133">
        <v>0</v>
      </c>
      <c r="CB95" s="133">
        <v>0</v>
      </c>
      <c r="CC95" s="133">
        <v>0</v>
      </c>
      <c r="CD95" s="133">
        <v>0</v>
      </c>
      <c r="CE95" s="133">
        <v>0</v>
      </c>
      <c r="CF95" s="133">
        <v>0</v>
      </c>
      <c r="CG95" s="133">
        <v>0</v>
      </c>
      <c r="CH95" s="133">
        <v>0</v>
      </c>
      <c r="CI95" s="133">
        <v>0</v>
      </c>
      <c r="CJ95" s="133">
        <v>0</v>
      </c>
      <c r="CK95" s="133">
        <v>0</v>
      </c>
      <c r="CL95" s="133">
        <v>0</v>
      </c>
      <c r="CM95" s="133">
        <v>0</v>
      </c>
      <c r="CN95" s="133">
        <v>0</v>
      </c>
      <c r="CO95" s="133">
        <v>0</v>
      </c>
      <c r="CP95" s="133">
        <v>0</v>
      </c>
      <c r="CQ95" s="133">
        <v>0</v>
      </c>
      <c r="CR95" s="133">
        <v>0</v>
      </c>
      <c r="CS95" s="133">
        <v>0</v>
      </c>
      <c r="CT95" s="133">
        <v>0</v>
      </c>
      <c r="CU95" s="133">
        <v>0</v>
      </c>
      <c r="CV95" s="133">
        <v>0</v>
      </c>
      <c r="CW95" s="133">
        <v>0</v>
      </c>
      <c r="CX95" s="133">
        <v>0</v>
      </c>
    </row>
    <row r="96" spans="1:102" ht="15" customHeight="1" x14ac:dyDescent="0.45">
      <c r="A96" s="129">
        <v>9.4</v>
      </c>
      <c r="B96" s="132">
        <v>1</v>
      </c>
      <c r="C96" s="133">
        <v>1</v>
      </c>
      <c r="D96" s="133">
        <v>1</v>
      </c>
      <c r="E96" s="133">
        <v>1</v>
      </c>
      <c r="F96" s="133">
        <v>1</v>
      </c>
      <c r="G96" s="133">
        <v>0.95</v>
      </c>
      <c r="H96" s="133">
        <v>0.85</v>
      </c>
      <c r="I96" s="133">
        <v>0.8</v>
      </c>
      <c r="J96" s="133">
        <v>0.7</v>
      </c>
      <c r="K96" s="133">
        <v>0.6</v>
      </c>
      <c r="L96" s="133">
        <v>0.5</v>
      </c>
      <c r="M96" s="133">
        <v>0.4</v>
      </c>
      <c r="N96" s="133">
        <v>0.3</v>
      </c>
      <c r="O96" s="133">
        <v>0.2</v>
      </c>
      <c r="P96" s="133">
        <v>0.1</v>
      </c>
      <c r="Q96" s="133">
        <v>0</v>
      </c>
      <c r="R96" s="133">
        <v>0</v>
      </c>
      <c r="S96" s="133">
        <v>0</v>
      </c>
      <c r="T96" s="133">
        <v>0</v>
      </c>
      <c r="U96" s="133">
        <v>0</v>
      </c>
      <c r="V96" s="133">
        <v>0</v>
      </c>
      <c r="W96" s="133">
        <v>0</v>
      </c>
      <c r="X96" s="133">
        <v>0</v>
      </c>
      <c r="Y96" s="133">
        <v>0</v>
      </c>
      <c r="Z96" s="133">
        <v>0</v>
      </c>
      <c r="AA96" s="133">
        <v>0</v>
      </c>
      <c r="AB96" s="133">
        <v>0</v>
      </c>
      <c r="AC96" s="133">
        <v>0</v>
      </c>
      <c r="AD96" s="133">
        <v>0</v>
      </c>
      <c r="AE96" s="133">
        <v>0</v>
      </c>
      <c r="AF96" s="133">
        <v>0</v>
      </c>
      <c r="AG96" s="133">
        <v>0</v>
      </c>
      <c r="AH96" s="133">
        <v>0</v>
      </c>
      <c r="AI96" s="133">
        <v>0</v>
      </c>
      <c r="AJ96" s="133">
        <v>0</v>
      </c>
      <c r="AK96" s="133">
        <v>0</v>
      </c>
      <c r="AL96" s="133">
        <v>0</v>
      </c>
      <c r="AM96" s="133">
        <v>0</v>
      </c>
      <c r="AN96" s="133">
        <v>0</v>
      </c>
      <c r="AO96" s="133">
        <v>0</v>
      </c>
      <c r="AP96" s="133">
        <v>0</v>
      </c>
      <c r="AQ96" s="133">
        <v>0</v>
      </c>
      <c r="AR96" s="133">
        <v>0</v>
      </c>
      <c r="AS96" s="133">
        <v>0</v>
      </c>
      <c r="AT96" s="133">
        <v>0</v>
      </c>
      <c r="AU96" s="133">
        <v>0</v>
      </c>
      <c r="AV96" s="133">
        <v>0</v>
      </c>
      <c r="AW96" s="133">
        <v>0</v>
      </c>
      <c r="AX96" s="133">
        <v>0</v>
      </c>
      <c r="AY96" s="133">
        <v>0</v>
      </c>
      <c r="AZ96" s="133">
        <v>0</v>
      </c>
      <c r="BA96" s="133">
        <v>0</v>
      </c>
      <c r="BB96" s="133">
        <v>0</v>
      </c>
      <c r="BC96" s="133">
        <v>0</v>
      </c>
      <c r="BD96" s="133">
        <v>0</v>
      </c>
      <c r="BE96" s="133">
        <v>0</v>
      </c>
      <c r="BF96" s="133">
        <v>0</v>
      </c>
      <c r="BG96" s="133">
        <v>0</v>
      </c>
      <c r="BH96" s="133">
        <v>0</v>
      </c>
      <c r="BI96" s="133">
        <v>0</v>
      </c>
      <c r="BJ96" s="133">
        <v>0</v>
      </c>
      <c r="BK96" s="133">
        <v>0</v>
      </c>
      <c r="BL96" s="133">
        <v>0</v>
      </c>
      <c r="BM96" s="133">
        <v>0</v>
      </c>
      <c r="BN96" s="133">
        <v>0</v>
      </c>
      <c r="BO96" s="133">
        <v>0</v>
      </c>
      <c r="BP96" s="133">
        <v>0</v>
      </c>
      <c r="BQ96" s="133">
        <v>0</v>
      </c>
      <c r="BR96" s="133">
        <v>0</v>
      </c>
      <c r="BS96" s="133">
        <v>0</v>
      </c>
      <c r="BT96" s="133">
        <v>0</v>
      </c>
      <c r="BU96" s="133">
        <v>0</v>
      </c>
      <c r="BV96" s="133">
        <v>0</v>
      </c>
      <c r="BW96" s="133">
        <v>0</v>
      </c>
      <c r="BX96" s="133">
        <v>0</v>
      </c>
      <c r="BY96" s="133">
        <v>0</v>
      </c>
      <c r="BZ96" s="133">
        <v>0</v>
      </c>
      <c r="CA96" s="133">
        <v>0</v>
      </c>
      <c r="CB96" s="133">
        <v>0</v>
      </c>
      <c r="CC96" s="133">
        <v>0</v>
      </c>
      <c r="CD96" s="133">
        <v>0</v>
      </c>
      <c r="CE96" s="133">
        <v>0</v>
      </c>
      <c r="CF96" s="133">
        <v>0</v>
      </c>
      <c r="CG96" s="133">
        <v>0</v>
      </c>
      <c r="CH96" s="133">
        <v>0</v>
      </c>
      <c r="CI96" s="133">
        <v>0</v>
      </c>
      <c r="CJ96" s="133">
        <v>0</v>
      </c>
      <c r="CK96" s="133">
        <v>0</v>
      </c>
      <c r="CL96" s="133">
        <v>0</v>
      </c>
      <c r="CM96" s="133">
        <v>0</v>
      </c>
      <c r="CN96" s="133">
        <v>0</v>
      </c>
      <c r="CO96" s="133">
        <v>0</v>
      </c>
      <c r="CP96" s="133">
        <v>0</v>
      </c>
      <c r="CQ96" s="133">
        <v>0</v>
      </c>
      <c r="CR96" s="133">
        <v>0</v>
      </c>
      <c r="CS96" s="133">
        <v>0</v>
      </c>
      <c r="CT96" s="133">
        <v>0</v>
      </c>
      <c r="CU96" s="133">
        <v>0</v>
      </c>
      <c r="CV96" s="133">
        <v>0</v>
      </c>
      <c r="CW96" s="133">
        <v>0</v>
      </c>
      <c r="CX96" s="133">
        <v>0</v>
      </c>
    </row>
    <row r="97" spans="1:102" ht="15" customHeight="1" x14ac:dyDescent="0.45">
      <c r="A97" s="129">
        <v>9.5</v>
      </c>
      <c r="B97" s="132">
        <v>1</v>
      </c>
      <c r="C97" s="133">
        <v>1</v>
      </c>
      <c r="D97" s="133">
        <v>1</v>
      </c>
      <c r="E97" s="133">
        <v>1</v>
      </c>
      <c r="F97" s="133">
        <v>1</v>
      </c>
      <c r="G97" s="133">
        <v>0.95</v>
      </c>
      <c r="H97" s="133">
        <v>0.85</v>
      </c>
      <c r="I97" s="133">
        <v>0.8</v>
      </c>
      <c r="J97" s="133">
        <v>0.7</v>
      </c>
      <c r="K97" s="133">
        <v>0.6</v>
      </c>
      <c r="L97" s="133">
        <v>0.5</v>
      </c>
      <c r="M97" s="133">
        <v>0.4</v>
      </c>
      <c r="N97" s="133">
        <v>0.3</v>
      </c>
      <c r="O97" s="133">
        <v>0.2</v>
      </c>
      <c r="P97" s="133">
        <v>0.1</v>
      </c>
      <c r="Q97" s="133">
        <v>0</v>
      </c>
      <c r="R97" s="133">
        <v>0</v>
      </c>
      <c r="S97" s="133">
        <v>0</v>
      </c>
      <c r="T97" s="133">
        <v>0</v>
      </c>
      <c r="U97" s="133">
        <v>0</v>
      </c>
      <c r="V97" s="133">
        <v>0</v>
      </c>
      <c r="W97" s="133">
        <v>0</v>
      </c>
      <c r="X97" s="133">
        <v>0</v>
      </c>
      <c r="Y97" s="133">
        <v>0</v>
      </c>
      <c r="Z97" s="133">
        <v>0</v>
      </c>
      <c r="AA97" s="133">
        <v>0</v>
      </c>
      <c r="AB97" s="133">
        <v>0</v>
      </c>
      <c r="AC97" s="133">
        <v>0</v>
      </c>
      <c r="AD97" s="133">
        <v>0</v>
      </c>
      <c r="AE97" s="133">
        <v>0</v>
      </c>
      <c r="AF97" s="133">
        <v>0</v>
      </c>
      <c r="AG97" s="133">
        <v>0</v>
      </c>
      <c r="AH97" s="133">
        <v>0</v>
      </c>
      <c r="AI97" s="133">
        <v>0</v>
      </c>
      <c r="AJ97" s="133">
        <v>0</v>
      </c>
      <c r="AK97" s="133">
        <v>0</v>
      </c>
      <c r="AL97" s="133">
        <v>0</v>
      </c>
      <c r="AM97" s="133">
        <v>0</v>
      </c>
      <c r="AN97" s="133">
        <v>0</v>
      </c>
      <c r="AO97" s="133">
        <v>0</v>
      </c>
      <c r="AP97" s="133">
        <v>0</v>
      </c>
      <c r="AQ97" s="133">
        <v>0</v>
      </c>
      <c r="AR97" s="133">
        <v>0</v>
      </c>
      <c r="AS97" s="133">
        <v>0</v>
      </c>
      <c r="AT97" s="133">
        <v>0</v>
      </c>
      <c r="AU97" s="133">
        <v>0</v>
      </c>
      <c r="AV97" s="133">
        <v>0</v>
      </c>
      <c r="AW97" s="133">
        <v>0</v>
      </c>
      <c r="AX97" s="133">
        <v>0</v>
      </c>
      <c r="AY97" s="133">
        <v>0</v>
      </c>
      <c r="AZ97" s="133">
        <v>0</v>
      </c>
      <c r="BA97" s="133">
        <v>0</v>
      </c>
      <c r="BB97" s="133">
        <v>0</v>
      </c>
      <c r="BC97" s="133">
        <v>0</v>
      </c>
      <c r="BD97" s="133">
        <v>0</v>
      </c>
      <c r="BE97" s="133">
        <v>0</v>
      </c>
      <c r="BF97" s="133">
        <v>0</v>
      </c>
      <c r="BG97" s="133">
        <v>0</v>
      </c>
      <c r="BH97" s="133">
        <v>0</v>
      </c>
      <c r="BI97" s="133">
        <v>0</v>
      </c>
      <c r="BJ97" s="133">
        <v>0</v>
      </c>
      <c r="BK97" s="133">
        <v>0</v>
      </c>
      <c r="BL97" s="133">
        <v>0</v>
      </c>
      <c r="BM97" s="133">
        <v>0</v>
      </c>
      <c r="BN97" s="133">
        <v>0</v>
      </c>
      <c r="BO97" s="133">
        <v>0</v>
      </c>
      <c r="BP97" s="133">
        <v>0</v>
      </c>
      <c r="BQ97" s="133">
        <v>0</v>
      </c>
      <c r="BR97" s="133">
        <v>0</v>
      </c>
      <c r="BS97" s="133">
        <v>0</v>
      </c>
      <c r="BT97" s="133">
        <v>0</v>
      </c>
      <c r="BU97" s="133">
        <v>0</v>
      </c>
      <c r="BV97" s="133">
        <v>0</v>
      </c>
      <c r="BW97" s="133">
        <v>0</v>
      </c>
      <c r="BX97" s="133">
        <v>0</v>
      </c>
      <c r="BY97" s="133">
        <v>0</v>
      </c>
      <c r="BZ97" s="133">
        <v>0</v>
      </c>
      <c r="CA97" s="133">
        <v>0</v>
      </c>
      <c r="CB97" s="133">
        <v>0</v>
      </c>
      <c r="CC97" s="133">
        <v>0</v>
      </c>
      <c r="CD97" s="133">
        <v>0</v>
      </c>
      <c r="CE97" s="133">
        <v>0</v>
      </c>
      <c r="CF97" s="133">
        <v>0</v>
      </c>
      <c r="CG97" s="133">
        <v>0</v>
      </c>
      <c r="CH97" s="133">
        <v>0</v>
      </c>
      <c r="CI97" s="133">
        <v>0</v>
      </c>
      <c r="CJ97" s="133">
        <v>0</v>
      </c>
      <c r="CK97" s="133">
        <v>0</v>
      </c>
      <c r="CL97" s="133">
        <v>0</v>
      </c>
      <c r="CM97" s="133">
        <v>0</v>
      </c>
      <c r="CN97" s="133">
        <v>0</v>
      </c>
      <c r="CO97" s="133">
        <v>0</v>
      </c>
      <c r="CP97" s="133">
        <v>0</v>
      </c>
      <c r="CQ97" s="133">
        <v>0</v>
      </c>
      <c r="CR97" s="133">
        <v>0</v>
      </c>
      <c r="CS97" s="133">
        <v>0</v>
      </c>
      <c r="CT97" s="133">
        <v>0</v>
      </c>
      <c r="CU97" s="133">
        <v>0</v>
      </c>
      <c r="CV97" s="133">
        <v>0</v>
      </c>
      <c r="CW97" s="133">
        <v>0</v>
      </c>
      <c r="CX97" s="133">
        <v>0</v>
      </c>
    </row>
    <row r="98" spans="1:102" ht="15" customHeight="1" x14ac:dyDescent="0.45">
      <c r="A98" s="129">
        <v>9.6</v>
      </c>
      <c r="B98" s="132">
        <v>1</v>
      </c>
      <c r="C98" s="133">
        <v>1</v>
      </c>
      <c r="D98" s="133">
        <v>1</v>
      </c>
      <c r="E98" s="133">
        <v>1</v>
      </c>
      <c r="F98" s="133">
        <v>1</v>
      </c>
      <c r="G98" s="133">
        <v>0.95</v>
      </c>
      <c r="H98" s="133">
        <v>0.85</v>
      </c>
      <c r="I98" s="133">
        <v>0.8</v>
      </c>
      <c r="J98" s="133">
        <v>0.7</v>
      </c>
      <c r="K98" s="133">
        <v>0.6</v>
      </c>
      <c r="L98" s="133">
        <v>0.5</v>
      </c>
      <c r="M98" s="133">
        <v>0.4</v>
      </c>
      <c r="N98" s="133">
        <v>0.3</v>
      </c>
      <c r="O98" s="133">
        <v>0.2</v>
      </c>
      <c r="P98" s="133">
        <v>0.1</v>
      </c>
      <c r="Q98" s="133">
        <v>0</v>
      </c>
      <c r="R98" s="133">
        <v>0</v>
      </c>
      <c r="S98" s="133">
        <v>0</v>
      </c>
      <c r="T98" s="133">
        <v>0</v>
      </c>
      <c r="U98" s="133">
        <v>0</v>
      </c>
      <c r="V98" s="133">
        <v>0</v>
      </c>
      <c r="W98" s="133">
        <v>0</v>
      </c>
      <c r="X98" s="133">
        <v>0</v>
      </c>
      <c r="Y98" s="133">
        <v>0</v>
      </c>
      <c r="Z98" s="133">
        <v>0</v>
      </c>
      <c r="AA98" s="133">
        <v>0</v>
      </c>
      <c r="AB98" s="133">
        <v>0</v>
      </c>
      <c r="AC98" s="133">
        <v>0</v>
      </c>
      <c r="AD98" s="133">
        <v>0</v>
      </c>
      <c r="AE98" s="133">
        <v>0</v>
      </c>
      <c r="AF98" s="133">
        <v>0</v>
      </c>
      <c r="AG98" s="133">
        <v>0</v>
      </c>
      <c r="AH98" s="133">
        <v>0</v>
      </c>
      <c r="AI98" s="133">
        <v>0</v>
      </c>
      <c r="AJ98" s="133">
        <v>0</v>
      </c>
      <c r="AK98" s="133">
        <v>0</v>
      </c>
      <c r="AL98" s="133">
        <v>0</v>
      </c>
      <c r="AM98" s="133">
        <v>0</v>
      </c>
      <c r="AN98" s="133">
        <v>0</v>
      </c>
      <c r="AO98" s="133">
        <v>0</v>
      </c>
      <c r="AP98" s="133">
        <v>0</v>
      </c>
      <c r="AQ98" s="133">
        <v>0</v>
      </c>
      <c r="AR98" s="133">
        <v>0</v>
      </c>
      <c r="AS98" s="133">
        <v>0</v>
      </c>
      <c r="AT98" s="133">
        <v>0</v>
      </c>
      <c r="AU98" s="133">
        <v>0</v>
      </c>
      <c r="AV98" s="133">
        <v>0</v>
      </c>
      <c r="AW98" s="133">
        <v>0</v>
      </c>
      <c r="AX98" s="133">
        <v>0</v>
      </c>
      <c r="AY98" s="133">
        <v>0</v>
      </c>
      <c r="AZ98" s="133">
        <v>0</v>
      </c>
      <c r="BA98" s="133">
        <v>0</v>
      </c>
      <c r="BB98" s="133">
        <v>0</v>
      </c>
      <c r="BC98" s="133">
        <v>0</v>
      </c>
      <c r="BD98" s="133">
        <v>0</v>
      </c>
      <c r="BE98" s="133">
        <v>0</v>
      </c>
      <c r="BF98" s="133">
        <v>0</v>
      </c>
      <c r="BG98" s="133">
        <v>0</v>
      </c>
      <c r="BH98" s="133">
        <v>0</v>
      </c>
      <c r="BI98" s="133">
        <v>0</v>
      </c>
      <c r="BJ98" s="133">
        <v>0</v>
      </c>
      <c r="BK98" s="133">
        <v>0</v>
      </c>
      <c r="BL98" s="133">
        <v>0</v>
      </c>
      <c r="BM98" s="133">
        <v>0</v>
      </c>
      <c r="BN98" s="133">
        <v>0</v>
      </c>
      <c r="BO98" s="133">
        <v>0</v>
      </c>
      <c r="BP98" s="133">
        <v>0</v>
      </c>
      <c r="BQ98" s="133">
        <v>0</v>
      </c>
      <c r="BR98" s="133">
        <v>0</v>
      </c>
      <c r="BS98" s="133">
        <v>0</v>
      </c>
      <c r="BT98" s="133">
        <v>0</v>
      </c>
      <c r="BU98" s="133">
        <v>0</v>
      </c>
      <c r="BV98" s="133">
        <v>0</v>
      </c>
      <c r="BW98" s="133">
        <v>0</v>
      </c>
      <c r="BX98" s="133">
        <v>0</v>
      </c>
      <c r="BY98" s="133">
        <v>0</v>
      </c>
      <c r="BZ98" s="133">
        <v>0</v>
      </c>
      <c r="CA98" s="133">
        <v>0</v>
      </c>
      <c r="CB98" s="133">
        <v>0</v>
      </c>
      <c r="CC98" s="133">
        <v>0</v>
      </c>
      <c r="CD98" s="133">
        <v>0</v>
      </c>
      <c r="CE98" s="133">
        <v>0</v>
      </c>
      <c r="CF98" s="133">
        <v>0</v>
      </c>
      <c r="CG98" s="133">
        <v>0</v>
      </c>
      <c r="CH98" s="133">
        <v>0</v>
      </c>
      <c r="CI98" s="133">
        <v>0</v>
      </c>
      <c r="CJ98" s="133">
        <v>0</v>
      </c>
      <c r="CK98" s="133">
        <v>0</v>
      </c>
      <c r="CL98" s="133">
        <v>0</v>
      </c>
      <c r="CM98" s="133">
        <v>0</v>
      </c>
      <c r="CN98" s="133">
        <v>0</v>
      </c>
      <c r="CO98" s="133">
        <v>0</v>
      </c>
      <c r="CP98" s="133">
        <v>0</v>
      </c>
      <c r="CQ98" s="133">
        <v>0</v>
      </c>
      <c r="CR98" s="133">
        <v>0</v>
      </c>
      <c r="CS98" s="133">
        <v>0</v>
      </c>
      <c r="CT98" s="133">
        <v>0</v>
      </c>
      <c r="CU98" s="133">
        <v>0</v>
      </c>
      <c r="CV98" s="133">
        <v>0</v>
      </c>
      <c r="CW98" s="133">
        <v>0</v>
      </c>
      <c r="CX98" s="133">
        <v>0</v>
      </c>
    </row>
    <row r="99" spans="1:102" ht="15" customHeight="1" x14ac:dyDescent="0.45">
      <c r="A99" s="129">
        <v>9.6999999999999993</v>
      </c>
      <c r="B99" s="132">
        <v>1</v>
      </c>
      <c r="C99" s="133">
        <v>1</v>
      </c>
      <c r="D99" s="133">
        <v>1</v>
      </c>
      <c r="E99" s="133">
        <v>1</v>
      </c>
      <c r="F99" s="133">
        <v>1</v>
      </c>
      <c r="G99" s="133">
        <v>0.95</v>
      </c>
      <c r="H99" s="133">
        <v>0.85</v>
      </c>
      <c r="I99" s="133">
        <v>0.8</v>
      </c>
      <c r="J99" s="133">
        <v>0.7</v>
      </c>
      <c r="K99" s="133">
        <v>0.6</v>
      </c>
      <c r="L99" s="133">
        <v>0.5</v>
      </c>
      <c r="M99" s="133">
        <v>0.4</v>
      </c>
      <c r="N99" s="133">
        <v>0.3</v>
      </c>
      <c r="O99" s="133">
        <v>0.2</v>
      </c>
      <c r="P99" s="133">
        <v>0.1</v>
      </c>
      <c r="Q99" s="133">
        <v>0</v>
      </c>
      <c r="R99" s="133">
        <v>0</v>
      </c>
      <c r="S99" s="133">
        <v>0</v>
      </c>
      <c r="T99" s="133">
        <v>0</v>
      </c>
      <c r="U99" s="133">
        <v>0</v>
      </c>
      <c r="V99" s="133">
        <v>0</v>
      </c>
      <c r="W99" s="133">
        <v>0</v>
      </c>
      <c r="X99" s="133">
        <v>0</v>
      </c>
      <c r="Y99" s="133">
        <v>0</v>
      </c>
      <c r="Z99" s="133">
        <v>0</v>
      </c>
      <c r="AA99" s="133">
        <v>0</v>
      </c>
      <c r="AB99" s="133">
        <v>0</v>
      </c>
      <c r="AC99" s="133">
        <v>0</v>
      </c>
      <c r="AD99" s="133">
        <v>0</v>
      </c>
      <c r="AE99" s="133">
        <v>0</v>
      </c>
      <c r="AF99" s="133">
        <v>0</v>
      </c>
      <c r="AG99" s="133">
        <v>0</v>
      </c>
      <c r="AH99" s="133">
        <v>0</v>
      </c>
      <c r="AI99" s="133">
        <v>0</v>
      </c>
      <c r="AJ99" s="133">
        <v>0</v>
      </c>
      <c r="AK99" s="133">
        <v>0</v>
      </c>
      <c r="AL99" s="133">
        <v>0</v>
      </c>
      <c r="AM99" s="133">
        <v>0</v>
      </c>
      <c r="AN99" s="133">
        <v>0</v>
      </c>
      <c r="AO99" s="133">
        <v>0</v>
      </c>
      <c r="AP99" s="133">
        <v>0</v>
      </c>
      <c r="AQ99" s="133">
        <v>0</v>
      </c>
      <c r="AR99" s="133">
        <v>0</v>
      </c>
      <c r="AS99" s="133">
        <v>0</v>
      </c>
      <c r="AT99" s="133">
        <v>0</v>
      </c>
      <c r="AU99" s="133">
        <v>0</v>
      </c>
      <c r="AV99" s="133">
        <v>0</v>
      </c>
      <c r="AW99" s="133">
        <v>0</v>
      </c>
      <c r="AX99" s="133">
        <v>0</v>
      </c>
      <c r="AY99" s="133">
        <v>0</v>
      </c>
      <c r="AZ99" s="133">
        <v>0</v>
      </c>
      <c r="BA99" s="133">
        <v>0</v>
      </c>
      <c r="BB99" s="133">
        <v>0</v>
      </c>
      <c r="BC99" s="133">
        <v>0</v>
      </c>
      <c r="BD99" s="133">
        <v>0</v>
      </c>
      <c r="BE99" s="133">
        <v>0</v>
      </c>
      <c r="BF99" s="133">
        <v>0</v>
      </c>
      <c r="BG99" s="133">
        <v>0</v>
      </c>
      <c r="BH99" s="133">
        <v>0</v>
      </c>
      <c r="BI99" s="133">
        <v>0</v>
      </c>
      <c r="BJ99" s="133">
        <v>0</v>
      </c>
      <c r="BK99" s="133">
        <v>0</v>
      </c>
      <c r="BL99" s="133">
        <v>0</v>
      </c>
      <c r="BM99" s="133">
        <v>0</v>
      </c>
      <c r="BN99" s="133">
        <v>0</v>
      </c>
      <c r="BO99" s="133">
        <v>0</v>
      </c>
      <c r="BP99" s="133">
        <v>0</v>
      </c>
      <c r="BQ99" s="133">
        <v>0</v>
      </c>
      <c r="BR99" s="133">
        <v>0</v>
      </c>
      <c r="BS99" s="133">
        <v>0</v>
      </c>
      <c r="BT99" s="133">
        <v>0</v>
      </c>
      <c r="BU99" s="133">
        <v>0</v>
      </c>
      <c r="BV99" s="133">
        <v>0</v>
      </c>
      <c r="BW99" s="133">
        <v>0</v>
      </c>
      <c r="BX99" s="133">
        <v>0</v>
      </c>
      <c r="BY99" s="133">
        <v>0</v>
      </c>
      <c r="BZ99" s="133">
        <v>0</v>
      </c>
      <c r="CA99" s="133">
        <v>0</v>
      </c>
      <c r="CB99" s="133">
        <v>0</v>
      </c>
      <c r="CC99" s="133">
        <v>0</v>
      </c>
      <c r="CD99" s="133">
        <v>0</v>
      </c>
      <c r="CE99" s="133">
        <v>0</v>
      </c>
      <c r="CF99" s="133">
        <v>0</v>
      </c>
      <c r="CG99" s="133">
        <v>0</v>
      </c>
      <c r="CH99" s="133">
        <v>0</v>
      </c>
      <c r="CI99" s="133">
        <v>0</v>
      </c>
      <c r="CJ99" s="133">
        <v>0</v>
      </c>
      <c r="CK99" s="133">
        <v>0</v>
      </c>
      <c r="CL99" s="133">
        <v>0</v>
      </c>
      <c r="CM99" s="133">
        <v>0</v>
      </c>
      <c r="CN99" s="133">
        <v>0</v>
      </c>
      <c r="CO99" s="133">
        <v>0</v>
      </c>
      <c r="CP99" s="133">
        <v>0</v>
      </c>
      <c r="CQ99" s="133">
        <v>0</v>
      </c>
      <c r="CR99" s="133">
        <v>0</v>
      </c>
      <c r="CS99" s="133">
        <v>0</v>
      </c>
      <c r="CT99" s="133">
        <v>0</v>
      </c>
      <c r="CU99" s="133">
        <v>0</v>
      </c>
      <c r="CV99" s="133">
        <v>0</v>
      </c>
      <c r="CW99" s="133">
        <v>0</v>
      </c>
      <c r="CX99" s="133">
        <v>0</v>
      </c>
    </row>
    <row r="100" spans="1:102" ht="15" customHeight="1" x14ac:dyDescent="0.45">
      <c r="A100" s="129">
        <v>9.8000000000000007</v>
      </c>
      <c r="B100" s="132">
        <v>1</v>
      </c>
      <c r="C100" s="133">
        <v>1</v>
      </c>
      <c r="D100" s="133">
        <v>1</v>
      </c>
      <c r="E100" s="133">
        <v>1</v>
      </c>
      <c r="F100" s="133">
        <v>1</v>
      </c>
      <c r="G100" s="133">
        <v>0.95</v>
      </c>
      <c r="H100" s="133">
        <v>0.85</v>
      </c>
      <c r="I100" s="133">
        <v>0.8</v>
      </c>
      <c r="J100" s="133">
        <v>0.7</v>
      </c>
      <c r="K100" s="133">
        <v>0.6</v>
      </c>
      <c r="L100" s="133">
        <v>0.5</v>
      </c>
      <c r="M100" s="133">
        <v>0.4</v>
      </c>
      <c r="N100" s="133">
        <v>0.3</v>
      </c>
      <c r="O100" s="133">
        <v>0.2</v>
      </c>
      <c r="P100" s="133">
        <v>0.1</v>
      </c>
      <c r="Q100" s="133">
        <v>0</v>
      </c>
      <c r="R100" s="133">
        <v>0</v>
      </c>
      <c r="S100" s="133">
        <v>0</v>
      </c>
      <c r="T100" s="133">
        <v>0</v>
      </c>
      <c r="U100" s="133">
        <v>0</v>
      </c>
      <c r="V100" s="133">
        <v>0</v>
      </c>
      <c r="W100" s="133">
        <v>0</v>
      </c>
      <c r="X100" s="133">
        <v>0</v>
      </c>
      <c r="Y100" s="133">
        <v>0</v>
      </c>
      <c r="Z100" s="133">
        <v>0</v>
      </c>
      <c r="AA100" s="133">
        <v>0</v>
      </c>
      <c r="AB100" s="133">
        <v>0</v>
      </c>
      <c r="AC100" s="133">
        <v>0</v>
      </c>
      <c r="AD100" s="133">
        <v>0</v>
      </c>
      <c r="AE100" s="133">
        <v>0</v>
      </c>
      <c r="AF100" s="133">
        <v>0</v>
      </c>
      <c r="AG100" s="133">
        <v>0</v>
      </c>
      <c r="AH100" s="133">
        <v>0</v>
      </c>
      <c r="AI100" s="133">
        <v>0</v>
      </c>
      <c r="AJ100" s="133">
        <v>0</v>
      </c>
      <c r="AK100" s="133">
        <v>0</v>
      </c>
      <c r="AL100" s="133">
        <v>0</v>
      </c>
      <c r="AM100" s="133">
        <v>0</v>
      </c>
      <c r="AN100" s="133">
        <v>0</v>
      </c>
      <c r="AO100" s="133">
        <v>0</v>
      </c>
      <c r="AP100" s="133">
        <v>0</v>
      </c>
      <c r="AQ100" s="133">
        <v>0</v>
      </c>
      <c r="AR100" s="133">
        <v>0</v>
      </c>
      <c r="AS100" s="133">
        <v>0</v>
      </c>
      <c r="AT100" s="133">
        <v>0</v>
      </c>
      <c r="AU100" s="133">
        <v>0</v>
      </c>
      <c r="AV100" s="133">
        <v>0</v>
      </c>
      <c r="AW100" s="133">
        <v>0</v>
      </c>
      <c r="AX100" s="133">
        <v>0</v>
      </c>
      <c r="AY100" s="133">
        <v>0</v>
      </c>
      <c r="AZ100" s="133">
        <v>0</v>
      </c>
      <c r="BA100" s="133">
        <v>0</v>
      </c>
      <c r="BB100" s="133">
        <v>0</v>
      </c>
      <c r="BC100" s="133">
        <v>0</v>
      </c>
      <c r="BD100" s="133">
        <v>0</v>
      </c>
      <c r="BE100" s="133">
        <v>0</v>
      </c>
      <c r="BF100" s="133">
        <v>0</v>
      </c>
      <c r="BG100" s="133">
        <v>0</v>
      </c>
      <c r="BH100" s="133">
        <v>0</v>
      </c>
      <c r="BI100" s="133">
        <v>0</v>
      </c>
      <c r="BJ100" s="133">
        <v>0</v>
      </c>
      <c r="BK100" s="133">
        <v>0</v>
      </c>
      <c r="BL100" s="133">
        <v>0</v>
      </c>
      <c r="BM100" s="133">
        <v>0</v>
      </c>
      <c r="BN100" s="133">
        <v>0</v>
      </c>
      <c r="BO100" s="133">
        <v>0</v>
      </c>
      <c r="BP100" s="133">
        <v>0</v>
      </c>
      <c r="BQ100" s="133">
        <v>0</v>
      </c>
      <c r="BR100" s="133">
        <v>0</v>
      </c>
      <c r="BS100" s="133">
        <v>0</v>
      </c>
      <c r="BT100" s="133">
        <v>0</v>
      </c>
      <c r="BU100" s="133">
        <v>0</v>
      </c>
      <c r="BV100" s="133">
        <v>0</v>
      </c>
      <c r="BW100" s="133">
        <v>0</v>
      </c>
      <c r="BX100" s="133">
        <v>0</v>
      </c>
      <c r="BY100" s="133">
        <v>0</v>
      </c>
      <c r="BZ100" s="133">
        <v>0</v>
      </c>
      <c r="CA100" s="133">
        <v>0</v>
      </c>
      <c r="CB100" s="133">
        <v>0</v>
      </c>
      <c r="CC100" s="133">
        <v>0</v>
      </c>
      <c r="CD100" s="133">
        <v>0</v>
      </c>
      <c r="CE100" s="133">
        <v>0</v>
      </c>
      <c r="CF100" s="133">
        <v>0</v>
      </c>
      <c r="CG100" s="133">
        <v>0</v>
      </c>
      <c r="CH100" s="133">
        <v>0</v>
      </c>
      <c r="CI100" s="133">
        <v>0</v>
      </c>
      <c r="CJ100" s="133">
        <v>0</v>
      </c>
      <c r="CK100" s="133">
        <v>0</v>
      </c>
      <c r="CL100" s="133">
        <v>0</v>
      </c>
      <c r="CM100" s="133">
        <v>0</v>
      </c>
      <c r="CN100" s="133">
        <v>0</v>
      </c>
      <c r="CO100" s="133">
        <v>0</v>
      </c>
      <c r="CP100" s="133">
        <v>0</v>
      </c>
      <c r="CQ100" s="133">
        <v>0</v>
      </c>
      <c r="CR100" s="133">
        <v>0</v>
      </c>
      <c r="CS100" s="133">
        <v>0</v>
      </c>
      <c r="CT100" s="133">
        <v>0</v>
      </c>
      <c r="CU100" s="133">
        <v>0</v>
      </c>
      <c r="CV100" s="133">
        <v>0</v>
      </c>
      <c r="CW100" s="133">
        <v>0</v>
      </c>
      <c r="CX100" s="133">
        <v>0</v>
      </c>
    </row>
    <row r="101" spans="1:102" ht="15" customHeight="1" x14ac:dyDescent="0.45">
      <c r="A101" s="129">
        <v>9.9</v>
      </c>
      <c r="B101" s="132">
        <v>1</v>
      </c>
      <c r="C101" s="133">
        <v>1</v>
      </c>
      <c r="D101" s="133">
        <v>1</v>
      </c>
      <c r="E101" s="133">
        <v>1</v>
      </c>
      <c r="F101" s="133">
        <v>1</v>
      </c>
      <c r="G101" s="133">
        <v>0.95</v>
      </c>
      <c r="H101" s="133">
        <v>0.85</v>
      </c>
      <c r="I101" s="133">
        <v>0.8</v>
      </c>
      <c r="J101" s="133">
        <v>0.7</v>
      </c>
      <c r="K101" s="133">
        <v>0.6</v>
      </c>
      <c r="L101" s="133">
        <v>0.5</v>
      </c>
      <c r="M101" s="133">
        <v>0.4</v>
      </c>
      <c r="N101" s="133">
        <v>0.3</v>
      </c>
      <c r="O101" s="133">
        <v>0.2</v>
      </c>
      <c r="P101" s="133">
        <v>0.1</v>
      </c>
      <c r="Q101" s="133">
        <v>0</v>
      </c>
      <c r="R101" s="133">
        <v>0</v>
      </c>
      <c r="S101" s="133">
        <v>0</v>
      </c>
      <c r="T101" s="133">
        <v>0</v>
      </c>
      <c r="U101" s="133">
        <v>0</v>
      </c>
      <c r="V101" s="133">
        <v>0</v>
      </c>
      <c r="W101" s="133">
        <v>0</v>
      </c>
      <c r="X101" s="133">
        <v>0</v>
      </c>
      <c r="Y101" s="133">
        <v>0</v>
      </c>
      <c r="Z101" s="133">
        <v>0</v>
      </c>
      <c r="AA101" s="133">
        <v>0</v>
      </c>
      <c r="AB101" s="133">
        <v>0</v>
      </c>
      <c r="AC101" s="133">
        <v>0</v>
      </c>
      <c r="AD101" s="133">
        <v>0</v>
      </c>
      <c r="AE101" s="133">
        <v>0</v>
      </c>
      <c r="AF101" s="133">
        <v>0</v>
      </c>
      <c r="AG101" s="133">
        <v>0</v>
      </c>
      <c r="AH101" s="133">
        <v>0</v>
      </c>
      <c r="AI101" s="133">
        <v>0</v>
      </c>
      <c r="AJ101" s="133">
        <v>0</v>
      </c>
      <c r="AK101" s="133">
        <v>0</v>
      </c>
      <c r="AL101" s="133">
        <v>0</v>
      </c>
      <c r="AM101" s="133">
        <v>0</v>
      </c>
      <c r="AN101" s="133">
        <v>0</v>
      </c>
      <c r="AO101" s="133">
        <v>0</v>
      </c>
      <c r="AP101" s="133">
        <v>0</v>
      </c>
      <c r="AQ101" s="133">
        <v>0</v>
      </c>
      <c r="AR101" s="133">
        <v>0</v>
      </c>
      <c r="AS101" s="133">
        <v>0</v>
      </c>
      <c r="AT101" s="133">
        <v>0</v>
      </c>
      <c r="AU101" s="133">
        <v>0</v>
      </c>
      <c r="AV101" s="133">
        <v>0</v>
      </c>
      <c r="AW101" s="133">
        <v>0</v>
      </c>
      <c r="AX101" s="133">
        <v>0</v>
      </c>
      <c r="AY101" s="133">
        <v>0</v>
      </c>
      <c r="AZ101" s="133">
        <v>0</v>
      </c>
      <c r="BA101" s="133">
        <v>0</v>
      </c>
      <c r="BB101" s="133">
        <v>0</v>
      </c>
      <c r="BC101" s="133">
        <v>0</v>
      </c>
      <c r="BD101" s="133">
        <v>0</v>
      </c>
      <c r="BE101" s="133">
        <v>0</v>
      </c>
      <c r="BF101" s="133">
        <v>0</v>
      </c>
      <c r="BG101" s="133">
        <v>0</v>
      </c>
      <c r="BH101" s="133">
        <v>0</v>
      </c>
      <c r="BI101" s="133">
        <v>0</v>
      </c>
      <c r="BJ101" s="133">
        <v>0</v>
      </c>
      <c r="BK101" s="133">
        <v>0</v>
      </c>
      <c r="BL101" s="133">
        <v>0</v>
      </c>
      <c r="BM101" s="133">
        <v>0</v>
      </c>
      <c r="BN101" s="133">
        <v>0</v>
      </c>
      <c r="BO101" s="133">
        <v>0</v>
      </c>
      <c r="BP101" s="133">
        <v>0</v>
      </c>
      <c r="BQ101" s="133">
        <v>0</v>
      </c>
      <c r="BR101" s="133">
        <v>0</v>
      </c>
      <c r="BS101" s="133">
        <v>0</v>
      </c>
      <c r="BT101" s="133">
        <v>0</v>
      </c>
      <c r="BU101" s="133">
        <v>0</v>
      </c>
      <c r="BV101" s="133">
        <v>0</v>
      </c>
      <c r="BW101" s="133">
        <v>0</v>
      </c>
      <c r="BX101" s="133">
        <v>0</v>
      </c>
      <c r="BY101" s="133">
        <v>0</v>
      </c>
      <c r="BZ101" s="133">
        <v>0</v>
      </c>
      <c r="CA101" s="133">
        <v>0</v>
      </c>
      <c r="CB101" s="133">
        <v>0</v>
      </c>
      <c r="CC101" s="133">
        <v>0</v>
      </c>
      <c r="CD101" s="133">
        <v>0</v>
      </c>
      <c r="CE101" s="133">
        <v>0</v>
      </c>
      <c r="CF101" s="133">
        <v>0</v>
      </c>
      <c r="CG101" s="133">
        <v>0</v>
      </c>
      <c r="CH101" s="133">
        <v>0</v>
      </c>
      <c r="CI101" s="133">
        <v>0</v>
      </c>
      <c r="CJ101" s="133">
        <v>0</v>
      </c>
      <c r="CK101" s="133">
        <v>0</v>
      </c>
      <c r="CL101" s="133">
        <v>0</v>
      </c>
      <c r="CM101" s="133">
        <v>0</v>
      </c>
      <c r="CN101" s="133">
        <v>0</v>
      </c>
      <c r="CO101" s="133">
        <v>0</v>
      </c>
      <c r="CP101" s="133">
        <v>0</v>
      </c>
      <c r="CQ101" s="133">
        <v>0</v>
      </c>
      <c r="CR101" s="133">
        <v>0</v>
      </c>
      <c r="CS101" s="133">
        <v>0</v>
      </c>
      <c r="CT101" s="133">
        <v>0</v>
      </c>
      <c r="CU101" s="133">
        <v>0</v>
      </c>
      <c r="CV101" s="133">
        <v>0</v>
      </c>
      <c r="CW101" s="133">
        <v>0</v>
      </c>
      <c r="CX101" s="133">
        <v>0</v>
      </c>
    </row>
    <row r="102" spans="1:102" ht="15" customHeight="1" x14ac:dyDescent="0.45">
      <c r="A102" s="134">
        <v>10</v>
      </c>
      <c r="B102" s="132">
        <v>1</v>
      </c>
      <c r="C102" s="133">
        <v>1</v>
      </c>
      <c r="D102" s="133">
        <v>1</v>
      </c>
      <c r="E102" s="133">
        <v>1</v>
      </c>
      <c r="F102" s="133">
        <v>1</v>
      </c>
      <c r="G102" s="133">
        <v>0.95</v>
      </c>
      <c r="H102" s="133">
        <v>0.85</v>
      </c>
      <c r="I102" s="133">
        <v>0.8</v>
      </c>
      <c r="J102" s="133">
        <v>0.7</v>
      </c>
      <c r="K102" s="133">
        <v>0.6</v>
      </c>
      <c r="L102" s="133">
        <v>0.5</v>
      </c>
      <c r="M102" s="133">
        <v>0.4</v>
      </c>
      <c r="N102" s="133">
        <v>0.3</v>
      </c>
      <c r="O102" s="133">
        <v>0.2</v>
      </c>
      <c r="P102" s="133">
        <v>0.1</v>
      </c>
      <c r="Q102" s="133">
        <v>0</v>
      </c>
      <c r="R102" s="133">
        <v>0</v>
      </c>
      <c r="S102" s="133">
        <v>0</v>
      </c>
      <c r="T102" s="133">
        <v>0</v>
      </c>
      <c r="U102" s="133">
        <v>0</v>
      </c>
      <c r="V102" s="133">
        <v>0</v>
      </c>
      <c r="W102" s="133">
        <v>0</v>
      </c>
      <c r="X102" s="133">
        <v>0</v>
      </c>
      <c r="Y102" s="133">
        <v>0</v>
      </c>
      <c r="Z102" s="133">
        <v>0</v>
      </c>
      <c r="AA102" s="133">
        <v>0</v>
      </c>
      <c r="AB102" s="133">
        <v>0</v>
      </c>
      <c r="AC102" s="133">
        <v>0</v>
      </c>
      <c r="AD102" s="133">
        <v>0</v>
      </c>
      <c r="AE102" s="133">
        <v>0</v>
      </c>
      <c r="AF102" s="133">
        <v>0</v>
      </c>
      <c r="AG102" s="133">
        <v>0</v>
      </c>
      <c r="AH102" s="133">
        <v>0</v>
      </c>
      <c r="AI102" s="133">
        <v>0</v>
      </c>
      <c r="AJ102" s="133">
        <v>0</v>
      </c>
      <c r="AK102" s="133">
        <v>0</v>
      </c>
      <c r="AL102" s="133">
        <v>0</v>
      </c>
      <c r="AM102" s="133">
        <v>0</v>
      </c>
      <c r="AN102" s="133">
        <v>0</v>
      </c>
      <c r="AO102" s="133">
        <v>0</v>
      </c>
      <c r="AP102" s="133">
        <v>0</v>
      </c>
      <c r="AQ102" s="133">
        <v>0</v>
      </c>
      <c r="AR102" s="133">
        <v>0</v>
      </c>
      <c r="AS102" s="133">
        <v>0</v>
      </c>
      <c r="AT102" s="133">
        <v>0</v>
      </c>
      <c r="AU102" s="133">
        <v>0</v>
      </c>
      <c r="AV102" s="133">
        <v>0</v>
      </c>
      <c r="AW102" s="133">
        <v>0</v>
      </c>
      <c r="AX102" s="133">
        <v>0</v>
      </c>
      <c r="AY102" s="133">
        <v>0</v>
      </c>
      <c r="AZ102" s="133">
        <v>0</v>
      </c>
      <c r="BA102" s="133">
        <v>0</v>
      </c>
      <c r="BB102" s="133">
        <v>0</v>
      </c>
      <c r="BC102" s="133">
        <v>0</v>
      </c>
      <c r="BD102" s="133">
        <v>0</v>
      </c>
      <c r="BE102" s="133">
        <v>0</v>
      </c>
      <c r="BF102" s="133">
        <v>0</v>
      </c>
      <c r="BG102" s="133">
        <v>0</v>
      </c>
      <c r="BH102" s="133">
        <v>0</v>
      </c>
      <c r="BI102" s="133">
        <v>0</v>
      </c>
      <c r="BJ102" s="133">
        <v>0</v>
      </c>
      <c r="BK102" s="133">
        <v>0</v>
      </c>
      <c r="BL102" s="133">
        <v>0</v>
      </c>
      <c r="BM102" s="133">
        <v>0</v>
      </c>
      <c r="BN102" s="133">
        <v>0</v>
      </c>
      <c r="BO102" s="133">
        <v>0</v>
      </c>
      <c r="BP102" s="133">
        <v>0</v>
      </c>
      <c r="BQ102" s="133">
        <v>0</v>
      </c>
      <c r="BR102" s="133">
        <v>0</v>
      </c>
      <c r="BS102" s="133">
        <v>0</v>
      </c>
      <c r="BT102" s="133">
        <v>0</v>
      </c>
      <c r="BU102" s="133">
        <v>0</v>
      </c>
      <c r="BV102" s="133">
        <v>0</v>
      </c>
      <c r="BW102" s="133">
        <v>0</v>
      </c>
      <c r="BX102" s="133">
        <v>0</v>
      </c>
      <c r="BY102" s="133">
        <v>0</v>
      </c>
      <c r="BZ102" s="133">
        <v>0</v>
      </c>
      <c r="CA102" s="133">
        <v>0</v>
      </c>
      <c r="CB102" s="133">
        <v>0</v>
      </c>
      <c r="CC102" s="133">
        <v>0</v>
      </c>
      <c r="CD102" s="133">
        <v>0</v>
      </c>
      <c r="CE102" s="133">
        <v>0</v>
      </c>
      <c r="CF102" s="133">
        <v>0</v>
      </c>
      <c r="CG102" s="133">
        <v>0</v>
      </c>
      <c r="CH102" s="133">
        <v>0</v>
      </c>
      <c r="CI102" s="133">
        <v>0</v>
      </c>
      <c r="CJ102" s="133">
        <v>0</v>
      </c>
      <c r="CK102" s="133">
        <v>0</v>
      </c>
      <c r="CL102" s="133">
        <v>0</v>
      </c>
      <c r="CM102" s="133">
        <v>0</v>
      </c>
      <c r="CN102" s="133">
        <v>0</v>
      </c>
      <c r="CO102" s="133">
        <v>0</v>
      </c>
      <c r="CP102" s="133">
        <v>0</v>
      </c>
      <c r="CQ102" s="133">
        <v>0</v>
      </c>
      <c r="CR102" s="133">
        <v>0</v>
      </c>
      <c r="CS102" s="133">
        <v>0</v>
      </c>
      <c r="CT102" s="133">
        <v>0</v>
      </c>
      <c r="CU102" s="133">
        <v>0</v>
      </c>
      <c r="CV102" s="133">
        <v>0</v>
      </c>
      <c r="CW102" s="133">
        <v>0</v>
      </c>
      <c r="CX102" s="133">
        <v>0</v>
      </c>
    </row>
  </sheetData>
  <pageMargins left="0.7" right="0.7" top="0.75" bottom="0.75" header="0.3" footer="0.3"/>
  <pageSetup orientation="portrait"/>
  <headerFooter>
    <oddFooter>&amp;L&amp;"Calibri,Regular"&amp;11&amp;K000000
&amp;10 Sirket Ici / Kuruma Ozel&amp;C&amp;"Helvetica,Regular"&amp;12&amp;K000000&amp;P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Kurs</vt:lpstr>
      <vt:lpstr>Hakemler</vt:lpstr>
      <vt:lpstr>AtM_D</vt:lpstr>
      <vt:lpstr>AtM_E</vt:lpstr>
      <vt:lpstr>KP_D</vt:lpstr>
      <vt:lpstr>KP_E</vt:lpstr>
      <vt:lpstr>D_D</vt:lpstr>
      <vt:lpstr>D_E</vt:lpstr>
      <vt:lpstr>Y_D</vt:lpstr>
      <vt:lpstr>Y_E</vt:lpstr>
      <vt:lpstr>Sonuclar</vt:lpstr>
      <vt:lpstr>Uzman_D</vt:lpstr>
      <vt:lpstr>Uzman_E</vt:lpstr>
      <vt:lpstr>Tablo_E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Yeliz İlgar Doğan</cp:lastModifiedBy>
  <dcterms:modified xsi:type="dcterms:W3CDTF">2024-12-29T15:59:32Z</dcterms:modified>
</cp:coreProperties>
</file>
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BuÇalışmaKitabı"/>
  <mc:AlternateContent xmlns:mc="http://schemas.openxmlformats.org/markup-compatibility/2006">
    <mc:Choice Requires="x15">
      <x15ac:absPath xmlns:x15ac="http://schemas.microsoft.com/office/spreadsheetml/2010/11/ac" url="/Users/emre.yalciner/Desktop/"/>
    </mc:Choice>
  </mc:AlternateContent>
  <xr:revisionPtr revIDLastSave="0" documentId="13_ncr:1_{09AA84DC-05F5-6542-B631-C45C14A44A3F}" xr6:coauthVersionLast="47" xr6:coauthVersionMax="47" xr10:uidLastSave="{00000000-0000-0000-0000-000000000000}"/>
  <bookViews>
    <workbookView xWindow="0" yWindow="740" windowWidth="30240" windowHeight="18900" activeTab="11" xr2:uid="{00000000-000D-0000-FFFF-FFFF00000000}"/>
  </bookViews>
  <sheets>
    <sheet name="Kurs" sheetId="1" r:id="rId1"/>
    <sheet name="Hakemler" sheetId="2" r:id="rId2"/>
    <sheet name="AtM_D" sheetId="3" r:id="rId3"/>
    <sheet name="AtM_E" sheetId="4" r:id="rId4"/>
    <sheet name="KP_D" sheetId="5" r:id="rId5"/>
    <sheet name="KP_E" sheetId="6" r:id="rId6"/>
    <sheet name="D_D" sheetId="7" r:id="rId7"/>
    <sheet name="D_E" sheetId="8" r:id="rId8"/>
    <sheet name="Y_D" sheetId="9" r:id="rId9"/>
    <sheet name="Y_E" sheetId="10" r:id="rId10"/>
    <sheet name="Sonuclar" sheetId="11" r:id="rId11"/>
    <sheet name="Table_1" sheetId="16" r:id="rId12"/>
    <sheet name="Uzman_D" sheetId="12" r:id="rId13"/>
    <sheet name="Uzman_E" sheetId="13" r:id="rId14"/>
    <sheet name="Tablo_E" sheetId="14" r:id="rId15"/>
  </sheets>
  <definedNames>
    <definedName name="_xlnm.Print_Area" localSheetId="11">Table_1!$A$1:$Q$11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6" l="1"/>
  <c r="M7" i="16"/>
  <c r="L7" i="16"/>
  <c r="K7" i="16"/>
  <c r="J7" i="16"/>
  <c r="I7" i="16"/>
  <c r="H7" i="16"/>
  <c r="G7" i="16"/>
  <c r="F7" i="16"/>
  <c r="E7" i="16"/>
  <c r="N8" i="16" l="1"/>
  <c r="M8" i="16"/>
  <c r="L8" i="16"/>
  <c r="K8" i="16"/>
  <c r="J8" i="16"/>
  <c r="I8" i="16"/>
  <c r="H8" i="16"/>
  <c r="G8" i="16"/>
  <c r="F8" i="16"/>
  <c r="E8" i="16"/>
  <c r="D7" i="16"/>
  <c r="B7" i="16"/>
  <c r="E4" i="16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H4" i="4"/>
  <c r="Q4" i="4"/>
  <c r="BQ40" i="7"/>
  <c r="BQ41" i="7"/>
  <c r="BQ42" i="7"/>
  <c r="BQ43" i="7"/>
  <c r="BQ44" i="7"/>
  <c r="BQ45" i="7"/>
  <c r="BQ46" i="7"/>
  <c r="BQ47" i="7"/>
  <c r="BQ48" i="7"/>
  <c r="BQ49" i="7"/>
  <c r="BQ50" i="7"/>
  <c r="BQ51" i="7"/>
  <c r="BQ52" i="7"/>
  <c r="BQ53" i="7"/>
  <c r="BQ54" i="7"/>
  <c r="BQ55" i="7"/>
  <c r="BQ56" i="7"/>
  <c r="BQ57" i="7"/>
  <c r="BQ58" i="7"/>
  <c r="BQ59" i="7"/>
  <c r="BQ60" i="7"/>
  <c r="BQ61" i="7"/>
  <c r="BQ62" i="7"/>
  <c r="BQ63" i="7"/>
  <c r="BQ64" i="7"/>
  <c r="BQ65" i="7"/>
  <c r="BQ66" i="7"/>
  <c r="BQ67" i="7"/>
  <c r="BQ68" i="7"/>
  <c r="BQ69" i="7"/>
  <c r="BQ70" i="7"/>
  <c r="BQ71" i="7"/>
  <c r="BQ72" i="7"/>
  <c r="BQ73" i="7"/>
  <c r="BQ74" i="7"/>
  <c r="BQ75" i="7"/>
  <c r="BQ76" i="7"/>
  <c r="BQ77" i="7"/>
  <c r="BQ78" i="7"/>
  <c r="BQ79" i="7"/>
  <c r="BQ80" i="7"/>
  <c r="BQ81" i="7"/>
  <c r="BQ82" i="7"/>
  <c r="BQ83" i="7"/>
  <c r="BQ84" i="7"/>
  <c r="BQ85" i="7"/>
  <c r="BQ86" i="7"/>
  <c r="BQ87" i="7"/>
  <c r="BQ88" i="7"/>
  <c r="BQ89" i="7"/>
  <c r="BQ90" i="7"/>
  <c r="BQ91" i="7"/>
  <c r="BQ92" i="7"/>
  <c r="BQ93" i="7"/>
  <c r="BQ94" i="7"/>
  <c r="BQ95" i="7"/>
  <c r="BQ96" i="7"/>
  <c r="BQ97" i="7"/>
  <c r="BQ98" i="7"/>
  <c r="BQ99" i="7"/>
  <c r="BQ100" i="7"/>
  <c r="BQ101" i="7"/>
  <c r="BQ102" i="7"/>
  <c r="BQ103" i="7"/>
  <c r="BQ5" i="7"/>
  <c r="BQ6" i="7"/>
  <c r="BQ7" i="7"/>
  <c r="BQ8" i="7"/>
  <c r="BQ9" i="7"/>
  <c r="H9" i="11" s="1"/>
  <c r="BQ10" i="7"/>
  <c r="BQ11" i="7"/>
  <c r="BQ12" i="7"/>
  <c r="BQ13" i="7"/>
  <c r="BQ14" i="7"/>
  <c r="BQ15" i="7"/>
  <c r="BQ16" i="7"/>
  <c r="BQ17" i="7"/>
  <c r="BQ18" i="7"/>
  <c r="H18" i="11" s="1"/>
  <c r="BQ19" i="7"/>
  <c r="H19" i="11" s="1"/>
  <c r="BQ20" i="7"/>
  <c r="BQ21" i="7"/>
  <c r="BQ22" i="7"/>
  <c r="BQ23" i="7"/>
  <c r="BQ24" i="7"/>
  <c r="BQ25" i="7"/>
  <c r="BQ26" i="7"/>
  <c r="BQ27" i="7"/>
  <c r="BQ28" i="7"/>
  <c r="H28" i="11" s="1"/>
  <c r="BQ29" i="7"/>
  <c r="BQ30" i="7"/>
  <c r="BQ31" i="7"/>
  <c r="BQ32" i="7"/>
  <c r="BQ33" i="7"/>
  <c r="BQ34" i="7"/>
  <c r="BQ35" i="7"/>
  <c r="BQ36" i="7"/>
  <c r="BQ37" i="7"/>
  <c r="BQ38" i="7"/>
  <c r="H38" i="11" s="1"/>
  <c r="BQ39" i="7"/>
  <c r="H39" i="11" s="1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P35" i="7"/>
  <c r="BP36" i="7"/>
  <c r="BP37" i="7"/>
  <c r="BP38" i="7"/>
  <c r="BP39" i="7"/>
  <c r="BP40" i="7"/>
  <c r="BP41" i="7"/>
  <c r="BP42" i="7"/>
  <c r="BP43" i="7"/>
  <c r="BP44" i="7"/>
  <c r="BP45" i="7"/>
  <c r="BP46" i="7"/>
  <c r="BP47" i="7"/>
  <c r="BP48" i="7"/>
  <c r="BP49" i="7"/>
  <c r="BP50" i="7"/>
  <c r="BP51" i="7"/>
  <c r="BP52" i="7"/>
  <c r="BP53" i="7"/>
  <c r="BP54" i="7"/>
  <c r="BP55" i="7"/>
  <c r="BP56" i="7"/>
  <c r="BP57" i="7"/>
  <c r="BP58" i="7"/>
  <c r="BP59" i="7"/>
  <c r="BP60" i="7"/>
  <c r="BP61" i="7"/>
  <c r="BP62" i="7"/>
  <c r="BP63" i="7"/>
  <c r="BP64" i="7"/>
  <c r="BP65" i="7"/>
  <c r="BP66" i="7"/>
  <c r="BP67" i="7"/>
  <c r="BP68" i="7"/>
  <c r="BP69" i="7"/>
  <c r="BP70" i="7"/>
  <c r="BP71" i="7"/>
  <c r="BP72" i="7"/>
  <c r="BP73" i="7"/>
  <c r="BP74" i="7"/>
  <c r="BP75" i="7"/>
  <c r="BP76" i="7"/>
  <c r="BP77" i="7"/>
  <c r="BP78" i="7"/>
  <c r="BP79" i="7"/>
  <c r="BP80" i="7"/>
  <c r="BP81" i="7"/>
  <c r="BP82" i="7"/>
  <c r="BP83" i="7"/>
  <c r="BP84" i="7"/>
  <c r="BP85" i="7"/>
  <c r="BP86" i="7"/>
  <c r="BP87" i="7"/>
  <c r="BP88" i="7"/>
  <c r="BP89" i="7"/>
  <c r="BP90" i="7"/>
  <c r="BP91" i="7"/>
  <c r="BP92" i="7"/>
  <c r="BP93" i="7"/>
  <c r="BP94" i="7"/>
  <c r="BP95" i="7"/>
  <c r="BP96" i="7"/>
  <c r="BP97" i="7"/>
  <c r="BP98" i="7"/>
  <c r="BP99" i="7"/>
  <c r="BP100" i="7"/>
  <c r="BP101" i="7"/>
  <c r="BP102" i="7"/>
  <c r="BP103" i="7"/>
  <c r="BC11" i="7"/>
  <c r="BC12" i="7"/>
  <c r="BC13" i="7"/>
  <c r="BC14" i="7"/>
  <c r="BC15" i="7"/>
  <c r="BC16" i="7"/>
  <c r="BC17" i="7"/>
  <c r="BC18" i="7"/>
  <c r="BC19" i="7"/>
  <c r="BC20" i="7"/>
  <c r="BC21" i="7"/>
  <c r="BC22" i="7"/>
  <c r="BC23" i="7"/>
  <c r="BC24" i="7"/>
  <c r="BC25" i="7"/>
  <c r="BC26" i="7"/>
  <c r="BC27" i="7"/>
  <c r="BC28" i="7"/>
  <c r="BC29" i="7"/>
  <c r="BC30" i="7"/>
  <c r="BC31" i="7"/>
  <c r="BC32" i="7"/>
  <c r="BC33" i="7"/>
  <c r="BC34" i="7"/>
  <c r="BC35" i="7"/>
  <c r="BC36" i="7"/>
  <c r="BC37" i="7"/>
  <c r="BC38" i="7"/>
  <c r="BC39" i="7"/>
  <c r="BC40" i="7"/>
  <c r="BC41" i="7"/>
  <c r="BC42" i="7"/>
  <c r="BC43" i="7"/>
  <c r="BC44" i="7"/>
  <c r="BC45" i="7"/>
  <c r="BC46" i="7"/>
  <c r="BC47" i="7"/>
  <c r="BC48" i="7"/>
  <c r="BC49" i="7"/>
  <c r="BC50" i="7"/>
  <c r="BC51" i="7"/>
  <c r="BC52" i="7"/>
  <c r="BC53" i="7"/>
  <c r="BC54" i="7"/>
  <c r="BC55" i="7"/>
  <c r="BC56" i="7"/>
  <c r="BC57" i="7"/>
  <c r="BC58" i="7"/>
  <c r="BC59" i="7"/>
  <c r="BC60" i="7"/>
  <c r="BC61" i="7"/>
  <c r="BC62" i="7"/>
  <c r="BC63" i="7"/>
  <c r="BC64" i="7"/>
  <c r="BC65" i="7"/>
  <c r="BC66" i="7"/>
  <c r="BC67" i="7"/>
  <c r="BC68" i="7"/>
  <c r="BC69" i="7"/>
  <c r="BC70" i="7"/>
  <c r="BC71" i="7"/>
  <c r="BC72" i="7"/>
  <c r="BC73" i="7"/>
  <c r="BC74" i="7"/>
  <c r="BC75" i="7"/>
  <c r="BC76" i="7"/>
  <c r="BC77" i="7"/>
  <c r="BC78" i="7"/>
  <c r="BC79" i="7"/>
  <c r="BC80" i="7"/>
  <c r="BC81" i="7"/>
  <c r="BC82" i="7"/>
  <c r="BC83" i="7"/>
  <c r="BC84" i="7"/>
  <c r="BC85" i="7"/>
  <c r="BC86" i="7"/>
  <c r="BC87" i="7"/>
  <c r="BC88" i="7"/>
  <c r="BC89" i="7"/>
  <c r="BC90" i="7"/>
  <c r="BC91" i="7"/>
  <c r="BC92" i="7"/>
  <c r="BC93" i="7"/>
  <c r="BC94" i="7"/>
  <c r="BC95" i="7"/>
  <c r="BC96" i="7"/>
  <c r="BC97" i="7"/>
  <c r="BC98" i="7"/>
  <c r="BC99" i="7"/>
  <c r="BC100" i="7"/>
  <c r="BC101" i="7"/>
  <c r="BC102" i="7"/>
  <c r="BC103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36" i="7"/>
  <c r="AP37" i="7"/>
  <c r="AP38" i="7"/>
  <c r="AP39" i="7"/>
  <c r="AP40" i="7"/>
  <c r="AP41" i="7"/>
  <c r="AP42" i="7"/>
  <c r="AP43" i="7"/>
  <c r="AP44" i="7"/>
  <c r="AP45" i="7"/>
  <c r="AP46" i="7"/>
  <c r="AP47" i="7"/>
  <c r="AP48" i="7"/>
  <c r="AP49" i="7"/>
  <c r="AP50" i="7"/>
  <c r="AP51" i="7"/>
  <c r="AP52" i="7"/>
  <c r="AP53" i="7"/>
  <c r="AP54" i="7"/>
  <c r="AP55" i="7"/>
  <c r="AP56" i="7"/>
  <c r="AP57" i="7"/>
  <c r="AP58" i="7"/>
  <c r="AP59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73" i="7"/>
  <c r="AP74" i="7"/>
  <c r="AP75" i="7"/>
  <c r="AP76" i="7"/>
  <c r="AP77" i="7"/>
  <c r="AP78" i="7"/>
  <c r="AP79" i="7"/>
  <c r="AP80" i="7"/>
  <c r="AP81" i="7"/>
  <c r="AP82" i="7"/>
  <c r="AP83" i="7"/>
  <c r="AP84" i="7"/>
  <c r="AP85" i="7"/>
  <c r="AP86" i="7"/>
  <c r="AP87" i="7"/>
  <c r="AP88" i="7"/>
  <c r="AP89" i="7"/>
  <c r="AP90" i="7"/>
  <c r="AP91" i="7"/>
  <c r="AP92" i="7"/>
  <c r="AP93" i="7"/>
  <c r="AP94" i="7"/>
  <c r="AP95" i="7"/>
  <c r="AP96" i="7"/>
  <c r="AP97" i="7"/>
  <c r="AP98" i="7"/>
  <c r="AP99" i="7"/>
  <c r="AP100" i="7"/>
  <c r="AP101" i="7"/>
  <c r="AP102" i="7"/>
  <c r="AP103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BQ40" i="9"/>
  <c r="BQ41" i="9"/>
  <c r="BQ42" i="9"/>
  <c r="BQ43" i="9"/>
  <c r="BQ44" i="9"/>
  <c r="BQ45" i="9"/>
  <c r="BQ46" i="9"/>
  <c r="BQ47" i="9"/>
  <c r="BQ48" i="9"/>
  <c r="BQ49" i="9"/>
  <c r="BQ50" i="9"/>
  <c r="BQ51" i="9"/>
  <c r="BQ52" i="9"/>
  <c r="BQ53" i="9"/>
  <c r="BQ54" i="9"/>
  <c r="BQ55" i="9"/>
  <c r="BQ56" i="9"/>
  <c r="BQ57" i="9"/>
  <c r="BQ58" i="9"/>
  <c r="BQ59" i="9"/>
  <c r="BQ60" i="9"/>
  <c r="BQ61" i="9"/>
  <c r="BQ62" i="9"/>
  <c r="BQ63" i="9"/>
  <c r="BQ64" i="9"/>
  <c r="BQ65" i="9"/>
  <c r="BQ66" i="9"/>
  <c r="BQ67" i="9"/>
  <c r="BQ68" i="9"/>
  <c r="BQ69" i="9"/>
  <c r="BQ70" i="9"/>
  <c r="BQ71" i="9"/>
  <c r="BQ72" i="9"/>
  <c r="BQ73" i="9"/>
  <c r="BQ74" i="9"/>
  <c r="BQ75" i="9"/>
  <c r="BQ76" i="9"/>
  <c r="BQ77" i="9"/>
  <c r="BQ78" i="9"/>
  <c r="BQ79" i="9"/>
  <c r="BQ80" i="9"/>
  <c r="BQ81" i="9"/>
  <c r="BQ82" i="9"/>
  <c r="BQ83" i="9"/>
  <c r="BQ84" i="9"/>
  <c r="BQ85" i="9"/>
  <c r="BQ86" i="9"/>
  <c r="BQ87" i="9"/>
  <c r="BQ88" i="9"/>
  <c r="BQ89" i="9"/>
  <c r="BQ90" i="9"/>
  <c r="BQ91" i="9"/>
  <c r="BQ92" i="9"/>
  <c r="BQ93" i="9"/>
  <c r="BQ94" i="9"/>
  <c r="BQ95" i="9"/>
  <c r="BQ96" i="9"/>
  <c r="BQ97" i="9"/>
  <c r="BQ98" i="9"/>
  <c r="BQ99" i="9"/>
  <c r="BQ100" i="9"/>
  <c r="BQ101" i="9"/>
  <c r="BQ102" i="9"/>
  <c r="BQ103" i="9"/>
  <c r="BQ5" i="9"/>
  <c r="BQ6" i="9"/>
  <c r="BQ7" i="9"/>
  <c r="BQ8" i="9"/>
  <c r="BQ9" i="9"/>
  <c r="BQ10" i="9"/>
  <c r="BQ11" i="9"/>
  <c r="BQ12" i="9"/>
  <c r="BQ13" i="9"/>
  <c r="J13" i="11" s="1"/>
  <c r="BQ14" i="9"/>
  <c r="BQ15" i="9"/>
  <c r="BQ16" i="9"/>
  <c r="BQ17" i="9"/>
  <c r="BQ18" i="9"/>
  <c r="BQ19" i="9"/>
  <c r="BQ20" i="9"/>
  <c r="BQ21" i="9"/>
  <c r="BQ22" i="9"/>
  <c r="BQ23" i="9"/>
  <c r="BQ24" i="9"/>
  <c r="BQ25" i="9"/>
  <c r="BQ26" i="9"/>
  <c r="BQ27" i="9"/>
  <c r="BQ28" i="9"/>
  <c r="BQ29" i="9"/>
  <c r="BQ30" i="9"/>
  <c r="BQ31" i="9"/>
  <c r="BQ32" i="9"/>
  <c r="BQ33" i="9"/>
  <c r="BQ34" i="9"/>
  <c r="J34" i="11" s="1"/>
  <c r="BQ35" i="9"/>
  <c r="BQ36" i="9"/>
  <c r="BQ37" i="9"/>
  <c r="BQ38" i="9"/>
  <c r="BQ39" i="9"/>
  <c r="BP8" i="9"/>
  <c r="BP9" i="9"/>
  <c r="BP10" i="9"/>
  <c r="BP11" i="9"/>
  <c r="BP12" i="9"/>
  <c r="BP13" i="9"/>
  <c r="BP14" i="9"/>
  <c r="BP15" i="9"/>
  <c r="BP16" i="9"/>
  <c r="BP17" i="9"/>
  <c r="BP18" i="9"/>
  <c r="BP19" i="9"/>
  <c r="BP20" i="9"/>
  <c r="BP21" i="9"/>
  <c r="BP22" i="9"/>
  <c r="BP23" i="9"/>
  <c r="BP24" i="9"/>
  <c r="BP25" i="9"/>
  <c r="BP26" i="9"/>
  <c r="BP27" i="9"/>
  <c r="BP28" i="9"/>
  <c r="BP29" i="9"/>
  <c r="BP30" i="9"/>
  <c r="BP31" i="9"/>
  <c r="BP32" i="9"/>
  <c r="BP33" i="9"/>
  <c r="BP34" i="9"/>
  <c r="BP35" i="9"/>
  <c r="BP36" i="9"/>
  <c r="BP37" i="9"/>
  <c r="BP38" i="9"/>
  <c r="BP39" i="9"/>
  <c r="BP40" i="9"/>
  <c r="BP41" i="9"/>
  <c r="BP42" i="9"/>
  <c r="BP43" i="9"/>
  <c r="BP44" i="9"/>
  <c r="BP45" i="9"/>
  <c r="BP46" i="9"/>
  <c r="BP47" i="9"/>
  <c r="BP48" i="9"/>
  <c r="BP49" i="9"/>
  <c r="BP50" i="9"/>
  <c r="BP51" i="9"/>
  <c r="BP52" i="9"/>
  <c r="BP53" i="9"/>
  <c r="BP54" i="9"/>
  <c r="BP55" i="9"/>
  <c r="BP56" i="9"/>
  <c r="BP57" i="9"/>
  <c r="BP58" i="9"/>
  <c r="BP59" i="9"/>
  <c r="BP60" i="9"/>
  <c r="BP61" i="9"/>
  <c r="BP62" i="9"/>
  <c r="BP63" i="9"/>
  <c r="BP64" i="9"/>
  <c r="BP65" i="9"/>
  <c r="BP66" i="9"/>
  <c r="BP67" i="9"/>
  <c r="BP68" i="9"/>
  <c r="BP69" i="9"/>
  <c r="BP70" i="9"/>
  <c r="BP71" i="9"/>
  <c r="BP72" i="9"/>
  <c r="BP73" i="9"/>
  <c r="BP74" i="9"/>
  <c r="BP75" i="9"/>
  <c r="BP76" i="9"/>
  <c r="BP77" i="9"/>
  <c r="BP78" i="9"/>
  <c r="BP79" i="9"/>
  <c r="BP80" i="9"/>
  <c r="BP81" i="9"/>
  <c r="BP82" i="9"/>
  <c r="BP83" i="9"/>
  <c r="BP84" i="9"/>
  <c r="BP85" i="9"/>
  <c r="BP86" i="9"/>
  <c r="BP87" i="9"/>
  <c r="BP88" i="9"/>
  <c r="BP89" i="9"/>
  <c r="BP90" i="9"/>
  <c r="BP91" i="9"/>
  <c r="BP92" i="9"/>
  <c r="BP93" i="9"/>
  <c r="BP94" i="9"/>
  <c r="BP95" i="9"/>
  <c r="BP96" i="9"/>
  <c r="BP97" i="9"/>
  <c r="BP98" i="9"/>
  <c r="BP99" i="9"/>
  <c r="BP100" i="9"/>
  <c r="BP101" i="9"/>
  <c r="BP102" i="9"/>
  <c r="BP103" i="9"/>
  <c r="BC8" i="9"/>
  <c r="BC9" i="9"/>
  <c r="BC10" i="9"/>
  <c r="BC11" i="9"/>
  <c r="BC12" i="9"/>
  <c r="BC13" i="9"/>
  <c r="BC14" i="9"/>
  <c r="BC15" i="9"/>
  <c r="BC16" i="9"/>
  <c r="BC17" i="9"/>
  <c r="BC18" i="9"/>
  <c r="BC19" i="9"/>
  <c r="BC20" i="9"/>
  <c r="BC21" i="9"/>
  <c r="BC22" i="9"/>
  <c r="BC23" i="9"/>
  <c r="BC24" i="9"/>
  <c r="BC25" i="9"/>
  <c r="BC26" i="9"/>
  <c r="BC27" i="9"/>
  <c r="BC28" i="9"/>
  <c r="BC29" i="9"/>
  <c r="BC30" i="9"/>
  <c r="BC31" i="9"/>
  <c r="BC32" i="9"/>
  <c r="BC33" i="9"/>
  <c r="BC34" i="9"/>
  <c r="BC35" i="9"/>
  <c r="BC36" i="9"/>
  <c r="BC37" i="9"/>
  <c r="BC38" i="9"/>
  <c r="BC39" i="9"/>
  <c r="BC40" i="9"/>
  <c r="BC41" i="9"/>
  <c r="BC42" i="9"/>
  <c r="BC43" i="9"/>
  <c r="BC44" i="9"/>
  <c r="BC45" i="9"/>
  <c r="BC46" i="9"/>
  <c r="BC47" i="9"/>
  <c r="BC48" i="9"/>
  <c r="BC49" i="9"/>
  <c r="BC50" i="9"/>
  <c r="BC51" i="9"/>
  <c r="BC52" i="9"/>
  <c r="BC53" i="9"/>
  <c r="BC54" i="9"/>
  <c r="BC55" i="9"/>
  <c r="BC56" i="9"/>
  <c r="BC57" i="9"/>
  <c r="BC58" i="9"/>
  <c r="BC59" i="9"/>
  <c r="BC60" i="9"/>
  <c r="BC61" i="9"/>
  <c r="BC62" i="9"/>
  <c r="BC63" i="9"/>
  <c r="BC64" i="9"/>
  <c r="BC65" i="9"/>
  <c r="BC66" i="9"/>
  <c r="BC67" i="9"/>
  <c r="BC68" i="9"/>
  <c r="BC69" i="9"/>
  <c r="BC70" i="9"/>
  <c r="BC71" i="9"/>
  <c r="BC72" i="9"/>
  <c r="BC73" i="9"/>
  <c r="BC74" i="9"/>
  <c r="BC75" i="9"/>
  <c r="BC76" i="9"/>
  <c r="BC77" i="9"/>
  <c r="BC78" i="9"/>
  <c r="BC79" i="9"/>
  <c r="BC80" i="9"/>
  <c r="BC81" i="9"/>
  <c r="BC82" i="9"/>
  <c r="BC83" i="9"/>
  <c r="BC84" i="9"/>
  <c r="BC85" i="9"/>
  <c r="BC86" i="9"/>
  <c r="BC87" i="9"/>
  <c r="BC88" i="9"/>
  <c r="BC89" i="9"/>
  <c r="BC90" i="9"/>
  <c r="BC91" i="9"/>
  <c r="BC92" i="9"/>
  <c r="BC93" i="9"/>
  <c r="BC94" i="9"/>
  <c r="BC95" i="9"/>
  <c r="BC96" i="9"/>
  <c r="BC97" i="9"/>
  <c r="BC98" i="9"/>
  <c r="BC99" i="9"/>
  <c r="BC100" i="9"/>
  <c r="BC101" i="9"/>
  <c r="BC102" i="9"/>
  <c r="BC103" i="9"/>
  <c r="AP8" i="9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P44" i="9"/>
  <c r="AP45" i="9"/>
  <c r="AP46" i="9"/>
  <c r="AP47" i="9"/>
  <c r="AP48" i="9"/>
  <c r="AP49" i="9"/>
  <c r="AP50" i="9"/>
  <c r="AP51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P71" i="9"/>
  <c r="AP72" i="9"/>
  <c r="AP73" i="9"/>
  <c r="AP74" i="9"/>
  <c r="AP75" i="9"/>
  <c r="AP76" i="9"/>
  <c r="AP77" i="9"/>
  <c r="AP78" i="9"/>
  <c r="AP79" i="9"/>
  <c r="AP80" i="9"/>
  <c r="AP81" i="9"/>
  <c r="AP82" i="9"/>
  <c r="AP83" i="9"/>
  <c r="AP84" i="9"/>
  <c r="AP85" i="9"/>
  <c r="AP86" i="9"/>
  <c r="AP87" i="9"/>
  <c r="AP88" i="9"/>
  <c r="AP89" i="9"/>
  <c r="AP90" i="9"/>
  <c r="AP91" i="9"/>
  <c r="AP92" i="9"/>
  <c r="AP93" i="9"/>
  <c r="AP94" i="9"/>
  <c r="AP95" i="9"/>
  <c r="AP96" i="9"/>
  <c r="AP97" i="9"/>
  <c r="AP98" i="9"/>
  <c r="AP99" i="9"/>
  <c r="AP100" i="9"/>
  <c r="AP101" i="9"/>
  <c r="AP102" i="9"/>
  <c r="AP103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Q40" i="10"/>
  <c r="R40" i="10"/>
  <c r="Q41" i="10"/>
  <c r="R41" i="10"/>
  <c r="Q42" i="10"/>
  <c r="R42" i="10"/>
  <c r="Q43" i="10"/>
  <c r="R43" i="10"/>
  <c r="Q44" i="10"/>
  <c r="R44" i="10"/>
  <c r="Q45" i="10"/>
  <c r="R45" i="10"/>
  <c r="Q46" i="10"/>
  <c r="R46" i="10"/>
  <c r="Q47" i="10"/>
  <c r="R47" i="10"/>
  <c r="Q48" i="10"/>
  <c r="R48" i="10"/>
  <c r="Q49" i="10"/>
  <c r="R49" i="10"/>
  <c r="Q50" i="10"/>
  <c r="R50" i="10"/>
  <c r="Q51" i="10"/>
  <c r="R51" i="10"/>
  <c r="Q52" i="10"/>
  <c r="R52" i="10"/>
  <c r="Q53" i="10"/>
  <c r="R53" i="10"/>
  <c r="Q54" i="10"/>
  <c r="R54" i="10"/>
  <c r="Q55" i="10"/>
  <c r="R55" i="10"/>
  <c r="Q56" i="10"/>
  <c r="R56" i="10"/>
  <c r="Q57" i="10"/>
  <c r="R57" i="10"/>
  <c r="Q58" i="10"/>
  <c r="R58" i="10"/>
  <c r="Q59" i="10"/>
  <c r="R59" i="10"/>
  <c r="Q60" i="10"/>
  <c r="R60" i="10"/>
  <c r="Q61" i="10"/>
  <c r="R61" i="10"/>
  <c r="Q62" i="10"/>
  <c r="R62" i="10"/>
  <c r="Q63" i="10"/>
  <c r="R63" i="10"/>
  <c r="Q64" i="10"/>
  <c r="R64" i="10"/>
  <c r="Q65" i="10"/>
  <c r="R65" i="10"/>
  <c r="Q66" i="10"/>
  <c r="R66" i="10"/>
  <c r="Q67" i="10"/>
  <c r="R67" i="10"/>
  <c r="Q68" i="10"/>
  <c r="R68" i="10"/>
  <c r="Q69" i="10"/>
  <c r="R69" i="10"/>
  <c r="Q70" i="10"/>
  <c r="R70" i="10"/>
  <c r="Q71" i="10"/>
  <c r="R71" i="10"/>
  <c r="Q72" i="10"/>
  <c r="R72" i="10"/>
  <c r="Q73" i="10"/>
  <c r="R73" i="10"/>
  <c r="Q74" i="10"/>
  <c r="R74" i="10"/>
  <c r="Q75" i="10"/>
  <c r="R75" i="10"/>
  <c r="Q76" i="10"/>
  <c r="R76" i="10"/>
  <c r="Q77" i="10"/>
  <c r="R77" i="10"/>
  <c r="Q78" i="10"/>
  <c r="R78" i="10"/>
  <c r="Q79" i="10"/>
  <c r="R79" i="10"/>
  <c r="Q80" i="10"/>
  <c r="R80" i="10"/>
  <c r="Q81" i="10"/>
  <c r="R81" i="10"/>
  <c r="Q82" i="10"/>
  <c r="R82" i="10"/>
  <c r="K82" i="11" s="1"/>
  <c r="Q83" i="10"/>
  <c r="R83" i="10"/>
  <c r="Q84" i="10"/>
  <c r="R84" i="10"/>
  <c r="Q85" i="10"/>
  <c r="R85" i="10"/>
  <c r="Q86" i="10"/>
  <c r="R86" i="10"/>
  <c r="Q87" i="10"/>
  <c r="R87" i="10"/>
  <c r="Q88" i="10"/>
  <c r="R88" i="10"/>
  <c r="Q89" i="10"/>
  <c r="R89" i="10"/>
  <c r="Q90" i="10"/>
  <c r="R90" i="10"/>
  <c r="Q91" i="10"/>
  <c r="R91" i="10"/>
  <c r="Q92" i="10"/>
  <c r="R92" i="10"/>
  <c r="K92" i="11" s="1"/>
  <c r="Q93" i="10"/>
  <c r="R93" i="10"/>
  <c r="Q94" i="10"/>
  <c r="R94" i="10"/>
  <c r="Q95" i="10"/>
  <c r="R95" i="10"/>
  <c r="Q96" i="10"/>
  <c r="R96" i="10"/>
  <c r="Q97" i="10"/>
  <c r="R97" i="10"/>
  <c r="K97" i="11" s="1"/>
  <c r="Q98" i="10"/>
  <c r="R98" i="10"/>
  <c r="Q99" i="10"/>
  <c r="R99" i="10"/>
  <c r="Q100" i="10"/>
  <c r="R100" i="10"/>
  <c r="Q101" i="10"/>
  <c r="R101" i="10"/>
  <c r="Q102" i="10"/>
  <c r="R102" i="10"/>
  <c r="K102" i="11" s="1"/>
  <c r="Q103" i="10"/>
  <c r="R103" i="10"/>
  <c r="Q5" i="10"/>
  <c r="R5" i="10"/>
  <c r="Q6" i="10"/>
  <c r="R6" i="10"/>
  <c r="Q7" i="10"/>
  <c r="R7" i="10"/>
  <c r="Q8" i="10"/>
  <c r="R8" i="10"/>
  <c r="Q9" i="10"/>
  <c r="R9" i="10"/>
  <c r="Q10" i="10"/>
  <c r="R10" i="10"/>
  <c r="Q11" i="10"/>
  <c r="R11" i="10"/>
  <c r="Q12" i="10"/>
  <c r="R12" i="10"/>
  <c r="Q13" i="10"/>
  <c r="R13" i="10"/>
  <c r="Q14" i="10"/>
  <c r="R14" i="10"/>
  <c r="Q15" i="10"/>
  <c r="R15" i="10"/>
  <c r="Q16" i="10"/>
  <c r="R16" i="10"/>
  <c r="Q17" i="10"/>
  <c r="R17" i="10"/>
  <c r="Q18" i="10"/>
  <c r="R18" i="10"/>
  <c r="Q19" i="10"/>
  <c r="R19" i="10"/>
  <c r="Q20" i="10"/>
  <c r="R20" i="10"/>
  <c r="Q21" i="10"/>
  <c r="R21" i="10"/>
  <c r="Q22" i="10"/>
  <c r="R22" i="10"/>
  <c r="Q23" i="10"/>
  <c r="R23" i="10"/>
  <c r="Q24" i="10"/>
  <c r="R24" i="10"/>
  <c r="Q25" i="10"/>
  <c r="R25" i="10"/>
  <c r="Q26" i="10"/>
  <c r="R26" i="10"/>
  <c r="Q27" i="10"/>
  <c r="R27" i="10"/>
  <c r="Q28" i="10"/>
  <c r="R28" i="10"/>
  <c r="Q29" i="10"/>
  <c r="R29" i="10"/>
  <c r="Q30" i="10"/>
  <c r="R30" i="10"/>
  <c r="Q31" i="10"/>
  <c r="R31" i="10"/>
  <c r="Q32" i="10"/>
  <c r="R32" i="10"/>
  <c r="Q33" i="10"/>
  <c r="R33" i="10"/>
  <c r="Q34" i="10"/>
  <c r="R34" i="10"/>
  <c r="Q35" i="10"/>
  <c r="R35" i="10"/>
  <c r="Q36" i="10"/>
  <c r="R36" i="10"/>
  <c r="Q37" i="10"/>
  <c r="R37" i="10"/>
  <c r="Q38" i="10"/>
  <c r="R38" i="10"/>
  <c r="Q39" i="10"/>
  <c r="R39" i="10"/>
  <c r="N40" i="10"/>
  <c r="O40" i="10"/>
  <c r="N41" i="10"/>
  <c r="O41" i="10"/>
  <c r="N42" i="10"/>
  <c r="O42" i="10"/>
  <c r="N43" i="10"/>
  <c r="O43" i="10"/>
  <c r="N44" i="10"/>
  <c r="O44" i="10"/>
  <c r="N45" i="10"/>
  <c r="O45" i="10"/>
  <c r="N46" i="10"/>
  <c r="O46" i="10"/>
  <c r="N47" i="10"/>
  <c r="O47" i="10"/>
  <c r="N48" i="10"/>
  <c r="O48" i="10"/>
  <c r="N49" i="10"/>
  <c r="O49" i="10"/>
  <c r="N50" i="10"/>
  <c r="O50" i="10"/>
  <c r="N51" i="10"/>
  <c r="O51" i="10"/>
  <c r="N52" i="10"/>
  <c r="O52" i="10"/>
  <c r="N53" i="10"/>
  <c r="O53" i="10"/>
  <c r="N54" i="10"/>
  <c r="O54" i="10"/>
  <c r="N55" i="10"/>
  <c r="O55" i="10"/>
  <c r="N56" i="10"/>
  <c r="O56" i="10"/>
  <c r="N57" i="10"/>
  <c r="O57" i="10"/>
  <c r="N58" i="10"/>
  <c r="O58" i="10"/>
  <c r="N59" i="10"/>
  <c r="O59" i="10"/>
  <c r="N60" i="10"/>
  <c r="O60" i="10"/>
  <c r="N61" i="10"/>
  <c r="O61" i="10"/>
  <c r="N62" i="10"/>
  <c r="O62" i="10"/>
  <c r="N63" i="10"/>
  <c r="O63" i="10"/>
  <c r="N64" i="10"/>
  <c r="O64" i="10"/>
  <c r="N65" i="10"/>
  <c r="O65" i="10"/>
  <c r="N66" i="10"/>
  <c r="O66" i="10"/>
  <c r="N67" i="10"/>
  <c r="O67" i="10"/>
  <c r="N68" i="10"/>
  <c r="O68" i="10"/>
  <c r="N69" i="10"/>
  <c r="O69" i="10"/>
  <c r="N70" i="10"/>
  <c r="O70" i="10"/>
  <c r="N71" i="10"/>
  <c r="O71" i="10"/>
  <c r="N72" i="10"/>
  <c r="O72" i="10"/>
  <c r="N73" i="10"/>
  <c r="O73" i="10"/>
  <c r="N74" i="10"/>
  <c r="O74" i="10"/>
  <c r="N75" i="10"/>
  <c r="O75" i="10"/>
  <c r="N76" i="10"/>
  <c r="O76" i="10"/>
  <c r="N77" i="10"/>
  <c r="O77" i="10"/>
  <c r="N78" i="10"/>
  <c r="O78" i="10"/>
  <c r="N79" i="10"/>
  <c r="O79" i="10"/>
  <c r="N80" i="10"/>
  <c r="O80" i="10"/>
  <c r="N81" i="10"/>
  <c r="O81" i="10"/>
  <c r="N82" i="10"/>
  <c r="O82" i="10"/>
  <c r="N83" i="10"/>
  <c r="O83" i="10"/>
  <c r="N84" i="10"/>
  <c r="O84" i="10"/>
  <c r="N85" i="10"/>
  <c r="O85" i="10"/>
  <c r="N86" i="10"/>
  <c r="O86" i="10"/>
  <c r="N87" i="10"/>
  <c r="O87" i="10"/>
  <c r="N88" i="10"/>
  <c r="O88" i="10"/>
  <c r="N89" i="10"/>
  <c r="O89" i="10"/>
  <c r="N90" i="10"/>
  <c r="O90" i="10"/>
  <c r="N91" i="10"/>
  <c r="O91" i="10"/>
  <c r="N92" i="10"/>
  <c r="O92" i="10"/>
  <c r="N93" i="10"/>
  <c r="O93" i="10"/>
  <c r="N94" i="10"/>
  <c r="O94" i="10"/>
  <c r="N95" i="10"/>
  <c r="O95" i="10"/>
  <c r="N96" i="10"/>
  <c r="O96" i="10"/>
  <c r="N97" i="10"/>
  <c r="O97" i="10"/>
  <c r="N98" i="10"/>
  <c r="O98" i="10"/>
  <c r="N99" i="10"/>
  <c r="O99" i="10"/>
  <c r="N100" i="10"/>
  <c r="O100" i="10"/>
  <c r="N101" i="10"/>
  <c r="O101" i="10"/>
  <c r="N102" i="10"/>
  <c r="O102" i="10"/>
  <c r="N103" i="10"/>
  <c r="O103" i="10"/>
  <c r="N5" i="10"/>
  <c r="O5" i="10"/>
  <c r="N6" i="10"/>
  <c r="O6" i="10"/>
  <c r="N7" i="10"/>
  <c r="O7" i="10"/>
  <c r="N8" i="10"/>
  <c r="O8" i="10"/>
  <c r="N9" i="10"/>
  <c r="O9" i="10"/>
  <c r="N10" i="10"/>
  <c r="O10" i="10"/>
  <c r="N11" i="10"/>
  <c r="O11" i="10"/>
  <c r="N12" i="10"/>
  <c r="O12" i="10"/>
  <c r="N13" i="10"/>
  <c r="O13" i="10"/>
  <c r="N14" i="10"/>
  <c r="O14" i="10"/>
  <c r="N15" i="10"/>
  <c r="O15" i="10"/>
  <c r="N16" i="10"/>
  <c r="O16" i="10"/>
  <c r="N17" i="10"/>
  <c r="O17" i="10"/>
  <c r="N18" i="10"/>
  <c r="O18" i="10"/>
  <c r="N19" i="10"/>
  <c r="O19" i="10"/>
  <c r="N20" i="10"/>
  <c r="O20" i="10"/>
  <c r="N21" i="10"/>
  <c r="O21" i="10"/>
  <c r="N22" i="10"/>
  <c r="O22" i="10"/>
  <c r="N23" i="10"/>
  <c r="O23" i="10"/>
  <c r="N24" i="10"/>
  <c r="O24" i="10"/>
  <c r="N25" i="10"/>
  <c r="O25" i="10"/>
  <c r="N26" i="10"/>
  <c r="O26" i="10"/>
  <c r="N27" i="10"/>
  <c r="O27" i="10"/>
  <c r="N28" i="10"/>
  <c r="O28" i="10"/>
  <c r="N29" i="10"/>
  <c r="O29" i="10"/>
  <c r="N30" i="10"/>
  <c r="O30" i="10"/>
  <c r="N31" i="10"/>
  <c r="O31" i="10"/>
  <c r="N32" i="10"/>
  <c r="O32" i="10"/>
  <c r="N33" i="10"/>
  <c r="O33" i="10"/>
  <c r="N34" i="10"/>
  <c r="O34" i="10"/>
  <c r="N35" i="10"/>
  <c r="O35" i="10"/>
  <c r="N36" i="10"/>
  <c r="O36" i="10"/>
  <c r="N37" i="10"/>
  <c r="O37" i="10"/>
  <c r="N38" i="10"/>
  <c r="O38" i="10"/>
  <c r="N39" i="10"/>
  <c r="O39" i="10"/>
  <c r="K40" i="10"/>
  <c r="L40" i="10"/>
  <c r="K41" i="10"/>
  <c r="L41" i="10"/>
  <c r="K42" i="10"/>
  <c r="L42" i="10"/>
  <c r="K43" i="10"/>
  <c r="L43" i="10"/>
  <c r="K44" i="10"/>
  <c r="L44" i="10"/>
  <c r="K45" i="10"/>
  <c r="L45" i="10"/>
  <c r="K46" i="10"/>
  <c r="L46" i="10"/>
  <c r="K47" i="10"/>
  <c r="L47" i="10"/>
  <c r="K48" i="10"/>
  <c r="L48" i="10"/>
  <c r="K49" i="10"/>
  <c r="L49" i="10"/>
  <c r="K50" i="10"/>
  <c r="L50" i="10"/>
  <c r="K51" i="10"/>
  <c r="L51" i="10"/>
  <c r="K52" i="10"/>
  <c r="L52" i="10"/>
  <c r="K53" i="10"/>
  <c r="L53" i="10"/>
  <c r="K54" i="10"/>
  <c r="L54" i="10"/>
  <c r="K55" i="10"/>
  <c r="L55" i="10"/>
  <c r="K56" i="10"/>
  <c r="L56" i="10"/>
  <c r="K57" i="10"/>
  <c r="L57" i="10"/>
  <c r="K58" i="10"/>
  <c r="L58" i="10"/>
  <c r="K59" i="10"/>
  <c r="L59" i="10"/>
  <c r="K60" i="10"/>
  <c r="L60" i="10"/>
  <c r="K61" i="10"/>
  <c r="L61" i="10"/>
  <c r="K62" i="10"/>
  <c r="L62" i="10"/>
  <c r="K63" i="10"/>
  <c r="L63" i="10"/>
  <c r="K64" i="10"/>
  <c r="L64" i="10"/>
  <c r="K65" i="10"/>
  <c r="L65" i="10"/>
  <c r="K66" i="10"/>
  <c r="L66" i="10"/>
  <c r="K67" i="10"/>
  <c r="L67" i="10"/>
  <c r="K68" i="10"/>
  <c r="L68" i="10"/>
  <c r="K69" i="10"/>
  <c r="L69" i="10"/>
  <c r="K70" i="10"/>
  <c r="L70" i="10"/>
  <c r="K71" i="10"/>
  <c r="L71" i="10"/>
  <c r="K72" i="10"/>
  <c r="L72" i="10"/>
  <c r="K73" i="10"/>
  <c r="L73" i="10"/>
  <c r="K74" i="10"/>
  <c r="L74" i="10"/>
  <c r="K75" i="10"/>
  <c r="L75" i="10"/>
  <c r="K76" i="10"/>
  <c r="L76" i="10"/>
  <c r="K77" i="10"/>
  <c r="L77" i="10"/>
  <c r="K78" i="10"/>
  <c r="L78" i="10"/>
  <c r="K79" i="10"/>
  <c r="L79" i="10"/>
  <c r="K80" i="10"/>
  <c r="L80" i="10"/>
  <c r="K81" i="10"/>
  <c r="L81" i="10"/>
  <c r="K82" i="10"/>
  <c r="L82" i="10"/>
  <c r="K83" i="10"/>
  <c r="L83" i="10"/>
  <c r="K84" i="10"/>
  <c r="L84" i="10"/>
  <c r="K85" i="10"/>
  <c r="L85" i="10"/>
  <c r="K86" i="10"/>
  <c r="L86" i="10"/>
  <c r="K87" i="10"/>
  <c r="L87" i="10"/>
  <c r="K88" i="10"/>
  <c r="L88" i="10"/>
  <c r="K89" i="10"/>
  <c r="L89" i="10"/>
  <c r="K90" i="10"/>
  <c r="L90" i="10"/>
  <c r="K91" i="10"/>
  <c r="L91" i="10"/>
  <c r="K92" i="10"/>
  <c r="L92" i="10"/>
  <c r="K93" i="10"/>
  <c r="L93" i="10"/>
  <c r="K94" i="10"/>
  <c r="L94" i="10"/>
  <c r="K95" i="10"/>
  <c r="L95" i="10"/>
  <c r="K96" i="10"/>
  <c r="L96" i="10"/>
  <c r="K97" i="10"/>
  <c r="L97" i="10"/>
  <c r="K98" i="10"/>
  <c r="L98" i="10"/>
  <c r="K99" i="10"/>
  <c r="L99" i="10"/>
  <c r="K100" i="10"/>
  <c r="L100" i="10"/>
  <c r="K101" i="10"/>
  <c r="L101" i="10"/>
  <c r="K102" i="10"/>
  <c r="L102" i="10"/>
  <c r="K103" i="10"/>
  <c r="L103" i="10"/>
  <c r="K5" i="10"/>
  <c r="L5" i="10"/>
  <c r="K6" i="10"/>
  <c r="L6" i="10"/>
  <c r="K7" i="10"/>
  <c r="L7" i="10"/>
  <c r="K8" i="10"/>
  <c r="L8" i="10"/>
  <c r="K9" i="10"/>
  <c r="L9" i="10"/>
  <c r="K10" i="10"/>
  <c r="L10" i="10"/>
  <c r="K11" i="10"/>
  <c r="L11" i="10"/>
  <c r="K12" i="10"/>
  <c r="L12" i="10"/>
  <c r="K13" i="10"/>
  <c r="L13" i="10"/>
  <c r="K14" i="10"/>
  <c r="L14" i="10"/>
  <c r="K15" i="10"/>
  <c r="L15" i="10"/>
  <c r="K16" i="10"/>
  <c r="L16" i="10"/>
  <c r="K17" i="10"/>
  <c r="L17" i="10"/>
  <c r="K18" i="10"/>
  <c r="L18" i="10"/>
  <c r="K19" i="10"/>
  <c r="L19" i="10"/>
  <c r="K20" i="10"/>
  <c r="L20" i="10"/>
  <c r="K21" i="10"/>
  <c r="L21" i="10"/>
  <c r="K22" i="10"/>
  <c r="L22" i="10"/>
  <c r="K23" i="10"/>
  <c r="L23" i="10"/>
  <c r="K24" i="10"/>
  <c r="L24" i="10"/>
  <c r="K25" i="10"/>
  <c r="L25" i="10"/>
  <c r="K26" i="10"/>
  <c r="L26" i="10"/>
  <c r="K27" i="10"/>
  <c r="L27" i="10"/>
  <c r="K28" i="10"/>
  <c r="L28" i="10"/>
  <c r="K29" i="10"/>
  <c r="L29" i="10"/>
  <c r="K30" i="10"/>
  <c r="L30" i="10"/>
  <c r="K31" i="10"/>
  <c r="L31" i="10"/>
  <c r="K32" i="10"/>
  <c r="L32" i="10"/>
  <c r="K33" i="10"/>
  <c r="L33" i="10"/>
  <c r="K34" i="10"/>
  <c r="L34" i="10"/>
  <c r="K35" i="10"/>
  <c r="L35" i="10"/>
  <c r="K36" i="10"/>
  <c r="L36" i="10"/>
  <c r="K37" i="10"/>
  <c r="L37" i="10"/>
  <c r="K38" i="10"/>
  <c r="L38" i="10"/>
  <c r="K39" i="10"/>
  <c r="L39" i="10"/>
  <c r="H40" i="10"/>
  <c r="I40" i="10"/>
  <c r="H41" i="10"/>
  <c r="I41" i="10"/>
  <c r="H42" i="10"/>
  <c r="I42" i="10"/>
  <c r="H43" i="10"/>
  <c r="I43" i="10"/>
  <c r="H44" i="10"/>
  <c r="I44" i="10"/>
  <c r="H45" i="10"/>
  <c r="I45" i="10"/>
  <c r="H46" i="10"/>
  <c r="I46" i="10"/>
  <c r="H47" i="10"/>
  <c r="I47" i="10"/>
  <c r="H48" i="10"/>
  <c r="I48" i="10"/>
  <c r="H49" i="10"/>
  <c r="I49" i="10"/>
  <c r="H50" i="10"/>
  <c r="I50" i="10"/>
  <c r="H51" i="10"/>
  <c r="I51" i="10"/>
  <c r="H52" i="10"/>
  <c r="I52" i="10"/>
  <c r="H53" i="10"/>
  <c r="I53" i="10"/>
  <c r="H54" i="10"/>
  <c r="I54" i="10"/>
  <c r="H55" i="10"/>
  <c r="I55" i="10"/>
  <c r="H56" i="10"/>
  <c r="I56" i="10"/>
  <c r="H57" i="10"/>
  <c r="I57" i="10"/>
  <c r="H58" i="10"/>
  <c r="I58" i="10"/>
  <c r="H59" i="10"/>
  <c r="I59" i="10"/>
  <c r="H60" i="10"/>
  <c r="I60" i="10"/>
  <c r="H61" i="10"/>
  <c r="I61" i="10"/>
  <c r="H62" i="10"/>
  <c r="I62" i="10"/>
  <c r="H63" i="10"/>
  <c r="I63" i="10"/>
  <c r="H64" i="10"/>
  <c r="I64" i="10"/>
  <c r="H65" i="10"/>
  <c r="I65" i="10"/>
  <c r="H66" i="10"/>
  <c r="I66" i="10"/>
  <c r="H67" i="10"/>
  <c r="I67" i="10"/>
  <c r="H68" i="10"/>
  <c r="I68" i="10"/>
  <c r="H69" i="10"/>
  <c r="I69" i="10"/>
  <c r="H70" i="10"/>
  <c r="I70" i="10"/>
  <c r="H71" i="10"/>
  <c r="I71" i="10"/>
  <c r="H72" i="10"/>
  <c r="I72" i="10"/>
  <c r="H73" i="10"/>
  <c r="I73" i="10"/>
  <c r="H74" i="10"/>
  <c r="I74" i="10"/>
  <c r="H75" i="10"/>
  <c r="I75" i="10"/>
  <c r="H76" i="10"/>
  <c r="I76" i="10"/>
  <c r="H77" i="10"/>
  <c r="I77" i="10"/>
  <c r="H78" i="10"/>
  <c r="I78" i="10"/>
  <c r="H79" i="10"/>
  <c r="I79" i="10"/>
  <c r="H80" i="10"/>
  <c r="I80" i="10"/>
  <c r="H81" i="10"/>
  <c r="I81" i="10"/>
  <c r="H82" i="10"/>
  <c r="I82" i="10"/>
  <c r="H83" i="10"/>
  <c r="I83" i="10"/>
  <c r="H84" i="10"/>
  <c r="I84" i="10"/>
  <c r="H85" i="10"/>
  <c r="I85" i="10"/>
  <c r="H86" i="10"/>
  <c r="I86" i="10"/>
  <c r="H87" i="10"/>
  <c r="I87" i="10"/>
  <c r="H88" i="10"/>
  <c r="I88" i="10"/>
  <c r="H89" i="10"/>
  <c r="I89" i="10"/>
  <c r="H90" i="10"/>
  <c r="I90" i="10"/>
  <c r="H91" i="10"/>
  <c r="I91" i="10"/>
  <c r="H92" i="10"/>
  <c r="I92" i="10"/>
  <c r="H93" i="10"/>
  <c r="I93" i="10"/>
  <c r="H94" i="10"/>
  <c r="I94" i="10"/>
  <c r="H95" i="10"/>
  <c r="I95" i="10"/>
  <c r="H96" i="10"/>
  <c r="I96" i="10"/>
  <c r="H97" i="10"/>
  <c r="I97" i="10"/>
  <c r="H98" i="10"/>
  <c r="I98" i="10"/>
  <c r="H99" i="10"/>
  <c r="I99" i="10"/>
  <c r="H100" i="10"/>
  <c r="I100" i="10"/>
  <c r="H101" i="10"/>
  <c r="I101" i="10"/>
  <c r="H102" i="10"/>
  <c r="I102" i="10"/>
  <c r="H103" i="10"/>
  <c r="I103" i="10"/>
  <c r="H5" i="10"/>
  <c r="I5" i="10"/>
  <c r="H6" i="10"/>
  <c r="I6" i="10"/>
  <c r="H7" i="10"/>
  <c r="I7" i="10"/>
  <c r="H8" i="10"/>
  <c r="I8" i="10"/>
  <c r="H9" i="10"/>
  <c r="I9" i="10"/>
  <c r="H10" i="10"/>
  <c r="I10" i="10"/>
  <c r="H11" i="10"/>
  <c r="I11" i="10"/>
  <c r="H12" i="10"/>
  <c r="I12" i="10"/>
  <c r="H13" i="10"/>
  <c r="I13" i="10"/>
  <c r="H14" i="10"/>
  <c r="I14" i="10"/>
  <c r="H15" i="10"/>
  <c r="I15" i="10"/>
  <c r="H16" i="10"/>
  <c r="I16" i="10"/>
  <c r="H17" i="10"/>
  <c r="I17" i="10"/>
  <c r="H18" i="10"/>
  <c r="I18" i="10"/>
  <c r="H19" i="10"/>
  <c r="I19" i="10"/>
  <c r="H20" i="10"/>
  <c r="I20" i="10"/>
  <c r="H21" i="10"/>
  <c r="I21" i="10"/>
  <c r="H22" i="10"/>
  <c r="I22" i="10"/>
  <c r="H23" i="10"/>
  <c r="I23" i="10"/>
  <c r="H24" i="10"/>
  <c r="I24" i="10"/>
  <c r="H25" i="10"/>
  <c r="I25" i="10"/>
  <c r="H26" i="10"/>
  <c r="I26" i="10"/>
  <c r="H27" i="10"/>
  <c r="I27" i="10"/>
  <c r="H28" i="10"/>
  <c r="I28" i="10"/>
  <c r="H29" i="10"/>
  <c r="I29" i="10"/>
  <c r="H30" i="10"/>
  <c r="I30" i="10"/>
  <c r="H31" i="10"/>
  <c r="I31" i="10"/>
  <c r="H32" i="10"/>
  <c r="I32" i="10"/>
  <c r="H33" i="10"/>
  <c r="I33" i="10"/>
  <c r="H34" i="10"/>
  <c r="I34" i="10"/>
  <c r="H35" i="10"/>
  <c r="I35" i="10"/>
  <c r="H36" i="10"/>
  <c r="I36" i="10"/>
  <c r="H37" i="10"/>
  <c r="I37" i="10"/>
  <c r="H38" i="10"/>
  <c r="I38" i="10"/>
  <c r="H39" i="10"/>
  <c r="I39" i="10"/>
  <c r="E40" i="10"/>
  <c r="F40" i="10"/>
  <c r="E41" i="10"/>
  <c r="F41" i="10"/>
  <c r="E42" i="10"/>
  <c r="F42" i="10"/>
  <c r="E43" i="10"/>
  <c r="F43" i="10"/>
  <c r="E44" i="10"/>
  <c r="F44" i="10"/>
  <c r="E45" i="10"/>
  <c r="F45" i="10"/>
  <c r="E46" i="10"/>
  <c r="F46" i="10"/>
  <c r="E47" i="10"/>
  <c r="F47" i="10"/>
  <c r="E48" i="10"/>
  <c r="F48" i="10"/>
  <c r="E49" i="10"/>
  <c r="F49" i="10"/>
  <c r="E50" i="10"/>
  <c r="F50" i="10"/>
  <c r="E51" i="10"/>
  <c r="F51" i="10"/>
  <c r="E52" i="10"/>
  <c r="F52" i="10"/>
  <c r="E53" i="10"/>
  <c r="F53" i="10"/>
  <c r="E54" i="10"/>
  <c r="F54" i="10"/>
  <c r="E55" i="10"/>
  <c r="F55" i="10"/>
  <c r="E56" i="10"/>
  <c r="F56" i="10"/>
  <c r="E57" i="10"/>
  <c r="F57" i="10"/>
  <c r="E58" i="10"/>
  <c r="F58" i="10"/>
  <c r="E59" i="10"/>
  <c r="F59" i="10"/>
  <c r="E60" i="10"/>
  <c r="F60" i="10"/>
  <c r="E61" i="10"/>
  <c r="F61" i="10"/>
  <c r="E62" i="10"/>
  <c r="F62" i="10"/>
  <c r="E63" i="10"/>
  <c r="F63" i="10"/>
  <c r="E64" i="10"/>
  <c r="F64" i="10"/>
  <c r="E65" i="10"/>
  <c r="F65" i="10"/>
  <c r="E66" i="10"/>
  <c r="F66" i="10"/>
  <c r="E67" i="10"/>
  <c r="F67" i="10"/>
  <c r="E68" i="10"/>
  <c r="F68" i="10"/>
  <c r="E69" i="10"/>
  <c r="F69" i="10"/>
  <c r="E70" i="10"/>
  <c r="F70" i="10"/>
  <c r="E71" i="10"/>
  <c r="F71" i="10"/>
  <c r="E72" i="10"/>
  <c r="F72" i="10"/>
  <c r="E73" i="10"/>
  <c r="F73" i="10"/>
  <c r="E74" i="10"/>
  <c r="F74" i="10"/>
  <c r="E75" i="10"/>
  <c r="F75" i="10"/>
  <c r="E76" i="10"/>
  <c r="F76" i="10"/>
  <c r="E77" i="10"/>
  <c r="F77" i="10"/>
  <c r="E78" i="10"/>
  <c r="F78" i="10"/>
  <c r="E79" i="10"/>
  <c r="F79" i="10"/>
  <c r="E80" i="10"/>
  <c r="F80" i="10"/>
  <c r="E81" i="10"/>
  <c r="F81" i="10"/>
  <c r="E82" i="10"/>
  <c r="F82" i="10"/>
  <c r="E83" i="10"/>
  <c r="F83" i="10"/>
  <c r="E84" i="10"/>
  <c r="F84" i="10"/>
  <c r="E85" i="10"/>
  <c r="F85" i="10"/>
  <c r="E86" i="10"/>
  <c r="F86" i="10"/>
  <c r="E87" i="10"/>
  <c r="F87" i="10"/>
  <c r="E88" i="10"/>
  <c r="F88" i="10"/>
  <c r="E89" i="10"/>
  <c r="F89" i="10"/>
  <c r="E90" i="10"/>
  <c r="F90" i="10"/>
  <c r="E91" i="10"/>
  <c r="F91" i="10"/>
  <c r="E92" i="10"/>
  <c r="F92" i="10"/>
  <c r="E93" i="10"/>
  <c r="F93" i="10"/>
  <c r="E94" i="10"/>
  <c r="F94" i="10"/>
  <c r="E95" i="10"/>
  <c r="F95" i="10"/>
  <c r="E96" i="10"/>
  <c r="F96" i="10"/>
  <c r="E97" i="10"/>
  <c r="F97" i="10"/>
  <c r="E98" i="10"/>
  <c r="F98" i="10"/>
  <c r="E99" i="10"/>
  <c r="F99" i="10"/>
  <c r="E100" i="10"/>
  <c r="F100" i="10"/>
  <c r="E101" i="10"/>
  <c r="F101" i="10"/>
  <c r="E102" i="10"/>
  <c r="F102" i="10"/>
  <c r="E103" i="10"/>
  <c r="F103" i="10"/>
  <c r="E5" i="10"/>
  <c r="F5" i="10"/>
  <c r="E6" i="10"/>
  <c r="F6" i="10"/>
  <c r="E7" i="10"/>
  <c r="F7" i="10"/>
  <c r="E8" i="10"/>
  <c r="F8" i="10"/>
  <c r="E9" i="10"/>
  <c r="F9" i="10"/>
  <c r="E10" i="10"/>
  <c r="F10" i="10"/>
  <c r="E11" i="10"/>
  <c r="F11" i="10"/>
  <c r="E12" i="10"/>
  <c r="F12" i="10"/>
  <c r="E13" i="10"/>
  <c r="F13" i="10"/>
  <c r="E14" i="10"/>
  <c r="F14" i="10"/>
  <c r="E15" i="10"/>
  <c r="F15" i="10"/>
  <c r="E16" i="10"/>
  <c r="F16" i="10"/>
  <c r="E17" i="10"/>
  <c r="F17" i="10"/>
  <c r="E18" i="10"/>
  <c r="F18" i="10"/>
  <c r="E19" i="10"/>
  <c r="F19" i="10"/>
  <c r="E20" i="10"/>
  <c r="F20" i="10"/>
  <c r="E21" i="10"/>
  <c r="F21" i="10"/>
  <c r="E22" i="10"/>
  <c r="F22" i="10"/>
  <c r="E23" i="10"/>
  <c r="F23" i="10"/>
  <c r="E24" i="10"/>
  <c r="F24" i="10"/>
  <c r="E25" i="10"/>
  <c r="F25" i="10"/>
  <c r="E26" i="10"/>
  <c r="F26" i="10"/>
  <c r="E27" i="10"/>
  <c r="F27" i="10"/>
  <c r="E28" i="10"/>
  <c r="F28" i="10"/>
  <c r="E29" i="10"/>
  <c r="F29" i="10"/>
  <c r="E30" i="10"/>
  <c r="F30" i="10"/>
  <c r="E31" i="10"/>
  <c r="F31" i="10"/>
  <c r="E32" i="10"/>
  <c r="F32" i="10"/>
  <c r="E33" i="10"/>
  <c r="F33" i="10"/>
  <c r="E34" i="10"/>
  <c r="F34" i="10"/>
  <c r="E35" i="10"/>
  <c r="F35" i="10"/>
  <c r="E36" i="10"/>
  <c r="F36" i="10"/>
  <c r="E37" i="10"/>
  <c r="F37" i="10"/>
  <c r="E38" i="10"/>
  <c r="F38" i="10"/>
  <c r="E39" i="10"/>
  <c r="F39" i="10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O40" i="8"/>
  <c r="O41" i="8"/>
  <c r="O42" i="8"/>
  <c r="O43" i="8"/>
  <c r="O44" i="8"/>
  <c r="O45" i="8"/>
  <c r="O46" i="8"/>
  <c r="O47" i="8"/>
  <c r="S47" i="8" s="1"/>
  <c r="I47" i="11" s="1"/>
  <c r="O48" i="8"/>
  <c r="O49" i="8"/>
  <c r="O50" i="8"/>
  <c r="O51" i="8"/>
  <c r="O52" i="8"/>
  <c r="O53" i="8"/>
  <c r="O54" i="8"/>
  <c r="O55" i="8"/>
  <c r="O56" i="8"/>
  <c r="O57" i="8"/>
  <c r="S57" i="8" s="1"/>
  <c r="O58" i="8"/>
  <c r="O59" i="8"/>
  <c r="O60" i="8"/>
  <c r="O61" i="8"/>
  <c r="O62" i="8"/>
  <c r="O63" i="8"/>
  <c r="O64" i="8"/>
  <c r="O65" i="8"/>
  <c r="O66" i="8"/>
  <c r="O67" i="8"/>
  <c r="S67" i="8" s="1"/>
  <c r="O68" i="8"/>
  <c r="O69" i="8"/>
  <c r="O70" i="8"/>
  <c r="O71" i="8"/>
  <c r="O72" i="8"/>
  <c r="O73" i="8"/>
  <c r="O74" i="8"/>
  <c r="O75" i="8"/>
  <c r="O76" i="8"/>
  <c r="O77" i="8"/>
  <c r="S77" i="8" s="1"/>
  <c r="I77" i="11" s="1"/>
  <c r="O78" i="8"/>
  <c r="O79" i="8"/>
  <c r="O80" i="8"/>
  <c r="O81" i="8"/>
  <c r="O82" i="8"/>
  <c r="O83" i="8"/>
  <c r="O84" i="8"/>
  <c r="O85" i="8"/>
  <c r="O86" i="8"/>
  <c r="O87" i="8"/>
  <c r="S87" i="8" s="1"/>
  <c r="I87" i="11" s="1"/>
  <c r="O88" i="8"/>
  <c r="O89" i="8"/>
  <c r="O90" i="8"/>
  <c r="O91" i="8"/>
  <c r="O92" i="8"/>
  <c r="O93" i="8"/>
  <c r="O94" i="8"/>
  <c r="O95" i="8"/>
  <c r="O96" i="8"/>
  <c r="O97" i="8"/>
  <c r="S97" i="8" s="1"/>
  <c r="O98" i="8"/>
  <c r="O99" i="8"/>
  <c r="O100" i="8"/>
  <c r="O101" i="8"/>
  <c r="O102" i="8"/>
  <c r="O103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5" i="8"/>
  <c r="I6" i="8"/>
  <c r="I7" i="8"/>
  <c r="I8" i="8"/>
  <c r="I9" i="8"/>
  <c r="I10" i="8"/>
  <c r="S10" i="8" s="1"/>
  <c r="I10" i="11" s="1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S30" i="8" s="1"/>
  <c r="I30" i="11" s="1"/>
  <c r="I31" i="8"/>
  <c r="I32" i="8"/>
  <c r="I33" i="8"/>
  <c r="I34" i="8"/>
  <c r="I35" i="8"/>
  <c r="I36" i="8"/>
  <c r="I37" i="8"/>
  <c r="I38" i="8"/>
  <c r="I39" i="8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S102" i="8" s="1"/>
  <c r="I102" i="11" s="1"/>
  <c r="F103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S19" i="8" s="1"/>
  <c r="I19" i="11" s="1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E4" i="4"/>
  <c r="E5" i="4"/>
  <c r="E6" i="4"/>
  <c r="P4" i="5"/>
  <c r="P5" i="5"/>
  <c r="P6" i="5"/>
  <c r="BQ6" i="5" s="1"/>
  <c r="F6" i="11" s="1"/>
  <c r="P7" i="5"/>
  <c r="P8" i="5"/>
  <c r="BQ8" i="5" s="1"/>
  <c r="F8" i="11" s="1"/>
  <c r="BQ5" i="5"/>
  <c r="F5" i="11" s="1"/>
  <c r="P9" i="5"/>
  <c r="BQ9" i="5" s="1"/>
  <c r="F9" i="11" s="1"/>
  <c r="P10" i="5"/>
  <c r="P11" i="5"/>
  <c r="BQ11" i="5" s="1"/>
  <c r="F11" i="11" s="1"/>
  <c r="P12" i="5"/>
  <c r="BQ12" i="5" s="1"/>
  <c r="F12" i="11" s="1"/>
  <c r="P13" i="5"/>
  <c r="BQ13" i="5" s="1"/>
  <c r="F13" i="11" s="1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BQ28" i="5" s="1"/>
  <c r="F28" i="11" s="1"/>
  <c r="P29" i="5"/>
  <c r="BQ29" i="5" s="1"/>
  <c r="F29" i="11" s="1"/>
  <c r="P30" i="5"/>
  <c r="P31" i="5"/>
  <c r="BQ31" i="5" s="1"/>
  <c r="F31" i="11" s="1"/>
  <c r="P32" i="5"/>
  <c r="BQ32" i="5" s="1"/>
  <c r="F32" i="11" s="1"/>
  <c r="P33" i="5"/>
  <c r="P34" i="5"/>
  <c r="P35" i="5"/>
  <c r="P36" i="5"/>
  <c r="P37" i="5"/>
  <c r="P38" i="5"/>
  <c r="BQ38" i="5" s="1"/>
  <c r="F38" i="11" s="1"/>
  <c r="P39" i="5"/>
  <c r="P40" i="5"/>
  <c r="BQ40" i="5" s="1"/>
  <c r="F40" i="11" s="1"/>
  <c r="P41" i="5"/>
  <c r="P42" i="5"/>
  <c r="P43" i="5"/>
  <c r="BQ43" i="5" s="1"/>
  <c r="F43" i="11" s="1"/>
  <c r="P44" i="5"/>
  <c r="P45" i="5"/>
  <c r="P46" i="5"/>
  <c r="P47" i="5"/>
  <c r="P48" i="5"/>
  <c r="BQ48" i="5" s="1"/>
  <c r="F48" i="11" s="1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BQ7" i="5"/>
  <c r="F7" i="11" s="1"/>
  <c r="BQ10" i="5"/>
  <c r="F10" i="11" s="1"/>
  <c r="BQ14" i="5"/>
  <c r="F14" i="11" s="1"/>
  <c r="BQ18" i="5"/>
  <c r="F18" i="11" s="1"/>
  <c r="BQ20" i="5"/>
  <c r="F20" i="11" s="1"/>
  <c r="BQ21" i="5"/>
  <c r="F21" i="11" s="1"/>
  <c r="BQ22" i="5"/>
  <c r="F22" i="11" s="1"/>
  <c r="BQ24" i="5"/>
  <c r="F24" i="11" s="1"/>
  <c r="BQ34" i="5"/>
  <c r="F34" i="11" s="1"/>
  <c r="BQ41" i="5"/>
  <c r="F41" i="11" s="1"/>
  <c r="BQ42" i="5"/>
  <c r="F42" i="11" s="1"/>
  <c r="BQ15" i="5"/>
  <c r="F15" i="11" s="1"/>
  <c r="BQ16" i="5"/>
  <c r="F16" i="11" s="1"/>
  <c r="BQ17" i="5"/>
  <c r="F17" i="11" s="1"/>
  <c r="BQ19" i="5"/>
  <c r="F19" i="11" s="1"/>
  <c r="BQ23" i="5"/>
  <c r="BQ25" i="5"/>
  <c r="BQ26" i="5"/>
  <c r="F26" i="11" s="1"/>
  <c r="BQ27" i="5"/>
  <c r="F27" i="11" s="1"/>
  <c r="BQ30" i="5"/>
  <c r="F30" i="11" s="1"/>
  <c r="BQ33" i="5"/>
  <c r="F33" i="11" s="1"/>
  <c r="BQ35" i="5"/>
  <c r="F35" i="11" s="1"/>
  <c r="BQ36" i="5"/>
  <c r="F36" i="11" s="1"/>
  <c r="BQ37" i="5"/>
  <c r="F37" i="11" s="1"/>
  <c r="BQ39" i="5"/>
  <c r="F39" i="11" s="1"/>
  <c r="BQ44" i="5"/>
  <c r="F44" i="11" s="1"/>
  <c r="BQ45" i="5"/>
  <c r="BQ46" i="5"/>
  <c r="BQ47" i="5"/>
  <c r="F47" i="11" s="1"/>
  <c r="BQ49" i="5"/>
  <c r="F49" i="11" s="1"/>
  <c r="BQ50" i="5"/>
  <c r="F50" i="11" s="1"/>
  <c r="BQ51" i="5"/>
  <c r="F51" i="11" s="1"/>
  <c r="BQ52" i="5"/>
  <c r="F52" i="11" s="1"/>
  <c r="BQ53" i="5"/>
  <c r="F53" i="11" s="1"/>
  <c r="BQ54" i="5"/>
  <c r="BQ55" i="5"/>
  <c r="BQ56" i="5"/>
  <c r="F56" i="11" s="1"/>
  <c r="BQ57" i="5"/>
  <c r="F57" i="11" s="1"/>
  <c r="BQ58" i="5"/>
  <c r="F58" i="11" s="1"/>
  <c r="BQ59" i="5"/>
  <c r="F59" i="11" s="1"/>
  <c r="BQ60" i="5"/>
  <c r="F60" i="11" s="1"/>
  <c r="BQ61" i="5"/>
  <c r="F61" i="11" s="1"/>
  <c r="BQ62" i="5"/>
  <c r="F62" i="11" s="1"/>
  <c r="BQ63" i="5"/>
  <c r="F63" i="11" s="1"/>
  <c r="BQ64" i="5"/>
  <c r="BQ65" i="5"/>
  <c r="BQ66" i="5"/>
  <c r="BQ67" i="5"/>
  <c r="F67" i="11" s="1"/>
  <c r="BQ68" i="5"/>
  <c r="F68" i="11" s="1"/>
  <c r="BQ69" i="5"/>
  <c r="F69" i="11" s="1"/>
  <c r="BQ70" i="5"/>
  <c r="BQ71" i="5"/>
  <c r="F71" i="11" s="1"/>
  <c r="BQ72" i="5"/>
  <c r="F72" i="11" s="1"/>
  <c r="BQ73" i="5"/>
  <c r="F73" i="11" s="1"/>
  <c r="BQ74" i="5"/>
  <c r="BQ75" i="5"/>
  <c r="BQ76" i="5"/>
  <c r="BQ77" i="5"/>
  <c r="F77" i="11" s="1"/>
  <c r="BQ78" i="5"/>
  <c r="F78" i="11" s="1"/>
  <c r="BQ79" i="5"/>
  <c r="F79" i="11" s="1"/>
  <c r="BQ80" i="5"/>
  <c r="F80" i="11" s="1"/>
  <c r="BQ81" i="5"/>
  <c r="F81" i="11" s="1"/>
  <c r="BQ82" i="5"/>
  <c r="F82" i="11" s="1"/>
  <c r="BQ83" i="5"/>
  <c r="F83" i="11" s="1"/>
  <c r="BQ84" i="5"/>
  <c r="BQ85" i="5"/>
  <c r="BQ86" i="5"/>
  <c r="BQ87" i="5"/>
  <c r="F87" i="11" s="1"/>
  <c r="BQ88" i="5"/>
  <c r="F88" i="11" s="1"/>
  <c r="BQ89" i="5"/>
  <c r="F89" i="11" s="1"/>
  <c r="BQ90" i="5"/>
  <c r="F90" i="11" s="1"/>
  <c r="BQ91" i="5"/>
  <c r="F91" i="11" s="1"/>
  <c r="BQ92" i="5"/>
  <c r="F92" i="11" s="1"/>
  <c r="BQ93" i="5"/>
  <c r="F93" i="11" s="1"/>
  <c r="BQ94" i="5"/>
  <c r="F94" i="11" s="1"/>
  <c r="BQ95" i="5"/>
  <c r="BQ96" i="5"/>
  <c r="BQ97" i="5"/>
  <c r="F97" i="11" s="1"/>
  <c r="BQ98" i="5"/>
  <c r="F98" i="11" s="1"/>
  <c r="BQ99" i="5"/>
  <c r="F99" i="11" s="1"/>
  <c r="BQ100" i="5"/>
  <c r="BQ101" i="5"/>
  <c r="F101" i="11" s="1"/>
  <c r="BQ102" i="5"/>
  <c r="F102" i="11" s="1"/>
  <c r="BQ103" i="5"/>
  <c r="F103" i="11" s="1"/>
  <c r="BP5" i="5"/>
  <c r="BP6" i="5"/>
  <c r="BP7" i="5"/>
  <c r="BP8" i="5"/>
  <c r="BP9" i="5"/>
  <c r="BP10" i="5"/>
  <c r="BP11" i="5"/>
  <c r="BP12" i="5"/>
  <c r="BP13" i="5"/>
  <c r="BP14" i="5"/>
  <c r="BP15" i="5"/>
  <c r="BP16" i="5"/>
  <c r="BP17" i="5"/>
  <c r="BP18" i="5"/>
  <c r="BP19" i="5"/>
  <c r="BP20" i="5"/>
  <c r="BP21" i="5"/>
  <c r="BP22" i="5"/>
  <c r="BP23" i="5"/>
  <c r="BP24" i="5"/>
  <c r="BP25" i="5"/>
  <c r="BP26" i="5"/>
  <c r="BP27" i="5"/>
  <c r="BP28" i="5"/>
  <c r="BP29" i="5"/>
  <c r="BP30" i="5"/>
  <c r="BP31" i="5"/>
  <c r="BP32" i="5"/>
  <c r="BP33" i="5"/>
  <c r="BP34" i="5"/>
  <c r="BP35" i="5"/>
  <c r="BP36" i="5"/>
  <c r="BP37" i="5"/>
  <c r="BP38" i="5"/>
  <c r="BP39" i="5"/>
  <c r="BP40" i="5"/>
  <c r="BP41" i="5"/>
  <c r="BP42" i="5"/>
  <c r="BP43" i="5"/>
  <c r="BP44" i="5"/>
  <c r="BP45" i="5"/>
  <c r="BP46" i="5"/>
  <c r="BP47" i="5"/>
  <c r="BP48" i="5"/>
  <c r="BP49" i="5"/>
  <c r="BP50" i="5"/>
  <c r="BP51" i="5"/>
  <c r="BP52" i="5"/>
  <c r="BP53" i="5"/>
  <c r="BP54" i="5"/>
  <c r="BP55" i="5"/>
  <c r="BP56" i="5"/>
  <c r="BP57" i="5"/>
  <c r="BP58" i="5"/>
  <c r="BP59" i="5"/>
  <c r="BP60" i="5"/>
  <c r="BP61" i="5"/>
  <c r="BP62" i="5"/>
  <c r="BP63" i="5"/>
  <c r="BP64" i="5"/>
  <c r="BP65" i="5"/>
  <c r="BP66" i="5"/>
  <c r="BP67" i="5"/>
  <c r="BP68" i="5"/>
  <c r="BP69" i="5"/>
  <c r="BP70" i="5"/>
  <c r="BP71" i="5"/>
  <c r="BP72" i="5"/>
  <c r="BP73" i="5"/>
  <c r="BP74" i="5"/>
  <c r="BP75" i="5"/>
  <c r="BP76" i="5"/>
  <c r="BP77" i="5"/>
  <c r="BP78" i="5"/>
  <c r="BP79" i="5"/>
  <c r="BP80" i="5"/>
  <c r="BP81" i="5"/>
  <c r="BP82" i="5"/>
  <c r="BP83" i="5"/>
  <c r="BP84" i="5"/>
  <c r="BP85" i="5"/>
  <c r="BP86" i="5"/>
  <c r="BP87" i="5"/>
  <c r="BP88" i="5"/>
  <c r="BP89" i="5"/>
  <c r="BP90" i="5"/>
  <c r="BP91" i="5"/>
  <c r="BP92" i="5"/>
  <c r="BP93" i="5"/>
  <c r="BP94" i="5"/>
  <c r="BP95" i="5"/>
  <c r="BP96" i="5"/>
  <c r="BP97" i="5"/>
  <c r="BP98" i="5"/>
  <c r="BP99" i="5"/>
  <c r="BP100" i="5"/>
  <c r="BP101" i="5"/>
  <c r="BP102" i="5"/>
  <c r="BP103" i="5"/>
  <c r="BC5" i="5"/>
  <c r="BC6" i="5"/>
  <c r="BC7" i="5"/>
  <c r="BC8" i="5"/>
  <c r="BC9" i="5"/>
  <c r="BC10" i="5"/>
  <c r="BC11" i="5"/>
  <c r="BC12" i="5"/>
  <c r="BC13" i="5"/>
  <c r="BC14" i="5"/>
  <c r="BC15" i="5"/>
  <c r="BC16" i="5"/>
  <c r="BC17" i="5"/>
  <c r="BC18" i="5"/>
  <c r="BC19" i="5"/>
  <c r="BC20" i="5"/>
  <c r="BC21" i="5"/>
  <c r="BC22" i="5"/>
  <c r="BC23" i="5"/>
  <c r="BC24" i="5"/>
  <c r="BC25" i="5"/>
  <c r="BC26" i="5"/>
  <c r="BC27" i="5"/>
  <c r="BC28" i="5"/>
  <c r="BC29" i="5"/>
  <c r="BC30" i="5"/>
  <c r="BC31" i="5"/>
  <c r="BC32" i="5"/>
  <c r="BC33" i="5"/>
  <c r="BC34" i="5"/>
  <c r="BC35" i="5"/>
  <c r="BC36" i="5"/>
  <c r="BC37" i="5"/>
  <c r="BC38" i="5"/>
  <c r="BC39" i="5"/>
  <c r="BC40" i="5"/>
  <c r="BC41" i="5"/>
  <c r="BC42" i="5"/>
  <c r="BC43" i="5"/>
  <c r="BC44" i="5"/>
  <c r="BC45" i="5"/>
  <c r="BC46" i="5"/>
  <c r="BC47" i="5"/>
  <c r="BC48" i="5"/>
  <c r="BC49" i="5"/>
  <c r="BC50" i="5"/>
  <c r="BC51" i="5"/>
  <c r="BC52" i="5"/>
  <c r="BC53" i="5"/>
  <c r="BC54" i="5"/>
  <c r="BC55" i="5"/>
  <c r="BC56" i="5"/>
  <c r="BC57" i="5"/>
  <c r="BC58" i="5"/>
  <c r="BC59" i="5"/>
  <c r="BC60" i="5"/>
  <c r="BC61" i="5"/>
  <c r="BC62" i="5"/>
  <c r="BC63" i="5"/>
  <c r="BC64" i="5"/>
  <c r="BC65" i="5"/>
  <c r="BC66" i="5"/>
  <c r="BC67" i="5"/>
  <c r="BC68" i="5"/>
  <c r="BC69" i="5"/>
  <c r="BC70" i="5"/>
  <c r="BC71" i="5"/>
  <c r="BC72" i="5"/>
  <c r="BC73" i="5"/>
  <c r="BC74" i="5"/>
  <c r="BC75" i="5"/>
  <c r="BC76" i="5"/>
  <c r="BC77" i="5"/>
  <c r="BC78" i="5"/>
  <c r="BC79" i="5"/>
  <c r="BC80" i="5"/>
  <c r="BC81" i="5"/>
  <c r="BC82" i="5"/>
  <c r="BC83" i="5"/>
  <c r="BC84" i="5"/>
  <c r="BC85" i="5"/>
  <c r="BC86" i="5"/>
  <c r="BC87" i="5"/>
  <c r="BC88" i="5"/>
  <c r="BC89" i="5"/>
  <c r="BC90" i="5"/>
  <c r="BC91" i="5"/>
  <c r="BC92" i="5"/>
  <c r="BC93" i="5"/>
  <c r="BC94" i="5"/>
  <c r="BC95" i="5"/>
  <c r="BC96" i="5"/>
  <c r="BC97" i="5"/>
  <c r="BC98" i="5"/>
  <c r="BC99" i="5"/>
  <c r="BC100" i="5"/>
  <c r="BC101" i="5"/>
  <c r="BC102" i="5"/>
  <c r="BC103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BP5" i="7"/>
  <c r="BP6" i="7"/>
  <c r="BP7" i="7"/>
  <c r="BP8" i="7"/>
  <c r="BP9" i="7"/>
  <c r="BP10" i="7"/>
  <c r="BC5" i="7"/>
  <c r="BC6" i="7"/>
  <c r="BC7" i="7"/>
  <c r="BC8" i="7"/>
  <c r="BC9" i="7"/>
  <c r="BC10" i="7"/>
  <c r="AP5" i="7"/>
  <c r="AP6" i="7"/>
  <c r="AP7" i="7"/>
  <c r="AP8" i="7"/>
  <c r="AP9" i="7"/>
  <c r="AC5" i="7"/>
  <c r="AC6" i="7"/>
  <c r="AC7" i="7"/>
  <c r="AC8" i="7"/>
  <c r="AC9" i="7"/>
  <c r="AC10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BP5" i="9"/>
  <c r="BP6" i="9"/>
  <c r="BP7" i="9"/>
  <c r="BC5" i="9"/>
  <c r="BC6" i="9"/>
  <c r="BC7" i="9"/>
  <c r="AP5" i="9"/>
  <c r="AP6" i="9"/>
  <c r="AP7" i="9"/>
  <c r="AC5" i="9"/>
  <c r="AC6" i="9"/>
  <c r="AC7" i="9"/>
  <c r="AC8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BP4" i="9"/>
  <c r="BC4" i="9"/>
  <c r="AP4" i="9"/>
  <c r="AC4" i="9"/>
  <c r="P4" i="9"/>
  <c r="BP4" i="7"/>
  <c r="BC4" i="7"/>
  <c r="AP4" i="7"/>
  <c r="P4" i="7"/>
  <c r="AC4" i="7"/>
  <c r="BP4" i="5"/>
  <c r="BC4" i="5"/>
  <c r="AP4" i="5"/>
  <c r="AC4" i="5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W4" i="3"/>
  <c r="U4" i="3"/>
  <c r="S4" i="3"/>
  <c r="Q4" i="3"/>
  <c r="O4" i="3"/>
  <c r="M4" i="3"/>
  <c r="K4" i="3"/>
  <c r="I4" i="3"/>
  <c r="G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4" i="3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S17" i="6"/>
  <c r="S18" i="6"/>
  <c r="S19" i="6"/>
  <c r="S20" i="6"/>
  <c r="S21" i="6"/>
  <c r="S22" i="6"/>
  <c r="G22" i="11" s="1"/>
  <c r="S23" i="6"/>
  <c r="S24" i="6"/>
  <c r="S25" i="6"/>
  <c r="S26" i="6"/>
  <c r="S27" i="6"/>
  <c r="S28" i="6"/>
  <c r="S29" i="6"/>
  <c r="S30" i="6"/>
  <c r="S31" i="6"/>
  <c r="S32" i="6"/>
  <c r="G32" i="11" s="1"/>
  <c r="S33" i="6"/>
  <c r="G33" i="11" s="1"/>
  <c r="S34" i="6"/>
  <c r="S35" i="6"/>
  <c r="S36" i="6"/>
  <c r="S37" i="6"/>
  <c r="S38" i="6"/>
  <c r="S39" i="6"/>
  <c r="G39" i="11" s="1"/>
  <c r="R6" i="6"/>
  <c r="R7" i="6"/>
  <c r="R10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Q5" i="6"/>
  <c r="R5" i="6" s="1"/>
  <c r="Q6" i="6"/>
  <c r="Q7" i="6"/>
  <c r="Q8" i="6"/>
  <c r="R8" i="6" s="1"/>
  <c r="Q9" i="6"/>
  <c r="R9" i="6" s="1"/>
  <c r="Q10" i="6"/>
  <c r="Q11" i="6"/>
  <c r="R11" i="6" s="1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O12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N5" i="6"/>
  <c r="O5" i="6" s="1"/>
  <c r="N6" i="6"/>
  <c r="O6" i="6" s="1"/>
  <c r="N7" i="6"/>
  <c r="O7" i="6" s="1"/>
  <c r="N8" i="6"/>
  <c r="O8" i="6" s="1"/>
  <c r="N9" i="6"/>
  <c r="O9" i="6" s="1"/>
  <c r="N10" i="6"/>
  <c r="O10" i="6" s="1"/>
  <c r="N11" i="6"/>
  <c r="O11" i="6" s="1"/>
  <c r="N12" i="6"/>
  <c r="N13" i="6"/>
  <c r="O13" i="6" s="1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H5" i="6"/>
  <c r="I5" i="6" s="1"/>
  <c r="H6" i="6"/>
  <c r="I6" i="6" s="1"/>
  <c r="H7" i="6"/>
  <c r="I7" i="6" s="1"/>
  <c r="H8" i="6"/>
  <c r="H9" i="6"/>
  <c r="H10" i="6"/>
  <c r="H11" i="6"/>
  <c r="H12" i="6"/>
  <c r="H13" i="6"/>
  <c r="I13" i="6" s="1"/>
  <c r="H14" i="6"/>
  <c r="I14" i="6" s="1"/>
  <c r="H15" i="6"/>
  <c r="I15" i="6" s="1"/>
  <c r="H16" i="6"/>
  <c r="I16" i="6" s="1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I8" i="6"/>
  <c r="I9" i="6"/>
  <c r="I10" i="6"/>
  <c r="I11" i="6"/>
  <c r="I12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C103" i="11"/>
  <c r="B103" i="11"/>
  <c r="C102" i="11"/>
  <c r="B102" i="11"/>
  <c r="C101" i="11"/>
  <c r="B101" i="11"/>
  <c r="F100" i="11"/>
  <c r="C100" i="11"/>
  <c r="B100" i="11"/>
  <c r="C99" i="11"/>
  <c r="B99" i="11"/>
  <c r="C98" i="11"/>
  <c r="B98" i="11"/>
  <c r="C97" i="11"/>
  <c r="B97" i="11"/>
  <c r="F96" i="11"/>
  <c r="C96" i="11"/>
  <c r="B96" i="11"/>
  <c r="F95" i="11"/>
  <c r="C95" i="11"/>
  <c r="B95" i="11"/>
  <c r="C94" i="11"/>
  <c r="B94" i="11"/>
  <c r="C93" i="11"/>
  <c r="B93" i="11"/>
  <c r="C92" i="11"/>
  <c r="B92" i="11"/>
  <c r="C91" i="11"/>
  <c r="B91" i="11"/>
  <c r="C90" i="11"/>
  <c r="B90" i="11"/>
  <c r="C89" i="11"/>
  <c r="B89" i="11"/>
  <c r="C88" i="11"/>
  <c r="B88" i="11"/>
  <c r="C87" i="11"/>
  <c r="B87" i="11"/>
  <c r="F86" i="11"/>
  <c r="C86" i="11"/>
  <c r="B86" i="11"/>
  <c r="F85" i="11"/>
  <c r="C85" i="11"/>
  <c r="B85" i="11"/>
  <c r="F84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C78" i="11"/>
  <c r="B78" i="11"/>
  <c r="C77" i="11"/>
  <c r="B77" i="11"/>
  <c r="F76" i="11"/>
  <c r="C76" i="11"/>
  <c r="B76" i="11"/>
  <c r="F75" i="11"/>
  <c r="C75" i="11"/>
  <c r="B75" i="11"/>
  <c r="F74" i="11"/>
  <c r="C74" i="11"/>
  <c r="B74" i="11"/>
  <c r="C73" i="11"/>
  <c r="B73" i="11"/>
  <c r="C72" i="11"/>
  <c r="B72" i="11"/>
  <c r="C71" i="11"/>
  <c r="B71" i="11"/>
  <c r="F70" i="11"/>
  <c r="C70" i="11"/>
  <c r="B70" i="11"/>
  <c r="C69" i="11"/>
  <c r="B69" i="11"/>
  <c r="C68" i="11"/>
  <c r="B68" i="11"/>
  <c r="C67" i="11"/>
  <c r="B67" i="11"/>
  <c r="F66" i="11"/>
  <c r="C66" i="11"/>
  <c r="B66" i="11"/>
  <c r="F65" i="11"/>
  <c r="C65" i="11"/>
  <c r="B65" i="11"/>
  <c r="F64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C58" i="11"/>
  <c r="B58" i="11"/>
  <c r="C57" i="11"/>
  <c r="B57" i="11"/>
  <c r="C56" i="11"/>
  <c r="B56" i="11"/>
  <c r="F55" i="11"/>
  <c r="C55" i="11"/>
  <c r="B55" i="11"/>
  <c r="F54" i="11"/>
  <c r="C54" i="11"/>
  <c r="B54" i="11"/>
  <c r="C53" i="11"/>
  <c r="B53" i="11"/>
  <c r="C52" i="11"/>
  <c r="B52" i="11"/>
  <c r="C51" i="11"/>
  <c r="B51" i="11"/>
  <c r="C50" i="11"/>
  <c r="B50" i="11"/>
  <c r="C49" i="11"/>
  <c r="B49" i="11"/>
  <c r="C48" i="11"/>
  <c r="B48" i="11"/>
  <c r="C47" i="11"/>
  <c r="B47" i="11"/>
  <c r="F46" i="11"/>
  <c r="C46" i="11"/>
  <c r="B46" i="11"/>
  <c r="F45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K39" i="11"/>
  <c r="J39" i="11"/>
  <c r="C39" i="11"/>
  <c r="B39" i="11"/>
  <c r="K38" i="11"/>
  <c r="J38" i="11"/>
  <c r="G38" i="11"/>
  <c r="C38" i="11"/>
  <c r="B38" i="11"/>
  <c r="K37" i="11"/>
  <c r="J37" i="11"/>
  <c r="H37" i="11"/>
  <c r="G37" i="11"/>
  <c r="C37" i="11"/>
  <c r="B37" i="11"/>
  <c r="K36" i="11"/>
  <c r="J36" i="11"/>
  <c r="H36" i="11"/>
  <c r="G36" i="11"/>
  <c r="C36" i="11"/>
  <c r="B36" i="11"/>
  <c r="K35" i="11"/>
  <c r="J35" i="11"/>
  <c r="H35" i="11"/>
  <c r="G35" i="11"/>
  <c r="C35" i="11"/>
  <c r="B35" i="11"/>
  <c r="K34" i="11"/>
  <c r="H34" i="11"/>
  <c r="G34" i="11"/>
  <c r="C34" i="11"/>
  <c r="B34" i="11"/>
  <c r="K33" i="11"/>
  <c r="J33" i="11"/>
  <c r="H33" i="11"/>
  <c r="C33" i="11"/>
  <c r="B33" i="11"/>
  <c r="K32" i="11"/>
  <c r="J32" i="11"/>
  <c r="H32" i="11"/>
  <c r="C32" i="11"/>
  <c r="B32" i="11"/>
  <c r="K31" i="11"/>
  <c r="J31" i="11"/>
  <c r="H31" i="11"/>
  <c r="G31" i="11"/>
  <c r="C31" i="11"/>
  <c r="B31" i="11"/>
  <c r="K30" i="11"/>
  <c r="J30" i="11"/>
  <c r="H30" i="11"/>
  <c r="G30" i="11"/>
  <c r="C30" i="11"/>
  <c r="B30" i="11"/>
  <c r="K29" i="11"/>
  <c r="J29" i="11"/>
  <c r="H29" i="11"/>
  <c r="G29" i="11"/>
  <c r="C29" i="11"/>
  <c r="B29" i="11"/>
  <c r="K28" i="11"/>
  <c r="J28" i="11"/>
  <c r="G28" i="11"/>
  <c r="C28" i="11"/>
  <c r="B28" i="11"/>
  <c r="K27" i="11"/>
  <c r="J27" i="11"/>
  <c r="H27" i="11"/>
  <c r="G27" i="11"/>
  <c r="C27" i="11"/>
  <c r="B27" i="11"/>
  <c r="K26" i="11"/>
  <c r="J26" i="11"/>
  <c r="H26" i="11"/>
  <c r="G26" i="11"/>
  <c r="C26" i="11"/>
  <c r="B26" i="11"/>
  <c r="K25" i="11"/>
  <c r="J25" i="11"/>
  <c r="H25" i="11"/>
  <c r="G25" i="11"/>
  <c r="F25" i="11"/>
  <c r="C25" i="11"/>
  <c r="B25" i="11"/>
  <c r="K24" i="11"/>
  <c r="J24" i="11"/>
  <c r="H24" i="11"/>
  <c r="G24" i="11"/>
  <c r="C24" i="11"/>
  <c r="B24" i="11"/>
  <c r="K23" i="11"/>
  <c r="J23" i="11"/>
  <c r="H23" i="11"/>
  <c r="G23" i="11"/>
  <c r="F23" i="11"/>
  <c r="C23" i="11"/>
  <c r="B23" i="11"/>
  <c r="K22" i="11"/>
  <c r="J22" i="11"/>
  <c r="H22" i="11"/>
  <c r="C22" i="11"/>
  <c r="B22" i="11"/>
  <c r="K21" i="11"/>
  <c r="J21" i="11"/>
  <c r="H21" i="11"/>
  <c r="G21" i="11"/>
  <c r="C21" i="11"/>
  <c r="B21" i="11"/>
  <c r="K20" i="11"/>
  <c r="J20" i="11"/>
  <c r="H20" i="11"/>
  <c r="G20" i="11"/>
  <c r="C20" i="11"/>
  <c r="B20" i="11"/>
  <c r="K19" i="11"/>
  <c r="J19" i="11"/>
  <c r="G19" i="11"/>
  <c r="C19" i="11"/>
  <c r="B19" i="11"/>
  <c r="K18" i="11"/>
  <c r="J18" i="11"/>
  <c r="G18" i="11"/>
  <c r="C18" i="11"/>
  <c r="B18" i="11"/>
  <c r="K17" i="11"/>
  <c r="J17" i="11"/>
  <c r="H17" i="11"/>
  <c r="G17" i="11"/>
  <c r="C17" i="11"/>
  <c r="B17" i="11"/>
  <c r="K16" i="11"/>
  <c r="J16" i="11"/>
  <c r="H16" i="11"/>
  <c r="C16" i="11"/>
  <c r="B16" i="11"/>
  <c r="K15" i="11"/>
  <c r="J15" i="11"/>
  <c r="H15" i="11"/>
  <c r="C15" i="11"/>
  <c r="B15" i="11"/>
  <c r="K14" i="11"/>
  <c r="J14" i="11"/>
  <c r="H14" i="11"/>
  <c r="C14" i="11"/>
  <c r="B14" i="11"/>
  <c r="K13" i="11"/>
  <c r="H13" i="11"/>
  <c r="C13" i="11"/>
  <c r="B13" i="11"/>
  <c r="K12" i="11"/>
  <c r="J12" i="11"/>
  <c r="H12" i="11"/>
  <c r="C12" i="11"/>
  <c r="B12" i="11"/>
  <c r="K11" i="11"/>
  <c r="J11" i="11"/>
  <c r="H11" i="11"/>
  <c r="C11" i="11"/>
  <c r="B11" i="11"/>
  <c r="K10" i="11"/>
  <c r="J10" i="11"/>
  <c r="H10" i="11"/>
  <c r="C10" i="11"/>
  <c r="B10" i="11"/>
  <c r="K9" i="11"/>
  <c r="J9" i="11"/>
  <c r="C9" i="11"/>
  <c r="B9" i="11"/>
  <c r="K8" i="11"/>
  <c r="J8" i="11"/>
  <c r="H8" i="11"/>
  <c r="C8" i="11"/>
  <c r="B8" i="11"/>
  <c r="K7" i="11"/>
  <c r="J7" i="11"/>
  <c r="H7" i="11"/>
  <c r="C7" i="11"/>
  <c r="B7" i="11"/>
  <c r="K6" i="11"/>
  <c r="J6" i="11"/>
  <c r="H6" i="11"/>
  <c r="C6" i="11"/>
  <c r="B6" i="11"/>
  <c r="K5" i="11"/>
  <c r="J5" i="11"/>
  <c r="H5" i="11"/>
  <c r="C5" i="11"/>
  <c r="B5" i="11"/>
  <c r="C4" i="11"/>
  <c r="B4" i="11"/>
  <c r="C103" i="10"/>
  <c r="B103" i="10"/>
  <c r="C102" i="10"/>
  <c r="B102" i="10"/>
  <c r="C101" i="10"/>
  <c r="B101" i="10"/>
  <c r="K100" i="11"/>
  <c r="C100" i="10"/>
  <c r="B100" i="10"/>
  <c r="K99" i="11"/>
  <c r="C99" i="10"/>
  <c r="B99" i="10"/>
  <c r="K98" i="11"/>
  <c r="C98" i="10"/>
  <c r="B98" i="10"/>
  <c r="C97" i="10"/>
  <c r="B97" i="10"/>
  <c r="C96" i="10"/>
  <c r="B96" i="10"/>
  <c r="K95" i="11"/>
  <c r="C95" i="10"/>
  <c r="B95" i="10"/>
  <c r="K94" i="11"/>
  <c r="C94" i="10"/>
  <c r="B94" i="10"/>
  <c r="C93" i="10"/>
  <c r="B93" i="10"/>
  <c r="C92" i="10"/>
  <c r="B92" i="10"/>
  <c r="C91" i="10"/>
  <c r="B91" i="10"/>
  <c r="K90" i="11"/>
  <c r="C90" i="10"/>
  <c r="B90" i="10"/>
  <c r="C89" i="10"/>
  <c r="B89" i="10"/>
  <c r="K88" i="11"/>
  <c r="C88" i="10"/>
  <c r="B88" i="10"/>
  <c r="C87" i="10"/>
  <c r="B87" i="10"/>
  <c r="C86" i="10"/>
  <c r="B86" i="10"/>
  <c r="K85" i="11"/>
  <c r="C85" i="10"/>
  <c r="B85" i="10"/>
  <c r="K84" i="11"/>
  <c r="C84" i="10"/>
  <c r="B84" i="10"/>
  <c r="K83" i="11"/>
  <c r="C83" i="10"/>
  <c r="B83" i="10"/>
  <c r="C82" i="10"/>
  <c r="B82" i="10"/>
  <c r="C81" i="10"/>
  <c r="B81" i="10"/>
  <c r="K80" i="11"/>
  <c r="C80" i="10"/>
  <c r="B80" i="10"/>
  <c r="C79" i="10"/>
  <c r="B79" i="10"/>
  <c r="K78" i="11"/>
  <c r="C78" i="10"/>
  <c r="B78" i="10"/>
  <c r="C77" i="10"/>
  <c r="B77" i="10"/>
  <c r="C76" i="10"/>
  <c r="B76" i="10"/>
  <c r="K75" i="11"/>
  <c r="C75" i="10"/>
  <c r="B75" i="10"/>
  <c r="K74" i="11"/>
  <c r="C74" i="10"/>
  <c r="B74" i="10"/>
  <c r="C73" i="10"/>
  <c r="B73" i="10"/>
  <c r="K72" i="11"/>
  <c r="C72" i="10"/>
  <c r="B72" i="10"/>
  <c r="C71" i="10"/>
  <c r="B71" i="10"/>
  <c r="K70" i="11"/>
  <c r="C70" i="10"/>
  <c r="B70" i="10"/>
  <c r="C69" i="10"/>
  <c r="B69" i="10"/>
  <c r="K68" i="11"/>
  <c r="C68" i="10"/>
  <c r="B68" i="10"/>
  <c r="K67" i="11"/>
  <c r="C67" i="10"/>
  <c r="B67" i="10"/>
  <c r="C66" i="10"/>
  <c r="B66" i="10"/>
  <c r="K65" i="11"/>
  <c r="C65" i="10"/>
  <c r="B65" i="10"/>
  <c r="K64" i="11"/>
  <c r="C64" i="10"/>
  <c r="B64" i="10"/>
  <c r="K63" i="11"/>
  <c r="C63" i="10"/>
  <c r="B63" i="10"/>
  <c r="K62" i="11"/>
  <c r="C62" i="10"/>
  <c r="B62" i="10"/>
  <c r="K61" i="11"/>
  <c r="C61" i="10"/>
  <c r="B61" i="10"/>
  <c r="K60" i="11"/>
  <c r="C60" i="10"/>
  <c r="B60" i="10"/>
  <c r="C59" i="10"/>
  <c r="B59" i="10"/>
  <c r="K58" i="11"/>
  <c r="C58" i="10"/>
  <c r="B58" i="10"/>
  <c r="C57" i="10"/>
  <c r="B57" i="10"/>
  <c r="C56" i="10"/>
  <c r="B56" i="10"/>
  <c r="K55" i="11"/>
  <c r="C55" i="10"/>
  <c r="B55" i="10"/>
  <c r="C54" i="10"/>
  <c r="B54" i="10"/>
  <c r="C53" i="10"/>
  <c r="B53" i="10"/>
  <c r="K52" i="11"/>
  <c r="C52" i="10"/>
  <c r="B52" i="10"/>
  <c r="K51" i="11"/>
  <c r="C51" i="10"/>
  <c r="B51" i="10"/>
  <c r="K50" i="11"/>
  <c r="C50" i="10"/>
  <c r="B50" i="10"/>
  <c r="C49" i="10"/>
  <c r="B49" i="10"/>
  <c r="K48" i="11"/>
  <c r="C48" i="10"/>
  <c r="B48" i="10"/>
  <c r="K47" i="11"/>
  <c r="C47" i="10"/>
  <c r="B47" i="10"/>
  <c r="C46" i="10"/>
  <c r="B46" i="10"/>
  <c r="K45" i="11"/>
  <c r="C45" i="10"/>
  <c r="B45" i="10"/>
  <c r="K44" i="11"/>
  <c r="C44" i="10"/>
  <c r="B44" i="10"/>
  <c r="K43" i="11"/>
  <c r="C43" i="10"/>
  <c r="B43" i="10"/>
  <c r="K42" i="11"/>
  <c r="C42" i="10"/>
  <c r="B42" i="10"/>
  <c r="C41" i="10"/>
  <c r="B41" i="10"/>
  <c r="K40" i="11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C5" i="10"/>
  <c r="B5" i="10"/>
  <c r="R4" i="10"/>
  <c r="Q4" i="10"/>
  <c r="O4" i="10"/>
  <c r="N4" i="10"/>
  <c r="L4" i="10"/>
  <c r="K4" i="10"/>
  <c r="I4" i="10"/>
  <c r="H4" i="10"/>
  <c r="E4" i="10"/>
  <c r="F4" i="10" s="1"/>
  <c r="S4" i="10" s="1"/>
  <c r="K4" i="11" s="1"/>
  <c r="C4" i="10"/>
  <c r="B4" i="10"/>
  <c r="C103" i="9"/>
  <c r="B103" i="9"/>
  <c r="C102" i="9"/>
  <c r="B102" i="9"/>
  <c r="C101" i="9"/>
  <c r="B101" i="9"/>
  <c r="C100" i="9"/>
  <c r="B100" i="9"/>
  <c r="C99" i="9"/>
  <c r="B99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103" i="8"/>
  <c r="B103" i="8"/>
  <c r="C102" i="8"/>
  <c r="B102" i="8"/>
  <c r="C101" i="8"/>
  <c r="B101" i="8"/>
  <c r="C100" i="8"/>
  <c r="B100" i="8"/>
  <c r="C99" i="8"/>
  <c r="B99" i="8"/>
  <c r="C98" i="8"/>
  <c r="B98" i="8"/>
  <c r="C97" i="8"/>
  <c r="B97" i="8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Q4" i="8"/>
  <c r="R4" i="8" s="1"/>
  <c r="N4" i="8"/>
  <c r="O4" i="8" s="1"/>
  <c r="L4" i="8"/>
  <c r="K4" i="8"/>
  <c r="I4" i="8"/>
  <c r="H4" i="8"/>
  <c r="E4" i="8"/>
  <c r="F4" i="8" s="1"/>
  <c r="C4" i="8"/>
  <c r="B4" i="8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R103" i="6"/>
  <c r="Q103" i="6"/>
  <c r="O103" i="6"/>
  <c r="N103" i="6"/>
  <c r="L103" i="6"/>
  <c r="K103" i="6"/>
  <c r="I103" i="6"/>
  <c r="S103" i="6" s="1"/>
  <c r="G103" i="11" s="1"/>
  <c r="H103" i="6"/>
  <c r="F103" i="6"/>
  <c r="E103" i="6"/>
  <c r="C103" i="6"/>
  <c r="B103" i="6"/>
  <c r="R102" i="6"/>
  <c r="Q102" i="6"/>
  <c r="O102" i="6"/>
  <c r="S102" i="6" s="1"/>
  <c r="G102" i="11" s="1"/>
  <c r="N102" i="6"/>
  <c r="L102" i="6"/>
  <c r="K102" i="6"/>
  <c r="I102" i="6"/>
  <c r="H102" i="6"/>
  <c r="F102" i="6"/>
  <c r="E102" i="6"/>
  <c r="C102" i="6"/>
  <c r="B102" i="6"/>
  <c r="S101" i="6"/>
  <c r="G101" i="11" s="1"/>
  <c r="R101" i="6"/>
  <c r="Q101" i="6"/>
  <c r="O101" i="6"/>
  <c r="N101" i="6"/>
  <c r="L101" i="6"/>
  <c r="K101" i="6"/>
  <c r="I101" i="6"/>
  <c r="H101" i="6"/>
  <c r="F101" i="6"/>
  <c r="E101" i="6"/>
  <c r="C101" i="6"/>
  <c r="B101" i="6"/>
  <c r="R100" i="6"/>
  <c r="Q100" i="6"/>
  <c r="O100" i="6"/>
  <c r="N100" i="6"/>
  <c r="L100" i="6"/>
  <c r="K100" i="6"/>
  <c r="I100" i="6"/>
  <c r="H100" i="6"/>
  <c r="F100" i="6"/>
  <c r="S100" i="6" s="1"/>
  <c r="G100" i="11" s="1"/>
  <c r="E100" i="6"/>
  <c r="C100" i="6"/>
  <c r="B100" i="6"/>
  <c r="R99" i="6"/>
  <c r="Q99" i="6"/>
  <c r="O99" i="6"/>
  <c r="N99" i="6"/>
  <c r="L99" i="6"/>
  <c r="K99" i="6"/>
  <c r="I99" i="6"/>
  <c r="H99" i="6"/>
  <c r="F99" i="6"/>
  <c r="S99" i="6" s="1"/>
  <c r="G99" i="11" s="1"/>
  <c r="E99" i="6"/>
  <c r="C99" i="6"/>
  <c r="B99" i="6"/>
  <c r="R98" i="6"/>
  <c r="Q98" i="6"/>
  <c r="O98" i="6"/>
  <c r="N98" i="6"/>
  <c r="L98" i="6"/>
  <c r="K98" i="6"/>
  <c r="I98" i="6"/>
  <c r="H98" i="6"/>
  <c r="F98" i="6"/>
  <c r="S98" i="6" s="1"/>
  <c r="G98" i="11" s="1"/>
  <c r="E98" i="6"/>
  <c r="C98" i="6"/>
  <c r="B98" i="6"/>
  <c r="R97" i="6"/>
  <c r="Q97" i="6"/>
  <c r="O97" i="6"/>
  <c r="N97" i="6"/>
  <c r="L97" i="6"/>
  <c r="K97" i="6"/>
  <c r="I97" i="6"/>
  <c r="H97" i="6"/>
  <c r="F97" i="6"/>
  <c r="S97" i="6" s="1"/>
  <c r="G97" i="11" s="1"/>
  <c r="E97" i="6"/>
  <c r="C97" i="6"/>
  <c r="B97" i="6"/>
  <c r="R96" i="6"/>
  <c r="Q96" i="6"/>
  <c r="O96" i="6"/>
  <c r="N96" i="6"/>
  <c r="L96" i="6"/>
  <c r="K96" i="6"/>
  <c r="I96" i="6"/>
  <c r="S96" i="6" s="1"/>
  <c r="G96" i="11" s="1"/>
  <c r="H96" i="6"/>
  <c r="F96" i="6"/>
  <c r="E96" i="6"/>
  <c r="C96" i="6"/>
  <c r="B96" i="6"/>
  <c r="S95" i="6"/>
  <c r="G95" i="11" s="1"/>
  <c r="R95" i="6"/>
  <c r="Q95" i="6"/>
  <c r="O95" i="6"/>
  <c r="N95" i="6"/>
  <c r="L95" i="6"/>
  <c r="K95" i="6"/>
  <c r="I95" i="6"/>
  <c r="H95" i="6"/>
  <c r="F95" i="6"/>
  <c r="E95" i="6"/>
  <c r="C95" i="6"/>
  <c r="B95" i="6"/>
  <c r="R94" i="6"/>
  <c r="Q94" i="6"/>
  <c r="O94" i="6"/>
  <c r="N94" i="6"/>
  <c r="L94" i="6"/>
  <c r="K94" i="6"/>
  <c r="I94" i="6"/>
  <c r="H94" i="6"/>
  <c r="F94" i="6"/>
  <c r="S94" i="6" s="1"/>
  <c r="G94" i="11" s="1"/>
  <c r="E94" i="6"/>
  <c r="C94" i="6"/>
  <c r="B94" i="6"/>
  <c r="R93" i="6"/>
  <c r="Q93" i="6"/>
  <c r="O93" i="6"/>
  <c r="N93" i="6"/>
  <c r="L93" i="6"/>
  <c r="K93" i="6"/>
  <c r="I93" i="6"/>
  <c r="S93" i="6" s="1"/>
  <c r="G93" i="11" s="1"/>
  <c r="H93" i="6"/>
  <c r="F93" i="6"/>
  <c r="E93" i="6"/>
  <c r="C93" i="6"/>
  <c r="B93" i="6"/>
  <c r="R92" i="6"/>
  <c r="Q92" i="6"/>
  <c r="O92" i="6"/>
  <c r="S92" i="6" s="1"/>
  <c r="G92" i="11" s="1"/>
  <c r="N92" i="6"/>
  <c r="L92" i="6"/>
  <c r="K92" i="6"/>
  <c r="I92" i="6"/>
  <c r="H92" i="6"/>
  <c r="F92" i="6"/>
  <c r="E92" i="6"/>
  <c r="C92" i="6"/>
  <c r="B92" i="6"/>
  <c r="S91" i="6"/>
  <c r="G91" i="11" s="1"/>
  <c r="R91" i="6"/>
  <c r="Q91" i="6"/>
  <c r="O91" i="6"/>
  <c r="N91" i="6"/>
  <c r="L91" i="6"/>
  <c r="K91" i="6"/>
  <c r="I91" i="6"/>
  <c r="H91" i="6"/>
  <c r="F91" i="6"/>
  <c r="E91" i="6"/>
  <c r="C91" i="6"/>
  <c r="B91" i="6"/>
  <c r="R90" i="6"/>
  <c r="Q90" i="6"/>
  <c r="O90" i="6"/>
  <c r="N90" i="6"/>
  <c r="L90" i="6"/>
  <c r="K90" i="6"/>
  <c r="I90" i="6"/>
  <c r="H90" i="6"/>
  <c r="F90" i="6"/>
  <c r="S90" i="6" s="1"/>
  <c r="G90" i="11" s="1"/>
  <c r="E90" i="6"/>
  <c r="C90" i="6"/>
  <c r="B90" i="6"/>
  <c r="R89" i="6"/>
  <c r="Q89" i="6"/>
  <c r="O89" i="6"/>
  <c r="N89" i="6"/>
  <c r="L89" i="6"/>
  <c r="K89" i="6"/>
  <c r="I89" i="6"/>
  <c r="H89" i="6"/>
  <c r="F89" i="6"/>
  <c r="S89" i="6" s="1"/>
  <c r="G89" i="11" s="1"/>
  <c r="E89" i="6"/>
  <c r="C89" i="6"/>
  <c r="B89" i="6"/>
  <c r="R88" i="6"/>
  <c r="Q88" i="6"/>
  <c r="O88" i="6"/>
  <c r="N88" i="6"/>
  <c r="L88" i="6"/>
  <c r="K88" i="6"/>
  <c r="I88" i="6"/>
  <c r="H88" i="6"/>
  <c r="F88" i="6"/>
  <c r="S88" i="6" s="1"/>
  <c r="G88" i="11" s="1"/>
  <c r="E88" i="6"/>
  <c r="C88" i="6"/>
  <c r="B88" i="6"/>
  <c r="R87" i="6"/>
  <c r="Q87" i="6"/>
  <c r="O87" i="6"/>
  <c r="N87" i="6"/>
  <c r="L87" i="6"/>
  <c r="K87" i="6"/>
  <c r="I87" i="6"/>
  <c r="H87" i="6"/>
  <c r="F87" i="6"/>
  <c r="S87" i="6" s="1"/>
  <c r="G87" i="11" s="1"/>
  <c r="E87" i="6"/>
  <c r="C87" i="6"/>
  <c r="B87" i="6"/>
  <c r="R86" i="6"/>
  <c r="Q86" i="6"/>
  <c r="O86" i="6"/>
  <c r="N86" i="6"/>
  <c r="L86" i="6"/>
  <c r="K86" i="6"/>
  <c r="I86" i="6"/>
  <c r="S86" i="6" s="1"/>
  <c r="G86" i="11" s="1"/>
  <c r="H86" i="6"/>
  <c r="F86" i="6"/>
  <c r="E86" i="6"/>
  <c r="C86" i="6"/>
  <c r="B86" i="6"/>
  <c r="S85" i="6"/>
  <c r="G85" i="11" s="1"/>
  <c r="R85" i="6"/>
  <c r="Q85" i="6"/>
  <c r="O85" i="6"/>
  <c r="N85" i="6"/>
  <c r="L85" i="6"/>
  <c r="K85" i="6"/>
  <c r="I85" i="6"/>
  <c r="H85" i="6"/>
  <c r="F85" i="6"/>
  <c r="E85" i="6"/>
  <c r="C85" i="6"/>
  <c r="B85" i="6"/>
  <c r="R84" i="6"/>
  <c r="Q84" i="6"/>
  <c r="O84" i="6"/>
  <c r="N84" i="6"/>
  <c r="L84" i="6"/>
  <c r="K84" i="6"/>
  <c r="I84" i="6"/>
  <c r="H84" i="6"/>
  <c r="F84" i="6"/>
  <c r="S84" i="6" s="1"/>
  <c r="G84" i="11" s="1"/>
  <c r="E84" i="6"/>
  <c r="C84" i="6"/>
  <c r="B84" i="6"/>
  <c r="R83" i="6"/>
  <c r="Q83" i="6"/>
  <c r="O83" i="6"/>
  <c r="N83" i="6"/>
  <c r="L83" i="6"/>
  <c r="K83" i="6"/>
  <c r="I83" i="6"/>
  <c r="S83" i="6" s="1"/>
  <c r="G83" i="11" s="1"/>
  <c r="H83" i="6"/>
  <c r="F83" i="6"/>
  <c r="E83" i="6"/>
  <c r="C83" i="6"/>
  <c r="B83" i="6"/>
  <c r="R82" i="6"/>
  <c r="Q82" i="6"/>
  <c r="O82" i="6"/>
  <c r="S82" i="6" s="1"/>
  <c r="G82" i="11" s="1"/>
  <c r="N82" i="6"/>
  <c r="L82" i="6"/>
  <c r="K82" i="6"/>
  <c r="I82" i="6"/>
  <c r="H82" i="6"/>
  <c r="F82" i="6"/>
  <c r="E82" i="6"/>
  <c r="C82" i="6"/>
  <c r="B82" i="6"/>
  <c r="S81" i="6"/>
  <c r="G81" i="11" s="1"/>
  <c r="R81" i="6"/>
  <c r="Q81" i="6"/>
  <c r="O81" i="6"/>
  <c r="N81" i="6"/>
  <c r="L81" i="6"/>
  <c r="K81" i="6"/>
  <c r="I81" i="6"/>
  <c r="H81" i="6"/>
  <c r="F81" i="6"/>
  <c r="E81" i="6"/>
  <c r="C81" i="6"/>
  <c r="B81" i="6"/>
  <c r="R80" i="6"/>
  <c r="Q80" i="6"/>
  <c r="O80" i="6"/>
  <c r="N80" i="6"/>
  <c r="L80" i="6"/>
  <c r="K80" i="6"/>
  <c r="I80" i="6"/>
  <c r="H80" i="6"/>
  <c r="F80" i="6"/>
  <c r="S80" i="6" s="1"/>
  <c r="G80" i="11" s="1"/>
  <c r="E80" i="6"/>
  <c r="C80" i="6"/>
  <c r="B80" i="6"/>
  <c r="R79" i="6"/>
  <c r="Q79" i="6"/>
  <c r="O79" i="6"/>
  <c r="N79" i="6"/>
  <c r="L79" i="6"/>
  <c r="K79" i="6"/>
  <c r="I79" i="6"/>
  <c r="H79" i="6"/>
  <c r="F79" i="6"/>
  <c r="S79" i="6" s="1"/>
  <c r="G79" i="11" s="1"/>
  <c r="E79" i="6"/>
  <c r="C79" i="6"/>
  <c r="B79" i="6"/>
  <c r="R78" i="6"/>
  <c r="Q78" i="6"/>
  <c r="O78" i="6"/>
  <c r="N78" i="6"/>
  <c r="L78" i="6"/>
  <c r="K78" i="6"/>
  <c r="I78" i="6"/>
  <c r="H78" i="6"/>
  <c r="F78" i="6"/>
  <c r="S78" i="6" s="1"/>
  <c r="G78" i="11" s="1"/>
  <c r="E78" i="6"/>
  <c r="C78" i="6"/>
  <c r="B78" i="6"/>
  <c r="R77" i="6"/>
  <c r="Q77" i="6"/>
  <c r="O77" i="6"/>
  <c r="N77" i="6"/>
  <c r="L77" i="6"/>
  <c r="K77" i="6"/>
  <c r="I77" i="6"/>
  <c r="H77" i="6"/>
  <c r="F77" i="6"/>
  <c r="S77" i="6" s="1"/>
  <c r="G77" i="11" s="1"/>
  <c r="E77" i="6"/>
  <c r="C77" i="6"/>
  <c r="B77" i="6"/>
  <c r="R76" i="6"/>
  <c r="Q76" i="6"/>
  <c r="O76" i="6"/>
  <c r="N76" i="6"/>
  <c r="L76" i="6"/>
  <c r="K76" i="6"/>
  <c r="I76" i="6"/>
  <c r="S76" i="6" s="1"/>
  <c r="G76" i="11" s="1"/>
  <c r="H76" i="6"/>
  <c r="F76" i="6"/>
  <c r="E76" i="6"/>
  <c r="C76" i="6"/>
  <c r="B76" i="6"/>
  <c r="S75" i="6"/>
  <c r="G75" i="11" s="1"/>
  <c r="R75" i="6"/>
  <c r="Q75" i="6"/>
  <c r="O75" i="6"/>
  <c r="N75" i="6"/>
  <c r="L75" i="6"/>
  <c r="K75" i="6"/>
  <c r="I75" i="6"/>
  <c r="H75" i="6"/>
  <c r="F75" i="6"/>
  <c r="E75" i="6"/>
  <c r="C75" i="6"/>
  <c r="B75" i="6"/>
  <c r="R74" i="6"/>
  <c r="Q74" i="6"/>
  <c r="O74" i="6"/>
  <c r="N74" i="6"/>
  <c r="L74" i="6"/>
  <c r="K74" i="6"/>
  <c r="I74" i="6"/>
  <c r="H74" i="6"/>
  <c r="F74" i="6"/>
  <c r="S74" i="6" s="1"/>
  <c r="G74" i="11" s="1"/>
  <c r="E74" i="6"/>
  <c r="C74" i="6"/>
  <c r="B74" i="6"/>
  <c r="R73" i="6"/>
  <c r="Q73" i="6"/>
  <c r="O73" i="6"/>
  <c r="N73" i="6"/>
  <c r="L73" i="6"/>
  <c r="K73" i="6"/>
  <c r="I73" i="6"/>
  <c r="S73" i="6" s="1"/>
  <c r="G73" i="11" s="1"/>
  <c r="H73" i="6"/>
  <c r="F73" i="6"/>
  <c r="E73" i="6"/>
  <c r="C73" i="6"/>
  <c r="B73" i="6"/>
  <c r="R72" i="6"/>
  <c r="Q72" i="6"/>
  <c r="O72" i="6"/>
  <c r="S72" i="6" s="1"/>
  <c r="G72" i="11" s="1"/>
  <c r="N72" i="6"/>
  <c r="L72" i="6"/>
  <c r="K72" i="6"/>
  <c r="I72" i="6"/>
  <c r="H72" i="6"/>
  <c r="F72" i="6"/>
  <c r="E72" i="6"/>
  <c r="C72" i="6"/>
  <c r="B72" i="6"/>
  <c r="S71" i="6"/>
  <c r="G71" i="11" s="1"/>
  <c r="R71" i="6"/>
  <c r="Q71" i="6"/>
  <c r="O71" i="6"/>
  <c r="N71" i="6"/>
  <c r="L71" i="6"/>
  <c r="K71" i="6"/>
  <c r="I71" i="6"/>
  <c r="H71" i="6"/>
  <c r="F71" i="6"/>
  <c r="E71" i="6"/>
  <c r="C71" i="6"/>
  <c r="B71" i="6"/>
  <c r="R70" i="6"/>
  <c r="Q70" i="6"/>
  <c r="O70" i="6"/>
  <c r="N70" i="6"/>
  <c r="L70" i="6"/>
  <c r="K70" i="6"/>
  <c r="I70" i="6"/>
  <c r="H70" i="6"/>
  <c r="F70" i="6"/>
  <c r="S70" i="6" s="1"/>
  <c r="G70" i="11" s="1"/>
  <c r="E70" i="6"/>
  <c r="C70" i="6"/>
  <c r="B70" i="6"/>
  <c r="R69" i="6"/>
  <c r="Q69" i="6"/>
  <c r="O69" i="6"/>
  <c r="N69" i="6"/>
  <c r="L69" i="6"/>
  <c r="K69" i="6"/>
  <c r="I69" i="6"/>
  <c r="H69" i="6"/>
  <c r="F69" i="6"/>
  <c r="S69" i="6" s="1"/>
  <c r="G69" i="11" s="1"/>
  <c r="E69" i="6"/>
  <c r="C69" i="6"/>
  <c r="B69" i="6"/>
  <c r="R68" i="6"/>
  <c r="Q68" i="6"/>
  <c r="O68" i="6"/>
  <c r="N68" i="6"/>
  <c r="L68" i="6"/>
  <c r="K68" i="6"/>
  <c r="I68" i="6"/>
  <c r="H68" i="6"/>
  <c r="F68" i="6"/>
  <c r="S68" i="6" s="1"/>
  <c r="G68" i="11" s="1"/>
  <c r="E68" i="6"/>
  <c r="C68" i="6"/>
  <c r="B68" i="6"/>
  <c r="R67" i="6"/>
  <c r="Q67" i="6"/>
  <c r="O67" i="6"/>
  <c r="N67" i="6"/>
  <c r="L67" i="6"/>
  <c r="K67" i="6"/>
  <c r="I67" i="6"/>
  <c r="H67" i="6"/>
  <c r="F67" i="6"/>
  <c r="S67" i="6" s="1"/>
  <c r="G67" i="11" s="1"/>
  <c r="E67" i="6"/>
  <c r="C67" i="6"/>
  <c r="B67" i="6"/>
  <c r="R66" i="6"/>
  <c r="Q66" i="6"/>
  <c r="O66" i="6"/>
  <c r="N66" i="6"/>
  <c r="L66" i="6"/>
  <c r="K66" i="6"/>
  <c r="I66" i="6"/>
  <c r="S66" i="6" s="1"/>
  <c r="G66" i="11" s="1"/>
  <c r="H66" i="6"/>
  <c r="F66" i="6"/>
  <c r="E66" i="6"/>
  <c r="C66" i="6"/>
  <c r="B66" i="6"/>
  <c r="S65" i="6"/>
  <c r="G65" i="11" s="1"/>
  <c r="R65" i="6"/>
  <c r="Q65" i="6"/>
  <c r="O65" i="6"/>
  <c r="N65" i="6"/>
  <c r="L65" i="6"/>
  <c r="K65" i="6"/>
  <c r="I65" i="6"/>
  <c r="H65" i="6"/>
  <c r="F65" i="6"/>
  <c r="E65" i="6"/>
  <c r="C65" i="6"/>
  <c r="B65" i="6"/>
  <c r="R64" i="6"/>
  <c r="Q64" i="6"/>
  <c r="O64" i="6"/>
  <c r="N64" i="6"/>
  <c r="L64" i="6"/>
  <c r="K64" i="6"/>
  <c r="I64" i="6"/>
  <c r="H64" i="6"/>
  <c r="F64" i="6"/>
  <c r="S64" i="6" s="1"/>
  <c r="G64" i="11" s="1"/>
  <c r="E64" i="6"/>
  <c r="C64" i="6"/>
  <c r="B64" i="6"/>
  <c r="R63" i="6"/>
  <c r="Q63" i="6"/>
  <c r="O63" i="6"/>
  <c r="N63" i="6"/>
  <c r="L63" i="6"/>
  <c r="K63" i="6"/>
  <c r="I63" i="6"/>
  <c r="S63" i="6" s="1"/>
  <c r="G63" i="11" s="1"/>
  <c r="H63" i="6"/>
  <c r="F63" i="6"/>
  <c r="E63" i="6"/>
  <c r="C63" i="6"/>
  <c r="B63" i="6"/>
  <c r="R62" i="6"/>
  <c r="Q62" i="6"/>
  <c r="O62" i="6"/>
  <c r="S62" i="6" s="1"/>
  <c r="G62" i="11" s="1"/>
  <c r="N62" i="6"/>
  <c r="L62" i="6"/>
  <c r="K62" i="6"/>
  <c r="I62" i="6"/>
  <c r="H62" i="6"/>
  <c r="F62" i="6"/>
  <c r="E62" i="6"/>
  <c r="C62" i="6"/>
  <c r="B62" i="6"/>
  <c r="S61" i="6"/>
  <c r="G61" i="11" s="1"/>
  <c r="R61" i="6"/>
  <c r="Q61" i="6"/>
  <c r="O61" i="6"/>
  <c r="N61" i="6"/>
  <c r="L61" i="6"/>
  <c r="K61" i="6"/>
  <c r="I61" i="6"/>
  <c r="H61" i="6"/>
  <c r="F61" i="6"/>
  <c r="E61" i="6"/>
  <c r="C61" i="6"/>
  <c r="B61" i="6"/>
  <c r="R60" i="6"/>
  <c r="Q60" i="6"/>
  <c r="O60" i="6"/>
  <c r="N60" i="6"/>
  <c r="L60" i="6"/>
  <c r="K60" i="6"/>
  <c r="I60" i="6"/>
  <c r="H60" i="6"/>
  <c r="F60" i="6"/>
  <c r="S60" i="6" s="1"/>
  <c r="G60" i="11" s="1"/>
  <c r="E60" i="6"/>
  <c r="C60" i="6"/>
  <c r="B60" i="6"/>
  <c r="R59" i="6"/>
  <c r="Q59" i="6"/>
  <c r="O59" i="6"/>
  <c r="N59" i="6"/>
  <c r="L59" i="6"/>
  <c r="K59" i="6"/>
  <c r="I59" i="6"/>
  <c r="H59" i="6"/>
  <c r="F59" i="6"/>
  <c r="S59" i="6" s="1"/>
  <c r="G59" i="11" s="1"/>
  <c r="E59" i="6"/>
  <c r="C59" i="6"/>
  <c r="B59" i="6"/>
  <c r="R58" i="6"/>
  <c r="Q58" i="6"/>
  <c r="O58" i="6"/>
  <c r="N58" i="6"/>
  <c r="L58" i="6"/>
  <c r="K58" i="6"/>
  <c r="I58" i="6"/>
  <c r="H58" i="6"/>
  <c r="F58" i="6"/>
  <c r="S58" i="6" s="1"/>
  <c r="G58" i="11" s="1"/>
  <c r="E58" i="6"/>
  <c r="C58" i="6"/>
  <c r="B58" i="6"/>
  <c r="R57" i="6"/>
  <c r="Q57" i="6"/>
  <c r="O57" i="6"/>
  <c r="N57" i="6"/>
  <c r="L57" i="6"/>
  <c r="K57" i="6"/>
  <c r="I57" i="6"/>
  <c r="H57" i="6"/>
  <c r="F57" i="6"/>
  <c r="S57" i="6" s="1"/>
  <c r="G57" i="11" s="1"/>
  <c r="E57" i="6"/>
  <c r="C57" i="6"/>
  <c r="B57" i="6"/>
  <c r="R56" i="6"/>
  <c r="Q56" i="6"/>
  <c r="O56" i="6"/>
  <c r="N56" i="6"/>
  <c r="L56" i="6"/>
  <c r="K56" i="6"/>
  <c r="I56" i="6"/>
  <c r="S56" i="6" s="1"/>
  <c r="G56" i="11" s="1"/>
  <c r="H56" i="6"/>
  <c r="F56" i="6"/>
  <c r="E56" i="6"/>
  <c r="C56" i="6"/>
  <c r="B56" i="6"/>
  <c r="S55" i="6"/>
  <c r="G55" i="11" s="1"/>
  <c r="R55" i="6"/>
  <c r="Q55" i="6"/>
  <c r="O55" i="6"/>
  <c r="N55" i="6"/>
  <c r="L55" i="6"/>
  <c r="K55" i="6"/>
  <c r="I55" i="6"/>
  <c r="H55" i="6"/>
  <c r="F55" i="6"/>
  <c r="E55" i="6"/>
  <c r="C55" i="6"/>
  <c r="B55" i="6"/>
  <c r="R54" i="6"/>
  <c r="Q54" i="6"/>
  <c r="O54" i="6"/>
  <c r="N54" i="6"/>
  <c r="L54" i="6"/>
  <c r="K54" i="6"/>
  <c r="I54" i="6"/>
  <c r="H54" i="6"/>
  <c r="F54" i="6"/>
  <c r="S54" i="6" s="1"/>
  <c r="G54" i="11" s="1"/>
  <c r="E54" i="6"/>
  <c r="C54" i="6"/>
  <c r="B54" i="6"/>
  <c r="R53" i="6"/>
  <c r="Q53" i="6"/>
  <c r="O53" i="6"/>
  <c r="N53" i="6"/>
  <c r="L53" i="6"/>
  <c r="K53" i="6"/>
  <c r="I53" i="6"/>
  <c r="S53" i="6" s="1"/>
  <c r="G53" i="11" s="1"/>
  <c r="H53" i="6"/>
  <c r="F53" i="6"/>
  <c r="E53" i="6"/>
  <c r="C53" i="6"/>
  <c r="B53" i="6"/>
  <c r="R52" i="6"/>
  <c r="Q52" i="6"/>
  <c r="O52" i="6"/>
  <c r="S52" i="6" s="1"/>
  <c r="G52" i="11" s="1"/>
  <c r="N52" i="6"/>
  <c r="L52" i="6"/>
  <c r="K52" i="6"/>
  <c r="I52" i="6"/>
  <c r="H52" i="6"/>
  <c r="F52" i="6"/>
  <c r="E52" i="6"/>
  <c r="C52" i="6"/>
  <c r="B52" i="6"/>
  <c r="S51" i="6"/>
  <c r="G51" i="11" s="1"/>
  <c r="R51" i="6"/>
  <c r="Q51" i="6"/>
  <c r="O51" i="6"/>
  <c r="N51" i="6"/>
  <c r="L51" i="6"/>
  <c r="K51" i="6"/>
  <c r="I51" i="6"/>
  <c r="H51" i="6"/>
  <c r="F51" i="6"/>
  <c r="E51" i="6"/>
  <c r="C51" i="6"/>
  <c r="B51" i="6"/>
  <c r="R50" i="6"/>
  <c r="Q50" i="6"/>
  <c r="O50" i="6"/>
  <c r="N50" i="6"/>
  <c r="L50" i="6"/>
  <c r="K50" i="6"/>
  <c r="I50" i="6"/>
  <c r="H50" i="6"/>
  <c r="F50" i="6"/>
  <c r="S50" i="6" s="1"/>
  <c r="G50" i="11" s="1"/>
  <c r="E50" i="6"/>
  <c r="C50" i="6"/>
  <c r="B50" i="6"/>
  <c r="R49" i="6"/>
  <c r="Q49" i="6"/>
  <c r="O49" i="6"/>
  <c r="N49" i="6"/>
  <c r="L49" i="6"/>
  <c r="K49" i="6"/>
  <c r="I49" i="6"/>
  <c r="H49" i="6"/>
  <c r="F49" i="6"/>
  <c r="S49" i="6" s="1"/>
  <c r="G49" i="11" s="1"/>
  <c r="E49" i="6"/>
  <c r="C49" i="6"/>
  <c r="B49" i="6"/>
  <c r="R48" i="6"/>
  <c r="Q48" i="6"/>
  <c r="O48" i="6"/>
  <c r="N48" i="6"/>
  <c r="L48" i="6"/>
  <c r="K48" i="6"/>
  <c r="I48" i="6"/>
  <c r="H48" i="6"/>
  <c r="F48" i="6"/>
  <c r="S48" i="6" s="1"/>
  <c r="G48" i="11" s="1"/>
  <c r="E48" i="6"/>
  <c r="C48" i="6"/>
  <c r="B48" i="6"/>
  <c r="R47" i="6"/>
  <c r="Q47" i="6"/>
  <c r="O47" i="6"/>
  <c r="N47" i="6"/>
  <c r="L47" i="6"/>
  <c r="K47" i="6"/>
  <c r="I47" i="6"/>
  <c r="H47" i="6"/>
  <c r="F47" i="6"/>
  <c r="S47" i="6" s="1"/>
  <c r="G47" i="11" s="1"/>
  <c r="E47" i="6"/>
  <c r="C47" i="6"/>
  <c r="B47" i="6"/>
  <c r="R46" i="6"/>
  <c r="Q46" i="6"/>
  <c r="O46" i="6"/>
  <c r="N46" i="6"/>
  <c r="L46" i="6"/>
  <c r="K46" i="6"/>
  <c r="I46" i="6"/>
  <c r="S46" i="6" s="1"/>
  <c r="G46" i="11" s="1"/>
  <c r="H46" i="6"/>
  <c r="F46" i="6"/>
  <c r="E46" i="6"/>
  <c r="C46" i="6"/>
  <c r="B46" i="6"/>
  <c r="S45" i="6"/>
  <c r="G45" i="11" s="1"/>
  <c r="R45" i="6"/>
  <c r="Q45" i="6"/>
  <c r="O45" i="6"/>
  <c r="N45" i="6"/>
  <c r="L45" i="6"/>
  <c r="K45" i="6"/>
  <c r="I45" i="6"/>
  <c r="H45" i="6"/>
  <c r="F45" i="6"/>
  <c r="E45" i="6"/>
  <c r="C45" i="6"/>
  <c r="B45" i="6"/>
  <c r="R44" i="6"/>
  <c r="Q44" i="6"/>
  <c r="O44" i="6"/>
  <c r="N44" i="6"/>
  <c r="L44" i="6"/>
  <c r="K44" i="6"/>
  <c r="I44" i="6"/>
  <c r="H44" i="6"/>
  <c r="F44" i="6"/>
  <c r="S44" i="6" s="1"/>
  <c r="G44" i="11" s="1"/>
  <c r="E44" i="6"/>
  <c r="C44" i="6"/>
  <c r="B44" i="6"/>
  <c r="R43" i="6"/>
  <c r="Q43" i="6"/>
  <c r="O43" i="6"/>
  <c r="N43" i="6"/>
  <c r="L43" i="6"/>
  <c r="K43" i="6"/>
  <c r="I43" i="6"/>
  <c r="S43" i="6" s="1"/>
  <c r="G43" i="11" s="1"/>
  <c r="H43" i="6"/>
  <c r="F43" i="6"/>
  <c r="E43" i="6"/>
  <c r="C43" i="6"/>
  <c r="B43" i="6"/>
  <c r="R42" i="6"/>
  <c r="Q42" i="6"/>
  <c r="O42" i="6"/>
  <c r="S42" i="6" s="1"/>
  <c r="G42" i="11" s="1"/>
  <c r="N42" i="6"/>
  <c r="L42" i="6"/>
  <c r="K42" i="6"/>
  <c r="I42" i="6"/>
  <c r="H42" i="6"/>
  <c r="F42" i="6"/>
  <c r="E42" i="6"/>
  <c r="C42" i="6"/>
  <c r="B42" i="6"/>
  <c r="S41" i="6"/>
  <c r="G41" i="11" s="1"/>
  <c r="R41" i="6"/>
  <c r="Q41" i="6"/>
  <c r="O41" i="6"/>
  <c r="N41" i="6"/>
  <c r="L41" i="6"/>
  <c r="K41" i="6"/>
  <c r="I41" i="6"/>
  <c r="H41" i="6"/>
  <c r="F41" i="6"/>
  <c r="E41" i="6"/>
  <c r="C41" i="6"/>
  <c r="B41" i="6"/>
  <c r="R40" i="6"/>
  <c r="Q40" i="6"/>
  <c r="O40" i="6"/>
  <c r="N40" i="6"/>
  <c r="L40" i="6"/>
  <c r="K40" i="6"/>
  <c r="I40" i="6"/>
  <c r="H40" i="6"/>
  <c r="F40" i="6"/>
  <c r="S40" i="6" s="1"/>
  <c r="G40" i="11" s="1"/>
  <c r="E40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Q4" i="6"/>
  <c r="R4" i="6" s="1"/>
  <c r="N4" i="6"/>
  <c r="O4" i="6" s="1"/>
  <c r="L4" i="6"/>
  <c r="K4" i="6"/>
  <c r="H4" i="6"/>
  <c r="I4" i="6" s="1"/>
  <c r="E4" i="6"/>
  <c r="F4" i="6" s="1"/>
  <c r="C4" i="6"/>
  <c r="B4" i="6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O103" i="4"/>
  <c r="N103" i="4"/>
  <c r="L103" i="4"/>
  <c r="K103" i="4"/>
  <c r="I103" i="4"/>
  <c r="E103" i="4"/>
  <c r="C103" i="4"/>
  <c r="B103" i="4"/>
  <c r="O102" i="4"/>
  <c r="N102" i="4"/>
  <c r="L102" i="4"/>
  <c r="K102" i="4"/>
  <c r="I102" i="4"/>
  <c r="E102" i="4"/>
  <c r="C102" i="4"/>
  <c r="B102" i="4"/>
  <c r="O101" i="4"/>
  <c r="N101" i="4"/>
  <c r="L101" i="4"/>
  <c r="K101" i="4"/>
  <c r="I101" i="4"/>
  <c r="E101" i="4"/>
  <c r="C101" i="4"/>
  <c r="B101" i="4"/>
  <c r="O100" i="4"/>
  <c r="N100" i="4"/>
  <c r="L100" i="4"/>
  <c r="K100" i="4"/>
  <c r="I100" i="4"/>
  <c r="E100" i="4"/>
  <c r="C100" i="4"/>
  <c r="B100" i="4"/>
  <c r="O99" i="4"/>
  <c r="N99" i="4"/>
  <c r="L99" i="4"/>
  <c r="K99" i="4"/>
  <c r="I99" i="4"/>
  <c r="E99" i="4"/>
  <c r="C99" i="4"/>
  <c r="B99" i="4"/>
  <c r="O98" i="4"/>
  <c r="N98" i="4"/>
  <c r="L98" i="4"/>
  <c r="K98" i="4"/>
  <c r="I98" i="4"/>
  <c r="E98" i="4"/>
  <c r="C98" i="4"/>
  <c r="B98" i="4"/>
  <c r="O97" i="4"/>
  <c r="N97" i="4"/>
  <c r="L97" i="4"/>
  <c r="K97" i="4"/>
  <c r="I97" i="4"/>
  <c r="E97" i="4"/>
  <c r="C97" i="4"/>
  <c r="B97" i="4"/>
  <c r="O96" i="4"/>
  <c r="N96" i="4"/>
  <c r="L96" i="4"/>
  <c r="K96" i="4"/>
  <c r="I96" i="4"/>
  <c r="E96" i="4"/>
  <c r="C96" i="4"/>
  <c r="B96" i="4"/>
  <c r="O95" i="4"/>
  <c r="N95" i="4"/>
  <c r="L95" i="4"/>
  <c r="K95" i="4"/>
  <c r="I95" i="4"/>
  <c r="E95" i="4"/>
  <c r="C95" i="4"/>
  <c r="B95" i="4"/>
  <c r="O94" i="4"/>
  <c r="N94" i="4"/>
  <c r="L94" i="4"/>
  <c r="K94" i="4"/>
  <c r="I94" i="4"/>
  <c r="E94" i="4"/>
  <c r="C94" i="4"/>
  <c r="B94" i="4"/>
  <c r="O93" i="4"/>
  <c r="N93" i="4"/>
  <c r="L93" i="4"/>
  <c r="K93" i="4"/>
  <c r="I93" i="4"/>
  <c r="E93" i="4"/>
  <c r="C93" i="4"/>
  <c r="B93" i="4"/>
  <c r="O92" i="4"/>
  <c r="N92" i="4"/>
  <c r="L92" i="4"/>
  <c r="K92" i="4"/>
  <c r="I92" i="4"/>
  <c r="E92" i="4"/>
  <c r="C92" i="4"/>
  <c r="B92" i="4"/>
  <c r="O91" i="4"/>
  <c r="N91" i="4"/>
  <c r="L91" i="4"/>
  <c r="K91" i="4"/>
  <c r="I91" i="4"/>
  <c r="E91" i="4"/>
  <c r="C91" i="4"/>
  <c r="B91" i="4"/>
  <c r="O90" i="4"/>
  <c r="N90" i="4"/>
  <c r="L90" i="4"/>
  <c r="K90" i="4"/>
  <c r="I90" i="4"/>
  <c r="E90" i="4"/>
  <c r="C90" i="4"/>
  <c r="B90" i="4"/>
  <c r="O89" i="4"/>
  <c r="N89" i="4"/>
  <c r="L89" i="4"/>
  <c r="K89" i="4"/>
  <c r="I89" i="4"/>
  <c r="E89" i="4"/>
  <c r="C89" i="4"/>
  <c r="B89" i="4"/>
  <c r="O88" i="4"/>
  <c r="N88" i="4"/>
  <c r="L88" i="4"/>
  <c r="K88" i="4"/>
  <c r="I88" i="4"/>
  <c r="E88" i="4"/>
  <c r="C88" i="4"/>
  <c r="B88" i="4"/>
  <c r="O87" i="4"/>
  <c r="N87" i="4"/>
  <c r="L87" i="4"/>
  <c r="K87" i="4"/>
  <c r="I87" i="4"/>
  <c r="E87" i="4"/>
  <c r="C87" i="4"/>
  <c r="B87" i="4"/>
  <c r="O86" i="4"/>
  <c r="N86" i="4"/>
  <c r="L86" i="4"/>
  <c r="K86" i="4"/>
  <c r="I86" i="4"/>
  <c r="E86" i="4"/>
  <c r="C86" i="4"/>
  <c r="B86" i="4"/>
  <c r="O85" i="4"/>
  <c r="N85" i="4"/>
  <c r="L85" i="4"/>
  <c r="K85" i="4"/>
  <c r="I85" i="4"/>
  <c r="E85" i="4"/>
  <c r="C85" i="4"/>
  <c r="B85" i="4"/>
  <c r="O84" i="4"/>
  <c r="N84" i="4"/>
  <c r="L84" i="4"/>
  <c r="K84" i="4"/>
  <c r="I84" i="4"/>
  <c r="E84" i="4"/>
  <c r="C84" i="4"/>
  <c r="B84" i="4"/>
  <c r="O83" i="4"/>
  <c r="N83" i="4"/>
  <c r="L83" i="4"/>
  <c r="K83" i="4"/>
  <c r="I83" i="4"/>
  <c r="E83" i="4"/>
  <c r="C83" i="4"/>
  <c r="B83" i="4"/>
  <c r="O82" i="4"/>
  <c r="N82" i="4"/>
  <c r="L82" i="4"/>
  <c r="K82" i="4"/>
  <c r="I82" i="4"/>
  <c r="E82" i="4"/>
  <c r="C82" i="4"/>
  <c r="B82" i="4"/>
  <c r="O81" i="4"/>
  <c r="N81" i="4"/>
  <c r="L81" i="4"/>
  <c r="K81" i="4"/>
  <c r="I81" i="4"/>
  <c r="E81" i="4"/>
  <c r="C81" i="4"/>
  <c r="B81" i="4"/>
  <c r="O80" i="4"/>
  <c r="N80" i="4"/>
  <c r="L80" i="4"/>
  <c r="K80" i="4"/>
  <c r="I80" i="4"/>
  <c r="E80" i="4"/>
  <c r="C80" i="4"/>
  <c r="B80" i="4"/>
  <c r="O79" i="4"/>
  <c r="N79" i="4"/>
  <c r="L79" i="4"/>
  <c r="K79" i="4"/>
  <c r="I79" i="4"/>
  <c r="E79" i="4"/>
  <c r="C79" i="4"/>
  <c r="B79" i="4"/>
  <c r="O78" i="4"/>
  <c r="N78" i="4"/>
  <c r="L78" i="4"/>
  <c r="K78" i="4"/>
  <c r="I78" i="4"/>
  <c r="E78" i="4"/>
  <c r="C78" i="4"/>
  <c r="B78" i="4"/>
  <c r="O77" i="4"/>
  <c r="N77" i="4"/>
  <c r="L77" i="4"/>
  <c r="K77" i="4"/>
  <c r="I77" i="4"/>
  <c r="E77" i="4"/>
  <c r="C77" i="4"/>
  <c r="B77" i="4"/>
  <c r="O76" i="4"/>
  <c r="N76" i="4"/>
  <c r="L76" i="4"/>
  <c r="K76" i="4"/>
  <c r="I76" i="4"/>
  <c r="E76" i="4"/>
  <c r="C76" i="4"/>
  <c r="B76" i="4"/>
  <c r="O75" i="4"/>
  <c r="N75" i="4"/>
  <c r="L75" i="4"/>
  <c r="K75" i="4"/>
  <c r="I75" i="4"/>
  <c r="E75" i="4"/>
  <c r="C75" i="4"/>
  <c r="B75" i="4"/>
  <c r="O74" i="4"/>
  <c r="N74" i="4"/>
  <c r="L74" i="4"/>
  <c r="K74" i="4"/>
  <c r="I74" i="4"/>
  <c r="E74" i="4"/>
  <c r="C74" i="4"/>
  <c r="B74" i="4"/>
  <c r="O73" i="4"/>
  <c r="N73" i="4"/>
  <c r="L73" i="4"/>
  <c r="K73" i="4"/>
  <c r="I73" i="4"/>
  <c r="E73" i="4"/>
  <c r="C73" i="4"/>
  <c r="B73" i="4"/>
  <c r="O72" i="4"/>
  <c r="N72" i="4"/>
  <c r="L72" i="4"/>
  <c r="K72" i="4"/>
  <c r="I72" i="4"/>
  <c r="E72" i="4"/>
  <c r="C72" i="4"/>
  <c r="B72" i="4"/>
  <c r="O71" i="4"/>
  <c r="N71" i="4"/>
  <c r="L71" i="4"/>
  <c r="K71" i="4"/>
  <c r="I71" i="4"/>
  <c r="E71" i="4"/>
  <c r="C71" i="4"/>
  <c r="B71" i="4"/>
  <c r="O70" i="4"/>
  <c r="N70" i="4"/>
  <c r="L70" i="4"/>
  <c r="K70" i="4"/>
  <c r="I70" i="4"/>
  <c r="E70" i="4"/>
  <c r="C70" i="4"/>
  <c r="B70" i="4"/>
  <c r="O69" i="4"/>
  <c r="N69" i="4"/>
  <c r="L69" i="4"/>
  <c r="K69" i="4"/>
  <c r="I69" i="4"/>
  <c r="E69" i="4"/>
  <c r="C69" i="4"/>
  <c r="B69" i="4"/>
  <c r="O68" i="4"/>
  <c r="N68" i="4"/>
  <c r="L68" i="4"/>
  <c r="K68" i="4"/>
  <c r="I68" i="4"/>
  <c r="E68" i="4"/>
  <c r="C68" i="4"/>
  <c r="B68" i="4"/>
  <c r="O67" i="4"/>
  <c r="N67" i="4"/>
  <c r="L67" i="4"/>
  <c r="K67" i="4"/>
  <c r="I67" i="4"/>
  <c r="E67" i="4"/>
  <c r="C67" i="4"/>
  <c r="B67" i="4"/>
  <c r="O66" i="4"/>
  <c r="N66" i="4"/>
  <c r="L66" i="4"/>
  <c r="K66" i="4"/>
  <c r="I66" i="4"/>
  <c r="E66" i="4"/>
  <c r="C66" i="4"/>
  <c r="B66" i="4"/>
  <c r="O65" i="4"/>
  <c r="N65" i="4"/>
  <c r="L65" i="4"/>
  <c r="K65" i="4"/>
  <c r="I65" i="4"/>
  <c r="E65" i="4"/>
  <c r="C65" i="4"/>
  <c r="B65" i="4"/>
  <c r="O64" i="4"/>
  <c r="N64" i="4"/>
  <c r="L64" i="4"/>
  <c r="K64" i="4"/>
  <c r="I64" i="4"/>
  <c r="E64" i="4"/>
  <c r="C64" i="4"/>
  <c r="B64" i="4"/>
  <c r="O63" i="4"/>
  <c r="N63" i="4"/>
  <c r="L63" i="4"/>
  <c r="K63" i="4"/>
  <c r="I63" i="4"/>
  <c r="E63" i="4"/>
  <c r="C63" i="4"/>
  <c r="B63" i="4"/>
  <c r="O62" i="4"/>
  <c r="N62" i="4"/>
  <c r="L62" i="4"/>
  <c r="K62" i="4"/>
  <c r="I62" i="4"/>
  <c r="E62" i="4"/>
  <c r="C62" i="4"/>
  <c r="B62" i="4"/>
  <c r="O61" i="4"/>
  <c r="N61" i="4"/>
  <c r="L61" i="4"/>
  <c r="K61" i="4"/>
  <c r="I61" i="4"/>
  <c r="E61" i="4"/>
  <c r="C61" i="4"/>
  <c r="B61" i="4"/>
  <c r="O60" i="4"/>
  <c r="N60" i="4"/>
  <c r="L60" i="4"/>
  <c r="K60" i="4"/>
  <c r="I60" i="4"/>
  <c r="E60" i="4"/>
  <c r="C60" i="4"/>
  <c r="B60" i="4"/>
  <c r="O59" i="4"/>
  <c r="N59" i="4"/>
  <c r="L59" i="4"/>
  <c r="K59" i="4"/>
  <c r="I59" i="4"/>
  <c r="E59" i="4"/>
  <c r="C59" i="4"/>
  <c r="B59" i="4"/>
  <c r="O58" i="4"/>
  <c r="N58" i="4"/>
  <c r="L58" i="4"/>
  <c r="K58" i="4"/>
  <c r="I58" i="4"/>
  <c r="E58" i="4"/>
  <c r="C58" i="4"/>
  <c r="B58" i="4"/>
  <c r="O57" i="4"/>
  <c r="N57" i="4"/>
  <c r="L57" i="4"/>
  <c r="K57" i="4"/>
  <c r="I57" i="4"/>
  <c r="E57" i="4"/>
  <c r="C57" i="4"/>
  <c r="B57" i="4"/>
  <c r="O56" i="4"/>
  <c r="N56" i="4"/>
  <c r="L56" i="4"/>
  <c r="K56" i="4"/>
  <c r="I56" i="4"/>
  <c r="E56" i="4"/>
  <c r="C56" i="4"/>
  <c r="B56" i="4"/>
  <c r="O55" i="4"/>
  <c r="N55" i="4"/>
  <c r="L55" i="4"/>
  <c r="K55" i="4"/>
  <c r="I55" i="4"/>
  <c r="E55" i="4"/>
  <c r="C55" i="4"/>
  <c r="B55" i="4"/>
  <c r="O54" i="4"/>
  <c r="N54" i="4"/>
  <c r="L54" i="4"/>
  <c r="K54" i="4"/>
  <c r="I54" i="4"/>
  <c r="E54" i="4"/>
  <c r="C54" i="4"/>
  <c r="B54" i="4"/>
  <c r="O53" i="4"/>
  <c r="N53" i="4"/>
  <c r="L53" i="4"/>
  <c r="K53" i="4"/>
  <c r="I53" i="4"/>
  <c r="E53" i="4"/>
  <c r="C53" i="4"/>
  <c r="B53" i="4"/>
  <c r="O52" i="4"/>
  <c r="N52" i="4"/>
  <c r="L52" i="4"/>
  <c r="K52" i="4"/>
  <c r="I52" i="4"/>
  <c r="E52" i="4"/>
  <c r="C52" i="4"/>
  <c r="B52" i="4"/>
  <c r="O51" i="4"/>
  <c r="N51" i="4"/>
  <c r="L51" i="4"/>
  <c r="K51" i="4"/>
  <c r="I51" i="4"/>
  <c r="E51" i="4"/>
  <c r="C51" i="4"/>
  <c r="B51" i="4"/>
  <c r="O50" i="4"/>
  <c r="N50" i="4"/>
  <c r="L50" i="4"/>
  <c r="K50" i="4"/>
  <c r="I50" i="4"/>
  <c r="E50" i="4"/>
  <c r="C50" i="4"/>
  <c r="B50" i="4"/>
  <c r="O49" i="4"/>
  <c r="N49" i="4"/>
  <c r="L49" i="4"/>
  <c r="K49" i="4"/>
  <c r="I49" i="4"/>
  <c r="E49" i="4"/>
  <c r="C49" i="4"/>
  <c r="B49" i="4"/>
  <c r="O48" i="4"/>
  <c r="N48" i="4"/>
  <c r="L48" i="4"/>
  <c r="K48" i="4"/>
  <c r="I48" i="4"/>
  <c r="E48" i="4"/>
  <c r="C48" i="4"/>
  <c r="B48" i="4"/>
  <c r="O47" i="4"/>
  <c r="N47" i="4"/>
  <c r="L47" i="4"/>
  <c r="K47" i="4"/>
  <c r="I47" i="4"/>
  <c r="E47" i="4"/>
  <c r="C47" i="4"/>
  <c r="B47" i="4"/>
  <c r="O46" i="4"/>
  <c r="N46" i="4"/>
  <c r="L46" i="4"/>
  <c r="K46" i="4"/>
  <c r="I46" i="4"/>
  <c r="E46" i="4"/>
  <c r="C46" i="4"/>
  <c r="B46" i="4"/>
  <c r="O45" i="4"/>
  <c r="N45" i="4"/>
  <c r="L45" i="4"/>
  <c r="K45" i="4"/>
  <c r="I45" i="4"/>
  <c r="E45" i="4"/>
  <c r="C45" i="4"/>
  <c r="B45" i="4"/>
  <c r="O44" i="4"/>
  <c r="N44" i="4"/>
  <c r="L44" i="4"/>
  <c r="K44" i="4"/>
  <c r="I44" i="4"/>
  <c r="E44" i="4"/>
  <c r="C44" i="4"/>
  <c r="B44" i="4"/>
  <c r="O43" i="4"/>
  <c r="N43" i="4"/>
  <c r="L43" i="4"/>
  <c r="K43" i="4"/>
  <c r="I43" i="4"/>
  <c r="E43" i="4"/>
  <c r="C43" i="4"/>
  <c r="B43" i="4"/>
  <c r="O42" i="4"/>
  <c r="N42" i="4"/>
  <c r="L42" i="4"/>
  <c r="K42" i="4"/>
  <c r="I42" i="4"/>
  <c r="E42" i="4"/>
  <c r="C42" i="4"/>
  <c r="B42" i="4"/>
  <c r="O41" i="4"/>
  <c r="N41" i="4"/>
  <c r="L41" i="4"/>
  <c r="K41" i="4"/>
  <c r="I41" i="4"/>
  <c r="E41" i="4"/>
  <c r="C41" i="4"/>
  <c r="B41" i="4"/>
  <c r="O40" i="4"/>
  <c r="N40" i="4"/>
  <c r="L40" i="4"/>
  <c r="K40" i="4"/>
  <c r="I40" i="4"/>
  <c r="E40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N4" i="4"/>
  <c r="O4" i="4" s="1"/>
  <c r="K4" i="4"/>
  <c r="L4" i="4" s="1"/>
  <c r="I4" i="4"/>
  <c r="C4" i="4"/>
  <c r="B4" i="4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C2" i="16" l="1"/>
  <c r="O7" i="16"/>
  <c r="O8" i="16" s="1"/>
  <c r="S10" i="6"/>
  <c r="G10" i="11" s="1"/>
  <c r="S8" i="6"/>
  <c r="G8" i="11" s="1"/>
  <c r="S16" i="6"/>
  <c r="G16" i="11" s="1"/>
  <c r="S15" i="6"/>
  <c r="G15" i="11" s="1"/>
  <c r="S5" i="6"/>
  <c r="G5" i="11" s="1"/>
  <c r="S14" i="6"/>
  <c r="G14" i="11" s="1"/>
  <c r="S13" i="6"/>
  <c r="G13" i="11" s="1"/>
  <c r="S6" i="6"/>
  <c r="G6" i="11" s="1"/>
  <c r="S12" i="6"/>
  <c r="G12" i="11" s="1"/>
  <c r="S11" i="6"/>
  <c r="G11" i="11" s="1"/>
  <c r="S7" i="6"/>
  <c r="G7" i="11" s="1"/>
  <c r="S9" i="6"/>
  <c r="G9" i="11" s="1"/>
  <c r="S8" i="4"/>
  <c r="S18" i="4"/>
  <c r="S28" i="4"/>
  <c r="S38" i="4"/>
  <c r="S48" i="4"/>
  <c r="S58" i="4"/>
  <c r="E58" i="11" s="1"/>
  <c r="S68" i="4"/>
  <c r="E68" i="11" s="1"/>
  <c r="S78" i="4"/>
  <c r="E78" i="11" s="1"/>
  <c r="S88" i="4"/>
  <c r="S98" i="4"/>
  <c r="E98" i="11" s="1"/>
  <c r="S9" i="4"/>
  <c r="S19" i="4"/>
  <c r="E19" i="11" s="1"/>
  <c r="M19" i="11" s="1"/>
  <c r="S29" i="4"/>
  <c r="S39" i="4"/>
  <c r="E39" i="11" s="1"/>
  <c r="S49" i="4"/>
  <c r="S59" i="4"/>
  <c r="S69" i="4"/>
  <c r="E69" i="11" s="1"/>
  <c r="S79" i="4"/>
  <c r="E79" i="11" s="1"/>
  <c r="S89" i="4"/>
  <c r="E89" i="11" s="1"/>
  <c r="S99" i="4"/>
  <c r="E99" i="11" s="1"/>
  <c r="M99" i="11" s="1"/>
  <c r="S10" i="4"/>
  <c r="S20" i="4"/>
  <c r="S30" i="4"/>
  <c r="S40" i="4"/>
  <c r="S50" i="4"/>
  <c r="E50" i="11" s="1"/>
  <c r="S60" i="4"/>
  <c r="E60" i="11" s="1"/>
  <c r="S70" i="4"/>
  <c r="S80" i="4"/>
  <c r="E80" i="11" s="1"/>
  <c r="S90" i="4"/>
  <c r="E90" i="11" s="1"/>
  <c r="S100" i="4"/>
  <c r="E100" i="11" s="1"/>
  <c r="S11" i="4"/>
  <c r="S21" i="4"/>
  <c r="S31" i="4"/>
  <c r="S41" i="4"/>
  <c r="E41" i="11" s="1"/>
  <c r="S51" i="4"/>
  <c r="S61" i="4"/>
  <c r="E61" i="11" s="1"/>
  <c r="M61" i="11" s="1"/>
  <c r="S71" i="4"/>
  <c r="E71" i="11" s="1"/>
  <c r="S81" i="4"/>
  <c r="E81" i="11" s="1"/>
  <c r="S91" i="4"/>
  <c r="E91" i="11" s="1"/>
  <c r="S101" i="4"/>
  <c r="E101" i="11" s="1"/>
  <c r="S12" i="4"/>
  <c r="S22" i="4"/>
  <c r="S32" i="4"/>
  <c r="S42" i="4"/>
  <c r="S52" i="4"/>
  <c r="E52" i="11" s="1"/>
  <c r="M52" i="11" s="1"/>
  <c r="S62" i="4"/>
  <c r="E62" i="11" s="1"/>
  <c r="M62" i="11" s="1"/>
  <c r="S72" i="4"/>
  <c r="E72" i="11" s="1"/>
  <c r="M72" i="11" s="1"/>
  <c r="S82" i="4"/>
  <c r="E82" i="11" s="1"/>
  <c r="S92" i="4"/>
  <c r="E92" i="11" s="1"/>
  <c r="S102" i="4"/>
  <c r="E102" i="11" s="1"/>
  <c r="M102" i="11" s="1"/>
  <c r="S5" i="4"/>
  <c r="S13" i="4"/>
  <c r="S23" i="4"/>
  <c r="S33" i="4"/>
  <c r="S43" i="4"/>
  <c r="S53" i="4"/>
  <c r="E53" i="11" s="1"/>
  <c r="S63" i="4"/>
  <c r="E63" i="11" s="1"/>
  <c r="S73" i="4"/>
  <c r="S83" i="4"/>
  <c r="E83" i="11" s="1"/>
  <c r="S93" i="4"/>
  <c r="E93" i="11" s="1"/>
  <c r="S103" i="4"/>
  <c r="S14" i="4"/>
  <c r="S24" i="4"/>
  <c r="S34" i="4"/>
  <c r="E34" i="11" s="1"/>
  <c r="S44" i="4"/>
  <c r="E44" i="11" s="1"/>
  <c r="S54" i="4"/>
  <c r="S64" i="4"/>
  <c r="E64" i="11" s="1"/>
  <c r="M64" i="11" s="1"/>
  <c r="S74" i="4"/>
  <c r="E74" i="11" s="1"/>
  <c r="S84" i="4"/>
  <c r="E84" i="11" s="1"/>
  <c r="M84" i="11" s="1"/>
  <c r="S94" i="4"/>
  <c r="E94" i="11" s="1"/>
  <c r="S15" i="4"/>
  <c r="S25" i="4"/>
  <c r="S35" i="4"/>
  <c r="S45" i="4"/>
  <c r="S55" i="4"/>
  <c r="S65" i="4"/>
  <c r="S75" i="4"/>
  <c r="E75" i="11" s="1"/>
  <c r="S85" i="4"/>
  <c r="E85" i="11" s="1"/>
  <c r="S95" i="4"/>
  <c r="E95" i="11" s="1"/>
  <c r="S6" i="4"/>
  <c r="E6" i="11" s="1"/>
  <c r="S16" i="4"/>
  <c r="S26" i="4"/>
  <c r="S36" i="4"/>
  <c r="S46" i="4"/>
  <c r="E46" i="11" s="1"/>
  <c r="S56" i="4"/>
  <c r="E56" i="11" s="1"/>
  <c r="S66" i="4"/>
  <c r="S76" i="4"/>
  <c r="E76" i="11" s="1"/>
  <c r="S86" i="4"/>
  <c r="E86" i="11" s="1"/>
  <c r="S96" i="4"/>
  <c r="E96" i="11" s="1"/>
  <c r="S7" i="4"/>
  <c r="E7" i="11" s="1"/>
  <c r="S17" i="4"/>
  <c r="S27" i="4"/>
  <c r="E27" i="11" s="1"/>
  <c r="S37" i="4"/>
  <c r="S47" i="4"/>
  <c r="S57" i="4"/>
  <c r="S67" i="4"/>
  <c r="E67" i="11" s="1"/>
  <c r="S77" i="4"/>
  <c r="E77" i="11" s="1"/>
  <c r="S87" i="4"/>
  <c r="E87" i="11" s="1"/>
  <c r="M87" i="11" s="1"/>
  <c r="S97" i="4"/>
  <c r="E97" i="11" s="1"/>
  <c r="S4" i="4"/>
  <c r="E4" i="11" s="1"/>
  <c r="E9" i="11"/>
  <c r="M9" i="11" s="1"/>
  <c r="S84" i="8"/>
  <c r="I84" i="11" s="1"/>
  <c r="S72" i="8"/>
  <c r="I72" i="11" s="1"/>
  <c r="S52" i="8"/>
  <c r="I52" i="11" s="1"/>
  <c r="S31" i="8"/>
  <c r="I31" i="11" s="1"/>
  <c r="S21" i="8"/>
  <c r="I21" i="11" s="1"/>
  <c r="S11" i="8"/>
  <c r="I11" i="11" s="1"/>
  <c r="S99" i="8"/>
  <c r="I99" i="11" s="1"/>
  <c r="S89" i="8"/>
  <c r="S79" i="8"/>
  <c r="I79" i="11" s="1"/>
  <c r="S69" i="8"/>
  <c r="S59" i="8"/>
  <c r="S49" i="8"/>
  <c r="S29" i="8"/>
  <c r="I29" i="11" s="1"/>
  <c r="S9" i="8"/>
  <c r="I9" i="11" s="1"/>
  <c r="S18" i="8"/>
  <c r="I18" i="11" s="1"/>
  <c r="S8" i="8"/>
  <c r="I8" i="11" s="1"/>
  <c r="S85" i="8"/>
  <c r="S75" i="8"/>
  <c r="S65" i="8"/>
  <c r="I65" i="11" s="1"/>
  <c r="S55" i="8"/>
  <c r="S45" i="8"/>
  <c r="S95" i="8"/>
  <c r="S92" i="8"/>
  <c r="S82" i="8"/>
  <c r="S62" i="8"/>
  <c r="I62" i="11" s="1"/>
  <c r="S42" i="8"/>
  <c r="S32" i="8"/>
  <c r="I32" i="11" s="1"/>
  <c r="S22" i="8"/>
  <c r="I22" i="11" s="1"/>
  <c r="S12" i="8"/>
  <c r="I12" i="11" s="1"/>
  <c r="S20" i="8"/>
  <c r="I20" i="11" s="1"/>
  <c r="S28" i="8"/>
  <c r="I28" i="11" s="1"/>
  <c r="S94" i="8"/>
  <c r="S74" i="8"/>
  <c r="S64" i="8"/>
  <c r="I64" i="11" s="1"/>
  <c r="S54" i="8"/>
  <c r="I54" i="11" s="1"/>
  <c r="S44" i="8"/>
  <c r="I44" i="11" s="1"/>
  <c r="S103" i="8"/>
  <c r="I103" i="11" s="1"/>
  <c r="S93" i="8"/>
  <c r="S83" i="8"/>
  <c r="S73" i="8"/>
  <c r="S63" i="8"/>
  <c r="S53" i="8"/>
  <c r="I53" i="11" s="1"/>
  <c r="S43" i="8"/>
  <c r="S96" i="8"/>
  <c r="S86" i="8"/>
  <c r="I86" i="11" s="1"/>
  <c r="S76" i="8"/>
  <c r="I76" i="11" s="1"/>
  <c r="S66" i="8"/>
  <c r="S56" i="8"/>
  <c r="I56" i="11" s="1"/>
  <c r="S46" i="8"/>
  <c r="S101" i="8"/>
  <c r="S91" i="8"/>
  <c r="S81" i="8"/>
  <c r="I81" i="11" s="1"/>
  <c r="S71" i="8"/>
  <c r="I71" i="11" s="1"/>
  <c r="S61" i="8"/>
  <c r="I61" i="11" s="1"/>
  <c r="S51" i="8"/>
  <c r="I51" i="11" s="1"/>
  <c r="S41" i="8"/>
  <c r="I41" i="11" s="1"/>
  <c r="S100" i="8"/>
  <c r="S90" i="8"/>
  <c r="I90" i="11" s="1"/>
  <c r="S80" i="8"/>
  <c r="I80" i="11" s="1"/>
  <c r="S70" i="8"/>
  <c r="I70" i="11" s="1"/>
  <c r="S60" i="8"/>
  <c r="I60" i="11" s="1"/>
  <c r="S50" i="8"/>
  <c r="I50" i="11" s="1"/>
  <c r="S40" i="8"/>
  <c r="I40" i="11" s="1"/>
  <c r="S98" i="8"/>
  <c r="S88" i="8"/>
  <c r="I88" i="11" s="1"/>
  <c r="S78" i="8"/>
  <c r="I78" i="11" s="1"/>
  <c r="S68" i="8"/>
  <c r="I68" i="11" s="1"/>
  <c r="S58" i="8"/>
  <c r="I58" i="11" s="1"/>
  <c r="S48" i="8"/>
  <c r="I48" i="11" s="1"/>
  <c r="S36" i="8"/>
  <c r="I36" i="11" s="1"/>
  <c r="S26" i="8"/>
  <c r="I26" i="11" s="1"/>
  <c r="S16" i="8"/>
  <c r="I16" i="11" s="1"/>
  <c r="S6" i="8"/>
  <c r="I6" i="11" s="1"/>
  <c r="S35" i="8"/>
  <c r="I35" i="11" s="1"/>
  <c r="S25" i="8"/>
  <c r="I25" i="11" s="1"/>
  <c r="S15" i="8"/>
  <c r="I15" i="11" s="1"/>
  <c r="S5" i="8"/>
  <c r="I5" i="11" s="1"/>
  <c r="S34" i="8"/>
  <c r="I34" i="11" s="1"/>
  <c r="S24" i="8"/>
  <c r="I24" i="11" s="1"/>
  <c r="S14" i="8"/>
  <c r="I14" i="11" s="1"/>
  <c r="S33" i="8"/>
  <c r="I33" i="11" s="1"/>
  <c r="S23" i="8"/>
  <c r="I23" i="11" s="1"/>
  <c r="S13" i="8"/>
  <c r="I13" i="11" s="1"/>
  <c r="S39" i="8"/>
  <c r="I39" i="11" s="1"/>
  <c r="S38" i="8"/>
  <c r="I38" i="11" s="1"/>
  <c r="S37" i="8"/>
  <c r="I37" i="11" s="1"/>
  <c r="S27" i="8"/>
  <c r="I27" i="11" s="1"/>
  <c r="S17" i="8"/>
  <c r="I17" i="11" s="1"/>
  <c r="S7" i="8"/>
  <c r="I7" i="11" s="1"/>
  <c r="I101" i="11"/>
  <c r="I91" i="11"/>
  <c r="K87" i="11"/>
  <c r="K91" i="11"/>
  <c r="K86" i="11"/>
  <c r="K71" i="11"/>
  <c r="K66" i="11"/>
  <c r="K41" i="11"/>
  <c r="I93" i="11"/>
  <c r="I63" i="11"/>
  <c r="I94" i="11"/>
  <c r="I74" i="11"/>
  <c r="I98" i="11"/>
  <c r="E57" i="11"/>
  <c r="E47" i="11"/>
  <c r="M47" i="11" s="1"/>
  <c r="E59" i="11"/>
  <c r="E73" i="11"/>
  <c r="E103" i="11"/>
  <c r="E88" i="11"/>
  <c r="E49" i="11"/>
  <c r="E43" i="11"/>
  <c r="I100" i="11"/>
  <c r="I49" i="11"/>
  <c r="I75" i="11"/>
  <c r="E40" i="11"/>
  <c r="E48" i="11"/>
  <c r="E29" i="11"/>
  <c r="M29" i="11" s="1"/>
  <c r="E45" i="11"/>
  <c r="E21" i="11"/>
  <c r="M21" i="11" s="1"/>
  <c r="E42" i="11"/>
  <c r="E51" i="11"/>
  <c r="E54" i="11"/>
  <c r="E55" i="11"/>
  <c r="E38" i="11"/>
  <c r="E28" i="11"/>
  <c r="M28" i="11" s="1"/>
  <c r="E18" i="11"/>
  <c r="M18" i="11" s="1"/>
  <c r="E8" i="11"/>
  <c r="M8" i="11" s="1"/>
  <c r="E37" i="11"/>
  <c r="E17" i="11"/>
  <c r="E65" i="11"/>
  <c r="E66" i="11"/>
  <c r="E70" i="11"/>
  <c r="X4" i="3"/>
  <c r="D11" i="11"/>
  <c r="H44" i="11"/>
  <c r="H65" i="11"/>
  <c r="H96" i="11"/>
  <c r="H101" i="11"/>
  <c r="H43" i="11"/>
  <c r="H79" i="11"/>
  <c r="J82" i="11"/>
  <c r="H99" i="11"/>
  <c r="J81" i="11"/>
  <c r="H66" i="11"/>
  <c r="J59" i="11"/>
  <c r="H70" i="11"/>
  <c r="J53" i="11"/>
  <c r="H86" i="11"/>
  <c r="J52" i="11"/>
  <c r="H77" i="11"/>
  <c r="H83" i="11"/>
  <c r="J46" i="11"/>
  <c r="J51" i="11"/>
  <c r="J89" i="11"/>
  <c r="H81" i="11"/>
  <c r="H51" i="11"/>
  <c r="H76" i="11"/>
  <c r="H64" i="11"/>
  <c r="H68" i="11"/>
  <c r="H50" i="11"/>
  <c r="H75" i="11"/>
  <c r="J66" i="11"/>
  <c r="H45" i="11"/>
  <c r="H41" i="11"/>
  <c r="H47" i="11"/>
  <c r="H69" i="11"/>
  <c r="H73" i="11"/>
  <c r="H91" i="11"/>
  <c r="H93" i="11"/>
  <c r="J85" i="11"/>
  <c r="J86" i="11"/>
  <c r="J87" i="11"/>
  <c r="J84" i="11"/>
  <c r="H103" i="11"/>
  <c r="J43" i="11"/>
  <c r="J55" i="11"/>
  <c r="J56" i="11"/>
  <c r="H85" i="11"/>
  <c r="J63" i="11"/>
  <c r="J75" i="11"/>
  <c r="J101" i="11"/>
  <c r="BQ4" i="5"/>
  <c r="F4" i="11" s="1"/>
  <c r="H95" i="11"/>
  <c r="J76" i="11"/>
  <c r="D23" i="11"/>
  <c r="D13" i="11"/>
  <c r="L13" i="11" s="1"/>
  <c r="D32" i="11"/>
  <c r="D22" i="11"/>
  <c r="D30" i="11"/>
  <c r="L30" i="11" s="1"/>
  <c r="D20" i="11"/>
  <c r="L20" i="11" s="1"/>
  <c r="D10" i="11"/>
  <c r="L10" i="11" s="1"/>
  <c r="D45" i="11"/>
  <c r="D61" i="11"/>
  <c r="D70" i="11"/>
  <c r="D77" i="11"/>
  <c r="D85" i="11"/>
  <c r="D100" i="11"/>
  <c r="D34" i="11"/>
  <c r="L34" i="11" s="1"/>
  <c r="D24" i="11"/>
  <c r="L24" i="11" s="1"/>
  <c r="D14" i="11"/>
  <c r="L14" i="11" s="1"/>
  <c r="D38" i="11"/>
  <c r="L38" i="11" s="1"/>
  <c r="D28" i="11"/>
  <c r="L28" i="11" s="1"/>
  <c r="D18" i="11"/>
  <c r="L18" i="11" s="1"/>
  <c r="D8" i="11"/>
  <c r="L8" i="11" s="1"/>
  <c r="D48" i="11"/>
  <c r="D55" i="11"/>
  <c r="D72" i="11"/>
  <c r="D88" i="11"/>
  <c r="D102" i="11"/>
  <c r="D12" i="11"/>
  <c r="L12" i="11" s="1"/>
  <c r="D33" i="11"/>
  <c r="L33" i="11" s="1"/>
  <c r="D37" i="11"/>
  <c r="L37" i="11" s="1"/>
  <c r="D27" i="11"/>
  <c r="L27" i="11" s="1"/>
  <c r="D17" i="11"/>
  <c r="L17" i="11" s="1"/>
  <c r="D7" i="11"/>
  <c r="L7" i="11" s="1"/>
  <c r="D36" i="11"/>
  <c r="L36" i="11" s="1"/>
  <c r="D26" i="11"/>
  <c r="L26" i="11" s="1"/>
  <c r="D16" i="11"/>
  <c r="L16" i="11" s="1"/>
  <c r="D6" i="11"/>
  <c r="L6" i="11" s="1"/>
  <c r="D31" i="11"/>
  <c r="L31" i="11" s="1"/>
  <c r="D21" i="11"/>
  <c r="L21" i="11" s="1"/>
  <c r="D35" i="11"/>
  <c r="L35" i="11" s="1"/>
  <c r="D25" i="11"/>
  <c r="L25" i="11" s="1"/>
  <c r="D15" i="11"/>
  <c r="L15" i="11" s="1"/>
  <c r="D5" i="11"/>
  <c r="L5" i="11" s="1"/>
  <c r="D39" i="11"/>
  <c r="L39" i="11" s="1"/>
  <c r="D29" i="11"/>
  <c r="L29" i="11" s="1"/>
  <c r="D19" i="11"/>
  <c r="L19" i="11" s="1"/>
  <c r="D9" i="11"/>
  <c r="L9" i="11" s="1"/>
  <c r="D51" i="11"/>
  <c r="D68" i="11"/>
  <c r="D92" i="11"/>
  <c r="D44" i="11"/>
  <c r="D52" i="11"/>
  <c r="D60" i="11"/>
  <c r="D84" i="11"/>
  <c r="D54" i="11"/>
  <c r="D62" i="11"/>
  <c r="D78" i="11"/>
  <c r="D94" i="11"/>
  <c r="D101" i="11"/>
  <c r="D47" i="11"/>
  <c r="D71" i="11"/>
  <c r="D87" i="11"/>
  <c r="D95" i="11"/>
  <c r="D64" i="11"/>
  <c r="D80" i="11"/>
  <c r="D40" i="11"/>
  <c r="D74" i="11"/>
  <c r="D97" i="11"/>
  <c r="D41" i="11"/>
  <c r="D50" i="11"/>
  <c r="D82" i="11"/>
  <c r="D90" i="11"/>
  <c r="L11" i="11"/>
  <c r="D57" i="11"/>
  <c r="D65" i="11"/>
  <c r="D81" i="11"/>
  <c r="D42" i="11"/>
  <c r="D58" i="11"/>
  <c r="D67" i="11"/>
  <c r="D75" i="11"/>
  <c r="D91" i="11"/>
  <c r="D98" i="11"/>
  <c r="D103" i="11"/>
  <c r="E12" i="11"/>
  <c r="E36" i="11"/>
  <c r="E26" i="11"/>
  <c r="M26" i="11" s="1"/>
  <c r="E16" i="11"/>
  <c r="M16" i="11" s="1"/>
  <c r="E35" i="11"/>
  <c r="M35" i="11" s="1"/>
  <c r="E25" i="11"/>
  <c r="E15" i="11"/>
  <c r="E5" i="11"/>
  <c r="E24" i="11"/>
  <c r="E14" i="11"/>
  <c r="E30" i="11"/>
  <c r="M30" i="11" s="1"/>
  <c r="E20" i="11"/>
  <c r="M20" i="11" s="1"/>
  <c r="E10" i="11"/>
  <c r="M10" i="11" s="1"/>
  <c r="E32" i="11"/>
  <c r="M32" i="11" s="1"/>
  <c r="E22" i="11"/>
  <c r="M22" i="11" s="1"/>
  <c r="E31" i="11"/>
  <c r="E11" i="11"/>
  <c r="E33" i="11"/>
  <c r="E23" i="11"/>
  <c r="E13" i="11"/>
  <c r="D4" i="11"/>
  <c r="L32" i="11"/>
  <c r="L22" i="11"/>
  <c r="D69" i="11"/>
  <c r="D53" i="11"/>
  <c r="D96" i="11"/>
  <c r="D66" i="11"/>
  <c r="D79" i="11"/>
  <c r="D93" i="11"/>
  <c r="D56" i="11"/>
  <c r="D49" i="11"/>
  <c r="D76" i="11"/>
  <c r="D89" i="11"/>
  <c r="D46" i="11"/>
  <c r="D59" i="11"/>
  <c r="D73" i="11"/>
  <c r="D43" i="11"/>
  <c r="D63" i="11"/>
  <c r="D86" i="11"/>
  <c r="D99" i="11"/>
  <c r="D83" i="11"/>
  <c r="H56" i="11"/>
  <c r="H55" i="11"/>
  <c r="H53" i="11"/>
  <c r="H54" i="11"/>
  <c r="H52" i="11"/>
  <c r="H48" i="11"/>
  <c r="H49" i="11"/>
  <c r="H46" i="11"/>
  <c r="H71" i="11"/>
  <c r="H40" i="11"/>
  <c r="H42" i="11"/>
  <c r="H60" i="11"/>
  <c r="H61" i="11"/>
  <c r="H62" i="11"/>
  <c r="H63" i="11"/>
  <c r="S4" i="6"/>
  <c r="G4" i="11" s="1"/>
  <c r="BQ4" i="7"/>
  <c r="H4" i="11" s="1"/>
  <c r="H57" i="11"/>
  <c r="H58" i="11"/>
  <c r="H59" i="11"/>
  <c r="H72" i="11"/>
  <c r="H94" i="11"/>
  <c r="I43" i="11"/>
  <c r="I55" i="11"/>
  <c r="I57" i="11"/>
  <c r="I66" i="11"/>
  <c r="H100" i="11"/>
  <c r="J90" i="11"/>
  <c r="J91" i="11"/>
  <c r="J92" i="11"/>
  <c r="H67" i="11"/>
  <c r="H74" i="11"/>
  <c r="H98" i="11"/>
  <c r="H102" i="11"/>
  <c r="S4" i="8"/>
  <c r="I4" i="11" s="1"/>
  <c r="I67" i="11"/>
  <c r="J40" i="11"/>
  <c r="H80" i="11"/>
  <c r="H97" i="11"/>
  <c r="I89" i="11"/>
  <c r="J41" i="11"/>
  <c r="J42" i="11"/>
  <c r="J44" i="11"/>
  <c r="J45" i="11"/>
  <c r="J83" i="11"/>
  <c r="J88" i="11"/>
  <c r="BQ4" i="9"/>
  <c r="J4" i="11" s="1"/>
  <c r="J50" i="11"/>
  <c r="H82" i="11"/>
  <c r="J47" i="11"/>
  <c r="J48" i="11"/>
  <c r="J49" i="11"/>
  <c r="J54" i="11"/>
  <c r="J80" i="11"/>
  <c r="H78" i="11"/>
  <c r="H84" i="11"/>
  <c r="I46" i="11"/>
  <c r="I73" i="11"/>
  <c r="I82" i="11"/>
  <c r="I85" i="11"/>
  <c r="I96" i="11"/>
  <c r="J60" i="11"/>
  <c r="J79" i="11"/>
  <c r="H90" i="11"/>
  <c r="I59" i="11"/>
  <c r="J57" i="11"/>
  <c r="J58" i="11"/>
  <c r="J61" i="11"/>
  <c r="J62" i="11"/>
  <c r="J64" i="11"/>
  <c r="J65" i="11"/>
  <c r="J73" i="11"/>
  <c r="J74" i="11"/>
  <c r="J77" i="11"/>
  <c r="J78" i="11"/>
  <c r="J97" i="11"/>
  <c r="J99" i="11"/>
  <c r="J100" i="11"/>
  <c r="J102" i="11"/>
  <c r="H88" i="11"/>
  <c r="I42" i="11"/>
  <c r="I45" i="11"/>
  <c r="I83" i="11"/>
  <c r="I92" i="11"/>
  <c r="I95" i="11"/>
  <c r="I97" i="11"/>
  <c r="J70" i="11"/>
  <c r="J95" i="11"/>
  <c r="J96" i="11"/>
  <c r="J103" i="11"/>
  <c r="H87" i="11"/>
  <c r="H89" i="11"/>
  <c r="H92" i="11"/>
  <c r="I69" i="11"/>
  <c r="J67" i="11"/>
  <c r="J68" i="11"/>
  <c r="J69" i="11"/>
  <c r="J71" i="11"/>
  <c r="J72" i="11"/>
  <c r="J93" i="11"/>
  <c r="J94" i="11"/>
  <c r="K54" i="11"/>
  <c r="K49" i="11"/>
  <c r="K73" i="11"/>
  <c r="K77" i="11"/>
  <c r="K81" i="11"/>
  <c r="K93" i="11"/>
  <c r="K46" i="11"/>
  <c r="K69" i="11"/>
  <c r="K89" i="11"/>
  <c r="K103" i="11"/>
  <c r="K59" i="11"/>
  <c r="K56" i="11"/>
  <c r="K79" i="11"/>
  <c r="J98" i="11"/>
  <c r="K76" i="11"/>
  <c r="K96" i="11"/>
  <c r="K53" i="11"/>
  <c r="K57" i="11"/>
  <c r="K101" i="11"/>
  <c r="L23" i="11"/>
  <c r="M12" i="11" l="1"/>
  <c r="M39" i="11"/>
  <c r="M67" i="11"/>
  <c r="M77" i="11"/>
  <c r="M94" i="11"/>
  <c r="M75" i="11"/>
  <c r="M63" i="11"/>
  <c r="M80" i="11"/>
  <c r="M51" i="11"/>
  <c r="M11" i="11"/>
  <c r="M88" i="11"/>
  <c r="M101" i="11"/>
  <c r="M31" i="11"/>
  <c r="M44" i="11"/>
  <c r="M15" i="11"/>
  <c r="M37" i="11"/>
  <c r="M6" i="11"/>
  <c r="M14" i="11"/>
  <c r="M36" i="11"/>
  <c r="M38" i="11"/>
  <c r="M58" i="11"/>
  <c r="M91" i="11"/>
  <c r="M70" i="11"/>
  <c r="M76" i="11"/>
  <c r="M81" i="11"/>
  <c r="M60" i="11"/>
  <c r="M27" i="11"/>
  <c r="M25" i="11"/>
  <c r="M5" i="11"/>
  <c r="M13" i="11"/>
  <c r="M23" i="11"/>
  <c r="M24" i="11"/>
  <c r="M7" i="11"/>
  <c r="M33" i="11"/>
  <c r="M34" i="11"/>
  <c r="M17" i="11"/>
  <c r="M41" i="11"/>
  <c r="M86" i="11"/>
  <c r="M71" i="11"/>
  <c r="M56" i="11"/>
  <c r="M103" i="11"/>
  <c r="M82" i="11"/>
  <c r="M74" i="11"/>
  <c r="M65" i="11"/>
  <c r="M100" i="11"/>
  <c r="M66" i="11"/>
  <c r="M98" i="11"/>
  <c r="M89" i="11"/>
  <c r="M79" i="11"/>
  <c r="M69" i="11"/>
  <c r="M54" i="11"/>
  <c r="M83" i="11"/>
  <c r="M53" i="11"/>
  <c r="M97" i="11"/>
  <c r="M78" i="11"/>
  <c r="M92" i="11"/>
  <c r="M45" i="11"/>
  <c r="M55" i="11"/>
  <c r="M93" i="11"/>
  <c r="M43" i="11"/>
  <c r="M90" i="11"/>
  <c r="M49" i="11"/>
  <c r="M50" i="11"/>
  <c r="M59" i="11"/>
  <c r="M68" i="11"/>
  <c r="M57" i="11"/>
  <c r="M48" i="11"/>
  <c r="M40" i="11"/>
  <c r="M73" i="11"/>
  <c r="M46" i="11"/>
  <c r="M85" i="11"/>
  <c r="M95" i="11"/>
  <c r="M42" i="11"/>
  <c r="M96" i="11"/>
  <c r="M4" i="11"/>
  <c r="L66" i="11"/>
  <c r="L101" i="11"/>
  <c r="L86" i="11"/>
  <c r="L51" i="11"/>
  <c r="L43" i="11"/>
  <c r="L45" i="11"/>
  <c r="L77" i="11"/>
  <c r="L95" i="11"/>
  <c r="L47" i="11"/>
  <c r="L55" i="11"/>
  <c r="L81" i="11"/>
  <c r="L46" i="11"/>
  <c r="L75" i="11"/>
  <c r="L48" i="11"/>
  <c r="L70" i="11"/>
  <c r="L76" i="11"/>
  <c r="L50" i="11"/>
  <c r="L88" i="11"/>
  <c r="L60" i="11"/>
  <c r="L82" i="11"/>
  <c r="L52" i="11"/>
  <c r="L41" i="11"/>
  <c r="L68" i="11"/>
  <c r="L42" i="11"/>
  <c r="L78" i="11"/>
  <c r="L102" i="11"/>
  <c r="L79" i="11"/>
  <c r="L100" i="11"/>
  <c r="L85" i="11"/>
  <c r="L59" i="11"/>
  <c r="L98" i="11"/>
  <c r="L64" i="11"/>
  <c r="L92" i="11"/>
  <c r="L61" i="11"/>
  <c r="L72" i="11"/>
  <c r="L87" i="11"/>
  <c r="L84" i="11"/>
  <c r="L62" i="11"/>
  <c r="L71" i="11"/>
  <c r="L103" i="11"/>
  <c r="L74" i="11"/>
  <c r="L80" i="11"/>
  <c r="L94" i="11"/>
  <c r="L44" i="11"/>
  <c r="L4" i="11"/>
  <c r="L54" i="11"/>
  <c r="L40" i="11"/>
  <c r="L65" i="11"/>
  <c r="L58" i="11"/>
  <c r="L67" i="11"/>
  <c r="L57" i="11"/>
  <c r="L99" i="11"/>
  <c r="L90" i="11"/>
  <c r="L69" i="11"/>
  <c r="L97" i="11"/>
  <c r="L91" i="11"/>
  <c r="L89" i="11"/>
  <c r="L53" i="11"/>
  <c r="L83" i="11"/>
  <c r="L93" i="11"/>
  <c r="L96" i="11"/>
  <c r="L73" i="11"/>
  <c r="L63" i="11"/>
  <c r="L49" i="11"/>
  <c r="L56" i="11"/>
</calcChain>
</file>

<file path=xl/sharedStrings.xml><?xml version="1.0" encoding="utf-8"?>
<sst xmlns="http://schemas.openxmlformats.org/spreadsheetml/2006/main" count="523" uniqueCount="92">
  <si>
    <t>TCF ACB Sınav Değerlendirme Sistemi (SDS) 2021</t>
  </si>
  <si>
    <t xml:space="preserve"> Sınava Ait Bilgiler</t>
  </si>
  <si>
    <t>Kursu veren</t>
  </si>
  <si>
    <t>:</t>
  </si>
  <si>
    <t>Türkiye Cimnastik Federasyonu</t>
  </si>
  <si>
    <t>Eğitmen</t>
  </si>
  <si>
    <t>Şehir</t>
  </si>
  <si>
    <t>ANTALYA</t>
  </si>
  <si>
    <t>Tarih</t>
  </si>
  <si>
    <t>Hakemlere Ait Bilgiler</t>
  </si>
  <si>
    <t>No.</t>
  </si>
  <si>
    <t>Soyadı</t>
  </si>
  <si>
    <t>Adı</t>
  </si>
  <si>
    <t>14. Dönem brövesi</t>
  </si>
  <si>
    <t>15. Dönem brövesi</t>
  </si>
  <si>
    <t>ATLAMA MASASI - D Puanı</t>
  </si>
  <si>
    <t>D1</t>
  </si>
  <si>
    <t>D2</t>
  </si>
  <si>
    <t>D3</t>
  </si>
  <si>
    <t>D4</t>
  </si>
  <si>
    <t>D5</t>
  </si>
  <si>
    <t>Hata</t>
  </si>
  <si>
    <t>P</t>
  </si>
  <si>
    <t>Ortalama</t>
  </si>
  <si>
    <t>ATLAMA MASASI - E Puanı</t>
  </si>
  <si>
    <t>E1</t>
  </si>
  <si>
    <t>E2</t>
  </si>
  <si>
    <t>E3</t>
  </si>
  <si>
    <t>E4</t>
  </si>
  <si>
    <t>E5</t>
  </si>
  <si>
    <t>KIZ PARALELI - D Puanı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</si>
  <si>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</si>
  <si>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</si>
  <si>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</si>
  <si>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</si>
  <si>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</si>
  <si>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</si>
  <si>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</si>
  <si>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</si>
  <si>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</si>
  <si>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</si>
  <si>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KG</t>
  </si>
  <si>
    <t>BD</t>
  </si>
  <si>
    <t>KIZ PARALELI - E Puanı</t>
  </si>
  <si>
    <t>DENGE - D Puanı</t>
  </si>
  <si>
    <t>DENGE - E Puanı</t>
  </si>
  <si>
    <t>YER - E Puanı</t>
  </si>
  <si>
    <t>SONUCLAR</t>
  </si>
  <si>
    <t>AtM</t>
  </si>
  <si>
    <t>KP</t>
  </si>
  <si>
    <t>Y</t>
  </si>
  <si>
    <t>D ortalama</t>
  </si>
  <si>
    <t>E ortalama</t>
  </si>
  <si>
    <t>Uzman - D puanları</t>
  </si>
  <si>
    <t>Kız Paraleli</t>
  </si>
  <si>
    <t>BD+Bns</t>
  </si>
  <si>
    <t>Denge</t>
  </si>
  <si>
    <t>Yer</t>
  </si>
  <si>
    <t>Atlama Masası</t>
  </si>
  <si>
    <t xml:space="preserve">UYARI: Bu tabloda yapilacak her hangi bir yer degisikligi (satir veya sutunlarin kaydirilmasi) dosyanin duzgun calismamasina </t>
  </si>
  <si>
    <t xml:space="preserve">neden olacaktir. Dosyanin duzgun calisabilmesi icin acik yesille renklendirilmis yerlere uzman puanlarini yaziniz ve hicbir </t>
  </si>
  <si>
    <t>hucreyi bos birakmayiniz.</t>
  </si>
  <si>
    <t>Uzman - E puanları</t>
  </si>
  <si>
    <t>D6</t>
  </si>
  <si>
    <t>D7</t>
  </si>
  <si>
    <t>D8</t>
  </si>
  <si>
    <t>D9</t>
  </si>
  <si>
    <t>D10</t>
  </si>
  <si>
    <r>
      <rPr>
        <sz val="13"/>
        <rFont val="Arial"/>
        <family val="2"/>
      </rPr>
      <t>Sayın:</t>
    </r>
  </si>
  <si>
    <r>
      <rPr>
        <sz val="13"/>
        <rFont val="Arial"/>
        <family val="2"/>
      </rPr>
      <t>Sınav sonuçlarınız "FIG " sınav değerlendirme punlamasına göre aşağıda belirtilmiştir.</t>
    </r>
  </si>
  <si>
    <r>
      <rPr>
        <b/>
        <sz val="12"/>
        <rFont val="Arial"/>
        <family val="2"/>
      </rPr>
      <t>Toplam</t>
    </r>
  </si>
  <si>
    <r>
      <rPr>
        <b/>
        <sz val="12"/>
        <rFont val="Arial"/>
        <family val="2"/>
      </rPr>
      <t>Adı</t>
    </r>
  </si>
  <si>
    <r>
      <rPr>
        <b/>
        <sz val="12"/>
        <rFont val="Arial"/>
        <family val="2"/>
      </rPr>
      <t>Soyadı</t>
    </r>
  </si>
  <si>
    <r>
      <rPr>
        <b/>
        <sz val="12"/>
        <rFont val="Arial"/>
        <family val="2"/>
      </rPr>
      <t>E</t>
    </r>
  </si>
  <si>
    <r>
      <rPr>
        <b/>
        <sz val="12"/>
        <rFont val="Arial"/>
        <family val="2"/>
      </rPr>
      <t>D</t>
    </r>
  </si>
  <si>
    <r>
      <rPr>
        <b/>
        <sz val="12"/>
        <rFont val="Arial"/>
        <family val="2"/>
      </rPr>
      <t>Ortalama</t>
    </r>
  </si>
  <si>
    <r>
      <rPr>
        <sz val="13"/>
        <rFont val="Arial"/>
        <family val="2"/>
      </rPr>
      <t>Cimnastik Sporuna verdiğiniz katkıdan dolayı teşekkür ederiz.</t>
    </r>
  </si>
  <si>
    <t xml:space="preserve">Atlama
</t>
  </si>
  <si>
    <t xml:space="preserve">Asimetrik Paralel
</t>
  </si>
  <si>
    <t xml:space="preserve">Denge
</t>
  </si>
  <si>
    <t xml:space="preserve">Yer
</t>
  </si>
  <si>
    <t xml:space="preserve">Ulusal düzeyde bröveniz;         </t>
  </si>
  <si>
    <t xml:space="preserve">Hakem Sıra No </t>
  </si>
  <si>
    <t>Yunus Emre</t>
  </si>
  <si>
    <t>İstanbul</t>
  </si>
  <si>
    <t>ADAY</t>
  </si>
  <si>
    <t>TÜRKİYE CİMNASTİK FEDERASYONU ARTİSTİK CİMNASTİK KADINLAR
2025 YILI HAKEM VİZE VE TERFİ SINAVI SONUÇLARI</t>
  </si>
  <si>
    <t>Deneme</t>
  </si>
  <si>
    <t>Hakem</t>
  </si>
  <si>
    <t>Milli</t>
  </si>
  <si>
    <t>Yalçıner</t>
  </si>
  <si>
    <t>Bölge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</si>
</sst>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indexed="8"/>
      <name val="Calibri"/>
    </font>
    <font>
      <sz val="10"/>
      <color indexed="8"/>
      <name val="Verdana"/>
      <family val="2"/>
    </font>
    <font>
      <b/>
      <sz val="14"/>
      <color indexed="11"/>
      <name val="Verdana"/>
      <family val="2"/>
    </font>
    <font>
      <sz val="10"/>
      <color indexed="11"/>
      <name val="Verdana"/>
      <family val="2"/>
    </font>
    <font>
      <sz val="20"/>
      <color indexed="11"/>
      <name val="Verdana"/>
      <family val="2"/>
    </font>
    <font>
      <sz val="14"/>
      <color indexed="12"/>
      <name val="Verdana"/>
      <family val="2"/>
    </font>
    <font>
      <sz val="14"/>
      <color indexed="8"/>
      <name val="Verdana"/>
      <family val="2"/>
    </font>
    <font>
      <sz val="14"/>
      <color indexed="11"/>
      <name val="Verdana"/>
      <family val="2"/>
    </font>
    <font>
      <sz val="14"/>
      <color indexed="14"/>
      <name val="Verdana"/>
      <family val="2"/>
    </font>
    <font>
      <b/>
      <sz val="10"/>
      <color indexed="8"/>
      <name val="Verdana"/>
      <family val="2"/>
    </font>
    <font>
      <sz val="10"/>
      <color indexed="8"/>
      <name val="Helvetica"/>
      <family val="2"/>
    </font>
    <font>
      <b/>
      <sz val="11"/>
      <color indexed="8"/>
      <name val="Calibri"/>
      <family val="2"/>
    </font>
    <font>
      <b/>
      <sz val="12"/>
      <color indexed="11"/>
      <name val="Verdana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13"/>
      <name val="Arial"/>
      <family val="2"/>
    </font>
    <font>
      <sz val="1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8.5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2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rgb="FFFFFF5B"/>
      </patternFill>
    </fill>
    <fill>
      <patternFill patternType="solid">
        <fgColor rgb="FFB5DF88"/>
      </patternFill>
    </fill>
    <fill>
      <patternFill patternType="solid">
        <fgColor theme="3" tint="0.59999389629810485"/>
        <bgColor indexed="64"/>
      </patternFill>
    </fill>
  </fills>
  <borders count="8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10"/>
      </right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10"/>
      </top>
      <bottom style="medium">
        <color indexed="8"/>
      </bottom>
      <diagonal/>
    </border>
    <border>
      <left/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24" fillId="0" borderId="5"/>
  </cellStyleXfs>
  <cellXfs count="252">
    <xf numFmtId="0" fontId="0" fillId="0" borderId="0" xfId="0"/>
    <xf numFmtId="0" fontId="0" fillId="0" borderId="0" xfId="0" applyNumberFormat="1"/>
    <xf numFmtId="0" fontId="1" fillId="2" borderId="1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1" fillId="2" borderId="4" xfId="0" applyNumberFormat="1" applyFont="1" applyFill="1" applyBorder="1" applyAlignment="1">
      <alignment vertical="center"/>
    </xf>
    <xf numFmtId="0" fontId="2" fillId="2" borderId="5" xfId="0" applyNumberFormat="1" applyFont="1" applyFill="1" applyBorder="1" applyAlignment="1">
      <alignment horizontal="center" vertical="top"/>
    </xf>
    <xf numFmtId="0" fontId="1" fillId="2" borderId="6" xfId="0" applyNumberFormat="1" applyFont="1" applyFill="1" applyBorder="1" applyAlignment="1">
      <alignment vertical="center"/>
    </xf>
    <xf numFmtId="0" fontId="3" fillId="2" borderId="5" xfId="0" applyNumberFormat="1" applyFont="1" applyFill="1" applyBorder="1" applyAlignment="1">
      <alignment horizontal="center" vertical="top"/>
    </xf>
    <xf numFmtId="0" fontId="1" fillId="2" borderId="5" xfId="0" applyNumberFormat="1" applyFont="1" applyFill="1" applyBorder="1" applyAlignment="1">
      <alignment vertical="center"/>
    </xf>
    <xf numFmtId="49" fontId="5" fillId="2" borderId="5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vertical="center"/>
    </xf>
    <xf numFmtId="0" fontId="7" fillId="2" borderId="5" xfId="0" applyNumberFormat="1" applyFont="1" applyFill="1" applyBorder="1" applyAlignment="1">
      <alignment vertical="center"/>
    </xf>
    <xf numFmtId="0" fontId="3" fillId="2" borderId="5" xfId="0" applyNumberFormat="1" applyFont="1" applyFill="1" applyBorder="1" applyAlignment="1">
      <alignment vertical="center"/>
    </xf>
    <xf numFmtId="0" fontId="6" fillId="2" borderId="5" xfId="0" applyNumberFormat="1" applyFont="1" applyFill="1" applyBorder="1" applyAlignment="1">
      <alignment vertical="center"/>
    </xf>
    <xf numFmtId="49" fontId="7" fillId="2" borderId="5" xfId="0" applyNumberFormat="1" applyFont="1" applyFill="1" applyBorder="1" applyAlignment="1">
      <alignment vertical="center"/>
    </xf>
    <xf numFmtId="0" fontId="6" fillId="3" borderId="5" xfId="0" applyNumberFormat="1" applyFont="1" applyFill="1" applyBorder="1" applyAlignment="1">
      <alignment vertical="center"/>
    </xf>
    <xf numFmtId="14" fontId="6" fillId="3" borderId="5" xfId="0" applyNumberFormat="1" applyFont="1" applyFill="1" applyBorder="1" applyAlignment="1">
      <alignment horizontal="left" vertical="center"/>
    </xf>
    <xf numFmtId="0" fontId="5" fillId="2" borderId="5" xfId="0" applyNumberFormat="1" applyFont="1" applyFill="1" applyBorder="1"/>
    <xf numFmtId="0" fontId="3" fillId="2" borderId="5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left" vertical="center"/>
    </xf>
    <xf numFmtId="0" fontId="8" fillId="2" borderId="5" xfId="0" applyNumberFormat="1" applyFont="1" applyFill="1" applyBorder="1"/>
    <xf numFmtId="0" fontId="1" fillId="3" borderId="7" xfId="0" applyNumberFormat="1" applyFont="1" applyFill="1" applyBorder="1" applyAlignment="1">
      <alignment vertical="center"/>
    </xf>
    <xf numFmtId="0" fontId="1" fillId="3" borderId="8" xfId="0" applyNumberFormat="1" applyFont="1" applyFill="1" applyBorder="1" applyAlignment="1">
      <alignment vertical="center"/>
    </xf>
    <xf numFmtId="0" fontId="0" fillId="3" borderId="8" xfId="0" applyNumberFormat="1" applyFill="1" applyBorder="1"/>
    <xf numFmtId="49" fontId="9" fillId="5" borderId="12" xfId="0" applyNumberFormat="1" applyFont="1" applyFill="1" applyBorder="1" applyAlignment="1">
      <alignment horizontal="center" vertical="center"/>
    </xf>
    <xf numFmtId="49" fontId="9" fillId="5" borderId="12" xfId="0" applyNumberFormat="1" applyFont="1" applyFill="1" applyBorder="1" applyAlignment="1">
      <alignment horizontal="center" vertical="center" wrapText="1"/>
    </xf>
    <xf numFmtId="0" fontId="9" fillId="3" borderId="12" xfId="0" applyNumberFormat="1" applyFont="1" applyFill="1" applyBorder="1" applyAlignment="1">
      <alignment horizontal="center" vertical="center"/>
    </xf>
    <xf numFmtId="49" fontId="10" fillId="3" borderId="12" xfId="0" applyNumberFormat="1" applyFont="1" applyFill="1" applyBorder="1" applyAlignment="1">
      <alignment vertical="center"/>
    </xf>
    <xf numFmtId="49" fontId="10" fillId="3" borderId="12" xfId="0" applyNumberFormat="1" applyFont="1" applyFill="1" applyBorder="1" applyAlignment="1">
      <alignment horizontal="center" vertical="center"/>
    </xf>
    <xf numFmtId="0" fontId="1" fillId="3" borderId="12" xfId="0" applyNumberFormat="1" applyFont="1" applyFill="1" applyBorder="1" applyAlignment="1">
      <alignment horizontal="center" vertical="center"/>
    </xf>
    <xf numFmtId="0" fontId="9" fillId="6" borderId="12" xfId="0" applyNumberFormat="1" applyFont="1" applyFill="1" applyBorder="1" applyAlignment="1">
      <alignment horizontal="center" vertical="center"/>
    </xf>
    <xf numFmtId="0" fontId="1" fillId="6" borderId="12" xfId="0" applyNumberFormat="1" applyFont="1" applyFill="1" applyBorder="1" applyAlignment="1">
      <alignment horizontal="center" vertical="center"/>
    </xf>
    <xf numFmtId="49" fontId="10" fillId="3" borderId="12" xfId="0" applyNumberFormat="1" applyFont="1" applyFill="1" applyBorder="1"/>
    <xf numFmtId="0" fontId="0" fillId="3" borderId="12" xfId="0" applyNumberFormat="1" applyFill="1" applyBorder="1"/>
    <xf numFmtId="0" fontId="0" fillId="6" borderId="12" xfId="0" applyNumberFormat="1" applyFill="1" applyBorder="1"/>
    <xf numFmtId="0" fontId="10" fillId="3" borderId="12" xfId="0" applyNumberFormat="1" applyFont="1" applyFill="1" applyBorder="1" applyAlignment="1">
      <alignment vertical="center"/>
    </xf>
    <xf numFmtId="0" fontId="10" fillId="3" borderId="12" xfId="0" applyNumberFormat="1" applyFont="1" applyFill="1" applyBorder="1" applyAlignment="1">
      <alignment horizontal="center" vertical="center"/>
    </xf>
    <xf numFmtId="0" fontId="10" fillId="3" borderId="12" xfId="0" applyNumberFormat="1" applyFont="1" applyFill="1" applyBorder="1"/>
    <xf numFmtId="0" fontId="1" fillId="3" borderId="12" xfId="0" applyNumberFormat="1" applyFont="1" applyFill="1" applyBorder="1" applyAlignment="1">
      <alignment horizontal="left" vertical="center"/>
    </xf>
    <xf numFmtId="0" fontId="7" fillId="3" borderId="15" xfId="0" applyNumberFormat="1" applyFont="1" applyFill="1" applyBorder="1" applyAlignment="1">
      <alignment horizontal="center" vertical="center"/>
    </xf>
    <xf numFmtId="0" fontId="7" fillId="3" borderId="8" xfId="0" applyNumberFormat="1" applyFont="1" applyFill="1" applyBorder="1" applyAlignment="1">
      <alignment horizontal="center" vertical="center"/>
    </xf>
    <xf numFmtId="9" fontId="0" fillId="4" borderId="25" xfId="0" applyNumberFormat="1" applyFill="1" applyBorder="1"/>
    <xf numFmtId="0" fontId="0" fillId="3" borderId="15" xfId="0" applyNumberFormat="1" applyFill="1" applyBorder="1"/>
    <xf numFmtId="49" fontId="11" fillId="3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49" fontId="11" fillId="10" borderId="30" xfId="0" applyNumberFormat="1" applyFont="1" applyFill="1" applyBorder="1" applyAlignment="1">
      <alignment horizontal="center" vertical="center"/>
    </xf>
    <xf numFmtId="49" fontId="11" fillId="11" borderId="30" xfId="0" applyNumberFormat="1" applyFont="1" applyFill="1" applyBorder="1" applyAlignment="1">
      <alignment horizontal="center" vertical="center"/>
    </xf>
    <xf numFmtId="49" fontId="11" fillId="12" borderId="31" xfId="0" applyNumberFormat="1" applyFont="1" applyFill="1" applyBorder="1" applyAlignment="1">
      <alignment horizontal="center" vertical="center"/>
    </xf>
    <xf numFmtId="0" fontId="0" fillId="3" borderId="32" xfId="0" applyNumberFormat="1" applyFill="1" applyBorder="1"/>
    <xf numFmtId="0" fontId="9" fillId="3" borderId="33" xfId="0" applyNumberFormat="1" applyFont="1" applyFill="1" applyBorder="1" applyAlignment="1">
      <alignment horizontal="center" vertical="center"/>
    </xf>
    <xf numFmtId="49" fontId="0" fillId="3" borderId="34" xfId="0" applyNumberFormat="1" applyFill="1" applyBorder="1"/>
    <xf numFmtId="49" fontId="0" fillId="3" borderId="35" xfId="0" applyNumberFormat="1" applyFill="1" applyBorder="1"/>
    <xf numFmtId="164" fontId="0" fillId="3" borderId="33" xfId="0" applyNumberFormat="1" applyFill="1" applyBorder="1"/>
    <xf numFmtId="9" fontId="0" fillId="11" borderId="35" xfId="0" applyNumberFormat="1" applyFill="1" applyBorder="1"/>
    <xf numFmtId="9" fontId="0" fillId="12" borderId="36" xfId="0" applyNumberFormat="1" applyFill="1" applyBorder="1"/>
    <xf numFmtId="0" fontId="9" fillId="3" borderId="37" xfId="0" applyNumberFormat="1" applyFont="1" applyFill="1" applyBorder="1" applyAlignment="1">
      <alignment horizontal="center" vertical="center"/>
    </xf>
    <xf numFmtId="49" fontId="0" fillId="3" borderId="12" xfId="0" applyNumberFormat="1" applyFill="1" applyBorder="1"/>
    <xf numFmtId="49" fontId="0" fillId="3" borderId="38" xfId="0" applyNumberFormat="1" applyFill="1" applyBorder="1"/>
    <xf numFmtId="164" fontId="0" fillId="3" borderId="37" xfId="0" applyNumberFormat="1" applyFill="1" applyBorder="1"/>
    <xf numFmtId="9" fontId="0" fillId="11" borderId="38" xfId="0" applyNumberFormat="1" applyFill="1" applyBorder="1"/>
    <xf numFmtId="9" fontId="0" fillId="12" borderId="39" xfId="0" applyNumberFormat="1" applyFill="1" applyBorder="1"/>
    <xf numFmtId="0" fontId="0" fillId="3" borderId="38" xfId="0" applyNumberFormat="1" applyFill="1" applyBorder="1"/>
    <xf numFmtId="164" fontId="0" fillId="9" borderId="34" xfId="0" applyNumberFormat="1" applyFill="1" applyBorder="1"/>
    <xf numFmtId="164" fontId="0" fillId="9" borderId="12" xfId="0" applyNumberFormat="1" applyFill="1" applyBorder="1"/>
    <xf numFmtId="0" fontId="1" fillId="4" borderId="48" xfId="0" applyNumberFormat="1" applyFont="1" applyFill="1" applyBorder="1" applyAlignment="1">
      <alignment horizontal="center" vertical="center"/>
    </xf>
    <xf numFmtId="49" fontId="9" fillId="5" borderId="33" xfId="0" applyNumberFormat="1" applyFont="1" applyFill="1" applyBorder="1" applyAlignment="1">
      <alignment horizontal="center" vertical="center"/>
    </xf>
    <xf numFmtId="49" fontId="9" fillId="5" borderId="34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49" fontId="9" fillId="14" borderId="36" xfId="0" applyNumberFormat="1" applyFont="1" applyFill="1" applyBorder="1" applyAlignment="1">
      <alignment horizontal="center" vertical="center"/>
    </xf>
    <xf numFmtId="0" fontId="0" fillId="3" borderId="12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9" fontId="1" fillId="11" borderId="12" xfId="0" applyNumberFormat="1" applyFont="1" applyFill="1" applyBorder="1" applyAlignment="1">
      <alignment horizontal="center" vertical="center"/>
    </xf>
    <xf numFmtId="9" fontId="1" fillId="14" borderId="12" xfId="0" applyNumberFormat="1" applyFont="1" applyFill="1" applyBorder="1" applyAlignment="1">
      <alignment horizontal="center" vertical="center"/>
    </xf>
    <xf numFmtId="164" fontId="0" fillId="3" borderId="12" xfId="0" applyNumberFormat="1" applyFill="1" applyBorder="1"/>
    <xf numFmtId="0" fontId="9" fillId="3" borderId="51" xfId="0" applyNumberFormat="1" applyFont="1" applyFill="1" applyBorder="1" applyAlignment="1">
      <alignment horizontal="center" vertical="center"/>
    </xf>
    <xf numFmtId="49" fontId="9" fillId="5" borderId="54" xfId="0" applyNumberFormat="1" applyFont="1" applyFill="1" applyBorder="1" applyAlignment="1">
      <alignment vertical="center"/>
    </xf>
    <xf numFmtId="49" fontId="11" fillId="4" borderId="54" xfId="0" applyNumberFormat="1" applyFont="1" applyFill="1" applyBorder="1" applyAlignment="1">
      <alignment vertical="center"/>
    </xf>
    <xf numFmtId="0" fontId="9" fillId="5" borderId="55" xfId="0" applyNumberFormat="1" applyFont="1" applyFill="1" applyBorder="1" applyAlignment="1">
      <alignment vertical="center"/>
    </xf>
    <xf numFmtId="49" fontId="11" fillId="5" borderId="28" xfId="0" applyNumberFormat="1" applyFont="1" applyFill="1" applyBorder="1" applyAlignment="1">
      <alignment horizontal="center" vertical="center"/>
    </xf>
    <xf numFmtId="49" fontId="11" fillId="5" borderId="30" xfId="0" applyNumberFormat="1" applyFont="1" applyFill="1" applyBorder="1" applyAlignment="1">
      <alignment horizontal="center" vertical="center"/>
    </xf>
    <xf numFmtId="9" fontId="11" fillId="4" borderId="55" xfId="0" applyNumberFormat="1" applyFont="1" applyFill="1" applyBorder="1" applyAlignment="1">
      <alignment vertical="center"/>
    </xf>
    <xf numFmtId="9" fontId="0" fillId="3" borderId="33" xfId="0" applyNumberFormat="1" applyFill="1" applyBorder="1" applyAlignment="1">
      <alignment horizontal="center"/>
    </xf>
    <xf numFmtId="9" fontId="0" fillId="3" borderId="35" xfId="0" applyNumberFormat="1" applyFill="1" applyBorder="1" applyAlignment="1">
      <alignment horizontal="center" vertical="center"/>
    </xf>
    <xf numFmtId="9" fontId="0" fillId="3" borderId="33" xfId="0" applyNumberFormat="1" applyFill="1" applyBorder="1" applyAlignment="1">
      <alignment horizontal="center" vertical="center"/>
    </xf>
    <xf numFmtId="9" fontId="0" fillId="12" borderId="36" xfId="0" applyNumberFormat="1" applyFill="1" applyBorder="1" applyAlignment="1">
      <alignment horizontal="center" vertical="center"/>
    </xf>
    <xf numFmtId="9" fontId="0" fillId="3" borderId="37" xfId="0" applyNumberFormat="1" applyFill="1" applyBorder="1" applyAlignment="1">
      <alignment horizontal="center"/>
    </xf>
    <xf numFmtId="9" fontId="0" fillId="3" borderId="38" xfId="0" applyNumberFormat="1" applyFill="1" applyBorder="1" applyAlignment="1">
      <alignment horizontal="center" vertical="center"/>
    </xf>
    <xf numFmtId="9" fontId="0" fillId="3" borderId="37" xfId="0" applyNumberFormat="1" applyFill="1" applyBorder="1" applyAlignment="1">
      <alignment horizontal="center" vertical="center"/>
    </xf>
    <xf numFmtId="9" fontId="0" fillId="12" borderId="39" xfId="0" applyNumberFormat="1" applyFill="1" applyBorder="1" applyAlignment="1">
      <alignment horizontal="center" vertical="center"/>
    </xf>
    <xf numFmtId="0" fontId="0" fillId="3" borderId="1" xfId="0" applyNumberFormat="1" applyFill="1" applyBorder="1"/>
    <xf numFmtId="0" fontId="0" fillId="3" borderId="2" xfId="0" applyNumberFormat="1" applyFill="1" applyBorder="1"/>
    <xf numFmtId="0" fontId="0" fillId="3" borderId="3" xfId="0" applyNumberFormat="1" applyFill="1" applyBorder="1"/>
    <xf numFmtId="0" fontId="0" fillId="3" borderId="4" xfId="0" applyNumberFormat="1" applyFill="1" applyBorder="1"/>
    <xf numFmtId="0" fontId="0" fillId="3" borderId="5" xfId="0" applyNumberFormat="1" applyFill="1" applyBorder="1"/>
    <xf numFmtId="0" fontId="0" fillId="3" borderId="6" xfId="0" applyNumberFormat="1" applyFill="1" applyBorder="1"/>
    <xf numFmtId="0" fontId="1" fillId="16" borderId="12" xfId="0" applyNumberFormat="1" applyFont="1" applyFill="1" applyBorder="1" applyAlignment="1">
      <alignment horizontal="center" vertical="center"/>
    </xf>
    <xf numFmtId="49" fontId="1" fillId="16" borderId="12" xfId="0" applyNumberFormat="1" applyFont="1" applyFill="1" applyBorder="1" applyAlignment="1">
      <alignment horizontal="center" vertical="center"/>
    </xf>
    <xf numFmtId="0" fontId="0" fillId="3" borderId="56" xfId="0" applyNumberFormat="1" applyFill="1" applyBorder="1"/>
    <xf numFmtId="49" fontId="9" fillId="8" borderId="12" xfId="0" applyNumberFormat="1" applyFont="1" applyFill="1" applyBorder="1" applyAlignment="1">
      <alignment horizontal="center" vertical="center"/>
    </xf>
    <xf numFmtId="0" fontId="0" fillId="17" borderId="12" xfId="0" applyNumberFormat="1" applyFill="1" applyBorder="1" applyAlignment="1">
      <alignment horizontal="center"/>
    </xf>
    <xf numFmtId="2" fontId="0" fillId="17" borderId="12" xfId="0" applyNumberFormat="1" applyFill="1" applyBorder="1" applyAlignment="1">
      <alignment horizontal="center"/>
    </xf>
    <xf numFmtId="0" fontId="0" fillId="17" borderId="60" xfId="0" applyNumberFormat="1" applyFill="1" applyBorder="1" applyAlignment="1">
      <alignment horizontal="center"/>
    </xf>
    <xf numFmtId="0" fontId="0" fillId="3" borderId="61" xfId="0" applyNumberFormat="1" applyFill="1" applyBorder="1" applyAlignment="1">
      <alignment horizontal="center"/>
    </xf>
    <xf numFmtId="0" fontId="13" fillId="3" borderId="61" xfId="0" applyNumberFormat="1" applyFont="1" applyFill="1" applyBorder="1" applyAlignment="1">
      <alignment horizontal="center"/>
    </xf>
    <xf numFmtId="0" fontId="0" fillId="3" borderId="63" xfId="0" applyNumberFormat="1" applyFill="1" applyBorder="1"/>
    <xf numFmtId="0" fontId="0" fillId="3" borderId="64" xfId="0" applyNumberFormat="1" applyFill="1" applyBorder="1"/>
    <xf numFmtId="0" fontId="0" fillId="3" borderId="65" xfId="0" applyNumberFormat="1" applyFill="1" applyBorder="1"/>
    <xf numFmtId="0" fontId="0" fillId="3" borderId="66" xfId="0" applyNumberFormat="1" applyFill="1" applyBorder="1"/>
    <xf numFmtId="0" fontId="12" fillId="3" borderId="8" xfId="0" applyNumberFormat="1" applyFont="1" applyFill="1" applyBorder="1" applyAlignment="1">
      <alignment horizontal="center" vertical="center"/>
    </xf>
    <xf numFmtId="49" fontId="0" fillId="16" borderId="12" xfId="0" applyNumberFormat="1" applyFill="1" applyBorder="1" applyAlignment="1">
      <alignment horizontal="center" vertical="center"/>
    </xf>
    <xf numFmtId="49" fontId="0" fillId="16" borderId="60" xfId="0" applyNumberFormat="1" applyFill="1" applyBorder="1" applyAlignment="1">
      <alignment horizontal="center" vertical="center"/>
    </xf>
    <xf numFmtId="164" fontId="0" fillId="17" borderId="12" xfId="0" applyNumberFormat="1" applyFill="1" applyBorder="1" applyAlignment="1">
      <alignment horizontal="center" vertical="center"/>
    </xf>
    <xf numFmtId="164" fontId="0" fillId="17" borderId="60" xfId="0" applyNumberFormat="1" applyFill="1" applyBorder="1" applyAlignment="1">
      <alignment horizontal="center" vertical="center"/>
    </xf>
    <xf numFmtId="164" fontId="0" fillId="17" borderId="67" xfId="0" applyNumberFormat="1" applyFill="1" applyBorder="1" applyAlignment="1">
      <alignment horizontal="center" vertical="center"/>
    </xf>
    <xf numFmtId="164" fontId="0" fillId="17" borderId="68" xfId="0" applyNumberFormat="1" applyFill="1" applyBorder="1" applyAlignment="1">
      <alignment horizontal="center" vertical="center"/>
    </xf>
    <xf numFmtId="0" fontId="0" fillId="3" borderId="61" xfId="0" applyNumberFormat="1" applyFill="1" applyBorder="1"/>
    <xf numFmtId="0" fontId="0" fillId="3" borderId="62" xfId="0" applyNumberFormat="1" applyFill="1" applyBorder="1"/>
    <xf numFmtId="164" fontId="0" fillId="3" borderId="8" xfId="0" applyNumberFormat="1" applyFill="1" applyBorder="1"/>
    <xf numFmtId="2" fontId="0" fillId="3" borderId="1" xfId="0" applyNumberFormat="1" applyFill="1" applyBorder="1"/>
    <xf numFmtId="2" fontId="0" fillId="18" borderId="2" xfId="0" applyNumberFormat="1" applyFill="1" applyBorder="1"/>
    <xf numFmtId="2" fontId="0" fillId="18" borderId="3" xfId="0" applyNumberFormat="1" applyFill="1" applyBorder="1"/>
    <xf numFmtId="2" fontId="0" fillId="5" borderId="4" xfId="0" applyNumberFormat="1" applyFill="1" applyBorder="1"/>
    <xf numFmtId="2" fontId="0" fillId="3" borderId="66" xfId="0" applyNumberFormat="1" applyFill="1" applyBorder="1"/>
    <xf numFmtId="2" fontId="0" fillId="3" borderId="7" xfId="0" applyNumberFormat="1" applyFill="1" applyBorder="1"/>
    <xf numFmtId="2" fontId="0" fillId="3" borderId="15" xfId="0" applyNumberFormat="1" applyFill="1" applyBorder="1"/>
    <xf numFmtId="2" fontId="0" fillId="3" borderId="8" xfId="0" applyNumberFormat="1" applyFill="1" applyBorder="1"/>
    <xf numFmtId="2" fontId="0" fillId="5" borderId="64" xfId="0" applyNumberFormat="1" applyFill="1" applyBorder="1"/>
    <xf numFmtId="49" fontId="0" fillId="3" borderId="34" xfId="0" applyNumberFormat="1" applyFill="1" applyBorder="1" applyAlignment="1">
      <alignment horizontal="center"/>
    </xf>
    <xf numFmtId="49" fontId="0" fillId="3" borderId="35" xfId="0" applyNumberFormat="1" applyFill="1" applyBorder="1" applyAlignment="1">
      <alignment horizontal="center"/>
    </xf>
    <xf numFmtId="49" fontId="0" fillId="3" borderId="12" xfId="0" applyNumberFormat="1" applyFill="1" applyBorder="1" applyAlignment="1">
      <alignment horizontal="center"/>
    </xf>
    <xf numFmtId="49" fontId="0" fillId="3" borderId="38" xfId="0" applyNumberFormat="1" applyFill="1" applyBorder="1" applyAlignment="1">
      <alignment horizontal="center"/>
    </xf>
    <xf numFmtId="0" fontId="0" fillId="3" borderId="38" xfId="0" applyNumberFormat="1" applyFill="1" applyBorder="1" applyAlignment="1">
      <alignment horizontal="center"/>
    </xf>
    <xf numFmtId="0" fontId="0" fillId="0" borderId="0" xfId="0" applyNumberFormat="1" applyAlignment="1">
      <alignment horizontal="center"/>
    </xf>
    <xf numFmtId="49" fontId="0" fillId="3" borderId="34" xfId="0" applyNumberFormat="1" applyFill="1" applyBorder="1" applyAlignment="1">
      <alignment horizontal="center" vertical="center"/>
    </xf>
    <xf numFmtId="49" fontId="0" fillId="3" borderId="35" xfId="0" applyNumberForma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49" fontId="0" fillId="3" borderId="38" xfId="0" applyNumberFormat="1" applyFill="1" applyBorder="1" applyAlignment="1">
      <alignment horizontal="center" vertical="center"/>
    </xf>
    <xf numFmtId="0" fontId="0" fillId="3" borderId="12" xfId="0" applyNumberFormat="1" applyFill="1" applyBorder="1" applyAlignment="1">
      <alignment horizontal="center" vertical="center"/>
    </xf>
    <xf numFmtId="0" fontId="0" fillId="3" borderId="38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4" fillId="0" borderId="5" xfId="1" applyAlignment="1">
      <alignment horizontal="left" vertical="top"/>
    </xf>
    <xf numFmtId="0" fontId="20" fillId="0" borderId="76" xfId="1" applyFont="1" applyBorder="1" applyAlignment="1">
      <alignment horizontal="left" vertical="top" wrapText="1"/>
    </xf>
    <xf numFmtId="0" fontId="24" fillId="0" borderId="5" xfId="1" applyAlignment="1">
      <alignment vertical="center" wrapText="1"/>
    </xf>
    <xf numFmtId="0" fontId="24" fillId="0" borderId="80" xfId="1" applyBorder="1" applyAlignment="1">
      <alignment horizontal="left" vertical="center" wrapText="1"/>
    </xf>
    <xf numFmtId="0" fontId="18" fillId="0" borderId="5" xfId="1" applyFont="1" applyAlignment="1">
      <alignment horizontal="left" vertical="center" wrapText="1"/>
    </xf>
    <xf numFmtId="0" fontId="24" fillId="0" borderId="5" xfId="1" applyAlignment="1">
      <alignment horizontal="left" vertical="center" wrapText="1"/>
    </xf>
    <xf numFmtId="0" fontId="24" fillId="0" borderId="81" xfId="1" applyBorder="1" applyAlignment="1">
      <alignment horizontal="left" vertical="center" wrapText="1"/>
    </xf>
    <xf numFmtId="0" fontId="24" fillId="0" borderId="80" xfId="1" applyBorder="1" applyAlignment="1">
      <alignment horizontal="left" wrapText="1"/>
    </xf>
    <xf numFmtId="0" fontId="24" fillId="0" borderId="5" xfId="1" applyAlignment="1">
      <alignment horizontal="left" wrapText="1"/>
    </xf>
    <xf numFmtId="0" fontId="24" fillId="0" borderId="81" xfId="1" applyBorder="1" applyAlignment="1">
      <alignment horizontal="left" wrapText="1"/>
    </xf>
    <xf numFmtId="0" fontId="24" fillId="0" borderId="80" xfId="1" applyBorder="1" applyAlignment="1">
      <alignment horizontal="left" vertical="top" wrapText="1"/>
    </xf>
    <xf numFmtId="0" fontId="24" fillId="0" borderId="81" xfId="1" applyBorder="1" applyAlignment="1">
      <alignment vertical="center" wrapText="1"/>
    </xf>
    <xf numFmtId="0" fontId="24" fillId="0" borderId="81" xfId="1" applyBorder="1" applyAlignment="1">
      <alignment horizontal="left" vertical="top" wrapText="1"/>
    </xf>
    <xf numFmtId="0" fontId="19" fillId="19" borderId="85" xfId="1" applyFont="1" applyFill="1" applyBorder="1" applyAlignment="1">
      <alignment horizontal="left" vertical="top" wrapText="1"/>
    </xf>
    <xf numFmtId="0" fontId="19" fillId="19" borderId="85" xfId="1" applyFont="1" applyFill="1" applyBorder="1" applyAlignment="1">
      <alignment horizontal="center" vertical="top" wrapText="1"/>
    </xf>
    <xf numFmtId="9" fontId="21" fillId="0" borderId="73" xfId="1" applyNumberFormat="1" applyFont="1" applyBorder="1" applyAlignment="1">
      <alignment horizontal="center" vertical="top" shrinkToFit="1"/>
    </xf>
    <xf numFmtId="9" fontId="22" fillId="0" borderId="73" xfId="1" applyNumberFormat="1" applyFont="1" applyBorder="1" applyAlignment="1">
      <alignment horizontal="center" vertical="top" shrinkToFit="1"/>
    </xf>
    <xf numFmtId="0" fontId="23" fillId="20" borderId="85" xfId="1" applyFont="1" applyFill="1" applyBorder="1" applyAlignment="1">
      <alignment horizontal="center" vertical="top" wrapText="1"/>
    </xf>
    <xf numFmtId="0" fontId="26" fillId="0" borderId="85" xfId="1" applyFont="1" applyBorder="1" applyAlignment="1">
      <alignment horizontal="center" vertical="center" wrapText="1"/>
    </xf>
    <xf numFmtId="0" fontId="27" fillId="21" borderId="5" xfId="1" applyFont="1" applyFill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top"/>
    </xf>
    <xf numFmtId="49" fontId="2" fillId="2" borderId="5" xfId="0" applyNumberFormat="1" applyFont="1" applyFill="1" applyBorder="1" applyAlignment="1">
      <alignment horizontal="center" vertical="top"/>
    </xf>
    <xf numFmtId="0" fontId="2" fillId="2" borderId="5" xfId="0" applyNumberFormat="1" applyFont="1" applyFill="1" applyBorder="1" applyAlignment="1">
      <alignment horizontal="center" vertical="top"/>
    </xf>
    <xf numFmtId="49" fontId="7" fillId="4" borderId="1" xfId="0" applyNumberFormat="1" applyFont="1" applyFill="1" applyBorder="1" applyAlignment="1">
      <alignment horizontal="center" vertical="center"/>
    </xf>
    <xf numFmtId="0" fontId="0" fillId="4" borderId="2" xfId="0" applyNumberFormat="1" applyFill="1" applyBorder="1" applyAlignment="1">
      <alignment horizontal="center" vertical="center"/>
    </xf>
    <xf numFmtId="0" fontId="0" fillId="4" borderId="3" xfId="0" applyNumberFormat="1" applyFill="1" applyBorder="1" applyAlignment="1">
      <alignment horizontal="center" vertical="center"/>
    </xf>
    <xf numFmtId="0" fontId="0" fillId="4" borderId="9" xfId="0" applyNumberFormat="1" applyFill="1" applyBorder="1" applyAlignment="1">
      <alignment horizontal="center" vertical="center"/>
    </xf>
    <xf numFmtId="0" fontId="0" fillId="4" borderId="10" xfId="0" applyNumberFormat="1" applyFill="1" applyBorder="1" applyAlignment="1">
      <alignment horizontal="center" vertical="center"/>
    </xf>
    <xf numFmtId="0" fontId="0" fillId="4" borderId="11" xfId="0" applyNumberFormat="1" applyFill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center" vertical="center"/>
    </xf>
    <xf numFmtId="49" fontId="6" fillId="4" borderId="14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0" fontId="0" fillId="8" borderId="24" xfId="0" applyNumberFormat="1" applyFill="1" applyBorder="1" applyAlignment="1">
      <alignment horizontal="center" vertical="center"/>
    </xf>
    <xf numFmtId="49" fontId="15" fillId="7" borderId="19" xfId="0" applyNumberFormat="1" applyFont="1" applyFill="1" applyBorder="1" applyAlignment="1">
      <alignment horizontal="center" vertical="center"/>
    </xf>
    <xf numFmtId="0" fontId="0" fillId="7" borderId="21" xfId="0" applyNumberFormat="1" applyFill="1" applyBorder="1" applyAlignment="1">
      <alignment horizontal="center" vertical="center"/>
    </xf>
    <xf numFmtId="49" fontId="0" fillId="7" borderId="19" xfId="0" applyNumberFormat="1" applyFill="1" applyBorder="1" applyAlignment="1">
      <alignment horizontal="center" vertical="center"/>
    </xf>
    <xf numFmtId="49" fontId="9" fillId="5" borderId="16" xfId="0" applyNumberFormat="1" applyFont="1" applyFill="1" applyBorder="1" applyAlignment="1">
      <alignment horizontal="center" vertical="center"/>
    </xf>
    <xf numFmtId="0" fontId="9" fillId="5" borderId="25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0" fontId="9" fillId="5" borderId="27" xfId="0" applyNumberFormat="1" applyFont="1" applyFill="1" applyBorder="1" applyAlignment="1">
      <alignment horizontal="center" vertical="center"/>
    </xf>
    <xf numFmtId="49" fontId="9" fillId="5" borderId="17" xfId="0" applyNumberFormat="1" applyFont="1" applyFill="1" applyBorder="1" applyAlignment="1">
      <alignment horizontal="center" vertical="center"/>
    </xf>
    <xf numFmtId="0" fontId="9" fillId="5" borderId="26" xfId="0" applyNumberFormat="1" applyFont="1" applyFill="1" applyBorder="1" applyAlignment="1">
      <alignment horizontal="center" vertical="center"/>
    </xf>
    <xf numFmtId="0" fontId="0" fillId="8" borderId="23" xfId="0" applyNumberFormat="1" applyFill="1" applyBorder="1" applyAlignment="1">
      <alignment horizontal="center" vertical="center"/>
    </xf>
    <xf numFmtId="0" fontId="0" fillId="7" borderId="20" xfId="0" applyNumberFormat="1" applyFill="1" applyBorder="1" applyAlignment="1">
      <alignment horizontal="center" vertical="center"/>
    </xf>
    <xf numFmtId="49" fontId="9" fillId="5" borderId="45" xfId="0" applyNumberFormat="1" applyFont="1" applyFill="1" applyBorder="1" applyAlignment="1">
      <alignment horizontal="center" vertical="center"/>
    </xf>
    <xf numFmtId="0" fontId="9" fillId="5" borderId="49" xfId="0" applyNumberFormat="1" applyFont="1" applyFill="1" applyBorder="1" applyAlignment="1">
      <alignment horizontal="center" vertical="center"/>
    </xf>
    <xf numFmtId="49" fontId="9" fillId="3" borderId="28" xfId="0" applyNumberFormat="1" applyFont="1" applyFill="1" applyBorder="1" applyAlignment="1">
      <alignment horizontal="center" vertical="center"/>
    </xf>
    <xf numFmtId="164" fontId="9" fillId="3" borderId="29" xfId="0" applyNumberFormat="1" applyFont="1" applyFill="1" applyBorder="1" applyAlignment="1">
      <alignment horizontal="center" vertical="center"/>
    </xf>
    <xf numFmtId="164" fontId="9" fillId="3" borderId="30" xfId="0" applyNumberFormat="1" applyFont="1" applyFill="1" applyBorder="1" applyAlignment="1">
      <alignment horizontal="center" vertical="center"/>
    </xf>
    <xf numFmtId="49" fontId="9" fillId="5" borderId="46" xfId="0" applyNumberFormat="1" applyFont="1" applyFill="1" applyBorder="1" applyAlignment="1">
      <alignment horizontal="center" vertical="center"/>
    </xf>
    <xf numFmtId="0" fontId="9" fillId="5" borderId="10" xfId="0" applyNumberFormat="1" applyFont="1" applyFill="1" applyBorder="1" applyAlignment="1">
      <alignment horizontal="center" vertical="center"/>
    </xf>
    <xf numFmtId="49" fontId="6" fillId="4" borderId="40" xfId="0" applyNumberFormat="1" applyFont="1" applyFill="1" applyBorder="1" applyAlignment="1">
      <alignment horizontal="center" vertical="center"/>
    </xf>
    <xf numFmtId="0" fontId="6" fillId="4" borderId="41" xfId="0" applyNumberFormat="1" applyFont="1" applyFill="1" applyBorder="1" applyAlignment="1">
      <alignment horizontal="center" vertical="center"/>
    </xf>
    <xf numFmtId="0" fontId="6" fillId="4" borderId="14" xfId="0" applyNumberFormat="1" applyFont="1" applyFill="1" applyBorder="1" applyAlignment="1">
      <alignment horizontal="center" vertical="center"/>
    </xf>
    <xf numFmtId="0" fontId="0" fillId="3" borderId="42" xfId="0" applyNumberFormat="1" applyFill="1" applyBorder="1"/>
    <xf numFmtId="0" fontId="0" fillId="3" borderId="43" xfId="0" applyNumberFormat="1" applyFill="1" applyBorder="1"/>
    <xf numFmtId="0" fontId="0" fillId="3" borderId="44" xfId="0" applyNumberFormat="1" applyFill="1" applyBorder="1"/>
    <xf numFmtId="49" fontId="9" fillId="13" borderId="28" xfId="0" applyNumberFormat="1" applyFont="1" applyFill="1" applyBorder="1" applyAlignment="1">
      <alignment horizontal="center" vertical="center"/>
    </xf>
    <xf numFmtId="164" fontId="9" fillId="13" borderId="29" xfId="0" applyNumberFormat="1" applyFont="1" applyFill="1" applyBorder="1" applyAlignment="1">
      <alignment horizontal="center" vertical="center"/>
    </xf>
    <xf numFmtId="164" fontId="9" fillId="13" borderId="30" xfId="0" applyNumberFormat="1" applyFont="1" applyFill="1" applyBorder="1" applyAlignment="1">
      <alignment horizontal="center" vertical="center"/>
    </xf>
    <xf numFmtId="49" fontId="9" fillId="5" borderId="47" xfId="0" applyNumberFormat="1" applyFont="1" applyFill="1" applyBorder="1" applyAlignment="1">
      <alignment horizontal="center" vertical="center"/>
    </xf>
    <xf numFmtId="0" fontId="9" fillId="5" borderId="50" xfId="0" applyNumberFormat="1" applyFont="1" applyFill="1" applyBorder="1" applyAlignment="1">
      <alignment horizontal="center" vertical="center"/>
    </xf>
    <xf numFmtId="49" fontId="7" fillId="4" borderId="52" xfId="0" applyNumberFormat="1" applyFont="1" applyFill="1" applyBorder="1" applyAlignment="1">
      <alignment horizontal="center" vertical="center"/>
    </xf>
    <xf numFmtId="49" fontId="7" fillId="4" borderId="14" xfId="0" applyNumberFormat="1" applyFont="1" applyFill="1" applyBorder="1" applyAlignment="1">
      <alignment horizontal="center" vertical="center"/>
    </xf>
    <xf numFmtId="49" fontId="7" fillId="4" borderId="53" xfId="0" applyNumberFormat="1" applyFont="1" applyFill="1" applyBorder="1" applyAlignment="1">
      <alignment horizontal="center" vertical="center"/>
    </xf>
    <xf numFmtId="49" fontId="11" fillId="3" borderId="19" xfId="0" applyNumberFormat="1" applyFont="1" applyFill="1" applyBorder="1" applyAlignment="1">
      <alignment horizontal="center" vertical="center"/>
    </xf>
    <xf numFmtId="9" fontId="11" fillId="3" borderId="21" xfId="0" applyNumberFormat="1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9" fontId="11" fillId="13" borderId="21" xfId="0" applyNumberFormat="1" applyFont="1" applyFill="1" applyBorder="1" applyAlignment="1">
      <alignment horizontal="center" vertical="center"/>
    </xf>
    <xf numFmtId="0" fontId="17" fillId="0" borderId="77" xfId="1" applyFont="1" applyBorder="1" applyAlignment="1">
      <alignment horizontal="center" vertical="center" wrapText="1"/>
    </xf>
    <xf numFmtId="0" fontId="24" fillId="0" borderId="78" xfId="1" applyBorder="1" applyAlignment="1">
      <alignment horizontal="center" vertical="center" wrapText="1"/>
    </xf>
    <xf numFmtId="0" fontId="24" fillId="0" borderId="79" xfId="1" applyBorder="1" applyAlignment="1">
      <alignment horizontal="center" vertical="center" wrapText="1"/>
    </xf>
    <xf numFmtId="0" fontId="17" fillId="0" borderId="5" xfId="1" applyFont="1" applyAlignment="1">
      <alignment horizontal="left" vertical="center" wrapText="1"/>
    </xf>
    <xf numFmtId="0" fontId="18" fillId="0" borderId="5" xfId="1" applyFont="1" applyAlignment="1">
      <alignment horizontal="left" vertical="top" wrapText="1"/>
    </xf>
    <xf numFmtId="0" fontId="25" fillId="0" borderId="5" xfId="1" applyFont="1" applyAlignment="1">
      <alignment horizontal="left" vertical="center" wrapText="1"/>
    </xf>
    <xf numFmtId="0" fontId="25" fillId="0" borderId="69" xfId="1" applyFont="1" applyBorder="1" applyAlignment="1">
      <alignment horizontal="left" vertical="center" wrapText="1"/>
    </xf>
    <xf numFmtId="0" fontId="19" fillId="0" borderId="70" xfId="1" applyFont="1" applyBorder="1" applyAlignment="1">
      <alignment horizontal="center" vertical="center" wrapText="1"/>
    </xf>
    <xf numFmtId="0" fontId="19" fillId="0" borderId="71" xfId="1" applyFont="1" applyBorder="1" applyAlignment="1">
      <alignment horizontal="center" vertical="center" wrapText="1"/>
    </xf>
    <xf numFmtId="0" fontId="24" fillId="0" borderId="71" xfId="1" applyBorder="1" applyAlignment="1">
      <alignment horizontal="center" vertical="center" wrapText="1"/>
    </xf>
    <xf numFmtId="0" fontId="18" fillId="0" borderId="82" xfId="1" applyFont="1" applyBorder="1" applyAlignment="1">
      <alignment horizontal="left" vertical="center" wrapText="1" indent="1"/>
    </xf>
    <xf numFmtId="0" fontId="18" fillId="0" borderId="83" xfId="1" applyFont="1" applyBorder="1" applyAlignment="1">
      <alignment horizontal="left" vertical="center" wrapText="1" indent="1"/>
    </xf>
    <xf numFmtId="0" fontId="18" fillId="0" borderId="84" xfId="1" applyFont="1" applyBorder="1" applyAlignment="1">
      <alignment horizontal="left" vertical="center" wrapText="1" indent="1"/>
    </xf>
    <xf numFmtId="0" fontId="19" fillId="19" borderId="85" xfId="1" applyFont="1" applyFill="1" applyBorder="1" applyAlignment="1">
      <alignment horizontal="left" vertical="top" wrapText="1"/>
    </xf>
    <xf numFmtId="0" fontId="20" fillId="0" borderId="74" xfId="1" applyFont="1" applyBorder="1" applyAlignment="1">
      <alignment horizontal="left" vertical="top" wrapText="1"/>
    </xf>
    <xf numFmtId="0" fontId="20" fillId="0" borderId="75" xfId="1" applyFont="1" applyBorder="1" applyAlignment="1">
      <alignment horizontal="left" vertical="top" wrapText="1"/>
    </xf>
    <xf numFmtId="0" fontId="24" fillId="0" borderId="72" xfId="1" applyBorder="1" applyAlignment="1">
      <alignment horizontal="left" wrapText="1"/>
    </xf>
    <xf numFmtId="0" fontId="19" fillId="0" borderId="5" xfId="1" applyFont="1" applyAlignment="1">
      <alignment horizontal="left" vertical="center" wrapText="1"/>
    </xf>
    <xf numFmtId="0" fontId="19" fillId="0" borderId="72" xfId="1" applyFont="1" applyBorder="1" applyAlignment="1">
      <alignment horizontal="center" vertical="center" wrapText="1"/>
    </xf>
    <xf numFmtId="49" fontId="14" fillId="3" borderId="8" xfId="0" applyNumberFormat="1" applyFont="1" applyFill="1" applyBorder="1"/>
    <xf numFmtId="0" fontId="14" fillId="3" borderId="8" xfId="0" applyNumberFormat="1" applyFont="1" applyFill="1" applyBorder="1"/>
    <xf numFmtId="49" fontId="14" fillId="3" borderId="63" xfId="0" applyNumberFormat="1" applyFont="1" applyFill="1" applyBorder="1"/>
    <xf numFmtId="0" fontId="0" fillId="3" borderId="63" xfId="0" applyNumberFormat="1" applyFill="1" applyBorder="1"/>
    <xf numFmtId="49" fontId="12" fillId="5" borderId="57" xfId="0" applyNumberFormat="1" applyFont="1" applyFill="1" applyBorder="1" applyAlignment="1">
      <alignment horizontal="center" vertical="center"/>
    </xf>
    <xf numFmtId="0" fontId="12" fillId="5" borderId="58" xfId="0" applyNumberFormat="1" applyFont="1" applyFill="1" applyBorder="1" applyAlignment="1">
      <alignment horizontal="center" vertical="center"/>
    </xf>
    <xf numFmtId="49" fontId="7" fillId="15" borderId="1" xfId="0" applyNumberFormat="1" applyFont="1" applyFill="1" applyBorder="1" applyAlignment="1">
      <alignment horizontal="center" vertical="center"/>
    </xf>
    <xf numFmtId="0" fontId="7" fillId="15" borderId="2" xfId="0" applyNumberFormat="1" applyFont="1" applyFill="1" applyBorder="1" applyAlignment="1">
      <alignment horizontal="center" vertical="center"/>
    </xf>
    <xf numFmtId="0" fontId="12" fillId="5" borderId="59" xfId="0" applyNumberFormat="1" applyFont="1" applyFill="1" applyBorder="1" applyAlignment="1">
      <alignment horizontal="center" vertical="center"/>
    </xf>
    <xf numFmtId="49" fontId="14" fillId="3" borderId="62" xfId="0" applyNumberFormat="1" applyFont="1" applyFill="1" applyBorder="1"/>
    <xf numFmtId="0" fontId="14" fillId="3" borderId="62" xfId="0" applyNumberFormat="1" applyFont="1" applyFill="1" applyBorder="1"/>
    <xf numFmtId="49" fontId="12" fillId="5" borderId="9" xfId="0" applyNumberFormat="1" applyFont="1" applyFill="1" applyBorder="1" applyAlignment="1">
      <alignment horizontal="center" vertical="center"/>
    </xf>
    <xf numFmtId="0" fontId="12" fillId="5" borderId="10" xfId="0" applyNumberFormat="1" applyFont="1" applyFill="1" applyBorder="1" applyAlignment="1">
      <alignment horizontal="center" vertical="center"/>
    </xf>
    <xf numFmtId="49" fontId="7" fillId="15" borderId="2" xfId="0" applyNumberFormat="1" applyFont="1" applyFill="1" applyBorder="1" applyAlignment="1">
      <alignment horizontal="center" vertical="center"/>
    </xf>
    <xf numFmtId="49" fontId="7" fillId="15" borderId="3" xfId="0" applyNumberFormat="1" applyFont="1" applyFill="1" applyBorder="1" applyAlignment="1">
      <alignment horizontal="center" vertical="center"/>
    </xf>
    <xf numFmtId="49" fontId="12" fillId="5" borderId="58" xfId="0" applyNumberFormat="1" applyFont="1" applyFill="1" applyBorder="1" applyAlignment="1">
      <alignment horizontal="center" vertical="center"/>
    </xf>
    <xf numFmtId="49" fontId="12" fillId="5" borderId="59" xfId="0" applyNumberFormat="1" applyFont="1" applyFill="1" applyBorder="1" applyAlignment="1">
      <alignment horizontal="center" vertical="center"/>
    </xf>
    <xf numFmtId="49" fontId="12" fillId="5" borderId="10" xfId="0" applyNumberFormat="1" applyFont="1" applyFill="1" applyBorder="1" applyAlignment="1">
      <alignment horizontal="center" vertical="center"/>
    </xf>
    <xf numFmtId="49" fontId="12" fillId="5" borderId="1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343C8205-3C53-E04F-AD62-4C49DA02B2B1}"/>
  </cellStyles>
  <dxfs count="5"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AAAAAA"/>
      <rgbColor rgb="FF000090"/>
      <rgbColor rgb="FF000080"/>
      <rgbColor rgb="FFFFFFFF"/>
      <rgbColor rgb="FF0033CC"/>
      <rgbColor rgb="FFFFC000"/>
      <rgbColor rgb="FFFFFF00"/>
      <rgbColor rgb="FFF2F2F2"/>
      <rgbColor rgb="FF7F7F7F"/>
      <rgbColor rgb="FFBFBFBF"/>
      <rgbColor rgb="FFDEEAF6"/>
      <rgbColor rgb="FF9CC2E5"/>
      <rgbColor rgb="FF00B0F0"/>
      <rgbColor rgb="FF70AD47"/>
      <rgbColor rgb="FFE7E6E6"/>
      <rgbColor rgb="FF92D050"/>
      <rgbColor rgb="FFB4BAC3"/>
      <rgbColor rgb="FFD8D8D8"/>
      <rgbColor rgb="FFE2EEDA"/>
      <rgbColor rgb="FF00B05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6</xdr:row>
      <xdr:rowOff>95250</xdr:rowOff>
    </xdr:from>
    <xdr:to>
      <xdr:col>0</xdr:col>
      <xdr:colOff>1543050</xdr:colOff>
      <xdr:row>14</xdr:row>
      <xdr:rowOff>171450</xdr:rowOff>
    </xdr:to>
    <xdr:pic>
      <xdr:nvPicPr>
        <xdr:cNvPr id="2" name="image1.png" descr="WA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438275"/>
          <a:ext cx="885825" cy="1828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571500</xdr:colOff>
      <xdr:row>8</xdr:row>
      <xdr:rowOff>0</xdr:rowOff>
    </xdr:from>
    <xdr:to>
      <xdr:col>4</xdr:col>
      <xdr:colOff>1943100</xdr:colOff>
      <xdr:row>14</xdr:row>
      <xdr:rowOff>139699</xdr:rowOff>
    </xdr:to>
    <xdr:pic>
      <xdr:nvPicPr>
        <xdr:cNvPr id="3" name="image2.jpeg" descr="http://www.tcf.gov.tr/images/logo_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5000" t="51000" r="5000" b="2600"/>
        <a:stretch>
          <a:fillRect/>
        </a:stretch>
      </xdr:blipFill>
      <xdr:spPr>
        <a:xfrm>
          <a:off x="9105900" y="1724025"/>
          <a:ext cx="1371600" cy="15113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479044</xdr:rowOff>
    </xdr:from>
    <xdr:ext cx="1083013" cy="726948"/>
    <xdr:pic>
      <xdr:nvPicPr>
        <xdr:cNvPr id="2" name="image1.png">
          <a:extLst>
            <a:ext uri="{FF2B5EF4-FFF2-40B4-BE49-F238E27FC236}">
              <a16:creationId xmlns:a16="http://schemas.microsoft.com/office/drawing/2014/main" id="{865712A0-8209-AE40-9620-65C386BA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544"/>
          <a:ext cx="1083013" cy="726948"/>
        </a:xfrm>
        <a:prstGeom prst="rect">
          <a:avLst/>
        </a:prstGeom>
      </xdr:spPr>
    </xdr:pic>
    <xdr:clientData/>
  </xdr:oneCellAnchor>
  <xdr:oneCellAnchor>
    <xdr:from>
      <xdr:col>8</xdr:col>
      <xdr:colOff>514984</xdr:colOff>
      <xdr:row>4</xdr:row>
      <xdr:rowOff>618490</xdr:rowOff>
    </xdr:from>
    <xdr:ext cx="324802" cy="314325"/>
    <xdr:pic>
      <xdr:nvPicPr>
        <xdr:cNvPr id="7" name="image6.jpeg">
          <a:extLst>
            <a:ext uri="{FF2B5EF4-FFF2-40B4-BE49-F238E27FC236}">
              <a16:creationId xmlns:a16="http://schemas.microsoft.com/office/drawing/2014/main" id="{A5C10276-D431-B24A-B1D4-4FB22C62A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9284" y="3590290"/>
          <a:ext cx="324802" cy="314325"/>
        </a:xfrm>
        <a:prstGeom prst="rect">
          <a:avLst/>
        </a:prstGeom>
      </xdr:spPr>
    </xdr:pic>
    <xdr:clientData/>
  </xdr:oneCellAnchor>
  <xdr:oneCellAnchor>
    <xdr:from>
      <xdr:col>10</xdr:col>
      <xdr:colOff>520700</xdr:colOff>
      <xdr:row>4</xdr:row>
      <xdr:rowOff>609600</xdr:rowOff>
    </xdr:from>
    <xdr:ext cx="291547" cy="291547"/>
    <xdr:pic>
      <xdr:nvPicPr>
        <xdr:cNvPr id="10" name="image2.jpeg">
          <a:extLst>
            <a:ext uri="{FF2B5EF4-FFF2-40B4-BE49-F238E27FC236}">
              <a16:creationId xmlns:a16="http://schemas.microsoft.com/office/drawing/2014/main" id="{22A045B8-8751-DF4D-916A-8220022DF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1200" y="3581400"/>
          <a:ext cx="291547" cy="291547"/>
        </a:xfrm>
        <a:prstGeom prst="rect">
          <a:avLst/>
        </a:prstGeom>
      </xdr:spPr>
    </xdr:pic>
    <xdr:clientData/>
  </xdr:oneCellAnchor>
  <xdr:oneCellAnchor>
    <xdr:from>
      <xdr:col>6</xdr:col>
      <xdr:colOff>520700</xdr:colOff>
      <xdr:row>4</xdr:row>
      <xdr:rowOff>596900</xdr:rowOff>
    </xdr:from>
    <xdr:ext cx="272111" cy="291547"/>
    <xdr:pic>
      <xdr:nvPicPr>
        <xdr:cNvPr id="11" name="image3.jpeg">
          <a:extLst>
            <a:ext uri="{FF2B5EF4-FFF2-40B4-BE49-F238E27FC236}">
              <a16:creationId xmlns:a16="http://schemas.microsoft.com/office/drawing/2014/main" id="{7BF7CD76-D7D9-DD4C-9013-CAD4FE54C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8800" y="3568700"/>
          <a:ext cx="272111" cy="291547"/>
        </a:xfrm>
        <a:prstGeom prst="rect">
          <a:avLst/>
        </a:prstGeom>
      </xdr:spPr>
    </xdr:pic>
    <xdr:clientData/>
  </xdr:oneCellAnchor>
  <xdr:oneCellAnchor>
    <xdr:from>
      <xdr:col>4</xdr:col>
      <xdr:colOff>533400</xdr:colOff>
      <xdr:row>4</xdr:row>
      <xdr:rowOff>596900</xdr:rowOff>
    </xdr:from>
    <xdr:ext cx="300457" cy="314325"/>
    <xdr:pic>
      <xdr:nvPicPr>
        <xdr:cNvPr id="12" name="image7.jpeg">
          <a:extLst>
            <a:ext uri="{FF2B5EF4-FFF2-40B4-BE49-F238E27FC236}">
              <a16:creationId xmlns:a16="http://schemas.microsoft.com/office/drawing/2014/main" id="{8209D5E0-C885-BD45-8679-EBA3FCF21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5300" y="3568700"/>
          <a:ext cx="300457" cy="3143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IV30"/>
  <sheetViews>
    <sheetView showGridLines="0" workbookViewId="0">
      <selection activeCell="D11" sqref="D11"/>
    </sheetView>
  </sheetViews>
  <sheetFormatPr baseColWidth="10" defaultColWidth="8.83203125" defaultRowHeight="15" customHeight="1" x14ac:dyDescent="0.2"/>
  <cols>
    <col min="1" max="1" width="27.5" style="1" customWidth="1"/>
    <col min="2" max="2" width="18.5" style="1" customWidth="1"/>
    <col min="3" max="3" width="4.5" style="1" customWidth="1"/>
    <col min="4" max="4" width="61.5" style="1" customWidth="1"/>
    <col min="5" max="5" width="44.1640625" style="1" customWidth="1"/>
    <col min="6" max="256" width="8.83203125" style="1" customWidth="1"/>
  </cols>
  <sheetData>
    <row r="1" spans="1:5" ht="15" customHeight="1" x14ac:dyDescent="0.2">
      <c r="A1" s="2"/>
      <c r="B1" s="3"/>
      <c r="C1" s="3"/>
      <c r="D1" s="3"/>
      <c r="E1" s="4"/>
    </row>
    <row r="2" spans="1:5" ht="18" customHeight="1" x14ac:dyDescent="0.2">
      <c r="A2" s="5"/>
      <c r="B2" s="165" t="s">
        <v>0</v>
      </c>
      <c r="C2" s="166"/>
      <c r="D2" s="166"/>
      <c r="E2" s="7"/>
    </row>
    <row r="3" spans="1:5" ht="18" customHeight="1" x14ac:dyDescent="0.2">
      <c r="A3" s="5"/>
      <c r="B3" s="6"/>
      <c r="C3" s="6"/>
      <c r="D3" s="6"/>
      <c r="E3" s="7"/>
    </row>
    <row r="4" spans="1:5" ht="15" customHeight="1" x14ac:dyDescent="0.2">
      <c r="A4" s="5"/>
      <c r="B4" s="164"/>
      <c r="C4" s="164"/>
      <c r="D4" s="164"/>
      <c r="E4" s="7"/>
    </row>
    <row r="5" spans="1:5" ht="15" customHeight="1" x14ac:dyDescent="0.2">
      <c r="A5" s="5"/>
      <c r="B5" s="8"/>
      <c r="C5" s="8"/>
      <c r="D5" s="8"/>
      <c r="E5" s="7"/>
    </row>
    <row r="6" spans="1:5" ht="24.75" customHeight="1" x14ac:dyDescent="0.2">
      <c r="A6" s="5"/>
      <c r="B6" s="162" t="s">
        <v>1</v>
      </c>
      <c r="C6" s="163"/>
      <c r="D6" s="163"/>
      <c r="E6" s="7"/>
    </row>
    <row r="7" spans="1:5" ht="15" customHeight="1" x14ac:dyDescent="0.2">
      <c r="A7" s="5"/>
      <c r="B7" s="9"/>
      <c r="C7" s="9"/>
      <c r="D7" s="9"/>
      <c r="E7" s="7"/>
    </row>
    <row r="8" spans="1:5" ht="15" customHeight="1" x14ac:dyDescent="0.2">
      <c r="A8" s="5"/>
      <c r="B8" s="9"/>
      <c r="C8" s="9"/>
      <c r="D8" s="9"/>
      <c r="E8" s="7"/>
    </row>
    <row r="9" spans="1:5" ht="18" customHeight="1" x14ac:dyDescent="0.2">
      <c r="A9" s="5"/>
      <c r="B9" s="10" t="s">
        <v>2</v>
      </c>
      <c r="C9" s="11" t="s">
        <v>3</v>
      </c>
      <c r="D9" s="12" t="s">
        <v>4</v>
      </c>
      <c r="E9" s="7"/>
    </row>
    <row r="10" spans="1:5" ht="18" customHeight="1" x14ac:dyDescent="0.2">
      <c r="A10" s="5"/>
      <c r="B10" s="13"/>
      <c r="C10" s="14"/>
      <c r="D10" s="15"/>
      <c r="E10" s="7"/>
    </row>
    <row r="11" spans="1:5" ht="18" customHeight="1" x14ac:dyDescent="0.2">
      <c r="A11" s="5"/>
      <c r="B11" s="16" t="s">
        <v>5</v>
      </c>
      <c r="C11" s="11" t="s">
        <v>3</v>
      </c>
      <c r="D11" s="17"/>
      <c r="E11" s="7"/>
    </row>
    <row r="12" spans="1:5" ht="18" customHeight="1" x14ac:dyDescent="0.2">
      <c r="A12" s="5"/>
      <c r="B12" s="13"/>
      <c r="C12" s="14"/>
      <c r="D12" s="15"/>
      <c r="E12" s="7"/>
    </row>
    <row r="13" spans="1:5" ht="18" customHeight="1" x14ac:dyDescent="0.2">
      <c r="A13" s="5"/>
      <c r="B13" s="16" t="s">
        <v>6</v>
      </c>
      <c r="C13" s="11" t="s">
        <v>3</v>
      </c>
      <c r="D13" s="12" t="s">
        <v>7</v>
      </c>
      <c r="E13" s="7"/>
    </row>
    <row r="14" spans="1:5" ht="18" customHeight="1" x14ac:dyDescent="0.2">
      <c r="A14" s="5"/>
      <c r="B14" s="13"/>
      <c r="C14" s="14"/>
      <c r="D14" s="15"/>
      <c r="E14" s="7"/>
    </row>
    <row r="15" spans="1:5" ht="18" customHeight="1" x14ac:dyDescent="0.2">
      <c r="A15" s="5"/>
      <c r="B15" s="16" t="s">
        <v>8</v>
      </c>
      <c r="C15" s="11" t="s">
        <v>3</v>
      </c>
      <c r="D15" s="18">
        <v>44218</v>
      </c>
      <c r="E15" s="7"/>
    </row>
    <row r="16" spans="1:5" ht="15" customHeight="1" x14ac:dyDescent="0.2">
      <c r="A16" s="5"/>
      <c r="B16" s="9"/>
      <c r="C16" s="9"/>
      <c r="D16" s="9"/>
      <c r="E16" s="7"/>
    </row>
    <row r="17" spans="1:5" ht="15" customHeight="1" x14ac:dyDescent="0.2">
      <c r="A17" s="5"/>
      <c r="B17" s="9"/>
      <c r="C17" s="9"/>
      <c r="D17" s="9"/>
      <c r="E17" s="7"/>
    </row>
    <row r="18" spans="1:5" ht="18" customHeight="1" x14ac:dyDescent="0.2">
      <c r="A18" s="5"/>
      <c r="B18" s="19"/>
      <c r="C18" s="20"/>
      <c r="D18" s="21"/>
      <c r="E18" s="7"/>
    </row>
    <row r="19" spans="1:5" ht="18" customHeight="1" x14ac:dyDescent="0.2">
      <c r="A19" s="5"/>
      <c r="B19" s="22"/>
      <c r="C19" s="9"/>
      <c r="D19" s="9"/>
      <c r="E19" s="7"/>
    </row>
    <row r="20" spans="1:5" ht="15" customHeight="1" x14ac:dyDescent="0.2">
      <c r="A20" s="5"/>
      <c r="B20" s="9"/>
      <c r="C20" s="9"/>
      <c r="D20" s="9"/>
      <c r="E20" s="7"/>
    </row>
    <row r="21" spans="1:5" ht="15" customHeight="1" x14ac:dyDescent="0.2">
      <c r="A21" s="23"/>
      <c r="B21" s="23"/>
      <c r="C21" s="23"/>
      <c r="D21" s="23"/>
      <c r="E21" s="23"/>
    </row>
    <row r="22" spans="1:5" ht="15" customHeight="1" x14ac:dyDescent="0.2">
      <c r="A22" s="24"/>
      <c r="B22" s="24"/>
      <c r="C22" s="24"/>
      <c r="D22" s="24"/>
      <c r="E22" s="24"/>
    </row>
    <row r="23" spans="1:5" ht="15" customHeight="1" x14ac:dyDescent="0.2">
      <c r="A23" s="24"/>
      <c r="B23" s="24"/>
      <c r="C23" s="24"/>
      <c r="D23" s="24"/>
      <c r="E23" s="24"/>
    </row>
    <row r="24" spans="1:5" ht="15" customHeight="1" x14ac:dyDescent="0.2">
      <c r="A24" s="24"/>
      <c r="B24" s="24"/>
      <c r="C24" s="24"/>
      <c r="D24" s="24"/>
      <c r="E24" s="24"/>
    </row>
    <row r="25" spans="1:5" ht="15" customHeight="1" x14ac:dyDescent="0.2">
      <c r="A25" s="24"/>
      <c r="B25" s="24"/>
      <c r="C25" s="24"/>
      <c r="D25" s="24"/>
      <c r="E25" s="24"/>
    </row>
    <row r="26" spans="1:5" ht="15" customHeight="1" x14ac:dyDescent="0.2">
      <c r="A26" s="24"/>
      <c r="B26" s="24"/>
      <c r="C26" s="24"/>
      <c r="D26" s="24"/>
      <c r="E26" s="24"/>
    </row>
    <row r="27" spans="1:5" ht="15" customHeight="1" x14ac:dyDescent="0.2">
      <c r="A27" s="24"/>
      <c r="B27" s="24"/>
      <c r="C27" s="24"/>
      <c r="D27" s="24"/>
      <c r="E27" s="24"/>
    </row>
    <row r="28" spans="1:5" ht="15" customHeight="1" x14ac:dyDescent="0.2">
      <c r="A28" s="24"/>
      <c r="B28" s="24"/>
      <c r="C28" s="24"/>
      <c r="D28" s="24"/>
      <c r="E28" s="24"/>
    </row>
    <row r="29" spans="1:5" ht="15" customHeight="1" x14ac:dyDescent="0.2">
      <c r="A29" s="24"/>
      <c r="B29" s="24"/>
      <c r="C29" s="24"/>
      <c r="D29" s="24"/>
      <c r="E29" s="24"/>
    </row>
    <row r="30" spans="1:5" ht="15" customHeight="1" x14ac:dyDescent="0.2">
      <c r="A30" s="25"/>
      <c r="B30" s="25"/>
      <c r="C30" s="25"/>
      <c r="D30" s="25"/>
      <c r="E30" s="25"/>
    </row>
  </sheetData>
  <mergeCells count="3">
    <mergeCell ref="B6:D6"/>
    <mergeCell ref="B4:D4"/>
    <mergeCell ref="B2:D2"/>
  </mergeCells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IV103"/>
  <sheetViews>
    <sheetView showGridLines="0" workbookViewId="0">
      <selection activeCell="F5" sqref="F5"/>
    </sheetView>
  </sheetViews>
  <sheetFormatPr baseColWidth="10" defaultColWidth="8.83203125" defaultRowHeight="15" customHeight="1" x14ac:dyDescent="0.2"/>
  <cols>
    <col min="1" max="1" width="5.5" style="1" customWidth="1"/>
    <col min="2" max="2" width="18.5" style="1" customWidth="1"/>
    <col min="3" max="3" width="20" style="1" customWidth="1"/>
    <col min="4" max="6" width="28.5" style="1" customWidth="1"/>
    <col min="7" max="256" width="8.83203125" style="1" customWidth="1"/>
  </cols>
  <sheetData>
    <row r="1" spans="1:6" ht="8.5" customHeight="1" x14ac:dyDescent="0.2">
      <c r="A1" s="167" t="s">
        <v>9</v>
      </c>
      <c r="B1" s="168"/>
      <c r="C1" s="168"/>
      <c r="D1" s="168"/>
      <c r="E1" s="168"/>
      <c r="F1" s="169"/>
    </row>
    <row r="2" spans="1:6" ht="11" customHeight="1" x14ac:dyDescent="0.2">
      <c r="A2" s="170"/>
      <c r="B2" s="171"/>
      <c r="C2" s="171"/>
      <c r="D2" s="171"/>
      <c r="E2" s="171"/>
      <c r="F2" s="172"/>
    </row>
    <row r="3" spans="1:6" ht="15" customHeight="1" x14ac:dyDescent="0.2">
      <c r="A3" s="26" t="s">
        <v>10</v>
      </c>
      <c r="B3" s="26" t="s">
        <v>11</v>
      </c>
      <c r="C3" s="26" t="s">
        <v>12</v>
      </c>
      <c r="D3" s="27" t="s">
        <v>6</v>
      </c>
      <c r="E3" s="26" t="s">
        <v>13</v>
      </c>
      <c r="F3" s="26" t="s">
        <v>14</v>
      </c>
    </row>
    <row r="4" spans="1:6" ht="15.75" customHeight="1" x14ac:dyDescent="0.2">
      <c r="A4" s="28">
        <v>1</v>
      </c>
      <c r="B4" s="29" t="s">
        <v>90</v>
      </c>
      <c r="C4" s="29" t="s">
        <v>83</v>
      </c>
      <c r="D4" s="30" t="s">
        <v>84</v>
      </c>
      <c r="E4" s="30" t="s">
        <v>85</v>
      </c>
      <c r="F4" s="31" t="s">
        <v>91</v>
      </c>
    </row>
    <row r="5" spans="1:6" ht="15.75" customHeight="1" x14ac:dyDescent="0.2">
      <c r="A5" s="32">
        <f t="shared" ref="A5:A36" si="0">A4+1</f>
        <v>2</v>
      </c>
      <c r="B5" s="29" t="s">
        <v>87</v>
      </c>
      <c r="C5" s="29" t="s">
        <v>88</v>
      </c>
      <c r="D5" s="30" t="s">
        <v>84</v>
      </c>
      <c r="E5" s="30" t="s">
        <v>91</v>
      </c>
      <c r="F5" s="33" t="s">
        <v>89</v>
      </c>
    </row>
    <row r="6" spans="1:6" ht="15.75" customHeight="1" x14ac:dyDescent="0.2">
      <c r="A6" s="28">
        <f t="shared" si="0"/>
        <v>3</v>
      </c>
      <c r="B6" s="29"/>
      <c r="C6" s="29"/>
      <c r="D6" s="30"/>
      <c r="E6" s="30"/>
      <c r="F6" s="31"/>
    </row>
    <row r="7" spans="1:6" ht="15.75" customHeight="1" x14ac:dyDescent="0.2">
      <c r="A7" s="32">
        <f t="shared" si="0"/>
        <v>4</v>
      </c>
      <c r="B7" s="29"/>
      <c r="C7" s="29"/>
      <c r="D7" s="30"/>
      <c r="E7" s="30"/>
      <c r="F7" s="33"/>
    </row>
    <row r="8" spans="1:6" ht="15.75" customHeight="1" x14ac:dyDescent="0.2">
      <c r="A8" s="28">
        <f t="shared" si="0"/>
        <v>5</v>
      </c>
      <c r="B8" s="29"/>
      <c r="C8" s="34"/>
      <c r="D8" s="29"/>
      <c r="E8" s="30"/>
      <c r="F8" s="31"/>
    </row>
    <row r="9" spans="1:6" ht="15.75" customHeight="1" x14ac:dyDescent="0.2">
      <c r="A9" s="32">
        <f t="shared" si="0"/>
        <v>6</v>
      </c>
      <c r="B9" s="29"/>
      <c r="C9" s="29"/>
      <c r="D9" s="30"/>
      <c r="E9" s="30"/>
      <c r="F9" s="33"/>
    </row>
    <row r="10" spans="1:6" ht="15.75" customHeight="1" x14ac:dyDescent="0.2">
      <c r="A10" s="28">
        <f t="shared" si="0"/>
        <v>7</v>
      </c>
      <c r="B10" s="29"/>
      <c r="C10" s="29"/>
      <c r="D10" s="30"/>
      <c r="E10" s="30"/>
      <c r="F10" s="31"/>
    </row>
    <row r="11" spans="1:6" ht="15.75" customHeight="1" x14ac:dyDescent="0.2">
      <c r="A11" s="32">
        <f t="shared" si="0"/>
        <v>8</v>
      </c>
      <c r="B11" s="29"/>
      <c r="C11" s="29"/>
      <c r="D11" s="30"/>
      <c r="E11" s="30"/>
      <c r="F11" s="33"/>
    </row>
    <row r="12" spans="1:6" ht="15.75" customHeight="1" x14ac:dyDescent="0.2">
      <c r="A12" s="28">
        <f t="shared" si="0"/>
        <v>9</v>
      </c>
      <c r="B12" s="29"/>
      <c r="C12" s="29"/>
      <c r="D12" s="30"/>
      <c r="E12" s="30"/>
      <c r="F12" s="31"/>
    </row>
    <row r="13" spans="1:6" ht="15.75" customHeight="1" x14ac:dyDescent="0.2">
      <c r="A13" s="32">
        <f t="shared" si="0"/>
        <v>10</v>
      </c>
      <c r="B13" s="29"/>
      <c r="C13" s="29"/>
      <c r="D13" s="30"/>
      <c r="E13" s="30"/>
      <c r="F13" s="33"/>
    </row>
    <row r="14" spans="1:6" ht="15" customHeight="1" x14ac:dyDescent="0.2">
      <c r="A14" s="28">
        <f t="shared" si="0"/>
        <v>11</v>
      </c>
      <c r="B14" s="29"/>
      <c r="C14" s="29"/>
      <c r="D14" s="30"/>
      <c r="E14" s="30"/>
      <c r="F14" s="35"/>
    </row>
    <row r="15" spans="1:6" ht="15" customHeight="1" x14ac:dyDescent="0.2">
      <c r="A15" s="32">
        <f t="shared" si="0"/>
        <v>12</v>
      </c>
      <c r="B15" s="29"/>
      <c r="C15" s="29"/>
      <c r="D15" s="30"/>
      <c r="E15" s="30"/>
      <c r="F15" s="36"/>
    </row>
    <row r="16" spans="1:6" ht="15" customHeight="1" x14ac:dyDescent="0.2">
      <c r="A16" s="28">
        <f t="shared" si="0"/>
        <v>13</v>
      </c>
      <c r="B16" s="29"/>
      <c r="C16" s="29"/>
      <c r="D16" s="30"/>
      <c r="E16" s="30"/>
      <c r="F16" s="35"/>
    </row>
    <row r="17" spans="1:6" ht="15" customHeight="1" x14ac:dyDescent="0.2">
      <c r="A17" s="32">
        <f t="shared" si="0"/>
        <v>14</v>
      </c>
      <c r="B17" s="29"/>
      <c r="C17" s="29"/>
      <c r="D17" s="30"/>
      <c r="E17" s="30"/>
      <c r="F17" s="36"/>
    </row>
    <row r="18" spans="1:6" ht="15" customHeight="1" x14ac:dyDescent="0.2">
      <c r="A18" s="28">
        <f t="shared" si="0"/>
        <v>15</v>
      </c>
      <c r="B18" s="29"/>
      <c r="C18" s="29"/>
      <c r="D18" s="30"/>
      <c r="E18" s="30"/>
      <c r="F18" s="35"/>
    </row>
    <row r="19" spans="1:6" ht="15" customHeight="1" x14ac:dyDescent="0.2">
      <c r="A19" s="32">
        <f t="shared" si="0"/>
        <v>16</v>
      </c>
      <c r="B19" s="29"/>
      <c r="C19" s="29"/>
      <c r="D19" s="30"/>
      <c r="E19" s="30"/>
      <c r="F19" s="36"/>
    </row>
    <row r="20" spans="1:6" ht="15" customHeight="1" x14ac:dyDescent="0.2">
      <c r="A20" s="28">
        <f t="shared" si="0"/>
        <v>17</v>
      </c>
      <c r="B20" s="29"/>
      <c r="C20" s="29"/>
      <c r="D20" s="30"/>
      <c r="E20" s="30"/>
      <c r="F20" s="35"/>
    </row>
    <row r="21" spans="1:6" ht="15" customHeight="1" x14ac:dyDescent="0.2">
      <c r="A21" s="32">
        <f t="shared" si="0"/>
        <v>18</v>
      </c>
      <c r="B21" s="29"/>
      <c r="C21" s="29"/>
      <c r="D21" s="30"/>
      <c r="E21" s="30"/>
      <c r="F21" s="36"/>
    </row>
    <row r="22" spans="1:6" ht="15" customHeight="1" x14ac:dyDescent="0.2">
      <c r="A22" s="28">
        <f t="shared" si="0"/>
        <v>19</v>
      </c>
      <c r="B22" s="34"/>
      <c r="C22" s="34"/>
      <c r="D22" s="30"/>
      <c r="E22" s="30"/>
      <c r="F22" s="35"/>
    </row>
    <row r="23" spans="1:6" ht="15" customHeight="1" x14ac:dyDescent="0.2">
      <c r="A23" s="32">
        <f t="shared" si="0"/>
        <v>20</v>
      </c>
      <c r="B23" s="29"/>
      <c r="C23" s="29"/>
      <c r="D23" s="30"/>
      <c r="E23" s="30"/>
      <c r="F23" s="36"/>
    </row>
    <row r="24" spans="1:6" ht="15" customHeight="1" x14ac:dyDescent="0.2">
      <c r="A24" s="28">
        <f t="shared" si="0"/>
        <v>21</v>
      </c>
      <c r="B24" s="29"/>
      <c r="C24" s="29"/>
      <c r="D24" s="30"/>
      <c r="E24" s="30"/>
      <c r="F24" s="35"/>
    </row>
    <row r="25" spans="1:6" ht="15" customHeight="1" x14ac:dyDescent="0.2">
      <c r="A25" s="32">
        <f t="shared" si="0"/>
        <v>22</v>
      </c>
      <c r="B25" s="29"/>
      <c r="C25" s="29"/>
      <c r="D25" s="30"/>
      <c r="E25" s="30"/>
      <c r="F25" s="36"/>
    </row>
    <row r="26" spans="1:6" ht="15" customHeight="1" x14ac:dyDescent="0.2">
      <c r="A26" s="28">
        <f t="shared" si="0"/>
        <v>23</v>
      </c>
      <c r="B26" s="29"/>
      <c r="C26" s="29"/>
      <c r="D26" s="30"/>
      <c r="E26" s="30"/>
      <c r="F26" s="35"/>
    </row>
    <row r="27" spans="1:6" ht="15" customHeight="1" x14ac:dyDescent="0.2">
      <c r="A27" s="32">
        <f t="shared" si="0"/>
        <v>24</v>
      </c>
      <c r="B27" s="29"/>
      <c r="C27" s="29"/>
      <c r="D27" s="30"/>
      <c r="E27" s="30"/>
      <c r="F27" s="36"/>
    </row>
    <row r="28" spans="1:6" ht="15" customHeight="1" x14ac:dyDescent="0.2">
      <c r="A28" s="28">
        <f t="shared" si="0"/>
        <v>25</v>
      </c>
      <c r="B28" s="29"/>
      <c r="C28" s="29"/>
      <c r="D28" s="30"/>
      <c r="E28" s="30"/>
      <c r="F28" s="35"/>
    </row>
    <row r="29" spans="1:6" ht="15" customHeight="1" x14ac:dyDescent="0.2">
      <c r="A29" s="32">
        <f t="shared" si="0"/>
        <v>26</v>
      </c>
      <c r="B29" s="29"/>
      <c r="C29" s="29"/>
      <c r="D29" s="30"/>
      <c r="E29" s="30"/>
      <c r="F29" s="36"/>
    </row>
    <row r="30" spans="1:6" ht="15" customHeight="1" x14ac:dyDescent="0.2">
      <c r="A30" s="28">
        <f t="shared" si="0"/>
        <v>27</v>
      </c>
      <c r="B30" s="29"/>
      <c r="C30" s="29"/>
      <c r="D30" s="30"/>
      <c r="E30" s="30"/>
      <c r="F30" s="35"/>
    </row>
    <row r="31" spans="1:6" ht="15" customHeight="1" x14ac:dyDescent="0.2">
      <c r="A31" s="32">
        <f t="shared" si="0"/>
        <v>28</v>
      </c>
      <c r="B31" s="29"/>
      <c r="C31" s="29"/>
      <c r="D31" s="30"/>
      <c r="E31" s="30"/>
      <c r="F31" s="36"/>
    </row>
    <row r="32" spans="1:6" ht="15" customHeight="1" x14ac:dyDescent="0.2">
      <c r="A32" s="28">
        <f t="shared" si="0"/>
        <v>29</v>
      </c>
      <c r="B32" s="29"/>
      <c r="C32" s="29"/>
      <c r="D32" s="30"/>
      <c r="E32" s="30"/>
      <c r="F32" s="35"/>
    </row>
    <row r="33" spans="1:6" ht="15" customHeight="1" x14ac:dyDescent="0.2">
      <c r="A33" s="32">
        <f t="shared" si="0"/>
        <v>30</v>
      </c>
      <c r="B33" s="29"/>
      <c r="C33" s="29"/>
      <c r="D33" s="30"/>
      <c r="E33" s="30"/>
      <c r="F33" s="36"/>
    </row>
    <row r="34" spans="1:6" ht="15" customHeight="1" x14ac:dyDescent="0.2">
      <c r="A34" s="28">
        <f t="shared" si="0"/>
        <v>31</v>
      </c>
      <c r="B34" s="29"/>
      <c r="C34" s="29"/>
      <c r="D34" s="30"/>
      <c r="E34" s="30"/>
      <c r="F34" s="35"/>
    </row>
    <row r="35" spans="1:6" ht="15" customHeight="1" x14ac:dyDescent="0.2">
      <c r="A35" s="32">
        <f t="shared" si="0"/>
        <v>32</v>
      </c>
      <c r="B35" s="29"/>
      <c r="C35" s="29"/>
      <c r="D35" s="30"/>
      <c r="E35" s="30"/>
      <c r="F35" s="36"/>
    </row>
    <row r="36" spans="1:6" ht="15" customHeight="1" x14ac:dyDescent="0.2">
      <c r="A36" s="28">
        <f t="shared" si="0"/>
        <v>33</v>
      </c>
      <c r="B36" s="29"/>
      <c r="C36" s="29"/>
      <c r="D36" s="30"/>
      <c r="E36" s="30"/>
      <c r="F36" s="35"/>
    </row>
    <row r="37" spans="1:6" ht="15" customHeight="1" x14ac:dyDescent="0.2">
      <c r="A37" s="32">
        <f t="shared" ref="A37:A68" si="1">A36+1</f>
        <v>34</v>
      </c>
      <c r="B37" s="29"/>
      <c r="C37" s="29"/>
      <c r="D37" s="30"/>
      <c r="E37" s="30"/>
      <c r="F37" s="36"/>
    </row>
    <row r="38" spans="1:6" ht="15" customHeight="1" x14ac:dyDescent="0.2">
      <c r="A38" s="28">
        <f t="shared" si="1"/>
        <v>35</v>
      </c>
      <c r="B38" s="29"/>
      <c r="C38" s="29"/>
      <c r="D38" s="30"/>
      <c r="E38" s="30"/>
      <c r="F38" s="35"/>
    </row>
    <row r="39" spans="1:6" ht="15" customHeight="1" x14ac:dyDescent="0.2">
      <c r="A39" s="32">
        <f t="shared" si="1"/>
        <v>36</v>
      </c>
      <c r="B39" s="29"/>
      <c r="C39" s="29"/>
      <c r="D39" s="30"/>
      <c r="E39" s="30"/>
      <c r="F39" s="36"/>
    </row>
    <row r="40" spans="1:6" ht="15" customHeight="1" x14ac:dyDescent="0.2">
      <c r="A40" s="28">
        <f t="shared" si="1"/>
        <v>37</v>
      </c>
      <c r="B40" s="37"/>
      <c r="C40" s="37"/>
      <c r="D40" s="38"/>
      <c r="E40" s="38"/>
      <c r="F40" s="35"/>
    </row>
    <row r="41" spans="1:6" ht="15" customHeight="1" x14ac:dyDescent="0.2">
      <c r="A41" s="32">
        <f t="shared" si="1"/>
        <v>38</v>
      </c>
      <c r="B41" s="37"/>
      <c r="C41" s="37"/>
      <c r="D41" s="38"/>
      <c r="E41" s="38"/>
      <c r="F41" s="36"/>
    </row>
    <row r="42" spans="1:6" ht="15" customHeight="1" x14ac:dyDescent="0.2">
      <c r="A42" s="28">
        <f t="shared" si="1"/>
        <v>39</v>
      </c>
      <c r="B42" s="37"/>
      <c r="C42" s="37"/>
      <c r="D42" s="38"/>
      <c r="E42" s="38"/>
      <c r="F42" s="35"/>
    </row>
    <row r="43" spans="1:6" ht="15" customHeight="1" x14ac:dyDescent="0.2">
      <c r="A43" s="32">
        <f t="shared" si="1"/>
        <v>40</v>
      </c>
      <c r="B43" s="29"/>
      <c r="C43" s="29"/>
      <c r="D43" s="38"/>
      <c r="E43" s="30"/>
      <c r="F43" s="36"/>
    </row>
    <row r="44" spans="1:6" ht="15" customHeight="1" x14ac:dyDescent="0.2">
      <c r="A44" s="28">
        <f t="shared" si="1"/>
        <v>41</v>
      </c>
      <c r="B44" s="37"/>
      <c r="C44" s="37"/>
      <c r="D44" s="38"/>
      <c r="E44" s="38"/>
      <c r="F44" s="35"/>
    </row>
    <row r="45" spans="1:6" ht="15" customHeight="1" x14ac:dyDescent="0.2">
      <c r="A45" s="32">
        <f t="shared" si="1"/>
        <v>42</v>
      </c>
      <c r="B45" s="29"/>
      <c r="C45" s="29"/>
      <c r="D45" s="38"/>
      <c r="E45" s="30"/>
      <c r="F45" s="36"/>
    </row>
    <row r="46" spans="1:6" ht="15" customHeight="1" x14ac:dyDescent="0.2">
      <c r="A46" s="28">
        <f t="shared" si="1"/>
        <v>43</v>
      </c>
      <c r="B46" s="37"/>
      <c r="C46" s="37"/>
      <c r="D46" s="38"/>
      <c r="E46" s="38"/>
      <c r="F46" s="35"/>
    </row>
    <row r="47" spans="1:6" ht="15" customHeight="1" x14ac:dyDescent="0.2">
      <c r="A47" s="32">
        <f t="shared" si="1"/>
        <v>44</v>
      </c>
      <c r="B47" s="37"/>
      <c r="C47" s="37"/>
      <c r="D47" s="38"/>
      <c r="E47" s="38"/>
      <c r="F47" s="36"/>
    </row>
    <row r="48" spans="1:6" ht="15" customHeight="1" x14ac:dyDescent="0.2">
      <c r="A48" s="28">
        <f t="shared" si="1"/>
        <v>45</v>
      </c>
      <c r="B48" s="29"/>
      <c r="C48" s="29"/>
      <c r="D48" s="30"/>
      <c r="E48" s="30"/>
      <c r="F48" s="35"/>
    </row>
    <row r="49" spans="1:6" ht="15" customHeight="1" x14ac:dyDescent="0.2">
      <c r="A49" s="32">
        <f t="shared" si="1"/>
        <v>46</v>
      </c>
      <c r="B49" s="37"/>
      <c r="C49" s="37"/>
      <c r="D49" s="38"/>
      <c r="E49" s="38"/>
      <c r="F49" s="36"/>
    </row>
    <row r="50" spans="1:6" ht="15" customHeight="1" x14ac:dyDescent="0.2">
      <c r="A50" s="28">
        <f t="shared" si="1"/>
        <v>47</v>
      </c>
      <c r="B50" s="29"/>
      <c r="C50" s="29"/>
      <c r="D50" s="30"/>
      <c r="E50" s="30"/>
      <c r="F50" s="35"/>
    </row>
    <row r="51" spans="1:6" ht="15" customHeight="1" x14ac:dyDescent="0.2">
      <c r="A51" s="32">
        <f t="shared" si="1"/>
        <v>48</v>
      </c>
      <c r="B51" s="37"/>
      <c r="C51" s="37"/>
      <c r="D51" s="38"/>
      <c r="E51" s="38"/>
      <c r="F51" s="36"/>
    </row>
    <row r="52" spans="1:6" ht="15" customHeight="1" x14ac:dyDescent="0.2">
      <c r="A52" s="28">
        <f t="shared" si="1"/>
        <v>49</v>
      </c>
      <c r="B52" s="29"/>
      <c r="C52" s="29"/>
      <c r="D52" s="38"/>
      <c r="E52" s="30"/>
      <c r="F52" s="35"/>
    </row>
    <row r="53" spans="1:6" ht="15" customHeight="1" x14ac:dyDescent="0.2">
      <c r="A53" s="32">
        <f t="shared" si="1"/>
        <v>50</v>
      </c>
      <c r="B53" s="29"/>
      <c r="C53" s="29"/>
      <c r="D53" s="30"/>
      <c r="E53" s="30"/>
      <c r="F53" s="36"/>
    </row>
    <row r="54" spans="1:6" ht="15" customHeight="1" x14ac:dyDescent="0.2">
      <c r="A54" s="28">
        <f t="shared" si="1"/>
        <v>51</v>
      </c>
      <c r="B54" s="37"/>
      <c r="C54" s="37"/>
      <c r="D54" s="38"/>
      <c r="E54" s="38"/>
      <c r="F54" s="35"/>
    </row>
    <row r="55" spans="1:6" ht="15" customHeight="1" x14ac:dyDescent="0.2">
      <c r="A55" s="32">
        <f t="shared" si="1"/>
        <v>52</v>
      </c>
      <c r="B55" s="37"/>
      <c r="C55" s="37"/>
      <c r="D55" s="38"/>
      <c r="E55" s="38"/>
      <c r="F55" s="36"/>
    </row>
    <row r="56" spans="1:6" ht="15" customHeight="1" x14ac:dyDescent="0.2">
      <c r="A56" s="28">
        <f t="shared" si="1"/>
        <v>53</v>
      </c>
      <c r="B56" s="39"/>
      <c r="C56" s="29"/>
      <c r="D56" s="30"/>
      <c r="E56" s="30"/>
      <c r="F56" s="35"/>
    </row>
    <row r="57" spans="1:6" ht="15" customHeight="1" x14ac:dyDescent="0.2">
      <c r="A57" s="32">
        <f t="shared" si="1"/>
        <v>54</v>
      </c>
      <c r="B57" s="29"/>
      <c r="C57" s="29"/>
      <c r="D57" s="30"/>
      <c r="E57" s="30"/>
      <c r="F57" s="36"/>
    </row>
    <row r="58" spans="1:6" ht="15" customHeight="1" x14ac:dyDescent="0.2">
      <c r="A58" s="28">
        <f t="shared" si="1"/>
        <v>55</v>
      </c>
      <c r="B58" s="37"/>
      <c r="C58" s="37"/>
      <c r="D58" s="38"/>
      <c r="E58" s="38"/>
      <c r="F58" s="35"/>
    </row>
    <row r="59" spans="1:6" ht="15" customHeight="1" x14ac:dyDescent="0.2">
      <c r="A59" s="32">
        <f t="shared" si="1"/>
        <v>56</v>
      </c>
      <c r="B59" s="29"/>
      <c r="C59" s="29"/>
      <c r="D59" s="38"/>
      <c r="E59" s="38"/>
      <c r="F59" s="36"/>
    </row>
    <row r="60" spans="1:6" ht="15" customHeight="1" x14ac:dyDescent="0.2">
      <c r="A60" s="28">
        <f t="shared" si="1"/>
        <v>57</v>
      </c>
      <c r="B60" s="37"/>
      <c r="C60" s="37"/>
      <c r="D60" s="38"/>
      <c r="E60" s="38"/>
      <c r="F60" s="35"/>
    </row>
    <row r="61" spans="1:6" ht="15" customHeight="1" x14ac:dyDescent="0.2">
      <c r="A61" s="32">
        <f t="shared" si="1"/>
        <v>58</v>
      </c>
      <c r="B61" s="29"/>
      <c r="C61" s="29"/>
      <c r="D61" s="30"/>
      <c r="E61" s="30"/>
      <c r="F61" s="36"/>
    </row>
    <row r="62" spans="1:6" ht="15" customHeight="1" x14ac:dyDescent="0.2">
      <c r="A62" s="28">
        <f t="shared" si="1"/>
        <v>59</v>
      </c>
      <c r="B62" s="29"/>
      <c r="C62" s="29"/>
      <c r="D62" s="30"/>
      <c r="E62" s="30"/>
      <c r="F62" s="35"/>
    </row>
    <row r="63" spans="1:6" ht="15" customHeight="1" x14ac:dyDescent="0.2">
      <c r="A63" s="32">
        <f t="shared" si="1"/>
        <v>60</v>
      </c>
      <c r="B63" s="29"/>
      <c r="C63" s="29"/>
      <c r="D63" s="30"/>
      <c r="E63" s="30"/>
      <c r="F63" s="36"/>
    </row>
    <row r="64" spans="1:6" ht="15" customHeight="1" x14ac:dyDescent="0.2">
      <c r="A64" s="28">
        <f t="shared" si="1"/>
        <v>61</v>
      </c>
      <c r="B64" s="29"/>
      <c r="C64" s="29"/>
      <c r="D64" s="30"/>
      <c r="E64" s="30"/>
      <c r="F64" s="35"/>
    </row>
    <row r="65" spans="1:6" ht="15" customHeight="1" x14ac:dyDescent="0.2">
      <c r="A65" s="32">
        <f t="shared" si="1"/>
        <v>62</v>
      </c>
      <c r="B65" s="29"/>
      <c r="C65" s="29"/>
      <c r="D65" s="30"/>
      <c r="E65" s="30"/>
      <c r="F65" s="36"/>
    </row>
    <row r="66" spans="1:6" ht="15" customHeight="1" x14ac:dyDescent="0.2">
      <c r="A66" s="28">
        <f t="shared" si="1"/>
        <v>63</v>
      </c>
      <c r="B66" s="29"/>
      <c r="C66" s="29"/>
      <c r="D66" s="30"/>
      <c r="E66" s="30"/>
      <c r="F66" s="35"/>
    </row>
    <row r="67" spans="1:6" ht="15" customHeight="1" x14ac:dyDescent="0.2">
      <c r="A67" s="32">
        <f t="shared" si="1"/>
        <v>64</v>
      </c>
      <c r="B67" s="40"/>
      <c r="C67" s="35"/>
      <c r="D67" s="35"/>
      <c r="E67" s="35"/>
      <c r="F67" s="36"/>
    </row>
    <row r="68" spans="1:6" ht="15" customHeight="1" x14ac:dyDescent="0.2">
      <c r="A68" s="28">
        <f t="shared" si="1"/>
        <v>65</v>
      </c>
      <c r="B68" s="40"/>
      <c r="C68" s="35"/>
      <c r="D68" s="35"/>
      <c r="E68" s="35"/>
      <c r="F68" s="35"/>
    </row>
    <row r="69" spans="1:6" ht="15" customHeight="1" x14ac:dyDescent="0.2">
      <c r="A69" s="32">
        <f t="shared" ref="A69:A103" si="2">A68+1</f>
        <v>66</v>
      </c>
      <c r="B69" s="40"/>
      <c r="C69" s="35"/>
      <c r="D69" s="35"/>
      <c r="E69" s="35"/>
      <c r="F69" s="36"/>
    </row>
    <row r="70" spans="1:6" ht="15" customHeight="1" x14ac:dyDescent="0.2">
      <c r="A70" s="28">
        <f t="shared" si="2"/>
        <v>67</v>
      </c>
      <c r="B70" s="40"/>
      <c r="C70" s="35"/>
      <c r="D70" s="35"/>
      <c r="E70" s="35"/>
      <c r="F70" s="35"/>
    </row>
    <row r="71" spans="1:6" ht="15" customHeight="1" x14ac:dyDescent="0.2">
      <c r="A71" s="32">
        <f t="shared" si="2"/>
        <v>68</v>
      </c>
      <c r="B71" s="40"/>
      <c r="C71" s="35"/>
      <c r="D71" s="35"/>
      <c r="E71" s="35"/>
      <c r="F71" s="36"/>
    </row>
    <row r="72" spans="1:6" ht="15" customHeight="1" x14ac:dyDescent="0.2">
      <c r="A72" s="28">
        <f t="shared" si="2"/>
        <v>69</v>
      </c>
      <c r="B72" s="40"/>
      <c r="C72" s="35"/>
      <c r="D72" s="35"/>
      <c r="E72" s="35"/>
      <c r="F72" s="35"/>
    </row>
    <row r="73" spans="1:6" ht="15" customHeight="1" x14ac:dyDescent="0.2">
      <c r="A73" s="32">
        <f t="shared" si="2"/>
        <v>70</v>
      </c>
      <c r="B73" s="40"/>
      <c r="C73" s="35"/>
      <c r="D73" s="35"/>
      <c r="E73" s="35"/>
      <c r="F73" s="36"/>
    </row>
    <row r="74" spans="1:6" ht="15" customHeight="1" x14ac:dyDescent="0.2">
      <c r="A74" s="28">
        <f t="shared" si="2"/>
        <v>71</v>
      </c>
      <c r="B74" s="40"/>
      <c r="C74" s="35"/>
      <c r="D74" s="35"/>
      <c r="E74" s="35"/>
      <c r="F74" s="35"/>
    </row>
    <row r="75" spans="1:6" ht="15" customHeight="1" x14ac:dyDescent="0.2">
      <c r="A75" s="32">
        <f t="shared" si="2"/>
        <v>72</v>
      </c>
      <c r="B75" s="40"/>
      <c r="C75" s="35"/>
      <c r="D75" s="35"/>
      <c r="E75" s="35"/>
      <c r="F75" s="36"/>
    </row>
    <row r="76" spans="1:6" ht="15" customHeight="1" x14ac:dyDescent="0.2">
      <c r="A76" s="28">
        <f t="shared" si="2"/>
        <v>73</v>
      </c>
      <c r="B76" s="40"/>
      <c r="C76" s="35"/>
      <c r="D76" s="35"/>
      <c r="E76" s="35"/>
      <c r="F76" s="35"/>
    </row>
    <row r="77" spans="1:6" ht="15" customHeight="1" x14ac:dyDescent="0.2">
      <c r="A77" s="32">
        <f t="shared" si="2"/>
        <v>74</v>
      </c>
      <c r="B77" s="40"/>
      <c r="C77" s="35"/>
      <c r="D77" s="35"/>
      <c r="E77" s="35"/>
      <c r="F77" s="36"/>
    </row>
    <row r="78" spans="1:6" ht="15" customHeight="1" x14ac:dyDescent="0.2">
      <c r="A78" s="28">
        <f t="shared" si="2"/>
        <v>75</v>
      </c>
      <c r="B78" s="40"/>
      <c r="C78" s="35"/>
      <c r="D78" s="35"/>
      <c r="E78" s="35"/>
      <c r="F78" s="35"/>
    </row>
    <row r="79" spans="1:6" ht="15" customHeight="1" x14ac:dyDescent="0.2">
      <c r="A79" s="32">
        <f t="shared" si="2"/>
        <v>76</v>
      </c>
      <c r="B79" s="40"/>
      <c r="C79" s="35"/>
      <c r="D79" s="35"/>
      <c r="E79" s="35"/>
      <c r="F79" s="36"/>
    </row>
    <row r="80" spans="1:6" ht="15" customHeight="1" x14ac:dyDescent="0.2">
      <c r="A80" s="28">
        <f t="shared" si="2"/>
        <v>77</v>
      </c>
      <c r="B80" s="40"/>
      <c r="C80" s="35"/>
      <c r="D80" s="35"/>
      <c r="E80" s="35"/>
      <c r="F80" s="35"/>
    </row>
    <row r="81" spans="1:6" ht="15" customHeight="1" x14ac:dyDescent="0.2">
      <c r="A81" s="32">
        <f t="shared" si="2"/>
        <v>78</v>
      </c>
      <c r="B81" s="40"/>
      <c r="C81" s="35"/>
      <c r="D81" s="35"/>
      <c r="E81" s="35"/>
      <c r="F81" s="36"/>
    </row>
    <row r="82" spans="1:6" ht="15" customHeight="1" x14ac:dyDescent="0.2">
      <c r="A82" s="28">
        <f t="shared" si="2"/>
        <v>79</v>
      </c>
      <c r="B82" s="40"/>
      <c r="C82" s="35"/>
      <c r="D82" s="35"/>
      <c r="E82" s="35"/>
      <c r="F82" s="35"/>
    </row>
    <row r="83" spans="1:6" ht="15" customHeight="1" x14ac:dyDescent="0.2">
      <c r="A83" s="32">
        <f t="shared" si="2"/>
        <v>80</v>
      </c>
      <c r="B83" s="40"/>
      <c r="C83" s="35"/>
      <c r="D83" s="35"/>
      <c r="E83" s="35"/>
      <c r="F83" s="36"/>
    </row>
    <row r="84" spans="1:6" ht="15" customHeight="1" x14ac:dyDescent="0.2">
      <c r="A84" s="28">
        <f t="shared" si="2"/>
        <v>81</v>
      </c>
      <c r="B84" s="40"/>
      <c r="C84" s="35"/>
      <c r="D84" s="35"/>
      <c r="E84" s="35"/>
      <c r="F84" s="35"/>
    </row>
    <row r="85" spans="1:6" ht="15" customHeight="1" x14ac:dyDescent="0.2">
      <c r="A85" s="32">
        <f t="shared" si="2"/>
        <v>82</v>
      </c>
      <c r="B85" s="40"/>
      <c r="C85" s="35"/>
      <c r="D85" s="35"/>
      <c r="E85" s="35"/>
      <c r="F85" s="36"/>
    </row>
    <row r="86" spans="1:6" ht="15" customHeight="1" x14ac:dyDescent="0.2">
      <c r="A86" s="28">
        <f t="shared" si="2"/>
        <v>83</v>
      </c>
      <c r="B86" s="40"/>
      <c r="C86" s="35"/>
      <c r="D86" s="35"/>
      <c r="E86" s="35"/>
      <c r="F86" s="35"/>
    </row>
    <row r="87" spans="1:6" ht="15" customHeight="1" x14ac:dyDescent="0.2">
      <c r="A87" s="32">
        <f t="shared" si="2"/>
        <v>84</v>
      </c>
      <c r="B87" s="40"/>
      <c r="C87" s="35"/>
      <c r="D87" s="35"/>
      <c r="E87" s="35"/>
      <c r="F87" s="36"/>
    </row>
    <row r="88" spans="1:6" ht="15" customHeight="1" x14ac:dyDescent="0.2">
      <c r="A88" s="28">
        <f t="shared" si="2"/>
        <v>85</v>
      </c>
      <c r="B88" s="40"/>
      <c r="C88" s="35"/>
      <c r="D88" s="35"/>
      <c r="E88" s="35"/>
      <c r="F88" s="35"/>
    </row>
    <row r="89" spans="1:6" ht="15" customHeight="1" x14ac:dyDescent="0.2">
      <c r="A89" s="32">
        <f t="shared" si="2"/>
        <v>86</v>
      </c>
      <c r="B89" s="40"/>
      <c r="C89" s="35"/>
      <c r="D89" s="35"/>
      <c r="E89" s="35"/>
      <c r="F89" s="36"/>
    </row>
    <row r="90" spans="1:6" ht="15" customHeight="1" x14ac:dyDescent="0.2">
      <c r="A90" s="28">
        <f t="shared" si="2"/>
        <v>87</v>
      </c>
      <c r="B90" s="40"/>
      <c r="C90" s="35"/>
      <c r="D90" s="35"/>
      <c r="E90" s="35"/>
      <c r="F90" s="35"/>
    </row>
    <row r="91" spans="1:6" ht="15" customHeight="1" x14ac:dyDescent="0.2">
      <c r="A91" s="32">
        <f t="shared" si="2"/>
        <v>88</v>
      </c>
      <c r="B91" s="40"/>
      <c r="C91" s="35"/>
      <c r="D91" s="35"/>
      <c r="E91" s="35"/>
      <c r="F91" s="36"/>
    </row>
    <row r="92" spans="1:6" ht="15" customHeight="1" x14ac:dyDescent="0.2">
      <c r="A92" s="28">
        <f t="shared" si="2"/>
        <v>89</v>
      </c>
      <c r="B92" s="40"/>
      <c r="C92" s="35"/>
      <c r="D92" s="35"/>
      <c r="E92" s="35"/>
      <c r="F92" s="35"/>
    </row>
    <row r="93" spans="1:6" ht="15" customHeight="1" x14ac:dyDescent="0.2">
      <c r="A93" s="32">
        <f t="shared" si="2"/>
        <v>90</v>
      </c>
      <c r="B93" s="40"/>
      <c r="C93" s="35"/>
      <c r="D93" s="35"/>
      <c r="E93" s="35"/>
      <c r="F93" s="36"/>
    </row>
    <row r="94" spans="1:6" ht="15" customHeight="1" x14ac:dyDescent="0.2">
      <c r="A94" s="28">
        <f t="shared" si="2"/>
        <v>91</v>
      </c>
      <c r="B94" s="40"/>
      <c r="C94" s="35"/>
      <c r="D94" s="35"/>
      <c r="E94" s="35"/>
      <c r="F94" s="35"/>
    </row>
    <row r="95" spans="1:6" ht="15" customHeight="1" x14ac:dyDescent="0.2">
      <c r="A95" s="32">
        <f t="shared" si="2"/>
        <v>92</v>
      </c>
      <c r="B95" s="40"/>
      <c r="C95" s="35"/>
      <c r="D95" s="35"/>
      <c r="E95" s="35"/>
      <c r="F95" s="36"/>
    </row>
    <row r="96" spans="1:6" ht="15" customHeight="1" x14ac:dyDescent="0.2">
      <c r="A96" s="28">
        <f t="shared" si="2"/>
        <v>93</v>
      </c>
      <c r="B96" s="40"/>
      <c r="C96" s="35"/>
      <c r="D96" s="35"/>
      <c r="E96" s="35"/>
      <c r="F96" s="35"/>
    </row>
    <row r="97" spans="1:6" ht="15" customHeight="1" x14ac:dyDescent="0.2">
      <c r="A97" s="32">
        <f t="shared" si="2"/>
        <v>94</v>
      </c>
      <c r="B97" s="40"/>
      <c r="C97" s="35"/>
      <c r="D97" s="35"/>
      <c r="E97" s="35"/>
      <c r="F97" s="36"/>
    </row>
    <row r="98" spans="1:6" ht="15" customHeight="1" x14ac:dyDescent="0.2">
      <c r="A98" s="28">
        <f t="shared" si="2"/>
        <v>95</v>
      </c>
      <c r="B98" s="40"/>
      <c r="C98" s="35"/>
      <c r="D98" s="35"/>
      <c r="E98" s="35"/>
      <c r="F98" s="35"/>
    </row>
    <row r="99" spans="1:6" ht="15" customHeight="1" x14ac:dyDescent="0.2">
      <c r="A99" s="32">
        <f t="shared" si="2"/>
        <v>96</v>
      </c>
      <c r="B99" s="40"/>
      <c r="C99" s="35"/>
      <c r="D99" s="35"/>
      <c r="E99" s="35"/>
      <c r="F99" s="36"/>
    </row>
    <row r="100" spans="1:6" ht="15" customHeight="1" x14ac:dyDescent="0.2">
      <c r="A100" s="28">
        <f t="shared" si="2"/>
        <v>97</v>
      </c>
      <c r="B100" s="40"/>
      <c r="C100" s="35"/>
      <c r="D100" s="35"/>
      <c r="E100" s="35"/>
      <c r="F100" s="35"/>
    </row>
    <row r="101" spans="1:6" ht="15" customHeight="1" x14ac:dyDescent="0.2">
      <c r="A101" s="32">
        <f t="shared" si="2"/>
        <v>98</v>
      </c>
      <c r="B101" s="40"/>
      <c r="C101" s="35"/>
      <c r="D101" s="35"/>
      <c r="E101" s="35"/>
      <c r="F101" s="36"/>
    </row>
    <row r="102" spans="1:6" ht="15" customHeight="1" x14ac:dyDescent="0.2">
      <c r="A102" s="28">
        <f t="shared" si="2"/>
        <v>99</v>
      </c>
      <c r="B102" s="40"/>
      <c r="C102" s="35"/>
      <c r="D102" s="35"/>
      <c r="E102" s="35"/>
      <c r="F102" s="35"/>
    </row>
    <row r="103" spans="1:6" ht="15" customHeight="1" x14ac:dyDescent="0.2">
      <c r="A103" s="32">
        <f t="shared" si="2"/>
        <v>100</v>
      </c>
      <c r="B103" s="40"/>
      <c r="C103" s="35"/>
      <c r="D103" s="35"/>
      <c r="E103" s="35"/>
      <c r="F103" s="36"/>
    </row>
  </sheetData>
  <mergeCells count="1">
    <mergeCell ref="A1:F2"/>
  </mergeCells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JA103"/>
  <sheetViews>
    <sheetView showGridLines="0" topLeftCell="B1" workbookViewId="0">
      <selection activeCell="I25" sqref="I25"/>
    </sheetView>
  </sheetViews>
  <sheetFormatPr baseColWidth="10" defaultColWidth="8.83203125" defaultRowHeight="15" customHeight="1" x14ac:dyDescent="0.2"/>
  <cols>
    <col min="1" max="1" width="4.6640625" style="1" bestFit="1" customWidth="1"/>
    <col min="2" max="3" width="10.83203125" style="134" customWidth="1"/>
    <col min="4" max="24" width="10.83203125" style="1" customWidth="1"/>
    <col min="25" max="261" width="8.83203125" style="1" customWidth="1"/>
  </cols>
  <sheetData>
    <row r="1" spans="1:41" ht="18.75" customHeight="1" thickBot="1" x14ac:dyDescent="0.25">
      <c r="A1" s="173" t="s">
        <v>15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41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25"/>
      <c r="AK1" s="25"/>
      <c r="AL1" s="25"/>
      <c r="AM1" s="25"/>
      <c r="AN1" s="25"/>
      <c r="AO1" s="25"/>
    </row>
    <row r="2" spans="1:41" ht="15.75" customHeight="1" thickBot="1" x14ac:dyDescent="0.25">
      <c r="A2" s="181" t="s">
        <v>10</v>
      </c>
      <c r="B2" s="185" t="s">
        <v>11</v>
      </c>
      <c r="C2" s="183" t="s">
        <v>12</v>
      </c>
      <c r="D2" s="180" t="s">
        <v>16</v>
      </c>
      <c r="E2" s="179"/>
      <c r="F2" s="176" t="s">
        <v>17</v>
      </c>
      <c r="G2" s="177"/>
      <c r="H2" s="180" t="s">
        <v>18</v>
      </c>
      <c r="I2" s="179"/>
      <c r="J2" s="176" t="s">
        <v>19</v>
      </c>
      <c r="K2" s="177"/>
      <c r="L2" s="180" t="s">
        <v>20</v>
      </c>
      <c r="M2" s="179"/>
      <c r="N2" s="176" t="s">
        <v>63</v>
      </c>
      <c r="O2" s="177"/>
      <c r="P2" s="178" t="s">
        <v>64</v>
      </c>
      <c r="Q2" s="179"/>
      <c r="R2" s="176" t="s">
        <v>65</v>
      </c>
      <c r="S2" s="177"/>
      <c r="T2" s="178" t="s">
        <v>66</v>
      </c>
      <c r="U2" s="179"/>
      <c r="V2" s="176" t="s">
        <v>67</v>
      </c>
      <c r="W2" s="177"/>
      <c r="X2" s="43"/>
      <c r="Y2" s="44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</row>
    <row r="3" spans="1:41" ht="15.75" customHeight="1" thickBot="1" x14ac:dyDescent="0.25">
      <c r="A3" s="182"/>
      <c r="B3" s="186"/>
      <c r="C3" s="184"/>
      <c r="D3" s="45" t="s">
        <v>16</v>
      </c>
      <c r="E3" s="47" t="s">
        <v>22</v>
      </c>
      <c r="F3" s="45" t="s">
        <v>17</v>
      </c>
      <c r="G3" s="48" t="s">
        <v>22</v>
      </c>
      <c r="H3" s="45" t="s">
        <v>18</v>
      </c>
      <c r="I3" s="48" t="s">
        <v>22</v>
      </c>
      <c r="J3" s="45" t="s">
        <v>19</v>
      </c>
      <c r="K3" s="48" t="s">
        <v>22</v>
      </c>
      <c r="L3" s="45" t="s">
        <v>20</v>
      </c>
      <c r="M3" s="48" t="s">
        <v>22</v>
      </c>
      <c r="N3" s="45" t="s">
        <v>20</v>
      </c>
      <c r="O3" s="48" t="s">
        <v>22</v>
      </c>
      <c r="P3" s="45" t="s">
        <v>20</v>
      </c>
      <c r="Q3" s="48" t="s">
        <v>22</v>
      </c>
      <c r="R3" s="45" t="s">
        <v>20</v>
      </c>
      <c r="S3" s="48" t="s">
        <v>22</v>
      </c>
      <c r="T3" s="45" t="s">
        <v>20</v>
      </c>
      <c r="U3" s="48" t="s">
        <v>22</v>
      </c>
      <c r="V3" s="45" t="s">
        <v>20</v>
      </c>
      <c r="W3" s="48" t="s">
        <v>22</v>
      </c>
      <c r="X3" s="49" t="s">
        <v>23</v>
      </c>
      <c r="Y3" s="50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</row>
    <row r="4" spans="1:41" ht="15.5" customHeight="1" thickBot="1" x14ac:dyDescent="0.25">
      <c r="A4" s="51">
        <v>1</v>
      </c>
      <c r="B4" s="129" t="str">
        <f>Hakemler!B4</f>
        <v>Yalçıner</v>
      </c>
      <c r="C4" s="130" t="str">
        <f>Hakemler!C4</f>
        <v>Yunus Emre</v>
      </c>
      <c r="D4" s="54">
        <v>5.4</v>
      </c>
      <c r="E4" s="55">
        <f>IF(D4=Uzman_D!$B$24,1,0)</f>
        <v>1</v>
      </c>
      <c r="F4" s="54">
        <v>4.5999999999999996</v>
      </c>
      <c r="G4" s="55">
        <f>IF(F4=Uzman_D!$B$25,1,0)</f>
        <v>1</v>
      </c>
      <c r="H4" s="54">
        <v>4.2</v>
      </c>
      <c r="I4" s="55">
        <f>IF(H4=Uzman_D!$B$26,1,0)</f>
        <v>1</v>
      </c>
      <c r="J4" s="54">
        <v>3.8</v>
      </c>
      <c r="K4" s="55">
        <f>IF(J4=Uzman_D!$B$27,1,0)</f>
        <v>1</v>
      </c>
      <c r="L4" s="54">
        <v>5.2</v>
      </c>
      <c r="M4" s="55">
        <f>IF(L4=Uzman_D!$B$28,1,0)</f>
        <v>1</v>
      </c>
      <c r="N4" s="54"/>
      <c r="O4" s="55">
        <f>IF(N4=Uzman_D!$B$29,1,0)</f>
        <v>1</v>
      </c>
      <c r="P4" s="54"/>
      <c r="Q4" s="55">
        <f>IF(P4=Uzman_D!$B$30,1,0)</f>
        <v>1</v>
      </c>
      <c r="R4" s="54"/>
      <c r="S4" s="55">
        <f>IF(R4=Uzman_D!$B$31,1,0)</f>
        <v>1</v>
      </c>
      <c r="T4" s="54"/>
      <c r="U4" s="55">
        <f>IF(T4=Uzman_D!$B$32,1,0)</f>
        <v>1</v>
      </c>
      <c r="V4" s="54"/>
      <c r="W4" s="55">
        <f>IF(V4=Uzman_D!$B$33,1,0)</f>
        <v>1</v>
      </c>
      <c r="X4" s="56">
        <f>(E4+G4+I4+K4+M4+O4+Q4+S4+U4+W4)/10</f>
        <v>1</v>
      </c>
      <c r="Y4" s="50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</row>
    <row r="5" spans="1:41" ht="15" customHeight="1" thickBot="1" x14ac:dyDescent="0.25">
      <c r="A5" s="57">
        <v>2</v>
      </c>
      <c r="B5" s="131" t="str">
        <f>Hakemler!B5</f>
        <v>Deneme</v>
      </c>
      <c r="C5" s="132" t="str">
        <f>Hakemler!C5</f>
        <v>Hakem</v>
      </c>
      <c r="D5" s="60"/>
      <c r="E5" s="55">
        <f>IF(D5=Uzman_D!$B$24,1,0)</f>
        <v>0</v>
      </c>
      <c r="F5" s="60"/>
      <c r="G5" s="55">
        <f>IF(F5=Uzman_D!$B$25,1,0)</f>
        <v>0</v>
      </c>
      <c r="H5" s="60"/>
      <c r="I5" s="55">
        <f>IF(H5=Uzman_D!$B$26,1,0)</f>
        <v>0</v>
      </c>
      <c r="J5" s="60"/>
      <c r="K5" s="55">
        <f>IF(J5=Uzman_D!$B$27,1,0)</f>
        <v>0</v>
      </c>
      <c r="L5" s="60"/>
      <c r="M5" s="55">
        <f>IF(L5=Uzman_D!$B$28,1,0)</f>
        <v>0</v>
      </c>
      <c r="N5" s="60"/>
      <c r="O5" s="55">
        <f>IF(N5=Uzman_D!$B$29,1,0)</f>
        <v>1</v>
      </c>
      <c r="P5" s="60"/>
      <c r="Q5" s="55">
        <f>IF(P5=Uzman_D!$B$30,1,0)</f>
        <v>1</v>
      </c>
      <c r="R5" s="60"/>
      <c r="S5" s="55">
        <f>IF(R5=Uzman_D!$B$31,1,0)</f>
        <v>1</v>
      </c>
      <c r="T5" s="60"/>
      <c r="U5" s="55">
        <f>IF(T5=Uzman_D!$B$32,1,0)</f>
        <v>1</v>
      </c>
      <c r="V5" s="60"/>
      <c r="W5" s="55">
        <f>IF(V5=Uzman_D!$B$33,1,0)</f>
        <v>1</v>
      </c>
      <c r="X5" s="56">
        <f t="shared" ref="X5:X68" si="0">(E5+G5+I5+K5+M5+O5+Q5+S5+U5+W5)/10</f>
        <v>0.5</v>
      </c>
      <c r="Y5" s="50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</row>
    <row r="6" spans="1:41" ht="15" customHeight="1" thickBot="1" x14ac:dyDescent="0.25">
      <c r="A6" s="57">
        <v>3</v>
      </c>
      <c r="B6" s="131">
        <f>Hakemler!B6</f>
        <v>0</v>
      </c>
      <c r="C6" s="132">
        <f>Hakemler!C6</f>
        <v>0</v>
      </c>
      <c r="D6" s="60"/>
      <c r="E6" s="55">
        <f>IF(D6=Uzman_D!$B$24,1,0)</f>
        <v>0</v>
      </c>
      <c r="F6" s="60"/>
      <c r="G6" s="55">
        <f>IF(F6=Uzman_D!$B$25,1,0)</f>
        <v>0</v>
      </c>
      <c r="H6" s="60"/>
      <c r="I6" s="55">
        <f>IF(H6=Uzman_D!$B$26,1,0)</f>
        <v>0</v>
      </c>
      <c r="J6" s="60"/>
      <c r="K6" s="55">
        <f>IF(J6=Uzman_D!$B$27,1,0)</f>
        <v>0</v>
      </c>
      <c r="L6" s="60"/>
      <c r="M6" s="55">
        <f>IF(L6=Uzman_D!$B$28,1,0)</f>
        <v>0</v>
      </c>
      <c r="N6" s="60"/>
      <c r="O6" s="55">
        <f>IF(N6=Uzman_D!$B$29,1,0)</f>
        <v>1</v>
      </c>
      <c r="P6" s="60"/>
      <c r="Q6" s="55">
        <f>IF(P6=Uzman_D!$B$30,1,0)</f>
        <v>1</v>
      </c>
      <c r="R6" s="60"/>
      <c r="S6" s="55">
        <f>IF(R6=Uzman_D!$B$31,1,0)</f>
        <v>1</v>
      </c>
      <c r="T6" s="60"/>
      <c r="U6" s="55">
        <f>IF(T6=Uzman_D!$B$32,1,0)</f>
        <v>1</v>
      </c>
      <c r="V6" s="60"/>
      <c r="W6" s="55">
        <f>IF(V6=Uzman_D!$B$33,1,0)</f>
        <v>1</v>
      </c>
      <c r="X6" s="56">
        <f t="shared" si="0"/>
        <v>0.5</v>
      </c>
      <c r="Y6" s="50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</row>
    <row r="7" spans="1:41" ht="15" customHeight="1" thickBot="1" x14ac:dyDescent="0.25">
      <c r="A7" s="57">
        <v>4</v>
      </c>
      <c r="B7" s="131">
        <f>Hakemler!B7</f>
        <v>0</v>
      </c>
      <c r="C7" s="132">
        <f>Hakemler!C7</f>
        <v>0</v>
      </c>
      <c r="D7" s="60"/>
      <c r="E7" s="55">
        <f>IF(D7=Uzman_D!$B$24,1,0)</f>
        <v>0</v>
      </c>
      <c r="F7" s="60"/>
      <c r="G7" s="55">
        <f>IF(F7=Uzman_D!$B$25,1,0)</f>
        <v>0</v>
      </c>
      <c r="H7" s="60"/>
      <c r="I7" s="55">
        <f>IF(H7=Uzman_D!$B$26,1,0)</f>
        <v>0</v>
      </c>
      <c r="J7" s="60"/>
      <c r="K7" s="55">
        <f>IF(J7=Uzman_D!$B$27,1,0)</f>
        <v>0</v>
      </c>
      <c r="L7" s="60"/>
      <c r="M7" s="55">
        <f>IF(L7=Uzman_D!$B$28,1,0)</f>
        <v>0</v>
      </c>
      <c r="N7" s="60"/>
      <c r="O7" s="55">
        <f>IF(N7=Uzman_D!$B$29,1,0)</f>
        <v>1</v>
      </c>
      <c r="P7" s="60"/>
      <c r="Q7" s="55">
        <f>IF(P7=Uzman_D!$B$30,1,0)</f>
        <v>1</v>
      </c>
      <c r="R7" s="60"/>
      <c r="S7" s="55">
        <f>IF(R7=Uzman_D!$B$31,1,0)</f>
        <v>1</v>
      </c>
      <c r="T7" s="60"/>
      <c r="U7" s="55">
        <f>IF(T7=Uzman_D!$B$32,1,0)</f>
        <v>1</v>
      </c>
      <c r="V7" s="60"/>
      <c r="W7" s="55">
        <f>IF(V7=Uzman_D!$B$33,1,0)</f>
        <v>1</v>
      </c>
      <c r="X7" s="56">
        <f t="shared" si="0"/>
        <v>0.5</v>
      </c>
      <c r="Y7" s="50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</row>
    <row r="8" spans="1:41" ht="15" customHeight="1" thickBot="1" x14ac:dyDescent="0.25">
      <c r="A8" s="57">
        <v>5</v>
      </c>
      <c r="B8" s="131">
        <f>Hakemler!B8</f>
        <v>0</v>
      </c>
      <c r="C8" s="132">
        <f>Hakemler!C8</f>
        <v>0</v>
      </c>
      <c r="D8" s="60"/>
      <c r="E8" s="55">
        <f>IF(D8=Uzman_D!$B$24,1,0)</f>
        <v>0</v>
      </c>
      <c r="F8" s="60"/>
      <c r="G8" s="55">
        <f>IF(F8=Uzman_D!$B$25,1,0)</f>
        <v>0</v>
      </c>
      <c r="H8" s="60"/>
      <c r="I8" s="55">
        <f>IF(H8=Uzman_D!$B$26,1,0)</f>
        <v>0</v>
      </c>
      <c r="J8" s="60"/>
      <c r="K8" s="55">
        <f>IF(J8=Uzman_D!$B$27,1,0)</f>
        <v>0</v>
      </c>
      <c r="L8" s="60"/>
      <c r="M8" s="55">
        <f>IF(L8=Uzman_D!$B$28,1,0)</f>
        <v>0</v>
      </c>
      <c r="N8" s="60"/>
      <c r="O8" s="55">
        <f>IF(N8=Uzman_D!$B$29,1,0)</f>
        <v>1</v>
      </c>
      <c r="P8" s="60"/>
      <c r="Q8" s="55">
        <f>IF(P8=Uzman_D!$B$30,1,0)</f>
        <v>1</v>
      </c>
      <c r="R8" s="60"/>
      <c r="S8" s="55">
        <f>IF(R8=Uzman_D!$B$31,1,0)</f>
        <v>1</v>
      </c>
      <c r="T8" s="60"/>
      <c r="U8" s="55">
        <f>IF(T8=Uzman_D!$B$32,1,0)</f>
        <v>1</v>
      </c>
      <c r="V8" s="60"/>
      <c r="W8" s="55">
        <f>IF(V8=Uzman_D!$B$33,1,0)</f>
        <v>1</v>
      </c>
      <c r="X8" s="56">
        <f t="shared" si="0"/>
        <v>0.5</v>
      </c>
      <c r="Y8" s="50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</row>
    <row r="9" spans="1:41" ht="15" customHeight="1" thickBot="1" x14ac:dyDescent="0.25">
      <c r="A9" s="57">
        <v>6</v>
      </c>
      <c r="B9" s="131">
        <f>Hakemler!B9</f>
        <v>0</v>
      </c>
      <c r="C9" s="132">
        <f>Hakemler!C9</f>
        <v>0</v>
      </c>
      <c r="D9" s="60"/>
      <c r="E9" s="55">
        <f>IF(D9=Uzman_D!$B$24,1,0)</f>
        <v>0</v>
      </c>
      <c r="F9" s="60"/>
      <c r="G9" s="55">
        <f>IF(F9=Uzman_D!$B$25,1,0)</f>
        <v>0</v>
      </c>
      <c r="H9" s="60"/>
      <c r="I9" s="55">
        <f>IF(H9=Uzman_D!$B$26,1,0)</f>
        <v>0</v>
      </c>
      <c r="J9" s="60"/>
      <c r="K9" s="55">
        <f>IF(J9=Uzman_D!$B$27,1,0)</f>
        <v>0</v>
      </c>
      <c r="L9" s="60"/>
      <c r="M9" s="55">
        <f>IF(L9=Uzman_D!$B$28,1,0)</f>
        <v>0</v>
      </c>
      <c r="N9" s="60"/>
      <c r="O9" s="55">
        <f>IF(N9=Uzman_D!$B$29,1,0)</f>
        <v>1</v>
      </c>
      <c r="P9" s="60"/>
      <c r="Q9" s="55">
        <f>IF(P9=Uzman_D!$B$30,1,0)</f>
        <v>1</v>
      </c>
      <c r="R9" s="60"/>
      <c r="S9" s="55">
        <f>IF(R9=Uzman_D!$B$31,1,0)</f>
        <v>1</v>
      </c>
      <c r="T9" s="60"/>
      <c r="U9" s="55">
        <f>IF(T9=Uzman_D!$B$32,1,0)</f>
        <v>1</v>
      </c>
      <c r="V9" s="60"/>
      <c r="W9" s="55">
        <f>IF(V9=Uzman_D!$B$33,1,0)</f>
        <v>1</v>
      </c>
      <c r="X9" s="56">
        <f t="shared" si="0"/>
        <v>0.5</v>
      </c>
      <c r="Y9" s="50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</row>
    <row r="10" spans="1:41" ht="15" customHeight="1" thickBot="1" x14ac:dyDescent="0.25">
      <c r="A10" s="57">
        <v>7</v>
      </c>
      <c r="B10" s="131">
        <f>Hakemler!B10</f>
        <v>0</v>
      </c>
      <c r="C10" s="132">
        <f>Hakemler!C10</f>
        <v>0</v>
      </c>
      <c r="D10" s="60"/>
      <c r="E10" s="55">
        <f>IF(D10=Uzman_D!$B$24,1,0)</f>
        <v>0</v>
      </c>
      <c r="F10" s="60"/>
      <c r="G10" s="55">
        <f>IF(F10=Uzman_D!$B$25,1,0)</f>
        <v>0</v>
      </c>
      <c r="H10" s="60"/>
      <c r="I10" s="55">
        <f>IF(H10=Uzman_D!$B$26,1,0)</f>
        <v>0</v>
      </c>
      <c r="J10" s="60"/>
      <c r="K10" s="55">
        <f>IF(J10=Uzman_D!$B$27,1,0)</f>
        <v>0</v>
      </c>
      <c r="L10" s="60"/>
      <c r="M10" s="55">
        <f>IF(L10=Uzman_D!$B$28,1,0)</f>
        <v>0</v>
      </c>
      <c r="N10" s="60"/>
      <c r="O10" s="55">
        <f>IF(N10=Uzman_D!$B$29,1,0)</f>
        <v>1</v>
      </c>
      <c r="P10" s="60"/>
      <c r="Q10" s="55">
        <f>IF(P10=Uzman_D!$B$30,1,0)</f>
        <v>1</v>
      </c>
      <c r="R10" s="60"/>
      <c r="S10" s="55">
        <f>IF(R10=Uzman_D!$B$31,1,0)</f>
        <v>1</v>
      </c>
      <c r="T10" s="60"/>
      <c r="U10" s="55">
        <f>IF(T10=Uzman_D!$B$32,1,0)</f>
        <v>1</v>
      </c>
      <c r="V10" s="60"/>
      <c r="W10" s="55">
        <f>IF(V10=Uzman_D!$B$33,1,0)</f>
        <v>1</v>
      </c>
      <c r="X10" s="56">
        <f t="shared" si="0"/>
        <v>0.5</v>
      </c>
      <c r="Y10" s="50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</row>
    <row r="11" spans="1:41" ht="15" customHeight="1" thickBot="1" x14ac:dyDescent="0.25">
      <c r="A11" s="57">
        <v>8</v>
      </c>
      <c r="B11" s="131">
        <f>Hakemler!B11</f>
        <v>0</v>
      </c>
      <c r="C11" s="132">
        <f>Hakemler!C11</f>
        <v>0</v>
      </c>
      <c r="D11" s="60"/>
      <c r="E11" s="55">
        <f>IF(D11=Uzman_D!$B$24,1,0)</f>
        <v>0</v>
      </c>
      <c r="F11" s="60"/>
      <c r="G11" s="55">
        <f>IF(F11=Uzman_D!$B$25,1,0)</f>
        <v>0</v>
      </c>
      <c r="H11" s="60"/>
      <c r="I11" s="55">
        <f>IF(H11=Uzman_D!$B$26,1,0)</f>
        <v>0</v>
      </c>
      <c r="J11" s="60"/>
      <c r="K11" s="55">
        <f>IF(J11=Uzman_D!$B$27,1,0)</f>
        <v>0</v>
      </c>
      <c r="L11" s="60"/>
      <c r="M11" s="55">
        <f>IF(L11=Uzman_D!$B$28,1,0)</f>
        <v>0</v>
      </c>
      <c r="N11" s="60"/>
      <c r="O11" s="55">
        <f>IF(N11=Uzman_D!$B$29,1,0)</f>
        <v>1</v>
      </c>
      <c r="P11" s="60"/>
      <c r="Q11" s="55">
        <f>IF(P11=Uzman_D!$B$30,1,0)</f>
        <v>1</v>
      </c>
      <c r="R11" s="60"/>
      <c r="S11" s="55">
        <f>IF(R11=Uzman_D!$B$31,1,0)</f>
        <v>1</v>
      </c>
      <c r="T11" s="60"/>
      <c r="U11" s="55">
        <f>IF(T11=Uzman_D!$B$32,1,0)</f>
        <v>1</v>
      </c>
      <c r="V11" s="60"/>
      <c r="W11" s="55">
        <f>IF(V11=Uzman_D!$B$33,1,0)</f>
        <v>1</v>
      </c>
      <c r="X11" s="56">
        <f t="shared" si="0"/>
        <v>0.5</v>
      </c>
      <c r="Y11" s="50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</row>
    <row r="12" spans="1:41" ht="15" customHeight="1" thickBot="1" x14ac:dyDescent="0.25">
      <c r="A12" s="57">
        <v>9</v>
      </c>
      <c r="B12" s="131">
        <f>Hakemler!B12</f>
        <v>0</v>
      </c>
      <c r="C12" s="132">
        <f>Hakemler!C12</f>
        <v>0</v>
      </c>
      <c r="D12" s="60"/>
      <c r="E12" s="55">
        <f>IF(D12=Uzman_D!$B$24,1,0)</f>
        <v>0</v>
      </c>
      <c r="F12" s="60"/>
      <c r="G12" s="55">
        <f>IF(F12=Uzman_D!$B$25,1,0)</f>
        <v>0</v>
      </c>
      <c r="H12" s="60"/>
      <c r="I12" s="55">
        <f>IF(H12=Uzman_D!$B$26,1,0)</f>
        <v>0</v>
      </c>
      <c r="J12" s="60"/>
      <c r="K12" s="55">
        <f>IF(J12=Uzman_D!$B$27,1,0)</f>
        <v>0</v>
      </c>
      <c r="L12" s="60"/>
      <c r="M12" s="55">
        <f>IF(L12=Uzman_D!$B$28,1,0)</f>
        <v>0</v>
      </c>
      <c r="N12" s="60"/>
      <c r="O12" s="55">
        <f>IF(N12=Uzman_D!$B$29,1,0)</f>
        <v>1</v>
      </c>
      <c r="P12" s="60"/>
      <c r="Q12" s="55">
        <f>IF(P12=Uzman_D!$B$30,1,0)</f>
        <v>1</v>
      </c>
      <c r="R12" s="60"/>
      <c r="S12" s="55">
        <f>IF(R12=Uzman_D!$B$31,1,0)</f>
        <v>1</v>
      </c>
      <c r="T12" s="60"/>
      <c r="U12" s="55">
        <f>IF(T12=Uzman_D!$B$32,1,0)</f>
        <v>1</v>
      </c>
      <c r="V12" s="60"/>
      <c r="W12" s="55">
        <f>IF(V12=Uzman_D!$B$33,1,0)</f>
        <v>1</v>
      </c>
      <c r="X12" s="56">
        <f t="shared" si="0"/>
        <v>0.5</v>
      </c>
      <c r="Y12" s="50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</row>
    <row r="13" spans="1:41" ht="15" customHeight="1" thickBot="1" x14ac:dyDescent="0.25">
      <c r="A13" s="57">
        <v>10</v>
      </c>
      <c r="B13" s="131">
        <f>Hakemler!B13</f>
        <v>0</v>
      </c>
      <c r="C13" s="132">
        <f>Hakemler!C13</f>
        <v>0</v>
      </c>
      <c r="D13" s="60"/>
      <c r="E13" s="55">
        <f>IF(D13=Uzman_D!$B$24,1,0)</f>
        <v>0</v>
      </c>
      <c r="F13" s="60"/>
      <c r="G13" s="55">
        <f>IF(F13=Uzman_D!$B$25,1,0)</f>
        <v>0</v>
      </c>
      <c r="H13" s="60"/>
      <c r="I13" s="55">
        <f>IF(H13=Uzman_D!$B$26,1,0)</f>
        <v>0</v>
      </c>
      <c r="J13" s="60"/>
      <c r="K13" s="55">
        <f>IF(J13=Uzman_D!$B$27,1,0)</f>
        <v>0</v>
      </c>
      <c r="L13" s="60"/>
      <c r="M13" s="55">
        <f>IF(L13=Uzman_D!$B$28,1,0)</f>
        <v>0</v>
      </c>
      <c r="N13" s="60"/>
      <c r="O13" s="55">
        <f>IF(N13=Uzman_D!$B$29,1,0)</f>
        <v>1</v>
      </c>
      <c r="P13" s="60"/>
      <c r="Q13" s="55">
        <f>IF(P13=Uzman_D!$B$30,1,0)</f>
        <v>1</v>
      </c>
      <c r="R13" s="60"/>
      <c r="S13" s="55">
        <f>IF(R13=Uzman_D!$B$31,1,0)</f>
        <v>1</v>
      </c>
      <c r="T13" s="60"/>
      <c r="U13" s="55">
        <f>IF(T13=Uzman_D!$B$32,1,0)</f>
        <v>1</v>
      </c>
      <c r="V13" s="60"/>
      <c r="W13" s="55">
        <f>IF(V13=Uzman_D!$B$33,1,0)</f>
        <v>1</v>
      </c>
      <c r="X13" s="56">
        <f t="shared" si="0"/>
        <v>0.5</v>
      </c>
      <c r="Y13" s="50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</row>
    <row r="14" spans="1:41" ht="15" customHeight="1" thickBot="1" x14ac:dyDescent="0.25">
      <c r="A14" s="57">
        <v>11</v>
      </c>
      <c r="B14" s="131">
        <f>Hakemler!B14</f>
        <v>0</v>
      </c>
      <c r="C14" s="132">
        <f>Hakemler!C14</f>
        <v>0</v>
      </c>
      <c r="D14" s="60"/>
      <c r="E14" s="55">
        <f>IF(D14=Uzman_D!$B$24,1,0)</f>
        <v>0</v>
      </c>
      <c r="F14" s="60"/>
      <c r="G14" s="55">
        <f>IF(F14=Uzman_D!$B$25,1,0)</f>
        <v>0</v>
      </c>
      <c r="H14" s="60"/>
      <c r="I14" s="55">
        <f>IF(H14=Uzman_D!$B$26,1,0)</f>
        <v>0</v>
      </c>
      <c r="J14" s="60"/>
      <c r="K14" s="55">
        <f>IF(J14=Uzman_D!$B$27,1,0)</f>
        <v>0</v>
      </c>
      <c r="L14" s="60"/>
      <c r="M14" s="55">
        <f>IF(L14=Uzman_D!$B$28,1,0)</f>
        <v>0</v>
      </c>
      <c r="N14" s="60"/>
      <c r="O14" s="55">
        <f>IF(N14=Uzman_D!$B$29,1,0)</f>
        <v>1</v>
      </c>
      <c r="P14" s="60"/>
      <c r="Q14" s="55">
        <f>IF(P14=Uzman_D!$B$30,1,0)</f>
        <v>1</v>
      </c>
      <c r="R14" s="60"/>
      <c r="S14" s="55">
        <f>IF(R14=Uzman_D!$B$31,1,0)</f>
        <v>1</v>
      </c>
      <c r="T14" s="60"/>
      <c r="U14" s="55">
        <f>IF(T14=Uzman_D!$B$32,1,0)</f>
        <v>1</v>
      </c>
      <c r="V14" s="60"/>
      <c r="W14" s="55">
        <f>IF(V14=Uzman_D!$B$33,1,0)</f>
        <v>1</v>
      </c>
      <c r="X14" s="56">
        <f t="shared" si="0"/>
        <v>0.5</v>
      </c>
      <c r="Y14" s="50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</row>
    <row r="15" spans="1:41" ht="15" customHeight="1" thickBot="1" x14ac:dyDescent="0.25">
      <c r="A15" s="57">
        <v>12</v>
      </c>
      <c r="B15" s="131">
        <f>Hakemler!B15</f>
        <v>0</v>
      </c>
      <c r="C15" s="132">
        <f>Hakemler!C15</f>
        <v>0</v>
      </c>
      <c r="D15" s="60"/>
      <c r="E15" s="55">
        <f>IF(D15=Uzman_D!$B$24,1,0)</f>
        <v>0</v>
      </c>
      <c r="F15" s="60"/>
      <c r="G15" s="55">
        <f>IF(F15=Uzman_D!$B$25,1,0)</f>
        <v>0</v>
      </c>
      <c r="H15" s="60"/>
      <c r="I15" s="55">
        <f>IF(H15=Uzman_D!$B$26,1,0)</f>
        <v>0</v>
      </c>
      <c r="J15" s="60"/>
      <c r="K15" s="55">
        <f>IF(J15=Uzman_D!$B$27,1,0)</f>
        <v>0</v>
      </c>
      <c r="L15" s="60"/>
      <c r="M15" s="55">
        <f>IF(L15=Uzman_D!$B$28,1,0)</f>
        <v>0</v>
      </c>
      <c r="N15" s="60"/>
      <c r="O15" s="55">
        <f>IF(N15=Uzman_D!$B$29,1,0)</f>
        <v>1</v>
      </c>
      <c r="P15" s="60"/>
      <c r="Q15" s="55">
        <f>IF(P15=Uzman_D!$B$30,1,0)</f>
        <v>1</v>
      </c>
      <c r="R15" s="60"/>
      <c r="S15" s="55">
        <f>IF(R15=Uzman_D!$B$31,1,0)</f>
        <v>1</v>
      </c>
      <c r="T15" s="60"/>
      <c r="U15" s="55">
        <f>IF(T15=Uzman_D!$B$32,1,0)</f>
        <v>1</v>
      </c>
      <c r="V15" s="60"/>
      <c r="W15" s="55">
        <f>IF(V15=Uzman_D!$B$33,1,0)</f>
        <v>1</v>
      </c>
      <c r="X15" s="56">
        <f t="shared" si="0"/>
        <v>0.5</v>
      </c>
      <c r="Y15" s="50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</row>
    <row r="16" spans="1:41" ht="15" customHeight="1" thickBot="1" x14ac:dyDescent="0.25">
      <c r="A16" s="57">
        <v>13</v>
      </c>
      <c r="B16" s="131">
        <f>Hakemler!B16</f>
        <v>0</v>
      </c>
      <c r="C16" s="132">
        <f>Hakemler!C16</f>
        <v>0</v>
      </c>
      <c r="D16" s="60"/>
      <c r="E16" s="55">
        <f>IF(D16=Uzman_D!$B$24,1,0)</f>
        <v>0</v>
      </c>
      <c r="F16" s="60"/>
      <c r="G16" s="55">
        <f>IF(F16=Uzman_D!$B$25,1,0)</f>
        <v>0</v>
      </c>
      <c r="H16" s="60"/>
      <c r="I16" s="55">
        <f>IF(H16=Uzman_D!$B$26,1,0)</f>
        <v>0</v>
      </c>
      <c r="J16" s="60"/>
      <c r="K16" s="55">
        <f>IF(J16=Uzman_D!$B$27,1,0)</f>
        <v>0</v>
      </c>
      <c r="L16" s="60"/>
      <c r="M16" s="55">
        <f>IF(L16=Uzman_D!$B$28,1,0)</f>
        <v>0</v>
      </c>
      <c r="N16" s="60"/>
      <c r="O16" s="55">
        <f>IF(N16=Uzman_D!$B$29,1,0)</f>
        <v>1</v>
      </c>
      <c r="P16" s="60"/>
      <c r="Q16" s="55">
        <f>IF(P16=Uzman_D!$B$30,1,0)</f>
        <v>1</v>
      </c>
      <c r="R16" s="60"/>
      <c r="S16" s="55">
        <f>IF(R16=Uzman_D!$B$31,1,0)</f>
        <v>1</v>
      </c>
      <c r="T16" s="60"/>
      <c r="U16" s="55">
        <f>IF(T16=Uzman_D!$B$32,1,0)</f>
        <v>1</v>
      </c>
      <c r="V16" s="60"/>
      <c r="W16" s="55">
        <f>IF(V16=Uzman_D!$B$33,1,0)</f>
        <v>1</v>
      </c>
      <c r="X16" s="56">
        <f t="shared" si="0"/>
        <v>0.5</v>
      </c>
      <c r="Y16" s="50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</row>
    <row r="17" spans="1:41" ht="15" customHeight="1" thickBot="1" x14ac:dyDescent="0.25">
      <c r="A17" s="57">
        <v>14</v>
      </c>
      <c r="B17" s="131">
        <f>Hakemler!B17</f>
        <v>0</v>
      </c>
      <c r="C17" s="132">
        <f>Hakemler!C17</f>
        <v>0</v>
      </c>
      <c r="D17" s="60"/>
      <c r="E17" s="55">
        <f>IF(D17=Uzman_D!$B$24,1,0)</f>
        <v>0</v>
      </c>
      <c r="F17" s="60"/>
      <c r="G17" s="55">
        <f>IF(F17=Uzman_D!$B$25,1,0)</f>
        <v>0</v>
      </c>
      <c r="H17" s="60"/>
      <c r="I17" s="55">
        <f>IF(H17=Uzman_D!$B$26,1,0)</f>
        <v>0</v>
      </c>
      <c r="J17" s="60"/>
      <c r="K17" s="55">
        <f>IF(J17=Uzman_D!$B$27,1,0)</f>
        <v>0</v>
      </c>
      <c r="L17" s="60"/>
      <c r="M17" s="55">
        <f>IF(L17=Uzman_D!$B$28,1,0)</f>
        <v>0</v>
      </c>
      <c r="N17" s="60"/>
      <c r="O17" s="55">
        <f>IF(N17=Uzman_D!$B$29,1,0)</f>
        <v>1</v>
      </c>
      <c r="P17" s="60"/>
      <c r="Q17" s="55">
        <f>IF(P17=Uzman_D!$B$30,1,0)</f>
        <v>1</v>
      </c>
      <c r="R17" s="60"/>
      <c r="S17" s="55">
        <f>IF(R17=Uzman_D!$B$31,1,0)</f>
        <v>1</v>
      </c>
      <c r="T17" s="60"/>
      <c r="U17" s="55">
        <f>IF(T17=Uzman_D!$B$32,1,0)</f>
        <v>1</v>
      </c>
      <c r="V17" s="60"/>
      <c r="W17" s="55">
        <f>IF(V17=Uzman_D!$B$33,1,0)</f>
        <v>1</v>
      </c>
      <c r="X17" s="56">
        <f t="shared" si="0"/>
        <v>0.5</v>
      </c>
      <c r="Y17" s="50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</row>
    <row r="18" spans="1:41" ht="15" customHeight="1" thickBot="1" x14ac:dyDescent="0.25">
      <c r="A18" s="57">
        <v>15</v>
      </c>
      <c r="B18" s="131">
        <f>Hakemler!B18</f>
        <v>0</v>
      </c>
      <c r="C18" s="132">
        <f>Hakemler!C18</f>
        <v>0</v>
      </c>
      <c r="D18" s="60"/>
      <c r="E18" s="55">
        <f>IF(D18=Uzman_D!$B$24,1,0)</f>
        <v>0</v>
      </c>
      <c r="F18" s="60"/>
      <c r="G18" s="55">
        <f>IF(F18=Uzman_D!$B$25,1,0)</f>
        <v>0</v>
      </c>
      <c r="H18" s="60"/>
      <c r="I18" s="55">
        <f>IF(H18=Uzman_D!$B$26,1,0)</f>
        <v>0</v>
      </c>
      <c r="J18" s="60"/>
      <c r="K18" s="55">
        <f>IF(J18=Uzman_D!$B$27,1,0)</f>
        <v>0</v>
      </c>
      <c r="L18" s="60"/>
      <c r="M18" s="55">
        <f>IF(L18=Uzman_D!$B$28,1,0)</f>
        <v>0</v>
      </c>
      <c r="N18" s="60"/>
      <c r="O18" s="55">
        <f>IF(N18=Uzman_D!$B$29,1,0)</f>
        <v>1</v>
      </c>
      <c r="P18" s="60"/>
      <c r="Q18" s="55">
        <f>IF(P18=Uzman_D!$B$30,1,0)</f>
        <v>1</v>
      </c>
      <c r="R18" s="60"/>
      <c r="S18" s="55">
        <f>IF(R18=Uzman_D!$B$31,1,0)</f>
        <v>1</v>
      </c>
      <c r="T18" s="60"/>
      <c r="U18" s="55">
        <f>IF(T18=Uzman_D!$B$32,1,0)</f>
        <v>1</v>
      </c>
      <c r="V18" s="60"/>
      <c r="W18" s="55">
        <f>IF(V18=Uzman_D!$B$33,1,0)</f>
        <v>1</v>
      </c>
      <c r="X18" s="56">
        <f t="shared" si="0"/>
        <v>0.5</v>
      </c>
      <c r="Y18" s="50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</row>
    <row r="19" spans="1:41" ht="15" customHeight="1" thickBot="1" x14ac:dyDescent="0.25">
      <c r="A19" s="57">
        <v>16</v>
      </c>
      <c r="B19" s="131">
        <f>Hakemler!B19</f>
        <v>0</v>
      </c>
      <c r="C19" s="132">
        <f>Hakemler!C19</f>
        <v>0</v>
      </c>
      <c r="D19" s="60"/>
      <c r="E19" s="55">
        <f>IF(D19=Uzman_D!$B$24,1,0)</f>
        <v>0</v>
      </c>
      <c r="F19" s="60"/>
      <c r="G19" s="55">
        <f>IF(F19=Uzman_D!$B$25,1,0)</f>
        <v>0</v>
      </c>
      <c r="H19" s="60"/>
      <c r="I19" s="55">
        <f>IF(H19=Uzman_D!$B$26,1,0)</f>
        <v>0</v>
      </c>
      <c r="J19" s="60"/>
      <c r="K19" s="55">
        <f>IF(J19=Uzman_D!$B$27,1,0)</f>
        <v>0</v>
      </c>
      <c r="L19" s="60"/>
      <c r="M19" s="55">
        <f>IF(L19=Uzman_D!$B$28,1,0)</f>
        <v>0</v>
      </c>
      <c r="N19" s="60"/>
      <c r="O19" s="55">
        <f>IF(N19=Uzman_D!$B$29,1,0)</f>
        <v>1</v>
      </c>
      <c r="P19" s="60"/>
      <c r="Q19" s="55">
        <f>IF(P19=Uzman_D!$B$30,1,0)</f>
        <v>1</v>
      </c>
      <c r="R19" s="60"/>
      <c r="S19" s="55">
        <f>IF(R19=Uzman_D!$B$31,1,0)</f>
        <v>1</v>
      </c>
      <c r="T19" s="60"/>
      <c r="U19" s="55">
        <f>IF(T19=Uzman_D!$B$32,1,0)</f>
        <v>1</v>
      </c>
      <c r="V19" s="60"/>
      <c r="W19" s="55">
        <f>IF(V19=Uzman_D!$B$33,1,0)</f>
        <v>1</v>
      </c>
      <c r="X19" s="56">
        <f t="shared" si="0"/>
        <v>0.5</v>
      </c>
      <c r="Y19" s="50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</row>
    <row r="20" spans="1:41" ht="15" customHeight="1" thickBot="1" x14ac:dyDescent="0.25">
      <c r="A20" s="57">
        <v>17</v>
      </c>
      <c r="B20" s="131">
        <f>Hakemler!B20</f>
        <v>0</v>
      </c>
      <c r="C20" s="132">
        <f>Hakemler!C20</f>
        <v>0</v>
      </c>
      <c r="D20" s="60"/>
      <c r="E20" s="55">
        <f>IF(D20=Uzman_D!$B$24,1,0)</f>
        <v>0</v>
      </c>
      <c r="F20" s="60"/>
      <c r="G20" s="55">
        <f>IF(F20=Uzman_D!$B$25,1,0)</f>
        <v>0</v>
      </c>
      <c r="H20" s="60"/>
      <c r="I20" s="55">
        <f>IF(H20=Uzman_D!$B$26,1,0)</f>
        <v>0</v>
      </c>
      <c r="J20" s="60"/>
      <c r="K20" s="55">
        <f>IF(J20=Uzman_D!$B$27,1,0)</f>
        <v>0</v>
      </c>
      <c r="L20" s="60"/>
      <c r="M20" s="55">
        <f>IF(L20=Uzman_D!$B$28,1,0)</f>
        <v>0</v>
      </c>
      <c r="N20" s="60"/>
      <c r="O20" s="55">
        <f>IF(N20=Uzman_D!$B$29,1,0)</f>
        <v>1</v>
      </c>
      <c r="P20" s="60"/>
      <c r="Q20" s="55">
        <f>IF(P20=Uzman_D!$B$30,1,0)</f>
        <v>1</v>
      </c>
      <c r="R20" s="60"/>
      <c r="S20" s="55">
        <f>IF(R20=Uzman_D!$B$31,1,0)</f>
        <v>1</v>
      </c>
      <c r="T20" s="60"/>
      <c r="U20" s="55">
        <f>IF(T20=Uzman_D!$B$32,1,0)</f>
        <v>1</v>
      </c>
      <c r="V20" s="60"/>
      <c r="W20" s="55">
        <f>IF(V20=Uzman_D!$B$33,1,0)</f>
        <v>1</v>
      </c>
      <c r="X20" s="56">
        <f t="shared" si="0"/>
        <v>0.5</v>
      </c>
      <c r="Y20" s="50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ht="15" customHeight="1" thickBot="1" x14ac:dyDescent="0.25">
      <c r="A21" s="57">
        <v>18</v>
      </c>
      <c r="B21" s="131">
        <f>Hakemler!B21</f>
        <v>0</v>
      </c>
      <c r="C21" s="132">
        <f>Hakemler!C21</f>
        <v>0</v>
      </c>
      <c r="D21" s="60"/>
      <c r="E21" s="55">
        <f>IF(D21=Uzman_D!$B$24,1,0)</f>
        <v>0</v>
      </c>
      <c r="F21" s="60"/>
      <c r="G21" s="55">
        <f>IF(F21=Uzman_D!$B$25,1,0)</f>
        <v>0</v>
      </c>
      <c r="H21" s="60"/>
      <c r="I21" s="55">
        <f>IF(H21=Uzman_D!$B$26,1,0)</f>
        <v>0</v>
      </c>
      <c r="J21" s="60"/>
      <c r="K21" s="55">
        <f>IF(J21=Uzman_D!$B$27,1,0)</f>
        <v>0</v>
      </c>
      <c r="L21" s="60"/>
      <c r="M21" s="55">
        <f>IF(L21=Uzman_D!$B$28,1,0)</f>
        <v>0</v>
      </c>
      <c r="N21" s="60"/>
      <c r="O21" s="55">
        <f>IF(N21=Uzman_D!$B$29,1,0)</f>
        <v>1</v>
      </c>
      <c r="P21" s="60"/>
      <c r="Q21" s="55">
        <f>IF(P21=Uzman_D!$B$30,1,0)</f>
        <v>1</v>
      </c>
      <c r="R21" s="60"/>
      <c r="S21" s="55">
        <f>IF(R21=Uzman_D!$B$31,1,0)</f>
        <v>1</v>
      </c>
      <c r="T21" s="60"/>
      <c r="U21" s="55">
        <f>IF(T21=Uzman_D!$B$32,1,0)</f>
        <v>1</v>
      </c>
      <c r="V21" s="60"/>
      <c r="W21" s="55">
        <f>IF(V21=Uzman_D!$B$33,1,0)</f>
        <v>1</v>
      </c>
      <c r="X21" s="56">
        <f t="shared" si="0"/>
        <v>0.5</v>
      </c>
      <c r="Y21" s="50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</row>
    <row r="22" spans="1:41" ht="15" customHeight="1" thickBot="1" x14ac:dyDescent="0.25">
      <c r="A22" s="57">
        <v>19</v>
      </c>
      <c r="B22" s="131">
        <f>Hakemler!B22</f>
        <v>0</v>
      </c>
      <c r="C22" s="132">
        <f>Hakemler!C22</f>
        <v>0</v>
      </c>
      <c r="D22" s="60"/>
      <c r="E22" s="55">
        <f>IF(D22=Uzman_D!$B$24,1,0)</f>
        <v>0</v>
      </c>
      <c r="F22" s="60"/>
      <c r="G22" s="55">
        <f>IF(F22=Uzman_D!$B$25,1,0)</f>
        <v>0</v>
      </c>
      <c r="H22" s="60"/>
      <c r="I22" s="55">
        <f>IF(H22=Uzman_D!$B$26,1,0)</f>
        <v>0</v>
      </c>
      <c r="J22" s="60"/>
      <c r="K22" s="55">
        <f>IF(J22=Uzman_D!$B$27,1,0)</f>
        <v>0</v>
      </c>
      <c r="L22" s="60"/>
      <c r="M22" s="55">
        <f>IF(L22=Uzman_D!$B$28,1,0)</f>
        <v>0</v>
      </c>
      <c r="N22" s="60"/>
      <c r="O22" s="55">
        <f>IF(N22=Uzman_D!$B$29,1,0)</f>
        <v>1</v>
      </c>
      <c r="P22" s="60"/>
      <c r="Q22" s="55">
        <f>IF(P22=Uzman_D!$B$30,1,0)</f>
        <v>1</v>
      </c>
      <c r="R22" s="60"/>
      <c r="S22" s="55">
        <f>IF(R22=Uzman_D!$B$31,1,0)</f>
        <v>1</v>
      </c>
      <c r="T22" s="60"/>
      <c r="U22" s="55">
        <f>IF(T22=Uzman_D!$B$32,1,0)</f>
        <v>1</v>
      </c>
      <c r="V22" s="60"/>
      <c r="W22" s="55">
        <f>IF(V22=Uzman_D!$B$33,1,0)</f>
        <v>1</v>
      </c>
      <c r="X22" s="56">
        <f t="shared" si="0"/>
        <v>0.5</v>
      </c>
      <c r="Y22" s="50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</row>
    <row r="23" spans="1:41" ht="15" customHeight="1" thickBot="1" x14ac:dyDescent="0.25">
      <c r="A23" s="57">
        <v>20</v>
      </c>
      <c r="B23" s="131">
        <f>Hakemler!B23</f>
        <v>0</v>
      </c>
      <c r="C23" s="132">
        <f>Hakemler!C23</f>
        <v>0</v>
      </c>
      <c r="D23" s="60"/>
      <c r="E23" s="55">
        <f>IF(D23=Uzman_D!$B$24,1,0)</f>
        <v>0</v>
      </c>
      <c r="F23" s="60"/>
      <c r="G23" s="55">
        <f>IF(F23=Uzman_D!$B$25,1,0)</f>
        <v>0</v>
      </c>
      <c r="H23" s="60"/>
      <c r="I23" s="55">
        <f>IF(H23=Uzman_D!$B$26,1,0)</f>
        <v>0</v>
      </c>
      <c r="J23" s="60"/>
      <c r="K23" s="55">
        <f>IF(J23=Uzman_D!$B$27,1,0)</f>
        <v>0</v>
      </c>
      <c r="L23" s="60"/>
      <c r="M23" s="55">
        <f>IF(L23=Uzman_D!$B$28,1,0)</f>
        <v>0</v>
      </c>
      <c r="N23" s="60"/>
      <c r="O23" s="55">
        <f>IF(N23=Uzman_D!$B$29,1,0)</f>
        <v>1</v>
      </c>
      <c r="P23" s="60"/>
      <c r="Q23" s="55">
        <f>IF(P23=Uzman_D!$B$30,1,0)</f>
        <v>1</v>
      </c>
      <c r="R23" s="60"/>
      <c r="S23" s="55">
        <f>IF(R23=Uzman_D!$B$31,1,0)</f>
        <v>1</v>
      </c>
      <c r="T23" s="60"/>
      <c r="U23" s="55">
        <f>IF(T23=Uzman_D!$B$32,1,0)</f>
        <v>1</v>
      </c>
      <c r="V23" s="60"/>
      <c r="W23" s="55">
        <f>IF(V23=Uzman_D!$B$33,1,0)</f>
        <v>1</v>
      </c>
      <c r="X23" s="56">
        <f t="shared" si="0"/>
        <v>0.5</v>
      </c>
      <c r="Y23" s="50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</row>
    <row r="24" spans="1:41" ht="15" customHeight="1" thickBot="1" x14ac:dyDescent="0.25">
      <c r="A24" s="57">
        <v>21</v>
      </c>
      <c r="B24" s="131">
        <f>Hakemler!B24</f>
        <v>0</v>
      </c>
      <c r="C24" s="132">
        <f>Hakemler!C24</f>
        <v>0</v>
      </c>
      <c r="D24" s="60"/>
      <c r="E24" s="55">
        <f>IF(D24=Uzman_D!$B$24,1,0)</f>
        <v>0</v>
      </c>
      <c r="F24" s="60"/>
      <c r="G24" s="55">
        <f>IF(F24=Uzman_D!$B$25,1,0)</f>
        <v>0</v>
      </c>
      <c r="H24" s="60"/>
      <c r="I24" s="55">
        <f>IF(H24=Uzman_D!$B$26,1,0)</f>
        <v>0</v>
      </c>
      <c r="J24" s="60"/>
      <c r="K24" s="55">
        <f>IF(J24=Uzman_D!$B$27,1,0)</f>
        <v>0</v>
      </c>
      <c r="L24" s="60"/>
      <c r="M24" s="55">
        <f>IF(L24=Uzman_D!$B$28,1,0)</f>
        <v>0</v>
      </c>
      <c r="N24" s="60"/>
      <c r="O24" s="55">
        <f>IF(N24=Uzman_D!$B$29,1,0)</f>
        <v>1</v>
      </c>
      <c r="P24" s="60"/>
      <c r="Q24" s="55">
        <f>IF(P24=Uzman_D!$B$30,1,0)</f>
        <v>1</v>
      </c>
      <c r="R24" s="60"/>
      <c r="S24" s="55">
        <f>IF(R24=Uzman_D!$B$31,1,0)</f>
        <v>1</v>
      </c>
      <c r="T24" s="60"/>
      <c r="U24" s="55">
        <f>IF(T24=Uzman_D!$B$32,1,0)</f>
        <v>1</v>
      </c>
      <c r="V24" s="60"/>
      <c r="W24" s="55">
        <f>IF(V24=Uzman_D!$B$33,1,0)</f>
        <v>1</v>
      </c>
      <c r="X24" s="56">
        <f t="shared" si="0"/>
        <v>0.5</v>
      </c>
      <c r="Y24" s="50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</row>
    <row r="25" spans="1:41" ht="15" customHeight="1" thickBot="1" x14ac:dyDescent="0.25">
      <c r="A25" s="57">
        <v>22</v>
      </c>
      <c r="B25" s="131">
        <f>Hakemler!B25</f>
        <v>0</v>
      </c>
      <c r="C25" s="132">
        <f>Hakemler!C25</f>
        <v>0</v>
      </c>
      <c r="D25" s="60"/>
      <c r="E25" s="55">
        <f>IF(D25=Uzman_D!$B$24,1,0)</f>
        <v>0</v>
      </c>
      <c r="F25" s="60"/>
      <c r="G25" s="55">
        <f>IF(F25=Uzman_D!$B$25,1,0)</f>
        <v>0</v>
      </c>
      <c r="H25" s="60"/>
      <c r="I25" s="55">
        <f>IF(H25=Uzman_D!$B$26,1,0)</f>
        <v>0</v>
      </c>
      <c r="J25" s="60"/>
      <c r="K25" s="55">
        <f>IF(J25=Uzman_D!$B$27,1,0)</f>
        <v>0</v>
      </c>
      <c r="L25" s="60"/>
      <c r="M25" s="55">
        <f>IF(L25=Uzman_D!$B$28,1,0)</f>
        <v>0</v>
      </c>
      <c r="N25" s="60"/>
      <c r="O25" s="55">
        <f>IF(N25=Uzman_D!$B$29,1,0)</f>
        <v>1</v>
      </c>
      <c r="P25" s="60"/>
      <c r="Q25" s="55">
        <f>IF(P25=Uzman_D!$B$30,1,0)</f>
        <v>1</v>
      </c>
      <c r="R25" s="60"/>
      <c r="S25" s="55">
        <f>IF(R25=Uzman_D!$B$31,1,0)</f>
        <v>1</v>
      </c>
      <c r="T25" s="60"/>
      <c r="U25" s="55">
        <f>IF(T25=Uzman_D!$B$32,1,0)</f>
        <v>1</v>
      </c>
      <c r="V25" s="60"/>
      <c r="W25" s="55">
        <f>IF(V25=Uzman_D!$B$33,1,0)</f>
        <v>1</v>
      </c>
      <c r="X25" s="56">
        <f t="shared" si="0"/>
        <v>0.5</v>
      </c>
      <c r="Y25" s="50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</row>
    <row r="26" spans="1:41" ht="15" customHeight="1" thickBot="1" x14ac:dyDescent="0.25">
      <c r="A26" s="57">
        <v>23</v>
      </c>
      <c r="B26" s="131">
        <f>Hakemler!B26</f>
        <v>0</v>
      </c>
      <c r="C26" s="132">
        <f>Hakemler!C26</f>
        <v>0</v>
      </c>
      <c r="D26" s="60"/>
      <c r="E26" s="55">
        <f>IF(D26=Uzman_D!$B$24,1,0)</f>
        <v>0</v>
      </c>
      <c r="F26" s="60"/>
      <c r="G26" s="55">
        <f>IF(F26=Uzman_D!$B$25,1,0)</f>
        <v>0</v>
      </c>
      <c r="H26" s="60"/>
      <c r="I26" s="55">
        <f>IF(H26=Uzman_D!$B$26,1,0)</f>
        <v>0</v>
      </c>
      <c r="J26" s="60"/>
      <c r="K26" s="55">
        <f>IF(J26=Uzman_D!$B$27,1,0)</f>
        <v>0</v>
      </c>
      <c r="L26" s="60"/>
      <c r="M26" s="55">
        <f>IF(L26=Uzman_D!$B$28,1,0)</f>
        <v>0</v>
      </c>
      <c r="N26" s="60"/>
      <c r="O26" s="55">
        <f>IF(N26=Uzman_D!$B$29,1,0)</f>
        <v>1</v>
      </c>
      <c r="P26" s="60"/>
      <c r="Q26" s="55">
        <f>IF(P26=Uzman_D!$B$30,1,0)</f>
        <v>1</v>
      </c>
      <c r="R26" s="60"/>
      <c r="S26" s="55">
        <f>IF(R26=Uzman_D!$B$31,1,0)</f>
        <v>1</v>
      </c>
      <c r="T26" s="60"/>
      <c r="U26" s="55">
        <f>IF(T26=Uzman_D!$B$32,1,0)</f>
        <v>1</v>
      </c>
      <c r="V26" s="60"/>
      <c r="W26" s="55">
        <f>IF(V26=Uzman_D!$B$33,1,0)</f>
        <v>1</v>
      </c>
      <c r="X26" s="56">
        <f t="shared" si="0"/>
        <v>0.5</v>
      </c>
      <c r="Y26" s="50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</row>
    <row r="27" spans="1:41" ht="15" customHeight="1" thickBot="1" x14ac:dyDescent="0.25">
      <c r="A27" s="57">
        <v>24</v>
      </c>
      <c r="B27" s="131">
        <f>Hakemler!B27</f>
        <v>0</v>
      </c>
      <c r="C27" s="132">
        <f>Hakemler!C27</f>
        <v>0</v>
      </c>
      <c r="D27" s="60"/>
      <c r="E27" s="55">
        <f>IF(D27=Uzman_D!$B$24,1,0)</f>
        <v>0</v>
      </c>
      <c r="F27" s="60"/>
      <c r="G27" s="55">
        <f>IF(F27=Uzman_D!$B$25,1,0)</f>
        <v>0</v>
      </c>
      <c r="H27" s="60"/>
      <c r="I27" s="55">
        <f>IF(H27=Uzman_D!$B$26,1,0)</f>
        <v>0</v>
      </c>
      <c r="J27" s="60"/>
      <c r="K27" s="55">
        <f>IF(J27=Uzman_D!$B$27,1,0)</f>
        <v>0</v>
      </c>
      <c r="L27" s="60"/>
      <c r="M27" s="55">
        <f>IF(L27=Uzman_D!$B$28,1,0)</f>
        <v>0</v>
      </c>
      <c r="N27" s="60"/>
      <c r="O27" s="55">
        <f>IF(N27=Uzman_D!$B$29,1,0)</f>
        <v>1</v>
      </c>
      <c r="P27" s="60"/>
      <c r="Q27" s="55">
        <f>IF(P27=Uzman_D!$B$30,1,0)</f>
        <v>1</v>
      </c>
      <c r="R27" s="60"/>
      <c r="S27" s="55">
        <f>IF(R27=Uzman_D!$B$31,1,0)</f>
        <v>1</v>
      </c>
      <c r="T27" s="60"/>
      <c r="U27" s="55">
        <f>IF(T27=Uzman_D!$B$32,1,0)</f>
        <v>1</v>
      </c>
      <c r="V27" s="60"/>
      <c r="W27" s="55">
        <f>IF(V27=Uzman_D!$B$33,1,0)</f>
        <v>1</v>
      </c>
      <c r="X27" s="56">
        <f t="shared" si="0"/>
        <v>0.5</v>
      </c>
      <c r="Y27" s="50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</row>
    <row r="28" spans="1:41" ht="15" customHeight="1" thickBot="1" x14ac:dyDescent="0.25">
      <c r="A28" s="57">
        <v>25</v>
      </c>
      <c r="B28" s="131">
        <f>Hakemler!B28</f>
        <v>0</v>
      </c>
      <c r="C28" s="132">
        <f>Hakemler!C28</f>
        <v>0</v>
      </c>
      <c r="D28" s="60"/>
      <c r="E28" s="55">
        <f>IF(D28=Uzman_D!$B$24,1,0)</f>
        <v>0</v>
      </c>
      <c r="F28" s="60"/>
      <c r="G28" s="55">
        <f>IF(F28=Uzman_D!$B$25,1,0)</f>
        <v>0</v>
      </c>
      <c r="H28" s="60"/>
      <c r="I28" s="55">
        <f>IF(H28=Uzman_D!$B$26,1,0)</f>
        <v>0</v>
      </c>
      <c r="J28" s="60"/>
      <c r="K28" s="55">
        <f>IF(J28=Uzman_D!$B$27,1,0)</f>
        <v>0</v>
      </c>
      <c r="L28" s="60"/>
      <c r="M28" s="55">
        <f>IF(L28=Uzman_D!$B$28,1,0)</f>
        <v>0</v>
      </c>
      <c r="N28" s="60"/>
      <c r="O28" s="55">
        <f>IF(N28=Uzman_D!$B$29,1,0)</f>
        <v>1</v>
      </c>
      <c r="P28" s="60"/>
      <c r="Q28" s="55">
        <f>IF(P28=Uzman_D!$B$30,1,0)</f>
        <v>1</v>
      </c>
      <c r="R28" s="60"/>
      <c r="S28" s="55">
        <f>IF(R28=Uzman_D!$B$31,1,0)</f>
        <v>1</v>
      </c>
      <c r="T28" s="60"/>
      <c r="U28" s="55">
        <f>IF(T28=Uzman_D!$B$32,1,0)</f>
        <v>1</v>
      </c>
      <c r="V28" s="60"/>
      <c r="W28" s="55">
        <f>IF(V28=Uzman_D!$B$33,1,0)</f>
        <v>1</v>
      </c>
      <c r="X28" s="56">
        <f t="shared" si="0"/>
        <v>0.5</v>
      </c>
      <c r="Y28" s="50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</row>
    <row r="29" spans="1:41" ht="15" customHeight="1" thickBot="1" x14ac:dyDescent="0.25">
      <c r="A29" s="57">
        <v>26</v>
      </c>
      <c r="B29" s="131">
        <f>Hakemler!B29</f>
        <v>0</v>
      </c>
      <c r="C29" s="132">
        <f>Hakemler!C29</f>
        <v>0</v>
      </c>
      <c r="D29" s="60"/>
      <c r="E29" s="55">
        <f>IF(D29=Uzman_D!$B$24,1,0)</f>
        <v>0</v>
      </c>
      <c r="F29" s="60"/>
      <c r="G29" s="55">
        <f>IF(F29=Uzman_D!$B$25,1,0)</f>
        <v>0</v>
      </c>
      <c r="H29" s="60"/>
      <c r="I29" s="55">
        <f>IF(H29=Uzman_D!$B$26,1,0)</f>
        <v>0</v>
      </c>
      <c r="J29" s="60"/>
      <c r="K29" s="55">
        <f>IF(J29=Uzman_D!$B$27,1,0)</f>
        <v>0</v>
      </c>
      <c r="L29" s="60"/>
      <c r="M29" s="55">
        <f>IF(L29=Uzman_D!$B$28,1,0)</f>
        <v>0</v>
      </c>
      <c r="N29" s="60"/>
      <c r="O29" s="55">
        <f>IF(N29=Uzman_D!$B$29,1,0)</f>
        <v>1</v>
      </c>
      <c r="P29" s="60"/>
      <c r="Q29" s="55">
        <f>IF(P29=Uzman_D!$B$30,1,0)</f>
        <v>1</v>
      </c>
      <c r="R29" s="60"/>
      <c r="S29" s="55">
        <f>IF(R29=Uzman_D!$B$31,1,0)</f>
        <v>1</v>
      </c>
      <c r="T29" s="60"/>
      <c r="U29" s="55">
        <f>IF(T29=Uzman_D!$B$32,1,0)</f>
        <v>1</v>
      </c>
      <c r="V29" s="60"/>
      <c r="W29" s="55">
        <f>IF(V29=Uzman_D!$B$33,1,0)</f>
        <v>1</v>
      </c>
      <c r="X29" s="56">
        <f t="shared" si="0"/>
        <v>0.5</v>
      </c>
      <c r="Y29" s="50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</row>
    <row r="30" spans="1:41" ht="15" customHeight="1" thickBot="1" x14ac:dyDescent="0.25">
      <c r="A30" s="57">
        <v>27</v>
      </c>
      <c r="B30" s="131">
        <f>Hakemler!B30</f>
        <v>0</v>
      </c>
      <c r="C30" s="132">
        <f>Hakemler!C30</f>
        <v>0</v>
      </c>
      <c r="D30" s="60"/>
      <c r="E30" s="55">
        <f>IF(D30=Uzman_D!$B$24,1,0)</f>
        <v>0</v>
      </c>
      <c r="F30" s="60"/>
      <c r="G30" s="55">
        <f>IF(F30=Uzman_D!$B$25,1,0)</f>
        <v>0</v>
      </c>
      <c r="H30" s="60"/>
      <c r="I30" s="55">
        <f>IF(H30=Uzman_D!$B$26,1,0)</f>
        <v>0</v>
      </c>
      <c r="J30" s="60"/>
      <c r="K30" s="55">
        <f>IF(J30=Uzman_D!$B$27,1,0)</f>
        <v>0</v>
      </c>
      <c r="L30" s="60"/>
      <c r="M30" s="55">
        <f>IF(L30=Uzman_D!$B$28,1,0)</f>
        <v>0</v>
      </c>
      <c r="N30" s="60"/>
      <c r="O30" s="55">
        <f>IF(N30=Uzman_D!$B$29,1,0)</f>
        <v>1</v>
      </c>
      <c r="P30" s="60"/>
      <c r="Q30" s="55">
        <f>IF(P30=Uzman_D!$B$30,1,0)</f>
        <v>1</v>
      </c>
      <c r="R30" s="60"/>
      <c r="S30" s="55">
        <f>IF(R30=Uzman_D!$B$31,1,0)</f>
        <v>1</v>
      </c>
      <c r="T30" s="60"/>
      <c r="U30" s="55">
        <f>IF(T30=Uzman_D!$B$32,1,0)</f>
        <v>1</v>
      </c>
      <c r="V30" s="60"/>
      <c r="W30" s="55">
        <f>IF(V30=Uzman_D!$B$33,1,0)</f>
        <v>1</v>
      </c>
      <c r="X30" s="56">
        <f t="shared" si="0"/>
        <v>0.5</v>
      </c>
      <c r="Y30" s="50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</row>
    <row r="31" spans="1:41" ht="15" customHeight="1" thickBot="1" x14ac:dyDescent="0.25">
      <c r="A31" s="57">
        <v>28</v>
      </c>
      <c r="B31" s="131">
        <f>Hakemler!B31</f>
        <v>0</v>
      </c>
      <c r="C31" s="132">
        <f>Hakemler!C31</f>
        <v>0</v>
      </c>
      <c r="D31" s="60"/>
      <c r="E31" s="55">
        <f>IF(D31=Uzman_D!$B$24,1,0)</f>
        <v>0</v>
      </c>
      <c r="F31" s="60"/>
      <c r="G31" s="55">
        <f>IF(F31=Uzman_D!$B$25,1,0)</f>
        <v>0</v>
      </c>
      <c r="H31" s="60"/>
      <c r="I31" s="55">
        <f>IF(H31=Uzman_D!$B$26,1,0)</f>
        <v>0</v>
      </c>
      <c r="J31" s="60"/>
      <c r="K31" s="55">
        <f>IF(J31=Uzman_D!$B$27,1,0)</f>
        <v>0</v>
      </c>
      <c r="L31" s="60"/>
      <c r="M31" s="55">
        <f>IF(L31=Uzman_D!$B$28,1,0)</f>
        <v>0</v>
      </c>
      <c r="N31" s="60"/>
      <c r="O31" s="55">
        <f>IF(N31=Uzman_D!$B$29,1,0)</f>
        <v>1</v>
      </c>
      <c r="P31" s="60"/>
      <c r="Q31" s="55">
        <f>IF(P31=Uzman_D!$B$30,1,0)</f>
        <v>1</v>
      </c>
      <c r="R31" s="60"/>
      <c r="S31" s="55">
        <f>IF(R31=Uzman_D!$B$31,1,0)</f>
        <v>1</v>
      </c>
      <c r="T31" s="60"/>
      <c r="U31" s="55">
        <f>IF(T31=Uzman_D!$B$32,1,0)</f>
        <v>1</v>
      </c>
      <c r="V31" s="60"/>
      <c r="W31" s="55">
        <f>IF(V31=Uzman_D!$B$33,1,0)</f>
        <v>1</v>
      </c>
      <c r="X31" s="56">
        <f t="shared" si="0"/>
        <v>0.5</v>
      </c>
      <c r="Y31" s="50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</row>
    <row r="32" spans="1:41" ht="15" customHeight="1" thickBot="1" x14ac:dyDescent="0.25">
      <c r="A32" s="57">
        <v>29</v>
      </c>
      <c r="B32" s="131">
        <f>Hakemler!B32</f>
        <v>0</v>
      </c>
      <c r="C32" s="132">
        <f>Hakemler!C32</f>
        <v>0</v>
      </c>
      <c r="D32" s="60"/>
      <c r="E32" s="55">
        <f>IF(D32=Uzman_D!$B$24,1,0)</f>
        <v>0</v>
      </c>
      <c r="F32" s="60"/>
      <c r="G32" s="55">
        <f>IF(F32=Uzman_D!$B$25,1,0)</f>
        <v>0</v>
      </c>
      <c r="H32" s="60"/>
      <c r="I32" s="55">
        <f>IF(H32=Uzman_D!$B$26,1,0)</f>
        <v>0</v>
      </c>
      <c r="J32" s="60"/>
      <c r="K32" s="55">
        <f>IF(J32=Uzman_D!$B$27,1,0)</f>
        <v>0</v>
      </c>
      <c r="L32" s="60"/>
      <c r="M32" s="55">
        <f>IF(L32=Uzman_D!$B$28,1,0)</f>
        <v>0</v>
      </c>
      <c r="N32" s="60"/>
      <c r="O32" s="55">
        <f>IF(N32=Uzman_D!$B$29,1,0)</f>
        <v>1</v>
      </c>
      <c r="P32" s="60"/>
      <c r="Q32" s="55">
        <f>IF(P32=Uzman_D!$B$30,1,0)</f>
        <v>1</v>
      </c>
      <c r="R32" s="60"/>
      <c r="S32" s="55">
        <f>IF(R32=Uzman_D!$B$31,1,0)</f>
        <v>1</v>
      </c>
      <c r="T32" s="60"/>
      <c r="U32" s="55">
        <f>IF(T32=Uzman_D!$B$32,1,0)</f>
        <v>1</v>
      </c>
      <c r="V32" s="60"/>
      <c r="W32" s="55">
        <f>IF(V32=Uzman_D!$B$33,1,0)</f>
        <v>1</v>
      </c>
      <c r="X32" s="56">
        <f t="shared" si="0"/>
        <v>0.5</v>
      </c>
      <c r="Y32" s="50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</row>
    <row r="33" spans="1:41" ht="15" customHeight="1" thickBot="1" x14ac:dyDescent="0.25">
      <c r="A33" s="57">
        <v>30</v>
      </c>
      <c r="B33" s="131">
        <f>Hakemler!B33</f>
        <v>0</v>
      </c>
      <c r="C33" s="132">
        <f>Hakemler!C33</f>
        <v>0</v>
      </c>
      <c r="D33" s="60"/>
      <c r="E33" s="55">
        <f>IF(D33=Uzman_D!$B$24,1,0)</f>
        <v>0</v>
      </c>
      <c r="F33" s="60"/>
      <c r="G33" s="55">
        <f>IF(F33=Uzman_D!$B$25,1,0)</f>
        <v>0</v>
      </c>
      <c r="H33" s="60"/>
      <c r="I33" s="55">
        <f>IF(H33=Uzman_D!$B$26,1,0)</f>
        <v>0</v>
      </c>
      <c r="J33" s="60"/>
      <c r="K33" s="55">
        <f>IF(J33=Uzman_D!$B$27,1,0)</f>
        <v>0</v>
      </c>
      <c r="L33" s="60"/>
      <c r="M33" s="55">
        <f>IF(L33=Uzman_D!$B$28,1,0)</f>
        <v>0</v>
      </c>
      <c r="N33" s="60"/>
      <c r="O33" s="55">
        <f>IF(N33=Uzman_D!$B$29,1,0)</f>
        <v>1</v>
      </c>
      <c r="P33" s="60"/>
      <c r="Q33" s="55">
        <f>IF(P33=Uzman_D!$B$30,1,0)</f>
        <v>1</v>
      </c>
      <c r="R33" s="60"/>
      <c r="S33" s="55">
        <f>IF(R33=Uzman_D!$B$31,1,0)</f>
        <v>1</v>
      </c>
      <c r="T33" s="60"/>
      <c r="U33" s="55">
        <f>IF(T33=Uzman_D!$B$32,1,0)</f>
        <v>1</v>
      </c>
      <c r="V33" s="60"/>
      <c r="W33" s="55">
        <f>IF(V33=Uzman_D!$B$33,1,0)</f>
        <v>1</v>
      </c>
      <c r="X33" s="56">
        <f t="shared" si="0"/>
        <v>0.5</v>
      </c>
      <c r="Y33" s="50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</row>
    <row r="34" spans="1:41" ht="15" customHeight="1" thickBot="1" x14ac:dyDescent="0.25">
      <c r="A34" s="57">
        <v>31</v>
      </c>
      <c r="B34" s="131">
        <f>Hakemler!B34</f>
        <v>0</v>
      </c>
      <c r="C34" s="132">
        <f>Hakemler!C34</f>
        <v>0</v>
      </c>
      <c r="D34" s="60"/>
      <c r="E34" s="55">
        <f>IF(D34=Uzman_D!$B$24,1,0)</f>
        <v>0</v>
      </c>
      <c r="F34" s="60"/>
      <c r="G34" s="55">
        <f>IF(F34=Uzman_D!$B$25,1,0)</f>
        <v>0</v>
      </c>
      <c r="H34" s="60"/>
      <c r="I34" s="55">
        <f>IF(H34=Uzman_D!$B$26,1,0)</f>
        <v>0</v>
      </c>
      <c r="J34" s="60"/>
      <c r="K34" s="55">
        <f>IF(J34=Uzman_D!$B$27,1,0)</f>
        <v>0</v>
      </c>
      <c r="L34" s="60"/>
      <c r="M34" s="55">
        <f>IF(L34=Uzman_D!$B$28,1,0)</f>
        <v>0</v>
      </c>
      <c r="N34" s="60"/>
      <c r="O34" s="55">
        <f>IF(N34=Uzman_D!$B$29,1,0)</f>
        <v>1</v>
      </c>
      <c r="P34" s="60"/>
      <c r="Q34" s="55">
        <f>IF(P34=Uzman_D!$B$30,1,0)</f>
        <v>1</v>
      </c>
      <c r="R34" s="60"/>
      <c r="S34" s="55">
        <f>IF(R34=Uzman_D!$B$31,1,0)</f>
        <v>1</v>
      </c>
      <c r="T34" s="60"/>
      <c r="U34" s="55">
        <f>IF(T34=Uzman_D!$B$32,1,0)</f>
        <v>1</v>
      </c>
      <c r="V34" s="60"/>
      <c r="W34" s="55">
        <f>IF(V34=Uzman_D!$B$33,1,0)</f>
        <v>1</v>
      </c>
      <c r="X34" s="56">
        <f t="shared" si="0"/>
        <v>0.5</v>
      </c>
      <c r="Y34" s="50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</row>
    <row r="35" spans="1:41" ht="15" customHeight="1" thickBot="1" x14ac:dyDescent="0.25">
      <c r="A35" s="57">
        <v>32</v>
      </c>
      <c r="B35" s="131">
        <f>Hakemler!B35</f>
        <v>0</v>
      </c>
      <c r="C35" s="132">
        <f>Hakemler!C35</f>
        <v>0</v>
      </c>
      <c r="D35" s="60"/>
      <c r="E35" s="55">
        <f>IF(D35=Uzman_D!$B$24,1,0)</f>
        <v>0</v>
      </c>
      <c r="F35" s="60"/>
      <c r="G35" s="55">
        <f>IF(F35=Uzman_D!$B$25,1,0)</f>
        <v>0</v>
      </c>
      <c r="H35" s="60"/>
      <c r="I35" s="55">
        <f>IF(H35=Uzman_D!$B$26,1,0)</f>
        <v>0</v>
      </c>
      <c r="J35" s="60"/>
      <c r="K35" s="55">
        <f>IF(J35=Uzman_D!$B$27,1,0)</f>
        <v>0</v>
      </c>
      <c r="L35" s="60"/>
      <c r="M35" s="55">
        <f>IF(L35=Uzman_D!$B$28,1,0)</f>
        <v>0</v>
      </c>
      <c r="N35" s="60"/>
      <c r="O35" s="55">
        <f>IF(N35=Uzman_D!$B$29,1,0)</f>
        <v>1</v>
      </c>
      <c r="P35" s="60"/>
      <c r="Q35" s="55">
        <f>IF(P35=Uzman_D!$B$30,1,0)</f>
        <v>1</v>
      </c>
      <c r="R35" s="60"/>
      <c r="S35" s="55">
        <f>IF(R35=Uzman_D!$B$31,1,0)</f>
        <v>1</v>
      </c>
      <c r="T35" s="60"/>
      <c r="U35" s="55">
        <f>IF(T35=Uzman_D!$B$32,1,0)</f>
        <v>1</v>
      </c>
      <c r="V35" s="60"/>
      <c r="W35" s="55">
        <f>IF(V35=Uzman_D!$B$33,1,0)</f>
        <v>1</v>
      </c>
      <c r="X35" s="56">
        <f t="shared" si="0"/>
        <v>0.5</v>
      </c>
      <c r="Y35" s="50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</row>
    <row r="36" spans="1:41" ht="15" customHeight="1" thickBot="1" x14ac:dyDescent="0.25">
      <c r="A36" s="57">
        <v>33</v>
      </c>
      <c r="B36" s="131">
        <f>Hakemler!B36</f>
        <v>0</v>
      </c>
      <c r="C36" s="132">
        <f>Hakemler!C36</f>
        <v>0</v>
      </c>
      <c r="D36" s="60"/>
      <c r="E36" s="55">
        <f>IF(D36=Uzman_D!$B$24,1,0)</f>
        <v>0</v>
      </c>
      <c r="F36" s="60"/>
      <c r="G36" s="55">
        <f>IF(F36=Uzman_D!$B$25,1,0)</f>
        <v>0</v>
      </c>
      <c r="H36" s="60"/>
      <c r="I36" s="55">
        <f>IF(H36=Uzman_D!$B$26,1,0)</f>
        <v>0</v>
      </c>
      <c r="J36" s="60"/>
      <c r="K36" s="55">
        <f>IF(J36=Uzman_D!$B$27,1,0)</f>
        <v>0</v>
      </c>
      <c r="L36" s="60"/>
      <c r="M36" s="55">
        <f>IF(L36=Uzman_D!$B$28,1,0)</f>
        <v>0</v>
      </c>
      <c r="N36" s="60"/>
      <c r="O36" s="55">
        <f>IF(N36=Uzman_D!$B$29,1,0)</f>
        <v>1</v>
      </c>
      <c r="P36" s="60"/>
      <c r="Q36" s="55">
        <f>IF(P36=Uzman_D!$B$30,1,0)</f>
        <v>1</v>
      </c>
      <c r="R36" s="60"/>
      <c r="S36" s="55">
        <f>IF(R36=Uzman_D!$B$31,1,0)</f>
        <v>1</v>
      </c>
      <c r="T36" s="60"/>
      <c r="U36" s="55">
        <f>IF(T36=Uzman_D!$B$32,1,0)</f>
        <v>1</v>
      </c>
      <c r="V36" s="60"/>
      <c r="W36" s="55">
        <f>IF(V36=Uzman_D!$B$33,1,0)</f>
        <v>1</v>
      </c>
      <c r="X36" s="56">
        <f t="shared" si="0"/>
        <v>0.5</v>
      </c>
      <c r="Y36" s="50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</row>
    <row r="37" spans="1:41" ht="15" customHeight="1" thickBot="1" x14ac:dyDescent="0.25">
      <c r="A37" s="57">
        <v>34</v>
      </c>
      <c r="B37" s="131">
        <f>Hakemler!B37</f>
        <v>0</v>
      </c>
      <c r="C37" s="132">
        <f>Hakemler!C37</f>
        <v>0</v>
      </c>
      <c r="D37" s="60"/>
      <c r="E37" s="55">
        <f>IF(D37=Uzman_D!$B$24,1,0)</f>
        <v>0</v>
      </c>
      <c r="F37" s="60"/>
      <c r="G37" s="55">
        <f>IF(F37=Uzman_D!$B$25,1,0)</f>
        <v>0</v>
      </c>
      <c r="H37" s="60"/>
      <c r="I37" s="55">
        <f>IF(H37=Uzman_D!$B$26,1,0)</f>
        <v>0</v>
      </c>
      <c r="J37" s="60"/>
      <c r="K37" s="55">
        <f>IF(J37=Uzman_D!$B$27,1,0)</f>
        <v>0</v>
      </c>
      <c r="L37" s="60"/>
      <c r="M37" s="55">
        <f>IF(L37=Uzman_D!$B$28,1,0)</f>
        <v>0</v>
      </c>
      <c r="N37" s="60"/>
      <c r="O37" s="55">
        <f>IF(N37=Uzman_D!$B$29,1,0)</f>
        <v>1</v>
      </c>
      <c r="P37" s="60"/>
      <c r="Q37" s="55">
        <f>IF(P37=Uzman_D!$B$30,1,0)</f>
        <v>1</v>
      </c>
      <c r="R37" s="60"/>
      <c r="S37" s="55">
        <f>IF(R37=Uzman_D!$B$31,1,0)</f>
        <v>1</v>
      </c>
      <c r="T37" s="60"/>
      <c r="U37" s="55">
        <f>IF(T37=Uzman_D!$B$32,1,0)</f>
        <v>1</v>
      </c>
      <c r="V37" s="60"/>
      <c r="W37" s="55">
        <f>IF(V37=Uzman_D!$B$33,1,0)</f>
        <v>1</v>
      </c>
      <c r="X37" s="56">
        <f t="shared" si="0"/>
        <v>0.5</v>
      </c>
      <c r="Y37" s="50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</row>
    <row r="38" spans="1:41" ht="15" customHeight="1" thickBot="1" x14ac:dyDescent="0.25">
      <c r="A38" s="57">
        <v>35</v>
      </c>
      <c r="B38" s="131">
        <f>Hakemler!B38</f>
        <v>0</v>
      </c>
      <c r="C38" s="132">
        <f>Hakemler!C38</f>
        <v>0</v>
      </c>
      <c r="D38" s="60"/>
      <c r="E38" s="55">
        <f>IF(D38=Uzman_D!$B$24,1,0)</f>
        <v>0</v>
      </c>
      <c r="F38" s="60"/>
      <c r="G38" s="55">
        <f>IF(F38=Uzman_D!$B$25,1,0)</f>
        <v>0</v>
      </c>
      <c r="H38" s="60"/>
      <c r="I38" s="55">
        <f>IF(H38=Uzman_D!$B$26,1,0)</f>
        <v>0</v>
      </c>
      <c r="J38" s="60"/>
      <c r="K38" s="55">
        <f>IF(J38=Uzman_D!$B$27,1,0)</f>
        <v>0</v>
      </c>
      <c r="L38" s="60"/>
      <c r="M38" s="55">
        <f>IF(L38=Uzman_D!$B$28,1,0)</f>
        <v>0</v>
      </c>
      <c r="N38" s="60"/>
      <c r="O38" s="55">
        <f>IF(N38=Uzman_D!$B$29,1,0)</f>
        <v>1</v>
      </c>
      <c r="P38" s="60"/>
      <c r="Q38" s="55">
        <f>IF(P38=Uzman_D!$B$30,1,0)</f>
        <v>1</v>
      </c>
      <c r="R38" s="60"/>
      <c r="S38" s="55">
        <f>IF(R38=Uzman_D!$B$31,1,0)</f>
        <v>1</v>
      </c>
      <c r="T38" s="60"/>
      <c r="U38" s="55">
        <f>IF(T38=Uzman_D!$B$32,1,0)</f>
        <v>1</v>
      </c>
      <c r="V38" s="60"/>
      <c r="W38" s="55">
        <f>IF(V38=Uzman_D!$B$33,1,0)</f>
        <v>1</v>
      </c>
      <c r="X38" s="56">
        <f t="shared" si="0"/>
        <v>0.5</v>
      </c>
      <c r="Y38" s="50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</row>
    <row r="39" spans="1:41" ht="15" customHeight="1" thickBot="1" x14ac:dyDescent="0.25">
      <c r="A39" s="57">
        <v>36</v>
      </c>
      <c r="B39" s="131">
        <f>Hakemler!B39</f>
        <v>0</v>
      </c>
      <c r="C39" s="132">
        <f>Hakemler!C39</f>
        <v>0</v>
      </c>
      <c r="D39" s="60"/>
      <c r="E39" s="55">
        <f>IF(D39=Uzman_D!$B$24,1,0)</f>
        <v>0</v>
      </c>
      <c r="F39" s="60"/>
      <c r="G39" s="55">
        <f>IF(F39=Uzman_D!$B$25,1,0)</f>
        <v>0</v>
      </c>
      <c r="H39" s="60"/>
      <c r="I39" s="55">
        <f>IF(H39=Uzman_D!$B$26,1,0)</f>
        <v>0</v>
      </c>
      <c r="J39" s="60"/>
      <c r="K39" s="55">
        <f>IF(J39=Uzman_D!$B$27,1,0)</f>
        <v>0</v>
      </c>
      <c r="L39" s="60"/>
      <c r="M39" s="55">
        <f>IF(L39=Uzman_D!$B$28,1,0)</f>
        <v>0</v>
      </c>
      <c r="N39" s="60"/>
      <c r="O39" s="55">
        <f>IF(N39=Uzman_D!$B$29,1,0)</f>
        <v>1</v>
      </c>
      <c r="P39" s="60"/>
      <c r="Q39" s="55">
        <f>IF(P39=Uzman_D!$B$30,1,0)</f>
        <v>1</v>
      </c>
      <c r="R39" s="60"/>
      <c r="S39" s="55">
        <f>IF(R39=Uzman_D!$B$31,1,0)</f>
        <v>1</v>
      </c>
      <c r="T39" s="60"/>
      <c r="U39" s="55">
        <f>IF(T39=Uzman_D!$B$32,1,0)</f>
        <v>1</v>
      </c>
      <c r="V39" s="60"/>
      <c r="W39" s="55">
        <f>IF(V39=Uzman_D!$B$33,1,0)</f>
        <v>1</v>
      </c>
      <c r="X39" s="56">
        <f t="shared" si="0"/>
        <v>0.5</v>
      </c>
      <c r="Y39" s="50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</row>
    <row r="40" spans="1:41" ht="15" customHeight="1" thickBot="1" x14ac:dyDescent="0.25">
      <c r="A40" s="57">
        <v>37</v>
      </c>
      <c r="B40" s="71">
        <f>Hakemler!B40</f>
        <v>0</v>
      </c>
      <c r="C40" s="133">
        <f>Hakemler!C40</f>
        <v>0</v>
      </c>
      <c r="D40" s="60"/>
      <c r="E40" s="55">
        <f>IF(D40=Uzman_D!$B$24,1,0)</f>
        <v>0</v>
      </c>
      <c r="F40" s="60"/>
      <c r="G40" s="55">
        <f>IF(F40=Uzman_D!$B$25,1,0)</f>
        <v>0</v>
      </c>
      <c r="H40" s="60"/>
      <c r="I40" s="55">
        <f>IF(H40=Uzman_D!$B$26,1,0)</f>
        <v>0</v>
      </c>
      <c r="J40" s="60"/>
      <c r="K40" s="55">
        <f>IF(J40=Uzman_D!$B$27,1,0)</f>
        <v>0</v>
      </c>
      <c r="L40" s="60"/>
      <c r="M40" s="55">
        <f>IF(L40=Uzman_D!$B$28,1,0)</f>
        <v>0</v>
      </c>
      <c r="N40" s="60"/>
      <c r="O40" s="55">
        <f>IF(N40=Uzman_D!$B$29,1,0)</f>
        <v>1</v>
      </c>
      <c r="P40" s="60"/>
      <c r="Q40" s="55">
        <f>IF(P40=Uzman_D!$B$30,1,0)</f>
        <v>1</v>
      </c>
      <c r="R40" s="60"/>
      <c r="S40" s="55">
        <f>IF(R40=Uzman_D!$B$31,1,0)</f>
        <v>1</v>
      </c>
      <c r="T40" s="60"/>
      <c r="U40" s="55">
        <f>IF(T40=Uzman_D!$B$32,1,0)</f>
        <v>1</v>
      </c>
      <c r="V40" s="60"/>
      <c r="W40" s="55">
        <f>IF(V40=Uzman_D!$B$33,1,0)</f>
        <v>1</v>
      </c>
      <c r="X40" s="56">
        <f t="shared" si="0"/>
        <v>0.5</v>
      </c>
      <c r="Y40" s="50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</row>
    <row r="41" spans="1:41" ht="15" customHeight="1" thickBot="1" x14ac:dyDescent="0.25">
      <c r="A41" s="57">
        <v>38</v>
      </c>
      <c r="B41" s="71">
        <f>Hakemler!B41</f>
        <v>0</v>
      </c>
      <c r="C41" s="133">
        <f>Hakemler!C41</f>
        <v>0</v>
      </c>
      <c r="D41" s="60"/>
      <c r="E41" s="55">
        <f>IF(D41=Uzman_D!$B$24,1,0)</f>
        <v>0</v>
      </c>
      <c r="F41" s="60"/>
      <c r="G41" s="55">
        <f>IF(F41=Uzman_D!$B$25,1,0)</f>
        <v>0</v>
      </c>
      <c r="H41" s="60"/>
      <c r="I41" s="55">
        <f>IF(H41=Uzman_D!$B$26,1,0)</f>
        <v>0</v>
      </c>
      <c r="J41" s="60"/>
      <c r="K41" s="55">
        <f>IF(J41=Uzman_D!$B$27,1,0)</f>
        <v>0</v>
      </c>
      <c r="L41" s="60"/>
      <c r="M41" s="55">
        <f>IF(L41=Uzman_D!$B$28,1,0)</f>
        <v>0</v>
      </c>
      <c r="N41" s="60"/>
      <c r="O41" s="55">
        <f>IF(N41=Uzman_D!$B$29,1,0)</f>
        <v>1</v>
      </c>
      <c r="P41" s="60"/>
      <c r="Q41" s="55">
        <f>IF(P41=Uzman_D!$B$30,1,0)</f>
        <v>1</v>
      </c>
      <c r="R41" s="60"/>
      <c r="S41" s="55">
        <f>IF(R41=Uzman_D!$B$31,1,0)</f>
        <v>1</v>
      </c>
      <c r="T41" s="60"/>
      <c r="U41" s="55">
        <f>IF(T41=Uzman_D!$B$32,1,0)</f>
        <v>1</v>
      </c>
      <c r="V41" s="60"/>
      <c r="W41" s="55">
        <f>IF(V41=Uzman_D!$B$33,1,0)</f>
        <v>1</v>
      </c>
      <c r="X41" s="56">
        <f t="shared" si="0"/>
        <v>0.5</v>
      </c>
      <c r="Y41" s="50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</row>
    <row r="42" spans="1:41" ht="15" customHeight="1" thickBot="1" x14ac:dyDescent="0.25">
      <c r="A42" s="57">
        <v>39</v>
      </c>
      <c r="B42" s="71">
        <f>Hakemler!B42</f>
        <v>0</v>
      </c>
      <c r="C42" s="133">
        <f>Hakemler!C42</f>
        <v>0</v>
      </c>
      <c r="D42" s="60"/>
      <c r="E42" s="55">
        <f>IF(D42=Uzman_D!$B$24,1,0)</f>
        <v>0</v>
      </c>
      <c r="F42" s="60"/>
      <c r="G42" s="55">
        <f>IF(F42=Uzman_D!$B$25,1,0)</f>
        <v>0</v>
      </c>
      <c r="H42" s="60"/>
      <c r="I42" s="55">
        <f>IF(H42=Uzman_D!$B$26,1,0)</f>
        <v>0</v>
      </c>
      <c r="J42" s="60"/>
      <c r="K42" s="55">
        <f>IF(J42=Uzman_D!$B$27,1,0)</f>
        <v>0</v>
      </c>
      <c r="L42" s="60"/>
      <c r="M42" s="55">
        <f>IF(L42=Uzman_D!$B$28,1,0)</f>
        <v>0</v>
      </c>
      <c r="N42" s="60"/>
      <c r="O42" s="55">
        <f>IF(N42=Uzman_D!$B$29,1,0)</f>
        <v>1</v>
      </c>
      <c r="P42" s="60"/>
      <c r="Q42" s="55">
        <f>IF(P42=Uzman_D!$B$30,1,0)</f>
        <v>1</v>
      </c>
      <c r="R42" s="60"/>
      <c r="S42" s="55">
        <f>IF(R42=Uzman_D!$B$31,1,0)</f>
        <v>1</v>
      </c>
      <c r="T42" s="60"/>
      <c r="U42" s="55">
        <f>IF(T42=Uzman_D!$B$32,1,0)</f>
        <v>1</v>
      </c>
      <c r="V42" s="60"/>
      <c r="W42" s="55">
        <f>IF(V42=Uzman_D!$B$33,1,0)</f>
        <v>1</v>
      </c>
      <c r="X42" s="56">
        <f t="shared" si="0"/>
        <v>0.5</v>
      </c>
      <c r="Y42" s="50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</row>
    <row r="43" spans="1:41" ht="15" customHeight="1" thickBot="1" x14ac:dyDescent="0.25">
      <c r="A43" s="57">
        <v>40</v>
      </c>
      <c r="B43" s="131">
        <f>Hakemler!B43</f>
        <v>0</v>
      </c>
      <c r="C43" s="132">
        <f>Hakemler!C43</f>
        <v>0</v>
      </c>
      <c r="D43" s="60"/>
      <c r="E43" s="55">
        <f>IF(D43=Uzman_D!$B$24,1,0)</f>
        <v>0</v>
      </c>
      <c r="F43" s="60"/>
      <c r="G43" s="55">
        <f>IF(F43=Uzman_D!$B$25,1,0)</f>
        <v>0</v>
      </c>
      <c r="H43" s="60"/>
      <c r="I43" s="55">
        <f>IF(H43=Uzman_D!$B$26,1,0)</f>
        <v>0</v>
      </c>
      <c r="J43" s="60"/>
      <c r="K43" s="55">
        <f>IF(J43=Uzman_D!$B$27,1,0)</f>
        <v>0</v>
      </c>
      <c r="L43" s="60"/>
      <c r="M43" s="55">
        <f>IF(L43=Uzman_D!$B$28,1,0)</f>
        <v>0</v>
      </c>
      <c r="N43" s="60"/>
      <c r="O43" s="55">
        <f>IF(N43=Uzman_D!$B$29,1,0)</f>
        <v>1</v>
      </c>
      <c r="P43" s="60"/>
      <c r="Q43" s="55">
        <f>IF(P43=Uzman_D!$B$30,1,0)</f>
        <v>1</v>
      </c>
      <c r="R43" s="60"/>
      <c r="S43" s="55">
        <f>IF(R43=Uzman_D!$B$31,1,0)</f>
        <v>1</v>
      </c>
      <c r="T43" s="60"/>
      <c r="U43" s="55">
        <f>IF(T43=Uzman_D!$B$32,1,0)</f>
        <v>1</v>
      </c>
      <c r="V43" s="60"/>
      <c r="W43" s="55">
        <f>IF(V43=Uzman_D!$B$33,1,0)</f>
        <v>1</v>
      </c>
      <c r="X43" s="56">
        <f t="shared" si="0"/>
        <v>0.5</v>
      </c>
      <c r="Y43" s="50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</row>
    <row r="44" spans="1:41" ht="15" customHeight="1" thickBot="1" x14ac:dyDescent="0.25">
      <c r="A44" s="57">
        <v>41</v>
      </c>
      <c r="B44" s="71">
        <f>Hakemler!B44</f>
        <v>0</v>
      </c>
      <c r="C44" s="133">
        <f>Hakemler!C44</f>
        <v>0</v>
      </c>
      <c r="D44" s="60"/>
      <c r="E44" s="55">
        <f>IF(D44=Uzman_D!$B$24,1,0)</f>
        <v>0</v>
      </c>
      <c r="F44" s="60"/>
      <c r="G44" s="55">
        <f>IF(F44=Uzman_D!$B$25,1,0)</f>
        <v>0</v>
      </c>
      <c r="H44" s="60"/>
      <c r="I44" s="55">
        <f>IF(H44=Uzman_D!$B$26,1,0)</f>
        <v>0</v>
      </c>
      <c r="J44" s="60"/>
      <c r="K44" s="55">
        <f>IF(J44=Uzman_D!$B$27,1,0)</f>
        <v>0</v>
      </c>
      <c r="L44" s="60"/>
      <c r="M44" s="55">
        <f>IF(L44=Uzman_D!$B$28,1,0)</f>
        <v>0</v>
      </c>
      <c r="N44" s="60"/>
      <c r="O44" s="55">
        <f>IF(N44=Uzman_D!$B$29,1,0)</f>
        <v>1</v>
      </c>
      <c r="P44" s="60"/>
      <c r="Q44" s="55">
        <f>IF(P44=Uzman_D!$B$30,1,0)</f>
        <v>1</v>
      </c>
      <c r="R44" s="60"/>
      <c r="S44" s="55">
        <f>IF(R44=Uzman_D!$B$31,1,0)</f>
        <v>1</v>
      </c>
      <c r="T44" s="60"/>
      <c r="U44" s="55">
        <f>IF(T44=Uzman_D!$B$32,1,0)</f>
        <v>1</v>
      </c>
      <c r="V44" s="60"/>
      <c r="W44" s="55">
        <f>IF(V44=Uzman_D!$B$33,1,0)</f>
        <v>1</v>
      </c>
      <c r="X44" s="56">
        <f t="shared" si="0"/>
        <v>0.5</v>
      </c>
      <c r="Y44" s="50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</row>
    <row r="45" spans="1:41" ht="15" customHeight="1" thickBot="1" x14ac:dyDescent="0.25">
      <c r="A45" s="57">
        <v>42</v>
      </c>
      <c r="B45" s="131">
        <f>Hakemler!B45</f>
        <v>0</v>
      </c>
      <c r="C45" s="132">
        <f>Hakemler!C45</f>
        <v>0</v>
      </c>
      <c r="D45" s="60"/>
      <c r="E45" s="55">
        <f>IF(D45=Uzman_D!$B$24,1,0)</f>
        <v>0</v>
      </c>
      <c r="F45" s="60"/>
      <c r="G45" s="55">
        <f>IF(F45=Uzman_D!$B$25,1,0)</f>
        <v>0</v>
      </c>
      <c r="H45" s="60"/>
      <c r="I45" s="55">
        <f>IF(H45=Uzman_D!$B$26,1,0)</f>
        <v>0</v>
      </c>
      <c r="J45" s="60"/>
      <c r="K45" s="55">
        <f>IF(J45=Uzman_D!$B$27,1,0)</f>
        <v>0</v>
      </c>
      <c r="L45" s="60"/>
      <c r="M45" s="55">
        <f>IF(L45=Uzman_D!$B$28,1,0)</f>
        <v>0</v>
      </c>
      <c r="N45" s="60"/>
      <c r="O45" s="55">
        <f>IF(N45=Uzman_D!$B$29,1,0)</f>
        <v>1</v>
      </c>
      <c r="P45" s="60"/>
      <c r="Q45" s="55">
        <f>IF(P45=Uzman_D!$B$30,1,0)</f>
        <v>1</v>
      </c>
      <c r="R45" s="60"/>
      <c r="S45" s="55">
        <f>IF(R45=Uzman_D!$B$31,1,0)</f>
        <v>1</v>
      </c>
      <c r="T45" s="60"/>
      <c r="U45" s="55">
        <f>IF(T45=Uzman_D!$B$32,1,0)</f>
        <v>1</v>
      </c>
      <c r="V45" s="60"/>
      <c r="W45" s="55">
        <f>IF(V45=Uzman_D!$B$33,1,0)</f>
        <v>1</v>
      </c>
      <c r="X45" s="56">
        <f t="shared" si="0"/>
        <v>0.5</v>
      </c>
      <c r="Y45" s="50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</row>
    <row r="46" spans="1:41" ht="15" customHeight="1" thickBot="1" x14ac:dyDescent="0.25">
      <c r="A46" s="57">
        <v>43</v>
      </c>
      <c r="B46" s="71">
        <f>Hakemler!B46</f>
        <v>0</v>
      </c>
      <c r="C46" s="133">
        <f>Hakemler!C46</f>
        <v>0</v>
      </c>
      <c r="D46" s="60"/>
      <c r="E46" s="55">
        <f>IF(D46=Uzman_D!$B$24,1,0)</f>
        <v>0</v>
      </c>
      <c r="F46" s="60"/>
      <c r="G46" s="55">
        <f>IF(F46=Uzman_D!$B$25,1,0)</f>
        <v>0</v>
      </c>
      <c r="H46" s="60"/>
      <c r="I46" s="55">
        <f>IF(H46=Uzman_D!$B$26,1,0)</f>
        <v>0</v>
      </c>
      <c r="J46" s="60"/>
      <c r="K46" s="55">
        <f>IF(J46=Uzman_D!$B$27,1,0)</f>
        <v>0</v>
      </c>
      <c r="L46" s="60"/>
      <c r="M46" s="55">
        <f>IF(L46=Uzman_D!$B$28,1,0)</f>
        <v>0</v>
      </c>
      <c r="N46" s="60"/>
      <c r="O46" s="55">
        <f>IF(N46=Uzman_D!$B$29,1,0)</f>
        <v>1</v>
      </c>
      <c r="P46" s="60"/>
      <c r="Q46" s="55">
        <f>IF(P46=Uzman_D!$B$30,1,0)</f>
        <v>1</v>
      </c>
      <c r="R46" s="60"/>
      <c r="S46" s="55">
        <f>IF(R46=Uzman_D!$B$31,1,0)</f>
        <v>1</v>
      </c>
      <c r="T46" s="60"/>
      <c r="U46" s="55">
        <f>IF(T46=Uzman_D!$B$32,1,0)</f>
        <v>1</v>
      </c>
      <c r="V46" s="60"/>
      <c r="W46" s="55">
        <f>IF(V46=Uzman_D!$B$33,1,0)</f>
        <v>1</v>
      </c>
      <c r="X46" s="56">
        <f t="shared" si="0"/>
        <v>0.5</v>
      </c>
      <c r="Y46" s="50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</row>
    <row r="47" spans="1:41" ht="15" customHeight="1" thickBot="1" x14ac:dyDescent="0.25">
      <c r="A47" s="57">
        <v>44</v>
      </c>
      <c r="B47" s="71">
        <f>Hakemler!B47</f>
        <v>0</v>
      </c>
      <c r="C47" s="133">
        <f>Hakemler!C47</f>
        <v>0</v>
      </c>
      <c r="D47" s="60"/>
      <c r="E47" s="55">
        <f>IF(D47=Uzman_D!$B$24,1,0)</f>
        <v>0</v>
      </c>
      <c r="F47" s="60"/>
      <c r="G47" s="55">
        <f>IF(F47=Uzman_D!$B$25,1,0)</f>
        <v>0</v>
      </c>
      <c r="H47" s="60"/>
      <c r="I47" s="55">
        <f>IF(H47=Uzman_D!$B$26,1,0)</f>
        <v>0</v>
      </c>
      <c r="J47" s="60"/>
      <c r="K47" s="55">
        <f>IF(J47=Uzman_D!$B$27,1,0)</f>
        <v>0</v>
      </c>
      <c r="L47" s="60"/>
      <c r="M47" s="55">
        <f>IF(L47=Uzman_D!$B$28,1,0)</f>
        <v>0</v>
      </c>
      <c r="N47" s="60"/>
      <c r="O47" s="55">
        <f>IF(N47=Uzman_D!$B$29,1,0)</f>
        <v>1</v>
      </c>
      <c r="P47" s="60"/>
      <c r="Q47" s="55">
        <f>IF(P47=Uzman_D!$B$30,1,0)</f>
        <v>1</v>
      </c>
      <c r="R47" s="60"/>
      <c r="S47" s="55">
        <f>IF(R47=Uzman_D!$B$31,1,0)</f>
        <v>1</v>
      </c>
      <c r="T47" s="60"/>
      <c r="U47" s="55">
        <f>IF(T47=Uzman_D!$B$32,1,0)</f>
        <v>1</v>
      </c>
      <c r="V47" s="60"/>
      <c r="W47" s="55">
        <f>IF(V47=Uzman_D!$B$33,1,0)</f>
        <v>1</v>
      </c>
      <c r="X47" s="56">
        <f t="shared" si="0"/>
        <v>0.5</v>
      </c>
      <c r="Y47" s="50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</row>
    <row r="48" spans="1:41" ht="15" customHeight="1" thickBot="1" x14ac:dyDescent="0.25">
      <c r="A48" s="57">
        <v>45</v>
      </c>
      <c r="B48" s="131">
        <f>Hakemler!B48</f>
        <v>0</v>
      </c>
      <c r="C48" s="132">
        <f>Hakemler!C48</f>
        <v>0</v>
      </c>
      <c r="D48" s="60"/>
      <c r="E48" s="55">
        <f>IF(D48=Uzman_D!$B$24,1,0)</f>
        <v>0</v>
      </c>
      <c r="F48" s="60"/>
      <c r="G48" s="55">
        <f>IF(F48=Uzman_D!$B$25,1,0)</f>
        <v>0</v>
      </c>
      <c r="H48" s="60"/>
      <c r="I48" s="55">
        <f>IF(H48=Uzman_D!$B$26,1,0)</f>
        <v>0</v>
      </c>
      <c r="J48" s="60"/>
      <c r="K48" s="55">
        <f>IF(J48=Uzman_D!$B$27,1,0)</f>
        <v>0</v>
      </c>
      <c r="L48" s="60"/>
      <c r="M48" s="55">
        <f>IF(L48=Uzman_D!$B$28,1,0)</f>
        <v>0</v>
      </c>
      <c r="N48" s="60"/>
      <c r="O48" s="55">
        <f>IF(N48=Uzman_D!$B$29,1,0)</f>
        <v>1</v>
      </c>
      <c r="P48" s="60"/>
      <c r="Q48" s="55">
        <f>IF(P48=Uzman_D!$B$30,1,0)</f>
        <v>1</v>
      </c>
      <c r="R48" s="60"/>
      <c r="S48" s="55">
        <f>IF(R48=Uzman_D!$B$31,1,0)</f>
        <v>1</v>
      </c>
      <c r="T48" s="60"/>
      <c r="U48" s="55">
        <f>IF(T48=Uzman_D!$B$32,1,0)</f>
        <v>1</v>
      </c>
      <c r="V48" s="60"/>
      <c r="W48" s="55">
        <f>IF(V48=Uzman_D!$B$33,1,0)</f>
        <v>1</v>
      </c>
      <c r="X48" s="56">
        <f t="shared" si="0"/>
        <v>0.5</v>
      </c>
      <c r="Y48" s="50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</row>
    <row r="49" spans="1:41" ht="15" customHeight="1" thickBot="1" x14ac:dyDescent="0.25">
      <c r="A49" s="57">
        <v>46</v>
      </c>
      <c r="B49" s="71">
        <f>Hakemler!B49</f>
        <v>0</v>
      </c>
      <c r="C49" s="133">
        <f>Hakemler!C49</f>
        <v>0</v>
      </c>
      <c r="D49" s="60"/>
      <c r="E49" s="55">
        <f>IF(D49=Uzman_D!$B$24,1,0)</f>
        <v>0</v>
      </c>
      <c r="F49" s="60"/>
      <c r="G49" s="55">
        <f>IF(F49=Uzman_D!$B$25,1,0)</f>
        <v>0</v>
      </c>
      <c r="H49" s="60"/>
      <c r="I49" s="55">
        <f>IF(H49=Uzman_D!$B$26,1,0)</f>
        <v>0</v>
      </c>
      <c r="J49" s="60"/>
      <c r="K49" s="55">
        <f>IF(J49=Uzman_D!$B$27,1,0)</f>
        <v>0</v>
      </c>
      <c r="L49" s="60"/>
      <c r="M49" s="55">
        <f>IF(L49=Uzman_D!$B$28,1,0)</f>
        <v>0</v>
      </c>
      <c r="N49" s="60"/>
      <c r="O49" s="55">
        <f>IF(N49=Uzman_D!$B$29,1,0)</f>
        <v>1</v>
      </c>
      <c r="P49" s="60"/>
      <c r="Q49" s="55">
        <f>IF(P49=Uzman_D!$B$30,1,0)</f>
        <v>1</v>
      </c>
      <c r="R49" s="60"/>
      <c r="S49" s="55">
        <f>IF(R49=Uzman_D!$B$31,1,0)</f>
        <v>1</v>
      </c>
      <c r="T49" s="60"/>
      <c r="U49" s="55">
        <f>IF(T49=Uzman_D!$B$32,1,0)</f>
        <v>1</v>
      </c>
      <c r="V49" s="60"/>
      <c r="W49" s="55">
        <f>IF(V49=Uzman_D!$B$33,1,0)</f>
        <v>1</v>
      </c>
      <c r="X49" s="56">
        <f t="shared" si="0"/>
        <v>0.5</v>
      </c>
      <c r="Y49" s="50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</row>
    <row r="50" spans="1:41" ht="15" customHeight="1" thickBot="1" x14ac:dyDescent="0.25">
      <c r="A50" s="57">
        <v>47</v>
      </c>
      <c r="B50" s="131">
        <f>Hakemler!B50</f>
        <v>0</v>
      </c>
      <c r="C50" s="132">
        <f>Hakemler!C50</f>
        <v>0</v>
      </c>
      <c r="D50" s="60"/>
      <c r="E50" s="55">
        <f>IF(D50=Uzman_D!$B$24,1,0)</f>
        <v>0</v>
      </c>
      <c r="F50" s="60"/>
      <c r="G50" s="55">
        <f>IF(F50=Uzman_D!$B$25,1,0)</f>
        <v>0</v>
      </c>
      <c r="H50" s="60"/>
      <c r="I50" s="55">
        <f>IF(H50=Uzman_D!$B$26,1,0)</f>
        <v>0</v>
      </c>
      <c r="J50" s="60"/>
      <c r="K50" s="55">
        <f>IF(J50=Uzman_D!$B$27,1,0)</f>
        <v>0</v>
      </c>
      <c r="L50" s="60"/>
      <c r="M50" s="55">
        <f>IF(L50=Uzman_D!$B$28,1,0)</f>
        <v>0</v>
      </c>
      <c r="N50" s="60"/>
      <c r="O50" s="55">
        <f>IF(N50=Uzman_D!$B$29,1,0)</f>
        <v>1</v>
      </c>
      <c r="P50" s="60"/>
      <c r="Q50" s="55">
        <f>IF(P50=Uzman_D!$B$30,1,0)</f>
        <v>1</v>
      </c>
      <c r="R50" s="60"/>
      <c r="S50" s="55">
        <f>IF(R50=Uzman_D!$B$31,1,0)</f>
        <v>1</v>
      </c>
      <c r="T50" s="60"/>
      <c r="U50" s="55">
        <f>IF(T50=Uzman_D!$B$32,1,0)</f>
        <v>1</v>
      </c>
      <c r="V50" s="60"/>
      <c r="W50" s="55">
        <f>IF(V50=Uzman_D!$B$33,1,0)</f>
        <v>1</v>
      </c>
      <c r="X50" s="56">
        <f t="shared" si="0"/>
        <v>0.5</v>
      </c>
      <c r="Y50" s="50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</row>
    <row r="51" spans="1:41" ht="15" customHeight="1" thickBot="1" x14ac:dyDescent="0.25">
      <c r="A51" s="57">
        <v>48</v>
      </c>
      <c r="B51" s="71">
        <f>Hakemler!B51</f>
        <v>0</v>
      </c>
      <c r="C51" s="133">
        <f>Hakemler!C51</f>
        <v>0</v>
      </c>
      <c r="D51" s="60"/>
      <c r="E51" s="55">
        <f>IF(D51=Uzman_D!$B$24,1,0)</f>
        <v>0</v>
      </c>
      <c r="F51" s="60"/>
      <c r="G51" s="55">
        <f>IF(F51=Uzman_D!$B$25,1,0)</f>
        <v>0</v>
      </c>
      <c r="H51" s="60"/>
      <c r="I51" s="55">
        <f>IF(H51=Uzman_D!$B$26,1,0)</f>
        <v>0</v>
      </c>
      <c r="J51" s="60"/>
      <c r="K51" s="55">
        <f>IF(J51=Uzman_D!$B$27,1,0)</f>
        <v>0</v>
      </c>
      <c r="L51" s="60"/>
      <c r="M51" s="55">
        <f>IF(L51=Uzman_D!$B$28,1,0)</f>
        <v>0</v>
      </c>
      <c r="N51" s="60"/>
      <c r="O51" s="55">
        <f>IF(N51=Uzman_D!$B$29,1,0)</f>
        <v>1</v>
      </c>
      <c r="P51" s="60"/>
      <c r="Q51" s="55">
        <f>IF(P51=Uzman_D!$B$30,1,0)</f>
        <v>1</v>
      </c>
      <c r="R51" s="60"/>
      <c r="S51" s="55">
        <f>IF(R51=Uzman_D!$B$31,1,0)</f>
        <v>1</v>
      </c>
      <c r="T51" s="60"/>
      <c r="U51" s="55">
        <f>IF(T51=Uzman_D!$B$32,1,0)</f>
        <v>1</v>
      </c>
      <c r="V51" s="60"/>
      <c r="W51" s="55">
        <f>IF(V51=Uzman_D!$B$33,1,0)</f>
        <v>1</v>
      </c>
      <c r="X51" s="56">
        <f t="shared" si="0"/>
        <v>0.5</v>
      </c>
      <c r="Y51" s="50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</row>
    <row r="52" spans="1:41" ht="15" customHeight="1" thickBot="1" x14ac:dyDescent="0.25">
      <c r="A52" s="57">
        <v>49</v>
      </c>
      <c r="B52" s="131">
        <f>Hakemler!B52</f>
        <v>0</v>
      </c>
      <c r="C52" s="132">
        <f>Hakemler!C52</f>
        <v>0</v>
      </c>
      <c r="D52" s="60"/>
      <c r="E52" s="55">
        <f>IF(D52=Uzman_D!$B$24,1,0)</f>
        <v>0</v>
      </c>
      <c r="F52" s="60"/>
      <c r="G52" s="55">
        <f>IF(F52=Uzman_D!$B$25,1,0)</f>
        <v>0</v>
      </c>
      <c r="H52" s="60"/>
      <c r="I52" s="55">
        <f>IF(H52=Uzman_D!$B$26,1,0)</f>
        <v>0</v>
      </c>
      <c r="J52" s="60"/>
      <c r="K52" s="55">
        <f>IF(J52=Uzman_D!$B$27,1,0)</f>
        <v>0</v>
      </c>
      <c r="L52" s="60"/>
      <c r="M52" s="55">
        <f>IF(L52=Uzman_D!$B$28,1,0)</f>
        <v>0</v>
      </c>
      <c r="N52" s="60"/>
      <c r="O52" s="55">
        <f>IF(N52=Uzman_D!$B$29,1,0)</f>
        <v>1</v>
      </c>
      <c r="P52" s="60"/>
      <c r="Q52" s="55">
        <f>IF(P52=Uzman_D!$B$30,1,0)</f>
        <v>1</v>
      </c>
      <c r="R52" s="60"/>
      <c r="S52" s="55">
        <f>IF(R52=Uzman_D!$B$31,1,0)</f>
        <v>1</v>
      </c>
      <c r="T52" s="60"/>
      <c r="U52" s="55">
        <f>IF(T52=Uzman_D!$B$32,1,0)</f>
        <v>1</v>
      </c>
      <c r="V52" s="60"/>
      <c r="W52" s="55">
        <f>IF(V52=Uzman_D!$B$33,1,0)</f>
        <v>1</v>
      </c>
      <c r="X52" s="56">
        <f t="shared" si="0"/>
        <v>0.5</v>
      </c>
      <c r="Y52" s="50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</row>
    <row r="53" spans="1:41" ht="15" customHeight="1" thickBot="1" x14ac:dyDescent="0.25">
      <c r="A53" s="57">
        <v>50</v>
      </c>
      <c r="B53" s="131">
        <f>Hakemler!B53</f>
        <v>0</v>
      </c>
      <c r="C53" s="132">
        <f>Hakemler!C53</f>
        <v>0</v>
      </c>
      <c r="D53" s="60"/>
      <c r="E53" s="55">
        <f>IF(D53=Uzman_D!$B$24,1,0)</f>
        <v>0</v>
      </c>
      <c r="F53" s="60"/>
      <c r="G53" s="55">
        <f>IF(F53=Uzman_D!$B$25,1,0)</f>
        <v>0</v>
      </c>
      <c r="H53" s="60"/>
      <c r="I53" s="55">
        <f>IF(H53=Uzman_D!$B$26,1,0)</f>
        <v>0</v>
      </c>
      <c r="J53" s="60"/>
      <c r="K53" s="55">
        <f>IF(J53=Uzman_D!$B$27,1,0)</f>
        <v>0</v>
      </c>
      <c r="L53" s="60"/>
      <c r="M53" s="55">
        <f>IF(L53=Uzman_D!$B$28,1,0)</f>
        <v>0</v>
      </c>
      <c r="N53" s="60"/>
      <c r="O53" s="55">
        <f>IF(N53=Uzman_D!$B$29,1,0)</f>
        <v>1</v>
      </c>
      <c r="P53" s="60"/>
      <c r="Q53" s="55">
        <f>IF(P53=Uzman_D!$B$30,1,0)</f>
        <v>1</v>
      </c>
      <c r="R53" s="60"/>
      <c r="S53" s="55">
        <f>IF(R53=Uzman_D!$B$31,1,0)</f>
        <v>1</v>
      </c>
      <c r="T53" s="60"/>
      <c r="U53" s="55">
        <f>IF(T53=Uzman_D!$B$32,1,0)</f>
        <v>1</v>
      </c>
      <c r="V53" s="60"/>
      <c r="W53" s="55">
        <f>IF(V53=Uzman_D!$B$33,1,0)</f>
        <v>1</v>
      </c>
      <c r="X53" s="56">
        <f t="shared" si="0"/>
        <v>0.5</v>
      </c>
      <c r="Y53" s="50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</row>
    <row r="54" spans="1:41" ht="15" customHeight="1" thickBot="1" x14ac:dyDescent="0.25">
      <c r="A54" s="57">
        <v>51</v>
      </c>
      <c r="B54" s="71">
        <f>Hakemler!B54</f>
        <v>0</v>
      </c>
      <c r="C54" s="133">
        <f>Hakemler!C54</f>
        <v>0</v>
      </c>
      <c r="D54" s="60"/>
      <c r="E54" s="55">
        <f>IF(D54=Uzman_D!$B$24,1,0)</f>
        <v>0</v>
      </c>
      <c r="F54" s="60"/>
      <c r="G54" s="55">
        <f>IF(F54=Uzman_D!$B$25,1,0)</f>
        <v>0</v>
      </c>
      <c r="H54" s="60"/>
      <c r="I54" s="55">
        <f>IF(H54=Uzman_D!$B$26,1,0)</f>
        <v>0</v>
      </c>
      <c r="J54" s="60"/>
      <c r="K54" s="55">
        <f>IF(J54=Uzman_D!$B$27,1,0)</f>
        <v>0</v>
      </c>
      <c r="L54" s="60"/>
      <c r="M54" s="55">
        <f>IF(L54=Uzman_D!$B$28,1,0)</f>
        <v>0</v>
      </c>
      <c r="N54" s="60"/>
      <c r="O54" s="55">
        <f>IF(N54=Uzman_D!$B$29,1,0)</f>
        <v>1</v>
      </c>
      <c r="P54" s="60"/>
      <c r="Q54" s="55">
        <f>IF(P54=Uzman_D!$B$30,1,0)</f>
        <v>1</v>
      </c>
      <c r="R54" s="60"/>
      <c r="S54" s="55">
        <f>IF(R54=Uzman_D!$B$31,1,0)</f>
        <v>1</v>
      </c>
      <c r="T54" s="60"/>
      <c r="U54" s="55">
        <f>IF(T54=Uzman_D!$B$32,1,0)</f>
        <v>1</v>
      </c>
      <c r="V54" s="60"/>
      <c r="W54" s="55">
        <f>IF(V54=Uzman_D!$B$33,1,0)</f>
        <v>1</v>
      </c>
      <c r="X54" s="56">
        <f t="shared" si="0"/>
        <v>0.5</v>
      </c>
      <c r="Y54" s="50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</row>
    <row r="55" spans="1:41" ht="15" customHeight="1" thickBot="1" x14ac:dyDescent="0.25">
      <c r="A55" s="57">
        <v>52</v>
      </c>
      <c r="B55" s="71">
        <f>Hakemler!B55</f>
        <v>0</v>
      </c>
      <c r="C55" s="133">
        <f>Hakemler!C55</f>
        <v>0</v>
      </c>
      <c r="D55" s="60"/>
      <c r="E55" s="55">
        <f>IF(D55=Uzman_D!$B$24,1,0)</f>
        <v>0</v>
      </c>
      <c r="F55" s="60"/>
      <c r="G55" s="55">
        <f>IF(F55=Uzman_D!$B$25,1,0)</f>
        <v>0</v>
      </c>
      <c r="H55" s="60"/>
      <c r="I55" s="55">
        <f>IF(H55=Uzman_D!$B$26,1,0)</f>
        <v>0</v>
      </c>
      <c r="J55" s="60"/>
      <c r="K55" s="55">
        <f>IF(J55=Uzman_D!$B$27,1,0)</f>
        <v>0</v>
      </c>
      <c r="L55" s="60"/>
      <c r="M55" s="55">
        <f>IF(L55=Uzman_D!$B$28,1,0)</f>
        <v>0</v>
      </c>
      <c r="N55" s="60"/>
      <c r="O55" s="55">
        <f>IF(N55=Uzman_D!$B$29,1,0)</f>
        <v>1</v>
      </c>
      <c r="P55" s="60"/>
      <c r="Q55" s="55">
        <f>IF(P55=Uzman_D!$B$30,1,0)</f>
        <v>1</v>
      </c>
      <c r="R55" s="60"/>
      <c r="S55" s="55">
        <f>IF(R55=Uzman_D!$B$31,1,0)</f>
        <v>1</v>
      </c>
      <c r="T55" s="60"/>
      <c r="U55" s="55">
        <f>IF(T55=Uzman_D!$B$32,1,0)</f>
        <v>1</v>
      </c>
      <c r="V55" s="60"/>
      <c r="W55" s="55">
        <f>IF(V55=Uzman_D!$B$33,1,0)</f>
        <v>1</v>
      </c>
      <c r="X55" s="56">
        <f t="shared" si="0"/>
        <v>0.5</v>
      </c>
      <c r="Y55" s="50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</row>
    <row r="56" spans="1:41" ht="15" customHeight="1" thickBot="1" x14ac:dyDescent="0.25">
      <c r="A56" s="57">
        <v>53</v>
      </c>
      <c r="B56" s="71">
        <f>Hakemler!B56</f>
        <v>0</v>
      </c>
      <c r="C56" s="132">
        <f>Hakemler!C56</f>
        <v>0</v>
      </c>
      <c r="D56" s="60"/>
      <c r="E56" s="55">
        <f>IF(D56=Uzman_D!$B$24,1,0)</f>
        <v>0</v>
      </c>
      <c r="F56" s="60"/>
      <c r="G56" s="55">
        <f>IF(F56=Uzman_D!$B$25,1,0)</f>
        <v>0</v>
      </c>
      <c r="H56" s="60"/>
      <c r="I56" s="55">
        <f>IF(H56=Uzman_D!$B$26,1,0)</f>
        <v>0</v>
      </c>
      <c r="J56" s="60"/>
      <c r="K56" s="55">
        <f>IF(J56=Uzman_D!$B$27,1,0)</f>
        <v>0</v>
      </c>
      <c r="L56" s="60"/>
      <c r="M56" s="55">
        <f>IF(L56=Uzman_D!$B$28,1,0)</f>
        <v>0</v>
      </c>
      <c r="N56" s="60"/>
      <c r="O56" s="55">
        <f>IF(N56=Uzman_D!$B$29,1,0)</f>
        <v>1</v>
      </c>
      <c r="P56" s="60"/>
      <c r="Q56" s="55">
        <f>IF(P56=Uzman_D!$B$30,1,0)</f>
        <v>1</v>
      </c>
      <c r="R56" s="60"/>
      <c r="S56" s="55">
        <f>IF(R56=Uzman_D!$B$31,1,0)</f>
        <v>1</v>
      </c>
      <c r="T56" s="60"/>
      <c r="U56" s="55">
        <f>IF(T56=Uzman_D!$B$32,1,0)</f>
        <v>1</v>
      </c>
      <c r="V56" s="60"/>
      <c r="W56" s="55">
        <f>IF(V56=Uzman_D!$B$33,1,0)</f>
        <v>1</v>
      </c>
      <c r="X56" s="56">
        <f t="shared" si="0"/>
        <v>0.5</v>
      </c>
      <c r="Y56" s="50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</row>
    <row r="57" spans="1:41" ht="15" customHeight="1" thickBot="1" x14ac:dyDescent="0.25">
      <c r="A57" s="57">
        <v>54</v>
      </c>
      <c r="B57" s="131">
        <f>Hakemler!B57</f>
        <v>0</v>
      </c>
      <c r="C57" s="132">
        <f>Hakemler!C57</f>
        <v>0</v>
      </c>
      <c r="D57" s="60"/>
      <c r="E57" s="55">
        <f>IF(D57=Uzman_D!$B$24,1,0)</f>
        <v>0</v>
      </c>
      <c r="F57" s="60"/>
      <c r="G57" s="55">
        <f>IF(F57=Uzman_D!$B$25,1,0)</f>
        <v>0</v>
      </c>
      <c r="H57" s="60"/>
      <c r="I57" s="55">
        <f>IF(H57=Uzman_D!$B$26,1,0)</f>
        <v>0</v>
      </c>
      <c r="J57" s="60"/>
      <c r="K57" s="55">
        <f>IF(J57=Uzman_D!$B$27,1,0)</f>
        <v>0</v>
      </c>
      <c r="L57" s="60"/>
      <c r="M57" s="55">
        <f>IF(L57=Uzman_D!$B$28,1,0)</f>
        <v>0</v>
      </c>
      <c r="N57" s="60"/>
      <c r="O57" s="55">
        <f>IF(N57=Uzman_D!$B$29,1,0)</f>
        <v>1</v>
      </c>
      <c r="P57" s="60"/>
      <c r="Q57" s="55">
        <f>IF(P57=Uzman_D!$B$30,1,0)</f>
        <v>1</v>
      </c>
      <c r="R57" s="60"/>
      <c r="S57" s="55">
        <f>IF(R57=Uzman_D!$B$31,1,0)</f>
        <v>1</v>
      </c>
      <c r="T57" s="60"/>
      <c r="U57" s="55">
        <f>IF(T57=Uzman_D!$B$32,1,0)</f>
        <v>1</v>
      </c>
      <c r="V57" s="60"/>
      <c r="W57" s="55">
        <f>IF(V57=Uzman_D!$B$33,1,0)</f>
        <v>1</v>
      </c>
      <c r="X57" s="56">
        <f t="shared" si="0"/>
        <v>0.5</v>
      </c>
      <c r="Y57" s="50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</row>
    <row r="58" spans="1:41" ht="15" customHeight="1" thickBot="1" x14ac:dyDescent="0.25">
      <c r="A58" s="57">
        <v>55</v>
      </c>
      <c r="B58" s="71">
        <f>Hakemler!B58</f>
        <v>0</v>
      </c>
      <c r="C58" s="133">
        <f>Hakemler!C58</f>
        <v>0</v>
      </c>
      <c r="D58" s="60"/>
      <c r="E58" s="55">
        <f>IF(D58=Uzman_D!$B$24,1,0)</f>
        <v>0</v>
      </c>
      <c r="F58" s="60"/>
      <c r="G58" s="55">
        <f>IF(F58=Uzman_D!$B$25,1,0)</f>
        <v>0</v>
      </c>
      <c r="H58" s="60"/>
      <c r="I58" s="55">
        <f>IF(H58=Uzman_D!$B$26,1,0)</f>
        <v>0</v>
      </c>
      <c r="J58" s="60"/>
      <c r="K58" s="55">
        <f>IF(J58=Uzman_D!$B$27,1,0)</f>
        <v>0</v>
      </c>
      <c r="L58" s="60"/>
      <c r="M58" s="55">
        <f>IF(L58=Uzman_D!$B$28,1,0)</f>
        <v>0</v>
      </c>
      <c r="N58" s="60"/>
      <c r="O58" s="55">
        <f>IF(N58=Uzman_D!$B$29,1,0)</f>
        <v>1</v>
      </c>
      <c r="P58" s="60"/>
      <c r="Q58" s="55">
        <f>IF(P58=Uzman_D!$B$30,1,0)</f>
        <v>1</v>
      </c>
      <c r="R58" s="60"/>
      <c r="S58" s="55">
        <f>IF(R58=Uzman_D!$B$31,1,0)</f>
        <v>1</v>
      </c>
      <c r="T58" s="60"/>
      <c r="U58" s="55">
        <f>IF(T58=Uzman_D!$B$32,1,0)</f>
        <v>1</v>
      </c>
      <c r="V58" s="60"/>
      <c r="W58" s="55">
        <f>IF(V58=Uzman_D!$B$33,1,0)</f>
        <v>1</v>
      </c>
      <c r="X58" s="56">
        <f t="shared" si="0"/>
        <v>0.5</v>
      </c>
      <c r="Y58" s="50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</row>
    <row r="59" spans="1:41" ht="15" customHeight="1" thickBot="1" x14ac:dyDescent="0.25">
      <c r="A59" s="57">
        <v>56</v>
      </c>
      <c r="B59" s="131">
        <f>Hakemler!B59</f>
        <v>0</v>
      </c>
      <c r="C59" s="132">
        <f>Hakemler!C59</f>
        <v>0</v>
      </c>
      <c r="D59" s="60"/>
      <c r="E59" s="55">
        <f>IF(D59=Uzman_D!$B$24,1,0)</f>
        <v>0</v>
      </c>
      <c r="F59" s="60"/>
      <c r="G59" s="55">
        <f>IF(F59=Uzman_D!$B$25,1,0)</f>
        <v>0</v>
      </c>
      <c r="H59" s="60"/>
      <c r="I59" s="55">
        <f>IF(H59=Uzman_D!$B$26,1,0)</f>
        <v>0</v>
      </c>
      <c r="J59" s="60"/>
      <c r="K59" s="55">
        <f>IF(J59=Uzman_D!$B$27,1,0)</f>
        <v>0</v>
      </c>
      <c r="L59" s="60"/>
      <c r="M59" s="55">
        <f>IF(L59=Uzman_D!$B$28,1,0)</f>
        <v>0</v>
      </c>
      <c r="N59" s="60"/>
      <c r="O59" s="55">
        <f>IF(N59=Uzman_D!$B$29,1,0)</f>
        <v>1</v>
      </c>
      <c r="P59" s="60"/>
      <c r="Q59" s="55">
        <f>IF(P59=Uzman_D!$B$30,1,0)</f>
        <v>1</v>
      </c>
      <c r="R59" s="60"/>
      <c r="S59" s="55">
        <f>IF(R59=Uzman_D!$B$31,1,0)</f>
        <v>1</v>
      </c>
      <c r="T59" s="60"/>
      <c r="U59" s="55">
        <f>IF(T59=Uzman_D!$B$32,1,0)</f>
        <v>1</v>
      </c>
      <c r="V59" s="60"/>
      <c r="W59" s="55">
        <f>IF(V59=Uzman_D!$B$33,1,0)</f>
        <v>1</v>
      </c>
      <c r="X59" s="56">
        <f t="shared" si="0"/>
        <v>0.5</v>
      </c>
      <c r="Y59" s="50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</row>
    <row r="60" spans="1:41" ht="15" customHeight="1" thickBot="1" x14ac:dyDescent="0.25">
      <c r="A60" s="57">
        <v>57</v>
      </c>
      <c r="B60" s="71">
        <f>Hakemler!B60</f>
        <v>0</v>
      </c>
      <c r="C60" s="133">
        <f>Hakemler!C60</f>
        <v>0</v>
      </c>
      <c r="D60" s="60"/>
      <c r="E60" s="55">
        <f>IF(D60=Uzman_D!$B$24,1,0)</f>
        <v>0</v>
      </c>
      <c r="F60" s="60"/>
      <c r="G60" s="55">
        <f>IF(F60=Uzman_D!$B$25,1,0)</f>
        <v>0</v>
      </c>
      <c r="H60" s="60"/>
      <c r="I60" s="55">
        <f>IF(H60=Uzman_D!$B$26,1,0)</f>
        <v>0</v>
      </c>
      <c r="J60" s="60"/>
      <c r="K60" s="55">
        <f>IF(J60=Uzman_D!$B$27,1,0)</f>
        <v>0</v>
      </c>
      <c r="L60" s="60"/>
      <c r="M60" s="55">
        <f>IF(L60=Uzman_D!$B$28,1,0)</f>
        <v>0</v>
      </c>
      <c r="N60" s="60"/>
      <c r="O60" s="55">
        <f>IF(N60=Uzman_D!$B$29,1,0)</f>
        <v>1</v>
      </c>
      <c r="P60" s="60"/>
      <c r="Q60" s="55">
        <f>IF(P60=Uzman_D!$B$30,1,0)</f>
        <v>1</v>
      </c>
      <c r="R60" s="60"/>
      <c r="S60" s="55">
        <f>IF(R60=Uzman_D!$B$31,1,0)</f>
        <v>1</v>
      </c>
      <c r="T60" s="60"/>
      <c r="U60" s="55">
        <f>IF(T60=Uzman_D!$B$32,1,0)</f>
        <v>1</v>
      </c>
      <c r="V60" s="60"/>
      <c r="W60" s="55">
        <f>IF(V60=Uzman_D!$B$33,1,0)</f>
        <v>1</v>
      </c>
      <c r="X60" s="56">
        <f t="shared" si="0"/>
        <v>0.5</v>
      </c>
      <c r="Y60" s="50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</row>
    <row r="61" spans="1:41" ht="15" customHeight="1" thickBot="1" x14ac:dyDescent="0.25">
      <c r="A61" s="57">
        <v>58</v>
      </c>
      <c r="B61" s="131">
        <f>Hakemler!B61</f>
        <v>0</v>
      </c>
      <c r="C61" s="132">
        <f>Hakemler!C61</f>
        <v>0</v>
      </c>
      <c r="D61" s="60"/>
      <c r="E61" s="55">
        <f>IF(D61=Uzman_D!$B$24,1,0)</f>
        <v>0</v>
      </c>
      <c r="F61" s="60"/>
      <c r="G61" s="55">
        <f>IF(F61=Uzman_D!$B$25,1,0)</f>
        <v>0</v>
      </c>
      <c r="H61" s="60"/>
      <c r="I61" s="55">
        <f>IF(H61=Uzman_D!$B$26,1,0)</f>
        <v>0</v>
      </c>
      <c r="J61" s="60"/>
      <c r="K61" s="55">
        <f>IF(J61=Uzman_D!$B$27,1,0)</f>
        <v>0</v>
      </c>
      <c r="L61" s="60"/>
      <c r="M61" s="55">
        <f>IF(L61=Uzman_D!$B$28,1,0)</f>
        <v>0</v>
      </c>
      <c r="N61" s="60"/>
      <c r="O61" s="55">
        <f>IF(N61=Uzman_D!$B$29,1,0)</f>
        <v>1</v>
      </c>
      <c r="P61" s="60"/>
      <c r="Q61" s="55">
        <f>IF(P61=Uzman_D!$B$30,1,0)</f>
        <v>1</v>
      </c>
      <c r="R61" s="60"/>
      <c r="S61" s="55">
        <f>IF(R61=Uzman_D!$B$31,1,0)</f>
        <v>1</v>
      </c>
      <c r="T61" s="60"/>
      <c r="U61" s="55">
        <f>IF(T61=Uzman_D!$B$32,1,0)</f>
        <v>1</v>
      </c>
      <c r="V61" s="60"/>
      <c r="W61" s="55">
        <f>IF(V61=Uzman_D!$B$33,1,0)</f>
        <v>1</v>
      </c>
      <c r="X61" s="56">
        <f t="shared" si="0"/>
        <v>0.5</v>
      </c>
      <c r="Y61" s="50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</row>
    <row r="62" spans="1:41" ht="15" customHeight="1" thickBot="1" x14ac:dyDescent="0.25">
      <c r="A62" s="57">
        <v>59</v>
      </c>
      <c r="B62" s="131">
        <f>Hakemler!B62</f>
        <v>0</v>
      </c>
      <c r="C62" s="132">
        <f>Hakemler!C62</f>
        <v>0</v>
      </c>
      <c r="D62" s="60"/>
      <c r="E62" s="55">
        <f>IF(D62=Uzman_D!$B$24,1,0)</f>
        <v>0</v>
      </c>
      <c r="F62" s="60"/>
      <c r="G62" s="55">
        <f>IF(F62=Uzman_D!$B$25,1,0)</f>
        <v>0</v>
      </c>
      <c r="H62" s="60"/>
      <c r="I62" s="55">
        <f>IF(H62=Uzman_D!$B$26,1,0)</f>
        <v>0</v>
      </c>
      <c r="J62" s="60"/>
      <c r="K62" s="55">
        <f>IF(J62=Uzman_D!$B$27,1,0)</f>
        <v>0</v>
      </c>
      <c r="L62" s="60"/>
      <c r="M62" s="55">
        <f>IF(L62=Uzman_D!$B$28,1,0)</f>
        <v>0</v>
      </c>
      <c r="N62" s="60"/>
      <c r="O62" s="55">
        <f>IF(N62=Uzman_D!$B$29,1,0)</f>
        <v>1</v>
      </c>
      <c r="P62" s="60"/>
      <c r="Q62" s="55">
        <f>IF(P62=Uzman_D!$B$30,1,0)</f>
        <v>1</v>
      </c>
      <c r="R62" s="60"/>
      <c r="S62" s="55">
        <f>IF(R62=Uzman_D!$B$31,1,0)</f>
        <v>1</v>
      </c>
      <c r="T62" s="60"/>
      <c r="U62" s="55">
        <f>IF(T62=Uzman_D!$B$32,1,0)</f>
        <v>1</v>
      </c>
      <c r="V62" s="60"/>
      <c r="W62" s="55">
        <f>IF(V62=Uzman_D!$B$33,1,0)</f>
        <v>1</v>
      </c>
      <c r="X62" s="56">
        <f t="shared" si="0"/>
        <v>0.5</v>
      </c>
      <c r="Y62" s="50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</row>
    <row r="63" spans="1:41" ht="15" customHeight="1" thickBot="1" x14ac:dyDescent="0.25">
      <c r="A63" s="57">
        <v>60</v>
      </c>
      <c r="B63" s="131">
        <f>Hakemler!B63</f>
        <v>0</v>
      </c>
      <c r="C63" s="132">
        <f>Hakemler!C63</f>
        <v>0</v>
      </c>
      <c r="D63" s="60"/>
      <c r="E63" s="55">
        <f>IF(D63=Uzman_D!$B$24,1,0)</f>
        <v>0</v>
      </c>
      <c r="F63" s="60"/>
      <c r="G63" s="55">
        <f>IF(F63=Uzman_D!$B$25,1,0)</f>
        <v>0</v>
      </c>
      <c r="H63" s="60"/>
      <c r="I63" s="55">
        <f>IF(H63=Uzman_D!$B$26,1,0)</f>
        <v>0</v>
      </c>
      <c r="J63" s="60"/>
      <c r="K63" s="55">
        <f>IF(J63=Uzman_D!$B$27,1,0)</f>
        <v>0</v>
      </c>
      <c r="L63" s="60"/>
      <c r="M63" s="55">
        <f>IF(L63=Uzman_D!$B$28,1,0)</f>
        <v>0</v>
      </c>
      <c r="N63" s="60"/>
      <c r="O63" s="55">
        <f>IF(N63=Uzman_D!$B$29,1,0)</f>
        <v>1</v>
      </c>
      <c r="P63" s="60"/>
      <c r="Q63" s="55">
        <f>IF(P63=Uzman_D!$B$30,1,0)</f>
        <v>1</v>
      </c>
      <c r="R63" s="60"/>
      <c r="S63" s="55">
        <f>IF(R63=Uzman_D!$B$31,1,0)</f>
        <v>1</v>
      </c>
      <c r="T63" s="60"/>
      <c r="U63" s="55">
        <f>IF(T63=Uzman_D!$B$32,1,0)</f>
        <v>1</v>
      </c>
      <c r="V63" s="60"/>
      <c r="W63" s="55">
        <f>IF(V63=Uzman_D!$B$33,1,0)</f>
        <v>1</v>
      </c>
      <c r="X63" s="56">
        <f t="shared" si="0"/>
        <v>0.5</v>
      </c>
      <c r="Y63" s="50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</row>
    <row r="64" spans="1:41" ht="15" customHeight="1" thickBot="1" x14ac:dyDescent="0.25">
      <c r="A64" s="57">
        <v>61</v>
      </c>
      <c r="B64" s="131">
        <f>Hakemler!B64</f>
        <v>0</v>
      </c>
      <c r="C64" s="132">
        <f>Hakemler!C64</f>
        <v>0</v>
      </c>
      <c r="D64" s="60"/>
      <c r="E64" s="55">
        <f>IF(D64=Uzman_D!$B$24,1,0)</f>
        <v>0</v>
      </c>
      <c r="F64" s="60"/>
      <c r="G64" s="55">
        <f>IF(F64=Uzman_D!$B$25,1,0)</f>
        <v>0</v>
      </c>
      <c r="H64" s="60"/>
      <c r="I64" s="55">
        <f>IF(H64=Uzman_D!$B$26,1,0)</f>
        <v>0</v>
      </c>
      <c r="J64" s="60"/>
      <c r="K64" s="55">
        <f>IF(J64=Uzman_D!$B$27,1,0)</f>
        <v>0</v>
      </c>
      <c r="L64" s="60"/>
      <c r="M64" s="55">
        <f>IF(L64=Uzman_D!$B$28,1,0)</f>
        <v>0</v>
      </c>
      <c r="N64" s="60"/>
      <c r="O64" s="55">
        <f>IF(N64=Uzman_D!$B$29,1,0)</f>
        <v>1</v>
      </c>
      <c r="P64" s="60"/>
      <c r="Q64" s="55">
        <f>IF(P64=Uzman_D!$B$30,1,0)</f>
        <v>1</v>
      </c>
      <c r="R64" s="60"/>
      <c r="S64" s="55">
        <f>IF(R64=Uzman_D!$B$31,1,0)</f>
        <v>1</v>
      </c>
      <c r="T64" s="60"/>
      <c r="U64" s="55">
        <f>IF(T64=Uzman_D!$B$32,1,0)</f>
        <v>1</v>
      </c>
      <c r="V64" s="60"/>
      <c r="W64" s="55">
        <f>IF(V64=Uzman_D!$B$33,1,0)</f>
        <v>1</v>
      </c>
      <c r="X64" s="56">
        <f t="shared" si="0"/>
        <v>0.5</v>
      </c>
      <c r="Y64" s="50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</row>
    <row r="65" spans="1:41" ht="15" customHeight="1" thickBot="1" x14ac:dyDescent="0.25">
      <c r="A65" s="57">
        <v>62</v>
      </c>
      <c r="B65" s="131">
        <f>Hakemler!B65</f>
        <v>0</v>
      </c>
      <c r="C65" s="132">
        <f>Hakemler!C65</f>
        <v>0</v>
      </c>
      <c r="D65" s="60"/>
      <c r="E65" s="55">
        <f>IF(D65=Uzman_D!$B$24,1,0)</f>
        <v>0</v>
      </c>
      <c r="F65" s="60"/>
      <c r="G65" s="55">
        <f>IF(F65=Uzman_D!$B$25,1,0)</f>
        <v>0</v>
      </c>
      <c r="H65" s="60"/>
      <c r="I65" s="55">
        <f>IF(H65=Uzman_D!$B$26,1,0)</f>
        <v>0</v>
      </c>
      <c r="J65" s="60"/>
      <c r="K65" s="55">
        <f>IF(J65=Uzman_D!$B$27,1,0)</f>
        <v>0</v>
      </c>
      <c r="L65" s="60"/>
      <c r="M65" s="55">
        <f>IF(L65=Uzman_D!$B$28,1,0)</f>
        <v>0</v>
      </c>
      <c r="N65" s="60"/>
      <c r="O65" s="55">
        <f>IF(N65=Uzman_D!$B$29,1,0)</f>
        <v>1</v>
      </c>
      <c r="P65" s="60"/>
      <c r="Q65" s="55">
        <f>IF(P65=Uzman_D!$B$30,1,0)</f>
        <v>1</v>
      </c>
      <c r="R65" s="60"/>
      <c r="S65" s="55">
        <f>IF(R65=Uzman_D!$B$31,1,0)</f>
        <v>1</v>
      </c>
      <c r="T65" s="60"/>
      <c r="U65" s="55">
        <f>IF(T65=Uzman_D!$B$32,1,0)</f>
        <v>1</v>
      </c>
      <c r="V65" s="60"/>
      <c r="W65" s="55">
        <f>IF(V65=Uzman_D!$B$33,1,0)</f>
        <v>1</v>
      </c>
      <c r="X65" s="56">
        <f t="shared" si="0"/>
        <v>0.5</v>
      </c>
      <c r="Y65" s="50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</row>
    <row r="66" spans="1:41" ht="15" customHeight="1" thickBot="1" x14ac:dyDescent="0.25">
      <c r="A66" s="57">
        <v>63</v>
      </c>
      <c r="B66" s="131">
        <f>Hakemler!B66</f>
        <v>0</v>
      </c>
      <c r="C66" s="132">
        <f>Hakemler!C66</f>
        <v>0</v>
      </c>
      <c r="D66" s="60"/>
      <c r="E66" s="55">
        <f>IF(D66=Uzman_D!$B$24,1,0)</f>
        <v>0</v>
      </c>
      <c r="F66" s="60"/>
      <c r="G66" s="55">
        <f>IF(F66=Uzman_D!$B$25,1,0)</f>
        <v>0</v>
      </c>
      <c r="H66" s="60"/>
      <c r="I66" s="55">
        <f>IF(H66=Uzman_D!$B$26,1,0)</f>
        <v>0</v>
      </c>
      <c r="J66" s="60"/>
      <c r="K66" s="55">
        <f>IF(J66=Uzman_D!$B$27,1,0)</f>
        <v>0</v>
      </c>
      <c r="L66" s="60"/>
      <c r="M66" s="55">
        <f>IF(L66=Uzman_D!$B$28,1,0)</f>
        <v>0</v>
      </c>
      <c r="N66" s="60"/>
      <c r="O66" s="55">
        <f>IF(N66=Uzman_D!$B$29,1,0)</f>
        <v>1</v>
      </c>
      <c r="P66" s="60"/>
      <c r="Q66" s="55">
        <f>IF(P66=Uzman_D!$B$30,1,0)</f>
        <v>1</v>
      </c>
      <c r="R66" s="60"/>
      <c r="S66" s="55">
        <f>IF(R66=Uzman_D!$B$31,1,0)</f>
        <v>1</v>
      </c>
      <c r="T66" s="60"/>
      <c r="U66" s="55">
        <f>IF(T66=Uzman_D!$B$32,1,0)</f>
        <v>1</v>
      </c>
      <c r="V66" s="60"/>
      <c r="W66" s="55">
        <f>IF(V66=Uzman_D!$B$33,1,0)</f>
        <v>1</v>
      </c>
      <c r="X66" s="56">
        <f t="shared" si="0"/>
        <v>0.5</v>
      </c>
      <c r="Y66" s="50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</row>
    <row r="67" spans="1:41" ht="15" customHeight="1" thickBot="1" x14ac:dyDescent="0.25">
      <c r="A67" s="57">
        <v>64</v>
      </c>
      <c r="B67" s="71">
        <f>Hakemler!B67</f>
        <v>0</v>
      </c>
      <c r="C67" s="133">
        <f>Hakemler!C67</f>
        <v>0</v>
      </c>
      <c r="D67" s="60"/>
      <c r="E67" s="55">
        <f>IF(D67=Uzman_D!$B$24,1,0)</f>
        <v>0</v>
      </c>
      <c r="F67" s="60"/>
      <c r="G67" s="55">
        <f>IF(F67=Uzman_D!$B$25,1,0)</f>
        <v>0</v>
      </c>
      <c r="H67" s="60"/>
      <c r="I67" s="55">
        <f>IF(H67=Uzman_D!$B$26,1,0)</f>
        <v>0</v>
      </c>
      <c r="J67" s="60"/>
      <c r="K67" s="55">
        <f>IF(J67=Uzman_D!$B$27,1,0)</f>
        <v>0</v>
      </c>
      <c r="L67" s="60"/>
      <c r="M67" s="55">
        <f>IF(L67=Uzman_D!$B$28,1,0)</f>
        <v>0</v>
      </c>
      <c r="N67" s="60"/>
      <c r="O67" s="55">
        <f>IF(N67=Uzman_D!$B$29,1,0)</f>
        <v>1</v>
      </c>
      <c r="P67" s="60"/>
      <c r="Q67" s="55">
        <f>IF(P67=Uzman_D!$B$30,1,0)</f>
        <v>1</v>
      </c>
      <c r="R67" s="60"/>
      <c r="S67" s="55">
        <f>IF(R67=Uzman_D!$B$31,1,0)</f>
        <v>1</v>
      </c>
      <c r="T67" s="60"/>
      <c r="U67" s="55">
        <f>IF(T67=Uzman_D!$B$32,1,0)</f>
        <v>1</v>
      </c>
      <c r="V67" s="60"/>
      <c r="W67" s="55">
        <f>IF(V67=Uzman_D!$B$33,1,0)</f>
        <v>1</v>
      </c>
      <c r="X67" s="56">
        <f t="shared" si="0"/>
        <v>0.5</v>
      </c>
      <c r="Y67" s="50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</row>
    <row r="68" spans="1:41" ht="15" customHeight="1" thickBot="1" x14ac:dyDescent="0.25">
      <c r="A68" s="57">
        <v>65</v>
      </c>
      <c r="B68" s="71">
        <f>Hakemler!B68</f>
        <v>0</v>
      </c>
      <c r="C68" s="133">
        <f>Hakemler!C68</f>
        <v>0</v>
      </c>
      <c r="D68" s="60"/>
      <c r="E68" s="55">
        <f>IF(D68=Uzman_D!$B$24,1,0)</f>
        <v>0</v>
      </c>
      <c r="F68" s="60"/>
      <c r="G68" s="55">
        <f>IF(F68=Uzman_D!$B$25,1,0)</f>
        <v>0</v>
      </c>
      <c r="H68" s="60"/>
      <c r="I68" s="55">
        <f>IF(H68=Uzman_D!$B$26,1,0)</f>
        <v>0</v>
      </c>
      <c r="J68" s="60"/>
      <c r="K68" s="55">
        <f>IF(J68=Uzman_D!$B$27,1,0)</f>
        <v>0</v>
      </c>
      <c r="L68" s="60"/>
      <c r="M68" s="55">
        <f>IF(L68=Uzman_D!$B$28,1,0)</f>
        <v>0</v>
      </c>
      <c r="N68" s="60"/>
      <c r="O68" s="55">
        <f>IF(N68=Uzman_D!$B$29,1,0)</f>
        <v>1</v>
      </c>
      <c r="P68" s="60"/>
      <c r="Q68" s="55">
        <f>IF(P68=Uzman_D!$B$30,1,0)</f>
        <v>1</v>
      </c>
      <c r="R68" s="60"/>
      <c r="S68" s="55">
        <f>IF(R68=Uzman_D!$B$31,1,0)</f>
        <v>1</v>
      </c>
      <c r="T68" s="60"/>
      <c r="U68" s="55">
        <f>IF(T68=Uzman_D!$B$32,1,0)</f>
        <v>1</v>
      </c>
      <c r="V68" s="60"/>
      <c r="W68" s="55">
        <f>IF(V68=Uzman_D!$B$33,1,0)</f>
        <v>1</v>
      </c>
      <c r="X68" s="56">
        <f t="shared" si="0"/>
        <v>0.5</v>
      </c>
      <c r="Y68" s="50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</row>
    <row r="69" spans="1:41" ht="15" customHeight="1" thickBot="1" x14ac:dyDescent="0.25">
      <c r="A69" s="57">
        <v>66</v>
      </c>
      <c r="B69" s="71">
        <f>Hakemler!B69</f>
        <v>0</v>
      </c>
      <c r="C69" s="133">
        <f>Hakemler!C69</f>
        <v>0</v>
      </c>
      <c r="D69" s="60"/>
      <c r="E69" s="55">
        <f>IF(D69=Uzman_D!$B$24,1,0)</f>
        <v>0</v>
      </c>
      <c r="F69" s="60"/>
      <c r="G69" s="55">
        <f>IF(F69=Uzman_D!$B$25,1,0)</f>
        <v>0</v>
      </c>
      <c r="H69" s="60"/>
      <c r="I69" s="55">
        <f>IF(H69=Uzman_D!$B$26,1,0)</f>
        <v>0</v>
      </c>
      <c r="J69" s="60"/>
      <c r="K69" s="55">
        <f>IF(J69=Uzman_D!$B$27,1,0)</f>
        <v>0</v>
      </c>
      <c r="L69" s="60"/>
      <c r="M69" s="55">
        <f>IF(L69=Uzman_D!$B$28,1,0)</f>
        <v>0</v>
      </c>
      <c r="N69" s="60"/>
      <c r="O69" s="55">
        <f>IF(N69=Uzman_D!$B$29,1,0)</f>
        <v>1</v>
      </c>
      <c r="P69" s="60"/>
      <c r="Q69" s="55">
        <f>IF(P69=Uzman_D!$B$30,1,0)</f>
        <v>1</v>
      </c>
      <c r="R69" s="60"/>
      <c r="S69" s="55">
        <f>IF(R69=Uzman_D!$B$31,1,0)</f>
        <v>1</v>
      </c>
      <c r="T69" s="60"/>
      <c r="U69" s="55">
        <f>IF(T69=Uzman_D!$B$32,1,0)</f>
        <v>1</v>
      </c>
      <c r="V69" s="60"/>
      <c r="W69" s="55">
        <f>IF(V69=Uzman_D!$B$33,1,0)</f>
        <v>1</v>
      </c>
      <c r="X69" s="56">
        <f t="shared" ref="X69:X103" si="1">(E69+G69+I69+K69+M69+O69+Q69+S69+U69+W69)/10</f>
        <v>0.5</v>
      </c>
      <c r="Y69" s="50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</row>
    <row r="70" spans="1:41" ht="15" customHeight="1" thickBot="1" x14ac:dyDescent="0.25">
      <c r="A70" s="57">
        <v>67</v>
      </c>
      <c r="B70" s="71">
        <f>Hakemler!B70</f>
        <v>0</v>
      </c>
      <c r="C70" s="133">
        <f>Hakemler!C70</f>
        <v>0</v>
      </c>
      <c r="D70" s="60"/>
      <c r="E70" s="55">
        <f>IF(D70=Uzman_D!$B$24,1,0)</f>
        <v>0</v>
      </c>
      <c r="F70" s="60"/>
      <c r="G70" s="55">
        <f>IF(F70=Uzman_D!$B$25,1,0)</f>
        <v>0</v>
      </c>
      <c r="H70" s="60"/>
      <c r="I70" s="55">
        <f>IF(H70=Uzman_D!$B$26,1,0)</f>
        <v>0</v>
      </c>
      <c r="J70" s="60"/>
      <c r="K70" s="55">
        <f>IF(J70=Uzman_D!$B$27,1,0)</f>
        <v>0</v>
      </c>
      <c r="L70" s="60"/>
      <c r="M70" s="55">
        <f>IF(L70=Uzman_D!$B$28,1,0)</f>
        <v>0</v>
      </c>
      <c r="N70" s="60"/>
      <c r="O70" s="55">
        <f>IF(N70=Uzman_D!$B$29,1,0)</f>
        <v>1</v>
      </c>
      <c r="P70" s="60"/>
      <c r="Q70" s="55">
        <f>IF(P70=Uzman_D!$B$30,1,0)</f>
        <v>1</v>
      </c>
      <c r="R70" s="60"/>
      <c r="S70" s="55">
        <f>IF(R70=Uzman_D!$B$31,1,0)</f>
        <v>1</v>
      </c>
      <c r="T70" s="60"/>
      <c r="U70" s="55">
        <f>IF(T70=Uzman_D!$B$32,1,0)</f>
        <v>1</v>
      </c>
      <c r="V70" s="60"/>
      <c r="W70" s="55">
        <f>IF(V70=Uzman_D!$B$33,1,0)</f>
        <v>1</v>
      </c>
      <c r="X70" s="56">
        <f t="shared" si="1"/>
        <v>0.5</v>
      </c>
      <c r="Y70" s="50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</row>
    <row r="71" spans="1:41" ht="15" customHeight="1" thickBot="1" x14ac:dyDescent="0.25">
      <c r="A71" s="57">
        <v>68</v>
      </c>
      <c r="B71" s="71">
        <f>Hakemler!B71</f>
        <v>0</v>
      </c>
      <c r="C71" s="133">
        <f>Hakemler!C71</f>
        <v>0</v>
      </c>
      <c r="D71" s="60"/>
      <c r="E71" s="55">
        <f>IF(D71=Uzman_D!$B$24,1,0)</f>
        <v>0</v>
      </c>
      <c r="F71" s="60"/>
      <c r="G71" s="55">
        <f>IF(F71=Uzman_D!$B$25,1,0)</f>
        <v>0</v>
      </c>
      <c r="H71" s="60"/>
      <c r="I71" s="55">
        <f>IF(H71=Uzman_D!$B$26,1,0)</f>
        <v>0</v>
      </c>
      <c r="J71" s="60"/>
      <c r="K71" s="55">
        <f>IF(J71=Uzman_D!$B$27,1,0)</f>
        <v>0</v>
      </c>
      <c r="L71" s="60"/>
      <c r="M71" s="55">
        <f>IF(L71=Uzman_D!$B$28,1,0)</f>
        <v>0</v>
      </c>
      <c r="N71" s="60"/>
      <c r="O71" s="55">
        <f>IF(N71=Uzman_D!$B$29,1,0)</f>
        <v>1</v>
      </c>
      <c r="P71" s="60"/>
      <c r="Q71" s="55">
        <f>IF(P71=Uzman_D!$B$30,1,0)</f>
        <v>1</v>
      </c>
      <c r="R71" s="60"/>
      <c r="S71" s="55">
        <f>IF(R71=Uzman_D!$B$31,1,0)</f>
        <v>1</v>
      </c>
      <c r="T71" s="60"/>
      <c r="U71" s="55">
        <f>IF(T71=Uzman_D!$B$32,1,0)</f>
        <v>1</v>
      </c>
      <c r="V71" s="60"/>
      <c r="W71" s="55">
        <f>IF(V71=Uzman_D!$B$33,1,0)</f>
        <v>1</v>
      </c>
      <c r="X71" s="56">
        <f t="shared" si="1"/>
        <v>0.5</v>
      </c>
      <c r="Y71" s="50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</row>
    <row r="72" spans="1:41" ht="15" customHeight="1" thickBot="1" x14ac:dyDescent="0.25">
      <c r="A72" s="57">
        <v>69</v>
      </c>
      <c r="B72" s="71">
        <f>Hakemler!B72</f>
        <v>0</v>
      </c>
      <c r="C72" s="133">
        <f>Hakemler!C72</f>
        <v>0</v>
      </c>
      <c r="D72" s="60"/>
      <c r="E72" s="55">
        <f>IF(D72=Uzman_D!$B$24,1,0)</f>
        <v>0</v>
      </c>
      <c r="F72" s="60"/>
      <c r="G72" s="55">
        <f>IF(F72=Uzman_D!$B$25,1,0)</f>
        <v>0</v>
      </c>
      <c r="H72" s="60"/>
      <c r="I72" s="55">
        <f>IF(H72=Uzman_D!$B$26,1,0)</f>
        <v>0</v>
      </c>
      <c r="J72" s="60"/>
      <c r="K72" s="55">
        <f>IF(J72=Uzman_D!$B$27,1,0)</f>
        <v>0</v>
      </c>
      <c r="L72" s="60"/>
      <c r="M72" s="55">
        <f>IF(L72=Uzman_D!$B$28,1,0)</f>
        <v>0</v>
      </c>
      <c r="N72" s="60"/>
      <c r="O72" s="55">
        <f>IF(N72=Uzman_D!$B$29,1,0)</f>
        <v>1</v>
      </c>
      <c r="P72" s="60"/>
      <c r="Q72" s="55">
        <f>IF(P72=Uzman_D!$B$30,1,0)</f>
        <v>1</v>
      </c>
      <c r="R72" s="60"/>
      <c r="S72" s="55">
        <f>IF(R72=Uzman_D!$B$31,1,0)</f>
        <v>1</v>
      </c>
      <c r="T72" s="60"/>
      <c r="U72" s="55">
        <f>IF(T72=Uzman_D!$B$32,1,0)</f>
        <v>1</v>
      </c>
      <c r="V72" s="60"/>
      <c r="W72" s="55">
        <f>IF(V72=Uzman_D!$B$33,1,0)</f>
        <v>1</v>
      </c>
      <c r="X72" s="56">
        <f t="shared" si="1"/>
        <v>0.5</v>
      </c>
      <c r="Y72" s="50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</row>
    <row r="73" spans="1:41" ht="15" customHeight="1" thickBot="1" x14ac:dyDescent="0.25">
      <c r="A73" s="57">
        <v>70</v>
      </c>
      <c r="B73" s="71">
        <f>Hakemler!B73</f>
        <v>0</v>
      </c>
      <c r="C73" s="133">
        <f>Hakemler!C73</f>
        <v>0</v>
      </c>
      <c r="D73" s="60"/>
      <c r="E73" s="55">
        <f>IF(D73=Uzman_D!$B$24,1,0)</f>
        <v>0</v>
      </c>
      <c r="F73" s="60"/>
      <c r="G73" s="55">
        <f>IF(F73=Uzman_D!$B$25,1,0)</f>
        <v>0</v>
      </c>
      <c r="H73" s="60"/>
      <c r="I73" s="55">
        <f>IF(H73=Uzman_D!$B$26,1,0)</f>
        <v>0</v>
      </c>
      <c r="J73" s="60"/>
      <c r="K73" s="55">
        <f>IF(J73=Uzman_D!$B$27,1,0)</f>
        <v>0</v>
      </c>
      <c r="L73" s="60"/>
      <c r="M73" s="55">
        <f>IF(L73=Uzman_D!$B$28,1,0)</f>
        <v>0</v>
      </c>
      <c r="N73" s="60"/>
      <c r="O73" s="55">
        <f>IF(N73=Uzman_D!$B$29,1,0)</f>
        <v>1</v>
      </c>
      <c r="P73" s="60"/>
      <c r="Q73" s="55">
        <f>IF(P73=Uzman_D!$B$30,1,0)</f>
        <v>1</v>
      </c>
      <c r="R73" s="60"/>
      <c r="S73" s="55">
        <f>IF(R73=Uzman_D!$B$31,1,0)</f>
        <v>1</v>
      </c>
      <c r="T73" s="60"/>
      <c r="U73" s="55">
        <f>IF(T73=Uzman_D!$B$32,1,0)</f>
        <v>1</v>
      </c>
      <c r="V73" s="60"/>
      <c r="W73" s="55">
        <f>IF(V73=Uzman_D!$B$33,1,0)</f>
        <v>1</v>
      </c>
      <c r="X73" s="56">
        <f t="shared" si="1"/>
        <v>0.5</v>
      </c>
      <c r="Y73" s="50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</row>
    <row r="74" spans="1:41" ht="15" customHeight="1" thickBot="1" x14ac:dyDescent="0.25">
      <c r="A74" s="57">
        <v>71</v>
      </c>
      <c r="B74" s="71">
        <f>Hakemler!B74</f>
        <v>0</v>
      </c>
      <c r="C74" s="133">
        <f>Hakemler!C74</f>
        <v>0</v>
      </c>
      <c r="D74" s="60"/>
      <c r="E74" s="55">
        <f>IF(D74=Uzman_D!$B$24,1,0)</f>
        <v>0</v>
      </c>
      <c r="F74" s="60"/>
      <c r="G74" s="55">
        <f>IF(F74=Uzman_D!$B$25,1,0)</f>
        <v>0</v>
      </c>
      <c r="H74" s="60"/>
      <c r="I74" s="55">
        <f>IF(H74=Uzman_D!$B$26,1,0)</f>
        <v>0</v>
      </c>
      <c r="J74" s="60"/>
      <c r="K74" s="55">
        <f>IF(J74=Uzman_D!$B$27,1,0)</f>
        <v>0</v>
      </c>
      <c r="L74" s="60"/>
      <c r="M74" s="55">
        <f>IF(L74=Uzman_D!$B$28,1,0)</f>
        <v>0</v>
      </c>
      <c r="N74" s="60"/>
      <c r="O74" s="55">
        <f>IF(N74=Uzman_D!$B$29,1,0)</f>
        <v>1</v>
      </c>
      <c r="P74" s="60"/>
      <c r="Q74" s="55">
        <f>IF(P74=Uzman_D!$B$30,1,0)</f>
        <v>1</v>
      </c>
      <c r="R74" s="60"/>
      <c r="S74" s="55">
        <f>IF(R74=Uzman_D!$B$31,1,0)</f>
        <v>1</v>
      </c>
      <c r="T74" s="60"/>
      <c r="U74" s="55">
        <f>IF(T74=Uzman_D!$B$32,1,0)</f>
        <v>1</v>
      </c>
      <c r="V74" s="60"/>
      <c r="W74" s="55">
        <f>IF(V74=Uzman_D!$B$33,1,0)</f>
        <v>1</v>
      </c>
      <c r="X74" s="56">
        <f t="shared" si="1"/>
        <v>0.5</v>
      </c>
      <c r="Y74" s="50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</row>
    <row r="75" spans="1:41" ht="15" customHeight="1" thickBot="1" x14ac:dyDescent="0.25">
      <c r="A75" s="57">
        <v>72</v>
      </c>
      <c r="B75" s="71">
        <f>Hakemler!B75</f>
        <v>0</v>
      </c>
      <c r="C75" s="133">
        <f>Hakemler!C75</f>
        <v>0</v>
      </c>
      <c r="D75" s="60"/>
      <c r="E75" s="55">
        <f>IF(D75=Uzman_D!$B$24,1,0)</f>
        <v>0</v>
      </c>
      <c r="F75" s="60"/>
      <c r="G75" s="55">
        <f>IF(F75=Uzman_D!$B$25,1,0)</f>
        <v>0</v>
      </c>
      <c r="H75" s="60"/>
      <c r="I75" s="55">
        <f>IF(H75=Uzman_D!$B$26,1,0)</f>
        <v>0</v>
      </c>
      <c r="J75" s="60"/>
      <c r="K75" s="55">
        <f>IF(J75=Uzman_D!$B$27,1,0)</f>
        <v>0</v>
      </c>
      <c r="L75" s="60"/>
      <c r="M75" s="55">
        <f>IF(L75=Uzman_D!$B$28,1,0)</f>
        <v>0</v>
      </c>
      <c r="N75" s="60"/>
      <c r="O75" s="55">
        <f>IF(N75=Uzman_D!$B$29,1,0)</f>
        <v>1</v>
      </c>
      <c r="P75" s="60"/>
      <c r="Q75" s="55">
        <f>IF(P75=Uzman_D!$B$30,1,0)</f>
        <v>1</v>
      </c>
      <c r="R75" s="60"/>
      <c r="S75" s="55">
        <f>IF(R75=Uzman_D!$B$31,1,0)</f>
        <v>1</v>
      </c>
      <c r="T75" s="60"/>
      <c r="U75" s="55">
        <f>IF(T75=Uzman_D!$B$32,1,0)</f>
        <v>1</v>
      </c>
      <c r="V75" s="60"/>
      <c r="W75" s="55">
        <f>IF(V75=Uzman_D!$B$33,1,0)</f>
        <v>1</v>
      </c>
      <c r="X75" s="56">
        <f t="shared" si="1"/>
        <v>0.5</v>
      </c>
      <c r="Y75" s="50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</row>
    <row r="76" spans="1:41" ht="15" customHeight="1" thickBot="1" x14ac:dyDescent="0.25">
      <c r="A76" s="57">
        <v>73</v>
      </c>
      <c r="B76" s="71">
        <f>Hakemler!B76</f>
        <v>0</v>
      </c>
      <c r="C76" s="133">
        <f>Hakemler!C76</f>
        <v>0</v>
      </c>
      <c r="D76" s="60"/>
      <c r="E76" s="55">
        <f>IF(D76=Uzman_D!$B$24,1,0)</f>
        <v>0</v>
      </c>
      <c r="F76" s="60"/>
      <c r="G76" s="55">
        <f>IF(F76=Uzman_D!$B$25,1,0)</f>
        <v>0</v>
      </c>
      <c r="H76" s="60"/>
      <c r="I76" s="55">
        <f>IF(H76=Uzman_D!$B$26,1,0)</f>
        <v>0</v>
      </c>
      <c r="J76" s="60"/>
      <c r="K76" s="55">
        <f>IF(J76=Uzman_D!$B$27,1,0)</f>
        <v>0</v>
      </c>
      <c r="L76" s="60"/>
      <c r="M76" s="55">
        <f>IF(L76=Uzman_D!$B$28,1,0)</f>
        <v>0</v>
      </c>
      <c r="N76" s="60"/>
      <c r="O76" s="55">
        <f>IF(N76=Uzman_D!$B$29,1,0)</f>
        <v>1</v>
      </c>
      <c r="P76" s="60"/>
      <c r="Q76" s="55">
        <f>IF(P76=Uzman_D!$B$30,1,0)</f>
        <v>1</v>
      </c>
      <c r="R76" s="60"/>
      <c r="S76" s="55">
        <f>IF(R76=Uzman_D!$B$31,1,0)</f>
        <v>1</v>
      </c>
      <c r="T76" s="60"/>
      <c r="U76" s="55">
        <f>IF(T76=Uzman_D!$B$32,1,0)</f>
        <v>1</v>
      </c>
      <c r="V76" s="60"/>
      <c r="W76" s="55">
        <f>IF(V76=Uzman_D!$B$33,1,0)</f>
        <v>1</v>
      </c>
      <c r="X76" s="56">
        <f t="shared" si="1"/>
        <v>0.5</v>
      </c>
      <c r="Y76" s="50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</row>
    <row r="77" spans="1:41" ht="15" customHeight="1" thickBot="1" x14ac:dyDescent="0.25">
      <c r="A77" s="57">
        <v>74</v>
      </c>
      <c r="B77" s="71">
        <f>Hakemler!B77</f>
        <v>0</v>
      </c>
      <c r="C77" s="133">
        <f>Hakemler!C77</f>
        <v>0</v>
      </c>
      <c r="D77" s="60"/>
      <c r="E77" s="55">
        <f>IF(D77=Uzman_D!$B$24,1,0)</f>
        <v>0</v>
      </c>
      <c r="F77" s="60"/>
      <c r="G77" s="55">
        <f>IF(F77=Uzman_D!$B$25,1,0)</f>
        <v>0</v>
      </c>
      <c r="H77" s="60"/>
      <c r="I77" s="55">
        <f>IF(H77=Uzman_D!$B$26,1,0)</f>
        <v>0</v>
      </c>
      <c r="J77" s="60"/>
      <c r="K77" s="55">
        <f>IF(J77=Uzman_D!$B$27,1,0)</f>
        <v>0</v>
      </c>
      <c r="L77" s="60"/>
      <c r="M77" s="55">
        <f>IF(L77=Uzman_D!$B$28,1,0)</f>
        <v>0</v>
      </c>
      <c r="N77" s="60"/>
      <c r="O77" s="55">
        <f>IF(N77=Uzman_D!$B$29,1,0)</f>
        <v>1</v>
      </c>
      <c r="P77" s="60"/>
      <c r="Q77" s="55">
        <f>IF(P77=Uzman_D!$B$30,1,0)</f>
        <v>1</v>
      </c>
      <c r="R77" s="60"/>
      <c r="S77" s="55">
        <f>IF(R77=Uzman_D!$B$31,1,0)</f>
        <v>1</v>
      </c>
      <c r="T77" s="60"/>
      <c r="U77" s="55">
        <f>IF(T77=Uzman_D!$B$32,1,0)</f>
        <v>1</v>
      </c>
      <c r="V77" s="60"/>
      <c r="W77" s="55">
        <f>IF(V77=Uzman_D!$B$33,1,0)</f>
        <v>1</v>
      </c>
      <c r="X77" s="56">
        <f t="shared" si="1"/>
        <v>0.5</v>
      </c>
      <c r="Y77" s="50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</row>
    <row r="78" spans="1:41" ht="15" customHeight="1" thickBot="1" x14ac:dyDescent="0.25">
      <c r="A78" s="57">
        <v>75</v>
      </c>
      <c r="B78" s="71">
        <f>Hakemler!B78</f>
        <v>0</v>
      </c>
      <c r="C78" s="133">
        <f>Hakemler!C78</f>
        <v>0</v>
      </c>
      <c r="D78" s="60"/>
      <c r="E78" s="55">
        <f>IF(D78=Uzman_D!$B$24,1,0)</f>
        <v>0</v>
      </c>
      <c r="F78" s="60"/>
      <c r="G78" s="55">
        <f>IF(F78=Uzman_D!$B$25,1,0)</f>
        <v>0</v>
      </c>
      <c r="H78" s="60"/>
      <c r="I78" s="55">
        <f>IF(H78=Uzman_D!$B$26,1,0)</f>
        <v>0</v>
      </c>
      <c r="J78" s="60"/>
      <c r="K78" s="55">
        <f>IF(J78=Uzman_D!$B$27,1,0)</f>
        <v>0</v>
      </c>
      <c r="L78" s="60"/>
      <c r="M78" s="55">
        <f>IF(L78=Uzman_D!$B$28,1,0)</f>
        <v>0</v>
      </c>
      <c r="N78" s="60"/>
      <c r="O78" s="55">
        <f>IF(N78=Uzman_D!$B$29,1,0)</f>
        <v>1</v>
      </c>
      <c r="P78" s="60"/>
      <c r="Q78" s="55">
        <f>IF(P78=Uzman_D!$B$30,1,0)</f>
        <v>1</v>
      </c>
      <c r="R78" s="60"/>
      <c r="S78" s="55">
        <f>IF(R78=Uzman_D!$B$31,1,0)</f>
        <v>1</v>
      </c>
      <c r="T78" s="60"/>
      <c r="U78" s="55">
        <f>IF(T78=Uzman_D!$B$32,1,0)</f>
        <v>1</v>
      </c>
      <c r="V78" s="60"/>
      <c r="W78" s="55">
        <f>IF(V78=Uzman_D!$B$33,1,0)</f>
        <v>1</v>
      </c>
      <c r="X78" s="56">
        <f t="shared" si="1"/>
        <v>0.5</v>
      </c>
      <c r="Y78" s="50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</row>
    <row r="79" spans="1:41" ht="15" customHeight="1" thickBot="1" x14ac:dyDescent="0.25">
      <c r="A79" s="57">
        <v>76</v>
      </c>
      <c r="B79" s="71">
        <f>Hakemler!B79</f>
        <v>0</v>
      </c>
      <c r="C79" s="133">
        <f>Hakemler!C79</f>
        <v>0</v>
      </c>
      <c r="D79" s="60"/>
      <c r="E79" s="55">
        <f>IF(D79=Uzman_D!$B$24,1,0)</f>
        <v>0</v>
      </c>
      <c r="F79" s="60"/>
      <c r="G79" s="55">
        <f>IF(F79=Uzman_D!$B$25,1,0)</f>
        <v>0</v>
      </c>
      <c r="H79" s="60"/>
      <c r="I79" s="55">
        <f>IF(H79=Uzman_D!$B$26,1,0)</f>
        <v>0</v>
      </c>
      <c r="J79" s="60"/>
      <c r="K79" s="55">
        <f>IF(J79=Uzman_D!$B$27,1,0)</f>
        <v>0</v>
      </c>
      <c r="L79" s="60"/>
      <c r="M79" s="55">
        <f>IF(L79=Uzman_D!$B$28,1,0)</f>
        <v>0</v>
      </c>
      <c r="N79" s="60"/>
      <c r="O79" s="55">
        <f>IF(N79=Uzman_D!$B$29,1,0)</f>
        <v>1</v>
      </c>
      <c r="P79" s="60"/>
      <c r="Q79" s="55">
        <f>IF(P79=Uzman_D!$B$30,1,0)</f>
        <v>1</v>
      </c>
      <c r="R79" s="60"/>
      <c r="S79" s="55">
        <f>IF(R79=Uzman_D!$B$31,1,0)</f>
        <v>1</v>
      </c>
      <c r="T79" s="60"/>
      <c r="U79" s="55">
        <f>IF(T79=Uzman_D!$B$32,1,0)</f>
        <v>1</v>
      </c>
      <c r="V79" s="60"/>
      <c r="W79" s="55">
        <f>IF(V79=Uzman_D!$B$33,1,0)</f>
        <v>1</v>
      </c>
      <c r="X79" s="56">
        <f t="shared" si="1"/>
        <v>0.5</v>
      </c>
      <c r="Y79" s="50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</row>
    <row r="80" spans="1:41" ht="15" customHeight="1" thickBot="1" x14ac:dyDescent="0.25">
      <c r="A80" s="57">
        <v>77</v>
      </c>
      <c r="B80" s="71">
        <f>Hakemler!B80</f>
        <v>0</v>
      </c>
      <c r="C80" s="133">
        <f>Hakemler!C80</f>
        <v>0</v>
      </c>
      <c r="D80" s="60"/>
      <c r="E80" s="55">
        <f>IF(D80=Uzman_D!$B$24,1,0)</f>
        <v>0</v>
      </c>
      <c r="F80" s="60"/>
      <c r="G80" s="55">
        <f>IF(F80=Uzman_D!$B$25,1,0)</f>
        <v>0</v>
      </c>
      <c r="H80" s="60"/>
      <c r="I80" s="55">
        <f>IF(H80=Uzman_D!$B$26,1,0)</f>
        <v>0</v>
      </c>
      <c r="J80" s="60"/>
      <c r="K80" s="55">
        <f>IF(J80=Uzman_D!$B$27,1,0)</f>
        <v>0</v>
      </c>
      <c r="L80" s="60"/>
      <c r="M80" s="55">
        <f>IF(L80=Uzman_D!$B$28,1,0)</f>
        <v>0</v>
      </c>
      <c r="N80" s="60"/>
      <c r="O80" s="55">
        <f>IF(N80=Uzman_D!$B$29,1,0)</f>
        <v>1</v>
      </c>
      <c r="P80" s="60"/>
      <c r="Q80" s="55">
        <f>IF(P80=Uzman_D!$B$30,1,0)</f>
        <v>1</v>
      </c>
      <c r="R80" s="60"/>
      <c r="S80" s="55">
        <f>IF(R80=Uzman_D!$B$31,1,0)</f>
        <v>1</v>
      </c>
      <c r="T80" s="60"/>
      <c r="U80" s="55">
        <f>IF(T80=Uzman_D!$B$32,1,0)</f>
        <v>1</v>
      </c>
      <c r="V80" s="60"/>
      <c r="W80" s="55">
        <f>IF(V80=Uzman_D!$B$33,1,0)</f>
        <v>1</v>
      </c>
      <c r="X80" s="56">
        <f t="shared" si="1"/>
        <v>0.5</v>
      </c>
      <c r="Y80" s="50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</row>
    <row r="81" spans="1:41" ht="15" customHeight="1" thickBot="1" x14ac:dyDescent="0.25">
      <c r="A81" s="57">
        <v>78</v>
      </c>
      <c r="B81" s="71">
        <f>Hakemler!B81</f>
        <v>0</v>
      </c>
      <c r="C81" s="133">
        <f>Hakemler!C81</f>
        <v>0</v>
      </c>
      <c r="D81" s="60"/>
      <c r="E81" s="55">
        <f>IF(D81=Uzman_D!$B$24,1,0)</f>
        <v>0</v>
      </c>
      <c r="F81" s="60"/>
      <c r="G81" s="55">
        <f>IF(F81=Uzman_D!$B$25,1,0)</f>
        <v>0</v>
      </c>
      <c r="H81" s="60"/>
      <c r="I81" s="55">
        <f>IF(H81=Uzman_D!$B$26,1,0)</f>
        <v>0</v>
      </c>
      <c r="J81" s="60"/>
      <c r="K81" s="55">
        <f>IF(J81=Uzman_D!$B$27,1,0)</f>
        <v>0</v>
      </c>
      <c r="L81" s="60"/>
      <c r="M81" s="55">
        <f>IF(L81=Uzman_D!$B$28,1,0)</f>
        <v>0</v>
      </c>
      <c r="N81" s="60"/>
      <c r="O81" s="55">
        <f>IF(N81=Uzman_D!$B$29,1,0)</f>
        <v>1</v>
      </c>
      <c r="P81" s="60"/>
      <c r="Q81" s="55">
        <f>IF(P81=Uzman_D!$B$30,1,0)</f>
        <v>1</v>
      </c>
      <c r="R81" s="60"/>
      <c r="S81" s="55">
        <f>IF(R81=Uzman_D!$B$31,1,0)</f>
        <v>1</v>
      </c>
      <c r="T81" s="60"/>
      <c r="U81" s="55">
        <f>IF(T81=Uzman_D!$B$32,1,0)</f>
        <v>1</v>
      </c>
      <c r="V81" s="60"/>
      <c r="W81" s="55">
        <f>IF(V81=Uzman_D!$B$33,1,0)</f>
        <v>1</v>
      </c>
      <c r="X81" s="56">
        <f t="shared" si="1"/>
        <v>0.5</v>
      </c>
      <c r="Y81" s="50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</row>
    <row r="82" spans="1:41" ht="15" customHeight="1" thickBot="1" x14ac:dyDescent="0.25">
      <c r="A82" s="57">
        <v>79</v>
      </c>
      <c r="B82" s="71">
        <f>Hakemler!B82</f>
        <v>0</v>
      </c>
      <c r="C82" s="133">
        <f>Hakemler!C82</f>
        <v>0</v>
      </c>
      <c r="D82" s="60"/>
      <c r="E82" s="55">
        <f>IF(D82=Uzman_D!$B$24,1,0)</f>
        <v>0</v>
      </c>
      <c r="F82" s="60"/>
      <c r="G82" s="55">
        <f>IF(F82=Uzman_D!$B$25,1,0)</f>
        <v>0</v>
      </c>
      <c r="H82" s="60"/>
      <c r="I82" s="55">
        <f>IF(H82=Uzman_D!$B$26,1,0)</f>
        <v>0</v>
      </c>
      <c r="J82" s="60"/>
      <c r="K82" s="55">
        <f>IF(J82=Uzman_D!$B$27,1,0)</f>
        <v>0</v>
      </c>
      <c r="L82" s="60"/>
      <c r="M82" s="55">
        <f>IF(L82=Uzman_D!$B$28,1,0)</f>
        <v>0</v>
      </c>
      <c r="N82" s="60"/>
      <c r="O82" s="55">
        <f>IF(N82=Uzman_D!$B$29,1,0)</f>
        <v>1</v>
      </c>
      <c r="P82" s="60"/>
      <c r="Q82" s="55">
        <f>IF(P82=Uzman_D!$B$30,1,0)</f>
        <v>1</v>
      </c>
      <c r="R82" s="60"/>
      <c r="S82" s="55">
        <f>IF(R82=Uzman_D!$B$31,1,0)</f>
        <v>1</v>
      </c>
      <c r="T82" s="60"/>
      <c r="U82" s="55">
        <f>IF(T82=Uzman_D!$B$32,1,0)</f>
        <v>1</v>
      </c>
      <c r="V82" s="60"/>
      <c r="W82" s="55">
        <f>IF(V82=Uzman_D!$B$33,1,0)</f>
        <v>1</v>
      </c>
      <c r="X82" s="56">
        <f t="shared" si="1"/>
        <v>0.5</v>
      </c>
      <c r="Y82" s="50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</row>
    <row r="83" spans="1:41" ht="15" customHeight="1" thickBot="1" x14ac:dyDescent="0.25">
      <c r="A83" s="57">
        <v>80</v>
      </c>
      <c r="B83" s="71">
        <f>Hakemler!B83</f>
        <v>0</v>
      </c>
      <c r="C83" s="133">
        <f>Hakemler!C83</f>
        <v>0</v>
      </c>
      <c r="D83" s="60"/>
      <c r="E83" s="55">
        <f>IF(D83=Uzman_D!$B$24,1,0)</f>
        <v>0</v>
      </c>
      <c r="F83" s="60"/>
      <c r="G83" s="55">
        <f>IF(F83=Uzman_D!$B$25,1,0)</f>
        <v>0</v>
      </c>
      <c r="H83" s="60"/>
      <c r="I83" s="55">
        <f>IF(H83=Uzman_D!$B$26,1,0)</f>
        <v>0</v>
      </c>
      <c r="J83" s="60"/>
      <c r="K83" s="55">
        <f>IF(J83=Uzman_D!$B$27,1,0)</f>
        <v>0</v>
      </c>
      <c r="L83" s="60"/>
      <c r="M83" s="55">
        <f>IF(L83=Uzman_D!$B$28,1,0)</f>
        <v>0</v>
      </c>
      <c r="N83" s="60"/>
      <c r="O83" s="55">
        <f>IF(N83=Uzman_D!$B$29,1,0)</f>
        <v>1</v>
      </c>
      <c r="P83" s="60"/>
      <c r="Q83" s="55">
        <f>IF(P83=Uzman_D!$B$30,1,0)</f>
        <v>1</v>
      </c>
      <c r="R83" s="60"/>
      <c r="S83" s="55">
        <f>IF(R83=Uzman_D!$B$31,1,0)</f>
        <v>1</v>
      </c>
      <c r="T83" s="60"/>
      <c r="U83" s="55">
        <f>IF(T83=Uzman_D!$B$32,1,0)</f>
        <v>1</v>
      </c>
      <c r="V83" s="60"/>
      <c r="W83" s="55">
        <f>IF(V83=Uzman_D!$B$33,1,0)</f>
        <v>1</v>
      </c>
      <c r="X83" s="56">
        <f t="shared" si="1"/>
        <v>0.5</v>
      </c>
      <c r="Y83" s="50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</row>
    <row r="84" spans="1:41" ht="15" customHeight="1" thickBot="1" x14ac:dyDescent="0.25">
      <c r="A84" s="57">
        <v>81</v>
      </c>
      <c r="B84" s="71">
        <f>Hakemler!B84</f>
        <v>0</v>
      </c>
      <c r="C84" s="133">
        <f>Hakemler!C84</f>
        <v>0</v>
      </c>
      <c r="D84" s="60"/>
      <c r="E84" s="55">
        <f>IF(D84=Uzman_D!$B$24,1,0)</f>
        <v>0</v>
      </c>
      <c r="F84" s="60"/>
      <c r="G84" s="55">
        <f>IF(F84=Uzman_D!$B$25,1,0)</f>
        <v>0</v>
      </c>
      <c r="H84" s="60"/>
      <c r="I84" s="55">
        <f>IF(H84=Uzman_D!$B$26,1,0)</f>
        <v>0</v>
      </c>
      <c r="J84" s="60"/>
      <c r="K84" s="55">
        <f>IF(J84=Uzman_D!$B$27,1,0)</f>
        <v>0</v>
      </c>
      <c r="L84" s="60"/>
      <c r="M84" s="55">
        <f>IF(L84=Uzman_D!$B$28,1,0)</f>
        <v>0</v>
      </c>
      <c r="N84" s="60"/>
      <c r="O84" s="55">
        <f>IF(N84=Uzman_D!$B$29,1,0)</f>
        <v>1</v>
      </c>
      <c r="P84" s="60"/>
      <c r="Q84" s="55">
        <f>IF(P84=Uzman_D!$B$30,1,0)</f>
        <v>1</v>
      </c>
      <c r="R84" s="60"/>
      <c r="S84" s="55">
        <f>IF(R84=Uzman_D!$B$31,1,0)</f>
        <v>1</v>
      </c>
      <c r="T84" s="60"/>
      <c r="U84" s="55">
        <f>IF(T84=Uzman_D!$B$32,1,0)</f>
        <v>1</v>
      </c>
      <c r="V84" s="60"/>
      <c r="W84" s="55">
        <f>IF(V84=Uzman_D!$B$33,1,0)</f>
        <v>1</v>
      </c>
      <c r="X84" s="56">
        <f t="shared" si="1"/>
        <v>0.5</v>
      </c>
      <c r="Y84" s="50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</row>
    <row r="85" spans="1:41" ht="15" customHeight="1" thickBot="1" x14ac:dyDescent="0.25">
      <c r="A85" s="57">
        <v>82</v>
      </c>
      <c r="B85" s="71">
        <f>Hakemler!B85</f>
        <v>0</v>
      </c>
      <c r="C85" s="133">
        <f>Hakemler!C85</f>
        <v>0</v>
      </c>
      <c r="D85" s="60"/>
      <c r="E85" s="55">
        <f>IF(D85=Uzman_D!$B$24,1,0)</f>
        <v>0</v>
      </c>
      <c r="F85" s="60"/>
      <c r="G85" s="55">
        <f>IF(F85=Uzman_D!$B$25,1,0)</f>
        <v>0</v>
      </c>
      <c r="H85" s="60"/>
      <c r="I85" s="55">
        <f>IF(H85=Uzman_D!$B$26,1,0)</f>
        <v>0</v>
      </c>
      <c r="J85" s="60"/>
      <c r="K85" s="55">
        <f>IF(J85=Uzman_D!$B$27,1,0)</f>
        <v>0</v>
      </c>
      <c r="L85" s="60"/>
      <c r="M85" s="55">
        <f>IF(L85=Uzman_D!$B$28,1,0)</f>
        <v>0</v>
      </c>
      <c r="N85" s="60"/>
      <c r="O85" s="55">
        <f>IF(N85=Uzman_D!$B$29,1,0)</f>
        <v>1</v>
      </c>
      <c r="P85" s="60"/>
      <c r="Q85" s="55">
        <f>IF(P85=Uzman_D!$B$30,1,0)</f>
        <v>1</v>
      </c>
      <c r="R85" s="60"/>
      <c r="S85" s="55">
        <f>IF(R85=Uzman_D!$B$31,1,0)</f>
        <v>1</v>
      </c>
      <c r="T85" s="60"/>
      <c r="U85" s="55">
        <f>IF(T85=Uzman_D!$B$32,1,0)</f>
        <v>1</v>
      </c>
      <c r="V85" s="60"/>
      <c r="W85" s="55">
        <f>IF(V85=Uzman_D!$B$33,1,0)</f>
        <v>1</v>
      </c>
      <c r="X85" s="56">
        <f t="shared" si="1"/>
        <v>0.5</v>
      </c>
      <c r="Y85" s="50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</row>
    <row r="86" spans="1:41" ht="15" customHeight="1" thickBot="1" x14ac:dyDescent="0.25">
      <c r="A86" s="57">
        <v>83</v>
      </c>
      <c r="B86" s="71">
        <f>Hakemler!B86</f>
        <v>0</v>
      </c>
      <c r="C86" s="133">
        <f>Hakemler!C86</f>
        <v>0</v>
      </c>
      <c r="D86" s="60"/>
      <c r="E86" s="55">
        <f>IF(D86=Uzman_D!$B$24,1,0)</f>
        <v>0</v>
      </c>
      <c r="F86" s="60"/>
      <c r="G86" s="55">
        <f>IF(F86=Uzman_D!$B$25,1,0)</f>
        <v>0</v>
      </c>
      <c r="H86" s="60"/>
      <c r="I86" s="55">
        <f>IF(H86=Uzman_D!$B$26,1,0)</f>
        <v>0</v>
      </c>
      <c r="J86" s="60"/>
      <c r="K86" s="55">
        <f>IF(J86=Uzman_D!$B$27,1,0)</f>
        <v>0</v>
      </c>
      <c r="L86" s="60"/>
      <c r="M86" s="55">
        <f>IF(L86=Uzman_D!$B$28,1,0)</f>
        <v>0</v>
      </c>
      <c r="N86" s="60"/>
      <c r="O86" s="55">
        <f>IF(N86=Uzman_D!$B$29,1,0)</f>
        <v>1</v>
      </c>
      <c r="P86" s="60"/>
      <c r="Q86" s="55">
        <f>IF(P86=Uzman_D!$B$30,1,0)</f>
        <v>1</v>
      </c>
      <c r="R86" s="60"/>
      <c r="S86" s="55">
        <f>IF(R86=Uzman_D!$B$31,1,0)</f>
        <v>1</v>
      </c>
      <c r="T86" s="60"/>
      <c r="U86" s="55">
        <f>IF(T86=Uzman_D!$B$32,1,0)</f>
        <v>1</v>
      </c>
      <c r="V86" s="60"/>
      <c r="W86" s="55">
        <f>IF(V86=Uzman_D!$B$33,1,0)</f>
        <v>1</v>
      </c>
      <c r="X86" s="56">
        <f t="shared" si="1"/>
        <v>0.5</v>
      </c>
      <c r="Y86" s="50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</row>
    <row r="87" spans="1:41" ht="15" customHeight="1" thickBot="1" x14ac:dyDescent="0.25">
      <c r="A87" s="57">
        <v>84</v>
      </c>
      <c r="B87" s="71">
        <f>Hakemler!B87</f>
        <v>0</v>
      </c>
      <c r="C87" s="133">
        <f>Hakemler!C87</f>
        <v>0</v>
      </c>
      <c r="D87" s="60"/>
      <c r="E87" s="55">
        <f>IF(D87=Uzman_D!$B$24,1,0)</f>
        <v>0</v>
      </c>
      <c r="F87" s="60"/>
      <c r="G87" s="55">
        <f>IF(F87=Uzman_D!$B$25,1,0)</f>
        <v>0</v>
      </c>
      <c r="H87" s="60"/>
      <c r="I87" s="55">
        <f>IF(H87=Uzman_D!$B$26,1,0)</f>
        <v>0</v>
      </c>
      <c r="J87" s="60"/>
      <c r="K87" s="55">
        <f>IF(J87=Uzman_D!$B$27,1,0)</f>
        <v>0</v>
      </c>
      <c r="L87" s="60"/>
      <c r="M87" s="55">
        <f>IF(L87=Uzman_D!$B$28,1,0)</f>
        <v>0</v>
      </c>
      <c r="N87" s="60"/>
      <c r="O87" s="55">
        <f>IF(N87=Uzman_D!$B$29,1,0)</f>
        <v>1</v>
      </c>
      <c r="P87" s="60"/>
      <c r="Q87" s="55">
        <f>IF(P87=Uzman_D!$B$30,1,0)</f>
        <v>1</v>
      </c>
      <c r="R87" s="60"/>
      <c r="S87" s="55">
        <f>IF(R87=Uzman_D!$B$31,1,0)</f>
        <v>1</v>
      </c>
      <c r="T87" s="60"/>
      <c r="U87" s="55">
        <f>IF(T87=Uzman_D!$B$32,1,0)</f>
        <v>1</v>
      </c>
      <c r="V87" s="60"/>
      <c r="W87" s="55">
        <f>IF(V87=Uzman_D!$B$33,1,0)</f>
        <v>1</v>
      </c>
      <c r="X87" s="56">
        <f t="shared" si="1"/>
        <v>0.5</v>
      </c>
      <c r="Y87" s="50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</row>
    <row r="88" spans="1:41" ht="15" customHeight="1" thickBot="1" x14ac:dyDescent="0.25">
      <c r="A88" s="57">
        <v>85</v>
      </c>
      <c r="B88" s="71">
        <f>Hakemler!B88</f>
        <v>0</v>
      </c>
      <c r="C88" s="133">
        <f>Hakemler!C88</f>
        <v>0</v>
      </c>
      <c r="D88" s="60"/>
      <c r="E88" s="55">
        <f>IF(D88=Uzman_D!$B$24,1,0)</f>
        <v>0</v>
      </c>
      <c r="F88" s="60"/>
      <c r="G88" s="55">
        <f>IF(F88=Uzman_D!$B$25,1,0)</f>
        <v>0</v>
      </c>
      <c r="H88" s="60"/>
      <c r="I88" s="55">
        <f>IF(H88=Uzman_D!$B$26,1,0)</f>
        <v>0</v>
      </c>
      <c r="J88" s="60"/>
      <c r="K88" s="55">
        <f>IF(J88=Uzman_D!$B$27,1,0)</f>
        <v>0</v>
      </c>
      <c r="L88" s="60"/>
      <c r="M88" s="55">
        <f>IF(L88=Uzman_D!$B$28,1,0)</f>
        <v>0</v>
      </c>
      <c r="N88" s="60"/>
      <c r="O88" s="55">
        <f>IF(N88=Uzman_D!$B$29,1,0)</f>
        <v>1</v>
      </c>
      <c r="P88" s="60"/>
      <c r="Q88" s="55">
        <f>IF(P88=Uzman_D!$B$30,1,0)</f>
        <v>1</v>
      </c>
      <c r="R88" s="60"/>
      <c r="S88" s="55">
        <f>IF(R88=Uzman_D!$B$31,1,0)</f>
        <v>1</v>
      </c>
      <c r="T88" s="60"/>
      <c r="U88" s="55">
        <f>IF(T88=Uzman_D!$B$32,1,0)</f>
        <v>1</v>
      </c>
      <c r="V88" s="60"/>
      <c r="W88" s="55">
        <f>IF(V88=Uzman_D!$B$33,1,0)</f>
        <v>1</v>
      </c>
      <c r="X88" s="56">
        <f t="shared" si="1"/>
        <v>0.5</v>
      </c>
      <c r="Y88" s="50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</row>
    <row r="89" spans="1:41" ht="15" customHeight="1" thickBot="1" x14ac:dyDescent="0.25">
      <c r="A89" s="57">
        <v>86</v>
      </c>
      <c r="B89" s="71">
        <f>Hakemler!B89</f>
        <v>0</v>
      </c>
      <c r="C89" s="133">
        <f>Hakemler!C89</f>
        <v>0</v>
      </c>
      <c r="D89" s="60"/>
      <c r="E89" s="55">
        <f>IF(D89=Uzman_D!$B$24,1,0)</f>
        <v>0</v>
      </c>
      <c r="F89" s="60"/>
      <c r="G89" s="55">
        <f>IF(F89=Uzman_D!$B$25,1,0)</f>
        <v>0</v>
      </c>
      <c r="H89" s="60"/>
      <c r="I89" s="55">
        <f>IF(H89=Uzman_D!$B$26,1,0)</f>
        <v>0</v>
      </c>
      <c r="J89" s="60"/>
      <c r="K89" s="55">
        <f>IF(J89=Uzman_D!$B$27,1,0)</f>
        <v>0</v>
      </c>
      <c r="L89" s="60"/>
      <c r="M89" s="55">
        <f>IF(L89=Uzman_D!$B$28,1,0)</f>
        <v>0</v>
      </c>
      <c r="N89" s="60"/>
      <c r="O89" s="55">
        <f>IF(N89=Uzman_D!$B$29,1,0)</f>
        <v>1</v>
      </c>
      <c r="P89" s="60"/>
      <c r="Q89" s="55">
        <f>IF(P89=Uzman_D!$B$30,1,0)</f>
        <v>1</v>
      </c>
      <c r="R89" s="60"/>
      <c r="S89" s="55">
        <f>IF(R89=Uzman_D!$B$31,1,0)</f>
        <v>1</v>
      </c>
      <c r="T89" s="60"/>
      <c r="U89" s="55">
        <f>IF(T89=Uzman_D!$B$32,1,0)</f>
        <v>1</v>
      </c>
      <c r="V89" s="60"/>
      <c r="W89" s="55">
        <f>IF(V89=Uzman_D!$B$33,1,0)</f>
        <v>1</v>
      </c>
      <c r="X89" s="56">
        <f t="shared" si="1"/>
        <v>0.5</v>
      </c>
      <c r="Y89" s="50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</row>
    <row r="90" spans="1:41" ht="15" customHeight="1" thickBot="1" x14ac:dyDescent="0.25">
      <c r="A90" s="57">
        <v>87</v>
      </c>
      <c r="B90" s="71">
        <f>Hakemler!B90</f>
        <v>0</v>
      </c>
      <c r="C90" s="133">
        <f>Hakemler!C90</f>
        <v>0</v>
      </c>
      <c r="D90" s="60"/>
      <c r="E90" s="55">
        <f>IF(D90=Uzman_D!$B$24,1,0)</f>
        <v>0</v>
      </c>
      <c r="F90" s="60"/>
      <c r="G90" s="55">
        <f>IF(F90=Uzman_D!$B$25,1,0)</f>
        <v>0</v>
      </c>
      <c r="H90" s="60"/>
      <c r="I90" s="55">
        <f>IF(H90=Uzman_D!$B$26,1,0)</f>
        <v>0</v>
      </c>
      <c r="J90" s="60"/>
      <c r="K90" s="55">
        <f>IF(J90=Uzman_D!$B$27,1,0)</f>
        <v>0</v>
      </c>
      <c r="L90" s="60"/>
      <c r="M90" s="55">
        <f>IF(L90=Uzman_D!$B$28,1,0)</f>
        <v>0</v>
      </c>
      <c r="N90" s="60"/>
      <c r="O90" s="55">
        <f>IF(N90=Uzman_D!$B$29,1,0)</f>
        <v>1</v>
      </c>
      <c r="P90" s="60"/>
      <c r="Q90" s="55">
        <f>IF(P90=Uzman_D!$B$30,1,0)</f>
        <v>1</v>
      </c>
      <c r="R90" s="60"/>
      <c r="S90" s="55">
        <f>IF(R90=Uzman_D!$B$31,1,0)</f>
        <v>1</v>
      </c>
      <c r="T90" s="60"/>
      <c r="U90" s="55">
        <f>IF(T90=Uzman_D!$B$32,1,0)</f>
        <v>1</v>
      </c>
      <c r="V90" s="60"/>
      <c r="W90" s="55">
        <f>IF(V90=Uzman_D!$B$33,1,0)</f>
        <v>1</v>
      </c>
      <c r="X90" s="56">
        <f t="shared" si="1"/>
        <v>0.5</v>
      </c>
      <c r="Y90" s="50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</row>
    <row r="91" spans="1:41" ht="15" customHeight="1" thickBot="1" x14ac:dyDescent="0.25">
      <c r="A91" s="57">
        <v>88</v>
      </c>
      <c r="B91" s="71">
        <f>Hakemler!B91</f>
        <v>0</v>
      </c>
      <c r="C91" s="133">
        <f>Hakemler!C91</f>
        <v>0</v>
      </c>
      <c r="D91" s="60"/>
      <c r="E91" s="55">
        <f>IF(D91=Uzman_D!$B$24,1,0)</f>
        <v>0</v>
      </c>
      <c r="F91" s="60"/>
      <c r="G91" s="55">
        <f>IF(F91=Uzman_D!$B$25,1,0)</f>
        <v>0</v>
      </c>
      <c r="H91" s="60"/>
      <c r="I91" s="55">
        <f>IF(H91=Uzman_D!$B$26,1,0)</f>
        <v>0</v>
      </c>
      <c r="J91" s="60"/>
      <c r="K91" s="55">
        <f>IF(J91=Uzman_D!$B$27,1,0)</f>
        <v>0</v>
      </c>
      <c r="L91" s="60"/>
      <c r="M91" s="55">
        <f>IF(L91=Uzman_D!$B$28,1,0)</f>
        <v>0</v>
      </c>
      <c r="N91" s="60"/>
      <c r="O91" s="55">
        <f>IF(N91=Uzman_D!$B$29,1,0)</f>
        <v>1</v>
      </c>
      <c r="P91" s="60"/>
      <c r="Q91" s="55">
        <f>IF(P91=Uzman_D!$B$30,1,0)</f>
        <v>1</v>
      </c>
      <c r="R91" s="60"/>
      <c r="S91" s="55">
        <f>IF(R91=Uzman_D!$B$31,1,0)</f>
        <v>1</v>
      </c>
      <c r="T91" s="60"/>
      <c r="U91" s="55">
        <f>IF(T91=Uzman_D!$B$32,1,0)</f>
        <v>1</v>
      </c>
      <c r="V91" s="60"/>
      <c r="W91" s="55">
        <f>IF(V91=Uzman_D!$B$33,1,0)</f>
        <v>1</v>
      </c>
      <c r="X91" s="56">
        <f t="shared" si="1"/>
        <v>0.5</v>
      </c>
      <c r="Y91" s="50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</row>
    <row r="92" spans="1:41" ht="15" customHeight="1" thickBot="1" x14ac:dyDescent="0.25">
      <c r="A92" s="57">
        <v>89</v>
      </c>
      <c r="B92" s="71">
        <f>Hakemler!B92</f>
        <v>0</v>
      </c>
      <c r="C92" s="133">
        <f>Hakemler!C92</f>
        <v>0</v>
      </c>
      <c r="D92" s="60"/>
      <c r="E92" s="55">
        <f>IF(D92=Uzman_D!$B$24,1,0)</f>
        <v>0</v>
      </c>
      <c r="F92" s="60"/>
      <c r="G92" s="55">
        <f>IF(F92=Uzman_D!$B$25,1,0)</f>
        <v>0</v>
      </c>
      <c r="H92" s="60"/>
      <c r="I92" s="55">
        <f>IF(H92=Uzman_D!$B$26,1,0)</f>
        <v>0</v>
      </c>
      <c r="J92" s="60"/>
      <c r="K92" s="55">
        <f>IF(J92=Uzman_D!$B$27,1,0)</f>
        <v>0</v>
      </c>
      <c r="L92" s="60"/>
      <c r="M92" s="55">
        <f>IF(L92=Uzman_D!$B$28,1,0)</f>
        <v>0</v>
      </c>
      <c r="N92" s="60"/>
      <c r="O92" s="55">
        <f>IF(N92=Uzman_D!$B$29,1,0)</f>
        <v>1</v>
      </c>
      <c r="P92" s="60"/>
      <c r="Q92" s="55">
        <f>IF(P92=Uzman_D!$B$30,1,0)</f>
        <v>1</v>
      </c>
      <c r="R92" s="60"/>
      <c r="S92" s="55">
        <f>IF(R92=Uzman_D!$B$31,1,0)</f>
        <v>1</v>
      </c>
      <c r="T92" s="60"/>
      <c r="U92" s="55">
        <f>IF(T92=Uzman_D!$B$32,1,0)</f>
        <v>1</v>
      </c>
      <c r="V92" s="60"/>
      <c r="W92" s="55">
        <f>IF(V92=Uzman_D!$B$33,1,0)</f>
        <v>1</v>
      </c>
      <c r="X92" s="56">
        <f t="shared" si="1"/>
        <v>0.5</v>
      </c>
      <c r="Y92" s="50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</row>
    <row r="93" spans="1:41" ht="15" customHeight="1" thickBot="1" x14ac:dyDescent="0.25">
      <c r="A93" s="57">
        <v>90</v>
      </c>
      <c r="B93" s="71">
        <f>Hakemler!B93</f>
        <v>0</v>
      </c>
      <c r="C93" s="133">
        <f>Hakemler!C93</f>
        <v>0</v>
      </c>
      <c r="D93" s="60"/>
      <c r="E93" s="55">
        <f>IF(D93=Uzman_D!$B$24,1,0)</f>
        <v>0</v>
      </c>
      <c r="F93" s="60"/>
      <c r="G93" s="55">
        <f>IF(F93=Uzman_D!$B$25,1,0)</f>
        <v>0</v>
      </c>
      <c r="H93" s="60"/>
      <c r="I93" s="55">
        <f>IF(H93=Uzman_D!$B$26,1,0)</f>
        <v>0</v>
      </c>
      <c r="J93" s="60"/>
      <c r="K93" s="55">
        <f>IF(J93=Uzman_D!$B$27,1,0)</f>
        <v>0</v>
      </c>
      <c r="L93" s="60"/>
      <c r="M93" s="55">
        <f>IF(L93=Uzman_D!$B$28,1,0)</f>
        <v>0</v>
      </c>
      <c r="N93" s="60"/>
      <c r="O93" s="55">
        <f>IF(N93=Uzman_D!$B$29,1,0)</f>
        <v>1</v>
      </c>
      <c r="P93" s="60"/>
      <c r="Q93" s="55">
        <f>IF(P93=Uzman_D!$B$30,1,0)</f>
        <v>1</v>
      </c>
      <c r="R93" s="60"/>
      <c r="S93" s="55">
        <f>IF(R93=Uzman_D!$B$31,1,0)</f>
        <v>1</v>
      </c>
      <c r="T93" s="60"/>
      <c r="U93" s="55">
        <f>IF(T93=Uzman_D!$B$32,1,0)</f>
        <v>1</v>
      </c>
      <c r="V93" s="60"/>
      <c r="W93" s="55">
        <f>IF(V93=Uzman_D!$B$33,1,0)</f>
        <v>1</v>
      </c>
      <c r="X93" s="56">
        <f t="shared" si="1"/>
        <v>0.5</v>
      </c>
      <c r="Y93" s="50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</row>
    <row r="94" spans="1:41" ht="15" customHeight="1" thickBot="1" x14ac:dyDescent="0.25">
      <c r="A94" s="57">
        <v>91</v>
      </c>
      <c r="B94" s="71">
        <f>Hakemler!B94</f>
        <v>0</v>
      </c>
      <c r="C94" s="133">
        <f>Hakemler!C94</f>
        <v>0</v>
      </c>
      <c r="D94" s="60"/>
      <c r="E94" s="55">
        <f>IF(D94=Uzman_D!$B$24,1,0)</f>
        <v>0</v>
      </c>
      <c r="F94" s="60"/>
      <c r="G94" s="55">
        <f>IF(F94=Uzman_D!$B$25,1,0)</f>
        <v>0</v>
      </c>
      <c r="H94" s="60"/>
      <c r="I94" s="55">
        <f>IF(H94=Uzman_D!$B$26,1,0)</f>
        <v>0</v>
      </c>
      <c r="J94" s="60"/>
      <c r="K94" s="55">
        <f>IF(J94=Uzman_D!$B$27,1,0)</f>
        <v>0</v>
      </c>
      <c r="L94" s="60"/>
      <c r="M94" s="55">
        <f>IF(L94=Uzman_D!$B$28,1,0)</f>
        <v>0</v>
      </c>
      <c r="N94" s="60"/>
      <c r="O94" s="55">
        <f>IF(N94=Uzman_D!$B$29,1,0)</f>
        <v>1</v>
      </c>
      <c r="P94" s="60"/>
      <c r="Q94" s="55">
        <f>IF(P94=Uzman_D!$B$30,1,0)</f>
        <v>1</v>
      </c>
      <c r="R94" s="60"/>
      <c r="S94" s="55">
        <f>IF(R94=Uzman_D!$B$31,1,0)</f>
        <v>1</v>
      </c>
      <c r="T94" s="60"/>
      <c r="U94" s="55">
        <f>IF(T94=Uzman_D!$B$32,1,0)</f>
        <v>1</v>
      </c>
      <c r="V94" s="60"/>
      <c r="W94" s="55">
        <f>IF(V94=Uzman_D!$B$33,1,0)</f>
        <v>1</v>
      </c>
      <c r="X94" s="56">
        <f t="shared" si="1"/>
        <v>0.5</v>
      </c>
      <c r="Y94" s="50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</row>
    <row r="95" spans="1:41" ht="15" customHeight="1" thickBot="1" x14ac:dyDescent="0.25">
      <c r="A95" s="57">
        <v>92</v>
      </c>
      <c r="B95" s="71">
        <f>Hakemler!B95</f>
        <v>0</v>
      </c>
      <c r="C95" s="133">
        <f>Hakemler!C95</f>
        <v>0</v>
      </c>
      <c r="D95" s="60"/>
      <c r="E95" s="55">
        <f>IF(D95=Uzman_D!$B$24,1,0)</f>
        <v>0</v>
      </c>
      <c r="F95" s="60"/>
      <c r="G95" s="55">
        <f>IF(F95=Uzman_D!$B$25,1,0)</f>
        <v>0</v>
      </c>
      <c r="H95" s="60"/>
      <c r="I95" s="55">
        <f>IF(H95=Uzman_D!$B$26,1,0)</f>
        <v>0</v>
      </c>
      <c r="J95" s="60"/>
      <c r="K95" s="55">
        <f>IF(J95=Uzman_D!$B$27,1,0)</f>
        <v>0</v>
      </c>
      <c r="L95" s="60"/>
      <c r="M95" s="55">
        <f>IF(L95=Uzman_D!$B$28,1,0)</f>
        <v>0</v>
      </c>
      <c r="N95" s="60"/>
      <c r="O95" s="55">
        <f>IF(N95=Uzman_D!$B$29,1,0)</f>
        <v>1</v>
      </c>
      <c r="P95" s="60"/>
      <c r="Q95" s="55">
        <f>IF(P95=Uzman_D!$B$30,1,0)</f>
        <v>1</v>
      </c>
      <c r="R95" s="60"/>
      <c r="S95" s="55">
        <f>IF(R95=Uzman_D!$B$31,1,0)</f>
        <v>1</v>
      </c>
      <c r="T95" s="60"/>
      <c r="U95" s="55">
        <f>IF(T95=Uzman_D!$B$32,1,0)</f>
        <v>1</v>
      </c>
      <c r="V95" s="60"/>
      <c r="W95" s="55">
        <f>IF(V95=Uzman_D!$B$33,1,0)</f>
        <v>1</v>
      </c>
      <c r="X95" s="56">
        <f t="shared" si="1"/>
        <v>0.5</v>
      </c>
      <c r="Y95" s="50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</row>
    <row r="96" spans="1:41" ht="15" customHeight="1" thickBot="1" x14ac:dyDescent="0.25">
      <c r="A96" s="57">
        <v>93</v>
      </c>
      <c r="B96" s="71">
        <f>Hakemler!B96</f>
        <v>0</v>
      </c>
      <c r="C96" s="133">
        <f>Hakemler!C96</f>
        <v>0</v>
      </c>
      <c r="D96" s="60"/>
      <c r="E96" s="55">
        <f>IF(D96=Uzman_D!$B$24,1,0)</f>
        <v>0</v>
      </c>
      <c r="F96" s="60"/>
      <c r="G96" s="55">
        <f>IF(F96=Uzman_D!$B$25,1,0)</f>
        <v>0</v>
      </c>
      <c r="H96" s="60"/>
      <c r="I96" s="55">
        <f>IF(H96=Uzman_D!$B$26,1,0)</f>
        <v>0</v>
      </c>
      <c r="J96" s="60"/>
      <c r="K96" s="55">
        <f>IF(J96=Uzman_D!$B$27,1,0)</f>
        <v>0</v>
      </c>
      <c r="L96" s="60"/>
      <c r="M96" s="55">
        <f>IF(L96=Uzman_D!$B$28,1,0)</f>
        <v>0</v>
      </c>
      <c r="N96" s="60"/>
      <c r="O96" s="55">
        <f>IF(N96=Uzman_D!$B$29,1,0)</f>
        <v>1</v>
      </c>
      <c r="P96" s="60"/>
      <c r="Q96" s="55">
        <f>IF(P96=Uzman_D!$B$30,1,0)</f>
        <v>1</v>
      </c>
      <c r="R96" s="60"/>
      <c r="S96" s="55">
        <f>IF(R96=Uzman_D!$B$31,1,0)</f>
        <v>1</v>
      </c>
      <c r="T96" s="60"/>
      <c r="U96" s="55">
        <f>IF(T96=Uzman_D!$B$32,1,0)</f>
        <v>1</v>
      </c>
      <c r="V96" s="60"/>
      <c r="W96" s="55">
        <f>IF(V96=Uzman_D!$B$33,1,0)</f>
        <v>1</v>
      </c>
      <c r="X96" s="56">
        <f t="shared" si="1"/>
        <v>0.5</v>
      </c>
      <c r="Y96" s="50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</row>
    <row r="97" spans="1:41" ht="15" customHeight="1" thickBot="1" x14ac:dyDescent="0.25">
      <c r="A97" s="57">
        <v>94</v>
      </c>
      <c r="B97" s="71">
        <f>Hakemler!B97</f>
        <v>0</v>
      </c>
      <c r="C97" s="133">
        <f>Hakemler!C97</f>
        <v>0</v>
      </c>
      <c r="D97" s="60"/>
      <c r="E97" s="55">
        <f>IF(D97=Uzman_D!$B$24,1,0)</f>
        <v>0</v>
      </c>
      <c r="F97" s="60"/>
      <c r="G97" s="55">
        <f>IF(F97=Uzman_D!$B$25,1,0)</f>
        <v>0</v>
      </c>
      <c r="H97" s="60"/>
      <c r="I97" s="55">
        <f>IF(H97=Uzman_D!$B$26,1,0)</f>
        <v>0</v>
      </c>
      <c r="J97" s="60"/>
      <c r="K97" s="55">
        <f>IF(J97=Uzman_D!$B$27,1,0)</f>
        <v>0</v>
      </c>
      <c r="L97" s="60"/>
      <c r="M97" s="55">
        <f>IF(L97=Uzman_D!$B$28,1,0)</f>
        <v>0</v>
      </c>
      <c r="N97" s="60"/>
      <c r="O97" s="55">
        <f>IF(N97=Uzman_D!$B$29,1,0)</f>
        <v>1</v>
      </c>
      <c r="P97" s="60"/>
      <c r="Q97" s="55">
        <f>IF(P97=Uzman_D!$B$30,1,0)</f>
        <v>1</v>
      </c>
      <c r="R97" s="60"/>
      <c r="S97" s="55">
        <f>IF(R97=Uzman_D!$B$31,1,0)</f>
        <v>1</v>
      </c>
      <c r="T97" s="60"/>
      <c r="U97" s="55">
        <f>IF(T97=Uzman_D!$B$32,1,0)</f>
        <v>1</v>
      </c>
      <c r="V97" s="60"/>
      <c r="W97" s="55">
        <f>IF(V97=Uzman_D!$B$33,1,0)</f>
        <v>1</v>
      </c>
      <c r="X97" s="56">
        <f t="shared" si="1"/>
        <v>0.5</v>
      </c>
      <c r="Y97" s="50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</row>
    <row r="98" spans="1:41" ht="15" customHeight="1" thickBot="1" x14ac:dyDescent="0.25">
      <c r="A98" s="57">
        <v>95</v>
      </c>
      <c r="B98" s="71">
        <f>Hakemler!B98</f>
        <v>0</v>
      </c>
      <c r="C98" s="133">
        <f>Hakemler!C98</f>
        <v>0</v>
      </c>
      <c r="D98" s="60"/>
      <c r="E98" s="55">
        <f>IF(D98=Uzman_D!$B$24,1,0)</f>
        <v>0</v>
      </c>
      <c r="F98" s="60"/>
      <c r="G98" s="55">
        <f>IF(F98=Uzman_D!$B$25,1,0)</f>
        <v>0</v>
      </c>
      <c r="H98" s="60"/>
      <c r="I98" s="55">
        <f>IF(H98=Uzman_D!$B$26,1,0)</f>
        <v>0</v>
      </c>
      <c r="J98" s="60"/>
      <c r="K98" s="55">
        <f>IF(J98=Uzman_D!$B$27,1,0)</f>
        <v>0</v>
      </c>
      <c r="L98" s="60"/>
      <c r="M98" s="55">
        <f>IF(L98=Uzman_D!$B$28,1,0)</f>
        <v>0</v>
      </c>
      <c r="N98" s="60"/>
      <c r="O98" s="55">
        <f>IF(N98=Uzman_D!$B$29,1,0)</f>
        <v>1</v>
      </c>
      <c r="P98" s="60"/>
      <c r="Q98" s="55">
        <f>IF(P98=Uzman_D!$B$30,1,0)</f>
        <v>1</v>
      </c>
      <c r="R98" s="60"/>
      <c r="S98" s="55">
        <f>IF(R98=Uzman_D!$B$31,1,0)</f>
        <v>1</v>
      </c>
      <c r="T98" s="60"/>
      <c r="U98" s="55">
        <f>IF(T98=Uzman_D!$B$32,1,0)</f>
        <v>1</v>
      </c>
      <c r="V98" s="60"/>
      <c r="W98" s="55">
        <f>IF(V98=Uzman_D!$B$33,1,0)</f>
        <v>1</v>
      </c>
      <c r="X98" s="56">
        <f t="shared" si="1"/>
        <v>0.5</v>
      </c>
      <c r="Y98" s="50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</row>
    <row r="99" spans="1:41" ht="15" customHeight="1" thickBot="1" x14ac:dyDescent="0.25">
      <c r="A99" s="57">
        <v>96</v>
      </c>
      <c r="B99" s="71">
        <f>Hakemler!B99</f>
        <v>0</v>
      </c>
      <c r="C99" s="133">
        <f>Hakemler!C99</f>
        <v>0</v>
      </c>
      <c r="D99" s="60"/>
      <c r="E99" s="55">
        <f>IF(D99=Uzman_D!$B$24,1,0)</f>
        <v>0</v>
      </c>
      <c r="F99" s="60"/>
      <c r="G99" s="55">
        <f>IF(F99=Uzman_D!$B$25,1,0)</f>
        <v>0</v>
      </c>
      <c r="H99" s="60"/>
      <c r="I99" s="55">
        <f>IF(H99=Uzman_D!$B$26,1,0)</f>
        <v>0</v>
      </c>
      <c r="J99" s="60"/>
      <c r="K99" s="55">
        <f>IF(J99=Uzman_D!$B$27,1,0)</f>
        <v>0</v>
      </c>
      <c r="L99" s="60"/>
      <c r="M99" s="55">
        <f>IF(L99=Uzman_D!$B$28,1,0)</f>
        <v>0</v>
      </c>
      <c r="N99" s="60"/>
      <c r="O99" s="55">
        <f>IF(N99=Uzman_D!$B$29,1,0)</f>
        <v>1</v>
      </c>
      <c r="P99" s="60"/>
      <c r="Q99" s="55">
        <f>IF(P99=Uzman_D!$B$30,1,0)</f>
        <v>1</v>
      </c>
      <c r="R99" s="60"/>
      <c r="S99" s="55">
        <f>IF(R99=Uzman_D!$B$31,1,0)</f>
        <v>1</v>
      </c>
      <c r="T99" s="60"/>
      <c r="U99" s="55">
        <f>IF(T99=Uzman_D!$B$32,1,0)</f>
        <v>1</v>
      </c>
      <c r="V99" s="60"/>
      <c r="W99" s="55">
        <f>IF(V99=Uzman_D!$B$33,1,0)</f>
        <v>1</v>
      </c>
      <c r="X99" s="56">
        <f t="shared" si="1"/>
        <v>0.5</v>
      </c>
      <c r="Y99" s="50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</row>
    <row r="100" spans="1:41" ht="15" customHeight="1" thickBot="1" x14ac:dyDescent="0.25">
      <c r="A100" s="57">
        <v>97</v>
      </c>
      <c r="B100" s="71">
        <f>Hakemler!B100</f>
        <v>0</v>
      </c>
      <c r="C100" s="133">
        <f>Hakemler!C100</f>
        <v>0</v>
      </c>
      <c r="D100" s="60"/>
      <c r="E100" s="55">
        <f>IF(D100=Uzman_D!$B$24,1,0)</f>
        <v>0</v>
      </c>
      <c r="F100" s="60"/>
      <c r="G100" s="55">
        <f>IF(F100=Uzman_D!$B$25,1,0)</f>
        <v>0</v>
      </c>
      <c r="H100" s="60"/>
      <c r="I100" s="55">
        <f>IF(H100=Uzman_D!$B$26,1,0)</f>
        <v>0</v>
      </c>
      <c r="J100" s="60"/>
      <c r="K100" s="55">
        <f>IF(J100=Uzman_D!$B$27,1,0)</f>
        <v>0</v>
      </c>
      <c r="L100" s="60"/>
      <c r="M100" s="55">
        <f>IF(L100=Uzman_D!$B$28,1,0)</f>
        <v>0</v>
      </c>
      <c r="N100" s="60"/>
      <c r="O100" s="55">
        <f>IF(N100=Uzman_D!$B$29,1,0)</f>
        <v>1</v>
      </c>
      <c r="P100" s="60"/>
      <c r="Q100" s="55">
        <f>IF(P100=Uzman_D!$B$30,1,0)</f>
        <v>1</v>
      </c>
      <c r="R100" s="60"/>
      <c r="S100" s="55">
        <f>IF(R100=Uzman_D!$B$31,1,0)</f>
        <v>1</v>
      </c>
      <c r="T100" s="60"/>
      <c r="U100" s="55">
        <f>IF(T100=Uzman_D!$B$32,1,0)</f>
        <v>1</v>
      </c>
      <c r="V100" s="60"/>
      <c r="W100" s="55">
        <f>IF(V100=Uzman_D!$B$33,1,0)</f>
        <v>1</v>
      </c>
      <c r="X100" s="56">
        <f t="shared" si="1"/>
        <v>0.5</v>
      </c>
      <c r="Y100" s="50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</row>
    <row r="101" spans="1:41" ht="15" customHeight="1" thickBot="1" x14ac:dyDescent="0.25">
      <c r="A101" s="57">
        <v>98</v>
      </c>
      <c r="B101" s="71">
        <f>Hakemler!B101</f>
        <v>0</v>
      </c>
      <c r="C101" s="133">
        <f>Hakemler!C101</f>
        <v>0</v>
      </c>
      <c r="D101" s="60"/>
      <c r="E101" s="55">
        <f>IF(D101=Uzman_D!$B$24,1,0)</f>
        <v>0</v>
      </c>
      <c r="F101" s="60"/>
      <c r="G101" s="55">
        <f>IF(F101=Uzman_D!$B$25,1,0)</f>
        <v>0</v>
      </c>
      <c r="H101" s="60"/>
      <c r="I101" s="55">
        <f>IF(H101=Uzman_D!$B$26,1,0)</f>
        <v>0</v>
      </c>
      <c r="J101" s="60"/>
      <c r="K101" s="55">
        <f>IF(J101=Uzman_D!$B$27,1,0)</f>
        <v>0</v>
      </c>
      <c r="L101" s="60"/>
      <c r="M101" s="55">
        <f>IF(L101=Uzman_D!$B$28,1,0)</f>
        <v>0</v>
      </c>
      <c r="N101" s="60"/>
      <c r="O101" s="55">
        <f>IF(N101=Uzman_D!$B$29,1,0)</f>
        <v>1</v>
      </c>
      <c r="P101" s="60"/>
      <c r="Q101" s="55">
        <f>IF(P101=Uzman_D!$B$30,1,0)</f>
        <v>1</v>
      </c>
      <c r="R101" s="60"/>
      <c r="S101" s="55">
        <f>IF(R101=Uzman_D!$B$31,1,0)</f>
        <v>1</v>
      </c>
      <c r="T101" s="60"/>
      <c r="U101" s="55">
        <f>IF(T101=Uzman_D!$B$32,1,0)</f>
        <v>1</v>
      </c>
      <c r="V101" s="60"/>
      <c r="W101" s="55">
        <f>IF(V101=Uzman_D!$B$33,1,0)</f>
        <v>1</v>
      </c>
      <c r="X101" s="56">
        <f t="shared" si="1"/>
        <v>0.5</v>
      </c>
      <c r="Y101" s="50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</row>
    <row r="102" spans="1:41" ht="15" customHeight="1" thickBot="1" x14ac:dyDescent="0.25">
      <c r="A102" s="57">
        <v>99</v>
      </c>
      <c r="B102" s="71">
        <f>Hakemler!B102</f>
        <v>0</v>
      </c>
      <c r="C102" s="133">
        <f>Hakemler!C102</f>
        <v>0</v>
      </c>
      <c r="D102" s="60"/>
      <c r="E102" s="55">
        <f>IF(D102=Uzman_D!$B$24,1,0)</f>
        <v>0</v>
      </c>
      <c r="F102" s="60"/>
      <c r="G102" s="55">
        <f>IF(F102=Uzman_D!$B$25,1,0)</f>
        <v>0</v>
      </c>
      <c r="H102" s="60"/>
      <c r="I102" s="55">
        <f>IF(H102=Uzman_D!$B$26,1,0)</f>
        <v>0</v>
      </c>
      <c r="J102" s="60"/>
      <c r="K102" s="55">
        <f>IF(J102=Uzman_D!$B$27,1,0)</f>
        <v>0</v>
      </c>
      <c r="L102" s="60"/>
      <c r="M102" s="55">
        <f>IF(L102=Uzman_D!$B$28,1,0)</f>
        <v>0</v>
      </c>
      <c r="N102" s="60"/>
      <c r="O102" s="55">
        <f>IF(N102=Uzman_D!$B$29,1,0)</f>
        <v>1</v>
      </c>
      <c r="P102" s="60"/>
      <c r="Q102" s="55">
        <f>IF(P102=Uzman_D!$B$30,1,0)</f>
        <v>1</v>
      </c>
      <c r="R102" s="60"/>
      <c r="S102" s="55">
        <f>IF(R102=Uzman_D!$B$31,1,0)</f>
        <v>1</v>
      </c>
      <c r="T102" s="60"/>
      <c r="U102" s="55">
        <f>IF(T102=Uzman_D!$B$32,1,0)</f>
        <v>1</v>
      </c>
      <c r="V102" s="60"/>
      <c r="W102" s="55">
        <f>IF(V102=Uzman_D!$B$33,1,0)</f>
        <v>1</v>
      </c>
      <c r="X102" s="56">
        <f t="shared" si="1"/>
        <v>0.5</v>
      </c>
      <c r="Y102" s="50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</row>
    <row r="103" spans="1:41" ht="15" customHeight="1" x14ac:dyDescent="0.2">
      <c r="A103" s="57">
        <v>100</v>
      </c>
      <c r="B103" s="71">
        <f>Hakemler!B103</f>
        <v>0</v>
      </c>
      <c r="C103" s="133">
        <f>Hakemler!C103</f>
        <v>0</v>
      </c>
      <c r="D103" s="60"/>
      <c r="E103" s="55">
        <f>IF(D103=Uzman_D!$B$24,1,0)</f>
        <v>0</v>
      </c>
      <c r="F103" s="60"/>
      <c r="G103" s="55">
        <f>IF(F103=Uzman_D!$B$25,1,0)</f>
        <v>0</v>
      </c>
      <c r="H103" s="60"/>
      <c r="I103" s="55">
        <f>IF(H103=Uzman_D!$B$26,1,0)</f>
        <v>0</v>
      </c>
      <c r="J103" s="60"/>
      <c r="K103" s="55">
        <f>IF(J103=Uzman_D!$B$27,1,0)</f>
        <v>0</v>
      </c>
      <c r="L103" s="60"/>
      <c r="M103" s="55">
        <f>IF(L103=Uzman_D!$B$28,1,0)</f>
        <v>0</v>
      </c>
      <c r="N103" s="60"/>
      <c r="O103" s="55">
        <f>IF(N103=Uzman_D!$B$29,1,0)</f>
        <v>1</v>
      </c>
      <c r="P103" s="60"/>
      <c r="Q103" s="55">
        <f>IF(P103=Uzman_D!$B$30,1,0)</f>
        <v>1</v>
      </c>
      <c r="R103" s="60"/>
      <c r="S103" s="55">
        <f>IF(R103=Uzman_D!$B$31,1,0)</f>
        <v>1</v>
      </c>
      <c r="T103" s="60"/>
      <c r="U103" s="55">
        <f>IF(T103=Uzman_D!$B$32,1,0)</f>
        <v>1</v>
      </c>
      <c r="V103" s="60"/>
      <c r="W103" s="55">
        <f>IF(V103=Uzman_D!$B$33,1,0)</f>
        <v>1</v>
      </c>
      <c r="X103" s="56">
        <f t="shared" si="1"/>
        <v>0.5</v>
      </c>
      <c r="Y103" s="50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</row>
  </sheetData>
  <mergeCells count="14">
    <mergeCell ref="A1:X1"/>
    <mergeCell ref="N2:O2"/>
    <mergeCell ref="P2:Q2"/>
    <mergeCell ref="R2:S2"/>
    <mergeCell ref="V2:W2"/>
    <mergeCell ref="T2:U2"/>
    <mergeCell ref="L2:M2"/>
    <mergeCell ref="H2:I2"/>
    <mergeCell ref="F2:G2"/>
    <mergeCell ref="D2:E2"/>
    <mergeCell ref="A2:A3"/>
    <mergeCell ref="C2:C3"/>
    <mergeCell ref="J2:K2"/>
    <mergeCell ref="B2:B3"/>
  </mergeCells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IV103"/>
  <sheetViews>
    <sheetView showGridLines="0" workbookViewId="0">
      <selection activeCell="M22" sqref="M22"/>
    </sheetView>
  </sheetViews>
  <sheetFormatPr baseColWidth="10" defaultColWidth="8.83203125" defaultRowHeight="15" customHeight="1" x14ac:dyDescent="0.2"/>
  <cols>
    <col min="1" max="1" width="3.5" style="1" customWidth="1"/>
    <col min="2" max="2" width="13.5" style="141" customWidth="1"/>
    <col min="3" max="3" width="19.1640625" style="141" customWidth="1"/>
    <col min="4" max="7" width="5.5" style="1" customWidth="1"/>
    <col min="8" max="9" width="6.6640625" style="1" bestFit="1" customWidth="1"/>
    <col min="10" max="18" width="5.5" style="1" customWidth="1"/>
    <col min="19" max="19" width="9.5" style="1" customWidth="1"/>
    <col min="20" max="256" width="8.83203125" style="1" customWidth="1"/>
  </cols>
  <sheetData>
    <row r="1" spans="1:36" ht="18.75" customHeight="1" thickBot="1" x14ac:dyDescent="0.25">
      <c r="A1" s="173" t="s">
        <v>24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5"/>
      <c r="T1" s="41"/>
      <c r="U1" s="42"/>
      <c r="V1" s="42"/>
      <c r="W1" s="42"/>
      <c r="X1" s="42"/>
      <c r="Y1" s="42"/>
      <c r="Z1" s="42"/>
      <c r="AA1" s="42"/>
      <c r="AB1" s="42"/>
      <c r="AC1" s="42"/>
      <c r="AD1" s="42"/>
      <c r="AE1" s="25"/>
      <c r="AF1" s="25"/>
      <c r="AG1" s="25"/>
      <c r="AH1" s="25"/>
      <c r="AI1" s="25"/>
      <c r="AJ1" s="25"/>
    </row>
    <row r="2" spans="1:36" ht="15.75" customHeight="1" thickBot="1" x14ac:dyDescent="0.25">
      <c r="A2" s="181" t="s">
        <v>10</v>
      </c>
      <c r="B2" s="185" t="s">
        <v>11</v>
      </c>
      <c r="C2" s="183" t="s">
        <v>12</v>
      </c>
      <c r="D2" s="180" t="s">
        <v>25</v>
      </c>
      <c r="E2" s="188"/>
      <c r="F2" s="179"/>
      <c r="G2" s="176" t="s">
        <v>26</v>
      </c>
      <c r="H2" s="187"/>
      <c r="I2" s="177"/>
      <c r="J2" s="180" t="s">
        <v>27</v>
      </c>
      <c r="K2" s="188"/>
      <c r="L2" s="179"/>
      <c r="M2" s="176" t="s">
        <v>28</v>
      </c>
      <c r="N2" s="187"/>
      <c r="O2" s="177"/>
      <c r="P2" s="176" t="s">
        <v>29</v>
      </c>
      <c r="Q2" s="187"/>
      <c r="R2" s="177"/>
      <c r="S2" s="43"/>
      <c r="T2" s="4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ht="15.75" customHeight="1" thickBot="1" x14ac:dyDescent="0.25">
      <c r="A3" s="182"/>
      <c r="B3" s="186"/>
      <c r="C3" s="184"/>
      <c r="D3" s="45" t="s">
        <v>25</v>
      </c>
      <c r="E3" s="46" t="s">
        <v>21</v>
      </c>
      <c r="F3" s="48" t="s">
        <v>22</v>
      </c>
      <c r="G3" s="45" t="s">
        <v>26</v>
      </c>
      <c r="H3" s="46" t="s">
        <v>21</v>
      </c>
      <c r="I3" s="48" t="s">
        <v>22</v>
      </c>
      <c r="J3" s="45" t="s">
        <v>27</v>
      </c>
      <c r="K3" s="46" t="s">
        <v>21</v>
      </c>
      <c r="L3" s="48" t="s">
        <v>22</v>
      </c>
      <c r="M3" s="45" t="s">
        <v>28</v>
      </c>
      <c r="N3" s="46" t="s">
        <v>21</v>
      </c>
      <c r="O3" s="48" t="s">
        <v>22</v>
      </c>
      <c r="P3" s="45" t="s">
        <v>29</v>
      </c>
      <c r="Q3" s="46" t="s">
        <v>21</v>
      </c>
      <c r="R3" s="48" t="s">
        <v>22</v>
      </c>
      <c r="S3" s="49" t="s">
        <v>23</v>
      </c>
      <c r="T3" s="50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ht="15.5" customHeight="1" thickBot="1" x14ac:dyDescent="0.25">
      <c r="A4" s="51">
        <v>1</v>
      </c>
      <c r="B4" s="135" t="str">
        <f>Hakemler!B4</f>
        <v>Yalçıner</v>
      </c>
      <c r="C4" s="136" t="str">
        <f>Hakemler!C4</f>
        <v>Yunus Emre</v>
      </c>
      <c r="D4" s="54">
        <v>2.2999999999999998</v>
      </c>
      <c r="E4" s="64">
        <f>IF(ISBLANK(D4),0,ABS(Uzman_E!A$4-D4))</f>
        <v>0.59999999999999987</v>
      </c>
      <c r="F4" s="55">
        <f>IF(ISBLANK(D4),0,INDEX(Tablo_E!$B$2:$CX$102,MATCH(ROUND(Uzman_E!A$4,1),Tablo_E!$A$2:$A$102,1),MATCH(ROUND(E4,1),Tablo_E!$B$1:$CX$1,1)))</f>
        <v>0.7</v>
      </c>
      <c r="G4" s="54">
        <v>1.2</v>
      </c>
      <c r="H4" s="64">
        <f>IF(ISBLANK(G4),0,ABS(Uzman_E!B$4-G4))</f>
        <v>0.30000000000000004</v>
      </c>
      <c r="I4" s="55">
        <f>IF(ISBLANK(G4),0,INDEX(Tablo_E!$B$2:$CX$102,MATCH(ROUND(Uzman_E!B$4,1),Tablo_E!$A$2:$A$102,1),MATCH(ROUND(H4,1),Tablo_E!$B$1:$CX$1,1)))</f>
        <v>0.9</v>
      </c>
      <c r="J4" s="54">
        <v>1.4</v>
      </c>
      <c r="K4" s="64">
        <f>IF(ISBLANK(J4),0,ABS(Uzman_E!C$4-J4))</f>
        <v>0.10000000000000009</v>
      </c>
      <c r="L4" s="55">
        <f>IF(ISBLANK(J4),0,INDEX(Tablo_E!$B$2:$CX$102,MATCH(ROUND(Uzman_E!C$4,1),Tablo_E!$A$2:$A$102,1),MATCH(ROUND(K4,1),Tablo_E!$B$1:$CX$1,1)))</f>
        <v>1</v>
      </c>
      <c r="M4" s="54">
        <v>1.7</v>
      </c>
      <c r="N4" s="64">
        <f>IF(ISBLANK(M4),0,ABS(Uzman_E!D$4-M4))</f>
        <v>0.39999999999999991</v>
      </c>
      <c r="O4" s="55">
        <f>IF(ISBLANK(M4),0,INDEX(Tablo_E!$B$2:$CX$102,MATCH(ROUND(Uzman_E!D$4,1),Tablo_E!$A$2:$A$102,1),MATCH(ROUND(N4,1),Tablo_E!$B$1:$CX$1,1)))</f>
        <v>0.8</v>
      </c>
      <c r="P4" s="54">
        <v>0.8</v>
      </c>
      <c r="Q4" s="64">
        <f>IF(ISBLANK(P4),0,ABS(Uzman_E!E$4-P4))</f>
        <v>0.19999999999999996</v>
      </c>
      <c r="R4" s="55">
        <f>IF(ISBLANK(P4),0,INDEX(Tablo_E!$B$2:$CX$102,MATCH(ROUND(Uzman_E!B$4,1),Tablo_E!$A$2:$A$102,1),MATCH(ROUND(Q4,1),Tablo_E!$B$1:$CX$1,1)))</f>
        <v>1</v>
      </c>
      <c r="S4" s="56">
        <f>(F4+I4+L4+O4+R4)/5</f>
        <v>0.88000000000000012</v>
      </c>
      <c r="T4" s="50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ht="15" customHeight="1" thickBot="1" x14ac:dyDescent="0.25">
      <c r="A5" s="57">
        <v>2</v>
      </c>
      <c r="B5" s="137" t="str">
        <f>Hakemler!B5</f>
        <v>Deneme</v>
      </c>
      <c r="C5" s="138" t="str">
        <f>Hakemler!C5</f>
        <v>Hakem</v>
      </c>
      <c r="D5" s="60">
        <v>1</v>
      </c>
      <c r="E5" s="64">
        <f>IF(ISBLANK(D5),0,ABS(Uzman_E!A$4-D5))</f>
        <v>0.7</v>
      </c>
      <c r="F5" s="55">
        <f>IF(ISBLANK(D5),0,INDEX(Tablo_E!$B$2:$CX$102,MATCH(ROUND(Uzman_E!A$4,1),Tablo_E!$A$2:$A$102,1),MATCH(ROUND(E5,1),Tablo_E!$B$1:$CX$1,1)))</f>
        <v>0.6</v>
      </c>
      <c r="G5" s="60"/>
      <c r="H5" s="64">
        <f>IF(ISBLANK(G5),0,ABS(Uzman_E!B$4-G5))</f>
        <v>0</v>
      </c>
      <c r="I5" s="55">
        <f>IF(ISBLANK(G5),0,INDEX(Tablo_E!$B$2:$CX$102,MATCH(ROUND(Uzman_E!B$4,1),Tablo_E!$A$2:$A$102,1),MATCH(ROUND(H5,1),Tablo_E!$B$1:$CX$1,1)))</f>
        <v>0</v>
      </c>
      <c r="J5" s="60"/>
      <c r="K5" s="64">
        <f>IF(ISBLANK(J5),0,ABS(Uzman_E!C$4-J5))</f>
        <v>0</v>
      </c>
      <c r="L5" s="55">
        <f>IF(ISBLANK(J5),0,INDEX(Tablo_E!$B$2:$CX$102,MATCH(ROUND(Uzman_E!C$4,1),Tablo_E!$A$2:$A$102,1),MATCH(ROUND(K5,1),Tablo_E!$B$1:$CX$1,1)))</f>
        <v>0</v>
      </c>
      <c r="M5" s="60"/>
      <c r="N5" s="64">
        <f>IF(ISBLANK(M5),0,ABS(Uzman_E!D$4-M5))</f>
        <v>0</v>
      </c>
      <c r="O5" s="55">
        <f>IF(ISBLANK(M5),0,INDEX(Tablo_E!$B$2:$CX$102,MATCH(ROUND(Uzman_E!D$4,1),Tablo_E!$A$2:$A$102,1),MATCH(ROUND(N5,1),Tablo_E!$B$1:$CX$1,1)))</f>
        <v>0</v>
      </c>
      <c r="P5" s="60">
        <v>1</v>
      </c>
      <c r="Q5" s="64">
        <f>IF(ISBLANK(P5),0,ABS(Uzman_E!E$4-P5))</f>
        <v>0</v>
      </c>
      <c r="R5" s="55">
        <f>IF(ISBLANK(P5),0,INDEX(Tablo_E!$B$2:$CX$102,MATCH(ROUND(Uzman_E!B$4,1),Tablo_E!$A$2:$A$102,1),MATCH(ROUND(Q5,1),Tablo_E!$B$1:$CX$1,1)))</f>
        <v>1</v>
      </c>
      <c r="S5" s="56">
        <f t="shared" ref="S5:S68" si="0">(F5+I5+L5+O5+R5)/5</f>
        <v>0.32</v>
      </c>
      <c r="T5" s="50"/>
      <c r="U5" s="25"/>
      <c r="V5" s="25"/>
      <c r="W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ht="15" customHeight="1" thickBot="1" x14ac:dyDescent="0.25">
      <c r="A6" s="57">
        <v>3</v>
      </c>
      <c r="B6" s="137">
        <f>Hakemler!B6</f>
        <v>0</v>
      </c>
      <c r="C6" s="138">
        <f>Hakemler!C6</f>
        <v>0</v>
      </c>
      <c r="D6" s="60"/>
      <c r="E6" s="64">
        <f>IF(ISBLANK(D6),0,ABS(Uzman_E!A$4-D6))</f>
        <v>0</v>
      </c>
      <c r="F6" s="55">
        <f>IF(ISBLANK(D6),0,INDEX(Tablo_E!$B$2:$CX$102,MATCH(ROUND(Uzman_E!A$4,1),Tablo_E!$A$2:$A$102,1),MATCH(ROUND(E6,1),Tablo_E!$B$1:$CX$1,1)))</f>
        <v>0</v>
      </c>
      <c r="G6" s="60"/>
      <c r="H6" s="64">
        <f>IF(ISBLANK(G6),0,ABS(Uzman_E!B$4-G6))</f>
        <v>0</v>
      </c>
      <c r="I6" s="55">
        <f>IF(ISBLANK(G6),0,INDEX(Tablo_E!$B$2:$CX$102,MATCH(ROUND(Uzman_E!B$4,1),Tablo_E!$A$2:$A$102,1),MATCH(ROUND(H6,1),Tablo_E!$B$1:$CX$1,1)))</f>
        <v>0</v>
      </c>
      <c r="J6" s="60">
        <v>3</v>
      </c>
      <c r="K6" s="64">
        <f>IF(ISBLANK(J6),0,ABS(Uzman_E!C$4-J6))</f>
        <v>1.5</v>
      </c>
      <c r="L6" s="55">
        <f>IF(ISBLANK(J6),0,INDEX(Tablo_E!$B$2:$CX$102,MATCH(ROUND(Uzman_E!C$4,1),Tablo_E!$A$2:$A$102,1),MATCH(ROUND(K6,1),Tablo_E!$B$1:$CX$1,1)))</f>
        <v>0</v>
      </c>
      <c r="M6" s="60"/>
      <c r="N6" s="64">
        <f>IF(ISBLANK(M6),0,ABS(Uzman_E!D$4-M6))</f>
        <v>0</v>
      </c>
      <c r="O6" s="55">
        <f>IF(ISBLANK(M6),0,INDEX(Tablo_E!$B$2:$CX$102,MATCH(ROUND(Uzman_E!D$4,1),Tablo_E!$A$2:$A$102,1),MATCH(ROUND(N6,1),Tablo_E!$B$1:$CX$1,1)))</f>
        <v>0</v>
      </c>
      <c r="P6" s="60">
        <v>1.2</v>
      </c>
      <c r="Q6" s="64">
        <f>IF(ISBLANK(P6),0,ABS(Uzman_E!E$4-P6))</f>
        <v>0.19999999999999996</v>
      </c>
      <c r="R6" s="55">
        <f>IF(ISBLANK(P6),0,INDEX(Tablo_E!$B$2:$CX$102,MATCH(ROUND(Uzman_E!B$4,1),Tablo_E!$A$2:$A$102,1),MATCH(ROUND(Q6,1),Tablo_E!$B$1:$CX$1,1)))</f>
        <v>1</v>
      </c>
      <c r="S6" s="56">
        <f t="shared" si="0"/>
        <v>0.2</v>
      </c>
      <c r="T6" s="50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6" ht="15" customHeight="1" thickBot="1" x14ac:dyDescent="0.25">
      <c r="A7" s="57">
        <v>4</v>
      </c>
      <c r="B7" s="137">
        <f>Hakemler!B7</f>
        <v>0</v>
      </c>
      <c r="C7" s="138">
        <f>Hakemler!C7</f>
        <v>0</v>
      </c>
      <c r="D7" s="60"/>
      <c r="E7" s="64">
        <f>IF(ISBLANK(D7),0,ABS(Uzman_E!A$4-D7))</f>
        <v>0</v>
      </c>
      <c r="F7" s="55">
        <f>IF(ISBLANK(D7),0,INDEX(Tablo_E!$B$2:$CX$102,MATCH(ROUND(Uzman_E!A$4,1),Tablo_E!$A$2:$A$102,1),MATCH(ROUND(E7,1),Tablo_E!$B$1:$CX$1,1)))</f>
        <v>0</v>
      </c>
      <c r="G7" s="60">
        <v>2</v>
      </c>
      <c r="H7" s="64">
        <f>IF(ISBLANK(G7),0,ABS(Uzman_E!B$4-G7))</f>
        <v>0.5</v>
      </c>
      <c r="I7" s="55">
        <f>IF(ISBLANK(G7),0,INDEX(Tablo_E!$B$2:$CX$102,MATCH(ROUND(Uzman_E!B$4,1),Tablo_E!$A$2:$A$102,1),MATCH(ROUND(H7,1),Tablo_E!$B$1:$CX$1,1)))</f>
        <v>0.7</v>
      </c>
      <c r="J7" s="60">
        <v>2</v>
      </c>
      <c r="K7" s="64">
        <f>IF(ISBLANK(J7),0,ABS(Uzman_E!C$4-J7))</f>
        <v>0.5</v>
      </c>
      <c r="L7" s="55">
        <f>IF(ISBLANK(J7),0,INDEX(Tablo_E!$B$2:$CX$102,MATCH(ROUND(Uzman_E!C$4,1),Tablo_E!$A$2:$A$102,1),MATCH(ROUND(K7,1),Tablo_E!$B$1:$CX$1,1)))</f>
        <v>0.7</v>
      </c>
      <c r="M7" s="60"/>
      <c r="N7" s="64">
        <f>IF(ISBLANK(M7),0,ABS(Uzman_E!D$4-M7))</f>
        <v>0</v>
      </c>
      <c r="O7" s="55">
        <f>IF(ISBLANK(M7),0,INDEX(Tablo_E!$B$2:$CX$102,MATCH(ROUND(Uzman_E!D$4,1),Tablo_E!$A$2:$A$102,1),MATCH(ROUND(N7,1),Tablo_E!$B$1:$CX$1,1)))</f>
        <v>0</v>
      </c>
      <c r="P7" s="60">
        <v>1.4</v>
      </c>
      <c r="Q7" s="64">
        <f>IF(ISBLANK(P7),0,ABS(Uzman_E!E$4-P7))</f>
        <v>0.39999999999999991</v>
      </c>
      <c r="R7" s="55">
        <f>IF(ISBLANK(P7),0,INDEX(Tablo_E!$B$2:$CX$102,MATCH(ROUND(Uzman_E!B$4,1),Tablo_E!$A$2:$A$102,1),MATCH(ROUND(Q7,1),Tablo_E!$B$1:$CX$1,1)))</f>
        <v>0.8</v>
      </c>
      <c r="S7" s="56">
        <f t="shared" si="0"/>
        <v>0.44000000000000006</v>
      </c>
      <c r="T7" s="50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spans="1:36" ht="15" customHeight="1" thickBot="1" x14ac:dyDescent="0.25">
      <c r="A8" s="57">
        <v>5</v>
      </c>
      <c r="B8" s="137">
        <f>Hakemler!B8</f>
        <v>0</v>
      </c>
      <c r="C8" s="138">
        <f>Hakemler!C8</f>
        <v>0</v>
      </c>
      <c r="D8" s="60"/>
      <c r="E8" s="64">
        <f>IF(ISBLANK(D8),0,ABS(Uzman_E!A$4-D8))</f>
        <v>0</v>
      </c>
      <c r="F8" s="55">
        <f>IF(ISBLANK(D8),0,INDEX(Tablo_E!$B$2:$CX$102,MATCH(ROUND(Uzman_E!A$4,1),Tablo_E!$A$2:$A$102,1),MATCH(ROUND(E8,1),Tablo_E!$B$1:$CX$1,1)))</f>
        <v>0</v>
      </c>
      <c r="G8" s="60">
        <v>1.2</v>
      </c>
      <c r="H8" s="64">
        <f>IF(ISBLANK(G8),0,ABS(Uzman_E!B$4-G8))</f>
        <v>0.30000000000000004</v>
      </c>
      <c r="I8" s="55">
        <f>IF(ISBLANK(G8),0,INDEX(Tablo_E!$B$2:$CX$102,MATCH(ROUND(Uzman_E!B$4,1),Tablo_E!$A$2:$A$102,1),MATCH(ROUND(H8,1),Tablo_E!$B$1:$CX$1,1)))</f>
        <v>0.9</v>
      </c>
      <c r="J8" s="60">
        <v>1</v>
      </c>
      <c r="K8" s="64">
        <f>IF(ISBLANK(J8),0,ABS(Uzman_E!C$4-J8))</f>
        <v>0.5</v>
      </c>
      <c r="L8" s="55">
        <f>IF(ISBLANK(J8),0,INDEX(Tablo_E!$B$2:$CX$102,MATCH(ROUND(Uzman_E!C$4,1),Tablo_E!$A$2:$A$102,1),MATCH(ROUND(K8,1),Tablo_E!$B$1:$CX$1,1)))</f>
        <v>0.7</v>
      </c>
      <c r="M8" s="60"/>
      <c r="N8" s="64">
        <f>IF(ISBLANK(M8),0,ABS(Uzman_E!D$4-M8))</f>
        <v>0</v>
      </c>
      <c r="O8" s="55">
        <f>IF(ISBLANK(M8),0,INDEX(Tablo_E!$B$2:$CX$102,MATCH(ROUND(Uzman_E!D$4,1),Tablo_E!$A$2:$A$102,1),MATCH(ROUND(N8,1),Tablo_E!$B$1:$CX$1,1)))</f>
        <v>0</v>
      </c>
      <c r="P8" s="60"/>
      <c r="Q8" s="64">
        <f>IF(ISBLANK(P8),0,ABS(Uzman_E!E$4-P8))</f>
        <v>0</v>
      </c>
      <c r="R8" s="55">
        <f>IF(ISBLANK(P8),0,INDEX(Tablo_E!$B$2:$CX$102,MATCH(ROUND(Uzman_E!B$4,1),Tablo_E!$A$2:$A$102,1),MATCH(ROUND(Q8,1),Tablo_E!$B$1:$CX$1,1)))</f>
        <v>0</v>
      </c>
      <c r="S8" s="56">
        <f t="shared" si="0"/>
        <v>0.32</v>
      </c>
      <c r="T8" s="50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 spans="1:36" ht="15" customHeight="1" thickBot="1" x14ac:dyDescent="0.25">
      <c r="A9" s="57">
        <v>6</v>
      </c>
      <c r="B9" s="137">
        <f>Hakemler!B9</f>
        <v>0</v>
      </c>
      <c r="C9" s="138">
        <f>Hakemler!C9</f>
        <v>0</v>
      </c>
      <c r="D9" s="60"/>
      <c r="E9" s="64">
        <f>IF(ISBLANK(D9),0,ABS(Uzman_E!A$4-D9))</f>
        <v>0</v>
      </c>
      <c r="F9" s="55">
        <f>IF(ISBLANK(D9),0,INDEX(Tablo_E!$B$2:$CX$102,MATCH(ROUND(Uzman_E!A$4,1),Tablo_E!$A$2:$A$102,1),MATCH(ROUND(E9,1),Tablo_E!$B$1:$CX$1,1)))</f>
        <v>0</v>
      </c>
      <c r="G9" s="60">
        <v>1</v>
      </c>
      <c r="H9" s="64">
        <f>IF(ISBLANK(G9),0,ABS(Uzman_E!B$4-G9))</f>
        <v>0.5</v>
      </c>
      <c r="I9" s="55">
        <f>IF(ISBLANK(G9),0,INDEX(Tablo_E!$B$2:$CX$102,MATCH(ROUND(Uzman_E!B$4,1),Tablo_E!$A$2:$A$102,1),MATCH(ROUND(H9,1),Tablo_E!$B$1:$CX$1,1)))</f>
        <v>0.7</v>
      </c>
      <c r="J9" s="60">
        <v>5</v>
      </c>
      <c r="K9" s="64">
        <f>IF(ISBLANK(J9),0,ABS(Uzman_E!C$4-J9))</f>
        <v>3.5</v>
      </c>
      <c r="L9" s="55">
        <f>IF(ISBLANK(J9),0,INDEX(Tablo_E!$B$2:$CX$102,MATCH(ROUND(Uzman_E!C$4,1),Tablo_E!$A$2:$A$102,1),MATCH(ROUND(K9,1),Tablo_E!$B$1:$CX$1,1)))</f>
        <v>0</v>
      </c>
      <c r="M9" s="60"/>
      <c r="N9" s="64">
        <f>IF(ISBLANK(M9),0,ABS(Uzman_E!D$4-M9))</f>
        <v>0</v>
      </c>
      <c r="O9" s="55">
        <f>IF(ISBLANK(M9),0,INDEX(Tablo_E!$B$2:$CX$102,MATCH(ROUND(Uzman_E!D$4,1),Tablo_E!$A$2:$A$102,1),MATCH(ROUND(N9,1),Tablo_E!$B$1:$CX$1,1)))</f>
        <v>0</v>
      </c>
      <c r="P9" s="60"/>
      <c r="Q9" s="64">
        <f>IF(ISBLANK(P9),0,ABS(Uzman_E!E$4-P9))</f>
        <v>0</v>
      </c>
      <c r="R9" s="55">
        <f>IF(ISBLANK(P9),0,INDEX(Tablo_E!$B$2:$CX$102,MATCH(ROUND(Uzman_E!B$4,1),Tablo_E!$A$2:$A$102,1),MATCH(ROUND(Q9,1),Tablo_E!$B$1:$CX$1,1)))</f>
        <v>0</v>
      </c>
      <c r="S9" s="56">
        <f t="shared" si="0"/>
        <v>0.13999999999999999</v>
      </c>
      <c r="T9" s="50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 spans="1:36" ht="15" customHeight="1" thickBot="1" x14ac:dyDescent="0.25">
      <c r="A10" s="57">
        <v>7</v>
      </c>
      <c r="B10" s="137">
        <f>Hakemler!B10</f>
        <v>0</v>
      </c>
      <c r="C10" s="138">
        <f>Hakemler!C10</f>
        <v>0</v>
      </c>
      <c r="D10" s="60"/>
      <c r="E10" s="64">
        <f>IF(ISBLANK(D10),0,ABS(Uzman_E!A$4-D10))</f>
        <v>0</v>
      </c>
      <c r="F10" s="55">
        <f>IF(ISBLANK(D10),0,INDEX(Tablo_E!$B$2:$CX$102,MATCH(ROUND(Uzman_E!A$4,1),Tablo_E!$A$2:$A$102,1),MATCH(ROUND(E10,1),Tablo_E!$B$1:$CX$1,1)))</f>
        <v>0</v>
      </c>
      <c r="G10" s="60">
        <v>1.5</v>
      </c>
      <c r="H10" s="64">
        <f>IF(ISBLANK(G10),0,ABS(Uzman_E!B$4-G10))</f>
        <v>0</v>
      </c>
      <c r="I10" s="55">
        <f>IF(ISBLANK(G10),0,INDEX(Tablo_E!$B$2:$CX$102,MATCH(ROUND(Uzman_E!B$4,1),Tablo_E!$A$2:$A$102,1),MATCH(ROUND(H10,1),Tablo_E!$B$1:$CX$1,1)))</f>
        <v>1</v>
      </c>
      <c r="J10" s="60">
        <v>4</v>
      </c>
      <c r="K10" s="64">
        <f>IF(ISBLANK(J10),0,ABS(Uzman_E!C$4-J10))</f>
        <v>2.5</v>
      </c>
      <c r="L10" s="55">
        <f>IF(ISBLANK(J10),0,INDEX(Tablo_E!$B$2:$CX$102,MATCH(ROUND(Uzman_E!C$4,1),Tablo_E!$A$2:$A$102,1),MATCH(ROUND(K10,1),Tablo_E!$B$1:$CX$1,1)))</f>
        <v>0</v>
      </c>
      <c r="M10" s="60"/>
      <c r="N10" s="64">
        <f>IF(ISBLANK(M10),0,ABS(Uzman_E!D$4-M10))</f>
        <v>0</v>
      </c>
      <c r="O10" s="55">
        <f>IF(ISBLANK(M10),0,INDEX(Tablo_E!$B$2:$CX$102,MATCH(ROUND(Uzman_E!D$4,1),Tablo_E!$A$2:$A$102,1),MATCH(ROUND(N10,1),Tablo_E!$B$1:$CX$1,1)))</f>
        <v>0</v>
      </c>
      <c r="P10" s="60"/>
      <c r="Q10" s="64">
        <f>IF(ISBLANK(P10),0,ABS(Uzman_E!E$4-P10))</f>
        <v>0</v>
      </c>
      <c r="R10" s="55">
        <f>IF(ISBLANK(P10),0,INDEX(Tablo_E!$B$2:$CX$102,MATCH(ROUND(Uzman_E!B$4,1),Tablo_E!$A$2:$A$102,1),MATCH(ROUND(Q10,1),Tablo_E!$B$1:$CX$1,1)))</f>
        <v>0</v>
      </c>
      <c r="S10" s="56">
        <f t="shared" si="0"/>
        <v>0.2</v>
      </c>
      <c r="T10" s="50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 spans="1:36" ht="15" customHeight="1" thickBot="1" x14ac:dyDescent="0.25">
      <c r="A11" s="57">
        <v>8</v>
      </c>
      <c r="B11" s="137">
        <f>Hakemler!B11</f>
        <v>0</v>
      </c>
      <c r="C11" s="138">
        <f>Hakemler!C11</f>
        <v>0</v>
      </c>
      <c r="D11" s="60"/>
      <c r="E11" s="64">
        <f>IF(ISBLANK(D11),0,ABS(Uzman_E!A$4-D11))</f>
        <v>0</v>
      </c>
      <c r="F11" s="55">
        <f>IF(ISBLANK(D11),0,INDEX(Tablo_E!$B$2:$CX$102,MATCH(ROUND(Uzman_E!A$4,1),Tablo_E!$A$2:$A$102,1),MATCH(ROUND(E11,1),Tablo_E!$B$1:$CX$1,1)))</f>
        <v>0</v>
      </c>
      <c r="G11" s="60"/>
      <c r="H11" s="64">
        <f>IF(ISBLANK(G11),0,ABS(Uzman_E!B$4-G11))</f>
        <v>0</v>
      </c>
      <c r="I11" s="55">
        <f>IF(ISBLANK(G11),0,INDEX(Tablo_E!$B$2:$CX$102,MATCH(ROUND(Uzman_E!B$4,1),Tablo_E!$A$2:$A$102,1),MATCH(ROUND(H11,1),Tablo_E!$B$1:$CX$1,1)))</f>
        <v>0</v>
      </c>
      <c r="J11" s="60"/>
      <c r="K11" s="64">
        <f>IF(ISBLANK(J11),0,ABS(Uzman_E!C$4-J11))</f>
        <v>0</v>
      </c>
      <c r="L11" s="55">
        <f>IF(ISBLANK(J11),0,INDEX(Tablo_E!$B$2:$CX$102,MATCH(ROUND(Uzman_E!C$4,1),Tablo_E!$A$2:$A$102,1),MATCH(ROUND(K11,1),Tablo_E!$B$1:$CX$1,1)))</f>
        <v>0</v>
      </c>
      <c r="M11" s="60"/>
      <c r="N11" s="64">
        <f>IF(ISBLANK(M11),0,ABS(Uzman_E!D$4-M11))</f>
        <v>0</v>
      </c>
      <c r="O11" s="55">
        <f>IF(ISBLANK(M11),0,INDEX(Tablo_E!$B$2:$CX$102,MATCH(ROUND(Uzman_E!D$4,1),Tablo_E!$A$2:$A$102,1),MATCH(ROUND(N11,1),Tablo_E!$B$1:$CX$1,1)))</f>
        <v>0</v>
      </c>
      <c r="P11" s="60"/>
      <c r="Q11" s="64">
        <f>IF(ISBLANK(P11),0,ABS(Uzman_E!E$4-P11))</f>
        <v>0</v>
      </c>
      <c r="R11" s="55">
        <f>IF(ISBLANK(P11),0,INDEX(Tablo_E!$B$2:$CX$102,MATCH(ROUND(Uzman_E!B$4,1),Tablo_E!$A$2:$A$102,1),MATCH(ROUND(Q11,1),Tablo_E!$B$1:$CX$1,1)))</f>
        <v>0</v>
      </c>
      <c r="S11" s="56">
        <f t="shared" si="0"/>
        <v>0</v>
      </c>
      <c r="T11" s="50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36" ht="15" customHeight="1" thickBot="1" x14ac:dyDescent="0.25">
      <c r="A12" s="57">
        <v>9</v>
      </c>
      <c r="B12" s="137">
        <f>Hakemler!B12</f>
        <v>0</v>
      </c>
      <c r="C12" s="138">
        <f>Hakemler!C12</f>
        <v>0</v>
      </c>
      <c r="D12" s="60"/>
      <c r="E12" s="64">
        <f>IF(ISBLANK(D12),0,ABS(Uzman_E!A$4-D12))</f>
        <v>0</v>
      </c>
      <c r="F12" s="55">
        <f>IF(ISBLANK(D12),0,INDEX(Tablo_E!$B$2:$CX$102,MATCH(ROUND(Uzman_E!A$4,1),Tablo_E!$A$2:$A$102,1),MATCH(ROUND(E12,1),Tablo_E!$B$1:$CX$1,1)))</f>
        <v>0</v>
      </c>
      <c r="G12" s="60"/>
      <c r="H12" s="64">
        <f>IF(ISBLANK(G12),0,ABS(Uzman_E!B$4-G12))</f>
        <v>0</v>
      </c>
      <c r="I12" s="55">
        <f>IF(ISBLANK(G12),0,INDEX(Tablo_E!$B$2:$CX$102,MATCH(ROUND(Uzman_E!B$4,1),Tablo_E!$A$2:$A$102,1),MATCH(ROUND(H12,1),Tablo_E!$B$1:$CX$1,1)))</f>
        <v>0</v>
      </c>
      <c r="J12" s="60">
        <v>3</v>
      </c>
      <c r="K12" s="64">
        <f>IF(ISBLANK(J12),0,ABS(Uzman_E!C$4-J12))</f>
        <v>1.5</v>
      </c>
      <c r="L12" s="55">
        <f>IF(ISBLANK(J12),0,INDEX(Tablo_E!$B$2:$CX$102,MATCH(ROUND(Uzman_E!C$4,1),Tablo_E!$A$2:$A$102,1),MATCH(ROUND(K12,1),Tablo_E!$B$1:$CX$1,1)))</f>
        <v>0</v>
      </c>
      <c r="M12" s="60"/>
      <c r="N12" s="64">
        <f>IF(ISBLANK(M12),0,ABS(Uzman_E!D$4-M12))</f>
        <v>0</v>
      </c>
      <c r="O12" s="55">
        <f>IF(ISBLANK(M12),0,INDEX(Tablo_E!$B$2:$CX$102,MATCH(ROUND(Uzman_E!D$4,1),Tablo_E!$A$2:$A$102,1),MATCH(ROUND(N12,1),Tablo_E!$B$1:$CX$1,1)))</f>
        <v>0</v>
      </c>
      <c r="P12" s="60"/>
      <c r="Q12" s="64">
        <f>IF(ISBLANK(P12),0,ABS(Uzman_E!E$4-P12))</f>
        <v>0</v>
      </c>
      <c r="R12" s="55">
        <f>IF(ISBLANK(P12),0,INDEX(Tablo_E!$B$2:$CX$102,MATCH(ROUND(Uzman_E!B$4,1),Tablo_E!$A$2:$A$102,1),MATCH(ROUND(Q12,1),Tablo_E!$B$1:$CX$1,1)))</f>
        <v>0</v>
      </c>
      <c r="S12" s="56">
        <f t="shared" si="0"/>
        <v>0</v>
      </c>
      <c r="T12" s="50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 spans="1:36" ht="15" customHeight="1" thickBot="1" x14ac:dyDescent="0.25">
      <c r="A13" s="57">
        <v>10</v>
      </c>
      <c r="B13" s="137">
        <f>Hakemler!B13</f>
        <v>0</v>
      </c>
      <c r="C13" s="138">
        <f>Hakemler!C13</f>
        <v>0</v>
      </c>
      <c r="D13" s="60"/>
      <c r="E13" s="64">
        <f>IF(ISBLANK(D13),0,ABS(Uzman_E!A$4-D13))</f>
        <v>0</v>
      </c>
      <c r="F13" s="55">
        <f>IF(ISBLANK(D13),0,INDEX(Tablo_E!$B$2:$CX$102,MATCH(ROUND(Uzman_E!A$4,1),Tablo_E!$A$2:$A$102,1),MATCH(ROUND(E13,1),Tablo_E!$B$1:$CX$1,1)))</f>
        <v>0</v>
      </c>
      <c r="G13" s="60"/>
      <c r="H13" s="64">
        <f>IF(ISBLANK(G13),0,ABS(Uzman_E!B$4-G13))</f>
        <v>0</v>
      </c>
      <c r="I13" s="55">
        <f>IF(ISBLANK(G13),0,INDEX(Tablo_E!$B$2:$CX$102,MATCH(ROUND(Uzman_E!B$4,1),Tablo_E!$A$2:$A$102,1),MATCH(ROUND(H13,1),Tablo_E!$B$1:$CX$1,1)))</f>
        <v>0</v>
      </c>
      <c r="J13" s="60">
        <v>1.1000000000000001</v>
      </c>
      <c r="K13" s="64">
        <f>IF(ISBLANK(J13),0,ABS(Uzman_E!C$4-J13))</f>
        <v>0.39999999999999991</v>
      </c>
      <c r="L13" s="55">
        <f>IF(ISBLANK(J13),0,INDEX(Tablo_E!$B$2:$CX$102,MATCH(ROUND(Uzman_E!C$4,1),Tablo_E!$A$2:$A$102,1),MATCH(ROUND(K13,1),Tablo_E!$B$1:$CX$1,1)))</f>
        <v>0.8</v>
      </c>
      <c r="M13" s="60"/>
      <c r="N13" s="64">
        <f>IF(ISBLANK(M13),0,ABS(Uzman_E!D$4-M13))</f>
        <v>0</v>
      </c>
      <c r="O13" s="55">
        <f>IF(ISBLANK(M13),0,INDEX(Tablo_E!$B$2:$CX$102,MATCH(ROUND(Uzman_E!D$4,1),Tablo_E!$A$2:$A$102,1),MATCH(ROUND(N13,1),Tablo_E!$B$1:$CX$1,1)))</f>
        <v>0</v>
      </c>
      <c r="P13" s="60"/>
      <c r="Q13" s="64">
        <f>IF(ISBLANK(P13),0,ABS(Uzman_E!E$4-P13))</f>
        <v>0</v>
      </c>
      <c r="R13" s="55">
        <f>IF(ISBLANK(P13),0,INDEX(Tablo_E!$B$2:$CX$102,MATCH(ROUND(Uzman_E!B$4,1),Tablo_E!$A$2:$A$102,1),MATCH(ROUND(Q13,1),Tablo_E!$B$1:$CX$1,1)))</f>
        <v>0</v>
      </c>
      <c r="S13" s="56">
        <f t="shared" si="0"/>
        <v>0.16</v>
      </c>
      <c r="T13" s="50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1:36" ht="15" customHeight="1" thickBot="1" x14ac:dyDescent="0.25">
      <c r="A14" s="57">
        <v>11</v>
      </c>
      <c r="B14" s="137">
        <f>Hakemler!B14</f>
        <v>0</v>
      </c>
      <c r="C14" s="138">
        <f>Hakemler!C14</f>
        <v>0</v>
      </c>
      <c r="D14" s="60"/>
      <c r="E14" s="64">
        <f>IF(ISBLANK(D14),0,ABS(Uzman_E!A$4-D14))</f>
        <v>0</v>
      </c>
      <c r="F14" s="55">
        <f>IF(ISBLANK(D14),0,INDEX(Tablo_E!$B$2:$CX$102,MATCH(ROUND(Uzman_E!A$4,1),Tablo_E!$A$2:$A$102,1),MATCH(ROUND(E14,1),Tablo_E!$B$1:$CX$1,1)))</f>
        <v>0</v>
      </c>
      <c r="G14" s="60"/>
      <c r="H14" s="64">
        <f>IF(ISBLANK(G14),0,ABS(Uzman_E!B$4-G14))</f>
        <v>0</v>
      </c>
      <c r="I14" s="55">
        <f>IF(ISBLANK(G14),0,INDEX(Tablo_E!$B$2:$CX$102,MATCH(ROUND(Uzman_E!B$4,1),Tablo_E!$A$2:$A$102,1),MATCH(ROUND(H14,1),Tablo_E!$B$1:$CX$1,1)))</f>
        <v>0</v>
      </c>
      <c r="J14" s="60">
        <v>1.2</v>
      </c>
      <c r="K14" s="64">
        <f>IF(ISBLANK(J14),0,ABS(Uzman_E!C$4-J14))</f>
        <v>0.30000000000000004</v>
      </c>
      <c r="L14" s="55">
        <f>IF(ISBLANK(J14),0,INDEX(Tablo_E!$B$2:$CX$102,MATCH(ROUND(Uzman_E!C$4,1),Tablo_E!$A$2:$A$102,1),MATCH(ROUND(K14,1),Tablo_E!$B$1:$CX$1,1)))</f>
        <v>0.9</v>
      </c>
      <c r="M14" s="60"/>
      <c r="N14" s="64">
        <f>IF(ISBLANK(M14),0,ABS(Uzman_E!D$4-M14))</f>
        <v>0</v>
      </c>
      <c r="O14" s="55">
        <f>IF(ISBLANK(M14),0,INDEX(Tablo_E!$B$2:$CX$102,MATCH(ROUND(Uzman_E!D$4,1),Tablo_E!$A$2:$A$102,1),MATCH(ROUND(N14,1),Tablo_E!$B$1:$CX$1,1)))</f>
        <v>0</v>
      </c>
      <c r="P14" s="60"/>
      <c r="Q14" s="64">
        <f>IF(ISBLANK(P14),0,ABS(Uzman_E!E$4-P14))</f>
        <v>0</v>
      </c>
      <c r="R14" s="55">
        <f>IF(ISBLANK(P14),0,INDEX(Tablo_E!$B$2:$CX$102,MATCH(ROUND(Uzman_E!B$4,1),Tablo_E!$A$2:$A$102,1),MATCH(ROUND(Q14,1),Tablo_E!$B$1:$CX$1,1)))</f>
        <v>0</v>
      </c>
      <c r="S14" s="56">
        <f t="shared" si="0"/>
        <v>0.18</v>
      </c>
      <c r="T14" s="50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 spans="1:36" ht="15" customHeight="1" thickBot="1" x14ac:dyDescent="0.25">
      <c r="A15" s="57">
        <v>12</v>
      </c>
      <c r="B15" s="137">
        <f>Hakemler!B15</f>
        <v>0</v>
      </c>
      <c r="C15" s="138">
        <f>Hakemler!C15</f>
        <v>0</v>
      </c>
      <c r="D15" s="60"/>
      <c r="E15" s="64">
        <f>IF(ISBLANK(D15),0,ABS(Uzman_E!A$4-D15))</f>
        <v>0</v>
      </c>
      <c r="F15" s="55">
        <f>IF(ISBLANK(D15),0,INDEX(Tablo_E!$B$2:$CX$102,MATCH(ROUND(Uzman_E!A$4,1),Tablo_E!$A$2:$A$102,1),MATCH(ROUND(E15,1),Tablo_E!$B$1:$CX$1,1)))</f>
        <v>0</v>
      </c>
      <c r="G15" s="60"/>
      <c r="H15" s="64">
        <f>IF(ISBLANK(G15),0,ABS(Uzman_E!B$4-G15))</f>
        <v>0</v>
      </c>
      <c r="I15" s="55">
        <f>IF(ISBLANK(G15),0,INDEX(Tablo_E!$B$2:$CX$102,MATCH(ROUND(Uzman_E!B$4,1),Tablo_E!$A$2:$A$102,1),MATCH(ROUND(H15,1),Tablo_E!$B$1:$CX$1,1)))</f>
        <v>0</v>
      </c>
      <c r="J15" s="60">
        <v>1.3</v>
      </c>
      <c r="K15" s="64">
        <f>IF(ISBLANK(J15),0,ABS(Uzman_E!C$4-J15))</f>
        <v>0.19999999999999996</v>
      </c>
      <c r="L15" s="55">
        <f>IF(ISBLANK(J15),0,INDEX(Tablo_E!$B$2:$CX$102,MATCH(ROUND(Uzman_E!C$4,1),Tablo_E!$A$2:$A$102,1),MATCH(ROUND(K15,1),Tablo_E!$B$1:$CX$1,1)))</f>
        <v>1</v>
      </c>
      <c r="M15" s="60">
        <v>1.6</v>
      </c>
      <c r="N15" s="64">
        <f>IF(ISBLANK(M15),0,ABS(Uzman_E!D$4-M15))</f>
        <v>0.30000000000000004</v>
      </c>
      <c r="O15" s="55">
        <f>IF(ISBLANK(M15),0,INDEX(Tablo_E!$B$2:$CX$102,MATCH(ROUND(Uzman_E!D$4,1),Tablo_E!$A$2:$A$102,1),MATCH(ROUND(N15,1),Tablo_E!$B$1:$CX$1,1)))</f>
        <v>0.9</v>
      </c>
      <c r="P15" s="60"/>
      <c r="Q15" s="64">
        <f>IF(ISBLANK(P15),0,ABS(Uzman_E!E$4-P15))</f>
        <v>0</v>
      </c>
      <c r="R15" s="55">
        <f>IF(ISBLANK(P15),0,INDEX(Tablo_E!$B$2:$CX$102,MATCH(ROUND(Uzman_E!B$4,1),Tablo_E!$A$2:$A$102,1),MATCH(ROUND(Q15,1),Tablo_E!$B$1:$CX$1,1)))</f>
        <v>0</v>
      </c>
      <c r="S15" s="56">
        <f t="shared" si="0"/>
        <v>0.38</v>
      </c>
      <c r="T15" s="50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 spans="1:36" ht="15" customHeight="1" thickBot="1" x14ac:dyDescent="0.25">
      <c r="A16" s="57">
        <v>13</v>
      </c>
      <c r="B16" s="137">
        <f>Hakemler!B16</f>
        <v>0</v>
      </c>
      <c r="C16" s="138">
        <f>Hakemler!C16</f>
        <v>0</v>
      </c>
      <c r="D16" s="60"/>
      <c r="E16" s="64">
        <f>IF(ISBLANK(D16),0,ABS(Uzman_E!A$4-D16))</f>
        <v>0</v>
      </c>
      <c r="F16" s="55">
        <f>IF(ISBLANK(D16),0,INDEX(Tablo_E!$B$2:$CX$102,MATCH(ROUND(Uzman_E!A$4,1),Tablo_E!$A$2:$A$102,1),MATCH(ROUND(E16,1),Tablo_E!$B$1:$CX$1,1)))</f>
        <v>0</v>
      </c>
      <c r="G16" s="60"/>
      <c r="H16" s="64">
        <f>IF(ISBLANK(G16),0,ABS(Uzman_E!B$4-G16))</f>
        <v>0</v>
      </c>
      <c r="I16" s="55">
        <f>IF(ISBLANK(G16),0,INDEX(Tablo_E!$B$2:$CX$102,MATCH(ROUND(Uzman_E!B$4,1),Tablo_E!$A$2:$A$102,1),MATCH(ROUND(H16,1),Tablo_E!$B$1:$CX$1,1)))</f>
        <v>0</v>
      </c>
      <c r="J16" s="60"/>
      <c r="K16" s="64">
        <f>IF(ISBLANK(J16),0,ABS(Uzman_E!C$4-J16))</f>
        <v>0</v>
      </c>
      <c r="L16" s="55">
        <f>IF(ISBLANK(J16),0,INDEX(Tablo_E!$B$2:$CX$102,MATCH(ROUND(Uzman_E!C$4,1),Tablo_E!$A$2:$A$102,1),MATCH(ROUND(K16,1),Tablo_E!$B$1:$CX$1,1)))</f>
        <v>0</v>
      </c>
      <c r="M16" s="60">
        <v>1.5</v>
      </c>
      <c r="N16" s="64">
        <f>IF(ISBLANK(M16),0,ABS(Uzman_E!D$4-M16))</f>
        <v>0.19999999999999996</v>
      </c>
      <c r="O16" s="55">
        <f>IF(ISBLANK(M16),0,INDEX(Tablo_E!$B$2:$CX$102,MATCH(ROUND(Uzman_E!D$4,1),Tablo_E!$A$2:$A$102,1),MATCH(ROUND(N16,1),Tablo_E!$B$1:$CX$1,1)))</f>
        <v>1</v>
      </c>
      <c r="P16" s="60"/>
      <c r="Q16" s="64">
        <f>IF(ISBLANK(P16),0,ABS(Uzman_E!E$4-P16))</f>
        <v>0</v>
      </c>
      <c r="R16" s="55">
        <f>IF(ISBLANK(P16),0,INDEX(Tablo_E!$B$2:$CX$102,MATCH(ROUND(Uzman_E!B$4,1),Tablo_E!$A$2:$A$102,1),MATCH(ROUND(Q16,1),Tablo_E!$B$1:$CX$1,1)))</f>
        <v>0</v>
      </c>
      <c r="S16" s="56">
        <f t="shared" si="0"/>
        <v>0.2</v>
      </c>
      <c r="T16" s="50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6" ht="15" customHeight="1" thickBot="1" x14ac:dyDescent="0.25">
      <c r="A17" s="57">
        <v>14</v>
      </c>
      <c r="B17" s="137">
        <f>Hakemler!B17</f>
        <v>0</v>
      </c>
      <c r="C17" s="138">
        <f>Hakemler!C17</f>
        <v>0</v>
      </c>
      <c r="D17" s="60"/>
      <c r="E17" s="64">
        <f>IF(ISBLANK(D17),0,ABS(Uzman_E!A$4-D17))</f>
        <v>0</v>
      </c>
      <c r="F17" s="55">
        <f>IF(ISBLANK(D17),0,INDEX(Tablo_E!$B$2:$CX$102,MATCH(ROUND(Uzman_E!A$4,1),Tablo_E!$A$2:$A$102,1),MATCH(ROUND(E17,1),Tablo_E!$B$1:$CX$1,1)))</f>
        <v>0</v>
      </c>
      <c r="G17" s="60"/>
      <c r="H17" s="64">
        <f>IF(ISBLANK(G17),0,ABS(Uzman_E!B$4-G17))</f>
        <v>0</v>
      </c>
      <c r="I17" s="55">
        <f>IF(ISBLANK(G17),0,INDEX(Tablo_E!$B$2:$CX$102,MATCH(ROUND(Uzman_E!B$4,1),Tablo_E!$A$2:$A$102,1),MATCH(ROUND(H17,1),Tablo_E!$B$1:$CX$1,1)))</f>
        <v>0</v>
      </c>
      <c r="J17" s="60"/>
      <c r="K17" s="64">
        <f>IF(ISBLANK(J17),0,ABS(Uzman_E!C$4-J17))</f>
        <v>0</v>
      </c>
      <c r="L17" s="55">
        <f>IF(ISBLANK(J17),0,INDEX(Tablo_E!$B$2:$CX$102,MATCH(ROUND(Uzman_E!C$4,1),Tablo_E!$A$2:$A$102,1),MATCH(ROUND(K17,1),Tablo_E!$B$1:$CX$1,1)))</f>
        <v>0</v>
      </c>
      <c r="M17" s="60">
        <v>1.4</v>
      </c>
      <c r="N17" s="64">
        <f>IF(ISBLANK(M17),0,ABS(Uzman_E!D$4-M17))</f>
        <v>9.9999999999999867E-2</v>
      </c>
      <c r="O17" s="55">
        <f>IF(ISBLANK(M17),0,INDEX(Tablo_E!$B$2:$CX$102,MATCH(ROUND(Uzman_E!D$4,1),Tablo_E!$A$2:$A$102,1),MATCH(ROUND(N17,1),Tablo_E!$B$1:$CX$1,1)))</f>
        <v>1</v>
      </c>
      <c r="P17" s="60"/>
      <c r="Q17" s="64">
        <f>IF(ISBLANK(P17),0,ABS(Uzman_E!E$4-P17))</f>
        <v>0</v>
      </c>
      <c r="R17" s="55">
        <f>IF(ISBLANK(P17),0,INDEX(Tablo_E!$B$2:$CX$102,MATCH(ROUND(Uzman_E!B$4,1),Tablo_E!$A$2:$A$102,1),MATCH(ROUND(Q17,1),Tablo_E!$B$1:$CX$1,1)))</f>
        <v>0</v>
      </c>
      <c r="S17" s="56">
        <f t="shared" si="0"/>
        <v>0.2</v>
      </c>
      <c r="T17" s="50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 spans="1:36" ht="15" customHeight="1" thickBot="1" x14ac:dyDescent="0.25">
      <c r="A18" s="57">
        <v>15</v>
      </c>
      <c r="B18" s="137">
        <f>Hakemler!B18</f>
        <v>0</v>
      </c>
      <c r="C18" s="138">
        <f>Hakemler!C18</f>
        <v>0</v>
      </c>
      <c r="D18" s="60"/>
      <c r="E18" s="64">
        <f>IF(ISBLANK(D18),0,ABS(Uzman_E!A$4-D18))</f>
        <v>0</v>
      </c>
      <c r="F18" s="55">
        <f>IF(ISBLANK(D18),0,INDEX(Tablo_E!$B$2:$CX$102,MATCH(ROUND(Uzman_E!A$4,1),Tablo_E!$A$2:$A$102,1),MATCH(ROUND(E18,1),Tablo_E!$B$1:$CX$1,1)))</f>
        <v>0</v>
      </c>
      <c r="G18" s="60"/>
      <c r="H18" s="64">
        <f>IF(ISBLANK(G18),0,ABS(Uzman_E!B$4-G18))</f>
        <v>0</v>
      </c>
      <c r="I18" s="55">
        <f>IF(ISBLANK(G18),0,INDEX(Tablo_E!$B$2:$CX$102,MATCH(ROUND(Uzman_E!B$4,1),Tablo_E!$A$2:$A$102,1),MATCH(ROUND(H18,1),Tablo_E!$B$1:$CX$1,1)))</f>
        <v>0</v>
      </c>
      <c r="J18" s="60"/>
      <c r="K18" s="64">
        <f>IF(ISBLANK(J18),0,ABS(Uzman_E!C$4-J18))</f>
        <v>0</v>
      </c>
      <c r="L18" s="55">
        <f>IF(ISBLANK(J18),0,INDEX(Tablo_E!$B$2:$CX$102,MATCH(ROUND(Uzman_E!C$4,1),Tablo_E!$A$2:$A$102,1),MATCH(ROUND(K18,1),Tablo_E!$B$1:$CX$1,1)))</f>
        <v>0</v>
      </c>
      <c r="M18" s="60">
        <v>1.3</v>
      </c>
      <c r="N18" s="64">
        <f>IF(ISBLANK(M18),0,ABS(Uzman_E!D$4-M18))</f>
        <v>0</v>
      </c>
      <c r="O18" s="55">
        <f>IF(ISBLANK(M18),0,INDEX(Tablo_E!$B$2:$CX$102,MATCH(ROUND(Uzman_E!D$4,1),Tablo_E!$A$2:$A$102,1),MATCH(ROUND(N18,1),Tablo_E!$B$1:$CX$1,1)))</f>
        <v>1</v>
      </c>
      <c r="P18" s="60"/>
      <c r="Q18" s="64">
        <f>IF(ISBLANK(P18),0,ABS(Uzman_E!E$4-P18))</f>
        <v>0</v>
      </c>
      <c r="R18" s="55">
        <f>IF(ISBLANK(P18),0,INDEX(Tablo_E!$B$2:$CX$102,MATCH(ROUND(Uzman_E!B$4,1),Tablo_E!$A$2:$A$102,1),MATCH(ROUND(Q18,1),Tablo_E!$B$1:$CX$1,1)))</f>
        <v>0</v>
      </c>
      <c r="S18" s="56">
        <f t="shared" si="0"/>
        <v>0.2</v>
      </c>
      <c r="T18" s="50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 spans="1:36" ht="15" customHeight="1" thickBot="1" x14ac:dyDescent="0.25">
      <c r="A19" s="57">
        <v>16</v>
      </c>
      <c r="B19" s="137">
        <f>Hakemler!B19</f>
        <v>0</v>
      </c>
      <c r="C19" s="138">
        <f>Hakemler!C19</f>
        <v>0</v>
      </c>
      <c r="D19" s="60"/>
      <c r="E19" s="64">
        <f>IF(ISBLANK(D19),0,ABS(Uzman_E!A$4-D19))</f>
        <v>0</v>
      </c>
      <c r="F19" s="55">
        <f>IF(ISBLANK(D19),0,INDEX(Tablo_E!$B$2:$CX$102,MATCH(ROUND(Uzman_E!A$4,1),Tablo_E!$A$2:$A$102,1),MATCH(ROUND(E19,1),Tablo_E!$B$1:$CX$1,1)))</f>
        <v>0</v>
      </c>
      <c r="G19" s="60"/>
      <c r="H19" s="64">
        <f>IF(ISBLANK(G19),0,ABS(Uzman_E!B$4-G19))</f>
        <v>0</v>
      </c>
      <c r="I19" s="55">
        <f>IF(ISBLANK(G19),0,INDEX(Tablo_E!$B$2:$CX$102,MATCH(ROUND(Uzman_E!B$4,1),Tablo_E!$A$2:$A$102,1),MATCH(ROUND(H19,1),Tablo_E!$B$1:$CX$1,1)))</f>
        <v>0</v>
      </c>
      <c r="J19" s="60"/>
      <c r="K19" s="64">
        <f>IF(ISBLANK(J19),0,ABS(Uzman_E!C$4-J19))</f>
        <v>0</v>
      </c>
      <c r="L19" s="55">
        <f>IF(ISBLANK(J19),0,INDEX(Tablo_E!$B$2:$CX$102,MATCH(ROUND(Uzman_E!C$4,1),Tablo_E!$A$2:$A$102,1),MATCH(ROUND(K19,1),Tablo_E!$B$1:$CX$1,1)))</f>
        <v>0</v>
      </c>
      <c r="M19" s="60">
        <v>1.2</v>
      </c>
      <c r="N19" s="64">
        <f>IF(ISBLANK(M19),0,ABS(Uzman_E!D$4-M19))</f>
        <v>0.10000000000000009</v>
      </c>
      <c r="O19" s="55">
        <f>IF(ISBLANK(M19),0,INDEX(Tablo_E!$B$2:$CX$102,MATCH(ROUND(Uzman_E!D$4,1),Tablo_E!$A$2:$A$102,1),MATCH(ROUND(N19,1),Tablo_E!$B$1:$CX$1,1)))</f>
        <v>1</v>
      </c>
      <c r="P19" s="60"/>
      <c r="Q19" s="64">
        <f>IF(ISBLANK(P19),0,ABS(Uzman_E!E$4-P19))</f>
        <v>0</v>
      </c>
      <c r="R19" s="55">
        <f>IF(ISBLANK(P19),0,INDEX(Tablo_E!$B$2:$CX$102,MATCH(ROUND(Uzman_E!B$4,1),Tablo_E!$A$2:$A$102,1),MATCH(ROUND(Q19,1),Tablo_E!$B$1:$CX$1,1)))</f>
        <v>0</v>
      </c>
      <c r="S19" s="56">
        <f t="shared" si="0"/>
        <v>0.2</v>
      </c>
      <c r="T19" s="50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 spans="1:36" ht="15" customHeight="1" thickBot="1" x14ac:dyDescent="0.25">
      <c r="A20" s="57">
        <v>17</v>
      </c>
      <c r="B20" s="137">
        <f>Hakemler!B20</f>
        <v>0</v>
      </c>
      <c r="C20" s="138">
        <f>Hakemler!C20</f>
        <v>0</v>
      </c>
      <c r="D20" s="60"/>
      <c r="E20" s="64">
        <f>IF(ISBLANK(D20),0,ABS(Uzman_E!A$4-D20))</f>
        <v>0</v>
      </c>
      <c r="F20" s="55">
        <f>IF(ISBLANK(D20),0,INDEX(Tablo_E!$B$2:$CX$102,MATCH(ROUND(Uzman_E!A$4,1),Tablo_E!$A$2:$A$102,1),MATCH(ROUND(E20,1),Tablo_E!$B$1:$CX$1,1)))</f>
        <v>0</v>
      </c>
      <c r="G20" s="60"/>
      <c r="H20" s="64">
        <f>IF(ISBLANK(G20),0,ABS(Uzman_E!B$4-G20))</f>
        <v>0</v>
      </c>
      <c r="I20" s="55">
        <f>IF(ISBLANK(G20),0,INDEX(Tablo_E!$B$2:$CX$102,MATCH(ROUND(Uzman_E!B$4,1),Tablo_E!$A$2:$A$102,1),MATCH(ROUND(H20,1),Tablo_E!$B$1:$CX$1,1)))</f>
        <v>0</v>
      </c>
      <c r="J20" s="60"/>
      <c r="K20" s="64">
        <f>IF(ISBLANK(J20),0,ABS(Uzman_E!C$4-J20))</f>
        <v>0</v>
      </c>
      <c r="L20" s="55">
        <f>IF(ISBLANK(J20),0,INDEX(Tablo_E!$B$2:$CX$102,MATCH(ROUND(Uzman_E!C$4,1),Tablo_E!$A$2:$A$102,1),MATCH(ROUND(K20,1),Tablo_E!$B$1:$CX$1,1)))</f>
        <v>0</v>
      </c>
      <c r="M20" s="60">
        <v>1.1000000000000001</v>
      </c>
      <c r="N20" s="64">
        <f>IF(ISBLANK(M20),0,ABS(Uzman_E!D$4-M20))</f>
        <v>0.19999999999999996</v>
      </c>
      <c r="O20" s="55">
        <f>IF(ISBLANK(M20),0,INDEX(Tablo_E!$B$2:$CX$102,MATCH(ROUND(Uzman_E!D$4,1),Tablo_E!$A$2:$A$102,1),MATCH(ROUND(N20,1),Tablo_E!$B$1:$CX$1,1)))</f>
        <v>1</v>
      </c>
      <c r="P20" s="60"/>
      <c r="Q20" s="64">
        <f>IF(ISBLANK(P20),0,ABS(Uzman_E!E$4-P20))</f>
        <v>0</v>
      </c>
      <c r="R20" s="55">
        <f>IF(ISBLANK(P20),0,INDEX(Tablo_E!$B$2:$CX$102,MATCH(ROUND(Uzman_E!B$4,1),Tablo_E!$A$2:$A$102,1),MATCH(ROUND(Q20,1),Tablo_E!$B$1:$CX$1,1)))</f>
        <v>0</v>
      </c>
      <c r="S20" s="56">
        <f t="shared" si="0"/>
        <v>0.2</v>
      </c>
      <c r="T20" s="50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1:36" ht="15" customHeight="1" thickBot="1" x14ac:dyDescent="0.25">
      <c r="A21" s="57">
        <v>18</v>
      </c>
      <c r="B21" s="137">
        <f>Hakemler!B21</f>
        <v>0</v>
      </c>
      <c r="C21" s="138">
        <f>Hakemler!C21</f>
        <v>0</v>
      </c>
      <c r="D21" s="60"/>
      <c r="E21" s="64">
        <f>IF(ISBLANK(D21),0,ABS(Uzman_E!A$4-D21))</f>
        <v>0</v>
      </c>
      <c r="F21" s="55">
        <f>IF(ISBLANK(D21),0,INDEX(Tablo_E!$B$2:$CX$102,MATCH(ROUND(Uzman_E!A$4,1),Tablo_E!$A$2:$A$102,1),MATCH(ROUND(E21,1),Tablo_E!$B$1:$CX$1,1)))</f>
        <v>0</v>
      </c>
      <c r="G21" s="60"/>
      <c r="H21" s="64">
        <f>IF(ISBLANK(G21),0,ABS(Uzman_E!B$4-G21))</f>
        <v>0</v>
      </c>
      <c r="I21" s="55">
        <f>IF(ISBLANK(G21),0,INDEX(Tablo_E!$B$2:$CX$102,MATCH(ROUND(Uzman_E!B$4,1),Tablo_E!$A$2:$A$102,1),MATCH(ROUND(H21,1),Tablo_E!$B$1:$CX$1,1)))</f>
        <v>0</v>
      </c>
      <c r="J21" s="60"/>
      <c r="K21" s="64">
        <f>IF(ISBLANK(J21),0,ABS(Uzman_E!C$4-J21))</f>
        <v>0</v>
      </c>
      <c r="L21" s="55">
        <f>IF(ISBLANK(J21),0,INDEX(Tablo_E!$B$2:$CX$102,MATCH(ROUND(Uzman_E!C$4,1),Tablo_E!$A$2:$A$102,1),MATCH(ROUND(K21,1),Tablo_E!$B$1:$CX$1,1)))</f>
        <v>0</v>
      </c>
      <c r="M21" s="60">
        <v>1</v>
      </c>
      <c r="N21" s="64">
        <f>IF(ISBLANK(M21),0,ABS(Uzman_E!D$4-M21))</f>
        <v>0.30000000000000004</v>
      </c>
      <c r="O21" s="55">
        <f>IF(ISBLANK(M21),0,INDEX(Tablo_E!$B$2:$CX$102,MATCH(ROUND(Uzman_E!D$4,1),Tablo_E!$A$2:$A$102,1),MATCH(ROUND(N21,1),Tablo_E!$B$1:$CX$1,1)))</f>
        <v>0.9</v>
      </c>
      <c r="P21" s="60"/>
      <c r="Q21" s="64">
        <f>IF(ISBLANK(P21),0,ABS(Uzman_E!E$4-P21))</f>
        <v>0</v>
      </c>
      <c r="R21" s="55">
        <f>IF(ISBLANK(P21),0,INDEX(Tablo_E!$B$2:$CX$102,MATCH(ROUND(Uzman_E!B$4,1),Tablo_E!$A$2:$A$102,1),MATCH(ROUND(Q21,1),Tablo_E!$B$1:$CX$1,1)))</f>
        <v>0</v>
      </c>
      <c r="S21" s="56">
        <f t="shared" si="0"/>
        <v>0.18</v>
      </c>
      <c r="T21" s="50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spans="1:36" ht="15" customHeight="1" thickBot="1" x14ac:dyDescent="0.25">
      <c r="A22" s="57">
        <v>19</v>
      </c>
      <c r="B22" s="137">
        <f>Hakemler!B22</f>
        <v>0</v>
      </c>
      <c r="C22" s="138">
        <f>Hakemler!C22</f>
        <v>0</v>
      </c>
      <c r="D22" s="60"/>
      <c r="E22" s="64">
        <f>IF(ISBLANK(D22),0,ABS(Uzman_E!A$4-D22))</f>
        <v>0</v>
      </c>
      <c r="F22" s="55">
        <f>IF(ISBLANK(D22),0,INDEX(Tablo_E!$B$2:$CX$102,MATCH(ROUND(Uzman_E!A$4,1),Tablo_E!$A$2:$A$102,1),MATCH(ROUND(E22,1),Tablo_E!$B$1:$CX$1,1)))</f>
        <v>0</v>
      </c>
      <c r="G22" s="60"/>
      <c r="H22" s="64">
        <f>IF(ISBLANK(G22),0,ABS(Uzman_E!B$4-G22))</f>
        <v>0</v>
      </c>
      <c r="I22" s="55">
        <f>IF(ISBLANK(G22),0,INDEX(Tablo_E!$B$2:$CX$102,MATCH(ROUND(Uzman_E!B$4,1),Tablo_E!$A$2:$A$102,1),MATCH(ROUND(H22,1),Tablo_E!$B$1:$CX$1,1)))</f>
        <v>0</v>
      </c>
      <c r="J22" s="60"/>
      <c r="K22" s="64">
        <f>IF(ISBLANK(J22),0,ABS(Uzman_E!C$4-J22))</f>
        <v>0</v>
      </c>
      <c r="L22" s="55">
        <f>IF(ISBLANK(J22),0,INDEX(Tablo_E!$B$2:$CX$102,MATCH(ROUND(Uzman_E!C$4,1),Tablo_E!$A$2:$A$102,1),MATCH(ROUND(K22,1),Tablo_E!$B$1:$CX$1,1)))</f>
        <v>0</v>
      </c>
      <c r="M22" s="60"/>
      <c r="N22" s="64">
        <f>IF(ISBLANK(M22),0,ABS(Uzman_E!D$4-M22))</f>
        <v>0</v>
      </c>
      <c r="O22" s="55">
        <f>IF(ISBLANK(M22),0,INDEX(Tablo_E!$B$2:$CX$102,MATCH(ROUND(Uzman_E!D$4,1),Tablo_E!$A$2:$A$102,1),MATCH(ROUND(N22,1),Tablo_E!$B$1:$CX$1,1)))</f>
        <v>0</v>
      </c>
      <c r="P22" s="60"/>
      <c r="Q22" s="64">
        <f>IF(ISBLANK(P22),0,ABS(Uzman_E!E$4-P22))</f>
        <v>0</v>
      </c>
      <c r="R22" s="55">
        <f>IF(ISBLANK(P22),0,INDEX(Tablo_E!$B$2:$CX$102,MATCH(ROUND(Uzman_E!B$4,1),Tablo_E!$A$2:$A$102,1),MATCH(ROUND(Q22,1),Tablo_E!$B$1:$CX$1,1)))</f>
        <v>0</v>
      </c>
      <c r="S22" s="56">
        <f t="shared" si="0"/>
        <v>0</v>
      </c>
      <c r="T22" s="50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5" customHeight="1" thickBot="1" x14ac:dyDescent="0.25">
      <c r="A23" s="57">
        <v>20</v>
      </c>
      <c r="B23" s="137">
        <f>Hakemler!B23</f>
        <v>0</v>
      </c>
      <c r="C23" s="138">
        <f>Hakemler!C23</f>
        <v>0</v>
      </c>
      <c r="D23" s="60"/>
      <c r="E23" s="64">
        <f>IF(ISBLANK(D23),0,ABS(Uzman_E!A$4-D23))</f>
        <v>0</v>
      </c>
      <c r="F23" s="55">
        <f>IF(ISBLANK(D23),0,INDEX(Tablo_E!$B$2:$CX$102,MATCH(ROUND(Uzman_E!A$4,1),Tablo_E!$A$2:$A$102,1),MATCH(ROUND(E23,1),Tablo_E!$B$1:$CX$1,1)))</f>
        <v>0</v>
      </c>
      <c r="G23" s="60"/>
      <c r="H23" s="64">
        <f>IF(ISBLANK(G23),0,ABS(Uzman_E!B$4-G23))</f>
        <v>0</v>
      </c>
      <c r="I23" s="55">
        <f>IF(ISBLANK(G23),0,INDEX(Tablo_E!$B$2:$CX$102,MATCH(ROUND(Uzman_E!B$4,1),Tablo_E!$A$2:$A$102,1),MATCH(ROUND(H23,1),Tablo_E!$B$1:$CX$1,1)))</f>
        <v>0</v>
      </c>
      <c r="J23" s="60"/>
      <c r="K23" s="64">
        <f>IF(ISBLANK(J23),0,ABS(Uzman_E!C$4-J23))</f>
        <v>0</v>
      </c>
      <c r="L23" s="55">
        <f>IF(ISBLANK(J23),0,INDEX(Tablo_E!$B$2:$CX$102,MATCH(ROUND(Uzman_E!C$4,1),Tablo_E!$A$2:$A$102,1),MATCH(ROUND(K23,1),Tablo_E!$B$1:$CX$1,1)))</f>
        <v>0</v>
      </c>
      <c r="M23" s="60"/>
      <c r="N23" s="64">
        <f>IF(ISBLANK(M23),0,ABS(Uzman_E!D$4-M23))</f>
        <v>0</v>
      </c>
      <c r="O23" s="55">
        <f>IF(ISBLANK(M23),0,INDEX(Tablo_E!$B$2:$CX$102,MATCH(ROUND(Uzman_E!D$4,1),Tablo_E!$A$2:$A$102,1),MATCH(ROUND(N23,1),Tablo_E!$B$1:$CX$1,1)))</f>
        <v>0</v>
      </c>
      <c r="P23" s="60"/>
      <c r="Q23" s="64">
        <f>IF(ISBLANK(P23),0,ABS(Uzman_E!E$4-P23))</f>
        <v>0</v>
      </c>
      <c r="R23" s="55">
        <f>IF(ISBLANK(P23),0,INDEX(Tablo_E!$B$2:$CX$102,MATCH(ROUND(Uzman_E!B$4,1),Tablo_E!$A$2:$A$102,1),MATCH(ROUND(Q23,1),Tablo_E!$B$1:$CX$1,1)))</f>
        <v>0</v>
      </c>
      <c r="S23" s="56">
        <f t="shared" si="0"/>
        <v>0</v>
      </c>
      <c r="T23" s="50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spans="1:36" ht="15" customHeight="1" thickBot="1" x14ac:dyDescent="0.25">
      <c r="A24" s="57">
        <v>21</v>
      </c>
      <c r="B24" s="137">
        <f>Hakemler!B24</f>
        <v>0</v>
      </c>
      <c r="C24" s="138">
        <f>Hakemler!C24</f>
        <v>0</v>
      </c>
      <c r="D24" s="60"/>
      <c r="E24" s="64">
        <f>IF(ISBLANK(D24),0,ABS(Uzman_E!A$4-D24))</f>
        <v>0</v>
      </c>
      <c r="F24" s="55">
        <f>IF(ISBLANK(D24),0,INDEX(Tablo_E!$B$2:$CX$102,MATCH(ROUND(Uzman_E!A$4,1),Tablo_E!$A$2:$A$102,1),MATCH(ROUND(E24,1),Tablo_E!$B$1:$CX$1,1)))</f>
        <v>0</v>
      </c>
      <c r="G24" s="60"/>
      <c r="H24" s="64">
        <f>IF(ISBLANK(G24),0,ABS(Uzman_E!B$4-G24))</f>
        <v>0</v>
      </c>
      <c r="I24" s="55">
        <f>IF(ISBLANK(G24),0,INDEX(Tablo_E!$B$2:$CX$102,MATCH(ROUND(Uzman_E!B$4,1),Tablo_E!$A$2:$A$102,1),MATCH(ROUND(H24,1),Tablo_E!$B$1:$CX$1,1)))</f>
        <v>0</v>
      </c>
      <c r="J24" s="60"/>
      <c r="K24" s="64">
        <f>IF(ISBLANK(J24),0,ABS(Uzman_E!C$4-J24))</f>
        <v>0</v>
      </c>
      <c r="L24" s="55">
        <f>IF(ISBLANK(J24),0,INDEX(Tablo_E!$B$2:$CX$102,MATCH(ROUND(Uzman_E!C$4,1),Tablo_E!$A$2:$A$102,1),MATCH(ROUND(K24,1),Tablo_E!$B$1:$CX$1,1)))</f>
        <v>0</v>
      </c>
      <c r="M24" s="60"/>
      <c r="N24" s="64">
        <f>IF(ISBLANK(M24),0,ABS(Uzman_E!D$4-M24))</f>
        <v>0</v>
      </c>
      <c r="O24" s="55">
        <f>IF(ISBLANK(M24),0,INDEX(Tablo_E!$B$2:$CX$102,MATCH(ROUND(Uzman_E!D$4,1),Tablo_E!$A$2:$A$102,1),MATCH(ROUND(N24,1),Tablo_E!$B$1:$CX$1,1)))</f>
        <v>0</v>
      </c>
      <c r="P24" s="60"/>
      <c r="Q24" s="64">
        <f>IF(ISBLANK(P24),0,ABS(Uzman_E!E$4-P24))</f>
        <v>0</v>
      </c>
      <c r="R24" s="55">
        <f>IF(ISBLANK(P24),0,INDEX(Tablo_E!$B$2:$CX$102,MATCH(ROUND(Uzman_E!B$4,1),Tablo_E!$A$2:$A$102,1),MATCH(ROUND(Q24,1),Tablo_E!$B$1:$CX$1,1)))</f>
        <v>0</v>
      </c>
      <c r="S24" s="56">
        <f t="shared" si="0"/>
        <v>0</v>
      </c>
      <c r="T24" s="50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spans="1:36" ht="15" customHeight="1" thickBot="1" x14ac:dyDescent="0.25">
      <c r="A25" s="57">
        <v>22</v>
      </c>
      <c r="B25" s="137">
        <f>Hakemler!B25</f>
        <v>0</v>
      </c>
      <c r="C25" s="138">
        <f>Hakemler!C25</f>
        <v>0</v>
      </c>
      <c r="D25" s="60"/>
      <c r="E25" s="64">
        <f>IF(ISBLANK(D25),0,ABS(Uzman_E!A$4-D25))</f>
        <v>0</v>
      </c>
      <c r="F25" s="55">
        <f>IF(ISBLANK(D25),0,INDEX(Tablo_E!$B$2:$CX$102,MATCH(ROUND(Uzman_E!A$4,1),Tablo_E!$A$2:$A$102,1),MATCH(ROUND(E25,1),Tablo_E!$B$1:$CX$1,1)))</f>
        <v>0</v>
      </c>
      <c r="G25" s="60"/>
      <c r="H25" s="64">
        <f>IF(ISBLANK(G25),0,ABS(Uzman_E!B$4-G25))</f>
        <v>0</v>
      </c>
      <c r="I25" s="55">
        <f>IF(ISBLANK(G25),0,INDEX(Tablo_E!$B$2:$CX$102,MATCH(ROUND(Uzman_E!B$4,1),Tablo_E!$A$2:$A$102,1),MATCH(ROUND(H25,1),Tablo_E!$B$1:$CX$1,1)))</f>
        <v>0</v>
      </c>
      <c r="J25" s="60"/>
      <c r="K25" s="64">
        <f>IF(ISBLANK(J25),0,ABS(Uzman_E!C$4-J25))</f>
        <v>0</v>
      </c>
      <c r="L25" s="55">
        <f>IF(ISBLANK(J25),0,INDEX(Tablo_E!$B$2:$CX$102,MATCH(ROUND(Uzman_E!C$4,1),Tablo_E!$A$2:$A$102,1),MATCH(ROUND(K25,1),Tablo_E!$B$1:$CX$1,1)))</f>
        <v>0</v>
      </c>
      <c r="M25" s="60"/>
      <c r="N25" s="64">
        <f>IF(ISBLANK(M25),0,ABS(Uzman_E!D$4-M25))</f>
        <v>0</v>
      </c>
      <c r="O25" s="55">
        <f>IF(ISBLANK(M25),0,INDEX(Tablo_E!$B$2:$CX$102,MATCH(ROUND(Uzman_E!D$4,1),Tablo_E!$A$2:$A$102,1),MATCH(ROUND(N25,1),Tablo_E!$B$1:$CX$1,1)))</f>
        <v>0</v>
      </c>
      <c r="P25" s="60"/>
      <c r="Q25" s="64">
        <f>IF(ISBLANK(P25),0,ABS(Uzman_E!E$4-P25))</f>
        <v>0</v>
      </c>
      <c r="R25" s="55">
        <f>IF(ISBLANK(P25),0,INDEX(Tablo_E!$B$2:$CX$102,MATCH(ROUND(Uzman_E!B$4,1),Tablo_E!$A$2:$A$102,1),MATCH(ROUND(Q25,1),Tablo_E!$B$1:$CX$1,1)))</f>
        <v>0</v>
      </c>
      <c r="S25" s="56">
        <f t="shared" si="0"/>
        <v>0</v>
      </c>
      <c r="T25" s="50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spans="1:36" ht="15" customHeight="1" thickBot="1" x14ac:dyDescent="0.25">
      <c r="A26" s="57">
        <v>23</v>
      </c>
      <c r="B26" s="137">
        <f>Hakemler!B26</f>
        <v>0</v>
      </c>
      <c r="C26" s="138">
        <f>Hakemler!C26</f>
        <v>0</v>
      </c>
      <c r="D26" s="60"/>
      <c r="E26" s="64">
        <f>IF(ISBLANK(D26),0,ABS(Uzman_E!A$4-D26))</f>
        <v>0</v>
      </c>
      <c r="F26" s="55">
        <f>IF(ISBLANK(D26),0,INDEX(Tablo_E!$B$2:$CX$102,MATCH(ROUND(Uzman_E!A$4,1),Tablo_E!$A$2:$A$102,1),MATCH(ROUND(E26,1),Tablo_E!$B$1:$CX$1,1)))</f>
        <v>0</v>
      </c>
      <c r="G26" s="60"/>
      <c r="H26" s="64">
        <f>IF(ISBLANK(G26),0,ABS(Uzman_E!B$4-G26))</f>
        <v>0</v>
      </c>
      <c r="I26" s="55">
        <f>IF(ISBLANK(G26),0,INDEX(Tablo_E!$B$2:$CX$102,MATCH(ROUND(Uzman_E!B$4,1),Tablo_E!$A$2:$A$102,1),MATCH(ROUND(H26,1),Tablo_E!$B$1:$CX$1,1)))</f>
        <v>0</v>
      </c>
      <c r="J26" s="60"/>
      <c r="K26" s="64">
        <f>IF(ISBLANK(J26),0,ABS(Uzman_E!C$4-J26))</f>
        <v>0</v>
      </c>
      <c r="L26" s="55">
        <f>IF(ISBLANK(J26),0,INDEX(Tablo_E!$B$2:$CX$102,MATCH(ROUND(Uzman_E!C$4,1),Tablo_E!$A$2:$A$102,1),MATCH(ROUND(K26,1),Tablo_E!$B$1:$CX$1,1)))</f>
        <v>0</v>
      </c>
      <c r="M26" s="60"/>
      <c r="N26" s="64">
        <f>IF(ISBLANK(M26),0,ABS(Uzman_E!D$4-M26))</f>
        <v>0</v>
      </c>
      <c r="O26" s="55">
        <f>IF(ISBLANK(M26),0,INDEX(Tablo_E!$B$2:$CX$102,MATCH(ROUND(Uzman_E!D$4,1),Tablo_E!$A$2:$A$102,1),MATCH(ROUND(N26,1),Tablo_E!$B$1:$CX$1,1)))</f>
        <v>0</v>
      </c>
      <c r="P26" s="60"/>
      <c r="Q26" s="64">
        <f>IF(ISBLANK(P26),0,ABS(Uzman_E!E$4-P26))</f>
        <v>0</v>
      </c>
      <c r="R26" s="55">
        <f>IF(ISBLANK(P26),0,INDEX(Tablo_E!$B$2:$CX$102,MATCH(ROUND(Uzman_E!B$4,1),Tablo_E!$A$2:$A$102,1),MATCH(ROUND(Q26,1),Tablo_E!$B$1:$CX$1,1)))</f>
        <v>0</v>
      </c>
      <c r="S26" s="56">
        <f t="shared" si="0"/>
        <v>0</v>
      </c>
      <c r="T26" s="50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6" ht="15" customHeight="1" thickBot="1" x14ac:dyDescent="0.25">
      <c r="A27" s="57">
        <v>24</v>
      </c>
      <c r="B27" s="137">
        <f>Hakemler!B27</f>
        <v>0</v>
      </c>
      <c r="C27" s="138">
        <f>Hakemler!C27</f>
        <v>0</v>
      </c>
      <c r="D27" s="60"/>
      <c r="E27" s="64">
        <f>IF(ISBLANK(D27),0,ABS(Uzman_E!A$4-D27))</f>
        <v>0</v>
      </c>
      <c r="F27" s="55">
        <f>IF(ISBLANK(D27),0,INDEX(Tablo_E!$B$2:$CX$102,MATCH(ROUND(Uzman_E!A$4,1),Tablo_E!$A$2:$A$102,1),MATCH(ROUND(E27,1),Tablo_E!$B$1:$CX$1,1)))</f>
        <v>0</v>
      </c>
      <c r="G27" s="60"/>
      <c r="H27" s="64">
        <f>IF(ISBLANK(G27),0,ABS(Uzman_E!B$4-G27))</f>
        <v>0</v>
      </c>
      <c r="I27" s="55">
        <f>IF(ISBLANK(G27),0,INDEX(Tablo_E!$B$2:$CX$102,MATCH(ROUND(Uzman_E!B$4,1),Tablo_E!$A$2:$A$102,1),MATCH(ROUND(H27,1),Tablo_E!$B$1:$CX$1,1)))</f>
        <v>0</v>
      </c>
      <c r="J27" s="60"/>
      <c r="K27" s="64">
        <f>IF(ISBLANK(J27),0,ABS(Uzman_E!C$4-J27))</f>
        <v>0</v>
      </c>
      <c r="L27" s="55">
        <f>IF(ISBLANK(J27),0,INDEX(Tablo_E!$B$2:$CX$102,MATCH(ROUND(Uzman_E!C$4,1),Tablo_E!$A$2:$A$102,1),MATCH(ROUND(K27,1),Tablo_E!$B$1:$CX$1,1)))</f>
        <v>0</v>
      </c>
      <c r="M27" s="60"/>
      <c r="N27" s="64">
        <f>IF(ISBLANK(M27),0,ABS(Uzman_E!D$4-M27))</f>
        <v>0</v>
      </c>
      <c r="O27" s="55">
        <f>IF(ISBLANK(M27),0,INDEX(Tablo_E!$B$2:$CX$102,MATCH(ROUND(Uzman_E!D$4,1),Tablo_E!$A$2:$A$102,1),MATCH(ROUND(N27,1),Tablo_E!$B$1:$CX$1,1)))</f>
        <v>0</v>
      </c>
      <c r="P27" s="60"/>
      <c r="Q27" s="64">
        <f>IF(ISBLANK(P27),0,ABS(Uzman_E!E$4-P27))</f>
        <v>0</v>
      </c>
      <c r="R27" s="55">
        <f>IF(ISBLANK(P27),0,INDEX(Tablo_E!$B$2:$CX$102,MATCH(ROUND(Uzman_E!B$4,1),Tablo_E!$A$2:$A$102,1),MATCH(ROUND(Q27,1),Tablo_E!$B$1:$CX$1,1)))</f>
        <v>0</v>
      </c>
      <c r="S27" s="56">
        <f t="shared" si="0"/>
        <v>0</v>
      </c>
      <c r="T27" s="50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6" ht="15" customHeight="1" thickBot="1" x14ac:dyDescent="0.25">
      <c r="A28" s="57">
        <v>25</v>
      </c>
      <c r="B28" s="137">
        <f>Hakemler!B28</f>
        <v>0</v>
      </c>
      <c r="C28" s="138">
        <f>Hakemler!C28</f>
        <v>0</v>
      </c>
      <c r="D28" s="60"/>
      <c r="E28" s="64">
        <f>IF(ISBLANK(D28),0,ABS(Uzman_E!A$4-D28))</f>
        <v>0</v>
      </c>
      <c r="F28" s="55">
        <f>IF(ISBLANK(D28),0,INDEX(Tablo_E!$B$2:$CX$102,MATCH(ROUND(Uzman_E!A$4,1),Tablo_E!$A$2:$A$102,1),MATCH(ROUND(E28,1),Tablo_E!$B$1:$CX$1,1)))</f>
        <v>0</v>
      </c>
      <c r="G28" s="60"/>
      <c r="H28" s="64">
        <f>IF(ISBLANK(G28),0,ABS(Uzman_E!B$4-G28))</f>
        <v>0</v>
      </c>
      <c r="I28" s="55">
        <f>IF(ISBLANK(G28),0,INDEX(Tablo_E!$B$2:$CX$102,MATCH(ROUND(Uzman_E!B$4,1),Tablo_E!$A$2:$A$102,1),MATCH(ROUND(H28,1),Tablo_E!$B$1:$CX$1,1)))</f>
        <v>0</v>
      </c>
      <c r="J28" s="60"/>
      <c r="K28" s="64">
        <f>IF(ISBLANK(J28),0,ABS(Uzman_E!C$4-J28))</f>
        <v>0</v>
      </c>
      <c r="L28" s="55">
        <f>IF(ISBLANK(J28),0,INDEX(Tablo_E!$B$2:$CX$102,MATCH(ROUND(Uzman_E!C$4,1),Tablo_E!$A$2:$A$102,1),MATCH(ROUND(K28,1),Tablo_E!$B$1:$CX$1,1)))</f>
        <v>0</v>
      </c>
      <c r="M28" s="60"/>
      <c r="N28" s="64">
        <f>IF(ISBLANK(M28),0,ABS(Uzman_E!D$4-M28))</f>
        <v>0</v>
      </c>
      <c r="O28" s="55">
        <f>IF(ISBLANK(M28),0,INDEX(Tablo_E!$B$2:$CX$102,MATCH(ROUND(Uzman_E!D$4,1),Tablo_E!$A$2:$A$102,1),MATCH(ROUND(N28,1),Tablo_E!$B$1:$CX$1,1)))</f>
        <v>0</v>
      </c>
      <c r="P28" s="60"/>
      <c r="Q28" s="64">
        <f>IF(ISBLANK(P28),0,ABS(Uzman_E!E$4-P28))</f>
        <v>0</v>
      </c>
      <c r="R28" s="55">
        <f>IF(ISBLANK(P28),0,INDEX(Tablo_E!$B$2:$CX$102,MATCH(ROUND(Uzman_E!B$4,1),Tablo_E!$A$2:$A$102,1),MATCH(ROUND(Q28,1),Tablo_E!$B$1:$CX$1,1)))</f>
        <v>0</v>
      </c>
      <c r="S28" s="56">
        <f t="shared" si="0"/>
        <v>0</v>
      </c>
      <c r="T28" s="50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spans="1:36" ht="15" customHeight="1" thickBot="1" x14ac:dyDescent="0.25">
      <c r="A29" s="57">
        <v>26</v>
      </c>
      <c r="B29" s="137">
        <f>Hakemler!B29</f>
        <v>0</v>
      </c>
      <c r="C29" s="138">
        <f>Hakemler!C29</f>
        <v>0</v>
      </c>
      <c r="D29" s="60"/>
      <c r="E29" s="64">
        <f>IF(ISBLANK(D29),0,ABS(Uzman_E!A$4-D29))</f>
        <v>0</v>
      </c>
      <c r="F29" s="55">
        <f>IF(ISBLANK(D29),0,INDEX(Tablo_E!$B$2:$CX$102,MATCH(ROUND(Uzman_E!A$4,1),Tablo_E!$A$2:$A$102,1),MATCH(ROUND(E29,1),Tablo_E!$B$1:$CX$1,1)))</f>
        <v>0</v>
      </c>
      <c r="G29" s="60"/>
      <c r="H29" s="64">
        <f>IF(ISBLANK(G29),0,ABS(Uzman_E!B$4-G29))</f>
        <v>0</v>
      </c>
      <c r="I29" s="55">
        <f>IF(ISBLANK(G29),0,INDEX(Tablo_E!$B$2:$CX$102,MATCH(ROUND(Uzman_E!B$4,1),Tablo_E!$A$2:$A$102,1),MATCH(ROUND(H29,1),Tablo_E!$B$1:$CX$1,1)))</f>
        <v>0</v>
      </c>
      <c r="J29" s="60"/>
      <c r="K29" s="64">
        <f>IF(ISBLANK(J29),0,ABS(Uzman_E!C$4-J29))</f>
        <v>0</v>
      </c>
      <c r="L29" s="55">
        <f>IF(ISBLANK(J29),0,INDEX(Tablo_E!$B$2:$CX$102,MATCH(ROUND(Uzman_E!C$4,1),Tablo_E!$A$2:$A$102,1),MATCH(ROUND(K29,1),Tablo_E!$B$1:$CX$1,1)))</f>
        <v>0</v>
      </c>
      <c r="M29" s="60"/>
      <c r="N29" s="64">
        <f>IF(ISBLANK(M29),0,ABS(Uzman_E!D$4-M29))</f>
        <v>0</v>
      </c>
      <c r="O29" s="55">
        <f>IF(ISBLANK(M29),0,INDEX(Tablo_E!$B$2:$CX$102,MATCH(ROUND(Uzman_E!D$4,1),Tablo_E!$A$2:$A$102,1),MATCH(ROUND(N29,1),Tablo_E!$B$1:$CX$1,1)))</f>
        <v>0</v>
      </c>
      <c r="P29" s="60"/>
      <c r="Q29" s="64">
        <f>IF(ISBLANK(P29),0,ABS(Uzman_E!E$4-P29))</f>
        <v>0</v>
      </c>
      <c r="R29" s="55">
        <f>IF(ISBLANK(P29),0,INDEX(Tablo_E!$B$2:$CX$102,MATCH(ROUND(Uzman_E!B$4,1),Tablo_E!$A$2:$A$102,1),MATCH(ROUND(Q29,1),Tablo_E!$B$1:$CX$1,1)))</f>
        <v>0</v>
      </c>
      <c r="S29" s="56">
        <f t="shared" si="0"/>
        <v>0</v>
      </c>
      <c r="T29" s="50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spans="1:36" ht="15" customHeight="1" thickBot="1" x14ac:dyDescent="0.25">
      <c r="A30" s="57">
        <v>27</v>
      </c>
      <c r="B30" s="137">
        <f>Hakemler!B30</f>
        <v>0</v>
      </c>
      <c r="C30" s="138">
        <f>Hakemler!C30</f>
        <v>0</v>
      </c>
      <c r="D30" s="60"/>
      <c r="E30" s="64">
        <f>IF(ISBLANK(D30),0,ABS(Uzman_E!A$4-D30))</f>
        <v>0</v>
      </c>
      <c r="F30" s="55">
        <f>IF(ISBLANK(D30),0,INDEX(Tablo_E!$B$2:$CX$102,MATCH(ROUND(Uzman_E!A$4,1),Tablo_E!$A$2:$A$102,1),MATCH(ROUND(E30,1),Tablo_E!$B$1:$CX$1,1)))</f>
        <v>0</v>
      </c>
      <c r="G30" s="60"/>
      <c r="H30" s="64">
        <f>IF(ISBLANK(G30),0,ABS(Uzman_E!B$4-G30))</f>
        <v>0</v>
      </c>
      <c r="I30" s="55">
        <f>IF(ISBLANK(G30),0,INDEX(Tablo_E!$B$2:$CX$102,MATCH(ROUND(Uzman_E!B$4,1),Tablo_E!$A$2:$A$102,1),MATCH(ROUND(H30,1),Tablo_E!$B$1:$CX$1,1)))</f>
        <v>0</v>
      </c>
      <c r="J30" s="60"/>
      <c r="K30" s="64">
        <f>IF(ISBLANK(J30),0,ABS(Uzman_E!C$4-J30))</f>
        <v>0</v>
      </c>
      <c r="L30" s="55">
        <f>IF(ISBLANK(J30),0,INDEX(Tablo_E!$B$2:$CX$102,MATCH(ROUND(Uzman_E!C$4,1),Tablo_E!$A$2:$A$102,1),MATCH(ROUND(K30,1),Tablo_E!$B$1:$CX$1,1)))</f>
        <v>0</v>
      </c>
      <c r="M30" s="60"/>
      <c r="N30" s="64">
        <f>IF(ISBLANK(M30),0,ABS(Uzman_E!D$4-M30))</f>
        <v>0</v>
      </c>
      <c r="O30" s="55">
        <f>IF(ISBLANK(M30),0,INDEX(Tablo_E!$B$2:$CX$102,MATCH(ROUND(Uzman_E!D$4,1),Tablo_E!$A$2:$A$102,1),MATCH(ROUND(N30,1),Tablo_E!$B$1:$CX$1,1)))</f>
        <v>0</v>
      </c>
      <c r="P30" s="60"/>
      <c r="Q30" s="64">
        <f>IF(ISBLANK(P30),0,ABS(Uzman_E!E$4-P30))</f>
        <v>0</v>
      </c>
      <c r="R30" s="55">
        <f>IF(ISBLANK(P30),0,INDEX(Tablo_E!$B$2:$CX$102,MATCH(ROUND(Uzman_E!B$4,1),Tablo_E!$A$2:$A$102,1),MATCH(ROUND(Q30,1),Tablo_E!$B$1:$CX$1,1)))</f>
        <v>0</v>
      </c>
      <c r="S30" s="56">
        <f t="shared" si="0"/>
        <v>0</v>
      </c>
      <c r="T30" s="50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6" ht="15" customHeight="1" thickBot="1" x14ac:dyDescent="0.25">
      <c r="A31" s="57">
        <v>28</v>
      </c>
      <c r="B31" s="137">
        <f>Hakemler!B31</f>
        <v>0</v>
      </c>
      <c r="C31" s="138">
        <f>Hakemler!C31</f>
        <v>0</v>
      </c>
      <c r="D31" s="60"/>
      <c r="E31" s="64">
        <f>IF(ISBLANK(D31),0,ABS(Uzman_E!A$4-D31))</f>
        <v>0</v>
      </c>
      <c r="F31" s="55">
        <f>IF(ISBLANK(D31),0,INDEX(Tablo_E!$B$2:$CX$102,MATCH(ROUND(Uzman_E!A$4,1),Tablo_E!$A$2:$A$102,1),MATCH(ROUND(E31,1),Tablo_E!$B$1:$CX$1,1)))</f>
        <v>0</v>
      </c>
      <c r="G31" s="60"/>
      <c r="H31" s="64">
        <f>IF(ISBLANK(G31),0,ABS(Uzman_E!B$4-G31))</f>
        <v>0</v>
      </c>
      <c r="I31" s="55">
        <f>IF(ISBLANK(G31),0,INDEX(Tablo_E!$B$2:$CX$102,MATCH(ROUND(Uzman_E!B$4,1),Tablo_E!$A$2:$A$102,1),MATCH(ROUND(H31,1),Tablo_E!$B$1:$CX$1,1)))</f>
        <v>0</v>
      </c>
      <c r="J31" s="60"/>
      <c r="K31" s="64">
        <f>IF(ISBLANK(J31),0,ABS(Uzman_E!C$4-J31))</f>
        <v>0</v>
      </c>
      <c r="L31" s="55">
        <f>IF(ISBLANK(J31),0,INDEX(Tablo_E!$B$2:$CX$102,MATCH(ROUND(Uzman_E!C$4,1),Tablo_E!$A$2:$A$102,1),MATCH(ROUND(K31,1),Tablo_E!$B$1:$CX$1,1)))</f>
        <v>0</v>
      </c>
      <c r="M31" s="60"/>
      <c r="N31" s="64">
        <f>IF(ISBLANK(M31),0,ABS(Uzman_E!D$4-M31))</f>
        <v>0</v>
      </c>
      <c r="O31" s="55">
        <f>IF(ISBLANK(M31),0,INDEX(Tablo_E!$B$2:$CX$102,MATCH(ROUND(Uzman_E!D$4,1),Tablo_E!$A$2:$A$102,1),MATCH(ROUND(N31,1),Tablo_E!$B$1:$CX$1,1)))</f>
        <v>0</v>
      </c>
      <c r="P31" s="60"/>
      <c r="Q31" s="64">
        <f>IF(ISBLANK(P31),0,ABS(Uzman_E!E$4-P31))</f>
        <v>0</v>
      </c>
      <c r="R31" s="55">
        <f>IF(ISBLANK(P31),0,INDEX(Tablo_E!$B$2:$CX$102,MATCH(ROUND(Uzman_E!B$4,1),Tablo_E!$A$2:$A$102,1),MATCH(ROUND(Q31,1),Tablo_E!$B$1:$CX$1,1)))</f>
        <v>0</v>
      </c>
      <c r="S31" s="56">
        <f t="shared" si="0"/>
        <v>0</v>
      </c>
      <c r="T31" s="50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spans="1:36" ht="15" customHeight="1" thickBot="1" x14ac:dyDescent="0.25">
      <c r="A32" s="57">
        <v>29</v>
      </c>
      <c r="B32" s="137">
        <f>Hakemler!B32</f>
        <v>0</v>
      </c>
      <c r="C32" s="138">
        <f>Hakemler!C32</f>
        <v>0</v>
      </c>
      <c r="D32" s="60"/>
      <c r="E32" s="64">
        <f>IF(ISBLANK(D32),0,ABS(Uzman_E!A$4-D32))</f>
        <v>0</v>
      </c>
      <c r="F32" s="55">
        <f>IF(ISBLANK(D32),0,INDEX(Tablo_E!$B$2:$CX$102,MATCH(ROUND(Uzman_E!A$4,1),Tablo_E!$A$2:$A$102,1),MATCH(ROUND(E32,1),Tablo_E!$B$1:$CX$1,1)))</f>
        <v>0</v>
      </c>
      <c r="G32" s="60"/>
      <c r="H32" s="64">
        <f>IF(ISBLANK(G32),0,ABS(Uzman_E!B$4-G32))</f>
        <v>0</v>
      </c>
      <c r="I32" s="55">
        <f>IF(ISBLANK(G32),0,INDEX(Tablo_E!$B$2:$CX$102,MATCH(ROUND(Uzman_E!B$4,1),Tablo_E!$A$2:$A$102,1),MATCH(ROUND(H32,1),Tablo_E!$B$1:$CX$1,1)))</f>
        <v>0</v>
      </c>
      <c r="J32" s="60"/>
      <c r="K32" s="64">
        <f>IF(ISBLANK(J32),0,ABS(Uzman_E!C$4-J32))</f>
        <v>0</v>
      </c>
      <c r="L32" s="55">
        <f>IF(ISBLANK(J32),0,INDEX(Tablo_E!$B$2:$CX$102,MATCH(ROUND(Uzman_E!C$4,1),Tablo_E!$A$2:$A$102,1),MATCH(ROUND(K32,1),Tablo_E!$B$1:$CX$1,1)))</f>
        <v>0</v>
      </c>
      <c r="M32" s="60"/>
      <c r="N32" s="64">
        <f>IF(ISBLANK(M32),0,ABS(Uzman_E!D$4-M32))</f>
        <v>0</v>
      </c>
      <c r="O32" s="55">
        <f>IF(ISBLANK(M32),0,INDEX(Tablo_E!$B$2:$CX$102,MATCH(ROUND(Uzman_E!D$4,1),Tablo_E!$A$2:$A$102,1),MATCH(ROUND(N32,1),Tablo_E!$B$1:$CX$1,1)))</f>
        <v>0</v>
      </c>
      <c r="P32" s="60"/>
      <c r="Q32" s="64">
        <f>IF(ISBLANK(P32),0,ABS(Uzman_E!E$4-P32))</f>
        <v>0</v>
      </c>
      <c r="R32" s="55">
        <f>IF(ISBLANK(P32),0,INDEX(Tablo_E!$B$2:$CX$102,MATCH(ROUND(Uzman_E!B$4,1),Tablo_E!$A$2:$A$102,1),MATCH(ROUND(Q32,1),Tablo_E!$B$1:$CX$1,1)))</f>
        <v>0</v>
      </c>
      <c r="S32" s="56">
        <f t="shared" si="0"/>
        <v>0</v>
      </c>
      <c r="T32" s="50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spans="1:36" ht="15" customHeight="1" thickBot="1" x14ac:dyDescent="0.25">
      <c r="A33" s="57">
        <v>30</v>
      </c>
      <c r="B33" s="137">
        <f>Hakemler!B33</f>
        <v>0</v>
      </c>
      <c r="C33" s="138">
        <f>Hakemler!C33</f>
        <v>0</v>
      </c>
      <c r="D33" s="60"/>
      <c r="E33" s="64">
        <f>IF(ISBLANK(D33),0,ABS(Uzman_E!A$4-D33))</f>
        <v>0</v>
      </c>
      <c r="F33" s="55">
        <f>IF(ISBLANK(D33),0,INDEX(Tablo_E!$B$2:$CX$102,MATCH(ROUND(Uzman_E!A$4,1),Tablo_E!$A$2:$A$102,1),MATCH(ROUND(E33,1),Tablo_E!$B$1:$CX$1,1)))</f>
        <v>0</v>
      </c>
      <c r="G33" s="60"/>
      <c r="H33" s="64">
        <f>IF(ISBLANK(G33),0,ABS(Uzman_E!B$4-G33))</f>
        <v>0</v>
      </c>
      <c r="I33" s="55">
        <f>IF(ISBLANK(G33),0,INDEX(Tablo_E!$B$2:$CX$102,MATCH(ROUND(Uzman_E!B$4,1),Tablo_E!$A$2:$A$102,1),MATCH(ROUND(H33,1),Tablo_E!$B$1:$CX$1,1)))</f>
        <v>0</v>
      </c>
      <c r="J33" s="60"/>
      <c r="K33" s="64">
        <f>IF(ISBLANK(J33),0,ABS(Uzman_E!C$4-J33))</f>
        <v>0</v>
      </c>
      <c r="L33" s="55">
        <f>IF(ISBLANK(J33),0,INDEX(Tablo_E!$B$2:$CX$102,MATCH(ROUND(Uzman_E!C$4,1),Tablo_E!$A$2:$A$102,1),MATCH(ROUND(K33,1),Tablo_E!$B$1:$CX$1,1)))</f>
        <v>0</v>
      </c>
      <c r="M33" s="60"/>
      <c r="N33" s="64">
        <f>IF(ISBLANK(M33),0,ABS(Uzman_E!D$4-M33))</f>
        <v>0</v>
      </c>
      <c r="O33" s="55">
        <f>IF(ISBLANK(M33),0,INDEX(Tablo_E!$B$2:$CX$102,MATCH(ROUND(Uzman_E!D$4,1),Tablo_E!$A$2:$A$102,1),MATCH(ROUND(N33,1),Tablo_E!$B$1:$CX$1,1)))</f>
        <v>0</v>
      </c>
      <c r="P33" s="60"/>
      <c r="Q33" s="64">
        <f>IF(ISBLANK(P33),0,ABS(Uzman_E!E$4-P33))</f>
        <v>0</v>
      </c>
      <c r="R33" s="55">
        <f>IF(ISBLANK(P33),0,INDEX(Tablo_E!$B$2:$CX$102,MATCH(ROUND(Uzman_E!B$4,1),Tablo_E!$A$2:$A$102,1),MATCH(ROUND(Q33,1),Tablo_E!$B$1:$CX$1,1)))</f>
        <v>0</v>
      </c>
      <c r="S33" s="56">
        <f t="shared" si="0"/>
        <v>0</v>
      </c>
      <c r="T33" s="50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spans="1:36" ht="15" customHeight="1" thickBot="1" x14ac:dyDescent="0.25">
      <c r="A34" s="57">
        <v>31</v>
      </c>
      <c r="B34" s="137">
        <f>Hakemler!B34</f>
        <v>0</v>
      </c>
      <c r="C34" s="138">
        <f>Hakemler!C34</f>
        <v>0</v>
      </c>
      <c r="D34" s="60"/>
      <c r="E34" s="64">
        <f>IF(ISBLANK(D34),0,ABS(Uzman_E!A$4-D34))</f>
        <v>0</v>
      </c>
      <c r="F34" s="55">
        <f>IF(ISBLANK(D34),0,INDEX(Tablo_E!$B$2:$CX$102,MATCH(ROUND(Uzman_E!A$4,1),Tablo_E!$A$2:$A$102,1),MATCH(ROUND(E34,1),Tablo_E!$B$1:$CX$1,1)))</f>
        <v>0</v>
      </c>
      <c r="G34" s="60"/>
      <c r="H34" s="64">
        <f>IF(ISBLANK(G34),0,ABS(Uzman_E!B$4-G34))</f>
        <v>0</v>
      </c>
      <c r="I34" s="55">
        <f>IF(ISBLANK(G34),0,INDEX(Tablo_E!$B$2:$CX$102,MATCH(ROUND(Uzman_E!B$4,1),Tablo_E!$A$2:$A$102,1),MATCH(ROUND(H34,1),Tablo_E!$B$1:$CX$1,1)))</f>
        <v>0</v>
      </c>
      <c r="J34" s="60"/>
      <c r="K34" s="64">
        <f>IF(ISBLANK(J34),0,ABS(Uzman_E!C$4-J34))</f>
        <v>0</v>
      </c>
      <c r="L34" s="55">
        <f>IF(ISBLANK(J34),0,INDEX(Tablo_E!$B$2:$CX$102,MATCH(ROUND(Uzman_E!C$4,1),Tablo_E!$A$2:$A$102,1),MATCH(ROUND(K34,1),Tablo_E!$B$1:$CX$1,1)))</f>
        <v>0</v>
      </c>
      <c r="M34" s="60"/>
      <c r="N34" s="64">
        <f>IF(ISBLANK(M34),0,ABS(Uzman_E!D$4-M34))</f>
        <v>0</v>
      </c>
      <c r="O34" s="55">
        <f>IF(ISBLANK(M34),0,INDEX(Tablo_E!$B$2:$CX$102,MATCH(ROUND(Uzman_E!D$4,1),Tablo_E!$A$2:$A$102,1),MATCH(ROUND(N34,1),Tablo_E!$B$1:$CX$1,1)))</f>
        <v>0</v>
      </c>
      <c r="P34" s="60"/>
      <c r="Q34" s="64">
        <f>IF(ISBLANK(P34),0,ABS(Uzman_E!E$4-P34))</f>
        <v>0</v>
      </c>
      <c r="R34" s="55">
        <f>IF(ISBLANK(P34),0,INDEX(Tablo_E!$B$2:$CX$102,MATCH(ROUND(Uzman_E!B$4,1),Tablo_E!$A$2:$A$102,1),MATCH(ROUND(Q34,1),Tablo_E!$B$1:$CX$1,1)))</f>
        <v>0</v>
      </c>
      <c r="S34" s="56">
        <f t="shared" si="0"/>
        <v>0</v>
      </c>
      <c r="T34" s="50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spans="1:36" ht="15" customHeight="1" thickBot="1" x14ac:dyDescent="0.25">
      <c r="A35" s="57">
        <v>32</v>
      </c>
      <c r="B35" s="137">
        <f>Hakemler!B35</f>
        <v>0</v>
      </c>
      <c r="C35" s="138">
        <f>Hakemler!C35</f>
        <v>0</v>
      </c>
      <c r="D35" s="60"/>
      <c r="E35" s="64">
        <f>IF(ISBLANK(D35),0,ABS(Uzman_E!A$4-D35))</f>
        <v>0</v>
      </c>
      <c r="F35" s="55">
        <f>IF(ISBLANK(D35),0,INDEX(Tablo_E!$B$2:$CX$102,MATCH(ROUND(Uzman_E!A$4,1),Tablo_E!$A$2:$A$102,1),MATCH(ROUND(E35,1),Tablo_E!$B$1:$CX$1,1)))</f>
        <v>0</v>
      </c>
      <c r="G35" s="60"/>
      <c r="H35" s="64">
        <f>IF(ISBLANK(G35),0,ABS(Uzman_E!B$4-G35))</f>
        <v>0</v>
      </c>
      <c r="I35" s="55">
        <f>IF(ISBLANK(G35),0,INDEX(Tablo_E!$B$2:$CX$102,MATCH(ROUND(Uzman_E!B$4,1),Tablo_E!$A$2:$A$102,1),MATCH(ROUND(H35,1),Tablo_E!$B$1:$CX$1,1)))</f>
        <v>0</v>
      </c>
      <c r="J35" s="60"/>
      <c r="K35" s="64">
        <f>IF(ISBLANK(J35),0,ABS(Uzman_E!C$4-J35))</f>
        <v>0</v>
      </c>
      <c r="L35" s="55">
        <f>IF(ISBLANK(J35),0,INDEX(Tablo_E!$B$2:$CX$102,MATCH(ROUND(Uzman_E!C$4,1),Tablo_E!$A$2:$A$102,1),MATCH(ROUND(K35,1),Tablo_E!$B$1:$CX$1,1)))</f>
        <v>0</v>
      </c>
      <c r="M35" s="60"/>
      <c r="N35" s="64">
        <f>IF(ISBLANK(M35),0,ABS(Uzman_E!D$4-M35))</f>
        <v>0</v>
      </c>
      <c r="O35" s="55">
        <f>IF(ISBLANK(M35),0,INDEX(Tablo_E!$B$2:$CX$102,MATCH(ROUND(Uzman_E!D$4,1),Tablo_E!$A$2:$A$102,1),MATCH(ROUND(N35,1),Tablo_E!$B$1:$CX$1,1)))</f>
        <v>0</v>
      </c>
      <c r="P35" s="60"/>
      <c r="Q35" s="64">
        <f>IF(ISBLANK(P35),0,ABS(Uzman_E!E$4-P35))</f>
        <v>0</v>
      </c>
      <c r="R35" s="55">
        <f>IF(ISBLANK(P35),0,INDEX(Tablo_E!$B$2:$CX$102,MATCH(ROUND(Uzman_E!B$4,1),Tablo_E!$A$2:$A$102,1),MATCH(ROUND(Q35,1),Tablo_E!$B$1:$CX$1,1)))</f>
        <v>0</v>
      </c>
      <c r="S35" s="56">
        <f t="shared" si="0"/>
        <v>0</v>
      </c>
      <c r="T35" s="50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spans="1:36" ht="15" customHeight="1" thickBot="1" x14ac:dyDescent="0.25">
      <c r="A36" s="57">
        <v>33</v>
      </c>
      <c r="B36" s="137">
        <f>Hakemler!B36</f>
        <v>0</v>
      </c>
      <c r="C36" s="138">
        <f>Hakemler!C36</f>
        <v>0</v>
      </c>
      <c r="D36" s="60"/>
      <c r="E36" s="64">
        <f>IF(ISBLANK(D36),0,ABS(Uzman_E!A$4-D36))</f>
        <v>0</v>
      </c>
      <c r="F36" s="55">
        <f>IF(ISBLANK(D36),0,INDEX(Tablo_E!$B$2:$CX$102,MATCH(ROUND(Uzman_E!A$4,1),Tablo_E!$A$2:$A$102,1),MATCH(ROUND(E36,1),Tablo_E!$B$1:$CX$1,1)))</f>
        <v>0</v>
      </c>
      <c r="G36" s="60"/>
      <c r="H36" s="64">
        <f>IF(ISBLANK(G36),0,ABS(Uzman_E!B$4-G36))</f>
        <v>0</v>
      </c>
      <c r="I36" s="55">
        <f>IF(ISBLANK(G36),0,INDEX(Tablo_E!$B$2:$CX$102,MATCH(ROUND(Uzman_E!B$4,1),Tablo_E!$A$2:$A$102,1),MATCH(ROUND(H36,1),Tablo_E!$B$1:$CX$1,1)))</f>
        <v>0</v>
      </c>
      <c r="J36" s="60"/>
      <c r="K36" s="64">
        <f>IF(ISBLANK(J36),0,ABS(Uzman_E!C$4-J36))</f>
        <v>0</v>
      </c>
      <c r="L36" s="55">
        <f>IF(ISBLANK(J36),0,INDEX(Tablo_E!$B$2:$CX$102,MATCH(ROUND(Uzman_E!C$4,1),Tablo_E!$A$2:$A$102,1),MATCH(ROUND(K36,1),Tablo_E!$B$1:$CX$1,1)))</f>
        <v>0</v>
      </c>
      <c r="M36" s="60"/>
      <c r="N36" s="64">
        <f>IF(ISBLANK(M36),0,ABS(Uzman_E!D$4-M36))</f>
        <v>0</v>
      </c>
      <c r="O36" s="55">
        <f>IF(ISBLANK(M36),0,INDEX(Tablo_E!$B$2:$CX$102,MATCH(ROUND(Uzman_E!D$4,1),Tablo_E!$A$2:$A$102,1),MATCH(ROUND(N36,1),Tablo_E!$B$1:$CX$1,1)))</f>
        <v>0</v>
      </c>
      <c r="P36" s="60"/>
      <c r="Q36" s="64">
        <f>IF(ISBLANK(P36),0,ABS(Uzman_E!E$4-P36))</f>
        <v>0</v>
      </c>
      <c r="R36" s="55">
        <f>IF(ISBLANK(P36),0,INDEX(Tablo_E!$B$2:$CX$102,MATCH(ROUND(Uzman_E!B$4,1),Tablo_E!$A$2:$A$102,1),MATCH(ROUND(Q36,1),Tablo_E!$B$1:$CX$1,1)))</f>
        <v>0</v>
      </c>
      <c r="S36" s="56">
        <f t="shared" si="0"/>
        <v>0</v>
      </c>
      <c r="T36" s="50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spans="1:36" ht="15" customHeight="1" thickBot="1" x14ac:dyDescent="0.25">
      <c r="A37" s="57">
        <v>34</v>
      </c>
      <c r="B37" s="137">
        <f>Hakemler!B37</f>
        <v>0</v>
      </c>
      <c r="C37" s="138">
        <f>Hakemler!C37</f>
        <v>0</v>
      </c>
      <c r="D37" s="60"/>
      <c r="E37" s="64">
        <f>IF(ISBLANK(D37),0,ABS(Uzman_E!A$4-D37))</f>
        <v>0</v>
      </c>
      <c r="F37" s="55">
        <f>IF(ISBLANK(D37),0,INDEX(Tablo_E!$B$2:$CX$102,MATCH(ROUND(Uzman_E!A$4,1),Tablo_E!$A$2:$A$102,1),MATCH(ROUND(E37,1),Tablo_E!$B$1:$CX$1,1)))</f>
        <v>0</v>
      </c>
      <c r="G37" s="60"/>
      <c r="H37" s="64">
        <f>IF(ISBLANK(G37),0,ABS(Uzman_E!B$4-G37))</f>
        <v>0</v>
      </c>
      <c r="I37" s="55">
        <f>IF(ISBLANK(G37),0,INDEX(Tablo_E!$B$2:$CX$102,MATCH(ROUND(Uzman_E!B$4,1),Tablo_E!$A$2:$A$102,1),MATCH(ROUND(H37,1),Tablo_E!$B$1:$CX$1,1)))</f>
        <v>0</v>
      </c>
      <c r="J37" s="60"/>
      <c r="K37" s="64">
        <f>IF(ISBLANK(J37),0,ABS(Uzman_E!C$4-J37))</f>
        <v>0</v>
      </c>
      <c r="L37" s="55">
        <f>IF(ISBLANK(J37),0,INDEX(Tablo_E!$B$2:$CX$102,MATCH(ROUND(Uzman_E!C$4,1),Tablo_E!$A$2:$A$102,1),MATCH(ROUND(K37,1),Tablo_E!$B$1:$CX$1,1)))</f>
        <v>0</v>
      </c>
      <c r="M37" s="60"/>
      <c r="N37" s="64">
        <f>IF(ISBLANK(M37),0,ABS(Uzman_E!D$4-M37))</f>
        <v>0</v>
      </c>
      <c r="O37" s="55">
        <f>IF(ISBLANK(M37),0,INDEX(Tablo_E!$B$2:$CX$102,MATCH(ROUND(Uzman_E!D$4,1),Tablo_E!$A$2:$A$102,1),MATCH(ROUND(N37,1),Tablo_E!$B$1:$CX$1,1)))</f>
        <v>0</v>
      </c>
      <c r="P37" s="60"/>
      <c r="Q37" s="64">
        <f>IF(ISBLANK(P37),0,ABS(Uzman_E!E$4-P37))</f>
        <v>0</v>
      </c>
      <c r="R37" s="55">
        <f>IF(ISBLANK(P37),0,INDEX(Tablo_E!$B$2:$CX$102,MATCH(ROUND(Uzman_E!B$4,1),Tablo_E!$A$2:$A$102,1),MATCH(ROUND(Q37,1),Tablo_E!$B$1:$CX$1,1)))</f>
        <v>0</v>
      </c>
      <c r="S37" s="56">
        <f t="shared" si="0"/>
        <v>0</v>
      </c>
      <c r="T37" s="50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spans="1:36" ht="15" customHeight="1" thickBot="1" x14ac:dyDescent="0.25">
      <c r="A38" s="57">
        <v>35</v>
      </c>
      <c r="B38" s="137">
        <f>Hakemler!B38</f>
        <v>0</v>
      </c>
      <c r="C38" s="138">
        <f>Hakemler!C38</f>
        <v>0</v>
      </c>
      <c r="D38" s="60"/>
      <c r="E38" s="64">
        <f>IF(ISBLANK(D38),0,ABS(Uzman_E!A$4-D38))</f>
        <v>0</v>
      </c>
      <c r="F38" s="55">
        <f>IF(ISBLANK(D38),0,INDEX(Tablo_E!$B$2:$CX$102,MATCH(ROUND(Uzman_E!A$4,1),Tablo_E!$A$2:$A$102,1),MATCH(ROUND(E38,1),Tablo_E!$B$1:$CX$1,1)))</f>
        <v>0</v>
      </c>
      <c r="G38" s="60"/>
      <c r="H38" s="64">
        <f>IF(ISBLANK(G38),0,ABS(Uzman_E!B$4-G38))</f>
        <v>0</v>
      </c>
      <c r="I38" s="55">
        <f>IF(ISBLANK(G38),0,INDEX(Tablo_E!$B$2:$CX$102,MATCH(ROUND(Uzman_E!B$4,1),Tablo_E!$A$2:$A$102,1),MATCH(ROUND(H38,1),Tablo_E!$B$1:$CX$1,1)))</f>
        <v>0</v>
      </c>
      <c r="J38" s="60"/>
      <c r="K38" s="64">
        <f>IF(ISBLANK(J38),0,ABS(Uzman_E!C$4-J38))</f>
        <v>0</v>
      </c>
      <c r="L38" s="55">
        <f>IF(ISBLANK(J38),0,INDEX(Tablo_E!$B$2:$CX$102,MATCH(ROUND(Uzman_E!C$4,1),Tablo_E!$A$2:$A$102,1),MATCH(ROUND(K38,1),Tablo_E!$B$1:$CX$1,1)))</f>
        <v>0</v>
      </c>
      <c r="M38" s="60"/>
      <c r="N38" s="64">
        <f>IF(ISBLANK(M38),0,ABS(Uzman_E!D$4-M38))</f>
        <v>0</v>
      </c>
      <c r="O38" s="55">
        <f>IF(ISBLANK(M38),0,INDEX(Tablo_E!$B$2:$CX$102,MATCH(ROUND(Uzman_E!D$4,1),Tablo_E!$A$2:$A$102,1),MATCH(ROUND(N38,1),Tablo_E!$B$1:$CX$1,1)))</f>
        <v>0</v>
      </c>
      <c r="P38" s="60"/>
      <c r="Q38" s="64">
        <f>IF(ISBLANK(P38),0,ABS(Uzman_E!E$4-P38))</f>
        <v>0</v>
      </c>
      <c r="R38" s="55">
        <f>IF(ISBLANK(P38),0,INDEX(Tablo_E!$B$2:$CX$102,MATCH(ROUND(Uzman_E!B$4,1),Tablo_E!$A$2:$A$102,1),MATCH(ROUND(Q38,1),Tablo_E!$B$1:$CX$1,1)))</f>
        <v>0</v>
      </c>
      <c r="S38" s="56">
        <f t="shared" si="0"/>
        <v>0</v>
      </c>
      <c r="T38" s="50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spans="1:36" ht="15" customHeight="1" thickBot="1" x14ac:dyDescent="0.25">
      <c r="A39" s="57">
        <v>36</v>
      </c>
      <c r="B39" s="137">
        <f>Hakemler!B39</f>
        <v>0</v>
      </c>
      <c r="C39" s="138">
        <f>Hakemler!C39</f>
        <v>0</v>
      </c>
      <c r="D39" s="60"/>
      <c r="E39" s="64">
        <f>IF(ISBLANK(D39),0,ABS(Uzman_E!A$4-D39))</f>
        <v>0</v>
      </c>
      <c r="F39" s="55">
        <f>IF(ISBLANK(D39),0,INDEX(Tablo_E!$B$2:$CX$102,MATCH(ROUND(Uzman_E!A$4,1),Tablo_E!$A$2:$A$102,1),MATCH(ROUND(E39,1),Tablo_E!$B$1:$CX$1,1)))</f>
        <v>0</v>
      </c>
      <c r="G39" s="60"/>
      <c r="H39" s="64">
        <f>IF(ISBLANK(G39),0,ABS(Uzman_E!B$4-G39))</f>
        <v>0</v>
      </c>
      <c r="I39" s="55">
        <f>IF(ISBLANK(G39),0,INDEX(Tablo_E!$B$2:$CX$102,MATCH(ROUND(Uzman_E!B$4,1),Tablo_E!$A$2:$A$102,1),MATCH(ROUND(H39,1),Tablo_E!$B$1:$CX$1,1)))</f>
        <v>0</v>
      </c>
      <c r="J39" s="60"/>
      <c r="K39" s="64">
        <f>IF(ISBLANK(J39),0,ABS(Uzman_E!C$4-J39))</f>
        <v>0</v>
      </c>
      <c r="L39" s="55">
        <f>IF(ISBLANK(J39),0,INDEX(Tablo_E!$B$2:$CX$102,MATCH(ROUND(Uzman_E!C$4,1),Tablo_E!$A$2:$A$102,1),MATCH(ROUND(K39,1),Tablo_E!$B$1:$CX$1,1)))</f>
        <v>0</v>
      </c>
      <c r="M39" s="60"/>
      <c r="N39" s="64">
        <f>IF(ISBLANK(M39),0,ABS(Uzman_E!D$4-M39))</f>
        <v>0</v>
      </c>
      <c r="O39" s="55">
        <f>IF(ISBLANK(M39),0,INDEX(Tablo_E!$B$2:$CX$102,MATCH(ROUND(Uzman_E!D$4,1),Tablo_E!$A$2:$A$102,1),MATCH(ROUND(N39,1),Tablo_E!$B$1:$CX$1,1)))</f>
        <v>0</v>
      </c>
      <c r="P39" s="60"/>
      <c r="Q39" s="64">
        <f>IF(ISBLANK(P39),0,ABS(Uzman_E!E$4-P39))</f>
        <v>0</v>
      </c>
      <c r="R39" s="55">
        <f>IF(ISBLANK(P39),0,INDEX(Tablo_E!$B$2:$CX$102,MATCH(ROUND(Uzman_E!B$4,1),Tablo_E!$A$2:$A$102,1),MATCH(ROUND(Q39,1),Tablo_E!$B$1:$CX$1,1)))</f>
        <v>0</v>
      </c>
      <c r="S39" s="56">
        <f t="shared" si="0"/>
        <v>0</v>
      </c>
      <c r="T39" s="50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spans="1:36" ht="15" customHeight="1" thickBot="1" x14ac:dyDescent="0.25">
      <c r="A40" s="57">
        <v>37</v>
      </c>
      <c r="B40" s="139">
        <f>Hakemler!B40</f>
        <v>0</v>
      </c>
      <c r="C40" s="140">
        <f>Hakemler!C40</f>
        <v>0</v>
      </c>
      <c r="D40" s="60"/>
      <c r="E40" s="65">
        <f>IF(ISBLANK(D40),0,ABS(Uzman_E!A$4-D40))</f>
        <v>0</v>
      </c>
      <c r="F40" s="61">
        <f>IF(ISBLANK(D40),0,INDEX(Tablo_E!$B$2:$CX$102,MATCH(ROUND(Uzman_E!A$4,1),Tablo_E!$A$2:$A$102,1),MATCH(ROUND(E40,1),Tablo_E!$B$1:$CX$1,1)))</f>
        <v>0</v>
      </c>
      <c r="G40" s="60"/>
      <c r="H40" s="64">
        <f>IF(ISBLANK(G40),0,ABS(Uzman_E!B$4-G40))</f>
        <v>0</v>
      </c>
      <c r="I40" s="61">
        <f>IF(ISBLANK(G40),0,INDEX(Tablo_E!$B$2:$CX$102,MATCH(ROUND(Uzman_E!B$4,1),Tablo_E!$A$2:$A$102,1),MATCH(ROUND(H40,1),Tablo_E!$B$1:$CX$1,1)))</f>
        <v>0</v>
      </c>
      <c r="J40" s="60"/>
      <c r="K40" s="65">
        <f>IF(ISBLANK(J40),0,ABS(Uzman_E!C$4-J40))</f>
        <v>0</v>
      </c>
      <c r="L40" s="61">
        <f>IF(ISBLANK(J40),0,INDEX(Tablo_E!$B$2:$CX$102,MATCH(ROUND(Uzman_E!C$4,1),Tablo_E!$A$2:$A$102,1),MATCH(ROUND(K40,1),Tablo_E!$B$1:$CX$1,1)))</f>
        <v>0</v>
      </c>
      <c r="M40" s="60"/>
      <c r="N40" s="65">
        <f>IF(ISBLANK(M40),0,ABS(Uzman_E!D$4-M40))</f>
        <v>0</v>
      </c>
      <c r="O40" s="61">
        <f>IF(ISBLANK(M40),0,INDEX(Tablo_E!$B$2:$CX$102,MATCH(ROUND(Uzman_E!D$4,1),Tablo_E!$A$2:$A$102,1),MATCH(ROUND(N40,1),Tablo_E!$B$1:$CX$1,1)))</f>
        <v>0</v>
      </c>
      <c r="P40" s="60"/>
      <c r="Q40" s="64">
        <f>IF(ISBLANK(P40),0,ABS(Uzman_E!E$4-P40))</f>
        <v>0</v>
      </c>
      <c r="R40" s="61">
        <f>IF(ISBLANK(P40),0,INDEX(Tablo_E!$B$2:$CX$102,MATCH(ROUND(Uzman_E!B$4,1),Tablo_E!$A$2:$A$102,1),MATCH(ROUND(Q40,1),Tablo_E!$B$1:$CX$1,1)))</f>
        <v>0</v>
      </c>
      <c r="S40" s="56">
        <f t="shared" si="0"/>
        <v>0</v>
      </c>
      <c r="T40" s="50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spans="1:36" ht="15" customHeight="1" thickBot="1" x14ac:dyDescent="0.25">
      <c r="A41" s="57">
        <v>38</v>
      </c>
      <c r="B41" s="139">
        <f>Hakemler!B41</f>
        <v>0</v>
      </c>
      <c r="C41" s="140">
        <f>Hakemler!C41</f>
        <v>0</v>
      </c>
      <c r="D41" s="60"/>
      <c r="E41" s="65">
        <f>IF(ISBLANK(D41),0,ABS(Uzman_E!A$4-D41))</f>
        <v>0</v>
      </c>
      <c r="F41" s="61">
        <f>IF(ISBLANK(D41),0,INDEX(Tablo_E!$B$2:$CX$102,MATCH(ROUND(Uzman_E!A$4,1),Tablo_E!$A$2:$A$102,1),MATCH(ROUND(E41,1),Tablo_E!$B$1:$CX$1,1)))</f>
        <v>0</v>
      </c>
      <c r="G41" s="60"/>
      <c r="H41" s="64">
        <f>IF(ISBLANK(G41),0,ABS(Uzman_E!B$4-G41))</f>
        <v>0</v>
      </c>
      <c r="I41" s="61">
        <f>IF(ISBLANK(G41),0,INDEX(Tablo_E!$B$2:$CX$102,MATCH(ROUND(Uzman_E!B$4,1),Tablo_E!$A$2:$A$102,1),MATCH(ROUND(H41,1),Tablo_E!$B$1:$CX$1,1)))</f>
        <v>0</v>
      </c>
      <c r="J41" s="60"/>
      <c r="K41" s="65">
        <f>IF(ISBLANK(J41),0,ABS(Uzman_E!C$4-J41))</f>
        <v>0</v>
      </c>
      <c r="L41" s="61">
        <f>IF(ISBLANK(J41),0,INDEX(Tablo_E!$B$2:$CX$102,MATCH(ROUND(Uzman_E!C$4,1),Tablo_E!$A$2:$A$102,1),MATCH(ROUND(K41,1),Tablo_E!$B$1:$CX$1,1)))</f>
        <v>0</v>
      </c>
      <c r="M41" s="60"/>
      <c r="N41" s="65">
        <f>IF(ISBLANK(M41),0,ABS(Uzman_E!D$4-M41))</f>
        <v>0</v>
      </c>
      <c r="O41" s="61">
        <f>IF(ISBLANK(M41),0,INDEX(Tablo_E!$B$2:$CX$102,MATCH(ROUND(Uzman_E!D$4,1),Tablo_E!$A$2:$A$102,1),MATCH(ROUND(N41,1),Tablo_E!$B$1:$CX$1,1)))</f>
        <v>0</v>
      </c>
      <c r="P41" s="60"/>
      <c r="Q41" s="64">
        <f>IF(ISBLANK(P41),0,ABS(Uzman_E!E$4-P41))</f>
        <v>0</v>
      </c>
      <c r="R41" s="61">
        <f>IF(ISBLANK(P41),0,INDEX(Tablo_E!$B$2:$CX$102,MATCH(ROUND(Uzman_E!B$4,1),Tablo_E!$A$2:$A$102,1),MATCH(ROUND(Q41,1),Tablo_E!$B$1:$CX$1,1)))</f>
        <v>0</v>
      </c>
      <c r="S41" s="56">
        <f t="shared" si="0"/>
        <v>0</v>
      </c>
      <c r="T41" s="50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spans="1:36" ht="15" customHeight="1" thickBot="1" x14ac:dyDescent="0.25">
      <c r="A42" s="57">
        <v>39</v>
      </c>
      <c r="B42" s="139">
        <f>Hakemler!B42</f>
        <v>0</v>
      </c>
      <c r="C42" s="140">
        <f>Hakemler!C42</f>
        <v>0</v>
      </c>
      <c r="D42" s="60"/>
      <c r="E42" s="65">
        <f>IF(ISBLANK(D42),0,ABS(Uzman_E!A$4-D42))</f>
        <v>0</v>
      </c>
      <c r="F42" s="61">
        <f>IF(ISBLANK(D42),0,INDEX(Tablo_E!$B$2:$CX$102,MATCH(ROUND(Uzman_E!A$4,1),Tablo_E!$A$2:$A$102,1),MATCH(ROUND(E42,1),Tablo_E!$B$1:$CX$1,1)))</f>
        <v>0</v>
      </c>
      <c r="G42" s="60"/>
      <c r="H42" s="64">
        <f>IF(ISBLANK(G42),0,ABS(Uzman_E!B$4-G42))</f>
        <v>0</v>
      </c>
      <c r="I42" s="61">
        <f>IF(ISBLANK(G42),0,INDEX(Tablo_E!$B$2:$CX$102,MATCH(ROUND(Uzman_E!B$4,1),Tablo_E!$A$2:$A$102,1),MATCH(ROUND(H42,1),Tablo_E!$B$1:$CX$1,1)))</f>
        <v>0</v>
      </c>
      <c r="J42" s="60"/>
      <c r="K42" s="65">
        <f>IF(ISBLANK(J42),0,ABS(Uzman_E!C$4-J42))</f>
        <v>0</v>
      </c>
      <c r="L42" s="61">
        <f>IF(ISBLANK(J42),0,INDEX(Tablo_E!$B$2:$CX$102,MATCH(ROUND(Uzman_E!C$4,1),Tablo_E!$A$2:$A$102,1),MATCH(ROUND(K42,1),Tablo_E!$B$1:$CX$1,1)))</f>
        <v>0</v>
      </c>
      <c r="M42" s="60"/>
      <c r="N42" s="65">
        <f>IF(ISBLANK(M42),0,ABS(Uzman_E!D$4-M42))</f>
        <v>0</v>
      </c>
      <c r="O42" s="61">
        <f>IF(ISBLANK(M42),0,INDEX(Tablo_E!$B$2:$CX$102,MATCH(ROUND(Uzman_E!D$4,1),Tablo_E!$A$2:$A$102,1),MATCH(ROUND(N42,1),Tablo_E!$B$1:$CX$1,1)))</f>
        <v>0</v>
      </c>
      <c r="P42" s="60"/>
      <c r="Q42" s="64">
        <f>IF(ISBLANK(P42),0,ABS(Uzman_E!E$4-P42))</f>
        <v>0</v>
      </c>
      <c r="R42" s="61">
        <f>IF(ISBLANK(P42),0,INDEX(Tablo_E!$B$2:$CX$102,MATCH(ROUND(Uzman_E!B$4,1),Tablo_E!$A$2:$A$102,1),MATCH(ROUND(Q42,1),Tablo_E!$B$1:$CX$1,1)))</f>
        <v>0</v>
      </c>
      <c r="S42" s="56">
        <f t="shared" si="0"/>
        <v>0</v>
      </c>
      <c r="T42" s="50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spans="1:36" ht="15" customHeight="1" thickBot="1" x14ac:dyDescent="0.25">
      <c r="A43" s="57">
        <v>40</v>
      </c>
      <c r="B43" s="137">
        <f>Hakemler!B43</f>
        <v>0</v>
      </c>
      <c r="C43" s="138">
        <f>Hakemler!C43</f>
        <v>0</v>
      </c>
      <c r="D43" s="60"/>
      <c r="E43" s="65">
        <f>IF(ISBLANK(D43),0,ABS(Uzman_E!A$4-D43))</f>
        <v>0</v>
      </c>
      <c r="F43" s="61">
        <f>IF(ISBLANK(D43),0,INDEX(Tablo_E!$B$2:$CX$102,MATCH(ROUND(Uzman_E!A$4,1),Tablo_E!$A$2:$A$102,1),MATCH(ROUND(E43,1),Tablo_E!$B$1:$CX$1,1)))</f>
        <v>0</v>
      </c>
      <c r="G43" s="60"/>
      <c r="H43" s="64">
        <f>IF(ISBLANK(G43),0,ABS(Uzman_E!B$4-G43))</f>
        <v>0</v>
      </c>
      <c r="I43" s="61">
        <f>IF(ISBLANK(G43),0,INDEX(Tablo_E!$B$2:$CX$102,MATCH(ROUND(Uzman_E!B$4,1),Tablo_E!$A$2:$A$102,1),MATCH(ROUND(H43,1),Tablo_E!$B$1:$CX$1,1)))</f>
        <v>0</v>
      </c>
      <c r="J43" s="60"/>
      <c r="K43" s="65">
        <f>IF(ISBLANK(J43),0,ABS(Uzman_E!C$4-J43))</f>
        <v>0</v>
      </c>
      <c r="L43" s="61">
        <f>IF(ISBLANK(J43),0,INDEX(Tablo_E!$B$2:$CX$102,MATCH(ROUND(Uzman_E!C$4,1),Tablo_E!$A$2:$A$102,1),MATCH(ROUND(K43,1),Tablo_E!$B$1:$CX$1,1)))</f>
        <v>0</v>
      </c>
      <c r="M43" s="60"/>
      <c r="N43" s="65">
        <f>IF(ISBLANK(M43),0,ABS(Uzman_E!D$4-M43))</f>
        <v>0</v>
      </c>
      <c r="O43" s="61">
        <f>IF(ISBLANK(M43),0,INDEX(Tablo_E!$B$2:$CX$102,MATCH(ROUND(Uzman_E!D$4,1),Tablo_E!$A$2:$A$102,1),MATCH(ROUND(N43,1),Tablo_E!$B$1:$CX$1,1)))</f>
        <v>0</v>
      </c>
      <c r="P43" s="60"/>
      <c r="Q43" s="64">
        <f>IF(ISBLANK(P43),0,ABS(Uzman_E!E$4-P43))</f>
        <v>0</v>
      </c>
      <c r="R43" s="61">
        <f>IF(ISBLANK(P43),0,INDEX(Tablo_E!$B$2:$CX$102,MATCH(ROUND(Uzman_E!B$4,1),Tablo_E!$A$2:$A$102,1),MATCH(ROUND(Q43,1),Tablo_E!$B$1:$CX$1,1)))</f>
        <v>0</v>
      </c>
      <c r="S43" s="56">
        <f t="shared" si="0"/>
        <v>0</v>
      </c>
      <c r="T43" s="50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spans="1:36" ht="15" customHeight="1" thickBot="1" x14ac:dyDescent="0.25">
      <c r="A44" s="57">
        <v>41</v>
      </c>
      <c r="B44" s="139">
        <f>Hakemler!B44</f>
        <v>0</v>
      </c>
      <c r="C44" s="140">
        <f>Hakemler!C44</f>
        <v>0</v>
      </c>
      <c r="D44" s="60"/>
      <c r="E44" s="65">
        <f>IF(ISBLANK(D44),0,ABS(Uzman_E!A$4-D44))</f>
        <v>0</v>
      </c>
      <c r="F44" s="61">
        <f>IF(ISBLANK(D44),0,INDEX(Tablo_E!$B$2:$CX$102,MATCH(ROUND(Uzman_E!A$4,1),Tablo_E!$A$2:$A$102,1),MATCH(ROUND(E44,1),Tablo_E!$B$1:$CX$1,1)))</f>
        <v>0</v>
      </c>
      <c r="G44" s="60"/>
      <c r="H44" s="64">
        <f>IF(ISBLANK(G44),0,ABS(Uzman_E!B$4-G44))</f>
        <v>0</v>
      </c>
      <c r="I44" s="61">
        <f>IF(ISBLANK(G44),0,INDEX(Tablo_E!$B$2:$CX$102,MATCH(ROUND(Uzman_E!B$4,1),Tablo_E!$A$2:$A$102,1),MATCH(ROUND(H44,1),Tablo_E!$B$1:$CX$1,1)))</f>
        <v>0</v>
      </c>
      <c r="J44" s="60"/>
      <c r="K44" s="65">
        <f>IF(ISBLANK(J44),0,ABS(Uzman_E!C$4-J44))</f>
        <v>0</v>
      </c>
      <c r="L44" s="61">
        <f>IF(ISBLANK(J44),0,INDEX(Tablo_E!$B$2:$CX$102,MATCH(ROUND(Uzman_E!C$4,1),Tablo_E!$A$2:$A$102,1),MATCH(ROUND(K44,1),Tablo_E!$B$1:$CX$1,1)))</f>
        <v>0</v>
      </c>
      <c r="M44" s="60"/>
      <c r="N44" s="65">
        <f>IF(ISBLANK(M44),0,ABS(Uzman_E!D$4-M44))</f>
        <v>0</v>
      </c>
      <c r="O44" s="61">
        <f>IF(ISBLANK(M44),0,INDEX(Tablo_E!$B$2:$CX$102,MATCH(ROUND(Uzman_E!D$4,1),Tablo_E!$A$2:$A$102,1),MATCH(ROUND(N44,1),Tablo_E!$B$1:$CX$1,1)))</f>
        <v>0</v>
      </c>
      <c r="P44" s="60"/>
      <c r="Q44" s="64">
        <f>IF(ISBLANK(P44),0,ABS(Uzman_E!E$4-P44))</f>
        <v>0</v>
      </c>
      <c r="R44" s="61">
        <f>IF(ISBLANK(P44),0,INDEX(Tablo_E!$B$2:$CX$102,MATCH(ROUND(Uzman_E!B$4,1),Tablo_E!$A$2:$A$102,1),MATCH(ROUND(Q44,1),Tablo_E!$B$1:$CX$1,1)))</f>
        <v>0</v>
      </c>
      <c r="S44" s="56">
        <f t="shared" si="0"/>
        <v>0</v>
      </c>
      <c r="T44" s="50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spans="1:36" ht="15" customHeight="1" thickBot="1" x14ac:dyDescent="0.25">
      <c r="A45" s="57">
        <v>42</v>
      </c>
      <c r="B45" s="137">
        <f>Hakemler!B45</f>
        <v>0</v>
      </c>
      <c r="C45" s="138">
        <f>Hakemler!C45</f>
        <v>0</v>
      </c>
      <c r="D45" s="60"/>
      <c r="E45" s="65">
        <f>IF(ISBLANK(D45),0,ABS(Uzman_E!A$4-D45))</f>
        <v>0</v>
      </c>
      <c r="F45" s="61">
        <f>IF(ISBLANK(D45),0,INDEX(Tablo_E!$B$2:$CX$102,MATCH(ROUND(Uzman_E!A$4,1),Tablo_E!$A$2:$A$102,1),MATCH(ROUND(E45,1),Tablo_E!$B$1:$CX$1,1)))</f>
        <v>0</v>
      </c>
      <c r="G45" s="60"/>
      <c r="H45" s="64">
        <f>IF(ISBLANK(G45),0,ABS(Uzman_E!B$4-G45))</f>
        <v>0</v>
      </c>
      <c r="I45" s="61">
        <f>IF(ISBLANK(G45),0,INDEX(Tablo_E!$B$2:$CX$102,MATCH(ROUND(Uzman_E!B$4,1),Tablo_E!$A$2:$A$102,1),MATCH(ROUND(H45,1),Tablo_E!$B$1:$CX$1,1)))</f>
        <v>0</v>
      </c>
      <c r="J45" s="60"/>
      <c r="K45" s="65">
        <f>IF(ISBLANK(J45),0,ABS(Uzman_E!C$4-J45))</f>
        <v>0</v>
      </c>
      <c r="L45" s="61">
        <f>IF(ISBLANK(J45),0,INDEX(Tablo_E!$B$2:$CX$102,MATCH(ROUND(Uzman_E!C$4,1),Tablo_E!$A$2:$A$102,1),MATCH(ROUND(K45,1),Tablo_E!$B$1:$CX$1,1)))</f>
        <v>0</v>
      </c>
      <c r="M45" s="60"/>
      <c r="N45" s="65">
        <f>IF(ISBLANK(M45),0,ABS(Uzman_E!D$4-M45))</f>
        <v>0</v>
      </c>
      <c r="O45" s="61">
        <f>IF(ISBLANK(M45),0,INDEX(Tablo_E!$B$2:$CX$102,MATCH(ROUND(Uzman_E!D$4,1),Tablo_E!$A$2:$A$102,1),MATCH(ROUND(N45,1),Tablo_E!$B$1:$CX$1,1)))</f>
        <v>0</v>
      </c>
      <c r="P45" s="60"/>
      <c r="Q45" s="64">
        <f>IF(ISBLANK(P45),0,ABS(Uzman_E!E$4-P45))</f>
        <v>0</v>
      </c>
      <c r="R45" s="61">
        <f>IF(ISBLANK(P45),0,INDEX(Tablo_E!$B$2:$CX$102,MATCH(ROUND(Uzman_E!B$4,1),Tablo_E!$A$2:$A$102,1),MATCH(ROUND(Q45,1),Tablo_E!$B$1:$CX$1,1)))</f>
        <v>0</v>
      </c>
      <c r="S45" s="56">
        <f t="shared" si="0"/>
        <v>0</v>
      </c>
      <c r="T45" s="50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spans="1:36" ht="15" customHeight="1" thickBot="1" x14ac:dyDescent="0.25">
      <c r="A46" s="57">
        <v>43</v>
      </c>
      <c r="B46" s="139">
        <f>Hakemler!B46</f>
        <v>0</v>
      </c>
      <c r="C46" s="140">
        <f>Hakemler!C46</f>
        <v>0</v>
      </c>
      <c r="D46" s="60"/>
      <c r="E46" s="65">
        <f>IF(ISBLANK(D46),0,ABS(Uzman_E!A$4-D46))</f>
        <v>0</v>
      </c>
      <c r="F46" s="61">
        <f>IF(ISBLANK(D46),0,INDEX(Tablo_E!$B$2:$CX$102,MATCH(ROUND(Uzman_E!A$4,1),Tablo_E!$A$2:$A$102,1),MATCH(ROUND(E46,1),Tablo_E!$B$1:$CX$1,1)))</f>
        <v>0</v>
      </c>
      <c r="G46" s="60"/>
      <c r="H46" s="64">
        <f>IF(ISBLANK(G46),0,ABS(Uzman_E!B$4-G46))</f>
        <v>0</v>
      </c>
      <c r="I46" s="61">
        <f>IF(ISBLANK(G46),0,INDEX(Tablo_E!$B$2:$CX$102,MATCH(ROUND(Uzman_E!B$4,1),Tablo_E!$A$2:$A$102,1),MATCH(ROUND(H46,1),Tablo_E!$B$1:$CX$1,1)))</f>
        <v>0</v>
      </c>
      <c r="J46" s="60"/>
      <c r="K46" s="65">
        <f>IF(ISBLANK(J46),0,ABS(Uzman_E!C$4-J46))</f>
        <v>0</v>
      </c>
      <c r="L46" s="61">
        <f>IF(ISBLANK(J46),0,INDEX(Tablo_E!$B$2:$CX$102,MATCH(ROUND(Uzman_E!C$4,1),Tablo_E!$A$2:$A$102,1),MATCH(ROUND(K46,1),Tablo_E!$B$1:$CX$1,1)))</f>
        <v>0</v>
      </c>
      <c r="M46" s="60"/>
      <c r="N46" s="65">
        <f>IF(ISBLANK(M46),0,ABS(Uzman_E!D$4-M46))</f>
        <v>0</v>
      </c>
      <c r="O46" s="61">
        <f>IF(ISBLANK(M46),0,INDEX(Tablo_E!$B$2:$CX$102,MATCH(ROUND(Uzman_E!D$4,1),Tablo_E!$A$2:$A$102,1),MATCH(ROUND(N46,1),Tablo_E!$B$1:$CX$1,1)))</f>
        <v>0</v>
      </c>
      <c r="P46" s="60"/>
      <c r="Q46" s="64">
        <f>IF(ISBLANK(P46),0,ABS(Uzman_E!E$4-P46))</f>
        <v>0</v>
      </c>
      <c r="R46" s="61">
        <f>IF(ISBLANK(P46),0,INDEX(Tablo_E!$B$2:$CX$102,MATCH(ROUND(Uzman_E!B$4,1),Tablo_E!$A$2:$A$102,1),MATCH(ROUND(Q46,1),Tablo_E!$B$1:$CX$1,1)))</f>
        <v>0</v>
      </c>
      <c r="S46" s="56">
        <f t="shared" si="0"/>
        <v>0</v>
      </c>
      <c r="T46" s="50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spans="1:36" ht="15" customHeight="1" thickBot="1" x14ac:dyDescent="0.25">
      <c r="A47" s="57">
        <v>44</v>
      </c>
      <c r="B47" s="139">
        <f>Hakemler!B47</f>
        <v>0</v>
      </c>
      <c r="C47" s="140">
        <f>Hakemler!C47</f>
        <v>0</v>
      </c>
      <c r="D47" s="60"/>
      <c r="E47" s="65">
        <f>IF(ISBLANK(D47),0,ABS(Uzman_E!A$4-D47))</f>
        <v>0</v>
      </c>
      <c r="F47" s="61">
        <f>IF(ISBLANK(D47),0,INDEX(Tablo_E!$B$2:$CX$102,MATCH(ROUND(Uzman_E!A$4,1),Tablo_E!$A$2:$A$102,1),MATCH(ROUND(E47,1),Tablo_E!$B$1:$CX$1,1)))</f>
        <v>0</v>
      </c>
      <c r="G47" s="60"/>
      <c r="H47" s="64">
        <f>IF(ISBLANK(G47),0,ABS(Uzman_E!B$4-G47))</f>
        <v>0</v>
      </c>
      <c r="I47" s="61">
        <f>IF(ISBLANK(G47),0,INDEX(Tablo_E!$B$2:$CX$102,MATCH(ROUND(Uzman_E!B$4,1),Tablo_E!$A$2:$A$102,1),MATCH(ROUND(H47,1),Tablo_E!$B$1:$CX$1,1)))</f>
        <v>0</v>
      </c>
      <c r="J47" s="60"/>
      <c r="K47" s="65">
        <f>IF(ISBLANK(J47),0,ABS(Uzman_E!C$4-J47))</f>
        <v>0</v>
      </c>
      <c r="L47" s="61">
        <f>IF(ISBLANK(J47),0,INDEX(Tablo_E!$B$2:$CX$102,MATCH(ROUND(Uzman_E!C$4,1),Tablo_E!$A$2:$A$102,1),MATCH(ROUND(K47,1),Tablo_E!$B$1:$CX$1,1)))</f>
        <v>0</v>
      </c>
      <c r="M47" s="60"/>
      <c r="N47" s="65">
        <f>IF(ISBLANK(M47),0,ABS(Uzman_E!D$4-M47))</f>
        <v>0</v>
      </c>
      <c r="O47" s="61">
        <f>IF(ISBLANK(M47),0,INDEX(Tablo_E!$B$2:$CX$102,MATCH(ROUND(Uzman_E!D$4,1),Tablo_E!$A$2:$A$102,1),MATCH(ROUND(N47,1),Tablo_E!$B$1:$CX$1,1)))</f>
        <v>0</v>
      </c>
      <c r="P47" s="60"/>
      <c r="Q47" s="64">
        <f>IF(ISBLANK(P47),0,ABS(Uzman_E!E$4-P47))</f>
        <v>0</v>
      </c>
      <c r="R47" s="61">
        <f>IF(ISBLANK(P47),0,INDEX(Tablo_E!$B$2:$CX$102,MATCH(ROUND(Uzman_E!B$4,1),Tablo_E!$A$2:$A$102,1),MATCH(ROUND(Q47,1),Tablo_E!$B$1:$CX$1,1)))</f>
        <v>0</v>
      </c>
      <c r="S47" s="56">
        <f t="shared" si="0"/>
        <v>0</v>
      </c>
      <c r="T47" s="50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spans="1:36" ht="15" customHeight="1" thickBot="1" x14ac:dyDescent="0.25">
      <c r="A48" s="57">
        <v>45</v>
      </c>
      <c r="B48" s="137">
        <f>Hakemler!B48</f>
        <v>0</v>
      </c>
      <c r="C48" s="138">
        <f>Hakemler!C48</f>
        <v>0</v>
      </c>
      <c r="D48" s="60"/>
      <c r="E48" s="65">
        <f>IF(ISBLANK(D48),0,ABS(Uzman_E!A$4-D48))</f>
        <v>0</v>
      </c>
      <c r="F48" s="61">
        <f>IF(ISBLANK(D48),0,INDEX(Tablo_E!$B$2:$CX$102,MATCH(ROUND(Uzman_E!A$4,1),Tablo_E!$A$2:$A$102,1),MATCH(ROUND(E48,1),Tablo_E!$B$1:$CX$1,1)))</f>
        <v>0</v>
      </c>
      <c r="G48" s="60"/>
      <c r="H48" s="64">
        <f>IF(ISBLANK(G48),0,ABS(Uzman_E!B$4-G48))</f>
        <v>0</v>
      </c>
      <c r="I48" s="61">
        <f>IF(ISBLANK(G48),0,INDEX(Tablo_E!$B$2:$CX$102,MATCH(ROUND(Uzman_E!B$4,1),Tablo_E!$A$2:$A$102,1),MATCH(ROUND(H48,1),Tablo_E!$B$1:$CX$1,1)))</f>
        <v>0</v>
      </c>
      <c r="J48" s="60"/>
      <c r="K48" s="65">
        <f>IF(ISBLANK(J48),0,ABS(Uzman_E!C$4-J48))</f>
        <v>0</v>
      </c>
      <c r="L48" s="61">
        <f>IF(ISBLANK(J48),0,INDEX(Tablo_E!$B$2:$CX$102,MATCH(ROUND(Uzman_E!C$4,1),Tablo_E!$A$2:$A$102,1),MATCH(ROUND(K48,1),Tablo_E!$B$1:$CX$1,1)))</f>
        <v>0</v>
      </c>
      <c r="M48" s="60"/>
      <c r="N48" s="65">
        <f>IF(ISBLANK(M48),0,ABS(Uzman_E!D$4-M48))</f>
        <v>0</v>
      </c>
      <c r="O48" s="61">
        <f>IF(ISBLANK(M48),0,INDEX(Tablo_E!$B$2:$CX$102,MATCH(ROUND(Uzman_E!D$4,1),Tablo_E!$A$2:$A$102,1),MATCH(ROUND(N48,1),Tablo_E!$B$1:$CX$1,1)))</f>
        <v>0</v>
      </c>
      <c r="P48" s="60"/>
      <c r="Q48" s="64">
        <f>IF(ISBLANK(P48),0,ABS(Uzman_E!E$4-P48))</f>
        <v>0</v>
      </c>
      <c r="R48" s="61">
        <f>IF(ISBLANK(P48),0,INDEX(Tablo_E!$B$2:$CX$102,MATCH(ROUND(Uzman_E!B$4,1),Tablo_E!$A$2:$A$102,1),MATCH(ROUND(Q48,1),Tablo_E!$B$1:$CX$1,1)))</f>
        <v>0</v>
      </c>
      <c r="S48" s="56">
        <f t="shared" si="0"/>
        <v>0</v>
      </c>
      <c r="T48" s="50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spans="1:36" ht="15" customHeight="1" thickBot="1" x14ac:dyDescent="0.25">
      <c r="A49" s="57">
        <v>46</v>
      </c>
      <c r="B49" s="139">
        <f>Hakemler!B49</f>
        <v>0</v>
      </c>
      <c r="C49" s="140">
        <f>Hakemler!C49</f>
        <v>0</v>
      </c>
      <c r="D49" s="60"/>
      <c r="E49" s="65">
        <f>IF(ISBLANK(D49),0,ABS(Uzman_E!A$4-D49))</f>
        <v>0</v>
      </c>
      <c r="F49" s="61">
        <f>IF(ISBLANK(D49),0,INDEX(Tablo_E!$B$2:$CX$102,MATCH(ROUND(Uzman_E!A$4,1),Tablo_E!$A$2:$A$102,1),MATCH(ROUND(E49,1),Tablo_E!$B$1:$CX$1,1)))</f>
        <v>0</v>
      </c>
      <c r="G49" s="60"/>
      <c r="H49" s="64">
        <f>IF(ISBLANK(G49),0,ABS(Uzman_E!B$4-G49))</f>
        <v>0</v>
      </c>
      <c r="I49" s="61">
        <f>IF(ISBLANK(G49),0,INDEX(Tablo_E!$B$2:$CX$102,MATCH(ROUND(Uzman_E!B$4,1),Tablo_E!$A$2:$A$102,1),MATCH(ROUND(H49,1),Tablo_E!$B$1:$CX$1,1)))</f>
        <v>0</v>
      </c>
      <c r="J49" s="60"/>
      <c r="K49" s="65">
        <f>IF(ISBLANK(J49),0,ABS(Uzman_E!C$4-J49))</f>
        <v>0</v>
      </c>
      <c r="L49" s="61">
        <f>IF(ISBLANK(J49),0,INDEX(Tablo_E!$B$2:$CX$102,MATCH(ROUND(Uzman_E!C$4,1),Tablo_E!$A$2:$A$102,1),MATCH(ROUND(K49,1),Tablo_E!$B$1:$CX$1,1)))</f>
        <v>0</v>
      </c>
      <c r="M49" s="60"/>
      <c r="N49" s="65">
        <f>IF(ISBLANK(M49),0,ABS(Uzman_E!D$4-M49))</f>
        <v>0</v>
      </c>
      <c r="O49" s="61">
        <f>IF(ISBLANK(M49),0,INDEX(Tablo_E!$B$2:$CX$102,MATCH(ROUND(Uzman_E!D$4,1),Tablo_E!$A$2:$A$102,1),MATCH(ROUND(N49,1),Tablo_E!$B$1:$CX$1,1)))</f>
        <v>0</v>
      </c>
      <c r="P49" s="60"/>
      <c r="Q49" s="64">
        <f>IF(ISBLANK(P49),0,ABS(Uzman_E!E$4-P49))</f>
        <v>0</v>
      </c>
      <c r="R49" s="61">
        <f>IF(ISBLANK(P49),0,INDEX(Tablo_E!$B$2:$CX$102,MATCH(ROUND(Uzman_E!B$4,1),Tablo_E!$A$2:$A$102,1),MATCH(ROUND(Q49,1),Tablo_E!$B$1:$CX$1,1)))</f>
        <v>0</v>
      </c>
      <c r="S49" s="56">
        <f t="shared" si="0"/>
        <v>0</v>
      </c>
      <c r="T49" s="50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spans="1:36" ht="15" customHeight="1" thickBot="1" x14ac:dyDescent="0.25">
      <c r="A50" s="57">
        <v>47</v>
      </c>
      <c r="B50" s="137">
        <f>Hakemler!B50</f>
        <v>0</v>
      </c>
      <c r="C50" s="138">
        <f>Hakemler!C50</f>
        <v>0</v>
      </c>
      <c r="D50" s="60"/>
      <c r="E50" s="65">
        <f>IF(ISBLANK(D50),0,ABS(Uzman_E!A$4-D50))</f>
        <v>0</v>
      </c>
      <c r="F50" s="61">
        <f>IF(ISBLANK(D50),0,INDEX(Tablo_E!$B$2:$CX$102,MATCH(ROUND(Uzman_E!A$4,1),Tablo_E!$A$2:$A$102,1),MATCH(ROUND(E50,1),Tablo_E!$B$1:$CX$1,1)))</f>
        <v>0</v>
      </c>
      <c r="G50" s="60"/>
      <c r="H50" s="64">
        <f>IF(ISBLANK(G50),0,ABS(Uzman_E!B$4-G50))</f>
        <v>0</v>
      </c>
      <c r="I50" s="61">
        <f>IF(ISBLANK(G50),0,INDEX(Tablo_E!$B$2:$CX$102,MATCH(ROUND(Uzman_E!B$4,1),Tablo_E!$A$2:$A$102,1),MATCH(ROUND(H50,1),Tablo_E!$B$1:$CX$1,1)))</f>
        <v>0</v>
      </c>
      <c r="J50" s="60"/>
      <c r="K50" s="65">
        <f>IF(ISBLANK(J50),0,ABS(Uzman_E!C$4-J50))</f>
        <v>0</v>
      </c>
      <c r="L50" s="61">
        <f>IF(ISBLANK(J50),0,INDEX(Tablo_E!$B$2:$CX$102,MATCH(ROUND(Uzman_E!C$4,1),Tablo_E!$A$2:$A$102,1),MATCH(ROUND(K50,1),Tablo_E!$B$1:$CX$1,1)))</f>
        <v>0</v>
      </c>
      <c r="M50" s="60"/>
      <c r="N50" s="65">
        <f>IF(ISBLANK(M50),0,ABS(Uzman_E!D$4-M50))</f>
        <v>0</v>
      </c>
      <c r="O50" s="61">
        <f>IF(ISBLANK(M50),0,INDEX(Tablo_E!$B$2:$CX$102,MATCH(ROUND(Uzman_E!D$4,1),Tablo_E!$A$2:$A$102,1),MATCH(ROUND(N50,1),Tablo_E!$B$1:$CX$1,1)))</f>
        <v>0</v>
      </c>
      <c r="P50" s="60"/>
      <c r="Q50" s="64">
        <f>IF(ISBLANK(P50),0,ABS(Uzman_E!E$4-P50))</f>
        <v>0</v>
      </c>
      <c r="R50" s="61">
        <f>IF(ISBLANK(P50),0,INDEX(Tablo_E!$B$2:$CX$102,MATCH(ROUND(Uzman_E!B$4,1),Tablo_E!$A$2:$A$102,1),MATCH(ROUND(Q50,1),Tablo_E!$B$1:$CX$1,1)))</f>
        <v>0</v>
      </c>
      <c r="S50" s="56">
        <f t="shared" si="0"/>
        <v>0</v>
      </c>
      <c r="T50" s="50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spans="1:36" ht="15" customHeight="1" thickBot="1" x14ac:dyDescent="0.25">
      <c r="A51" s="57">
        <v>48</v>
      </c>
      <c r="B51" s="139">
        <f>Hakemler!B51</f>
        <v>0</v>
      </c>
      <c r="C51" s="140">
        <f>Hakemler!C51</f>
        <v>0</v>
      </c>
      <c r="D51" s="60"/>
      <c r="E51" s="65">
        <f>IF(ISBLANK(D51),0,ABS(Uzman_E!A$4-D51))</f>
        <v>0</v>
      </c>
      <c r="F51" s="61">
        <f>IF(ISBLANK(D51),0,INDEX(Tablo_E!$B$2:$CX$102,MATCH(ROUND(Uzman_E!A$4,1),Tablo_E!$A$2:$A$102,1),MATCH(ROUND(E51,1),Tablo_E!$B$1:$CX$1,1)))</f>
        <v>0</v>
      </c>
      <c r="G51" s="60"/>
      <c r="H51" s="64">
        <f>IF(ISBLANK(G51),0,ABS(Uzman_E!B$4-G51))</f>
        <v>0</v>
      </c>
      <c r="I51" s="61">
        <f>IF(ISBLANK(G51),0,INDEX(Tablo_E!$B$2:$CX$102,MATCH(ROUND(Uzman_E!B$4,1),Tablo_E!$A$2:$A$102,1),MATCH(ROUND(H51,1),Tablo_E!$B$1:$CX$1,1)))</f>
        <v>0</v>
      </c>
      <c r="J51" s="60"/>
      <c r="K51" s="65">
        <f>IF(ISBLANK(J51),0,ABS(Uzman_E!C$4-J51))</f>
        <v>0</v>
      </c>
      <c r="L51" s="61">
        <f>IF(ISBLANK(J51),0,INDEX(Tablo_E!$B$2:$CX$102,MATCH(ROUND(Uzman_E!C$4,1),Tablo_E!$A$2:$A$102,1),MATCH(ROUND(K51,1),Tablo_E!$B$1:$CX$1,1)))</f>
        <v>0</v>
      </c>
      <c r="M51" s="60"/>
      <c r="N51" s="65">
        <f>IF(ISBLANK(M51),0,ABS(Uzman_E!D$4-M51))</f>
        <v>0</v>
      </c>
      <c r="O51" s="61">
        <f>IF(ISBLANK(M51),0,INDEX(Tablo_E!$B$2:$CX$102,MATCH(ROUND(Uzman_E!D$4,1),Tablo_E!$A$2:$A$102,1),MATCH(ROUND(N51,1),Tablo_E!$B$1:$CX$1,1)))</f>
        <v>0</v>
      </c>
      <c r="P51" s="60"/>
      <c r="Q51" s="64">
        <f>IF(ISBLANK(P51),0,ABS(Uzman_E!E$4-P51))</f>
        <v>0</v>
      </c>
      <c r="R51" s="61">
        <f>IF(ISBLANK(P51),0,INDEX(Tablo_E!$B$2:$CX$102,MATCH(ROUND(Uzman_E!B$4,1),Tablo_E!$A$2:$A$102,1),MATCH(ROUND(Q51,1),Tablo_E!$B$1:$CX$1,1)))</f>
        <v>0</v>
      </c>
      <c r="S51" s="56">
        <f t="shared" si="0"/>
        <v>0</v>
      </c>
      <c r="T51" s="50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spans="1:36" ht="15" customHeight="1" thickBot="1" x14ac:dyDescent="0.25">
      <c r="A52" s="57">
        <v>49</v>
      </c>
      <c r="B52" s="137">
        <f>Hakemler!B52</f>
        <v>0</v>
      </c>
      <c r="C52" s="138">
        <f>Hakemler!C52</f>
        <v>0</v>
      </c>
      <c r="D52" s="60"/>
      <c r="E52" s="65">
        <f>IF(ISBLANK(D52),0,ABS(Uzman_E!A$4-D52))</f>
        <v>0</v>
      </c>
      <c r="F52" s="61">
        <f>IF(ISBLANK(D52),0,INDEX(Tablo_E!$B$2:$CX$102,MATCH(ROUND(Uzman_E!A$4,1),Tablo_E!$A$2:$A$102,1),MATCH(ROUND(E52,1),Tablo_E!$B$1:$CX$1,1)))</f>
        <v>0</v>
      </c>
      <c r="G52" s="60"/>
      <c r="H52" s="64">
        <f>IF(ISBLANK(G52),0,ABS(Uzman_E!B$4-G52))</f>
        <v>0</v>
      </c>
      <c r="I52" s="61">
        <f>IF(ISBLANK(G52),0,INDEX(Tablo_E!$B$2:$CX$102,MATCH(ROUND(Uzman_E!B$4,1),Tablo_E!$A$2:$A$102,1),MATCH(ROUND(H52,1),Tablo_E!$B$1:$CX$1,1)))</f>
        <v>0</v>
      </c>
      <c r="J52" s="60"/>
      <c r="K52" s="65">
        <f>IF(ISBLANK(J52),0,ABS(Uzman_E!C$4-J52))</f>
        <v>0</v>
      </c>
      <c r="L52" s="61">
        <f>IF(ISBLANK(J52),0,INDEX(Tablo_E!$B$2:$CX$102,MATCH(ROUND(Uzman_E!C$4,1),Tablo_E!$A$2:$A$102,1),MATCH(ROUND(K52,1),Tablo_E!$B$1:$CX$1,1)))</f>
        <v>0</v>
      </c>
      <c r="M52" s="60"/>
      <c r="N52" s="65">
        <f>IF(ISBLANK(M52),0,ABS(Uzman_E!D$4-M52))</f>
        <v>0</v>
      </c>
      <c r="O52" s="61">
        <f>IF(ISBLANK(M52),0,INDEX(Tablo_E!$B$2:$CX$102,MATCH(ROUND(Uzman_E!D$4,1),Tablo_E!$A$2:$A$102,1),MATCH(ROUND(N52,1),Tablo_E!$B$1:$CX$1,1)))</f>
        <v>0</v>
      </c>
      <c r="P52" s="60"/>
      <c r="Q52" s="64">
        <f>IF(ISBLANK(P52),0,ABS(Uzman_E!E$4-P52))</f>
        <v>0</v>
      </c>
      <c r="R52" s="61">
        <f>IF(ISBLANK(P52),0,INDEX(Tablo_E!$B$2:$CX$102,MATCH(ROUND(Uzman_E!B$4,1),Tablo_E!$A$2:$A$102,1),MATCH(ROUND(Q52,1),Tablo_E!$B$1:$CX$1,1)))</f>
        <v>0</v>
      </c>
      <c r="S52" s="56">
        <f t="shared" si="0"/>
        <v>0</v>
      </c>
      <c r="T52" s="50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spans="1:36" ht="15" customHeight="1" thickBot="1" x14ac:dyDescent="0.25">
      <c r="A53" s="57">
        <v>50</v>
      </c>
      <c r="B53" s="137">
        <f>Hakemler!B53</f>
        <v>0</v>
      </c>
      <c r="C53" s="138">
        <f>Hakemler!C53</f>
        <v>0</v>
      </c>
      <c r="D53" s="60"/>
      <c r="E53" s="65">
        <f>IF(ISBLANK(D53),0,ABS(Uzman_E!A$4-D53))</f>
        <v>0</v>
      </c>
      <c r="F53" s="61">
        <f>IF(ISBLANK(D53),0,INDEX(Tablo_E!$B$2:$CX$102,MATCH(ROUND(Uzman_E!A$4,1),Tablo_E!$A$2:$A$102,1),MATCH(ROUND(E53,1),Tablo_E!$B$1:$CX$1,1)))</f>
        <v>0</v>
      </c>
      <c r="G53" s="60"/>
      <c r="H53" s="64">
        <f>IF(ISBLANK(G53),0,ABS(Uzman_E!B$4-G53))</f>
        <v>0</v>
      </c>
      <c r="I53" s="61">
        <f>IF(ISBLANK(G53),0,INDEX(Tablo_E!$B$2:$CX$102,MATCH(ROUND(Uzman_E!B$4,1),Tablo_E!$A$2:$A$102,1),MATCH(ROUND(H53,1),Tablo_E!$B$1:$CX$1,1)))</f>
        <v>0</v>
      </c>
      <c r="J53" s="60"/>
      <c r="K53" s="65">
        <f>IF(ISBLANK(J53),0,ABS(Uzman_E!C$4-J53))</f>
        <v>0</v>
      </c>
      <c r="L53" s="61">
        <f>IF(ISBLANK(J53),0,INDEX(Tablo_E!$B$2:$CX$102,MATCH(ROUND(Uzman_E!C$4,1),Tablo_E!$A$2:$A$102,1),MATCH(ROUND(K53,1),Tablo_E!$B$1:$CX$1,1)))</f>
        <v>0</v>
      </c>
      <c r="M53" s="60"/>
      <c r="N53" s="65">
        <f>IF(ISBLANK(M53),0,ABS(Uzman_E!D$4-M53))</f>
        <v>0</v>
      </c>
      <c r="O53" s="61">
        <f>IF(ISBLANK(M53),0,INDEX(Tablo_E!$B$2:$CX$102,MATCH(ROUND(Uzman_E!D$4,1),Tablo_E!$A$2:$A$102,1),MATCH(ROUND(N53,1),Tablo_E!$B$1:$CX$1,1)))</f>
        <v>0</v>
      </c>
      <c r="P53" s="60"/>
      <c r="Q53" s="64">
        <f>IF(ISBLANK(P53),0,ABS(Uzman_E!E$4-P53))</f>
        <v>0</v>
      </c>
      <c r="R53" s="61">
        <f>IF(ISBLANK(P53),0,INDEX(Tablo_E!$B$2:$CX$102,MATCH(ROUND(Uzman_E!B$4,1),Tablo_E!$A$2:$A$102,1),MATCH(ROUND(Q53,1),Tablo_E!$B$1:$CX$1,1)))</f>
        <v>0</v>
      </c>
      <c r="S53" s="56">
        <f t="shared" si="0"/>
        <v>0</v>
      </c>
      <c r="T53" s="50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spans="1:36" ht="15" customHeight="1" thickBot="1" x14ac:dyDescent="0.25">
      <c r="A54" s="57">
        <v>51</v>
      </c>
      <c r="B54" s="139">
        <f>Hakemler!B54</f>
        <v>0</v>
      </c>
      <c r="C54" s="140">
        <f>Hakemler!C54</f>
        <v>0</v>
      </c>
      <c r="D54" s="60"/>
      <c r="E54" s="65">
        <f>IF(ISBLANK(D54),0,ABS(Uzman_E!A$4-D54))</f>
        <v>0</v>
      </c>
      <c r="F54" s="61">
        <f>IF(ISBLANK(D54),0,INDEX(Tablo_E!$B$2:$CX$102,MATCH(ROUND(Uzman_E!A$4,1),Tablo_E!$A$2:$A$102,1),MATCH(ROUND(E54,1),Tablo_E!$B$1:$CX$1,1)))</f>
        <v>0</v>
      </c>
      <c r="G54" s="60"/>
      <c r="H54" s="64">
        <f>IF(ISBLANK(G54),0,ABS(Uzman_E!B$4-G54))</f>
        <v>0</v>
      </c>
      <c r="I54" s="61">
        <f>IF(ISBLANK(G54),0,INDEX(Tablo_E!$B$2:$CX$102,MATCH(ROUND(Uzman_E!B$4,1),Tablo_E!$A$2:$A$102,1),MATCH(ROUND(H54,1),Tablo_E!$B$1:$CX$1,1)))</f>
        <v>0</v>
      </c>
      <c r="J54" s="60"/>
      <c r="K54" s="65">
        <f>IF(ISBLANK(J54),0,ABS(Uzman_E!C$4-J54))</f>
        <v>0</v>
      </c>
      <c r="L54" s="61">
        <f>IF(ISBLANK(J54),0,INDEX(Tablo_E!$B$2:$CX$102,MATCH(ROUND(Uzman_E!C$4,1),Tablo_E!$A$2:$A$102,1),MATCH(ROUND(K54,1),Tablo_E!$B$1:$CX$1,1)))</f>
        <v>0</v>
      </c>
      <c r="M54" s="60"/>
      <c r="N54" s="65">
        <f>IF(ISBLANK(M54),0,ABS(Uzman_E!D$4-M54))</f>
        <v>0</v>
      </c>
      <c r="O54" s="61">
        <f>IF(ISBLANK(M54),0,INDEX(Tablo_E!$B$2:$CX$102,MATCH(ROUND(Uzman_E!D$4,1),Tablo_E!$A$2:$A$102,1),MATCH(ROUND(N54,1),Tablo_E!$B$1:$CX$1,1)))</f>
        <v>0</v>
      </c>
      <c r="P54" s="60"/>
      <c r="Q54" s="64">
        <f>IF(ISBLANK(P54),0,ABS(Uzman_E!E$4-P54))</f>
        <v>0</v>
      </c>
      <c r="R54" s="61">
        <f>IF(ISBLANK(P54),0,INDEX(Tablo_E!$B$2:$CX$102,MATCH(ROUND(Uzman_E!B$4,1),Tablo_E!$A$2:$A$102,1),MATCH(ROUND(Q54,1),Tablo_E!$B$1:$CX$1,1)))</f>
        <v>0</v>
      </c>
      <c r="S54" s="56">
        <f t="shared" si="0"/>
        <v>0</v>
      </c>
      <c r="T54" s="50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spans="1:36" ht="15" customHeight="1" thickBot="1" x14ac:dyDescent="0.25">
      <c r="A55" s="57">
        <v>52</v>
      </c>
      <c r="B55" s="139">
        <f>Hakemler!B55</f>
        <v>0</v>
      </c>
      <c r="C55" s="140">
        <f>Hakemler!C55</f>
        <v>0</v>
      </c>
      <c r="D55" s="60"/>
      <c r="E55" s="65">
        <f>IF(ISBLANK(D55),0,ABS(Uzman_E!A$4-D55))</f>
        <v>0</v>
      </c>
      <c r="F55" s="61">
        <f>IF(ISBLANK(D55),0,INDEX(Tablo_E!$B$2:$CX$102,MATCH(ROUND(Uzman_E!A$4,1),Tablo_E!$A$2:$A$102,1),MATCH(ROUND(E55,1),Tablo_E!$B$1:$CX$1,1)))</f>
        <v>0</v>
      </c>
      <c r="G55" s="60"/>
      <c r="H55" s="64">
        <f>IF(ISBLANK(G55),0,ABS(Uzman_E!B$4-G55))</f>
        <v>0</v>
      </c>
      <c r="I55" s="61">
        <f>IF(ISBLANK(G55),0,INDEX(Tablo_E!$B$2:$CX$102,MATCH(ROUND(Uzman_E!B$4,1),Tablo_E!$A$2:$A$102,1),MATCH(ROUND(H55,1),Tablo_E!$B$1:$CX$1,1)))</f>
        <v>0</v>
      </c>
      <c r="J55" s="60"/>
      <c r="K55" s="65">
        <f>IF(ISBLANK(J55),0,ABS(Uzman_E!C$4-J55))</f>
        <v>0</v>
      </c>
      <c r="L55" s="61">
        <f>IF(ISBLANK(J55),0,INDEX(Tablo_E!$B$2:$CX$102,MATCH(ROUND(Uzman_E!C$4,1),Tablo_E!$A$2:$A$102,1),MATCH(ROUND(K55,1),Tablo_E!$B$1:$CX$1,1)))</f>
        <v>0</v>
      </c>
      <c r="M55" s="60"/>
      <c r="N55" s="65">
        <f>IF(ISBLANK(M55),0,ABS(Uzman_E!D$4-M55))</f>
        <v>0</v>
      </c>
      <c r="O55" s="61">
        <f>IF(ISBLANK(M55),0,INDEX(Tablo_E!$B$2:$CX$102,MATCH(ROUND(Uzman_E!D$4,1),Tablo_E!$A$2:$A$102,1),MATCH(ROUND(N55,1),Tablo_E!$B$1:$CX$1,1)))</f>
        <v>0</v>
      </c>
      <c r="P55" s="60"/>
      <c r="Q55" s="64">
        <f>IF(ISBLANK(P55),0,ABS(Uzman_E!E$4-P55))</f>
        <v>0</v>
      </c>
      <c r="R55" s="61">
        <f>IF(ISBLANK(P55),0,INDEX(Tablo_E!$B$2:$CX$102,MATCH(ROUND(Uzman_E!B$4,1),Tablo_E!$A$2:$A$102,1),MATCH(ROUND(Q55,1),Tablo_E!$B$1:$CX$1,1)))</f>
        <v>0</v>
      </c>
      <c r="S55" s="56">
        <f t="shared" si="0"/>
        <v>0</v>
      </c>
      <c r="T55" s="50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spans="1:36" ht="15" customHeight="1" thickBot="1" x14ac:dyDescent="0.25">
      <c r="A56" s="57">
        <v>53</v>
      </c>
      <c r="B56" s="139">
        <f>Hakemler!B56</f>
        <v>0</v>
      </c>
      <c r="C56" s="138">
        <f>Hakemler!C56</f>
        <v>0</v>
      </c>
      <c r="D56" s="60"/>
      <c r="E56" s="65">
        <f>IF(ISBLANK(D56),0,ABS(Uzman_E!A$4-D56))</f>
        <v>0</v>
      </c>
      <c r="F56" s="61">
        <f>IF(ISBLANK(D56),0,INDEX(Tablo_E!$B$2:$CX$102,MATCH(ROUND(Uzman_E!A$4,1),Tablo_E!$A$2:$A$102,1),MATCH(ROUND(E56,1),Tablo_E!$B$1:$CX$1,1)))</f>
        <v>0</v>
      </c>
      <c r="G56" s="60"/>
      <c r="H56" s="64">
        <f>IF(ISBLANK(G56),0,ABS(Uzman_E!B$4-G56))</f>
        <v>0</v>
      </c>
      <c r="I56" s="61">
        <f>IF(ISBLANK(G56),0,INDEX(Tablo_E!$B$2:$CX$102,MATCH(ROUND(Uzman_E!B$4,1),Tablo_E!$A$2:$A$102,1),MATCH(ROUND(H56,1),Tablo_E!$B$1:$CX$1,1)))</f>
        <v>0</v>
      </c>
      <c r="J56" s="60"/>
      <c r="K56" s="65">
        <f>IF(ISBLANK(J56),0,ABS(Uzman_E!C$4-J56))</f>
        <v>0</v>
      </c>
      <c r="L56" s="61">
        <f>IF(ISBLANK(J56),0,INDEX(Tablo_E!$B$2:$CX$102,MATCH(ROUND(Uzman_E!C$4,1),Tablo_E!$A$2:$A$102,1),MATCH(ROUND(K56,1),Tablo_E!$B$1:$CX$1,1)))</f>
        <v>0</v>
      </c>
      <c r="M56" s="60"/>
      <c r="N56" s="65">
        <f>IF(ISBLANK(M56),0,ABS(Uzman_E!D$4-M56))</f>
        <v>0</v>
      </c>
      <c r="O56" s="61">
        <f>IF(ISBLANK(M56),0,INDEX(Tablo_E!$B$2:$CX$102,MATCH(ROUND(Uzman_E!D$4,1),Tablo_E!$A$2:$A$102,1),MATCH(ROUND(N56,1),Tablo_E!$B$1:$CX$1,1)))</f>
        <v>0</v>
      </c>
      <c r="P56" s="60"/>
      <c r="Q56" s="64">
        <f>IF(ISBLANK(P56),0,ABS(Uzman_E!E$4-P56))</f>
        <v>0</v>
      </c>
      <c r="R56" s="61">
        <f>IF(ISBLANK(P56),0,INDEX(Tablo_E!$B$2:$CX$102,MATCH(ROUND(Uzman_E!B$4,1),Tablo_E!$A$2:$A$102,1),MATCH(ROUND(Q56,1),Tablo_E!$B$1:$CX$1,1)))</f>
        <v>0</v>
      </c>
      <c r="S56" s="56">
        <f t="shared" si="0"/>
        <v>0</v>
      </c>
      <c r="T56" s="50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spans="1:36" ht="15" customHeight="1" thickBot="1" x14ac:dyDescent="0.25">
      <c r="A57" s="57">
        <v>54</v>
      </c>
      <c r="B57" s="137">
        <f>Hakemler!B57</f>
        <v>0</v>
      </c>
      <c r="C57" s="138">
        <f>Hakemler!C57</f>
        <v>0</v>
      </c>
      <c r="D57" s="60"/>
      <c r="E57" s="65">
        <f>IF(ISBLANK(D57),0,ABS(Uzman_E!A$4-D57))</f>
        <v>0</v>
      </c>
      <c r="F57" s="61">
        <f>IF(ISBLANK(D57),0,INDEX(Tablo_E!$B$2:$CX$102,MATCH(ROUND(Uzman_E!A$4,1),Tablo_E!$A$2:$A$102,1),MATCH(ROUND(E57,1),Tablo_E!$B$1:$CX$1,1)))</f>
        <v>0</v>
      </c>
      <c r="G57" s="60"/>
      <c r="H57" s="64">
        <f>IF(ISBLANK(G57),0,ABS(Uzman_E!B$4-G57))</f>
        <v>0</v>
      </c>
      <c r="I57" s="61">
        <f>IF(ISBLANK(G57),0,INDEX(Tablo_E!$B$2:$CX$102,MATCH(ROUND(Uzman_E!B$4,1),Tablo_E!$A$2:$A$102,1),MATCH(ROUND(H57,1),Tablo_E!$B$1:$CX$1,1)))</f>
        <v>0</v>
      </c>
      <c r="J57" s="60"/>
      <c r="K57" s="65">
        <f>IF(ISBLANK(J57),0,ABS(Uzman_E!C$4-J57))</f>
        <v>0</v>
      </c>
      <c r="L57" s="61">
        <f>IF(ISBLANK(J57),0,INDEX(Tablo_E!$B$2:$CX$102,MATCH(ROUND(Uzman_E!C$4,1),Tablo_E!$A$2:$A$102,1),MATCH(ROUND(K57,1),Tablo_E!$B$1:$CX$1,1)))</f>
        <v>0</v>
      </c>
      <c r="M57" s="60"/>
      <c r="N57" s="65">
        <f>IF(ISBLANK(M57),0,ABS(Uzman_E!D$4-M57))</f>
        <v>0</v>
      </c>
      <c r="O57" s="61">
        <f>IF(ISBLANK(M57),0,INDEX(Tablo_E!$B$2:$CX$102,MATCH(ROUND(Uzman_E!D$4,1),Tablo_E!$A$2:$A$102,1),MATCH(ROUND(N57,1),Tablo_E!$B$1:$CX$1,1)))</f>
        <v>0</v>
      </c>
      <c r="P57" s="60"/>
      <c r="Q57" s="64">
        <f>IF(ISBLANK(P57),0,ABS(Uzman_E!E$4-P57))</f>
        <v>0</v>
      </c>
      <c r="R57" s="61">
        <f>IF(ISBLANK(P57),0,INDEX(Tablo_E!$B$2:$CX$102,MATCH(ROUND(Uzman_E!B$4,1),Tablo_E!$A$2:$A$102,1),MATCH(ROUND(Q57,1),Tablo_E!$B$1:$CX$1,1)))</f>
        <v>0</v>
      </c>
      <c r="S57" s="56">
        <f t="shared" si="0"/>
        <v>0</v>
      </c>
      <c r="T57" s="50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spans="1:36" ht="15" customHeight="1" thickBot="1" x14ac:dyDescent="0.25">
      <c r="A58" s="57">
        <v>55</v>
      </c>
      <c r="B58" s="139">
        <f>Hakemler!B58</f>
        <v>0</v>
      </c>
      <c r="C58" s="140">
        <f>Hakemler!C58</f>
        <v>0</v>
      </c>
      <c r="D58" s="60"/>
      <c r="E58" s="65">
        <f>IF(ISBLANK(D58),0,ABS(Uzman_E!A$4-D58))</f>
        <v>0</v>
      </c>
      <c r="F58" s="61">
        <f>IF(ISBLANK(D58),0,INDEX(Tablo_E!$B$2:$CX$102,MATCH(ROUND(Uzman_E!A$4,1),Tablo_E!$A$2:$A$102,1),MATCH(ROUND(E58,1),Tablo_E!$B$1:$CX$1,1)))</f>
        <v>0</v>
      </c>
      <c r="G58" s="60"/>
      <c r="H58" s="64">
        <f>IF(ISBLANK(G58),0,ABS(Uzman_E!B$4-G58))</f>
        <v>0</v>
      </c>
      <c r="I58" s="61">
        <f>IF(ISBLANK(G58),0,INDEX(Tablo_E!$B$2:$CX$102,MATCH(ROUND(Uzman_E!B$4,1),Tablo_E!$A$2:$A$102,1),MATCH(ROUND(H58,1),Tablo_E!$B$1:$CX$1,1)))</f>
        <v>0</v>
      </c>
      <c r="J58" s="60"/>
      <c r="K58" s="65">
        <f>IF(ISBLANK(J58),0,ABS(Uzman_E!C$4-J58))</f>
        <v>0</v>
      </c>
      <c r="L58" s="61">
        <f>IF(ISBLANK(J58),0,INDEX(Tablo_E!$B$2:$CX$102,MATCH(ROUND(Uzman_E!C$4,1),Tablo_E!$A$2:$A$102,1),MATCH(ROUND(K58,1),Tablo_E!$B$1:$CX$1,1)))</f>
        <v>0</v>
      </c>
      <c r="M58" s="60"/>
      <c r="N58" s="65">
        <f>IF(ISBLANK(M58),0,ABS(Uzman_E!D$4-M58))</f>
        <v>0</v>
      </c>
      <c r="O58" s="61">
        <f>IF(ISBLANK(M58),0,INDEX(Tablo_E!$B$2:$CX$102,MATCH(ROUND(Uzman_E!D$4,1),Tablo_E!$A$2:$A$102,1),MATCH(ROUND(N58,1),Tablo_E!$B$1:$CX$1,1)))</f>
        <v>0</v>
      </c>
      <c r="P58" s="60"/>
      <c r="Q58" s="64">
        <f>IF(ISBLANK(P58),0,ABS(Uzman_E!E$4-P58))</f>
        <v>0</v>
      </c>
      <c r="R58" s="61">
        <f>IF(ISBLANK(P58),0,INDEX(Tablo_E!$B$2:$CX$102,MATCH(ROUND(Uzman_E!B$4,1),Tablo_E!$A$2:$A$102,1),MATCH(ROUND(Q58,1),Tablo_E!$B$1:$CX$1,1)))</f>
        <v>0</v>
      </c>
      <c r="S58" s="56">
        <f t="shared" si="0"/>
        <v>0</v>
      </c>
      <c r="T58" s="50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spans="1:36" ht="15" customHeight="1" thickBot="1" x14ac:dyDescent="0.25">
      <c r="A59" s="57">
        <v>56</v>
      </c>
      <c r="B59" s="137">
        <f>Hakemler!B59</f>
        <v>0</v>
      </c>
      <c r="C59" s="138">
        <f>Hakemler!C59</f>
        <v>0</v>
      </c>
      <c r="D59" s="60"/>
      <c r="E59" s="65">
        <f>IF(ISBLANK(D59),0,ABS(Uzman_E!A$4-D59))</f>
        <v>0</v>
      </c>
      <c r="F59" s="61">
        <f>IF(ISBLANK(D59),0,INDEX(Tablo_E!$B$2:$CX$102,MATCH(ROUND(Uzman_E!A$4,1),Tablo_E!$A$2:$A$102,1),MATCH(ROUND(E59,1),Tablo_E!$B$1:$CX$1,1)))</f>
        <v>0</v>
      </c>
      <c r="G59" s="60"/>
      <c r="H59" s="64">
        <f>IF(ISBLANK(G59),0,ABS(Uzman_E!B$4-G59))</f>
        <v>0</v>
      </c>
      <c r="I59" s="61">
        <f>IF(ISBLANK(G59),0,INDEX(Tablo_E!$B$2:$CX$102,MATCH(ROUND(Uzman_E!B$4,1),Tablo_E!$A$2:$A$102,1),MATCH(ROUND(H59,1),Tablo_E!$B$1:$CX$1,1)))</f>
        <v>0</v>
      </c>
      <c r="J59" s="60"/>
      <c r="K59" s="65">
        <f>IF(ISBLANK(J59),0,ABS(Uzman_E!C$4-J59))</f>
        <v>0</v>
      </c>
      <c r="L59" s="61">
        <f>IF(ISBLANK(J59),0,INDEX(Tablo_E!$B$2:$CX$102,MATCH(ROUND(Uzman_E!C$4,1),Tablo_E!$A$2:$A$102,1),MATCH(ROUND(K59,1),Tablo_E!$B$1:$CX$1,1)))</f>
        <v>0</v>
      </c>
      <c r="M59" s="60"/>
      <c r="N59" s="65">
        <f>IF(ISBLANK(M59),0,ABS(Uzman_E!D$4-M59))</f>
        <v>0</v>
      </c>
      <c r="O59" s="61">
        <f>IF(ISBLANK(M59),0,INDEX(Tablo_E!$B$2:$CX$102,MATCH(ROUND(Uzman_E!D$4,1),Tablo_E!$A$2:$A$102,1),MATCH(ROUND(N59,1),Tablo_E!$B$1:$CX$1,1)))</f>
        <v>0</v>
      </c>
      <c r="P59" s="60"/>
      <c r="Q59" s="64">
        <f>IF(ISBLANK(P59),0,ABS(Uzman_E!E$4-P59))</f>
        <v>0</v>
      </c>
      <c r="R59" s="61">
        <f>IF(ISBLANK(P59),0,INDEX(Tablo_E!$B$2:$CX$102,MATCH(ROUND(Uzman_E!B$4,1),Tablo_E!$A$2:$A$102,1),MATCH(ROUND(Q59,1),Tablo_E!$B$1:$CX$1,1)))</f>
        <v>0</v>
      </c>
      <c r="S59" s="56">
        <f t="shared" si="0"/>
        <v>0</v>
      </c>
      <c r="T59" s="50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spans="1:36" ht="15" customHeight="1" thickBot="1" x14ac:dyDescent="0.25">
      <c r="A60" s="57">
        <v>57</v>
      </c>
      <c r="B60" s="139">
        <f>Hakemler!B60</f>
        <v>0</v>
      </c>
      <c r="C60" s="140">
        <f>Hakemler!C60</f>
        <v>0</v>
      </c>
      <c r="D60" s="60"/>
      <c r="E60" s="65">
        <f>IF(ISBLANK(D60),0,ABS(Uzman_E!A$4-D60))</f>
        <v>0</v>
      </c>
      <c r="F60" s="61">
        <f>IF(ISBLANK(D60),0,INDEX(Tablo_E!$B$2:$CX$102,MATCH(ROUND(Uzman_E!A$4,1),Tablo_E!$A$2:$A$102,1),MATCH(ROUND(E60,1),Tablo_E!$B$1:$CX$1,1)))</f>
        <v>0</v>
      </c>
      <c r="G60" s="60"/>
      <c r="H60" s="64">
        <f>IF(ISBLANK(G60),0,ABS(Uzman_E!B$4-G60))</f>
        <v>0</v>
      </c>
      <c r="I60" s="61">
        <f>IF(ISBLANK(G60),0,INDEX(Tablo_E!$B$2:$CX$102,MATCH(ROUND(Uzman_E!B$4,1),Tablo_E!$A$2:$A$102,1),MATCH(ROUND(H60,1),Tablo_E!$B$1:$CX$1,1)))</f>
        <v>0</v>
      </c>
      <c r="J60" s="60"/>
      <c r="K60" s="65">
        <f>IF(ISBLANK(J60),0,ABS(Uzman_E!C$4-J60))</f>
        <v>0</v>
      </c>
      <c r="L60" s="61">
        <f>IF(ISBLANK(J60),0,INDEX(Tablo_E!$B$2:$CX$102,MATCH(ROUND(Uzman_E!C$4,1),Tablo_E!$A$2:$A$102,1),MATCH(ROUND(K60,1),Tablo_E!$B$1:$CX$1,1)))</f>
        <v>0</v>
      </c>
      <c r="M60" s="60"/>
      <c r="N60" s="65">
        <f>IF(ISBLANK(M60),0,ABS(Uzman_E!D$4-M60))</f>
        <v>0</v>
      </c>
      <c r="O60" s="61">
        <f>IF(ISBLANK(M60),0,INDEX(Tablo_E!$B$2:$CX$102,MATCH(ROUND(Uzman_E!D$4,1),Tablo_E!$A$2:$A$102,1),MATCH(ROUND(N60,1),Tablo_E!$B$1:$CX$1,1)))</f>
        <v>0</v>
      </c>
      <c r="P60" s="60"/>
      <c r="Q60" s="64">
        <f>IF(ISBLANK(P60),0,ABS(Uzman_E!E$4-P60))</f>
        <v>0</v>
      </c>
      <c r="R60" s="61">
        <f>IF(ISBLANK(P60),0,INDEX(Tablo_E!$B$2:$CX$102,MATCH(ROUND(Uzman_E!B$4,1),Tablo_E!$A$2:$A$102,1),MATCH(ROUND(Q60,1),Tablo_E!$B$1:$CX$1,1)))</f>
        <v>0</v>
      </c>
      <c r="S60" s="56">
        <f t="shared" si="0"/>
        <v>0</v>
      </c>
      <c r="T60" s="50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spans="1:36" ht="15" customHeight="1" thickBot="1" x14ac:dyDescent="0.25">
      <c r="A61" s="57">
        <v>58</v>
      </c>
      <c r="B61" s="137">
        <f>Hakemler!B61</f>
        <v>0</v>
      </c>
      <c r="C61" s="138">
        <f>Hakemler!C61</f>
        <v>0</v>
      </c>
      <c r="D61" s="60"/>
      <c r="E61" s="65">
        <f>IF(ISBLANK(D61),0,ABS(Uzman_E!A$4-D61))</f>
        <v>0</v>
      </c>
      <c r="F61" s="61">
        <f>IF(ISBLANK(D61),0,INDEX(Tablo_E!$B$2:$CX$102,MATCH(ROUND(Uzman_E!A$4,1),Tablo_E!$A$2:$A$102,1),MATCH(ROUND(E61,1),Tablo_E!$B$1:$CX$1,1)))</f>
        <v>0</v>
      </c>
      <c r="G61" s="60"/>
      <c r="H61" s="64">
        <f>IF(ISBLANK(G61),0,ABS(Uzman_E!B$4-G61))</f>
        <v>0</v>
      </c>
      <c r="I61" s="61">
        <f>IF(ISBLANK(G61),0,INDEX(Tablo_E!$B$2:$CX$102,MATCH(ROUND(Uzman_E!B$4,1),Tablo_E!$A$2:$A$102,1),MATCH(ROUND(H61,1),Tablo_E!$B$1:$CX$1,1)))</f>
        <v>0</v>
      </c>
      <c r="J61" s="60"/>
      <c r="K61" s="65">
        <f>IF(ISBLANK(J61),0,ABS(Uzman_E!C$4-J61))</f>
        <v>0</v>
      </c>
      <c r="L61" s="61">
        <f>IF(ISBLANK(J61),0,INDEX(Tablo_E!$B$2:$CX$102,MATCH(ROUND(Uzman_E!C$4,1),Tablo_E!$A$2:$A$102,1),MATCH(ROUND(K61,1),Tablo_E!$B$1:$CX$1,1)))</f>
        <v>0</v>
      </c>
      <c r="M61" s="60"/>
      <c r="N61" s="65">
        <f>IF(ISBLANK(M61),0,ABS(Uzman_E!D$4-M61))</f>
        <v>0</v>
      </c>
      <c r="O61" s="61">
        <f>IF(ISBLANK(M61),0,INDEX(Tablo_E!$B$2:$CX$102,MATCH(ROUND(Uzman_E!D$4,1),Tablo_E!$A$2:$A$102,1),MATCH(ROUND(N61,1),Tablo_E!$B$1:$CX$1,1)))</f>
        <v>0</v>
      </c>
      <c r="P61" s="60"/>
      <c r="Q61" s="64">
        <f>IF(ISBLANK(P61),0,ABS(Uzman_E!E$4-P61))</f>
        <v>0</v>
      </c>
      <c r="R61" s="61">
        <f>IF(ISBLANK(P61),0,INDEX(Tablo_E!$B$2:$CX$102,MATCH(ROUND(Uzman_E!B$4,1),Tablo_E!$A$2:$A$102,1),MATCH(ROUND(Q61,1),Tablo_E!$B$1:$CX$1,1)))</f>
        <v>0</v>
      </c>
      <c r="S61" s="56">
        <f t="shared" si="0"/>
        <v>0</v>
      </c>
      <c r="T61" s="50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spans="1:36" ht="15" customHeight="1" thickBot="1" x14ac:dyDescent="0.25">
      <c r="A62" s="57">
        <v>59</v>
      </c>
      <c r="B62" s="137">
        <f>Hakemler!B62</f>
        <v>0</v>
      </c>
      <c r="C62" s="138">
        <f>Hakemler!C62</f>
        <v>0</v>
      </c>
      <c r="D62" s="60"/>
      <c r="E62" s="65">
        <f>IF(ISBLANK(D62),0,ABS(Uzman_E!A$4-D62))</f>
        <v>0</v>
      </c>
      <c r="F62" s="61">
        <f>IF(ISBLANK(D62),0,INDEX(Tablo_E!$B$2:$CX$102,MATCH(ROUND(Uzman_E!A$4,1),Tablo_E!$A$2:$A$102,1),MATCH(ROUND(E62,1),Tablo_E!$B$1:$CX$1,1)))</f>
        <v>0</v>
      </c>
      <c r="G62" s="60"/>
      <c r="H62" s="64">
        <f>IF(ISBLANK(G62),0,ABS(Uzman_E!B$4-G62))</f>
        <v>0</v>
      </c>
      <c r="I62" s="61">
        <f>IF(ISBLANK(G62),0,INDEX(Tablo_E!$B$2:$CX$102,MATCH(ROUND(Uzman_E!B$4,1),Tablo_E!$A$2:$A$102,1),MATCH(ROUND(H62,1),Tablo_E!$B$1:$CX$1,1)))</f>
        <v>0</v>
      </c>
      <c r="J62" s="60"/>
      <c r="K62" s="65">
        <f>IF(ISBLANK(J62),0,ABS(Uzman_E!C$4-J62))</f>
        <v>0</v>
      </c>
      <c r="L62" s="61">
        <f>IF(ISBLANK(J62),0,INDEX(Tablo_E!$B$2:$CX$102,MATCH(ROUND(Uzman_E!C$4,1),Tablo_E!$A$2:$A$102,1),MATCH(ROUND(K62,1),Tablo_E!$B$1:$CX$1,1)))</f>
        <v>0</v>
      </c>
      <c r="M62" s="60"/>
      <c r="N62" s="65">
        <f>IF(ISBLANK(M62),0,ABS(Uzman_E!D$4-M62))</f>
        <v>0</v>
      </c>
      <c r="O62" s="61">
        <f>IF(ISBLANK(M62),0,INDEX(Tablo_E!$B$2:$CX$102,MATCH(ROUND(Uzman_E!D$4,1),Tablo_E!$A$2:$A$102,1),MATCH(ROUND(N62,1),Tablo_E!$B$1:$CX$1,1)))</f>
        <v>0</v>
      </c>
      <c r="P62" s="60"/>
      <c r="Q62" s="64">
        <f>IF(ISBLANK(P62),0,ABS(Uzman_E!E$4-P62))</f>
        <v>0</v>
      </c>
      <c r="R62" s="61">
        <f>IF(ISBLANK(P62),0,INDEX(Tablo_E!$B$2:$CX$102,MATCH(ROUND(Uzman_E!B$4,1),Tablo_E!$A$2:$A$102,1),MATCH(ROUND(Q62,1),Tablo_E!$B$1:$CX$1,1)))</f>
        <v>0</v>
      </c>
      <c r="S62" s="56">
        <f t="shared" si="0"/>
        <v>0</v>
      </c>
      <c r="T62" s="50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spans="1:36" ht="15" customHeight="1" thickBot="1" x14ac:dyDescent="0.25">
      <c r="A63" s="57">
        <v>60</v>
      </c>
      <c r="B63" s="137">
        <f>Hakemler!B63</f>
        <v>0</v>
      </c>
      <c r="C63" s="138">
        <f>Hakemler!C63</f>
        <v>0</v>
      </c>
      <c r="D63" s="60"/>
      <c r="E63" s="65">
        <f>IF(ISBLANK(D63),0,ABS(Uzman_E!A$4-D63))</f>
        <v>0</v>
      </c>
      <c r="F63" s="61">
        <f>IF(ISBLANK(D63),0,INDEX(Tablo_E!$B$2:$CX$102,MATCH(ROUND(Uzman_E!A$4,1),Tablo_E!$A$2:$A$102,1),MATCH(ROUND(E63,1),Tablo_E!$B$1:$CX$1,1)))</f>
        <v>0</v>
      </c>
      <c r="G63" s="60"/>
      <c r="H63" s="64">
        <f>IF(ISBLANK(G63),0,ABS(Uzman_E!B$4-G63))</f>
        <v>0</v>
      </c>
      <c r="I63" s="61">
        <f>IF(ISBLANK(G63),0,INDEX(Tablo_E!$B$2:$CX$102,MATCH(ROUND(Uzman_E!B$4,1),Tablo_E!$A$2:$A$102,1),MATCH(ROUND(H63,1),Tablo_E!$B$1:$CX$1,1)))</f>
        <v>0</v>
      </c>
      <c r="J63" s="60"/>
      <c r="K63" s="65">
        <f>IF(ISBLANK(J63),0,ABS(Uzman_E!C$4-J63))</f>
        <v>0</v>
      </c>
      <c r="L63" s="61">
        <f>IF(ISBLANK(J63),0,INDEX(Tablo_E!$B$2:$CX$102,MATCH(ROUND(Uzman_E!C$4,1),Tablo_E!$A$2:$A$102,1),MATCH(ROUND(K63,1),Tablo_E!$B$1:$CX$1,1)))</f>
        <v>0</v>
      </c>
      <c r="M63" s="60"/>
      <c r="N63" s="65">
        <f>IF(ISBLANK(M63),0,ABS(Uzman_E!D$4-M63))</f>
        <v>0</v>
      </c>
      <c r="O63" s="61">
        <f>IF(ISBLANK(M63),0,INDEX(Tablo_E!$B$2:$CX$102,MATCH(ROUND(Uzman_E!D$4,1),Tablo_E!$A$2:$A$102,1),MATCH(ROUND(N63,1),Tablo_E!$B$1:$CX$1,1)))</f>
        <v>0</v>
      </c>
      <c r="P63" s="60"/>
      <c r="Q63" s="64">
        <f>IF(ISBLANK(P63),0,ABS(Uzman_E!E$4-P63))</f>
        <v>0</v>
      </c>
      <c r="R63" s="61">
        <f>IF(ISBLANK(P63),0,INDEX(Tablo_E!$B$2:$CX$102,MATCH(ROUND(Uzman_E!B$4,1),Tablo_E!$A$2:$A$102,1),MATCH(ROUND(Q63,1),Tablo_E!$B$1:$CX$1,1)))</f>
        <v>0</v>
      </c>
      <c r="S63" s="56">
        <f t="shared" si="0"/>
        <v>0</v>
      </c>
      <c r="T63" s="50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spans="1:36" ht="15" customHeight="1" thickBot="1" x14ac:dyDescent="0.25">
      <c r="A64" s="57">
        <v>61</v>
      </c>
      <c r="B64" s="137">
        <f>Hakemler!B64</f>
        <v>0</v>
      </c>
      <c r="C64" s="138">
        <f>Hakemler!C64</f>
        <v>0</v>
      </c>
      <c r="D64" s="60"/>
      <c r="E64" s="65">
        <f>IF(ISBLANK(D64),0,ABS(Uzman_E!A$4-D64))</f>
        <v>0</v>
      </c>
      <c r="F64" s="61">
        <f>IF(ISBLANK(D64),0,INDEX(Tablo_E!$B$2:$CX$102,MATCH(ROUND(Uzman_E!A$4,1),Tablo_E!$A$2:$A$102,1),MATCH(ROUND(E64,1),Tablo_E!$B$1:$CX$1,1)))</f>
        <v>0</v>
      </c>
      <c r="G64" s="60"/>
      <c r="H64" s="64">
        <f>IF(ISBLANK(G64),0,ABS(Uzman_E!B$4-G64))</f>
        <v>0</v>
      </c>
      <c r="I64" s="61">
        <f>IF(ISBLANK(G64),0,INDEX(Tablo_E!$B$2:$CX$102,MATCH(ROUND(Uzman_E!B$4,1),Tablo_E!$A$2:$A$102,1),MATCH(ROUND(H64,1),Tablo_E!$B$1:$CX$1,1)))</f>
        <v>0</v>
      </c>
      <c r="J64" s="60"/>
      <c r="K64" s="65">
        <f>IF(ISBLANK(J64),0,ABS(Uzman_E!C$4-J64))</f>
        <v>0</v>
      </c>
      <c r="L64" s="61">
        <f>IF(ISBLANK(J64),0,INDEX(Tablo_E!$B$2:$CX$102,MATCH(ROUND(Uzman_E!C$4,1),Tablo_E!$A$2:$A$102,1),MATCH(ROUND(K64,1),Tablo_E!$B$1:$CX$1,1)))</f>
        <v>0</v>
      </c>
      <c r="M64" s="60"/>
      <c r="N64" s="65">
        <f>IF(ISBLANK(M64),0,ABS(Uzman_E!D$4-M64))</f>
        <v>0</v>
      </c>
      <c r="O64" s="61">
        <f>IF(ISBLANK(M64),0,INDEX(Tablo_E!$B$2:$CX$102,MATCH(ROUND(Uzman_E!D$4,1),Tablo_E!$A$2:$A$102,1),MATCH(ROUND(N64,1),Tablo_E!$B$1:$CX$1,1)))</f>
        <v>0</v>
      </c>
      <c r="P64" s="60"/>
      <c r="Q64" s="64">
        <f>IF(ISBLANK(P64),0,ABS(Uzman_E!E$4-P64))</f>
        <v>0</v>
      </c>
      <c r="R64" s="61">
        <f>IF(ISBLANK(P64),0,INDEX(Tablo_E!$B$2:$CX$102,MATCH(ROUND(Uzman_E!B$4,1),Tablo_E!$A$2:$A$102,1),MATCH(ROUND(Q64,1),Tablo_E!$B$1:$CX$1,1)))</f>
        <v>0</v>
      </c>
      <c r="S64" s="56">
        <f t="shared" si="0"/>
        <v>0</v>
      </c>
      <c r="T64" s="50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spans="1:36" ht="15" customHeight="1" thickBot="1" x14ac:dyDescent="0.25">
      <c r="A65" s="57">
        <v>62</v>
      </c>
      <c r="B65" s="137">
        <f>Hakemler!B65</f>
        <v>0</v>
      </c>
      <c r="C65" s="138">
        <f>Hakemler!C65</f>
        <v>0</v>
      </c>
      <c r="D65" s="60"/>
      <c r="E65" s="65">
        <f>IF(ISBLANK(D65),0,ABS(Uzman_E!A$4-D65))</f>
        <v>0</v>
      </c>
      <c r="F65" s="61">
        <f>IF(ISBLANK(D65),0,INDEX(Tablo_E!$B$2:$CX$102,MATCH(ROUND(Uzman_E!A$4,1),Tablo_E!$A$2:$A$102,1),MATCH(ROUND(E65,1),Tablo_E!$B$1:$CX$1,1)))</f>
        <v>0</v>
      </c>
      <c r="G65" s="60"/>
      <c r="H65" s="64">
        <f>IF(ISBLANK(G65),0,ABS(Uzman_E!B$4-G65))</f>
        <v>0</v>
      </c>
      <c r="I65" s="61">
        <f>IF(ISBLANK(G65),0,INDEX(Tablo_E!$B$2:$CX$102,MATCH(ROUND(Uzman_E!B$4,1),Tablo_E!$A$2:$A$102,1),MATCH(ROUND(H65,1),Tablo_E!$B$1:$CX$1,1)))</f>
        <v>0</v>
      </c>
      <c r="J65" s="60"/>
      <c r="K65" s="65">
        <f>IF(ISBLANK(J65),0,ABS(Uzman_E!C$4-J65))</f>
        <v>0</v>
      </c>
      <c r="L65" s="61">
        <f>IF(ISBLANK(J65),0,INDEX(Tablo_E!$B$2:$CX$102,MATCH(ROUND(Uzman_E!C$4,1),Tablo_E!$A$2:$A$102,1),MATCH(ROUND(K65,1),Tablo_E!$B$1:$CX$1,1)))</f>
        <v>0</v>
      </c>
      <c r="M65" s="60"/>
      <c r="N65" s="65">
        <f>IF(ISBLANK(M65),0,ABS(Uzman_E!D$4-M65))</f>
        <v>0</v>
      </c>
      <c r="O65" s="61">
        <f>IF(ISBLANK(M65),0,INDEX(Tablo_E!$B$2:$CX$102,MATCH(ROUND(Uzman_E!D$4,1),Tablo_E!$A$2:$A$102,1),MATCH(ROUND(N65,1),Tablo_E!$B$1:$CX$1,1)))</f>
        <v>0</v>
      </c>
      <c r="P65" s="60"/>
      <c r="Q65" s="64">
        <f>IF(ISBLANK(P65),0,ABS(Uzman_E!E$4-P65))</f>
        <v>0</v>
      </c>
      <c r="R65" s="61">
        <f>IF(ISBLANK(P65),0,INDEX(Tablo_E!$B$2:$CX$102,MATCH(ROUND(Uzman_E!B$4,1),Tablo_E!$A$2:$A$102,1),MATCH(ROUND(Q65,1),Tablo_E!$B$1:$CX$1,1)))</f>
        <v>0</v>
      </c>
      <c r="S65" s="56">
        <f t="shared" si="0"/>
        <v>0</v>
      </c>
      <c r="T65" s="50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spans="1:36" ht="15" customHeight="1" thickBot="1" x14ac:dyDescent="0.25">
      <c r="A66" s="57">
        <v>63</v>
      </c>
      <c r="B66" s="137">
        <f>Hakemler!B66</f>
        <v>0</v>
      </c>
      <c r="C66" s="138">
        <f>Hakemler!C66</f>
        <v>0</v>
      </c>
      <c r="D66" s="60"/>
      <c r="E66" s="65">
        <f>IF(ISBLANK(D66),0,ABS(Uzman_E!A$4-D66))</f>
        <v>0</v>
      </c>
      <c r="F66" s="61">
        <f>IF(ISBLANK(D66),0,INDEX(Tablo_E!$B$2:$CX$102,MATCH(ROUND(Uzman_E!A$4,1),Tablo_E!$A$2:$A$102,1),MATCH(ROUND(E66,1),Tablo_E!$B$1:$CX$1,1)))</f>
        <v>0</v>
      </c>
      <c r="G66" s="60"/>
      <c r="H66" s="64">
        <f>IF(ISBLANK(G66),0,ABS(Uzman_E!B$4-G66))</f>
        <v>0</v>
      </c>
      <c r="I66" s="61">
        <f>IF(ISBLANK(G66),0,INDEX(Tablo_E!$B$2:$CX$102,MATCH(ROUND(Uzman_E!B$4,1),Tablo_E!$A$2:$A$102,1),MATCH(ROUND(H66,1),Tablo_E!$B$1:$CX$1,1)))</f>
        <v>0</v>
      </c>
      <c r="J66" s="60"/>
      <c r="K66" s="65">
        <f>IF(ISBLANK(J66),0,ABS(Uzman_E!C$4-J66))</f>
        <v>0</v>
      </c>
      <c r="L66" s="61">
        <f>IF(ISBLANK(J66),0,INDEX(Tablo_E!$B$2:$CX$102,MATCH(ROUND(Uzman_E!C$4,1),Tablo_E!$A$2:$A$102,1),MATCH(ROUND(K66,1),Tablo_E!$B$1:$CX$1,1)))</f>
        <v>0</v>
      </c>
      <c r="M66" s="60"/>
      <c r="N66" s="65">
        <f>IF(ISBLANK(M66),0,ABS(Uzman_E!D$4-M66))</f>
        <v>0</v>
      </c>
      <c r="O66" s="61">
        <f>IF(ISBLANK(M66),0,INDEX(Tablo_E!$B$2:$CX$102,MATCH(ROUND(Uzman_E!D$4,1),Tablo_E!$A$2:$A$102,1),MATCH(ROUND(N66,1),Tablo_E!$B$1:$CX$1,1)))</f>
        <v>0</v>
      </c>
      <c r="P66" s="60"/>
      <c r="Q66" s="64">
        <f>IF(ISBLANK(P66),0,ABS(Uzman_E!E$4-P66))</f>
        <v>0</v>
      </c>
      <c r="R66" s="61">
        <f>IF(ISBLANK(P66),0,INDEX(Tablo_E!$B$2:$CX$102,MATCH(ROUND(Uzman_E!B$4,1),Tablo_E!$A$2:$A$102,1),MATCH(ROUND(Q66,1),Tablo_E!$B$1:$CX$1,1)))</f>
        <v>0</v>
      </c>
      <c r="S66" s="56">
        <f t="shared" si="0"/>
        <v>0</v>
      </c>
      <c r="T66" s="50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spans="1:36" ht="15" customHeight="1" thickBot="1" x14ac:dyDescent="0.25">
      <c r="A67" s="57">
        <v>64</v>
      </c>
      <c r="B67" s="139">
        <f>Hakemler!B67</f>
        <v>0</v>
      </c>
      <c r="C67" s="140">
        <f>Hakemler!C67</f>
        <v>0</v>
      </c>
      <c r="D67" s="60"/>
      <c r="E67" s="65">
        <f>IF(ISBLANK(D67),0,ABS(Uzman_E!A$4-D67))</f>
        <v>0</v>
      </c>
      <c r="F67" s="61">
        <f>IF(ISBLANK(D67),0,INDEX(Tablo_E!$B$2:$CX$102,MATCH(ROUND(Uzman_E!A$4,1),Tablo_E!$A$2:$A$102,1),MATCH(ROUND(E67,1),Tablo_E!$B$1:$CX$1,1)))</f>
        <v>0</v>
      </c>
      <c r="G67" s="60"/>
      <c r="H67" s="64">
        <f>IF(ISBLANK(G67),0,ABS(Uzman_E!B$4-G67))</f>
        <v>0</v>
      </c>
      <c r="I67" s="61">
        <f>IF(ISBLANK(G67),0,INDEX(Tablo_E!$B$2:$CX$102,MATCH(ROUND(Uzman_E!B$4,1),Tablo_E!$A$2:$A$102,1),MATCH(ROUND(H67,1),Tablo_E!$B$1:$CX$1,1)))</f>
        <v>0</v>
      </c>
      <c r="J67" s="60"/>
      <c r="K67" s="65">
        <f>IF(ISBLANK(J67),0,ABS(Uzman_E!C$4-J67))</f>
        <v>0</v>
      </c>
      <c r="L67" s="61">
        <f>IF(ISBLANK(J67),0,INDEX(Tablo_E!$B$2:$CX$102,MATCH(ROUND(Uzman_E!C$4,1),Tablo_E!$A$2:$A$102,1),MATCH(ROUND(K67,1),Tablo_E!$B$1:$CX$1,1)))</f>
        <v>0</v>
      </c>
      <c r="M67" s="60"/>
      <c r="N67" s="65">
        <f>IF(ISBLANK(M67),0,ABS(Uzman_E!D$4-M67))</f>
        <v>0</v>
      </c>
      <c r="O67" s="61">
        <f>IF(ISBLANK(M67),0,INDEX(Tablo_E!$B$2:$CX$102,MATCH(ROUND(Uzman_E!D$4,1),Tablo_E!$A$2:$A$102,1),MATCH(ROUND(N67,1),Tablo_E!$B$1:$CX$1,1)))</f>
        <v>0</v>
      </c>
      <c r="P67" s="60"/>
      <c r="Q67" s="64">
        <f>IF(ISBLANK(P67),0,ABS(Uzman_E!E$4-P67))</f>
        <v>0</v>
      </c>
      <c r="R67" s="61">
        <f>IF(ISBLANK(P67),0,INDEX(Tablo_E!$B$2:$CX$102,MATCH(ROUND(Uzman_E!B$4,1),Tablo_E!$A$2:$A$102,1),MATCH(ROUND(Q67,1),Tablo_E!$B$1:$CX$1,1)))</f>
        <v>0</v>
      </c>
      <c r="S67" s="56">
        <f t="shared" si="0"/>
        <v>0</v>
      </c>
      <c r="T67" s="50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spans="1:36" ht="15" customHeight="1" thickBot="1" x14ac:dyDescent="0.25">
      <c r="A68" s="57">
        <v>65</v>
      </c>
      <c r="B68" s="139">
        <f>Hakemler!B68</f>
        <v>0</v>
      </c>
      <c r="C68" s="140">
        <f>Hakemler!C68</f>
        <v>0</v>
      </c>
      <c r="D68" s="60"/>
      <c r="E68" s="65">
        <f>IF(ISBLANK(D68),0,ABS(Uzman_E!A$4-D68))</f>
        <v>0</v>
      </c>
      <c r="F68" s="61">
        <f>IF(ISBLANK(D68),0,INDEX(Tablo_E!$B$2:$CX$102,MATCH(ROUND(Uzman_E!A$4,1),Tablo_E!$A$2:$A$102,1),MATCH(ROUND(E68,1),Tablo_E!$B$1:$CX$1,1)))</f>
        <v>0</v>
      </c>
      <c r="G68" s="60"/>
      <c r="H68" s="64">
        <f>IF(ISBLANK(G68),0,ABS(Uzman_E!B$4-G68))</f>
        <v>0</v>
      </c>
      <c r="I68" s="61">
        <f>IF(ISBLANK(G68),0,INDEX(Tablo_E!$B$2:$CX$102,MATCH(ROUND(Uzman_E!B$4,1),Tablo_E!$A$2:$A$102,1),MATCH(ROUND(H68,1),Tablo_E!$B$1:$CX$1,1)))</f>
        <v>0</v>
      </c>
      <c r="J68" s="60"/>
      <c r="K68" s="65">
        <f>IF(ISBLANK(J68),0,ABS(Uzman_E!C$4-J68))</f>
        <v>0</v>
      </c>
      <c r="L68" s="61">
        <f>IF(ISBLANK(J68),0,INDEX(Tablo_E!$B$2:$CX$102,MATCH(ROUND(Uzman_E!C$4,1),Tablo_E!$A$2:$A$102,1),MATCH(ROUND(K68,1),Tablo_E!$B$1:$CX$1,1)))</f>
        <v>0</v>
      </c>
      <c r="M68" s="60"/>
      <c r="N68" s="65">
        <f>IF(ISBLANK(M68),0,ABS(Uzman_E!D$4-M68))</f>
        <v>0</v>
      </c>
      <c r="O68" s="61">
        <f>IF(ISBLANK(M68),0,INDEX(Tablo_E!$B$2:$CX$102,MATCH(ROUND(Uzman_E!D$4,1),Tablo_E!$A$2:$A$102,1),MATCH(ROUND(N68,1),Tablo_E!$B$1:$CX$1,1)))</f>
        <v>0</v>
      </c>
      <c r="P68" s="60"/>
      <c r="Q68" s="64">
        <f>IF(ISBLANK(P68),0,ABS(Uzman_E!E$4-P68))</f>
        <v>0</v>
      </c>
      <c r="R68" s="61">
        <f>IF(ISBLANK(P68),0,INDEX(Tablo_E!$B$2:$CX$102,MATCH(ROUND(Uzman_E!B$4,1),Tablo_E!$A$2:$A$102,1),MATCH(ROUND(Q68,1),Tablo_E!$B$1:$CX$1,1)))</f>
        <v>0</v>
      </c>
      <c r="S68" s="56">
        <f t="shared" si="0"/>
        <v>0</v>
      </c>
      <c r="T68" s="50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spans="1:36" ht="15" customHeight="1" thickBot="1" x14ac:dyDescent="0.25">
      <c r="A69" s="57">
        <v>66</v>
      </c>
      <c r="B69" s="139">
        <f>Hakemler!B69</f>
        <v>0</v>
      </c>
      <c r="C69" s="140">
        <f>Hakemler!C69</f>
        <v>0</v>
      </c>
      <c r="D69" s="60"/>
      <c r="E69" s="65">
        <f>IF(ISBLANK(D69),0,ABS(Uzman_E!A$4-D69))</f>
        <v>0</v>
      </c>
      <c r="F69" s="61">
        <f>IF(ISBLANK(D69),0,INDEX(Tablo_E!$B$2:$CX$102,MATCH(ROUND(Uzman_E!A$4,1),Tablo_E!$A$2:$A$102,1),MATCH(ROUND(E69,1),Tablo_E!$B$1:$CX$1,1)))</f>
        <v>0</v>
      </c>
      <c r="G69" s="60"/>
      <c r="H69" s="64">
        <f>IF(ISBLANK(G69),0,ABS(Uzman_E!B$4-G69))</f>
        <v>0</v>
      </c>
      <c r="I69" s="61">
        <f>IF(ISBLANK(G69),0,INDEX(Tablo_E!$B$2:$CX$102,MATCH(ROUND(Uzman_E!B$4,1),Tablo_E!$A$2:$A$102,1),MATCH(ROUND(H69,1),Tablo_E!$B$1:$CX$1,1)))</f>
        <v>0</v>
      </c>
      <c r="J69" s="60"/>
      <c r="K69" s="65">
        <f>IF(ISBLANK(J69),0,ABS(Uzman_E!C$4-J69))</f>
        <v>0</v>
      </c>
      <c r="L69" s="61">
        <f>IF(ISBLANK(J69),0,INDEX(Tablo_E!$B$2:$CX$102,MATCH(ROUND(Uzman_E!C$4,1),Tablo_E!$A$2:$A$102,1),MATCH(ROUND(K69,1),Tablo_E!$B$1:$CX$1,1)))</f>
        <v>0</v>
      </c>
      <c r="M69" s="60"/>
      <c r="N69" s="65">
        <f>IF(ISBLANK(M69),0,ABS(Uzman_E!D$4-M69))</f>
        <v>0</v>
      </c>
      <c r="O69" s="61">
        <f>IF(ISBLANK(M69),0,INDEX(Tablo_E!$B$2:$CX$102,MATCH(ROUND(Uzman_E!D$4,1),Tablo_E!$A$2:$A$102,1),MATCH(ROUND(N69,1),Tablo_E!$B$1:$CX$1,1)))</f>
        <v>0</v>
      </c>
      <c r="P69" s="60"/>
      <c r="Q69" s="64">
        <f>IF(ISBLANK(P69),0,ABS(Uzman_E!E$4-P69))</f>
        <v>0</v>
      </c>
      <c r="R69" s="61">
        <f>IF(ISBLANK(P69),0,INDEX(Tablo_E!$B$2:$CX$102,MATCH(ROUND(Uzman_E!B$4,1),Tablo_E!$A$2:$A$102,1),MATCH(ROUND(Q69,1),Tablo_E!$B$1:$CX$1,1)))</f>
        <v>0</v>
      </c>
      <c r="S69" s="56">
        <f t="shared" ref="S69:S103" si="1">(F69+I69+L69+O69+R69)/5</f>
        <v>0</v>
      </c>
      <c r="T69" s="50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spans="1:36" ht="15" customHeight="1" thickBot="1" x14ac:dyDescent="0.25">
      <c r="A70" s="57">
        <v>67</v>
      </c>
      <c r="B70" s="139">
        <f>Hakemler!B70</f>
        <v>0</v>
      </c>
      <c r="C70" s="140">
        <f>Hakemler!C70</f>
        <v>0</v>
      </c>
      <c r="D70" s="60"/>
      <c r="E70" s="65">
        <f>IF(ISBLANK(D70),0,ABS(Uzman_E!A$4-D70))</f>
        <v>0</v>
      </c>
      <c r="F70" s="61">
        <f>IF(ISBLANK(D70),0,INDEX(Tablo_E!$B$2:$CX$102,MATCH(ROUND(Uzman_E!A$4,1),Tablo_E!$A$2:$A$102,1),MATCH(ROUND(E70,1),Tablo_E!$B$1:$CX$1,1)))</f>
        <v>0</v>
      </c>
      <c r="G70" s="60"/>
      <c r="H70" s="64">
        <f>IF(ISBLANK(G70),0,ABS(Uzman_E!B$4-G70))</f>
        <v>0</v>
      </c>
      <c r="I70" s="61">
        <f>IF(ISBLANK(G70),0,INDEX(Tablo_E!$B$2:$CX$102,MATCH(ROUND(Uzman_E!B$4,1),Tablo_E!$A$2:$A$102,1),MATCH(ROUND(H70,1),Tablo_E!$B$1:$CX$1,1)))</f>
        <v>0</v>
      </c>
      <c r="J70" s="60"/>
      <c r="K70" s="65">
        <f>IF(ISBLANK(J70),0,ABS(Uzman_E!C$4-J70))</f>
        <v>0</v>
      </c>
      <c r="L70" s="61">
        <f>IF(ISBLANK(J70),0,INDEX(Tablo_E!$B$2:$CX$102,MATCH(ROUND(Uzman_E!C$4,1),Tablo_E!$A$2:$A$102,1),MATCH(ROUND(K70,1),Tablo_E!$B$1:$CX$1,1)))</f>
        <v>0</v>
      </c>
      <c r="M70" s="60"/>
      <c r="N70" s="65">
        <f>IF(ISBLANK(M70),0,ABS(Uzman_E!D$4-M70))</f>
        <v>0</v>
      </c>
      <c r="O70" s="61">
        <f>IF(ISBLANK(M70),0,INDEX(Tablo_E!$B$2:$CX$102,MATCH(ROUND(Uzman_E!D$4,1),Tablo_E!$A$2:$A$102,1),MATCH(ROUND(N70,1),Tablo_E!$B$1:$CX$1,1)))</f>
        <v>0</v>
      </c>
      <c r="P70" s="60"/>
      <c r="Q70" s="64">
        <f>IF(ISBLANK(P70),0,ABS(Uzman_E!E$4-P70))</f>
        <v>0</v>
      </c>
      <c r="R70" s="61">
        <f>IF(ISBLANK(P70),0,INDEX(Tablo_E!$B$2:$CX$102,MATCH(ROUND(Uzman_E!B$4,1),Tablo_E!$A$2:$A$102,1),MATCH(ROUND(Q70,1),Tablo_E!$B$1:$CX$1,1)))</f>
        <v>0</v>
      </c>
      <c r="S70" s="56">
        <f t="shared" si="1"/>
        <v>0</v>
      </c>
      <c r="T70" s="50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spans="1:36" ht="15" customHeight="1" thickBot="1" x14ac:dyDescent="0.25">
      <c r="A71" s="57">
        <v>68</v>
      </c>
      <c r="B71" s="139">
        <f>Hakemler!B71</f>
        <v>0</v>
      </c>
      <c r="C71" s="140">
        <f>Hakemler!C71</f>
        <v>0</v>
      </c>
      <c r="D71" s="60"/>
      <c r="E71" s="65">
        <f>IF(ISBLANK(D71),0,ABS(Uzman_E!A$4-D71))</f>
        <v>0</v>
      </c>
      <c r="F71" s="61">
        <f>IF(ISBLANK(D71),0,INDEX(Tablo_E!$B$2:$CX$102,MATCH(ROUND(Uzman_E!A$4,1),Tablo_E!$A$2:$A$102,1),MATCH(ROUND(E71,1),Tablo_E!$B$1:$CX$1,1)))</f>
        <v>0</v>
      </c>
      <c r="G71" s="60"/>
      <c r="H71" s="64">
        <f>IF(ISBLANK(G71),0,ABS(Uzman_E!B$4-G71))</f>
        <v>0</v>
      </c>
      <c r="I71" s="61">
        <f>IF(ISBLANK(G71),0,INDEX(Tablo_E!$B$2:$CX$102,MATCH(ROUND(Uzman_E!B$4,1),Tablo_E!$A$2:$A$102,1),MATCH(ROUND(H71,1),Tablo_E!$B$1:$CX$1,1)))</f>
        <v>0</v>
      </c>
      <c r="J71" s="60"/>
      <c r="K71" s="65">
        <f>IF(ISBLANK(J71),0,ABS(Uzman_E!C$4-J71))</f>
        <v>0</v>
      </c>
      <c r="L71" s="61">
        <f>IF(ISBLANK(J71),0,INDEX(Tablo_E!$B$2:$CX$102,MATCH(ROUND(Uzman_E!C$4,1),Tablo_E!$A$2:$A$102,1),MATCH(ROUND(K71,1),Tablo_E!$B$1:$CX$1,1)))</f>
        <v>0</v>
      </c>
      <c r="M71" s="60"/>
      <c r="N71" s="65">
        <f>IF(ISBLANK(M71),0,ABS(Uzman_E!D$4-M71))</f>
        <v>0</v>
      </c>
      <c r="O71" s="61">
        <f>IF(ISBLANK(M71),0,INDEX(Tablo_E!$B$2:$CX$102,MATCH(ROUND(Uzman_E!D$4,1),Tablo_E!$A$2:$A$102,1),MATCH(ROUND(N71,1),Tablo_E!$B$1:$CX$1,1)))</f>
        <v>0</v>
      </c>
      <c r="P71" s="60"/>
      <c r="Q71" s="64">
        <f>IF(ISBLANK(P71),0,ABS(Uzman_E!E$4-P71))</f>
        <v>0</v>
      </c>
      <c r="R71" s="61">
        <f>IF(ISBLANK(P71),0,INDEX(Tablo_E!$B$2:$CX$102,MATCH(ROUND(Uzman_E!B$4,1),Tablo_E!$A$2:$A$102,1),MATCH(ROUND(Q71,1),Tablo_E!$B$1:$CX$1,1)))</f>
        <v>0</v>
      </c>
      <c r="S71" s="56">
        <f t="shared" si="1"/>
        <v>0</v>
      </c>
      <c r="T71" s="50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spans="1:36" ht="15" customHeight="1" thickBot="1" x14ac:dyDescent="0.25">
      <c r="A72" s="57">
        <v>69</v>
      </c>
      <c r="B72" s="139">
        <f>Hakemler!B72</f>
        <v>0</v>
      </c>
      <c r="C72" s="140">
        <f>Hakemler!C72</f>
        <v>0</v>
      </c>
      <c r="D72" s="60"/>
      <c r="E72" s="65">
        <f>IF(ISBLANK(D72),0,ABS(Uzman_E!A$4-D72))</f>
        <v>0</v>
      </c>
      <c r="F72" s="61">
        <f>IF(ISBLANK(D72),0,INDEX(Tablo_E!$B$2:$CX$102,MATCH(ROUND(Uzman_E!A$4,1),Tablo_E!$A$2:$A$102,1),MATCH(ROUND(E72,1),Tablo_E!$B$1:$CX$1,1)))</f>
        <v>0</v>
      </c>
      <c r="G72" s="60"/>
      <c r="H72" s="64">
        <f>IF(ISBLANK(G72),0,ABS(Uzman_E!B$4-G72))</f>
        <v>0</v>
      </c>
      <c r="I72" s="61">
        <f>IF(ISBLANK(G72),0,INDEX(Tablo_E!$B$2:$CX$102,MATCH(ROUND(Uzman_E!B$4,1),Tablo_E!$A$2:$A$102,1),MATCH(ROUND(H72,1),Tablo_E!$B$1:$CX$1,1)))</f>
        <v>0</v>
      </c>
      <c r="J72" s="60"/>
      <c r="K72" s="65">
        <f>IF(ISBLANK(J72),0,ABS(Uzman_E!C$4-J72))</f>
        <v>0</v>
      </c>
      <c r="L72" s="61">
        <f>IF(ISBLANK(J72),0,INDEX(Tablo_E!$B$2:$CX$102,MATCH(ROUND(Uzman_E!C$4,1),Tablo_E!$A$2:$A$102,1),MATCH(ROUND(K72,1),Tablo_E!$B$1:$CX$1,1)))</f>
        <v>0</v>
      </c>
      <c r="M72" s="60"/>
      <c r="N72" s="65">
        <f>IF(ISBLANK(M72),0,ABS(Uzman_E!D$4-M72))</f>
        <v>0</v>
      </c>
      <c r="O72" s="61">
        <f>IF(ISBLANK(M72),0,INDEX(Tablo_E!$B$2:$CX$102,MATCH(ROUND(Uzman_E!D$4,1),Tablo_E!$A$2:$A$102,1),MATCH(ROUND(N72,1),Tablo_E!$B$1:$CX$1,1)))</f>
        <v>0</v>
      </c>
      <c r="P72" s="60"/>
      <c r="Q72" s="64">
        <f>IF(ISBLANK(P72),0,ABS(Uzman_E!E$4-P72))</f>
        <v>0</v>
      </c>
      <c r="R72" s="61">
        <f>IF(ISBLANK(P72),0,INDEX(Tablo_E!$B$2:$CX$102,MATCH(ROUND(Uzman_E!B$4,1),Tablo_E!$A$2:$A$102,1),MATCH(ROUND(Q72,1),Tablo_E!$B$1:$CX$1,1)))</f>
        <v>0</v>
      </c>
      <c r="S72" s="56">
        <f t="shared" si="1"/>
        <v>0</v>
      </c>
      <c r="T72" s="50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spans="1:36" ht="15" customHeight="1" thickBot="1" x14ac:dyDescent="0.25">
      <c r="A73" s="57">
        <v>70</v>
      </c>
      <c r="B73" s="139">
        <f>Hakemler!B73</f>
        <v>0</v>
      </c>
      <c r="C73" s="140">
        <f>Hakemler!C73</f>
        <v>0</v>
      </c>
      <c r="D73" s="60"/>
      <c r="E73" s="65">
        <f>IF(ISBLANK(D73),0,ABS(Uzman_E!A$4-D73))</f>
        <v>0</v>
      </c>
      <c r="F73" s="61">
        <f>IF(ISBLANK(D73),0,INDEX(Tablo_E!$B$2:$CX$102,MATCH(ROUND(Uzman_E!A$4,1),Tablo_E!$A$2:$A$102,1),MATCH(ROUND(E73,1),Tablo_E!$B$1:$CX$1,1)))</f>
        <v>0</v>
      </c>
      <c r="G73" s="60"/>
      <c r="H73" s="64">
        <f>IF(ISBLANK(G73),0,ABS(Uzman_E!B$4-G73))</f>
        <v>0</v>
      </c>
      <c r="I73" s="61">
        <f>IF(ISBLANK(G73),0,INDEX(Tablo_E!$B$2:$CX$102,MATCH(ROUND(Uzman_E!B$4,1),Tablo_E!$A$2:$A$102,1),MATCH(ROUND(H73,1),Tablo_E!$B$1:$CX$1,1)))</f>
        <v>0</v>
      </c>
      <c r="J73" s="60"/>
      <c r="K73" s="65">
        <f>IF(ISBLANK(J73),0,ABS(Uzman_E!C$4-J73))</f>
        <v>0</v>
      </c>
      <c r="L73" s="61">
        <f>IF(ISBLANK(J73),0,INDEX(Tablo_E!$B$2:$CX$102,MATCH(ROUND(Uzman_E!C$4,1),Tablo_E!$A$2:$A$102,1),MATCH(ROUND(K73,1),Tablo_E!$B$1:$CX$1,1)))</f>
        <v>0</v>
      </c>
      <c r="M73" s="60"/>
      <c r="N73" s="65">
        <f>IF(ISBLANK(M73),0,ABS(Uzman_E!D$4-M73))</f>
        <v>0</v>
      </c>
      <c r="O73" s="61">
        <f>IF(ISBLANK(M73),0,INDEX(Tablo_E!$B$2:$CX$102,MATCH(ROUND(Uzman_E!D$4,1),Tablo_E!$A$2:$A$102,1),MATCH(ROUND(N73,1),Tablo_E!$B$1:$CX$1,1)))</f>
        <v>0</v>
      </c>
      <c r="P73" s="60"/>
      <c r="Q73" s="64">
        <f>IF(ISBLANK(P73),0,ABS(Uzman_E!E$4-P73))</f>
        <v>0</v>
      </c>
      <c r="R73" s="61">
        <f>IF(ISBLANK(P73),0,INDEX(Tablo_E!$B$2:$CX$102,MATCH(ROUND(Uzman_E!B$4,1),Tablo_E!$A$2:$A$102,1),MATCH(ROUND(Q73,1),Tablo_E!$B$1:$CX$1,1)))</f>
        <v>0</v>
      </c>
      <c r="S73" s="56">
        <f t="shared" si="1"/>
        <v>0</v>
      </c>
      <c r="T73" s="50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spans="1:36" ht="15" customHeight="1" thickBot="1" x14ac:dyDescent="0.25">
      <c r="A74" s="57">
        <v>71</v>
      </c>
      <c r="B74" s="139">
        <f>Hakemler!B74</f>
        <v>0</v>
      </c>
      <c r="C74" s="140">
        <f>Hakemler!C74</f>
        <v>0</v>
      </c>
      <c r="D74" s="60"/>
      <c r="E74" s="65">
        <f>IF(ISBLANK(D74),0,ABS(Uzman_E!A$4-D74))</f>
        <v>0</v>
      </c>
      <c r="F74" s="61">
        <f>IF(ISBLANK(D74),0,INDEX(Tablo_E!$B$2:$CX$102,MATCH(ROUND(Uzman_E!A$4,1),Tablo_E!$A$2:$A$102,1),MATCH(ROUND(E74,1),Tablo_E!$B$1:$CX$1,1)))</f>
        <v>0</v>
      </c>
      <c r="G74" s="60"/>
      <c r="H74" s="64">
        <f>IF(ISBLANK(G74),0,ABS(Uzman_E!B$4-G74))</f>
        <v>0</v>
      </c>
      <c r="I74" s="61">
        <f>IF(ISBLANK(G74),0,INDEX(Tablo_E!$B$2:$CX$102,MATCH(ROUND(Uzman_E!B$4,1),Tablo_E!$A$2:$A$102,1),MATCH(ROUND(H74,1),Tablo_E!$B$1:$CX$1,1)))</f>
        <v>0</v>
      </c>
      <c r="J74" s="60"/>
      <c r="K74" s="65">
        <f>IF(ISBLANK(J74),0,ABS(Uzman_E!C$4-J74))</f>
        <v>0</v>
      </c>
      <c r="L74" s="61">
        <f>IF(ISBLANK(J74),0,INDEX(Tablo_E!$B$2:$CX$102,MATCH(ROUND(Uzman_E!C$4,1),Tablo_E!$A$2:$A$102,1),MATCH(ROUND(K74,1),Tablo_E!$B$1:$CX$1,1)))</f>
        <v>0</v>
      </c>
      <c r="M74" s="60"/>
      <c r="N74" s="65">
        <f>IF(ISBLANK(M74),0,ABS(Uzman_E!D$4-M74))</f>
        <v>0</v>
      </c>
      <c r="O74" s="61">
        <f>IF(ISBLANK(M74),0,INDEX(Tablo_E!$B$2:$CX$102,MATCH(ROUND(Uzman_E!D$4,1),Tablo_E!$A$2:$A$102,1),MATCH(ROUND(N74,1),Tablo_E!$B$1:$CX$1,1)))</f>
        <v>0</v>
      </c>
      <c r="P74" s="60"/>
      <c r="Q74" s="64">
        <f>IF(ISBLANK(P74),0,ABS(Uzman_E!E$4-P74))</f>
        <v>0</v>
      </c>
      <c r="R74" s="61">
        <f>IF(ISBLANK(P74),0,INDEX(Tablo_E!$B$2:$CX$102,MATCH(ROUND(Uzman_E!B$4,1),Tablo_E!$A$2:$A$102,1),MATCH(ROUND(Q74,1),Tablo_E!$B$1:$CX$1,1)))</f>
        <v>0</v>
      </c>
      <c r="S74" s="56">
        <f t="shared" si="1"/>
        <v>0</v>
      </c>
      <c r="T74" s="50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spans="1:36" ht="15" customHeight="1" thickBot="1" x14ac:dyDescent="0.25">
      <c r="A75" s="57">
        <v>72</v>
      </c>
      <c r="B75" s="139">
        <f>Hakemler!B75</f>
        <v>0</v>
      </c>
      <c r="C75" s="140">
        <f>Hakemler!C75</f>
        <v>0</v>
      </c>
      <c r="D75" s="60"/>
      <c r="E75" s="65">
        <f>IF(ISBLANK(D75),0,ABS(Uzman_E!A$4-D75))</f>
        <v>0</v>
      </c>
      <c r="F75" s="61">
        <f>IF(ISBLANK(D75),0,INDEX(Tablo_E!$B$2:$CX$102,MATCH(ROUND(Uzman_E!A$4,1),Tablo_E!$A$2:$A$102,1),MATCH(ROUND(E75,1),Tablo_E!$B$1:$CX$1,1)))</f>
        <v>0</v>
      </c>
      <c r="G75" s="60"/>
      <c r="H75" s="64">
        <f>IF(ISBLANK(G75),0,ABS(Uzman_E!B$4-G75))</f>
        <v>0</v>
      </c>
      <c r="I75" s="61">
        <f>IF(ISBLANK(G75),0,INDEX(Tablo_E!$B$2:$CX$102,MATCH(ROUND(Uzman_E!B$4,1),Tablo_E!$A$2:$A$102,1),MATCH(ROUND(H75,1),Tablo_E!$B$1:$CX$1,1)))</f>
        <v>0</v>
      </c>
      <c r="J75" s="60"/>
      <c r="K75" s="65">
        <f>IF(ISBLANK(J75),0,ABS(Uzman_E!C$4-J75))</f>
        <v>0</v>
      </c>
      <c r="L75" s="61">
        <f>IF(ISBLANK(J75),0,INDEX(Tablo_E!$B$2:$CX$102,MATCH(ROUND(Uzman_E!C$4,1),Tablo_E!$A$2:$A$102,1),MATCH(ROUND(K75,1),Tablo_E!$B$1:$CX$1,1)))</f>
        <v>0</v>
      </c>
      <c r="M75" s="60"/>
      <c r="N75" s="65">
        <f>IF(ISBLANK(M75),0,ABS(Uzman_E!D$4-M75))</f>
        <v>0</v>
      </c>
      <c r="O75" s="61">
        <f>IF(ISBLANK(M75),0,INDEX(Tablo_E!$B$2:$CX$102,MATCH(ROUND(Uzman_E!D$4,1),Tablo_E!$A$2:$A$102,1),MATCH(ROUND(N75,1),Tablo_E!$B$1:$CX$1,1)))</f>
        <v>0</v>
      </c>
      <c r="P75" s="60"/>
      <c r="Q75" s="64">
        <f>IF(ISBLANK(P75),0,ABS(Uzman_E!E$4-P75))</f>
        <v>0</v>
      </c>
      <c r="R75" s="61">
        <f>IF(ISBLANK(P75),0,INDEX(Tablo_E!$B$2:$CX$102,MATCH(ROUND(Uzman_E!B$4,1),Tablo_E!$A$2:$A$102,1),MATCH(ROUND(Q75,1),Tablo_E!$B$1:$CX$1,1)))</f>
        <v>0</v>
      </c>
      <c r="S75" s="56">
        <f t="shared" si="1"/>
        <v>0</v>
      </c>
      <c r="T75" s="50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spans="1:36" ht="15" customHeight="1" thickBot="1" x14ac:dyDescent="0.25">
      <c r="A76" s="57">
        <v>73</v>
      </c>
      <c r="B76" s="139">
        <f>Hakemler!B76</f>
        <v>0</v>
      </c>
      <c r="C76" s="140">
        <f>Hakemler!C76</f>
        <v>0</v>
      </c>
      <c r="D76" s="60"/>
      <c r="E76" s="65">
        <f>IF(ISBLANK(D76),0,ABS(Uzman_E!A$4-D76))</f>
        <v>0</v>
      </c>
      <c r="F76" s="61">
        <f>IF(ISBLANK(D76),0,INDEX(Tablo_E!$B$2:$CX$102,MATCH(ROUND(Uzman_E!A$4,1),Tablo_E!$A$2:$A$102,1),MATCH(ROUND(E76,1),Tablo_E!$B$1:$CX$1,1)))</f>
        <v>0</v>
      </c>
      <c r="G76" s="60"/>
      <c r="H76" s="64">
        <f>IF(ISBLANK(G76),0,ABS(Uzman_E!B$4-G76))</f>
        <v>0</v>
      </c>
      <c r="I76" s="61">
        <f>IF(ISBLANK(G76),0,INDEX(Tablo_E!$B$2:$CX$102,MATCH(ROUND(Uzman_E!B$4,1),Tablo_E!$A$2:$A$102,1),MATCH(ROUND(H76,1),Tablo_E!$B$1:$CX$1,1)))</f>
        <v>0</v>
      </c>
      <c r="J76" s="60"/>
      <c r="K76" s="65">
        <f>IF(ISBLANK(J76),0,ABS(Uzman_E!C$4-J76))</f>
        <v>0</v>
      </c>
      <c r="L76" s="61">
        <f>IF(ISBLANK(J76),0,INDEX(Tablo_E!$B$2:$CX$102,MATCH(ROUND(Uzman_E!C$4,1),Tablo_E!$A$2:$A$102,1),MATCH(ROUND(K76,1),Tablo_E!$B$1:$CX$1,1)))</f>
        <v>0</v>
      </c>
      <c r="M76" s="60"/>
      <c r="N76" s="65">
        <f>IF(ISBLANK(M76),0,ABS(Uzman_E!D$4-M76))</f>
        <v>0</v>
      </c>
      <c r="O76" s="61">
        <f>IF(ISBLANK(M76),0,INDEX(Tablo_E!$B$2:$CX$102,MATCH(ROUND(Uzman_E!D$4,1),Tablo_E!$A$2:$A$102,1),MATCH(ROUND(N76,1),Tablo_E!$B$1:$CX$1,1)))</f>
        <v>0</v>
      </c>
      <c r="P76" s="60"/>
      <c r="Q76" s="64">
        <f>IF(ISBLANK(P76),0,ABS(Uzman_E!E$4-P76))</f>
        <v>0</v>
      </c>
      <c r="R76" s="61">
        <f>IF(ISBLANK(P76),0,INDEX(Tablo_E!$B$2:$CX$102,MATCH(ROUND(Uzman_E!B$4,1),Tablo_E!$A$2:$A$102,1),MATCH(ROUND(Q76,1),Tablo_E!$B$1:$CX$1,1)))</f>
        <v>0</v>
      </c>
      <c r="S76" s="56">
        <f t="shared" si="1"/>
        <v>0</v>
      </c>
      <c r="T76" s="50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spans="1:36" ht="15" customHeight="1" thickBot="1" x14ac:dyDescent="0.25">
      <c r="A77" s="57">
        <v>74</v>
      </c>
      <c r="B77" s="139">
        <f>Hakemler!B77</f>
        <v>0</v>
      </c>
      <c r="C77" s="140">
        <f>Hakemler!C77</f>
        <v>0</v>
      </c>
      <c r="D77" s="60"/>
      <c r="E77" s="65">
        <f>IF(ISBLANK(D77),0,ABS(Uzman_E!A$4-D77))</f>
        <v>0</v>
      </c>
      <c r="F77" s="61">
        <f>IF(ISBLANK(D77),0,INDEX(Tablo_E!$B$2:$CX$102,MATCH(ROUND(Uzman_E!A$4,1),Tablo_E!$A$2:$A$102,1),MATCH(ROUND(E77,1),Tablo_E!$B$1:$CX$1,1)))</f>
        <v>0</v>
      </c>
      <c r="G77" s="60"/>
      <c r="H77" s="64">
        <f>IF(ISBLANK(G77),0,ABS(Uzman_E!B$4-G77))</f>
        <v>0</v>
      </c>
      <c r="I77" s="61">
        <f>IF(ISBLANK(G77),0,INDEX(Tablo_E!$B$2:$CX$102,MATCH(ROUND(Uzman_E!B$4,1),Tablo_E!$A$2:$A$102,1),MATCH(ROUND(H77,1),Tablo_E!$B$1:$CX$1,1)))</f>
        <v>0</v>
      </c>
      <c r="J77" s="60"/>
      <c r="K77" s="65">
        <f>IF(ISBLANK(J77),0,ABS(Uzman_E!C$4-J77))</f>
        <v>0</v>
      </c>
      <c r="L77" s="61">
        <f>IF(ISBLANK(J77),0,INDEX(Tablo_E!$B$2:$CX$102,MATCH(ROUND(Uzman_E!C$4,1),Tablo_E!$A$2:$A$102,1),MATCH(ROUND(K77,1),Tablo_E!$B$1:$CX$1,1)))</f>
        <v>0</v>
      </c>
      <c r="M77" s="60"/>
      <c r="N77" s="65">
        <f>IF(ISBLANK(M77),0,ABS(Uzman_E!D$4-M77))</f>
        <v>0</v>
      </c>
      <c r="O77" s="61">
        <f>IF(ISBLANK(M77),0,INDEX(Tablo_E!$B$2:$CX$102,MATCH(ROUND(Uzman_E!D$4,1),Tablo_E!$A$2:$A$102,1),MATCH(ROUND(N77,1),Tablo_E!$B$1:$CX$1,1)))</f>
        <v>0</v>
      </c>
      <c r="P77" s="60"/>
      <c r="Q77" s="64">
        <f>IF(ISBLANK(P77),0,ABS(Uzman_E!E$4-P77))</f>
        <v>0</v>
      </c>
      <c r="R77" s="61">
        <f>IF(ISBLANK(P77),0,INDEX(Tablo_E!$B$2:$CX$102,MATCH(ROUND(Uzman_E!B$4,1),Tablo_E!$A$2:$A$102,1),MATCH(ROUND(Q77,1),Tablo_E!$B$1:$CX$1,1)))</f>
        <v>0</v>
      </c>
      <c r="S77" s="56">
        <f t="shared" si="1"/>
        <v>0</v>
      </c>
      <c r="T77" s="50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spans="1:36" ht="15" customHeight="1" thickBot="1" x14ac:dyDescent="0.25">
      <c r="A78" s="57">
        <v>75</v>
      </c>
      <c r="B78" s="139">
        <f>Hakemler!B78</f>
        <v>0</v>
      </c>
      <c r="C78" s="140">
        <f>Hakemler!C78</f>
        <v>0</v>
      </c>
      <c r="D78" s="60"/>
      <c r="E78" s="65">
        <f>IF(ISBLANK(D78),0,ABS(Uzman_E!A$4-D78))</f>
        <v>0</v>
      </c>
      <c r="F78" s="61">
        <f>IF(ISBLANK(D78),0,INDEX(Tablo_E!$B$2:$CX$102,MATCH(ROUND(Uzman_E!A$4,1),Tablo_E!$A$2:$A$102,1),MATCH(ROUND(E78,1),Tablo_E!$B$1:$CX$1,1)))</f>
        <v>0</v>
      </c>
      <c r="G78" s="60"/>
      <c r="H78" s="64">
        <f>IF(ISBLANK(G78),0,ABS(Uzman_E!B$4-G78))</f>
        <v>0</v>
      </c>
      <c r="I78" s="61">
        <f>IF(ISBLANK(G78),0,INDEX(Tablo_E!$B$2:$CX$102,MATCH(ROUND(Uzman_E!B$4,1),Tablo_E!$A$2:$A$102,1),MATCH(ROUND(H78,1),Tablo_E!$B$1:$CX$1,1)))</f>
        <v>0</v>
      </c>
      <c r="J78" s="60"/>
      <c r="K78" s="65">
        <f>IF(ISBLANK(J78),0,ABS(Uzman_E!C$4-J78))</f>
        <v>0</v>
      </c>
      <c r="L78" s="61">
        <f>IF(ISBLANK(J78),0,INDEX(Tablo_E!$B$2:$CX$102,MATCH(ROUND(Uzman_E!C$4,1),Tablo_E!$A$2:$A$102,1),MATCH(ROUND(K78,1),Tablo_E!$B$1:$CX$1,1)))</f>
        <v>0</v>
      </c>
      <c r="M78" s="60"/>
      <c r="N78" s="65">
        <f>IF(ISBLANK(M78),0,ABS(Uzman_E!D$4-M78))</f>
        <v>0</v>
      </c>
      <c r="O78" s="61">
        <f>IF(ISBLANK(M78),0,INDEX(Tablo_E!$B$2:$CX$102,MATCH(ROUND(Uzman_E!D$4,1),Tablo_E!$A$2:$A$102,1),MATCH(ROUND(N78,1),Tablo_E!$B$1:$CX$1,1)))</f>
        <v>0</v>
      </c>
      <c r="P78" s="60"/>
      <c r="Q78" s="64">
        <f>IF(ISBLANK(P78),0,ABS(Uzman_E!E$4-P78))</f>
        <v>0</v>
      </c>
      <c r="R78" s="61">
        <f>IF(ISBLANK(P78),0,INDEX(Tablo_E!$B$2:$CX$102,MATCH(ROUND(Uzman_E!B$4,1),Tablo_E!$A$2:$A$102,1),MATCH(ROUND(Q78,1),Tablo_E!$B$1:$CX$1,1)))</f>
        <v>0</v>
      </c>
      <c r="S78" s="56">
        <f t="shared" si="1"/>
        <v>0</v>
      </c>
      <c r="T78" s="50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spans="1:36" ht="15" customHeight="1" thickBot="1" x14ac:dyDescent="0.25">
      <c r="A79" s="57">
        <v>76</v>
      </c>
      <c r="B79" s="139">
        <f>Hakemler!B79</f>
        <v>0</v>
      </c>
      <c r="C79" s="140">
        <f>Hakemler!C79</f>
        <v>0</v>
      </c>
      <c r="D79" s="60"/>
      <c r="E79" s="65">
        <f>IF(ISBLANK(D79),0,ABS(Uzman_E!A$4-D79))</f>
        <v>0</v>
      </c>
      <c r="F79" s="61">
        <f>IF(ISBLANK(D79),0,INDEX(Tablo_E!$B$2:$CX$102,MATCH(ROUND(Uzman_E!A$4,1),Tablo_E!$A$2:$A$102,1),MATCH(ROUND(E79,1),Tablo_E!$B$1:$CX$1,1)))</f>
        <v>0</v>
      </c>
      <c r="G79" s="60"/>
      <c r="H79" s="64">
        <f>IF(ISBLANK(G79),0,ABS(Uzman_E!B$4-G79))</f>
        <v>0</v>
      </c>
      <c r="I79" s="61">
        <f>IF(ISBLANK(G79),0,INDEX(Tablo_E!$B$2:$CX$102,MATCH(ROUND(Uzman_E!B$4,1),Tablo_E!$A$2:$A$102,1),MATCH(ROUND(H79,1),Tablo_E!$B$1:$CX$1,1)))</f>
        <v>0</v>
      </c>
      <c r="J79" s="60"/>
      <c r="K79" s="65">
        <f>IF(ISBLANK(J79),0,ABS(Uzman_E!C$4-J79))</f>
        <v>0</v>
      </c>
      <c r="L79" s="61">
        <f>IF(ISBLANK(J79),0,INDEX(Tablo_E!$B$2:$CX$102,MATCH(ROUND(Uzman_E!C$4,1),Tablo_E!$A$2:$A$102,1),MATCH(ROUND(K79,1),Tablo_E!$B$1:$CX$1,1)))</f>
        <v>0</v>
      </c>
      <c r="M79" s="60"/>
      <c r="N79" s="65">
        <f>IF(ISBLANK(M79),0,ABS(Uzman_E!D$4-M79))</f>
        <v>0</v>
      </c>
      <c r="O79" s="61">
        <f>IF(ISBLANK(M79),0,INDEX(Tablo_E!$B$2:$CX$102,MATCH(ROUND(Uzman_E!D$4,1),Tablo_E!$A$2:$A$102,1),MATCH(ROUND(N79,1),Tablo_E!$B$1:$CX$1,1)))</f>
        <v>0</v>
      </c>
      <c r="P79" s="60"/>
      <c r="Q79" s="64">
        <f>IF(ISBLANK(P79),0,ABS(Uzman_E!E$4-P79))</f>
        <v>0</v>
      </c>
      <c r="R79" s="61">
        <f>IF(ISBLANK(P79),0,INDEX(Tablo_E!$B$2:$CX$102,MATCH(ROUND(Uzman_E!B$4,1),Tablo_E!$A$2:$A$102,1),MATCH(ROUND(Q79,1),Tablo_E!$B$1:$CX$1,1)))</f>
        <v>0</v>
      </c>
      <c r="S79" s="56">
        <f t="shared" si="1"/>
        <v>0</v>
      </c>
      <c r="T79" s="50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spans="1:36" ht="15" customHeight="1" thickBot="1" x14ac:dyDescent="0.25">
      <c r="A80" s="57">
        <v>77</v>
      </c>
      <c r="B80" s="139">
        <f>Hakemler!B80</f>
        <v>0</v>
      </c>
      <c r="C80" s="140">
        <f>Hakemler!C80</f>
        <v>0</v>
      </c>
      <c r="D80" s="60"/>
      <c r="E80" s="65">
        <f>IF(ISBLANK(D80),0,ABS(Uzman_E!A$4-D80))</f>
        <v>0</v>
      </c>
      <c r="F80" s="61">
        <f>IF(ISBLANK(D80),0,INDEX(Tablo_E!$B$2:$CX$102,MATCH(ROUND(Uzman_E!A$4,1),Tablo_E!$A$2:$A$102,1),MATCH(ROUND(E80,1),Tablo_E!$B$1:$CX$1,1)))</f>
        <v>0</v>
      </c>
      <c r="G80" s="60"/>
      <c r="H80" s="64">
        <f>IF(ISBLANK(G80),0,ABS(Uzman_E!B$4-G80))</f>
        <v>0</v>
      </c>
      <c r="I80" s="61">
        <f>IF(ISBLANK(G80),0,INDEX(Tablo_E!$B$2:$CX$102,MATCH(ROUND(Uzman_E!B$4,1),Tablo_E!$A$2:$A$102,1),MATCH(ROUND(H80,1),Tablo_E!$B$1:$CX$1,1)))</f>
        <v>0</v>
      </c>
      <c r="J80" s="60"/>
      <c r="K80" s="65">
        <f>IF(ISBLANK(J80),0,ABS(Uzman_E!C$4-J80))</f>
        <v>0</v>
      </c>
      <c r="L80" s="61">
        <f>IF(ISBLANK(J80),0,INDEX(Tablo_E!$B$2:$CX$102,MATCH(ROUND(Uzman_E!C$4,1),Tablo_E!$A$2:$A$102,1),MATCH(ROUND(K80,1),Tablo_E!$B$1:$CX$1,1)))</f>
        <v>0</v>
      </c>
      <c r="M80" s="60"/>
      <c r="N80" s="65">
        <f>IF(ISBLANK(M80),0,ABS(Uzman_E!D$4-M80))</f>
        <v>0</v>
      </c>
      <c r="O80" s="61">
        <f>IF(ISBLANK(M80),0,INDEX(Tablo_E!$B$2:$CX$102,MATCH(ROUND(Uzman_E!D$4,1),Tablo_E!$A$2:$A$102,1),MATCH(ROUND(N80,1),Tablo_E!$B$1:$CX$1,1)))</f>
        <v>0</v>
      </c>
      <c r="P80" s="60"/>
      <c r="Q80" s="64">
        <f>IF(ISBLANK(P80),0,ABS(Uzman_E!E$4-P80))</f>
        <v>0</v>
      </c>
      <c r="R80" s="61">
        <f>IF(ISBLANK(P80),0,INDEX(Tablo_E!$B$2:$CX$102,MATCH(ROUND(Uzman_E!B$4,1),Tablo_E!$A$2:$A$102,1),MATCH(ROUND(Q80,1),Tablo_E!$B$1:$CX$1,1)))</f>
        <v>0</v>
      </c>
      <c r="S80" s="56">
        <f t="shared" si="1"/>
        <v>0</v>
      </c>
      <c r="T80" s="50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</row>
    <row r="81" spans="1:36" ht="15" customHeight="1" thickBot="1" x14ac:dyDescent="0.25">
      <c r="A81" s="57">
        <v>78</v>
      </c>
      <c r="B81" s="139">
        <f>Hakemler!B81</f>
        <v>0</v>
      </c>
      <c r="C81" s="140">
        <f>Hakemler!C81</f>
        <v>0</v>
      </c>
      <c r="D81" s="60"/>
      <c r="E81" s="65">
        <f>IF(ISBLANK(D81),0,ABS(Uzman_E!A$4-D81))</f>
        <v>0</v>
      </c>
      <c r="F81" s="61">
        <f>IF(ISBLANK(D81),0,INDEX(Tablo_E!$B$2:$CX$102,MATCH(ROUND(Uzman_E!A$4,1),Tablo_E!$A$2:$A$102,1),MATCH(ROUND(E81,1),Tablo_E!$B$1:$CX$1,1)))</f>
        <v>0</v>
      </c>
      <c r="G81" s="60"/>
      <c r="H81" s="64">
        <f>IF(ISBLANK(G81),0,ABS(Uzman_E!B$4-G81))</f>
        <v>0</v>
      </c>
      <c r="I81" s="61">
        <f>IF(ISBLANK(G81),0,INDEX(Tablo_E!$B$2:$CX$102,MATCH(ROUND(Uzman_E!B$4,1),Tablo_E!$A$2:$A$102,1),MATCH(ROUND(H81,1),Tablo_E!$B$1:$CX$1,1)))</f>
        <v>0</v>
      </c>
      <c r="J81" s="60"/>
      <c r="K81" s="65">
        <f>IF(ISBLANK(J81),0,ABS(Uzman_E!C$4-J81))</f>
        <v>0</v>
      </c>
      <c r="L81" s="61">
        <f>IF(ISBLANK(J81),0,INDEX(Tablo_E!$B$2:$CX$102,MATCH(ROUND(Uzman_E!C$4,1),Tablo_E!$A$2:$A$102,1),MATCH(ROUND(K81,1),Tablo_E!$B$1:$CX$1,1)))</f>
        <v>0</v>
      </c>
      <c r="M81" s="60"/>
      <c r="N81" s="65">
        <f>IF(ISBLANK(M81),0,ABS(Uzman_E!D$4-M81))</f>
        <v>0</v>
      </c>
      <c r="O81" s="61">
        <f>IF(ISBLANK(M81),0,INDEX(Tablo_E!$B$2:$CX$102,MATCH(ROUND(Uzman_E!D$4,1),Tablo_E!$A$2:$A$102,1),MATCH(ROUND(N81,1),Tablo_E!$B$1:$CX$1,1)))</f>
        <v>0</v>
      </c>
      <c r="P81" s="60"/>
      <c r="Q81" s="64">
        <f>IF(ISBLANK(P81),0,ABS(Uzman_E!E$4-P81))</f>
        <v>0</v>
      </c>
      <c r="R81" s="61">
        <f>IF(ISBLANK(P81),0,INDEX(Tablo_E!$B$2:$CX$102,MATCH(ROUND(Uzman_E!B$4,1),Tablo_E!$A$2:$A$102,1),MATCH(ROUND(Q81,1),Tablo_E!$B$1:$CX$1,1)))</f>
        <v>0</v>
      </c>
      <c r="S81" s="56">
        <f t="shared" si="1"/>
        <v>0</v>
      </c>
      <c r="T81" s="50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</row>
    <row r="82" spans="1:36" ht="15" customHeight="1" thickBot="1" x14ac:dyDescent="0.25">
      <c r="A82" s="57">
        <v>79</v>
      </c>
      <c r="B82" s="139">
        <f>Hakemler!B82</f>
        <v>0</v>
      </c>
      <c r="C82" s="140">
        <f>Hakemler!C82</f>
        <v>0</v>
      </c>
      <c r="D82" s="60"/>
      <c r="E82" s="65">
        <f>IF(ISBLANK(D82),0,ABS(Uzman_E!A$4-D82))</f>
        <v>0</v>
      </c>
      <c r="F82" s="61">
        <f>IF(ISBLANK(D82),0,INDEX(Tablo_E!$B$2:$CX$102,MATCH(ROUND(Uzman_E!A$4,1),Tablo_E!$A$2:$A$102,1),MATCH(ROUND(E82,1),Tablo_E!$B$1:$CX$1,1)))</f>
        <v>0</v>
      </c>
      <c r="G82" s="60"/>
      <c r="H82" s="64">
        <f>IF(ISBLANK(G82),0,ABS(Uzman_E!B$4-G82))</f>
        <v>0</v>
      </c>
      <c r="I82" s="61">
        <f>IF(ISBLANK(G82),0,INDEX(Tablo_E!$B$2:$CX$102,MATCH(ROUND(Uzman_E!B$4,1),Tablo_E!$A$2:$A$102,1),MATCH(ROUND(H82,1),Tablo_E!$B$1:$CX$1,1)))</f>
        <v>0</v>
      </c>
      <c r="J82" s="60"/>
      <c r="K82" s="65">
        <f>IF(ISBLANK(J82),0,ABS(Uzman_E!C$4-J82))</f>
        <v>0</v>
      </c>
      <c r="L82" s="61">
        <f>IF(ISBLANK(J82),0,INDEX(Tablo_E!$B$2:$CX$102,MATCH(ROUND(Uzman_E!C$4,1),Tablo_E!$A$2:$A$102,1),MATCH(ROUND(K82,1),Tablo_E!$B$1:$CX$1,1)))</f>
        <v>0</v>
      </c>
      <c r="M82" s="60"/>
      <c r="N82" s="65">
        <f>IF(ISBLANK(M82),0,ABS(Uzman_E!D$4-M82))</f>
        <v>0</v>
      </c>
      <c r="O82" s="61">
        <f>IF(ISBLANK(M82),0,INDEX(Tablo_E!$B$2:$CX$102,MATCH(ROUND(Uzman_E!D$4,1),Tablo_E!$A$2:$A$102,1),MATCH(ROUND(N82,1),Tablo_E!$B$1:$CX$1,1)))</f>
        <v>0</v>
      </c>
      <c r="P82" s="60"/>
      <c r="Q82" s="64">
        <f>IF(ISBLANK(P82),0,ABS(Uzman_E!E$4-P82))</f>
        <v>0</v>
      </c>
      <c r="R82" s="61">
        <f>IF(ISBLANK(P82),0,INDEX(Tablo_E!$B$2:$CX$102,MATCH(ROUND(Uzman_E!B$4,1),Tablo_E!$A$2:$A$102,1),MATCH(ROUND(Q82,1),Tablo_E!$B$1:$CX$1,1)))</f>
        <v>0</v>
      </c>
      <c r="S82" s="56">
        <f t="shared" si="1"/>
        <v>0</v>
      </c>
      <c r="T82" s="50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</row>
    <row r="83" spans="1:36" ht="15" customHeight="1" thickBot="1" x14ac:dyDescent="0.25">
      <c r="A83" s="57">
        <v>80</v>
      </c>
      <c r="B83" s="139">
        <f>Hakemler!B83</f>
        <v>0</v>
      </c>
      <c r="C83" s="140">
        <f>Hakemler!C83</f>
        <v>0</v>
      </c>
      <c r="D83" s="60"/>
      <c r="E83" s="65">
        <f>IF(ISBLANK(D83),0,ABS(Uzman_E!A$4-D83))</f>
        <v>0</v>
      </c>
      <c r="F83" s="61">
        <f>IF(ISBLANK(D83),0,INDEX(Tablo_E!$B$2:$CX$102,MATCH(ROUND(Uzman_E!A$4,1),Tablo_E!$A$2:$A$102,1),MATCH(ROUND(E83,1),Tablo_E!$B$1:$CX$1,1)))</f>
        <v>0</v>
      </c>
      <c r="G83" s="60"/>
      <c r="H83" s="64">
        <f>IF(ISBLANK(G83),0,ABS(Uzman_E!B$4-G83))</f>
        <v>0</v>
      </c>
      <c r="I83" s="61">
        <f>IF(ISBLANK(G83),0,INDEX(Tablo_E!$B$2:$CX$102,MATCH(ROUND(Uzman_E!B$4,1),Tablo_E!$A$2:$A$102,1),MATCH(ROUND(H83,1),Tablo_E!$B$1:$CX$1,1)))</f>
        <v>0</v>
      </c>
      <c r="J83" s="60"/>
      <c r="K83" s="65">
        <f>IF(ISBLANK(J83),0,ABS(Uzman_E!C$4-J83))</f>
        <v>0</v>
      </c>
      <c r="L83" s="61">
        <f>IF(ISBLANK(J83),0,INDEX(Tablo_E!$B$2:$CX$102,MATCH(ROUND(Uzman_E!C$4,1),Tablo_E!$A$2:$A$102,1),MATCH(ROUND(K83,1),Tablo_E!$B$1:$CX$1,1)))</f>
        <v>0</v>
      </c>
      <c r="M83" s="60"/>
      <c r="N83" s="65">
        <f>IF(ISBLANK(M83),0,ABS(Uzman_E!D$4-M83))</f>
        <v>0</v>
      </c>
      <c r="O83" s="61">
        <f>IF(ISBLANK(M83),0,INDEX(Tablo_E!$B$2:$CX$102,MATCH(ROUND(Uzman_E!D$4,1),Tablo_E!$A$2:$A$102,1),MATCH(ROUND(N83,1),Tablo_E!$B$1:$CX$1,1)))</f>
        <v>0</v>
      </c>
      <c r="P83" s="60"/>
      <c r="Q83" s="64">
        <f>IF(ISBLANK(P83),0,ABS(Uzman_E!E$4-P83))</f>
        <v>0</v>
      </c>
      <c r="R83" s="61">
        <f>IF(ISBLANK(P83),0,INDEX(Tablo_E!$B$2:$CX$102,MATCH(ROUND(Uzman_E!B$4,1),Tablo_E!$A$2:$A$102,1),MATCH(ROUND(Q83,1),Tablo_E!$B$1:$CX$1,1)))</f>
        <v>0</v>
      </c>
      <c r="S83" s="56">
        <f t="shared" si="1"/>
        <v>0</v>
      </c>
      <c r="T83" s="50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</row>
    <row r="84" spans="1:36" ht="15" customHeight="1" thickBot="1" x14ac:dyDescent="0.25">
      <c r="A84" s="57">
        <v>81</v>
      </c>
      <c r="B84" s="139">
        <f>Hakemler!B84</f>
        <v>0</v>
      </c>
      <c r="C84" s="140">
        <f>Hakemler!C84</f>
        <v>0</v>
      </c>
      <c r="D84" s="60"/>
      <c r="E84" s="65">
        <f>IF(ISBLANK(D84),0,ABS(Uzman_E!A$4-D84))</f>
        <v>0</v>
      </c>
      <c r="F84" s="61">
        <f>IF(ISBLANK(D84),0,INDEX(Tablo_E!$B$2:$CX$102,MATCH(ROUND(Uzman_E!A$4,1),Tablo_E!$A$2:$A$102,1),MATCH(ROUND(E84,1),Tablo_E!$B$1:$CX$1,1)))</f>
        <v>0</v>
      </c>
      <c r="G84" s="60"/>
      <c r="H84" s="64">
        <f>IF(ISBLANK(G84),0,ABS(Uzman_E!B$4-G84))</f>
        <v>0</v>
      </c>
      <c r="I84" s="61">
        <f>IF(ISBLANK(G84),0,INDEX(Tablo_E!$B$2:$CX$102,MATCH(ROUND(Uzman_E!B$4,1),Tablo_E!$A$2:$A$102,1),MATCH(ROUND(H84,1),Tablo_E!$B$1:$CX$1,1)))</f>
        <v>0</v>
      </c>
      <c r="J84" s="60"/>
      <c r="K84" s="65">
        <f>IF(ISBLANK(J84),0,ABS(Uzman_E!C$4-J84))</f>
        <v>0</v>
      </c>
      <c r="L84" s="61">
        <f>IF(ISBLANK(J84),0,INDEX(Tablo_E!$B$2:$CX$102,MATCH(ROUND(Uzman_E!C$4,1),Tablo_E!$A$2:$A$102,1),MATCH(ROUND(K84,1),Tablo_E!$B$1:$CX$1,1)))</f>
        <v>0</v>
      </c>
      <c r="M84" s="60"/>
      <c r="N84" s="65">
        <f>IF(ISBLANK(M84),0,ABS(Uzman_E!D$4-M84))</f>
        <v>0</v>
      </c>
      <c r="O84" s="61">
        <f>IF(ISBLANK(M84),0,INDEX(Tablo_E!$B$2:$CX$102,MATCH(ROUND(Uzman_E!D$4,1),Tablo_E!$A$2:$A$102,1),MATCH(ROUND(N84,1),Tablo_E!$B$1:$CX$1,1)))</f>
        <v>0</v>
      </c>
      <c r="P84" s="60"/>
      <c r="Q84" s="64">
        <f>IF(ISBLANK(P84),0,ABS(Uzman_E!E$4-P84))</f>
        <v>0</v>
      </c>
      <c r="R84" s="61">
        <f>IF(ISBLANK(P84),0,INDEX(Tablo_E!$B$2:$CX$102,MATCH(ROUND(Uzman_E!B$4,1),Tablo_E!$A$2:$A$102,1),MATCH(ROUND(Q84,1),Tablo_E!$B$1:$CX$1,1)))</f>
        <v>0</v>
      </c>
      <c r="S84" s="56">
        <f t="shared" si="1"/>
        <v>0</v>
      </c>
      <c r="T84" s="50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</row>
    <row r="85" spans="1:36" ht="15" customHeight="1" thickBot="1" x14ac:dyDescent="0.25">
      <c r="A85" s="57">
        <v>82</v>
      </c>
      <c r="B85" s="139">
        <f>Hakemler!B85</f>
        <v>0</v>
      </c>
      <c r="C85" s="140">
        <f>Hakemler!C85</f>
        <v>0</v>
      </c>
      <c r="D85" s="60"/>
      <c r="E85" s="65">
        <f>IF(ISBLANK(D85),0,ABS(Uzman_E!A$4-D85))</f>
        <v>0</v>
      </c>
      <c r="F85" s="61">
        <f>IF(ISBLANK(D85),0,INDEX(Tablo_E!$B$2:$CX$102,MATCH(ROUND(Uzman_E!A$4,1),Tablo_E!$A$2:$A$102,1),MATCH(ROUND(E85,1),Tablo_E!$B$1:$CX$1,1)))</f>
        <v>0</v>
      </c>
      <c r="G85" s="60"/>
      <c r="H85" s="64">
        <f>IF(ISBLANK(G85),0,ABS(Uzman_E!B$4-G85))</f>
        <v>0</v>
      </c>
      <c r="I85" s="61">
        <f>IF(ISBLANK(G85),0,INDEX(Tablo_E!$B$2:$CX$102,MATCH(ROUND(Uzman_E!B$4,1),Tablo_E!$A$2:$A$102,1),MATCH(ROUND(H85,1),Tablo_E!$B$1:$CX$1,1)))</f>
        <v>0</v>
      </c>
      <c r="J85" s="60"/>
      <c r="K85" s="65">
        <f>IF(ISBLANK(J85),0,ABS(Uzman_E!C$4-J85))</f>
        <v>0</v>
      </c>
      <c r="L85" s="61">
        <f>IF(ISBLANK(J85),0,INDEX(Tablo_E!$B$2:$CX$102,MATCH(ROUND(Uzman_E!C$4,1),Tablo_E!$A$2:$A$102,1),MATCH(ROUND(K85,1),Tablo_E!$B$1:$CX$1,1)))</f>
        <v>0</v>
      </c>
      <c r="M85" s="60"/>
      <c r="N85" s="65">
        <f>IF(ISBLANK(M85),0,ABS(Uzman_E!D$4-M85))</f>
        <v>0</v>
      </c>
      <c r="O85" s="61">
        <f>IF(ISBLANK(M85),0,INDEX(Tablo_E!$B$2:$CX$102,MATCH(ROUND(Uzman_E!D$4,1),Tablo_E!$A$2:$A$102,1),MATCH(ROUND(N85,1),Tablo_E!$B$1:$CX$1,1)))</f>
        <v>0</v>
      </c>
      <c r="P85" s="60"/>
      <c r="Q85" s="64">
        <f>IF(ISBLANK(P85),0,ABS(Uzman_E!E$4-P85))</f>
        <v>0</v>
      </c>
      <c r="R85" s="61">
        <f>IF(ISBLANK(P85),0,INDEX(Tablo_E!$B$2:$CX$102,MATCH(ROUND(Uzman_E!B$4,1),Tablo_E!$A$2:$A$102,1),MATCH(ROUND(Q85,1),Tablo_E!$B$1:$CX$1,1)))</f>
        <v>0</v>
      </c>
      <c r="S85" s="56">
        <f t="shared" si="1"/>
        <v>0</v>
      </c>
      <c r="T85" s="50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</row>
    <row r="86" spans="1:36" ht="15" customHeight="1" thickBot="1" x14ac:dyDescent="0.25">
      <c r="A86" s="57">
        <v>83</v>
      </c>
      <c r="B86" s="139">
        <f>Hakemler!B86</f>
        <v>0</v>
      </c>
      <c r="C86" s="140">
        <f>Hakemler!C86</f>
        <v>0</v>
      </c>
      <c r="D86" s="60"/>
      <c r="E86" s="65">
        <f>IF(ISBLANK(D86),0,ABS(Uzman_E!A$4-D86))</f>
        <v>0</v>
      </c>
      <c r="F86" s="61">
        <f>IF(ISBLANK(D86),0,INDEX(Tablo_E!$B$2:$CX$102,MATCH(ROUND(Uzman_E!A$4,1),Tablo_E!$A$2:$A$102,1),MATCH(ROUND(E86,1),Tablo_E!$B$1:$CX$1,1)))</f>
        <v>0</v>
      </c>
      <c r="G86" s="60"/>
      <c r="H86" s="64">
        <f>IF(ISBLANK(G86),0,ABS(Uzman_E!B$4-G86))</f>
        <v>0</v>
      </c>
      <c r="I86" s="61">
        <f>IF(ISBLANK(G86),0,INDEX(Tablo_E!$B$2:$CX$102,MATCH(ROUND(Uzman_E!B$4,1),Tablo_E!$A$2:$A$102,1),MATCH(ROUND(H86,1),Tablo_E!$B$1:$CX$1,1)))</f>
        <v>0</v>
      </c>
      <c r="J86" s="60"/>
      <c r="K86" s="65">
        <f>IF(ISBLANK(J86),0,ABS(Uzman_E!C$4-J86))</f>
        <v>0</v>
      </c>
      <c r="L86" s="61">
        <f>IF(ISBLANK(J86),0,INDEX(Tablo_E!$B$2:$CX$102,MATCH(ROUND(Uzman_E!C$4,1),Tablo_E!$A$2:$A$102,1),MATCH(ROUND(K86,1),Tablo_E!$B$1:$CX$1,1)))</f>
        <v>0</v>
      </c>
      <c r="M86" s="60"/>
      <c r="N86" s="65">
        <f>IF(ISBLANK(M86),0,ABS(Uzman_E!D$4-M86))</f>
        <v>0</v>
      </c>
      <c r="O86" s="61">
        <f>IF(ISBLANK(M86),0,INDEX(Tablo_E!$B$2:$CX$102,MATCH(ROUND(Uzman_E!D$4,1),Tablo_E!$A$2:$A$102,1),MATCH(ROUND(N86,1),Tablo_E!$B$1:$CX$1,1)))</f>
        <v>0</v>
      </c>
      <c r="P86" s="60"/>
      <c r="Q86" s="64">
        <f>IF(ISBLANK(P86),0,ABS(Uzman_E!E$4-P86))</f>
        <v>0</v>
      </c>
      <c r="R86" s="61">
        <f>IF(ISBLANK(P86),0,INDEX(Tablo_E!$B$2:$CX$102,MATCH(ROUND(Uzman_E!B$4,1),Tablo_E!$A$2:$A$102,1),MATCH(ROUND(Q86,1),Tablo_E!$B$1:$CX$1,1)))</f>
        <v>0</v>
      </c>
      <c r="S86" s="56">
        <f t="shared" si="1"/>
        <v>0</v>
      </c>
      <c r="T86" s="50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</row>
    <row r="87" spans="1:36" ht="15" customHeight="1" thickBot="1" x14ac:dyDescent="0.25">
      <c r="A87" s="57">
        <v>84</v>
      </c>
      <c r="B87" s="139">
        <f>Hakemler!B87</f>
        <v>0</v>
      </c>
      <c r="C87" s="140">
        <f>Hakemler!C87</f>
        <v>0</v>
      </c>
      <c r="D87" s="60"/>
      <c r="E87" s="65">
        <f>IF(ISBLANK(D87),0,ABS(Uzman_E!A$4-D87))</f>
        <v>0</v>
      </c>
      <c r="F87" s="61">
        <f>IF(ISBLANK(D87),0,INDEX(Tablo_E!$B$2:$CX$102,MATCH(ROUND(Uzman_E!A$4,1),Tablo_E!$A$2:$A$102,1),MATCH(ROUND(E87,1),Tablo_E!$B$1:$CX$1,1)))</f>
        <v>0</v>
      </c>
      <c r="G87" s="60"/>
      <c r="H87" s="64">
        <f>IF(ISBLANK(G87),0,ABS(Uzman_E!B$4-G87))</f>
        <v>0</v>
      </c>
      <c r="I87" s="61">
        <f>IF(ISBLANK(G87),0,INDEX(Tablo_E!$B$2:$CX$102,MATCH(ROUND(Uzman_E!B$4,1),Tablo_E!$A$2:$A$102,1),MATCH(ROUND(H87,1),Tablo_E!$B$1:$CX$1,1)))</f>
        <v>0</v>
      </c>
      <c r="J87" s="60"/>
      <c r="K87" s="65">
        <f>IF(ISBLANK(J87),0,ABS(Uzman_E!C$4-J87))</f>
        <v>0</v>
      </c>
      <c r="L87" s="61">
        <f>IF(ISBLANK(J87),0,INDEX(Tablo_E!$B$2:$CX$102,MATCH(ROUND(Uzman_E!C$4,1),Tablo_E!$A$2:$A$102,1),MATCH(ROUND(K87,1),Tablo_E!$B$1:$CX$1,1)))</f>
        <v>0</v>
      </c>
      <c r="M87" s="60"/>
      <c r="N87" s="65">
        <f>IF(ISBLANK(M87),0,ABS(Uzman_E!D$4-M87))</f>
        <v>0</v>
      </c>
      <c r="O87" s="61">
        <f>IF(ISBLANK(M87),0,INDEX(Tablo_E!$B$2:$CX$102,MATCH(ROUND(Uzman_E!D$4,1),Tablo_E!$A$2:$A$102,1),MATCH(ROUND(N87,1),Tablo_E!$B$1:$CX$1,1)))</f>
        <v>0</v>
      </c>
      <c r="P87" s="60"/>
      <c r="Q87" s="64">
        <f>IF(ISBLANK(P87),0,ABS(Uzman_E!E$4-P87))</f>
        <v>0</v>
      </c>
      <c r="R87" s="61">
        <f>IF(ISBLANK(P87),0,INDEX(Tablo_E!$B$2:$CX$102,MATCH(ROUND(Uzman_E!B$4,1),Tablo_E!$A$2:$A$102,1),MATCH(ROUND(Q87,1),Tablo_E!$B$1:$CX$1,1)))</f>
        <v>0</v>
      </c>
      <c r="S87" s="56">
        <f t="shared" si="1"/>
        <v>0</v>
      </c>
      <c r="T87" s="50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</row>
    <row r="88" spans="1:36" ht="15" customHeight="1" thickBot="1" x14ac:dyDescent="0.25">
      <c r="A88" s="57">
        <v>85</v>
      </c>
      <c r="B88" s="139">
        <f>Hakemler!B88</f>
        <v>0</v>
      </c>
      <c r="C88" s="140">
        <f>Hakemler!C88</f>
        <v>0</v>
      </c>
      <c r="D88" s="60"/>
      <c r="E88" s="65">
        <f>IF(ISBLANK(D88),0,ABS(Uzman_E!A$4-D88))</f>
        <v>0</v>
      </c>
      <c r="F88" s="61">
        <f>IF(ISBLANK(D88),0,INDEX(Tablo_E!$B$2:$CX$102,MATCH(ROUND(Uzman_E!A$4,1),Tablo_E!$A$2:$A$102,1),MATCH(ROUND(E88,1),Tablo_E!$B$1:$CX$1,1)))</f>
        <v>0</v>
      </c>
      <c r="G88" s="60"/>
      <c r="H88" s="64">
        <f>IF(ISBLANK(G88),0,ABS(Uzman_E!B$4-G88))</f>
        <v>0</v>
      </c>
      <c r="I88" s="61">
        <f>IF(ISBLANK(G88),0,INDEX(Tablo_E!$B$2:$CX$102,MATCH(ROUND(Uzman_E!B$4,1),Tablo_E!$A$2:$A$102,1),MATCH(ROUND(H88,1),Tablo_E!$B$1:$CX$1,1)))</f>
        <v>0</v>
      </c>
      <c r="J88" s="60"/>
      <c r="K88" s="65">
        <f>IF(ISBLANK(J88),0,ABS(Uzman_E!C$4-J88))</f>
        <v>0</v>
      </c>
      <c r="L88" s="61">
        <f>IF(ISBLANK(J88),0,INDEX(Tablo_E!$B$2:$CX$102,MATCH(ROUND(Uzman_E!C$4,1),Tablo_E!$A$2:$A$102,1),MATCH(ROUND(K88,1),Tablo_E!$B$1:$CX$1,1)))</f>
        <v>0</v>
      </c>
      <c r="M88" s="60"/>
      <c r="N88" s="65">
        <f>IF(ISBLANK(M88),0,ABS(Uzman_E!D$4-M88))</f>
        <v>0</v>
      </c>
      <c r="O88" s="61">
        <f>IF(ISBLANK(M88),0,INDEX(Tablo_E!$B$2:$CX$102,MATCH(ROUND(Uzman_E!D$4,1),Tablo_E!$A$2:$A$102,1),MATCH(ROUND(N88,1),Tablo_E!$B$1:$CX$1,1)))</f>
        <v>0</v>
      </c>
      <c r="P88" s="60"/>
      <c r="Q88" s="64">
        <f>IF(ISBLANK(P88),0,ABS(Uzman_E!E$4-P88))</f>
        <v>0</v>
      </c>
      <c r="R88" s="61">
        <f>IF(ISBLANK(P88),0,INDEX(Tablo_E!$B$2:$CX$102,MATCH(ROUND(Uzman_E!B$4,1),Tablo_E!$A$2:$A$102,1),MATCH(ROUND(Q88,1),Tablo_E!$B$1:$CX$1,1)))</f>
        <v>0</v>
      </c>
      <c r="S88" s="56">
        <f t="shared" si="1"/>
        <v>0</v>
      </c>
      <c r="T88" s="50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</row>
    <row r="89" spans="1:36" ht="15" customHeight="1" thickBot="1" x14ac:dyDescent="0.25">
      <c r="A89" s="57">
        <v>86</v>
      </c>
      <c r="B89" s="139">
        <f>Hakemler!B89</f>
        <v>0</v>
      </c>
      <c r="C89" s="140">
        <f>Hakemler!C89</f>
        <v>0</v>
      </c>
      <c r="D89" s="60"/>
      <c r="E89" s="65">
        <f>IF(ISBLANK(D89),0,ABS(Uzman_E!A$4-D89))</f>
        <v>0</v>
      </c>
      <c r="F89" s="61">
        <f>IF(ISBLANK(D89),0,INDEX(Tablo_E!$B$2:$CX$102,MATCH(ROUND(Uzman_E!A$4,1),Tablo_E!$A$2:$A$102,1),MATCH(ROUND(E89,1),Tablo_E!$B$1:$CX$1,1)))</f>
        <v>0</v>
      </c>
      <c r="G89" s="60"/>
      <c r="H89" s="64">
        <f>IF(ISBLANK(G89),0,ABS(Uzman_E!B$4-G89))</f>
        <v>0</v>
      </c>
      <c r="I89" s="61">
        <f>IF(ISBLANK(G89),0,INDEX(Tablo_E!$B$2:$CX$102,MATCH(ROUND(Uzman_E!B$4,1),Tablo_E!$A$2:$A$102,1),MATCH(ROUND(H89,1),Tablo_E!$B$1:$CX$1,1)))</f>
        <v>0</v>
      </c>
      <c r="J89" s="60"/>
      <c r="K89" s="65">
        <f>IF(ISBLANK(J89),0,ABS(Uzman_E!C$4-J89))</f>
        <v>0</v>
      </c>
      <c r="L89" s="61">
        <f>IF(ISBLANK(J89),0,INDEX(Tablo_E!$B$2:$CX$102,MATCH(ROUND(Uzman_E!C$4,1),Tablo_E!$A$2:$A$102,1),MATCH(ROUND(K89,1),Tablo_E!$B$1:$CX$1,1)))</f>
        <v>0</v>
      </c>
      <c r="M89" s="60"/>
      <c r="N89" s="65">
        <f>IF(ISBLANK(M89),0,ABS(Uzman_E!D$4-M89))</f>
        <v>0</v>
      </c>
      <c r="O89" s="61">
        <f>IF(ISBLANK(M89),0,INDEX(Tablo_E!$B$2:$CX$102,MATCH(ROUND(Uzman_E!D$4,1),Tablo_E!$A$2:$A$102,1),MATCH(ROUND(N89,1),Tablo_E!$B$1:$CX$1,1)))</f>
        <v>0</v>
      </c>
      <c r="P89" s="60"/>
      <c r="Q89" s="64">
        <f>IF(ISBLANK(P89),0,ABS(Uzman_E!E$4-P89))</f>
        <v>0</v>
      </c>
      <c r="R89" s="61">
        <f>IF(ISBLANK(P89),0,INDEX(Tablo_E!$B$2:$CX$102,MATCH(ROUND(Uzman_E!B$4,1),Tablo_E!$A$2:$A$102,1),MATCH(ROUND(Q89,1),Tablo_E!$B$1:$CX$1,1)))</f>
        <v>0</v>
      </c>
      <c r="S89" s="56">
        <f t="shared" si="1"/>
        <v>0</v>
      </c>
      <c r="T89" s="50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</row>
    <row r="90" spans="1:36" ht="15" customHeight="1" thickBot="1" x14ac:dyDescent="0.25">
      <c r="A90" s="57">
        <v>87</v>
      </c>
      <c r="B90" s="139">
        <f>Hakemler!B90</f>
        <v>0</v>
      </c>
      <c r="C90" s="140">
        <f>Hakemler!C90</f>
        <v>0</v>
      </c>
      <c r="D90" s="60"/>
      <c r="E90" s="65">
        <f>IF(ISBLANK(D90),0,ABS(Uzman_E!A$4-D90))</f>
        <v>0</v>
      </c>
      <c r="F90" s="61">
        <f>IF(ISBLANK(D90),0,INDEX(Tablo_E!$B$2:$CX$102,MATCH(ROUND(Uzman_E!A$4,1),Tablo_E!$A$2:$A$102,1),MATCH(ROUND(E90,1),Tablo_E!$B$1:$CX$1,1)))</f>
        <v>0</v>
      </c>
      <c r="G90" s="60"/>
      <c r="H90" s="64">
        <f>IF(ISBLANK(G90),0,ABS(Uzman_E!B$4-G90))</f>
        <v>0</v>
      </c>
      <c r="I90" s="61">
        <f>IF(ISBLANK(G90),0,INDEX(Tablo_E!$B$2:$CX$102,MATCH(ROUND(Uzman_E!B$4,1),Tablo_E!$A$2:$A$102,1),MATCH(ROUND(H90,1),Tablo_E!$B$1:$CX$1,1)))</f>
        <v>0</v>
      </c>
      <c r="J90" s="60"/>
      <c r="K90" s="65">
        <f>IF(ISBLANK(J90),0,ABS(Uzman_E!C$4-J90))</f>
        <v>0</v>
      </c>
      <c r="L90" s="61">
        <f>IF(ISBLANK(J90),0,INDEX(Tablo_E!$B$2:$CX$102,MATCH(ROUND(Uzman_E!C$4,1),Tablo_E!$A$2:$A$102,1),MATCH(ROUND(K90,1),Tablo_E!$B$1:$CX$1,1)))</f>
        <v>0</v>
      </c>
      <c r="M90" s="60"/>
      <c r="N90" s="65">
        <f>IF(ISBLANK(M90),0,ABS(Uzman_E!D$4-M90))</f>
        <v>0</v>
      </c>
      <c r="O90" s="61">
        <f>IF(ISBLANK(M90),0,INDEX(Tablo_E!$B$2:$CX$102,MATCH(ROUND(Uzman_E!D$4,1),Tablo_E!$A$2:$A$102,1),MATCH(ROUND(N90,1),Tablo_E!$B$1:$CX$1,1)))</f>
        <v>0</v>
      </c>
      <c r="P90" s="60"/>
      <c r="Q90" s="64">
        <f>IF(ISBLANK(P90),0,ABS(Uzman_E!E$4-P90))</f>
        <v>0</v>
      </c>
      <c r="R90" s="61">
        <f>IF(ISBLANK(P90),0,INDEX(Tablo_E!$B$2:$CX$102,MATCH(ROUND(Uzman_E!B$4,1),Tablo_E!$A$2:$A$102,1),MATCH(ROUND(Q90,1),Tablo_E!$B$1:$CX$1,1)))</f>
        <v>0</v>
      </c>
      <c r="S90" s="56">
        <f t="shared" si="1"/>
        <v>0</v>
      </c>
      <c r="T90" s="50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</row>
    <row r="91" spans="1:36" ht="15" customHeight="1" thickBot="1" x14ac:dyDescent="0.25">
      <c r="A91" s="57">
        <v>88</v>
      </c>
      <c r="B91" s="139">
        <f>Hakemler!B91</f>
        <v>0</v>
      </c>
      <c r="C91" s="140">
        <f>Hakemler!C91</f>
        <v>0</v>
      </c>
      <c r="D91" s="60"/>
      <c r="E91" s="65">
        <f>IF(ISBLANK(D91),0,ABS(Uzman_E!A$4-D91))</f>
        <v>0</v>
      </c>
      <c r="F91" s="61">
        <f>IF(ISBLANK(D91),0,INDEX(Tablo_E!$B$2:$CX$102,MATCH(ROUND(Uzman_E!A$4,1),Tablo_E!$A$2:$A$102,1),MATCH(ROUND(E91,1),Tablo_E!$B$1:$CX$1,1)))</f>
        <v>0</v>
      </c>
      <c r="G91" s="60"/>
      <c r="H91" s="64">
        <f>IF(ISBLANK(G91),0,ABS(Uzman_E!B$4-G91))</f>
        <v>0</v>
      </c>
      <c r="I91" s="61">
        <f>IF(ISBLANK(G91),0,INDEX(Tablo_E!$B$2:$CX$102,MATCH(ROUND(Uzman_E!B$4,1),Tablo_E!$A$2:$A$102,1),MATCH(ROUND(H91,1),Tablo_E!$B$1:$CX$1,1)))</f>
        <v>0</v>
      </c>
      <c r="J91" s="60"/>
      <c r="K91" s="65">
        <f>IF(ISBLANK(J91),0,ABS(Uzman_E!C$4-J91))</f>
        <v>0</v>
      </c>
      <c r="L91" s="61">
        <f>IF(ISBLANK(J91),0,INDEX(Tablo_E!$B$2:$CX$102,MATCH(ROUND(Uzman_E!C$4,1),Tablo_E!$A$2:$A$102,1),MATCH(ROUND(K91,1),Tablo_E!$B$1:$CX$1,1)))</f>
        <v>0</v>
      </c>
      <c r="M91" s="60"/>
      <c r="N91" s="65">
        <f>IF(ISBLANK(M91),0,ABS(Uzman_E!D$4-M91))</f>
        <v>0</v>
      </c>
      <c r="O91" s="61">
        <f>IF(ISBLANK(M91),0,INDEX(Tablo_E!$B$2:$CX$102,MATCH(ROUND(Uzman_E!D$4,1),Tablo_E!$A$2:$A$102,1),MATCH(ROUND(N91,1),Tablo_E!$B$1:$CX$1,1)))</f>
        <v>0</v>
      </c>
      <c r="P91" s="60"/>
      <c r="Q91" s="64">
        <f>IF(ISBLANK(P91),0,ABS(Uzman_E!E$4-P91))</f>
        <v>0</v>
      </c>
      <c r="R91" s="61">
        <f>IF(ISBLANK(P91),0,INDEX(Tablo_E!$B$2:$CX$102,MATCH(ROUND(Uzman_E!B$4,1),Tablo_E!$A$2:$A$102,1),MATCH(ROUND(Q91,1),Tablo_E!$B$1:$CX$1,1)))</f>
        <v>0</v>
      </c>
      <c r="S91" s="56">
        <f t="shared" si="1"/>
        <v>0</v>
      </c>
      <c r="T91" s="50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</row>
    <row r="92" spans="1:36" ht="15" customHeight="1" thickBot="1" x14ac:dyDescent="0.25">
      <c r="A92" s="57">
        <v>89</v>
      </c>
      <c r="B92" s="139">
        <f>Hakemler!B92</f>
        <v>0</v>
      </c>
      <c r="C92" s="140">
        <f>Hakemler!C92</f>
        <v>0</v>
      </c>
      <c r="D92" s="60"/>
      <c r="E92" s="65">
        <f>IF(ISBLANK(D92),0,ABS(Uzman_E!A$4-D92))</f>
        <v>0</v>
      </c>
      <c r="F92" s="61">
        <f>IF(ISBLANK(D92),0,INDEX(Tablo_E!$B$2:$CX$102,MATCH(ROUND(Uzman_E!A$4,1),Tablo_E!$A$2:$A$102,1),MATCH(ROUND(E92,1),Tablo_E!$B$1:$CX$1,1)))</f>
        <v>0</v>
      </c>
      <c r="G92" s="60"/>
      <c r="H92" s="64">
        <f>IF(ISBLANK(G92),0,ABS(Uzman_E!B$4-G92))</f>
        <v>0</v>
      </c>
      <c r="I92" s="61">
        <f>IF(ISBLANK(G92),0,INDEX(Tablo_E!$B$2:$CX$102,MATCH(ROUND(Uzman_E!B$4,1),Tablo_E!$A$2:$A$102,1),MATCH(ROUND(H92,1),Tablo_E!$B$1:$CX$1,1)))</f>
        <v>0</v>
      </c>
      <c r="J92" s="60"/>
      <c r="K92" s="65">
        <f>IF(ISBLANK(J92),0,ABS(Uzman_E!C$4-J92))</f>
        <v>0</v>
      </c>
      <c r="L92" s="61">
        <f>IF(ISBLANK(J92),0,INDEX(Tablo_E!$B$2:$CX$102,MATCH(ROUND(Uzman_E!C$4,1),Tablo_E!$A$2:$A$102,1),MATCH(ROUND(K92,1),Tablo_E!$B$1:$CX$1,1)))</f>
        <v>0</v>
      </c>
      <c r="M92" s="60"/>
      <c r="N92" s="65">
        <f>IF(ISBLANK(M92),0,ABS(Uzman_E!D$4-M92))</f>
        <v>0</v>
      </c>
      <c r="O92" s="61">
        <f>IF(ISBLANK(M92),0,INDEX(Tablo_E!$B$2:$CX$102,MATCH(ROUND(Uzman_E!D$4,1),Tablo_E!$A$2:$A$102,1),MATCH(ROUND(N92,1),Tablo_E!$B$1:$CX$1,1)))</f>
        <v>0</v>
      </c>
      <c r="P92" s="60"/>
      <c r="Q92" s="64">
        <f>IF(ISBLANK(P92),0,ABS(Uzman_E!E$4-P92))</f>
        <v>0</v>
      </c>
      <c r="R92" s="61">
        <f>IF(ISBLANK(P92),0,INDEX(Tablo_E!$B$2:$CX$102,MATCH(ROUND(Uzman_E!B$4,1),Tablo_E!$A$2:$A$102,1),MATCH(ROUND(Q92,1),Tablo_E!$B$1:$CX$1,1)))</f>
        <v>0</v>
      </c>
      <c r="S92" s="56">
        <f t="shared" si="1"/>
        <v>0</v>
      </c>
      <c r="T92" s="50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</row>
    <row r="93" spans="1:36" ht="15" customHeight="1" thickBot="1" x14ac:dyDescent="0.25">
      <c r="A93" s="57">
        <v>90</v>
      </c>
      <c r="B93" s="139">
        <f>Hakemler!B93</f>
        <v>0</v>
      </c>
      <c r="C93" s="140">
        <f>Hakemler!C93</f>
        <v>0</v>
      </c>
      <c r="D93" s="60"/>
      <c r="E93" s="65">
        <f>IF(ISBLANK(D93),0,ABS(Uzman_E!A$4-D93))</f>
        <v>0</v>
      </c>
      <c r="F93" s="61">
        <f>IF(ISBLANK(D93),0,INDEX(Tablo_E!$B$2:$CX$102,MATCH(ROUND(Uzman_E!A$4,1),Tablo_E!$A$2:$A$102,1),MATCH(ROUND(E93,1),Tablo_E!$B$1:$CX$1,1)))</f>
        <v>0</v>
      </c>
      <c r="G93" s="60"/>
      <c r="H93" s="64">
        <f>IF(ISBLANK(G93),0,ABS(Uzman_E!B$4-G93))</f>
        <v>0</v>
      </c>
      <c r="I93" s="61">
        <f>IF(ISBLANK(G93),0,INDEX(Tablo_E!$B$2:$CX$102,MATCH(ROUND(Uzman_E!B$4,1),Tablo_E!$A$2:$A$102,1),MATCH(ROUND(H93,1),Tablo_E!$B$1:$CX$1,1)))</f>
        <v>0</v>
      </c>
      <c r="J93" s="60"/>
      <c r="K93" s="65">
        <f>IF(ISBLANK(J93),0,ABS(Uzman_E!C$4-J93))</f>
        <v>0</v>
      </c>
      <c r="L93" s="61">
        <f>IF(ISBLANK(J93),0,INDEX(Tablo_E!$B$2:$CX$102,MATCH(ROUND(Uzman_E!C$4,1),Tablo_E!$A$2:$A$102,1),MATCH(ROUND(K93,1),Tablo_E!$B$1:$CX$1,1)))</f>
        <v>0</v>
      </c>
      <c r="M93" s="60"/>
      <c r="N93" s="65">
        <f>IF(ISBLANK(M93),0,ABS(Uzman_E!D$4-M93))</f>
        <v>0</v>
      </c>
      <c r="O93" s="61">
        <f>IF(ISBLANK(M93),0,INDEX(Tablo_E!$B$2:$CX$102,MATCH(ROUND(Uzman_E!D$4,1),Tablo_E!$A$2:$A$102,1),MATCH(ROUND(N93,1),Tablo_E!$B$1:$CX$1,1)))</f>
        <v>0</v>
      </c>
      <c r="P93" s="60"/>
      <c r="Q93" s="64">
        <f>IF(ISBLANK(P93),0,ABS(Uzman_E!E$4-P93))</f>
        <v>0</v>
      </c>
      <c r="R93" s="61">
        <f>IF(ISBLANK(P93),0,INDEX(Tablo_E!$B$2:$CX$102,MATCH(ROUND(Uzman_E!B$4,1),Tablo_E!$A$2:$A$102,1),MATCH(ROUND(Q93,1),Tablo_E!$B$1:$CX$1,1)))</f>
        <v>0</v>
      </c>
      <c r="S93" s="56">
        <f t="shared" si="1"/>
        <v>0</v>
      </c>
      <c r="T93" s="50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ht="15" customHeight="1" thickBot="1" x14ac:dyDescent="0.25">
      <c r="A94" s="57">
        <v>91</v>
      </c>
      <c r="B94" s="139">
        <f>Hakemler!B94</f>
        <v>0</v>
      </c>
      <c r="C94" s="140">
        <f>Hakemler!C94</f>
        <v>0</v>
      </c>
      <c r="D94" s="60"/>
      <c r="E94" s="65">
        <f>IF(ISBLANK(D94),0,ABS(Uzman_E!A$4-D94))</f>
        <v>0</v>
      </c>
      <c r="F94" s="61">
        <f>IF(ISBLANK(D94),0,INDEX(Tablo_E!$B$2:$CX$102,MATCH(ROUND(Uzman_E!A$4,1),Tablo_E!$A$2:$A$102,1),MATCH(ROUND(E94,1),Tablo_E!$B$1:$CX$1,1)))</f>
        <v>0</v>
      </c>
      <c r="G94" s="60"/>
      <c r="H94" s="64">
        <f>IF(ISBLANK(G94),0,ABS(Uzman_E!B$4-G94))</f>
        <v>0</v>
      </c>
      <c r="I94" s="61">
        <f>IF(ISBLANK(G94),0,INDEX(Tablo_E!$B$2:$CX$102,MATCH(ROUND(Uzman_E!B$4,1),Tablo_E!$A$2:$A$102,1),MATCH(ROUND(H94,1),Tablo_E!$B$1:$CX$1,1)))</f>
        <v>0</v>
      </c>
      <c r="J94" s="60"/>
      <c r="K94" s="65">
        <f>IF(ISBLANK(J94),0,ABS(Uzman_E!C$4-J94))</f>
        <v>0</v>
      </c>
      <c r="L94" s="61">
        <f>IF(ISBLANK(J94),0,INDEX(Tablo_E!$B$2:$CX$102,MATCH(ROUND(Uzman_E!C$4,1),Tablo_E!$A$2:$A$102,1),MATCH(ROUND(K94,1),Tablo_E!$B$1:$CX$1,1)))</f>
        <v>0</v>
      </c>
      <c r="M94" s="60"/>
      <c r="N94" s="65">
        <f>IF(ISBLANK(M94),0,ABS(Uzman_E!D$4-M94))</f>
        <v>0</v>
      </c>
      <c r="O94" s="61">
        <f>IF(ISBLANK(M94),0,INDEX(Tablo_E!$B$2:$CX$102,MATCH(ROUND(Uzman_E!D$4,1),Tablo_E!$A$2:$A$102,1),MATCH(ROUND(N94,1),Tablo_E!$B$1:$CX$1,1)))</f>
        <v>0</v>
      </c>
      <c r="P94" s="60"/>
      <c r="Q94" s="64">
        <f>IF(ISBLANK(P94),0,ABS(Uzman_E!E$4-P94))</f>
        <v>0</v>
      </c>
      <c r="R94" s="61">
        <f>IF(ISBLANK(P94),0,INDEX(Tablo_E!$B$2:$CX$102,MATCH(ROUND(Uzman_E!B$4,1),Tablo_E!$A$2:$A$102,1),MATCH(ROUND(Q94,1),Tablo_E!$B$1:$CX$1,1)))</f>
        <v>0</v>
      </c>
      <c r="S94" s="56">
        <f t="shared" si="1"/>
        <v>0</v>
      </c>
      <c r="T94" s="50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ht="15" customHeight="1" thickBot="1" x14ac:dyDescent="0.25">
      <c r="A95" s="57">
        <v>92</v>
      </c>
      <c r="B95" s="139">
        <f>Hakemler!B95</f>
        <v>0</v>
      </c>
      <c r="C95" s="140">
        <f>Hakemler!C95</f>
        <v>0</v>
      </c>
      <c r="D95" s="60"/>
      <c r="E95" s="65">
        <f>IF(ISBLANK(D95),0,ABS(Uzman_E!A$4-D95))</f>
        <v>0</v>
      </c>
      <c r="F95" s="61">
        <f>IF(ISBLANK(D95),0,INDEX(Tablo_E!$B$2:$CX$102,MATCH(ROUND(Uzman_E!A$4,1),Tablo_E!$A$2:$A$102,1),MATCH(ROUND(E95,1),Tablo_E!$B$1:$CX$1,1)))</f>
        <v>0</v>
      </c>
      <c r="G95" s="60"/>
      <c r="H95" s="64">
        <f>IF(ISBLANK(G95),0,ABS(Uzman_E!B$4-G95))</f>
        <v>0</v>
      </c>
      <c r="I95" s="61">
        <f>IF(ISBLANK(G95),0,INDEX(Tablo_E!$B$2:$CX$102,MATCH(ROUND(Uzman_E!B$4,1),Tablo_E!$A$2:$A$102,1),MATCH(ROUND(H95,1),Tablo_E!$B$1:$CX$1,1)))</f>
        <v>0</v>
      </c>
      <c r="J95" s="60"/>
      <c r="K95" s="65">
        <f>IF(ISBLANK(J95),0,ABS(Uzman_E!C$4-J95))</f>
        <v>0</v>
      </c>
      <c r="L95" s="61">
        <f>IF(ISBLANK(J95),0,INDEX(Tablo_E!$B$2:$CX$102,MATCH(ROUND(Uzman_E!C$4,1),Tablo_E!$A$2:$A$102,1),MATCH(ROUND(K95,1),Tablo_E!$B$1:$CX$1,1)))</f>
        <v>0</v>
      </c>
      <c r="M95" s="60"/>
      <c r="N95" s="65">
        <f>IF(ISBLANK(M95),0,ABS(Uzman_E!D$4-M95))</f>
        <v>0</v>
      </c>
      <c r="O95" s="61">
        <f>IF(ISBLANK(M95),0,INDEX(Tablo_E!$B$2:$CX$102,MATCH(ROUND(Uzman_E!D$4,1),Tablo_E!$A$2:$A$102,1),MATCH(ROUND(N95,1),Tablo_E!$B$1:$CX$1,1)))</f>
        <v>0</v>
      </c>
      <c r="P95" s="60"/>
      <c r="Q95" s="64">
        <f>IF(ISBLANK(P95),0,ABS(Uzman_E!E$4-P95))</f>
        <v>0</v>
      </c>
      <c r="R95" s="61">
        <f>IF(ISBLANK(P95),0,INDEX(Tablo_E!$B$2:$CX$102,MATCH(ROUND(Uzman_E!B$4,1),Tablo_E!$A$2:$A$102,1),MATCH(ROUND(Q95,1),Tablo_E!$B$1:$CX$1,1)))</f>
        <v>0</v>
      </c>
      <c r="S95" s="56">
        <f t="shared" si="1"/>
        <v>0</v>
      </c>
      <c r="T95" s="50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spans="1:36" ht="15" customHeight="1" thickBot="1" x14ac:dyDescent="0.25">
      <c r="A96" s="57">
        <v>93</v>
      </c>
      <c r="B96" s="139">
        <f>Hakemler!B96</f>
        <v>0</v>
      </c>
      <c r="C96" s="140">
        <f>Hakemler!C96</f>
        <v>0</v>
      </c>
      <c r="D96" s="60"/>
      <c r="E96" s="65">
        <f>IF(ISBLANK(D96),0,ABS(Uzman_E!A$4-D96))</f>
        <v>0</v>
      </c>
      <c r="F96" s="61">
        <f>IF(ISBLANK(D96),0,INDEX(Tablo_E!$B$2:$CX$102,MATCH(ROUND(Uzman_E!A$4,1),Tablo_E!$A$2:$A$102,1),MATCH(ROUND(E96,1),Tablo_E!$B$1:$CX$1,1)))</f>
        <v>0</v>
      </c>
      <c r="G96" s="60"/>
      <c r="H96" s="64">
        <f>IF(ISBLANK(G96),0,ABS(Uzman_E!B$4-G96))</f>
        <v>0</v>
      </c>
      <c r="I96" s="61">
        <f>IF(ISBLANK(G96),0,INDEX(Tablo_E!$B$2:$CX$102,MATCH(ROUND(Uzman_E!B$4,1),Tablo_E!$A$2:$A$102,1),MATCH(ROUND(H96,1),Tablo_E!$B$1:$CX$1,1)))</f>
        <v>0</v>
      </c>
      <c r="J96" s="60"/>
      <c r="K96" s="65">
        <f>IF(ISBLANK(J96),0,ABS(Uzman_E!C$4-J96))</f>
        <v>0</v>
      </c>
      <c r="L96" s="61">
        <f>IF(ISBLANK(J96),0,INDEX(Tablo_E!$B$2:$CX$102,MATCH(ROUND(Uzman_E!C$4,1),Tablo_E!$A$2:$A$102,1),MATCH(ROUND(K96,1),Tablo_E!$B$1:$CX$1,1)))</f>
        <v>0</v>
      </c>
      <c r="M96" s="60"/>
      <c r="N96" s="65">
        <f>IF(ISBLANK(M96),0,ABS(Uzman_E!D$4-M96))</f>
        <v>0</v>
      </c>
      <c r="O96" s="61">
        <f>IF(ISBLANK(M96),0,INDEX(Tablo_E!$B$2:$CX$102,MATCH(ROUND(Uzman_E!D$4,1),Tablo_E!$A$2:$A$102,1),MATCH(ROUND(N96,1),Tablo_E!$B$1:$CX$1,1)))</f>
        <v>0</v>
      </c>
      <c r="P96" s="60"/>
      <c r="Q96" s="64">
        <f>IF(ISBLANK(P96),0,ABS(Uzman_E!E$4-P96))</f>
        <v>0</v>
      </c>
      <c r="R96" s="61">
        <f>IF(ISBLANK(P96),0,INDEX(Tablo_E!$B$2:$CX$102,MATCH(ROUND(Uzman_E!B$4,1),Tablo_E!$A$2:$A$102,1),MATCH(ROUND(Q96,1),Tablo_E!$B$1:$CX$1,1)))</f>
        <v>0</v>
      </c>
      <c r="S96" s="56">
        <f t="shared" si="1"/>
        <v>0</v>
      </c>
      <c r="T96" s="50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</row>
    <row r="97" spans="1:36" ht="15" customHeight="1" thickBot="1" x14ac:dyDescent="0.25">
      <c r="A97" s="57">
        <v>94</v>
      </c>
      <c r="B97" s="139">
        <f>Hakemler!B97</f>
        <v>0</v>
      </c>
      <c r="C97" s="140">
        <f>Hakemler!C97</f>
        <v>0</v>
      </c>
      <c r="D97" s="60"/>
      <c r="E97" s="65">
        <f>IF(ISBLANK(D97),0,ABS(Uzman_E!A$4-D97))</f>
        <v>0</v>
      </c>
      <c r="F97" s="61">
        <f>IF(ISBLANK(D97),0,INDEX(Tablo_E!$B$2:$CX$102,MATCH(ROUND(Uzman_E!A$4,1),Tablo_E!$A$2:$A$102,1),MATCH(ROUND(E97,1),Tablo_E!$B$1:$CX$1,1)))</f>
        <v>0</v>
      </c>
      <c r="G97" s="60"/>
      <c r="H97" s="64">
        <f>IF(ISBLANK(G97),0,ABS(Uzman_E!B$4-G97))</f>
        <v>0</v>
      </c>
      <c r="I97" s="61">
        <f>IF(ISBLANK(G97),0,INDEX(Tablo_E!$B$2:$CX$102,MATCH(ROUND(Uzman_E!B$4,1),Tablo_E!$A$2:$A$102,1),MATCH(ROUND(H97,1),Tablo_E!$B$1:$CX$1,1)))</f>
        <v>0</v>
      </c>
      <c r="J97" s="60"/>
      <c r="K97" s="65">
        <f>IF(ISBLANK(J97),0,ABS(Uzman_E!C$4-J97))</f>
        <v>0</v>
      </c>
      <c r="L97" s="61">
        <f>IF(ISBLANK(J97),0,INDEX(Tablo_E!$B$2:$CX$102,MATCH(ROUND(Uzman_E!C$4,1),Tablo_E!$A$2:$A$102,1),MATCH(ROUND(K97,1),Tablo_E!$B$1:$CX$1,1)))</f>
        <v>0</v>
      </c>
      <c r="M97" s="60"/>
      <c r="N97" s="65">
        <f>IF(ISBLANK(M97),0,ABS(Uzman_E!D$4-M97))</f>
        <v>0</v>
      </c>
      <c r="O97" s="61">
        <f>IF(ISBLANK(M97),0,INDEX(Tablo_E!$B$2:$CX$102,MATCH(ROUND(Uzman_E!D$4,1),Tablo_E!$A$2:$A$102,1),MATCH(ROUND(N97,1),Tablo_E!$B$1:$CX$1,1)))</f>
        <v>0</v>
      </c>
      <c r="P97" s="60"/>
      <c r="Q97" s="64">
        <f>IF(ISBLANK(P97),0,ABS(Uzman_E!E$4-P97))</f>
        <v>0</v>
      </c>
      <c r="R97" s="61">
        <f>IF(ISBLANK(P97),0,INDEX(Tablo_E!$B$2:$CX$102,MATCH(ROUND(Uzman_E!B$4,1),Tablo_E!$A$2:$A$102,1),MATCH(ROUND(Q97,1),Tablo_E!$B$1:$CX$1,1)))</f>
        <v>0</v>
      </c>
      <c r="S97" s="56">
        <f t="shared" si="1"/>
        <v>0</v>
      </c>
      <c r="T97" s="50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</row>
    <row r="98" spans="1:36" ht="15" customHeight="1" thickBot="1" x14ac:dyDescent="0.25">
      <c r="A98" s="57">
        <v>95</v>
      </c>
      <c r="B98" s="139">
        <f>Hakemler!B98</f>
        <v>0</v>
      </c>
      <c r="C98" s="140">
        <f>Hakemler!C98</f>
        <v>0</v>
      </c>
      <c r="D98" s="60"/>
      <c r="E98" s="65">
        <f>IF(ISBLANK(D98),0,ABS(Uzman_E!A$4-D98))</f>
        <v>0</v>
      </c>
      <c r="F98" s="61">
        <f>IF(ISBLANK(D98),0,INDEX(Tablo_E!$B$2:$CX$102,MATCH(ROUND(Uzman_E!A$4,1),Tablo_E!$A$2:$A$102,1),MATCH(ROUND(E98,1),Tablo_E!$B$1:$CX$1,1)))</f>
        <v>0</v>
      </c>
      <c r="G98" s="60"/>
      <c r="H98" s="64">
        <f>IF(ISBLANK(G98),0,ABS(Uzman_E!B$4-G98))</f>
        <v>0</v>
      </c>
      <c r="I98" s="61">
        <f>IF(ISBLANK(G98),0,INDEX(Tablo_E!$B$2:$CX$102,MATCH(ROUND(Uzman_E!B$4,1),Tablo_E!$A$2:$A$102,1),MATCH(ROUND(H98,1),Tablo_E!$B$1:$CX$1,1)))</f>
        <v>0</v>
      </c>
      <c r="J98" s="60"/>
      <c r="K98" s="65">
        <f>IF(ISBLANK(J98),0,ABS(Uzman_E!C$4-J98))</f>
        <v>0</v>
      </c>
      <c r="L98" s="61">
        <f>IF(ISBLANK(J98),0,INDEX(Tablo_E!$B$2:$CX$102,MATCH(ROUND(Uzman_E!C$4,1),Tablo_E!$A$2:$A$102,1),MATCH(ROUND(K98,1),Tablo_E!$B$1:$CX$1,1)))</f>
        <v>0</v>
      </c>
      <c r="M98" s="60"/>
      <c r="N98" s="65">
        <f>IF(ISBLANK(M98),0,ABS(Uzman_E!D$4-M98))</f>
        <v>0</v>
      </c>
      <c r="O98" s="61">
        <f>IF(ISBLANK(M98),0,INDEX(Tablo_E!$B$2:$CX$102,MATCH(ROUND(Uzman_E!D$4,1),Tablo_E!$A$2:$A$102,1),MATCH(ROUND(N98,1),Tablo_E!$B$1:$CX$1,1)))</f>
        <v>0</v>
      </c>
      <c r="P98" s="60"/>
      <c r="Q98" s="64">
        <f>IF(ISBLANK(P98),0,ABS(Uzman_E!E$4-P98))</f>
        <v>0</v>
      </c>
      <c r="R98" s="61">
        <f>IF(ISBLANK(P98),0,INDEX(Tablo_E!$B$2:$CX$102,MATCH(ROUND(Uzman_E!B$4,1),Tablo_E!$A$2:$A$102,1),MATCH(ROUND(Q98,1),Tablo_E!$B$1:$CX$1,1)))</f>
        <v>0</v>
      </c>
      <c r="S98" s="56">
        <f t="shared" si="1"/>
        <v>0</v>
      </c>
      <c r="T98" s="50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</row>
    <row r="99" spans="1:36" ht="15" customHeight="1" thickBot="1" x14ac:dyDescent="0.25">
      <c r="A99" s="57">
        <v>96</v>
      </c>
      <c r="B99" s="139">
        <f>Hakemler!B99</f>
        <v>0</v>
      </c>
      <c r="C99" s="140">
        <f>Hakemler!C99</f>
        <v>0</v>
      </c>
      <c r="D99" s="60"/>
      <c r="E99" s="65">
        <f>IF(ISBLANK(D99),0,ABS(Uzman_E!A$4-D99))</f>
        <v>0</v>
      </c>
      <c r="F99" s="61">
        <f>IF(ISBLANK(D99),0,INDEX(Tablo_E!$B$2:$CX$102,MATCH(ROUND(Uzman_E!A$4,1),Tablo_E!$A$2:$A$102,1),MATCH(ROUND(E99,1),Tablo_E!$B$1:$CX$1,1)))</f>
        <v>0</v>
      </c>
      <c r="G99" s="60"/>
      <c r="H99" s="64">
        <f>IF(ISBLANK(G99),0,ABS(Uzman_E!B$4-G99))</f>
        <v>0</v>
      </c>
      <c r="I99" s="61">
        <f>IF(ISBLANK(G99),0,INDEX(Tablo_E!$B$2:$CX$102,MATCH(ROUND(Uzman_E!B$4,1),Tablo_E!$A$2:$A$102,1),MATCH(ROUND(H99,1),Tablo_E!$B$1:$CX$1,1)))</f>
        <v>0</v>
      </c>
      <c r="J99" s="60"/>
      <c r="K99" s="65">
        <f>IF(ISBLANK(J99),0,ABS(Uzman_E!C$4-J99))</f>
        <v>0</v>
      </c>
      <c r="L99" s="61">
        <f>IF(ISBLANK(J99),0,INDEX(Tablo_E!$B$2:$CX$102,MATCH(ROUND(Uzman_E!C$4,1),Tablo_E!$A$2:$A$102,1),MATCH(ROUND(K99,1),Tablo_E!$B$1:$CX$1,1)))</f>
        <v>0</v>
      </c>
      <c r="M99" s="60"/>
      <c r="N99" s="65">
        <f>IF(ISBLANK(M99),0,ABS(Uzman_E!D$4-M99))</f>
        <v>0</v>
      </c>
      <c r="O99" s="61">
        <f>IF(ISBLANK(M99),0,INDEX(Tablo_E!$B$2:$CX$102,MATCH(ROUND(Uzman_E!D$4,1),Tablo_E!$A$2:$A$102,1),MATCH(ROUND(N99,1),Tablo_E!$B$1:$CX$1,1)))</f>
        <v>0</v>
      </c>
      <c r="P99" s="60"/>
      <c r="Q99" s="64">
        <f>IF(ISBLANK(P99),0,ABS(Uzman_E!E$4-P99))</f>
        <v>0</v>
      </c>
      <c r="R99" s="61">
        <f>IF(ISBLANK(P99),0,INDEX(Tablo_E!$B$2:$CX$102,MATCH(ROUND(Uzman_E!B$4,1),Tablo_E!$A$2:$A$102,1),MATCH(ROUND(Q99,1),Tablo_E!$B$1:$CX$1,1)))</f>
        <v>0</v>
      </c>
      <c r="S99" s="56">
        <f t="shared" si="1"/>
        <v>0</v>
      </c>
      <c r="T99" s="50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</row>
    <row r="100" spans="1:36" ht="15" customHeight="1" thickBot="1" x14ac:dyDescent="0.25">
      <c r="A100" s="57">
        <v>97</v>
      </c>
      <c r="B100" s="139">
        <f>Hakemler!B100</f>
        <v>0</v>
      </c>
      <c r="C100" s="140">
        <f>Hakemler!C100</f>
        <v>0</v>
      </c>
      <c r="D100" s="60"/>
      <c r="E100" s="65">
        <f>IF(ISBLANK(D100),0,ABS(Uzman_E!A$4-D100))</f>
        <v>0</v>
      </c>
      <c r="F100" s="61">
        <f>IF(ISBLANK(D100),0,INDEX(Tablo_E!$B$2:$CX$102,MATCH(ROUND(Uzman_E!A$4,1),Tablo_E!$A$2:$A$102,1),MATCH(ROUND(E100,1),Tablo_E!$B$1:$CX$1,1)))</f>
        <v>0</v>
      </c>
      <c r="G100" s="60"/>
      <c r="H100" s="64">
        <f>IF(ISBLANK(G100),0,ABS(Uzman_E!B$4-G100))</f>
        <v>0</v>
      </c>
      <c r="I100" s="61">
        <f>IF(ISBLANK(G100),0,INDEX(Tablo_E!$B$2:$CX$102,MATCH(ROUND(Uzman_E!B$4,1),Tablo_E!$A$2:$A$102,1),MATCH(ROUND(H100,1),Tablo_E!$B$1:$CX$1,1)))</f>
        <v>0</v>
      </c>
      <c r="J100" s="60"/>
      <c r="K100" s="65">
        <f>IF(ISBLANK(J100),0,ABS(Uzman_E!C$4-J100))</f>
        <v>0</v>
      </c>
      <c r="L100" s="61">
        <f>IF(ISBLANK(J100),0,INDEX(Tablo_E!$B$2:$CX$102,MATCH(ROUND(Uzman_E!C$4,1),Tablo_E!$A$2:$A$102,1),MATCH(ROUND(K100,1),Tablo_E!$B$1:$CX$1,1)))</f>
        <v>0</v>
      </c>
      <c r="M100" s="60"/>
      <c r="N100" s="65">
        <f>IF(ISBLANK(M100),0,ABS(Uzman_E!D$4-M100))</f>
        <v>0</v>
      </c>
      <c r="O100" s="61">
        <f>IF(ISBLANK(M100),0,INDEX(Tablo_E!$B$2:$CX$102,MATCH(ROUND(Uzman_E!D$4,1),Tablo_E!$A$2:$A$102,1),MATCH(ROUND(N100,1),Tablo_E!$B$1:$CX$1,1)))</f>
        <v>0</v>
      </c>
      <c r="P100" s="60"/>
      <c r="Q100" s="64">
        <f>IF(ISBLANK(P100),0,ABS(Uzman_E!E$4-P100))</f>
        <v>0</v>
      </c>
      <c r="R100" s="61">
        <f>IF(ISBLANK(P100),0,INDEX(Tablo_E!$B$2:$CX$102,MATCH(ROUND(Uzman_E!B$4,1),Tablo_E!$A$2:$A$102,1),MATCH(ROUND(Q100,1),Tablo_E!$B$1:$CX$1,1)))</f>
        <v>0</v>
      </c>
      <c r="S100" s="56">
        <f t="shared" si="1"/>
        <v>0</v>
      </c>
      <c r="T100" s="50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</row>
    <row r="101" spans="1:36" ht="15" customHeight="1" thickBot="1" x14ac:dyDescent="0.25">
      <c r="A101" s="57">
        <v>98</v>
      </c>
      <c r="B101" s="139">
        <f>Hakemler!B101</f>
        <v>0</v>
      </c>
      <c r="C101" s="140">
        <f>Hakemler!C101</f>
        <v>0</v>
      </c>
      <c r="D101" s="60"/>
      <c r="E101" s="65">
        <f>IF(ISBLANK(D101),0,ABS(Uzman_E!A$4-D101))</f>
        <v>0</v>
      </c>
      <c r="F101" s="61">
        <f>IF(ISBLANK(D101),0,INDEX(Tablo_E!$B$2:$CX$102,MATCH(ROUND(Uzman_E!A$4,1),Tablo_E!$A$2:$A$102,1),MATCH(ROUND(E101,1),Tablo_E!$B$1:$CX$1,1)))</f>
        <v>0</v>
      </c>
      <c r="G101" s="60"/>
      <c r="H101" s="64">
        <f>IF(ISBLANK(G101),0,ABS(Uzman_E!B$4-G101))</f>
        <v>0</v>
      </c>
      <c r="I101" s="61">
        <f>IF(ISBLANK(G101),0,INDEX(Tablo_E!$B$2:$CX$102,MATCH(ROUND(Uzman_E!B$4,1),Tablo_E!$A$2:$A$102,1),MATCH(ROUND(H101,1),Tablo_E!$B$1:$CX$1,1)))</f>
        <v>0</v>
      </c>
      <c r="J101" s="60"/>
      <c r="K101" s="65">
        <f>IF(ISBLANK(J101),0,ABS(Uzman_E!C$4-J101))</f>
        <v>0</v>
      </c>
      <c r="L101" s="61">
        <f>IF(ISBLANK(J101),0,INDEX(Tablo_E!$B$2:$CX$102,MATCH(ROUND(Uzman_E!C$4,1),Tablo_E!$A$2:$A$102,1),MATCH(ROUND(K101,1),Tablo_E!$B$1:$CX$1,1)))</f>
        <v>0</v>
      </c>
      <c r="M101" s="60"/>
      <c r="N101" s="65">
        <f>IF(ISBLANK(M101),0,ABS(Uzman_E!D$4-M101))</f>
        <v>0</v>
      </c>
      <c r="O101" s="61">
        <f>IF(ISBLANK(M101),0,INDEX(Tablo_E!$B$2:$CX$102,MATCH(ROUND(Uzman_E!D$4,1),Tablo_E!$A$2:$A$102,1),MATCH(ROUND(N101,1),Tablo_E!$B$1:$CX$1,1)))</f>
        <v>0</v>
      </c>
      <c r="P101" s="60"/>
      <c r="Q101" s="64">
        <f>IF(ISBLANK(P101),0,ABS(Uzman_E!E$4-P101))</f>
        <v>0</v>
      </c>
      <c r="R101" s="61">
        <f>IF(ISBLANK(P101),0,INDEX(Tablo_E!$B$2:$CX$102,MATCH(ROUND(Uzman_E!B$4,1),Tablo_E!$A$2:$A$102,1),MATCH(ROUND(Q101,1),Tablo_E!$B$1:$CX$1,1)))</f>
        <v>0</v>
      </c>
      <c r="S101" s="56">
        <f t="shared" si="1"/>
        <v>0</v>
      </c>
      <c r="T101" s="50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</row>
    <row r="102" spans="1:36" ht="15" customHeight="1" thickBot="1" x14ac:dyDescent="0.25">
      <c r="A102" s="57">
        <v>99</v>
      </c>
      <c r="B102" s="139">
        <f>Hakemler!B102</f>
        <v>0</v>
      </c>
      <c r="C102" s="140">
        <f>Hakemler!C102</f>
        <v>0</v>
      </c>
      <c r="D102" s="60"/>
      <c r="E102" s="65">
        <f>IF(ISBLANK(D102),0,ABS(Uzman_E!A$4-D102))</f>
        <v>0</v>
      </c>
      <c r="F102" s="61">
        <f>IF(ISBLANK(D102),0,INDEX(Tablo_E!$B$2:$CX$102,MATCH(ROUND(Uzman_E!A$4,1),Tablo_E!$A$2:$A$102,1),MATCH(ROUND(E102,1),Tablo_E!$B$1:$CX$1,1)))</f>
        <v>0</v>
      </c>
      <c r="G102" s="60"/>
      <c r="H102" s="64">
        <f>IF(ISBLANK(G102),0,ABS(Uzman_E!B$4-G102))</f>
        <v>0</v>
      </c>
      <c r="I102" s="61">
        <f>IF(ISBLANK(G102),0,INDEX(Tablo_E!$B$2:$CX$102,MATCH(ROUND(Uzman_E!B$4,1),Tablo_E!$A$2:$A$102,1),MATCH(ROUND(H102,1),Tablo_E!$B$1:$CX$1,1)))</f>
        <v>0</v>
      </c>
      <c r="J102" s="60"/>
      <c r="K102" s="65">
        <f>IF(ISBLANK(J102),0,ABS(Uzman_E!C$4-J102))</f>
        <v>0</v>
      </c>
      <c r="L102" s="61">
        <f>IF(ISBLANK(J102),0,INDEX(Tablo_E!$B$2:$CX$102,MATCH(ROUND(Uzman_E!C$4,1),Tablo_E!$A$2:$A$102,1),MATCH(ROUND(K102,1),Tablo_E!$B$1:$CX$1,1)))</f>
        <v>0</v>
      </c>
      <c r="M102" s="60"/>
      <c r="N102" s="65">
        <f>IF(ISBLANK(M102),0,ABS(Uzman_E!D$4-M102))</f>
        <v>0</v>
      </c>
      <c r="O102" s="61">
        <f>IF(ISBLANK(M102),0,INDEX(Tablo_E!$B$2:$CX$102,MATCH(ROUND(Uzman_E!D$4,1),Tablo_E!$A$2:$A$102,1),MATCH(ROUND(N102,1),Tablo_E!$B$1:$CX$1,1)))</f>
        <v>0</v>
      </c>
      <c r="P102" s="60"/>
      <c r="Q102" s="64">
        <f>IF(ISBLANK(P102),0,ABS(Uzman_E!E$4-P102))</f>
        <v>0</v>
      </c>
      <c r="R102" s="61">
        <f>IF(ISBLANK(P102),0,INDEX(Tablo_E!$B$2:$CX$102,MATCH(ROUND(Uzman_E!B$4,1),Tablo_E!$A$2:$A$102,1),MATCH(ROUND(Q102,1),Tablo_E!$B$1:$CX$1,1)))</f>
        <v>0</v>
      </c>
      <c r="S102" s="56">
        <f t="shared" si="1"/>
        <v>0</v>
      </c>
      <c r="T102" s="50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</row>
    <row r="103" spans="1:36" ht="15" customHeight="1" x14ac:dyDescent="0.2">
      <c r="A103" s="57">
        <v>100</v>
      </c>
      <c r="B103" s="139">
        <f>Hakemler!B103</f>
        <v>0</v>
      </c>
      <c r="C103" s="140">
        <f>Hakemler!C103</f>
        <v>0</v>
      </c>
      <c r="D103" s="60"/>
      <c r="E103" s="65">
        <f>IF(ISBLANK(D103),0,ABS(Uzman_E!A$4-D103))</f>
        <v>0</v>
      </c>
      <c r="F103" s="61">
        <f>IF(ISBLANK(D103),0,INDEX(Tablo_E!$B$2:$CX$102,MATCH(ROUND(Uzman_E!A$4,1),Tablo_E!$A$2:$A$102,1),MATCH(ROUND(E103,1),Tablo_E!$B$1:$CX$1,1)))</f>
        <v>0</v>
      </c>
      <c r="G103" s="60"/>
      <c r="H103" s="64">
        <f>IF(ISBLANK(G103),0,ABS(Uzman_E!B$4-G103))</f>
        <v>0</v>
      </c>
      <c r="I103" s="61">
        <f>IF(ISBLANK(G103),0,INDEX(Tablo_E!$B$2:$CX$102,MATCH(ROUND(Uzman_E!B$4,1),Tablo_E!$A$2:$A$102,1),MATCH(ROUND(H103,1),Tablo_E!$B$1:$CX$1,1)))</f>
        <v>0</v>
      </c>
      <c r="J103" s="60"/>
      <c r="K103" s="65">
        <f>IF(ISBLANK(J103),0,ABS(Uzman_E!C$4-J103))</f>
        <v>0</v>
      </c>
      <c r="L103" s="61">
        <f>IF(ISBLANK(J103),0,INDEX(Tablo_E!$B$2:$CX$102,MATCH(ROUND(Uzman_E!C$4,1),Tablo_E!$A$2:$A$102,1),MATCH(ROUND(K103,1),Tablo_E!$B$1:$CX$1,1)))</f>
        <v>0</v>
      </c>
      <c r="M103" s="60"/>
      <c r="N103" s="65">
        <f>IF(ISBLANK(M103),0,ABS(Uzman_E!D$4-M103))</f>
        <v>0</v>
      </c>
      <c r="O103" s="61">
        <f>IF(ISBLANK(M103),0,INDEX(Tablo_E!$B$2:$CX$102,MATCH(ROUND(Uzman_E!D$4,1),Tablo_E!$A$2:$A$102,1),MATCH(ROUND(N103,1),Tablo_E!$B$1:$CX$1,1)))</f>
        <v>0</v>
      </c>
      <c r="P103" s="60"/>
      <c r="Q103" s="64">
        <f>IF(ISBLANK(P103),0,ABS(Uzman_E!E$4-P103))</f>
        <v>0</v>
      </c>
      <c r="R103" s="61">
        <f>IF(ISBLANK(P103),0,INDEX(Tablo_E!$B$2:$CX$102,MATCH(ROUND(Uzman_E!B$4,1),Tablo_E!$A$2:$A$102,1),MATCH(ROUND(Q103,1),Tablo_E!$B$1:$CX$1,1)))</f>
        <v>0</v>
      </c>
      <c r="S103" s="56">
        <f t="shared" si="1"/>
        <v>0</v>
      </c>
      <c r="T103" s="50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</row>
  </sheetData>
  <mergeCells count="9">
    <mergeCell ref="A1:S1"/>
    <mergeCell ref="B2:B3"/>
    <mergeCell ref="M2:O2"/>
    <mergeCell ref="P2:R2"/>
    <mergeCell ref="D2:F2"/>
    <mergeCell ref="C2:C3"/>
    <mergeCell ref="A2:A3"/>
    <mergeCell ref="J2:L2"/>
    <mergeCell ref="G2:I2"/>
  </mergeCells>
  <phoneticPr fontId="16" type="noConversion"/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IQ103"/>
  <sheetViews>
    <sheetView showGridLines="0" workbookViewId="0">
      <selection activeCell="J12" sqref="J12"/>
    </sheetView>
  </sheetViews>
  <sheetFormatPr baseColWidth="10" defaultColWidth="8.83203125" defaultRowHeight="15" customHeight="1" x14ac:dyDescent="0.2"/>
  <cols>
    <col min="1" max="1" width="5" style="1" customWidth="1"/>
    <col min="2" max="3" width="13.5" style="1" customWidth="1"/>
    <col min="4" max="15" width="3.5" style="1" customWidth="1"/>
    <col min="16" max="16" width="9.6640625" style="1" bestFit="1" customWidth="1"/>
    <col min="17" max="28" width="3.5" style="1" customWidth="1"/>
    <col min="29" max="29" width="7.6640625" style="1" bestFit="1" customWidth="1"/>
    <col min="30" max="41" width="3.5" style="1" customWidth="1"/>
    <col min="42" max="42" width="7.6640625" style="1" bestFit="1" customWidth="1"/>
    <col min="43" max="54" width="3.5" style="1" customWidth="1"/>
    <col min="55" max="55" width="7.6640625" style="1" bestFit="1" customWidth="1"/>
    <col min="56" max="67" width="3.5" style="1" customWidth="1"/>
    <col min="68" max="68" width="7.6640625" style="1" bestFit="1" customWidth="1"/>
    <col min="69" max="69" width="10.5" style="1" customWidth="1"/>
    <col min="70" max="251" width="8.83203125" style="1" customWidth="1"/>
  </cols>
  <sheetData>
    <row r="1" spans="1:69" ht="18.75" customHeight="1" x14ac:dyDescent="0.2">
      <c r="A1" s="196" t="s">
        <v>30</v>
      </c>
      <c r="B1" s="197"/>
      <c r="C1" s="197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9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1"/>
    </row>
    <row r="2" spans="1:69" ht="15.75" customHeight="1" x14ac:dyDescent="0.2">
      <c r="A2" s="189" t="s">
        <v>10</v>
      </c>
      <c r="B2" s="194" t="s">
        <v>11</v>
      </c>
      <c r="C2" s="205" t="s">
        <v>12</v>
      </c>
      <c r="D2" s="202" t="s">
        <v>16</v>
      </c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4"/>
      <c r="Q2" s="191" t="s">
        <v>17</v>
      </c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3"/>
      <c r="AD2" s="202" t="s">
        <v>18</v>
      </c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4"/>
      <c r="AQ2" s="191" t="s">
        <v>19</v>
      </c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3"/>
      <c r="BD2" s="202" t="s">
        <v>20</v>
      </c>
      <c r="BE2" s="203"/>
      <c r="BF2" s="203"/>
      <c r="BG2" s="203"/>
      <c r="BH2" s="203"/>
      <c r="BI2" s="203"/>
      <c r="BJ2" s="203"/>
      <c r="BK2" s="203"/>
      <c r="BL2" s="203"/>
      <c r="BM2" s="203"/>
      <c r="BN2" s="203"/>
      <c r="BO2" s="203"/>
      <c r="BP2" s="204"/>
      <c r="BQ2" s="66"/>
    </row>
    <row r="3" spans="1:69" ht="15.75" customHeight="1" x14ac:dyDescent="0.2">
      <c r="A3" s="190"/>
      <c r="B3" s="195"/>
      <c r="C3" s="206"/>
      <c r="D3" s="67" t="s">
        <v>31</v>
      </c>
      <c r="E3" s="68" t="s">
        <v>32</v>
      </c>
      <c r="F3" s="68" t="s">
        <v>33</v>
      </c>
      <c r="G3" s="68" t="s">
        <v>34</v>
      </c>
      <c r="H3" s="68" t="s">
        <v>35</v>
      </c>
      <c r="I3" s="68" t="s">
        <v>36</v>
      </c>
      <c r="J3" s="68" t="s">
        <v>37</v>
      </c>
      <c r="K3" s="68" t="s">
        <v>38</v>
      </c>
      <c r="L3" s="68" t="s">
        <v>39</v>
      </c>
      <c r="M3" s="68" t="s">
        <v>40</v>
      </c>
      <c r="N3" s="68" t="s">
        <v>41</v>
      </c>
      <c r="O3" s="68" t="s">
        <v>42</v>
      </c>
      <c r="P3" s="69" t="s">
        <v>22</v>
      </c>
      <c r="Q3" s="67" t="s">
        <v>31</v>
      </c>
      <c r="R3" s="68" t="s">
        <v>32</v>
      </c>
      <c r="S3" s="68" t="s">
        <v>33</v>
      </c>
      <c r="T3" s="68" t="s">
        <v>34</v>
      </c>
      <c r="U3" s="68" t="s">
        <v>35</v>
      </c>
      <c r="V3" s="68" t="s">
        <v>36</v>
      </c>
      <c r="W3" s="68" t="s">
        <v>37</v>
      </c>
      <c r="X3" s="68" t="s">
        <v>38</v>
      </c>
      <c r="Y3" s="68" t="s">
        <v>39</v>
      </c>
      <c r="Z3" s="68" t="s">
        <v>40</v>
      </c>
      <c r="AA3" s="68" t="s">
        <v>41</v>
      </c>
      <c r="AB3" s="68" t="s">
        <v>42</v>
      </c>
      <c r="AC3" s="69" t="s">
        <v>22</v>
      </c>
      <c r="AD3" s="67" t="s">
        <v>31</v>
      </c>
      <c r="AE3" s="68" t="s">
        <v>32</v>
      </c>
      <c r="AF3" s="68" t="s">
        <v>33</v>
      </c>
      <c r="AG3" s="68" t="s">
        <v>34</v>
      </c>
      <c r="AH3" s="68" t="s">
        <v>35</v>
      </c>
      <c r="AI3" s="68" t="s">
        <v>36</v>
      </c>
      <c r="AJ3" s="68" t="s">
        <v>37</v>
      </c>
      <c r="AK3" s="68" t="s">
        <v>38</v>
      </c>
      <c r="AL3" s="68" t="s">
        <v>39</v>
      </c>
      <c r="AM3" s="68" t="s">
        <v>40</v>
      </c>
      <c r="AN3" s="68" t="s">
        <v>41</v>
      </c>
      <c r="AO3" s="68" t="s">
        <v>42</v>
      </c>
      <c r="AP3" s="69" t="s">
        <v>22</v>
      </c>
      <c r="AQ3" s="67" t="s">
        <v>31</v>
      </c>
      <c r="AR3" s="68" t="s">
        <v>32</v>
      </c>
      <c r="AS3" s="68" t="s">
        <v>33</v>
      </c>
      <c r="AT3" s="68" t="s">
        <v>34</v>
      </c>
      <c r="AU3" s="68" t="s">
        <v>35</v>
      </c>
      <c r="AV3" s="68" t="s">
        <v>36</v>
      </c>
      <c r="AW3" s="68" t="s">
        <v>37</v>
      </c>
      <c r="AX3" s="68" t="s">
        <v>38</v>
      </c>
      <c r="AY3" s="68" t="s">
        <v>39</v>
      </c>
      <c r="AZ3" s="68" t="s">
        <v>40</v>
      </c>
      <c r="BA3" s="68" t="s">
        <v>41</v>
      </c>
      <c r="BB3" s="68" t="s">
        <v>42</v>
      </c>
      <c r="BC3" s="69" t="s">
        <v>22</v>
      </c>
      <c r="BD3" s="67" t="s">
        <v>31</v>
      </c>
      <c r="BE3" s="68" t="s">
        <v>32</v>
      </c>
      <c r="BF3" s="68" t="s">
        <v>33</v>
      </c>
      <c r="BG3" s="68" t="s">
        <v>34</v>
      </c>
      <c r="BH3" s="68" t="s">
        <v>35</v>
      </c>
      <c r="BI3" s="68" t="s">
        <v>36</v>
      </c>
      <c r="BJ3" s="68" t="s">
        <v>37</v>
      </c>
      <c r="BK3" s="68" t="s">
        <v>38</v>
      </c>
      <c r="BL3" s="68" t="s">
        <v>39</v>
      </c>
      <c r="BM3" s="68" t="s">
        <v>40</v>
      </c>
      <c r="BN3" s="68" t="s">
        <v>41</v>
      </c>
      <c r="BO3" s="68" t="s">
        <v>42</v>
      </c>
      <c r="BP3" s="69" t="s">
        <v>22</v>
      </c>
      <c r="BQ3" s="70" t="s">
        <v>23</v>
      </c>
    </row>
    <row r="4" spans="1:69" ht="15.5" customHeight="1" x14ac:dyDescent="0.2">
      <c r="A4" s="57">
        <v>1</v>
      </c>
      <c r="B4" s="29" t="str">
        <f>Hakemler!B4</f>
        <v>Yalçıner</v>
      </c>
      <c r="C4" s="29" t="str">
        <f>Hakemler!C4</f>
        <v>Yunus Emre</v>
      </c>
      <c r="D4" s="71">
        <v>0</v>
      </c>
      <c r="E4" s="71">
        <v>0</v>
      </c>
      <c r="F4" s="71">
        <v>0</v>
      </c>
      <c r="G4" s="71">
        <v>4</v>
      </c>
      <c r="H4" s="71">
        <v>2</v>
      </c>
      <c r="I4" s="71">
        <v>2</v>
      </c>
      <c r="J4" s="71">
        <v>0</v>
      </c>
      <c r="K4" s="71">
        <v>0</v>
      </c>
      <c r="L4" s="71">
        <v>0</v>
      </c>
      <c r="M4" s="71">
        <v>0</v>
      </c>
      <c r="N4" s="72">
        <v>2</v>
      </c>
      <c r="O4" s="72">
        <v>0.7</v>
      </c>
      <c r="P4" s="73">
        <f>1 - (
    SUM(
        IF(D4-Uzman_D!$B$4&lt;0, -(D4-Uzman_D!$B$4), D4-Uzman_D!$B$4)*0.1 +
        IF(E4-Uzman_D!$C$4&lt;0, -(E4-Uzman_D!$C$4), E4-Uzman_D!$C$4)*0.1 +
        IF(F4-Uzman_D!$D$4&lt;0, -(F4-Uzman_D!$D$4), F4-Uzman_D!$D$4)*0.1 +
        IF(G4-Uzman_D!$E$4&lt;0, -(G4-Uzman_D!$E$4), G4-Uzman_D!$E$4)*0.1 +
        IF(H4-Uzman_D!$F$4&lt;0, -(H4-Uzman_D!$F$4), H4-Uzman_D!$F$4)*0.1 +
        IF(I4-Uzman_D!$G$4&lt;0, -(I4-Uzman_D!$G$4), I4-Uzman_D!$G$4)*0.1 +
        IF(J4-Uzman_D!$H$4&lt;0, -(J4-Uzman_D!$H$4), J4-Uzman_D!$H$4)*0.1 +
        IF(K4-Uzman_D!$I$4&lt;0, -(K4-Uzman_D!$I$4), K4-Uzman_D!$I$4)*0.1 +
        IF(L4-Uzman_D!$J$4&lt;0, -(L4-Uzman_D!$J$4), L4-Uzman_D!$J$4)*0.1
    ) +
    IF(ROUND((IF(N4-Uzman_D!$L$4&lt;0, -(N4-Uzman_D!$L$4), N4-Uzman_D!$L$4)*2),0)/2 = IF(N4-Uzman_D!$L$4&lt;0, -(N4-Uzman_D!$L$4), N4-Uzman_D!$L$4),
    (ROUND((IF(N4-Uzman_D!$L$4&lt;0, -(N4-Uzman_D!$L$4), N4-Uzman_D!$L$4)*2),0)/1 * 0.1), 0) +
    IF(O4-Uzman_D!$M$4&lt;0, -(O4-Uzman_D!$M$4), O4-Uzman_D!$M$4)*1
)</f>
        <v>1</v>
      </c>
      <c r="Q4" s="71">
        <v>0</v>
      </c>
      <c r="R4" s="71">
        <v>0</v>
      </c>
      <c r="S4" s="71">
        <v>0</v>
      </c>
      <c r="T4" s="71">
        <v>5</v>
      </c>
      <c r="U4" s="71">
        <v>3</v>
      </c>
      <c r="V4" s="71">
        <v>0</v>
      </c>
      <c r="W4" s="71">
        <v>0</v>
      </c>
      <c r="X4" s="71">
        <v>0</v>
      </c>
      <c r="Y4" s="71">
        <v>0</v>
      </c>
      <c r="Z4" s="71">
        <v>0</v>
      </c>
      <c r="AA4" s="72">
        <v>2</v>
      </c>
      <c r="AB4" s="72">
        <v>0.3</v>
      </c>
      <c r="AC4" s="73">
        <f>1 - (
    SUM(
        IF(Q4-Uzman_D!$B$5&lt;0, -(Q4-Uzman_D!$B$5), Q4-Uzman_D!$B$5)*0.1 +
        IF(R4-Uzman_D!$C$5&lt;0, -(R4-Uzman_D!$C$5), R4-Uzman_D!$C$5)*0.1 +
        IF(S4-Uzman_D!$D$5&lt;0, -(S4-Uzman_D!$D$5), S4-Uzman_D!$D$5)*0.1 +
        IF(T4-Uzman_D!$E$5&lt;0, -(T4-Uzman_D!$E$5), T4-Uzman_D!$E$5)*0.1 +
        IF(U4-Uzman_D!$F$5&lt;0, -(U4-Uzman_D!$F$5), U4-Uzman_D!$F$5)*0.1 +
        IF(V4-Uzman_D!$G$5&lt;0, -(V4-Uzman_D!$G$5), V4-Uzman_D!$G$5)*0.1 +
        IF(W4-Uzman_D!$H$5&lt;0, -(W4-Uzman_D!$H$5), W4-Uzman_D!$H$5)*0.1 +
        IF(X4-Uzman_D!$I$5&lt;0, -(X4-Uzman_D!$I$5), X4-Uzman_D!$I$5)*0.1 +
        IF(Y4-Uzman_D!$J$5&lt;0, -(Y4-Uzman_D!$J$5), Y4-Uzman_D!$J$5)*0.1
    ) +
    IF(ROUND((IF(AA4-Uzman_D!$L$5&lt;0, -(AA4-Uzman_D!$L$5), AA4-Uzman_D!$L$5)*2),0)/2 = IF(AA4-Uzman_D!$L$5&lt;0, -(AA4-Uzman_D!$L$5), AA4-Uzman_D!$L$5),
    (ROUND((IF(AA4-Uzman_D!$L$5&lt;0, -(AA4-Uzman_D!$L$5), AA4-Uzman_D!$L$5)*2),0)/1 * 0.1), 0) +
    IF(AB4-Uzman_D!$M$5&lt;0, -(AB4-Uzman_D!$M$5), AB4-Uzman_D!$M$5)*1
)</f>
        <v>1</v>
      </c>
      <c r="AD4" s="71">
        <v>0</v>
      </c>
      <c r="AE4" s="71">
        <v>1</v>
      </c>
      <c r="AF4" s="71">
        <v>2</v>
      </c>
      <c r="AG4" s="71">
        <v>5</v>
      </c>
      <c r="AH4" s="71">
        <v>0</v>
      </c>
      <c r="AI4" s="71">
        <v>0</v>
      </c>
      <c r="AJ4" s="71">
        <v>0</v>
      </c>
      <c r="AK4" s="71">
        <v>0</v>
      </c>
      <c r="AL4" s="71">
        <v>0</v>
      </c>
      <c r="AM4" s="71">
        <v>0</v>
      </c>
      <c r="AN4" s="72">
        <v>2</v>
      </c>
      <c r="AO4" s="72">
        <v>0.4</v>
      </c>
      <c r="AP4" s="73">
        <f>1 - (
    SUM(
        IF(AD4-Uzman_D!$B$6&lt;0, -(AD4-Uzman_D!$B$6), AD4-Uzman_D!$B$6)*0.1 +
        IF(AE4-Uzman_D!$C$6&lt;0, -(AE4-Uzman_D!$C$6), AE4-Uzman_D!$C$6)*0.1 +
        IF(AF4-Uzman_D!$D$6&lt;0, -(AF4-Uzman_D!$D$6), AF4-Uzman_D!$D$6)*0.1 +
        IF(AG4-Uzman_D!$E$6&lt;0, -(AG4-Uzman_D!$E$6), AG4-Uzman_D!$E$6)*0.1 +
        IF(AH4-Uzman_D!$F$6&lt;0, -(AH4-Uzman_D!$F$6), AH4-Uzman_D!$F$6)*0.1 +
        IF(AI4-Uzman_D!$G$6&lt;0, -(AI4-Uzman_D!$G$6), AI4-Uzman_D!$G$6)*0.1 +
        IF(AJ4-Uzman_D!$H$6&lt;0, -(AJ4-Uzman_D!$H$6), AJ4-Uzman_D!$H$6)*0.1 +
        IF(AK4-Uzman_D!$I$6&lt;0, -(AK4-Uzman_D!$I$6), AK4-Uzman_D!$I$6)*0.1 +
        IF(AL4-Uzman_D!$J$6&lt;0, -(AL4-Uzman_D!$J$6), AL4-Uzman_D!$J$6)*0.1
    ) +
    IF(ROUND((IF(AN4-Uzman_D!$L$6&lt;0, -(AN4-Uzman_D!$L$6), AN4-Uzman_D!$L$6)*2),0)/2 = IF(AN4-Uzman_D!$L$6&lt;0, -(AN4-Uzman_D!$L$6), AN4-Uzman_D!$L$6),
    (ROUND((IF(AN4-Uzman_D!$L$6&lt;0, -(AN4-Uzman_D!$L$6), AN4-Uzman_D!$L$6)*2),0)/1 * 0.1), 0) +
    IF(AO4-Uzman_D!$M$6&lt;0, -(AO4-Uzman_D!$M$6), AO4-Uzman_D!$M$6)*1
)</f>
        <v>1</v>
      </c>
      <c r="AQ4" s="71">
        <v>0</v>
      </c>
      <c r="AR4" s="71">
        <v>1</v>
      </c>
      <c r="AS4" s="71">
        <v>3</v>
      </c>
      <c r="AT4" s="71">
        <v>4</v>
      </c>
      <c r="AU4" s="71">
        <v>0</v>
      </c>
      <c r="AV4" s="71">
        <v>0</v>
      </c>
      <c r="AW4" s="71">
        <v>0</v>
      </c>
      <c r="AX4" s="71">
        <v>0</v>
      </c>
      <c r="AY4" s="71">
        <v>0</v>
      </c>
      <c r="AZ4" s="71">
        <v>0</v>
      </c>
      <c r="BA4" s="72">
        <v>2</v>
      </c>
      <c r="BB4" s="72">
        <v>0.3</v>
      </c>
      <c r="BC4" s="73">
        <f>1 - (
    SUM(
        IF(AQ4-Uzman_D!$B$7&lt;0, -(AQ4-Uzman_D!$B$7), AQ4-Uzman_D!$B$7)*0.1 +
        IF(AR4-Uzman_D!$C$7&lt;0, -(AR4-Uzman_D!$C$7), AR4-Uzman_D!$C$7)*0.1 +
        IF(AS4-Uzman_D!$D$7&lt;0, -(AS4-Uzman_D!$D$7), AS4-Uzman_D!$D$7)*0.1 +
        IF(AT4-Uzman_D!$E$7&lt;0, -(AT4-Uzman_D!$E$7), AT4-Uzman_D!$E$7)*0.1 +
        IF(AU4-Uzman_D!$F$7&lt;0, -(AU4-Uzman_D!$F$7), AU4-Uzman_D!$F$7)*0.1 +
        IF(AV4-Uzman_D!$G$7&lt;0, -(AV4-Uzman_D!$G$7), AV4-Uzman_D!$G$7)*0.1 +
        IF(AW4-Uzman_D!$H$7&lt;0, -(AW4-Uzman_D!$H$7), AW4-Uzman_D!$H$7)*0.1 +
        IF(AX4-Uzman_D!$I$7&lt;0, -(AX4-Uzman_D!$I$7), AX4-Uzman_D!$I$7)*0.1 +
        IF(AY4-Uzman_D!$J$7&lt;0, -(AY4-Uzman_D!$J$7), AY4-Uzman_D!$J$7)*0.1
    ) +
    IF(ROUND((IF(BA4-Uzman_D!$L$7&lt;0, -(BA4-Uzman_D!$L$7), BA4-Uzman_D!$L$7)*2),0)/2 = IF(BA4-Uzman_D!$L$7&lt;0, -(BA4-Uzman_D!$L$7), BA4-Uzman_D!$L$7),
    (ROUND((IF(BA4-Uzman_D!$L$7&lt;0, -(BA4-Uzman_D!$L$7), BA4-Uzman_D!$L$7)*2),0)/1 * 0.1), 0) +
    IF(BB4-Uzman_D!$M$7&lt;0, -(BB4-Uzman_D!$M$7), BB4-Uzman_D!$M$7)*1
)</f>
        <v>1</v>
      </c>
      <c r="BD4" s="71">
        <v>0</v>
      </c>
      <c r="BE4" s="71">
        <v>4</v>
      </c>
      <c r="BF4" s="71">
        <v>2</v>
      </c>
      <c r="BG4" s="71">
        <v>2</v>
      </c>
      <c r="BH4" s="71">
        <v>0</v>
      </c>
      <c r="BI4" s="71">
        <v>0</v>
      </c>
      <c r="BJ4" s="71">
        <v>0</v>
      </c>
      <c r="BK4" s="71">
        <v>0</v>
      </c>
      <c r="BL4" s="71">
        <v>0</v>
      </c>
      <c r="BM4" s="71">
        <v>0</v>
      </c>
      <c r="BN4" s="72">
        <v>2</v>
      </c>
      <c r="BO4" s="72">
        <v>0</v>
      </c>
      <c r="BP4" s="73">
        <f>1 - (
    SUM(
        IF(BD4-Uzman_D!$B$8&lt;0, -(BD4-Uzman_D!$B$8), BD4-Uzman_D!$B$8)*0.1 +
        IF(BE4-Uzman_D!$C$8&lt;0, -(BE4-Uzman_D!$C$8), BE4-Uzman_D!$C$8)*0.1 +
        IF(BF4-Uzman_D!$D$8&lt;0, -(BF4-Uzman_D!$D$8), BF4-Uzman_D!$D$8)*0.1 +
        IF(BG4-Uzman_D!$E$8&lt;0, -(BG4-Uzman_D!$E$8), BG4-Uzman_D!$E$8)*0.1 +
        IF(BH4-Uzman_D!$F$8&lt;0, -(BH4-Uzman_D!$F$8), BH4-Uzman_D!$F$8)*0.1 +
        IF(BI4-Uzman_D!$G$8&lt;0, -(BI4-Uzman_D!$G$8), BI4-Uzman_D!$G$8)*0.1 +
        IF(BJ4-Uzman_D!$H$8&lt;0, -(BJ4-Uzman_D!$H$8), BJ4-Uzman_D!$H$8)*0.1 +
        IF(BK4-Uzman_D!$I$8&lt;0, -(BK4-Uzman_D!$I$8), BK4-Uzman_D!$I$8)*0.1 +
        IF(BL4-Uzman_D!$J$8&lt;0, -(BL4-Uzman_D!$J$8), BL4-Uzman_D!$J$8)*0.1
    ) +
    IF(ROUND((IF(BN4-Uzman_D!$L$8&lt;0, -(BN4-Uzman_D!$L$8), BN4-Uzman_D!$L$8)*2),0)/2 = IF(BN4-Uzman_D!$L$8&lt;0, -(BN4-Uzman_D!$L$8), BN4-Uzman_D!$L$8),
    (ROUND((IF(BN4-Uzman_D!$L$8&lt;0, -(BN4-Uzman_D!$L$8), BN4-Uzman_D!$L$8)*2),0)/1 * 0.1), 0) +
    IF(BO4-Uzman_D!$M$8&lt;0, -(BO4-Uzman_D!$M$8), BO4-Uzman_D!$M$8)*1
)</f>
        <v>1</v>
      </c>
      <c r="BQ4" s="74">
        <f>(P4+AC4+AP4+BC4+BP4)/5</f>
        <v>1</v>
      </c>
    </row>
    <row r="5" spans="1:69" ht="15" customHeight="1" x14ac:dyDescent="0.2">
      <c r="A5" s="57">
        <v>2</v>
      </c>
      <c r="B5" s="29" t="str">
        <f>Hakemler!B5</f>
        <v>Deneme</v>
      </c>
      <c r="C5" s="29" t="str">
        <f>Hakemler!C5</f>
        <v>Hakem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2"/>
      <c r="O5" s="72"/>
      <c r="P5" s="73">
        <f>1 - (
    SUM(
        IF(D5-Uzman_D!$B$4&lt;0, -(D5-Uzman_D!$B$4), D5-Uzman_D!$B$4)*0.1 +
        IF(E5-Uzman_D!$C$4&lt;0, -(E5-Uzman_D!$C$4), E5-Uzman_D!$C$4)*0.1 +
        IF(F5-Uzman_D!$D$4&lt;0, -(F5-Uzman_D!$D$4), F5-Uzman_D!$D$4)*0.1 +
        IF(G5-Uzman_D!$E$4&lt;0, -(G5-Uzman_D!$E$4), G5-Uzman_D!$E$4)*0.1 +
        IF(H5-Uzman_D!$F$4&lt;0, -(H5-Uzman_D!$F$4), H5-Uzman_D!$F$4)*0.1 +
        IF(I5-Uzman_D!$G$4&lt;0, -(I5-Uzman_D!$G$4), I5-Uzman_D!$G$4)*0.1 +
        IF(J5-Uzman_D!$H$4&lt;0, -(J5-Uzman_D!$H$4), J5-Uzman_D!$H$4)*0.1 +
        IF(K5-Uzman_D!$I$4&lt;0, -(K5-Uzman_D!$I$4), K5-Uzman_D!$I$4)*0.1 +
        IF(L5-Uzman_D!$J$4&lt;0, -(L5-Uzman_D!$J$4), L5-Uzman_D!$J$4)*0.1
    ) +
    IF(ROUND((IF(N5-Uzman_D!$L$4&lt;0, -(N5-Uzman_D!$L$4), N5-Uzman_D!$L$4)*2),0)/2 = IF(N5-Uzman_D!$L$4&lt;0, -(N5-Uzman_D!$L$4), N5-Uzman_D!$L$4),
    (ROUND((IF(N5-Uzman_D!$L$4&lt;0, -(N5-Uzman_D!$L$4), N5-Uzman_D!$L$4)*2),0)/1 * 0.1), 0) +
    IF(O5-Uzman_D!$M$4&lt;0, -(O5-Uzman_D!$M$4), O5-Uzman_D!$M$4)*1
)</f>
        <v>-0.90000000000000013</v>
      </c>
      <c r="Q5" s="71"/>
      <c r="R5" s="71"/>
      <c r="S5" s="71"/>
      <c r="T5" s="71"/>
      <c r="U5" s="71"/>
      <c r="V5" s="71"/>
      <c r="W5" s="71"/>
      <c r="X5" s="71"/>
      <c r="Y5" s="71"/>
      <c r="Z5" s="71"/>
      <c r="AA5" s="72"/>
      <c r="AB5" s="72"/>
      <c r="AC5" s="73">
        <f>1 - (
    SUM(
        IF(Q5-Uzman_D!$B$5&lt;0, -(Q5-Uzman_D!$B$5), Q5-Uzman_D!$B$5)*0.1 +
        IF(R5-Uzman_D!$C$5&lt;0, -(R5-Uzman_D!$C$5), R5-Uzman_D!$C$5)*0.1 +
        IF(S5-Uzman_D!$D$5&lt;0, -(S5-Uzman_D!$D$5), S5-Uzman_D!$D$5)*0.1 +
        IF(T5-Uzman_D!$E$5&lt;0, -(T5-Uzman_D!$E$5), T5-Uzman_D!$E$5)*0.1 +
        IF(U5-Uzman_D!$F$5&lt;0, -(U5-Uzman_D!$F$5), U5-Uzman_D!$F$5)*0.1 +
        IF(V5-Uzman_D!$G$5&lt;0, -(V5-Uzman_D!$G$5), V5-Uzman_D!$G$5)*0.1 +
        IF(W5-Uzman_D!$H$5&lt;0, -(W5-Uzman_D!$H$5), W5-Uzman_D!$H$5)*0.1 +
        IF(X5-Uzman_D!$I$5&lt;0, -(X5-Uzman_D!$I$5), X5-Uzman_D!$I$5)*0.1 +
        IF(Y5-Uzman_D!$J$5&lt;0, -(Y5-Uzman_D!$J$5), Y5-Uzman_D!$J$5)*0.1
    ) +
    IF(ROUND((IF(AA5-Uzman_D!$L$5&lt;0, -(AA5-Uzman_D!$L$5), AA5-Uzman_D!$L$5)*2),0)/2 = IF(AA5-Uzman_D!$L$5&lt;0, -(AA5-Uzman_D!$L$5), AA5-Uzman_D!$L$5),
    (ROUND((IF(AA5-Uzman_D!$L$5&lt;0, -(AA5-Uzman_D!$L$5), AA5-Uzman_D!$L$5)*2),0)/1 * 0.1), 0) +
    IF(AB5-Uzman_D!$M$5&lt;0, -(AB5-Uzman_D!$M$5), AB5-Uzman_D!$M$5)*1
)</f>
        <v>-0.50000000000000022</v>
      </c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2"/>
      <c r="AO5" s="72"/>
      <c r="AP5" s="73">
        <f>1 - (
    SUM(
        IF(AD5-Uzman_D!$B$6&lt;0, -(AD5-Uzman_D!$B$6), AD5-Uzman_D!$B$6)*0.1 +
        IF(AE5-Uzman_D!$C$6&lt;0, -(AE5-Uzman_D!$C$6), AE5-Uzman_D!$C$6)*0.1 +
        IF(AF5-Uzman_D!$D$6&lt;0, -(AF5-Uzman_D!$D$6), AF5-Uzman_D!$D$6)*0.1 +
        IF(AG5-Uzman_D!$E$6&lt;0, -(AG5-Uzman_D!$E$6), AG5-Uzman_D!$E$6)*0.1 +
        IF(AH5-Uzman_D!$F$6&lt;0, -(AH5-Uzman_D!$F$6), AH5-Uzman_D!$F$6)*0.1 +
        IF(AI5-Uzman_D!$G$6&lt;0, -(AI5-Uzman_D!$G$6), AI5-Uzman_D!$G$6)*0.1 +
        IF(AJ5-Uzman_D!$H$6&lt;0, -(AJ5-Uzman_D!$H$6), AJ5-Uzman_D!$H$6)*0.1 +
        IF(AK5-Uzman_D!$I$6&lt;0, -(AK5-Uzman_D!$I$6), AK5-Uzman_D!$I$6)*0.1 +
        IF(AL5-Uzman_D!$J$6&lt;0, -(AL5-Uzman_D!$J$6), AL5-Uzman_D!$J$6)*0.1
    ) +
    IF(ROUND((IF(AN5-Uzman_D!$L$6&lt;0, -(AN5-Uzman_D!$L$6), AN5-Uzman_D!$L$6)*2),0)/2 = IF(AN5-Uzman_D!$L$6&lt;0, -(AN5-Uzman_D!$L$6), AN5-Uzman_D!$L$6),
    (ROUND((IF(AN5-Uzman_D!$L$6&lt;0, -(AN5-Uzman_D!$L$6), AN5-Uzman_D!$L$6)*2),0)/1 * 0.1), 0) +
    IF(AO5-Uzman_D!$M$6&lt;0, -(AO5-Uzman_D!$M$6), AO5-Uzman_D!$M$6)*1
)</f>
        <v>-0.60000000000000009</v>
      </c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2"/>
      <c r="BB5" s="72"/>
      <c r="BC5" s="73">
        <f>1 - (
    SUM(
        IF(AQ5-Uzman_D!$B$7&lt;0, -(AQ5-Uzman_D!$B$7), AQ5-Uzman_D!$B$7)*0.1 +
        IF(AR5-Uzman_D!$C$7&lt;0, -(AR5-Uzman_D!$C$7), AR5-Uzman_D!$C$7)*0.1 +
        IF(AS5-Uzman_D!$D$7&lt;0, -(AS5-Uzman_D!$D$7), AS5-Uzman_D!$D$7)*0.1 +
        IF(AT5-Uzman_D!$E$7&lt;0, -(AT5-Uzman_D!$E$7), AT5-Uzman_D!$E$7)*0.1 +
        IF(AU5-Uzman_D!$F$7&lt;0, -(AU5-Uzman_D!$F$7), AU5-Uzman_D!$F$7)*0.1 +
        IF(AV5-Uzman_D!$G$7&lt;0, -(AV5-Uzman_D!$G$7), AV5-Uzman_D!$G$7)*0.1 +
        IF(AW5-Uzman_D!$H$7&lt;0, -(AW5-Uzman_D!$H$7), AW5-Uzman_D!$H$7)*0.1 +
        IF(AX5-Uzman_D!$I$7&lt;0, -(AX5-Uzman_D!$I$7), AX5-Uzman_D!$I$7)*0.1 +
        IF(AY5-Uzman_D!$J$7&lt;0, -(AY5-Uzman_D!$J$7), AY5-Uzman_D!$J$7)*0.1
    ) +
    IF(ROUND((IF(BA5-Uzman_D!$L$7&lt;0, -(BA5-Uzman_D!$L$7), BA5-Uzman_D!$L$7)*2),0)/2 = IF(BA5-Uzman_D!$L$7&lt;0, -(BA5-Uzman_D!$L$7), BA5-Uzman_D!$L$7),
    (ROUND((IF(BA5-Uzman_D!$L$7&lt;0, -(BA5-Uzman_D!$L$7), BA5-Uzman_D!$L$7)*2),0)/1 * 0.1), 0) +
    IF(BB5-Uzman_D!$M$7&lt;0, -(BB5-Uzman_D!$M$7), BB5-Uzman_D!$M$7)*1
)</f>
        <v>-0.50000000000000022</v>
      </c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2"/>
      <c r="BO5" s="72"/>
      <c r="BP5" s="73">
        <f>1 - (
    SUM(
        IF(BD5-Uzman_D!$B$8&lt;0, -(BD5-Uzman_D!$B$8), BD5-Uzman_D!$B$8)*0.1 +
        IF(BE5-Uzman_D!$C$8&lt;0, -(BE5-Uzman_D!$C$8), BE5-Uzman_D!$C$8)*0.1 +
        IF(BF5-Uzman_D!$D$8&lt;0, -(BF5-Uzman_D!$D$8), BF5-Uzman_D!$D$8)*0.1 +
        IF(BG5-Uzman_D!$E$8&lt;0, -(BG5-Uzman_D!$E$8), BG5-Uzman_D!$E$8)*0.1 +
        IF(BH5-Uzman_D!$F$8&lt;0, -(BH5-Uzman_D!$F$8), BH5-Uzman_D!$F$8)*0.1 +
        IF(BI5-Uzman_D!$G$8&lt;0, -(BI5-Uzman_D!$G$8), BI5-Uzman_D!$G$8)*0.1 +
        IF(BJ5-Uzman_D!$H$8&lt;0, -(BJ5-Uzman_D!$H$8), BJ5-Uzman_D!$H$8)*0.1 +
        IF(BK5-Uzman_D!$I$8&lt;0, -(BK5-Uzman_D!$I$8), BK5-Uzman_D!$I$8)*0.1 +
        IF(BL5-Uzman_D!$J$8&lt;0, -(BL5-Uzman_D!$J$8), BL5-Uzman_D!$J$8)*0.1
    ) +
    IF(ROUND((IF(BN5-Uzman_D!$L$8&lt;0, -(BN5-Uzman_D!$L$8), BN5-Uzman_D!$L$8)*2),0)/2 = IF(BN5-Uzman_D!$L$8&lt;0, -(BN5-Uzman_D!$L$8), BN5-Uzman_D!$L$8),
    (ROUND((IF(BN5-Uzman_D!$L$8&lt;0, -(BN5-Uzman_D!$L$8), BN5-Uzman_D!$L$8)*2),0)/1 * 0.1), 0) +
    IF(BO5-Uzman_D!$M$8&lt;0, -(BO5-Uzman_D!$M$8), BO5-Uzman_D!$M$8)*1
)</f>
        <v>-0.20000000000000018</v>
      </c>
      <c r="BQ5" s="74">
        <f t="shared" ref="BQ5:BQ68" si="0">(P5+AC5+AP5+BC5+BP5)/5</f>
        <v>-0.54000000000000026</v>
      </c>
    </row>
    <row r="6" spans="1:69" ht="15" customHeight="1" x14ac:dyDescent="0.2">
      <c r="A6" s="57">
        <v>3</v>
      </c>
      <c r="B6" s="29">
        <f>Hakemler!B6</f>
        <v>0</v>
      </c>
      <c r="C6" s="29">
        <f>Hakemler!C6</f>
        <v>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2"/>
      <c r="O6" s="72"/>
      <c r="P6" s="73">
        <f>1 - (
    SUM(
        IF(D6-Uzman_D!$B$4&lt;0, -(D6-Uzman_D!$B$4), D6-Uzman_D!$B$4)*0.1 +
        IF(E6-Uzman_D!$C$4&lt;0, -(E6-Uzman_D!$C$4), E6-Uzman_D!$C$4)*0.1 +
        IF(F6-Uzman_D!$D$4&lt;0, -(F6-Uzman_D!$D$4), F6-Uzman_D!$D$4)*0.1 +
        IF(G6-Uzman_D!$E$4&lt;0, -(G6-Uzman_D!$E$4), G6-Uzman_D!$E$4)*0.1 +
        IF(H6-Uzman_D!$F$4&lt;0, -(H6-Uzman_D!$F$4), H6-Uzman_D!$F$4)*0.1 +
        IF(I6-Uzman_D!$G$4&lt;0, -(I6-Uzman_D!$G$4), I6-Uzman_D!$G$4)*0.1 +
        IF(J6-Uzman_D!$H$4&lt;0, -(J6-Uzman_D!$H$4), J6-Uzman_D!$H$4)*0.1 +
        IF(K6-Uzman_D!$I$4&lt;0, -(K6-Uzman_D!$I$4), K6-Uzman_D!$I$4)*0.1 +
        IF(L6-Uzman_D!$J$4&lt;0, -(L6-Uzman_D!$J$4), L6-Uzman_D!$J$4)*0.1
    ) +
    IF(ROUND((IF(N6-Uzman_D!$L$4&lt;0, -(N6-Uzman_D!$L$4), N6-Uzman_D!$L$4)*2),0)/2 = IF(N6-Uzman_D!$L$4&lt;0, -(N6-Uzman_D!$L$4), N6-Uzman_D!$L$4),
    (ROUND((IF(N6-Uzman_D!$L$4&lt;0, -(N6-Uzman_D!$L$4), N6-Uzman_D!$L$4)*2),0)/1 * 0.1), 0) +
    IF(O6-Uzman_D!$M$4&lt;0, -(O6-Uzman_D!$M$4), O6-Uzman_D!$M$4)*1
)</f>
        <v>-0.90000000000000013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2"/>
      <c r="AB6" s="72"/>
      <c r="AC6" s="73">
        <f>1 - (
    SUM(
        IF(Q6-Uzman_D!$B$5&lt;0, -(Q6-Uzman_D!$B$5), Q6-Uzman_D!$B$5)*0.1 +
        IF(R6-Uzman_D!$C$5&lt;0, -(R6-Uzman_D!$C$5), R6-Uzman_D!$C$5)*0.1 +
        IF(S6-Uzman_D!$D$5&lt;0, -(S6-Uzman_D!$D$5), S6-Uzman_D!$D$5)*0.1 +
        IF(T6-Uzman_D!$E$5&lt;0, -(T6-Uzman_D!$E$5), T6-Uzman_D!$E$5)*0.1 +
        IF(U6-Uzman_D!$F$5&lt;0, -(U6-Uzman_D!$F$5), U6-Uzman_D!$F$5)*0.1 +
        IF(V6-Uzman_D!$G$5&lt;0, -(V6-Uzman_D!$G$5), V6-Uzman_D!$G$5)*0.1 +
        IF(W6-Uzman_D!$H$5&lt;0, -(W6-Uzman_D!$H$5), W6-Uzman_D!$H$5)*0.1 +
        IF(X6-Uzman_D!$I$5&lt;0, -(X6-Uzman_D!$I$5), X6-Uzman_D!$I$5)*0.1 +
        IF(Y6-Uzman_D!$J$5&lt;0, -(Y6-Uzman_D!$J$5), Y6-Uzman_D!$J$5)*0.1
    ) +
    IF(ROUND((IF(AA6-Uzman_D!$L$5&lt;0, -(AA6-Uzman_D!$L$5), AA6-Uzman_D!$L$5)*2),0)/2 = IF(AA6-Uzman_D!$L$5&lt;0, -(AA6-Uzman_D!$L$5), AA6-Uzman_D!$L$5),
    (ROUND((IF(AA6-Uzman_D!$L$5&lt;0, -(AA6-Uzman_D!$L$5), AA6-Uzman_D!$L$5)*2),0)/1 * 0.1), 0) +
    IF(AB6-Uzman_D!$M$5&lt;0, -(AB6-Uzman_D!$M$5), AB6-Uzman_D!$M$5)*1
)</f>
        <v>-0.50000000000000022</v>
      </c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2"/>
      <c r="AO6" s="72"/>
      <c r="AP6" s="73">
        <f>1 - (
    SUM(
        IF(AD6-Uzman_D!$B$6&lt;0, -(AD6-Uzman_D!$B$6), AD6-Uzman_D!$B$6)*0.1 +
        IF(AE6-Uzman_D!$C$6&lt;0, -(AE6-Uzman_D!$C$6), AE6-Uzman_D!$C$6)*0.1 +
        IF(AF6-Uzman_D!$D$6&lt;0, -(AF6-Uzman_D!$D$6), AF6-Uzman_D!$D$6)*0.1 +
        IF(AG6-Uzman_D!$E$6&lt;0, -(AG6-Uzman_D!$E$6), AG6-Uzman_D!$E$6)*0.1 +
        IF(AH6-Uzman_D!$F$6&lt;0, -(AH6-Uzman_D!$F$6), AH6-Uzman_D!$F$6)*0.1 +
        IF(AI6-Uzman_D!$G$6&lt;0, -(AI6-Uzman_D!$G$6), AI6-Uzman_D!$G$6)*0.1 +
        IF(AJ6-Uzman_D!$H$6&lt;0, -(AJ6-Uzman_D!$H$6), AJ6-Uzman_D!$H$6)*0.1 +
        IF(AK6-Uzman_D!$I$6&lt;0, -(AK6-Uzman_D!$I$6), AK6-Uzman_D!$I$6)*0.1 +
        IF(AL6-Uzman_D!$J$6&lt;0, -(AL6-Uzman_D!$J$6), AL6-Uzman_D!$J$6)*0.1
    ) +
    IF(ROUND((IF(AN6-Uzman_D!$L$6&lt;0, -(AN6-Uzman_D!$L$6), AN6-Uzman_D!$L$6)*2),0)/2 = IF(AN6-Uzman_D!$L$6&lt;0, -(AN6-Uzman_D!$L$6), AN6-Uzman_D!$L$6),
    (ROUND((IF(AN6-Uzman_D!$L$6&lt;0, -(AN6-Uzman_D!$L$6), AN6-Uzman_D!$L$6)*2),0)/1 * 0.1), 0) +
    IF(AO6-Uzman_D!$M$6&lt;0, -(AO6-Uzman_D!$M$6), AO6-Uzman_D!$M$6)*1
)</f>
        <v>-0.60000000000000009</v>
      </c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2"/>
      <c r="BB6" s="72"/>
      <c r="BC6" s="73">
        <f>1 - (
    SUM(
        IF(AQ6-Uzman_D!$B$7&lt;0, -(AQ6-Uzman_D!$B$7), AQ6-Uzman_D!$B$7)*0.1 +
        IF(AR6-Uzman_D!$C$7&lt;0, -(AR6-Uzman_D!$C$7), AR6-Uzman_D!$C$7)*0.1 +
        IF(AS6-Uzman_D!$D$7&lt;0, -(AS6-Uzman_D!$D$7), AS6-Uzman_D!$D$7)*0.1 +
        IF(AT6-Uzman_D!$E$7&lt;0, -(AT6-Uzman_D!$E$7), AT6-Uzman_D!$E$7)*0.1 +
        IF(AU6-Uzman_D!$F$7&lt;0, -(AU6-Uzman_D!$F$7), AU6-Uzman_D!$F$7)*0.1 +
        IF(AV6-Uzman_D!$G$7&lt;0, -(AV6-Uzman_D!$G$7), AV6-Uzman_D!$G$7)*0.1 +
        IF(AW6-Uzman_D!$H$7&lt;0, -(AW6-Uzman_D!$H$7), AW6-Uzman_D!$H$7)*0.1 +
        IF(AX6-Uzman_D!$I$7&lt;0, -(AX6-Uzman_D!$I$7), AX6-Uzman_D!$I$7)*0.1 +
        IF(AY6-Uzman_D!$J$7&lt;0, -(AY6-Uzman_D!$J$7), AY6-Uzman_D!$J$7)*0.1
    ) +
    IF(ROUND((IF(BA6-Uzman_D!$L$7&lt;0, -(BA6-Uzman_D!$L$7), BA6-Uzman_D!$L$7)*2),0)/2 = IF(BA6-Uzman_D!$L$7&lt;0, -(BA6-Uzman_D!$L$7), BA6-Uzman_D!$L$7),
    (ROUND((IF(BA6-Uzman_D!$L$7&lt;0, -(BA6-Uzman_D!$L$7), BA6-Uzman_D!$L$7)*2),0)/1 * 0.1), 0) +
    IF(BB6-Uzman_D!$M$7&lt;0, -(BB6-Uzman_D!$M$7), BB6-Uzman_D!$M$7)*1
)</f>
        <v>-0.50000000000000022</v>
      </c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2"/>
      <c r="BO6" s="72"/>
      <c r="BP6" s="73">
        <f>1 - (
    SUM(
        IF(BD6-Uzman_D!$B$8&lt;0, -(BD6-Uzman_D!$B$8), BD6-Uzman_D!$B$8)*0.1 +
        IF(BE6-Uzman_D!$C$8&lt;0, -(BE6-Uzman_D!$C$8), BE6-Uzman_D!$C$8)*0.1 +
        IF(BF6-Uzman_D!$D$8&lt;0, -(BF6-Uzman_D!$D$8), BF6-Uzman_D!$D$8)*0.1 +
        IF(BG6-Uzman_D!$E$8&lt;0, -(BG6-Uzman_D!$E$8), BG6-Uzman_D!$E$8)*0.1 +
        IF(BH6-Uzman_D!$F$8&lt;0, -(BH6-Uzman_D!$F$8), BH6-Uzman_D!$F$8)*0.1 +
        IF(BI6-Uzman_D!$G$8&lt;0, -(BI6-Uzman_D!$G$8), BI6-Uzman_D!$G$8)*0.1 +
        IF(BJ6-Uzman_D!$H$8&lt;0, -(BJ6-Uzman_D!$H$8), BJ6-Uzman_D!$H$8)*0.1 +
        IF(BK6-Uzman_D!$I$8&lt;0, -(BK6-Uzman_D!$I$8), BK6-Uzman_D!$I$8)*0.1 +
        IF(BL6-Uzman_D!$J$8&lt;0, -(BL6-Uzman_D!$J$8), BL6-Uzman_D!$J$8)*0.1
    ) +
    IF(ROUND((IF(BN6-Uzman_D!$L$8&lt;0, -(BN6-Uzman_D!$L$8), BN6-Uzman_D!$L$8)*2),0)/2 = IF(BN6-Uzman_D!$L$8&lt;0, -(BN6-Uzman_D!$L$8), BN6-Uzman_D!$L$8),
    (ROUND((IF(BN6-Uzman_D!$L$8&lt;0, -(BN6-Uzman_D!$L$8), BN6-Uzman_D!$L$8)*2),0)/1 * 0.1), 0) +
    IF(BO6-Uzman_D!$M$8&lt;0, -(BO6-Uzman_D!$M$8), BO6-Uzman_D!$M$8)*1
)</f>
        <v>-0.20000000000000018</v>
      </c>
      <c r="BQ6" s="74">
        <f t="shared" si="0"/>
        <v>-0.54000000000000026</v>
      </c>
    </row>
    <row r="7" spans="1:69" ht="15" customHeight="1" x14ac:dyDescent="0.2">
      <c r="A7" s="57">
        <v>4</v>
      </c>
      <c r="B7" s="29">
        <f>Hakemler!B7</f>
        <v>0</v>
      </c>
      <c r="C7" s="29">
        <f>Hakemler!C7</f>
        <v>0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2"/>
      <c r="O7" s="72"/>
      <c r="P7" s="73">
        <f>1 - (
    SUM(
        IF(D7-Uzman_D!$B$4&lt;0, -(D7-Uzman_D!$B$4), D7-Uzman_D!$B$4)*0.1 +
        IF(E7-Uzman_D!$C$4&lt;0, -(E7-Uzman_D!$C$4), E7-Uzman_D!$C$4)*0.1 +
        IF(F7-Uzman_D!$D$4&lt;0, -(F7-Uzman_D!$D$4), F7-Uzman_D!$D$4)*0.1 +
        IF(G7-Uzman_D!$E$4&lt;0, -(G7-Uzman_D!$E$4), G7-Uzman_D!$E$4)*0.1 +
        IF(H7-Uzman_D!$F$4&lt;0, -(H7-Uzman_D!$F$4), H7-Uzman_D!$F$4)*0.1 +
        IF(I7-Uzman_D!$G$4&lt;0, -(I7-Uzman_D!$G$4), I7-Uzman_D!$G$4)*0.1 +
        IF(J7-Uzman_D!$H$4&lt;0, -(J7-Uzman_D!$H$4), J7-Uzman_D!$H$4)*0.1 +
        IF(K7-Uzman_D!$I$4&lt;0, -(K7-Uzman_D!$I$4), K7-Uzman_D!$I$4)*0.1 +
        IF(L7-Uzman_D!$J$4&lt;0, -(L7-Uzman_D!$J$4), L7-Uzman_D!$J$4)*0.1
    ) +
    IF(ROUND((IF(N7-Uzman_D!$L$4&lt;0, -(N7-Uzman_D!$L$4), N7-Uzman_D!$L$4)*2),0)/2 = IF(N7-Uzman_D!$L$4&lt;0, -(N7-Uzman_D!$L$4), N7-Uzman_D!$L$4),
    (ROUND((IF(N7-Uzman_D!$L$4&lt;0, -(N7-Uzman_D!$L$4), N7-Uzman_D!$L$4)*2),0)/1 * 0.1), 0) +
    IF(O7-Uzman_D!$M$4&lt;0, -(O7-Uzman_D!$M$4), O7-Uzman_D!$M$4)*1
)</f>
        <v>-0.90000000000000013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2"/>
      <c r="AB7" s="72"/>
      <c r="AC7" s="73">
        <f>1 - (
    SUM(
        IF(Q7-Uzman_D!$B$5&lt;0, -(Q7-Uzman_D!$B$5), Q7-Uzman_D!$B$5)*0.1 +
        IF(R7-Uzman_D!$C$5&lt;0, -(R7-Uzman_D!$C$5), R7-Uzman_D!$C$5)*0.1 +
        IF(S7-Uzman_D!$D$5&lt;0, -(S7-Uzman_D!$D$5), S7-Uzman_D!$D$5)*0.1 +
        IF(T7-Uzman_D!$E$5&lt;0, -(T7-Uzman_D!$E$5), T7-Uzman_D!$E$5)*0.1 +
        IF(U7-Uzman_D!$F$5&lt;0, -(U7-Uzman_D!$F$5), U7-Uzman_D!$F$5)*0.1 +
        IF(V7-Uzman_D!$G$5&lt;0, -(V7-Uzman_D!$G$5), V7-Uzman_D!$G$5)*0.1 +
        IF(W7-Uzman_D!$H$5&lt;0, -(W7-Uzman_D!$H$5), W7-Uzman_D!$H$5)*0.1 +
        IF(X7-Uzman_D!$I$5&lt;0, -(X7-Uzman_D!$I$5), X7-Uzman_D!$I$5)*0.1 +
        IF(Y7-Uzman_D!$J$5&lt;0, -(Y7-Uzman_D!$J$5), Y7-Uzman_D!$J$5)*0.1
    ) +
    IF(ROUND((IF(AA7-Uzman_D!$L$5&lt;0, -(AA7-Uzman_D!$L$5), AA7-Uzman_D!$L$5)*2),0)/2 = IF(AA7-Uzman_D!$L$5&lt;0, -(AA7-Uzman_D!$L$5), AA7-Uzman_D!$L$5),
    (ROUND((IF(AA7-Uzman_D!$L$5&lt;0, -(AA7-Uzman_D!$L$5), AA7-Uzman_D!$L$5)*2),0)/1 * 0.1), 0) +
    IF(AB7-Uzman_D!$M$5&lt;0, -(AB7-Uzman_D!$M$5), AB7-Uzman_D!$M$5)*1
)</f>
        <v>-0.50000000000000022</v>
      </c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2"/>
      <c r="AO7" s="72"/>
      <c r="AP7" s="73">
        <f>1 - (
    SUM(
        IF(AD7-Uzman_D!$B$6&lt;0, -(AD7-Uzman_D!$B$6), AD7-Uzman_D!$B$6)*0.1 +
        IF(AE7-Uzman_D!$C$6&lt;0, -(AE7-Uzman_D!$C$6), AE7-Uzman_D!$C$6)*0.1 +
        IF(AF7-Uzman_D!$D$6&lt;0, -(AF7-Uzman_D!$D$6), AF7-Uzman_D!$D$6)*0.1 +
        IF(AG7-Uzman_D!$E$6&lt;0, -(AG7-Uzman_D!$E$6), AG7-Uzman_D!$E$6)*0.1 +
        IF(AH7-Uzman_D!$F$6&lt;0, -(AH7-Uzman_D!$F$6), AH7-Uzman_D!$F$6)*0.1 +
        IF(AI7-Uzman_D!$G$6&lt;0, -(AI7-Uzman_D!$G$6), AI7-Uzman_D!$G$6)*0.1 +
        IF(AJ7-Uzman_D!$H$6&lt;0, -(AJ7-Uzman_D!$H$6), AJ7-Uzman_D!$H$6)*0.1 +
        IF(AK7-Uzman_D!$I$6&lt;0, -(AK7-Uzman_D!$I$6), AK7-Uzman_D!$I$6)*0.1 +
        IF(AL7-Uzman_D!$J$6&lt;0, -(AL7-Uzman_D!$J$6), AL7-Uzman_D!$J$6)*0.1
    ) +
    IF(ROUND((IF(AN7-Uzman_D!$L$6&lt;0, -(AN7-Uzman_D!$L$6), AN7-Uzman_D!$L$6)*2),0)/2 = IF(AN7-Uzman_D!$L$6&lt;0, -(AN7-Uzman_D!$L$6), AN7-Uzman_D!$L$6),
    (ROUND((IF(AN7-Uzman_D!$L$6&lt;0, -(AN7-Uzman_D!$L$6), AN7-Uzman_D!$L$6)*2),0)/1 * 0.1), 0) +
    IF(AO7-Uzman_D!$M$6&lt;0, -(AO7-Uzman_D!$M$6), AO7-Uzman_D!$M$6)*1
)</f>
        <v>-0.60000000000000009</v>
      </c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2"/>
      <c r="BB7" s="72"/>
      <c r="BC7" s="73">
        <f>1 - (
    SUM(
        IF(AQ7-Uzman_D!$B$7&lt;0, -(AQ7-Uzman_D!$B$7), AQ7-Uzman_D!$B$7)*0.1 +
        IF(AR7-Uzman_D!$C$7&lt;0, -(AR7-Uzman_D!$C$7), AR7-Uzman_D!$C$7)*0.1 +
        IF(AS7-Uzman_D!$D$7&lt;0, -(AS7-Uzman_D!$D$7), AS7-Uzman_D!$D$7)*0.1 +
        IF(AT7-Uzman_D!$E$7&lt;0, -(AT7-Uzman_D!$E$7), AT7-Uzman_D!$E$7)*0.1 +
        IF(AU7-Uzman_D!$F$7&lt;0, -(AU7-Uzman_D!$F$7), AU7-Uzman_D!$F$7)*0.1 +
        IF(AV7-Uzman_D!$G$7&lt;0, -(AV7-Uzman_D!$G$7), AV7-Uzman_D!$G$7)*0.1 +
        IF(AW7-Uzman_D!$H$7&lt;0, -(AW7-Uzman_D!$H$7), AW7-Uzman_D!$H$7)*0.1 +
        IF(AX7-Uzman_D!$I$7&lt;0, -(AX7-Uzman_D!$I$7), AX7-Uzman_D!$I$7)*0.1 +
        IF(AY7-Uzman_D!$J$7&lt;0, -(AY7-Uzman_D!$J$7), AY7-Uzman_D!$J$7)*0.1
    ) +
    IF(ROUND((IF(BA7-Uzman_D!$L$7&lt;0, -(BA7-Uzman_D!$L$7), BA7-Uzman_D!$L$7)*2),0)/2 = IF(BA7-Uzman_D!$L$7&lt;0, -(BA7-Uzman_D!$L$7), BA7-Uzman_D!$L$7),
    (ROUND((IF(BA7-Uzman_D!$L$7&lt;0, -(BA7-Uzman_D!$L$7), BA7-Uzman_D!$L$7)*2),0)/1 * 0.1), 0) +
    IF(BB7-Uzman_D!$M$7&lt;0, -(BB7-Uzman_D!$M$7), BB7-Uzman_D!$M$7)*1
)</f>
        <v>-0.50000000000000022</v>
      </c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2"/>
      <c r="BO7" s="72"/>
      <c r="BP7" s="73">
        <f>1 - (
    SUM(
        IF(BD7-Uzman_D!$B$8&lt;0, -(BD7-Uzman_D!$B$8), BD7-Uzman_D!$B$8)*0.1 +
        IF(BE7-Uzman_D!$C$8&lt;0, -(BE7-Uzman_D!$C$8), BE7-Uzman_D!$C$8)*0.1 +
        IF(BF7-Uzman_D!$D$8&lt;0, -(BF7-Uzman_D!$D$8), BF7-Uzman_D!$D$8)*0.1 +
        IF(BG7-Uzman_D!$E$8&lt;0, -(BG7-Uzman_D!$E$8), BG7-Uzman_D!$E$8)*0.1 +
        IF(BH7-Uzman_D!$F$8&lt;0, -(BH7-Uzman_D!$F$8), BH7-Uzman_D!$F$8)*0.1 +
        IF(BI7-Uzman_D!$G$8&lt;0, -(BI7-Uzman_D!$G$8), BI7-Uzman_D!$G$8)*0.1 +
        IF(BJ7-Uzman_D!$H$8&lt;0, -(BJ7-Uzman_D!$H$8), BJ7-Uzman_D!$H$8)*0.1 +
        IF(BK7-Uzman_D!$I$8&lt;0, -(BK7-Uzman_D!$I$8), BK7-Uzman_D!$I$8)*0.1 +
        IF(BL7-Uzman_D!$J$8&lt;0, -(BL7-Uzman_D!$J$8), BL7-Uzman_D!$J$8)*0.1
    ) +
    IF(ROUND((IF(BN7-Uzman_D!$L$8&lt;0, -(BN7-Uzman_D!$L$8), BN7-Uzman_D!$L$8)*2),0)/2 = IF(BN7-Uzman_D!$L$8&lt;0, -(BN7-Uzman_D!$L$8), BN7-Uzman_D!$L$8),
    (ROUND((IF(BN7-Uzman_D!$L$8&lt;0, -(BN7-Uzman_D!$L$8), BN7-Uzman_D!$L$8)*2),0)/1 * 0.1), 0) +
    IF(BO7-Uzman_D!$M$8&lt;0, -(BO7-Uzman_D!$M$8), BO7-Uzman_D!$M$8)*1
)</f>
        <v>-0.20000000000000018</v>
      </c>
      <c r="BQ7" s="74">
        <f t="shared" si="0"/>
        <v>-0.54000000000000026</v>
      </c>
    </row>
    <row r="8" spans="1:69" ht="15" customHeight="1" x14ac:dyDescent="0.2">
      <c r="A8" s="57">
        <v>5</v>
      </c>
      <c r="B8" s="29">
        <f>Hakemler!B8</f>
        <v>0</v>
      </c>
      <c r="C8" s="29">
        <f>Hakemler!C8</f>
        <v>0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2"/>
      <c r="O8" s="72"/>
      <c r="P8" s="73">
        <f>1 - (
    SUM(
        IF(D8-Uzman_D!$B$4&lt;0, -(D8-Uzman_D!$B$4), D8-Uzman_D!$B$4)*0.1 +
        IF(E8-Uzman_D!$C$4&lt;0, -(E8-Uzman_D!$C$4), E8-Uzman_D!$C$4)*0.1 +
        IF(F8-Uzman_D!$D$4&lt;0, -(F8-Uzman_D!$D$4), F8-Uzman_D!$D$4)*0.1 +
        IF(G8-Uzman_D!$E$4&lt;0, -(G8-Uzman_D!$E$4), G8-Uzman_D!$E$4)*0.1 +
        IF(H8-Uzman_D!$F$4&lt;0, -(H8-Uzman_D!$F$4), H8-Uzman_D!$F$4)*0.1 +
        IF(I8-Uzman_D!$G$4&lt;0, -(I8-Uzman_D!$G$4), I8-Uzman_D!$G$4)*0.1 +
        IF(J8-Uzman_D!$H$4&lt;0, -(J8-Uzman_D!$H$4), J8-Uzman_D!$H$4)*0.1 +
        IF(K8-Uzman_D!$I$4&lt;0, -(K8-Uzman_D!$I$4), K8-Uzman_D!$I$4)*0.1 +
        IF(L8-Uzman_D!$J$4&lt;0, -(L8-Uzman_D!$J$4), L8-Uzman_D!$J$4)*0.1
    ) +
    IF(ROUND((IF(N8-Uzman_D!$L$4&lt;0, -(N8-Uzman_D!$L$4), N8-Uzman_D!$L$4)*2),0)/2 = IF(N8-Uzman_D!$L$4&lt;0, -(N8-Uzman_D!$L$4), N8-Uzman_D!$L$4),
    (ROUND((IF(N8-Uzman_D!$L$4&lt;0, -(N8-Uzman_D!$L$4), N8-Uzman_D!$L$4)*2),0)/1 * 0.1), 0) +
    IF(O8-Uzman_D!$M$4&lt;0, -(O8-Uzman_D!$M$4), O8-Uzman_D!$M$4)*1
)</f>
        <v>-0.90000000000000013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2"/>
      <c r="AB8" s="72"/>
      <c r="AC8" s="73">
        <f>1 - (
    SUM(
        IF(Q8-Uzman_D!$B$5&lt;0, -(Q8-Uzman_D!$B$5), Q8-Uzman_D!$B$5)*0.1 +
        IF(R8-Uzman_D!$C$5&lt;0, -(R8-Uzman_D!$C$5), R8-Uzman_D!$C$5)*0.1 +
        IF(S8-Uzman_D!$D$5&lt;0, -(S8-Uzman_D!$D$5), S8-Uzman_D!$D$5)*0.1 +
        IF(T8-Uzman_D!$E$5&lt;0, -(T8-Uzman_D!$E$5), T8-Uzman_D!$E$5)*0.1 +
        IF(U8-Uzman_D!$F$5&lt;0, -(U8-Uzman_D!$F$5), U8-Uzman_D!$F$5)*0.1 +
        IF(V8-Uzman_D!$G$5&lt;0, -(V8-Uzman_D!$G$5), V8-Uzman_D!$G$5)*0.1 +
        IF(W8-Uzman_D!$H$5&lt;0, -(W8-Uzman_D!$H$5), W8-Uzman_D!$H$5)*0.1 +
        IF(X8-Uzman_D!$I$5&lt;0, -(X8-Uzman_D!$I$5), X8-Uzman_D!$I$5)*0.1 +
        IF(Y8-Uzman_D!$J$5&lt;0, -(Y8-Uzman_D!$J$5), Y8-Uzman_D!$J$5)*0.1
    ) +
    IF(ROUND((IF(AA8-Uzman_D!$L$5&lt;0, -(AA8-Uzman_D!$L$5), AA8-Uzman_D!$L$5)*2),0)/2 = IF(AA8-Uzman_D!$L$5&lt;0, -(AA8-Uzman_D!$L$5), AA8-Uzman_D!$L$5),
    (ROUND((IF(AA8-Uzman_D!$L$5&lt;0, -(AA8-Uzman_D!$L$5), AA8-Uzman_D!$L$5)*2),0)/1 * 0.1), 0) +
    IF(AB8-Uzman_D!$M$5&lt;0, -(AB8-Uzman_D!$M$5), AB8-Uzman_D!$M$5)*1
)</f>
        <v>-0.50000000000000022</v>
      </c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2"/>
      <c r="AO8" s="72"/>
      <c r="AP8" s="73">
        <f>1 - (
    SUM(
        IF(AD8-Uzman_D!$B$6&lt;0, -(AD8-Uzman_D!$B$6), AD8-Uzman_D!$B$6)*0.1 +
        IF(AE8-Uzman_D!$C$6&lt;0, -(AE8-Uzman_D!$C$6), AE8-Uzman_D!$C$6)*0.1 +
        IF(AF8-Uzman_D!$D$6&lt;0, -(AF8-Uzman_D!$D$6), AF8-Uzman_D!$D$6)*0.1 +
        IF(AG8-Uzman_D!$E$6&lt;0, -(AG8-Uzman_D!$E$6), AG8-Uzman_D!$E$6)*0.1 +
        IF(AH8-Uzman_D!$F$6&lt;0, -(AH8-Uzman_D!$F$6), AH8-Uzman_D!$F$6)*0.1 +
        IF(AI8-Uzman_D!$G$6&lt;0, -(AI8-Uzman_D!$G$6), AI8-Uzman_D!$G$6)*0.1 +
        IF(AJ8-Uzman_D!$H$6&lt;0, -(AJ8-Uzman_D!$H$6), AJ8-Uzman_D!$H$6)*0.1 +
        IF(AK8-Uzman_D!$I$6&lt;0, -(AK8-Uzman_D!$I$6), AK8-Uzman_D!$I$6)*0.1 +
        IF(AL8-Uzman_D!$J$6&lt;0, -(AL8-Uzman_D!$J$6), AL8-Uzman_D!$J$6)*0.1
    ) +
    IF(ROUND((IF(AN8-Uzman_D!$L$6&lt;0, -(AN8-Uzman_D!$L$6), AN8-Uzman_D!$L$6)*2),0)/2 = IF(AN8-Uzman_D!$L$6&lt;0, -(AN8-Uzman_D!$L$6), AN8-Uzman_D!$L$6),
    (ROUND((IF(AN8-Uzman_D!$L$6&lt;0, -(AN8-Uzman_D!$L$6), AN8-Uzman_D!$L$6)*2),0)/1 * 0.1), 0) +
    IF(AO8-Uzman_D!$M$6&lt;0, -(AO8-Uzman_D!$M$6), AO8-Uzman_D!$M$6)*1
)</f>
        <v>-0.60000000000000009</v>
      </c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2"/>
      <c r="BB8" s="72"/>
      <c r="BC8" s="73">
        <f>1 - (
    SUM(
        IF(AQ8-Uzman_D!$B$7&lt;0, -(AQ8-Uzman_D!$B$7), AQ8-Uzman_D!$B$7)*0.1 +
        IF(AR8-Uzman_D!$C$7&lt;0, -(AR8-Uzman_D!$C$7), AR8-Uzman_D!$C$7)*0.1 +
        IF(AS8-Uzman_D!$D$7&lt;0, -(AS8-Uzman_D!$D$7), AS8-Uzman_D!$D$7)*0.1 +
        IF(AT8-Uzman_D!$E$7&lt;0, -(AT8-Uzman_D!$E$7), AT8-Uzman_D!$E$7)*0.1 +
        IF(AU8-Uzman_D!$F$7&lt;0, -(AU8-Uzman_D!$F$7), AU8-Uzman_D!$F$7)*0.1 +
        IF(AV8-Uzman_D!$G$7&lt;0, -(AV8-Uzman_D!$G$7), AV8-Uzman_D!$G$7)*0.1 +
        IF(AW8-Uzman_D!$H$7&lt;0, -(AW8-Uzman_D!$H$7), AW8-Uzman_D!$H$7)*0.1 +
        IF(AX8-Uzman_D!$I$7&lt;0, -(AX8-Uzman_D!$I$7), AX8-Uzman_D!$I$7)*0.1 +
        IF(AY8-Uzman_D!$J$7&lt;0, -(AY8-Uzman_D!$J$7), AY8-Uzman_D!$J$7)*0.1
    ) +
    IF(ROUND((IF(BA8-Uzman_D!$L$7&lt;0, -(BA8-Uzman_D!$L$7), BA8-Uzman_D!$L$7)*2),0)/2 = IF(BA8-Uzman_D!$L$7&lt;0, -(BA8-Uzman_D!$L$7), BA8-Uzman_D!$L$7),
    (ROUND((IF(BA8-Uzman_D!$L$7&lt;0, -(BA8-Uzman_D!$L$7), BA8-Uzman_D!$L$7)*2),0)/1 * 0.1), 0) +
    IF(BB8-Uzman_D!$M$7&lt;0, -(BB8-Uzman_D!$M$7), BB8-Uzman_D!$M$7)*1
)</f>
        <v>-0.50000000000000022</v>
      </c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2"/>
      <c r="BO8" s="72"/>
      <c r="BP8" s="73">
        <f>1 - (
    SUM(
        IF(BD8-Uzman_D!$B$8&lt;0, -(BD8-Uzman_D!$B$8), BD8-Uzman_D!$B$8)*0.1 +
        IF(BE8-Uzman_D!$C$8&lt;0, -(BE8-Uzman_D!$C$8), BE8-Uzman_D!$C$8)*0.1 +
        IF(BF8-Uzman_D!$D$8&lt;0, -(BF8-Uzman_D!$D$8), BF8-Uzman_D!$D$8)*0.1 +
        IF(BG8-Uzman_D!$E$8&lt;0, -(BG8-Uzman_D!$E$8), BG8-Uzman_D!$E$8)*0.1 +
        IF(BH8-Uzman_D!$F$8&lt;0, -(BH8-Uzman_D!$F$8), BH8-Uzman_D!$F$8)*0.1 +
        IF(BI8-Uzman_D!$G$8&lt;0, -(BI8-Uzman_D!$G$8), BI8-Uzman_D!$G$8)*0.1 +
        IF(BJ8-Uzman_D!$H$8&lt;0, -(BJ8-Uzman_D!$H$8), BJ8-Uzman_D!$H$8)*0.1 +
        IF(BK8-Uzman_D!$I$8&lt;0, -(BK8-Uzman_D!$I$8), BK8-Uzman_D!$I$8)*0.1 +
        IF(BL8-Uzman_D!$J$8&lt;0, -(BL8-Uzman_D!$J$8), BL8-Uzman_D!$J$8)*0.1
    ) +
    IF(ROUND((IF(BN8-Uzman_D!$L$8&lt;0, -(BN8-Uzman_D!$L$8), BN8-Uzman_D!$L$8)*2),0)/2 = IF(BN8-Uzman_D!$L$8&lt;0, -(BN8-Uzman_D!$L$8), BN8-Uzman_D!$L$8),
    (ROUND((IF(BN8-Uzman_D!$L$8&lt;0, -(BN8-Uzman_D!$L$8), BN8-Uzman_D!$L$8)*2),0)/1 * 0.1), 0) +
    IF(BO8-Uzman_D!$M$8&lt;0, -(BO8-Uzman_D!$M$8), BO8-Uzman_D!$M$8)*1
)</f>
        <v>-0.20000000000000018</v>
      </c>
      <c r="BQ8" s="74">
        <f t="shared" si="0"/>
        <v>-0.54000000000000026</v>
      </c>
    </row>
    <row r="9" spans="1:69" ht="15" customHeight="1" x14ac:dyDescent="0.2">
      <c r="A9" s="57">
        <v>6</v>
      </c>
      <c r="B9" s="29">
        <f>Hakemler!B9</f>
        <v>0</v>
      </c>
      <c r="C9" s="29">
        <f>Hakemler!C9</f>
        <v>0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2"/>
      <c r="O9" s="72"/>
      <c r="P9" s="73">
        <f>1 - (
    SUM(
        IF(D9-Uzman_D!$B$4&lt;0, -(D9-Uzman_D!$B$4), D9-Uzman_D!$B$4)*0.1 +
        IF(E9-Uzman_D!$C$4&lt;0, -(E9-Uzman_D!$C$4), E9-Uzman_D!$C$4)*0.1 +
        IF(F9-Uzman_D!$D$4&lt;0, -(F9-Uzman_D!$D$4), F9-Uzman_D!$D$4)*0.1 +
        IF(G9-Uzman_D!$E$4&lt;0, -(G9-Uzman_D!$E$4), G9-Uzman_D!$E$4)*0.1 +
        IF(H9-Uzman_D!$F$4&lt;0, -(H9-Uzman_D!$F$4), H9-Uzman_D!$F$4)*0.1 +
        IF(I9-Uzman_D!$G$4&lt;0, -(I9-Uzman_D!$G$4), I9-Uzman_D!$G$4)*0.1 +
        IF(J9-Uzman_D!$H$4&lt;0, -(J9-Uzman_D!$H$4), J9-Uzman_D!$H$4)*0.1 +
        IF(K9-Uzman_D!$I$4&lt;0, -(K9-Uzman_D!$I$4), K9-Uzman_D!$I$4)*0.1 +
        IF(L9-Uzman_D!$J$4&lt;0, -(L9-Uzman_D!$J$4), L9-Uzman_D!$J$4)*0.1
    ) +
    IF(ROUND((IF(N9-Uzman_D!$L$4&lt;0, -(N9-Uzman_D!$L$4), N9-Uzman_D!$L$4)*2),0)/2 = IF(N9-Uzman_D!$L$4&lt;0, -(N9-Uzman_D!$L$4), N9-Uzman_D!$L$4),
    (ROUND((IF(N9-Uzman_D!$L$4&lt;0, -(N9-Uzman_D!$L$4), N9-Uzman_D!$L$4)*2),0)/1 * 0.1), 0) +
    IF(O9-Uzman_D!$M$4&lt;0, -(O9-Uzman_D!$M$4), O9-Uzman_D!$M$4)*1
)</f>
        <v>-0.90000000000000013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2"/>
      <c r="AB9" s="72"/>
      <c r="AC9" s="73">
        <f>1 - (
    SUM(
        IF(Q9-Uzman_D!$B$5&lt;0, -(Q9-Uzman_D!$B$5), Q9-Uzman_D!$B$5)*0.1 +
        IF(R9-Uzman_D!$C$5&lt;0, -(R9-Uzman_D!$C$5), R9-Uzman_D!$C$5)*0.1 +
        IF(S9-Uzman_D!$D$5&lt;0, -(S9-Uzman_D!$D$5), S9-Uzman_D!$D$5)*0.1 +
        IF(T9-Uzman_D!$E$5&lt;0, -(T9-Uzman_D!$E$5), T9-Uzman_D!$E$5)*0.1 +
        IF(U9-Uzman_D!$F$5&lt;0, -(U9-Uzman_D!$F$5), U9-Uzman_D!$F$5)*0.1 +
        IF(V9-Uzman_D!$G$5&lt;0, -(V9-Uzman_D!$G$5), V9-Uzman_D!$G$5)*0.1 +
        IF(W9-Uzman_D!$H$5&lt;0, -(W9-Uzman_D!$H$5), W9-Uzman_D!$H$5)*0.1 +
        IF(X9-Uzman_D!$I$5&lt;0, -(X9-Uzman_D!$I$5), X9-Uzman_D!$I$5)*0.1 +
        IF(Y9-Uzman_D!$J$5&lt;0, -(Y9-Uzman_D!$J$5), Y9-Uzman_D!$J$5)*0.1
    ) +
    IF(ROUND((IF(AA9-Uzman_D!$L$5&lt;0, -(AA9-Uzman_D!$L$5), AA9-Uzman_D!$L$5)*2),0)/2 = IF(AA9-Uzman_D!$L$5&lt;0, -(AA9-Uzman_D!$L$5), AA9-Uzman_D!$L$5),
    (ROUND((IF(AA9-Uzman_D!$L$5&lt;0, -(AA9-Uzman_D!$L$5), AA9-Uzman_D!$L$5)*2),0)/1 * 0.1), 0) +
    IF(AB9-Uzman_D!$M$5&lt;0, -(AB9-Uzman_D!$M$5), AB9-Uzman_D!$M$5)*1
)</f>
        <v>-0.50000000000000022</v>
      </c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2"/>
      <c r="AO9" s="72"/>
      <c r="AP9" s="73">
        <f>1 - (
    SUM(
        IF(AD9-Uzman_D!$B$6&lt;0, -(AD9-Uzman_D!$B$6), AD9-Uzman_D!$B$6)*0.1 +
        IF(AE9-Uzman_D!$C$6&lt;0, -(AE9-Uzman_D!$C$6), AE9-Uzman_D!$C$6)*0.1 +
        IF(AF9-Uzman_D!$D$6&lt;0, -(AF9-Uzman_D!$D$6), AF9-Uzman_D!$D$6)*0.1 +
        IF(AG9-Uzman_D!$E$6&lt;0, -(AG9-Uzman_D!$E$6), AG9-Uzman_D!$E$6)*0.1 +
        IF(AH9-Uzman_D!$F$6&lt;0, -(AH9-Uzman_D!$F$6), AH9-Uzman_D!$F$6)*0.1 +
        IF(AI9-Uzman_D!$G$6&lt;0, -(AI9-Uzman_D!$G$6), AI9-Uzman_D!$G$6)*0.1 +
        IF(AJ9-Uzman_D!$H$6&lt;0, -(AJ9-Uzman_D!$H$6), AJ9-Uzman_D!$H$6)*0.1 +
        IF(AK9-Uzman_D!$I$6&lt;0, -(AK9-Uzman_D!$I$6), AK9-Uzman_D!$I$6)*0.1 +
        IF(AL9-Uzman_D!$J$6&lt;0, -(AL9-Uzman_D!$J$6), AL9-Uzman_D!$J$6)*0.1
    ) +
    IF(ROUND((IF(AN9-Uzman_D!$L$6&lt;0, -(AN9-Uzman_D!$L$6), AN9-Uzman_D!$L$6)*2),0)/2 = IF(AN9-Uzman_D!$L$6&lt;0, -(AN9-Uzman_D!$L$6), AN9-Uzman_D!$L$6),
    (ROUND((IF(AN9-Uzman_D!$L$6&lt;0, -(AN9-Uzman_D!$L$6), AN9-Uzman_D!$L$6)*2),0)/1 * 0.1), 0) +
    IF(AO9-Uzman_D!$M$6&lt;0, -(AO9-Uzman_D!$M$6), AO9-Uzman_D!$M$6)*1
)</f>
        <v>-0.60000000000000009</v>
      </c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2"/>
      <c r="BB9" s="72"/>
      <c r="BC9" s="73">
        <f>1 - (
    SUM(
        IF(AQ9-Uzman_D!$B$7&lt;0, -(AQ9-Uzman_D!$B$7), AQ9-Uzman_D!$B$7)*0.1 +
        IF(AR9-Uzman_D!$C$7&lt;0, -(AR9-Uzman_D!$C$7), AR9-Uzman_D!$C$7)*0.1 +
        IF(AS9-Uzman_D!$D$7&lt;0, -(AS9-Uzman_D!$D$7), AS9-Uzman_D!$D$7)*0.1 +
        IF(AT9-Uzman_D!$E$7&lt;0, -(AT9-Uzman_D!$E$7), AT9-Uzman_D!$E$7)*0.1 +
        IF(AU9-Uzman_D!$F$7&lt;0, -(AU9-Uzman_D!$F$7), AU9-Uzman_D!$F$7)*0.1 +
        IF(AV9-Uzman_D!$G$7&lt;0, -(AV9-Uzman_D!$G$7), AV9-Uzman_D!$G$7)*0.1 +
        IF(AW9-Uzman_D!$H$7&lt;0, -(AW9-Uzman_D!$H$7), AW9-Uzman_D!$H$7)*0.1 +
        IF(AX9-Uzman_D!$I$7&lt;0, -(AX9-Uzman_D!$I$7), AX9-Uzman_D!$I$7)*0.1 +
        IF(AY9-Uzman_D!$J$7&lt;0, -(AY9-Uzman_D!$J$7), AY9-Uzman_D!$J$7)*0.1
    ) +
    IF(ROUND((IF(BA9-Uzman_D!$L$7&lt;0, -(BA9-Uzman_D!$L$7), BA9-Uzman_D!$L$7)*2),0)/2 = IF(BA9-Uzman_D!$L$7&lt;0, -(BA9-Uzman_D!$L$7), BA9-Uzman_D!$L$7),
    (ROUND((IF(BA9-Uzman_D!$L$7&lt;0, -(BA9-Uzman_D!$L$7), BA9-Uzman_D!$L$7)*2),0)/1 * 0.1), 0) +
    IF(BB9-Uzman_D!$M$7&lt;0, -(BB9-Uzman_D!$M$7), BB9-Uzman_D!$M$7)*1
)</f>
        <v>-0.50000000000000022</v>
      </c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2"/>
      <c r="BO9" s="72"/>
      <c r="BP9" s="73">
        <f>1 - (
    SUM(
        IF(BD9-Uzman_D!$B$8&lt;0, -(BD9-Uzman_D!$B$8), BD9-Uzman_D!$B$8)*0.1 +
        IF(BE9-Uzman_D!$C$8&lt;0, -(BE9-Uzman_D!$C$8), BE9-Uzman_D!$C$8)*0.1 +
        IF(BF9-Uzman_D!$D$8&lt;0, -(BF9-Uzman_D!$D$8), BF9-Uzman_D!$D$8)*0.1 +
        IF(BG9-Uzman_D!$E$8&lt;0, -(BG9-Uzman_D!$E$8), BG9-Uzman_D!$E$8)*0.1 +
        IF(BH9-Uzman_D!$F$8&lt;0, -(BH9-Uzman_D!$F$8), BH9-Uzman_D!$F$8)*0.1 +
        IF(BI9-Uzman_D!$G$8&lt;0, -(BI9-Uzman_D!$G$8), BI9-Uzman_D!$G$8)*0.1 +
        IF(BJ9-Uzman_D!$H$8&lt;0, -(BJ9-Uzman_D!$H$8), BJ9-Uzman_D!$H$8)*0.1 +
        IF(BK9-Uzman_D!$I$8&lt;0, -(BK9-Uzman_D!$I$8), BK9-Uzman_D!$I$8)*0.1 +
        IF(BL9-Uzman_D!$J$8&lt;0, -(BL9-Uzman_D!$J$8), BL9-Uzman_D!$J$8)*0.1
    ) +
    IF(ROUND((IF(BN9-Uzman_D!$L$8&lt;0, -(BN9-Uzman_D!$L$8), BN9-Uzman_D!$L$8)*2),0)/2 = IF(BN9-Uzman_D!$L$8&lt;0, -(BN9-Uzman_D!$L$8), BN9-Uzman_D!$L$8),
    (ROUND((IF(BN9-Uzman_D!$L$8&lt;0, -(BN9-Uzman_D!$L$8), BN9-Uzman_D!$L$8)*2),0)/1 * 0.1), 0) +
    IF(BO9-Uzman_D!$M$8&lt;0, -(BO9-Uzman_D!$M$8), BO9-Uzman_D!$M$8)*1
)</f>
        <v>-0.20000000000000018</v>
      </c>
      <c r="BQ9" s="74">
        <f t="shared" si="0"/>
        <v>-0.54000000000000026</v>
      </c>
    </row>
    <row r="10" spans="1:69" ht="15" customHeight="1" x14ac:dyDescent="0.2">
      <c r="A10" s="57">
        <v>7</v>
      </c>
      <c r="B10" s="29">
        <f>Hakemler!B10</f>
        <v>0</v>
      </c>
      <c r="C10" s="29">
        <f>Hakemler!C10</f>
        <v>0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2"/>
      <c r="O10" s="72"/>
      <c r="P10" s="73">
        <f>1 - (
    SUM(
        IF(D10-Uzman_D!$B$4&lt;0, -(D10-Uzman_D!$B$4), D10-Uzman_D!$B$4)*0.1 +
        IF(E10-Uzman_D!$C$4&lt;0, -(E10-Uzman_D!$C$4), E10-Uzman_D!$C$4)*0.1 +
        IF(F10-Uzman_D!$D$4&lt;0, -(F10-Uzman_D!$D$4), F10-Uzman_D!$D$4)*0.1 +
        IF(G10-Uzman_D!$E$4&lt;0, -(G10-Uzman_D!$E$4), G10-Uzman_D!$E$4)*0.1 +
        IF(H10-Uzman_D!$F$4&lt;0, -(H10-Uzman_D!$F$4), H10-Uzman_D!$F$4)*0.1 +
        IF(I10-Uzman_D!$G$4&lt;0, -(I10-Uzman_D!$G$4), I10-Uzman_D!$G$4)*0.1 +
        IF(J10-Uzman_D!$H$4&lt;0, -(J10-Uzman_D!$H$4), J10-Uzman_D!$H$4)*0.1 +
        IF(K10-Uzman_D!$I$4&lt;0, -(K10-Uzman_D!$I$4), K10-Uzman_D!$I$4)*0.1 +
        IF(L10-Uzman_D!$J$4&lt;0, -(L10-Uzman_D!$J$4), L10-Uzman_D!$J$4)*0.1
    ) +
    IF(ROUND((IF(N10-Uzman_D!$L$4&lt;0, -(N10-Uzman_D!$L$4), N10-Uzman_D!$L$4)*2),0)/2 = IF(N10-Uzman_D!$L$4&lt;0, -(N10-Uzman_D!$L$4), N10-Uzman_D!$L$4),
    (ROUND((IF(N10-Uzman_D!$L$4&lt;0, -(N10-Uzman_D!$L$4), N10-Uzman_D!$L$4)*2),0)/1 * 0.1), 0) +
    IF(O10-Uzman_D!$M$4&lt;0, -(O10-Uzman_D!$M$4), O10-Uzman_D!$M$4)*1
)</f>
        <v>-0.90000000000000013</v>
      </c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2"/>
      <c r="AB10" s="72"/>
      <c r="AC10" s="73">
        <f>1 - (
    SUM(
        IF(Q10-Uzman_D!$B$5&lt;0, -(Q10-Uzman_D!$B$5), Q10-Uzman_D!$B$5)*0.1 +
        IF(R10-Uzman_D!$C$5&lt;0, -(R10-Uzman_D!$C$5), R10-Uzman_D!$C$5)*0.1 +
        IF(S10-Uzman_D!$D$5&lt;0, -(S10-Uzman_D!$D$5), S10-Uzman_D!$D$5)*0.1 +
        IF(T10-Uzman_D!$E$5&lt;0, -(T10-Uzman_D!$E$5), T10-Uzman_D!$E$5)*0.1 +
        IF(U10-Uzman_D!$F$5&lt;0, -(U10-Uzman_D!$F$5), U10-Uzman_D!$F$5)*0.1 +
        IF(V10-Uzman_D!$G$5&lt;0, -(V10-Uzman_D!$G$5), V10-Uzman_D!$G$5)*0.1 +
        IF(W10-Uzman_D!$H$5&lt;0, -(W10-Uzman_D!$H$5), W10-Uzman_D!$H$5)*0.1 +
        IF(X10-Uzman_D!$I$5&lt;0, -(X10-Uzman_D!$I$5), X10-Uzman_D!$I$5)*0.1 +
        IF(Y10-Uzman_D!$J$5&lt;0, -(Y10-Uzman_D!$J$5), Y10-Uzman_D!$J$5)*0.1
    ) +
    IF(ROUND((IF(AA10-Uzman_D!$L$5&lt;0, -(AA10-Uzman_D!$L$5), AA10-Uzman_D!$L$5)*2),0)/2 = IF(AA10-Uzman_D!$L$5&lt;0, -(AA10-Uzman_D!$L$5), AA10-Uzman_D!$L$5),
    (ROUND((IF(AA10-Uzman_D!$L$5&lt;0, -(AA10-Uzman_D!$L$5), AA10-Uzman_D!$L$5)*2),0)/1 * 0.1), 0) +
    IF(AB10-Uzman_D!$M$5&lt;0, -(AB10-Uzman_D!$M$5), AB10-Uzman_D!$M$5)*1
)</f>
        <v>-0.50000000000000022</v>
      </c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2"/>
      <c r="AO10" s="72"/>
      <c r="AP10" s="73">
        <f>1 - (
    SUM(
        IF(AD10-Uzman_D!$B$6&lt;0, -(AD10-Uzman_D!$B$6), AD10-Uzman_D!$B$6)*0.1 +
        IF(AE10-Uzman_D!$C$6&lt;0, -(AE10-Uzman_D!$C$6), AE10-Uzman_D!$C$6)*0.1 +
        IF(AF10-Uzman_D!$D$6&lt;0, -(AF10-Uzman_D!$D$6), AF10-Uzman_D!$D$6)*0.1 +
        IF(AG10-Uzman_D!$E$6&lt;0, -(AG10-Uzman_D!$E$6), AG10-Uzman_D!$E$6)*0.1 +
        IF(AH10-Uzman_D!$F$6&lt;0, -(AH10-Uzman_D!$F$6), AH10-Uzman_D!$F$6)*0.1 +
        IF(AI10-Uzman_D!$G$6&lt;0, -(AI10-Uzman_D!$G$6), AI10-Uzman_D!$G$6)*0.1 +
        IF(AJ10-Uzman_D!$H$6&lt;0, -(AJ10-Uzman_D!$H$6), AJ10-Uzman_D!$H$6)*0.1 +
        IF(AK10-Uzman_D!$I$6&lt;0, -(AK10-Uzman_D!$I$6), AK10-Uzman_D!$I$6)*0.1 +
        IF(AL10-Uzman_D!$J$6&lt;0, -(AL10-Uzman_D!$J$6), AL10-Uzman_D!$J$6)*0.1
    ) +
    IF(ROUND((IF(AN10-Uzman_D!$L$6&lt;0, -(AN10-Uzman_D!$L$6), AN10-Uzman_D!$L$6)*2),0)/2 = IF(AN10-Uzman_D!$L$6&lt;0, -(AN10-Uzman_D!$L$6), AN10-Uzman_D!$L$6),
    (ROUND((IF(AN10-Uzman_D!$L$6&lt;0, -(AN10-Uzman_D!$L$6), AN10-Uzman_D!$L$6)*2),0)/1 * 0.1), 0) +
    IF(AO10-Uzman_D!$M$6&lt;0, -(AO10-Uzman_D!$M$6), AO10-Uzman_D!$M$6)*1
)</f>
        <v>-0.60000000000000009</v>
      </c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2"/>
      <c r="BB10" s="72"/>
      <c r="BC10" s="73">
        <f>1 - (
    SUM(
        IF(AQ10-Uzman_D!$B$7&lt;0, -(AQ10-Uzman_D!$B$7), AQ10-Uzman_D!$B$7)*0.1 +
        IF(AR10-Uzman_D!$C$7&lt;0, -(AR10-Uzman_D!$C$7), AR10-Uzman_D!$C$7)*0.1 +
        IF(AS10-Uzman_D!$D$7&lt;0, -(AS10-Uzman_D!$D$7), AS10-Uzman_D!$D$7)*0.1 +
        IF(AT10-Uzman_D!$E$7&lt;0, -(AT10-Uzman_D!$E$7), AT10-Uzman_D!$E$7)*0.1 +
        IF(AU10-Uzman_D!$F$7&lt;0, -(AU10-Uzman_D!$F$7), AU10-Uzman_D!$F$7)*0.1 +
        IF(AV10-Uzman_D!$G$7&lt;0, -(AV10-Uzman_D!$G$7), AV10-Uzman_D!$G$7)*0.1 +
        IF(AW10-Uzman_D!$H$7&lt;0, -(AW10-Uzman_D!$H$7), AW10-Uzman_D!$H$7)*0.1 +
        IF(AX10-Uzman_D!$I$7&lt;0, -(AX10-Uzman_D!$I$7), AX10-Uzman_D!$I$7)*0.1 +
        IF(AY10-Uzman_D!$J$7&lt;0, -(AY10-Uzman_D!$J$7), AY10-Uzman_D!$J$7)*0.1
    ) +
    IF(ROUND((IF(BA10-Uzman_D!$L$7&lt;0, -(BA10-Uzman_D!$L$7), BA10-Uzman_D!$L$7)*2),0)/2 = IF(BA10-Uzman_D!$L$7&lt;0, -(BA10-Uzman_D!$L$7), BA10-Uzman_D!$L$7),
    (ROUND((IF(BA10-Uzman_D!$L$7&lt;0, -(BA10-Uzman_D!$L$7), BA10-Uzman_D!$L$7)*2),0)/1 * 0.1), 0) +
    IF(BB10-Uzman_D!$M$7&lt;0, -(BB10-Uzman_D!$M$7), BB10-Uzman_D!$M$7)*1
)</f>
        <v>-0.50000000000000022</v>
      </c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2"/>
      <c r="BO10" s="72"/>
      <c r="BP10" s="73">
        <f>1 - (
    SUM(
        IF(BD10-Uzman_D!$B$8&lt;0, -(BD10-Uzman_D!$B$8), BD10-Uzman_D!$B$8)*0.1 +
        IF(BE10-Uzman_D!$C$8&lt;0, -(BE10-Uzman_D!$C$8), BE10-Uzman_D!$C$8)*0.1 +
        IF(BF10-Uzman_D!$D$8&lt;0, -(BF10-Uzman_D!$D$8), BF10-Uzman_D!$D$8)*0.1 +
        IF(BG10-Uzman_D!$E$8&lt;0, -(BG10-Uzman_D!$E$8), BG10-Uzman_D!$E$8)*0.1 +
        IF(BH10-Uzman_D!$F$8&lt;0, -(BH10-Uzman_D!$F$8), BH10-Uzman_D!$F$8)*0.1 +
        IF(BI10-Uzman_D!$G$8&lt;0, -(BI10-Uzman_D!$G$8), BI10-Uzman_D!$G$8)*0.1 +
        IF(BJ10-Uzman_D!$H$8&lt;0, -(BJ10-Uzman_D!$H$8), BJ10-Uzman_D!$H$8)*0.1 +
        IF(BK10-Uzman_D!$I$8&lt;0, -(BK10-Uzman_D!$I$8), BK10-Uzman_D!$I$8)*0.1 +
        IF(BL10-Uzman_D!$J$8&lt;0, -(BL10-Uzman_D!$J$8), BL10-Uzman_D!$J$8)*0.1
    ) +
    IF(ROUND((IF(BN10-Uzman_D!$L$8&lt;0, -(BN10-Uzman_D!$L$8), BN10-Uzman_D!$L$8)*2),0)/2 = IF(BN10-Uzman_D!$L$8&lt;0, -(BN10-Uzman_D!$L$8), BN10-Uzman_D!$L$8),
    (ROUND((IF(BN10-Uzman_D!$L$8&lt;0, -(BN10-Uzman_D!$L$8), BN10-Uzman_D!$L$8)*2),0)/1 * 0.1), 0) +
    IF(BO10-Uzman_D!$M$8&lt;0, -(BO10-Uzman_D!$M$8), BO10-Uzman_D!$M$8)*1
)</f>
        <v>-0.20000000000000018</v>
      </c>
      <c r="BQ10" s="74">
        <f t="shared" si="0"/>
        <v>-0.54000000000000026</v>
      </c>
    </row>
    <row r="11" spans="1:69" ht="15" customHeight="1" x14ac:dyDescent="0.2">
      <c r="A11" s="57">
        <v>8</v>
      </c>
      <c r="B11" s="29">
        <f>Hakemler!B11</f>
        <v>0</v>
      </c>
      <c r="C11" s="29">
        <f>Hakemler!C11</f>
        <v>0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2"/>
      <c r="O11" s="72"/>
      <c r="P11" s="73">
        <f>1 - (
    SUM(
        IF(D11-Uzman_D!$B$4&lt;0, -(D11-Uzman_D!$B$4), D11-Uzman_D!$B$4)*0.1 +
        IF(E11-Uzman_D!$C$4&lt;0, -(E11-Uzman_D!$C$4), E11-Uzman_D!$C$4)*0.1 +
        IF(F11-Uzman_D!$D$4&lt;0, -(F11-Uzman_D!$D$4), F11-Uzman_D!$D$4)*0.1 +
        IF(G11-Uzman_D!$E$4&lt;0, -(G11-Uzman_D!$E$4), G11-Uzman_D!$E$4)*0.1 +
        IF(H11-Uzman_D!$F$4&lt;0, -(H11-Uzman_D!$F$4), H11-Uzman_D!$F$4)*0.1 +
        IF(I11-Uzman_D!$G$4&lt;0, -(I11-Uzman_D!$G$4), I11-Uzman_D!$G$4)*0.1 +
        IF(J11-Uzman_D!$H$4&lt;0, -(J11-Uzman_D!$H$4), J11-Uzman_D!$H$4)*0.1 +
        IF(K11-Uzman_D!$I$4&lt;0, -(K11-Uzman_D!$I$4), K11-Uzman_D!$I$4)*0.1 +
        IF(L11-Uzman_D!$J$4&lt;0, -(L11-Uzman_D!$J$4), L11-Uzman_D!$J$4)*0.1
    ) +
    IF(ROUND((IF(N11-Uzman_D!$L$4&lt;0, -(N11-Uzman_D!$L$4), N11-Uzman_D!$L$4)*2),0)/2 = IF(N11-Uzman_D!$L$4&lt;0, -(N11-Uzman_D!$L$4), N11-Uzman_D!$L$4),
    (ROUND((IF(N11-Uzman_D!$L$4&lt;0, -(N11-Uzman_D!$L$4), N11-Uzman_D!$L$4)*2),0)/1 * 0.1), 0) +
    IF(O11-Uzman_D!$M$4&lt;0, -(O11-Uzman_D!$M$4), O11-Uzman_D!$M$4)*1
)</f>
        <v>-0.90000000000000013</v>
      </c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2"/>
      <c r="AB11" s="72"/>
      <c r="AC11" s="73">
        <f>1 - (
    SUM(
        IF(Q11-Uzman_D!$B$5&lt;0, -(Q11-Uzman_D!$B$5), Q11-Uzman_D!$B$5)*0.1 +
        IF(R11-Uzman_D!$C$5&lt;0, -(R11-Uzman_D!$C$5), R11-Uzman_D!$C$5)*0.1 +
        IF(S11-Uzman_D!$D$5&lt;0, -(S11-Uzman_D!$D$5), S11-Uzman_D!$D$5)*0.1 +
        IF(T11-Uzman_D!$E$5&lt;0, -(T11-Uzman_D!$E$5), T11-Uzman_D!$E$5)*0.1 +
        IF(U11-Uzman_D!$F$5&lt;0, -(U11-Uzman_D!$F$5), U11-Uzman_D!$F$5)*0.1 +
        IF(V11-Uzman_D!$G$5&lt;0, -(V11-Uzman_D!$G$5), V11-Uzman_D!$G$5)*0.1 +
        IF(W11-Uzman_D!$H$5&lt;0, -(W11-Uzman_D!$H$5), W11-Uzman_D!$H$5)*0.1 +
        IF(X11-Uzman_D!$I$5&lt;0, -(X11-Uzman_D!$I$5), X11-Uzman_D!$I$5)*0.1 +
        IF(Y11-Uzman_D!$J$5&lt;0, -(Y11-Uzman_D!$J$5), Y11-Uzman_D!$J$5)*0.1
    ) +
    IF(ROUND((IF(AA11-Uzman_D!$L$5&lt;0, -(AA11-Uzman_D!$L$5), AA11-Uzman_D!$L$5)*2),0)/2 = IF(AA11-Uzman_D!$L$5&lt;0, -(AA11-Uzman_D!$L$5), AA11-Uzman_D!$L$5),
    (ROUND((IF(AA11-Uzman_D!$L$5&lt;0, -(AA11-Uzman_D!$L$5), AA11-Uzman_D!$L$5)*2),0)/1 * 0.1), 0) +
    IF(AB11-Uzman_D!$M$5&lt;0, -(AB11-Uzman_D!$M$5), AB11-Uzman_D!$M$5)*1
)</f>
        <v>-0.50000000000000022</v>
      </c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2"/>
      <c r="AO11" s="72"/>
      <c r="AP11" s="73">
        <f>1 - (
    SUM(
        IF(AD11-Uzman_D!$B$6&lt;0, -(AD11-Uzman_D!$B$6), AD11-Uzman_D!$B$6)*0.1 +
        IF(AE11-Uzman_D!$C$6&lt;0, -(AE11-Uzman_D!$C$6), AE11-Uzman_D!$C$6)*0.1 +
        IF(AF11-Uzman_D!$D$6&lt;0, -(AF11-Uzman_D!$D$6), AF11-Uzman_D!$D$6)*0.1 +
        IF(AG11-Uzman_D!$E$6&lt;0, -(AG11-Uzman_D!$E$6), AG11-Uzman_D!$E$6)*0.1 +
        IF(AH11-Uzman_D!$F$6&lt;0, -(AH11-Uzman_D!$F$6), AH11-Uzman_D!$F$6)*0.1 +
        IF(AI11-Uzman_D!$G$6&lt;0, -(AI11-Uzman_D!$G$6), AI11-Uzman_D!$G$6)*0.1 +
        IF(AJ11-Uzman_D!$H$6&lt;0, -(AJ11-Uzman_D!$H$6), AJ11-Uzman_D!$H$6)*0.1 +
        IF(AK11-Uzman_D!$I$6&lt;0, -(AK11-Uzman_D!$I$6), AK11-Uzman_D!$I$6)*0.1 +
        IF(AL11-Uzman_D!$J$6&lt;0, -(AL11-Uzman_D!$J$6), AL11-Uzman_D!$J$6)*0.1
    ) +
    IF(ROUND((IF(AN11-Uzman_D!$L$6&lt;0, -(AN11-Uzman_D!$L$6), AN11-Uzman_D!$L$6)*2),0)/2 = IF(AN11-Uzman_D!$L$6&lt;0, -(AN11-Uzman_D!$L$6), AN11-Uzman_D!$L$6),
    (ROUND((IF(AN11-Uzman_D!$L$6&lt;0, -(AN11-Uzman_D!$L$6), AN11-Uzman_D!$L$6)*2),0)/1 * 0.1), 0) +
    IF(AO11-Uzman_D!$M$6&lt;0, -(AO11-Uzman_D!$M$6), AO11-Uzman_D!$M$6)*1
)</f>
        <v>-0.60000000000000009</v>
      </c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2"/>
      <c r="BB11" s="72"/>
      <c r="BC11" s="73">
        <f>1 - (
    SUM(
        IF(AQ11-Uzman_D!$B$7&lt;0, -(AQ11-Uzman_D!$B$7), AQ11-Uzman_D!$B$7)*0.1 +
        IF(AR11-Uzman_D!$C$7&lt;0, -(AR11-Uzman_D!$C$7), AR11-Uzman_D!$C$7)*0.1 +
        IF(AS11-Uzman_D!$D$7&lt;0, -(AS11-Uzman_D!$D$7), AS11-Uzman_D!$D$7)*0.1 +
        IF(AT11-Uzman_D!$E$7&lt;0, -(AT11-Uzman_D!$E$7), AT11-Uzman_D!$E$7)*0.1 +
        IF(AU11-Uzman_D!$F$7&lt;0, -(AU11-Uzman_D!$F$7), AU11-Uzman_D!$F$7)*0.1 +
        IF(AV11-Uzman_D!$G$7&lt;0, -(AV11-Uzman_D!$G$7), AV11-Uzman_D!$G$7)*0.1 +
        IF(AW11-Uzman_D!$H$7&lt;0, -(AW11-Uzman_D!$H$7), AW11-Uzman_D!$H$7)*0.1 +
        IF(AX11-Uzman_D!$I$7&lt;0, -(AX11-Uzman_D!$I$7), AX11-Uzman_D!$I$7)*0.1 +
        IF(AY11-Uzman_D!$J$7&lt;0, -(AY11-Uzman_D!$J$7), AY11-Uzman_D!$J$7)*0.1
    ) +
    IF(ROUND((IF(BA11-Uzman_D!$L$7&lt;0, -(BA11-Uzman_D!$L$7), BA11-Uzman_D!$L$7)*2),0)/2 = IF(BA11-Uzman_D!$L$7&lt;0, -(BA11-Uzman_D!$L$7), BA11-Uzman_D!$L$7),
    (ROUND((IF(BA11-Uzman_D!$L$7&lt;0, -(BA11-Uzman_D!$L$7), BA11-Uzman_D!$L$7)*2),0)/1 * 0.1), 0) +
    IF(BB11-Uzman_D!$M$7&lt;0, -(BB11-Uzman_D!$M$7), BB11-Uzman_D!$M$7)*1
)</f>
        <v>-0.50000000000000022</v>
      </c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2"/>
      <c r="BO11" s="72"/>
      <c r="BP11" s="73">
        <f>1 - (
    SUM(
        IF(BD11-Uzman_D!$B$8&lt;0, -(BD11-Uzman_D!$B$8), BD11-Uzman_D!$B$8)*0.1 +
        IF(BE11-Uzman_D!$C$8&lt;0, -(BE11-Uzman_D!$C$8), BE11-Uzman_D!$C$8)*0.1 +
        IF(BF11-Uzman_D!$D$8&lt;0, -(BF11-Uzman_D!$D$8), BF11-Uzman_D!$D$8)*0.1 +
        IF(BG11-Uzman_D!$E$8&lt;0, -(BG11-Uzman_D!$E$8), BG11-Uzman_D!$E$8)*0.1 +
        IF(BH11-Uzman_D!$F$8&lt;0, -(BH11-Uzman_D!$F$8), BH11-Uzman_D!$F$8)*0.1 +
        IF(BI11-Uzman_D!$G$8&lt;0, -(BI11-Uzman_D!$G$8), BI11-Uzman_D!$G$8)*0.1 +
        IF(BJ11-Uzman_D!$H$8&lt;0, -(BJ11-Uzman_D!$H$8), BJ11-Uzman_D!$H$8)*0.1 +
        IF(BK11-Uzman_D!$I$8&lt;0, -(BK11-Uzman_D!$I$8), BK11-Uzman_D!$I$8)*0.1 +
        IF(BL11-Uzman_D!$J$8&lt;0, -(BL11-Uzman_D!$J$8), BL11-Uzman_D!$J$8)*0.1
    ) +
    IF(ROUND((IF(BN11-Uzman_D!$L$8&lt;0, -(BN11-Uzman_D!$L$8), BN11-Uzman_D!$L$8)*2),0)/2 = IF(BN11-Uzman_D!$L$8&lt;0, -(BN11-Uzman_D!$L$8), BN11-Uzman_D!$L$8),
    (ROUND((IF(BN11-Uzman_D!$L$8&lt;0, -(BN11-Uzman_D!$L$8), BN11-Uzman_D!$L$8)*2),0)/1 * 0.1), 0) +
    IF(BO11-Uzman_D!$M$8&lt;0, -(BO11-Uzman_D!$M$8), BO11-Uzman_D!$M$8)*1
)</f>
        <v>-0.20000000000000018</v>
      </c>
      <c r="BQ11" s="74">
        <f t="shared" si="0"/>
        <v>-0.54000000000000026</v>
      </c>
    </row>
    <row r="12" spans="1:69" ht="15" customHeight="1" x14ac:dyDescent="0.2">
      <c r="A12" s="57">
        <v>9</v>
      </c>
      <c r="B12" s="29">
        <f>Hakemler!B12</f>
        <v>0</v>
      </c>
      <c r="C12" s="29">
        <f>Hakemler!C12</f>
        <v>0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2"/>
      <c r="O12" s="72"/>
      <c r="P12" s="73">
        <f>1 - (
    SUM(
        IF(D12-Uzman_D!$B$4&lt;0, -(D12-Uzman_D!$B$4), D12-Uzman_D!$B$4)*0.1 +
        IF(E12-Uzman_D!$C$4&lt;0, -(E12-Uzman_D!$C$4), E12-Uzman_D!$C$4)*0.1 +
        IF(F12-Uzman_D!$D$4&lt;0, -(F12-Uzman_D!$D$4), F12-Uzman_D!$D$4)*0.1 +
        IF(G12-Uzman_D!$E$4&lt;0, -(G12-Uzman_D!$E$4), G12-Uzman_D!$E$4)*0.1 +
        IF(H12-Uzman_D!$F$4&lt;0, -(H12-Uzman_D!$F$4), H12-Uzman_D!$F$4)*0.1 +
        IF(I12-Uzman_D!$G$4&lt;0, -(I12-Uzman_D!$G$4), I12-Uzman_D!$G$4)*0.1 +
        IF(J12-Uzman_D!$H$4&lt;0, -(J12-Uzman_D!$H$4), J12-Uzman_D!$H$4)*0.1 +
        IF(K12-Uzman_D!$I$4&lt;0, -(K12-Uzman_D!$I$4), K12-Uzman_D!$I$4)*0.1 +
        IF(L12-Uzman_D!$J$4&lt;0, -(L12-Uzman_D!$J$4), L12-Uzman_D!$J$4)*0.1
    ) +
    IF(ROUND((IF(N12-Uzman_D!$L$4&lt;0, -(N12-Uzman_D!$L$4), N12-Uzman_D!$L$4)*2),0)/2 = IF(N12-Uzman_D!$L$4&lt;0, -(N12-Uzman_D!$L$4), N12-Uzman_D!$L$4),
    (ROUND((IF(N12-Uzman_D!$L$4&lt;0, -(N12-Uzman_D!$L$4), N12-Uzman_D!$L$4)*2),0)/1 * 0.1), 0) +
    IF(O12-Uzman_D!$M$4&lt;0, -(O12-Uzman_D!$M$4), O12-Uzman_D!$M$4)*1
)</f>
        <v>-0.90000000000000013</v>
      </c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2"/>
      <c r="AB12" s="72"/>
      <c r="AC12" s="73">
        <f>1 - (
    SUM(
        IF(Q12-Uzman_D!$B$5&lt;0, -(Q12-Uzman_D!$B$5), Q12-Uzman_D!$B$5)*0.1 +
        IF(R12-Uzman_D!$C$5&lt;0, -(R12-Uzman_D!$C$5), R12-Uzman_D!$C$5)*0.1 +
        IF(S12-Uzman_D!$D$5&lt;0, -(S12-Uzman_D!$D$5), S12-Uzman_D!$D$5)*0.1 +
        IF(T12-Uzman_D!$E$5&lt;0, -(T12-Uzman_D!$E$5), T12-Uzman_D!$E$5)*0.1 +
        IF(U12-Uzman_D!$F$5&lt;0, -(U12-Uzman_D!$F$5), U12-Uzman_D!$F$5)*0.1 +
        IF(V12-Uzman_D!$G$5&lt;0, -(V12-Uzman_D!$G$5), V12-Uzman_D!$G$5)*0.1 +
        IF(W12-Uzman_D!$H$5&lt;0, -(W12-Uzman_D!$H$5), W12-Uzman_D!$H$5)*0.1 +
        IF(X12-Uzman_D!$I$5&lt;0, -(X12-Uzman_D!$I$5), X12-Uzman_D!$I$5)*0.1 +
        IF(Y12-Uzman_D!$J$5&lt;0, -(Y12-Uzman_D!$J$5), Y12-Uzman_D!$J$5)*0.1
    ) +
    IF(ROUND((IF(AA12-Uzman_D!$L$5&lt;0, -(AA12-Uzman_D!$L$5), AA12-Uzman_D!$L$5)*2),0)/2 = IF(AA12-Uzman_D!$L$5&lt;0, -(AA12-Uzman_D!$L$5), AA12-Uzman_D!$L$5),
    (ROUND((IF(AA12-Uzman_D!$L$5&lt;0, -(AA12-Uzman_D!$L$5), AA12-Uzman_D!$L$5)*2),0)/1 * 0.1), 0) +
    IF(AB12-Uzman_D!$M$5&lt;0, -(AB12-Uzman_D!$M$5), AB12-Uzman_D!$M$5)*1
)</f>
        <v>-0.50000000000000022</v>
      </c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2"/>
      <c r="AO12" s="72"/>
      <c r="AP12" s="73">
        <f>1 - (
    SUM(
        IF(AD12-Uzman_D!$B$6&lt;0, -(AD12-Uzman_D!$B$6), AD12-Uzman_D!$B$6)*0.1 +
        IF(AE12-Uzman_D!$C$6&lt;0, -(AE12-Uzman_D!$C$6), AE12-Uzman_D!$C$6)*0.1 +
        IF(AF12-Uzman_D!$D$6&lt;0, -(AF12-Uzman_D!$D$6), AF12-Uzman_D!$D$6)*0.1 +
        IF(AG12-Uzman_D!$E$6&lt;0, -(AG12-Uzman_D!$E$6), AG12-Uzman_D!$E$6)*0.1 +
        IF(AH12-Uzman_D!$F$6&lt;0, -(AH12-Uzman_D!$F$6), AH12-Uzman_D!$F$6)*0.1 +
        IF(AI12-Uzman_D!$G$6&lt;0, -(AI12-Uzman_D!$G$6), AI12-Uzman_D!$G$6)*0.1 +
        IF(AJ12-Uzman_D!$H$6&lt;0, -(AJ12-Uzman_D!$H$6), AJ12-Uzman_D!$H$6)*0.1 +
        IF(AK12-Uzman_D!$I$6&lt;0, -(AK12-Uzman_D!$I$6), AK12-Uzman_D!$I$6)*0.1 +
        IF(AL12-Uzman_D!$J$6&lt;0, -(AL12-Uzman_D!$J$6), AL12-Uzman_D!$J$6)*0.1
    ) +
    IF(ROUND((IF(AN12-Uzman_D!$L$6&lt;0, -(AN12-Uzman_D!$L$6), AN12-Uzman_D!$L$6)*2),0)/2 = IF(AN12-Uzman_D!$L$6&lt;0, -(AN12-Uzman_D!$L$6), AN12-Uzman_D!$L$6),
    (ROUND((IF(AN12-Uzman_D!$L$6&lt;0, -(AN12-Uzman_D!$L$6), AN12-Uzman_D!$L$6)*2),0)/1 * 0.1), 0) +
    IF(AO12-Uzman_D!$M$6&lt;0, -(AO12-Uzman_D!$M$6), AO12-Uzman_D!$M$6)*1
)</f>
        <v>-0.60000000000000009</v>
      </c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2"/>
      <c r="BB12" s="72"/>
      <c r="BC12" s="73">
        <f>1 - (
    SUM(
        IF(AQ12-Uzman_D!$B$7&lt;0, -(AQ12-Uzman_D!$B$7), AQ12-Uzman_D!$B$7)*0.1 +
        IF(AR12-Uzman_D!$C$7&lt;0, -(AR12-Uzman_D!$C$7), AR12-Uzman_D!$C$7)*0.1 +
        IF(AS12-Uzman_D!$D$7&lt;0, -(AS12-Uzman_D!$D$7), AS12-Uzman_D!$D$7)*0.1 +
        IF(AT12-Uzman_D!$E$7&lt;0, -(AT12-Uzman_D!$E$7), AT12-Uzman_D!$E$7)*0.1 +
        IF(AU12-Uzman_D!$F$7&lt;0, -(AU12-Uzman_D!$F$7), AU12-Uzman_D!$F$7)*0.1 +
        IF(AV12-Uzman_D!$G$7&lt;0, -(AV12-Uzman_D!$G$7), AV12-Uzman_D!$G$7)*0.1 +
        IF(AW12-Uzman_D!$H$7&lt;0, -(AW12-Uzman_D!$H$7), AW12-Uzman_D!$H$7)*0.1 +
        IF(AX12-Uzman_D!$I$7&lt;0, -(AX12-Uzman_D!$I$7), AX12-Uzman_D!$I$7)*0.1 +
        IF(AY12-Uzman_D!$J$7&lt;0, -(AY12-Uzman_D!$J$7), AY12-Uzman_D!$J$7)*0.1
    ) +
    IF(ROUND((IF(BA12-Uzman_D!$L$7&lt;0, -(BA12-Uzman_D!$L$7), BA12-Uzman_D!$L$7)*2),0)/2 = IF(BA12-Uzman_D!$L$7&lt;0, -(BA12-Uzman_D!$L$7), BA12-Uzman_D!$L$7),
    (ROUND((IF(BA12-Uzman_D!$L$7&lt;0, -(BA12-Uzman_D!$L$7), BA12-Uzman_D!$L$7)*2),0)/1 * 0.1), 0) +
    IF(BB12-Uzman_D!$M$7&lt;0, -(BB12-Uzman_D!$M$7), BB12-Uzman_D!$M$7)*1
)</f>
        <v>-0.50000000000000022</v>
      </c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2"/>
      <c r="BO12" s="72"/>
      <c r="BP12" s="73">
        <f>1 - (
    SUM(
        IF(BD12-Uzman_D!$B$8&lt;0, -(BD12-Uzman_D!$B$8), BD12-Uzman_D!$B$8)*0.1 +
        IF(BE12-Uzman_D!$C$8&lt;0, -(BE12-Uzman_D!$C$8), BE12-Uzman_D!$C$8)*0.1 +
        IF(BF12-Uzman_D!$D$8&lt;0, -(BF12-Uzman_D!$D$8), BF12-Uzman_D!$D$8)*0.1 +
        IF(BG12-Uzman_D!$E$8&lt;0, -(BG12-Uzman_D!$E$8), BG12-Uzman_D!$E$8)*0.1 +
        IF(BH12-Uzman_D!$F$8&lt;0, -(BH12-Uzman_D!$F$8), BH12-Uzman_D!$F$8)*0.1 +
        IF(BI12-Uzman_D!$G$8&lt;0, -(BI12-Uzman_D!$G$8), BI12-Uzman_D!$G$8)*0.1 +
        IF(BJ12-Uzman_D!$H$8&lt;0, -(BJ12-Uzman_D!$H$8), BJ12-Uzman_D!$H$8)*0.1 +
        IF(BK12-Uzman_D!$I$8&lt;0, -(BK12-Uzman_D!$I$8), BK12-Uzman_D!$I$8)*0.1 +
        IF(BL12-Uzman_D!$J$8&lt;0, -(BL12-Uzman_D!$J$8), BL12-Uzman_D!$J$8)*0.1
    ) +
    IF(ROUND((IF(BN12-Uzman_D!$L$8&lt;0, -(BN12-Uzman_D!$L$8), BN12-Uzman_D!$L$8)*2),0)/2 = IF(BN12-Uzman_D!$L$8&lt;0, -(BN12-Uzman_D!$L$8), BN12-Uzman_D!$L$8),
    (ROUND((IF(BN12-Uzman_D!$L$8&lt;0, -(BN12-Uzman_D!$L$8), BN12-Uzman_D!$L$8)*2),0)/1 * 0.1), 0) +
    IF(BO12-Uzman_D!$M$8&lt;0, -(BO12-Uzman_D!$M$8), BO12-Uzman_D!$M$8)*1
)</f>
        <v>-0.20000000000000018</v>
      </c>
      <c r="BQ12" s="74">
        <f t="shared" si="0"/>
        <v>-0.54000000000000026</v>
      </c>
    </row>
    <row r="13" spans="1:69" ht="15" customHeight="1" x14ac:dyDescent="0.2">
      <c r="A13" s="57">
        <v>10</v>
      </c>
      <c r="B13" s="29">
        <f>Hakemler!B13</f>
        <v>0</v>
      </c>
      <c r="C13" s="29">
        <f>Hakemler!C13</f>
        <v>0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2"/>
      <c r="O13" s="72"/>
      <c r="P13" s="73">
        <f>1 - (
    SUM(
        IF(D13-Uzman_D!$B$4&lt;0, -(D13-Uzman_D!$B$4), D13-Uzman_D!$B$4)*0.1 +
        IF(E13-Uzman_D!$C$4&lt;0, -(E13-Uzman_D!$C$4), E13-Uzman_D!$C$4)*0.1 +
        IF(F13-Uzman_D!$D$4&lt;0, -(F13-Uzman_D!$D$4), F13-Uzman_D!$D$4)*0.1 +
        IF(G13-Uzman_D!$E$4&lt;0, -(G13-Uzman_D!$E$4), G13-Uzman_D!$E$4)*0.1 +
        IF(H13-Uzman_D!$F$4&lt;0, -(H13-Uzman_D!$F$4), H13-Uzman_D!$F$4)*0.1 +
        IF(I13-Uzman_D!$G$4&lt;0, -(I13-Uzman_D!$G$4), I13-Uzman_D!$G$4)*0.1 +
        IF(J13-Uzman_D!$H$4&lt;0, -(J13-Uzman_D!$H$4), J13-Uzman_D!$H$4)*0.1 +
        IF(K13-Uzman_D!$I$4&lt;0, -(K13-Uzman_D!$I$4), K13-Uzman_D!$I$4)*0.1 +
        IF(L13-Uzman_D!$J$4&lt;0, -(L13-Uzman_D!$J$4), L13-Uzman_D!$J$4)*0.1
    ) +
    IF(ROUND((IF(N13-Uzman_D!$L$4&lt;0, -(N13-Uzman_D!$L$4), N13-Uzman_D!$L$4)*2),0)/2 = IF(N13-Uzman_D!$L$4&lt;0, -(N13-Uzman_D!$L$4), N13-Uzman_D!$L$4),
    (ROUND((IF(N13-Uzman_D!$L$4&lt;0, -(N13-Uzman_D!$L$4), N13-Uzman_D!$L$4)*2),0)/1 * 0.1), 0) +
    IF(O13-Uzman_D!$M$4&lt;0, -(O13-Uzman_D!$M$4), O13-Uzman_D!$M$4)*1
)</f>
        <v>-0.90000000000000013</v>
      </c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2"/>
      <c r="AB13" s="72"/>
      <c r="AC13" s="73">
        <f>1 - (
    SUM(
        IF(Q13-Uzman_D!$B$5&lt;0, -(Q13-Uzman_D!$B$5), Q13-Uzman_D!$B$5)*0.1 +
        IF(R13-Uzman_D!$C$5&lt;0, -(R13-Uzman_D!$C$5), R13-Uzman_D!$C$5)*0.1 +
        IF(S13-Uzman_D!$D$5&lt;0, -(S13-Uzman_D!$D$5), S13-Uzman_D!$D$5)*0.1 +
        IF(T13-Uzman_D!$E$5&lt;0, -(T13-Uzman_D!$E$5), T13-Uzman_D!$E$5)*0.1 +
        IF(U13-Uzman_D!$F$5&lt;0, -(U13-Uzman_D!$F$5), U13-Uzman_D!$F$5)*0.1 +
        IF(V13-Uzman_D!$G$5&lt;0, -(V13-Uzman_D!$G$5), V13-Uzman_D!$G$5)*0.1 +
        IF(W13-Uzman_D!$H$5&lt;0, -(W13-Uzman_D!$H$5), W13-Uzman_D!$H$5)*0.1 +
        IF(X13-Uzman_D!$I$5&lt;0, -(X13-Uzman_D!$I$5), X13-Uzman_D!$I$5)*0.1 +
        IF(Y13-Uzman_D!$J$5&lt;0, -(Y13-Uzman_D!$J$5), Y13-Uzman_D!$J$5)*0.1
    ) +
    IF(ROUND((IF(AA13-Uzman_D!$L$5&lt;0, -(AA13-Uzman_D!$L$5), AA13-Uzman_D!$L$5)*2),0)/2 = IF(AA13-Uzman_D!$L$5&lt;0, -(AA13-Uzman_D!$L$5), AA13-Uzman_D!$L$5),
    (ROUND((IF(AA13-Uzman_D!$L$5&lt;0, -(AA13-Uzman_D!$L$5), AA13-Uzman_D!$L$5)*2),0)/1 * 0.1), 0) +
    IF(AB13-Uzman_D!$M$5&lt;0, -(AB13-Uzman_D!$M$5), AB13-Uzman_D!$M$5)*1
)</f>
        <v>-0.50000000000000022</v>
      </c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2"/>
      <c r="AO13" s="72"/>
      <c r="AP13" s="73">
        <f>1 - (
    SUM(
        IF(AD13-Uzman_D!$B$6&lt;0, -(AD13-Uzman_D!$B$6), AD13-Uzman_D!$B$6)*0.1 +
        IF(AE13-Uzman_D!$C$6&lt;0, -(AE13-Uzman_D!$C$6), AE13-Uzman_D!$C$6)*0.1 +
        IF(AF13-Uzman_D!$D$6&lt;0, -(AF13-Uzman_D!$D$6), AF13-Uzman_D!$D$6)*0.1 +
        IF(AG13-Uzman_D!$E$6&lt;0, -(AG13-Uzman_D!$E$6), AG13-Uzman_D!$E$6)*0.1 +
        IF(AH13-Uzman_D!$F$6&lt;0, -(AH13-Uzman_D!$F$6), AH13-Uzman_D!$F$6)*0.1 +
        IF(AI13-Uzman_D!$G$6&lt;0, -(AI13-Uzman_D!$G$6), AI13-Uzman_D!$G$6)*0.1 +
        IF(AJ13-Uzman_D!$H$6&lt;0, -(AJ13-Uzman_D!$H$6), AJ13-Uzman_D!$H$6)*0.1 +
        IF(AK13-Uzman_D!$I$6&lt;0, -(AK13-Uzman_D!$I$6), AK13-Uzman_D!$I$6)*0.1 +
        IF(AL13-Uzman_D!$J$6&lt;0, -(AL13-Uzman_D!$J$6), AL13-Uzman_D!$J$6)*0.1
    ) +
    IF(ROUND((IF(AN13-Uzman_D!$L$6&lt;0, -(AN13-Uzman_D!$L$6), AN13-Uzman_D!$L$6)*2),0)/2 = IF(AN13-Uzman_D!$L$6&lt;0, -(AN13-Uzman_D!$L$6), AN13-Uzman_D!$L$6),
    (ROUND((IF(AN13-Uzman_D!$L$6&lt;0, -(AN13-Uzman_D!$L$6), AN13-Uzman_D!$L$6)*2),0)/1 * 0.1), 0) +
    IF(AO13-Uzman_D!$M$6&lt;0, -(AO13-Uzman_D!$M$6), AO13-Uzman_D!$M$6)*1
)</f>
        <v>-0.60000000000000009</v>
      </c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2"/>
      <c r="BB13" s="72"/>
      <c r="BC13" s="73">
        <f>1 - (
    SUM(
        IF(AQ13-Uzman_D!$B$7&lt;0, -(AQ13-Uzman_D!$B$7), AQ13-Uzman_D!$B$7)*0.1 +
        IF(AR13-Uzman_D!$C$7&lt;0, -(AR13-Uzman_D!$C$7), AR13-Uzman_D!$C$7)*0.1 +
        IF(AS13-Uzman_D!$D$7&lt;0, -(AS13-Uzman_D!$D$7), AS13-Uzman_D!$D$7)*0.1 +
        IF(AT13-Uzman_D!$E$7&lt;0, -(AT13-Uzman_D!$E$7), AT13-Uzman_D!$E$7)*0.1 +
        IF(AU13-Uzman_D!$F$7&lt;0, -(AU13-Uzman_D!$F$7), AU13-Uzman_D!$F$7)*0.1 +
        IF(AV13-Uzman_D!$G$7&lt;0, -(AV13-Uzman_D!$G$7), AV13-Uzman_D!$G$7)*0.1 +
        IF(AW13-Uzman_D!$H$7&lt;0, -(AW13-Uzman_D!$H$7), AW13-Uzman_D!$H$7)*0.1 +
        IF(AX13-Uzman_D!$I$7&lt;0, -(AX13-Uzman_D!$I$7), AX13-Uzman_D!$I$7)*0.1 +
        IF(AY13-Uzman_D!$J$7&lt;0, -(AY13-Uzman_D!$J$7), AY13-Uzman_D!$J$7)*0.1
    ) +
    IF(ROUND((IF(BA13-Uzman_D!$L$7&lt;0, -(BA13-Uzman_D!$L$7), BA13-Uzman_D!$L$7)*2),0)/2 = IF(BA13-Uzman_D!$L$7&lt;0, -(BA13-Uzman_D!$L$7), BA13-Uzman_D!$L$7),
    (ROUND((IF(BA13-Uzman_D!$L$7&lt;0, -(BA13-Uzman_D!$L$7), BA13-Uzman_D!$L$7)*2),0)/1 * 0.1), 0) +
    IF(BB13-Uzman_D!$M$7&lt;0, -(BB13-Uzman_D!$M$7), BB13-Uzman_D!$M$7)*1
)</f>
        <v>-0.50000000000000022</v>
      </c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2"/>
      <c r="BO13" s="72"/>
      <c r="BP13" s="73">
        <f>1 - (
    SUM(
        IF(BD13-Uzman_D!$B$8&lt;0, -(BD13-Uzman_D!$B$8), BD13-Uzman_D!$B$8)*0.1 +
        IF(BE13-Uzman_D!$C$8&lt;0, -(BE13-Uzman_D!$C$8), BE13-Uzman_D!$C$8)*0.1 +
        IF(BF13-Uzman_D!$D$8&lt;0, -(BF13-Uzman_D!$D$8), BF13-Uzman_D!$D$8)*0.1 +
        IF(BG13-Uzman_D!$E$8&lt;0, -(BG13-Uzman_D!$E$8), BG13-Uzman_D!$E$8)*0.1 +
        IF(BH13-Uzman_D!$F$8&lt;0, -(BH13-Uzman_D!$F$8), BH13-Uzman_D!$F$8)*0.1 +
        IF(BI13-Uzman_D!$G$8&lt;0, -(BI13-Uzman_D!$G$8), BI13-Uzman_D!$G$8)*0.1 +
        IF(BJ13-Uzman_D!$H$8&lt;0, -(BJ13-Uzman_D!$H$8), BJ13-Uzman_D!$H$8)*0.1 +
        IF(BK13-Uzman_D!$I$8&lt;0, -(BK13-Uzman_D!$I$8), BK13-Uzman_D!$I$8)*0.1 +
        IF(BL13-Uzman_D!$J$8&lt;0, -(BL13-Uzman_D!$J$8), BL13-Uzman_D!$J$8)*0.1
    ) +
    IF(ROUND((IF(BN13-Uzman_D!$L$8&lt;0, -(BN13-Uzman_D!$L$8), BN13-Uzman_D!$L$8)*2),0)/2 = IF(BN13-Uzman_D!$L$8&lt;0, -(BN13-Uzman_D!$L$8), BN13-Uzman_D!$L$8),
    (ROUND((IF(BN13-Uzman_D!$L$8&lt;0, -(BN13-Uzman_D!$L$8), BN13-Uzman_D!$L$8)*2),0)/1 * 0.1), 0) +
    IF(BO13-Uzman_D!$M$8&lt;0, -(BO13-Uzman_D!$M$8), BO13-Uzman_D!$M$8)*1
)</f>
        <v>-0.20000000000000018</v>
      </c>
      <c r="BQ13" s="74">
        <f t="shared" si="0"/>
        <v>-0.54000000000000026</v>
      </c>
    </row>
    <row r="14" spans="1:69" ht="15" customHeight="1" x14ac:dyDescent="0.2">
      <c r="A14" s="57">
        <v>11</v>
      </c>
      <c r="B14" s="29">
        <f>Hakemler!B14</f>
        <v>0</v>
      </c>
      <c r="C14" s="29">
        <f>Hakemler!C14</f>
        <v>0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2"/>
      <c r="O14" s="72"/>
      <c r="P14" s="73">
        <f>1 - (
    SUM(
        IF(D14-Uzman_D!$B$4&lt;0, -(D14-Uzman_D!$B$4), D14-Uzman_D!$B$4)*0.1 +
        IF(E14-Uzman_D!$C$4&lt;0, -(E14-Uzman_D!$C$4), E14-Uzman_D!$C$4)*0.1 +
        IF(F14-Uzman_D!$D$4&lt;0, -(F14-Uzman_D!$D$4), F14-Uzman_D!$D$4)*0.1 +
        IF(G14-Uzman_D!$E$4&lt;0, -(G14-Uzman_D!$E$4), G14-Uzman_D!$E$4)*0.1 +
        IF(H14-Uzman_D!$F$4&lt;0, -(H14-Uzman_D!$F$4), H14-Uzman_D!$F$4)*0.1 +
        IF(I14-Uzman_D!$G$4&lt;0, -(I14-Uzman_D!$G$4), I14-Uzman_D!$G$4)*0.1 +
        IF(J14-Uzman_D!$H$4&lt;0, -(J14-Uzman_D!$H$4), J14-Uzman_D!$H$4)*0.1 +
        IF(K14-Uzman_D!$I$4&lt;0, -(K14-Uzman_D!$I$4), K14-Uzman_D!$I$4)*0.1 +
        IF(L14-Uzman_D!$J$4&lt;0, -(L14-Uzman_D!$J$4), L14-Uzman_D!$J$4)*0.1
    ) +
    IF(ROUND((IF(N14-Uzman_D!$L$4&lt;0, -(N14-Uzman_D!$L$4), N14-Uzman_D!$L$4)*2),0)/2 = IF(N14-Uzman_D!$L$4&lt;0, -(N14-Uzman_D!$L$4), N14-Uzman_D!$L$4),
    (ROUND((IF(N14-Uzman_D!$L$4&lt;0, -(N14-Uzman_D!$L$4), N14-Uzman_D!$L$4)*2),0)/1 * 0.1), 0) +
    IF(O14-Uzman_D!$M$4&lt;0, -(O14-Uzman_D!$M$4), O14-Uzman_D!$M$4)*1
)</f>
        <v>-0.90000000000000013</v>
      </c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2"/>
      <c r="AB14" s="72"/>
      <c r="AC14" s="73">
        <f>1 - (
    SUM(
        IF(Q14-Uzman_D!$B$5&lt;0, -(Q14-Uzman_D!$B$5), Q14-Uzman_D!$B$5)*0.1 +
        IF(R14-Uzman_D!$C$5&lt;0, -(R14-Uzman_D!$C$5), R14-Uzman_D!$C$5)*0.1 +
        IF(S14-Uzman_D!$D$5&lt;0, -(S14-Uzman_D!$D$5), S14-Uzman_D!$D$5)*0.1 +
        IF(T14-Uzman_D!$E$5&lt;0, -(T14-Uzman_D!$E$5), T14-Uzman_D!$E$5)*0.1 +
        IF(U14-Uzman_D!$F$5&lt;0, -(U14-Uzman_D!$F$5), U14-Uzman_D!$F$5)*0.1 +
        IF(V14-Uzman_D!$G$5&lt;0, -(V14-Uzman_D!$G$5), V14-Uzman_D!$G$5)*0.1 +
        IF(W14-Uzman_D!$H$5&lt;0, -(W14-Uzman_D!$H$5), W14-Uzman_D!$H$5)*0.1 +
        IF(X14-Uzman_D!$I$5&lt;0, -(X14-Uzman_D!$I$5), X14-Uzman_D!$I$5)*0.1 +
        IF(Y14-Uzman_D!$J$5&lt;0, -(Y14-Uzman_D!$J$5), Y14-Uzman_D!$J$5)*0.1
    ) +
    IF(ROUND((IF(AA14-Uzman_D!$L$5&lt;0, -(AA14-Uzman_D!$L$5), AA14-Uzman_D!$L$5)*2),0)/2 = IF(AA14-Uzman_D!$L$5&lt;0, -(AA14-Uzman_D!$L$5), AA14-Uzman_D!$L$5),
    (ROUND((IF(AA14-Uzman_D!$L$5&lt;0, -(AA14-Uzman_D!$L$5), AA14-Uzman_D!$L$5)*2),0)/1 * 0.1), 0) +
    IF(AB14-Uzman_D!$M$5&lt;0, -(AB14-Uzman_D!$M$5), AB14-Uzman_D!$M$5)*1
)</f>
        <v>-0.50000000000000022</v>
      </c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2"/>
      <c r="AO14" s="72"/>
      <c r="AP14" s="73">
        <f>1 - (
    SUM(
        IF(AD14-Uzman_D!$B$6&lt;0, -(AD14-Uzman_D!$B$6), AD14-Uzman_D!$B$6)*0.1 +
        IF(AE14-Uzman_D!$C$6&lt;0, -(AE14-Uzman_D!$C$6), AE14-Uzman_D!$C$6)*0.1 +
        IF(AF14-Uzman_D!$D$6&lt;0, -(AF14-Uzman_D!$D$6), AF14-Uzman_D!$D$6)*0.1 +
        IF(AG14-Uzman_D!$E$6&lt;0, -(AG14-Uzman_D!$E$6), AG14-Uzman_D!$E$6)*0.1 +
        IF(AH14-Uzman_D!$F$6&lt;0, -(AH14-Uzman_D!$F$6), AH14-Uzman_D!$F$6)*0.1 +
        IF(AI14-Uzman_D!$G$6&lt;0, -(AI14-Uzman_D!$G$6), AI14-Uzman_D!$G$6)*0.1 +
        IF(AJ14-Uzman_D!$H$6&lt;0, -(AJ14-Uzman_D!$H$6), AJ14-Uzman_D!$H$6)*0.1 +
        IF(AK14-Uzman_D!$I$6&lt;0, -(AK14-Uzman_D!$I$6), AK14-Uzman_D!$I$6)*0.1 +
        IF(AL14-Uzman_D!$J$6&lt;0, -(AL14-Uzman_D!$J$6), AL14-Uzman_D!$J$6)*0.1
    ) +
    IF(ROUND((IF(AN14-Uzman_D!$L$6&lt;0, -(AN14-Uzman_D!$L$6), AN14-Uzman_D!$L$6)*2),0)/2 = IF(AN14-Uzman_D!$L$6&lt;0, -(AN14-Uzman_D!$L$6), AN14-Uzman_D!$L$6),
    (ROUND((IF(AN14-Uzman_D!$L$6&lt;0, -(AN14-Uzman_D!$L$6), AN14-Uzman_D!$L$6)*2),0)/1 * 0.1), 0) +
    IF(AO14-Uzman_D!$M$6&lt;0, -(AO14-Uzman_D!$M$6), AO14-Uzman_D!$M$6)*1
)</f>
        <v>-0.60000000000000009</v>
      </c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2"/>
      <c r="BB14" s="72"/>
      <c r="BC14" s="73">
        <f>1 - (
    SUM(
        IF(AQ14-Uzman_D!$B$7&lt;0, -(AQ14-Uzman_D!$B$7), AQ14-Uzman_D!$B$7)*0.1 +
        IF(AR14-Uzman_D!$C$7&lt;0, -(AR14-Uzman_D!$C$7), AR14-Uzman_D!$C$7)*0.1 +
        IF(AS14-Uzman_D!$D$7&lt;0, -(AS14-Uzman_D!$D$7), AS14-Uzman_D!$D$7)*0.1 +
        IF(AT14-Uzman_D!$E$7&lt;0, -(AT14-Uzman_D!$E$7), AT14-Uzman_D!$E$7)*0.1 +
        IF(AU14-Uzman_D!$F$7&lt;0, -(AU14-Uzman_D!$F$7), AU14-Uzman_D!$F$7)*0.1 +
        IF(AV14-Uzman_D!$G$7&lt;0, -(AV14-Uzman_D!$G$7), AV14-Uzman_D!$G$7)*0.1 +
        IF(AW14-Uzman_D!$H$7&lt;0, -(AW14-Uzman_D!$H$7), AW14-Uzman_D!$H$7)*0.1 +
        IF(AX14-Uzman_D!$I$7&lt;0, -(AX14-Uzman_D!$I$7), AX14-Uzman_D!$I$7)*0.1 +
        IF(AY14-Uzman_D!$J$7&lt;0, -(AY14-Uzman_D!$J$7), AY14-Uzman_D!$J$7)*0.1
    ) +
    IF(ROUND((IF(BA14-Uzman_D!$L$7&lt;0, -(BA14-Uzman_D!$L$7), BA14-Uzman_D!$L$7)*2),0)/2 = IF(BA14-Uzman_D!$L$7&lt;0, -(BA14-Uzman_D!$L$7), BA14-Uzman_D!$L$7),
    (ROUND((IF(BA14-Uzman_D!$L$7&lt;0, -(BA14-Uzman_D!$L$7), BA14-Uzman_D!$L$7)*2),0)/1 * 0.1), 0) +
    IF(BB14-Uzman_D!$M$7&lt;0, -(BB14-Uzman_D!$M$7), BB14-Uzman_D!$M$7)*1
)</f>
        <v>-0.50000000000000022</v>
      </c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2"/>
      <c r="BO14" s="72"/>
      <c r="BP14" s="73">
        <f>1 - (
    SUM(
        IF(BD14-Uzman_D!$B$8&lt;0, -(BD14-Uzman_D!$B$8), BD14-Uzman_D!$B$8)*0.1 +
        IF(BE14-Uzman_D!$C$8&lt;0, -(BE14-Uzman_D!$C$8), BE14-Uzman_D!$C$8)*0.1 +
        IF(BF14-Uzman_D!$D$8&lt;0, -(BF14-Uzman_D!$D$8), BF14-Uzman_D!$D$8)*0.1 +
        IF(BG14-Uzman_D!$E$8&lt;0, -(BG14-Uzman_D!$E$8), BG14-Uzman_D!$E$8)*0.1 +
        IF(BH14-Uzman_D!$F$8&lt;0, -(BH14-Uzman_D!$F$8), BH14-Uzman_D!$F$8)*0.1 +
        IF(BI14-Uzman_D!$G$8&lt;0, -(BI14-Uzman_D!$G$8), BI14-Uzman_D!$G$8)*0.1 +
        IF(BJ14-Uzman_D!$H$8&lt;0, -(BJ14-Uzman_D!$H$8), BJ14-Uzman_D!$H$8)*0.1 +
        IF(BK14-Uzman_D!$I$8&lt;0, -(BK14-Uzman_D!$I$8), BK14-Uzman_D!$I$8)*0.1 +
        IF(BL14-Uzman_D!$J$8&lt;0, -(BL14-Uzman_D!$J$8), BL14-Uzman_D!$J$8)*0.1
    ) +
    IF(ROUND((IF(BN14-Uzman_D!$L$8&lt;0, -(BN14-Uzman_D!$L$8), BN14-Uzman_D!$L$8)*2),0)/2 = IF(BN14-Uzman_D!$L$8&lt;0, -(BN14-Uzman_D!$L$8), BN14-Uzman_D!$L$8),
    (ROUND((IF(BN14-Uzman_D!$L$8&lt;0, -(BN14-Uzman_D!$L$8), BN14-Uzman_D!$L$8)*2),0)/1 * 0.1), 0) +
    IF(BO14-Uzman_D!$M$8&lt;0, -(BO14-Uzman_D!$M$8), BO14-Uzman_D!$M$8)*1
)</f>
        <v>-0.20000000000000018</v>
      </c>
      <c r="BQ14" s="74">
        <f t="shared" si="0"/>
        <v>-0.54000000000000026</v>
      </c>
    </row>
    <row r="15" spans="1:69" ht="15" customHeight="1" x14ac:dyDescent="0.2">
      <c r="A15" s="57">
        <v>12</v>
      </c>
      <c r="B15" s="29">
        <f>Hakemler!B15</f>
        <v>0</v>
      </c>
      <c r="C15" s="29">
        <f>Hakemler!C15</f>
        <v>0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2"/>
      <c r="O15" s="72"/>
      <c r="P15" s="73">
        <f>1 - (
    SUM(
        IF(D15-Uzman_D!$B$4&lt;0, -(D15-Uzman_D!$B$4), D15-Uzman_D!$B$4)*0.1 +
        IF(E15-Uzman_D!$C$4&lt;0, -(E15-Uzman_D!$C$4), E15-Uzman_D!$C$4)*0.1 +
        IF(F15-Uzman_D!$D$4&lt;0, -(F15-Uzman_D!$D$4), F15-Uzman_D!$D$4)*0.1 +
        IF(G15-Uzman_D!$E$4&lt;0, -(G15-Uzman_D!$E$4), G15-Uzman_D!$E$4)*0.1 +
        IF(H15-Uzman_D!$F$4&lt;0, -(H15-Uzman_D!$F$4), H15-Uzman_D!$F$4)*0.1 +
        IF(I15-Uzman_D!$G$4&lt;0, -(I15-Uzman_D!$G$4), I15-Uzman_D!$G$4)*0.1 +
        IF(J15-Uzman_D!$H$4&lt;0, -(J15-Uzman_D!$H$4), J15-Uzman_D!$H$4)*0.1 +
        IF(K15-Uzman_D!$I$4&lt;0, -(K15-Uzman_D!$I$4), K15-Uzman_D!$I$4)*0.1 +
        IF(L15-Uzman_D!$J$4&lt;0, -(L15-Uzman_D!$J$4), L15-Uzman_D!$J$4)*0.1
    ) +
    IF(ROUND((IF(N15-Uzman_D!$L$4&lt;0, -(N15-Uzman_D!$L$4), N15-Uzman_D!$L$4)*2),0)/2 = IF(N15-Uzman_D!$L$4&lt;0, -(N15-Uzman_D!$L$4), N15-Uzman_D!$L$4),
    (ROUND((IF(N15-Uzman_D!$L$4&lt;0, -(N15-Uzman_D!$L$4), N15-Uzman_D!$L$4)*2),0)/1 * 0.1), 0) +
    IF(O15-Uzman_D!$M$4&lt;0, -(O15-Uzman_D!$M$4), O15-Uzman_D!$M$4)*1
)</f>
        <v>-0.90000000000000013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2"/>
      <c r="AB15" s="72"/>
      <c r="AC15" s="73">
        <f>1 - (
    SUM(
        IF(Q15-Uzman_D!$B$5&lt;0, -(Q15-Uzman_D!$B$5), Q15-Uzman_D!$B$5)*0.1 +
        IF(R15-Uzman_D!$C$5&lt;0, -(R15-Uzman_D!$C$5), R15-Uzman_D!$C$5)*0.1 +
        IF(S15-Uzman_D!$D$5&lt;0, -(S15-Uzman_D!$D$5), S15-Uzman_D!$D$5)*0.1 +
        IF(T15-Uzman_D!$E$5&lt;0, -(T15-Uzman_D!$E$5), T15-Uzman_D!$E$5)*0.1 +
        IF(U15-Uzman_D!$F$5&lt;0, -(U15-Uzman_D!$F$5), U15-Uzman_D!$F$5)*0.1 +
        IF(V15-Uzman_D!$G$5&lt;0, -(V15-Uzman_D!$G$5), V15-Uzman_D!$G$5)*0.1 +
        IF(W15-Uzman_D!$H$5&lt;0, -(W15-Uzman_D!$H$5), W15-Uzman_D!$H$5)*0.1 +
        IF(X15-Uzman_D!$I$5&lt;0, -(X15-Uzman_D!$I$5), X15-Uzman_D!$I$5)*0.1 +
        IF(Y15-Uzman_D!$J$5&lt;0, -(Y15-Uzman_D!$J$5), Y15-Uzman_D!$J$5)*0.1
    ) +
    IF(ROUND((IF(AA15-Uzman_D!$L$5&lt;0, -(AA15-Uzman_D!$L$5), AA15-Uzman_D!$L$5)*2),0)/2 = IF(AA15-Uzman_D!$L$5&lt;0, -(AA15-Uzman_D!$L$5), AA15-Uzman_D!$L$5),
    (ROUND((IF(AA15-Uzman_D!$L$5&lt;0, -(AA15-Uzman_D!$L$5), AA15-Uzman_D!$L$5)*2),0)/1 * 0.1), 0) +
    IF(AB15-Uzman_D!$M$5&lt;0, -(AB15-Uzman_D!$M$5), AB15-Uzman_D!$M$5)*1
)</f>
        <v>-0.50000000000000022</v>
      </c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2"/>
      <c r="AO15" s="72"/>
      <c r="AP15" s="73">
        <f>1 - (
    SUM(
        IF(AD15-Uzman_D!$B$6&lt;0, -(AD15-Uzman_D!$B$6), AD15-Uzman_D!$B$6)*0.1 +
        IF(AE15-Uzman_D!$C$6&lt;0, -(AE15-Uzman_D!$C$6), AE15-Uzman_D!$C$6)*0.1 +
        IF(AF15-Uzman_D!$D$6&lt;0, -(AF15-Uzman_D!$D$6), AF15-Uzman_D!$D$6)*0.1 +
        IF(AG15-Uzman_D!$E$6&lt;0, -(AG15-Uzman_D!$E$6), AG15-Uzman_D!$E$6)*0.1 +
        IF(AH15-Uzman_D!$F$6&lt;0, -(AH15-Uzman_D!$F$6), AH15-Uzman_D!$F$6)*0.1 +
        IF(AI15-Uzman_D!$G$6&lt;0, -(AI15-Uzman_D!$G$6), AI15-Uzman_D!$G$6)*0.1 +
        IF(AJ15-Uzman_D!$H$6&lt;0, -(AJ15-Uzman_D!$H$6), AJ15-Uzman_D!$H$6)*0.1 +
        IF(AK15-Uzman_D!$I$6&lt;0, -(AK15-Uzman_D!$I$6), AK15-Uzman_D!$I$6)*0.1 +
        IF(AL15-Uzman_D!$J$6&lt;0, -(AL15-Uzman_D!$J$6), AL15-Uzman_D!$J$6)*0.1
    ) +
    IF(ROUND((IF(AN15-Uzman_D!$L$6&lt;0, -(AN15-Uzman_D!$L$6), AN15-Uzman_D!$L$6)*2),0)/2 = IF(AN15-Uzman_D!$L$6&lt;0, -(AN15-Uzman_D!$L$6), AN15-Uzman_D!$L$6),
    (ROUND((IF(AN15-Uzman_D!$L$6&lt;0, -(AN15-Uzman_D!$L$6), AN15-Uzman_D!$L$6)*2),0)/1 * 0.1), 0) +
    IF(AO15-Uzman_D!$M$6&lt;0, -(AO15-Uzman_D!$M$6), AO15-Uzman_D!$M$6)*1
)</f>
        <v>-0.60000000000000009</v>
      </c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2"/>
      <c r="BB15" s="72"/>
      <c r="BC15" s="73">
        <f>1 - (
    SUM(
        IF(AQ15-Uzman_D!$B$7&lt;0, -(AQ15-Uzman_D!$B$7), AQ15-Uzman_D!$B$7)*0.1 +
        IF(AR15-Uzman_D!$C$7&lt;0, -(AR15-Uzman_D!$C$7), AR15-Uzman_D!$C$7)*0.1 +
        IF(AS15-Uzman_D!$D$7&lt;0, -(AS15-Uzman_D!$D$7), AS15-Uzman_D!$D$7)*0.1 +
        IF(AT15-Uzman_D!$E$7&lt;0, -(AT15-Uzman_D!$E$7), AT15-Uzman_D!$E$7)*0.1 +
        IF(AU15-Uzman_D!$F$7&lt;0, -(AU15-Uzman_D!$F$7), AU15-Uzman_D!$F$7)*0.1 +
        IF(AV15-Uzman_D!$G$7&lt;0, -(AV15-Uzman_D!$G$7), AV15-Uzman_D!$G$7)*0.1 +
        IF(AW15-Uzman_D!$H$7&lt;0, -(AW15-Uzman_D!$H$7), AW15-Uzman_D!$H$7)*0.1 +
        IF(AX15-Uzman_D!$I$7&lt;0, -(AX15-Uzman_D!$I$7), AX15-Uzman_D!$I$7)*0.1 +
        IF(AY15-Uzman_D!$J$7&lt;0, -(AY15-Uzman_D!$J$7), AY15-Uzman_D!$J$7)*0.1
    ) +
    IF(ROUND((IF(BA15-Uzman_D!$L$7&lt;0, -(BA15-Uzman_D!$L$7), BA15-Uzman_D!$L$7)*2),0)/2 = IF(BA15-Uzman_D!$L$7&lt;0, -(BA15-Uzman_D!$L$7), BA15-Uzman_D!$L$7),
    (ROUND((IF(BA15-Uzman_D!$L$7&lt;0, -(BA15-Uzman_D!$L$7), BA15-Uzman_D!$L$7)*2),0)/1 * 0.1), 0) +
    IF(BB15-Uzman_D!$M$7&lt;0, -(BB15-Uzman_D!$M$7), BB15-Uzman_D!$M$7)*1
)</f>
        <v>-0.50000000000000022</v>
      </c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2"/>
      <c r="BO15" s="72"/>
      <c r="BP15" s="73">
        <f>1 - (
    SUM(
        IF(BD15-Uzman_D!$B$8&lt;0, -(BD15-Uzman_D!$B$8), BD15-Uzman_D!$B$8)*0.1 +
        IF(BE15-Uzman_D!$C$8&lt;0, -(BE15-Uzman_D!$C$8), BE15-Uzman_D!$C$8)*0.1 +
        IF(BF15-Uzman_D!$D$8&lt;0, -(BF15-Uzman_D!$D$8), BF15-Uzman_D!$D$8)*0.1 +
        IF(BG15-Uzman_D!$E$8&lt;0, -(BG15-Uzman_D!$E$8), BG15-Uzman_D!$E$8)*0.1 +
        IF(BH15-Uzman_D!$F$8&lt;0, -(BH15-Uzman_D!$F$8), BH15-Uzman_D!$F$8)*0.1 +
        IF(BI15-Uzman_D!$G$8&lt;0, -(BI15-Uzman_D!$G$8), BI15-Uzman_D!$G$8)*0.1 +
        IF(BJ15-Uzman_D!$H$8&lt;0, -(BJ15-Uzman_D!$H$8), BJ15-Uzman_D!$H$8)*0.1 +
        IF(BK15-Uzman_D!$I$8&lt;0, -(BK15-Uzman_D!$I$8), BK15-Uzman_D!$I$8)*0.1 +
        IF(BL15-Uzman_D!$J$8&lt;0, -(BL15-Uzman_D!$J$8), BL15-Uzman_D!$J$8)*0.1
    ) +
    IF(ROUND((IF(BN15-Uzman_D!$L$8&lt;0, -(BN15-Uzman_D!$L$8), BN15-Uzman_D!$L$8)*2),0)/2 = IF(BN15-Uzman_D!$L$8&lt;0, -(BN15-Uzman_D!$L$8), BN15-Uzman_D!$L$8),
    (ROUND((IF(BN15-Uzman_D!$L$8&lt;0, -(BN15-Uzman_D!$L$8), BN15-Uzman_D!$L$8)*2),0)/1 * 0.1), 0) +
    IF(BO15-Uzman_D!$M$8&lt;0, -(BO15-Uzman_D!$M$8), BO15-Uzman_D!$M$8)*1
)</f>
        <v>-0.20000000000000018</v>
      </c>
      <c r="BQ15" s="74">
        <f t="shared" si="0"/>
        <v>-0.54000000000000026</v>
      </c>
    </row>
    <row r="16" spans="1:69" ht="15" customHeight="1" x14ac:dyDescent="0.2">
      <c r="A16" s="57">
        <v>13</v>
      </c>
      <c r="B16" s="29">
        <f>Hakemler!B16</f>
        <v>0</v>
      </c>
      <c r="C16" s="29">
        <f>Hakemler!C16</f>
        <v>0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2"/>
      <c r="O16" s="72"/>
      <c r="P16" s="73">
        <f>1 - (
    SUM(
        IF(D16-Uzman_D!$B$4&lt;0, -(D16-Uzman_D!$B$4), D16-Uzman_D!$B$4)*0.1 +
        IF(E16-Uzman_D!$C$4&lt;0, -(E16-Uzman_D!$C$4), E16-Uzman_D!$C$4)*0.1 +
        IF(F16-Uzman_D!$D$4&lt;0, -(F16-Uzman_D!$D$4), F16-Uzman_D!$D$4)*0.1 +
        IF(G16-Uzman_D!$E$4&lt;0, -(G16-Uzman_D!$E$4), G16-Uzman_D!$E$4)*0.1 +
        IF(H16-Uzman_D!$F$4&lt;0, -(H16-Uzman_D!$F$4), H16-Uzman_D!$F$4)*0.1 +
        IF(I16-Uzman_D!$G$4&lt;0, -(I16-Uzman_D!$G$4), I16-Uzman_D!$G$4)*0.1 +
        IF(J16-Uzman_D!$H$4&lt;0, -(J16-Uzman_D!$H$4), J16-Uzman_D!$H$4)*0.1 +
        IF(K16-Uzman_D!$I$4&lt;0, -(K16-Uzman_D!$I$4), K16-Uzman_D!$I$4)*0.1 +
        IF(L16-Uzman_D!$J$4&lt;0, -(L16-Uzman_D!$J$4), L16-Uzman_D!$J$4)*0.1
    ) +
    IF(ROUND((IF(N16-Uzman_D!$L$4&lt;0, -(N16-Uzman_D!$L$4), N16-Uzman_D!$L$4)*2),0)/2 = IF(N16-Uzman_D!$L$4&lt;0, -(N16-Uzman_D!$L$4), N16-Uzman_D!$L$4),
    (ROUND((IF(N16-Uzman_D!$L$4&lt;0, -(N16-Uzman_D!$L$4), N16-Uzman_D!$L$4)*2),0)/1 * 0.1), 0) +
    IF(O16-Uzman_D!$M$4&lt;0, -(O16-Uzman_D!$M$4), O16-Uzman_D!$M$4)*1
)</f>
        <v>-0.90000000000000013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2"/>
      <c r="AB16" s="72"/>
      <c r="AC16" s="73">
        <f>1 - (
    SUM(
        IF(Q16-Uzman_D!$B$5&lt;0, -(Q16-Uzman_D!$B$5), Q16-Uzman_D!$B$5)*0.1 +
        IF(R16-Uzman_D!$C$5&lt;0, -(R16-Uzman_D!$C$5), R16-Uzman_D!$C$5)*0.1 +
        IF(S16-Uzman_D!$D$5&lt;0, -(S16-Uzman_D!$D$5), S16-Uzman_D!$D$5)*0.1 +
        IF(T16-Uzman_D!$E$5&lt;0, -(T16-Uzman_D!$E$5), T16-Uzman_D!$E$5)*0.1 +
        IF(U16-Uzman_D!$F$5&lt;0, -(U16-Uzman_D!$F$5), U16-Uzman_D!$F$5)*0.1 +
        IF(V16-Uzman_D!$G$5&lt;0, -(V16-Uzman_D!$G$5), V16-Uzman_D!$G$5)*0.1 +
        IF(W16-Uzman_D!$H$5&lt;0, -(W16-Uzman_D!$H$5), W16-Uzman_D!$H$5)*0.1 +
        IF(X16-Uzman_D!$I$5&lt;0, -(X16-Uzman_D!$I$5), X16-Uzman_D!$I$5)*0.1 +
        IF(Y16-Uzman_D!$J$5&lt;0, -(Y16-Uzman_D!$J$5), Y16-Uzman_D!$J$5)*0.1
    ) +
    IF(ROUND((IF(AA16-Uzman_D!$L$5&lt;0, -(AA16-Uzman_D!$L$5), AA16-Uzman_D!$L$5)*2),0)/2 = IF(AA16-Uzman_D!$L$5&lt;0, -(AA16-Uzman_D!$L$5), AA16-Uzman_D!$L$5),
    (ROUND((IF(AA16-Uzman_D!$L$5&lt;0, -(AA16-Uzman_D!$L$5), AA16-Uzman_D!$L$5)*2),0)/1 * 0.1), 0) +
    IF(AB16-Uzman_D!$M$5&lt;0, -(AB16-Uzman_D!$M$5), AB16-Uzman_D!$M$5)*1
)</f>
        <v>-0.50000000000000022</v>
      </c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2"/>
      <c r="AO16" s="72"/>
      <c r="AP16" s="73">
        <f>1 - (
    SUM(
        IF(AD16-Uzman_D!$B$6&lt;0, -(AD16-Uzman_D!$B$6), AD16-Uzman_D!$B$6)*0.1 +
        IF(AE16-Uzman_D!$C$6&lt;0, -(AE16-Uzman_D!$C$6), AE16-Uzman_D!$C$6)*0.1 +
        IF(AF16-Uzman_D!$D$6&lt;0, -(AF16-Uzman_D!$D$6), AF16-Uzman_D!$D$6)*0.1 +
        IF(AG16-Uzman_D!$E$6&lt;0, -(AG16-Uzman_D!$E$6), AG16-Uzman_D!$E$6)*0.1 +
        IF(AH16-Uzman_D!$F$6&lt;0, -(AH16-Uzman_D!$F$6), AH16-Uzman_D!$F$6)*0.1 +
        IF(AI16-Uzman_D!$G$6&lt;0, -(AI16-Uzman_D!$G$6), AI16-Uzman_D!$G$6)*0.1 +
        IF(AJ16-Uzman_D!$H$6&lt;0, -(AJ16-Uzman_D!$H$6), AJ16-Uzman_D!$H$6)*0.1 +
        IF(AK16-Uzman_D!$I$6&lt;0, -(AK16-Uzman_D!$I$6), AK16-Uzman_D!$I$6)*0.1 +
        IF(AL16-Uzman_D!$J$6&lt;0, -(AL16-Uzman_D!$J$6), AL16-Uzman_D!$J$6)*0.1
    ) +
    IF(ROUND((IF(AN16-Uzman_D!$L$6&lt;0, -(AN16-Uzman_D!$L$6), AN16-Uzman_D!$L$6)*2),0)/2 = IF(AN16-Uzman_D!$L$6&lt;0, -(AN16-Uzman_D!$L$6), AN16-Uzman_D!$L$6),
    (ROUND((IF(AN16-Uzman_D!$L$6&lt;0, -(AN16-Uzman_D!$L$6), AN16-Uzman_D!$L$6)*2),0)/1 * 0.1), 0) +
    IF(AO16-Uzman_D!$M$6&lt;0, -(AO16-Uzman_D!$M$6), AO16-Uzman_D!$M$6)*1
)</f>
        <v>-0.60000000000000009</v>
      </c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2"/>
      <c r="BB16" s="72"/>
      <c r="BC16" s="73">
        <f>1 - (
    SUM(
        IF(AQ16-Uzman_D!$B$7&lt;0, -(AQ16-Uzman_D!$B$7), AQ16-Uzman_D!$B$7)*0.1 +
        IF(AR16-Uzman_D!$C$7&lt;0, -(AR16-Uzman_D!$C$7), AR16-Uzman_D!$C$7)*0.1 +
        IF(AS16-Uzman_D!$D$7&lt;0, -(AS16-Uzman_D!$D$7), AS16-Uzman_D!$D$7)*0.1 +
        IF(AT16-Uzman_D!$E$7&lt;0, -(AT16-Uzman_D!$E$7), AT16-Uzman_D!$E$7)*0.1 +
        IF(AU16-Uzman_D!$F$7&lt;0, -(AU16-Uzman_D!$F$7), AU16-Uzman_D!$F$7)*0.1 +
        IF(AV16-Uzman_D!$G$7&lt;0, -(AV16-Uzman_D!$G$7), AV16-Uzman_D!$G$7)*0.1 +
        IF(AW16-Uzman_D!$H$7&lt;0, -(AW16-Uzman_D!$H$7), AW16-Uzman_D!$H$7)*0.1 +
        IF(AX16-Uzman_D!$I$7&lt;0, -(AX16-Uzman_D!$I$7), AX16-Uzman_D!$I$7)*0.1 +
        IF(AY16-Uzman_D!$J$7&lt;0, -(AY16-Uzman_D!$J$7), AY16-Uzman_D!$J$7)*0.1
    ) +
    IF(ROUND((IF(BA16-Uzman_D!$L$7&lt;0, -(BA16-Uzman_D!$L$7), BA16-Uzman_D!$L$7)*2),0)/2 = IF(BA16-Uzman_D!$L$7&lt;0, -(BA16-Uzman_D!$L$7), BA16-Uzman_D!$L$7),
    (ROUND((IF(BA16-Uzman_D!$L$7&lt;0, -(BA16-Uzman_D!$L$7), BA16-Uzman_D!$L$7)*2),0)/1 * 0.1), 0) +
    IF(BB16-Uzman_D!$M$7&lt;0, -(BB16-Uzman_D!$M$7), BB16-Uzman_D!$M$7)*1
)</f>
        <v>-0.50000000000000022</v>
      </c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2"/>
      <c r="BO16" s="72"/>
      <c r="BP16" s="73">
        <f>1 - (
    SUM(
        IF(BD16-Uzman_D!$B$8&lt;0, -(BD16-Uzman_D!$B$8), BD16-Uzman_D!$B$8)*0.1 +
        IF(BE16-Uzman_D!$C$8&lt;0, -(BE16-Uzman_D!$C$8), BE16-Uzman_D!$C$8)*0.1 +
        IF(BF16-Uzman_D!$D$8&lt;0, -(BF16-Uzman_D!$D$8), BF16-Uzman_D!$D$8)*0.1 +
        IF(BG16-Uzman_D!$E$8&lt;0, -(BG16-Uzman_D!$E$8), BG16-Uzman_D!$E$8)*0.1 +
        IF(BH16-Uzman_D!$F$8&lt;0, -(BH16-Uzman_D!$F$8), BH16-Uzman_D!$F$8)*0.1 +
        IF(BI16-Uzman_D!$G$8&lt;0, -(BI16-Uzman_D!$G$8), BI16-Uzman_D!$G$8)*0.1 +
        IF(BJ16-Uzman_D!$H$8&lt;0, -(BJ16-Uzman_D!$H$8), BJ16-Uzman_D!$H$8)*0.1 +
        IF(BK16-Uzman_D!$I$8&lt;0, -(BK16-Uzman_D!$I$8), BK16-Uzman_D!$I$8)*0.1 +
        IF(BL16-Uzman_D!$J$8&lt;0, -(BL16-Uzman_D!$J$8), BL16-Uzman_D!$J$8)*0.1
    ) +
    IF(ROUND((IF(BN16-Uzman_D!$L$8&lt;0, -(BN16-Uzman_D!$L$8), BN16-Uzman_D!$L$8)*2),0)/2 = IF(BN16-Uzman_D!$L$8&lt;0, -(BN16-Uzman_D!$L$8), BN16-Uzman_D!$L$8),
    (ROUND((IF(BN16-Uzman_D!$L$8&lt;0, -(BN16-Uzman_D!$L$8), BN16-Uzman_D!$L$8)*2),0)/1 * 0.1), 0) +
    IF(BO16-Uzman_D!$M$8&lt;0, -(BO16-Uzman_D!$M$8), BO16-Uzman_D!$M$8)*1
)</f>
        <v>-0.20000000000000018</v>
      </c>
      <c r="BQ16" s="74">
        <f t="shared" si="0"/>
        <v>-0.54000000000000026</v>
      </c>
    </row>
    <row r="17" spans="1:69" ht="15" customHeight="1" x14ac:dyDescent="0.2">
      <c r="A17" s="57">
        <v>14</v>
      </c>
      <c r="B17" s="29">
        <f>Hakemler!B17</f>
        <v>0</v>
      </c>
      <c r="C17" s="29">
        <f>Hakemler!C17</f>
        <v>0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2"/>
      <c r="O17" s="72"/>
      <c r="P17" s="73">
        <f>1 - (
    SUM(
        IF(D17-Uzman_D!$B$4&lt;0, -(D17-Uzman_D!$B$4), D17-Uzman_D!$B$4)*0.1 +
        IF(E17-Uzman_D!$C$4&lt;0, -(E17-Uzman_D!$C$4), E17-Uzman_D!$C$4)*0.1 +
        IF(F17-Uzman_D!$D$4&lt;0, -(F17-Uzman_D!$D$4), F17-Uzman_D!$D$4)*0.1 +
        IF(G17-Uzman_D!$E$4&lt;0, -(G17-Uzman_D!$E$4), G17-Uzman_D!$E$4)*0.1 +
        IF(H17-Uzman_D!$F$4&lt;0, -(H17-Uzman_D!$F$4), H17-Uzman_D!$F$4)*0.1 +
        IF(I17-Uzman_D!$G$4&lt;0, -(I17-Uzman_D!$G$4), I17-Uzman_D!$G$4)*0.1 +
        IF(J17-Uzman_D!$H$4&lt;0, -(J17-Uzman_D!$H$4), J17-Uzman_D!$H$4)*0.1 +
        IF(K17-Uzman_D!$I$4&lt;0, -(K17-Uzman_D!$I$4), K17-Uzman_D!$I$4)*0.1 +
        IF(L17-Uzman_D!$J$4&lt;0, -(L17-Uzman_D!$J$4), L17-Uzman_D!$J$4)*0.1
    ) +
    IF(ROUND((IF(N17-Uzman_D!$L$4&lt;0, -(N17-Uzman_D!$L$4), N17-Uzman_D!$L$4)*2),0)/2 = IF(N17-Uzman_D!$L$4&lt;0, -(N17-Uzman_D!$L$4), N17-Uzman_D!$L$4),
    (ROUND((IF(N17-Uzman_D!$L$4&lt;0, -(N17-Uzman_D!$L$4), N17-Uzman_D!$L$4)*2),0)/1 * 0.1), 0) +
    IF(O17-Uzman_D!$M$4&lt;0, -(O17-Uzman_D!$M$4), O17-Uzman_D!$M$4)*1
)</f>
        <v>-0.90000000000000013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2"/>
      <c r="AB17" s="72"/>
      <c r="AC17" s="73">
        <f>1 - (
    SUM(
        IF(Q17-Uzman_D!$B$5&lt;0, -(Q17-Uzman_D!$B$5), Q17-Uzman_D!$B$5)*0.1 +
        IF(R17-Uzman_D!$C$5&lt;0, -(R17-Uzman_D!$C$5), R17-Uzman_D!$C$5)*0.1 +
        IF(S17-Uzman_D!$D$5&lt;0, -(S17-Uzman_D!$D$5), S17-Uzman_D!$D$5)*0.1 +
        IF(T17-Uzman_D!$E$5&lt;0, -(T17-Uzman_D!$E$5), T17-Uzman_D!$E$5)*0.1 +
        IF(U17-Uzman_D!$F$5&lt;0, -(U17-Uzman_D!$F$5), U17-Uzman_D!$F$5)*0.1 +
        IF(V17-Uzman_D!$G$5&lt;0, -(V17-Uzman_D!$G$5), V17-Uzman_D!$G$5)*0.1 +
        IF(W17-Uzman_D!$H$5&lt;0, -(W17-Uzman_D!$H$5), W17-Uzman_D!$H$5)*0.1 +
        IF(X17-Uzman_D!$I$5&lt;0, -(X17-Uzman_D!$I$5), X17-Uzman_D!$I$5)*0.1 +
        IF(Y17-Uzman_D!$J$5&lt;0, -(Y17-Uzman_D!$J$5), Y17-Uzman_D!$J$5)*0.1
    ) +
    IF(ROUND((IF(AA17-Uzman_D!$L$5&lt;0, -(AA17-Uzman_D!$L$5), AA17-Uzman_D!$L$5)*2),0)/2 = IF(AA17-Uzman_D!$L$5&lt;0, -(AA17-Uzman_D!$L$5), AA17-Uzman_D!$L$5),
    (ROUND((IF(AA17-Uzman_D!$L$5&lt;0, -(AA17-Uzman_D!$L$5), AA17-Uzman_D!$L$5)*2),0)/1 * 0.1), 0) +
    IF(AB17-Uzman_D!$M$5&lt;0, -(AB17-Uzman_D!$M$5), AB17-Uzman_D!$M$5)*1
)</f>
        <v>-0.50000000000000022</v>
      </c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2"/>
      <c r="AO17" s="72"/>
      <c r="AP17" s="73">
        <f>1 - (
    SUM(
        IF(AD17-Uzman_D!$B$6&lt;0, -(AD17-Uzman_D!$B$6), AD17-Uzman_D!$B$6)*0.1 +
        IF(AE17-Uzman_D!$C$6&lt;0, -(AE17-Uzman_D!$C$6), AE17-Uzman_D!$C$6)*0.1 +
        IF(AF17-Uzman_D!$D$6&lt;0, -(AF17-Uzman_D!$D$6), AF17-Uzman_D!$D$6)*0.1 +
        IF(AG17-Uzman_D!$E$6&lt;0, -(AG17-Uzman_D!$E$6), AG17-Uzman_D!$E$6)*0.1 +
        IF(AH17-Uzman_D!$F$6&lt;0, -(AH17-Uzman_D!$F$6), AH17-Uzman_D!$F$6)*0.1 +
        IF(AI17-Uzman_D!$G$6&lt;0, -(AI17-Uzman_D!$G$6), AI17-Uzman_D!$G$6)*0.1 +
        IF(AJ17-Uzman_D!$H$6&lt;0, -(AJ17-Uzman_D!$H$6), AJ17-Uzman_D!$H$6)*0.1 +
        IF(AK17-Uzman_D!$I$6&lt;0, -(AK17-Uzman_D!$I$6), AK17-Uzman_D!$I$6)*0.1 +
        IF(AL17-Uzman_D!$J$6&lt;0, -(AL17-Uzman_D!$J$6), AL17-Uzman_D!$J$6)*0.1
    ) +
    IF(ROUND((IF(AN17-Uzman_D!$L$6&lt;0, -(AN17-Uzman_D!$L$6), AN17-Uzman_D!$L$6)*2),0)/2 = IF(AN17-Uzman_D!$L$6&lt;0, -(AN17-Uzman_D!$L$6), AN17-Uzman_D!$L$6),
    (ROUND((IF(AN17-Uzman_D!$L$6&lt;0, -(AN17-Uzman_D!$L$6), AN17-Uzman_D!$L$6)*2),0)/1 * 0.1), 0) +
    IF(AO17-Uzman_D!$M$6&lt;0, -(AO17-Uzman_D!$M$6), AO17-Uzman_D!$M$6)*1
)</f>
        <v>-0.60000000000000009</v>
      </c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2"/>
      <c r="BB17" s="72"/>
      <c r="BC17" s="73">
        <f>1 - (
    SUM(
        IF(AQ17-Uzman_D!$B$7&lt;0, -(AQ17-Uzman_D!$B$7), AQ17-Uzman_D!$B$7)*0.1 +
        IF(AR17-Uzman_D!$C$7&lt;0, -(AR17-Uzman_D!$C$7), AR17-Uzman_D!$C$7)*0.1 +
        IF(AS17-Uzman_D!$D$7&lt;0, -(AS17-Uzman_D!$D$7), AS17-Uzman_D!$D$7)*0.1 +
        IF(AT17-Uzman_D!$E$7&lt;0, -(AT17-Uzman_D!$E$7), AT17-Uzman_D!$E$7)*0.1 +
        IF(AU17-Uzman_D!$F$7&lt;0, -(AU17-Uzman_D!$F$7), AU17-Uzman_D!$F$7)*0.1 +
        IF(AV17-Uzman_D!$G$7&lt;0, -(AV17-Uzman_D!$G$7), AV17-Uzman_D!$G$7)*0.1 +
        IF(AW17-Uzman_D!$H$7&lt;0, -(AW17-Uzman_D!$H$7), AW17-Uzman_D!$H$7)*0.1 +
        IF(AX17-Uzman_D!$I$7&lt;0, -(AX17-Uzman_D!$I$7), AX17-Uzman_D!$I$7)*0.1 +
        IF(AY17-Uzman_D!$J$7&lt;0, -(AY17-Uzman_D!$J$7), AY17-Uzman_D!$J$7)*0.1
    ) +
    IF(ROUND((IF(BA17-Uzman_D!$L$7&lt;0, -(BA17-Uzman_D!$L$7), BA17-Uzman_D!$L$7)*2),0)/2 = IF(BA17-Uzman_D!$L$7&lt;0, -(BA17-Uzman_D!$L$7), BA17-Uzman_D!$L$7),
    (ROUND((IF(BA17-Uzman_D!$L$7&lt;0, -(BA17-Uzman_D!$L$7), BA17-Uzman_D!$L$7)*2),0)/1 * 0.1), 0) +
    IF(BB17-Uzman_D!$M$7&lt;0, -(BB17-Uzman_D!$M$7), BB17-Uzman_D!$M$7)*1
)</f>
        <v>-0.50000000000000022</v>
      </c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2"/>
      <c r="BO17" s="72"/>
      <c r="BP17" s="73">
        <f>1 - (
    SUM(
        IF(BD17-Uzman_D!$B$8&lt;0, -(BD17-Uzman_D!$B$8), BD17-Uzman_D!$B$8)*0.1 +
        IF(BE17-Uzman_D!$C$8&lt;0, -(BE17-Uzman_D!$C$8), BE17-Uzman_D!$C$8)*0.1 +
        IF(BF17-Uzman_D!$D$8&lt;0, -(BF17-Uzman_D!$D$8), BF17-Uzman_D!$D$8)*0.1 +
        IF(BG17-Uzman_D!$E$8&lt;0, -(BG17-Uzman_D!$E$8), BG17-Uzman_D!$E$8)*0.1 +
        IF(BH17-Uzman_D!$F$8&lt;0, -(BH17-Uzman_D!$F$8), BH17-Uzman_D!$F$8)*0.1 +
        IF(BI17-Uzman_D!$G$8&lt;0, -(BI17-Uzman_D!$G$8), BI17-Uzman_D!$G$8)*0.1 +
        IF(BJ17-Uzman_D!$H$8&lt;0, -(BJ17-Uzman_D!$H$8), BJ17-Uzman_D!$H$8)*0.1 +
        IF(BK17-Uzman_D!$I$8&lt;0, -(BK17-Uzman_D!$I$8), BK17-Uzman_D!$I$8)*0.1 +
        IF(BL17-Uzman_D!$J$8&lt;0, -(BL17-Uzman_D!$J$8), BL17-Uzman_D!$J$8)*0.1
    ) +
    IF(ROUND((IF(BN17-Uzman_D!$L$8&lt;0, -(BN17-Uzman_D!$L$8), BN17-Uzman_D!$L$8)*2),0)/2 = IF(BN17-Uzman_D!$L$8&lt;0, -(BN17-Uzman_D!$L$8), BN17-Uzman_D!$L$8),
    (ROUND((IF(BN17-Uzman_D!$L$8&lt;0, -(BN17-Uzman_D!$L$8), BN17-Uzman_D!$L$8)*2),0)/1 * 0.1), 0) +
    IF(BO17-Uzman_D!$M$8&lt;0, -(BO17-Uzman_D!$M$8), BO17-Uzman_D!$M$8)*1
)</f>
        <v>-0.20000000000000018</v>
      </c>
      <c r="BQ17" s="74">
        <f t="shared" si="0"/>
        <v>-0.54000000000000026</v>
      </c>
    </row>
    <row r="18" spans="1:69" ht="15" customHeight="1" x14ac:dyDescent="0.2">
      <c r="A18" s="57">
        <v>15</v>
      </c>
      <c r="B18" s="29">
        <f>Hakemler!B18</f>
        <v>0</v>
      </c>
      <c r="C18" s="29">
        <f>Hakemler!C18</f>
        <v>0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  <c r="O18" s="72"/>
      <c r="P18" s="73">
        <f>1 - (
    SUM(
        IF(D18-Uzman_D!$B$4&lt;0, -(D18-Uzman_D!$B$4), D18-Uzman_D!$B$4)*0.1 +
        IF(E18-Uzman_D!$C$4&lt;0, -(E18-Uzman_D!$C$4), E18-Uzman_D!$C$4)*0.1 +
        IF(F18-Uzman_D!$D$4&lt;0, -(F18-Uzman_D!$D$4), F18-Uzman_D!$D$4)*0.1 +
        IF(G18-Uzman_D!$E$4&lt;0, -(G18-Uzman_D!$E$4), G18-Uzman_D!$E$4)*0.1 +
        IF(H18-Uzman_D!$F$4&lt;0, -(H18-Uzman_D!$F$4), H18-Uzman_D!$F$4)*0.1 +
        IF(I18-Uzman_D!$G$4&lt;0, -(I18-Uzman_D!$G$4), I18-Uzman_D!$G$4)*0.1 +
        IF(J18-Uzman_D!$H$4&lt;0, -(J18-Uzman_D!$H$4), J18-Uzman_D!$H$4)*0.1 +
        IF(K18-Uzman_D!$I$4&lt;0, -(K18-Uzman_D!$I$4), K18-Uzman_D!$I$4)*0.1 +
        IF(L18-Uzman_D!$J$4&lt;0, -(L18-Uzman_D!$J$4), L18-Uzman_D!$J$4)*0.1
    ) +
    IF(ROUND((IF(N18-Uzman_D!$L$4&lt;0, -(N18-Uzman_D!$L$4), N18-Uzman_D!$L$4)*2),0)/2 = IF(N18-Uzman_D!$L$4&lt;0, -(N18-Uzman_D!$L$4), N18-Uzman_D!$L$4),
    (ROUND((IF(N18-Uzman_D!$L$4&lt;0, -(N18-Uzman_D!$L$4), N18-Uzman_D!$L$4)*2),0)/1 * 0.1), 0) +
    IF(O18-Uzman_D!$M$4&lt;0, -(O18-Uzman_D!$M$4), O18-Uzman_D!$M$4)*1
)</f>
        <v>-0.90000000000000013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  <c r="AB18" s="72"/>
      <c r="AC18" s="73">
        <f>1 - (
    SUM(
        IF(Q18-Uzman_D!$B$5&lt;0, -(Q18-Uzman_D!$B$5), Q18-Uzman_D!$B$5)*0.1 +
        IF(R18-Uzman_D!$C$5&lt;0, -(R18-Uzman_D!$C$5), R18-Uzman_D!$C$5)*0.1 +
        IF(S18-Uzman_D!$D$5&lt;0, -(S18-Uzman_D!$D$5), S18-Uzman_D!$D$5)*0.1 +
        IF(T18-Uzman_D!$E$5&lt;0, -(T18-Uzman_D!$E$5), T18-Uzman_D!$E$5)*0.1 +
        IF(U18-Uzman_D!$F$5&lt;0, -(U18-Uzman_D!$F$5), U18-Uzman_D!$F$5)*0.1 +
        IF(V18-Uzman_D!$G$5&lt;0, -(V18-Uzman_D!$G$5), V18-Uzman_D!$G$5)*0.1 +
        IF(W18-Uzman_D!$H$5&lt;0, -(W18-Uzman_D!$H$5), W18-Uzman_D!$H$5)*0.1 +
        IF(X18-Uzman_D!$I$5&lt;0, -(X18-Uzman_D!$I$5), X18-Uzman_D!$I$5)*0.1 +
        IF(Y18-Uzman_D!$J$5&lt;0, -(Y18-Uzman_D!$J$5), Y18-Uzman_D!$J$5)*0.1
    ) +
    IF(ROUND((IF(AA18-Uzman_D!$L$5&lt;0, -(AA18-Uzman_D!$L$5), AA18-Uzman_D!$L$5)*2),0)/2 = IF(AA18-Uzman_D!$L$5&lt;0, -(AA18-Uzman_D!$L$5), AA18-Uzman_D!$L$5),
    (ROUND((IF(AA18-Uzman_D!$L$5&lt;0, -(AA18-Uzman_D!$L$5), AA18-Uzman_D!$L$5)*2),0)/1 * 0.1), 0) +
    IF(AB18-Uzman_D!$M$5&lt;0, -(AB18-Uzman_D!$M$5), AB18-Uzman_D!$M$5)*1
)</f>
        <v>-0.50000000000000022</v>
      </c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2"/>
      <c r="AO18" s="72"/>
      <c r="AP18" s="73">
        <f>1 - (
    SUM(
        IF(AD18-Uzman_D!$B$6&lt;0, -(AD18-Uzman_D!$B$6), AD18-Uzman_D!$B$6)*0.1 +
        IF(AE18-Uzman_D!$C$6&lt;0, -(AE18-Uzman_D!$C$6), AE18-Uzman_D!$C$6)*0.1 +
        IF(AF18-Uzman_D!$D$6&lt;0, -(AF18-Uzman_D!$D$6), AF18-Uzman_D!$D$6)*0.1 +
        IF(AG18-Uzman_D!$E$6&lt;0, -(AG18-Uzman_D!$E$6), AG18-Uzman_D!$E$6)*0.1 +
        IF(AH18-Uzman_D!$F$6&lt;0, -(AH18-Uzman_D!$F$6), AH18-Uzman_D!$F$6)*0.1 +
        IF(AI18-Uzman_D!$G$6&lt;0, -(AI18-Uzman_D!$G$6), AI18-Uzman_D!$G$6)*0.1 +
        IF(AJ18-Uzman_D!$H$6&lt;0, -(AJ18-Uzman_D!$H$6), AJ18-Uzman_D!$H$6)*0.1 +
        IF(AK18-Uzman_D!$I$6&lt;0, -(AK18-Uzman_D!$I$6), AK18-Uzman_D!$I$6)*0.1 +
        IF(AL18-Uzman_D!$J$6&lt;0, -(AL18-Uzman_D!$J$6), AL18-Uzman_D!$J$6)*0.1
    ) +
    IF(ROUND((IF(AN18-Uzman_D!$L$6&lt;0, -(AN18-Uzman_D!$L$6), AN18-Uzman_D!$L$6)*2),0)/2 = IF(AN18-Uzman_D!$L$6&lt;0, -(AN18-Uzman_D!$L$6), AN18-Uzman_D!$L$6),
    (ROUND((IF(AN18-Uzman_D!$L$6&lt;0, -(AN18-Uzman_D!$L$6), AN18-Uzman_D!$L$6)*2),0)/1 * 0.1), 0) +
    IF(AO18-Uzman_D!$M$6&lt;0, -(AO18-Uzman_D!$M$6), AO18-Uzman_D!$M$6)*1
)</f>
        <v>-0.60000000000000009</v>
      </c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2"/>
      <c r="BB18" s="72"/>
      <c r="BC18" s="73">
        <f>1 - (
    SUM(
        IF(AQ18-Uzman_D!$B$7&lt;0, -(AQ18-Uzman_D!$B$7), AQ18-Uzman_D!$B$7)*0.1 +
        IF(AR18-Uzman_D!$C$7&lt;0, -(AR18-Uzman_D!$C$7), AR18-Uzman_D!$C$7)*0.1 +
        IF(AS18-Uzman_D!$D$7&lt;0, -(AS18-Uzman_D!$D$7), AS18-Uzman_D!$D$7)*0.1 +
        IF(AT18-Uzman_D!$E$7&lt;0, -(AT18-Uzman_D!$E$7), AT18-Uzman_D!$E$7)*0.1 +
        IF(AU18-Uzman_D!$F$7&lt;0, -(AU18-Uzman_D!$F$7), AU18-Uzman_D!$F$7)*0.1 +
        IF(AV18-Uzman_D!$G$7&lt;0, -(AV18-Uzman_D!$G$7), AV18-Uzman_D!$G$7)*0.1 +
        IF(AW18-Uzman_D!$H$7&lt;0, -(AW18-Uzman_D!$H$7), AW18-Uzman_D!$H$7)*0.1 +
        IF(AX18-Uzman_D!$I$7&lt;0, -(AX18-Uzman_D!$I$7), AX18-Uzman_D!$I$7)*0.1 +
        IF(AY18-Uzman_D!$J$7&lt;0, -(AY18-Uzman_D!$J$7), AY18-Uzman_D!$J$7)*0.1
    ) +
    IF(ROUND((IF(BA18-Uzman_D!$L$7&lt;0, -(BA18-Uzman_D!$L$7), BA18-Uzman_D!$L$7)*2),0)/2 = IF(BA18-Uzman_D!$L$7&lt;0, -(BA18-Uzman_D!$L$7), BA18-Uzman_D!$L$7),
    (ROUND((IF(BA18-Uzman_D!$L$7&lt;0, -(BA18-Uzman_D!$L$7), BA18-Uzman_D!$L$7)*2),0)/1 * 0.1), 0) +
    IF(BB18-Uzman_D!$M$7&lt;0, -(BB18-Uzman_D!$M$7), BB18-Uzman_D!$M$7)*1
)</f>
        <v>-0.50000000000000022</v>
      </c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2"/>
      <c r="BO18" s="72"/>
      <c r="BP18" s="73">
        <f>1 - (
    SUM(
        IF(BD18-Uzman_D!$B$8&lt;0, -(BD18-Uzman_D!$B$8), BD18-Uzman_D!$B$8)*0.1 +
        IF(BE18-Uzman_D!$C$8&lt;0, -(BE18-Uzman_D!$C$8), BE18-Uzman_D!$C$8)*0.1 +
        IF(BF18-Uzman_D!$D$8&lt;0, -(BF18-Uzman_D!$D$8), BF18-Uzman_D!$D$8)*0.1 +
        IF(BG18-Uzman_D!$E$8&lt;0, -(BG18-Uzman_D!$E$8), BG18-Uzman_D!$E$8)*0.1 +
        IF(BH18-Uzman_D!$F$8&lt;0, -(BH18-Uzman_D!$F$8), BH18-Uzman_D!$F$8)*0.1 +
        IF(BI18-Uzman_D!$G$8&lt;0, -(BI18-Uzman_D!$G$8), BI18-Uzman_D!$G$8)*0.1 +
        IF(BJ18-Uzman_D!$H$8&lt;0, -(BJ18-Uzman_D!$H$8), BJ18-Uzman_D!$H$8)*0.1 +
        IF(BK18-Uzman_D!$I$8&lt;0, -(BK18-Uzman_D!$I$8), BK18-Uzman_D!$I$8)*0.1 +
        IF(BL18-Uzman_D!$J$8&lt;0, -(BL18-Uzman_D!$J$8), BL18-Uzman_D!$J$8)*0.1
    ) +
    IF(ROUND((IF(BN18-Uzman_D!$L$8&lt;0, -(BN18-Uzman_D!$L$8), BN18-Uzman_D!$L$8)*2),0)/2 = IF(BN18-Uzman_D!$L$8&lt;0, -(BN18-Uzman_D!$L$8), BN18-Uzman_D!$L$8),
    (ROUND((IF(BN18-Uzman_D!$L$8&lt;0, -(BN18-Uzman_D!$L$8), BN18-Uzman_D!$L$8)*2),0)/1 * 0.1), 0) +
    IF(BO18-Uzman_D!$M$8&lt;0, -(BO18-Uzman_D!$M$8), BO18-Uzman_D!$M$8)*1
)</f>
        <v>-0.20000000000000018</v>
      </c>
      <c r="BQ18" s="74">
        <f t="shared" si="0"/>
        <v>-0.54000000000000026</v>
      </c>
    </row>
    <row r="19" spans="1:69" ht="15" customHeight="1" x14ac:dyDescent="0.2">
      <c r="A19" s="57">
        <v>16</v>
      </c>
      <c r="B19" s="29">
        <f>Hakemler!B19</f>
        <v>0</v>
      </c>
      <c r="C19" s="29">
        <f>Hakemler!C19</f>
        <v>0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2"/>
      <c r="O19" s="72"/>
      <c r="P19" s="73">
        <f>1 - (
    SUM(
        IF(D19-Uzman_D!$B$4&lt;0, -(D19-Uzman_D!$B$4), D19-Uzman_D!$B$4)*0.1 +
        IF(E19-Uzman_D!$C$4&lt;0, -(E19-Uzman_D!$C$4), E19-Uzman_D!$C$4)*0.1 +
        IF(F19-Uzman_D!$D$4&lt;0, -(F19-Uzman_D!$D$4), F19-Uzman_D!$D$4)*0.1 +
        IF(G19-Uzman_D!$E$4&lt;0, -(G19-Uzman_D!$E$4), G19-Uzman_D!$E$4)*0.1 +
        IF(H19-Uzman_D!$F$4&lt;0, -(H19-Uzman_D!$F$4), H19-Uzman_D!$F$4)*0.1 +
        IF(I19-Uzman_D!$G$4&lt;0, -(I19-Uzman_D!$G$4), I19-Uzman_D!$G$4)*0.1 +
        IF(J19-Uzman_D!$H$4&lt;0, -(J19-Uzman_D!$H$4), J19-Uzman_D!$H$4)*0.1 +
        IF(K19-Uzman_D!$I$4&lt;0, -(K19-Uzman_D!$I$4), K19-Uzman_D!$I$4)*0.1 +
        IF(L19-Uzman_D!$J$4&lt;0, -(L19-Uzman_D!$J$4), L19-Uzman_D!$J$4)*0.1
    ) +
    IF(ROUND((IF(N19-Uzman_D!$L$4&lt;0, -(N19-Uzman_D!$L$4), N19-Uzman_D!$L$4)*2),0)/2 = IF(N19-Uzman_D!$L$4&lt;0, -(N19-Uzman_D!$L$4), N19-Uzman_D!$L$4),
    (ROUND((IF(N19-Uzman_D!$L$4&lt;0, -(N19-Uzman_D!$L$4), N19-Uzman_D!$L$4)*2),0)/1 * 0.1), 0) +
    IF(O19-Uzman_D!$M$4&lt;0, -(O19-Uzman_D!$M$4), O19-Uzman_D!$M$4)*1
)</f>
        <v>-0.90000000000000013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  <c r="AB19" s="72"/>
      <c r="AC19" s="73">
        <f>1 - (
    SUM(
        IF(Q19-Uzman_D!$B$5&lt;0, -(Q19-Uzman_D!$B$5), Q19-Uzman_D!$B$5)*0.1 +
        IF(R19-Uzman_D!$C$5&lt;0, -(R19-Uzman_D!$C$5), R19-Uzman_D!$C$5)*0.1 +
        IF(S19-Uzman_D!$D$5&lt;0, -(S19-Uzman_D!$D$5), S19-Uzman_D!$D$5)*0.1 +
        IF(T19-Uzman_D!$E$5&lt;0, -(T19-Uzman_D!$E$5), T19-Uzman_D!$E$5)*0.1 +
        IF(U19-Uzman_D!$F$5&lt;0, -(U19-Uzman_D!$F$5), U19-Uzman_D!$F$5)*0.1 +
        IF(V19-Uzman_D!$G$5&lt;0, -(V19-Uzman_D!$G$5), V19-Uzman_D!$G$5)*0.1 +
        IF(W19-Uzman_D!$H$5&lt;0, -(W19-Uzman_D!$H$5), W19-Uzman_D!$H$5)*0.1 +
        IF(X19-Uzman_D!$I$5&lt;0, -(X19-Uzman_D!$I$5), X19-Uzman_D!$I$5)*0.1 +
        IF(Y19-Uzman_D!$J$5&lt;0, -(Y19-Uzman_D!$J$5), Y19-Uzman_D!$J$5)*0.1
    ) +
    IF(ROUND((IF(AA19-Uzman_D!$L$5&lt;0, -(AA19-Uzman_D!$L$5), AA19-Uzman_D!$L$5)*2),0)/2 = IF(AA19-Uzman_D!$L$5&lt;0, -(AA19-Uzman_D!$L$5), AA19-Uzman_D!$L$5),
    (ROUND((IF(AA19-Uzman_D!$L$5&lt;0, -(AA19-Uzman_D!$L$5), AA19-Uzman_D!$L$5)*2),0)/1 * 0.1), 0) +
    IF(AB19-Uzman_D!$M$5&lt;0, -(AB19-Uzman_D!$M$5), AB19-Uzman_D!$M$5)*1
)</f>
        <v>-0.50000000000000022</v>
      </c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2"/>
      <c r="AO19" s="72"/>
      <c r="AP19" s="73">
        <f>1 - (
    SUM(
        IF(AD19-Uzman_D!$B$6&lt;0, -(AD19-Uzman_D!$B$6), AD19-Uzman_D!$B$6)*0.1 +
        IF(AE19-Uzman_D!$C$6&lt;0, -(AE19-Uzman_D!$C$6), AE19-Uzman_D!$C$6)*0.1 +
        IF(AF19-Uzman_D!$D$6&lt;0, -(AF19-Uzman_D!$D$6), AF19-Uzman_D!$D$6)*0.1 +
        IF(AG19-Uzman_D!$E$6&lt;0, -(AG19-Uzman_D!$E$6), AG19-Uzman_D!$E$6)*0.1 +
        IF(AH19-Uzman_D!$F$6&lt;0, -(AH19-Uzman_D!$F$6), AH19-Uzman_D!$F$6)*0.1 +
        IF(AI19-Uzman_D!$G$6&lt;0, -(AI19-Uzman_D!$G$6), AI19-Uzman_D!$G$6)*0.1 +
        IF(AJ19-Uzman_D!$H$6&lt;0, -(AJ19-Uzman_D!$H$6), AJ19-Uzman_D!$H$6)*0.1 +
        IF(AK19-Uzman_D!$I$6&lt;0, -(AK19-Uzman_D!$I$6), AK19-Uzman_D!$I$6)*0.1 +
        IF(AL19-Uzman_D!$J$6&lt;0, -(AL19-Uzman_D!$J$6), AL19-Uzman_D!$J$6)*0.1
    ) +
    IF(ROUND((IF(AN19-Uzman_D!$L$6&lt;0, -(AN19-Uzman_D!$L$6), AN19-Uzman_D!$L$6)*2),0)/2 = IF(AN19-Uzman_D!$L$6&lt;0, -(AN19-Uzman_D!$L$6), AN19-Uzman_D!$L$6),
    (ROUND((IF(AN19-Uzman_D!$L$6&lt;0, -(AN19-Uzman_D!$L$6), AN19-Uzman_D!$L$6)*2),0)/1 * 0.1), 0) +
    IF(AO19-Uzman_D!$M$6&lt;0, -(AO19-Uzman_D!$M$6), AO19-Uzman_D!$M$6)*1
)</f>
        <v>-0.60000000000000009</v>
      </c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2"/>
      <c r="BB19" s="72"/>
      <c r="BC19" s="73">
        <f>1 - (
    SUM(
        IF(AQ19-Uzman_D!$B$7&lt;0, -(AQ19-Uzman_D!$B$7), AQ19-Uzman_D!$B$7)*0.1 +
        IF(AR19-Uzman_D!$C$7&lt;0, -(AR19-Uzman_D!$C$7), AR19-Uzman_D!$C$7)*0.1 +
        IF(AS19-Uzman_D!$D$7&lt;0, -(AS19-Uzman_D!$D$7), AS19-Uzman_D!$D$7)*0.1 +
        IF(AT19-Uzman_D!$E$7&lt;0, -(AT19-Uzman_D!$E$7), AT19-Uzman_D!$E$7)*0.1 +
        IF(AU19-Uzman_D!$F$7&lt;0, -(AU19-Uzman_D!$F$7), AU19-Uzman_D!$F$7)*0.1 +
        IF(AV19-Uzman_D!$G$7&lt;0, -(AV19-Uzman_D!$G$7), AV19-Uzman_D!$G$7)*0.1 +
        IF(AW19-Uzman_D!$H$7&lt;0, -(AW19-Uzman_D!$H$7), AW19-Uzman_D!$H$7)*0.1 +
        IF(AX19-Uzman_D!$I$7&lt;0, -(AX19-Uzman_D!$I$7), AX19-Uzman_D!$I$7)*0.1 +
        IF(AY19-Uzman_D!$J$7&lt;0, -(AY19-Uzman_D!$J$7), AY19-Uzman_D!$J$7)*0.1
    ) +
    IF(ROUND((IF(BA19-Uzman_D!$L$7&lt;0, -(BA19-Uzman_D!$L$7), BA19-Uzman_D!$L$7)*2),0)/2 = IF(BA19-Uzman_D!$L$7&lt;0, -(BA19-Uzman_D!$L$7), BA19-Uzman_D!$L$7),
    (ROUND((IF(BA19-Uzman_D!$L$7&lt;0, -(BA19-Uzman_D!$L$7), BA19-Uzman_D!$L$7)*2),0)/1 * 0.1), 0) +
    IF(BB19-Uzman_D!$M$7&lt;0, -(BB19-Uzman_D!$M$7), BB19-Uzman_D!$M$7)*1
)</f>
        <v>-0.50000000000000022</v>
      </c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2"/>
      <c r="BO19" s="72"/>
      <c r="BP19" s="73">
        <f>1 - (
    SUM(
        IF(BD19-Uzman_D!$B$8&lt;0, -(BD19-Uzman_D!$B$8), BD19-Uzman_D!$B$8)*0.1 +
        IF(BE19-Uzman_D!$C$8&lt;0, -(BE19-Uzman_D!$C$8), BE19-Uzman_D!$C$8)*0.1 +
        IF(BF19-Uzman_D!$D$8&lt;0, -(BF19-Uzman_D!$D$8), BF19-Uzman_D!$D$8)*0.1 +
        IF(BG19-Uzman_D!$E$8&lt;0, -(BG19-Uzman_D!$E$8), BG19-Uzman_D!$E$8)*0.1 +
        IF(BH19-Uzman_D!$F$8&lt;0, -(BH19-Uzman_D!$F$8), BH19-Uzman_D!$F$8)*0.1 +
        IF(BI19-Uzman_D!$G$8&lt;0, -(BI19-Uzman_D!$G$8), BI19-Uzman_D!$G$8)*0.1 +
        IF(BJ19-Uzman_D!$H$8&lt;0, -(BJ19-Uzman_D!$H$8), BJ19-Uzman_D!$H$8)*0.1 +
        IF(BK19-Uzman_D!$I$8&lt;0, -(BK19-Uzman_D!$I$8), BK19-Uzman_D!$I$8)*0.1 +
        IF(BL19-Uzman_D!$J$8&lt;0, -(BL19-Uzman_D!$J$8), BL19-Uzman_D!$J$8)*0.1
    ) +
    IF(ROUND((IF(BN19-Uzman_D!$L$8&lt;0, -(BN19-Uzman_D!$L$8), BN19-Uzman_D!$L$8)*2),0)/2 = IF(BN19-Uzman_D!$L$8&lt;0, -(BN19-Uzman_D!$L$8), BN19-Uzman_D!$L$8),
    (ROUND((IF(BN19-Uzman_D!$L$8&lt;0, -(BN19-Uzman_D!$L$8), BN19-Uzman_D!$L$8)*2),0)/1 * 0.1), 0) +
    IF(BO19-Uzman_D!$M$8&lt;0, -(BO19-Uzman_D!$M$8), BO19-Uzman_D!$M$8)*1
)</f>
        <v>-0.20000000000000018</v>
      </c>
      <c r="BQ19" s="74">
        <f t="shared" si="0"/>
        <v>-0.54000000000000026</v>
      </c>
    </row>
    <row r="20" spans="1:69" ht="15" customHeight="1" x14ac:dyDescent="0.2">
      <c r="A20" s="57">
        <v>17</v>
      </c>
      <c r="B20" s="29">
        <f>Hakemler!B20</f>
        <v>0</v>
      </c>
      <c r="C20" s="29">
        <f>Hakemler!C20</f>
        <v>0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2"/>
      <c r="O20" s="72"/>
      <c r="P20" s="73">
        <f>1 - (
    SUM(
        IF(D20-Uzman_D!$B$4&lt;0, -(D20-Uzman_D!$B$4), D20-Uzman_D!$B$4)*0.1 +
        IF(E20-Uzman_D!$C$4&lt;0, -(E20-Uzman_D!$C$4), E20-Uzman_D!$C$4)*0.1 +
        IF(F20-Uzman_D!$D$4&lt;0, -(F20-Uzman_D!$D$4), F20-Uzman_D!$D$4)*0.1 +
        IF(G20-Uzman_D!$E$4&lt;0, -(G20-Uzman_D!$E$4), G20-Uzman_D!$E$4)*0.1 +
        IF(H20-Uzman_D!$F$4&lt;0, -(H20-Uzman_D!$F$4), H20-Uzman_D!$F$4)*0.1 +
        IF(I20-Uzman_D!$G$4&lt;0, -(I20-Uzman_D!$G$4), I20-Uzman_D!$G$4)*0.1 +
        IF(J20-Uzman_D!$H$4&lt;0, -(J20-Uzman_D!$H$4), J20-Uzman_D!$H$4)*0.1 +
        IF(K20-Uzman_D!$I$4&lt;0, -(K20-Uzman_D!$I$4), K20-Uzman_D!$I$4)*0.1 +
        IF(L20-Uzman_D!$J$4&lt;0, -(L20-Uzman_D!$J$4), L20-Uzman_D!$J$4)*0.1
    ) +
    IF(ROUND((IF(N20-Uzman_D!$L$4&lt;0, -(N20-Uzman_D!$L$4), N20-Uzman_D!$L$4)*2),0)/2 = IF(N20-Uzman_D!$L$4&lt;0, -(N20-Uzman_D!$L$4), N20-Uzman_D!$L$4),
    (ROUND((IF(N20-Uzman_D!$L$4&lt;0, -(N20-Uzman_D!$L$4), N20-Uzman_D!$L$4)*2),0)/1 * 0.1), 0) +
    IF(O20-Uzman_D!$M$4&lt;0, -(O20-Uzman_D!$M$4), O20-Uzman_D!$M$4)*1
)</f>
        <v>-0.90000000000000013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  <c r="AB20" s="72"/>
      <c r="AC20" s="73">
        <f>1 - (
    SUM(
        IF(Q20-Uzman_D!$B$5&lt;0, -(Q20-Uzman_D!$B$5), Q20-Uzman_D!$B$5)*0.1 +
        IF(R20-Uzman_D!$C$5&lt;0, -(R20-Uzman_D!$C$5), R20-Uzman_D!$C$5)*0.1 +
        IF(S20-Uzman_D!$D$5&lt;0, -(S20-Uzman_D!$D$5), S20-Uzman_D!$D$5)*0.1 +
        IF(T20-Uzman_D!$E$5&lt;0, -(T20-Uzman_D!$E$5), T20-Uzman_D!$E$5)*0.1 +
        IF(U20-Uzman_D!$F$5&lt;0, -(U20-Uzman_D!$F$5), U20-Uzman_D!$F$5)*0.1 +
        IF(V20-Uzman_D!$G$5&lt;0, -(V20-Uzman_D!$G$5), V20-Uzman_D!$G$5)*0.1 +
        IF(W20-Uzman_D!$H$5&lt;0, -(W20-Uzman_D!$H$5), W20-Uzman_D!$H$5)*0.1 +
        IF(X20-Uzman_D!$I$5&lt;0, -(X20-Uzman_D!$I$5), X20-Uzman_D!$I$5)*0.1 +
        IF(Y20-Uzman_D!$J$5&lt;0, -(Y20-Uzman_D!$J$5), Y20-Uzman_D!$J$5)*0.1
    ) +
    IF(ROUND((IF(AA20-Uzman_D!$L$5&lt;0, -(AA20-Uzman_D!$L$5), AA20-Uzman_D!$L$5)*2),0)/2 = IF(AA20-Uzman_D!$L$5&lt;0, -(AA20-Uzman_D!$L$5), AA20-Uzman_D!$L$5),
    (ROUND((IF(AA20-Uzman_D!$L$5&lt;0, -(AA20-Uzman_D!$L$5), AA20-Uzman_D!$L$5)*2),0)/1 * 0.1), 0) +
    IF(AB20-Uzman_D!$M$5&lt;0, -(AB20-Uzman_D!$M$5), AB20-Uzman_D!$M$5)*1
)</f>
        <v>-0.50000000000000022</v>
      </c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2"/>
      <c r="AO20" s="72"/>
      <c r="AP20" s="73">
        <f>1 - (
    SUM(
        IF(AD20-Uzman_D!$B$6&lt;0, -(AD20-Uzman_D!$B$6), AD20-Uzman_D!$B$6)*0.1 +
        IF(AE20-Uzman_D!$C$6&lt;0, -(AE20-Uzman_D!$C$6), AE20-Uzman_D!$C$6)*0.1 +
        IF(AF20-Uzman_D!$D$6&lt;0, -(AF20-Uzman_D!$D$6), AF20-Uzman_D!$D$6)*0.1 +
        IF(AG20-Uzman_D!$E$6&lt;0, -(AG20-Uzman_D!$E$6), AG20-Uzman_D!$E$6)*0.1 +
        IF(AH20-Uzman_D!$F$6&lt;0, -(AH20-Uzman_D!$F$6), AH20-Uzman_D!$F$6)*0.1 +
        IF(AI20-Uzman_D!$G$6&lt;0, -(AI20-Uzman_D!$G$6), AI20-Uzman_D!$G$6)*0.1 +
        IF(AJ20-Uzman_D!$H$6&lt;0, -(AJ20-Uzman_D!$H$6), AJ20-Uzman_D!$H$6)*0.1 +
        IF(AK20-Uzman_D!$I$6&lt;0, -(AK20-Uzman_D!$I$6), AK20-Uzman_D!$I$6)*0.1 +
        IF(AL20-Uzman_D!$J$6&lt;0, -(AL20-Uzman_D!$J$6), AL20-Uzman_D!$J$6)*0.1
    ) +
    IF(ROUND((IF(AN20-Uzman_D!$L$6&lt;0, -(AN20-Uzman_D!$L$6), AN20-Uzman_D!$L$6)*2),0)/2 = IF(AN20-Uzman_D!$L$6&lt;0, -(AN20-Uzman_D!$L$6), AN20-Uzman_D!$L$6),
    (ROUND((IF(AN20-Uzman_D!$L$6&lt;0, -(AN20-Uzman_D!$L$6), AN20-Uzman_D!$L$6)*2),0)/1 * 0.1), 0) +
    IF(AO20-Uzman_D!$M$6&lt;0, -(AO20-Uzman_D!$M$6), AO20-Uzman_D!$M$6)*1
)</f>
        <v>-0.60000000000000009</v>
      </c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2"/>
      <c r="BB20" s="72"/>
      <c r="BC20" s="73">
        <f>1 - (
    SUM(
        IF(AQ20-Uzman_D!$B$7&lt;0, -(AQ20-Uzman_D!$B$7), AQ20-Uzman_D!$B$7)*0.1 +
        IF(AR20-Uzman_D!$C$7&lt;0, -(AR20-Uzman_D!$C$7), AR20-Uzman_D!$C$7)*0.1 +
        IF(AS20-Uzman_D!$D$7&lt;0, -(AS20-Uzman_D!$D$7), AS20-Uzman_D!$D$7)*0.1 +
        IF(AT20-Uzman_D!$E$7&lt;0, -(AT20-Uzman_D!$E$7), AT20-Uzman_D!$E$7)*0.1 +
        IF(AU20-Uzman_D!$F$7&lt;0, -(AU20-Uzman_D!$F$7), AU20-Uzman_D!$F$7)*0.1 +
        IF(AV20-Uzman_D!$G$7&lt;0, -(AV20-Uzman_D!$G$7), AV20-Uzman_D!$G$7)*0.1 +
        IF(AW20-Uzman_D!$H$7&lt;0, -(AW20-Uzman_D!$H$7), AW20-Uzman_D!$H$7)*0.1 +
        IF(AX20-Uzman_D!$I$7&lt;0, -(AX20-Uzman_D!$I$7), AX20-Uzman_D!$I$7)*0.1 +
        IF(AY20-Uzman_D!$J$7&lt;0, -(AY20-Uzman_D!$J$7), AY20-Uzman_D!$J$7)*0.1
    ) +
    IF(ROUND((IF(BA20-Uzman_D!$L$7&lt;0, -(BA20-Uzman_D!$L$7), BA20-Uzman_D!$L$7)*2),0)/2 = IF(BA20-Uzman_D!$L$7&lt;0, -(BA20-Uzman_D!$L$7), BA20-Uzman_D!$L$7),
    (ROUND((IF(BA20-Uzman_D!$L$7&lt;0, -(BA20-Uzman_D!$L$7), BA20-Uzman_D!$L$7)*2),0)/1 * 0.1), 0) +
    IF(BB20-Uzman_D!$M$7&lt;0, -(BB20-Uzman_D!$M$7), BB20-Uzman_D!$M$7)*1
)</f>
        <v>-0.50000000000000022</v>
      </c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2"/>
      <c r="BO20" s="72"/>
      <c r="BP20" s="73">
        <f>1 - (
    SUM(
        IF(BD20-Uzman_D!$B$8&lt;0, -(BD20-Uzman_D!$B$8), BD20-Uzman_D!$B$8)*0.1 +
        IF(BE20-Uzman_D!$C$8&lt;0, -(BE20-Uzman_D!$C$8), BE20-Uzman_D!$C$8)*0.1 +
        IF(BF20-Uzman_D!$D$8&lt;0, -(BF20-Uzman_D!$D$8), BF20-Uzman_D!$D$8)*0.1 +
        IF(BG20-Uzman_D!$E$8&lt;0, -(BG20-Uzman_D!$E$8), BG20-Uzman_D!$E$8)*0.1 +
        IF(BH20-Uzman_D!$F$8&lt;0, -(BH20-Uzman_D!$F$8), BH20-Uzman_D!$F$8)*0.1 +
        IF(BI20-Uzman_D!$G$8&lt;0, -(BI20-Uzman_D!$G$8), BI20-Uzman_D!$G$8)*0.1 +
        IF(BJ20-Uzman_D!$H$8&lt;0, -(BJ20-Uzman_D!$H$8), BJ20-Uzman_D!$H$8)*0.1 +
        IF(BK20-Uzman_D!$I$8&lt;0, -(BK20-Uzman_D!$I$8), BK20-Uzman_D!$I$8)*0.1 +
        IF(BL20-Uzman_D!$J$8&lt;0, -(BL20-Uzman_D!$J$8), BL20-Uzman_D!$J$8)*0.1
    ) +
    IF(ROUND((IF(BN20-Uzman_D!$L$8&lt;0, -(BN20-Uzman_D!$L$8), BN20-Uzman_D!$L$8)*2),0)/2 = IF(BN20-Uzman_D!$L$8&lt;0, -(BN20-Uzman_D!$L$8), BN20-Uzman_D!$L$8),
    (ROUND((IF(BN20-Uzman_D!$L$8&lt;0, -(BN20-Uzman_D!$L$8), BN20-Uzman_D!$L$8)*2),0)/1 * 0.1), 0) +
    IF(BO20-Uzman_D!$M$8&lt;0, -(BO20-Uzman_D!$M$8), BO20-Uzman_D!$M$8)*1
)</f>
        <v>-0.20000000000000018</v>
      </c>
      <c r="BQ20" s="74">
        <f t="shared" si="0"/>
        <v>-0.54000000000000026</v>
      </c>
    </row>
    <row r="21" spans="1:69" ht="15" customHeight="1" x14ac:dyDescent="0.2">
      <c r="A21" s="57">
        <v>18</v>
      </c>
      <c r="B21" s="29">
        <f>Hakemler!B21</f>
        <v>0</v>
      </c>
      <c r="C21" s="29">
        <f>Hakemler!C21</f>
        <v>0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2"/>
      <c r="O21" s="72"/>
      <c r="P21" s="73">
        <f>1 - (
    SUM(
        IF(D21-Uzman_D!$B$4&lt;0, -(D21-Uzman_D!$B$4), D21-Uzman_D!$B$4)*0.1 +
        IF(E21-Uzman_D!$C$4&lt;0, -(E21-Uzman_D!$C$4), E21-Uzman_D!$C$4)*0.1 +
        IF(F21-Uzman_D!$D$4&lt;0, -(F21-Uzman_D!$D$4), F21-Uzman_D!$D$4)*0.1 +
        IF(G21-Uzman_D!$E$4&lt;0, -(G21-Uzman_D!$E$4), G21-Uzman_D!$E$4)*0.1 +
        IF(H21-Uzman_D!$F$4&lt;0, -(H21-Uzman_D!$F$4), H21-Uzman_D!$F$4)*0.1 +
        IF(I21-Uzman_D!$G$4&lt;0, -(I21-Uzman_D!$G$4), I21-Uzman_D!$G$4)*0.1 +
        IF(J21-Uzman_D!$H$4&lt;0, -(J21-Uzman_D!$H$4), J21-Uzman_D!$H$4)*0.1 +
        IF(K21-Uzman_D!$I$4&lt;0, -(K21-Uzman_D!$I$4), K21-Uzman_D!$I$4)*0.1 +
        IF(L21-Uzman_D!$J$4&lt;0, -(L21-Uzman_D!$J$4), L21-Uzman_D!$J$4)*0.1
    ) +
    IF(ROUND((IF(N21-Uzman_D!$L$4&lt;0, -(N21-Uzman_D!$L$4), N21-Uzman_D!$L$4)*2),0)/2 = IF(N21-Uzman_D!$L$4&lt;0, -(N21-Uzman_D!$L$4), N21-Uzman_D!$L$4),
    (ROUND((IF(N21-Uzman_D!$L$4&lt;0, -(N21-Uzman_D!$L$4), N21-Uzman_D!$L$4)*2),0)/1 * 0.1), 0) +
    IF(O21-Uzman_D!$M$4&lt;0, -(O21-Uzman_D!$M$4), O21-Uzman_D!$M$4)*1
)</f>
        <v>-0.90000000000000013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2"/>
      <c r="AB21" s="72"/>
      <c r="AC21" s="73">
        <f>1 - (
    SUM(
        IF(Q21-Uzman_D!$B$5&lt;0, -(Q21-Uzman_D!$B$5), Q21-Uzman_D!$B$5)*0.1 +
        IF(R21-Uzman_D!$C$5&lt;0, -(R21-Uzman_D!$C$5), R21-Uzman_D!$C$5)*0.1 +
        IF(S21-Uzman_D!$D$5&lt;0, -(S21-Uzman_D!$D$5), S21-Uzman_D!$D$5)*0.1 +
        IF(T21-Uzman_D!$E$5&lt;0, -(T21-Uzman_D!$E$5), T21-Uzman_D!$E$5)*0.1 +
        IF(U21-Uzman_D!$F$5&lt;0, -(U21-Uzman_D!$F$5), U21-Uzman_D!$F$5)*0.1 +
        IF(V21-Uzman_D!$G$5&lt;0, -(V21-Uzman_D!$G$5), V21-Uzman_D!$G$5)*0.1 +
        IF(W21-Uzman_D!$H$5&lt;0, -(W21-Uzman_D!$H$5), W21-Uzman_D!$H$5)*0.1 +
        IF(X21-Uzman_D!$I$5&lt;0, -(X21-Uzman_D!$I$5), X21-Uzman_D!$I$5)*0.1 +
        IF(Y21-Uzman_D!$J$5&lt;0, -(Y21-Uzman_D!$J$5), Y21-Uzman_D!$J$5)*0.1
    ) +
    IF(ROUND((IF(AA21-Uzman_D!$L$5&lt;0, -(AA21-Uzman_D!$L$5), AA21-Uzman_D!$L$5)*2),0)/2 = IF(AA21-Uzman_D!$L$5&lt;0, -(AA21-Uzman_D!$L$5), AA21-Uzman_D!$L$5),
    (ROUND((IF(AA21-Uzman_D!$L$5&lt;0, -(AA21-Uzman_D!$L$5), AA21-Uzman_D!$L$5)*2),0)/1 * 0.1), 0) +
    IF(AB21-Uzman_D!$M$5&lt;0, -(AB21-Uzman_D!$M$5), AB21-Uzman_D!$M$5)*1
)</f>
        <v>-0.50000000000000022</v>
      </c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2"/>
      <c r="AO21" s="72"/>
      <c r="AP21" s="73">
        <f>1 - (
    SUM(
        IF(AD21-Uzman_D!$B$6&lt;0, -(AD21-Uzman_D!$B$6), AD21-Uzman_D!$B$6)*0.1 +
        IF(AE21-Uzman_D!$C$6&lt;0, -(AE21-Uzman_D!$C$6), AE21-Uzman_D!$C$6)*0.1 +
        IF(AF21-Uzman_D!$D$6&lt;0, -(AF21-Uzman_D!$D$6), AF21-Uzman_D!$D$6)*0.1 +
        IF(AG21-Uzman_D!$E$6&lt;0, -(AG21-Uzman_D!$E$6), AG21-Uzman_D!$E$6)*0.1 +
        IF(AH21-Uzman_D!$F$6&lt;0, -(AH21-Uzman_D!$F$6), AH21-Uzman_D!$F$6)*0.1 +
        IF(AI21-Uzman_D!$G$6&lt;0, -(AI21-Uzman_D!$G$6), AI21-Uzman_D!$G$6)*0.1 +
        IF(AJ21-Uzman_D!$H$6&lt;0, -(AJ21-Uzman_D!$H$6), AJ21-Uzman_D!$H$6)*0.1 +
        IF(AK21-Uzman_D!$I$6&lt;0, -(AK21-Uzman_D!$I$6), AK21-Uzman_D!$I$6)*0.1 +
        IF(AL21-Uzman_D!$J$6&lt;0, -(AL21-Uzman_D!$J$6), AL21-Uzman_D!$J$6)*0.1
    ) +
    IF(ROUND((IF(AN21-Uzman_D!$L$6&lt;0, -(AN21-Uzman_D!$L$6), AN21-Uzman_D!$L$6)*2),0)/2 = IF(AN21-Uzman_D!$L$6&lt;0, -(AN21-Uzman_D!$L$6), AN21-Uzman_D!$L$6),
    (ROUND((IF(AN21-Uzman_D!$L$6&lt;0, -(AN21-Uzman_D!$L$6), AN21-Uzman_D!$L$6)*2),0)/1 * 0.1), 0) +
    IF(AO21-Uzman_D!$M$6&lt;0, -(AO21-Uzman_D!$M$6), AO21-Uzman_D!$M$6)*1
)</f>
        <v>-0.60000000000000009</v>
      </c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2"/>
      <c r="BB21" s="72"/>
      <c r="BC21" s="73">
        <f>1 - (
    SUM(
        IF(AQ21-Uzman_D!$B$7&lt;0, -(AQ21-Uzman_D!$B$7), AQ21-Uzman_D!$B$7)*0.1 +
        IF(AR21-Uzman_D!$C$7&lt;0, -(AR21-Uzman_D!$C$7), AR21-Uzman_D!$C$7)*0.1 +
        IF(AS21-Uzman_D!$D$7&lt;0, -(AS21-Uzman_D!$D$7), AS21-Uzman_D!$D$7)*0.1 +
        IF(AT21-Uzman_D!$E$7&lt;0, -(AT21-Uzman_D!$E$7), AT21-Uzman_D!$E$7)*0.1 +
        IF(AU21-Uzman_D!$F$7&lt;0, -(AU21-Uzman_D!$F$7), AU21-Uzman_D!$F$7)*0.1 +
        IF(AV21-Uzman_D!$G$7&lt;0, -(AV21-Uzman_D!$G$7), AV21-Uzman_D!$G$7)*0.1 +
        IF(AW21-Uzman_D!$H$7&lt;0, -(AW21-Uzman_D!$H$7), AW21-Uzman_D!$H$7)*0.1 +
        IF(AX21-Uzman_D!$I$7&lt;0, -(AX21-Uzman_D!$I$7), AX21-Uzman_D!$I$7)*0.1 +
        IF(AY21-Uzman_D!$J$7&lt;0, -(AY21-Uzman_D!$J$7), AY21-Uzman_D!$J$7)*0.1
    ) +
    IF(ROUND((IF(BA21-Uzman_D!$L$7&lt;0, -(BA21-Uzman_D!$L$7), BA21-Uzman_D!$L$7)*2),0)/2 = IF(BA21-Uzman_D!$L$7&lt;0, -(BA21-Uzman_D!$L$7), BA21-Uzman_D!$L$7),
    (ROUND((IF(BA21-Uzman_D!$L$7&lt;0, -(BA21-Uzman_D!$L$7), BA21-Uzman_D!$L$7)*2),0)/1 * 0.1), 0) +
    IF(BB21-Uzman_D!$M$7&lt;0, -(BB21-Uzman_D!$M$7), BB21-Uzman_D!$M$7)*1
)</f>
        <v>-0.50000000000000022</v>
      </c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2"/>
      <c r="BO21" s="72"/>
      <c r="BP21" s="73">
        <f>1 - (
    SUM(
        IF(BD21-Uzman_D!$B$8&lt;0, -(BD21-Uzman_D!$B$8), BD21-Uzman_D!$B$8)*0.1 +
        IF(BE21-Uzman_D!$C$8&lt;0, -(BE21-Uzman_D!$C$8), BE21-Uzman_D!$C$8)*0.1 +
        IF(BF21-Uzman_D!$D$8&lt;0, -(BF21-Uzman_D!$D$8), BF21-Uzman_D!$D$8)*0.1 +
        IF(BG21-Uzman_D!$E$8&lt;0, -(BG21-Uzman_D!$E$8), BG21-Uzman_D!$E$8)*0.1 +
        IF(BH21-Uzman_D!$F$8&lt;0, -(BH21-Uzman_D!$F$8), BH21-Uzman_D!$F$8)*0.1 +
        IF(BI21-Uzman_D!$G$8&lt;0, -(BI21-Uzman_D!$G$8), BI21-Uzman_D!$G$8)*0.1 +
        IF(BJ21-Uzman_D!$H$8&lt;0, -(BJ21-Uzman_D!$H$8), BJ21-Uzman_D!$H$8)*0.1 +
        IF(BK21-Uzman_D!$I$8&lt;0, -(BK21-Uzman_D!$I$8), BK21-Uzman_D!$I$8)*0.1 +
        IF(BL21-Uzman_D!$J$8&lt;0, -(BL21-Uzman_D!$J$8), BL21-Uzman_D!$J$8)*0.1
    ) +
    IF(ROUND((IF(BN21-Uzman_D!$L$8&lt;0, -(BN21-Uzman_D!$L$8), BN21-Uzman_D!$L$8)*2),0)/2 = IF(BN21-Uzman_D!$L$8&lt;0, -(BN21-Uzman_D!$L$8), BN21-Uzman_D!$L$8),
    (ROUND((IF(BN21-Uzman_D!$L$8&lt;0, -(BN21-Uzman_D!$L$8), BN21-Uzman_D!$L$8)*2),0)/1 * 0.1), 0) +
    IF(BO21-Uzman_D!$M$8&lt;0, -(BO21-Uzman_D!$M$8), BO21-Uzman_D!$M$8)*1
)</f>
        <v>-0.20000000000000018</v>
      </c>
      <c r="BQ21" s="74">
        <f t="shared" si="0"/>
        <v>-0.54000000000000026</v>
      </c>
    </row>
    <row r="22" spans="1:69" ht="15" customHeight="1" x14ac:dyDescent="0.2">
      <c r="A22" s="57">
        <v>19</v>
      </c>
      <c r="B22" s="29">
        <f>Hakemler!B22</f>
        <v>0</v>
      </c>
      <c r="C22" s="29">
        <f>Hakemler!C22</f>
        <v>0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2"/>
      <c r="O22" s="72"/>
      <c r="P22" s="73">
        <f>1 - (
    SUM(
        IF(D22-Uzman_D!$B$4&lt;0, -(D22-Uzman_D!$B$4), D22-Uzman_D!$B$4)*0.1 +
        IF(E22-Uzman_D!$C$4&lt;0, -(E22-Uzman_D!$C$4), E22-Uzman_D!$C$4)*0.1 +
        IF(F22-Uzman_D!$D$4&lt;0, -(F22-Uzman_D!$D$4), F22-Uzman_D!$D$4)*0.1 +
        IF(G22-Uzman_D!$E$4&lt;0, -(G22-Uzman_D!$E$4), G22-Uzman_D!$E$4)*0.1 +
        IF(H22-Uzman_D!$F$4&lt;0, -(H22-Uzman_D!$F$4), H22-Uzman_D!$F$4)*0.1 +
        IF(I22-Uzman_D!$G$4&lt;0, -(I22-Uzman_D!$G$4), I22-Uzman_D!$G$4)*0.1 +
        IF(J22-Uzman_D!$H$4&lt;0, -(J22-Uzman_D!$H$4), J22-Uzman_D!$H$4)*0.1 +
        IF(K22-Uzman_D!$I$4&lt;0, -(K22-Uzman_D!$I$4), K22-Uzman_D!$I$4)*0.1 +
        IF(L22-Uzman_D!$J$4&lt;0, -(L22-Uzman_D!$J$4), L22-Uzman_D!$J$4)*0.1
    ) +
    IF(ROUND((IF(N22-Uzman_D!$L$4&lt;0, -(N22-Uzman_D!$L$4), N22-Uzman_D!$L$4)*2),0)/2 = IF(N22-Uzman_D!$L$4&lt;0, -(N22-Uzman_D!$L$4), N22-Uzman_D!$L$4),
    (ROUND((IF(N22-Uzman_D!$L$4&lt;0, -(N22-Uzman_D!$L$4), N22-Uzman_D!$L$4)*2),0)/1 * 0.1), 0) +
    IF(O22-Uzman_D!$M$4&lt;0, -(O22-Uzman_D!$M$4), O22-Uzman_D!$M$4)*1
)</f>
        <v>-0.90000000000000013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2"/>
      <c r="AB22" s="72"/>
      <c r="AC22" s="73">
        <f>1 - (
    SUM(
        IF(Q22-Uzman_D!$B$5&lt;0, -(Q22-Uzman_D!$B$5), Q22-Uzman_D!$B$5)*0.1 +
        IF(R22-Uzman_D!$C$5&lt;0, -(R22-Uzman_D!$C$5), R22-Uzman_D!$C$5)*0.1 +
        IF(S22-Uzman_D!$D$5&lt;0, -(S22-Uzman_D!$D$5), S22-Uzman_D!$D$5)*0.1 +
        IF(T22-Uzman_D!$E$5&lt;0, -(T22-Uzman_D!$E$5), T22-Uzman_D!$E$5)*0.1 +
        IF(U22-Uzman_D!$F$5&lt;0, -(U22-Uzman_D!$F$5), U22-Uzman_D!$F$5)*0.1 +
        IF(V22-Uzman_D!$G$5&lt;0, -(V22-Uzman_D!$G$5), V22-Uzman_D!$G$5)*0.1 +
        IF(W22-Uzman_D!$H$5&lt;0, -(W22-Uzman_D!$H$5), W22-Uzman_D!$H$5)*0.1 +
        IF(X22-Uzman_D!$I$5&lt;0, -(X22-Uzman_D!$I$5), X22-Uzman_D!$I$5)*0.1 +
        IF(Y22-Uzman_D!$J$5&lt;0, -(Y22-Uzman_D!$J$5), Y22-Uzman_D!$J$5)*0.1
    ) +
    IF(ROUND((IF(AA22-Uzman_D!$L$5&lt;0, -(AA22-Uzman_D!$L$5), AA22-Uzman_D!$L$5)*2),0)/2 = IF(AA22-Uzman_D!$L$5&lt;0, -(AA22-Uzman_D!$L$5), AA22-Uzman_D!$L$5),
    (ROUND((IF(AA22-Uzman_D!$L$5&lt;0, -(AA22-Uzman_D!$L$5), AA22-Uzman_D!$L$5)*2),0)/1 * 0.1), 0) +
    IF(AB22-Uzman_D!$M$5&lt;0, -(AB22-Uzman_D!$M$5), AB22-Uzman_D!$M$5)*1
)</f>
        <v>-0.50000000000000022</v>
      </c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2"/>
      <c r="AO22" s="72"/>
      <c r="AP22" s="73">
        <f>1 - (
    SUM(
        IF(AD22-Uzman_D!$B$6&lt;0, -(AD22-Uzman_D!$B$6), AD22-Uzman_D!$B$6)*0.1 +
        IF(AE22-Uzman_D!$C$6&lt;0, -(AE22-Uzman_D!$C$6), AE22-Uzman_D!$C$6)*0.1 +
        IF(AF22-Uzman_D!$D$6&lt;0, -(AF22-Uzman_D!$D$6), AF22-Uzman_D!$D$6)*0.1 +
        IF(AG22-Uzman_D!$E$6&lt;0, -(AG22-Uzman_D!$E$6), AG22-Uzman_D!$E$6)*0.1 +
        IF(AH22-Uzman_D!$F$6&lt;0, -(AH22-Uzman_D!$F$6), AH22-Uzman_D!$F$6)*0.1 +
        IF(AI22-Uzman_D!$G$6&lt;0, -(AI22-Uzman_D!$G$6), AI22-Uzman_D!$G$6)*0.1 +
        IF(AJ22-Uzman_D!$H$6&lt;0, -(AJ22-Uzman_D!$H$6), AJ22-Uzman_D!$H$6)*0.1 +
        IF(AK22-Uzman_D!$I$6&lt;0, -(AK22-Uzman_D!$I$6), AK22-Uzman_D!$I$6)*0.1 +
        IF(AL22-Uzman_D!$J$6&lt;0, -(AL22-Uzman_D!$J$6), AL22-Uzman_D!$J$6)*0.1
    ) +
    IF(ROUND((IF(AN22-Uzman_D!$L$6&lt;0, -(AN22-Uzman_D!$L$6), AN22-Uzman_D!$L$6)*2),0)/2 = IF(AN22-Uzman_D!$L$6&lt;0, -(AN22-Uzman_D!$L$6), AN22-Uzman_D!$L$6),
    (ROUND((IF(AN22-Uzman_D!$L$6&lt;0, -(AN22-Uzman_D!$L$6), AN22-Uzman_D!$L$6)*2),0)/1 * 0.1), 0) +
    IF(AO22-Uzman_D!$M$6&lt;0, -(AO22-Uzman_D!$M$6), AO22-Uzman_D!$M$6)*1
)</f>
        <v>-0.60000000000000009</v>
      </c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2"/>
      <c r="BB22" s="72"/>
      <c r="BC22" s="73">
        <f>1 - (
    SUM(
        IF(AQ22-Uzman_D!$B$7&lt;0, -(AQ22-Uzman_D!$B$7), AQ22-Uzman_D!$B$7)*0.1 +
        IF(AR22-Uzman_D!$C$7&lt;0, -(AR22-Uzman_D!$C$7), AR22-Uzman_D!$C$7)*0.1 +
        IF(AS22-Uzman_D!$D$7&lt;0, -(AS22-Uzman_D!$D$7), AS22-Uzman_D!$D$7)*0.1 +
        IF(AT22-Uzman_D!$E$7&lt;0, -(AT22-Uzman_D!$E$7), AT22-Uzman_D!$E$7)*0.1 +
        IF(AU22-Uzman_D!$F$7&lt;0, -(AU22-Uzman_D!$F$7), AU22-Uzman_D!$F$7)*0.1 +
        IF(AV22-Uzman_D!$G$7&lt;0, -(AV22-Uzman_D!$G$7), AV22-Uzman_D!$G$7)*0.1 +
        IF(AW22-Uzman_D!$H$7&lt;0, -(AW22-Uzman_D!$H$7), AW22-Uzman_D!$H$7)*0.1 +
        IF(AX22-Uzman_D!$I$7&lt;0, -(AX22-Uzman_D!$I$7), AX22-Uzman_D!$I$7)*0.1 +
        IF(AY22-Uzman_D!$J$7&lt;0, -(AY22-Uzman_D!$J$7), AY22-Uzman_D!$J$7)*0.1
    ) +
    IF(ROUND((IF(BA22-Uzman_D!$L$7&lt;0, -(BA22-Uzman_D!$L$7), BA22-Uzman_D!$L$7)*2),0)/2 = IF(BA22-Uzman_D!$L$7&lt;0, -(BA22-Uzman_D!$L$7), BA22-Uzman_D!$L$7),
    (ROUND((IF(BA22-Uzman_D!$L$7&lt;0, -(BA22-Uzman_D!$L$7), BA22-Uzman_D!$L$7)*2),0)/1 * 0.1), 0) +
    IF(BB22-Uzman_D!$M$7&lt;0, -(BB22-Uzman_D!$M$7), BB22-Uzman_D!$M$7)*1
)</f>
        <v>-0.50000000000000022</v>
      </c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2"/>
      <c r="BO22" s="72"/>
      <c r="BP22" s="73">
        <f>1 - (
    SUM(
        IF(BD22-Uzman_D!$B$8&lt;0, -(BD22-Uzman_D!$B$8), BD22-Uzman_D!$B$8)*0.1 +
        IF(BE22-Uzman_D!$C$8&lt;0, -(BE22-Uzman_D!$C$8), BE22-Uzman_D!$C$8)*0.1 +
        IF(BF22-Uzman_D!$D$8&lt;0, -(BF22-Uzman_D!$D$8), BF22-Uzman_D!$D$8)*0.1 +
        IF(BG22-Uzman_D!$E$8&lt;0, -(BG22-Uzman_D!$E$8), BG22-Uzman_D!$E$8)*0.1 +
        IF(BH22-Uzman_D!$F$8&lt;0, -(BH22-Uzman_D!$F$8), BH22-Uzman_D!$F$8)*0.1 +
        IF(BI22-Uzman_D!$G$8&lt;0, -(BI22-Uzman_D!$G$8), BI22-Uzman_D!$G$8)*0.1 +
        IF(BJ22-Uzman_D!$H$8&lt;0, -(BJ22-Uzman_D!$H$8), BJ22-Uzman_D!$H$8)*0.1 +
        IF(BK22-Uzman_D!$I$8&lt;0, -(BK22-Uzman_D!$I$8), BK22-Uzman_D!$I$8)*0.1 +
        IF(BL22-Uzman_D!$J$8&lt;0, -(BL22-Uzman_D!$J$8), BL22-Uzman_D!$J$8)*0.1
    ) +
    IF(ROUND((IF(BN22-Uzman_D!$L$8&lt;0, -(BN22-Uzman_D!$L$8), BN22-Uzman_D!$L$8)*2),0)/2 = IF(BN22-Uzman_D!$L$8&lt;0, -(BN22-Uzman_D!$L$8), BN22-Uzman_D!$L$8),
    (ROUND((IF(BN22-Uzman_D!$L$8&lt;0, -(BN22-Uzman_D!$L$8), BN22-Uzman_D!$L$8)*2),0)/1 * 0.1), 0) +
    IF(BO22-Uzman_D!$M$8&lt;0, -(BO22-Uzman_D!$M$8), BO22-Uzman_D!$M$8)*1
)</f>
        <v>-0.20000000000000018</v>
      </c>
      <c r="BQ22" s="74">
        <f t="shared" si="0"/>
        <v>-0.54000000000000026</v>
      </c>
    </row>
    <row r="23" spans="1:69" ht="15" customHeight="1" x14ac:dyDescent="0.2">
      <c r="A23" s="57">
        <v>20</v>
      </c>
      <c r="B23" s="29">
        <f>Hakemler!B23</f>
        <v>0</v>
      </c>
      <c r="C23" s="29">
        <f>Hakemler!C23</f>
        <v>0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2"/>
      <c r="O23" s="72"/>
      <c r="P23" s="73">
        <f>1 - (
    SUM(
        IF(D23-Uzman_D!$B$4&lt;0, -(D23-Uzman_D!$B$4), D23-Uzman_D!$B$4)*0.1 +
        IF(E23-Uzman_D!$C$4&lt;0, -(E23-Uzman_D!$C$4), E23-Uzman_D!$C$4)*0.1 +
        IF(F23-Uzman_D!$D$4&lt;0, -(F23-Uzman_D!$D$4), F23-Uzman_D!$D$4)*0.1 +
        IF(G23-Uzman_D!$E$4&lt;0, -(G23-Uzman_D!$E$4), G23-Uzman_D!$E$4)*0.1 +
        IF(H23-Uzman_D!$F$4&lt;0, -(H23-Uzman_D!$F$4), H23-Uzman_D!$F$4)*0.1 +
        IF(I23-Uzman_D!$G$4&lt;0, -(I23-Uzman_D!$G$4), I23-Uzman_D!$G$4)*0.1 +
        IF(J23-Uzman_D!$H$4&lt;0, -(J23-Uzman_D!$H$4), J23-Uzman_D!$H$4)*0.1 +
        IF(K23-Uzman_D!$I$4&lt;0, -(K23-Uzman_D!$I$4), K23-Uzman_D!$I$4)*0.1 +
        IF(L23-Uzman_D!$J$4&lt;0, -(L23-Uzman_D!$J$4), L23-Uzman_D!$J$4)*0.1
    ) +
    IF(ROUND((IF(N23-Uzman_D!$L$4&lt;0, -(N23-Uzman_D!$L$4), N23-Uzman_D!$L$4)*2),0)/2 = IF(N23-Uzman_D!$L$4&lt;0, -(N23-Uzman_D!$L$4), N23-Uzman_D!$L$4),
    (ROUND((IF(N23-Uzman_D!$L$4&lt;0, -(N23-Uzman_D!$L$4), N23-Uzman_D!$L$4)*2),0)/1 * 0.1), 0) +
    IF(O23-Uzman_D!$M$4&lt;0, -(O23-Uzman_D!$M$4), O23-Uzman_D!$M$4)*1
)</f>
        <v>-0.90000000000000013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2"/>
      <c r="AB23" s="72"/>
      <c r="AC23" s="73">
        <f>1 - (
    SUM(
        IF(Q23-Uzman_D!$B$5&lt;0, -(Q23-Uzman_D!$B$5), Q23-Uzman_D!$B$5)*0.1 +
        IF(R23-Uzman_D!$C$5&lt;0, -(R23-Uzman_D!$C$5), R23-Uzman_D!$C$5)*0.1 +
        IF(S23-Uzman_D!$D$5&lt;0, -(S23-Uzman_D!$D$5), S23-Uzman_D!$D$5)*0.1 +
        IF(T23-Uzman_D!$E$5&lt;0, -(T23-Uzman_D!$E$5), T23-Uzman_D!$E$5)*0.1 +
        IF(U23-Uzman_D!$F$5&lt;0, -(U23-Uzman_D!$F$5), U23-Uzman_D!$F$5)*0.1 +
        IF(V23-Uzman_D!$G$5&lt;0, -(V23-Uzman_D!$G$5), V23-Uzman_D!$G$5)*0.1 +
        IF(W23-Uzman_D!$H$5&lt;0, -(W23-Uzman_D!$H$5), W23-Uzman_D!$H$5)*0.1 +
        IF(X23-Uzman_D!$I$5&lt;0, -(X23-Uzman_D!$I$5), X23-Uzman_D!$I$5)*0.1 +
        IF(Y23-Uzman_D!$J$5&lt;0, -(Y23-Uzman_D!$J$5), Y23-Uzman_D!$J$5)*0.1
    ) +
    IF(ROUND((IF(AA23-Uzman_D!$L$5&lt;0, -(AA23-Uzman_D!$L$5), AA23-Uzman_D!$L$5)*2),0)/2 = IF(AA23-Uzman_D!$L$5&lt;0, -(AA23-Uzman_D!$L$5), AA23-Uzman_D!$L$5),
    (ROUND((IF(AA23-Uzman_D!$L$5&lt;0, -(AA23-Uzman_D!$L$5), AA23-Uzman_D!$L$5)*2),0)/1 * 0.1), 0) +
    IF(AB23-Uzman_D!$M$5&lt;0, -(AB23-Uzman_D!$M$5), AB23-Uzman_D!$M$5)*1
)</f>
        <v>-0.50000000000000022</v>
      </c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2"/>
      <c r="AO23" s="72"/>
      <c r="AP23" s="73">
        <f>1 - (
    SUM(
        IF(AD23-Uzman_D!$B$6&lt;0, -(AD23-Uzman_D!$B$6), AD23-Uzman_D!$B$6)*0.1 +
        IF(AE23-Uzman_D!$C$6&lt;0, -(AE23-Uzman_D!$C$6), AE23-Uzman_D!$C$6)*0.1 +
        IF(AF23-Uzman_D!$D$6&lt;0, -(AF23-Uzman_D!$D$6), AF23-Uzman_D!$D$6)*0.1 +
        IF(AG23-Uzman_D!$E$6&lt;0, -(AG23-Uzman_D!$E$6), AG23-Uzman_D!$E$6)*0.1 +
        IF(AH23-Uzman_D!$F$6&lt;0, -(AH23-Uzman_D!$F$6), AH23-Uzman_D!$F$6)*0.1 +
        IF(AI23-Uzman_D!$G$6&lt;0, -(AI23-Uzman_D!$G$6), AI23-Uzman_D!$G$6)*0.1 +
        IF(AJ23-Uzman_D!$H$6&lt;0, -(AJ23-Uzman_D!$H$6), AJ23-Uzman_D!$H$6)*0.1 +
        IF(AK23-Uzman_D!$I$6&lt;0, -(AK23-Uzman_D!$I$6), AK23-Uzman_D!$I$6)*0.1 +
        IF(AL23-Uzman_D!$J$6&lt;0, -(AL23-Uzman_D!$J$6), AL23-Uzman_D!$J$6)*0.1
    ) +
    IF(ROUND((IF(AN23-Uzman_D!$L$6&lt;0, -(AN23-Uzman_D!$L$6), AN23-Uzman_D!$L$6)*2),0)/2 = IF(AN23-Uzman_D!$L$6&lt;0, -(AN23-Uzman_D!$L$6), AN23-Uzman_D!$L$6),
    (ROUND((IF(AN23-Uzman_D!$L$6&lt;0, -(AN23-Uzman_D!$L$6), AN23-Uzman_D!$L$6)*2),0)/1 * 0.1), 0) +
    IF(AO23-Uzman_D!$M$6&lt;0, -(AO23-Uzman_D!$M$6), AO23-Uzman_D!$M$6)*1
)</f>
        <v>-0.60000000000000009</v>
      </c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2"/>
      <c r="BB23" s="72"/>
      <c r="BC23" s="73">
        <f>1 - (
    SUM(
        IF(AQ23-Uzman_D!$B$7&lt;0, -(AQ23-Uzman_D!$B$7), AQ23-Uzman_D!$B$7)*0.1 +
        IF(AR23-Uzman_D!$C$7&lt;0, -(AR23-Uzman_D!$C$7), AR23-Uzman_D!$C$7)*0.1 +
        IF(AS23-Uzman_D!$D$7&lt;0, -(AS23-Uzman_D!$D$7), AS23-Uzman_D!$D$7)*0.1 +
        IF(AT23-Uzman_D!$E$7&lt;0, -(AT23-Uzman_D!$E$7), AT23-Uzman_D!$E$7)*0.1 +
        IF(AU23-Uzman_D!$F$7&lt;0, -(AU23-Uzman_D!$F$7), AU23-Uzman_D!$F$7)*0.1 +
        IF(AV23-Uzman_D!$G$7&lt;0, -(AV23-Uzman_D!$G$7), AV23-Uzman_D!$G$7)*0.1 +
        IF(AW23-Uzman_D!$H$7&lt;0, -(AW23-Uzman_D!$H$7), AW23-Uzman_D!$H$7)*0.1 +
        IF(AX23-Uzman_D!$I$7&lt;0, -(AX23-Uzman_D!$I$7), AX23-Uzman_D!$I$7)*0.1 +
        IF(AY23-Uzman_D!$J$7&lt;0, -(AY23-Uzman_D!$J$7), AY23-Uzman_D!$J$7)*0.1
    ) +
    IF(ROUND((IF(BA23-Uzman_D!$L$7&lt;0, -(BA23-Uzman_D!$L$7), BA23-Uzman_D!$L$7)*2),0)/2 = IF(BA23-Uzman_D!$L$7&lt;0, -(BA23-Uzman_D!$L$7), BA23-Uzman_D!$L$7),
    (ROUND((IF(BA23-Uzman_D!$L$7&lt;0, -(BA23-Uzman_D!$L$7), BA23-Uzman_D!$L$7)*2),0)/1 * 0.1), 0) +
    IF(BB23-Uzman_D!$M$7&lt;0, -(BB23-Uzman_D!$M$7), BB23-Uzman_D!$M$7)*1
)</f>
        <v>-0.50000000000000022</v>
      </c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2"/>
      <c r="BO23" s="72"/>
      <c r="BP23" s="73">
        <f>1 - (
    SUM(
        IF(BD23-Uzman_D!$B$8&lt;0, -(BD23-Uzman_D!$B$8), BD23-Uzman_D!$B$8)*0.1 +
        IF(BE23-Uzman_D!$C$8&lt;0, -(BE23-Uzman_D!$C$8), BE23-Uzman_D!$C$8)*0.1 +
        IF(BF23-Uzman_D!$D$8&lt;0, -(BF23-Uzman_D!$D$8), BF23-Uzman_D!$D$8)*0.1 +
        IF(BG23-Uzman_D!$E$8&lt;0, -(BG23-Uzman_D!$E$8), BG23-Uzman_D!$E$8)*0.1 +
        IF(BH23-Uzman_D!$F$8&lt;0, -(BH23-Uzman_D!$F$8), BH23-Uzman_D!$F$8)*0.1 +
        IF(BI23-Uzman_D!$G$8&lt;0, -(BI23-Uzman_D!$G$8), BI23-Uzman_D!$G$8)*0.1 +
        IF(BJ23-Uzman_D!$H$8&lt;0, -(BJ23-Uzman_D!$H$8), BJ23-Uzman_D!$H$8)*0.1 +
        IF(BK23-Uzman_D!$I$8&lt;0, -(BK23-Uzman_D!$I$8), BK23-Uzman_D!$I$8)*0.1 +
        IF(BL23-Uzman_D!$J$8&lt;0, -(BL23-Uzman_D!$J$8), BL23-Uzman_D!$J$8)*0.1
    ) +
    IF(ROUND((IF(BN23-Uzman_D!$L$8&lt;0, -(BN23-Uzman_D!$L$8), BN23-Uzman_D!$L$8)*2),0)/2 = IF(BN23-Uzman_D!$L$8&lt;0, -(BN23-Uzman_D!$L$8), BN23-Uzman_D!$L$8),
    (ROUND((IF(BN23-Uzman_D!$L$8&lt;0, -(BN23-Uzman_D!$L$8), BN23-Uzman_D!$L$8)*2),0)/1 * 0.1), 0) +
    IF(BO23-Uzman_D!$M$8&lt;0, -(BO23-Uzman_D!$M$8), BO23-Uzman_D!$M$8)*1
)</f>
        <v>-0.20000000000000018</v>
      </c>
      <c r="BQ23" s="74">
        <f t="shared" si="0"/>
        <v>-0.54000000000000026</v>
      </c>
    </row>
    <row r="24" spans="1:69" ht="15" customHeight="1" x14ac:dyDescent="0.2">
      <c r="A24" s="57">
        <v>21</v>
      </c>
      <c r="B24" s="29">
        <f>Hakemler!B24</f>
        <v>0</v>
      </c>
      <c r="C24" s="29">
        <f>Hakemler!C24</f>
        <v>0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2"/>
      <c r="O24" s="72"/>
      <c r="P24" s="73">
        <f>1 - (
    SUM(
        IF(D24-Uzman_D!$B$4&lt;0, -(D24-Uzman_D!$B$4), D24-Uzman_D!$B$4)*0.1 +
        IF(E24-Uzman_D!$C$4&lt;0, -(E24-Uzman_D!$C$4), E24-Uzman_D!$C$4)*0.1 +
        IF(F24-Uzman_D!$D$4&lt;0, -(F24-Uzman_D!$D$4), F24-Uzman_D!$D$4)*0.1 +
        IF(G24-Uzman_D!$E$4&lt;0, -(G24-Uzman_D!$E$4), G24-Uzman_D!$E$4)*0.1 +
        IF(H24-Uzman_D!$F$4&lt;0, -(H24-Uzman_D!$F$4), H24-Uzman_D!$F$4)*0.1 +
        IF(I24-Uzman_D!$G$4&lt;0, -(I24-Uzman_D!$G$4), I24-Uzman_D!$G$4)*0.1 +
        IF(J24-Uzman_D!$H$4&lt;0, -(J24-Uzman_D!$H$4), J24-Uzman_D!$H$4)*0.1 +
        IF(K24-Uzman_D!$I$4&lt;0, -(K24-Uzman_D!$I$4), K24-Uzman_D!$I$4)*0.1 +
        IF(L24-Uzman_D!$J$4&lt;0, -(L24-Uzman_D!$J$4), L24-Uzman_D!$J$4)*0.1
    ) +
    IF(ROUND((IF(N24-Uzman_D!$L$4&lt;0, -(N24-Uzman_D!$L$4), N24-Uzman_D!$L$4)*2),0)/2 = IF(N24-Uzman_D!$L$4&lt;0, -(N24-Uzman_D!$L$4), N24-Uzman_D!$L$4),
    (ROUND((IF(N24-Uzman_D!$L$4&lt;0, -(N24-Uzman_D!$L$4), N24-Uzman_D!$L$4)*2),0)/1 * 0.1), 0) +
    IF(O24-Uzman_D!$M$4&lt;0, -(O24-Uzman_D!$M$4), O24-Uzman_D!$M$4)*1
)</f>
        <v>-0.90000000000000013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2"/>
      <c r="AB24" s="72"/>
      <c r="AC24" s="73">
        <f>1 - (
    SUM(
        IF(Q24-Uzman_D!$B$5&lt;0, -(Q24-Uzman_D!$B$5), Q24-Uzman_D!$B$5)*0.1 +
        IF(R24-Uzman_D!$C$5&lt;0, -(R24-Uzman_D!$C$5), R24-Uzman_D!$C$5)*0.1 +
        IF(S24-Uzman_D!$D$5&lt;0, -(S24-Uzman_D!$D$5), S24-Uzman_D!$D$5)*0.1 +
        IF(T24-Uzman_D!$E$5&lt;0, -(T24-Uzman_D!$E$5), T24-Uzman_D!$E$5)*0.1 +
        IF(U24-Uzman_D!$F$5&lt;0, -(U24-Uzman_D!$F$5), U24-Uzman_D!$F$5)*0.1 +
        IF(V24-Uzman_D!$G$5&lt;0, -(V24-Uzman_D!$G$5), V24-Uzman_D!$G$5)*0.1 +
        IF(W24-Uzman_D!$H$5&lt;0, -(W24-Uzman_D!$H$5), W24-Uzman_D!$H$5)*0.1 +
        IF(X24-Uzman_D!$I$5&lt;0, -(X24-Uzman_D!$I$5), X24-Uzman_D!$I$5)*0.1 +
        IF(Y24-Uzman_D!$J$5&lt;0, -(Y24-Uzman_D!$J$5), Y24-Uzman_D!$J$5)*0.1
    ) +
    IF(ROUND((IF(AA24-Uzman_D!$L$5&lt;0, -(AA24-Uzman_D!$L$5), AA24-Uzman_D!$L$5)*2),0)/2 = IF(AA24-Uzman_D!$L$5&lt;0, -(AA24-Uzman_D!$L$5), AA24-Uzman_D!$L$5),
    (ROUND((IF(AA24-Uzman_D!$L$5&lt;0, -(AA24-Uzman_D!$L$5), AA24-Uzman_D!$L$5)*2),0)/1 * 0.1), 0) +
    IF(AB24-Uzman_D!$M$5&lt;0, -(AB24-Uzman_D!$M$5), AB24-Uzman_D!$M$5)*1
)</f>
        <v>-0.50000000000000022</v>
      </c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2"/>
      <c r="AO24" s="72"/>
      <c r="AP24" s="73">
        <f>1 - (
    SUM(
        IF(AD24-Uzman_D!$B$6&lt;0, -(AD24-Uzman_D!$B$6), AD24-Uzman_D!$B$6)*0.1 +
        IF(AE24-Uzman_D!$C$6&lt;0, -(AE24-Uzman_D!$C$6), AE24-Uzman_D!$C$6)*0.1 +
        IF(AF24-Uzman_D!$D$6&lt;0, -(AF24-Uzman_D!$D$6), AF24-Uzman_D!$D$6)*0.1 +
        IF(AG24-Uzman_D!$E$6&lt;0, -(AG24-Uzman_D!$E$6), AG24-Uzman_D!$E$6)*0.1 +
        IF(AH24-Uzman_D!$F$6&lt;0, -(AH24-Uzman_D!$F$6), AH24-Uzman_D!$F$6)*0.1 +
        IF(AI24-Uzman_D!$G$6&lt;0, -(AI24-Uzman_D!$G$6), AI24-Uzman_D!$G$6)*0.1 +
        IF(AJ24-Uzman_D!$H$6&lt;0, -(AJ24-Uzman_D!$H$6), AJ24-Uzman_D!$H$6)*0.1 +
        IF(AK24-Uzman_D!$I$6&lt;0, -(AK24-Uzman_D!$I$6), AK24-Uzman_D!$I$6)*0.1 +
        IF(AL24-Uzman_D!$J$6&lt;0, -(AL24-Uzman_D!$J$6), AL24-Uzman_D!$J$6)*0.1
    ) +
    IF(ROUND((IF(AN24-Uzman_D!$L$6&lt;0, -(AN24-Uzman_D!$L$6), AN24-Uzman_D!$L$6)*2),0)/2 = IF(AN24-Uzman_D!$L$6&lt;0, -(AN24-Uzman_D!$L$6), AN24-Uzman_D!$L$6),
    (ROUND((IF(AN24-Uzman_D!$L$6&lt;0, -(AN24-Uzman_D!$L$6), AN24-Uzman_D!$L$6)*2),0)/1 * 0.1), 0) +
    IF(AO24-Uzman_D!$M$6&lt;0, -(AO24-Uzman_D!$M$6), AO24-Uzman_D!$M$6)*1
)</f>
        <v>-0.60000000000000009</v>
      </c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2"/>
      <c r="BB24" s="72"/>
      <c r="BC24" s="73">
        <f>1 - (
    SUM(
        IF(AQ24-Uzman_D!$B$7&lt;0, -(AQ24-Uzman_D!$B$7), AQ24-Uzman_D!$B$7)*0.1 +
        IF(AR24-Uzman_D!$C$7&lt;0, -(AR24-Uzman_D!$C$7), AR24-Uzman_D!$C$7)*0.1 +
        IF(AS24-Uzman_D!$D$7&lt;0, -(AS24-Uzman_D!$D$7), AS24-Uzman_D!$D$7)*0.1 +
        IF(AT24-Uzman_D!$E$7&lt;0, -(AT24-Uzman_D!$E$7), AT24-Uzman_D!$E$7)*0.1 +
        IF(AU24-Uzman_D!$F$7&lt;0, -(AU24-Uzman_D!$F$7), AU24-Uzman_D!$F$7)*0.1 +
        IF(AV24-Uzman_D!$G$7&lt;0, -(AV24-Uzman_D!$G$7), AV24-Uzman_D!$G$7)*0.1 +
        IF(AW24-Uzman_D!$H$7&lt;0, -(AW24-Uzman_D!$H$7), AW24-Uzman_D!$H$7)*0.1 +
        IF(AX24-Uzman_D!$I$7&lt;0, -(AX24-Uzman_D!$I$7), AX24-Uzman_D!$I$7)*0.1 +
        IF(AY24-Uzman_D!$J$7&lt;0, -(AY24-Uzman_D!$J$7), AY24-Uzman_D!$J$7)*0.1
    ) +
    IF(ROUND((IF(BA24-Uzman_D!$L$7&lt;0, -(BA24-Uzman_D!$L$7), BA24-Uzman_D!$L$7)*2),0)/2 = IF(BA24-Uzman_D!$L$7&lt;0, -(BA24-Uzman_D!$L$7), BA24-Uzman_D!$L$7),
    (ROUND((IF(BA24-Uzman_D!$L$7&lt;0, -(BA24-Uzman_D!$L$7), BA24-Uzman_D!$L$7)*2),0)/1 * 0.1), 0) +
    IF(BB24-Uzman_D!$M$7&lt;0, -(BB24-Uzman_D!$M$7), BB24-Uzman_D!$M$7)*1
)</f>
        <v>-0.50000000000000022</v>
      </c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2"/>
      <c r="BO24" s="72"/>
      <c r="BP24" s="73">
        <f>1 - (
    SUM(
        IF(BD24-Uzman_D!$B$8&lt;0, -(BD24-Uzman_D!$B$8), BD24-Uzman_D!$B$8)*0.1 +
        IF(BE24-Uzman_D!$C$8&lt;0, -(BE24-Uzman_D!$C$8), BE24-Uzman_D!$C$8)*0.1 +
        IF(BF24-Uzman_D!$D$8&lt;0, -(BF24-Uzman_D!$D$8), BF24-Uzman_D!$D$8)*0.1 +
        IF(BG24-Uzman_D!$E$8&lt;0, -(BG24-Uzman_D!$E$8), BG24-Uzman_D!$E$8)*0.1 +
        IF(BH24-Uzman_D!$F$8&lt;0, -(BH24-Uzman_D!$F$8), BH24-Uzman_D!$F$8)*0.1 +
        IF(BI24-Uzman_D!$G$8&lt;0, -(BI24-Uzman_D!$G$8), BI24-Uzman_D!$G$8)*0.1 +
        IF(BJ24-Uzman_D!$H$8&lt;0, -(BJ24-Uzman_D!$H$8), BJ24-Uzman_D!$H$8)*0.1 +
        IF(BK24-Uzman_D!$I$8&lt;0, -(BK24-Uzman_D!$I$8), BK24-Uzman_D!$I$8)*0.1 +
        IF(BL24-Uzman_D!$J$8&lt;0, -(BL24-Uzman_D!$J$8), BL24-Uzman_D!$J$8)*0.1
    ) +
    IF(ROUND((IF(BN24-Uzman_D!$L$8&lt;0, -(BN24-Uzman_D!$L$8), BN24-Uzman_D!$L$8)*2),0)/2 = IF(BN24-Uzman_D!$L$8&lt;0, -(BN24-Uzman_D!$L$8), BN24-Uzman_D!$L$8),
    (ROUND((IF(BN24-Uzman_D!$L$8&lt;0, -(BN24-Uzman_D!$L$8), BN24-Uzman_D!$L$8)*2),0)/1 * 0.1), 0) +
    IF(BO24-Uzman_D!$M$8&lt;0, -(BO24-Uzman_D!$M$8), BO24-Uzman_D!$M$8)*1
)</f>
        <v>-0.20000000000000018</v>
      </c>
      <c r="BQ24" s="74">
        <f t="shared" si="0"/>
        <v>-0.54000000000000026</v>
      </c>
    </row>
    <row r="25" spans="1:69" ht="15" customHeight="1" x14ac:dyDescent="0.2">
      <c r="A25" s="57">
        <v>22</v>
      </c>
      <c r="B25" s="29">
        <f>Hakemler!B25</f>
        <v>0</v>
      </c>
      <c r="C25" s="29">
        <f>Hakemler!C25</f>
        <v>0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2"/>
      <c r="O25" s="72"/>
      <c r="P25" s="73">
        <f>1 - (
    SUM(
        IF(D25-Uzman_D!$B$4&lt;0, -(D25-Uzman_D!$B$4), D25-Uzman_D!$B$4)*0.1 +
        IF(E25-Uzman_D!$C$4&lt;0, -(E25-Uzman_D!$C$4), E25-Uzman_D!$C$4)*0.1 +
        IF(F25-Uzman_D!$D$4&lt;0, -(F25-Uzman_D!$D$4), F25-Uzman_D!$D$4)*0.1 +
        IF(G25-Uzman_D!$E$4&lt;0, -(G25-Uzman_D!$E$4), G25-Uzman_D!$E$4)*0.1 +
        IF(H25-Uzman_D!$F$4&lt;0, -(H25-Uzman_D!$F$4), H25-Uzman_D!$F$4)*0.1 +
        IF(I25-Uzman_D!$G$4&lt;0, -(I25-Uzman_D!$G$4), I25-Uzman_D!$G$4)*0.1 +
        IF(J25-Uzman_D!$H$4&lt;0, -(J25-Uzman_D!$H$4), J25-Uzman_D!$H$4)*0.1 +
        IF(K25-Uzman_D!$I$4&lt;0, -(K25-Uzman_D!$I$4), K25-Uzman_D!$I$4)*0.1 +
        IF(L25-Uzman_D!$J$4&lt;0, -(L25-Uzman_D!$J$4), L25-Uzman_D!$J$4)*0.1
    ) +
    IF(ROUND((IF(N25-Uzman_D!$L$4&lt;0, -(N25-Uzman_D!$L$4), N25-Uzman_D!$L$4)*2),0)/2 = IF(N25-Uzman_D!$L$4&lt;0, -(N25-Uzman_D!$L$4), N25-Uzman_D!$L$4),
    (ROUND((IF(N25-Uzman_D!$L$4&lt;0, -(N25-Uzman_D!$L$4), N25-Uzman_D!$L$4)*2),0)/1 * 0.1), 0) +
    IF(O25-Uzman_D!$M$4&lt;0, -(O25-Uzman_D!$M$4), O25-Uzman_D!$M$4)*1
)</f>
        <v>-0.90000000000000013</v>
      </c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2"/>
      <c r="AB25" s="72"/>
      <c r="AC25" s="73">
        <f>1 - (
    SUM(
        IF(Q25-Uzman_D!$B$5&lt;0, -(Q25-Uzman_D!$B$5), Q25-Uzman_D!$B$5)*0.1 +
        IF(R25-Uzman_D!$C$5&lt;0, -(R25-Uzman_D!$C$5), R25-Uzman_D!$C$5)*0.1 +
        IF(S25-Uzman_D!$D$5&lt;0, -(S25-Uzman_D!$D$5), S25-Uzman_D!$D$5)*0.1 +
        IF(T25-Uzman_D!$E$5&lt;0, -(T25-Uzman_D!$E$5), T25-Uzman_D!$E$5)*0.1 +
        IF(U25-Uzman_D!$F$5&lt;0, -(U25-Uzman_D!$F$5), U25-Uzman_D!$F$5)*0.1 +
        IF(V25-Uzman_D!$G$5&lt;0, -(V25-Uzman_D!$G$5), V25-Uzman_D!$G$5)*0.1 +
        IF(W25-Uzman_D!$H$5&lt;0, -(W25-Uzman_D!$H$5), W25-Uzman_D!$H$5)*0.1 +
        IF(X25-Uzman_D!$I$5&lt;0, -(X25-Uzman_D!$I$5), X25-Uzman_D!$I$5)*0.1 +
        IF(Y25-Uzman_D!$J$5&lt;0, -(Y25-Uzman_D!$J$5), Y25-Uzman_D!$J$5)*0.1
    ) +
    IF(ROUND((IF(AA25-Uzman_D!$L$5&lt;0, -(AA25-Uzman_D!$L$5), AA25-Uzman_D!$L$5)*2),0)/2 = IF(AA25-Uzman_D!$L$5&lt;0, -(AA25-Uzman_D!$L$5), AA25-Uzman_D!$L$5),
    (ROUND((IF(AA25-Uzman_D!$L$5&lt;0, -(AA25-Uzman_D!$L$5), AA25-Uzman_D!$L$5)*2),0)/1 * 0.1), 0) +
    IF(AB25-Uzman_D!$M$5&lt;0, -(AB25-Uzman_D!$M$5), AB25-Uzman_D!$M$5)*1
)</f>
        <v>-0.50000000000000022</v>
      </c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2"/>
      <c r="AO25" s="72"/>
      <c r="AP25" s="73">
        <f>1 - (
    SUM(
        IF(AD25-Uzman_D!$B$6&lt;0, -(AD25-Uzman_D!$B$6), AD25-Uzman_D!$B$6)*0.1 +
        IF(AE25-Uzman_D!$C$6&lt;0, -(AE25-Uzman_D!$C$6), AE25-Uzman_D!$C$6)*0.1 +
        IF(AF25-Uzman_D!$D$6&lt;0, -(AF25-Uzman_D!$D$6), AF25-Uzman_D!$D$6)*0.1 +
        IF(AG25-Uzman_D!$E$6&lt;0, -(AG25-Uzman_D!$E$6), AG25-Uzman_D!$E$6)*0.1 +
        IF(AH25-Uzman_D!$F$6&lt;0, -(AH25-Uzman_D!$F$6), AH25-Uzman_D!$F$6)*0.1 +
        IF(AI25-Uzman_D!$G$6&lt;0, -(AI25-Uzman_D!$G$6), AI25-Uzman_D!$G$6)*0.1 +
        IF(AJ25-Uzman_D!$H$6&lt;0, -(AJ25-Uzman_D!$H$6), AJ25-Uzman_D!$H$6)*0.1 +
        IF(AK25-Uzman_D!$I$6&lt;0, -(AK25-Uzman_D!$I$6), AK25-Uzman_D!$I$6)*0.1 +
        IF(AL25-Uzman_D!$J$6&lt;0, -(AL25-Uzman_D!$J$6), AL25-Uzman_D!$J$6)*0.1
    ) +
    IF(ROUND((IF(AN25-Uzman_D!$L$6&lt;0, -(AN25-Uzman_D!$L$6), AN25-Uzman_D!$L$6)*2),0)/2 = IF(AN25-Uzman_D!$L$6&lt;0, -(AN25-Uzman_D!$L$6), AN25-Uzman_D!$L$6),
    (ROUND((IF(AN25-Uzman_D!$L$6&lt;0, -(AN25-Uzman_D!$L$6), AN25-Uzman_D!$L$6)*2),0)/1 * 0.1), 0) +
    IF(AO25-Uzman_D!$M$6&lt;0, -(AO25-Uzman_D!$M$6), AO25-Uzman_D!$M$6)*1
)</f>
        <v>-0.60000000000000009</v>
      </c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2"/>
      <c r="BB25" s="72"/>
      <c r="BC25" s="73">
        <f>1 - (
    SUM(
        IF(AQ25-Uzman_D!$B$7&lt;0, -(AQ25-Uzman_D!$B$7), AQ25-Uzman_D!$B$7)*0.1 +
        IF(AR25-Uzman_D!$C$7&lt;0, -(AR25-Uzman_D!$C$7), AR25-Uzman_D!$C$7)*0.1 +
        IF(AS25-Uzman_D!$D$7&lt;0, -(AS25-Uzman_D!$D$7), AS25-Uzman_D!$D$7)*0.1 +
        IF(AT25-Uzman_D!$E$7&lt;0, -(AT25-Uzman_D!$E$7), AT25-Uzman_D!$E$7)*0.1 +
        IF(AU25-Uzman_D!$F$7&lt;0, -(AU25-Uzman_D!$F$7), AU25-Uzman_D!$F$7)*0.1 +
        IF(AV25-Uzman_D!$G$7&lt;0, -(AV25-Uzman_D!$G$7), AV25-Uzman_D!$G$7)*0.1 +
        IF(AW25-Uzman_D!$H$7&lt;0, -(AW25-Uzman_D!$H$7), AW25-Uzman_D!$H$7)*0.1 +
        IF(AX25-Uzman_D!$I$7&lt;0, -(AX25-Uzman_D!$I$7), AX25-Uzman_D!$I$7)*0.1 +
        IF(AY25-Uzman_D!$J$7&lt;0, -(AY25-Uzman_D!$J$7), AY25-Uzman_D!$J$7)*0.1
    ) +
    IF(ROUND((IF(BA25-Uzman_D!$L$7&lt;0, -(BA25-Uzman_D!$L$7), BA25-Uzman_D!$L$7)*2),0)/2 = IF(BA25-Uzman_D!$L$7&lt;0, -(BA25-Uzman_D!$L$7), BA25-Uzman_D!$L$7),
    (ROUND((IF(BA25-Uzman_D!$L$7&lt;0, -(BA25-Uzman_D!$L$7), BA25-Uzman_D!$L$7)*2),0)/1 * 0.1), 0) +
    IF(BB25-Uzman_D!$M$7&lt;0, -(BB25-Uzman_D!$M$7), BB25-Uzman_D!$M$7)*1
)</f>
        <v>-0.50000000000000022</v>
      </c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2"/>
      <c r="BO25" s="72"/>
      <c r="BP25" s="73">
        <f>1 - (
    SUM(
        IF(BD25-Uzman_D!$B$8&lt;0, -(BD25-Uzman_D!$B$8), BD25-Uzman_D!$B$8)*0.1 +
        IF(BE25-Uzman_D!$C$8&lt;0, -(BE25-Uzman_D!$C$8), BE25-Uzman_D!$C$8)*0.1 +
        IF(BF25-Uzman_D!$D$8&lt;0, -(BF25-Uzman_D!$D$8), BF25-Uzman_D!$D$8)*0.1 +
        IF(BG25-Uzman_D!$E$8&lt;0, -(BG25-Uzman_D!$E$8), BG25-Uzman_D!$E$8)*0.1 +
        IF(BH25-Uzman_D!$F$8&lt;0, -(BH25-Uzman_D!$F$8), BH25-Uzman_D!$F$8)*0.1 +
        IF(BI25-Uzman_D!$G$8&lt;0, -(BI25-Uzman_D!$G$8), BI25-Uzman_D!$G$8)*0.1 +
        IF(BJ25-Uzman_D!$H$8&lt;0, -(BJ25-Uzman_D!$H$8), BJ25-Uzman_D!$H$8)*0.1 +
        IF(BK25-Uzman_D!$I$8&lt;0, -(BK25-Uzman_D!$I$8), BK25-Uzman_D!$I$8)*0.1 +
        IF(BL25-Uzman_D!$J$8&lt;0, -(BL25-Uzman_D!$J$8), BL25-Uzman_D!$J$8)*0.1
    ) +
    IF(ROUND((IF(BN25-Uzman_D!$L$8&lt;0, -(BN25-Uzman_D!$L$8), BN25-Uzman_D!$L$8)*2),0)/2 = IF(BN25-Uzman_D!$L$8&lt;0, -(BN25-Uzman_D!$L$8), BN25-Uzman_D!$L$8),
    (ROUND((IF(BN25-Uzman_D!$L$8&lt;0, -(BN25-Uzman_D!$L$8), BN25-Uzman_D!$L$8)*2),0)/1 * 0.1), 0) +
    IF(BO25-Uzman_D!$M$8&lt;0, -(BO25-Uzman_D!$M$8), BO25-Uzman_D!$M$8)*1
)</f>
        <v>-0.20000000000000018</v>
      </c>
      <c r="BQ25" s="74">
        <f t="shared" si="0"/>
        <v>-0.54000000000000026</v>
      </c>
    </row>
    <row r="26" spans="1:69" ht="15" customHeight="1" x14ac:dyDescent="0.2">
      <c r="A26" s="57">
        <v>23</v>
      </c>
      <c r="B26" s="29">
        <f>Hakemler!B26</f>
        <v>0</v>
      </c>
      <c r="C26" s="29">
        <f>Hakemler!C26</f>
        <v>0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2"/>
      <c r="O26" s="72"/>
      <c r="P26" s="73">
        <f>1 - (
    SUM(
        IF(D26-Uzman_D!$B$4&lt;0, -(D26-Uzman_D!$B$4), D26-Uzman_D!$B$4)*0.1 +
        IF(E26-Uzman_D!$C$4&lt;0, -(E26-Uzman_D!$C$4), E26-Uzman_D!$C$4)*0.1 +
        IF(F26-Uzman_D!$D$4&lt;0, -(F26-Uzman_D!$D$4), F26-Uzman_D!$D$4)*0.1 +
        IF(G26-Uzman_D!$E$4&lt;0, -(G26-Uzman_D!$E$4), G26-Uzman_D!$E$4)*0.1 +
        IF(H26-Uzman_D!$F$4&lt;0, -(H26-Uzman_D!$F$4), H26-Uzman_D!$F$4)*0.1 +
        IF(I26-Uzman_D!$G$4&lt;0, -(I26-Uzman_D!$G$4), I26-Uzman_D!$G$4)*0.1 +
        IF(J26-Uzman_D!$H$4&lt;0, -(J26-Uzman_D!$H$4), J26-Uzman_D!$H$4)*0.1 +
        IF(K26-Uzman_D!$I$4&lt;0, -(K26-Uzman_D!$I$4), K26-Uzman_D!$I$4)*0.1 +
        IF(L26-Uzman_D!$J$4&lt;0, -(L26-Uzman_D!$J$4), L26-Uzman_D!$J$4)*0.1
    ) +
    IF(ROUND((IF(N26-Uzman_D!$L$4&lt;0, -(N26-Uzman_D!$L$4), N26-Uzman_D!$L$4)*2),0)/2 = IF(N26-Uzman_D!$L$4&lt;0, -(N26-Uzman_D!$L$4), N26-Uzman_D!$L$4),
    (ROUND((IF(N26-Uzman_D!$L$4&lt;0, -(N26-Uzman_D!$L$4), N26-Uzman_D!$L$4)*2),0)/1 * 0.1), 0) +
    IF(O26-Uzman_D!$M$4&lt;0, -(O26-Uzman_D!$M$4), O26-Uzman_D!$M$4)*1
)</f>
        <v>-0.90000000000000013</v>
      </c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2"/>
      <c r="AB26" s="72"/>
      <c r="AC26" s="73">
        <f>1 - (
    SUM(
        IF(Q26-Uzman_D!$B$5&lt;0, -(Q26-Uzman_D!$B$5), Q26-Uzman_D!$B$5)*0.1 +
        IF(R26-Uzman_D!$C$5&lt;0, -(R26-Uzman_D!$C$5), R26-Uzman_D!$C$5)*0.1 +
        IF(S26-Uzman_D!$D$5&lt;0, -(S26-Uzman_D!$D$5), S26-Uzman_D!$D$5)*0.1 +
        IF(T26-Uzman_D!$E$5&lt;0, -(T26-Uzman_D!$E$5), T26-Uzman_D!$E$5)*0.1 +
        IF(U26-Uzman_D!$F$5&lt;0, -(U26-Uzman_D!$F$5), U26-Uzman_D!$F$5)*0.1 +
        IF(V26-Uzman_D!$G$5&lt;0, -(V26-Uzman_D!$G$5), V26-Uzman_D!$G$5)*0.1 +
        IF(W26-Uzman_D!$H$5&lt;0, -(W26-Uzman_D!$H$5), W26-Uzman_D!$H$5)*0.1 +
        IF(X26-Uzman_D!$I$5&lt;0, -(X26-Uzman_D!$I$5), X26-Uzman_D!$I$5)*0.1 +
        IF(Y26-Uzman_D!$J$5&lt;0, -(Y26-Uzman_D!$J$5), Y26-Uzman_D!$J$5)*0.1
    ) +
    IF(ROUND((IF(AA26-Uzman_D!$L$5&lt;0, -(AA26-Uzman_D!$L$5), AA26-Uzman_D!$L$5)*2),0)/2 = IF(AA26-Uzman_D!$L$5&lt;0, -(AA26-Uzman_D!$L$5), AA26-Uzman_D!$L$5),
    (ROUND((IF(AA26-Uzman_D!$L$5&lt;0, -(AA26-Uzman_D!$L$5), AA26-Uzman_D!$L$5)*2),0)/1 * 0.1), 0) +
    IF(AB26-Uzman_D!$M$5&lt;0, -(AB26-Uzman_D!$M$5), AB26-Uzman_D!$M$5)*1
)</f>
        <v>-0.50000000000000022</v>
      </c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2"/>
      <c r="AO26" s="72"/>
      <c r="AP26" s="73">
        <f>1 - (
    SUM(
        IF(AD26-Uzman_D!$B$6&lt;0, -(AD26-Uzman_D!$B$6), AD26-Uzman_D!$B$6)*0.1 +
        IF(AE26-Uzman_D!$C$6&lt;0, -(AE26-Uzman_D!$C$6), AE26-Uzman_D!$C$6)*0.1 +
        IF(AF26-Uzman_D!$D$6&lt;0, -(AF26-Uzman_D!$D$6), AF26-Uzman_D!$D$6)*0.1 +
        IF(AG26-Uzman_D!$E$6&lt;0, -(AG26-Uzman_D!$E$6), AG26-Uzman_D!$E$6)*0.1 +
        IF(AH26-Uzman_D!$F$6&lt;0, -(AH26-Uzman_D!$F$6), AH26-Uzman_D!$F$6)*0.1 +
        IF(AI26-Uzman_D!$G$6&lt;0, -(AI26-Uzman_D!$G$6), AI26-Uzman_D!$G$6)*0.1 +
        IF(AJ26-Uzman_D!$H$6&lt;0, -(AJ26-Uzman_D!$H$6), AJ26-Uzman_D!$H$6)*0.1 +
        IF(AK26-Uzman_D!$I$6&lt;0, -(AK26-Uzman_D!$I$6), AK26-Uzman_D!$I$6)*0.1 +
        IF(AL26-Uzman_D!$J$6&lt;0, -(AL26-Uzman_D!$J$6), AL26-Uzman_D!$J$6)*0.1
    ) +
    IF(ROUND((IF(AN26-Uzman_D!$L$6&lt;0, -(AN26-Uzman_D!$L$6), AN26-Uzman_D!$L$6)*2),0)/2 = IF(AN26-Uzman_D!$L$6&lt;0, -(AN26-Uzman_D!$L$6), AN26-Uzman_D!$L$6),
    (ROUND((IF(AN26-Uzman_D!$L$6&lt;0, -(AN26-Uzman_D!$L$6), AN26-Uzman_D!$L$6)*2),0)/1 * 0.1), 0) +
    IF(AO26-Uzman_D!$M$6&lt;0, -(AO26-Uzman_D!$M$6), AO26-Uzman_D!$M$6)*1
)</f>
        <v>-0.60000000000000009</v>
      </c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2"/>
      <c r="BB26" s="72"/>
      <c r="BC26" s="73">
        <f>1 - (
    SUM(
        IF(AQ26-Uzman_D!$B$7&lt;0, -(AQ26-Uzman_D!$B$7), AQ26-Uzman_D!$B$7)*0.1 +
        IF(AR26-Uzman_D!$C$7&lt;0, -(AR26-Uzman_D!$C$7), AR26-Uzman_D!$C$7)*0.1 +
        IF(AS26-Uzman_D!$D$7&lt;0, -(AS26-Uzman_D!$D$7), AS26-Uzman_D!$D$7)*0.1 +
        IF(AT26-Uzman_D!$E$7&lt;0, -(AT26-Uzman_D!$E$7), AT26-Uzman_D!$E$7)*0.1 +
        IF(AU26-Uzman_D!$F$7&lt;0, -(AU26-Uzman_D!$F$7), AU26-Uzman_D!$F$7)*0.1 +
        IF(AV26-Uzman_D!$G$7&lt;0, -(AV26-Uzman_D!$G$7), AV26-Uzman_D!$G$7)*0.1 +
        IF(AW26-Uzman_D!$H$7&lt;0, -(AW26-Uzman_D!$H$7), AW26-Uzman_D!$H$7)*0.1 +
        IF(AX26-Uzman_D!$I$7&lt;0, -(AX26-Uzman_D!$I$7), AX26-Uzman_D!$I$7)*0.1 +
        IF(AY26-Uzman_D!$J$7&lt;0, -(AY26-Uzman_D!$J$7), AY26-Uzman_D!$J$7)*0.1
    ) +
    IF(ROUND((IF(BA26-Uzman_D!$L$7&lt;0, -(BA26-Uzman_D!$L$7), BA26-Uzman_D!$L$7)*2),0)/2 = IF(BA26-Uzman_D!$L$7&lt;0, -(BA26-Uzman_D!$L$7), BA26-Uzman_D!$L$7),
    (ROUND((IF(BA26-Uzman_D!$L$7&lt;0, -(BA26-Uzman_D!$L$7), BA26-Uzman_D!$L$7)*2),0)/1 * 0.1), 0) +
    IF(BB26-Uzman_D!$M$7&lt;0, -(BB26-Uzman_D!$M$7), BB26-Uzman_D!$M$7)*1
)</f>
        <v>-0.50000000000000022</v>
      </c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2"/>
      <c r="BO26" s="72"/>
      <c r="BP26" s="73">
        <f>1 - (
    SUM(
        IF(BD26-Uzman_D!$B$8&lt;0, -(BD26-Uzman_D!$B$8), BD26-Uzman_D!$B$8)*0.1 +
        IF(BE26-Uzman_D!$C$8&lt;0, -(BE26-Uzman_D!$C$8), BE26-Uzman_D!$C$8)*0.1 +
        IF(BF26-Uzman_D!$D$8&lt;0, -(BF26-Uzman_D!$D$8), BF26-Uzman_D!$D$8)*0.1 +
        IF(BG26-Uzman_D!$E$8&lt;0, -(BG26-Uzman_D!$E$8), BG26-Uzman_D!$E$8)*0.1 +
        IF(BH26-Uzman_D!$F$8&lt;0, -(BH26-Uzman_D!$F$8), BH26-Uzman_D!$F$8)*0.1 +
        IF(BI26-Uzman_D!$G$8&lt;0, -(BI26-Uzman_D!$G$8), BI26-Uzman_D!$G$8)*0.1 +
        IF(BJ26-Uzman_D!$H$8&lt;0, -(BJ26-Uzman_D!$H$8), BJ26-Uzman_D!$H$8)*0.1 +
        IF(BK26-Uzman_D!$I$8&lt;0, -(BK26-Uzman_D!$I$8), BK26-Uzman_D!$I$8)*0.1 +
        IF(BL26-Uzman_D!$J$8&lt;0, -(BL26-Uzman_D!$J$8), BL26-Uzman_D!$J$8)*0.1
    ) +
    IF(ROUND((IF(BN26-Uzman_D!$L$8&lt;0, -(BN26-Uzman_D!$L$8), BN26-Uzman_D!$L$8)*2),0)/2 = IF(BN26-Uzman_D!$L$8&lt;0, -(BN26-Uzman_D!$L$8), BN26-Uzman_D!$L$8),
    (ROUND((IF(BN26-Uzman_D!$L$8&lt;0, -(BN26-Uzman_D!$L$8), BN26-Uzman_D!$L$8)*2),0)/1 * 0.1), 0) +
    IF(BO26-Uzman_D!$M$8&lt;0, -(BO26-Uzman_D!$M$8), BO26-Uzman_D!$M$8)*1
)</f>
        <v>-0.20000000000000018</v>
      </c>
      <c r="BQ26" s="74">
        <f t="shared" si="0"/>
        <v>-0.54000000000000026</v>
      </c>
    </row>
    <row r="27" spans="1:69" ht="15" customHeight="1" x14ac:dyDescent="0.2">
      <c r="A27" s="57">
        <v>24</v>
      </c>
      <c r="B27" s="29">
        <f>Hakemler!B27</f>
        <v>0</v>
      </c>
      <c r="C27" s="29">
        <f>Hakemler!C27</f>
        <v>0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2"/>
      <c r="O27" s="72"/>
      <c r="P27" s="73">
        <f>1 - (
    SUM(
        IF(D27-Uzman_D!$B$4&lt;0, -(D27-Uzman_D!$B$4), D27-Uzman_D!$B$4)*0.1 +
        IF(E27-Uzman_D!$C$4&lt;0, -(E27-Uzman_D!$C$4), E27-Uzman_D!$C$4)*0.1 +
        IF(F27-Uzman_D!$D$4&lt;0, -(F27-Uzman_D!$D$4), F27-Uzman_D!$D$4)*0.1 +
        IF(G27-Uzman_D!$E$4&lt;0, -(G27-Uzman_D!$E$4), G27-Uzman_D!$E$4)*0.1 +
        IF(H27-Uzman_D!$F$4&lt;0, -(H27-Uzman_D!$F$4), H27-Uzman_D!$F$4)*0.1 +
        IF(I27-Uzman_D!$G$4&lt;0, -(I27-Uzman_D!$G$4), I27-Uzman_D!$G$4)*0.1 +
        IF(J27-Uzman_D!$H$4&lt;0, -(J27-Uzman_D!$H$4), J27-Uzman_D!$H$4)*0.1 +
        IF(K27-Uzman_D!$I$4&lt;0, -(K27-Uzman_D!$I$4), K27-Uzman_D!$I$4)*0.1 +
        IF(L27-Uzman_D!$J$4&lt;0, -(L27-Uzman_D!$J$4), L27-Uzman_D!$J$4)*0.1
    ) +
    IF(ROUND((IF(N27-Uzman_D!$L$4&lt;0, -(N27-Uzman_D!$L$4), N27-Uzman_D!$L$4)*2),0)/2 = IF(N27-Uzman_D!$L$4&lt;0, -(N27-Uzman_D!$L$4), N27-Uzman_D!$L$4),
    (ROUND((IF(N27-Uzman_D!$L$4&lt;0, -(N27-Uzman_D!$L$4), N27-Uzman_D!$L$4)*2),0)/1 * 0.1), 0) +
    IF(O27-Uzman_D!$M$4&lt;0, -(O27-Uzman_D!$M$4), O27-Uzman_D!$M$4)*1
)</f>
        <v>-0.90000000000000013</v>
      </c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2"/>
      <c r="AB27" s="72"/>
      <c r="AC27" s="73">
        <f>1 - (
    SUM(
        IF(Q27-Uzman_D!$B$5&lt;0, -(Q27-Uzman_D!$B$5), Q27-Uzman_D!$B$5)*0.1 +
        IF(R27-Uzman_D!$C$5&lt;0, -(R27-Uzman_D!$C$5), R27-Uzman_D!$C$5)*0.1 +
        IF(S27-Uzman_D!$D$5&lt;0, -(S27-Uzman_D!$D$5), S27-Uzman_D!$D$5)*0.1 +
        IF(T27-Uzman_D!$E$5&lt;0, -(T27-Uzman_D!$E$5), T27-Uzman_D!$E$5)*0.1 +
        IF(U27-Uzman_D!$F$5&lt;0, -(U27-Uzman_D!$F$5), U27-Uzman_D!$F$5)*0.1 +
        IF(V27-Uzman_D!$G$5&lt;0, -(V27-Uzman_D!$G$5), V27-Uzman_D!$G$5)*0.1 +
        IF(W27-Uzman_D!$H$5&lt;0, -(W27-Uzman_D!$H$5), W27-Uzman_D!$H$5)*0.1 +
        IF(X27-Uzman_D!$I$5&lt;0, -(X27-Uzman_D!$I$5), X27-Uzman_D!$I$5)*0.1 +
        IF(Y27-Uzman_D!$J$5&lt;0, -(Y27-Uzman_D!$J$5), Y27-Uzman_D!$J$5)*0.1
    ) +
    IF(ROUND((IF(AA27-Uzman_D!$L$5&lt;0, -(AA27-Uzman_D!$L$5), AA27-Uzman_D!$L$5)*2),0)/2 = IF(AA27-Uzman_D!$L$5&lt;0, -(AA27-Uzman_D!$L$5), AA27-Uzman_D!$L$5),
    (ROUND((IF(AA27-Uzman_D!$L$5&lt;0, -(AA27-Uzman_D!$L$5), AA27-Uzman_D!$L$5)*2),0)/1 * 0.1), 0) +
    IF(AB27-Uzman_D!$M$5&lt;0, -(AB27-Uzman_D!$M$5), AB27-Uzman_D!$M$5)*1
)</f>
        <v>-0.50000000000000022</v>
      </c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2"/>
      <c r="AO27" s="72"/>
      <c r="AP27" s="73">
        <f>1 - (
    SUM(
        IF(AD27-Uzman_D!$B$6&lt;0, -(AD27-Uzman_D!$B$6), AD27-Uzman_D!$B$6)*0.1 +
        IF(AE27-Uzman_D!$C$6&lt;0, -(AE27-Uzman_D!$C$6), AE27-Uzman_D!$C$6)*0.1 +
        IF(AF27-Uzman_D!$D$6&lt;0, -(AF27-Uzman_D!$D$6), AF27-Uzman_D!$D$6)*0.1 +
        IF(AG27-Uzman_D!$E$6&lt;0, -(AG27-Uzman_D!$E$6), AG27-Uzman_D!$E$6)*0.1 +
        IF(AH27-Uzman_D!$F$6&lt;0, -(AH27-Uzman_D!$F$6), AH27-Uzman_D!$F$6)*0.1 +
        IF(AI27-Uzman_D!$G$6&lt;0, -(AI27-Uzman_D!$G$6), AI27-Uzman_D!$G$6)*0.1 +
        IF(AJ27-Uzman_D!$H$6&lt;0, -(AJ27-Uzman_D!$H$6), AJ27-Uzman_D!$H$6)*0.1 +
        IF(AK27-Uzman_D!$I$6&lt;0, -(AK27-Uzman_D!$I$6), AK27-Uzman_D!$I$6)*0.1 +
        IF(AL27-Uzman_D!$J$6&lt;0, -(AL27-Uzman_D!$J$6), AL27-Uzman_D!$J$6)*0.1
    ) +
    IF(ROUND((IF(AN27-Uzman_D!$L$6&lt;0, -(AN27-Uzman_D!$L$6), AN27-Uzman_D!$L$6)*2),0)/2 = IF(AN27-Uzman_D!$L$6&lt;0, -(AN27-Uzman_D!$L$6), AN27-Uzman_D!$L$6),
    (ROUND((IF(AN27-Uzman_D!$L$6&lt;0, -(AN27-Uzman_D!$L$6), AN27-Uzman_D!$L$6)*2),0)/1 * 0.1), 0) +
    IF(AO27-Uzman_D!$M$6&lt;0, -(AO27-Uzman_D!$M$6), AO27-Uzman_D!$M$6)*1
)</f>
        <v>-0.60000000000000009</v>
      </c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2"/>
      <c r="BB27" s="72"/>
      <c r="BC27" s="73">
        <f>1 - (
    SUM(
        IF(AQ27-Uzman_D!$B$7&lt;0, -(AQ27-Uzman_D!$B$7), AQ27-Uzman_D!$B$7)*0.1 +
        IF(AR27-Uzman_D!$C$7&lt;0, -(AR27-Uzman_D!$C$7), AR27-Uzman_D!$C$7)*0.1 +
        IF(AS27-Uzman_D!$D$7&lt;0, -(AS27-Uzman_D!$D$7), AS27-Uzman_D!$D$7)*0.1 +
        IF(AT27-Uzman_D!$E$7&lt;0, -(AT27-Uzman_D!$E$7), AT27-Uzman_D!$E$7)*0.1 +
        IF(AU27-Uzman_D!$F$7&lt;0, -(AU27-Uzman_D!$F$7), AU27-Uzman_D!$F$7)*0.1 +
        IF(AV27-Uzman_D!$G$7&lt;0, -(AV27-Uzman_D!$G$7), AV27-Uzman_D!$G$7)*0.1 +
        IF(AW27-Uzman_D!$H$7&lt;0, -(AW27-Uzman_D!$H$7), AW27-Uzman_D!$H$7)*0.1 +
        IF(AX27-Uzman_D!$I$7&lt;0, -(AX27-Uzman_D!$I$7), AX27-Uzman_D!$I$7)*0.1 +
        IF(AY27-Uzman_D!$J$7&lt;0, -(AY27-Uzman_D!$J$7), AY27-Uzman_D!$J$7)*0.1
    ) +
    IF(ROUND((IF(BA27-Uzman_D!$L$7&lt;0, -(BA27-Uzman_D!$L$7), BA27-Uzman_D!$L$7)*2),0)/2 = IF(BA27-Uzman_D!$L$7&lt;0, -(BA27-Uzman_D!$L$7), BA27-Uzman_D!$L$7),
    (ROUND((IF(BA27-Uzman_D!$L$7&lt;0, -(BA27-Uzman_D!$L$7), BA27-Uzman_D!$L$7)*2),0)/1 * 0.1), 0) +
    IF(BB27-Uzman_D!$M$7&lt;0, -(BB27-Uzman_D!$M$7), BB27-Uzman_D!$M$7)*1
)</f>
        <v>-0.50000000000000022</v>
      </c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2"/>
      <c r="BO27" s="72"/>
      <c r="BP27" s="73">
        <f>1 - (
    SUM(
        IF(BD27-Uzman_D!$B$8&lt;0, -(BD27-Uzman_D!$B$8), BD27-Uzman_D!$B$8)*0.1 +
        IF(BE27-Uzman_D!$C$8&lt;0, -(BE27-Uzman_D!$C$8), BE27-Uzman_D!$C$8)*0.1 +
        IF(BF27-Uzman_D!$D$8&lt;0, -(BF27-Uzman_D!$D$8), BF27-Uzman_D!$D$8)*0.1 +
        IF(BG27-Uzman_D!$E$8&lt;0, -(BG27-Uzman_D!$E$8), BG27-Uzman_D!$E$8)*0.1 +
        IF(BH27-Uzman_D!$F$8&lt;0, -(BH27-Uzman_D!$F$8), BH27-Uzman_D!$F$8)*0.1 +
        IF(BI27-Uzman_D!$G$8&lt;0, -(BI27-Uzman_D!$G$8), BI27-Uzman_D!$G$8)*0.1 +
        IF(BJ27-Uzman_D!$H$8&lt;0, -(BJ27-Uzman_D!$H$8), BJ27-Uzman_D!$H$8)*0.1 +
        IF(BK27-Uzman_D!$I$8&lt;0, -(BK27-Uzman_D!$I$8), BK27-Uzman_D!$I$8)*0.1 +
        IF(BL27-Uzman_D!$J$8&lt;0, -(BL27-Uzman_D!$J$8), BL27-Uzman_D!$J$8)*0.1
    ) +
    IF(ROUND((IF(BN27-Uzman_D!$L$8&lt;0, -(BN27-Uzman_D!$L$8), BN27-Uzman_D!$L$8)*2),0)/2 = IF(BN27-Uzman_D!$L$8&lt;0, -(BN27-Uzman_D!$L$8), BN27-Uzman_D!$L$8),
    (ROUND((IF(BN27-Uzman_D!$L$8&lt;0, -(BN27-Uzman_D!$L$8), BN27-Uzman_D!$L$8)*2),0)/1 * 0.1), 0) +
    IF(BO27-Uzman_D!$M$8&lt;0, -(BO27-Uzman_D!$M$8), BO27-Uzman_D!$M$8)*1
)</f>
        <v>-0.20000000000000018</v>
      </c>
      <c r="BQ27" s="74">
        <f t="shared" si="0"/>
        <v>-0.54000000000000026</v>
      </c>
    </row>
    <row r="28" spans="1:69" ht="15" customHeight="1" x14ac:dyDescent="0.2">
      <c r="A28" s="57">
        <v>25</v>
      </c>
      <c r="B28" s="29">
        <f>Hakemler!B28</f>
        <v>0</v>
      </c>
      <c r="C28" s="29">
        <f>Hakemler!C28</f>
        <v>0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2"/>
      <c r="O28" s="72"/>
      <c r="P28" s="73">
        <f>1 - (
    SUM(
        IF(D28-Uzman_D!$B$4&lt;0, -(D28-Uzman_D!$B$4), D28-Uzman_D!$B$4)*0.1 +
        IF(E28-Uzman_D!$C$4&lt;0, -(E28-Uzman_D!$C$4), E28-Uzman_D!$C$4)*0.1 +
        IF(F28-Uzman_D!$D$4&lt;0, -(F28-Uzman_D!$D$4), F28-Uzman_D!$D$4)*0.1 +
        IF(G28-Uzman_D!$E$4&lt;0, -(G28-Uzman_D!$E$4), G28-Uzman_D!$E$4)*0.1 +
        IF(H28-Uzman_D!$F$4&lt;0, -(H28-Uzman_D!$F$4), H28-Uzman_D!$F$4)*0.1 +
        IF(I28-Uzman_D!$G$4&lt;0, -(I28-Uzman_D!$G$4), I28-Uzman_D!$G$4)*0.1 +
        IF(J28-Uzman_D!$H$4&lt;0, -(J28-Uzman_D!$H$4), J28-Uzman_D!$H$4)*0.1 +
        IF(K28-Uzman_D!$I$4&lt;0, -(K28-Uzman_D!$I$4), K28-Uzman_D!$I$4)*0.1 +
        IF(L28-Uzman_D!$J$4&lt;0, -(L28-Uzman_D!$J$4), L28-Uzman_D!$J$4)*0.1
    ) +
    IF(ROUND((IF(N28-Uzman_D!$L$4&lt;0, -(N28-Uzman_D!$L$4), N28-Uzman_D!$L$4)*2),0)/2 = IF(N28-Uzman_D!$L$4&lt;0, -(N28-Uzman_D!$L$4), N28-Uzman_D!$L$4),
    (ROUND((IF(N28-Uzman_D!$L$4&lt;0, -(N28-Uzman_D!$L$4), N28-Uzman_D!$L$4)*2),0)/1 * 0.1), 0) +
    IF(O28-Uzman_D!$M$4&lt;0, -(O28-Uzman_D!$M$4), O28-Uzman_D!$M$4)*1
)</f>
        <v>-0.90000000000000013</v>
      </c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2"/>
      <c r="AB28" s="72"/>
      <c r="AC28" s="73">
        <f>1 - (
    SUM(
        IF(Q28-Uzman_D!$B$5&lt;0, -(Q28-Uzman_D!$B$5), Q28-Uzman_D!$B$5)*0.1 +
        IF(R28-Uzman_D!$C$5&lt;0, -(R28-Uzman_D!$C$5), R28-Uzman_D!$C$5)*0.1 +
        IF(S28-Uzman_D!$D$5&lt;0, -(S28-Uzman_D!$D$5), S28-Uzman_D!$D$5)*0.1 +
        IF(T28-Uzman_D!$E$5&lt;0, -(T28-Uzman_D!$E$5), T28-Uzman_D!$E$5)*0.1 +
        IF(U28-Uzman_D!$F$5&lt;0, -(U28-Uzman_D!$F$5), U28-Uzman_D!$F$5)*0.1 +
        IF(V28-Uzman_D!$G$5&lt;0, -(V28-Uzman_D!$G$5), V28-Uzman_D!$G$5)*0.1 +
        IF(W28-Uzman_D!$H$5&lt;0, -(W28-Uzman_D!$H$5), W28-Uzman_D!$H$5)*0.1 +
        IF(X28-Uzman_D!$I$5&lt;0, -(X28-Uzman_D!$I$5), X28-Uzman_D!$I$5)*0.1 +
        IF(Y28-Uzman_D!$J$5&lt;0, -(Y28-Uzman_D!$J$5), Y28-Uzman_D!$J$5)*0.1
    ) +
    IF(ROUND((IF(AA28-Uzman_D!$L$5&lt;0, -(AA28-Uzman_D!$L$5), AA28-Uzman_D!$L$5)*2),0)/2 = IF(AA28-Uzman_D!$L$5&lt;0, -(AA28-Uzman_D!$L$5), AA28-Uzman_D!$L$5),
    (ROUND((IF(AA28-Uzman_D!$L$5&lt;0, -(AA28-Uzman_D!$L$5), AA28-Uzman_D!$L$5)*2),0)/1 * 0.1), 0) +
    IF(AB28-Uzman_D!$M$5&lt;0, -(AB28-Uzman_D!$M$5), AB28-Uzman_D!$M$5)*1
)</f>
        <v>-0.50000000000000022</v>
      </c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2"/>
      <c r="AO28" s="72"/>
      <c r="AP28" s="73">
        <f>1 - (
    SUM(
        IF(AD28-Uzman_D!$B$6&lt;0, -(AD28-Uzman_D!$B$6), AD28-Uzman_D!$B$6)*0.1 +
        IF(AE28-Uzman_D!$C$6&lt;0, -(AE28-Uzman_D!$C$6), AE28-Uzman_D!$C$6)*0.1 +
        IF(AF28-Uzman_D!$D$6&lt;0, -(AF28-Uzman_D!$D$6), AF28-Uzman_D!$D$6)*0.1 +
        IF(AG28-Uzman_D!$E$6&lt;0, -(AG28-Uzman_D!$E$6), AG28-Uzman_D!$E$6)*0.1 +
        IF(AH28-Uzman_D!$F$6&lt;0, -(AH28-Uzman_D!$F$6), AH28-Uzman_D!$F$6)*0.1 +
        IF(AI28-Uzman_D!$G$6&lt;0, -(AI28-Uzman_D!$G$6), AI28-Uzman_D!$G$6)*0.1 +
        IF(AJ28-Uzman_D!$H$6&lt;0, -(AJ28-Uzman_D!$H$6), AJ28-Uzman_D!$H$6)*0.1 +
        IF(AK28-Uzman_D!$I$6&lt;0, -(AK28-Uzman_D!$I$6), AK28-Uzman_D!$I$6)*0.1 +
        IF(AL28-Uzman_D!$J$6&lt;0, -(AL28-Uzman_D!$J$6), AL28-Uzman_D!$J$6)*0.1
    ) +
    IF(ROUND((IF(AN28-Uzman_D!$L$6&lt;0, -(AN28-Uzman_D!$L$6), AN28-Uzman_D!$L$6)*2),0)/2 = IF(AN28-Uzman_D!$L$6&lt;0, -(AN28-Uzman_D!$L$6), AN28-Uzman_D!$L$6),
    (ROUND((IF(AN28-Uzman_D!$L$6&lt;0, -(AN28-Uzman_D!$L$6), AN28-Uzman_D!$L$6)*2),0)/1 * 0.1), 0) +
    IF(AO28-Uzman_D!$M$6&lt;0, -(AO28-Uzman_D!$M$6), AO28-Uzman_D!$M$6)*1
)</f>
        <v>-0.60000000000000009</v>
      </c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2"/>
      <c r="BB28" s="72"/>
      <c r="BC28" s="73">
        <f>1 - (
    SUM(
        IF(AQ28-Uzman_D!$B$7&lt;0, -(AQ28-Uzman_D!$B$7), AQ28-Uzman_D!$B$7)*0.1 +
        IF(AR28-Uzman_D!$C$7&lt;0, -(AR28-Uzman_D!$C$7), AR28-Uzman_D!$C$7)*0.1 +
        IF(AS28-Uzman_D!$D$7&lt;0, -(AS28-Uzman_D!$D$7), AS28-Uzman_D!$D$7)*0.1 +
        IF(AT28-Uzman_D!$E$7&lt;0, -(AT28-Uzman_D!$E$7), AT28-Uzman_D!$E$7)*0.1 +
        IF(AU28-Uzman_D!$F$7&lt;0, -(AU28-Uzman_D!$F$7), AU28-Uzman_D!$F$7)*0.1 +
        IF(AV28-Uzman_D!$G$7&lt;0, -(AV28-Uzman_D!$G$7), AV28-Uzman_D!$G$7)*0.1 +
        IF(AW28-Uzman_D!$H$7&lt;0, -(AW28-Uzman_D!$H$7), AW28-Uzman_D!$H$7)*0.1 +
        IF(AX28-Uzman_D!$I$7&lt;0, -(AX28-Uzman_D!$I$7), AX28-Uzman_D!$I$7)*0.1 +
        IF(AY28-Uzman_D!$J$7&lt;0, -(AY28-Uzman_D!$J$7), AY28-Uzman_D!$J$7)*0.1
    ) +
    IF(ROUND((IF(BA28-Uzman_D!$L$7&lt;0, -(BA28-Uzman_D!$L$7), BA28-Uzman_D!$L$7)*2),0)/2 = IF(BA28-Uzman_D!$L$7&lt;0, -(BA28-Uzman_D!$L$7), BA28-Uzman_D!$L$7),
    (ROUND((IF(BA28-Uzman_D!$L$7&lt;0, -(BA28-Uzman_D!$L$7), BA28-Uzman_D!$L$7)*2),0)/1 * 0.1), 0) +
    IF(BB28-Uzman_D!$M$7&lt;0, -(BB28-Uzman_D!$M$7), BB28-Uzman_D!$M$7)*1
)</f>
        <v>-0.50000000000000022</v>
      </c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2"/>
      <c r="BO28" s="72"/>
      <c r="BP28" s="73">
        <f>1 - (
    SUM(
        IF(BD28-Uzman_D!$B$8&lt;0, -(BD28-Uzman_D!$B$8), BD28-Uzman_D!$B$8)*0.1 +
        IF(BE28-Uzman_D!$C$8&lt;0, -(BE28-Uzman_D!$C$8), BE28-Uzman_D!$C$8)*0.1 +
        IF(BF28-Uzman_D!$D$8&lt;0, -(BF28-Uzman_D!$D$8), BF28-Uzman_D!$D$8)*0.1 +
        IF(BG28-Uzman_D!$E$8&lt;0, -(BG28-Uzman_D!$E$8), BG28-Uzman_D!$E$8)*0.1 +
        IF(BH28-Uzman_D!$F$8&lt;0, -(BH28-Uzman_D!$F$8), BH28-Uzman_D!$F$8)*0.1 +
        IF(BI28-Uzman_D!$G$8&lt;0, -(BI28-Uzman_D!$G$8), BI28-Uzman_D!$G$8)*0.1 +
        IF(BJ28-Uzman_D!$H$8&lt;0, -(BJ28-Uzman_D!$H$8), BJ28-Uzman_D!$H$8)*0.1 +
        IF(BK28-Uzman_D!$I$8&lt;0, -(BK28-Uzman_D!$I$8), BK28-Uzman_D!$I$8)*0.1 +
        IF(BL28-Uzman_D!$J$8&lt;0, -(BL28-Uzman_D!$J$8), BL28-Uzman_D!$J$8)*0.1
    ) +
    IF(ROUND((IF(BN28-Uzman_D!$L$8&lt;0, -(BN28-Uzman_D!$L$8), BN28-Uzman_D!$L$8)*2),0)/2 = IF(BN28-Uzman_D!$L$8&lt;0, -(BN28-Uzman_D!$L$8), BN28-Uzman_D!$L$8),
    (ROUND((IF(BN28-Uzman_D!$L$8&lt;0, -(BN28-Uzman_D!$L$8), BN28-Uzman_D!$L$8)*2),0)/1 * 0.1), 0) +
    IF(BO28-Uzman_D!$M$8&lt;0, -(BO28-Uzman_D!$M$8), BO28-Uzman_D!$M$8)*1
)</f>
        <v>-0.20000000000000018</v>
      </c>
      <c r="BQ28" s="74">
        <f t="shared" si="0"/>
        <v>-0.54000000000000026</v>
      </c>
    </row>
    <row r="29" spans="1:69" ht="15" customHeight="1" x14ac:dyDescent="0.2">
      <c r="A29" s="57">
        <v>26</v>
      </c>
      <c r="B29" s="29">
        <f>Hakemler!B29</f>
        <v>0</v>
      </c>
      <c r="C29" s="29">
        <f>Hakemler!C29</f>
        <v>0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2"/>
      <c r="O29" s="72"/>
      <c r="P29" s="73">
        <f>1 - (
    SUM(
        IF(D29-Uzman_D!$B$4&lt;0, -(D29-Uzman_D!$B$4), D29-Uzman_D!$B$4)*0.1 +
        IF(E29-Uzman_D!$C$4&lt;0, -(E29-Uzman_D!$C$4), E29-Uzman_D!$C$4)*0.1 +
        IF(F29-Uzman_D!$D$4&lt;0, -(F29-Uzman_D!$D$4), F29-Uzman_D!$D$4)*0.1 +
        IF(G29-Uzman_D!$E$4&lt;0, -(G29-Uzman_D!$E$4), G29-Uzman_D!$E$4)*0.1 +
        IF(H29-Uzman_D!$F$4&lt;0, -(H29-Uzman_D!$F$4), H29-Uzman_D!$F$4)*0.1 +
        IF(I29-Uzman_D!$G$4&lt;0, -(I29-Uzman_D!$G$4), I29-Uzman_D!$G$4)*0.1 +
        IF(J29-Uzman_D!$H$4&lt;0, -(J29-Uzman_D!$H$4), J29-Uzman_D!$H$4)*0.1 +
        IF(K29-Uzman_D!$I$4&lt;0, -(K29-Uzman_D!$I$4), K29-Uzman_D!$I$4)*0.1 +
        IF(L29-Uzman_D!$J$4&lt;0, -(L29-Uzman_D!$J$4), L29-Uzman_D!$J$4)*0.1
    ) +
    IF(ROUND((IF(N29-Uzman_D!$L$4&lt;0, -(N29-Uzman_D!$L$4), N29-Uzman_D!$L$4)*2),0)/2 = IF(N29-Uzman_D!$L$4&lt;0, -(N29-Uzman_D!$L$4), N29-Uzman_D!$L$4),
    (ROUND((IF(N29-Uzman_D!$L$4&lt;0, -(N29-Uzman_D!$L$4), N29-Uzman_D!$L$4)*2),0)/1 * 0.1), 0) +
    IF(O29-Uzman_D!$M$4&lt;0, -(O29-Uzman_D!$M$4), O29-Uzman_D!$M$4)*1
)</f>
        <v>-0.90000000000000013</v>
      </c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2"/>
      <c r="AB29" s="72"/>
      <c r="AC29" s="73">
        <f>1 - (
    SUM(
        IF(Q29-Uzman_D!$B$5&lt;0, -(Q29-Uzman_D!$B$5), Q29-Uzman_D!$B$5)*0.1 +
        IF(R29-Uzman_D!$C$5&lt;0, -(R29-Uzman_D!$C$5), R29-Uzman_D!$C$5)*0.1 +
        IF(S29-Uzman_D!$D$5&lt;0, -(S29-Uzman_D!$D$5), S29-Uzman_D!$D$5)*0.1 +
        IF(T29-Uzman_D!$E$5&lt;0, -(T29-Uzman_D!$E$5), T29-Uzman_D!$E$5)*0.1 +
        IF(U29-Uzman_D!$F$5&lt;0, -(U29-Uzman_D!$F$5), U29-Uzman_D!$F$5)*0.1 +
        IF(V29-Uzman_D!$G$5&lt;0, -(V29-Uzman_D!$G$5), V29-Uzman_D!$G$5)*0.1 +
        IF(W29-Uzman_D!$H$5&lt;0, -(W29-Uzman_D!$H$5), W29-Uzman_D!$H$5)*0.1 +
        IF(X29-Uzman_D!$I$5&lt;0, -(X29-Uzman_D!$I$5), X29-Uzman_D!$I$5)*0.1 +
        IF(Y29-Uzman_D!$J$5&lt;0, -(Y29-Uzman_D!$J$5), Y29-Uzman_D!$J$5)*0.1
    ) +
    IF(ROUND((IF(AA29-Uzman_D!$L$5&lt;0, -(AA29-Uzman_D!$L$5), AA29-Uzman_D!$L$5)*2),0)/2 = IF(AA29-Uzman_D!$L$5&lt;0, -(AA29-Uzman_D!$L$5), AA29-Uzman_D!$L$5),
    (ROUND((IF(AA29-Uzman_D!$L$5&lt;0, -(AA29-Uzman_D!$L$5), AA29-Uzman_D!$L$5)*2),0)/1 * 0.1), 0) +
    IF(AB29-Uzman_D!$M$5&lt;0, -(AB29-Uzman_D!$M$5), AB29-Uzman_D!$M$5)*1
)</f>
        <v>-0.50000000000000022</v>
      </c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2"/>
      <c r="AO29" s="72"/>
      <c r="AP29" s="73">
        <f>1 - (
    SUM(
        IF(AD29-Uzman_D!$B$6&lt;0, -(AD29-Uzman_D!$B$6), AD29-Uzman_D!$B$6)*0.1 +
        IF(AE29-Uzman_D!$C$6&lt;0, -(AE29-Uzman_D!$C$6), AE29-Uzman_D!$C$6)*0.1 +
        IF(AF29-Uzman_D!$D$6&lt;0, -(AF29-Uzman_D!$D$6), AF29-Uzman_D!$D$6)*0.1 +
        IF(AG29-Uzman_D!$E$6&lt;0, -(AG29-Uzman_D!$E$6), AG29-Uzman_D!$E$6)*0.1 +
        IF(AH29-Uzman_D!$F$6&lt;0, -(AH29-Uzman_D!$F$6), AH29-Uzman_D!$F$6)*0.1 +
        IF(AI29-Uzman_D!$G$6&lt;0, -(AI29-Uzman_D!$G$6), AI29-Uzman_D!$G$6)*0.1 +
        IF(AJ29-Uzman_D!$H$6&lt;0, -(AJ29-Uzman_D!$H$6), AJ29-Uzman_D!$H$6)*0.1 +
        IF(AK29-Uzman_D!$I$6&lt;0, -(AK29-Uzman_D!$I$6), AK29-Uzman_D!$I$6)*0.1 +
        IF(AL29-Uzman_D!$J$6&lt;0, -(AL29-Uzman_D!$J$6), AL29-Uzman_D!$J$6)*0.1
    ) +
    IF(ROUND((IF(AN29-Uzman_D!$L$6&lt;0, -(AN29-Uzman_D!$L$6), AN29-Uzman_D!$L$6)*2),0)/2 = IF(AN29-Uzman_D!$L$6&lt;0, -(AN29-Uzman_D!$L$6), AN29-Uzman_D!$L$6),
    (ROUND((IF(AN29-Uzman_D!$L$6&lt;0, -(AN29-Uzman_D!$L$6), AN29-Uzman_D!$L$6)*2),0)/1 * 0.1), 0) +
    IF(AO29-Uzman_D!$M$6&lt;0, -(AO29-Uzman_D!$M$6), AO29-Uzman_D!$M$6)*1
)</f>
        <v>-0.60000000000000009</v>
      </c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2"/>
      <c r="BB29" s="72"/>
      <c r="BC29" s="73">
        <f>1 - (
    SUM(
        IF(AQ29-Uzman_D!$B$7&lt;0, -(AQ29-Uzman_D!$B$7), AQ29-Uzman_D!$B$7)*0.1 +
        IF(AR29-Uzman_D!$C$7&lt;0, -(AR29-Uzman_D!$C$7), AR29-Uzman_D!$C$7)*0.1 +
        IF(AS29-Uzman_D!$D$7&lt;0, -(AS29-Uzman_D!$D$7), AS29-Uzman_D!$D$7)*0.1 +
        IF(AT29-Uzman_D!$E$7&lt;0, -(AT29-Uzman_D!$E$7), AT29-Uzman_D!$E$7)*0.1 +
        IF(AU29-Uzman_D!$F$7&lt;0, -(AU29-Uzman_D!$F$7), AU29-Uzman_D!$F$7)*0.1 +
        IF(AV29-Uzman_D!$G$7&lt;0, -(AV29-Uzman_D!$G$7), AV29-Uzman_D!$G$7)*0.1 +
        IF(AW29-Uzman_D!$H$7&lt;0, -(AW29-Uzman_D!$H$7), AW29-Uzman_D!$H$7)*0.1 +
        IF(AX29-Uzman_D!$I$7&lt;0, -(AX29-Uzman_D!$I$7), AX29-Uzman_D!$I$7)*0.1 +
        IF(AY29-Uzman_D!$J$7&lt;0, -(AY29-Uzman_D!$J$7), AY29-Uzman_D!$J$7)*0.1
    ) +
    IF(ROUND((IF(BA29-Uzman_D!$L$7&lt;0, -(BA29-Uzman_D!$L$7), BA29-Uzman_D!$L$7)*2),0)/2 = IF(BA29-Uzman_D!$L$7&lt;0, -(BA29-Uzman_D!$L$7), BA29-Uzman_D!$L$7),
    (ROUND((IF(BA29-Uzman_D!$L$7&lt;0, -(BA29-Uzman_D!$L$7), BA29-Uzman_D!$L$7)*2),0)/1 * 0.1), 0) +
    IF(BB29-Uzman_D!$M$7&lt;0, -(BB29-Uzman_D!$M$7), BB29-Uzman_D!$M$7)*1
)</f>
        <v>-0.50000000000000022</v>
      </c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2"/>
      <c r="BO29" s="72"/>
      <c r="BP29" s="73">
        <f>1 - (
    SUM(
        IF(BD29-Uzman_D!$B$8&lt;0, -(BD29-Uzman_D!$B$8), BD29-Uzman_D!$B$8)*0.1 +
        IF(BE29-Uzman_D!$C$8&lt;0, -(BE29-Uzman_D!$C$8), BE29-Uzman_D!$C$8)*0.1 +
        IF(BF29-Uzman_D!$D$8&lt;0, -(BF29-Uzman_D!$D$8), BF29-Uzman_D!$D$8)*0.1 +
        IF(BG29-Uzman_D!$E$8&lt;0, -(BG29-Uzman_D!$E$8), BG29-Uzman_D!$E$8)*0.1 +
        IF(BH29-Uzman_D!$F$8&lt;0, -(BH29-Uzman_D!$F$8), BH29-Uzman_D!$F$8)*0.1 +
        IF(BI29-Uzman_D!$G$8&lt;0, -(BI29-Uzman_D!$G$8), BI29-Uzman_D!$G$8)*0.1 +
        IF(BJ29-Uzman_D!$H$8&lt;0, -(BJ29-Uzman_D!$H$8), BJ29-Uzman_D!$H$8)*0.1 +
        IF(BK29-Uzman_D!$I$8&lt;0, -(BK29-Uzman_D!$I$8), BK29-Uzman_D!$I$8)*0.1 +
        IF(BL29-Uzman_D!$J$8&lt;0, -(BL29-Uzman_D!$J$8), BL29-Uzman_D!$J$8)*0.1
    ) +
    IF(ROUND((IF(BN29-Uzman_D!$L$8&lt;0, -(BN29-Uzman_D!$L$8), BN29-Uzman_D!$L$8)*2),0)/2 = IF(BN29-Uzman_D!$L$8&lt;0, -(BN29-Uzman_D!$L$8), BN29-Uzman_D!$L$8),
    (ROUND((IF(BN29-Uzman_D!$L$8&lt;0, -(BN29-Uzman_D!$L$8), BN29-Uzman_D!$L$8)*2),0)/1 * 0.1), 0) +
    IF(BO29-Uzman_D!$M$8&lt;0, -(BO29-Uzman_D!$M$8), BO29-Uzman_D!$M$8)*1
)</f>
        <v>-0.20000000000000018</v>
      </c>
      <c r="BQ29" s="74">
        <f t="shared" si="0"/>
        <v>-0.54000000000000026</v>
      </c>
    </row>
    <row r="30" spans="1:69" ht="15" customHeight="1" x14ac:dyDescent="0.2">
      <c r="A30" s="57">
        <v>27</v>
      </c>
      <c r="B30" s="29">
        <f>Hakemler!B30</f>
        <v>0</v>
      </c>
      <c r="C30" s="29">
        <f>Hakemler!C30</f>
        <v>0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2"/>
      <c r="O30" s="72"/>
      <c r="P30" s="73">
        <f>1 - (
    SUM(
        IF(D30-Uzman_D!$B$4&lt;0, -(D30-Uzman_D!$B$4), D30-Uzman_D!$B$4)*0.1 +
        IF(E30-Uzman_D!$C$4&lt;0, -(E30-Uzman_D!$C$4), E30-Uzman_D!$C$4)*0.1 +
        IF(F30-Uzman_D!$D$4&lt;0, -(F30-Uzman_D!$D$4), F30-Uzman_D!$D$4)*0.1 +
        IF(G30-Uzman_D!$E$4&lt;0, -(G30-Uzman_D!$E$4), G30-Uzman_D!$E$4)*0.1 +
        IF(H30-Uzman_D!$F$4&lt;0, -(H30-Uzman_D!$F$4), H30-Uzman_D!$F$4)*0.1 +
        IF(I30-Uzman_D!$G$4&lt;0, -(I30-Uzman_D!$G$4), I30-Uzman_D!$G$4)*0.1 +
        IF(J30-Uzman_D!$H$4&lt;0, -(J30-Uzman_D!$H$4), J30-Uzman_D!$H$4)*0.1 +
        IF(K30-Uzman_D!$I$4&lt;0, -(K30-Uzman_D!$I$4), K30-Uzman_D!$I$4)*0.1 +
        IF(L30-Uzman_D!$J$4&lt;0, -(L30-Uzman_D!$J$4), L30-Uzman_D!$J$4)*0.1
    ) +
    IF(ROUND((IF(N30-Uzman_D!$L$4&lt;0, -(N30-Uzman_D!$L$4), N30-Uzman_D!$L$4)*2),0)/2 = IF(N30-Uzman_D!$L$4&lt;0, -(N30-Uzman_D!$L$4), N30-Uzman_D!$L$4),
    (ROUND((IF(N30-Uzman_D!$L$4&lt;0, -(N30-Uzman_D!$L$4), N30-Uzman_D!$L$4)*2),0)/1 * 0.1), 0) +
    IF(O30-Uzman_D!$M$4&lt;0, -(O30-Uzman_D!$M$4), O30-Uzman_D!$M$4)*1
)</f>
        <v>-0.90000000000000013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/>
      <c r="AB30" s="72"/>
      <c r="AC30" s="73">
        <f>1 - (
    SUM(
        IF(Q30-Uzman_D!$B$5&lt;0, -(Q30-Uzman_D!$B$5), Q30-Uzman_D!$B$5)*0.1 +
        IF(R30-Uzman_D!$C$5&lt;0, -(R30-Uzman_D!$C$5), R30-Uzman_D!$C$5)*0.1 +
        IF(S30-Uzman_D!$D$5&lt;0, -(S30-Uzman_D!$D$5), S30-Uzman_D!$D$5)*0.1 +
        IF(T30-Uzman_D!$E$5&lt;0, -(T30-Uzman_D!$E$5), T30-Uzman_D!$E$5)*0.1 +
        IF(U30-Uzman_D!$F$5&lt;0, -(U30-Uzman_D!$F$5), U30-Uzman_D!$F$5)*0.1 +
        IF(V30-Uzman_D!$G$5&lt;0, -(V30-Uzman_D!$G$5), V30-Uzman_D!$G$5)*0.1 +
        IF(W30-Uzman_D!$H$5&lt;0, -(W30-Uzman_D!$H$5), W30-Uzman_D!$H$5)*0.1 +
        IF(X30-Uzman_D!$I$5&lt;0, -(X30-Uzman_D!$I$5), X30-Uzman_D!$I$5)*0.1 +
        IF(Y30-Uzman_D!$J$5&lt;0, -(Y30-Uzman_D!$J$5), Y30-Uzman_D!$J$5)*0.1
    ) +
    IF(ROUND((IF(AA30-Uzman_D!$L$5&lt;0, -(AA30-Uzman_D!$L$5), AA30-Uzman_D!$L$5)*2),0)/2 = IF(AA30-Uzman_D!$L$5&lt;0, -(AA30-Uzman_D!$L$5), AA30-Uzman_D!$L$5),
    (ROUND((IF(AA30-Uzman_D!$L$5&lt;0, -(AA30-Uzman_D!$L$5), AA30-Uzman_D!$L$5)*2),0)/1 * 0.1), 0) +
    IF(AB30-Uzman_D!$M$5&lt;0, -(AB30-Uzman_D!$M$5), AB30-Uzman_D!$M$5)*1
)</f>
        <v>-0.50000000000000022</v>
      </c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2"/>
      <c r="AO30" s="72"/>
      <c r="AP30" s="73">
        <f>1 - (
    SUM(
        IF(AD30-Uzman_D!$B$6&lt;0, -(AD30-Uzman_D!$B$6), AD30-Uzman_D!$B$6)*0.1 +
        IF(AE30-Uzman_D!$C$6&lt;0, -(AE30-Uzman_D!$C$6), AE30-Uzman_D!$C$6)*0.1 +
        IF(AF30-Uzman_D!$D$6&lt;0, -(AF30-Uzman_D!$D$6), AF30-Uzman_D!$D$6)*0.1 +
        IF(AG30-Uzman_D!$E$6&lt;0, -(AG30-Uzman_D!$E$6), AG30-Uzman_D!$E$6)*0.1 +
        IF(AH30-Uzman_D!$F$6&lt;0, -(AH30-Uzman_D!$F$6), AH30-Uzman_D!$F$6)*0.1 +
        IF(AI30-Uzman_D!$G$6&lt;0, -(AI30-Uzman_D!$G$6), AI30-Uzman_D!$G$6)*0.1 +
        IF(AJ30-Uzman_D!$H$6&lt;0, -(AJ30-Uzman_D!$H$6), AJ30-Uzman_D!$H$6)*0.1 +
        IF(AK30-Uzman_D!$I$6&lt;0, -(AK30-Uzman_D!$I$6), AK30-Uzman_D!$I$6)*0.1 +
        IF(AL30-Uzman_D!$J$6&lt;0, -(AL30-Uzman_D!$J$6), AL30-Uzman_D!$J$6)*0.1
    ) +
    IF(ROUND((IF(AN30-Uzman_D!$L$6&lt;0, -(AN30-Uzman_D!$L$6), AN30-Uzman_D!$L$6)*2),0)/2 = IF(AN30-Uzman_D!$L$6&lt;0, -(AN30-Uzman_D!$L$6), AN30-Uzman_D!$L$6),
    (ROUND((IF(AN30-Uzman_D!$L$6&lt;0, -(AN30-Uzman_D!$L$6), AN30-Uzman_D!$L$6)*2),0)/1 * 0.1), 0) +
    IF(AO30-Uzman_D!$M$6&lt;0, -(AO30-Uzman_D!$M$6), AO30-Uzman_D!$M$6)*1
)</f>
        <v>-0.60000000000000009</v>
      </c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2"/>
      <c r="BB30" s="72"/>
      <c r="BC30" s="73">
        <f>1 - (
    SUM(
        IF(AQ30-Uzman_D!$B$7&lt;0, -(AQ30-Uzman_D!$B$7), AQ30-Uzman_D!$B$7)*0.1 +
        IF(AR30-Uzman_D!$C$7&lt;0, -(AR30-Uzman_D!$C$7), AR30-Uzman_D!$C$7)*0.1 +
        IF(AS30-Uzman_D!$D$7&lt;0, -(AS30-Uzman_D!$D$7), AS30-Uzman_D!$D$7)*0.1 +
        IF(AT30-Uzman_D!$E$7&lt;0, -(AT30-Uzman_D!$E$7), AT30-Uzman_D!$E$7)*0.1 +
        IF(AU30-Uzman_D!$F$7&lt;0, -(AU30-Uzman_D!$F$7), AU30-Uzman_D!$F$7)*0.1 +
        IF(AV30-Uzman_D!$G$7&lt;0, -(AV30-Uzman_D!$G$7), AV30-Uzman_D!$G$7)*0.1 +
        IF(AW30-Uzman_D!$H$7&lt;0, -(AW30-Uzman_D!$H$7), AW30-Uzman_D!$H$7)*0.1 +
        IF(AX30-Uzman_D!$I$7&lt;0, -(AX30-Uzman_D!$I$7), AX30-Uzman_D!$I$7)*0.1 +
        IF(AY30-Uzman_D!$J$7&lt;0, -(AY30-Uzman_D!$J$7), AY30-Uzman_D!$J$7)*0.1
    ) +
    IF(ROUND((IF(BA30-Uzman_D!$L$7&lt;0, -(BA30-Uzman_D!$L$7), BA30-Uzman_D!$L$7)*2),0)/2 = IF(BA30-Uzman_D!$L$7&lt;0, -(BA30-Uzman_D!$L$7), BA30-Uzman_D!$L$7),
    (ROUND((IF(BA30-Uzman_D!$L$7&lt;0, -(BA30-Uzman_D!$L$7), BA30-Uzman_D!$L$7)*2),0)/1 * 0.1), 0) +
    IF(BB30-Uzman_D!$M$7&lt;0, -(BB30-Uzman_D!$M$7), BB30-Uzman_D!$M$7)*1
)</f>
        <v>-0.50000000000000022</v>
      </c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2"/>
      <c r="BO30" s="72"/>
      <c r="BP30" s="73">
        <f>1 - (
    SUM(
        IF(BD30-Uzman_D!$B$8&lt;0, -(BD30-Uzman_D!$B$8), BD30-Uzman_D!$B$8)*0.1 +
        IF(BE30-Uzman_D!$C$8&lt;0, -(BE30-Uzman_D!$C$8), BE30-Uzman_D!$C$8)*0.1 +
        IF(BF30-Uzman_D!$D$8&lt;0, -(BF30-Uzman_D!$D$8), BF30-Uzman_D!$D$8)*0.1 +
        IF(BG30-Uzman_D!$E$8&lt;0, -(BG30-Uzman_D!$E$8), BG30-Uzman_D!$E$8)*0.1 +
        IF(BH30-Uzman_D!$F$8&lt;0, -(BH30-Uzman_D!$F$8), BH30-Uzman_D!$F$8)*0.1 +
        IF(BI30-Uzman_D!$G$8&lt;0, -(BI30-Uzman_D!$G$8), BI30-Uzman_D!$G$8)*0.1 +
        IF(BJ30-Uzman_D!$H$8&lt;0, -(BJ30-Uzman_D!$H$8), BJ30-Uzman_D!$H$8)*0.1 +
        IF(BK30-Uzman_D!$I$8&lt;0, -(BK30-Uzman_D!$I$8), BK30-Uzman_D!$I$8)*0.1 +
        IF(BL30-Uzman_D!$J$8&lt;0, -(BL30-Uzman_D!$J$8), BL30-Uzman_D!$J$8)*0.1
    ) +
    IF(ROUND((IF(BN30-Uzman_D!$L$8&lt;0, -(BN30-Uzman_D!$L$8), BN30-Uzman_D!$L$8)*2),0)/2 = IF(BN30-Uzman_D!$L$8&lt;0, -(BN30-Uzman_D!$L$8), BN30-Uzman_D!$L$8),
    (ROUND((IF(BN30-Uzman_D!$L$8&lt;0, -(BN30-Uzman_D!$L$8), BN30-Uzman_D!$L$8)*2),0)/1 * 0.1), 0) +
    IF(BO30-Uzman_D!$M$8&lt;0, -(BO30-Uzman_D!$M$8), BO30-Uzman_D!$M$8)*1
)</f>
        <v>-0.20000000000000018</v>
      </c>
      <c r="BQ30" s="74">
        <f t="shared" si="0"/>
        <v>-0.54000000000000026</v>
      </c>
    </row>
    <row r="31" spans="1:69" ht="15" customHeight="1" x14ac:dyDescent="0.2">
      <c r="A31" s="57">
        <v>28</v>
      </c>
      <c r="B31" s="29">
        <f>Hakemler!B31</f>
        <v>0</v>
      </c>
      <c r="C31" s="29">
        <f>Hakemler!C31</f>
        <v>0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2"/>
      <c r="O31" s="72"/>
      <c r="P31" s="73">
        <f>1 - (
    SUM(
        IF(D31-Uzman_D!$B$4&lt;0, -(D31-Uzman_D!$B$4), D31-Uzman_D!$B$4)*0.1 +
        IF(E31-Uzman_D!$C$4&lt;0, -(E31-Uzman_D!$C$4), E31-Uzman_D!$C$4)*0.1 +
        IF(F31-Uzman_D!$D$4&lt;0, -(F31-Uzman_D!$D$4), F31-Uzman_D!$D$4)*0.1 +
        IF(G31-Uzman_D!$E$4&lt;0, -(G31-Uzman_D!$E$4), G31-Uzman_D!$E$4)*0.1 +
        IF(H31-Uzman_D!$F$4&lt;0, -(H31-Uzman_D!$F$4), H31-Uzman_D!$F$4)*0.1 +
        IF(I31-Uzman_D!$G$4&lt;0, -(I31-Uzman_D!$G$4), I31-Uzman_D!$G$4)*0.1 +
        IF(J31-Uzman_D!$H$4&lt;0, -(J31-Uzman_D!$H$4), J31-Uzman_D!$H$4)*0.1 +
        IF(K31-Uzman_D!$I$4&lt;0, -(K31-Uzman_D!$I$4), K31-Uzman_D!$I$4)*0.1 +
        IF(L31-Uzman_D!$J$4&lt;0, -(L31-Uzman_D!$J$4), L31-Uzman_D!$J$4)*0.1
    ) +
    IF(ROUND((IF(N31-Uzman_D!$L$4&lt;0, -(N31-Uzman_D!$L$4), N31-Uzman_D!$L$4)*2),0)/2 = IF(N31-Uzman_D!$L$4&lt;0, -(N31-Uzman_D!$L$4), N31-Uzman_D!$L$4),
    (ROUND((IF(N31-Uzman_D!$L$4&lt;0, -(N31-Uzman_D!$L$4), N31-Uzman_D!$L$4)*2),0)/1 * 0.1), 0) +
    IF(O31-Uzman_D!$M$4&lt;0, -(O31-Uzman_D!$M$4), O31-Uzman_D!$M$4)*1
)</f>
        <v>-0.90000000000000013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/>
      <c r="AB31" s="72"/>
      <c r="AC31" s="73">
        <f>1 - (
    SUM(
        IF(Q31-Uzman_D!$B$5&lt;0, -(Q31-Uzman_D!$B$5), Q31-Uzman_D!$B$5)*0.1 +
        IF(R31-Uzman_D!$C$5&lt;0, -(R31-Uzman_D!$C$5), R31-Uzman_D!$C$5)*0.1 +
        IF(S31-Uzman_D!$D$5&lt;0, -(S31-Uzman_D!$D$5), S31-Uzman_D!$D$5)*0.1 +
        IF(T31-Uzman_D!$E$5&lt;0, -(T31-Uzman_D!$E$5), T31-Uzman_D!$E$5)*0.1 +
        IF(U31-Uzman_D!$F$5&lt;0, -(U31-Uzman_D!$F$5), U31-Uzman_D!$F$5)*0.1 +
        IF(V31-Uzman_D!$G$5&lt;0, -(V31-Uzman_D!$G$5), V31-Uzman_D!$G$5)*0.1 +
        IF(W31-Uzman_D!$H$5&lt;0, -(W31-Uzman_D!$H$5), W31-Uzman_D!$H$5)*0.1 +
        IF(X31-Uzman_D!$I$5&lt;0, -(X31-Uzman_D!$I$5), X31-Uzman_D!$I$5)*0.1 +
        IF(Y31-Uzman_D!$J$5&lt;0, -(Y31-Uzman_D!$J$5), Y31-Uzman_D!$J$5)*0.1
    ) +
    IF(ROUND((IF(AA31-Uzman_D!$L$5&lt;0, -(AA31-Uzman_D!$L$5), AA31-Uzman_D!$L$5)*2),0)/2 = IF(AA31-Uzman_D!$L$5&lt;0, -(AA31-Uzman_D!$L$5), AA31-Uzman_D!$L$5),
    (ROUND((IF(AA31-Uzman_D!$L$5&lt;0, -(AA31-Uzman_D!$L$5), AA31-Uzman_D!$L$5)*2),0)/1 * 0.1), 0) +
    IF(AB31-Uzman_D!$M$5&lt;0, -(AB31-Uzman_D!$M$5), AB31-Uzman_D!$M$5)*1
)</f>
        <v>-0.50000000000000022</v>
      </c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2"/>
      <c r="AO31" s="72"/>
      <c r="AP31" s="73">
        <f>1 - (
    SUM(
        IF(AD31-Uzman_D!$B$6&lt;0, -(AD31-Uzman_D!$B$6), AD31-Uzman_D!$B$6)*0.1 +
        IF(AE31-Uzman_D!$C$6&lt;0, -(AE31-Uzman_D!$C$6), AE31-Uzman_D!$C$6)*0.1 +
        IF(AF31-Uzman_D!$D$6&lt;0, -(AF31-Uzman_D!$D$6), AF31-Uzman_D!$D$6)*0.1 +
        IF(AG31-Uzman_D!$E$6&lt;0, -(AG31-Uzman_D!$E$6), AG31-Uzman_D!$E$6)*0.1 +
        IF(AH31-Uzman_D!$F$6&lt;0, -(AH31-Uzman_D!$F$6), AH31-Uzman_D!$F$6)*0.1 +
        IF(AI31-Uzman_D!$G$6&lt;0, -(AI31-Uzman_D!$G$6), AI31-Uzman_D!$G$6)*0.1 +
        IF(AJ31-Uzman_D!$H$6&lt;0, -(AJ31-Uzman_D!$H$6), AJ31-Uzman_D!$H$6)*0.1 +
        IF(AK31-Uzman_D!$I$6&lt;0, -(AK31-Uzman_D!$I$6), AK31-Uzman_D!$I$6)*0.1 +
        IF(AL31-Uzman_D!$J$6&lt;0, -(AL31-Uzman_D!$J$6), AL31-Uzman_D!$J$6)*0.1
    ) +
    IF(ROUND((IF(AN31-Uzman_D!$L$6&lt;0, -(AN31-Uzman_D!$L$6), AN31-Uzman_D!$L$6)*2),0)/2 = IF(AN31-Uzman_D!$L$6&lt;0, -(AN31-Uzman_D!$L$6), AN31-Uzman_D!$L$6),
    (ROUND((IF(AN31-Uzman_D!$L$6&lt;0, -(AN31-Uzman_D!$L$6), AN31-Uzman_D!$L$6)*2),0)/1 * 0.1), 0) +
    IF(AO31-Uzman_D!$M$6&lt;0, -(AO31-Uzman_D!$M$6), AO31-Uzman_D!$M$6)*1
)</f>
        <v>-0.60000000000000009</v>
      </c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2"/>
      <c r="BB31" s="72"/>
      <c r="BC31" s="73">
        <f>1 - (
    SUM(
        IF(AQ31-Uzman_D!$B$7&lt;0, -(AQ31-Uzman_D!$B$7), AQ31-Uzman_D!$B$7)*0.1 +
        IF(AR31-Uzman_D!$C$7&lt;0, -(AR31-Uzman_D!$C$7), AR31-Uzman_D!$C$7)*0.1 +
        IF(AS31-Uzman_D!$D$7&lt;0, -(AS31-Uzman_D!$D$7), AS31-Uzman_D!$D$7)*0.1 +
        IF(AT31-Uzman_D!$E$7&lt;0, -(AT31-Uzman_D!$E$7), AT31-Uzman_D!$E$7)*0.1 +
        IF(AU31-Uzman_D!$F$7&lt;0, -(AU31-Uzman_D!$F$7), AU31-Uzman_D!$F$7)*0.1 +
        IF(AV31-Uzman_D!$G$7&lt;0, -(AV31-Uzman_D!$G$7), AV31-Uzman_D!$G$7)*0.1 +
        IF(AW31-Uzman_D!$H$7&lt;0, -(AW31-Uzman_D!$H$7), AW31-Uzman_D!$H$7)*0.1 +
        IF(AX31-Uzman_D!$I$7&lt;0, -(AX31-Uzman_D!$I$7), AX31-Uzman_D!$I$7)*0.1 +
        IF(AY31-Uzman_D!$J$7&lt;0, -(AY31-Uzman_D!$J$7), AY31-Uzman_D!$J$7)*0.1
    ) +
    IF(ROUND((IF(BA31-Uzman_D!$L$7&lt;0, -(BA31-Uzman_D!$L$7), BA31-Uzman_D!$L$7)*2),0)/2 = IF(BA31-Uzman_D!$L$7&lt;0, -(BA31-Uzman_D!$L$7), BA31-Uzman_D!$L$7),
    (ROUND((IF(BA31-Uzman_D!$L$7&lt;0, -(BA31-Uzman_D!$L$7), BA31-Uzman_D!$L$7)*2),0)/1 * 0.1), 0) +
    IF(BB31-Uzman_D!$M$7&lt;0, -(BB31-Uzman_D!$M$7), BB31-Uzman_D!$M$7)*1
)</f>
        <v>-0.50000000000000022</v>
      </c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2"/>
      <c r="BO31" s="72"/>
      <c r="BP31" s="73">
        <f>1 - (
    SUM(
        IF(BD31-Uzman_D!$B$8&lt;0, -(BD31-Uzman_D!$B$8), BD31-Uzman_D!$B$8)*0.1 +
        IF(BE31-Uzman_D!$C$8&lt;0, -(BE31-Uzman_D!$C$8), BE31-Uzman_D!$C$8)*0.1 +
        IF(BF31-Uzman_D!$D$8&lt;0, -(BF31-Uzman_D!$D$8), BF31-Uzman_D!$D$8)*0.1 +
        IF(BG31-Uzman_D!$E$8&lt;0, -(BG31-Uzman_D!$E$8), BG31-Uzman_D!$E$8)*0.1 +
        IF(BH31-Uzman_D!$F$8&lt;0, -(BH31-Uzman_D!$F$8), BH31-Uzman_D!$F$8)*0.1 +
        IF(BI31-Uzman_D!$G$8&lt;0, -(BI31-Uzman_D!$G$8), BI31-Uzman_D!$G$8)*0.1 +
        IF(BJ31-Uzman_D!$H$8&lt;0, -(BJ31-Uzman_D!$H$8), BJ31-Uzman_D!$H$8)*0.1 +
        IF(BK31-Uzman_D!$I$8&lt;0, -(BK31-Uzman_D!$I$8), BK31-Uzman_D!$I$8)*0.1 +
        IF(BL31-Uzman_D!$J$8&lt;0, -(BL31-Uzman_D!$J$8), BL31-Uzman_D!$J$8)*0.1
    ) +
    IF(ROUND((IF(BN31-Uzman_D!$L$8&lt;0, -(BN31-Uzman_D!$L$8), BN31-Uzman_D!$L$8)*2),0)/2 = IF(BN31-Uzman_D!$L$8&lt;0, -(BN31-Uzman_D!$L$8), BN31-Uzman_D!$L$8),
    (ROUND((IF(BN31-Uzman_D!$L$8&lt;0, -(BN31-Uzman_D!$L$8), BN31-Uzman_D!$L$8)*2),0)/1 * 0.1), 0) +
    IF(BO31-Uzman_D!$M$8&lt;0, -(BO31-Uzman_D!$M$8), BO31-Uzman_D!$M$8)*1
)</f>
        <v>-0.20000000000000018</v>
      </c>
      <c r="BQ31" s="74">
        <f t="shared" si="0"/>
        <v>-0.54000000000000026</v>
      </c>
    </row>
    <row r="32" spans="1:69" ht="15" customHeight="1" x14ac:dyDescent="0.2">
      <c r="A32" s="57">
        <v>29</v>
      </c>
      <c r="B32" s="29">
        <f>Hakemler!B32</f>
        <v>0</v>
      </c>
      <c r="C32" s="29">
        <f>Hakemler!C32</f>
        <v>0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2"/>
      <c r="O32" s="72"/>
      <c r="P32" s="73">
        <f>1 - (
    SUM(
        IF(D32-Uzman_D!$B$4&lt;0, -(D32-Uzman_D!$B$4), D32-Uzman_D!$B$4)*0.1 +
        IF(E32-Uzman_D!$C$4&lt;0, -(E32-Uzman_D!$C$4), E32-Uzman_D!$C$4)*0.1 +
        IF(F32-Uzman_D!$D$4&lt;0, -(F32-Uzman_D!$D$4), F32-Uzman_D!$D$4)*0.1 +
        IF(G32-Uzman_D!$E$4&lt;0, -(G32-Uzman_D!$E$4), G32-Uzman_D!$E$4)*0.1 +
        IF(H32-Uzman_D!$F$4&lt;0, -(H32-Uzman_D!$F$4), H32-Uzman_D!$F$4)*0.1 +
        IF(I32-Uzman_D!$G$4&lt;0, -(I32-Uzman_D!$G$4), I32-Uzman_D!$G$4)*0.1 +
        IF(J32-Uzman_D!$H$4&lt;0, -(J32-Uzman_D!$H$4), J32-Uzman_D!$H$4)*0.1 +
        IF(K32-Uzman_D!$I$4&lt;0, -(K32-Uzman_D!$I$4), K32-Uzman_D!$I$4)*0.1 +
        IF(L32-Uzman_D!$J$4&lt;0, -(L32-Uzman_D!$J$4), L32-Uzman_D!$J$4)*0.1
    ) +
    IF(ROUND((IF(N32-Uzman_D!$L$4&lt;0, -(N32-Uzman_D!$L$4), N32-Uzman_D!$L$4)*2),0)/2 = IF(N32-Uzman_D!$L$4&lt;0, -(N32-Uzman_D!$L$4), N32-Uzman_D!$L$4),
    (ROUND((IF(N32-Uzman_D!$L$4&lt;0, -(N32-Uzman_D!$L$4), N32-Uzman_D!$L$4)*2),0)/1 * 0.1), 0) +
    IF(O32-Uzman_D!$M$4&lt;0, -(O32-Uzman_D!$M$4), O32-Uzman_D!$M$4)*1
)</f>
        <v>-0.90000000000000013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2"/>
      <c r="AB32" s="72"/>
      <c r="AC32" s="73">
        <f>1 - (
    SUM(
        IF(Q32-Uzman_D!$B$5&lt;0, -(Q32-Uzman_D!$B$5), Q32-Uzman_D!$B$5)*0.1 +
        IF(R32-Uzman_D!$C$5&lt;0, -(R32-Uzman_D!$C$5), R32-Uzman_D!$C$5)*0.1 +
        IF(S32-Uzman_D!$D$5&lt;0, -(S32-Uzman_D!$D$5), S32-Uzman_D!$D$5)*0.1 +
        IF(T32-Uzman_D!$E$5&lt;0, -(T32-Uzman_D!$E$5), T32-Uzman_D!$E$5)*0.1 +
        IF(U32-Uzman_D!$F$5&lt;0, -(U32-Uzman_D!$F$5), U32-Uzman_D!$F$5)*0.1 +
        IF(V32-Uzman_D!$G$5&lt;0, -(V32-Uzman_D!$G$5), V32-Uzman_D!$G$5)*0.1 +
        IF(W32-Uzman_D!$H$5&lt;0, -(W32-Uzman_D!$H$5), W32-Uzman_D!$H$5)*0.1 +
        IF(X32-Uzman_D!$I$5&lt;0, -(X32-Uzman_D!$I$5), X32-Uzman_D!$I$5)*0.1 +
        IF(Y32-Uzman_D!$J$5&lt;0, -(Y32-Uzman_D!$J$5), Y32-Uzman_D!$J$5)*0.1
    ) +
    IF(ROUND((IF(AA32-Uzman_D!$L$5&lt;0, -(AA32-Uzman_D!$L$5), AA32-Uzman_D!$L$5)*2),0)/2 = IF(AA32-Uzman_D!$L$5&lt;0, -(AA32-Uzman_D!$L$5), AA32-Uzman_D!$L$5),
    (ROUND((IF(AA32-Uzman_D!$L$5&lt;0, -(AA32-Uzman_D!$L$5), AA32-Uzman_D!$L$5)*2),0)/1 * 0.1), 0) +
    IF(AB32-Uzman_D!$M$5&lt;0, -(AB32-Uzman_D!$M$5), AB32-Uzman_D!$M$5)*1
)</f>
        <v>-0.50000000000000022</v>
      </c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2"/>
      <c r="AO32" s="72"/>
      <c r="AP32" s="73">
        <f>1 - (
    SUM(
        IF(AD32-Uzman_D!$B$6&lt;0, -(AD32-Uzman_D!$B$6), AD32-Uzman_D!$B$6)*0.1 +
        IF(AE32-Uzman_D!$C$6&lt;0, -(AE32-Uzman_D!$C$6), AE32-Uzman_D!$C$6)*0.1 +
        IF(AF32-Uzman_D!$D$6&lt;0, -(AF32-Uzman_D!$D$6), AF32-Uzman_D!$D$6)*0.1 +
        IF(AG32-Uzman_D!$E$6&lt;0, -(AG32-Uzman_D!$E$6), AG32-Uzman_D!$E$6)*0.1 +
        IF(AH32-Uzman_D!$F$6&lt;0, -(AH32-Uzman_D!$F$6), AH32-Uzman_D!$F$6)*0.1 +
        IF(AI32-Uzman_D!$G$6&lt;0, -(AI32-Uzman_D!$G$6), AI32-Uzman_D!$G$6)*0.1 +
        IF(AJ32-Uzman_D!$H$6&lt;0, -(AJ32-Uzman_D!$H$6), AJ32-Uzman_D!$H$6)*0.1 +
        IF(AK32-Uzman_D!$I$6&lt;0, -(AK32-Uzman_D!$I$6), AK32-Uzman_D!$I$6)*0.1 +
        IF(AL32-Uzman_D!$J$6&lt;0, -(AL32-Uzman_D!$J$6), AL32-Uzman_D!$J$6)*0.1
    ) +
    IF(ROUND((IF(AN32-Uzman_D!$L$6&lt;0, -(AN32-Uzman_D!$L$6), AN32-Uzman_D!$L$6)*2),0)/2 = IF(AN32-Uzman_D!$L$6&lt;0, -(AN32-Uzman_D!$L$6), AN32-Uzman_D!$L$6),
    (ROUND((IF(AN32-Uzman_D!$L$6&lt;0, -(AN32-Uzman_D!$L$6), AN32-Uzman_D!$L$6)*2),0)/1 * 0.1), 0) +
    IF(AO32-Uzman_D!$M$6&lt;0, -(AO32-Uzman_D!$M$6), AO32-Uzman_D!$M$6)*1
)</f>
        <v>-0.60000000000000009</v>
      </c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2"/>
      <c r="BB32" s="72"/>
      <c r="BC32" s="73">
        <f>1 - (
    SUM(
        IF(AQ32-Uzman_D!$B$7&lt;0, -(AQ32-Uzman_D!$B$7), AQ32-Uzman_D!$B$7)*0.1 +
        IF(AR32-Uzman_D!$C$7&lt;0, -(AR32-Uzman_D!$C$7), AR32-Uzman_D!$C$7)*0.1 +
        IF(AS32-Uzman_D!$D$7&lt;0, -(AS32-Uzman_D!$D$7), AS32-Uzman_D!$D$7)*0.1 +
        IF(AT32-Uzman_D!$E$7&lt;0, -(AT32-Uzman_D!$E$7), AT32-Uzman_D!$E$7)*0.1 +
        IF(AU32-Uzman_D!$F$7&lt;0, -(AU32-Uzman_D!$F$7), AU32-Uzman_D!$F$7)*0.1 +
        IF(AV32-Uzman_D!$G$7&lt;0, -(AV32-Uzman_D!$G$7), AV32-Uzman_D!$G$7)*0.1 +
        IF(AW32-Uzman_D!$H$7&lt;0, -(AW32-Uzman_D!$H$7), AW32-Uzman_D!$H$7)*0.1 +
        IF(AX32-Uzman_D!$I$7&lt;0, -(AX32-Uzman_D!$I$7), AX32-Uzman_D!$I$7)*0.1 +
        IF(AY32-Uzman_D!$J$7&lt;0, -(AY32-Uzman_D!$J$7), AY32-Uzman_D!$J$7)*0.1
    ) +
    IF(ROUND((IF(BA32-Uzman_D!$L$7&lt;0, -(BA32-Uzman_D!$L$7), BA32-Uzman_D!$L$7)*2),0)/2 = IF(BA32-Uzman_D!$L$7&lt;0, -(BA32-Uzman_D!$L$7), BA32-Uzman_D!$L$7),
    (ROUND((IF(BA32-Uzman_D!$L$7&lt;0, -(BA32-Uzman_D!$L$7), BA32-Uzman_D!$L$7)*2),0)/1 * 0.1), 0) +
    IF(BB32-Uzman_D!$M$7&lt;0, -(BB32-Uzman_D!$M$7), BB32-Uzman_D!$M$7)*1
)</f>
        <v>-0.50000000000000022</v>
      </c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2"/>
      <c r="BO32" s="72"/>
      <c r="BP32" s="73">
        <f>1 - (
    SUM(
        IF(BD32-Uzman_D!$B$8&lt;0, -(BD32-Uzman_D!$B$8), BD32-Uzman_D!$B$8)*0.1 +
        IF(BE32-Uzman_D!$C$8&lt;0, -(BE32-Uzman_D!$C$8), BE32-Uzman_D!$C$8)*0.1 +
        IF(BF32-Uzman_D!$D$8&lt;0, -(BF32-Uzman_D!$D$8), BF32-Uzman_D!$D$8)*0.1 +
        IF(BG32-Uzman_D!$E$8&lt;0, -(BG32-Uzman_D!$E$8), BG32-Uzman_D!$E$8)*0.1 +
        IF(BH32-Uzman_D!$F$8&lt;0, -(BH32-Uzman_D!$F$8), BH32-Uzman_D!$F$8)*0.1 +
        IF(BI32-Uzman_D!$G$8&lt;0, -(BI32-Uzman_D!$G$8), BI32-Uzman_D!$G$8)*0.1 +
        IF(BJ32-Uzman_D!$H$8&lt;0, -(BJ32-Uzman_D!$H$8), BJ32-Uzman_D!$H$8)*0.1 +
        IF(BK32-Uzman_D!$I$8&lt;0, -(BK32-Uzman_D!$I$8), BK32-Uzman_D!$I$8)*0.1 +
        IF(BL32-Uzman_D!$J$8&lt;0, -(BL32-Uzman_D!$J$8), BL32-Uzman_D!$J$8)*0.1
    ) +
    IF(ROUND((IF(BN32-Uzman_D!$L$8&lt;0, -(BN32-Uzman_D!$L$8), BN32-Uzman_D!$L$8)*2),0)/2 = IF(BN32-Uzman_D!$L$8&lt;0, -(BN32-Uzman_D!$L$8), BN32-Uzman_D!$L$8),
    (ROUND((IF(BN32-Uzman_D!$L$8&lt;0, -(BN32-Uzman_D!$L$8), BN32-Uzman_D!$L$8)*2),0)/1 * 0.1), 0) +
    IF(BO32-Uzman_D!$M$8&lt;0, -(BO32-Uzman_D!$M$8), BO32-Uzman_D!$M$8)*1
)</f>
        <v>-0.20000000000000018</v>
      </c>
      <c r="BQ32" s="74">
        <f t="shared" si="0"/>
        <v>-0.54000000000000026</v>
      </c>
    </row>
    <row r="33" spans="1:69" ht="15" customHeight="1" x14ac:dyDescent="0.2">
      <c r="A33" s="57">
        <v>30</v>
      </c>
      <c r="B33" s="29">
        <f>Hakemler!B33</f>
        <v>0</v>
      </c>
      <c r="C33" s="29">
        <f>Hakemler!C33</f>
        <v>0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72"/>
      <c r="P33" s="73">
        <f>1 - (
    SUM(
        IF(D33-Uzman_D!$B$4&lt;0, -(D33-Uzman_D!$B$4), D33-Uzman_D!$B$4)*0.1 +
        IF(E33-Uzman_D!$C$4&lt;0, -(E33-Uzman_D!$C$4), E33-Uzman_D!$C$4)*0.1 +
        IF(F33-Uzman_D!$D$4&lt;0, -(F33-Uzman_D!$D$4), F33-Uzman_D!$D$4)*0.1 +
        IF(G33-Uzman_D!$E$4&lt;0, -(G33-Uzman_D!$E$4), G33-Uzman_D!$E$4)*0.1 +
        IF(H33-Uzman_D!$F$4&lt;0, -(H33-Uzman_D!$F$4), H33-Uzman_D!$F$4)*0.1 +
        IF(I33-Uzman_D!$G$4&lt;0, -(I33-Uzman_D!$G$4), I33-Uzman_D!$G$4)*0.1 +
        IF(J33-Uzman_D!$H$4&lt;0, -(J33-Uzman_D!$H$4), J33-Uzman_D!$H$4)*0.1 +
        IF(K33-Uzman_D!$I$4&lt;0, -(K33-Uzman_D!$I$4), K33-Uzman_D!$I$4)*0.1 +
        IF(L33-Uzman_D!$J$4&lt;0, -(L33-Uzman_D!$J$4), L33-Uzman_D!$J$4)*0.1
    ) +
    IF(ROUND((IF(N33-Uzman_D!$L$4&lt;0, -(N33-Uzman_D!$L$4), N33-Uzman_D!$L$4)*2),0)/2 = IF(N33-Uzman_D!$L$4&lt;0, -(N33-Uzman_D!$L$4), N33-Uzman_D!$L$4),
    (ROUND((IF(N33-Uzman_D!$L$4&lt;0, -(N33-Uzman_D!$L$4), N33-Uzman_D!$L$4)*2),0)/1 * 0.1), 0) +
    IF(O33-Uzman_D!$M$4&lt;0, -(O33-Uzman_D!$M$4), O33-Uzman_D!$M$4)*1
)</f>
        <v>-0.90000000000000013</v>
      </c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2"/>
      <c r="AB33" s="72"/>
      <c r="AC33" s="73">
        <f>1 - (
    SUM(
        IF(Q33-Uzman_D!$B$5&lt;0, -(Q33-Uzman_D!$B$5), Q33-Uzman_D!$B$5)*0.1 +
        IF(R33-Uzman_D!$C$5&lt;0, -(R33-Uzman_D!$C$5), R33-Uzman_D!$C$5)*0.1 +
        IF(S33-Uzman_D!$D$5&lt;0, -(S33-Uzman_D!$D$5), S33-Uzman_D!$D$5)*0.1 +
        IF(T33-Uzman_D!$E$5&lt;0, -(T33-Uzman_D!$E$5), T33-Uzman_D!$E$5)*0.1 +
        IF(U33-Uzman_D!$F$5&lt;0, -(U33-Uzman_D!$F$5), U33-Uzman_D!$F$5)*0.1 +
        IF(V33-Uzman_D!$G$5&lt;0, -(V33-Uzman_D!$G$5), V33-Uzman_D!$G$5)*0.1 +
        IF(W33-Uzman_D!$H$5&lt;0, -(W33-Uzman_D!$H$5), W33-Uzman_D!$H$5)*0.1 +
        IF(X33-Uzman_D!$I$5&lt;0, -(X33-Uzman_D!$I$5), X33-Uzman_D!$I$5)*0.1 +
        IF(Y33-Uzman_D!$J$5&lt;0, -(Y33-Uzman_D!$J$5), Y33-Uzman_D!$J$5)*0.1
    ) +
    IF(ROUND((IF(AA33-Uzman_D!$L$5&lt;0, -(AA33-Uzman_D!$L$5), AA33-Uzman_D!$L$5)*2),0)/2 = IF(AA33-Uzman_D!$L$5&lt;0, -(AA33-Uzman_D!$L$5), AA33-Uzman_D!$L$5),
    (ROUND((IF(AA33-Uzman_D!$L$5&lt;0, -(AA33-Uzman_D!$L$5), AA33-Uzman_D!$L$5)*2),0)/1 * 0.1), 0) +
    IF(AB33-Uzman_D!$M$5&lt;0, -(AB33-Uzman_D!$M$5), AB33-Uzman_D!$M$5)*1
)</f>
        <v>-0.50000000000000022</v>
      </c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2"/>
      <c r="AO33" s="72"/>
      <c r="AP33" s="73">
        <f>1 - (
    SUM(
        IF(AD33-Uzman_D!$B$6&lt;0, -(AD33-Uzman_D!$B$6), AD33-Uzman_D!$B$6)*0.1 +
        IF(AE33-Uzman_D!$C$6&lt;0, -(AE33-Uzman_D!$C$6), AE33-Uzman_D!$C$6)*0.1 +
        IF(AF33-Uzman_D!$D$6&lt;0, -(AF33-Uzman_D!$D$6), AF33-Uzman_D!$D$6)*0.1 +
        IF(AG33-Uzman_D!$E$6&lt;0, -(AG33-Uzman_D!$E$6), AG33-Uzman_D!$E$6)*0.1 +
        IF(AH33-Uzman_D!$F$6&lt;0, -(AH33-Uzman_D!$F$6), AH33-Uzman_D!$F$6)*0.1 +
        IF(AI33-Uzman_D!$G$6&lt;0, -(AI33-Uzman_D!$G$6), AI33-Uzman_D!$G$6)*0.1 +
        IF(AJ33-Uzman_D!$H$6&lt;0, -(AJ33-Uzman_D!$H$6), AJ33-Uzman_D!$H$6)*0.1 +
        IF(AK33-Uzman_D!$I$6&lt;0, -(AK33-Uzman_D!$I$6), AK33-Uzman_D!$I$6)*0.1 +
        IF(AL33-Uzman_D!$J$6&lt;0, -(AL33-Uzman_D!$J$6), AL33-Uzman_D!$J$6)*0.1
    ) +
    IF(ROUND((IF(AN33-Uzman_D!$L$6&lt;0, -(AN33-Uzman_D!$L$6), AN33-Uzman_D!$L$6)*2),0)/2 = IF(AN33-Uzman_D!$L$6&lt;0, -(AN33-Uzman_D!$L$6), AN33-Uzman_D!$L$6),
    (ROUND((IF(AN33-Uzman_D!$L$6&lt;0, -(AN33-Uzman_D!$L$6), AN33-Uzman_D!$L$6)*2),0)/1 * 0.1), 0) +
    IF(AO33-Uzman_D!$M$6&lt;0, -(AO33-Uzman_D!$M$6), AO33-Uzman_D!$M$6)*1
)</f>
        <v>-0.60000000000000009</v>
      </c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2"/>
      <c r="BB33" s="72"/>
      <c r="BC33" s="73">
        <f>1 - (
    SUM(
        IF(AQ33-Uzman_D!$B$7&lt;0, -(AQ33-Uzman_D!$B$7), AQ33-Uzman_D!$B$7)*0.1 +
        IF(AR33-Uzman_D!$C$7&lt;0, -(AR33-Uzman_D!$C$7), AR33-Uzman_D!$C$7)*0.1 +
        IF(AS33-Uzman_D!$D$7&lt;0, -(AS33-Uzman_D!$D$7), AS33-Uzman_D!$D$7)*0.1 +
        IF(AT33-Uzman_D!$E$7&lt;0, -(AT33-Uzman_D!$E$7), AT33-Uzman_D!$E$7)*0.1 +
        IF(AU33-Uzman_D!$F$7&lt;0, -(AU33-Uzman_D!$F$7), AU33-Uzman_D!$F$7)*0.1 +
        IF(AV33-Uzman_D!$G$7&lt;0, -(AV33-Uzman_D!$G$7), AV33-Uzman_D!$G$7)*0.1 +
        IF(AW33-Uzman_D!$H$7&lt;0, -(AW33-Uzman_D!$H$7), AW33-Uzman_D!$H$7)*0.1 +
        IF(AX33-Uzman_D!$I$7&lt;0, -(AX33-Uzman_D!$I$7), AX33-Uzman_D!$I$7)*0.1 +
        IF(AY33-Uzman_D!$J$7&lt;0, -(AY33-Uzman_D!$J$7), AY33-Uzman_D!$J$7)*0.1
    ) +
    IF(ROUND((IF(BA33-Uzman_D!$L$7&lt;0, -(BA33-Uzman_D!$L$7), BA33-Uzman_D!$L$7)*2),0)/2 = IF(BA33-Uzman_D!$L$7&lt;0, -(BA33-Uzman_D!$L$7), BA33-Uzman_D!$L$7),
    (ROUND((IF(BA33-Uzman_D!$L$7&lt;0, -(BA33-Uzman_D!$L$7), BA33-Uzman_D!$L$7)*2),0)/1 * 0.1), 0) +
    IF(BB33-Uzman_D!$M$7&lt;0, -(BB33-Uzman_D!$M$7), BB33-Uzman_D!$M$7)*1
)</f>
        <v>-0.50000000000000022</v>
      </c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2"/>
      <c r="BO33" s="72"/>
      <c r="BP33" s="73">
        <f>1 - (
    SUM(
        IF(BD33-Uzman_D!$B$8&lt;0, -(BD33-Uzman_D!$B$8), BD33-Uzman_D!$B$8)*0.1 +
        IF(BE33-Uzman_D!$C$8&lt;0, -(BE33-Uzman_D!$C$8), BE33-Uzman_D!$C$8)*0.1 +
        IF(BF33-Uzman_D!$D$8&lt;0, -(BF33-Uzman_D!$D$8), BF33-Uzman_D!$D$8)*0.1 +
        IF(BG33-Uzman_D!$E$8&lt;0, -(BG33-Uzman_D!$E$8), BG33-Uzman_D!$E$8)*0.1 +
        IF(BH33-Uzman_D!$F$8&lt;0, -(BH33-Uzman_D!$F$8), BH33-Uzman_D!$F$8)*0.1 +
        IF(BI33-Uzman_D!$G$8&lt;0, -(BI33-Uzman_D!$G$8), BI33-Uzman_D!$G$8)*0.1 +
        IF(BJ33-Uzman_D!$H$8&lt;0, -(BJ33-Uzman_D!$H$8), BJ33-Uzman_D!$H$8)*0.1 +
        IF(BK33-Uzman_D!$I$8&lt;0, -(BK33-Uzman_D!$I$8), BK33-Uzman_D!$I$8)*0.1 +
        IF(BL33-Uzman_D!$J$8&lt;0, -(BL33-Uzman_D!$J$8), BL33-Uzman_D!$J$8)*0.1
    ) +
    IF(ROUND((IF(BN33-Uzman_D!$L$8&lt;0, -(BN33-Uzman_D!$L$8), BN33-Uzman_D!$L$8)*2),0)/2 = IF(BN33-Uzman_D!$L$8&lt;0, -(BN33-Uzman_D!$L$8), BN33-Uzman_D!$L$8),
    (ROUND((IF(BN33-Uzman_D!$L$8&lt;0, -(BN33-Uzman_D!$L$8), BN33-Uzman_D!$L$8)*2),0)/1 * 0.1), 0) +
    IF(BO33-Uzman_D!$M$8&lt;0, -(BO33-Uzman_D!$M$8), BO33-Uzman_D!$M$8)*1
)</f>
        <v>-0.20000000000000018</v>
      </c>
      <c r="BQ33" s="74">
        <f t="shared" si="0"/>
        <v>-0.54000000000000026</v>
      </c>
    </row>
    <row r="34" spans="1:69" ht="15" customHeight="1" x14ac:dyDescent="0.2">
      <c r="A34" s="57">
        <v>31</v>
      </c>
      <c r="B34" s="29">
        <f>Hakemler!B34</f>
        <v>0</v>
      </c>
      <c r="C34" s="29">
        <f>Hakemler!C34</f>
        <v>0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2"/>
      <c r="O34" s="72"/>
      <c r="P34" s="73">
        <f>1 - (
    SUM(
        IF(D34-Uzman_D!$B$4&lt;0, -(D34-Uzman_D!$B$4), D34-Uzman_D!$B$4)*0.1 +
        IF(E34-Uzman_D!$C$4&lt;0, -(E34-Uzman_D!$C$4), E34-Uzman_D!$C$4)*0.1 +
        IF(F34-Uzman_D!$D$4&lt;0, -(F34-Uzman_D!$D$4), F34-Uzman_D!$D$4)*0.1 +
        IF(G34-Uzman_D!$E$4&lt;0, -(G34-Uzman_D!$E$4), G34-Uzman_D!$E$4)*0.1 +
        IF(H34-Uzman_D!$F$4&lt;0, -(H34-Uzman_D!$F$4), H34-Uzman_D!$F$4)*0.1 +
        IF(I34-Uzman_D!$G$4&lt;0, -(I34-Uzman_D!$G$4), I34-Uzman_D!$G$4)*0.1 +
        IF(J34-Uzman_D!$H$4&lt;0, -(J34-Uzman_D!$H$4), J34-Uzman_D!$H$4)*0.1 +
        IF(K34-Uzman_D!$I$4&lt;0, -(K34-Uzman_D!$I$4), K34-Uzman_D!$I$4)*0.1 +
        IF(L34-Uzman_D!$J$4&lt;0, -(L34-Uzman_D!$J$4), L34-Uzman_D!$J$4)*0.1
    ) +
    IF(ROUND((IF(N34-Uzman_D!$L$4&lt;0, -(N34-Uzman_D!$L$4), N34-Uzman_D!$L$4)*2),0)/2 = IF(N34-Uzman_D!$L$4&lt;0, -(N34-Uzman_D!$L$4), N34-Uzman_D!$L$4),
    (ROUND((IF(N34-Uzman_D!$L$4&lt;0, -(N34-Uzman_D!$L$4), N34-Uzman_D!$L$4)*2),0)/1 * 0.1), 0) +
    IF(O34-Uzman_D!$M$4&lt;0, -(O34-Uzman_D!$M$4), O34-Uzman_D!$M$4)*1
)</f>
        <v>-0.90000000000000013</v>
      </c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2"/>
      <c r="AB34" s="72"/>
      <c r="AC34" s="73">
        <f>1 - (
    SUM(
        IF(Q34-Uzman_D!$B$5&lt;0, -(Q34-Uzman_D!$B$5), Q34-Uzman_D!$B$5)*0.1 +
        IF(R34-Uzman_D!$C$5&lt;0, -(R34-Uzman_D!$C$5), R34-Uzman_D!$C$5)*0.1 +
        IF(S34-Uzman_D!$D$5&lt;0, -(S34-Uzman_D!$D$5), S34-Uzman_D!$D$5)*0.1 +
        IF(T34-Uzman_D!$E$5&lt;0, -(T34-Uzman_D!$E$5), T34-Uzman_D!$E$5)*0.1 +
        IF(U34-Uzman_D!$F$5&lt;0, -(U34-Uzman_D!$F$5), U34-Uzman_D!$F$5)*0.1 +
        IF(V34-Uzman_D!$G$5&lt;0, -(V34-Uzman_D!$G$5), V34-Uzman_D!$G$5)*0.1 +
        IF(W34-Uzman_D!$H$5&lt;0, -(W34-Uzman_D!$H$5), W34-Uzman_D!$H$5)*0.1 +
        IF(X34-Uzman_D!$I$5&lt;0, -(X34-Uzman_D!$I$5), X34-Uzman_D!$I$5)*0.1 +
        IF(Y34-Uzman_D!$J$5&lt;0, -(Y34-Uzman_D!$J$5), Y34-Uzman_D!$J$5)*0.1
    ) +
    IF(ROUND((IF(AA34-Uzman_D!$L$5&lt;0, -(AA34-Uzman_D!$L$5), AA34-Uzman_D!$L$5)*2),0)/2 = IF(AA34-Uzman_D!$L$5&lt;0, -(AA34-Uzman_D!$L$5), AA34-Uzman_D!$L$5),
    (ROUND((IF(AA34-Uzman_D!$L$5&lt;0, -(AA34-Uzman_D!$L$5), AA34-Uzman_D!$L$5)*2),0)/1 * 0.1), 0) +
    IF(AB34-Uzman_D!$M$5&lt;0, -(AB34-Uzman_D!$M$5), AB34-Uzman_D!$M$5)*1
)</f>
        <v>-0.50000000000000022</v>
      </c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2"/>
      <c r="AO34" s="72"/>
      <c r="AP34" s="73">
        <f>1 - (
    SUM(
        IF(AD34-Uzman_D!$B$6&lt;0, -(AD34-Uzman_D!$B$6), AD34-Uzman_D!$B$6)*0.1 +
        IF(AE34-Uzman_D!$C$6&lt;0, -(AE34-Uzman_D!$C$6), AE34-Uzman_D!$C$6)*0.1 +
        IF(AF34-Uzman_D!$D$6&lt;0, -(AF34-Uzman_D!$D$6), AF34-Uzman_D!$D$6)*0.1 +
        IF(AG34-Uzman_D!$E$6&lt;0, -(AG34-Uzman_D!$E$6), AG34-Uzman_D!$E$6)*0.1 +
        IF(AH34-Uzman_D!$F$6&lt;0, -(AH34-Uzman_D!$F$6), AH34-Uzman_D!$F$6)*0.1 +
        IF(AI34-Uzman_D!$G$6&lt;0, -(AI34-Uzman_D!$G$6), AI34-Uzman_D!$G$6)*0.1 +
        IF(AJ34-Uzman_D!$H$6&lt;0, -(AJ34-Uzman_D!$H$6), AJ34-Uzman_D!$H$6)*0.1 +
        IF(AK34-Uzman_D!$I$6&lt;0, -(AK34-Uzman_D!$I$6), AK34-Uzman_D!$I$6)*0.1 +
        IF(AL34-Uzman_D!$J$6&lt;0, -(AL34-Uzman_D!$J$6), AL34-Uzman_D!$J$6)*0.1
    ) +
    IF(ROUND((IF(AN34-Uzman_D!$L$6&lt;0, -(AN34-Uzman_D!$L$6), AN34-Uzman_D!$L$6)*2),0)/2 = IF(AN34-Uzman_D!$L$6&lt;0, -(AN34-Uzman_D!$L$6), AN34-Uzman_D!$L$6),
    (ROUND((IF(AN34-Uzman_D!$L$6&lt;0, -(AN34-Uzman_D!$L$6), AN34-Uzman_D!$L$6)*2),0)/1 * 0.1), 0) +
    IF(AO34-Uzman_D!$M$6&lt;0, -(AO34-Uzman_D!$M$6), AO34-Uzman_D!$M$6)*1
)</f>
        <v>-0.60000000000000009</v>
      </c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2"/>
      <c r="BB34" s="72"/>
      <c r="BC34" s="73">
        <f>1 - (
    SUM(
        IF(AQ34-Uzman_D!$B$7&lt;0, -(AQ34-Uzman_D!$B$7), AQ34-Uzman_D!$B$7)*0.1 +
        IF(AR34-Uzman_D!$C$7&lt;0, -(AR34-Uzman_D!$C$7), AR34-Uzman_D!$C$7)*0.1 +
        IF(AS34-Uzman_D!$D$7&lt;0, -(AS34-Uzman_D!$D$7), AS34-Uzman_D!$D$7)*0.1 +
        IF(AT34-Uzman_D!$E$7&lt;0, -(AT34-Uzman_D!$E$7), AT34-Uzman_D!$E$7)*0.1 +
        IF(AU34-Uzman_D!$F$7&lt;0, -(AU34-Uzman_D!$F$7), AU34-Uzman_D!$F$7)*0.1 +
        IF(AV34-Uzman_D!$G$7&lt;0, -(AV34-Uzman_D!$G$7), AV34-Uzman_D!$G$7)*0.1 +
        IF(AW34-Uzman_D!$H$7&lt;0, -(AW34-Uzman_D!$H$7), AW34-Uzman_D!$H$7)*0.1 +
        IF(AX34-Uzman_D!$I$7&lt;0, -(AX34-Uzman_D!$I$7), AX34-Uzman_D!$I$7)*0.1 +
        IF(AY34-Uzman_D!$J$7&lt;0, -(AY34-Uzman_D!$J$7), AY34-Uzman_D!$J$7)*0.1
    ) +
    IF(ROUND((IF(BA34-Uzman_D!$L$7&lt;0, -(BA34-Uzman_D!$L$7), BA34-Uzman_D!$L$7)*2),0)/2 = IF(BA34-Uzman_D!$L$7&lt;0, -(BA34-Uzman_D!$L$7), BA34-Uzman_D!$L$7),
    (ROUND((IF(BA34-Uzman_D!$L$7&lt;0, -(BA34-Uzman_D!$L$7), BA34-Uzman_D!$L$7)*2),0)/1 * 0.1), 0) +
    IF(BB34-Uzman_D!$M$7&lt;0, -(BB34-Uzman_D!$M$7), BB34-Uzman_D!$M$7)*1
)</f>
        <v>-0.50000000000000022</v>
      </c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2"/>
      <c r="BO34" s="72"/>
      <c r="BP34" s="73">
        <f>1 - (
    SUM(
        IF(BD34-Uzman_D!$B$8&lt;0, -(BD34-Uzman_D!$B$8), BD34-Uzman_D!$B$8)*0.1 +
        IF(BE34-Uzman_D!$C$8&lt;0, -(BE34-Uzman_D!$C$8), BE34-Uzman_D!$C$8)*0.1 +
        IF(BF34-Uzman_D!$D$8&lt;0, -(BF34-Uzman_D!$D$8), BF34-Uzman_D!$D$8)*0.1 +
        IF(BG34-Uzman_D!$E$8&lt;0, -(BG34-Uzman_D!$E$8), BG34-Uzman_D!$E$8)*0.1 +
        IF(BH34-Uzman_D!$F$8&lt;0, -(BH34-Uzman_D!$F$8), BH34-Uzman_D!$F$8)*0.1 +
        IF(BI34-Uzman_D!$G$8&lt;0, -(BI34-Uzman_D!$G$8), BI34-Uzman_D!$G$8)*0.1 +
        IF(BJ34-Uzman_D!$H$8&lt;0, -(BJ34-Uzman_D!$H$8), BJ34-Uzman_D!$H$8)*0.1 +
        IF(BK34-Uzman_D!$I$8&lt;0, -(BK34-Uzman_D!$I$8), BK34-Uzman_D!$I$8)*0.1 +
        IF(BL34-Uzman_D!$J$8&lt;0, -(BL34-Uzman_D!$J$8), BL34-Uzman_D!$J$8)*0.1
    ) +
    IF(ROUND((IF(BN34-Uzman_D!$L$8&lt;0, -(BN34-Uzman_D!$L$8), BN34-Uzman_D!$L$8)*2),0)/2 = IF(BN34-Uzman_D!$L$8&lt;0, -(BN34-Uzman_D!$L$8), BN34-Uzman_D!$L$8),
    (ROUND((IF(BN34-Uzman_D!$L$8&lt;0, -(BN34-Uzman_D!$L$8), BN34-Uzman_D!$L$8)*2),0)/1 * 0.1), 0) +
    IF(BO34-Uzman_D!$M$8&lt;0, -(BO34-Uzman_D!$M$8), BO34-Uzman_D!$M$8)*1
)</f>
        <v>-0.20000000000000018</v>
      </c>
      <c r="BQ34" s="74">
        <f t="shared" si="0"/>
        <v>-0.54000000000000026</v>
      </c>
    </row>
    <row r="35" spans="1:69" ht="15" customHeight="1" x14ac:dyDescent="0.2">
      <c r="A35" s="57">
        <v>32</v>
      </c>
      <c r="B35" s="29">
        <f>Hakemler!B35</f>
        <v>0</v>
      </c>
      <c r="C35" s="29">
        <f>Hakemler!C35</f>
        <v>0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  <c r="O35" s="72"/>
      <c r="P35" s="73">
        <f>1 - (
    SUM(
        IF(D35-Uzman_D!$B$4&lt;0, -(D35-Uzman_D!$B$4), D35-Uzman_D!$B$4)*0.1 +
        IF(E35-Uzman_D!$C$4&lt;0, -(E35-Uzman_D!$C$4), E35-Uzman_D!$C$4)*0.1 +
        IF(F35-Uzman_D!$D$4&lt;0, -(F35-Uzman_D!$D$4), F35-Uzman_D!$D$4)*0.1 +
        IF(G35-Uzman_D!$E$4&lt;0, -(G35-Uzman_D!$E$4), G35-Uzman_D!$E$4)*0.1 +
        IF(H35-Uzman_D!$F$4&lt;0, -(H35-Uzman_D!$F$4), H35-Uzman_D!$F$4)*0.1 +
        IF(I35-Uzman_D!$G$4&lt;0, -(I35-Uzman_D!$G$4), I35-Uzman_D!$G$4)*0.1 +
        IF(J35-Uzman_D!$H$4&lt;0, -(J35-Uzman_D!$H$4), J35-Uzman_D!$H$4)*0.1 +
        IF(K35-Uzman_D!$I$4&lt;0, -(K35-Uzman_D!$I$4), K35-Uzman_D!$I$4)*0.1 +
        IF(L35-Uzman_D!$J$4&lt;0, -(L35-Uzman_D!$J$4), L35-Uzman_D!$J$4)*0.1
    ) +
    IF(ROUND((IF(N35-Uzman_D!$L$4&lt;0, -(N35-Uzman_D!$L$4), N35-Uzman_D!$L$4)*2),0)/2 = IF(N35-Uzman_D!$L$4&lt;0, -(N35-Uzman_D!$L$4), N35-Uzman_D!$L$4),
    (ROUND((IF(N35-Uzman_D!$L$4&lt;0, -(N35-Uzman_D!$L$4), N35-Uzman_D!$L$4)*2),0)/1 * 0.1), 0) +
    IF(O35-Uzman_D!$M$4&lt;0, -(O35-Uzman_D!$M$4), O35-Uzman_D!$M$4)*1
)</f>
        <v>-0.90000000000000013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2"/>
      <c r="AB35" s="72"/>
      <c r="AC35" s="73">
        <f>1 - (
    SUM(
        IF(Q35-Uzman_D!$B$5&lt;0, -(Q35-Uzman_D!$B$5), Q35-Uzman_D!$B$5)*0.1 +
        IF(R35-Uzman_D!$C$5&lt;0, -(R35-Uzman_D!$C$5), R35-Uzman_D!$C$5)*0.1 +
        IF(S35-Uzman_D!$D$5&lt;0, -(S35-Uzman_D!$D$5), S35-Uzman_D!$D$5)*0.1 +
        IF(T35-Uzman_D!$E$5&lt;0, -(T35-Uzman_D!$E$5), T35-Uzman_D!$E$5)*0.1 +
        IF(U35-Uzman_D!$F$5&lt;0, -(U35-Uzman_D!$F$5), U35-Uzman_D!$F$5)*0.1 +
        IF(V35-Uzman_D!$G$5&lt;0, -(V35-Uzman_D!$G$5), V35-Uzman_D!$G$5)*0.1 +
        IF(W35-Uzman_D!$H$5&lt;0, -(W35-Uzman_D!$H$5), W35-Uzman_D!$H$5)*0.1 +
        IF(X35-Uzman_D!$I$5&lt;0, -(X35-Uzman_D!$I$5), X35-Uzman_D!$I$5)*0.1 +
        IF(Y35-Uzman_D!$J$5&lt;0, -(Y35-Uzman_D!$J$5), Y35-Uzman_D!$J$5)*0.1
    ) +
    IF(ROUND((IF(AA35-Uzman_D!$L$5&lt;0, -(AA35-Uzman_D!$L$5), AA35-Uzman_D!$L$5)*2),0)/2 = IF(AA35-Uzman_D!$L$5&lt;0, -(AA35-Uzman_D!$L$5), AA35-Uzman_D!$L$5),
    (ROUND((IF(AA35-Uzman_D!$L$5&lt;0, -(AA35-Uzman_D!$L$5), AA35-Uzman_D!$L$5)*2),0)/1 * 0.1), 0) +
    IF(AB35-Uzman_D!$M$5&lt;0, -(AB35-Uzman_D!$M$5), AB35-Uzman_D!$M$5)*1
)</f>
        <v>-0.50000000000000022</v>
      </c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2"/>
      <c r="AO35" s="72"/>
      <c r="AP35" s="73">
        <f>1 - (
    SUM(
        IF(AD35-Uzman_D!$B$6&lt;0, -(AD35-Uzman_D!$B$6), AD35-Uzman_D!$B$6)*0.1 +
        IF(AE35-Uzman_D!$C$6&lt;0, -(AE35-Uzman_D!$C$6), AE35-Uzman_D!$C$6)*0.1 +
        IF(AF35-Uzman_D!$D$6&lt;0, -(AF35-Uzman_D!$D$6), AF35-Uzman_D!$D$6)*0.1 +
        IF(AG35-Uzman_D!$E$6&lt;0, -(AG35-Uzman_D!$E$6), AG35-Uzman_D!$E$6)*0.1 +
        IF(AH35-Uzman_D!$F$6&lt;0, -(AH35-Uzman_D!$F$6), AH35-Uzman_D!$F$6)*0.1 +
        IF(AI35-Uzman_D!$G$6&lt;0, -(AI35-Uzman_D!$G$6), AI35-Uzman_D!$G$6)*0.1 +
        IF(AJ35-Uzman_D!$H$6&lt;0, -(AJ35-Uzman_D!$H$6), AJ35-Uzman_D!$H$6)*0.1 +
        IF(AK35-Uzman_D!$I$6&lt;0, -(AK35-Uzman_D!$I$6), AK35-Uzman_D!$I$6)*0.1 +
        IF(AL35-Uzman_D!$J$6&lt;0, -(AL35-Uzman_D!$J$6), AL35-Uzman_D!$J$6)*0.1
    ) +
    IF(ROUND((IF(AN35-Uzman_D!$L$6&lt;0, -(AN35-Uzman_D!$L$6), AN35-Uzman_D!$L$6)*2),0)/2 = IF(AN35-Uzman_D!$L$6&lt;0, -(AN35-Uzman_D!$L$6), AN35-Uzman_D!$L$6),
    (ROUND((IF(AN35-Uzman_D!$L$6&lt;0, -(AN35-Uzman_D!$L$6), AN35-Uzman_D!$L$6)*2),0)/1 * 0.1), 0) +
    IF(AO35-Uzman_D!$M$6&lt;0, -(AO35-Uzman_D!$M$6), AO35-Uzman_D!$M$6)*1
)</f>
        <v>-0.60000000000000009</v>
      </c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2"/>
      <c r="BB35" s="72"/>
      <c r="BC35" s="73">
        <f>1 - (
    SUM(
        IF(AQ35-Uzman_D!$B$7&lt;0, -(AQ35-Uzman_D!$B$7), AQ35-Uzman_D!$B$7)*0.1 +
        IF(AR35-Uzman_D!$C$7&lt;0, -(AR35-Uzman_D!$C$7), AR35-Uzman_D!$C$7)*0.1 +
        IF(AS35-Uzman_D!$D$7&lt;0, -(AS35-Uzman_D!$D$7), AS35-Uzman_D!$D$7)*0.1 +
        IF(AT35-Uzman_D!$E$7&lt;0, -(AT35-Uzman_D!$E$7), AT35-Uzman_D!$E$7)*0.1 +
        IF(AU35-Uzman_D!$F$7&lt;0, -(AU35-Uzman_D!$F$7), AU35-Uzman_D!$F$7)*0.1 +
        IF(AV35-Uzman_D!$G$7&lt;0, -(AV35-Uzman_D!$G$7), AV35-Uzman_D!$G$7)*0.1 +
        IF(AW35-Uzman_D!$H$7&lt;0, -(AW35-Uzman_D!$H$7), AW35-Uzman_D!$H$7)*0.1 +
        IF(AX35-Uzman_D!$I$7&lt;0, -(AX35-Uzman_D!$I$7), AX35-Uzman_D!$I$7)*0.1 +
        IF(AY35-Uzman_D!$J$7&lt;0, -(AY35-Uzman_D!$J$7), AY35-Uzman_D!$J$7)*0.1
    ) +
    IF(ROUND((IF(BA35-Uzman_D!$L$7&lt;0, -(BA35-Uzman_D!$L$7), BA35-Uzman_D!$L$7)*2),0)/2 = IF(BA35-Uzman_D!$L$7&lt;0, -(BA35-Uzman_D!$L$7), BA35-Uzman_D!$L$7),
    (ROUND((IF(BA35-Uzman_D!$L$7&lt;0, -(BA35-Uzman_D!$L$7), BA35-Uzman_D!$L$7)*2),0)/1 * 0.1), 0) +
    IF(BB35-Uzman_D!$M$7&lt;0, -(BB35-Uzman_D!$M$7), BB35-Uzman_D!$M$7)*1
)</f>
        <v>-0.50000000000000022</v>
      </c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2"/>
      <c r="BO35" s="72"/>
      <c r="BP35" s="73">
        <f>1 - (
    SUM(
        IF(BD35-Uzman_D!$B$8&lt;0, -(BD35-Uzman_D!$B$8), BD35-Uzman_D!$B$8)*0.1 +
        IF(BE35-Uzman_D!$C$8&lt;0, -(BE35-Uzman_D!$C$8), BE35-Uzman_D!$C$8)*0.1 +
        IF(BF35-Uzman_D!$D$8&lt;0, -(BF35-Uzman_D!$D$8), BF35-Uzman_D!$D$8)*0.1 +
        IF(BG35-Uzman_D!$E$8&lt;0, -(BG35-Uzman_D!$E$8), BG35-Uzman_D!$E$8)*0.1 +
        IF(BH35-Uzman_D!$F$8&lt;0, -(BH35-Uzman_D!$F$8), BH35-Uzman_D!$F$8)*0.1 +
        IF(BI35-Uzman_D!$G$8&lt;0, -(BI35-Uzman_D!$G$8), BI35-Uzman_D!$G$8)*0.1 +
        IF(BJ35-Uzman_D!$H$8&lt;0, -(BJ35-Uzman_D!$H$8), BJ35-Uzman_D!$H$8)*0.1 +
        IF(BK35-Uzman_D!$I$8&lt;0, -(BK35-Uzman_D!$I$8), BK35-Uzman_D!$I$8)*0.1 +
        IF(BL35-Uzman_D!$J$8&lt;0, -(BL35-Uzman_D!$J$8), BL35-Uzman_D!$J$8)*0.1
    ) +
    IF(ROUND((IF(BN35-Uzman_D!$L$8&lt;0, -(BN35-Uzman_D!$L$8), BN35-Uzman_D!$L$8)*2),0)/2 = IF(BN35-Uzman_D!$L$8&lt;0, -(BN35-Uzman_D!$L$8), BN35-Uzman_D!$L$8),
    (ROUND((IF(BN35-Uzman_D!$L$8&lt;0, -(BN35-Uzman_D!$L$8), BN35-Uzman_D!$L$8)*2),0)/1 * 0.1), 0) +
    IF(BO35-Uzman_D!$M$8&lt;0, -(BO35-Uzman_D!$M$8), BO35-Uzman_D!$M$8)*1
)</f>
        <v>-0.20000000000000018</v>
      </c>
      <c r="BQ35" s="74">
        <f t="shared" si="0"/>
        <v>-0.54000000000000026</v>
      </c>
    </row>
    <row r="36" spans="1:69" ht="15" customHeight="1" x14ac:dyDescent="0.2">
      <c r="A36" s="57">
        <v>33</v>
      </c>
      <c r="B36" s="29">
        <f>Hakemler!B36</f>
        <v>0</v>
      </c>
      <c r="C36" s="29">
        <f>Hakemler!C36</f>
        <v>0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  <c r="O36" s="72"/>
      <c r="P36" s="73">
        <f>1 - (
    SUM(
        IF(D36-Uzman_D!$B$4&lt;0, -(D36-Uzman_D!$B$4), D36-Uzman_D!$B$4)*0.1 +
        IF(E36-Uzman_D!$C$4&lt;0, -(E36-Uzman_D!$C$4), E36-Uzman_D!$C$4)*0.1 +
        IF(F36-Uzman_D!$D$4&lt;0, -(F36-Uzman_D!$D$4), F36-Uzman_D!$D$4)*0.1 +
        IF(G36-Uzman_D!$E$4&lt;0, -(G36-Uzman_D!$E$4), G36-Uzman_D!$E$4)*0.1 +
        IF(H36-Uzman_D!$F$4&lt;0, -(H36-Uzman_D!$F$4), H36-Uzman_D!$F$4)*0.1 +
        IF(I36-Uzman_D!$G$4&lt;0, -(I36-Uzman_D!$G$4), I36-Uzman_D!$G$4)*0.1 +
        IF(J36-Uzman_D!$H$4&lt;0, -(J36-Uzman_D!$H$4), J36-Uzman_D!$H$4)*0.1 +
        IF(K36-Uzman_D!$I$4&lt;0, -(K36-Uzman_D!$I$4), K36-Uzman_D!$I$4)*0.1 +
        IF(L36-Uzman_D!$J$4&lt;0, -(L36-Uzman_D!$J$4), L36-Uzman_D!$J$4)*0.1
    ) +
    IF(ROUND((IF(N36-Uzman_D!$L$4&lt;0, -(N36-Uzman_D!$L$4), N36-Uzman_D!$L$4)*2),0)/2 = IF(N36-Uzman_D!$L$4&lt;0, -(N36-Uzman_D!$L$4), N36-Uzman_D!$L$4),
    (ROUND((IF(N36-Uzman_D!$L$4&lt;0, -(N36-Uzman_D!$L$4), N36-Uzman_D!$L$4)*2),0)/1 * 0.1), 0) +
    IF(O36-Uzman_D!$M$4&lt;0, -(O36-Uzman_D!$M$4), O36-Uzman_D!$M$4)*1
)</f>
        <v>-0.90000000000000013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2"/>
      <c r="AB36" s="72"/>
      <c r="AC36" s="73">
        <f>1 - (
    SUM(
        IF(Q36-Uzman_D!$B$5&lt;0, -(Q36-Uzman_D!$B$5), Q36-Uzman_D!$B$5)*0.1 +
        IF(R36-Uzman_D!$C$5&lt;0, -(R36-Uzman_D!$C$5), R36-Uzman_D!$C$5)*0.1 +
        IF(S36-Uzman_D!$D$5&lt;0, -(S36-Uzman_D!$D$5), S36-Uzman_D!$D$5)*0.1 +
        IF(T36-Uzman_D!$E$5&lt;0, -(T36-Uzman_D!$E$5), T36-Uzman_D!$E$5)*0.1 +
        IF(U36-Uzman_D!$F$5&lt;0, -(U36-Uzman_D!$F$5), U36-Uzman_D!$F$5)*0.1 +
        IF(V36-Uzman_D!$G$5&lt;0, -(V36-Uzman_D!$G$5), V36-Uzman_D!$G$5)*0.1 +
        IF(W36-Uzman_D!$H$5&lt;0, -(W36-Uzman_D!$H$5), W36-Uzman_D!$H$5)*0.1 +
        IF(X36-Uzman_D!$I$5&lt;0, -(X36-Uzman_D!$I$5), X36-Uzman_D!$I$5)*0.1 +
        IF(Y36-Uzman_D!$J$5&lt;0, -(Y36-Uzman_D!$J$5), Y36-Uzman_D!$J$5)*0.1
    ) +
    IF(ROUND((IF(AA36-Uzman_D!$L$5&lt;0, -(AA36-Uzman_D!$L$5), AA36-Uzman_D!$L$5)*2),0)/2 = IF(AA36-Uzman_D!$L$5&lt;0, -(AA36-Uzman_D!$L$5), AA36-Uzman_D!$L$5),
    (ROUND((IF(AA36-Uzman_D!$L$5&lt;0, -(AA36-Uzman_D!$L$5), AA36-Uzman_D!$L$5)*2),0)/1 * 0.1), 0) +
    IF(AB36-Uzman_D!$M$5&lt;0, -(AB36-Uzman_D!$M$5), AB36-Uzman_D!$M$5)*1
)</f>
        <v>-0.50000000000000022</v>
      </c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2"/>
      <c r="AO36" s="72"/>
      <c r="AP36" s="73">
        <f>1 - (
    SUM(
        IF(AD36-Uzman_D!$B$6&lt;0, -(AD36-Uzman_D!$B$6), AD36-Uzman_D!$B$6)*0.1 +
        IF(AE36-Uzman_D!$C$6&lt;0, -(AE36-Uzman_D!$C$6), AE36-Uzman_D!$C$6)*0.1 +
        IF(AF36-Uzman_D!$D$6&lt;0, -(AF36-Uzman_D!$D$6), AF36-Uzman_D!$D$6)*0.1 +
        IF(AG36-Uzman_D!$E$6&lt;0, -(AG36-Uzman_D!$E$6), AG36-Uzman_D!$E$6)*0.1 +
        IF(AH36-Uzman_D!$F$6&lt;0, -(AH36-Uzman_D!$F$6), AH36-Uzman_D!$F$6)*0.1 +
        IF(AI36-Uzman_D!$G$6&lt;0, -(AI36-Uzman_D!$G$6), AI36-Uzman_D!$G$6)*0.1 +
        IF(AJ36-Uzman_D!$H$6&lt;0, -(AJ36-Uzman_D!$H$6), AJ36-Uzman_D!$H$6)*0.1 +
        IF(AK36-Uzman_D!$I$6&lt;0, -(AK36-Uzman_D!$I$6), AK36-Uzman_D!$I$6)*0.1 +
        IF(AL36-Uzman_D!$J$6&lt;0, -(AL36-Uzman_D!$J$6), AL36-Uzman_D!$J$6)*0.1
    ) +
    IF(ROUND((IF(AN36-Uzman_D!$L$6&lt;0, -(AN36-Uzman_D!$L$6), AN36-Uzman_D!$L$6)*2),0)/2 = IF(AN36-Uzman_D!$L$6&lt;0, -(AN36-Uzman_D!$L$6), AN36-Uzman_D!$L$6),
    (ROUND((IF(AN36-Uzman_D!$L$6&lt;0, -(AN36-Uzman_D!$L$6), AN36-Uzman_D!$L$6)*2),0)/1 * 0.1), 0) +
    IF(AO36-Uzman_D!$M$6&lt;0, -(AO36-Uzman_D!$M$6), AO36-Uzman_D!$M$6)*1
)</f>
        <v>-0.60000000000000009</v>
      </c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2"/>
      <c r="BB36" s="72"/>
      <c r="BC36" s="73">
        <f>1 - (
    SUM(
        IF(AQ36-Uzman_D!$B$7&lt;0, -(AQ36-Uzman_D!$B$7), AQ36-Uzman_D!$B$7)*0.1 +
        IF(AR36-Uzman_D!$C$7&lt;0, -(AR36-Uzman_D!$C$7), AR36-Uzman_D!$C$7)*0.1 +
        IF(AS36-Uzman_D!$D$7&lt;0, -(AS36-Uzman_D!$D$7), AS36-Uzman_D!$D$7)*0.1 +
        IF(AT36-Uzman_D!$E$7&lt;0, -(AT36-Uzman_D!$E$7), AT36-Uzman_D!$E$7)*0.1 +
        IF(AU36-Uzman_D!$F$7&lt;0, -(AU36-Uzman_D!$F$7), AU36-Uzman_D!$F$7)*0.1 +
        IF(AV36-Uzman_D!$G$7&lt;0, -(AV36-Uzman_D!$G$7), AV36-Uzman_D!$G$7)*0.1 +
        IF(AW36-Uzman_D!$H$7&lt;0, -(AW36-Uzman_D!$H$7), AW36-Uzman_D!$H$7)*0.1 +
        IF(AX36-Uzman_D!$I$7&lt;0, -(AX36-Uzman_D!$I$7), AX36-Uzman_D!$I$7)*0.1 +
        IF(AY36-Uzman_D!$J$7&lt;0, -(AY36-Uzman_D!$J$7), AY36-Uzman_D!$J$7)*0.1
    ) +
    IF(ROUND((IF(BA36-Uzman_D!$L$7&lt;0, -(BA36-Uzman_D!$L$7), BA36-Uzman_D!$L$7)*2),0)/2 = IF(BA36-Uzman_D!$L$7&lt;0, -(BA36-Uzman_D!$L$7), BA36-Uzman_D!$L$7),
    (ROUND((IF(BA36-Uzman_D!$L$7&lt;0, -(BA36-Uzman_D!$L$7), BA36-Uzman_D!$L$7)*2),0)/1 * 0.1), 0) +
    IF(BB36-Uzman_D!$M$7&lt;0, -(BB36-Uzman_D!$M$7), BB36-Uzman_D!$M$7)*1
)</f>
        <v>-0.50000000000000022</v>
      </c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2"/>
      <c r="BO36" s="72"/>
      <c r="BP36" s="73">
        <f>1 - (
    SUM(
        IF(BD36-Uzman_D!$B$8&lt;0, -(BD36-Uzman_D!$B$8), BD36-Uzman_D!$B$8)*0.1 +
        IF(BE36-Uzman_D!$C$8&lt;0, -(BE36-Uzman_D!$C$8), BE36-Uzman_D!$C$8)*0.1 +
        IF(BF36-Uzman_D!$D$8&lt;0, -(BF36-Uzman_D!$D$8), BF36-Uzman_D!$D$8)*0.1 +
        IF(BG36-Uzman_D!$E$8&lt;0, -(BG36-Uzman_D!$E$8), BG36-Uzman_D!$E$8)*0.1 +
        IF(BH36-Uzman_D!$F$8&lt;0, -(BH36-Uzman_D!$F$8), BH36-Uzman_D!$F$8)*0.1 +
        IF(BI36-Uzman_D!$G$8&lt;0, -(BI36-Uzman_D!$G$8), BI36-Uzman_D!$G$8)*0.1 +
        IF(BJ36-Uzman_D!$H$8&lt;0, -(BJ36-Uzman_D!$H$8), BJ36-Uzman_D!$H$8)*0.1 +
        IF(BK36-Uzman_D!$I$8&lt;0, -(BK36-Uzman_D!$I$8), BK36-Uzman_D!$I$8)*0.1 +
        IF(BL36-Uzman_D!$J$8&lt;0, -(BL36-Uzman_D!$J$8), BL36-Uzman_D!$J$8)*0.1
    ) +
    IF(ROUND((IF(BN36-Uzman_D!$L$8&lt;0, -(BN36-Uzman_D!$L$8), BN36-Uzman_D!$L$8)*2),0)/2 = IF(BN36-Uzman_D!$L$8&lt;0, -(BN36-Uzman_D!$L$8), BN36-Uzman_D!$L$8),
    (ROUND((IF(BN36-Uzman_D!$L$8&lt;0, -(BN36-Uzman_D!$L$8), BN36-Uzman_D!$L$8)*2),0)/1 * 0.1), 0) +
    IF(BO36-Uzman_D!$M$8&lt;0, -(BO36-Uzman_D!$M$8), BO36-Uzman_D!$M$8)*1
)</f>
        <v>-0.20000000000000018</v>
      </c>
      <c r="BQ36" s="74">
        <f t="shared" si="0"/>
        <v>-0.54000000000000026</v>
      </c>
    </row>
    <row r="37" spans="1:69" ht="15" customHeight="1" x14ac:dyDescent="0.2">
      <c r="A37" s="57">
        <v>34</v>
      </c>
      <c r="B37" s="29">
        <f>Hakemler!B37</f>
        <v>0</v>
      </c>
      <c r="C37" s="29">
        <f>Hakemler!C37</f>
        <v>0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  <c r="O37" s="72"/>
      <c r="P37" s="73">
        <f>1 - (
    SUM(
        IF(D37-Uzman_D!$B$4&lt;0, -(D37-Uzman_D!$B$4), D37-Uzman_D!$B$4)*0.1 +
        IF(E37-Uzman_D!$C$4&lt;0, -(E37-Uzman_D!$C$4), E37-Uzman_D!$C$4)*0.1 +
        IF(F37-Uzman_D!$D$4&lt;0, -(F37-Uzman_D!$D$4), F37-Uzman_D!$D$4)*0.1 +
        IF(G37-Uzman_D!$E$4&lt;0, -(G37-Uzman_D!$E$4), G37-Uzman_D!$E$4)*0.1 +
        IF(H37-Uzman_D!$F$4&lt;0, -(H37-Uzman_D!$F$4), H37-Uzman_D!$F$4)*0.1 +
        IF(I37-Uzman_D!$G$4&lt;0, -(I37-Uzman_D!$G$4), I37-Uzman_D!$G$4)*0.1 +
        IF(J37-Uzman_D!$H$4&lt;0, -(J37-Uzman_D!$H$4), J37-Uzman_D!$H$4)*0.1 +
        IF(K37-Uzman_D!$I$4&lt;0, -(K37-Uzman_D!$I$4), K37-Uzman_D!$I$4)*0.1 +
        IF(L37-Uzman_D!$J$4&lt;0, -(L37-Uzman_D!$J$4), L37-Uzman_D!$J$4)*0.1
    ) +
    IF(ROUND((IF(N37-Uzman_D!$L$4&lt;0, -(N37-Uzman_D!$L$4), N37-Uzman_D!$L$4)*2),0)/2 = IF(N37-Uzman_D!$L$4&lt;0, -(N37-Uzman_D!$L$4), N37-Uzman_D!$L$4),
    (ROUND((IF(N37-Uzman_D!$L$4&lt;0, -(N37-Uzman_D!$L$4), N37-Uzman_D!$L$4)*2),0)/1 * 0.1), 0) +
    IF(O37-Uzman_D!$M$4&lt;0, -(O37-Uzman_D!$M$4), O37-Uzman_D!$M$4)*1
)</f>
        <v>-0.90000000000000013</v>
      </c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2"/>
      <c r="AB37" s="72"/>
      <c r="AC37" s="73">
        <f>1 - (
    SUM(
        IF(Q37-Uzman_D!$B$5&lt;0, -(Q37-Uzman_D!$B$5), Q37-Uzman_D!$B$5)*0.1 +
        IF(R37-Uzman_D!$C$5&lt;0, -(R37-Uzman_D!$C$5), R37-Uzman_D!$C$5)*0.1 +
        IF(S37-Uzman_D!$D$5&lt;0, -(S37-Uzman_D!$D$5), S37-Uzman_D!$D$5)*0.1 +
        IF(T37-Uzman_D!$E$5&lt;0, -(T37-Uzman_D!$E$5), T37-Uzman_D!$E$5)*0.1 +
        IF(U37-Uzman_D!$F$5&lt;0, -(U37-Uzman_D!$F$5), U37-Uzman_D!$F$5)*0.1 +
        IF(V37-Uzman_D!$G$5&lt;0, -(V37-Uzman_D!$G$5), V37-Uzman_D!$G$5)*0.1 +
        IF(W37-Uzman_D!$H$5&lt;0, -(W37-Uzman_D!$H$5), W37-Uzman_D!$H$5)*0.1 +
        IF(X37-Uzman_D!$I$5&lt;0, -(X37-Uzman_D!$I$5), X37-Uzman_D!$I$5)*0.1 +
        IF(Y37-Uzman_D!$J$5&lt;0, -(Y37-Uzman_D!$J$5), Y37-Uzman_D!$J$5)*0.1
    ) +
    IF(ROUND((IF(AA37-Uzman_D!$L$5&lt;0, -(AA37-Uzman_D!$L$5), AA37-Uzman_D!$L$5)*2),0)/2 = IF(AA37-Uzman_D!$L$5&lt;0, -(AA37-Uzman_D!$L$5), AA37-Uzman_D!$L$5),
    (ROUND((IF(AA37-Uzman_D!$L$5&lt;0, -(AA37-Uzman_D!$L$5), AA37-Uzman_D!$L$5)*2),0)/1 * 0.1), 0) +
    IF(AB37-Uzman_D!$M$5&lt;0, -(AB37-Uzman_D!$M$5), AB37-Uzman_D!$M$5)*1
)</f>
        <v>-0.50000000000000022</v>
      </c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2"/>
      <c r="AO37" s="72"/>
      <c r="AP37" s="73">
        <f>1 - (
    SUM(
        IF(AD37-Uzman_D!$B$6&lt;0, -(AD37-Uzman_D!$B$6), AD37-Uzman_D!$B$6)*0.1 +
        IF(AE37-Uzman_D!$C$6&lt;0, -(AE37-Uzman_D!$C$6), AE37-Uzman_D!$C$6)*0.1 +
        IF(AF37-Uzman_D!$D$6&lt;0, -(AF37-Uzman_D!$D$6), AF37-Uzman_D!$D$6)*0.1 +
        IF(AG37-Uzman_D!$E$6&lt;0, -(AG37-Uzman_D!$E$6), AG37-Uzman_D!$E$6)*0.1 +
        IF(AH37-Uzman_D!$F$6&lt;0, -(AH37-Uzman_D!$F$6), AH37-Uzman_D!$F$6)*0.1 +
        IF(AI37-Uzman_D!$G$6&lt;0, -(AI37-Uzman_D!$G$6), AI37-Uzman_D!$G$6)*0.1 +
        IF(AJ37-Uzman_D!$H$6&lt;0, -(AJ37-Uzman_D!$H$6), AJ37-Uzman_D!$H$6)*0.1 +
        IF(AK37-Uzman_D!$I$6&lt;0, -(AK37-Uzman_D!$I$6), AK37-Uzman_D!$I$6)*0.1 +
        IF(AL37-Uzman_D!$J$6&lt;0, -(AL37-Uzman_D!$J$6), AL37-Uzman_D!$J$6)*0.1
    ) +
    IF(ROUND((IF(AN37-Uzman_D!$L$6&lt;0, -(AN37-Uzman_D!$L$6), AN37-Uzman_D!$L$6)*2),0)/2 = IF(AN37-Uzman_D!$L$6&lt;0, -(AN37-Uzman_D!$L$6), AN37-Uzman_D!$L$6),
    (ROUND((IF(AN37-Uzman_D!$L$6&lt;0, -(AN37-Uzman_D!$L$6), AN37-Uzman_D!$L$6)*2),0)/1 * 0.1), 0) +
    IF(AO37-Uzman_D!$M$6&lt;0, -(AO37-Uzman_D!$M$6), AO37-Uzman_D!$M$6)*1
)</f>
        <v>-0.60000000000000009</v>
      </c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2"/>
      <c r="BB37" s="72"/>
      <c r="BC37" s="73">
        <f>1 - (
    SUM(
        IF(AQ37-Uzman_D!$B$7&lt;0, -(AQ37-Uzman_D!$B$7), AQ37-Uzman_D!$B$7)*0.1 +
        IF(AR37-Uzman_D!$C$7&lt;0, -(AR37-Uzman_D!$C$7), AR37-Uzman_D!$C$7)*0.1 +
        IF(AS37-Uzman_D!$D$7&lt;0, -(AS37-Uzman_D!$D$7), AS37-Uzman_D!$D$7)*0.1 +
        IF(AT37-Uzman_D!$E$7&lt;0, -(AT37-Uzman_D!$E$7), AT37-Uzman_D!$E$7)*0.1 +
        IF(AU37-Uzman_D!$F$7&lt;0, -(AU37-Uzman_D!$F$7), AU37-Uzman_D!$F$7)*0.1 +
        IF(AV37-Uzman_D!$G$7&lt;0, -(AV37-Uzman_D!$G$7), AV37-Uzman_D!$G$7)*0.1 +
        IF(AW37-Uzman_D!$H$7&lt;0, -(AW37-Uzman_D!$H$7), AW37-Uzman_D!$H$7)*0.1 +
        IF(AX37-Uzman_D!$I$7&lt;0, -(AX37-Uzman_D!$I$7), AX37-Uzman_D!$I$7)*0.1 +
        IF(AY37-Uzman_D!$J$7&lt;0, -(AY37-Uzman_D!$J$7), AY37-Uzman_D!$J$7)*0.1
    ) +
    IF(ROUND((IF(BA37-Uzman_D!$L$7&lt;0, -(BA37-Uzman_D!$L$7), BA37-Uzman_D!$L$7)*2),0)/2 = IF(BA37-Uzman_D!$L$7&lt;0, -(BA37-Uzman_D!$L$7), BA37-Uzman_D!$L$7),
    (ROUND((IF(BA37-Uzman_D!$L$7&lt;0, -(BA37-Uzman_D!$L$7), BA37-Uzman_D!$L$7)*2),0)/1 * 0.1), 0) +
    IF(BB37-Uzman_D!$M$7&lt;0, -(BB37-Uzman_D!$M$7), BB37-Uzman_D!$M$7)*1
)</f>
        <v>-0.50000000000000022</v>
      </c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2"/>
      <c r="BO37" s="72"/>
      <c r="BP37" s="73">
        <f>1 - (
    SUM(
        IF(BD37-Uzman_D!$B$8&lt;0, -(BD37-Uzman_D!$B$8), BD37-Uzman_D!$B$8)*0.1 +
        IF(BE37-Uzman_D!$C$8&lt;0, -(BE37-Uzman_D!$C$8), BE37-Uzman_D!$C$8)*0.1 +
        IF(BF37-Uzman_D!$D$8&lt;0, -(BF37-Uzman_D!$D$8), BF37-Uzman_D!$D$8)*0.1 +
        IF(BG37-Uzman_D!$E$8&lt;0, -(BG37-Uzman_D!$E$8), BG37-Uzman_D!$E$8)*0.1 +
        IF(BH37-Uzman_D!$F$8&lt;0, -(BH37-Uzman_D!$F$8), BH37-Uzman_D!$F$8)*0.1 +
        IF(BI37-Uzman_D!$G$8&lt;0, -(BI37-Uzman_D!$G$8), BI37-Uzman_D!$G$8)*0.1 +
        IF(BJ37-Uzman_D!$H$8&lt;0, -(BJ37-Uzman_D!$H$8), BJ37-Uzman_D!$H$8)*0.1 +
        IF(BK37-Uzman_D!$I$8&lt;0, -(BK37-Uzman_D!$I$8), BK37-Uzman_D!$I$8)*0.1 +
        IF(BL37-Uzman_D!$J$8&lt;0, -(BL37-Uzman_D!$J$8), BL37-Uzman_D!$J$8)*0.1
    ) +
    IF(ROUND((IF(BN37-Uzman_D!$L$8&lt;0, -(BN37-Uzman_D!$L$8), BN37-Uzman_D!$L$8)*2),0)/2 = IF(BN37-Uzman_D!$L$8&lt;0, -(BN37-Uzman_D!$L$8), BN37-Uzman_D!$L$8),
    (ROUND((IF(BN37-Uzman_D!$L$8&lt;0, -(BN37-Uzman_D!$L$8), BN37-Uzman_D!$L$8)*2),0)/1 * 0.1), 0) +
    IF(BO37-Uzman_D!$M$8&lt;0, -(BO37-Uzman_D!$M$8), BO37-Uzman_D!$M$8)*1
)</f>
        <v>-0.20000000000000018</v>
      </c>
      <c r="BQ37" s="74">
        <f t="shared" si="0"/>
        <v>-0.54000000000000026</v>
      </c>
    </row>
    <row r="38" spans="1:69" ht="15" customHeight="1" x14ac:dyDescent="0.2">
      <c r="A38" s="57">
        <v>35</v>
      </c>
      <c r="B38" s="29">
        <f>Hakemler!B38</f>
        <v>0</v>
      </c>
      <c r="C38" s="29">
        <f>Hakemler!C38</f>
        <v>0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2"/>
      <c r="O38" s="72"/>
      <c r="P38" s="73">
        <f>1 - (
    SUM(
        IF(D38-Uzman_D!$B$4&lt;0, -(D38-Uzman_D!$B$4), D38-Uzman_D!$B$4)*0.1 +
        IF(E38-Uzman_D!$C$4&lt;0, -(E38-Uzman_D!$C$4), E38-Uzman_D!$C$4)*0.1 +
        IF(F38-Uzman_D!$D$4&lt;0, -(F38-Uzman_D!$D$4), F38-Uzman_D!$D$4)*0.1 +
        IF(G38-Uzman_D!$E$4&lt;0, -(G38-Uzman_D!$E$4), G38-Uzman_D!$E$4)*0.1 +
        IF(H38-Uzman_D!$F$4&lt;0, -(H38-Uzman_D!$F$4), H38-Uzman_D!$F$4)*0.1 +
        IF(I38-Uzman_D!$G$4&lt;0, -(I38-Uzman_D!$G$4), I38-Uzman_D!$G$4)*0.1 +
        IF(J38-Uzman_D!$H$4&lt;0, -(J38-Uzman_D!$H$4), J38-Uzman_D!$H$4)*0.1 +
        IF(K38-Uzman_D!$I$4&lt;0, -(K38-Uzman_D!$I$4), K38-Uzman_D!$I$4)*0.1 +
        IF(L38-Uzman_D!$J$4&lt;0, -(L38-Uzman_D!$J$4), L38-Uzman_D!$J$4)*0.1
    ) +
    IF(ROUND((IF(N38-Uzman_D!$L$4&lt;0, -(N38-Uzman_D!$L$4), N38-Uzman_D!$L$4)*2),0)/2 = IF(N38-Uzman_D!$L$4&lt;0, -(N38-Uzman_D!$L$4), N38-Uzman_D!$L$4),
    (ROUND((IF(N38-Uzman_D!$L$4&lt;0, -(N38-Uzman_D!$L$4), N38-Uzman_D!$L$4)*2),0)/1 * 0.1), 0) +
    IF(O38-Uzman_D!$M$4&lt;0, -(O38-Uzman_D!$M$4), O38-Uzman_D!$M$4)*1
)</f>
        <v>-0.90000000000000013</v>
      </c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2"/>
      <c r="AB38" s="72"/>
      <c r="AC38" s="73">
        <f>1 - (
    SUM(
        IF(Q38-Uzman_D!$B$5&lt;0, -(Q38-Uzman_D!$B$5), Q38-Uzman_D!$B$5)*0.1 +
        IF(R38-Uzman_D!$C$5&lt;0, -(R38-Uzman_D!$C$5), R38-Uzman_D!$C$5)*0.1 +
        IF(S38-Uzman_D!$D$5&lt;0, -(S38-Uzman_D!$D$5), S38-Uzman_D!$D$5)*0.1 +
        IF(T38-Uzman_D!$E$5&lt;0, -(T38-Uzman_D!$E$5), T38-Uzman_D!$E$5)*0.1 +
        IF(U38-Uzman_D!$F$5&lt;0, -(U38-Uzman_D!$F$5), U38-Uzman_D!$F$5)*0.1 +
        IF(V38-Uzman_D!$G$5&lt;0, -(V38-Uzman_D!$G$5), V38-Uzman_D!$G$5)*0.1 +
        IF(W38-Uzman_D!$H$5&lt;0, -(W38-Uzman_D!$H$5), W38-Uzman_D!$H$5)*0.1 +
        IF(X38-Uzman_D!$I$5&lt;0, -(X38-Uzman_D!$I$5), X38-Uzman_D!$I$5)*0.1 +
        IF(Y38-Uzman_D!$J$5&lt;0, -(Y38-Uzman_D!$J$5), Y38-Uzman_D!$J$5)*0.1
    ) +
    IF(ROUND((IF(AA38-Uzman_D!$L$5&lt;0, -(AA38-Uzman_D!$L$5), AA38-Uzman_D!$L$5)*2),0)/2 = IF(AA38-Uzman_D!$L$5&lt;0, -(AA38-Uzman_D!$L$5), AA38-Uzman_D!$L$5),
    (ROUND((IF(AA38-Uzman_D!$L$5&lt;0, -(AA38-Uzman_D!$L$5), AA38-Uzman_D!$L$5)*2),0)/1 * 0.1), 0) +
    IF(AB38-Uzman_D!$M$5&lt;0, -(AB38-Uzman_D!$M$5), AB38-Uzman_D!$M$5)*1
)</f>
        <v>-0.50000000000000022</v>
      </c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2"/>
      <c r="AO38" s="72"/>
      <c r="AP38" s="73">
        <f>1 - (
    SUM(
        IF(AD38-Uzman_D!$B$6&lt;0, -(AD38-Uzman_D!$B$6), AD38-Uzman_D!$B$6)*0.1 +
        IF(AE38-Uzman_D!$C$6&lt;0, -(AE38-Uzman_D!$C$6), AE38-Uzman_D!$C$6)*0.1 +
        IF(AF38-Uzman_D!$D$6&lt;0, -(AF38-Uzman_D!$D$6), AF38-Uzman_D!$D$6)*0.1 +
        IF(AG38-Uzman_D!$E$6&lt;0, -(AG38-Uzman_D!$E$6), AG38-Uzman_D!$E$6)*0.1 +
        IF(AH38-Uzman_D!$F$6&lt;0, -(AH38-Uzman_D!$F$6), AH38-Uzman_D!$F$6)*0.1 +
        IF(AI38-Uzman_D!$G$6&lt;0, -(AI38-Uzman_D!$G$6), AI38-Uzman_D!$G$6)*0.1 +
        IF(AJ38-Uzman_D!$H$6&lt;0, -(AJ38-Uzman_D!$H$6), AJ38-Uzman_D!$H$6)*0.1 +
        IF(AK38-Uzman_D!$I$6&lt;0, -(AK38-Uzman_D!$I$6), AK38-Uzman_D!$I$6)*0.1 +
        IF(AL38-Uzman_D!$J$6&lt;0, -(AL38-Uzman_D!$J$6), AL38-Uzman_D!$J$6)*0.1
    ) +
    IF(ROUND((IF(AN38-Uzman_D!$L$6&lt;0, -(AN38-Uzman_D!$L$6), AN38-Uzman_D!$L$6)*2),0)/2 = IF(AN38-Uzman_D!$L$6&lt;0, -(AN38-Uzman_D!$L$6), AN38-Uzman_D!$L$6),
    (ROUND((IF(AN38-Uzman_D!$L$6&lt;0, -(AN38-Uzman_D!$L$6), AN38-Uzman_D!$L$6)*2),0)/1 * 0.1), 0) +
    IF(AO38-Uzman_D!$M$6&lt;0, -(AO38-Uzman_D!$M$6), AO38-Uzman_D!$M$6)*1
)</f>
        <v>-0.60000000000000009</v>
      </c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2"/>
      <c r="BB38" s="72"/>
      <c r="BC38" s="73">
        <f>1 - (
    SUM(
        IF(AQ38-Uzman_D!$B$7&lt;0, -(AQ38-Uzman_D!$B$7), AQ38-Uzman_D!$B$7)*0.1 +
        IF(AR38-Uzman_D!$C$7&lt;0, -(AR38-Uzman_D!$C$7), AR38-Uzman_D!$C$7)*0.1 +
        IF(AS38-Uzman_D!$D$7&lt;0, -(AS38-Uzman_D!$D$7), AS38-Uzman_D!$D$7)*0.1 +
        IF(AT38-Uzman_D!$E$7&lt;0, -(AT38-Uzman_D!$E$7), AT38-Uzman_D!$E$7)*0.1 +
        IF(AU38-Uzman_D!$F$7&lt;0, -(AU38-Uzman_D!$F$7), AU38-Uzman_D!$F$7)*0.1 +
        IF(AV38-Uzman_D!$G$7&lt;0, -(AV38-Uzman_D!$G$7), AV38-Uzman_D!$G$7)*0.1 +
        IF(AW38-Uzman_D!$H$7&lt;0, -(AW38-Uzman_D!$H$7), AW38-Uzman_D!$H$7)*0.1 +
        IF(AX38-Uzman_D!$I$7&lt;0, -(AX38-Uzman_D!$I$7), AX38-Uzman_D!$I$7)*0.1 +
        IF(AY38-Uzman_D!$J$7&lt;0, -(AY38-Uzman_D!$J$7), AY38-Uzman_D!$J$7)*0.1
    ) +
    IF(ROUND((IF(BA38-Uzman_D!$L$7&lt;0, -(BA38-Uzman_D!$L$7), BA38-Uzman_D!$L$7)*2),0)/2 = IF(BA38-Uzman_D!$L$7&lt;0, -(BA38-Uzman_D!$L$7), BA38-Uzman_D!$L$7),
    (ROUND((IF(BA38-Uzman_D!$L$7&lt;0, -(BA38-Uzman_D!$L$7), BA38-Uzman_D!$L$7)*2),0)/1 * 0.1), 0) +
    IF(BB38-Uzman_D!$M$7&lt;0, -(BB38-Uzman_D!$M$7), BB38-Uzman_D!$M$7)*1
)</f>
        <v>-0.50000000000000022</v>
      </c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2"/>
      <c r="BO38" s="72"/>
      <c r="BP38" s="73">
        <f>1 - (
    SUM(
        IF(BD38-Uzman_D!$B$8&lt;0, -(BD38-Uzman_D!$B$8), BD38-Uzman_D!$B$8)*0.1 +
        IF(BE38-Uzman_D!$C$8&lt;0, -(BE38-Uzman_D!$C$8), BE38-Uzman_D!$C$8)*0.1 +
        IF(BF38-Uzman_D!$D$8&lt;0, -(BF38-Uzman_D!$D$8), BF38-Uzman_D!$D$8)*0.1 +
        IF(BG38-Uzman_D!$E$8&lt;0, -(BG38-Uzman_D!$E$8), BG38-Uzman_D!$E$8)*0.1 +
        IF(BH38-Uzman_D!$F$8&lt;0, -(BH38-Uzman_D!$F$8), BH38-Uzman_D!$F$8)*0.1 +
        IF(BI38-Uzman_D!$G$8&lt;0, -(BI38-Uzman_D!$G$8), BI38-Uzman_D!$G$8)*0.1 +
        IF(BJ38-Uzman_D!$H$8&lt;0, -(BJ38-Uzman_D!$H$8), BJ38-Uzman_D!$H$8)*0.1 +
        IF(BK38-Uzman_D!$I$8&lt;0, -(BK38-Uzman_D!$I$8), BK38-Uzman_D!$I$8)*0.1 +
        IF(BL38-Uzman_D!$J$8&lt;0, -(BL38-Uzman_D!$J$8), BL38-Uzman_D!$J$8)*0.1
    ) +
    IF(ROUND((IF(BN38-Uzman_D!$L$8&lt;0, -(BN38-Uzman_D!$L$8), BN38-Uzman_D!$L$8)*2),0)/2 = IF(BN38-Uzman_D!$L$8&lt;0, -(BN38-Uzman_D!$L$8), BN38-Uzman_D!$L$8),
    (ROUND((IF(BN38-Uzman_D!$L$8&lt;0, -(BN38-Uzman_D!$L$8), BN38-Uzman_D!$L$8)*2),0)/1 * 0.1), 0) +
    IF(BO38-Uzman_D!$M$8&lt;0, -(BO38-Uzman_D!$M$8), BO38-Uzman_D!$M$8)*1
)</f>
        <v>-0.20000000000000018</v>
      </c>
      <c r="BQ38" s="74">
        <f t="shared" si="0"/>
        <v>-0.54000000000000026</v>
      </c>
    </row>
    <row r="39" spans="1:69" ht="15" customHeight="1" x14ac:dyDescent="0.2">
      <c r="A39" s="57">
        <v>36</v>
      </c>
      <c r="B39" s="29">
        <f>Hakemler!B39</f>
        <v>0</v>
      </c>
      <c r="C39" s="29">
        <f>Hakemler!C39</f>
        <v>0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2"/>
      <c r="O39" s="72"/>
      <c r="P39" s="73">
        <f>1 - (
    SUM(
        IF(D39-Uzman_D!$B$4&lt;0, -(D39-Uzman_D!$B$4), D39-Uzman_D!$B$4)*0.1 +
        IF(E39-Uzman_D!$C$4&lt;0, -(E39-Uzman_D!$C$4), E39-Uzman_D!$C$4)*0.1 +
        IF(F39-Uzman_D!$D$4&lt;0, -(F39-Uzman_D!$D$4), F39-Uzman_D!$D$4)*0.1 +
        IF(G39-Uzman_D!$E$4&lt;0, -(G39-Uzman_D!$E$4), G39-Uzman_D!$E$4)*0.1 +
        IF(H39-Uzman_D!$F$4&lt;0, -(H39-Uzman_D!$F$4), H39-Uzman_D!$F$4)*0.1 +
        IF(I39-Uzman_D!$G$4&lt;0, -(I39-Uzman_D!$G$4), I39-Uzman_D!$G$4)*0.1 +
        IF(J39-Uzman_D!$H$4&lt;0, -(J39-Uzman_D!$H$4), J39-Uzman_D!$H$4)*0.1 +
        IF(K39-Uzman_D!$I$4&lt;0, -(K39-Uzman_D!$I$4), K39-Uzman_D!$I$4)*0.1 +
        IF(L39-Uzman_D!$J$4&lt;0, -(L39-Uzman_D!$J$4), L39-Uzman_D!$J$4)*0.1
    ) +
    IF(ROUND((IF(N39-Uzman_D!$L$4&lt;0, -(N39-Uzman_D!$L$4), N39-Uzman_D!$L$4)*2),0)/2 = IF(N39-Uzman_D!$L$4&lt;0, -(N39-Uzman_D!$L$4), N39-Uzman_D!$L$4),
    (ROUND((IF(N39-Uzman_D!$L$4&lt;0, -(N39-Uzman_D!$L$4), N39-Uzman_D!$L$4)*2),0)/1 * 0.1), 0) +
    IF(O39-Uzman_D!$M$4&lt;0, -(O39-Uzman_D!$M$4), O39-Uzman_D!$M$4)*1
)</f>
        <v>-0.90000000000000013</v>
      </c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2"/>
      <c r="AB39" s="72"/>
      <c r="AC39" s="73">
        <f>1 - (
    SUM(
        IF(Q39-Uzman_D!$B$5&lt;0, -(Q39-Uzman_D!$B$5), Q39-Uzman_D!$B$5)*0.1 +
        IF(R39-Uzman_D!$C$5&lt;0, -(R39-Uzman_D!$C$5), R39-Uzman_D!$C$5)*0.1 +
        IF(S39-Uzman_D!$D$5&lt;0, -(S39-Uzman_D!$D$5), S39-Uzman_D!$D$5)*0.1 +
        IF(T39-Uzman_D!$E$5&lt;0, -(T39-Uzman_D!$E$5), T39-Uzman_D!$E$5)*0.1 +
        IF(U39-Uzman_D!$F$5&lt;0, -(U39-Uzman_D!$F$5), U39-Uzman_D!$F$5)*0.1 +
        IF(V39-Uzman_D!$G$5&lt;0, -(V39-Uzman_D!$G$5), V39-Uzman_D!$G$5)*0.1 +
        IF(W39-Uzman_D!$H$5&lt;0, -(W39-Uzman_D!$H$5), W39-Uzman_D!$H$5)*0.1 +
        IF(X39-Uzman_D!$I$5&lt;0, -(X39-Uzman_D!$I$5), X39-Uzman_D!$I$5)*0.1 +
        IF(Y39-Uzman_D!$J$5&lt;0, -(Y39-Uzman_D!$J$5), Y39-Uzman_D!$J$5)*0.1
    ) +
    IF(ROUND((IF(AA39-Uzman_D!$L$5&lt;0, -(AA39-Uzman_D!$L$5), AA39-Uzman_D!$L$5)*2),0)/2 = IF(AA39-Uzman_D!$L$5&lt;0, -(AA39-Uzman_D!$L$5), AA39-Uzman_D!$L$5),
    (ROUND((IF(AA39-Uzman_D!$L$5&lt;0, -(AA39-Uzman_D!$L$5), AA39-Uzman_D!$L$5)*2),0)/1 * 0.1), 0) +
    IF(AB39-Uzman_D!$M$5&lt;0, -(AB39-Uzman_D!$M$5), AB39-Uzman_D!$M$5)*1
)</f>
        <v>-0.50000000000000022</v>
      </c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2"/>
      <c r="AO39" s="72"/>
      <c r="AP39" s="73">
        <f>1 - (
    SUM(
        IF(AD39-Uzman_D!$B$6&lt;0, -(AD39-Uzman_D!$B$6), AD39-Uzman_D!$B$6)*0.1 +
        IF(AE39-Uzman_D!$C$6&lt;0, -(AE39-Uzman_D!$C$6), AE39-Uzman_D!$C$6)*0.1 +
        IF(AF39-Uzman_D!$D$6&lt;0, -(AF39-Uzman_D!$D$6), AF39-Uzman_D!$D$6)*0.1 +
        IF(AG39-Uzman_D!$E$6&lt;0, -(AG39-Uzman_D!$E$6), AG39-Uzman_D!$E$6)*0.1 +
        IF(AH39-Uzman_D!$F$6&lt;0, -(AH39-Uzman_D!$F$6), AH39-Uzman_D!$F$6)*0.1 +
        IF(AI39-Uzman_D!$G$6&lt;0, -(AI39-Uzman_D!$G$6), AI39-Uzman_D!$G$6)*0.1 +
        IF(AJ39-Uzman_D!$H$6&lt;0, -(AJ39-Uzman_D!$H$6), AJ39-Uzman_D!$H$6)*0.1 +
        IF(AK39-Uzman_D!$I$6&lt;0, -(AK39-Uzman_D!$I$6), AK39-Uzman_D!$I$6)*0.1 +
        IF(AL39-Uzman_D!$J$6&lt;0, -(AL39-Uzman_D!$J$6), AL39-Uzman_D!$J$6)*0.1
    ) +
    IF(ROUND((IF(AN39-Uzman_D!$L$6&lt;0, -(AN39-Uzman_D!$L$6), AN39-Uzman_D!$L$6)*2),0)/2 = IF(AN39-Uzman_D!$L$6&lt;0, -(AN39-Uzman_D!$L$6), AN39-Uzman_D!$L$6),
    (ROUND((IF(AN39-Uzman_D!$L$6&lt;0, -(AN39-Uzman_D!$L$6), AN39-Uzman_D!$L$6)*2),0)/1 * 0.1), 0) +
    IF(AO39-Uzman_D!$M$6&lt;0, -(AO39-Uzman_D!$M$6), AO39-Uzman_D!$M$6)*1
)</f>
        <v>-0.60000000000000009</v>
      </c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2"/>
      <c r="BB39" s="72"/>
      <c r="BC39" s="73">
        <f>1 - (
    SUM(
        IF(AQ39-Uzman_D!$B$7&lt;0, -(AQ39-Uzman_D!$B$7), AQ39-Uzman_D!$B$7)*0.1 +
        IF(AR39-Uzman_D!$C$7&lt;0, -(AR39-Uzman_D!$C$7), AR39-Uzman_D!$C$7)*0.1 +
        IF(AS39-Uzman_D!$D$7&lt;0, -(AS39-Uzman_D!$D$7), AS39-Uzman_D!$D$7)*0.1 +
        IF(AT39-Uzman_D!$E$7&lt;0, -(AT39-Uzman_D!$E$7), AT39-Uzman_D!$E$7)*0.1 +
        IF(AU39-Uzman_D!$F$7&lt;0, -(AU39-Uzman_D!$F$7), AU39-Uzman_D!$F$7)*0.1 +
        IF(AV39-Uzman_D!$G$7&lt;0, -(AV39-Uzman_D!$G$7), AV39-Uzman_D!$G$7)*0.1 +
        IF(AW39-Uzman_D!$H$7&lt;0, -(AW39-Uzman_D!$H$7), AW39-Uzman_D!$H$7)*0.1 +
        IF(AX39-Uzman_D!$I$7&lt;0, -(AX39-Uzman_D!$I$7), AX39-Uzman_D!$I$7)*0.1 +
        IF(AY39-Uzman_D!$J$7&lt;0, -(AY39-Uzman_D!$J$7), AY39-Uzman_D!$J$7)*0.1
    ) +
    IF(ROUND((IF(BA39-Uzman_D!$L$7&lt;0, -(BA39-Uzman_D!$L$7), BA39-Uzman_D!$L$7)*2),0)/2 = IF(BA39-Uzman_D!$L$7&lt;0, -(BA39-Uzman_D!$L$7), BA39-Uzman_D!$L$7),
    (ROUND((IF(BA39-Uzman_D!$L$7&lt;0, -(BA39-Uzman_D!$L$7), BA39-Uzman_D!$L$7)*2),0)/1 * 0.1), 0) +
    IF(BB39-Uzman_D!$M$7&lt;0, -(BB39-Uzman_D!$M$7), BB39-Uzman_D!$M$7)*1
)</f>
        <v>-0.50000000000000022</v>
      </c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2"/>
      <c r="BO39" s="72"/>
      <c r="BP39" s="73">
        <f>1 - (
    SUM(
        IF(BD39-Uzman_D!$B$8&lt;0, -(BD39-Uzman_D!$B$8), BD39-Uzman_D!$B$8)*0.1 +
        IF(BE39-Uzman_D!$C$8&lt;0, -(BE39-Uzman_D!$C$8), BE39-Uzman_D!$C$8)*0.1 +
        IF(BF39-Uzman_D!$D$8&lt;0, -(BF39-Uzman_D!$D$8), BF39-Uzman_D!$D$8)*0.1 +
        IF(BG39-Uzman_D!$E$8&lt;0, -(BG39-Uzman_D!$E$8), BG39-Uzman_D!$E$8)*0.1 +
        IF(BH39-Uzman_D!$F$8&lt;0, -(BH39-Uzman_D!$F$8), BH39-Uzman_D!$F$8)*0.1 +
        IF(BI39-Uzman_D!$G$8&lt;0, -(BI39-Uzman_D!$G$8), BI39-Uzman_D!$G$8)*0.1 +
        IF(BJ39-Uzman_D!$H$8&lt;0, -(BJ39-Uzman_D!$H$8), BJ39-Uzman_D!$H$8)*0.1 +
        IF(BK39-Uzman_D!$I$8&lt;0, -(BK39-Uzman_D!$I$8), BK39-Uzman_D!$I$8)*0.1 +
        IF(BL39-Uzman_D!$J$8&lt;0, -(BL39-Uzman_D!$J$8), BL39-Uzman_D!$J$8)*0.1
    ) +
    IF(ROUND((IF(BN39-Uzman_D!$L$8&lt;0, -(BN39-Uzman_D!$L$8), BN39-Uzman_D!$L$8)*2),0)/2 = IF(BN39-Uzman_D!$L$8&lt;0, -(BN39-Uzman_D!$L$8), BN39-Uzman_D!$L$8),
    (ROUND((IF(BN39-Uzman_D!$L$8&lt;0, -(BN39-Uzman_D!$L$8), BN39-Uzman_D!$L$8)*2),0)/1 * 0.1), 0) +
    IF(BO39-Uzman_D!$M$8&lt;0, -(BO39-Uzman_D!$M$8), BO39-Uzman_D!$M$8)*1
)</f>
        <v>-0.20000000000000018</v>
      </c>
      <c r="BQ39" s="74">
        <f t="shared" si="0"/>
        <v>-0.54000000000000026</v>
      </c>
    </row>
    <row r="40" spans="1:69" ht="15" customHeight="1" x14ac:dyDescent="0.2">
      <c r="A40" s="57">
        <v>37</v>
      </c>
      <c r="B40" s="37">
        <f>Hakemler!B40</f>
        <v>0</v>
      </c>
      <c r="C40" s="37">
        <f>Hakemler!C40</f>
        <v>0</v>
      </c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2"/>
      <c r="O40" s="72"/>
      <c r="P40" s="73">
        <f>1 - (
    SUM(
        IF(D40-Uzman_D!$B$4&lt;0, -(D40-Uzman_D!$B$4), D40-Uzman_D!$B$4)*0.1 +
        IF(E40-Uzman_D!$C$4&lt;0, -(E40-Uzman_D!$C$4), E40-Uzman_D!$C$4)*0.1 +
        IF(F40-Uzman_D!$D$4&lt;0, -(F40-Uzman_D!$D$4), F40-Uzman_D!$D$4)*0.1 +
        IF(G40-Uzman_D!$E$4&lt;0, -(G40-Uzman_D!$E$4), G40-Uzman_D!$E$4)*0.1 +
        IF(H40-Uzman_D!$F$4&lt;0, -(H40-Uzman_D!$F$4), H40-Uzman_D!$F$4)*0.1 +
        IF(I40-Uzman_D!$G$4&lt;0, -(I40-Uzman_D!$G$4), I40-Uzman_D!$G$4)*0.1 +
        IF(J40-Uzman_D!$H$4&lt;0, -(J40-Uzman_D!$H$4), J40-Uzman_D!$H$4)*0.1 +
        IF(K40-Uzman_D!$I$4&lt;0, -(K40-Uzman_D!$I$4), K40-Uzman_D!$I$4)*0.1 +
        IF(L40-Uzman_D!$J$4&lt;0, -(L40-Uzman_D!$J$4), L40-Uzman_D!$J$4)*0.1
    ) +
    IF(ROUND((IF(N40-Uzman_D!$L$4&lt;0, -(N40-Uzman_D!$L$4), N40-Uzman_D!$L$4)*2),0)/2 = IF(N40-Uzman_D!$L$4&lt;0, -(N40-Uzman_D!$L$4), N40-Uzman_D!$L$4),
    (ROUND((IF(N40-Uzman_D!$L$4&lt;0, -(N40-Uzman_D!$L$4), N40-Uzman_D!$L$4)*2),0)/1 * 0.1), 0) +
    IF(O40-Uzman_D!$M$4&lt;0, -(O40-Uzman_D!$M$4), O40-Uzman_D!$M$4)*1
)</f>
        <v>-0.90000000000000013</v>
      </c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2"/>
      <c r="AB40" s="72"/>
      <c r="AC40" s="73">
        <f>1 - (
    SUM(
        IF(Q40-Uzman_D!$B$5&lt;0, -(Q40-Uzman_D!$B$5), Q40-Uzman_D!$B$5)*0.1 +
        IF(R40-Uzman_D!$C$5&lt;0, -(R40-Uzman_D!$C$5), R40-Uzman_D!$C$5)*0.1 +
        IF(S40-Uzman_D!$D$5&lt;0, -(S40-Uzman_D!$D$5), S40-Uzman_D!$D$5)*0.1 +
        IF(T40-Uzman_D!$E$5&lt;0, -(T40-Uzman_D!$E$5), T40-Uzman_D!$E$5)*0.1 +
        IF(U40-Uzman_D!$F$5&lt;0, -(U40-Uzman_D!$F$5), U40-Uzman_D!$F$5)*0.1 +
        IF(V40-Uzman_D!$G$5&lt;0, -(V40-Uzman_D!$G$5), V40-Uzman_D!$G$5)*0.1 +
        IF(W40-Uzman_D!$H$5&lt;0, -(W40-Uzman_D!$H$5), W40-Uzman_D!$H$5)*0.1 +
        IF(X40-Uzman_D!$I$5&lt;0, -(X40-Uzman_D!$I$5), X40-Uzman_D!$I$5)*0.1 +
        IF(Y40-Uzman_D!$J$5&lt;0, -(Y40-Uzman_D!$J$5), Y40-Uzman_D!$J$5)*0.1
    ) +
    IF(ROUND((IF(AA40-Uzman_D!$L$5&lt;0, -(AA40-Uzman_D!$L$5), AA40-Uzman_D!$L$5)*2),0)/2 = IF(AA40-Uzman_D!$L$5&lt;0, -(AA40-Uzman_D!$L$5), AA40-Uzman_D!$L$5),
    (ROUND((IF(AA40-Uzman_D!$L$5&lt;0, -(AA40-Uzman_D!$L$5), AA40-Uzman_D!$L$5)*2),0)/1 * 0.1), 0) +
    IF(AB40-Uzman_D!$M$5&lt;0, -(AB40-Uzman_D!$M$5), AB40-Uzman_D!$M$5)*1
)</f>
        <v>-0.50000000000000022</v>
      </c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2"/>
      <c r="AO40" s="72"/>
      <c r="AP40" s="73">
        <f>1 - (
    SUM(
        IF(AD40-Uzman_D!$B$6&lt;0, -(AD40-Uzman_D!$B$6), AD40-Uzman_D!$B$6)*0.1 +
        IF(AE40-Uzman_D!$C$6&lt;0, -(AE40-Uzman_D!$C$6), AE40-Uzman_D!$C$6)*0.1 +
        IF(AF40-Uzman_D!$D$6&lt;0, -(AF40-Uzman_D!$D$6), AF40-Uzman_D!$D$6)*0.1 +
        IF(AG40-Uzman_D!$E$6&lt;0, -(AG40-Uzman_D!$E$6), AG40-Uzman_D!$E$6)*0.1 +
        IF(AH40-Uzman_D!$F$6&lt;0, -(AH40-Uzman_D!$F$6), AH40-Uzman_D!$F$6)*0.1 +
        IF(AI40-Uzman_D!$G$6&lt;0, -(AI40-Uzman_D!$G$6), AI40-Uzman_D!$G$6)*0.1 +
        IF(AJ40-Uzman_D!$H$6&lt;0, -(AJ40-Uzman_D!$H$6), AJ40-Uzman_D!$H$6)*0.1 +
        IF(AK40-Uzman_D!$I$6&lt;0, -(AK40-Uzman_D!$I$6), AK40-Uzman_D!$I$6)*0.1 +
        IF(AL40-Uzman_D!$J$6&lt;0, -(AL40-Uzman_D!$J$6), AL40-Uzman_D!$J$6)*0.1
    ) +
    IF(ROUND((IF(AN40-Uzman_D!$L$6&lt;0, -(AN40-Uzman_D!$L$6), AN40-Uzman_D!$L$6)*2),0)/2 = IF(AN40-Uzman_D!$L$6&lt;0, -(AN40-Uzman_D!$L$6), AN40-Uzman_D!$L$6),
    (ROUND((IF(AN40-Uzman_D!$L$6&lt;0, -(AN40-Uzman_D!$L$6), AN40-Uzman_D!$L$6)*2),0)/1 * 0.1), 0) +
    IF(AO40-Uzman_D!$M$6&lt;0, -(AO40-Uzman_D!$M$6), AO40-Uzman_D!$M$6)*1
)</f>
        <v>-0.60000000000000009</v>
      </c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2"/>
      <c r="BB40" s="72"/>
      <c r="BC40" s="73">
        <f>1 - (
    SUM(
        IF(AQ40-Uzman_D!$B$7&lt;0, -(AQ40-Uzman_D!$B$7), AQ40-Uzman_D!$B$7)*0.1 +
        IF(AR40-Uzman_D!$C$7&lt;0, -(AR40-Uzman_D!$C$7), AR40-Uzman_D!$C$7)*0.1 +
        IF(AS40-Uzman_D!$D$7&lt;0, -(AS40-Uzman_D!$D$7), AS40-Uzman_D!$D$7)*0.1 +
        IF(AT40-Uzman_D!$E$7&lt;0, -(AT40-Uzman_D!$E$7), AT40-Uzman_D!$E$7)*0.1 +
        IF(AU40-Uzman_D!$F$7&lt;0, -(AU40-Uzman_D!$F$7), AU40-Uzman_D!$F$7)*0.1 +
        IF(AV40-Uzman_D!$G$7&lt;0, -(AV40-Uzman_D!$G$7), AV40-Uzman_D!$G$7)*0.1 +
        IF(AW40-Uzman_D!$H$7&lt;0, -(AW40-Uzman_D!$H$7), AW40-Uzman_D!$H$7)*0.1 +
        IF(AX40-Uzman_D!$I$7&lt;0, -(AX40-Uzman_D!$I$7), AX40-Uzman_D!$I$7)*0.1 +
        IF(AY40-Uzman_D!$J$7&lt;0, -(AY40-Uzman_D!$J$7), AY40-Uzman_D!$J$7)*0.1
    ) +
    IF(ROUND((IF(BA40-Uzman_D!$L$7&lt;0, -(BA40-Uzman_D!$L$7), BA40-Uzman_D!$L$7)*2),0)/2 = IF(BA40-Uzman_D!$L$7&lt;0, -(BA40-Uzman_D!$L$7), BA40-Uzman_D!$L$7),
    (ROUND((IF(BA40-Uzman_D!$L$7&lt;0, -(BA40-Uzman_D!$L$7), BA40-Uzman_D!$L$7)*2),0)/1 * 0.1), 0) +
    IF(BB40-Uzman_D!$M$7&lt;0, -(BB40-Uzman_D!$M$7), BB40-Uzman_D!$M$7)*1
)</f>
        <v>-0.50000000000000022</v>
      </c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2"/>
      <c r="BO40" s="72"/>
      <c r="BP40" s="73">
        <f>1 - (
    SUM(
        IF(BD40-Uzman_D!$B$8&lt;0, -(BD40-Uzman_D!$B$8), BD40-Uzman_D!$B$8)*0.1 +
        IF(BE40-Uzman_D!$C$8&lt;0, -(BE40-Uzman_D!$C$8), BE40-Uzman_D!$C$8)*0.1 +
        IF(BF40-Uzman_D!$D$8&lt;0, -(BF40-Uzman_D!$D$8), BF40-Uzman_D!$D$8)*0.1 +
        IF(BG40-Uzman_D!$E$8&lt;0, -(BG40-Uzman_D!$E$8), BG40-Uzman_D!$E$8)*0.1 +
        IF(BH40-Uzman_D!$F$8&lt;0, -(BH40-Uzman_D!$F$8), BH40-Uzman_D!$F$8)*0.1 +
        IF(BI40-Uzman_D!$G$8&lt;0, -(BI40-Uzman_D!$G$8), BI40-Uzman_D!$G$8)*0.1 +
        IF(BJ40-Uzman_D!$H$8&lt;0, -(BJ40-Uzman_D!$H$8), BJ40-Uzman_D!$H$8)*0.1 +
        IF(BK40-Uzman_D!$I$8&lt;0, -(BK40-Uzman_D!$I$8), BK40-Uzman_D!$I$8)*0.1 +
        IF(BL40-Uzman_D!$J$8&lt;0, -(BL40-Uzman_D!$J$8), BL40-Uzman_D!$J$8)*0.1
    ) +
    IF(ROUND((IF(BN40-Uzman_D!$L$8&lt;0, -(BN40-Uzman_D!$L$8), BN40-Uzman_D!$L$8)*2),0)/2 = IF(BN40-Uzman_D!$L$8&lt;0, -(BN40-Uzman_D!$L$8), BN40-Uzman_D!$L$8),
    (ROUND((IF(BN40-Uzman_D!$L$8&lt;0, -(BN40-Uzman_D!$L$8), BN40-Uzman_D!$L$8)*2),0)/1 * 0.1), 0) +
    IF(BO40-Uzman_D!$M$8&lt;0, -(BO40-Uzman_D!$M$8), BO40-Uzman_D!$M$8)*1
)</f>
        <v>-0.20000000000000018</v>
      </c>
      <c r="BQ40" s="74">
        <f t="shared" si="0"/>
        <v>-0.54000000000000026</v>
      </c>
    </row>
    <row r="41" spans="1:69" ht="15" customHeight="1" x14ac:dyDescent="0.2">
      <c r="A41" s="57">
        <v>38</v>
      </c>
      <c r="B41" s="37">
        <f>Hakemler!B41</f>
        <v>0</v>
      </c>
      <c r="C41" s="37">
        <f>Hakemler!C41</f>
        <v>0</v>
      </c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2"/>
      <c r="O41" s="72"/>
      <c r="P41" s="73">
        <f>1 - (
    SUM(
        IF(D41-Uzman_D!$B$4&lt;0, -(D41-Uzman_D!$B$4), D41-Uzman_D!$B$4)*0.1 +
        IF(E41-Uzman_D!$C$4&lt;0, -(E41-Uzman_D!$C$4), E41-Uzman_D!$C$4)*0.1 +
        IF(F41-Uzman_D!$D$4&lt;0, -(F41-Uzman_D!$D$4), F41-Uzman_D!$D$4)*0.1 +
        IF(G41-Uzman_D!$E$4&lt;0, -(G41-Uzman_D!$E$4), G41-Uzman_D!$E$4)*0.1 +
        IF(H41-Uzman_D!$F$4&lt;0, -(H41-Uzman_D!$F$4), H41-Uzman_D!$F$4)*0.1 +
        IF(I41-Uzman_D!$G$4&lt;0, -(I41-Uzman_D!$G$4), I41-Uzman_D!$G$4)*0.1 +
        IF(J41-Uzman_D!$H$4&lt;0, -(J41-Uzman_D!$H$4), J41-Uzman_D!$H$4)*0.1 +
        IF(K41-Uzman_D!$I$4&lt;0, -(K41-Uzman_D!$I$4), K41-Uzman_D!$I$4)*0.1 +
        IF(L41-Uzman_D!$J$4&lt;0, -(L41-Uzman_D!$J$4), L41-Uzman_D!$J$4)*0.1
    ) +
    IF(ROUND((IF(N41-Uzman_D!$L$4&lt;0, -(N41-Uzman_D!$L$4), N41-Uzman_D!$L$4)*2),0)/2 = IF(N41-Uzman_D!$L$4&lt;0, -(N41-Uzman_D!$L$4), N41-Uzman_D!$L$4),
    (ROUND((IF(N41-Uzman_D!$L$4&lt;0, -(N41-Uzman_D!$L$4), N41-Uzman_D!$L$4)*2),0)/1 * 0.1), 0) +
    IF(O41-Uzman_D!$M$4&lt;0, -(O41-Uzman_D!$M$4), O41-Uzman_D!$M$4)*1
)</f>
        <v>-0.90000000000000013</v>
      </c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2"/>
      <c r="AB41" s="72"/>
      <c r="AC41" s="73">
        <f>1 - (
    SUM(
        IF(Q41-Uzman_D!$B$5&lt;0, -(Q41-Uzman_D!$B$5), Q41-Uzman_D!$B$5)*0.1 +
        IF(R41-Uzman_D!$C$5&lt;0, -(R41-Uzman_D!$C$5), R41-Uzman_D!$C$5)*0.1 +
        IF(S41-Uzman_D!$D$5&lt;0, -(S41-Uzman_D!$D$5), S41-Uzman_D!$D$5)*0.1 +
        IF(T41-Uzman_D!$E$5&lt;0, -(T41-Uzman_D!$E$5), T41-Uzman_D!$E$5)*0.1 +
        IF(U41-Uzman_D!$F$5&lt;0, -(U41-Uzman_D!$F$5), U41-Uzman_D!$F$5)*0.1 +
        IF(V41-Uzman_D!$G$5&lt;0, -(V41-Uzman_D!$G$5), V41-Uzman_D!$G$5)*0.1 +
        IF(W41-Uzman_D!$H$5&lt;0, -(W41-Uzman_D!$H$5), W41-Uzman_D!$H$5)*0.1 +
        IF(X41-Uzman_D!$I$5&lt;0, -(X41-Uzman_D!$I$5), X41-Uzman_D!$I$5)*0.1 +
        IF(Y41-Uzman_D!$J$5&lt;0, -(Y41-Uzman_D!$J$5), Y41-Uzman_D!$J$5)*0.1
    ) +
    IF(ROUND((IF(AA41-Uzman_D!$L$5&lt;0, -(AA41-Uzman_D!$L$5), AA41-Uzman_D!$L$5)*2),0)/2 = IF(AA41-Uzman_D!$L$5&lt;0, -(AA41-Uzman_D!$L$5), AA41-Uzman_D!$L$5),
    (ROUND((IF(AA41-Uzman_D!$L$5&lt;0, -(AA41-Uzman_D!$L$5), AA41-Uzman_D!$L$5)*2),0)/1 * 0.1), 0) +
    IF(AB41-Uzman_D!$M$5&lt;0, -(AB41-Uzman_D!$M$5), AB41-Uzman_D!$M$5)*1
)</f>
        <v>-0.50000000000000022</v>
      </c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2"/>
      <c r="AO41" s="72"/>
      <c r="AP41" s="73">
        <f>1 - (
    SUM(
        IF(AD41-Uzman_D!$B$6&lt;0, -(AD41-Uzman_D!$B$6), AD41-Uzman_D!$B$6)*0.1 +
        IF(AE41-Uzman_D!$C$6&lt;0, -(AE41-Uzman_D!$C$6), AE41-Uzman_D!$C$6)*0.1 +
        IF(AF41-Uzman_D!$D$6&lt;0, -(AF41-Uzman_D!$D$6), AF41-Uzman_D!$D$6)*0.1 +
        IF(AG41-Uzman_D!$E$6&lt;0, -(AG41-Uzman_D!$E$6), AG41-Uzman_D!$E$6)*0.1 +
        IF(AH41-Uzman_D!$F$6&lt;0, -(AH41-Uzman_D!$F$6), AH41-Uzman_D!$F$6)*0.1 +
        IF(AI41-Uzman_D!$G$6&lt;0, -(AI41-Uzman_D!$G$6), AI41-Uzman_D!$G$6)*0.1 +
        IF(AJ41-Uzman_D!$H$6&lt;0, -(AJ41-Uzman_D!$H$6), AJ41-Uzman_D!$H$6)*0.1 +
        IF(AK41-Uzman_D!$I$6&lt;0, -(AK41-Uzman_D!$I$6), AK41-Uzman_D!$I$6)*0.1 +
        IF(AL41-Uzman_D!$J$6&lt;0, -(AL41-Uzman_D!$J$6), AL41-Uzman_D!$J$6)*0.1
    ) +
    IF(ROUND((IF(AN41-Uzman_D!$L$6&lt;0, -(AN41-Uzman_D!$L$6), AN41-Uzman_D!$L$6)*2),0)/2 = IF(AN41-Uzman_D!$L$6&lt;0, -(AN41-Uzman_D!$L$6), AN41-Uzman_D!$L$6),
    (ROUND((IF(AN41-Uzman_D!$L$6&lt;0, -(AN41-Uzman_D!$L$6), AN41-Uzman_D!$L$6)*2),0)/1 * 0.1), 0) +
    IF(AO41-Uzman_D!$M$6&lt;0, -(AO41-Uzman_D!$M$6), AO41-Uzman_D!$M$6)*1
)</f>
        <v>-0.60000000000000009</v>
      </c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2"/>
      <c r="BB41" s="72"/>
      <c r="BC41" s="73">
        <f>1 - (
    SUM(
        IF(AQ41-Uzman_D!$B$7&lt;0, -(AQ41-Uzman_D!$B$7), AQ41-Uzman_D!$B$7)*0.1 +
        IF(AR41-Uzman_D!$C$7&lt;0, -(AR41-Uzman_D!$C$7), AR41-Uzman_D!$C$7)*0.1 +
        IF(AS41-Uzman_D!$D$7&lt;0, -(AS41-Uzman_D!$D$7), AS41-Uzman_D!$D$7)*0.1 +
        IF(AT41-Uzman_D!$E$7&lt;0, -(AT41-Uzman_D!$E$7), AT41-Uzman_D!$E$7)*0.1 +
        IF(AU41-Uzman_D!$F$7&lt;0, -(AU41-Uzman_D!$F$7), AU41-Uzman_D!$F$7)*0.1 +
        IF(AV41-Uzman_D!$G$7&lt;0, -(AV41-Uzman_D!$G$7), AV41-Uzman_D!$G$7)*0.1 +
        IF(AW41-Uzman_D!$H$7&lt;0, -(AW41-Uzman_D!$H$7), AW41-Uzman_D!$H$7)*0.1 +
        IF(AX41-Uzman_D!$I$7&lt;0, -(AX41-Uzman_D!$I$7), AX41-Uzman_D!$I$7)*0.1 +
        IF(AY41-Uzman_D!$J$7&lt;0, -(AY41-Uzman_D!$J$7), AY41-Uzman_D!$J$7)*0.1
    ) +
    IF(ROUND((IF(BA41-Uzman_D!$L$7&lt;0, -(BA41-Uzman_D!$L$7), BA41-Uzman_D!$L$7)*2),0)/2 = IF(BA41-Uzman_D!$L$7&lt;0, -(BA41-Uzman_D!$L$7), BA41-Uzman_D!$L$7),
    (ROUND((IF(BA41-Uzman_D!$L$7&lt;0, -(BA41-Uzman_D!$L$7), BA41-Uzman_D!$L$7)*2),0)/1 * 0.1), 0) +
    IF(BB41-Uzman_D!$M$7&lt;0, -(BB41-Uzman_D!$M$7), BB41-Uzman_D!$M$7)*1
)</f>
        <v>-0.50000000000000022</v>
      </c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2"/>
      <c r="BO41" s="72"/>
      <c r="BP41" s="73">
        <f>1 - (
    SUM(
        IF(BD41-Uzman_D!$B$8&lt;0, -(BD41-Uzman_D!$B$8), BD41-Uzman_D!$B$8)*0.1 +
        IF(BE41-Uzman_D!$C$8&lt;0, -(BE41-Uzman_D!$C$8), BE41-Uzman_D!$C$8)*0.1 +
        IF(BF41-Uzman_D!$D$8&lt;0, -(BF41-Uzman_D!$D$8), BF41-Uzman_D!$D$8)*0.1 +
        IF(BG41-Uzman_D!$E$8&lt;0, -(BG41-Uzman_D!$E$8), BG41-Uzman_D!$E$8)*0.1 +
        IF(BH41-Uzman_D!$F$8&lt;0, -(BH41-Uzman_D!$F$8), BH41-Uzman_D!$F$8)*0.1 +
        IF(BI41-Uzman_D!$G$8&lt;0, -(BI41-Uzman_D!$G$8), BI41-Uzman_D!$G$8)*0.1 +
        IF(BJ41-Uzman_D!$H$8&lt;0, -(BJ41-Uzman_D!$H$8), BJ41-Uzman_D!$H$8)*0.1 +
        IF(BK41-Uzman_D!$I$8&lt;0, -(BK41-Uzman_D!$I$8), BK41-Uzman_D!$I$8)*0.1 +
        IF(BL41-Uzman_D!$J$8&lt;0, -(BL41-Uzman_D!$J$8), BL41-Uzman_D!$J$8)*0.1
    ) +
    IF(ROUND((IF(BN41-Uzman_D!$L$8&lt;0, -(BN41-Uzman_D!$L$8), BN41-Uzman_D!$L$8)*2),0)/2 = IF(BN41-Uzman_D!$L$8&lt;0, -(BN41-Uzman_D!$L$8), BN41-Uzman_D!$L$8),
    (ROUND((IF(BN41-Uzman_D!$L$8&lt;0, -(BN41-Uzman_D!$L$8), BN41-Uzman_D!$L$8)*2),0)/1 * 0.1), 0) +
    IF(BO41-Uzman_D!$M$8&lt;0, -(BO41-Uzman_D!$M$8), BO41-Uzman_D!$M$8)*1
)</f>
        <v>-0.20000000000000018</v>
      </c>
      <c r="BQ41" s="74">
        <f t="shared" si="0"/>
        <v>-0.54000000000000026</v>
      </c>
    </row>
    <row r="42" spans="1:69" ht="15" customHeight="1" x14ac:dyDescent="0.2">
      <c r="A42" s="57">
        <v>39</v>
      </c>
      <c r="B42" s="37">
        <f>Hakemler!B42</f>
        <v>0</v>
      </c>
      <c r="C42" s="37">
        <f>Hakemler!C42</f>
        <v>0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2"/>
      <c r="O42" s="72"/>
      <c r="P42" s="73">
        <f>1 - (
    SUM(
        IF(D42-Uzman_D!$B$4&lt;0, -(D42-Uzman_D!$B$4), D42-Uzman_D!$B$4)*0.1 +
        IF(E42-Uzman_D!$C$4&lt;0, -(E42-Uzman_D!$C$4), E42-Uzman_D!$C$4)*0.1 +
        IF(F42-Uzman_D!$D$4&lt;0, -(F42-Uzman_D!$D$4), F42-Uzman_D!$D$4)*0.1 +
        IF(G42-Uzman_D!$E$4&lt;0, -(G42-Uzman_D!$E$4), G42-Uzman_D!$E$4)*0.1 +
        IF(H42-Uzman_D!$F$4&lt;0, -(H42-Uzman_D!$F$4), H42-Uzman_D!$F$4)*0.1 +
        IF(I42-Uzman_D!$G$4&lt;0, -(I42-Uzman_D!$G$4), I42-Uzman_D!$G$4)*0.1 +
        IF(J42-Uzman_D!$H$4&lt;0, -(J42-Uzman_D!$H$4), J42-Uzman_D!$H$4)*0.1 +
        IF(K42-Uzman_D!$I$4&lt;0, -(K42-Uzman_D!$I$4), K42-Uzman_D!$I$4)*0.1 +
        IF(L42-Uzman_D!$J$4&lt;0, -(L42-Uzman_D!$J$4), L42-Uzman_D!$J$4)*0.1
    ) +
    IF(ROUND((IF(N42-Uzman_D!$L$4&lt;0, -(N42-Uzman_D!$L$4), N42-Uzman_D!$L$4)*2),0)/2 = IF(N42-Uzman_D!$L$4&lt;0, -(N42-Uzman_D!$L$4), N42-Uzman_D!$L$4),
    (ROUND((IF(N42-Uzman_D!$L$4&lt;0, -(N42-Uzman_D!$L$4), N42-Uzman_D!$L$4)*2),0)/1 * 0.1), 0) +
    IF(O42-Uzman_D!$M$4&lt;0, -(O42-Uzman_D!$M$4), O42-Uzman_D!$M$4)*1
)</f>
        <v>-0.90000000000000013</v>
      </c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2"/>
      <c r="AB42" s="72"/>
      <c r="AC42" s="73">
        <f>1 - (
    SUM(
        IF(Q42-Uzman_D!$B$5&lt;0, -(Q42-Uzman_D!$B$5), Q42-Uzman_D!$B$5)*0.1 +
        IF(R42-Uzman_D!$C$5&lt;0, -(R42-Uzman_D!$C$5), R42-Uzman_D!$C$5)*0.1 +
        IF(S42-Uzman_D!$D$5&lt;0, -(S42-Uzman_D!$D$5), S42-Uzman_D!$D$5)*0.1 +
        IF(T42-Uzman_D!$E$5&lt;0, -(T42-Uzman_D!$E$5), T42-Uzman_D!$E$5)*0.1 +
        IF(U42-Uzman_D!$F$5&lt;0, -(U42-Uzman_D!$F$5), U42-Uzman_D!$F$5)*0.1 +
        IF(V42-Uzman_D!$G$5&lt;0, -(V42-Uzman_D!$G$5), V42-Uzman_D!$G$5)*0.1 +
        IF(W42-Uzman_D!$H$5&lt;0, -(W42-Uzman_D!$H$5), W42-Uzman_D!$H$5)*0.1 +
        IF(X42-Uzman_D!$I$5&lt;0, -(X42-Uzman_D!$I$5), X42-Uzman_D!$I$5)*0.1 +
        IF(Y42-Uzman_D!$J$5&lt;0, -(Y42-Uzman_D!$J$5), Y42-Uzman_D!$J$5)*0.1
    ) +
    IF(ROUND((IF(AA42-Uzman_D!$L$5&lt;0, -(AA42-Uzman_D!$L$5), AA42-Uzman_D!$L$5)*2),0)/2 = IF(AA42-Uzman_D!$L$5&lt;0, -(AA42-Uzman_D!$L$5), AA42-Uzman_D!$L$5),
    (ROUND((IF(AA42-Uzman_D!$L$5&lt;0, -(AA42-Uzman_D!$L$5), AA42-Uzman_D!$L$5)*2),0)/1 * 0.1), 0) +
    IF(AB42-Uzman_D!$M$5&lt;0, -(AB42-Uzman_D!$M$5), AB42-Uzman_D!$M$5)*1
)</f>
        <v>-0.50000000000000022</v>
      </c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2"/>
      <c r="AO42" s="72"/>
      <c r="AP42" s="73">
        <f>1 - (
    SUM(
        IF(AD42-Uzman_D!$B$6&lt;0, -(AD42-Uzman_D!$B$6), AD42-Uzman_D!$B$6)*0.1 +
        IF(AE42-Uzman_D!$C$6&lt;0, -(AE42-Uzman_D!$C$6), AE42-Uzman_D!$C$6)*0.1 +
        IF(AF42-Uzman_D!$D$6&lt;0, -(AF42-Uzman_D!$D$6), AF42-Uzman_D!$D$6)*0.1 +
        IF(AG42-Uzman_D!$E$6&lt;0, -(AG42-Uzman_D!$E$6), AG42-Uzman_D!$E$6)*0.1 +
        IF(AH42-Uzman_D!$F$6&lt;0, -(AH42-Uzman_D!$F$6), AH42-Uzman_D!$F$6)*0.1 +
        IF(AI42-Uzman_D!$G$6&lt;0, -(AI42-Uzman_D!$G$6), AI42-Uzman_D!$G$6)*0.1 +
        IF(AJ42-Uzman_D!$H$6&lt;0, -(AJ42-Uzman_D!$H$6), AJ42-Uzman_D!$H$6)*0.1 +
        IF(AK42-Uzman_D!$I$6&lt;0, -(AK42-Uzman_D!$I$6), AK42-Uzman_D!$I$6)*0.1 +
        IF(AL42-Uzman_D!$J$6&lt;0, -(AL42-Uzman_D!$J$6), AL42-Uzman_D!$J$6)*0.1
    ) +
    IF(ROUND((IF(AN42-Uzman_D!$L$6&lt;0, -(AN42-Uzman_D!$L$6), AN42-Uzman_D!$L$6)*2),0)/2 = IF(AN42-Uzman_D!$L$6&lt;0, -(AN42-Uzman_D!$L$6), AN42-Uzman_D!$L$6),
    (ROUND((IF(AN42-Uzman_D!$L$6&lt;0, -(AN42-Uzman_D!$L$6), AN42-Uzman_D!$L$6)*2),0)/1 * 0.1), 0) +
    IF(AO42-Uzman_D!$M$6&lt;0, -(AO42-Uzman_D!$M$6), AO42-Uzman_D!$M$6)*1
)</f>
        <v>-0.60000000000000009</v>
      </c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2"/>
      <c r="BB42" s="72"/>
      <c r="BC42" s="73">
        <f>1 - (
    SUM(
        IF(AQ42-Uzman_D!$B$7&lt;0, -(AQ42-Uzman_D!$B$7), AQ42-Uzman_D!$B$7)*0.1 +
        IF(AR42-Uzman_D!$C$7&lt;0, -(AR42-Uzman_D!$C$7), AR42-Uzman_D!$C$7)*0.1 +
        IF(AS42-Uzman_D!$D$7&lt;0, -(AS42-Uzman_D!$D$7), AS42-Uzman_D!$D$7)*0.1 +
        IF(AT42-Uzman_D!$E$7&lt;0, -(AT42-Uzman_D!$E$7), AT42-Uzman_D!$E$7)*0.1 +
        IF(AU42-Uzman_D!$F$7&lt;0, -(AU42-Uzman_D!$F$7), AU42-Uzman_D!$F$7)*0.1 +
        IF(AV42-Uzman_D!$G$7&lt;0, -(AV42-Uzman_D!$G$7), AV42-Uzman_D!$G$7)*0.1 +
        IF(AW42-Uzman_D!$H$7&lt;0, -(AW42-Uzman_D!$H$7), AW42-Uzman_D!$H$7)*0.1 +
        IF(AX42-Uzman_D!$I$7&lt;0, -(AX42-Uzman_D!$I$7), AX42-Uzman_D!$I$7)*0.1 +
        IF(AY42-Uzman_D!$J$7&lt;0, -(AY42-Uzman_D!$J$7), AY42-Uzman_D!$J$7)*0.1
    ) +
    IF(ROUND((IF(BA42-Uzman_D!$L$7&lt;0, -(BA42-Uzman_D!$L$7), BA42-Uzman_D!$L$7)*2),0)/2 = IF(BA42-Uzman_D!$L$7&lt;0, -(BA42-Uzman_D!$L$7), BA42-Uzman_D!$L$7),
    (ROUND((IF(BA42-Uzman_D!$L$7&lt;0, -(BA42-Uzman_D!$L$7), BA42-Uzman_D!$L$7)*2),0)/1 * 0.1), 0) +
    IF(BB42-Uzman_D!$M$7&lt;0, -(BB42-Uzman_D!$M$7), BB42-Uzman_D!$M$7)*1
)</f>
        <v>-0.50000000000000022</v>
      </c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2"/>
      <c r="BO42" s="72"/>
      <c r="BP42" s="73">
        <f>1 - (
    SUM(
        IF(BD42-Uzman_D!$B$8&lt;0, -(BD42-Uzman_D!$B$8), BD42-Uzman_D!$B$8)*0.1 +
        IF(BE42-Uzman_D!$C$8&lt;0, -(BE42-Uzman_D!$C$8), BE42-Uzman_D!$C$8)*0.1 +
        IF(BF42-Uzman_D!$D$8&lt;0, -(BF42-Uzman_D!$D$8), BF42-Uzman_D!$D$8)*0.1 +
        IF(BG42-Uzman_D!$E$8&lt;0, -(BG42-Uzman_D!$E$8), BG42-Uzman_D!$E$8)*0.1 +
        IF(BH42-Uzman_D!$F$8&lt;0, -(BH42-Uzman_D!$F$8), BH42-Uzman_D!$F$8)*0.1 +
        IF(BI42-Uzman_D!$G$8&lt;0, -(BI42-Uzman_D!$G$8), BI42-Uzman_D!$G$8)*0.1 +
        IF(BJ42-Uzman_D!$H$8&lt;0, -(BJ42-Uzman_D!$H$8), BJ42-Uzman_D!$H$8)*0.1 +
        IF(BK42-Uzman_D!$I$8&lt;0, -(BK42-Uzman_D!$I$8), BK42-Uzman_D!$I$8)*0.1 +
        IF(BL42-Uzman_D!$J$8&lt;0, -(BL42-Uzman_D!$J$8), BL42-Uzman_D!$J$8)*0.1
    ) +
    IF(ROUND((IF(BN42-Uzman_D!$L$8&lt;0, -(BN42-Uzman_D!$L$8), BN42-Uzman_D!$L$8)*2),0)/2 = IF(BN42-Uzman_D!$L$8&lt;0, -(BN42-Uzman_D!$L$8), BN42-Uzman_D!$L$8),
    (ROUND((IF(BN42-Uzman_D!$L$8&lt;0, -(BN42-Uzman_D!$L$8), BN42-Uzman_D!$L$8)*2),0)/1 * 0.1), 0) +
    IF(BO42-Uzman_D!$M$8&lt;0, -(BO42-Uzman_D!$M$8), BO42-Uzman_D!$M$8)*1
)</f>
        <v>-0.20000000000000018</v>
      </c>
      <c r="BQ42" s="74">
        <f t="shared" si="0"/>
        <v>-0.54000000000000026</v>
      </c>
    </row>
    <row r="43" spans="1:69" ht="15" customHeight="1" x14ac:dyDescent="0.2">
      <c r="A43" s="57">
        <v>40</v>
      </c>
      <c r="B43" s="29">
        <f>Hakemler!B43</f>
        <v>0</v>
      </c>
      <c r="C43" s="29">
        <f>Hakemler!C43</f>
        <v>0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2"/>
      <c r="O43" s="72"/>
      <c r="P43" s="73">
        <f>1 - (
    SUM(
        IF(D43-Uzman_D!$B$4&lt;0, -(D43-Uzman_D!$B$4), D43-Uzman_D!$B$4)*0.1 +
        IF(E43-Uzman_D!$C$4&lt;0, -(E43-Uzman_D!$C$4), E43-Uzman_D!$C$4)*0.1 +
        IF(F43-Uzman_D!$D$4&lt;0, -(F43-Uzman_D!$D$4), F43-Uzman_D!$D$4)*0.1 +
        IF(G43-Uzman_D!$E$4&lt;0, -(G43-Uzman_D!$E$4), G43-Uzman_D!$E$4)*0.1 +
        IF(H43-Uzman_D!$F$4&lt;0, -(H43-Uzman_D!$F$4), H43-Uzman_D!$F$4)*0.1 +
        IF(I43-Uzman_D!$G$4&lt;0, -(I43-Uzman_D!$G$4), I43-Uzman_D!$G$4)*0.1 +
        IF(J43-Uzman_D!$H$4&lt;0, -(J43-Uzman_D!$H$4), J43-Uzman_D!$H$4)*0.1 +
        IF(K43-Uzman_D!$I$4&lt;0, -(K43-Uzman_D!$I$4), K43-Uzman_D!$I$4)*0.1 +
        IF(L43-Uzman_D!$J$4&lt;0, -(L43-Uzman_D!$J$4), L43-Uzman_D!$J$4)*0.1
    ) +
    IF(ROUND((IF(N43-Uzman_D!$L$4&lt;0, -(N43-Uzman_D!$L$4), N43-Uzman_D!$L$4)*2),0)/2 = IF(N43-Uzman_D!$L$4&lt;0, -(N43-Uzman_D!$L$4), N43-Uzman_D!$L$4),
    (ROUND((IF(N43-Uzman_D!$L$4&lt;0, -(N43-Uzman_D!$L$4), N43-Uzman_D!$L$4)*2),0)/1 * 0.1), 0) +
    IF(O43-Uzman_D!$M$4&lt;0, -(O43-Uzman_D!$M$4), O43-Uzman_D!$M$4)*1
)</f>
        <v>-0.90000000000000013</v>
      </c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2"/>
      <c r="AB43" s="72"/>
      <c r="AC43" s="73">
        <f>1 - (
    SUM(
        IF(Q43-Uzman_D!$B$5&lt;0, -(Q43-Uzman_D!$B$5), Q43-Uzman_D!$B$5)*0.1 +
        IF(R43-Uzman_D!$C$5&lt;0, -(R43-Uzman_D!$C$5), R43-Uzman_D!$C$5)*0.1 +
        IF(S43-Uzman_D!$D$5&lt;0, -(S43-Uzman_D!$D$5), S43-Uzman_D!$D$5)*0.1 +
        IF(T43-Uzman_D!$E$5&lt;0, -(T43-Uzman_D!$E$5), T43-Uzman_D!$E$5)*0.1 +
        IF(U43-Uzman_D!$F$5&lt;0, -(U43-Uzman_D!$F$5), U43-Uzman_D!$F$5)*0.1 +
        IF(V43-Uzman_D!$G$5&lt;0, -(V43-Uzman_D!$G$5), V43-Uzman_D!$G$5)*0.1 +
        IF(W43-Uzman_D!$H$5&lt;0, -(W43-Uzman_D!$H$5), W43-Uzman_D!$H$5)*0.1 +
        IF(X43-Uzman_D!$I$5&lt;0, -(X43-Uzman_D!$I$5), X43-Uzman_D!$I$5)*0.1 +
        IF(Y43-Uzman_D!$J$5&lt;0, -(Y43-Uzman_D!$J$5), Y43-Uzman_D!$J$5)*0.1
    ) +
    IF(ROUND((IF(AA43-Uzman_D!$L$5&lt;0, -(AA43-Uzman_D!$L$5), AA43-Uzman_D!$L$5)*2),0)/2 = IF(AA43-Uzman_D!$L$5&lt;0, -(AA43-Uzman_D!$L$5), AA43-Uzman_D!$L$5),
    (ROUND((IF(AA43-Uzman_D!$L$5&lt;0, -(AA43-Uzman_D!$L$5), AA43-Uzman_D!$L$5)*2),0)/1 * 0.1), 0) +
    IF(AB43-Uzman_D!$M$5&lt;0, -(AB43-Uzman_D!$M$5), AB43-Uzman_D!$M$5)*1
)</f>
        <v>-0.50000000000000022</v>
      </c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2"/>
      <c r="AO43" s="72"/>
      <c r="AP43" s="73">
        <f>1 - (
    SUM(
        IF(AD43-Uzman_D!$B$6&lt;0, -(AD43-Uzman_D!$B$6), AD43-Uzman_D!$B$6)*0.1 +
        IF(AE43-Uzman_D!$C$6&lt;0, -(AE43-Uzman_D!$C$6), AE43-Uzman_D!$C$6)*0.1 +
        IF(AF43-Uzman_D!$D$6&lt;0, -(AF43-Uzman_D!$D$6), AF43-Uzman_D!$D$6)*0.1 +
        IF(AG43-Uzman_D!$E$6&lt;0, -(AG43-Uzman_D!$E$6), AG43-Uzman_D!$E$6)*0.1 +
        IF(AH43-Uzman_D!$F$6&lt;0, -(AH43-Uzman_D!$F$6), AH43-Uzman_D!$F$6)*0.1 +
        IF(AI43-Uzman_D!$G$6&lt;0, -(AI43-Uzman_D!$G$6), AI43-Uzman_D!$G$6)*0.1 +
        IF(AJ43-Uzman_D!$H$6&lt;0, -(AJ43-Uzman_D!$H$6), AJ43-Uzman_D!$H$6)*0.1 +
        IF(AK43-Uzman_D!$I$6&lt;0, -(AK43-Uzman_D!$I$6), AK43-Uzman_D!$I$6)*0.1 +
        IF(AL43-Uzman_D!$J$6&lt;0, -(AL43-Uzman_D!$J$6), AL43-Uzman_D!$J$6)*0.1
    ) +
    IF(ROUND((IF(AN43-Uzman_D!$L$6&lt;0, -(AN43-Uzman_D!$L$6), AN43-Uzman_D!$L$6)*2),0)/2 = IF(AN43-Uzman_D!$L$6&lt;0, -(AN43-Uzman_D!$L$6), AN43-Uzman_D!$L$6),
    (ROUND((IF(AN43-Uzman_D!$L$6&lt;0, -(AN43-Uzman_D!$L$6), AN43-Uzman_D!$L$6)*2),0)/1 * 0.1), 0) +
    IF(AO43-Uzman_D!$M$6&lt;0, -(AO43-Uzman_D!$M$6), AO43-Uzman_D!$M$6)*1
)</f>
        <v>-0.60000000000000009</v>
      </c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2"/>
      <c r="BB43" s="72"/>
      <c r="BC43" s="73">
        <f>1 - (
    SUM(
        IF(AQ43-Uzman_D!$B$7&lt;0, -(AQ43-Uzman_D!$B$7), AQ43-Uzman_D!$B$7)*0.1 +
        IF(AR43-Uzman_D!$C$7&lt;0, -(AR43-Uzman_D!$C$7), AR43-Uzman_D!$C$7)*0.1 +
        IF(AS43-Uzman_D!$D$7&lt;0, -(AS43-Uzman_D!$D$7), AS43-Uzman_D!$D$7)*0.1 +
        IF(AT43-Uzman_D!$E$7&lt;0, -(AT43-Uzman_D!$E$7), AT43-Uzman_D!$E$7)*0.1 +
        IF(AU43-Uzman_D!$F$7&lt;0, -(AU43-Uzman_D!$F$7), AU43-Uzman_D!$F$7)*0.1 +
        IF(AV43-Uzman_D!$G$7&lt;0, -(AV43-Uzman_D!$G$7), AV43-Uzman_D!$G$7)*0.1 +
        IF(AW43-Uzman_D!$H$7&lt;0, -(AW43-Uzman_D!$H$7), AW43-Uzman_D!$H$7)*0.1 +
        IF(AX43-Uzman_D!$I$7&lt;0, -(AX43-Uzman_D!$I$7), AX43-Uzman_D!$I$7)*0.1 +
        IF(AY43-Uzman_D!$J$7&lt;0, -(AY43-Uzman_D!$J$7), AY43-Uzman_D!$J$7)*0.1
    ) +
    IF(ROUND((IF(BA43-Uzman_D!$L$7&lt;0, -(BA43-Uzman_D!$L$7), BA43-Uzman_D!$L$7)*2),0)/2 = IF(BA43-Uzman_D!$L$7&lt;0, -(BA43-Uzman_D!$L$7), BA43-Uzman_D!$L$7),
    (ROUND((IF(BA43-Uzman_D!$L$7&lt;0, -(BA43-Uzman_D!$L$7), BA43-Uzman_D!$L$7)*2),0)/1 * 0.1), 0) +
    IF(BB43-Uzman_D!$M$7&lt;0, -(BB43-Uzman_D!$M$7), BB43-Uzman_D!$M$7)*1
)</f>
        <v>-0.50000000000000022</v>
      </c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2"/>
      <c r="BO43" s="72"/>
      <c r="BP43" s="73">
        <f>1 - (
    SUM(
        IF(BD43-Uzman_D!$B$8&lt;0, -(BD43-Uzman_D!$B$8), BD43-Uzman_D!$B$8)*0.1 +
        IF(BE43-Uzman_D!$C$8&lt;0, -(BE43-Uzman_D!$C$8), BE43-Uzman_D!$C$8)*0.1 +
        IF(BF43-Uzman_D!$D$8&lt;0, -(BF43-Uzman_D!$D$8), BF43-Uzman_D!$D$8)*0.1 +
        IF(BG43-Uzman_D!$E$8&lt;0, -(BG43-Uzman_D!$E$8), BG43-Uzman_D!$E$8)*0.1 +
        IF(BH43-Uzman_D!$F$8&lt;0, -(BH43-Uzman_D!$F$8), BH43-Uzman_D!$F$8)*0.1 +
        IF(BI43-Uzman_D!$G$8&lt;0, -(BI43-Uzman_D!$G$8), BI43-Uzman_D!$G$8)*0.1 +
        IF(BJ43-Uzman_D!$H$8&lt;0, -(BJ43-Uzman_D!$H$8), BJ43-Uzman_D!$H$8)*0.1 +
        IF(BK43-Uzman_D!$I$8&lt;0, -(BK43-Uzman_D!$I$8), BK43-Uzman_D!$I$8)*0.1 +
        IF(BL43-Uzman_D!$J$8&lt;0, -(BL43-Uzman_D!$J$8), BL43-Uzman_D!$J$8)*0.1
    ) +
    IF(ROUND((IF(BN43-Uzman_D!$L$8&lt;0, -(BN43-Uzman_D!$L$8), BN43-Uzman_D!$L$8)*2),0)/2 = IF(BN43-Uzman_D!$L$8&lt;0, -(BN43-Uzman_D!$L$8), BN43-Uzman_D!$L$8),
    (ROUND((IF(BN43-Uzman_D!$L$8&lt;0, -(BN43-Uzman_D!$L$8), BN43-Uzman_D!$L$8)*2),0)/1 * 0.1), 0) +
    IF(BO43-Uzman_D!$M$8&lt;0, -(BO43-Uzman_D!$M$8), BO43-Uzman_D!$M$8)*1
)</f>
        <v>-0.20000000000000018</v>
      </c>
      <c r="BQ43" s="74">
        <f t="shared" si="0"/>
        <v>-0.54000000000000026</v>
      </c>
    </row>
    <row r="44" spans="1:69" ht="15" customHeight="1" x14ac:dyDescent="0.2">
      <c r="A44" s="57">
        <v>41</v>
      </c>
      <c r="B44" s="37">
        <f>Hakemler!B44</f>
        <v>0</v>
      </c>
      <c r="C44" s="37">
        <f>Hakemler!C44</f>
        <v>0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2"/>
      <c r="O44" s="72"/>
      <c r="P44" s="73">
        <f>1 - (
    SUM(
        IF(D44-Uzman_D!$B$4&lt;0, -(D44-Uzman_D!$B$4), D44-Uzman_D!$B$4)*0.1 +
        IF(E44-Uzman_D!$C$4&lt;0, -(E44-Uzman_D!$C$4), E44-Uzman_D!$C$4)*0.1 +
        IF(F44-Uzman_D!$D$4&lt;0, -(F44-Uzman_D!$D$4), F44-Uzman_D!$D$4)*0.1 +
        IF(G44-Uzman_D!$E$4&lt;0, -(G44-Uzman_D!$E$4), G44-Uzman_D!$E$4)*0.1 +
        IF(H44-Uzman_D!$F$4&lt;0, -(H44-Uzman_D!$F$4), H44-Uzman_D!$F$4)*0.1 +
        IF(I44-Uzman_D!$G$4&lt;0, -(I44-Uzman_D!$G$4), I44-Uzman_D!$G$4)*0.1 +
        IF(J44-Uzman_D!$H$4&lt;0, -(J44-Uzman_D!$H$4), J44-Uzman_D!$H$4)*0.1 +
        IF(K44-Uzman_D!$I$4&lt;0, -(K44-Uzman_D!$I$4), K44-Uzman_D!$I$4)*0.1 +
        IF(L44-Uzman_D!$J$4&lt;0, -(L44-Uzman_D!$J$4), L44-Uzman_D!$J$4)*0.1
    ) +
    IF(ROUND((IF(N44-Uzman_D!$L$4&lt;0, -(N44-Uzman_D!$L$4), N44-Uzman_D!$L$4)*2),0)/2 = IF(N44-Uzman_D!$L$4&lt;0, -(N44-Uzman_D!$L$4), N44-Uzman_D!$L$4),
    (ROUND((IF(N44-Uzman_D!$L$4&lt;0, -(N44-Uzman_D!$L$4), N44-Uzman_D!$L$4)*2),0)/1 * 0.1), 0) +
    IF(O44-Uzman_D!$M$4&lt;0, -(O44-Uzman_D!$M$4), O44-Uzman_D!$M$4)*1
)</f>
        <v>-0.90000000000000013</v>
      </c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2"/>
      <c r="AB44" s="72"/>
      <c r="AC44" s="73">
        <f>1 - (
    SUM(
        IF(Q44-Uzman_D!$B$5&lt;0, -(Q44-Uzman_D!$B$5), Q44-Uzman_D!$B$5)*0.1 +
        IF(R44-Uzman_D!$C$5&lt;0, -(R44-Uzman_D!$C$5), R44-Uzman_D!$C$5)*0.1 +
        IF(S44-Uzman_D!$D$5&lt;0, -(S44-Uzman_D!$D$5), S44-Uzman_D!$D$5)*0.1 +
        IF(T44-Uzman_D!$E$5&lt;0, -(T44-Uzman_D!$E$5), T44-Uzman_D!$E$5)*0.1 +
        IF(U44-Uzman_D!$F$5&lt;0, -(U44-Uzman_D!$F$5), U44-Uzman_D!$F$5)*0.1 +
        IF(V44-Uzman_D!$G$5&lt;0, -(V44-Uzman_D!$G$5), V44-Uzman_D!$G$5)*0.1 +
        IF(W44-Uzman_D!$H$5&lt;0, -(W44-Uzman_D!$H$5), W44-Uzman_D!$H$5)*0.1 +
        IF(X44-Uzman_D!$I$5&lt;0, -(X44-Uzman_D!$I$5), X44-Uzman_D!$I$5)*0.1 +
        IF(Y44-Uzman_D!$J$5&lt;0, -(Y44-Uzman_D!$J$5), Y44-Uzman_D!$J$5)*0.1
    ) +
    IF(ROUND((IF(AA44-Uzman_D!$L$5&lt;0, -(AA44-Uzman_D!$L$5), AA44-Uzman_D!$L$5)*2),0)/2 = IF(AA44-Uzman_D!$L$5&lt;0, -(AA44-Uzman_D!$L$5), AA44-Uzman_D!$L$5),
    (ROUND((IF(AA44-Uzman_D!$L$5&lt;0, -(AA44-Uzman_D!$L$5), AA44-Uzman_D!$L$5)*2),0)/1 * 0.1), 0) +
    IF(AB44-Uzman_D!$M$5&lt;0, -(AB44-Uzman_D!$M$5), AB44-Uzman_D!$M$5)*1
)</f>
        <v>-0.50000000000000022</v>
      </c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2"/>
      <c r="AO44" s="72"/>
      <c r="AP44" s="73">
        <f>1 - (
    SUM(
        IF(AD44-Uzman_D!$B$6&lt;0, -(AD44-Uzman_D!$B$6), AD44-Uzman_D!$B$6)*0.1 +
        IF(AE44-Uzman_D!$C$6&lt;0, -(AE44-Uzman_D!$C$6), AE44-Uzman_D!$C$6)*0.1 +
        IF(AF44-Uzman_D!$D$6&lt;0, -(AF44-Uzman_D!$D$6), AF44-Uzman_D!$D$6)*0.1 +
        IF(AG44-Uzman_D!$E$6&lt;0, -(AG44-Uzman_D!$E$6), AG44-Uzman_D!$E$6)*0.1 +
        IF(AH44-Uzman_D!$F$6&lt;0, -(AH44-Uzman_D!$F$6), AH44-Uzman_D!$F$6)*0.1 +
        IF(AI44-Uzman_D!$G$6&lt;0, -(AI44-Uzman_D!$G$6), AI44-Uzman_D!$G$6)*0.1 +
        IF(AJ44-Uzman_D!$H$6&lt;0, -(AJ44-Uzman_D!$H$6), AJ44-Uzman_D!$H$6)*0.1 +
        IF(AK44-Uzman_D!$I$6&lt;0, -(AK44-Uzman_D!$I$6), AK44-Uzman_D!$I$6)*0.1 +
        IF(AL44-Uzman_D!$J$6&lt;0, -(AL44-Uzman_D!$J$6), AL44-Uzman_D!$J$6)*0.1
    ) +
    IF(ROUND((IF(AN44-Uzman_D!$L$6&lt;0, -(AN44-Uzman_D!$L$6), AN44-Uzman_D!$L$6)*2),0)/2 = IF(AN44-Uzman_D!$L$6&lt;0, -(AN44-Uzman_D!$L$6), AN44-Uzman_D!$L$6),
    (ROUND((IF(AN44-Uzman_D!$L$6&lt;0, -(AN44-Uzman_D!$L$6), AN44-Uzman_D!$L$6)*2),0)/1 * 0.1), 0) +
    IF(AO44-Uzman_D!$M$6&lt;0, -(AO44-Uzman_D!$M$6), AO44-Uzman_D!$M$6)*1
)</f>
        <v>-0.60000000000000009</v>
      </c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2"/>
      <c r="BB44" s="72"/>
      <c r="BC44" s="73">
        <f>1 - (
    SUM(
        IF(AQ44-Uzman_D!$B$7&lt;0, -(AQ44-Uzman_D!$B$7), AQ44-Uzman_D!$B$7)*0.1 +
        IF(AR44-Uzman_D!$C$7&lt;0, -(AR44-Uzman_D!$C$7), AR44-Uzman_D!$C$7)*0.1 +
        IF(AS44-Uzman_D!$D$7&lt;0, -(AS44-Uzman_D!$D$7), AS44-Uzman_D!$D$7)*0.1 +
        IF(AT44-Uzman_D!$E$7&lt;0, -(AT44-Uzman_D!$E$7), AT44-Uzman_D!$E$7)*0.1 +
        IF(AU44-Uzman_D!$F$7&lt;0, -(AU44-Uzman_D!$F$7), AU44-Uzman_D!$F$7)*0.1 +
        IF(AV44-Uzman_D!$G$7&lt;0, -(AV44-Uzman_D!$G$7), AV44-Uzman_D!$G$7)*0.1 +
        IF(AW44-Uzman_D!$H$7&lt;0, -(AW44-Uzman_D!$H$7), AW44-Uzman_D!$H$7)*0.1 +
        IF(AX44-Uzman_D!$I$7&lt;0, -(AX44-Uzman_D!$I$7), AX44-Uzman_D!$I$7)*0.1 +
        IF(AY44-Uzman_D!$J$7&lt;0, -(AY44-Uzman_D!$J$7), AY44-Uzman_D!$J$7)*0.1
    ) +
    IF(ROUND((IF(BA44-Uzman_D!$L$7&lt;0, -(BA44-Uzman_D!$L$7), BA44-Uzman_D!$L$7)*2),0)/2 = IF(BA44-Uzman_D!$L$7&lt;0, -(BA44-Uzman_D!$L$7), BA44-Uzman_D!$L$7),
    (ROUND((IF(BA44-Uzman_D!$L$7&lt;0, -(BA44-Uzman_D!$L$7), BA44-Uzman_D!$L$7)*2),0)/1 * 0.1), 0) +
    IF(BB44-Uzman_D!$M$7&lt;0, -(BB44-Uzman_D!$M$7), BB44-Uzman_D!$M$7)*1
)</f>
        <v>-0.50000000000000022</v>
      </c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2"/>
      <c r="BO44" s="72"/>
      <c r="BP44" s="73">
        <f>1 - (
    SUM(
        IF(BD44-Uzman_D!$B$8&lt;0, -(BD44-Uzman_D!$B$8), BD44-Uzman_D!$B$8)*0.1 +
        IF(BE44-Uzman_D!$C$8&lt;0, -(BE44-Uzman_D!$C$8), BE44-Uzman_D!$C$8)*0.1 +
        IF(BF44-Uzman_D!$D$8&lt;0, -(BF44-Uzman_D!$D$8), BF44-Uzman_D!$D$8)*0.1 +
        IF(BG44-Uzman_D!$E$8&lt;0, -(BG44-Uzman_D!$E$8), BG44-Uzman_D!$E$8)*0.1 +
        IF(BH44-Uzman_D!$F$8&lt;0, -(BH44-Uzman_D!$F$8), BH44-Uzman_D!$F$8)*0.1 +
        IF(BI44-Uzman_D!$G$8&lt;0, -(BI44-Uzman_D!$G$8), BI44-Uzman_D!$G$8)*0.1 +
        IF(BJ44-Uzman_D!$H$8&lt;0, -(BJ44-Uzman_D!$H$8), BJ44-Uzman_D!$H$8)*0.1 +
        IF(BK44-Uzman_D!$I$8&lt;0, -(BK44-Uzman_D!$I$8), BK44-Uzman_D!$I$8)*0.1 +
        IF(BL44-Uzman_D!$J$8&lt;0, -(BL44-Uzman_D!$J$8), BL44-Uzman_D!$J$8)*0.1
    ) +
    IF(ROUND((IF(BN44-Uzman_D!$L$8&lt;0, -(BN44-Uzman_D!$L$8), BN44-Uzman_D!$L$8)*2),0)/2 = IF(BN44-Uzman_D!$L$8&lt;0, -(BN44-Uzman_D!$L$8), BN44-Uzman_D!$L$8),
    (ROUND((IF(BN44-Uzman_D!$L$8&lt;0, -(BN44-Uzman_D!$L$8), BN44-Uzman_D!$L$8)*2),0)/1 * 0.1), 0) +
    IF(BO44-Uzman_D!$M$8&lt;0, -(BO44-Uzman_D!$M$8), BO44-Uzman_D!$M$8)*1
)</f>
        <v>-0.20000000000000018</v>
      </c>
      <c r="BQ44" s="74">
        <f t="shared" si="0"/>
        <v>-0.54000000000000026</v>
      </c>
    </row>
    <row r="45" spans="1:69" ht="15" customHeight="1" x14ac:dyDescent="0.2">
      <c r="A45" s="57">
        <v>42</v>
      </c>
      <c r="B45" s="29">
        <f>Hakemler!B45</f>
        <v>0</v>
      </c>
      <c r="C45" s="29">
        <f>Hakemler!C45</f>
        <v>0</v>
      </c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2"/>
      <c r="O45" s="72"/>
      <c r="P45" s="73">
        <f>1 - (
    SUM(
        IF(D45-Uzman_D!$B$4&lt;0, -(D45-Uzman_D!$B$4), D45-Uzman_D!$B$4)*0.1 +
        IF(E45-Uzman_D!$C$4&lt;0, -(E45-Uzman_D!$C$4), E45-Uzman_D!$C$4)*0.1 +
        IF(F45-Uzman_D!$D$4&lt;0, -(F45-Uzman_D!$D$4), F45-Uzman_D!$D$4)*0.1 +
        IF(G45-Uzman_D!$E$4&lt;0, -(G45-Uzman_D!$E$4), G45-Uzman_D!$E$4)*0.1 +
        IF(H45-Uzman_D!$F$4&lt;0, -(H45-Uzman_D!$F$4), H45-Uzman_D!$F$4)*0.1 +
        IF(I45-Uzman_D!$G$4&lt;0, -(I45-Uzman_D!$G$4), I45-Uzman_D!$G$4)*0.1 +
        IF(J45-Uzman_D!$H$4&lt;0, -(J45-Uzman_D!$H$4), J45-Uzman_D!$H$4)*0.1 +
        IF(K45-Uzman_D!$I$4&lt;0, -(K45-Uzman_D!$I$4), K45-Uzman_D!$I$4)*0.1 +
        IF(L45-Uzman_D!$J$4&lt;0, -(L45-Uzman_D!$J$4), L45-Uzman_D!$J$4)*0.1
    ) +
    IF(ROUND((IF(N45-Uzman_D!$L$4&lt;0, -(N45-Uzman_D!$L$4), N45-Uzman_D!$L$4)*2),0)/2 = IF(N45-Uzman_D!$L$4&lt;0, -(N45-Uzman_D!$L$4), N45-Uzman_D!$L$4),
    (ROUND((IF(N45-Uzman_D!$L$4&lt;0, -(N45-Uzman_D!$L$4), N45-Uzman_D!$L$4)*2),0)/1 * 0.1), 0) +
    IF(O45-Uzman_D!$M$4&lt;0, -(O45-Uzman_D!$M$4), O45-Uzman_D!$M$4)*1
)</f>
        <v>-0.90000000000000013</v>
      </c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2"/>
      <c r="AB45" s="72"/>
      <c r="AC45" s="73">
        <f>1 - (
    SUM(
        IF(Q45-Uzman_D!$B$5&lt;0, -(Q45-Uzman_D!$B$5), Q45-Uzman_D!$B$5)*0.1 +
        IF(R45-Uzman_D!$C$5&lt;0, -(R45-Uzman_D!$C$5), R45-Uzman_D!$C$5)*0.1 +
        IF(S45-Uzman_D!$D$5&lt;0, -(S45-Uzman_D!$D$5), S45-Uzman_D!$D$5)*0.1 +
        IF(T45-Uzman_D!$E$5&lt;0, -(T45-Uzman_D!$E$5), T45-Uzman_D!$E$5)*0.1 +
        IF(U45-Uzman_D!$F$5&lt;0, -(U45-Uzman_D!$F$5), U45-Uzman_D!$F$5)*0.1 +
        IF(V45-Uzman_D!$G$5&lt;0, -(V45-Uzman_D!$G$5), V45-Uzman_D!$G$5)*0.1 +
        IF(W45-Uzman_D!$H$5&lt;0, -(W45-Uzman_D!$H$5), W45-Uzman_D!$H$5)*0.1 +
        IF(X45-Uzman_D!$I$5&lt;0, -(X45-Uzman_D!$I$5), X45-Uzman_D!$I$5)*0.1 +
        IF(Y45-Uzman_D!$J$5&lt;0, -(Y45-Uzman_D!$J$5), Y45-Uzman_D!$J$5)*0.1
    ) +
    IF(ROUND((IF(AA45-Uzman_D!$L$5&lt;0, -(AA45-Uzman_D!$L$5), AA45-Uzman_D!$L$5)*2),0)/2 = IF(AA45-Uzman_D!$L$5&lt;0, -(AA45-Uzman_D!$L$5), AA45-Uzman_D!$L$5),
    (ROUND((IF(AA45-Uzman_D!$L$5&lt;0, -(AA45-Uzman_D!$L$5), AA45-Uzman_D!$L$5)*2),0)/1 * 0.1), 0) +
    IF(AB45-Uzman_D!$M$5&lt;0, -(AB45-Uzman_D!$M$5), AB45-Uzman_D!$M$5)*1
)</f>
        <v>-0.50000000000000022</v>
      </c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2"/>
      <c r="AO45" s="72"/>
      <c r="AP45" s="73">
        <f>1 - (
    SUM(
        IF(AD45-Uzman_D!$B$6&lt;0, -(AD45-Uzman_D!$B$6), AD45-Uzman_D!$B$6)*0.1 +
        IF(AE45-Uzman_D!$C$6&lt;0, -(AE45-Uzman_D!$C$6), AE45-Uzman_D!$C$6)*0.1 +
        IF(AF45-Uzman_D!$D$6&lt;0, -(AF45-Uzman_D!$D$6), AF45-Uzman_D!$D$6)*0.1 +
        IF(AG45-Uzman_D!$E$6&lt;0, -(AG45-Uzman_D!$E$6), AG45-Uzman_D!$E$6)*0.1 +
        IF(AH45-Uzman_D!$F$6&lt;0, -(AH45-Uzman_D!$F$6), AH45-Uzman_D!$F$6)*0.1 +
        IF(AI45-Uzman_D!$G$6&lt;0, -(AI45-Uzman_D!$G$6), AI45-Uzman_D!$G$6)*0.1 +
        IF(AJ45-Uzman_D!$H$6&lt;0, -(AJ45-Uzman_D!$H$6), AJ45-Uzman_D!$H$6)*0.1 +
        IF(AK45-Uzman_D!$I$6&lt;0, -(AK45-Uzman_D!$I$6), AK45-Uzman_D!$I$6)*0.1 +
        IF(AL45-Uzman_D!$J$6&lt;0, -(AL45-Uzman_D!$J$6), AL45-Uzman_D!$J$6)*0.1
    ) +
    IF(ROUND((IF(AN45-Uzman_D!$L$6&lt;0, -(AN45-Uzman_D!$L$6), AN45-Uzman_D!$L$6)*2),0)/2 = IF(AN45-Uzman_D!$L$6&lt;0, -(AN45-Uzman_D!$L$6), AN45-Uzman_D!$L$6),
    (ROUND((IF(AN45-Uzman_D!$L$6&lt;0, -(AN45-Uzman_D!$L$6), AN45-Uzman_D!$L$6)*2),0)/1 * 0.1), 0) +
    IF(AO45-Uzman_D!$M$6&lt;0, -(AO45-Uzman_D!$M$6), AO45-Uzman_D!$M$6)*1
)</f>
        <v>-0.60000000000000009</v>
      </c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2"/>
      <c r="BB45" s="72"/>
      <c r="BC45" s="73">
        <f>1 - (
    SUM(
        IF(AQ45-Uzman_D!$B$7&lt;0, -(AQ45-Uzman_D!$B$7), AQ45-Uzman_D!$B$7)*0.1 +
        IF(AR45-Uzman_D!$C$7&lt;0, -(AR45-Uzman_D!$C$7), AR45-Uzman_D!$C$7)*0.1 +
        IF(AS45-Uzman_D!$D$7&lt;0, -(AS45-Uzman_D!$D$7), AS45-Uzman_D!$D$7)*0.1 +
        IF(AT45-Uzman_D!$E$7&lt;0, -(AT45-Uzman_D!$E$7), AT45-Uzman_D!$E$7)*0.1 +
        IF(AU45-Uzman_D!$F$7&lt;0, -(AU45-Uzman_D!$F$7), AU45-Uzman_D!$F$7)*0.1 +
        IF(AV45-Uzman_D!$G$7&lt;0, -(AV45-Uzman_D!$G$7), AV45-Uzman_D!$G$7)*0.1 +
        IF(AW45-Uzman_D!$H$7&lt;0, -(AW45-Uzman_D!$H$7), AW45-Uzman_D!$H$7)*0.1 +
        IF(AX45-Uzman_D!$I$7&lt;0, -(AX45-Uzman_D!$I$7), AX45-Uzman_D!$I$7)*0.1 +
        IF(AY45-Uzman_D!$J$7&lt;0, -(AY45-Uzman_D!$J$7), AY45-Uzman_D!$J$7)*0.1
    ) +
    IF(ROUND((IF(BA45-Uzman_D!$L$7&lt;0, -(BA45-Uzman_D!$L$7), BA45-Uzman_D!$L$7)*2),0)/2 = IF(BA45-Uzman_D!$L$7&lt;0, -(BA45-Uzman_D!$L$7), BA45-Uzman_D!$L$7),
    (ROUND((IF(BA45-Uzman_D!$L$7&lt;0, -(BA45-Uzman_D!$L$7), BA45-Uzman_D!$L$7)*2),0)/1 * 0.1), 0) +
    IF(BB45-Uzman_D!$M$7&lt;0, -(BB45-Uzman_D!$M$7), BB45-Uzman_D!$M$7)*1
)</f>
        <v>-0.50000000000000022</v>
      </c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2"/>
      <c r="BO45" s="72"/>
      <c r="BP45" s="73">
        <f>1 - (
    SUM(
        IF(BD45-Uzman_D!$B$8&lt;0, -(BD45-Uzman_D!$B$8), BD45-Uzman_D!$B$8)*0.1 +
        IF(BE45-Uzman_D!$C$8&lt;0, -(BE45-Uzman_D!$C$8), BE45-Uzman_D!$C$8)*0.1 +
        IF(BF45-Uzman_D!$D$8&lt;0, -(BF45-Uzman_D!$D$8), BF45-Uzman_D!$D$8)*0.1 +
        IF(BG45-Uzman_D!$E$8&lt;0, -(BG45-Uzman_D!$E$8), BG45-Uzman_D!$E$8)*0.1 +
        IF(BH45-Uzman_D!$F$8&lt;0, -(BH45-Uzman_D!$F$8), BH45-Uzman_D!$F$8)*0.1 +
        IF(BI45-Uzman_D!$G$8&lt;0, -(BI45-Uzman_D!$G$8), BI45-Uzman_D!$G$8)*0.1 +
        IF(BJ45-Uzman_D!$H$8&lt;0, -(BJ45-Uzman_D!$H$8), BJ45-Uzman_D!$H$8)*0.1 +
        IF(BK45-Uzman_D!$I$8&lt;0, -(BK45-Uzman_D!$I$8), BK45-Uzman_D!$I$8)*0.1 +
        IF(BL45-Uzman_D!$J$8&lt;0, -(BL45-Uzman_D!$J$8), BL45-Uzman_D!$J$8)*0.1
    ) +
    IF(ROUND((IF(BN45-Uzman_D!$L$8&lt;0, -(BN45-Uzman_D!$L$8), BN45-Uzman_D!$L$8)*2),0)/2 = IF(BN45-Uzman_D!$L$8&lt;0, -(BN45-Uzman_D!$L$8), BN45-Uzman_D!$L$8),
    (ROUND((IF(BN45-Uzman_D!$L$8&lt;0, -(BN45-Uzman_D!$L$8), BN45-Uzman_D!$L$8)*2),0)/1 * 0.1), 0) +
    IF(BO45-Uzman_D!$M$8&lt;0, -(BO45-Uzman_D!$M$8), BO45-Uzman_D!$M$8)*1
)</f>
        <v>-0.20000000000000018</v>
      </c>
      <c r="BQ45" s="74">
        <f t="shared" si="0"/>
        <v>-0.54000000000000026</v>
      </c>
    </row>
    <row r="46" spans="1:69" ht="15" customHeight="1" x14ac:dyDescent="0.2">
      <c r="A46" s="57">
        <v>43</v>
      </c>
      <c r="B46" s="37">
        <f>Hakemler!B46</f>
        <v>0</v>
      </c>
      <c r="C46" s="37">
        <f>Hakemler!C46</f>
        <v>0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2"/>
      <c r="O46" s="72"/>
      <c r="P46" s="73">
        <f>1 - (
    SUM(
        IF(D46-Uzman_D!$B$4&lt;0, -(D46-Uzman_D!$B$4), D46-Uzman_D!$B$4)*0.1 +
        IF(E46-Uzman_D!$C$4&lt;0, -(E46-Uzman_D!$C$4), E46-Uzman_D!$C$4)*0.1 +
        IF(F46-Uzman_D!$D$4&lt;0, -(F46-Uzman_D!$D$4), F46-Uzman_D!$D$4)*0.1 +
        IF(G46-Uzman_D!$E$4&lt;0, -(G46-Uzman_D!$E$4), G46-Uzman_D!$E$4)*0.1 +
        IF(H46-Uzman_D!$F$4&lt;0, -(H46-Uzman_D!$F$4), H46-Uzman_D!$F$4)*0.1 +
        IF(I46-Uzman_D!$G$4&lt;0, -(I46-Uzman_D!$G$4), I46-Uzman_D!$G$4)*0.1 +
        IF(J46-Uzman_D!$H$4&lt;0, -(J46-Uzman_D!$H$4), J46-Uzman_D!$H$4)*0.1 +
        IF(K46-Uzman_D!$I$4&lt;0, -(K46-Uzman_D!$I$4), K46-Uzman_D!$I$4)*0.1 +
        IF(L46-Uzman_D!$J$4&lt;0, -(L46-Uzman_D!$J$4), L46-Uzman_D!$J$4)*0.1
    ) +
    IF(ROUND((IF(N46-Uzman_D!$L$4&lt;0, -(N46-Uzman_D!$L$4), N46-Uzman_D!$L$4)*2),0)/2 = IF(N46-Uzman_D!$L$4&lt;0, -(N46-Uzman_D!$L$4), N46-Uzman_D!$L$4),
    (ROUND((IF(N46-Uzman_D!$L$4&lt;0, -(N46-Uzman_D!$L$4), N46-Uzman_D!$L$4)*2),0)/1 * 0.1), 0) +
    IF(O46-Uzman_D!$M$4&lt;0, -(O46-Uzman_D!$M$4), O46-Uzman_D!$M$4)*1
)</f>
        <v>-0.90000000000000013</v>
      </c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2"/>
      <c r="AB46" s="72"/>
      <c r="AC46" s="73">
        <f>1 - (
    SUM(
        IF(Q46-Uzman_D!$B$5&lt;0, -(Q46-Uzman_D!$B$5), Q46-Uzman_D!$B$5)*0.1 +
        IF(R46-Uzman_D!$C$5&lt;0, -(R46-Uzman_D!$C$5), R46-Uzman_D!$C$5)*0.1 +
        IF(S46-Uzman_D!$D$5&lt;0, -(S46-Uzman_D!$D$5), S46-Uzman_D!$D$5)*0.1 +
        IF(T46-Uzman_D!$E$5&lt;0, -(T46-Uzman_D!$E$5), T46-Uzman_D!$E$5)*0.1 +
        IF(U46-Uzman_D!$F$5&lt;0, -(U46-Uzman_D!$F$5), U46-Uzman_D!$F$5)*0.1 +
        IF(V46-Uzman_D!$G$5&lt;0, -(V46-Uzman_D!$G$5), V46-Uzman_D!$G$5)*0.1 +
        IF(W46-Uzman_D!$H$5&lt;0, -(W46-Uzman_D!$H$5), W46-Uzman_D!$H$5)*0.1 +
        IF(X46-Uzman_D!$I$5&lt;0, -(X46-Uzman_D!$I$5), X46-Uzman_D!$I$5)*0.1 +
        IF(Y46-Uzman_D!$J$5&lt;0, -(Y46-Uzman_D!$J$5), Y46-Uzman_D!$J$5)*0.1
    ) +
    IF(ROUND((IF(AA46-Uzman_D!$L$5&lt;0, -(AA46-Uzman_D!$L$5), AA46-Uzman_D!$L$5)*2),0)/2 = IF(AA46-Uzman_D!$L$5&lt;0, -(AA46-Uzman_D!$L$5), AA46-Uzman_D!$L$5),
    (ROUND((IF(AA46-Uzman_D!$L$5&lt;0, -(AA46-Uzman_D!$L$5), AA46-Uzman_D!$L$5)*2),0)/1 * 0.1), 0) +
    IF(AB46-Uzman_D!$M$5&lt;0, -(AB46-Uzman_D!$M$5), AB46-Uzman_D!$M$5)*1
)</f>
        <v>-0.50000000000000022</v>
      </c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2"/>
      <c r="AO46" s="72"/>
      <c r="AP46" s="73">
        <f>1 - (
    SUM(
        IF(AD46-Uzman_D!$B$6&lt;0, -(AD46-Uzman_D!$B$6), AD46-Uzman_D!$B$6)*0.1 +
        IF(AE46-Uzman_D!$C$6&lt;0, -(AE46-Uzman_D!$C$6), AE46-Uzman_D!$C$6)*0.1 +
        IF(AF46-Uzman_D!$D$6&lt;0, -(AF46-Uzman_D!$D$6), AF46-Uzman_D!$D$6)*0.1 +
        IF(AG46-Uzman_D!$E$6&lt;0, -(AG46-Uzman_D!$E$6), AG46-Uzman_D!$E$6)*0.1 +
        IF(AH46-Uzman_D!$F$6&lt;0, -(AH46-Uzman_D!$F$6), AH46-Uzman_D!$F$6)*0.1 +
        IF(AI46-Uzman_D!$G$6&lt;0, -(AI46-Uzman_D!$G$6), AI46-Uzman_D!$G$6)*0.1 +
        IF(AJ46-Uzman_D!$H$6&lt;0, -(AJ46-Uzman_D!$H$6), AJ46-Uzman_D!$H$6)*0.1 +
        IF(AK46-Uzman_D!$I$6&lt;0, -(AK46-Uzman_D!$I$6), AK46-Uzman_D!$I$6)*0.1 +
        IF(AL46-Uzman_D!$J$6&lt;0, -(AL46-Uzman_D!$J$6), AL46-Uzman_D!$J$6)*0.1
    ) +
    IF(ROUND((IF(AN46-Uzman_D!$L$6&lt;0, -(AN46-Uzman_D!$L$6), AN46-Uzman_D!$L$6)*2),0)/2 = IF(AN46-Uzman_D!$L$6&lt;0, -(AN46-Uzman_D!$L$6), AN46-Uzman_D!$L$6),
    (ROUND((IF(AN46-Uzman_D!$L$6&lt;0, -(AN46-Uzman_D!$L$6), AN46-Uzman_D!$L$6)*2),0)/1 * 0.1), 0) +
    IF(AO46-Uzman_D!$M$6&lt;0, -(AO46-Uzman_D!$M$6), AO46-Uzman_D!$M$6)*1
)</f>
        <v>-0.60000000000000009</v>
      </c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2"/>
      <c r="BB46" s="72"/>
      <c r="BC46" s="73">
        <f>1 - (
    SUM(
        IF(AQ46-Uzman_D!$B$7&lt;0, -(AQ46-Uzman_D!$B$7), AQ46-Uzman_D!$B$7)*0.1 +
        IF(AR46-Uzman_D!$C$7&lt;0, -(AR46-Uzman_D!$C$7), AR46-Uzman_D!$C$7)*0.1 +
        IF(AS46-Uzman_D!$D$7&lt;0, -(AS46-Uzman_D!$D$7), AS46-Uzman_D!$D$7)*0.1 +
        IF(AT46-Uzman_D!$E$7&lt;0, -(AT46-Uzman_D!$E$7), AT46-Uzman_D!$E$7)*0.1 +
        IF(AU46-Uzman_D!$F$7&lt;0, -(AU46-Uzman_D!$F$7), AU46-Uzman_D!$F$7)*0.1 +
        IF(AV46-Uzman_D!$G$7&lt;0, -(AV46-Uzman_D!$G$7), AV46-Uzman_D!$G$7)*0.1 +
        IF(AW46-Uzman_D!$H$7&lt;0, -(AW46-Uzman_D!$H$7), AW46-Uzman_D!$H$7)*0.1 +
        IF(AX46-Uzman_D!$I$7&lt;0, -(AX46-Uzman_D!$I$7), AX46-Uzman_D!$I$7)*0.1 +
        IF(AY46-Uzman_D!$J$7&lt;0, -(AY46-Uzman_D!$J$7), AY46-Uzman_D!$J$7)*0.1
    ) +
    IF(ROUND((IF(BA46-Uzman_D!$L$7&lt;0, -(BA46-Uzman_D!$L$7), BA46-Uzman_D!$L$7)*2),0)/2 = IF(BA46-Uzman_D!$L$7&lt;0, -(BA46-Uzman_D!$L$7), BA46-Uzman_D!$L$7),
    (ROUND((IF(BA46-Uzman_D!$L$7&lt;0, -(BA46-Uzman_D!$L$7), BA46-Uzman_D!$L$7)*2),0)/1 * 0.1), 0) +
    IF(BB46-Uzman_D!$M$7&lt;0, -(BB46-Uzman_D!$M$7), BB46-Uzman_D!$M$7)*1
)</f>
        <v>-0.50000000000000022</v>
      </c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2"/>
      <c r="BO46" s="72"/>
      <c r="BP46" s="73">
        <f>1 - (
    SUM(
        IF(BD46-Uzman_D!$B$8&lt;0, -(BD46-Uzman_D!$B$8), BD46-Uzman_D!$B$8)*0.1 +
        IF(BE46-Uzman_D!$C$8&lt;0, -(BE46-Uzman_D!$C$8), BE46-Uzman_D!$C$8)*0.1 +
        IF(BF46-Uzman_D!$D$8&lt;0, -(BF46-Uzman_D!$D$8), BF46-Uzman_D!$D$8)*0.1 +
        IF(BG46-Uzman_D!$E$8&lt;0, -(BG46-Uzman_D!$E$8), BG46-Uzman_D!$E$8)*0.1 +
        IF(BH46-Uzman_D!$F$8&lt;0, -(BH46-Uzman_D!$F$8), BH46-Uzman_D!$F$8)*0.1 +
        IF(BI46-Uzman_D!$G$8&lt;0, -(BI46-Uzman_D!$G$8), BI46-Uzman_D!$G$8)*0.1 +
        IF(BJ46-Uzman_D!$H$8&lt;0, -(BJ46-Uzman_D!$H$8), BJ46-Uzman_D!$H$8)*0.1 +
        IF(BK46-Uzman_D!$I$8&lt;0, -(BK46-Uzman_D!$I$8), BK46-Uzman_D!$I$8)*0.1 +
        IF(BL46-Uzman_D!$J$8&lt;0, -(BL46-Uzman_D!$J$8), BL46-Uzman_D!$J$8)*0.1
    ) +
    IF(ROUND((IF(BN46-Uzman_D!$L$8&lt;0, -(BN46-Uzman_D!$L$8), BN46-Uzman_D!$L$8)*2),0)/2 = IF(BN46-Uzman_D!$L$8&lt;0, -(BN46-Uzman_D!$L$8), BN46-Uzman_D!$L$8),
    (ROUND((IF(BN46-Uzman_D!$L$8&lt;0, -(BN46-Uzman_D!$L$8), BN46-Uzman_D!$L$8)*2),0)/1 * 0.1), 0) +
    IF(BO46-Uzman_D!$M$8&lt;0, -(BO46-Uzman_D!$M$8), BO46-Uzman_D!$M$8)*1
)</f>
        <v>-0.20000000000000018</v>
      </c>
      <c r="BQ46" s="74">
        <f t="shared" si="0"/>
        <v>-0.54000000000000026</v>
      </c>
    </row>
    <row r="47" spans="1:69" ht="15" customHeight="1" x14ac:dyDescent="0.2">
      <c r="A47" s="57">
        <v>44</v>
      </c>
      <c r="B47" s="37">
        <f>Hakemler!B47</f>
        <v>0</v>
      </c>
      <c r="C47" s="37">
        <f>Hakemler!C47</f>
        <v>0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2"/>
      <c r="O47" s="72"/>
      <c r="P47" s="73">
        <f>1 - (
    SUM(
        IF(D47-Uzman_D!$B$4&lt;0, -(D47-Uzman_D!$B$4), D47-Uzman_D!$B$4)*0.1 +
        IF(E47-Uzman_D!$C$4&lt;0, -(E47-Uzman_D!$C$4), E47-Uzman_D!$C$4)*0.1 +
        IF(F47-Uzman_D!$D$4&lt;0, -(F47-Uzman_D!$D$4), F47-Uzman_D!$D$4)*0.1 +
        IF(G47-Uzman_D!$E$4&lt;0, -(G47-Uzman_D!$E$4), G47-Uzman_D!$E$4)*0.1 +
        IF(H47-Uzman_D!$F$4&lt;0, -(H47-Uzman_D!$F$4), H47-Uzman_D!$F$4)*0.1 +
        IF(I47-Uzman_D!$G$4&lt;0, -(I47-Uzman_D!$G$4), I47-Uzman_D!$G$4)*0.1 +
        IF(J47-Uzman_D!$H$4&lt;0, -(J47-Uzman_D!$H$4), J47-Uzman_D!$H$4)*0.1 +
        IF(K47-Uzman_D!$I$4&lt;0, -(K47-Uzman_D!$I$4), K47-Uzman_D!$I$4)*0.1 +
        IF(L47-Uzman_D!$J$4&lt;0, -(L47-Uzman_D!$J$4), L47-Uzman_D!$J$4)*0.1
    ) +
    IF(ROUND((IF(N47-Uzman_D!$L$4&lt;0, -(N47-Uzman_D!$L$4), N47-Uzman_D!$L$4)*2),0)/2 = IF(N47-Uzman_D!$L$4&lt;0, -(N47-Uzman_D!$L$4), N47-Uzman_D!$L$4),
    (ROUND((IF(N47-Uzman_D!$L$4&lt;0, -(N47-Uzman_D!$L$4), N47-Uzman_D!$L$4)*2),0)/1 * 0.1), 0) +
    IF(O47-Uzman_D!$M$4&lt;0, -(O47-Uzman_D!$M$4), O47-Uzman_D!$M$4)*1
)</f>
        <v>-0.90000000000000013</v>
      </c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2"/>
      <c r="AB47" s="72"/>
      <c r="AC47" s="73">
        <f>1 - (
    SUM(
        IF(Q47-Uzman_D!$B$5&lt;0, -(Q47-Uzman_D!$B$5), Q47-Uzman_D!$B$5)*0.1 +
        IF(R47-Uzman_D!$C$5&lt;0, -(R47-Uzman_D!$C$5), R47-Uzman_D!$C$5)*0.1 +
        IF(S47-Uzman_D!$D$5&lt;0, -(S47-Uzman_D!$D$5), S47-Uzman_D!$D$5)*0.1 +
        IF(T47-Uzman_D!$E$5&lt;0, -(T47-Uzman_D!$E$5), T47-Uzman_D!$E$5)*0.1 +
        IF(U47-Uzman_D!$F$5&lt;0, -(U47-Uzman_D!$F$5), U47-Uzman_D!$F$5)*0.1 +
        IF(V47-Uzman_D!$G$5&lt;0, -(V47-Uzman_D!$G$5), V47-Uzman_D!$G$5)*0.1 +
        IF(W47-Uzman_D!$H$5&lt;0, -(W47-Uzman_D!$H$5), W47-Uzman_D!$H$5)*0.1 +
        IF(X47-Uzman_D!$I$5&lt;0, -(X47-Uzman_D!$I$5), X47-Uzman_D!$I$5)*0.1 +
        IF(Y47-Uzman_D!$J$5&lt;0, -(Y47-Uzman_D!$J$5), Y47-Uzman_D!$J$5)*0.1
    ) +
    IF(ROUND((IF(AA47-Uzman_D!$L$5&lt;0, -(AA47-Uzman_D!$L$5), AA47-Uzman_D!$L$5)*2),0)/2 = IF(AA47-Uzman_D!$L$5&lt;0, -(AA47-Uzman_D!$L$5), AA47-Uzman_D!$L$5),
    (ROUND((IF(AA47-Uzman_D!$L$5&lt;0, -(AA47-Uzman_D!$L$5), AA47-Uzman_D!$L$5)*2),0)/1 * 0.1), 0) +
    IF(AB47-Uzman_D!$M$5&lt;0, -(AB47-Uzman_D!$M$5), AB47-Uzman_D!$M$5)*1
)</f>
        <v>-0.50000000000000022</v>
      </c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2"/>
      <c r="AO47" s="72"/>
      <c r="AP47" s="73">
        <f>1 - (
    SUM(
        IF(AD47-Uzman_D!$B$6&lt;0, -(AD47-Uzman_D!$B$6), AD47-Uzman_D!$B$6)*0.1 +
        IF(AE47-Uzman_D!$C$6&lt;0, -(AE47-Uzman_D!$C$6), AE47-Uzman_D!$C$6)*0.1 +
        IF(AF47-Uzman_D!$D$6&lt;0, -(AF47-Uzman_D!$D$6), AF47-Uzman_D!$D$6)*0.1 +
        IF(AG47-Uzman_D!$E$6&lt;0, -(AG47-Uzman_D!$E$6), AG47-Uzman_D!$E$6)*0.1 +
        IF(AH47-Uzman_D!$F$6&lt;0, -(AH47-Uzman_D!$F$6), AH47-Uzman_D!$F$6)*0.1 +
        IF(AI47-Uzman_D!$G$6&lt;0, -(AI47-Uzman_D!$G$6), AI47-Uzman_D!$G$6)*0.1 +
        IF(AJ47-Uzman_D!$H$6&lt;0, -(AJ47-Uzman_D!$H$6), AJ47-Uzman_D!$H$6)*0.1 +
        IF(AK47-Uzman_D!$I$6&lt;0, -(AK47-Uzman_D!$I$6), AK47-Uzman_D!$I$6)*0.1 +
        IF(AL47-Uzman_D!$J$6&lt;0, -(AL47-Uzman_D!$J$6), AL47-Uzman_D!$J$6)*0.1
    ) +
    IF(ROUND((IF(AN47-Uzman_D!$L$6&lt;0, -(AN47-Uzman_D!$L$6), AN47-Uzman_D!$L$6)*2),0)/2 = IF(AN47-Uzman_D!$L$6&lt;0, -(AN47-Uzman_D!$L$6), AN47-Uzman_D!$L$6),
    (ROUND((IF(AN47-Uzman_D!$L$6&lt;0, -(AN47-Uzman_D!$L$6), AN47-Uzman_D!$L$6)*2),0)/1 * 0.1), 0) +
    IF(AO47-Uzman_D!$M$6&lt;0, -(AO47-Uzman_D!$M$6), AO47-Uzman_D!$M$6)*1
)</f>
        <v>-0.60000000000000009</v>
      </c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2"/>
      <c r="BB47" s="72"/>
      <c r="BC47" s="73">
        <f>1 - (
    SUM(
        IF(AQ47-Uzman_D!$B$7&lt;0, -(AQ47-Uzman_D!$B$7), AQ47-Uzman_D!$B$7)*0.1 +
        IF(AR47-Uzman_D!$C$7&lt;0, -(AR47-Uzman_D!$C$7), AR47-Uzman_D!$C$7)*0.1 +
        IF(AS47-Uzman_D!$D$7&lt;0, -(AS47-Uzman_D!$D$7), AS47-Uzman_D!$D$7)*0.1 +
        IF(AT47-Uzman_D!$E$7&lt;0, -(AT47-Uzman_D!$E$7), AT47-Uzman_D!$E$7)*0.1 +
        IF(AU47-Uzman_D!$F$7&lt;0, -(AU47-Uzman_D!$F$7), AU47-Uzman_D!$F$7)*0.1 +
        IF(AV47-Uzman_D!$G$7&lt;0, -(AV47-Uzman_D!$G$7), AV47-Uzman_D!$G$7)*0.1 +
        IF(AW47-Uzman_D!$H$7&lt;0, -(AW47-Uzman_D!$H$7), AW47-Uzman_D!$H$7)*0.1 +
        IF(AX47-Uzman_D!$I$7&lt;0, -(AX47-Uzman_D!$I$7), AX47-Uzman_D!$I$7)*0.1 +
        IF(AY47-Uzman_D!$J$7&lt;0, -(AY47-Uzman_D!$J$7), AY47-Uzman_D!$J$7)*0.1
    ) +
    IF(ROUND((IF(BA47-Uzman_D!$L$7&lt;0, -(BA47-Uzman_D!$L$7), BA47-Uzman_D!$L$7)*2),0)/2 = IF(BA47-Uzman_D!$L$7&lt;0, -(BA47-Uzman_D!$L$7), BA47-Uzman_D!$L$7),
    (ROUND((IF(BA47-Uzman_D!$L$7&lt;0, -(BA47-Uzman_D!$L$7), BA47-Uzman_D!$L$7)*2),0)/1 * 0.1), 0) +
    IF(BB47-Uzman_D!$M$7&lt;0, -(BB47-Uzman_D!$M$7), BB47-Uzman_D!$M$7)*1
)</f>
        <v>-0.50000000000000022</v>
      </c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2"/>
      <c r="BO47" s="72"/>
      <c r="BP47" s="73">
        <f>1 - (
    SUM(
        IF(BD47-Uzman_D!$B$8&lt;0, -(BD47-Uzman_D!$B$8), BD47-Uzman_D!$B$8)*0.1 +
        IF(BE47-Uzman_D!$C$8&lt;0, -(BE47-Uzman_D!$C$8), BE47-Uzman_D!$C$8)*0.1 +
        IF(BF47-Uzman_D!$D$8&lt;0, -(BF47-Uzman_D!$D$8), BF47-Uzman_D!$D$8)*0.1 +
        IF(BG47-Uzman_D!$E$8&lt;0, -(BG47-Uzman_D!$E$8), BG47-Uzman_D!$E$8)*0.1 +
        IF(BH47-Uzman_D!$F$8&lt;0, -(BH47-Uzman_D!$F$8), BH47-Uzman_D!$F$8)*0.1 +
        IF(BI47-Uzman_D!$G$8&lt;0, -(BI47-Uzman_D!$G$8), BI47-Uzman_D!$G$8)*0.1 +
        IF(BJ47-Uzman_D!$H$8&lt;0, -(BJ47-Uzman_D!$H$8), BJ47-Uzman_D!$H$8)*0.1 +
        IF(BK47-Uzman_D!$I$8&lt;0, -(BK47-Uzman_D!$I$8), BK47-Uzman_D!$I$8)*0.1 +
        IF(BL47-Uzman_D!$J$8&lt;0, -(BL47-Uzman_D!$J$8), BL47-Uzman_D!$J$8)*0.1
    ) +
    IF(ROUND((IF(BN47-Uzman_D!$L$8&lt;0, -(BN47-Uzman_D!$L$8), BN47-Uzman_D!$L$8)*2),0)/2 = IF(BN47-Uzman_D!$L$8&lt;0, -(BN47-Uzman_D!$L$8), BN47-Uzman_D!$L$8),
    (ROUND((IF(BN47-Uzman_D!$L$8&lt;0, -(BN47-Uzman_D!$L$8), BN47-Uzman_D!$L$8)*2),0)/1 * 0.1), 0) +
    IF(BO47-Uzman_D!$M$8&lt;0, -(BO47-Uzman_D!$M$8), BO47-Uzman_D!$M$8)*1
)</f>
        <v>-0.20000000000000018</v>
      </c>
      <c r="BQ47" s="74">
        <f t="shared" si="0"/>
        <v>-0.54000000000000026</v>
      </c>
    </row>
    <row r="48" spans="1:69" ht="15" customHeight="1" x14ac:dyDescent="0.2">
      <c r="A48" s="57">
        <v>45</v>
      </c>
      <c r="B48" s="29">
        <f>Hakemler!B48</f>
        <v>0</v>
      </c>
      <c r="C48" s="29">
        <f>Hakemler!C48</f>
        <v>0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2"/>
      <c r="O48" s="72"/>
      <c r="P48" s="73">
        <f>1 - (
    SUM(
        IF(D48-Uzman_D!$B$4&lt;0, -(D48-Uzman_D!$B$4), D48-Uzman_D!$B$4)*0.1 +
        IF(E48-Uzman_D!$C$4&lt;0, -(E48-Uzman_D!$C$4), E48-Uzman_D!$C$4)*0.1 +
        IF(F48-Uzman_D!$D$4&lt;0, -(F48-Uzman_D!$D$4), F48-Uzman_D!$D$4)*0.1 +
        IF(G48-Uzman_D!$E$4&lt;0, -(G48-Uzman_D!$E$4), G48-Uzman_D!$E$4)*0.1 +
        IF(H48-Uzman_D!$F$4&lt;0, -(H48-Uzman_D!$F$4), H48-Uzman_D!$F$4)*0.1 +
        IF(I48-Uzman_D!$G$4&lt;0, -(I48-Uzman_D!$G$4), I48-Uzman_D!$G$4)*0.1 +
        IF(J48-Uzman_D!$H$4&lt;0, -(J48-Uzman_D!$H$4), J48-Uzman_D!$H$4)*0.1 +
        IF(K48-Uzman_D!$I$4&lt;0, -(K48-Uzman_D!$I$4), K48-Uzman_D!$I$4)*0.1 +
        IF(L48-Uzman_D!$J$4&lt;0, -(L48-Uzman_D!$J$4), L48-Uzman_D!$J$4)*0.1
    ) +
    IF(ROUND((IF(N48-Uzman_D!$L$4&lt;0, -(N48-Uzman_D!$L$4), N48-Uzman_D!$L$4)*2),0)/2 = IF(N48-Uzman_D!$L$4&lt;0, -(N48-Uzman_D!$L$4), N48-Uzman_D!$L$4),
    (ROUND((IF(N48-Uzman_D!$L$4&lt;0, -(N48-Uzman_D!$L$4), N48-Uzman_D!$L$4)*2),0)/1 * 0.1), 0) +
    IF(O48-Uzman_D!$M$4&lt;0, -(O48-Uzman_D!$M$4), O48-Uzman_D!$M$4)*1
)</f>
        <v>-0.90000000000000013</v>
      </c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2"/>
      <c r="AB48" s="72"/>
      <c r="AC48" s="73">
        <f>1 - (
    SUM(
        IF(Q48-Uzman_D!$B$5&lt;0, -(Q48-Uzman_D!$B$5), Q48-Uzman_D!$B$5)*0.1 +
        IF(R48-Uzman_D!$C$5&lt;0, -(R48-Uzman_D!$C$5), R48-Uzman_D!$C$5)*0.1 +
        IF(S48-Uzman_D!$D$5&lt;0, -(S48-Uzman_D!$D$5), S48-Uzman_D!$D$5)*0.1 +
        IF(T48-Uzman_D!$E$5&lt;0, -(T48-Uzman_D!$E$5), T48-Uzman_D!$E$5)*0.1 +
        IF(U48-Uzman_D!$F$5&lt;0, -(U48-Uzman_D!$F$5), U48-Uzman_D!$F$5)*0.1 +
        IF(V48-Uzman_D!$G$5&lt;0, -(V48-Uzman_D!$G$5), V48-Uzman_D!$G$5)*0.1 +
        IF(W48-Uzman_D!$H$5&lt;0, -(W48-Uzman_D!$H$5), W48-Uzman_D!$H$5)*0.1 +
        IF(X48-Uzman_D!$I$5&lt;0, -(X48-Uzman_D!$I$5), X48-Uzman_D!$I$5)*0.1 +
        IF(Y48-Uzman_D!$J$5&lt;0, -(Y48-Uzman_D!$J$5), Y48-Uzman_D!$J$5)*0.1
    ) +
    IF(ROUND((IF(AA48-Uzman_D!$L$5&lt;0, -(AA48-Uzman_D!$L$5), AA48-Uzman_D!$L$5)*2),0)/2 = IF(AA48-Uzman_D!$L$5&lt;0, -(AA48-Uzman_D!$L$5), AA48-Uzman_D!$L$5),
    (ROUND((IF(AA48-Uzman_D!$L$5&lt;0, -(AA48-Uzman_D!$L$5), AA48-Uzman_D!$L$5)*2),0)/1 * 0.1), 0) +
    IF(AB48-Uzman_D!$M$5&lt;0, -(AB48-Uzman_D!$M$5), AB48-Uzman_D!$M$5)*1
)</f>
        <v>-0.50000000000000022</v>
      </c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2"/>
      <c r="AO48" s="72"/>
      <c r="AP48" s="73">
        <f>1 - (
    SUM(
        IF(AD48-Uzman_D!$B$6&lt;0, -(AD48-Uzman_D!$B$6), AD48-Uzman_D!$B$6)*0.1 +
        IF(AE48-Uzman_D!$C$6&lt;0, -(AE48-Uzman_D!$C$6), AE48-Uzman_D!$C$6)*0.1 +
        IF(AF48-Uzman_D!$D$6&lt;0, -(AF48-Uzman_D!$D$6), AF48-Uzman_D!$D$6)*0.1 +
        IF(AG48-Uzman_D!$E$6&lt;0, -(AG48-Uzman_D!$E$6), AG48-Uzman_D!$E$6)*0.1 +
        IF(AH48-Uzman_D!$F$6&lt;0, -(AH48-Uzman_D!$F$6), AH48-Uzman_D!$F$6)*0.1 +
        IF(AI48-Uzman_D!$G$6&lt;0, -(AI48-Uzman_D!$G$6), AI48-Uzman_D!$G$6)*0.1 +
        IF(AJ48-Uzman_D!$H$6&lt;0, -(AJ48-Uzman_D!$H$6), AJ48-Uzman_D!$H$6)*0.1 +
        IF(AK48-Uzman_D!$I$6&lt;0, -(AK48-Uzman_D!$I$6), AK48-Uzman_D!$I$6)*0.1 +
        IF(AL48-Uzman_D!$J$6&lt;0, -(AL48-Uzman_D!$J$6), AL48-Uzman_D!$J$6)*0.1
    ) +
    IF(ROUND((IF(AN48-Uzman_D!$L$6&lt;0, -(AN48-Uzman_D!$L$6), AN48-Uzman_D!$L$6)*2),0)/2 = IF(AN48-Uzman_D!$L$6&lt;0, -(AN48-Uzman_D!$L$6), AN48-Uzman_D!$L$6),
    (ROUND((IF(AN48-Uzman_D!$L$6&lt;0, -(AN48-Uzman_D!$L$6), AN48-Uzman_D!$L$6)*2),0)/1 * 0.1), 0) +
    IF(AO48-Uzman_D!$M$6&lt;0, -(AO48-Uzman_D!$M$6), AO48-Uzman_D!$M$6)*1
)</f>
        <v>-0.60000000000000009</v>
      </c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2"/>
      <c r="BB48" s="72"/>
      <c r="BC48" s="73">
        <f>1 - (
    SUM(
        IF(AQ48-Uzman_D!$B$7&lt;0, -(AQ48-Uzman_D!$B$7), AQ48-Uzman_D!$B$7)*0.1 +
        IF(AR48-Uzman_D!$C$7&lt;0, -(AR48-Uzman_D!$C$7), AR48-Uzman_D!$C$7)*0.1 +
        IF(AS48-Uzman_D!$D$7&lt;0, -(AS48-Uzman_D!$D$7), AS48-Uzman_D!$D$7)*0.1 +
        IF(AT48-Uzman_D!$E$7&lt;0, -(AT48-Uzman_D!$E$7), AT48-Uzman_D!$E$7)*0.1 +
        IF(AU48-Uzman_D!$F$7&lt;0, -(AU48-Uzman_D!$F$7), AU48-Uzman_D!$F$7)*0.1 +
        IF(AV48-Uzman_D!$G$7&lt;0, -(AV48-Uzman_D!$G$7), AV48-Uzman_D!$G$7)*0.1 +
        IF(AW48-Uzman_D!$H$7&lt;0, -(AW48-Uzman_D!$H$7), AW48-Uzman_D!$H$7)*0.1 +
        IF(AX48-Uzman_D!$I$7&lt;0, -(AX48-Uzman_D!$I$7), AX48-Uzman_D!$I$7)*0.1 +
        IF(AY48-Uzman_D!$J$7&lt;0, -(AY48-Uzman_D!$J$7), AY48-Uzman_D!$J$7)*0.1
    ) +
    IF(ROUND((IF(BA48-Uzman_D!$L$7&lt;0, -(BA48-Uzman_D!$L$7), BA48-Uzman_D!$L$7)*2),0)/2 = IF(BA48-Uzman_D!$L$7&lt;0, -(BA48-Uzman_D!$L$7), BA48-Uzman_D!$L$7),
    (ROUND((IF(BA48-Uzman_D!$L$7&lt;0, -(BA48-Uzman_D!$L$7), BA48-Uzman_D!$L$7)*2),0)/1 * 0.1), 0) +
    IF(BB48-Uzman_D!$M$7&lt;0, -(BB48-Uzman_D!$M$7), BB48-Uzman_D!$M$7)*1
)</f>
        <v>-0.50000000000000022</v>
      </c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2"/>
      <c r="BO48" s="72"/>
      <c r="BP48" s="73">
        <f>1 - (
    SUM(
        IF(BD48-Uzman_D!$B$8&lt;0, -(BD48-Uzman_D!$B$8), BD48-Uzman_D!$B$8)*0.1 +
        IF(BE48-Uzman_D!$C$8&lt;0, -(BE48-Uzman_D!$C$8), BE48-Uzman_D!$C$8)*0.1 +
        IF(BF48-Uzman_D!$D$8&lt;0, -(BF48-Uzman_D!$D$8), BF48-Uzman_D!$D$8)*0.1 +
        IF(BG48-Uzman_D!$E$8&lt;0, -(BG48-Uzman_D!$E$8), BG48-Uzman_D!$E$8)*0.1 +
        IF(BH48-Uzman_D!$F$8&lt;0, -(BH48-Uzman_D!$F$8), BH48-Uzman_D!$F$8)*0.1 +
        IF(BI48-Uzman_D!$G$8&lt;0, -(BI48-Uzman_D!$G$8), BI48-Uzman_D!$G$8)*0.1 +
        IF(BJ48-Uzman_D!$H$8&lt;0, -(BJ48-Uzman_D!$H$8), BJ48-Uzman_D!$H$8)*0.1 +
        IF(BK48-Uzman_D!$I$8&lt;0, -(BK48-Uzman_D!$I$8), BK48-Uzman_D!$I$8)*0.1 +
        IF(BL48-Uzman_D!$J$8&lt;0, -(BL48-Uzman_D!$J$8), BL48-Uzman_D!$J$8)*0.1
    ) +
    IF(ROUND((IF(BN48-Uzman_D!$L$8&lt;0, -(BN48-Uzman_D!$L$8), BN48-Uzman_D!$L$8)*2),0)/2 = IF(BN48-Uzman_D!$L$8&lt;0, -(BN48-Uzman_D!$L$8), BN48-Uzman_D!$L$8),
    (ROUND((IF(BN48-Uzman_D!$L$8&lt;0, -(BN48-Uzman_D!$L$8), BN48-Uzman_D!$L$8)*2),0)/1 * 0.1), 0) +
    IF(BO48-Uzman_D!$M$8&lt;0, -(BO48-Uzman_D!$M$8), BO48-Uzman_D!$M$8)*1
)</f>
        <v>-0.20000000000000018</v>
      </c>
      <c r="BQ48" s="74">
        <f t="shared" si="0"/>
        <v>-0.54000000000000026</v>
      </c>
    </row>
    <row r="49" spans="1:69" ht="15" customHeight="1" x14ac:dyDescent="0.2">
      <c r="A49" s="57">
        <v>46</v>
      </c>
      <c r="B49" s="37">
        <f>Hakemler!B49</f>
        <v>0</v>
      </c>
      <c r="C49" s="37">
        <f>Hakemler!C49</f>
        <v>0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2"/>
      <c r="O49" s="72"/>
      <c r="P49" s="73">
        <f>1 - (
    SUM(
        IF(D49-Uzman_D!$B$4&lt;0, -(D49-Uzman_D!$B$4), D49-Uzman_D!$B$4)*0.1 +
        IF(E49-Uzman_D!$C$4&lt;0, -(E49-Uzman_D!$C$4), E49-Uzman_D!$C$4)*0.1 +
        IF(F49-Uzman_D!$D$4&lt;0, -(F49-Uzman_D!$D$4), F49-Uzman_D!$D$4)*0.1 +
        IF(G49-Uzman_D!$E$4&lt;0, -(G49-Uzman_D!$E$4), G49-Uzman_D!$E$4)*0.1 +
        IF(H49-Uzman_D!$F$4&lt;0, -(H49-Uzman_D!$F$4), H49-Uzman_D!$F$4)*0.1 +
        IF(I49-Uzman_D!$G$4&lt;0, -(I49-Uzman_D!$G$4), I49-Uzman_D!$G$4)*0.1 +
        IF(J49-Uzman_D!$H$4&lt;0, -(J49-Uzman_D!$H$4), J49-Uzman_D!$H$4)*0.1 +
        IF(K49-Uzman_D!$I$4&lt;0, -(K49-Uzman_D!$I$4), K49-Uzman_D!$I$4)*0.1 +
        IF(L49-Uzman_D!$J$4&lt;0, -(L49-Uzman_D!$J$4), L49-Uzman_D!$J$4)*0.1
    ) +
    IF(ROUND((IF(N49-Uzman_D!$L$4&lt;0, -(N49-Uzman_D!$L$4), N49-Uzman_D!$L$4)*2),0)/2 = IF(N49-Uzman_D!$L$4&lt;0, -(N49-Uzman_D!$L$4), N49-Uzman_D!$L$4),
    (ROUND((IF(N49-Uzman_D!$L$4&lt;0, -(N49-Uzman_D!$L$4), N49-Uzman_D!$L$4)*2),0)/1 * 0.1), 0) +
    IF(O49-Uzman_D!$M$4&lt;0, -(O49-Uzman_D!$M$4), O49-Uzman_D!$M$4)*1
)</f>
        <v>-0.90000000000000013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2"/>
      <c r="AB49" s="72"/>
      <c r="AC49" s="73">
        <f>1 - (
    SUM(
        IF(Q49-Uzman_D!$B$5&lt;0, -(Q49-Uzman_D!$B$5), Q49-Uzman_D!$B$5)*0.1 +
        IF(R49-Uzman_D!$C$5&lt;0, -(R49-Uzman_D!$C$5), R49-Uzman_D!$C$5)*0.1 +
        IF(S49-Uzman_D!$D$5&lt;0, -(S49-Uzman_D!$D$5), S49-Uzman_D!$D$5)*0.1 +
        IF(T49-Uzman_D!$E$5&lt;0, -(T49-Uzman_D!$E$5), T49-Uzman_D!$E$5)*0.1 +
        IF(U49-Uzman_D!$F$5&lt;0, -(U49-Uzman_D!$F$5), U49-Uzman_D!$F$5)*0.1 +
        IF(V49-Uzman_D!$G$5&lt;0, -(V49-Uzman_D!$G$5), V49-Uzman_D!$G$5)*0.1 +
        IF(W49-Uzman_D!$H$5&lt;0, -(W49-Uzman_D!$H$5), W49-Uzman_D!$H$5)*0.1 +
        IF(X49-Uzman_D!$I$5&lt;0, -(X49-Uzman_D!$I$5), X49-Uzman_D!$I$5)*0.1 +
        IF(Y49-Uzman_D!$J$5&lt;0, -(Y49-Uzman_D!$J$5), Y49-Uzman_D!$J$5)*0.1
    ) +
    IF(ROUND((IF(AA49-Uzman_D!$L$5&lt;0, -(AA49-Uzman_D!$L$5), AA49-Uzman_D!$L$5)*2),0)/2 = IF(AA49-Uzman_D!$L$5&lt;0, -(AA49-Uzman_D!$L$5), AA49-Uzman_D!$L$5),
    (ROUND((IF(AA49-Uzman_D!$L$5&lt;0, -(AA49-Uzman_D!$L$5), AA49-Uzman_D!$L$5)*2),0)/1 * 0.1), 0) +
    IF(AB49-Uzman_D!$M$5&lt;0, -(AB49-Uzman_D!$M$5), AB49-Uzman_D!$M$5)*1
)</f>
        <v>-0.50000000000000022</v>
      </c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2"/>
      <c r="AO49" s="72"/>
      <c r="AP49" s="73">
        <f>1 - (
    SUM(
        IF(AD49-Uzman_D!$B$6&lt;0, -(AD49-Uzman_D!$B$6), AD49-Uzman_D!$B$6)*0.1 +
        IF(AE49-Uzman_D!$C$6&lt;0, -(AE49-Uzman_D!$C$6), AE49-Uzman_D!$C$6)*0.1 +
        IF(AF49-Uzman_D!$D$6&lt;0, -(AF49-Uzman_D!$D$6), AF49-Uzman_D!$D$6)*0.1 +
        IF(AG49-Uzman_D!$E$6&lt;0, -(AG49-Uzman_D!$E$6), AG49-Uzman_D!$E$6)*0.1 +
        IF(AH49-Uzman_D!$F$6&lt;0, -(AH49-Uzman_D!$F$6), AH49-Uzman_D!$F$6)*0.1 +
        IF(AI49-Uzman_D!$G$6&lt;0, -(AI49-Uzman_D!$G$6), AI49-Uzman_D!$G$6)*0.1 +
        IF(AJ49-Uzman_D!$H$6&lt;0, -(AJ49-Uzman_D!$H$6), AJ49-Uzman_D!$H$6)*0.1 +
        IF(AK49-Uzman_D!$I$6&lt;0, -(AK49-Uzman_D!$I$6), AK49-Uzman_D!$I$6)*0.1 +
        IF(AL49-Uzman_D!$J$6&lt;0, -(AL49-Uzman_D!$J$6), AL49-Uzman_D!$J$6)*0.1
    ) +
    IF(ROUND((IF(AN49-Uzman_D!$L$6&lt;0, -(AN49-Uzman_D!$L$6), AN49-Uzman_D!$L$6)*2),0)/2 = IF(AN49-Uzman_D!$L$6&lt;0, -(AN49-Uzman_D!$L$6), AN49-Uzman_D!$L$6),
    (ROUND((IF(AN49-Uzman_D!$L$6&lt;0, -(AN49-Uzman_D!$L$6), AN49-Uzman_D!$L$6)*2),0)/1 * 0.1), 0) +
    IF(AO49-Uzman_D!$M$6&lt;0, -(AO49-Uzman_D!$M$6), AO49-Uzman_D!$M$6)*1
)</f>
        <v>-0.60000000000000009</v>
      </c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2"/>
      <c r="BB49" s="72"/>
      <c r="BC49" s="73">
        <f>1 - (
    SUM(
        IF(AQ49-Uzman_D!$B$7&lt;0, -(AQ49-Uzman_D!$B$7), AQ49-Uzman_D!$B$7)*0.1 +
        IF(AR49-Uzman_D!$C$7&lt;0, -(AR49-Uzman_D!$C$7), AR49-Uzman_D!$C$7)*0.1 +
        IF(AS49-Uzman_D!$D$7&lt;0, -(AS49-Uzman_D!$D$7), AS49-Uzman_D!$D$7)*0.1 +
        IF(AT49-Uzman_D!$E$7&lt;0, -(AT49-Uzman_D!$E$7), AT49-Uzman_D!$E$7)*0.1 +
        IF(AU49-Uzman_D!$F$7&lt;0, -(AU49-Uzman_D!$F$7), AU49-Uzman_D!$F$7)*0.1 +
        IF(AV49-Uzman_D!$G$7&lt;0, -(AV49-Uzman_D!$G$7), AV49-Uzman_D!$G$7)*0.1 +
        IF(AW49-Uzman_D!$H$7&lt;0, -(AW49-Uzman_D!$H$7), AW49-Uzman_D!$H$7)*0.1 +
        IF(AX49-Uzman_D!$I$7&lt;0, -(AX49-Uzman_D!$I$7), AX49-Uzman_D!$I$7)*0.1 +
        IF(AY49-Uzman_D!$J$7&lt;0, -(AY49-Uzman_D!$J$7), AY49-Uzman_D!$J$7)*0.1
    ) +
    IF(ROUND((IF(BA49-Uzman_D!$L$7&lt;0, -(BA49-Uzman_D!$L$7), BA49-Uzman_D!$L$7)*2),0)/2 = IF(BA49-Uzman_D!$L$7&lt;0, -(BA49-Uzman_D!$L$7), BA49-Uzman_D!$L$7),
    (ROUND((IF(BA49-Uzman_D!$L$7&lt;0, -(BA49-Uzman_D!$L$7), BA49-Uzman_D!$L$7)*2),0)/1 * 0.1), 0) +
    IF(BB49-Uzman_D!$M$7&lt;0, -(BB49-Uzman_D!$M$7), BB49-Uzman_D!$M$7)*1
)</f>
        <v>-0.50000000000000022</v>
      </c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2"/>
      <c r="BO49" s="72"/>
      <c r="BP49" s="73">
        <f>1 - (
    SUM(
        IF(BD49-Uzman_D!$B$8&lt;0, -(BD49-Uzman_D!$B$8), BD49-Uzman_D!$B$8)*0.1 +
        IF(BE49-Uzman_D!$C$8&lt;0, -(BE49-Uzman_D!$C$8), BE49-Uzman_D!$C$8)*0.1 +
        IF(BF49-Uzman_D!$D$8&lt;0, -(BF49-Uzman_D!$D$8), BF49-Uzman_D!$D$8)*0.1 +
        IF(BG49-Uzman_D!$E$8&lt;0, -(BG49-Uzman_D!$E$8), BG49-Uzman_D!$E$8)*0.1 +
        IF(BH49-Uzman_D!$F$8&lt;0, -(BH49-Uzman_D!$F$8), BH49-Uzman_D!$F$8)*0.1 +
        IF(BI49-Uzman_D!$G$8&lt;0, -(BI49-Uzman_D!$G$8), BI49-Uzman_D!$G$8)*0.1 +
        IF(BJ49-Uzman_D!$H$8&lt;0, -(BJ49-Uzman_D!$H$8), BJ49-Uzman_D!$H$8)*0.1 +
        IF(BK49-Uzman_D!$I$8&lt;0, -(BK49-Uzman_D!$I$8), BK49-Uzman_D!$I$8)*0.1 +
        IF(BL49-Uzman_D!$J$8&lt;0, -(BL49-Uzman_D!$J$8), BL49-Uzman_D!$J$8)*0.1
    ) +
    IF(ROUND((IF(BN49-Uzman_D!$L$8&lt;0, -(BN49-Uzman_D!$L$8), BN49-Uzman_D!$L$8)*2),0)/2 = IF(BN49-Uzman_D!$L$8&lt;0, -(BN49-Uzman_D!$L$8), BN49-Uzman_D!$L$8),
    (ROUND((IF(BN49-Uzman_D!$L$8&lt;0, -(BN49-Uzman_D!$L$8), BN49-Uzman_D!$L$8)*2),0)/1 * 0.1), 0) +
    IF(BO49-Uzman_D!$M$8&lt;0, -(BO49-Uzman_D!$M$8), BO49-Uzman_D!$M$8)*1
)</f>
        <v>-0.20000000000000018</v>
      </c>
      <c r="BQ49" s="74">
        <f t="shared" si="0"/>
        <v>-0.54000000000000026</v>
      </c>
    </row>
    <row r="50" spans="1:69" ht="15" customHeight="1" x14ac:dyDescent="0.2">
      <c r="A50" s="57">
        <v>47</v>
      </c>
      <c r="B50" s="29">
        <f>Hakemler!B50</f>
        <v>0</v>
      </c>
      <c r="C50" s="29">
        <f>Hakemler!C50</f>
        <v>0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2"/>
      <c r="O50" s="72"/>
      <c r="P50" s="73">
        <f>1 - (
    SUM(
        IF(D50-Uzman_D!$B$4&lt;0, -(D50-Uzman_D!$B$4), D50-Uzman_D!$B$4)*0.1 +
        IF(E50-Uzman_D!$C$4&lt;0, -(E50-Uzman_D!$C$4), E50-Uzman_D!$C$4)*0.1 +
        IF(F50-Uzman_D!$D$4&lt;0, -(F50-Uzman_D!$D$4), F50-Uzman_D!$D$4)*0.1 +
        IF(G50-Uzman_D!$E$4&lt;0, -(G50-Uzman_D!$E$4), G50-Uzman_D!$E$4)*0.1 +
        IF(H50-Uzman_D!$F$4&lt;0, -(H50-Uzman_D!$F$4), H50-Uzman_D!$F$4)*0.1 +
        IF(I50-Uzman_D!$G$4&lt;0, -(I50-Uzman_D!$G$4), I50-Uzman_D!$G$4)*0.1 +
        IF(J50-Uzman_D!$H$4&lt;0, -(J50-Uzman_D!$H$4), J50-Uzman_D!$H$4)*0.1 +
        IF(K50-Uzman_D!$I$4&lt;0, -(K50-Uzman_D!$I$4), K50-Uzman_D!$I$4)*0.1 +
        IF(L50-Uzman_D!$J$4&lt;0, -(L50-Uzman_D!$J$4), L50-Uzman_D!$J$4)*0.1
    ) +
    IF(ROUND((IF(N50-Uzman_D!$L$4&lt;0, -(N50-Uzman_D!$L$4), N50-Uzman_D!$L$4)*2),0)/2 = IF(N50-Uzman_D!$L$4&lt;0, -(N50-Uzman_D!$L$4), N50-Uzman_D!$L$4),
    (ROUND((IF(N50-Uzman_D!$L$4&lt;0, -(N50-Uzman_D!$L$4), N50-Uzman_D!$L$4)*2),0)/1 * 0.1), 0) +
    IF(O50-Uzman_D!$M$4&lt;0, -(O50-Uzman_D!$M$4), O50-Uzman_D!$M$4)*1
)</f>
        <v>-0.90000000000000013</v>
      </c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2"/>
      <c r="AB50" s="72"/>
      <c r="AC50" s="73">
        <f>1 - (
    SUM(
        IF(Q50-Uzman_D!$B$5&lt;0, -(Q50-Uzman_D!$B$5), Q50-Uzman_D!$B$5)*0.1 +
        IF(R50-Uzman_D!$C$5&lt;0, -(R50-Uzman_D!$C$5), R50-Uzman_D!$C$5)*0.1 +
        IF(S50-Uzman_D!$D$5&lt;0, -(S50-Uzman_D!$D$5), S50-Uzman_D!$D$5)*0.1 +
        IF(T50-Uzman_D!$E$5&lt;0, -(T50-Uzman_D!$E$5), T50-Uzman_D!$E$5)*0.1 +
        IF(U50-Uzman_D!$F$5&lt;0, -(U50-Uzman_D!$F$5), U50-Uzman_D!$F$5)*0.1 +
        IF(V50-Uzman_D!$G$5&lt;0, -(V50-Uzman_D!$G$5), V50-Uzman_D!$G$5)*0.1 +
        IF(W50-Uzman_D!$H$5&lt;0, -(W50-Uzman_D!$H$5), W50-Uzman_D!$H$5)*0.1 +
        IF(X50-Uzman_D!$I$5&lt;0, -(X50-Uzman_D!$I$5), X50-Uzman_D!$I$5)*0.1 +
        IF(Y50-Uzman_D!$J$5&lt;0, -(Y50-Uzman_D!$J$5), Y50-Uzman_D!$J$5)*0.1
    ) +
    IF(ROUND((IF(AA50-Uzman_D!$L$5&lt;0, -(AA50-Uzman_D!$L$5), AA50-Uzman_D!$L$5)*2),0)/2 = IF(AA50-Uzman_D!$L$5&lt;0, -(AA50-Uzman_D!$L$5), AA50-Uzman_D!$L$5),
    (ROUND((IF(AA50-Uzman_D!$L$5&lt;0, -(AA50-Uzman_D!$L$5), AA50-Uzman_D!$L$5)*2),0)/1 * 0.1), 0) +
    IF(AB50-Uzman_D!$M$5&lt;0, -(AB50-Uzman_D!$M$5), AB50-Uzman_D!$M$5)*1
)</f>
        <v>-0.50000000000000022</v>
      </c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2"/>
      <c r="AO50" s="72"/>
      <c r="AP50" s="73">
        <f>1 - (
    SUM(
        IF(AD50-Uzman_D!$B$6&lt;0, -(AD50-Uzman_D!$B$6), AD50-Uzman_D!$B$6)*0.1 +
        IF(AE50-Uzman_D!$C$6&lt;0, -(AE50-Uzman_D!$C$6), AE50-Uzman_D!$C$6)*0.1 +
        IF(AF50-Uzman_D!$D$6&lt;0, -(AF50-Uzman_D!$D$6), AF50-Uzman_D!$D$6)*0.1 +
        IF(AG50-Uzman_D!$E$6&lt;0, -(AG50-Uzman_D!$E$6), AG50-Uzman_D!$E$6)*0.1 +
        IF(AH50-Uzman_D!$F$6&lt;0, -(AH50-Uzman_D!$F$6), AH50-Uzman_D!$F$6)*0.1 +
        IF(AI50-Uzman_D!$G$6&lt;0, -(AI50-Uzman_D!$G$6), AI50-Uzman_D!$G$6)*0.1 +
        IF(AJ50-Uzman_D!$H$6&lt;0, -(AJ50-Uzman_D!$H$6), AJ50-Uzman_D!$H$6)*0.1 +
        IF(AK50-Uzman_D!$I$6&lt;0, -(AK50-Uzman_D!$I$6), AK50-Uzman_D!$I$6)*0.1 +
        IF(AL50-Uzman_D!$J$6&lt;0, -(AL50-Uzman_D!$J$6), AL50-Uzman_D!$J$6)*0.1
    ) +
    IF(ROUND((IF(AN50-Uzman_D!$L$6&lt;0, -(AN50-Uzman_D!$L$6), AN50-Uzman_D!$L$6)*2),0)/2 = IF(AN50-Uzman_D!$L$6&lt;0, -(AN50-Uzman_D!$L$6), AN50-Uzman_D!$L$6),
    (ROUND((IF(AN50-Uzman_D!$L$6&lt;0, -(AN50-Uzman_D!$L$6), AN50-Uzman_D!$L$6)*2),0)/1 * 0.1), 0) +
    IF(AO50-Uzman_D!$M$6&lt;0, -(AO50-Uzman_D!$M$6), AO50-Uzman_D!$M$6)*1
)</f>
        <v>-0.60000000000000009</v>
      </c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2"/>
      <c r="BB50" s="72"/>
      <c r="BC50" s="73">
        <f>1 - (
    SUM(
        IF(AQ50-Uzman_D!$B$7&lt;0, -(AQ50-Uzman_D!$B$7), AQ50-Uzman_D!$B$7)*0.1 +
        IF(AR50-Uzman_D!$C$7&lt;0, -(AR50-Uzman_D!$C$7), AR50-Uzman_D!$C$7)*0.1 +
        IF(AS50-Uzman_D!$D$7&lt;0, -(AS50-Uzman_D!$D$7), AS50-Uzman_D!$D$7)*0.1 +
        IF(AT50-Uzman_D!$E$7&lt;0, -(AT50-Uzman_D!$E$7), AT50-Uzman_D!$E$7)*0.1 +
        IF(AU50-Uzman_D!$F$7&lt;0, -(AU50-Uzman_D!$F$7), AU50-Uzman_D!$F$7)*0.1 +
        IF(AV50-Uzman_D!$G$7&lt;0, -(AV50-Uzman_D!$G$7), AV50-Uzman_D!$G$7)*0.1 +
        IF(AW50-Uzman_D!$H$7&lt;0, -(AW50-Uzman_D!$H$7), AW50-Uzman_D!$H$7)*0.1 +
        IF(AX50-Uzman_D!$I$7&lt;0, -(AX50-Uzman_D!$I$7), AX50-Uzman_D!$I$7)*0.1 +
        IF(AY50-Uzman_D!$J$7&lt;0, -(AY50-Uzman_D!$J$7), AY50-Uzman_D!$J$7)*0.1
    ) +
    IF(ROUND((IF(BA50-Uzman_D!$L$7&lt;0, -(BA50-Uzman_D!$L$7), BA50-Uzman_D!$L$7)*2),0)/2 = IF(BA50-Uzman_D!$L$7&lt;0, -(BA50-Uzman_D!$L$7), BA50-Uzman_D!$L$7),
    (ROUND((IF(BA50-Uzman_D!$L$7&lt;0, -(BA50-Uzman_D!$L$7), BA50-Uzman_D!$L$7)*2),0)/1 * 0.1), 0) +
    IF(BB50-Uzman_D!$M$7&lt;0, -(BB50-Uzman_D!$M$7), BB50-Uzman_D!$M$7)*1
)</f>
        <v>-0.50000000000000022</v>
      </c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2"/>
      <c r="BO50" s="72"/>
      <c r="BP50" s="73">
        <f>1 - (
    SUM(
        IF(BD50-Uzman_D!$B$8&lt;0, -(BD50-Uzman_D!$B$8), BD50-Uzman_D!$B$8)*0.1 +
        IF(BE50-Uzman_D!$C$8&lt;0, -(BE50-Uzman_D!$C$8), BE50-Uzman_D!$C$8)*0.1 +
        IF(BF50-Uzman_D!$D$8&lt;0, -(BF50-Uzman_D!$D$8), BF50-Uzman_D!$D$8)*0.1 +
        IF(BG50-Uzman_D!$E$8&lt;0, -(BG50-Uzman_D!$E$8), BG50-Uzman_D!$E$8)*0.1 +
        IF(BH50-Uzman_D!$F$8&lt;0, -(BH50-Uzman_D!$F$8), BH50-Uzman_D!$F$8)*0.1 +
        IF(BI50-Uzman_D!$G$8&lt;0, -(BI50-Uzman_D!$G$8), BI50-Uzman_D!$G$8)*0.1 +
        IF(BJ50-Uzman_D!$H$8&lt;0, -(BJ50-Uzman_D!$H$8), BJ50-Uzman_D!$H$8)*0.1 +
        IF(BK50-Uzman_D!$I$8&lt;0, -(BK50-Uzman_D!$I$8), BK50-Uzman_D!$I$8)*0.1 +
        IF(BL50-Uzman_D!$J$8&lt;0, -(BL50-Uzman_D!$J$8), BL50-Uzman_D!$J$8)*0.1
    ) +
    IF(ROUND((IF(BN50-Uzman_D!$L$8&lt;0, -(BN50-Uzman_D!$L$8), BN50-Uzman_D!$L$8)*2),0)/2 = IF(BN50-Uzman_D!$L$8&lt;0, -(BN50-Uzman_D!$L$8), BN50-Uzman_D!$L$8),
    (ROUND((IF(BN50-Uzman_D!$L$8&lt;0, -(BN50-Uzman_D!$L$8), BN50-Uzman_D!$L$8)*2),0)/1 * 0.1), 0) +
    IF(BO50-Uzman_D!$M$8&lt;0, -(BO50-Uzman_D!$M$8), BO50-Uzman_D!$M$8)*1
)</f>
        <v>-0.20000000000000018</v>
      </c>
      <c r="BQ50" s="74">
        <f t="shared" si="0"/>
        <v>-0.54000000000000026</v>
      </c>
    </row>
    <row r="51" spans="1:69" ht="15" customHeight="1" x14ac:dyDescent="0.2">
      <c r="A51" s="57">
        <v>48</v>
      </c>
      <c r="B51" s="37">
        <f>Hakemler!B51</f>
        <v>0</v>
      </c>
      <c r="C51" s="37">
        <f>Hakemler!C51</f>
        <v>0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2"/>
      <c r="O51" s="72"/>
      <c r="P51" s="73">
        <f>1 - (
    SUM(
        IF(D51-Uzman_D!$B$4&lt;0, -(D51-Uzman_D!$B$4), D51-Uzman_D!$B$4)*0.1 +
        IF(E51-Uzman_D!$C$4&lt;0, -(E51-Uzman_D!$C$4), E51-Uzman_D!$C$4)*0.1 +
        IF(F51-Uzman_D!$D$4&lt;0, -(F51-Uzman_D!$D$4), F51-Uzman_D!$D$4)*0.1 +
        IF(G51-Uzman_D!$E$4&lt;0, -(G51-Uzman_D!$E$4), G51-Uzman_D!$E$4)*0.1 +
        IF(H51-Uzman_D!$F$4&lt;0, -(H51-Uzman_D!$F$4), H51-Uzman_D!$F$4)*0.1 +
        IF(I51-Uzman_D!$G$4&lt;0, -(I51-Uzman_D!$G$4), I51-Uzman_D!$G$4)*0.1 +
        IF(J51-Uzman_D!$H$4&lt;0, -(J51-Uzman_D!$H$4), J51-Uzman_D!$H$4)*0.1 +
        IF(K51-Uzman_D!$I$4&lt;0, -(K51-Uzman_D!$I$4), K51-Uzman_D!$I$4)*0.1 +
        IF(L51-Uzman_D!$J$4&lt;0, -(L51-Uzman_D!$J$4), L51-Uzman_D!$J$4)*0.1
    ) +
    IF(ROUND((IF(N51-Uzman_D!$L$4&lt;0, -(N51-Uzman_D!$L$4), N51-Uzman_D!$L$4)*2),0)/2 = IF(N51-Uzman_D!$L$4&lt;0, -(N51-Uzman_D!$L$4), N51-Uzman_D!$L$4),
    (ROUND((IF(N51-Uzman_D!$L$4&lt;0, -(N51-Uzman_D!$L$4), N51-Uzman_D!$L$4)*2),0)/1 * 0.1), 0) +
    IF(O51-Uzman_D!$M$4&lt;0, -(O51-Uzman_D!$M$4), O51-Uzman_D!$M$4)*1
)</f>
        <v>-0.90000000000000013</v>
      </c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2"/>
      <c r="AB51" s="72"/>
      <c r="AC51" s="73">
        <f>1 - (
    SUM(
        IF(Q51-Uzman_D!$B$5&lt;0, -(Q51-Uzman_D!$B$5), Q51-Uzman_D!$B$5)*0.1 +
        IF(R51-Uzman_D!$C$5&lt;0, -(R51-Uzman_D!$C$5), R51-Uzman_D!$C$5)*0.1 +
        IF(S51-Uzman_D!$D$5&lt;0, -(S51-Uzman_D!$D$5), S51-Uzman_D!$D$5)*0.1 +
        IF(T51-Uzman_D!$E$5&lt;0, -(T51-Uzman_D!$E$5), T51-Uzman_D!$E$5)*0.1 +
        IF(U51-Uzman_D!$F$5&lt;0, -(U51-Uzman_D!$F$5), U51-Uzman_D!$F$5)*0.1 +
        IF(V51-Uzman_D!$G$5&lt;0, -(V51-Uzman_D!$G$5), V51-Uzman_D!$G$5)*0.1 +
        IF(W51-Uzman_D!$H$5&lt;0, -(W51-Uzman_D!$H$5), W51-Uzman_D!$H$5)*0.1 +
        IF(X51-Uzman_D!$I$5&lt;0, -(X51-Uzman_D!$I$5), X51-Uzman_D!$I$5)*0.1 +
        IF(Y51-Uzman_D!$J$5&lt;0, -(Y51-Uzman_D!$J$5), Y51-Uzman_D!$J$5)*0.1
    ) +
    IF(ROUND((IF(AA51-Uzman_D!$L$5&lt;0, -(AA51-Uzman_D!$L$5), AA51-Uzman_D!$L$5)*2),0)/2 = IF(AA51-Uzman_D!$L$5&lt;0, -(AA51-Uzman_D!$L$5), AA51-Uzman_D!$L$5),
    (ROUND((IF(AA51-Uzman_D!$L$5&lt;0, -(AA51-Uzman_D!$L$5), AA51-Uzman_D!$L$5)*2),0)/1 * 0.1), 0) +
    IF(AB51-Uzman_D!$M$5&lt;0, -(AB51-Uzman_D!$M$5), AB51-Uzman_D!$M$5)*1
)</f>
        <v>-0.50000000000000022</v>
      </c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2"/>
      <c r="AO51" s="72"/>
      <c r="AP51" s="73">
        <f>1 - (
    SUM(
        IF(AD51-Uzman_D!$B$6&lt;0, -(AD51-Uzman_D!$B$6), AD51-Uzman_D!$B$6)*0.1 +
        IF(AE51-Uzman_D!$C$6&lt;0, -(AE51-Uzman_D!$C$6), AE51-Uzman_D!$C$6)*0.1 +
        IF(AF51-Uzman_D!$D$6&lt;0, -(AF51-Uzman_D!$D$6), AF51-Uzman_D!$D$6)*0.1 +
        IF(AG51-Uzman_D!$E$6&lt;0, -(AG51-Uzman_D!$E$6), AG51-Uzman_D!$E$6)*0.1 +
        IF(AH51-Uzman_D!$F$6&lt;0, -(AH51-Uzman_D!$F$6), AH51-Uzman_D!$F$6)*0.1 +
        IF(AI51-Uzman_D!$G$6&lt;0, -(AI51-Uzman_D!$G$6), AI51-Uzman_D!$G$6)*0.1 +
        IF(AJ51-Uzman_D!$H$6&lt;0, -(AJ51-Uzman_D!$H$6), AJ51-Uzman_D!$H$6)*0.1 +
        IF(AK51-Uzman_D!$I$6&lt;0, -(AK51-Uzman_D!$I$6), AK51-Uzman_D!$I$6)*0.1 +
        IF(AL51-Uzman_D!$J$6&lt;0, -(AL51-Uzman_D!$J$6), AL51-Uzman_D!$J$6)*0.1
    ) +
    IF(ROUND((IF(AN51-Uzman_D!$L$6&lt;0, -(AN51-Uzman_D!$L$6), AN51-Uzman_D!$L$6)*2),0)/2 = IF(AN51-Uzman_D!$L$6&lt;0, -(AN51-Uzman_D!$L$6), AN51-Uzman_D!$L$6),
    (ROUND((IF(AN51-Uzman_D!$L$6&lt;0, -(AN51-Uzman_D!$L$6), AN51-Uzman_D!$L$6)*2),0)/1 * 0.1), 0) +
    IF(AO51-Uzman_D!$M$6&lt;0, -(AO51-Uzman_D!$M$6), AO51-Uzman_D!$M$6)*1
)</f>
        <v>-0.60000000000000009</v>
      </c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2"/>
      <c r="BB51" s="72"/>
      <c r="BC51" s="73">
        <f>1 - (
    SUM(
        IF(AQ51-Uzman_D!$B$7&lt;0, -(AQ51-Uzman_D!$B$7), AQ51-Uzman_D!$B$7)*0.1 +
        IF(AR51-Uzman_D!$C$7&lt;0, -(AR51-Uzman_D!$C$7), AR51-Uzman_D!$C$7)*0.1 +
        IF(AS51-Uzman_D!$D$7&lt;0, -(AS51-Uzman_D!$D$7), AS51-Uzman_D!$D$7)*0.1 +
        IF(AT51-Uzman_D!$E$7&lt;0, -(AT51-Uzman_D!$E$7), AT51-Uzman_D!$E$7)*0.1 +
        IF(AU51-Uzman_D!$F$7&lt;0, -(AU51-Uzman_D!$F$7), AU51-Uzman_D!$F$7)*0.1 +
        IF(AV51-Uzman_D!$G$7&lt;0, -(AV51-Uzman_D!$G$7), AV51-Uzman_D!$G$7)*0.1 +
        IF(AW51-Uzman_D!$H$7&lt;0, -(AW51-Uzman_D!$H$7), AW51-Uzman_D!$H$7)*0.1 +
        IF(AX51-Uzman_D!$I$7&lt;0, -(AX51-Uzman_D!$I$7), AX51-Uzman_D!$I$7)*0.1 +
        IF(AY51-Uzman_D!$J$7&lt;0, -(AY51-Uzman_D!$J$7), AY51-Uzman_D!$J$7)*0.1
    ) +
    IF(ROUND((IF(BA51-Uzman_D!$L$7&lt;0, -(BA51-Uzman_D!$L$7), BA51-Uzman_D!$L$7)*2),0)/2 = IF(BA51-Uzman_D!$L$7&lt;0, -(BA51-Uzman_D!$L$7), BA51-Uzman_D!$L$7),
    (ROUND((IF(BA51-Uzman_D!$L$7&lt;0, -(BA51-Uzman_D!$L$7), BA51-Uzman_D!$L$7)*2),0)/1 * 0.1), 0) +
    IF(BB51-Uzman_D!$M$7&lt;0, -(BB51-Uzman_D!$M$7), BB51-Uzman_D!$M$7)*1
)</f>
        <v>-0.50000000000000022</v>
      </c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2"/>
      <c r="BO51" s="72"/>
      <c r="BP51" s="73">
        <f>1 - (
    SUM(
        IF(BD51-Uzman_D!$B$8&lt;0, -(BD51-Uzman_D!$B$8), BD51-Uzman_D!$B$8)*0.1 +
        IF(BE51-Uzman_D!$C$8&lt;0, -(BE51-Uzman_D!$C$8), BE51-Uzman_D!$C$8)*0.1 +
        IF(BF51-Uzman_D!$D$8&lt;0, -(BF51-Uzman_D!$D$8), BF51-Uzman_D!$D$8)*0.1 +
        IF(BG51-Uzman_D!$E$8&lt;0, -(BG51-Uzman_D!$E$8), BG51-Uzman_D!$E$8)*0.1 +
        IF(BH51-Uzman_D!$F$8&lt;0, -(BH51-Uzman_D!$F$8), BH51-Uzman_D!$F$8)*0.1 +
        IF(BI51-Uzman_D!$G$8&lt;0, -(BI51-Uzman_D!$G$8), BI51-Uzman_D!$G$8)*0.1 +
        IF(BJ51-Uzman_D!$H$8&lt;0, -(BJ51-Uzman_D!$H$8), BJ51-Uzman_D!$H$8)*0.1 +
        IF(BK51-Uzman_D!$I$8&lt;0, -(BK51-Uzman_D!$I$8), BK51-Uzman_D!$I$8)*0.1 +
        IF(BL51-Uzman_D!$J$8&lt;0, -(BL51-Uzman_D!$J$8), BL51-Uzman_D!$J$8)*0.1
    ) +
    IF(ROUND((IF(BN51-Uzman_D!$L$8&lt;0, -(BN51-Uzman_D!$L$8), BN51-Uzman_D!$L$8)*2),0)/2 = IF(BN51-Uzman_D!$L$8&lt;0, -(BN51-Uzman_D!$L$8), BN51-Uzman_D!$L$8),
    (ROUND((IF(BN51-Uzman_D!$L$8&lt;0, -(BN51-Uzman_D!$L$8), BN51-Uzman_D!$L$8)*2),0)/1 * 0.1), 0) +
    IF(BO51-Uzman_D!$M$8&lt;0, -(BO51-Uzman_D!$M$8), BO51-Uzman_D!$M$8)*1
)</f>
        <v>-0.20000000000000018</v>
      </c>
      <c r="BQ51" s="74">
        <f t="shared" si="0"/>
        <v>-0.54000000000000026</v>
      </c>
    </row>
    <row r="52" spans="1:69" ht="15" customHeight="1" x14ac:dyDescent="0.2">
      <c r="A52" s="57">
        <v>49</v>
      </c>
      <c r="B52" s="29">
        <f>Hakemler!B52</f>
        <v>0</v>
      </c>
      <c r="C52" s="29">
        <f>Hakemler!C52</f>
        <v>0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2"/>
      <c r="O52" s="72"/>
      <c r="P52" s="73">
        <f>1 - (
    SUM(
        IF(D52-Uzman_D!$B$4&lt;0, -(D52-Uzman_D!$B$4), D52-Uzman_D!$B$4)*0.1 +
        IF(E52-Uzman_D!$C$4&lt;0, -(E52-Uzman_D!$C$4), E52-Uzman_D!$C$4)*0.1 +
        IF(F52-Uzman_D!$D$4&lt;0, -(F52-Uzman_D!$D$4), F52-Uzman_D!$D$4)*0.1 +
        IF(G52-Uzman_D!$E$4&lt;0, -(G52-Uzman_D!$E$4), G52-Uzman_D!$E$4)*0.1 +
        IF(H52-Uzman_D!$F$4&lt;0, -(H52-Uzman_D!$F$4), H52-Uzman_D!$F$4)*0.1 +
        IF(I52-Uzman_D!$G$4&lt;0, -(I52-Uzman_D!$G$4), I52-Uzman_D!$G$4)*0.1 +
        IF(J52-Uzman_D!$H$4&lt;0, -(J52-Uzman_D!$H$4), J52-Uzman_D!$H$4)*0.1 +
        IF(K52-Uzman_D!$I$4&lt;0, -(K52-Uzman_D!$I$4), K52-Uzman_D!$I$4)*0.1 +
        IF(L52-Uzman_D!$J$4&lt;0, -(L52-Uzman_D!$J$4), L52-Uzman_D!$J$4)*0.1
    ) +
    IF(ROUND((IF(N52-Uzman_D!$L$4&lt;0, -(N52-Uzman_D!$L$4), N52-Uzman_D!$L$4)*2),0)/2 = IF(N52-Uzman_D!$L$4&lt;0, -(N52-Uzman_D!$L$4), N52-Uzman_D!$L$4),
    (ROUND((IF(N52-Uzman_D!$L$4&lt;0, -(N52-Uzman_D!$L$4), N52-Uzman_D!$L$4)*2),0)/1 * 0.1), 0) +
    IF(O52-Uzman_D!$M$4&lt;0, -(O52-Uzman_D!$M$4), O52-Uzman_D!$M$4)*1
)</f>
        <v>-0.90000000000000013</v>
      </c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2"/>
      <c r="AB52" s="72"/>
      <c r="AC52" s="73">
        <f>1 - (
    SUM(
        IF(Q52-Uzman_D!$B$5&lt;0, -(Q52-Uzman_D!$B$5), Q52-Uzman_D!$B$5)*0.1 +
        IF(R52-Uzman_D!$C$5&lt;0, -(R52-Uzman_D!$C$5), R52-Uzman_D!$C$5)*0.1 +
        IF(S52-Uzman_D!$D$5&lt;0, -(S52-Uzman_D!$D$5), S52-Uzman_D!$D$5)*0.1 +
        IF(T52-Uzman_D!$E$5&lt;0, -(T52-Uzman_D!$E$5), T52-Uzman_D!$E$5)*0.1 +
        IF(U52-Uzman_D!$F$5&lt;0, -(U52-Uzman_D!$F$5), U52-Uzman_D!$F$5)*0.1 +
        IF(V52-Uzman_D!$G$5&lt;0, -(V52-Uzman_D!$G$5), V52-Uzman_D!$G$5)*0.1 +
        IF(W52-Uzman_D!$H$5&lt;0, -(W52-Uzman_D!$H$5), W52-Uzman_D!$H$5)*0.1 +
        IF(X52-Uzman_D!$I$5&lt;0, -(X52-Uzman_D!$I$5), X52-Uzman_D!$I$5)*0.1 +
        IF(Y52-Uzman_D!$J$5&lt;0, -(Y52-Uzman_D!$J$5), Y52-Uzman_D!$J$5)*0.1
    ) +
    IF(ROUND((IF(AA52-Uzman_D!$L$5&lt;0, -(AA52-Uzman_D!$L$5), AA52-Uzman_D!$L$5)*2),0)/2 = IF(AA52-Uzman_D!$L$5&lt;0, -(AA52-Uzman_D!$L$5), AA52-Uzman_D!$L$5),
    (ROUND((IF(AA52-Uzman_D!$L$5&lt;0, -(AA52-Uzman_D!$L$5), AA52-Uzman_D!$L$5)*2),0)/1 * 0.1), 0) +
    IF(AB52-Uzman_D!$M$5&lt;0, -(AB52-Uzman_D!$M$5), AB52-Uzman_D!$M$5)*1
)</f>
        <v>-0.50000000000000022</v>
      </c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2"/>
      <c r="AO52" s="72"/>
      <c r="AP52" s="73">
        <f>1 - (
    SUM(
        IF(AD52-Uzman_D!$B$6&lt;0, -(AD52-Uzman_D!$B$6), AD52-Uzman_D!$B$6)*0.1 +
        IF(AE52-Uzman_D!$C$6&lt;0, -(AE52-Uzman_D!$C$6), AE52-Uzman_D!$C$6)*0.1 +
        IF(AF52-Uzman_D!$D$6&lt;0, -(AF52-Uzman_D!$D$6), AF52-Uzman_D!$D$6)*0.1 +
        IF(AG52-Uzman_D!$E$6&lt;0, -(AG52-Uzman_D!$E$6), AG52-Uzman_D!$E$6)*0.1 +
        IF(AH52-Uzman_D!$F$6&lt;0, -(AH52-Uzman_D!$F$6), AH52-Uzman_D!$F$6)*0.1 +
        IF(AI52-Uzman_D!$G$6&lt;0, -(AI52-Uzman_D!$G$6), AI52-Uzman_D!$G$6)*0.1 +
        IF(AJ52-Uzman_D!$H$6&lt;0, -(AJ52-Uzman_D!$H$6), AJ52-Uzman_D!$H$6)*0.1 +
        IF(AK52-Uzman_D!$I$6&lt;0, -(AK52-Uzman_D!$I$6), AK52-Uzman_D!$I$6)*0.1 +
        IF(AL52-Uzman_D!$J$6&lt;0, -(AL52-Uzman_D!$J$6), AL52-Uzman_D!$J$6)*0.1
    ) +
    IF(ROUND((IF(AN52-Uzman_D!$L$6&lt;0, -(AN52-Uzman_D!$L$6), AN52-Uzman_D!$L$6)*2),0)/2 = IF(AN52-Uzman_D!$L$6&lt;0, -(AN52-Uzman_D!$L$6), AN52-Uzman_D!$L$6),
    (ROUND((IF(AN52-Uzman_D!$L$6&lt;0, -(AN52-Uzman_D!$L$6), AN52-Uzman_D!$L$6)*2),0)/1 * 0.1), 0) +
    IF(AO52-Uzman_D!$M$6&lt;0, -(AO52-Uzman_D!$M$6), AO52-Uzman_D!$M$6)*1
)</f>
        <v>-0.60000000000000009</v>
      </c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2"/>
      <c r="BB52" s="72"/>
      <c r="BC52" s="73">
        <f>1 - (
    SUM(
        IF(AQ52-Uzman_D!$B$7&lt;0, -(AQ52-Uzman_D!$B$7), AQ52-Uzman_D!$B$7)*0.1 +
        IF(AR52-Uzman_D!$C$7&lt;0, -(AR52-Uzman_D!$C$7), AR52-Uzman_D!$C$7)*0.1 +
        IF(AS52-Uzman_D!$D$7&lt;0, -(AS52-Uzman_D!$D$7), AS52-Uzman_D!$D$7)*0.1 +
        IF(AT52-Uzman_D!$E$7&lt;0, -(AT52-Uzman_D!$E$7), AT52-Uzman_D!$E$7)*0.1 +
        IF(AU52-Uzman_D!$F$7&lt;0, -(AU52-Uzman_D!$F$7), AU52-Uzman_D!$F$7)*0.1 +
        IF(AV52-Uzman_D!$G$7&lt;0, -(AV52-Uzman_D!$G$7), AV52-Uzman_D!$G$7)*0.1 +
        IF(AW52-Uzman_D!$H$7&lt;0, -(AW52-Uzman_D!$H$7), AW52-Uzman_D!$H$7)*0.1 +
        IF(AX52-Uzman_D!$I$7&lt;0, -(AX52-Uzman_D!$I$7), AX52-Uzman_D!$I$7)*0.1 +
        IF(AY52-Uzman_D!$J$7&lt;0, -(AY52-Uzman_D!$J$7), AY52-Uzman_D!$J$7)*0.1
    ) +
    IF(ROUND((IF(BA52-Uzman_D!$L$7&lt;0, -(BA52-Uzman_D!$L$7), BA52-Uzman_D!$L$7)*2),0)/2 = IF(BA52-Uzman_D!$L$7&lt;0, -(BA52-Uzman_D!$L$7), BA52-Uzman_D!$L$7),
    (ROUND((IF(BA52-Uzman_D!$L$7&lt;0, -(BA52-Uzman_D!$L$7), BA52-Uzman_D!$L$7)*2),0)/1 * 0.1), 0) +
    IF(BB52-Uzman_D!$M$7&lt;0, -(BB52-Uzman_D!$M$7), BB52-Uzman_D!$M$7)*1
)</f>
        <v>-0.50000000000000022</v>
      </c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2"/>
      <c r="BO52" s="72"/>
      <c r="BP52" s="73">
        <f>1 - (
    SUM(
        IF(BD52-Uzman_D!$B$8&lt;0, -(BD52-Uzman_D!$B$8), BD52-Uzman_D!$B$8)*0.1 +
        IF(BE52-Uzman_D!$C$8&lt;0, -(BE52-Uzman_D!$C$8), BE52-Uzman_D!$C$8)*0.1 +
        IF(BF52-Uzman_D!$D$8&lt;0, -(BF52-Uzman_D!$D$8), BF52-Uzman_D!$D$8)*0.1 +
        IF(BG52-Uzman_D!$E$8&lt;0, -(BG52-Uzman_D!$E$8), BG52-Uzman_D!$E$8)*0.1 +
        IF(BH52-Uzman_D!$F$8&lt;0, -(BH52-Uzman_D!$F$8), BH52-Uzman_D!$F$8)*0.1 +
        IF(BI52-Uzman_D!$G$8&lt;0, -(BI52-Uzman_D!$G$8), BI52-Uzman_D!$G$8)*0.1 +
        IF(BJ52-Uzman_D!$H$8&lt;0, -(BJ52-Uzman_D!$H$8), BJ52-Uzman_D!$H$8)*0.1 +
        IF(BK52-Uzman_D!$I$8&lt;0, -(BK52-Uzman_D!$I$8), BK52-Uzman_D!$I$8)*0.1 +
        IF(BL52-Uzman_D!$J$8&lt;0, -(BL52-Uzman_D!$J$8), BL52-Uzman_D!$J$8)*0.1
    ) +
    IF(ROUND((IF(BN52-Uzman_D!$L$8&lt;0, -(BN52-Uzman_D!$L$8), BN52-Uzman_D!$L$8)*2),0)/2 = IF(BN52-Uzman_D!$L$8&lt;0, -(BN52-Uzman_D!$L$8), BN52-Uzman_D!$L$8),
    (ROUND((IF(BN52-Uzman_D!$L$8&lt;0, -(BN52-Uzman_D!$L$8), BN52-Uzman_D!$L$8)*2),0)/1 * 0.1), 0) +
    IF(BO52-Uzman_D!$M$8&lt;0, -(BO52-Uzman_D!$M$8), BO52-Uzman_D!$M$8)*1
)</f>
        <v>-0.20000000000000018</v>
      </c>
      <c r="BQ52" s="74">
        <f t="shared" si="0"/>
        <v>-0.54000000000000026</v>
      </c>
    </row>
    <row r="53" spans="1:69" ht="15" customHeight="1" x14ac:dyDescent="0.2">
      <c r="A53" s="57">
        <v>50</v>
      </c>
      <c r="B53" s="29">
        <f>Hakemler!B53</f>
        <v>0</v>
      </c>
      <c r="C53" s="29">
        <f>Hakemler!C53</f>
        <v>0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2"/>
      <c r="O53" s="72"/>
      <c r="P53" s="73">
        <f>1 - (
    SUM(
        IF(D53-Uzman_D!$B$4&lt;0, -(D53-Uzman_D!$B$4), D53-Uzman_D!$B$4)*0.1 +
        IF(E53-Uzman_D!$C$4&lt;0, -(E53-Uzman_D!$C$4), E53-Uzman_D!$C$4)*0.1 +
        IF(F53-Uzman_D!$D$4&lt;0, -(F53-Uzman_D!$D$4), F53-Uzman_D!$D$4)*0.1 +
        IF(G53-Uzman_D!$E$4&lt;0, -(G53-Uzman_D!$E$4), G53-Uzman_D!$E$4)*0.1 +
        IF(H53-Uzman_D!$F$4&lt;0, -(H53-Uzman_D!$F$4), H53-Uzman_D!$F$4)*0.1 +
        IF(I53-Uzman_D!$G$4&lt;0, -(I53-Uzman_D!$G$4), I53-Uzman_D!$G$4)*0.1 +
        IF(J53-Uzman_D!$H$4&lt;0, -(J53-Uzman_D!$H$4), J53-Uzman_D!$H$4)*0.1 +
        IF(K53-Uzman_D!$I$4&lt;0, -(K53-Uzman_D!$I$4), K53-Uzman_D!$I$4)*0.1 +
        IF(L53-Uzman_D!$J$4&lt;0, -(L53-Uzman_D!$J$4), L53-Uzman_D!$J$4)*0.1
    ) +
    IF(ROUND((IF(N53-Uzman_D!$L$4&lt;0, -(N53-Uzman_D!$L$4), N53-Uzman_D!$L$4)*2),0)/2 = IF(N53-Uzman_D!$L$4&lt;0, -(N53-Uzman_D!$L$4), N53-Uzman_D!$L$4),
    (ROUND((IF(N53-Uzman_D!$L$4&lt;0, -(N53-Uzman_D!$L$4), N53-Uzman_D!$L$4)*2),0)/1 * 0.1), 0) +
    IF(O53-Uzman_D!$M$4&lt;0, -(O53-Uzman_D!$M$4), O53-Uzman_D!$M$4)*1
)</f>
        <v>-0.90000000000000013</v>
      </c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2"/>
      <c r="AB53" s="72"/>
      <c r="AC53" s="73">
        <f>1 - (
    SUM(
        IF(Q53-Uzman_D!$B$5&lt;0, -(Q53-Uzman_D!$B$5), Q53-Uzman_D!$B$5)*0.1 +
        IF(R53-Uzman_D!$C$5&lt;0, -(R53-Uzman_D!$C$5), R53-Uzman_D!$C$5)*0.1 +
        IF(S53-Uzman_D!$D$5&lt;0, -(S53-Uzman_D!$D$5), S53-Uzman_D!$D$5)*0.1 +
        IF(T53-Uzman_D!$E$5&lt;0, -(T53-Uzman_D!$E$5), T53-Uzman_D!$E$5)*0.1 +
        IF(U53-Uzman_D!$F$5&lt;0, -(U53-Uzman_D!$F$5), U53-Uzman_D!$F$5)*0.1 +
        IF(V53-Uzman_D!$G$5&lt;0, -(V53-Uzman_D!$G$5), V53-Uzman_D!$G$5)*0.1 +
        IF(W53-Uzman_D!$H$5&lt;0, -(W53-Uzman_D!$H$5), W53-Uzman_D!$H$5)*0.1 +
        IF(X53-Uzman_D!$I$5&lt;0, -(X53-Uzman_D!$I$5), X53-Uzman_D!$I$5)*0.1 +
        IF(Y53-Uzman_D!$J$5&lt;0, -(Y53-Uzman_D!$J$5), Y53-Uzman_D!$J$5)*0.1
    ) +
    IF(ROUND((IF(AA53-Uzman_D!$L$5&lt;0, -(AA53-Uzman_D!$L$5), AA53-Uzman_D!$L$5)*2),0)/2 = IF(AA53-Uzman_D!$L$5&lt;0, -(AA53-Uzman_D!$L$5), AA53-Uzman_D!$L$5),
    (ROUND((IF(AA53-Uzman_D!$L$5&lt;0, -(AA53-Uzman_D!$L$5), AA53-Uzman_D!$L$5)*2),0)/1 * 0.1), 0) +
    IF(AB53-Uzman_D!$M$5&lt;0, -(AB53-Uzman_D!$M$5), AB53-Uzman_D!$M$5)*1
)</f>
        <v>-0.50000000000000022</v>
      </c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2"/>
      <c r="AO53" s="72"/>
      <c r="AP53" s="73">
        <f>1 - (
    SUM(
        IF(AD53-Uzman_D!$B$6&lt;0, -(AD53-Uzman_D!$B$6), AD53-Uzman_D!$B$6)*0.1 +
        IF(AE53-Uzman_D!$C$6&lt;0, -(AE53-Uzman_D!$C$6), AE53-Uzman_D!$C$6)*0.1 +
        IF(AF53-Uzman_D!$D$6&lt;0, -(AF53-Uzman_D!$D$6), AF53-Uzman_D!$D$6)*0.1 +
        IF(AG53-Uzman_D!$E$6&lt;0, -(AG53-Uzman_D!$E$6), AG53-Uzman_D!$E$6)*0.1 +
        IF(AH53-Uzman_D!$F$6&lt;0, -(AH53-Uzman_D!$F$6), AH53-Uzman_D!$F$6)*0.1 +
        IF(AI53-Uzman_D!$G$6&lt;0, -(AI53-Uzman_D!$G$6), AI53-Uzman_D!$G$6)*0.1 +
        IF(AJ53-Uzman_D!$H$6&lt;0, -(AJ53-Uzman_D!$H$6), AJ53-Uzman_D!$H$6)*0.1 +
        IF(AK53-Uzman_D!$I$6&lt;0, -(AK53-Uzman_D!$I$6), AK53-Uzman_D!$I$6)*0.1 +
        IF(AL53-Uzman_D!$J$6&lt;0, -(AL53-Uzman_D!$J$6), AL53-Uzman_D!$J$6)*0.1
    ) +
    IF(ROUND((IF(AN53-Uzman_D!$L$6&lt;0, -(AN53-Uzman_D!$L$6), AN53-Uzman_D!$L$6)*2),0)/2 = IF(AN53-Uzman_D!$L$6&lt;0, -(AN53-Uzman_D!$L$6), AN53-Uzman_D!$L$6),
    (ROUND((IF(AN53-Uzman_D!$L$6&lt;0, -(AN53-Uzman_D!$L$6), AN53-Uzman_D!$L$6)*2),0)/1 * 0.1), 0) +
    IF(AO53-Uzman_D!$M$6&lt;0, -(AO53-Uzman_D!$M$6), AO53-Uzman_D!$M$6)*1
)</f>
        <v>-0.60000000000000009</v>
      </c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2"/>
      <c r="BB53" s="72"/>
      <c r="BC53" s="73">
        <f>1 - (
    SUM(
        IF(AQ53-Uzman_D!$B$7&lt;0, -(AQ53-Uzman_D!$B$7), AQ53-Uzman_D!$B$7)*0.1 +
        IF(AR53-Uzman_D!$C$7&lt;0, -(AR53-Uzman_D!$C$7), AR53-Uzman_D!$C$7)*0.1 +
        IF(AS53-Uzman_D!$D$7&lt;0, -(AS53-Uzman_D!$D$7), AS53-Uzman_D!$D$7)*0.1 +
        IF(AT53-Uzman_D!$E$7&lt;0, -(AT53-Uzman_D!$E$7), AT53-Uzman_D!$E$7)*0.1 +
        IF(AU53-Uzman_D!$F$7&lt;0, -(AU53-Uzman_D!$F$7), AU53-Uzman_D!$F$7)*0.1 +
        IF(AV53-Uzman_D!$G$7&lt;0, -(AV53-Uzman_D!$G$7), AV53-Uzman_D!$G$7)*0.1 +
        IF(AW53-Uzman_D!$H$7&lt;0, -(AW53-Uzman_D!$H$7), AW53-Uzman_D!$H$7)*0.1 +
        IF(AX53-Uzman_D!$I$7&lt;0, -(AX53-Uzman_D!$I$7), AX53-Uzman_D!$I$7)*0.1 +
        IF(AY53-Uzman_D!$J$7&lt;0, -(AY53-Uzman_D!$J$7), AY53-Uzman_D!$J$7)*0.1
    ) +
    IF(ROUND((IF(BA53-Uzman_D!$L$7&lt;0, -(BA53-Uzman_D!$L$7), BA53-Uzman_D!$L$7)*2),0)/2 = IF(BA53-Uzman_D!$L$7&lt;0, -(BA53-Uzman_D!$L$7), BA53-Uzman_D!$L$7),
    (ROUND((IF(BA53-Uzman_D!$L$7&lt;0, -(BA53-Uzman_D!$L$7), BA53-Uzman_D!$L$7)*2),0)/1 * 0.1), 0) +
    IF(BB53-Uzman_D!$M$7&lt;0, -(BB53-Uzman_D!$M$7), BB53-Uzman_D!$M$7)*1
)</f>
        <v>-0.50000000000000022</v>
      </c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2"/>
      <c r="BO53" s="72"/>
      <c r="BP53" s="73">
        <f>1 - (
    SUM(
        IF(BD53-Uzman_D!$B$8&lt;0, -(BD53-Uzman_D!$B$8), BD53-Uzman_D!$B$8)*0.1 +
        IF(BE53-Uzman_D!$C$8&lt;0, -(BE53-Uzman_D!$C$8), BE53-Uzman_D!$C$8)*0.1 +
        IF(BF53-Uzman_D!$D$8&lt;0, -(BF53-Uzman_D!$D$8), BF53-Uzman_D!$D$8)*0.1 +
        IF(BG53-Uzman_D!$E$8&lt;0, -(BG53-Uzman_D!$E$8), BG53-Uzman_D!$E$8)*0.1 +
        IF(BH53-Uzman_D!$F$8&lt;0, -(BH53-Uzman_D!$F$8), BH53-Uzman_D!$F$8)*0.1 +
        IF(BI53-Uzman_D!$G$8&lt;0, -(BI53-Uzman_D!$G$8), BI53-Uzman_D!$G$8)*0.1 +
        IF(BJ53-Uzman_D!$H$8&lt;0, -(BJ53-Uzman_D!$H$8), BJ53-Uzman_D!$H$8)*0.1 +
        IF(BK53-Uzman_D!$I$8&lt;0, -(BK53-Uzman_D!$I$8), BK53-Uzman_D!$I$8)*0.1 +
        IF(BL53-Uzman_D!$J$8&lt;0, -(BL53-Uzman_D!$J$8), BL53-Uzman_D!$J$8)*0.1
    ) +
    IF(ROUND((IF(BN53-Uzman_D!$L$8&lt;0, -(BN53-Uzman_D!$L$8), BN53-Uzman_D!$L$8)*2),0)/2 = IF(BN53-Uzman_D!$L$8&lt;0, -(BN53-Uzman_D!$L$8), BN53-Uzman_D!$L$8),
    (ROUND((IF(BN53-Uzman_D!$L$8&lt;0, -(BN53-Uzman_D!$L$8), BN53-Uzman_D!$L$8)*2),0)/1 * 0.1), 0) +
    IF(BO53-Uzman_D!$M$8&lt;0, -(BO53-Uzman_D!$M$8), BO53-Uzman_D!$M$8)*1
)</f>
        <v>-0.20000000000000018</v>
      </c>
      <c r="BQ53" s="74">
        <f t="shared" si="0"/>
        <v>-0.54000000000000026</v>
      </c>
    </row>
    <row r="54" spans="1:69" ht="15" customHeight="1" x14ac:dyDescent="0.2">
      <c r="A54" s="57">
        <v>51</v>
      </c>
      <c r="B54" s="37">
        <f>Hakemler!B54</f>
        <v>0</v>
      </c>
      <c r="C54" s="37">
        <f>Hakemler!C54</f>
        <v>0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2"/>
      <c r="O54" s="72"/>
      <c r="P54" s="73">
        <f>1 - (
    SUM(
        IF(D54-Uzman_D!$B$4&lt;0, -(D54-Uzman_D!$B$4), D54-Uzman_D!$B$4)*0.1 +
        IF(E54-Uzman_D!$C$4&lt;0, -(E54-Uzman_D!$C$4), E54-Uzman_D!$C$4)*0.1 +
        IF(F54-Uzman_D!$D$4&lt;0, -(F54-Uzman_D!$D$4), F54-Uzman_D!$D$4)*0.1 +
        IF(G54-Uzman_D!$E$4&lt;0, -(G54-Uzman_D!$E$4), G54-Uzman_D!$E$4)*0.1 +
        IF(H54-Uzman_D!$F$4&lt;0, -(H54-Uzman_D!$F$4), H54-Uzman_D!$F$4)*0.1 +
        IF(I54-Uzman_D!$G$4&lt;0, -(I54-Uzman_D!$G$4), I54-Uzman_D!$G$4)*0.1 +
        IF(J54-Uzman_D!$H$4&lt;0, -(J54-Uzman_D!$H$4), J54-Uzman_D!$H$4)*0.1 +
        IF(K54-Uzman_D!$I$4&lt;0, -(K54-Uzman_D!$I$4), K54-Uzman_D!$I$4)*0.1 +
        IF(L54-Uzman_D!$J$4&lt;0, -(L54-Uzman_D!$J$4), L54-Uzman_D!$J$4)*0.1
    ) +
    IF(ROUND((IF(N54-Uzman_D!$L$4&lt;0, -(N54-Uzman_D!$L$4), N54-Uzman_D!$L$4)*2),0)/2 = IF(N54-Uzman_D!$L$4&lt;0, -(N54-Uzman_D!$L$4), N54-Uzman_D!$L$4),
    (ROUND((IF(N54-Uzman_D!$L$4&lt;0, -(N54-Uzman_D!$L$4), N54-Uzman_D!$L$4)*2),0)/1 * 0.1), 0) +
    IF(O54-Uzman_D!$M$4&lt;0, -(O54-Uzman_D!$M$4), O54-Uzman_D!$M$4)*1
)</f>
        <v>-0.90000000000000013</v>
      </c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2"/>
      <c r="AB54" s="72"/>
      <c r="AC54" s="73">
        <f>1 - (
    SUM(
        IF(Q54-Uzman_D!$B$5&lt;0, -(Q54-Uzman_D!$B$5), Q54-Uzman_D!$B$5)*0.1 +
        IF(R54-Uzman_D!$C$5&lt;0, -(R54-Uzman_D!$C$5), R54-Uzman_D!$C$5)*0.1 +
        IF(S54-Uzman_D!$D$5&lt;0, -(S54-Uzman_D!$D$5), S54-Uzman_D!$D$5)*0.1 +
        IF(T54-Uzman_D!$E$5&lt;0, -(T54-Uzman_D!$E$5), T54-Uzman_D!$E$5)*0.1 +
        IF(U54-Uzman_D!$F$5&lt;0, -(U54-Uzman_D!$F$5), U54-Uzman_D!$F$5)*0.1 +
        IF(V54-Uzman_D!$G$5&lt;0, -(V54-Uzman_D!$G$5), V54-Uzman_D!$G$5)*0.1 +
        IF(W54-Uzman_D!$H$5&lt;0, -(W54-Uzman_D!$H$5), W54-Uzman_D!$H$5)*0.1 +
        IF(X54-Uzman_D!$I$5&lt;0, -(X54-Uzman_D!$I$5), X54-Uzman_D!$I$5)*0.1 +
        IF(Y54-Uzman_D!$J$5&lt;0, -(Y54-Uzman_D!$J$5), Y54-Uzman_D!$J$5)*0.1
    ) +
    IF(ROUND((IF(AA54-Uzman_D!$L$5&lt;0, -(AA54-Uzman_D!$L$5), AA54-Uzman_D!$L$5)*2),0)/2 = IF(AA54-Uzman_D!$L$5&lt;0, -(AA54-Uzman_D!$L$5), AA54-Uzman_D!$L$5),
    (ROUND((IF(AA54-Uzman_D!$L$5&lt;0, -(AA54-Uzman_D!$L$5), AA54-Uzman_D!$L$5)*2),0)/1 * 0.1), 0) +
    IF(AB54-Uzman_D!$M$5&lt;0, -(AB54-Uzman_D!$M$5), AB54-Uzman_D!$M$5)*1
)</f>
        <v>-0.50000000000000022</v>
      </c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2"/>
      <c r="AO54" s="72"/>
      <c r="AP54" s="73">
        <f>1 - (
    SUM(
        IF(AD54-Uzman_D!$B$6&lt;0, -(AD54-Uzman_D!$B$6), AD54-Uzman_D!$B$6)*0.1 +
        IF(AE54-Uzman_D!$C$6&lt;0, -(AE54-Uzman_D!$C$6), AE54-Uzman_D!$C$6)*0.1 +
        IF(AF54-Uzman_D!$D$6&lt;0, -(AF54-Uzman_D!$D$6), AF54-Uzman_D!$D$6)*0.1 +
        IF(AG54-Uzman_D!$E$6&lt;0, -(AG54-Uzman_D!$E$6), AG54-Uzman_D!$E$6)*0.1 +
        IF(AH54-Uzman_D!$F$6&lt;0, -(AH54-Uzman_D!$F$6), AH54-Uzman_D!$F$6)*0.1 +
        IF(AI54-Uzman_D!$G$6&lt;0, -(AI54-Uzman_D!$G$6), AI54-Uzman_D!$G$6)*0.1 +
        IF(AJ54-Uzman_D!$H$6&lt;0, -(AJ54-Uzman_D!$H$6), AJ54-Uzman_D!$H$6)*0.1 +
        IF(AK54-Uzman_D!$I$6&lt;0, -(AK54-Uzman_D!$I$6), AK54-Uzman_D!$I$6)*0.1 +
        IF(AL54-Uzman_D!$J$6&lt;0, -(AL54-Uzman_D!$J$6), AL54-Uzman_D!$J$6)*0.1
    ) +
    IF(ROUND((IF(AN54-Uzman_D!$L$6&lt;0, -(AN54-Uzman_D!$L$6), AN54-Uzman_D!$L$6)*2),0)/2 = IF(AN54-Uzman_D!$L$6&lt;0, -(AN54-Uzman_D!$L$6), AN54-Uzman_D!$L$6),
    (ROUND((IF(AN54-Uzman_D!$L$6&lt;0, -(AN54-Uzman_D!$L$6), AN54-Uzman_D!$L$6)*2),0)/1 * 0.1), 0) +
    IF(AO54-Uzman_D!$M$6&lt;0, -(AO54-Uzman_D!$M$6), AO54-Uzman_D!$M$6)*1
)</f>
        <v>-0.60000000000000009</v>
      </c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2"/>
      <c r="BB54" s="72"/>
      <c r="BC54" s="73">
        <f>1 - (
    SUM(
        IF(AQ54-Uzman_D!$B$7&lt;0, -(AQ54-Uzman_D!$B$7), AQ54-Uzman_D!$B$7)*0.1 +
        IF(AR54-Uzman_D!$C$7&lt;0, -(AR54-Uzman_D!$C$7), AR54-Uzman_D!$C$7)*0.1 +
        IF(AS54-Uzman_D!$D$7&lt;0, -(AS54-Uzman_D!$D$7), AS54-Uzman_D!$D$7)*0.1 +
        IF(AT54-Uzman_D!$E$7&lt;0, -(AT54-Uzman_D!$E$7), AT54-Uzman_D!$E$7)*0.1 +
        IF(AU54-Uzman_D!$F$7&lt;0, -(AU54-Uzman_D!$F$7), AU54-Uzman_D!$F$7)*0.1 +
        IF(AV54-Uzman_D!$G$7&lt;0, -(AV54-Uzman_D!$G$7), AV54-Uzman_D!$G$7)*0.1 +
        IF(AW54-Uzman_D!$H$7&lt;0, -(AW54-Uzman_D!$H$7), AW54-Uzman_D!$H$7)*0.1 +
        IF(AX54-Uzman_D!$I$7&lt;0, -(AX54-Uzman_D!$I$7), AX54-Uzman_D!$I$7)*0.1 +
        IF(AY54-Uzman_D!$J$7&lt;0, -(AY54-Uzman_D!$J$7), AY54-Uzman_D!$J$7)*0.1
    ) +
    IF(ROUND((IF(BA54-Uzman_D!$L$7&lt;0, -(BA54-Uzman_D!$L$7), BA54-Uzman_D!$L$7)*2),0)/2 = IF(BA54-Uzman_D!$L$7&lt;0, -(BA54-Uzman_D!$L$7), BA54-Uzman_D!$L$7),
    (ROUND((IF(BA54-Uzman_D!$L$7&lt;0, -(BA54-Uzman_D!$L$7), BA54-Uzman_D!$L$7)*2),0)/1 * 0.1), 0) +
    IF(BB54-Uzman_D!$M$7&lt;0, -(BB54-Uzman_D!$M$7), BB54-Uzman_D!$M$7)*1
)</f>
        <v>-0.50000000000000022</v>
      </c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2"/>
      <c r="BO54" s="72"/>
      <c r="BP54" s="73">
        <f>1 - (
    SUM(
        IF(BD54-Uzman_D!$B$8&lt;0, -(BD54-Uzman_D!$B$8), BD54-Uzman_D!$B$8)*0.1 +
        IF(BE54-Uzman_D!$C$8&lt;0, -(BE54-Uzman_D!$C$8), BE54-Uzman_D!$C$8)*0.1 +
        IF(BF54-Uzman_D!$D$8&lt;0, -(BF54-Uzman_D!$D$8), BF54-Uzman_D!$D$8)*0.1 +
        IF(BG54-Uzman_D!$E$8&lt;0, -(BG54-Uzman_D!$E$8), BG54-Uzman_D!$E$8)*0.1 +
        IF(BH54-Uzman_D!$F$8&lt;0, -(BH54-Uzman_D!$F$8), BH54-Uzman_D!$F$8)*0.1 +
        IF(BI54-Uzman_D!$G$8&lt;0, -(BI54-Uzman_D!$G$8), BI54-Uzman_D!$G$8)*0.1 +
        IF(BJ54-Uzman_D!$H$8&lt;0, -(BJ54-Uzman_D!$H$8), BJ54-Uzman_D!$H$8)*0.1 +
        IF(BK54-Uzman_D!$I$8&lt;0, -(BK54-Uzman_D!$I$8), BK54-Uzman_D!$I$8)*0.1 +
        IF(BL54-Uzman_D!$J$8&lt;0, -(BL54-Uzman_D!$J$8), BL54-Uzman_D!$J$8)*0.1
    ) +
    IF(ROUND((IF(BN54-Uzman_D!$L$8&lt;0, -(BN54-Uzman_D!$L$8), BN54-Uzman_D!$L$8)*2),0)/2 = IF(BN54-Uzman_D!$L$8&lt;0, -(BN54-Uzman_D!$L$8), BN54-Uzman_D!$L$8),
    (ROUND((IF(BN54-Uzman_D!$L$8&lt;0, -(BN54-Uzman_D!$L$8), BN54-Uzman_D!$L$8)*2),0)/1 * 0.1), 0) +
    IF(BO54-Uzman_D!$M$8&lt;0, -(BO54-Uzman_D!$M$8), BO54-Uzman_D!$M$8)*1
)</f>
        <v>-0.20000000000000018</v>
      </c>
      <c r="BQ54" s="74">
        <f t="shared" si="0"/>
        <v>-0.54000000000000026</v>
      </c>
    </row>
    <row r="55" spans="1:69" ht="15" customHeight="1" x14ac:dyDescent="0.2">
      <c r="A55" s="57">
        <v>52</v>
      </c>
      <c r="B55" s="37">
        <f>Hakemler!B55</f>
        <v>0</v>
      </c>
      <c r="C55" s="37">
        <f>Hakemler!C55</f>
        <v>0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2"/>
      <c r="O55" s="72"/>
      <c r="P55" s="73">
        <f>1 - (
    SUM(
        IF(D55-Uzman_D!$B$4&lt;0, -(D55-Uzman_D!$B$4), D55-Uzman_D!$B$4)*0.1 +
        IF(E55-Uzman_D!$C$4&lt;0, -(E55-Uzman_D!$C$4), E55-Uzman_D!$C$4)*0.1 +
        IF(F55-Uzman_D!$D$4&lt;0, -(F55-Uzman_D!$D$4), F55-Uzman_D!$D$4)*0.1 +
        IF(G55-Uzman_D!$E$4&lt;0, -(G55-Uzman_D!$E$4), G55-Uzman_D!$E$4)*0.1 +
        IF(H55-Uzman_D!$F$4&lt;0, -(H55-Uzman_D!$F$4), H55-Uzman_D!$F$4)*0.1 +
        IF(I55-Uzman_D!$G$4&lt;0, -(I55-Uzman_D!$G$4), I55-Uzman_D!$G$4)*0.1 +
        IF(J55-Uzman_D!$H$4&lt;0, -(J55-Uzman_D!$H$4), J55-Uzman_D!$H$4)*0.1 +
        IF(K55-Uzman_D!$I$4&lt;0, -(K55-Uzman_D!$I$4), K55-Uzman_D!$I$4)*0.1 +
        IF(L55-Uzman_D!$J$4&lt;0, -(L55-Uzman_D!$J$4), L55-Uzman_D!$J$4)*0.1
    ) +
    IF(ROUND((IF(N55-Uzman_D!$L$4&lt;0, -(N55-Uzman_D!$L$4), N55-Uzman_D!$L$4)*2),0)/2 = IF(N55-Uzman_D!$L$4&lt;0, -(N55-Uzman_D!$L$4), N55-Uzman_D!$L$4),
    (ROUND((IF(N55-Uzman_D!$L$4&lt;0, -(N55-Uzman_D!$L$4), N55-Uzman_D!$L$4)*2),0)/1 * 0.1), 0) +
    IF(O55-Uzman_D!$M$4&lt;0, -(O55-Uzman_D!$M$4), O55-Uzman_D!$M$4)*1
)</f>
        <v>-0.90000000000000013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2"/>
      <c r="AB55" s="72"/>
      <c r="AC55" s="73">
        <f>1 - (
    SUM(
        IF(Q55-Uzman_D!$B$5&lt;0, -(Q55-Uzman_D!$B$5), Q55-Uzman_D!$B$5)*0.1 +
        IF(R55-Uzman_D!$C$5&lt;0, -(R55-Uzman_D!$C$5), R55-Uzman_D!$C$5)*0.1 +
        IF(S55-Uzman_D!$D$5&lt;0, -(S55-Uzman_D!$D$5), S55-Uzman_D!$D$5)*0.1 +
        IF(T55-Uzman_D!$E$5&lt;0, -(T55-Uzman_D!$E$5), T55-Uzman_D!$E$5)*0.1 +
        IF(U55-Uzman_D!$F$5&lt;0, -(U55-Uzman_D!$F$5), U55-Uzman_D!$F$5)*0.1 +
        IF(V55-Uzman_D!$G$5&lt;0, -(V55-Uzman_D!$G$5), V55-Uzman_D!$G$5)*0.1 +
        IF(W55-Uzman_D!$H$5&lt;0, -(W55-Uzman_D!$H$5), W55-Uzman_D!$H$5)*0.1 +
        IF(X55-Uzman_D!$I$5&lt;0, -(X55-Uzman_D!$I$5), X55-Uzman_D!$I$5)*0.1 +
        IF(Y55-Uzman_D!$J$5&lt;0, -(Y55-Uzman_D!$J$5), Y55-Uzman_D!$J$5)*0.1
    ) +
    IF(ROUND((IF(AA55-Uzman_D!$L$5&lt;0, -(AA55-Uzman_D!$L$5), AA55-Uzman_D!$L$5)*2),0)/2 = IF(AA55-Uzman_D!$L$5&lt;0, -(AA55-Uzman_D!$L$5), AA55-Uzman_D!$L$5),
    (ROUND((IF(AA55-Uzman_D!$L$5&lt;0, -(AA55-Uzman_D!$L$5), AA55-Uzman_D!$L$5)*2),0)/1 * 0.1), 0) +
    IF(AB55-Uzman_D!$M$5&lt;0, -(AB55-Uzman_D!$M$5), AB55-Uzman_D!$M$5)*1
)</f>
        <v>-0.50000000000000022</v>
      </c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2"/>
      <c r="AO55" s="72"/>
      <c r="AP55" s="73">
        <f>1 - (
    SUM(
        IF(AD55-Uzman_D!$B$6&lt;0, -(AD55-Uzman_D!$B$6), AD55-Uzman_D!$B$6)*0.1 +
        IF(AE55-Uzman_D!$C$6&lt;0, -(AE55-Uzman_D!$C$6), AE55-Uzman_D!$C$6)*0.1 +
        IF(AF55-Uzman_D!$D$6&lt;0, -(AF55-Uzman_D!$D$6), AF55-Uzman_D!$D$6)*0.1 +
        IF(AG55-Uzman_D!$E$6&lt;0, -(AG55-Uzman_D!$E$6), AG55-Uzman_D!$E$6)*0.1 +
        IF(AH55-Uzman_D!$F$6&lt;0, -(AH55-Uzman_D!$F$6), AH55-Uzman_D!$F$6)*0.1 +
        IF(AI55-Uzman_D!$G$6&lt;0, -(AI55-Uzman_D!$G$6), AI55-Uzman_D!$G$6)*0.1 +
        IF(AJ55-Uzman_D!$H$6&lt;0, -(AJ55-Uzman_D!$H$6), AJ55-Uzman_D!$H$6)*0.1 +
        IF(AK55-Uzman_D!$I$6&lt;0, -(AK55-Uzman_D!$I$6), AK55-Uzman_D!$I$6)*0.1 +
        IF(AL55-Uzman_D!$J$6&lt;0, -(AL55-Uzman_D!$J$6), AL55-Uzman_D!$J$6)*0.1
    ) +
    IF(ROUND((IF(AN55-Uzman_D!$L$6&lt;0, -(AN55-Uzman_D!$L$6), AN55-Uzman_D!$L$6)*2),0)/2 = IF(AN55-Uzman_D!$L$6&lt;0, -(AN55-Uzman_D!$L$6), AN55-Uzman_D!$L$6),
    (ROUND((IF(AN55-Uzman_D!$L$6&lt;0, -(AN55-Uzman_D!$L$6), AN55-Uzman_D!$L$6)*2),0)/1 * 0.1), 0) +
    IF(AO55-Uzman_D!$M$6&lt;0, -(AO55-Uzman_D!$M$6), AO55-Uzman_D!$M$6)*1
)</f>
        <v>-0.60000000000000009</v>
      </c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2"/>
      <c r="BB55" s="72"/>
      <c r="BC55" s="73">
        <f>1 - (
    SUM(
        IF(AQ55-Uzman_D!$B$7&lt;0, -(AQ55-Uzman_D!$B$7), AQ55-Uzman_D!$B$7)*0.1 +
        IF(AR55-Uzman_D!$C$7&lt;0, -(AR55-Uzman_D!$C$7), AR55-Uzman_D!$C$7)*0.1 +
        IF(AS55-Uzman_D!$D$7&lt;0, -(AS55-Uzman_D!$D$7), AS55-Uzman_D!$D$7)*0.1 +
        IF(AT55-Uzman_D!$E$7&lt;0, -(AT55-Uzman_D!$E$7), AT55-Uzman_D!$E$7)*0.1 +
        IF(AU55-Uzman_D!$F$7&lt;0, -(AU55-Uzman_D!$F$7), AU55-Uzman_D!$F$7)*0.1 +
        IF(AV55-Uzman_D!$G$7&lt;0, -(AV55-Uzman_D!$G$7), AV55-Uzman_D!$G$7)*0.1 +
        IF(AW55-Uzman_D!$H$7&lt;0, -(AW55-Uzman_D!$H$7), AW55-Uzman_D!$H$7)*0.1 +
        IF(AX55-Uzman_D!$I$7&lt;0, -(AX55-Uzman_D!$I$7), AX55-Uzman_D!$I$7)*0.1 +
        IF(AY55-Uzman_D!$J$7&lt;0, -(AY55-Uzman_D!$J$7), AY55-Uzman_D!$J$7)*0.1
    ) +
    IF(ROUND((IF(BA55-Uzman_D!$L$7&lt;0, -(BA55-Uzman_D!$L$7), BA55-Uzman_D!$L$7)*2),0)/2 = IF(BA55-Uzman_D!$L$7&lt;0, -(BA55-Uzman_D!$L$7), BA55-Uzman_D!$L$7),
    (ROUND((IF(BA55-Uzman_D!$L$7&lt;0, -(BA55-Uzman_D!$L$7), BA55-Uzman_D!$L$7)*2),0)/1 * 0.1), 0) +
    IF(BB55-Uzman_D!$M$7&lt;0, -(BB55-Uzman_D!$M$7), BB55-Uzman_D!$M$7)*1
)</f>
        <v>-0.50000000000000022</v>
      </c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2"/>
      <c r="BO55" s="72"/>
      <c r="BP55" s="73">
        <f>1 - (
    SUM(
        IF(BD55-Uzman_D!$B$8&lt;0, -(BD55-Uzman_D!$B$8), BD55-Uzman_D!$B$8)*0.1 +
        IF(BE55-Uzman_D!$C$8&lt;0, -(BE55-Uzman_D!$C$8), BE55-Uzman_D!$C$8)*0.1 +
        IF(BF55-Uzman_D!$D$8&lt;0, -(BF55-Uzman_D!$D$8), BF55-Uzman_D!$D$8)*0.1 +
        IF(BG55-Uzman_D!$E$8&lt;0, -(BG55-Uzman_D!$E$8), BG55-Uzman_D!$E$8)*0.1 +
        IF(BH55-Uzman_D!$F$8&lt;0, -(BH55-Uzman_D!$F$8), BH55-Uzman_D!$F$8)*0.1 +
        IF(BI55-Uzman_D!$G$8&lt;0, -(BI55-Uzman_D!$G$8), BI55-Uzman_D!$G$8)*0.1 +
        IF(BJ55-Uzman_D!$H$8&lt;0, -(BJ55-Uzman_D!$H$8), BJ55-Uzman_D!$H$8)*0.1 +
        IF(BK55-Uzman_D!$I$8&lt;0, -(BK55-Uzman_D!$I$8), BK55-Uzman_D!$I$8)*0.1 +
        IF(BL55-Uzman_D!$J$8&lt;0, -(BL55-Uzman_D!$J$8), BL55-Uzman_D!$J$8)*0.1
    ) +
    IF(ROUND((IF(BN55-Uzman_D!$L$8&lt;0, -(BN55-Uzman_D!$L$8), BN55-Uzman_D!$L$8)*2),0)/2 = IF(BN55-Uzman_D!$L$8&lt;0, -(BN55-Uzman_D!$L$8), BN55-Uzman_D!$L$8),
    (ROUND((IF(BN55-Uzman_D!$L$8&lt;0, -(BN55-Uzman_D!$L$8), BN55-Uzman_D!$L$8)*2),0)/1 * 0.1), 0) +
    IF(BO55-Uzman_D!$M$8&lt;0, -(BO55-Uzman_D!$M$8), BO55-Uzman_D!$M$8)*1
)</f>
        <v>-0.20000000000000018</v>
      </c>
      <c r="BQ55" s="74">
        <f t="shared" si="0"/>
        <v>-0.54000000000000026</v>
      </c>
    </row>
    <row r="56" spans="1:69" ht="15" customHeight="1" x14ac:dyDescent="0.2">
      <c r="A56" s="57">
        <v>53</v>
      </c>
      <c r="B56" s="37">
        <f>Hakemler!B56</f>
        <v>0</v>
      </c>
      <c r="C56" s="29">
        <f>Hakemler!C56</f>
        <v>0</v>
      </c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2"/>
      <c r="O56" s="72"/>
      <c r="P56" s="73">
        <f>1 - (
    SUM(
        IF(D56-Uzman_D!$B$4&lt;0, -(D56-Uzman_D!$B$4), D56-Uzman_D!$B$4)*0.1 +
        IF(E56-Uzman_D!$C$4&lt;0, -(E56-Uzman_D!$C$4), E56-Uzman_D!$C$4)*0.1 +
        IF(F56-Uzman_D!$D$4&lt;0, -(F56-Uzman_D!$D$4), F56-Uzman_D!$D$4)*0.1 +
        IF(G56-Uzman_D!$E$4&lt;0, -(G56-Uzman_D!$E$4), G56-Uzman_D!$E$4)*0.1 +
        IF(H56-Uzman_D!$F$4&lt;0, -(H56-Uzman_D!$F$4), H56-Uzman_D!$F$4)*0.1 +
        IF(I56-Uzman_D!$G$4&lt;0, -(I56-Uzman_D!$G$4), I56-Uzman_D!$G$4)*0.1 +
        IF(J56-Uzman_D!$H$4&lt;0, -(J56-Uzman_D!$H$4), J56-Uzman_D!$H$4)*0.1 +
        IF(K56-Uzman_D!$I$4&lt;0, -(K56-Uzman_D!$I$4), K56-Uzman_D!$I$4)*0.1 +
        IF(L56-Uzman_D!$J$4&lt;0, -(L56-Uzman_D!$J$4), L56-Uzman_D!$J$4)*0.1
    ) +
    IF(ROUND((IF(N56-Uzman_D!$L$4&lt;0, -(N56-Uzman_D!$L$4), N56-Uzman_D!$L$4)*2),0)/2 = IF(N56-Uzman_D!$L$4&lt;0, -(N56-Uzman_D!$L$4), N56-Uzman_D!$L$4),
    (ROUND((IF(N56-Uzman_D!$L$4&lt;0, -(N56-Uzman_D!$L$4), N56-Uzman_D!$L$4)*2),0)/1 * 0.1), 0) +
    IF(O56-Uzman_D!$M$4&lt;0, -(O56-Uzman_D!$M$4), O56-Uzman_D!$M$4)*1
)</f>
        <v>-0.90000000000000013</v>
      </c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2"/>
      <c r="AB56" s="72"/>
      <c r="AC56" s="73">
        <f>1 - (
    SUM(
        IF(Q56-Uzman_D!$B$5&lt;0, -(Q56-Uzman_D!$B$5), Q56-Uzman_D!$B$5)*0.1 +
        IF(R56-Uzman_D!$C$5&lt;0, -(R56-Uzman_D!$C$5), R56-Uzman_D!$C$5)*0.1 +
        IF(S56-Uzman_D!$D$5&lt;0, -(S56-Uzman_D!$D$5), S56-Uzman_D!$D$5)*0.1 +
        IF(T56-Uzman_D!$E$5&lt;0, -(T56-Uzman_D!$E$5), T56-Uzman_D!$E$5)*0.1 +
        IF(U56-Uzman_D!$F$5&lt;0, -(U56-Uzman_D!$F$5), U56-Uzman_D!$F$5)*0.1 +
        IF(V56-Uzman_D!$G$5&lt;0, -(V56-Uzman_D!$G$5), V56-Uzman_D!$G$5)*0.1 +
        IF(W56-Uzman_D!$H$5&lt;0, -(W56-Uzman_D!$H$5), W56-Uzman_D!$H$5)*0.1 +
        IF(X56-Uzman_D!$I$5&lt;0, -(X56-Uzman_D!$I$5), X56-Uzman_D!$I$5)*0.1 +
        IF(Y56-Uzman_D!$J$5&lt;0, -(Y56-Uzman_D!$J$5), Y56-Uzman_D!$J$5)*0.1
    ) +
    IF(ROUND((IF(AA56-Uzman_D!$L$5&lt;0, -(AA56-Uzman_D!$L$5), AA56-Uzman_D!$L$5)*2),0)/2 = IF(AA56-Uzman_D!$L$5&lt;0, -(AA56-Uzman_D!$L$5), AA56-Uzman_D!$L$5),
    (ROUND((IF(AA56-Uzman_D!$L$5&lt;0, -(AA56-Uzman_D!$L$5), AA56-Uzman_D!$L$5)*2),0)/1 * 0.1), 0) +
    IF(AB56-Uzman_D!$M$5&lt;0, -(AB56-Uzman_D!$M$5), AB56-Uzman_D!$M$5)*1
)</f>
        <v>-0.50000000000000022</v>
      </c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2"/>
      <c r="AO56" s="72"/>
      <c r="AP56" s="73">
        <f>1 - (
    SUM(
        IF(AD56-Uzman_D!$B$6&lt;0, -(AD56-Uzman_D!$B$6), AD56-Uzman_D!$B$6)*0.1 +
        IF(AE56-Uzman_D!$C$6&lt;0, -(AE56-Uzman_D!$C$6), AE56-Uzman_D!$C$6)*0.1 +
        IF(AF56-Uzman_D!$D$6&lt;0, -(AF56-Uzman_D!$D$6), AF56-Uzman_D!$D$6)*0.1 +
        IF(AG56-Uzman_D!$E$6&lt;0, -(AG56-Uzman_D!$E$6), AG56-Uzman_D!$E$6)*0.1 +
        IF(AH56-Uzman_D!$F$6&lt;0, -(AH56-Uzman_D!$F$6), AH56-Uzman_D!$F$6)*0.1 +
        IF(AI56-Uzman_D!$G$6&lt;0, -(AI56-Uzman_D!$G$6), AI56-Uzman_D!$G$6)*0.1 +
        IF(AJ56-Uzman_D!$H$6&lt;0, -(AJ56-Uzman_D!$H$6), AJ56-Uzman_D!$H$6)*0.1 +
        IF(AK56-Uzman_D!$I$6&lt;0, -(AK56-Uzman_D!$I$6), AK56-Uzman_D!$I$6)*0.1 +
        IF(AL56-Uzman_D!$J$6&lt;0, -(AL56-Uzman_D!$J$6), AL56-Uzman_D!$J$6)*0.1
    ) +
    IF(ROUND((IF(AN56-Uzman_D!$L$6&lt;0, -(AN56-Uzman_D!$L$6), AN56-Uzman_D!$L$6)*2),0)/2 = IF(AN56-Uzman_D!$L$6&lt;0, -(AN56-Uzman_D!$L$6), AN56-Uzman_D!$L$6),
    (ROUND((IF(AN56-Uzman_D!$L$6&lt;0, -(AN56-Uzman_D!$L$6), AN56-Uzman_D!$L$6)*2),0)/1 * 0.1), 0) +
    IF(AO56-Uzman_D!$M$6&lt;0, -(AO56-Uzman_D!$M$6), AO56-Uzman_D!$M$6)*1
)</f>
        <v>-0.60000000000000009</v>
      </c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2"/>
      <c r="BB56" s="72"/>
      <c r="BC56" s="73">
        <f>1 - (
    SUM(
        IF(AQ56-Uzman_D!$B$7&lt;0, -(AQ56-Uzman_D!$B$7), AQ56-Uzman_D!$B$7)*0.1 +
        IF(AR56-Uzman_D!$C$7&lt;0, -(AR56-Uzman_D!$C$7), AR56-Uzman_D!$C$7)*0.1 +
        IF(AS56-Uzman_D!$D$7&lt;0, -(AS56-Uzman_D!$D$7), AS56-Uzman_D!$D$7)*0.1 +
        IF(AT56-Uzman_D!$E$7&lt;0, -(AT56-Uzman_D!$E$7), AT56-Uzman_D!$E$7)*0.1 +
        IF(AU56-Uzman_D!$F$7&lt;0, -(AU56-Uzman_D!$F$7), AU56-Uzman_D!$F$7)*0.1 +
        IF(AV56-Uzman_D!$G$7&lt;0, -(AV56-Uzman_D!$G$7), AV56-Uzman_D!$G$7)*0.1 +
        IF(AW56-Uzman_D!$H$7&lt;0, -(AW56-Uzman_D!$H$7), AW56-Uzman_D!$H$7)*0.1 +
        IF(AX56-Uzman_D!$I$7&lt;0, -(AX56-Uzman_D!$I$7), AX56-Uzman_D!$I$7)*0.1 +
        IF(AY56-Uzman_D!$J$7&lt;0, -(AY56-Uzman_D!$J$7), AY56-Uzman_D!$J$7)*0.1
    ) +
    IF(ROUND((IF(BA56-Uzman_D!$L$7&lt;0, -(BA56-Uzman_D!$L$7), BA56-Uzman_D!$L$7)*2),0)/2 = IF(BA56-Uzman_D!$L$7&lt;0, -(BA56-Uzman_D!$L$7), BA56-Uzman_D!$L$7),
    (ROUND((IF(BA56-Uzman_D!$L$7&lt;0, -(BA56-Uzman_D!$L$7), BA56-Uzman_D!$L$7)*2),0)/1 * 0.1), 0) +
    IF(BB56-Uzman_D!$M$7&lt;0, -(BB56-Uzman_D!$M$7), BB56-Uzman_D!$M$7)*1
)</f>
        <v>-0.50000000000000022</v>
      </c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2"/>
      <c r="BO56" s="72"/>
      <c r="BP56" s="73">
        <f>1 - (
    SUM(
        IF(BD56-Uzman_D!$B$8&lt;0, -(BD56-Uzman_D!$B$8), BD56-Uzman_D!$B$8)*0.1 +
        IF(BE56-Uzman_D!$C$8&lt;0, -(BE56-Uzman_D!$C$8), BE56-Uzman_D!$C$8)*0.1 +
        IF(BF56-Uzman_D!$D$8&lt;0, -(BF56-Uzman_D!$D$8), BF56-Uzman_D!$D$8)*0.1 +
        IF(BG56-Uzman_D!$E$8&lt;0, -(BG56-Uzman_D!$E$8), BG56-Uzman_D!$E$8)*0.1 +
        IF(BH56-Uzman_D!$F$8&lt;0, -(BH56-Uzman_D!$F$8), BH56-Uzman_D!$F$8)*0.1 +
        IF(BI56-Uzman_D!$G$8&lt;0, -(BI56-Uzman_D!$G$8), BI56-Uzman_D!$G$8)*0.1 +
        IF(BJ56-Uzman_D!$H$8&lt;0, -(BJ56-Uzman_D!$H$8), BJ56-Uzman_D!$H$8)*0.1 +
        IF(BK56-Uzman_D!$I$8&lt;0, -(BK56-Uzman_D!$I$8), BK56-Uzman_D!$I$8)*0.1 +
        IF(BL56-Uzman_D!$J$8&lt;0, -(BL56-Uzman_D!$J$8), BL56-Uzman_D!$J$8)*0.1
    ) +
    IF(ROUND((IF(BN56-Uzman_D!$L$8&lt;0, -(BN56-Uzman_D!$L$8), BN56-Uzman_D!$L$8)*2),0)/2 = IF(BN56-Uzman_D!$L$8&lt;0, -(BN56-Uzman_D!$L$8), BN56-Uzman_D!$L$8),
    (ROUND((IF(BN56-Uzman_D!$L$8&lt;0, -(BN56-Uzman_D!$L$8), BN56-Uzman_D!$L$8)*2),0)/1 * 0.1), 0) +
    IF(BO56-Uzman_D!$M$8&lt;0, -(BO56-Uzman_D!$M$8), BO56-Uzman_D!$M$8)*1
)</f>
        <v>-0.20000000000000018</v>
      </c>
      <c r="BQ56" s="74">
        <f t="shared" si="0"/>
        <v>-0.54000000000000026</v>
      </c>
    </row>
    <row r="57" spans="1:69" ht="15" customHeight="1" x14ac:dyDescent="0.2">
      <c r="A57" s="57">
        <v>54</v>
      </c>
      <c r="B57" s="29">
        <f>Hakemler!B57</f>
        <v>0</v>
      </c>
      <c r="C57" s="29">
        <f>Hakemler!C57</f>
        <v>0</v>
      </c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2"/>
      <c r="O57" s="72"/>
      <c r="P57" s="73">
        <f>1 - (
    SUM(
        IF(D57-Uzman_D!$B$4&lt;0, -(D57-Uzman_D!$B$4), D57-Uzman_D!$B$4)*0.1 +
        IF(E57-Uzman_D!$C$4&lt;0, -(E57-Uzman_D!$C$4), E57-Uzman_D!$C$4)*0.1 +
        IF(F57-Uzman_D!$D$4&lt;0, -(F57-Uzman_D!$D$4), F57-Uzman_D!$D$4)*0.1 +
        IF(G57-Uzman_D!$E$4&lt;0, -(G57-Uzman_D!$E$4), G57-Uzman_D!$E$4)*0.1 +
        IF(H57-Uzman_D!$F$4&lt;0, -(H57-Uzman_D!$F$4), H57-Uzman_D!$F$4)*0.1 +
        IF(I57-Uzman_D!$G$4&lt;0, -(I57-Uzman_D!$G$4), I57-Uzman_D!$G$4)*0.1 +
        IF(J57-Uzman_D!$H$4&lt;0, -(J57-Uzman_D!$H$4), J57-Uzman_D!$H$4)*0.1 +
        IF(K57-Uzman_D!$I$4&lt;0, -(K57-Uzman_D!$I$4), K57-Uzman_D!$I$4)*0.1 +
        IF(L57-Uzman_D!$J$4&lt;0, -(L57-Uzman_D!$J$4), L57-Uzman_D!$J$4)*0.1
    ) +
    IF(ROUND((IF(N57-Uzman_D!$L$4&lt;0, -(N57-Uzman_D!$L$4), N57-Uzman_D!$L$4)*2),0)/2 = IF(N57-Uzman_D!$L$4&lt;0, -(N57-Uzman_D!$L$4), N57-Uzman_D!$L$4),
    (ROUND((IF(N57-Uzman_D!$L$4&lt;0, -(N57-Uzman_D!$L$4), N57-Uzman_D!$L$4)*2),0)/1 * 0.1), 0) +
    IF(O57-Uzman_D!$M$4&lt;0, -(O57-Uzman_D!$M$4), O57-Uzman_D!$M$4)*1
)</f>
        <v>-0.90000000000000013</v>
      </c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2"/>
      <c r="AB57" s="72"/>
      <c r="AC57" s="73">
        <f>1 - (
    SUM(
        IF(Q57-Uzman_D!$B$5&lt;0, -(Q57-Uzman_D!$B$5), Q57-Uzman_D!$B$5)*0.1 +
        IF(R57-Uzman_D!$C$5&lt;0, -(R57-Uzman_D!$C$5), R57-Uzman_D!$C$5)*0.1 +
        IF(S57-Uzman_D!$D$5&lt;0, -(S57-Uzman_D!$D$5), S57-Uzman_D!$D$5)*0.1 +
        IF(T57-Uzman_D!$E$5&lt;0, -(T57-Uzman_D!$E$5), T57-Uzman_D!$E$5)*0.1 +
        IF(U57-Uzman_D!$F$5&lt;0, -(U57-Uzman_D!$F$5), U57-Uzman_D!$F$5)*0.1 +
        IF(V57-Uzman_D!$G$5&lt;0, -(V57-Uzman_D!$G$5), V57-Uzman_D!$G$5)*0.1 +
        IF(W57-Uzman_D!$H$5&lt;0, -(W57-Uzman_D!$H$5), W57-Uzman_D!$H$5)*0.1 +
        IF(X57-Uzman_D!$I$5&lt;0, -(X57-Uzman_D!$I$5), X57-Uzman_D!$I$5)*0.1 +
        IF(Y57-Uzman_D!$J$5&lt;0, -(Y57-Uzman_D!$J$5), Y57-Uzman_D!$J$5)*0.1
    ) +
    IF(ROUND((IF(AA57-Uzman_D!$L$5&lt;0, -(AA57-Uzman_D!$L$5), AA57-Uzman_D!$L$5)*2),0)/2 = IF(AA57-Uzman_D!$L$5&lt;0, -(AA57-Uzman_D!$L$5), AA57-Uzman_D!$L$5),
    (ROUND((IF(AA57-Uzman_D!$L$5&lt;0, -(AA57-Uzman_D!$L$5), AA57-Uzman_D!$L$5)*2),0)/1 * 0.1), 0) +
    IF(AB57-Uzman_D!$M$5&lt;0, -(AB57-Uzman_D!$M$5), AB57-Uzman_D!$M$5)*1
)</f>
        <v>-0.50000000000000022</v>
      </c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2"/>
      <c r="AO57" s="72"/>
      <c r="AP57" s="73">
        <f>1 - (
    SUM(
        IF(AD57-Uzman_D!$B$6&lt;0, -(AD57-Uzman_D!$B$6), AD57-Uzman_D!$B$6)*0.1 +
        IF(AE57-Uzman_D!$C$6&lt;0, -(AE57-Uzman_D!$C$6), AE57-Uzman_D!$C$6)*0.1 +
        IF(AF57-Uzman_D!$D$6&lt;0, -(AF57-Uzman_D!$D$6), AF57-Uzman_D!$D$6)*0.1 +
        IF(AG57-Uzman_D!$E$6&lt;0, -(AG57-Uzman_D!$E$6), AG57-Uzman_D!$E$6)*0.1 +
        IF(AH57-Uzman_D!$F$6&lt;0, -(AH57-Uzman_D!$F$6), AH57-Uzman_D!$F$6)*0.1 +
        IF(AI57-Uzman_D!$G$6&lt;0, -(AI57-Uzman_D!$G$6), AI57-Uzman_D!$G$6)*0.1 +
        IF(AJ57-Uzman_D!$H$6&lt;0, -(AJ57-Uzman_D!$H$6), AJ57-Uzman_D!$H$6)*0.1 +
        IF(AK57-Uzman_D!$I$6&lt;0, -(AK57-Uzman_D!$I$6), AK57-Uzman_D!$I$6)*0.1 +
        IF(AL57-Uzman_D!$J$6&lt;0, -(AL57-Uzman_D!$J$6), AL57-Uzman_D!$J$6)*0.1
    ) +
    IF(ROUND((IF(AN57-Uzman_D!$L$6&lt;0, -(AN57-Uzman_D!$L$6), AN57-Uzman_D!$L$6)*2),0)/2 = IF(AN57-Uzman_D!$L$6&lt;0, -(AN57-Uzman_D!$L$6), AN57-Uzman_D!$L$6),
    (ROUND((IF(AN57-Uzman_D!$L$6&lt;0, -(AN57-Uzman_D!$L$6), AN57-Uzman_D!$L$6)*2),0)/1 * 0.1), 0) +
    IF(AO57-Uzman_D!$M$6&lt;0, -(AO57-Uzman_D!$M$6), AO57-Uzman_D!$M$6)*1
)</f>
        <v>-0.60000000000000009</v>
      </c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2"/>
      <c r="BB57" s="72"/>
      <c r="BC57" s="73">
        <f>1 - (
    SUM(
        IF(AQ57-Uzman_D!$B$7&lt;0, -(AQ57-Uzman_D!$B$7), AQ57-Uzman_D!$B$7)*0.1 +
        IF(AR57-Uzman_D!$C$7&lt;0, -(AR57-Uzman_D!$C$7), AR57-Uzman_D!$C$7)*0.1 +
        IF(AS57-Uzman_D!$D$7&lt;0, -(AS57-Uzman_D!$D$7), AS57-Uzman_D!$D$7)*0.1 +
        IF(AT57-Uzman_D!$E$7&lt;0, -(AT57-Uzman_D!$E$7), AT57-Uzman_D!$E$7)*0.1 +
        IF(AU57-Uzman_D!$F$7&lt;0, -(AU57-Uzman_D!$F$7), AU57-Uzman_D!$F$7)*0.1 +
        IF(AV57-Uzman_D!$G$7&lt;0, -(AV57-Uzman_D!$G$7), AV57-Uzman_D!$G$7)*0.1 +
        IF(AW57-Uzman_D!$H$7&lt;0, -(AW57-Uzman_D!$H$7), AW57-Uzman_D!$H$7)*0.1 +
        IF(AX57-Uzman_D!$I$7&lt;0, -(AX57-Uzman_D!$I$7), AX57-Uzman_D!$I$7)*0.1 +
        IF(AY57-Uzman_D!$J$7&lt;0, -(AY57-Uzman_D!$J$7), AY57-Uzman_D!$J$7)*0.1
    ) +
    IF(ROUND((IF(BA57-Uzman_D!$L$7&lt;0, -(BA57-Uzman_D!$L$7), BA57-Uzman_D!$L$7)*2),0)/2 = IF(BA57-Uzman_D!$L$7&lt;0, -(BA57-Uzman_D!$L$7), BA57-Uzman_D!$L$7),
    (ROUND((IF(BA57-Uzman_D!$L$7&lt;0, -(BA57-Uzman_D!$L$7), BA57-Uzman_D!$L$7)*2),0)/1 * 0.1), 0) +
    IF(BB57-Uzman_D!$M$7&lt;0, -(BB57-Uzman_D!$M$7), BB57-Uzman_D!$M$7)*1
)</f>
        <v>-0.50000000000000022</v>
      </c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2"/>
      <c r="BO57" s="72"/>
      <c r="BP57" s="73">
        <f>1 - (
    SUM(
        IF(BD57-Uzman_D!$B$8&lt;0, -(BD57-Uzman_D!$B$8), BD57-Uzman_D!$B$8)*0.1 +
        IF(BE57-Uzman_D!$C$8&lt;0, -(BE57-Uzman_D!$C$8), BE57-Uzman_D!$C$8)*0.1 +
        IF(BF57-Uzman_D!$D$8&lt;0, -(BF57-Uzman_D!$D$8), BF57-Uzman_D!$D$8)*0.1 +
        IF(BG57-Uzman_D!$E$8&lt;0, -(BG57-Uzman_D!$E$8), BG57-Uzman_D!$E$8)*0.1 +
        IF(BH57-Uzman_D!$F$8&lt;0, -(BH57-Uzman_D!$F$8), BH57-Uzman_D!$F$8)*0.1 +
        IF(BI57-Uzman_D!$G$8&lt;0, -(BI57-Uzman_D!$G$8), BI57-Uzman_D!$G$8)*0.1 +
        IF(BJ57-Uzman_D!$H$8&lt;0, -(BJ57-Uzman_D!$H$8), BJ57-Uzman_D!$H$8)*0.1 +
        IF(BK57-Uzman_D!$I$8&lt;0, -(BK57-Uzman_D!$I$8), BK57-Uzman_D!$I$8)*0.1 +
        IF(BL57-Uzman_D!$J$8&lt;0, -(BL57-Uzman_D!$J$8), BL57-Uzman_D!$J$8)*0.1
    ) +
    IF(ROUND((IF(BN57-Uzman_D!$L$8&lt;0, -(BN57-Uzman_D!$L$8), BN57-Uzman_D!$L$8)*2),0)/2 = IF(BN57-Uzman_D!$L$8&lt;0, -(BN57-Uzman_D!$L$8), BN57-Uzman_D!$L$8),
    (ROUND((IF(BN57-Uzman_D!$L$8&lt;0, -(BN57-Uzman_D!$L$8), BN57-Uzman_D!$L$8)*2),0)/1 * 0.1), 0) +
    IF(BO57-Uzman_D!$M$8&lt;0, -(BO57-Uzman_D!$M$8), BO57-Uzman_D!$M$8)*1
)</f>
        <v>-0.20000000000000018</v>
      </c>
      <c r="BQ57" s="74">
        <f t="shared" si="0"/>
        <v>-0.54000000000000026</v>
      </c>
    </row>
    <row r="58" spans="1:69" ht="15" customHeight="1" x14ac:dyDescent="0.2">
      <c r="A58" s="57">
        <v>55</v>
      </c>
      <c r="B58" s="37">
        <f>Hakemler!B58</f>
        <v>0</v>
      </c>
      <c r="C58" s="37">
        <f>Hakemler!C58</f>
        <v>0</v>
      </c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2"/>
      <c r="O58" s="72"/>
      <c r="P58" s="73">
        <f>1 - (
    SUM(
        IF(D58-Uzman_D!$B$4&lt;0, -(D58-Uzman_D!$B$4), D58-Uzman_D!$B$4)*0.1 +
        IF(E58-Uzman_D!$C$4&lt;0, -(E58-Uzman_D!$C$4), E58-Uzman_D!$C$4)*0.1 +
        IF(F58-Uzman_D!$D$4&lt;0, -(F58-Uzman_D!$D$4), F58-Uzman_D!$D$4)*0.1 +
        IF(G58-Uzman_D!$E$4&lt;0, -(G58-Uzman_D!$E$4), G58-Uzman_D!$E$4)*0.1 +
        IF(H58-Uzman_D!$F$4&lt;0, -(H58-Uzman_D!$F$4), H58-Uzman_D!$F$4)*0.1 +
        IF(I58-Uzman_D!$G$4&lt;0, -(I58-Uzman_D!$G$4), I58-Uzman_D!$G$4)*0.1 +
        IF(J58-Uzman_D!$H$4&lt;0, -(J58-Uzman_D!$H$4), J58-Uzman_D!$H$4)*0.1 +
        IF(K58-Uzman_D!$I$4&lt;0, -(K58-Uzman_D!$I$4), K58-Uzman_D!$I$4)*0.1 +
        IF(L58-Uzman_D!$J$4&lt;0, -(L58-Uzman_D!$J$4), L58-Uzman_D!$J$4)*0.1
    ) +
    IF(ROUND((IF(N58-Uzman_D!$L$4&lt;0, -(N58-Uzman_D!$L$4), N58-Uzman_D!$L$4)*2),0)/2 = IF(N58-Uzman_D!$L$4&lt;0, -(N58-Uzman_D!$L$4), N58-Uzman_D!$L$4),
    (ROUND((IF(N58-Uzman_D!$L$4&lt;0, -(N58-Uzman_D!$L$4), N58-Uzman_D!$L$4)*2),0)/1 * 0.1), 0) +
    IF(O58-Uzman_D!$M$4&lt;0, -(O58-Uzman_D!$M$4), O58-Uzman_D!$M$4)*1
)</f>
        <v>-0.90000000000000013</v>
      </c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2"/>
      <c r="AB58" s="72"/>
      <c r="AC58" s="73">
        <f>1 - (
    SUM(
        IF(Q58-Uzman_D!$B$5&lt;0, -(Q58-Uzman_D!$B$5), Q58-Uzman_D!$B$5)*0.1 +
        IF(R58-Uzman_D!$C$5&lt;0, -(R58-Uzman_D!$C$5), R58-Uzman_D!$C$5)*0.1 +
        IF(S58-Uzman_D!$D$5&lt;0, -(S58-Uzman_D!$D$5), S58-Uzman_D!$D$5)*0.1 +
        IF(T58-Uzman_D!$E$5&lt;0, -(T58-Uzman_D!$E$5), T58-Uzman_D!$E$5)*0.1 +
        IF(U58-Uzman_D!$F$5&lt;0, -(U58-Uzman_D!$F$5), U58-Uzman_D!$F$5)*0.1 +
        IF(V58-Uzman_D!$G$5&lt;0, -(V58-Uzman_D!$G$5), V58-Uzman_D!$G$5)*0.1 +
        IF(W58-Uzman_D!$H$5&lt;0, -(W58-Uzman_D!$H$5), W58-Uzman_D!$H$5)*0.1 +
        IF(X58-Uzman_D!$I$5&lt;0, -(X58-Uzman_D!$I$5), X58-Uzman_D!$I$5)*0.1 +
        IF(Y58-Uzman_D!$J$5&lt;0, -(Y58-Uzman_D!$J$5), Y58-Uzman_D!$J$5)*0.1
    ) +
    IF(ROUND((IF(AA58-Uzman_D!$L$5&lt;0, -(AA58-Uzman_D!$L$5), AA58-Uzman_D!$L$5)*2),0)/2 = IF(AA58-Uzman_D!$L$5&lt;0, -(AA58-Uzman_D!$L$5), AA58-Uzman_D!$L$5),
    (ROUND((IF(AA58-Uzman_D!$L$5&lt;0, -(AA58-Uzman_D!$L$5), AA58-Uzman_D!$L$5)*2),0)/1 * 0.1), 0) +
    IF(AB58-Uzman_D!$M$5&lt;0, -(AB58-Uzman_D!$M$5), AB58-Uzman_D!$M$5)*1
)</f>
        <v>-0.50000000000000022</v>
      </c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2"/>
      <c r="AO58" s="72"/>
      <c r="AP58" s="73">
        <f>1 - (
    SUM(
        IF(AD58-Uzman_D!$B$6&lt;0, -(AD58-Uzman_D!$B$6), AD58-Uzman_D!$B$6)*0.1 +
        IF(AE58-Uzman_D!$C$6&lt;0, -(AE58-Uzman_D!$C$6), AE58-Uzman_D!$C$6)*0.1 +
        IF(AF58-Uzman_D!$D$6&lt;0, -(AF58-Uzman_D!$D$6), AF58-Uzman_D!$D$6)*0.1 +
        IF(AG58-Uzman_D!$E$6&lt;0, -(AG58-Uzman_D!$E$6), AG58-Uzman_D!$E$6)*0.1 +
        IF(AH58-Uzman_D!$F$6&lt;0, -(AH58-Uzman_D!$F$6), AH58-Uzman_D!$F$6)*0.1 +
        IF(AI58-Uzman_D!$G$6&lt;0, -(AI58-Uzman_D!$G$6), AI58-Uzman_D!$G$6)*0.1 +
        IF(AJ58-Uzman_D!$H$6&lt;0, -(AJ58-Uzman_D!$H$6), AJ58-Uzman_D!$H$6)*0.1 +
        IF(AK58-Uzman_D!$I$6&lt;0, -(AK58-Uzman_D!$I$6), AK58-Uzman_D!$I$6)*0.1 +
        IF(AL58-Uzman_D!$J$6&lt;0, -(AL58-Uzman_D!$J$6), AL58-Uzman_D!$J$6)*0.1
    ) +
    IF(ROUND((IF(AN58-Uzman_D!$L$6&lt;0, -(AN58-Uzman_D!$L$6), AN58-Uzman_D!$L$6)*2),0)/2 = IF(AN58-Uzman_D!$L$6&lt;0, -(AN58-Uzman_D!$L$6), AN58-Uzman_D!$L$6),
    (ROUND((IF(AN58-Uzman_D!$L$6&lt;0, -(AN58-Uzman_D!$L$6), AN58-Uzman_D!$L$6)*2),0)/1 * 0.1), 0) +
    IF(AO58-Uzman_D!$M$6&lt;0, -(AO58-Uzman_D!$M$6), AO58-Uzman_D!$M$6)*1
)</f>
        <v>-0.60000000000000009</v>
      </c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2"/>
      <c r="BB58" s="72"/>
      <c r="BC58" s="73">
        <f>1 - (
    SUM(
        IF(AQ58-Uzman_D!$B$7&lt;0, -(AQ58-Uzman_D!$B$7), AQ58-Uzman_D!$B$7)*0.1 +
        IF(AR58-Uzman_D!$C$7&lt;0, -(AR58-Uzman_D!$C$7), AR58-Uzman_D!$C$7)*0.1 +
        IF(AS58-Uzman_D!$D$7&lt;0, -(AS58-Uzman_D!$D$7), AS58-Uzman_D!$D$7)*0.1 +
        IF(AT58-Uzman_D!$E$7&lt;0, -(AT58-Uzman_D!$E$7), AT58-Uzman_D!$E$7)*0.1 +
        IF(AU58-Uzman_D!$F$7&lt;0, -(AU58-Uzman_D!$F$7), AU58-Uzman_D!$F$7)*0.1 +
        IF(AV58-Uzman_D!$G$7&lt;0, -(AV58-Uzman_D!$G$7), AV58-Uzman_D!$G$7)*0.1 +
        IF(AW58-Uzman_D!$H$7&lt;0, -(AW58-Uzman_D!$H$7), AW58-Uzman_D!$H$7)*0.1 +
        IF(AX58-Uzman_D!$I$7&lt;0, -(AX58-Uzman_D!$I$7), AX58-Uzman_D!$I$7)*0.1 +
        IF(AY58-Uzman_D!$J$7&lt;0, -(AY58-Uzman_D!$J$7), AY58-Uzman_D!$J$7)*0.1
    ) +
    IF(ROUND((IF(BA58-Uzman_D!$L$7&lt;0, -(BA58-Uzman_D!$L$7), BA58-Uzman_D!$L$7)*2),0)/2 = IF(BA58-Uzman_D!$L$7&lt;0, -(BA58-Uzman_D!$L$7), BA58-Uzman_D!$L$7),
    (ROUND((IF(BA58-Uzman_D!$L$7&lt;0, -(BA58-Uzman_D!$L$7), BA58-Uzman_D!$L$7)*2),0)/1 * 0.1), 0) +
    IF(BB58-Uzman_D!$M$7&lt;0, -(BB58-Uzman_D!$M$7), BB58-Uzman_D!$M$7)*1
)</f>
        <v>-0.50000000000000022</v>
      </c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2"/>
      <c r="BO58" s="72"/>
      <c r="BP58" s="73">
        <f>1 - (
    SUM(
        IF(BD58-Uzman_D!$B$8&lt;0, -(BD58-Uzman_D!$B$8), BD58-Uzman_D!$B$8)*0.1 +
        IF(BE58-Uzman_D!$C$8&lt;0, -(BE58-Uzman_D!$C$8), BE58-Uzman_D!$C$8)*0.1 +
        IF(BF58-Uzman_D!$D$8&lt;0, -(BF58-Uzman_D!$D$8), BF58-Uzman_D!$D$8)*0.1 +
        IF(BG58-Uzman_D!$E$8&lt;0, -(BG58-Uzman_D!$E$8), BG58-Uzman_D!$E$8)*0.1 +
        IF(BH58-Uzman_D!$F$8&lt;0, -(BH58-Uzman_D!$F$8), BH58-Uzman_D!$F$8)*0.1 +
        IF(BI58-Uzman_D!$G$8&lt;0, -(BI58-Uzman_D!$G$8), BI58-Uzman_D!$G$8)*0.1 +
        IF(BJ58-Uzman_D!$H$8&lt;0, -(BJ58-Uzman_D!$H$8), BJ58-Uzman_D!$H$8)*0.1 +
        IF(BK58-Uzman_D!$I$8&lt;0, -(BK58-Uzman_D!$I$8), BK58-Uzman_D!$I$8)*0.1 +
        IF(BL58-Uzman_D!$J$8&lt;0, -(BL58-Uzman_D!$J$8), BL58-Uzman_D!$J$8)*0.1
    ) +
    IF(ROUND((IF(BN58-Uzman_D!$L$8&lt;0, -(BN58-Uzman_D!$L$8), BN58-Uzman_D!$L$8)*2),0)/2 = IF(BN58-Uzman_D!$L$8&lt;0, -(BN58-Uzman_D!$L$8), BN58-Uzman_D!$L$8),
    (ROUND((IF(BN58-Uzman_D!$L$8&lt;0, -(BN58-Uzman_D!$L$8), BN58-Uzman_D!$L$8)*2),0)/1 * 0.1), 0) +
    IF(BO58-Uzman_D!$M$8&lt;0, -(BO58-Uzman_D!$M$8), BO58-Uzman_D!$M$8)*1
)</f>
        <v>-0.20000000000000018</v>
      </c>
      <c r="BQ58" s="74">
        <f t="shared" si="0"/>
        <v>-0.54000000000000026</v>
      </c>
    </row>
    <row r="59" spans="1:69" ht="15" customHeight="1" x14ac:dyDescent="0.2">
      <c r="A59" s="57">
        <v>56</v>
      </c>
      <c r="B59" s="29">
        <f>Hakemler!B59</f>
        <v>0</v>
      </c>
      <c r="C59" s="29">
        <f>Hakemler!C59</f>
        <v>0</v>
      </c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2"/>
      <c r="O59" s="72"/>
      <c r="P59" s="73">
        <f>1 - (
    SUM(
        IF(D59-Uzman_D!$B$4&lt;0, -(D59-Uzman_D!$B$4), D59-Uzman_D!$B$4)*0.1 +
        IF(E59-Uzman_D!$C$4&lt;0, -(E59-Uzman_D!$C$4), E59-Uzman_D!$C$4)*0.1 +
        IF(F59-Uzman_D!$D$4&lt;0, -(F59-Uzman_D!$D$4), F59-Uzman_D!$D$4)*0.1 +
        IF(G59-Uzman_D!$E$4&lt;0, -(G59-Uzman_D!$E$4), G59-Uzman_D!$E$4)*0.1 +
        IF(H59-Uzman_D!$F$4&lt;0, -(H59-Uzman_D!$F$4), H59-Uzman_D!$F$4)*0.1 +
        IF(I59-Uzman_D!$G$4&lt;0, -(I59-Uzman_D!$G$4), I59-Uzman_D!$G$4)*0.1 +
        IF(J59-Uzman_D!$H$4&lt;0, -(J59-Uzman_D!$H$4), J59-Uzman_D!$H$4)*0.1 +
        IF(K59-Uzman_D!$I$4&lt;0, -(K59-Uzman_D!$I$4), K59-Uzman_D!$I$4)*0.1 +
        IF(L59-Uzman_D!$J$4&lt;0, -(L59-Uzman_D!$J$4), L59-Uzman_D!$J$4)*0.1
    ) +
    IF(ROUND((IF(N59-Uzman_D!$L$4&lt;0, -(N59-Uzman_D!$L$4), N59-Uzman_D!$L$4)*2),0)/2 = IF(N59-Uzman_D!$L$4&lt;0, -(N59-Uzman_D!$L$4), N59-Uzman_D!$L$4),
    (ROUND((IF(N59-Uzman_D!$L$4&lt;0, -(N59-Uzman_D!$L$4), N59-Uzman_D!$L$4)*2),0)/1 * 0.1), 0) +
    IF(O59-Uzman_D!$M$4&lt;0, -(O59-Uzman_D!$M$4), O59-Uzman_D!$M$4)*1
)</f>
        <v>-0.90000000000000013</v>
      </c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2"/>
      <c r="AB59" s="72"/>
      <c r="AC59" s="73">
        <f>1 - (
    SUM(
        IF(Q59-Uzman_D!$B$5&lt;0, -(Q59-Uzman_D!$B$5), Q59-Uzman_D!$B$5)*0.1 +
        IF(R59-Uzman_D!$C$5&lt;0, -(R59-Uzman_D!$C$5), R59-Uzman_D!$C$5)*0.1 +
        IF(S59-Uzman_D!$D$5&lt;0, -(S59-Uzman_D!$D$5), S59-Uzman_D!$D$5)*0.1 +
        IF(T59-Uzman_D!$E$5&lt;0, -(T59-Uzman_D!$E$5), T59-Uzman_D!$E$5)*0.1 +
        IF(U59-Uzman_D!$F$5&lt;0, -(U59-Uzman_D!$F$5), U59-Uzman_D!$F$5)*0.1 +
        IF(V59-Uzman_D!$G$5&lt;0, -(V59-Uzman_D!$G$5), V59-Uzman_D!$G$5)*0.1 +
        IF(W59-Uzman_D!$H$5&lt;0, -(W59-Uzman_D!$H$5), W59-Uzman_D!$H$5)*0.1 +
        IF(X59-Uzman_D!$I$5&lt;0, -(X59-Uzman_D!$I$5), X59-Uzman_D!$I$5)*0.1 +
        IF(Y59-Uzman_D!$J$5&lt;0, -(Y59-Uzman_D!$J$5), Y59-Uzman_D!$J$5)*0.1
    ) +
    IF(ROUND((IF(AA59-Uzman_D!$L$5&lt;0, -(AA59-Uzman_D!$L$5), AA59-Uzman_D!$L$5)*2),0)/2 = IF(AA59-Uzman_D!$L$5&lt;0, -(AA59-Uzman_D!$L$5), AA59-Uzman_D!$L$5),
    (ROUND((IF(AA59-Uzman_D!$L$5&lt;0, -(AA59-Uzman_D!$L$5), AA59-Uzman_D!$L$5)*2),0)/1 * 0.1), 0) +
    IF(AB59-Uzman_D!$M$5&lt;0, -(AB59-Uzman_D!$M$5), AB59-Uzman_D!$M$5)*1
)</f>
        <v>-0.50000000000000022</v>
      </c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2"/>
      <c r="AO59" s="72"/>
      <c r="AP59" s="73">
        <f>1 - (
    SUM(
        IF(AD59-Uzman_D!$B$6&lt;0, -(AD59-Uzman_D!$B$6), AD59-Uzman_D!$B$6)*0.1 +
        IF(AE59-Uzman_D!$C$6&lt;0, -(AE59-Uzman_D!$C$6), AE59-Uzman_D!$C$6)*0.1 +
        IF(AF59-Uzman_D!$D$6&lt;0, -(AF59-Uzman_D!$D$6), AF59-Uzman_D!$D$6)*0.1 +
        IF(AG59-Uzman_D!$E$6&lt;0, -(AG59-Uzman_D!$E$6), AG59-Uzman_D!$E$6)*0.1 +
        IF(AH59-Uzman_D!$F$6&lt;0, -(AH59-Uzman_D!$F$6), AH59-Uzman_D!$F$6)*0.1 +
        IF(AI59-Uzman_D!$G$6&lt;0, -(AI59-Uzman_D!$G$6), AI59-Uzman_D!$G$6)*0.1 +
        IF(AJ59-Uzman_D!$H$6&lt;0, -(AJ59-Uzman_D!$H$6), AJ59-Uzman_D!$H$6)*0.1 +
        IF(AK59-Uzman_D!$I$6&lt;0, -(AK59-Uzman_D!$I$6), AK59-Uzman_D!$I$6)*0.1 +
        IF(AL59-Uzman_D!$J$6&lt;0, -(AL59-Uzman_D!$J$6), AL59-Uzman_D!$J$6)*0.1
    ) +
    IF(ROUND((IF(AN59-Uzman_D!$L$6&lt;0, -(AN59-Uzman_D!$L$6), AN59-Uzman_D!$L$6)*2),0)/2 = IF(AN59-Uzman_D!$L$6&lt;0, -(AN59-Uzman_D!$L$6), AN59-Uzman_D!$L$6),
    (ROUND((IF(AN59-Uzman_D!$L$6&lt;0, -(AN59-Uzman_D!$L$6), AN59-Uzman_D!$L$6)*2),0)/1 * 0.1), 0) +
    IF(AO59-Uzman_D!$M$6&lt;0, -(AO59-Uzman_D!$M$6), AO59-Uzman_D!$M$6)*1
)</f>
        <v>-0.60000000000000009</v>
      </c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2"/>
      <c r="BB59" s="72"/>
      <c r="BC59" s="73">
        <f>1 - (
    SUM(
        IF(AQ59-Uzman_D!$B$7&lt;0, -(AQ59-Uzman_D!$B$7), AQ59-Uzman_D!$B$7)*0.1 +
        IF(AR59-Uzman_D!$C$7&lt;0, -(AR59-Uzman_D!$C$7), AR59-Uzman_D!$C$7)*0.1 +
        IF(AS59-Uzman_D!$D$7&lt;0, -(AS59-Uzman_D!$D$7), AS59-Uzman_D!$D$7)*0.1 +
        IF(AT59-Uzman_D!$E$7&lt;0, -(AT59-Uzman_D!$E$7), AT59-Uzman_D!$E$7)*0.1 +
        IF(AU59-Uzman_D!$F$7&lt;0, -(AU59-Uzman_D!$F$7), AU59-Uzman_D!$F$7)*0.1 +
        IF(AV59-Uzman_D!$G$7&lt;0, -(AV59-Uzman_D!$G$7), AV59-Uzman_D!$G$7)*0.1 +
        IF(AW59-Uzman_D!$H$7&lt;0, -(AW59-Uzman_D!$H$7), AW59-Uzman_D!$H$7)*0.1 +
        IF(AX59-Uzman_D!$I$7&lt;0, -(AX59-Uzman_D!$I$7), AX59-Uzman_D!$I$7)*0.1 +
        IF(AY59-Uzman_D!$J$7&lt;0, -(AY59-Uzman_D!$J$7), AY59-Uzman_D!$J$7)*0.1
    ) +
    IF(ROUND((IF(BA59-Uzman_D!$L$7&lt;0, -(BA59-Uzman_D!$L$7), BA59-Uzman_D!$L$7)*2),0)/2 = IF(BA59-Uzman_D!$L$7&lt;0, -(BA59-Uzman_D!$L$7), BA59-Uzman_D!$L$7),
    (ROUND((IF(BA59-Uzman_D!$L$7&lt;0, -(BA59-Uzman_D!$L$7), BA59-Uzman_D!$L$7)*2),0)/1 * 0.1), 0) +
    IF(BB59-Uzman_D!$M$7&lt;0, -(BB59-Uzman_D!$M$7), BB59-Uzman_D!$M$7)*1
)</f>
        <v>-0.50000000000000022</v>
      </c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2"/>
      <c r="BO59" s="72"/>
      <c r="BP59" s="73">
        <f>1 - (
    SUM(
        IF(BD59-Uzman_D!$B$8&lt;0, -(BD59-Uzman_D!$B$8), BD59-Uzman_D!$B$8)*0.1 +
        IF(BE59-Uzman_D!$C$8&lt;0, -(BE59-Uzman_D!$C$8), BE59-Uzman_D!$C$8)*0.1 +
        IF(BF59-Uzman_D!$D$8&lt;0, -(BF59-Uzman_D!$D$8), BF59-Uzman_D!$D$8)*0.1 +
        IF(BG59-Uzman_D!$E$8&lt;0, -(BG59-Uzman_D!$E$8), BG59-Uzman_D!$E$8)*0.1 +
        IF(BH59-Uzman_D!$F$8&lt;0, -(BH59-Uzman_D!$F$8), BH59-Uzman_D!$F$8)*0.1 +
        IF(BI59-Uzman_D!$G$8&lt;0, -(BI59-Uzman_D!$G$8), BI59-Uzman_D!$G$8)*0.1 +
        IF(BJ59-Uzman_D!$H$8&lt;0, -(BJ59-Uzman_D!$H$8), BJ59-Uzman_D!$H$8)*0.1 +
        IF(BK59-Uzman_D!$I$8&lt;0, -(BK59-Uzman_D!$I$8), BK59-Uzman_D!$I$8)*0.1 +
        IF(BL59-Uzman_D!$J$8&lt;0, -(BL59-Uzman_D!$J$8), BL59-Uzman_D!$J$8)*0.1
    ) +
    IF(ROUND((IF(BN59-Uzman_D!$L$8&lt;0, -(BN59-Uzman_D!$L$8), BN59-Uzman_D!$L$8)*2),0)/2 = IF(BN59-Uzman_D!$L$8&lt;0, -(BN59-Uzman_D!$L$8), BN59-Uzman_D!$L$8),
    (ROUND((IF(BN59-Uzman_D!$L$8&lt;0, -(BN59-Uzman_D!$L$8), BN59-Uzman_D!$L$8)*2),0)/1 * 0.1), 0) +
    IF(BO59-Uzman_D!$M$8&lt;0, -(BO59-Uzman_D!$M$8), BO59-Uzman_D!$M$8)*1
)</f>
        <v>-0.20000000000000018</v>
      </c>
      <c r="BQ59" s="74">
        <f t="shared" si="0"/>
        <v>-0.54000000000000026</v>
      </c>
    </row>
    <row r="60" spans="1:69" ht="15" customHeight="1" x14ac:dyDescent="0.2">
      <c r="A60" s="57">
        <v>57</v>
      </c>
      <c r="B60" s="37">
        <f>Hakemler!B60</f>
        <v>0</v>
      </c>
      <c r="C60" s="37">
        <f>Hakemler!C60</f>
        <v>0</v>
      </c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2"/>
      <c r="O60" s="72"/>
      <c r="P60" s="73">
        <f>1 - (
    SUM(
        IF(D60-Uzman_D!$B$4&lt;0, -(D60-Uzman_D!$B$4), D60-Uzman_D!$B$4)*0.1 +
        IF(E60-Uzman_D!$C$4&lt;0, -(E60-Uzman_D!$C$4), E60-Uzman_D!$C$4)*0.1 +
        IF(F60-Uzman_D!$D$4&lt;0, -(F60-Uzman_D!$D$4), F60-Uzman_D!$D$4)*0.1 +
        IF(G60-Uzman_D!$E$4&lt;0, -(G60-Uzman_D!$E$4), G60-Uzman_D!$E$4)*0.1 +
        IF(H60-Uzman_D!$F$4&lt;0, -(H60-Uzman_D!$F$4), H60-Uzman_D!$F$4)*0.1 +
        IF(I60-Uzman_D!$G$4&lt;0, -(I60-Uzman_D!$G$4), I60-Uzman_D!$G$4)*0.1 +
        IF(J60-Uzman_D!$H$4&lt;0, -(J60-Uzman_D!$H$4), J60-Uzman_D!$H$4)*0.1 +
        IF(K60-Uzman_D!$I$4&lt;0, -(K60-Uzman_D!$I$4), K60-Uzman_D!$I$4)*0.1 +
        IF(L60-Uzman_D!$J$4&lt;0, -(L60-Uzman_D!$J$4), L60-Uzman_D!$J$4)*0.1
    ) +
    IF(ROUND((IF(N60-Uzman_D!$L$4&lt;0, -(N60-Uzman_D!$L$4), N60-Uzman_D!$L$4)*2),0)/2 = IF(N60-Uzman_D!$L$4&lt;0, -(N60-Uzman_D!$L$4), N60-Uzman_D!$L$4),
    (ROUND((IF(N60-Uzman_D!$L$4&lt;0, -(N60-Uzman_D!$L$4), N60-Uzman_D!$L$4)*2),0)/1 * 0.1), 0) +
    IF(O60-Uzman_D!$M$4&lt;0, -(O60-Uzman_D!$M$4), O60-Uzman_D!$M$4)*1
)</f>
        <v>-0.90000000000000013</v>
      </c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2"/>
      <c r="AB60" s="72"/>
      <c r="AC60" s="73">
        <f>1 - (
    SUM(
        IF(Q60-Uzman_D!$B$5&lt;0, -(Q60-Uzman_D!$B$5), Q60-Uzman_D!$B$5)*0.1 +
        IF(R60-Uzman_D!$C$5&lt;0, -(R60-Uzman_D!$C$5), R60-Uzman_D!$C$5)*0.1 +
        IF(S60-Uzman_D!$D$5&lt;0, -(S60-Uzman_D!$D$5), S60-Uzman_D!$D$5)*0.1 +
        IF(T60-Uzman_D!$E$5&lt;0, -(T60-Uzman_D!$E$5), T60-Uzman_D!$E$5)*0.1 +
        IF(U60-Uzman_D!$F$5&lt;0, -(U60-Uzman_D!$F$5), U60-Uzman_D!$F$5)*0.1 +
        IF(V60-Uzman_D!$G$5&lt;0, -(V60-Uzman_D!$G$5), V60-Uzman_D!$G$5)*0.1 +
        IF(W60-Uzman_D!$H$5&lt;0, -(W60-Uzman_D!$H$5), W60-Uzman_D!$H$5)*0.1 +
        IF(X60-Uzman_D!$I$5&lt;0, -(X60-Uzman_D!$I$5), X60-Uzman_D!$I$5)*0.1 +
        IF(Y60-Uzman_D!$J$5&lt;0, -(Y60-Uzman_D!$J$5), Y60-Uzman_D!$J$5)*0.1
    ) +
    IF(ROUND((IF(AA60-Uzman_D!$L$5&lt;0, -(AA60-Uzman_D!$L$5), AA60-Uzman_D!$L$5)*2),0)/2 = IF(AA60-Uzman_D!$L$5&lt;0, -(AA60-Uzman_D!$L$5), AA60-Uzman_D!$L$5),
    (ROUND((IF(AA60-Uzman_D!$L$5&lt;0, -(AA60-Uzman_D!$L$5), AA60-Uzman_D!$L$5)*2),0)/1 * 0.1), 0) +
    IF(AB60-Uzman_D!$M$5&lt;0, -(AB60-Uzman_D!$M$5), AB60-Uzman_D!$M$5)*1
)</f>
        <v>-0.50000000000000022</v>
      </c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2"/>
      <c r="AO60" s="72"/>
      <c r="AP60" s="73">
        <f>1 - (
    SUM(
        IF(AD60-Uzman_D!$B$6&lt;0, -(AD60-Uzman_D!$B$6), AD60-Uzman_D!$B$6)*0.1 +
        IF(AE60-Uzman_D!$C$6&lt;0, -(AE60-Uzman_D!$C$6), AE60-Uzman_D!$C$6)*0.1 +
        IF(AF60-Uzman_D!$D$6&lt;0, -(AF60-Uzman_D!$D$6), AF60-Uzman_D!$D$6)*0.1 +
        IF(AG60-Uzman_D!$E$6&lt;0, -(AG60-Uzman_D!$E$6), AG60-Uzman_D!$E$6)*0.1 +
        IF(AH60-Uzman_D!$F$6&lt;0, -(AH60-Uzman_D!$F$6), AH60-Uzman_D!$F$6)*0.1 +
        IF(AI60-Uzman_D!$G$6&lt;0, -(AI60-Uzman_D!$G$6), AI60-Uzman_D!$G$6)*0.1 +
        IF(AJ60-Uzman_D!$H$6&lt;0, -(AJ60-Uzman_D!$H$6), AJ60-Uzman_D!$H$6)*0.1 +
        IF(AK60-Uzman_D!$I$6&lt;0, -(AK60-Uzman_D!$I$6), AK60-Uzman_D!$I$6)*0.1 +
        IF(AL60-Uzman_D!$J$6&lt;0, -(AL60-Uzman_D!$J$6), AL60-Uzman_D!$J$6)*0.1
    ) +
    IF(ROUND((IF(AN60-Uzman_D!$L$6&lt;0, -(AN60-Uzman_D!$L$6), AN60-Uzman_D!$L$6)*2),0)/2 = IF(AN60-Uzman_D!$L$6&lt;0, -(AN60-Uzman_D!$L$6), AN60-Uzman_D!$L$6),
    (ROUND((IF(AN60-Uzman_D!$L$6&lt;0, -(AN60-Uzman_D!$L$6), AN60-Uzman_D!$L$6)*2),0)/1 * 0.1), 0) +
    IF(AO60-Uzman_D!$M$6&lt;0, -(AO60-Uzman_D!$M$6), AO60-Uzman_D!$M$6)*1
)</f>
        <v>-0.60000000000000009</v>
      </c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2"/>
      <c r="BB60" s="72"/>
      <c r="BC60" s="73">
        <f>1 - (
    SUM(
        IF(AQ60-Uzman_D!$B$7&lt;0, -(AQ60-Uzman_D!$B$7), AQ60-Uzman_D!$B$7)*0.1 +
        IF(AR60-Uzman_D!$C$7&lt;0, -(AR60-Uzman_D!$C$7), AR60-Uzman_D!$C$7)*0.1 +
        IF(AS60-Uzman_D!$D$7&lt;0, -(AS60-Uzman_D!$D$7), AS60-Uzman_D!$D$7)*0.1 +
        IF(AT60-Uzman_D!$E$7&lt;0, -(AT60-Uzman_D!$E$7), AT60-Uzman_D!$E$7)*0.1 +
        IF(AU60-Uzman_D!$F$7&lt;0, -(AU60-Uzman_D!$F$7), AU60-Uzman_D!$F$7)*0.1 +
        IF(AV60-Uzman_D!$G$7&lt;0, -(AV60-Uzman_D!$G$7), AV60-Uzman_D!$G$7)*0.1 +
        IF(AW60-Uzman_D!$H$7&lt;0, -(AW60-Uzman_D!$H$7), AW60-Uzman_D!$H$7)*0.1 +
        IF(AX60-Uzman_D!$I$7&lt;0, -(AX60-Uzman_D!$I$7), AX60-Uzman_D!$I$7)*0.1 +
        IF(AY60-Uzman_D!$J$7&lt;0, -(AY60-Uzman_D!$J$7), AY60-Uzman_D!$J$7)*0.1
    ) +
    IF(ROUND((IF(BA60-Uzman_D!$L$7&lt;0, -(BA60-Uzman_D!$L$7), BA60-Uzman_D!$L$7)*2),0)/2 = IF(BA60-Uzman_D!$L$7&lt;0, -(BA60-Uzman_D!$L$7), BA60-Uzman_D!$L$7),
    (ROUND((IF(BA60-Uzman_D!$L$7&lt;0, -(BA60-Uzman_D!$L$7), BA60-Uzman_D!$L$7)*2),0)/1 * 0.1), 0) +
    IF(BB60-Uzman_D!$M$7&lt;0, -(BB60-Uzman_D!$M$7), BB60-Uzman_D!$M$7)*1
)</f>
        <v>-0.50000000000000022</v>
      </c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2"/>
      <c r="BO60" s="72"/>
      <c r="BP60" s="73">
        <f>1 - (
    SUM(
        IF(BD60-Uzman_D!$B$8&lt;0, -(BD60-Uzman_D!$B$8), BD60-Uzman_D!$B$8)*0.1 +
        IF(BE60-Uzman_D!$C$8&lt;0, -(BE60-Uzman_D!$C$8), BE60-Uzman_D!$C$8)*0.1 +
        IF(BF60-Uzman_D!$D$8&lt;0, -(BF60-Uzman_D!$D$8), BF60-Uzman_D!$D$8)*0.1 +
        IF(BG60-Uzman_D!$E$8&lt;0, -(BG60-Uzman_D!$E$8), BG60-Uzman_D!$E$8)*0.1 +
        IF(BH60-Uzman_D!$F$8&lt;0, -(BH60-Uzman_D!$F$8), BH60-Uzman_D!$F$8)*0.1 +
        IF(BI60-Uzman_D!$G$8&lt;0, -(BI60-Uzman_D!$G$8), BI60-Uzman_D!$G$8)*0.1 +
        IF(BJ60-Uzman_D!$H$8&lt;0, -(BJ60-Uzman_D!$H$8), BJ60-Uzman_D!$H$8)*0.1 +
        IF(BK60-Uzman_D!$I$8&lt;0, -(BK60-Uzman_D!$I$8), BK60-Uzman_D!$I$8)*0.1 +
        IF(BL60-Uzman_D!$J$8&lt;0, -(BL60-Uzman_D!$J$8), BL60-Uzman_D!$J$8)*0.1
    ) +
    IF(ROUND((IF(BN60-Uzman_D!$L$8&lt;0, -(BN60-Uzman_D!$L$8), BN60-Uzman_D!$L$8)*2),0)/2 = IF(BN60-Uzman_D!$L$8&lt;0, -(BN60-Uzman_D!$L$8), BN60-Uzman_D!$L$8),
    (ROUND((IF(BN60-Uzman_D!$L$8&lt;0, -(BN60-Uzman_D!$L$8), BN60-Uzman_D!$L$8)*2),0)/1 * 0.1), 0) +
    IF(BO60-Uzman_D!$M$8&lt;0, -(BO60-Uzman_D!$M$8), BO60-Uzman_D!$M$8)*1
)</f>
        <v>-0.20000000000000018</v>
      </c>
      <c r="BQ60" s="74">
        <f t="shared" si="0"/>
        <v>-0.54000000000000026</v>
      </c>
    </row>
    <row r="61" spans="1:69" ht="15" customHeight="1" x14ac:dyDescent="0.2">
      <c r="A61" s="57">
        <v>58</v>
      </c>
      <c r="B61" s="29">
        <f>Hakemler!B61</f>
        <v>0</v>
      </c>
      <c r="C61" s="29">
        <f>Hakemler!C61</f>
        <v>0</v>
      </c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2"/>
      <c r="O61" s="72"/>
      <c r="P61" s="73">
        <f>1 - (
    SUM(
        IF(D61-Uzman_D!$B$4&lt;0, -(D61-Uzman_D!$B$4), D61-Uzman_D!$B$4)*0.1 +
        IF(E61-Uzman_D!$C$4&lt;0, -(E61-Uzman_D!$C$4), E61-Uzman_D!$C$4)*0.1 +
        IF(F61-Uzman_D!$D$4&lt;0, -(F61-Uzman_D!$D$4), F61-Uzman_D!$D$4)*0.1 +
        IF(G61-Uzman_D!$E$4&lt;0, -(G61-Uzman_D!$E$4), G61-Uzman_D!$E$4)*0.1 +
        IF(H61-Uzman_D!$F$4&lt;0, -(H61-Uzman_D!$F$4), H61-Uzman_D!$F$4)*0.1 +
        IF(I61-Uzman_D!$G$4&lt;0, -(I61-Uzman_D!$G$4), I61-Uzman_D!$G$4)*0.1 +
        IF(J61-Uzman_D!$H$4&lt;0, -(J61-Uzman_D!$H$4), J61-Uzman_D!$H$4)*0.1 +
        IF(K61-Uzman_D!$I$4&lt;0, -(K61-Uzman_D!$I$4), K61-Uzman_D!$I$4)*0.1 +
        IF(L61-Uzman_D!$J$4&lt;0, -(L61-Uzman_D!$J$4), L61-Uzman_D!$J$4)*0.1
    ) +
    IF(ROUND((IF(N61-Uzman_D!$L$4&lt;0, -(N61-Uzman_D!$L$4), N61-Uzman_D!$L$4)*2),0)/2 = IF(N61-Uzman_D!$L$4&lt;0, -(N61-Uzman_D!$L$4), N61-Uzman_D!$L$4),
    (ROUND((IF(N61-Uzman_D!$L$4&lt;0, -(N61-Uzman_D!$L$4), N61-Uzman_D!$L$4)*2),0)/1 * 0.1), 0) +
    IF(O61-Uzman_D!$M$4&lt;0, -(O61-Uzman_D!$M$4), O61-Uzman_D!$M$4)*1
)</f>
        <v>-0.90000000000000013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2"/>
      <c r="AB61" s="72"/>
      <c r="AC61" s="73">
        <f>1 - (
    SUM(
        IF(Q61-Uzman_D!$B$5&lt;0, -(Q61-Uzman_D!$B$5), Q61-Uzman_D!$B$5)*0.1 +
        IF(R61-Uzman_D!$C$5&lt;0, -(R61-Uzman_D!$C$5), R61-Uzman_D!$C$5)*0.1 +
        IF(S61-Uzman_D!$D$5&lt;0, -(S61-Uzman_D!$D$5), S61-Uzman_D!$D$5)*0.1 +
        IF(T61-Uzman_D!$E$5&lt;0, -(T61-Uzman_D!$E$5), T61-Uzman_D!$E$5)*0.1 +
        IF(U61-Uzman_D!$F$5&lt;0, -(U61-Uzman_D!$F$5), U61-Uzman_D!$F$5)*0.1 +
        IF(V61-Uzman_D!$G$5&lt;0, -(V61-Uzman_D!$G$5), V61-Uzman_D!$G$5)*0.1 +
        IF(W61-Uzman_D!$H$5&lt;0, -(W61-Uzman_D!$H$5), W61-Uzman_D!$H$5)*0.1 +
        IF(X61-Uzman_D!$I$5&lt;0, -(X61-Uzman_D!$I$5), X61-Uzman_D!$I$5)*0.1 +
        IF(Y61-Uzman_D!$J$5&lt;0, -(Y61-Uzman_D!$J$5), Y61-Uzman_D!$J$5)*0.1
    ) +
    IF(ROUND((IF(AA61-Uzman_D!$L$5&lt;0, -(AA61-Uzman_D!$L$5), AA61-Uzman_D!$L$5)*2),0)/2 = IF(AA61-Uzman_D!$L$5&lt;0, -(AA61-Uzman_D!$L$5), AA61-Uzman_D!$L$5),
    (ROUND((IF(AA61-Uzman_D!$L$5&lt;0, -(AA61-Uzman_D!$L$5), AA61-Uzman_D!$L$5)*2),0)/1 * 0.1), 0) +
    IF(AB61-Uzman_D!$M$5&lt;0, -(AB61-Uzman_D!$M$5), AB61-Uzman_D!$M$5)*1
)</f>
        <v>-0.50000000000000022</v>
      </c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2"/>
      <c r="AO61" s="72"/>
      <c r="AP61" s="73">
        <f>1 - (
    SUM(
        IF(AD61-Uzman_D!$B$6&lt;0, -(AD61-Uzman_D!$B$6), AD61-Uzman_D!$B$6)*0.1 +
        IF(AE61-Uzman_D!$C$6&lt;0, -(AE61-Uzman_D!$C$6), AE61-Uzman_D!$C$6)*0.1 +
        IF(AF61-Uzman_D!$D$6&lt;0, -(AF61-Uzman_D!$D$6), AF61-Uzman_D!$D$6)*0.1 +
        IF(AG61-Uzman_D!$E$6&lt;0, -(AG61-Uzman_D!$E$6), AG61-Uzman_D!$E$6)*0.1 +
        IF(AH61-Uzman_D!$F$6&lt;0, -(AH61-Uzman_D!$F$6), AH61-Uzman_D!$F$6)*0.1 +
        IF(AI61-Uzman_D!$G$6&lt;0, -(AI61-Uzman_D!$G$6), AI61-Uzman_D!$G$6)*0.1 +
        IF(AJ61-Uzman_D!$H$6&lt;0, -(AJ61-Uzman_D!$H$6), AJ61-Uzman_D!$H$6)*0.1 +
        IF(AK61-Uzman_D!$I$6&lt;0, -(AK61-Uzman_D!$I$6), AK61-Uzman_D!$I$6)*0.1 +
        IF(AL61-Uzman_D!$J$6&lt;0, -(AL61-Uzman_D!$J$6), AL61-Uzman_D!$J$6)*0.1
    ) +
    IF(ROUND((IF(AN61-Uzman_D!$L$6&lt;0, -(AN61-Uzman_D!$L$6), AN61-Uzman_D!$L$6)*2),0)/2 = IF(AN61-Uzman_D!$L$6&lt;0, -(AN61-Uzman_D!$L$6), AN61-Uzman_D!$L$6),
    (ROUND((IF(AN61-Uzman_D!$L$6&lt;0, -(AN61-Uzman_D!$L$6), AN61-Uzman_D!$L$6)*2),0)/1 * 0.1), 0) +
    IF(AO61-Uzman_D!$M$6&lt;0, -(AO61-Uzman_D!$M$6), AO61-Uzman_D!$M$6)*1
)</f>
        <v>-0.60000000000000009</v>
      </c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2"/>
      <c r="BB61" s="72"/>
      <c r="BC61" s="73">
        <f>1 - (
    SUM(
        IF(AQ61-Uzman_D!$B$7&lt;0, -(AQ61-Uzman_D!$B$7), AQ61-Uzman_D!$B$7)*0.1 +
        IF(AR61-Uzman_D!$C$7&lt;0, -(AR61-Uzman_D!$C$7), AR61-Uzman_D!$C$7)*0.1 +
        IF(AS61-Uzman_D!$D$7&lt;0, -(AS61-Uzman_D!$D$7), AS61-Uzman_D!$D$7)*0.1 +
        IF(AT61-Uzman_D!$E$7&lt;0, -(AT61-Uzman_D!$E$7), AT61-Uzman_D!$E$7)*0.1 +
        IF(AU61-Uzman_D!$F$7&lt;0, -(AU61-Uzman_D!$F$7), AU61-Uzman_D!$F$7)*0.1 +
        IF(AV61-Uzman_D!$G$7&lt;0, -(AV61-Uzman_D!$G$7), AV61-Uzman_D!$G$7)*0.1 +
        IF(AW61-Uzman_D!$H$7&lt;0, -(AW61-Uzman_D!$H$7), AW61-Uzman_D!$H$7)*0.1 +
        IF(AX61-Uzman_D!$I$7&lt;0, -(AX61-Uzman_D!$I$7), AX61-Uzman_D!$I$7)*0.1 +
        IF(AY61-Uzman_D!$J$7&lt;0, -(AY61-Uzman_D!$J$7), AY61-Uzman_D!$J$7)*0.1
    ) +
    IF(ROUND((IF(BA61-Uzman_D!$L$7&lt;0, -(BA61-Uzman_D!$L$7), BA61-Uzman_D!$L$7)*2),0)/2 = IF(BA61-Uzman_D!$L$7&lt;0, -(BA61-Uzman_D!$L$7), BA61-Uzman_D!$L$7),
    (ROUND((IF(BA61-Uzman_D!$L$7&lt;0, -(BA61-Uzman_D!$L$7), BA61-Uzman_D!$L$7)*2),0)/1 * 0.1), 0) +
    IF(BB61-Uzman_D!$M$7&lt;0, -(BB61-Uzman_D!$M$7), BB61-Uzman_D!$M$7)*1
)</f>
        <v>-0.50000000000000022</v>
      </c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2"/>
      <c r="BO61" s="72"/>
      <c r="BP61" s="73">
        <f>1 - (
    SUM(
        IF(BD61-Uzman_D!$B$8&lt;0, -(BD61-Uzman_D!$B$8), BD61-Uzman_D!$B$8)*0.1 +
        IF(BE61-Uzman_D!$C$8&lt;0, -(BE61-Uzman_D!$C$8), BE61-Uzman_D!$C$8)*0.1 +
        IF(BF61-Uzman_D!$D$8&lt;0, -(BF61-Uzman_D!$D$8), BF61-Uzman_D!$D$8)*0.1 +
        IF(BG61-Uzman_D!$E$8&lt;0, -(BG61-Uzman_D!$E$8), BG61-Uzman_D!$E$8)*0.1 +
        IF(BH61-Uzman_D!$F$8&lt;0, -(BH61-Uzman_D!$F$8), BH61-Uzman_D!$F$8)*0.1 +
        IF(BI61-Uzman_D!$G$8&lt;0, -(BI61-Uzman_D!$G$8), BI61-Uzman_D!$G$8)*0.1 +
        IF(BJ61-Uzman_D!$H$8&lt;0, -(BJ61-Uzman_D!$H$8), BJ61-Uzman_D!$H$8)*0.1 +
        IF(BK61-Uzman_D!$I$8&lt;0, -(BK61-Uzman_D!$I$8), BK61-Uzman_D!$I$8)*0.1 +
        IF(BL61-Uzman_D!$J$8&lt;0, -(BL61-Uzman_D!$J$8), BL61-Uzman_D!$J$8)*0.1
    ) +
    IF(ROUND((IF(BN61-Uzman_D!$L$8&lt;0, -(BN61-Uzman_D!$L$8), BN61-Uzman_D!$L$8)*2),0)/2 = IF(BN61-Uzman_D!$L$8&lt;0, -(BN61-Uzman_D!$L$8), BN61-Uzman_D!$L$8),
    (ROUND((IF(BN61-Uzman_D!$L$8&lt;0, -(BN61-Uzman_D!$L$8), BN61-Uzman_D!$L$8)*2),0)/1 * 0.1), 0) +
    IF(BO61-Uzman_D!$M$8&lt;0, -(BO61-Uzman_D!$M$8), BO61-Uzman_D!$M$8)*1
)</f>
        <v>-0.20000000000000018</v>
      </c>
      <c r="BQ61" s="74">
        <f t="shared" si="0"/>
        <v>-0.54000000000000026</v>
      </c>
    </row>
    <row r="62" spans="1:69" ht="15" customHeight="1" x14ac:dyDescent="0.2">
      <c r="A62" s="57">
        <v>59</v>
      </c>
      <c r="B62" s="29">
        <f>Hakemler!B62</f>
        <v>0</v>
      </c>
      <c r="C62" s="29">
        <f>Hakemler!C62</f>
        <v>0</v>
      </c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2"/>
      <c r="O62" s="72"/>
      <c r="P62" s="73">
        <f>1 - (
    SUM(
        IF(D62-Uzman_D!$B$4&lt;0, -(D62-Uzman_D!$B$4), D62-Uzman_D!$B$4)*0.1 +
        IF(E62-Uzman_D!$C$4&lt;0, -(E62-Uzman_D!$C$4), E62-Uzman_D!$C$4)*0.1 +
        IF(F62-Uzman_D!$D$4&lt;0, -(F62-Uzman_D!$D$4), F62-Uzman_D!$D$4)*0.1 +
        IF(G62-Uzman_D!$E$4&lt;0, -(G62-Uzman_D!$E$4), G62-Uzman_D!$E$4)*0.1 +
        IF(H62-Uzman_D!$F$4&lt;0, -(H62-Uzman_D!$F$4), H62-Uzman_D!$F$4)*0.1 +
        IF(I62-Uzman_D!$G$4&lt;0, -(I62-Uzman_D!$G$4), I62-Uzman_D!$G$4)*0.1 +
        IF(J62-Uzman_D!$H$4&lt;0, -(J62-Uzman_D!$H$4), J62-Uzman_D!$H$4)*0.1 +
        IF(K62-Uzman_D!$I$4&lt;0, -(K62-Uzman_D!$I$4), K62-Uzman_D!$I$4)*0.1 +
        IF(L62-Uzman_D!$J$4&lt;0, -(L62-Uzman_D!$J$4), L62-Uzman_D!$J$4)*0.1
    ) +
    IF(ROUND((IF(N62-Uzman_D!$L$4&lt;0, -(N62-Uzman_D!$L$4), N62-Uzman_D!$L$4)*2),0)/2 = IF(N62-Uzman_D!$L$4&lt;0, -(N62-Uzman_D!$L$4), N62-Uzman_D!$L$4),
    (ROUND((IF(N62-Uzman_D!$L$4&lt;0, -(N62-Uzman_D!$L$4), N62-Uzman_D!$L$4)*2),0)/1 * 0.1), 0) +
    IF(O62-Uzman_D!$M$4&lt;0, -(O62-Uzman_D!$M$4), O62-Uzman_D!$M$4)*1
)</f>
        <v>-0.90000000000000013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2"/>
      <c r="AB62" s="72"/>
      <c r="AC62" s="73">
        <f>1 - (
    SUM(
        IF(Q62-Uzman_D!$B$5&lt;0, -(Q62-Uzman_D!$B$5), Q62-Uzman_D!$B$5)*0.1 +
        IF(R62-Uzman_D!$C$5&lt;0, -(R62-Uzman_D!$C$5), R62-Uzman_D!$C$5)*0.1 +
        IF(S62-Uzman_D!$D$5&lt;0, -(S62-Uzman_D!$D$5), S62-Uzman_D!$D$5)*0.1 +
        IF(T62-Uzman_D!$E$5&lt;0, -(T62-Uzman_D!$E$5), T62-Uzman_D!$E$5)*0.1 +
        IF(U62-Uzman_D!$F$5&lt;0, -(U62-Uzman_D!$F$5), U62-Uzman_D!$F$5)*0.1 +
        IF(V62-Uzman_D!$G$5&lt;0, -(V62-Uzman_D!$G$5), V62-Uzman_D!$G$5)*0.1 +
        IF(W62-Uzman_D!$H$5&lt;0, -(W62-Uzman_D!$H$5), W62-Uzman_D!$H$5)*0.1 +
        IF(X62-Uzman_D!$I$5&lt;0, -(X62-Uzman_D!$I$5), X62-Uzman_D!$I$5)*0.1 +
        IF(Y62-Uzman_D!$J$5&lt;0, -(Y62-Uzman_D!$J$5), Y62-Uzman_D!$J$5)*0.1
    ) +
    IF(ROUND((IF(AA62-Uzman_D!$L$5&lt;0, -(AA62-Uzman_D!$L$5), AA62-Uzman_D!$L$5)*2),0)/2 = IF(AA62-Uzman_D!$L$5&lt;0, -(AA62-Uzman_D!$L$5), AA62-Uzman_D!$L$5),
    (ROUND((IF(AA62-Uzman_D!$L$5&lt;0, -(AA62-Uzman_D!$L$5), AA62-Uzman_D!$L$5)*2),0)/1 * 0.1), 0) +
    IF(AB62-Uzman_D!$M$5&lt;0, -(AB62-Uzman_D!$M$5), AB62-Uzman_D!$M$5)*1
)</f>
        <v>-0.50000000000000022</v>
      </c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2"/>
      <c r="AO62" s="72"/>
      <c r="AP62" s="73">
        <f>1 - (
    SUM(
        IF(AD62-Uzman_D!$B$6&lt;0, -(AD62-Uzman_D!$B$6), AD62-Uzman_D!$B$6)*0.1 +
        IF(AE62-Uzman_D!$C$6&lt;0, -(AE62-Uzman_D!$C$6), AE62-Uzman_D!$C$6)*0.1 +
        IF(AF62-Uzman_D!$D$6&lt;0, -(AF62-Uzman_D!$D$6), AF62-Uzman_D!$D$6)*0.1 +
        IF(AG62-Uzman_D!$E$6&lt;0, -(AG62-Uzman_D!$E$6), AG62-Uzman_D!$E$6)*0.1 +
        IF(AH62-Uzman_D!$F$6&lt;0, -(AH62-Uzman_D!$F$6), AH62-Uzman_D!$F$6)*0.1 +
        IF(AI62-Uzman_D!$G$6&lt;0, -(AI62-Uzman_D!$G$6), AI62-Uzman_D!$G$6)*0.1 +
        IF(AJ62-Uzman_D!$H$6&lt;0, -(AJ62-Uzman_D!$H$6), AJ62-Uzman_D!$H$6)*0.1 +
        IF(AK62-Uzman_D!$I$6&lt;0, -(AK62-Uzman_D!$I$6), AK62-Uzman_D!$I$6)*0.1 +
        IF(AL62-Uzman_D!$J$6&lt;0, -(AL62-Uzman_D!$J$6), AL62-Uzman_D!$J$6)*0.1
    ) +
    IF(ROUND((IF(AN62-Uzman_D!$L$6&lt;0, -(AN62-Uzman_D!$L$6), AN62-Uzman_D!$L$6)*2),0)/2 = IF(AN62-Uzman_D!$L$6&lt;0, -(AN62-Uzman_D!$L$6), AN62-Uzman_D!$L$6),
    (ROUND((IF(AN62-Uzman_D!$L$6&lt;0, -(AN62-Uzman_D!$L$6), AN62-Uzman_D!$L$6)*2),0)/1 * 0.1), 0) +
    IF(AO62-Uzman_D!$M$6&lt;0, -(AO62-Uzman_D!$M$6), AO62-Uzman_D!$M$6)*1
)</f>
        <v>-0.60000000000000009</v>
      </c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2"/>
      <c r="BB62" s="72"/>
      <c r="BC62" s="73">
        <f>1 - (
    SUM(
        IF(AQ62-Uzman_D!$B$7&lt;0, -(AQ62-Uzman_D!$B$7), AQ62-Uzman_D!$B$7)*0.1 +
        IF(AR62-Uzman_D!$C$7&lt;0, -(AR62-Uzman_D!$C$7), AR62-Uzman_D!$C$7)*0.1 +
        IF(AS62-Uzman_D!$D$7&lt;0, -(AS62-Uzman_D!$D$7), AS62-Uzman_D!$D$7)*0.1 +
        IF(AT62-Uzman_D!$E$7&lt;0, -(AT62-Uzman_D!$E$7), AT62-Uzman_D!$E$7)*0.1 +
        IF(AU62-Uzman_D!$F$7&lt;0, -(AU62-Uzman_D!$F$7), AU62-Uzman_D!$F$7)*0.1 +
        IF(AV62-Uzman_D!$G$7&lt;0, -(AV62-Uzman_D!$G$7), AV62-Uzman_D!$G$7)*0.1 +
        IF(AW62-Uzman_D!$H$7&lt;0, -(AW62-Uzman_D!$H$7), AW62-Uzman_D!$H$7)*0.1 +
        IF(AX62-Uzman_D!$I$7&lt;0, -(AX62-Uzman_D!$I$7), AX62-Uzman_D!$I$7)*0.1 +
        IF(AY62-Uzman_D!$J$7&lt;0, -(AY62-Uzman_D!$J$7), AY62-Uzman_D!$J$7)*0.1
    ) +
    IF(ROUND((IF(BA62-Uzman_D!$L$7&lt;0, -(BA62-Uzman_D!$L$7), BA62-Uzman_D!$L$7)*2),0)/2 = IF(BA62-Uzman_D!$L$7&lt;0, -(BA62-Uzman_D!$L$7), BA62-Uzman_D!$L$7),
    (ROUND((IF(BA62-Uzman_D!$L$7&lt;0, -(BA62-Uzman_D!$L$7), BA62-Uzman_D!$L$7)*2),0)/1 * 0.1), 0) +
    IF(BB62-Uzman_D!$M$7&lt;0, -(BB62-Uzman_D!$M$7), BB62-Uzman_D!$M$7)*1
)</f>
        <v>-0.50000000000000022</v>
      </c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2"/>
      <c r="BO62" s="72"/>
      <c r="BP62" s="73">
        <f>1 - (
    SUM(
        IF(BD62-Uzman_D!$B$8&lt;0, -(BD62-Uzman_D!$B$8), BD62-Uzman_D!$B$8)*0.1 +
        IF(BE62-Uzman_D!$C$8&lt;0, -(BE62-Uzman_D!$C$8), BE62-Uzman_D!$C$8)*0.1 +
        IF(BF62-Uzman_D!$D$8&lt;0, -(BF62-Uzman_D!$D$8), BF62-Uzman_D!$D$8)*0.1 +
        IF(BG62-Uzman_D!$E$8&lt;0, -(BG62-Uzman_D!$E$8), BG62-Uzman_D!$E$8)*0.1 +
        IF(BH62-Uzman_D!$F$8&lt;0, -(BH62-Uzman_D!$F$8), BH62-Uzman_D!$F$8)*0.1 +
        IF(BI62-Uzman_D!$G$8&lt;0, -(BI62-Uzman_D!$G$8), BI62-Uzman_D!$G$8)*0.1 +
        IF(BJ62-Uzman_D!$H$8&lt;0, -(BJ62-Uzman_D!$H$8), BJ62-Uzman_D!$H$8)*0.1 +
        IF(BK62-Uzman_D!$I$8&lt;0, -(BK62-Uzman_D!$I$8), BK62-Uzman_D!$I$8)*0.1 +
        IF(BL62-Uzman_D!$J$8&lt;0, -(BL62-Uzman_D!$J$8), BL62-Uzman_D!$J$8)*0.1
    ) +
    IF(ROUND((IF(BN62-Uzman_D!$L$8&lt;0, -(BN62-Uzman_D!$L$8), BN62-Uzman_D!$L$8)*2),0)/2 = IF(BN62-Uzman_D!$L$8&lt;0, -(BN62-Uzman_D!$L$8), BN62-Uzman_D!$L$8),
    (ROUND((IF(BN62-Uzman_D!$L$8&lt;0, -(BN62-Uzman_D!$L$8), BN62-Uzman_D!$L$8)*2),0)/1 * 0.1), 0) +
    IF(BO62-Uzman_D!$M$8&lt;0, -(BO62-Uzman_D!$M$8), BO62-Uzman_D!$M$8)*1
)</f>
        <v>-0.20000000000000018</v>
      </c>
      <c r="BQ62" s="74">
        <f t="shared" si="0"/>
        <v>-0.54000000000000026</v>
      </c>
    </row>
    <row r="63" spans="1:69" ht="15" customHeight="1" x14ac:dyDescent="0.2">
      <c r="A63" s="57">
        <v>60</v>
      </c>
      <c r="B63" s="29">
        <f>Hakemler!B63</f>
        <v>0</v>
      </c>
      <c r="C63" s="29">
        <f>Hakemler!C63</f>
        <v>0</v>
      </c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2"/>
      <c r="O63" s="72"/>
      <c r="P63" s="73">
        <f>1 - (
    SUM(
        IF(D63-Uzman_D!$B$4&lt;0, -(D63-Uzman_D!$B$4), D63-Uzman_D!$B$4)*0.1 +
        IF(E63-Uzman_D!$C$4&lt;0, -(E63-Uzman_D!$C$4), E63-Uzman_D!$C$4)*0.1 +
        IF(F63-Uzman_D!$D$4&lt;0, -(F63-Uzman_D!$D$4), F63-Uzman_D!$D$4)*0.1 +
        IF(G63-Uzman_D!$E$4&lt;0, -(G63-Uzman_D!$E$4), G63-Uzman_D!$E$4)*0.1 +
        IF(H63-Uzman_D!$F$4&lt;0, -(H63-Uzman_D!$F$4), H63-Uzman_D!$F$4)*0.1 +
        IF(I63-Uzman_D!$G$4&lt;0, -(I63-Uzman_D!$G$4), I63-Uzman_D!$G$4)*0.1 +
        IF(J63-Uzman_D!$H$4&lt;0, -(J63-Uzman_D!$H$4), J63-Uzman_D!$H$4)*0.1 +
        IF(K63-Uzman_D!$I$4&lt;0, -(K63-Uzman_D!$I$4), K63-Uzman_D!$I$4)*0.1 +
        IF(L63-Uzman_D!$J$4&lt;0, -(L63-Uzman_D!$J$4), L63-Uzman_D!$J$4)*0.1
    ) +
    IF(ROUND((IF(N63-Uzman_D!$L$4&lt;0, -(N63-Uzman_D!$L$4), N63-Uzman_D!$L$4)*2),0)/2 = IF(N63-Uzman_D!$L$4&lt;0, -(N63-Uzman_D!$L$4), N63-Uzman_D!$L$4),
    (ROUND((IF(N63-Uzman_D!$L$4&lt;0, -(N63-Uzman_D!$L$4), N63-Uzman_D!$L$4)*2),0)/1 * 0.1), 0) +
    IF(O63-Uzman_D!$M$4&lt;0, -(O63-Uzman_D!$M$4), O63-Uzman_D!$M$4)*1
)</f>
        <v>-0.90000000000000013</v>
      </c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2"/>
      <c r="AB63" s="72"/>
      <c r="AC63" s="73">
        <f>1 - (
    SUM(
        IF(Q63-Uzman_D!$B$5&lt;0, -(Q63-Uzman_D!$B$5), Q63-Uzman_D!$B$5)*0.1 +
        IF(R63-Uzman_D!$C$5&lt;0, -(R63-Uzman_D!$C$5), R63-Uzman_D!$C$5)*0.1 +
        IF(S63-Uzman_D!$D$5&lt;0, -(S63-Uzman_D!$D$5), S63-Uzman_D!$D$5)*0.1 +
        IF(T63-Uzman_D!$E$5&lt;0, -(T63-Uzman_D!$E$5), T63-Uzman_D!$E$5)*0.1 +
        IF(U63-Uzman_D!$F$5&lt;0, -(U63-Uzman_D!$F$5), U63-Uzman_D!$F$5)*0.1 +
        IF(V63-Uzman_D!$G$5&lt;0, -(V63-Uzman_D!$G$5), V63-Uzman_D!$G$5)*0.1 +
        IF(W63-Uzman_D!$H$5&lt;0, -(W63-Uzman_D!$H$5), W63-Uzman_D!$H$5)*0.1 +
        IF(X63-Uzman_D!$I$5&lt;0, -(X63-Uzman_D!$I$5), X63-Uzman_D!$I$5)*0.1 +
        IF(Y63-Uzman_D!$J$5&lt;0, -(Y63-Uzman_D!$J$5), Y63-Uzman_D!$J$5)*0.1
    ) +
    IF(ROUND((IF(AA63-Uzman_D!$L$5&lt;0, -(AA63-Uzman_D!$L$5), AA63-Uzman_D!$L$5)*2),0)/2 = IF(AA63-Uzman_D!$L$5&lt;0, -(AA63-Uzman_D!$L$5), AA63-Uzman_D!$L$5),
    (ROUND((IF(AA63-Uzman_D!$L$5&lt;0, -(AA63-Uzman_D!$L$5), AA63-Uzman_D!$L$5)*2),0)/1 * 0.1), 0) +
    IF(AB63-Uzman_D!$M$5&lt;0, -(AB63-Uzman_D!$M$5), AB63-Uzman_D!$M$5)*1
)</f>
        <v>-0.50000000000000022</v>
      </c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2"/>
      <c r="AO63" s="72"/>
      <c r="AP63" s="73">
        <f>1 - (
    SUM(
        IF(AD63-Uzman_D!$B$6&lt;0, -(AD63-Uzman_D!$B$6), AD63-Uzman_D!$B$6)*0.1 +
        IF(AE63-Uzman_D!$C$6&lt;0, -(AE63-Uzman_D!$C$6), AE63-Uzman_D!$C$6)*0.1 +
        IF(AF63-Uzman_D!$D$6&lt;0, -(AF63-Uzman_D!$D$6), AF63-Uzman_D!$D$6)*0.1 +
        IF(AG63-Uzman_D!$E$6&lt;0, -(AG63-Uzman_D!$E$6), AG63-Uzman_D!$E$6)*0.1 +
        IF(AH63-Uzman_D!$F$6&lt;0, -(AH63-Uzman_D!$F$6), AH63-Uzman_D!$F$6)*0.1 +
        IF(AI63-Uzman_D!$G$6&lt;0, -(AI63-Uzman_D!$G$6), AI63-Uzman_D!$G$6)*0.1 +
        IF(AJ63-Uzman_D!$H$6&lt;0, -(AJ63-Uzman_D!$H$6), AJ63-Uzman_D!$H$6)*0.1 +
        IF(AK63-Uzman_D!$I$6&lt;0, -(AK63-Uzman_D!$I$6), AK63-Uzman_D!$I$6)*0.1 +
        IF(AL63-Uzman_D!$J$6&lt;0, -(AL63-Uzman_D!$J$6), AL63-Uzman_D!$J$6)*0.1
    ) +
    IF(ROUND((IF(AN63-Uzman_D!$L$6&lt;0, -(AN63-Uzman_D!$L$6), AN63-Uzman_D!$L$6)*2),0)/2 = IF(AN63-Uzman_D!$L$6&lt;0, -(AN63-Uzman_D!$L$6), AN63-Uzman_D!$L$6),
    (ROUND((IF(AN63-Uzman_D!$L$6&lt;0, -(AN63-Uzman_D!$L$6), AN63-Uzman_D!$L$6)*2),0)/1 * 0.1), 0) +
    IF(AO63-Uzman_D!$M$6&lt;0, -(AO63-Uzman_D!$M$6), AO63-Uzman_D!$M$6)*1
)</f>
        <v>-0.60000000000000009</v>
      </c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2"/>
      <c r="BB63" s="72"/>
      <c r="BC63" s="73">
        <f>1 - (
    SUM(
        IF(AQ63-Uzman_D!$B$7&lt;0, -(AQ63-Uzman_D!$B$7), AQ63-Uzman_D!$B$7)*0.1 +
        IF(AR63-Uzman_D!$C$7&lt;0, -(AR63-Uzman_D!$C$7), AR63-Uzman_D!$C$7)*0.1 +
        IF(AS63-Uzman_D!$D$7&lt;0, -(AS63-Uzman_D!$D$7), AS63-Uzman_D!$D$7)*0.1 +
        IF(AT63-Uzman_D!$E$7&lt;0, -(AT63-Uzman_D!$E$7), AT63-Uzman_D!$E$7)*0.1 +
        IF(AU63-Uzman_D!$F$7&lt;0, -(AU63-Uzman_D!$F$7), AU63-Uzman_D!$F$7)*0.1 +
        IF(AV63-Uzman_D!$G$7&lt;0, -(AV63-Uzman_D!$G$7), AV63-Uzman_D!$G$7)*0.1 +
        IF(AW63-Uzman_D!$H$7&lt;0, -(AW63-Uzman_D!$H$7), AW63-Uzman_D!$H$7)*0.1 +
        IF(AX63-Uzman_D!$I$7&lt;0, -(AX63-Uzman_D!$I$7), AX63-Uzman_D!$I$7)*0.1 +
        IF(AY63-Uzman_D!$J$7&lt;0, -(AY63-Uzman_D!$J$7), AY63-Uzman_D!$J$7)*0.1
    ) +
    IF(ROUND((IF(BA63-Uzman_D!$L$7&lt;0, -(BA63-Uzman_D!$L$7), BA63-Uzman_D!$L$7)*2),0)/2 = IF(BA63-Uzman_D!$L$7&lt;0, -(BA63-Uzman_D!$L$7), BA63-Uzman_D!$L$7),
    (ROUND((IF(BA63-Uzman_D!$L$7&lt;0, -(BA63-Uzman_D!$L$7), BA63-Uzman_D!$L$7)*2),0)/1 * 0.1), 0) +
    IF(BB63-Uzman_D!$M$7&lt;0, -(BB63-Uzman_D!$M$7), BB63-Uzman_D!$M$7)*1
)</f>
        <v>-0.50000000000000022</v>
      </c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2"/>
      <c r="BO63" s="72"/>
      <c r="BP63" s="73">
        <f>1 - (
    SUM(
        IF(BD63-Uzman_D!$B$8&lt;0, -(BD63-Uzman_D!$B$8), BD63-Uzman_D!$B$8)*0.1 +
        IF(BE63-Uzman_D!$C$8&lt;0, -(BE63-Uzman_D!$C$8), BE63-Uzman_D!$C$8)*0.1 +
        IF(BF63-Uzman_D!$D$8&lt;0, -(BF63-Uzman_D!$D$8), BF63-Uzman_D!$D$8)*0.1 +
        IF(BG63-Uzman_D!$E$8&lt;0, -(BG63-Uzman_D!$E$8), BG63-Uzman_D!$E$8)*0.1 +
        IF(BH63-Uzman_D!$F$8&lt;0, -(BH63-Uzman_D!$F$8), BH63-Uzman_D!$F$8)*0.1 +
        IF(BI63-Uzman_D!$G$8&lt;0, -(BI63-Uzman_D!$G$8), BI63-Uzman_D!$G$8)*0.1 +
        IF(BJ63-Uzman_D!$H$8&lt;0, -(BJ63-Uzman_D!$H$8), BJ63-Uzman_D!$H$8)*0.1 +
        IF(BK63-Uzman_D!$I$8&lt;0, -(BK63-Uzman_D!$I$8), BK63-Uzman_D!$I$8)*0.1 +
        IF(BL63-Uzman_D!$J$8&lt;0, -(BL63-Uzman_D!$J$8), BL63-Uzman_D!$J$8)*0.1
    ) +
    IF(ROUND((IF(BN63-Uzman_D!$L$8&lt;0, -(BN63-Uzman_D!$L$8), BN63-Uzman_D!$L$8)*2),0)/2 = IF(BN63-Uzman_D!$L$8&lt;0, -(BN63-Uzman_D!$L$8), BN63-Uzman_D!$L$8),
    (ROUND((IF(BN63-Uzman_D!$L$8&lt;0, -(BN63-Uzman_D!$L$8), BN63-Uzman_D!$L$8)*2),0)/1 * 0.1), 0) +
    IF(BO63-Uzman_D!$M$8&lt;0, -(BO63-Uzman_D!$M$8), BO63-Uzman_D!$M$8)*1
)</f>
        <v>-0.20000000000000018</v>
      </c>
      <c r="BQ63" s="74">
        <f t="shared" si="0"/>
        <v>-0.54000000000000026</v>
      </c>
    </row>
    <row r="64" spans="1:69" ht="15" customHeight="1" x14ac:dyDescent="0.2">
      <c r="A64" s="57">
        <v>61</v>
      </c>
      <c r="B64" s="29">
        <f>Hakemler!B64</f>
        <v>0</v>
      </c>
      <c r="C64" s="29">
        <f>Hakemler!C64</f>
        <v>0</v>
      </c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2"/>
      <c r="O64" s="72"/>
      <c r="P64" s="73">
        <f>1 - (
    SUM(
        IF(D64-Uzman_D!$B$4&lt;0, -(D64-Uzman_D!$B$4), D64-Uzman_D!$B$4)*0.1 +
        IF(E64-Uzman_D!$C$4&lt;0, -(E64-Uzman_D!$C$4), E64-Uzman_D!$C$4)*0.1 +
        IF(F64-Uzman_D!$D$4&lt;0, -(F64-Uzman_D!$D$4), F64-Uzman_D!$D$4)*0.1 +
        IF(G64-Uzman_D!$E$4&lt;0, -(G64-Uzman_D!$E$4), G64-Uzman_D!$E$4)*0.1 +
        IF(H64-Uzman_D!$F$4&lt;0, -(H64-Uzman_D!$F$4), H64-Uzman_D!$F$4)*0.1 +
        IF(I64-Uzman_D!$G$4&lt;0, -(I64-Uzman_D!$G$4), I64-Uzman_D!$G$4)*0.1 +
        IF(J64-Uzman_D!$H$4&lt;0, -(J64-Uzman_D!$H$4), J64-Uzman_D!$H$4)*0.1 +
        IF(K64-Uzman_D!$I$4&lt;0, -(K64-Uzman_D!$I$4), K64-Uzman_D!$I$4)*0.1 +
        IF(L64-Uzman_D!$J$4&lt;0, -(L64-Uzman_D!$J$4), L64-Uzman_D!$J$4)*0.1
    ) +
    IF(ROUND((IF(N64-Uzman_D!$L$4&lt;0, -(N64-Uzman_D!$L$4), N64-Uzman_D!$L$4)*2),0)/2 = IF(N64-Uzman_D!$L$4&lt;0, -(N64-Uzman_D!$L$4), N64-Uzman_D!$L$4),
    (ROUND((IF(N64-Uzman_D!$L$4&lt;0, -(N64-Uzman_D!$L$4), N64-Uzman_D!$L$4)*2),0)/1 * 0.1), 0) +
    IF(O64-Uzman_D!$M$4&lt;0, -(O64-Uzman_D!$M$4), O64-Uzman_D!$M$4)*1
)</f>
        <v>-0.90000000000000013</v>
      </c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2"/>
      <c r="AB64" s="72"/>
      <c r="AC64" s="73">
        <f>1 - (
    SUM(
        IF(Q64-Uzman_D!$B$5&lt;0, -(Q64-Uzman_D!$B$5), Q64-Uzman_D!$B$5)*0.1 +
        IF(R64-Uzman_D!$C$5&lt;0, -(R64-Uzman_D!$C$5), R64-Uzman_D!$C$5)*0.1 +
        IF(S64-Uzman_D!$D$5&lt;0, -(S64-Uzman_D!$D$5), S64-Uzman_D!$D$5)*0.1 +
        IF(T64-Uzman_D!$E$5&lt;0, -(T64-Uzman_D!$E$5), T64-Uzman_D!$E$5)*0.1 +
        IF(U64-Uzman_D!$F$5&lt;0, -(U64-Uzman_D!$F$5), U64-Uzman_D!$F$5)*0.1 +
        IF(V64-Uzman_D!$G$5&lt;0, -(V64-Uzman_D!$G$5), V64-Uzman_D!$G$5)*0.1 +
        IF(W64-Uzman_D!$H$5&lt;0, -(W64-Uzman_D!$H$5), W64-Uzman_D!$H$5)*0.1 +
        IF(X64-Uzman_D!$I$5&lt;0, -(X64-Uzman_D!$I$5), X64-Uzman_D!$I$5)*0.1 +
        IF(Y64-Uzman_D!$J$5&lt;0, -(Y64-Uzman_D!$J$5), Y64-Uzman_D!$J$5)*0.1
    ) +
    IF(ROUND((IF(AA64-Uzman_D!$L$5&lt;0, -(AA64-Uzman_D!$L$5), AA64-Uzman_D!$L$5)*2),0)/2 = IF(AA64-Uzman_D!$L$5&lt;0, -(AA64-Uzman_D!$L$5), AA64-Uzman_D!$L$5),
    (ROUND((IF(AA64-Uzman_D!$L$5&lt;0, -(AA64-Uzman_D!$L$5), AA64-Uzman_D!$L$5)*2),0)/1 * 0.1), 0) +
    IF(AB64-Uzman_D!$M$5&lt;0, -(AB64-Uzman_D!$M$5), AB64-Uzman_D!$M$5)*1
)</f>
        <v>-0.50000000000000022</v>
      </c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2"/>
      <c r="AO64" s="72"/>
      <c r="AP64" s="73">
        <f>1 - (
    SUM(
        IF(AD64-Uzman_D!$B$6&lt;0, -(AD64-Uzman_D!$B$6), AD64-Uzman_D!$B$6)*0.1 +
        IF(AE64-Uzman_D!$C$6&lt;0, -(AE64-Uzman_D!$C$6), AE64-Uzman_D!$C$6)*0.1 +
        IF(AF64-Uzman_D!$D$6&lt;0, -(AF64-Uzman_D!$D$6), AF64-Uzman_D!$D$6)*0.1 +
        IF(AG64-Uzman_D!$E$6&lt;0, -(AG64-Uzman_D!$E$6), AG64-Uzman_D!$E$6)*0.1 +
        IF(AH64-Uzman_D!$F$6&lt;0, -(AH64-Uzman_D!$F$6), AH64-Uzman_D!$F$6)*0.1 +
        IF(AI64-Uzman_D!$G$6&lt;0, -(AI64-Uzman_D!$G$6), AI64-Uzman_D!$G$6)*0.1 +
        IF(AJ64-Uzman_D!$H$6&lt;0, -(AJ64-Uzman_D!$H$6), AJ64-Uzman_D!$H$6)*0.1 +
        IF(AK64-Uzman_D!$I$6&lt;0, -(AK64-Uzman_D!$I$6), AK64-Uzman_D!$I$6)*0.1 +
        IF(AL64-Uzman_D!$J$6&lt;0, -(AL64-Uzman_D!$J$6), AL64-Uzman_D!$J$6)*0.1
    ) +
    IF(ROUND((IF(AN64-Uzman_D!$L$6&lt;0, -(AN64-Uzman_D!$L$6), AN64-Uzman_D!$L$6)*2),0)/2 = IF(AN64-Uzman_D!$L$6&lt;0, -(AN64-Uzman_D!$L$6), AN64-Uzman_D!$L$6),
    (ROUND((IF(AN64-Uzman_D!$L$6&lt;0, -(AN64-Uzman_D!$L$6), AN64-Uzman_D!$L$6)*2),0)/1 * 0.1), 0) +
    IF(AO64-Uzman_D!$M$6&lt;0, -(AO64-Uzman_D!$M$6), AO64-Uzman_D!$M$6)*1
)</f>
        <v>-0.60000000000000009</v>
      </c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2"/>
      <c r="BB64" s="72"/>
      <c r="BC64" s="73">
        <f>1 - (
    SUM(
        IF(AQ64-Uzman_D!$B$7&lt;0, -(AQ64-Uzman_D!$B$7), AQ64-Uzman_D!$B$7)*0.1 +
        IF(AR64-Uzman_D!$C$7&lt;0, -(AR64-Uzman_D!$C$7), AR64-Uzman_D!$C$7)*0.1 +
        IF(AS64-Uzman_D!$D$7&lt;0, -(AS64-Uzman_D!$D$7), AS64-Uzman_D!$D$7)*0.1 +
        IF(AT64-Uzman_D!$E$7&lt;0, -(AT64-Uzman_D!$E$7), AT64-Uzman_D!$E$7)*0.1 +
        IF(AU64-Uzman_D!$F$7&lt;0, -(AU64-Uzman_D!$F$7), AU64-Uzman_D!$F$7)*0.1 +
        IF(AV64-Uzman_D!$G$7&lt;0, -(AV64-Uzman_D!$G$7), AV64-Uzman_D!$G$7)*0.1 +
        IF(AW64-Uzman_D!$H$7&lt;0, -(AW64-Uzman_D!$H$7), AW64-Uzman_D!$H$7)*0.1 +
        IF(AX64-Uzman_D!$I$7&lt;0, -(AX64-Uzman_D!$I$7), AX64-Uzman_D!$I$7)*0.1 +
        IF(AY64-Uzman_D!$J$7&lt;0, -(AY64-Uzman_D!$J$7), AY64-Uzman_D!$J$7)*0.1
    ) +
    IF(ROUND((IF(BA64-Uzman_D!$L$7&lt;0, -(BA64-Uzman_D!$L$7), BA64-Uzman_D!$L$7)*2),0)/2 = IF(BA64-Uzman_D!$L$7&lt;0, -(BA64-Uzman_D!$L$7), BA64-Uzman_D!$L$7),
    (ROUND((IF(BA64-Uzman_D!$L$7&lt;0, -(BA64-Uzman_D!$L$7), BA64-Uzman_D!$L$7)*2),0)/1 * 0.1), 0) +
    IF(BB64-Uzman_D!$M$7&lt;0, -(BB64-Uzman_D!$M$7), BB64-Uzman_D!$M$7)*1
)</f>
        <v>-0.50000000000000022</v>
      </c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2"/>
      <c r="BO64" s="72"/>
      <c r="BP64" s="73">
        <f>1 - (
    SUM(
        IF(BD64-Uzman_D!$B$8&lt;0, -(BD64-Uzman_D!$B$8), BD64-Uzman_D!$B$8)*0.1 +
        IF(BE64-Uzman_D!$C$8&lt;0, -(BE64-Uzman_D!$C$8), BE64-Uzman_D!$C$8)*0.1 +
        IF(BF64-Uzman_D!$D$8&lt;0, -(BF64-Uzman_D!$D$8), BF64-Uzman_D!$D$8)*0.1 +
        IF(BG64-Uzman_D!$E$8&lt;0, -(BG64-Uzman_D!$E$8), BG64-Uzman_D!$E$8)*0.1 +
        IF(BH64-Uzman_D!$F$8&lt;0, -(BH64-Uzman_D!$F$8), BH64-Uzman_D!$F$8)*0.1 +
        IF(BI64-Uzman_D!$G$8&lt;0, -(BI64-Uzman_D!$G$8), BI64-Uzman_D!$G$8)*0.1 +
        IF(BJ64-Uzman_D!$H$8&lt;0, -(BJ64-Uzman_D!$H$8), BJ64-Uzman_D!$H$8)*0.1 +
        IF(BK64-Uzman_D!$I$8&lt;0, -(BK64-Uzman_D!$I$8), BK64-Uzman_D!$I$8)*0.1 +
        IF(BL64-Uzman_D!$J$8&lt;0, -(BL64-Uzman_D!$J$8), BL64-Uzman_D!$J$8)*0.1
    ) +
    IF(ROUND((IF(BN64-Uzman_D!$L$8&lt;0, -(BN64-Uzman_D!$L$8), BN64-Uzman_D!$L$8)*2),0)/2 = IF(BN64-Uzman_D!$L$8&lt;0, -(BN64-Uzman_D!$L$8), BN64-Uzman_D!$L$8),
    (ROUND((IF(BN64-Uzman_D!$L$8&lt;0, -(BN64-Uzman_D!$L$8), BN64-Uzman_D!$L$8)*2),0)/1 * 0.1), 0) +
    IF(BO64-Uzman_D!$M$8&lt;0, -(BO64-Uzman_D!$M$8), BO64-Uzman_D!$M$8)*1
)</f>
        <v>-0.20000000000000018</v>
      </c>
      <c r="BQ64" s="74">
        <f t="shared" si="0"/>
        <v>-0.54000000000000026</v>
      </c>
    </row>
    <row r="65" spans="1:69" ht="15" customHeight="1" x14ac:dyDescent="0.2">
      <c r="A65" s="57">
        <v>62</v>
      </c>
      <c r="B65" s="29">
        <f>Hakemler!B65</f>
        <v>0</v>
      </c>
      <c r="C65" s="29">
        <f>Hakemler!C65</f>
        <v>0</v>
      </c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2"/>
      <c r="O65" s="72"/>
      <c r="P65" s="73">
        <f>1 - (
    SUM(
        IF(D65-Uzman_D!$B$4&lt;0, -(D65-Uzman_D!$B$4), D65-Uzman_D!$B$4)*0.1 +
        IF(E65-Uzman_D!$C$4&lt;0, -(E65-Uzman_D!$C$4), E65-Uzman_D!$C$4)*0.1 +
        IF(F65-Uzman_D!$D$4&lt;0, -(F65-Uzman_D!$D$4), F65-Uzman_D!$D$4)*0.1 +
        IF(G65-Uzman_D!$E$4&lt;0, -(G65-Uzman_D!$E$4), G65-Uzman_D!$E$4)*0.1 +
        IF(H65-Uzman_D!$F$4&lt;0, -(H65-Uzman_D!$F$4), H65-Uzman_D!$F$4)*0.1 +
        IF(I65-Uzman_D!$G$4&lt;0, -(I65-Uzman_D!$G$4), I65-Uzman_D!$G$4)*0.1 +
        IF(J65-Uzman_D!$H$4&lt;0, -(J65-Uzman_D!$H$4), J65-Uzman_D!$H$4)*0.1 +
        IF(K65-Uzman_D!$I$4&lt;0, -(K65-Uzman_D!$I$4), K65-Uzman_D!$I$4)*0.1 +
        IF(L65-Uzman_D!$J$4&lt;0, -(L65-Uzman_D!$J$4), L65-Uzman_D!$J$4)*0.1
    ) +
    IF(ROUND((IF(N65-Uzman_D!$L$4&lt;0, -(N65-Uzman_D!$L$4), N65-Uzman_D!$L$4)*2),0)/2 = IF(N65-Uzman_D!$L$4&lt;0, -(N65-Uzman_D!$L$4), N65-Uzman_D!$L$4),
    (ROUND((IF(N65-Uzman_D!$L$4&lt;0, -(N65-Uzman_D!$L$4), N65-Uzman_D!$L$4)*2),0)/1 * 0.1), 0) +
    IF(O65-Uzman_D!$M$4&lt;0, -(O65-Uzman_D!$M$4), O65-Uzman_D!$M$4)*1
)</f>
        <v>-0.90000000000000013</v>
      </c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2"/>
      <c r="AB65" s="72"/>
      <c r="AC65" s="73">
        <f>1 - (
    SUM(
        IF(Q65-Uzman_D!$B$5&lt;0, -(Q65-Uzman_D!$B$5), Q65-Uzman_D!$B$5)*0.1 +
        IF(R65-Uzman_D!$C$5&lt;0, -(R65-Uzman_D!$C$5), R65-Uzman_D!$C$5)*0.1 +
        IF(S65-Uzman_D!$D$5&lt;0, -(S65-Uzman_D!$D$5), S65-Uzman_D!$D$5)*0.1 +
        IF(T65-Uzman_D!$E$5&lt;0, -(T65-Uzman_D!$E$5), T65-Uzman_D!$E$5)*0.1 +
        IF(U65-Uzman_D!$F$5&lt;0, -(U65-Uzman_D!$F$5), U65-Uzman_D!$F$5)*0.1 +
        IF(V65-Uzman_D!$G$5&lt;0, -(V65-Uzman_D!$G$5), V65-Uzman_D!$G$5)*0.1 +
        IF(W65-Uzman_D!$H$5&lt;0, -(W65-Uzman_D!$H$5), W65-Uzman_D!$H$5)*0.1 +
        IF(X65-Uzman_D!$I$5&lt;0, -(X65-Uzman_D!$I$5), X65-Uzman_D!$I$5)*0.1 +
        IF(Y65-Uzman_D!$J$5&lt;0, -(Y65-Uzman_D!$J$5), Y65-Uzman_D!$J$5)*0.1
    ) +
    IF(ROUND((IF(AA65-Uzman_D!$L$5&lt;0, -(AA65-Uzman_D!$L$5), AA65-Uzman_D!$L$5)*2),0)/2 = IF(AA65-Uzman_D!$L$5&lt;0, -(AA65-Uzman_D!$L$5), AA65-Uzman_D!$L$5),
    (ROUND((IF(AA65-Uzman_D!$L$5&lt;0, -(AA65-Uzman_D!$L$5), AA65-Uzman_D!$L$5)*2),0)/1 * 0.1), 0) +
    IF(AB65-Uzman_D!$M$5&lt;0, -(AB65-Uzman_D!$M$5), AB65-Uzman_D!$M$5)*1
)</f>
        <v>-0.50000000000000022</v>
      </c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2"/>
      <c r="AO65" s="72"/>
      <c r="AP65" s="73">
        <f>1 - (
    SUM(
        IF(AD65-Uzman_D!$B$6&lt;0, -(AD65-Uzman_D!$B$6), AD65-Uzman_D!$B$6)*0.1 +
        IF(AE65-Uzman_D!$C$6&lt;0, -(AE65-Uzman_D!$C$6), AE65-Uzman_D!$C$6)*0.1 +
        IF(AF65-Uzman_D!$D$6&lt;0, -(AF65-Uzman_D!$D$6), AF65-Uzman_D!$D$6)*0.1 +
        IF(AG65-Uzman_D!$E$6&lt;0, -(AG65-Uzman_D!$E$6), AG65-Uzman_D!$E$6)*0.1 +
        IF(AH65-Uzman_D!$F$6&lt;0, -(AH65-Uzman_D!$F$6), AH65-Uzman_D!$F$6)*0.1 +
        IF(AI65-Uzman_D!$G$6&lt;0, -(AI65-Uzman_D!$G$6), AI65-Uzman_D!$G$6)*0.1 +
        IF(AJ65-Uzman_D!$H$6&lt;0, -(AJ65-Uzman_D!$H$6), AJ65-Uzman_D!$H$6)*0.1 +
        IF(AK65-Uzman_D!$I$6&lt;0, -(AK65-Uzman_D!$I$6), AK65-Uzman_D!$I$6)*0.1 +
        IF(AL65-Uzman_D!$J$6&lt;0, -(AL65-Uzman_D!$J$6), AL65-Uzman_D!$J$6)*0.1
    ) +
    IF(ROUND((IF(AN65-Uzman_D!$L$6&lt;0, -(AN65-Uzman_D!$L$6), AN65-Uzman_D!$L$6)*2),0)/2 = IF(AN65-Uzman_D!$L$6&lt;0, -(AN65-Uzman_D!$L$6), AN65-Uzman_D!$L$6),
    (ROUND((IF(AN65-Uzman_D!$L$6&lt;0, -(AN65-Uzman_D!$L$6), AN65-Uzman_D!$L$6)*2),0)/1 * 0.1), 0) +
    IF(AO65-Uzman_D!$M$6&lt;0, -(AO65-Uzman_D!$M$6), AO65-Uzman_D!$M$6)*1
)</f>
        <v>-0.60000000000000009</v>
      </c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2"/>
      <c r="BB65" s="72"/>
      <c r="BC65" s="73">
        <f>1 - (
    SUM(
        IF(AQ65-Uzman_D!$B$7&lt;0, -(AQ65-Uzman_D!$B$7), AQ65-Uzman_D!$B$7)*0.1 +
        IF(AR65-Uzman_D!$C$7&lt;0, -(AR65-Uzman_D!$C$7), AR65-Uzman_D!$C$7)*0.1 +
        IF(AS65-Uzman_D!$D$7&lt;0, -(AS65-Uzman_D!$D$7), AS65-Uzman_D!$D$7)*0.1 +
        IF(AT65-Uzman_D!$E$7&lt;0, -(AT65-Uzman_D!$E$7), AT65-Uzman_D!$E$7)*0.1 +
        IF(AU65-Uzman_D!$F$7&lt;0, -(AU65-Uzman_D!$F$7), AU65-Uzman_D!$F$7)*0.1 +
        IF(AV65-Uzman_D!$G$7&lt;0, -(AV65-Uzman_D!$G$7), AV65-Uzman_D!$G$7)*0.1 +
        IF(AW65-Uzman_D!$H$7&lt;0, -(AW65-Uzman_D!$H$7), AW65-Uzman_D!$H$7)*0.1 +
        IF(AX65-Uzman_D!$I$7&lt;0, -(AX65-Uzman_D!$I$7), AX65-Uzman_D!$I$7)*0.1 +
        IF(AY65-Uzman_D!$J$7&lt;0, -(AY65-Uzman_D!$J$7), AY65-Uzman_D!$J$7)*0.1
    ) +
    IF(ROUND((IF(BA65-Uzman_D!$L$7&lt;0, -(BA65-Uzman_D!$L$7), BA65-Uzman_D!$L$7)*2),0)/2 = IF(BA65-Uzman_D!$L$7&lt;0, -(BA65-Uzman_D!$L$7), BA65-Uzman_D!$L$7),
    (ROUND((IF(BA65-Uzman_D!$L$7&lt;0, -(BA65-Uzman_D!$L$7), BA65-Uzman_D!$L$7)*2),0)/1 * 0.1), 0) +
    IF(BB65-Uzman_D!$M$7&lt;0, -(BB65-Uzman_D!$M$7), BB65-Uzman_D!$M$7)*1
)</f>
        <v>-0.50000000000000022</v>
      </c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2"/>
      <c r="BO65" s="72"/>
      <c r="BP65" s="73">
        <f>1 - (
    SUM(
        IF(BD65-Uzman_D!$B$8&lt;0, -(BD65-Uzman_D!$B$8), BD65-Uzman_D!$B$8)*0.1 +
        IF(BE65-Uzman_D!$C$8&lt;0, -(BE65-Uzman_D!$C$8), BE65-Uzman_D!$C$8)*0.1 +
        IF(BF65-Uzman_D!$D$8&lt;0, -(BF65-Uzman_D!$D$8), BF65-Uzman_D!$D$8)*0.1 +
        IF(BG65-Uzman_D!$E$8&lt;0, -(BG65-Uzman_D!$E$8), BG65-Uzman_D!$E$8)*0.1 +
        IF(BH65-Uzman_D!$F$8&lt;0, -(BH65-Uzman_D!$F$8), BH65-Uzman_D!$F$8)*0.1 +
        IF(BI65-Uzman_D!$G$8&lt;0, -(BI65-Uzman_D!$G$8), BI65-Uzman_D!$G$8)*0.1 +
        IF(BJ65-Uzman_D!$H$8&lt;0, -(BJ65-Uzman_D!$H$8), BJ65-Uzman_D!$H$8)*0.1 +
        IF(BK65-Uzman_D!$I$8&lt;0, -(BK65-Uzman_D!$I$8), BK65-Uzman_D!$I$8)*0.1 +
        IF(BL65-Uzman_D!$J$8&lt;0, -(BL65-Uzman_D!$J$8), BL65-Uzman_D!$J$8)*0.1
    ) +
    IF(ROUND((IF(BN65-Uzman_D!$L$8&lt;0, -(BN65-Uzman_D!$L$8), BN65-Uzman_D!$L$8)*2),0)/2 = IF(BN65-Uzman_D!$L$8&lt;0, -(BN65-Uzman_D!$L$8), BN65-Uzman_D!$L$8),
    (ROUND((IF(BN65-Uzman_D!$L$8&lt;0, -(BN65-Uzman_D!$L$8), BN65-Uzman_D!$L$8)*2),0)/1 * 0.1), 0) +
    IF(BO65-Uzman_D!$M$8&lt;0, -(BO65-Uzman_D!$M$8), BO65-Uzman_D!$M$8)*1
)</f>
        <v>-0.20000000000000018</v>
      </c>
      <c r="BQ65" s="74">
        <f t="shared" si="0"/>
        <v>-0.54000000000000026</v>
      </c>
    </row>
    <row r="66" spans="1:69" ht="15" customHeight="1" x14ac:dyDescent="0.2">
      <c r="A66" s="57">
        <v>63</v>
      </c>
      <c r="B66" s="29">
        <f>Hakemler!B66</f>
        <v>0</v>
      </c>
      <c r="C66" s="29">
        <f>Hakemler!C66</f>
        <v>0</v>
      </c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2"/>
      <c r="O66" s="72"/>
      <c r="P66" s="73">
        <f>1 - (
    SUM(
        IF(D66-Uzman_D!$B$4&lt;0, -(D66-Uzman_D!$B$4), D66-Uzman_D!$B$4)*0.1 +
        IF(E66-Uzman_D!$C$4&lt;0, -(E66-Uzman_D!$C$4), E66-Uzman_D!$C$4)*0.1 +
        IF(F66-Uzman_D!$D$4&lt;0, -(F66-Uzman_D!$D$4), F66-Uzman_D!$D$4)*0.1 +
        IF(G66-Uzman_D!$E$4&lt;0, -(G66-Uzman_D!$E$4), G66-Uzman_D!$E$4)*0.1 +
        IF(H66-Uzman_D!$F$4&lt;0, -(H66-Uzman_D!$F$4), H66-Uzman_D!$F$4)*0.1 +
        IF(I66-Uzman_D!$G$4&lt;0, -(I66-Uzman_D!$G$4), I66-Uzman_D!$G$4)*0.1 +
        IF(J66-Uzman_D!$H$4&lt;0, -(J66-Uzman_D!$H$4), J66-Uzman_D!$H$4)*0.1 +
        IF(K66-Uzman_D!$I$4&lt;0, -(K66-Uzman_D!$I$4), K66-Uzman_D!$I$4)*0.1 +
        IF(L66-Uzman_D!$J$4&lt;0, -(L66-Uzman_D!$J$4), L66-Uzman_D!$J$4)*0.1
    ) +
    IF(ROUND((IF(N66-Uzman_D!$L$4&lt;0, -(N66-Uzman_D!$L$4), N66-Uzman_D!$L$4)*2),0)/2 = IF(N66-Uzman_D!$L$4&lt;0, -(N66-Uzman_D!$L$4), N66-Uzman_D!$L$4),
    (ROUND((IF(N66-Uzman_D!$L$4&lt;0, -(N66-Uzman_D!$L$4), N66-Uzman_D!$L$4)*2),0)/1 * 0.1), 0) +
    IF(O66-Uzman_D!$M$4&lt;0, -(O66-Uzman_D!$M$4), O66-Uzman_D!$M$4)*1
)</f>
        <v>-0.90000000000000013</v>
      </c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2"/>
      <c r="AB66" s="72"/>
      <c r="AC66" s="73">
        <f>1 - (
    SUM(
        IF(Q66-Uzman_D!$B$5&lt;0, -(Q66-Uzman_D!$B$5), Q66-Uzman_D!$B$5)*0.1 +
        IF(R66-Uzman_D!$C$5&lt;0, -(R66-Uzman_D!$C$5), R66-Uzman_D!$C$5)*0.1 +
        IF(S66-Uzman_D!$D$5&lt;0, -(S66-Uzman_D!$D$5), S66-Uzman_D!$D$5)*0.1 +
        IF(T66-Uzman_D!$E$5&lt;0, -(T66-Uzman_D!$E$5), T66-Uzman_D!$E$5)*0.1 +
        IF(U66-Uzman_D!$F$5&lt;0, -(U66-Uzman_D!$F$5), U66-Uzman_D!$F$5)*0.1 +
        IF(V66-Uzman_D!$G$5&lt;0, -(V66-Uzman_D!$G$5), V66-Uzman_D!$G$5)*0.1 +
        IF(W66-Uzman_D!$H$5&lt;0, -(W66-Uzman_D!$H$5), W66-Uzman_D!$H$5)*0.1 +
        IF(X66-Uzman_D!$I$5&lt;0, -(X66-Uzman_D!$I$5), X66-Uzman_D!$I$5)*0.1 +
        IF(Y66-Uzman_D!$J$5&lt;0, -(Y66-Uzman_D!$J$5), Y66-Uzman_D!$J$5)*0.1
    ) +
    IF(ROUND((IF(AA66-Uzman_D!$L$5&lt;0, -(AA66-Uzman_D!$L$5), AA66-Uzman_D!$L$5)*2),0)/2 = IF(AA66-Uzman_D!$L$5&lt;0, -(AA66-Uzman_D!$L$5), AA66-Uzman_D!$L$5),
    (ROUND((IF(AA66-Uzman_D!$L$5&lt;0, -(AA66-Uzman_D!$L$5), AA66-Uzman_D!$L$5)*2),0)/1 * 0.1), 0) +
    IF(AB66-Uzman_D!$M$5&lt;0, -(AB66-Uzman_D!$M$5), AB66-Uzman_D!$M$5)*1
)</f>
        <v>-0.50000000000000022</v>
      </c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2"/>
      <c r="AO66" s="72"/>
      <c r="AP66" s="73">
        <f>1 - (
    SUM(
        IF(AD66-Uzman_D!$B$6&lt;0, -(AD66-Uzman_D!$B$6), AD66-Uzman_D!$B$6)*0.1 +
        IF(AE66-Uzman_D!$C$6&lt;0, -(AE66-Uzman_D!$C$6), AE66-Uzman_D!$C$6)*0.1 +
        IF(AF66-Uzman_D!$D$6&lt;0, -(AF66-Uzman_D!$D$6), AF66-Uzman_D!$D$6)*0.1 +
        IF(AG66-Uzman_D!$E$6&lt;0, -(AG66-Uzman_D!$E$6), AG66-Uzman_D!$E$6)*0.1 +
        IF(AH66-Uzman_D!$F$6&lt;0, -(AH66-Uzman_D!$F$6), AH66-Uzman_D!$F$6)*0.1 +
        IF(AI66-Uzman_D!$G$6&lt;0, -(AI66-Uzman_D!$G$6), AI66-Uzman_D!$G$6)*0.1 +
        IF(AJ66-Uzman_D!$H$6&lt;0, -(AJ66-Uzman_D!$H$6), AJ66-Uzman_D!$H$6)*0.1 +
        IF(AK66-Uzman_D!$I$6&lt;0, -(AK66-Uzman_D!$I$6), AK66-Uzman_D!$I$6)*0.1 +
        IF(AL66-Uzman_D!$J$6&lt;0, -(AL66-Uzman_D!$J$6), AL66-Uzman_D!$J$6)*0.1
    ) +
    IF(ROUND((IF(AN66-Uzman_D!$L$6&lt;0, -(AN66-Uzman_D!$L$6), AN66-Uzman_D!$L$6)*2),0)/2 = IF(AN66-Uzman_D!$L$6&lt;0, -(AN66-Uzman_D!$L$6), AN66-Uzman_D!$L$6),
    (ROUND((IF(AN66-Uzman_D!$L$6&lt;0, -(AN66-Uzman_D!$L$6), AN66-Uzman_D!$L$6)*2),0)/1 * 0.1), 0) +
    IF(AO66-Uzman_D!$M$6&lt;0, -(AO66-Uzman_D!$M$6), AO66-Uzman_D!$M$6)*1
)</f>
        <v>-0.60000000000000009</v>
      </c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2"/>
      <c r="BB66" s="72"/>
      <c r="BC66" s="73">
        <f>1 - (
    SUM(
        IF(AQ66-Uzman_D!$B$7&lt;0, -(AQ66-Uzman_D!$B$7), AQ66-Uzman_D!$B$7)*0.1 +
        IF(AR66-Uzman_D!$C$7&lt;0, -(AR66-Uzman_D!$C$7), AR66-Uzman_D!$C$7)*0.1 +
        IF(AS66-Uzman_D!$D$7&lt;0, -(AS66-Uzman_D!$D$7), AS66-Uzman_D!$D$7)*0.1 +
        IF(AT66-Uzman_D!$E$7&lt;0, -(AT66-Uzman_D!$E$7), AT66-Uzman_D!$E$7)*0.1 +
        IF(AU66-Uzman_D!$F$7&lt;0, -(AU66-Uzman_D!$F$7), AU66-Uzman_D!$F$7)*0.1 +
        IF(AV66-Uzman_D!$G$7&lt;0, -(AV66-Uzman_D!$G$7), AV66-Uzman_D!$G$7)*0.1 +
        IF(AW66-Uzman_D!$H$7&lt;0, -(AW66-Uzman_D!$H$7), AW66-Uzman_D!$H$7)*0.1 +
        IF(AX66-Uzman_D!$I$7&lt;0, -(AX66-Uzman_D!$I$7), AX66-Uzman_D!$I$7)*0.1 +
        IF(AY66-Uzman_D!$J$7&lt;0, -(AY66-Uzman_D!$J$7), AY66-Uzman_D!$J$7)*0.1
    ) +
    IF(ROUND((IF(BA66-Uzman_D!$L$7&lt;0, -(BA66-Uzman_D!$L$7), BA66-Uzman_D!$L$7)*2),0)/2 = IF(BA66-Uzman_D!$L$7&lt;0, -(BA66-Uzman_D!$L$7), BA66-Uzman_D!$L$7),
    (ROUND((IF(BA66-Uzman_D!$L$7&lt;0, -(BA66-Uzman_D!$L$7), BA66-Uzman_D!$L$7)*2),0)/1 * 0.1), 0) +
    IF(BB66-Uzman_D!$M$7&lt;0, -(BB66-Uzman_D!$M$7), BB66-Uzman_D!$M$7)*1
)</f>
        <v>-0.50000000000000022</v>
      </c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2"/>
      <c r="BO66" s="72"/>
      <c r="BP66" s="73">
        <f>1 - (
    SUM(
        IF(BD66-Uzman_D!$B$8&lt;0, -(BD66-Uzman_D!$B$8), BD66-Uzman_D!$B$8)*0.1 +
        IF(BE66-Uzman_D!$C$8&lt;0, -(BE66-Uzman_D!$C$8), BE66-Uzman_D!$C$8)*0.1 +
        IF(BF66-Uzman_D!$D$8&lt;0, -(BF66-Uzman_D!$D$8), BF66-Uzman_D!$D$8)*0.1 +
        IF(BG66-Uzman_D!$E$8&lt;0, -(BG66-Uzman_D!$E$8), BG66-Uzman_D!$E$8)*0.1 +
        IF(BH66-Uzman_D!$F$8&lt;0, -(BH66-Uzman_D!$F$8), BH66-Uzman_D!$F$8)*0.1 +
        IF(BI66-Uzman_D!$G$8&lt;0, -(BI66-Uzman_D!$G$8), BI66-Uzman_D!$G$8)*0.1 +
        IF(BJ66-Uzman_D!$H$8&lt;0, -(BJ66-Uzman_D!$H$8), BJ66-Uzman_D!$H$8)*0.1 +
        IF(BK66-Uzman_D!$I$8&lt;0, -(BK66-Uzman_D!$I$8), BK66-Uzman_D!$I$8)*0.1 +
        IF(BL66-Uzman_D!$J$8&lt;0, -(BL66-Uzman_D!$J$8), BL66-Uzman_D!$J$8)*0.1
    ) +
    IF(ROUND((IF(BN66-Uzman_D!$L$8&lt;0, -(BN66-Uzman_D!$L$8), BN66-Uzman_D!$L$8)*2),0)/2 = IF(BN66-Uzman_D!$L$8&lt;0, -(BN66-Uzman_D!$L$8), BN66-Uzman_D!$L$8),
    (ROUND((IF(BN66-Uzman_D!$L$8&lt;0, -(BN66-Uzman_D!$L$8), BN66-Uzman_D!$L$8)*2),0)/1 * 0.1), 0) +
    IF(BO66-Uzman_D!$M$8&lt;0, -(BO66-Uzman_D!$M$8), BO66-Uzman_D!$M$8)*1
)</f>
        <v>-0.20000000000000018</v>
      </c>
      <c r="BQ66" s="74">
        <f t="shared" si="0"/>
        <v>-0.54000000000000026</v>
      </c>
    </row>
    <row r="67" spans="1:69" ht="15" customHeight="1" x14ac:dyDescent="0.2">
      <c r="A67" s="57">
        <v>64</v>
      </c>
      <c r="B67" s="37">
        <f>Hakemler!B67</f>
        <v>0</v>
      </c>
      <c r="C67" s="37">
        <f>Hakemler!C67</f>
        <v>0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75"/>
      <c r="O67" s="75"/>
      <c r="P67" s="73">
        <f>1 - (
    SUM(
        IF(D67-Uzman_D!$B$4&lt;0, -(D67-Uzman_D!$B$4), D67-Uzman_D!$B$4)*0.1 +
        IF(E67-Uzman_D!$C$4&lt;0, -(E67-Uzman_D!$C$4), E67-Uzman_D!$C$4)*0.1 +
        IF(F67-Uzman_D!$D$4&lt;0, -(F67-Uzman_D!$D$4), F67-Uzman_D!$D$4)*0.1 +
        IF(G67-Uzman_D!$E$4&lt;0, -(G67-Uzman_D!$E$4), G67-Uzman_D!$E$4)*0.1 +
        IF(H67-Uzman_D!$F$4&lt;0, -(H67-Uzman_D!$F$4), H67-Uzman_D!$F$4)*0.1 +
        IF(I67-Uzman_D!$G$4&lt;0, -(I67-Uzman_D!$G$4), I67-Uzman_D!$G$4)*0.1 +
        IF(J67-Uzman_D!$H$4&lt;0, -(J67-Uzman_D!$H$4), J67-Uzman_D!$H$4)*0.1 +
        IF(K67-Uzman_D!$I$4&lt;0, -(K67-Uzman_D!$I$4), K67-Uzman_D!$I$4)*0.1 +
        IF(L67-Uzman_D!$J$4&lt;0, -(L67-Uzman_D!$J$4), L67-Uzman_D!$J$4)*0.1
    ) +
    IF(ROUND((IF(N67-Uzman_D!$L$4&lt;0, -(N67-Uzman_D!$L$4), N67-Uzman_D!$L$4)*2),0)/2 = IF(N67-Uzman_D!$L$4&lt;0, -(N67-Uzman_D!$L$4), N67-Uzman_D!$L$4),
    (ROUND((IF(N67-Uzman_D!$L$4&lt;0, -(N67-Uzman_D!$L$4), N67-Uzman_D!$L$4)*2),0)/1 * 0.1), 0) +
    IF(O67-Uzman_D!$M$4&lt;0, -(O67-Uzman_D!$M$4), O67-Uzman_D!$M$4)*1
)</f>
        <v>-0.90000000000000013</v>
      </c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75"/>
      <c r="AB67" s="75"/>
      <c r="AC67" s="73">
        <f>1 - (
    SUM(
        IF(Q67-Uzman_D!$B$5&lt;0, -(Q67-Uzman_D!$B$5), Q67-Uzman_D!$B$5)*0.1 +
        IF(R67-Uzman_D!$C$5&lt;0, -(R67-Uzman_D!$C$5), R67-Uzman_D!$C$5)*0.1 +
        IF(S67-Uzman_D!$D$5&lt;0, -(S67-Uzman_D!$D$5), S67-Uzman_D!$D$5)*0.1 +
        IF(T67-Uzman_D!$E$5&lt;0, -(T67-Uzman_D!$E$5), T67-Uzman_D!$E$5)*0.1 +
        IF(U67-Uzman_D!$F$5&lt;0, -(U67-Uzman_D!$F$5), U67-Uzman_D!$F$5)*0.1 +
        IF(V67-Uzman_D!$G$5&lt;0, -(V67-Uzman_D!$G$5), V67-Uzman_D!$G$5)*0.1 +
        IF(W67-Uzman_D!$H$5&lt;0, -(W67-Uzman_D!$H$5), W67-Uzman_D!$H$5)*0.1 +
        IF(X67-Uzman_D!$I$5&lt;0, -(X67-Uzman_D!$I$5), X67-Uzman_D!$I$5)*0.1 +
        IF(Y67-Uzman_D!$J$5&lt;0, -(Y67-Uzman_D!$J$5), Y67-Uzman_D!$J$5)*0.1
    ) +
    IF(ROUND((IF(AA67-Uzman_D!$L$5&lt;0, -(AA67-Uzman_D!$L$5), AA67-Uzman_D!$L$5)*2),0)/2 = IF(AA67-Uzman_D!$L$5&lt;0, -(AA67-Uzman_D!$L$5), AA67-Uzman_D!$L$5),
    (ROUND((IF(AA67-Uzman_D!$L$5&lt;0, -(AA67-Uzman_D!$L$5), AA67-Uzman_D!$L$5)*2),0)/1 * 0.1), 0) +
    IF(AB67-Uzman_D!$M$5&lt;0, -(AB67-Uzman_D!$M$5), AB67-Uzman_D!$M$5)*1
)</f>
        <v>-0.50000000000000022</v>
      </c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75"/>
      <c r="AO67" s="75"/>
      <c r="AP67" s="73">
        <f>1 - (
    SUM(
        IF(AD67-Uzman_D!$B$6&lt;0, -(AD67-Uzman_D!$B$6), AD67-Uzman_D!$B$6)*0.1 +
        IF(AE67-Uzman_D!$C$6&lt;0, -(AE67-Uzman_D!$C$6), AE67-Uzman_D!$C$6)*0.1 +
        IF(AF67-Uzman_D!$D$6&lt;0, -(AF67-Uzman_D!$D$6), AF67-Uzman_D!$D$6)*0.1 +
        IF(AG67-Uzman_D!$E$6&lt;0, -(AG67-Uzman_D!$E$6), AG67-Uzman_D!$E$6)*0.1 +
        IF(AH67-Uzman_D!$F$6&lt;0, -(AH67-Uzman_D!$F$6), AH67-Uzman_D!$F$6)*0.1 +
        IF(AI67-Uzman_D!$G$6&lt;0, -(AI67-Uzman_D!$G$6), AI67-Uzman_D!$G$6)*0.1 +
        IF(AJ67-Uzman_D!$H$6&lt;0, -(AJ67-Uzman_D!$H$6), AJ67-Uzman_D!$H$6)*0.1 +
        IF(AK67-Uzman_D!$I$6&lt;0, -(AK67-Uzman_D!$I$6), AK67-Uzman_D!$I$6)*0.1 +
        IF(AL67-Uzman_D!$J$6&lt;0, -(AL67-Uzman_D!$J$6), AL67-Uzman_D!$J$6)*0.1
    ) +
    IF(ROUND((IF(AN67-Uzman_D!$L$6&lt;0, -(AN67-Uzman_D!$L$6), AN67-Uzman_D!$L$6)*2),0)/2 = IF(AN67-Uzman_D!$L$6&lt;0, -(AN67-Uzman_D!$L$6), AN67-Uzman_D!$L$6),
    (ROUND((IF(AN67-Uzman_D!$L$6&lt;0, -(AN67-Uzman_D!$L$6), AN67-Uzman_D!$L$6)*2),0)/1 * 0.1), 0) +
    IF(AO67-Uzman_D!$M$6&lt;0, -(AO67-Uzman_D!$M$6), AO67-Uzman_D!$M$6)*1
)</f>
        <v>-0.60000000000000009</v>
      </c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75"/>
      <c r="BB67" s="75"/>
      <c r="BC67" s="73">
        <f>1 - (
    SUM(
        IF(AQ67-Uzman_D!$B$7&lt;0, -(AQ67-Uzman_D!$B$7), AQ67-Uzman_D!$B$7)*0.1 +
        IF(AR67-Uzman_D!$C$7&lt;0, -(AR67-Uzman_D!$C$7), AR67-Uzman_D!$C$7)*0.1 +
        IF(AS67-Uzman_D!$D$7&lt;0, -(AS67-Uzman_D!$D$7), AS67-Uzman_D!$D$7)*0.1 +
        IF(AT67-Uzman_D!$E$7&lt;0, -(AT67-Uzman_D!$E$7), AT67-Uzman_D!$E$7)*0.1 +
        IF(AU67-Uzman_D!$F$7&lt;0, -(AU67-Uzman_D!$F$7), AU67-Uzman_D!$F$7)*0.1 +
        IF(AV67-Uzman_D!$G$7&lt;0, -(AV67-Uzman_D!$G$7), AV67-Uzman_D!$G$7)*0.1 +
        IF(AW67-Uzman_D!$H$7&lt;0, -(AW67-Uzman_D!$H$7), AW67-Uzman_D!$H$7)*0.1 +
        IF(AX67-Uzman_D!$I$7&lt;0, -(AX67-Uzman_D!$I$7), AX67-Uzman_D!$I$7)*0.1 +
        IF(AY67-Uzman_D!$J$7&lt;0, -(AY67-Uzman_D!$J$7), AY67-Uzman_D!$J$7)*0.1
    ) +
    IF(ROUND((IF(BA67-Uzman_D!$L$7&lt;0, -(BA67-Uzman_D!$L$7), BA67-Uzman_D!$L$7)*2),0)/2 = IF(BA67-Uzman_D!$L$7&lt;0, -(BA67-Uzman_D!$L$7), BA67-Uzman_D!$L$7),
    (ROUND((IF(BA67-Uzman_D!$L$7&lt;0, -(BA67-Uzman_D!$L$7), BA67-Uzman_D!$L$7)*2),0)/1 * 0.1), 0) +
    IF(BB67-Uzman_D!$M$7&lt;0, -(BB67-Uzman_D!$M$7), BB67-Uzman_D!$M$7)*1
)</f>
        <v>-0.50000000000000022</v>
      </c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75"/>
      <c r="BO67" s="75"/>
      <c r="BP67" s="73">
        <f>1 - (
    SUM(
        IF(BD67-Uzman_D!$B$8&lt;0, -(BD67-Uzman_D!$B$8), BD67-Uzman_D!$B$8)*0.1 +
        IF(BE67-Uzman_D!$C$8&lt;0, -(BE67-Uzman_D!$C$8), BE67-Uzman_D!$C$8)*0.1 +
        IF(BF67-Uzman_D!$D$8&lt;0, -(BF67-Uzman_D!$D$8), BF67-Uzman_D!$D$8)*0.1 +
        IF(BG67-Uzman_D!$E$8&lt;0, -(BG67-Uzman_D!$E$8), BG67-Uzman_D!$E$8)*0.1 +
        IF(BH67-Uzman_D!$F$8&lt;0, -(BH67-Uzman_D!$F$8), BH67-Uzman_D!$F$8)*0.1 +
        IF(BI67-Uzman_D!$G$8&lt;0, -(BI67-Uzman_D!$G$8), BI67-Uzman_D!$G$8)*0.1 +
        IF(BJ67-Uzman_D!$H$8&lt;0, -(BJ67-Uzman_D!$H$8), BJ67-Uzman_D!$H$8)*0.1 +
        IF(BK67-Uzman_D!$I$8&lt;0, -(BK67-Uzman_D!$I$8), BK67-Uzman_D!$I$8)*0.1 +
        IF(BL67-Uzman_D!$J$8&lt;0, -(BL67-Uzman_D!$J$8), BL67-Uzman_D!$J$8)*0.1
    ) +
    IF(ROUND((IF(BN67-Uzman_D!$L$8&lt;0, -(BN67-Uzman_D!$L$8), BN67-Uzman_D!$L$8)*2),0)/2 = IF(BN67-Uzman_D!$L$8&lt;0, -(BN67-Uzman_D!$L$8), BN67-Uzman_D!$L$8),
    (ROUND((IF(BN67-Uzman_D!$L$8&lt;0, -(BN67-Uzman_D!$L$8), BN67-Uzman_D!$L$8)*2),0)/1 * 0.1), 0) +
    IF(BO67-Uzman_D!$M$8&lt;0, -(BO67-Uzman_D!$M$8), BO67-Uzman_D!$M$8)*1
)</f>
        <v>-0.20000000000000018</v>
      </c>
      <c r="BQ67" s="74">
        <f t="shared" si="0"/>
        <v>-0.54000000000000026</v>
      </c>
    </row>
    <row r="68" spans="1:69" ht="15" customHeight="1" x14ac:dyDescent="0.2">
      <c r="A68" s="57">
        <v>65</v>
      </c>
      <c r="B68" s="37">
        <f>Hakemler!B68</f>
        <v>0</v>
      </c>
      <c r="C68" s="37">
        <f>Hakemler!C68</f>
        <v>0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75"/>
      <c r="O68" s="75"/>
      <c r="P68" s="73">
        <f>1 - (
    SUM(
        IF(D68-Uzman_D!$B$4&lt;0, -(D68-Uzman_D!$B$4), D68-Uzman_D!$B$4)*0.1 +
        IF(E68-Uzman_D!$C$4&lt;0, -(E68-Uzman_D!$C$4), E68-Uzman_D!$C$4)*0.1 +
        IF(F68-Uzman_D!$D$4&lt;0, -(F68-Uzman_D!$D$4), F68-Uzman_D!$D$4)*0.1 +
        IF(G68-Uzman_D!$E$4&lt;0, -(G68-Uzman_D!$E$4), G68-Uzman_D!$E$4)*0.1 +
        IF(H68-Uzman_D!$F$4&lt;0, -(H68-Uzman_D!$F$4), H68-Uzman_D!$F$4)*0.1 +
        IF(I68-Uzman_D!$G$4&lt;0, -(I68-Uzman_D!$G$4), I68-Uzman_D!$G$4)*0.1 +
        IF(J68-Uzman_D!$H$4&lt;0, -(J68-Uzman_D!$H$4), J68-Uzman_D!$H$4)*0.1 +
        IF(K68-Uzman_D!$I$4&lt;0, -(K68-Uzman_D!$I$4), K68-Uzman_D!$I$4)*0.1 +
        IF(L68-Uzman_D!$J$4&lt;0, -(L68-Uzman_D!$J$4), L68-Uzman_D!$J$4)*0.1
    ) +
    IF(ROUND((IF(N68-Uzman_D!$L$4&lt;0, -(N68-Uzman_D!$L$4), N68-Uzman_D!$L$4)*2),0)/2 = IF(N68-Uzman_D!$L$4&lt;0, -(N68-Uzman_D!$L$4), N68-Uzman_D!$L$4),
    (ROUND((IF(N68-Uzman_D!$L$4&lt;0, -(N68-Uzman_D!$L$4), N68-Uzman_D!$L$4)*2),0)/1 * 0.1), 0) +
    IF(O68-Uzman_D!$M$4&lt;0, -(O68-Uzman_D!$M$4), O68-Uzman_D!$M$4)*1
)</f>
        <v>-0.90000000000000013</v>
      </c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75"/>
      <c r="AB68" s="75"/>
      <c r="AC68" s="73">
        <f>1 - (
    SUM(
        IF(Q68-Uzman_D!$B$5&lt;0, -(Q68-Uzman_D!$B$5), Q68-Uzman_D!$B$5)*0.1 +
        IF(R68-Uzman_D!$C$5&lt;0, -(R68-Uzman_D!$C$5), R68-Uzman_D!$C$5)*0.1 +
        IF(S68-Uzman_D!$D$5&lt;0, -(S68-Uzman_D!$D$5), S68-Uzman_D!$D$5)*0.1 +
        IF(T68-Uzman_D!$E$5&lt;0, -(T68-Uzman_D!$E$5), T68-Uzman_D!$E$5)*0.1 +
        IF(U68-Uzman_D!$F$5&lt;0, -(U68-Uzman_D!$F$5), U68-Uzman_D!$F$5)*0.1 +
        IF(V68-Uzman_D!$G$5&lt;0, -(V68-Uzman_D!$G$5), V68-Uzman_D!$G$5)*0.1 +
        IF(W68-Uzman_D!$H$5&lt;0, -(W68-Uzman_D!$H$5), W68-Uzman_D!$H$5)*0.1 +
        IF(X68-Uzman_D!$I$5&lt;0, -(X68-Uzman_D!$I$5), X68-Uzman_D!$I$5)*0.1 +
        IF(Y68-Uzman_D!$J$5&lt;0, -(Y68-Uzman_D!$J$5), Y68-Uzman_D!$J$5)*0.1
    ) +
    IF(ROUND((IF(AA68-Uzman_D!$L$5&lt;0, -(AA68-Uzman_D!$L$5), AA68-Uzman_D!$L$5)*2),0)/2 = IF(AA68-Uzman_D!$L$5&lt;0, -(AA68-Uzman_D!$L$5), AA68-Uzman_D!$L$5),
    (ROUND((IF(AA68-Uzman_D!$L$5&lt;0, -(AA68-Uzman_D!$L$5), AA68-Uzman_D!$L$5)*2),0)/1 * 0.1), 0) +
    IF(AB68-Uzman_D!$M$5&lt;0, -(AB68-Uzman_D!$M$5), AB68-Uzman_D!$M$5)*1
)</f>
        <v>-0.50000000000000022</v>
      </c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75"/>
      <c r="AO68" s="75"/>
      <c r="AP68" s="73">
        <f>1 - (
    SUM(
        IF(AD68-Uzman_D!$B$6&lt;0, -(AD68-Uzman_D!$B$6), AD68-Uzman_D!$B$6)*0.1 +
        IF(AE68-Uzman_D!$C$6&lt;0, -(AE68-Uzman_D!$C$6), AE68-Uzman_D!$C$6)*0.1 +
        IF(AF68-Uzman_D!$D$6&lt;0, -(AF68-Uzman_D!$D$6), AF68-Uzman_D!$D$6)*0.1 +
        IF(AG68-Uzman_D!$E$6&lt;0, -(AG68-Uzman_D!$E$6), AG68-Uzman_D!$E$6)*0.1 +
        IF(AH68-Uzman_D!$F$6&lt;0, -(AH68-Uzman_D!$F$6), AH68-Uzman_D!$F$6)*0.1 +
        IF(AI68-Uzman_D!$G$6&lt;0, -(AI68-Uzman_D!$G$6), AI68-Uzman_D!$G$6)*0.1 +
        IF(AJ68-Uzman_D!$H$6&lt;0, -(AJ68-Uzman_D!$H$6), AJ68-Uzman_D!$H$6)*0.1 +
        IF(AK68-Uzman_D!$I$6&lt;0, -(AK68-Uzman_D!$I$6), AK68-Uzman_D!$I$6)*0.1 +
        IF(AL68-Uzman_D!$J$6&lt;0, -(AL68-Uzman_D!$J$6), AL68-Uzman_D!$J$6)*0.1
    ) +
    IF(ROUND((IF(AN68-Uzman_D!$L$6&lt;0, -(AN68-Uzman_D!$L$6), AN68-Uzman_D!$L$6)*2),0)/2 = IF(AN68-Uzman_D!$L$6&lt;0, -(AN68-Uzman_D!$L$6), AN68-Uzman_D!$L$6),
    (ROUND((IF(AN68-Uzman_D!$L$6&lt;0, -(AN68-Uzman_D!$L$6), AN68-Uzman_D!$L$6)*2),0)/1 * 0.1), 0) +
    IF(AO68-Uzman_D!$M$6&lt;0, -(AO68-Uzman_D!$M$6), AO68-Uzman_D!$M$6)*1
)</f>
        <v>-0.60000000000000009</v>
      </c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75"/>
      <c r="BB68" s="75"/>
      <c r="BC68" s="73">
        <f>1 - (
    SUM(
        IF(AQ68-Uzman_D!$B$7&lt;0, -(AQ68-Uzman_D!$B$7), AQ68-Uzman_D!$B$7)*0.1 +
        IF(AR68-Uzman_D!$C$7&lt;0, -(AR68-Uzman_D!$C$7), AR68-Uzman_D!$C$7)*0.1 +
        IF(AS68-Uzman_D!$D$7&lt;0, -(AS68-Uzman_D!$D$7), AS68-Uzman_D!$D$7)*0.1 +
        IF(AT68-Uzman_D!$E$7&lt;0, -(AT68-Uzman_D!$E$7), AT68-Uzman_D!$E$7)*0.1 +
        IF(AU68-Uzman_D!$F$7&lt;0, -(AU68-Uzman_D!$F$7), AU68-Uzman_D!$F$7)*0.1 +
        IF(AV68-Uzman_D!$G$7&lt;0, -(AV68-Uzman_D!$G$7), AV68-Uzman_D!$G$7)*0.1 +
        IF(AW68-Uzman_D!$H$7&lt;0, -(AW68-Uzman_D!$H$7), AW68-Uzman_D!$H$7)*0.1 +
        IF(AX68-Uzman_D!$I$7&lt;0, -(AX68-Uzman_D!$I$7), AX68-Uzman_D!$I$7)*0.1 +
        IF(AY68-Uzman_D!$J$7&lt;0, -(AY68-Uzman_D!$J$7), AY68-Uzman_D!$J$7)*0.1
    ) +
    IF(ROUND((IF(BA68-Uzman_D!$L$7&lt;0, -(BA68-Uzman_D!$L$7), BA68-Uzman_D!$L$7)*2),0)/2 = IF(BA68-Uzman_D!$L$7&lt;0, -(BA68-Uzman_D!$L$7), BA68-Uzman_D!$L$7),
    (ROUND((IF(BA68-Uzman_D!$L$7&lt;0, -(BA68-Uzman_D!$L$7), BA68-Uzman_D!$L$7)*2),0)/1 * 0.1), 0) +
    IF(BB68-Uzman_D!$M$7&lt;0, -(BB68-Uzman_D!$M$7), BB68-Uzman_D!$M$7)*1
)</f>
        <v>-0.50000000000000022</v>
      </c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75"/>
      <c r="BO68" s="75"/>
      <c r="BP68" s="73">
        <f>1 - (
    SUM(
        IF(BD68-Uzman_D!$B$8&lt;0, -(BD68-Uzman_D!$B$8), BD68-Uzman_D!$B$8)*0.1 +
        IF(BE68-Uzman_D!$C$8&lt;0, -(BE68-Uzman_D!$C$8), BE68-Uzman_D!$C$8)*0.1 +
        IF(BF68-Uzman_D!$D$8&lt;0, -(BF68-Uzman_D!$D$8), BF68-Uzman_D!$D$8)*0.1 +
        IF(BG68-Uzman_D!$E$8&lt;0, -(BG68-Uzman_D!$E$8), BG68-Uzman_D!$E$8)*0.1 +
        IF(BH68-Uzman_D!$F$8&lt;0, -(BH68-Uzman_D!$F$8), BH68-Uzman_D!$F$8)*0.1 +
        IF(BI68-Uzman_D!$G$8&lt;0, -(BI68-Uzman_D!$G$8), BI68-Uzman_D!$G$8)*0.1 +
        IF(BJ68-Uzman_D!$H$8&lt;0, -(BJ68-Uzman_D!$H$8), BJ68-Uzman_D!$H$8)*0.1 +
        IF(BK68-Uzman_D!$I$8&lt;0, -(BK68-Uzman_D!$I$8), BK68-Uzman_D!$I$8)*0.1 +
        IF(BL68-Uzman_D!$J$8&lt;0, -(BL68-Uzman_D!$J$8), BL68-Uzman_D!$J$8)*0.1
    ) +
    IF(ROUND((IF(BN68-Uzman_D!$L$8&lt;0, -(BN68-Uzman_D!$L$8), BN68-Uzman_D!$L$8)*2),0)/2 = IF(BN68-Uzman_D!$L$8&lt;0, -(BN68-Uzman_D!$L$8), BN68-Uzman_D!$L$8),
    (ROUND((IF(BN68-Uzman_D!$L$8&lt;0, -(BN68-Uzman_D!$L$8), BN68-Uzman_D!$L$8)*2),0)/1 * 0.1), 0) +
    IF(BO68-Uzman_D!$M$8&lt;0, -(BO68-Uzman_D!$M$8), BO68-Uzman_D!$M$8)*1
)</f>
        <v>-0.20000000000000018</v>
      </c>
      <c r="BQ68" s="74">
        <f t="shared" si="0"/>
        <v>-0.54000000000000026</v>
      </c>
    </row>
    <row r="69" spans="1:69" ht="15" customHeight="1" x14ac:dyDescent="0.2">
      <c r="A69" s="57">
        <v>66</v>
      </c>
      <c r="B69" s="37">
        <f>Hakemler!B69</f>
        <v>0</v>
      </c>
      <c r="C69" s="37">
        <f>Hakemler!C69</f>
        <v>0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75"/>
      <c r="O69" s="75"/>
      <c r="P69" s="73">
        <f>1 - (
    SUM(
        IF(D69-Uzman_D!$B$4&lt;0, -(D69-Uzman_D!$B$4), D69-Uzman_D!$B$4)*0.1 +
        IF(E69-Uzman_D!$C$4&lt;0, -(E69-Uzman_D!$C$4), E69-Uzman_D!$C$4)*0.1 +
        IF(F69-Uzman_D!$D$4&lt;0, -(F69-Uzman_D!$D$4), F69-Uzman_D!$D$4)*0.1 +
        IF(G69-Uzman_D!$E$4&lt;0, -(G69-Uzman_D!$E$4), G69-Uzman_D!$E$4)*0.1 +
        IF(H69-Uzman_D!$F$4&lt;0, -(H69-Uzman_D!$F$4), H69-Uzman_D!$F$4)*0.1 +
        IF(I69-Uzman_D!$G$4&lt;0, -(I69-Uzman_D!$G$4), I69-Uzman_D!$G$4)*0.1 +
        IF(J69-Uzman_D!$H$4&lt;0, -(J69-Uzman_D!$H$4), J69-Uzman_D!$H$4)*0.1 +
        IF(K69-Uzman_D!$I$4&lt;0, -(K69-Uzman_D!$I$4), K69-Uzman_D!$I$4)*0.1 +
        IF(L69-Uzman_D!$J$4&lt;0, -(L69-Uzman_D!$J$4), L69-Uzman_D!$J$4)*0.1
    ) +
    IF(ROUND((IF(N69-Uzman_D!$L$4&lt;0, -(N69-Uzman_D!$L$4), N69-Uzman_D!$L$4)*2),0)/2 = IF(N69-Uzman_D!$L$4&lt;0, -(N69-Uzman_D!$L$4), N69-Uzman_D!$L$4),
    (ROUND((IF(N69-Uzman_D!$L$4&lt;0, -(N69-Uzman_D!$L$4), N69-Uzman_D!$L$4)*2),0)/1 * 0.1), 0) +
    IF(O69-Uzman_D!$M$4&lt;0, -(O69-Uzman_D!$M$4), O69-Uzman_D!$M$4)*1
)</f>
        <v>-0.90000000000000013</v>
      </c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75"/>
      <c r="AB69" s="75"/>
      <c r="AC69" s="73">
        <f>1 - (
    SUM(
        IF(Q69-Uzman_D!$B$5&lt;0, -(Q69-Uzman_D!$B$5), Q69-Uzman_D!$B$5)*0.1 +
        IF(R69-Uzman_D!$C$5&lt;0, -(R69-Uzman_D!$C$5), R69-Uzman_D!$C$5)*0.1 +
        IF(S69-Uzman_D!$D$5&lt;0, -(S69-Uzman_D!$D$5), S69-Uzman_D!$D$5)*0.1 +
        IF(T69-Uzman_D!$E$5&lt;0, -(T69-Uzman_D!$E$5), T69-Uzman_D!$E$5)*0.1 +
        IF(U69-Uzman_D!$F$5&lt;0, -(U69-Uzman_D!$F$5), U69-Uzman_D!$F$5)*0.1 +
        IF(V69-Uzman_D!$G$5&lt;0, -(V69-Uzman_D!$G$5), V69-Uzman_D!$G$5)*0.1 +
        IF(W69-Uzman_D!$H$5&lt;0, -(W69-Uzman_D!$H$5), W69-Uzman_D!$H$5)*0.1 +
        IF(X69-Uzman_D!$I$5&lt;0, -(X69-Uzman_D!$I$5), X69-Uzman_D!$I$5)*0.1 +
        IF(Y69-Uzman_D!$J$5&lt;0, -(Y69-Uzman_D!$J$5), Y69-Uzman_D!$J$5)*0.1
    ) +
    IF(ROUND((IF(AA69-Uzman_D!$L$5&lt;0, -(AA69-Uzman_D!$L$5), AA69-Uzman_D!$L$5)*2),0)/2 = IF(AA69-Uzman_D!$L$5&lt;0, -(AA69-Uzman_D!$L$5), AA69-Uzman_D!$L$5),
    (ROUND((IF(AA69-Uzman_D!$L$5&lt;0, -(AA69-Uzman_D!$L$5), AA69-Uzman_D!$L$5)*2),0)/1 * 0.1), 0) +
    IF(AB69-Uzman_D!$M$5&lt;0, -(AB69-Uzman_D!$M$5), AB69-Uzman_D!$M$5)*1
)</f>
        <v>-0.50000000000000022</v>
      </c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75"/>
      <c r="AO69" s="75"/>
      <c r="AP69" s="73">
        <f>1 - (
    SUM(
        IF(AD69-Uzman_D!$B$6&lt;0, -(AD69-Uzman_D!$B$6), AD69-Uzman_D!$B$6)*0.1 +
        IF(AE69-Uzman_D!$C$6&lt;0, -(AE69-Uzman_D!$C$6), AE69-Uzman_D!$C$6)*0.1 +
        IF(AF69-Uzman_D!$D$6&lt;0, -(AF69-Uzman_D!$D$6), AF69-Uzman_D!$D$6)*0.1 +
        IF(AG69-Uzman_D!$E$6&lt;0, -(AG69-Uzman_D!$E$6), AG69-Uzman_D!$E$6)*0.1 +
        IF(AH69-Uzman_D!$F$6&lt;0, -(AH69-Uzman_D!$F$6), AH69-Uzman_D!$F$6)*0.1 +
        IF(AI69-Uzman_D!$G$6&lt;0, -(AI69-Uzman_D!$G$6), AI69-Uzman_D!$G$6)*0.1 +
        IF(AJ69-Uzman_D!$H$6&lt;0, -(AJ69-Uzman_D!$H$6), AJ69-Uzman_D!$H$6)*0.1 +
        IF(AK69-Uzman_D!$I$6&lt;0, -(AK69-Uzman_D!$I$6), AK69-Uzman_D!$I$6)*0.1 +
        IF(AL69-Uzman_D!$J$6&lt;0, -(AL69-Uzman_D!$J$6), AL69-Uzman_D!$J$6)*0.1
    ) +
    IF(ROUND((IF(AN69-Uzman_D!$L$6&lt;0, -(AN69-Uzman_D!$L$6), AN69-Uzman_D!$L$6)*2),0)/2 = IF(AN69-Uzman_D!$L$6&lt;0, -(AN69-Uzman_D!$L$6), AN69-Uzman_D!$L$6),
    (ROUND((IF(AN69-Uzman_D!$L$6&lt;0, -(AN69-Uzman_D!$L$6), AN69-Uzman_D!$L$6)*2),0)/1 * 0.1), 0) +
    IF(AO69-Uzman_D!$M$6&lt;0, -(AO69-Uzman_D!$M$6), AO69-Uzman_D!$M$6)*1
)</f>
        <v>-0.60000000000000009</v>
      </c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75"/>
      <c r="BB69" s="75"/>
      <c r="BC69" s="73">
        <f>1 - (
    SUM(
        IF(AQ69-Uzman_D!$B$7&lt;0, -(AQ69-Uzman_D!$B$7), AQ69-Uzman_D!$B$7)*0.1 +
        IF(AR69-Uzman_D!$C$7&lt;0, -(AR69-Uzman_D!$C$7), AR69-Uzman_D!$C$7)*0.1 +
        IF(AS69-Uzman_D!$D$7&lt;0, -(AS69-Uzman_D!$D$7), AS69-Uzman_D!$D$7)*0.1 +
        IF(AT69-Uzman_D!$E$7&lt;0, -(AT69-Uzman_D!$E$7), AT69-Uzman_D!$E$7)*0.1 +
        IF(AU69-Uzman_D!$F$7&lt;0, -(AU69-Uzman_D!$F$7), AU69-Uzman_D!$F$7)*0.1 +
        IF(AV69-Uzman_D!$G$7&lt;0, -(AV69-Uzman_D!$G$7), AV69-Uzman_D!$G$7)*0.1 +
        IF(AW69-Uzman_D!$H$7&lt;0, -(AW69-Uzman_D!$H$7), AW69-Uzman_D!$H$7)*0.1 +
        IF(AX69-Uzman_D!$I$7&lt;0, -(AX69-Uzman_D!$I$7), AX69-Uzman_D!$I$7)*0.1 +
        IF(AY69-Uzman_D!$J$7&lt;0, -(AY69-Uzman_D!$J$7), AY69-Uzman_D!$J$7)*0.1
    ) +
    IF(ROUND((IF(BA69-Uzman_D!$L$7&lt;0, -(BA69-Uzman_D!$L$7), BA69-Uzman_D!$L$7)*2),0)/2 = IF(BA69-Uzman_D!$L$7&lt;0, -(BA69-Uzman_D!$L$7), BA69-Uzman_D!$L$7),
    (ROUND((IF(BA69-Uzman_D!$L$7&lt;0, -(BA69-Uzman_D!$L$7), BA69-Uzman_D!$L$7)*2),0)/1 * 0.1), 0) +
    IF(BB69-Uzman_D!$M$7&lt;0, -(BB69-Uzman_D!$M$7), BB69-Uzman_D!$M$7)*1
)</f>
        <v>-0.50000000000000022</v>
      </c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75"/>
      <c r="BO69" s="75"/>
      <c r="BP69" s="73">
        <f>1 - (
    SUM(
        IF(BD69-Uzman_D!$B$8&lt;0, -(BD69-Uzman_D!$B$8), BD69-Uzman_D!$B$8)*0.1 +
        IF(BE69-Uzman_D!$C$8&lt;0, -(BE69-Uzman_D!$C$8), BE69-Uzman_D!$C$8)*0.1 +
        IF(BF69-Uzman_D!$D$8&lt;0, -(BF69-Uzman_D!$D$8), BF69-Uzman_D!$D$8)*0.1 +
        IF(BG69-Uzman_D!$E$8&lt;0, -(BG69-Uzman_D!$E$8), BG69-Uzman_D!$E$8)*0.1 +
        IF(BH69-Uzman_D!$F$8&lt;0, -(BH69-Uzman_D!$F$8), BH69-Uzman_D!$F$8)*0.1 +
        IF(BI69-Uzman_D!$G$8&lt;0, -(BI69-Uzman_D!$G$8), BI69-Uzman_D!$G$8)*0.1 +
        IF(BJ69-Uzman_D!$H$8&lt;0, -(BJ69-Uzman_D!$H$8), BJ69-Uzman_D!$H$8)*0.1 +
        IF(BK69-Uzman_D!$I$8&lt;0, -(BK69-Uzman_D!$I$8), BK69-Uzman_D!$I$8)*0.1 +
        IF(BL69-Uzman_D!$J$8&lt;0, -(BL69-Uzman_D!$J$8), BL69-Uzman_D!$J$8)*0.1
    ) +
    IF(ROUND((IF(BN69-Uzman_D!$L$8&lt;0, -(BN69-Uzman_D!$L$8), BN69-Uzman_D!$L$8)*2),0)/2 = IF(BN69-Uzman_D!$L$8&lt;0, -(BN69-Uzman_D!$L$8), BN69-Uzman_D!$L$8),
    (ROUND((IF(BN69-Uzman_D!$L$8&lt;0, -(BN69-Uzman_D!$L$8), BN69-Uzman_D!$L$8)*2),0)/1 * 0.1), 0) +
    IF(BO69-Uzman_D!$M$8&lt;0, -(BO69-Uzman_D!$M$8), BO69-Uzman_D!$M$8)*1
)</f>
        <v>-0.20000000000000018</v>
      </c>
      <c r="BQ69" s="74">
        <f t="shared" ref="BQ69:BQ103" si="1">(P69+AC69+AP69+BC69+BP69)/5</f>
        <v>-0.54000000000000026</v>
      </c>
    </row>
    <row r="70" spans="1:69" ht="15" customHeight="1" x14ac:dyDescent="0.2">
      <c r="A70" s="57">
        <v>67</v>
      </c>
      <c r="B70" s="37">
        <f>Hakemler!B70</f>
        <v>0</v>
      </c>
      <c r="C70" s="37">
        <f>Hakemler!C70</f>
        <v>0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75"/>
      <c r="O70" s="75"/>
      <c r="P70" s="73">
        <f>1 - (
    SUM(
        IF(D70-Uzman_D!$B$4&lt;0, -(D70-Uzman_D!$B$4), D70-Uzman_D!$B$4)*0.1 +
        IF(E70-Uzman_D!$C$4&lt;0, -(E70-Uzman_D!$C$4), E70-Uzman_D!$C$4)*0.1 +
        IF(F70-Uzman_D!$D$4&lt;0, -(F70-Uzman_D!$D$4), F70-Uzman_D!$D$4)*0.1 +
        IF(G70-Uzman_D!$E$4&lt;0, -(G70-Uzman_D!$E$4), G70-Uzman_D!$E$4)*0.1 +
        IF(H70-Uzman_D!$F$4&lt;0, -(H70-Uzman_D!$F$4), H70-Uzman_D!$F$4)*0.1 +
        IF(I70-Uzman_D!$G$4&lt;0, -(I70-Uzman_D!$G$4), I70-Uzman_D!$G$4)*0.1 +
        IF(J70-Uzman_D!$H$4&lt;0, -(J70-Uzman_D!$H$4), J70-Uzman_D!$H$4)*0.1 +
        IF(K70-Uzman_D!$I$4&lt;0, -(K70-Uzman_D!$I$4), K70-Uzman_D!$I$4)*0.1 +
        IF(L70-Uzman_D!$J$4&lt;0, -(L70-Uzman_D!$J$4), L70-Uzman_D!$J$4)*0.1
    ) +
    IF(ROUND((IF(N70-Uzman_D!$L$4&lt;0, -(N70-Uzman_D!$L$4), N70-Uzman_D!$L$4)*2),0)/2 = IF(N70-Uzman_D!$L$4&lt;0, -(N70-Uzman_D!$L$4), N70-Uzman_D!$L$4),
    (ROUND((IF(N70-Uzman_D!$L$4&lt;0, -(N70-Uzman_D!$L$4), N70-Uzman_D!$L$4)*2),0)/1 * 0.1), 0) +
    IF(O70-Uzman_D!$M$4&lt;0, -(O70-Uzman_D!$M$4), O70-Uzman_D!$M$4)*1
)</f>
        <v>-0.90000000000000013</v>
      </c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75"/>
      <c r="AB70" s="75"/>
      <c r="AC70" s="73">
        <f>1 - (
    SUM(
        IF(Q70-Uzman_D!$B$5&lt;0, -(Q70-Uzman_D!$B$5), Q70-Uzman_D!$B$5)*0.1 +
        IF(R70-Uzman_D!$C$5&lt;0, -(R70-Uzman_D!$C$5), R70-Uzman_D!$C$5)*0.1 +
        IF(S70-Uzman_D!$D$5&lt;0, -(S70-Uzman_D!$D$5), S70-Uzman_D!$D$5)*0.1 +
        IF(T70-Uzman_D!$E$5&lt;0, -(T70-Uzman_D!$E$5), T70-Uzman_D!$E$5)*0.1 +
        IF(U70-Uzman_D!$F$5&lt;0, -(U70-Uzman_D!$F$5), U70-Uzman_D!$F$5)*0.1 +
        IF(V70-Uzman_D!$G$5&lt;0, -(V70-Uzman_D!$G$5), V70-Uzman_D!$G$5)*0.1 +
        IF(W70-Uzman_D!$H$5&lt;0, -(W70-Uzman_D!$H$5), W70-Uzman_D!$H$5)*0.1 +
        IF(X70-Uzman_D!$I$5&lt;0, -(X70-Uzman_D!$I$5), X70-Uzman_D!$I$5)*0.1 +
        IF(Y70-Uzman_D!$J$5&lt;0, -(Y70-Uzman_D!$J$5), Y70-Uzman_D!$J$5)*0.1
    ) +
    IF(ROUND((IF(AA70-Uzman_D!$L$5&lt;0, -(AA70-Uzman_D!$L$5), AA70-Uzman_D!$L$5)*2),0)/2 = IF(AA70-Uzman_D!$L$5&lt;0, -(AA70-Uzman_D!$L$5), AA70-Uzman_D!$L$5),
    (ROUND((IF(AA70-Uzman_D!$L$5&lt;0, -(AA70-Uzman_D!$L$5), AA70-Uzman_D!$L$5)*2),0)/1 * 0.1), 0) +
    IF(AB70-Uzman_D!$M$5&lt;0, -(AB70-Uzman_D!$M$5), AB70-Uzman_D!$M$5)*1
)</f>
        <v>-0.50000000000000022</v>
      </c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75"/>
      <c r="AO70" s="75"/>
      <c r="AP70" s="73">
        <f>1 - (
    SUM(
        IF(AD70-Uzman_D!$B$6&lt;0, -(AD70-Uzman_D!$B$6), AD70-Uzman_D!$B$6)*0.1 +
        IF(AE70-Uzman_D!$C$6&lt;0, -(AE70-Uzman_D!$C$6), AE70-Uzman_D!$C$6)*0.1 +
        IF(AF70-Uzman_D!$D$6&lt;0, -(AF70-Uzman_D!$D$6), AF70-Uzman_D!$D$6)*0.1 +
        IF(AG70-Uzman_D!$E$6&lt;0, -(AG70-Uzman_D!$E$6), AG70-Uzman_D!$E$6)*0.1 +
        IF(AH70-Uzman_D!$F$6&lt;0, -(AH70-Uzman_D!$F$6), AH70-Uzman_D!$F$6)*0.1 +
        IF(AI70-Uzman_D!$G$6&lt;0, -(AI70-Uzman_D!$G$6), AI70-Uzman_D!$G$6)*0.1 +
        IF(AJ70-Uzman_D!$H$6&lt;0, -(AJ70-Uzman_D!$H$6), AJ70-Uzman_D!$H$6)*0.1 +
        IF(AK70-Uzman_D!$I$6&lt;0, -(AK70-Uzman_D!$I$6), AK70-Uzman_D!$I$6)*0.1 +
        IF(AL70-Uzman_D!$J$6&lt;0, -(AL70-Uzman_D!$J$6), AL70-Uzman_D!$J$6)*0.1
    ) +
    IF(ROUND((IF(AN70-Uzman_D!$L$6&lt;0, -(AN70-Uzman_D!$L$6), AN70-Uzman_D!$L$6)*2),0)/2 = IF(AN70-Uzman_D!$L$6&lt;0, -(AN70-Uzman_D!$L$6), AN70-Uzman_D!$L$6),
    (ROUND((IF(AN70-Uzman_D!$L$6&lt;0, -(AN70-Uzman_D!$L$6), AN70-Uzman_D!$L$6)*2),0)/1 * 0.1), 0) +
    IF(AO70-Uzman_D!$M$6&lt;0, -(AO70-Uzman_D!$M$6), AO70-Uzman_D!$M$6)*1
)</f>
        <v>-0.60000000000000009</v>
      </c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75"/>
      <c r="BB70" s="75"/>
      <c r="BC70" s="73">
        <f>1 - (
    SUM(
        IF(AQ70-Uzman_D!$B$7&lt;0, -(AQ70-Uzman_D!$B$7), AQ70-Uzman_D!$B$7)*0.1 +
        IF(AR70-Uzman_D!$C$7&lt;0, -(AR70-Uzman_D!$C$7), AR70-Uzman_D!$C$7)*0.1 +
        IF(AS70-Uzman_D!$D$7&lt;0, -(AS70-Uzman_D!$D$7), AS70-Uzman_D!$D$7)*0.1 +
        IF(AT70-Uzman_D!$E$7&lt;0, -(AT70-Uzman_D!$E$7), AT70-Uzman_D!$E$7)*0.1 +
        IF(AU70-Uzman_D!$F$7&lt;0, -(AU70-Uzman_D!$F$7), AU70-Uzman_D!$F$7)*0.1 +
        IF(AV70-Uzman_D!$G$7&lt;0, -(AV70-Uzman_D!$G$7), AV70-Uzman_D!$G$7)*0.1 +
        IF(AW70-Uzman_D!$H$7&lt;0, -(AW70-Uzman_D!$H$7), AW70-Uzman_D!$H$7)*0.1 +
        IF(AX70-Uzman_D!$I$7&lt;0, -(AX70-Uzman_D!$I$7), AX70-Uzman_D!$I$7)*0.1 +
        IF(AY70-Uzman_D!$J$7&lt;0, -(AY70-Uzman_D!$J$7), AY70-Uzman_D!$J$7)*0.1
    ) +
    IF(ROUND((IF(BA70-Uzman_D!$L$7&lt;0, -(BA70-Uzman_D!$L$7), BA70-Uzman_D!$L$7)*2),0)/2 = IF(BA70-Uzman_D!$L$7&lt;0, -(BA70-Uzman_D!$L$7), BA70-Uzman_D!$L$7),
    (ROUND((IF(BA70-Uzman_D!$L$7&lt;0, -(BA70-Uzman_D!$L$7), BA70-Uzman_D!$L$7)*2),0)/1 * 0.1), 0) +
    IF(BB70-Uzman_D!$M$7&lt;0, -(BB70-Uzman_D!$M$7), BB70-Uzman_D!$M$7)*1
)</f>
        <v>-0.50000000000000022</v>
      </c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75"/>
      <c r="BO70" s="75"/>
      <c r="BP70" s="73">
        <f>1 - (
    SUM(
        IF(BD70-Uzman_D!$B$8&lt;0, -(BD70-Uzman_D!$B$8), BD70-Uzman_D!$B$8)*0.1 +
        IF(BE70-Uzman_D!$C$8&lt;0, -(BE70-Uzman_D!$C$8), BE70-Uzman_D!$C$8)*0.1 +
        IF(BF70-Uzman_D!$D$8&lt;0, -(BF70-Uzman_D!$D$8), BF70-Uzman_D!$D$8)*0.1 +
        IF(BG70-Uzman_D!$E$8&lt;0, -(BG70-Uzman_D!$E$8), BG70-Uzman_D!$E$8)*0.1 +
        IF(BH70-Uzman_D!$F$8&lt;0, -(BH70-Uzman_D!$F$8), BH70-Uzman_D!$F$8)*0.1 +
        IF(BI70-Uzman_D!$G$8&lt;0, -(BI70-Uzman_D!$G$8), BI70-Uzman_D!$G$8)*0.1 +
        IF(BJ70-Uzman_D!$H$8&lt;0, -(BJ70-Uzman_D!$H$8), BJ70-Uzman_D!$H$8)*0.1 +
        IF(BK70-Uzman_D!$I$8&lt;0, -(BK70-Uzman_D!$I$8), BK70-Uzman_D!$I$8)*0.1 +
        IF(BL70-Uzman_D!$J$8&lt;0, -(BL70-Uzman_D!$J$8), BL70-Uzman_D!$J$8)*0.1
    ) +
    IF(ROUND((IF(BN70-Uzman_D!$L$8&lt;0, -(BN70-Uzman_D!$L$8), BN70-Uzman_D!$L$8)*2),0)/2 = IF(BN70-Uzman_D!$L$8&lt;0, -(BN70-Uzman_D!$L$8), BN70-Uzman_D!$L$8),
    (ROUND((IF(BN70-Uzman_D!$L$8&lt;0, -(BN70-Uzman_D!$L$8), BN70-Uzman_D!$L$8)*2),0)/1 * 0.1), 0) +
    IF(BO70-Uzman_D!$M$8&lt;0, -(BO70-Uzman_D!$M$8), BO70-Uzman_D!$M$8)*1
)</f>
        <v>-0.20000000000000018</v>
      </c>
      <c r="BQ70" s="74">
        <f t="shared" si="1"/>
        <v>-0.54000000000000026</v>
      </c>
    </row>
    <row r="71" spans="1:69" ht="15" customHeight="1" x14ac:dyDescent="0.2">
      <c r="A71" s="57">
        <v>68</v>
      </c>
      <c r="B71" s="37">
        <f>Hakemler!B71</f>
        <v>0</v>
      </c>
      <c r="C71" s="37">
        <f>Hakemler!C71</f>
        <v>0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75"/>
      <c r="O71" s="75"/>
      <c r="P71" s="73">
        <f>1 - (
    SUM(
        IF(D71-Uzman_D!$B$4&lt;0, -(D71-Uzman_D!$B$4), D71-Uzman_D!$B$4)*0.1 +
        IF(E71-Uzman_D!$C$4&lt;0, -(E71-Uzman_D!$C$4), E71-Uzman_D!$C$4)*0.1 +
        IF(F71-Uzman_D!$D$4&lt;0, -(F71-Uzman_D!$D$4), F71-Uzman_D!$D$4)*0.1 +
        IF(G71-Uzman_D!$E$4&lt;0, -(G71-Uzman_D!$E$4), G71-Uzman_D!$E$4)*0.1 +
        IF(H71-Uzman_D!$F$4&lt;0, -(H71-Uzman_D!$F$4), H71-Uzman_D!$F$4)*0.1 +
        IF(I71-Uzman_D!$G$4&lt;0, -(I71-Uzman_D!$G$4), I71-Uzman_D!$G$4)*0.1 +
        IF(J71-Uzman_D!$H$4&lt;0, -(J71-Uzman_D!$H$4), J71-Uzman_D!$H$4)*0.1 +
        IF(K71-Uzman_D!$I$4&lt;0, -(K71-Uzman_D!$I$4), K71-Uzman_D!$I$4)*0.1 +
        IF(L71-Uzman_D!$J$4&lt;0, -(L71-Uzman_D!$J$4), L71-Uzman_D!$J$4)*0.1
    ) +
    IF(ROUND((IF(N71-Uzman_D!$L$4&lt;0, -(N71-Uzman_D!$L$4), N71-Uzman_D!$L$4)*2),0)/2 = IF(N71-Uzman_D!$L$4&lt;0, -(N71-Uzman_D!$L$4), N71-Uzman_D!$L$4),
    (ROUND((IF(N71-Uzman_D!$L$4&lt;0, -(N71-Uzman_D!$L$4), N71-Uzman_D!$L$4)*2),0)/1 * 0.1), 0) +
    IF(O71-Uzman_D!$M$4&lt;0, -(O71-Uzman_D!$M$4), O71-Uzman_D!$M$4)*1
)</f>
        <v>-0.90000000000000013</v>
      </c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75"/>
      <c r="AB71" s="75"/>
      <c r="AC71" s="73">
        <f>1 - (
    SUM(
        IF(Q71-Uzman_D!$B$5&lt;0, -(Q71-Uzman_D!$B$5), Q71-Uzman_D!$B$5)*0.1 +
        IF(R71-Uzman_D!$C$5&lt;0, -(R71-Uzman_D!$C$5), R71-Uzman_D!$C$5)*0.1 +
        IF(S71-Uzman_D!$D$5&lt;0, -(S71-Uzman_D!$D$5), S71-Uzman_D!$D$5)*0.1 +
        IF(T71-Uzman_D!$E$5&lt;0, -(T71-Uzman_D!$E$5), T71-Uzman_D!$E$5)*0.1 +
        IF(U71-Uzman_D!$F$5&lt;0, -(U71-Uzman_D!$F$5), U71-Uzman_D!$F$5)*0.1 +
        IF(V71-Uzman_D!$G$5&lt;0, -(V71-Uzman_D!$G$5), V71-Uzman_D!$G$5)*0.1 +
        IF(W71-Uzman_D!$H$5&lt;0, -(W71-Uzman_D!$H$5), W71-Uzman_D!$H$5)*0.1 +
        IF(X71-Uzman_D!$I$5&lt;0, -(X71-Uzman_D!$I$5), X71-Uzman_D!$I$5)*0.1 +
        IF(Y71-Uzman_D!$J$5&lt;0, -(Y71-Uzman_D!$J$5), Y71-Uzman_D!$J$5)*0.1
    ) +
    IF(ROUND((IF(AA71-Uzman_D!$L$5&lt;0, -(AA71-Uzman_D!$L$5), AA71-Uzman_D!$L$5)*2),0)/2 = IF(AA71-Uzman_D!$L$5&lt;0, -(AA71-Uzman_D!$L$5), AA71-Uzman_D!$L$5),
    (ROUND((IF(AA71-Uzman_D!$L$5&lt;0, -(AA71-Uzman_D!$L$5), AA71-Uzman_D!$L$5)*2),0)/1 * 0.1), 0) +
    IF(AB71-Uzman_D!$M$5&lt;0, -(AB71-Uzman_D!$M$5), AB71-Uzman_D!$M$5)*1
)</f>
        <v>-0.50000000000000022</v>
      </c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75"/>
      <c r="AO71" s="75"/>
      <c r="AP71" s="73">
        <f>1 - (
    SUM(
        IF(AD71-Uzman_D!$B$6&lt;0, -(AD71-Uzman_D!$B$6), AD71-Uzman_D!$B$6)*0.1 +
        IF(AE71-Uzman_D!$C$6&lt;0, -(AE71-Uzman_D!$C$6), AE71-Uzman_D!$C$6)*0.1 +
        IF(AF71-Uzman_D!$D$6&lt;0, -(AF71-Uzman_D!$D$6), AF71-Uzman_D!$D$6)*0.1 +
        IF(AG71-Uzman_D!$E$6&lt;0, -(AG71-Uzman_D!$E$6), AG71-Uzman_D!$E$6)*0.1 +
        IF(AH71-Uzman_D!$F$6&lt;0, -(AH71-Uzman_D!$F$6), AH71-Uzman_D!$F$6)*0.1 +
        IF(AI71-Uzman_D!$G$6&lt;0, -(AI71-Uzman_D!$G$6), AI71-Uzman_D!$G$6)*0.1 +
        IF(AJ71-Uzman_D!$H$6&lt;0, -(AJ71-Uzman_D!$H$6), AJ71-Uzman_D!$H$6)*0.1 +
        IF(AK71-Uzman_D!$I$6&lt;0, -(AK71-Uzman_D!$I$6), AK71-Uzman_D!$I$6)*0.1 +
        IF(AL71-Uzman_D!$J$6&lt;0, -(AL71-Uzman_D!$J$6), AL71-Uzman_D!$J$6)*0.1
    ) +
    IF(ROUND((IF(AN71-Uzman_D!$L$6&lt;0, -(AN71-Uzman_D!$L$6), AN71-Uzman_D!$L$6)*2),0)/2 = IF(AN71-Uzman_D!$L$6&lt;0, -(AN71-Uzman_D!$L$6), AN71-Uzman_D!$L$6),
    (ROUND((IF(AN71-Uzman_D!$L$6&lt;0, -(AN71-Uzman_D!$L$6), AN71-Uzman_D!$L$6)*2),0)/1 * 0.1), 0) +
    IF(AO71-Uzman_D!$M$6&lt;0, -(AO71-Uzman_D!$M$6), AO71-Uzman_D!$M$6)*1
)</f>
        <v>-0.60000000000000009</v>
      </c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75"/>
      <c r="BB71" s="75"/>
      <c r="BC71" s="73">
        <f>1 - (
    SUM(
        IF(AQ71-Uzman_D!$B$7&lt;0, -(AQ71-Uzman_D!$B$7), AQ71-Uzman_D!$B$7)*0.1 +
        IF(AR71-Uzman_D!$C$7&lt;0, -(AR71-Uzman_D!$C$7), AR71-Uzman_D!$C$7)*0.1 +
        IF(AS71-Uzman_D!$D$7&lt;0, -(AS71-Uzman_D!$D$7), AS71-Uzman_D!$D$7)*0.1 +
        IF(AT71-Uzman_D!$E$7&lt;0, -(AT71-Uzman_D!$E$7), AT71-Uzman_D!$E$7)*0.1 +
        IF(AU71-Uzman_D!$F$7&lt;0, -(AU71-Uzman_D!$F$7), AU71-Uzman_D!$F$7)*0.1 +
        IF(AV71-Uzman_D!$G$7&lt;0, -(AV71-Uzman_D!$G$7), AV71-Uzman_D!$G$7)*0.1 +
        IF(AW71-Uzman_D!$H$7&lt;0, -(AW71-Uzman_D!$H$7), AW71-Uzman_D!$H$7)*0.1 +
        IF(AX71-Uzman_D!$I$7&lt;0, -(AX71-Uzman_D!$I$7), AX71-Uzman_D!$I$7)*0.1 +
        IF(AY71-Uzman_D!$J$7&lt;0, -(AY71-Uzman_D!$J$7), AY71-Uzman_D!$J$7)*0.1
    ) +
    IF(ROUND((IF(BA71-Uzman_D!$L$7&lt;0, -(BA71-Uzman_D!$L$7), BA71-Uzman_D!$L$7)*2),0)/2 = IF(BA71-Uzman_D!$L$7&lt;0, -(BA71-Uzman_D!$L$7), BA71-Uzman_D!$L$7),
    (ROUND((IF(BA71-Uzman_D!$L$7&lt;0, -(BA71-Uzman_D!$L$7), BA71-Uzman_D!$L$7)*2),0)/1 * 0.1), 0) +
    IF(BB71-Uzman_D!$M$7&lt;0, -(BB71-Uzman_D!$M$7), BB71-Uzman_D!$M$7)*1
)</f>
        <v>-0.50000000000000022</v>
      </c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75"/>
      <c r="BO71" s="75"/>
      <c r="BP71" s="73">
        <f>1 - (
    SUM(
        IF(BD71-Uzman_D!$B$8&lt;0, -(BD71-Uzman_D!$B$8), BD71-Uzman_D!$B$8)*0.1 +
        IF(BE71-Uzman_D!$C$8&lt;0, -(BE71-Uzman_D!$C$8), BE71-Uzman_D!$C$8)*0.1 +
        IF(BF71-Uzman_D!$D$8&lt;0, -(BF71-Uzman_D!$D$8), BF71-Uzman_D!$D$8)*0.1 +
        IF(BG71-Uzman_D!$E$8&lt;0, -(BG71-Uzman_D!$E$8), BG71-Uzman_D!$E$8)*0.1 +
        IF(BH71-Uzman_D!$F$8&lt;0, -(BH71-Uzman_D!$F$8), BH71-Uzman_D!$F$8)*0.1 +
        IF(BI71-Uzman_D!$G$8&lt;0, -(BI71-Uzman_D!$G$8), BI71-Uzman_D!$G$8)*0.1 +
        IF(BJ71-Uzman_D!$H$8&lt;0, -(BJ71-Uzman_D!$H$8), BJ71-Uzman_D!$H$8)*0.1 +
        IF(BK71-Uzman_D!$I$8&lt;0, -(BK71-Uzman_D!$I$8), BK71-Uzman_D!$I$8)*0.1 +
        IF(BL71-Uzman_D!$J$8&lt;0, -(BL71-Uzman_D!$J$8), BL71-Uzman_D!$J$8)*0.1
    ) +
    IF(ROUND((IF(BN71-Uzman_D!$L$8&lt;0, -(BN71-Uzman_D!$L$8), BN71-Uzman_D!$L$8)*2),0)/2 = IF(BN71-Uzman_D!$L$8&lt;0, -(BN71-Uzman_D!$L$8), BN71-Uzman_D!$L$8),
    (ROUND((IF(BN71-Uzman_D!$L$8&lt;0, -(BN71-Uzman_D!$L$8), BN71-Uzman_D!$L$8)*2),0)/1 * 0.1), 0) +
    IF(BO71-Uzman_D!$M$8&lt;0, -(BO71-Uzman_D!$M$8), BO71-Uzman_D!$M$8)*1
)</f>
        <v>-0.20000000000000018</v>
      </c>
      <c r="BQ71" s="74">
        <f t="shared" si="1"/>
        <v>-0.54000000000000026</v>
      </c>
    </row>
    <row r="72" spans="1:69" ht="15" customHeight="1" x14ac:dyDescent="0.2">
      <c r="A72" s="57">
        <v>69</v>
      </c>
      <c r="B72" s="37">
        <f>Hakemler!B72</f>
        <v>0</v>
      </c>
      <c r="C72" s="37">
        <f>Hakemler!C72</f>
        <v>0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75"/>
      <c r="O72" s="75"/>
      <c r="P72" s="73">
        <f>1 - (
    SUM(
        IF(D72-Uzman_D!$B$4&lt;0, -(D72-Uzman_D!$B$4), D72-Uzman_D!$B$4)*0.1 +
        IF(E72-Uzman_D!$C$4&lt;0, -(E72-Uzman_D!$C$4), E72-Uzman_D!$C$4)*0.1 +
        IF(F72-Uzman_D!$D$4&lt;0, -(F72-Uzman_D!$D$4), F72-Uzman_D!$D$4)*0.1 +
        IF(G72-Uzman_D!$E$4&lt;0, -(G72-Uzman_D!$E$4), G72-Uzman_D!$E$4)*0.1 +
        IF(H72-Uzman_D!$F$4&lt;0, -(H72-Uzman_D!$F$4), H72-Uzman_D!$F$4)*0.1 +
        IF(I72-Uzman_D!$G$4&lt;0, -(I72-Uzman_D!$G$4), I72-Uzman_D!$G$4)*0.1 +
        IF(J72-Uzman_D!$H$4&lt;0, -(J72-Uzman_D!$H$4), J72-Uzman_D!$H$4)*0.1 +
        IF(K72-Uzman_D!$I$4&lt;0, -(K72-Uzman_D!$I$4), K72-Uzman_D!$I$4)*0.1 +
        IF(L72-Uzman_D!$J$4&lt;0, -(L72-Uzman_D!$J$4), L72-Uzman_D!$J$4)*0.1
    ) +
    IF(ROUND((IF(N72-Uzman_D!$L$4&lt;0, -(N72-Uzman_D!$L$4), N72-Uzman_D!$L$4)*2),0)/2 = IF(N72-Uzman_D!$L$4&lt;0, -(N72-Uzman_D!$L$4), N72-Uzman_D!$L$4),
    (ROUND((IF(N72-Uzman_D!$L$4&lt;0, -(N72-Uzman_D!$L$4), N72-Uzman_D!$L$4)*2),0)/1 * 0.1), 0) +
    IF(O72-Uzman_D!$M$4&lt;0, -(O72-Uzman_D!$M$4), O72-Uzman_D!$M$4)*1
)</f>
        <v>-0.90000000000000013</v>
      </c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75"/>
      <c r="AB72" s="75"/>
      <c r="AC72" s="73">
        <f>1 - (
    SUM(
        IF(Q72-Uzman_D!$B$5&lt;0, -(Q72-Uzman_D!$B$5), Q72-Uzman_D!$B$5)*0.1 +
        IF(R72-Uzman_D!$C$5&lt;0, -(R72-Uzman_D!$C$5), R72-Uzman_D!$C$5)*0.1 +
        IF(S72-Uzman_D!$D$5&lt;0, -(S72-Uzman_D!$D$5), S72-Uzman_D!$D$5)*0.1 +
        IF(T72-Uzman_D!$E$5&lt;0, -(T72-Uzman_D!$E$5), T72-Uzman_D!$E$5)*0.1 +
        IF(U72-Uzman_D!$F$5&lt;0, -(U72-Uzman_D!$F$5), U72-Uzman_D!$F$5)*0.1 +
        IF(V72-Uzman_D!$G$5&lt;0, -(V72-Uzman_D!$G$5), V72-Uzman_D!$G$5)*0.1 +
        IF(W72-Uzman_D!$H$5&lt;0, -(W72-Uzman_D!$H$5), W72-Uzman_D!$H$5)*0.1 +
        IF(X72-Uzman_D!$I$5&lt;0, -(X72-Uzman_D!$I$5), X72-Uzman_D!$I$5)*0.1 +
        IF(Y72-Uzman_D!$J$5&lt;0, -(Y72-Uzman_D!$J$5), Y72-Uzman_D!$J$5)*0.1
    ) +
    IF(ROUND((IF(AA72-Uzman_D!$L$5&lt;0, -(AA72-Uzman_D!$L$5), AA72-Uzman_D!$L$5)*2),0)/2 = IF(AA72-Uzman_D!$L$5&lt;0, -(AA72-Uzman_D!$L$5), AA72-Uzman_D!$L$5),
    (ROUND((IF(AA72-Uzman_D!$L$5&lt;0, -(AA72-Uzman_D!$L$5), AA72-Uzman_D!$L$5)*2),0)/1 * 0.1), 0) +
    IF(AB72-Uzman_D!$M$5&lt;0, -(AB72-Uzman_D!$M$5), AB72-Uzman_D!$M$5)*1
)</f>
        <v>-0.50000000000000022</v>
      </c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75"/>
      <c r="AO72" s="75"/>
      <c r="AP72" s="73">
        <f>1 - (
    SUM(
        IF(AD72-Uzman_D!$B$6&lt;0, -(AD72-Uzman_D!$B$6), AD72-Uzman_D!$B$6)*0.1 +
        IF(AE72-Uzman_D!$C$6&lt;0, -(AE72-Uzman_D!$C$6), AE72-Uzman_D!$C$6)*0.1 +
        IF(AF72-Uzman_D!$D$6&lt;0, -(AF72-Uzman_D!$D$6), AF72-Uzman_D!$D$6)*0.1 +
        IF(AG72-Uzman_D!$E$6&lt;0, -(AG72-Uzman_D!$E$6), AG72-Uzman_D!$E$6)*0.1 +
        IF(AH72-Uzman_D!$F$6&lt;0, -(AH72-Uzman_D!$F$6), AH72-Uzman_D!$F$6)*0.1 +
        IF(AI72-Uzman_D!$G$6&lt;0, -(AI72-Uzman_D!$G$6), AI72-Uzman_D!$G$6)*0.1 +
        IF(AJ72-Uzman_D!$H$6&lt;0, -(AJ72-Uzman_D!$H$6), AJ72-Uzman_D!$H$6)*0.1 +
        IF(AK72-Uzman_D!$I$6&lt;0, -(AK72-Uzman_D!$I$6), AK72-Uzman_D!$I$6)*0.1 +
        IF(AL72-Uzman_D!$J$6&lt;0, -(AL72-Uzman_D!$J$6), AL72-Uzman_D!$J$6)*0.1
    ) +
    IF(ROUND((IF(AN72-Uzman_D!$L$6&lt;0, -(AN72-Uzman_D!$L$6), AN72-Uzman_D!$L$6)*2),0)/2 = IF(AN72-Uzman_D!$L$6&lt;0, -(AN72-Uzman_D!$L$6), AN72-Uzman_D!$L$6),
    (ROUND((IF(AN72-Uzman_D!$L$6&lt;0, -(AN72-Uzman_D!$L$6), AN72-Uzman_D!$L$6)*2),0)/1 * 0.1), 0) +
    IF(AO72-Uzman_D!$M$6&lt;0, -(AO72-Uzman_D!$M$6), AO72-Uzman_D!$M$6)*1
)</f>
        <v>-0.60000000000000009</v>
      </c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75"/>
      <c r="BB72" s="75"/>
      <c r="BC72" s="73">
        <f>1 - (
    SUM(
        IF(AQ72-Uzman_D!$B$7&lt;0, -(AQ72-Uzman_D!$B$7), AQ72-Uzman_D!$B$7)*0.1 +
        IF(AR72-Uzman_D!$C$7&lt;0, -(AR72-Uzman_D!$C$7), AR72-Uzman_D!$C$7)*0.1 +
        IF(AS72-Uzman_D!$D$7&lt;0, -(AS72-Uzman_D!$D$7), AS72-Uzman_D!$D$7)*0.1 +
        IF(AT72-Uzman_D!$E$7&lt;0, -(AT72-Uzman_D!$E$7), AT72-Uzman_D!$E$7)*0.1 +
        IF(AU72-Uzman_D!$F$7&lt;0, -(AU72-Uzman_D!$F$7), AU72-Uzman_D!$F$7)*0.1 +
        IF(AV72-Uzman_D!$G$7&lt;0, -(AV72-Uzman_D!$G$7), AV72-Uzman_D!$G$7)*0.1 +
        IF(AW72-Uzman_D!$H$7&lt;0, -(AW72-Uzman_D!$H$7), AW72-Uzman_D!$H$7)*0.1 +
        IF(AX72-Uzman_D!$I$7&lt;0, -(AX72-Uzman_D!$I$7), AX72-Uzman_D!$I$7)*0.1 +
        IF(AY72-Uzman_D!$J$7&lt;0, -(AY72-Uzman_D!$J$7), AY72-Uzman_D!$J$7)*0.1
    ) +
    IF(ROUND((IF(BA72-Uzman_D!$L$7&lt;0, -(BA72-Uzman_D!$L$7), BA72-Uzman_D!$L$7)*2),0)/2 = IF(BA72-Uzman_D!$L$7&lt;0, -(BA72-Uzman_D!$L$7), BA72-Uzman_D!$L$7),
    (ROUND((IF(BA72-Uzman_D!$L$7&lt;0, -(BA72-Uzman_D!$L$7), BA72-Uzman_D!$L$7)*2),0)/1 * 0.1), 0) +
    IF(BB72-Uzman_D!$M$7&lt;0, -(BB72-Uzman_D!$M$7), BB72-Uzman_D!$M$7)*1
)</f>
        <v>-0.50000000000000022</v>
      </c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75"/>
      <c r="BO72" s="75"/>
      <c r="BP72" s="73">
        <f>1 - (
    SUM(
        IF(BD72-Uzman_D!$B$8&lt;0, -(BD72-Uzman_D!$B$8), BD72-Uzman_D!$B$8)*0.1 +
        IF(BE72-Uzman_D!$C$8&lt;0, -(BE72-Uzman_D!$C$8), BE72-Uzman_D!$C$8)*0.1 +
        IF(BF72-Uzman_D!$D$8&lt;0, -(BF72-Uzman_D!$D$8), BF72-Uzman_D!$D$8)*0.1 +
        IF(BG72-Uzman_D!$E$8&lt;0, -(BG72-Uzman_D!$E$8), BG72-Uzman_D!$E$8)*0.1 +
        IF(BH72-Uzman_D!$F$8&lt;0, -(BH72-Uzman_D!$F$8), BH72-Uzman_D!$F$8)*0.1 +
        IF(BI72-Uzman_D!$G$8&lt;0, -(BI72-Uzman_D!$G$8), BI72-Uzman_D!$G$8)*0.1 +
        IF(BJ72-Uzman_D!$H$8&lt;0, -(BJ72-Uzman_D!$H$8), BJ72-Uzman_D!$H$8)*0.1 +
        IF(BK72-Uzman_D!$I$8&lt;0, -(BK72-Uzman_D!$I$8), BK72-Uzman_D!$I$8)*0.1 +
        IF(BL72-Uzman_D!$J$8&lt;0, -(BL72-Uzman_D!$J$8), BL72-Uzman_D!$J$8)*0.1
    ) +
    IF(ROUND((IF(BN72-Uzman_D!$L$8&lt;0, -(BN72-Uzman_D!$L$8), BN72-Uzman_D!$L$8)*2),0)/2 = IF(BN72-Uzman_D!$L$8&lt;0, -(BN72-Uzman_D!$L$8), BN72-Uzman_D!$L$8),
    (ROUND((IF(BN72-Uzman_D!$L$8&lt;0, -(BN72-Uzman_D!$L$8), BN72-Uzman_D!$L$8)*2),0)/1 * 0.1), 0) +
    IF(BO72-Uzman_D!$M$8&lt;0, -(BO72-Uzman_D!$M$8), BO72-Uzman_D!$M$8)*1
)</f>
        <v>-0.20000000000000018</v>
      </c>
      <c r="BQ72" s="74">
        <f t="shared" si="1"/>
        <v>-0.54000000000000026</v>
      </c>
    </row>
    <row r="73" spans="1:69" ht="15" customHeight="1" x14ac:dyDescent="0.2">
      <c r="A73" s="57">
        <v>70</v>
      </c>
      <c r="B73" s="37">
        <f>Hakemler!B73</f>
        <v>0</v>
      </c>
      <c r="C73" s="37">
        <f>Hakemler!C73</f>
        <v>0</v>
      </c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75"/>
      <c r="O73" s="75"/>
      <c r="P73" s="73">
        <f>1 - (
    SUM(
        IF(D73-Uzman_D!$B$4&lt;0, -(D73-Uzman_D!$B$4), D73-Uzman_D!$B$4)*0.1 +
        IF(E73-Uzman_D!$C$4&lt;0, -(E73-Uzman_D!$C$4), E73-Uzman_D!$C$4)*0.1 +
        IF(F73-Uzman_D!$D$4&lt;0, -(F73-Uzman_D!$D$4), F73-Uzman_D!$D$4)*0.1 +
        IF(G73-Uzman_D!$E$4&lt;0, -(G73-Uzman_D!$E$4), G73-Uzman_D!$E$4)*0.1 +
        IF(H73-Uzman_D!$F$4&lt;0, -(H73-Uzman_D!$F$4), H73-Uzman_D!$F$4)*0.1 +
        IF(I73-Uzman_D!$G$4&lt;0, -(I73-Uzman_D!$G$4), I73-Uzman_D!$G$4)*0.1 +
        IF(J73-Uzman_D!$H$4&lt;0, -(J73-Uzman_D!$H$4), J73-Uzman_D!$H$4)*0.1 +
        IF(K73-Uzman_D!$I$4&lt;0, -(K73-Uzman_D!$I$4), K73-Uzman_D!$I$4)*0.1 +
        IF(L73-Uzman_D!$J$4&lt;0, -(L73-Uzman_D!$J$4), L73-Uzman_D!$J$4)*0.1
    ) +
    IF(ROUND((IF(N73-Uzman_D!$L$4&lt;0, -(N73-Uzman_D!$L$4), N73-Uzman_D!$L$4)*2),0)/2 = IF(N73-Uzman_D!$L$4&lt;0, -(N73-Uzman_D!$L$4), N73-Uzman_D!$L$4),
    (ROUND((IF(N73-Uzman_D!$L$4&lt;0, -(N73-Uzman_D!$L$4), N73-Uzman_D!$L$4)*2),0)/1 * 0.1), 0) +
    IF(O73-Uzman_D!$M$4&lt;0, -(O73-Uzman_D!$M$4), O73-Uzman_D!$M$4)*1
)</f>
        <v>-0.90000000000000013</v>
      </c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75"/>
      <c r="AB73" s="75"/>
      <c r="AC73" s="73">
        <f>1 - (
    SUM(
        IF(Q73-Uzman_D!$B$5&lt;0, -(Q73-Uzman_D!$B$5), Q73-Uzman_D!$B$5)*0.1 +
        IF(R73-Uzman_D!$C$5&lt;0, -(R73-Uzman_D!$C$5), R73-Uzman_D!$C$5)*0.1 +
        IF(S73-Uzman_D!$D$5&lt;0, -(S73-Uzman_D!$D$5), S73-Uzman_D!$D$5)*0.1 +
        IF(T73-Uzman_D!$E$5&lt;0, -(T73-Uzman_D!$E$5), T73-Uzman_D!$E$5)*0.1 +
        IF(U73-Uzman_D!$F$5&lt;0, -(U73-Uzman_D!$F$5), U73-Uzman_D!$F$5)*0.1 +
        IF(V73-Uzman_D!$G$5&lt;0, -(V73-Uzman_D!$G$5), V73-Uzman_D!$G$5)*0.1 +
        IF(W73-Uzman_D!$H$5&lt;0, -(W73-Uzman_D!$H$5), W73-Uzman_D!$H$5)*0.1 +
        IF(X73-Uzman_D!$I$5&lt;0, -(X73-Uzman_D!$I$5), X73-Uzman_D!$I$5)*0.1 +
        IF(Y73-Uzman_D!$J$5&lt;0, -(Y73-Uzman_D!$J$5), Y73-Uzman_D!$J$5)*0.1
    ) +
    IF(ROUND((IF(AA73-Uzman_D!$L$5&lt;0, -(AA73-Uzman_D!$L$5), AA73-Uzman_D!$L$5)*2),0)/2 = IF(AA73-Uzman_D!$L$5&lt;0, -(AA73-Uzman_D!$L$5), AA73-Uzman_D!$L$5),
    (ROUND((IF(AA73-Uzman_D!$L$5&lt;0, -(AA73-Uzman_D!$L$5), AA73-Uzman_D!$L$5)*2),0)/1 * 0.1), 0) +
    IF(AB73-Uzman_D!$M$5&lt;0, -(AB73-Uzman_D!$M$5), AB73-Uzman_D!$M$5)*1
)</f>
        <v>-0.50000000000000022</v>
      </c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75"/>
      <c r="AO73" s="75"/>
      <c r="AP73" s="73">
        <f>1 - (
    SUM(
        IF(AD73-Uzman_D!$B$6&lt;0, -(AD73-Uzman_D!$B$6), AD73-Uzman_D!$B$6)*0.1 +
        IF(AE73-Uzman_D!$C$6&lt;0, -(AE73-Uzman_D!$C$6), AE73-Uzman_D!$C$6)*0.1 +
        IF(AF73-Uzman_D!$D$6&lt;0, -(AF73-Uzman_D!$D$6), AF73-Uzman_D!$D$6)*0.1 +
        IF(AG73-Uzman_D!$E$6&lt;0, -(AG73-Uzman_D!$E$6), AG73-Uzman_D!$E$6)*0.1 +
        IF(AH73-Uzman_D!$F$6&lt;0, -(AH73-Uzman_D!$F$6), AH73-Uzman_D!$F$6)*0.1 +
        IF(AI73-Uzman_D!$G$6&lt;0, -(AI73-Uzman_D!$G$6), AI73-Uzman_D!$G$6)*0.1 +
        IF(AJ73-Uzman_D!$H$6&lt;0, -(AJ73-Uzman_D!$H$6), AJ73-Uzman_D!$H$6)*0.1 +
        IF(AK73-Uzman_D!$I$6&lt;0, -(AK73-Uzman_D!$I$6), AK73-Uzman_D!$I$6)*0.1 +
        IF(AL73-Uzman_D!$J$6&lt;0, -(AL73-Uzman_D!$J$6), AL73-Uzman_D!$J$6)*0.1
    ) +
    IF(ROUND((IF(AN73-Uzman_D!$L$6&lt;0, -(AN73-Uzman_D!$L$6), AN73-Uzman_D!$L$6)*2),0)/2 = IF(AN73-Uzman_D!$L$6&lt;0, -(AN73-Uzman_D!$L$6), AN73-Uzman_D!$L$6),
    (ROUND((IF(AN73-Uzman_D!$L$6&lt;0, -(AN73-Uzman_D!$L$6), AN73-Uzman_D!$L$6)*2),0)/1 * 0.1), 0) +
    IF(AO73-Uzman_D!$M$6&lt;0, -(AO73-Uzman_D!$M$6), AO73-Uzman_D!$M$6)*1
)</f>
        <v>-0.60000000000000009</v>
      </c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75"/>
      <c r="BB73" s="75"/>
      <c r="BC73" s="73">
        <f>1 - (
    SUM(
        IF(AQ73-Uzman_D!$B$7&lt;0, -(AQ73-Uzman_D!$B$7), AQ73-Uzman_D!$B$7)*0.1 +
        IF(AR73-Uzman_D!$C$7&lt;0, -(AR73-Uzman_D!$C$7), AR73-Uzman_D!$C$7)*0.1 +
        IF(AS73-Uzman_D!$D$7&lt;0, -(AS73-Uzman_D!$D$7), AS73-Uzman_D!$D$7)*0.1 +
        IF(AT73-Uzman_D!$E$7&lt;0, -(AT73-Uzman_D!$E$7), AT73-Uzman_D!$E$7)*0.1 +
        IF(AU73-Uzman_D!$F$7&lt;0, -(AU73-Uzman_D!$F$7), AU73-Uzman_D!$F$7)*0.1 +
        IF(AV73-Uzman_D!$G$7&lt;0, -(AV73-Uzman_D!$G$7), AV73-Uzman_D!$G$7)*0.1 +
        IF(AW73-Uzman_D!$H$7&lt;0, -(AW73-Uzman_D!$H$7), AW73-Uzman_D!$H$7)*0.1 +
        IF(AX73-Uzman_D!$I$7&lt;0, -(AX73-Uzman_D!$I$7), AX73-Uzman_D!$I$7)*0.1 +
        IF(AY73-Uzman_D!$J$7&lt;0, -(AY73-Uzman_D!$J$7), AY73-Uzman_D!$J$7)*0.1
    ) +
    IF(ROUND((IF(BA73-Uzman_D!$L$7&lt;0, -(BA73-Uzman_D!$L$7), BA73-Uzman_D!$L$7)*2),0)/2 = IF(BA73-Uzman_D!$L$7&lt;0, -(BA73-Uzman_D!$L$7), BA73-Uzman_D!$L$7),
    (ROUND((IF(BA73-Uzman_D!$L$7&lt;0, -(BA73-Uzman_D!$L$7), BA73-Uzman_D!$L$7)*2),0)/1 * 0.1), 0) +
    IF(BB73-Uzman_D!$M$7&lt;0, -(BB73-Uzman_D!$M$7), BB73-Uzman_D!$M$7)*1
)</f>
        <v>-0.50000000000000022</v>
      </c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75"/>
      <c r="BO73" s="75"/>
      <c r="BP73" s="73">
        <f>1 - (
    SUM(
        IF(BD73-Uzman_D!$B$8&lt;0, -(BD73-Uzman_D!$B$8), BD73-Uzman_D!$B$8)*0.1 +
        IF(BE73-Uzman_D!$C$8&lt;0, -(BE73-Uzman_D!$C$8), BE73-Uzman_D!$C$8)*0.1 +
        IF(BF73-Uzman_D!$D$8&lt;0, -(BF73-Uzman_D!$D$8), BF73-Uzman_D!$D$8)*0.1 +
        IF(BG73-Uzman_D!$E$8&lt;0, -(BG73-Uzman_D!$E$8), BG73-Uzman_D!$E$8)*0.1 +
        IF(BH73-Uzman_D!$F$8&lt;0, -(BH73-Uzman_D!$F$8), BH73-Uzman_D!$F$8)*0.1 +
        IF(BI73-Uzman_D!$G$8&lt;0, -(BI73-Uzman_D!$G$8), BI73-Uzman_D!$G$8)*0.1 +
        IF(BJ73-Uzman_D!$H$8&lt;0, -(BJ73-Uzman_D!$H$8), BJ73-Uzman_D!$H$8)*0.1 +
        IF(BK73-Uzman_D!$I$8&lt;0, -(BK73-Uzman_D!$I$8), BK73-Uzman_D!$I$8)*0.1 +
        IF(BL73-Uzman_D!$J$8&lt;0, -(BL73-Uzman_D!$J$8), BL73-Uzman_D!$J$8)*0.1
    ) +
    IF(ROUND((IF(BN73-Uzman_D!$L$8&lt;0, -(BN73-Uzman_D!$L$8), BN73-Uzman_D!$L$8)*2),0)/2 = IF(BN73-Uzman_D!$L$8&lt;0, -(BN73-Uzman_D!$L$8), BN73-Uzman_D!$L$8),
    (ROUND((IF(BN73-Uzman_D!$L$8&lt;0, -(BN73-Uzman_D!$L$8), BN73-Uzman_D!$L$8)*2),0)/1 * 0.1), 0) +
    IF(BO73-Uzman_D!$M$8&lt;0, -(BO73-Uzman_D!$M$8), BO73-Uzman_D!$M$8)*1
)</f>
        <v>-0.20000000000000018</v>
      </c>
      <c r="BQ73" s="74">
        <f t="shared" si="1"/>
        <v>-0.54000000000000026</v>
      </c>
    </row>
    <row r="74" spans="1:69" ht="15" customHeight="1" x14ac:dyDescent="0.2">
      <c r="A74" s="57">
        <v>71</v>
      </c>
      <c r="B74" s="37">
        <f>Hakemler!B74</f>
        <v>0</v>
      </c>
      <c r="C74" s="37">
        <f>Hakemler!C74</f>
        <v>0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75"/>
      <c r="O74" s="75"/>
      <c r="P74" s="73">
        <f>1 - (
    SUM(
        IF(D74-Uzman_D!$B$4&lt;0, -(D74-Uzman_D!$B$4), D74-Uzman_D!$B$4)*0.1 +
        IF(E74-Uzman_D!$C$4&lt;0, -(E74-Uzman_D!$C$4), E74-Uzman_D!$C$4)*0.1 +
        IF(F74-Uzman_D!$D$4&lt;0, -(F74-Uzman_D!$D$4), F74-Uzman_D!$D$4)*0.1 +
        IF(G74-Uzman_D!$E$4&lt;0, -(G74-Uzman_D!$E$4), G74-Uzman_D!$E$4)*0.1 +
        IF(H74-Uzman_D!$F$4&lt;0, -(H74-Uzman_D!$F$4), H74-Uzman_D!$F$4)*0.1 +
        IF(I74-Uzman_D!$G$4&lt;0, -(I74-Uzman_D!$G$4), I74-Uzman_D!$G$4)*0.1 +
        IF(J74-Uzman_D!$H$4&lt;0, -(J74-Uzman_D!$H$4), J74-Uzman_D!$H$4)*0.1 +
        IF(K74-Uzman_D!$I$4&lt;0, -(K74-Uzman_D!$I$4), K74-Uzman_D!$I$4)*0.1 +
        IF(L74-Uzman_D!$J$4&lt;0, -(L74-Uzman_D!$J$4), L74-Uzman_D!$J$4)*0.1
    ) +
    IF(ROUND((IF(N74-Uzman_D!$L$4&lt;0, -(N74-Uzman_D!$L$4), N74-Uzman_D!$L$4)*2),0)/2 = IF(N74-Uzman_D!$L$4&lt;0, -(N74-Uzman_D!$L$4), N74-Uzman_D!$L$4),
    (ROUND((IF(N74-Uzman_D!$L$4&lt;0, -(N74-Uzman_D!$L$4), N74-Uzman_D!$L$4)*2),0)/1 * 0.1), 0) +
    IF(O74-Uzman_D!$M$4&lt;0, -(O74-Uzman_D!$M$4), O74-Uzman_D!$M$4)*1
)</f>
        <v>-0.90000000000000013</v>
      </c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75"/>
      <c r="AB74" s="75"/>
      <c r="AC74" s="73">
        <f>1 - (
    SUM(
        IF(Q74-Uzman_D!$B$5&lt;0, -(Q74-Uzman_D!$B$5), Q74-Uzman_D!$B$5)*0.1 +
        IF(R74-Uzman_D!$C$5&lt;0, -(R74-Uzman_D!$C$5), R74-Uzman_D!$C$5)*0.1 +
        IF(S74-Uzman_D!$D$5&lt;0, -(S74-Uzman_D!$D$5), S74-Uzman_D!$D$5)*0.1 +
        IF(T74-Uzman_D!$E$5&lt;0, -(T74-Uzman_D!$E$5), T74-Uzman_D!$E$5)*0.1 +
        IF(U74-Uzman_D!$F$5&lt;0, -(U74-Uzman_D!$F$5), U74-Uzman_D!$F$5)*0.1 +
        IF(V74-Uzman_D!$G$5&lt;0, -(V74-Uzman_D!$G$5), V74-Uzman_D!$G$5)*0.1 +
        IF(W74-Uzman_D!$H$5&lt;0, -(W74-Uzman_D!$H$5), W74-Uzman_D!$H$5)*0.1 +
        IF(X74-Uzman_D!$I$5&lt;0, -(X74-Uzman_D!$I$5), X74-Uzman_D!$I$5)*0.1 +
        IF(Y74-Uzman_D!$J$5&lt;0, -(Y74-Uzman_D!$J$5), Y74-Uzman_D!$J$5)*0.1
    ) +
    IF(ROUND((IF(AA74-Uzman_D!$L$5&lt;0, -(AA74-Uzman_D!$L$5), AA74-Uzman_D!$L$5)*2),0)/2 = IF(AA74-Uzman_D!$L$5&lt;0, -(AA74-Uzman_D!$L$5), AA74-Uzman_D!$L$5),
    (ROUND((IF(AA74-Uzman_D!$L$5&lt;0, -(AA74-Uzman_D!$L$5), AA74-Uzman_D!$L$5)*2),0)/1 * 0.1), 0) +
    IF(AB74-Uzman_D!$M$5&lt;0, -(AB74-Uzman_D!$M$5), AB74-Uzman_D!$M$5)*1
)</f>
        <v>-0.50000000000000022</v>
      </c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75"/>
      <c r="AO74" s="75"/>
      <c r="AP74" s="73">
        <f>1 - (
    SUM(
        IF(AD74-Uzman_D!$B$6&lt;0, -(AD74-Uzman_D!$B$6), AD74-Uzman_D!$B$6)*0.1 +
        IF(AE74-Uzman_D!$C$6&lt;0, -(AE74-Uzman_D!$C$6), AE74-Uzman_D!$C$6)*0.1 +
        IF(AF74-Uzman_D!$D$6&lt;0, -(AF74-Uzman_D!$D$6), AF74-Uzman_D!$D$6)*0.1 +
        IF(AG74-Uzman_D!$E$6&lt;0, -(AG74-Uzman_D!$E$6), AG74-Uzman_D!$E$6)*0.1 +
        IF(AH74-Uzman_D!$F$6&lt;0, -(AH74-Uzman_D!$F$6), AH74-Uzman_D!$F$6)*0.1 +
        IF(AI74-Uzman_D!$G$6&lt;0, -(AI74-Uzman_D!$G$6), AI74-Uzman_D!$G$6)*0.1 +
        IF(AJ74-Uzman_D!$H$6&lt;0, -(AJ74-Uzman_D!$H$6), AJ74-Uzman_D!$H$6)*0.1 +
        IF(AK74-Uzman_D!$I$6&lt;0, -(AK74-Uzman_D!$I$6), AK74-Uzman_D!$I$6)*0.1 +
        IF(AL74-Uzman_D!$J$6&lt;0, -(AL74-Uzman_D!$J$6), AL74-Uzman_D!$J$6)*0.1
    ) +
    IF(ROUND((IF(AN74-Uzman_D!$L$6&lt;0, -(AN74-Uzman_D!$L$6), AN74-Uzman_D!$L$6)*2),0)/2 = IF(AN74-Uzman_D!$L$6&lt;0, -(AN74-Uzman_D!$L$6), AN74-Uzman_D!$L$6),
    (ROUND((IF(AN74-Uzman_D!$L$6&lt;0, -(AN74-Uzman_D!$L$6), AN74-Uzman_D!$L$6)*2),0)/1 * 0.1), 0) +
    IF(AO74-Uzman_D!$M$6&lt;0, -(AO74-Uzman_D!$M$6), AO74-Uzman_D!$M$6)*1
)</f>
        <v>-0.60000000000000009</v>
      </c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75"/>
      <c r="BB74" s="75"/>
      <c r="BC74" s="73">
        <f>1 - (
    SUM(
        IF(AQ74-Uzman_D!$B$7&lt;0, -(AQ74-Uzman_D!$B$7), AQ74-Uzman_D!$B$7)*0.1 +
        IF(AR74-Uzman_D!$C$7&lt;0, -(AR74-Uzman_D!$C$7), AR74-Uzman_D!$C$7)*0.1 +
        IF(AS74-Uzman_D!$D$7&lt;0, -(AS74-Uzman_D!$D$7), AS74-Uzman_D!$D$7)*0.1 +
        IF(AT74-Uzman_D!$E$7&lt;0, -(AT74-Uzman_D!$E$7), AT74-Uzman_D!$E$7)*0.1 +
        IF(AU74-Uzman_D!$F$7&lt;0, -(AU74-Uzman_D!$F$7), AU74-Uzman_D!$F$7)*0.1 +
        IF(AV74-Uzman_D!$G$7&lt;0, -(AV74-Uzman_D!$G$7), AV74-Uzman_D!$G$7)*0.1 +
        IF(AW74-Uzman_D!$H$7&lt;0, -(AW74-Uzman_D!$H$7), AW74-Uzman_D!$H$7)*0.1 +
        IF(AX74-Uzman_D!$I$7&lt;0, -(AX74-Uzman_D!$I$7), AX74-Uzman_D!$I$7)*0.1 +
        IF(AY74-Uzman_D!$J$7&lt;0, -(AY74-Uzman_D!$J$7), AY74-Uzman_D!$J$7)*0.1
    ) +
    IF(ROUND((IF(BA74-Uzman_D!$L$7&lt;0, -(BA74-Uzman_D!$L$7), BA74-Uzman_D!$L$7)*2),0)/2 = IF(BA74-Uzman_D!$L$7&lt;0, -(BA74-Uzman_D!$L$7), BA74-Uzman_D!$L$7),
    (ROUND((IF(BA74-Uzman_D!$L$7&lt;0, -(BA74-Uzman_D!$L$7), BA74-Uzman_D!$L$7)*2),0)/1 * 0.1), 0) +
    IF(BB74-Uzman_D!$M$7&lt;0, -(BB74-Uzman_D!$M$7), BB74-Uzman_D!$M$7)*1
)</f>
        <v>-0.50000000000000022</v>
      </c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75"/>
      <c r="BO74" s="75"/>
      <c r="BP74" s="73">
        <f>1 - (
    SUM(
        IF(BD74-Uzman_D!$B$8&lt;0, -(BD74-Uzman_D!$B$8), BD74-Uzman_D!$B$8)*0.1 +
        IF(BE74-Uzman_D!$C$8&lt;0, -(BE74-Uzman_D!$C$8), BE74-Uzman_D!$C$8)*0.1 +
        IF(BF74-Uzman_D!$D$8&lt;0, -(BF74-Uzman_D!$D$8), BF74-Uzman_D!$D$8)*0.1 +
        IF(BG74-Uzman_D!$E$8&lt;0, -(BG74-Uzman_D!$E$8), BG74-Uzman_D!$E$8)*0.1 +
        IF(BH74-Uzman_D!$F$8&lt;0, -(BH74-Uzman_D!$F$8), BH74-Uzman_D!$F$8)*0.1 +
        IF(BI74-Uzman_D!$G$8&lt;0, -(BI74-Uzman_D!$G$8), BI74-Uzman_D!$G$8)*0.1 +
        IF(BJ74-Uzman_D!$H$8&lt;0, -(BJ74-Uzman_D!$H$8), BJ74-Uzman_D!$H$8)*0.1 +
        IF(BK74-Uzman_D!$I$8&lt;0, -(BK74-Uzman_D!$I$8), BK74-Uzman_D!$I$8)*0.1 +
        IF(BL74-Uzman_D!$J$8&lt;0, -(BL74-Uzman_D!$J$8), BL74-Uzman_D!$J$8)*0.1
    ) +
    IF(ROUND((IF(BN74-Uzman_D!$L$8&lt;0, -(BN74-Uzman_D!$L$8), BN74-Uzman_D!$L$8)*2),0)/2 = IF(BN74-Uzman_D!$L$8&lt;0, -(BN74-Uzman_D!$L$8), BN74-Uzman_D!$L$8),
    (ROUND((IF(BN74-Uzman_D!$L$8&lt;0, -(BN74-Uzman_D!$L$8), BN74-Uzman_D!$L$8)*2),0)/1 * 0.1), 0) +
    IF(BO74-Uzman_D!$M$8&lt;0, -(BO74-Uzman_D!$M$8), BO74-Uzman_D!$M$8)*1
)</f>
        <v>-0.20000000000000018</v>
      </c>
      <c r="BQ74" s="74">
        <f t="shared" si="1"/>
        <v>-0.54000000000000026</v>
      </c>
    </row>
    <row r="75" spans="1:69" ht="15" customHeight="1" x14ac:dyDescent="0.2">
      <c r="A75" s="57">
        <v>72</v>
      </c>
      <c r="B75" s="37">
        <f>Hakemler!B75</f>
        <v>0</v>
      </c>
      <c r="C75" s="37">
        <f>Hakemler!C75</f>
        <v>0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75"/>
      <c r="O75" s="75"/>
      <c r="P75" s="73">
        <f>1 - (
    SUM(
        IF(D75-Uzman_D!$B$4&lt;0, -(D75-Uzman_D!$B$4), D75-Uzman_D!$B$4)*0.1 +
        IF(E75-Uzman_D!$C$4&lt;0, -(E75-Uzman_D!$C$4), E75-Uzman_D!$C$4)*0.1 +
        IF(F75-Uzman_D!$D$4&lt;0, -(F75-Uzman_D!$D$4), F75-Uzman_D!$D$4)*0.1 +
        IF(G75-Uzman_D!$E$4&lt;0, -(G75-Uzman_D!$E$4), G75-Uzman_D!$E$4)*0.1 +
        IF(H75-Uzman_D!$F$4&lt;0, -(H75-Uzman_D!$F$4), H75-Uzman_D!$F$4)*0.1 +
        IF(I75-Uzman_D!$G$4&lt;0, -(I75-Uzman_D!$G$4), I75-Uzman_D!$G$4)*0.1 +
        IF(J75-Uzman_D!$H$4&lt;0, -(J75-Uzman_D!$H$4), J75-Uzman_D!$H$4)*0.1 +
        IF(K75-Uzman_D!$I$4&lt;0, -(K75-Uzman_D!$I$4), K75-Uzman_D!$I$4)*0.1 +
        IF(L75-Uzman_D!$J$4&lt;0, -(L75-Uzman_D!$J$4), L75-Uzman_D!$J$4)*0.1
    ) +
    IF(ROUND((IF(N75-Uzman_D!$L$4&lt;0, -(N75-Uzman_D!$L$4), N75-Uzman_D!$L$4)*2),0)/2 = IF(N75-Uzman_D!$L$4&lt;0, -(N75-Uzman_D!$L$4), N75-Uzman_D!$L$4),
    (ROUND((IF(N75-Uzman_D!$L$4&lt;0, -(N75-Uzman_D!$L$4), N75-Uzman_D!$L$4)*2),0)/1 * 0.1), 0) +
    IF(O75-Uzman_D!$M$4&lt;0, -(O75-Uzman_D!$M$4), O75-Uzman_D!$M$4)*1
)</f>
        <v>-0.90000000000000013</v>
      </c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75"/>
      <c r="AB75" s="75"/>
      <c r="AC75" s="73">
        <f>1 - (
    SUM(
        IF(Q75-Uzman_D!$B$5&lt;0, -(Q75-Uzman_D!$B$5), Q75-Uzman_D!$B$5)*0.1 +
        IF(R75-Uzman_D!$C$5&lt;0, -(R75-Uzman_D!$C$5), R75-Uzman_D!$C$5)*0.1 +
        IF(S75-Uzman_D!$D$5&lt;0, -(S75-Uzman_D!$D$5), S75-Uzman_D!$D$5)*0.1 +
        IF(T75-Uzman_D!$E$5&lt;0, -(T75-Uzman_D!$E$5), T75-Uzman_D!$E$5)*0.1 +
        IF(U75-Uzman_D!$F$5&lt;0, -(U75-Uzman_D!$F$5), U75-Uzman_D!$F$5)*0.1 +
        IF(V75-Uzman_D!$G$5&lt;0, -(V75-Uzman_D!$G$5), V75-Uzman_D!$G$5)*0.1 +
        IF(W75-Uzman_D!$H$5&lt;0, -(W75-Uzman_D!$H$5), W75-Uzman_D!$H$5)*0.1 +
        IF(X75-Uzman_D!$I$5&lt;0, -(X75-Uzman_D!$I$5), X75-Uzman_D!$I$5)*0.1 +
        IF(Y75-Uzman_D!$J$5&lt;0, -(Y75-Uzman_D!$J$5), Y75-Uzman_D!$J$5)*0.1
    ) +
    IF(ROUND((IF(AA75-Uzman_D!$L$5&lt;0, -(AA75-Uzman_D!$L$5), AA75-Uzman_D!$L$5)*2),0)/2 = IF(AA75-Uzman_D!$L$5&lt;0, -(AA75-Uzman_D!$L$5), AA75-Uzman_D!$L$5),
    (ROUND((IF(AA75-Uzman_D!$L$5&lt;0, -(AA75-Uzman_D!$L$5), AA75-Uzman_D!$L$5)*2),0)/1 * 0.1), 0) +
    IF(AB75-Uzman_D!$M$5&lt;0, -(AB75-Uzman_D!$M$5), AB75-Uzman_D!$M$5)*1
)</f>
        <v>-0.50000000000000022</v>
      </c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75"/>
      <c r="AO75" s="75"/>
      <c r="AP75" s="73">
        <f>1 - (
    SUM(
        IF(AD75-Uzman_D!$B$6&lt;0, -(AD75-Uzman_D!$B$6), AD75-Uzman_D!$B$6)*0.1 +
        IF(AE75-Uzman_D!$C$6&lt;0, -(AE75-Uzman_D!$C$6), AE75-Uzman_D!$C$6)*0.1 +
        IF(AF75-Uzman_D!$D$6&lt;0, -(AF75-Uzman_D!$D$6), AF75-Uzman_D!$D$6)*0.1 +
        IF(AG75-Uzman_D!$E$6&lt;0, -(AG75-Uzman_D!$E$6), AG75-Uzman_D!$E$6)*0.1 +
        IF(AH75-Uzman_D!$F$6&lt;0, -(AH75-Uzman_D!$F$6), AH75-Uzman_D!$F$6)*0.1 +
        IF(AI75-Uzman_D!$G$6&lt;0, -(AI75-Uzman_D!$G$6), AI75-Uzman_D!$G$6)*0.1 +
        IF(AJ75-Uzman_D!$H$6&lt;0, -(AJ75-Uzman_D!$H$6), AJ75-Uzman_D!$H$6)*0.1 +
        IF(AK75-Uzman_D!$I$6&lt;0, -(AK75-Uzman_D!$I$6), AK75-Uzman_D!$I$6)*0.1 +
        IF(AL75-Uzman_D!$J$6&lt;0, -(AL75-Uzman_D!$J$6), AL75-Uzman_D!$J$6)*0.1
    ) +
    IF(ROUND((IF(AN75-Uzman_D!$L$6&lt;0, -(AN75-Uzman_D!$L$6), AN75-Uzman_D!$L$6)*2),0)/2 = IF(AN75-Uzman_D!$L$6&lt;0, -(AN75-Uzman_D!$L$6), AN75-Uzman_D!$L$6),
    (ROUND((IF(AN75-Uzman_D!$L$6&lt;0, -(AN75-Uzman_D!$L$6), AN75-Uzman_D!$L$6)*2),0)/1 * 0.1), 0) +
    IF(AO75-Uzman_D!$M$6&lt;0, -(AO75-Uzman_D!$M$6), AO75-Uzman_D!$M$6)*1
)</f>
        <v>-0.60000000000000009</v>
      </c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75"/>
      <c r="BB75" s="75"/>
      <c r="BC75" s="73">
        <f>1 - (
    SUM(
        IF(AQ75-Uzman_D!$B$7&lt;0, -(AQ75-Uzman_D!$B$7), AQ75-Uzman_D!$B$7)*0.1 +
        IF(AR75-Uzman_D!$C$7&lt;0, -(AR75-Uzman_D!$C$7), AR75-Uzman_D!$C$7)*0.1 +
        IF(AS75-Uzman_D!$D$7&lt;0, -(AS75-Uzman_D!$D$7), AS75-Uzman_D!$D$7)*0.1 +
        IF(AT75-Uzman_D!$E$7&lt;0, -(AT75-Uzman_D!$E$7), AT75-Uzman_D!$E$7)*0.1 +
        IF(AU75-Uzman_D!$F$7&lt;0, -(AU75-Uzman_D!$F$7), AU75-Uzman_D!$F$7)*0.1 +
        IF(AV75-Uzman_D!$G$7&lt;0, -(AV75-Uzman_D!$G$7), AV75-Uzman_D!$G$7)*0.1 +
        IF(AW75-Uzman_D!$H$7&lt;0, -(AW75-Uzman_D!$H$7), AW75-Uzman_D!$H$7)*0.1 +
        IF(AX75-Uzman_D!$I$7&lt;0, -(AX75-Uzman_D!$I$7), AX75-Uzman_D!$I$7)*0.1 +
        IF(AY75-Uzman_D!$J$7&lt;0, -(AY75-Uzman_D!$J$7), AY75-Uzman_D!$J$7)*0.1
    ) +
    IF(ROUND((IF(BA75-Uzman_D!$L$7&lt;0, -(BA75-Uzman_D!$L$7), BA75-Uzman_D!$L$7)*2),0)/2 = IF(BA75-Uzman_D!$L$7&lt;0, -(BA75-Uzman_D!$L$7), BA75-Uzman_D!$L$7),
    (ROUND((IF(BA75-Uzman_D!$L$7&lt;0, -(BA75-Uzman_D!$L$7), BA75-Uzman_D!$L$7)*2),0)/1 * 0.1), 0) +
    IF(BB75-Uzman_D!$M$7&lt;0, -(BB75-Uzman_D!$M$7), BB75-Uzman_D!$M$7)*1
)</f>
        <v>-0.50000000000000022</v>
      </c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75"/>
      <c r="BO75" s="75"/>
      <c r="BP75" s="73">
        <f>1 - (
    SUM(
        IF(BD75-Uzman_D!$B$8&lt;0, -(BD75-Uzman_D!$B$8), BD75-Uzman_D!$B$8)*0.1 +
        IF(BE75-Uzman_D!$C$8&lt;0, -(BE75-Uzman_D!$C$8), BE75-Uzman_D!$C$8)*0.1 +
        IF(BF75-Uzman_D!$D$8&lt;0, -(BF75-Uzman_D!$D$8), BF75-Uzman_D!$D$8)*0.1 +
        IF(BG75-Uzman_D!$E$8&lt;0, -(BG75-Uzman_D!$E$8), BG75-Uzman_D!$E$8)*0.1 +
        IF(BH75-Uzman_D!$F$8&lt;0, -(BH75-Uzman_D!$F$8), BH75-Uzman_D!$F$8)*0.1 +
        IF(BI75-Uzman_D!$G$8&lt;0, -(BI75-Uzman_D!$G$8), BI75-Uzman_D!$G$8)*0.1 +
        IF(BJ75-Uzman_D!$H$8&lt;0, -(BJ75-Uzman_D!$H$8), BJ75-Uzman_D!$H$8)*0.1 +
        IF(BK75-Uzman_D!$I$8&lt;0, -(BK75-Uzman_D!$I$8), BK75-Uzman_D!$I$8)*0.1 +
        IF(BL75-Uzman_D!$J$8&lt;0, -(BL75-Uzman_D!$J$8), BL75-Uzman_D!$J$8)*0.1
    ) +
    IF(ROUND((IF(BN75-Uzman_D!$L$8&lt;0, -(BN75-Uzman_D!$L$8), BN75-Uzman_D!$L$8)*2),0)/2 = IF(BN75-Uzman_D!$L$8&lt;0, -(BN75-Uzman_D!$L$8), BN75-Uzman_D!$L$8),
    (ROUND((IF(BN75-Uzman_D!$L$8&lt;0, -(BN75-Uzman_D!$L$8), BN75-Uzman_D!$L$8)*2),0)/1 * 0.1), 0) +
    IF(BO75-Uzman_D!$M$8&lt;0, -(BO75-Uzman_D!$M$8), BO75-Uzman_D!$M$8)*1
)</f>
        <v>-0.20000000000000018</v>
      </c>
      <c r="BQ75" s="74">
        <f t="shared" si="1"/>
        <v>-0.54000000000000026</v>
      </c>
    </row>
    <row r="76" spans="1:69" ht="15" customHeight="1" x14ac:dyDescent="0.2">
      <c r="A76" s="57">
        <v>73</v>
      </c>
      <c r="B76" s="37">
        <f>Hakemler!B76</f>
        <v>0</v>
      </c>
      <c r="C76" s="37">
        <f>Hakemler!C76</f>
        <v>0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75"/>
      <c r="O76" s="75"/>
      <c r="P76" s="73">
        <f>1 - (
    SUM(
        IF(D76-Uzman_D!$B$4&lt;0, -(D76-Uzman_D!$B$4), D76-Uzman_D!$B$4)*0.1 +
        IF(E76-Uzman_D!$C$4&lt;0, -(E76-Uzman_D!$C$4), E76-Uzman_D!$C$4)*0.1 +
        IF(F76-Uzman_D!$D$4&lt;0, -(F76-Uzman_D!$D$4), F76-Uzman_D!$D$4)*0.1 +
        IF(G76-Uzman_D!$E$4&lt;0, -(G76-Uzman_D!$E$4), G76-Uzman_D!$E$4)*0.1 +
        IF(H76-Uzman_D!$F$4&lt;0, -(H76-Uzman_D!$F$4), H76-Uzman_D!$F$4)*0.1 +
        IF(I76-Uzman_D!$G$4&lt;0, -(I76-Uzman_D!$G$4), I76-Uzman_D!$G$4)*0.1 +
        IF(J76-Uzman_D!$H$4&lt;0, -(J76-Uzman_D!$H$4), J76-Uzman_D!$H$4)*0.1 +
        IF(K76-Uzman_D!$I$4&lt;0, -(K76-Uzman_D!$I$4), K76-Uzman_D!$I$4)*0.1 +
        IF(L76-Uzman_D!$J$4&lt;0, -(L76-Uzman_D!$J$4), L76-Uzman_D!$J$4)*0.1
    ) +
    IF(ROUND((IF(N76-Uzman_D!$L$4&lt;0, -(N76-Uzman_D!$L$4), N76-Uzman_D!$L$4)*2),0)/2 = IF(N76-Uzman_D!$L$4&lt;0, -(N76-Uzman_D!$L$4), N76-Uzman_D!$L$4),
    (ROUND((IF(N76-Uzman_D!$L$4&lt;0, -(N76-Uzman_D!$L$4), N76-Uzman_D!$L$4)*2),0)/1 * 0.1), 0) +
    IF(O76-Uzman_D!$M$4&lt;0, -(O76-Uzman_D!$M$4), O76-Uzman_D!$M$4)*1
)</f>
        <v>-0.90000000000000013</v>
      </c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75"/>
      <c r="AB76" s="75"/>
      <c r="AC76" s="73">
        <f>1 - (
    SUM(
        IF(Q76-Uzman_D!$B$5&lt;0, -(Q76-Uzman_D!$B$5), Q76-Uzman_D!$B$5)*0.1 +
        IF(R76-Uzman_D!$C$5&lt;0, -(R76-Uzman_D!$C$5), R76-Uzman_D!$C$5)*0.1 +
        IF(S76-Uzman_D!$D$5&lt;0, -(S76-Uzman_D!$D$5), S76-Uzman_D!$D$5)*0.1 +
        IF(T76-Uzman_D!$E$5&lt;0, -(T76-Uzman_D!$E$5), T76-Uzman_D!$E$5)*0.1 +
        IF(U76-Uzman_D!$F$5&lt;0, -(U76-Uzman_D!$F$5), U76-Uzman_D!$F$5)*0.1 +
        IF(V76-Uzman_D!$G$5&lt;0, -(V76-Uzman_D!$G$5), V76-Uzman_D!$G$5)*0.1 +
        IF(W76-Uzman_D!$H$5&lt;0, -(W76-Uzman_D!$H$5), W76-Uzman_D!$H$5)*0.1 +
        IF(X76-Uzman_D!$I$5&lt;0, -(X76-Uzman_D!$I$5), X76-Uzman_D!$I$5)*0.1 +
        IF(Y76-Uzman_D!$J$5&lt;0, -(Y76-Uzman_D!$J$5), Y76-Uzman_D!$J$5)*0.1
    ) +
    IF(ROUND((IF(AA76-Uzman_D!$L$5&lt;0, -(AA76-Uzman_D!$L$5), AA76-Uzman_D!$L$5)*2),0)/2 = IF(AA76-Uzman_D!$L$5&lt;0, -(AA76-Uzman_D!$L$5), AA76-Uzman_D!$L$5),
    (ROUND((IF(AA76-Uzman_D!$L$5&lt;0, -(AA76-Uzman_D!$L$5), AA76-Uzman_D!$L$5)*2),0)/1 * 0.1), 0) +
    IF(AB76-Uzman_D!$M$5&lt;0, -(AB76-Uzman_D!$M$5), AB76-Uzman_D!$M$5)*1
)</f>
        <v>-0.50000000000000022</v>
      </c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75"/>
      <c r="AO76" s="75"/>
      <c r="AP76" s="73">
        <f>1 - (
    SUM(
        IF(AD76-Uzman_D!$B$6&lt;0, -(AD76-Uzman_D!$B$6), AD76-Uzman_D!$B$6)*0.1 +
        IF(AE76-Uzman_D!$C$6&lt;0, -(AE76-Uzman_D!$C$6), AE76-Uzman_D!$C$6)*0.1 +
        IF(AF76-Uzman_D!$D$6&lt;0, -(AF76-Uzman_D!$D$6), AF76-Uzman_D!$D$6)*0.1 +
        IF(AG76-Uzman_D!$E$6&lt;0, -(AG76-Uzman_D!$E$6), AG76-Uzman_D!$E$6)*0.1 +
        IF(AH76-Uzman_D!$F$6&lt;0, -(AH76-Uzman_D!$F$6), AH76-Uzman_D!$F$6)*0.1 +
        IF(AI76-Uzman_D!$G$6&lt;0, -(AI76-Uzman_D!$G$6), AI76-Uzman_D!$G$6)*0.1 +
        IF(AJ76-Uzman_D!$H$6&lt;0, -(AJ76-Uzman_D!$H$6), AJ76-Uzman_D!$H$6)*0.1 +
        IF(AK76-Uzman_D!$I$6&lt;0, -(AK76-Uzman_D!$I$6), AK76-Uzman_D!$I$6)*0.1 +
        IF(AL76-Uzman_D!$J$6&lt;0, -(AL76-Uzman_D!$J$6), AL76-Uzman_D!$J$6)*0.1
    ) +
    IF(ROUND((IF(AN76-Uzman_D!$L$6&lt;0, -(AN76-Uzman_D!$L$6), AN76-Uzman_D!$L$6)*2),0)/2 = IF(AN76-Uzman_D!$L$6&lt;0, -(AN76-Uzman_D!$L$6), AN76-Uzman_D!$L$6),
    (ROUND((IF(AN76-Uzman_D!$L$6&lt;0, -(AN76-Uzman_D!$L$6), AN76-Uzman_D!$L$6)*2),0)/1 * 0.1), 0) +
    IF(AO76-Uzman_D!$M$6&lt;0, -(AO76-Uzman_D!$M$6), AO76-Uzman_D!$M$6)*1
)</f>
        <v>-0.60000000000000009</v>
      </c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75"/>
      <c r="BB76" s="75"/>
      <c r="BC76" s="73">
        <f>1 - (
    SUM(
        IF(AQ76-Uzman_D!$B$7&lt;0, -(AQ76-Uzman_D!$B$7), AQ76-Uzman_D!$B$7)*0.1 +
        IF(AR76-Uzman_D!$C$7&lt;0, -(AR76-Uzman_D!$C$7), AR76-Uzman_D!$C$7)*0.1 +
        IF(AS76-Uzman_D!$D$7&lt;0, -(AS76-Uzman_D!$D$7), AS76-Uzman_D!$D$7)*0.1 +
        IF(AT76-Uzman_D!$E$7&lt;0, -(AT76-Uzman_D!$E$7), AT76-Uzman_D!$E$7)*0.1 +
        IF(AU76-Uzman_D!$F$7&lt;0, -(AU76-Uzman_D!$F$7), AU76-Uzman_D!$F$7)*0.1 +
        IF(AV76-Uzman_D!$G$7&lt;0, -(AV76-Uzman_D!$G$7), AV76-Uzman_D!$G$7)*0.1 +
        IF(AW76-Uzman_D!$H$7&lt;0, -(AW76-Uzman_D!$H$7), AW76-Uzman_D!$H$7)*0.1 +
        IF(AX76-Uzman_D!$I$7&lt;0, -(AX76-Uzman_D!$I$7), AX76-Uzman_D!$I$7)*0.1 +
        IF(AY76-Uzman_D!$J$7&lt;0, -(AY76-Uzman_D!$J$7), AY76-Uzman_D!$J$7)*0.1
    ) +
    IF(ROUND((IF(BA76-Uzman_D!$L$7&lt;0, -(BA76-Uzman_D!$L$7), BA76-Uzman_D!$L$7)*2),0)/2 = IF(BA76-Uzman_D!$L$7&lt;0, -(BA76-Uzman_D!$L$7), BA76-Uzman_D!$L$7),
    (ROUND((IF(BA76-Uzman_D!$L$7&lt;0, -(BA76-Uzman_D!$L$7), BA76-Uzman_D!$L$7)*2),0)/1 * 0.1), 0) +
    IF(BB76-Uzman_D!$M$7&lt;0, -(BB76-Uzman_D!$M$7), BB76-Uzman_D!$M$7)*1
)</f>
        <v>-0.50000000000000022</v>
      </c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75"/>
      <c r="BO76" s="75"/>
      <c r="BP76" s="73">
        <f>1 - (
    SUM(
        IF(BD76-Uzman_D!$B$8&lt;0, -(BD76-Uzman_D!$B$8), BD76-Uzman_D!$B$8)*0.1 +
        IF(BE76-Uzman_D!$C$8&lt;0, -(BE76-Uzman_D!$C$8), BE76-Uzman_D!$C$8)*0.1 +
        IF(BF76-Uzman_D!$D$8&lt;0, -(BF76-Uzman_D!$D$8), BF76-Uzman_D!$D$8)*0.1 +
        IF(BG76-Uzman_D!$E$8&lt;0, -(BG76-Uzman_D!$E$8), BG76-Uzman_D!$E$8)*0.1 +
        IF(BH76-Uzman_D!$F$8&lt;0, -(BH76-Uzman_D!$F$8), BH76-Uzman_D!$F$8)*0.1 +
        IF(BI76-Uzman_D!$G$8&lt;0, -(BI76-Uzman_D!$G$8), BI76-Uzman_D!$G$8)*0.1 +
        IF(BJ76-Uzman_D!$H$8&lt;0, -(BJ76-Uzman_D!$H$8), BJ76-Uzman_D!$H$8)*0.1 +
        IF(BK76-Uzman_D!$I$8&lt;0, -(BK76-Uzman_D!$I$8), BK76-Uzman_D!$I$8)*0.1 +
        IF(BL76-Uzman_D!$J$8&lt;0, -(BL76-Uzman_D!$J$8), BL76-Uzman_D!$J$8)*0.1
    ) +
    IF(ROUND((IF(BN76-Uzman_D!$L$8&lt;0, -(BN76-Uzman_D!$L$8), BN76-Uzman_D!$L$8)*2),0)/2 = IF(BN76-Uzman_D!$L$8&lt;0, -(BN76-Uzman_D!$L$8), BN76-Uzman_D!$L$8),
    (ROUND((IF(BN76-Uzman_D!$L$8&lt;0, -(BN76-Uzman_D!$L$8), BN76-Uzman_D!$L$8)*2),0)/1 * 0.1), 0) +
    IF(BO76-Uzman_D!$M$8&lt;0, -(BO76-Uzman_D!$M$8), BO76-Uzman_D!$M$8)*1
)</f>
        <v>-0.20000000000000018</v>
      </c>
      <c r="BQ76" s="74">
        <f t="shared" si="1"/>
        <v>-0.54000000000000026</v>
      </c>
    </row>
    <row r="77" spans="1:69" ht="15" customHeight="1" x14ac:dyDescent="0.2">
      <c r="A77" s="57">
        <v>74</v>
      </c>
      <c r="B77" s="37">
        <f>Hakemler!B77</f>
        <v>0</v>
      </c>
      <c r="C77" s="37">
        <f>Hakemler!C77</f>
        <v>0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75"/>
      <c r="O77" s="75"/>
      <c r="P77" s="73">
        <f>1 - (
    SUM(
        IF(D77-Uzman_D!$B$4&lt;0, -(D77-Uzman_D!$B$4), D77-Uzman_D!$B$4)*0.1 +
        IF(E77-Uzman_D!$C$4&lt;0, -(E77-Uzman_D!$C$4), E77-Uzman_D!$C$4)*0.1 +
        IF(F77-Uzman_D!$D$4&lt;0, -(F77-Uzman_D!$D$4), F77-Uzman_D!$D$4)*0.1 +
        IF(G77-Uzman_D!$E$4&lt;0, -(G77-Uzman_D!$E$4), G77-Uzman_D!$E$4)*0.1 +
        IF(H77-Uzman_D!$F$4&lt;0, -(H77-Uzman_D!$F$4), H77-Uzman_D!$F$4)*0.1 +
        IF(I77-Uzman_D!$G$4&lt;0, -(I77-Uzman_D!$G$4), I77-Uzman_D!$G$4)*0.1 +
        IF(J77-Uzman_D!$H$4&lt;0, -(J77-Uzman_D!$H$4), J77-Uzman_D!$H$4)*0.1 +
        IF(K77-Uzman_D!$I$4&lt;0, -(K77-Uzman_D!$I$4), K77-Uzman_D!$I$4)*0.1 +
        IF(L77-Uzman_D!$J$4&lt;0, -(L77-Uzman_D!$J$4), L77-Uzman_D!$J$4)*0.1
    ) +
    IF(ROUND((IF(N77-Uzman_D!$L$4&lt;0, -(N77-Uzman_D!$L$4), N77-Uzman_D!$L$4)*2),0)/2 = IF(N77-Uzman_D!$L$4&lt;0, -(N77-Uzman_D!$L$4), N77-Uzman_D!$L$4),
    (ROUND((IF(N77-Uzman_D!$L$4&lt;0, -(N77-Uzman_D!$L$4), N77-Uzman_D!$L$4)*2),0)/1 * 0.1), 0) +
    IF(O77-Uzman_D!$M$4&lt;0, -(O77-Uzman_D!$M$4), O77-Uzman_D!$M$4)*1
)</f>
        <v>-0.90000000000000013</v>
      </c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75"/>
      <c r="AB77" s="75"/>
      <c r="AC77" s="73">
        <f>1 - (
    SUM(
        IF(Q77-Uzman_D!$B$5&lt;0, -(Q77-Uzman_D!$B$5), Q77-Uzman_D!$B$5)*0.1 +
        IF(R77-Uzman_D!$C$5&lt;0, -(R77-Uzman_D!$C$5), R77-Uzman_D!$C$5)*0.1 +
        IF(S77-Uzman_D!$D$5&lt;0, -(S77-Uzman_D!$D$5), S77-Uzman_D!$D$5)*0.1 +
        IF(T77-Uzman_D!$E$5&lt;0, -(T77-Uzman_D!$E$5), T77-Uzman_D!$E$5)*0.1 +
        IF(U77-Uzman_D!$F$5&lt;0, -(U77-Uzman_D!$F$5), U77-Uzman_D!$F$5)*0.1 +
        IF(V77-Uzman_D!$G$5&lt;0, -(V77-Uzman_D!$G$5), V77-Uzman_D!$G$5)*0.1 +
        IF(W77-Uzman_D!$H$5&lt;0, -(W77-Uzman_D!$H$5), W77-Uzman_D!$H$5)*0.1 +
        IF(X77-Uzman_D!$I$5&lt;0, -(X77-Uzman_D!$I$5), X77-Uzman_D!$I$5)*0.1 +
        IF(Y77-Uzman_D!$J$5&lt;0, -(Y77-Uzman_D!$J$5), Y77-Uzman_D!$J$5)*0.1
    ) +
    IF(ROUND((IF(AA77-Uzman_D!$L$5&lt;0, -(AA77-Uzman_D!$L$5), AA77-Uzman_D!$L$5)*2),0)/2 = IF(AA77-Uzman_D!$L$5&lt;0, -(AA77-Uzman_D!$L$5), AA77-Uzman_D!$L$5),
    (ROUND((IF(AA77-Uzman_D!$L$5&lt;0, -(AA77-Uzman_D!$L$5), AA77-Uzman_D!$L$5)*2),0)/1 * 0.1), 0) +
    IF(AB77-Uzman_D!$M$5&lt;0, -(AB77-Uzman_D!$M$5), AB77-Uzman_D!$M$5)*1
)</f>
        <v>-0.50000000000000022</v>
      </c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75"/>
      <c r="AO77" s="75"/>
      <c r="AP77" s="73">
        <f>1 - (
    SUM(
        IF(AD77-Uzman_D!$B$6&lt;0, -(AD77-Uzman_D!$B$6), AD77-Uzman_D!$B$6)*0.1 +
        IF(AE77-Uzman_D!$C$6&lt;0, -(AE77-Uzman_D!$C$6), AE77-Uzman_D!$C$6)*0.1 +
        IF(AF77-Uzman_D!$D$6&lt;0, -(AF77-Uzman_D!$D$6), AF77-Uzman_D!$D$6)*0.1 +
        IF(AG77-Uzman_D!$E$6&lt;0, -(AG77-Uzman_D!$E$6), AG77-Uzman_D!$E$6)*0.1 +
        IF(AH77-Uzman_D!$F$6&lt;0, -(AH77-Uzman_D!$F$6), AH77-Uzman_D!$F$6)*0.1 +
        IF(AI77-Uzman_D!$G$6&lt;0, -(AI77-Uzman_D!$G$6), AI77-Uzman_D!$G$6)*0.1 +
        IF(AJ77-Uzman_D!$H$6&lt;0, -(AJ77-Uzman_D!$H$6), AJ77-Uzman_D!$H$6)*0.1 +
        IF(AK77-Uzman_D!$I$6&lt;0, -(AK77-Uzman_D!$I$6), AK77-Uzman_D!$I$6)*0.1 +
        IF(AL77-Uzman_D!$J$6&lt;0, -(AL77-Uzman_D!$J$6), AL77-Uzman_D!$J$6)*0.1
    ) +
    IF(ROUND((IF(AN77-Uzman_D!$L$6&lt;0, -(AN77-Uzman_D!$L$6), AN77-Uzman_D!$L$6)*2),0)/2 = IF(AN77-Uzman_D!$L$6&lt;0, -(AN77-Uzman_D!$L$6), AN77-Uzman_D!$L$6),
    (ROUND((IF(AN77-Uzman_D!$L$6&lt;0, -(AN77-Uzman_D!$L$6), AN77-Uzman_D!$L$6)*2),0)/1 * 0.1), 0) +
    IF(AO77-Uzman_D!$M$6&lt;0, -(AO77-Uzman_D!$M$6), AO77-Uzman_D!$M$6)*1
)</f>
        <v>-0.60000000000000009</v>
      </c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75"/>
      <c r="BB77" s="75"/>
      <c r="BC77" s="73">
        <f>1 - (
    SUM(
        IF(AQ77-Uzman_D!$B$7&lt;0, -(AQ77-Uzman_D!$B$7), AQ77-Uzman_D!$B$7)*0.1 +
        IF(AR77-Uzman_D!$C$7&lt;0, -(AR77-Uzman_D!$C$7), AR77-Uzman_D!$C$7)*0.1 +
        IF(AS77-Uzman_D!$D$7&lt;0, -(AS77-Uzman_D!$D$7), AS77-Uzman_D!$D$7)*0.1 +
        IF(AT77-Uzman_D!$E$7&lt;0, -(AT77-Uzman_D!$E$7), AT77-Uzman_D!$E$7)*0.1 +
        IF(AU77-Uzman_D!$F$7&lt;0, -(AU77-Uzman_D!$F$7), AU77-Uzman_D!$F$7)*0.1 +
        IF(AV77-Uzman_D!$G$7&lt;0, -(AV77-Uzman_D!$G$7), AV77-Uzman_D!$G$7)*0.1 +
        IF(AW77-Uzman_D!$H$7&lt;0, -(AW77-Uzman_D!$H$7), AW77-Uzman_D!$H$7)*0.1 +
        IF(AX77-Uzman_D!$I$7&lt;0, -(AX77-Uzman_D!$I$7), AX77-Uzman_D!$I$7)*0.1 +
        IF(AY77-Uzman_D!$J$7&lt;0, -(AY77-Uzman_D!$J$7), AY77-Uzman_D!$J$7)*0.1
    ) +
    IF(ROUND((IF(BA77-Uzman_D!$L$7&lt;0, -(BA77-Uzman_D!$L$7), BA77-Uzman_D!$L$7)*2),0)/2 = IF(BA77-Uzman_D!$L$7&lt;0, -(BA77-Uzman_D!$L$7), BA77-Uzman_D!$L$7),
    (ROUND((IF(BA77-Uzman_D!$L$7&lt;0, -(BA77-Uzman_D!$L$7), BA77-Uzman_D!$L$7)*2),0)/1 * 0.1), 0) +
    IF(BB77-Uzman_D!$M$7&lt;0, -(BB77-Uzman_D!$M$7), BB77-Uzman_D!$M$7)*1
)</f>
        <v>-0.50000000000000022</v>
      </c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75"/>
      <c r="BO77" s="75"/>
      <c r="BP77" s="73">
        <f>1 - (
    SUM(
        IF(BD77-Uzman_D!$B$8&lt;0, -(BD77-Uzman_D!$B$8), BD77-Uzman_D!$B$8)*0.1 +
        IF(BE77-Uzman_D!$C$8&lt;0, -(BE77-Uzman_D!$C$8), BE77-Uzman_D!$C$8)*0.1 +
        IF(BF77-Uzman_D!$D$8&lt;0, -(BF77-Uzman_D!$D$8), BF77-Uzman_D!$D$8)*0.1 +
        IF(BG77-Uzman_D!$E$8&lt;0, -(BG77-Uzman_D!$E$8), BG77-Uzman_D!$E$8)*0.1 +
        IF(BH77-Uzman_D!$F$8&lt;0, -(BH77-Uzman_D!$F$8), BH77-Uzman_D!$F$8)*0.1 +
        IF(BI77-Uzman_D!$G$8&lt;0, -(BI77-Uzman_D!$G$8), BI77-Uzman_D!$G$8)*0.1 +
        IF(BJ77-Uzman_D!$H$8&lt;0, -(BJ77-Uzman_D!$H$8), BJ77-Uzman_D!$H$8)*0.1 +
        IF(BK77-Uzman_D!$I$8&lt;0, -(BK77-Uzman_D!$I$8), BK77-Uzman_D!$I$8)*0.1 +
        IF(BL77-Uzman_D!$J$8&lt;0, -(BL77-Uzman_D!$J$8), BL77-Uzman_D!$J$8)*0.1
    ) +
    IF(ROUND((IF(BN77-Uzman_D!$L$8&lt;0, -(BN77-Uzman_D!$L$8), BN77-Uzman_D!$L$8)*2),0)/2 = IF(BN77-Uzman_D!$L$8&lt;0, -(BN77-Uzman_D!$L$8), BN77-Uzman_D!$L$8),
    (ROUND((IF(BN77-Uzman_D!$L$8&lt;0, -(BN77-Uzman_D!$L$8), BN77-Uzman_D!$L$8)*2),0)/1 * 0.1), 0) +
    IF(BO77-Uzman_D!$M$8&lt;0, -(BO77-Uzman_D!$M$8), BO77-Uzman_D!$M$8)*1
)</f>
        <v>-0.20000000000000018</v>
      </c>
      <c r="BQ77" s="74">
        <f t="shared" si="1"/>
        <v>-0.54000000000000026</v>
      </c>
    </row>
    <row r="78" spans="1:69" ht="15" customHeight="1" x14ac:dyDescent="0.2">
      <c r="A78" s="57">
        <v>75</v>
      </c>
      <c r="B78" s="37">
        <f>Hakemler!B78</f>
        <v>0</v>
      </c>
      <c r="C78" s="37">
        <f>Hakemler!C78</f>
        <v>0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75"/>
      <c r="O78" s="75"/>
      <c r="P78" s="73">
        <f>1 - (
    SUM(
        IF(D78-Uzman_D!$B$4&lt;0, -(D78-Uzman_D!$B$4), D78-Uzman_D!$B$4)*0.1 +
        IF(E78-Uzman_D!$C$4&lt;0, -(E78-Uzman_D!$C$4), E78-Uzman_D!$C$4)*0.1 +
        IF(F78-Uzman_D!$D$4&lt;0, -(F78-Uzman_D!$D$4), F78-Uzman_D!$D$4)*0.1 +
        IF(G78-Uzman_D!$E$4&lt;0, -(G78-Uzman_D!$E$4), G78-Uzman_D!$E$4)*0.1 +
        IF(H78-Uzman_D!$F$4&lt;0, -(H78-Uzman_D!$F$4), H78-Uzman_D!$F$4)*0.1 +
        IF(I78-Uzman_D!$G$4&lt;0, -(I78-Uzman_D!$G$4), I78-Uzman_D!$G$4)*0.1 +
        IF(J78-Uzman_D!$H$4&lt;0, -(J78-Uzman_D!$H$4), J78-Uzman_D!$H$4)*0.1 +
        IF(K78-Uzman_D!$I$4&lt;0, -(K78-Uzman_D!$I$4), K78-Uzman_D!$I$4)*0.1 +
        IF(L78-Uzman_D!$J$4&lt;0, -(L78-Uzman_D!$J$4), L78-Uzman_D!$J$4)*0.1
    ) +
    IF(ROUND((IF(N78-Uzman_D!$L$4&lt;0, -(N78-Uzman_D!$L$4), N78-Uzman_D!$L$4)*2),0)/2 = IF(N78-Uzman_D!$L$4&lt;0, -(N78-Uzman_D!$L$4), N78-Uzman_D!$L$4),
    (ROUND((IF(N78-Uzman_D!$L$4&lt;0, -(N78-Uzman_D!$L$4), N78-Uzman_D!$L$4)*2),0)/1 * 0.1), 0) +
    IF(O78-Uzman_D!$M$4&lt;0, -(O78-Uzman_D!$M$4), O78-Uzman_D!$M$4)*1
)</f>
        <v>-0.90000000000000013</v>
      </c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75"/>
      <c r="AB78" s="75"/>
      <c r="AC78" s="73">
        <f>1 - (
    SUM(
        IF(Q78-Uzman_D!$B$5&lt;0, -(Q78-Uzman_D!$B$5), Q78-Uzman_D!$B$5)*0.1 +
        IF(R78-Uzman_D!$C$5&lt;0, -(R78-Uzman_D!$C$5), R78-Uzman_D!$C$5)*0.1 +
        IF(S78-Uzman_D!$D$5&lt;0, -(S78-Uzman_D!$D$5), S78-Uzman_D!$D$5)*0.1 +
        IF(T78-Uzman_D!$E$5&lt;0, -(T78-Uzman_D!$E$5), T78-Uzman_D!$E$5)*0.1 +
        IF(U78-Uzman_D!$F$5&lt;0, -(U78-Uzman_D!$F$5), U78-Uzman_D!$F$5)*0.1 +
        IF(V78-Uzman_D!$G$5&lt;0, -(V78-Uzman_D!$G$5), V78-Uzman_D!$G$5)*0.1 +
        IF(W78-Uzman_D!$H$5&lt;0, -(W78-Uzman_D!$H$5), W78-Uzman_D!$H$5)*0.1 +
        IF(X78-Uzman_D!$I$5&lt;0, -(X78-Uzman_D!$I$5), X78-Uzman_D!$I$5)*0.1 +
        IF(Y78-Uzman_D!$J$5&lt;0, -(Y78-Uzman_D!$J$5), Y78-Uzman_D!$J$5)*0.1
    ) +
    IF(ROUND((IF(AA78-Uzman_D!$L$5&lt;0, -(AA78-Uzman_D!$L$5), AA78-Uzman_D!$L$5)*2),0)/2 = IF(AA78-Uzman_D!$L$5&lt;0, -(AA78-Uzman_D!$L$5), AA78-Uzman_D!$L$5),
    (ROUND((IF(AA78-Uzman_D!$L$5&lt;0, -(AA78-Uzman_D!$L$5), AA78-Uzman_D!$L$5)*2),0)/1 * 0.1), 0) +
    IF(AB78-Uzman_D!$M$5&lt;0, -(AB78-Uzman_D!$M$5), AB78-Uzman_D!$M$5)*1
)</f>
        <v>-0.50000000000000022</v>
      </c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75"/>
      <c r="AO78" s="75"/>
      <c r="AP78" s="73">
        <f>1 - (
    SUM(
        IF(AD78-Uzman_D!$B$6&lt;0, -(AD78-Uzman_D!$B$6), AD78-Uzman_D!$B$6)*0.1 +
        IF(AE78-Uzman_D!$C$6&lt;0, -(AE78-Uzman_D!$C$6), AE78-Uzman_D!$C$6)*0.1 +
        IF(AF78-Uzman_D!$D$6&lt;0, -(AF78-Uzman_D!$D$6), AF78-Uzman_D!$D$6)*0.1 +
        IF(AG78-Uzman_D!$E$6&lt;0, -(AG78-Uzman_D!$E$6), AG78-Uzman_D!$E$6)*0.1 +
        IF(AH78-Uzman_D!$F$6&lt;0, -(AH78-Uzman_D!$F$6), AH78-Uzman_D!$F$6)*0.1 +
        IF(AI78-Uzman_D!$G$6&lt;0, -(AI78-Uzman_D!$G$6), AI78-Uzman_D!$G$6)*0.1 +
        IF(AJ78-Uzman_D!$H$6&lt;0, -(AJ78-Uzman_D!$H$6), AJ78-Uzman_D!$H$6)*0.1 +
        IF(AK78-Uzman_D!$I$6&lt;0, -(AK78-Uzman_D!$I$6), AK78-Uzman_D!$I$6)*0.1 +
        IF(AL78-Uzman_D!$J$6&lt;0, -(AL78-Uzman_D!$J$6), AL78-Uzman_D!$J$6)*0.1
    ) +
    IF(ROUND((IF(AN78-Uzman_D!$L$6&lt;0, -(AN78-Uzman_D!$L$6), AN78-Uzman_D!$L$6)*2),0)/2 = IF(AN78-Uzman_D!$L$6&lt;0, -(AN78-Uzman_D!$L$6), AN78-Uzman_D!$L$6),
    (ROUND((IF(AN78-Uzman_D!$L$6&lt;0, -(AN78-Uzman_D!$L$6), AN78-Uzman_D!$L$6)*2),0)/1 * 0.1), 0) +
    IF(AO78-Uzman_D!$M$6&lt;0, -(AO78-Uzman_D!$M$6), AO78-Uzman_D!$M$6)*1
)</f>
        <v>-0.60000000000000009</v>
      </c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75"/>
      <c r="BB78" s="75"/>
      <c r="BC78" s="73">
        <f>1 - (
    SUM(
        IF(AQ78-Uzman_D!$B$7&lt;0, -(AQ78-Uzman_D!$B$7), AQ78-Uzman_D!$B$7)*0.1 +
        IF(AR78-Uzman_D!$C$7&lt;0, -(AR78-Uzman_D!$C$7), AR78-Uzman_D!$C$7)*0.1 +
        IF(AS78-Uzman_D!$D$7&lt;0, -(AS78-Uzman_D!$D$7), AS78-Uzman_D!$D$7)*0.1 +
        IF(AT78-Uzman_D!$E$7&lt;0, -(AT78-Uzman_D!$E$7), AT78-Uzman_D!$E$7)*0.1 +
        IF(AU78-Uzman_D!$F$7&lt;0, -(AU78-Uzman_D!$F$7), AU78-Uzman_D!$F$7)*0.1 +
        IF(AV78-Uzman_D!$G$7&lt;0, -(AV78-Uzman_D!$G$7), AV78-Uzman_D!$G$7)*0.1 +
        IF(AW78-Uzman_D!$H$7&lt;0, -(AW78-Uzman_D!$H$7), AW78-Uzman_D!$H$7)*0.1 +
        IF(AX78-Uzman_D!$I$7&lt;0, -(AX78-Uzman_D!$I$7), AX78-Uzman_D!$I$7)*0.1 +
        IF(AY78-Uzman_D!$J$7&lt;0, -(AY78-Uzman_D!$J$7), AY78-Uzman_D!$J$7)*0.1
    ) +
    IF(ROUND((IF(BA78-Uzman_D!$L$7&lt;0, -(BA78-Uzman_D!$L$7), BA78-Uzman_D!$L$7)*2),0)/2 = IF(BA78-Uzman_D!$L$7&lt;0, -(BA78-Uzman_D!$L$7), BA78-Uzman_D!$L$7),
    (ROUND((IF(BA78-Uzman_D!$L$7&lt;0, -(BA78-Uzman_D!$L$7), BA78-Uzman_D!$L$7)*2),0)/1 * 0.1), 0) +
    IF(BB78-Uzman_D!$M$7&lt;0, -(BB78-Uzman_D!$M$7), BB78-Uzman_D!$M$7)*1
)</f>
        <v>-0.50000000000000022</v>
      </c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75"/>
      <c r="BO78" s="75"/>
      <c r="BP78" s="73">
        <f>1 - (
    SUM(
        IF(BD78-Uzman_D!$B$8&lt;0, -(BD78-Uzman_D!$B$8), BD78-Uzman_D!$B$8)*0.1 +
        IF(BE78-Uzman_D!$C$8&lt;0, -(BE78-Uzman_D!$C$8), BE78-Uzman_D!$C$8)*0.1 +
        IF(BF78-Uzman_D!$D$8&lt;0, -(BF78-Uzman_D!$D$8), BF78-Uzman_D!$D$8)*0.1 +
        IF(BG78-Uzman_D!$E$8&lt;0, -(BG78-Uzman_D!$E$8), BG78-Uzman_D!$E$8)*0.1 +
        IF(BH78-Uzman_D!$F$8&lt;0, -(BH78-Uzman_D!$F$8), BH78-Uzman_D!$F$8)*0.1 +
        IF(BI78-Uzman_D!$G$8&lt;0, -(BI78-Uzman_D!$G$8), BI78-Uzman_D!$G$8)*0.1 +
        IF(BJ78-Uzman_D!$H$8&lt;0, -(BJ78-Uzman_D!$H$8), BJ78-Uzman_D!$H$8)*0.1 +
        IF(BK78-Uzman_D!$I$8&lt;0, -(BK78-Uzman_D!$I$8), BK78-Uzman_D!$I$8)*0.1 +
        IF(BL78-Uzman_D!$J$8&lt;0, -(BL78-Uzman_D!$J$8), BL78-Uzman_D!$J$8)*0.1
    ) +
    IF(ROUND((IF(BN78-Uzman_D!$L$8&lt;0, -(BN78-Uzman_D!$L$8), BN78-Uzman_D!$L$8)*2),0)/2 = IF(BN78-Uzman_D!$L$8&lt;0, -(BN78-Uzman_D!$L$8), BN78-Uzman_D!$L$8),
    (ROUND((IF(BN78-Uzman_D!$L$8&lt;0, -(BN78-Uzman_D!$L$8), BN78-Uzman_D!$L$8)*2),0)/1 * 0.1), 0) +
    IF(BO78-Uzman_D!$M$8&lt;0, -(BO78-Uzman_D!$M$8), BO78-Uzman_D!$M$8)*1
)</f>
        <v>-0.20000000000000018</v>
      </c>
      <c r="BQ78" s="74">
        <f t="shared" si="1"/>
        <v>-0.54000000000000026</v>
      </c>
    </row>
    <row r="79" spans="1:69" ht="15" customHeight="1" x14ac:dyDescent="0.2">
      <c r="A79" s="57">
        <v>76</v>
      </c>
      <c r="B79" s="37">
        <f>Hakemler!B79</f>
        <v>0</v>
      </c>
      <c r="C79" s="37">
        <f>Hakemler!C79</f>
        <v>0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75"/>
      <c r="O79" s="75"/>
      <c r="P79" s="73">
        <f>1 - (
    SUM(
        IF(D79-Uzman_D!$B$4&lt;0, -(D79-Uzman_D!$B$4), D79-Uzman_D!$B$4)*0.1 +
        IF(E79-Uzman_D!$C$4&lt;0, -(E79-Uzman_D!$C$4), E79-Uzman_D!$C$4)*0.1 +
        IF(F79-Uzman_D!$D$4&lt;0, -(F79-Uzman_D!$D$4), F79-Uzman_D!$D$4)*0.1 +
        IF(G79-Uzman_D!$E$4&lt;0, -(G79-Uzman_D!$E$4), G79-Uzman_D!$E$4)*0.1 +
        IF(H79-Uzman_D!$F$4&lt;0, -(H79-Uzman_D!$F$4), H79-Uzman_D!$F$4)*0.1 +
        IF(I79-Uzman_D!$G$4&lt;0, -(I79-Uzman_D!$G$4), I79-Uzman_D!$G$4)*0.1 +
        IF(J79-Uzman_D!$H$4&lt;0, -(J79-Uzman_D!$H$4), J79-Uzman_D!$H$4)*0.1 +
        IF(K79-Uzman_D!$I$4&lt;0, -(K79-Uzman_D!$I$4), K79-Uzman_D!$I$4)*0.1 +
        IF(L79-Uzman_D!$J$4&lt;0, -(L79-Uzman_D!$J$4), L79-Uzman_D!$J$4)*0.1
    ) +
    IF(ROUND((IF(N79-Uzman_D!$L$4&lt;0, -(N79-Uzman_D!$L$4), N79-Uzman_D!$L$4)*2),0)/2 = IF(N79-Uzman_D!$L$4&lt;0, -(N79-Uzman_D!$L$4), N79-Uzman_D!$L$4),
    (ROUND((IF(N79-Uzman_D!$L$4&lt;0, -(N79-Uzman_D!$L$4), N79-Uzman_D!$L$4)*2),0)/1 * 0.1), 0) +
    IF(O79-Uzman_D!$M$4&lt;0, -(O79-Uzman_D!$M$4), O79-Uzman_D!$M$4)*1
)</f>
        <v>-0.90000000000000013</v>
      </c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75"/>
      <c r="AB79" s="75"/>
      <c r="AC79" s="73">
        <f>1 - (
    SUM(
        IF(Q79-Uzman_D!$B$5&lt;0, -(Q79-Uzman_D!$B$5), Q79-Uzman_D!$B$5)*0.1 +
        IF(R79-Uzman_D!$C$5&lt;0, -(R79-Uzman_D!$C$5), R79-Uzman_D!$C$5)*0.1 +
        IF(S79-Uzman_D!$D$5&lt;0, -(S79-Uzman_D!$D$5), S79-Uzman_D!$D$5)*0.1 +
        IF(T79-Uzman_D!$E$5&lt;0, -(T79-Uzman_D!$E$5), T79-Uzman_D!$E$5)*0.1 +
        IF(U79-Uzman_D!$F$5&lt;0, -(U79-Uzman_D!$F$5), U79-Uzman_D!$F$5)*0.1 +
        IF(V79-Uzman_D!$G$5&lt;0, -(V79-Uzman_D!$G$5), V79-Uzman_D!$G$5)*0.1 +
        IF(W79-Uzman_D!$H$5&lt;0, -(W79-Uzman_D!$H$5), W79-Uzman_D!$H$5)*0.1 +
        IF(X79-Uzman_D!$I$5&lt;0, -(X79-Uzman_D!$I$5), X79-Uzman_D!$I$5)*0.1 +
        IF(Y79-Uzman_D!$J$5&lt;0, -(Y79-Uzman_D!$J$5), Y79-Uzman_D!$J$5)*0.1
    ) +
    IF(ROUND((IF(AA79-Uzman_D!$L$5&lt;0, -(AA79-Uzman_D!$L$5), AA79-Uzman_D!$L$5)*2),0)/2 = IF(AA79-Uzman_D!$L$5&lt;0, -(AA79-Uzman_D!$L$5), AA79-Uzman_D!$L$5),
    (ROUND((IF(AA79-Uzman_D!$L$5&lt;0, -(AA79-Uzman_D!$L$5), AA79-Uzman_D!$L$5)*2),0)/1 * 0.1), 0) +
    IF(AB79-Uzman_D!$M$5&lt;0, -(AB79-Uzman_D!$M$5), AB79-Uzman_D!$M$5)*1
)</f>
        <v>-0.50000000000000022</v>
      </c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75"/>
      <c r="AO79" s="75"/>
      <c r="AP79" s="73">
        <f>1 - (
    SUM(
        IF(AD79-Uzman_D!$B$6&lt;0, -(AD79-Uzman_D!$B$6), AD79-Uzman_D!$B$6)*0.1 +
        IF(AE79-Uzman_D!$C$6&lt;0, -(AE79-Uzman_D!$C$6), AE79-Uzman_D!$C$6)*0.1 +
        IF(AF79-Uzman_D!$D$6&lt;0, -(AF79-Uzman_D!$D$6), AF79-Uzman_D!$D$6)*0.1 +
        IF(AG79-Uzman_D!$E$6&lt;0, -(AG79-Uzman_D!$E$6), AG79-Uzman_D!$E$6)*0.1 +
        IF(AH79-Uzman_D!$F$6&lt;0, -(AH79-Uzman_D!$F$6), AH79-Uzman_D!$F$6)*0.1 +
        IF(AI79-Uzman_D!$G$6&lt;0, -(AI79-Uzman_D!$G$6), AI79-Uzman_D!$G$6)*0.1 +
        IF(AJ79-Uzman_D!$H$6&lt;0, -(AJ79-Uzman_D!$H$6), AJ79-Uzman_D!$H$6)*0.1 +
        IF(AK79-Uzman_D!$I$6&lt;0, -(AK79-Uzman_D!$I$6), AK79-Uzman_D!$I$6)*0.1 +
        IF(AL79-Uzman_D!$J$6&lt;0, -(AL79-Uzman_D!$J$6), AL79-Uzman_D!$J$6)*0.1
    ) +
    IF(ROUND((IF(AN79-Uzman_D!$L$6&lt;0, -(AN79-Uzman_D!$L$6), AN79-Uzman_D!$L$6)*2),0)/2 = IF(AN79-Uzman_D!$L$6&lt;0, -(AN79-Uzman_D!$L$6), AN79-Uzman_D!$L$6),
    (ROUND((IF(AN79-Uzman_D!$L$6&lt;0, -(AN79-Uzman_D!$L$6), AN79-Uzman_D!$L$6)*2),0)/1 * 0.1), 0) +
    IF(AO79-Uzman_D!$M$6&lt;0, -(AO79-Uzman_D!$M$6), AO79-Uzman_D!$M$6)*1
)</f>
        <v>-0.60000000000000009</v>
      </c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75"/>
      <c r="BB79" s="75"/>
      <c r="BC79" s="73">
        <f>1 - (
    SUM(
        IF(AQ79-Uzman_D!$B$7&lt;0, -(AQ79-Uzman_D!$B$7), AQ79-Uzman_D!$B$7)*0.1 +
        IF(AR79-Uzman_D!$C$7&lt;0, -(AR79-Uzman_D!$C$7), AR79-Uzman_D!$C$7)*0.1 +
        IF(AS79-Uzman_D!$D$7&lt;0, -(AS79-Uzman_D!$D$7), AS79-Uzman_D!$D$7)*0.1 +
        IF(AT79-Uzman_D!$E$7&lt;0, -(AT79-Uzman_D!$E$7), AT79-Uzman_D!$E$7)*0.1 +
        IF(AU79-Uzman_D!$F$7&lt;0, -(AU79-Uzman_D!$F$7), AU79-Uzman_D!$F$7)*0.1 +
        IF(AV79-Uzman_D!$G$7&lt;0, -(AV79-Uzman_D!$G$7), AV79-Uzman_D!$G$7)*0.1 +
        IF(AW79-Uzman_D!$H$7&lt;0, -(AW79-Uzman_D!$H$7), AW79-Uzman_D!$H$7)*0.1 +
        IF(AX79-Uzman_D!$I$7&lt;0, -(AX79-Uzman_D!$I$7), AX79-Uzman_D!$I$7)*0.1 +
        IF(AY79-Uzman_D!$J$7&lt;0, -(AY79-Uzman_D!$J$7), AY79-Uzman_D!$J$7)*0.1
    ) +
    IF(ROUND((IF(BA79-Uzman_D!$L$7&lt;0, -(BA79-Uzman_D!$L$7), BA79-Uzman_D!$L$7)*2),0)/2 = IF(BA79-Uzman_D!$L$7&lt;0, -(BA79-Uzman_D!$L$7), BA79-Uzman_D!$L$7),
    (ROUND((IF(BA79-Uzman_D!$L$7&lt;0, -(BA79-Uzman_D!$L$7), BA79-Uzman_D!$L$7)*2),0)/1 * 0.1), 0) +
    IF(BB79-Uzman_D!$M$7&lt;0, -(BB79-Uzman_D!$M$7), BB79-Uzman_D!$M$7)*1
)</f>
        <v>-0.50000000000000022</v>
      </c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75"/>
      <c r="BO79" s="75"/>
      <c r="BP79" s="73">
        <f>1 - (
    SUM(
        IF(BD79-Uzman_D!$B$8&lt;0, -(BD79-Uzman_D!$B$8), BD79-Uzman_D!$B$8)*0.1 +
        IF(BE79-Uzman_D!$C$8&lt;0, -(BE79-Uzman_D!$C$8), BE79-Uzman_D!$C$8)*0.1 +
        IF(BF79-Uzman_D!$D$8&lt;0, -(BF79-Uzman_D!$D$8), BF79-Uzman_D!$D$8)*0.1 +
        IF(BG79-Uzman_D!$E$8&lt;0, -(BG79-Uzman_D!$E$8), BG79-Uzman_D!$E$8)*0.1 +
        IF(BH79-Uzman_D!$F$8&lt;0, -(BH79-Uzman_D!$F$8), BH79-Uzman_D!$F$8)*0.1 +
        IF(BI79-Uzman_D!$G$8&lt;0, -(BI79-Uzman_D!$G$8), BI79-Uzman_D!$G$8)*0.1 +
        IF(BJ79-Uzman_D!$H$8&lt;0, -(BJ79-Uzman_D!$H$8), BJ79-Uzman_D!$H$8)*0.1 +
        IF(BK79-Uzman_D!$I$8&lt;0, -(BK79-Uzman_D!$I$8), BK79-Uzman_D!$I$8)*0.1 +
        IF(BL79-Uzman_D!$J$8&lt;0, -(BL79-Uzman_D!$J$8), BL79-Uzman_D!$J$8)*0.1
    ) +
    IF(ROUND((IF(BN79-Uzman_D!$L$8&lt;0, -(BN79-Uzman_D!$L$8), BN79-Uzman_D!$L$8)*2),0)/2 = IF(BN79-Uzman_D!$L$8&lt;0, -(BN79-Uzman_D!$L$8), BN79-Uzman_D!$L$8),
    (ROUND((IF(BN79-Uzman_D!$L$8&lt;0, -(BN79-Uzman_D!$L$8), BN79-Uzman_D!$L$8)*2),0)/1 * 0.1), 0) +
    IF(BO79-Uzman_D!$M$8&lt;0, -(BO79-Uzman_D!$M$8), BO79-Uzman_D!$M$8)*1
)</f>
        <v>-0.20000000000000018</v>
      </c>
      <c r="BQ79" s="74">
        <f t="shared" si="1"/>
        <v>-0.54000000000000026</v>
      </c>
    </row>
    <row r="80" spans="1:69" ht="15" customHeight="1" x14ac:dyDescent="0.2">
      <c r="A80" s="57">
        <v>77</v>
      </c>
      <c r="B80" s="37">
        <f>Hakemler!B80</f>
        <v>0</v>
      </c>
      <c r="C80" s="37">
        <f>Hakemler!C80</f>
        <v>0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75"/>
      <c r="O80" s="75"/>
      <c r="P80" s="73">
        <f>1 - (
    SUM(
        IF(D80-Uzman_D!$B$4&lt;0, -(D80-Uzman_D!$B$4), D80-Uzman_D!$B$4)*0.1 +
        IF(E80-Uzman_D!$C$4&lt;0, -(E80-Uzman_D!$C$4), E80-Uzman_D!$C$4)*0.1 +
        IF(F80-Uzman_D!$D$4&lt;0, -(F80-Uzman_D!$D$4), F80-Uzman_D!$D$4)*0.1 +
        IF(G80-Uzman_D!$E$4&lt;0, -(G80-Uzman_D!$E$4), G80-Uzman_D!$E$4)*0.1 +
        IF(H80-Uzman_D!$F$4&lt;0, -(H80-Uzman_D!$F$4), H80-Uzman_D!$F$4)*0.1 +
        IF(I80-Uzman_D!$G$4&lt;0, -(I80-Uzman_D!$G$4), I80-Uzman_D!$G$4)*0.1 +
        IF(J80-Uzman_D!$H$4&lt;0, -(J80-Uzman_D!$H$4), J80-Uzman_D!$H$4)*0.1 +
        IF(K80-Uzman_D!$I$4&lt;0, -(K80-Uzman_D!$I$4), K80-Uzman_D!$I$4)*0.1 +
        IF(L80-Uzman_D!$J$4&lt;0, -(L80-Uzman_D!$J$4), L80-Uzman_D!$J$4)*0.1
    ) +
    IF(ROUND((IF(N80-Uzman_D!$L$4&lt;0, -(N80-Uzman_D!$L$4), N80-Uzman_D!$L$4)*2),0)/2 = IF(N80-Uzman_D!$L$4&lt;0, -(N80-Uzman_D!$L$4), N80-Uzman_D!$L$4),
    (ROUND((IF(N80-Uzman_D!$L$4&lt;0, -(N80-Uzman_D!$L$4), N80-Uzman_D!$L$4)*2),0)/1 * 0.1), 0) +
    IF(O80-Uzman_D!$M$4&lt;0, -(O80-Uzman_D!$M$4), O80-Uzman_D!$M$4)*1
)</f>
        <v>-0.90000000000000013</v>
      </c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75"/>
      <c r="AB80" s="75"/>
      <c r="AC80" s="73">
        <f>1 - (
    SUM(
        IF(Q80-Uzman_D!$B$5&lt;0, -(Q80-Uzman_D!$B$5), Q80-Uzman_D!$B$5)*0.1 +
        IF(R80-Uzman_D!$C$5&lt;0, -(R80-Uzman_D!$C$5), R80-Uzman_D!$C$5)*0.1 +
        IF(S80-Uzman_D!$D$5&lt;0, -(S80-Uzman_D!$D$5), S80-Uzman_D!$D$5)*0.1 +
        IF(T80-Uzman_D!$E$5&lt;0, -(T80-Uzman_D!$E$5), T80-Uzman_D!$E$5)*0.1 +
        IF(U80-Uzman_D!$F$5&lt;0, -(U80-Uzman_D!$F$5), U80-Uzman_D!$F$5)*0.1 +
        IF(V80-Uzman_D!$G$5&lt;0, -(V80-Uzman_D!$G$5), V80-Uzman_D!$G$5)*0.1 +
        IF(W80-Uzman_D!$H$5&lt;0, -(W80-Uzman_D!$H$5), W80-Uzman_D!$H$5)*0.1 +
        IF(X80-Uzman_D!$I$5&lt;0, -(X80-Uzman_D!$I$5), X80-Uzman_D!$I$5)*0.1 +
        IF(Y80-Uzman_D!$J$5&lt;0, -(Y80-Uzman_D!$J$5), Y80-Uzman_D!$J$5)*0.1
    ) +
    IF(ROUND((IF(AA80-Uzman_D!$L$5&lt;0, -(AA80-Uzman_D!$L$5), AA80-Uzman_D!$L$5)*2),0)/2 = IF(AA80-Uzman_D!$L$5&lt;0, -(AA80-Uzman_D!$L$5), AA80-Uzman_D!$L$5),
    (ROUND((IF(AA80-Uzman_D!$L$5&lt;0, -(AA80-Uzman_D!$L$5), AA80-Uzman_D!$L$5)*2),0)/1 * 0.1), 0) +
    IF(AB80-Uzman_D!$M$5&lt;0, -(AB80-Uzman_D!$M$5), AB80-Uzman_D!$M$5)*1
)</f>
        <v>-0.50000000000000022</v>
      </c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75"/>
      <c r="AO80" s="75"/>
      <c r="AP80" s="73">
        <f>1 - (
    SUM(
        IF(AD80-Uzman_D!$B$6&lt;0, -(AD80-Uzman_D!$B$6), AD80-Uzman_D!$B$6)*0.1 +
        IF(AE80-Uzman_D!$C$6&lt;0, -(AE80-Uzman_D!$C$6), AE80-Uzman_D!$C$6)*0.1 +
        IF(AF80-Uzman_D!$D$6&lt;0, -(AF80-Uzman_D!$D$6), AF80-Uzman_D!$D$6)*0.1 +
        IF(AG80-Uzman_D!$E$6&lt;0, -(AG80-Uzman_D!$E$6), AG80-Uzman_D!$E$6)*0.1 +
        IF(AH80-Uzman_D!$F$6&lt;0, -(AH80-Uzman_D!$F$6), AH80-Uzman_D!$F$6)*0.1 +
        IF(AI80-Uzman_D!$G$6&lt;0, -(AI80-Uzman_D!$G$6), AI80-Uzman_D!$G$6)*0.1 +
        IF(AJ80-Uzman_D!$H$6&lt;0, -(AJ80-Uzman_D!$H$6), AJ80-Uzman_D!$H$6)*0.1 +
        IF(AK80-Uzman_D!$I$6&lt;0, -(AK80-Uzman_D!$I$6), AK80-Uzman_D!$I$6)*0.1 +
        IF(AL80-Uzman_D!$J$6&lt;0, -(AL80-Uzman_D!$J$6), AL80-Uzman_D!$J$6)*0.1
    ) +
    IF(ROUND((IF(AN80-Uzman_D!$L$6&lt;0, -(AN80-Uzman_D!$L$6), AN80-Uzman_D!$L$6)*2),0)/2 = IF(AN80-Uzman_D!$L$6&lt;0, -(AN80-Uzman_D!$L$6), AN80-Uzman_D!$L$6),
    (ROUND((IF(AN80-Uzman_D!$L$6&lt;0, -(AN80-Uzman_D!$L$6), AN80-Uzman_D!$L$6)*2),0)/1 * 0.1), 0) +
    IF(AO80-Uzman_D!$M$6&lt;0, -(AO80-Uzman_D!$M$6), AO80-Uzman_D!$M$6)*1
)</f>
        <v>-0.60000000000000009</v>
      </c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75"/>
      <c r="BB80" s="75"/>
      <c r="BC80" s="73">
        <f>1 - (
    SUM(
        IF(AQ80-Uzman_D!$B$7&lt;0, -(AQ80-Uzman_D!$B$7), AQ80-Uzman_D!$B$7)*0.1 +
        IF(AR80-Uzman_D!$C$7&lt;0, -(AR80-Uzman_D!$C$7), AR80-Uzman_D!$C$7)*0.1 +
        IF(AS80-Uzman_D!$D$7&lt;0, -(AS80-Uzman_D!$D$7), AS80-Uzman_D!$D$7)*0.1 +
        IF(AT80-Uzman_D!$E$7&lt;0, -(AT80-Uzman_D!$E$7), AT80-Uzman_D!$E$7)*0.1 +
        IF(AU80-Uzman_D!$F$7&lt;0, -(AU80-Uzman_D!$F$7), AU80-Uzman_D!$F$7)*0.1 +
        IF(AV80-Uzman_D!$G$7&lt;0, -(AV80-Uzman_D!$G$7), AV80-Uzman_D!$G$7)*0.1 +
        IF(AW80-Uzman_D!$H$7&lt;0, -(AW80-Uzman_D!$H$7), AW80-Uzman_D!$H$7)*0.1 +
        IF(AX80-Uzman_D!$I$7&lt;0, -(AX80-Uzman_D!$I$7), AX80-Uzman_D!$I$7)*0.1 +
        IF(AY80-Uzman_D!$J$7&lt;0, -(AY80-Uzman_D!$J$7), AY80-Uzman_D!$J$7)*0.1
    ) +
    IF(ROUND((IF(BA80-Uzman_D!$L$7&lt;0, -(BA80-Uzman_D!$L$7), BA80-Uzman_D!$L$7)*2),0)/2 = IF(BA80-Uzman_D!$L$7&lt;0, -(BA80-Uzman_D!$L$7), BA80-Uzman_D!$L$7),
    (ROUND((IF(BA80-Uzman_D!$L$7&lt;0, -(BA80-Uzman_D!$L$7), BA80-Uzman_D!$L$7)*2),0)/1 * 0.1), 0) +
    IF(BB80-Uzman_D!$M$7&lt;0, -(BB80-Uzman_D!$M$7), BB80-Uzman_D!$M$7)*1
)</f>
        <v>-0.50000000000000022</v>
      </c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75"/>
      <c r="BO80" s="75"/>
      <c r="BP80" s="73">
        <f>1 - (
    SUM(
        IF(BD80-Uzman_D!$B$8&lt;0, -(BD80-Uzman_D!$B$8), BD80-Uzman_D!$B$8)*0.1 +
        IF(BE80-Uzman_D!$C$8&lt;0, -(BE80-Uzman_D!$C$8), BE80-Uzman_D!$C$8)*0.1 +
        IF(BF80-Uzman_D!$D$8&lt;0, -(BF80-Uzman_D!$D$8), BF80-Uzman_D!$D$8)*0.1 +
        IF(BG80-Uzman_D!$E$8&lt;0, -(BG80-Uzman_D!$E$8), BG80-Uzman_D!$E$8)*0.1 +
        IF(BH80-Uzman_D!$F$8&lt;0, -(BH80-Uzman_D!$F$8), BH80-Uzman_D!$F$8)*0.1 +
        IF(BI80-Uzman_D!$G$8&lt;0, -(BI80-Uzman_D!$G$8), BI80-Uzman_D!$G$8)*0.1 +
        IF(BJ80-Uzman_D!$H$8&lt;0, -(BJ80-Uzman_D!$H$8), BJ80-Uzman_D!$H$8)*0.1 +
        IF(BK80-Uzman_D!$I$8&lt;0, -(BK80-Uzman_D!$I$8), BK80-Uzman_D!$I$8)*0.1 +
        IF(BL80-Uzman_D!$J$8&lt;0, -(BL80-Uzman_D!$J$8), BL80-Uzman_D!$J$8)*0.1
    ) +
    IF(ROUND((IF(BN80-Uzman_D!$L$8&lt;0, -(BN80-Uzman_D!$L$8), BN80-Uzman_D!$L$8)*2),0)/2 = IF(BN80-Uzman_D!$L$8&lt;0, -(BN80-Uzman_D!$L$8), BN80-Uzman_D!$L$8),
    (ROUND((IF(BN80-Uzman_D!$L$8&lt;0, -(BN80-Uzman_D!$L$8), BN80-Uzman_D!$L$8)*2),0)/1 * 0.1), 0) +
    IF(BO80-Uzman_D!$M$8&lt;0, -(BO80-Uzman_D!$M$8), BO80-Uzman_D!$M$8)*1
)</f>
        <v>-0.20000000000000018</v>
      </c>
      <c r="BQ80" s="74">
        <f t="shared" si="1"/>
        <v>-0.54000000000000026</v>
      </c>
    </row>
    <row r="81" spans="1:69" ht="15" customHeight="1" x14ac:dyDescent="0.2">
      <c r="A81" s="57">
        <v>78</v>
      </c>
      <c r="B81" s="37">
        <f>Hakemler!B81</f>
        <v>0</v>
      </c>
      <c r="C81" s="37">
        <f>Hakemler!C81</f>
        <v>0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75"/>
      <c r="O81" s="75"/>
      <c r="P81" s="73">
        <f>1 - (
    SUM(
        IF(D81-Uzman_D!$B$4&lt;0, -(D81-Uzman_D!$B$4), D81-Uzman_D!$B$4)*0.1 +
        IF(E81-Uzman_D!$C$4&lt;0, -(E81-Uzman_D!$C$4), E81-Uzman_D!$C$4)*0.1 +
        IF(F81-Uzman_D!$D$4&lt;0, -(F81-Uzman_D!$D$4), F81-Uzman_D!$D$4)*0.1 +
        IF(G81-Uzman_D!$E$4&lt;0, -(G81-Uzman_D!$E$4), G81-Uzman_D!$E$4)*0.1 +
        IF(H81-Uzman_D!$F$4&lt;0, -(H81-Uzman_D!$F$4), H81-Uzman_D!$F$4)*0.1 +
        IF(I81-Uzman_D!$G$4&lt;0, -(I81-Uzman_D!$G$4), I81-Uzman_D!$G$4)*0.1 +
        IF(J81-Uzman_D!$H$4&lt;0, -(J81-Uzman_D!$H$4), J81-Uzman_D!$H$4)*0.1 +
        IF(K81-Uzman_D!$I$4&lt;0, -(K81-Uzman_D!$I$4), K81-Uzman_D!$I$4)*0.1 +
        IF(L81-Uzman_D!$J$4&lt;0, -(L81-Uzman_D!$J$4), L81-Uzman_D!$J$4)*0.1
    ) +
    IF(ROUND((IF(N81-Uzman_D!$L$4&lt;0, -(N81-Uzman_D!$L$4), N81-Uzman_D!$L$4)*2),0)/2 = IF(N81-Uzman_D!$L$4&lt;0, -(N81-Uzman_D!$L$4), N81-Uzman_D!$L$4),
    (ROUND((IF(N81-Uzman_D!$L$4&lt;0, -(N81-Uzman_D!$L$4), N81-Uzman_D!$L$4)*2),0)/1 * 0.1), 0) +
    IF(O81-Uzman_D!$M$4&lt;0, -(O81-Uzman_D!$M$4), O81-Uzman_D!$M$4)*1
)</f>
        <v>-0.90000000000000013</v>
      </c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75"/>
      <c r="AB81" s="75"/>
      <c r="AC81" s="73">
        <f>1 - (
    SUM(
        IF(Q81-Uzman_D!$B$5&lt;0, -(Q81-Uzman_D!$B$5), Q81-Uzman_D!$B$5)*0.1 +
        IF(R81-Uzman_D!$C$5&lt;0, -(R81-Uzman_D!$C$5), R81-Uzman_D!$C$5)*0.1 +
        IF(S81-Uzman_D!$D$5&lt;0, -(S81-Uzman_D!$D$5), S81-Uzman_D!$D$5)*0.1 +
        IF(T81-Uzman_D!$E$5&lt;0, -(T81-Uzman_D!$E$5), T81-Uzman_D!$E$5)*0.1 +
        IF(U81-Uzman_D!$F$5&lt;0, -(U81-Uzman_D!$F$5), U81-Uzman_D!$F$5)*0.1 +
        IF(V81-Uzman_D!$G$5&lt;0, -(V81-Uzman_D!$G$5), V81-Uzman_D!$G$5)*0.1 +
        IF(W81-Uzman_D!$H$5&lt;0, -(W81-Uzman_D!$H$5), W81-Uzman_D!$H$5)*0.1 +
        IF(X81-Uzman_D!$I$5&lt;0, -(X81-Uzman_D!$I$5), X81-Uzman_D!$I$5)*0.1 +
        IF(Y81-Uzman_D!$J$5&lt;0, -(Y81-Uzman_D!$J$5), Y81-Uzman_D!$J$5)*0.1
    ) +
    IF(ROUND((IF(AA81-Uzman_D!$L$5&lt;0, -(AA81-Uzman_D!$L$5), AA81-Uzman_D!$L$5)*2),0)/2 = IF(AA81-Uzman_D!$L$5&lt;0, -(AA81-Uzman_D!$L$5), AA81-Uzman_D!$L$5),
    (ROUND((IF(AA81-Uzman_D!$L$5&lt;0, -(AA81-Uzman_D!$L$5), AA81-Uzman_D!$L$5)*2),0)/1 * 0.1), 0) +
    IF(AB81-Uzman_D!$M$5&lt;0, -(AB81-Uzman_D!$M$5), AB81-Uzman_D!$M$5)*1
)</f>
        <v>-0.50000000000000022</v>
      </c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75"/>
      <c r="AO81" s="75"/>
      <c r="AP81" s="73">
        <f>1 - (
    SUM(
        IF(AD81-Uzman_D!$B$6&lt;0, -(AD81-Uzman_D!$B$6), AD81-Uzman_D!$B$6)*0.1 +
        IF(AE81-Uzman_D!$C$6&lt;0, -(AE81-Uzman_D!$C$6), AE81-Uzman_D!$C$6)*0.1 +
        IF(AF81-Uzman_D!$D$6&lt;0, -(AF81-Uzman_D!$D$6), AF81-Uzman_D!$D$6)*0.1 +
        IF(AG81-Uzman_D!$E$6&lt;0, -(AG81-Uzman_D!$E$6), AG81-Uzman_D!$E$6)*0.1 +
        IF(AH81-Uzman_D!$F$6&lt;0, -(AH81-Uzman_D!$F$6), AH81-Uzman_D!$F$6)*0.1 +
        IF(AI81-Uzman_D!$G$6&lt;0, -(AI81-Uzman_D!$G$6), AI81-Uzman_D!$G$6)*0.1 +
        IF(AJ81-Uzman_D!$H$6&lt;0, -(AJ81-Uzman_D!$H$6), AJ81-Uzman_D!$H$6)*0.1 +
        IF(AK81-Uzman_D!$I$6&lt;0, -(AK81-Uzman_D!$I$6), AK81-Uzman_D!$I$6)*0.1 +
        IF(AL81-Uzman_D!$J$6&lt;0, -(AL81-Uzman_D!$J$6), AL81-Uzman_D!$J$6)*0.1
    ) +
    IF(ROUND((IF(AN81-Uzman_D!$L$6&lt;0, -(AN81-Uzman_D!$L$6), AN81-Uzman_D!$L$6)*2),0)/2 = IF(AN81-Uzman_D!$L$6&lt;0, -(AN81-Uzman_D!$L$6), AN81-Uzman_D!$L$6),
    (ROUND((IF(AN81-Uzman_D!$L$6&lt;0, -(AN81-Uzman_D!$L$6), AN81-Uzman_D!$L$6)*2),0)/1 * 0.1), 0) +
    IF(AO81-Uzman_D!$M$6&lt;0, -(AO81-Uzman_D!$M$6), AO81-Uzman_D!$M$6)*1
)</f>
        <v>-0.60000000000000009</v>
      </c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75"/>
      <c r="BB81" s="75"/>
      <c r="BC81" s="73">
        <f>1 - (
    SUM(
        IF(AQ81-Uzman_D!$B$7&lt;0, -(AQ81-Uzman_D!$B$7), AQ81-Uzman_D!$B$7)*0.1 +
        IF(AR81-Uzman_D!$C$7&lt;0, -(AR81-Uzman_D!$C$7), AR81-Uzman_D!$C$7)*0.1 +
        IF(AS81-Uzman_D!$D$7&lt;0, -(AS81-Uzman_D!$D$7), AS81-Uzman_D!$D$7)*0.1 +
        IF(AT81-Uzman_D!$E$7&lt;0, -(AT81-Uzman_D!$E$7), AT81-Uzman_D!$E$7)*0.1 +
        IF(AU81-Uzman_D!$F$7&lt;0, -(AU81-Uzman_D!$F$7), AU81-Uzman_D!$F$7)*0.1 +
        IF(AV81-Uzman_D!$G$7&lt;0, -(AV81-Uzman_D!$G$7), AV81-Uzman_D!$G$7)*0.1 +
        IF(AW81-Uzman_D!$H$7&lt;0, -(AW81-Uzman_D!$H$7), AW81-Uzman_D!$H$7)*0.1 +
        IF(AX81-Uzman_D!$I$7&lt;0, -(AX81-Uzman_D!$I$7), AX81-Uzman_D!$I$7)*0.1 +
        IF(AY81-Uzman_D!$J$7&lt;0, -(AY81-Uzman_D!$J$7), AY81-Uzman_D!$J$7)*0.1
    ) +
    IF(ROUND((IF(BA81-Uzman_D!$L$7&lt;0, -(BA81-Uzman_D!$L$7), BA81-Uzman_D!$L$7)*2),0)/2 = IF(BA81-Uzman_D!$L$7&lt;0, -(BA81-Uzman_D!$L$7), BA81-Uzman_D!$L$7),
    (ROUND((IF(BA81-Uzman_D!$L$7&lt;0, -(BA81-Uzman_D!$L$7), BA81-Uzman_D!$L$7)*2),0)/1 * 0.1), 0) +
    IF(BB81-Uzman_D!$M$7&lt;0, -(BB81-Uzman_D!$M$7), BB81-Uzman_D!$M$7)*1
)</f>
        <v>-0.50000000000000022</v>
      </c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75"/>
      <c r="BO81" s="75"/>
      <c r="BP81" s="73">
        <f>1 - (
    SUM(
        IF(BD81-Uzman_D!$B$8&lt;0, -(BD81-Uzman_D!$B$8), BD81-Uzman_D!$B$8)*0.1 +
        IF(BE81-Uzman_D!$C$8&lt;0, -(BE81-Uzman_D!$C$8), BE81-Uzman_D!$C$8)*0.1 +
        IF(BF81-Uzman_D!$D$8&lt;0, -(BF81-Uzman_D!$D$8), BF81-Uzman_D!$D$8)*0.1 +
        IF(BG81-Uzman_D!$E$8&lt;0, -(BG81-Uzman_D!$E$8), BG81-Uzman_D!$E$8)*0.1 +
        IF(BH81-Uzman_D!$F$8&lt;0, -(BH81-Uzman_D!$F$8), BH81-Uzman_D!$F$8)*0.1 +
        IF(BI81-Uzman_D!$G$8&lt;0, -(BI81-Uzman_D!$G$8), BI81-Uzman_D!$G$8)*0.1 +
        IF(BJ81-Uzman_D!$H$8&lt;0, -(BJ81-Uzman_D!$H$8), BJ81-Uzman_D!$H$8)*0.1 +
        IF(BK81-Uzman_D!$I$8&lt;0, -(BK81-Uzman_D!$I$8), BK81-Uzman_D!$I$8)*0.1 +
        IF(BL81-Uzman_D!$J$8&lt;0, -(BL81-Uzman_D!$J$8), BL81-Uzman_D!$J$8)*0.1
    ) +
    IF(ROUND((IF(BN81-Uzman_D!$L$8&lt;0, -(BN81-Uzman_D!$L$8), BN81-Uzman_D!$L$8)*2),0)/2 = IF(BN81-Uzman_D!$L$8&lt;0, -(BN81-Uzman_D!$L$8), BN81-Uzman_D!$L$8),
    (ROUND((IF(BN81-Uzman_D!$L$8&lt;0, -(BN81-Uzman_D!$L$8), BN81-Uzman_D!$L$8)*2),0)/1 * 0.1), 0) +
    IF(BO81-Uzman_D!$M$8&lt;0, -(BO81-Uzman_D!$M$8), BO81-Uzman_D!$M$8)*1
)</f>
        <v>-0.20000000000000018</v>
      </c>
      <c r="BQ81" s="74">
        <f t="shared" si="1"/>
        <v>-0.54000000000000026</v>
      </c>
    </row>
    <row r="82" spans="1:69" ht="15" customHeight="1" x14ac:dyDescent="0.2">
      <c r="A82" s="57">
        <v>79</v>
      </c>
      <c r="B82" s="37">
        <f>Hakemler!B82</f>
        <v>0</v>
      </c>
      <c r="C82" s="37">
        <f>Hakemler!C82</f>
        <v>0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75"/>
      <c r="O82" s="75"/>
      <c r="P82" s="73">
        <f>1 - (
    SUM(
        IF(D82-Uzman_D!$B$4&lt;0, -(D82-Uzman_D!$B$4), D82-Uzman_D!$B$4)*0.1 +
        IF(E82-Uzman_D!$C$4&lt;0, -(E82-Uzman_D!$C$4), E82-Uzman_D!$C$4)*0.1 +
        IF(F82-Uzman_D!$D$4&lt;0, -(F82-Uzman_D!$D$4), F82-Uzman_D!$D$4)*0.1 +
        IF(G82-Uzman_D!$E$4&lt;0, -(G82-Uzman_D!$E$4), G82-Uzman_D!$E$4)*0.1 +
        IF(H82-Uzman_D!$F$4&lt;0, -(H82-Uzman_D!$F$4), H82-Uzman_D!$F$4)*0.1 +
        IF(I82-Uzman_D!$G$4&lt;0, -(I82-Uzman_D!$G$4), I82-Uzman_D!$G$4)*0.1 +
        IF(J82-Uzman_D!$H$4&lt;0, -(J82-Uzman_D!$H$4), J82-Uzman_D!$H$4)*0.1 +
        IF(K82-Uzman_D!$I$4&lt;0, -(K82-Uzman_D!$I$4), K82-Uzman_D!$I$4)*0.1 +
        IF(L82-Uzman_D!$J$4&lt;0, -(L82-Uzman_D!$J$4), L82-Uzman_D!$J$4)*0.1
    ) +
    IF(ROUND((IF(N82-Uzman_D!$L$4&lt;0, -(N82-Uzman_D!$L$4), N82-Uzman_D!$L$4)*2),0)/2 = IF(N82-Uzman_D!$L$4&lt;0, -(N82-Uzman_D!$L$4), N82-Uzman_D!$L$4),
    (ROUND((IF(N82-Uzman_D!$L$4&lt;0, -(N82-Uzman_D!$L$4), N82-Uzman_D!$L$4)*2),0)/1 * 0.1), 0) +
    IF(O82-Uzman_D!$M$4&lt;0, -(O82-Uzman_D!$M$4), O82-Uzman_D!$M$4)*1
)</f>
        <v>-0.90000000000000013</v>
      </c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75"/>
      <c r="AB82" s="75"/>
      <c r="AC82" s="73">
        <f>1 - (
    SUM(
        IF(Q82-Uzman_D!$B$5&lt;0, -(Q82-Uzman_D!$B$5), Q82-Uzman_D!$B$5)*0.1 +
        IF(R82-Uzman_D!$C$5&lt;0, -(R82-Uzman_D!$C$5), R82-Uzman_D!$C$5)*0.1 +
        IF(S82-Uzman_D!$D$5&lt;0, -(S82-Uzman_D!$D$5), S82-Uzman_D!$D$5)*0.1 +
        IF(T82-Uzman_D!$E$5&lt;0, -(T82-Uzman_D!$E$5), T82-Uzman_D!$E$5)*0.1 +
        IF(U82-Uzman_D!$F$5&lt;0, -(U82-Uzman_D!$F$5), U82-Uzman_D!$F$5)*0.1 +
        IF(V82-Uzman_D!$G$5&lt;0, -(V82-Uzman_D!$G$5), V82-Uzman_D!$G$5)*0.1 +
        IF(W82-Uzman_D!$H$5&lt;0, -(W82-Uzman_D!$H$5), W82-Uzman_D!$H$5)*0.1 +
        IF(X82-Uzman_D!$I$5&lt;0, -(X82-Uzman_D!$I$5), X82-Uzman_D!$I$5)*0.1 +
        IF(Y82-Uzman_D!$J$5&lt;0, -(Y82-Uzman_D!$J$5), Y82-Uzman_D!$J$5)*0.1
    ) +
    IF(ROUND((IF(AA82-Uzman_D!$L$5&lt;0, -(AA82-Uzman_D!$L$5), AA82-Uzman_D!$L$5)*2),0)/2 = IF(AA82-Uzman_D!$L$5&lt;0, -(AA82-Uzman_D!$L$5), AA82-Uzman_D!$L$5),
    (ROUND((IF(AA82-Uzman_D!$L$5&lt;0, -(AA82-Uzman_D!$L$5), AA82-Uzman_D!$L$5)*2),0)/1 * 0.1), 0) +
    IF(AB82-Uzman_D!$M$5&lt;0, -(AB82-Uzman_D!$M$5), AB82-Uzman_D!$M$5)*1
)</f>
        <v>-0.50000000000000022</v>
      </c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75"/>
      <c r="AO82" s="75"/>
      <c r="AP82" s="73">
        <f>1 - (
    SUM(
        IF(AD82-Uzman_D!$B$6&lt;0, -(AD82-Uzman_D!$B$6), AD82-Uzman_D!$B$6)*0.1 +
        IF(AE82-Uzman_D!$C$6&lt;0, -(AE82-Uzman_D!$C$6), AE82-Uzman_D!$C$6)*0.1 +
        IF(AF82-Uzman_D!$D$6&lt;0, -(AF82-Uzman_D!$D$6), AF82-Uzman_D!$D$6)*0.1 +
        IF(AG82-Uzman_D!$E$6&lt;0, -(AG82-Uzman_D!$E$6), AG82-Uzman_D!$E$6)*0.1 +
        IF(AH82-Uzman_D!$F$6&lt;0, -(AH82-Uzman_D!$F$6), AH82-Uzman_D!$F$6)*0.1 +
        IF(AI82-Uzman_D!$G$6&lt;0, -(AI82-Uzman_D!$G$6), AI82-Uzman_D!$G$6)*0.1 +
        IF(AJ82-Uzman_D!$H$6&lt;0, -(AJ82-Uzman_D!$H$6), AJ82-Uzman_D!$H$6)*0.1 +
        IF(AK82-Uzman_D!$I$6&lt;0, -(AK82-Uzman_D!$I$6), AK82-Uzman_D!$I$6)*0.1 +
        IF(AL82-Uzman_D!$J$6&lt;0, -(AL82-Uzman_D!$J$6), AL82-Uzman_D!$J$6)*0.1
    ) +
    IF(ROUND((IF(AN82-Uzman_D!$L$6&lt;0, -(AN82-Uzman_D!$L$6), AN82-Uzman_D!$L$6)*2),0)/2 = IF(AN82-Uzman_D!$L$6&lt;0, -(AN82-Uzman_D!$L$6), AN82-Uzman_D!$L$6),
    (ROUND((IF(AN82-Uzman_D!$L$6&lt;0, -(AN82-Uzman_D!$L$6), AN82-Uzman_D!$L$6)*2),0)/1 * 0.1), 0) +
    IF(AO82-Uzman_D!$M$6&lt;0, -(AO82-Uzman_D!$M$6), AO82-Uzman_D!$M$6)*1
)</f>
        <v>-0.60000000000000009</v>
      </c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75"/>
      <c r="BB82" s="75"/>
      <c r="BC82" s="73">
        <f>1 - (
    SUM(
        IF(AQ82-Uzman_D!$B$7&lt;0, -(AQ82-Uzman_D!$B$7), AQ82-Uzman_D!$B$7)*0.1 +
        IF(AR82-Uzman_D!$C$7&lt;0, -(AR82-Uzman_D!$C$7), AR82-Uzman_D!$C$7)*0.1 +
        IF(AS82-Uzman_D!$D$7&lt;0, -(AS82-Uzman_D!$D$7), AS82-Uzman_D!$D$7)*0.1 +
        IF(AT82-Uzman_D!$E$7&lt;0, -(AT82-Uzman_D!$E$7), AT82-Uzman_D!$E$7)*0.1 +
        IF(AU82-Uzman_D!$F$7&lt;0, -(AU82-Uzman_D!$F$7), AU82-Uzman_D!$F$7)*0.1 +
        IF(AV82-Uzman_D!$G$7&lt;0, -(AV82-Uzman_D!$G$7), AV82-Uzman_D!$G$7)*0.1 +
        IF(AW82-Uzman_D!$H$7&lt;0, -(AW82-Uzman_D!$H$7), AW82-Uzman_D!$H$7)*0.1 +
        IF(AX82-Uzman_D!$I$7&lt;0, -(AX82-Uzman_D!$I$7), AX82-Uzman_D!$I$7)*0.1 +
        IF(AY82-Uzman_D!$J$7&lt;0, -(AY82-Uzman_D!$J$7), AY82-Uzman_D!$J$7)*0.1
    ) +
    IF(ROUND((IF(BA82-Uzman_D!$L$7&lt;0, -(BA82-Uzman_D!$L$7), BA82-Uzman_D!$L$7)*2),0)/2 = IF(BA82-Uzman_D!$L$7&lt;0, -(BA82-Uzman_D!$L$7), BA82-Uzman_D!$L$7),
    (ROUND((IF(BA82-Uzman_D!$L$7&lt;0, -(BA82-Uzman_D!$L$7), BA82-Uzman_D!$L$7)*2),0)/1 * 0.1), 0) +
    IF(BB82-Uzman_D!$M$7&lt;0, -(BB82-Uzman_D!$M$7), BB82-Uzman_D!$M$7)*1
)</f>
        <v>-0.50000000000000022</v>
      </c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75"/>
      <c r="BO82" s="75"/>
      <c r="BP82" s="73">
        <f>1 - (
    SUM(
        IF(BD82-Uzman_D!$B$8&lt;0, -(BD82-Uzman_D!$B$8), BD82-Uzman_D!$B$8)*0.1 +
        IF(BE82-Uzman_D!$C$8&lt;0, -(BE82-Uzman_D!$C$8), BE82-Uzman_D!$C$8)*0.1 +
        IF(BF82-Uzman_D!$D$8&lt;0, -(BF82-Uzman_D!$D$8), BF82-Uzman_D!$D$8)*0.1 +
        IF(BG82-Uzman_D!$E$8&lt;0, -(BG82-Uzman_D!$E$8), BG82-Uzman_D!$E$8)*0.1 +
        IF(BH82-Uzman_D!$F$8&lt;0, -(BH82-Uzman_D!$F$8), BH82-Uzman_D!$F$8)*0.1 +
        IF(BI82-Uzman_D!$G$8&lt;0, -(BI82-Uzman_D!$G$8), BI82-Uzman_D!$G$8)*0.1 +
        IF(BJ82-Uzman_D!$H$8&lt;0, -(BJ82-Uzman_D!$H$8), BJ82-Uzman_D!$H$8)*0.1 +
        IF(BK82-Uzman_D!$I$8&lt;0, -(BK82-Uzman_D!$I$8), BK82-Uzman_D!$I$8)*0.1 +
        IF(BL82-Uzman_D!$J$8&lt;0, -(BL82-Uzman_D!$J$8), BL82-Uzman_D!$J$8)*0.1
    ) +
    IF(ROUND((IF(BN82-Uzman_D!$L$8&lt;0, -(BN82-Uzman_D!$L$8), BN82-Uzman_D!$L$8)*2),0)/2 = IF(BN82-Uzman_D!$L$8&lt;0, -(BN82-Uzman_D!$L$8), BN82-Uzman_D!$L$8),
    (ROUND((IF(BN82-Uzman_D!$L$8&lt;0, -(BN82-Uzman_D!$L$8), BN82-Uzman_D!$L$8)*2),0)/1 * 0.1), 0) +
    IF(BO82-Uzman_D!$M$8&lt;0, -(BO82-Uzman_D!$M$8), BO82-Uzman_D!$M$8)*1
)</f>
        <v>-0.20000000000000018</v>
      </c>
      <c r="BQ82" s="74">
        <f t="shared" si="1"/>
        <v>-0.54000000000000026</v>
      </c>
    </row>
    <row r="83" spans="1:69" ht="15" customHeight="1" x14ac:dyDescent="0.2">
      <c r="A83" s="57">
        <v>80</v>
      </c>
      <c r="B83" s="37">
        <f>Hakemler!B83</f>
        <v>0</v>
      </c>
      <c r="C83" s="37">
        <f>Hakemler!C83</f>
        <v>0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75"/>
      <c r="O83" s="75"/>
      <c r="P83" s="73">
        <f>1 - (
    SUM(
        IF(D83-Uzman_D!$B$4&lt;0, -(D83-Uzman_D!$B$4), D83-Uzman_D!$B$4)*0.1 +
        IF(E83-Uzman_D!$C$4&lt;0, -(E83-Uzman_D!$C$4), E83-Uzman_D!$C$4)*0.1 +
        IF(F83-Uzman_D!$D$4&lt;0, -(F83-Uzman_D!$D$4), F83-Uzman_D!$D$4)*0.1 +
        IF(G83-Uzman_D!$E$4&lt;0, -(G83-Uzman_D!$E$4), G83-Uzman_D!$E$4)*0.1 +
        IF(H83-Uzman_D!$F$4&lt;0, -(H83-Uzman_D!$F$4), H83-Uzman_D!$F$4)*0.1 +
        IF(I83-Uzman_D!$G$4&lt;0, -(I83-Uzman_D!$G$4), I83-Uzman_D!$G$4)*0.1 +
        IF(J83-Uzman_D!$H$4&lt;0, -(J83-Uzman_D!$H$4), J83-Uzman_D!$H$4)*0.1 +
        IF(K83-Uzman_D!$I$4&lt;0, -(K83-Uzman_D!$I$4), K83-Uzman_D!$I$4)*0.1 +
        IF(L83-Uzman_D!$J$4&lt;0, -(L83-Uzman_D!$J$4), L83-Uzman_D!$J$4)*0.1
    ) +
    IF(ROUND((IF(N83-Uzman_D!$L$4&lt;0, -(N83-Uzman_D!$L$4), N83-Uzman_D!$L$4)*2),0)/2 = IF(N83-Uzman_D!$L$4&lt;0, -(N83-Uzman_D!$L$4), N83-Uzman_D!$L$4),
    (ROUND((IF(N83-Uzman_D!$L$4&lt;0, -(N83-Uzman_D!$L$4), N83-Uzman_D!$L$4)*2),0)/1 * 0.1), 0) +
    IF(O83-Uzman_D!$M$4&lt;0, -(O83-Uzman_D!$M$4), O83-Uzman_D!$M$4)*1
)</f>
        <v>-0.90000000000000013</v>
      </c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75"/>
      <c r="AB83" s="75"/>
      <c r="AC83" s="73">
        <f>1 - (
    SUM(
        IF(Q83-Uzman_D!$B$5&lt;0, -(Q83-Uzman_D!$B$5), Q83-Uzman_D!$B$5)*0.1 +
        IF(R83-Uzman_D!$C$5&lt;0, -(R83-Uzman_D!$C$5), R83-Uzman_D!$C$5)*0.1 +
        IF(S83-Uzman_D!$D$5&lt;0, -(S83-Uzman_D!$D$5), S83-Uzman_D!$D$5)*0.1 +
        IF(T83-Uzman_D!$E$5&lt;0, -(T83-Uzman_D!$E$5), T83-Uzman_D!$E$5)*0.1 +
        IF(U83-Uzman_D!$F$5&lt;0, -(U83-Uzman_D!$F$5), U83-Uzman_D!$F$5)*0.1 +
        IF(V83-Uzman_D!$G$5&lt;0, -(V83-Uzman_D!$G$5), V83-Uzman_D!$G$5)*0.1 +
        IF(W83-Uzman_D!$H$5&lt;0, -(W83-Uzman_D!$H$5), W83-Uzman_D!$H$5)*0.1 +
        IF(X83-Uzman_D!$I$5&lt;0, -(X83-Uzman_D!$I$5), X83-Uzman_D!$I$5)*0.1 +
        IF(Y83-Uzman_D!$J$5&lt;0, -(Y83-Uzman_D!$J$5), Y83-Uzman_D!$J$5)*0.1
    ) +
    IF(ROUND((IF(AA83-Uzman_D!$L$5&lt;0, -(AA83-Uzman_D!$L$5), AA83-Uzman_D!$L$5)*2),0)/2 = IF(AA83-Uzman_D!$L$5&lt;0, -(AA83-Uzman_D!$L$5), AA83-Uzman_D!$L$5),
    (ROUND((IF(AA83-Uzman_D!$L$5&lt;0, -(AA83-Uzman_D!$L$5), AA83-Uzman_D!$L$5)*2),0)/1 * 0.1), 0) +
    IF(AB83-Uzman_D!$M$5&lt;0, -(AB83-Uzman_D!$M$5), AB83-Uzman_D!$M$5)*1
)</f>
        <v>-0.50000000000000022</v>
      </c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75"/>
      <c r="AO83" s="75"/>
      <c r="AP83" s="73">
        <f>1 - (
    SUM(
        IF(AD83-Uzman_D!$B$6&lt;0, -(AD83-Uzman_D!$B$6), AD83-Uzman_D!$B$6)*0.1 +
        IF(AE83-Uzman_D!$C$6&lt;0, -(AE83-Uzman_D!$C$6), AE83-Uzman_D!$C$6)*0.1 +
        IF(AF83-Uzman_D!$D$6&lt;0, -(AF83-Uzman_D!$D$6), AF83-Uzman_D!$D$6)*0.1 +
        IF(AG83-Uzman_D!$E$6&lt;0, -(AG83-Uzman_D!$E$6), AG83-Uzman_D!$E$6)*0.1 +
        IF(AH83-Uzman_D!$F$6&lt;0, -(AH83-Uzman_D!$F$6), AH83-Uzman_D!$F$6)*0.1 +
        IF(AI83-Uzman_D!$G$6&lt;0, -(AI83-Uzman_D!$G$6), AI83-Uzman_D!$G$6)*0.1 +
        IF(AJ83-Uzman_D!$H$6&lt;0, -(AJ83-Uzman_D!$H$6), AJ83-Uzman_D!$H$6)*0.1 +
        IF(AK83-Uzman_D!$I$6&lt;0, -(AK83-Uzman_D!$I$6), AK83-Uzman_D!$I$6)*0.1 +
        IF(AL83-Uzman_D!$J$6&lt;0, -(AL83-Uzman_D!$J$6), AL83-Uzman_D!$J$6)*0.1
    ) +
    IF(ROUND((IF(AN83-Uzman_D!$L$6&lt;0, -(AN83-Uzman_D!$L$6), AN83-Uzman_D!$L$6)*2),0)/2 = IF(AN83-Uzman_D!$L$6&lt;0, -(AN83-Uzman_D!$L$6), AN83-Uzman_D!$L$6),
    (ROUND((IF(AN83-Uzman_D!$L$6&lt;0, -(AN83-Uzman_D!$L$6), AN83-Uzman_D!$L$6)*2),0)/1 * 0.1), 0) +
    IF(AO83-Uzman_D!$M$6&lt;0, -(AO83-Uzman_D!$M$6), AO83-Uzman_D!$M$6)*1
)</f>
        <v>-0.60000000000000009</v>
      </c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75"/>
      <c r="BB83" s="75"/>
      <c r="BC83" s="73">
        <f>1 - (
    SUM(
        IF(AQ83-Uzman_D!$B$7&lt;0, -(AQ83-Uzman_D!$B$7), AQ83-Uzman_D!$B$7)*0.1 +
        IF(AR83-Uzman_D!$C$7&lt;0, -(AR83-Uzman_D!$C$7), AR83-Uzman_D!$C$7)*0.1 +
        IF(AS83-Uzman_D!$D$7&lt;0, -(AS83-Uzman_D!$D$7), AS83-Uzman_D!$D$7)*0.1 +
        IF(AT83-Uzman_D!$E$7&lt;0, -(AT83-Uzman_D!$E$7), AT83-Uzman_D!$E$7)*0.1 +
        IF(AU83-Uzman_D!$F$7&lt;0, -(AU83-Uzman_D!$F$7), AU83-Uzman_D!$F$7)*0.1 +
        IF(AV83-Uzman_D!$G$7&lt;0, -(AV83-Uzman_D!$G$7), AV83-Uzman_D!$G$7)*0.1 +
        IF(AW83-Uzman_D!$H$7&lt;0, -(AW83-Uzman_D!$H$7), AW83-Uzman_D!$H$7)*0.1 +
        IF(AX83-Uzman_D!$I$7&lt;0, -(AX83-Uzman_D!$I$7), AX83-Uzman_D!$I$7)*0.1 +
        IF(AY83-Uzman_D!$J$7&lt;0, -(AY83-Uzman_D!$J$7), AY83-Uzman_D!$J$7)*0.1
    ) +
    IF(ROUND((IF(BA83-Uzman_D!$L$7&lt;0, -(BA83-Uzman_D!$L$7), BA83-Uzman_D!$L$7)*2),0)/2 = IF(BA83-Uzman_D!$L$7&lt;0, -(BA83-Uzman_D!$L$7), BA83-Uzman_D!$L$7),
    (ROUND((IF(BA83-Uzman_D!$L$7&lt;0, -(BA83-Uzman_D!$L$7), BA83-Uzman_D!$L$7)*2),0)/1 * 0.1), 0) +
    IF(BB83-Uzman_D!$M$7&lt;0, -(BB83-Uzman_D!$M$7), BB83-Uzman_D!$M$7)*1
)</f>
        <v>-0.50000000000000022</v>
      </c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75"/>
      <c r="BO83" s="75"/>
      <c r="BP83" s="73">
        <f>1 - (
    SUM(
        IF(BD83-Uzman_D!$B$8&lt;0, -(BD83-Uzman_D!$B$8), BD83-Uzman_D!$B$8)*0.1 +
        IF(BE83-Uzman_D!$C$8&lt;0, -(BE83-Uzman_D!$C$8), BE83-Uzman_D!$C$8)*0.1 +
        IF(BF83-Uzman_D!$D$8&lt;0, -(BF83-Uzman_D!$D$8), BF83-Uzman_D!$D$8)*0.1 +
        IF(BG83-Uzman_D!$E$8&lt;0, -(BG83-Uzman_D!$E$8), BG83-Uzman_D!$E$8)*0.1 +
        IF(BH83-Uzman_D!$F$8&lt;0, -(BH83-Uzman_D!$F$8), BH83-Uzman_D!$F$8)*0.1 +
        IF(BI83-Uzman_D!$G$8&lt;0, -(BI83-Uzman_D!$G$8), BI83-Uzman_D!$G$8)*0.1 +
        IF(BJ83-Uzman_D!$H$8&lt;0, -(BJ83-Uzman_D!$H$8), BJ83-Uzman_D!$H$8)*0.1 +
        IF(BK83-Uzman_D!$I$8&lt;0, -(BK83-Uzman_D!$I$8), BK83-Uzman_D!$I$8)*0.1 +
        IF(BL83-Uzman_D!$J$8&lt;0, -(BL83-Uzman_D!$J$8), BL83-Uzman_D!$J$8)*0.1
    ) +
    IF(ROUND((IF(BN83-Uzman_D!$L$8&lt;0, -(BN83-Uzman_D!$L$8), BN83-Uzman_D!$L$8)*2),0)/2 = IF(BN83-Uzman_D!$L$8&lt;0, -(BN83-Uzman_D!$L$8), BN83-Uzman_D!$L$8),
    (ROUND((IF(BN83-Uzman_D!$L$8&lt;0, -(BN83-Uzman_D!$L$8), BN83-Uzman_D!$L$8)*2),0)/1 * 0.1), 0) +
    IF(BO83-Uzman_D!$M$8&lt;0, -(BO83-Uzman_D!$M$8), BO83-Uzman_D!$M$8)*1
)</f>
        <v>-0.20000000000000018</v>
      </c>
      <c r="BQ83" s="74">
        <f t="shared" si="1"/>
        <v>-0.54000000000000026</v>
      </c>
    </row>
    <row r="84" spans="1:69" ht="15" customHeight="1" x14ac:dyDescent="0.2">
      <c r="A84" s="57">
        <v>81</v>
      </c>
      <c r="B84" s="37">
        <f>Hakemler!B84</f>
        <v>0</v>
      </c>
      <c r="C84" s="37">
        <f>Hakemler!C84</f>
        <v>0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75"/>
      <c r="O84" s="75"/>
      <c r="P84" s="73">
        <f>1 - (
    SUM(
        IF(D84-Uzman_D!$B$4&lt;0, -(D84-Uzman_D!$B$4), D84-Uzman_D!$B$4)*0.1 +
        IF(E84-Uzman_D!$C$4&lt;0, -(E84-Uzman_D!$C$4), E84-Uzman_D!$C$4)*0.1 +
        IF(F84-Uzman_D!$D$4&lt;0, -(F84-Uzman_D!$D$4), F84-Uzman_D!$D$4)*0.1 +
        IF(G84-Uzman_D!$E$4&lt;0, -(G84-Uzman_D!$E$4), G84-Uzman_D!$E$4)*0.1 +
        IF(H84-Uzman_D!$F$4&lt;0, -(H84-Uzman_D!$F$4), H84-Uzman_D!$F$4)*0.1 +
        IF(I84-Uzman_D!$G$4&lt;0, -(I84-Uzman_D!$G$4), I84-Uzman_D!$G$4)*0.1 +
        IF(J84-Uzman_D!$H$4&lt;0, -(J84-Uzman_D!$H$4), J84-Uzman_D!$H$4)*0.1 +
        IF(K84-Uzman_D!$I$4&lt;0, -(K84-Uzman_D!$I$4), K84-Uzman_D!$I$4)*0.1 +
        IF(L84-Uzman_D!$J$4&lt;0, -(L84-Uzman_D!$J$4), L84-Uzman_D!$J$4)*0.1
    ) +
    IF(ROUND((IF(N84-Uzman_D!$L$4&lt;0, -(N84-Uzman_D!$L$4), N84-Uzman_D!$L$4)*2),0)/2 = IF(N84-Uzman_D!$L$4&lt;0, -(N84-Uzman_D!$L$4), N84-Uzman_D!$L$4),
    (ROUND((IF(N84-Uzman_D!$L$4&lt;0, -(N84-Uzman_D!$L$4), N84-Uzman_D!$L$4)*2),0)/1 * 0.1), 0) +
    IF(O84-Uzman_D!$M$4&lt;0, -(O84-Uzman_D!$M$4), O84-Uzman_D!$M$4)*1
)</f>
        <v>-0.90000000000000013</v>
      </c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75"/>
      <c r="AB84" s="75"/>
      <c r="AC84" s="73">
        <f>1 - (
    SUM(
        IF(Q84-Uzman_D!$B$5&lt;0, -(Q84-Uzman_D!$B$5), Q84-Uzman_D!$B$5)*0.1 +
        IF(R84-Uzman_D!$C$5&lt;0, -(R84-Uzman_D!$C$5), R84-Uzman_D!$C$5)*0.1 +
        IF(S84-Uzman_D!$D$5&lt;0, -(S84-Uzman_D!$D$5), S84-Uzman_D!$D$5)*0.1 +
        IF(T84-Uzman_D!$E$5&lt;0, -(T84-Uzman_D!$E$5), T84-Uzman_D!$E$5)*0.1 +
        IF(U84-Uzman_D!$F$5&lt;0, -(U84-Uzman_D!$F$5), U84-Uzman_D!$F$5)*0.1 +
        IF(V84-Uzman_D!$G$5&lt;0, -(V84-Uzman_D!$G$5), V84-Uzman_D!$G$5)*0.1 +
        IF(W84-Uzman_D!$H$5&lt;0, -(W84-Uzman_D!$H$5), W84-Uzman_D!$H$5)*0.1 +
        IF(X84-Uzman_D!$I$5&lt;0, -(X84-Uzman_D!$I$5), X84-Uzman_D!$I$5)*0.1 +
        IF(Y84-Uzman_D!$J$5&lt;0, -(Y84-Uzman_D!$J$5), Y84-Uzman_D!$J$5)*0.1
    ) +
    IF(ROUND((IF(AA84-Uzman_D!$L$5&lt;0, -(AA84-Uzman_D!$L$5), AA84-Uzman_D!$L$5)*2),0)/2 = IF(AA84-Uzman_D!$L$5&lt;0, -(AA84-Uzman_D!$L$5), AA84-Uzman_D!$L$5),
    (ROUND((IF(AA84-Uzman_D!$L$5&lt;0, -(AA84-Uzman_D!$L$5), AA84-Uzman_D!$L$5)*2),0)/1 * 0.1), 0) +
    IF(AB84-Uzman_D!$M$5&lt;0, -(AB84-Uzman_D!$M$5), AB84-Uzman_D!$M$5)*1
)</f>
        <v>-0.50000000000000022</v>
      </c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75"/>
      <c r="AO84" s="75"/>
      <c r="AP84" s="73">
        <f>1 - (
    SUM(
        IF(AD84-Uzman_D!$B$6&lt;0, -(AD84-Uzman_D!$B$6), AD84-Uzman_D!$B$6)*0.1 +
        IF(AE84-Uzman_D!$C$6&lt;0, -(AE84-Uzman_D!$C$6), AE84-Uzman_D!$C$6)*0.1 +
        IF(AF84-Uzman_D!$D$6&lt;0, -(AF84-Uzman_D!$D$6), AF84-Uzman_D!$D$6)*0.1 +
        IF(AG84-Uzman_D!$E$6&lt;0, -(AG84-Uzman_D!$E$6), AG84-Uzman_D!$E$6)*0.1 +
        IF(AH84-Uzman_D!$F$6&lt;0, -(AH84-Uzman_D!$F$6), AH84-Uzman_D!$F$6)*0.1 +
        IF(AI84-Uzman_D!$G$6&lt;0, -(AI84-Uzman_D!$G$6), AI84-Uzman_D!$G$6)*0.1 +
        IF(AJ84-Uzman_D!$H$6&lt;0, -(AJ84-Uzman_D!$H$6), AJ84-Uzman_D!$H$6)*0.1 +
        IF(AK84-Uzman_D!$I$6&lt;0, -(AK84-Uzman_D!$I$6), AK84-Uzman_D!$I$6)*0.1 +
        IF(AL84-Uzman_D!$J$6&lt;0, -(AL84-Uzman_D!$J$6), AL84-Uzman_D!$J$6)*0.1
    ) +
    IF(ROUND((IF(AN84-Uzman_D!$L$6&lt;0, -(AN84-Uzman_D!$L$6), AN84-Uzman_D!$L$6)*2),0)/2 = IF(AN84-Uzman_D!$L$6&lt;0, -(AN84-Uzman_D!$L$6), AN84-Uzman_D!$L$6),
    (ROUND((IF(AN84-Uzman_D!$L$6&lt;0, -(AN84-Uzman_D!$L$6), AN84-Uzman_D!$L$6)*2),0)/1 * 0.1), 0) +
    IF(AO84-Uzman_D!$M$6&lt;0, -(AO84-Uzman_D!$M$6), AO84-Uzman_D!$M$6)*1
)</f>
        <v>-0.60000000000000009</v>
      </c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75"/>
      <c r="BB84" s="75"/>
      <c r="BC84" s="73">
        <f>1 - (
    SUM(
        IF(AQ84-Uzman_D!$B$7&lt;0, -(AQ84-Uzman_D!$B$7), AQ84-Uzman_D!$B$7)*0.1 +
        IF(AR84-Uzman_D!$C$7&lt;0, -(AR84-Uzman_D!$C$7), AR84-Uzman_D!$C$7)*0.1 +
        IF(AS84-Uzman_D!$D$7&lt;0, -(AS84-Uzman_D!$D$7), AS84-Uzman_D!$D$7)*0.1 +
        IF(AT84-Uzman_D!$E$7&lt;0, -(AT84-Uzman_D!$E$7), AT84-Uzman_D!$E$7)*0.1 +
        IF(AU84-Uzman_D!$F$7&lt;0, -(AU84-Uzman_D!$F$7), AU84-Uzman_D!$F$7)*0.1 +
        IF(AV84-Uzman_D!$G$7&lt;0, -(AV84-Uzman_D!$G$7), AV84-Uzman_D!$G$7)*0.1 +
        IF(AW84-Uzman_D!$H$7&lt;0, -(AW84-Uzman_D!$H$7), AW84-Uzman_D!$H$7)*0.1 +
        IF(AX84-Uzman_D!$I$7&lt;0, -(AX84-Uzman_D!$I$7), AX84-Uzman_D!$I$7)*0.1 +
        IF(AY84-Uzman_D!$J$7&lt;0, -(AY84-Uzman_D!$J$7), AY84-Uzman_D!$J$7)*0.1
    ) +
    IF(ROUND((IF(BA84-Uzman_D!$L$7&lt;0, -(BA84-Uzman_D!$L$7), BA84-Uzman_D!$L$7)*2),0)/2 = IF(BA84-Uzman_D!$L$7&lt;0, -(BA84-Uzman_D!$L$7), BA84-Uzman_D!$L$7),
    (ROUND((IF(BA84-Uzman_D!$L$7&lt;0, -(BA84-Uzman_D!$L$7), BA84-Uzman_D!$L$7)*2),0)/1 * 0.1), 0) +
    IF(BB84-Uzman_D!$M$7&lt;0, -(BB84-Uzman_D!$M$7), BB84-Uzman_D!$M$7)*1
)</f>
        <v>-0.50000000000000022</v>
      </c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75"/>
      <c r="BO84" s="75"/>
      <c r="BP84" s="73">
        <f>1 - (
    SUM(
        IF(BD84-Uzman_D!$B$8&lt;0, -(BD84-Uzman_D!$B$8), BD84-Uzman_D!$B$8)*0.1 +
        IF(BE84-Uzman_D!$C$8&lt;0, -(BE84-Uzman_D!$C$8), BE84-Uzman_D!$C$8)*0.1 +
        IF(BF84-Uzman_D!$D$8&lt;0, -(BF84-Uzman_D!$D$8), BF84-Uzman_D!$D$8)*0.1 +
        IF(BG84-Uzman_D!$E$8&lt;0, -(BG84-Uzman_D!$E$8), BG84-Uzman_D!$E$8)*0.1 +
        IF(BH84-Uzman_D!$F$8&lt;0, -(BH84-Uzman_D!$F$8), BH84-Uzman_D!$F$8)*0.1 +
        IF(BI84-Uzman_D!$G$8&lt;0, -(BI84-Uzman_D!$G$8), BI84-Uzman_D!$G$8)*0.1 +
        IF(BJ84-Uzman_D!$H$8&lt;0, -(BJ84-Uzman_D!$H$8), BJ84-Uzman_D!$H$8)*0.1 +
        IF(BK84-Uzman_D!$I$8&lt;0, -(BK84-Uzman_D!$I$8), BK84-Uzman_D!$I$8)*0.1 +
        IF(BL84-Uzman_D!$J$8&lt;0, -(BL84-Uzman_D!$J$8), BL84-Uzman_D!$J$8)*0.1
    ) +
    IF(ROUND((IF(BN84-Uzman_D!$L$8&lt;0, -(BN84-Uzman_D!$L$8), BN84-Uzman_D!$L$8)*2),0)/2 = IF(BN84-Uzman_D!$L$8&lt;0, -(BN84-Uzman_D!$L$8), BN84-Uzman_D!$L$8),
    (ROUND((IF(BN84-Uzman_D!$L$8&lt;0, -(BN84-Uzman_D!$L$8), BN84-Uzman_D!$L$8)*2),0)/1 * 0.1), 0) +
    IF(BO84-Uzman_D!$M$8&lt;0, -(BO84-Uzman_D!$M$8), BO84-Uzman_D!$M$8)*1
)</f>
        <v>-0.20000000000000018</v>
      </c>
      <c r="BQ84" s="74">
        <f t="shared" si="1"/>
        <v>-0.54000000000000026</v>
      </c>
    </row>
    <row r="85" spans="1:69" ht="15" customHeight="1" x14ac:dyDescent="0.2">
      <c r="A85" s="57">
        <v>82</v>
      </c>
      <c r="B85" s="37">
        <f>Hakemler!B85</f>
        <v>0</v>
      </c>
      <c r="C85" s="37">
        <f>Hakemler!C85</f>
        <v>0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75"/>
      <c r="O85" s="75"/>
      <c r="P85" s="73">
        <f>1 - (
    SUM(
        IF(D85-Uzman_D!$B$4&lt;0, -(D85-Uzman_D!$B$4), D85-Uzman_D!$B$4)*0.1 +
        IF(E85-Uzman_D!$C$4&lt;0, -(E85-Uzman_D!$C$4), E85-Uzman_D!$C$4)*0.1 +
        IF(F85-Uzman_D!$D$4&lt;0, -(F85-Uzman_D!$D$4), F85-Uzman_D!$D$4)*0.1 +
        IF(G85-Uzman_D!$E$4&lt;0, -(G85-Uzman_D!$E$4), G85-Uzman_D!$E$4)*0.1 +
        IF(H85-Uzman_D!$F$4&lt;0, -(H85-Uzman_D!$F$4), H85-Uzman_D!$F$4)*0.1 +
        IF(I85-Uzman_D!$G$4&lt;0, -(I85-Uzman_D!$G$4), I85-Uzman_D!$G$4)*0.1 +
        IF(J85-Uzman_D!$H$4&lt;0, -(J85-Uzman_D!$H$4), J85-Uzman_D!$H$4)*0.1 +
        IF(K85-Uzman_D!$I$4&lt;0, -(K85-Uzman_D!$I$4), K85-Uzman_D!$I$4)*0.1 +
        IF(L85-Uzman_D!$J$4&lt;0, -(L85-Uzman_D!$J$4), L85-Uzman_D!$J$4)*0.1
    ) +
    IF(ROUND((IF(N85-Uzman_D!$L$4&lt;0, -(N85-Uzman_D!$L$4), N85-Uzman_D!$L$4)*2),0)/2 = IF(N85-Uzman_D!$L$4&lt;0, -(N85-Uzman_D!$L$4), N85-Uzman_D!$L$4),
    (ROUND((IF(N85-Uzman_D!$L$4&lt;0, -(N85-Uzman_D!$L$4), N85-Uzman_D!$L$4)*2),0)/1 * 0.1), 0) +
    IF(O85-Uzman_D!$M$4&lt;0, -(O85-Uzman_D!$M$4), O85-Uzman_D!$M$4)*1
)</f>
        <v>-0.90000000000000013</v>
      </c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75"/>
      <c r="AB85" s="75"/>
      <c r="AC85" s="73">
        <f>1 - (
    SUM(
        IF(Q85-Uzman_D!$B$5&lt;0, -(Q85-Uzman_D!$B$5), Q85-Uzman_D!$B$5)*0.1 +
        IF(R85-Uzman_D!$C$5&lt;0, -(R85-Uzman_D!$C$5), R85-Uzman_D!$C$5)*0.1 +
        IF(S85-Uzman_D!$D$5&lt;0, -(S85-Uzman_D!$D$5), S85-Uzman_D!$D$5)*0.1 +
        IF(T85-Uzman_D!$E$5&lt;0, -(T85-Uzman_D!$E$5), T85-Uzman_D!$E$5)*0.1 +
        IF(U85-Uzman_D!$F$5&lt;0, -(U85-Uzman_D!$F$5), U85-Uzman_D!$F$5)*0.1 +
        IF(V85-Uzman_D!$G$5&lt;0, -(V85-Uzman_D!$G$5), V85-Uzman_D!$G$5)*0.1 +
        IF(W85-Uzman_D!$H$5&lt;0, -(W85-Uzman_D!$H$5), W85-Uzman_D!$H$5)*0.1 +
        IF(X85-Uzman_D!$I$5&lt;0, -(X85-Uzman_D!$I$5), X85-Uzman_D!$I$5)*0.1 +
        IF(Y85-Uzman_D!$J$5&lt;0, -(Y85-Uzman_D!$J$5), Y85-Uzman_D!$J$5)*0.1
    ) +
    IF(ROUND((IF(AA85-Uzman_D!$L$5&lt;0, -(AA85-Uzman_D!$L$5), AA85-Uzman_D!$L$5)*2),0)/2 = IF(AA85-Uzman_D!$L$5&lt;0, -(AA85-Uzman_D!$L$5), AA85-Uzman_D!$L$5),
    (ROUND((IF(AA85-Uzman_D!$L$5&lt;0, -(AA85-Uzman_D!$L$5), AA85-Uzman_D!$L$5)*2),0)/1 * 0.1), 0) +
    IF(AB85-Uzman_D!$M$5&lt;0, -(AB85-Uzman_D!$M$5), AB85-Uzman_D!$M$5)*1
)</f>
        <v>-0.50000000000000022</v>
      </c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75"/>
      <c r="AO85" s="75"/>
      <c r="AP85" s="73">
        <f>1 - (
    SUM(
        IF(AD85-Uzman_D!$B$6&lt;0, -(AD85-Uzman_D!$B$6), AD85-Uzman_D!$B$6)*0.1 +
        IF(AE85-Uzman_D!$C$6&lt;0, -(AE85-Uzman_D!$C$6), AE85-Uzman_D!$C$6)*0.1 +
        IF(AF85-Uzman_D!$D$6&lt;0, -(AF85-Uzman_D!$D$6), AF85-Uzman_D!$D$6)*0.1 +
        IF(AG85-Uzman_D!$E$6&lt;0, -(AG85-Uzman_D!$E$6), AG85-Uzman_D!$E$6)*0.1 +
        IF(AH85-Uzman_D!$F$6&lt;0, -(AH85-Uzman_D!$F$6), AH85-Uzman_D!$F$6)*0.1 +
        IF(AI85-Uzman_D!$G$6&lt;0, -(AI85-Uzman_D!$G$6), AI85-Uzman_D!$G$6)*0.1 +
        IF(AJ85-Uzman_D!$H$6&lt;0, -(AJ85-Uzman_D!$H$6), AJ85-Uzman_D!$H$6)*0.1 +
        IF(AK85-Uzman_D!$I$6&lt;0, -(AK85-Uzman_D!$I$6), AK85-Uzman_D!$I$6)*0.1 +
        IF(AL85-Uzman_D!$J$6&lt;0, -(AL85-Uzman_D!$J$6), AL85-Uzman_D!$J$6)*0.1
    ) +
    IF(ROUND((IF(AN85-Uzman_D!$L$6&lt;0, -(AN85-Uzman_D!$L$6), AN85-Uzman_D!$L$6)*2),0)/2 = IF(AN85-Uzman_D!$L$6&lt;0, -(AN85-Uzman_D!$L$6), AN85-Uzman_D!$L$6),
    (ROUND((IF(AN85-Uzman_D!$L$6&lt;0, -(AN85-Uzman_D!$L$6), AN85-Uzman_D!$L$6)*2),0)/1 * 0.1), 0) +
    IF(AO85-Uzman_D!$M$6&lt;0, -(AO85-Uzman_D!$M$6), AO85-Uzman_D!$M$6)*1
)</f>
        <v>-0.60000000000000009</v>
      </c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75"/>
      <c r="BB85" s="75"/>
      <c r="BC85" s="73">
        <f>1 - (
    SUM(
        IF(AQ85-Uzman_D!$B$7&lt;0, -(AQ85-Uzman_D!$B$7), AQ85-Uzman_D!$B$7)*0.1 +
        IF(AR85-Uzman_D!$C$7&lt;0, -(AR85-Uzman_D!$C$7), AR85-Uzman_D!$C$7)*0.1 +
        IF(AS85-Uzman_D!$D$7&lt;0, -(AS85-Uzman_D!$D$7), AS85-Uzman_D!$D$7)*0.1 +
        IF(AT85-Uzman_D!$E$7&lt;0, -(AT85-Uzman_D!$E$7), AT85-Uzman_D!$E$7)*0.1 +
        IF(AU85-Uzman_D!$F$7&lt;0, -(AU85-Uzman_D!$F$7), AU85-Uzman_D!$F$7)*0.1 +
        IF(AV85-Uzman_D!$G$7&lt;0, -(AV85-Uzman_D!$G$7), AV85-Uzman_D!$G$7)*0.1 +
        IF(AW85-Uzman_D!$H$7&lt;0, -(AW85-Uzman_D!$H$7), AW85-Uzman_D!$H$7)*0.1 +
        IF(AX85-Uzman_D!$I$7&lt;0, -(AX85-Uzman_D!$I$7), AX85-Uzman_D!$I$7)*0.1 +
        IF(AY85-Uzman_D!$J$7&lt;0, -(AY85-Uzman_D!$J$7), AY85-Uzman_D!$J$7)*0.1
    ) +
    IF(ROUND((IF(BA85-Uzman_D!$L$7&lt;0, -(BA85-Uzman_D!$L$7), BA85-Uzman_D!$L$7)*2),0)/2 = IF(BA85-Uzman_D!$L$7&lt;0, -(BA85-Uzman_D!$L$7), BA85-Uzman_D!$L$7),
    (ROUND((IF(BA85-Uzman_D!$L$7&lt;0, -(BA85-Uzman_D!$L$7), BA85-Uzman_D!$L$7)*2),0)/1 * 0.1), 0) +
    IF(BB85-Uzman_D!$M$7&lt;0, -(BB85-Uzman_D!$M$7), BB85-Uzman_D!$M$7)*1
)</f>
        <v>-0.50000000000000022</v>
      </c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75"/>
      <c r="BO85" s="75"/>
      <c r="BP85" s="73">
        <f>1 - (
    SUM(
        IF(BD85-Uzman_D!$B$8&lt;0, -(BD85-Uzman_D!$B$8), BD85-Uzman_D!$B$8)*0.1 +
        IF(BE85-Uzman_D!$C$8&lt;0, -(BE85-Uzman_D!$C$8), BE85-Uzman_D!$C$8)*0.1 +
        IF(BF85-Uzman_D!$D$8&lt;0, -(BF85-Uzman_D!$D$8), BF85-Uzman_D!$D$8)*0.1 +
        IF(BG85-Uzman_D!$E$8&lt;0, -(BG85-Uzman_D!$E$8), BG85-Uzman_D!$E$8)*0.1 +
        IF(BH85-Uzman_D!$F$8&lt;0, -(BH85-Uzman_D!$F$8), BH85-Uzman_D!$F$8)*0.1 +
        IF(BI85-Uzman_D!$G$8&lt;0, -(BI85-Uzman_D!$G$8), BI85-Uzman_D!$G$8)*0.1 +
        IF(BJ85-Uzman_D!$H$8&lt;0, -(BJ85-Uzman_D!$H$8), BJ85-Uzman_D!$H$8)*0.1 +
        IF(BK85-Uzman_D!$I$8&lt;0, -(BK85-Uzman_D!$I$8), BK85-Uzman_D!$I$8)*0.1 +
        IF(BL85-Uzman_D!$J$8&lt;0, -(BL85-Uzman_D!$J$8), BL85-Uzman_D!$J$8)*0.1
    ) +
    IF(ROUND((IF(BN85-Uzman_D!$L$8&lt;0, -(BN85-Uzman_D!$L$8), BN85-Uzman_D!$L$8)*2),0)/2 = IF(BN85-Uzman_D!$L$8&lt;0, -(BN85-Uzman_D!$L$8), BN85-Uzman_D!$L$8),
    (ROUND((IF(BN85-Uzman_D!$L$8&lt;0, -(BN85-Uzman_D!$L$8), BN85-Uzman_D!$L$8)*2),0)/1 * 0.1), 0) +
    IF(BO85-Uzman_D!$M$8&lt;0, -(BO85-Uzman_D!$M$8), BO85-Uzman_D!$M$8)*1
)</f>
        <v>-0.20000000000000018</v>
      </c>
      <c r="BQ85" s="74">
        <f t="shared" si="1"/>
        <v>-0.54000000000000026</v>
      </c>
    </row>
    <row r="86" spans="1:69" ht="15" customHeight="1" x14ac:dyDescent="0.2">
      <c r="A86" s="57">
        <v>83</v>
      </c>
      <c r="B86" s="37">
        <f>Hakemler!B86</f>
        <v>0</v>
      </c>
      <c r="C86" s="37">
        <f>Hakemler!C86</f>
        <v>0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75"/>
      <c r="O86" s="75"/>
      <c r="P86" s="73">
        <f>1 - (
    SUM(
        IF(D86-Uzman_D!$B$4&lt;0, -(D86-Uzman_D!$B$4), D86-Uzman_D!$B$4)*0.1 +
        IF(E86-Uzman_D!$C$4&lt;0, -(E86-Uzman_D!$C$4), E86-Uzman_D!$C$4)*0.1 +
        IF(F86-Uzman_D!$D$4&lt;0, -(F86-Uzman_D!$D$4), F86-Uzman_D!$D$4)*0.1 +
        IF(G86-Uzman_D!$E$4&lt;0, -(G86-Uzman_D!$E$4), G86-Uzman_D!$E$4)*0.1 +
        IF(H86-Uzman_D!$F$4&lt;0, -(H86-Uzman_D!$F$4), H86-Uzman_D!$F$4)*0.1 +
        IF(I86-Uzman_D!$G$4&lt;0, -(I86-Uzman_D!$G$4), I86-Uzman_D!$G$4)*0.1 +
        IF(J86-Uzman_D!$H$4&lt;0, -(J86-Uzman_D!$H$4), J86-Uzman_D!$H$4)*0.1 +
        IF(K86-Uzman_D!$I$4&lt;0, -(K86-Uzman_D!$I$4), K86-Uzman_D!$I$4)*0.1 +
        IF(L86-Uzman_D!$J$4&lt;0, -(L86-Uzman_D!$J$4), L86-Uzman_D!$J$4)*0.1
    ) +
    IF(ROUND((IF(N86-Uzman_D!$L$4&lt;0, -(N86-Uzman_D!$L$4), N86-Uzman_D!$L$4)*2),0)/2 = IF(N86-Uzman_D!$L$4&lt;0, -(N86-Uzman_D!$L$4), N86-Uzman_D!$L$4),
    (ROUND((IF(N86-Uzman_D!$L$4&lt;0, -(N86-Uzman_D!$L$4), N86-Uzman_D!$L$4)*2),0)/1 * 0.1), 0) +
    IF(O86-Uzman_D!$M$4&lt;0, -(O86-Uzman_D!$M$4), O86-Uzman_D!$M$4)*1
)</f>
        <v>-0.90000000000000013</v>
      </c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75"/>
      <c r="AB86" s="75"/>
      <c r="AC86" s="73">
        <f>1 - (
    SUM(
        IF(Q86-Uzman_D!$B$5&lt;0, -(Q86-Uzman_D!$B$5), Q86-Uzman_D!$B$5)*0.1 +
        IF(R86-Uzman_D!$C$5&lt;0, -(R86-Uzman_D!$C$5), R86-Uzman_D!$C$5)*0.1 +
        IF(S86-Uzman_D!$D$5&lt;0, -(S86-Uzman_D!$D$5), S86-Uzman_D!$D$5)*0.1 +
        IF(T86-Uzman_D!$E$5&lt;0, -(T86-Uzman_D!$E$5), T86-Uzman_D!$E$5)*0.1 +
        IF(U86-Uzman_D!$F$5&lt;0, -(U86-Uzman_D!$F$5), U86-Uzman_D!$F$5)*0.1 +
        IF(V86-Uzman_D!$G$5&lt;0, -(V86-Uzman_D!$G$5), V86-Uzman_D!$G$5)*0.1 +
        IF(W86-Uzman_D!$H$5&lt;0, -(W86-Uzman_D!$H$5), W86-Uzman_D!$H$5)*0.1 +
        IF(X86-Uzman_D!$I$5&lt;0, -(X86-Uzman_D!$I$5), X86-Uzman_D!$I$5)*0.1 +
        IF(Y86-Uzman_D!$J$5&lt;0, -(Y86-Uzman_D!$J$5), Y86-Uzman_D!$J$5)*0.1
    ) +
    IF(ROUND((IF(AA86-Uzman_D!$L$5&lt;0, -(AA86-Uzman_D!$L$5), AA86-Uzman_D!$L$5)*2),0)/2 = IF(AA86-Uzman_D!$L$5&lt;0, -(AA86-Uzman_D!$L$5), AA86-Uzman_D!$L$5),
    (ROUND((IF(AA86-Uzman_D!$L$5&lt;0, -(AA86-Uzman_D!$L$5), AA86-Uzman_D!$L$5)*2),0)/1 * 0.1), 0) +
    IF(AB86-Uzman_D!$M$5&lt;0, -(AB86-Uzman_D!$M$5), AB86-Uzman_D!$M$5)*1
)</f>
        <v>-0.50000000000000022</v>
      </c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75"/>
      <c r="AO86" s="75"/>
      <c r="AP86" s="73">
        <f>1 - (
    SUM(
        IF(AD86-Uzman_D!$B$6&lt;0, -(AD86-Uzman_D!$B$6), AD86-Uzman_D!$B$6)*0.1 +
        IF(AE86-Uzman_D!$C$6&lt;0, -(AE86-Uzman_D!$C$6), AE86-Uzman_D!$C$6)*0.1 +
        IF(AF86-Uzman_D!$D$6&lt;0, -(AF86-Uzman_D!$D$6), AF86-Uzman_D!$D$6)*0.1 +
        IF(AG86-Uzman_D!$E$6&lt;0, -(AG86-Uzman_D!$E$6), AG86-Uzman_D!$E$6)*0.1 +
        IF(AH86-Uzman_D!$F$6&lt;0, -(AH86-Uzman_D!$F$6), AH86-Uzman_D!$F$6)*0.1 +
        IF(AI86-Uzman_D!$G$6&lt;0, -(AI86-Uzman_D!$G$6), AI86-Uzman_D!$G$6)*0.1 +
        IF(AJ86-Uzman_D!$H$6&lt;0, -(AJ86-Uzman_D!$H$6), AJ86-Uzman_D!$H$6)*0.1 +
        IF(AK86-Uzman_D!$I$6&lt;0, -(AK86-Uzman_D!$I$6), AK86-Uzman_D!$I$6)*0.1 +
        IF(AL86-Uzman_D!$J$6&lt;0, -(AL86-Uzman_D!$J$6), AL86-Uzman_D!$J$6)*0.1
    ) +
    IF(ROUND((IF(AN86-Uzman_D!$L$6&lt;0, -(AN86-Uzman_D!$L$6), AN86-Uzman_D!$L$6)*2),0)/2 = IF(AN86-Uzman_D!$L$6&lt;0, -(AN86-Uzman_D!$L$6), AN86-Uzman_D!$L$6),
    (ROUND((IF(AN86-Uzman_D!$L$6&lt;0, -(AN86-Uzman_D!$L$6), AN86-Uzman_D!$L$6)*2),0)/1 * 0.1), 0) +
    IF(AO86-Uzman_D!$M$6&lt;0, -(AO86-Uzman_D!$M$6), AO86-Uzman_D!$M$6)*1
)</f>
        <v>-0.60000000000000009</v>
      </c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75"/>
      <c r="BB86" s="75"/>
      <c r="BC86" s="73">
        <f>1 - (
    SUM(
        IF(AQ86-Uzman_D!$B$7&lt;0, -(AQ86-Uzman_D!$B$7), AQ86-Uzman_D!$B$7)*0.1 +
        IF(AR86-Uzman_D!$C$7&lt;0, -(AR86-Uzman_D!$C$7), AR86-Uzman_D!$C$7)*0.1 +
        IF(AS86-Uzman_D!$D$7&lt;0, -(AS86-Uzman_D!$D$7), AS86-Uzman_D!$D$7)*0.1 +
        IF(AT86-Uzman_D!$E$7&lt;0, -(AT86-Uzman_D!$E$7), AT86-Uzman_D!$E$7)*0.1 +
        IF(AU86-Uzman_D!$F$7&lt;0, -(AU86-Uzman_D!$F$7), AU86-Uzman_D!$F$7)*0.1 +
        IF(AV86-Uzman_D!$G$7&lt;0, -(AV86-Uzman_D!$G$7), AV86-Uzman_D!$G$7)*0.1 +
        IF(AW86-Uzman_D!$H$7&lt;0, -(AW86-Uzman_D!$H$7), AW86-Uzman_D!$H$7)*0.1 +
        IF(AX86-Uzman_D!$I$7&lt;0, -(AX86-Uzman_D!$I$7), AX86-Uzman_D!$I$7)*0.1 +
        IF(AY86-Uzman_D!$J$7&lt;0, -(AY86-Uzman_D!$J$7), AY86-Uzman_D!$J$7)*0.1
    ) +
    IF(ROUND((IF(BA86-Uzman_D!$L$7&lt;0, -(BA86-Uzman_D!$L$7), BA86-Uzman_D!$L$7)*2),0)/2 = IF(BA86-Uzman_D!$L$7&lt;0, -(BA86-Uzman_D!$L$7), BA86-Uzman_D!$L$7),
    (ROUND((IF(BA86-Uzman_D!$L$7&lt;0, -(BA86-Uzman_D!$L$7), BA86-Uzman_D!$L$7)*2),0)/1 * 0.1), 0) +
    IF(BB86-Uzman_D!$M$7&lt;0, -(BB86-Uzman_D!$M$7), BB86-Uzman_D!$M$7)*1
)</f>
        <v>-0.50000000000000022</v>
      </c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75"/>
      <c r="BO86" s="75"/>
      <c r="BP86" s="73">
        <f>1 - (
    SUM(
        IF(BD86-Uzman_D!$B$8&lt;0, -(BD86-Uzman_D!$B$8), BD86-Uzman_D!$B$8)*0.1 +
        IF(BE86-Uzman_D!$C$8&lt;0, -(BE86-Uzman_D!$C$8), BE86-Uzman_D!$C$8)*0.1 +
        IF(BF86-Uzman_D!$D$8&lt;0, -(BF86-Uzman_D!$D$8), BF86-Uzman_D!$D$8)*0.1 +
        IF(BG86-Uzman_D!$E$8&lt;0, -(BG86-Uzman_D!$E$8), BG86-Uzman_D!$E$8)*0.1 +
        IF(BH86-Uzman_D!$F$8&lt;0, -(BH86-Uzman_D!$F$8), BH86-Uzman_D!$F$8)*0.1 +
        IF(BI86-Uzman_D!$G$8&lt;0, -(BI86-Uzman_D!$G$8), BI86-Uzman_D!$G$8)*0.1 +
        IF(BJ86-Uzman_D!$H$8&lt;0, -(BJ86-Uzman_D!$H$8), BJ86-Uzman_D!$H$8)*0.1 +
        IF(BK86-Uzman_D!$I$8&lt;0, -(BK86-Uzman_D!$I$8), BK86-Uzman_D!$I$8)*0.1 +
        IF(BL86-Uzman_D!$J$8&lt;0, -(BL86-Uzman_D!$J$8), BL86-Uzman_D!$J$8)*0.1
    ) +
    IF(ROUND((IF(BN86-Uzman_D!$L$8&lt;0, -(BN86-Uzman_D!$L$8), BN86-Uzman_D!$L$8)*2),0)/2 = IF(BN86-Uzman_D!$L$8&lt;0, -(BN86-Uzman_D!$L$8), BN86-Uzman_D!$L$8),
    (ROUND((IF(BN86-Uzman_D!$L$8&lt;0, -(BN86-Uzman_D!$L$8), BN86-Uzman_D!$L$8)*2),0)/1 * 0.1), 0) +
    IF(BO86-Uzman_D!$M$8&lt;0, -(BO86-Uzman_D!$M$8), BO86-Uzman_D!$M$8)*1
)</f>
        <v>-0.20000000000000018</v>
      </c>
      <c r="BQ86" s="74">
        <f t="shared" si="1"/>
        <v>-0.54000000000000026</v>
      </c>
    </row>
    <row r="87" spans="1:69" ht="15" customHeight="1" x14ac:dyDescent="0.2">
      <c r="A87" s="57">
        <v>84</v>
      </c>
      <c r="B87" s="37">
        <f>Hakemler!B87</f>
        <v>0</v>
      </c>
      <c r="C87" s="37">
        <f>Hakemler!C87</f>
        <v>0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75"/>
      <c r="O87" s="75"/>
      <c r="P87" s="73">
        <f>1 - (
    SUM(
        IF(D87-Uzman_D!$B$4&lt;0, -(D87-Uzman_D!$B$4), D87-Uzman_D!$B$4)*0.1 +
        IF(E87-Uzman_D!$C$4&lt;0, -(E87-Uzman_D!$C$4), E87-Uzman_D!$C$4)*0.1 +
        IF(F87-Uzman_D!$D$4&lt;0, -(F87-Uzman_D!$D$4), F87-Uzman_D!$D$4)*0.1 +
        IF(G87-Uzman_D!$E$4&lt;0, -(G87-Uzman_D!$E$4), G87-Uzman_D!$E$4)*0.1 +
        IF(H87-Uzman_D!$F$4&lt;0, -(H87-Uzman_D!$F$4), H87-Uzman_D!$F$4)*0.1 +
        IF(I87-Uzman_D!$G$4&lt;0, -(I87-Uzman_D!$G$4), I87-Uzman_D!$G$4)*0.1 +
        IF(J87-Uzman_D!$H$4&lt;0, -(J87-Uzman_D!$H$4), J87-Uzman_D!$H$4)*0.1 +
        IF(K87-Uzman_D!$I$4&lt;0, -(K87-Uzman_D!$I$4), K87-Uzman_D!$I$4)*0.1 +
        IF(L87-Uzman_D!$J$4&lt;0, -(L87-Uzman_D!$J$4), L87-Uzman_D!$J$4)*0.1
    ) +
    IF(ROUND((IF(N87-Uzman_D!$L$4&lt;0, -(N87-Uzman_D!$L$4), N87-Uzman_D!$L$4)*2),0)/2 = IF(N87-Uzman_D!$L$4&lt;0, -(N87-Uzman_D!$L$4), N87-Uzman_D!$L$4),
    (ROUND((IF(N87-Uzman_D!$L$4&lt;0, -(N87-Uzman_D!$L$4), N87-Uzman_D!$L$4)*2),0)/1 * 0.1), 0) +
    IF(O87-Uzman_D!$M$4&lt;0, -(O87-Uzman_D!$M$4), O87-Uzman_D!$M$4)*1
)</f>
        <v>-0.90000000000000013</v>
      </c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75"/>
      <c r="AB87" s="75"/>
      <c r="AC87" s="73">
        <f>1 - (
    SUM(
        IF(Q87-Uzman_D!$B$5&lt;0, -(Q87-Uzman_D!$B$5), Q87-Uzman_D!$B$5)*0.1 +
        IF(R87-Uzman_D!$C$5&lt;0, -(R87-Uzman_D!$C$5), R87-Uzman_D!$C$5)*0.1 +
        IF(S87-Uzman_D!$D$5&lt;0, -(S87-Uzman_D!$D$5), S87-Uzman_D!$D$5)*0.1 +
        IF(T87-Uzman_D!$E$5&lt;0, -(T87-Uzman_D!$E$5), T87-Uzman_D!$E$5)*0.1 +
        IF(U87-Uzman_D!$F$5&lt;0, -(U87-Uzman_D!$F$5), U87-Uzman_D!$F$5)*0.1 +
        IF(V87-Uzman_D!$G$5&lt;0, -(V87-Uzman_D!$G$5), V87-Uzman_D!$G$5)*0.1 +
        IF(W87-Uzman_D!$H$5&lt;0, -(W87-Uzman_D!$H$5), W87-Uzman_D!$H$5)*0.1 +
        IF(X87-Uzman_D!$I$5&lt;0, -(X87-Uzman_D!$I$5), X87-Uzman_D!$I$5)*0.1 +
        IF(Y87-Uzman_D!$J$5&lt;0, -(Y87-Uzman_D!$J$5), Y87-Uzman_D!$J$5)*0.1
    ) +
    IF(ROUND((IF(AA87-Uzman_D!$L$5&lt;0, -(AA87-Uzman_D!$L$5), AA87-Uzman_D!$L$5)*2),0)/2 = IF(AA87-Uzman_D!$L$5&lt;0, -(AA87-Uzman_D!$L$5), AA87-Uzman_D!$L$5),
    (ROUND((IF(AA87-Uzman_D!$L$5&lt;0, -(AA87-Uzman_D!$L$5), AA87-Uzman_D!$L$5)*2),0)/1 * 0.1), 0) +
    IF(AB87-Uzman_D!$M$5&lt;0, -(AB87-Uzman_D!$M$5), AB87-Uzman_D!$M$5)*1
)</f>
        <v>-0.50000000000000022</v>
      </c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75"/>
      <c r="AO87" s="75"/>
      <c r="AP87" s="73">
        <f>1 - (
    SUM(
        IF(AD87-Uzman_D!$B$6&lt;0, -(AD87-Uzman_D!$B$6), AD87-Uzman_D!$B$6)*0.1 +
        IF(AE87-Uzman_D!$C$6&lt;0, -(AE87-Uzman_D!$C$6), AE87-Uzman_D!$C$6)*0.1 +
        IF(AF87-Uzman_D!$D$6&lt;0, -(AF87-Uzman_D!$D$6), AF87-Uzman_D!$D$6)*0.1 +
        IF(AG87-Uzman_D!$E$6&lt;0, -(AG87-Uzman_D!$E$6), AG87-Uzman_D!$E$6)*0.1 +
        IF(AH87-Uzman_D!$F$6&lt;0, -(AH87-Uzman_D!$F$6), AH87-Uzman_D!$F$6)*0.1 +
        IF(AI87-Uzman_D!$G$6&lt;0, -(AI87-Uzman_D!$G$6), AI87-Uzman_D!$G$6)*0.1 +
        IF(AJ87-Uzman_D!$H$6&lt;0, -(AJ87-Uzman_D!$H$6), AJ87-Uzman_D!$H$6)*0.1 +
        IF(AK87-Uzman_D!$I$6&lt;0, -(AK87-Uzman_D!$I$6), AK87-Uzman_D!$I$6)*0.1 +
        IF(AL87-Uzman_D!$J$6&lt;0, -(AL87-Uzman_D!$J$6), AL87-Uzman_D!$J$6)*0.1
    ) +
    IF(ROUND((IF(AN87-Uzman_D!$L$6&lt;0, -(AN87-Uzman_D!$L$6), AN87-Uzman_D!$L$6)*2),0)/2 = IF(AN87-Uzman_D!$L$6&lt;0, -(AN87-Uzman_D!$L$6), AN87-Uzman_D!$L$6),
    (ROUND((IF(AN87-Uzman_D!$L$6&lt;0, -(AN87-Uzman_D!$L$6), AN87-Uzman_D!$L$6)*2),0)/1 * 0.1), 0) +
    IF(AO87-Uzman_D!$M$6&lt;0, -(AO87-Uzman_D!$M$6), AO87-Uzman_D!$M$6)*1
)</f>
        <v>-0.60000000000000009</v>
      </c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75"/>
      <c r="BB87" s="75"/>
      <c r="BC87" s="73">
        <f>1 - (
    SUM(
        IF(AQ87-Uzman_D!$B$7&lt;0, -(AQ87-Uzman_D!$B$7), AQ87-Uzman_D!$B$7)*0.1 +
        IF(AR87-Uzman_D!$C$7&lt;0, -(AR87-Uzman_D!$C$7), AR87-Uzman_D!$C$7)*0.1 +
        IF(AS87-Uzman_D!$D$7&lt;0, -(AS87-Uzman_D!$D$7), AS87-Uzman_D!$D$7)*0.1 +
        IF(AT87-Uzman_D!$E$7&lt;0, -(AT87-Uzman_D!$E$7), AT87-Uzman_D!$E$7)*0.1 +
        IF(AU87-Uzman_D!$F$7&lt;0, -(AU87-Uzman_D!$F$7), AU87-Uzman_D!$F$7)*0.1 +
        IF(AV87-Uzman_D!$G$7&lt;0, -(AV87-Uzman_D!$G$7), AV87-Uzman_D!$G$7)*0.1 +
        IF(AW87-Uzman_D!$H$7&lt;0, -(AW87-Uzman_D!$H$7), AW87-Uzman_D!$H$7)*0.1 +
        IF(AX87-Uzman_D!$I$7&lt;0, -(AX87-Uzman_D!$I$7), AX87-Uzman_D!$I$7)*0.1 +
        IF(AY87-Uzman_D!$J$7&lt;0, -(AY87-Uzman_D!$J$7), AY87-Uzman_D!$J$7)*0.1
    ) +
    IF(ROUND((IF(BA87-Uzman_D!$L$7&lt;0, -(BA87-Uzman_D!$L$7), BA87-Uzman_D!$L$7)*2),0)/2 = IF(BA87-Uzman_D!$L$7&lt;0, -(BA87-Uzman_D!$L$7), BA87-Uzman_D!$L$7),
    (ROUND((IF(BA87-Uzman_D!$L$7&lt;0, -(BA87-Uzman_D!$L$7), BA87-Uzman_D!$L$7)*2),0)/1 * 0.1), 0) +
    IF(BB87-Uzman_D!$M$7&lt;0, -(BB87-Uzman_D!$M$7), BB87-Uzman_D!$M$7)*1
)</f>
        <v>-0.50000000000000022</v>
      </c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75"/>
      <c r="BO87" s="75"/>
      <c r="BP87" s="73">
        <f>1 - (
    SUM(
        IF(BD87-Uzman_D!$B$8&lt;0, -(BD87-Uzman_D!$B$8), BD87-Uzman_D!$B$8)*0.1 +
        IF(BE87-Uzman_D!$C$8&lt;0, -(BE87-Uzman_D!$C$8), BE87-Uzman_D!$C$8)*0.1 +
        IF(BF87-Uzman_D!$D$8&lt;0, -(BF87-Uzman_D!$D$8), BF87-Uzman_D!$D$8)*0.1 +
        IF(BG87-Uzman_D!$E$8&lt;0, -(BG87-Uzman_D!$E$8), BG87-Uzman_D!$E$8)*0.1 +
        IF(BH87-Uzman_D!$F$8&lt;0, -(BH87-Uzman_D!$F$8), BH87-Uzman_D!$F$8)*0.1 +
        IF(BI87-Uzman_D!$G$8&lt;0, -(BI87-Uzman_D!$G$8), BI87-Uzman_D!$G$8)*0.1 +
        IF(BJ87-Uzman_D!$H$8&lt;0, -(BJ87-Uzman_D!$H$8), BJ87-Uzman_D!$H$8)*0.1 +
        IF(BK87-Uzman_D!$I$8&lt;0, -(BK87-Uzman_D!$I$8), BK87-Uzman_D!$I$8)*0.1 +
        IF(BL87-Uzman_D!$J$8&lt;0, -(BL87-Uzman_D!$J$8), BL87-Uzman_D!$J$8)*0.1
    ) +
    IF(ROUND((IF(BN87-Uzman_D!$L$8&lt;0, -(BN87-Uzman_D!$L$8), BN87-Uzman_D!$L$8)*2),0)/2 = IF(BN87-Uzman_D!$L$8&lt;0, -(BN87-Uzman_D!$L$8), BN87-Uzman_D!$L$8),
    (ROUND((IF(BN87-Uzman_D!$L$8&lt;0, -(BN87-Uzman_D!$L$8), BN87-Uzman_D!$L$8)*2),0)/1 * 0.1), 0) +
    IF(BO87-Uzman_D!$M$8&lt;0, -(BO87-Uzman_D!$M$8), BO87-Uzman_D!$M$8)*1
)</f>
        <v>-0.20000000000000018</v>
      </c>
      <c r="BQ87" s="74">
        <f t="shared" si="1"/>
        <v>-0.54000000000000026</v>
      </c>
    </row>
    <row r="88" spans="1:69" ht="15" customHeight="1" x14ac:dyDescent="0.2">
      <c r="A88" s="57">
        <v>85</v>
      </c>
      <c r="B88" s="37">
        <f>Hakemler!B88</f>
        <v>0</v>
      </c>
      <c r="C88" s="37">
        <f>Hakemler!C88</f>
        <v>0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75"/>
      <c r="O88" s="75"/>
      <c r="P88" s="73">
        <f>1 - (
    SUM(
        IF(D88-Uzman_D!$B$4&lt;0, -(D88-Uzman_D!$B$4), D88-Uzman_D!$B$4)*0.1 +
        IF(E88-Uzman_D!$C$4&lt;0, -(E88-Uzman_D!$C$4), E88-Uzman_D!$C$4)*0.1 +
        IF(F88-Uzman_D!$D$4&lt;0, -(F88-Uzman_D!$D$4), F88-Uzman_D!$D$4)*0.1 +
        IF(G88-Uzman_D!$E$4&lt;0, -(G88-Uzman_D!$E$4), G88-Uzman_D!$E$4)*0.1 +
        IF(H88-Uzman_D!$F$4&lt;0, -(H88-Uzman_D!$F$4), H88-Uzman_D!$F$4)*0.1 +
        IF(I88-Uzman_D!$G$4&lt;0, -(I88-Uzman_D!$G$4), I88-Uzman_D!$G$4)*0.1 +
        IF(J88-Uzman_D!$H$4&lt;0, -(J88-Uzman_D!$H$4), J88-Uzman_D!$H$4)*0.1 +
        IF(K88-Uzman_D!$I$4&lt;0, -(K88-Uzman_D!$I$4), K88-Uzman_D!$I$4)*0.1 +
        IF(L88-Uzman_D!$J$4&lt;0, -(L88-Uzman_D!$J$4), L88-Uzman_D!$J$4)*0.1
    ) +
    IF(ROUND((IF(N88-Uzman_D!$L$4&lt;0, -(N88-Uzman_D!$L$4), N88-Uzman_D!$L$4)*2),0)/2 = IF(N88-Uzman_D!$L$4&lt;0, -(N88-Uzman_D!$L$4), N88-Uzman_D!$L$4),
    (ROUND((IF(N88-Uzman_D!$L$4&lt;0, -(N88-Uzman_D!$L$4), N88-Uzman_D!$L$4)*2),0)/1 * 0.1), 0) +
    IF(O88-Uzman_D!$M$4&lt;0, -(O88-Uzman_D!$M$4), O88-Uzman_D!$M$4)*1
)</f>
        <v>-0.90000000000000013</v>
      </c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75"/>
      <c r="AB88" s="75"/>
      <c r="AC88" s="73">
        <f>1 - (
    SUM(
        IF(Q88-Uzman_D!$B$5&lt;0, -(Q88-Uzman_D!$B$5), Q88-Uzman_D!$B$5)*0.1 +
        IF(R88-Uzman_D!$C$5&lt;0, -(R88-Uzman_D!$C$5), R88-Uzman_D!$C$5)*0.1 +
        IF(S88-Uzman_D!$D$5&lt;0, -(S88-Uzman_D!$D$5), S88-Uzman_D!$D$5)*0.1 +
        IF(T88-Uzman_D!$E$5&lt;0, -(T88-Uzman_D!$E$5), T88-Uzman_D!$E$5)*0.1 +
        IF(U88-Uzman_D!$F$5&lt;0, -(U88-Uzman_D!$F$5), U88-Uzman_D!$F$5)*0.1 +
        IF(V88-Uzman_D!$G$5&lt;0, -(V88-Uzman_D!$G$5), V88-Uzman_D!$G$5)*0.1 +
        IF(W88-Uzman_D!$H$5&lt;0, -(W88-Uzman_D!$H$5), W88-Uzman_D!$H$5)*0.1 +
        IF(X88-Uzman_D!$I$5&lt;0, -(X88-Uzman_D!$I$5), X88-Uzman_D!$I$5)*0.1 +
        IF(Y88-Uzman_D!$J$5&lt;0, -(Y88-Uzman_D!$J$5), Y88-Uzman_D!$J$5)*0.1
    ) +
    IF(ROUND((IF(AA88-Uzman_D!$L$5&lt;0, -(AA88-Uzman_D!$L$5), AA88-Uzman_D!$L$5)*2),0)/2 = IF(AA88-Uzman_D!$L$5&lt;0, -(AA88-Uzman_D!$L$5), AA88-Uzman_D!$L$5),
    (ROUND((IF(AA88-Uzman_D!$L$5&lt;0, -(AA88-Uzman_D!$L$5), AA88-Uzman_D!$L$5)*2),0)/1 * 0.1), 0) +
    IF(AB88-Uzman_D!$M$5&lt;0, -(AB88-Uzman_D!$M$5), AB88-Uzman_D!$M$5)*1
)</f>
        <v>-0.50000000000000022</v>
      </c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75"/>
      <c r="AO88" s="75"/>
      <c r="AP88" s="73">
        <f>1 - (
    SUM(
        IF(AD88-Uzman_D!$B$6&lt;0, -(AD88-Uzman_D!$B$6), AD88-Uzman_D!$B$6)*0.1 +
        IF(AE88-Uzman_D!$C$6&lt;0, -(AE88-Uzman_D!$C$6), AE88-Uzman_D!$C$6)*0.1 +
        IF(AF88-Uzman_D!$D$6&lt;0, -(AF88-Uzman_D!$D$6), AF88-Uzman_D!$D$6)*0.1 +
        IF(AG88-Uzman_D!$E$6&lt;0, -(AG88-Uzman_D!$E$6), AG88-Uzman_D!$E$6)*0.1 +
        IF(AH88-Uzman_D!$F$6&lt;0, -(AH88-Uzman_D!$F$6), AH88-Uzman_D!$F$6)*0.1 +
        IF(AI88-Uzman_D!$G$6&lt;0, -(AI88-Uzman_D!$G$6), AI88-Uzman_D!$G$6)*0.1 +
        IF(AJ88-Uzman_D!$H$6&lt;0, -(AJ88-Uzman_D!$H$6), AJ88-Uzman_D!$H$6)*0.1 +
        IF(AK88-Uzman_D!$I$6&lt;0, -(AK88-Uzman_D!$I$6), AK88-Uzman_D!$I$6)*0.1 +
        IF(AL88-Uzman_D!$J$6&lt;0, -(AL88-Uzman_D!$J$6), AL88-Uzman_D!$J$6)*0.1
    ) +
    IF(ROUND((IF(AN88-Uzman_D!$L$6&lt;0, -(AN88-Uzman_D!$L$6), AN88-Uzman_D!$L$6)*2),0)/2 = IF(AN88-Uzman_D!$L$6&lt;0, -(AN88-Uzman_D!$L$6), AN88-Uzman_D!$L$6),
    (ROUND((IF(AN88-Uzman_D!$L$6&lt;0, -(AN88-Uzman_D!$L$6), AN88-Uzman_D!$L$6)*2),0)/1 * 0.1), 0) +
    IF(AO88-Uzman_D!$M$6&lt;0, -(AO88-Uzman_D!$M$6), AO88-Uzman_D!$M$6)*1
)</f>
        <v>-0.60000000000000009</v>
      </c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75"/>
      <c r="BB88" s="75"/>
      <c r="BC88" s="73">
        <f>1 - (
    SUM(
        IF(AQ88-Uzman_D!$B$7&lt;0, -(AQ88-Uzman_D!$B$7), AQ88-Uzman_D!$B$7)*0.1 +
        IF(AR88-Uzman_D!$C$7&lt;0, -(AR88-Uzman_D!$C$7), AR88-Uzman_D!$C$7)*0.1 +
        IF(AS88-Uzman_D!$D$7&lt;0, -(AS88-Uzman_D!$D$7), AS88-Uzman_D!$D$7)*0.1 +
        IF(AT88-Uzman_D!$E$7&lt;0, -(AT88-Uzman_D!$E$7), AT88-Uzman_D!$E$7)*0.1 +
        IF(AU88-Uzman_D!$F$7&lt;0, -(AU88-Uzman_D!$F$7), AU88-Uzman_D!$F$7)*0.1 +
        IF(AV88-Uzman_D!$G$7&lt;0, -(AV88-Uzman_D!$G$7), AV88-Uzman_D!$G$7)*0.1 +
        IF(AW88-Uzman_D!$H$7&lt;0, -(AW88-Uzman_D!$H$7), AW88-Uzman_D!$H$7)*0.1 +
        IF(AX88-Uzman_D!$I$7&lt;0, -(AX88-Uzman_D!$I$7), AX88-Uzman_D!$I$7)*0.1 +
        IF(AY88-Uzman_D!$J$7&lt;0, -(AY88-Uzman_D!$J$7), AY88-Uzman_D!$J$7)*0.1
    ) +
    IF(ROUND((IF(BA88-Uzman_D!$L$7&lt;0, -(BA88-Uzman_D!$L$7), BA88-Uzman_D!$L$7)*2),0)/2 = IF(BA88-Uzman_D!$L$7&lt;0, -(BA88-Uzman_D!$L$7), BA88-Uzman_D!$L$7),
    (ROUND((IF(BA88-Uzman_D!$L$7&lt;0, -(BA88-Uzman_D!$L$7), BA88-Uzman_D!$L$7)*2),0)/1 * 0.1), 0) +
    IF(BB88-Uzman_D!$M$7&lt;0, -(BB88-Uzman_D!$M$7), BB88-Uzman_D!$M$7)*1
)</f>
        <v>-0.50000000000000022</v>
      </c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75"/>
      <c r="BO88" s="75"/>
      <c r="BP88" s="73">
        <f>1 - (
    SUM(
        IF(BD88-Uzman_D!$B$8&lt;0, -(BD88-Uzman_D!$B$8), BD88-Uzman_D!$B$8)*0.1 +
        IF(BE88-Uzman_D!$C$8&lt;0, -(BE88-Uzman_D!$C$8), BE88-Uzman_D!$C$8)*0.1 +
        IF(BF88-Uzman_D!$D$8&lt;0, -(BF88-Uzman_D!$D$8), BF88-Uzman_D!$D$8)*0.1 +
        IF(BG88-Uzman_D!$E$8&lt;0, -(BG88-Uzman_D!$E$8), BG88-Uzman_D!$E$8)*0.1 +
        IF(BH88-Uzman_D!$F$8&lt;0, -(BH88-Uzman_D!$F$8), BH88-Uzman_D!$F$8)*0.1 +
        IF(BI88-Uzman_D!$G$8&lt;0, -(BI88-Uzman_D!$G$8), BI88-Uzman_D!$G$8)*0.1 +
        IF(BJ88-Uzman_D!$H$8&lt;0, -(BJ88-Uzman_D!$H$8), BJ88-Uzman_D!$H$8)*0.1 +
        IF(BK88-Uzman_D!$I$8&lt;0, -(BK88-Uzman_D!$I$8), BK88-Uzman_D!$I$8)*0.1 +
        IF(BL88-Uzman_D!$J$8&lt;0, -(BL88-Uzman_D!$J$8), BL88-Uzman_D!$J$8)*0.1
    ) +
    IF(ROUND((IF(BN88-Uzman_D!$L$8&lt;0, -(BN88-Uzman_D!$L$8), BN88-Uzman_D!$L$8)*2),0)/2 = IF(BN88-Uzman_D!$L$8&lt;0, -(BN88-Uzman_D!$L$8), BN88-Uzman_D!$L$8),
    (ROUND((IF(BN88-Uzman_D!$L$8&lt;0, -(BN88-Uzman_D!$L$8), BN88-Uzman_D!$L$8)*2),0)/1 * 0.1), 0) +
    IF(BO88-Uzman_D!$M$8&lt;0, -(BO88-Uzman_D!$M$8), BO88-Uzman_D!$M$8)*1
)</f>
        <v>-0.20000000000000018</v>
      </c>
      <c r="BQ88" s="74">
        <f t="shared" si="1"/>
        <v>-0.54000000000000026</v>
      </c>
    </row>
    <row r="89" spans="1:69" ht="15" customHeight="1" x14ac:dyDescent="0.2">
      <c r="A89" s="57">
        <v>86</v>
      </c>
      <c r="B89" s="37">
        <f>Hakemler!B89</f>
        <v>0</v>
      </c>
      <c r="C89" s="37">
        <f>Hakemler!C89</f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75"/>
      <c r="O89" s="75"/>
      <c r="P89" s="73">
        <f>1 - (
    SUM(
        IF(D89-Uzman_D!$B$4&lt;0, -(D89-Uzman_D!$B$4), D89-Uzman_D!$B$4)*0.1 +
        IF(E89-Uzman_D!$C$4&lt;0, -(E89-Uzman_D!$C$4), E89-Uzman_D!$C$4)*0.1 +
        IF(F89-Uzman_D!$D$4&lt;0, -(F89-Uzman_D!$D$4), F89-Uzman_D!$D$4)*0.1 +
        IF(G89-Uzman_D!$E$4&lt;0, -(G89-Uzman_D!$E$4), G89-Uzman_D!$E$4)*0.1 +
        IF(H89-Uzman_D!$F$4&lt;0, -(H89-Uzman_D!$F$4), H89-Uzman_D!$F$4)*0.1 +
        IF(I89-Uzman_D!$G$4&lt;0, -(I89-Uzman_D!$G$4), I89-Uzman_D!$G$4)*0.1 +
        IF(J89-Uzman_D!$H$4&lt;0, -(J89-Uzman_D!$H$4), J89-Uzman_D!$H$4)*0.1 +
        IF(K89-Uzman_D!$I$4&lt;0, -(K89-Uzman_D!$I$4), K89-Uzman_D!$I$4)*0.1 +
        IF(L89-Uzman_D!$J$4&lt;0, -(L89-Uzman_D!$J$4), L89-Uzman_D!$J$4)*0.1
    ) +
    IF(ROUND((IF(N89-Uzman_D!$L$4&lt;0, -(N89-Uzman_D!$L$4), N89-Uzman_D!$L$4)*2),0)/2 = IF(N89-Uzman_D!$L$4&lt;0, -(N89-Uzman_D!$L$4), N89-Uzman_D!$L$4),
    (ROUND((IF(N89-Uzman_D!$L$4&lt;0, -(N89-Uzman_D!$L$4), N89-Uzman_D!$L$4)*2),0)/1 * 0.1), 0) +
    IF(O89-Uzman_D!$M$4&lt;0, -(O89-Uzman_D!$M$4), O89-Uzman_D!$M$4)*1
)</f>
        <v>-0.90000000000000013</v>
      </c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75"/>
      <c r="AB89" s="75"/>
      <c r="AC89" s="73">
        <f>1 - (
    SUM(
        IF(Q89-Uzman_D!$B$5&lt;0, -(Q89-Uzman_D!$B$5), Q89-Uzman_D!$B$5)*0.1 +
        IF(R89-Uzman_D!$C$5&lt;0, -(R89-Uzman_D!$C$5), R89-Uzman_D!$C$5)*0.1 +
        IF(S89-Uzman_D!$D$5&lt;0, -(S89-Uzman_D!$D$5), S89-Uzman_D!$D$5)*0.1 +
        IF(T89-Uzman_D!$E$5&lt;0, -(T89-Uzman_D!$E$5), T89-Uzman_D!$E$5)*0.1 +
        IF(U89-Uzman_D!$F$5&lt;0, -(U89-Uzman_D!$F$5), U89-Uzman_D!$F$5)*0.1 +
        IF(V89-Uzman_D!$G$5&lt;0, -(V89-Uzman_D!$G$5), V89-Uzman_D!$G$5)*0.1 +
        IF(W89-Uzman_D!$H$5&lt;0, -(W89-Uzman_D!$H$5), W89-Uzman_D!$H$5)*0.1 +
        IF(X89-Uzman_D!$I$5&lt;0, -(X89-Uzman_D!$I$5), X89-Uzman_D!$I$5)*0.1 +
        IF(Y89-Uzman_D!$J$5&lt;0, -(Y89-Uzman_D!$J$5), Y89-Uzman_D!$J$5)*0.1
    ) +
    IF(ROUND((IF(AA89-Uzman_D!$L$5&lt;0, -(AA89-Uzman_D!$L$5), AA89-Uzman_D!$L$5)*2),0)/2 = IF(AA89-Uzman_D!$L$5&lt;0, -(AA89-Uzman_D!$L$5), AA89-Uzman_D!$L$5),
    (ROUND((IF(AA89-Uzman_D!$L$5&lt;0, -(AA89-Uzman_D!$L$5), AA89-Uzman_D!$L$5)*2),0)/1 * 0.1), 0) +
    IF(AB89-Uzman_D!$M$5&lt;0, -(AB89-Uzman_D!$M$5), AB89-Uzman_D!$M$5)*1
)</f>
        <v>-0.50000000000000022</v>
      </c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75"/>
      <c r="AO89" s="75"/>
      <c r="AP89" s="73">
        <f>1 - (
    SUM(
        IF(AD89-Uzman_D!$B$6&lt;0, -(AD89-Uzman_D!$B$6), AD89-Uzman_D!$B$6)*0.1 +
        IF(AE89-Uzman_D!$C$6&lt;0, -(AE89-Uzman_D!$C$6), AE89-Uzman_D!$C$6)*0.1 +
        IF(AF89-Uzman_D!$D$6&lt;0, -(AF89-Uzman_D!$D$6), AF89-Uzman_D!$D$6)*0.1 +
        IF(AG89-Uzman_D!$E$6&lt;0, -(AG89-Uzman_D!$E$6), AG89-Uzman_D!$E$6)*0.1 +
        IF(AH89-Uzman_D!$F$6&lt;0, -(AH89-Uzman_D!$F$6), AH89-Uzman_D!$F$6)*0.1 +
        IF(AI89-Uzman_D!$G$6&lt;0, -(AI89-Uzman_D!$G$6), AI89-Uzman_D!$G$6)*0.1 +
        IF(AJ89-Uzman_D!$H$6&lt;0, -(AJ89-Uzman_D!$H$6), AJ89-Uzman_D!$H$6)*0.1 +
        IF(AK89-Uzman_D!$I$6&lt;0, -(AK89-Uzman_D!$I$6), AK89-Uzman_D!$I$6)*0.1 +
        IF(AL89-Uzman_D!$J$6&lt;0, -(AL89-Uzman_D!$J$6), AL89-Uzman_D!$J$6)*0.1
    ) +
    IF(ROUND((IF(AN89-Uzman_D!$L$6&lt;0, -(AN89-Uzman_D!$L$6), AN89-Uzman_D!$L$6)*2),0)/2 = IF(AN89-Uzman_D!$L$6&lt;0, -(AN89-Uzman_D!$L$6), AN89-Uzman_D!$L$6),
    (ROUND((IF(AN89-Uzman_D!$L$6&lt;0, -(AN89-Uzman_D!$L$6), AN89-Uzman_D!$L$6)*2),0)/1 * 0.1), 0) +
    IF(AO89-Uzman_D!$M$6&lt;0, -(AO89-Uzman_D!$M$6), AO89-Uzman_D!$M$6)*1
)</f>
        <v>-0.60000000000000009</v>
      </c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75"/>
      <c r="BB89" s="75"/>
      <c r="BC89" s="73">
        <f>1 - (
    SUM(
        IF(AQ89-Uzman_D!$B$7&lt;0, -(AQ89-Uzman_D!$B$7), AQ89-Uzman_D!$B$7)*0.1 +
        IF(AR89-Uzman_D!$C$7&lt;0, -(AR89-Uzman_D!$C$7), AR89-Uzman_D!$C$7)*0.1 +
        IF(AS89-Uzman_D!$D$7&lt;0, -(AS89-Uzman_D!$D$7), AS89-Uzman_D!$D$7)*0.1 +
        IF(AT89-Uzman_D!$E$7&lt;0, -(AT89-Uzman_D!$E$7), AT89-Uzman_D!$E$7)*0.1 +
        IF(AU89-Uzman_D!$F$7&lt;0, -(AU89-Uzman_D!$F$7), AU89-Uzman_D!$F$7)*0.1 +
        IF(AV89-Uzman_D!$G$7&lt;0, -(AV89-Uzman_D!$G$7), AV89-Uzman_D!$G$7)*0.1 +
        IF(AW89-Uzman_D!$H$7&lt;0, -(AW89-Uzman_D!$H$7), AW89-Uzman_D!$H$7)*0.1 +
        IF(AX89-Uzman_D!$I$7&lt;0, -(AX89-Uzman_D!$I$7), AX89-Uzman_D!$I$7)*0.1 +
        IF(AY89-Uzman_D!$J$7&lt;0, -(AY89-Uzman_D!$J$7), AY89-Uzman_D!$J$7)*0.1
    ) +
    IF(ROUND((IF(BA89-Uzman_D!$L$7&lt;0, -(BA89-Uzman_D!$L$7), BA89-Uzman_D!$L$7)*2),0)/2 = IF(BA89-Uzman_D!$L$7&lt;0, -(BA89-Uzman_D!$L$7), BA89-Uzman_D!$L$7),
    (ROUND((IF(BA89-Uzman_D!$L$7&lt;0, -(BA89-Uzman_D!$L$7), BA89-Uzman_D!$L$7)*2),0)/1 * 0.1), 0) +
    IF(BB89-Uzman_D!$M$7&lt;0, -(BB89-Uzman_D!$M$7), BB89-Uzman_D!$M$7)*1
)</f>
        <v>-0.50000000000000022</v>
      </c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75"/>
      <c r="BO89" s="75"/>
      <c r="BP89" s="73">
        <f>1 - (
    SUM(
        IF(BD89-Uzman_D!$B$8&lt;0, -(BD89-Uzman_D!$B$8), BD89-Uzman_D!$B$8)*0.1 +
        IF(BE89-Uzman_D!$C$8&lt;0, -(BE89-Uzman_D!$C$8), BE89-Uzman_D!$C$8)*0.1 +
        IF(BF89-Uzman_D!$D$8&lt;0, -(BF89-Uzman_D!$D$8), BF89-Uzman_D!$D$8)*0.1 +
        IF(BG89-Uzman_D!$E$8&lt;0, -(BG89-Uzman_D!$E$8), BG89-Uzman_D!$E$8)*0.1 +
        IF(BH89-Uzman_D!$F$8&lt;0, -(BH89-Uzman_D!$F$8), BH89-Uzman_D!$F$8)*0.1 +
        IF(BI89-Uzman_D!$G$8&lt;0, -(BI89-Uzman_D!$G$8), BI89-Uzman_D!$G$8)*0.1 +
        IF(BJ89-Uzman_D!$H$8&lt;0, -(BJ89-Uzman_D!$H$8), BJ89-Uzman_D!$H$8)*0.1 +
        IF(BK89-Uzman_D!$I$8&lt;0, -(BK89-Uzman_D!$I$8), BK89-Uzman_D!$I$8)*0.1 +
        IF(BL89-Uzman_D!$J$8&lt;0, -(BL89-Uzman_D!$J$8), BL89-Uzman_D!$J$8)*0.1
    ) +
    IF(ROUND((IF(BN89-Uzman_D!$L$8&lt;0, -(BN89-Uzman_D!$L$8), BN89-Uzman_D!$L$8)*2),0)/2 = IF(BN89-Uzman_D!$L$8&lt;0, -(BN89-Uzman_D!$L$8), BN89-Uzman_D!$L$8),
    (ROUND((IF(BN89-Uzman_D!$L$8&lt;0, -(BN89-Uzman_D!$L$8), BN89-Uzman_D!$L$8)*2),0)/1 * 0.1), 0) +
    IF(BO89-Uzman_D!$M$8&lt;0, -(BO89-Uzman_D!$M$8), BO89-Uzman_D!$M$8)*1
)</f>
        <v>-0.20000000000000018</v>
      </c>
      <c r="BQ89" s="74">
        <f t="shared" si="1"/>
        <v>-0.54000000000000026</v>
      </c>
    </row>
    <row r="90" spans="1:69" ht="15" customHeight="1" x14ac:dyDescent="0.2">
      <c r="A90" s="57">
        <v>87</v>
      </c>
      <c r="B90" s="37">
        <f>Hakemler!B90</f>
        <v>0</v>
      </c>
      <c r="C90" s="37">
        <f>Hakemler!C90</f>
        <v>0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75"/>
      <c r="O90" s="75"/>
      <c r="P90" s="73">
        <f>1 - (
    SUM(
        IF(D90-Uzman_D!$B$4&lt;0, -(D90-Uzman_D!$B$4), D90-Uzman_D!$B$4)*0.1 +
        IF(E90-Uzman_D!$C$4&lt;0, -(E90-Uzman_D!$C$4), E90-Uzman_D!$C$4)*0.1 +
        IF(F90-Uzman_D!$D$4&lt;0, -(F90-Uzman_D!$D$4), F90-Uzman_D!$D$4)*0.1 +
        IF(G90-Uzman_D!$E$4&lt;0, -(G90-Uzman_D!$E$4), G90-Uzman_D!$E$4)*0.1 +
        IF(H90-Uzman_D!$F$4&lt;0, -(H90-Uzman_D!$F$4), H90-Uzman_D!$F$4)*0.1 +
        IF(I90-Uzman_D!$G$4&lt;0, -(I90-Uzman_D!$G$4), I90-Uzman_D!$G$4)*0.1 +
        IF(J90-Uzman_D!$H$4&lt;0, -(J90-Uzman_D!$H$4), J90-Uzman_D!$H$4)*0.1 +
        IF(K90-Uzman_D!$I$4&lt;0, -(K90-Uzman_D!$I$4), K90-Uzman_D!$I$4)*0.1 +
        IF(L90-Uzman_D!$J$4&lt;0, -(L90-Uzman_D!$J$4), L90-Uzman_D!$J$4)*0.1
    ) +
    IF(ROUND((IF(N90-Uzman_D!$L$4&lt;0, -(N90-Uzman_D!$L$4), N90-Uzman_D!$L$4)*2),0)/2 = IF(N90-Uzman_D!$L$4&lt;0, -(N90-Uzman_D!$L$4), N90-Uzman_D!$L$4),
    (ROUND((IF(N90-Uzman_D!$L$4&lt;0, -(N90-Uzman_D!$L$4), N90-Uzman_D!$L$4)*2),0)/1 * 0.1), 0) +
    IF(O90-Uzman_D!$M$4&lt;0, -(O90-Uzman_D!$M$4), O90-Uzman_D!$M$4)*1
)</f>
        <v>-0.90000000000000013</v>
      </c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75"/>
      <c r="AB90" s="75"/>
      <c r="AC90" s="73">
        <f>1 - (
    SUM(
        IF(Q90-Uzman_D!$B$5&lt;0, -(Q90-Uzman_D!$B$5), Q90-Uzman_D!$B$5)*0.1 +
        IF(R90-Uzman_D!$C$5&lt;0, -(R90-Uzman_D!$C$5), R90-Uzman_D!$C$5)*0.1 +
        IF(S90-Uzman_D!$D$5&lt;0, -(S90-Uzman_D!$D$5), S90-Uzman_D!$D$5)*0.1 +
        IF(T90-Uzman_D!$E$5&lt;0, -(T90-Uzman_D!$E$5), T90-Uzman_D!$E$5)*0.1 +
        IF(U90-Uzman_D!$F$5&lt;0, -(U90-Uzman_D!$F$5), U90-Uzman_D!$F$5)*0.1 +
        IF(V90-Uzman_D!$G$5&lt;0, -(V90-Uzman_D!$G$5), V90-Uzman_D!$G$5)*0.1 +
        IF(W90-Uzman_D!$H$5&lt;0, -(W90-Uzman_D!$H$5), W90-Uzman_D!$H$5)*0.1 +
        IF(X90-Uzman_D!$I$5&lt;0, -(X90-Uzman_D!$I$5), X90-Uzman_D!$I$5)*0.1 +
        IF(Y90-Uzman_D!$J$5&lt;0, -(Y90-Uzman_D!$J$5), Y90-Uzman_D!$J$5)*0.1
    ) +
    IF(ROUND((IF(AA90-Uzman_D!$L$5&lt;0, -(AA90-Uzman_D!$L$5), AA90-Uzman_D!$L$5)*2),0)/2 = IF(AA90-Uzman_D!$L$5&lt;0, -(AA90-Uzman_D!$L$5), AA90-Uzman_D!$L$5),
    (ROUND((IF(AA90-Uzman_D!$L$5&lt;0, -(AA90-Uzman_D!$L$5), AA90-Uzman_D!$L$5)*2),0)/1 * 0.1), 0) +
    IF(AB90-Uzman_D!$M$5&lt;0, -(AB90-Uzman_D!$M$5), AB90-Uzman_D!$M$5)*1
)</f>
        <v>-0.50000000000000022</v>
      </c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75"/>
      <c r="AO90" s="75"/>
      <c r="AP90" s="73">
        <f>1 - (
    SUM(
        IF(AD90-Uzman_D!$B$6&lt;0, -(AD90-Uzman_D!$B$6), AD90-Uzman_D!$B$6)*0.1 +
        IF(AE90-Uzman_D!$C$6&lt;0, -(AE90-Uzman_D!$C$6), AE90-Uzman_D!$C$6)*0.1 +
        IF(AF90-Uzman_D!$D$6&lt;0, -(AF90-Uzman_D!$D$6), AF90-Uzman_D!$D$6)*0.1 +
        IF(AG90-Uzman_D!$E$6&lt;0, -(AG90-Uzman_D!$E$6), AG90-Uzman_D!$E$6)*0.1 +
        IF(AH90-Uzman_D!$F$6&lt;0, -(AH90-Uzman_D!$F$6), AH90-Uzman_D!$F$6)*0.1 +
        IF(AI90-Uzman_D!$G$6&lt;0, -(AI90-Uzman_D!$G$6), AI90-Uzman_D!$G$6)*0.1 +
        IF(AJ90-Uzman_D!$H$6&lt;0, -(AJ90-Uzman_D!$H$6), AJ90-Uzman_D!$H$6)*0.1 +
        IF(AK90-Uzman_D!$I$6&lt;0, -(AK90-Uzman_D!$I$6), AK90-Uzman_D!$I$6)*0.1 +
        IF(AL90-Uzman_D!$J$6&lt;0, -(AL90-Uzman_D!$J$6), AL90-Uzman_D!$J$6)*0.1
    ) +
    IF(ROUND((IF(AN90-Uzman_D!$L$6&lt;0, -(AN90-Uzman_D!$L$6), AN90-Uzman_D!$L$6)*2),0)/2 = IF(AN90-Uzman_D!$L$6&lt;0, -(AN90-Uzman_D!$L$6), AN90-Uzman_D!$L$6),
    (ROUND((IF(AN90-Uzman_D!$L$6&lt;0, -(AN90-Uzman_D!$L$6), AN90-Uzman_D!$L$6)*2),0)/1 * 0.1), 0) +
    IF(AO90-Uzman_D!$M$6&lt;0, -(AO90-Uzman_D!$M$6), AO90-Uzman_D!$M$6)*1
)</f>
        <v>-0.60000000000000009</v>
      </c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75"/>
      <c r="BB90" s="75"/>
      <c r="BC90" s="73">
        <f>1 - (
    SUM(
        IF(AQ90-Uzman_D!$B$7&lt;0, -(AQ90-Uzman_D!$B$7), AQ90-Uzman_D!$B$7)*0.1 +
        IF(AR90-Uzman_D!$C$7&lt;0, -(AR90-Uzman_D!$C$7), AR90-Uzman_D!$C$7)*0.1 +
        IF(AS90-Uzman_D!$D$7&lt;0, -(AS90-Uzman_D!$D$7), AS90-Uzman_D!$D$7)*0.1 +
        IF(AT90-Uzman_D!$E$7&lt;0, -(AT90-Uzman_D!$E$7), AT90-Uzman_D!$E$7)*0.1 +
        IF(AU90-Uzman_D!$F$7&lt;0, -(AU90-Uzman_D!$F$7), AU90-Uzman_D!$F$7)*0.1 +
        IF(AV90-Uzman_D!$G$7&lt;0, -(AV90-Uzman_D!$G$7), AV90-Uzman_D!$G$7)*0.1 +
        IF(AW90-Uzman_D!$H$7&lt;0, -(AW90-Uzman_D!$H$7), AW90-Uzman_D!$H$7)*0.1 +
        IF(AX90-Uzman_D!$I$7&lt;0, -(AX90-Uzman_D!$I$7), AX90-Uzman_D!$I$7)*0.1 +
        IF(AY90-Uzman_D!$J$7&lt;0, -(AY90-Uzman_D!$J$7), AY90-Uzman_D!$J$7)*0.1
    ) +
    IF(ROUND((IF(BA90-Uzman_D!$L$7&lt;0, -(BA90-Uzman_D!$L$7), BA90-Uzman_D!$L$7)*2),0)/2 = IF(BA90-Uzman_D!$L$7&lt;0, -(BA90-Uzman_D!$L$7), BA90-Uzman_D!$L$7),
    (ROUND((IF(BA90-Uzman_D!$L$7&lt;0, -(BA90-Uzman_D!$L$7), BA90-Uzman_D!$L$7)*2),0)/1 * 0.1), 0) +
    IF(BB90-Uzman_D!$M$7&lt;0, -(BB90-Uzman_D!$M$7), BB90-Uzman_D!$M$7)*1
)</f>
        <v>-0.50000000000000022</v>
      </c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75"/>
      <c r="BO90" s="75"/>
      <c r="BP90" s="73">
        <f>1 - (
    SUM(
        IF(BD90-Uzman_D!$B$8&lt;0, -(BD90-Uzman_D!$B$8), BD90-Uzman_D!$B$8)*0.1 +
        IF(BE90-Uzman_D!$C$8&lt;0, -(BE90-Uzman_D!$C$8), BE90-Uzman_D!$C$8)*0.1 +
        IF(BF90-Uzman_D!$D$8&lt;0, -(BF90-Uzman_D!$D$8), BF90-Uzman_D!$D$8)*0.1 +
        IF(BG90-Uzman_D!$E$8&lt;0, -(BG90-Uzman_D!$E$8), BG90-Uzman_D!$E$8)*0.1 +
        IF(BH90-Uzman_D!$F$8&lt;0, -(BH90-Uzman_D!$F$8), BH90-Uzman_D!$F$8)*0.1 +
        IF(BI90-Uzman_D!$G$8&lt;0, -(BI90-Uzman_D!$G$8), BI90-Uzman_D!$G$8)*0.1 +
        IF(BJ90-Uzman_D!$H$8&lt;0, -(BJ90-Uzman_D!$H$8), BJ90-Uzman_D!$H$8)*0.1 +
        IF(BK90-Uzman_D!$I$8&lt;0, -(BK90-Uzman_D!$I$8), BK90-Uzman_D!$I$8)*0.1 +
        IF(BL90-Uzman_D!$J$8&lt;0, -(BL90-Uzman_D!$J$8), BL90-Uzman_D!$J$8)*0.1
    ) +
    IF(ROUND((IF(BN90-Uzman_D!$L$8&lt;0, -(BN90-Uzman_D!$L$8), BN90-Uzman_D!$L$8)*2),0)/2 = IF(BN90-Uzman_D!$L$8&lt;0, -(BN90-Uzman_D!$L$8), BN90-Uzman_D!$L$8),
    (ROUND((IF(BN90-Uzman_D!$L$8&lt;0, -(BN90-Uzman_D!$L$8), BN90-Uzman_D!$L$8)*2),0)/1 * 0.1), 0) +
    IF(BO90-Uzman_D!$M$8&lt;0, -(BO90-Uzman_D!$M$8), BO90-Uzman_D!$M$8)*1
)</f>
        <v>-0.20000000000000018</v>
      </c>
      <c r="BQ90" s="74">
        <f t="shared" si="1"/>
        <v>-0.54000000000000026</v>
      </c>
    </row>
    <row r="91" spans="1:69" ht="15" customHeight="1" x14ac:dyDescent="0.2">
      <c r="A91" s="57">
        <v>88</v>
      </c>
      <c r="B91" s="37">
        <f>Hakemler!B91</f>
        <v>0</v>
      </c>
      <c r="C91" s="37">
        <f>Hakemler!C91</f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75"/>
      <c r="O91" s="75"/>
      <c r="P91" s="73">
        <f>1 - (
    SUM(
        IF(D91-Uzman_D!$B$4&lt;0, -(D91-Uzman_D!$B$4), D91-Uzman_D!$B$4)*0.1 +
        IF(E91-Uzman_D!$C$4&lt;0, -(E91-Uzman_D!$C$4), E91-Uzman_D!$C$4)*0.1 +
        IF(F91-Uzman_D!$D$4&lt;0, -(F91-Uzman_D!$D$4), F91-Uzman_D!$D$4)*0.1 +
        IF(G91-Uzman_D!$E$4&lt;0, -(G91-Uzman_D!$E$4), G91-Uzman_D!$E$4)*0.1 +
        IF(H91-Uzman_D!$F$4&lt;0, -(H91-Uzman_D!$F$4), H91-Uzman_D!$F$4)*0.1 +
        IF(I91-Uzman_D!$G$4&lt;0, -(I91-Uzman_D!$G$4), I91-Uzman_D!$G$4)*0.1 +
        IF(J91-Uzman_D!$H$4&lt;0, -(J91-Uzman_D!$H$4), J91-Uzman_D!$H$4)*0.1 +
        IF(K91-Uzman_D!$I$4&lt;0, -(K91-Uzman_D!$I$4), K91-Uzman_D!$I$4)*0.1 +
        IF(L91-Uzman_D!$J$4&lt;0, -(L91-Uzman_D!$J$4), L91-Uzman_D!$J$4)*0.1
    ) +
    IF(ROUND((IF(N91-Uzman_D!$L$4&lt;0, -(N91-Uzman_D!$L$4), N91-Uzman_D!$L$4)*2),0)/2 = IF(N91-Uzman_D!$L$4&lt;0, -(N91-Uzman_D!$L$4), N91-Uzman_D!$L$4),
    (ROUND((IF(N91-Uzman_D!$L$4&lt;0, -(N91-Uzman_D!$L$4), N91-Uzman_D!$L$4)*2),0)/1 * 0.1), 0) +
    IF(O91-Uzman_D!$M$4&lt;0, -(O91-Uzman_D!$M$4), O91-Uzman_D!$M$4)*1
)</f>
        <v>-0.90000000000000013</v>
      </c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75"/>
      <c r="AB91" s="75"/>
      <c r="AC91" s="73">
        <f>1 - (
    SUM(
        IF(Q91-Uzman_D!$B$5&lt;0, -(Q91-Uzman_D!$B$5), Q91-Uzman_D!$B$5)*0.1 +
        IF(R91-Uzman_D!$C$5&lt;0, -(R91-Uzman_D!$C$5), R91-Uzman_D!$C$5)*0.1 +
        IF(S91-Uzman_D!$D$5&lt;0, -(S91-Uzman_D!$D$5), S91-Uzman_D!$D$5)*0.1 +
        IF(T91-Uzman_D!$E$5&lt;0, -(T91-Uzman_D!$E$5), T91-Uzman_D!$E$5)*0.1 +
        IF(U91-Uzman_D!$F$5&lt;0, -(U91-Uzman_D!$F$5), U91-Uzman_D!$F$5)*0.1 +
        IF(V91-Uzman_D!$G$5&lt;0, -(V91-Uzman_D!$G$5), V91-Uzman_D!$G$5)*0.1 +
        IF(W91-Uzman_D!$H$5&lt;0, -(W91-Uzman_D!$H$5), W91-Uzman_D!$H$5)*0.1 +
        IF(X91-Uzman_D!$I$5&lt;0, -(X91-Uzman_D!$I$5), X91-Uzman_D!$I$5)*0.1 +
        IF(Y91-Uzman_D!$J$5&lt;0, -(Y91-Uzman_D!$J$5), Y91-Uzman_D!$J$5)*0.1
    ) +
    IF(ROUND((IF(AA91-Uzman_D!$L$5&lt;0, -(AA91-Uzman_D!$L$5), AA91-Uzman_D!$L$5)*2),0)/2 = IF(AA91-Uzman_D!$L$5&lt;0, -(AA91-Uzman_D!$L$5), AA91-Uzman_D!$L$5),
    (ROUND((IF(AA91-Uzman_D!$L$5&lt;0, -(AA91-Uzman_D!$L$5), AA91-Uzman_D!$L$5)*2),0)/1 * 0.1), 0) +
    IF(AB91-Uzman_D!$M$5&lt;0, -(AB91-Uzman_D!$M$5), AB91-Uzman_D!$M$5)*1
)</f>
        <v>-0.50000000000000022</v>
      </c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75"/>
      <c r="AO91" s="75"/>
      <c r="AP91" s="73">
        <f>1 - (
    SUM(
        IF(AD91-Uzman_D!$B$6&lt;0, -(AD91-Uzman_D!$B$6), AD91-Uzman_D!$B$6)*0.1 +
        IF(AE91-Uzman_D!$C$6&lt;0, -(AE91-Uzman_D!$C$6), AE91-Uzman_D!$C$6)*0.1 +
        IF(AF91-Uzman_D!$D$6&lt;0, -(AF91-Uzman_D!$D$6), AF91-Uzman_D!$D$6)*0.1 +
        IF(AG91-Uzman_D!$E$6&lt;0, -(AG91-Uzman_D!$E$6), AG91-Uzman_D!$E$6)*0.1 +
        IF(AH91-Uzman_D!$F$6&lt;0, -(AH91-Uzman_D!$F$6), AH91-Uzman_D!$F$6)*0.1 +
        IF(AI91-Uzman_D!$G$6&lt;0, -(AI91-Uzman_D!$G$6), AI91-Uzman_D!$G$6)*0.1 +
        IF(AJ91-Uzman_D!$H$6&lt;0, -(AJ91-Uzman_D!$H$6), AJ91-Uzman_D!$H$6)*0.1 +
        IF(AK91-Uzman_D!$I$6&lt;0, -(AK91-Uzman_D!$I$6), AK91-Uzman_D!$I$6)*0.1 +
        IF(AL91-Uzman_D!$J$6&lt;0, -(AL91-Uzman_D!$J$6), AL91-Uzman_D!$J$6)*0.1
    ) +
    IF(ROUND((IF(AN91-Uzman_D!$L$6&lt;0, -(AN91-Uzman_D!$L$6), AN91-Uzman_D!$L$6)*2),0)/2 = IF(AN91-Uzman_D!$L$6&lt;0, -(AN91-Uzman_D!$L$6), AN91-Uzman_D!$L$6),
    (ROUND((IF(AN91-Uzman_D!$L$6&lt;0, -(AN91-Uzman_D!$L$6), AN91-Uzman_D!$L$6)*2),0)/1 * 0.1), 0) +
    IF(AO91-Uzman_D!$M$6&lt;0, -(AO91-Uzman_D!$M$6), AO91-Uzman_D!$M$6)*1
)</f>
        <v>-0.60000000000000009</v>
      </c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75"/>
      <c r="BB91" s="75"/>
      <c r="BC91" s="73">
        <f>1 - (
    SUM(
        IF(AQ91-Uzman_D!$B$7&lt;0, -(AQ91-Uzman_D!$B$7), AQ91-Uzman_D!$B$7)*0.1 +
        IF(AR91-Uzman_D!$C$7&lt;0, -(AR91-Uzman_D!$C$7), AR91-Uzman_D!$C$7)*0.1 +
        IF(AS91-Uzman_D!$D$7&lt;0, -(AS91-Uzman_D!$D$7), AS91-Uzman_D!$D$7)*0.1 +
        IF(AT91-Uzman_D!$E$7&lt;0, -(AT91-Uzman_D!$E$7), AT91-Uzman_D!$E$7)*0.1 +
        IF(AU91-Uzman_D!$F$7&lt;0, -(AU91-Uzman_D!$F$7), AU91-Uzman_D!$F$7)*0.1 +
        IF(AV91-Uzman_D!$G$7&lt;0, -(AV91-Uzman_D!$G$7), AV91-Uzman_D!$G$7)*0.1 +
        IF(AW91-Uzman_D!$H$7&lt;0, -(AW91-Uzman_D!$H$7), AW91-Uzman_D!$H$7)*0.1 +
        IF(AX91-Uzman_D!$I$7&lt;0, -(AX91-Uzman_D!$I$7), AX91-Uzman_D!$I$7)*0.1 +
        IF(AY91-Uzman_D!$J$7&lt;0, -(AY91-Uzman_D!$J$7), AY91-Uzman_D!$J$7)*0.1
    ) +
    IF(ROUND((IF(BA91-Uzman_D!$L$7&lt;0, -(BA91-Uzman_D!$L$7), BA91-Uzman_D!$L$7)*2),0)/2 = IF(BA91-Uzman_D!$L$7&lt;0, -(BA91-Uzman_D!$L$7), BA91-Uzman_D!$L$7),
    (ROUND((IF(BA91-Uzman_D!$L$7&lt;0, -(BA91-Uzman_D!$L$7), BA91-Uzman_D!$L$7)*2),0)/1 * 0.1), 0) +
    IF(BB91-Uzman_D!$M$7&lt;0, -(BB91-Uzman_D!$M$7), BB91-Uzman_D!$M$7)*1
)</f>
        <v>-0.50000000000000022</v>
      </c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75"/>
      <c r="BO91" s="75"/>
      <c r="BP91" s="73">
        <f>1 - (
    SUM(
        IF(BD91-Uzman_D!$B$8&lt;0, -(BD91-Uzman_D!$B$8), BD91-Uzman_D!$B$8)*0.1 +
        IF(BE91-Uzman_D!$C$8&lt;0, -(BE91-Uzman_D!$C$8), BE91-Uzman_D!$C$8)*0.1 +
        IF(BF91-Uzman_D!$D$8&lt;0, -(BF91-Uzman_D!$D$8), BF91-Uzman_D!$D$8)*0.1 +
        IF(BG91-Uzman_D!$E$8&lt;0, -(BG91-Uzman_D!$E$8), BG91-Uzman_D!$E$8)*0.1 +
        IF(BH91-Uzman_D!$F$8&lt;0, -(BH91-Uzman_D!$F$8), BH91-Uzman_D!$F$8)*0.1 +
        IF(BI91-Uzman_D!$G$8&lt;0, -(BI91-Uzman_D!$G$8), BI91-Uzman_D!$G$8)*0.1 +
        IF(BJ91-Uzman_D!$H$8&lt;0, -(BJ91-Uzman_D!$H$8), BJ91-Uzman_D!$H$8)*0.1 +
        IF(BK91-Uzman_D!$I$8&lt;0, -(BK91-Uzman_D!$I$8), BK91-Uzman_D!$I$8)*0.1 +
        IF(BL91-Uzman_D!$J$8&lt;0, -(BL91-Uzman_D!$J$8), BL91-Uzman_D!$J$8)*0.1
    ) +
    IF(ROUND((IF(BN91-Uzman_D!$L$8&lt;0, -(BN91-Uzman_D!$L$8), BN91-Uzman_D!$L$8)*2),0)/2 = IF(BN91-Uzman_D!$L$8&lt;0, -(BN91-Uzman_D!$L$8), BN91-Uzman_D!$L$8),
    (ROUND((IF(BN91-Uzman_D!$L$8&lt;0, -(BN91-Uzman_D!$L$8), BN91-Uzman_D!$L$8)*2),0)/1 * 0.1), 0) +
    IF(BO91-Uzman_D!$M$8&lt;0, -(BO91-Uzman_D!$M$8), BO91-Uzman_D!$M$8)*1
)</f>
        <v>-0.20000000000000018</v>
      </c>
      <c r="BQ91" s="74">
        <f t="shared" si="1"/>
        <v>-0.54000000000000026</v>
      </c>
    </row>
    <row r="92" spans="1:69" ht="15" customHeight="1" x14ac:dyDescent="0.2">
      <c r="A92" s="57">
        <v>89</v>
      </c>
      <c r="B92" s="37">
        <f>Hakemler!B92</f>
        <v>0</v>
      </c>
      <c r="C92" s="37">
        <f>Hakemler!C92</f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75"/>
      <c r="O92" s="75"/>
      <c r="P92" s="73">
        <f>1 - (
    SUM(
        IF(D92-Uzman_D!$B$4&lt;0, -(D92-Uzman_D!$B$4), D92-Uzman_D!$B$4)*0.1 +
        IF(E92-Uzman_D!$C$4&lt;0, -(E92-Uzman_D!$C$4), E92-Uzman_D!$C$4)*0.1 +
        IF(F92-Uzman_D!$D$4&lt;0, -(F92-Uzman_D!$D$4), F92-Uzman_D!$D$4)*0.1 +
        IF(G92-Uzman_D!$E$4&lt;0, -(G92-Uzman_D!$E$4), G92-Uzman_D!$E$4)*0.1 +
        IF(H92-Uzman_D!$F$4&lt;0, -(H92-Uzman_D!$F$4), H92-Uzman_D!$F$4)*0.1 +
        IF(I92-Uzman_D!$G$4&lt;0, -(I92-Uzman_D!$G$4), I92-Uzman_D!$G$4)*0.1 +
        IF(J92-Uzman_D!$H$4&lt;0, -(J92-Uzman_D!$H$4), J92-Uzman_D!$H$4)*0.1 +
        IF(K92-Uzman_D!$I$4&lt;0, -(K92-Uzman_D!$I$4), K92-Uzman_D!$I$4)*0.1 +
        IF(L92-Uzman_D!$J$4&lt;0, -(L92-Uzman_D!$J$4), L92-Uzman_D!$J$4)*0.1
    ) +
    IF(ROUND((IF(N92-Uzman_D!$L$4&lt;0, -(N92-Uzman_D!$L$4), N92-Uzman_D!$L$4)*2),0)/2 = IF(N92-Uzman_D!$L$4&lt;0, -(N92-Uzman_D!$L$4), N92-Uzman_D!$L$4),
    (ROUND((IF(N92-Uzman_D!$L$4&lt;0, -(N92-Uzman_D!$L$4), N92-Uzman_D!$L$4)*2),0)/1 * 0.1), 0) +
    IF(O92-Uzman_D!$M$4&lt;0, -(O92-Uzman_D!$M$4), O92-Uzman_D!$M$4)*1
)</f>
        <v>-0.90000000000000013</v>
      </c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75"/>
      <c r="AB92" s="75"/>
      <c r="AC92" s="73">
        <f>1 - (
    SUM(
        IF(Q92-Uzman_D!$B$5&lt;0, -(Q92-Uzman_D!$B$5), Q92-Uzman_D!$B$5)*0.1 +
        IF(R92-Uzman_D!$C$5&lt;0, -(R92-Uzman_D!$C$5), R92-Uzman_D!$C$5)*0.1 +
        IF(S92-Uzman_D!$D$5&lt;0, -(S92-Uzman_D!$D$5), S92-Uzman_D!$D$5)*0.1 +
        IF(T92-Uzman_D!$E$5&lt;0, -(T92-Uzman_D!$E$5), T92-Uzman_D!$E$5)*0.1 +
        IF(U92-Uzman_D!$F$5&lt;0, -(U92-Uzman_D!$F$5), U92-Uzman_D!$F$5)*0.1 +
        IF(V92-Uzman_D!$G$5&lt;0, -(V92-Uzman_D!$G$5), V92-Uzman_D!$G$5)*0.1 +
        IF(W92-Uzman_D!$H$5&lt;0, -(W92-Uzman_D!$H$5), W92-Uzman_D!$H$5)*0.1 +
        IF(X92-Uzman_D!$I$5&lt;0, -(X92-Uzman_D!$I$5), X92-Uzman_D!$I$5)*0.1 +
        IF(Y92-Uzman_D!$J$5&lt;0, -(Y92-Uzman_D!$J$5), Y92-Uzman_D!$J$5)*0.1
    ) +
    IF(ROUND((IF(AA92-Uzman_D!$L$5&lt;0, -(AA92-Uzman_D!$L$5), AA92-Uzman_D!$L$5)*2),0)/2 = IF(AA92-Uzman_D!$L$5&lt;0, -(AA92-Uzman_D!$L$5), AA92-Uzman_D!$L$5),
    (ROUND((IF(AA92-Uzman_D!$L$5&lt;0, -(AA92-Uzman_D!$L$5), AA92-Uzman_D!$L$5)*2),0)/1 * 0.1), 0) +
    IF(AB92-Uzman_D!$M$5&lt;0, -(AB92-Uzman_D!$M$5), AB92-Uzman_D!$M$5)*1
)</f>
        <v>-0.50000000000000022</v>
      </c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75"/>
      <c r="AO92" s="75"/>
      <c r="AP92" s="73">
        <f>1 - (
    SUM(
        IF(AD92-Uzman_D!$B$6&lt;0, -(AD92-Uzman_D!$B$6), AD92-Uzman_D!$B$6)*0.1 +
        IF(AE92-Uzman_D!$C$6&lt;0, -(AE92-Uzman_D!$C$6), AE92-Uzman_D!$C$6)*0.1 +
        IF(AF92-Uzman_D!$D$6&lt;0, -(AF92-Uzman_D!$D$6), AF92-Uzman_D!$D$6)*0.1 +
        IF(AG92-Uzman_D!$E$6&lt;0, -(AG92-Uzman_D!$E$6), AG92-Uzman_D!$E$6)*0.1 +
        IF(AH92-Uzman_D!$F$6&lt;0, -(AH92-Uzman_D!$F$6), AH92-Uzman_D!$F$6)*0.1 +
        IF(AI92-Uzman_D!$G$6&lt;0, -(AI92-Uzman_D!$G$6), AI92-Uzman_D!$G$6)*0.1 +
        IF(AJ92-Uzman_D!$H$6&lt;0, -(AJ92-Uzman_D!$H$6), AJ92-Uzman_D!$H$6)*0.1 +
        IF(AK92-Uzman_D!$I$6&lt;0, -(AK92-Uzman_D!$I$6), AK92-Uzman_D!$I$6)*0.1 +
        IF(AL92-Uzman_D!$J$6&lt;0, -(AL92-Uzman_D!$J$6), AL92-Uzman_D!$J$6)*0.1
    ) +
    IF(ROUND((IF(AN92-Uzman_D!$L$6&lt;0, -(AN92-Uzman_D!$L$6), AN92-Uzman_D!$L$6)*2),0)/2 = IF(AN92-Uzman_D!$L$6&lt;0, -(AN92-Uzman_D!$L$6), AN92-Uzman_D!$L$6),
    (ROUND((IF(AN92-Uzman_D!$L$6&lt;0, -(AN92-Uzman_D!$L$6), AN92-Uzman_D!$L$6)*2),0)/1 * 0.1), 0) +
    IF(AO92-Uzman_D!$M$6&lt;0, -(AO92-Uzman_D!$M$6), AO92-Uzman_D!$M$6)*1
)</f>
        <v>-0.60000000000000009</v>
      </c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75"/>
      <c r="BB92" s="75"/>
      <c r="BC92" s="73">
        <f>1 - (
    SUM(
        IF(AQ92-Uzman_D!$B$7&lt;0, -(AQ92-Uzman_D!$B$7), AQ92-Uzman_D!$B$7)*0.1 +
        IF(AR92-Uzman_D!$C$7&lt;0, -(AR92-Uzman_D!$C$7), AR92-Uzman_D!$C$7)*0.1 +
        IF(AS92-Uzman_D!$D$7&lt;0, -(AS92-Uzman_D!$D$7), AS92-Uzman_D!$D$7)*0.1 +
        IF(AT92-Uzman_D!$E$7&lt;0, -(AT92-Uzman_D!$E$7), AT92-Uzman_D!$E$7)*0.1 +
        IF(AU92-Uzman_D!$F$7&lt;0, -(AU92-Uzman_D!$F$7), AU92-Uzman_D!$F$7)*0.1 +
        IF(AV92-Uzman_D!$G$7&lt;0, -(AV92-Uzman_D!$G$7), AV92-Uzman_D!$G$7)*0.1 +
        IF(AW92-Uzman_D!$H$7&lt;0, -(AW92-Uzman_D!$H$7), AW92-Uzman_D!$H$7)*0.1 +
        IF(AX92-Uzman_D!$I$7&lt;0, -(AX92-Uzman_D!$I$7), AX92-Uzman_D!$I$7)*0.1 +
        IF(AY92-Uzman_D!$J$7&lt;0, -(AY92-Uzman_D!$J$7), AY92-Uzman_D!$J$7)*0.1
    ) +
    IF(ROUND((IF(BA92-Uzman_D!$L$7&lt;0, -(BA92-Uzman_D!$L$7), BA92-Uzman_D!$L$7)*2),0)/2 = IF(BA92-Uzman_D!$L$7&lt;0, -(BA92-Uzman_D!$L$7), BA92-Uzman_D!$L$7),
    (ROUND((IF(BA92-Uzman_D!$L$7&lt;0, -(BA92-Uzman_D!$L$7), BA92-Uzman_D!$L$7)*2),0)/1 * 0.1), 0) +
    IF(BB92-Uzman_D!$M$7&lt;0, -(BB92-Uzman_D!$M$7), BB92-Uzman_D!$M$7)*1
)</f>
        <v>-0.50000000000000022</v>
      </c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75"/>
      <c r="BO92" s="75"/>
      <c r="BP92" s="73">
        <f>1 - (
    SUM(
        IF(BD92-Uzman_D!$B$8&lt;0, -(BD92-Uzman_D!$B$8), BD92-Uzman_D!$B$8)*0.1 +
        IF(BE92-Uzman_D!$C$8&lt;0, -(BE92-Uzman_D!$C$8), BE92-Uzman_D!$C$8)*0.1 +
        IF(BF92-Uzman_D!$D$8&lt;0, -(BF92-Uzman_D!$D$8), BF92-Uzman_D!$D$8)*0.1 +
        IF(BG92-Uzman_D!$E$8&lt;0, -(BG92-Uzman_D!$E$8), BG92-Uzman_D!$E$8)*0.1 +
        IF(BH92-Uzman_D!$F$8&lt;0, -(BH92-Uzman_D!$F$8), BH92-Uzman_D!$F$8)*0.1 +
        IF(BI92-Uzman_D!$G$8&lt;0, -(BI92-Uzman_D!$G$8), BI92-Uzman_D!$G$8)*0.1 +
        IF(BJ92-Uzman_D!$H$8&lt;0, -(BJ92-Uzman_D!$H$8), BJ92-Uzman_D!$H$8)*0.1 +
        IF(BK92-Uzman_D!$I$8&lt;0, -(BK92-Uzman_D!$I$8), BK92-Uzman_D!$I$8)*0.1 +
        IF(BL92-Uzman_D!$J$8&lt;0, -(BL92-Uzman_D!$J$8), BL92-Uzman_D!$J$8)*0.1
    ) +
    IF(ROUND((IF(BN92-Uzman_D!$L$8&lt;0, -(BN92-Uzman_D!$L$8), BN92-Uzman_D!$L$8)*2),0)/2 = IF(BN92-Uzman_D!$L$8&lt;0, -(BN92-Uzman_D!$L$8), BN92-Uzman_D!$L$8),
    (ROUND((IF(BN92-Uzman_D!$L$8&lt;0, -(BN92-Uzman_D!$L$8), BN92-Uzman_D!$L$8)*2),0)/1 * 0.1), 0) +
    IF(BO92-Uzman_D!$M$8&lt;0, -(BO92-Uzman_D!$M$8), BO92-Uzman_D!$M$8)*1
)</f>
        <v>-0.20000000000000018</v>
      </c>
      <c r="BQ92" s="74">
        <f t="shared" si="1"/>
        <v>-0.54000000000000026</v>
      </c>
    </row>
    <row r="93" spans="1:69" ht="15" customHeight="1" x14ac:dyDescent="0.2">
      <c r="A93" s="57">
        <v>90</v>
      </c>
      <c r="B93" s="37">
        <f>Hakemler!B93</f>
        <v>0</v>
      </c>
      <c r="C93" s="37">
        <f>Hakemler!C93</f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75"/>
      <c r="O93" s="75"/>
      <c r="P93" s="73">
        <f>1 - (
    SUM(
        IF(D93-Uzman_D!$B$4&lt;0, -(D93-Uzman_D!$B$4), D93-Uzman_D!$B$4)*0.1 +
        IF(E93-Uzman_D!$C$4&lt;0, -(E93-Uzman_D!$C$4), E93-Uzman_D!$C$4)*0.1 +
        IF(F93-Uzman_D!$D$4&lt;0, -(F93-Uzman_D!$D$4), F93-Uzman_D!$D$4)*0.1 +
        IF(G93-Uzman_D!$E$4&lt;0, -(G93-Uzman_D!$E$4), G93-Uzman_D!$E$4)*0.1 +
        IF(H93-Uzman_D!$F$4&lt;0, -(H93-Uzman_D!$F$4), H93-Uzman_D!$F$4)*0.1 +
        IF(I93-Uzman_D!$G$4&lt;0, -(I93-Uzman_D!$G$4), I93-Uzman_D!$G$4)*0.1 +
        IF(J93-Uzman_D!$H$4&lt;0, -(J93-Uzman_D!$H$4), J93-Uzman_D!$H$4)*0.1 +
        IF(K93-Uzman_D!$I$4&lt;0, -(K93-Uzman_D!$I$4), K93-Uzman_D!$I$4)*0.1 +
        IF(L93-Uzman_D!$J$4&lt;0, -(L93-Uzman_D!$J$4), L93-Uzman_D!$J$4)*0.1
    ) +
    IF(ROUND((IF(N93-Uzman_D!$L$4&lt;0, -(N93-Uzman_D!$L$4), N93-Uzman_D!$L$4)*2),0)/2 = IF(N93-Uzman_D!$L$4&lt;0, -(N93-Uzman_D!$L$4), N93-Uzman_D!$L$4),
    (ROUND((IF(N93-Uzman_D!$L$4&lt;0, -(N93-Uzman_D!$L$4), N93-Uzman_D!$L$4)*2),0)/1 * 0.1), 0) +
    IF(O93-Uzman_D!$M$4&lt;0, -(O93-Uzman_D!$M$4), O93-Uzman_D!$M$4)*1
)</f>
        <v>-0.90000000000000013</v>
      </c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75"/>
      <c r="AB93" s="75"/>
      <c r="AC93" s="73">
        <f>1 - (
    SUM(
        IF(Q93-Uzman_D!$B$5&lt;0, -(Q93-Uzman_D!$B$5), Q93-Uzman_D!$B$5)*0.1 +
        IF(R93-Uzman_D!$C$5&lt;0, -(R93-Uzman_D!$C$5), R93-Uzman_D!$C$5)*0.1 +
        IF(S93-Uzman_D!$D$5&lt;0, -(S93-Uzman_D!$D$5), S93-Uzman_D!$D$5)*0.1 +
        IF(T93-Uzman_D!$E$5&lt;0, -(T93-Uzman_D!$E$5), T93-Uzman_D!$E$5)*0.1 +
        IF(U93-Uzman_D!$F$5&lt;0, -(U93-Uzman_D!$F$5), U93-Uzman_D!$F$5)*0.1 +
        IF(V93-Uzman_D!$G$5&lt;0, -(V93-Uzman_D!$G$5), V93-Uzman_D!$G$5)*0.1 +
        IF(W93-Uzman_D!$H$5&lt;0, -(W93-Uzman_D!$H$5), W93-Uzman_D!$H$5)*0.1 +
        IF(X93-Uzman_D!$I$5&lt;0, -(X93-Uzman_D!$I$5), X93-Uzman_D!$I$5)*0.1 +
        IF(Y93-Uzman_D!$J$5&lt;0, -(Y93-Uzman_D!$J$5), Y93-Uzman_D!$J$5)*0.1
    ) +
    IF(ROUND((IF(AA93-Uzman_D!$L$5&lt;0, -(AA93-Uzman_D!$L$5), AA93-Uzman_D!$L$5)*2),0)/2 = IF(AA93-Uzman_D!$L$5&lt;0, -(AA93-Uzman_D!$L$5), AA93-Uzman_D!$L$5),
    (ROUND((IF(AA93-Uzman_D!$L$5&lt;0, -(AA93-Uzman_D!$L$5), AA93-Uzman_D!$L$5)*2),0)/1 * 0.1), 0) +
    IF(AB93-Uzman_D!$M$5&lt;0, -(AB93-Uzman_D!$M$5), AB93-Uzman_D!$M$5)*1
)</f>
        <v>-0.50000000000000022</v>
      </c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75"/>
      <c r="AO93" s="75"/>
      <c r="AP93" s="73">
        <f>1 - (
    SUM(
        IF(AD93-Uzman_D!$B$6&lt;0, -(AD93-Uzman_D!$B$6), AD93-Uzman_D!$B$6)*0.1 +
        IF(AE93-Uzman_D!$C$6&lt;0, -(AE93-Uzman_D!$C$6), AE93-Uzman_D!$C$6)*0.1 +
        IF(AF93-Uzman_D!$D$6&lt;0, -(AF93-Uzman_D!$D$6), AF93-Uzman_D!$D$6)*0.1 +
        IF(AG93-Uzman_D!$E$6&lt;0, -(AG93-Uzman_D!$E$6), AG93-Uzman_D!$E$6)*0.1 +
        IF(AH93-Uzman_D!$F$6&lt;0, -(AH93-Uzman_D!$F$6), AH93-Uzman_D!$F$6)*0.1 +
        IF(AI93-Uzman_D!$G$6&lt;0, -(AI93-Uzman_D!$G$6), AI93-Uzman_D!$G$6)*0.1 +
        IF(AJ93-Uzman_D!$H$6&lt;0, -(AJ93-Uzman_D!$H$6), AJ93-Uzman_D!$H$6)*0.1 +
        IF(AK93-Uzman_D!$I$6&lt;0, -(AK93-Uzman_D!$I$6), AK93-Uzman_D!$I$6)*0.1 +
        IF(AL93-Uzman_D!$J$6&lt;0, -(AL93-Uzman_D!$J$6), AL93-Uzman_D!$J$6)*0.1
    ) +
    IF(ROUND((IF(AN93-Uzman_D!$L$6&lt;0, -(AN93-Uzman_D!$L$6), AN93-Uzman_D!$L$6)*2),0)/2 = IF(AN93-Uzman_D!$L$6&lt;0, -(AN93-Uzman_D!$L$6), AN93-Uzman_D!$L$6),
    (ROUND((IF(AN93-Uzman_D!$L$6&lt;0, -(AN93-Uzman_D!$L$6), AN93-Uzman_D!$L$6)*2),0)/1 * 0.1), 0) +
    IF(AO93-Uzman_D!$M$6&lt;0, -(AO93-Uzman_D!$M$6), AO93-Uzman_D!$M$6)*1
)</f>
        <v>-0.60000000000000009</v>
      </c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75"/>
      <c r="BB93" s="75"/>
      <c r="BC93" s="73">
        <f>1 - (
    SUM(
        IF(AQ93-Uzman_D!$B$7&lt;0, -(AQ93-Uzman_D!$B$7), AQ93-Uzman_D!$B$7)*0.1 +
        IF(AR93-Uzman_D!$C$7&lt;0, -(AR93-Uzman_D!$C$7), AR93-Uzman_D!$C$7)*0.1 +
        IF(AS93-Uzman_D!$D$7&lt;0, -(AS93-Uzman_D!$D$7), AS93-Uzman_D!$D$7)*0.1 +
        IF(AT93-Uzman_D!$E$7&lt;0, -(AT93-Uzman_D!$E$7), AT93-Uzman_D!$E$7)*0.1 +
        IF(AU93-Uzman_D!$F$7&lt;0, -(AU93-Uzman_D!$F$7), AU93-Uzman_D!$F$7)*0.1 +
        IF(AV93-Uzman_D!$G$7&lt;0, -(AV93-Uzman_D!$G$7), AV93-Uzman_D!$G$7)*0.1 +
        IF(AW93-Uzman_D!$H$7&lt;0, -(AW93-Uzman_D!$H$7), AW93-Uzman_D!$H$7)*0.1 +
        IF(AX93-Uzman_D!$I$7&lt;0, -(AX93-Uzman_D!$I$7), AX93-Uzman_D!$I$7)*0.1 +
        IF(AY93-Uzman_D!$J$7&lt;0, -(AY93-Uzman_D!$J$7), AY93-Uzman_D!$J$7)*0.1
    ) +
    IF(ROUND((IF(BA93-Uzman_D!$L$7&lt;0, -(BA93-Uzman_D!$L$7), BA93-Uzman_D!$L$7)*2),0)/2 = IF(BA93-Uzman_D!$L$7&lt;0, -(BA93-Uzman_D!$L$7), BA93-Uzman_D!$L$7),
    (ROUND((IF(BA93-Uzman_D!$L$7&lt;0, -(BA93-Uzman_D!$L$7), BA93-Uzman_D!$L$7)*2),0)/1 * 0.1), 0) +
    IF(BB93-Uzman_D!$M$7&lt;0, -(BB93-Uzman_D!$M$7), BB93-Uzman_D!$M$7)*1
)</f>
        <v>-0.50000000000000022</v>
      </c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75"/>
      <c r="BO93" s="75"/>
      <c r="BP93" s="73">
        <f>1 - (
    SUM(
        IF(BD93-Uzman_D!$B$8&lt;0, -(BD93-Uzman_D!$B$8), BD93-Uzman_D!$B$8)*0.1 +
        IF(BE93-Uzman_D!$C$8&lt;0, -(BE93-Uzman_D!$C$8), BE93-Uzman_D!$C$8)*0.1 +
        IF(BF93-Uzman_D!$D$8&lt;0, -(BF93-Uzman_D!$D$8), BF93-Uzman_D!$D$8)*0.1 +
        IF(BG93-Uzman_D!$E$8&lt;0, -(BG93-Uzman_D!$E$8), BG93-Uzman_D!$E$8)*0.1 +
        IF(BH93-Uzman_D!$F$8&lt;0, -(BH93-Uzman_D!$F$8), BH93-Uzman_D!$F$8)*0.1 +
        IF(BI93-Uzman_D!$G$8&lt;0, -(BI93-Uzman_D!$G$8), BI93-Uzman_D!$G$8)*0.1 +
        IF(BJ93-Uzman_D!$H$8&lt;0, -(BJ93-Uzman_D!$H$8), BJ93-Uzman_D!$H$8)*0.1 +
        IF(BK93-Uzman_D!$I$8&lt;0, -(BK93-Uzman_D!$I$8), BK93-Uzman_D!$I$8)*0.1 +
        IF(BL93-Uzman_D!$J$8&lt;0, -(BL93-Uzman_D!$J$8), BL93-Uzman_D!$J$8)*0.1
    ) +
    IF(ROUND((IF(BN93-Uzman_D!$L$8&lt;0, -(BN93-Uzman_D!$L$8), BN93-Uzman_D!$L$8)*2),0)/2 = IF(BN93-Uzman_D!$L$8&lt;0, -(BN93-Uzman_D!$L$8), BN93-Uzman_D!$L$8),
    (ROUND((IF(BN93-Uzman_D!$L$8&lt;0, -(BN93-Uzman_D!$L$8), BN93-Uzman_D!$L$8)*2),0)/1 * 0.1), 0) +
    IF(BO93-Uzman_D!$M$8&lt;0, -(BO93-Uzman_D!$M$8), BO93-Uzman_D!$M$8)*1
)</f>
        <v>-0.20000000000000018</v>
      </c>
      <c r="BQ93" s="74">
        <f t="shared" si="1"/>
        <v>-0.54000000000000026</v>
      </c>
    </row>
    <row r="94" spans="1:69" ht="15" customHeight="1" x14ac:dyDescent="0.2">
      <c r="A94" s="57">
        <v>91</v>
      </c>
      <c r="B94" s="37">
        <f>Hakemler!B94</f>
        <v>0</v>
      </c>
      <c r="C94" s="37">
        <f>Hakemler!C94</f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75"/>
      <c r="O94" s="75"/>
      <c r="P94" s="73">
        <f>1 - (
    SUM(
        IF(D94-Uzman_D!$B$4&lt;0, -(D94-Uzman_D!$B$4), D94-Uzman_D!$B$4)*0.1 +
        IF(E94-Uzman_D!$C$4&lt;0, -(E94-Uzman_D!$C$4), E94-Uzman_D!$C$4)*0.1 +
        IF(F94-Uzman_D!$D$4&lt;0, -(F94-Uzman_D!$D$4), F94-Uzman_D!$D$4)*0.1 +
        IF(G94-Uzman_D!$E$4&lt;0, -(G94-Uzman_D!$E$4), G94-Uzman_D!$E$4)*0.1 +
        IF(H94-Uzman_D!$F$4&lt;0, -(H94-Uzman_D!$F$4), H94-Uzman_D!$F$4)*0.1 +
        IF(I94-Uzman_D!$G$4&lt;0, -(I94-Uzman_D!$G$4), I94-Uzman_D!$G$4)*0.1 +
        IF(J94-Uzman_D!$H$4&lt;0, -(J94-Uzman_D!$H$4), J94-Uzman_D!$H$4)*0.1 +
        IF(K94-Uzman_D!$I$4&lt;0, -(K94-Uzman_D!$I$4), K94-Uzman_D!$I$4)*0.1 +
        IF(L94-Uzman_D!$J$4&lt;0, -(L94-Uzman_D!$J$4), L94-Uzman_D!$J$4)*0.1
    ) +
    IF(ROUND((IF(N94-Uzman_D!$L$4&lt;0, -(N94-Uzman_D!$L$4), N94-Uzman_D!$L$4)*2),0)/2 = IF(N94-Uzman_D!$L$4&lt;0, -(N94-Uzman_D!$L$4), N94-Uzman_D!$L$4),
    (ROUND((IF(N94-Uzman_D!$L$4&lt;0, -(N94-Uzman_D!$L$4), N94-Uzman_D!$L$4)*2),0)/1 * 0.1), 0) +
    IF(O94-Uzman_D!$M$4&lt;0, -(O94-Uzman_D!$M$4), O94-Uzman_D!$M$4)*1
)</f>
        <v>-0.90000000000000013</v>
      </c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75"/>
      <c r="AB94" s="75"/>
      <c r="AC94" s="73">
        <f>1 - (
    SUM(
        IF(Q94-Uzman_D!$B$5&lt;0, -(Q94-Uzman_D!$B$5), Q94-Uzman_D!$B$5)*0.1 +
        IF(R94-Uzman_D!$C$5&lt;0, -(R94-Uzman_D!$C$5), R94-Uzman_D!$C$5)*0.1 +
        IF(S94-Uzman_D!$D$5&lt;0, -(S94-Uzman_D!$D$5), S94-Uzman_D!$D$5)*0.1 +
        IF(T94-Uzman_D!$E$5&lt;0, -(T94-Uzman_D!$E$5), T94-Uzman_D!$E$5)*0.1 +
        IF(U94-Uzman_D!$F$5&lt;0, -(U94-Uzman_D!$F$5), U94-Uzman_D!$F$5)*0.1 +
        IF(V94-Uzman_D!$G$5&lt;0, -(V94-Uzman_D!$G$5), V94-Uzman_D!$G$5)*0.1 +
        IF(W94-Uzman_D!$H$5&lt;0, -(W94-Uzman_D!$H$5), W94-Uzman_D!$H$5)*0.1 +
        IF(X94-Uzman_D!$I$5&lt;0, -(X94-Uzman_D!$I$5), X94-Uzman_D!$I$5)*0.1 +
        IF(Y94-Uzman_D!$J$5&lt;0, -(Y94-Uzman_D!$J$5), Y94-Uzman_D!$J$5)*0.1
    ) +
    IF(ROUND((IF(AA94-Uzman_D!$L$5&lt;0, -(AA94-Uzman_D!$L$5), AA94-Uzman_D!$L$5)*2),0)/2 = IF(AA94-Uzman_D!$L$5&lt;0, -(AA94-Uzman_D!$L$5), AA94-Uzman_D!$L$5),
    (ROUND((IF(AA94-Uzman_D!$L$5&lt;0, -(AA94-Uzman_D!$L$5), AA94-Uzman_D!$L$5)*2),0)/1 * 0.1), 0) +
    IF(AB94-Uzman_D!$M$5&lt;0, -(AB94-Uzman_D!$M$5), AB94-Uzman_D!$M$5)*1
)</f>
        <v>-0.50000000000000022</v>
      </c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75"/>
      <c r="AO94" s="75"/>
      <c r="AP94" s="73">
        <f>1 - (
    SUM(
        IF(AD94-Uzman_D!$B$6&lt;0, -(AD94-Uzman_D!$B$6), AD94-Uzman_D!$B$6)*0.1 +
        IF(AE94-Uzman_D!$C$6&lt;0, -(AE94-Uzman_D!$C$6), AE94-Uzman_D!$C$6)*0.1 +
        IF(AF94-Uzman_D!$D$6&lt;0, -(AF94-Uzman_D!$D$6), AF94-Uzman_D!$D$6)*0.1 +
        IF(AG94-Uzman_D!$E$6&lt;0, -(AG94-Uzman_D!$E$6), AG94-Uzman_D!$E$6)*0.1 +
        IF(AH94-Uzman_D!$F$6&lt;0, -(AH94-Uzman_D!$F$6), AH94-Uzman_D!$F$6)*0.1 +
        IF(AI94-Uzman_D!$G$6&lt;0, -(AI94-Uzman_D!$G$6), AI94-Uzman_D!$G$6)*0.1 +
        IF(AJ94-Uzman_D!$H$6&lt;0, -(AJ94-Uzman_D!$H$6), AJ94-Uzman_D!$H$6)*0.1 +
        IF(AK94-Uzman_D!$I$6&lt;0, -(AK94-Uzman_D!$I$6), AK94-Uzman_D!$I$6)*0.1 +
        IF(AL94-Uzman_D!$J$6&lt;0, -(AL94-Uzman_D!$J$6), AL94-Uzman_D!$J$6)*0.1
    ) +
    IF(ROUND((IF(AN94-Uzman_D!$L$6&lt;0, -(AN94-Uzman_D!$L$6), AN94-Uzman_D!$L$6)*2),0)/2 = IF(AN94-Uzman_D!$L$6&lt;0, -(AN94-Uzman_D!$L$6), AN94-Uzman_D!$L$6),
    (ROUND((IF(AN94-Uzman_D!$L$6&lt;0, -(AN94-Uzman_D!$L$6), AN94-Uzman_D!$L$6)*2),0)/1 * 0.1), 0) +
    IF(AO94-Uzman_D!$M$6&lt;0, -(AO94-Uzman_D!$M$6), AO94-Uzman_D!$M$6)*1
)</f>
        <v>-0.60000000000000009</v>
      </c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75"/>
      <c r="BB94" s="75"/>
      <c r="BC94" s="73">
        <f>1 - (
    SUM(
        IF(AQ94-Uzman_D!$B$7&lt;0, -(AQ94-Uzman_D!$B$7), AQ94-Uzman_D!$B$7)*0.1 +
        IF(AR94-Uzman_D!$C$7&lt;0, -(AR94-Uzman_D!$C$7), AR94-Uzman_D!$C$7)*0.1 +
        IF(AS94-Uzman_D!$D$7&lt;0, -(AS94-Uzman_D!$D$7), AS94-Uzman_D!$D$7)*0.1 +
        IF(AT94-Uzman_D!$E$7&lt;0, -(AT94-Uzman_D!$E$7), AT94-Uzman_D!$E$7)*0.1 +
        IF(AU94-Uzman_D!$F$7&lt;0, -(AU94-Uzman_D!$F$7), AU94-Uzman_D!$F$7)*0.1 +
        IF(AV94-Uzman_D!$G$7&lt;0, -(AV94-Uzman_D!$G$7), AV94-Uzman_D!$G$7)*0.1 +
        IF(AW94-Uzman_D!$H$7&lt;0, -(AW94-Uzman_D!$H$7), AW94-Uzman_D!$H$7)*0.1 +
        IF(AX94-Uzman_D!$I$7&lt;0, -(AX94-Uzman_D!$I$7), AX94-Uzman_D!$I$7)*0.1 +
        IF(AY94-Uzman_D!$J$7&lt;0, -(AY94-Uzman_D!$J$7), AY94-Uzman_D!$J$7)*0.1
    ) +
    IF(ROUND((IF(BA94-Uzman_D!$L$7&lt;0, -(BA94-Uzman_D!$L$7), BA94-Uzman_D!$L$7)*2),0)/2 = IF(BA94-Uzman_D!$L$7&lt;0, -(BA94-Uzman_D!$L$7), BA94-Uzman_D!$L$7),
    (ROUND((IF(BA94-Uzman_D!$L$7&lt;0, -(BA94-Uzman_D!$L$7), BA94-Uzman_D!$L$7)*2),0)/1 * 0.1), 0) +
    IF(BB94-Uzman_D!$M$7&lt;0, -(BB94-Uzman_D!$M$7), BB94-Uzman_D!$M$7)*1
)</f>
        <v>-0.50000000000000022</v>
      </c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75"/>
      <c r="BO94" s="75"/>
      <c r="BP94" s="73">
        <f>1 - (
    SUM(
        IF(BD94-Uzman_D!$B$8&lt;0, -(BD94-Uzman_D!$B$8), BD94-Uzman_D!$B$8)*0.1 +
        IF(BE94-Uzman_D!$C$8&lt;0, -(BE94-Uzman_D!$C$8), BE94-Uzman_D!$C$8)*0.1 +
        IF(BF94-Uzman_D!$D$8&lt;0, -(BF94-Uzman_D!$D$8), BF94-Uzman_D!$D$8)*0.1 +
        IF(BG94-Uzman_D!$E$8&lt;0, -(BG94-Uzman_D!$E$8), BG94-Uzman_D!$E$8)*0.1 +
        IF(BH94-Uzman_D!$F$8&lt;0, -(BH94-Uzman_D!$F$8), BH94-Uzman_D!$F$8)*0.1 +
        IF(BI94-Uzman_D!$G$8&lt;0, -(BI94-Uzman_D!$G$8), BI94-Uzman_D!$G$8)*0.1 +
        IF(BJ94-Uzman_D!$H$8&lt;0, -(BJ94-Uzman_D!$H$8), BJ94-Uzman_D!$H$8)*0.1 +
        IF(BK94-Uzman_D!$I$8&lt;0, -(BK94-Uzman_D!$I$8), BK94-Uzman_D!$I$8)*0.1 +
        IF(BL94-Uzman_D!$J$8&lt;0, -(BL94-Uzman_D!$J$8), BL94-Uzman_D!$J$8)*0.1
    ) +
    IF(ROUND((IF(BN94-Uzman_D!$L$8&lt;0, -(BN94-Uzman_D!$L$8), BN94-Uzman_D!$L$8)*2),0)/2 = IF(BN94-Uzman_D!$L$8&lt;0, -(BN94-Uzman_D!$L$8), BN94-Uzman_D!$L$8),
    (ROUND((IF(BN94-Uzman_D!$L$8&lt;0, -(BN94-Uzman_D!$L$8), BN94-Uzman_D!$L$8)*2),0)/1 * 0.1), 0) +
    IF(BO94-Uzman_D!$M$8&lt;0, -(BO94-Uzman_D!$M$8), BO94-Uzman_D!$M$8)*1
)</f>
        <v>-0.20000000000000018</v>
      </c>
      <c r="BQ94" s="74">
        <f t="shared" si="1"/>
        <v>-0.54000000000000026</v>
      </c>
    </row>
    <row r="95" spans="1:69" ht="15" customHeight="1" x14ac:dyDescent="0.2">
      <c r="A95" s="57">
        <v>92</v>
      </c>
      <c r="B95" s="37">
        <f>Hakemler!B95</f>
        <v>0</v>
      </c>
      <c r="C95" s="37">
        <f>Hakemler!C95</f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75"/>
      <c r="O95" s="75"/>
      <c r="P95" s="73">
        <f>1 - (
    SUM(
        IF(D95-Uzman_D!$B$4&lt;0, -(D95-Uzman_D!$B$4), D95-Uzman_D!$B$4)*0.1 +
        IF(E95-Uzman_D!$C$4&lt;0, -(E95-Uzman_D!$C$4), E95-Uzman_D!$C$4)*0.1 +
        IF(F95-Uzman_D!$D$4&lt;0, -(F95-Uzman_D!$D$4), F95-Uzman_D!$D$4)*0.1 +
        IF(G95-Uzman_D!$E$4&lt;0, -(G95-Uzman_D!$E$4), G95-Uzman_D!$E$4)*0.1 +
        IF(H95-Uzman_D!$F$4&lt;0, -(H95-Uzman_D!$F$4), H95-Uzman_D!$F$4)*0.1 +
        IF(I95-Uzman_D!$G$4&lt;0, -(I95-Uzman_D!$G$4), I95-Uzman_D!$G$4)*0.1 +
        IF(J95-Uzman_D!$H$4&lt;0, -(J95-Uzman_D!$H$4), J95-Uzman_D!$H$4)*0.1 +
        IF(K95-Uzman_D!$I$4&lt;0, -(K95-Uzman_D!$I$4), K95-Uzman_D!$I$4)*0.1 +
        IF(L95-Uzman_D!$J$4&lt;0, -(L95-Uzman_D!$J$4), L95-Uzman_D!$J$4)*0.1
    ) +
    IF(ROUND((IF(N95-Uzman_D!$L$4&lt;0, -(N95-Uzman_D!$L$4), N95-Uzman_D!$L$4)*2),0)/2 = IF(N95-Uzman_D!$L$4&lt;0, -(N95-Uzman_D!$L$4), N95-Uzman_D!$L$4),
    (ROUND((IF(N95-Uzman_D!$L$4&lt;0, -(N95-Uzman_D!$L$4), N95-Uzman_D!$L$4)*2),0)/1 * 0.1), 0) +
    IF(O95-Uzman_D!$M$4&lt;0, -(O95-Uzman_D!$M$4), O95-Uzman_D!$M$4)*1
)</f>
        <v>-0.90000000000000013</v>
      </c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75"/>
      <c r="AB95" s="75"/>
      <c r="AC95" s="73">
        <f>1 - (
    SUM(
        IF(Q95-Uzman_D!$B$5&lt;0, -(Q95-Uzman_D!$B$5), Q95-Uzman_D!$B$5)*0.1 +
        IF(R95-Uzman_D!$C$5&lt;0, -(R95-Uzman_D!$C$5), R95-Uzman_D!$C$5)*0.1 +
        IF(S95-Uzman_D!$D$5&lt;0, -(S95-Uzman_D!$D$5), S95-Uzman_D!$D$5)*0.1 +
        IF(T95-Uzman_D!$E$5&lt;0, -(T95-Uzman_D!$E$5), T95-Uzman_D!$E$5)*0.1 +
        IF(U95-Uzman_D!$F$5&lt;0, -(U95-Uzman_D!$F$5), U95-Uzman_D!$F$5)*0.1 +
        IF(V95-Uzman_D!$G$5&lt;0, -(V95-Uzman_D!$G$5), V95-Uzman_D!$G$5)*0.1 +
        IF(W95-Uzman_D!$H$5&lt;0, -(W95-Uzman_D!$H$5), W95-Uzman_D!$H$5)*0.1 +
        IF(X95-Uzman_D!$I$5&lt;0, -(X95-Uzman_D!$I$5), X95-Uzman_D!$I$5)*0.1 +
        IF(Y95-Uzman_D!$J$5&lt;0, -(Y95-Uzman_D!$J$5), Y95-Uzman_D!$J$5)*0.1
    ) +
    IF(ROUND((IF(AA95-Uzman_D!$L$5&lt;0, -(AA95-Uzman_D!$L$5), AA95-Uzman_D!$L$5)*2),0)/2 = IF(AA95-Uzman_D!$L$5&lt;0, -(AA95-Uzman_D!$L$5), AA95-Uzman_D!$L$5),
    (ROUND((IF(AA95-Uzman_D!$L$5&lt;0, -(AA95-Uzman_D!$L$5), AA95-Uzman_D!$L$5)*2),0)/1 * 0.1), 0) +
    IF(AB95-Uzman_D!$M$5&lt;0, -(AB95-Uzman_D!$M$5), AB95-Uzman_D!$M$5)*1
)</f>
        <v>-0.50000000000000022</v>
      </c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75"/>
      <c r="AO95" s="75"/>
      <c r="AP95" s="73">
        <f>1 - (
    SUM(
        IF(AD95-Uzman_D!$B$6&lt;0, -(AD95-Uzman_D!$B$6), AD95-Uzman_D!$B$6)*0.1 +
        IF(AE95-Uzman_D!$C$6&lt;0, -(AE95-Uzman_D!$C$6), AE95-Uzman_D!$C$6)*0.1 +
        IF(AF95-Uzman_D!$D$6&lt;0, -(AF95-Uzman_D!$D$6), AF95-Uzman_D!$D$6)*0.1 +
        IF(AG95-Uzman_D!$E$6&lt;0, -(AG95-Uzman_D!$E$6), AG95-Uzman_D!$E$6)*0.1 +
        IF(AH95-Uzman_D!$F$6&lt;0, -(AH95-Uzman_D!$F$6), AH95-Uzman_D!$F$6)*0.1 +
        IF(AI95-Uzman_D!$G$6&lt;0, -(AI95-Uzman_D!$G$6), AI95-Uzman_D!$G$6)*0.1 +
        IF(AJ95-Uzman_D!$H$6&lt;0, -(AJ95-Uzman_D!$H$6), AJ95-Uzman_D!$H$6)*0.1 +
        IF(AK95-Uzman_D!$I$6&lt;0, -(AK95-Uzman_D!$I$6), AK95-Uzman_D!$I$6)*0.1 +
        IF(AL95-Uzman_D!$J$6&lt;0, -(AL95-Uzman_D!$J$6), AL95-Uzman_D!$J$6)*0.1
    ) +
    IF(ROUND((IF(AN95-Uzman_D!$L$6&lt;0, -(AN95-Uzman_D!$L$6), AN95-Uzman_D!$L$6)*2),0)/2 = IF(AN95-Uzman_D!$L$6&lt;0, -(AN95-Uzman_D!$L$6), AN95-Uzman_D!$L$6),
    (ROUND((IF(AN95-Uzman_D!$L$6&lt;0, -(AN95-Uzman_D!$L$6), AN95-Uzman_D!$L$6)*2),0)/1 * 0.1), 0) +
    IF(AO95-Uzman_D!$M$6&lt;0, -(AO95-Uzman_D!$M$6), AO95-Uzman_D!$M$6)*1
)</f>
        <v>-0.60000000000000009</v>
      </c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75"/>
      <c r="BB95" s="75"/>
      <c r="BC95" s="73">
        <f>1 - (
    SUM(
        IF(AQ95-Uzman_D!$B$7&lt;0, -(AQ95-Uzman_D!$B$7), AQ95-Uzman_D!$B$7)*0.1 +
        IF(AR95-Uzman_D!$C$7&lt;0, -(AR95-Uzman_D!$C$7), AR95-Uzman_D!$C$7)*0.1 +
        IF(AS95-Uzman_D!$D$7&lt;0, -(AS95-Uzman_D!$D$7), AS95-Uzman_D!$D$7)*0.1 +
        IF(AT95-Uzman_D!$E$7&lt;0, -(AT95-Uzman_D!$E$7), AT95-Uzman_D!$E$7)*0.1 +
        IF(AU95-Uzman_D!$F$7&lt;0, -(AU95-Uzman_D!$F$7), AU95-Uzman_D!$F$7)*0.1 +
        IF(AV95-Uzman_D!$G$7&lt;0, -(AV95-Uzman_D!$G$7), AV95-Uzman_D!$G$7)*0.1 +
        IF(AW95-Uzman_D!$H$7&lt;0, -(AW95-Uzman_D!$H$7), AW95-Uzman_D!$H$7)*0.1 +
        IF(AX95-Uzman_D!$I$7&lt;0, -(AX95-Uzman_D!$I$7), AX95-Uzman_D!$I$7)*0.1 +
        IF(AY95-Uzman_D!$J$7&lt;0, -(AY95-Uzman_D!$J$7), AY95-Uzman_D!$J$7)*0.1
    ) +
    IF(ROUND((IF(BA95-Uzman_D!$L$7&lt;0, -(BA95-Uzman_D!$L$7), BA95-Uzman_D!$L$7)*2),0)/2 = IF(BA95-Uzman_D!$L$7&lt;0, -(BA95-Uzman_D!$L$7), BA95-Uzman_D!$L$7),
    (ROUND((IF(BA95-Uzman_D!$L$7&lt;0, -(BA95-Uzman_D!$L$7), BA95-Uzman_D!$L$7)*2),0)/1 * 0.1), 0) +
    IF(BB95-Uzman_D!$M$7&lt;0, -(BB95-Uzman_D!$M$7), BB95-Uzman_D!$M$7)*1
)</f>
        <v>-0.50000000000000022</v>
      </c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75"/>
      <c r="BO95" s="75"/>
      <c r="BP95" s="73">
        <f>1 - (
    SUM(
        IF(BD95-Uzman_D!$B$8&lt;0, -(BD95-Uzman_D!$B$8), BD95-Uzman_D!$B$8)*0.1 +
        IF(BE95-Uzman_D!$C$8&lt;0, -(BE95-Uzman_D!$C$8), BE95-Uzman_D!$C$8)*0.1 +
        IF(BF95-Uzman_D!$D$8&lt;0, -(BF95-Uzman_D!$D$8), BF95-Uzman_D!$D$8)*0.1 +
        IF(BG95-Uzman_D!$E$8&lt;0, -(BG95-Uzman_D!$E$8), BG95-Uzman_D!$E$8)*0.1 +
        IF(BH95-Uzman_D!$F$8&lt;0, -(BH95-Uzman_D!$F$8), BH95-Uzman_D!$F$8)*0.1 +
        IF(BI95-Uzman_D!$G$8&lt;0, -(BI95-Uzman_D!$G$8), BI95-Uzman_D!$G$8)*0.1 +
        IF(BJ95-Uzman_D!$H$8&lt;0, -(BJ95-Uzman_D!$H$8), BJ95-Uzman_D!$H$8)*0.1 +
        IF(BK95-Uzman_D!$I$8&lt;0, -(BK95-Uzman_D!$I$8), BK95-Uzman_D!$I$8)*0.1 +
        IF(BL95-Uzman_D!$J$8&lt;0, -(BL95-Uzman_D!$J$8), BL95-Uzman_D!$J$8)*0.1
    ) +
    IF(ROUND((IF(BN95-Uzman_D!$L$8&lt;0, -(BN95-Uzman_D!$L$8), BN95-Uzman_D!$L$8)*2),0)/2 = IF(BN95-Uzman_D!$L$8&lt;0, -(BN95-Uzman_D!$L$8), BN95-Uzman_D!$L$8),
    (ROUND((IF(BN95-Uzman_D!$L$8&lt;0, -(BN95-Uzman_D!$L$8), BN95-Uzman_D!$L$8)*2),0)/1 * 0.1), 0) +
    IF(BO95-Uzman_D!$M$8&lt;0, -(BO95-Uzman_D!$M$8), BO95-Uzman_D!$M$8)*1
)</f>
        <v>-0.20000000000000018</v>
      </c>
      <c r="BQ95" s="74">
        <f t="shared" si="1"/>
        <v>-0.54000000000000026</v>
      </c>
    </row>
    <row r="96" spans="1:69" ht="15" customHeight="1" x14ac:dyDescent="0.2">
      <c r="A96" s="57">
        <v>93</v>
      </c>
      <c r="B96" s="37">
        <f>Hakemler!B96</f>
        <v>0</v>
      </c>
      <c r="C96" s="37">
        <f>Hakemler!C96</f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75"/>
      <c r="O96" s="75"/>
      <c r="P96" s="73">
        <f>1 - (
    SUM(
        IF(D96-Uzman_D!$B$4&lt;0, -(D96-Uzman_D!$B$4), D96-Uzman_D!$B$4)*0.1 +
        IF(E96-Uzman_D!$C$4&lt;0, -(E96-Uzman_D!$C$4), E96-Uzman_D!$C$4)*0.1 +
        IF(F96-Uzman_D!$D$4&lt;0, -(F96-Uzman_D!$D$4), F96-Uzman_D!$D$4)*0.1 +
        IF(G96-Uzman_D!$E$4&lt;0, -(G96-Uzman_D!$E$4), G96-Uzman_D!$E$4)*0.1 +
        IF(H96-Uzman_D!$F$4&lt;0, -(H96-Uzman_D!$F$4), H96-Uzman_D!$F$4)*0.1 +
        IF(I96-Uzman_D!$G$4&lt;0, -(I96-Uzman_D!$G$4), I96-Uzman_D!$G$4)*0.1 +
        IF(J96-Uzman_D!$H$4&lt;0, -(J96-Uzman_D!$H$4), J96-Uzman_D!$H$4)*0.1 +
        IF(K96-Uzman_D!$I$4&lt;0, -(K96-Uzman_D!$I$4), K96-Uzman_D!$I$4)*0.1 +
        IF(L96-Uzman_D!$J$4&lt;0, -(L96-Uzman_D!$J$4), L96-Uzman_D!$J$4)*0.1
    ) +
    IF(ROUND((IF(N96-Uzman_D!$L$4&lt;0, -(N96-Uzman_D!$L$4), N96-Uzman_D!$L$4)*2),0)/2 = IF(N96-Uzman_D!$L$4&lt;0, -(N96-Uzman_D!$L$4), N96-Uzman_D!$L$4),
    (ROUND((IF(N96-Uzman_D!$L$4&lt;0, -(N96-Uzman_D!$L$4), N96-Uzman_D!$L$4)*2),0)/1 * 0.1), 0) +
    IF(O96-Uzman_D!$M$4&lt;0, -(O96-Uzman_D!$M$4), O96-Uzman_D!$M$4)*1
)</f>
        <v>-0.90000000000000013</v>
      </c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75"/>
      <c r="AB96" s="75"/>
      <c r="AC96" s="73">
        <f>1 - (
    SUM(
        IF(Q96-Uzman_D!$B$5&lt;0, -(Q96-Uzman_D!$B$5), Q96-Uzman_D!$B$5)*0.1 +
        IF(R96-Uzman_D!$C$5&lt;0, -(R96-Uzman_D!$C$5), R96-Uzman_D!$C$5)*0.1 +
        IF(S96-Uzman_D!$D$5&lt;0, -(S96-Uzman_D!$D$5), S96-Uzman_D!$D$5)*0.1 +
        IF(T96-Uzman_D!$E$5&lt;0, -(T96-Uzman_D!$E$5), T96-Uzman_D!$E$5)*0.1 +
        IF(U96-Uzman_D!$F$5&lt;0, -(U96-Uzman_D!$F$5), U96-Uzman_D!$F$5)*0.1 +
        IF(V96-Uzman_D!$G$5&lt;0, -(V96-Uzman_D!$G$5), V96-Uzman_D!$G$5)*0.1 +
        IF(W96-Uzman_D!$H$5&lt;0, -(W96-Uzman_D!$H$5), W96-Uzman_D!$H$5)*0.1 +
        IF(X96-Uzman_D!$I$5&lt;0, -(X96-Uzman_D!$I$5), X96-Uzman_D!$I$5)*0.1 +
        IF(Y96-Uzman_D!$J$5&lt;0, -(Y96-Uzman_D!$J$5), Y96-Uzman_D!$J$5)*0.1
    ) +
    IF(ROUND((IF(AA96-Uzman_D!$L$5&lt;0, -(AA96-Uzman_D!$L$5), AA96-Uzman_D!$L$5)*2),0)/2 = IF(AA96-Uzman_D!$L$5&lt;0, -(AA96-Uzman_D!$L$5), AA96-Uzman_D!$L$5),
    (ROUND((IF(AA96-Uzman_D!$L$5&lt;0, -(AA96-Uzman_D!$L$5), AA96-Uzman_D!$L$5)*2),0)/1 * 0.1), 0) +
    IF(AB96-Uzman_D!$M$5&lt;0, -(AB96-Uzman_D!$M$5), AB96-Uzman_D!$M$5)*1
)</f>
        <v>-0.50000000000000022</v>
      </c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75"/>
      <c r="AO96" s="75"/>
      <c r="AP96" s="73">
        <f>1 - (
    SUM(
        IF(AD96-Uzman_D!$B$6&lt;0, -(AD96-Uzman_D!$B$6), AD96-Uzman_D!$B$6)*0.1 +
        IF(AE96-Uzman_D!$C$6&lt;0, -(AE96-Uzman_D!$C$6), AE96-Uzman_D!$C$6)*0.1 +
        IF(AF96-Uzman_D!$D$6&lt;0, -(AF96-Uzman_D!$D$6), AF96-Uzman_D!$D$6)*0.1 +
        IF(AG96-Uzman_D!$E$6&lt;0, -(AG96-Uzman_D!$E$6), AG96-Uzman_D!$E$6)*0.1 +
        IF(AH96-Uzman_D!$F$6&lt;0, -(AH96-Uzman_D!$F$6), AH96-Uzman_D!$F$6)*0.1 +
        IF(AI96-Uzman_D!$G$6&lt;0, -(AI96-Uzman_D!$G$6), AI96-Uzman_D!$G$6)*0.1 +
        IF(AJ96-Uzman_D!$H$6&lt;0, -(AJ96-Uzman_D!$H$6), AJ96-Uzman_D!$H$6)*0.1 +
        IF(AK96-Uzman_D!$I$6&lt;0, -(AK96-Uzman_D!$I$6), AK96-Uzman_D!$I$6)*0.1 +
        IF(AL96-Uzman_D!$J$6&lt;0, -(AL96-Uzman_D!$J$6), AL96-Uzman_D!$J$6)*0.1
    ) +
    IF(ROUND((IF(AN96-Uzman_D!$L$6&lt;0, -(AN96-Uzman_D!$L$6), AN96-Uzman_D!$L$6)*2),0)/2 = IF(AN96-Uzman_D!$L$6&lt;0, -(AN96-Uzman_D!$L$6), AN96-Uzman_D!$L$6),
    (ROUND((IF(AN96-Uzman_D!$L$6&lt;0, -(AN96-Uzman_D!$L$6), AN96-Uzman_D!$L$6)*2),0)/1 * 0.1), 0) +
    IF(AO96-Uzman_D!$M$6&lt;0, -(AO96-Uzman_D!$M$6), AO96-Uzman_D!$M$6)*1
)</f>
        <v>-0.60000000000000009</v>
      </c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75"/>
      <c r="BB96" s="75"/>
      <c r="BC96" s="73">
        <f>1 - (
    SUM(
        IF(AQ96-Uzman_D!$B$7&lt;0, -(AQ96-Uzman_D!$B$7), AQ96-Uzman_D!$B$7)*0.1 +
        IF(AR96-Uzman_D!$C$7&lt;0, -(AR96-Uzman_D!$C$7), AR96-Uzman_D!$C$7)*0.1 +
        IF(AS96-Uzman_D!$D$7&lt;0, -(AS96-Uzman_D!$D$7), AS96-Uzman_D!$D$7)*0.1 +
        IF(AT96-Uzman_D!$E$7&lt;0, -(AT96-Uzman_D!$E$7), AT96-Uzman_D!$E$7)*0.1 +
        IF(AU96-Uzman_D!$F$7&lt;0, -(AU96-Uzman_D!$F$7), AU96-Uzman_D!$F$7)*0.1 +
        IF(AV96-Uzman_D!$G$7&lt;0, -(AV96-Uzman_D!$G$7), AV96-Uzman_D!$G$7)*0.1 +
        IF(AW96-Uzman_D!$H$7&lt;0, -(AW96-Uzman_D!$H$7), AW96-Uzman_D!$H$7)*0.1 +
        IF(AX96-Uzman_D!$I$7&lt;0, -(AX96-Uzman_D!$I$7), AX96-Uzman_D!$I$7)*0.1 +
        IF(AY96-Uzman_D!$J$7&lt;0, -(AY96-Uzman_D!$J$7), AY96-Uzman_D!$J$7)*0.1
    ) +
    IF(ROUND((IF(BA96-Uzman_D!$L$7&lt;0, -(BA96-Uzman_D!$L$7), BA96-Uzman_D!$L$7)*2),0)/2 = IF(BA96-Uzman_D!$L$7&lt;0, -(BA96-Uzman_D!$L$7), BA96-Uzman_D!$L$7),
    (ROUND((IF(BA96-Uzman_D!$L$7&lt;0, -(BA96-Uzman_D!$L$7), BA96-Uzman_D!$L$7)*2),0)/1 * 0.1), 0) +
    IF(BB96-Uzman_D!$M$7&lt;0, -(BB96-Uzman_D!$M$7), BB96-Uzman_D!$M$7)*1
)</f>
        <v>-0.50000000000000022</v>
      </c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75"/>
      <c r="BO96" s="75"/>
      <c r="BP96" s="73">
        <f>1 - (
    SUM(
        IF(BD96-Uzman_D!$B$8&lt;0, -(BD96-Uzman_D!$B$8), BD96-Uzman_D!$B$8)*0.1 +
        IF(BE96-Uzman_D!$C$8&lt;0, -(BE96-Uzman_D!$C$8), BE96-Uzman_D!$C$8)*0.1 +
        IF(BF96-Uzman_D!$D$8&lt;0, -(BF96-Uzman_D!$D$8), BF96-Uzman_D!$D$8)*0.1 +
        IF(BG96-Uzman_D!$E$8&lt;0, -(BG96-Uzman_D!$E$8), BG96-Uzman_D!$E$8)*0.1 +
        IF(BH96-Uzman_D!$F$8&lt;0, -(BH96-Uzman_D!$F$8), BH96-Uzman_D!$F$8)*0.1 +
        IF(BI96-Uzman_D!$G$8&lt;0, -(BI96-Uzman_D!$G$8), BI96-Uzman_D!$G$8)*0.1 +
        IF(BJ96-Uzman_D!$H$8&lt;0, -(BJ96-Uzman_D!$H$8), BJ96-Uzman_D!$H$8)*0.1 +
        IF(BK96-Uzman_D!$I$8&lt;0, -(BK96-Uzman_D!$I$8), BK96-Uzman_D!$I$8)*0.1 +
        IF(BL96-Uzman_D!$J$8&lt;0, -(BL96-Uzman_D!$J$8), BL96-Uzman_D!$J$8)*0.1
    ) +
    IF(ROUND((IF(BN96-Uzman_D!$L$8&lt;0, -(BN96-Uzman_D!$L$8), BN96-Uzman_D!$L$8)*2),0)/2 = IF(BN96-Uzman_D!$L$8&lt;0, -(BN96-Uzman_D!$L$8), BN96-Uzman_D!$L$8),
    (ROUND((IF(BN96-Uzman_D!$L$8&lt;0, -(BN96-Uzman_D!$L$8), BN96-Uzman_D!$L$8)*2),0)/1 * 0.1), 0) +
    IF(BO96-Uzman_D!$M$8&lt;0, -(BO96-Uzman_D!$M$8), BO96-Uzman_D!$M$8)*1
)</f>
        <v>-0.20000000000000018</v>
      </c>
      <c r="BQ96" s="74">
        <f t="shared" si="1"/>
        <v>-0.54000000000000026</v>
      </c>
    </row>
    <row r="97" spans="1:69" ht="15" customHeight="1" x14ac:dyDescent="0.2">
      <c r="A97" s="57">
        <v>94</v>
      </c>
      <c r="B97" s="37">
        <f>Hakemler!B97</f>
        <v>0</v>
      </c>
      <c r="C97" s="37">
        <f>Hakemler!C97</f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75"/>
      <c r="O97" s="75"/>
      <c r="P97" s="73">
        <f>1 - (
    SUM(
        IF(D97-Uzman_D!$B$4&lt;0, -(D97-Uzman_D!$B$4), D97-Uzman_D!$B$4)*0.1 +
        IF(E97-Uzman_D!$C$4&lt;0, -(E97-Uzman_D!$C$4), E97-Uzman_D!$C$4)*0.1 +
        IF(F97-Uzman_D!$D$4&lt;0, -(F97-Uzman_D!$D$4), F97-Uzman_D!$D$4)*0.1 +
        IF(G97-Uzman_D!$E$4&lt;0, -(G97-Uzman_D!$E$4), G97-Uzman_D!$E$4)*0.1 +
        IF(H97-Uzman_D!$F$4&lt;0, -(H97-Uzman_D!$F$4), H97-Uzman_D!$F$4)*0.1 +
        IF(I97-Uzman_D!$G$4&lt;0, -(I97-Uzman_D!$G$4), I97-Uzman_D!$G$4)*0.1 +
        IF(J97-Uzman_D!$H$4&lt;0, -(J97-Uzman_D!$H$4), J97-Uzman_D!$H$4)*0.1 +
        IF(K97-Uzman_D!$I$4&lt;0, -(K97-Uzman_D!$I$4), K97-Uzman_D!$I$4)*0.1 +
        IF(L97-Uzman_D!$J$4&lt;0, -(L97-Uzman_D!$J$4), L97-Uzman_D!$J$4)*0.1
    ) +
    IF(ROUND((IF(N97-Uzman_D!$L$4&lt;0, -(N97-Uzman_D!$L$4), N97-Uzman_D!$L$4)*2),0)/2 = IF(N97-Uzman_D!$L$4&lt;0, -(N97-Uzman_D!$L$4), N97-Uzman_D!$L$4),
    (ROUND((IF(N97-Uzman_D!$L$4&lt;0, -(N97-Uzman_D!$L$4), N97-Uzman_D!$L$4)*2),0)/1 * 0.1), 0) +
    IF(O97-Uzman_D!$M$4&lt;0, -(O97-Uzman_D!$M$4), O97-Uzman_D!$M$4)*1
)</f>
        <v>-0.90000000000000013</v>
      </c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75"/>
      <c r="AB97" s="75"/>
      <c r="AC97" s="73">
        <f>1 - (
    SUM(
        IF(Q97-Uzman_D!$B$5&lt;0, -(Q97-Uzman_D!$B$5), Q97-Uzman_D!$B$5)*0.1 +
        IF(R97-Uzman_D!$C$5&lt;0, -(R97-Uzman_D!$C$5), R97-Uzman_D!$C$5)*0.1 +
        IF(S97-Uzman_D!$D$5&lt;0, -(S97-Uzman_D!$D$5), S97-Uzman_D!$D$5)*0.1 +
        IF(T97-Uzman_D!$E$5&lt;0, -(T97-Uzman_D!$E$5), T97-Uzman_D!$E$5)*0.1 +
        IF(U97-Uzman_D!$F$5&lt;0, -(U97-Uzman_D!$F$5), U97-Uzman_D!$F$5)*0.1 +
        IF(V97-Uzman_D!$G$5&lt;0, -(V97-Uzman_D!$G$5), V97-Uzman_D!$G$5)*0.1 +
        IF(W97-Uzman_D!$H$5&lt;0, -(W97-Uzman_D!$H$5), W97-Uzman_D!$H$5)*0.1 +
        IF(X97-Uzman_D!$I$5&lt;0, -(X97-Uzman_D!$I$5), X97-Uzman_D!$I$5)*0.1 +
        IF(Y97-Uzman_D!$J$5&lt;0, -(Y97-Uzman_D!$J$5), Y97-Uzman_D!$J$5)*0.1
    ) +
    IF(ROUND((IF(AA97-Uzman_D!$L$5&lt;0, -(AA97-Uzman_D!$L$5), AA97-Uzman_D!$L$5)*2),0)/2 = IF(AA97-Uzman_D!$L$5&lt;0, -(AA97-Uzman_D!$L$5), AA97-Uzman_D!$L$5),
    (ROUND((IF(AA97-Uzman_D!$L$5&lt;0, -(AA97-Uzman_D!$L$5), AA97-Uzman_D!$L$5)*2),0)/1 * 0.1), 0) +
    IF(AB97-Uzman_D!$M$5&lt;0, -(AB97-Uzman_D!$M$5), AB97-Uzman_D!$M$5)*1
)</f>
        <v>-0.50000000000000022</v>
      </c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75"/>
      <c r="AO97" s="75"/>
      <c r="AP97" s="73">
        <f>1 - (
    SUM(
        IF(AD97-Uzman_D!$B$6&lt;0, -(AD97-Uzman_D!$B$6), AD97-Uzman_D!$B$6)*0.1 +
        IF(AE97-Uzman_D!$C$6&lt;0, -(AE97-Uzman_D!$C$6), AE97-Uzman_D!$C$6)*0.1 +
        IF(AF97-Uzman_D!$D$6&lt;0, -(AF97-Uzman_D!$D$6), AF97-Uzman_D!$D$6)*0.1 +
        IF(AG97-Uzman_D!$E$6&lt;0, -(AG97-Uzman_D!$E$6), AG97-Uzman_D!$E$6)*0.1 +
        IF(AH97-Uzman_D!$F$6&lt;0, -(AH97-Uzman_D!$F$6), AH97-Uzman_D!$F$6)*0.1 +
        IF(AI97-Uzman_D!$G$6&lt;0, -(AI97-Uzman_D!$G$6), AI97-Uzman_D!$G$6)*0.1 +
        IF(AJ97-Uzman_D!$H$6&lt;0, -(AJ97-Uzman_D!$H$6), AJ97-Uzman_D!$H$6)*0.1 +
        IF(AK97-Uzman_D!$I$6&lt;0, -(AK97-Uzman_D!$I$6), AK97-Uzman_D!$I$6)*0.1 +
        IF(AL97-Uzman_D!$J$6&lt;0, -(AL97-Uzman_D!$J$6), AL97-Uzman_D!$J$6)*0.1
    ) +
    IF(ROUND((IF(AN97-Uzman_D!$L$6&lt;0, -(AN97-Uzman_D!$L$6), AN97-Uzman_D!$L$6)*2),0)/2 = IF(AN97-Uzman_D!$L$6&lt;0, -(AN97-Uzman_D!$L$6), AN97-Uzman_D!$L$6),
    (ROUND((IF(AN97-Uzman_D!$L$6&lt;0, -(AN97-Uzman_D!$L$6), AN97-Uzman_D!$L$6)*2),0)/1 * 0.1), 0) +
    IF(AO97-Uzman_D!$M$6&lt;0, -(AO97-Uzman_D!$M$6), AO97-Uzman_D!$M$6)*1
)</f>
        <v>-0.60000000000000009</v>
      </c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75"/>
      <c r="BB97" s="75"/>
      <c r="BC97" s="73">
        <f>1 - (
    SUM(
        IF(AQ97-Uzman_D!$B$7&lt;0, -(AQ97-Uzman_D!$B$7), AQ97-Uzman_D!$B$7)*0.1 +
        IF(AR97-Uzman_D!$C$7&lt;0, -(AR97-Uzman_D!$C$7), AR97-Uzman_D!$C$7)*0.1 +
        IF(AS97-Uzman_D!$D$7&lt;0, -(AS97-Uzman_D!$D$7), AS97-Uzman_D!$D$7)*0.1 +
        IF(AT97-Uzman_D!$E$7&lt;0, -(AT97-Uzman_D!$E$7), AT97-Uzman_D!$E$7)*0.1 +
        IF(AU97-Uzman_D!$F$7&lt;0, -(AU97-Uzman_D!$F$7), AU97-Uzman_D!$F$7)*0.1 +
        IF(AV97-Uzman_D!$G$7&lt;0, -(AV97-Uzman_D!$G$7), AV97-Uzman_D!$G$7)*0.1 +
        IF(AW97-Uzman_D!$H$7&lt;0, -(AW97-Uzman_D!$H$7), AW97-Uzman_D!$H$7)*0.1 +
        IF(AX97-Uzman_D!$I$7&lt;0, -(AX97-Uzman_D!$I$7), AX97-Uzman_D!$I$7)*0.1 +
        IF(AY97-Uzman_D!$J$7&lt;0, -(AY97-Uzman_D!$J$7), AY97-Uzman_D!$J$7)*0.1
    ) +
    IF(ROUND((IF(BA97-Uzman_D!$L$7&lt;0, -(BA97-Uzman_D!$L$7), BA97-Uzman_D!$L$7)*2),0)/2 = IF(BA97-Uzman_D!$L$7&lt;0, -(BA97-Uzman_D!$L$7), BA97-Uzman_D!$L$7),
    (ROUND((IF(BA97-Uzman_D!$L$7&lt;0, -(BA97-Uzman_D!$L$7), BA97-Uzman_D!$L$7)*2),0)/1 * 0.1), 0) +
    IF(BB97-Uzman_D!$M$7&lt;0, -(BB97-Uzman_D!$M$7), BB97-Uzman_D!$M$7)*1
)</f>
        <v>-0.50000000000000022</v>
      </c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75"/>
      <c r="BO97" s="75"/>
      <c r="BP97" s="73">
        <f>1 - (
    SUM(
        IF(BD97-Uzman_D!$B$8&lt;0, -(BD97-Uzman_D!$B$8), BD97-Uzman_D!$B$8)*0.1 +
        IF(BE97-Uzman_D!$C$8&lt;0, -(BE97-Uzman_D!$C$8), BE97-Uzman_D!$C$8)*0.1 +
        IF(BF97-Uzman_D!$D$8&lt;0, -(BF97-Uzman_D!$D$8), BF97-Uzman_D!$D$8)*0.1 +
        IF(BG97-Uzman_D!$E$8&lt;0, -(BG97-Uzman_D!$E$8), BG97-Uzman_D!$E$8)*0.1 +
        IF(BH97-Uzman_D!$F$8&lt;0, -(BH97-Uzman_D!$F$8), BH97-Uzman_D!$F$8)*0.1 +
        IF(BI97-Uzman_D!$G$8&lt;0, -(BI97-Uzman_D!$G$8), BI97-Uzman_D!$G$8)*0.1 +
        IF(BJ97-Uzman_D!$H$8&lt;0, -(BJ97-Uzman_D!$H$8), BJ97-Uzman_D!$H$8)*0.1 +
        IF(BK97-Uzman_D!$I$8&lt;0, -(BK97-Uzman_D!$I$8), BK97-Uzman_D!$I$8)*0.1 +
        IF(BL97-Uzman_D!$J$8&lt;0, -(BL97-Uzman_D!$J$8), BL97-Uzman_D!$J$8)*0.1
    ) +
    IF(ROUND((IF(BN97-Uzman_D!$L$8&lt;0, -(BN97-Uzman_D!$L$8), BN97-Uzman_D!$L$8)*2),0)/2 = IF(BN97-Uzman_D!$L$8&lt;0, -(BN97-Uzman_D!$L$8), BN97-Uzman_D!$L$8),
    (ROUND((IF(BN97-Uzman_D!$L$8&lt;0, -(BN97-Uzman_D!$L$8), BN97-Uzman_D!$L$8)*2),0)/1 * 0.1), 0) +
    IF(BO97-Uzman_D!$M$8&lt;0, -(BO97-Uzman_D!$M$8), BO97-Uzman_D!$M$8)*1
)</f>
        <v>-0.20000000000000018</v>
      </c>
      <c r="BQ97" s="74">
        <f t="shared" si="1"/>
        <v>-0.54000000000000026</v>
      </c>
    </row>
    <row r="98" spans="1:69" ht="15" customHeight="1" x14ac:dyDescent="0.2">
      <c r="A98" s="57">
        <v>95</v>
      </c>
      <c r="B98" s="37">
        <f>Hakemler!B98</f>
        <v>0</v>
      </c>
      <c r="C98" s="37">
        <f>Hakemler!C98</f>
        <v>0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75"/>
      <c r="O98" s="75"/>
      <c r="P98" s="73">
        <f>1 - (
    SUM(
        IF(D98-Uzman_D!$B$4&lt;0, -(D98-Uzman_D!$B$4), D98-Uzman_D!$B$4)*0.1 +
        IF(E98-Uzman_D!$C$4&lt;0, -(E98-Uzman_D!$C$4), E98-Uzman_D!$C$4)*0.1 +
        IF(F98-Uzman_D!$D$4&lt;0, -(F98-Uzman_D!$D$4), F98-Uzman_D!$D$4)*0.1 +
        IF(G98-Uzman_D!$E$4&lt;0, -(G98-Uzman_D!$E$4), G98-Uzman_D!$E$4)*0.1 +
        IF(H98-Uzman_D!$F$4&lt;0, -(H98-Uzman_D!$F$4), H98-Uzman_D!$F$4)*0.1 +
        IF(I98-Uzman_D!$G$4&lt;0, -(I98-Uzman_D!$G$4), I98-Uzman_D!$G$4)*0.1 +
        IF(J98-Uzman_D!$H$4&lt;0, -(J98-Uzman_D!$H$4), J98-Uzman_D!$H$4)*0.1 +
        IF(K98-Uzman_D!$I$4&lt;0, -(K98-Uzman_D!$I$4), K98-Uzman_D!$I$4)*0.1 +
        IF(L98-Uzman_D!$J$4&lt;0, -(L98-Uzman_D!$J$4), L98-Uzman_D!$J$4)*0.1
    ) +
    IF(ROUND((IF(N98-Uzman_D!$L$4&lt;0, -(N98-Uzman_D!$L$4), N98-Uzman_D!$L$4)*2),0)/2 = IF(N98-Uzman_D!$L$4&lt;0, -(N98-Uzman_D!$L$4), N98-Uzman_D!$L$4),
    (ROUND((IF(N98-Uzman_D!$L$4&lt;0, -(N98-Uzman_D!$L$4), N98-Uzman_D!$L$4)*2),0)/1 * 0.1), 0) +
    IF(O98-Uzman_D!$M$4&lt;0, -(O98-Uzman_D!$M$4), O98-Uzman_D!$M$4)*1
)</f>
        <v>-0.90000000000000013</v>
      </c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75"/>
      <c r="AB98" s="75"/>
      <c r="AC98" s="73">
        <f>1 - (
    SUM(
        IF(Q98-Uzman_D!$B$5&lt;0, -(Q98-Uzman_D!$B$5), Q98-Uzman_D!$B$5)*0.1 +
        IF(R98-Uzman_D!$C$5&lt;0, -(R98-Uzman_D!$C$5), R98-Uzman_D!$C$5)*0.1 +
        IF(S98-Uzman_D!$D$5&lt;0, -(S98-Uzman_D!$D$5), S98-Uzman_D!$D$5)*0.1 +
        IF(T98-Uzman_D!$E$5&lt;0, -(T98-Uzman_D!$E$5), T98-Uzman_D!$E$5)*0.1 +
        IF(U98-Uzman_D!$F$5&lt;0, -(U98-Uzman_D!$F$5), U98-Uzman_D!$F$5)*0.1 +
        IF(V98-Uzman_D!$G$5&lt;0, -(V98-Uzman_D!$G$5), V98-Uzman_D!$G$5)*0.1 +
        IF(W98-Uzman_D!$H$5&lt;0, -(W98-Uzman_D!$H$5), W98-Uzman_D!$H$5)*0.1 +
        IF(X98-Uzman_D!$I$5&lt;0, -(X98-Uzman_D!$I$5), X98-Uzman_D!$I$5)*0.1 +
        IF(Y98-Uzman_D!$J$5&lt;0, -(Y98-Uzman_D!$J$5), Y98-Uzman_D!$J$5)*0.1
    ) +
    IF(ROUND((IF(AA98-Uzman_D!$L$5&lt;0, -(AA98-Uzman_D!$L$5), AA98-Uzman_D!$L$5)*2),0)/2 = IF(AA98-Uzman_D!$L$5&lt;0, -(AA98-Uzman_D!$L$5), AA98-Uzman_D!$L$5),
    (ROUND((IF(AA98-Uzman_D!$L$5&lt;0, -(AA98-Uzman_D!$L$5), AA98-Uzman_D!$L$5)*2),0)/1 * 0.1), 0) +
    IF(AB98-Uzman_D!$M$5&lt;0, -(AB98-Uzman_D!$M$5), AB98-Uzman_D!$M$5)*1
)</f>
        <v>-0.50000000000000022</v>
      </c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75"/>
      <c r="AO98" s="75"/>
      <c r="AP98" s="73">
        <f>1 - (
    SUM(
        IF(AD98-Uzman_D!$B$6&lt;0, -(AD98-Uzman_D!$B$6), AD98-Uzman_D!$B$6)*0.1 +
        IF(AE98-Uzman_D!$C$6&lt;0, -(AE98-Uzman_D!$C$6), AE98-Uzman_D!$C$6)*0.1 +
        IF(AF98-Uzman_D!$D$6&lt;0, -(AF98-Uzman_D!$D$6), AF98-Uzman_D!$D$6)*0.1 +
        IF(AG98-Uzman_D!$E$6&lt;0, -(AG98-Uzman_D!$E$6), AG98-Uzman_D!$E$6)*0.1 +
        IF(AH98-Uzman_D!$F$6&lt;0, -(AH98-Uzman_D!$F$6), AH98-Uzman_D!$F$6)*0.1 +
        IF(AI98-Uzman_D!$G$6&lt;0, -(AI98-Uzman_D!$G$6), AI98-Uzman_D!$G$6)*0.1 +
        IF(AJ98-Uzman_D!$H$6&lt;0, -(AJ98-Uzman_D!$H$6), AJ98-Uzman_D!$H$6)*0.1 +
        IF(AK98-Uzman_D!$I$6&lt;0, -(AK98-Uzman_D!$I$6), AK98-Uzman_D!$I$6)*0.1 +
        IF(AL98-Uzman_D!$J$6&lt;0, -(AL98-Uzman_D!$J$6), AL98-Uzman_D!$J$6)*0.1
    ) +
    IF(ROUND((IF(AN98-Uzman_D!$L$6&lt;0, -(AN98-Uzman_D!$L$6), AN98-Uzman_D!$L$6)*2),0)/2 = IF(AN98-Uzman_D!$L$6&lt;0, -(AN98-Uzman_D!$L$6), AN98-Uzman_D!$L$6),
    (ROUND((IF(AN98-Uzman_D!$L$6&lt;0, -(AN98-Uzman_D!$L$6), AN98-Uzman_D!$L$6)*2),0)/1 * 0.1), 0) +
    IF(AO98-Uzman_D!$M$6&lt;0, -(AO98-Uzman_D!$M$6), AO98-Uzman_D!$M$6)*1
)</f>
        <v>-0.60000000000000009</v>
      </c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75"/>
      <c r="BB98" s="75"/>
      <c r="BC98" s="73">
        <f>1 - (
    SUM(
        IF(AQ98-Uzman_D!$B$7&lt;0, -(AQ98-Uzman_D!$B$7), AQ98-Uzman_D!$B$7)*0.1 +
        IF(AR98-Uzman_D!$C$7&lt;0, -(AR98-Uzman_D!$C$7), AR98-Uzman_D!$C$7)*0.1 +
        IF(AS98-Uzman_D!$D$7&lt;0, -(AS98-Uzman_D!$D$7), AS98-Uzman_D!$D$7)*0.1 +
        IF(AT98-Uzman_D!$E$7&lt;0, -(AT98-Uzman_D!$E$7), AT98-Uzman_D!$E$7)*0.1 +
        IF(AU98-Uzman_D!$F$7&lt;0, -(AU98-Uzman_D!$F$7), AU98-Uzman_D!$F$7)*0.1 +
        IF(AV98-Uzman_D!$G$7&lt;0, -(AV98-Uzman_D!$G$7), AV98-Uzman_D!$G$7)*0.1 +
        IF(AW98-Uzman_D!$H$7&lt;0, -(AW98-Uzman_D!$H$7), AW98-Uzman_D!$H$7)*0.1 +
        IF(AX98-Uzman_D!$I$7&lt;0, -(AX98-Uzman_D!$I$7), AX98-Uzman_D!$I$7)*0.1 +
        IF(AY98-Uzman_D!$J$7&lt;0, -(AY98-Uzman_D!$J$7), AY98-Uzman_D!$J$7)*0.1
    ) +
    IF(ROUND((IF(BA98-Uzman_D!$L$7&lt;0, -(BA98-Uzman_D!$L$7), BA98-Uzman_D!$L$7)*2),0)/2 = IF(BA98-Uzman_D!$L$7&lt;0, -(BA98-Uzman_D!$L$7), BA98-Uzman_D!$L$7),
    (ROUND((IF(BA98-Uzman_D!$L$7&lt;0, -(BA98-Uzman_D!$L$7), BA98-Uzman_D!$L$7)*2),0)/1 * 0.1), 0) +
    IF(BB98-Uzman_D!$M$7&lt;0, -(BB98-Uzman_D!$M$7), BB98-Uzman_D!$M$7)*1
)</f>
        <v>-0.50000000000000022</v>
      </c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75"/>
      <c r="BO98" s="75"/>
      <c r="BP98" s="73">
        <f>1 - (
    SUM(
        IF(BD98-Uzman_D!$B$8&lt;0, -(BD98-Uzman_D!$B$8), BD98-Uzman_D!$B$8)*0.1 +
        IF(BE98-Uzman_D!$C$8&lt;0, -(BE98-Uzman_D!$C$8), BE98-Uzman_D!$C$8)*0.1 +
        IF(BF98-Uzman_D!$D$8&lt;0, -(BF98-Uzman_D!$D$8), BF98-Uzman_D!$D$8)*0.1 +
        IF(BG98-Uzman_D!$E$8&lt;0, -(BG98-Uzman_D!$E$8), BG98-Uzman_D!$E$8)*0.1 +
        IF(BH98-Uzman_D!$F$8&lt;0, -(BH98-Uzman_D!$F$8), BH98-Uzman_D!$F$8)*0.1 +
        IF(BI98-Uzman_D!$G$8&lt;0, -(BI98-Uzman_D!$G$8), BI98-Uzman_D!$G$8)*0.1 +
        IF(BJ98-Uzman_D!$H$8&lt;0, -(BJ98-Uzman_D!$H$8), BJ98-Uzman_D!$H$8)*0.1 +
        IF(BK98-Uzman_D!$I$8&lt;0, -(BK98-Uzman_D!$I$8), BK98-Uzman_D!$I$8)*0.1 +
        IF(BL98-Uzman_D!$J$8&lt;0, -(BL98-Uzman_D!$J$8), BL98-Uzman_D!$J$8)*0.1
    ) +
    IF(ROUND((IF(BN98-Uzman_D!$L$8&lt;0, -(BN98-Uzman_D!$L$8), BN98-Uzman_D!$L$8)*2),0)/2 = IF(BN98-Uzman_D!$L$8&lt;0, -(BN98-Uzman_D!$L$8), BN98-Uzman_D!$L$8),
    (ROUND((IF(BN98-Uzman_D!$L$8&lt;0, -(BN98-Uzman_D!$L$8), BN98-Uzman_D!$L$8)*2),0)/1 * 0.1), 0) +
    IF(BO98-Uzman_D!$M$8&lt;0, -(BO98-Uzman_D!$M$8), BO98-Uzman_D!$M$8)*1
)</f>
        <v>-0.20000000000000018</v>
      </c>
      <c r="BQ98" s="74">
        <f t="shared" si="1"/>
        <v>-0.54000000000000026</v>
      </c>
    </row>
    <row r="99" spans="1:69" ht="15" customHeight="1" x14ac:dyDescent="0.2">
      <c r="A99" s="57">
        <v>96</v>
      </c>
      <c r="B99" s="37">
        <f>Hakemler!B99</f>
        <v>0</v>
      </c>
      <c r="C99" s="37">
        <f>Hakemler!C99</f>
        <v>0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75"/>
      <c r="O99" s="75"/>
      <c r="P99" s="73">
        <f>1 - (
    SUM(
        IF(D99-Uzman_D!$B$4&lt;0, -(D99-Uzman_D!$B$4), D99-Uzman_D!$B$4)*0.1 +
        IF(E99-Uzman_D!$C$4&lt;0, -(E99-Uzman_D!$C$4), E99-Uzman_D!$C$4)*0.1 +
        IF(F99-Uzman_D!$D$4&lt;0, -(F99-Uzman_D!$D$4), F99-Uzman_D!$D$4)*0.1 +
        IF(G99-Uzman_D!$E$4&lt;0, -(G99-Uzman_D!$E$4), G99-Uzman_D!$E$4)*0.1 +
        IF(H99-Uzman_D!$F$4&lt;0, -(H99-Uzman_D!$F$4), H99-Uzman_D!$F$4)*0.1 +
        IF(I99-Uzman_D!$G$4&lt;0, -(I99-Uzman_D!$G$4), I99-Uzman_D!$G$4)*0.1 +
        IF(J99-Uzman_D!$H$4&lt;0, -(J99-Uzman_D!$H$4), J99-Uzman_D!$H$4)*0.1 +
        IF(K99-Uzman_D!$I$4&lt;0, -(K99-Uzman_D!$I$4), K99-Uzman_D!$I$4)*0.1 +
        IF(L99-Uzman_D!$J$4&lt;0, -(L99-Uzman_D!$J$4), L99-Uzman_D!$J$4)*0.1
    ) +
    IF(ROUND((IF(N99-Uzman_D!$L$4&lt;0, -(N99-Uzman_D!$L$4), N99-Uzman_D!$L$4)*2),0)/2 = IF(N99-Uzman_D!$L$4&lt;0, -(N99-Uzman_D!$L$4), N99-Uzman_D!$L$4),
    (ROUND((IF(N99-Uzman_D!$L$4&lt;0, -(N99-Uzman_D!$L$4), N99-Uzman_D!$L$4)*2),0)/1 * 0.1), 0) +
    IF(O99-Uzman_D!$M$4&lt;0, -(O99-Uzman_D!$M$4), O99-Uzman_D!$M$4)*1
)</f>
        <v>-0.90000000000000013</v>
      </c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75"/>
      <c r="AB99" s="75"/>
      <c r="AC99" s="73">
        <f>1 - (
    SUM(
        IF(Q99-Uzman_D!$B$5&lt;0, -(Q99-Uzman_D!$B$5), Q99-Uzman_D!$B$5)*0.1 +
        IF(R99-Uzman_D!$C$5&lt;0, -(R99-Uzman_D!$C$5), R99-Uzman_D!$C$5)*0.1 +
        IF(S99-Uzman_D!$D$5&lt;0, -(S99-Uzman_D!$D$5), S99-Uzman_D!$D$5)*0.1 +
        IF(T99-Uzman_D!$E$5&lt;0, -(T99-Uzman_D!$E$5), T99-Uzman_D!$E$5)*0.1 +
        IF(U99-Uzman_D!$F$5&lt;0, -(U99-Uzman_D!$F$5), U99-Uzman_D!$F$5)*0.1 +
        IF(V99-Uzman_D!$G$5&lt;0, -(V99-Uzman_D!$G$5), V99-Uzman_D!$G$5)*0.1 +
        IF(W99-Uzman_D!$H$5&lt;0, -(W99-Uzman_D!$H$5), W99-Uzman_D!$H$5)*0.1 +
        IF(X99-Uzman_D!$I$5&lt;0, -(X99-Uzman_D!$I$5), X99-Uzman_D!$I$5)*0.1 +
        IF(Y99-Uzman_D!$J$5&lt;0, -(Y99-Uzman_D!$J$5), Y99-Uzman_D!$J$5)*0.1
    ) +
    IF(ROUND((IF(AA99-Uzman_D!$L$5&lt;0, -(AA99-Uzman_D!$L$5), AA99-Uzman_D!$L$5)*2),0)/2 = IF(AA99-Uzman_D!$L$5&lt;0, -(AA99-Uzman_D!$L$5), AA99-Uzman_D!$L$5),
    (ROUND((IF(AA99-Uzman_D!$L$5&lt;0, -(AA99-Uzman_D!$L$5), AA99-Uzman_D!$L$5)*2),0)/1 * 0.1), 0) +
    IF(AB99-Uzman_D!$M$5&lt;0, -(AB99-Uzman_D!$M$5), AB99-Uzman_D!$M$5)*1
)</f>
        <v>-0.50000000000000022</v>
      </c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75"/>
      <c r="AO99" s="75"/>
      <c r="AP99" s="73">
        <f>1 - (
    SUM(
        IF(AD99-Uzman_D!$B$6&lt;0, -(AD99-Uzman_D!$B$6), AD99-Uzman_D!$B$6)*0.1 +
        IF(AE99-Uzman_D!$C$6&lt;0, -(AE99-Uzman_D!$C$6), AE99-Uzman_D!$C$6)*0.1 +
        IF(AF99-Uzman_D!$D$6&lt;0, -(AF99-Uzman_D!$D$6), AF99-Uzman_D!$D$6)*0.1 +
        IF(AG99-Uzman_D!$E$6&lt;0, -(AG99-Uzman_D!$E$6), AG99-Uzman_D!$E$6)*0.1 +
        IF(AH99-Uzman_D!$F$6&lt;0, -(AH99-Uzman_D!$F$6), AH99-Uzman_D!$F$6)*0.1 +
        IF(AI99-Uzman_D!$G$6&lt;0, -(AI99-Uzman_D!$G$6), AI99-Uzman_D!$G$6)*0.1 +
        IF(AJ99-Uzman_D!$H$6&lt;0, -(AJ99-Uzman_D!$H$6), AJ99-Uzman_D!$H$6)*0.1 +
        IF(AK99-Uzman_D!$I$6&lt;0, -(AK99-Uzman_D!$I$6), AK99-Uzman_D!$I$6)*0.1 +
        IF(AL99-Uzman_D!$J$6&lt;0, -(AL99-Uzman_D!$J$6), AL99-Uzman_D!$J$6)*0.1
    ) +
    IF(ROUND((IF(AN99-Uzman_D!$L$6&lt;0, -(AN99-Uzman_D!$L$6), AN99-Uzman_D!$L$6)*2),0)/2 = IF(AN99-Uzman_D!$L$6&lt;0, -(AN99-Uzman_D!$L$6), AN99-Uzman_D!$L$6),
    (ROUND((IF(AN99-Uzman_D!$L$6&lt;0, -(AN99-Uzman_D!$L$6), AN99-Uzman_D!$L$6)*2),0)/1 * 0.1), 0) +
    IF(AO99-Uzman_D!$M$6&lt;0, -(AO99-Uzman_D!$M$6), AO99-Uzman_D!$M$6)*1
)</f>
        <v>-0.60000000000000009</v>
      </c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75"/>
      <c r="BB99" s="75"/>
      <c r="BC99" s="73">
        <f>1 - (
    SUM(
        IF(AQ99-Uzman_D!$B$7&lt;0, -(AQ99-Uzman_D!$B$7), AQ99-Uzman_D!$B$7)*0.1 +
        IF(AR99-Uzman_D!$C$7&lt;0, -(AR99-Uzman_D!$C$7), AR99-Uzman_D!$C$7)*0.1 +
        IF(AS99-Uzman_D!$D$7&lt;0, -(AS99-Uzman_D!$D$7), AS99-Uzman_D!$D$7)*0.1 +
        IF(AT99-Uzman_D!$E$7&lt;0, -(AT99-Uzman_D!$E$7), AT99-Uzman_D!$E$7)*0.1 +
        IF(AU99-Uzman_D!$F$7&lt;0, -(AU99-Uzman_D!$F$7), AU99-Uzman_D!$F$7)*0.1 +
        IF(AV99-Uzman_D!$G$7&lt;0, -(AV99-Uzman_D!$G$7), AV99-Uzman_D!$G$7)*0.1 +
        IF(AW99-Uzman_D!$H$7&lt;0, -(AW99-Uzman_D!$H$7), AW99-Uzman_D!$H$7)*0.1 +
        IF(AX99-Uzman_D!$I$7&lt;0, -(AX99-Uzman_D!$I$7), AX99-Uzman_D!$I$7)*0.1 +
        IF(AY99-Uzman_D!$J$7&lt;0, -(AY99-Uzman_D!$J$7), AY99-Uzman_D!$J$7)*0.1
    ) +
    IF(ROUND((IF(BA99-Uzman_D!$L$7&lt;0, -(BA99-Uzman_D!$L$7), BA99-Uzman_D!$L$7)*2),0)/2 = IF(BA99-Uzman_D!$L$7&lt;0, -(BA99-Uzman_D!$L$7), BA99-Uzman_D!$L$7),
    (ROUND((IF(BA99-Uzman_D!$L$7&lt;0, -(BA99-Uzman_D!$L$7), BA99-Uzman_D!$L$7)*2),0)/1 * 0.1), 0) +
    IF(BB99-Uzman_D!$M$7&lt;0, -(BB99-Uzman_D!$M$7), BB99-Uzman_D!$M$7)*1
)</f>
        <v>-0.50000000000000022</v>
      </c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75"/>
      <c r="BO99" s="75"/>
      <c r="BP99" s="73">
        <f>1 - (
    SUM(
        IF(BD99-Uzman_D!$B$8&lt;0, -(BD99-Uzman_D!$B$8), BD99-Uzman_D!$B$8)*0.1 +
        IF(BE99-Uzman_D!$C$8&lt;0, -(BE99-Uzman_D!$C$8), BE99-Uzman_D!$C$8)*0.1 +
        IF(BF99-Uzman_D!$D$8&lt;0, -(BF99-Uzman_D!$D$8), BF99-Uzman_D!$D$8)*0.1 +
        IF(BG99-Uzman_D!$E$8&lt;0, -(BG99-Uzman_D!$E$8), BG99-Uzman_D!$E$8)*0.1 +
        IF(BH99-Uzman_D!$F$8&lt;0, -(BH99-Uzman_D!$F$8), BH99-Uzman_D!$F$8)*0.1 +
        IF(BI99-Uzman_D!$G$8&lt;0, -(BI99-Uzman_D!$G$8), BI99-Uzman_D!$G$8)*0.1 +
        IF(BJ99-Uzman_D!$H$8&lt;0, -(BJ99-Uzman_D!$H$8), BJ99-Uzman_D!$H$8)*0.1 +
        IF(BK99-Uzman_D!$I$8&lt;0, -(BK99-Uzman_D!$I$8), BK99-Uzman_D!$I$8)*0.1 +
        IF(BL99-Uzman_D!$J$8&lt;0, -(BL99-Uzman_D!$J$8), BL99-Uzman_D!$J$8)*0.1
    ) +
    IF(ROUND((IF(BN99-Uzman_D!$L$8&lt;0, -(BN99-Uzman_D!$L$8), BN99-Uzman_D!$L$8)*2),0)/2 = IF(BN99-Uzman_D!$L$8&lt;0, -(BN99-Uzman_D!$L$8), BN99-Uzman_D!$L$8),
    (ROUND((IF(BN99-Uzman_D!$L$8&lt;0, -(BN99-Uzman_D!$L$8), BN99-Uzman_D!$L$8)*2),0)/1 * 0.1), 0) +
    IF(BO99-Uzman_D!$M$8&lt;0, -(BO99-Uzman_D!$M$8), BO99-Uzman_D!$M$8)*1
)</f>
        <v>-0.20000000000000018</v>
      </c>
      <c r="BQ99" s="74">
        <f t="shared" si="1"/>
        <v>-0.54000000000000026</v>
      </c>
    </row>
    <row r="100" spans="1:69" ht="15" customHeight="1" x14ac:dyDescent="0.2">
      <c r="A100" s="57">
        <v>97</v>
      </c>
      <c r="B100" s="37">
        <f>Hakemler!B100</f>
        <v>0</v>
      </c>
      <c r="C100" s="37">
        <f>Hakemler!C100</f>
        <v>0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75"/>
      <c r="O100" s="75"/>
      <c r="P100" s="73">
        <f>1 - (
    SUM(
        IF(D100-Uzman_D!$B$4&lt;0, -(D100-Uzman_D!$B$4), D100-Uzman_D!$B$4)*0.1 +
        IF(E100-Uzman_D!$C$4&lt;0, -(E100-Uzman_D!$C$4), E100-Uzman_D!$C$4)*0.1 +
        IF(F100-Uzman_D!$D$4&lt;0, -(F100-Uzman_D!$D$4), F100-Uzman_D!$D$4)*0.1 +
        IF(G100-Uzman_D!$E$4&lt;0, -(G100-Uzman_D!$E$4), G100-Uzman_D!$E$4)*0.1 +
        IF(H100-Uzman_D!$F$4&lt;0, -(H100-Uzman_D!$F$4), H100-Uzman_D!$F$4)*0.1 +
        IF(I100-Uzman_D!$G$4&lt;0, -(I100-Uzman_D!$G$4), I100-Uzman_D!$G$4)*0.1 +
        IF(J100-Uzman_D!$H$4&lt;0, -(J100-Uzman_D!$H$4), J100-Uzman_D!$H$4)*0.1 +
        IF(K100-Uzman_D!$I$4&lt;0, -(K100-Uzman_D!$I$4), K100-Uzman_D!$I$4)*0.1 +
        IF(L100-Uzman_D!$J$4&lt;0, -(L100-Uzman_D!$J$4), L100-Uzman_D!$J$4)*0.1
    ) +
    IF(ROUND((IF(N100-Uzman_D!$L$4&lt;0, -(N100-Uzman_D!$L$4), N100-Uzman_D!$L$4)*2),0)/2 = IF(N100-Uzman_D!$L$4&lt;0, -(N100-Uzman_D!$L$4), N100-Uzman_D!$L$4),
    (ROUND((IF(N100-Uzman_D!$L$4&lt;0, -(N100-Uzman_D!$L$4), N100-Uzman_D!$L$4)*2),0)/1 * 0.1), 0) +
    IF(O100-Uzman_D!$M$4&lt;0, -(O100-Uzman_D!$M$4), O100-Uzman_D!$M$4)*1
)</f>
        <v>-0.90000000000000013</v>
      </c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75"/>
      <c r="AB100" s="75"/>
      <c r="AC100" s="73">
        <f>1 - (
    SUM(
        IF(Q100-Uzman_D!$B$5&lt;0, -(Q100-Uzman_D!$B$5), Q100-Uzman_D!$B$5)*0.1 +
        IF(R100-Uzman_D!$C$5&lt;0, -(R100-Uzman_D!$C$5), R100-Uzman_D!$C$5)*0.1 +
        IF(S100-Uzman_D!$D$5&lt;0, -(S100-Uzman_D!$D$5), S100-Uzman_D!$D$5)*0.1 +
        IF(T100-Uzman_D!$E$5&lt;0, -(T100-Uzman_D!$E$5), T100-Uzman_D!$E$5)*0.1 +
        IF(U100-Uzman_D!$F$5&lt;0, -(U100-Uzman_D!$F$5), U100-Uzman_D!$F$5)*0.1 +
        IF(V100-Uzman_D!$G$5&lt;0, -(V100-Uzman_D!$G$5), V100-Uzman_D!$G$5)*0.1 +
        IF(W100-Uzman_D!$H$5&lt;0, -(W100-Uzman_D!$H$5), W100-Uzman_D!$H$5)*0.1 +
        IF(X100-Uzman_D!$I$5&lt;0, -(X100-Uzman_D!$I$5), X100-Uzman_D!$I$5)*0.1 +
        IF(Y100-Uzman_D!$J$5&lt;0, -(Y100-Uzman_D!$J$5), Y100-Uzman_D!$J$5)*0.1
    ) +
    IF(ROUND((IF(AA100-Uzman_D!$L$5&lt;0, -(AA100-Uzman_D!$L$5), AA100-Uzman_D!$L$5)*2),0)/2 = IF(AA100-Uzman_D!$L$5&lt;0, -(AA100-Uzman_D!$L$5), AA100-Uzman_D!$L$5),
    (ROUND((IF(AA100-Uzman_D!$L$5&lt;0, -(AA100-Uzman_D!$L$5), AA100-Uzman_D!$L$5)*2),0)/1 * 0.1), 0) +
    IF(AB100-Uzman_D!$M$5&lt;0, -(AB100-Uzman_D!$M$5), AB100-Uzman_D!$M$5)*1
)</f>
        <v>-0.50000000000000022</v>
      </c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75"/>
      <c r="AO100" s="75"/>
      <c r="AP100" s="73">
        <f>1 - (
    SUM(
        IF(AD100-Uzman_D!$B$6&lt;0, -(AD100-Uzman_D!$B$6), AD100-Uzman_D!$B$6)*0.1 +
        IF(AE100-Uzman_D!$C$6&lt;0, -(AE100-Uzman_D!$C$6), AE100-Uzman_D!$C$6)*0.1 +
        IF(AF100-Uzman_D!$D$6&lt;0, -(AF100-Uzman_D!$D$6), AF100-Uzman_D!$D$6)*0.1 +
        IF(AG100-Uzman_D!$E$6&lt;0, -(AG100-Uzman_D!$E$6), AG100-Uzman_D!$E$6)*0.1 +
        IF(AH100-Uzman_D!$F$6&lt;0, -(AH100-Uzman_D!$F$6), AH100-Uzman_D!$F$6)*0.1 +
        IF(AI100-Uzman_D!$G$6&lt;0, -(AI100-Uzman_D!$G$6), AI100-Uzman_D!$G$6)*0.1 +
        IF(AJ100-Uzman_D!$H$6&lt;0, -(AJ100-Uzman_D!$H$6), AJ100-Uzman_D!$H$6)*0.1 +
        IF(AK100-Uzman_D!$I$6&lt;0, -(AK100-Uzman_D!$I$6), AK100-Uzman_D!$I$6)*0.1 +
        IF(AL100-Uzman_D!$J$6&lt;0, -(AL100-Uzman_D!$J$6), AL100-Uzman_D!$J$6)*0.1
    ) +
    IF(ROUND((IF(AN100-Uzman_D!$L$6&lt;0, -(AN100-Uzman_D!$L$6), AN100-Uzman_D!$L$6)*2),0)/2 = IF(AN100-Uzman_D!$L$6&lt;0, -(AN100-Uzman_D!$L$6), AN100-Uzman_D!$L$6),
    (ROUND((IF(AN100-Uzman_D!$L$6&lt;0, -(AN100-Uzman_D!$L$6), AN100-Uzman_D!$L$6)*2),0)/1 * 0.1), 0) +
    IF(AO100-Uzman_D!$M$6&lt;0, -(AO100-Uzman_D!$M$6), AO100-Uzman_D!$M$6)*1
)</f>
        <v>-0.60000000000000009</v>
      </c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75"/>
      <c r="BB100" s="75"/>
      <c r="BC100" s="73">
        <f>1 - (
    SUM(
        IF(AQ100-Uzman_D!$B$7&lt;0, -(AQ100-Uzman_D!$B$7), AQ100-Uzman_D!$B$7)*0.1 +
        IF(AR100-Uzman_D!$C$7&lt;0, -(AR100-Uzman_D!$C$7), AR100-Uzman_D!$C$7)*0.1 +
        IF(AS100-Uzman_D!$D$7&lt;0, -(AS100-Uzman_D!$D$7), AS100-Uzman_D!$D$7)*0.1 +
        IF(AT100-Uzman_D!$E$7&lt;0, -(AT100-Uzman_D!$E$7), AT100-Uzman_D!$E$7)*0.1 +
        IF(AU100-Uzman_D!$F$7&lt;0, -(AU100-Uzman_D!$F$7), AU100-Uzman_D!$F$7)*0.1 +
        IF(AV100-Uzman_D!$G$7&lt;0, -(AV100-Uzman_D!$G$7), AV100-Uzman_D!$G$7)*0.1 +
        IF(AW100-Uzman_D!$H$7&lt;0, -(AW100-Uzman_D!$H$7), AW100-Uzman_D!$H$7)*0.1 +
        IF(AX100-Uzman_D!$I$7&lt;0, -(AX100-Uzman_D!$I$7), AX100-Uzman_D!$I$7)*0.1 +
        IF(AY100-Uzman_D!$J$7&lt;0, -(AY100-Uzman_D!$J$7), AY100-Uzman_D!$J$7)*0.1
    ) +
    IF(ROUND((IF(BA100-Uzman_D!$L$7&lt;0, -(BA100-Uzman_D!$L$7), BA100-Uzman_D!$L$7)*2),0)/2 = IF(BA100-Uzman_D!$L$7&lt;0, -(BA100-Uzman_D!$L$7), BA100-Uzman_D!$L$7),
    (ROUND((IF(BA100-Uzman_D!$L$7&lt;0, -(BA100-Uzman_D!$L$7), BA100-Uzman_D!$L$7)*2),0)/1 * 0.1), 0) +
    IF(BB100-Uzman_D!$M$7&lt;0, -(BB100-Uzman_D!$M$7), BB100-Uzman_D!$M$7)*1
)</f>
        <v>-0.50000000000000022</v>
      </c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75"/>
      <c r="BO100" s="75"/>
      <c r="BP100" s="73">
        <f>1 - (
    SUM(
        IF(BD100-Uzman_D!$B$8&lt;0, -(BD100-Uzman_D!$B$8), BD100-Uzman_D!$B$8)*0.1 +
        IF(BE100-Uzman_D!$C$8&lt;0, -(BE100-Uzman_D!$C$8), BE100-Uzman_D!$C$8)*0.1 +
        IF(BF100-Uzman_D!$D$8&lt;0, -(BF100-Uzman_D!$D$8), BF100-Uzman_D!$D$8)*0.1 +
        IF(BG100-Uzman_D!$E$8&lt;0, -(BG100-Uzman_D!$E$8), BG100-Uzman_D!$E$8)*0.1 +
        IF(BH100-Uzman_D!$F$8&lt;0, -(BH100-Uzman_D!$F$8), BH100-Uzman_D!$F$8)*0.1 +
        IF(BI100-Uzman_D!$G$8&lt;0, -(BI100-Uzman_D!$G$8), BI100-Uzman_D!$G$8)*0.1 +
        IF(BJ100-Uzman_D!$H$8&lt;0, -(BJ100-Uzman_D!$H$8), BJ100-Uzman_D!$H$8)*0.1 +
        IF(BK100-Uzman_D!$I$8&lt;0, -(BK100-Uzman_D!$I$8), BK100-Uzman_D!$I$8)*0.1 +
        IF(BL100-Uzman_D!$J$8&lt;0, -(BL100-Uzman_D!$J$8), BL100-Uzman_D!$J$8)*0.1
    ) +
    IF(ROUND((IF(BN100-Uzman_D!$L$8&lt;0, -(BN100-Uzman_D!$L$8), BN100-Uzman_D!$L$8)*2),0)/2 = IF(BN100-Uzman_D!$L$8&lt;0, -(BN100-Uzman_D!$L$8), BN100-Uzman_D!$L$8),
    (ROUND((IF(BN100-Uzman_D!$L$8&lt;0, -(BN100-Uzman_D!$L$8), BN100-Uzman_D!$L$8)*2),0)/1 * 0.1), 0) +
    IF(BO100-Uzman_D!$M$8&lt;0, -(BO100-Uzman_D!$M$8), BO100-Uzman_D!$M$8)*1
)</f>
        <v>-0.20000000000000018</v>
      </c>
      <c r="BQ100" s="74">
        <f t="shared" si="1"/>
        <v>-0.54000000000000026</v>
      </c>
    </row>
    <row r="101" spans="1:69" ht="15" customHeight="1" x14ac:dyDescent="0.2">
      <c r="A101" s="57">
        <v>98</v>
      </c>
      <c r="B101" s="37">
        <f>Hakemler!B101</f>
        <v>0</v>
      </c>
      <c r="C101" s="37">
        <f>Hakemler!C101</f>
        <v>0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75"/>
      <c r="O101" s="75"/>
      <c r="P101" s="73">
        <f>1 - (
    SUM(
        IF(D101-Uzman_D!$B$4&lt;0, -(D101-Uzman_D!$B$4), D101-Uzman_D!$B$4)*0.1 +
        IF(E101-Uzman_D!$C$4&lt;0, -(E101-Uzman_D!$C$4), E101-Uzman_D!$C$4)*0.1 +
        IF(F101-Uzman_D!$D$4&lt;0, -(F101-Uzman_D!$D$4), F101-Uzman_D!$D$4)*0.1 +
        IF(G101-Uzman_D!$E$4&lt;0, -(G101-Uzman_D!$E$4), G101-Uzman_D!$E$4)*0.1 +
        IF(H101-Uzman_D!$F$4&lt;0, -(H101-Uzman_D!$F$4), H101-Uzman_D!$F$4)*0.1 +
        IF(I101-Uzman_D!$G$4&lt;0, -(I101-Uzman_D!$G$4), I101-Uzman_D!$G$4)*0.1 +
        IF(J101-Uzman_D!$H$4&lt;0, -(J101-Uzman_D!$H$4), J101-Uzman_D!$H$4)*0.1 +
        IF(K101-Uzman_D!$I$4&lt;0, -(K101-Uzman_D!$I$4), K101-Uzman_D!$I$4)*0.1 +
        IF(L101-Uzman_D!$J$4&lt;0, -(L101-Uzman_D!$J$4), L101-Uzman_D!$J$4)*0.1
    ) +
    IF(ROUND((IF(N101-Uzman_D!$L$4&lt;0, -(N101-Uzman_D!$L$4), N101-Uzman_D!$L$4)*2),0)/2 = IF(N101-Uzman_D!$L$4&lt;0, -(N101-Uzman_D!$L$4), N101-Uzman_D!$L$4),
    (ROUND((IF(N101-Uzman_D!$L$4&lt;0, -(N101-Uzman_D!$L$4), N101-Uzman_D!$L$4)*2),0)/1 * 0.1), 0) +
    IF(O101-Uzman_D!$M$4&lt;0, -(O101-Uzman_D!$M$4), O101-Uzman_D!$M$4)*1
)</f>
        <v>-0.90000000000000013</v>
      </c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75"/>
      <c r="AB101" s="75"/>
      <c r="AC101" s="73">
        <f>1 - (
    SUM(
        IF(Q101-Uzman_D!$B$5&lt;0, -(Q101-Uzman_D!$B$5), Q101-Uzman_D!$B$5)*0.1 +
        IF(R101-Uzman_D!$C$5&lt;0, -(R101-Uzman_D!$C$5), R101-Uzman_D!$C$5)*0.1 +
        IF(S101-Uzman_D!$D$5&lt;0, -(S101-Uzman_D!$D$5), S101-Uzman_D!$D$5)*0.1 +
        IF(T101-Uzman_D!$E$5&lt;0, -(T101-Uzman_D!$E$5), T101-Uzman_D!$E$5)*0.1 +
        IF(U101-Uzman_D!$F$5&lt;0, -(U101-Uzman_D!$F$5), U101-Uzman_D!$F$5)*0.1 +
        IF(V101-Uzman_D!$G$5&lt;0, -(V101-Uzman_D!$G$5), V101-Uzman_D!$G$5)*0.1 +
        IF(W101-Uzman_D!$H$5&lt;0, -(W101-Uzman_D!$H$5), W101-Uzman_D!$H$5)*0.1 +
        IF(X101-Uzman_D!$I$5&lt;0, -(X101-Uzman_D!$I$5), X101-Uzman_D!$I$5)*0.1 +
        IF(Y101-Uzman_D!$J$5&lt;0, -(Y101-Uzman_D!$J$5), Y101-Uzman_D!$J$5)*0.1
    ) +
    IF(ROUND((IF(AA101-Uzman_D!$L$5&lt;0, -(AA101-Uzman_D!$L$5), AA101-Uzman_D!$L$5)*2),0)/2 = IF(AA101-Uzman_D!$L$5&lt;0, -(AA101-Uzman_D!$L$5), AA101-Uzman_D!$L$5),
    (ROUND((IF(AA101-Uzman_D!$L$5&lt;0, -(AA101-Uzman_D!$L$5), AA101-Uzman_D!$L$5)*2),0)/1 * 0.1), 0) +
    IF(AB101-Uzman_D!$M$5&lt;0, -(AB101-Uzman_D!$M$5), AB101-Uzman_D!$M$5)*1
)</f>
        <v>-0.50000000000000022</v>
      </c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75"/>
      <c r="AO101" s="75"/>
      <c r="AP101" s="73">
        <f>1 - (
    SUM(
        IF(AD101-Uzman_D!$B$6&lt;0, -(AD101-Uzman_D!$B$6), AD101-Uzman_D!$B$6)*0.1 +
        IF(AE101-Uzman_D!$C$6&lt;0, -(AE101-Uzman_D!$C$6), AE101-Uzman_D!$C$6)*0.1 +
        IF(AF101-Uzman_D!$D$6&lt;0, -(AF101-Uzman_D!$D$6), AF101-Uzman_D!$D$6)*0.1 +
        IF(AG101-Uzman_D!$E$6&lt;0, -(AG101-Uzman_D!$E$6), AG101-Uzman_D!$E$6)*0.1 +
        IF(AH101-Uzman_D!$F$6&lt;0, -(AH101-Uzman_D!$F$6), AH101-Uzman_D!$F$6)*0.1 +
        IF(AI101-Uzman_D!$G$6&lt;0, -(AI101-Uzman_D!$G$6), AI101-Uzman_D!$G$6)*0.1 +
        IF(AJ101-Uzman_D!$H$6&lt;0, -(AJ101-Uzman_D!$H$6), AJ101-Uzman_D!$H$6)*0.1 +
        IF(AK101-Uzman_D!$I$6&lt;0, -(AK101-Uzman_D!$I$6), AK101-Uzman_D!$I$6)*0.1 +
        IF(AL101-Uzman_D!$J$6&lt;0, -(AL101-Uzman_D!$J$6), AL101-Uzman_D!$J$6)*0.1
    ) +
    IF(ROUND((IF(AN101-Uzman_D!$L$6&lt;0, -(AN101-Uzman_D!$L$6), AN101-Uzman_D!$L$6)*2),0)/2 = IF(AN101-Uzman_D!$L$6&lt;0, -(AN101-Uzman_D!$L$6), AN101-Uzman_D!$L$6),
    (ROUND((IF(AN101-Uzman_D!$L$6&lt;0, -(AN101-Uzman_D!$L$6), AN101-Uzman_D!$L$6)*2),0)/1 * 0.1), 0) +
    IF(AO101-Uzman_D!$M$6&lt;0, -(AO101-Uzman_D!$M$6), AO101-Uzman_D!$M$6)*1
)</f>
        <v>-0.60000000000000009</v>
      </c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75"/>
      <c r="BB101" s="75"/>
      <c r="BC101" s="73">
        <f>1 - (
    SUM(
        IF(AQ101-Uzman_D!$B$7&lt;0, -(AQ101-Uzman_D!$B$7), AQ101-Uzman_D!$B$7)*0.1 +
        IF(AR101-Uzman_D!$C$7&lt;0, -(AR101-Uzman_D!$C$7), AR101-Uzman_D!$C$7)*0.1 +
        IF(AS101-Uzman_D!$D$7&lt;0, -(AS101-Uzman_D!$D$7), AS101-Uzman_D!$D$7)*0.1 +
        IF(AT101-Uzman_D!$E$7&lt;0, -(AT101-Uzman_D!$E$7), AT101-Uzman_D!$E$7)*0.1 +
        IF(AU101-Uzman_D!$F$7&lt;0, -(AU101-Uzman_D!$F$7), AU101-Uzman_D!$F$7)*0.1 +
        IF(AV101-Uzman_D!$G$7&lt;0, -(AV101-Uzman_D!$G$7), AV101-Uzman_D!$G$7)*0.1 +
        IF(AW101-Uzman_D!$H$7&lt;0, -(AW101-Uzman_D!$H$7), AW101-Uzman_D!$H$7)*0.1 +
        IF(AX101-Uzman_D!$I$7&lt;0, -(AX101-Uzman_D!$I$7), AX101-Uzman_D!$I$7)*0.1 +
        IF(AY101-Uzman_D!$J$7&lt;0, -(AY101-Uzman_D!$J$7), AY101-Uzman_D!$J$7)*0.1
    ) +
    IF(ROUND((IF(BA101-Uzman_D!$L$7&lt;0, -(BA101-Uzman_D!$L$7), BA101-Uzman_D!$L$7)*2),0)/2 = IF(BA101-Uzman_D!$L$7&lt;0, -(BA101-Uzman_D!$L$7), BA101-Uzman_D!$L$7),
    (ROUND((IF(BA101-Uzman_D!$L$7&lt;0, -(BA101-Uzman_D!$L$7), BA101-Uzman_D!$L$7)*2),0)/1 * 0.1), 0) +
    IF(BB101-Uzman_D!$M$7&lt;0, -(BB101-Uzman_D!$M$7), BB101-Uzman_D!$M$7)*1
)</f>
        <v>-0.50000000000000022</v>
      </c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75"/>
      <c r="BO101" s="75"/>
      <c r="BP101" s="73">
        <f>1 - (
    SUM(
        IF(BD101-Uzman_D!$B$8&lt;0, -(BD101-Uzman_D!$B$8), BD101-Uzman_D!$B$8)*0.1 +
        IF(BE101-Uzman_D!$C$8&lt;0, -(BE101-Uzman_D!$C$8), BE101-Uzman_D!$C$8)*0.1 +
        IF(BF101-Uzman_D!$D$8&lt;0, -(BF101-Uzman_D!$D$8), BF101-Uzman_D!$D$8)*0.1 +
        IF(BG101-Uzman_D!$E$8&lt;0, -(BG101-Uzman_D!$E$8), BG101-Uzman_D!$E$8)*0.1 +
        IF(BH101-Uzman_D!$F$8&lt;0, -(BH101-Uzman_D!$F$8), BH101-Uzman_D!$F$8)*0.1 +
        IF(BI101-Uzman_D!$G$8&lt;0, -(BI101-Uzman_D!$G$8), BI101-Uzman_D!$G$8)*0.1 +
        IF(BJ101-Uzman_D!$H$8&lt;0, -(BJ101-Uzman_D!$H$8), BJ101-Uzman_D!$H$8)*0.1 +
        IF(BK101-Uzman_D!$I$8&lt;0, -(BK101-Uzman_D!$I$8), BK101-Uzman_D!$I$8)*0.1 +
        IF(BL101-Uzman_D!$J$8&lt;0, -(BL101-Uzman_D!$J$8), BL101-Uzman_D!$J$8)*0.1
    ) +
    IF(ROUND((IF(BN101-Uzman_D!$L$8&lt;0, -(BN101-Uzman_D!$L$8), BN101-Uzman_D!$L$8)*2),0)/2 = IF(BN101-Uzman_D!$L$8&lt;0, -(BN101-Uzman_D!$L$8), BN101-Uzman_D!$L$8),
    (ROUND((IF(BN101-Uzman_D!$L$8&lt;0, -(BN101-Uzman_D!$L$8), BN101-Uzman_D!$L$8)*2),0)/1 * 0.1), 0) +
    IF(BO101-Uzman_D!$M$8&lt;0, -(BO101-Uzman_D!$M$8), BO101-Uzman_D!$M$8)*1
)</f>
        <v>-0.20000000000000018</v>
      </c>
      <c r="BQ101" s="74">
        <f t="shared" si="1"/>
        <v>-0.54000000000000026</v>
      </c>
    </row>
    <row r="102" spans="1:69" ht="15" customHeight="1" x14ac:dyDescent="0.2">
      <c r="A102" s="57">
        <v>99</v>
      </c>
      <c r="B102" s="37">
        <f>Hakemler!B102</f>
        <v>0</v>
      </c>
      <c r="C102" s="37">
        <f>Hakemler!C102</f>
        <v>0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75"/>
      <c r="O102" s="75"/>
      <c r="P102" s="73">
        <f>1 - (
    SUM(
        IF(D102-Uzman_D!$B$4&lt;0, -(D102-Uzman_D!$B$4), D102-Uzman_D!$B$4)*0.1 +
        IF(E102-Uzman_D!$C$4&lt;0, -(E102-Uzman_D!$C$4), E102-Uzman_D!$C$4)*0.1 +
        IF(F102-Uzman_D!$D$4&lt;0, -(F102-Uzman_D!$D$4), F102-Uzman_D!$D$4)*0.1 +
        IF(G102-Uzman_D!$E$4&lt;0, -(G102-Uzman_D!$E$4), G102-Uzman_D!$E$4)*0.1 +
        IF(H102-Uzman_D!$F$4&lt;0, -(H102-Uzman_D!$F$4), H102-Uzman_D!$F$4)*0.1 +
        IF(I102-Uzman_D!$G$4&lt;0, -(I102-Uzman_D!$G$4), I102-Uzman_D!$G$4)*0.1 +
        IF(J102-Uzman_D!$H$4&lt;0, -(J102-Uzman_D!$H$4), J102-Uzman_D!$H$4)*0.1 +
        IF(K102-Uzman_D!$I$4&lt;0, -(K102-Uzman_D!$I$4), K102-Uzman_D!$I$4)*0.1 +
        IF(L102-Uzman_D!$J$4&lt;0, -(L102-Uzman_D!$J$4), L102-Uzman_D!$J$4)*0.1
    ) +
    IF(ROUND((IF(N102-Uzman_D!$L$4&lt;0, -(N102-Uzman_D!$L$4), N102-Uzman_D!$L$4)*2),0)/2 = IF(N102-Uzman_D!$L$4&lt;0, -(N102-Uzman_D!$L$4), N102-Uzman_D!$L$4),
    (ROUND((IF(N102-Uzman_D!$L$4&lt;0, -(N102-Uzman_D!$L$4), N102-Uzman_D!$L$4)*2),0)/1 * 0.1), 0) +
    IF(O102-Uzman_D!$M$4&lt;0, -(O102-Uzman_D!$M$4), O102-Uzman_D!$M$4)*1
)</f>
        <v>-0.90000000000000013</v>
      </c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75"/>
      <c r="AB102" s="75"/>
      <c r="AC102" s="73">
        <f>1 - (
    SUM(
        IF(Q102-Uzman_D!$B$5&lt;0, -(Q102-Uzman_D!$B$5), Q102-Uzman_D!$B$5)*0.1 +
        IF(R102-Uzman_D!$C$5&lt;0, -(R102-Uzman_D!$C$5), R102-Uzman_D!$C$5)*0.1 +
        IF(S102-Uzman_D!$D$5&lt;0, -(S102-Uzman_D!$D$5), S102-Uzman_D!$D$5)*0.1 +
        IF(T102-Uzman_D!$E$5&lt;0, -(T102-Uzman_D!$E$5), T102-Uzman_D!$E$5)*0.1 +
        IF(U102-Uzman_D!$F$5&lt;0, -(U102-Uzman_D!$F$5), U102-Uzman_D!$F$5)*0.1 +
        IF(V102-Uzman_D!$G$5&lt;0, -(V102-Uzman_D!$G$5), V102-Uzman_D!$G$5)*0.1 +
        IF(W102-Uzman_D!$H$5&lt;0, -(W102-Uzman_D!$H$5), W102-Uzman_D!$H$5)*0.1 +
        IF(X102-Uzman_D!$I$5&lt;0, -(X102-Uzman_D!$I$5), X102-Uzman_D!$I$5)*0.1 +
        IF(Y102-Uzman_D!$J$5&lt;0, -(Y102-Uzman_D!$J$5), Y102-Uzman_D!$J$5)*0.1
    ) +
    IF(ROUND((IF(AA102-Uzman_D!$L$5&lt;0, -(AA102-Uzman_D!$L$5), AA102-Uzman_D!$L$5)*2),0)/2 = IF(AA102-Uzman_D!$L$5&lt;0, -(AA102-Uzman_D!$L$5), AA102-Uzman_D!$L$5),
    (ROUND((IF(AA102-Uzman_D!$L$5&lt;0, -(AA102-Uzman_D!$L$5), AA102-Uzman_D!$L$5)*2),0)/1 * 0.1), 0) +
    IF(AB102-Uzman_D!$M$5&lt;0, -(AB102-Uzman_D!$M$5), AB102-Uzman_D!$M$5)*1
)</f>
        <v>-0.50000000000000022</v>
      </c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75"/>
      <c r="AO102" s="75"/>
      <c r="AP102" s="73">
        <f>1 - (
    SUM(
        IF(AD102-Uzman_D!$B$6&lt;0, -(AD102-Uzman_D!$B$6), AD102-Uzman_D!$B$6)*0.1 +
        IF(AE102-Uzman_D!$C$6&lt;0, -(AE102-Uzman_D!$C$6), AE102-Uzman_D!$C$6)*0.1 +
        IF(AF102-Uzman_D!$D$6&lt;0, -(AF102-Uzman_D!$D$6), AF102-Uzman_D!$D$6)*0.1 +
        IF(AG102-Uzman_D!$E$6&lt;0, -(AG102-Uzman_D!$E$6), AG102-Uzman_D!$E$6)*0.1 +
        IF(AH102-Uzman_D!$F$6&lt;0, -(AH102-Uzman_D!$F$6), AH102-Uzman_D!$F$6)*0.1 +
        IF(AI102-Uzman_D!$G$6&lt;0, -(AI102-Uzman_D!$G$6), AI102-Uzman_D!$G$6)*0.1 +
        IF(AJ102-Uzman_D!$H$6&lt;0, -(AJ102-Uzman_D!$H$6), AJ102-Uzman_D!$H$6)*0.1 +
        IF(AK102-Uzman_D!$I$6&lt;0, -(AK102-Uzman_D!$I$6), AK102-Uzman_D!$I$6)*0.1 +
        IF(AL102-Uzman_D!$J$6&lt;0, -(AL102-Uzman_D!$J$6), AL102-Uzman_D!$J$6)*0.1
    ) +
    IF(ROUND((IF(AN102-Uzman_D!$L$6&lt;0, -(AN102-Uzman_D!$L$6), AN102-Uzman_D!$L$6)*2),0)/2 = IF(AN102-Uzman_D!$L$6&lt;0, -(AN102-Uzman_D!$L$6), AN102-Uzman_D!$L$6),
    (ROUND((IF(AN102-Uzman_D!$L$6&lt;0, -(AN102-Uzman_D!$L$6), AN102-Uzman_D!$L$6)*2),0)/1 * 0.1), 0) +
    IF(AO102-Uzman_D!$M$6&lt;0, -(AO102-Uzman_D!$M$6), AO102-Uzman_D!$M$6)*1
)</f>
        <v>-0.60000000000000009</v>
      </c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75"/>
      <c r="BB102" s="75"/>
      <c r="BC102" s="73">
        <f>1 - (
    SUM(
        IF(AQ102-Uzman_D!$B$7&lt;0, -(AQ102-Uzman_D!$B$7), AQ102-Uzman_D!$B$7)*0.1 +
        IF(AR102-Uzman_D!$C$7&lt;0, -(AR102-Uzman_D!$C$7), AR102-Uzman_D!$C$7)*0.1 +
        IF(AS102-Uzman_D!$D$7&lt;0, -(AS102-Uzman_D!$D$7), AS102-Uzman_D!$D$7)*0.1 +
        IF(AT102-Uzman_D!$E$7&lt;0, -(AT102-Uzman_D!$E$7), AT102-Uzman_D!$E$7)*0.1 +
        IF(AU102-Uzman_D!$F$7&lt;0, -(AU102-Uzman_D!$F$7), AU102-Uzman_D!$F$7)*0.1 +
        IF(AV102-Uzman_D!$G$7&lt;0, -(AV102-Uzman_D!$G$7), AV102-Uzman_D!$G$7)*0.1 +
        IF(AW102-Uzman_D!$H$7&lt;0, -(AW102-Uzman_D!$H$7), AW102-Uzman_D!$H$7)*0.1 +
        IF(AX102-Uzman_D!$I$7&lt;0, -(AX102-Uzman_D!$I$7), AX102-Uzman_D!$I$7)*0.1 +
        IF(AY102-Uzman_D!$J$7&lt;0, -(AY102-Uzman_D!$J$7), AY102-Uzman_D!$J$7)*0.1
    ) +
    IF(ROUND((IF(BA102-Uzman_D!$L$7&lt;0, -(BA102-Uzman_D!$L$7), BA102-Uzman_D!$L$7)*2),0)/2 = IF(BA102-Uzman_D!$L$7&lt;0, -(BA102-Uzman_D!$L$7), BA102-Uzman_D!$L$7),
    (ROUND((IF(BA102-Uzman_D!$L$7&lt;0, -(BA102-Uzman_D!$L$7), BA102-Uzman_D!$L$7)*2),0)/1 * 0.1), 0) +
    IF(BB102-Uzman_D!$M$7&lt;0, -(BB102-Uzman_D!$M$7), BB102-Uzman_D!$M$7)*1
)</f>
        <v>-0.50000000000000022</v>
      </c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75"/>
      <c r="BO102" s="75"/>
      <c r="BP102" s="73">
        <f>1 - (
    SUM(
        IF(BD102-Uzman_D!$B$8&lt;0, -(BD102-Uzman_D!$B$8), BD102-Uzman_D!$B$8)*0.1 +
        IF(BE102-Uzman_D!$C$8&lt;0, -(BE102-Uzman_D!$C$8), BE102-Uzman_D!$C$8)*0.1 +
        IF(BF102-Uzman_D!$D$8&lt;0, -(BF102-Uzman_D!$D$8), BF102-Uzman_D!$D$8)*0.1 +
        IF(BG102-Uzman_D!$E$8&lt;0, -(BG102-Uzman_D!$E$8), BG102-Uzman_D!$E$8)*0.1 +
        IF(BH102-Uzman_D!$F$8&lt;0, -(BH102-Uzman_D!$F$8), BH102-Uzman_D!$F$8)*0.1 +
        IF(BI102-Uzman_D!$G$8&lt;0, -(BI102-Uzman_D!$G$8), BI102-Uzman_D!$G$8)*0.1 +
        IF(BJ102-Uzman_D!$H$8&lt;0, -(BJ102-Uzman_D!$H$8), BJ102-Uzman_D!$H$8)*0.1 +
        IF(BK102-Uzman_D!$I$8&lt;0, -(BK102-Uzman_D!$I$8), BK102-Uzman_D!$I$8)*0.1 +
        IF(BL102-Uzman_D!$J$8&lt;0, -(BL102-Uzman_D!$J$8), BL102-Uzman_D!$J$8)*0.1
    ) +
    IF(ROUND((IF(BN102-Uzman_D!$L$8&lt;0, -(BN102-Uzman_D!$L$8), BN102-Uzman_D!$L$8)*2),0)/2 = IF(BN102-Uzman_D!$L$8&lt;0, -(BN102-Uzman_D!$L$8), BN102-Uzman_D!$L$8),
    (ROUND((IF(BN102-Uzman_D!$L$8&lt;0, -(BN102-Uzman_D!$L$8), BN102-Uzman_D!$L$8)*2),0)/1 * 0.1), 0) +
    IF(BO102-Uzman_D!$M$8&lt;0, -(BO102-Uzman_D!$M$8), BO102-Uzman_D!$M$8)*1
)</f>
        <v>-0.20000000000000018</v>
      </c>
      <c r="BQ102" s="74">
        <f t="shared" si="1"/>
        <v>-0.54000000000000026</v>
      </c>
    </row>
    <row r="103" spans="1:69" ht="15.75" customHeight="1" x14ac:dyDescent="0.2">
      <c r="A103" s="76">
        <v>100</v>
      </c>
      <c r="B103" s="37">
        <f>Hakemler!B103</f>
        <v>0</v>
      </c>
      <c r="C103" s="37">
        <f>Hakemler!C103</f>
        <v>0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75"/>
      <c r="O103" s="75"/>
      <c r="P103" s="73">
        <f>1 - (
    SUM(
        IF(D103-Uzman_D!$B$4&lt;0, -(D103-Uzman_D!$B$4), D103-Uzman_D!$B$4)*0.1 +
        IF(E103-Uzman_D!$C$4&lt;0, -(E103-Uzman_D!$C$4), E103-Uzman_D!$C$4)*0.1 +
        IF(F103-Uzman_D!$D$4&lt;0, -(F103-Uzman_D!$D$4), F103-Uzman_D!$D$4)*0.1 +
        IF(G103-Uzman_D!$E$4&lt;0, -(G103-Uzman_D!$E$4), G103-Uzman_D!$E$4)*0.1 +
        IF(H103-Uzman_D!$F$4&lt;0, -(H103-Uzman_D!$F$4), H103-Uzman_D!$F$4)*0.1 +
        IF(I103-Uzman_D!$G$4&lt;0, -(I103-Uzman_D!$G$4), I103-Uzman_D!$G$4)*0.1 +
        IF(J103-Uzman_D!$H$4&lt;0, -(J103-Uzman_D!$H$4), J103-Uzman_D!$H$4)*0.1 +
        IF(K103-Uzman_D!$I$4&lt;0, -(K103-Uzman_D!$I$4), K103-Uzman_D!$I$4)*0.1 +
        IF(L103-Uzman_D!$J$4&lt;0, -(L103-Uzman_D!$J$4), L103-Uzman_D!$J$4)*0.1
    ) +
    IF(ROUND((IF(N103-Uzman_D!$L$4&lt;0, -(N103-Uzman_D!$L$4), N103-Uzman_D!$L$4)*2),0)/2 = IF(N103-Uzman_D!$L$4&lt;0, -(N103-Uzman_D!$L$4), N103-Uzman_D!$L$4),
    (ROUND((IF(N103-Uzman_D!$L$4&lt;0, -(N103-Uzman_D!$L$4), N103-Uzman_D!$L$4)*2),0)/1 * 0.1), 0) +
    IF(O103-Uzman_D!$M$4&lt;0, -(O103-Uzman_D!$M$4), O103-Uzman_D!$M$4)*1
)</f>
        <v>-0.90000000000000013</v>
      </c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75"/>
      <c r="AB103" s="75"/>
      <c r="AC103" s="73">
        <f>1 - (
    SUM(
        IF(Q103-Uzman_D!$B$5&lt;0, -(Q103-Uzman_D!$B$5), Q103-Uzman_D!$B$5)*0.1 +
        IF(R103-Uzman_D!$C$5&lt;0, -(R103-Uzman_D!$C$5), R103-Uzman_D!$C$5)*0.1 +
        IF(S103-Uzman_D!$D$5&lt;0, -(S103-Uzman_D!$D$5), S103-Uzman_D!$D$5)*0.1 +
        IF(T103-Uzman_D!$E$5&lt;0, -(T103-Uzman_D!$E$5), T103-Uzman_D!$E$5)*0.1 +
        IF(U103-Uzman_D!$F$5&lt;0, -(U103-Uzman_D!$F$5), U103-Uzman_D!$F$5)*0.1 +
        IF(V103-Uzman_D!$G$5&lt;0, -(V103-Uzman_D!$G$5), V103-Uzman_D!$G$5)*0.1 +
        IF(W103-Uzman_D!$H$5&lt;0, -(W103-Uzman_D!$H$5), W103-Uzman_D!$H$5)*0.1 +
        IF(X103-Uzman_D!$I$5&lt;0, -(X103-Uzman_D!$I$5), X103-Uzman_D!$I$5)*0.1 +
        IF(Y103-Uzman_D!$J$5&lt;0, -(Y103-Uzman_D!$J$5), Y103-Uzman_D!$J$5)*0.1
    ) +
    IF(ROUND((IF(AA103-Uzman_D!$L$5&lt;0, -(AA103-Uzman_D!$L$5), AA103-Uzman_D!$L$5)*2),0)/2 = IF(AA103-Uzman_D!$L$5&lt;0, -(AA103-Uzman_D!$L$5), AA103-Uzman_D!$L$5),
    (ROUND((IF(AA103-Uzman_D!$L$5&lt;0, -(AA103-Uzman_D!$L$5), AA103-Uzman_D!$L$5)*2),0)/1 * 0.1), 0) +
    IF(AB103-Uzman_D!$M$5&lt;0, -(AB103-Uzman_D!$M$5), AB103-Uzman_D!$M$5)*1
)</f>
        <v>-0.50000000000000022</v>
      </c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75"/>
      <c r="AO103" s="75"/>
      <c r="AP103" s="73">
        <f>1 - (
    SUM(
        IF(AD103-Uzman_D!$B$6&lt;0, -(AD103-Uzman_D!$B$6), AD103-Uzman_D!$B$6)*0.1 +
        IF(AE103-Uzman_D!$C$6&lt;0, -(AE103-Uzman_D!$C$6), AE103-Uzman_D!$C$6)*0.1 +
        IF(AF103-Uzman_D!$D$6&lt;0, -(AF103-Uzman_D!$D$6), AF103-Uzman_D!$D$6)*0.1 +
        IF(AG103-Uzman_D!$E$6&lt;0, -(AG103-Uzman_D!$E$6), AG103-Uzman_D!$E$6)*0.1 +
        IF(AH103-Uzman_D!$F$6&lt;0, -(AH103-Uzman_D!$F$6), AH103-Uzman_D!$F$6)*0.1 +
        IF(AI103-Uzman_D!$G$6&lt;0, -(AI103-Uzman_D!$G$6), AI103-Uzman_D!$G$6)*0.1 +
        IF(AJ103-Uzman_D!$H$6&lt;0, -(AJ103-Uzman_D!$H$6), AJ103-Uzman_D!$H$6)*0.1 +
        IF(AK103-Uzman_D!$I$6&lt;0, -(AK103-Uzman_D!$I$6), AK103-Uzman_D!$I$6)*0.1 +
        IF(AL103-Uzman_D!$J$6&lt;0, -(AL103-Uzman_D!$J$6), AL103-Uzman_D!$J$6)*0.1
    ) +
    IF(ROUND((IF(AN103-Uzman_D!$L$6&lt;0, -(AN103-Uzman_D!$L$6), AN103-Uzman_D!$L$6)*2),0)/2 = IF(AN103-Uzman_D!$L$6&lt;0, -(AN103-Uzman_D!$L$6), AN103-Uzman_D!$L$6),
    (ROUND((IF(AN103-Uzman_D!$L$6&lt;0, -(AN103-Uzman_D!$L$6), AN103-Uzman_D!$L$6)*2),0)/1 * 0.1), 0) +
    IF(AO103-Uzman_D!$M$6&lt;0, -(AO103-Uzman_D!$M$6), AO103-Uzman_D!$M$6)*1
)</f>
        <v>-0.60000000000000009</v>
      </c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75"/>
      <c r="BB103" s="75"/>
      <c r="BC103" s="73">
        <f>1 - (
    SUM(
        IF(AQ103-Uzman_D!$B$7&lt;0, -(AQ103-Uzman_D!$B$7), AQ103-Uzman_D!$B$7)*0.1 +
        IF(AR103-Uzman_D!$C$7&lt;0, -(AR103-Uzman_D!$C$7), AR103-Uzman_D!$C$7)*0.1 +
        IF(AS103-Uzman_D!$D$7&lt;0, -(AS103-Uzman_D!$D$7), AS103-Uzman_D!$D$7)*0.1 +
        IF(AT103-Uzman_D!$E$7&lt;0, -(AT103-Uzman_D!$E$7), AT103-Uzman_D!$E$7)*0.1 +
        IF(AU103-Uzman_D!$F$7&lt;0, -(AU103-Uzman_D!$F$7), AU103-Uzman_D!$F$7)*0.1 +
        IF(AV103-Uzman_D!$G$7&lt;0, -(AV103-Uzman_D!$G$7), AV103-Uzman_D!$G$7)*0.1 +
        IF(AW103-Uzman_D!$H$7&lt;0, -(AW103-Uzman_D!$H$7), AW103-Uzman_D!$H$7)*0.1 +
        IF(AX103-Uzman_D!$I$7&lt;0, -(AX103-Uzman_D!$I$7), AX103-Uzman_D!$I$7)*0.1 +
        IF(AY103-Uzman_D!$J$7&lt;0, -(AY103-Uzman_D!$J$7), AY103-Uzman_D!$J$7)*0.1
    ) +
    IF(ROUND((IF(BA103-Uzman_D!$L$7&lt;0, -(BA103-Uzman_D!$L$7), BA103-Uzman_D!$L$7)*2),0)/2 = IF(BA103-Uzman_D!$L$7&lt;0, -(BA103-Uzman_D!$L$7), BA103-Uzman_D!$L$7),
    (ROUND((IF(BA103-Uzman_D!$L$7&lt;0, -(BA103-Uzman_D!$L$7), BA103-Uzman_D!$L$7)*2),0)/1 * 0.1), 0) +
    IF(BB103-Uzman_D!$M$7&lt;0, -(BB103-Uzman_D!$M$7), BB103-Uzman_D!$M$7)*1
)</f>
        <v>-0.50000000000000022</v>
      </c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75"/>
      <c r="BO103" s="75"/>
      <c r="BP103" s="73">
        <f>1 - (
    SUM(
        IF(BD103-Uzman_D!$B$8&lt;0, -(BD103-Uzman_D!$B$8), BD103-Uzman_D!$B$8)*0.1 +
        IF(BE103-Uzman_D!$C$8&lt;0, -(BE103-Uzman_D!$C$8), BE103-Uzman_D!$C$8)*0.1 +
        IF(BF103-Uzman_D!$D$8&lt;0, -(BF103-Uzman_D!$D$8), BF103-Uzman_D!$D$8)*0.1 +
        IF(BG103-Uzman_D!$E$8&lt;0, -(BG103-Uzman_D!$E$8), BG103-Uzman_D!$E$8)*0.1 +
        IF(BH103-Uzman_D!$F$8&lt;0, -(BH103-Uzman_D!$F$8), BH103-Uzman_D!$F$8)*0.1 +
        IF(BI103-Uzman_D!$G$8&lt;0, -(BI103-Uzman_D!$G$8), BI103-Uzman_D!$G$8)*0.1 +
        IF(BJ103-Uzman_D!$H$8&lt;0, -(BJ103-Uzman_D!$H$8), BJ103-Uzman_D!$H$8)*0.1 +
        IF(BK103-Uzman_D!$I$8&lt;0, -(BK103-Uzman_D!$I$8), BK103-Uzman_D!$I$8)*0.1 +
        IF(BL103-Uzman_D!$J$8&lt;0, -(BL103-Uzman_D!$J$8), BL103-Uzman_D!$J$8)*0.1
    ) +
    IF(ROUND((IF(BN103-Uzman_D!$L$8&lt;0, -(BN103-Uzman_D!$L$8), BN103-Uzman_D!$L$8)*2),0)/2 = IF(BN103-Uzman_D!$L$8&lt;0, -(BN103-Uzman_D!$L$8), BN103-Uzman_D!$L$8),
    (ROUND((IF(BN103-Uzman_D!$L$8&lt;0, -(BN103-Uzman_D!$L$8), BN103-Uzman_D!$L$8)*2),0)/1 * 0.1), 0) +
    IF(BO103-Uzman_D!$M$8&lt;0, -(BO103-Uzman_D!$M$8), BO103-Uzman_D!$M$8)*1
)</f>
        <v>-0.20000000000000018</v>
      </c>
      <c r="BQ103" s="74">
        <f t="shared" si="1"/>
        <v>-0.54000000000000026</v>
      </c>
    </row>
  </sheetData>
  <mergeCells count="9">
    <mergeCell ref="A2:A3"/>
    <mergeCell ref="AQ2:BC2"/>
    <mergeCell ref="B2:B3"/>
    <mergeCell ref="A1:BQ1"/>
    <mergeCell ref="BD2:BP2"/>
    <mergeCell ref="C2:C3"/>
    <mergeCell ref="Q2:AC2"/>
    <mergeCell ref="AD2:AP2"/>
    <mergeCell ref="D2:P2"/>
  </mergeCells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IV103"/>
  <sheetViews>
    <sheetView showGridLines="0" workbookViewId="0">
      <selection activeCell="P5" sqref="P5:P14"/>
    </sheetView>
  </sheetViews>
  <sheetFormatPr baseColWidth="10" defaultColWidth="8.83203125" defaultRowHeight="15" customHeight="1" x14ac:dyDescent="0.2"/>
  <cols>
    <col min="1" max="1" width="3.5" style="1" customWidth="1"/>
    <col min="2" max="2" width="13.5" style="141" customWidth="1"/>
    <col min="3" max="3" width="19.1640625" style="141" customWidth="1"/>
    <col min="4" max="18" width="5.5" style="1" customWidth="1"/>
    <col min="19" max="19" width="9.5" style="1" customWidth="1"/>
    <col min="20" max="256" width="8.83203125" style="1" customWidth="1"/>
  </cols>
  <sheetData>
    <row r="1" spans="1:36" ht="18.75" customHeight="1" x14ac:dyDescent="0.2">
      <c r="A1" s="173" t="s">
        <v>43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5"/>
      <c r="T1" s="41"/>
      <c r="U1" s="42"/>
      <c r="V1" s="42"/>
      <c r="W1" s="42"/>
      <c r="X1" s="42"/>
      <c r="Y1" s="42"/>
      <c r="Z1" s="42"/>
      <c r="AA1" s="42"/>
      <c r="AB1" s="42"/>
      <c r="AC1" s="42"/>
      <c r="AD1" s="42"/>
      <c r="AE1" s="25"/>
      <c r="AF1" s="25"/>
      <c r="AG1" s="25"/>
      <c r="AH1" s="25"/>
      <c r="AI1" s="25"/>
      <c r="AJ1" s="25"/>
    </row>
    <row r="2" spans="1:36" ht="15.75" customHeight="1" x14ac:dyDescent="0.2">
      <c r="A2" s="181" t="s">
        <v>10</v>
      </c>
      <c r="B2" s="185" t="s">
        <v>11</v>
      </c>
      <c r="C2" s="183" t="s">
        <v>12</v>
      </c>
      <c r="D2" s="180" t="s">
        <v>25</v>
      </c>
      <c r="E2" s="188"/>
      <c r="F2" s="179"/>
      <c r="G2" s="176" t="s">
        <v>26</v>
      </c>
      <c r="H2" s="187"/>
      <c r="I2" s="177"/>
      <c r="J2" s="180" t="s">
        <v>27</v>
      </c>
      <c r="K2" s="188"/>
      <c r="L2" s="179"/>
      <c r="M2" s="176" t="s">
        <v>28</v>
      </c>
      <c r="N2" s="187"/>
      <c r="O2" s="177"/>
      <c r="P2" s="180" t="s">
        <v>29</v>
      </c>
      <c r="Q2" s="188"/>
      <c r="R2" s="179"/>
      <c r="S2" s="43"/>
      <c r="T2" s="4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ht="15.75" customHeight="1" x14ac:dyDescent="0.2">
      <c r="A3" s="182"/>
      <c r="B3" s="186"/>
      <c r="C3" s="184"/>
      <c r="D3" s="45" t="s">
        <v>25</v>
      </c>
      <c r="E3" s="46" t="s">
        <v>21</v>
      </c>
      <c r="F3" s="48" t="s">
        <v>22</v>
      </c>
      <c r="G3" s="45" t="s">
        <v>26</v>
      </c>
      <c r="H3" s="46" t="s">
        <v>21</v>
      </c>
      <c r="I3" s="48" t="s">
        <v>22</v>
      </c>
      <c r="J3" s="45" t="s">
        <v>27</v>
      </c>
      <c r="K3" s="46" t="s">
        <v>21</v>
      </c>
      <c r="L3" s="48" t="s">
        <v>22</v>
      </c>
      <c r="M3" s="45" t="s">
        <v>28</v>
      </c>
      <c r="N3" s="46" t="s">
        <v>21</v>
      </c>
      <c r="O3" s="48" t="s">
        <v>22</v>
      </c>
      <c r="P3" s="45" t="s">
        <v>29</v>
      </c>
      <c r="Q3" s="46" t="s">
        <v>21</v>
      </c>
      <c r="R3" s="48" t="s">
        <v>22</v>
      </c>
      <c r="S3" s="49" t="s">
        <v>23</v>
      </c>
      <c r="T3" s="50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ht="15.5" customHeight="1" thickBot="1" x14ac:dyDescent="0.25">
      <c r="A4" s="51">
        <v>1</v>
      </c>
      <c r="B4" s="135" t="str">
        <f>Hakemler!B4</f>
        <v>Yalçıner</v>
      </c>
      <c r="C4" s="136" t="str">
        <f>Hakemler!C4</f>
        <v>Yunus Emre</v>
      </c>
      <c r="D4" s="54">
        <v>4.8</v>
      </c>
      <c r="E4" s="64">
        <f>IF(ISBLANK(D4),0,ABS(Uzman_E!A$7-D4))</f>
        <v>0.60000000000000053</v>
      </c>
      <c r="F4" s="55">
        <f>IF(ISBLANK(D4),0,INDEX(Tablo_E!$B$2:$CX$102,MATCH(ROUND(Uzman_E!A$7,1),Tablo_E!$A$2:$A$102,1),MATCH(ROUND(E4,1),Tablo_E!$B$1:$CX$1,1)))</f>
        <v>0.85</v>
      </c>
      <c r="G4" s="54">
        <v>4.8</v>
      </c>
      <c r="H4" s="64">
        <f>IF(ISBLANK(G4),0,ABS(Uzman_E!B$7-G4))</f>
        <v>0</v>
      </c>
      <c r="I4" s="55">
        <f>IF(ISBLANK(G4),0,INDEX(Tablo_E!$B$2:$CX$102,MATCH(ROUND(Uzman_E!B$7,1),Tablo_E!$A$2:$A$102,1),MATCH(ROUND(H4,1),Tablo_E!$B$1:$CX$1,1)))</f>
        <v>1</v>
      </c>
      <c r="J4" s="54">
        <v>1.5</v>
      </c>
      <c r="K4" s="64">
        <f>IF(ISBLANK(J4),0,ABS(Uzman_E!C$7-J4))</f>
        <v>0.19999999999999996</v>
      </c>
      <c r="L4" s="55">
        <f>IF(ISBLANK(J4),0,INDEX(Tablo_E!$B$2:$CX$102,MATCH(ROUND(Uzman_E!C$7,1),Tablo_E!$A$2:$A$102,1),MATCH(ROUND(K4,1),Tablo_E!$B$1:$CX$1,1)))</f>
        <v>1</v>
      </c>
      <c r="M4" s="54">
        <v>1.8</v>
      </c>
      <c r="N4" s="64">
        <f>IF(ISBLANK(M4),0,ABS(Uzman_E!D$7-M4))</f>
        <v>0.19999999999999996</v>
      </c>
      <c r="O4" s="55">
        <f>IF(ISBLANK(M4),0,INDEX(Tablo_E!$B$2:$CX$102,MATCH(ROUND(Uzman_E!D$7,1),Tablo_E!$A$2:$A$102,1),MATCH(ROUND(N4,1),Tablo_E!$B$1:$CX$1,1)))</f>
        <v>1</v>
      </c>
      <c r="P4" s="54">
        <v>2.5</v>
      </c>
      <c r="Q4" s="64">
        <f>IF(ISBLANK(P4),0,ABS(Uzman_E!E$7-P4))</f>
        <v>0</v>
      </c>
      <c r="R4" s="55">
        <f>IF(ISBLANK(P4),0,INDEX(Tablo_E!$B$2:$CX$102,MATCH(ROUND(Uzman_E!E$7,1),Tablo_E!$A$2:$A$102,1),MATCH(ROUND(Q4,1),Tablo_E!$B$1:$CX$1,1)))</f>
        <v>1</v>
      </c>
      <c r="S4" s="56">
        <f>(F4+I4+L4+O4+R4)/5</f>
        <v>0.97</v>
      </c>
      <c r="T4" s="50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ht="15" customHeight="1" thickBot="1" x14ac:dyDescent="0.25">
      <c r="A5" s="57">
        <v>2</v>
      </c>
      <c r="B5" s="137" t="str">
        <f>Hakemler!B5</f>
        <v>Deneme</v>
      </c>
      <c r="C5" s="138" t="str">
        <f>Hakemler!C5</f>
        <v>Hakem</v>
      </c>
      <c r="D5" s="60">
        <v>4.7</v>
      </c>
      <c r="E5" s="64">
        <f>IF(ISBLANK(D5),0,ABS(Uzman_E!A$7-D5))</f>
        <v>0.70000000000000018</v>
      </c>
      <c r="F5" s="55">
        <f>IF(ISBLANK(D5),0,INDEX(Tablo_E!$B$2:$CX$102,MATCH(ROUND(Uzman_E!A$7,1),Tablo_E!$A$2:$A$102,1),MATCH(ROUND(E5,1),Tablo_E!$B$1:$CX$1,1)))</f>
        <v>0.8</v>
      </c>
      <c r="G5" s="60">
        <v>4.7</v>
      </c>
      <c r="H5" s="64">
        <f>IF(ISBLANK(G5),0,ABS(Uzman_E!B$7-G5))</f>
        <v>9.9999999999999645E-2</v>
      </c>
      <c r="I5" s="55">
        <f>IF(ISBLANK(G5),0,INDEX(Tablo_E!$B$2:$CX$102,MATCH(ROUND(Uzman_E!B$7,1),Tablo_E!$A$2:$A$102,1),MATCH(ROUND(H5,1),Tablo_E!$B$1:$CX$1,1)))</f>
        <v>1</v>
      </c>
      <c r="J5" s="60">
        <v>1.6</v>
      </c>
      <c r="K5" s="64">
        <f>IF(ISBLANK(J5),0,ABS(Uzman_E!C$7-J5))</f>
        <v>9.9999999999999867E-2</v>
      </c>
      <c r="L5" s="55">
        <f>IF(ISBLANK(J5),0,INDEX(Tablo_E!$B$2:$CX$102,MATCH(ROUND(Uzman_E!C$7,1),Tablo_E!$A$2:$A$102,1),MATCH(ROUND(K5,1),Tablo_E!$B$1:$CX$1,1)))</f>
        <v>1</v>
      </c>
      <c r="M5" s="60">
        <v>1.6</v>
      </c>
      <c r="N5" s="64">
        <f>IF(ISBLANK(M5),0,ABS(Uzman_E!D$7-M5))</f>
        <v>0</v>
      </c>
      <c r="O5" s="55">
        <f>IF(ISBLANK(M5),0,INDEX(Tablo_E!$B$2:$CX$102,MATCH(ROUND(Uzman_E!D$7,1),Tablo_E!$A$2:$A$102,1),MATCH(ROUND(N5,1),Tablo_E!$B$1:$CX$1,1)))</f>
        <v>1</v>
      </c>
      <c r="P5" s="54">
        <v>1.8</v>
      </c>
      <c r="Q5" s="64">
        <f>IF(ISBLANK(P5),0,ABS(Uzman_E!E$7-P5))</f>
        <v>0.7</v>
      </c>
      <c r="R5" s="55">
        <f>IF(ISBLANK(P5),0,INDEX(Tablo_E!$B$2:$CX$102,MATCH(ROUND(Uzman_E!E$7,1),Tablo_E!$A$2:$A$102,1),MATCH(ROUND(Q5,1),Tablo_E!$B$1:$CX$1,1)))</f>
        <v>0.7</v>
      </c>
      <c r="S5" s="56">
        <f t="shared" ref="S5:S39" si="0">(F5+I5+L5+O5+R5)/5</f>
        <v>0.9</v>
      </c>
      <c r="T5" s="50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ht="15" customHeight="1" thickBot="1" x14ac:dyDescent="0.25">
      <c r="A6" s="57">
        <v>3</v>
      </c>
      <c r="B6" s="137">
        <f>Hakemler!B6</f>
        <v>0</v>
      </c>
      <c r="C6" s="138">
        <f>Hakemler!C6</f>
        <v>0</v>
      </c>
      <c r="D6" s="60">
        <v>4.9000000000000004</v>
      </c>
      <c r="E6" s="64">
        <f>IF(ISBLANK(D6),0,ABS(Uzman_E!A$7-D6))</f>
        <v>0.5</v>
      </c>
      <c r="F6" s="55">
        <f>IF(ISBLANK(D6),0,INDEX(Tablo_E!$B$2:$CX$102,MATCH(ROUND(Uzman_E!A$7,1),Tablo_E!$A$2:$A$102,1),MATCH(ROUND(E6,1),Tablo_E!$B$1:$CX$1,1)))</f>
        <v>0.95</v>
      </c>
      <c r="G6" s="60">
        <v>4.9000000000000004</v>
      </c>
      <c r="H6" s="64">
        <f>IF(ISBLANK(G6),0,ABS(Uzman_E!B$7-G6))</f>
        <v>0.10000000000000053</v>
      </c>
      <c r="I6" s="55">
        <f>IF(ISBLANK(G6),0,INDEX(Tablo_E!$B$2:$CX$102,MATCH(ROUND(Uzman_E!B$7,1),Tablo_E!$A$2:$A$102,1),MATCH(ROUND(H6,1),Tablo_E!$B$1:$CX$1,1)))</f>
        <v>1</v>
      </c>
      <c r="J6" s="60">
        <v>1.7</v>
      </c>
      <c r="K6" s="64">
        <f>IF(ISBLANK(J6),0,ABS(Uzman_E!C$7-J6))</f>
        <v>0</v>
      </c>
      <c r="L6" s="55">
        <f>IF(ISBLANK(J6),0,INDEX(Tablo_E!$B$2:$CX$102,MATCH(ROUND(Uzman_E!C$7,1),Tablo_E!$A$2:$A$102,1),MATCH(ROUND(K6,1),Tablo_E!$B$1:$CX$1,1)))</f>
        <v>1</v>
      </c>
      <c r="M6" s="60">
        <v>1.7</v>
      </c>
      <c r="N6" s="64">
        <f>IF(ISBLANK(M6),0,ABS(Uzman_E!D$7-M6))</f>
        <v>9.9999999999999867E-2</v>
      </c>
      <c r="O6" s="55">
        <f>IF(ISBLANK(M6),0,INDEX(Tablo_E!$B$2:$CX$102,MATCH(ROUND(Uzman_E!D$7,1),Tablo_E!$A$2:$A$102,1),MATCH(ROUND(N6,1),Tablo_E!$B$1:$CX$1,1)))</f>
        <v>1</v>
      </c>
      <c r="P6" s="60">
        <v>1.6</v>
      </c>
      <c r="Q6" s="64">
        <f>IF(ISBLANK(P6),0,ABS(Uzman_E!E$7-P6))</f>
        <v>0.89999999999999991</v>
      </c>
      <c r="R6" s="55">
        <f>IF(ISBLANK(P6),0,INDEX(Tablo_E!$B$2:$CX$102,MATCH(ROUND(Uzman_E!E$7,1),Tablo_E!$A$2:$A$102,1),MATCH(ROUND(Q6,1),Tablo_E!$B$1:$CX$1,1)))</f>
        <v>0.5</v>
      </c>
      <c r="S6" s="56">
        <f t="shared" si="0"/>
        <v>0.89</v>
      </c>
      <c r="T6" s="50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6" ht="15" customHeight="1" thickBot="1" x14ac:dyDescent="0.25">
      <c r="A7" s="57">
        <v>4</v>
      </c>
      <c r="B7" s="137">
        <f>Hakemler!B7</f>
        <v>0</v>
      </c>
      <c r="C7" s="138">
        <f>Hakemler!C7</f>
        <v>0</v>
      </c>
      <c r="D7" s="60">
        <v>5</v>
      </c>
      <c r="E7" s="64">
        <f>IF(ISBLANK(D7),0,ABS(Uzman_E!A$7-D7))</f>
        <v>0.40000000000000036</v>
      </c>
      <c r="F7" s="55">
        <f>IF(ISBLANK(D7),0,INDEX(Tablo_E!$B$2:$CX$102,MATCH(ROUND(Uzman_E!A$7,1),Tablo_E!$A$2:$A$102,1),MATCH(ROUND(E7,1),Tablo_E!$B$1:$CX$1,1)))</f>
        <v>1</v>
      </c>
      <c r="G7" s="60">
        <v>5</v>
      </c>
      <c r="H7" s="64">
        <f>IF(ISBLANK(G7),0,ABS(Uzman_E!B$7-G7))</f>
        <v>0.20000000000000018</v>
      </c>
      <c r="I7" s="55">
        <f>IF(ISBLANK(G7),0,INDEX(Tablo_E!$B$2:$CX$102,MATCH(ROUND(Uzman_E!B$7,1),Tablo_E!$A$2:$A$102,1),MATCH(ROUND(H7,1),Tablo_E!$B$1:$CX$1,1)))</f>
        <v>1</v>
      </c>
      <c r="J7" s="60">
        <v>1.8</v>
      </c>
      <c r="K7" s="64">
        <f>IF(ISBLANK(J7),0,ABS(Uzman_E!C$7-J7))</f>
        <v>0.10000000000000009</v>
      </c>
      <c r="L7" s="55">
        <f>IF(ISBLANK(J7),0,INDEX(Tablo_E!$B$2:$CX$102,MATCH(ROUND(Uzman_E!C$7,1),Tablo_E!$A$2:$A$102,1),MATCH(ROUND(K7,1),Tablo_E!$B$1:$CX$1,1)))</f>
        <v>1</v>
      </c>
      <c r="M7" s="60">
        <v>1.8</v>
      </c>
      <c r="N7" s="64">
        <f>IF(ISBLANK(M7),0,ABS(Uzman_E!D$7-M7))</f>
        <v>0.19999999999999996</v>
      </c>
      <c r="O7" s="55">
        <f>IF(ISBLANK(M7),0,INDEX(Tablo_E!$B$2:$CX$102,MATCH(ROUND(Uzman_E!D$7,1),Tablo_E!$A$2:$A$102,1),MATCH(ROUND(N7,1),Tablo_E!$B$1:$CX$1,1)))</f>
        <v>1</v>
      </c>
      <c r="P7" s="60">
        <v>1.7</v>
      </c>
      <c r="Q7" s="64">
        <f>IF(ISBLANK(P7),0,ABS(Uzman_E!E$7-P7))</f>
        <v>0.8</v>
      </c>
      <c r="R7" s="55">
        <f>IF(ISBLANK(P7),0,INDEX(Tablo_E!$B$2:$CX$102,MATCH(ROUND(Uzman_E!E$7,1),Tablo_E!$A$2:$A$102,1),MATCH(ROUND(Q7,1),Tablo_E!$B$1:$CX$1,1)))</f>
        <v>0.6</v>
      </c>
      <c r="S7" s="56">
        <f t="shared" si="0"/>
        <v>0.91999999999999993</v>
      </c>
      <c r="T7" s="50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spans="1:36" ht="15" customHeight="1" thickBot="1" x14ac:dyDescent="0.25">
      <c r="A8" s="57">
        <v>5</v>
      </c>
      <c r="B8" s="137">
        <f>Hakemler!B8</f>
        <v>0</v>
      </c>
      <c r="C8" s="138">
        <f>Hakemler!C8</f>
        <v>0</v>
      </c>
      <c r="D8" s="60">
        <v>5.0999999999999996</v>
      </c>
      <c r="E8" s="64">
        <f>IF(ISBLANK(D8),0,ABS(Uzman_E!A$7-D8))</f>
        <v>0.30000000000000071</v>
      </c>
      <c r="F8" s="55">
        <f>IF(ISBLANK(D8),0,INDEX(Tablo_E!$B$2:$CX$102,MATCH(ROUND(Uzman_E!A$7,1),Tablo_E!$A$2:$A$102,1),MATCH(ROUND(E8,1),Tablo_E!$B$1:$CX$1,1)))</f>
        <v>1</v>
      </c>
      <c r="G8" s="60">
        <v>5.0999999999999996</v>
      </c>
      <c r="H8" s="64">
        <f>IF(ISBLANK(G8),0,ABS(Uzman_E!B$7-G8))</f>
        <v>0.29999999999999982</v>
      </c>
      <c r="I8" s="55">
        <f>IF(ISBLANK(G8),0,INDEX(Tablo_E!$B$2:$CX$102,MATCH(ROUND(Uzman_E!B$7,1),Tablo_E!$A$2:$A$102,1),MATCH(ROUND(H8,1),Tablo_E!$B$1:$CX$1,1)))</f>
        <v>1</v>
      </c>
      <c r="J8" s="60">
        <v>1.9</v>
      </c>
      <c r="K8" s="64">
        <f>IF(ISBLANK(J8),0,ABS(Uzman_E!C$7-J8))</f>
        <v>0.19999999999999996</v>
      </c>
      <c r="L8" s="55">
        <f>IF(ISBLANK(J8),0,INDEX(Tablo_E!$B$2:$CX$102,MATCH(ROUND(Uzman_E!C$7,1),Tablo_E!$A$2:$A$102,1),MATCH(ROUND(K8,1),Tablo_E!$B$1:$CX$1,1)))</f>
        <v>1</v>
      </c>
      <c r="M8" s="60">
        <v>1.9</v>
      </c>
      <c r="N8" s="64">
        <f>IF(ISBLANK(M8),0,ABS(Uzman_E!D$7-M8))</f>
        <v>0.29999999999999982</v>
      </c>
      <c r="O8" s="55">
        <f>IF(ISBLANK(M8),0,INDEX(Tablo_E!$B$2:$CX$102,MATCH(ROUND(Uzman_E!D$7,1),Tablo_E!$A$2:$A$102,1),MATCH(ROUND(N8,1),Tablo_E!$B$1:$CX$1,1)))</f>
        <v>1</v>
      </c>
      <c r="P8" s="60">
        <v>1.8</v>
      </c>
      <c r="Q8" s="64">
        <f>IF(ISBLANK(P8),0,ABS(Uzman_E!E$7-P8))</f>
        <v>0.7</v>
      </c>
      <c r="R8" s="55">
        <f>IF(ISBLANK(P8),0,INDEX(Tablo_E!$B$2:$CX$102,MATCH(ROUND(Uzman_E!E$7,1),Tablo_E!$A$2:$A$102,1),MATCH(ROUND(Q8,1),Tablo_E!$B$1:$CX$1,1)))</f>
        <v>0.7</v>
      </c>
      <c r="S8" s="56">
        <f t="shared" si="0"/>
        <v>0.94000000000000006</v>
      </c>
      <c r="T8" s="50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 spans="1:36" ht="15" customHeight="1" thickBot="1" x14ac:dyDescent="0.25">
      <c r="A9" s="57">
        <v>6</v>
      </c>
      <c r="B9" s="137">
        <f>Hakemler!B9</f>
        <v>0</v>
      </c>
      <c r="C9" s="138">
        <f>Hakemler!C9</f>
        <v>0</v>
      </c>
      <c r="D9" s="60">
        <v>5.2</v>
      </c>
      <c r="E9" s="64">
        <f>IF(ISBLANK(D9),0,ABS(Uzman_E!A$7-D9))</f>
        <v>0.20000000000000018</v>
      </c>
      <c r="F9" s="55">
        <f>IF(ISBLANK(D9),0,INDEX(Tablo_E!$B$2:$CX$102,MATCH(ROUND(Uzman_E!A$7,1),Tablo_E!$A$2:$A$102,1),MATCH(ROUND(E9,1),Tablo_E!$B$1:$CX$1,1)))</f>
        <v>1</v>
      </c>
      <c r="G9" s="60">
        <v>5.2</v>
      </c>
      <c r="H9" s="64">
        <f>IF(ISBLANK(G9),0,ABS(Uzman_E!B$7-G9))</f>
        <v>0.40000000000000036</v>
      </c>
      <c r="I9" s="55">
        <f>IF(ISBLANK(G9),0,INDEX(Tablo_E!$B$2:$CX$102,MATCH(ROUND(Uzman_E!B$7,1),Tablo_E!$A$2:$A$102,1),MATCH(ROUND(H9,1),Tablo_E!$B$1:$CX$1,1)))</f>
        <v>1</v>
      </c>
      <c r="J9" s="60">
        <v>2</v>
      </c>
      <c r="K9" s="64">
        <f>IF(ISBLANK(J9),0,ABS(Uzman_E!C$7-J9))</f>
        <v>0.30000000000000004</v>
      </c>
      <c r="L9" s="55">
        <f>IF(ISBLANK(J9),0,INDEX(Tablo_E!$B$2:$CX$102,MATCH(ROUND(Uzman_E!C$7,1),Tablo_E!$A$2:$A$102,1),MATCH(ROUND(K9,1),Tablo_E!$B$1:$CX$1,1)))</f>
        <v>1</v>
      </c>
      <c r="M9" s="60">
        <v>2</v>
      </c>
      <c r="N9" s="64">
        <f>IF(ISBLANK(M9),0,ABS(Uzman_E!D$7-M9))</f>
        <v>0.39999999999999991</v>
      </c>
      <c r="O9" s="55">
        <f>IF(ISBLANK(M9),0,INDEX(Tablo_E!$B$2:$CX$102,MATCH(ROUND(Uzman_E!D$7,1),Tablo_E!$A$2:$A$102,1),MATCH(ROUND(N9,1),Tablo_E!$B$1:$CX$1,1)))</f>
        <v>0.9</v>
      </c>
      <c r="P9" s="60">
        <v>1.9</v>
      </c>
      <c r="Q9" s="64">
        <f>IF(ISBLANK(P9),0,ABS(Uzman_E!E$7-P9))</f>
        <v>0.60000000000000009</v>
      </c>
      <c r="R9" s="55">
        <f>IF(ISBLANK(P9),0,INDEX(Tablo_E!$B$2:$CX$102,MATCH(ROUND(Uzman_E!E$7,1),Tablo_E!$A$2:$A$102,1),MATCH(ROUND(Q9,1),Tablo_E!$B$1:$CX$1,1)))</f>
        <v>0.8</v>
      </c>
      <c r="S9" s="56">
        <f t="shared" si="0"/>
        <v>0.94000000000000006</v>
      </c>
      <c r="T9" s="50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 spans="1:36" ht="15" customHeight="1" thickBot="1" x14ac:dyDescent="0.25">
      <c r="A10" s="57">
        <v>7</v>
      </c>
      <c r="B10" s="137">
        <f>Hakemler!B10</f>
        <v>0</v>
      </c>
      <c r="C10" s="138">
        <f>Hakemler!C10</f>
        <v>0</v>
      </c>
      <c r="D10" s="60">
        <v>5.3</v>
      </c>
      <c r="E10" s="64">
        <f>IF(ISBLANK(D10),0,ABS(Uzman_E!A$7-D10))</f>
        <v>0.10000000000000053</v>
      </c>
      <c r="F10" s="55">
        <f>IF(ISBLANK(D10),0,INDEX(Tablo_E!$B$2:$CX$102,MATCH(ROUND(Uzman_E!A$7,1),Tablo_E!$A$2:$A$102,1),MATCH(ROUND(E10,1),Tablo_E!$B$1:$CX$1,1)))</f>
        <v>1</v>
      </c>
      <c r="G10" s="60">
        <v>5.3</v>
      </c>
      <c r="H10" s="64">
        <f>IF(ISBLANK(G10),0,ABS(Uzman_E!B$7-G10))</f>
        <v>0.5</v>
      </c>
      <c r="I10" s="55">
        <f>IF(ISBLANK(G10),0,INDEX(Tablo_E!$B$2:$CX$102,MATCH(ROUND(Uzman_E!B$7,1),Tablo_E!$A$2:$A$102,1),MATCH(ROUND(H10,1),Tablo_E!$B$1:$CX$1,1)))</f>
        <v>0.95</v>
      </c>
      <c r="J10" s="60">
        <v>1.3</v>
      </c>
      <c r="K10" s="64">
        <f>IF(ISBLANK(J10),0,ABS(Uzman_E!C$7-J10))</f>
        <v>0.39999999999999991</v>
      </c>
      <c r="L10" s="55">
        <f>IF(ISBLANK(J10),0,INDEX(Tablo_E!$B$2:$CX$102,MATCH(ROUND(Uzman_E!C$7,1),Tablo_E!$A$2:$A$102,1),MATCH(ROUND(K10,1),Tablo_E!$B$1:$CX$1,1)))</f>
        <v>0.9</v>
      </c>
      <c r="M10" s="60">
        <v>1.3</v>
      </c>
      <c r="N10" s="64">
        <f>IF(ISBLANK(M10),0,ABS(Uzman_E!D$7-M10))</f>
        <v>0.30000000000000004</v>
      </c>
      <c r="O10" s="55">
        <f>IF(ISBLANK(M10),0,INDEX(Tablo_E!$B$2:$CX$102,MATCH(ROUND(Uzman_E!D$7,1),Tablo_E!$A$2:$A$102,1),MATCH(ROUND(N10,1),Tablo_E!$B$1:$CX$1,1)))</f>
        <v>1</v>
      </c>
      <c r="P10" s="60">
        <v>2</v>
      </c>
      <c r="Q10" s="64">
        <f>IF(ISBLANK(P10),0,ABS(Uzman_E!E$7-P10))</f>
        <v>0.5</v>
      </c>
      <c r="R10" s="55">
        <f>IF(ISBLANK(P10),0,INDEX(Tablo_E!$B$2:$CX$102,MATCH(ROUND(Uzman_E!E$7,1),Tablo_E!$A$2:$A$102,1),MATCH(ROUND(Q10,1),Tablo_E!$B$1:$CX$1,1)))</f>
        <v>0.85</v>
      </c>
      <c r="S10" s="56">
        <f t="shared" si="0"/>
        <v>0.94000000000000006</v>
      </c>
      <c r="T10" s="50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 spans="1:36" ht="15" customHeight="1" thickBot="1" x14ac:dyDescent="0.25">
      <c r="A11" s="57">
        <v>8</v>
      </c>
      <c r="B11" s="137">
        <f>Hakemler!B11</f>
        <v>0</v>
      </c>
      <c r="C11" s="138">
        <f>Hakemler!C11</f>
        <v>0</v>
      </c>
      <c r="D11" s="60">
        <v>5.4</v>
      </c>
      <c r="E11" s="64">
        <f>IF(ISBLANK(D11),0,ABS(Uzman_E!A$7-D11))</f>
        <v>0</v>
      </c>
      <c r="F11" s="55">
        <f>IF(ISBLANK(D11),0,INDEX(Tablo_E!$B$2:$CX$102,MATCH(ROUND(Uzman_E!A$7,1),Tablo_E!$A$2:$A$102,1),MATCH(ROUND(E11,1),Tablo_E!$B$1:$CX$1,1)))</f>
        <v>1</v>
      </c>
      <c r="G11" s="60">
        <v>5.4</v>
      </c>
      <c r="H11" s="64">
        <f>IF(ISBLANK(G11),0,ABS(Uzman_E!B$7-G11))</f>
        <v>0.60000000000000053</v>
      </c>
      <c r="I11" s="55">
        <f>IF(ISBLANK(G11),0,INDEX(Tablo_E!$B$2:$CX$102,MATCH(ROUND(Uzman_E!B$7,1),Tablo_E!$A$2:$A$102,1),MATCH(ROUND(H11,1),Tablo_E!$B$1:$CX$1,1)))</f>
        <v>0.85</v>
      </c>
      <c r="J11" s="60">
        <v>1.4</v>
      </c>
      <c r="K11" s="64">
        <f>IF(ISBLANK(J11),0,ABS(Uzman_E!C$7-J11))</f>
        <v>0.30000000000000004</v>
      </c>
      <c r="L11" s="55">
        <f>IF(ISBLANK(J11),0,INDEX(Tablo_E!$B$2:$CX$102,MATCH(ROUND(Uzman_E!C$7,1),Tablo_E!$A$2:$A$102,1),MATCH(ROUND(K11,1),Tablo_E!$B$1:$CX$1,1)))</f>
        <v>1</v>
      </c>
      <c r="M11" s="60">
        <v>1.4</v>
      </c>
      <c r="N11" s="64">
        <f>IF(ISBLANK(M11),0,ABS(Uzman_E!D$7-M11))</f>
        <v>0.20000000000000018</v>
      </c>
      <c r="O11" s="55">
        <f>IF(ISBLANK(M11),0,INDEX(Tablo_E!$B$2:$CX$102,MATCH(ROUND(Uzman_E!D$7,1),Tablo_E!$A$2:$A$102,1),MATCH(ROUND(N11,1),Tablo_E!$B$1:$CX$1,1)))</f>
        <v>1</v>
      </c>
      <c r="P11" s="60">
        <v>1.3</v>
      </c>
      <c r="Q11" s="64">
        <f>IF(ISBLANK(P11),0,ABS(Uzman_E!E$7-P11))</f>
        <v>1.2</v>
      </c>
      <c r="R11" s="55">
        <f>IF(ISBLANK(P11),0,INDEX(Tablo_E!$B$2:$CX$102,MATCH(ROUND(Uzman_E!E$7,1),Tablo_E!$A$2:$A$102,1),MATCH(ROUND(Q11,1),Tablo_E!$B$1:$CX$1,1)))</f>
        <v>0.2</v>
      </c>
      <c r="S11" s="56">
        <f t="shared" si="0"/>
        <v>0.80999999999999994</v>
      </c>
      <c r="T11" s="50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36" ht="15" customHeight="1" thickBot="1" x14ac:dyDescent="0.25">
      <c r="A12" s="57">
        <v>9</v>
      </c>
      <c r="B12" s="137">
        <f>Hakemler!B12</f>
        <v>0</v>
      </c>
      <c r="C12" s="138">
        <f>Hakemler!C12</f>
        <v>0</v>
      </c>
      <c r="D12" s="60">
        <v>5.5</v>
      </c>
      <c r="E12" s="64">
        <f>IF(ISBLANK(D12),0,ABS(Uzman_E!A$7-D12))</f>
        <v>9.9999999999999645E-2</v>
      </c>
      <c r="F12" s="55">
        <f>IF(ISBLANK(D12),0,INDEX(Tablo_E!$B$2:$CX$102,MATCH(ROUND(Uzman_E!A$7,1),Tablo_E!$A$2:$A$102,1),MATCH(ROUND(E12,1),Tablo_E!$B$1:$CX$1,1)))</f>
        <v>1</v>
      </c>
      <c r="G12" s="60">
        <v>5.5</v>
      </c>
      <c r="H12" s="64">
        <f>IF(ISBLANK(G12),0,ABS(Uzman_E!B$7-G12))</f>
        <v>0.70000000000000018</v>
      </c>
      <c r="I12" s="55">
        <f>IF(ISBLANK(G12),0,INDEX(Tablo_E!$B$2:$CX$102,MATCH(ROUND(Uzman_E!B$7,1),Tablo_E!$A$2:$A$102,1),MATCH(ROUND(H12,1),Tablo_E!$B$1:$CX$1,1)))</f>
        <v>0.8</v>
      </c>
      <c r="J12" s="60"/>
      <c r="K12" s="64">
        <f>IF(ISBLANK(J12),0,ABS(Uzman_E!C$7-J12))</f>
        <v>0</v>
      </c>
      <c r="L12" s="55">
        <f>IF(ISBLANK(J12),0,INDEX(Tablo_E!$B$2:$CX$102,MATCH(ROUND(Uzman_E!C$7,1),Tablo_E!$A$2:$A$102,1),MATCH(ROUND(K12,1),Tablo_E!$B$1:$CX$1,1)))</f>
        <v>0</v>
      </c>
      <c r="M12" s="54">
        <v>2</v>
      </c>
      <c r="N12" s="64">
        <f>IF(ISBLANK(M12),0,ABS(Uzman_E!D$7-M12))</f>
        <v>0.39999999999999991</v>
      </c>
      <c r="O12" s="55">
        <f>IF(ISBLANK(M12),0,INDEX(Tablo_E!$B$2:$CX$102,MATCH(ROUND(Uzman_E!D$7,1),Tablo_E!$A$2:$A$102,1),MATCH(ROUND(N12,1),Tablo_E!$B$1:$CX$1,1)))</f>
        <v>0.9</v>
      </c>
      <c r="P12" s="60">
        <v>1.4</v>
      </c>
      <c r="Q12" s="64">
        <f>IF(ISBLANK(P12),0,ABS(Uzman_E!E$7-P12))</f>
        <v>1.1000000000000001</v>
      </c>
      <c r="R12" s="55">
        <f>IF(ISBLANK(P12),0,INDEX(Tablo_E!$B$2:$CX$102,MATCH(ROUND(Uzman_E!E$7,1),Tablo_E!$A$2:$A$102,1),MATCH(ROUND(Q12,1),Tablo_E!$B$1:$CX$1,1)))</f>
        <v>0.3</v>
      </c>
      <c r="S12" s="56">
        <f t="shared" si="0"/>
        <v>0.6</v>
      </c>
      <c r="T12" s="50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 spans="1:36" ht="15" customHeight="1" thickBot="1" x14ac:dyDescent="0.25">
      <c r="A13" s="57">
        <v>10</v>
      </c>
      <c r="B13" s="137">
        <f>Hakemler!B13</f>
        <v>0</v>
      </c>
      <c r="C13" s="138">
        <f>Hakemler!C13</f>
        <v>0</v>
      </c>
      <c r="D13" s="60">
        <v>5.6</v>
      </c>
      <c r="E13" s="64">
        <f>IF(ISBLANK(D13),0,ABS(Uzman_E!A$7-D13))</f>
        <v>0.19999999999999929</v>
      </c>
      <c r="F13" s="55">
        <f>IF(ISBLANK(D13),0,INDEX(Tablo_E!$B$2:$CX$102,MATCH(ROUND(Uzman_E!A$7,1),Tablo_E!$A$2:$A$102,1),MATCH(ROUND(E13,1),Tablo_E!$B$1:$CX$1,1)))</f>
        <v>1</v>
      </c>
      <c r="G13" s="60">
        <v>5.6</v>
      </c>
      <c r="H13" s="64">
        <f>IF(ISBLANK(G13),0,ABS(Uzman_E!B$7-G13))</f>
        <v>0.79999999999999982</v>
      </c>
      <c r="I13" s="55">
        <f>IF(ISBLANK(G13),0,INDEX(Tablo_E!$B$2:$CX$102,MATCH(ROUND(Uzman_E!B$7,1),Tablo_E!$A$2:$A$102,1),MATCH(ROUND(H13,1),Tablo_E!$B$1:$CX$1,1)))</f>
        <v>0.7</v>
      </c>
      <c r="J13" s="60"/>
      <c r="K13" s="64">
        <f>IF(ISBLANK(J13),0,ABS(Uzman_E!C$7-J13))</f>
        <v>0</v>
      </c>
      <c r="L13" s="55">
        <f>IF(ISBLANK(J13),0,INDEX(Tablo_E!$B$2:$CX$102,MATCH(ROUND(Uzman_E!C$7,1),Tablo_E!$A$2:$A$102,1),MATCH(ROUND(K13,1),Tablo_E!$B$1:$CX$1,1)))</f>
        <v>0</v>
      </c>
      <c r="M13" s="54">
        <v>2.2000000000000002</v>
      </c>
      <c r="N13" s="64">
        <f>IF(ISBLANK(M13),0,ABS(Uzman_E!D$7-M13))</f>
        <v>0.60000000000000009</v>
      </c>
      <c r="O13" s="55">
        <f>IF(ISBLANK(M13),0,INDEX(Tablo_E!$B$2:$CX$102,MATCH(ROUND(Uzman_E!D$7,1),Tablo_E!$A$2:$A$102,1),MATCH(ROUND(N13,1),Tablo_E!$B$1:$CX$1,1)))</f>
        <v>0.7</v>
      </c>
      <c r="P13" s="54">
        <v>2</v>
      </c>
      <c r="Q13" s="64">
        <f>IF(ISBLANK(P13),0,ABS(Uzman_E!E$7-P13))</f>
        <v>0.5</v>
      </c>
      <c r="R13" s="55">
        <f>IF(ISBLANK(P13),0,INDEX(Tablo_E!$B$2:$CX$102,MATCH(ROUND(Uzman_E!E$7,1),Tablo_E!$A$2:$A$102,1),MATCH(ROUND(Q13,1),Tablo_E!$B$1:$CX$1,1)))</f>
        <v>0.85</v>
      </c>
      <c r="S13" s="56">
        <f t="shared" si="0"/>
        <v>0.65</v>
      </c>
      <c r="T13" s="50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1:36" ht="15" customHeight="1" thickBot="1" x14ac:dyDescent="0.25">
      <c r="A14" s="57">
        <v>11</v>
      </c>
      <c r="B14" s="137">
        <f>Hakemler!B14</f>
        <v>0</v>
      </c>
      <c r="C14" s="138">
        <f>Hakemler!C14</f>
        <v>0</v>
      </c>
      <c r="D14" s="60">
        <v>5.7</v>
      </c>
      <c r="E14" s="64">
        <f>IF(ISBLANK(D14),0,ABS(Uzman_E!A$7-D14))</f>
        <v>0.29999999999999982</v>
      </c>
      <c r="F14" s="55">
        <f>IF(ISBLANK(D14),0,INDEX(Tablo_E!$B$2:$CX$102,MATCH(ROUND(Uzman_E!A$7,1),Tablo_E!$A$2:$A$102,1),MATCH(ROUND(E14,1),Tablo_E!$B$1:$CX$1,1)))</f>
        <v>1</v>
      </c>
      <c r="G14" s="60">
        <v>5.7</v>
      </c>
      <c r="H14" s="64">
        <f>IF(ISBLANK(G14),0,ABS(Uzman_E!B$7-G14))</f>
        <v>0.90000000000000036</v>
      </c>
      <c r="I14" s="55">
        <f>IF(ISBLANK(G14),0,INDEX(Tablo_E!$B$2:$CX$102,MATCH(ROUND(Uzman_E!B$7,1),Tablo_E!$A$2:$A$102,1),MATCH(ROUND(H14,1),Tablo_E!$B$1:$CX$1,1)))</f>
        <v>0.6</v>
      </c>
      <c r="J14" s="60"/>
      <c r="K14" s="64">
        <f>IF(ISBLANK(J14),0,ABS(Uzman_E!C$7-J14))</f>
        <v>0</v>
      </c>
      <c r="L14" s="55">
        <f>IF(ISBLANK(J14),0,INDEX(Tablo_E!$B$2:$CX$102,MATCH(ROUND(Uzman_E!C$7,1),Tablo_E!$A$2:$A$102,1),MATCH(ROUND(K14,1),Tablo_E!$B$1:$CX$1,1)))</f>
        <v>0</v>
      </c>
      <c r="M14" s="60"/>
      <c r="N14" s="64">
        <f>IF(ISBLANK(M14),0,ABS(Uzman_E!D$7-M14))</f>
        <v>0</v>
      </c>
      <c r="O14" s="55">
        <f>IF(ISBLANK(M14),0,INDEX(Tablo_E!$B$2:$CX$102,MATCH(ROUND(Uzman_E!D$7,1),Tablo_E!$A$2:$A$102,1),MATCH(ROUND(N14,1),Tablo_E!$B$1:$CX$1,1)))</f>
        <v>0</v>
      </c>
      <c r="P14" s="54">
        <v>2.2000000000000002</v>
      </c>
      <c r="Q14" s="64">
        <f>IF(ISBLANK(P14),0,ABS(Uzman_E!E$7-P14))</f>
        <v>0.29999999999999982</v>
      </c>
      <c r="R14" s="55">
        <f>IF(ISBLANK(P14),0,INDEX(Tablo_E!$B$2:$CX$102,MATCH(ROUND(Uzman_E!E$7,1),Tablo_E!$A$2:$A$102,1),MATCH(ROUND(Q14,1),Tablo_E!$B$1:$CX$1,1)))</f>
        <v>1</v>
      </c>
      <c r="S14" s="56">
        <f t="shared" si="0"/>
        <v>0.52</v>
      </c>
      <c r="T14" s="50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 spans="1:36" ht="15" customHeight="1" thickBot="1" x14ac:dyDescent="0.25">
      <c r="A15" s="57">
        <v>12</v>
      </c>
      <c r="B15" s="137">
        <f>Hakemler!B15</f>
        <v>0</v>
      </c>
      <c r="C15" s="138">
        <f>Hakemler!C15</f>
        <v>0</v>
      </c>
      <c r="D15" s="60">
        <v>5.8</v>
      </c>
      <c r="E15" s="64">
        <f>IF(ISBLANK(D15),0,ABS(Uzman_E!A$7-D15))</f>
        <v>0.39999999999999947</v>
      </c>
      <c r="F15" s="55">
        <f>IF(ISBLANK(D15),0,INDEX(Tablo_E!$B$2:$CX$102,MATCH(ROUND(Uzman_E!A$7,1),Tablo_E!$A$2:$A$102,1),MATCH(ROUND(E15,1),Tablo_E!$B$1:$CX$1,1)))</f>
        <v>1</v>
      </c>
      <c r="G15" s="60">
        <v>5.8</v>
      </c>
      <c r="H15" s="64">
        <f>IF(ISBLANK(G15),0,ABS(Uzman_E!B$7-G15))</f>
        <v>1</v>
      </c>
      <c r="I15" s="55">
        <f>IF(ISBLANK(G15),0,INDEX(Tablo_E!$B$2:$CX$102,MATCH(ROUND(Uzman_E!B$7,1),Tablo_E!$A$2:$A$102,1),MATCH(ROUND(H15,1),Tablo_E!$B$1:$CX$1,1)))</f>
        <v>0.5</v>
      </c>
      <c r="J15" s="60"/>
      <c r="K15" s="64">
        <f>IF(ISBLANK(J15),0,ABS(Uzman_E!C$7-J15))</f>
        <v>0</v>
      </c>
      <c r="L15" s="55">
        <f>IF(ISBLANK(J15),0,INDEX(Tablo_E!$B$2:$CX$102,MATCH(ROUND(Uzman_E!C$7,1),Tablo_E!$A$2:$A$102,1),MATCH(ROUND(K15,1),Tablo_E!$B$1:$CX$1,1)))</f>
        <v>0</v>
      </c>
      <c r="M15" s="60"/>
      <c r="N15" s="64">
        <f>IF(ISBLANK(M15),0,ABS(Uzman_E!D$7-M15))</f>
        <v>0</v>
      </c>
      <c r="O15" s="55">
        <f>IF(ISBLANK(M15),0,INDEX(Tablo_E!$B$2:$CX$102,MATCH(ROUND(Uzman_E!D$7,1),Tablo_E!$A$2:$A$102,1),MATCH(ROUND(N15,1),Tablo_E!$B$1:$CX$1,1)))</f>
        <v>0</v>
      </c>
      <c r="P15" s="60"/>
      <c r="Q15" s="64">
        <f>IF(ISBLANK(P15),0,ABS(Uzman_E!E$7-P15))</f>
        <v>0</v>
      </c>
      <c r="R15" s="55">
        <f>IF(ISBLANK(P15),0,INDEX(Tablo_E!$B$2:$CX$102,MATCH(ROUND(Uzman_E!E$7,1),Tablo_E!$A$2:$A$102,1),MATCH(ROUND(Q15,1),Tablo_E!$B$1:$CX$1,1)))</f>
        <v>0</v>
      </c>
      <c r="S15" s="56">
        <f t="shared" si="0"/>
        <v>0.3</v>
      </c>
      <c r="T15" s="50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 spans="1:36" ht="15" customHeight="1" thickBot="1" x14ac:dyDescent="0.25">
      <c r="A16" s="57">
        <v>13</v>
      </c>
      <c r="B16" s="137">
        <f>Hakemler!B16</f>
        <v>0</v>
      </c>
      <c r="C16" s="138">
        <f>Hakemler!C16</f>
        <v>0</v>
      </c>
      <c r="D16" s="60">
        <v>5.9</v>
      </c>
      <c r="E16" s="64">
        <f>IF(ISBLANK(D16),0,ABS(Uzman_E!A$7-D16))</f>
        <v>0.5</v>
      </c>
      <c r="F16" s="55">
        <f>IF(ISBLANK(D16),0,INDEX(Tablo_E!$B$2:$CX$102,MATCH(ROUND(Uzman_E!A$7,1),Tablo_E!$A$2:$A$102,1),MATCH(ROUND(E16,1),Tablo_E!$B$1:$CX$1,1)))</f>
        <v>0.95</v>
      </c>
      <c r="G16" s="60">
        <v>5.9</v>
      </c>
      <c r="H16" s="64">
        <f>IF(ISBLANK(G16),0,ABS(Uzman_E!B$7-G16))</f>
        <v>1.1000000000000005</v>
      </c>
      <c r="I16" s="55">
        <f>IF(ISBLANK(G16),0,INDEX(Tablo_E!$B$2:$CX$102,MATCH(ROUND(Uzman_E!B$7,1),Tablo_E!$A$2:$A$102,1),MATCH(ROUND(H16,1),Tablo_E!$B$1:$CX$1,1)))</f>
        <v>0.4</v>
      </c>
      <c r="J16" s="60"/>
      <c r="K16" s="64">
        <f>IF(ISBLANK(J16),0,ABS(Uzman_E!C$7-J16))</f>
        <v>0</v>
      </c>
      <c r="L16" s="55">
        <f>IF(ISBLANK(J16),0,INDEX(Tablo_E!$B$2:$CX$102,MATCH(ROUND(Uzman_E!C$7,1),Tablo_E!$A$2:$A$102,1),MATCH(ROUND(K16,1),Tablo_E!$B$1:$CX$1,1)))</f>
        <v>0</v>
      </c>
      <c r="M16" s="60"/>
      <c r="N16" s="64">
        <f>IF(ISBLANK(M16),0,ABS(Uzman_E!D$7-M16))</f>
        <v>0</v>
      </c>
      <c r="O16" s="55">
        <f>IF(ISBLANK(M16),0,INDEX(Tablo_E!$B$2:$CX$102,MATCH(ROUND(Uzman_E!D$7,1),Tablo_E!$A$2:$A$102,1),MATCH(ROUND(N16,1),Tablo_E!$B$1:$CX$1,1)))</f>
        <v>0</v>
      </c>
      <c r="P16" s="60"/>
      <c r="Q16" s="64">
        <f>IF(ISBLANK(P16),0,ABS(Uzman_E!E$7-P16))</f>
        <v>0</v>
      </c>
      <c r="R16" s="55">
        <f>IF(ISBLANK(P16),0,INDEX(Tablo_E!$B$2:$CX$102,MATCH(ROUND(Uzman_E!E$7,1),Tablo_E!$A$2:$A$102,1),MATCH(ROUND(Q16,1),Tablo_E!$B$1:$CX$1,1)))</f>
        <v>0</v>
      </c>
      <c r="S16" s="56">
        <f t="shared" si="0"/>
        <v>0.27</v>
      </c>
      <c r="T16" s="50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6" ht="15" customHeight="1" thickBot="1" x14ac:dyDescent="0.25">
      <c r="A17" s="57">
        <v>14</v>
      </c>
      <c r="B17" s="137">
        <f>Hakemler!B17</f>
        <v>0</v>
      </c>
      <c r="C17" s="138">
        <f>Hakemler!C17</f>
        <v>0</v>
      </c>
      <c r="D17" s="60"/>
      <c r="E17" s="64">
        <f>IF(ISBLANK(D17),0,ABS(Uzman_E!A$7-D17))</f>
        <v>0</v>
      </c>
      <c r="F17" s="55">
        <f>IF(ISBLANK(D17),0,INDEX(Tablo_E!$B$2:$CX$102,MATCH(ROUND(Uzman_E!A$7,1),Tablo_E!$A$2:$A$102,1),MATCH(ROUND(E17,1),Tablo_E!$B$1:$CX$1,1)))</f>
        <v>0</v>
      </c>
      <c r="G17" s="60"/>
      <c r="H17" s="64">
        <f>IF(ISBLANK(G17),0,ABS(Uzman_E!B$7-G17))</f>
        <v>0</v>
      </c>
      <c r="I17" s="55">
        <f>IF(ISBLANK(G17),0,INDEX(Tablo_E!$B$2:$CX$102,MATCH(ROUND(Uzman_E!B$7,1),Tablo_E!$A$2:$A$102,1),MATCH(ROUND(H17,1),Tablo_E!$B$1:$CX$1,1)))</f>
        <v>0</v>
      </c>
      <c r="J17" s="60"/>
      <c r="K17" s="64">
        <f>IF(ISBLANK(J17),0,ABS(Uzman_E!C$7-J17))</f>
        <v>0</v>
      </c>
      <c r="L17" s="55">
        <f>IF(ISBLANK(J17),0,INDEX(Tablo_E!$B$2:$CX$102,MATCH(ROUND(Uzman_E!C$7,1),Tablo_E!$A$2:$A$102,1),MATCH(ROUND(K17,1),Tablo_E!$B$1:$CX$1,1)))</f>
        <v>0</v>
      </c>
      <c r="M17" s="60"/>
      <c r="N17" s="64">
        <f>IF(ISBLANK(M17),0,ABS(Uzman_E!D$7-M17))</f>
        <v>0</v>
      </c>
      <c r="O17" s="55">
        <f>IF(ISBLANK(M17),0,INDEX(Tablo_E!$B$2:$CX$102,MATCH(ROUND(Uzman_E!D$7,1),Tablo_E!$A$2:$A$102,1),MATCH(ROUND(N17,1),Tablo_E!$B$1:$CX$1,1)))</f>
        <v>0</v>
      </c>
      <c r="P17" s="60"/>
      <c r="Q17" s="64">
        <f>IF(ISBLANK(P17),0,ABS(Uzman_E!E$7-P17))</f>
        <v>0</v>
      </c>
      <c r="R17" s="55">
        <f>IF(ISBLANK(P17),0,INDEX(Tablo_E!$B$2:$CX$102,MATCH(ROUND(Uzman_E!E$7,1),Tablo_E!$A$2:$A$102,1),MATCH(ROUND(Q17,1),Tablo_E!$B$1:$CX$1,1)))</f>
        <v>0</v>
      </c>
      <c r="S17" s="56">
        <f t="shared" si="0"/>
        <v>0</v>
      </c>
      <c r="T17" s="50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 spans="1:36" ht="15" customHeight="1" thickBot="1" x14ac:dyDescent="0.25">
      <c r="A18" s="57">
        <v>15</v>
      </c>
      <c r="B18" s="137">
        <f>Hakemler!B18</f>
        <v>0</v>
      </c>
      <c r="C18" s="138">
        <f>Hakemler!C18</f>
        <v>0</v>
      </c>
      <c r="D18" s="60"/>
      <c r="E18" s="64">
        <f>IF(ISBLANK(D18),0,ABS(Uzman_E!A$7-D18))</f>
        <v>0</v>
      </c>
      <c r="F18" s="55">
        <f>IF(ISBLANK(D18),0,INDEX(Tablo_E!$B$2:$CX$102,MATCH(ROUND(Uzman_E!A$7,1),Tablo_E!$A$2:$A$102,1),MATCH(ROUND(E18,1),Tablo_E!$B$1:$CX$1,1)))</f>
        <v>0</v>
      </c>
      <c r="G18" s="60"/>
      <c r="H18" s="64">
        <f>IF(ISBLANK(G18),0,ABS(Uzman_E!B$7-G18))</f>
        <v>0</v>
      </c>
      <c r="I18" s="55">
        <f>IF(ISBLANK(G18),0,INDEX(Tablo_E!$B$2:$CX$102,MATCH(ROUND(Uzman_E!B$7,1),Tablo_E!$A$2:$A$102,1),MATCH(ROUND(H18,1),Tablo_E!$B$1:$CX$1,1)))</f>
        <v>0</v>
      </c>
      <c r="J18" s="60"/>
      <c r="K18" s="64">
        <f>IF(ISBLANK(J18),0,ABS(Uzman_E!C$7-J18))</f>
        <v>0</v>
      </c>
      <c r="L18" s="55">
        <f>IF(ISBLANK(J18),0,INDEX(Tablo_E!$B$2:$CX$102,MATCH(ROUND(Uzman_E!C$7,1),Tablo_E!$A$2:$A$102,1),MATCH(ROUND(K18,1),Tablo_E!$B$1:$CX$1,1)))</f>
        <v>0</v>
      </c>
      <c r="M18" s="60"/>
      <c r="N18" s="64">
        <f>IF(ISBLANK(M18),0,ABS(Uzman_E!D$7-M18))</f>
        <v>0</v>
      </c>
      <c r="O18" s="55">
        <f>IF(ISBLANK(M18),0,INDEX(Tablo_E!$B$2:$CX$102,MATCH(ROUND(Uzman_E!D$7,1),Tablo_E!$A$2:$A$102,1),MATCH(ROUND(N18,1),Tablo_E!$B$1:$CX$1,1)))</f>
        <v>0</v>
      </c>
      <c r="P18" s="60"/>
      <c r="Q18" s="64">
        <f>IF(ISBLANK(P18),0,ABS(Uzman_E!E$7-P18))</f>
        <v>0</v>
      </c>
      <c r="R18" s="55">
        <f>IF(ISBLANK(P18),0,INDEX(Tablo_E!$B$2:$CX$102,MATCH(ROUND(Uzman_E!E$7,1),Tablo_E!$A$2:$A$102,1),MATCH(ROUND(Q18,1),Tablo_E!$B$1:$CX$1,1)))</f>
        <v>0</v>
      </c>
      <c r="S18" s="56">
        <f t="shared" si="0"/>
        <v>0</v>
      </c>
      <c r="T18" s="50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 spans="1:36" ht="15" customHeight="1" thickBot="1" x14ac:dyDescent="0.25">
      <c r="A19" s="57">
        <v>16</v>
      </c>
      <c r="B19" s="137">
        <f>Hakemler!B19</f>
        <v>0</v>
      </c>
      <c r="C19" s="138">
        <f>Hakemler!C19</f>
        <v>0</v>
      </c>
      <c r="D19" s="60"/>
      <c r="E19" s="64">
        <f>IF(ISBLANK(D19),0,ABS(Uzman_E!A$7-D19))</f>
        <v>0</v>
      </c>
      <c r="F19" s="55">
        <f>IF(ISBLANK(D19),0,INDEX(Tablo_E!$B$2:$CX$102,MATCH(ROUND(Uzman_E!A$7,1),Tablo_E!$A$2:$A$102,1),MATCH(ROUND(E19,1),Tablo_E!$B$1:$CX$1,1)))</f>
        <v>0</v>
      </c>
      <c r="G19" s="60"/>
      <c r="H19" s="64">
        <f>IF(ISBLANK(G19),0,ABS(Uzman_E!B$7-G19))</f>
        <v>0</v>
      </c>
      <c r="I19" s="55">
        <f>IF(ISBLANK(G19),0,INDEX(Tablo_E!$B$2:$CX$102,MATCH(ROUND(Uzman_E!B$7,1),Tablo_E!$A$2:$A$102,1),MATCH(ROUND(H19,1),Tablo_E!$B$1:$CX$1,1)))</f>
        <v>0</v>
      </c>
      <c r="J19" s="60"/>
      <c r="K19" s="64">
        <f>IF(ISBLANK(J19),0,ABS(Uzman_E!C$7-J19))</f>
        <v>0</v>
      </c>
      <c r="L19" s="55">
        <f>IF(ISBLANK(J19),0,INDEX(Tablo_E!$B$2:$CX$102,MATCH(ROUND(Uzman_E!C$7,1),Tablo_E!$A$2:$A$102,1),MATCH(ROUND(K19,1),Tablo_E!$B$1:$CX$1,1)))</f>
        <v>0</v>
      </c>
      <c r="M19" s="60"/>
      <c r="N19" s="64">
        <f>IF(ISBLANK(M19),0,ABS(Uzman_E!D$7-M19))</f>
        <v>0</v>
      </c>
      <c r="O19" s="55">
        <f>IF(ISBLANK(M19),0,INDEX(Tablo_E!$B$2:$CX$102,MATCH(ROUND(Uzman_E!D$7,1),Tablo_E!$A$2:$A$102,1),MATCH(ROUND(N19,1),Tablo_E!$B$1:$CX$1,1)))</f>
        <v>0</v>
      </c>
      <c r="P19" s="60"/>
      <c r="Q19" s="64">
        <f>IF(ISBLANK(P19),0,ABS(Uzman_E!E$7-P19))</f>
        <v>0</v>
      </c>
      <c r="R19" s="55">
        <f>IF(ISBLANK(P19),0,INDEX(Tablo_E!$B$2:$CX$102,MATCH(ROUND(Uzman_E!E$7,1),Tablo_E!$A$2:$A$102,1),MATCH(ROUND(Q19,1),Tablo_E!$B$1:$CX$1,1)))</f>
        <v>0</v>
      </c>
      <c r="S19" s="56">
        <f t="shared" si="0"/>
        <v>0</v>
      </c>
      <c r="T19" s="50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 spans="1:36" ht="15" customHeight="1" thickBot="1" x14ac:dyDescent="0.25">
      <c r="A20" s="57">
        <v>17</v>
      </c>
      <c r="B20" s="137">
        <f>Hakemler!B20</f>
        <v>0</v>
      </c>
      <c r="C20" s="138">
        <f>Hakemler!C20</f>
        <v>0</v>
      </c>
      <c r="D20" s="60"/>
      <c r="E20" s="64">
        <f>IF(ISBLANK(D20),0,ABS(Uzman_E!A$7-D20))</f>
        <v>0</v>
      </c>
      <c r="F20" s="55">
        <f>IF(ISBLANK(D20),0,INDEX(Tablo_E!$B$2:$CX$102,MATCH(ROUND(Uzman_E!A$7,1),Tablo_E!$A$2:$A$102,1),MATCH(ROUND(E20,1),Tablo_E!$B$1:$CX$1,1)))</f>
        <v>0</v>
      </c>
      <c r="G20" s="60"/>
      <c r="H20" s="64">
        <f>IF(ISBLANK(G20),0,ABS(Uzman_E!B$7-G20))</f>
        <v>0</v>
      </c>
      <c r="I20" s="55">
        <f>IF(ISBLANK(G20),0,INDEX(Tablo_E!$B$2:$CX$102,MATCH(ROUND(Uzman_E!B$7,1),Tablo_E!$A$2:$A$102,1),MATCH(ROUND(H20,1),Tablo_E!$B$1:$CX$1,1)))</f>
        <v>0</v>
      </c>
      <c r="J20" s="60"/>
      <c r="K20" s="64">
        <f>IF(ISBLANK(J20),0,ABS(Uzman_E!C$7-J20))</f>
        <v>0</v>
      </c>
      <c r="L20" s="55">
        <f>IF(ISBLANK(J20),0,INDEX(Tablo_E!$B$2:$CX$102,MATCH(ROUND(Uzman_E!C$7,1),Tablo_E!$A$2:$A$102,1),MATCH(ROUND(K20,1),Tablo_E!$B$1:$CX$1,1)))</f>
        <v>0</v>
      </c>
      <c r="M20" s="60"/>
      <c r="N20" s="64">
        <f>IF(ISBLANK(M20),0,ABS(Uzman_E!D$7-M20))</f>
        <v>0</v>
      </c>
      <c r="O20" s="55">
        <f>IF(ISBLANK(M20),0,INDEX(Tablo_E!$B$2:$CX$102,MATCH(ROUND(Uzman_E!D$7,1),Tablo_E!$A$2:$A$102,1),MATCH(ROUND(N20,1),Tablo_E!$B$1:$CX$1,1)))</f>
        <v>0</v>
      </c>
      <c r="P20" s="60"/>
      <c r="Q20" s="64">
        <f>IF(ISBLANK(P20),0,ABS(Uzman_E!E$7-P20))</f>
        <v>0</v>
      </c>
      <c r="R20" s="55">
        <f>IF(ISBLANK(P20),0,INDEX(Tablo_E!$B$2:$CX$102,MATCH(ROUND(Uzman_E!E$7,1),Tablo_E!$A$2:$A$102,1),MATCH(ROUND(Q20,1),Tablo_E!$B$1:$CX$1,1)))</f>
        <v>0</v>
      </c>
      <c r="S20" s="56">
        <f t="shared" si="0"/>
        <v>0</v>
      </c>
      <c r="T20" s="50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1:36" ht="15" customHeight="1" thickBot="1" x14ac:dyDescent="0.25">
      <c r="A21" s="57">
        <v>18</v>
      </c>
      <c r="B21" s="137">
        <f>Hakemler!B21</f>
        <v>0</v>
      </c>
      <c r="C21" s="138">
        <f>Hakemler!C21</f>
        <v>0</v>
      </c>
      <c r="D21" s="60"/>
      <c r="E21" s="64">
        <f>IF(ISBLANK(D21),0,ABS(Uzman_E!A$7-D21))</f>
        <v>0</v>
      </c>
      <c r="F21" s="55">
        <f>IF(ISBLANK(D21),0,INDEX(Tablo_E!$B$2:$CX$102,MATCH(ROUND(Uzman_E!A$7,1),Tablo_E!$A$2:$A$102,1),MATCH(ROUND(E21,1),Tablo_E!$B$1:$CX$1,1)))</f>
        <v>0</v>
      </c>
      <c r="G21" s="60"/>
      <c r="H21" s="64">
        <f>IF(ISBLANK(G21),0,ABS(Uzman_E!B$7-G21))</f>
        <v>0</v>
      </c>
      <c r="I21" s="55">
        <f>IF(ISBLANK(G21),0,INDEX(Tablo_E!$B$2:$CX$102,MATCH(ROUND(Uzman_E!B$7,1),Tablo_E!$A$2:$A$102,1),MATCH(ROUND(H21,1),Tablo_E!$B$1:$CX$1,1)))</f>
        <v>0</v>
      </c>
      <c r="J21" s="60"/>
      <c r="K21" s="64">
        <f>IF(ISBLANK(J21),0,ABS(Uzman_E!C$7-J21))</f>
        <v>0</v>
      </c>
      <c r="L21" s="55">
        <f>IF(ISBLANK(J21),0,INDEX(Tablo_E!$B$2:$CX$102,MATCH(ROUND(Uzman_E!C$7,1),Tablo_E!$A$2:$A$102,1),MATCH(ROUND(K21,1),Tablo_E!$B$1:$CX$1,1)))</f>
        <v>0</v>
      </c>
      <c r="M21" s="60"/>
      <c r="N21" s="64">
        <f>IF(ISBLANK(M21),0,ABS(Uzman_E!D$7-M21))</f>
        <v>0</v>
      </c>
      <c r="O21" s="55">
        <f>IF(ISBLANK(M21),0,INDEX(Tablo_E!$B$2:$CX$102,MATCH(ROUND(Uzman_E!D$7,1),Tablo_E!$A$2:$A$102,1),MATCH(ROUND(N21,1),Tablo_E!$B$1:$CX$1,1)))</f>
        <v>0</v>
      </c>
      <c r="P21" s="60"/>
      <c r="Q21" s="64">
        <f>IF(ISBLANK(P21),0,ABS(Uzman_E!E$7-P21))</f>
        <v>0</v>
      </c>
      <c r="R21" s="55">
        <f>IF(ISBLANK(P21),0,INDEX(Tablo_E!$B$2:$CX$102,MATCH(ROUND(Uzman_E!E$7,1),Tablo_E!$A$2:$A$102,1),MATCH(ROUND(Q21,1),Tablo_E!$B$1:$CX$1,1)))</f>
        <v>0</v>
      </c>
      <c r="S21" s="56">
        <f t="shared" si="0"/>
        <v>0</v>
      </c>
      <c r="T21" s="50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spans="1:36" ht="15" customHeight="1" thickBot="1" x14ac:dyDescent="0.25">
      <c r="A22" s="57">
        <v>19</v>
      </c>
      <c r="B22" s="137">
        <f>Hakemler!B22</f>
        <v>0</v>
      </c>
      <c r="C22" s="138">
        <f>Hakemler!C22</f>
        <v>0</v>
      </c>
      <c r="D22" s="60"/>
      <c r="E22" s="64">
        <f>IF(ISBLANK(D22),0,ABS(Uzman_E!A$7-D22))</f>
        <v>0</v>
      </c>
      <c r="F22" s="55">
        <f>IF(ISBLANK(D22),0,INDEX(Tablo_E!$B$2:$CX$102,MATCH(ROUND(Uzman_E!A$7,1),Tablo_E!$A$2:$A$102,1),MATCH(ROUND(E22,1),Tablo_E!$B$1:$CX$1,1)))</f>
        <v>0</v>
      </c>
      <c r="G22" s="60"/>
      <c r="H22" s="64">
        <f>IF(ISBLANK(G22),0,ABS(Uzman_E!B$7-G22))</f>
        <v>0</v>
      </c>
      <c r="I22" s="55">
        <f>IF(ISBLANK(G22),0,INDEX(Tablo_E!$B$2:$CX$102,MATCH(ROUND(Uzman_E!B$7,1),Tablo_E!$A$2:$A$102,1),MATCH(ROUND(H22,1),Tablo_E!$B$1:$CX$1,1)))</f>
        <v>0</v>
      </c>
      <c r="J22" s="60"/>
      <c r="K22" s="64">
        <f>IF(ISBLANK(J22),0,ABS(Uzman_E!C$7-J22))</f>
        <v>0</v>
      </c>
      <c r="L22" s="55">
        <f>IF(ISBLANK(J22),0,INDEX(Tablo_E!$B$2:$CX$102,MATCH(ROUND(Uzman_E!C$7,1),Tablo_E!$A$2:$A$102,1),MATCH(ROUND(K22,1),Tablo_E!$B$1:$CX$1,1)))</f>
        <v>0</v>
      </c>
      <c r="M22" s="60"/>
      <c r="N22" s="64">
        <f>IF(ISBLANK(M22),0,ABS(Uzman_E!D$7-M22))</f>
        <v>0</v>
      </c>
      <c r="O22" s="55">
        <f>IF(ISBLANK(M22),0,INDEX(Tablo_E!$B$2:$CX$102,MATCH(ROUND(Uzman_E!D$7,1),Tablo_E!$A$2:$A$102,1),MATCH(ROUND(N22,1),Tablo_E!$B$1:$CX$1,1)))</f>
        <v>0</v>
      </c>
      <c r="P22" s="60"/>
      <c r="Q22" s="64">
        <f>IF(ISBLANK(P22),0,ABS(Uzman_E!E$7-P22))</f>
        <v>0</v>
      </c>
      <c r="R22" s="55">
        <f>IF(ISBLANK(P22),0,INDEX(Tablo_E!$B$2:$CX$102,MATCH(ROUND(Uzman_E!E$7,1),Tablo_E!$A$2:$A$102,1),MATCH(ROUND(Q22,1),Tablo_E!$B$1:$CX$1,1)))</f>
        <v>0</v>
      </c>
      <c r="S22" s="56">
        <f t="shared" si="0"/>
        <v>0</v>
      </c>
      <c r="T22" s="50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5" customHeight="1" thickBot="1" x14ac:dyDescent="0.25">
      <c r="A23" s="57">
        <v>20</v>
      </c>
      <c r="B23" s="137">
        <f>Hakemler!B23</f>
        <v>0</v>
      </c>
      <c r="C23" s="138">
        <f>Hakemler!C23</f>
        <v>0</v>
      </c>
      <c r="D23" s="60"/>
      <c r="E23" s="64">
        <f>IF(ISBLANK(D23),0,ABS(Uzman_E!A$7-D23))</f>
        <v>0</v>
      </c>
      <c r="F23" s="55">
        <f>IF(ISBLANK(D23),0,INDEX(Tablo_E!$B$2:$CX$102,MATCH(ROUND(Uzman_E!A$7,1),Tablo_E!$A$2:$A$102,1),MATCH(ROUND(E23,1),Tablo_E!$B$1:$CX$1,1)))</f>
        <v>0</v>
      </c>
      <c r="G23" s="60"/>
      <c r="H23" s="64">
        <f>IF(ISBLANK(G23),0,ABS(Uzman_E!B$7-G23))</f>
        <v>0</v>
      </c>
      <c r="I23" s="55">
        <f>IF(ISBLANK(G23),0,INDEX(Tablo_E!$B$2:$CX$102,MATCH(ROUND(Uzman_E!B$7,1),Tablo_E!$A$2:$A$102,1),MATCH(ROUND(H23,1),Tablo_E!$B$1:$CX$1,1)))</f>
        <v>0</v>
      </c>
      <c r="J23" s="60"/>
      <c r="K23" s="64">
        <f>IF(ISBLANK(J23),0,ABS(Uzman_E!C$7-J23))</f>
        <v>0</v>
      </c>
      <c r="L23" s="55">
        <f>IF(ISBLANK(J23),0,INDEX(Tablo_E!$B$2:$CX$102,MATCH(ROUND(Uzman_E!C$7,1),Tablo_E!$A$2:$A$102,1),MATCH(ROUND(K23,1),Tablo_E!$B$1:$CX$1,1)))</f>
        <v>0</v>
      </c>
      <c r="M23" s="60"/>
      <c r="N23" s="64">
        <f>IF(ISBLANK(M23),0,ABS(Uzman_E!D$7-M23))</f>
        <v>0</v>
      </c>
      <c r="O23" s="55">
        <f>IF(ISBLANK(M23),0,INDEX(Tablo_E!$B$2:$CX$102,MATCH(ROUND(Uzman_E!D$7,1),Tablo_E!$A$2:$A$102,1),MATCH(ROUND(N23,1),Tablo_E!$B$1:$CX$1,1)))</f>
        <v>0</v>
      </c>
      <c r="P23" s="60"/>
      <c r="Q23" s="64">
        <f>IF(ISBLANK(P23),0,ABS(Uzman_E!E$7-P23))</f>
        <v>0</v>
      </c>
      <c r="R23" s="55">
        <f>IF(ISBLANK(P23),0,INDEX(Tablo_E!$B$2:$CX$102,MATCH(ROUND(Uzman_E!E$7,1),Tablo_E!$A$2:$A$102,1),MATCH(ROUND(Q23,1),Tablo_E!$B$1:$CX$1,1)))</f>
        <v>0</v>
      </c>
      <c r="S23" s="56">
        <f t="shared" si="0"/>
        <v>0</v>
      </c>
      <c r="T23" s="50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spans="1:36" ht="15" customHeight="1" thickBot="1" x14ac:dyDescent="0.25">
      <c r="A24" s="57">
        <v>21</v>
      </c>
      <c r="B24" s="137">
        <f>Hakemler!B24</f>
        <v>0</v>
      </c>
      <c r="C24" s="138">
        <f>Hakemler!C24</f>
        <v>0</v>
      </c>
      <c r="D24" s="60"/>
      <c r="E24" s="64">
        <f>IF(ISBLANK(D24),0,ABS(Uzman_E!A$7-D24))</f>
        <v>0</v>
      </c>
      <c r="F24" s="55">
        <f>IF(ISBLANK(D24),0,INDEX(Tablo_E!$B$2:$CX$102,MATCH(ROUND(Uzman_E!A$7,1),Tablo_E!$A$2:$A$102,1),MATCH(ROUND(E24,1),Tablo_E!$B$1:$CX$1,1)))</f>
        <v>0</v>
      </c>
      <c r="G24" s="60"/>
      <c r="H24" s="64">
        <f>IF(ISBLANK(G24),0,ABS(Uzman_E!B$7-G24))</f>
        <v>0</v>
      </c>
      <c r="I24" s="55">
        <f>IF(ISBLANK(G24),0,INDEX(Tablo_E!$B$2:$CX$102,MATCH(ROUND(Uzman_E!B$7,1),Tablo_E!$A$2:$A$102,1),MATCH(ROUND(H24,1),Tablo_E!$B$1:$CX$1,1)))</f>
        <v>0</v>
      </c>
      <c r="J24" s="60"/>
      <c r="K24" s="64">
        <f>IF(ISBLANK(J24),0,ABS(Uzman_E!C$7-J24))</f>
        <v>0</v>
      </c>
      <c r="L24" s="55">
        <f>IF(ISBLANK(J24),0,INDEX(Tablo_E!$B$2:$CX$102,MATCH(ROUND(Uzman_E!C$7,1),Tablo_E!$A$2:$A$102,1),MATCH(ROUND(K24,1),Tablo_E!$B$1:$CX$1,1)))</f>
        <v>0</v>
      </c>
      <c r="M24" s="60"/>
      <c r="N24" s="64">
        <f>IF(ISBLANK(M24),0,ABS(Uzman_E!D$7-M24))</f>
        <v>0</v>
      </c>
      <c r="O24" s="55">
        <f>IF(ISBLANK(M24),0,INDEX(Tablo_E!$B$2:$CX$102,MATCH(ROUND(Uzman_E!D$7,1),Tablo_E!$A$2:$A$102,1),MATCH(ROUND(N24,1),Tablo_E!$B$1:$CX$1,1)))</f>
        <v>0</v>
      </c>
      <c r="P24" s="60"/>
      <c r="Q24" s="64">
        <f>IF(ISBLANK(P24),0,ABS(Uzman_E!E$7-P24))</f>
        <v>0</v>
      </c>
      <c r="R24" s="55">
        <f>IF(ISBLANK(P24),0,INDEX(Tablo_E!$B$2:$CX$102,MATCH(ROUND(Uzman_E!E$7,1),Tablo_E!$A$2:$A$102,1),MATCH(ROUND(Q24,1),Tablo_E!$B$1:$CX$1,1)))</f>
        <v>0</v>
      </c>
      <c r="S24" s="56">
        <f t="shared" si="0"/>
        <v>0</v>
      </c>
      <c r="T24" s="50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spans="1:36" ht="15" customHeight="1" thickBot="1" x14ac:dyDescent="0.25">
      <c r="A25" s="57">
        <v>22</v>
      </c>
      <c r="B25" s="137">
        <f>Hakemler!B25</f>
        <v>0</v>
      </c>
      <c r="C25" s="138">
        <f>Hakemler!C25</f>
        <v>0</v>
      </c>
      <c r="D25" s="60"/>
      <c r="E25" s="64">
        <f>IF(ISBLANK(D25),0,ABS(Uzman_E!A$7-D25))</f>
        <v>0</v>
      </c>
      <c r="F25" s="55">
        <f>IF(ISBLANK(D25),0,INDEX(Tablo_E!$B$2:$CX$102,MATCH(ROUND(Uzman_E!A$7,1),Tablo_E!$A$2:$A$102,1),MATCH(ROUND(E25,1),Tablo_E!$B$1:$CX$1,1)))</f>
        <v>0</v>
      </c>
      <c r="G25" s="60"/>
      <c r="H25" s="64">
        <f>IF(ISBLANK(G25),0,ABS(Uzman_E!B$7-G25))</f>
        <v>0</v>
      </c>
      <c r="I25" s="55">
        <f>IF(ISBLANK(G25),0,INDEX(Tablo_E!$B$2:$CX$102,MATCH(ROUND(Uzman_E!B$7,1),Tablo_E!$A$2:$A$102,1),MATCH(ROUND(H25,1),Tablo_E!$B$1:$CX$1,1)))</f>
        <v>0</v>
      </c>
      <c r="J25" s="60"/>
      <c r="K25" s="64">
        <f>IF(ISBLANK(J25),0,ABS(Uzman_E!C$7-J25))</f>
        <v>0</v>
      </c>
      <c r="L25" s="55">
        <f>IF(ISBLANK(J25),0,INDEX(Tablo_E!$B$2:$CX$102,MATCH(ROUND(Uzman_E!C$7,1),Tablo_E!$A$2:$A$102,1),MATCH(ROUND(K25,1),Tablo_E!$B$1:$CX$1,1)))</f>
        <v>0</v>
      </c>
      <c r="M25" s="60"/>
      <c r="N25" s="64">
        <f>IF(ISBLANK(M25),0,ABS(Uzman_E!D$7-M25))</f>
        <v>0</v>
      </c>
      <c r="O25" s="55">
        <f>IF(ISBLANK(M25),0,INDEX(Tablo_E!$B$2:$CX$102,MATCH(ROUND(Uzman_E!D$7,1),Tablo_E!$A$2:$A$102,1),MATCH(ROUND(N25,1),Tablo_E!$B$1:$CX$1,1)))</f>
        <v>0</v>
      </c>
      <c r="P25" s="60"/>
      <c r="Q25" s="64">
        <f>IF(ISBLANK(P25),0,ABS(Uzman_E!E$7-P25))</f>
        <v>0</v>
      </c>
      <c r="R25" s="55">
        <f>IF(ISBLANK(P25),0,INDEX(Tablo_E!$B$2:$CX$102,MATCH(ROUND(Uzman_E!E$7,1),Tablo_E!$A$2:$A$102,1),MATCH(ROUND(Q25,1),Tablo_E!$B$1:$CX$1,1)))</f>
        <v>0</v>
      </c>
      <c r="S25" s="56">
        <f t="shared" si="0"/>
        <v>0</v>
      </c>
      <c r="T25" s="50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spans="1:36" ht="15" customHeight="1" thickBot="1" x14ac:dyDescent="0.25">
      <c r="A26" s="57">
        <v>23</v>
      </c>
      <c r="B26" s="137">
        <f>Hakemler!B26</f>
        <v>0</v>
      </c>
      <c r="C26" s="138">
        <f>Hakemler!C26</f>
        <v>0</v>
      </c>
      <c r="D26" s="60"/>
      <c r="E26" s="64">
        <f>IF(ISBLANK(D26),0,ABS(Uzman_E!A$7-D26))</f>
        <v>0</v>
      </c>
      <c r="F26" s="55">
        <f>IF(ISBLANK(D26),0,INDEX(Tablo_E!$B$2:$CX$102,MATCH(ROUND(Uzman_E!A$7,1),Tablo_E!$A$2:$A$102,1),MATCH(ROUND(E26,1),Tablo_E!$B$1:$CX$1,1)))</f>
        <v>0</v>
      </c>
      <c r="G26" s="60"/>
      <c r="H26" s="64">
        <f>IF(ISBLANK(G26),0,ABS(Uzman_E!B$7-G26))</f>
        <v>0</v>
      </c>
      <c r="I26" s="55">
        <f>IF(ISBLANK(G26),0,INDEX(Tablo_E!$B$2:$CX$102,MATCH(ROUND(Uzman_E!B$7,1),Tablo_E!$A$2:$A$102,1),MATCH(ROUND(H26,1),Tablo_E!$B$1:$CX$1,1)))</f>
        <v>0</v>
      </c>
      <c r="J26" s="60"/>
      <c r="K26" s="64">
        <f>IF(ISBLANK(J26),0,ABS(Uzman_E!C$7-J26))</f>
        <v>0</v>
      </c>
      <c r="L26" s="55">
        <f>IF(ISBLANK(J26),0,INDEX(Tablo_E!$B$2:$CX$102,MATCH(ROUND(Uzman_E!C$7,1),Tablo_E!$A$2:$A$102,1),MATCH(ROUND(K26,1),Tablo_E!$B$1:$CX$1,1)))</f>
        <v>0</v>
      </c>
      <c r="M26" s="60"/>
      <c r="N26" s="64">
        <f>IF(ISBLANK(M26),0,ABS(Uzman_E!D$7-M26))</f>
        <v>0</v>
      </c>
      <c r="O26" s="55">
        <f>IF(ISBLANK(M26),0,INDEX(Tablo_E!$B$2:$CX$102,MATCH(ROUND(Uzman_E!D$7,1),Tablo_E!$A$2:$A$102,1),MATCH(ROUND(N26,1),Tablo_E!$B$1:$CX$1,1)))</f>
        <v>0</v>
      </c>
      <c r="P26" s="60"/>
      <c r="Q26" s="64">
        <f>IF(ISBLANK(P26),0,ABS(Uzman_E!E$7-P26))</f>
        <v>0</v>
      </c>
      <c r="R26" s="55">
        <f>IF(ISBLANK(P26),0,INDEX(Tablo_E!$B$2:$CX$102,MATCH(ROUND(Uzman_E!E$7,1),Tablo_E!$A$2:$A$102,1),MATCH(ROUND(Q26,1),Tablo_E!$B$1:$CX$1,1)))</f>
        <v>0</v>
      </c>
      <c r="S26" s="56">
        <f t="shared" si="0"/>
        <v>0</v>
      </c>
      <c r="T26" s="50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6" ht="15" customHeight="1" thickBot="1" x14ac:dyDescent="0.25">
      <c r="A27" s="57">
        <v>24</v>
      </c>
      <c r="B27" s="137">
        <f>Hakemler!B27</f>
        <v>0</v>
      </c>
      <c r="C27" s="138">
        <f>Hakemler!C27</f>
        <v>0</v>
      </c>
      <c r="D27" s="60"/>
      <c r="E27" s="64">
        <f>IF(ISBLANK(D27),0,ABS(Uzman_E!A$7-D27))</f>
        <v>0</v>
      </c>
      <c r="F27" s="55">
        <f>IF(ISBLANK(D27),0,INDEX(Tablo_E!$B$2:$CX$102,MATCH(ROUND(Uzman_E!A$7,1),Tablo_E!$A$2:$A$102,1),MATCH(ROUND(E27,1),Tablo_E!$B$1:$CX$1,1)))</f>
        <v>0</v>
      </c>
      <c r="G27" s="60"/>
      <c r="H27" s="64">
        <f>IF(ISBLANK(G27),0,ABS(Uzman_E!B$7-G27))</f>
        <v>0</v>
      </c>
      <c r="I27" s="55">
        <f>IF(ISBLANK(G27),0,INDEX(Tablo_E!$B$2:$CX$102,MATCH(ROUND(Uzman_E!B$7,1),Tablo_E!$A$2:$A$102,1),MATCH(ROUND(H27,1),Tablo_E!$B$1:$CX$1,1)))</f>
        <v>0</v>
      </c>
      <c r="J27" s="60"/>
      <c r="K27" s="64">
        <f>IF(ISBLANK(J27),0,ABS(Uzman_E!C$7-J27))</f>
        <v>0</v>
      </c>
      <c r="L27" s="55">
        <f>IF(ISBLANK(J27),0,INDEX(Tablo_E!$B$2:$CX$102,MATCH(ROUND(Uzman_E!C$7,1),Tablo_E!$A$2:$A$102,1),MATCH(ROUND(K27,1),Tablo_E!$B$1:$CX$1,1)))</f>
        <v>0</v>
      </c>
      <c r="M27" s="60"/>
      <c r="N27" s="64">
        <f>IF(ISBLANK(M27),0,ABS(Uzman_E!D$7-M27))</f>
        <v>0</v>
      </c>
      <c r="O27" s="55">
        <f>IF(ISBLANK(M27),0,INDEX(Tablo_E!$B$2:$CX$102,MATCH(ROUND(Uzman_E!D$7,1),Tablo_E!$A$2:$A$102,1),MATCH(ROUND(N27,1),Tablo_E!$B$1:$CX$1,1)))</f>
        <v>0</v>
      </c>
      <c r="P27" s="60"/>
      <c r="Q27" s="64">
        <f>IF(ISBLANK(P27),0,ABS(Uzman_E!E$7-P27))</f>
        <v>0</v>
      </c>
      <c r="R27" s="55">
        <f>IF(ISBLANK(P27),0,INDEX(Tablo_E!$B$2:$CX$102,MATCH(ROUND(Uzman_E!E$7,1),Tablo_E!$A$2:$A$102,1),MATCH(ROUND(Q27,1),Tablo_E!$B$1:$CX$1,1)))</f>
        <v>0</v>
      </c>
      <c r="S27" s="56">
        <f t="shared" si="0"/>
        <v>0</v>
      </c>
      <c r="T27" s="50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6" ht="15" customHeight="1" thickBot="1" x14ac:dyDescent="0.25">
      <c r="A28" s="57">
        <v>25</v>
      </c>
      <c r="B28" s="137">
        <f>Hakemler!B28</f>
        <v>0</v>
      </c>
      <c r="C28" s="138">
        <f>Hakemler!C28</f>
        <v>0</v>
      </c>
      <c r="D28" s="60"/>
      <c r="E28" s="64">
        <f>IF(ISBLANK(D28),0,ABS(Uzman_E!A$7-D28))</f>
        <v>0</v>
      </c>
      <c r="F28" s="55">
        <f>IF(ISBLANK(D28),0,INDEX(Tablo_E!$B$2:$CX$102,MATCH(ROUND(Uzman_E!A$7,1),Tablo_E!$A$2:$A$102,1),MATCH(ROUND(E28,1),Tablo_E!$B$1:$CX$1,1)))</f>
        <v>0</v>
      </c>
      <c r="G28" s="60"/>
      <c r="H28" s="64">
        <f>IF(ISBLANK(G28),0,ABS(Uzman_E!B$7-G28))</f>
        <v>0</v>
      </c>
      <c r="I28" s="55">
        <f>IF(ISBLANK(G28),0,INDEX(Tablo_E!$B$2:$CX$102,MATCH(ROUND(Uzman_E!B$7,1),Tablo_E!$A$2:$A$102,1),MATCH(ROUND(H28,1),Tablo_E!$B$1:$CX$1,1)))</f>
        <v>0</v>
      </c>
      <c r="J28" s="60"/>
      <c r="K28" s="64">
        <f>IF(ISBLANK(J28),0,ABS(Uzman_E!C$7-J28))</f>
        <v>0</v>
      </c>
      <c r="L28" s="55">
        <f>IF(ISBLANK(J28),0,INDEX(Tablo_E!$B$2:$CX$102,MATCH(ROUND(Uzman_E!C$7,1),Tablo_E!$A$2:$A$102,1),MATCH(ROUND(K28,1),Tablo_E!$B$1:$CX$1,1)))</f>
        <v>0</v>
      </c>
      <c r="M28" s="60"/>
      <c r="N28" s="64">
        <f>IF(ISBLANK(M28),0,ABS(Uzman_E!D$7-M28))</f>
        <v>0</v>
      </c>
      <c r="O28" s="55">
        <f>IF(ISBLANK(M28),0,INDEX(Tablo_E!$B$2:$CX$102,MATCH(ROUND(Uzman_E!D$7,1),Tablo_E!$A$2:$A$102,1),MATCH(ROUND(N28,1),Tablo_E!$B$1:$CX$1,1)))</f>
        <v>0</v>
      </c>
      <c r="P28" s="60"/>
      <c r="Q28" s="64">
        <f>IF(ISBLANK(P28),0,ABS(Uzman_E!E$7-P28))</f>
        <v>0</v>
      </c>
      <c r="R28" s="55">
        <f>IF(ISBLANK(P28),0,INDEX(Tablo_E!$B$2:$CX$102,MATCH(ROUND(Uzman_E!E$7,1),Tablo_E!$A$2:$A$102,1),MATCH(ROUND(Q28,1),Tablo_E!$B$1:$CX$1,1)))</f>
        <v>0</v>
      </c>
      <c r="S28" s="56">
        <f t="shared" si="0"/>
        <v>0</v>
      </c>
      <c r="T28" s="50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spans="1:36" ht="15" customHeight="1" thickBot="1" x14ac:dyDescent="0.25">
      <c r="A29" s="57">
        <v>26</v>
      </c>
      <c r="B29" s="137">
        <f>Hakemler!B29</f>
        <v>0</v>
      </c>
      <c r="C29" s="138">
        <f>Hakemler!C29</f>
        <v>0</v>
      </c>
      <c r="D29" s="60"/>
      <c r="E29" s="64">
        <f>IF(ISBLANK(D29),0,ABS(Uzman_E!A$7-D29))</f>
        <v>0</v>
      </c>
      <c r="F29" s="55">
        <f>IF(ISBLANK(D29),0,INDEX(Tablo_E!$B$2:$CX$102,MATCH(ROUND(Uzman_E!A$7,1),Tablo_E!$A$2:$A$102,1),MATCH(ROUND(E29,1),Tablo_E!$B$1:$CX$1,1)))</f>
        <v>0</v>
      </c>
      <c r="G29" s="60"/>
      <c r="H29" s="64">
        <f>IF(ISBLANK(G29),0,ABS(Uzman_E!B$7-G29))</f>
        <v>0</v>
      </c>
      <c r="I29" s="55">
        <f>IF(ISBLANK(G29),0,INDEX(Tablo_E!$B$2:$CX$102,MATCH(ROUND(Uzman_E!B$7,1),Tablo_E!$A$2:$A$102,1),MATCH(ROUND(H29,1),Tablo_E!$B$1:$CX$1,1)))</f>
        <v>0</v>
      </c>
      <c r="J29" s="60"/>
      <c r="K29" s="64">
        <f>IF(ISBLANK(J29),0,ABS(Uzman_E!C$7-J29))</f>
        <v>0</v>
      </c>
      <c r="L29" s="55">
        <f>IF(ISBLANK(J29),0,INDEX(Tablo_E!$B$2:$CX$102,MATCH(ROUND(Uzman_E!C$7,1),Tablo_E!$A$2:$A$102,1),MATCH(ROUND(K29,1),Tablo_E!$B$1:$CX$1,1)))</f>
        <v>0</v>
      </c>
      <c r="M29" s="60"/>
      <c r="N29" s="64">
        <f>IF(ISBLANK(M29),0,ABS(Uzman_E!D$7-M29))</f>
        <v>0</v>
      </c>
      <c r="O29" s="55">
        <f>IF(ISBLANK(M29),0,INDEX(Tablo_E!$B$2:$CX$102,MATCH(ROUND(Uzman_E!D$7,1),Tablo_E!$A$2:$A$102,1),MATCH(ROUND(N29,1),Tablo_E!$B$1:$CX$1,1)))</f>
        <v>0</v>
      </c>
      <c r="P29" s="60"/>
      <c r="Q29" s="64">
        <f>IF(ISBLANK(P29),0,ABS(Uzman_E!E$7-P29))</f>
        <v>0</v>
      </c>
      <c r="R29" s="55">
        <f>IF(ISBLANK(P29),0,INDEX(Tablo_E!$B$2:$CX$102,MATCH(ROUND(Uzman_E!E$7,1),Tablo_E!$A$2:$A$102,1),MATCH(ROUND(Q29,1),Tablo_E!$B$1:$CX$1,1)))</f>
        <v>0</v>
      </c>
      <c r="S29" s="56">
        <f t="shared" si="0"/>
        <v>0</v>
      </c>
      <c r="T29" s="50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spans="1:36" ht="15" customHeight="1" thickBot="1" x14ac:dyDescent="0.25">
      <c r="A30" s="57">
        <v>27</v>
      </c>
      <c r="B30" s="137">
        <f>Hakemler!B30</f>
        <v>0</v>
      </c>
      <c r="C30" s="138">
        <f>Hakemler!C30</f>
        <v>0</v>
      </c>
      <c r="D30" s="60"/>
      <c r="E30" s="64">
        <f>IF(ISBLANK(D30),0,ABS(Uzman_E!A$7-D30))</f>
        <v>0</v>
      </c>
      <c r="F30" s="55">
        <f>IF(ISBLANK(D30),0,INDEX(Tablo_E!$B$2:$CX$102,MATCH(ROUND(Uzman_E!A$7,1),Tablo_E!$A$2:$A$102,1),MATCH(ROUND(E30,1),Tablo_E!$B$1:$CX$1,1)))</f>
        <v>0</v>
      </c>
      <c r="G30" s="60"/>
      <c r="H30" s="64">
        <f>IF(ISBLANK(G30),0,ABS(Uzman_E!B$7-G30))</f>
        <v>0</v>
      </c>
      <c r="I30" s="55">
        <f>IF(ISBLANK(G30),0,INDEX(Tablo_E!$B$2:$CX$102,MATCH(ROUND(Uzman_E!B$7,1),Tablo_E!$A$2:$A$102,1),MATCH(ROUND(H30,1),Tablo_E!$B$1:$CX$1,1)))</f>
        <v>0</v>
      </c>
      <c r="J30" s="60"/>
      <c r="K30" s="64">
        <f>IF(ISBLANK(J30),0,ABS(Uzman_E!C$7-J30))</f>
        <v>0</v>
      </c>
      <c r="L30" s="55">
        <f>IF(ISBLANK(J30),0,INDEX(Tablo_E!$B$2:$CX$102,MATCH(ROUND(Uzman_E!C$7,1),Tablo_E!$A$2:$A$102,1),MATCH(ROUND(K30,1),Tablo_E!$B$1:$CX$1,1)))</f>
        <v>0</v>
      </c>
      <c r="M30" s="60"/>
      <c r="N30" s="64">
        <f>IF(ISBLANK(M30),0,ABS(Uzman_E!D$7-M30))</f>
        <v>0</v>
      </c>
      <c r="O30" s="55">
        <f>IF(ISBLANK(M30),0,INDEX(Tablo_E!$B$2:$CX$102,MATCH(ROUND(Uzman_E!D$7,1),Tablo_E!$A$2:$A$102,1),MATCH(ROUND(N30,1),Tablo_E!$B$1:$CX$1,1)))</f>
        <v>0</v>
      </c>
      <c r="P30" s="60"/>
      <c r="Q30" s="64">
        <f>IF(ISBLANK(P30),0,ABS(Uzman_E!E$7-P30))</f>
        <v>0</v>
      </c>
      <c r="R30" s="55">
        <f>IF(ISBLANK(P30),0,INDEX(Tablo_E!$B$2:$CX$102,MATCH(ROUND(Uzman_E!E$7,1),Tablo_E!$A$2:$A$102,1),MATCH(ROUND(Q30,1),Tablo_E!$B$1:$CX$1,1)))</f>
        <v>0</v>
      </c>
      <c r="S30" s="56">
        <f t="shared" si="0"/>
        <v>0</v>
      </c>
      <c r="T30" s="50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6" ht="15" customHeight="1" thickBot="1" x14ac:dyDescent="0.25">
      <c r="A31" s="57">
        <v>28</v>
      </c>
      <c r="B31" s="137">
        <f>Hakemler!B31</f>
        <v>0</v>
      </c>
      <c r="C31" s="138">
        <f>Hakemler!C31</f>
        <v>0</v>
      </c>
      <c r="D31" s="60"/>
      <c r="E31" s="64">
        <f>IF(ISBLANK(D31),0,ABS(Uzman_E!A$7-D31))</f>
        <v>0</v>
      </c>
      <c r="F31" s="55">
        <f>IF(ISBLANK(D31),0,INDEX(Tablo_E!$B$2:$CX$102,MATCH(ROUND(Uzman_E!A$7,1),Tablo_E!$A$2:$A$102,1),MATCH(ROUND(E31,1),Tablo_E!$B$1:$CX$1,1)))</f>
        <v>0</v>
      </c>
      <c r="G31" s="60"/>
      <c r="H31" s="64">
        <f>IF(ISBLANK(G31),0,ABS(Uzman_E!B$7-G31))</f>
        <v>0</v>
      </c>
      <c r="I31" s="55">
        <f>IF(ISBLANK(G31),0,INDEX(Tablo_E!$B$2:$CX$102,MATCH(ROUND(Uzman_E!B$7,1),Tablo_E!$A$2:$A$102,1),MATCH(ROUND(H31,1),Tablo_E!$B$1:$CX$1,1)))</f>
        <v>0</v>
      </c>
      <c r="J31" s="60"/>
      <c r="K31" s="64">
        <f>IF(ISBLANK(J31),0,ABS(Uzman_E!C$7-J31))</f>
        <v>0</v>
      </c>
      <c r="L31" s="55">
        <f>IF(ISBLANK(J31),0,INDEX(Tablo_E!$B$2:$CX$102,MATCH(ROUND(Uzman_E!C$7,1),Tablo_E!$A$2:$A$102,1),MATCH(ROUND(K31,1),Tablo_E!$B$1:$CX$1,1)))</f>
        <v>0</v>
      </c>
      <c r="M31" s="60"/>
      <c r="N31" s="64">
        <f>IF(ISBLANK(M31),0,ABS(Uzman_E!D$7-M31))</f>
        <v>0</v>
      </c>
      <c r="O31" s="55">
        <f>IF(ISBLANK(M31),0,INDEX(Tablo_E!$B$2:$CX$102,MATCH(ROUND(Uzman_E!D$7,1),Tablo_E!$A$2:$A$102,1),MATCH(ROUND(N31,1),Tablo_E!$B$1:$CX$1,1)))</f>
        <v>0</v>
      </c>
      <c r="P31" s="60"/>
      <c r="Q31" s="64">
        <f>IF(ISBLANK(P31),0,ABS(Uzman_E!E$7-P31))</f>
        <v>0</v>
      </c>
      <c r="R31" s="55">
        <f>IF(ISBLANK(P31),0,INDEX(Tablo_E!$B$2:$CX$102,MATCH(ROUND(Uzman_E!E$7,1),Tablo_E!$A$2:$A$102,1),MATCH(ROUND(Q31,1),Tablo_E!$B$1:$CX$1,1)))</f>
        <v>0</v>
      </c>
      <c r="S31" s="56">
        <f t="shared" si="0"/>
        <v>0</v>
      </c>
      <c r="T31" s="50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spans="1:36" ht="15" customHeight="1" thickBot="1" x14ac:dyDescent="0.25">
      <c r="A32" s="57">
        <v>29</v>
      </c>
      <c r="B32" s="137">
        <f>Hakemler!B32</f>
        <v>0</v>
      </c>
      <c r="C32" s="138">
        <f>Hakemler!C32</f>
        <v>0</v>
      </c>
      <c r="D32" s="60"/>
      <c r="E32" s="64">
        <f>IF(ISBLANK(D32),0,ABS(Uzman_E!A$7-D32))</f>
        <v>0</v>
      </c>
      <c r="F32" s="55">
        <f>IF(ISBLANK(D32),0,INDEX(Tablo_E!$B$2:$CX$102,MATCH(ROUND(Uzman_E!A$7,1),Tablo_E!$A$2:$A$102,1),MATCH(ROUND(E32,1),Tablo_E!$B$1:$CX$1,1)))</f>
        <v>0</v>
      </c>
      <c r="G32" s="60"/>
      <c r="H32" s="64">
        <f>IF(ISBLANK(G32),0,ABS(Uzman_E!B$7-G32))</f>
        <v>0</v>
      </c>
      <c r="I32" s="55">
        <f>IF(ISBLANK(G32),0,INDEX(Tablo_E!$B$2:$CX$102,MATCH(ROUND(Uzman_E!B$7,1),Tablo_E!$A$2:$A$102,1),MATCH(ROUND(H32,1),Tablo_E!$B$1:$CX$1,1)))</f>
        <v>0</v>
      </c>
      <c r="J32" s="60"/>
      <c r="K32" s="64">
        <f>IF(ISBLANK(J32),0,ABS(Uzman_E!C$7-J32))</f>
        <v>0</v>
      </c>
      <c r="L32" s="55">
        <f>IF(ISBLANK(J32),0,INDEX(Tablo_E!$B$2:$CX$102,MATCH(ROUND(Uzman_E!C$7,1),Tablo_E!$A$2:$A$102,1),MATCH(ROUND(K32,1),Tablo_E!$B$1:$CX$1,1)))</f>
        <v>0</v>
      </c>
      <c r="M32" s="60"/>
      <c r="N32" s="64">
        <f>IF(ISBLANK(M32),0,ABS(Uzman_E!D$7-M32))</f>
        <v>0</v>
      </c>
      <c r="O32" s="55">
        <f>IF(ISBLANK(M32),0,INDEX(Tablo_E!$B$2:$CX$102,MATCH(ROUND(Uzman_E!D$7,1),Tablo_E!$A$2:$A$102,1),MATCH(ROUND(N32,1),Tablo_E!$B$1:$CX$1,1)))</f>
        <v>0</v>
      </c>
      <c r="P32" s="60"/>
      <c r="Q32" s="64">
        <f>IF(ISBLANK(P32),0,ABS(Uzman_E!E$7-P32))</f>
        <v>0</v>
      </c>
      <c r="R32" s="55">
        <f>IF(ISBLANK(P32),0,INDEX(Tablo_E!$B$2:$CX$102,MATCH(ROUND(Uzman_E!E$7,1),Tablo_E!$A$2:$A$102,1),MATCH(ROUND(Q32,1),Tablo_E!$B$1:$CX$1,1)))</f>
        <v>0</v>
      </c>
      <c r="S32" s="56">
        <f t="shared" si="0"/>
        <v>0</v>
      </c>
      <c r="T32" s="50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spans="1:36" ht="15" customHeight="1" thickBot="1" x14ac:dyDescent="0.25">
      <c r="A33" s="57">
        <v>30</v>
      </c>
      <c r="B33" s="137">
        <f>Hakemler!B33</f>
        <v>0</v>
      </c>
      <c r="C33" s="138">
        <f>Hakemler!C33</f>
        <v>0</v>
      </c>
      <c r="D33" s="60"/>
      <c r="E33" s="64">
        <f>IF(ISBLANK(D33),0,ABS(Uzman_E!A$7-D33))</f>
        <v>0</v>
      </c>
      <c r="F33" s="55">
        <f>IF(ISBLANK(D33),0,INDEX(Tablo_E!$B$2:$CX$102,MATCH(ROUND(Uzman_E!A$7,1),Tablo_E!$A$2:$A$102,1),MATCH(ROUND(E33,1),Tablo_E!$B$1:$CX$1,1)))</f>
        <v>0</v>
      </c>
      <c r="G33" s="60"/>
      <c r="H33" s="64">
        <f>IF(ISBLANK(G33),0,ABS(Uzman_E!B$7-G33))</f>
        <v>0</v>
      </c>
      <c r="I33" s="55">
        <f>IF(ISBLANK(G33),0,INDEX(Tablo_E!$B$2:$CX$102,MATCH(ROUND(Uzman_E!B$7,1),Tablo_E!$A$2:$A$102,1),MATCH(ROUND(H33,1),Tablo_E!$B$1:$CX$1,1)))</f>
        <v>0</v>
      </c>
      <c r="J33" s="60"/>
      <c r="K33" s="64">
        <f>IF(ISBLANK(J33),0,ABS(Uzman_E!C$7-J33))</f>
        <v>0</v>
      </c>
      <c r="L33" s="55">
        <f>IF(ISBLANK(J33),0,INDEX(Tablo_E!$B$2:$CX$102,MATCH(ROUND(Uzman_E!C$7,1),Tablo_E!$A$2:$A$102,1),MATCH(ROUND(K33,1),Tablo_E!$B$1:$CX$1,1)))</f>
        <v>0</v>
      </c>
      <c r="M33" s="60"/>
      <c r="N33" s="64">
        <f>IF(ISBLANK(M33),0,ABS(Uzman_E!D$7-M33))</f>
        <v>0</v>
      </c>
      <c r="O33" s="55">
        <f>IF(ISBLANK(M33),0,INDEX(Tablo_E!$B$2:$CX$102,MATCH(ROUND(Uzman_E!D$7,1),Tablo_E!$A$2:$A$102,1),MATCH(ROUND(N33,1),Tablo_E!$B$1:$CX$1,1)))</f>
        <v>0</v>
      </c>
      <c r="P33" s="60"/>
      <c r="Q33" s="64">
        <f>IF(ISBLANK(P33),0,ABS(Uzman_E!E$7-P33))</f>
        <v>0</v>
      </c>
      <c r="R33" s="55">
        <f>IF(ISBLANK(P33),0,INDEX(Tablo_E!$B$2:$CX$102,MATCH(ROUND(Uzman_E!E$7,1),Tablo_E!$A$2:$A$102,1),MATCH(ROUND(Q33,1),Tablo_E!$B$1:$CX$1,1)))</f>
        <v>0</v>
      </c>
      <c r="S33" s="56">
        <f t="shared" si="0"/>
        <v>0</v>
      </c>
      <c r="T33" s="50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spans="1:36" ht="15" customHeight="1" thickBot="1" x14ac:dyDescent="0.25">
      <c r="A34" s="57">
        <v>31</v>
      </c>
      <c r="B34" s="137">
        <f>Hakemler!B34</f>
        <v>0</v>
      </c>
      <c r="C34" s="138">
        <f>Hakemler!C34</f>
        <v>0</v>
      </c>
      <c r="D34" s="60"/>
      <c r="E34" s="64">
        <f>IF(ISBLANK(D34),0,ABS(Uzman_E!A$7-D34))</f>
        <v>0</v>
      </c>
      <c r="F34" s="55">
        <f>IF(ISBLANK(D34),0,INDEX(Tablo_E!$B$2:$CX$102,MATCH(ROUND(Uzman_E!A$7,1),Tablo_E!$A$2:$A$102,1),MATCH(ROUND(E34,1),Tablo_E!$B$1:$CX$1,1)))</f>
        <v>0</v>
      </c>
      <c r="G34" s="60"/>
      <c r="H34" s="64">
        <f>IF(ISBLANK(G34),0,ABS(Uzman_E!B$7-G34))</f>
        <v>0</v>
      </c>
      <c r="I34" s="55">
        <f>IF(ISBLANK(G34),0,INDEX(Tablo_E!$B$2:$CX$102,MATCH(ROUND(Uzman_E!B$7,1),Tablo_E!$A$2:$A$102,1),MATCH(ROUND(H34,1),Tablo_E!$B$1:$CX$1,1)))</f>
        <v>0</v>
      </c>
      <c r="J34" s="60"/>
      <c r="K34" s="64">
        <f>IF(ISBLANK(J34),0,ABS(Uzman_E!C$7-J34))</f>
        <v>0</v>
      </c>
      <c r="L34" s="55">
        <f>IF(ISBLANK(J34),0,INDEX(Tablo_E!$B$2:$CX$102,MATCH(ROUND(Uzman_E!C$7,1),Tablo_E!$A$2:$A$102,1),MATCH(ROUND(K34,1),Tablo_E!$B$1:$CX$1,1)))</f>
        <v>0</v>
      </c>
      <c r="M34" s="60"/>
      <c r="N34" s="64">
        <f>IF(ISBLANK(M34),0,ABS(Uzman_E!D$7-M34))</f>
        <v>0</v>
      </c>
      <c r="O34" s="55">
        <f>IF(ISBLANK(M34),0,INDEX(Tablo_E!$B$2:$CX$102,MATCH(ROUND(Uzman_E!D$7,1),Tablo_E!$A$2:$A$102,1),MATCH(ROUND(N34,1),Tablo_E!$B$1:$CX$1,1)))</f>
        <v>0</v>
      </c>
      <c r="P34" s="60"/>
      <c r="Q34" s="64">
        <f>IF(ISBLANK(P34),0,ABS(Uzman_E!E$7-P34))</f>
        <v>0</v>
      </c>
      <c r="R34" s="55">
        <f>IF(ISBLANK(P34),0,INDEX(Tablo_E!$B$2:$CX$102,MATCH(ROUND(Uzman_E!E$7,1),Tablo_E!$A$2:$A$102,1),MATCH(ROUND(Q34,1),Tablo_E!$B$1:$CX$1,1)))</f>
        <v>0</v>
      </c>
      <c r="S34" s="56">
        <f t="shared" si="0"/>
        <v>0</v>
      </c>
      <c r="T34" s="50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spans="1:36" ht="15" customHeight="1" thickBot="1" x14ac:dyDescent="0.25">
      <c r="A35" s="57">
        <v>32</v>
      </c>
      <c r="B35" s="137">
        <f>Hakemler!B35</f>
        <v>0</v>
      </c>
      <c r="C35" s="138">
        <f>Hakemler!C35</f>
        <v>0</v>
      </c>
      <c r="D35" s="60"/>
      <c r="E35" s="64">
        <f>IF(ISBLANK(D35),0,ABS(Uzman_E!A$7-D35))</f>
        <v>0</v>
      </c>
      <c r="F35" s="55">
        <f>IF(ISBLANK(D35),0,INDEX(Tablo_E!$B$2:$CX$102,MATCH(ROUND(Uzman_E!A$7,1),Tablo_E!$A$2:$A$102,1),MATCH(ROUND(E35,1),Tablo_E!$B$1:$CX$1,1)))</f>
        <v>0</v>
      </c>
      <c r="G35" s="60"/>
      <c r="H35" s="64">
        <f>IF(ISBLANK(G35),0,ABS(Uzman_E!B$7-G35))</f>
        <v>0</v>
      </c>
      <c r="I35" s="55">
        <f>IF(ISBLANK(G35),0,INDEX(Tablo_E!$B$2:$CX$102,MATCH(ROUND(Uzman_E!B$7,1),Tablo_E!$A$2:$A$102,1),MATCH(ROUND(H35,1),Tablo_E!$B$1:$CX$1,1)))</f>
        <v>0</v>
      </c>
      <c r="J35" s="60"/>
      <c r="K35" s="64">
        <f>IF(ISBLANK(J35),0,ABS(Uzman_E!C$7-J35))</f>
        <v>0</v>
      </c>
      <c r="L35" s="55">
        <f>IF(ISBLANK(J35),0,INDEX(Tablo_E!$B$2:$CX$102,MATCH(ROUND(Uzman_E!C$7,1),Tablo_E!$A$2:$A$102,1),MATCH(ROUND(K35,1),Tablo_E!$B$1:$CX$1,1)))</f>
        <v>0</v>
      </c>
      <c r="M35" s="60"/>
      <c r="N35" s="64">
        <f>IF(ISBLANK(M35),0,ABS(Uzman_E!D$7-M35))</f>
        <v>0</v>
      </c>
      <c r="O35" s="55">
        <f>IF(ISBLANK(M35),0,INDEX(Tablo_E!$B$2:$CX$102,MATCH(ROUND(Uzman_E!D$7,1),Tablo_E!$A$2:$A$102,1),MATCH(ROUND(N35,1),Tablo_E!$B$1:$CX$1,1)))</f>
        <v>0</v>
      </c>
      <c r="P35" s="60"/>
      <c r="Q35" s="64">
        <f>IF(ISBLANK(P35),0,ABS(Uzman_E!E$7-P35))</f>
        <v>0</v>
      </c>
      <c r="R35" s="55">
        <f>IF(ISBLANK(P35),0,INDEX(Tablo_E!$B$2:$CX$102,MATCH(ROUND(Uzman_E!E$7,1),Tablo_E!$A$2:$A$102,1),MATCH(ROUND(Q35,1),Tablo_E!$B$1:$CX$1,1)))</f>
        <v>0</v>
      </c>
      <c r="S35" s="56">
        <f t="shared" si="0"/>
        <v>0</v>
      </c>
      <c r="T35" s="50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spans="1:36" ht="15" customHeight="1" thickBot="1" x14ac:dyDescent="0.25">
      <c r="A36" s="57">
        <v>33</v>
      </c>
      <c r="B36" s="137">
        <f>Hakemler!B36</f>
        <v>0</v>
      </c>
      <c r="C36" s="138">
        <f>Hakemler!C36</f>
        <v>0</v>
      </c>
      <c r="D36" s="60"/>
      <c r="E36" s="64">
        <f>IF(ISBLANK(D36),0,ABS(Uzman_E!A$7-D36))</f>
        <v>0</v>
      </c>
      <c r="F36" s="55">
        <f>IF(ISBLANK(D36),0,INDEX(Tablo_E!$B$2:$CX$102,MATCH(ROUND(Uzman_E!A$7,1),Tablo_E!$A$2:$A$102,1),MATCH(ROUND(E36,1),Tablo_E!$B$1:$CX$1,1)))</f>
        <v>0</v>
      </c>
      <c r="G36" s="60"/>
      <c r="H36" s="64">
        <f>IF(ISBLANK(G36),0,ABS(Uzman_E!B$7-G36))</f>
        <v>0</v>
      </c>
      <c r="I36" s="55">
        <f>IF(ISBLANK(G36),0,INDEX(Tablo_E!$B$2:$CX$102,MATCH(ROUND(Uzman_E!B$7,1),Tablo_E!$A$2:$A$102,1),MATCH(ROUND(H36,1),Tablo_E!$B$1:$CX$1,1)))</f>
        <v>0</v>
      </c>
      <c r="J36" s="60"/>
      <c r="K36" s="64">
        <f>IF(ISBLANK(J36),0,ABS(Uzman_E!C$7-J36))</f>
        <v>0</v>
      </c>
      <c r="L36" s="55">
        <f>IF(ISBLANK(J36),0,INDEX(Tablo_E!$B$2:$CX$102,MATCH(ROUND(Uzman_E!C$7,1),Tablo_E!$A$2:$A$102,1),MATCH(ROUND(K36,1),Tablo_E!$B$1:$CX$1,1)))</f>
        <v>0</v>
      </c>
      <c r="M36" s="60"/>
      <c r="N36" s="64">
        <f>IF(ISBLANK(M36),0,ABS(Uzman_E!D$7-M36))</f>
        <v>0</v>
      </c>
      <c r="O36" s="55">
        <f>IF(ISBLANK(M36),0,INDEX(Tablo_E!$B$2:$CX$102,MATCH(ROUND(Uzman_E!D$7,1),Tablo_E!$A$2:$A$102,1),MATCH(ROUND(N36,1),Tablo_E!$B$1:$CX$1,1)))</f>
        <v>0</v>
      </c>
      <c r="P36" s="60"/>
      <c r="Q36" s="64">
        <f>IF(ISBLANK(P36),0,ABS(Uzman_E!E$7-P36))</f>
        <v>0</v>
      </c>
      <c r="R36" s="55">
        <f>IF(ISBLANK(P36),0,INDEX(Tablo_E!$B$2:$CX$102,MATCH(ROUND(Uzman_E!E$7,1),Tablo_E!$A$2:$A$102,1),MATCH(ROUND(Q36,1),Tablo_E!$B$1:$CX$1,1)))</f>
        <v>0</v>
      </c>
      <c r="S36" s="56">
        <f t="shared" si="0"/>
        <v>0</v>
      </c>
      <c r="T36" s="50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spans="1:36" ht="15" customHeight="1" thickBot="1" x14ac:dyDescent="0.25">
      <c r="A37" s="57">
        <v>34</v>
      </c>
      <c r="B37" s="137">
        <f>Hakemler!B37</f>
        <v>0</v>
      </c>
      <c r="C37" s="138">
        <f>Hakemler!C37</f>
        <v>0</v>
      </c>
      <c r="D37" s="60"/>
      <c r="E37" s="64">
        <f>IF(ISBLANK(D37),0,ABS(Uzman_E!A$7-D37))</f>
        <v>0</v>
      </c>
      <c r="F37" s="55">
        <f>IF(ISBLANK(D37),0,INDEX(Tablo_E!$B$2:$CX$102,MATCH(ROUND(Uzman_E!A$7,1),Tablo_E!$A$2:$A$102,1),MATCH(ROUND(E37,1),Tablo_E!$B$1:$CX$1,1)))</f>
        <v>0</v>
      </c>
      <c r="G37" s="60"/>
      <c r="H37" s="64">
        <f>IF(ISBLANK(G37),0,ABS(Uzman_E!B$7-G37))</f>
        <v>0</v>
      </c>
      <c r="I37" s="55">
        <f>IF(ISBLANK(G37),0,INDEX(Tablo_E!$B$2:$CX$102,MATCH(ROUND(Uzman_E!B$7,1),Tablo_E!$A$2:$A$102,1),MATCH(ROUND(H37,1),Tablo_E!$B$1:$CX$1,1)))</f>
        <v>0</v>
      </c>
      <c r="J37" s="60"/>
      <c r="K37" s="64">
        <f>IF(ISBLANK(J37),0,ABS(Uzman_E!C$7-J37))</f>
        <v>0</v>
      </c>
      <c r="L37" s="55">
        <f>IF(ISBLANK(J37),0,INDEX(Tablo_E!$B$2:$CX$102,MATCH(ROUND(Uzman_E!C$7,1),Tablo_E!$A$2:$A$102,1),MATCH(ROUND(K37,1),Tablo_E!$B$1:$CX$1,1)))</f>
        <v>0</v>
      </c>
      <c r="M37" s="60"/>
      <c r="N37" s="64">
        <f>IF(ISBLANK(M37),0,ABS(Uzman_E!D$7-M37))</f>
        <v>0</v>
      </c>
      <c r="O37" s="55">
        <f>IF(ISBLANK(M37),0,INDEX(Tablo_E!$B$2:$CX$102,MATCH(ROUND(Uzman_E!D$7,1),Tablo_E!$A$2:$A$102,1),MATCH(ROUND(N37,1),Tablo_E!$B$1:$CX$1,1)))</f>
        <v>0</v>
      </c>
      <c r="P37" s="60"/>
      <c r="Q37" s="64">
        <f>IF(ISBLANK(P37),0,ABS(Uzman_E!E$7-P37))</f>
        <v>0</v>
      </c>
      <c r="R37" s="55">
        <f>IF(ISBLANK(P37),0,INDEX(Tablo_E!$B$2:$CX$102,MATCH(ROUND(Uzman_E!E$7,1),Tablo_E!$A$2:$A$102,1),MATCH(ROUND(Q37,1),Tablo_E!$B$1:$CX$1,1)))</f>
        <v>0</v>
      </c>
      <c r="S37" s="56">
        <f t="shared" si="0"/>
        <v>0</v>
      </c>
      <c r="T37" s="50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spans="1:36" ht="15" customHeight="1" thickBot="1" x14ac:dyDescent="0.25">
      <c r="A38" s="57">
        <v>35</v>
      </c>
      <c r="B38" s="137">
        <f>Hakemler!B38</f>
        <v>0</v>
      </c>
      <c r="C38" s="138">
        <f>Hakemler!C38</f>
        <v>0</v>
      </c>
      <c r="D38" s="60"/>
      <c r="E38" s="64">
        <f>IF(ISBLANK(D38),0,ABS(Uzman_E!A$7-D38))</f>
        <v>0</v>
      </c>
      <c r="F38" s="55">
        <f>IF(ISBLANK(D38),0,INDEX(Tablo_E!$B$2:$CX$102,MATCH(ROUND(Uzman_E!A$7,1),Tablo_E!$A$2:$A$102,1),MATCH(ROUND(E38,1),Tablo_E!$B$1:$CX$1,1)))</f>
        <v>0</v>
      </c>
      <c r="G38" s="60"/>
      <c r="H38" s="64">
        <f>IF(ISBLANK(G38),0,ABS(Uzman_E!B$7-G38))</f>
        <v>0</v>
      </c>
      <c r="I38" s="55">
        <f>IF(ISBLANK(G38),0,INDEX(Tablo_E!$B$2:$CX$102,MATCH(ROUND(Uzman_E!B$7,1),Tablo_E!$A$2:$A$102,1),MATCH(ROUND(H38,1),Tablo_E!$B$1:$CX$1,1)))</f>
        <v>0</v>
      </c>
      <c r="J38" s="60"/>
      <c r="K38" s="64">
        <f>IF(ISBLANK(J38),0,ABS(Uzman_E!C$7-J38))</f>
        <v>0</v>
      </c>
      <c r="L38" s="55">
        <f>IF(ISBLANK(J38),0,INDEX(Tablo_E!$B$2:$CX$102,MATCH(ROUND(Uzman_E!C$7,1),Tablo_E!$A$2:$A$102,1),MATCH(ROUND(K38,1),Tablo_E!$B$1:$CX$1,1)))</f>
        <v>0</v>
      </c>
      <c r="M38" s="60"/>
      <c r="N38" s="64">
        <f>IF(ISBLANK(M38),0,ABS(Uzman_E!D$7-M38))</f>
        <v>0</v>
      </c>
      <c r="O38" s="55">
        <f>IF(ISBLANK(M38),0,INDEX(Tablo_E!$B$2:$CX$102,MATCH(ROUND(Uzman_E!D$7,1),Tablo_E!$A$2:$A$102,1),MATCH(ROUND(N38,1),Tablo_E!$B$1:$CX$1,1)))</f>
        <v>0</v>
      </c>
      <c r="P38" s="60"/>
      <c r="Q38" s="64">
        <f>IF(ISBLANK(P38),0,ABS(Uzman_E!E$7-P38))</f>
        <v>0</v>
      </c>
      <c r="R38" s="55">
        <f>IF(ISBLANK(P38),0,INDEX(Tablo_E!$B$2:$CX$102,MATCH(ROUND(Uzman_E!E$7,1),Tablo_E!$A$2:$A$102,1),MATCH(ROUND(Q38,1),Tablo_E!$B$1:$CX$1,1)))</f>
        <v>0</v>
      </c>
      <c r="S38" s="56">
        <f t="shared" si="0"/>
        <v>0</v>
      </c>
      <c r="T38" s="50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spans="1:36" ht="15" customHeight="1" x14ac:dyDescent="0.2">
      <c r="A39" s="57">
        <v>36</v>
      </c>
      <c r="B39" s="137">
        <f>Hakemler!B39</f>
        <v>0</v>
      </c>
      <c r="C39" s="138">
        <f>Hakemler!C39</f>
        <v>0</v>
      </c>
      <c r="D39" s="60"/>
      <c r="E39" s="64">
        <f>IF(ISBLANK(D39),0,ABS(Uzman_E!A$7-D39))</f>
        <v>0</v>
      </c>
      <c r="F39" s="55">
        <f>IF(ISBLANK(D39),0,INDEX(Tablo_E!$B$2:$CX$102,MATCH(ROUND(Uzman_E!A$7,1),Tablo_E!$A$2:$A$102,1),MATCH(ROUND(E39,1),Tablo_E!$B$1:$CX$1,1)))</f>
        <v>0</v>
      </c>
      <c r="G39" s="60"/>
      <c r="H39" s="64">
        <f>IF(ISBLANK(G39),0,ABS(Uzman_E!B$7-G39))</f>
        <v>0</v>
      </c>
      <c r="I39" s="55">
        <f>IF(ISBLANK(G39),0,INDEX(Tablo_E!$B$2:$CX$102,MATCH(ROUND(Uzman_E!B$7,1),Tablo_E!$A$2:$A$102,1),MATCH(ROUND(H39,1),Tablo_E!$B$1:$CX$1,1)))</f>
        <v>0</v>
      </c>
      <c r="J39" s="60"/>
      <c r="K39" s="64">
        <f>IF(ISBLANK(J39),0,ABS(Uzman_E!C$7-J39))</f>
        <v>0</v>
      </c>
      <c r="L39" s="55">
        <f>IF(ISBLANK(J39),0,INDEX(Tablo_E!$B$2:$CX$102,MATCH(ROUND(Uzman_E!C$7,1),Tablo_E!$A$2:$A$102,1),MATCH(ROUND(K39,1),Tablo_E!$B$1:$CX$1,1)))</f>
        <v>0</v>
      </c>
      <c r="M39" s="60"/>
      <c r="N39" s="64">
        <f>IF(ISBLANK(M39),0,ABS(Uzman_E!D$7-M39))</f>
        <v>0</v>
      </c>
      <c r="O39" s="55">
        <f>IF(ISBLANK(M39),0,INDEX(Tablo_E!$B$2:$CX$102,MATCH(ROUND(Uzman_E!D$7,1),Tablo_E!$A$2:$A$102,1),MATCH(ROUND(N39,1),Tablo_E!$B$1:$CX$1,1)))</f>
        <v>0</v>
      </c>
      <c r="P39" s="60"/>
      <c r="Q39" s="64">
        <f>IF(ISBLANK(P39),0,ABS(Uzman_E!E$7-P39))</f>
        <v>0</v>
      </c>
      <c r="R39" s="55">
        <f>IF(ISBLANK(P39),0,INDEX(Tablo_E!$B$2:$CX$102,MATCH(ROUND(Uzman_E!E$7,1),Tablo_E!$A$2:$A$102,1),MATCH(ROUND(Q39,1),Tablo_E!$B$1:$CX$1,1)))</f>
        <v>0</v>
      </c>
      <c r="S39" s="56">
        <f t="shared" si="0"/>
        <v>0</v>
      </c>
      <c r="T39" s="50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spans="1:36" ht="15" customHeight="1" x14ac:dyDescent="0.2">
      <c r="A40" s="57">
        <v>37</v>
      </c>
      <c r="B40" s="139">
        <f>Hakemler!B40</f>
        <v>0</v>
      </c>
      <c r="C40" s="140">
        <f>Hakemler!C40</f>
        <v>0</v>
      </c>
      <c r="D40" s="60"/>
      <c r="E40" s="65">
        <f>IF(ISBLANK(D40),0,ABS(Uzman_E!A$7-D40))</f>
        <v>0</v>
      </c>
      <c r="F40" s="61">
        <f>IF(ISBLANK(D40),0,INDEX(Tablo_E!$B$2:$CX$102,MATCH(ROUND(Uzman_E!A$7,1),Tablo_E!$A$2:$A$102,1),MATCH(ROUND(E40,1),Tablo_E!$B$1:$CX$1,1)))</f>
        <v>0</v>
      </c>
      <c r="G40" s="60"/>
      <c r="H40" s="65">
        <f>IF(ISBLANK(G40),0,ABS(Uzman_E!B$7-G40))</f>
        <v>0</v>
      </c>
      <c r="I40" s="61">
        <f>IF(ISBLANK(G40),0,INDEX(Tablo_E!$B$2:$CX$102,MATCH(ROUND(Uzman_E!B$7,1),Tablo_E!$A$2:$A$102,1),MATCH(ROUND(H40,1),Tablo_E!$B$1:$CX$1,1)))</f>
        <v>0</v>
      </c>
      <c r="J40" s="60"/>
      <c r="K40" s="65">
        <f>IF(ISBLANK(J40),0,ABS(Uzman_E!C$7-J40))</f>
        <v>0</v>
      </c>
      <c r="L40" s="61">
        <f>IF(ISBLANK(J40),0,INDEX(Tablo_E!$B$2:$CX$102,MATCH(ROUND(Uzman_E!C$7,1),Tablo_E!$A$2:$A$102,1),MATCH(ROUND(K40,1),Tablo_E!$B$1:$CX$1,1)))</f>
        <v>0</v>
      </c>
      <c r="M40" s="60"/>
      <c r="N40" s="65">
        <f>IF(ISBLANK(M40),0,ABS(Uzman_E!D$7-M40))</f>
        <v>0</v>
      </c>
      <c r="O40" s="61">
        <f>IF(ISBLANK(M40),0,INDEX(Tablo_E!$B$2:$CX$102,MATCH(ROUND(Uzman_E!D$7,1),Tablo_E!$A$2:$A$102,1),MATCH(ROUND(N40,1),Tablo_E!$B$1:$CX$1,1)))</f>
        <v>0</v>
      </c>
      <c r="P40" s="60"/>
      <c r="Q40" s="65">
        <f>IF(ISBLANK(P40),0,ABS(Uzman_E!E$7-P40))</f>
        <v>0</v>
      </c>
      <c r="R40" s="61">
        <f>IF(ISBLANK(P40),0,INDEX(Tablo_E!$B$2:$CX$102,MATCH(ROUND(Uzman_E!E$7,1),Tablo_E!$A$2:$A$102,1),MATCH(ROUND(Q40,1),Tablo_E!$B$1:$CX$1,1)))</f>
        <v>0</v>
      </c>
      <c r="S40" s="62">
        <f t="shared" ref="S40:S71" si="1">(F40+I40+L40+O40+R40)/5</f>
        <v>0</v>
      </c>
      <c r="T40" s="50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spans="1:36" ht="15" customHeight="1" x14ac:dyDescent="0.2">
      <c r="A41" s="57">
        <v>38</v>
      </c>
      <c r="B41" s="139">
        <f>Hakemler!B41</f>
        <v>0</v>
      </c>
      <c r="C41" s="140">
        <f>Hakemler!C41</f>
        <v>0</v>
      </c>
      <c r="D41" s="60"/>
      <c r="E41" s="65">
        <f>IF(ISBLANK(D41),0,ABS(Uzman_E!A$7-D41))</f>
        <v>0</v>
      </c>
      <c r="F41" s="61">
        <f>IF(ISBLANK(D41),0,INDEX(Tablo_E!$B$2:$CX$102,MATCH(ROUND(Uzman_E!A$7,1),Tablo_E!$A$2:$A$102,1),MATCH(ROUND(E41,1),Tablo_E!$B$1:$CX$1,1)))</f>
        <v>0</v>
      </c>
      <c r="G41" s="60"/>
      <c r="H41" s="65">
        <f>IF(ISBLANK(G41),0,ABS(Uzman_E!B$7-G41))</f>
        <v>0</v>
      </c>
      <c r="I41" s="61">
        <f>IF(ISBLANK(G41),0,INDEX(Tablo_E!$B$2:$CX$102,MATCH(ROUND(Uzman_E!B$7,1),Tablo_E!$A$2:$A$102,1),MATCH(ROUND(H41,1),Tablo_E!$B$1:$CX$1,1)))</f>
        <v>0</v>
      </c>
      <c r="J41" s="60"/>
      <c r="K41" s="65">
        <f>IF(ISBLANK(J41),0,ABS(Uzman_E!C$7-J41))</f>
        <v>0</v>
      </c>
      <c r="L41" s="61">
        <f>IF(ISBLANK(J41),0,INDEX(Tablo_E!$B$2:$CX$102,MATCH(ROUND(Uzman_E!C$7,1),Tablo_E!$A$2:$A$102,1),MATCH(ROUND(K41,1),Tablo_E!$B$1:$CX$1,1)))</f>
        <v>0</v>
      </c>
      <c r="M41" s="60"/>
      <c r="N41" s="65">
        <f>IF(ISBLANK(M41),0,ABS(Uzman_E!D$7-M41))</f>
        <v>0</v>
      </c>
      <c r="O41" s="61">
        <f>IF(ISBLANK(M41),0,INDEX(Tablo_E!$B$2:$CX$102,MATCH(ROUND(Uzman_E!D$7,1),Tablo_E!$A$2:$A$102,1),MATCH(ROUND(N41,1),Tablo_E!$B$1:$CX$1,1)))</f>
        <v>0</v>
      </c>
      <c r="P41" s="60"/>
      <c r="Q41" s="65">
        <f>IF(ISBLANK(P41),0,ABS(Uzman_E!E$7-P41))</f>
        <v>0</v>
      </c>
      <c r="R41" s="61">
        <f>IF(ISBLANK(P41),0,INDEX(Tablo_E!$B$2:$CX$102,MATCH(ROUND(Uzman_E!E$7,1),Tablo_E!$A$2:$A$102,1),MATCH(ROUND(Q41,1),Tablo_E!$B$1:$CX$1,1)))</f>
        <v>0</v>
      </c>
      <c r="S41" s="62">
        <f t="shared" si="1"/>
        <v>0</v>
      </c>
      <c r="T41" s="50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spans="1:36" ht="15" customHeight="1" x14ac:dyDescent="0.2">
      <c r="A42" s="57">
        <v>39</v>
      </c>
      <c r="B42" s="139">
        <f>Hakemler!B42</f>
        <v>0</v>
      </c>
      <c r="C42" s="140">
        <f>Hakemler!C42</f>
        <v>0</v>
      </c>
      <c r="D42" s="60"/>
      <c r="E42" s="65">
        <f>IF(ISBLANK(D42),0,ABS(Uzman_E!A$7-D42))</f>
        <v>0</v>
      </c>
      <c r="F42" s="61">
        <f>IF(ISBLANK(D42),0,INDEX(Tablo_E!$B$2:$CX$102,MATCH(ROUND(Uzman_E!A$7,1),Tablo_E!$A$2:$A$102,1),MATCH(ROUND(E42,1),Tablo_E!$B$1:$CX$1,1)))</f>
        <v>0</v>
      </c>
      <c r="G42" s="60"/>
      <c r="H42" s="65">
        <f>IF(ISBLANK(G42),0,ABS(Uzman_E!B$7-G42))</f>
        <v>0</v>
      </c>
      <c r="I42" s="61">
        <f>IF(ISBLANK(G42),0,INDEX(Tablo_E!$B$2:$CX$102,MATCH(ROUND(Uzman_E!B$7,1),Tablo_E!$A$2:$A$102,1),MATCH(ROUND(H42,1),Tablo_E!$B$1:$CX$1,1)))</f>
        <v>0</v>
      </c>
      <c r="J42" s="60"/>
      <c r="K42" s="65">
        <f>IF(ISBLANK(J42),0,ABS(Uzman_E!C$7-J42))</f>
        <v>0</v>
      </c>
      <c r="L42" s="61">
        <f>IF(ISBLANK(J42),0,INDEX(Tablo_E!$B$2:$CX$102,MATCH(ROUND(Uzman_E!C$7,1),Tablo_E!$A$2:$A$102,1),MATCH(ROUND(K42,1),Tablo_E!$B$1:$CX$1,1)))</f>
        <v>0</v>
      </c>
      <c r="M42" s="60"/>
      <c r="N42" s="65">
        <f>IF(ISBLANK(M42),0,ABS(Uzman_E!D$7-M42))</f>
        <v>0</v>
      </c>
      <c r="O42" s="61">
        <f>IF(ISBLANK(M42),0,INDEX(Tablo_E!$B$2:$CX$102,MATCH(ROUND(Uzman_E!D$7,1),Tablo_E!$A$2:$A$102,1),MATCH(ROUND(N42,1),Tablo_E!$B$1:$CX$1,1)))</f>
        <v>0</v>
      </c>
      <c r="P42" s="60"/>
      <c r="Q42" s="65">
        <f>IF(ISBLANK(P42),0,ABS(Uzman_E!E$7-P42))</f>
        <v>0</v>
      </c>
      <c r="R42" s="61">
        <f>IF(ISBLANK(P42),0,INDEX(Tablo_E!$B$2:$CX$102,MATCH(ROUND(Uzman_E!E$7,1),Tablo_E!$A$2:$A$102,1),MATCH(ROUND(Q42,1),Tablo_E!$B$1:$CX$1,1)))</f>
        <v>0</v>
      </c>
      <c r="S42" s="62">
        <f t="shared" si="1"/>
        <v>0</v>
      </c>
      <c r="T42" s="50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spans="1:36" ht="15" customHeight="1" x14ac:dyDescent="0.2">
      <c r="A43" s="57">
        <v>40</v>
      </c>
      <c r="B43" s="137">
        <f>Hakemler!B43</f>
        <v>0</v>
      </c>
      <c r="C43" s="138">
        <f>Hakemler!C43</f>
        <v>0</v>
      </c>
      <c r="D43" s="60"/>
      <c r="E43" s="65">
        <f>IF(ISBLANK(D43),0,ABS(Uzman_E!A$7-D43))</f>
        <v>0</v>
      </c>
      <c r="F43" s="61">
        <f>IF(ISBLANK(D43),0,INDEX(Tablo_E!$B$2:$CX$102,MATCH(ROUND(Uzman_E!A$7,1),Tablo_E!$A$2:$A$102,1),MATCH(ROUND(E43,1),Tablo_E!$B$1:$CX$1,1)))</f>
        <v>0</v>
      </c>
      <c r="G43" s="60"/>
      <c r="H43" s="65">
        <f>IF(ISBLANK(G43),0,ABS(Uzman_E!B$7-G43))</f>
        <v>0</v>
      </c>
      <c r="I43" s="61">
        <f>IF(ISBLANK(G43),0,INDEX(Tablo_E!$B$2:$CX$102,MATCH(ROUND(Uzman_E!B$7,1),Tablo_E!$A$2:$A$102,1),MATCH(ROUND(H43,1),Tablo_E!$B$1:$CX$1,1)))</f>
        <v>0</v>
      </c>
      <c r="J43" s="60"/>
      <c r="K43" s="65">
        <f>IF(ISBLANK(J43),0,ABS(Uzman_E!C$7-J43))</f>
        <v>0</v>
      </c>
      <c r="L43" s="61">
        <f>IF(ISBLANK(J43),0,INDEX(Tablo_E!$B$2:$CX$102,MATCH(ROUND(Uzman_E!C$7,1),Tablo_E!$A$2:$A$102,1),MATCH(ROUND(K43,1),Tablo_E!$B$1:$CX$1,1)))</f>
        <v>0</v>
      </c>
      <c r="M43" s="60"/>
      <c r="N43" s="65">
        <f>IF(ISBLANK(M43),0,ABS(Uzman_E!D$7-M43))</f>
        <v>0</v>
      </c>
      <c r="O43" s="61">
        <f>IF(ISBLANK(M43),0,INDEX(Tablo_E!$B$2:$CX$102,MATCH(ROUND(Uzman_E!D$7,1),Tablo_E!$A$2:$A$102,1),MATCH(ROUND(N43,1),Tablo_E!$B$1:$CX$1,1)))</f>
        <v>0</v>
      </c>
      <c r="P43" s="60"/>
      <c r="Q43" s="65">
        <f>IF(ISBLANK(P43),0,ABS(Uzman_E!E$7-P43))</f>
        <v>0</v>
      </c>
      <c r="R43" s="61">
        <f>IF(ISBLANK(P43),0,INDEX(Tablo_E!$B$2:$CX$102,MATCH(ROUND(Uzman_E!E$7,1),Tablo_E!$A$2:$A$102,1),MATCH(ROUND(Q43,1),Tablo_E!$B$1:$CX$1,1)))</f>
        <v>0</v>
      </c>
      <c r="S43" s="62">
        <f t="shared" si="1"/>
        <v>0</v>
      </c>
      <c r="T43" s="50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spans="1:36" ht="15" customHeight="1" x14ac:dyDescent="0.2">
      <c r="A44" s="57">
        <v>41</v>
      </c>
      <c r="B44" s="139">
        <f>Hakemler!B44</f>
        <v>0</v>
      </c>
      <c r="C44" s="140">
        <f>Hakemler!C44</f>
        <v>0</v>
      </c>
      <c r="D44" s="60"/>
      <c r="E44" s="65">
        <f>IF(ISBLANK(D44),0,ABS(Uzman_E!A$7-D44))</f>
        <v>0</v>
      </c>
      <c r="F44" s="61">
        <f>IF(ISBLANK(D44),0,INDEX(Tablo_E!$B$2:$CX$102,MATCH(ROUND(Uzman_E!A$7,1),Tablo_E!$A$2:$A$102,1),MATCH(ROUND(E44,1),Tablo_E!$B$1:$CX$1,1)))</f>
        <v>0</v>
      </c>
      <c r="G44" s="60"/>
      <c r="H44" s="65">
        <f>IF(ISBLANK(G44),0,ABS(Uzman_E!B$7-G44))</f>
        <v>0</v>
      </c>
      <c r="I44" s="61">
        <f>IF(ISBLANK(G44),0,INDEX(Tablo_E!$B$2:$CX$102,MATCH(ROUND(Uzman_E!B$7,1),Tablo_E!$A$2:$A$102,1),MATCH(ROUND(H44,1),Tablo_E!$B$1:$CX$1,1)))</f>
        <v>0</v>
      </c>
      <c r="J44" s="60"/>
      <c r="K44" s="65">
        <f>IF(ISBLANK(J44),0,ABS(Uzman_E!C$7-J44))</f>
        <v>0</v>
      </c>
      <c r="L44" s="61">
        <f>IF(ISBLANK(J44),0,INDEX(Tablo_E!$B$2:$CX$102,MATCH(ROUND(Uzman_E!C$7,1),Tablo_E!$A$2:$A$102,1),MATCH(ROUND(K44,1),Tablo_E!$B$1:$CX$1,1)))</f>
        <v>0</v>
      </c>
      <c r="M44" s="60"/>
      <c r="N44" s="65">
        <f>IF(ISBLANK(M44),0,ABS(Uzman_E!D$7-M44))</f>
        <v>0</v>
      </c>
      <c r="O44" s="61">
        <f>IF(ISBLANK(M44),0,INDEX(Tablo_E!$B$2:$CX$102,MATCH(ROUND(Uzman_E!D$7,1),Tablo_E!$A$2:$A$102,1),MATCH(ROUND(N44,1),Tablo_E!$B$1:$CX$1,1)))</f>
        <v>0</v>
      </c>
      <c r="P44" s="60"/>
      <c r="Q44" s="65">
        <f>IF(ISBLANK(P44),0,ABS(Uzman_E!E$7-P44))</f>
        <v>0</v>
      </c>
      <c r="R44" s="61">
        <f>IF(ISBLANK(P44),0,INDEX(Tablo_E!$B$2:$CX$102,MATCH(ROUND(Uzman_E!E$7,1),Tablo_E!$A$2:$A$102,1),MATCH(ROUND(Q44,1),Tablo_E!$B$1:$CX$1,1)))</f>
        <v>0</v>
      </c>
      <c r="S44" s="62">
        <f t="shared" si="1"/>
        <v>0</v>
      </c>
      <c r="T44" s="50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spans="1:36" ht="15" customHeight="1" x14ac:dyDescent="0.2">
      <c r="A45" s="57">
        <v>42</v>
      </c>
      <c r="B45" s="137">
        <f>Hakemler!B45</f>
        <v>0</v>
      </c>
      <c r="C45" s="138">
        <f>Hakemler!C45</f>
        <v>0</v>
      </c>
      <c r="D45" s="60"/>
      <c r="E45" s="65">
        <f>IF(ISBLANK(D45),0,ABS(Uzman_E!A$7-D45))</f>
        <v>0</v>
      </c>
      <c r="F45" s="61">
        <f>IF(ISBLANK(D45),0,INDEX(Tablo_E!$B$2:$CX$102,MATCH(ROUND(Uzman_E!A$7,1),Tablo_E!$A$2:$A$102,1),MATCH(ROUND(E45,1),Tablo_E!$B$1:$CX$1,1)))</f>
        <v>0</v>
      </c>
      <c r="G45" s="60"/>
      <c r="H45" s="65">
        <f>IF(ISBLANK(G45),0,ABS(Uzman_E!B$7-G45))</f>
        <v>0</v>
      </c>
      <c r="I45" s="61">
        <f>IF(ISBLANK(G45),0,INDEX(Tablo_E!$B$2:$CX$102,MATCH(ROUND(Uzman_E!B$7,1),Tablo_E!$A$2:$A$102,1),MATCH(ROUND(H45,1),Tablo_E!$B$1:$CX$1,1)))</f>
        <v>0</v>
      </c>
      <c r="J45" s="60"/>
      <c r="K45" s="65">
        <f>IF(ISBLANK(J45),0,ABS(Uzman_E!C$7-J45))</f>
        <v>0</v>
      </c>
      <c r="L45" s="61">
        <f>IF(ISBLANK(J45),0,INDEX(Tablo_E!$B$2:$CX$102,MATCH(ROUND(Uzman_E!C$7,1),Tablo_E!$A$2:$A$102,1),MATCH(ROUND(K45,1),Tablo_E!$B$1:$CX$1,1)))</f>
        <v>0</v>
      </c>
      <c r="M45" s="60"/>
      <c r="N45" s="65">
        <f>IF(ISBLANK(M45),0,ABS(Uzman_E!D$7-M45))</f>
        <v>0</v>
      </c>
      <c r="O45" s="61">
        <f>IF(ISBLANK(M45),0,INDEX(Tablo_E!$B$2:$CX$102,MATCH(ROUND(Uzman_E!D$7,1),Tablo_E!$A$2:$A$102,1),MATCH(ROUND(N45,1),Tablo_E!$B$1:$CX$1,1)))</f>
        <v>0</v>
      </c>
      <c r="P45" s="60"/>
      <c r="Q45" s="65">
        <f>IF(ISBLANK(P45),0,ABS(Uzman_E!E$7-P45))</f>
        <v>0</v>
      </c>
      <c r="R45" s="61">
        <f>IF(ISBLANK(P45),0,INDEX(Tablo_E!$B$2:$CX$102,MATCH(ROUND(Uzman_E!E$7,1),Tablo_E!$A$2:$A$102,1),MATCH(ROUND(Q45,1),Tablo_E!$B$1:$CX$1,1)))</f>
        <v>0</v>
      </c>
      <c r="S45" s="62">
        <f t="shared" si="1"/>
        <v>0</v>
      </c>
      <c r="T45" s="50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spans="1:36" ht="15" customHeight="1" x14ac:dyDescent="0.2">
      <c r="A46" s="57">
        <v>43</v>
      </c>
      <c r="B46" s="139">
        <f>Hakemler!B46</f>
        <v>0</v>
      </c>
      <c r="C46" s="140">
        <f>Hakemler!C46</f>
        <v>0</v>
      </c>
      <c r="D46" s="60"/>
      <c r="E46" s="65">
        <f>IF(ISBLANK(D46),0,ABS(Uzman_E!A$7-D46))</f>
        <v>0</v>
      </c>
      <c r="F46" s="61">
        <f>IF(ISBLANK(D46),0,INDEX(Tablo_E!$B$2:$CX$102,MATCH(ROUND(Uzman_E!A$7,1),Tablo_E!$A$2:$A$102,1),MATCH(ROUND(E46,1),Tablo_E!$B$1:$CX$1,1)))</f>
        <v>0</v>
      </c>
      <c r="G46" s="60"/>
      <c r="H46" s="65">
        <f>IF(ISBLANK(G46),0,ABS(Uzman_E!B$7-G46))</f>
        <v>0</v>
      </c>
      <c r="I46" s="61">
        <f>IF(ISBLANK(G46),0,INDEX(Tablo_E!$B$2:$CX$102,MATCH(ROUND(Uzman_E!B$7,1),Tablo_E!$A$2:$A$102,1),MATCH(ROUND(H46,1),Tablo_E!$B$1:$CX$1,1)))</f>
        <v>0</v>
      </c>
      <c r="J46" s="60"/>
      <c r="K46" s="65">
        <f>IF(ISBLANK(J46),0,ABS(Uzman_E!C$7-J46))</f>
        <v>0</v>
      </c>
      <c r="L46" s="61">
        <f>IF(ISBLANK(J46),0,INDEX(Tablo_E!$B$2:$CX$102,MATCH(ROUND(Uzman_E!C$7,1),Tablo_E!$A$2:$A$102,1),MATCH(ROUND(K46,1),Tablo_E!$B$1:$CX$1,1)))</f>
        <v>0</v>
      </c>
      <c r="M46" s="60"/>
      <c r="N46" s="65">
        <f>IF(ISBLANK(M46),0,ABS(Uzman_E!D$7-M46))</f>
        <v>0</v>
      </c>
      <c r="O46" s="61">
        <f>IF(ISBLANK(M46),0,INDEX(Tablo_E!$B$2:$CX$102,MATCH(ROUND(Uzman_E!D$7,1),Tablo_E!$A$2:$A$102,1),MATCH(ROUND(N46,1),Tablo_E!$B$1:$CX$1,1)))</f>
        <v>0</v>
      </c>
      <c r="P46" s="60"/>
      <c r="Q46" s="65">
        <f>IF(ISBLANK(P46),0,ABS(Uzman_E!E$7-P46))</f>
        <v>0</v>
      </c>
      <c r="R46" s="61">
        <f>IF(ISBLANK(P46),0,INDEX(Tablo_E!$B$2:$CX$102,MATCH(ROUND(Uzman_E!E$7,1),Tablo_E!$A$2:$A$102,1),MATCH(ROUND(Q46,1),Tablo_E!$B$1:$CX$1,1)))</f>
        <v>0</v>
      </c>
      <c r="S46" s="62">
        <f t="shared" si="1"/>
        <v>0</v>
      </c>
      <c r="T46" s="50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spans="1:36" ht="15" customHeight="1" x14ac:dyDescent="0.2">
      <c r="A47" s="57">
        <v>44</v>
      </c>
      <c r="B47" s="139">
        <f>Hakemler!B47</f>
        <v>0</v>
      </c>
      <c r="C47" s="140">
        <f>Hakemler!C47</f>
        <v>0</v>
      </c>
      <c r="D47" s="60"/>
      <c r="E47" s="65">
        <f>IF(ISBLANK(D47),0,ABS(Uzman_E!A$7-D47))</f>
        <v>0</v>
      </c>
      <c r="F47" s="61">
        <f>IF(ISBLANK(D47),0,INDEX(Tablo_E!$B$2:$CX$102,MATCH(ROUND(Uzman_E!A$7,1),Tablo_E!$A$2:$A$102,1),MATCH(ROUND(E47,1),Tablo_E!$B$1:$CX$1,1)))</f>
        <v>0</v>
      </c>
      <c r="G47" s="60"/>
      <c r="H47" s="65">
        <f>IF(ISBLANK(G47),0,ABS(Uzman_E!B$7-G47))</f>
        <v>0</v>
      </c>
      <c r="I47" s="61">
        <f>IF(ISBLANK(G47),0,INDEX(Tablo_E!$B$2:$CX$102,MATCH(ROUND(Uzman_E!B$7,1),Tablo_E!$A$2:$A$102,1),MATCH(ROUND(H47,1),Tablo_E!$B$1:$CX$1,1)))</f>
        <v>0</v>
      </c>
      <c r="J47" s="60"/>
      <c r="K47" s="65">
        <f>IF(ISBLANK(J47),0,ABS(Uzman_E!C$7-J47))</f>
        <v>0</v>
      </c>
      <c r="L47" s="61">
        <f>IF(ISBLANK(J47),0,INDEX(Tablo_E!$B$2:$CX$102,MATCH(ROUND(Uzman_E!C$7,1),Tablo_E!$A$2:$A$102,1),MATCH(ROUND(K47,1),Tablo_E!$B$1:$CX$1,1)))</f>
        <v>0</v>
      </c>
      <c r="M47" s="60"/>
      <c r="N47" s="65">
        <f>IF(ISBLANK(M47),0,ABS(Uzman_E!D$7-M47))</f>
        <v>0</v>
      </c>
      <c r="O47" s="61">
        <f>IF(ISBLANK(M47),0,INDEX(Tablo_E!$B$2:$CX$102,MATCH(ROUND(Uzman_E!D$7,1),Tablo_E!$A$2:$A$102,1),MATCH(ROUND(N47,1),Tablo_E!$B$1:$CX$1,1)))</f>
        <v>0</v>
      </c>
      <c r="P47" s="60"/>
      <c r="Q47" s="65">
        <f>IF(ISBLANK(P47),0,ABS(Uzman_E!E$7-P47))</f>
        <v>0</v>
      </c>
      <c r="R47" s="61">
        <f>IF(ISBLANK(P47),0,INDEX(Tablo_E!$B$2:$CX$102,MATCH(ROUND(Uzman_E!E$7,1),Tablo_E!$A$2:$A$102,1),MATCH(ROUND(Q47,1),Tablo_E!$B$1:$CX$1,1)))</f>
        <v>0</v>
      </c>
      <c r="S47" s="62">
        <f t="shared" si="1"/>
        <v>0</v>
      </c>
      <c r="T47" s="50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spans="1:36" ht="15" customHeight="1" x14ac:dyDescent="0.2">
      <c r="A48" s="57">
        <v>45</v>
      </c>
      <c r="B48" s="137">
        <f>Hakemler!B48</f>
        <v>0</v>
      </c>
      <c r="C48" s="138">
        <f>Hakemler!C48</f>
        <v>0</v>
      </c>
      <c r="D48" s="60"/>
      <c r="E48" s="65">
        <f>IF(ISBLANK(D48),0,ABS(Uzman_E!A$7-D48))</f>
        <v>0</v>
      </c>
      <c r="F48" s="61">
        <f>IF(ISBLANK(D48),0,INDEX(Tablo_E!$B$2:$CX$102,MATCH(ROUND(Uzman_E!A$7,1),Tablo_E!$A$2:$A$102,1),MATCH(ROUND(E48,1),Tablo_E!$B$1:$CX$1,1)))</f>
        <v>0</v>
      </c>
      <c r="G48" s="60"/>
      <c r="H48" s="65">
        <f>IF(ISBLANK(G48),0,ABS(Uzman_E!B$7-G48))</f>
        <v>0</v>
      </c>
      <c r="I48" s="61">
        <f>IF(ISBLANK(G48),0,INDEX(Tablo_E!$B$2:$CX$102,MATCH(ROUND(Uzman_E!B$7,1),Tablo_E!$A$2:$A$102,1),MATCH(ROUND(H48,1),Tablo_E!$B$1:$CX$1,1)))</f>
        <v>0</v>
      </c>
      <c r="J48" s="60"/>
      <c r="K48" s="65">
        <f>IF(ISBLANK(J48),0,ABS(Uzman_E!C$7-J48))</f>
        <v>0</v>
      </c>
      <c r="L48" s="61">
        <f>IF(ISBLANK(J48),0,INDEX(Tablo_E!$B$2:$CX$102,MATCH(ROUND(Uzman_E!C$7,1),Tablo_E!$A$2:$A$102,1),MATCH(ROUND(K48,1),Tablo_E!$B$1:$CX$1,1)))</f>
        <v>0</v>
      </c>
      <c r="M48" s="60"/>
      <c r="N48" s="65">
        <f>IF(ISBLANK(M48),0,ABS(Uzman_E!D$7-M48))</f>
        <v>0</v>
      </c>
      <c r="O48" s="61">
        <f>IF(ISBLANK(M48),0,INDEX(Tablo_E!$B$2:$CX$102,MATCH(ROUND(Uzman_E!D$7,1),Tablo_E!$A$2:$A$102,1),MATCH(ROUND(N48,1),Tablo_E!$B$1:$CX$1,1)))</f>
        <v>0</v>
      </c>
      <c r="P48" s="60"/>
      <c r="Q48" s="65">
        <f>IF(ISBLANK(P48),0,ABS(Uzman_E!E$7-P48))</f>
        <v>0</v>
      </c>
      <c r="R48" s="61">
        <f>IF(ISBLANK(P48),0,INDEX(Tablo_E!$B$2:$CX$102,MATCH(ROUND(Uzman_E!E$7,1),Tablo_E!$A$2:$A$102,1),MATCH(ROUND(Q48,1),Tablo_E!$B$1:$CX$1,1)))</f>
        <v>0</v>
      </c>
      <c r="S48" s="62">
        <f t="shared" si="1"/>
        <v>0</v>
      </c>
      <c r="T48" s="50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spans="1:36" ht="15" customHeight="1" x14ac:dyDescent="0.2">
      <c r="A49" s="57">
        <v>46</v>
      </c>
      <c r="B49" s="139">
        <f>Hakemler!B49</f>
        <v>0</v>
      </c>
      <c r="C49" s="140">
        <f>Hakemler!C49</f>
        <v>0</v>
      </c>
      <c r="D49" s="60"/>
      <c r="E49" s="65">
        <f>IF(ISBLANK(D49),0,ABS(Uzman_E!A$7-D49))</f>
        <v>0</v>
      </c>
      <c r="F49" s="61">
        <f>IF(ISBLANK(D49),0,INDEX(Tablo_E!$B$2:$CX$102,MATCH(ROUND(Uzman_E!A$7,1),Tablo_E!$A$2:$A$102,1),MATCH(ROUND(E49,1),Tablo_E!$B$1:$CX$1,1)))</f>
        <v>0</v>
      </c>
      <c r="G49" s="60"/>
      <c r="H49" s="65">
        <f>IF(ISBLANK(G49),0,ABS(Uzman_E!B$7-G49))</f>
        <v>0</v>
      </c>
      <c r="I49" s="61">
        <f>IF(ISBLANK(G49),0,INDEX(Tablo_E!$B$2:$CX$102,MATCH(ROUND(Uzman_E!B$7,1),Tablo_E!$A$2:$A$102,1),MATCH(ROUND(H49,1),Tablo_E!$B$1:$CX$1,1)))</f>
        <v>0</v>
      </c>
      <c r="J49" s="60"/>
      <c r="K49" s="65">
        <f>IF(ISBLANK(J49),0,ABS(Uzman_E!C$7-J49))</f>
        <v>0</v>
      </c>
      <c r="L49" s="61">
        <f>IF(ISBLANK(J49),0,INDEX(Tablo_E!$B$2:$CX$102,MATCH(ROUND(Uzman_E!C$7,1),Tablo_E!$A$2:$A$102,1),MATCH(ROUND(K49,1),Tablo_E!$B$1:$CX$1,1)))</f>
        <v>0</v>
      </c>
      <c r="M49" s="60"/>
      <c r="N49" s="65">
        <f>IF(ISBLANK(M49),0,ABS(Uzman_E!D$7-M49))</f>
        <v>0</v>
      </c>
      <c r="O49" s="61">
        <f>IF(ISBLANK(M49),0,INDEX(Tablo_E!$B$2:$CX$102,MATCH(ROUND(Uzman_E!D$7,1),Tablo_E!$A$2:$A$102,1),MATCH(ROUND(N49,1),Tablo_E!$B$1:$CX$1,1)))</f>
        <v>0</v>
      </c>
      <c r="P49" s="60"/>
      <c r="Q49" s="65">
        <f>IF(ISBLANK(P49),0,ABS(Uzman_E!E$7-P49))</f>
        <v>0</v>
      </c>
      <c r="R49" s="61">
        <f>IF(ISBLANK(P49),0,INDEX(Tablo_E!$B$2:$CX$102,MATCH(ROUND(Uzman_E!E$7,1),Tablo_E!$A$2:$A$102,1),MATCH(ROUND(Q49,1),Tablo_E!$B$1:$CX$1,1)))</f>
        <v>0</v>
      </c>
      <c r="S49" s="62">
        <f t="shared" si="1"/>
        <v>0</v>
      </c>
      <c r="T49" s="50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spans="1:36" ht="15" customHeight="1" x14ac:dyDescent="0.2">
      <c r="A50" s="57">
        <v>47</v>
      </c>
      <c r="B50" s="137">
        <f>Hakemler!B50</f>
        <v>0</v>
      </c>
      <c r="C50" s="138">
        <f>Hakemler!C50</f>
        <v>0</v>
      </c>
      <c r="D50" s="60"/>
      <c r="E50" s="65">
        <f>IF(ISBLANK(D50),0,ABS(Uzman_E!A$7-D50))</f>
        <v>0</v>
      </c>
      <c r="F50" s="61">
        <f>IF(ISBLANK(D50),0,INDEX(Tablo_E!$B$2:$CX$102,MATCH(ROUND(Uzman_E!A$7,1),Tablo_E!$A$2:$A$102,1),MATCH(ROUND(E50,1),Tablo_E!$B$1:$CX$1,1)))</f>
        <v>0</v>
      </c>
      <c r="G50" s="60"/>
      <c r="H50" s="65">
        <f>IF(ISBLANK(G50),0,ABS(Uzman_E!B$7-G50))</f>
        <v>0</v>
      </c>
      <c r="I50" s="61">
        <f>IF(ISBLANK(G50),0,INDEX(Tablo_E!$B$2:$CX$102,MATCH(ROUND(Uzman_E!B$7,1),Tablo_E!$A$2:$A$102,1),MATCH(ROUND(H50,1),Tablo_E!$B$1:$CX$1,1)))</f>
        <v>0</v>
      </c>
      <c r="J50" s="60"/>
      <c r="K50" s="65">
        <f>IF(ISBLANK(J50),0,ABS(Uzman_E!C$7-J50))</f>
        <v>0</v>
      </c>
      <c r="L50" s="61">
        <f>IF(ISBLANK(J50),0,INDEX(Tablo_E!$B$2:$CX$102,MATCH(ROUND(Uzman_E!C$7,1),Tablo_E!$A$2:$A$102,1),MATCH(ROUND(K50,1),Tablo_E!$B$1:$CX$1,1)))</f>
        <v>0</v>
      </c>
      <c r="M50" s="60"/>
      <c r="N50" s="65">
        <f>IF(ISBLANK(M50),0,ABS(Uzman_E!D$7-M50))</f>
        <v>0</v>
      </c>
      <c r="O50" s="61">
        <f>IF(ISBLANK(M50),0,INDEX(Tablo_E!$B$2:$CX$102,MATCH(ROUND(Uzman_E!D$7,1),Tablo_E!$A$2:$A$102,1),MATCH(ROUND(N50,1),Tablo_E!$B$1:$CX$1,1)))</f>
        <v>0</v>
      </c>
      <c r="P50" s="60"/>
      <c r="Q50" s="65">
        <f>IF(ISBLANK(P50),0,ABS(Uzman_E!E$7-P50))</f>
        <v>0</v>
      </c>
      <c r="R50" s="61">
        <f>IF(ISBLANK(P50),0,INDEX(Tablo_E!$B$2:$CX$102,MATCH(ROUND(Uzman_E!E$7,1),Tablo_E!$A$2:$A$102,1),MATCH(ROUND(Q50,1),Tablo_E!$B$1:$CX$1,1)))</f>
        <v>0</v>
      </c>
      <c r="S50" s="62">
        <f t="shared" si="1"/>
        <v>0</v>
      </c>
      <c r="T50" s="50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spans="1:36" ht="15" customHeight="1" x14ac:dyDescent="0.2">
      <c r="A51" s="57">
        <v>48</v>
      </c>
      <c r="B51" s="139">
        <f>Hakemler!B51</f>
        <v>0</v>
      </c>
      <c r="C51" s="140">
        <f>Hakemler!C51</f>
        <v>0</v>
      </c>
      <c r="D51" s="60"/>
      <c r="E51" s="65">
        <f>IF(ISBLANK(D51),0,ABS(Uzman_E!A$7-D51))</f>
        <v>0</v>
      </c>
      <c r="F51" s="61">
        <f>IF(ISBLANK(D51),0,INDEX(Tablo_E!$B$2:$CX$102,MATCH(ROUND(Uzman_E!A$7,1),Tablo_E!$A$2:$A$102,1),MATCH(ROUND(E51,1),Tablo_E!$B$1:$CX$1,1)))</f>
        <v>0</v>
      </c>
      <c r="G51" s="60"/>
      <c r="H51" s="65">
        <f>IF(ISBLANK(G51),0,ABS(Uzman_E!B$7-G51))</f>
        <v>0</v>
      </c>
      <c r="I51" s="61">
        <f>IF(ISBLANK(G51),0,INDEX(Tablo_E!$B$2:$CX$102,MATCH(ROUND(Uzman_E!B$7,1),Tablo_E!$A$2:$A$102,1),MATCH(ROUND(H51,1),Tablo_E!$B$1:$CX$1,1)))</f>
        <v>0</v>
      </c>
      <c r="J51" s="60"/>
      <c r="K51" s="65">
        <f>IF(ISBLANK(J51),0,ABS(Uzman_E!C$7-J51))</f>
        <v>0</v>
      </c>
      <c r="L51" s="61">
        <f>IF(ISBLANK(J51),0,INDEX(Tablo_E!$B$2:$CX$102,MATCH(ROUND(Uzman_E!C$7,1),Tablo_E!$A$2:$A$102,1),MATCH(ROUND(K51,1),Tablo_E!$B$1:$CX$1,1)))</f>
        <v>0</v>
      </c>
      <c r="M51" s="60"/>
      <c r="N51" s="65">
        <f>IF(ISBLANK(M51),0,ABS(Uzman_E!D$7-M51))</f>
        <v>0</v>
      </c>
      <c r="O51" s="61">
        <f>IF(ISBLANK(M51),0,INDEX(Tablo_E!$B$2:$CX$102,MATCH(ROUND(Uzman_E!D$7,1),Tablo_E!$A$2:$A$102,1),MATCH(ROUND(N51,1),Tablo_E!$B$1:$CX$1,1)))</f>
        <v>0</v>
      </c>
      <c r="P51" s="60"/>
      <c r="Q51" s="65">
        <f>IF(ISBLANK(P51),0,ABS(Uzman_E!E$7-P51))</f>
        <v>0</v>
      </c>
      <c r="R51" s="61">
        <f>IF(ISBLANK(P51),0,INDEX(Tablo_E!$B$2:$CX$102,MATCH(ROUND(Uzman_E!E$7,1),Tablo_E!$A$2:$A$102,1),MATCH(ROUND(Q51,1),Tablo_E!$B$1:$CX$1,1)))</f>
        <v>0</v>
      </c>
      <c r="S51" s="62">
        <f t="shared" si="1"/>
        <v>0</v>
      </c>
      <c r="T51" s="50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spans="1:36" ht="15" customHeight="1" x14ac:dyDescent="0.2">
      <c r="A52" s="57">
        <v>49</v>
      </c>
      <c r="B52" s="137">
        <f>Hakemler!B52</f>
        <v>0</v>
      </c>
      <c r="C52" s="138">
        <f>Hakemler!C52</f>
        <v>0</v>
      </c>
      <c r="D52" s="60"/>
      <c r="E52" s="65">
        <f>IF(ISBLANK(D52),0,ABS(Uzman_E!A$7-D52))</f>
        <v>0</v>
      </c>
      <c r="F52" s="61">
        <f>IF(ISBLANK(D52),0,INDEX(Tablo_E!$B$2:$CX$102,MATCH(ROUND(Uzman_E!A$7,1),Tablo_E!$A$2:$A$102,1),MATCH(ROUND(E52,1),Tablo_E!$B$1:$CX$1,1)))</f>
        <v>0</v>
      </c>
      <c r="G52" s="60"/>
      <c r="H52" s="65">
        <f>IF(ISBLANK(G52),0,ABS(Uzman_E!B$7-G52))</f>
        <v>0</v>
      </c>
      <c r="I52" s="61">
        <f>IF(ISBLANK(G52),0,INDEX(Tablo_E!$B$2:$CX$102,MATCH(ROUND(Uzman_E!B$7,1),Tablo_E!$A$2:$A$102,1),MATCH(ROUND(H52,1),Tablo_E!$B$1:$CX$1,1)))</f>
        <v>0</v>
      </c>
      <c r="J52" s="60"/>
      <c r="K52" s="65">
        <f>IF(ISBLANK(J52),0,ABS(Uzman_E!C$7-J52))</f>
        <v>0</v>
      </c>
      <c r="L52" s="61">
        <f>IF(ISBLANK(J52),0,INDEX(Tablo_E!$B$2:$CX$102,MATCH(ROUND(Uzman_E!C$7,1),Tablo_E!$A$2:$A$102,1),MATCH(ROUND(K52,1),Tablo_E!$B$1:$CX$1,1)))</f>
        <v>0</v>
      </c>
      <c r="M52" s="60"/>
      <c r="N52" s="65">
        <f>IF(ISBLANK(M52),0,ABS(Uzman_E!D$7-M52))</f>
        <v>0</v>
      </c>
      <c r="O52" s="61">
        <f>IF(ISBLANK(M52),0,INDEX(Tablo_E!$B$2:$CX$102,MATCH(ROUND(Uzman_E!D$7,1),Tablo_E!$A$2:$A$102,1),MATCH(ROUND(N52,1),Tablo_E!$B$1:$CX$1,1)))</f>
        <v>0</v>
      </c>
      <c r="P52" s="60"/>
      <c r="Q52" s="65">
        <f>IF(ISBLANK(P52),0,ABS(Uzman_E!E$7-P52))</f>
        <v>0</v>
      </c>
      <c r="R52" s="61">
        <f>IF(ISBLANK(P52),0,INDEX(Tablo_E!$B$2:$CX$102,MATCH(ROUND(Uzman_E!E$7,1),Tablo_E!$A$2:$A$102,1),MATCH(ROUND(Q52,1),Tablo_E!$B$1:$CX$1,1)))</f>
        <v>0</v>
      </c>
      <c r="S52" s="62">
        <f t="shared" si="1"/>
        <v>0</v>
      </c>
      <c r="T52" s="50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spans="1:36" ht="15" customHeight="1" x14ac:dyDescent="0.2">
      <c r="A53" s="57">
        <v>50</v>
      </c>
      <c r="B53" s="137">
        <f>Hakemler!B53</f>
        <v>0</v>
      </c>
      <c r="C53" s="138">
        <f>Hakemler!C53</f>
        <v>0</v>
      </c>
      <c r="D53" s="60"/>
      <c r="E53" s="65">
        <f>IF(ISBLANK(D53),0,ABS(Uzman_E!A$7-D53))</f>
        <v>0</v>
      </c>
      <c r="F53" s="61">
        <f>IF(ISBLANK(D53),0,INDEX(Tablo_E!$B$2:$CX$102,MATCH(ROUND(Uzman_E!A$7,1),Tablo_E!$A$2:$A$102,1),MATCH(ROUND(E53,1),Tablo_E!$B$1:$CX$1,1)))</f>
        <v>0</v>
      </c>
      <c r="G53" s="60"/>
      <c r="H53" s="65">
        <f>IF(ISBLANK(G53),0,ABS(Uzman_E!B$7-G53))</f>
        <v>0</v>
      </c>
      <c r="I53" s="61">
        <f>IF(ISBLANK(G53),0,INDEX(Tablo_E!$B$2:$CX$102,MATCH(ROUND(Uzman_E!B$7,1),Tablo_E!$A$2:$A$102,1),MATCH(ROUND(H53,1),Tablo_E!$B$1:$CX$1,1)))</f>
        <v>0</v>
      </c>
      <c r="J53" s="60"/>
      <c r="K53" s="65">
        <f>IF(ISBLANK(J53),0,ABS(Uzman_E!C$7-J53))</f>
        <v>0</v>
      </c>
      <c r="L53" s="61">
        <f>IF(ISBLANK(J53),0,INDEX(Tablo_E!$B$2:$CX$102,MATCH(ROUND(Uzman_E!C$7,1),Tablo_E!$A$2:$A$102,1),MATCH(ROUND(K53,1),Tablo_E!$B$1:$CX$1,1)))</f>
        <v>0</v>
      </c>
      <c r="M53" s="60"/>
      <c r="N53" s="65">
        <f>IF(ISBLANK(M53),0,ABS(Uzman_E!D$7-M53))</f>
        <v>0</v>
      </c>
      <c r="O53" s="61">
        <f>IF(ISBLANK(M53),0,INDEX(Tablo_E!$B$2:$CX$102,MATCH(ROUND(Uzman_E!D$7,1),Tablo_E!$A$2:$A$102,1),MATCH(ROUND(N53,1),Tablo_E!$B$1:$CX$1,1)))</f>
        <v>0</v>
      </c>
      <c r="P53" s="60"/>
      <c r="Q53" s="65">
        <f>IF(ISBLANK(P53),0,ABS(Uzman_E!E$7-P53))</f>
        <v>0</v>
      </c>
      <c r="R53" s="61">
        <f>IF(ISBLANK(P53),0,INDEX(Tablo_E!$B$2:$CX$102,MATCH(ROUND(Uzman_E!E$7,1),Tablo_E!$A$2:$A$102,1),MATCH(ROUND(Q53,1),Tablo_E!$B$1:$CX$1,1)))</f>
        <v>0</v>
      </c>
      <c r="S53" s="62">
        <f t="shared" si="1"/>
        <v>0</v>
      </c>
      <c r="T53" s="50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spans="1:36" ht="15" customHeight="1" x14ac:dyDescent="0.2">
      <c r="A54" s="57">
        <v>51</v>
      </c>
      <c r="B54" s="139">
        <f>Hakemler!B54</f>
        <v>0</v>
      </c>
      <c r="C54" s="140">
        <f>Hakemler!C54</f>
        <v>0</v>
      </c>
      <c r="D54" s="60"/>
      <c r="E54" s="65">
        <f>IF(ISBLANK(D54),0,ABS(Uzman_E!A$7-D54))</f>
        <v>0</v>
      </c>
      <c r="F54" s="61">
        <f>IF(ISBLANK(D54),0,INDEX(Tablo_E!$B$2:$CX$102,MATCH(ROUND(Uzman_E!A$7,1),Tablo_E!$A$2:$A$102,1),MATCH(ROUND(E54,1),Tablo_E!$B$1:$CX$1,1)))</f>
        <v>0</v>
      </c>
      <c r="G54" s="60"/>
      <c r="H54" s="65">
        <f>IF(ISBLANK(G54),0,ABS(Uzman_E!B$7-G54))</f>
        <v>0</v>
      </c>
      <c r="I54" s="61">
        <f>IF(ISBLANK(G54),0,INDEX(Tablo_E!$B$2:$CX$102,MATCH(ROUND(Uzman_E!B$7,1),Tablo_E!$A$2:$A$102,1),MATCH(ROUND(H54,1),Tablo_E!$B$1:$CX$1,1)))</f>
        <v>0</v>
      </c>
      <c r="J54" s="60"/>
      <c r="K54" s="65">
        <f>IF(ISBLANK(J54),0,ABS(Uzman_E!C$7-J54))</f>
        <v>0</v>
      </c>
      <c r="L54" s="61">
        <f>IF(ISBLANK(J54),0,INDEX(Tablo_E!$B$2:$CX$102,MATCH(ROUND(Uzman_E!C$7,1),Tablo_E!$A$2:$A$102,1),MATCH(ROUND(K54,1),Tablo_E!$B$1:$CX$1,1)))</f>
        <v>0</v>
      </c>
      <c r="M54" s="60"/>
      <c r="N54" s="65">
        <f>IF(ISBLANK(M54),0,ABS(Uzman_E!D$7-M54))</f>
        <v>0</v>
      </c>
      <c r="O54" s="61">
        <f>IF(ISBLANK(M54),0,INDEX(Tablo_E!$B$2:$CX$102,MATCH(ROUND(Uzman_E!D$7,1),Tablo_E!$A$2:$A$102,1),MATCH(ROUND(N54,1),Tablo_E!$B$1:$CX$1,1)))</f>
        <v>0</v>
      </c>
      <c r="P54" s="60"/>
      <c r="Q54" s="65">
        <f>IF(ISBLANK(P54),0,ABS(Uzman_E!E$7-P54))</f>
        <v>0</v>
      </c>
      <c r="R54" s="61">
        <f>IF(ISBLANK(P54),0,INDEX(Tablo_E!$B$2:$CX$102,MATCH(ROUND(Uzman_E!E$7,1),Tablo_E!$A$2:$A$102,1),MATCH(ROUND(Q54,1),Tablo_E!$B$1:$CX$1,1)))</f>
        <v>0</v>
      </c>
      <c r="S54" s="62">
        <f t="shared" si="1"/>
        <v>0</v>
      </c>
      <c r="T54" s="50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spans="1:36" ht="15" customHeight="1" x14ac:dyDescent="0.2">
      <c r="A55" s="57">
        <v>52</v>
      </c>
      <c r="B55" s="139">
        <f>Hakemler!B55</f>
        <v>0</v>
      </c>
      <c r="C55" s="140">
        <f>Hakemler!C55</f>
        <v>0</v>
      </c>
      <c r="D55" s="60"/>
      <c r="E55" s="65">
        <f>IF(ISBLANK(D55),0,ABS(Uzman_E!A$7-D55))</f>
        <v>0</v>
      </c>
      <c r="F55" s="61">
        <f>IF(ISBLANK(D55),0,INDEX(Tablo_E!$B$2:$CX$102,MATCH(ROUND(Uzman_E!A$7,1),Tablo_E!$A$2:$A$102,1),MATCH(ROUND(E55,1),Tablo_E!$B$1:$CX$1,1)))</f>
        <v>0</v>
      </c>
      <c r="G55" s="60"/>
      <c r="H55" s="65">
        <f>IF(ISBLANK(G55),0,ABS(Uzman_E!B$7-G55))</f>
        <v>0</v>
      </c>
      <c r="I55" s="61">
        <f>IF(ISBLANK(G55),0,INDEX(Tablo_E!$B$2:$CX$102,MATCH(ROUND(Uzman_E!B$7,1),Tablo_E!$A$2:$A$102,1),MATCH(ROUND(H55,1),Tablo_E!$B$1:$CX$1,1)))</f>
        <v>0</v>
      </c>
      <c r="J55" s="60"/>
      <c r="K55" s="65">
        <f>IF(ISBLANK(J55),0,ABS(Uzman_E!C$7-J55))</f>
        <v>0</v>
      </c>
      <c r="L55" s="61">
        <f>IF(ISBLANK(J55),0,INDEX(Tablo_E!$B$2:$CX$102,MATCH(ROUND(Uzman_E!C$7,1),Tablo_E!$A$2:$A$102,1),MATCH(ROUND(K55,1),Tablo_E!$B$1:$CX$1,1)))</f>
        <v>0</v>
      </c>
      <c r="M55" s="60"/>
      <c r="N55" s="65">
        <f>IF(ISBLANK(M55),0,ABS(Uzman_E!D$7-M55))</f>
        <v>0</v>
      </c>
      <c r="O55" s="61">
        <f>IF(ISBLANK(M55),0,INDEX(Tablo_E!$B$2:$CX$102,MATCH(ROUND(Uzman_E!D$7,1),Tablo_E!$A$2:$A$102,1),MATCH(ROUND(N55,1),Tablo_E!$B$1:$CX$1,1)))</f>
        <v>0</v>
      </c>
      <c r="P55" s="60"/>
      <c r="Q55" s="65">
        <f>IF(ISBLANK(P55),0,ABS(Uzman_E!E$7-P55))</f>
        <v>0</v>
      </c>
      <c r="R55" s="61">
        <f>IF(ISBLANK(P55),0,INDEX(Tablo_E!$B$2:$CX$102,MATCH(ROUND(Uzman_E!E$7,1),Tablo_E!$A$2:$A$102,1),MATCH(ROUND(Q55,1),Tablo_E!$B$1:$CX$1,1)))</f>
        <v>0</v>
      </c>
      <c r="S55" s="62">
        <f t="shared" si="1"/>
        <v>0</v>
      </c>
      <c r="T55" s="50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spans="1:36" ht="15" customHeight="1" x14ac:dyDescent="0.2">
      <c r="A56" s="57">
        <v>53</v>
      </c>
      <c r="B56" s="139">
        <f>Hakemler!B56</f>
        <v>0</v>
      </c>
      <c r="C56" s="138">
        <f>Hakemler!C56</f>
        <v>0</v>
      </c>
      <c r="D56" s="60"/>
      <c r="E56" s="65">
        <f>IF(ISBLANK(D56),0,ABS(Uzman_E!A$7-D56))</f>
        <v>0</v>
      </c>
      <c r="F56" s="61">
        <f>IF(ISBLANK(D56),0,INDEX(Tablo_E!$B$2:$CX$102,MATCH(ROUND(Uzman_E!A$7,1),Tablo_E!$A$2:$A$102,1),MATCH(ROUND(E56,1),Tablo_E!$B$1:$CX$1,1)))</f>
        <v>0</v>
      </c>
      <c r="G56" s="60"/>
      <c r="H56" s="65">
        <f>IF(ISBLANK(G56),0,ABS(Uzman_E!B$7-G56))</f>
        <v>0</v>
      </c>
      <c r="I56" s="61">
        <f>IF(ISBLANK(G56),0,INDEX(Tablo_E!$B$2:$CX$102,MATCH(ROUND(Uzman_E!B$7,1),Tablo_E!$A$2:$A$102,1),MATCH(ROUND(H56,1),Tablo_E!$B$1:$CX$1,1)))</f>
        <v>0</v>
      </c>
      <c r="J56" s="60"/>
      <c r="K56" s="65">
        <f>IF(ISBLANK(J56),0,ABS(Uzman_E!C$7-J56))</f>
        <v>0</v>
      </c>
      <c r="L56" s="61">
        <f>IF(ISBLANK(J56),0,INDEX(Tablo_E!$B$2:$CX$102,MATCH(ROUND(Uzman_E!C$7,1),Tablo_E!$A$2:$A$102,1),MATCH(ROUND(K56,1),Tablo_E!$B$1:$CX$1,1)))</f>
        <v>0</v>
      </c>
      <c r="M56" s="60"/>
      <c r="N56" s="65">
        <f>IF(ISBLANK(M56),0,ABS(Uzman_E!D$7-M56))</f>
        <v>0</v>
      </c>
      <c r="O56" s="61">
        <f>IF(ISBLANK(M56),0,INDEX(Tablo_E!$B$2:$CX$102,MATCH(ROUND(Uzman_E!D$7,1),Tablo_E!$A$2:$A$102,1),MATCH(ROUND(N56,1),Tablo_E!$B$1:$CX$1,1)))</f>
        <v>0</v>
      </c>
      <c r="P56" s="60"/>
      <c r="Q56" s="65">
        <f>IF(ISBLANK(P56),0,ABS(Uzman_E!E$7-P56))</f>
        <v>0</v>
      </c>
      <c r="R56" s="61">
        <f>IF(ISBLANK(P56),0,INDEX(Tablo_E!$B$2:$CX$102,MATCH(ROUND(Uzman_E!E$7,1),Tablo_E!$A$2:$A$102,1),MATCH(ROUND(Q56,1),Tablo_E!$B$1:$CX$1,1)))</f>
        <v>0</v>
      </c>
      <c r="S56" s="62">
        <f t="shared" si="1"/>
        <v>0</v>
      </c>
      <c r="T56" s="50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spans="1:36" ht="15" customHeight="1" x14ac:dyDescent="0.2">
      <c r="A57" s="57">
        <v>54</v>
      </c>
      <c r="B57" s="137">
        <f>Hakemler!B57</f>
        <v>0</v>
      </c>
      <c r="C57" s="138">
        <f>Hakemler!C57</f>
        <v>0</v>
      </c>
      <c r="D57" s="60"/>
      <c r="E57" s="65">
        <f>IF(ISBLANK(D57),0,ABS(Uzman_E!A$7-D57))</f>
        <v>0</v>
      </c>
      <c r="F57" s="61">
        <f>IF(ISBLANK(D57),0,INDEX(Tablo_E!$B$2:$CX$102,MATCH(ROUND(Uzman_E!A$7,1),Tablo_E!$A$2:$A$102,1),MATCH(ROUND(E57,1),Tablo_E!$B$1:$CX$1,1)))</f>
        <v>0</v>
      </c>
      <c r="G57" s="60"/>
      <c r="H57" s="65">
        <f>IF(ISBLANK(G57),0,ABS(Uzman_E!B$7-G57))</f>
        <v>0</v>
      </c>
      <c r="I57" s="61">
        <f>IF(ISBLANK(G57),0,INDEX(Tablo_E!$B$2:$CX$102,MATCH(ROUND(Uzman_E!B$7,1),Tablo_E!$A$2:$A$102,1),MATCH(ROUND(H57,1),Tablo_E!$B$1:$CX$1,1)))</f>
        <v>0</v>
      </c>
      <c r="J57" s="60"/>
      <c r="K57" s="65">
        <f>IF(ISBLANK(J57),0,ABS(Uzman_E!C$7-J57))</f>
        <v>0</v>
      </c>
      <c r="L57" s="61">
        <f>IF(ISBLANK(J57),0,INDEX(Tablo_E!$B$2:$CX$102,MATCH(ROUND(Uzman_E!C$7,1),Tablo_E!$A$2:$A$102,1),MATCH(ROUND(K57,1),Tablo_E!$B$1:$CX$1,1)))</f>
        <v>0</v>
      </c>
      <c r="M57" s="60"/>
      <c r="N57" s="65">
        <f>IF(ISBLANK(M57),0,ABS(Uzman_E!D$7-M57))</f>
        <v>0</v>
      </c>
      <c r="O57" s="61">
        <f>IF(ISBLANK(M57),0,INDEX(Tablo_E!$B$2:$CX$102,MATCH(ROUND(Uzman_E!D$7,1),Tablo_E!$A$2:$A$102,1),MATCH(ROUND(N57,1),Tablo_E!$B$1:$CX$1,1)))</f>
        <v>0</v>
      </c>
      <c r="P57" s="60"/>
      <c r="Q57" s="65">
        <f>IF(ISBLANK(P57),0,ABS(Uzman_E!E$7-P57))</f>
        <v>0</v>
      </c>
      <c r="R57" s="61">
        <f>IF(ISBLANK(P57),0,INDEX(Tablo_E!$B$2:$CX$102,MATCH(ROUND(Uzman_E!E$7,1),Tablo_E!$A$2:$A$102,1),MATCH(ROUND(Q57,1),Tablo_E!$B$1:$CX$1,1)))</f>
        <v>0</v>
      </c>
      <c r="S57" s="62">
        <f t="shared" si="1"/>
        <v>0</v>
      </c>
      <c r="T57" s="50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spans="1:36" ht="15" customHeight="1" x14ac:dyDescent="0.2">
      <c r="A58" s="57">
        <v>55</v>
      </c>
      <c r="B58" s="139">
        <f>Hakemler!B58</f>
        <v>0</v>
      </c>
      <c r="C58" s="140">
        <f>Hakemler!C58</f>
        <v>0</v>
      </c>
      <c r="D58" s="60"/>
      <c r="E58" s="65">
        <f>IF(ISBLANK(D58),0,ABS(Uzman_E!A$7-D58))</f>
        <v>0</v>
      </c>
      <c r="F58" s="61">
        <f>IF(ISBLANK(D58),0,INDEX(Tablo_E!$B$2:$CX$102,MATCH(ROUND(Uzman_E!A$7,1),Tablo_E!$A$2:$A$102,1),MATCH(ROUND(E58,1),Tablo_E!$B$1:$CX$1,1)))</f>
        <v>0</v>
      </c>
      <c r="G58" s="60"/>
      <c r="H58" s="65">
        <f>IF(ISBLANK(G58),0,ABS(Uzman_E!B$7-G58))</f>
        <v>0</v>
      </c>
      <c r="I58" s="61">
        <f>IF(ISBLANK(G58),0,INDEX(Tablo_E!$B$2:$CX$102,MATCH(ROUND(Uzman_E!B$7,1),Tablo_E!$A$2:$A$102,1),MATCH(ROUND(H58,1),Tablo_E!$B$1:$CX$1,1)))</f>
        <v>0</v>
      </c>
      <c r="J58" s="60"/>
      <c r="K58" s="65">
        <f>IF(ISBLANK(J58),0,ABS(Uzman_E!C$7-J58))</f>
        <v>0</v>
      </c>
      <c r="L58" s="61">
        <f>IF(ISBLANK(J58),0,INDEX(Tablo_E!$B$2:$CX$102,MATCH(ROUND(Uzman_E!C$7,1),Tablo_E!$A$2:$A$102,1),MATCH(ROUND(K58,1),Tablo_E!$B$1:$CX$1,1)))</f>
        <v>0</v>
      </c>
      <c r="M58" s="60"/>
      <c r="N58" s="65">
        <f>IF(ISBLANK(M58),0,ABS(Uzman_E!D$7-M58))</f>
        <v>0</v>
      </c>
      <c r="O58" s="61">
        <f>IF(ISBLANK(M58),0,INDEX(Tablo_E!$B$2:$CX$102,MATCH(ROUND(Uzman_E!D$7,1),Tablo_E!$A$2:$A$102,1),MATCH(ROUND(N58,1),Tablo_E!$B$1:$CX$1,1)))</f>
        <v>0</v>
      </c>
      <c r="P58" s="60"/>
      <c r="Q58" s="65">
        <f>IF(ISBLANK(P58),0,ABS(Uzman_E!E$7-P58))</f>
        <v>0</v>
      </c>
      <c r="R58" s="61">
        <f>IF(ISBLANK(P58),0,INDEX(Tablo_E!$B$2:$CX$102,MATCH(ROUND(Uzman_E!E$7,1),Tablo_E!$A$2:$A$102,1),MATCH(ROUND(Q58,1),Tablo_E!$B$1:$CX$1,1)))</f>
        <v>0</v>
      </c>
      <c r="S58" s="62">
        <f t="shared" si="1"/>
        <v>0</v>
      </c>
      <c r="T58" s="50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spans="1:36" ht="15" customHeight="1" x14ac:dyDescent="0.2">
      <c r="A59" s="57">
        <v>56</v>
      </c>
      <c r="B59" s="137">
        <f>Hakemler!B59</f>
        <v>0</v>
      </c>
      <c r="C59" s="138">
        <f>Hakemler!C59</f>
        <v>0</v>
      </c>
      <c r="D59" s="60"/>
      <c r="E59" s="65">
        <f>IF(ISBLANK(D59),0,ABS(Uzman_E!A$7-D59))</f>
        <v>0</v>
      </c>
      <c r="F59" s="61">
        <f>IF(ISBLANK(D59),0,INDEX(Tablo_E!$B$2:$CX$102,MATCH(ROUND(Uzman_E!A$7,1),Tablo_E!$A$2:$A$102,1),MATCH(ROUND(E59,1),Tablo_E!$B$1:$CX$1,1)))</f>
        <v>0</v>
      </c>
      <c r="G59" s="60"/>
      <c r="H59" s="65">
        <f>IF(ISBLANK(G59),0,ABS(Uzman_E!B$7-G59))</f>
        <v>0</v>
      </c>
      <c r="I59" s="61">
        <f>IF(ISBLANK(G59),0,INDEX(Tablo_E!$B$2:$CX$102,MATCH(ROUND(Uzman_E!B$7,1),Tablo_E!$A$2:$A$102,1),MATCH(ROUND(H59,1),Tablo_E!$B$1:$CX$1,1)))</f>
        <v>0</v>
      </c>
      <c r="J59" s="60"/>
      <c r="K59" s="65">
        <f>IF(ISBLANK(J59),0,ABS(Uzman_E!C$7-J59))</f>
        <v>0</v>
      </c>
      <c r="L59" s="61">
        <f>IF(ISBLANK(J59),0,INDEX(Tablo_E!$B$2:$CX$102,MATCH(ROUND(Uzman_E!C$7,1),Tablo_E!$A$2:$A$102,1),MATCH(ROUND(K59,1),Tablo_E!$B$1:$CX$1,1)))</f>
        <v>0</v>
      </c>
      <c r="M59" s="60"/>
      <c r="N59" s="65">
        <f>IF(ISBLANK(M59),0,ABS(Uzman_E!D$7-M59))</f>
        <v>0</v>
      </c>
      <c r="O59" s="61">
        <f>IF(ISBLANK(M59),0,INDEX(Tablo_E!$B$2:$CX$102,MATCH(ROUND(Uzman_E!D$7,1),Tablo_E!$A$2:$A$102,1),MATCH(ROUND(N59,1),Tablo_E!$B$1:$CX$1,1)))</f>
        <v>0</v>
      </c>
      <c r="P59" s="60"/>
      <c r="Q59" s="65">
        <f>IF(ISBLANK(P59),0,ABS(Uzman_E!E$7-P59))</f>
        <v>0</v>
      </c>
      <c r="R59" s="61">
        <f>IF(ISBLANK(P59),0,INDEX(Tablo_E!$B$2:$CX$102,MATCH(ROUND(Uzman_E!E$7,1),Tablo_E!$A$2:$A$102,1),MATCH(ROUND(Q59,1),Tablo_E!$B$1:$CX$1,1)))</f>
        <v>0</v>
      </c>
      <c r="S59" s="62">
        <f t="shared" si="1"/>
        <v>0</v>
      </c>
      <c r="T59" s="50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spans="1:36" ht="15" customHeight="1" x14ac:dyDescent="0.2">
      <c r="A60" s="57">
        <v>57</v>
      </c>
      <c r="B60" s="139">
        <f>Hakemler!B60</f>
        <v>0</v>
      </c>
      <c r="C60" s="140">
        <f>Hakemler!C60</f>
        <v>0</v>
      </c>
      <c r="D60" s="60"/>
      <c r="E60" s="65">
        <f>IF(ISBLANK(D60),0,ABS(Uzman_E!A$7-D60))</f>
        <v>0</v>
      </c>
      <c r="F60" s="61">
        <f>IF(ISBLANK(D60),0,INDEX(Tablo_E!$B$2:$CX$102,MATCH(ROUND(Uzman_E!A$7,1),Tablo_E!$A$2:$A$102,1),MATCH(ROUND(E60,1),Tablo_E!$B$1:$CX$1,1)))</f>
        <v>0</v>
      </c>
      <c r="G60" s="60"/>
      <c r="H60" s="65">
        <f>IF(ISBLANK(G60),0,ABS(Uzman_E!B$7-G60))</f>
        <v>0</v>
      </c>
      <c r="I60" s="61">
        <f>IF(ISBLANK(G60),0,INDEX(Tablo_E!$B$2:$CX$102,MATCH(ROUND(Uzman_E!B$7,1),Tablo_E!$A$2:$A$102,1),MATCH(ROUND(H60,1),Tablo_E!$B$1:$CX$1,1)))</f>
        <v>0</v>
      </c>
      <c r="J60" s="60"/>
      <c r="K60" s="65">
        <f>IF(ISBLANK(J60),0,ABS(Uzman_E!C$7-J60))</f>
        <v>0</v>
      </c>
      <c r="L60" s="61">
        <f>IF(ISBLANK(J60),0,INDEX(Tablo_E!$B$2:$CX$102,MATCH(ROUND(Uzman_E!C$7,1),Tablo_E!$A$2:$A$102,1),MATCH(ROUND(K60,1),Tablo_E!$B$1:$CX$1,1)))</f>
        <v>0</v>
      </c>
      <c r="M60" s="60"/>
      <c r="N60" s="65">
        <f>IF(ISBLANK(M60),0,ABS(Uzman_E!D$7-M60))</f>
        <v>0</v>
      </c>
      <c r="O60" s="61">
        <f>IF(ISBLANK(M60),0,INDEX(Tablo_E!$B$2:$CX$102,MATCH(ROUND(Uzman_E!D$7,1),Tablo_E!$A$2:$A$102,1),MATCH(ROUND(N60,1),Tablo_E!$B$1:$CX$1,1)))</f>
        <v>0</v>
      </c>
      <c r="P60" s="60"/>
      <c r="Q60" s="65">
        <f>IF(ISBLANK(P60),0,ABS(Uzman_E!E$7-P60))</f>
        <v>0</v>
      </c>
      <c r="R60" s="61">
        <f>IF(ISBLANK(P60),0,INDEX(Tablo_E!$B$2:$CX$102,MATCH(ROUND(Uzman_E!E$7,1),Tablo_E!$A$2:$A$102,1),MATCH(ROUND(Q60,1),Tablo_E!$B$1:$CX$1,1)))</f>
        <v>0</v>
      </c>
      <c r="S60" s="62">
        <f t="shared" si="1"/>
        <v>0</v>
      </c>
      <c r="T60" s="50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spans="1:36" ht="15" customHeight="1" x14ac:dyDescent="0.2">
      <c r="A61" s="57">
        <v>58</v>
      </c>
      <c r="B61" s="137">
        <f>Hakemler!B61</f>
        <v>0</v>
      </c>
      <c r="C61" s="138">
        <f>Hakemler!C61</f>
        <v>0</v>
      </c>
      <c r="D61" s="60"/>
      <c r="E61" s="65">
        <f>IF(ISBLANK(D61),0,ABS(Uzman_E!A$7-D61))</f>
        <v>0</v>
      </c>
      <c r="F61" s="61">
        <f>IF(ISBLANK(D61),0,INDEX(Tablo_E!$B$2:$CX$102,MATCH(ROUND(Uzman_E!A$7,1),Tablo_E!$A$2:$A$102,1),MATCH(ROUND(E61,1),Tablo_E!$B$1:$CX$1,1)))</f>
        <v>0</v>
      </c>
      <c r="G61" s="60"/>
      <c r="H61" s="65">
        <f>IF(ISBLANK(G61),0,ABS(Uzman_E!B$7-G61))</f>
        <v>0</v>
      </c>
      <c r="I61" s="61">
        <f>IF(ISBLANK(G61),0,INDEX(Tablo_E!$B$2:$CX$102,MATCH(ROUND(Uzman_E!B$7,1),Tablo_E!$A$2:$A$102,1),MATCH(ROUND(H61,1),Tablo_E!$B$1:$CX$1,1)))</f>
        <v>0</v>
      </c>
      <c r="J61" s="60"/>
      <c r="K61" s="65">
        <f>IF(ISBLANK(J61),0,ABS(Uzman_E!C$7-J61))</f>
        <v>0</v>
      </c>
      <c r="L61" s="61">
        <f>IF(ISBLANK(J61),0,INDEX(Tablo_E!$B$2:$CX$102,MATCH(ROUND(Uzman_E!C$7,1),Tablo_E!$A$2:$A$102,1),MATCH(ROUND(K61,1),Tablo_E!$B$1:$CX$1,1)))</f>
        <v>0</v>
      </c>
      <c r="M61" s="60"/>
      <c r="N61" s="65">
        <f>IF(ISBLANK(M61),0,ABS(Uzman_E!D$7-M61))</f>
        <v>0</v>
      </c>
      <c r="O61" s="61">
        <f>IF(ISBLANK(M61),0,INDEX(Tablo_E!$B$2:$CX$102,MATCH(ROUND(Uzman_E!D$7,1),Tablo_E!$A$2:$A$102,1),MATCH(ROUND(N61,1),Tablo_E!$B$1:$CX$1,1)))</f>
        <v>0</v>
      </c>
      <c r="P61" s="60"/>
      <c r="Q61" s="65">
        <f>IF(ISBLANK(P61),0,ABS(Uzman_E!E$7-P61))</f>
        <v>0</v>
      </c>
      <c r="R61" s="61">
        <f>IF(ISBLANK(P61),0,INDEX(Tablo_E!$B$2:$CX$102,MATCH(ROUND(Uzman_E!E$7,1),Tablo_E!$A$2:$A$102,1),MATCH(ROUND(Q61,1),Tablo_E!$B$1:$CX$1,1)))</f>
        <v>0</v>
      </c>
      <c r="S61" s="62">
        <f t="shared" si="1"/>
        <v>0</v>
      </c>
      <c r="T61" s="50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spans="1:36" ht="15" customHeight="1" x14ac:dyDescent="0.2">
      <c r="A62" s="57">
        <v>59</v>
      </c>
      <c r="B62" s="137">
        <f>Hakemler!B62</f>
        <v>0</v>
      </c>
      <c r="C62" s="138">
        <f>Hakemler!C62</f>
        <v>0</v>
      </c>
      <c r="D62" s="60"/>
      <c r="E62" s="65">
        <f>IF(ISBLANK(D62),0,ABS(Uzman_E!A$7-D62))</f>
        <v>0</v>
      </c>
      <c r="F62" s="61">
        <f>IF(ISBLANK(D62),0,INDEX(Tablo_E!$B$2:$CX$102,MATCH(ROUND(Uzman_E!A$7,1),Tablo_E!$A$2:$A$102,1),MATCH(ROUND(E62,1),Tablo_E!$B$1:$CX$1,1)))</f>
        <v>0</v>
      </c>
      <c r="G62" s="60"/>
      <c r="H62" s="65">
        <f>IF(ISBLANK(G62),0,ABS(Uzman_E!B$7-G62))</f>
        <v>0</v>
      </c>
      <c r="I62" s="61">
        <f>IF(ISBLANK(G62),0,INDEX(Tablo_E!$B$2:$CX$102,MATCH(ROUND(Uzman_E!B$7,1),Tablo_E!$A$2:$A$102,1),MATCH(ROUND(H62,1),Tablo_E!$B$1:$CX$1,1)))</f>
        <v>0</v>
      </c>
      <c r="J62" s="60"/>
      <c r="K62" s="65">
        <f>IF(ISBLANK(J62),0,ABS(Uzman_E!C$7-J62))</f>
        <v>0</v>
      </c>
      <c r="L62" s="61">
        <f>IF(ISBLANK(J62),0,INDEX(Tablo_E!$B$2:$CX$102,MATCH(ROUND(Uzman_E!C$7,1),Tablo_E!$A$2:$A$102,1),MATCH(ROUND(K62,1),Tablo_E!$B$1:$CX$1,1)))</f>
        <v>0</v>
      </c>
      <c r="M62" s="60"/>
      <c r="N62" s="65">
        <f>IF(ISBLANK(M62),0,ABS(Uzman_E!D$7-M62))</f>
        <v>0</v>
      </c>
      <c r="O62" s="61">
        <f>IF(ISBLANK(M62),0,INDEX(Tablo_E!$B$2:$CX$102,MATCH(ROUND(Uzman_E!D$7,1),Tablo_E!$A$2:$A$102,1),MATCH(ROUND(N62,1),Tablo_E!$B$1:$CX$1,1)))</f>
        <v>0</v>
      </c>
      <c r="P62" s="60"/>
      <c r="Q62" s="65">
        <f>IF(ISBLANK(P62),0,ABS(Uzman_E!E$7-P62))</f>
        <v>0</v>
      </c>
      <c r="R62" s="61">
        <f>IF(ISBLANK(P62),0,INDEX(Tablo_E!$B$2:$CX$102,MATCH(ROUND(Uzman_E!E$7,1),Tablo_E!$A$2:$A$102,1),MATCH(ROUND(Q62,1),Tablo_E!$B$1:$CX$1,1)))</f>
        <v>0</v>
      </c>
      <c r="S62" s="62">
        <f t="shared" si="1"/>
        <v>0</v>
      </c>
      <c r="T62" s="50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spans="1:36" ht="15" customHeight="1" x14ac:dyDescent="0.2">
      <c r="A63" s="57">
        <v>60</v>
      </c>
      <c r="B63" s="137">
        <f>Hakemler!B63</f>
        <v>0</v>
      </c>
      <c r="C63" s="138">
        <f>Hakemler!C63</f>
        <v>0</v>
      </c>
      <c r="D63" s="60"/>
      <c r="E63" s="65">
        <f>IF(ISBLANK(D63),0,ABS(Uzman_E!A$7-D63))</f>
        <v>0</v>
      </c>
      <c r="F63" s="61">
        <f>IF(ISBLANK(D63),0,INDEX(Tablo_E!$B$2:$CX$102,MATCH(ROUND(Uzman_E!A$7,1),Tablo_E!$A$2:$A$102,1),MATCH(ROUND(E63,1),Tablo_E!$B$1:$CX$1,1)))</f>
        <v>0</v>
      </c>
      <c r="G63" s="60"/>
      <c r="H63" s="65">
        <f>IF(ISBLANK(G63),0,ABS(Uzman_E!B$7-G63))</f>
        <v>0</v>
      </c>
      <c r="I63" s="61">
        <f>IF(ISBLANK(G63),0,INDEX(Tablo_E!$B$2:$CX$102,MATCH(ROUND(Uzman_E!B$7,1),Tablo_E!$A$2:$A$102,1),MATCH(ROUND(H63,1),Tablo_E!$B$1:$CX$1,1)))</f>
        <v>0</v>
      </c>
      <c r="J63" s="60"/>
      <c r="K63" s="65">
        <f>IF(ISBLANK(J63),0,ABS(Uzman_E!C$7-J63))</f>
        <v>0</v>
      </c>
      <c r="L63" s="61">
        <f>IF(ISBLANK(J63),0,INDEX(Tablo_E!$B$2:$CX$102,MATCH(ROUND(Uzman_E!C$7,1),Tablo_E!$A$2:$A$102,1),MATCH(ROUND(K63,1),Tablo_E!$B$1:$CX$1,1)))</f>
        <v>0</v>
      </c>
      <c r="M63" s="60"/>
      <c r="N63" s="65">
        <f>IF(ISBLANK(M63),0,ABS(Uzman_E!D$7-M63))</f>
        <v>0</v>
      </c>
      <c r="O63" s="61">
        <f>IF(ISBLANK(M63),0,INDEX(Tablo_E!$B$2:$CX$102,MATCH(ROUND(Uzman_E!D$7,1),Tablo_E!$A$2:$A$102,1),MATCH(ROUND(N63,1),Tablo_E!$B$1:$CX$1,1)))</f>
        <v>0</v>
      </c>
      <c r="P63" s="60"/>
      <c r="Q63" s="65">
        <f>IF(ISBLANK(P63),0,ABS(Uzman_E!E$7-P63))</f>
        <v>0</v>
      </c>
      <c r="R63" s="61">
        <f>IF(ISBLANK(P63),0,INDEX(Tablo_E!$B$2:$CX$102,MATCH(ROUND(Uzman_E!E$7,1),Tablo_E!$A$2:$A$102,1),MATCH(ROUND(Q63,1),Tablo_E!$B$1:$CX$1,1)))</f>
        <v>0</v>
      </c>
      <c r="S63" s="62">
        <f t="shared" si="1"/>
        <v>0</v>
      </c>
      <c r="T63" s="50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spans="1:36" ht="15" customHeight="1" x14ac:dyDescent="0.2">
      <c r="A64" s="57">
        <v>61</v>
      </c>
      <c r="B64" s="137">
        <f>Hakemler!B64</f>
        <v>0</v>
      </c>
      <c r="C64" s="138">
        <f>Hakemler!C64</f>
        <v>0</v>
      </c>
      <c r="D64" s="60"/>
      <c r="E64" s="65">
        <f>IF(ISBLANK(D64),0,ABS(Uzman_E!A$7-D64))</f>
        <v>0</v>
      </c>
      <c r="F64" s="61">
        <f>IF(ISBLANK(D64),0,INDEX(Tablo_E!$B$2:$CX$102,MATCH(ROUND(Uzman_E!A$7,1),Tablo_E!$A$2:$A$102,1),MATCH(ROUND(E64,1),Tablo_E!$B$1:$CX$1,1)))</f>
        <v>0</v>
      </c>
      <c r="G64" s="60"/>
      <c r="H64" s="65">
        <f>IF(ISBLANK(G64),0,ABS(Uzman_E!B$7-G64))</f>
        <v>0</v>
      </c>
      <c r="I64" s="61">
        <f>IF(ISBLANK(G64),0,INDEX(Tablo_E!$B$2:$CX$102,MATCH(ROUND(Uzman_E!B$7,1),Tablo_E!$A$2:$A$102,1),MATCH(ROUND(H64,1),Tablo_E!$B$1:$CX$1,1)))</f>
        <v>0</v>
      </c>
      <c r="J64" s="60"/>
      <c r="K64" s="65">
        <f>IF(ISBLANK(J64),0,ABS(Uzman_E!C$7-J64))</f>
        <v>0</v>
      </c>
      <c r="L64" s="61">
        <f>IF(ISBLANK(J64),0,INDEX(Tablo_E!$B$2:$CX$102,MATCH(ROUND(Uzman_E!C$7,1),Tablo_E!$A$2:$A$102,1),MATCH(ROUND(K64,1),Tablo_E!$B$1:$CX$1,1)))</f>
        <v>0</v>
      </c>
      <c r="M64" s="60"/>
      <c r="N64" s="65">
        <f>IF(ISBLANK(M64),0,ABS(Uzman_E!D$7-M64))</f>
        <v>0</v>
      </c>
      <c r="O64" s="61">
        <f>IF(ISBLANK(M64),0,INDEX(Tablo_E!$B$2:$CX$102,MATCH(ROUND(Uzman_E!D$7,1),Tablo_E!$A$2:$A$102,1),MATCH(ROUND(N64,1),Tablo_E!$B$1:$CX$1,1)))</f>
        <v>0</v>
      </c>
      <c r="P64" s="60"/>
      <c r="Q64" s="65">
        <f>IF(ISBLANK(P64),0,ABS(Uzman_E!E$7-P64))</f>
        <v>0</v>
      </c>
      <c r="R64" s="61">
        <f>IF(ISBLANK(P64),0,INDEX(Tablo_E!$B$2:$CX$102,MATCH(ROUND(Uzman_E!E$7,1),Tablo_E!$A$2:$A$102,1),MATCH(ROUND(Q64,1),Tablo_E!$B$1:$CX$1,1)))</f>
        <v>0</v>
      </c>
      <c r="S64" s="62">
        <f t="shared" si="1"/>
        <v>0</v>
      </c>
      <c r="T64" s="50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spans="1:36" ht="15" customHeight="1" x14ac:dyDescent="0.2">
      <c r="A65" s="57">
        <v>62</v>
      </c>
      <c r="B65" s="137">
        <f>Hakemler!B65</f>
        <v>0</v>
      </c>
      <c r="C65" s="138">
        <f>Hakemler!C65</f>
        <v>0</v>
      </c>
      <c r="D65" s="60"/>
      <c r="E65" s="65">
        <f>IF(ISBLANK(D65),0,ABS(Uzman_E!A$7-D65))</f>
        <v>0</v>
      </c>
      <c r="F65" s="61">
        <f>IF(ISBLANK(D65),0,INDEX(Tablo_E!$B$2:$CX$102,MATCH(ROUND(Uzman_E!A$7,1),Tablo_E!$A$2:$A$102,1),MATCH(ROUND(E65,1),Tablo_E!$B$1:$CX$1,1)))</f>
        <v>0</v>
      </c>
      <c r="G65" s="60"/>
      <c r="H65" s="65">
        <f>IF(ISBLANK(G65),0,ABS(Uzman_E!B$7-G65))</f>
        <v>0</v>
      </c>
      <c r="I65" s="61">
        <f>IF(ISBLANK(G65),0,INDEX(Tablo_E!$B$2:$CX$102,MATCH(ROUND(Uzman_E!B$7,1),Tablo_E!$A$2:$A$102,1),MATCH(ROUND(H65,1),Tablo_E!$B$1:$CX$1,1)))</f>
        <v>0</v>
      </c>
      <c r="J65" s="60"/>
      <c r="K65" s="65">
        <f>IF(ISBLANK(J65),0,ABS(Uzman_E!C$7-J65))</f>
        <v>0</v>
      </c>
      <c r="L65" s="61">
        <f>IF(ISBLANK(J65),0,INDEX(Tablo_E!$B$2:$CX$102,MATCH(ROUND(Uzman_E!C$7,1),Tablo_E!$A$2:$A$102,1),MATCH(ROUND(K65,1),Tablo_E!$B$1:$CX$1,1)))</f>
        <v>0</v>
      </c>
      <c r="M65" s="60"/>
      <c r="N65" s="65">
        <f>IF(ISBLANK(M65),0,ABS(Uzman_E!D$7-M65))</f>
        <v>0</v>
      </c>
      <c r="O65" s="61">
        <f>IF(ISBLANK(M65),0,INDEX(Tablo_E!$B$2:$CX$102,MATCH(ROUND(Uzman_E!D$7,1),Tablo_E!$A$2:$A$102,1),MATCH(ROUND(N65,1),Tablo_E!$B$1:$CX$1,1)))</f>
        <v>0</v>
      </c>
      <c r="P65" s="60"/>
      <c r="Q65" s="65">
        <f>IF(ISBLANK(P65),0,ABS(Uzman_E!E$7-P65))</f>
        <v>0</v>
      </c>
      <c r="R65" s="61">
        <f>IF(ISBLANK(P65),0,INDEX(Tablo_E!$B$2:$CX$102,MATCH(ROUND(Uzman_E!E$7,1),Tablo_E!$A$2:$A$102,1),MATCH(ROUND(Q65,1),Tablo_E!$B$1:$CX$1,1)))</f>
        <v>0</v>
      </c>
      <c r="S65" s="62">
        <f t="shared" si="1"/>
        <v>0</v>
      </c>
      <c r="T65" s="50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spans="1:36" ht="15" customHeight="1" x14ac:dyDescent="0.2">
      <c r="A66" s="57">
        <v>63</v>
      </c>
      <c r="B66" s="137">
        <f>Hakemler!B66</f>
        <v>0</v>
      </c>
      <c r="C66" s="138">
        <f>Hakemler!C66</f>
        <v>0</v>
      </c>
      <c r="D66" s="60"/>
      <c r="E66" s="65">
        <f>IF(ISBLANK(D66),0,ABS(Uzman_E!A$7-D66))</f>
        <v>0</v>
      </c>
      <c r="F66" s="61">
        <f>IF(ISBLANK(D66),0,INDEX(Tablo_E!$B$2:$CX$102,MATCH(ROUND(Uzman_E!A$7,1),Tablo_E!$A$2:$A$102,1),MATCH(ROUND(E66,1),Tablo_E!$B$1:$CX$1,1)))</f>
        <v>0</v>
      </c>
      <c r="G66" s="60"/>
      <c r="H66" s="65">
        <f>IF(ISBLANK(G66),0,ABS(Uzman_E!B$7-G66))</f>
        <v>0</v>
      </c>
      <c r="I66" s="61">
        <f>IF(ISBLANK(G66),0,INDEX(Tablo_E!$B$2:$CX$102,MATCH(ROUND(Uzman_E!B$7,1),Tablo_E!$A$2:$A$102,1),MATCH(ROUND(H66,1),Tablo_E!$B$1:$CX$1,1)))</f>
        <v>0</v>
      </c>
      <c r="J66" s="60"/>
      <c r="K66" s="65">
        <f>IF(ISBLANK(J66),0,ABS(Uzman_E!C$7-J66))</f>
        <v>0</v>
      </c>
      <c r="L66" s="61">
        <f>IF(ISBLANK(J66),0,INDEX(Tablo_E!$B$2:$CX$102,MATCH(ROUND(Uzman_E!C$7,1),Tablo_E!$A$2:$A$102,1),MATCH(ROUND(K66,1),Tablo_E!$B$1:$CX$1,1)))</f>
        <v>0</v>
      </c>
      <c r="M66" s="60"/>
      <c r="N66" s="65">
        <f>IF(ISBLANK(M66),0,ABS(Uzman_E!D$7-M66))</f>
        <v>0</v>
      </c>
      <c r="O66" s="61">
        <f>IF(ISBLANK(M66),0,INDEX(Tablo_E!$B$2:$CX$102,MATCH(ROUND(Uzman_E!D$7,1),Tablo_E!$A$2:$A$102,1),MATCH(ROUND(N66,1),Tablo_E!$B$1:$CX$1,1)))</f>
        <v>0</v>
      </c>
      <c r="P66" s="60"/>
      <c r="Q66" s="65">
        <f>IF(ISBLANK(P66),0,ABS(Uzman_E!E$7-P66))</f>
        <v>0</v>
      </c>
      <c r="R66" s="61">
        <f>IF(ISBLANK(P66),0,INDEX(Tablo_E!$B$2:$CX$102,MATCH(ROUND(Uzman_E!E$7,1),Tablo_E!$A$2:$A$102,1),MATCH(ROUND(Q66,1),Tablo_E!$B$1:$CX$1,1)))</f>
        <v>0</v>
      </c>
      <c r="S66" s="62">
        <f t="shared" si="1"/>
        <v>0</v>
      </c>
      <c r="T66" s="50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spans="1:36" ht="15" customHeight="1" x14ac:dyDescent="0.2">
      <c r="A67" s="57">
        <v>64</v>
      </c>
      <c r="B67" s="139">
        <f>Hakemler!B67</f>
        <v>0</v>
      </c>
      <c r="C67" s="140">
        <f>Hakemler!C67</f>
        <v>0</v>
      </c>
      <c r="D67" s="60"/>
      <c r="E67" s="65">
        <f>IF(ISBLANK(D67),0,ABS(Uzman_E!A$7-D67))</f>
        <v>0</v>
      </c>
      <c r="F67" s="61">
        <f>IF(ISBLANK(D67),0,INDEX(Tablo_E!$B$2:$CX$102,MATCH(ROUND(Uzman_E!A$7,1),Tablo_E!$A$2:$A$102,1),MATCH(ROUND(E67,1),Tablo_E!$B$1:$CX$1,1)))</f>
        <v>0</v>
      </c>
      <c r="G67" s="60"/>
      <c r="H67" s="65">
        <f>IF(ISBLANK(G67),0,ABS(Uzman_E!B$7-G67))</f>
        <v>0</v>
      </c>
      <c r="I67" s="61">
        <f>IF(ISBLANK(G67),0,INDEX(Tablo_E!$B$2:$CX$102,MATCH(ROUND(Uzman_E!B$7,1),Tablo_E!$A$2:$A$102,1),MATCH(ROUND(H67,1),Tablo_E!$B$1:$CX$1,1)))</f>
        <v>0</v>
      </c>
      <c r="J67" s="60"/>
      <c r="K67" s="65">
        <f>IF(ISBLANK(J67),0,ABS(Uzman_E!C$7-J67))</f>
        <v>0</v>
      </c>
      <c r="L67" s="61">
        <f>IF(ISBLANK(J67),0,INDEX(Tablo_E!$B$2:$CX$102,MATCH(ROUND(Uzman_E!C$7,1),Tablo_E!$A$2:$A$102,1),MATCH(ROUND(K67,1),Tablo_E!$B$1:$CX$1,1)))</f>
        <v>0</v>
      </c>
      <c r="M67" s="60"/>
      <c r="N67" s="65">
        <f>IF(ISBLANK(M67),0,ABS(Uzman_E!D$7-M67))</f>
        <v>0</v>
      </c>
      <c r="O67" s="61">
        <f>IF(ISBLANK(M67),0,INDEX(Tablo_E!$B$2:$CX$102,MATCH(ROUND(Uzman_E!D$7,1),Tablo_E!$A$2:$A$102,1),MATCH(ROUND(N67,1),Tablo_E!$B$1:$CX$1,1)))</f>
        <v>0</v>
      </c>
      <c r="P67" s="60"/>
      <c r="Q67" s="65">
        <f>IF(ISBLANK(P67),0,ABS(Uzman_E!E$7-P67))</f>
        <v>0</v>
      </c>
      <c r="R67" s="61">
        <f>IF(ISBLANK(P67),0,INDEX(Tablo_E!$B$2:$CX$102,MATCH(ROUND(Uzman_E!E$7,1),Tablo_E!$A$2:$A$102,1),MATCH(ROUND(Q67,1),Tablo_E!$B$1:$CX$1,1)))</f>
        <v>0</v>
      </c>
      <c r="S67" s="62">
        <f t="shared" si="1"/>
        <v>0</v>
      </c>
      <c r="T67" s="50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spans="1:36" ht="15" customHeight="1" x14ac:dyDescent="0.2">
      <c r="A68" s="57">
        <v>65</v>
      </c>
      <c r="B68" s="139">
        <f>Hakemler!B68</f>
        <v>0</v>
      </c>
      <c r="C68" s="140">
        <f>Hakemler!C68</f>
        <v>0</v>
      </c>
      <c r="D68" s="60"/>
      <c r="E68" s="65">
        <f>IF(ISBLANK(D68),0,ABS(Uzman_E!A$7-D68))</f>
        <v>0</v>
      </c>
      <c r="F68" s="61">
        <f>IF(ISBLANK(D68),0,INDEX(Tablo_E!$B$2:$CX$102,MATCH(ROUND(Uzman_E!A$7,1),Tablo_E!$A$2:$A$102,1),MATCH(ROUND(E68,1),Tablo_E!$B$1:$CX$1,1)))</f>
        <v>0</v>
      </c>
      <c r="G68" s="60"/>
      <c r="H68" s="65">
        <f>IF(ISBLANK(G68),0,ABS(Uzman_E!B$7-G68))</f>
        <v>0</v>
      </c>
      <c r="I68" s="61">
        <f>IF(ISBLANK(G68),0,INDEX(Tablo_E!$B$2:$CX$102,MATCH(ROUND(Uzman_E!B$7,1),Tablo_E!$A$2:$A$102,1),MATCH(ROUND(H68,1),Tablo_E!$B$1:$CX$1,1)))</f>
        <v>0</v>
      </c>
      <c r="J68" s="60"/>
      <c r="K68" s="65">
        <f>IF(ISBLANK(J68),0,ABS(Uzman_E!C$7-J68))</f>
        <v>0</v>
      </c>
      <c r="L68" s="61">
        <f>IF(ISBLANK(J68),0,INDEX(Tablo_E!$B$2:$CX$102,MATCH(ROUND(Uzman_E!C$7,1),Tablo_E!$A$2:$A$102,1),MATCH(ROUND(K68,1),Tablo_E!$B$1:$CX$1,1)))</f>
        <v>0</v>
      </c>
      <c r="M68" s="60"/>
      <c r="N68" s="65">
        <f>IF(ISBLANK(M68),0,ABS(Uzman_E!D$7-M68))</f>
        <v>0</v>
      </c>
      <c r="O68" s="61">
        <f>IF(ISBLANK(M68),0,INDEX(Tablo_E!$B$2:$CX$102,MATCH(ROUND(Uzman_E!D$7,1),Tablo_E!$A$2:$A$102,1),MATCH(ROUND(N68,1),Tablo_E!$B$1:$CX$1,1)))</f>
        <v>0</v>
      </c>
      <c r="P68" s="60"/>
      <c r="Q68" s="65">
        <f>IF(ISBLANK(P68),0,ABS(Uzman_E!E$7-P68))</f>
        <v>0</v>
      </c>
      <c r="R68" s="61">
        <f>IF(ISBLANK(P68),0,INDEX(Tablo_E!$B$2:$CX$102,MATCH(ROUND(Uzman_E!E$7,1),Tablo_E!$A$2:$A$102,1),MATCH(ROUND(Q68,1),Tablo_E!$B$1:$CX$1,1)))</f>
        <v>0</v>
      </c>
      <c r="S68" s="62">
        <f t="shared" si="1"/>
        <v>0</v>
      </c>
      <c r="T68" s="50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spans="1:36" ht="15" customHeight="1" x14ac:dyDescent="0.2">
      <c r="A69" s="57">
        <v>66</v>
      </c>
      <c r="B69" s="139">
        <f>Hakemler!B69</f>
        <v>0</v>
      </c>
      <c r="C69" s="140">
        <f>Hakemler!C69</f>
        <v>0</v>
      </c>
      <c r="D69" s="60"/>
      <c r="E69" s="65">
        <f>IF(ISBLANK(D69),0,ABS(Uzman_E!A$7-D69))</f>
        <v>0</v>
      </c>
      <c r="F69" s="61">
        <f>IF(ISBLANK(D69),0,INDEX(Tablo_E!$B$2:$CX$102,MATCH(ROUND(Uzman_E!A$7,1),Tablo_E!$A$2:$A$102,1),MATCH(ROUND(E69,1),Tablo_E!$B$1:$CX$1,1)))</f>
        <v>0</v>
      </c>
      <c r="G69" s="60"/>
      <c r="H69" s="65">
        <f>IF(ISBLANK(G69),0,ABS(Uzman_E!B$7-G69))</f>
        <v>0</v>
      </c>
      <c r="I69" s="61">
        <f>IF(ISBLANK(G69),0,INDEX(Tablo_E!$B$2:$CX$102,MATCH(ROUND(Uzman_E!B$7,1),Tablo_E!$A$2:$A$102,1),MATCH(ROUND(H69,1),Tablo_E!$B$1:$CX$1,1)))</f>
        <v>0</v>
      </c>
      <c r="J69" s="60"/>
      <c r="K69" s="65">
        <f>IF(ISBLANK(J69),0,ABS(Uzman_E!C$7-J69))</f>
        <v>0</v>
      </c>
      <c r="L69" s="61">
        <f>IF(ISBLANK(J69),0,INDEX(Tablo_E!$B$2:$CX$102,MATCH(ROUND(Uzman_E!C$7,1),Tablo_E!$A$2:$A$102,1),MATCH(ROUND(K69,1),Tablo_E!$B$1:$CX$1,1)))</f>
        <v>0</v>
      </c>
      <c r="M69" s="60"/>
      <c r="N69" s="65">
        <f>IF(ISBLANK(M69),0,ABS(Uzman_E!D$7-M69))</f>
        <v>0</v>
      </c>
      <c r="O69" s="61">
        <f>IF(ISBLANK(M69),0,INDEX(Tablo_E!$B$2:$CX$102,MATCH(ROUND(Uzman_E!D$7,1),Tablo_E!$A$2:$A$102,1),MATCH(ROUND(N69,1),Tablo_E!$B$1:$CX$1,1)))</f>
        <v>0</v>
      </c>
      <c r="P69" s="60"/>
      <c r="Q69" s="65">
        <f>IF(ISBLANK(P69),0,ABS(Uzman_E!E$7-P69))</f>
        <v>0</v>
      </c>
      <c r="R69" s="61">
        <f>IF(ISBLANK(P69),0,INDEX(Tablo_E!$B$2:$CX$102,MATCH(ROUND(Uzman_E!E$7,1),Tablo_E!$A$2:$A$102,1),MATCH(ROUND(Q69,1),Tablo_E!$B$1:$CX$1,1)))</f>
        <v>0</v>
      </c>
      <c r="S69" s="62">
        <f t="shared" si="1"/>
        <v>0</v>
      </c>
      <c r="T69" s="50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spans="1:36" ht="15" customHeight="1" x14ac:dyDescent="0.2">
      <c r="A70" s="57">
        <v>67</v>
      </c>
      <c r="B70" s="139">
        <f>Hakemler!B70</f>
        <v>0</v>
      </c>
      <c r="C70" s="140">
        <f>Hakemler!C70</f>
        <v>0</v>
      </c>
      <c r="D70" s="60"/>
      <c r="E70" s="65">
        <f>IF(ISBLANK(D70),0,ABS(Uzman_E!A$7-D70))</f>
        <v>0</v>
      </c>
      <c r="F70" s="61">
        <f>IF(ISBLANK(D70),0,INDEX(Tablo_E!$B$2:$CX$102,MATCH(ROUND(Uzman_E!A$7,1),Tablo_E!$A$2:$A$102,1),MATCH(ROUND(E70,1),Tablo_E!$B$1:$CX$1,1)))</f>
        <v>0</v>
      </c>
      <c r="G70" s="60"/>
      <c r="H70" s="65">
        <f>IF(ISBLANK(G70),0,ABS(Uzman_E!B$7-G70))</f>
        <v>0</v>
      </c>
      <c r="I70" s="61">
        <f>IF(ISBLANK(G70),0,INDEX(Tablo_E!$B$2:$CX$102,MATCH(ROUND(Uzman_E!B$7,1),Tablo_E!$A$2:$A$102,1),MATCH(ROUND(H70,1),Tablo_E!$B$1:$CX$1,1)))</f>
        <v>0</v>
      </c>
      <c r="J70" s="60"/>
      <c r="K70" s="65">
        <f>IF(ISBLANK(J70),0,ABS(Uzman_E!C$7-J70))</f>
        <v>0</v>
      </c>
      <c r="L70" s="61">
        <f>IF(ISBLANK(J70),0,INDEX(Tablo_E!$B$2:$CX$102,MATCH(ROUND(Uzman_E!C$7,1),Tablo_E!$A$2:$A$102,1),MATCH(ROUND(K70,1),Tablo_E!$B$1:$CX$1,1)))</f>
        <v>0</v>
      </c>
      <c r="M70" s="60"/>
      <c r="N70" s="65">
        <f>IF(ISBLANK(M70),0,ABS(Uzman_E!D$7-M70))</f>
        <v>0</v>
      </c>
      <c r="O70" s="61">
        <f>IF(ISBLANK(M70),0,INDEX(Tablo_E!$B$2:$CX$102,MATCH(ROUND(Uzman_E!D$7,1),Tablo_E!$A$2:$A$102,1),MATCH(ROUND(N70,1),Tablo_E!$B$1:$CX$1,1)))</f>
        <v>0</v>
      </c>
      <c r="P70" s="60"/>
      <c r="Q70" s="65">
        <f>IF(ISBLANK(P70),0,ABS(Uzman_E!E$7-P70))</f>
        <v>0</v>
      </c>
      <c r="R70" s="61">
        <f>IF(ISBLANK(P70),0,INDEX(Tablo_E!$B$2:$CX$102,MATCH(ROUND(Uzman_E!E$7,1),Tablo_E!$A$2:$A$102,1),MATCH(ROUND(Q70,1),Tablo_E!$B$1:$CX$1,1)))</f>
        <v>0</v>
      </c>
      <c r="S70" s="62">
        <f t="shared" si="1"/>
        <v>0</v>
      </c>
      <c r="T70" s="50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spans="1:36" ht="15" customHeight="1" x14ac:dyDescent="0.2">
      <c r="A71" s="57">
        <v>68</v>
      </c>
      <c r="B71" s="139">
        <f>Hakemler!B71</f>
        <v>0</v>
      </c>
      <c r="C71" s="140">
        <f>Hakemler!C71</f>
        <v>0</v>
      </c>
      <c r="D71" s="60"/>
      <c r="E71" s="65">
        <f>IF(ISBLANK(D71),0,ABS(Uzman_E!A$7-D71))</f>
        <v>0</v>
      </c>
      <c r="F71" s="61">
        <f>IF(ISBLANK(D71),0,INDEX(Tablo_E!$B$2:$CX$102,MATCH(ROUND(Uzman_E!A$7,1),Tablo_E!$A$2:$A$102,1),MATCH(ROUND(E71,1),Tablo_E!$B$1:$CX$1,1)))</f>
        <v>0</v>
      </c>
      <c r="G71" s="60"/>
      <c r="H71" s="65">
        <f>IF(ISBLANK(G71),0,ABS(Uzman_E!B$7-G71))</f>
        <v>0</v>
      </c>
      <c r="I71" s="61">
        <f>IF(ISBLANK(G71),0,INDEX(Tablo_E!$B$2:$CX$102,MATCH(ROUND(Uzman_E!B$7,1),Tablo_E!$A$2:$A$102,1),MATCH(ROUND(H71,1),Tablo_E!$B$1:$CX$1,1)))</f>
        <v>0</v>
      </c>
      <c r="J71" s="60"/>
      <c r="K71" s="65">
        <f>IF(ISBLANK(J71),0,ABS(Uzman_E!C$7-J71))</f>
        <v>0</v>
      </c>
      <c r="L71" s="61">
        <f>IF(ISBLANK(J71),0,INDEX(Tablo_E!$B$2:$CX$102,MATCH(ROUND(Uzman_E!C$7,1),Tablo_E!$A$2:$A$102,1),MATCH(ROUND(K71,1),Tablo_E!$B$1:$CX$1,1)))</f>
        <v>0</v>
      </c>
      <c r="M71" s="60"/>
      <c r="N71" s="65">
        <f>IF(ISBLANK(M71),0,ABS(Uzman_E!D$7-M71))</f>
        <v>0</v>
      </c>
      <c r="O71" s="61">
        <f>IF(ISBLANK(M71),0,INDEX(Tablo_E!$B$2:$CX$102,MATCH(ROUND(Uzman_E!D$7,1),Tablo_E!$A$2:$A$102,1),MATCH(ROUND(N71,1),Tablo_E!$B$1:$CX$1,1)))</f>
        <v>0</v>
      </c>
      <c r="P71" s="60"/>
      <c r="Q71" s="65">
        <f>IF(ISBLANK(P71),0,ABS(Uzman_E!E$7-P71))</f>
        <v>0</v>
      </c>
      <c r="R71" s="61">
        <f>IF(ISBLANK(P71),0,INDEX(Tablo_E!$B$2:$CX$102,MATCH(ROUND(Uzman_E!E$7,1),Tablo_E!$A$2:$A$102,1),MATCH(ROUND(Q71,1),Tablo_E!$B$1:$CX$1,1)))</f>
        <v>0</v>
      </c>
      <c r="S71" s="62">
        <f t="shared" si="1"/>
        <v>0</v>
      </c>
      <c r="T71" s="50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spans="1:36" ht="15" customHeight="1" x14ac:dyDescent="0.2">
      <c r="A72" s="57">
        <v>69</v>
      </c>
      <c r="B72" s="139">
        <f>Hakemler!B72</f>
        <v>0</v>
      </c>
      <c r="C72" s="140">
        <f>Hakemler!C72</f>
        <v>0</v>
      </c>
      <c r="D72" s="60"/>
      <c r="E72" s="65">
        <f>IF(ISBLANK(D72),0,ABS(Uzman_E!A$7-D72))</f>
        <v>0</v>
      </c>
      <c r="F72" s="61">
        <f>IF(ISBLANK(D72),0,INDEX(Tablo_E!$B$2:$CX$102,MATCH(ROUND(Uzman_E!A$7,1),Tablo_E!$A$2:$A$102,1),MATCH(ROUND(E72,1),Tablo_E!$B$1:$CX$1,1)))</f>
        <v>0</v>
      </c>
      <c r="G72" s="60"/>
      <c r="H72" s="65">
        <f>IF(ISBLANK(G72),0,ABS(Uzman_E!B$7-G72))</f>
        <v>0</v>
      </c>
      <c r="I72" s="61">
        <f>IF(ISBLANK(G72),0,INDEX(Tablo_E!$B$2:$CX$102,MATCH(ROUND(Uzman_E!B$7,1),Tablo_E!$A$2:$A$102,1),MATCH(ROUND(H72,1),Tablo_E!$B$1:$CX$1,1)))</f>
        <v>0</v>
      </c>
      <c r="J72" s="60"/>
      <c r="K72" s="65">
        <f>IF(ISBLANK(J72),0,ABS(Uzman_E!C$7-J72))</f>
        <v>0</v>
      </c>
      <c r="L72" s="61">
        <f>IF(ISBLANK(J72),0,INDEX(Tablo_E!$B$2:$CX$102,MATCH(ROUND(Uzman_E!C$7,1),Tablo_E!$A$2:$A$102,1),MATCH(ROUND(K72,1),Tablo_E!$B$1:$CX$1,1)))</f>
        <v>0</v>
      </c>
      <c r="M72" s="60"/>
      <c r="N72" s="65">
        <f>IF(ISBLANK(M72),0,ABS(Uzman_E!D$7-M72))</f>
        <v>0</v>
      </c>
      <c r="O72" s="61">
        <f>IF(ISBLANK(M72),0,INDEX(Tablo_E!$B$2:$CX$102,MATCH(ROUND(Uzman_E!D$7,1),Tablo_E!$A$2:$A$102,1),MATCH(ROUND(N72,1),Tablo_E!$B$1:$CX$1,1)))</f>
        <v>0</v>
      </c>
      <c r="P72" s="60"/>
      <c r="Q72" s="65">
        <f>IF(ISBLANK(P72),0,ABS(Uzman_E!E$7-P72))</f>
        <v>0</v>
      </c>
      <c r="R72" s="61">
        <f>IF(ISBLANK(P72),0,INDEX(Tablo_E!$B$2:$CX$102,MATCH(ROUND(Uzman_E!E$7,1),Tablo_E!$A$2:$A$102,1),MATCH(ROUND(Q72,1),Tablo_E!$B$1:$CX$1,1)))</f>
        <v>0</v>
      </c>
      <c r="S72" s="62">
        <f t="shared" ref="S72:S103" si="2">(F72+I72+L72+O72+R72)/5</f>
        <v>0</v>
      </c>
      <c r="T72" s="50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spans="1:36" ht="15" customHeight="1" x14ac:dyDescent="0.2">
      <c r="A73" s="57">
        <v>70</v>
      </c>
      <c r="B73" s="139">
        <f>Hakemler!B73</f>
        <v>0</v>
      </c>
      <c r="C73" s="140">
        <f>Hakemler!C73</f>
        <v>0</v>
      </c>
      <c r="D73" s="60"/>
      <c r="E73" s="65">
        <f>IF(ISBLANK(D73),0,ABS(Uzman_E!A$7-D73))</f>
        <v>0</v>
      </c>
      <c r="F73" s="61">
        <f>IF(ISBLANK(D73),0,INDEX(Tablo_E!$B$2:$CX$102,MATCH(ROUND(Uzman_E!A$7,1),Tablo_E!$A$2:$A$102,1),MATCH(ROUND(E73,1),Tablo_E!$B$1:$CX$1,1)))</f>
        <v>0</v>
      </c>
      <c r="G73" s="60"/>
      <c r="H73" s="65">
        <f>IF(ISBLANK(G73),0,ABS(Uzman_E!B$7-G73))</f>
        <v>0</v>
      </c>
      <c r="I73" s="61">
        <f>IF(ISBLANK(G73),0,INDEX(Tablo_E!$B$2:$CX$102,MATCH(ROUND(Uzman_E!B$7,1),Tablo_E!$A$2:$A$102,1),MATCH(ROUND(H73,1),Tablo_E!$B$1:$CX$1,1)))</f>
        <v>0</v>
      </c>
      <c r="J73" s="60"/>
      <c r="K73" s="65">
        <f>IF(ISBLANK(J73),0,ABS(Uzman_E!C$7-J73))</f>
        <v>0</v>
      </c>
      <c r="L73" s="61">
        <f>IF(ISBLANK(J73),0,INDEX(Tablo_E!$B$2:$CX$102,MATCH(ROUND(Uzman_E!C$7,1),Tablo_E!$A$2:$A$102,1),MATCH(ROUND(K73,1),Tablo_E!$B$1:$CX$1,1)))</f>
        <v>0</v>
      </c>
      <c r="M73" s="60"/>
      <c r="N73" s="65">
        <f>IF(ISBLANK(M73),0,ABS(Uzman_E!D$7-M73))</f>
        <v>0</v>
      </c>
      <c r="O73" s="61">
        <f>IF(ISBLANK(M73),0,INDEX(Tablo_E!$B$2:$CX$102,MATCH(ROUND(Uzman_E!D$7,1),Tablo_E!$A$2:$A$102,1),MATCH(ROUND(N73,1),Tablo_E!$B$1:$CX$1,1)))</f>
        <v>0</v>
      </c>
      <c r="P73" s="60"/>
      <c r="Q73" s="65">
        <f>IF(ISBLANK(P73),0,ABS(Uzman_E!E$7-P73))</f>
        <v>0</v>
      </c>
      <c r="R73" s="61">
        <f>IF(ISBLANK(P73),0,INDEX(Tablo_E!$B$2:$CX$102,MATCH(ROUND(Uzman_E!E$7,1),Tablo_E!$A$2:$A$102,1),MATCH(ROUND(Q73,1),Tablo_E!$B$1:$CX$1,1)))</f>
        <v>0</v>
      </c>
      <c r="S73" s="62">
        <f t="shared" si="2"/>
        <v>0</v>
      </c>
      <c r="T73" s="50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spans="1:36" ht="15" customHeight="1" x14ac:dyDescent="0.2">
      <c r="A74" s="57">
        <v>71</v>
      </c>
      <c r="B74" s="139">
        <f>Hakemler!B74</f>
        <v>0</v>
      </c>
      <c r="C74" s="140">
        <f>Hakemler!C74</f>
        <v>0</v>
      </c>
      <c r="D74" s="60"/>
      <c r="E74" s="65">
        <f>IF(ISBLANK(D74),0,ABS(Uzman_E!A$7-D74))</f>
        <v>0</v>
      </c>
      <c r="F74" s="61">
        <f>IF(ISBLANK(D74),0,INDEX(Tablo_E!$B$2:$CX$102,MATCH(ROUND(Uzman_E!A$7,1),Tablo_E!$A$2:$A$102,1),MATCH(ROUND(E74,1),Tablo_E!$B$1:$CX$1,1)))</f>
        <v>0</v>
      </c>
      <c r="G74" s="60"/>
      <c r="H74" s="65">
        <f>IF(ISBLANK(G74),0,ABS(Uzman_E!B$7-G74))</f>
        <v>0</v>
      </c>
      <c r="I74" s="61">
        <f>IF(ISBLANK(G74),0,INDEX(Tablo_E!$B$2:$CX$102,MATCH(ROUND(Uzman_E!B$7,1),Tablo_E!$A$2:$A$102,1),MATCH(ROUND(H74,1),Tablo_E!$B$1:$CX$1,1)))</f>
        <v>0</v>
      </c>
      <c r="J74" s="60"/>
      <c r="K74" s="65">
        <f>IF(ISBLANK(J74),0,ABS(Uzman_E!C$7-J74))</f>
        <v>0</v>
      </c>
      <c r="L74" s="61">
        <f>IF(ISBLANK(J74),0,INDEX(Tablo_E!$B$2:$CX$102,MATCH(ROUND(Uzman_E!C$7,1),Tablo_E!$A$2:$A$102,1),MATCH(ROUND(K74,1),Tablo_E!$B$1:$CX$1,1)))</f>
        <v>0</v>
      </c>
      <c r="M74" s="60"/>
      <c r="N74" s="65">
        <f>IF(ISBLANK(M74),0,ABS(Uzman_E!D$7-M74))</f>
        <v>0</v>
      </c>
      <c r="O74" s="61">
        <f>IF(ISBLANK(M74),0,INDEX(Tablo_E!$B$2:$CX$102,MATCH(ROUND(Uzman_E!D$7,1),Tablo_E!$A$2:$A$102,1),MATCH(ROUND(N74,1),Tablo_E!$B$1:$CX$1,1)))</f>
        <v>0</v>
      </c>
      <c r="P74" s="60"/>
      <c r="Q74" s="65">
        <f>IF(ISBLANK(P74),0,ABS(Uzman_E!E$7-P74))</f>
        <v>0</v>
      </c>
      <c r="R74" s="61">
        <f>IF(ISBLANK(P74),0,INDEX(Tablo_E!$B$2:$CX$102,MATCH(ROUND(Uzman_E!E$7,1),Tablo_E!$A$2:$A$102,1),MATCH(ROUND(Q74,1),Tablo_E!$B$1:$CX$1,1)))</f>
        <v>0</v>
      </c>
      <c r="S74" s="62">
        <f t="shared" si="2"/>
        <v>0</v>
      </c>
      <c r="T74" s="50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spans="1:36" ht="15" customHeight="1" x14ac:dyDescent="0.2">
      <c r="A75" s="57">
        <v>72</v>
      </c>
      <c r="B75" s="139">
        <f>Hakemler!B75</f>
        <v>0</v>
      </c>
      <c r="C75" s="140">
        <f>Hakemler!C75</f>
        <v>0</v>
      </c>
      <c r="D75" s="60"/>
      <c r="E75" s="65">
        <f>IF(ISBLANK(D75),0,ABS(Uzman_E!A$7-D75))</f>
        <v>0</v>
      </c>
      <c r="F75" s="61">
        <f>IF(ISBLANK(D75),0,INDEX(Tablo_E!$B$2:$CX$102,MATCH(ROUND(Uzman_E!A$7,1),Tablo_E!$A$2:$A$102,1),MATCH(ROUND(E75,1),Tablo_E!$B$1:$CX$1,1)))</f>
        <v>0</v>
      </c>
      <c r="G75" s="60"/>
      <c r="H75" s="65">
        <f>IF(ISBLANK(G75),0,ABS(Uzman_E!B$7-G75))</f>
        <v>0</v>
      </c>
      <c r="I75" s="61">
        <f>IF(ISBLANK(G75),0,INDEX(Tablo_E!$B$2:$CX$102,MATCH(ROUND(Uzman_E!B$7,1),Tablo_E!$A$2:$A$102,1),MATCH(ROUND(H75,1),Tablo_E!$B$1:$CX$1,1)))</f>
        <v>0</v>
      </c>
      <c r="J75" s="60"/>
      <c r="K75" s="65">
        <f>IF(ISBLANK(J75),0,ABS(Uzman_E!C$7-J75))</f>
        <v>0</v>
      </c>
      <c r="L75" s="61">
        <f>IF(ISBLANK(J75),0,INDEX(Tablo_E!$B$2:$CX$102,MATCH(ROUND(Uzman_E!C$7,1),Tablo_E!$A$2:$A$102,1),MATCH(ROUND(K75,1),Tablo_E!$B$1:$CX$1,1)))</f>
        <v>0</v>
      </c>
      <c r="M75" s="60"/>
      <c r="N75" s="65">
        <f>IF(ISBLANK(M75),0,ABS(Uzman_E!D$7-M75))</f>
        <v>0</v>
      </c>
      <c r="O75" s="61">
        <f>IF(ISBLANK(M75),0,INDEX(Tablo_E!$B$2:$CX$102,MATCH(ROUND(Uzman_E!D$7,1),Tablo_E!$A$2:$A$102,1),MATCH(ROUND(N75,1),Tablo_E!$B$1:$CX$1,1)))</f>
        <v>0</v>
      </c>
      <c r="P75" s="60"/>
      <c r="Q75" s="65">
        <f>IF(ISBLANK(P75),0,ABS(Uzman_E!E$7-P75))</f>
        <v>0</v>
      </c>
      <c r="R75" s="61">
        <f>IF(ISBLANK(P75),0,INDEX(Tablo_E!$B$2:$CX$102,MATCH(ROUND(Uzman_E!E$7,1),Tablo_E!$A$2:$A$102,1),MATCH(ROUND(Q75,1),Tablo_E!$B$1:$CX$1,1)))</f>
        <v>0</v>
      </c>
      <c r="S75" s="62">
        <f t="shared" si="2"/>
        <v>0</v>
      </c>
      <c r="T75" s="50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spans="1:36" ht="15" customHeight="1" x14ac:dyDescent="0.2">
      <c r="A76" s="57">
        <v>73</v>
      </c>
      <c r="B76" s="139">
        <f>Hakemler!B76</f>
        <v>0</v>
      </c>
      <c r="C76" s="140">
        <f>Hakemler!C76</f>
        <v>0</v>
      </c>
      <c r="D76" s="60"/>
      <c r="E76" s="65">
        <f>IF(ISBLANK(D76),0,ABS(Uzman_E!A$7-D76))</f>
        <v>0</v>
      </c>
      <c r="F76" s="61">
        <f>IF(ISBLANK(D76),0,INDEX(Tablo_E!$B$2:$CX$102,MATCH(ROUND(Uzman_E!A$7,1),Tablo_E!$A$2:$A$102,1),MATCH(ROUND(E76,1),Tablo_E!$B$1:$CX$1,1)))</f>
        <v>0</v>
      </c>
      <c r="G76" s="60"/>
      <c r="H76" s="65">
        <f>IF(ISBLANK(G76),0,ABS(Uzman_E!B$7-G76))</f>
        <v>0</v>
      </c>
      <c r="I76" s="61">
        <f>IF(ISBLANK(G76),0,INDEX(Tablo_E!$B$2:$CX$102,MATCH(ROUND(Uzman_E!B$7,1),Tablo_E!$A$2:$A$102,1),MATCH(ROUND(H76,1),Tablo_E!$B$1:$CX$1,1)))</f>
        <v>0</v>
      </c>
      <c r="J76" s="60"/>
      <c r="K76" s="65">
        <f>IF(ISBLANK(J76),0,ABS(Uzman_E!C$7-J76))</f>
        <v>0</v>
      </c>
      <c r="L76" s="61">
        <f>IF(ISBLANK(J76),0,INDEX(Tablo_E!$B$2:$CX$102,MATCH(ROUND(Uzman_E!C$7,1),Tablo_E!$A$2:$A$102,1),MATCH(ROUND(K76,1),Tablo_E!$B$1:$CX$1,1)))</f>
        <v>0</v>
      </c>
      <c r="M76" s="60"/>
      <c r="N76" s="65">
        <f>IF(ISBLANK(M76),0,ABS(Uzman_E!D$7-M76))</f>
        <v>0</v>
      </c>
      <c r="O76" s="61">
        <f>IF(ISBLANK(M76),0,INDEX(Tablo_E!$B$2:$CX$102,MATCH(ROUND(Uzman_E!D$7,1),Tablo_E!$A$2:$A$102,1),MATCH(ROUND(N76,1),Tablo_E!$B$1:$CX$1,1)))</f>
        <v>0</v>
      </c>
      <c r="P76" s="60"/>
      <c r="Q76" s="65">
        <f>IF(ISBLANK(P76),0,ABS(Uzman_E!E$7-P76))</f>
        <v>0</v>
      </c>
      <c r="R76" s="61">
        <f>IF(ISBLANK(P76),0,INDEX(Tablo_E!$B$2:$CX$102,MATCH(ROUND(Uzman_E!E$7,1),Tablo_E!$A$2:$A$102,1),MATCH(ROUND(Q76,1),Tablo_E!$B$1:$CX$1,1)))</f>
        <v>0</v>
      </c>
      <c r="S76" s="62">
        <f t="shared" si="2"/>
        <v>0</v>
      </c>
      <c r="T76" s="50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spans="1:36" ht="15" customHeight="1" x14ac:dyDescent="0.2">
      <c r="A77" s="57">
        <v>74</v>
      </c>
      <c r="B77" s="139">
        <f>Hakemler!B77</f>
        <v>0</v>
      </c>
      <c r="C77" s="140">
        <f>Hakemler!C77</f>
        <v>0</v>
      </c>
      <c r="D77" s="60"/>
      <c r="E77" s="65">
        <f>IF(ISBLANK(D77),0,ABS(Uzman_E!A$7-D77))</f>
        <v>0</v>
      </c>
      <c r="F77" s="61">
        <f>IF(ISBLANK(D77),0,INDEX(Tablo_E!$B$2:$CX$102,MATCH(ROUND(Uzman_E!A$7,1),Tablo_E!$A$2:$A$102,1),MATCH(ROUND(E77,1),Tablo_E!$B$1:$CX$1,1)))</f>
        <v>0</v>
      </c>
      <c r="G77" s="60"/>
      <c r="H77" s="65">
        <f>IF(ISBLANK(G77),0,ABS(Uzman_E!B$7-G77))</f>
        <v>0</v>
      </c>
      <c r="I77" s="61">
        <f>IF(ISBLANK(G77),0,INDEX(Tablo_E!$B$2:$CX$102,MATCH(ROUND(Uzman_E!B$7,1),Tablo_E!$A$2:$A$102,1),MATCH(ROUND(H77,1),Tablo_E!$B$1:$CX$1,1)))</f>
        <v>0</v>
      </c>
      <c r="J77" s="60"/>
      <c r="K77" s="65">
        <f>IF(ISBLANK(J77),0,ABS(Uzman_E!C$7-J77))</f>
        <v>0</v>
      </c>
      <c r="L77" s="61">
        <f>IF(ISBLANK(J77),0,INDEX(Tablo_E!$B$2:$CX$102,MATCH(ROUND(Uzman_E!C$7,1),Tablo_E!$A$2:$A$102,1),MATCH(ROUND(K77,1),Tablo_E!$B$1:$CX$1,1)))</f>
        <v>0</v>
      </c>
      <c r="M77" s="60"/>
      <c r="N77" s="65">
        <f>IF(ISBLANK(M77),0,ABS(Uzman_E!D$7-M77))</f>
        <v>0</v>
      </c>
      <c r="O77" s="61">
        <f>IF(ISBLANK(M77),0,INDEX(Tablo_E!$B$2:$CX$102,MATCH(ROUND(Uzman_E!D$7,1),Tablo_E!$A$2:$A$102,1),MATCH(ROUND(N77,1),Tablo_E!$B$1:$CX$1,1)))</f>
        <v>0</v>
      </c>
      <c r="P77" s="60"/>
      <c r="Q77" s="65">
        <f>IF(ISBLANK(P77),0,ABS(Uzman_E!E$7-P77))</f>
        <v>0</v>
      </c>
      <c r="R77" s="61">
        <f>IF(ISBLANK(P77),0,INDEX(Tablo_E!$B$2:$CX$102,MATCH(ROUND(Uzman_E!E$7,1),Tablo_E!$A$2:$A$102,1),MATCH(ROUND(Q77,1),Tablo_E!$B$1:$CX$1,1)))</f>
        <v>0</v>
      </c>
      <c r="S77" s="62">
        <f t="shared" si="2"/>
        <v>0</v>
      </c>
      <c r="T77" s="50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spans="1:36" ht="15" customHeight="1" x14ac:dyDescent="0.2">
      <c r="A78" s="57">
        <v>75</v>
      </c>
      <c r="B78" s="139">
        <f>Hakemler!B78</f>
        <v>0</v>
      </c>
      <c r="C78" s="140">
        <f>Hakemler!C78</f>
        <v>0</v>
      </c>
      <c r="D78" s="60"/>
      <c r="E78" s="65">
        <f>IF(ISBLANK(D78),0,ABS(Uzman_E!A$7-D78))</f>
        <v>0</v>
      </c>
      <c r="F78" s="61">
        <f>IF(ISBLANK(D78),0,INDEX(Tablo_E!$B$2:$CX$102,MATCH(ROUND(Uzman_E!A$7,1),Tablo_E!$A$2:$A$102,1),MATCH(ROUND(E78,1),Tablo_E!$B$1:$CX$1,1)))</f>
        <v>0</v>
      </c>
      <c r="G78" s="60"/>
      <c r="H78" s="65">
        <f>IF(ISBLANK(G78),0,ABS(Uzman_E!B$7-G78))</f>
        <v>0</v>
      </c>
      <c r="I78" s="61">
        <f>IF(ISBLANK(G78),0,INDEX(Tablo_E!$B$2:$CX$102,MATCH(ROUND(Uzman_E!B$7,1),Tablo_E!$A$2:$A$102,1),MATCH(ROUND(H78,1),Tablo_E!$B$1:$CX$1,1)))</f>
        <v>0</v>
      </c>
      <c r="J78" s="60"/>
      <c r="K78" s="65">
        <f>IF(ISBLANK(J78),0,ABS(Uzman_E!C$7-J78))</f>
        <v>0</v>
      </c>
      <c r="L78" s="61">
        <f>IF(ISBLANK(J78),0,INDEX(Tablo_E!$B$2:$CX$102,MATCH(ROUND(Uzman_E!C$7,1),Tablo_E!$A$2:$A$102,1),MATCH(ROUND(K78,1),Tablo_E!$B$1:$CX$1,1)))</f>
        <v>0</v>
      </c>
      <c r="M78" s="60"/>
      <c r="N78" s="65">
        <f>IF(ISBLANK(M78),0,ABS(Uzman_E!D$7-M78))</f>
        <v>0</v>
      </c>
      <c r="O78" s="61">
        <f>IF(ISBLANK(M78),0,INDEX(Tablo_E!$B$2:$CX$102,MATCH(ROUND(Uzman_E!D$7,1),Tablo_E!$A$2:$A$102,1),MATCH(ROUND(N78,1),Tablo_E!$B$1:$CX$1,1)))</f>
        <v>0</v>
      </c>
      <c r="P78" s="60"/>
      <c r="Q78" s="65">
        <f>IF(ISBLANK(P78),0,ABS(Uzman_E!E$7-P78))</f>
        <v>0</v>
      </c>
      <c r="R78" s="61">
        <f>IF(ISBLANK(P78),0,INDEX(Tablo_E!$B$2:$CX$102,MATCH(ROUND(Uzman_E!E$7,1),Tablo_E!$A$2:$A$102,1),MATCH(ROUND(Q78,1),Tablo_E!$B$1:$CX$1,1)))</f>
        <v>0</v>
      </c>
      <c r="S78" s="62">
        <f t="shared" si="2"/>
        <v>0</v>
      </c>
      <c r="T78" s="50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spans="1:36" ht="15" customHeight="1" x14ac:dyDescent="0.2">
      <c r="A79" s="57">
        <v>76</v>
      </c>
      <c r="B79" s="139">
        <f>Hakemler!B79</f>
        <v>0</v>
      </c>
      <c r="C79" s="140">
        <f>Hakemler!C79</f>
        <v>0</v>
      </c>
      <c r="D79" s="60"/>
      <c r="E79" s="65">
        <f>IF(ISBLANK(D79),0,ABS(Uzman_E!A$7-D79))</f>
        <v>0</v>
      </c>
      <c r="F79" s="61">
        <f>IF(ISBLANK(D79),0,INDEX(Tablo_E!$B$2:$CX$102,MATCH(ROUND(Uzman_E!A$7,1),Tablo_E!$A$2:$A$102,1),MATCH(ROUND(E79,1),Tablo_E!$B$1:$CX$1,1)))</f>
        <v>0</v>
      </c>
      <c r="G79" s="60"/>
      <c r="H79" s="65">
        <f>IF(ISBLANK(G79),0,ABS(Uzman_E!B$7-G79))</f>
        <v>0</v>
      </c>
      <c r="I79" s="61">
        <f>IF(ISBLANK(G79),0,INDEX(Tablo_E!$B$2:$CX$102,MATCH(ROUND(Uzman_E!B$7,1),Tablo_E!$A$2:$A$102,1),MATCH(ROUND(H79,1),Tablo_E!$B$1:$CX$1,1)))</f>
        <v>0</v>
      </c>
      <c r="J79" s="60"/>
      <c r="K79" s="65">
        <f>IF(ISBLANK(J79),0,ABS(Uzman_E!C$7-J79))</f>
        <v>0</v>
      </c>
      <c r="L79" s="61">
        <f>IF(ISBLANK(J79),0,INDEX(Tablo_E!$B$2:$CX$102,MATCH(ROUND(Uzman_E!C$7,1),Tablo_E!$A$2:$A$102,1),MATCH(ROUND(K79,1),Tablo_E!$B$1:$CX$1,1)))</f>
        <v>0</v>
      </c>
      <c r="M79" s="60"/>
      <c r="N79" s="65">
        <f>IF(ISBLANK(M79),0,ABS(Uzman_E!D$7-M79))</f>
        <v>0</v>
      </c>
      <c r="O79" s="61">
        <f>IF(ISBLANK(M79),0,INDEX(Tablo_E!$B$2:$CX$102,MATCH(ROUND(Uzman_E!D$7,1),Tablo_E!$A$2:$A$102,1),MATCH(ROUND(N79,1),Tablo_E!$B$1:$CX$1,1)))</f>
        <v>0</v>
      </c>
      <c r="P79" s="60"/>
      <c r="Q79" s="65">
        <f>IF(ISBLANK(P79),0,ABS(Uzman_E!E$7-P79))</f>
        <v>0</v>
      </c>
      <c r="R79" s="61">
        <f>IF(ISBLANK(P79),0,INDEX(Tablo_E!$B$2:$CX$102,MATCH(ROUND(Uzman_E!E$7,1),Tablo_E!$A$2:$A$102,1),MATCH(ROUND(Q79,1),Tablo_E!$B$1:$CX$1,1)))</f>
        <v>0</v>
      </c>
      <c r="S79" s="62">
        <f t="shared" si="2"/>
        <v>0</v>
      </c>
      <c r="T79" s="50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spans="1:36" ht="15" customHeight="1" x14ac:dyDescent="0.2">
      <c r="A80" s="57">
        <v>77</v>
      </c>
      <c r="B80" s="139">
        <f>Hakemler!B80</f>
        <v>0</v>
      </c>
      <c r="C80" s="140">
        <f>Hakemler!C80</f>
        <v>0</v>
      </c>
      <c r="D80" s="60"/>
      <c r="E80" s="65">
        <f>IF(ISBLANK(D80),0,ABS(Uzman_E!A$7-D80))</f>
        <v>0</v>
      </c>
      <c r="F80" s="61">
        <f>IF(ISBLANK(D80),0,INDEX(Tablo_E!$B$2:$CX$102,MATCH(ROUND(Uzman_E!A$7,1),Tablo_E!$A$2:$A$102,1),MATCH(ROUND(E80,1),Tablo_E!$B$1:$CX$1,1)))</f>
        <v>0</v>
      </c>
      <c r="G80" s="60"/>
      <c r="H80" s="65">
        <f>IF(ISBLANK(G80),0,ABS(Uzman_E!B$7-G80))</f>
        <v>0</v>
      </c>
      <c r="I80" s="61">
        <f>IF(ISBLANK(G80),0,INDEX(Tablo_E!$B$2:$CX$102,MATCH(ROUND(Uzman_E!B$7,1),Tablo_E!$A$2:$A$102,1),MATCH(ROUND(H80,1),Tablo_E!$B$1:$CX$1,1)))</f>
        <v>0</v>
      </c>
      <c r="J80" s="60"/>
      <c r="K80" s="65">
        <f>IF(ISBLANK(J80),0,ABS(Uzman_E!C$7-J80))</f>
        <v>0</v>
      </c>
      <c r="L80" s="61">
        <f>IF(ISBLANK(J80),0,INDEX(Tablo_E!$B$2:$CX$102,MATCH(ROUND(Uzman_E!C$7,1),Tablo_E!$A$2:$A$102,1),MATCH(ROUND(K80,1),Tablo_E!$B$1:$CX$1,1)))</f>
        <v>0</v>
      </c>
      <c r="M80" s="60"/>
      <c r="N80" s="65">
        <f>IF(ISBLANK(M80),0,ABS(Uzman_E!D$7-M80))</f>
        <v>0</v>
      </c>
      <c r="O80" s="61">
        <f>IF(ISBLANK(M80),0,INDEX(Tablo_E!$B$2:$CX$102,MATCH(ROUND(Uzman_E!D$7,1),Tablo_E!$A$2:$A$102,1),MATCH(ROUND(N80,1),Tablo_E!$B$1:$CX$1,1)))</f>
        <v>0</v>
      </c>
      <c r="P80" s="60"/>
      <c r="Q80" s="65">
        <f>IF(ISBLANK(P80),0,ABS(Uzman_E!E$7-P80))</f>
        <v>0</v>
      </c>
      <c r="R80" s="61">
        <f>IF(ISBLANK(P80),0,INDEX(Tablo_E!$B$2:$CX$102,MATCH(ROUND(Uzman_E!E$7,1),Tablo_E!$A$2:$A$102,1),MATCH(ROUND(Q80,1),Tablo_E!$B$1:$CX$1,1)))</f>
        <v>0</v>
      </c>
      <c r="S80" s="62">
        <f t="shared" si="2"/>
        <v>0</v>
      </c>
      <c r="T80" s="50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</row>
    <row r="81" spans="1:36" ht="15" customHeight="1" x14ac:dyDescent="0.2">
      <c r="A81" s="57">
        <v>78</v>
      </c>
      <c r="B81" s="139">
        <f>Hakemler!B81</f>
        <v>0</v>
      </c>
      <c r="C81" s="140">
        <f>Hakemler!C81</f>
        <v>0</v>
      </c>
      <c r="D81" s="60"/>
      <c r="E81" s="65">
        <f>IF(ISBLANK(D81),0,ABS(Uzman_E!A$7-D81))</f>
        <v>0</v>
      </c>
      <c r="F81" s="61">
        <f>IF(ISBLANK(D81),0,INDEX(Tablo_E!$B$2:$CX$102,MATCH(ROUND(Uzman_E!A$7,1),Tablo_E!$A$2:$A$102,1),MATCH(ROUND(E81,1),Tablo_E!$B$1:$CX$1,1)))</f>
        <v>0</v>
      </c>
      <c r="G81" s="60"/>
      <c r="H81" s="65">
        <f>IF(ISBLANK(G81),0,ABS(Uzman_E!B$7-G81))</f>
        <v>0</v>
      </c>
      <c r="I81" s="61">
        <f>IF(ISBLANK(G81),0,INDEX(Tablo_E!$B$2:$CX$102,MATCH(ROUND(Uzman_E!B$7,1),Tablo_E!$A$2:$A$102,1),MATCH(ROUND(H81,1),Tablo_E!$B$1:$CX$1,1)))</f>
        <v>0</v>
      </c>
      <c r="J81" s="60"/>
      <c r="K81" s="65">
        <f>IF(ISBLANK(J81),0,ABS(Uzman_E!C$7-J81))</f>
        <v>0</v>
      </c>
      <c r="L81" s="61">
        <f>IF(ISBLANK(J81),0,INDEX(Tablo_E!$B$2:$CX$102,MATCH(ROUND(Uzman_E!C$7,1),Tablo_E!$A$2:$A$102,1),MATCH(ROUND(K81,1),Tablo_E!$B$1:$CX$1,1)))</f>
        <v>0</v>
      </c>
      <c r="M81" s="60"/>
      <c r="N81" s="65">
        <f>IF(ISBLANK(M81),0,ABS(Uzman_E!D$7-M81))</f>
        <v>0</v>
      </c>
      <c r="O81" s="61">
        <f>IF(ISBLANK(M81),0,INDEX(Tablo_E!$B$2:$CX$102,MATCH(ROUND(Uzman_E!D$7,1),Tablo_E!$A$2:$A$102,1),MATCH(ROUND(N81,1),Tablo_E!$B$1:$CX$1,1)))</f>
        <v>0</v>
      </c>
      <c r="P81" s="60"/>
      <c r="Q81" s="65">
        <f>IF(ISBLANK(P81),0,ABS(Uzman_E!E$7-P81))</f>
        <v>0</v>
      </c>
      <c r="R81" s="61">
        <f>IF(ISBLANK(P81),0,INDEX(Tablo_E!$B$2:$CX$102,MATCH(ROUND(Uzman_E!E$7,1),Tablo_E!$A$2:$A$102,1),MATCH(ROUND(Q81,1),Tablo_E!$B$1:$CX$1,1)))</f>
        <v>0</v>
      </c>
      <c r="S81" s="62">
        <f t="shared" si="2"/>
        <v>0</v>
      </c>
      <c r="T81" s="50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</row>
    <row r="82" spans="1:36" ht="15" customHeight="1" x14ac:dyDescent="0.2">
      <c r="A82" s="57">
        <v>79</v>
      </c>
      <c r="B82" s="139">
        <f>Hakemler!B82</f>
        <v>0</v>
      </c>
      <c r="C82" s="140">
        <f>Hakemler!C82</f>
        <v>0</v>
      </c>
      <c r="D82" s="60"/>
      <c r="E82" s="65">
        <f>IF(ISBLANK(D82),0,ABS(Uzman_E!A$7-D82))</f>
        <v>0</v>
      </c>
      <c r="F82" s="61">
        <f>IF(ISBLANK(D82),0,INDEX(Tablo_E!$B$2:$CX$102,MATCH(ROUND(Uzman_E!A$7,1),Tablo_E!$A$2:$A$102,1),MATCH(ROUND(E82,1),Tablo_E!$B$1:$CX$1,1)))</f>
        <v>0</v>
      </c>
      <c r="G82" s="60"/>
      <c r="H82" s="65">
        <f>IF(ISBLANK(G82),0,ABS(Uzman_E!B$7-G82))</f>
        <v>0</v>
      </c>
      <c r="I82" s="61">
        <f>IF(ISBLANK(G82),0,INDEX(Tablo_E!$B$2:$CX$102,MATCH(ROUND(Uzman_E!B$7,1),Tablo_E!$A$2:$A$102,1),MATCH(ROUND(H82,1),Tablo_E!$B$1:$CX$1,1)))</f>
        <v>0</v>
      </c>
      <c r="J82" s="60"/>
      <c r="K82" s="65">
        <f>IF(ISBLANK(J82),0,ABS(Uzman_E!C$7-J82))</f>
        <v>0</v>
      </c>
      <c r="L82" s="61">
        <f>IF(ISBLANK(J82),0,INDEX(Tablo_E!$B$2:$CX$102,MATCH(ROUND(Uzman_E!C$7,1),Tablo_E!$A$2:$A$102,1),MATCH(ROUND(K82,1),Tablo_E!$B$1:$CX$1,1)))</f>
        <v>0</v>
      </c>
      <c r="M82" s="60"/>
      <c r="N82" s="65">
        <f>IF(ISBLANK(M82),0,ABS(Uzman_E!D$7-M82))</f>
        <v>0</v>
      </c>
      <c r="O82" s="61">
        <f>IF(ISBLANK(M82),0,INDEX(Tablo_E!$B$2:$CX$102,MATCH(ROUND(Uzman_E!D$7,1),Tablo_E!$A$2:$A$102,1),MATCH(ROUND(N82,1),Tablo_E!$B$1:$CX$1,1)))</f>
        <v>0</v>
      </c>
      <c r="P82" s="60"/>
      <c r="Q82" s="65">
        <f>IF(ISBLANK(P82),0,ABS(Uzman_E!E$7-P82))</f>
        <v>0</v>
      </c>
      <c r="R82" s="61">
        <f>IF(ISBLANK(P82),0,INDEX(Tablo_E!$B$2:$CX$102,MATCH(ROUND(Uzman_E!E$7,1),Tablo_E!$A$2:$A$102,1),MATCH(ROUND(Q82,1),Tablo_E!$B$1:$CX$1,1)))</f>
        <v>0</v>
      </c>
      <c r="S82" s="62">
        <f t="shared" si="2"/>
        <v>0</v>
      </c>
      <c r="T82" s="50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</row>
    <row r="83" spans="1:36" ht="15" customHeight="1" x14ac:dyDescent="0.2">
      <c r="A83" s="57">
        <v>80</v>
      </c>
      <c r="B83" s="139">
        <f>Hakemler!B83</f>
        <v>0</v>
      </c>
      <c r="C83" s="140">
        <f>Hakemler!C83</f>
        <v>0</v>
      </c>
      <c r="D83" s="60"/>
      <c r="E83" s="65">
        <f>IF(ISBLANK(D83),0,ABS(Uzman_E!A$7-D83))</f>
        <v>0</v>
      </c>
      <c r="F83" s="61">
        <f>IF(ISBLANK(D83),0,INDEX(Tablo_E!$B$2:$CX$102,MATCH(ROUND(Uzman_E!A$7,1),Tablo_E!$A$2:$A$102,1),MATCH(ROUND(E83,1),Tablo_E!$B$1:$CX$1,1)))</f>
        <v>0</v>
      </c>
      <c r="G83" s="60"/>
      <c r="H83" s="65">
        <f>IF(ISBLANK(G83),0,ABS(Uzman_E!B$7-G83))</f>
        <v>0</v>
      </c>
      <c r="I83" s="61">
        <f>IF(ISBLANK(G83),0,INDEX(Tablo_E!$B$2:$CX$102,MATCH(ROUND(Uzman_E!B$7,1),Tablo_E!$A$2:$A$102,1),MATCH(ROUND(H83,1),Tablo_E!$B$1:$CX$1,1)))</f>
        <v>0</v>
      </c>
      <c r="J83" s="60"/>
      <c r="K83" s="65">
        <f>IF(ISBLANK(J83),0,ABS(Uzman_E!C$7-J83))</f>
        <v>0</v>
      </c>
      <c r="L83" s="61">
        <f>IF(ISBLANK(J83),0,INDEX(Tablo_E!$B$2:$CX$102,MATCH(ROUND(Uzman_E!C$7,1),Tablo_E!$A$2:$A$102,1),MATCH(ROUND(K83,1),Tablo_E!$B$1:$CX$1,1)))</f>
        <v>0</v>
      </c>
      <c r="M83" s="60"/>
      <c r="N83" s="65">
        <f>IF(ISBLANK(M83),0,ABS(Uzman_E!D$7-M83))</f>
        <v>0</v>
      </c>
      <c r="O83" s="61">
        <f>IF(ISBLANK(M83),0,INDEX(Tablo_E!$B$2:$CX$102,MATCH(ROUND(Uzman_E!D$7,1),Tablo_E!$A$2:$A$102,1),MATCH(ROUND(N83,1),Tablo_E!$B$1:$CX$1,1)))</f>
        <v>0</v>
      </c>
      <c r="P83" s="60"/>
      <c r="Q83" s="65">
        <f>IF(ISBLANK(P83),0,ABS(Uzman_E!E$7-P83))</f>
        <v>0</v>
      </c>
      <c r="R83" s="61">
        <f>IF(ISBLANK(P83),0,INDEX(Tablo_E!$B$2:$CX$102,MATCH(ROUND(Uzman_E!E$7,1),Tablo_E!$A$2:$A$102,1),MATCH(ROUND(Q83,1),Tablo_E!$B$1:$CX$1,1)))</f>
        <v>0</v>
      </c>
      <c r="S83" s="62">
        <f t="shared" si="2"/>
        <v>0</v>
      </c>
      <c r="T83" s="50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</row>
    <row r="84" spans="1:36" ht="15" customHeight="1" x14ac:dyDescent="0.2">
      <c r="A84" s="57">
        <v>81</v>
      </c>
      <c r="B84" s="139">
        <f>Hakemler!B84</f>
        <v>0</v>
      </c>
      <c r="C84" s="140">
        <f>Hakemler!C84</f>
        <v>0</v>
      </c>
      <c r="D84" s="60"/>
      <c r="E84" s="65">
        <f>IF(ISBLANK(D84),0,ABS(Uzman_E!A$7-D84))</f>
        <v>0</v>
      </c>
      <c r="F84" s="61">
        <f>IF(ISBLANK(D84),0,INDEX(Tablo_E!$B$2:$CX$102,MATCH(ROUND(Uzman_E!A$7,1),Tablo_E!$A$2:$A$102,1),MATCH(ROUND(E84,1),Tablo_E!$B$1:$CX$1,1)))</f>
        <v>0</v>
      </c>
      <c r="G84" s="60"/>
      <c r="H84" s="65">
        <f>IF(ISBLANK(G84),0,ABS(Uzman_E!B$7-G84))</f>
        <v>0</v>
      </c>
      <c r="I84" s="61">
        <f>IF(ISBLANK(G84),0,INDEX(Tablo_E!$B$2:$CX$102,MATCH(ROUND(Uzman_E!B$7,1),Tablo_E!$A$2:$A$102,1),MATCH(ROUND(H84,1),Tablo_E!$B$1:$CX$1,1)))</f>
        <v>0</v>
      </c>
      <c r="J84" s="60"/>
      <c r="K84" s="65">
        <f>IF(ISBLANK(J84),0,ABS(Uzman_E!C$7-J84))</f>
        <v>0</v>
      </c>
      <c r="L84" s="61">
        <f>IF(ISBLANK(J84),0,INDEX(Tablo_E!$B$2:$CX$102,MATCH(ROUND(Uzman_E!C$7,1),Tablo_E!$A$2:$A$102,1),MATCH(ROUND(K84,1),Tablo_E!$B$1:$CX$1,1)))</f>
        <v>0</v>
      </c>
      <c r="M84" s="60"/>
      <c r="N84" s="65">
        <f>IF(ISBLANK(M84),0,ABS(Uzman_E!D$7-M84))</f>
        <v>0</v>
      </c>
      <c r="O84" s="61">
        <f>IF(ISBLANK(M84),0,INDEX(Tablo_E!$B$2:$CX$102,MATCH(ROUND(Uzman_E!D$7,1),Tablo_E!$A$2:$A$102,1),MATCH(ROUND(N84,1),Tablo_E!$B$1:$CX$1,1)))</f>
        <v>0</v>
      </c>
      <c r="P84" s="60"/>
      <c r="Q84" s="65">
        <f>IF(ISBLANK(P84),0,ABS(Uzman_E!E$7-P84))</f>
        <v>0</v>
      </c>
      <c r="R84" s="61">
        <f>IF(ISBLANK(P84),0,INDEX(Tablo_E!$B$2:$CX$102,MATCH(ROUND(Uzman_E!E$7,1),Tablo_E!$A$2:$A$102,1),MATCH(ROUND(Q84,1),Tablo_E!$B$1:$CX$1,1)))</f>
        <v>0</v>
      </c>
      <c r="S84" s="62">
        <f t="shared" si="2"/>
        <v>0</v>
      </c>
      <c r="T84" s="50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</row>
    <row r="85" spans="1:36" ht="15" customHeight="1" x14ac:dyDescent="0.2">
      <c r="A85" s="57">
        <v>82</v>
      </c>
      <c r="B85" s="139">
        <f>Hakemler!B85</f>
        <v>0</v>
      </c>
      <c r="C85" s="140">
        <f>Hakemler!C85</f>
        <v>0</v>
      </c>
      <c r="D85" s="60"/>
      <c r="E85" s="65">
        <f>IF(ISBLANK(D85),0,ABS(Uzman_E!A$7-D85))</f>
        <v>0</v>
      </c>
      <c r="F85" s="61">
        <f>IF(ISBLANK(D85),0,INDEX(Tablo_E!$B$2:$CX$102,MATCH(ROUND(Uzman_E!A$7,1),Tablo_E!$A$2:$A$102,1),MATCH(ROUND(E85,1),Tablo_E!$B$1:$CX$1,1)))</f>
        <v>0</v>
      </c>
      <c r="G85" s="60"/>
      <c r="H85" s="65">
        <f>IF(ISBLANK(G85),0,ABS(Uzman_E!B$7-G85))</f>
        <v>0</v>
      </c>
      <c r="I85" s="61">
        <f>IF(ISBLANK(G85),0,INDEX(Tablo_E!$B$2:$CX$102,MATCH(ROUND(Uzman_E!B$7,1),Tablo_E!$A$2:$A$102,1),MATCH(ROUND(H85,1),Tablo_E!$B$1:$CX$1,1)))</f>
        <v>0</v>
      </c>
      <c r="J85" s="60"/>
      <c r="K85" s="65">
        <f>IF(ISBLANK(J85),0,ABS(Uzman_E!C$7-J85))</f>
        <v>0</v>
      </c>
      <c r="L85" s="61">
        <f>IF(ISBLANK(J85),0,INDEX(Tablo_E!$B$2:$CX$102,MATCH(ROUND(Uzman_E!C$7,1),Tablo_E!$A$2:$A$102,1),MATCH(ROUND(K85,1),Tablo_E!$B$1:$CX$1,1)))</f>
        <v>0</v>
      </c>
      <c r="M85" s="60"/>
      <c r="N85" s="65">
        <f>IF(ISBLANK(M85),0,ABS(Uzman_E!D$7-M85))</f>
        <v>0</v>
      </c>
      <c r="O85" s="61">
        <f>IF(ISBLANK(M85),0,INDEX(Tablo_E!$B$2:$CX$102,MATCH(ROUND(Uzman_E!D$7,1),Tablo_E!$A$2:$A$102,1),MATCH(ROUND(N85,1),Tablo_E!$B$1:$CX$1,1)))</f>
        <v>0</v>
      </c>
      <c r="P85" s="60"/>
      <c r="Q85" s="65">
        <f>IF(ISBLANK(P85),0,ABS(Uzman_E!E$7-P85))</f>
        <v>0</v>
      </c>
      <c r="R85" s="61">
        <f>IF(ISBLANK(P85),0,INDEX(Tablo_E!$B$2:$CX$102,MATCH(ROUND(Uzman_E!E$7,1),Tablo_E!$A$2:$A$102,1),MATCH(ROUND(Q85,1),Tablo_E!$B$1:$CX$1,1)))</f>
        <v>0</v>
      </c>
      <c r="S85" s="62">
        <f t="shared" si="2"/>
        <v>0</v>
      </c>
      <c r="T85" s="50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</row>
    <row r="86" spans="1:36" ht="15" customHeight="1" x14ac:dyDescent="0.2">
      <c r="A86" s="57">
        <v>83</v>
      </c>
      <c r="B86" s="139">
        <f>Hakemler!B86</f>
        <v>0</v>
      </c>
      <c r="C86" s="140">
        <f>Hakemler!C86</f>
        <v>0</v>
      </c>
      <c r="D86" s="60"/>
      <c r="E86" s="65">
        <f>IF(ISBLANK(D86),0,ABS(Uzman_E!A$7-D86))</f>
        <v>0</v>
      </c>
      <c r="F86" s="61">
        <f>IF(ISBLANK(D86),0,INDEX(Tablo_E!$B$2:$CX$102,MATCH(ROUND(Uzman_E!A$7,1),Tablo_E!$A$2:$A$102,1),MATCH(ROUND(E86,1),Tablo_E!$B$1:$CX$1,1)))</f>
        <v>0</v>
      </c>
      <c r="G86" s="60"/>
      <c r="H86" s="65">
        <f>IF(ISBLANK(G86),0,ABS(Uzman_E!B$7-G86))</f>
        <v>0</v>
      </c>
      <c r="I86" s="61">
        <f>IF(ISBLANK(G86),0,INDEX(Tablo_E!$B$2:$CX$102,MATCH(ROUND(Uzman_E!B$7,1),Tablo_E!$A$2:$A$102,1),MATCH(ROUND(H86,1),Tablo_E!$B$1:$CX$1,1)))</f>
        <v>0</v>
      </c>
      <c r="J86" s="60"/>
      <c r="K86" s="65">
        <f>IF(ISBLANK(J86),0,ABS(Uzman_E!C$7-J86))</f>
        <v>0</v>
      </c>
      <c r="L86" s="61">
        <f>IF(ISBLANK(J86),0,INDEX(Tablo_E!$B$2:$CX$102,MATCH(ROUND(Uzman_E!C$7,1),Tablo_E!$A$2:$A$102,1),MATCH(ROUND(K86,1),Tablo_E!$B$1:$CX$1,1)))</f>
        <v>0</v>
      </c>
      <c r="M86" s="60"/>
      <c r="N86" s="65">
        <f>IF(ISBLANK(M86),0,ABS(Uzman_E!D$7-M86))</f>
        <v>0</v>
      </c>
      <c r="O86" s="61">
        <f>IF(ISBLANK(M86),0,INDEX(Tablo_E!$B$2:$CX$102,MATCH(ROUND(Uzman_E!D$7,1),Tablo_E!$A$2:$A$102,1),MATCH(ROUND(N86,1),Tablo_E!$B$1:$CX$1,1)))</f>
        <v>0</v>
      </c>
      <c r="P86" s="60"/>
      <c r="Q86" s="65">
        <f>IF(ISBLANK(P86),0,ABS(Uzman_E!E$7-P86))</f>
        <v>0</v>
      </c>
      <c r="R86" s="61">
        <f>IF(ISBLANK(P86),0,INDEX(Tablo_E!$B$2:$CX$102,MATCH(ROUND(Uzman_E!E$7,1),Tablo_E!$A$2:$A$102,1),MATCH(ROUND(Q86,1),Tablo_E!$B$1:$CX$1,1)))</f>
        <v>0</v>
      </c>
      <c r="S86" s="62">
        <f t="shared" si="2"/>
        <v>0</v>
      </c>
      <c r="T86" s="50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</row>
    <row r="87" spans="1:36" ht="15" customHeight="1" x14ac:dyDescent="0.2">
      <c r="A87" s="57">
        <v>84</v>
      </c>
      <c r="B87" s="139">
        <f>Hakemler!B87</f>
        <v>0</v>
      </c>
      <c r="C87" s="140">
        <f>Hakemler!C87</f>
        <v>0</v>
      </c>
      <c r="D87" s="60"/>
      <c r="E87" s="65">
        <f>IF(ISBLANK(D87),0,ABS(Uzman_E!A$7-D87))</f>
        <v>0</v>
      </c>
      <c r="F87" s="61">
        <f>IF(ISBLANK(D87),0,INDEX(Tablo_E!$B$2:$CX$102,MATCH(ROUND(Uzman_E!A$7,1),Tablo_E!$A$2:$A$102,1),MATCH(ROUND(E87,1),Tablo_E!$B$1:$CX$1,1)))</f>
        <v>0</v>
      </c>
      <c r="G87" s="60"/>
      <c r="H87" s="65">
        <f>IF(ISBLANK(G87),0,ABS(Uzman_E!B$7-G87))</f>
        <v>0</v>
      </c>
      <c r="I87" s="61">
        <f>IF(ISBLANK(G87),0,INDEX(Tablo_E!$B$2:$CX$102,MATCH(ROUND(Uzman_E!B$7,1),Tablo_E!$A$2:$A$102,1),MATCH(ROUND(H87,1),Tablo_E!$B$1:$CX$1,1)))</f>
        <v>0</v>
      </c>
      <c r="J87" s="60"/>
      <c r="K87" s="65">
        <f>IF(ISBLANK(J87),0,ABS(Uzman_E!C$7-J87))</f>
        <v>0</v>
      </c>
      <c r="L87" s="61">
        <f>IF(ISBLANK(J87),0,INDEX(Tablo_E!$B$2:$CX$102,MATCH(ROUND(Uzman_E!C$7,1),Tablo_E!$A$2:$A$102,1),MATCH(ROUND(K87,1),Tablo_E!$B$1:$CX$1,1)))</f>
        <v>0</v>
      </c>
      <c r="M87" s="60"/>
      <c r="N87" s="65">
        <f>IF(ISBLANK(M87),0,ABS(Uzman_E!D$7-M87))</f>
        <v>0</v>
      </c>
      <c r="O87" s="61">
        <f>IF(ISBLANK(M87),0,INDEX(Tablo_E!$B$2:$CX$102,MATCH(ROUND(Uzman_E!D$7,1),Tablo_E!$A$2:$A$102,1),MATCH(ROUND(N87,1),Tablo_E!$B$1:$CX$1,1)))</f>
        <v>0</v>
      </c>
      <c r="P87" s="60"/>
      <c r="Q87" s="65">
        <f>IF(ISBLANK(P87),0,ABS(Uzman_E!E$7-P87))</f>
        <v>0</v>
      </c>
      <c r="R87" s="61">
        <f>IF(ISBLANK(P87),0,INDEX(Tablo_E!$B$2:$CX$102,MATCH(ROUND(Uzman_E!E$7,1),Tablo_E!$A$2:$A$102,1),MATCH(ROUND(Q87,1),Tablo_E!$B$1:$CX$1,1)))</f>
        <v>0</v>
      </c>
      <c r="S87" s="62">
        <f t="shared" si="2"/>
        <v>0</v>
      </c>
      <c r="T87" s="50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</row>
    <row r="88" spans="1:36" ht="15" customHeight="1" x14ac:dyDescent="0.2">
      <c r="A88" s="57">
        <v>85</v>
      </c>
      <c r="B88" s="139">
        <f>Hakemler!B88</f>
        <v>0</v>
      </c>
      <c r="C88" s="140">
        <f>Hakemler!C88</f>
        <v>0</v>
      </c>
      <c r="D88" s="60"/>
      <c r="E88" s="65">
        <f>IF(ISBLANK(D88),0,ABS(Uzman_E!A$7-D88))</f>
        <v>0</v>
      </c>
      <c r="F88" s="61">
        <f>IF(ISBLANK(D88),0,INDEX(Tablo_E!$B$2:$CX$102,MATCH(ROUND(Uzman_E!A$7,1),Tablo_E!$A$2:$A$102,1),MATCH(ROUND(E88,1),Tablo_E!$B$1:$CX$1,1)))</f>
        <v>0</v>
      </c>
      <c r="G88" s="60"/>
      <c r="H88" s="65">
        <f>IF(ISBLANK(G88),0,ABS(Uzman_E!B$7-G88))</f>
        <v>0</v>
      </c>
      <c r="I88" s="61">
        <f>IF(ISBLANK(G88),0,INDEX(Tablo_E!$B$2:$CX$102,MATCH(ROUND(Uzman_E!B$7,1),Tablo_E!$A$2:$A$102,1),MATCH(ROUND(H88,1),Tablo_E!$B$1:$CX$1,1)))</f>
        <v>0</v>
      </c>
      <c r="J88" s="60"/>
      <c r="K88" s="65">
        <f>IF(ISBLANK(J88),0,ABS(Uzman_E!C$7-J88))</f>
        <v>0</v>
      </c>
      <c r="L88" s="61">
        <f>IF(ISBLANK(J88),0,INDEX(Tablo_E!$B$2:$CX$102,MATCH(ROUND(Uzman_E!C$7,1),Tablo_E!$A$2:$A$102,1),MATCH(ROUND(K88,1),Tablo_E!$B$1:$CX$1,1)))</f>
        <v>0</v>
      </c>
      <c r="M88" s="60"/>
      <c r="N88" s="65">
        <f>IF(ISBLANK(M88),0,ABS(Uzman_E!D$7-M88))</f>
        <v>0</v>
      </c>
      <c r="O88" s="61">
        <f>IF(ISBLANK(M88),0,INDEX(Tablo_E!$B$2:$CX$102,MATCH(ROUND(Uzman_E!D$7,1),Tablo_E!$A$2:$A$102,1),MATCH(ROUND(N88,1),Tablo_E!$B$1:$CX$1,1)))</f>
        <v>0</v>
      </c>
      <c r="P88" s="60"/>
      <c r="Q88" s="65">
        <f>IF(ISBLANK(P88),0,ABS(Uzman_E!E$7-P88))</f>
        <v>0</v>
      </c>
      <c r="R88" s="61">
        <f>IF(ISBLANK(P88),0,INDEX(Tablo_E!$B$2:$CX$102,MATCH(ROUND(Uzman_E!E$7,1),Tablo_E!$A$2:$A$102,1),MATCH(ROUND(Q88,1),Tablo_E!$B$1:$CX$1,1)))</f>
        <v>0</v>
      </c>
      <c r="S88" s="62">
        <f t="shared" si="2"/>
        <v>0</v>
      </c>
      <c r="T88" s="50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</row>
    <row r="89" spans="1:36" ht="15" customHeight="1" x14ac:dyDescent="0.2">
      <c r="A89" s="57">
        <v>86</v>
      </c>
      <c r="B89" s="139">
        <f>Hakemler!B89</f>
        <v>0</v>
      </c>
      <c r="C89" s="140">
        <f>Hakemler!C89</f>
        <v>0</v>
      </c>
      <c r="D89" s="60"/>
      <c r="E89" s="65">
        <f>IF(ISBLANK(D89),0,ABS(Uzman_E!A$7-D89))</f>
        <v>0</v>
      </c>
      <c r="F89" s="61">
        <f>IF(ISBLANK(D89),0,INDEX(Tablo_E!$B$2:$CX$102,MATCH(ROUND(Uzman_E!A$7,1),Tablo_E!$A$2:$A$102,1),MATCH(ROUND(E89,1),Tablo_E!$B$1:$CX$1,1)))</f>
        <v>0</v>
      </c>
      <c r="G89" s="60"/>
      <c r="H89" s="65">
        <f>IF(ISBLANK(G89),0,ABS(Uzman_E!B$7-G89))</f>
        <v>0</v>
      </c>
      <c r="I89" s="61">
        <f>IF(ISBLANK(G89),0,INDEX(Tablo_E!$B$2:$CX$102,MATCH(ROUND(Uzman_E!B$7,1),Tablo_E!$A$2:$A$102,1),MATCH(ROUND(H89,1),Tablo_E!$B$1:$CX$1,1)))</f>
        <v>0</v>
      </c>
      <c r="J89" s="60"/>
      <c r="K89" s="65">
        <f>IF(ISBLANK(J89),0,ABS(Uzman_E!C$7-J89))</f>
        <v>0</v>
      </c>
      <c r="L89" s="61">
        <f>IF(ISBLANK(J89),0,INDEX(Tablo_E!$B$2:$CX$102,MATCH(ROUND(Uzman_E!C$7,1),Tablo_E!$A$2:$A$102,1),MATCH(ROUND(K89,1),Tablo_E!$B$1:$CX$1,1)))</f>
        <v>0</v>
      </c>
      <c r="M89" s="60"/>
      <c r="N89" s="65">
        <f>IF(ISBLANK(M89),0,ABS(Uzman_E!D$7-M89))</f>
        <v>0</v>
      </c>
      <c r="O89" s="61">
        <f>IF(ISBLANK(M89),0,INDEX(Tablo_E!$B$2:$CX$102,MATCH(ROUND(Uzman_E!D$7,1),Tablo_E!$A$2:$A$102,1),MATCH(ROUND(N89,1),Tablo_E!$B$1:$CX$1,1)))</f>
        <v>0</v>
      </c>
      <c r="P89" s="60"/>
      <c r="Q89" s="65">
        <f>IF(ISBLANK(P89),0,ABS(Uzman_E!E$7-P89))</f>
        <v>0</v>
      </c>
      <c r="R89" s="61">
        <f>IF(ISBLANK(P89),0,INDEX(Tablo_E!$B$2:$CX$102,MATCH(ROUND(Uzman_E!E$7,1),Tablo_E!$A$2:$A$102,1),MATCH(ROUND(Q89,1),Tablo_E!$B$1:$CX$1,1)))</f>
        <v>0</v>
      </c>
      <c r="S89" s="62">
        <f t="shared" si="2"/>
        <v>0</v>
      </c>
      <c r="T89" s="50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</row>
    <row r="90" spans="1:36" ht="15" customHeight="1" x14ac:dyDescent="0.2">
      <c r="A90" s="57">
        <v>87</v>
      </c>
      <c r="B90" s="139">
        <f>Hakemler!B90</f>
        <v>0</v>
      </c>
      <c r="C90" s="140">
        <f>Hakemler!C90</f>
        <v>0</v>
      </c>
      <c r="D90" s="60"/>
      <c r="E90" s="65">
        <f>IF(ISBLANK(D90),0,ABS(Uzman_E!A$7-D90))</f>
        <v>0</v>
      </c>
      <c r="F90" s="61">
        <f>IF(ISBLANK(D90),0,INDEX(Tablo_E!$B$2:$CX$102,MATCH(ROUND(Uzman_E!A$7,1),Tablo_E!$A$2:$A$102,1),MATCH(ROUND(E90,1),Tablo_E!$B$1:$CX$1,1)))</f>
        <v>0</v>
      </c>
      <c r="G90" s="60"/>
      <c r="H90" s="65">
        <f>IF(ISBLANK(G90),0,ABS(Uzman_E!B$7-G90))</f>
        <v>0</v>
      </c>
      <c r="I90" s="61">
        <f>IF(ISBLANK(G90),0,INDEX(Tablo_E!$B$2:$CX$102,MATCH(ROUND(Uzman_E!B$7,1),Tablo_E!$A$2:$A$102,1),MATCH(ROUND(H90,1),Tablo_E!$B$1:$CX$1,1)))</f>
        <v>0</v>
      </c>
      <c r="J90" s="60"/>
      <c r="K90" s="65">
        <f>IF(ISBLANK(J90),0,ABS(Uzman_E!C$7-J90))</f>
        <v>0</v>
      </c>
      <c r="L90" s="61">
        <f>IF(ISBLANK(J90),0,INDEX(Tablo_E!$B$2:$CX$102,MATCH(ROUND(Uzman_E!C$7,1),Tablo_E!$A$2:$A$102,1),MATCH(ROUND(K90,1),Tablo_E!$B$1:$CX$1,1)))</f>
        <v>0</v>
      </c>
      <c r="M90" s="60"/>
      <c r="N90" s="65">
        <f>IF(ISBLANK(M90),0,ABS(Uzman_E!D$7-M90))</f>
        <v>0</v>
      </c>
      <c r="O90" s="61">
        <f>IF(ISBLANK(M90),0,INDEX(Tablo_E!$B$2:$CX$102,MATCH(ROUND(Uzman_E!D$7,1),Tablo_E!$A$2:$A$102,1),MATCH(ROUND(N90,1),Tablo_E!$B$1:$CX$1,1)))</f>
        <v>0</v>
      </c>
      <c r="P90" s="60"/>
      <c r="Q90" s="65">
        <f>IF(ISBLANK(P90),0,ABS(Uzman_E!E$7-P90))</f>
        <v>0</v>
      </c>
      <c r="R90" s="61">
        <f>IF(ISBLANK(P90),0,INDEX(Tablo_E!$B$2:$CX$102,MATCH(ROUND(Uzman_E!E$7,1),Tablo_E!$A$2:$A$102,1),MATCH(ROUND(Q90,1),Tablo_E!$B$1:$CX$1,1)))</f>
        <v>0</v>
      </c>
      <c r="S90" s="62">
        <f t="shared" si="2"/>
        <v>0</v>
      </c>
      <c r="T90" s="50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</row>
    <row r="91" spans="1:36" ht="15" customHeight="1" x14ac:dyDescent="0.2">
      <c r="A91" s="57">
        <v>88</v>
      </c>
      <c r="B91" s="139">
        <f>Hakemler!B91</f>
        <v>0</v>
      </c>
      <c r="C91" s="140">
        <f>Hakemler!C91</f>
        <v>0</v>
      </c>
      <c r="D91" s="60"/>
      <c r="E91" s="65">
        <f>IF(ISBLANK(D91),0,ABS(Uzman_E!A$7-D91))</f>
        <v>0</v>
      </c>
      <c r="F91" s="61">
        <f>IF(ISBLANK(D91),0,INDEX(Tablo_E!$B$2:$CX$102,MATCH(ROUND(Uzman_E!A$7,1),Tablo_E!$A$2:$A$102,1),MATCH(ROUND(E91,1),Tablo_E!$B$1:$CX$1,1)))</f>
        <v>0</v>
      </c>
      <c r="G91" s="60"/>
      <c r="H91" s="65">
        <f>IF(ISBLANK(G91),0,ABS(Uzman_E!B$7-G91))</f>
        <v>0</v>
      </c>
      <c r="I91" s="61">
        <f>IF(ISBLANK(G91),0,INDEX(Tablo_E!$B$2:$CX$102,MATCH(ROUND(Uzman_E!B$7,1),Tablo_E!$A$2:$A$102,1),MATCH(ROUND(H91,1),Tablo_E!$B$1:$CX$1,1)))</f>
        <v>0</v>
      </c>
      <c r="J91" s="60"/>
      <c r="K91" s="65">
        <f>IF(ISBLANK(J91),0,ABS(Uzman_E!C$7-J91))</f>
        <v>0</v>
      </c>
      <c r="L91" s="61">
        <f>IF(ISBLANK(J91),0,INDEX(Tablo_E!$B$2:$CX$102,MATCH(ROUND(Uzman_E!C$7,1),Tablo_E!$A$2:$A$102,1),MATCH(ROUND(K91,1),Tablo_E!$B$1:$CX$1,1)))</f>
        <v>0</v>
      </c>
      <c r="M91" s="60"/>
      <c r="N91" s="65">
        <f>IF(ISBLANK(M91),0,ABS(Uzman_E!D$7-M91))</f>
        <v>0</v>
      </c>
      <c r="O91" s="61">
        <f>IF(ISBLANK(M91),0,INDEX(Tablo_E!$B$2:$CX$102,MATCH(ROUND(Uzman_E!D$7,1),Tablo_E!$A$2:$A$102,1),MATCH(ROUND(N91,1),Tablo_E!$B$1:$CX$1,1)))</f>
        <v>0</v>
      </c>
      <c r="P91" s="60"/>
      <c r="Q91" s="65">
        <f>IF(ISBLANK(P91),0,ABS(Uzman_E!E$7-P91))</f>
        <v>0</v>
      </c>
      <c r="R91" s="61">
        <f>IF(ISBLANK(P91),0,INDEX(Tablo_E!$B$2:$CX$102,MATCH(ROUND(Uzman_E!E$7,1),Tablo_E!$A$2:$A$102,1),MATCH(ROUND(Q91,1),Tablo_E!$B$1:$CX$1,1)))</f>
        <v>0</v>
      </c>
      <c r="S91" s="62">
        <f t="shared" si="2"/>
        <v>0</v>
      </c>
      <c r="T91" s="50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</row>
    <row r="92" spans="1:36" ht="15" customHeight="1" x14ac:dyDescent="0.2">
      <c r="A92" s="57">
        <v>89</v>
      </c>
      <c r="B92" s="139">
        <f>Hakemler!B92</f>
        <v>0</v>
      </c>
      <c r="C92" s="140">
        <f>Hakemler!C92</f>
        <v>0</v>
      </c>
      <c r="D92" s="60"/>
      <c r="E92" s="65">
        <f>IF(ISBLANK(D92),0,ABS(Uzman_E!A$7-D92))</f>
        <v>0</v>
      </c>
      <c r="F92" s="61">
        <f>IF(ISBLANK(D92),0,INDEX(Tablo_E!$B$2:$CX$102,MATCH(ROUND(Uzman_E!A$7,1),Tablo_E!$A$2:$A$102,1),MATCH(ROUND(E92,1),Tablo_E!$B$1:$CX$1,1)))</f>
        <v>0</v>
      </c>
      <c r="G92" s="60"/>
      <c r="H92" s="65">
        <f>IF(ISBLANK(G92),0,ABS(Uzman_E!B$7-G92))</f>
        <v>0</v>
      </c>
      <c r="I92" s="61">
        <f>IF(ISBLANK(G92),0,INDEX(Tablo_E!$B$2:$CX$102,MATCH(ROUND(Uzman_E!B$7,1),Tablo_E!$A$2:$A$102,1),MATCH(ROUND(H92,1),Tablo_E!$B$1:$CX$1,1)))</f>
        <v>0</v>
      </c>
      <c r="J92" s="60"/>
      <c r="K92" s="65">
        <f>IF(ISBLANK(J92),0,ABS(Uzman_E!C$7-J92))</f>
        <v>0</v>
      </c>
      <c r="L92" s="61">
        <f>IF(ISBLANK(J92),0,INDEX(Tablo_E!$B$2:$CX$102,MATCH(ROUND(Uzman_E!C$7,1),Tablo_E!$A$2:$A$102,1),MATCH(ROUND(K92,1),Tablo_E!$B$1:$CX$1,1)))</f>
        <v>0</v>
      </c>
      <c r="M92" s="60"/>
      <c r="N92" s="65">
        <f>IF(ISBLANK(M92),0,ABS(Uzman_E!D$7-M92))</f>
        <v>0</v>
      </c>
      <c r="O92" s="61">
        <f>IF(ISBLANK(M92),0,INDEX(Tablo_E!$B$2:$CX$102,MATCH(ROUND(Uzman_E!D$7,1),Tablo_E!$A$2:$A$102,1),MATCH(ROUND(N92,1),Tablo_E!$B$1:$CX$1,1)))</f>
        <v>0</v>
      </c>
      <c r="P92" s="60"/>
      <c r="Q92" s="65">
        <f>IF(ISBLANK(P92),0,ABS(Uzman_E!E$7-P92))</f>
        <v>0</v>
      </c>
      <c r="R92" s="61">
        <f>IF(ISBLANK(P92),0,INDEX(Tablo_E!$B$2:$CX$102,MATCH(ROUND(Uzman_E!E$7,1),Tablo_E!$A$2:$A$102,1),MATCH(ROUND(Q92,1),Tablo_E!$B$1:$CX$1,1)))</f>
        <v>0</v>
      </c>
      <c r="S92" s="62">
        <f t="shared" si="2"/>
        <v>0</v>
      </c>
      <c r="T92" s="50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</row>
    <row r="93" spans="1:36" ht="15" customHeight="1" x14ac:dyDescent="0.2">
      <c r="A93" s="57">
        <v>90</v>
      </c>
      <c r="B93" s="139">
        <f>Hakemler!B93</f>
        <v>0</v>
      </c>
      <c r="C93" s="140">
        <f>Hakemler!C93</f>
        <v>0</v>
      </c>
      <c r="D93" s="60"/>
      <c r="E93" s="65">
        <f>IF(ISBLANK(D93),0,ABS(Uzman_E!A$7-D93))</f>
        <v>0</v>
      </c>
      <c r="F93" s="61">
        <f>IF(ISBLANK(D93),0,INDEX(Tablo_E!$B$2:$CX$102,MATCH(ROUND(Uzman_E!A$7,1),Tablo_E!$A$2:$A$102,1),MATCH(ROUND(E93,1),Tablo_E!$B$1:$CX$1,1)))</f>
        <v>0</v>
      </c>
      <c r="G93" s="60"/>
      <c r="H93" s="65">
        <f>IF(ISBLANK(G93),0,ABS(Uzman_E!B$7-G93))</f>
        <v>0</v>
      </c>
      <c r="I93" s="61">
        <f>IF(ISBLANK(G93),0,INDEX(Tablo_E!$B$2:$CX$102,MATCH(ROUND(Uzman_E!B$7,1),Tablo_E!$A$2:$A$102,1),MATCH(ROUND(H93,1),Tablo_E!$B$1:$CX$1,1)))</f>
        <v>0</v>
      </c>
      <c r="J93" s="60"/>
      <c r="K93" s="65">
        <f>IF(ISBLANK(J93),0,ABS(Uzman_E!C$7-J93))</f>
        <v>0</v>
      </c>
      <c r="L93" s="61">
        <f>IF(ISBLANK(J93),0,INDEX(Tablo_E!$B$2:$CX$102,MATCH(ROUND(Uzman_E!C$7,1),Tablo_E!$A$2:$A$102,1),MATCH(ROUND(K93,1),Tablo_E!$B$1:$CX$1,1)))</f>
        <v>0</v>
      </c>
      <c r="M93" s="60"/>
      <c r="N93" s="65">
        <f>IF(ISBLANK(M93),0,ABS(Uzman_E!D$7-M93))</f>
        <v>0</v>
      </c>
      <c r="O93" s="61">
        <f>IF(ISBLANK(M93),0,INDEX(Tablo_E!$B$2:$CX$102,MATCH(ROUND(Uzman_E!D$7,1),Tablo_E!$A$2:$A$102,1),MATCH(ROUND(N93,1),Tablo_E!$B$1:$CX$1,1)))</f>
        <v>0</v>
      </c>
      <c r="P93" s="60"/>
      <c r="Q93" s="65">
        <f>IF(ISBLANK(P93),0,ABS(Uzman_E!E$7-P93))</f>
        <v>0</v>
      </c>
      <c r="R93" s="61">
        <f>IF(ISBLANK(P93),0,INDEX(Tablo_E!$B$2:$CX$102,MATCH(ROUND(Uzman_E!E$7,1),Tablo_E!$A$2:$A$102,1),MATCH(ROUND(Q93,1),Tablo_E!$B$1:$CX$1,1)))</f>
        <v>0</v>
      </c>
      <c r="S93" s="62">
        <f t="shared" si="2"/>
        <v>0</v>
      </c>
      <c r="T93" s="50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ht="15" customHeight="1" x14ac:dyDescent="0.2">
      <c r="A94" s="57">
        <v>91</v>
      </c>
      <c r="B94" s="139">
        <f>Hakemler!B94</f>
        <v>0</v>
      </c>
      <c r="C94" s="140">
        <f>Hakemler!C94</f>
        <v>0</v>
      </c>
      <c r="D94" s="60"/>
      <c r="E94" s="65">
        <f>IF(ISBLANK(D94),0,ABS(Uzman_E!A$7-D94))</f>
        <v>0</v>
      </c>
      <c r="F94" s="61">
        <f>IF(ISBLANK(D94),0,INDEX(Tablo_E!$B$2:$CX$102,MATCH(ROUND(Uzman_E!A$7,1),Tablo_E!$A$2:$A$102,1),MATCH(ROUND(E94,1),Tablo_E!$B$1:$CX$1,1)))</f>
        <v>0</v>
      </c>
      <c r="G94" s="60"/>
      <c r="H94" s="65">
        <f>IF(ISBLANK(G94),0,ABS(Uzman_E!B$7-G94))</f>
        <v>0</v>
      </c>
      <c r="I94" s="61">
        <f>IF(ISBLANK(G94),0,INDEX(Tablo_E!$B$2:$CX$102,MATCH(ROUND(Uzman_E!B$7,1),Tablo_E!$A$2:$A$102,1),MATCH(ROUND(H94,1),Tablo_E!$B$1:$CX$1,1)))</f>
        <v>0</v>
      </c>
      <c r="J94" s="60"/>
      <c r="K94" s="65">
        <f>IF(ISBLANK(J94),0,ABS(Uzman_E!C$7-J94))</f>
        <v>0</v>
      </c>
      <c r="L94" s="61">
        <f>IF(ISBLANK(J94),0,INDEX(Tablo_E!$B$2:$CX$102,MATCH(ROUND(Uzman_E!C$7,1),Tablo_E!$A$2:$A$102,1),MATCH(ROUND(K94,1),Tablo_E!$B$1:$CX$1,1)))</f>
        <v>0</v>
      </c>
      <c r="M94" s="60"/>
      <c r="N94" s="65">
        <f>IF(ISBLANK(M94),0,ABS(Uzman_E!D$7-M94))</f>
        <v>0</v>
      </c>
      <c r="O94" s="61">
        <f>IF(ISBLANK(M94),0,INDEX(Tablo_E!$B$2:$CX$102,MATCH(ROUND(Uzman_E!D$7,1),Tablo_E!$A$2:$A$102,1),MATCH(ROUND(N94,1),Tablo_E!$B$1:$CX$1,1)))</f>
        <v>0</v>
      </c>
      <c r="P94" s="60"/>
      <c r="Q94" s="65">
        <f>IF(ISBLANK(P94),0,ABS(Uzman_E!E$7-P94))</f>
        <v>0</v>
      </c>
      <c r="R94" s="61">
        <f>IF(ISBLANK(P94),0,INDEX(Tablo_E!$B$2:$CX$102,MATCH(ROUND(Uzman_E!E$7,1),Tablo_E!$A$2:$A$102,1),MATCH(ROUND(Q94,1),Tablo_E!$B$1:$CX$1,1)))</f>
        <v>0</v>
      </c>
      <c r="S94" s="62">
        <f t="shared" si="2"/>
        <v>0</v>
      </c>
      <c r="T94" s="50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ht="15" customHeight="1" x14ac:dyDescent="0.2">
      <c r="A95" s="57">
        <v>92</v>
      </c>
      <c r="B95" s="139">
        <f>Hakemler!B95</f>
        <v>0</v>
      </c>
      <c r="C95" s="140">
        <f>Hakemler!C95</f>
        <v>0</v>
      </c>
      <c r="D95" s="60"/>
      <c r="E95" s="65">
        <f>IF(ISBLANK(D95),0,ABS(Uzman_E!A$7-D95))</f>
        <v>0</v>
      </c>
      <c r="F95" s="61">
        <f>IF(ISBLANK(D95),0,INDEX(Tablo_E!$B$2:$CX$102,MATCH(ROUND(Uzman_E!A$7,1),Tablo_E!$A$2:$A$102,1),MATCH(ROUND(E95,1),Tablo_E!$B$1:$CX$1,1)))</f>
        <v>0</v>
      </c>
      <c r="G95" s="60"/>
      <c r="H95" s="65">
        <f>IF(ISBLANK(G95),0,ABS(Uzman_E!B$7-G95))</f>
        <v>0</v>
      </c>
      <c r="I95" s="61">
        <f>IF(ISBLANK(G95),0,INDEX(Tablo_E!$B$2:$CX$102,MATCH(ROUND(Uzman_E!B$7,1),Tablo_E!$A$2:$A$102,1),MATCH(ROUND(H95,1),Tablo_E!$B$1:$CX$1,1)))</f>
        <v>0</v>
      </c>
      <c r="J95" s="60"/>
      <c r="K95" s="65">
        <f>IF(ISBLANK(J95),0,ABS(Uzman_E!C$7-J95))</f>
        <v>0</v>
      </c>
      <c r="L95" s="61">
        <f>IF(ISBLANK(J95),0,INDEX(Tablo_E!$B$2:$CX$102,MATCH(ROUND(Uzman_E!C$7,1),Tablo_E!$A$2:$A$102,1),MATCH(ROUND(K95,1),Tablo_E!$B$1:$CX$1,1)))</f>
        <v>0</v>
      </c>
      <c r="M95" s="60"/>
      <c r="N95" s="65">
        <f>IF(ISBLANK(M95),0,ABS(Uzman_E!D$7-M95))</f>
        <v>0</v>
      </c>
      <c r="O95" s="61">
        <f>IF(ISBLANK(M95),0,INDEX(Tablo_E!$B$2:$CX$102,MATCH(ROUND(Uzman_E!D$7,1),Tablo_E!$A$2:$A$102,1),MATCH(ROUND(N95,1),Tablo_E!$B$1:$CX$1,1)))</f>
        <v>0</v>
      </c>
      <c r="P95" s="60"/>
      <c r="Q95" s="65">
        <f>IF(ISBLANK(P95),0,ABS(Uzman_E!E$7-P95))</f>
        <v>0</v>
      </c>
      <c r="R95" s="61">
        <f>IF(ISBLANK(P95),0,INDEX(Tablo_E!$B$2:$CX$102,MATCH(ROUND(Uzman_E!E$7,1),Tablo_E!$A$2:$A$102,1),MATCH(ROUND(Q95,1),Tablo_E!$B$1:$CX$1,1)))</f>
        <v>0</v>
      </c>
      <c r="S95" s="62">
        <f t="shared" si="2"/>
        <v>0</v>
      </c>
      <c r="T95" s="50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spans="1:36" ht="15" customHeight="1" x14ac:dyDescent="0.2">
      <c r="A96" s="57">
        <v>93</v>
      </c>
      <c r="B96" s="139">
        <f>Hakemler!B96</f>
        <v>0</v>
      </c>
      <c r="C96" s="140">
        <f>Hakemler!C96</f>
        <v>0</v>
      </c>
      <c r="D96" s="60"/>
      <c r="E96" s="65">
        <f>IF(ISBLANK(D96),0,ABS(Uzman_E!A$7-D96))</f>
        <v>0</v>
      </c>
      <c r="F96" s="61">
        <f>IF(ISBLANK(D96),0,INDEX(Tablo_E!$B$2:$CX$102,MATCH(ROUND(Uzman_E!A$7,1),Tablo_E!$A$2:$A$102,1),MATCH(ROUND(E96,1),Tablo_E!$B$1:$CX$1,1)))</f>
        <v>0</v>
      </c>
      <c r="G96" s="60"/>
      <c r="H96" s="65">
        <f>IF(ISBLANK(G96),0,ABS(Uzman_E!B$7-G96))</f>
        <v>0</v>
      </c>
      <c r="I96" s="61">
        <f>IF(ISBLANK(G96),0,INDEX(Tablo_E!$B$2:$CX$102,MATCH(ROUND(Uzman_E!B$7,1),Tablo_E!$A$2:$A$102,1),MATCH(ROUND(H96,1),Tablo_E!$B$1:$CX$1,1)))</f>
        <v>0</v>
      </c>
      <c r="J96" s="60"/>
      <c r="K96" s="65">
        <f>IF(ISBLANK(J96),0,ABS(Uzman_E!C$7-J96))</f>
        <v>0</v>
      </c>
      <c r="L96" s="61">
        <f>IF(ISBLANK(J96),0,INDEX(Tablo_E!$B$2:$CX$102,MATCH(ROUND(Uzman_E!C$7,1),Tablo_E!$A$2:$A$102,1),MATCH(ROUND(K96,1),Tablo_E!$B$1:$CX$1,1)))</f>
        <v>0</v>
      </c>
      <c r="M96" s="60"/>
      <c r="N96" s="65">
        <f>IF(ISBLANK(M96),0,ABS(Uzman_E!D$7-M96))</f>
        <v>0</v>
      </c>
      <c r="O96" s="61">
        <f>IF(ISBLANK(M96),0,INDEX(Tablo_E!$B$2:$CX$102,MATCH(ROUND(Uzman_E!D$7,1),Tablo_E!$A$2:$A$102,1),MATCH(ROUND(N96,1),Tablo_E!$B$1:$CX$1,1)))</f>
        <v>0</v>
      </c>
      <c r="P96" s="60"/>
      <c r="Q96" s="65">
        <f>IF(ISBLANK(P96),0,ABS(Uzman_E!E$7-P96))</f>
        <v>0</v>
      </c>
      <c r="R96" s="61">
        <f>IF(ISBLANK(P96),0,INDEX(Tablo_E!$B$2:$CX$102,MATCH(ROUND(Uzman_E!E$7,1),Tablo_E!$A$2:$A$102,1),MATCH(ROUND(Q96,1),Tablo_E!$B$1:$CX$1,1)))</f>
        <v>0</v>
      </c>
      <c r="S96" s="62">
        <f t="shared" si="2"/>
        <v>0</v>
      </c>
      <c r="T96" s="50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</row>
    <row r="97" spans="1:36" ht="15" customHeight="1" x14ac:dyDescent="0.2">
      <c r="A97" s="57">
        <v>94</v>
      </c>
      <c r="B97" s="139">
        <f>Hakemler!B97</f>
        <v>0</v>
      </c>
      <c r="C97" s="140">
        <f>Hakemler!C97</f>
        <v>0</v>
      </c>
      <c r="D97" s="60"/>
      <c r="E97" s="65">
        <f>IF(ISBLANK(D97),0,ABS(Uzman_E!A$7-D97))</f>
        <v>0</v>
      </c>
      <c r="F97" s="61">
        <f>IF(ISBLANK(D97),0,INDEX(Tablo_E!$B$2:$CX$102,MATCH(ROUND(Uzman_E!A$7,1),Tablo_E!$A$2:$A$102,1),MATCH(ROUND(E97,1),Tablo_E!$B$1:$CX$1,1)))</f>
        <v>0</v>
      </c>
      <c r="G97" s="60"/>
      <c r="H97" s="65">
        <f>IF(ISBLANK(G97),0,ABS(Uzman_E!B$7-G97))</f>
        <v>0</v>
      </c>
      <c r="I97" s="61">
        <f>IF(ISBLANK(G97),0,INDEX(Tablo_E!$B$2:$CX$102,MATCH(ROUND(Uzman_E!B$7,1),Tablo_E!$A$2:$A$102,1),MATCH(ROUND(H97,1),Tablo_E!$B$1:$CX$1,1)))</f>
        <v>0</v>
      </c>
      <c r="J97" s="60"/>
      <c r="K97" s="65">
        <f>IF(ISBLANK(J97),0,ABS(Uzman_E!C$7-J97))</f>
        <v>0</v>
      </c>
      <c r="L97" s="61">
        <f>IF(ISBLANK(J97),0,INDEX(Tablo_E!$B$2:$CX$102,MATCH(ROUND(Uzman_E!C$7,1),Tablo_E!$A$2:$A$102,1),MATCH(ROUND(K97,1),Tablo_E!$B$1:$CX$1,1)))</f>
        <v>0</v>
      </c>
      <c r="M97" s="60"/>
      <c r="N97" s="65">
        <f>IF(ISBLANK(M97),0,ABS(Uzman_E!D$7-M97))</f>
        <v>0</v>
      </c>
      <c r="O97" s="61">
        <f>IF(ISBLANK(M97),0,INDEX(Tablo_E!$B$2:$CX$102,MATCH(ROUND(Uzman_E!D$7,1),Tablo_E!$A$2:$A$102,1),MATCH(ROUND(N97,1),Tablo_E!$B$1:$CX$1,1)))</f>
        <v>0</v>
      </c>
      <c r="P97" s="60"/>
      <c r="Q97" s="65">
        <f>IF(ISBLANK(P97),0,ABS(Uzman_E!E$7-P97))</f>
        <v>0</v>
      </c>
      <c r="R97" s="61">
        <f>IF(ISBLANK(P97),0,INDEX(Tablo_E!$B$2:$CX$102,MATCH(ROUND(Uzman_E!E$7,1),Tablo_E!$A$2:$A$102,1),MATCH(ROUND(Q97,1),Tablo_E!$B$1:$CX$1,1)))</f>
        <v>0</v>
      </c>
      <c r="S97" s="62">
        <f t="shared" si="2"/>
        <v>0</v>
      </c>
      <c r="T97" s="50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</row>
    <row r="98" spans="1:36" ht="15" customHeight="1" x14ac:dyDescent="0.2">
      <c r="A98" s="57">
        <v>95</v>
      </c>
      <c r="B98" s="139">
        <f>Hakemler!B98</f>
        <v>0</v>
      </c>
      <c r="C98" s="140">
        <f>Hakemler!C98</f>
        <v>0</v>
      </c>
      <c r="D98" s="60"/>
      <c r="E98" s="65">
        <f>IF(ISBLANK(D98),0,ABS(Uzman_E!A$7-D98))</f>
        <v>0</v>
      </c>
      <c r="F98" s="61">
        <f>IF(ISBLANK(D98),0,INDEX(Tablo_E!$B$2:$CX$102,MATCH(ROUND(Uzman_E!A$7,1),Tablo_E!$A$2:$A$102,1),MATCH(ROUND(E98,1),Tablo_E!$B$1:$CX$1,1)))</f>
        <v>0</v>
      </c>
      <c r="G98" s="60"/>
      <c r="H98" s="65">
        <f>IF(ISBLANK(G98),0,ABS(Uzman_E!B$7-G98))</f>
        <v>0</v>
      </c>
      <c r="I98" s="61">
        <f>IF(ISBLANK(G98),0,INDEX(Tablo_E!$B$2:$CX$102,MATCH(ROUND(Uzman_E!B$7,1),Tablo_E!$A$2:$A$102,1),MATCH(ROUND(H98,1),Tablo_E!$B$1:$CX$1,1)))</f>
        <v>0</v>
      </c>
      <c r="J98" s="60"/>
      <c r="K98" s="65">
        <f>IF(ISBLANK(J98),0,ABS(Uzman_E!C$7-J98))</f>
        <v>0</v>
      </c>
      <c r="L98" s="61">
        <f>IF(ISBLANK(J98),0,INDEX(Tablo_E!$B$2:$CX$102,MATCH(ROUND(Uzman_E!C$7,1),Tablo_E!$A$2:$A$102,1),MATCH(ROUND(K98,1),Tablo_E!$B$1:$CX$1,1)))</f>
        <v>0</v>
      </c>
      <c r="M98" s="60"/>
      <c r="N98" s="65">
        <f>IF(ISBLANK(M98),0,ABS(Uzman_E!D$7-M98))</f>
        <v>0</v>
      </c>
      <c r="O98" s="61">
        <f>IF(ISBLANK(M98),0,INDEX(Tablo_E!$B$2:$CX$102,MATCH(ROUND(Uzman_E!D$7,1),Tablo_E!$A$2:$A$102,1),MATCH(ROUND(N98,1),Tablo_E!$B$1:$CX$1,1)))</f>
        <v>0</v>
      </c>
      <c r="P98" s="60"/>
      <c r="Q98" s="65">
        <f>IF(ISBLANK(P98),0,ABS(Uzman_E!E$7-P98))</f>
        <v>0</v>
      </c>
      <c r="R98" s="61">
        <f>IF(ISBLANK(P98),0,INDEX(Tablo_E!$B$2:$CX$102,MATCH(ROUND(Uzman_E!E$7,1),Tablo_E!$A$2:$A$102,1),MATCH(ROUND(Q98,1),Tablo_E!$B$1:$CX$1,1)))</f>
        <v>0</v>
      </c>
      <c r="S98" s="62">
        <f t="shared" si="2"/>
        <v>0</v>
      </c>
      <c r="T98" s="50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</row>
    <row r="99" spans="1:36" ht="15" customHeight="1" x14ac:dyDescent="0.2">
      <c r="A99" s="57">
        <v>96</v>
      </c>
      <c r="B99" s="139">
        <f>Hakemler!B99</f>
        <v>0</v>
      </c>
      <c r="C99" s="140">
        <f>Hakemler!C99</f>
        <v>0</v>
      </c>
      <c r="D99" s="60"/>
      <c r="E99" s="65">
        <f>IF(ISBLANK(D99),0,ABS(Uzman_E!A$7-D99))</f>
        <v>0</v>
      </c>
      <c r="F99" s="61">
        <f>IF(ISBLANK(D99),0,INDEX(Tablo_E!$B$2:$CX$102,MATCH(ROUND(Uzman_E!A$7,1),Tablo_E!$A$2:$A$102,1),MATCH(ROUND(E99,1),Tablo_E!$B$1:$CX$1,1)))</f>
        <v>0</v>
      </c>
      <c r="G99" s="60"/>
      <c r="H99" s="65">
        <f>IF(ISBLANK(G99),0,ABS(Uzman_E!B$7-G99))</f>
        <v>0</v>
      </c>
      <c r="I99" s="61">
        <f>IF(ISBLANK(G99),0,INDEX(Tablo_E!$B$2:$CX$102,MATCH(ROUND(Uzman_E!B$7,1),Tablo_E!$A$2:$A$102,1),MATCH(ROUND(H99,1),Tablo_E!$B$1:$CX$1,1)))</f>
        <v>0</v>
      </c>
      <c r="J99" s="60"/>
      <c r="K99" s="65">
        <f>IF(ISBLANK(J99),0,ABS(Uzman_E!C$7-J99))</f>
        <v>0</v>
      </c>
      <c r="L99" s="61">
        <f>IF(ISBLANK(J99),0,INDEX(Tablo_E!$B$2:$CX$102,MATCH(ROUND(Uzman_E!C$7,1),Tablo_E!$A$2:$A$102,1),MATCH(ROUND(K99,1),Tablo_E!$B$1:$CX$1,1)))</f>
        <v>0</v>
      </c>
      <c r="M99" s="60"/>
      <c r="N99" s="65">
        <f>IF(ISBLANK(M99),0,ABS(Uzman_E!D$7-M99))</f>
        <v>0</v>
      </c>
      <c r="O99" s="61">
        <f>IF(ISBLANK(M99),0,INDEX(Tablo_E!$B$2:$CX$102,MATCH(ROUND(Uzman_E!D$7,1),Tablo_E!$A$2:$A$102,1),MATCH(ROUND(N99,1),Tablo_E!$B$1:$CX$1,1)))</f>
        <v>0</v>
      </c>
      <c r="P99" s="60"/>
      <c r="Q99" s="65">
        <f>IF(ISBLANK(P99),0,ABS(Uzman_E!E$7-P99))</f>
        <v>0</v>
      </c>
      <c r="R99" s="61">
        <f>IF(ISBLANK(P99),0,INDEX(Tablo_E!$B$2:$CX$102,MATCH(ROUND(Uzman_E!E$7,1),Tablo_E!$A$2:$A$102,1),MATCH(ROUND(Q99,1),Tablo_E!$B$1:$CX$1,1)))</f>
        <v>0</v>
      </c>
      <c r="S99" s="62">
        <f t="shared" si="2"/>
        <v>0</v>
      </c>
      <c r="T99" s="50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</row>
    <row r="100" spans="1:36" ht="15" customHeight="1" x14ac:dyDescent="0.2">
      <c r="A100" s="57">
        <v>97</v>
      </c>
      <c r="B100" s="139">
        <f>Hakemler!B100</f>
        <v>0</v>
      </c>
      <c r="C100" s="140">
        <f>Hakemler!C100</f>
        <v>0</v>
      </c>
      <c r="D100" s="60"/>
      <c r="E100" s="65">
        <f>IF(ISBLANK(D100),0,ABS(Uzman_E!A$7-D100))</f>
        <v>0</v>
      </c>
      <c r="F100" s="61">
        <f>IF(ISBLANK(D100),0,INDEX(Tablo_E!$B$2:$CX$102,MATCH(ROUND(Uzman_E!A$7,1),Tablo_E!$A$2:$A$102,1),MATCH(ROUND(E100,1),Tablo_E!$B$1:$CX$1,1)))</f>
        <v>0</v>
      </c>
      <c r="G100" s="60"/>
      <c r="H100" s="65">
        <f>IF(ISBLANK(G100),0,ABS(Uzman_E!B$7-G100))</f>
        <v>0</v>
      </c>
      <c r="I100" s="61">
        <f>IF(ISBLANK(G100),0,INDEX(Tablo_E!$B$2:$CX$102,MATCH(ROUND(Uzman_E!B$7,1),Tablo_E!$A$2:$A$102,1),MATCH(ROUND(H100,1),Tablo_E!$B$1:$CX$1,1)))</f>
        <v>0</v>
      </c>
      <c r="J100" s="60"/>
      <c r="K100" s="65">
        <f>IF(ISBLANK(J100),0,ABS(Uzman_E!C$7-J100))</f>
        <v>0</v>
      </c>
      <c r="L100" s="61">
        <f>IF(ISBLANK(J100),0,INDEX(Tablo_E!$B$2:$CX$102,MATCH(ROUND(Uzman_E!C$7,1),Tablo_E!$A$2:$A$102,1),MATCH(ROUND(K100,1),Tablo_E!$B$1:$CX$1,1)))</f>
        <v>0</v>
      </c>
      <c r="M100" s="60"/>
      <c r="N100" s="65">
        <f>IF(ISBLANK(M100),0,ABS(Uzman_E!D$7-M100))</f>
        <v>0</v>
      </c>
      <c r="O100" s="61">
        <f>IF(ISBLANK(M100),0,INDEX(Tablo_E!$B$2:$CX$102,MATCH(ROUND(Uzman_E!D$7,1),Tablo_E!$A$2:$A$102,1),MATCH(ROUND(N100,1),Tablo_E!$B$1:$CX$1,1)))</f>
        <v>0</v>
      </c>
      <c r="P100" s="60"/>
      <c r="Q100" s="65">
        <f>IF(ISBLANK(P100),0,ABS(Uzman_E!E$7-P100))</f>
        <v>0</v>
      </c>
      <c r="R100" s="61">
        <f>IF(ISBLANK(P100),0,INDEX(Tablo_E!$B$2:$CX$102,MATCH(ROUND(Uzman_E!E$7,1),Tablo_E!$A$2:$A$102,1),MATCH(ROUND(Q100,1),Tablo_E!$B$1:$CX$1,1)))</f>
        <v>0</v>
      </c>
      <c r="S100" s="62">
        <f t="shared" si="2"/>
        <v>0</v>
      </c>
      <c r="T100" s="50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</row>
    <row r="101" spans="1:36" ht="15" customHeight="1" x14ac:dyDescent="0.2">
      <c r="A101" s="57">
        <v>98</v>
      </c>
      <c r="B101" s="139">
        <f>Hakemler!B101</f>
        <v>0</v>
      </c>
      <c r="C101" s="140">
        <f>Hakemler!C101</f>
        <v>0</v>
      </c>
      <c r="D101" s="60"/>
      <c r="E101" s="65">
        <f>IF(ISBLANK(D101),0,ABS(Uzman_E!A$7-D101))</f>
        <v>0</v>
      </c>
      <c r="F101" s="61">
        <f>IF(ISBLANK(D101),0,INDEX(Tablo_E!$B$2:$CX$102,MATCH(ROUND(Uzman_E!A$7,1),Tablo_E!$A$2:$A$102,1),MATCH(ROUND(E101,1),Tablo_E!$B$1:$CX$1,1)))</f>
        <v>0</v>
      </c>
      <c r="G101" s="60"/>
      <c r="H101" s="65">
        <f>IF(ISBLANK(G101),0,ABS(Uzman_E!B$7-G101))</f>
        <v>0</v>
      </c>
      <c r="I101" s="61">
        <f>IF(ISBLANK(G101),0,INDEX(Tablo_E!$B$2:$CX$102,MATCH(ROUND(Uzman_E!B$7,1),Tablo_E!$A$2:$A$102,1),MATCH(ROUND(H101,1),Tablo_E!$B$1:$CX$1,1)))</f>
        <v>0</v>
      </c>
      <c r="J101" s="60"/>
      <c r="K101" s="65">
        <f>IF(ISBLANK(J101),0,ABS(Uzman_E!C$7-J101))</f>
        <v>0</v>
      </c>
      <c r="L101" s="61">
        <f>IF(ISBLANK(J101),0,INDEX(Tablo_E!$B$2:$CX$102,MATCH(ROUND(Uzman_E!C$7,1),Tablo_E!$A$2:$A$102,1),MATCH(ROUND(K101,1),Tablo_E!$B$1:$CX$1,1)))</f>
        <v>0</v>
      </c>
      <c r="M101" s="60"/>
      <c r="N101" s="65">
        <f>IF(ISBLANK(M101),0,ABS(Uzman_E!D$7-M101))</f>
        <v>0</v>
      </c>
      <c r="O101" s="61">
        <f>IF(ISBLANK(M101),0,INDEX(Tablo_E!$B$2:$CX$102,MATCH(ROUND(Uzman_E!D$7,1),Tablo_E!$A$2:$A$102,1),MATCH(ROUND(N101,1),Tablo_E!$B$1:$CX$1,1)))</f>
        <v>0</v>
      </c>
      <c r="P101" s="60"/>
      <c r="Q101" s="65">
        <f>IF(ISBLANK(P101),0,ABS(Uzman_E!E$7-P101))</f>
        <v>0</v>
      </c>
      <c r="R101" s="61">
        <f>IF(ISBLANK(P101),0,INDEX(Tablo_E!$B$2:$CX$102,MATCH(ROUND(Uzman_E!E$7,1),Tablo_E!$A$2:$A$102,1),MATCH(ROUND(Q101,1),Tablo_E!$B$1:$CX$1,1)))</f>
        <v>0</v>
      </c>
      <c r="S101" s="62">
        <f t="shared" si="2"/>
        <v>0</v>
      </c>
      <c r="T101" s="50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</row>
    <row r="102" spans="1:36" ht="15" customHeight="1" x14ac:dyDescent="0.2">
      <c r="A102" s="57">
        <v>99</v>
      </c>
      <c r="B102" s="139">
        <f>Hakemler!B102</f>
        <v>0</v>
      </c>
      <c r="C102" s="140">
        <f>Hakemler!C102</f>
        <v>0</v>
      </c>
      <c r="D102" s="60"/>
      <c r="E102" s="65">
        <f>IF(ISBLANK(D102),0,ABS(Uzman_E!A$7-D102))</f>
        <v>0</v>
      </c>
      <c r="F102" s="61">
        <f>IF(ISBLANK(D102),0,INDEX(Tablo_E!$B$2:$CX$102,MATCH(ROUND(Uzman_E!A$7,1),Tablo_E!$A$2:$A$102,1),MATCH(ROUND(E102,1),Tablo_E!$B$1:$CX$1,1)))</f>
        <v>0</v>
      </c>
      <c r="G102" s="60"/>
      <c r="H102" s="65">
        <f>IF(ISBLANK(G102),0,ABS(Uzman_E!B$7-G102))</f>
        <v>0</v>
      </c>
      <c r="I102" s="61">
        <f>IF(ISBLANK(G102),0,INDEX(Tablo_E!$B$2:$CX$102,MATCH(ROUND(Uzman_E!B$7,1),Tablo_E!$A$2:$A$102,1),MATCH(ROUND(H102,1),Tablo_E!$B$1:$CX$1,1)))</f>
        <v>0</v>
      </c>
      <c r="J102" s="60"/>
      <c r="K102" s="65">
        <f>IF(ISBLANK(J102),0,ABS(Uzman_E!C$7-J102))</f>
        <v>0</v>
      </c>
      <c r="L102" s="61">
        <f>IF(ISBLANK(J102),0,INDEX(Tablo_E!$B$2:$CX$102,MATCH(ROUND(Uzman_E!C$7,1),Tablo_E!$A$2:$A$102,1),MATCH(ROUND(K102,1),Tablo_E!$B$1:$CX$1,1)))</f>
        <v>0</v>
      </c>
      <c r="M102" s="60"/>
      <c r="N102" s="65">
        <f>IF(ISBLANK(M102),0,ABS(Uzman_E!D$7-M102))</f>
        <v>0</v>
      </c>
      <c r="O102" s="61">
        <f>IF(ISBLANK(M102),0,INDEX(Tablo_E!$B$2:$CX$102,MATCH(ROUND(Uzman_E!D$7,1),Tablo_E!$A$2:$A$102,1),MATCH(ROUND(N102,1),Tablo_E!$B$1:$CX$1,1)))</f>
        <v>0</v>
      </c>
      <c r="P102" s="60"/>
      <c r="Q102" s="65">
        <f>IF(ISBLANK(P102),0,ABS(Uzman_E!E$7-P102))</f>
        <v>0</v>
      </c>
      <c r="R102" s="61">
        <f>IF(ISBLANK(P102),0,INDEX(Tablo_E!$B$2:$CX$102,MATCH(ROUND(Uzman_E!E$7,1),Tablo_E!$A$2:$A$102,1),MATCH(ROUND(Q102,1),Tablo_E!$B$1:$CX$1,1)))</f>
        <v>0</v>
      </c>
      <c r="S102" s="62">
        <f t="shared" si="2"/>
        <v>0</v>
      </c>
      <c r="T102" s="50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</row>
    <row r="103" spans="1:36" ht="15" customHeight="1" x14ac:dyDescent="0.2">
      <c r="A103" s="57">
        <v>100</v>
      </c>
      <c r="B103" s="139">
        <f>Hakemler!B103</f>
        <v>0</v>
      </c>
      <c r="C103" s="140">
        <f>Hakemler!C103</f>
        <v>0</v>
      </c>
      <c r="D103" s="60"/>
      <c r="E103" s="65">
        <f>IF(ISBLANK(D103),0,ABS(Uzman_E!A$7-D103))</f>
        <v>0</v>
      </c>
      <c r="F103" s="61">
        <f>IF(ISBLANK(D103),0,INDEX(Tablo_E!$B$2:$CX$102,MATCH(ROUND(Uzman_E!A$7,1),Tablo_E!$A$2:$A$102,1),MATCH(ROUND(E103,1),Tablo_E!$B$1:$CX$1,1)))</f>
        <v>0</v>
      </c>
      <c r="G103" s="60"/>
      <c r="H103" s="65">
        <f>IF(ISBLANK(G103),0,ABS(Uzman_E!B$7-G103))</f>
        <v>0</v>
      </c>
      <c r="I103" s="61">
        <f>IF(ISBLANK(G103),0,INDEX(Tablo_E!$B$2:$CX$102,MATCH(ROUND(Uzman_E!B$7,1),Tablo_E!$A$2:$A$102,1),MATCH(ROUND(H103,1),Tablo_E!$B$1:$CX$1,1)))</f>
        <v>0</v>
      </c>
      <c r="J103" s="60"/>
      <c r="K103" s="65">
        <f>IF(ISBLANK(J103),0,ABS(Uzman_E!C$7-J103))</f>
        <v>0</v>
      </c>
      <c r="L103" s="61">
        <f>IF(ISBLANK(J103),0,INDEX(Tablo_E!$B$2:$CX$102,MATCH(ROUND(Uzman_E!C$7,1),Tablo_E!$A$2:$A$102,1),MATCH(ROUND(K103,1),Tablo_E!$B$1:$CX$1,1)))</f>
        <v>0</v>
      </c>
      <c r="M103" s="60"/>
      <c r="N103" s="65">
        <f>IF(ISBLANK(M103),0,ABS(Uzman_E!D$7-M103))</f>
        <v>0</v>
      </c>
      <c r="O103" s="61">
        <f>IF(ISBLANK(M103),0,INDEX(Tablo_E!$B$2:$CX$102,MATCH(ROUND(Uzman_E!D$7,1),Tablo_E!$A$2:$A$102,1),MATCH(ROUND(N103,1),Tablo_E!$B$1:$CX$1,1)))</f>
        <v>0</v>
      </c>
      <c r="P103" s="60"/>
      <c r="Q103" s="65">
        <f>IF(ISBLANK(P103),0,ABS(Uzman_E!E$7-P103))</f>
        <v>0</v>
      </c>
      <c r="R103" s="61">
        <f>IF(ISBLANK(P103),0,INDEX(Tablo_E!$B$2:$CX$102,MATCH(ROUND(Uzman_E!E$7,1),Tablo_E!$A$2:$A$102,1),MATCH(ROUND(Q103,1),Tablo_E!$B$1:$CX$1,1)))</f>
        <v>0</v>
      </c>
      <c r="S103" s="62">
        <f t="shared" si="2"/>
        <v>0</v>
      </c>
      <c r="T103" s="50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</row>
  </sheetData>
  <mergeCells count="9">
    <mergeCell ref="A1:S1"/>
    <mergeCell ref="G2:I2"/>
    <mergeCell ref="J2:L2"/>
    <mergeCell ref="D2:F2"/>
    <mergeCell ref="A2:A3"/>
    <mergeCell ref="P2:R2"/>
    <mergeCell ref="C2:C3"/>
    <mergeCell ref="M2:O2"/>
    <mergeCell ref="B2:B3"/>
  </mergeCells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IQ103"/>
  <sheetViews>
    <sheetView showGridLines="0" workbookViewId="0">
      <selection activeCell="AS48" sqref="AS48"/>
    </sheetView>
  </sheetViews>
  <sheetFormatPr baseColWidth="10" defaultColWidth="8.83203125" defaultRowHeight="15" customHeight="1" x14ac:dyDescent="0.2"/>
  <cols>
    <col min="1" max="1" width="5" style="1" customWidth="1"/>
    <col min="2" max="3" width="13.5" style="1" customWidth="1"/>
    <col min="4" max="15" width="3.5" style="1" customWidth="1"/>
    <col min="16" max="16" width="7.6640625" style="1" bestFit="1" customWidth="1"/>
    <col min="17" max="28" width="3.5" style="1" customWidth="1"/>
    <col min="29" max="29" width="7.6640625" style="1" bestFit="1" customWidth="1"/>
    <col min="30" max="41" width="3.5" style="1" customWidth="1"/>
    <col min="42" max="42" width="7.6640625" style="1" bestFit="1" customWidth="1"/>
    <col min="43" max="54" width="3.5" style="1" customWidth="1"/>
    <col min="55" max="55" width="7.6640625" style="1" bestFit="1" customWidth="1"/>
    <col min="56" max="67" width="3.5" style="1" customWidth="1"/>
    <col min="68" max="68" width="7.6640625" style="1" bestFit="1" customWidth="1"/>
    <col min="69" max="69" width="10.5" style="1" customWidth="1"/>
    <col min="70" max="251" width="8.83203125" style="1" customWidth="1"/>
  </cols>
  <sheetData>
    <row r="1" spans="1:69" ht="18.75" customHeight="1" x14ac:dyDescent="0.2">
      <c r="A1" s="196" t="s">
        <v>44</v>
      </c>
      <c r="B1" s="197"/>
      <c r="C1" s="197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9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1"/>
    </row>
    <row r="2" spans="1:69" ht="15.75" customHeight="1" x14ac:dyDescent="0.2">
      <c r="A2" s="189" t="s">
        <v>10</v>
      </c>
      <c r="B2" s="194" t="s">
        <v>11</v>
      </c>
      <c r="C2" s="205" t="s">
        <v>12</v>
      </c>
      <c r="D2" s="202" t="s">
        <v>16</v>
      </c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4"/>
      <c r="Q2" s="191" t="s">
        <v>17</v>
      </c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3"/>
      <c r="AD2" s="202" t="s">
        <v>18</v>
      </c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4"/>
      <c r="AQ2" s="191" t="s">
        <v>19</v>
      </c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3"/>
      <c r="BD2" s="202" t="s">
        <v>20</v>
      </c>
      <c r="BE2" s="203"/>
      <c r="BF2" s="203"/>
      <c r="BG2" s="203"/>
      <c r="BH2" s="203"/>
      <c r="BI2" s="203"/>
      <c r="BJ2" s="203"/>
      <c r="BK2" s="203"/>
      <c r="BL2" s="203"/>
      <c r="BM2" s="203"/>
      <c r="BN2" s="203"/>
      <c r="BO2" s="203"/>
      <c r="BP2" s="204"/>
      <c r="BQ2" s="66"/>
    </row>
    <row r="3" spans="1:69" ht="15.75" customHeight="1" x14ac:dyDescent="0.2">
      <c r="A3" s="190"/>
      <c r="B3" s="195"/>
      <c r="C3" s="206"/>
      <c r="D3" s="67" t="s">
        <v>31</v>
      </c>
      <c r="E3" s="68" t="s">
        <v>32</v>
      </c>
      <c r="F3" s="68" t="s">
        <v>33</v>
      </c>
      <c r="G3" s="68" t="s">
        <v>34</v>
      </c>
      <c r="H3" s="68" t="s">
        <v>35</v>
      </c>
      <c r="I3" s="68" t="s">
        <v>36</v>
      </c>
      <c r="J3" s="68" t="s">
        <v>37</v>
      </c>
      <c r="K3" s="68" t="s">
        <v>38</v>
      </c>
      <c r="L3" s="68" t="s">
        <v>39</v>
      </c>
      <c r="M3" s="68" t="s">
        <v>40</v>
      </c>
      <c r="N3" s="68" t="s">
        <v>41</v>
      </c>
      <c r="O3" s="68" t="s">
        <v>42</v>
      </c>
      <c r="P3" s="69" t="s">
        <v>22</v>
      </c>
      <c r="Q3" s="67" t="s">
        <v>31</v>
      </c>
      <c r="R3" s="68" t="s">
        <v>32</v>
      </c>
      <c r="S3" s="68" t="s">
        <v>33</v>
      </c>
      <c r="T3" s="68" t="s">
        <v>34</v>
      </c>
      <c r="U3" s="68" t="s">
        <v>35</v>
      </c>
      <c r="V3" s="68" t="s">
        <v>36</v>
      </c>
      <c r="W3" s="68" t="s">
        <v>37</v>
      </c>
      <c r="X3" s="68" t="s">
        <v>38</v>
      </c>
      <c r="Y3" s="68" t="s">
        <v>39</v>
      </c>
      <c r="Z3" s="68" t="s">
        <v>40</v>
      </c>
      <c r="AA3" s="68" t="s">
        <v>41</v>
      </c>
      <c r="AB3" s="68" t="s">
        <v>42</v>
      </c>
      <c r="AC3" s="69" t="s">
        <v>22</v>
      </c>
      <c r="AD3" s="67" t="s">
        <v>31</v>
      </c>
      <c r="AE3" s="68" t="s">
        <v>32</v>
      </c>
      <c r="AF3" s="68" t="s">
        <v>33</v>
      </c>
      <c r="AG3" s="68" t="s">
        <v>34</v>
      </c>
      <c r="AH3" s="68" t="s">
        <v>35</v>
      </c>
      <c r="AI3" s="68" t="s">
        <v>36</v>
      </c>
      <c r="AJ3" s="68" t="s">
        <v>37</v>
      </c>
      <c r="AK3" s="68" t="s">
        <v>38</v>
      </c>
      <c r="AL3" s="68" t="s">
        <v>39</v>
      </c>
      <c r="AM3" s="68" t="s">
        <v>40</v>
      </c>
      <c r="AN3" s="68" t="s">
        <v>41</v>
      </c>
      <c r="AO3" s="68" t="s">
        <v>42</v>
      </c>
      <c r="AP3" s="69" t="s">
        <v>22</v>
      </c>
      <c r="AQ3" s="67" t="s">
        <v>31</v>
      </c>
      <c r="AR3" s="68" t="s">
        <v>32</v>
      </c>
      <c r="AS3" s="68" t="s">
        <v>33</v>
      </c>
      <c r="AT3" s="68" t="s">
        <v>34</v>
      </c>
      <c r="AU3" s="68" t="s">
        <v>35</v>
      </c>
      <c r="AV3" s="68" t="s">
        <v>36</v>
      </c>
      <c r="AW3" s="68" t="s">
        <v>37</v>
      </c>
      <c r="AX3" s="68" t="s">
        <v>38</v>
      </c>
      <c r="AY3" s="68" t="s">
        <v>39</v>
      </c>
      <c r="AZ3" s="68" t="s">
        <v>40</v>
      </c>
      <c r="BA3" s="68" t="s">
        <v>41</v>
      </c>
      <c r="BB3" s="68" t="s">
        <v>42</v>
      </c>
      <c r="BC3" s="69" t="s">
        <v>22</v>
      </c>
      <c r="BD3" s="67" t="s">
        <v>31</v>
      </c>
      <c r="BE3" s="68" t="s">
        <v>32</v>
      </c>
      <c r="BF3" s="68" t="s">
        <v>33</v>
      </c>
      <c r="BG3" s="68" t="s">
        <v>34</v>
      </c>
      <c r="BH3" s="68" t="s">
        <v>35</v>
      </c>
      <c r="BI3" s="68" t="s">
        <v>36</v>
      </c>
      <c r="BJ3" s="68" t="s">
        <v>37</v>
      </c>
      <c r="BK3" s="68" t="s">
        <v>38</v>
      </c>
      <c r="BL3" s="68" t="s">
        <v>39</v>
      </c>
      <c r="BM3" s="68" t="s">
        <v>40</v>
      </c>
      <c r="BN3" s="68" t="s">
        <v>41</v>
      </c>
      <c r="BO3" s="68" t="s">
        <v>42</v>
      </c>
      <c r="BP3" s="69" t="s">
        <v>22</v>
      </c>
      <c r="BQ3" s="70" t="s">
        <v>23</v>
      </c>
    </row>
    <row r="4" spans="1:69" ht="15.5" customHeight="1" x14ac:dyDescent="0.2">
      <c r="A4" s="57">
        <v>1</v>
      </c>
      <c r="B4" s="29" t="str">
        <f>Hakemler!B4</f>
        <v>Yalçıner</v>
      </c>
      <c r="C4" s="29" t="str">
        <f>Hakemler!C4</f>
        <v>Yunus Emre</v>
      </c>
      <c r="D4" s="71">
        <v>0</v>
      </c>
      <c r="E4" s="71">
        <v>1</v>
      </c>
      <c r="F4" s="71">
        <v>3</v>
      </c>
      <c r="G4" s="71">
        <v>4</v>
      </c>
      <c r="H4" s="71">
        <v>0</v>
      </c>
      <c r="I4" s="71">
        <v>0</v>
      </c>
      <c r="J4" s="71">
        <v>0</v>
      </c>
      <c r="K4" s="71">
        <v>0</v>
      </c>
      <c r="L4" s="71">
        <v>0</v>
      </c>
      <c r="M4" s="71">
        <v>0</v>
      </c>
      <c r="N4" s="72">
        <v>2</v>
      </c>
      <c r="O4" s="72">
        <v>0.1</v>
      </c>
      <c r="P4" s="73">
        <f>1 - (
    SUM(
        IF(D4-Uzman_D!$B$11&lt;0, -(D4-Uzman_D!$B$11), D4-Uzman_D!$B$11)*0.1 +
        IF(E4-Uzman_D!$C$11&lt;0, -(E4-Uzman_D!$C$11), E4-Uzman_D!$C$11)*0.1 +
        IF(F4-Uzman_D!$D$11&lt;0, -(F4-Uzman_D!$D$11), F4-Uzman_D!$D$11)*0.1 +
        IF(G4-Uzman_D!$E$11&lt;0, -(G4-Uzman_D!$E$11), G4-Uzman_D!$E$11)*0.1 +
        IF(H4-Uzman_D!$F$11&lt;0, -(H4-Uzman_D!$F$11), H4-Uzman_D!$F$11)*0.1 +
        IF(I4-Uzman_D!$G$11&lt;0, -(I4-Uzman_D!$G$11), I4-Uzman_D!$G$11)*0.1 +
        IF(J4-Uzman_D!$H$11&lt;0, -(J4-Uzman_D!$H$11), J4-Uzman_D!$H$11)*0.1 +
        IF(K4-Uzman_D!$I$11&lt;0, -(K4-Uzman_D!$I$11), K4-Uzman_D!$I$11)*0.1 +
        IF(L4-Uzman_D!$J$11&lt;0, -(L4-Uzman_D!$J$11), L4-Uzman_D!$J$11)*0.1
    ) +
    IF(ROUND((IF(N4-Uzman_D!$L$11&lt;0, -(N4-Uzman_D!$L$11), N4-Uzman_D!$L$11)*2),0)/2 = IF(N4-Uzman_D!$L$11&lt;0, -(N4-Uzman_D!$L$11), N4-Uzman_D!$L$11),
    (ROUND((IF(N4-Uzman_D!$L$11&lt;0, -(N4-Uzman_D!$L$11), N4-Uzman_D!$L$11)*2),0)/1 * 0.1), 0) +
    IF(O4-Uzman_D!$M$11&lt;0, -(O4-Uzman_D!$M$11), O4-Uzman_D!$M$11)*1
)</f>
        <v>1</v>
      </c>
      <c r="Q4" s="71">
        <v>2</v>
      </c>
      <c r="R4" s="71">
        <v>0</v>
      </c>
      <c r="S4" s="71">
        <v>4</v>
      </c>
      <c r="T4" s="71">
        <v>2</v>
      </c>
      <c r="U4" s="71">
        <v>0</v>
      </c>
      <c r="V4" s="71">
        <v>0</v>
      </c>
      <c r="W4" s="71">
        <v>0</v>
      </c>
      <c r="X4" s="71">
        <v>0</v>
      </c>
      <c r="Y4" s="71">
        <v>0</v>
      </c>
      <c r="Z4" s="71">
        <v>0</v>
      </c>
      <c r="AA4" s="72">
        <v>2</v>
      </c>
      <c r="AB4" s="72">
        <v>0</v>
      </c>
      <c r="AC4" s="73">
        <f>1 - (
    SUM(
        IF(Q4-Uzman_D!$B$12&lt;0, -(Q4-Uzman_D!$B$12), Q4-Uzman_D!$B$12)*0.1 +
        IF(R4-Uzman_D!$C$12&lt;0, -(R4-Uzman_D!$C$12), R4-Uzman_D!$C$12)*0.1 +
        IF(S4-Uzman_D!$D$12&lt;0, -(S4-Uzman_D!$D$12), S4-Uzman_D!$D$12)*0.1 +
        IF(T4-Uzman_D!$E$12&lt;0, -(T4-Uzman_D!$E$12), T4-Uzman_D!$E$12)*0.1 +
        IF(U4-Uzman_D!$F$12&lt;0, -(U4-Uzman_D!$F$12), U4-Uzman_D!$F$12)*0.1 +
        IF(V4-Uzman_D!$G$12&lt;0, -(V4-Uzman_D!$G$12), V4-Uzman_D!$G$12)*0.1 +
        IF(W4-Uzman_D!$H$12&lt;0, -(W4-Uzman_D!$H$12), W4-Uzman_D!$H$12)*0.1 +
        IF(X4-Uzman_D!$I$12&lt;0, -(X4-Uzman_D!$I$12), X4-Uzman_D!$I$12)*0.1 +
        IF(Y4-Uzman_D!$J$12&lt;0, -(Y4-Uzman_D!$J$12), Y4-Uzman_D!$J$12)*0.1
    ) +
    IF(ROUND((IF(AA4-Uzman_D!$L$12&lt;0, -(AA4-Uzman_D!$L$12), AA4-Uzman_D!$L$12)*2),0)/2 = IF(AA4-Uzman_D!$L$12&lt;0, -(AA4-Uzman_D!$L$12), AA4-Uzman_D!$L$12),
    (ROUND((IF(AA4-Uzman_D!$L$12&lt;0, -(AA4-Uzman_D!$L$12), AA4-Uzman_D!$L$12)*2),0)/1 * 0.1), 0) +
    IF(AB4-Uzman_D!$M$12&lt;0, -(AB4-Uzman_D!$M$12), AB4-Uzman_D!$M$12)*1
)</f>
        <v>1</v>
      </c>
      <c r="AD4" s="71">
        <v>0</v>
      </c>
      <c r="AE4" s="71">
        <v>0</v>
      </c>
      <c r="AF4" s="71">
        <v>1</v>
      </c>
      <c r="AG4" s="71">
        <v>5</v>
      </c>
      <c r="AH4" s="71">
        <v>1</v>
      </c>
      <c r="AI4" s="71">
        <v>1</v>
      </c>
      <c r="AJ4" s="71">
        <v>0</v>
      </c>
      <c r="AK4" s="71">
        <v>0</v>
      </c>
      <c r="AL4" s="71">
        <v>0</v>
      </c>
      <c r="AM4" s="71">
        <v>0</v>
      </c>
      <c r="AN4" s="72">
        <v>2</v>
      </c>
      <c r="AO4" s="72">
        <v>0.1</v>
      </c>
      <c r="AP4" s="73">
        <f>1 - (
    SUM(
        IF(AD4-Uzman_D!$B$13&lt;0, -(AD4-Uzman_D!$B$13), AD4-Uzman_D!$B$13)*0.1 +
        IF(AE4-Uzman_D!$C$13&lt;0, -(AE4-Uzman_D!$C$13), AE4-Uzman_D!$C$13)*0.1 +
        IF(AF4-Uzman_D!$D$13&lt;0, -(AF4-Uzman_D!$D$13), AF4-Uzman_D!$D$13)*0.1 +
        IF(AG4-Uzman_D!$E$13&lt;0, -(AG4-Uzman_D!$E$13), AG4-Uzman_D!$E$13)*0.1 +
        IF(AH4-Uzman_D!$F$13&lt;0, -(AH4-Uzman_D!$F$13), AH4-Uzman_D!$F$13)*0.1 +
        IF(AI4-Uzman_D!$G$13&lt;0, -(AI4-Uzman_D!$G$13), AI4-Uzman_D!$G$13)*0.1 +
        IF(AJ4-Uzman_D!$H$13&lt;0, -(AJ4-Uzman_D!$H$13), AJ4-Uzman_D!$H$13)*0.1 +
        IF(AK4-Uzman_D!$I$13&lt;0, -(AK4-Uzman_D!$I$13), AK4-Uzman_D!$I$13)*0.1 +
        IF(AL4-Uzman_D!$J$13&lt;0, -(AL4-Uzman_D!$J$13), AL4-Uzman_D!$J$13)*0.1
    ) +
    IF(ROUND((IF(AN4-Uzman_D!$L$13&lt;0, -(AN4-Uzman_D!$L$13), AN4-Uzman_D!$L$13)*2),0)/2 = IF(AN4-Uzman_D!$L$13&lt;0, -(AN4-Uzman_D!$L$13), AN4-Uzman_D!$L$13),
    (ROUND((IF(AN4-Uzman_D!$L$13&lt;0, -(AN4-Uzman_D!$L$13), AN4-Uzman_D!$L$13)*2),0)/1 * 0.1), 0) +
    IF(AO4-Uzman_D!$M$13&lt;0, -(AO4-Uzman_D!$M$13), AO4-Uzman_D!$M$13)*1
)</f>
        <v>1</v>
      </c>
      <c r="AQ4" s="71">
        <v>0</v>
      </c>
      <c r="AR4" s="71">
        <v>1</v>
      </c>
      <c r="AS4" s="71">
        <v>3</v>
      </c>
      <c r="AT4" s="71">
        <v>3</v>
      </c>
      <c r="AU4" s="71">
        <v>1</v>
      </c>
      <c r="AV4" s="71">
        <v>0</v>
      </c>
      <c r="AW4" s="71">
        <v>0</v>
      </c>
      <c r="AX4" s="71">
        <v>0</v>
      </c>
      <c r="AY4" s="71">
        <v>0</v>
      </c>
      <c r="AZ4" s="71">
        <v>0</v>
      </c>
      <c r="BA4" s="72">
        <v>2</v>
      </c>
      <c r="BB4" s="72">
        <v>0.1</v>
      </c>
      <c r="BC4" s="73">
        <f>1 - (
    SUM(
        IF(AQ4-Uzman_D!$B$14&lt;0, -(AQ4-Uzman_D!$B$14), AQ4-Uzman_D!$B$14)*0.1 +
        IF(AR4-Uzman_D!$C$14&lt;0, -(AR4-Uzman_D!$C$14), AR4-Uzman_D!$C$14)*0.1 +
        IF(AS4-Uzman_D!$D$14&lt;0, -(AS4-Uzman_D!$D$14), AS4-Uzman_D!$D$14)*0.1 +
        IF(AT4-Uzman_D!$E$14&lt;0, -(AT4-Uzman_D!$E$14), AT4-Uzman_D!$E$14)*0.1 +
        IF(AU4-Uzman_D!$F$14&lt;0, -(AU4-Uzman_D!$F$14), AU4-Uzman_D!$F$14)*0.1 +
        IF(AV4-Uzman_D!$G$14&lt;0, -(AV4-Uzman_D!$G$14), AV4-Uzman_D!$G$14)*0.1 +
        IF(AW4-Uzman_D!$H$14&lt;0, -(AW4-Uzman_D!$H$14), AW4-Uzman_D!$H$14)*0.1 +
        IF(AX4-Uzman_D!$I$14&lt;0, -(AX4-Uzman_D!$I$14), AX4-Uzman_D!$I$14)*0.1 +
        IF(AY4-Uzman_D!$J$14&lt;0, -(AY4-Uzman_D!$J$14), AY4-Uzman_D!$J$14)*0.1
    ) +
    IF(ROUND((IF(BA4-Uzman_D!$L$14&lt;0, -(BA4-Uzman_D!$L$14), BA4-Uzman_D!$L$14)*2),0)/2 = IF(BA4-Uzman_D!$L$14&lt;0, -(BA4-Uzman_D!$L$14), BA4-Uzman_D!$L$14),
    (ROUND((IF(BA4-Uzman_D!$L$14&lt;0, -(BA4-Uzman_D!$L$14), BA4-Uzman_D!$L$14)*2),0)/1 * 0.1), 0) +
    IF(BB4-Uzman_D!$M$14&lt;0, -(BB4-Uzman_D!$M$14), BB4-Uzman_D!$M$14)*1
)</f>
        <v>0.7</v>
      </c>
      <c r="BD4" s="71">
        <v>0</v>
      </c>
      <c r="BE4" s="71">
        <v>0</v>
      </c>
      <c r="BF4" s="71">
        <v>2</v>
      </c>
      <c r="BG4" s="71">
        <v>5</v>
      </c>
      <c r="BH4" s="71">
        <v>1</v>
      </c>
      <c r="BI4" s="71">
        <v>0</v>
      </c>
      <c r="BJ4" s="71">
        <v>0</v>
      </c>
      <c r="BK4" s="71">
        <v>0</v>
      </c>
      <c r="BL4" s="71">
        <v>0</v>
      </c>
      <c r="BM4" s="71">
        <v>0</v>
      </c>
      <c r="BN4" s="72">
        <v>2</v>
      </c>
      <c r="BO4" s="72">
        <v>0.5</v>
      </c>
      <c r="BP4" s="73">
        <f>1 - (
    SUM(
        IF(BD4-Uzman_D!$B$15&lt;0, -(BD4-Uzman_D!$B$15), BD4-Uzman_D!$B$15)*0.1 +
        IF(BE4-Uzman_D!$C$15&lt;0, -(BE4-Uzman_D!$C$15), BE4-Uzman_D!$C$15)*0.1 +
        IF(BF4-Uzman_D!$D$15&lt;0, -(BF4-Uzman_D!$D$15), BF4-Uzman_D!$D$15)*0.1 +
        IF(BG4-Uzman_D!$E$15&lt;0, -(BG4-Uzman_D!$E$15), BG4-Uzman_D!$E$15)*0.1 +
        IF(BH4-Uzman_D!$F$15&lt;0, -(BH4-Uzman_D!$F$15), BH4-Uzman_D!$F$15)*0.1 +
        IF(BI4-Uzman_D!$G$15&lt;0, -(BI4-Uzman_D!$G$15), BI4-Uzman_D!$G$15)*0.1 +
        IF(BJ4-Uzman_D!$H$15&lt;0, -(BJ4-Uzman_D!$H$15), BJ4-Uzman_D!$H$15)*0.1 +
        IF(BK4-Uzman_D!$I$15&lt;0, -(BK4-Uzman_D!$I$15), BK4-Uzman_D!$I$15)*0.1 +
        IF(BL4-Uzman_D!$J$15&lt;0, -(BL4-Uzman_D!$J$15), BL4-Uzman_D!$J$15)*0.1
    ) +
    IF(ROUND((IF(BN4-Uzman_D!$L$15&lt;0, -(BN4-Uzman_D!$L$15), BN4-Uzman_D!$L$15)*2),0)/2 = IF(BN4-Uzman_D!$L$15&lt;0, -(BN4-Uzman_D!$L$15), BN4-Uzman_D!$L$15),
    (ROUND((IF(BN4-Uzman_D!$L$15&lt;0, -(BN4-Uzman_D!$L$15), BN4-Uzman_D!$L$15)*2),0)/1 * 0.1), 0) +
    IF(BO4-Uzman_D!$M$15&lt;0, -(BO4-Uzman_D!$M$15), BO4-Uzman_D!$M$15)*1
)</f>
        <v>0.9</v>
      </c>
      <c r="BQ4" s="74">
        <f>(P4+AC4+AP4+BC4+BP4)/5</f>
        <v>0.92000000000000015</v>
      </c>
    </row>
    <row r="5" spans="1:69" ht="15" customHeight="1" x14ac:dyDescent="0.2">
      <c r="A5" s="57">
        <v>2</v>
      </c>
      <c r="B5" s="29" t="str">
        <f>Hakemler!B5</f>
        <v>Deneme</v>
      </c>
      <c r="C5" s="29" t="str">
        <f>Hakemler!C5</f>
        <v>Hakem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2"/>
      <c r="O5" s="72"/>
      <c r="P5" s="73">
        <f>1 - (
    SUM(
        IF(D5-Uzman_D!$B$11&lt;0, -(D5-Uzman_D!$B$11), D5-Uzman_D!$B$11)*0.1 +
        IF(E5-Uzman_D!$C$11&lt;0, -(E5-Uzman_D!$C$11), E5-Uzman_D!$C$11)*0.1 +
        IF(F5-Uzman_D!$D$11&lt;0, -(F5-Uzman_D!$D$11), F5-Uzman_D!$D$11)*0.1 +
        IF(G5-Uzman_D!$E$11&lt;0, -(G5-Uzman_D!$E$11), G5-Uzman_D!$E$11)*0.1 +
        IF(H5-Uzman_D!$F$11&lt;0, -(H5-Uzman_D!$F$11), H5-Uzman_D!$F$11)*0.1 +
        IF(I5-Uzman_D!$G$11&lt;0, -(I5-Uzman_D!$G$11), I5-Uzman_D!$G$11)*0.1 +
        IF(J5-Uzman_D!$H$11&lt;0, -(J5-Uzman_D!$H$11), J5-Uzman_D!$H$11)*0.1 +
        IF(K5-Uzman_D!$I$11&lt;0, -(K5-Uzman_D!$I$11), K5-Uzman_D!$I$11)*0.1 +
        IF(L5-Uzman_D!$J$11&lt;0, -(L5-Uzman_D!$J$11), L5-Uzman_D!$J$11)*0.1
    ) +
    IF(ROUND((IF(N5-Uzman_D!$L$11&lt;0, -(N5-Uzman_D!$L$11), N5-Uzman_D!$L$11)*2),0)/2 = IF(N5-Uzman_D!$L$11&lt;0, -(N5-Uzman_D!$L$11), N5-Uzman_D!$L$11),
    (ROUND((IF(N5-Uzman_D!$L$11&lt;0, -(N5-Uzman_D!$L$11), N5-Uzman_D!$L$11)*2),0)/1 * 0.1), 0) +
    IF(O5-Uzman_D!$M$11&lt;0, -(O5-Uzman_D!$M$11), O5-Uzman_D!$M$11)*1
)</f>
        <v>-0.30000000000000027</v>
      </c>
      <c r="Q5" s="71"/>
      <c r="R5" s="71"/>
      <c r="S5" s="71"/>
      <c r="T5" s="71"/>
      <c r="U5" s="71"/>
      <c r="V5" s="71"/>
      <c r="W5" s="71"/>
      <c r="X5" s="71"/>
      <c r="Y5" s="71"/>
      <c r="Z5" s="71"/>
      <c r="AA5" s="72"/>
      <c r="AB5" s="72"/>
      <c r="AC5" s="73">
        <f>1 - (
    SUM(
        IF(Q5-Uzman_D!$B$12&lt;0, -(Q5-Uzman_D!$B$12), Q5-Uzman_D!$B$12)*0.1 +
        IF(R5-Uzman_D!$C$12&lt;0, -(R5-Uzman_D!$C$12), R5-Uzman_D!$C$12)*0.1 +
        IF(S5-Uzman_D!$D$12&lt;0, -(S5-Uzman_D!$D$12), S5-Uzman_D!$D$12)*0.1 +
        IF(T5-Uzman_D!$E$12&lt;0, -(T5-Uzman_D!$E$12), T5-Uzman_D!$E$12)*0.1 +
        IF(U5-Uzman_D!$F$12&lt;0, -(U5-Uzman_D!$F$12), U5-Uzman_D!$F$12)*0.1 +
        IF(V5-Uzman_D!$G$12&lt;0, -(V5-Uzman_D!$G$12), V5-Uzman_D!$G$12)*0.1 +
        IF(W5-Uzman_D!$H$12&lt;0, -(W5-Uzman_D!$H$12), W5-Uzman_D!$H$12)*0.1 +
        IF(X5-Uzman_D!$I$12&lt;0, -(X5-Uzman_D!$I$12), X5-Uzman_D!$I$12)*0.1 +
        IF(Y5-Uzman_D!$J$12&lt;0, -(Y5-Uzman_D!$J$12), Y5-Uzman_D!$J$12)*0.1
    ) +
    IF(ROUND((IF(AA5-Uzman_D!$L$12&lt;0, -(AA5-Uzman_D!$L$12), AA5-Uzman_D!$L$12)*2),0)/2 = IF(AA5-Uzman_D!$L$12&lt;0, -(AA5-Uzman_D!$L$12), AA5-Uzman_D!$L$12),
    (ROUND((IF(AA5-Uzman_D!$L$12&lt;0, -(AA5-Uzman_D!$L$12), AA5-Uzman_D!$L$12)*2),0)/1 * 0.1), 0) +
    IF(AB5-Uzman_D!$M$12&lt;0, -(AB5-Uzman_D!$M$12), AB5-Uzman_D!$M$12)*1
)</f>
        <v>-0.20000000000000018</v>
      </c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2"/>
      <c r="AO5" s="72"/>
      <c r="AP5" s="73">
        <f>1 - (
    SUM(
        IF(AD5-Uzman_D!$B$13&lt;0, -(AD5-Uzman_D!$B$13), AD5-Uzman_D!$B$13)*0.1 +
        IF(AE5-Uzman_D!$C$13&lt;0, -(AE5-Uzman_D!$C$13), AE5-Uzman_D!$C$13)*0.1 +
        IF(AF5-Uzman_D!$D$13&lt;0, -(AF5-Uzman_D!$D$13), AF5-Uzman_D!$D$13)*0.1 +
        IF(AG5-Uzman_D!$E$13&lt;0, -(AG5-Uzman_D!$E$13), AG5-Uzman_D!$E$13)*0.1 +
        IF(AH5-Uzman_D!$F$13&lt;0, -(AH5-Uzman_D!$F$13), AH5-Uzman_D!$F$13)*0.1 +
        IF(AI5-Uzman_D!$G$13&lt;0, -(AI5-Uzman_D!$G$13), AI5-Uzman_D!$G$13)*0.1 +
        IF(AJ5-Uzman_D!$H$13&lt;0, -(AJ5-Uzman_D!$H$13), AJ5-Uzman_D!$H$13)*0.1 +
        IF(AK5-Uzman_D!$I$13&lt;0, -(AK5-Uzman_D!$I$13), AK5-Uzman_D!$I$13)*0.1 +
        IF(AL5-Uzman_D!$J$13&lt;0, -(AL5-Uzman_D!$J$13), AL5-Uzman_D!$J$13)*0.1
    ) +
    IF(ROUND((IF(AN5-Uzman_D!$L$13&lt;0, -(AN5-Uzman_D!$L$13), AN5-Uzman_D!$L$13)*2),0)/2 = IF(AN5-Uzman_D!$L$13&lt;0, -(AN5-Uzman_D!$L$13), AN5-Uzman_D!$L$13),
    (ROUND((IF(AN5-Uzman_D!$L$13&lt;0, -(AN5-Uzman_D!$L$13), AN5-Uzman_D!$L$13)*2),0)/1 * 0.1), 0) +
    IF(AO5-Uzman_D!$M$13&lt;0, -(AO5-Uzman_D!$M$13), AO5-Uzman_D!$M$13)*1
)</f>
        <v>-0.30000000000000004</v>
      </c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2"/>
      <c r="BB5" s="72"/>
      <c r="BC5" s="73">
        <f>1 - (
    SUM(
        IF(AQ5-Uzman_D!$B$14&lt;0, -(AQ5-Uzman_D!$B$14), AQ5-Uzman_D!$B$14)*0.1 +
        IF(AR5-Uzman_D!$C$14&lt;0, -(AR5-Uzman_D!$C$14), AR5-Uzman_D!$C$14)*0.1 +
        IF(AS5-Uzman_D!$D$14&lt;0, -(AS5-Uzman_D!$D$14), AS5-Uzman_D!$D$14)*0.1 +
        IF(AT5-Uzman_D!$E$14&lt;0, -(AT5-Uzman_D!$E$14), AT5-Uzman_D!$E$14)*0.1 +
        IF(AU5-Uzman_D!$F$14&lt;0, -(AU5-Uzman_D!$F$14), AU5-Uzman_D!$F$14)*0.1 +
        IF(AV5-Uzman_D!$G$14&lt;0, -(AV5-Uzman_D!$G$14), AV5-Uzman_D!$G$14)*0.1 +
        IF(AW5-Uzman_D!$H$14&lt;0, -(AW5-Uzman_D!$H$14), AW5-Uzman_D!$H$14)*0.1 +
        IF(AX5-Uzman_D!$I$14&lt;0, -(AX5-Uzman_D!$I$14), AX5-Uzman_D!$I$14)*0.1 +
        IF(AY5-Uzman_D!$J$14&lt;0, -(AY5-Uzman_D!$J$14), AY5-Uzman_D!$J$14)*0.1
    ) +
    IF(ROUND((IF(BA5-Uzman_D!$L$14&lt;0, -(BA5-Uzman_D!$L$14), BA5-Uzman_D!$L$14)*2),0)/2 = IF(BA5-Uzman_D!$L$14&lt;0, -(BA5-Uzman_D!$L$14), BA5-Uzman_D!$L$14),
    (ROUND((IF(BA5-Uzman_D!$L$14&lt;0, -(BA5-Uzman_D!$L$14), BA5-Uzman_D!$L$14)*2),0)/1 * 0.1), 0) +
    IF(BB5-Uzman_D!$M$14&lt;0, -(BB5-Uzman_D!$M$14), BB5-Uzman_D!$M$14)*1
)</f>
        <v>-0.20000000000000018</v>
      </c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2"/>
      <c r="BO5" s="72"/>
      <c r="BP5" s="73">
        <f>1 - (
    SUM(
        IF(BD5-Uzman_D!$B$15&lt;0, -(BD5-Uzman_D!$B$15), BD5-Uzman_D!$B$15)*0.1 +
        IF(BE5-Uzman_D!$C$15&lt;0, -(BE5-Uzman_D!$C$15), BE5-Uzman_D!$C$15)*0.1 +
        IF(BF5-Uzman_D!$D$15&lt;0, -(BF5-Uzman_D!$D$15), BF5-Uzman_D!$D$15)*0.1 +
        IF(BG5-Uzman_D!$E$15&lt;0, -(BG5-Uzman_D!$E$15), BG5-Uzman_D!$E$15)*0.1 +
        IF(BH5-Uzman_D!$F$15&lt;0, -(BH5-Uzman_D!$F$15), BH5-Uzman_D!$F$15)*0.1 +
        IF(BI5-Uzman_D!$G$15&lt;0, -(BI5-Uzman_D!$G$15), BI5-Uzman_D!$G$15)*0.1 +
        IF(BJ5-Uzman_D!$H$15&lt;0, -(BJ5-Uzman_D!$H$15), BJ5-Uzman_D!$H$15)*0.1 +
        IF(BK5-Uzman_D!$I$15&lt;0, -(BK5-Uzman_D!$I$15), BK5-Uzman_D!$I$15)*0.1 +
        IF(BL5-Uzman_D!$J$15&lt;0, -(BL5-Uzman_D!$J$15), BL5-Uzman_D!$J$15)*0.1
    ) +
    IF(ROUND((IF(BN5-Uzman_D!$L$15&lt;0, -(BN5-Uzman_D!$L$15), BN5-Uzman_D!$L$15)*2),0)/2 = IF(BN5-Uzman_D!$L$15&lt;0, -(BN5-Uzman_D!$L$15), BN5-Uzman_D!$L$15),
    (ROUND((IF(BN5-Uzman_D!$L$15&lt;0, -(BN5-Uzman_D!$L$15), BN5-Uzman_D!$L$15)*2),0)/1 * 0.1), 0) +
    IF(BO5-Uzman_D!$M$15&lt;0, -(BO5-Uzman_D!$M$15), BO5-Uzman_D!$M$15)*1
)</f>
        <v>-0.60000000000000009</v>
      </c>
      <c r="BQ5" s="74">
        <f t="shared" ref="BQ5:BQ68" si="0">(P5+AC5+AP5+BC5+BP5)/5</f>
        <v>-0.32000000000000017</v>
      </c>
    </row>
    <row r="6" spans="1:69" ht="15" customHeight="1" x14ac:dyDescent="0.2">
      <c r="A6" s="57">
        <v>3</v>
      </c>
      <c r="B6" s="29">
        <f>Hakemler!B6</f>
        <v>0</v>
      </c>
      <c r="C6" s="29">
        <f>Hakemler!C6</f>
        <v>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2"/>
      <c r="O6" s="72"/>
      <c r="P6" s="73">
        <f>1 - (
    SUM(
        IF(D6-Uzman_D!$B$11&lt;0, -(D6-Uzman_D!$B$11), D6-Uzman_D!$B$11)*0.1 +
        IF(E6-Uzman_D!$C$11&lt;0, -(E6-Uzman_D!$C$11), E6-Uzman_D!$C$11)*0.1 +
        IF(F6-Uzman_D!$D$11&lt;0, -(F6-Uzman_D!$D$11), F6-Uzman_D!$D$11)*0.1 +
        IF(G6-Uzman_D!$E$11&lt;0, -(G6-Uzman_D!$E$11), G6-Uzman_D!$E$11)*0.1 +
        IF(H6-Uzman_D!$F$11&lt;0, -(H6-Uzman_D!$F$11), H6-Uzman_D!$F$11)*0.1 +
        IF(I6-Uzman_D!$G$11&lt;0, -(I6-Uzman_D!$G$11), I6-Uzman_D!$G$11)*0.1 +
        IF(J6-Uzman_D!$H$11&lt;0, -(J6-Uzman_D!$H$11), J6-Uzman_D!$H$11)*0.1 +
        IF(K6-Uzman_D!$I$11&lt;0, -(K6-Uzman_D!$I$11), K6-Uzman_D!$I$11)*0.1 +
        IF(L6-Uzman_D!$J$11&lt;0, -(L6-Uzman_D!$J$11), L6-Uzman_D!$J$11)*0.1
    ) +
    IF(ROUND((IF(N6-Uzman_D!$L$11&lt;0, -(N6-Uzman_D!$L$11), N6-Uzman_D!$L$11)*2),0)/2 = IF(N6-Uzman_D!$L$11&lt;0, -(N6-Uzman_D!$L$11), N6-Uzman_D!$L$11),
    (ROUND((IF(N6-Uzman_D!$L$11&lt;0, -(N6-Uzman_D!$L$11), N6-Uzman_D!$L$11)*2),0)/1 * 0.1), 0) +
    IF(O6-Uzman_D!$M$11&lt;0, -(O6-Uzman_D!$M$11), O6-Uzman_D!$M$11)*1
)</f>
        <v>-0.30000000000000027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2"/>
      <c r="AB6" s="72"/>
      <c r="AC6" s="73">
        <f>1 - (
    SUM(
        IF(Q6-Uzman_D!$B$12&lt;0, -(Q6-Uzman_D!$B$12), Q6-Uzman_D!$B$12)*0.1 +
        IF(R6-Uzman_D!$C$12&lt;0, -(R6-Uzman_D!$C$12), R6-Uzman_D!$C$12)*0.1 +
        IF(S6-Uzman_D!$D$12&lt;0, -(S6-Uzman_D!$D$12), S6-Uzman_D!$D$12)*0.1 +
        IF(T6-Uzman_D!$E$12&lt;0, -(T6-Uzman_D!$E$12), T6-Uzman_D!$E$12)*0.1 +
        IF(U6-Uzman_D!$F$12&lt;0, -(U6-Uzman_D!$F$12), U6-Uzman_D!$F$12)*0.1 +
        IF(V6-Uzman_D!$G$12&lt;0, -(V6-Uzman_D!$G$12), V6-Uzman_D!$G$12)*0.1 +
        IF(W6-Uzman_D!$H$12&lt;0, -(W6-Uzman_D!$H$12), W6-Uzman_D!$H$12)*0.1 +
        IF(X6-Uzman_D!$I$12&lt;0, -(X6-Uzman_D!$I$12), X6-Uzman_D!$I$12)*0.1 +
        IF(Y6-Uzman_D!$J$12&lt;0, -(Y6-Uzman_D!$J$12), Y6-Uzman_D!$J$12)*0.1
    ) +
    IF(ROUND((IF(AA6-Uzman_D!$L$12&lt;0, -(AA6-Uzman_D!$L$12), AA6-Uzman_D!$L$12)*2),0)/2 = IF(AA6-Uzman_D!$L$12&lt;0, -(AA6-Uzman_D!$L$12), AA6-Uzman_D!$L$12),
    (ROUND((IF(AA6-Uzman_D!$L$12&lt;0, -(AA6-Uzman_D!$L$12), AA6-Uzman_D!$L$12)*2),0)/1 * 0.1), 0) +
    IF(AB6-Uzman_D!$M$12&lt;0, -(AB6-Uzman_D!$M$12), AB6-Uzman_D!$M$12)*1
)</f>
        <v>-0.20000000000000018</v>
      </c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2"/>
      <c r="AO6" s="72"/>
      <c r="AP6" s="73">
        <f>1 - (
    SUM(
        IF(AD6-Uzman_D!$B$13&lt;0, -(AD6-Uzman_D!$B$13), AD6-Uzman_D!$B$13)*0.1 +
        IF(AE6-Uzman_D!$C$13&lt;0, -(AE6-Uzman_D!$C$13), AE6-Uzman_D!$C$13)*0.1 +
        IF(AF6-Uzman_D!$D$13&lt;0, -(AF6-Uzman_D!$D$13), AF6-Uzman_D!$D$13)*0.1 +
        IF(AG6-Uzman_D!$E$13&lt;0, -(AG6-Uzman_D!$E$13), AG6-Uzman_D!$E$13)*0.1 +
        IF(AH6-Uzman_D!$F$13&lt;0, -(AH6-Uzman_D!$F$13), AH6-Uzman_D!$F$13)*0.1 +
        IF(AI6-Uzman_D!$G$13&lt;0, -(AI6-Uzman_D!$G$13), AI6-Uzman_D!$G$13)*0.1 +
        IF(AJ6-Uzman_D!$H$13&lt;0, -(AJ6-Uzman_D!$H$13), AJ6-Uzman_D!$H$13)*0.1 +
        IF(AK6-Uzman_D!$I$13&lt;0, -(AK6-Uzman_D!$I$13), AK6-Uzman_D!$I$13)*0.1 +
        IF(AL6-Uzman_D!$J$13&lt;0, -(AL6-Uzman_D!$J$13), AL6-Uzman_D!$J$13)*0.1
    ) +
    IF(ROUND((IF(AN6-Uzman_D!$L$13&lt;0, -(AN6-Uzman_D!$L$13), AN6-Uzman_D!$L$13)*2),0)/2 = IF(AN6-Uzman_D!$L$13&lt;0, -(AN6-Uzman_D!$L$13), AN6-Uzman_D!$L$13),
    (ROUND((IF(AN6-Uzman_D!$L$13&lt;0, -(AN6-Uzman_D!$L$13), AN6-Uzman_D!$L$13)*2),0)/1 * 0.1), 0) +
    IF(AO6-Uzman_D!$M$13&lt;0, -(AO6-Uzman_D!$M$13), AO6-Uzman_D!$M$13)*1
)</f>
        <v>-0.30000000000000004</v>
      </c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2"/>
      <c r="BB6" s="72"/>
      <c r="BC6" s="73">
        <f>1 - (
    SUM(
        IF(AQ6-Uzman_D!$B$14&lt;0, -(AQ6-Uzman_D!$B$14), AQ6-Uzman_D!$B$14)*0.1 +
        IF(AR6-Uzman_D!$C$14&lt;0, -(AR6-Uzman_D!$C$14), AR6-Uzman_D!$C$14)*0.1 +
        IF(AS6-Uzman_D!$D$14&lt;0, -(AS6-Uzman_D!$D$14), AS6-Uzman_D!$D$14)*0.1 +
        IF(AT6-Uzman_D!$E$14&lt;0, -(AT6-Uzman_D!$E$14), AT6-Uzman_D!$E$14)*0.1 +
        IF(AU6-Uzman_D!$F$14&lt;0, -(AU6-Uzman_D!$F$14), AU6-Uzman_D!$F$14)*0.1 +
        IF(AV6-Uzman_D!$G$14&lt;0, -(AV6-Uzman_D!$G$14), AV6-Uzman_D!$G$14)*0.1 +
        IF(AW6-Uzman_D!$H$14&lt;0, -(AW6-Uzman_D!$H$14), AW6-Uzman_D!$H$14)*0.1 +
        IF(AX6-Uzman_D!$I$14&lt;0, -(AX6-Uzman_D!$I$14), AX6-Uzman_D!$I$14)*0.1 +
        IF(AY6-Uzman_D!$J$14&lt;0, -(AY6-Uzman_D!$J$14), AY6-Uzman_D!$J$14)*0.1
    ) +
    IF(ROUND((IF(BA6-Uzman_D!$L$14&lt;0, -(BA6-Uzman_D!$L$14), BA6-Uzman_D!$L$14)*2),0)/2 = IF(BA6-Uzman_D!$L$14&lt;0, -(BA6-Uzman_D!$L$14), BA6-Uzman_D!$L$14),
    (ROUND((IF(BA6-Uzman_D!$L$14&lt;0, -(BA6-Uzman_D!$L$14), BA6-Uzman_D!$L$14)*2),0)/1 * 0.1), 0) +
    IF(BB6-Uzman_D!$M$14&lt;0, -(BB6-Uzman_D!$M$14), BB6-Uzman_D!$M$14)*1
)</f>
        <v>-0.20000000000000018</v>
      </c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2"/>
      <c r="BO6" s="72"/>
      <c r="BP6" s="73">
        <f>1 - (
    SUM(
        IF(BD6-Uzman_D!$B$15&lt;0, -(BD6-Uzman_D!$B$15), BD6-Uzman_D!$B$15)*0.1 +
        IF(BE6-Uzman_D!$C$15&lt;0, -(BE6-Uzman_D!$C$15), BE6-Uzman_D!$C$15)*0.1 +
        IF(BF6-Uzman_D!$D$15&lt;0, -(BF6-Uzman_D!$D$15), BF6-Uzman_D!$D$15)*0.1 +
        IF(BG6-Uzman_D!$E$15&lt;0, -(BG6-Uzman_D!$E$15), BG6-Uzman_D!$E$15)*0.1 +
        IF(BH6-Uzman_D!$F$15&lt;0, -(BH6-Uzman_D!$F$15), BH6-Uzman_D!$F$15)*0.1 +
        IF(BI6-Uzman_D!$G$15&lt;0, -(BI6-Uzman_D!$G$15), BI6-Uzman_D!$G$15)*0.1 +
        IF(BJ6-Uzman_D!$H$15&lt;0, -(BJ6-Uzman_D!$H$15), BJ6-Uzman_D!$H$15)*0.1 +
        IF(BK6-Uzman_D!$I$15&lt;0, -(BK6-Uzman_D!$I$15), BK6-Uzman_D!$I$15)*0.1 +
        IF(BL6-Uzman_D!$J$15&lt;0, -(BL6-Uzman_D!$J$15), BL6-Uzman_D!$J$15)*0.1
    ) +
    IF(ROUND((IF(BN6-Uzman_D!$L$15&lt;0, -(BN6-Uzman_D!$L$15), BN6-Uzman_D!$L$15)*2),0)/2 = IF(BN6-Uzman_D!$L$15&lt;0, -(BN6-Uzman_D!$L$15), BN6-Uzman_D!$L$15),
    (ROUND((IF(BN6-Uzman_D!$L$15&lt;0, -(BN6-Uzman_D!$L$15), BN6-Uzman_D!$L$15)*2),0)/1 * 0.1), 0) +
    IF(BO6-Uzman_D!$M$15&lt;0, -(BO6-Uzman_D!$M$15), BO6-Uzman_D!$M$15)*1
)</f>
        <v>-0.60000000000000009</v>
      </c>
      <c r="BQ6" s="74">
        <f t="shared" si="0"/>
        <v>-0.32000000000000017</v>
      </c>
    </row>
    <row r="7" spans="1:69" ht="15" customHeight="1" x14ac:dyDescent="0.2">
      <c r="A7" s="57">
        <v>4</v>
      </c>
      <c r="B7" s="29">
        <f>Hakemler!B7</f>
        <v>0</v>
      </c>
      <c r="C7" s="29">
        <f>Hakemler!C7</f>
        <v>0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2"/>
      <c r="O7" s="72"/>
      <c r="P7" s="73">
        <f>1 - (
    SUM(
        IF(D7-Uzman_D!$B$11&lt;0, -(D7-Uzman_D!$B$11), D7-Uzman_D!$B$11)*0.1 +
        IF(E7-Uzman_D!$C$11&lt;0, -(E7-Uzman_D!$C$11), E7-Uzman_D!$C$11)*0.1 +
        IF(F7-Uzman_D!$D$11&lt;0, -(F7-Uzman_D!$D$11), F7-Uzman_D!$D$11)*0.1 +
        IF(G7-Uzman_D!$E$11&lt;0, -(G7-Uzman_D!$E$11), G7-Uzman_D!$E$11)*0.1 +
        IF(H7-Uzman_D!$F$11&lt;0, -(H7-Uzman_D!$F$11), H7-Uzman_D!$F$11)*0.1 +
        IF(I7-Uzman_D!$G$11&lt;0, -(I7-Uzman_D!$G$11), I7-Uzman_D!$G$11)*0.1 +
        IF(J7-Uzman_D!$H$11&lt;0, -(J7-Uzman_D!$H$11), J7-Uzman_D!$H$11)*0.1 +
        IF(K7-Uzman_D!$I$11&lt;0, -(K7-Uzman_D!$I$11), K7-Uzman_D!$I$11)*0.1 +
        IF(L7-Uzman_D!$J$11&lt;0, -(L7-Uzman_D!$J$11), L7-Uzman_D!$J$11)*0.1
    ) +
    IF(ROUND((IF(N7-Uzman_D!$L$11&lt;0, -(N7-Uzman_D!$L$11), N7-Uzman_D!$L$11)*2),0)/2 = IF(N7-Uzman_D!$L$11&lt;0, -(N7-Uzman_D!$L$11), N7-Uzman_D!$L$11),
    (ROUND((IF(N7-Uzman_D!$L$11&lt;0, -(N7-Uzman_D!$L$11), N7-Uzman_D!$L$11)*2),0)/1 * 0.1), 0) +
    IF(O7-Uzman_D!$M$11&lt;0, -(O7-Uzman_D!$M$11), O7-Uzman_D!$M$11)*1
)</f>
        <v>-0.30000000000000027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2"/>
      <c r="AB7" s="72"/>
      <c r="AC7" s="73">
        <f>1 - (
    SUM(
        IF(Q7-Uzman_D!$B$12&lt;0, -(Q7-Uzman_D!$B$12), Q7-Uzman_D!$B$12)*0.1 +
        IF(R7-Uzman_D!$C$12&lt;0, -(R7-Uzman_D!$C$12), R7-Uzman_D!$C$12)*0.1 +
        IF(S7-Uzman_D!$D$12&lt;0, -(S7-Uzman_D!$D$12), S7-Uzman_D!$D$12)*0.1 +
        IF(T7-Uzman_D!$E$12&lt;0, -(T7-Uzman_D!$E$12), T7-Uzman_D!$E$12)*0.1 +
        IF(U7-Uzman_D!$F$12&lt;0, -(U7-Uzman_D!$F$12), U7-Uzman_D!$F$12)*0.1 +
        IF(V7-Uzman_D!$G$12&lt;0, -(V7-Uzman_D!$G$12), V7-Uzman_D!$G$12)*0.1 +
        IF(W7-Uzman_D!$H$12&lt;0, -(W7-Uzman_D!$H$12), W7-Uzman_D!$H$12)*0.1 +
        IF(X7-Uzman_D!$I$12&lt;0, -(X7-Uzman_D!$I$12), X7-Uzman_D!$I$12)*0.1 +
        IF(Y7-Uzman_D!$J$12&lt;0, -(Y7-Uzman_D!$J$12), Y7-Uzman_D!$J$12)*0.1
    ) +
    IF(ROUND((IF(AA7-Uzman_D!$L$12&lt;0, -(AA7-Uzman_D!$L$12), AA7-Uzman_D!$L$12)*2),0)/2 = IF(AA7-Uzman_D!$L$12&lt;0, -(AA7-Uzman_D!$L$12), AA7-Uzman_D!$L$12),
    (ROUND((IF(AA7-Uzman_D!$L$12&lt;0, -(AA7-Uzman_D!$L$12), AA7-Uzman_D!$L$12)*2),0)/1 * 0.1), 0) +
    IF(AB7-Uzman_D!$M$12&lt;0, -(AB7-Uzman_D!$M$12), AB7-Uzman_D!$M$12)*1
)</f>
        <v>-0.20000000000000018</v>
      </c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2"/>
      <c r="AO7" s="72"/>
      <c r="AP7" s="73">
        <f>1 - (
    SUM(
        IF(AD7-Uzman_D!$B$13&lt;0, -(AD7-Uzman_D!$B$13), AD7-Uzman_D!$B$13)*0.1 +
        IF(AE7-Uzman_D!$C$13&lt;0, -(AE7-Uzman_D!$C$13), AE7-Uzman_D!$C$13)*0.1 +
        IF(AF7-Uzman_D!$D$13&lt;0, -(AF7-Uzman_D!$D$13), AF7-Uzman_D!$D$13)*0.1 +
        IF(AG7-Uzman_D!$E$13&lt;0, -(AG7-Uzman_D!$E$13), AG7-Uzman_D!$E$13)*0.1 +
        IF(AH7-Uzman_D!$F$13&lt;0, -(AH7-Uzman_D!$F$13), AH7-Uzman_D!$F$13)*0.1 +
        IF(AI7-Uzman_D!$G$13&lt;0, -(AI7-Uzman_D!$G$13), AI7-Uzman_D!$G$13)*0.1 +
        IF(AJ7-Uzman_D!$H$13&lt;0, -(AJ7-Uzman_D!$H$13), AJ7-Uzman_D!$H$13)*0.1 +
        IF(AK7-Uzman_D!$I$13&lt;0, -(AK7-Uzman_D!$I$13), AK7-Uzman_D!$I$13)*0.1 +
        IF(AL7-Uzman_D!$J$13&lt;0, -(AL7-Uzman_D!$J$13), AL7-Uzman_D!$J$13)*0.1
    ) +
    IF(ROUND((IF(AN7-Uzman_D!$L$13&lt;0, -(AN7-Uzman_D!$L$13), AN7-Uzman_D!$L$13)*2),0)/2 = IF(AN7-Uzman_D!$L$13&lt;0, -(AN7-Uzman_D!$L$13), AN7-Uzman_D!$L$13),
    (ROUND((IF(AN7-Uzman_D!$L$13&lt;0, -(AN7-Uzman_D!$L$13), AN7-Uzman_D!$L$13)*2),0)/1 * 0.1), 0) +
    IF(AO7-Uzman_D!$M$13&lt;0, -(AO7-Uzman_D!$M$13), AO7-Uzman_D!$M$13)*1
)</f>
        <v>-0.30000000000000004</v>
      </c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2"/>
      <c r="BB7" s="72"/>
      <c r="BC7" s="73">
        <f>1 - (
    SUM(
        IF(AQ7-Uzman_D!$B$14&lt;0, -(AQ7-Uzman_D!$B$14), AQ7-Uzman_D!$B$14)*0.1 +
        IF(AR7-Uzman_D!$C$14&lt;0, -(AR7-Uzman_D!$C$14), AR7-Uzman_D!$C$14)*0.1 +
        IF(AS7-Uzman_D!$D$14&lt;0, -(AS7-Uzman_D!$D$14), AS7-Uzman_D!$D$14)*0.1 +
        IF(AT7-Uzman_D!$E$14&lt;0, -(AT7-Uzman_D!$E$14), AT7-Uzman_D!$E$14)*0.1 +
        IF(AU7-Uzman_D!$F$14&lt;0, -(AU7-Uzman_D!$F$14), AU7-Uzman_D!$F$14)*0.1 +
        IF(AV7-Uzman_D!$G$14&lt;0, -(AV7-Uzman_D!$G$14), AV7-Uzman_D!$G$14)*0.1 +
        IF(AW7-Uzman_D!$H$14&lt;0, -(AW7-Uzman_D!$H$14), AW7-Uzman_D!$H$14)*0.1 +
        IF(AX7-Uzman_D!$I$14&lt;0, -(AX7-Uzman_D!$I$14), AX7-Uzman_D!$I$14)*0.1 +
        IF(AY7-Uzman_D!$J$14&lt;0, -(AY7-Uzman_D!$J$14), AY7-Uzman_D!$J$14)*0.1
    ) +
    IF(ROUND((IF(BA7-Uzman_D!$L$14&lt;0, -(BA7-Uzman_D!$L$14), BA7-Uzman_D!$L$14)*2),0)/2 = IF(BA7-Uzman_D!$L$14&lt;0, -(BA7-Uzman_D!$L$14), BA7-Uzman_D!$L$14),
    (ROUND((IF(BA7-Uzman_D!$L$14&lt;0, -(BA7-Uzman_D!$L$14), BA7-Uzman_D!$L$14)*2),0)/1 * 0.1), 0) +
    IF(BB7-Uzman_D!$M$14&lt;0, -(BB7-Uzman_D!$M$14), BB7-Uzman_D!$M$14)*1
)</f>
        <v>-0.20000000000000018</v>
      </c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2"/>
      <c r="BO7" s="72"/>
      <c r="BP7" s="73">
        <f>1 - (
    SUM(
        IF(BD7-Uzman_D!$B$15&lt;0, -(BD7-Uzman_D!$B$15), BD7-Uzman_D!$B$15)*0.1 +
        IF(BE7-Uzman_D!$C$15&lt;0, -(BE7-Uzman_D!$C$15), BE7-Uzman_D!$C$15)*0.1 +
        IF(BF7-Uzman_D!$D$15&lt;0, -(BF7-Uzman_D!$D$15), BF7-Uzman_D!$D$15)*0.1 +
        IF(BG7-Uzman_D!$E$15&lt;0, -(BG7-Uzman_D!$E$15), BG7-Uzman_D!$E$15)*0.1 +
        IF(BH7-Uzman_D!$F$15&lt;0, -(BH7-Uzman_D!$F$15), BH7-Uzman_D!$F$15)*0.1 +
        IF(BI7-Uzman_D!$G$15&lt;0, -(BI7-Uzman_D!$G$15), BI7-Uzman_D!$G$15)*0.1 +
        IF(BJ7-Uzman_D!$H$15&lt;0, -(BJ7-Uzman_D!$H$15), BJ7-Uzman_D!$H$15)*0.1 +
        IF(BK7-Uzman_D!$I$15&lt;0, -(BK7-Uzman_D!$I$15), BK7-Uzman_D!$I$15)*0.1 +
        IF(BL7-Uzman_D!$J$15&lt;0, -(BL7-Uzman_D!$J$15), BL7-Uzman_D!$J$15)*0.1
    ) +
    IF(ROUND((IF(BN7-Uzman_D!$L$15&lt;0, -(BN7-Uzman_D!$L$15), BN7-Uzman_D!$L$15)*2),0)/2 = IF(BN7-Uzman_D!$L$15&lt;0, -(BN7-Uzman_D!$L$15), BN7-Uzman_D!$L$15),
    (ROUND((IF(BN7-Uzman_D!$L$15&lt;0, -(BN7-Uzman_D!$L$15), BN7-Uzman_D!$L$15)*2),0)/1 * 0.1), 0) +
    IF(BO7-Uzman_D!$M$15&lt;0, -(BO7-Uzman_D!$M$15), BO7-Uzman_D!$M$15)*1
)</f>
        <v>-0.60000000000000009</v>
      </c>
      <c r="BQ7" s="74">
        <f t="shared" si="0"/>
        <v>-0.32000000000000017</v>
      </c>
    </row>
    <row r="8" spans="1:69" ht="15" customHeight="1" x14ac:dyDescent="0.2">
      <c r="A8" s="57">
        <v>5</v>
      </c>
      <c r="B8" s="29">
        <f>Hakemler!B8</f>
        <v>0</v>
      </c>
      <c r="C8" s="29">
        <f>Hakemler!C8</f>
        <v>0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2"/>
      <c r="O8" s="72"/>
      <c r="P8" s="73">
        <f>1 - (
    SUM(
        IF(D8-Uzman_D!$B$11&lt;0, -(D8-Uzman_D!$B$11), D8-Uzman_D!$B$11)*0.1 +
        IF(E8-Uzman_D!$C$11&lt;0, -(E8-Uzman_D!$C$11), E8-Uzman_D!$C$11)*0.1 +
        IF(F8-Uzman_D!$D$11&lt;0, -(F8-Uzman_D!$D$11), F8-Uzman_D!$D$11)*0.1 +
        IF(G8-Uzman_D!$E$11&lt;0, -(G8-Uzman_D!$E$11), G8-Uzman_D!$E$11)*0.1 +
        IF(H8-Uzman_D!$F$11&lt;0, -(H8-Uzman_D!$F$11), H8-Uzman_D!$F$11)*0.1 +
        IF(I8-Uzman_D!$G$11&lt;0, -(I8-Uzman_D!$G$11), I8-Uzman_D!$G$11)*0.1 +
        IF(J8-Uzman_D!$H$11&lt;0, -(J8-Uzman_D!$H$11), J8-Uzman_D!$H$11)*0.1 +
        IF(K8-Uzman_D!$I$11&lt;0, -(K8-Uzman_D!$I$11), K8-Uzman_D!$I$11)*0.1 +
        IF(L8-Uzman_D!$J$11&lt;0, -(L8-Uzman_D!$J$11), L8-Uzman_D!$J$11)*0.1
    ) +
    IF(ROUND((IF(N8-Uzman_D!$L$11&lt;0, -(N8-Uzman_D!$L$11), N8-Uzman_D!$L$11)*2),0)/2 = IF(N8-Uzman_D!$L$11&lt;0, -(N8-Uzman_D!$L$11), N8-Uzman_D!$L$11),
    (ROUND((IF(N8-Uzman_D!$L$11&lt;0, -(N8-Uzman_D!$L$11), N8-Uzman_D!$L$11)*2),0)/1 * 0.1), 0) +
    IF(O8-Uzman_D!$M$11&lt;0, -(O8-Uzman_D!$M$11), O8-Uzman_D!$M$11)*1
)</f>
        <v>-0.30000000000000027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2"/>
      <c r="AB8" s="72"/>
      <c r="AC8" s="73">
        <f>1 - (
    SUM(
        IF(Q8-Uzman_D!$B$12&lt;0, -(Q8-Uzman_D!$B$12), Q8-Uzman_D!$B$12)*0.1 +
        IF(R8-Uzman_D!$C$12&lt;0, -(R8-Uzman_D!$C$12), R8-Uzman_D!$C$12)*0.1 +
        IF(S8-Uzman_D!$D$12&lt;0, -(S8-Uzman_D!$D$12), S8-Uzman_D!$D$12)*0.1 +
        IF(T8-Uzman_D!$E$12&lt;0, -(T8-Uzman_D!$E$12), T8-Uzman_D!$E$12)*0.1 +
        IF(U8-Uzman_D!$F$12&lt;0, -(U8-Uzman_D!$F$12), U8-Uzman_D!$F$12)*0.1 +
        IF(V8-Uzman_D!$G$12&lt;0, -(V8-Uzman_D!$G$12), V8-Uzman_D!$G$12)*0.1 +
        IF(W8-Uzman_D!$H$12&lt;0, -(W8-Uzman_D!$H$12), W8-Uzman_D!$H$12)*0.1 +
        IF(X8-Uzman_D!$I$12&lt;0, -(X8-Uzman_D!$I$12), X8-Uzman_D!$I$12)*0.1 +
        IF(Y8-Uzman_D!$J$12&lt;0, -(Y8-Uzman_D!$J$12), Y8-Uzman_D!$J$12)*0.1
    ) +
    IF(ROUND((IF(AA8-Uzman_D!$L$12&lt;0, -(AA8-Uzman_D!$L$12), AA8-Uzman_D!$L$12)*2),0)/2 = IF(AA8-Uzman_D!$L$12&lt;0, -(AA8-Uzman_D!$L$12), AA8-Uzman_D!$L$12),
    (ROUND((IF(AA8-Uzman_D!$L$12&lt;0, -(AA8-Uzman_D!$L$12), AA8-Uzman_D!$L$12)*2),0)/1 * 0.1), 0) +
    IF(AB8-Uzman_D!$M$12&lt;0, -(AB8-Uzman_D!$M$12), AB8-Uzman_D!$M$12)*1
)</f>
        <v>-0.20000000000000018</v>
      </c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2"/>
      <c r="AO8" s="72"/>
      <c r="AP8" s="73">
        <f>1 - (
    SUM(
        IF(AD8-Uzman_D!$B$13&lt;0, -(AD8-Uzman_D!$B$13), AD8-Uzman_D!$B$13)*0.1 +
        IF(AE8-Uzman_D!$C$13&lt;0, -(AE8-Uzman_D!$C$13), AE8-Uzman_D!$C$13)*0.1 +
        IF(AF8-Uzman_D!$D$13&lt;0, -(AF8-Uzman_D!$D$13), AF8-Uzman_D!$D$13)*0.1 +
        IF(AG8-Uzman_D!$E$13&lt;0, -(AG8-Uzman_D!$E$13), AG8-Uzman_D!$E$13)*0.1 +
        IF(AH8-Uzman_D!$F$13&lt;0, -(AH8-Uzman_D!$F$13), AH8-Uzman_D!$F$13)*0.1 +
        IF(AI8-Uzman_D!$G$13&lt;0, -(AI8-Uzman_D!$G$13), AI8-Uzman_D!$G$13)*0.1 +
        IF(AJ8-Uzman_D!$H$13&lt;0, -(AJ8-Uzman_D!$H$13), AJ8-Uzman_D!$H$13)*0.1 +
        IF(AK8-Uzman_D!$I$13&lt;0, -(AK8-Uzman_D!$I$13), AK8-Uzman_D!$I$13)*0.1 +
        IF(AL8-Uzman_D!$J$13&lt;0, -(AL8-Uzman_D!$J$13), AL8-Uzman_D!$J$13)*0.1
    ) +
    IF(ROUND((IF(AN8-Uzman_D!$L$13&lt;0, -(AN8-Uzman_D!$L$13), AN8-Uzman_D!$L$13)*2),0)/2 = IF(AN8-Uzman_D!$L$13&lt;0, -(AN8-Uzman_D!$L$13), AN8-Uzman_D!$L$13),
    (ROUND((IF(AN8-Uzman_D!$L$13&lt;0, -(AN8-Uzman_D!$L$13), AN8-Uzman_D!$L$13)*2),0)/1 * 0.1), 0) +
    IF(AO8-Uzman_D!$M$13&lt;0, -(AO8-Uzman_D!$M$13), AO8-Uzman_D!$M$13)*1
)</f>
        <v>-0.30000000000000004</v>
      </c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2"/>
      <c r="BB8" s="72"/>
      <c r="BC8" s="73">
        <f>1 - (
    SUM(
        IF(AQ8-Uzman_D!$B$14&lt;0, -(AQ8-Uzman_D!$B$14), AQ8-Uzman_D!$B$14)*0.1 +
        IF(AR8-Uzman_D!$C$14&lt;0, -(AR8-Uzman_D!$C$14), AR8-Uzman_D!$C$14)*0.1 +
        IF(AS8-Uzman_D!$D$14&lt;0, -(AS8-Uzman_D!$D$14), AS8-Uzman_D!$D$14)*0.1 +
        IF(AT8-Uzman_D!$E$14&lt;0, -(AT8-Uzman_D!$E$14), AT8-Uzman_D!$E$14)*0.1 +
        IF(AU8-Uzman_D!$F$14&lt;0, -(AU8-Uzman_D!$F$14), AU8-Uzman_D!$F$14)*0.1 +
        IF(AV8-Uzman_D!$G$14&lt;0, -(AV8-Uzman_D!$G$14), AV8-Uzman_D!$G$14)*0.1 +
        IF(AW8-Uzman_D!$H$14&lt;0, -(AW8-Uzman_D!$H$14), AW8-Uzman_D!$H$14)*0.1 +
        IF(AX8-Uzman_D!$I$14&lt;0, -(AX8-Uzman_D!$I$14), AX8-Uzman_D!$I$14)*0.1 +
        IF(AY8-Uzman_D!$J$14&lt;0, -(AY8-Uzman_D!$J$14), AY8-Uzman_D!$J$14)*0.1
    ) +
    IF(ROUND((IF(BA8-Uzman_D!$L$14&lt;0, -(BA8-Uzman_D!$L$14), BA8-Uzman_D!$L$14)*2),0)/2 = IF(BA8-Uzman_D!$L$14&lt;0, -(BA8-Uzman_D!$L$14), BA8-Uzman_D!$L$14),
    (ROUND((IF(BA8-Uzman_D!$L$14&lt;0, -(BA8-Uzman_D!$L$14), BA8-Uzman_D!$L$14)*2),0)/1 * 0.1), 0) +
    IF(BB8-Uzman_D!$M$14&lt;0, -(BB8-Uzman_D!$M$14), BB8-Uzman_D!$M$14)*1
)</f>
        <v>-0.20000000000000018</v>
      </c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2"/>
      <c r="BO8" s="72"/>
      <c r="BP8" s="73">
        <f>1 - (
    SUM(
        IF(BD8-Uzman_D!$B$15&lt;0, -(BD8-Uzman_D!$B$15), BD8-Uzman_D!$B$15)*0.1 +
        IF(BE8-Uzman_D!$C$15&lt;0, -(BE8-Uzman_D!$C$15), BE8-Uzman_D!$C$15)*0.1 +
        IF(BF8-Uzman_D!$D$15&lt;0, -(BF8-Uzman_D!$D$15), BF8-Uzman_D!$D$15)*0.1 +
        IF(BG8-Uzman_D!$E$15&lt;0, -(BG8-Uzman_D!$E$15), BG8-Uzman_D!$E$15)*0.1 +
        IF(BH8-Uzman_D!$F$15&lt;0, -(BH8-Uzman_D!$F$15), BH8-Uzman_D!$F$15)*0.1 +
        IF(BI8-Uzman_D!$G$15&lt;0, -(BI8-Uzman_D!$G$15), BI8-Uzman_D!$G$15)*0.1 +
        IF(BJ8-Uzman_D!$H$15&lt;0, -(BJ8-Uzman_D!$H$15), BJ8-Uzman_D!$H$15)*0.1 +
        IF(BK8-Uzman_D!$I$15&lt;0, -(BK8-Uzman_D!$I$15), BK8-Uzman_D!$I$15)*0.1 +
        IF(BL8-Uzman_D!$J$15&lt;0, -(BL8-Uzman_D!$J$15), BL8-Uzman_D!$J$15)*0.1
    ) +
    IF(ROUND((IF(BN8-Uzman_D!$L$15&lt;0, -(BN8-Uzman_D!$L$15), BN8-Uzman_D!$L$15)*2),0)/2 = IF(BN8-Uzman_D!$L$15&lt;0, -(BN8-Uzman_D!$L$15), BN8-Uzman_D!$L$15),
    (ROUND((IF(BN8-Uzman_D!$L$15&lt;0, -(BN8-Uzman_D!$L$15), BN8-Uzman_D!$L$15)*2),0)/1 * 0.1), 0) +
    IF(BO8-Uzman_D!$M$15&lt;0, -(BO8-Uzman_D!$M$15), BO8-Uzman_D!$M$15)*1
)</f>
        <v>-0.60000000000000009</v>
      </c>
      <c r="BQ8" s="74">
        <f t="shared" si="0"/>
        <v>-0.32000000000000017</v>
      </c>
    </row>
    <row r="9" spans="1:69" ht="15" customHeight="1" x14ac:dyDescent="0.2">
      <c r="A9" s="57">
        <v>6</v>
      </c>
      <c r="B9" s="29">
        <f>Hakemler!B9</f>
        <v>0</v>
      </c>
      <c r="C9" s="29">
        <f>Hakemler!C9</f>
        <v>0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2"/>
      <c r="O9" s="72"/>
      <c r="P9" s="73">
        <f>1 - (
    SUM(
        IF(D9-Uzman_D!$B$11&lt;0, -(D9-Uzman_D!$B$11), D9-Uzman_D!$B$11)*0.1 +
        IF(E9-Uzman_D!$C$11&lt;0, -(E9-Uzman_D!$C$11), E9-Uzman_D!$C$11)*0.1 +
        IF(F9-Uzman_D!$D$11&lt;0, -(F9-Uzman_D!$D$11), F9-Uzman_D!$D$11)*0.1 +
        IF(G9-Uzman_D!$E$11&lt;0, -(G9-Uzman_D!$E$11), G9-Uzman_D!$E$11)*0.1 +
        IF(H9-Uzman_D!$F$11&lt;0, -(H9-Uzman_D!$F$11), H9-Uzman_D!$F$11)*0.1 +
        IF(I9-Uzman_D!$G$11&lt;0, -(I9-Uzman_D!$G$11), I9-Uzman_D!$G$11)*0.1 +
        IF(J9-Uzman_D!$H$11&lt;0, -(J9-Uzman_D!$H$11), J9-Uzman_D!$H$11)*0.1 +
        IF(K9-Uzman_D!$I$11&lt;0, -(K9-Uzman_D!$I$11), K9-Uzman_D!$I$11)*0.1 +
        IF(L9-Uzman_D!$J$11&lt;0, -(L9-Uzman_D!$J$11), L9-Uzman_D!$J$11)*0.1
    ) +
    IF(ROUND((IF(N9-Uzman_D!$L$11&lt;0, -(N9-Uzman_D!$L$11), N9-Uzman_D!$L$11)*2),0)/2 = IF(N9-Uzman_D!$L$11&lt;0, -(N9-Uzman_D!$L$11), N9-Uzman_D!$L$11),
    (ROUND((IF(N9-Uzman_D!$L$11&lt;0, -(N9-Uzman_D!$L$11), N9-Uzman_D!$L$11)*2),0)/1 * 0.1), 0) +
    IF(O9-Uzman_D!$M$11&lt;0, -(O9-Uzman_D!$M$11), O9-Uzman_D!$M$11)*1
)</f>
        <v>-0.30000000000000027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2"/>
      <c r="AB9" s="72"/>
      <c r="AC9" s="73">
        <f>1 - (
    SUM(
        IF(Q9-Uzman_D!$B$12&lt;0, -(Q9-Uzman_D!$B$12), Q9-Uzman_D!$B$12)*0.1 +
        IF(R9-Uzman_D!$C$12&lt;0, -(R9-Uzman_D!$C$12), R9-Uzman_D!$C$12)*0.1 +
        IF(S9-Uzman_D!$D$12&lt;0, -(S9-Uzman_D!$D$12), S9-Uzman_D!$D$12)*0.1 +
        IF(T9-Uzman_D!$E$12&lt;0, -(T9-Uzman_D!$E$12), T9-Uzman_D!$E$12)*0.1 +
        IF(U9-Uzman_D!$F$12&lt;0, -(U9-Uzman_D!$F$12), U9-Uzman_D!$F$12)*0.1 +
        IF(V9-Uzman_D!$G$12&lt;0, -(V9-Uzman_D!$G$12), V9-Uzman_D!$G$12)*0.1 +
        IF(W9-Uzman_D!$H$12&lt;0, -(W9-Uzman_D!$H$12), W9-Uzman_D!$H$12)*0.1 +
        IF(X9-Uzman_D!$I$12&lt;0, -(X9-Uzman_D!$I$12), X9-Uzman_D!$I$12)*0.1 +
        IF(Y9-Uzman_D!$J$12&lt;0, -(Y9-Uzman_D!$J$12), Y9-Uzman_D!$J$12)*0.1
    ) +
    IF(ROUND((IF(AA9-Uzman_D!$L$12&lt;0, -(AA9-Uzman_D!$L$12), AA9-Uzman_D!$L$12)*2),0)/2 = IF(AA9-Uzman_D!$L$12&lt;0, -(AA9-Uzman_D!$L$12), AA9-Uzman_D!$L$12),
    (ROUND((IF(AA9-Uzman_D!$L$12&lt;0, -(AA9-Uzman_D!$L$12), AA9-Uzman_D!$L$12)*2),0)/1 * 0.1), 0) +
    IF(AB9-Uzman_D!$M$12&lt;0, -(AB9-Uzman_D!$M$12), AB9-Uzman_D!$M$12)*1
)</f>
        <v>-0.20000000000000018</v>
      </c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2"/>
      <c r="AO9" s="72"/>
      <c r="AP9" s="73">
        <f>1 - (
    SUM(
        IF(AD9-Uzman_D!$B$13&lt;0, -(AD9-Uzman_D!$B$13), AD9-Uzman_D!$B$13)*0.1 +
        IF(AE9-Uzman_D!$C$13&lt;0, -(AE9-Uzman_D!$C$13), AE9-Uzman_D!$C$13)*0.1 +
        IF(AF9-Uzman_D!$D$13&lt;0, -(AF9-Uzman_D!$D$13), AF9-Uzman_D!$D$13)*0.1 +
        IF(AG9-Uzman_D!$E$13&lt;0, -(AG9-Uzman_D!$E$13), AG9-Uzman_D!$E$13)*0.1 +
        IF(AH9-Uzman_D!$F$13&lt;0, -(AH9-Uzman_D!$F$13), AH9-Uzman_D!$F$13)*0.1 +
        IF(AI9-Uzman_D!$G$13&lt;0, -(AI9-Uzman_D!$G$13), AI9-Uzman_D!$G$13)*0.1 +
        IF(AJ9-Uzman_D!$H$13&lt;0, -(AJ9-Uzman_D!$H$13), AJ9-Uzman_D!$H$13)*0.1 +
        IF(AK9-Uzman_D!$I$13&lt;0, -(AK9-Uzman_D!$I$13), AK9-Uzman_D!$I$13)*0.1 +
        IF(AL9-Uzman_D!$J$13&lt;0, -(AL9-Uzman_D!$J$13), AL9-Uzman_D!$J$13)*0.1
    ) +
    IF(ROUND((IF(AN9-Uzman_D!$L$13&lt;0, -(AN9-Uzman_D!$L$13), AN9-Uzman_D!$L$13)*2),0)/2 = IF(AN9-Uzman_D!$L$13&lt;0, -(AN9-Uzman_D!$L$13), AN9-Uzman_D!$L$13),
    (ROUND((IF(AN9-Uzman_D!$L$13&lt;0, -(AN9-Uzman_D!$L$13), AN9-Uzman_D!$L$13)*2),0)/1 * 0.1), 0) +
    IF(AO9-Uzman_D!$M$13&lt;0, -(AO9-Uzman_D!$M$13), AO9-Uzman_D!$M$13)*1
)</f>
        <v>-0.30000000000000004</v>
      </c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2"/>
      <c r="BB9" s="72"/>
      <c r="BC9" s="73">
        <f>1 - (
    SUM(
        IF(AQ9-Uzman_D!$B$14&lt;0, -(AQ9-Uzman_D!$B$14), AQ9-Uzman_D!$B$14)*0.1 +
        IF(AR9-Uzman_D!$C$14&lt;0, -(AR9-Uzman_D!$C$14), AR9-Uzman_D!$C$14)*0.1 +
        IF(AS9-Uzman_D!$D$14&lt;0, -(AS9-Uzman_D!$D$14), AS9-Uzman_D!$D$14)*0.1 +
        IF(AT9-Uzman_D!$E$14&lt;0, -(AT9-Uzman_D!$E$14), AT9-Uzman_D!$E$14)*0.1 +
        IF(AU9-Uzman_D!$F$14&lt;0, -(AU9-Uzman_D!$F$14), AU9-Uzman_D!$F$14)*0.1 +
        IF(AV9-Uzman_D!$G$14&lt;0, -(AV9-Uzman_D!$G$14), AV9-Uzman_D!$G$14)*0.1 +
        IF(AW9-Uzman_D!$H$14&lt;0, -(AW9-Uzman_D!$H$14), AW9-Uzman_D!$H$14)*0.1 +
        IF(AX9-Uzman_D!$I$14&lt;0, -(AX9-Uzman_D!$I$14), AX9-Uzman_D!$I$14)*0.1 +
        IF(AY9-Uzman_D!$J$14&lt;0, -(AY9-Uzman_D!$J$14), AY9-Uzman_D!$J$14)*0.1
    ) +
    IF(ROUND((IF(BA9-Uzman_D!$L$14&lt;0, -(BA9-Uzman_D!$L$14), BA9-Uzman_D!$L$14)*2),0)/2 = IF(BA9-Uzman_D!$L$14&lt;0, -(BA9-Uzman_D!$L$14), BA9-Uzman_D!$L$14),
    (ROUND((IF(BA9-Uzman_D!$L$14&lt;0, -(BA9-Uzman_D!$L$14), BA9-Uzman_D!$L$14)*2),0)/1 * 0.1), 0) +
    IF(BB9-Uzman_D!$M$14&lt;0, -(BB9-Uzman_D!$M$14), BB9-Uzman_D!$M$14)*1
)</f>
        <v>-0.20000000000000018</v>
      </c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2"/>
      <c r="BO9" s="72"/>
      <c r="BP9" s="73">
        <f>1 - (
    SUM(
        IF(BD9-Uzman_D!$B$15&lt;0, -(BD9-Uzman_D!$B$15), BD9-Uzman_D!$B$15)*0.1 +
        IF(BE9-Uzman_D!$C$15&lt;0, -(BE9-Uzman_D!$C$15), BE9-Uzman_D!$C$15)*0.1 +
        IF(BF9-Uzman_D!$D$15&lt;0, -(BF9-Uzman_D!$D$15), BF9-Uzman_D!$D$15)*0.1 +
        IF(BG9-Uzman_D!$E$15&lt;0, -(BG9-Uzman_D!$E$15), BG9-Uzman_D!$E$15)*0.1 +
        IF(BH9-Uzman_D!$F$15&lt;0, -(BH9-Uzman_D!$F$15), BH9-Uzman_D!$F$15)*0.1 +
        IF(BI9-Uzman_D!$G$15&lt;0, -(BI9-Uzman_D!$G$15), BI9-Uzman_D!$G$15)*0.1 +
        IF(BJ9-Uzman_D!$H$15&lt;0, -(BJ9-Uzman_D!$H$15), BJ9-Uzman_D!$H$15)*0.1 +
        IF(BK9-Uzman_D!$I$15&lt;0, -(BK9-Uzman_D!$I$15), BK9-Uzman_D!$I$15)*0.1 +
        IF(BL9-Uzman_D!$J$15&lt;0, -(BL9-Uzman_D!$J$15), BL9-Uzman_D!$J$15)*0.1
    ) +
    IF(ROUND((IF(BN9-Uzman_D!$L$15&lt;0, -(BN9-Uzman_D!$L$15), BN9-Uzman_D!$L$15)*2),0)/2 = IF(BN9-Uzman_D!$L$15&lt;0, -(BN9-Uzman_D!$L$15), BN9-Uzman_D!$L$15),
    (ROUND((IF(BN9-Uzman_D!$L$15&lt;0, -(BN9-Uzman_D!$L$15), BN9-Uzman_D!$L$15)*2),0)/1 * 0.1), 0) +
    IF(BO9-Uzman_D!$M$15&lt;0, -(BO9-Uzman_D!$M$15), BO9-Uzman_D!$M$15)*1
)</f>
        <v>-0.60000000000000009</v>
      </c>
      <c r="BQ9" s="74">
        <f t="shared" si="0"/>
        <v>-0.32000000000000017</v>
      </c>
    </row>
    <row r="10" spans="1:69" ht="15" customHeight="1" x14ac:dyDescent="0.2">
      <c r="A10" s="57">
        <v>7</v>
      </c>
      <c r="B10" s="29">
        <f>Hakemler!B10</f>
        <v>0</v>
      </c>
      <c r="C10" s="29">
        <f>Hakemler!C10</f>
        <v>0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2"/>
      <c r="O10" s="72"/>
      <c r="P10" s="73">
        <f>1 - (
    SUM(
        IF(D10-Uzman_D!$B$11&lt;0, -(D10-Uzman_D!$B$11), D10-Uzman_D!$B$11)*0.1 +
        IF(E10-Uzman_D!$C$11&lt;0, -(E10-Uzman_D!$C$11), E10-Uzman_D!$C$11)*0.1 +
        IF(F10-Uzman_D!$D$11&lt;0, -(F10-Uzman_D!$D$11), F10-Uzman_D!$D$11)*0.1 +
        IF(G10-Uzman_D!$E$11&lt;0, -(G10-Uzman_D!$E$11), G10-Uzman_D!$E$11)*0.1 +
        IF(H10-Uzman_D!$F$11&lt;0, -(H10-Uzman_D!$F$11), H10-Uzman_D!$F$11)*0.1 +
        IF(I10-Uzman_D!$G$11&lt;0, -(I10-Uzman_D!$G$11), I10-Uzman_D!$G$11)*0.1 +
        IF(J10-Uzman_D!$H$11&lt;0, -(J10-Uzman_D!$H$11), J10-Uzman_D!$H$11)*0.1 +
        IF(K10-Uzman_D!$I$11&lt;0, -(K10-Uzman_D!$I$11), K10-Uzman_D!$I$11)*0.1 +
        IF(L10-Uzman_D!$J$11&lt;0, -(L10-Uzman_D!$J$11), L10-Uzman_D!$J$11)*0.1
    ) +
    IF(ROUND((IF(N10-Uzman_D!$L$11&lt;0, -(N10-Uzman_D!$L$11), N10-Uzman_D!$L$11)*2),0)/2 = IF(N10-Uzman_D!$L$11&lt;0, -(N10-Uzman_D!$L$11), N10-Uzman_D!$L$11),
    (ROUND((IF(N10-Uzman_D!$L$11&lt;0, -(N10-Uzman_D!$L$11), N10-Uzman_D!$L$11)*2),0)/1 * 0.1), 0) +
    IF(O10-Uzman_D!$M$11&lt;0, -(O10-Uzman_D!$M$11), O10-Uzman_D!$M$11)*1
)</f>
        <v>-0.30000000000000027</v>
      </c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2"/>
      <c r="AB10" s="72"/>
      <c r="AC10" s="73">
        <f>1 - (
    SUM(
        IF(Q10-Uzman_D!$B$12&lt;0, -(Q10-Uzman_D!$B$12), Q10-Uzman_D!$B$12)*0.1 +
        IF(R10-Uzman_D!$C$12&lt;0, -(R10-Uzman_D!$C$12), R10-Uzman_D!$C$12)*0.1 +
        IF(S10-Uzman_D!$D$12&lt;0, -(S10-Uzman_D!$D$12), S10-Uzman_D!$D$12)*0.1 +
        IF(T10-Uzman_D!$E$12&lt;0, -(T10-Uzman_D!$E$12), T10-Uzman_D!$E$12)*0.1 +
        IF(U10-Uzman_D!$F$12&lt;0, -(U10-Uzman_D!$F$12), U10-Uzman_D!$F$12)*0.1 +
        IF(V10-Uzman_D!$G$12&lt;0, -(V10-Uzman_D!$G$12), V10-Uzman_D!$G$12)*0.1 +
        IF(W10-Uzman_D!$H$12&lt;0, -(W10-Uzman_D!$H$12), W10-Uzman_D!$H$12)*0.1 +
        IF(X10-Uzman_D!$I$12&lt;0, -(X10-Uzman_D!$I$12), X10-Uzman_D!$I$12)*0.1 +
        IF(Y10-Uzman_D!$J$12&lt;0, -(Y10-Uzman_D!$J$12), Y10-Uzman_D!$J$12)*0.1
    ) +
    IF(ROUND((IF(AA10-Uzman_D!$L$12&lt;0, -(AA10-Uzman_D!$L$12), AA10-Uzman_D!$L$12)*2),0)/2 = IF(AA10-Uzman_D!$L$12&lt;0, -(AA10-Uzman_D!$L$12), AA10-Uzman_D!$L$12),
    (ROUND((IF(AA10-Uzman_D!$L$12&lt;0, -(AA10-Uzman_D!$L$12), AA10-Uzman_D!$L$12)*2),0)/1 * 0.1), 0) +
    IF(AB10-Uzman_D!$M$12&lt;0, -(AB10-Uzman_D!$M$12), AB10-Uzman_D!$M$12)*1
)</f>
        <v>-0.20000000000000018</v>
      </c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2"/>
      <c r="AO10" s="72"/>
      <c r="AP10" s="73">
        <f>1 - (
    SUM(
        IF(AD10-Uzman_D!$B$13&lt;0, -(AD10-Uzman_D!$B$13), AD10-Uzman_D!$B$13)*0.1 +
        IF(AE10-Uzman_D!$C$13&lt;0, -(AE10-Uzman_D!$C$13), AE10-Uzman_D!$C$13)*0.1 +
        IF(AF10-Uzman_D!$D$13&lt;0, -(AF10-Uzman_D!$D$13), AF10-Uzman_D!$D$13)*0.1 +
        IF(AG10-Uzman_D!$E$13&lt;0, -(AG10-Uzman_D!$E$13), AG10-Uzman_D!$E$13)*0.1 +
        IF(AH10-Uzman_D!$F$13&lt;0, -(AH10-Uzman_D!$F$13), AH10-Uzman_D!$F$13)*0.1 +
        IF(AI10-Uzman_D!$G$13&lt;0, -(AI10-Uzman_D!$G$13), AI10-Uzman_D!$G$13)*0.1 +
        IF(AJ10-Uzman_D!$H$13&lt;0, -(AJ10-Uzman_D!$H$13), AJ10-Uzman_D!$H$13)*0.1 +
        IF(AK10-Uzman_D!$I$13&lt;0, -(AK10-Uzman_D!$I$13), AK10-Uzman_D!$I$13)*0.1 +
        IF(AL10-Uzman_D!$J$13&lt;0, -(AL10-Uzman_D!$J$13), AL10-Uzman_D!$J$13)*0.1
    ) +
    IF(ROUND((IF(AN10-Uzman_D!$L$13&lt;0, -(AN10-Uzman_D!$L$13), AN10-Uzman_D!$L$13)*2),0)/2 = IF(AN10-Uzman_D!$L$13&lt;0, -(AN10-Uzman_D!$L$13), AN10-Uzman_D!$L$13),
    (ROUND((IF(AN10-Uzman_D!$L$13&lt;0, -(AN10-Uzman_D!$L$13), AN10-Uzman_D!$L$13)*2),0)/1 * 0.1), 0) +
    IF(AO10-Uzman_D!$M$13&lt;0, -(AO10-Uzman_D!$M$13), AO10-Uzman_D!$M$13)*1
)</f>
        <v>-0.30000000000000004</v>
      </c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2"/>
      <c r="BB10" s="72"/>
      <c r="BC10" s="73">
        <f>1 - (
    SUM(
        IF(AQ10-Uzman_D!$B$14&lt;0, -(AQ10-Uzman_D!$B$14), AQ10-Uzman_D!$B$14)*0.1 +
        IF(AR10-Uzman_D!$C$14&lt;0, -(AR10-Uzman_D!$C$14), AR10-Uzman_D!$C$14)*0.1 +
        IF(AS10-Uzman_D!$D$14&lt;0, -(AS10-Uzman_D!$D$14), AS10-Uzman_D!$D$14)*0.1 +
        IF(AT10-Uzman_D!$E$14&lt;0, -(AT10-Uzman_D!$E$14), AT10-Uzman_D!$E$14)*0.1 +
        IF(AU10-Uzman_D!$F$14&lt;0, -(AU10-Uzman_D!$F$14), AU10-Uzman_D!$F$14)*0.1 +
        IF(AV10-Uzman_D!$G$14&lt;0, -(AV10-Uzman_D!$G$14), AV10-Uzman_D!$G$14)*0.1 +
        IF(AW10-Uzman_D!$H$14&lt;0, -(AW10-Uzman_D!$H$14), AW10-Uzman_D!$H$14)*0.1 +
        IF(AX10-Uzman_D!$I$14&lt;0, -(AX10-Uzman_D!$I$14), AX10-Uzman_D!$I$14)*0.1 +
        IF(AY10-Uzman_D!$J$14&lt;0, -(AY10-Uzman_D!$J$14), AY10-Uzman_D!$J$14)*0.1
    ) +
    IF(ROUND((IF(BA10-Uzman_D!$L$14&lt;0, -(BA10-Uzman_D!$L$14), BA10-Uzman_D!$L$14)*2),0)/2 = IF(BA10-Uzman_D!$L$14&lt;0, -(BA10-Uzman_D!$L$14), BA10-Uzman_D!$L$14),
    (ROUND((IF(BA10-Uzman_D!$L$14&lt;0, -(BA10-Uzman_D!$L$14), BA10-Uzman_D!$L$14)*2),0)/1 * 0.1), 0) +
    IF(BB10-Uzman_D!$M$14&lt;0, -(BB10-Uzman_D!$M$14), BB10-Uzman_D!$M$14)*1
)</f>
        <v>-0.20000000000000018</v>
      </c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2"/>
      <c r="BO10" s="72"/>
      <c r="BP10" s="73">
        <f>1 - (
    SUM(
        IF(BD10-Uzman_D!$B$15&lt;0, -(BD10-Uzman_D!$B$15), BD10-Uzman_D!$B$15)*0.1 +
        IF(BE10-Uzman_D!$C$15&lt;0, -(BE10-Uzman_D!$C$15), BE10-Uzman_D!$C$15)*0.1 +
        IF(BF10-Uzman_D!$D$15&lt;0, -(BF10-Uzman_D!$D$15), BF10-Uzman_D!$D$15)*0.1 +
        IF(BG10-Uzman_D!$E$15&lt;0, -(BG10-Uzman_D!$E$15), BG10-Uzman_D!$E$15)*0.1 +
        IF(BH10-Uzman_D!$F$15&lt;0, -(BH10-Uzman_D!$F$15), BH10-Uzman_D!$F$15)*0.1 +
        IF(BI10-Uzman_D!$G$15&lt;0, -(BI10-Uzman_D!$G$15), BI10-Uzman_D!$G$15)*0.1 +
        IF(BJ10-Uzman_D!$H$15&lt;0, -(BJ10-Uzman_D!$H$15), BJ10-Uzman_D!$H$15)*0.1 +
        IF(BK10-Uzman_D!$I$15&lt;0, -(BK10-Uzman_D!$I$15), BK10-Uzman_D!$I$15)*0.1 +
        IF(BL10-Uzman_D!$J$15&lt;0, -(BL10-Uzman_D!$J$15), BL10-Uzman_D!$J$15)*0.1
    ) +
    IF(ROUND((IF(BN10-Uzman_D!$L$15&lt;0, -(BN10-Uzman_D!$L$15), BN10-Uzman_D!$L$15)*2),0)/2 = IF(BN10-Uzman_D!$L$15&lt;0, -(BN10-Uzman_D!$L$15), BN10-Uzman_D!$L$15),
    (ROUND((IF(BN10-Uzman_D!$L$15&lt;0, -(BN10-Uzman_D!$L$15), BN10-Uzman_D!$L$15)*2),0)/1 * 0.1), 0) +
    IF(BO10-Uzman_D!$M$15&lt;0, -(BO10-Uzman_D!$M$15), BO10-Uzman_D!$M$15)*1
)</f>
        <v>-0.60000000000000009</v>
      </c>
      <c r="BQ10" s="74">
        <f t="shared" si="0"/>
        <v>-0.32000000000000017</v>
      </c>
    </row>
    <row r="11" spans="1:69" ht="15" customHeight="1" x14ac:dyDescent="0.2">
      <c r="A11" s="57">
        <v>8</v>
      </c>
      <c r="B11" s="29">
        <f>Hakemler!B11</f>
        <v>0</v>
      </c>
      <c r="C11" s="29">
        <f>Hakemler!C11</f>
        <v>0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2"/>
      <c r="O11" s="72"/>
      <c r="P11" s="73">
        <f>1 - (
    SUM(
        IF(D11-Uzman_D!$B$11&lt;0, -(D11-Uzman_D!$B$11), D11-Uzman_D!$B$11)*0.1 +
        IF(E11-Uzman_D!$C$11&lt;0, -(E11-Uzman_D!$C$11), E11-Uzman_D!$C$11)*0.1 +
        IF(F11-Uzman_D!$D$11&lt;0, -(F11-Uzman_D!$D$11), F11-Uzman_D!$D$11)*0.1 +
        IF(G11-Uzman_D!$E$11&lt;0, -(G11-Uzman_D!$E$11), G11-Uzman_D!$E$11)*0.1 +
        IF(H11-Uzman_D!$F$11&lt;0, -(H11-Uzman_D!$F$11), H11-Uzman_D!$F$11)*0.1 +
        IF(I11-Uzman_D!$G$11&lt;0, -(I11-Uzman_D!$G$11), I11-Uzman_D!$G$11)*0.1 +
        IF(J11-Uzman_D!$H$11&lt;0, -(J11-Uzman_D!$H$11), J11-Uzman_D!$H$11)*0.1 +
        IF(K11-Uzman_D!$I$11&lt;0, -(K11-Uzman_D!$I$11), K11-Uzman_D!$I$11)*0.1 +
        IF(L11-Uzman_D!$J$11&lt;0, -(L11-Uzman_D!$J$11), L11-Uzman_D!$J$11)*0.1
    ) +
    IF(ROUND((IF(N11-Uzman_D!$L$11&lt;0, -(N11-Uzman_D!$L$11), N11-Uzman_D!$L$11)*2),0)/2 = IF(N11-Uzman_D!$L$11&lt;0, -(N11-Uzman_D!$L$11), N11-Uzman_D!$L$11),
    (ROUND((IF(N11-Uzman_D!$L$11&lt;0, -(N11-Uzman_D!$L$11), N11-Uzman_D!$L$11)*2),0)/1 * 0.1), 0) +
    IF(O11-Uzman_D!$M$11&lt;0, -(O11-Uzman_D!$M$11), O11-Uzman_D!$M$11)*1
)</f>
        <v>-0.30000000000000027</v>
      </c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2"/>
      <c r="AB11" s="72"/>
      <c r="AC11" s="73">
        <f>1 - (
    SUM(
        IF(Q11-Uzman_D!$B$12&lt;0, -(Q11-Uzman_D!$B$12), Q11-Uzman_D!$B$12)*0.1 +
        IF(R11-Uzman_D!$C$12&lt;0, -(R11-Uzman_D!$C$12), R11-Uzman_D!$C$12)*0.1 +
        IF(S11-Uzman_D!$D$12&lt;0, -(S11-Uzman_D!$D$12), S11-Uzman_D!$D$12)*0.1 +
        IF(T11-Uzman_D!$E$12&lt;0, -(T11-Uzman_D!$E$12), T11-Uzman_D!$E$12)*0.1 +
        IF(U11-Uzman_D!$F$12&lt;0, -(U11-Uzman_D!$F$12), U11-Uzman_D!$F$12)*0.1 +
        IF(V11-Uzman_D!$G$12&lt;0, -(V11-Uzman_D!$G$12), V11-Uzman_D!$G$12)*0.1 +
        IF(W11-Uzman_D!$H$12&lt;0, -(W11-Uzman_D!$H$12), W11-Uzman_D!$H$12)*0.1 +
        IF(X11-Uzman_D!$I$12&lt;0, -(X11-Uzman_D!$I$12), X11-Uzman_D!$I$12)*0.1 +
        IF(Y11-Uzman_D!$J$12&lt;0, -(Y11-Uzman_D!$J$12), Y11-Uzman_D!$J$12)*0.1
    ) +
    IF(ROUND((IF(AA11-Uzman_D!$L$12&lt;0, -(AA11-Uzman_D!$L$12), AA11-Uzman_D!$L$12)*2),0)/2 = IF(AA11-Uzman_D!$L$12&lt;0, -(AA11-Uzman_D!$L$12), AA11-Uzman_D!$L$12),
    (ROUND((IF(AA11-Uzman_D!$L$12&lt;0, -(AA11-Uzman_D!$L$12), AA11-Uzman_D!$L$12)*2),0)/1 * 0.1), 0) +
    IF(AB11-Uzman_D!$M$12&lt;0, -(AB11-Uzman_D!$M$12), AB11-Uzman_D!$M$12)*1
)</f>
        <v>-0.20000000000000018</v>
      </c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2"/>
      <c r="AO11" s="72"/>
      <c r="AP11" s="73">
        <f>1 - (
    SUM(
        IF(AD11-Uzman_D!$B$13&lt;0, -(AD11-Uzman_D!$B$13), AD11-Uzman_D!$B$13)*0.1 +
        IF(AE11-Uzman_D!$C$13&lt;0, -(AE11-Uzman_D!$C$13), AE11-Uzman_D!$C$13)*0.1 +
        IF(AF11-Uzman_D!$D$13&lt;0, -(AF11-Uzman_D!$D$13), AF11-Uzman_D!$D$13)*0.1 +
        IF(AG11-Uzman_D!$E$13&lt;0, -(AG11-Uzman_D!$E$13), AG11-Uzman_D!$E$13)*0.1 +
        IF(AH11-Uzman_D!$F$13&lt;0, -(AH11-Uzman_D!$F$13), AH11-Uzman_D!$F$13)*0.1 +
        IF(AI11-Uzman_D!$G$13&lt;0, -(AI11-Uzman_D!$G$13), AI11-Uzman_D!$G$13)*0.1 +
        IF(AJ11-Uzman_D!$H$13&lt;0, -(AJ11-Uzman_D!$H$13), AJ11-Uzman_D!$H$13)*0.1 +
        IF(AK11-Uzman_D!$I$13&lt;0, -(AK11-Uzman_D!$I$13), AK11-Uzman_D!$I$13)*0.1 +
        IF(AL11-Uzman_D!$J$13&lt;0, -(AL11-Uzman_D!$J$13), AL11-Uzman_D!$J$13)*0.1
    ) +
    IF(ROUND((IF(AN11-Uzman_D!$L$13&lt;0, -(AN11-Uzman_D!$L$13), AN11-Uzman_D!$L$13)*2),0)/2 = IF(AN11-Uzman_D!$L$13&lt;0, -(AN11-Uzman_D!$L$13), AN11-Uzman_D!$L$13),
    (ROUND((IF(AN11-Uzman_D!$L$13&lt;0, -(AN11-Uzman_D!$L$13), AN11-Uzman_D!$L$13)*2),0)/1 * 0.1), 0) +
    IF(AO11-Uzman_D!$M$13&lt;0, -(AO11-Uzman_D!$M$13), AO11-Uzman_D!$M$13)*1
)</f>
        <v>-0.30000000000000004</v>
      </c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2"/>
      <c r="BB11" s="72"/>
      <c r="BC11" s="73">
        <f>1 - (
    SUM(
        IF(AQ11-Uzman_D!$B$14&lt;0, -(AQ11-Uzman_D!$B$14), AQ11-Uzman_D!$B$14)*0.1 +
        IF(AR11-Uzman_D!$C$14&lt;0, -(AR11-Uzman_D!$C$14), AR11-Uzman_D!$C$14)*0.1 +
        IF(AS11-Uzman_D!$D$14&lt;0, -(AS11-Uzman_D!$D$14), AS11-Uzman_D!$D$14)*0.1 +
        IF(AT11-Uzman_D!$E$14&lt;0, -(AT11-Uzman_D!$E$14), AT11-Uzman_D!$E$14)*0.1 +
        IF(AU11-Uzman_D!$F$14&lt;0, -(AU11-Uzman_D!$F$14), AU11-Uzman_D!$F$14)*0.1 +
        IF(AV11-Uzman_D!$G$14&lt;0, -(AV11-Uzman_D!$G$14), AV11-Uzman_D!$G$14)*0.1 +
        IF(AW11-Uzman_D!$H$14&lt;0, -(AW11-Uzman_D!$H$14), AW11-Uzman_D!$H$14)*0.1 +
        IF(AX11-Uzman_D!$I$14&lt;0, -(AX11-Uzman_D!$I$14), AX11-Uzman_D!$I$14)*0.1 +
        IF(AY11-Uzman_D!$J$14&lt;0, -(AY11-Uzman_D!$J$14), AY11-Uzman_D!$J$14)*0.1
    ) +
    IF(ROUND((IF(BA11-Uzman_D!$L$14&lt;0, -(BA11-Uzman_D!$L$14), BA11-Uzman_D!$L$14)*2),0)/2 = IF(BA11-Uzman_D!$L$14&lt;0, -(BA11-Uzman_D!$L$14), BA11-Uzman_D!$L$14),
    (ROUND((IF(BA11-Uzman_D!$L$14&lt;0, -(BA11-Uzman_D!$L$14), BA11-Uzman_D!$L$14)*2),0)/1 * 0.1), 0) +
    IF(BB11-Uzman_D!$M$14&lt;0, -(BB11-Uzman_D!$M$14), BB11-Uzman_D!$M$14)*1
)</f>
        <v>-0.20000000000000018</v>
      </c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2"/>
      <c r="BO11" s="72"/>
      <c r="BP11" s="73">
        <f>1 - (
    SUM(
        IF(BD11-Uzman_D!$B$15&lt;0, -(BD11-Uzman_D!$B$15), BD11-Uzman_D!$B$15)*0.1 +
        IF(BE11-Uzman_D!$C$15&lt;0, -(BE11-Uzman_D!$C$15), BE11-Uzman_D!$C$15)*0.1 +
        IF(BF11-Uzman_D!$D$15&lt;0, -(BF11-Uzman_D!$D$15), BF11-Uzman_D!$D$15)*0.1 +
        IF(BG11-Uzman_D!$E$15&lt;0, -(BG11-Uzman_D!$E$15), BG11-Uzman_D!$E$15)*0.1 +
        IF(BH11-Uzman_D!$F$15&lt;0, -(BH11-Uzman_D!$F$15), BH11-Uzman_D!$F$15)*0.1 +
        IF(BI11-Uzman_D!$G$15&lt;0, -(BI11-Uzman_D!$G$15), BI11-Uzman_D!$G$15)*0.1 +
        IF(BJ11-Uzman_D!$H$15&lt;0, -(BJ11-Uzman_D!$H$15), BJ11-Uzman_D!$H$15)*0.1 +
        IF(BK11-Uzman_D!$I$15&lt;0, -(BK11-Uzman_D!$I$15), BK11-Uzman_D!$I$15)*0.1 +
        IF(BL11-Uzman_D!$J$15&lt;0, -(BL11-Uzman_D!$J$15), BL11-Uzman_D!$J$15)*0.1
    ) +
    IF(ROUND((IF(BN11-Uzman_D!$L$15&lt;0, -(BN11-Uzman_D!$L$15), BN11-Uzman_D!$L$15)*2),0)/2 = IF(BN11-Uzman_D!$L$15&lt;0, -(BN11-Uzman_D!$L$15), BN11-Uzman_D!$L$15),
    (ROUND((IF(BN11-Uzman_D!$L$15&lt;0, -(BN11-Uzman_D!$L$15), BN11-Uzman_D!$L$15)*2),0)/1 * 0.1), 0) +
    IF(BO11-Uzman_D!$M$15&lt;0, -(BO11-Uzman_D!$M$15), BO11-Uzman_D!$M$15)*1
)</f>
        <v>-0.60000000000000009</v>
      </c>
      <c r="BQ11" s="74">
        <f t="shared" si="0"/>
        <v>-0.32000000000000017</v>
      </c>
    </row>
    <row r="12" spans="1:69" ht="15" customHeight="1" x14ac:dyDescent="0.2">
      <c r="A12" s="57">
        <v>9</v>
      </c>
      <c r="B12" s="29">
        <f>Hakemler!B12</f>
        <v>0</v>
      </c>
      <c r="C12" s="29">
        <f>Hakemler!C12</f>
        <v>0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2"/>
      <c r="O12" s="72"/>
      <c r="P12" s="73">
        <f>1 - (
    SUM(
        IF(D12-Uzman_D!$B$11&lt;0, -(D12-Uzman_D!$B$11), D12-Uzman_D!$B$11)*0.1 +
        IF(E12-Uzman_D!$C$11&lt;0, -(E12-Uzman_D!$C$11), E12-Uzman_D!$C$11)*0.1 +
        IF(F12-Uzman_D!$D$11&lt;0, -(F12-Uzman_D!$D$11), F12-Uzman_D!$D$11)*0.1 +
        IF(G12-Uzman_D!$E$11&lt;0, -(G12-Uzman_D!$E$11), G12-Uzman_D!$E$11)*0.1 +
        IF(H12-Uzman_D!$F$11&lt;0, -(H12-Uzman_D!$F$11), H12-Uzman_D!$F$11)*0.1 +
        IF(I12-Uzman_D!$G$11&lt;0, -(I12-Uzman_D!$G$11), I12-Uzman_D!$G$11)*0.1 +
        IF(J12-Uzman_D!$H$11&lt;0, -(J12-Uzman_D!$H$11), J12-Uzman_D!$H$11)*0.1 +
        IF(K12-Uzman_D!$I$11&lt;0, -(K12-Uzman_D!$I$11), K12-Uzman_D!$I$11)*0.1 +
        IF(L12-Uzman_D!$J$11&lt;0, -(L12-Uzman_D!$J$11), L12-Uzman_D!$J$11)*0.1
    ) +
    IF(ROUND((IF(N12-Uzman_D!$L$11&lt;0, -(N12-Uzman_D!$L$11), N12-Uzman_D!$L$11)*2),0)/2 = IF(N12-Uzman_D!$L$11&lt;0, -(N12-Uzman_D!$L$11), N12-Uzman_D!$L$11),
    (ROUND((IF(N12-Uzman_D!$L$11&lt;0, -(N12-Uzman_D!$L$11), N12-Uzman_D!$L$11)*2),0)/1 * 0.1), 0) +
    IF(O12-Uzman_D!$M$11&lt;0, -(O12-Uzman_D!$M$11), O12-Uzman_D!$M$11)*1
)</f>
        <v>-0.30000000000000027</v>
      </c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2"/>
      <c r="AB12" s="72"/>
      <c r="AC12" s="73">
        <f>1 - (
    SUM(
        IF(Q12-Uzman_D!$B$12&lt;0, -(Q12-Uzman_D!$B$12), Q12-Uzman_D!$B$12)*0.1 +
        IF(R12-Uzman_D!$C$12&lt;0, -(R12-Uzman_D!$C$12), R12-Uzman_D!$C$12)*0.1 +
        IF(S12-Uzman_D!$D$12&lt;0, -(S12-Uzman_D!$D$12), S12-Uzman_D!$D$12)*0.1 +
        IF(T12-Uzman_D!$E$12&lt;0, -(T12-Uzman_D!$E$12), T12-Uzman_D!$E$12)*0.1 +
        IF(U12-Uzman_D!$F$12&lt;0, -(U12-Uzman_D!$F$12), U12-Uzman_D!$F$12)*0.1 +
        IF(V12-Uzman_D!$G$12&lt;0, -(V12-Uzman_D!$G$12), V12-Uzman_D!$G$12)*0.1 +
        IF(W12-Uzman_D!$H$12&lt;0, -(W12-Uzman_D!$H$12), W12-Uzman_D!$H$12)*0.1 +
        IF(X12-Uzman_D!$I$12&lt;0, -(X12-Uzman_D!$I$12), X12-Uzman_D!$I$12)*0.1 +
        IF(Y12-Uzman_D!$J$12&lt;0, -(Y12-Uzman_D!$J$12), Y12-Uzman_D!$J$12)*0.1
    ) +
    IF(ROUND((IF(AA12-Uzman_D!$L$12&lt;0, -(AA12-Uzman_D!$L$12), AA12-Uzman_D!$L$12)*2),0)/2 = IF(AA12-Uzman_D!$L$12&lt;0, -(AA12-Uzman_D!$L$12), AA12-Uzman_D!$L$12),
    (ROUND((IF(AA12-Uzman_D!$L$12&lt;0, -(AA12-Uzman_D!$L$12), AA12-Uzman_D!$L$12)*2),0)/1 * 0.1), 0) +
    IF(AB12-Uzman_D!$M$12&lt;0, -(AB12-Uzman_D!$M$12), AB12-Uzman_D!$M$12)*1
)</f>
        <v>-0.20000000000000018</v>
      </c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2"/>
      <c r="AO12" s="72"/>
      <c r="AP12" s="73">
        <f>1 - (
    SUM(
        IF(AD12-Uzman_D!$B$13&lt;0, -(AD12-Uzman_D!$B$13), AD12-Uzman_D!$B$13)*0.1 +
        IF(AE12-Uzman_D!$C$13&lt;0, -(AE12-Uzman_D!$C$13), AE12-Uzman_D!$C$13)*0.1 +
        IF(AF12-Uzman_D!$D$13&lt;0, -(AF12-Uzman_D!$D$13), AF12-Uzman_D!$D$13)*0.1 +
        IF(AG12-Uzman_D!$E$13&lt;0, -(AG12-Uzman_D!$E$13), AG12-Uzman_D!$E$13)*0.1 +
        IF(AH12-Uzman_D!$F$13&lt;0, -(AH12-Uzman_D!$F$13), AH12-Uzman_D!$F$13)*0.1 +
        IF(AI12-Uzman_D!$G$13&lt;0, -(AI12-Uzman_D!$G$13), AI12-Uzman_D!$G$13)*0.1 +
        IF(AJ12-Uzman_D!$H$13&lt;0, -(AJ12-Uzman_D!$H$13), AJ12-Uzman_D!$H$13)*0.1 +
        IF(AK12-Uzman_D!$I$13&lt;0, -(AK12-Uzman_D!$I$13), AK12-Uzman_D!$I$13)*0.1 +
        IF(AL12-Uzman_D!$J$13&lt;0, -(AL12-Uzman_D!$J$13), AL12-Uzman_D!$J$13)*0.1
    ) +
    IF(ROUND((IF(AN12-Uzman_D!$L$13&lt;0, -(AN12-Uzman_D!$L$13), AN12-Uzman_D!$L$13)*2),0)/2 = IF(AN12-Uzman_D!$L$13&lt;0, -(AN12-Uzman_D!$L$13), AN12-Uzman_D!$L$13),
    (ROUND((IF(AN12-Uzman_D!$L$13&lt;0, -(AN12-Uzman_D!$L$13), AN12-Uzman_D!$L$13)*2),0)/1 * 0.1), 0) +
    IF(AO12-Uzman_D!$M$13&lt;0, -(AO12-Uzman_D!$M$13), AO12-Uzman_D!$M$13)*1
)</f>
        <v>-0.30000000000000004</v>
      </c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2"/>
      <c r="BB12" s="72"/>
      <c r="BC12" s="73">
        <f>1 - (
    SUM(
        IF(AQ12-Uzman_D!$B$14&lt;0, -(AQ12-Uzman_D!$B$14), AQ12-Uzman_D!$B$14)*0.1 +
        IF(AR12-Uzman_D!$C$14&lt;0, -(AR12-Uzman_D!$C$14), AR12-Uzman_D!$C$14)*0.1 +
        IF(AS12-Uzman_D!$D$14&lt;0, -(AS12-Uzman_D!$D$14), AS12-Uzman_D!$D$14)*0.1 +
        IF(AT12-Uzman_D!$E$14&lt;0, -(AT12-Uzman_D!$E$14), AT12-Uzman_D!$E$14)*0.1 +
        IF(AU12-Uzman_D!$F$14&lt;0, -(AU12-Uzman_D!$F$14), AU12-Uzman_D!$F$14)*0.1 +
        IF(AV12-Uzman_D!$G$14&lt;0, -(AV12-Uzman_D!$G$14), AV12-Uzman_D!$G$14)*0.1 +
        IF(AW12-Uzman_D!$H$14&lt;0, -(AW12-Uzman_D!$H$14), AW12-Uzman_D!$H$14)*0.1 +
        IF(AX12-Uzman_D!$I$14&lt;0, -(AX12-Uzman_D!$I$14), AX12-Uzman_D!$I$14)*0.1 +
        IF(AY12-Uzman_D!$J$14&lt;0, -(AY12-Uzman_D!$J$14), AY12-Uzman_D!$J$14)*0.1
    ) +
    IF(ROUND((IF(BA12-Uzman_D!$L$14&lt;0, -(BA12-Uzman_D!$L$14), BA12-Uzman_D!$L$14)*2),0)/2 = IF(BA12-Uzman_D!$L$14&lt;0, -(BA12-Uzman_D!$L$14), BA12-Uzman_D!$L$14),
    (ROUND((IF(BA12-Uzman_D!$L$14&lt;0, -(BA12-Uzman_D!$L$14), BA12-Uzman_D!$L$14)*2),0)/1 * 0.1), 0) +
    IF(BB12-Uzman_D!$M$14&lt;0, -(BB12-Uzman_D!$M$14), BB12-Uzman_D!$M$14)*1
)</f>
        <v>-0.20000000000000018</v>
      </c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2"/>
      <c r="BO12" s="72"/>
      <c r="BP12" s="73">
        <f>1 - (
    SUM(
        IF(BD12-Uzman_D!$B$15&lt;0, -(BD12-Uzman_D!$B$15), BD12-Uzman_D!$B$15)*0.1 +
        IF(BE12-Uzman_D!$C$15&lt;0, -(BE12-Uzman_D!$C$15), BE12-Uzman_D!$C$15)*0.1 +
        IF(BF12-Uzman_D!$D$15&lt;0, -(BF12-Uzman_D!$D$15), BF12-Uzman_D!$D$15)*0.1 +
        IF(BG12-Uzman_D!$E$15&lt;0, -(BG12-Uzman_D!$E$15), BG12-Uzman_D!$E$15)*0.1 +
        IF(BH12-Uzman_D!$F$15&lt;0, -(BH12-Uzman_D!$F$15), BH12-Uzman_D!$F$15)*0.1 +
        IF(BI12-Uzman_D!$G$15&lt;0, -(BI12-Uzman_D!$G$15), BI12-Uzman_D!$G$15)*0.1 +
        IF(BJ12-Uzman_D!$H$15&lt;0, -(BJ12-Uzman_D!$H$15), BJ12-Uzman_D!$H$15)*0.1 +
        IF(BK12-Uzman_D!$I$15&lt;0, -(BK12-Uzman_D!$I$15), BK12-Uzman_D!$I$15)*0.1 +
        IF(BL12-Uzman_D!$J$15&lt;0, -(BL12-Uzman_D!$J$15), BL12-Uzman_D!$J$15)*0.1
    ) +
    IF(ROUND((IF(BN12-Uzman_D!$L$15&lt;0, -(BN12-Uzman_D!$L$15), BN12-Uzman_D!$L$15)*2),0)/2 = IF(BN12-Uzman_D!$L$15&lt;0, -(BN12-Uzman_D!$L$15), BN12-Uzman_D!$L$15),
    (ROUND((IF(BN12-Uzman_D!$L$15&lt;0, -(BN12-Uzman_D!$L$15), BN12-Uzman_D!$L$15)*2),0)/1 * 0.1), 0) +
    IF(BO12-Uzman_D!$M$15&lt;0, -(BO12-Uzman_D!$M$15), BO12-Uzman_D!$M$15)*1
)</f>
        <v>-0.60000000000000009</v>
      </c>
      <c r="BQ12" s="74">
        <f t="shared" si="0"/>
        <v>-0.32000000000000017</v>
      </c>
    </row>
    <row r="13" spans="1:69" ht="15" customHeight="1" x14ac:dyDescent="0.2">
      <c r="A13" s="57">
        <v>10</v>
      </c>
      <c r="B13" s="29">
        <f>Hakemler!B13</f>
        <v>0</v>
      </c>
      <c r="C13" s="29">
        <f>Hakemler!C13</f>
        <v>0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2"/>
      <c r="O13" s="72"/>
      <c r="P13" s="73">
        <f>1 - (
    SUM(
        IF(D13-Uzman_D!$B$11&lt;0, -(D13-Uzman_D!$B$11), D13-Uzman_D!$B$11)*0.1 +
        IF(E13-Uzman_D!$C$11&lt;0, -(E13-Uzman_D!$C$11), E13-Uzman_D!$C$11)*0.1 +
        IF(F13-Uzman_D!$D$11&lt;0, -(F13-Uzman_D!$D$11), F13-Uzman_D!$D$11)*0.1 +
        IF(G13-Uzman_D!$E$11&lt;0, -(G13-Uzman_D!$E$11), G13-Uzman_D!$E$11)*0.1 +
        IF(H13-Uzman_D!$F$11&lt;0, -(H13-Uzman_D!$F$11), H13-Uzman_D!$F$11)*0.1 +
        IF(I13-Uzman_D!$G$11&lt;0, -(I13-Uzman_D!$G$11), I13-Uzman_D!$G$11)*0.1 +
        IF(J13-Uzman_D!$H$11&lt;0, -(J13-Uzman_D!$H$11), J13-Uzman_D!$H$11)*0.1 +
        IF(K13-Uzman_D!$I$11&lt;0, -(K13-Uzman_D!$I$11), K13-Uzman_D!$I$11)*0.1 +
        IF(L13-Uzman_D!$J$11&lt;0, -(L13-Uzman_D!$J$11), L13-Uzman_D!$J$11)*0.1
    ) +
    IF(ROUND((IF(N13-Uzman_D!$L$11&lt;0, -(N13-Uzman_D!$L$11), N13-Uzman_D!$L$11)*2),0)/2 = IF(N13-Uzman_D!$L$11&lt;0, -(N13-Uzman_D!$L$11), N13-Uzman_D!$L$11),
    (ROUND((IF(N13-Uzman_D!$L$11&lt;0, -(N13-Uzman_D!$L$11), N13-Uzman_D!$L$11)*2),0)/1 * 0.1), 0) +
    IF(O13-Uzman_D!$M$11&lt;0, -(O13-Uzman_D!$M$11), O13-Uzman_D!$M$11)*1
)</f>
        <v>-0.30000000000000027</v>
      </c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2"/>
      <c r="AB13" s="72"/>
      <c r="AC13" s="73">
        <f>1 - (
    SUM(
        IF(Q13-Uzman_D!$B$12&lt;0, -(Q13-Uzman_D!$B$12), Q13-Uzman_D!$B$12)*0.1 +
        IF(R13-Uzman_D!$C$12&lt;0, -(R13-Uzman_D!$C$12), R13-Uzman_D!$C$12)*0.1 +
        IF(S13-Uzman_D!$D$12&lt;0, -(S13-Uzman_D!$D$12), S13-Uzman_D!$D$12)*0.1 +
        IF(T13-Uzman_D!$E$12&lt;0, -(T13-Uzman_D!$E$12), T13-Uzman_D!$E$12)*0.1 +
        IF(U13-Uzman_D!$F$12&lt;0, -(U13-Uzman_D!$F$12), U13-Uzman_D!$F$12)*0.1 +
        IF(V13-Uzman_D!$G$12&lt;0, -(V13-Uzman_D!$G$12), V13-Uzman_D!$G$12)*0.1 +
        IF(W13-Uzman_D!$H$12&lt;0, -(W13-Uzman_D!$H$12), W13-Uzman_D!$H$12)*0.1 +
        IF(X13-Uzman_D!$I$12&lt;0, -(X13-Uzman_D!$I$12), X13-Uzman_D!$I$12)*0.1 +
        IF(Y13-Uzman_D!$J$12&lt;0, -(Y13-Uzman_D!$J$12), Y13-Uzman_D!$J$12)*0.1
    ) +
    IF(ROUND((IF(AA13-Uzman_D!$L$12&lt;0, -(AA13-Uzman_D!$L$12), AA13-Uzman_D!$L$12)*2),0)/2 = IF(AA13-Uzman_D!$L$12&lt;0, -(AA13-Uzman_D!$L$12), AA13-Uzman_D!$L$12),
    (ROUND((IF(AA13-Uzman_D!$L$12&lt;0, -(AA13-Uzman_D!$L$12), AA13-Uzman_D!$L$12)*2),0)/1 * 0.1), 0) +
    IF(AB13-Uzman_D!$M$12&lt;0, -(AB13-Uzman_D!$M$12), AB13-Uzman_D!$M$12)*1
)</f>
        <v>-0.20000000000000018</v>
      </c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2"/>
      <c r="AO13" s="72"/>
      <c r="AP13" s="73">
        <f>1 - (
    SUM(
        IF(AD13-Uzman_D!$B$13&lt;0, -(AD13-Uzman_D!$B$13), AD13-Uzman_D!$B$13)*0.1 +
        IF(AE13-Uzman_D!$C$13&lt;0, -(AE13-Uzman_D!$C$13), AE13-Uzman_D!$C$13)*0.1 +
        IF(AF13-Uzman_D!$D$13&lt;0, -(AF13-Uzman_D!$D$13), AF13-Uzman_D!$D$13)*0.1 +
        IF(AG13-Uzman_D!$E$13&lt;0, -(AG13-Uzman_D!$E$13), AG13-Uzman_D!$E$13)*0.1 +
        IF(AH13-Uzman_D!$F$13&lt;0, -(AH13-Uzman_D!$F$13), AH13-Uzman_D!$F$13)*0.1 +
        IF(AI13-Uzman_D!$G$13&lt;0, -(AI13-Uzman_D!$G$13), AI13-Uzman_D!$G$13)*0.1 +
        IF(AJ13-Uzman_D!$H$13&lt;0, -(AJ13-Uzman_D!$H$13), AJ13-Uzman_D!$H$13)*0.1 +
        IF(AK13-Uzman_D!$I$13&lt;0, -(AK13-Uzman_D!$I$13), AK13-Uzman_D!$I$13)*0.1 +
        IF(AL13-Uzman_D!$J$13&lt;0, -(AL13-Uzman_D!$J$13), AL13-Uzman_D!$J$13)*0.1
    ) +
    IF(ROUND((IF(AN13-Uzman_D!$L$13&lt;0, -(AN13-Uzman_D!$L$13), AN13-Uzman_D!$L$13)*2),0)/2 = IF(AN13-Uzman_D!$L$13&lt;0, -(AN13-Uzman_D!$L$13), AN13-Uzman_D!$L$13),
    (ROUND((IF(AN13-Uzman_D!$L$13&lt;0, -(AN13-Uzman_D!$L$13), AN13-Uzman_D!$L$13)*2),0)/1 * 0.1), 0) +
    IF(AO13-Uzman_D!$M$13&lt;0, -(AO13-Uzman_D!$M$13), AO13-Uzman_D!$M$13)*1
)</f>
        <v>-0.30000000000000004</v>
      </c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2"/>
      <c r="BB13" s="72"/>
      <c r="BC13" s="73">
        <f>1 - (
    SUM(
        IF(AQ13-Uzman_D!$B$14&lt;0, -(AQ13-Uzman_D!$B$14), AQ13-Uzman_D!$B$14)*0.1 +
        IF(AR13-Uzman_D!$C$14&lt;0, -(AR13-Uzman_D!$C$14), AR13-Uzman_D!$C$14)*0.1 +
        IF(AS13-Uzman_D!$D$14&lt;0, -(AS13-Uzman_D!$D$14), AS13-Uzman_D!$D$14)*0.1 +
        IF(AT13-Uzman_D!$E$14&lt;0, -(AT13-Uzman_D!$E$14), AT13-Uzman_D!$E$14)*0.1 +
        IF(AU13-Uzman_D!$F$14&lt;0, -(AU13-Uzman_D!$F$14), AU13-Uzman_D!$F$14)*0.1 +
        IF(AV13-Uzman_D!$G$14&lt;0, -(AV13-Uzman_D!$G$14), AV13-Uzman_D!$G$14)*0.1 +
        IF(AW13-Uzman_D!$H$14&lt;0, -(AW13-Uzman_D!$H$14), AW13-Uzman_D!$H$14)*0.1 +
        IF(AX13-Uzman_D!$I$14&lt;0, -(AX13-Uzman_D!$I$14), AX13-Uzman_D!$I$14)*0.1 +
        IF(AY13-Uzman_D!$J$14&lt;0, -(AY13-Uzman_D!$J$14), AY13-Uzman_D!$J$14)*0.1
    ) +
    IF(ROUND((IF(BA13-Uzman_D!$L$14&lt;0, -(BA13-Uzman_D!$L$14), BA13-Uzman_D!$L$14)*2),0)/2 = IF(BA13-Uzman_D!$L$14&lt;0, -(BA13-Uzman_D!$L$14), BA13-Uzman_D!$L$14),
    (ROUND((IF(BA13-Uzman_D!$L$14&lt;0, -(BA13-Uzman_D!$L$14), BA13-Uzman_D!$L$14)*2),0)/1 * 0.1), 0) +
    IF(BB13-Uzman_D!$M$14&lt;0, -(BB13-Uzman_D!$M$14), BB13-Uzman_D!$M$14)*1
)</f>
        <v>-0.20000000000000018</v>
      </c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2"/>
      <c r="BO13" s="72"/>
      <c r="BP13" s="73">
        <f>1 - (
    SUM(
        IF(BD13-Uzman_D!$B$15&lt;0, -(BD13-Uzman_D!$B$15), BD13-Uzman_D!$B$15)*0.1 +
        IF(BE13-Uzman_D!$C$15&lt;0, -(BE13-Uzman_D!$C$15), BE13-Uzman_D!$C$15)*0.1 +
        IF(BF13-Uzman_D!$D$15&lt;0, -(BF13-Uzman_D!$D$15), BF13-Uzman_D!$D$15)*0.1 +
        IF(BG13-Uzman_D!$E$15&lt;0, -(BG13-Uzman_D!$E$15), BG13-Uzman_D!$E$15)*0.1 +
        IF(BH13-Uzman_D!$F$15&lt;0, -(BH13-Uzman_D!$F$15), BH13-Uzman_D!$F$15)*0.1 +
        IF(BI13-Uzman_D!$G$15&lt;0, -(BI13-Uzman_D!$G$15), BI13-Uzman_D!$G$15)*0.1 +
        IF(BJ13-Uzman_D!$H$15&lt;0, -(BJ13-Uzman_D!$H$15), BJ13-Uzman_D!$H$15)*0.1 +
        IF(BK13-Uzman_D!$I$15&lt;0, -(BK13-Uzman_D!$I$15), BK13-Uzman_D!$I$15)*0.1 +
        IF(BL13-Uzman_D!$J$15&lt;0, -(BL13-Uzman_D!$J$15), BL13-Uzman_D!$J$15)*0.1
    ) +
    IF(ROUND((IF(BN13-Uzman_D!$L$15&lt;0, -(BN13-Uzman_D!$L$15), BN13-Uzman_D!$L$15)*2),0)/2 = IF(BN13-Uzman_D!$L$15&lt;0, -(BN13-Uzman_D!$L$15), BN13-Uzman_D!$L$15),
    (ROUND((IF(BN13-Uzman_D!$L$15&lt;0, -(BN13-Uzman_D!$L$15), BN13-Uzman_D!$L$15)*2),0)/1 * 0.1), 0) +
    IF(BO13-Uzman_D!$M$15&lt;0, -(BO13-Uzman_D!$M$15), BO13-Uzman_D!$M$15)*1
)</f>
        <v>-0.60000000000000009</v>
      </c>
      <c r="BQ13" s="74">
        <f t="shared" si="0"/>
        <v>-0.32000000000000017</v>
      </c>
    </row>
    <row r="14" spans="1:69" ht="15" customHeight="1" x14ac:dyDescent="0.2">
      <c r="A14" s="57">
        <v>11</v>
      </c>
      <c r="B14" s="29">
        <f>Hakemler!B14</f>
        <v>0</v>
      </c>
      <c r="C14" s="29">
        <f>Hakemler!C14</f>
        <v>0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2"/>
      <c r="O14" s="72"/>
      <c r="P14" s="73">
        <f>1 - (
    SUM(
        IF(D14-Uzman_D!$B$11&lt;0, -(D14-Uzman_D!$B$11), D14-Uzman_D!$B$11)*0.1 +
        IF(E14-Uzman_D!$C$11&lt;0, -(E14-Uzman_D!$C$11), E14-Uzman_D!$C$11)*0.1 +
        IF(F14-Uzman_D!$D$11&lt;0, -(F14-Uzman_D!$D$11), F14-Uzman_D!$D$11)*0.1 +
        IF(G14-Uzman_D!$E$11&lt;0, -(G14-Uzman_D!$E$11), G14-Uzman_D!$E$11)*0.1 +
        IF(H14-Uzman_D!$F$11&lt;0, -(H14-Uzman_D!$F$11), H14-Uzman_D!$F$11)*0.1 +
        IF(I14-Uzman_D!$G$11&lt;0, -(I14-Uzman_D!$G$11), I14-Uzman_D!$G$11)*0.1 +
        IF(J14-Uzman_D!$H$11&lt;0, -(J14-Uzman_D!$H$11), J14-Uzman_D!$H$11)*0.1 +
        IF(K14-Uzman_D!$I$11&lt;0, -(K14-Uzman_D!$I$11), K14-Uzman_D!$I$11)*0.1 +
        IF(L14-Uzman_D!$J$11&lt;0, -(L14-Uzman_D!$J$11), L14-Uzman_D!$J$11)*0.1
    ) +
    IF(ROUND((IF(N14-Uzman_D!$L$11&lt;0, -(N14-Uzman_D!$L$11), N14-Uzman_D!$L$11)*2),0)/2 = IF(N14-Uzman_D!$L$11&lt;0, -(N14-Uzman_D!$L$11), N14-Uzman_D!$L$11),
    (ROUND((IF(N14-Uzman_D!$L$11&lt;0, -(N14-Uzman_D!$L$11), N14-Uzman_D!$L$11)*2),0)/1 * 0.1), 0) +
    IF(O14-Uzman_D!$M$11&lt;0, -(O14-Uzman_D!$M$11), O14-Uzman_D!$M$11)*1
)</f>
        <v>-0.30000000000000027</v>
      </c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2"/>
      <c r="AB14" s="72"/>
      <c r="AC14" s="73">
        <f>1 - (
    SUM(
        IF(Q14-Uzman_D!$B$12&lt;0, -(Q14-Uzman_D!$B$12), Q14-Uzman_D!$B$12)*0.1 +
        IF(R14-Uzman_D!$C$12&lt;0, -(R14-Uzman_D!$C$12), R14-Uzman_D!$C$12)*0.1 +
        IF(S14-Uzman_D!$D$12&lt;0, -(S14-Uzman_D!$D$12), S14-Uzman_D!$D$12)*0.1 +
        IF(T14-Uzman_D!$E$12&lt;0, -(T14-Uzman_D!$E$12), T14-Uzman_D!$E$12)*0.1 +
        IF(U14-Uzman_D!$F$12&lt;0, -(U14-Uzman_D!$F$12), U14-Uzman_D!$F$12)*0.1 +
        IF(V14-Uzman_D!$G$12&lt;0, -(V14-Uzman_D!$G$12), V14-Uzman_D!$G$12)*0.1 +
        IF(W14-Uzman_D!$H$12&lt;0, -(W14-Uzman_D!$H$12), W14-Uzman_D!$H$12)*0.1 +
        IF(X14-Uzman_D!$I$12&lt;0, -(X14-Uzman_D!$I$12), X14-Uzman_D!$I$12)*0.1 +
        IF(Y14-Uzman_D!$J$12&lt;0, -(Y14-Uzman_D!$J$12), Y14-Uzman_D!$J$12)*0.1
    ) +
    IF(ROUND((IF(AA14-Uzman_D!$L$12&lt;0, -(AA14-Uzman_D!$L$12), AA14-Uzman_D!$L$12)*2),0)/2 = IF(AA14-Uzman_D!$L$12&lt;0, -(AA14-Uzman_D!$L$12), AA14-Uzman_D!$L$12),
    (ROUND((IF(AA14-Uzman_D!$L$12&lt;0, -(AA14-Uzman_D!$L$12), AA14-Uzman_D!$L$12)*2),0)/1 * 0.1), 0) +
    IF(AB14-Uzman_D!$M$12&lt;0, -(AB14-Uzman_D!$M$12), AB14-Uzman_D!$M$12)*1
)</f>
        <v>-0.20000000000000018</v>
      </c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2"/>
      <c r="AO14" s="72"/>
      <c r="AP14" s="73">
        <f>1 - (
    SUM(
        IF(AD14-Uzman_D!$B$13&lt;0, -(AD14-Uzman_D!$B$13), AD14-Uzman_D!$B$13)*0.1 +
        IF(AE14-Uzman_D!$C$13&lt;0, -(AE14-Uzman_D!$C$13), AE14-Uzman_D!$C$13)*0.1 +
        IF(AF14-Uzman_D!$D$13&lt;0, -(AF14-Uzman_D!$D$13), AF14-Uzman_D!$D$13)*0.1 +
        IF(AG14-Uzman_D!$E$13&lt;0, -(AG14-Uzman_D!$E$13), AG14-Uzman_D!$E$13)*0.1 +
        IF(AH14-Uzman_D!$F$13&lt;0, -(AH14-Uzman_D!$F$13), AH14-Uzman_D!$F$13)*0.1 +
        IF(AI14-Uzman_D!$G$13&lt;0, -(AI14-Uzman_D!$G$13), AI14-Uzman_D!$G$13)*0.1 +
        IF(AJ14-Uzman_D!$H$13&lt;0, -(AJ14-Uzman_D!$H$13), AJ14-Uzman_D!$H$13)*0.1 +
        IF(AK14-Uzman_D!$I$13&lt;0, -(AK14-Uzman_D!$I$13), AK14-Uzman_D!$I$13)*0.1 +
        IF(AL14-Uzman_D!$J$13&lt;0, -(AL14-Uzman_D!$J$13), AL14-Uzman_D!$J$13)*0.1
    ) +
    IF(ROUND((IF(AN14-Uzman_D!$L$13&lt;0, -(AN14-Uzman_D!$L$13), AN14-Uzman_D!$L$13)*2),0)/2 = IF(AN14-Uzman_D!$L$13&lt;0, -(AN14-Uzman_D!$L$13), AN14-Uzman_D!$L$13),
    (ROUND((IF(AN14-Uzman_D!$L$13&lt;0, -(AN14-Uzman_D!$L$13), AN14-Uzman_D!$L$13)*2),0)/1 * 0.1), 0) +
    IF(AO14-Uzman_D!$M$13&lt;0, -(AO14-Uzman_D!$M$13), AO14-Uzman_D!$M$13)*1
)</f>
        <v>-0.30000000000000004</v>
      </c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2"/>
      <c r="BB14" s="72"/>
      <c r="BC14" s="73">
        <f>1 - (
    SUM(
        IF(AQ14-Uzman_D!$B$14&lt;0, -(AQ14-Uzman_D!$B$14), AQ14-Uzman_D!$B$14)*0.1 +
        IF(AR14-Uzman_D!$C$14&lt;0, -(AR14-Uzman_D!$C$14), AR14-Uzman_D!$C$14)*0.1 +
        IF(AS14-Uzman_D!$D$14&lt;0, -(AS14-Uzman_D!$D$14), AS14-Uzman_D!$D$14)*0.1 +
        IF(AT14-Uzman_D!$E$14&lt;0, -(AT14-Uzman_D!$E$14), AT14-Uzman_D!$E$14)*0.1 +
        IF(AU14-Uzman_D!$F$14&lt;0, -(AU14-Uzman_D!$F$14), AU14-Uzman_D!$F$14)*0.1 +
        IF(AV14-Uzman_D!$G$14&lt;0, -(AV14-Uzman_D!$G$14), AV14-Uzman_D!$G$14)*0.1 +
        IF(AW14-Uzman_D!$H$14&lt;0, -(AW14-Uzman_D!$H$14), AW14-Uzman_D!$H$14)*0.1 +
        IF(AX14-Uzman_D!$I$14&lt;0, -(AX14-Uzman_D!$I$14), AX14-Uzman_D!$I$14)*0.1 +
        IF(AY14-Uzman_D!$J$14&lt;0, -(AY14-Uzman_D!$J$14), AY14-Uzman_D!$J$14)*0.1
    ) +
    IF(ROUND((IF(BA14-Uzman_D!$L$14&lt;0, -(BA14-Uzman_D!$L$14), BA14-Uzman_D!$L$14)*2),0)/2 = IF(BA14-Uzman_D!$L$14&lt;0, -(BA14-Uzman_D!$L$14), BA14-Uzman_D!$L$14),
    (ROUND((IF(BA14-Uzman_D!$L$14&lt;0, -(BA14-Uzman_D!$L$14), BA14-Uzman_D!$L$14)*2),0)/1 * 0.1), 0) +
    IF(BB14-Uzman_D!$M$14&lt;0, -(BB14-Uzman_D!$M$14), BB14-Uzman_D!$M$14)*1
)</f>
        <v>-0.20000000000000018</v>
      </c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2"/>
      <c r="BO14" s="72"/>
      <c r="BP14" s="73">
        <f>1 - (
    SUM(
        IF(BD14-Uzman_D!$B$15&lt;0, -(BD14-Uzman_D!$B$15), BD14-Uzman_D!$B$15)*0.1 +
        IF(BE14-Uzman_D!$C$15&lt;0, -(BE14-Uzman_D!$C$15), BE14-Uzman_D!$C$15)*0.1 +
        IF(BF14-Uzman_D!$D$15&lt;0, -(BF14-Uzman_D!$D$15), BF14-Uzman_D!$D$15)*0.1 +
        IF(BG14-Uzman_D!$E$15&lt;0, -(BG14-Uzman_D!$E$15), BG14-Uzman_D!$E$15)*0.1 +
        IF(BH14-Uzman_D!$F$15&lt;0, -(BH14-Uzman_D!$F$15), BH14-Uzman_D!$F$15)*0.1 +
        IF(BI14-Uzman_D!$G$15&lt;0, -(BI14-Uzman_D!$G$15), BI14-Uzman_D!$G$15)*0.1 +
        IF(BJ14-Uzman_D!$H$15&lt;0, -(BJ14-Uzman_D!$H$15), BJ14-Uzman_D!$H$15)*0.1 +
        IF(BK14-Uzman_D!$I$15&lt;0, -(BK14-Uzman_D!$I$15), BK14-Uzman_D!$I$15)*0.1 +
        IF(BL14-Uzman_D!$J$15&lt;0, -(BL14-Uzman_D!$J$15), BL14-Uzman_D!$J$15)*0.1
    ) +
    IF(ROUND((IF(BN14-Uzman_D!$L$15&lt;0, -(BN14-Uzman_D!$L$15), BN14-Uzman_D!$L$15)*2),0)/2 = IF(BN14-Uzman_D!$L$15&lt;0, -(BN14-Uzman_D!$L$15), BN14-Uzman_D!$L$15),
    (ROUND((IF(BN14-Uzman_D!$L$15&lt;0, -(BN14-Uzman_D!$L$15), BN14-Uzman_D!$L$15)*2),0)/1 * 0.1), 0) +
    IF(BO14-Uzman_D!$M$15&lt;0, -(BO14-Uzman_D!$M$15), BO14-Uzman_D!$M$15)*1
)</f>
        <v>-0.60000000000000009</v>
      </c>
      <c r="BQ14" s="74">
        <f t="shared" si="0"/>
        <v>-0.32000000000000017</v>
      </c>
    </row>
    <row r="15" spans="1:69" ht="15" customHeight="1" x14ac:dyDescent="0.2">
      <c r="A15" s="57">
        <v>12</v>
      </c>
      <c r="B15" s="29">
        <f>Hakemler!B15</f>
        <v>0</v>
      </c>
      <c r="C15" s="29">
        <f>Hakemler!C15</f>
        <v>0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2"/>
      <c r="O15" s="72"/>
      <c r="P15" s="73">
        <f>1 - (
    SUM(
        IF(D15-Uzman_D!$B$11&lt;0, -(D15-Uzman_D!$B$11), D15-Uzman_D!$B$11)*0.1 +
        IF(E15-Uzman_D!$C$11&lt;0, -(E15-Uzman_D!$C$11), E15-Uzman_D!$C$11)*0.1 +
        IF(F15-Uzman_D!$D$11&lt;0, -(F15-Uzman_D!$D$11), F15-Uzman_D!$D$11)*0.1 +
        IF(G15-Uzman_D!$E$11&lt;0, -(G15-Uzman_D!$E$11), G15-Uzman_D!$E$11)*0.1 +
        IF(H15-Uzman_D!$F$11&lt;0, -(H15-Uzman_D!$F$11), H15-Uzman_D!$F$11)*0.1 +
        IF(I15-Uzman_D!$G$11&lt;0, -(I15-Uzman_D!$G$11), I15-Uzman_D!$G$11)*0.1 +
        IF(J15-Uzman_D!$H$11&lt;0, -(J15-Uzman_D!$H$11), J15-Uzman_D!$H$11)*0.1 +
        IF(K15-Uzman_D!$I$11&lt;0, -(K15-Uzman_D!$I$11), K15-Uzman_D!$I$11)*0.1 +
        IF(L15-Uzman_D!$J$11&lt;0, -(L15-Uzman_D!$J$11), L15-Uzman_D!$J$11)*0.1
    ) +
    IF(ROUND((IF(N15-Uzman_D!$L$11&lt;0, -(N15-Uzman_D!$L$11), N15-Uzman_D!$L$11)*2),0)/2 = IF(N15-Uzman_D!$L$11&lt;0, -(N15-Uzman_D!$L$11), N15-Uzman_D!$L$11),
    (ROUND((IF(N15-Uzman_D!$L$11&lt;0, -(N15-Uzman_D!$L$11), N15-Uzman_D!$L$11)*2),0)/1 * 0.1), 0) +
    IF(O15-Uzman_D!$M$11&lt;0, -(O15-Uzman_D!$M$11), O15-Uzman_D!$M$11)*1
)</f>
        <v>-0.30000000000000027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2"/>
      <c r="AB15" s="72"/>
      <c r="AC15" s="73">
        <f>1 - (
    SUM(
        IF(Q15-Uzman_D!$B$12&lt;0, -(Q15-Uzman_D!$B$12), Q15-Uzman_D!$B$12)*0.1 +
        IF(R15-Uzman_D!$C$12&lt;0, -(R15-Uzman_D!$C$12), R15-Uzman_D!$C$12)*0.1 +
        IF(S15-Uzman_D!$D$12&lt;0, -(S15-Uzman_D!$D$12), S15-Uzman_D!$D$12)*0.1 +
        IF(T15-Uzman_D!$E$12&lt;0, -(T15-Uzman_D!$E$12), T15-Uzman_D!$E$12)*0.1 +
        IF(U15-Uzman_D!$F$12&lt;0, -(U15-Uzman_D!$F$12), U15-Uzman_D!$F$12)*0.1 +
        IF(V15-Uzman_D!$G$12&lt;0, -(V15-Uzman_D!$G$12), V15-Uzman_D!$G$12)*0.1 +
        IF(W15-Uzman_D!$H$12&lt;0, -(W15-Uzman_D!$H$12), W15-Uzman_D!$H$12)*0.1 +
        IF(X15-Uzman_D!$I$12&lt;0, -(X15-Uzman_D!$I$12), X15-Uzman_D!$I$12)*0.1 +
        IF(Y15-Uzman_D!$J$12&lt;0, -(Y15-Uzman_D!$J$12), Y15-Uzman_D!$J$12)*0.1
    ) +
    IF(ROUND((IF(AA15-Uzman_D!$L$12&lt;0, -(AA15-Uzman_D!$L$12), AA15-Uzman_D!$L$12)*2),0)/2 = IF(AA15-Uzman_D!$L$12&lt;0, -(AA15-Uzman_D!$L$12), AA15-Uzman_D!$L$12),
    (ROUND((IF(AA15-Uzman_D!$L$12&lt;0, -(AA15-Uzman_D!$L$12), AA15-Uzman_D!$L$12)*2),0)/1 * 0.1), 0) +
    IF(AB15-Uzman_D!$M$12&lt;0, -(AB15-Uzman_D!$M$12), AB15-Uzman_D!$M$12)*1
)</f>
        <v>-0.20000000000000018</v>
      </c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2"/>
      <c r="AO15" s="72"/>
      <c r="AP15" s="73">
        <f>1 - (
    SUM(
        IF(AD15-Uzman_D!$B$13&lt;0, -(AD15-Uzman_D!$B$13), AD15-Uzman_D!$B$13)*0.1 +
        IF(AE15-Uzman_D!$C$13&lt;0, -(AE15-Uzman_D!$C$13), AE15-Uzman_D!$C$13)*0.1 +
        IF(AF15-Uzman_D!$D$13&lt;0, -(AF15-Uzman_D!$D$13), AF15-Uzman_D!$D$13)*0.1 +
        IF(AG15-Uzman_D!$E$13&lt;0, -(AG15-Uzman_D!$E$13), AG15-Uzman_D!$E$13)*0.1 +
        IF(AH15-Uzman_D!$F$13&lt;0, -(AH15-Uzman_D!$F$13), AH15-Uzman_D!$F$13)*0.1 +
        IF(AI15-Uzman_D!$G$13&lt;0, -(AI15-Uzman_D!$G$13), AI15-Uzman_D!$G$13)*0.1 +
        IF(AJ15-Uzman_D!$H$13&lt;0, -(AJ15-Uzman_D!$H$13), AJ15-Uzman_D!$H$13)*0.1 +
        IF(AK15-Uzman_D!$I$13&lt;0, -(AK15-Uzman_D!$I$13), AK15-Uzman_D!$I$13)*0.1 +
        IF(AL15-Uzman_D!$J$13&lt;0, -(AL15-Uzman_D!$J$13), AL15-Uzman_D!$J$13)*0.1
    ) +
    IF(ROUND((IF(AN15-Uzman_D!$L$13&lt;0, -(AN15-Uzman_D!$L$13), AN15-Uzman_D!$L$13)*2),0)/2 = IF(AN15-Uzman_D!$L$13&lt;0, -(AN15-Uzman_D!$L$13), AN15-Uzman_D!$L$13),
    (ROUND((IF(AN15-Uzman_D!$L$13&lt;0, -(AN15-Uzman_D!$L$13), AN15-Uzman_D!$L$13)*2),0)/1 * 0.1), 0) +
    IF(AO15-Uzman_D!$M$13&lt;0, -(AO15-Uzman_D!$M$13), AO15-Uzman_D!$M$13)*1
)</f>
        <v>-0.30000000000000004</v>
      </c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2"/>
      <c r="BB15" s="72"/>
      <c r="BC15" s="73">
        <f>1 - (
    SUM(
        IF(AQ15-Uzman_D!$B$14&lt;0, -(AQ15-Uzman_D!$B$14), AQ15-Uzman_D!$B$14)*0.1 +
        IF(AR15-Uzman_D!$C$14&lt;0, -(AR15-Uzman_D!$C$14), AR15-Uzman_D!$C$14)*0.1 +
        IF(AS15-Uzman_D!$D$14&lt;0, -(AS15-Uzman_D!$D$14), AS15-Uzman_D!$D$14)*0.1 +
        IF(AT15-Uzman_D!$E$14&lt;0, -(AT15-Uzman_D!$E$14), AT15-Uzman_D!$E$14)*0.1 +
        IF(AU15-Uzman_D!$F$14&lt;0, -(AU15-Uzman_D!$F$14), AU15-Uzman_D!$F$14)*0.1 +
        IF(AV15-Uzman_D!$G$14&lt;0, -(AV15-Uzman_D!$G$14), AV15-Uzman_D!$G$14)*0.1 +
        IF(AW15-Uzman_D!$H$14&lt;0, -(AW15-Uzman_D!$H$14), AW15-Uzman_D!$H$14)*0.1 +
        IF(AX15-Uzman_D!$I$14&lt;0, -(AX15-Uzman_D!$I$14), AX15-Uzman_D!$I$14)*0.1 +
        IF(AY15-Uzman_D!$J$14&lt;0, -(AY15-Uzman_D!$J$14), AY15-Uzman_D!$J$14)*0.1
    ) +
    IF(ROUND((IF(BA15-Uzman_D!$L$14&lt;0, -(BA15-Uzman_D!$L$14), BA15-Uzman_D!$L$14)*2),0)/2 = IF(BA15-Uzman_D!$L$14&lt;0, -(BA15-Uzman_D!$L$14), BA15-Uzman_D!$L$14),
    (ROUND((IF(BA15-Uzman_D!$L$14&lt;0, -(BA15-Uzman_D!$L$14), BA15-Uzman_D!$L$14)*2),0)/1 * 0.1), 0) +
    IF(BB15-Uzman_D!$M$14&lt;0, -(BB15-Uzman_D!$M$14), BB15-Uzman_D!$M$14)*1
)</f>
        <v>-0.20000000000000018</v>
      </c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2"/>
      <c r="BO15" s="72"/>
      <c r="BP15" s="73">
        <f>1 - (
    SUM(
        IF(BD15-Uzman_D!$B$15&lt;0, -(BD15-Uzman_D!$B$15), BD15-Uzman_D!$B$15)*0.1 +
        IF(BE15-Uzman_D!$C$15&lt;0, -(BE15-Uzman_D!$C$15), BE15-Uzman_D!$C$15)*0.1 +
        IF(BF15-Uzman_D!$D$15&lt;0, -(BF15-Uzman_D!$D$15), BF15-Uzman_D!$D$15)*0.1 +
        IF(BG15-Uzman_D!$E$15&lt;0, -(BG15-Uzman_D!$E$15), BG15-Uzman_D!$E$15)*0.1 +
        IF(BH15-Uzman_D!$F$15&lt;0, -(BH15-Uzman_D!$F$15), BH15-Uzman_D!$F$15)*0.1 +
        IF(BI15-Uzman_D!$G$15&lt;0, -(BI15-Uzman_D!$G$15), BI15-Uzman_D!$G$15)*0.1 +
        IF(BJ15-Uzman_D!$H$15&lt;0, -(BJ15-Uzman_D!$H$15), BJ15-Uzman_D!$H$15)*0.1 +
        IF(BK15-Uzman_D!$I$15&lt;0, -(BK15-Uzman_D!$I$15), BK15-Uzman_D!$I$15)*0.1 +
        IF(BL15-Uzman_D!$J$15&lt;0, -(BL15-Uzman_D!$J$15), BL15-Uzman_D!$J$15)*0.1
    ) +
    IF(ROUND((IF(BN15-Uzman_D!$L$15&lt;0, -(BN15-Uzman_D!$L$15), BN15-Uzman_D!$L$15)*2),0)/2 = IF(BN15-Uzman_D!$L$15&lt;0, -(BN15-Uzman_D!$L$15), BN15-Uzman_D!$L$15),
    (ROUND((IF(BN15-Uzman_D!$L$15&lt;0, -(BN15-Uzman_D!$L$15), BN15-Uzman_D!$L$15)*2),0)/1 * 0.1), 0) +
    IF(BO15-Uzman_D!$M$15&lt;0, -(BO15-Uzman_D!$M$15), BO15-Uzman_D!$M$15)*1
)</f>
        <v>-0.60000000000000009</v>
      </c>
      <c r="BQ15" s="74">
        <f t="shared" si="0"/>
        <v>-0.32000000000000017</v>
      </c>
    </row>
    <row r="16" spans="1:69" ht="15" customHeight="1" x14ac:dyDescent="0.2">
      <c r="A16" s="57">
        <v>13</v>
      </c>
      <c r="B16" s="29">
        <f>Hakemler!B16</f>
        <v>0</v>
      </c>
      <c r="C16" s="29">
        <f>Hakemler!C16</f>
        <v>0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2"/>
      <c r="O16" s="72"/>
      <c r="P16" s="73">
        <f>1 - (
    SUM(
        IF(D16-Uzman_D!$B$11&lt;0, -(D16-Uzman_D!$B$11), D16-Uzman_D!$B$11)*0.1 +
        IF(E16-Uzman_D!$C$11&lt;0, -(E16-Uzman_D!$C$11), E16-Uzman_D!$C$11)*0.1 +
        IF(F16-Uzman_D!$D$11&lt;0, -(F16-Uzman_D!$D$11), F16-Uzman_D!$D$11)*0.1 +
        IF(G16-Uzman_D!$E$11&lt;0, -(G16-Uzman_D!$E$11), G16-Uzman_D!$E$11)*0.1 +
        IF(H16-Uzman_D!$F$11&lt;0, -(H16-Uzman_D!$F$11), H16-Uzman_D!$F$11)*0.1 +
        IF(I16-Uzman_D!$G$11&lt;0, -(I16-Uzman_D!$G$11), I16-Uzman_D!$G$11)*0.1 +
        IF(J16-Uzman_D!$H$11&lt;0, -(J16-Uzman_D!$H$11), J16-Uzman_D!$H$11)*0.1 +
        IF(K16-Uzman_D!$I$11&lt;0, -(K16-Uzman_D!$I$11), K16-Uzman_D!$I$11)*0.1 +
        IF(L16-Uzman_D!$J$11&lt;0, -(L16-Uzman_D!$J$11), L16-Uzman_D!$J$11)*0.1
    ) +
    IF(ROUND((IF(N16-Uzman_D!$L$11&lt;0, -(N16-Uzman_D!$L$11), N16-Uzman_D!$L$11)*2),0)/2 = IF(N16-Uzman_D!$L$11&lt;0, -(N16-Uzman_D!$L$11), N16-Uzman_D!$L$11),
    (ROUND((IF(N16-Uzman_D!$L$11&lt;0, -(N16-Uzman_D!$L$11), N16-Uzman_D!$L$11)*2),0)/1 * 0.1), 0) +
    IF(O16-Uzman_D!$M$11&lt;0, -(O16-Uzman_D!$M$11), O16-Uzman_D!$M$11)*1
)</f>
        <v>-0.30000000000000027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2"/>
      <c r="AB16" s="72"/>
      <c r="AC16" s="73">
        <f>1 - (
    SUM(
        IF(Q16-Uzman_D!$B$12&lt;0, -(Q16-Uzman_D!$B$12), Q16-Uzman_D!$B$12)*0.1 +
        IF(R16-Uzman_D!$C$12&lt;0, -(R16-Uzman_D!$C$12), R16-Uzman_D!$C$12)*0.1 +
        IF(S16-Uzman_D!$D$12&lt;0, -(S16-Uzman_D!$D$12), S16-Uzman_D!$D$12)*0.1 +
        IF(T16-Uzman_D!$E$12&lt;0, -(T16-Uzman_D!$E$12), T16-Uzman_D!$E$12)*0.1 +
        IF(U16-Uzman_D!$F$12&lt;0, -(U16-Uzman_D!$F$12), U16-Uzman_D!$F$12)*0.1 +
        IF(V16-Uzman_D!$G$12&lt;0, -(V16-Uzman_D!$G$12), V16-Uzman_D!$G$12)*0.1 +
        IF(W16-Uzman_D!$H$12&lt;0, -(W16-Uzman_D!$H$12), W16-Uzman_D!$H$12)*0.1 +
        IF(X16-Uzman_D!$I$12&lt;0, -(X16-Uzman_D!$I$12), X16-Uzman_D!$I$12)*0.1 +
        IF(Y16-Uzman_D!$J$12&lt;0, -(Y16-Uzman_D!$J$12), Y16-Uzman_D!$J$12)*0.1
    ) +
    IF(ROUND((IF(AA16-Uzman_D!$L$12&lt;0, -(AA16-Uzman_D!$L$12), AA16-Uzman_D!$L$12)*2),0)/2 = IF(AA16-Uzman_D!$L$12&lt;0, -(AA16-Uzman_D!$L$12), AA16-Uzman_D!$L$12),
    (ROUND((IF(AA16-Uzman_D!$L$12&lt;0, -(AA16-Uzman_D!$L$12), AA16-Uzman_D!$L$12)*2),0)/1 * 0.1), 0) +
    IF(AB16-Uzman_D!$M$12&lt;0, -(AB16-Uzman_D!$M$12), AB16-Uzman_D!$M$12)*1
)</f>
        <v>-0.20000000000000018</v>
      </c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2"/>
      <c r="AO16" s="72"/>
      <c r="AP16" s="73">
        <f>1 - (
    SUM(
        IF(AD16-Uzman_D!$B$13&lt;0, -(AD16-Uzman_D!$B$13), AD16-Uzman_D!$B$13)*0.1 +
        IF(AE16-Uzman_D!$C$13&lt;0, -(AE16-Uzman_D!$C$13), AE16-Uzman_D!$C$13)*0.1 +
        IF(AF16-Uzman_D!$D$13&lt;0, -(AF16-Uzman_D!$D$13), AF16-Uzman_D!$D$13)*0.1 +
        IF(AG16-Uzman_D!$E$13&lt;0, -(AG16-Uzman_D!$E$13), AG16-Uzman_D!$E$13)*0.1 +
        IF(AH16-Uzman_D!$F$13&lt;0, -(AH16-Uzman_D!$F$13), AH16-Uzman_D!$F$13)*0.1 +
        IF(AI16-Uzman_D!$G$13&lt;0, -(AI16-Uzman_D!$G$13), AI16-Uzman_D!$G$13)*0.1 +
        IF(AJ16-Uzman_D!$H$13&lt;0, -(AJ16-Uzman_D!$H$13), AJ16-Uzman_D!$H$13)*0.1 +
        IF(AK16-Uzman_D!$I$13&lt;0, -(AK16-Uzman_D!$I$13), AK16-Uzman_D!$I$13)*0.1 +
        IF(AL16-Uzman_D!$J$13&lt;0, -(AL16-Uzman_D!$J$13), AL16-Uzman_D!$J$13)*0.1
    ) +
    IF(ROUND((IF(AN16-Uzman_D!$L$13&lt;0, -(AN16-Uzman_D!$L$13), AN16-Uzman_D!$L$13)*2),0)/2 = IF(AN16-Uzman_D!$L$13&lt;0, -(AN16-Uzman_D!$L$13), AN16-Uzman_D!$L$13),
    (ROUND((IF(AN16-Uzman_D!$L$13&lt;0, -(AN16-Uzman_D!$L$13), AN16-Uzman_D!$L$13)*2),0)/1 * 0.1), 0) +
    IF(AO16-Uzman_D!$M$13&lt;0, -(AO16-Uzman_D!$M$13), AO16-Uzman_D!$M$13)*1
)</f>
        <v>-0.30000000000000004</v>
      </c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2"/>
      <c r="BB16" s="72"/>
      <c r="BC16" s="73">
        <f>1 - (
    SUM(
        IF(AQ16-Uzman_D!$B$14&lt;0, -(AQ16-Uzman_D!$B$14), AQ16-Uzman_D!$B$14)*0.1 +
        IF(AR16-Uzman_D!$C$14&lt;0, -(AR16-Uzman_D!$C$14), AR16-Uzman_D!$C$14)*0.1 +
        IF(AS16-Uzman_D!$D$14&lt;0, -(AS16-Uzman_D!$D$14), AS16-Uzman_D!$D$14)*0.1 +
        IF(AT16-Uzman_D!$E$14&lt;0, -(AT16-Uzman_D!$E$14), AT16-Uzman_D!$E$14)*0.1 +
        IF(AU16-Uzman_D!$F$14&lt;0, -(AU16-Uzman_D!$F$14), AU16-Uzman_D!$F$14)*0.1 +
        IF(AV16-Uzman_D!$G$14&lt;0, -(AV16-Uzman_D!$G$14), AV16-Uzman_D!$G$14)*0.1 +
        IF(AW16-Uzman_D!$H$14&lt;0, -(AW16-Uzman_D!$H$14), AW16-Uzman_D!$H$14)*0.1 +
        IF(AX16-Uzman_D!$I$14&lt;0, -(AX16-Uzman_D!$I$14), AX16-Uzman_D!$I$14)*0.1 +
        IF(AY16-Uzman_D!$J$14&lt;0, -(AY16-Uzman_D!$J$14), AY16-Uzman_D!$J$14)*0.1
    ) +
    IF(ROUND((IF(BA16-Uzman_D!$L$14&lt;0, -(BA16-Uzman_D!$L$14), BA16-Uzman_D!$L$14)*2),0)/2 = IF(BA16-Uzman_D!$L$14&lt;0, -(BA16-Uzman_D!$L$14), BA16-Uzman_D!$L$14),
    (ROUND((IF(BA16-Uzman_D!$L$14&lt;0, -(BA16-Uzman_D!$L$14), BA16-Uzman_D!$L$14)*2),0)/1 * 0.1), 0) +
    IF(BB16-Uzman_D!$M$14&lt;0, -(BB16-Uzman_D!$M$14), BB16-Uzman_D!$M$14)*1
)</f>
        <v>-0.20000000000000018</v>
      </c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2"/>
      <c r="BO16" s="72"/>
      <c r="BP16" s="73">
        <f>1 - (
    SUM(
        IF(BD16-Uzman_D!$B$15&lt;0, -(BD16-Uzman_D!$B$15), BD16-Uzman_D!$B$15)*0.1 +
        IF(BE16-Uzman_D!$C$15&lt;0, -(BE16-Uzman_D!$C$15), BE16-Uzman_D!$C$15)*0.1 +
        IF(BF16-Uzman_D!$D$15&lt;0, -(BF16-Uzman_D!$D$15), BF16-Uzman_D!$D$15)*0.1 +
        IF(BG16-Uzman_D!$E$15&lt;0, -(BG16-Uzman_D!$E$15), BG16-Uzman_D!$E$15)*0.1 +
        IF(BH16-Uzman_D!$F$15&lt;0, -(BH16-Uzman_D!$F$15), BH16-Uzman_D!$F$15)*0.1 +
        IF(BI16-Uzman_D!$G$15&lt;0, -(BI16-Uzman_D!$G$15), BI16-Uzman_D!$G$15)*0.1 +
        IF(BJ16-Uzman_D!$H$15&lt;0, -(BJ16-Uzman_D!$H$15), BJ16-Uzman_D!$H$15)*0.1 +
        IF(BK16-Uzman_D!$I$15&lt;0, -(BK16-Uzman_D!$I$15), BK16-Uzman_D!$I$15)*0.1 +
        IF(BL16-Uzman_D!$J$15&lt;0, -(BL16-Uzman_D!$J$15), BL16-Uzman_D!$J$15)*0.1
    ) +
    IF(ROUND((IF(BN16-Uzman_D!$L$15&lt;0, -(BN16-Uzman_D!$L$15), BN16-Uzman_D!$L$15)*2),0)/2 = IF(BN16-Uzman_D!$L$15&lt;0, -(BN16-Uzman_D!$L$15), BN16-Uzman_D!$L$15),
    (ROUND((IF(BN16-Uzman_D!$L$15&lt;0, -(BN16-Uzman_D!$L$15), BN16-Uzman_D!$L$15)*2),0)/1 * 0.1), 0) +
    IF(BO16-Uzman_D!$M$15&lt;0, -(BO16-Uzman_D!$M$15), BO16-Uzman_D!$M$15)*1
)</f>
        <v>-0.60000000000000009</v>
      </c>
      <c r="BQ16" s="74">
        <f t="shared" si="0"/>
        <v>-0.32000000000000017</v>
      </c>
    </row>
    <row r="17" spans="1:69" ht="15" customHeight="1" x14ac:dyDescent="0.2">
      <c r="A17" s="57">
        <v>14</v>
      </c>
      <c r="B17" s="29">
        <f>Hakemler!B17</f>
        <v>0</v>
      </c>
      <c r="C17" s="29">
        <f>Hakemler!C17</f>
        <v>0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2"/>
      <c r="O17" s="72"/>
      <c r="P17" s="73">
        <f>1 - (
    SUM(
        IF(D17-Uzman_D!$B$11&lt;0, -(D17-Uzman_D!$B$11), D17-Uzman_D!$B$11)*0.1 +
        IF(E17-Uzman_D!$C$11&lt;0, -(E17-Uzman_D!$C$11), E17-Uzman_D!$C$11)*0.1 +
        IF(F17-Uzman_D!$D$11&lt;0, -(F17-Uzman_D!$D$11), F17-Uzman_D!$D$11)*0.1 +
        IF(G17-Uzman_D!$E$11&lt;0, -(G17-Uzman_D!$E$11), G17-Uzman_D!$E$11)*0.1 +
        IF(H17-Uzman_D!$F$11&lt;0, -(H17-Uzman_D!$F$11), H17-Uzman_D!$F$11)*0.1 +
        IF(I17-Uzman_D!$G$11&lt;0, -(I17-Uzman_D!$G$11), I17-Uzman_D!$G$11)*0.1 +
        IF(J17-Uzman_D!$H$11&lt;0, -(J17-Uzman_D!$H$11), J17-Uzman_D!$H$11)*0.1 +
        IF(K17-Uzman_D!$I$11&lt;0, -(K17-Uzman_D!$I$11), K17-Uzman_D!$I$11)*0.1 +
        IF(L17-Uzman_D!$J$11&lt;0, -(L17-Uzman_D!$J$11), L17-Uzman_D!$J$11)*0.1
    ) +
    IF(ROUND((IF(N17-Uzman_D!$L$11&lt;0, -(N17-Uzman_D!$L$11), N17-Uzman_D!$L$11)*2),0)/2 = IF(N17-Uzman_D!$L$11&lt;0, -(N17-Uzman_D!$L$11), N17-Uzman_D!$L$11),
    (ROUND((IF(N17-Uzman_D!$L$11&lt;0, -(N17-Uzman_D!$L$11), N17-Uzman_D!$L$11)*2),0)/1 * 0.1), 0) +
    IF(O17-Uzman_D!$M$11&lt;0, -(O17-Uzman_D!$M$11), O17-Uzman_D!$M$11)*1
)</f>
        <v>-0.30000000000000027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2"/>
      <c r="AB17" s="72"/>
      <c r="AC17" s="73">
        <f>1 - (
    SUM(
        IF(Q17-Uzman_D!$B$12&lt;0, -(Q17-Uzman_D!$B$12), Q17-Uzman_D!$B$12)*0.1 +
        IF(R17-Uzman_D!$C$12&lt;0, -(R17-Uzman_D!$C$12), R17-Uzman_D!$C$12)*0.1 +
        IF(S17-Uzman_D!$D$12&lt;0, -(S17-Uzman_D!$D$12), S17-Uzman_D!$D$12)*0.1 +
        IF(T17-Uzman_D!$E$12&lt;0, -(T17-Uzman_D!$E$12), T17-Uzman_D!$E$12)*0.1 +
        IF(U17-Uzman_D!$F$12&lt;0, -(U17-Uzman_D!$F$12), U17-Uzman_D!$F$12)*0.1 +
        IF(V17-Uzman_D!$G$12&lt;0, -(V17-Uzman_D!$G$12), V17-Uzman_D!$G$12)*0.1 +
        IF(W17-Uzman_D!$H$12&lt;0, -(W17-Uzman_D!$H$12), W17-Uzman_D!$H$12)*0.1 +
        IF(X17-Uzman_D!$I$12&lt;0, -(X17-Uzman_D!$I$12), X17-Uzman_D!$I$12)*0.1 +
        IF(Y17-Uzman_D!$J$12&lt;0, -(Y17-Uzman_D!$J$12), Y17-Uzman_D!$J$12)*0.1
    ) +
    IF(ROUND((IF(AA17-Uzman_D!$L$12&lt;0, -(AA17-Uzman_D!$L$12), AA17-Uzman_D!$L$12)*2),0)/2 = IF(AA17-Uzman_D!$L$12&lt;0, -(AA17-Uzman_D!$L$12), AA17-Uzman_D!$L$12),
    (ROUND((IF(AA17-Uzman_D!$L$12&lt;0, -(AA17-Uzman_D!$L$12), AA17-Uzman_D!$L$12)*2),0)/1 * 0.1), 0) +
    IF(AB17-Uzman_D!$M$12&lt;0, -(AB17-Uzman_D!$M$12), AB17-Uzman_D!$M$12)*1
)</f>
        <v>-0.20000000000000018</v>
      </c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2"/>
      <c r="AO17" s="72"/>
      <c r="AP17" s="73">
        <f>1 - (
    SUM(
        IF(AD17-Uzman_D!$B$13&lt;0, -(AD17-Uzman_D!$B$13), AD17-Uzman_D!$B$13)*0.1 +
        IF(AE17-Uzman_D!$C$13&lt;0, -(AE17-Uzman_D!$C$13), AE17-Uzman_D!$C$13)*0.1 +
        IF(AF17-Uzman_D!$D$13&lt;0, -(AF17-Uzman_D!$D$13), AF17-Uzman_D!$D$13)*0.1 +
        IF(AG17-Uzman_D!$E$13&lt;0, -(AG17-Uzman_D!$E$13), AG17-Uzman_D!$E$13)*0.1 +
        IF(AH17-Uzman_D!$F$13&lt;0, -(AH17-Uzman_D!$F$13), AH17-Uzman_D!$F$13)*0.1 +
        IF(AI17-Uzman_D!$G$13&lt;0, -(AI17-Uzman_D!$G$13), AI17-Uzman_D!$G$13)*0.1 +
        IF(AJ17-Uzman_D!$H$13&lt;0, -(AJ17-Uzman_D!$H$13), AJ17-Uzman_D!$H$13)*0.1 +
        IF(AK17-Uzman_D!$I$13&lt;0, -(AK17-Uzman_D!$I$13), AK17-Uzman_D!$I$13)*0.1 +
        IF(AL17-Uzman_D!$J$13&lt;0, -(AL17-Uzman_D!$J$13), AL17-Uzman_D!$J$13)*0.1
    ) +
    IF(ROUND((IF(AN17-Uzman_D!$L$13&lt;0, -(AN17-Uzman_D!$L$13), AN17-Uzman_D!$L$13)*2),0)/2 = IF(AN17-Uzman_D!$L$13&lt;0, -(AN17-Uzman_D!$L$13), AN17-Uzman_D!$L$13),
    (ROUND((IF(AN17-Uzman_D!$L$13&lt;0, -(AN17-Uzman_D!$L$13), AN17-Uzman_D!$L$13)*2),0)/1 * 0.1), 0) +
    IF(AO17-Uzman_D!$M$13&lt;0, -(AO17-Uzman_D!$M$13), AO17-Uzman_D!$M$13)*1
)</f>
        <v>-0.30000000000000004</v>
      </c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2"/>
      <c r="BB17" s="72"/>
      <c r="BC17" s="73">
        <f>1 - (
    SUM(
        IF(AQ17-Uzman_D!$B$14&lt;0, -(AQ17-Uzman_D!$B$14), AQ17-Uzman_D!$B$14)*0.1 +
        IF(AR17-Uzman_D!$C$14&lt;0, -(AR17-Uzman_D!$C$14), AR17-Uzman_D!$C$14)*0.1 +
        IF(AS17-Uzman_D!$D$14&lt;0, -(AS17-Uzman_D!$D$14), AS17-Uzman_D!$D$14)*0.1 +
        IF(AT17-Uzman_D!$E$14&lt;0, -(AT17-Uzman_D!$E$14), AT17-Uzman_D!$E$14)*0.1 +
        IF(AU17-Uzman_D!$F$14&lt;0, -(AU17-Uzman_D!$F$14), AU17-Uzman_D!$F$14)*0.1 +
        IF(AV17-Uzman_D!$G$14&lt;0, -(AV17-Uzman_D!$G$14), AV17-Uzman_D!$G$14)*0.1 +
        IF(AW17-Uzman_D!$H$14&lt;0, -(AW17-Uzman_D!$H$14), AW17-Uzman_D!$H$14)*0.1 +
        IF(AX17-Uzman_D!$I$14&lt;0, -(AX17-Uzman_D!$I$14), AX17-Uzman_D!$I$14)*0.1 +
        IF(AY17-Uzman_D!$J$14&lt;0, -(AY17-Uzman_D!$J$14), AY17-Uzman_D!$J$14)*0.1
    ) +
    IF(ROUND((IF(BA17-Uzman_D!$L$14&lt;0, -(BA17-Uzman_D!$L$14), BA17-Uzman_D!$L$14)*2),0)/2 = IF(BA17-Uzman_D!$L$14&lt;0, -(BA17-Uzman_D!$L$14), BA17-Uzman_D!$L$14),
    (ROUND((IF(BA17-Uzman_D!$L$14&lt;0, -(BA17-Uzman_D!$L$14), BA17-Uzman_D!$L$14)*2),0)/1 * 0.1), 0) +
    IF(BB17-Uzman_D!$M$14&lt;0, -(BB17-Uzman_D!$M$14), BB17-Uzman_D!$M$14)*1
)</f>
        <v>-0.20000000000000018</v>
      </c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2"/>
      <c r="BO17" s="72"/>
      <c r="BP17" s="73">
        <f>1 - (
    SUM(
        IF(BD17-Uzman_D!$B$15&lt;0, -(BD17-Uzman_D!$B$15), BD17-Uzman_D!$B$15)*0.1 +
        IF(BE17-Uzman_D!$C$15&lt;0, -(BE17-Uzman_D!$C$15), BE17-Uzman_D!$C$15)*0.1 +
        IF(BF17-Uzman_D!$D$15&lt;0, -(BF17-Uzman_D!$D$15), BF17-Uzman_D!$D$15)*0.1 +
        IF(BG17-Uzman_D!$E$15&lt;0, -(BG17-Uzman_D!$E$15), BG17-Uzman_D!$E$15)*0.1 +
        IF(BH17-Uzman_D!$F$15&lt;0, -(BH17-Uzman_D!$F$15), BH17-Uzman_D!$F$15)*0.1 +
        IF(BI17-Uzman_D!$G$15&lt;0, -(BI17-Uzman_D!$G$15), BI17-Uzman_D!$G$15)*0.1 +
        IF(BJ17-Uzman_D!$H$15&lt;0, -(BJ17-Uzman_D!$H$15), BJ17-Uzman_D!$H$15)*0.1 +
        IF(BK17-Uzman_D!$I$15&lt;0, -(BK17-Uzman_D!$I$15), BK17-Uzman_D!$I$15)*0.1 +
        IF(BL17-Uzman_D!$J$15&lt;0, -(BL17-Uzman_D!$J$15), BL17-Uzman_D!$J$15)*0.1
    ) +
    IF(ROUND((IF(BN17-Uzman_D!$L$15&lt;0, -(BN17-Uzman_D!$L$15), BN17-Uzman_D!$L$15)*2),0)/2 = IF(BN17-Uzman_D!$L$15&lt;0, -(BN17-Uzman_D!$L$15), BN17-Uzman_D!$L$15),
    (ROUND((IF(BN17-Uzman_D!$L$15&lt;0, -(BN17-Uzman_D!$L$15), BN17-Uzman_D!$L$15)*2),0)/1 * 0.1), 0) +
    IF(BO17-Uzman_D!$M$15&lt;0, -(BO17-Uzman_D!$M$15), BO17-Uzman_D!$M$15)*1
)</f>
        <v>-0.60000000000000009</v>
      </c>
      <c r="BQ17" s="74">
        <f t="shared" si="0"/>
        <v>-0.32000000000000017</v>
      </c>
    </row>
    <row r="18" spans="1:69" ht="15" customHeight="1" x14ac:dyDescent="0.2">
      <c r="A18" s="57">
        <v>15</v>
      </c>
      <c r="B18" s="29">
        <f>Hakemler!B18</f>
        <v>0</v>
      </c>
      <c r="C18" s="29">
        <f>Hakemler!C18</f>
        <v>0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  <c r="O18" s="72"/>
      <c r="P18" s="73">
        <f>1 - (
    SUM(
        IF(D18-Uzman_D!$B$11&lt;0, -(D18-Uzman_D!$B$11), D18-Uzman_D!$B$11)*0.1 +
        IF(E18-Uzman_D!$C$11&lt;0, -(E18-Uzman_D!$C$11), E18-Uzman_D!$C$11)*0.1 +
        IF(F18-Uzman_D!$D$11&lt;0, -(F18-Uzman_D!$D$11), F18-Uzman_D!$D$11)*0.1 +
        IF(G18-Uzman_D!$E$11&lt;0, -(G18-Uzman_D!$E$11), G18-Uzman_D!$E$11)*0.1 +
        IF(H18-Uzman_D!$F$11&lt;0, -(H18-Uzman_D!$F$11), H18-Uzman_D!$F$11)*0.1 +
        IF(I18-Uzman_D!$G$11&lt;0, -(I18-Uzman_D!$G$11), I18-Uzman_D!$G$11)*0.1 +
        IF(J18-Uzman_D!$H$11&lt;0, -(J18-Uzman_D!$H$11), J18-Uzman_D!$H$11)*0.1 +
        IF(K18-Uzman_D!$I$11&lt;0, -(K18-Uzman_D!$I$11), K18-Uzman_D!$I$11)*0.1 +
        IF(L18-Uzman_D!$J$11&lt;0, -(L18-Uzman_D!$J$11), L18-Uzman_D!$J$11)*0.1
    ) +
    IF(ROUND((IF(N18-Uzman_D!$L$11&lt;0, -(N18-Uzman_D!$L$11), N18-Uzman_D!$L$11)*2),0)/2 = IF(N18-Uzman_D!$L$11&lt;0, -(N18-Uzman_D!$L$11), N18-Uzman_D!$L$11),
    (ROUND((IF(N18-Uzman_D!$L$11&lt;0, -(N18-Uzman_D!$L$11), N18-Uzman_D!$L$11)*2),0)/1 * 0.1), 0) +
    IF(O18-Uzman_D!$M$11&lt;0, -(O18-Uzman_D!$M$11), O18-Uzman_D!$M$11)*1
)</f>
        <v>-0.30000000000000027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  <c r="AB18" s="72"/>
      <c r="AC18" s="73">
        <f>1 - (
    SUM(
        IF(Q18-Uzman_D!$B$12&lt;0, -(Q18-Uzman_D!$B$12), Q18-Uzman_D!$B$12)*0.1 +
        IF(R18-Uzman_D!$C$12&lt;0, -(R18-Uzman_D!$C$12), R18-Uzman_D!$C$12)*0.1 +
        IF(S18-Uzman_D!$D$12&lt;0, -(S18-Uzman_D!$D$12), S18-Uzman_D!$D$12)*0.1 +
        IF(T18-Uzman_D!$E$12&lt;0, -(T18-Uzman_D!$E$12), T18-Uzman_D!$E$12)*0.1 +
        IF(U18-Uzman_D!$F$12&lt;0, -(U18-Uzman_D!$F$12), U18-Uzman_D!$F$12)*0.1 +
        IF(V18-Uzman_D!$G$12&lt;0, -(V18-Uzman_D!$G$12), V18-Uzman_D!$G$12)*0.1 +
        IF(W18-Uzman_D!$H$12&lt;0, -(W18-Uzman_D!$H$12), W18-Uzman_D!$H$12)*0.1 +
        IF(X18-Uzman_D!$I$12&lt;0, -(X18-Uzman_D!$I$12), X18-Uzman_D!$I$12)*0.1 +
        IF(Y18-Uzman_D!$J$12&lt;0, -(Y18-Uzman_D!$J$12), Y18-Uzman_D!$J$12)*0.1
    ) +
    IF(ROUND((IF(AA18-Uzman_D!$L$12&lt;0, -(AA18-Uzman_D!$L$12), AA18-Uzman_D!$L$12)*2),0)/2 = IF(AA18-Uzman_D!$L$12&lt;0, -(AA18-Uzman_D!$L$12), AA18-Uzman_D!$L$12),
    (ROUND((IF(AA18-Uzman_D!$L$12&lt;0, -(AA18-Uzman_D!$L$12), AA18-Uzman_D!$L$12)*2),0)/1 * 0.1), 0) +
    IF(AB18-Uzman_D!$M$12&lt;0, -(AB18-Uzman_D!$M$12), AB18-Uzman_D!$M$12)*1
)</f>
        <v>-0.20000000000000018</v>
      </c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2"/>
      <c r="AO18" s="72"/>
      <c r="AP18" s="73">
        <f>1 - (
    SUM(
        IF(AD18-Uzman_D!$B$13&lt;0, -(AD18-Uzman_D!$B$13), AD18-Uzman_D!$B$13)*0.1 +
        IF(AE18-Uzman_D!$C$13&lt;0, -(AE18-Uzman_D!$C$13), AE18-Uzman_D!$C$13)*0.1 +
        IF(AF18-Uzman_D!$D$13&lt;0, -(AF18-Uzman_D!$D$13), AF18-Uzman_D!$D$13)*0.1 +
        IF(AG18-Uzman_D!$E$13&lt;0, -(AG18-Uzman_D!$E$13), AG18-Uzman_D!$E$13)*0.1 +
        IF(AH18-Uzman_D!$F$13&lt;0, -(AH18-Uzman_D!$F$13), AH18-Uzman_D!$F$13)*0.1 +
        IF(AI18-Uzman_D!$G$13&lt;0, -(AI18-Uzman_D!$G$13), AI18-Uzman_D!$G$13)*0.1 +
        IF(AJ18-Uzman_D!$H$13&lt;0, -(AJ18-Uzman_D!$H$13), AJ18-Uzman_D!$H$13)*0.1 +
        IF(AK18-Uzman_D!$I$13&lt;0, -(AK18-Uzman_D!$I$13), AK18-Uzman_D!$I$13)*0.1 +
        IF(AL18-Uzman_D!$J$13&lt;0, -(AL18-Uzman_D!$J$13), AL18-Uzman_D!$J$13)*0.1
    ) +
    IF(ROUND((IF(AN18-Uzman_D!$L$13&lt;0, -(AN18-Uzman_D!$L$13), AN18-Uzman_D!$L$13)*2),0)/2 = IF(AN18-Uzman_D!$L$13&lt;0, -(AN18-Uzman_D!$L$13), AN18-Uzman_D!$L$13),
    (ROUND((IF(AN18-Uzman_D!$L$13&lt;0, -(AN18-Uzman_D!$L$13), AN18-Uzman_D!$L$13)*2),0)/1 * 0.1), 0) +
    IF(AO18-Uzman_D!$M$13&lt;0, -(AO18-Uzman_D!$M$13), AO18-Uzman_D!$M$13)*1
)</f>
        <v>-0.30000000000000004</v>
      </c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2"/>
      <c r="BB18" s="72"/>
      <c r="BC18" s="73">
        <f>1 - (
    SUM(
        IF(AQ18-Uzman_D!$B$14&lt;0, -(AQ18-Uzman_D!$B$14), AQ18-Uzman_D!$B$14)*0.1 +
        IF(AR18-Uzman_D!$C$14&lt;0, -(AR18-Uzman_D!$C$14), AR18-Uzman_D!$C$14)*0.1 +
        IF(AS18-Uzman_D!$D$14&lt;0, -(AS18-Uzman_D!$D$14), AS18-Uzman_D!$D$14)*0.1 +
        IF(AT18-Uzman_D!$E$14&lt;0, -(AT18-Uzman_D!$E$14), AT18-Uzman_D!$E$14)*0.1 +
        IF(AU18-Uzman_D!$F$14&lt;0, -(AU18-Uzman_D!$F$14), AU18-Uzman_D!$F$14)*0.1 +
        IF(AV18-Uzman_D!$G$14&lt;0, -(AV18-Uzman_D!$G$14), AV18-Uzman_D!$G$14)*0.1 +
        IF(AW18-Uzman_D!$H$14&lt;0, -(AW18-Uzman_D!$H$14), AW18-Uzman_D!$H$14)*0.1 +
        IF(AX18-Uzman_D!$I$14&lt;0, -(AX18-Uzman_D!$I$14), AX18-Uzman_D!$I$14)*0.1 +
        IF(AY18-Uzman_D!$J$14&lt;0, -(AY18-Uzman_D!$J$14), AY18-Uzman_D!$J$14)*0.1
    ) +
    IF(ROUND((IF(BA18-Uzman_D!$L$14&lt;0, -(BA18-Uzman_D!$L$14), BA18-Uzman_D!$L$14)*2),0)/2 = IF(BA18-Uzman_D!$L$14&lt;0, -(BA18-Uzman_D!$L$14), BA18-Uzman_D!$L$14),
    (ROUND((IF(BA18-Uzman_D!$L$14&lt;0, -(BA18-Uzman_D!$L$14), BA18-Uzman_D!$L$14)*2),0)/1 * 0.1), 0) +
    IF(BB18-Uzman_D!$M$14&lt;0, -(BB18-Uzman_D!$M$14), BB18-Uzman_D!$M$14)*1
)</f>
        <v>-0.20000000000000018</v>
      </c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2"/>
      <c r="BO18" s="72"/>
      <c r="BP18" s="73">
        <f>1 - (
    SUM(
        IF(BD18-Uzman_D!$B$15&lt;0, -(BD18-Uzman_D!$B$15), BD18-Uzman_D!$B$15)*0.1 +
        IF(BE18-Uzman_D!$C$15&lt;0, -(BE18-Uzman_D!$C$15), BE18-Uzman_D!$C$15)*0.1 +
        IF(BF18-Uzman_D!$D$15&lt;0, -(BF18-Uzman_D!$D$15), BF18-Uzman_D!$D$15)*0.1 +
        IF(BG18-Uzman_D!$E$15&lt;0, -(BG18-Uzman_D!$E$15), BG18-Uzman_D!$E$15)*0.1 +
        IF(BH18-Uzman_D!$F$15&lt;0, -(BH18-Uzman_D!$F$15), BH18-Uzman_D!$F$15)*0.1 +
        IF(BI18-Uzman_D!$G$15&lt;0, -(BI18-Uzman_D!$G$15), BI18-Uzman_D!$G$15)*0.1 +
        IF(BJ18-Uzman_D!$H$15&lt;0, -(BJ18-Uzman_D!$H$15), BJ18-Uzman_D!$H$15)*0.1 +
        IF(BK18-Uzman_D!$I$15&lt;0, -(BK18-Uzman_D!$I$15), BK18-Uzman_D!$I$15)*0.1 +
        IF(BL18-Uzman_D!$J$15&lt;0, -(BL18-Uzman_D!$J$15), BL18-Uzman_D!$J$15)*0.1
    ) +
    IF(ROUND((IF(BN18-Uzman_D!$L$15&lt;0, -(BN18-Uzman_D!$L$15), BN18-Uzman_D!$L$15)*2),0)/2 = IF(BN18-Uzman_D!$L$15&lt;0, -(BN18-Uzman_D!$L$15), BN18-Uzman_D!$L$15),
    (ROUND((IF(BN18-Uzman_D!$L$15&lt;0, -(BN18-Uzman_D!$L$15), BN18-Uzman_D!$L$15)*2),0)/1 * 0.1), 0) +
    IF(BO18-Uzman_D!$M$15&lt;0, -(BO18-Uzman_D!$M$15), BO18-Uzman_D!$M$15)*1
)</f>
        <v>-0.60000000000000009</v>
      </c>
      <c r="BQ18" s="74">
        <f t="shared" si="0"/>
        <v>-0.32000000000000017</v>
      </c>
    </row>
    <row r="19" spans="1:69" ht="15" customHeight="1" x14ac:dyDescent="0.2">
      <c r="A19" s="57">
        <v>16</v>
      </c>
      <c r="B19" s="29">
        <f>Hakemler!B19</f>
        <v>0</v>
      </c>
      <c r="C19" s="29">
        <f>Hakemler!C19</f>
        <v>0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2"/>
      <c r="O19" s="72"/>
      <c r="P19" s="73">
        <f>1 - (
    SUM(
        IF(D19-Uzman_D!$B$11&lt;0, -(D19-Uzman_D!$B$11), D19-Uzman_D!$B$11)*0.1 +
        IF(E19-Uzman_D!$C$11&lt;0, -(E19-Uzman_D!$C$11), E19-Uzman_D!$C$11)*0.1 +
        IF(F19-Uzman_D!$D$11&lt;0, -(F19-Uzman_D!$D$11), F19-Uzman_D!$D$11)*0.1 +
        IF(G19-Uzman_D!$E$11&lt;0, -(G19-Uzman_D!$E$11), G19-Uzman_D!$E$11)*0.1 +
        IF(H19-Uzman_D!$F$11&lt;0, -(H19-Uzman_D!$F$11), H19-Uzman_D!$F$11)*0.1 +
        IF(I19-Uzman_D!$G$11&lt;0, -(I19-Uzman_D!$G$11), I19-Uzman_D!$G$11)*0.1 +
        IF(J19-Uzman_D!$H$11&lt;0, -(J19-Uzman_D!$H$11), J19-Uzman_D!$H$11)*0.1 +
        IF(K19-Uzman_D!$I$11&lt;0, -(K19-Uzman_D!$I$11), K19-Uzman_D!$I$11)*0.1 +
        IF(L19-Uzman_D!$J$11&lt;0, -(L19-Uzman_D!$J$11), L19-Uzman_D!$J$11)*0.1
    ) +
    IF(ROUND((IF(N19-Uzman_D!$L$11&lt;0, -(N19-Uzman_D!$L$11), N19-Uzman_D!$L$11)*2),0)/2 = IF(N19-Uzman_D!$L$11&lt;0, -(N19-Uzman_D!$L$11), N19-Uzman_D!$L$11),
    (ROUND((IF(N19-Uzman_D!$L$11&lt;0, -(N19-Uzman_D!$L$11), N19-Uzman_D!$L$11)*2),0)/1 * 0.1), 0) +
    IF(O19-Uzman_D!$M$11&lt;0, -(O19-Uzman_D!$M$11), O19-Uzman_D!$M$11)*1
)</f>
        <v>-0.30000000000000027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  <c r="AB19" s="72"/>
      <c r="AC19" s="73">
        <f>1 - (
    SUM(
        IF(Q19-Uzman_D!$B$12&lt;0, -(Q19-Uzman_D!$B$12), Q19-Uzman_D!$B$12)*0.1 +
        IF(R19-Uzman_D!$C$12&lt;0, -(R19-Uzman_D!$C$12), R19-Uzman_D!$C$12)*0.1 +
        IF(S19-Uzman_D!$D$12&lt;0, -(S19-Uzman_D!$D$12), S19-Uzman_D!$D$12)*0.1 +
        IF(T19-Uzman_D!$E$12&lt;0, -(T19-Uzman_D!$E$12), T19-Uzman_D!$E$12)*0.1 +
        IF(U19-Uzman_D!$F$12&lt;0, -(U19-Uzman_D!$F$12), U19-Uzman_D!$F$12)*0.1 +
        IF(V19-Uzman_D!$G$12&lt;0, -(V19-Uzman_D!$G$12), V19-Uzman_D!$G$12)*0.1 +
        IF(W19-Uzman_D!$H$12&lt;0, -(W19-Uzman_D!$H$12), W19-Uzman_D!$H$12)*0.1 +
        IF(X19-Uzman_D!$I$12&lt;0, -(X19-Uzman_D!$I$12), X19-Uzman_D!$I$12)*0.1 +
        IF(Y19-Uzman_D!$J$12&lt;0, -(Y19-Uzman_D!$J$12), Y19-Uzman_D!$J$12)*0.1
    ) +
    IF(ROUND((IF(AA19-Uzman_D!$L$12&lt;0, -(AA19-Uzman_D!$L$12), AA19-Uzman_D!$L$12)*2),0)/2 = IF(AA19-Uzman_D!$L$12&lt;0, -(AA19-Uzman_D!$L$12), AA19-Uzman_D!$L$12),
    (ROUND((IF(AA19-Uzman_D!$L$12&lt;0, -(AA19-Uzman_D!$L$12), AA19-Uzman_D!$L$12)*2),0)/1 * 0.1), 0) +
    IF(AB19-Uzman_D!$M$12&lt;0, -(AB19-Uzman_D!$M$12), AB19-Uzman_D!$M$12)*1
)</f>
        <v>-0.20000000000000018</v>
      </c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2"/>
      <c r="AO19" s="72"/>
      <c r="AP19" s="73">
        <f>1 - (
    SUM(
        IF(AD19-Uzman_D!$B$13&lt;0, -(AD19-Uzman_D!$B$13), AD19-Uzman_D!$B$13)*0.1 +
        IF(AE19-Uzman_D!$C$13&lt;0, -(AE19-Uzman_D!$C$13), AE19-Uzman_D!$C$13)*0.1 +
        IF(AF19-Uzman_D!$D$13&lt;0, -(AF19-Uzman_D!$D$13), AF19-Uzman_D!$D$13)*0.1 +
        IF(AG19-Uzman_D!$E$13&lt;0, -(AG19-Uzman_D!$E$13), AG19-Uzman_D!$E$13)*0.1 +
        IF(AH19-Uzman_D!$F$13&lt;0, -(AH19-Uzman_D!$F$13), AH19-Uzman_D!$F$13)*0.1 +
        IF(AI19-Uzman_D!$G$13&lt;0, -(AI19-Uzman_D!$G$13), AI19-Uzman_D!$G$13)*0.1 +
        IF(AJ19-Uzman_D!$H$13&lt;0, -(AJ19-Uzman_D!$H$13), AJ19-Uzman_D!$H$13)*0.1 +
        IF(AK19-Uzman_D!$I$13&lt;0, -(AK19-Uzman_D!$I$13), AK19-Uzman_D!$I$13)*0.1 +
        IF(AL19-Uzman_D!$J$13&lt;0, -(AL19-Uzman_D!$J$13), AL19-Uzman_D!$J$13)*0.1
    ) +
    IF(ROUND((IF(AN19-Uzman_D!$L$13&lt;0, -(AN19-Uzman_D!$L$13), AN19-Uzman_D!$L$13)*2),0)/2 = IF(AN19-Uzman_D!$L$13&lt;0, -(AN19-Uzman_D!$L$13), AN19-Uzman_D!$L$13),
    (ROUND((IF(AN19-Uzman_D!$L$13&lt;0, -(AN19-Uzman_D!$L$13), AN19-Uzman_D!$L$13)*2),0)/1 * 0.1), 0) +
    IF(AO19-Uzman_D!$M$13&lt;0, -(AO19-Uzman_D!$M$13), AO19-Uzman_D!$M$13)*1
)</f>
        <v>-0.30000000000000004</v>
      </c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2"/>
      <c r="BB19" s="72"/>
      <c r="BC19" s="73">
        <f>1 - (
    SUM(
        IF(AQ19-Uzman_D!$B$14&lt;0, -(AQ19-Uzman_D!$B$14), AQ19-Uzman_D!$B$14)*0.1 +
        IF(AR19-Uzman_D!$C$14&lt;0, -(AR19-Uzman_D!$C$14), AR19-Uzman_D!$C$14)*0.1 +
        IF(AS19-Uzman_D!$D$14&lt;0, -(AS19-Uzman_D!$D$14), AS19-Uzman_D!$D$14)*0.1 +
        IF(AT19-Uzman_D!$E$14&lt;0, -(AT19-Uzman_D!$E$14), AT19-Uzman_D!$E$14)*0.1 +
        IF(AU19-Uzman_D!$F$14&lt;0, -(AU19-Uzman_D!$F$14), AU19-Uzman_D!$F$14)*0.1 +
        IF(AV19-Uzman_D!$G$14&lt;0, -(AV19-Uzman_D!$G$14), AV19-Uzman_D!$G$14)*0.1 +
        IF(AW19-Uzman_D!$H$14&lt;0, -(AW19-Uzman_D!$H$14), AW19-Uzman_D!$H$14)*0.1 +
        IF(AX19-Uzman_D!$I$14&lt;0, -(AX19-Uzman_D!$I$14), AX19-Uzman_D!$I$14)*0.1 +
        IF(AY19-Uzman_D!$J$14&lt;0, -(AY19-Uzman_D!$J$14), AY19-Uzman_D!$J$14)*0.1
    ) +
    IF(ROUND((IF(BA19-Uzman_D!$L$14&lt;0, -(BA19-Uzman_D!$L$14), BA19-Uzman_D!$L$14)*2),0)/2 = IF(BA19-Uzman_D!$L$14&lt;0, -(BA19-Uzman_D!$L$14), BA19-Uzman_D!$L$14),
    (ROUND((IF(BA19-Uzman_D!$L$14&lt;0, -(BA19-Uzman_D!$L$14), BA19-Uzman_D!$L$14)*2),0)/1 * 0.1), 0) +
    IF(BB19-Uzman_D!$M$14&lt;0, -(BB19-Uzman_D!$M$14), BB19-Uzman_D!$M$14)*1
)</f>
        <v>-0.20000000000000018</v>
      </c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2"/>
      <c r="BO19" s="72"/>
      <c r="BP19" s="73">
        <f>1 - (
    SUM(
        IF(BD19-Uzman_D!$B$15&lt;0, -(BD19-Uzman_D!$B$15), BD19-Uzman_D!$B$15)*0.1 +
        IF(BE19-Uzman_D!$C$15&lt;0, -(BE19-Uzman_D!$C$15), BE19-Uzman_D!$C$15)*0.1 +
        IF(BF19-Uzman_D!$D$15&lt;0, -(BF19-Uzman_D!$D$15), BF19-Uzman_D!$D$15)*0.1 +
        IF(BG19-Uzman_D!$E$15&lt;0, -(BG19-Uzman_D!$E$15), BG19-Uzman_D!$E$15)*0.1 +
        IF(BH19-Uzman_D!$F$15&lt;0, -(BH19-Uzman_D!$F$15), BH19-Uzman_D!$F$15)*0.1 +
        IF(BI19-Uzman_D!$G$15&lt;0, -(BI19-Uzman_D!$G$15), BI19-Uzman_D!$G$15)*0.1 +
        IF(BJ19-Uzman_D!$H$15&lt;0, -(BJ19-Uzman_D!$H$15), BJ19-Uzman_D!$H$15)*0.1 +
        IF(BK19-Uzman_D!$I$15&lt;0, -(BK19-Uzman_D!$I$15), BK19-Uzman_D!$I$15)*0.1 +
        IF(BL19-Uzman_D!$J$15&lt;0, -(BL19-Uzman_D!$J$15), BL19-Uzman_D!$J$15)*0.1
    ) +
    IF(ROUND((IF(BN19-Uzman_D!$L$15&lt;0, -(BN19-Uzman_D!$L$15), BN19-Uzman_D!$L$15)*2),0)/2 = IF(BN19-Uzman_D!$L$15&lt;0, -(BN19-Uzman_D!$L$15), BN19-Uzman_D!$L$15),
    (ROUND((IF(BN19-Uzman_D!$L$15&lt;0, -(BN19-Uzman_D!$L$15), BN19-Uzman_D!$L$15)*2),0)/1 * 0.1), 0) +
    IF(BO19-Uzman_D!$M$15&lt;0, -(BO19-Uzman_D!$M$15), BO19-Uzman_D!$M$15)*1
)</f>
        <v>-0.60000000000000009</v>
      </c>
      <c r="BQ19" s="74">
        <f t="shared" si="0"/>
        <v>-0.32000000000000017</v>
      </c>
    </row>
    <row r="20" spans="1:69" ht="15" customHeight="1" x14ac:dyDescent="0.2">
      <c r="A20" s="57">
        <v>17</v>
      </c>
      <c r="B20" s="29">
        <f>Hakemler!B20</f>
        <v>0</v>
      </c>
      <c r="C20" s="29">
        <f>Hakemler!C20</f>
        <v>0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2"/>
      <c r="O20" s="72"/>
      <c r="P20" s="73">
        <f>1 - (
    SUM(
        IF(D20-Uzman_D!$B$11&lt;0, -(D20-Uzman_D!$B$11), D20-Uzman_D!$B$11)*0.1 +
        IF(E20-Uzman_D!$C$11&lt;0, -(E20-Uzman_D!$C$11), E20-Uzman_D!$C$11)*0.1 +
        IF(F20-Uzman_D!$D$11&lt;0, -(F20-Uzman_D!$D$11), F20-Uzman_D!$D$11)*0.1 +
        IF(G20-Uzman_D!$E$11&lt;0, -(G20-Uzman_D!$E$11), G20-Uzman_D!$E$11)*0.1 +
        IF(H20-Uzman_D!$F$11&lt;0, -(H20-Uzman_D!$F$11), H20-Uzman_D!$F$11)*0.1 +
        IF(I20-Uzman_D!$G$11&lt;0, -(I20-Uzman_D!$G$11), I20-Uzman_D!$G$11)*0.1 +
        IF(J20-Uzman_D!$H$11&lt;0, -(J20-Uzman_D!$H$11), J20-Uzman_D!$H$11)*0.1 +
        IF(K20-Uzman_D!$I$11&lt;0, -(K20-Uzman_D!$I$11), K20-Uzman_D!$I$11)*0.1 +
        IF(L20-Uzman_D!$J$11&lt;0, -(L20-Uzman_D!$J$11), L20-Uzman_D!$J$11)*0.1
    ) +
    IF(ROUND((IF(N20-Uzman_D!$L$11&lt;0, -(N20-Uzman_D!$L$11), N20-Uzman_D!$L$11)*2),0)/2 = IF(N20-Uzman_D!$L$11&lt;0, -(N20-Uzman_D!$L$11), N20-Uzman_D!$L$11),
    (ROUND((IF(N20-Uzman_D!$L$11&lt;0, -(N20-Uzman_D!$L$11), N20-Uzman_D!$L$11)*2),0)/1 * 0.1), 0) +
    IF(O20-Uzman_D!$M$11&lt;0, -(O20-Uzman_D!$M$11), O20-Uzman_D!$M$11)*1
)</f>
        <v>-0.30000000000000027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  <c r="AB20" s="72"/>
      <c r="AC20" s="73">
        <f>1 - (
    SUM(
        IF(Q20-Uzman_D!$B$12&lt;0, -(Q20-Uzman_D!$B$12), Q20-Uzman_D!$B$12)*0.1 +
        IF(R20-Uzman_D!$C$12&lt;0, -(R20-Uzman_D!$C$12), R20-Uzman_D!$C$12)*0.1 +
        IF(S20-Uzman_D!$D$12&lt;0, -(S20-Uzman_D!$D$12), S20-Uzman_D!$D$12)*0.1 +
        IF(T20-Uzman_D!$E$12&lt;0, -(T20-Uzman_D!$E$12), T20-Uzman_D!$E$12)*0.1 +
        IF(U20-Uzman_D!$F$12&lt;0, -(U20-Uzman_D!$F$12), U20-Uzman_D!$F$12)*0.1 +
        IF(V20-Uzman_D!$G$12&lt;0, -(V20-Uzman_D!$G$12), V20-Uzman_D!$G$12)*0.1 +
        IF(W20-Uzman_D!$H$12&lt;0, -(W20-Uzman_D!$H$12), W20-Uzman_D!$H$12)*0.1 +
        IF(X20-Uzman_D!$I$12&lt;0, -(X20-Uzman_D!$I$12), X20-Uzman_D!$I$12)*0.1 +
        IF(Y20-Uzman_D!$J$12&lt;0, -(Y20-Uzman_D!$J$12), Y20-Uzman_D!$J$12)*0.1
    ) +
    IF(ROUND((IF(AA20-Uzman_D!$L$12&lt;0, -(AA20-Uzman_D!$L$12), AA20-Uzman_D!$L$12)*2),0)/2 = IF(AA20-Uzman_D!$L$12&lt;0, -(AA20-Uzman_D!$L$12), AA20-Uzman_D!$L$12),
    (ROUND((IF(AA20-Uzman_D!$L$12&lt;0, -(AA20-Uzman_D!$L$12), AA20-Uzman_D!$L$12)*2),0)/1 * 0.1), 0) +
    IF(AB20-Uzman_D!$M$12&lt;0, -(AB20-Uzman_D!$M$12), AB20-Uzman_D!$M$12)*1
)</f>
        <v>-0.20000000000000018</v>
      </c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2"/>
      <c r="AO20" s="72"/>
      <c r="AP20" s="73">
        <f>1 - (
    SUM(
        IF(AD20-Uzman_D!$B$13&lt;0, -(AD20-Uzman_D!$B$13), AD20-Uzman_D!$B$13)*0.1 +
        IF(AE20-Uzman_D!$C$13&lt;0, -(AE20-Uzman_D!$C$13), AE20-Uzman_D!$C$13)*0.1 +
        IF(AF20-Uzman_D!$D$13&lt;0, -(AF20-Uzman_D!$D$13), AF20-Uzman_D!$D$13)*0.1 +
        IF(AG20-Uzman_D!$E$13&lt;0, -(AG20-Uzman_D!$E$13), AG20-Uzman_D!$E$13)*0.1 +
        IF(AH20-Uzman_D!$F$13&lt;0, -(AH20-Uzman_D!$F$13), AH20-Uzman_D!$F$13)*0.1 +
        IF(AI20-Uzman_D!$G$13&lt;0, -(AI20-Uzman_D!$G$13), AI20-Uzman_D!$G$13)*0.1 +
        IF(AJ20-Uzman_D!$H$13&lt;0, -(AJ20-Uzman_D!$H$13), AJ20-Uzman_D!$H$13)*0.1 +
        IF(AK20-Uzman_D!$I$13&lt;0, -(AK20-Uzman_D!$I$13), AK20-Uzman_D!$I$13)*0.1 +
        IF(AL20-Uzman_D!$J$13&lt;0, -(AL20-Uzman_D!$J$13), AL20-Uzman_D!$J$13)*0.1
    ) +
    IF(ROUND((IF(AN20-Uzman_D!$L$13&lt;0, -(AN20-Uzman_D!$L$13), AN20-Uzman_D!$L$13)*2),0)/2 = IF(AN20-Uzman_D!$L$13&lt;0, -(AN20-Uzman_D!$L$13), AN20-Uzman_D!$L$13),
    (ROUND((IF(AN20-Uzman_D!$L$13&lt;0, -(AN20-Uzman_D!$L$13), AN20-Uzman_D!$L$13)*2),0)/1 * 0.1), 0) +
    IF(AO20-Uzman_D!$M$13&lt;0, -(AO20-Uzman_D!$M$13), AO20-Uzman_D!$M$13)*1
)</f>
        <v>-0.30000000000000004</v>
      </c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2"/>
      <c r="BB20" s="72"/>
      <c r="BC20" s="73">
        <f>1 - (
    SUM(
        IF(AQ20-Uzman_D!$B$14&lt;0, -(AQ20-Uzman_D!$B$14), AQ20-Uzman_D!$B$14)*0.1 +
        IF(AR20-Uzman_D!$C$14&lt;0, -(AR20-Uzman_D!$C$14), AR20-Uzman_D!$C$14)*0.1 +
        IF(AS20-Uzman_D!$D$14&lt;0, -(AS20-Uzman_D!$D$14), AS20-Uzman_D!$D$14)*0.1 +
        IF(AT20-Uzman_D!$E$14&lt;0, -(AT20-Uzman_D!$E$14), AT20-Uzman_D!$E$14)*0.1 +
        IF(AU20-Uzman_D!$F$14&lt;0, -(AU20-Uzman_D!$F$14), AU20-Uzman_D!$F$14)*0.1 +
        IF(AV20-Uzman_D!$G$14&lt;0, -(AV20-Uzman_D!$G$14), AV20-Uzman_D!$G$14)*0.1 +
        IF(AW20-Uzman_D!$H$14&lt;0, -(AW20-Uzman_D!$H$14), AW20-Uzman_D!$H$14)*0.1 +
        IF(AX20-Uzman_D!$I$14&lt;0, -(AX20-Uzman_D!$I$14), AX20-Uzman_D!$I$14)*0.1 +
        IF(AY20-Uzman_D!$J$14&lt;0, -(AY20-Uzman_D!$J$14), AY20-Uzman_D!$J$14)*0.1
    ) +
    IF(ROUND((IF(BA20-Uzman_D!$L$14&lt;0, -(BA20-Uzman_D!$L$14), BA20-Uzman_D!$L$14)*2),0)/2 = IF(BA20-Uzman_D!$L$14&lt;0, -(BA20-Uzman_D!$L$14), BA20-Uzman_D!$L$14),
    (ROUND((IF(BA20-Uzman_D!$L$14&lt;0, -(BA20-Uzman_D!$L$14), BA20-Uzman_D!$L$14)*2),0)/1 * 0.1), 0) +
    IF(BB20-Uzman_D!$M$14&lt;0, -(BB20-Uzman_D!$M$14), BB20-Uzman_D!$M$14)*1
)</f>
        <v>-0.20000000000000018</v>
      </c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2"/>
      <c r="BO20" s="72"/>
      <c r="BP20" s="73">
        <f>1 - (
    SUM(
        IF(BD20-Uzman_D!$B$15&lt;0, -(BD20-Uzman_D!$B$15), BD20-Uzman_D!$B$15)*0.1 +
        IF(BE20-Uzman_D!$C$15&lt;0, -(BE20-Uzman_D!$C$15), BE20-Uzman_D!$C$15)*0.1 +
        IF(BF20-Uzman_D!$D$15&lt;0, -(BF20-Uzman_D!$D$15), BF20-Uzman_D!$D$15)*0.1 +
        IF(BG20-Uzman_D!$E$15&lt;0, -(BG20-Uzman_D!$E$15), BG20-Uzman_D!$E$15)*0.1 +
        IF(BH20-Uzman_D!$F$15&lt;0, -(BH20-Uzman_D!$F$15), BH20-Uzman_D!$F$15)*0.1 +
        IF(BI20-Uzman_D!$G$15&lt;0, -(BI20-Uzman_D!$G$15), BI20-Uzman_D!$G$15)*0.1 +
        IF(BJ20-Uzman_D!$H$15&lt;0, -(BJ20-Uzman_D!$H$15), BJ20-Uzman_D!$H$15)*0.1 +
        IF(BK20-Uzman_D!$I$15&lt;0, -(BK20-Uzman_D!$I$15), BK20-Uzman_D!$I$15)*0.1 +
        IF(BL20-Uzman_D!$J$15&lt;0, -(BL20-Uzman_D!$J$15), BL20-Uzman_D!$J$15)*0.1
    ) +
    IF(ROUND((IF(BN20-Uzman_D!$L$15&lt;0, -(BN20-Uzman_D!$L$15), BN20-Uzman_D!$L$15)*2),0)/2 = IF(BN20-Uzman_D!$L$15&lt;0, -(BN20-Uzman_D!$L$15), BN20-Uzman_D!$L$15),
    (ROUND((IF(BN20-Uzman_D!$L$15&lt;0, -(BN20-Uzman_D!$L$15), BN20-Uzman_D!$L$15)*2),0)/1 * 0.1), 0) +
    IF(BO20-Uzman_D!$M$15&lt;0, -(BO20-Uzman_D!$M$15), BO20-Uzman_D!$M$15)*1
)</f>
        <v>-0.60000000000000009</v>
      </c>
      <c r="BQ20" s="74">
        <f t="shared" si="0"/>
        <v>-0.32000000000000017</v>
      </c>
    </row>
    <row r="21" spans="1:69" ht="15" customHeight="1" x14ac:dyDescent="0.2">
      <c r="A21" s="57">
        <v>18</v>
      </c>
      <c r="B21" s="29">
        <f>Hakemler!B21</f>
        <v>0</v>
      </c>
      <c r="C21" s="29">
        <f>Hakemler!C21</f>
        <v>0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2"/>
      <c r="O21" s="72"/>
      <c r="P21" s="73">
        <f>1 - (
    SUM(
        IF(D21-Uzman_D!$B$11&lt;0, -(D21-Uzman_D!$B$11), D21-Uzman_D!$B$11)*0.1 +
        IF(E21-Uzman_D!$C$11&lt;0, -(E21-Uzman_D!$C$11), E21-Uzman_D!$C$11)*0.1 +
        IF(F21-Uzman_D!$D$11&lt;0, -(F21-Uzman_D!$D$11), F21-Uzman_D!$D$11)*0.1 +
        IF(G21-Uzman_D!$E$11&lt;0, -(G21-Uzman_D!$E$11), G21-Uzman_D!$E$11)*0.1 +
        IF(H21-Uzman_D!$F$11&lt;0, -(H21-Uzman_D!$F$11), H21-Uzman_D!$F$11)*0.1 +
        IF(I21-Uzman_D!$G$11&lt;0, -(I21-Uzman_D!$G$11), I21-Uzman_D!$G$11)*0.1 +
        IF(J21-Uzman_D!$H$11&lt;0, -(J21-Uzman_D!$H$11), J21-Uzman_D!$H$11)*0.1 +
        IF(K21-Uzman_D!$I$11&lt;0, -(K21-Uzman_D!$I$11), K21-Uzman_D!$I$11)*0.1 +
        IF(L21-Uzman_D!$J$11&lt;0, -(L21-Uzman_D!$J$11), L21-Uzman_D!$J$11)*0.1
    ) +
    IF(ROUND((IF(N21-Uzman_D!$L$11&lt;0, -(N21-Uzman_D!$L$11), N21-Uzman_D!$L$11)*2),0)/2 = IF(N21-Uzman_D!$L$11&lt;0, -(N21-Uzman_D!$L$11), N21-Uzman_D!$L$11),
    (ROUND((IF(N21-Uzman_D!$L$11&lt;0, -(N21-Uzman_D!$L$11), N21-Uzman_D!$L$11)*2),0)/1 * 0.1), 0) +
    IF(O21-Uzman_D!$M$11&lt;0, -(O21-Uzman_D!$M$11), O21-Uzman_D!$M$11)*1
)</f>
        <v>-0.30000000000000027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2"/>
      <c r="AB21" s="72"/>
      <c r="AC21" s="73">
        <f>1 - (
    SUM(
        IF(Q21-Uzman_D!$B$12&lt;0, -(Q21-Uzman_D!$B$12), Q21-Uzman_D!$B$12)*0.1 +
        IF(R21-Uzman_D!$C$12&lt;0, -(R21-Uzman_D!$C$12), R21-Uzman_D!$C$12)*0.1 +
        IF(S21-Uzman_D!$D$12&lt;0, -(S21-Uzman_D!$D$12), S21-Uzman_D!$D$12)*0.1 +
        IF(T21-Uzman_D!$E$12&lt;0, -(T21-Uzman_D!$E$12), T21-Uzman_D!$E$12)*0.1 +
        IF(U21-Uzman_D!$F$12&lt;0, -(U21-Uzman_D!$F$12), U21-Uzman_D!$F$12)*0.1 +
        IF(V21-Uzman_D!$G$12&lt;0, -(V21-Uzman_D!$G$12), V21-Uzman_D!$G$12)*0.1 +
        IF(W21-Uzman_D!$H$12&lt;0, -(W21-Uzman_D!$H$12), W21-Uzman_D!$H$12)*0.1 +
        IF(X21-Uzman_D!$I$12&lt;0, -(X21-Uzman_D!$I$12), X21-Uzman_D!$I$12)*0.1 +
        IF(Y21-Uzman_D!$J$12&lt;0, -(Y21-Uzman_D!$J$12), Y21-Uzman_D!$J$12)*0.1
    ) +
    IF(ROUND((IF(AA21-Uzman_D!$L$12&lt;0, -(AA21-Uzman_D!$L$12), AA21-Uzman_D!$L$12)*2),0)/2 = IF(AA21-Uzman_D!$L$12&lt;0, -(AA21-Uzman_D!$L$12), AA21-Uzman_D!$L$12),
    (ROUND((IF(AA21-Uzman_D!$L$12&lt;0, -(AA21-Uzman_D!$L$12), AA21-Uzman_D!$L$12)*2),0)/1 * 0.1), 0) +
    IF(AB21-Uzman_D!$M$12&lt;0, -(AB21-Uzman_D!$M$12), AB21-Uzman_D!$M$12)*1
)</f>
        <v>-0.20000000000000018</v>
      </c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2"/>
      <c r="AO21" s="72"/>
      <c r="AP21" s="73">
        <f>1 - (
    SUM(
        IF(AD21-Uzman_D!$B$13&lt;0, -(AD21-Uzman_D!$B$13), AD21-Uzman_D!$B$13)*0.1 +
        IF(AE21-Uzman_D!$C$13&lt;0, -(AE21-Uzman_D!$C$13), AE21-Uzman_D!$C$13)*0.1 +
        IF(AF21-Uzman_D!$D$13&lt;0, -(AF21-Uzman_D!$D$13), AF21-Uzman_D!$D$13)*0.1 +
        IF(AG21-Uzman_D!$E$13&lt;0, -(AG21-Uzman_D!$E$13), AG21-Uzman_D!$E$13)*0.1 +
        IF(AH21-Uzman_D!$F$13&lt;0, -(AH21-Uzman_D!$F$13), AH21-Uzman_D!$F$13)*0.1 +
        IF(AI21-Uzman_D!$G$13&lt;0, -(AI21-Uzman_D!$G$13), AI21-Uzman_D!$G$13)*0.1 +
        IF(AJ21-Uzman_D!$H$13&lt;0, -(AJ21-Uzman_D!$H$13), AJ21-Uzman_D!$H$13)*0.1 +
        IF(AK21-Uzman_D!$I$13&lt;0, -(AK21-Uzman_D!$I$13), AK21-Uzman_D!$I$13)*0.1 +
        IF(AL21-Uzman_D!$J$13&lt;0, -(AL21-Uzman_D!$J$13), AL21-Uzman_D!$J$13)*0.1
    ) +
    IF(ROUND((IF(AN21-Uzman_D!$L$13&lt;0, -(AN21-Uzman_D!$L$13), AN21-Uzman_D!$L$13)*2),0)/2 = IF(AN21-Uzman_D!$L$13&lt;0, -(AN21-Uzman_D!$L$13), AN21-Uzman_D!$L$13),
    (ROUND((IF(AN21-Uzman_D!$L$13&lt;0, -(AN21-Uzman_D!$L$13), AN21-Uzman_D!$L$13)*2),0)/1 * 0.1), 0) +
    IF(AO21-Uzman_D!$M$13&lt;0, -(AO21-Uzman_D!$M$13), AO21-Uzman_D!$M$13)*1
)</f>
        <v>-0.30000000000000004</v>
      </c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2"/>
      <c r="BB21" s="72"/>
      <c r="BC21" s="73">
        <f>1 - (
    SUM(
        IF(AQ21-Uzman_D!$B$14&lt;0, -(AQ21-Uzman_D!$B$14), AQ21-Uzman_D!$B$14)*0.1 +
        IF(AR21-Uzman_D!$C$14&lt;0, -(AR21-Uzman_D!$C$14), AR21-Uzman_D!$C$14)*0.1 +
        IF(AS21-Uzman_D!$D$14&lt;0, -(AS21-Uzman_D!$D$14), AS21-Uzman_D!$D$14)*0.1 +
        IF(AT21-Uzman_D!$E$14&lt;0, -(AT21-Uzman_D!$E$14), AT21-Uzman_D!$E$14)*0.1 +
        IF(AU21-Uzman_D!$F$14&lt;0, -(AU21-Uzman_D!$F$14), AU21-Uzman_D!$F$14)*0.1 +
        IF(AV21-Uzman_D!$G$14&lt;0, -(AV21-Uzman_D!$G$14), AV21-Uzman_D!$G$14)*0.1 +
        IF(AW21-Uzman_D!$H$14&lt;0, -(AW21-Uzman_D!$H$14), AW21-Uzman_D!$H$14)*0.1 +
        IF(AX21-Uzman_D!$I$14&lt;0, -(AX21-Uzman_D!$I$14), AX21-Uzman_D!$I$14)*0.1 +
        IF(AY21-Uzman_D!$J$14&lt;0, -(AY21-Uzman_D!$J$14), AY21-Uzman_D!$J$14)*0.1
    ) +
    IF(ROUND((IF(BA21-Uzman_D!$L$14&lt;0, -(BA21-Uzman_D!$L$14), BA21-Uzman_D!$L$14)*2),0)/2 = IF(BA21-Uzman_D!$L$14&lt;0, -(BA21-Uzman_D!$L$14), BA21-Uzman_D!$L$14),
    (ROUND((IF(BA21-Uzman_D!$L$14&lt;0, -(BA21-Uzman_D!$L$14), BA21-Uzman_D!$L$14)*2),0)/1 * 0.1), 0) +
    IF(BB21-Uzman_D!$M$14&lt;0, -(BB21-Uzman_D!$M$14), BB21-Uzman_D!$M$14)*1
)</f>
        <v>-0.20000000000000018</v>
      </c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2"/>
      <c r="BO21" s="72"/>
      <c r="BP21" s="73">
        <f>1 - (
    SUM(
        IF(BD21-Uzman_D!$B$15&lt;0, -(BD21-Uzman_D!$B$15), BD21-Uzman_D!$B$15)*0.1 +
        IF(BE21-Uzman_D!$C$15&lt;0, -(BE21-Uzman_D!$C$15), BE21-Uzman_D!$C$15)*0.1 +
        IF(BF21-Uzman_D!$D$15&lt;0, -(BF21-Uzman_D!$D$15), BF21-Uzman_D!$D$15)*0.1 +
        IF(BG21-Uzman_D!$E$15&lt;0, -(BG21-Uzman_D!$E$15), BG21-Uzman_D!$E$15)*0.1 +
        IF(BH21-Uzman_D!$F$15&lt;0, -(BH21-Uzman_D!$F$15), BH21-Uzman_D!$F$15)*0.1 +
        IF(BI21-Uzman_D!$G$15&lt;0, -(BI21-Uzman_D!$G$15), BI21-Uzman_D!$G$15)*0.1 +
        IF(BJ21-Uzman_D!$H$15&lt;0, -(BJ21-Uzman_D!$H$15), BJ21-Uzman_D!$H$15)*0.1 +
        IF(BK21-Uzman_D!$I$15&lt;0, -(BK21-Uzman_D!$I$15), BK21-Uzman_D!$I$15)*0.1 +
        IF(BL21-Uzman_D!$J$15&lt;0, -(BL21-Uzman_D!$J$15), BL21-Uzman_D!$J$15)*0.1
    ) +
    IF(ROUND((IF(BN21-Uzman_D!$L$15&lt;0, -(BN21-Uzman_D!$L$15), BN21-Uzman_D!$L$15)*2),0)/2 = IF(BN21-Uzman_D!$L$15&lt;0, -(BN21-Uzman_D!$L$15), BN21-Uzman_D!$L$15),
    (ROUND((IF(BN21-Uzman_D!$L$15&lt;0, -(BN21-Uzman_D!$L$15), BN21-Uzman_D!$L$15)*2),0)/1 * 0.1), 0) +
    IF(BO21-Uzman_D!$M$15&lt;0, -(BO21-Uzman_D!$M$15), BO21-Uzman_D!$M$15)*1
)</f>
        <v>-0.60000000000000009</v>
      </c>
      <c r="BQ21" s="74">
        <f t="shared" si="0"/>
        <v>-0.32000000000000017</v>
      </c>
    </row>
    <row r="22" spans="1:69" ht="15" customHeight="1" x14ac:dyDescent="0.2">
      <c r="A22" s="57">
        <v>19</v>
      </c>
      <c r="B22" s="29">
        <f>Hakemler!B22</f>
        <v>0</v>
      </c>
      <c r="C22" s="29">
        <f>Hakemler!C22</f>
        <v>0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2"/>
      <c r="O22" s="72"/>
      <c r="P22" s="73">
        <f>1 - (
    SUM(
        IF(D22-Uzman_D!$B$11&lt;0, -(D22-Uzman_D!$B$11), D22-Uzman_D!$B$11)*0.1 +
        IF(E22-Uzman_D!$C$11&lt;0, -(E22-Uzman_D!$C$11), E22-Uzman_D!$C$11)*0.1 +
        IF(F22-Uzman_D!$D$11&lt;0, -(F22-Uzman_D!$D$11), F22-Uzman_D!$D$11)*0.1 +
        IF(G22-Uzman_D!$E$11&lt;0, -(G22-Uzman_D!$E$11), G22-Uzman_D!$E$11)*0.1 +
        IF(H22-Uzman_D!$F$11&lt;0, -(H22-Uzman_D!$F$11), H22-Uzman_D!$F$11)*0.1 +
        IF(I22-Uzman_D!$G$11&lt;0, -(I22-Uzman_D!$G$11), I22-Uzman_D!$G$11)*0.1 +
        IF(J22-Uzman_D!$H$11&lt;0, -(J22-Uzman_D!$H$11), J22-Uzman_D!$H$11)*0.1 +
        IF(K22-Uzman_D!$I$11&lt;0, -(K22-Uzman_D!$I$11), K22-Uzman_D!$I$11)*0.1 +
        IF(L22-Uzman_D!$J$11&lt;0, -(L22-Uzman_D!$J$11), L22-Uzman_D!$J$11)*0.1
    ) +
    IF(ROUND((IF(N22-Uzman_D!$L$11&lt;0, -(N22-Uzman_D!$L$11), N22-Uzman_D!$L$11)*2),0)/2 = IF(N22-Uzman_D!$L$11&lt;0, -(N22-Uzman_D!$L$11), N22-Uzman_D!$L$11),
    (ROUND((IF(N22-Uzman_D!$L$11&lt;0, -(N22-Uzman_D!$L$11), N22-Uzman_D!$L$11)*2),0)/1 * 0.1), 0) +
    IF(O22-Uzman_D!$M$11&lt;0, -(O22-Uzman_D!$M$11), O22-Uzman_D!$M$11)*1
)</f>
        <v>-0.30000000000000027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2"/>
      <c r="AB22" s="72"/>
      <c r="AC22" s="73">
        <f>1 - (
    SUM(
        IF(Q22-Uzman_D!$B$12&lt;0, -(Q22-Uzman_D!$B$12), Q22-Uzman_D!$B$12)*0.1 +
        IF(R22-Uzman_D!$C$12&lt;0, -(R22-Uzman_D!$C$12), R22-Uzman_D!$C$12)*0.1 +
        IF(S22-Uzman_D!$D$12&lt;0, -(S22-Uzman_D!$D$12), S22-Uzman_D!$D$12)*0.1 +
        IF(T22-Uzman_D!$E$12&lt;0, -(T22-Uzman_D!$E$12), T22-Uzman_D!$E$12)*0.1 +
        IF(U22-Uzman_D!$F$12&lt;0, -(U22-Uzman_D!$F$12), U22-Uzman_D!$F$12)*0.1 +
        IF(V22-Uzman_D!$G$12&lt;0, -(V22-Uzman_D!$G$12), V22-Uzman_D!$G$12)*0.1 +
        IF(W22-Uzman_D!$H$12&lt;0, -(W22-Uzman_D!$H$12), W22-Uzman_D!$H$12)*0.1 +
        IF(X22-Uzman_D!$I$12&lt;0, -(X22-Uzman_D!$I$12), X22-Uzman_D!$I$12)*0.1 +
        IF(Y22-Uzman_D!$J$12&lt;0, -(Y22-Uzman_D!$J$12), Y22-Uzman_D!$J$12)*0.1
    ) +
    IF(ROUND((IF(AA22-Uzman_D!$L$12&lt;0, -(AA22-Uzman_D!$L$12), AA22-Uzman_D!$L$12)*2),0)/2 = IF(AA22-Uzman_D!$L$12&lt;0, -(AA22-Uzman_D!$L$12), AA22-Uzman_D!$L$12),
    (ROUND((IF(AA22-Uzman_D!$L$12&lt;0, -(AA22-Uzman_D!$L$12), AA22-Uzman_D!$L$12)*2),0)/1 * 0.1), 0) +
    IF(AB22-Uzman_D!$M$12&lt;0, -(AB22-Uzman_D!$M$12), AB22-Uzman_D!$M$12)*1
)</f>
        <v>-0.20000000000000018</v>
      </c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2"/>
      <c r="AO22" s="72"/>
      <c r="AP22" s="73">
        <f>1 - (
    SUM(
        IF(AD22-Uzman_D!$B$13&lt;0, -(AD22-Uzman_D!$B$13), AD22-Uzman_D!$B$13)*0.1 +
        IF(AE22-Uzman_D!$C$13&lt;0, -(AE22-Uzman_D!$C$13), AE22-Uzman_D!$C$13)*0.1 +
        IF(AF22-Uzman_D!$D$13&lt;0, -(AF22-Uzman_D!$D$13), AF22-Uzman_D!$D$13)*0.1 +
        IF(AG22-Uzman_D!$E$13&lt;0, -(AG22-Uzman_D!$E$13), AG22-Uzman_D!$E$13)*0.1 +
        IF(AH22-Uzman_D!$F$13&lt;0, -(AH22-Uzman_D!$F$13), AH22-Uzman_D!$F$13)*0.1 +
        IF(AI22-Uzman_D!$G$13&lt;0, -(AI22-Uzman_D!$G$13), AI22-Uzman_D!$G$13)*0.1 +
        IF(AJ22-Uzman_D!$H$13&lt;0, -(AJ22-Uzman_D!$H$13), AJ22-Uzman_D!$H$13)*0.1 +
        IF(AK22-Uzman_D!$I$13&lt;0, -(AK22-Uzman_D!$I$13), AK22-Uzman_D!$I$13)*0.1 +
        IF(AL22-Uzman_D!$J$13&lt;0, -(AL22-Uzman_D!$J$13), AL22-Uzman_D!$J$13)*0.1
    ) +
    IF(ROUND((IF(AN22-Uzman_D!$L$13&lt;0, -(AN22-Uzman_D!$L$13), AN22-Uzman_D!$L$13)*2),0)/2 = IF(AN22-Uzman_D!$L$13&lt;0, -(AN22-Uzman_D!$L$13), AN22-Uzman_D!$L$13),
    (ROUND((IF(AN22-Uzman_D!$L$13&lt;0, -(AN22-Uzman_D!$L$13), AN22-Uzman_D!$L$13)*2),0)/1 * 0.1), 0) +
    IF(AO22-Uzman_D!$M$13&lt;0, -(AO22-Uzman_D!$M$13), AO22-Uzman_D!$M$13)*1
)</f>
        <v>-0.30000000000000004</v>
      </c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2"/>
      <c r="BB22" s="72"/>
      <c r="BC22" s="73">
        <f>1 - (
    SUM(
        IF(AQ22-Uzman_D!$B$14&lt;0, -(AQ22-Uzman_D!$B$14), AQ22-Uzman_D!$B$14)*0.1 +
        IF(AR22-Uzman_D!$C$14&lt;0, -(AR22-Uzman_D!$C$14), AR22-Uzman_D!$C$14)*0.1 +
        IF(AS22-Uzman_D!$D$14&lt;0, -(AS22-Uzman_D!$D$14), AS22-Uzman_D!$D$14)*0.1 +
        IF(AT22-Uzman_D!$E$14&lt;0, -(AT22-Uzman_D!$E$14), AT22-Uzman_D!$E$14)*0.1 +
        IF(AU22-Uzman_D!$F$14&lt;0, -(AU22-Uzman_D!$F$14), AU22-Uzman_D!$F$14)*0.1 +
        IF(AV22-Uzman_D!$G$14&lt;0, -(AV22-Uzman_D!$G$14), AV22-Uzman_D!$G$14)*0.1 +
        IF(AW22-Uzman_D!$H$14&lt;0, -(AW22-Uzman_D!$H$14), AW22-Uzman_D!$H$14)*0.1 +
        IF(AX22-Uzman_D!$I$14&lt;0, -(AX22-Uzman_D!$I$14), AX22-Uzman_D!$I$14)*0.1 +
        IF(AY22-Uzman_D!$J$14&lt;0, -(AY22-Uzman_D!$J$14), AY22-Uzman_D!$J$14)*0.1
    ) +
    IF(ROUND((IF(BA22-Uzman_D!$L$14&lt;0, -(BA22-Uzman_D!$L$14), BA22-Uzman_D!$L$14)*2),0)/2 = IF(BA22-Uzman_D!$L$14&lt;0, -(BA22-Uzman_D!$L$14), BA22-Uzman_D!$L$14),
    (ROUND((IF(BA22-Uzman_D!$L$14&lt;0, -(BA22-Uzman_D!$L$14), BA22-Uzman_D!$L$14)*2),0)/1 * 0.1), 0) +
    IF(BB22-Uzman_D!$M$14&lt;0, -(BB22-Uzman_D!$M$14), BB22-Uzman_D!$M$14)*1
)</f>
        <v>-0.20000000000000018</v>
      </c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2"/>
      <c r="BO22" s="72"/>
      <c r="BP22" s="73">
        <f>1 - (
    SUM(
        IF(BD22-Uzman_D!$B$15&lt;0, -(BD22-Uzman_D!$B$15), BD22-Uzman_D!$B$15)*0.1 +
        IF(BE22-Uzman_D!$C$15&lt;0, -(BE22-Uzman_D!$C$15), BE22-Uzman_D!$C$15)*0.1 +
        IF(BF22-Uzman_D!$D$15&lt;0, -(BF22-Uzman_D!$D$15), BF22-Uzman_D!$D$15)*0.1 +
        IF(BG22-Uzman_D!$E$15&lt;0, -(BG22-Uzman_D!$E$15), BG22-Uzman_D!$E$15)*0.1 +
        IF(BH22-Uzman_D!$F$15&lt;0, -(BH22-Uzman_D!$F$15), BH22-Uzman_D!$F$15)*0.1 +
        IF(BI22-Uzman_D!$G$15&lt;0, -(BI22-Uzman_D!$G$15), BI22-Uzman_D!$G$15)*0.1 +
        IF(BJ22-Uzman_D!$H$15&lt;0, -(BJ22-Uzman_D!$H$15), BJ22-Uzman_D!$H$15)*0.1 +
        IF(BK22-Uzman_D!$I$15&lt;0, -(BK22-Uzman_D!$I$15), BK22-Uzman_D!$I$15)*0.1 +
        IF(BL22-Uzman_D!$J$15&lt;0, -(BL22-Uzman_D!$J$15), BL22-Uzman_D!$J$15)*0.1
    ) +
    IF(ROUND((IF(BN22-Uzman_D!$L$15&lt;0, -(BN22-Uzman_D!$L$15), BN22-Uzman_D!$L$15)*2),0)/2 = IF(BN22-Uzman_D!$L$15&lt;0, -(BN22-Uzman_D!$L$15), BN22-Uzman_D!$L$15),
    (ROUND((IF(BN22-Uzman_D!$L$15&lt;0, -(BN22-Uzman_D!$L$15), BN22-Uzman_D!$L$15)*2),0)/1 * 0.1), 0) +
    IF(BO22-Uzman_D!$M$15&lt;0, -(BO22-Uzman_D!$M$15), BO22-Uzman_D!$M$15)*1
)</f>
        <v>-0.60000000000000009</v>
      </c>
      <c r="BQ22" s="74">
        <f t="shared" si="0"/>
        <v>-0.32000000000000017</v>
      </c>
    </row>
    <row r="23" spans="1:69" ht="15" customHeight="1" x14ac:dyDescent="0.2">
      <c r="A23" s="57">
        <v>20</v>
      </c>
      <c r="B23" s="29">
        <f>Hakemler!B23</f>
        <v>0</v>
      </c>
      <c r="C23" s="29">
        <f>Hakemler!C23</f>
        <v>0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2"/>
      <c r="O23" s="72"/>
      <c r="P23" s="73">
        <f>1 - (
    SUM(
        IF(D23-Uzman_D!$B$11&lt;0, -(D23-Uzman_D!$B$11), D23-Uzman_D!$B$11)*0.1 +
        IF(E23-Uzman_D!$C$11&lt;0, -(E23-Uzman_D!$C$11), E23-Uzman_D!$C$11)*0.1 +
        IF(F23-Uzman_D!$D$11&lt;0, -(F23-Uzman_D!$D$11), F23-Uzman_D!$D$11)*0.1 +
        IF(G23-Uzman_D!$E$11&lt;0, -(G23-Uzman_D!$E$11), G23-Uzman_D!$E$11)*0.1 +
        IF(H23-Uzman_D!$F$11&lt;0, -(H23-Uzman_D!$F$11), H23-Uzman_D!$F$11)*0.1 +
        IF(I23-Uzman_D!$G$11&lt;0, -(I23-Uzman_D!$G$11), I23-Uzman_D!$G$11)*0.1 +
        IF(J23-Uzman_D!$H$11&lt;0, -(J23-Uzman_D!$H$11), J23-Uzman_D!$H$11)*0.1 +
        IF(K23-Uzman_D!$I$11&lt;0, -(K23-Uzman_D!$I$11), K23-Uzman_D!$I$11)*0.1 +
        IF(L23-Uzman_D!$J$11&lt;0, -(L23-Uzman_D!$J$11), L23-Uzman_D!$J$11)*0.1
    ) +
    IF(ROUND((IF(N23-Uzman_D!$L$11&lt;0, -(N23-Uzman_D!$L$11), N23-Uzman_D!$L$11)*2),0)/2 = IF(N23-Uzman_D!$L$11&lt;0, -(N23-Uzman_D!$L$11), N23-Uzman_D!$L$11),
    (ROUND((IF(N23-Uzman_D!$L$11&lt;0, -(N23-Uzman_D!$L$11), N23-Uzman_D!$L$11)*2),0)/1 * 0.1), 0) +
    IF(O23-Uzman_D!$M$11&lt;0, -(O23-Uzman_D!$M$11), O23-Uzman_D!$M$11)*1
)</f>
        <v>-0.30000000000000027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2"/>
      <c r="AB23" s="72"/>
      <c r="AC23" s="73">
        <f>1 - (
    SUM(
        IF(Q23-Uzman_D!$B$12&lt;0, -(Q23-Uzman_D!$B$12), Q23-Uzman_D!$B$12)*0.1 +
        IF(R23-Uzman_D!$C$12&lt;0, -(R23-Uzman_D!$C$12), R23-Uzman_D!$C$12)*0.1 +
        IF(S23-Uzman_D!$D$12&lt;0, -(S23-Uzman_D!$D$12), S23-Uzman_D!$D$12)*0.1 +
        IF(T23-Uzman_D!$E$12&lt;0, -(T23-Uzman_D!$E$12), T23-Uzman_D!$E$12)*0.1 +
        IF(U23-Uzman_D!$F$12&lt;0, -(U23-Uzman_D!$F$12), U23-Uzman_D!$F$12)*0.1 +
        IF(V23-Uzman_D!$G$12&lt;0, -(V23-Uzman_D!$G$12), V23-Uzman_D!$G$12)*0.1 +
        IF(W23-Uzman_D!$H$12&lt;0, -(W23-Uzman_D!$H$12), W23-Uzman_D!$H$12)*0.1 +
        IF(X23-Uzman_D!$I$12&lt;0, -(X23-Uzman_D!$I$12), X23-Uzman_D!$I$12)*0.1 +
        IF(Y23-Uzman_D!$J$12&lt;0, -(Y23-Uzman_D!$J$12), Y23-Uzman_D!$J$12)*0.1
    ) +
    IF(ROUND((IF(AA23-Uzman_D!$L$12&lt;0, -(AA23-Uzman_D!$L$12), AA23-Uzman_D!$L$12)*2),0)/2 = IF(AA23-Uzman_D!$L$12&lt;0, -(AA23-Uzman_D!$L$12), AA23-Uzman_D!$L$12),
    (ROUND((IF(AA23-Uzman_D!$L$12&lt;0, -(AA23-Uzman_D!$L$12), AA23-Uzman_D!$L$12)*2),0)/1 * 0.1), 0) +
    IF(AB23-Uzman_D!$M$12&lt;0, -(AB23-Uzman_D!$M$12), AB23-Uzman_D!$M$12)*1
)</f>
        <v>-0.20000000000000018</v>
      </c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2"/>
      <c r="AO23" s="72"/>
      <c r="AP23" s="73">
        <f>1 - (
    SUM(
        IF(AD23-Uzman_D!$B$13&lt;0, -(AD23-Uzman_D!$B$13), AD23-Uzman_D!$B$13)*0.1 +
        IF(AE23-Uzman_D!$C$13&lt;0, -(AE23-Uzman_D!$C$13), AE23-Uzman_D!$C$13)*0.1 +
        IF(AF23-Uzman_D!$D$13&lt;0, -(AF23-Uzman_D!$D$13), AF23-Uzman_D!$D$13)*0.1 +
        IF(AG23-Uzman_D!$E$13&lt;0, -(AG23-Uzman_D!$E$13), AG23-Uzman_D!$E$13)*0.1 +
        IF(AH23-Uzman_D!$F$13&lt;0, -(AH23-Uzman_D!$F$13), AH23-Uzman_D!$F$13)*0.1 +
        IF(AI23-Uzman_D!$G$13&lt;0, -(AI23-Uzman_D!$G$13), AI23-Uzman_D!$G$13)*0.1 +
        IF(AJ23-Uzman_D!$H$13&lt;0, -(AJ23-Uzman_D!$H$13), AJ23-Uzman_D!$H$13)*0.1 +
        IF(AK23-Uzman_D!$I$13&lt;0, -(AK23-Uzman_D!$I$13), AK23-Uzman_D!$I$13)*0.1 +
        IF(AL23-Uzman_D!$J$13&lt;0, -(AL23-Uzman_D!$J$13), AL23-Uzman_D!$J$13)*0.1
    ) +
    IF(ROUND((IF(AN23-Uzman_D!$L$13&lt;0, -(AN23-Uzman_D!$L$13), AN23-Uzman_D!$L$13)*2),0)/2 = IF(AN23-Uzman_D!$L$13&lt;0, -(AN23-Uzman_D!$L$13), AN23-Uzman_D!$L$13),
    (ROUND((IF(AN23-Uzman_D!$L$13&lt;0, -(AN23-Uzman_D!$L$13), AN23-Uzman_D!$L$13)*2),0)/1 * 0.1), 0) +
    IF(AO23-Uzman_D!$M$13&lt;0, -(AO23-Uzman_D!$M$13), AO23-Uzman_D!$M$13)*1
)</f>
        <v>-0.30000000000000004</v>
      </c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2"/>
      <c r="BB23" s="72"/>
      <c r="BC23" s="73">
        <f>1 - (
    SUM(
        IF(AQ23-Uzman_D!$B$14&lt;0, -(AQ23-Uzman_D!$B$14), AQ23-Uzman_D!$B$14)*0.1 +
        IF(AR23-Uzman_D!$C$14&lt;0, -(AR23-Uzman_D!$C$14), AR23-Uzman_D!$C$14)*0.1 +
        IF(AS23-Uzman_D!$D$14&lt;0, -(AS23-Uzman_D!$D$14), AS23-Uzman_D!$D$14)*0.1 +
        IF(AT23-Uzman_D!$E$14&lt;0, -(AT23-Uzman_D!$E$14), AT23-Uzman_D!$E$14)*0.1 +
        IF(AU23-Uzman_D!$F$14&lt;0, -(AU23-Uzman_D!$F$14), AU23-Uzman_D!$F$14)*0.1 +
        IF(AV23-Uzman_D!$G$14&lt;0, -(AV23-Uzman_D!$G$14), AV23-Uzman_D!$G$14)*0.1 +
        IF(AW23-Uzman_D!$H$14&lt;0, -(AW23-Uzman_D!$H$14), AW23-Uzman_D!$H$14)*0.1 +
        IF(AX23-Uzman_D!$I$14&lt;0, -(AX23-Uzman_D!$I$14), AX23-Uzman_D!$I$14)*0.1 +
        IF(AY23-Uzman_D!$J$14&lt;0, -(AY23-Uzman_D!$J$14), AY23-Uzman_D!$J$14)*0.1
    ) +
    IF(ROUND((IF(BA23-Uzman_D!$L$14&lt;0, -(BA23-Uzman_D!$L$14), BA23-Uzman_D!$L$14)*2),0)/2 = IF(BA23-Uzman_D!$L$14&lt;0, -(BA23-Uzman_D!$L$14), BA23-Uzman_D!$L$14),
    (ROUND((IF(BA23-Uzman_D!$L$14&lt;0, -(BA23-Uzman_D!$L$14), BA23-Uzman_D!$L$14)*2),0)/1 * 0.1), 0) +
    IF(BB23-Uzman_D!$M$14&lt;0, -(BB23-Uzman_D!$M$14), BB23-Uzman_D!$M$14)*1
)</f>
        <v>-0.20000000000000018</v>
      </c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2"/>
      <c r="BO23" s="72"/>
      <c r="BP23" s="73">
        <f>1 - (
    SUM(
        IF(BD23-Uzman_D!$B$15&lt;0, -(BD23-Uzman_D!$B$15), BD23-Uzman_D!$B$15)*0.1 +
        IF(BE23-Uzman_D!$C$15&lt;0, -(BE23-Uzman_D!$C$15), BE23-Uzman_D!$C$15)*0.1 +
        IF(BF23-Uzman_D!$D$15&lt;0, -(BF23-Uzman_D!$D$15), BF23-Uzman_D!$D$15)*0.1 +
        IF(BG23-Uzman_D!$E$15&lt;0, -(BG23-Uzman_D!$E$15), BG23-Uzman_D!$E$15)*0.1 +
        IF(BH23-Uzman_D!$F$15&lt;0, -(BH23-Uzman_D!$F$15), BH23-Uzman_D!$F$15)*0.1 +
        IF(BI23-Uzman_D!$G$15&lt;0, -(BI23-Uzman_D!$G$15), BI23-Uzman_D!$G$15)*0.1 +
        IF(BJ23-Uzman_D!$H$15&lt;0, -(BJ23-Uzman_D!$H$15), BJ23-Uzman_D!$H$15)*0.1 +
        IF(BK23-Uzman_D!$I$15&lt;0, -(BK23-Uzman_D!$I$15), BK23-Uzman_D!$I$15)*0.1 +
        IF(BL23-Uzman_D!$J$15&lt;0, -(BL23-Uzman_D!$J$15), BL23-Uzman_D!$J$15)*0.1
    ) +
    IF(ROUND((IF(BN23-Uzman_D!$L$15&lt;0, -(BN23-Uzman_D!$L$15), BN23-Uzman_D!$L$15)*2),0)/2 = IF(BN23-Uzman_D!$L$15&lt;0, -(BN23-Uzman_D!$L$15), BN23-Uzman_D!$L$15),
    (ROUND((IF(BN23-Uzman_D!$L$15&lt;0, -(BN23-Uzman_D!$L$15), BN23-Uzman_D!$L$15)*2),0)/1 * 0.1), 0) +
    IF(BO23-Uzman_D!$M$15&lt;0, -(BO23-Uzman_D!$M$15), BO23-Uzman_D!$M$15)*1
)</f>
        <v>-0.60000000000000009</v>
      </c>
      <c r="BQ23" s="74">
        <f t="shared" si="0"/>
        <v>-0.32000000000000017</v>
      </c>
    </row>
    <row r="24" spans="1:69" ht="15" customHeight="1" x14ac:dyDescent="0.2">
      <c r="A24" s="57">
        <v>21</v>
      </c>
      <c r="B24" s="29">
        <f>Hakemler!B24</f>
        <v>0</v>
      </c>
      <c r="C24" s="29">
        <f>Hakemler!C24</f>
        <v>0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2"/>
      <c r="O24" s="72"/>
      <c r="P24" s="73">
        <f>1 - (
    SUM(
        IF(D24-Uzman_D!$B$11&lt;0, -(D24-Uzman_D!$B$11), D24-Uzman_D!$B$11)*0.1 +
        IF(E24-Uzman_D!$C$11&lt;0, -(E24-Uzman_D!$C$11), E24-Uzman_D!$C$11)*0.1 +
        IF(F24-Uzman_D!$D$11&lt;0, -(F24-Uzman_D!$D$11), F24-Uzman_D!$D$11)*0.1 +
        IF(G24-Uzman_D!$E$11&lt;0, -(G24-Uzman_D!$E$11), G24-Uzman_D!$E$11)*0.1 +
        IF(H24-Uzman_D!$F$11&lt;0, -(H24-Uzman_D!$F$11), H24-Uzman_D!$F$11)*0.1 +
        IF(I24-Uzman_D!$G$11&lt;0, -(I24-Uzman_D!$G$11), I24-Uzman_D!$G$11)*0.1 +
        IF(J24-Uzman_D!$H$11&lt;0, -(J24-Uzman_D!$H$11), J24-Uzman_D!$H$11)*0.1 +
        IF(K24-Uzman_D!$I$11&lt;0, -(K24-Uzman_D!$I$11), K24-Uzman_D!$I$11)*0.1 +
        IF(L24-Uzman_D!$J$11&lt;0, -(L24-Uzman_D!$J$11), L24-Uzman_D!$J$11)*0.1
    ) +
    IF(ROUND((IF(N24-Uzman_D!$L$11&lt;0, -(N24-Uzman_D!$L$11), N24-Uzman_D!$L$11)*2),0)/2 = IF(N24-Uzman_D!$L$11&lt;0, -(N24-Uzman_D!$L$11), N24-Uzman_D!$L$11),
    (ROUND((IF(N24-Uzman_D!$L$11&lt;0, -(N24-Uzman_D!$L$11), N24-Uzman_D!$L$11)*2),0)/1 * 0.1), 0) +
    IF(O24-Uzman_D!$M$11&lt;0, -(O24-Uzman_D!$M$11), O24-Uzman_D!$M$11)*1
)</f>
        <v>-0.30000000000000027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2"/>
      <c r="AB24" s="72"/>
      <c r="AC24" s="73">
        <f>1 - (
    SUM(
        IF(Q24-Uzman_D!$B$12&lt;0, -(Q24-Uzman_D!$B$12), Q24-Uzman_D!$B$12)*0.1 +
        IF(R24-Uzman_D!$C$12&lt;0, -(R24-Uzman_D!$C$12), R24-Uzman_D!$C$12)*0.1 +
        IF(S24-Uzman_D!$D$12&lt;0, -(S24-Uzman_D!$D$12), S24-Uzman_D!$D$12)*0.1 +
        IF(T24-Uzman_D!$E$12&lt;0, -(T24-Uzman_D!$E$12), T24-Uzman_D!$E$12)*0.1 +
        IF(U24-Uzman_D!$F$12&lt;0, -(U24-Uzman_D!$F$12), U24-Uzman_D!$F$12)*0.1 +
        IF(V24-Uzman_D!$G$12&lt;0, -(V24-Uzman_D!$G$12), V24-Uzman_D!$G$12)*0.1 +
        IF(W24-Uzman_D!$H$12&lt;0, -(W24-Uzman_D!$H$12), W24-Uzman_D!$H$12)*0.1 +
        IF(X24-Uzman_D!$I$12&lt;0, -(X24-Uzman_D!$I$12), X24-Uzman_D!$I$12)*0.1 +
        IF(Y24-Uzman_D!$J$12&lt;0, -(Y24-Uzman_D!$J$12), Y24-Uzman_D!$J$12)*0.1
    ) +
    IF(ROUND((IF(AA24-Uzman_D!$L$12&lt;0, -(AA24-Uzman_D!$L$12), AA24-Uzman_D!$L$12)*2),0)/2 = IF(AA24-Uzman_D!$L$12&lt;0, -(AA24-Uzman_D!$L$12), AA24-Uzman_D!$L$12),
    (ROUND((IF(AA24-Uzman_D!$L$12&lt;0, -(AA24-Uzman_D!$L$12), AA24-Uzman_D!$L$12)*2),0)/1 * 0.1), 0) +
    IF(AB24-Uzman_D!$M$12&lt;0, -(AB24-Uzman_D!$M$12), AB24-Uzman_D!$M$12)*1
)</f>
        <v>-0.20000000000000018</v>
      </c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2"/>
      <c r="AO24" s="72"/>
      <c r="AP24" s="73">
        <f>1 - (
    SUM(
        IF(AD24-Uzman_D!$B$13&lt;0, -(AD24-Uzman_D!$B$13), AD24-Uzman_D!$B$13)*0.1 +
        IF(AE24-Uzman_D!$C$13&lt;0, -(AE24-Uzman_D!$C$13), AE24-Uzman_D!$C$13)*0.1 +
        IF(AF24-Uzman_D!$D$13&lt;0, -(AF24-Uzman_D!$D$13), AF24-Uzman_D!$D$13)*0.1 +
        IF(AG24-Uzman_D!$E$13&lt;0, -(AG24-Uzman_D!$E$13), AG24-Uzman_D!$E$13)*0.1 +
        IF(AH24-Uzman_D!$F$13&lt;0, -(AH24-Uzman_D!$F$13), AH24-Uzman_D!$F$13)*0.1 +
        IF(AI24-Uzman_D!$G$13&lt;0, -(AI24-Uzman_D!$G$13), AI24-Uzman_D!$G$13)*0.1 +
        IF(AJ24-Uzman_D!$H$13&lt;0, -(AJ24-Uzman_D!$H$13), AJ24-Uzman_D!$H$13)*0.1 +
        IF(AK24-Uzman_D!$I$13&lt;0, -(AK24-Uzman_D!$I$13), AK24-Uzman_D!$I$13)*0.1 +
        IF(AL24-Uzman_D!$J$13&lt;0, -(AL24-Uzman_D!$J$13), AL24-Uzman_D!$J$13)*0.1
    ) +
    IF(ROUND((IF(AN24-Uzman_D!$L$13&lt;0, -(AN24-Uzman_D!$L$13), AN24-Uzman_D!$L$13)*2),0)/2 = IF(AN24-Uzman_D!$L$13&lt;0, -(AN24-Uzman_D!$L$13), AN24-Uzman_D!$L$13),
    (ROUND((IF(AN24-Uzman_D!$L$13&lt;0, -(AN24-Uzman_D!$L$13), AN24-Uzman_D!$L$13)*2),0)/1 * 0.1), 0) +
    IF(AO24-Uzman_D!$M$13&lt;0, -(AO24-Uzman_D!$M$13), AO24-Uzman_D!$M$13)*1
)</f>
        <v>-0.30000000000000004</v>
      </c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2"/>
      <c r="BB24" s="72"/>
      <c r="BC24" s="73">
        <f>1 - (
    SUM(
        IF(AQ24-Uzman_D!$B$14&lt;0, -(AQ24-Uzman_D!$B$14), AQ24-Uzman_D!$B$14)*0.1 +
        IF(AR24-Uzman_D!$C$14&lt;0, -(AR24-Uzman_D!$C$14), AR24-Uzman_D!$C$14)*0.1 +
        IF(AS24-Uzman_D!$D$14&lt;0, -(AS24-Uzman_D!$D$14), AS24-Uzman_D!$D$14)*0.1 +
        IF(AT24-Uzman_D!$E$14&lt;0, -(AT24-Uzman_D!$E$14), AT24-Uzman_D!$E$14)*0.1 +
        IF(AU24-Uzman_D!$F$14&lt;0, -(AU24-Uzman_D!$F$14), AU24-Uzman_D!$F$14)*0.1 +
        IF(AV24-Uzman_D!$G$14&lt;0, -(AV24-Uzman_D!$G$14), AV24-Uzman_D!$G$14)*0.1 +
        IF(AW24-Uzman_D!$H$14&lt;0, -(AW24-Uzman_D!$H$14), AW24-Uzman_D!$H$14)*0.1 +
        IF(AX24-Uzman_D!$I$14&lt;0, -(AX24-Uzman_D!$I$14), AX24-Uzman_D!$I$14)*0.1 +
        IF(AY24-Uzman_D!$J$14&lt;0, -(AY24-Uzman_D!$J$14), AY24-Uzman_D!$J$14)*0.1
    ) +
    IF(ROUND((IF(BA24-Uzman_D!$L$14&lt;0, -(BA24-Uzman_D!$L$14), BA24-Uzman_D!$L$14)*2),0)/2 = IF(BA24-Uzman_D!$L$14&lt;0, -(BA24-Uzman_D!$L$14), BA24-Uzman_D!$L$14),
    (ROUND((IF(BA24-Uzman_D!$L$14&lt;0, -(BA24-Uzman_D!$L$14), BA24-Uzman_D!$L$14)*2),0)/1 * 0.1), 0) +
    IF(BB24-Uzman_D!$M$14&lt;0, -(BB24-Uzman_D!$M$14), BB24-Uzman_D!$M$14)*1
)</f>
        <v>-0.20000000000000018</v>
      </c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2"/>
      <c r="BO24" s="72"/>
      <c r="BP24" s="73">
        <f>1 - (
    SUM(
        IF(BD24-Uzman_D!$B$15&lt;0, -(BD24-Uzman_D!$B$15), BD24-Uzman_D!$B$15)*0.1 +
        IF(BE24-Uzman_D!$C$15&lt;0, -(BE24-Uzman_D!$C$15), BE24-Uzman_D!$C$15)*0.1 +
        IF(BF24-Uzman_D!$D$15&lt;0, -(BF24-Uzman_D!$D$15), BF24-Uzman_D!$D$15)*0.1 +
        IF(BG24-Uzman_D!$E$15&lt;0, -(BG24-Uzman_D!$E$15), BG24-Uzman_D!$E$15)*0.1 +
        IF(BH24-Uzman_D!$F$15&lt;0, -(BH24-Uzman_D!$F$15), BH24-Uzman_D!$F$15)*0.1 +
        IF(BI24-Uzman_D!$G$15&lt;0, -(BI24-Uzman_D!$G$15), BI24-Uzman_D!$G$15)*0.1 +
        IF(BJ24-Uzman_D!$H$15&lt;0, -(BJ24-Uzman_D!$H$15), BJ24-Uzman_D!$H$15)*0.1 +
        IF(BK24-Uzman_D!$I$15&lt;0, -(BK24-Uzman_D!$I$15), BK24-Uzman_D!$I$15)*0.1 +
        IF(BL24-Uzman_D!$J$15&lt;0, -(BL24-Uzman_D!$J$15), BL24-Uzman_D!$J$15)*0.1
    ) +
    IF(ROUND((IF(BN24-Uzman_D!$L$15&lt;0, -(BN24-Uzman_D!$L$15), BN24-Uzman_D!$L$15)*2),0)/2 = IF(BN24-Uzman_D!$L$15&lt;0, -(BN24-Uzman_D!$L$15), BN24-Uzman_D!$L$15),
    (ROUND((IF(BN24-Uzman_D!$L$15&lt;0, -(BN24-Uzman_D!$L$15), BN24-Uzman_D!$L$15)*2),0)/1 * 0.1), 0) +
    IF(BO24-Uzman_D!$M$15&lt;0, -(BO24-Uzman_D!$M$15), BO24-Uzman_D!$M$15)*1
)</f>
        <v>-0.60000000000000009</v>
      </c>
      <c r="BQ24" s="74">
        <f t="shared" si="0"/>
        <v>-0.32000000000000017</v>
      </c>
    </row>
    <row r="25" spans="1:69" ht="15" customHeight="1" x14ac:dyDescent="0.2">
      <c r="A25" s="57">
        <v>22</v>
      </c>
      <c r="B25" s="29">
        <f>Hakemler!B25</f>
        <v>0</v>
      </c>
      <c r="C25" s="29">
        <f>Hakemler!C25</f>
        <v>0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2"/>
      <c r="O25" s="72"/>
      <c r="P25" s="73">
        <f>1 - (
    SUM(
        IF(D25-Uzman_D!$B$11&lt;0, -(D25-Uzman_D!$B$11), D25-Uzman_D!$B$11)*0.1 +
        IF(E25-Uzman_D!$C$11&lt;0, -(E25-Uzman_D!$C$11), E25-Uzman_D!$C$11)*0.1 +
        IF(F25-Uzman_D!$D$11&lt;0, -(F25-Uzman_D!$D$11), F25-Uzman_D!$D$11)*0.1 +
        IF(G25-Uzman_D!$E$11&lt;0, -(G25-Uzman_D!$E$11), G25-Uzman_D!$E$11)*0.1 +
        IF(H25-Uzman_D!$F$11&lt;0, -(H25-Uzman_D!$F$11), H25-Uzman_D!$F$11)*0.1 +
        IF(I25-Uzman_D!$G$11&lt;0, -(I25-Uzman_D!$G$11), I25-Uzman_D!$G$11)*0.1 +
        IF(J25-Uzman_D!$H$11&lt;0, -(J25-Uzman_D!$H$11), J25-Uzman_D!$H$11)*0.1 +
        IF(K25-Uzman_D!$I$11&lt;0, -(K25-Uzman_D!$I$11), K25-Uzman_D!$I$11)*0.1 +
        IF(L25-Uzman_D!$J$11&lt;0, -(L25-Uzman_D!$J$11), L25-Uzman_D!$J$11)*0.1
    ) +
    IF(ROUND((IF(N25-Uzman_D!$L$11&lt;0, -(N25-Uzman_D!$L$11), N25-Uzman_D!$L$11)*2),0)/2 = IF(N25-Uzman_D!$L$11&lt;0, -(N25-Uzman_D!$L$11), N25-Uzman_D!$L$11),
    (ROUND((IF(N25-Uzman_D!$L$11&lt;0, -(N25-Uzman_D!$L$11), N25-Uzman_D!$L$11)*2),0)/1 * 0.1), 0) +
    IF(O25-Uzman_D!$M$11&lt;0, -(O25-Uzman_D!$M$11), O25-Uzman_D!$M$11)*1
)</f>
        <v>-0.30000000000000027</v>
      </c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2"/>
      <c r="AB25" s="72"/>
      <c r="AC25" s="73">
        <f>1 - (
    SUM(
        IF(Q25-Uzman_D!$B$12&lt;0, -(Q25-Uzman_D!$B$12), Q25-Uzman_D!$B$12)*0.1 +
        IF(R25-Uzman_D!$C$12&lt;0, -(R25-Uzman_D!$C$12), R25-Uzman_D!$C$12)*0.1 +
        IF(S25-Uzman_D!$D$12&lt;0, -(S25-Uzman_D!$D$12), S25-Uzman_D!$D$12)*0.1 +
        IF(T25-Uzman_D!$E$12&lt;0, -(T25-Uzman_D!$E$12), T25-Uzman_D!$E$12)*0.1 +
        IF(U25-Uzman_D!$F$12&lt;0, -(U25-Uzman_D!$F$12), U25-Uzman_D!$F$12)*0.1 +
        IF(V25-Uzman_D!$G$12&lt;0, -(V25-Uzman_D!$G$12), V25-Uzman_D!$G$12)*0.1 +
        IF(W25-Uzman_D!$H$12&lt;0, -(W25-Uzman_D!$H$12), W25-Uzman_D!$H$12)*0.1 +
        IF(X25-Uzman_D!$I$12&lt;0, -(X25-Uzman_D!$I$12), X25-Uzman_D!$I$12)*0.1 +
        IF(Y25-Uzman_D!$J$12&lt;0, -(Y25-Uzman_D!$J$12), Y25-Uzman_D!$J$12)*0.1
    ) +
    IF(ROUND((IF(AA25-Uzman_D!$L$12&lt;0, -(AA25-Uzman_D!$L$12), AA25-Uzman_D!$L$12)*2),0)/2 = IF(AA25-Uzman_D!$L$12&lt;0, -(AA25-Uzman_D!$L$12), AA25-Uzman_D!$L$12),
    (ROUND((IF(AA25-Uzman_D!$L$12&lt;0, -(AA25-Uzman_D!$L$12), AA25-Uzman_D!$L$12)*2),0)/1 * 0.1), 0) +
    IF(AB25-Uzman_D!$M$12&lt;0, -(AB25-Uzman_D!$M$12), AB25-Uzman_D!$M$12)*1
)</f>
        <v>-0.20000000000000018</v>
      </c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2"/>
      <c r="AO25" s="72"/>
      <c r="AP25" s="73">
        <f>1 - (
    SUM(
        IF(AD25-Uzman_D!$B$13&lt;0, -(AD25-Uzman_D!$B$13), AD25-Uzman_D!$B$13)*0.1 +
        IF(AE25-Uzman_D!$C$13&lt;0, -(AE25-Uzman_D!$C$13), AE25-Uzman_D!$C$13)*0.1 +
        IF(AF25-Uzman_D!$D$13&lt;0, -(AF25-Uzman_D!$D$13), AF25-Uzman_D!$D$13)*0.1 +
        IF(AG25-Uzman_D!$E$13&lt;0, -(AG25-Uzman_D!$E$13), AG25-Uzman_D!$E$13)*0.1 +
        IF(AH25-Uzman_D!$F$13&lt;0, -(AH25-Uzman_D!$F$13), AH25-Uzman_D!$F$13)*0.1 +
        IF(AI25-Uzman_D!$G$13&lt;0, -(AI25-Uzman_D!$G$13), AI25-Uzman_D!$G$13)*0.1 +
        IF(AJ25-Uzman_D!$H$13&lt;0, -(AJ25-Uzman_D!$H$13), AJ25-Uzman_D!$H$13)*0.1 +
        IF(AK25-Uzman_D!$I$13&lt;0, -(AK25-Uzman_D!$I$13), AK25-Uzman_D!$I$13)*0.1 +
        IF(AL25-Uzman_D!$J$13&lt;0, -(AL25-Uzman_D!$J$13), AL25-Uzman_D!$J$13)*0.1
    ) +
    IF(ROUND((IF(AN25-Uzman_D!$L$13&lt;0, -(AN25-Uzman_D!$L$13), AN25-Uzman_D!$L$13)*2),0)/2 = IF(AN25-Uzman_D!$L$13&lt;0, -(AN25-Uzman_D!$L$13), AN25-Uzman_D!$L$13),
    (ROUND((IF(AN25-Uzman_D!$L$13&lt;0, -(AN25-Uzman_D!$L$13), AN25-Uzman_D!$L$13)*2),0)/1 * 0.1), 0) +
    IF(AO25-Uzman_D!$M$13&lt;0, -(AO25-Uzman_D!$M$13), AO25-Uzman_D!$M$13)*1
)</f>
        <v>-0.30000000000000004</v>
      </c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2"/>
      <c r="BB25" s="72"/>
      <c r="BC25" s="73">
        <f>1 - (
    SUM(
        IF(AQ25-Uzman_D!$B$14&lt;0, -(AQ25-Uzman_D!$B$14), AQ25-Uzman_D!$B$14)*0.1 +
        IF(AR25-Uzman_D!$C$14&lt;0, -(AR25-Uzman_D!$C$14), AR25-Uzman_D!$C$14)*0.1 +
        IF(AS25-Uzman_D!$D$14&lt;0, -(AS25-Uzman_D!$D$14), AS25-Uzman_D!$D$14)*0.1 +
        IF(AT25-Uzman_D!$E$14&lt;0, -(AT25-Uzman_D!$E$14), AT25-Uzman_D!$E$14)*0.1 +
        IF(AU25-Uzman_D!$F$14&lt;0, -(AU25-Uzman_D!$F$14), AU25-Uzman_D!$F$14)*0.1 +
        IF(AV25-Uzman_D!$G$14&lt;0, -(AV25-Uzman_D!$G$14), AV25-Uzman_D!$G$14)*0.1 +
        IF(AW25-Uzman_D!$H$14&lt;0, -(AW25-Uzman_D!$H$14), AW25-Uzman_D!$H$14)*0.1 +
        IF(AX25-Uzman_D!$I$14&lt;0, -(AX25-Uzman_D!$I$14), AX25-Uzman_D!$I$14)*0.1 +
        IF(AY25-Uzman_D!$J$14&lt;0, -(AY25-Uzman_D!$J$14), AY25-Uzman_D!$J$14)*0.1
    ) +
    IF(ROUND((IF(BA25-Uzman_D!$L$14&lt;0, -(BA25-Uzman_D!$L$14), BA25-Uzman_D!$L$14)*2),0)/2 = IF(BA25-Uzman_D!$L$14&lt;0, -(BA25-Uzman_D!$L$14), BA25-Uzman_D!$L$14),
    (ROUND((IF(BA25-Uzman_D!$L$14&lt;0, -(BA25-Uzman_D!$L$14), BA25-Uzman_D!$L$14)*2),0)/1 * 0.1), 0) +
    IF(BB25-Uzman_D!$M$14&lt;0, -(BB25-Uzman_D!$M$14), BB25-Uzman_D!$M$14)*1
)</f>
        <v>-0.20000000000000018</v>
      </c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2"/>
      <c r="BO25" s="72"/>
      <c r="BP25" s="73">
        <f>1 - (
    SUM(
        IF(BD25-Uzman_D!$B$15&lt;0, -(BD25-Uzman_D!$B$15), BD25-Uzman_D!$B$15)*0.1 +
        IF(BE25-Uzman_D!$C$15&lt;0, -(BE25-Uzman_D!$C$15), BE25-Uzman_D!$C$15)*0.1 +
        IF(BF25-Uzman_D!$D$15&lt;0, -(BF25-Uzman_D!$D$15), BF25-Uzman_D!$D$15)*0.1 +
        IF(BG25-Uzman_D!$E$15&lt;0, -(BG25-Uzman_D!$E$15), BG25-Uzman_D!$E$15)*0.1 +
        IF(BH25-Uzman_D!$F$15&lt;0, -(BH25-Uzman_D!$F$15), BH25-Uzman_D!$F$15)*0.1 +
        IF(BI25-Uzman_D!$G$15&lt;0, -(BI25-Uzman_D!$G$15), BI25-Uzman_D!$G$15)*0.1 +
        IF(BJ25-Uzman_D!$H$15&lt;0, -(BJ25-Uzman_D!$H$15), BJ25-Uzman_D!$H$15)*0.1 +
        IF(BK25-Uzman_D!$I$15&lt;0, -(BK25-Uzman_D!$I$15), BK25-Uzman_D!$I$15)*0.1 +
        IF(BL25-Uzman_D!$J$15&lt;0, -(BL25-Uzman_D!$J$15), BL25-Uzman_D!$J$15)*0.1
    ) +
    IF(ROUND((IF(BN25-Uzman_D!$L$15&lt;0, -(BN25-Uzman_D!$L$15), BN25-Uzman_D!$L$15)*2),0)/2 = IF(BN25-Uzman_D!$L$15&lt;0, -(BN25-Uzman_D!$L$15), BN25-Uzman_D!$L$15),
    (ROUND((IF(BN25-Uzman_D!$L$15&lt;0, -(BN25-Uzman_D!$L$15), BN25-Uzman_D!$L$15)*2),0)/1 * 0.1), 0) +
    IF(BO25-Uzman_D!$M$15&lt;0, -(BO25-Uzman_D!$M$15), BO25-Uzman_D!$M$15)*1
)</f>
        <v>-0.60000000000000009</v>
      </c>
      <c r="BQ25" s="74">
        <f t="shared" si="0"/>
        <v>-0.32000000000000017</v>
      </c>
    </row>
    <row r="26" spans="1:69" ht="15" customHeight="1" x14ac:dyDescent="0.2">
      <c r="A26" s="57">
        <v>23</v>
      </c>
      <c r="B26" s="29">
        <f>Hakemler!B26</f>
        <v>0</v>
      </c>
      <c r="C26" s="29">
        <f>Hakemler!C26</f>
        <v>0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2"/>
      <c r="O26" s="72"/>
      <c r="P26" s="73">
        <f>1 - (
    SUM(
        IF(D26-Uzman_D!$B$11&lt;0, -(D26-Uzman_D!$B$11), D26-Uzman_D!$B$11)*0.1 +
        IF(E26-Uzman_D!$C$11&lt;0, -(E26-Uzman_D!$C$11), E26-Uzman_D!$C$11)*0.1 +
        IF(F26-Uzman_D!$D$11&lt;0, -(F26-Uzman_D!$D$11), F26-Uzman_D!$D$11)*0.1 +
        IF(G26-Uzman_D!$E$11&lt;0, -(G26-Uzman_D!$E$11), G26-Uzman_D!$E$11)*0.1 +
        IF(H26-Uzman_D!$F$11&lt;0, -(H26-Uzman_D!$F$11), H26-Uzman_D!$F$11)*0.1 +
        IF(I26-Uzman_D!$G$11&lt;0, -(I26-Uzman_D!$G$11), I26-Uzman_D!$G$11)*0.1 +
        IF(J26-Uzman_D!$H$11&lt;0, -(J26-Uzman_D!$H$11), J26-Uzman_D!$H$11)*0.1 +
        IF(K26-Uzman_D!$I$11&lt;0, -(K26-Uzman_D!$I$11), K26-Uzman_D!$I$11)*0.1 +
        IF(L26-Uzman_D!$J$11&lt;0, -(L26-Uzman_D!$J$11), L26-Uzman_D!$J$11)*0.1
    ) +
    IF(ROUND((IF(N26-Uzman_D!$L$11&lt;0, -(N26-Uzman_D!$L$11), N26-Uzman_D!$L$11)*2),0)/2 = IF(N26-Uzman_D!$L$11&lt;0, -(N26-Uzman_D!$L$11), N26-Uzman_D!$L$11),
    (ROUND((IF(N26-Uzman_D!$L$11&lt;0, -(N26-Uzman_D!$L$11), N26-Uzman_D!$L$11)*2),0)/1 * 0.1), 0) +
    IF(O26-Uzman_D!$M$11&lt;0, -(O26-Uzman_D!$M$11), O26-Uzman_D!$M$11)*1
)</f>
        <v>-0.30000000000000027</v>
      </c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2"/>
      <c r="AB26" s="72"/>
      <c r="AC26" s="73">
        <f>1 - (
    SUM(
        IF(Q26-Uzman_D!$B$12&lt;0, -(Q26-Uzman_D!$B$12), Q26-Uzman_D!$B$12)*0.1 +
        IF(R26-Uzman_D!$C$12&lt;0, -(R26-Uzman_D!$C$12), R26-Uzman_D!$C$12)*0.1 +
        IF(S26-Uzman_D!$D$12&lt;0, -(S26-Uzman_D!$D$12), S26-Uzman_D!$D$12)*0.1 +
        IF(T26-Uzman_D!$E$12&lt;0, -(T26-Uzman_D!$E$12), T26-Uzman_D!$E$12)*0.1 +
        IF(U26-Uzman_D!$F$12&lt;0, -(U26-Uzman_D!$F$12), U26-Uzman_D!$F$12)*0.1 +
        IF(V26-Uzman_D!$G$12&lt;0, -(V26-Uzman_D!$G$12), V26-Uzman_D!$G$12)*0.1 +
        IF(W26-Uzman_D!$H$12&lt;0, -(W26-Uzman_D!$H$12), W26-Uzman_D!$H$12)*0.1 +
        IF(X26-Uzman_D!$I$12&lt;0, -(X26-Uzman_D!$I$12), X26-Uzman_D!$I$12)*0.1 +
        IF(Y26-Uzman_D!$J$12&lt;0, -(Y26-Uzman_D!$J$12), Y26-Uzman_D!$J$12)*0.1
    ) +
    IF(ROUND((IF(AA26-Uzman_D!$L$12&lt;0, -(AA26-Uzman_D!$L$12), AA26-Uzman_D!$L$12)*2),0)/2 = IF(AA26-Uzman_D!$L$12&lt;0, -(AA26-Uzman_D!$L$12), AA26-Uzman_D!$L$12),
    (ROUND((IF(AA26-Uzman_D!$L$12&lt;0, -(AA26-Uzman_D!$L$12), AA26-Uzman_D!$L$12)*2),0)/1 * 0.1), 0) +
    IF(AB26-Uzman_D!$M$12&lt;0, -(AB26-Uzman_D!$M$12), AB26-Uzman_D!$M$12)*1
)</f>
        <v>-0.20000000000000018</v>
      </c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2"/>
      <c r="AO26" s="72"/>
      <c r="AP26" s="73">
        <f>1 - (
    SUM(
        IF(AD26-Uzman_D!$B$13&lt;0, -(AD26-Uzman_D!$B$13), AD26-Uzman_D!$B$13)*0.1 +
        IF(AE26-Uzman_D!$C$13&lt;0, -(AE26-Uzman_D!$C$13), AE26-Uzman_D!$C$13)*0.1 +
        IF(AF26-Uzman_D!$D$13&lt;0, -(AF26-Uzman_D!$D$13), AF26-Uzman_D!$D$13)*0.1 +
        IF(AG26-Uzman_D!$E$13&lt;0, -(AG26-Uzman_D!$E$13), AG26-Uzman_D!$E$13)*0.1 +
        IF(AH26-Uzman_D!$F$13&lt;0, -(AH26-Uzman_D!$F$13), AH26-Uzman_D!$F$13)*0.1 +
        IF(AI26-Uzman_D!$G$13&lt;0, -(AI26-Uzman_D!$G$13), AI26-Uzman_D!$G$13)*0.1 +
        IF(AJ26-Uzman_D!$H$13&lt;0, -(AJ26-Uzman_D!$H$13), AJ26-Uzman_D!$H$13)*0.1 +
        IF(AK26-Uzman_D!$I$13&lt;0, -(AK26-Uzman_D!$I$13), AK26-Uzman_D!$I$13)*0.1 +
        IF(AL26-Uzman_D!$J$13&lt;0, -(AL26-Uzman_D!$J$13), AL26-Uzman_D!$J$13)*0.1
    ) +
    IF(ROUND((IF(AN26-Uzman_D!$L$13&lt;0, -(AN26-Uzman_D!$L$13), AN26-Uzman_D!$L$13)*2),0)/2 = IF(AN26-Uzman_D!$L$13&lt;0, -(AN26-Uzman_D!$L$13), AN26-Uzman_D!$L$13),
    (ROUND((IF(AN26-Uzman_D!$L$13&lt;0, -(AN26-Uzman_D!$L$13), AN26-Uzman_D!$L$13)*2),0)/1 * 0.1), 0) +
    IF(AO26-Uzman_D!$M$13&lt;0, -(AO26-Uzman_D!$M$13), AO26-Uzman_D!$M$13)*1
)</f>
        <v>-0.30000000000000004</v>
      </c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2"/>
      <c r="BB26" s="72"/>
      <c r="BC26" s="73">
        <f>1 - (
    SUM(
        IF(AQ26-Uzman_D!$B$14&lt;0, -(AQ26-Uzman_D!$B$14), AQ26-Uzman_D!$B$14)*0.1 +
        IF(AR26-Uzman_D!$C$14&lt;0, -(AR26-Uzman_D!$C$14), AR26-Uzman_D!$C$14)*0.1 +
        IF(AS26-Uzman_D!$D$14&lt;0, -(AS26-Uzman_D!$D$14), AS26-Uzman_D!$D$14)*0.1 +
        IF(AT26-Uzman_D!$E$14&lt;0, -(AT26-Uzman_D!$E$14), AT26-Uzman_D!$E$14)*0.1 +
        IF(AU26-Uzman_D!$F$14&lt;0, -(AU26-Uzman_D!$F$14), AU26-Uzman_D!$F$14)*0.1 +
        IF(AV26-Uzman_D!$G$14&lt;0, -(AV26-Uzman_D!$G$14), AV26-Uzman_D!$G$14)*0.1 +
        IF(AW26-Uzman_D!$H$14&lt;0, -(AW26-Uzman_D!$H$14), AW26-Uzman_D!$H$14)*0.1 +
        IF(AX26-Uzman_D!$I$14&lt;0, -(AX26-Uzman_D!$I$14), AX26-Uzman_D!$I$14)*0.1 +
        IF(AY26-Uzman_D!$J$14&lt;0, -(AY26-Uzman_D!$J$14), AY26-Uzman_D!$J$14)*0.1
    ) +
    IF(ROUND((IF(BA26-Uzman_D!$L$14&lt;0, -(BA26-Uzman_D!$L$14), BA26-Uzman_D!$L$14)*2),0)/2 = IF(BA26-Uzman_D!$L$14&lt;0, -(BA26-Uzman_D!$L$14), BA26-Uzman_D!$L$14),
    (ROUND((IF(BA26-Uzman_D!$L$14&lt;0, -(BA26-Uzman_D!$L$14), BA26-Uzman_D!$L$14)*2),0)/1 * 0.1), 0) +
    IF(BB26-Uzman_D!$M$14&lt;0, -(BB26-Uzman_D!$M$14), BB26-Uzman_D!$M$14)*1
)</f>
        <v>-0.20000000000000018</v>
      </c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2"/>
      <c r="BO26" s="72"/>
      <c r="BP26" s="73">
        <f>1 - (
    SUM(
        IF(BD26-Uzman_D!$B$15&lt;0, -(BD26-Uzman_D!$B$15), BD26-Uzman_D!$B$15)*0.1 +
        IF(BE26-Uzman_D!$C$15&lt;0, -(BE26-Uzman_D!$C$15), BE26-Uzman_D!$C$15)*0.1 +
        IF(BF26-Uzman_D!$D$15&lt;0, -(BF26-Uzman_D!$D$15), BF26-Uzman_D!$D$15)*0.1 +
        IF(BG26-Uzman_D!$E$15&lt;0, -(BG26-Uzman_D!$E$15), BG26-Uzman_D!$E$15)*0.1 +
        IF(BH26-Uzman_D!$F$15&lt;0, -(BH26-Uzman_D!$F$15), BH26-Uzman_D!$F$15)*0.1 +
        IF(BI26-Uzman_D!$G$15&lt;0, -(BI26-Uzman_D!$G$15), BI26-Uzman_D!$G$15)*0.1 +
        IF(BJ26-Uzman_D!$H$15&lt;0, -(BJ26-Uzman_D!$H$15), BJ26-Uzman_D!$H$15)*0.1 +
        IF(BK26-Uzman_D!$I$15&lt;0, -(BK26-Uzman_D!$I$15), BK26-Uzman_D!$I$15)*0.1 +
        IF(BL26-Uzman_D!$J$15&lt;0, -(BL26-Uzman_D!$J$15), BL26-Uzman_D!$J$15)*0.1
    ) +
    IF(ROUND((IF(BN26-Uzman_D!$L$15&lt;0, -(BN26-Uzman_D!$L$15), BN26-Uzman_D!$L$15)*2),0)/2 = IF(BN26-Uzman_D!$L$15&lt;0, -(BN26-Uzman_D!$L$15), BN26-Uzman_D!$L$15),
    (ROUND((IF(BN26-Uzman_D!$L$15&lt;0, -(BN26-Uzman_D!$L$15), BN26-Uzman_D!$L$15)*2),0)/1 * 0.1), 0) +
    IF(BO26-Uzman_D!$M$15&lt;0, -(BO26-Uzman_D!$M$15), BO26-Uzman_D!$M$15)*1
)</f>
        <v>-0.60000000000000009</v>
      </c>
      <c r="BQ26" s="74">
        <f t="shared" si="0"/>
        <v>-0.32000000000000017</v>
      </c>
    </row>
    <row r="27" spans="1:69" ht="15" customHeight="1" x14ac:dyDescent="0.2">
      <c r="A27" s="57">
        <v>24</v>
      </c>
      <c r="B27" s="29">
        <f>Hakemler!B27</f>
        <v>0</v>
      </c>
      <c r="C27" s="29">
        <f>Hakemler!C27</f>
        <v>0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2"/>
      <c r="O27" s="72"/>
      <c r="P27" s="73">
        <f>1 - (
    SUM(
        IF(D27-Uzman_D!$B$11&lt;0, -(D27-Uzman_D!$B$11), D27-Uzman_D!$B$11)*0.1 +
        IF(E27-Uzman_D!$C$11&lt;0, -(E27-Uzman_D!$C$11), E27-Uzman_D!$C$11)*0.1 +
        IF(F27-Uzman_D!$D$11&lt;0, -(F27-Uzman_D!$D$11), F27-Uzman_D!$D$11)*0.1 +
        IF(G27-Uzman_D!$E$11&lt;0, -(G27-Uzman_D!$E$11), G27-Uzman_D!$E$11)*0.1 +
        IF(H27-Uzman_D!$F$11&lt;0, -(H27-Uzman_D!$F$11), H27-Uzman_D!$F$11)*0.1 +
        IF(I27-Uzman_D!$G$11&lt;0, -(I27-Uzman_D!$G$11), I27-Uzman_D!$G$11)*0.1 +
        IF(J27-Uzman_D!$H$11&lt;0, -(J27-Uzman_D!$H$11), J27-Uzman_D!$H$11)*0.1 +
        IF(K27-Uzman_D!$I$11&lt;0, -(K27-Uzman_D!$I$11), K27-Uzman_D!$I$11)*0.1 +
        IF(L27-Uzman_D!$J$11&lt;0, -(L27-Uzman_D!$J$11), L27-Uzman_D!$J$11)*0.1
    ) +
    IF(ROUND((IF(N27-Uzman_D!$L$11&lt;0, -(N27-Uzman_D!$L$11), N27-Uzman_D!$L$11)*2),0)/2 = IF(N27-Uzman_D!$L$11&lt;0, -(N27-Uzman_D!$L$11), N27-Uzman_D!$L$11),
    (ROUND((IF(N27-Uzman_D!$L$11&lt;0, -(N27-Uzman_D!$L$11), N27-Uzman_D!$L$11)*2),0)/1 * 0.1), 0) +
    IF(O27-Uzman_D!$M$11&lt;0, -(O27-Uzman_D!$M$11), O27-Uzman_D!$M$11)*1
)</f>
        <v>-0.30000000000000027</v>
      </c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2"/>
      <c r="AB27" s="72"/>
      <c r="AC27" s="73">
        <f>1 - (
    SUM(
        IF(Q27-Uzman_D!$B$12&lt;0, -(Q27-Uzman_D!$B$12), Q27-Uzman_D!$B$12)*0.1 +
        IF(R27-Uzman_D!$C$12&lt;0, -(R27-Uzman_D!$C$12), R27-Uzman_D!$C$12)*0.1 +
        IF(S27-Uzman_D!$D$12&lt;0, -(S27-Uzman_D!$D$12), S27-Uzman_D!$D$12)*0.1 +
        IF(T27-Uzman_D!$E$12&lt;0, -(T27-Uzman_D!$E$12), T27-Uzman_D!$E$12)*0.1 +
        IF(U27-Uzman_D!$F$12&lt;0, -(U27-Uzman_D!$F$12), U27-Uzman_D!$F$12)*0.1 +
        IF(V27-Uzman_D!$G$12&lt;0, -(V27-Uzman_D!$G$12), V27-Uzman_D!$G$12)*0.1 +
        IF(W27-Uzman_D!$H$12&lt;0, -(W27-Uzman_D!$H$12), W27-Uzman_D!$H$12)*0.1 +
        IF(X27-Uzman_D!$I$12&lt;0, -(X27-Uzman_D!$I$12), X27-Uzman_D!$I$12)*0.1 +
        IF(Y27-Uzman_D!$J$12&lt;0, -(Y27-Uzman_D!$J$12), Y27-Uzman_D!$J$12)*0.1
    ) +
    IF(ROUND((IF(AA27-Uzman_D!$L$12&lt;0, -(AA27-Uzman_D!$L$12), AA27-Uzman_D!$L$12)*2),0)/2 = IF(AA27-Uzman_D!$L$12&lt;0, -(AA27-Uzman_D!$L$12), AA27-Uzman_D!$L$12),
    (ROUND((IF(AA27-Uzman_D!$L$12&lt;0, -(AA27-Uzman_D!$L$12), AA27-Uzman_D!$L$12)*2),0)/1 * 0.1), 0) +
    IF(AB27-Uzman_D!$M$12&lt;0, -(AB27-Uzman_D!$M$12), AB27-Uzman_D!$M$12)*1
)</f>
        <v>-0.20000000000000018</v>
      </c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2"/>
      <c r="AO27" s="72"/>
      <c r="AP27" s="73">
        <f>1 - (
    SUM(
        IF(AD27-Uzman_D!$B$13&lt;0, -(AD27-Uzman_D!$B$13), AD27-Uzman_D!$B$13)*0.1 +
        IF(AE27-Uzman_D!$C$13&lt;0, -(AE27-Uzman_D!$C$13), AE27-Uzman_D!$C$13)*0.1 +
        IF(AF27-Uzman_D!$D$13&lt;0, -(AF27-Uzman_D!$D$13), AF27-Uzman_D!$D$13)*0.1 +
        IF(AG27-Uzman_D!$E$13&lt;0, -(AG27-Uzman_D!$E$13), AG27-Uzman_D!$E$13)*0.1 +
        IF(AH27-Uzman_D!$F$13&lt;0, -(AH27-Uzman_D!$F$13), AH27-Uzman_D!$F$13)*0.1 +
        IF(AI27-Uzman_D!$G$13&lt;0, -(AI27-Uzman_D!$G$13), AI27-Uzman_D!$G$13)*0.1 +
        IF(AJ27-Uzman_D!$H$13&lt;0, -(AJ27-Uzman_D!$H$13), AJ27-Uzman_D!$H$13)*0.1 +
        IF(AK27-Uzman_D!$I$13&lt;0, -(AK27-Uzman_D!$I$13), AK27-Uzman_D!$I$13)*0.1 +
        IF(AL27-Uzman_D!$J$13&lt;0, -(AL27-Uzman_D!$J$13), AL27-Uzman_D!$J$13)*0.1
    ) +
    IF(ROUND((IF(AN27-Uzman_D!$L$13&lt;0, -(AN27-Uzman_D!$L$13), AN27-Uzman_D!$L$13)*2),0)/2 = IF(AN27-Uzman_D!$L$13&lt;0, -(AN27-Uzman_D!$L$13), AN27-Uzman_D!$L$13),
    (ROUND((IF(AN27-Uzman_D!$L$13&lt;0, -(AN27-Uzman_D!$L$13), AN27-Uzman_D!$L$13)*2),0)/1 * 0.1), 0) +
    IF(AO27-Uzman_D!$M$13&lt;0, -(AO27-Uzman_D!$M$13), AO27-Uzman_D!$M$13)*1
)</f>
        <v>-0.30000000000000004</v>
      </c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2"/>
      <c r="BB27" s="72"/>
      <c r="BC27" s="73">
        <f>1 - (
    SUM(
        IF(AQ27-Uzman_D!$B$14&lt;0, -(AQ27-Uzman_D!$B$14), AQ27-Uzman_D!$B$14)*0.1 +
        IF(AR27-Uzman_D!$C$14&lt;0, -(AR27-Uzman_D!$C$14), AR27-Uzman_D!$C$14)*0.1 +
        IF(AS27-Uzman_D!$D$14&lt;0, -(AS27-Uzman_D!$D$14), AS27-Uzman_D!$D$14)*0.1 +
        IF(AT27-Uzman_D!$E$14&lt;0, -(AT27-Uzman_D!$E$14), AT27-Uzman_D!$E$14)*0.1 +
        IF(AU27-Uzman_D!$F$14&lt;0, -(AU27-Uzman_D!$F$14), AU27-Uzman_D!$F$14)*0.1 +
        IF(AV27-Uzman_D!$G$14&lt;0, -(AV27-Uzman_D!$G$14), AV27-Uzman_D!$G$14)*0.1 +
        IF(AW27-Uzman_D!$H$14&lt;0, -(AW27-Uzman_D!$H$14), AW27-Uzman_D!$H$14)*0.1 +
        IF(AX27-Uzman_D!$I$14&lt;0, -(AX27-Uzman_D!$I$14), AX27-Uzman_D!$I$14)*0.1 +
        IF(AY27-Uzman_D!$J$14&lt;0, -(AY27-Uzman_D!$J$14), AY27-Uzman_D!$J$14)*0.1
    ) +
    IF(ROUND((IF(BA27-Uzman_D!$L$14&lt;0, -(BA27-Uzman_D!$L$14), BA27-Uzman_D!$L$14)*2),0)/2 = IF(BA27-Uzman_D!$L$14&lt;0, -(BA27-Uzman_D!$L$14), BA27-Uzman_D!$L$14),
    (ROUND((IF(BA27-Uzman_D!$L$14&lt;0, -(BA27-Uzman_D!$L$14), BA27-Uzman_D!$L$14)*2),0)/1 * 0.1), 0) +
    IF(BB27-Uzman_D!$M$14&lt;0, -(BB27-Uzman_D!$M$14), BB27-Uzman_D!$M$14)*1
)</f>
        <v>-0.20000000000000018</v>
      </c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2"/>
      <c r="BO27" s="72"/>
      <c r="BP27" s="73">
        <f>1 - (
    SUM(
        IF(BD27-Uzman_D!$B$15&lt;0, -(BD27-Uzman_D!$B$15), BD27-Uzman_D!$B$15)*0.1 +
        IF(BE27-Uzman_D!$C$15&lt;0, -(BE27-Uzman_D!$C$15), BE27-Uzman_D!$C$15)*0.1 +
        IF(BF27-Uzman_D!$D$15&lt;0, -(BF27-Uzman_D!$D$15), BF27-Uzman_D!$D$15)*0.1 +
        IF(BG27-Uzman_D!$E$15&lt;0, -(BG27-Uzman_D!$E$15), BG27-Uzman_D!$E$15)*0.1 +
        IF(BH27-Uzman_D!$F$15&lt;0, -(BH27-Uzman_D!$F$15), BH27-Uzman_D!$F$15)*0.1 +
        IF(BI27-Uzman_D!$G$15&lt;0, -(BI27-Uzman_D!$G$15), BI27-Uzman_D!$G$15)*0.1 +
        IF(BJ27-Uzman_D!$H$15&lt;0, -(BJ27-Uzman_D!$H$15), BJ27-Uzman_D!$H$15)*0.1 +
        IF(BK27-Uzman_D!$I$15&lt;0, -(BK27-Uzman_D!$I$15), BK27-Uzman_D!$I$15)*0.1 +
        IF(BL27-Uzman_D!$J$15&lt;0, -(BL27-Uzman_D!$J$15), BL27-Uzman_D!$J$15)*0.1
    ) +
    IF(ROUND((IF(BN27-Uzman_D!$L$15&lt;0, -(BN27-Uzman_D!$L$15), BN27-Uzman_D!$L$15)*2),0)/2 = IF(BN27-Uzman_D!$L$15&lt;0, -(BN27-Uzman_D!$L$15), BN27-Uzman_D!$L$15),
    (ROUND((IF(BN27-Uzman_D!$L$15&lt;0, -(BN27-Uzman_D!$L$15), BN27-Uzman_D!$L$15)*2),0)/1 * 0.1), 0) +
    IF(BO27-Uzman_D!$M$15&lt;0, -(BO27-Uzman_D!$M$15), BO27-Uzman_D!$M$15)*1
)</f>
        <v>-0.60000000000000009</v>
      </c>
      <c r="BQ27" s="74">
        <f t="shared" si="0"/>
        <v>-0.32000000000000017</v>
      </c>
    </row>
    <row r="28" spans="1:69" ht="15" customHeight="1" x14ac:dyDescent="0.2">
      <c r="A28" s="57">
        <v>25</v>
      </c>
      <c r="B28" s="29">
        <f>Hakemler!B28</f>
        <v>0</v>
      </c>
      <c r="C28" s="29">
        <f>Hakemler!C28</f>
        <v>0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2"/>
      <c r="O28" s="72"/>
      <c r="P28" s="73">
        <f>1 - (
    SUM(
        IF(D28-Uzman_D!$B$11&lt;0, -(D28-Uzman_D!$B$11), D28-Uzman_D!$B$11)*0.1 +
        IF(E28-Uzman_D!$C$11&lt;0, -(E28-Uzman_D!$C$11), E28-Uzman_D!$C$11)*0.1 +
        IF(F28-Uzman_D!$D$11&lt;0, -(F28-Uzman_D!$D$11), F28-Uzman_D!$D$11)*0.1 +
        IF(G28-Uzman_D!$E$11&lt;0, -(G28-Uzman_D!$E$11), G28-Uzman_D!$E$11)*0.1 +
        IF(H28-Uzman_D!$F$11&lt;0, -(H28-Uzman_D!$F$11), H28-Uzman_D!$F$11)*0.1 +
        IF(I28-Uzman_D!$G$11&lt;0, -(I28-Uzman_D!$G$11), I28-Uzman_D!$G$11)*0.1 +
        IF(J28-Uzman_D!$H$11&lt;0, -(J28-Uzman_D!$H$11), J28-Uzman_D!$H$11)*0.1 +
        IF(K28-Uzman_D!$I$11&lt;0, -(K28-Uzman_D!$I$11), K28-Uzman_D!$I$11)*0.1 +
        IF(L28-Uzman_D!$J$11&lt;0, -(L28-Uzman_D!$J$11), L28-Uzman_D!$J$11)*0.1
    ) +
    IF(ROUND((IF(N28-Uzman_D!$L$11&lt;0, -(N28-Uzman_D!$L$11), N28-Uzman_D!$L$11)*2),0)/2 = IF(N28-Uzman_D!$L$11&lt;0, -(N28-Uzman_D!$L$11), N28-Uzman_D!$L$11),
    (ROUND((IF(N28-Uzman_D!$L$11&lt;0, -(N28-Uzman_D!$L$11), N28-Uzman_D!$L$11)*2),0)/1 * 0.1), 0) +
    IF(O28-Uzman_D!$M$11&lt;0, -(O28-Uzman_D!$M$11), O28-Uzman_D!$M$11)*1
)</f>
        <v>-0.30000000000000027</v>
      </c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2"/>
      <c r="AB28" s="72"/>
      <c r="AC28" s="73">
        <f>1 - (
    SUM(
        IF(Q28-Uzman_D!$B$12&lt;0, -(Q28-Uzman_D!$B$12), Q28-Uzman_D!$B$12)*0.1 +
        IF(R28-Uzman_D!$C$12&lt;0, -(R28-Uzman_D!$C$12), R28-Uzman_D!$C$12)*0.1 +
        IF(S28-Uzman_D!$D$12&lt;0, -(S28-Uzman_D!$D$12), S28-Uzman_D!$D$12)*0.1 +
        IF(T28-Uzman_D!$E$12&lt;0, -(T28-Uzman_D!$E$12), T28-Uzman_D!$E$12)*0.1 +
        IF(U28-Uzman_D!$F$12&lt;0, -(U28-Uzman_D!$F$12), U28-Uzman_D!$F$12)*0.1 +
        IF(V28-Uzman_D!$G$12&lt;0, -(V28-Uzman_D!$G$12), V28-Uzman_D!$G$12)*0.1 +
        IF(W28-Uzman_D!$H$12&lt;0, -(W28-Uzman_D!$H$12), W28-Uzman_D!$H$12)*0.1 +
        IF(X28-Uzman_D!$I$12&lt;0, -(X28-Uzman_D!$I$12), X28-Uzman_D!$I$12)*0.1 +
        IF(Y28-Uzman_D!$J$12&lt;0, -(Y28-Uzman_D!$J$12), Y28-Uzman_D!$J$12)*0.1
    ) +
    IF(ROUND((IF(AA28-Uzman_D!$L$12&lt;0, -(AA28-Uzman_D!$L$12), AA28-Uzman_D!$L$12)*2),0)/2 = IF(AA28-Uzman_D!$L$12&lt;0, -(AA28-Uzman_D!$L$12), AA28-Uzman_D!$L$12),
    (ROUND((IF(AA28-Uzman_D!$L$12&lt;0, -(AA28-Uzman_D!$L$12), AA28-Uzman_D!$L$12)*2),0)/1 * 0.1), 0) +
    IF(AB28-Uzman_D!$M$12&lt;0, -(AB28-Uzman_D!$M$12), AB28-Uzman_D!$M$12)*1
)</f>
        <v>-0.20000000000000018</v>
      </c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2"/>
      <c r="AO28" s="72"/>
      <c r="AP28" s="73">
        <f>1 - (
    SUM(
        IF(AD28-Uzman_D!$B$13&lt;0, -(AD28-Uzman_D!$B$13), AD28-Uzman_D!$B$13)*0.1 +
        IF(AE28-Uzman_D!$C$13&lt;0, -(AE28-Uzman_D!$C$13), AE28-Uzman_D!$C$13)*0.1 +
        IF(AF28-Uzman_D!$D$13&lt;0, -(AF28-Uzman_D!$D$13), AF28-Uzman_D!$D$13)*0.1 +
        IF(AG28-Uzman_D!$E$13&lt;0, -(AG28-Uzman_D!$E$13), AG28-Uzman_D!$E$13)*0.1 +
        IF(AH28-Uzman_D!$F$13&lt;0, -(AH28-Uzman_D!$F$13), AH28-Uzman_D!$F$13)*0.1 +
        IF(AI28-Uzman_D!$G$13&lt;0, -(AI28-Uzman_D!$G$13), AI28-Uzman_D!$G$13)*0.1 +
        IF(AJ28-Uzman_D!$H$13&lt;0, -(AJ28-Uzman_D!$H$13), AJ28-Uzman_D!$H$13)*0.1 +
        IF(AK28-Uzman_D!$I$13&lt;0, -(AK28-Uzman_D!$I$13), AK28-Uzman_D!$I$13)*0.1 +
        IF(AL28-Uzman_D!$J$13&lt;0, -(AL28-Uzman_D!$J$13), AL28-Uzman_D!$J$13)*0.1
    ) +
    IF(ROUND((IF(AN28-Uzman_D!$L$13&lt;0, -(AN28-Uzman_D!$L$13), AN28-Uzman_D!$L$13)*2),0)/2 = IF(AN28-Uzman_D!$L$13&lt;0, -(AN28-Uzman_D!$L$13), AN28-Uzman_D!$L$13),
    (ROUND((IF(AN28-Uzman_D!$L$13&lt;0, -(AN28-Uzman_D!$L$13), AN28-Uzman_D!$L$13)*2),0)/1 * 0.1), 0) +
    IF(AO28-Uzman_D!$M$13&lt;0, -(AO28-Uzman_D!$M$13), AO28-Uzman_D!$M$13)*1
)</f>
        <v>-0.30000000000000004</v>
      </c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2"/>
      <c r="BB28" s="72"/>
      <c r="BC28" s="73">
        <f>1 - (
    SUM(
        IF(AQ28-Uzman_D!$B$14&lt;0, -(AQ28-Uzman_D!$B$14), AQ28-Uzman_D!$B$14)*0.1 +
        IF(AR28-Uzman_D!$C$14&lt;0, -(AR28-Uzman_D!$C$14), AR28-Uzman_D!$C$14)*0.1 +
        IF(AS28-Uzman_D!$D$14&lt;0, -(AS28-Uzman_D!$D$14), AS28-Uzman_D!$D$14)*0.1 +
        IF(AT28-Uzman_D!$E$14&lt;0, -(AT28-Uzman_D!$E$14), AT28-Uzman_D!$E$14)*0.1 +
        IF(AU28-Uzman_D!$F$14&lt;0, -(AU28-Uzman_D!$F$14), AU28-Uzman_D!$F$14)*0.1 +
        IF(AV28-Uzman_D!$G$14&lt;0, -(AV28-Uzman_D!$G$14), AV28-Uzman_D!$G$14)*0.1 +
        IF(AW28-Uzman_D!$H$14&lt;0, -(AW28-Uzman_D!$H$14), AW28-Uzman_D!$H$14)*0.1 +
        IF(AX28-Uzman_D!$I$14&lt;0, -(AX28-Uzman_D!$I$14), AX28-Uzman_D!$I$14)*0.1 +
        IF(AY28-Uzman_D!$J$14&lt;0, -(AY28-Uzman_D!$J$14), AY28-Uzman_D!$J$14)*0.1
    ) +
    IF(ROUND((IF(BA28-Uzman_D!$L$14&lt;0, -(BA28-Uzman_D!$L$14), BA28-Uzman_D!$L$14)*2),0)/2 = IF(BA28-Uzman_D!$L$14&lt;0, -(BA28-Uzman_D!$L$14), BA28-Uzman_D!$L$14),
    (ROUND((IF(BA28-Uzman_D!$L$14&lt;0, -(BA28-Uzman_D!$L$14), BA28-Uzman_D!$L$14)*2),0)/1 * 0.1), 0) +
    IF(BB28-Uzman_D!$M$14&lt;0, -(BB28-Uzman_D!$M$14), BB28-Uzman_D!$M$14)*1
)</f>
        <v>-0.20000000000000018</v>
      </c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2"/>
      <c r="BO28" s="72"/>
      <c r="BP28" s="73">
        <f>1 - (
    SUM(
        IF(BD28-Uzman_D!$B$15&lt;0, -(BD28-Uzman_D!$B$15), BD28-Uzman_D!$B$15)*0.1 +
        IF(BE28-Uzman_D!$C$15&lt;0, -(BE28-Uzman_D!$C$15), BE28-Uzman_D!$C$15)*0.1 +
        IF(BF28-Uzman_D!$D$15&lt;0, -(BF28-Uzman_D!$D$15), BF28-Uzman_D!$D$15)*0.1 +
        IF(BG28-Uzman_D!$E$15&lt;0, -(BG28-Uzman_D!$E$15), BG28-Uzman_D!$E$15)*0.1 +
        IF(BH28-Uzman_D!$F$15&lt;0, -(BH28-Uzman_D!$F$15), BH28-Uzman_D!$F$15)*0.1 +
        IF(BI28-Uzman_D!$G$15&lt;0, -(BI28-Uzman_D!$G$15), BI28-Uzman_D!$G$15)*0.1 +
        IF(BJ28-Uzman_D!$H$15&lt;0, -(BJ28-Uzman_D!$H$15), BJ28-Uzman_D!$H$15)*0.1 +
        IF(BK28-Uzman_D!$I$15&lt;0, -(BK28-Uzman_D!$I$15), BK28-Uzman_D!$I$15)*0.1 +
        IF(BL28-Uzman_D!$J$15&lt;0, -(BL28-Uzman_D!$J$15), BL28-Uzman_D!$J$15)*0.1
    ) +
    IF(ROUND((IF(BN28-Uzman_D!$L$15&lt;0, -(BN28-Uzman_D!$L$15), BN28-Uzman_D!$L$15)*2),0)/2 = IF(BN28-Uzman_D!$L$15&lt;0, -(BN28-Uzman_D!$L$15), BN28-Uzman_D!$L$15),
    (ROUND((IF(BN28-Uzman_D!$L$15&lt;0, -(BN28-Uzman_D!$L$15), BN28-Uzman_D!$L$15)*2),0)/1 * 0.1), 0) +
    IF(BO28-Uzman_D!$M$15&lt;0, -(BO28-Uzman_D!$M$15), BO28-Uzman_D!$M$15)*1
)</f>
        <v>-0.60000000000000009</v>
      </c>
      <c r="BQ28" s="74">
        <f t="shared" si="0"/>
        <v>-0.32000000000000017</v>
      </c>
    </row>
    <row r="29" spans="1:69" ht="15" customHeight="1" x14ac:dyDescent="0.2">
      <c r="A29" s="57">
        <v>26</v>
      </c>
      <c r="B29" s="29">
        <f>Hakemler!B29</f>
        <v>0</v>
      </c>
      <c r="C29" s="29">
        <f>Hakemler!C29</f>
        <v>0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2"/>
      <c r="O29" s="72"/>
      <c r="P29" s="73">
        <f>1 - (
    SUM(
        IF(D29-Uzman_D!$B$11&lt;0, -(D29-Uzman_D!$B$11), D29-Uzman_D!$B$11)*0.1 +
        IF(E29-Uzman_D!$C$11&lt;0, -(E29-Uzman_D!$C$11), E29-Uzman_D!$C$11)*0.1 +
        IF(F29-Uzman_D!$D$11&lt;0, -(F29-Uzman_D!$D$11), F29-Uzman_D!$D$11)*0.1 +
        IF(G29-Uzman_D!$E$11&lt;0, -(G29-Uzman_D!$E$11), G29-Uzman_D!$E$11)*0.1 +
        IF(H29-Uzman_D!$F$11&lt;0, -(H29-Uzman_D!$F$11), H29-Uzman_D!$F$11)*0.1 +
        IF(I29-Uzman_D!$G$11&lt;0, -(I29-Uzman_D!$G$11), I29-Uzman_D!$G$11)*0.1 +
        IF(J29-Uzman_D!$H$11&lt;0, -(J29-Uzman_D!$H$11), J29-Uzman_D!$H$11)*0.1 +
        IF(K29-Uzman_D!$I$11&lt;0, -(K29-Uzman_D!$I$11), K29-Uzman_D!$I$11)*0.1 +
        IF(L29-Uzman_D!$J$11&lt;0, -(L29-Uzman_D!$J$11), L29-Uzman_D!$J$11)*0.1
    ) +
    IF(ROUND((IF(N29-Uzman_D!$L$11&lt;0, -(N29-Uzman_D!$L$11), N29-Uzman_D!$L$11)*2),0)/2 = IF(N29-Uzman_D!$L$11&lt;0, -(N29-Uzman_D!$L$11), N29-Uzman_D!$L$11),
    (ROUND((IF(N29-Uzman_D!$L$11&lt;0, -(N29-Uzman_D!$L$11), N29-Uzman_D!$L$11)*2),0)/1 * 0.1), 0) +
    IF(O29-Uzman_D!$M$11&lt;0, -(O29-Uzman_D!$M$11), O29-Uzman_D!$M$11)*1
)</f>
        <v>-0.30000000000000027</v>
      </c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2"/>
      <c r="AB29" s="72"/>
      <c r="AC29" s="73">
        <f>1 - (
    SUM(
        IF(Q29-Uzman_D!$B$12&lt;0, -(Q29-Uzman_D!$B$12), Q29-Uzman_D!$B$12)*0.1 +
        IF(R29-Uzman_D!$C$12&lt;0, -(R29-Uzman_D!$C$12), R29-Uzman_D!$C$12)*0.1 +
        IF(S29-Uzman_D!$D$12&lt;0, -(S29-Uzman_D!$D$12), S29-Uzman_D!$D$12)*0.1 +
        IF(T29-Uzman_D!$E$12&lt;0, -(T29-Uzman_D!$E$12), T29-Uzman_D!$E$12)*0.1 +
        IF(U29-Uzman_D!$F$12&lt;0, -(U29-Uzman_D!$F$12), U29-Uzman_D!$F$12)*0.1 +
        IF(V29-Uzman_D!$G$12&lt;0, -(V29-Uzman_D!$G$12), V29-Uzman_D!$G$12)*0.1 +
        IF(W29-Uzman_D!$H$12&lt;0, -(W29-Uzman_D!$H$12), W29-Uzman_D!$H$12)*0.1 +
        IF(X29-Uzman_D!$I$12&lt;0, -(X29-Uzman_D!$I$12), X29-Uzman_D!$I$12)*0.1 +
        IF(Y29-Uzman_D!$J$12&lt;0, -(Y29-Uzman_D!$J$12), Y29-Uzman_D!$J$12)*0.1
    ) +
    IF(ROUND((IF(AA29-Uzman_D!$L$12&lt;0, -(AA29-Uzman_D!$L$12), AA29-Uzman_D!$L$12)*2),0)/2 = IF(AA29-Uzman_D!$L$12&lt;0, -(AA29-Uzman_D!$L$12), AA29-Uzman_D!$L$12),
    (ROUND((IF(AA29-Uzman_D!$L$12&lt;0, -(AA29-Uzman_D!$L$12), AA29-Uzman_D!$L$12)*2),0)/1 * 0.1), 0) +
    IF(AB29-Uzman_D!$M$12&lt;0, -(AB29-Uzman_D!$M$12), AB29-Uzman_D!$M$12)*1
)</f>
        <v>-0.20000000000000018</v>
      </c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2"/>
      <c r="AO29" s="72"/>
      <c r="AP29" s="73">
        <f>1 - (
    SUM(
        IF(AD29-Uzman_D!$B$13&lt;0, -(AD29-Uzman_D!$B$13), AD29-Uzman_D!$B$13)*0.1 +
        IF(AE29-Uzman_D!$C$13&lt;0, -(AE29-Uzman_D!$C$13), AE29-Uzman_D!$C$13)*0.1 +
        IF(AF29-Uzman_D!$D$13&lt;0, -(AF29-Uzman_D!$D$13), AF29-Uzman_D!$D$13)*0.1 +
        IF(AG29-Uzman_D!$E$13&lt;0, -(AG29-Uzman_D!$E$13), AG29-Uzman_D!$E$13)*0.1 +
        IF(AH29-Uzman_D!$F$13&lt;0, -(AH29-Uzman_D!$F$13), AH29-Uzman_D!$F$13)*0.1 +
        IF(AI29-Uzman_D!$G$13&lt;0, -(AI29-Uzman_D!$G$13), AI29-Uzman_D!$G$13)*0.1 +
        IF(AJ29-Uzman_D!$H$13&lt;0, -(AJ29-Uzman_D!$H$13), AJ29-Uzman_D!$H$13)*0.1 +
        IF(AK29-Uzman_D!$I$13&lt;0, -(AK29-Uzman_D!$I$13), AK29-Uzman_D!$I$13)*0.1 +
        IF(AL29-Uzman_D!$J$13&lt;0, -(AL29-Uzman_D!$J$13), AL29-Uzman_D!$J$13)*0.1
    ) +
    IF(ROUND((IF(AN29-Uzman_D!$L$13&lt;0, -(AN29-Uzman_D!$L$13), AN29-Uzman_D!$L$13)*2),0)/2 = IF(AN29-Uzman_D!$L$13&lt;0, -(AN29-Uzman_D!$L$13), AN29-Uzman_D!$L$13),
    (ROUND((IF(AN29-Uzman_D!$L$13&lt;0, -(AN29-Uzman_D!$L$13), AN29-Uzman_D!$L$13)*2),0)/1 * 0.1), 0) +
    IF(AO29-Uzman_D!$M$13&lt;0, -(AO29-Uzman_D!$M$13), AO29-Uzman_D!$M$13)*1
)</f>
        <v>-0.30000000000000004</v>
      </c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2"/>
      <c r="BB29" s="72"/>
      <c r="BC29" s="73">
        <f>1 - (
    SUM(
        IF(AQ29-Uzman_D!$B$14&lt;0, -(AQ29-Uzman_D!$B$14), AQ29-Uzman_D!$B$14)*0.1 +
        IF(AR29-Uzman_D!$C$14&lt;0, -(AR29-Uzman_D!$C$14), AR29-Uzman_D!$C$14)*0.1 +
        IF(AS29-Uzman_D!$D$14&lt;0, -(AS29-Uzman_D!$D$14), AS29-Uzman_D!$D$14)*0.1 +
        IF(AT29-Uzman_D!$E$14&lt;0, -(AT29-Uzman_D!$E$14), AT29-Uzman_D!$E$14)*0.1 +
        IF(AU29-Uzman_D!$F$14&lt;0, -(AU29-Uzman_D!$F$14), AU29-Uzman_D!$F$14)*0.1 +
        IF(AV29-Uzman_D!$G$14&lt;0, -(AV29-Uzman_D!$G$14), AV29-Uzman_D!$G$14)*0.1 +
        IF(AW29-Uzman_D!$H$14&lt;0, -(AW29-Uzman_D!$H$14), AW29-Uzman_D!$H$14)*0.1 +
        IF(AX29-Uzman_D!$I$14&lt;0, -(AX29-Uzman_D!$I$14), AX29-Uzman_D!$I$14)*0.1 +
        IF(AY29-Uzman_D!$J$14&lt;0, -(AY29-Uzman_D!$J$14), AY29-Uzman_D!$J$14)*0.1
    ) +
    IF(ROUND((IF(BA29-Uzman_D!$L$14&lt;0, -(BA29-Uzman_D!$L$14), BA29-Uzman_D!$L$14)*2),0)/2 = IF(BA29-Uzman_D!$L$14&lt;0, -(BA29-Uzman_D!$L$14), BA29-Uzman_D!$L$14),
    (ROUND((IF(BA29-Uzman_D!$L$14&lt;0, -(BA29-Uzman_D!$L$14), BA29-Uzman_D!$L$14)*2),0)/1 * 0.1), 0) +
    IF(BB29-Uzman_D!$M$14&lt;0, -(BB29-Uzman_D!$M$14), BB29-Uzman_D!$M$14)*1
)</f>
        <v>-0.20000000000000018</v>
      </c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2"/>
      <c r="BO29" s="72"/>
      <c r="BP29" s="73">
        <f>1 - (
    SUM(
        IF(BD29-Uzman_D!$B$15&lt;0, -(BD29-Uzman_D!$B$15), BD29-Uzman_D!$B$15)*0.1 +
        IF(BE29-Uzman_D!$C$15&lt;0, -(BE29-Uzman_D!$C$15), BE29-Uzman_D!$C$15)*0.1 +
        IF(BF29-Uzman_D!$D$15&lt;0, -(BF29-Uzman_D!$D$15), BF29-Uzman_D!$D$15)*0.1 +
        IF(BG29-Uzman_D!$E$15&lt;0, -(BG29-Uzman_D!$E$15), BG29-Uzman_D!$E$15)*0.1 +
        IF(BH29-Uzman_D!$F$15&lt;0, -(BH29-Uzman_D!$F$15), BH29-Uzman_D!$F$15)*0.1 +
        IF(BI29-Uzman_D!$G$15&lt;0, -(BI29-Uzman_D!$G$15), BI29-Uzman_D!$G$15)*0.1 +
        IF(BJ29-Uzman_D!$H$15&lt;0, -(BJ29-Uzman_D!$H$15), BJ29-Uzman_D!$H$15)*0.1 +
        IF(BK29-Uzman_D!$I$15&lt;0, -(BK29-Uzman_D!$I$15), BK29-Uzman_D!$I$15)*0.1 +
        IF(BL29-Uzman_D!$J$15&lt;0, -(BL29-Uzman_D!$J$15), BL29-Uzman_D!$J$15)*0.1
    ) +
    IF(ROUND((IF(BN29-Uzman_D!$L$15&lt;0, -(BN29-Uzman_D!$L$15), BN29-Uzman_D!$L$15)*2),0)/2 = IF(BN29-Uzman_D!$L$15&lt;0, -(BN29-Uzman_D!$L$15), BN29-Uzman_D!$L$15),
    (ROUND((IF(BN29-Uzman_D!$L$15&lt;0, -(BN29-Uzman_D!$L$15), BN29-Uzman_D!$L$15)*2),0)/1 * 0.1), 0) +
    IF(BO29-Uzman_D!$M$15&lt;0, -(BO29-Uzman_D!$M$15), BO29-Uzman_D!$M$15)*1
)</f>
        <v>-0.60000000000000009</v>
      </c>
      <c r="BQ29" s="74">
        <f t="shared" si="0"/>
        <v>-0.32000000000000017</v>
      </c>
    </row>
    <row r="30" spans="1:69" ht="15" customHeight="1" x14ac:dyDescent="0.2">
      <c r="A30" s="57">
        <v>27</v>
      </c>
      <c r="B30" s="29">
        <f>Hakemler!B30</f>
        <v>0</v>
      </c>
      <c r="C30" s="29">
        <f>Hakemler!C30</f>
        <v>0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2"/>
      <c r="O30" s="72"/>
      <c r="P30" s="73">
        <f>1 - (
    SUM(
        IF(D30-Uzman_D!$B$11&lt;0, -(D30-Uzman_D!$B$11), D30-Uzman_D!$B$11)*0.1 +
        IF(E30-Uzman_D!$C$11&lt;0, -(E30-Uzman_D!$C$11), E30-Uzman_D!$C$11)*0.1 +
        IF(F30-Uzman_D!$D$11&lt;0, -(F30-Uzman_D!$D$11), F30-Uzman_D!$D$11)*0.1 +
        IF(G30-Uzman_D!$E$11&lt;0, -(G30-Uzman_D!$E$11), G30-Uzman_D!$E$11)*0.1 +
        IF(H30-Uzman_D!$F$11&lt;0, -(H30-Uzman_D!$F$11), H30-Uzman_D!$F$11)*0.1 +
        IF(I30-Uzman_D!$G$11&lt;0, -(I30-Uzman_D!$G$11), I30-Uzman_D!$G$11)*0.1 +
        IF(J30-Uzman_D!$H$11&lt;0, -(J30-Uzman_D!$H$11), J30-Uzman_D!$H$11)*0.1 +
        IF(K30-Uzman_D!$I$11&lt;0, -(K30-Uzman_D!$I$11), K30-Uzman_D!$I$11)*0.1 +
        IF(L30-Uzman_D!$J$11&lt;0, -(L30-Uzman_D!$J$11), L30-Uzman_D!$J$11)*0.1
    ) +
    IF(ROUND((IF(N30-Uzman_D!$L$11&lt;0, -(N30-Uzman_D!$L$11), N30-Uzman_D!$L$11)*2),0)/2 = IF(N30-Uzman_D!$L$11&lt;0, -(N30-Uzman_D!$L$11), N30-Uzman_D!$L$11),
    (ROUND((IF(N30-Uzman_D!$L$11&lt;0, -(N30-Uzman_D!$L$11), N30-Uzman_D!$L$11)*2),0)/1 * 0.1), 0) +
    IF(O30-Uzman_D!$M$11&lt;0, -(O30-Uzman_D!$M$11), O30-Uzman_D!$M$11)*1
)</f>
        <v>-0.30000000000000027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/>
      <c r="AB30" s="72"/>
      <c r="AC30" s="73">
        <f>1 - (
    SUM(
        IF(Q30-Uzman_D!$B$12&lt;0, -(Q30-Uzman_D!$B$12), Q30-Uzman_D!$B$12)*0.1 +
        IF(R30-Uzman_D!$C$12&lt;0, -(R30-Uzman_D!$C$12), R30-Uzman_D!$C$12)*0.1 +
        IF(S30-Uzman_D!$D$12&lt;0, -(S30-Uzman_D!$D$12), S30-Uzman_D!$D$12)*0.1 +
        IF(T30-Uzman_D!$E$12&lt;0, -(T30-Uzman_D!$E$12), T30-Uzman_D!$E$12)*0.1 +
        IF(U30-Uzman_D!$F$12&lt;0, -(U30-Uzman_D!$F$12), U30-Uzman_D!$F$12)*0.1 +
        IF(V30-Uzman_D!$G$12&lt;0, -(V30-Uzman_D!$G$12), V30-Uzman_D!$G$12)*0.1 +
        IF(W30-Uzman_D!$H$12&lt;0, -(W30-Uzman_D!$H$12), W30-Uzman_D!$H$12)*0.1 +
        IF(X30-Uzman_D!$I$12&lt;0, -(X30-Uzman_D!$I$12), X30-Uzman_D!$I$12)*0.1 +
        IF(Y30-Uzman_D!$J$12&lt;0, -(Y30-Uzman_D!$J$12), Y30-Uzman_D!$J$12)*0.1
    ) +
    IF(ROUND((IF(AA30-Uzman_D!$L$12&lt;0, -(AA30-Uzman_D!$L$12), AA30-Uzman_D!$L$12)*2),0)/2 = IF(AA30-Uzman_D!$L$12&lt;0, -(AA30-Uzman_D!$L$12), AA30-Uzman_D!$L$12),
    (ROUND((IF(AA30-Uzman_D!$L$12&lt;0, -(AA30-Uzman_D!$L$12), AA30-Uzman_D!$L$12)*2),0)/1 * 0.1), 0) +
    IF(AB30-Uzman_D!$M$12&lt;0, -(AB30-Uzman_D!$M$12), AB30-Uzman_D!$M$12)*1
)</f>
        <v>-0.20000000000000018</v>
      </c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2"/>
      <c r="AO30" s="72"/>
      <c r="AP30" s="73">
        <f>1 - (
    SUM(
        IF(AD30-Uzman_D!$B$13&lt;0, -(AD30-Uzman_D!$B$13), AD30-Uzman_D!$B$13)*0.1 +
        IF(AE30-Uzman_D!$C$13&lt;0, -(AE30-Uzman_D!$C$13), AE30-Uzman_D!$C$13)*0.1 +
        IF(AF30-Uzman_D!$D$13&lt;0, -(AF30-Uzman_D!$D$13), AF30-Uzman_D!$D$13)*0.1 +
        IF(AG30-Uzman_D!$E$13&lt;0, -(AG30-Uzman_D!$E$13), AG30-Uzman_D!$E$13)*0.1 +
        IF(AH30-Uzman_D!$F$13&lt;0, -(AH30-Uzman_D!$F$13), AH30-Uzman_D!$F$13)*0.1 +
        IF(AI30-Uzman_D!$G$13&lt;0, -(AI30-Uzman_D!$G$13), AI30-Uzman_D!$G$13)*0.1 +
        IF(AJ30-Uzman_D!$H$13&lt;0, -(AJ30-Uzman_D!$H$13), AJ30-Uzman_D!$H$13)*0.1 +
        IF(AK30-Uzman_D!$I$13&lt;0, -(AK30-Uzman_D!$I$13), AK30-Uzman_D!$I$13)*0.1 +
        IF(AL30-Uzman_D!$J$13&lt;0, -(AL30-Uzman_D!$J$13), AL30-Uzman_D!$J$13)*0.1
    ) +
    IF(ROUND((IF(AN30-Uzman_D!$L$13&lt;0, -(AN30-Uzman_D!$L$13), AN30-Uzman_D!$L$13)*2),0)/2 = IF(AN30-Uzman_D!$L$13&lt;0, -(AN30-Uzman_D!$L$13), AN30-Uzman_D!$L$13),
    (ROUND((IF(AN30-Uzman_D!$L$13&lt;0, -(AN30-Uzman_D!$L$13), AN30-Uzman_D!$L$13)*2),0)/1 * 0.1), 0) +
    IF(AO30-Uzman_D!$M$13&lt;0, -(AO30-Uzman_D!$M$13), AO30-Uzman_D!$M$13)*1
)</f>
        <v>-0.30000000000000004</v>
      </c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2"/>
      <c r="BB30" s="72"/>
      <c r="BC30" s="73">
        <f>1 - (
    SUM(
        IF(AQ30-Uzman_D!$B$14&lt;0, -(AQ30-Uzman_D!$B$14), AQ30-Uzman_D!$B$14)*0.1 +
        IF(AR30-Uzman_D!$C$14&lt;0, -(AR30-Uzman_D!$C$14), AR30-Uzman_D!$C$14)*0.1 +
        IF(AS30-Uzman_D!$D$14&lt;0, -(AS30-Uzman_D!$D$14), AS30-Uzman_D!$D$14)*0.1 +
        IF(AT30-Uzman_D!$E$14&lt;0, -(AT30-Uzman_D!$E$14), AT30-Uzman_D!$E$14)*0.1 +
        IF(AU30-Uzman_D!$F$14&lt;0, -(AU30-Uzman_D!$F$14), AU30-Uzman_D!$F$14)*0.1 +
        IF(AV30-Uzman_D!$G$14&lt;0, -(AV30-Uzman_D!$G$14), AV30-Uzman_D!$G$14)*0.1 +
        IF(AW30-Uzman_D!$H$14&lt;0, -(AW30-Uzman_D!$H$14), AW30-Uzman_D!$H$14)*0.1 +
        IF(AX30-Uzman_D!$I$14&lt;0, -(AX30-Uzman_D!$I$14), AX30-Uzman_D!$I$14)*0.1 +
        IF(AY30-Uzman_D!$J$14&lt;0, -(AY30-Uzman_D!$J$14), AY30-Uzman_D!$J$14)*0.1
    ) +
    IF(ROUND((IF(BA30-Uzman_D!$L$14&lt;0, -(BA30-Uzman_D!$L$14), BA30-Uzman_D!$L$14)*2),0)/2 = IF(BA30-Uzman_D!$L$14&lt;0, -(BA30-Uzman_D!$L$14), BA30-Uzman_D!$L$14),
    (ROUND((IF(BA30-Uzman_D!$L$14&lt;0, -(BA30-Uzman_D!$L$14), BA30-Uzman_D!$L$14)*2),0)/1 * 0.1), 0) +
    IF(BB30-Uzman_D!$M$14&lt;0, -(BB30-Uzman_D!$M$14), BB30-Uzman_D!$M$14)*1
)</f>
        <v>-0.20000000000000018</v>
      </c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2"/>
      <c r="BO30" s="72"/>
      <c r="BP30" s="73">
        <f>1 - (
    SUM(
        IF(BD30-Uzman_D!$B$15&lt;0, -(BD30-Uzman_D!$B$15), BD30-Uzman_D!$B$15)*0.1 +
        IF(BE30-Uzman_D!$C$15&lt;0, -(BE30-Uzman_D!$C$15), BE30-Uzman_D!$C$15)*0.1 +
        IF(BF30-Uzman_D!$D$15&lt;0, -(BF30-Uzman_D!$D$15), BF30-Uzman_D!$D$15)*0.1 +
        IF(BG30-Uzman_D!$E$15&lt;0, -(BG30-Uzman_D!$E$15), BG30-Uzman_D!$E$15)*0.1 +
        IF(BH30-Uzman_D!$F$15&lt;0, -(BH30-Uzman_D!$F$15), BH30-Uzman_D!$F$15)*0.1 +
        IF(BI30-Uzman_D!$G$15&lt;0, -(BI30-Uzman_D!$G$15), BI30-Uzman_D!$G$15)*0.1 +
        IF(BJ30-Uzman_D!$H$15&lt;0, -(BJ30-Uzman_D!$H$15), BJ30-Uzman_D!$H$15)*0.1 +
        IF(BK30-Uzman_D!$I$15&lt;0, -(BK30-Uzman_D!$I$15), BK30-Uzman_D!$I$15)*0.1 +
        IF(BL30-Uzman_D!$J$15&lt;0, -(BL30-Uzman_D!$J$15), BL30-Uzman_D!$J$15)*0.1
    ) +
    IF(ROUND((IF(BN30-Uzman_D!$L$15&lt;0, -(BN30-Uzman_D!$L$15), BN30-Uzman_D!$L$15)*2),0)/2 = IF(BN30-Uzman_D!$L$15&lt;0, -(BN30-Uzman_D!$L$15), BN30-Uzman_D!$L$15),
    (ROUND((IF(BN30-Uzman_D!$L$15&lt;0, -(BN30-Uzman_D!$L$15), BN30-Uzman_D!$L$15)*2),0)/1 * 0.1), 0) +
    IF(BO30-Uzman_D!$M$15&lt;0, -(BO30-Uzman_D!$M$15), BO30-Uzman_D!$M$15)*1
)</f>
        <v>-0.60000000000000009</v>
      </c>
      <c r="BQ30" s="74">
        <f t="shared" si="0"/>
        <v>-0.32000000000000017</v>
      </c>
    </row>
    <row r="31" spans="1:69" ht="15" customHeight="1" x14ac:dyDescent="0.2">
      <c r="A31" s="57">
        <v>28</v>
      </c>
      <c r="B31" s="29">
        <f>Hakemler!B31</f>
        <v>0</v>
      </c>
      <c r="C31" s="29">
        <f>Hakemler!C31</f>
        <v>0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2"/>
      <c r="O31" s="72"/>
      <c r="P31" s="73">
        <f>1 - (
    SUM(
        IF(D31-Uzman_D!$B$11&lt;0, -(D31-Uzman_D!$B$11), D31-Uzman_D!$B$11)*0.1 +
        IF(E31-Uzman_D!$C$11&lt;0, -(E31-Uzman_D!$C$11), E31-Uzman_D!$C$11)*0.1 +
        IF(F31-Uzman_D!$D$11&lt;0, -(F31-Uzman_D!$D$11), F31-Uzman_D!$D$11)*0.1 +
        IF(G31-Uzman_D!$E$11&lt;0, -(G31-Uzman_D!$E$11), G31-Uzman_D!$E$11)*0.1 +
        IF(H31-Uzman_D!$F$11&lt;0, -(H31-Uzman_D!$F$11), H31-Uzman_D!$F$11)*0.1 +
        IF(I31-Uzman_D!$G$11&lt;0, -(I31-Uzman_D!$G$11), I31-Uzman_D!$G$11)*0.1 +
        IF(J31-Uzman_D!$H$11&lt;0, -(J31-Uzman_D!$H$11), J31-Uzman_D!$H$11)*0.1 +
        IF(K31-Uzman_D!$I$11&lt;0, -(K31-Uzman_D!$I$11), K31-Uzman_D!$I$11)*0.1 +
        IF(L31-Uzman_D!$J$11&lt;0, -(L31-Uzman_D!$J$11), L31-Uzman_D!$J$11)*0.1
    ) +
    IF(ROUND((IF(N31-Uzman_D!$L$11&lt;0, -(N31-Uzman_D!$L$11), N31-Uzman_D!$L$11)*2),0)/2 = IF(N31-Uzman_D!$L$11&lt;0, -(N31-Uzman_D!$L$11), N31-Uzman_D!$L$11),
    (ROUND((IF(N31-Uzman_D!$L$11&lt;0, -(N31-Uzman_D!$L$11), N31-Uzman_D!$L$11)*2),0)/1 * 0.1), 0) +
    IF(O31-Uzman_D!$M$11&lt;0, -(O31-Uzman_D!$M$11), O31-Uzman_D!$M$11)*1
)</f>
        <v>-0.30000000000000027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/>
      <c r="AB31" s="72"/>
      <c r="AC31" s="73">
        <f>1 - (
    SUM(
        IF(Q31-Uzman_D!$B$12&lt;0, -(Q31-Uzman_D!$B$12), Q31-Uzman_D!$B$12)*0.1 +
        IF(R31-Uzman_D!$C$12&lt;0, -(R31-Uzman_D!$C$12), R31-Uzman_D!$C$12)*0.1 +
        IF(S31-Uzman_D!$D$12&lt;0, -(S31-Uzman_D!$D$12), S31-Uzman_D!$D$12)*0.1 +
        IF(T31-Uzman_D!$E$12&lt;0, -(T31-Uzman_D!$E$12), T31-Uzman_D!$E$12)*0.1 +
        IF(U31-Uzman_D!$F$12&lt;0, -(U31-Uzman_D!$F$12), U31-Uzman_D!$F$12)*0.1 +
        IF(V31-Uzman_D!$G$12&lt;0, -(V31-Uzman_D!$G$12), V31-Uzman_D!$G$12)*0.1 +
        IF(W31-Uzman_D!$H$12&lt;0, -(W31-Uzman_D!$H$12), W31-Uzman_D!$H$12)*0.1 +
        IF(X31-Uzman_D!$I$12&lt;0, -(X31-Uzman_D!$I$12), X31-Uzman_D!$I$12)*0.1 +
        IF(Y31-Uzman_D!$J$12&lt;0, -(Y31-Uzman_D!$J$12), Y31-Uzman_D!$J$12)*0.1
    ) +
    IF(ROUND((IF(AA31-Uzman_D!$L$12&lt;0, -(AA31-Uzman_D!$L$12), AA31-Uzman_D!$L$12)*2),0)/2 = IF(AA31-Uzman_D!$L$12&lt;0, -(AA31-Uzman_D!$L$12), AA31-Uzman_D!$L$12),
    (ROUND((IF(AA31-Uzman_D!$L$12&lt;0, -(AA31-Uzman_D!$L$12), AA31-Uzman_D!$L$12)*2),0)/1 * 0.1), 0) +
    IF(AB31-Uzman_D!$M$12&lt;0, -(AB31-Uzman_D!$M$12), AB31-Uzman_D!$M$12)*1
)</f>
        <v>-0.20000000000000018</v>
      </c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2"/>
      <c r="AO31" s="72"/>
      <c r="AP31" s="73">
        <f>1 - (
    SUM(
        IF(AD31-Uzman_D!$B$13&lt;0, -(AD31-Uzman_D!$B$13), AD31-Uzman_D!$B$13)*0.1 +
        IF(AE31-Uzman_D!$C$13&lt;0, -(AE31-Uzman_D!$C$13), AE31-Uzman_D!$C$13)*0.1 +
        IF(AF31-Uzman_D!$D$13&lt;0, -(AF31-Uzman_D!$D$13), AF31-Uzman_D!$D$13)*0.1 +
        IF(AG31-Uzman_D!$E$13&lt;0, -(AG31-Uzman_D!$E$13), AG31-Uzman_D!$E$13)*0.1 +
        IF(AH31-Uzman_D!$F$13&lt;0, -(AH31-Uzman_D!$F$13), AH31-Uzman_D!$F$13)*0.1 +
        IF(AI31-Uzman_D!$G$13&lt;0, -(AI31-Uzman_D!$G$13), AI31-Uzman_D!$G$13)*0.1 +
        IF(AJ31-Uzman_D!$H$13&lt;0, -(AJ31-Uzman_D!$H$13), AJ31-Uzman_D!$H$13)*0.1 +
        IF(AK31-Uzman_D!$I$13&lt;0, -(AK31-Uzman_D!$I$13), AK31-Uzman_D!$I$13)*0.1 +
        IF(AL31-Uzman_D!$J$13&lt;0, -(AL31-Uzman_D!$J$13), AL31-Uzman_D!$J$13)*0.1
    ) +
    IF(ROUND((IF(AN31-Uzman_D!$L$13&lt;0, -(AN31-Uzman_D!$L$13), AN31-Uzman_D!$L$13)*2),0)/2 = IF(AN31-Uzman_D!$L$13&lt;0, -(AN31-Uzman_D!$L$13), AN31-Uzman_D!$L$13),
    (ROUND((IF(AN31-Uzman_D!$L$13&lt;0, -(AN31-Uzman_D!$L$13), AN31-Uzman_D!$L$13)*2),0)/1 * 0.1), 0) +
    IF(AO31-Uzman_D!$M$13&lt;0, -(AO31-Uzman_D!$M$13), AO31-Uzman_D!$M$13)*1
)</f>
        <v>-0.30000000000000004</v>
      </c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2"/>
      <c r="BB31" s="72"/>
      <c r="BC31" s="73">
        <f>1 - (
    SUM(
        IF(AQ31-Uzman_D!$B$14&lt;0, -(AQ31-Uzman_D!$B$14), AQ31-Uzman_D!$B$14)*0.1 +
        IF(AR31-Uzman_D!$C$14&lt;0, -(AR31-Uzman_D!$C$14), AR31-Uzman_D!$C$14)*0.1 +
        IF(AS31-Uzman_D!$D$14&lt;0, -(AS31-Uzman_D!$D$14), AS31-Uzman_D!$D$14)*0.1 +
        IF(AT31-Uzman_D!$E$14&lt;0, -(AT31-Uzman_D!$E$14), AT31-Uzman_D!$E$14)*0.1 +
        IF(AU31-Uzman_D!$F$14&lt;0, -(AU31-Uzman_D!$F$14), AU31-Uzman_D!$F$14)*0.1 +
        IF(AV31-Uzman_D!$G$14&lt;0, -(AV31-Uzman_D!$G$14), AV31-Uzman_D!$G$14)*0.1 +
        IF(AW31-Uzman_D!$H$14&lt;0, -(AW31-Uzman_D!$H$14), AW31-Uzman_D!$H$14)*0.1 +
        IF(AX31-Uzman_D!$I$14&lt;0, -(AX31-Uzman_D!$I$14), AX31-Uzman_D!$I$14)*0.1 +
        IF(AY31-Uzman_D!$J$14&lt;0, -(AY31-Uzman_D!$J$14), AY31-Uzman_D!$J$14)*0.1
    ) +
    IF(ROUND((IF(BA31-Uzman_D!$L$14&lt;0, -(BA31-Uzman_D!$L$14), BA31-Uzman_D!$L$14)*2),0)/2 = IF(BA31-Uzman_D!$L$14&lt;0, -(BA31-Uzman_D!$L$14), BA31-Uzman_D!$L$14),
    (ROUND((IF(BA31-Uzman_D!$L$14&lt;0, -(BA31-Uzman_D!$L$14), BA31-Uzman_D!$L$14)*2),0)/1 * 0.1), 0) +
    IF(BB31-Uzman_D!$M$14&lt;0, -(BB31-Uzman_D!$M$14), BB31-Uzman_D!$M$14)*1
)</f>
        <v>-0.20000000000000018</v>
      </c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2"/>
      <c r="BO31" s="72"/>
      <c r="BP31" s="73">
        <f>1 - (
    SUM(
        IF(BD31-Uzman_D!$B$15&lt;0, -(BD31-Uzman_D!$B$15), BD31-Uzman_D!$B$15)*0.1 +
        IF(BE31-Uzman_D!$C$15&lt;0, -(BE31-Uzman_D!$C$15), BE31-Uzman_D!$C$15)*0.1 +
        IF(BF31-Uzman_D!$D$15&lt;0, -(BF31-Uzman_D!$D$15), BF31-Uzman_D!$D$15)*0.1 +
        IF(BG31-Uzman_D!$E$15&lt;0, -(BG31-Uzman_D!$E$15), BG31-Uzman_D!$E$15)*0.1 +
        IF(BH31-Uzman_D!$F$15&lt;0, -(BH31-Uzman_D!$F$15), BH31-Uzman_D!$F$15)*0.1 +
        IF(BI31-Uzman_D!$G$15&lt;0, -(BI31-Uzman_D!$G$15), BI31-Uzman_D!$G$15)*0.1 +
        IF(BJ31-Uzman_D!$H$15&lt;0, -(BJ31-Uzman_D!$H$15), BJ31-Uzman_D!$H$15)*0.1 +
        IF(BK31-Uzman_D!$I$15&lt;0, -(BK31-Uzman_D!$I$15), BK31-Uzman_D!$I$15)*0.1 +
        IF(BL31-Uzman_D!$J$15&lt;0, -(BL31-Uzman_D!$J$15), BL31-Uzman_D!$J$15)*0.1
    ) +
    IF(ROUND((IF(BN31-Uzman_D!$L$15&lt;0, -(BN31-Uzman_D!$L$15), BN31-Uzman_D!$L$15)*2),0)/2 = IF(BN31-Uzman_D!$L$15&lt;0, -(BN31-Uzman_D!$L$15), BN31-Uzman_D!$L$15),
    (ROUND((IF(BN31-Uzman_D!$L$15&lt;0, -(BN31-Uzman_D!$L$15), BN31-Uzman_D!$L$15)*2),0)/1 * 0.1), 0) +
    IF(BO31-Uzman_D!$M$15&lt;0, -(BO31-Uzman_D!$M$15), BO31-Uzman_D!$M$15)*1
)</f>
        <v>-0.60000000000000009</v>
      </c>
      <c r="BQ31" s="74">
        <f t="shared" si="0"/>
        <v>-0.32000000000000017</v>
      </c>
    </row>
    <row r="32" spans="1:69" ht="15" customHeight="1" x14ac:dyDescent="0.2">
      <c r="A32" s="57">
        <v>29</v>
      </c>
      <c r="B32" s="29">
        <f>Hakemler!B32</f>
        <v>0</v>
      </c>
      <c r="C32" s="29">
        <f>Hakemler!C32</f>
        <v>0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2"/>
      <c r="O32" s="72"/>
      <c r="P32" s="73">
        <f>1 - (
    SUM(
        IF(D32-Uzman_D!$B$11&lt;0, -(D32-Uzman_D!$B$11), D32-Uzman_D!$B$11)*0.1 +
        IF(E32-Uzman_D!$C$11&lt;0, -(E32-Uzman_D!$C$11), E32-Uzman_D!$C$11)*0.1 +
        IF(F32-Uzman_D!$D$11&lt;0, -(F32-Uzman_D!$D$11), F32-Uzman_D!$D$11)*0.1 +
        IF(G32-Uzman_D!$E$11&lt;0, -(G32-Uzman_D!$E$11), G32-Uzman_D!$E$11)*0.1 +
        IF(H32-Uzman_D!$F$11&lt;0, -(H32-Uzman_D!$F$11), H32-Uzman_D!$F$11)*0.1 +
        IF(I32-Uzman_D!$G$11&lt;0, -(I32-Uzman_D!$G$11), I32-Uzman_D!$G$11)*0.1 +
        IF(J32-Uzman_D!$H$11&lt;0, -(J32-Uzman_D!$H$11), J32-Uzman_D!$H$11)*0.1 +
        IF(K32-Uzman_D!$I$11&lt;0, -(K32-Uzman_D!$I$11), K32-Uzman_D!$I$11)*0.1 +
        IF(L32-Uzman_D!$J$11&lt;0, -(L32-Uzman_D!$J$11), L32-Uzman_D!$J$11)*0.1
    ) +
    IF(ROUND((IF(N32-Uzman_D!$L$11&lt;0, -(N32-Uzman_D!$L$11), N32-Uzman_D!$L$11)*2),0)/2 = IF(N32-Uzman_D!$L$11&lt;0, -(N32-Uzman_D!$L$11), N32-Uzman_D!$L$11),
    (ROUND((IF(N32-Uzman_D!$L$11&lt;0, -(N32-Uzman_D!$L$11), N32-Uzman_D!$L$11)*2),0)/1 * 0.1), 0) +
    IF(O32-Uzman_D!$M$11&lt;0, -(O32-Uzman_D!$M$11), O32-Uzman_D!$M$11)*1
)</f>
        <v>-0.30000000000000027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2"/>
      <c r="AB32" s="72"/>
      <c r="AC32" s="73">
        <f>1 - (
    SUM(
        IF(Q32-Uzman_D!$B$12&lt;0, -(Q32-Uzman_D!$B$12), Q32-Uzman_D!$B$12)*0.1 +
        IF(R32-Uzman_D!$C$12&lt;0, -(R32-Uzman_D!$C$12), R32-Uzman_D!$C$12)*0.1 +
        IF(S32-Uzman_D!$D$12&lt;0, -(S32-Uzman_D!$D$12), S32-Uzman_D!$D$12)*0.1 +
        IF(T32-Uzman_D!$E$12&lt;0, -(T32-Uzman_D!$E$12), T32-Uzman_D!$E$12)*0.1 +
        IF(U32-Uzman_D!$F$12&lt;0, -(U32-Uzman_D!$F$12), U32-Uzman_D!$F$12)*0.1 +
        IF(V32-Uzman_D!$G$12&lt;0, -(V32-Uzman_D!$G$12), V32-Uzman_D!$G$12)*0.1 +
        IF(W32-Uzman_D!$H$12&lt;0, -(W32-Uzman_D!$H$12), W32-Uzman_D!$H$12)*0.1 +
        IF(X32-Uzman_D!$I$12&lt;0, -(X32-Uzman_D!$I$12), X32-Uzman_D!$I$12)*0.1 +
        IF(Y32-Uzman_D!$J$12&lt;0, -(Y32-Uzman_D!$J$12), Y32-Uzman_D!$J$12)*0.1
    ) +
    IF(ROUND((IF(AA32-Uzman_D!$L$12&lt;0, -(AA32-Uzman_D!$L$12), AA32-Uzman_D!$L$12)*2),0)/2 = IF(AA32-Uzman_D!$L$12&lt;0, -(AA32-Uzman_D!$L$12), AA32-Uzman_D!$L$12),
    (ROUND((IF(AA32-Uzman_D!$L$12&lt;0, -(AA32-Uzman_D!$L$12), AA32-Uzman_D!$L$12)*2),0)/1 * 0.1), 0) +
    IF(AB32-Uzman_D!$M$12&lt;0, -(AB32-Uzman_D!$M$12), AB32-Uzman_D!$M$12)*1
)</f>
        <v>-0.20000000000000018</v>
      </c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2"/>
      <c r="AO32" s="72"/>
      <c r="AP32" s="73">
        <f>1 - (
    SUM(
        IF(AD32-Uzman_D!$B$13&lt;0, -(AD32-Uzman_D!$B$13), AD32-Uzman_D!$B$13)*0.1 +
        IF(AE32-Uzman_D!$C$13&lt;0, -(AE32-Uzman_D!$C$13), AE32-Uzman_D!$C$13)*0.1 +
        IF(AF32-Uzman_D!$D$13&lt;0, -(AF32-Uzman_D!$D$13), AF32-Uzman_D!$D$13)*0.1 +
        IF(AG32-Uzman_D!$E$13&lt;0, -(AG32-Uzman_D!$E$13), AG32-Uzman_D!$E$13)*0.1 +
        IF(AH32-Uzman_D!$F$13&lt;0, -(AH32-Uzman_D!$F$13), AH32-Uzman_D!$F$13)*0.1 +
        IF(AI32-Uzman_D!$G$13&lt;0, -(AI32-Uzman_D!$G$13), AI32-Uzman_D!$G$13)*0.1 +
        IF(AJ32-Uzman_D!$H$13&lt;0, -(AJ32-Uzman_D!$H$13), AJ32-Uzman_D!$H$13)*0.1 +
        IF(AK32-Uzman_D!$I$13&lt;0, -(AK32-Uzman_D!$I$13), AK32-Uzman_D!$I$13)*0.1 +
        IF(AL32-Uzman_D!$J$13&lt;0, -(AL32-Uzman_D!$J$13), AL32-Uzman_D!$J$13)*0.1
    ) +
    IF(ROUND((IF(AN32-Uzman_D!$L$13&lt;0, -(AN32-Uzman_D!$L$13), AN32-Uzman_D!$L$13)*2),0)/2 = IF(AN32-Uzman_D!$L$13&lt;0, -(AN32-Uzman_D!$L$13), AN32-Uzman_D!$L$13),
    (ROUND((IF(AN32-Uzman_D!$L$13&lt;0, -(AN32-Uzman_D!$L$13), AN32-Uzman_D!$L$13)*2),0)/1 * 0.1), 0) +
    IF(AO32-Uzman_D!$M$13&lt;0, -(AO32-Uzman_D!$M$13), AO32-Uzman_D!$M$13)*1
)</f>
        <v>-0.30000000000000004</v>
      </c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2"/>
      <c r="BB32" s="72"/>
      <c r="BC32" s="73">
        <f>1 - (
    SUM(
        IF(AQ32-Uzman_D!$B$14&lt;0, -(AQ32-Uzman_D!$B$14), AQ32-Uzman_D!$B$14)*0.1 +
        IF(AR32-Uzman_D!$C$14&lt;0, -(AR32-Uzman_D!$C$14), AR32-Uzman_D!$C$14)*0.1 +
        IF(AS32-Uzman_D!$D$14&lt;0, -(AS32-Uzman_D!$D$14), AS32-Uzman_D!$D$14)*0.1 +
        IF(AT32-Uzman_D!$E$14&lt;0, -(AT32-Uzman_D!$E$14), AT32-Uzman_D!$E$14)*0.1 +
        IF(AU32-Uzman_D!$F$14&lt;0, -(AU32-Uzman_D!$F$14), AU32-Uzman_D!$F$14)*0.1 +
        IF(AV32-Uzman_D!$G$14&lt;0, -(AV32-Uzman_D!$G$14), AV32-Uzman_D!$G$14)*0.1 +
        IF(AW32-Uzman_D!$H$14&lt;0, -(AW32-Uzman_D!$H$14), AW32-Uzman_D!$H$14)*0.1 +
        IF(AX32-Uzman_D!$I$14&lt;0, -(AX32-Uzman_D!$I$14), AX32-Uzman_D!$I$14)*0.1 +
        IF(AY32-Uzman_D!$J$14&lt;0, -(AY32-Uzman_D!$J$14), AY32-Uzman_D!$J$14)*0.1
    ) +
    IF(ROUND((IF(BA32-Uzman_D!$L$14&lt;0, -(BA32-Uzman_D!$L$14), BA32-Uzman_D!$L$14)*2),0)/2 = IF(BA32-Uzman_D!$L$14&lt;0, -(BA32-Uzman_D!$L$14), BA32-Uzman_D!$L$14),
    (ROUND((IF(BA32-Uzman_D!$L$14&lt;0, -(BA32-Uzman_D!$L$14), BA32-Uzman_D!$L$14)*2),0)/1 * 0.1), 0) +
    IF(BB32-Uzman_D!$M$14&lt;0, -(BB32-Uzman_D!$M$14), BB32-Uzman_D!$M$14)*1
)</f>
        <v>-0.20000000000000018</v>
      </c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2"/>
      <c r="BO32" s="72"/>
      <c r="BP32" s="73">
        <f>1 - (
    SUM(
        IF(BD32-Uzman_D!$B$15&lt;0, -(BD32-Uzman_D!$B$15), BD32-Uzman_D!$B$15)*0.1 +
        IF(BE32-Uzman_D!$C$15&lt;0, -(BE32-Uzman_D!$C$15), BE32-Uzman_D!$C$15)*0.1 +
        IF(BF32-Uzman_D!$D$15&lt;0, -(BF32-Uzman_D!$D$15), BF32-Uzman_D!$D$15)*0.1 +
        IF(BG32-Uzman_D!$E$15&lt;0, -(BG32-Uzman_D!$E$15), BG32-Uzman_D!$E$15)*0.1 +
        IF(BH32-Uzman_D!$F$15&lt;0, -(BH32-Uzman_D!$F$15), BH32-Uzman_D!$F$15)*0.1 +
        IF(BI32-Uzman_D!$G$15&lt;0, -(BI32-Uzman_D!$G$15), BI32-Uzman_D!$G$15)*0.1 +
        IF(BJ32-Uzman_D!$H$15&lt;0, -(BJ32-Uzman_D!$H$15), BJ32-Uzman_D!$H$15)*0.1 +
        IF(BK32-Uzman_D!$I$15&lt;0, -(BK32-Uzman_D!$I$15), BK32-Uzman_D!$I$15)*0.1 +
        IF(BL32-Uzman_D!$J$15&lt;0, -(BL32-Uzman_D!$J$15), BL32-Uzman_D!$J$15)*0.1
    ) +
    IF(ROUND((IF(BN32-Uzman_D!$L$15&lt;0, -(BN32-Uzman_D!$L$15), BN32-Uzman_D!$L$15)*2),0)/2 = IF(BN32-Uzman_D!$L$15&lt;0, -(BN32-Uzman_D!$L$15), BN32-Uzman_D!$L$15),
    (ROUND((IF(BN32-Uzman_D!$L$15&lt;0, -(BN32-Uzman_D!$L$15), BN32-Uzman_D!$L$15)*2),0)/1 * 0.1), 0) +
    IF(BO32-Uzman_D!$M$15&lt;0, -(BO32-Uzman_D!$M$15), BO32-Uzman_D!$M$15)*1
)</f>
        <v>-0.60000000000000009</v>
      </c>
      <c r="BQ32" s="74">
        <f t="shared" si="0"/>
        <v>-0.32000000000000017</v>
      </c>
    </row>
    <row r="33" spans="1:69" ht="15" customHeight="1" x14ac:dyDescent="0.2">
      <c r="A33" s="57">
        <v>30</v>
      </c>
      <c r="B33" s="29">
        <f>Hakemler!B33</f>
        <v>0</v>
      </c>
      <c r="C33" s="29">
        <f>Hakemler!C33</f>
        <v>0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72"/>
      <c r="P33" s="73">
        <f>1 - (
    SUM(
        IF(D33-Uzman_D!$B$11&lt;0, -(D33-Uzman_D!$B$11), D33-Uzman_D!$B$11)*0.1 +
        IF(E33-Uzman_D!$C$11&lt;0, -(E33-Uzman_D!$C$11), E33-Uzman_D!$C$11)*0.1 +
        IF(F33-Uzman_D!$D$11&lt;0, -(F33-Uzman_D!$D$11), F33-Uzman_D!$D$11)*0.1 +
        IF(G33-Uzman_D!$E$11&lt;0, -(G33-Uzman_D!$E$11), G33-Uzman_D!$E$11)*0.1 +
        IF(H33-Uzman_D!$F$11&lt;0, -(H33-Uzman_D!$F$11), H33-Uzman_D!$F$11)*0.1 +
        IF(I33-Uzman_D!$G$11&lt;0, -(I33-Uzman_D!$G$11), I33-Uzman_D!$G$11)*0.1 +
        IF(J33-Uzman_D!$H$11&lt;0, -(J33-Uzman_D!$H$11), J33-Uzman_D!$H$11)*0.1 +
        IF(K33-Uzman_D!$I$11&lt;0, -(K33-Uzman_D!$I$11), K33-Uzman_D!$I$11)*0.1 +
        IF(L33-Uzman_D!$J$11&lt;0, -(L33-Uzman_D!$J$11), L33-Uzman_D!$J$11)*0.1
    ) +
    IF(ROUND((IF(N33-Uzman_D!$L$11&lt;0, -(N33-Uzman_D!$L$11), N33-Uzman_D!$L$11)*2),0)/2 = IF(N33-Uzman_D!$L$11&lt;0, -(N33-Uzman_D!$L$11), N33-Uzman_D!$L$11),
    (ROUND((IF(N33-Uzman_D!$L$11&lt;0, -(N33-Uzman_D!$L$11), N33-Uzman_D!$L$11)*2),0)/1 * 0.1), 0) +
    IF(O33-Uzman_D!$M$11&lt;0, -(O33-Uzman_D!$M$11), O33-Uzman_D!$M$11)*1
)</f>
        <v>-0.30000000000000027</v>
      </c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2"/>
      <c r="AB33" s="72"/>
      <c r="AC33" s="73">
        <f>1 - (
    SUM(
        IF(Q33-Uzman_D!$B$12&lt;0, -(Q33-Uzman_D!$B$12), Q33-Uzman_D!$B$12)*0.1 +
        IF(R33-Uzman_D!$C$12&lt;0, -(R33-Uzman_D!$C$12), R33-Uzman_D!$C$12)*0.1 +
        IF(S33-Uzman_D!$D$12&lt;0, -(S33-Uzman_D!$D$12), S33-Uzman_D!$D$12)*0.1 +
        IF(T33-Uzman_D!$E$12&lt;0, -(T33-Uzman_D!$E$12), T33-Uzman_D!$E$12)*0.1 +
        IF(U33-Uzman_D!$F$12&lt;0, -(U33-Uzman_D!$F$12), U33-Uzman_D!$F$12)*0.1 +
        IF(V33-Uzman_D!$G$12&lt;0, -(V33-Uzman_D!$G$12), V33-Uzman_D!$G$12)*0.1 +
        IF(W33-Uzman_D!$H$12&lt;0, -(W33-Uzman_D!$H$12), W33-Uzman_D!$H$12)*0.1 +
        IF(X33-Uzman_D!$I$12&lt;0, -(X33-Uzman_D!$I$12), X33-Uzman_D!$I$12)*0.1 +
        IF(Y33-Uzman_D!$J$12&lt;0, -(Y33-Uzman_D!$J$12), Y33-Uzman_D!$J$12)*0.1
    ) +
    IF(ROUND((IF(AA33-Uzman_D!$L$12&lt;0, -(AA33-Uzman_D!$L$12), AA33-Uzman_D!$L$12)*2),0)/2 = IF(AA33-Uzman_D!$L$12&lt;0, -(AA33-Uzman_D!$L$12), AA33-Uzman_D!$L$12),
    (ROUND((IF(AA33-Uzman_D!$L$12&lt;0, -(AA33-Uzman_D!$L$12), AA33-Uzman_D!$L$12)*2),0)/1 * 0.1), 0) +
    IF(AB33-Uzman_D!$M$12&lt;0, -(AB33-Uzman_D!$M$12), AB33-Uzman_D!$M$12)*1
)</f>
        <v>-0.20000000000000018</v>
      </c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2"/>
      <c r="AO33" s="72"/>
      <c r="AP33" s="73">
        <f>1 - (
    SUM(
        IF(AD33-Uzman_D!$B$13&lt;0, -(AD33-Uzman_D!$B$13), AD33-Uzman_D!$B$13)*0.1 +
        IF(AE33-Uzman_D!$C$13&lt;0, -(AE33-Uzman_D!$C$13), AE33-Uzman_D!$C$13)*0.1 +
        IF(AF33-Uzman_D!$D$13&lt;0, -(AF33-Uzman_D!$D$13), AF33-Uzman_D!$D$13)*0.1 +
        IF(AG33-Uzman_D!$E$13&lt;0, -(AG33-Uzman_D!$E$13), AG33-Uzman_D!$E$13)*0.1 +
        IF(AH33-Uzman_D!$F$13&lt;0, -(AH33-Uzman_D!$F$13), AH33-Uzman_D!$F$13)*0.1 +
        IF(AI33-Uzman_D!$G$13&lt;0, -(AI33-Uzman_D!$G$13), AI33-Uzman_D!$G$13)*0.1 +
        IF(AJ33-Uzman_D!$H$13&lt;0, -(AJ33-Uzman_D!$H$13), AJ33-Uzman_D!$H$13)*0.1 +
        IF(AK33-Uzman_D!$I$13&lt;0, -(AK33-Uzman_D!$I$13), AK33-Uzman_D!$I$13)*0.1 +
        IF(AL33-Uzman_D!$J$13&lt;0, -(AL33-Uzman_D!$J$13), AL33-Uzman_D!$J$13)*0.1
    ) +
    IF(ROUND((IF(AN33-Uzman_D!$L$13&lt;0, -(AN33-Uzman_D!$L$13), AN33-Uzman_D!$L$13)*2),0)/2 = IF(AN33-Uzman_D!$L$13&lt;0, -(AN33-Uzman_D!$L$13), AN33-Uzman_D!$L$13),
    (ROUND((IF(AN33-Uzman_D!$L$13&lt;0, -(AN33-Uzman_D!$L$13), AN33-Uzman_D!$L$13)*2),0)/1 * 0.1), 0) +
    IF(AO33-Uzman_D!$M$13&lt;0, -(AO33-Uzman_D!$M$13), AO33-Uzman_D!$M$13)*1
)</f>
        <v>-0.30000000000000004</v>
      </c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2"/>
      <c r="BB33" s="72"/>
      <c r="BC33" s="73">
        <f>1 - (
    SUM(
        IF(AQ33-Uzman_D!$B$14&lt;0, -(AQ33-Uzman_D!$B$14), AQ33-Uzman_D!$B$14)*0.1 +
        IF(AR33-Uzman_D!$C$14&lt;0, -(AR33-Uzman_D!$C$14), AR33-Uzman_D!$C$14)*0.1 +
        IF(AS33-Uzman_D!$D$14&lt;0, -(AS33-Uzman_D!$D$14), AS33-Uzman_D!$D$14)*0.1 +
        IF(AT33-Uzman_D!$E$14&lt;0, -(AT33-Uzman_D!$E$14), AT33-Uzman_D!$E$14)*0.1 +
        IF(AU33-Uzman_D!$F$14&lt;0, -(AU33-Uzman_D!$F$14), AU33-Uzman_D!$F$14)*0.1 +
        IF(AV33-Uzman_D!$G$14&lt;0, -(AV33-Uzman_D!$G$14), AV33-Uzman_D!$G$14)*0.1 +
        IF(AW33-Uzman_D!$H$14&lt;0, -(AW33-Uzman_D!$H$14), AW33-Uzman_D!$H$14)*0.1 +
        IF(AX33-Uzman_D!$I$14&lt;0, -(AX33-Uzman_D!$I$14), AX33-Uzman_D!$I$14)*0.1 +
        IF(AY33-Uzman_D!$J$14&lt;0, -(AY33-Uzman_D!$J$14), AY33-Uzman_D!$J$14)*0.1
    ) +
    IF(ROUND((IF(BA33-Uzman_D!$L$14&lt;0, -(BA33-Uzman_D!$L$14), BA33-Uzman_D!$L$14)*2),0)/2 = IF(BA33-Uzman_D!$L$14&lt;0, -(BA33-Uzman_D!$L$14), BA33-Uzman_D!$L$14),
    (ROUND((IF(BA33-Uzman_D!$L$14&lt;0, -(BA33-Uzman_D!$L$14), BA33-Uzman_D!$L$14)*2),0)/1 * 0.1), 0) +
    IF(BB33-Uzman_D!$M$14&lt;0, -(BB33-Uzman_D!$M$14), BB33-Uzman_D!$M$14)*1
)</f>
        <v>-0.20000000000000018</v>
      </c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2"/>
      <c r="BO33" s="72"/>
      <c r="BP33" s="73">
        <f>1 - (
    SUM(
        IF(BD33-Uzman_D!$B$15&lt;0, -(BD33-Uzman_D!$B$15), BD33-Uzman_D!$B$15)*0.1 +
        IF(BE33-Uzman_D!$C$15&lt;0, -(BE33-Uzman_D!$C$15), BE33-Uzman_D!$C$15)*0.1 +
        IF(BF33-Uzman_D!$D$15&lt;0, -(BF33-Uzman_D!$D$15), BF33-Uzman_D!$D$15)*0.1 +
        IF(BG33-Uzman_D!$E$15&lt;0, -(BG33-Uzman_D!$E$15), BG33-Uzman_D!$E$15)*0.1 +
        IF(BH33-Uzman_D!$F$15&lt;0, -(BH33-Uzman_D!$F$15), BH33-Uzman_D!$F$15)*0.1 +
        IF(BI33-Uzman_D!$G$15&lt;0, -(BI33-Uzman_D!$G$15), BI33-Uzman_D!$G$15)*0.1 +
        IF(BJ33-Uzman_D!$H$15&lt;0, -(BJ33-Uzman_D!$H$15), BJ33-Uzman_D!$H$15)*0.1 +
        IF(BK33-Uzman_D!$I$15&lt;0, -(BK33-Uzman_D!$I$15), BK33-Uzman_D!$I$15)*0.1 +
        IF(BL33-Uzman_D!$J$15&lt;0, -(BL33-Uzman_D!$J$15), BL33-Uzman_D!$J$15)*0.1
    ) +
    IF(ROUND((IF(BN33-Uzman_D!$L$15&lt;0, -(BN33-Uzman_D!$L$15), BN33-Uzman_D!$L$15)*2),0)/2 = IF(BN33-Uzman_D!$L$15&lt;0, -(BN33-Uzman_D!$L$15), BN33-Uzman_D!$L$15),
    (ROUND((IF(BN33-Uzman_D!$L$15&lt;0, -(BN33-Uzman_D!$L$15), BN33-Uzman_D!$L$15)*2),0)/1 * 0.1), 0) +
    IF(BO33-Uzman_D!$M$15&lt;0, -(BO33-Uzman_D!$M$15), BO33-Uzman_D!$M$15)*1
)</f>
        <v>-0.60000000000000009</v>
      </c>
      <c r="BQ33" s="74">
        <f t="shared" si="0"/>
        <v>-0.32000000000000017</v>
      </c>
    </row>
    <row r="34" spans="1:69" ht="15" customHeight="1" x14ac:dyDescent="0.2">
      <c r="A34" s="57">
        <v>31</v>
      </c>
      <c r="B34" s="29">
        <f>Hakemler!B34</f>
        <v>0</v>
      </c>
      <c r="C34" s="29">
        <f>Hakemler!C34</f>
        <v>0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2"/>
      <c r="O34" s="72"/>
      <c r="P34" s="73">
        <f>1 - (
    SUM(
        IF(D34-Uzman_D!$B$11&lt;0, -(D34-Uzman_D!$B$11), D34-Uzman_D!$B$11)*0.1 +
        IF(E34-Uzman_D!$C$11&lt;0, -(E34-Uzman_D!$C$11), E34-Uzman_D!$C$11)*0.1 +
        IF(F34-Uzman_D!$D$11&lt;0, -(F34-Uzman_D!$D$11), F34-Uzman_D!$D$11)*0.1 +
        IF(G34-Uzman_D!$E$11&lt;0, -(G34-Uzman_D!$E$11), G34-Uzman_D!$E$11)*0.1 +
        IF(H34-Uzman_D!$F$11&lt;0, -(H34-Uzman_D!$F$11), H34-Uzman_D!$F$11)*0.1 +
        IF(I34-Uzman_D!$G$11&lt;0, -(I34-Uzman_D!$G$11), I34-Uzman_D!$G$11)*0.1 +
        IF(J34-Uzman_D!$H$11&lt;0, -(J34-Uzman_D!$H$11), J34-Uzman_D!$H$11)*0.1 +
        IF(K34-Uzman_D!$I$11&lt;0, -(K34-Uzman_D!$I$11), K34-Uzman_D!$I$11)*0.1 +
        IF(L34-Uzman_D!$J$11&lt;0, -(L34-Uzman_D!$J$11), L34-Uzman_D!$J$11)*0.1
    ) +
    IF(ROUND((IF(N34-Uzman_D!$L$11&lt;0, -(N34-Uzman_D!$L$11), N34-Uzman_D!$L$11)*2),0)/2 = IF(N34-Uzman_D!$L$11&lt;0, -(N34-Uzman_D!$L$11), N34-Uzman_D!$L$11),
    (ROUND((IF(N34-Uzman_D!$L$11&lt;0, -(N34-Uzman_D!$L$11), N34-Uzman_D!$L$11)*2),0)/1 * 0.1), 0) +
    IF(O34-Uzman_D!$M$11&lt;0, -(O34-Uzman_D!$M$11), O34-Uzman_D!$M$11)*1
)</f>
        <v>-0.30000000000000027</v>
      </c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2"/>
      <c r="AB34" s="72"/>
      <c r="AC34" s="73">
        <f>1 - (
    SUM(
        IF(Q34-Uzman_D!$B$12&lt;0, -(Q34-Uzman_D!$B$12), Q34-Uzman_D!$B$12)*0.1 +
        IF(R34-Uzman_D!$C$12&lt;0, -(R34-Uzman_D!$C$12), R34-Uzman_D!$C$12)*0.1 +
        IF(S34-Uzman_D!$D$12&lt;0, -(S34-Uzman_D!$D$12), S34-Uzman_D!$D$12)*0.1 +
        IF(T34-Uzman_D!$E$12&lt;0, -(T34-Uzman_D!$E$12), T34-Uzman_D!$E$12)*0.1 +
        IF(U34-Uzman_D!$F$12&lt;0, -(U34-Uzman_D!$F$12), U34-Uzman_D!$F$12)*0.1 +
        IF(V34-Uzman_D!$G$12&lt;0, -(V34-Uzman_D!$G$12), V34-Uzman_D!$G$12)*0.1 +
        IF(W34-Uzman_D!$H$12&lt;0, -(W34-Uzman_D!$H$12), W34-Uzman_D!$H$12)*0.1 +
        IF(X34-Uzman_D!$I$12&lt;0, -(X34-Uzman_D!$I$12), X34-Uzman_D!$I$12)*0.1 +
        IF(Y34-Uzman_D!$J$12&lt;0, -(Y34-Uzman_D!$J$12), Y34-Uzman_D!$J$12)*0.1
    ) +
    IF(ROUND((IF(AA34-Uzman_D!$L$12&lt;0, -(AA34-Uzman_D!$L$12), AA34-Uzman_D!$L$12)*2),0)/2 = IF(AA34-Uzman_D!$L$12&lt;0, -(AA34-Uzman_D!$L$12), AA34-Uzman_D!$L$12),
    (ROUND((IF(AA34-Uzman_D!$L$12&lt;0, -(AA34-Uzman_D!$L$12), AA34-Uzman_D!$L$12)*2),0)/1 * 0.1), 0) +
    IF(AB34-Uzman_D!$M$12&lt;0, -(AB34-Uzman_D!$M$12), AB34-Uzman_D!$M$12)*1
)</f>
        <v>-0.20000000000000018</v>
      </c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2"/>
      <c r="AO34" s="72"/>
      <c r="AP34" s="73">
        <f>1 - (
    SUM(
        IF(AD34-Uzman_D!$B$13&lt;0, -(AD34-Uzman_D!$B$13), AD34-Uzman_D!$B$13)*0.1 +
        IF(AE34-Uzman_D!$C$13&lt;0, -(AE34-Uzman_D!$C$13), AE34-Uzman_D!$C$13)*0.1 +
        IF(AF34-Uzman_D!$D$13&lt;0, -(AF34-Uzman_D!$D$13), AF34-Uzman_D!$D$13)*0.1 +
        IF(AG34-Uzman_D!$E$13&lt;0, -(AG34-Uzman_D!$E$13), AG34-Uzman_D!$E$13)*0.1 +
        IF(AH34-Uzman_D!$F$13&lt;0, -(AH34-Uzman_D!$F$13), AH34-Uzman_D!$F$13)*0.1 +
        IF(AI34-Uzman_D!$G$13&lt;0, -(AI34-Uzman_D!$G$13), AI34-Uzman_D!$G$13)*0.1 +
        IF(AJ34-Uzman_D!$H$13&lt;0, -(AJ34-Uzman_D!$H$13), AJ34-Uzman_D!$H$13)*0.1 +
        IF(AK34-Uzman_D!$I$13&lt;0, -(AK34-Uzman_D!$I$13), AK34-Uzman_D!$I$13)*0.1 +
        IF(AL34-Uzman_D!$J$13&lt;0, -(AL34-Uzman_D!$J$13), AL34-Uzman_D!$J$13)*0.1
    ) +
    IF(ROUND((IF(AN34-Uzman_D!$L$13&lt;0, -(AN34-Uzman_D!$L$13), AN34-Uzman_D!$L$13)*2),0)/2 = IF(AN34-Uzman_D!$L$13&lt;0, -(AN34-Uzman_D!$L$13), AN34-Uzman_D!$L$13),
    (ROUND((IF(AN34-Uzman_D!$L$13&lt;0, -(AN34-Uzman_D!$L$13), AN34-Uzman_D!$L$13)*2),0)/1 * 0.1), 0) +
    IF(AO34-Uzman_D!$M$13&lt;0, -(AO34-Uzman_D!$M$13), AO34-Uzman_D!$M$13)*1
)</f>
        <v>-0.30000000000000004</v>
      </c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2"/>
      <c r="BB34" s="72"/>
      <c r="BC34" s="73">
        <f>1 - (
    SUM(
        IF(AQ34-Uzman_D!$B$14&lt;0, -(AQ34-Uzman_D!$B$14), AQ34-Uzman_D!$B$14)*0.1 +
        IF(AR34-Uzman_D!$C$14&lt;0, -(AR34-Uzman_D!$C$14), AR34-Uzman_D!$C$14)*0.1 +
        IF(AS34-Uzman_D!$D$14&lt;0, -(AS34-Uzman_D!$D$14), AS34-Uzman_D!$D$14)*0.1 +
        IF(AT34-Uzman_D!$E$14&lt;0, -(AT34-Uzman_D!$E$14), AT34-Uzman_D!$E$14)*0.1 +
        IF(AU34-Uzman_D!$F$14&lt;0, -(AU34-Uzman_D!$F$14), AU34-Uzman_D!$F$14)*0.1 +
        IF(AV34-Uzman_D!$G$14&lt;0, -(AV34-Uzman_D!$G$14), AV34-Uzman_D!$G$14)*0.1 +
        IF(AW34-Uzman_D!$H$14&lt;0, -(AW34-Uzman_D!$H$14), AW34-Uzman_D!$H$14)*0.1 +
        IF(AX34-Uzman_D!$I$14&lt;0, -(AX34-Uzman_D!$I$14), AX34-Uzman_D!$I$14)*0.1 +
        IF(AY34-Uzman_D!$J$14&lt;0, -(AY34-Uzman_D!$J$14), AY34-Uzman_D!$J$14)*0.1
    ) +
    IF(ROUND((IF(BA34-Uzman_D!$L$14&lt;0, -(BA34-Uzman_D!$L$14), BA34-Uzman_D!$L$14)*2),0)/2 = IF(BA34-Uzman_D!$L$14&lt;0, -(BA34-Uzman_D!$L$14), BA34-Uzman_D!$L$14),
    (ROUND((IF(BA34-Uzman_D!$L$14&lt;0, -(BA34-Uzman_D!$L$14), BA34-Uzman_D!$L$14)*2),0)/1 * 0.1), 0) +
    IF(BB34-Uzman_D!$M$14&lt;0, -(BB34-Uzman_D!$M$14), BB34-Uzman_D!$M$14)*1
)</f>
        <v>-0.20000000000000018</v>
      </c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2"/>
      <c r="BO34" s="72"/>
      <c r="BP34" s="73">
        <f>1 - (
    SUM(
        IF(BD34-Uzman_D!$B$15&lt;0, -(BD34-Uzman_D!$B$15), BD34-Uzman_D!$B$15)*0.1 +
        IF(BE34-Uzman_D!$C$15&lt;0, -(BE34-Uzman_D!$C$15), BE34-Uzman_D!$C$15)*0.1 +
        IF(BF34-Uzman_D!$D$15&lt;0, -(BF34-Uzman_D!$D$15), BF34-Uzman_D!$D$15)*0.1 +
        IF(BG34-Uzman_D!$E$15&lt;0, -(BG34-Uzman_D!$E$15), BG34-Uzman_D!$E$15)*0.1 +
        IF(BH34-Uzman_D!$F$15&lt;0, -(BH34-Uzman_D!$F$15), BH34-Uzman_D!$F$15)*0.1 +
        IF(BI34-Uzman_D!$G$15&lt;0, -(BI34-Uzman_D!$G$15), BI34-Uzman_D!$G$15)*0.1 +
        IF(BJ34-Uzman_D!$H$15&lt;0, -(BJ34-Uzman_D!$H$15), BJ34-Uzman_D!$H$15)*0.1 +
        IF(BK34-Uzman_D!$I$15&lt;0, -(BK34-Uzman_D!$I$15), BK34-Uzman_D!$I$15)*0.1 +
        IF(BL34-Uzman_D!$J$15&lt;0, -(BL34-Uzman_D!$J$15), BL34-Uzman_D!$J$15)*0.1
    ) +
    IF(ROUND((IF(BN34-Uzman_D!$L$15&lt;0, -(BN34-Uzman_D!$L$15), BN34-Uzman_D!$L$15)*2),0)/2 = IF(BN34-Uzman_D!$L$15&lt;0, -(BN34-Uzman_D!$L$15), BN34-Uzman_D!$L$15),
    (ROUND((IF(BN34-Uzman_D!$L$15&lt;0, -(BN34-Uzman_D!$L$15), BN34-Uzman_D!$L$15)*2),0)/1 * 0.1), 0) +
    IF(BO34-Uzman_D!$M$15&lt;0, -(BO34-Uzman_D!$M$15), BO34-Uzman_D!$M$15)*1
)</f>
        <v>-0.60000000000000009</v>
      </c>
      <c r="BQ34" s="74">
        <f t="shared" si="0"/>
        <v>-0.32000000000000017</v>
      </c>
    </row>
    <row r="35" spans="1:69" ht="15" customHeight="1" x14ac:dyDescent="0.2">
      <c r="A35" s="57">
        <v>32</v>
      </c>
      <c r="B35" s="29">
        <f>Hakemler!B35</f>
        <v>0</v>
      </c>
      <c r="C35" s="29">
        <f>Hakemler!C35</f>
        <v>0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  <c r="O35" s="72"/>
      <c r="P35" s="73">
        <f>1 - (
    SUM(
        IF(D35-Uzman_D!$B$11&lt;0, -(D35-Uzman_D!$B$11), D35-Uzman_D!$B$11)*0.1 +
        IF(E35-Uzman_D!$C$11&lt;0, -(E35-Uzman_D!$C$11), E35-Uzman_D!$C$11)*0.1 +
        IF(F35-Uzman_D!$D$11&lt;0, -(F35-Uzman_D!$D$11), F35-Uzman_D!$D$11)*0.1 +
        IF(G35-Uzman_D!$E$11&lt;0, -(G35-Uzman_D!$E$11), G35-Uzman_D!$E$11)*0.1 +
        IF(H35-Uzman_D!$F$11&lt;0, -(H35-Uzman_D!$F$11), H35-Uzman_D!$F$11)*0.1 +
        IF(I35-Uzman_D!$G$11&lt;0, -(I35-Uzman_D!$G$11), I35-Uzman_D!$G$11)*0.1 +
        IF(J35-Uzman_D!$H$11&lt;0, -(J35-Uzman_D!$H$11), J35-Uzman_D!$H$11)*0.1 +
        IF(K35-Uzman_D!$I$11&lt;0, -(K35-Uzman_D!$I$11), K35-Uzman_D!$I$11)*0.1 +
        IF(L35-Uzman_D!$J$11&lt;0, -(L35-Uzman_D!$J$11), L35-Uzman_D!$J$11)*0.1
    ) +
    IF(ROUND((IF(N35-Uzman_D!$L$11&lt;0, -(N35-Uzman_D!$L$11), N35-Uzman_D!$L$11)*2),0)/2 = IF(N35-Uzman_D!$L$11&lt;0, -(N35-Uzman_D!$L$11), N35-Uzman_D!$L$11),
    (ROUND((IF(N35-Uzman_D!$L$11&lt;0, -(N35-Uzman_D!$L$11), N35-Uzman_D!$L$11)*2),0)/1 * 0.1), 0) +
    IF(O35-Uzman_D!$M$11&lt;0, -(O35-Uzman_D!$M$11), O35-Uzman_D!$M$11)*1
)</f>
        <v>-0.30000000000000027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2"/>
      <c r="AB35" s="72"/>
      <c r="AC35" s="73">
        <f>1 - (
    SUM(
        IF(Q35-Uzman_D!$B$12&lt;0, -(Q35-Uzman_D!$B$12), Q35-Uzman_D!$B$12)*0.1 +
        IF(R35-Uzman_D!$C$12&lt;0, -(R35-Uzman_D!$C$12), R35-Uzman_D!$C$12)*0.1 +
        IF(S35-Uzman_D!$D$12&lt;0, -(S35-Uzman_D!$D$12), S35-Uzman_D!$D$12)*0.1 +
        IF(T35-Uzman_D!$E$12&lt;0, -(T35-Uzman_D!$E$12), T35-Uzman_D!$E$12)*0.1 +
        IF(U35-Uzman_D!$F$12&lt;0, -(U35-Uzman_D!$F$12), U35-Uzman_D!$F$12)*0.1 +
        IF(V35-Uzman_D!$G$12&lt;0, -(V35-Uzman_D!$G$12), V35-Uzman_D!$G$12)*0.1 +
        IF(W35-Uzman_D!$H$12&lt;0, -(W35-Uzman_D!$H$12), W35-Uzman_D!$H$12)*0.1 +
        IF(X35-Uzman_D!$I$12&lt;0, -(X35-Uzman_D!$I$12), X35-Uzman_D!$I$12)*0.1 +
        IF(Y35-Uzman_D!$J$12&lt;0, -(Y35-Uzman_D!$J$12), Y35-Uzman_D!$J$12)*0.1
    ) +
    IF(ROUND((IF(AA35-Uzman_D!$L$12&lt;0, -(AA35-Uzman_D!$L$12), AA35-Uzman_D!$L$12)*2),0)/2 = IF(AA35-Uzman_D!$L$12&lt;0, -(AA35-Uzman_D!$L$12), AA35-Uzman_D!$L$12),
    (ROUND((IF(AA35-Uzman_D!$L$12&lt;0, -(AA35-Uzman_D!$L$12), AA35-Uzman_D!$L$12)*2),0)/1 * 0.1), 0) +
    IF(AB35-Uzman_D!$M$12&lt;0, -(AB35-Uzman_D!$M$12), AB35-Uzman_D!$M$12)*1
)</f>
        <v>-0.20000000000000018</v>
      </c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2"/>
      <c r="AO35" s="72"/>
      <c r="AP35" s="73">
        <f>1 - (
    SUM(
        IF(AD35-Uzman_D!$B$13&lt;0, -(AD35-Uzman_D!$B$13), AD35-Uzman_D!$B$13)*0.1 +
        IF(AE35-Uzman_D!$C$13&lt;0, -(AE35-Uzman_D!$C$13), AE35-Uzman_D!$C$13)*0.1 +
        IF(AF35-Uzman_D!$D$13&lt;0, -(AF35-Uzman_D!$D$13), AF35-Uzman_D!$D$13)*0.1 +
        IF(AG35-Uzman_D!$E$13&lt;0, -(AG35-Uzman_D!$E$13), AG35-Uzman_D!$E$13)*0.1 +
        IF(AH35-Uzman_D!$F$13&lt;0, -(AH35-Uzman_D!$F$13), AH35-Uzman_D!$F$13)*0.1 +
        IF(AI35-Uzman_D!$G$13&lt;0, -(AI35-Uzman_D!$G$13), AI35-Uzman_D!$G$13)*0.1 +
        IF(AJ35-Uzman_D!$H$13&lt;0, -(AJ35-Uzman_D!$H$13), AJ35-Uzman_D!$H$13)*0.1 +
        IF(AK35-Uzman_D!$I$13&lt;0, -(AK35-Uzman_D!$I$13), AK35-Uzman_D!$I$13)*0.1 +
        IF(AL35-Uzman_D!$J$13&lt;0, -(AL35-Uzman_D!$J$13), AL35-Uzman_D!$J$13)*0.1
    ) +
    IF(ROUND((IF(AN35-Uzman_D!$L$13&lt;0, -(AN35-Uzman_D!$L$13), AN35-Uzman_D!$L$13)*2),0)/2 = IF(AN35-Uzman_D!$L$13&lt;0, -(AN35-Uzman_D!$L$13), AN35-Uzman_D!$L$13),
    (ROUND((IF(AN35-Uzman_D!$L$13&lt;0, -(AN35-Uzman_D!$L$13), AN35-Uzman_D!$L$13)*2),0)/1 * 0.1), 0) +
    IF(AO35-Uzman_D!$M$13&lt;0, -(AO35-Uzman_D!$M$13), AO35-Uzman_D!$M$13)*1
)</f>
        <v>-0.30000000000000004</v>
      </c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2"/>
      <c r="BB35" s="72"/>
      <c r="BC35" s="73">
        <f>1 - (
    SUM(
        IF(AQ35-Uzman_D!$B$14&lt;0, -(AQ35-Uzman_D!$B$14), AQ35-Uzman_D!$B$14)*0.1 +
        IF(AR35-Uzman_D!$C$14&lt;0, -(AR35-Uzman_D!$C$14), AR35-Uzman_D!$C$14)*0.1 +
        IF(AS35-Uzman_D!$D$14&lt;0, -(AS35-Uzman_D!$D$14), AS35-Uzman_D!$D$14)*0.1 +
        IF(AT35-Uzman_D!$E$14&lt;0, -(AT35-Uzman_D!$E$14), AT35-Uzman_D!$E$14)*0.1 +
        IF(AU35-Uzman_D!$F$14&lt;0, -(AU35-Uzman_D!$F$14), AU35-Uzman_D!$F$14)*0.1 +
        IF(AV35-Uzman_D!$G$14&lt;0, -(AV35-Uzman_D!$G$14), AV35-Uzman_D!$G$14)*0.1 +
        IF(AW35-Uzman_D!$H$14&lt;0, -(AW35-Uzman_D!$H$14), AW35-Uzman_D!$H$14)*0.1 +
        IF(AX35-Uzman_D!$I$14&lt;0, -(AX35-Uzman_D!$I$14), AX35-Uzman_D!$I$14)*0.1 +
        IF(AY35-Uzman_D!$J$14&lt;0, -(AY35-Uzman_D!$J$14), AY35-Uzman_D!$J$14)*0.1
    ) +
    IF(ROUND((IF(BA35-Uzman_D!$L$14&lt;0, -(BA35-Uzman_D!$L$14), BA35-Uzman_D!$L$14)*2),0)/2 = IF(BA35-Uzman_D!$L$14&lt;0, -(BA35-Uzman_D!$L$14), BA35-Uzman_D!$L$14),
    (ROUND((IF(BA35-Uzman_D!$L$14&lt;0, -(BA35-Uzman_D!$L$14), BA35-Uzman_D!$L$14)*2),0)/1 * 0.1), 0) +
    IF(BB35-Uzman_D!$M$14&lt;0, -(BB35-Uzman_D!$M$14), BB35-Uzman_D!$M$14)*1
)</f>
        <v>-0.20000000000000018</v>
      </c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2"/>
      <c r="BO35" s="72"/>
      <c r="BP35" s="73">
        <f>1 - (
    SUM(
        IF(BD35-Uzman_D!$B$15&lt;0, -(BD35-Uzman_D!$B$15), BD35-Uzman_D!$B$15)*0.1 +
        IF(BE35-Uzman_D!$C$15&lt;0, -(BE35-Uzman_D!$C$15), BE35-Uzman_D!$C$15)*0.1 +
        IF(BF35-Uzman_D!$D$15&lt;0, -(BF35-Uzman_D!$D$15), BF35-Uzman_D!$D$15)*0.1 +
        IF(BG35-Uzman_D!$E$15&lt;0, -(BG35-Uzman_D!$E$15), BG35-Uzman_D!$E$15)*0.1 +
        IF(BH35-Uzman_D!$F$15&lt;0, -(BH35-Uzman_D!$F$15), BH35-Uzman_D!$F$15)*0.1 +
        IF(BI35-Uzman_D!$G$15&lt;0, -(BI35-Uzman_D!$G$15), BI35-Uzman_D!$G$15)*0.1 +
        IF(BJ35-Uzman_D!$H$15&lt;0, -(BJ35-Uzman_D!$H$15), BJ35-Uzman_D!$H$15)*0.1 +
        IF(BK35-Uzman_D!$I$15&lt;0, -(BK35-Uzman_D!$I$15), BK35-Uzman_D!$I$15)*0.1 +
        IF(BL35-Uzman_D!$J$15&lt;0, -(BL35-Uzman_D!$J$15), BL35-Uzman_D!$J$15)*0.1
    ) +
    IF(ROUND((IF(BN35-Uzman_D!$L$15&lt;0, -(BN35-Uzman_D!$L$15), BN35-Uzman_D!$L$15)*2),0)/2 = IF(BN35-Uzman_D!$L$15&lt;0, -(BN35-Uzman_D!$L$15), BN35-Uzman_D!$L$15),
    (ROUND((IF(BN35-Uzman_D!$L$15&lt;0, -(BN35-Uzman_D!$L$15), BN35-Uzman_D!$L$15)*2),0)/1 * 0.1), 0) +
    IF(BO35-Uzman_D!$M$15&lt;0, -(BO35-Uzman_D!$M$15), BO35-Uzman_D!$M$15)*1
)</f>
        <v>-0.60000000000000009</v>
      </c>
      <c r="BQ35" s="74">
        <f t="shared" si="0"/>
        <v>-0.32000000000000017</v>
      </c>
    </row>
    <row r="36" spans="1:69" ht="15" customHeight="1" x14ac:dyDescent="0.2">
      <c r="A36" s="57">
        <v>33</v>
      </c>
      <c r="B36" s="29">
        <f>Hakemler!B36</f>
        <v>0</v>
      </c>
      <c r="C36" s="29">
        <f>Hakemler!C36</f>
        <v>0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  <c r="O36" s="72"/>
      <c r="P36" s="73">
        <f>1 - (
    SUM(
        IF(D36-Uzman_D!$B$11&lt;0, -(D36-Uzman_D!$B$11), D36-Uzman_D!$B$11)*0.1 +
        IF(E36-Uzman_D!$C$11&lt;0, -(E36-Uzman_D!$C$11), E36-Uzman_D!$C$11)*0.1 +
        IF(F36-Uzman_D!$D$11&lt;0, -(F36-Uzman_D!$D$11), F36-Uzman_D!$D$11)*0.1 +
        IF(G36-Uzman_D!$E$11&lt;0, -(G36-Uzman_D!$E$11), G36-Uzman_D!$E$11)*0.1 +
        IF(H36-Uzman_D!$F$11&lt;0, -(H36-Uzman_D!$F$11), H36-Uzman_D!$F$11)*0.1 +
        IF(I36-Uzman_D!$G$11&lt;0, -(I36-Uzman_D!$G$11), I36-Uzman_D!$G$11)*0.1 +
        IF(J36-Uzman_D!$H$11&lt;0, -(J36-Uzman_D!$H$11), J36-Uzman_D!$H$11)*0.1 +
        IF(K36-Uzman_D!$I$11&lt;0, -(K36-Uzman_D!$I$11), K36-Uzman_D!$I$11)*0.1 +
        IF(L36-Uzman_D!$J$11&lt;0, -(L36-Uzman_D!$J$11), L36-Uzman_D!$J$11)*0.1
    ) +
    IF(ROUND((IF(N36-Uzman_D!$L$11&lt;0, -(N36-Uzman_D!$L$11), N36-Uzman_D!$L$11)*2),0)/2 = IF(N36-Uzman_D!$L$11&lt;0, -(N36-Uzman_D!$L$11), N36-Uzman_D!$L$11),
    (ROUND((IF(N36-Uzman_D!$L$11&lt;0, -(N36-Uzman_D!$L$11), N36-Uzman_D!$L$11)*2),0)/1 * 0.1), 0) +
    IF(O36-Uzman_D!$M$11&lt;0, -(O36-Uzman_D!$M$11), O36-Uzman_D!$M$11)*1
)</f>
        <v>-0.30000000000000027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2"/>
      <c r="AB36" s="72"/>
      <c r="AC36" s="73">
        <f>1 - (
    SUM(
        IF(Q36-Uzman_D!$B$12&lt;0, -(Q36-Uzman_D!$B$12), Q36-Uzman_D!$B$12)*0.1 +
        IF(R36-Uzman_D!$C$12&lt;0, -(R36-Uzman_D!$C$12), R36-Uzman_D!$C$12)*0.1 +
        IF(S36-Uzman_D!$D$12&lt;0, -(S36-Uzman_D!$D$12), S36-Uzman_D!$D$12)*0.1 +
        IF(T36-Uzman_D!$E$12&lt;0, -(T36-Uzman_D!$E$12), T36-Uzman_D!$E$12)*0.1 +
        IF(U36-Uzman_D!$F$12&lt;0, -(U36-Uzman_D!$F$12), U36-Uzman_D!$F$12)*0.1 +
        IF(V36-Uzman_D!$G$12&lt;0, -(V36-Uzman_D!$G$12), V36-Uzman_D!$G$12)*0.1 +
        IF(W36-Uzman_D!$H$12&lt;0, -(W36-Uzman_D!$H$12), W36-Uzman_D!$H$12)*0.1 +
        IF(X36-Uzman_D!$I$12&lt;0, -(X36-Uzman_D!$I$12), X36-Uzman_D!$I$12)*0.1 +
        IF(Y36-Uzman_D!$J$12&lt;0, -(Y36-Uzman_D!$J$12), Y36-Uzman_D!$J$12)*0.1
    ) +
    IF(ROUND((IF(AA36-Uzman_D!$L$12&lt;0, -(AA36-Uzman_D!$L$12), AA36-Uzman_D!$L$12)*2),0)/2 = IF(AA36-Uzman_D!$L$12&lt;0, -(AA36-Uzman_D!$L$12), AA36-Uzman_D!$L$12),
    (ROUND((IF(AA36-Uzman_D!$L$12&lt;0, -(AA36-Uzman_D!$L$12), AA36-Uzman_D!$L$12)*2),0)/1 * 0.1), 0) +
    IF(AB36-Uzman_D!$M$12&lt;0, -(AB36-Uzman_D!$M$12), AB36-Uzman_D!$M$12)*1
)</f>
        <v>-0.20000000000000018</v>
      </c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2"/>
      <c r="AO36" s="72"/>
      <c r="AP36" s="73">
        <f>1 - (
    SUM(
        IF(AD36-Uzman_D!$B$13&lt;0, -(AD36-Uzman_D!$B$13), AD36-Uzman_D!$B$13)*0.1 +
        IF(AE36-Uzman_D!$C$13&lt;0, -(AE36-Uzman_D!$C$13), AE36-Uzman_D!$C$13)*0.1 +
        IF(AF36-Uzman_D!$D$13&lt;0, -(AF36-Uzman_D!$D$13), AF36-Uzman_D!$D$13)*0.1 +
        IF(AG36-Uzman_D!$E$13&lt;0, -(AG36-Uzman_D!$E$13), AG36-Uzman_D!$E$13)*0.1 +
        IF(AH36-Uzman_D!$F$13&lt;0, -(AH36-Uzman_D!$F$13), AH36-Uzman_D!$F$13)*0.1 +
        IF(AI36-Uzman_D!$G$13&lt;0, -(AI36-Uzman_D!$G$13), AI36-Uzman_D!$G$13)*0.1 +
        IF(AJ36-Uzman_D!$H$13&lt;0, -(AJ36-Uzman_D!$H$13), AJ36-Uzman_D!$H$13)*0.1 +
        IF(AK36-Uzman_D!$I$13&lt;0, -(AK36-Uzman_D!$I$13), AK36-Uzman_D!$I$13)*0.1 +
        IF(AL36-Uzman_D!$J$13&lt;0, -(AL36-Uzman_D!$J$13), AL36-Uzman_D!$J$13)*0.1
    ) +
    IF(ROUND((IF(AN36-Uzman_D!$L$13&lt;0, -(AN36-Uzman_D!$L$13), AN36-Uzman_D!$L$13)*2),0)/2 = IF(AN36-Uzman_D!$L$13&lt;0, -(AN36-Uzman_D!$L$13), AN36-Uzman_D!$L$13),
    (ROUND((IF(AN36-Uzman_D!$L$13&lt;0, -(AN36-Uzman_D!$L$13), AN36-Uzman_D!$L$13)*2),0)/1 * 0.1), 0) +
    IF(AO36-Uzman_D!$M$13&lt;0, -(AO36-Uzman_D!$M$13), AO36-Uzman_D!$M$13)*1
)</f>
        <v>-0.30000000000000004</v>
      </c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2"/>
      <c r="BB36" s="72"/>
      <c r="BC36" s="73">
        <f>1 - (
    SUM(
        IF(AQ36-Uzman_D!$B$14&lt;0, -(AQ36-Uzman_D!$B$14), AQ36-Uzman_D!$B$14)*0.1 +
        IF(AR36-Uzman_D!$C$14&lt;0, -(AR36-Uzman_D!$C$14), AR36-Uzman_D!$C$14)*0.1 +
        IF(AS36-Uzman_D!$D$14&lt;0, -(AS36-Uzman_D!$D$14), AS36-Uzman_D!$D$14)*0.1 +
        IF(AT36-Uzman_D!$E$14&lt;0, -(AT36-Uzman_D!$E$14), AT36-Uzman_D!$E$14)*0.1 +
        IF(AU36-Uzman_D!$F$14&lt;0, -(AU36-Uzman_D!$F$14), AU36-Uzman_D!$F$14)*0.1 +
        IF(AV36-Uzman_D!$G$14&lt;0, -(AV36-Uzman_D!$G$14), AV36-Uzman_D!$G$14)*0.1 +
        IF(AW36-Uzman_D!$H$14&lt;0, -(AW36-Uzman_D!$H$14), AW36-Uzman_D!$H$14)*0.1 +
        IF(AX36-Uzman_D!$I$14&lt;0, -(AX36-Uzman_D!$I$14), AX36-Uzman_D!$I$14)*0.1 +
        IF(AY36-Uzman_D!$J$14&lt;0, -(AY36-Uzman_D!$J$14), AY36-Uzman_D!$J$14)*0.1
    ) +
    IF(ROUND((IF(BA36-Uzman_D!$L$14&lt;0, -(BA36-Uzman_D!$L$14), BA36-Uzman_D!$L$14)*2),0)/2 = IF(BA36-Uzman_D!$L$14&lt;0, -(BA36-Uzman_D!$L$14), BA36-Uzman_D!$L$14),
    (ROUND((IF(BA36-Uzman_D!$L$14&lt;0, -(BA36-Uzman_D!$L$14), BA36-Uzman_D!$L$14)*2),0)/1 * 0.1), 0) +
    IF(BB36-Uzman_D!$M$14&lt;0, -(BB36-Uzman_D!$M$14), BB36-Uzman_D!$M$14)*1
)</f>
        <v>-0.20000000000000018</v>
      </c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2"/>
      <c r="BO36" s="72"/>
      <c r="BP36" s="73">
        <f>1 - (
    SUM(
        IF(BD36-Uzman_D!$B$15&lt;0, -(BD36-Uzman_D!$B$15), BD36-Uzman_D!$B$15)*0.1 +
        IF(BE36-Uzman_D!$C$15&lt;0, -(BE36-Uzman_D!$C$15), BE36-Uzman_D!$C$15)*0.1 +
        IF(BF36-Uzman_D!$D$15&lt;0, -(BF36-Uzman_D!$D$15), BF36-Uzman_D!$D$15)*0.1 +
        IF(BG36-Uzman_D!$E$15&lt;0, -(BG36-Uzman_D!$E$15), BG36-Uzman_D!$E$15)*0.1 +
        IF(BH36-Uzman_D!$F$15&lt;0, -(BH36-Uzman_D!$F$15), BH36-Uzman_D!$F$15)*0.1 +
        IF(BI36-Uzman_D!$G$15&lt;0, -(BI36-Uzman_D!$G$15), BI36-Uzman_D!$G$15)*0.1 +
        IF(BJ36-Uzman_D!$H$15&lt;0, -(BJ36-Uzman_D!$H$15), BJ36-Uzman_D!$H$15)*0.1 +
        IF(BK36-Uzman_D!$I$15&lt;0, -(BK36-Uzman_D!$I$15), BK36-Uzman_D!$I$15)*0.1 +
        IF(BL36-Uzman_D!$J$15&lt;0, -(BL36-Uzman_D!$J$15), BL36-Uzman_D!$J$15)*0.1
    ) +
    IF(ROUND((IF(BN36-Uzman_D!$L$15&lt;0, -(BN36-Uzman_D!$L$15), BN36-Uzman_D!$L$15)*2),0)/2 = IF(BN36-Uzman_D!$L$15&lt;0, -(BN36-Uzman_D!$L$15), BN36-Uzman_D!$L$15),
    (ROUND((IF(BN36-Uzman_D!$L$15&lt;0, -(BN36-Uzman_D!$L$15), BN36-Uzman_D!$L$15)*2),0)/1 * 0.1), 0) +
    IF(BO36-Uzman_D!$M$15&lt;0, -(BO36-Uzman_D!$M$15), BO36-Uzman_D!$M$15)*1
)</f>
        <v>-0.60000000000000009</v>
      </c>
      <c r="BQ36" s="74">
        <f t="shared" si="0"/>
        <v>-0.32000000000000017</v>
      </c>
    </row>
    <row r="37" spans="1:69" ht="15" customHeight="1" x14ac:dyDescent="0.2">
      <c r="A37" s="57">
        <v>34</v>
      </c>
      <c r="B37" s="29">
        <f>Hakemler!B37</f>
        <v>0</v>
      </c>
      <c r="C37" s="29">
        <f>Hakemler!C37</f>
        <v>0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  <c r="O37" s="72"/>
      <c r="P37" s="73">
        <f>1 - (
    SUM(
        IF(D37-Uzman_D!$B$11&lt;0, -(D37-Uzman_D!$B$11), D37-Uzman_D!$B$11)*0.1 +
        IF(E37-Uzman_D!$C$11&lt;0, -(E37-Uzman_D!$C$11), E37-Uzman_D!$C$11)*0.1 +
        IF(F37-Uzman_D!$D$11&lt;0, -(F37-Uzman_D!$D$11), F37-Uzman_D!$D$11)*0.1 +
        IF(G37-Uzman_D!$E$11&lt;0, -(G37-Uzman_D!$E$11), G37-Uzman_D!$E$11)*0.1 +
        IF(H37-Uzman_D!$F$11&lt;0, -(H37-Uzman_D!$F$11), H37-Uzman_D!$F$11)*0.1 +
        IF(I37-Uzman_D!$G$11&lt;0, -(I37-Uzman_D!$G$11), I37-Uzman_D!$G$11)*0.1 +
        IF(J37-Uzman_D!$H$11&lt;0, -(J37-Uzman_D!$H$11), J37-Uzman_D!$H$11)*0.1 +
        IF(K37-Uzman_D!$I$11&lt;0, -(K37-Uzman_D!$I$11), K37-Uzman_D!$I$11)*0.1 +
        IF(L37-Uzman_D!$J$11&lt;0, -(L37-Uzman_D!$J$11), L37-Uzman_D!$J$11)*0.1
    ) +
    IF(ROUND((IF(N37-Uzman_D!$L$11&lt;0, -(N37-Uzman_D!$L$11), N37-Uzman_D!$L$11)*2),0)/2 = IF(N37-Uzman_D!$L$11&lt;0, -(N37-Uzman_D!$L$11), N37-Uzman_D!$L$11),
    (ROUND((IF(N37-Uzman_D!$L$11&lt;0, -(N37-Uzman_D!$L$11), N37-Uzman_D!$L$11)*2),0)/1 * 0.1), 0) +
    IF(O37-Uzman_D!$M$11&lt;0, -(O37-Uzman_D!$M$11), O37-Uzman_D!$M$11)*1
)</f>
        <v>-0.30000000000000027</v>
      </c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2"/>
      <c r="AB37" s="72"/>
      <c r="AC37" s="73">
        <f>1 - (
    SUM(
        IF(Q37-Uzman_D!$B$12&lt;0, -(Q37-Uzman_D!$B$12), Q37-Uzman_D!$B$12)*0.1 +
        IF(R37-Uzman_D!$C$12&lt;0, -(R37-Uzman_D!$C$12), R37-Uzman_D!$C$12)*0.1 +
        IF(S37-Uzman_D!$D$12&lt;0, -(S37-Uzman_D!$D$12), S37-Uzman_D!$D$12)*0.1 +
        IF(T37-Uzman_D!$E$12&lt;0, -(T37-Uzman_D!$E$12), T37-Uzman_D!$E$12)*0.1 +
        IF(U37-Uzman_D!$F$12&lt;0, -(U37-Uzman_D!$F$12), U37-Uzman_D!$F$12)*0.1 +
        IF(V37-Uzman_D!$G$12&lt;0, -(V37-Uzman_D!$G$12), V37-Uzman_D!$G$12)*0.1 +
        IF(W37-Uzman_D!$H$12&lt;0, -(W37-Uzman_D!$H$12), W37-Uzman_D!$H$12)*0.1 +
        IF(X37-Uzman_D!$I$12&lt;0, -(X37-Uzman_D!$I$12), X37-Uzman_D!$I$12)*0.1 +
        IF(Y37-Uzman_D!$J$12&lt;0, -(Y37-Uzman_D!$J$12), Y37-Uzman_D!$J$12)*0.1
    ) +
    IF(ROUND((IF(AA37-Uzman_D!$L$12&lt;0, -(AA37-Uzman_D!$L$12), AA37-Uzman_D!$L$12)*2),0)/2 = IF(AA37-Uzman_D!$L$12&lt;0, -(AA37-Uzman_D!$L$12), AA37-Uzman_D!$L$12),
    (ROUND((IF(AA37-Uzman_D!$L$12&lt;0, -(AA37-Uzman_D!$L$12), AA37-Uzman_D!$L$12)*2),0)/1 * 0.1), 0) +
    IF(AB37-Uzman_D!$M$12&lt;0, -(AB37-Uzman_D!$M$12), AB37-Uzman_D!$M$12)*1
)</f>
        <v>-0.20000000000000018</v>
      </c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2"/>
      <c r="AO37" s="72"/>
      <c r="AP37" s="73">
        <f>1 - (
    SUM(
        IF(AD37-Uzman_D!$B$13&lt;0, -(AD37-Uzman_D!$B$13), AD37-Uzman_D!$B$13)*0.1 +
        IF(AE37-Uzman_D!$C$13&lt;0, -(AE37-Uzman_D!$C$13), AE37-Uzman_D!$C$13)*0.1 +
        IF(AF37-Uzman_D!$D$13&lt;0, -(AF37-Uzman_D!$D$13), AF37-Uzman_D!$D$13)*0.1 +
        IF(AG37-Uzman_D!$E$13&lt;0, -(AG37-Uzman_D!$E$13), AG37-Uzman_D!$E$13)*0.1 +
        IF(AH37-Uzman_D!$F$13&lt;0, -(AH37-Uzman_D!$F$13), AH37-Uzman_D!$F$13)*0.1 +
        IF(AI37-Uzman_D!$G$13&lt;0, -(AI37-Uzman_D!$G$13), AI37-Uzman_D!$G$13)*0.1 +
        IF(AJ37-Uzman_D!$H$13&lt;0, -(AJ37-Uzman_D!$H$13), AJ37-Uzman_D!$H$13)*0.1 +
        IF(AK37-Uzman_D!$I$13&lt;0, -(AK37-Uzman_D!$I$13), AK37-Uzman_D!$I$13)*0.1 +
        IF(AL37-Uzman_D!$J$13&lt;0, -(AL37-Uzman_D!$J$13), AL37-Uzman_D!$J$13)*0.1
    ) +
    IF(ROUND((IF(AN37-Uzman_D!$L$13&lt;0, -(AN37-Uzman_D!$L$13), AN37-Uzman_D!$L$13)*2),0)/2 = IF(AN37-Uzman_D!$L$13&lt;0, -(AN37-Uzman_D!$L$13), AN37-Uzman_D!$L$13),
    (ROUND((IF(AN37-Uzman_D!$L$13&lt;0, -(AN37-Uzman_D!$L$13), AN37-Uzman_D!$L$13)*2),0)/1 * 0.1), 0) +
    IF(AO37-Uzman_D!$M$13&lt;0, -(AO37-Uzman_D!$M$13), AO37-Uzman_D!$M$13)*1
)</f>
        <v>-0.30000000000000004</v>
      </c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2"/>
      <c r="BB37" s="72"/>
      <c r="BC37" s="73">
        <f>1 - (
    SUM(
        IF(AQ37-Uzman_D!$B$14&lt;0, -(AQ37-Uzman_D!$B$14), AQ37-Uzman_D!$B$14)*0.1 +
        IF(AR37-Uzman_D!$C$14&lt;0, -(AR37-Uzman_D!$C$14), AR37-Uzman_D!$C$14)*0.1 +
        IF(AS37-Uzman_D!$D$14&lt;0, -(AS37-Uzman_D!$D$14), AS37-Uzman_D!$D$14)*0.1 +
        IF(AT37-Uzman_D!$E$14&lt;0, -(AT37-Uzman_D!$E$14), AT37-Uzman_D!$E$14)*0.1 +
        IF(AU37-Uzman_D!$F$14&lt;0, -(AU37-Uzman_D!$F$14), AU37-Uzman_D!$F$14)*0.1 +
        IF(AV37-Uzman_D!$G$14&lt;0, -(AV37-Uzman_D!$G$14), AV37-Uzman_D!$G$14)*0.1 +
        IF(AW37-Uzman_D!$H$14&lt;0, -(AW37-Uzman_D!$H$14), AW37-Uzman_D!$H$14)*0.1 +
        IF(AX37-Uzman_D!$I$14&lt;0, -(AX37-Uzman_D!$I$14), AX37-Uzman_D!$I$14)*0.1 +
        IF(AY37-Uzman_D!$J$14&lt;0, -(AY37-Uzman_D!$J$14), AY37-Uzman_D!$J$14)*0.1
    ) +
    IF(ROUND((IF(BA37-Uzman_D!$L$14&lt;0, -(BA37-Uzman_D!$L$14), BA37-Uzman_D!$L$14)*2),0)/2 = IF(BA37-Uzman_D!$L$14&lt;0, -(BA37-Uzman_D!$L$14), BA37-Uzman_D!$L$14),
    (ROUND((IF(BA37-Uzman_D!$L$14&lt;0, -(BA37-Uzman_D!$L$14), BA37-Uzman_D!$L$14)*2),0)/1 * 0.1), 0) +
    IF(BB37-Uzman_D!$M$14&lt;0, -(BB37-Uzman_D!$M$14), BB37-Uzman_D!$M$14)*1
)</f>
        <v>-0.20000000000000018</v>
      </c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2"/>
      <c r="BO37" s="72"/>
      <c r="BP37" s="73">
        <f>1 - (
    SUM(
        IF(BD37-Uzman_D!$B$15&lt;0, -(BD37-Uzman_D!$B$15), BD37-Uzman_D!$B$15)*0.1 +
        IF(BE37-Uzman_D!$C$15&lt;0, -(BE37-Uzman_D!$C$15), BE37-Uzman_D!$C$15)*0.1 +
        IF(BF37-Uzman_D!$D$15&lt;0, -(BF37-Uzman_D!$D$15), BF37-Uzman_D!$D$15)*0.1 +
        IF(BG37-Uzman_D!$E$15&lt;0, -(BG37-Uzman_D!$E$15), BG37-Uzman_D!$E$15)*0.1 +
        IF(BH37-Uzman_D!$F$15&lt;0, -(BH37-Uzman_D!$F$15), BH37-Uzman_D!$F$15)*0.1 +
        IF(BI37-Uzman_D!$G$15&lt;0, -(BI37-Uzman_D!$G$15), BI37-Uzman_D!$G$15)*0.1 +
        IF(BJ37-Uzman_D!$H$15&lt;0, -(BJ37-Uzman_D!$H$15), BJ37-Uzman_D!$H$15)*0.1 +
        IF(BK37-Uzman_D!$I$15&lt;0, -(BK37-Uzman_D!$I$15), BK37-Uzman_D!$I$15)*0.1 +
        IF(BL37-Uzman_D!$J$15&lt;0, -(BL37-Uzman_D!$J$15), BL37-Uzman_D!$J$15)*0.1
    ) +
    IF(ROUND((IF(BN37-Uzman_D!$L$15&lt;0, -(BN37-Uzman_D!$L$15), BN37-Uzman_D!$L$15)*2),0)/2 = IF(BN37-Uzman_D!$L$15&lt;0, -(BN37-Uzman_D!$L$15), BN37-Uzman_D!$L$15),
    (ROUND((IF(BN37-Uzman_D!$L$15&lt;0, -(BN37-Uzman_D!$L$15), BN37-Uzman_D!$L$15)*2),0)/1 * 0.1), 0) +
    IF(BO37-Uzman_D!$M$15&lt;0, -(BO37-Uzman_D!$M$15), BO37-Uzman_D!$M$15)*1
)</f>
        <v>-0.60000000000000009</v>
      </c>
      <c r="BQ37" s="74">
        <f t="shared" si="0"/>
        <v>-0.32000000000000017</v>
      </c>
    </row>
    <row r="38" spans="1:69" ht="15" customHeight="1" x14ac:dyDescent="0.2">
      <c r="A38" s="57">
        <v>35</v>
      </c>
      <c r="B38" s="29">
        <f>Hakemler!B38</f>
        <v>0</v>
      </c>
      <c r="C38" s="29">
        <f>Hakemler!C38</f>
        <v>0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2"/>
      <c r="O38" s="72"/>
      <c r="P38" s="73">
        <f>1 - (
    SUM(
        IF(D38-Uzman_D!$B$11&lt;0, -(D38-Uzman_D!$B$11), D38-Uzman_D!$B$11)*0.1 +
        IF(E38-Uzman_D!$C$11&lt;0, -(E38-Uzman_D!$C$11), E38-Uzman_D!$C$11)*0.1 +
        IF(F38-Uzman_D!$D$11&lt;0, -(F38-Uzman_D!$D$11), F38-Uzman_D!$D$11)*0.1 +
        IF(G38-Uzman_D!$E$11&lt;0, -(G38-Uzman_D!$E$11), G38-Uzman_D!$E$11)*0.1 +
        IF(H38-Uzman_D!$F$11&lt;0, -(H38-Uzman_D!$F$11), H38-Uzman_D!$F$11)*0.1 +
        IF(I38-Uzman_D!$G$11&lt;0, -(I38-Uzman_D!$G$11), I38-Uzman_D!$G$11)*0.1 +
        IF(J38-Uzman_D!$H$11&lt;0, -(J38-Uzman_D!$H$11), J38-Uzman_D!$H$11)*0.1 +
        IF(K38-Uzman_D!$I$11&lt;0, -(K38-Uzman_D!$I$11), K38-Uzman_D!$I$11)*0.1 +
        IF(L38-Uzman_D!$J$11&lt;0, -(L38-Uzman_D!$J$11), L38-Uzman_D!$J$11)*0.1
    ) +
    IF(ROUND((IF(N38-Uzman_D!$L$11&lt;0, -(N38-Uzman_D!$L$11), N38-Uzman_D!$L$11)*2),0)/2 = IF(N38-Uzman_D!$L$11&lt;0, -(N38-Uzman_D!$L$11), N38-Uzman_D!$L$11),
    (ROUND((IF(N38-Uzman_D!$L$11&lt;0, -(N38-Uzman_D!$L$11), N38-Uzman_D!$L$11)*2),0)/1 * 0.1), 0) +
    IF(O38-Uzman_D!$M$11&lt;0, -(O38-Uzman_D!$M$11), O38-Uzman_D!$M$11)*1
)</f>
        <v>-0.30000000000000027</v>
      </c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2"/>
      <c r="AB38" s="72"/>
      <c r="AC38" s="73">
        <f>1 - (
    SUM(
        IF(Q38-Uzman_D!$B$12&lt;0, -(Q38-Uzman_D!$B$12), Q38-Uzman_D!$B$12)*0.1 +
        IF(R38-Uzman_D!$C$12&lt;0, -(R38-Uzman_D!$C$12), R38-Uzman_D!$C$12)*0.1 +
        IF(S38-Uzman_D!$D$12&lt;0, -(S38-Uzman_D!$D$12), S38-Uzman_D!$D$12)*0.1 +
        IF(T38-Uzman_D!$E$12&lt;0, -(T38-Uzman_D!$E$12), T38-Uzman_D!$E$12)*0.1 +
        IF(U38-Uzman_D!$F$12&lt;0, -(U38-Uzman_D!$F$12), U38-Uzman_D!$F$12)*0.1 +
        IF(V38-Uzman_D!$G$12&lt;0, -(V38-Uzman_D!$G$12), V38-Uzman_D!$G$12)*0.1 +
        IF(W38-Uzman_D!$H$12&lt;0, -(W38-Uzman_D!$H$12), W38-Uzman_D!$H$12)*0.1 +
        IF(X38-Uzman_D!$I$12&lt;0, -(X38-Uzman_D!$I$12), X38-Uzman_D!$I$12)*0.1 +
        IF(Y38-Uzman_D!$J$12&lt;0, -(Y38-Uzman_D!$J$12), Y38-Uzman_D!$J$12)*0.1
    ) +
    IF(ROUND((IF(AA38-Uzman_D!$L$12&lt;0, -(AA38-Uzman_D!$L$12), AA38-Uzman_D!$L$12)*2),0)/2 = IF(AA38-Uzman_D!$L$12&lt;0, -(AA38-Uzman_D!$L$12), AA38-Uzman_D!$L$12),
    (ROUND((IF(AA38-Uzman_D!$L$12&lt;0, -(AA38-Uzman_D!$L$12), AA38-Uzman_D!$L$12)*2),0)/1 * 0.1), 0) +
    IF(AB38-Uzman_D!$M$12&lt;0, -(AB38-Uzman_D!$M$12), AB38-Uzman_D!$M$12)*1
)</f>
        <v>-0.20000000000000018</v>
      </c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2"/>
      <c r="AO38" s="72"/>
      <c r="AP38" s="73">
        <f>1 - (
    SUM(
        IF(AD38-Uzman_D!$B$13&lt;0, -(AD38-Uzman_D!$B$13), AD38-Uzman_D!$B$13)*0.1 +
        IF(AE38-Uzman_D!$C$13&lt;0, -(AE38-Uzman_D!$C$13), AE38-Uzman_D!$C$13)*0.1 +
        IF(AF38-Uzman_D!$D$13&lt;0, -(AF38-Uzman_D!$D$13), AF38-Uzman_D!$D$13)*0.1 +
        IF(AG38-Uzman_D!$E$13&lt;0, -(AG38-Uzman_D!$E$13), AG38-Uzman_D!$E$13)*0.1 +
        IF(AH38-Uzman_D!$F$13&lt;0, -(AH38-Uzman_D!$F$13), AH38-Uzman_D!$F$13)*0.1 +
        IF(AI38-Uzman_D!$G$13&lt;0, -(AI38-Uzman_D!$G$13), AI38-Uzman_D!$G$13)*0.1 +
        IF(AJ38-Uzman_D!$H$13&lt;0, -(AJ38-Uzman_D!$H$13), AJ38-Uzman_D!$H$13)*0.1 +
        IF(AK38-Uzman_D!$I$13&lt;0, -(AK38-Uzman_D!$I$13), AK38-Uzman_D!$I$13)*0.1 +
        IF(AL38-Uzman_D!$J$13&lt;0, -(AL38-Uzman_D!$J$13), AL38-Uzman_D!$J$13)*0.1
    ) +
    IF(ROUND((IF(AN38-Uzman_D!$L$13&lt;0, -(AN38-Uzman_D!$L$13), AN38-Uzman_D!$L$13)*2),0)/2 = IF(AN38-Uzman_D!$L$13&lt;0, -(AN38-Uzman_D!$L$13), AN38-Uzman_D!$L$13),
    (ROUND((IF(AN38-Uzman_D!$L$13&lt;0, -(AN38-Uzman_D!$L$13), AN38-Uzman_D!$L$13)*2),0)/1 * 0.1), 0) +
    IF(AO38-Uzman_D!$M$13&lt;0, -(AO38-Uzman_D!$M$13), AO38-Uzman_D!$M$13)*1
)</f>
        <v>-0.30000000000000004</v>
      </c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2"/>
      <c r="BB38" s="72"/>
      <c r="BC38" s="73">
        <f>1 - (
    SUM(
        IF(AQ38-Uzman_D!$B$14&lt;0, -(AQ38-Uzman_D!$B$14), AQ38-Uzman_D!$B$14)*0.1 +
        IF(AR38-Uzman_D!$C$14&lt;0, -(AR38-Uzman_D!$C$14), AR38-Uzman_D!$C$14)*0.1 +
        IF(AS38-Uzman_D!$D$14&lt;0, -(AS38-Uzman_D!$D$14), AS38-Uzman_D!$D$14)*0.1 +
        IF(AT38-Uzman_D!$E$14&lt;0, -(AT38-Uzman_D!$E$14), AT38-Uzman_D!$E$14)*0.1 +
        IF(AU38-Uzman_D!$F$14&lt;0, -(AU38-Uzman_D!$F$14), AU38-Uzman_D!$F$14)*0.1 +
        IF(AV38-Uzman_D!$G$14&lt;0, -(AV38-Uzman_D!$G$14), AV38-Uzman_D!$G$14)*0.1 +
        IF(AW38-Uzman_D!$H$14&lt;0, -(AW38-Uzman_D!$H$14), AW38-Uzman_D!$H$14)*0.1 +
        IF(AX38-Uzman_D!$I$14&lt;0, -(AX38-Uzman_D!$I$14), AX38-Uzman_D!$I$14)*0.1 +
        IF(AY38-Uzman_D!$J$14&lt;0, -(AY38-Uzman_D!$J$14), AY38-Uzman_D!$J$14)*0.1
    ) +
    IF(ROUND((IF(BA38-Uzman_D!$L$14&lt;0, -(BA38-Uzman_D!$L$14), BA38-Uzman_D!$L$14)*2),0)/2 = IF(BA38-Uzman_D!$L$14&lt;0, -(BA38-Uzman_D!$L$14), BA38-Uzman_D!$L$14),
    (ROUND((IF(BA38-Uzman_D!$L$14&lt;0, -(BA38-Uzman_D!$L$14), BA38-Uzman_D!$L$14)*2),0)/1 * 0.1), 0) +
    IF(BB38-Uzman_D!$M$14&lt;0, -(BB38-Uzman_D!$M$14), BB38-Uzman_D!$M$14)*1
)</f>
        <v>-0.20000000000000018</v>
      </c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2"/>
      <c r="BO38" s="72"/>
      <c r="BP38" s="73">
        <f>1 - (
    SUM(
        IF(BD38-Uzman_D!$B$15&lt;0, -(BD38-Uzman_D!$B$15), BD38-Uzman_D!$B$15)*0.1 +
        IF(BE38-Uzman_D!$C$15&lt;0, -(BE38-Uzman_D!$C$15), BE38-Uzman_D!$C$15)*0.1 +
        IF(BF38-Uzman_D!$D$15&lt;0, -(BF38-Uzman_D!$D$15), BF38-Uzman_D!$D$15)*0.1 +
        IF(BG38-Uzman_D!$E$15&lt;0, -(BG38-Uzman_D!$E$15), BG38-Uzman_D!$E$15)*0.1 +
        IF(BH38-Uzman_D!$F$15&lt;0, -(BH38-Uzman_D!$F$15), BH38-Uzman_D!$F$15)*0.1 +
        IF(BI38-Uzman_D!$G$15&lt;0, -(BI38-Uzman_D!$G$15), BI38-Uzman_D!$G$15)*0.1 +
        IF(BJ38-Uzman_D!$H$15&lt;0, -(BJ38-Uzman_D!$H$15), BJ38-Uzman_D!$H$15)*0.1 +
        IF(BK38-Uzman_D!$I$15&lt;0, -(BK38-Uzman_D!$I$15), BK38-Uzman_D!$I$15)*0.1 +
        IF(BL38-Uzman_D!$J$15&lt;0, -(BL38-Uzman_D!$J$15), BL38-Uzman_D!$J$15)*0.1
    ) +
    IF(ROUND((IF(BN38-Uzman_D!$L$15&lt;0, -(BN38-Uzman_D!$L$15), BN38-Uzman_D!$L$15)*2),0)/2 = IF(BN38-Uzman_D!$L$15&lt;0, -(BN38-Uzman_D!$L$15), BN38-Uzman_D!$L$15),
    (ROUND((IF(BN38-Uzman_D!$L$15&lt;0, -(BN38-Uzman_D!$L$15), BN38-Uzman_D!$L$15)*2),0)/1 * 0.1), 0) +
    IF(BO38-Uzman_D!$M$15&lt;0, -(BO38-Uzman_D!$M$15), BO38-Uzman_D!$M$15)*1
)</f>
        <v>-0.60000000000000009</v>
      </c>
      <c r="BQ38" s="74">
        <f t="shared" si="0"/>
        <v>-0.32000000000000017</v>
      </c>
    </row>
    <row r="39" spans="1:69" ht="15" customHeight="1" x14ac:dyDescent="0.2">
      <c r="A39" s="57">
        <v>36</v>
      </c>
      <c r="B39" s="29">
        <f>Hakemler!B39</f>
        <v>0</v>
      </c>
      <c r="C39" s="29">
        <f>Hakemler!C39</f>
        <v>0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2"/>
      <c r="O39" s="72"/>
      <c r="P39" s="73">
        <f>1 - (
    SUM(
        IF(D39-Uzman_D!$B$11&lt;0, -(D39-Uzman_D!$B$11), D39-Uzman_D!$B$11)*0.1 +
        IF(E39-Uzman_D!$C$11&lt;0, -(E39-Uzman_D!$C$11), E39-Uzman_D!$C$11)*0.1 +
        IF(F39-Uzman_D!$D$11&lt;0, -(F39-Uzman_D!$D$11), F39-Uzman_D!$D$11)*0.1 +
        IF(G39-Uzman_D!$E$11&lt;0, -(G39-Uzman_D!$E$11), G39-Uzman_D!$E$11)*0.1 +
        IF(H39-Uzman_D!$F$11&lt;0, -(H39-Uzman_D!$F$11), H39-Uzman_D!$F$11)*0.1 +
        IF(I39-Uzman_D!$G$11&lt;0, -(I39-Uzman_D!$G$11), I39-Uzman_D!$G$11)*0.1 +
        IF(J39-Uzman_D!$H$11&lt;0, -(J39-Uzman_D!$H$11), J39-Uzman_D!$H$11)*0.1 +
        IF(K39-Uzman_D!$I$11&lt;0, -(K39-Uzman_D!$I$11), K39-Uzman_D!$I$11)*0.1 +
        IF(L39-Uzman_D!$J$11&lt;0, -(L39-Uzman_D!$J$11), L39-Uzman_D!$J$11)*0.1
    ) +
    IF(ROUND((IF(N39-Uzman_D!$L$11&lt;0, -(N39-Uzman_D!$L$11), N39-Uzman_D!$L$11)*2),0)/2 = IF(N39-Uzman_D!$L$11&lt;0, -(N39-Uzman_D!$L$11), N39-Uzman_D!$L$11),
    (ROUND((IF(N39-Uzman_D!$L$11&lt;0, -(N39-Uzman_D!$L$11), N39-Uzman_D!$L$11)*2),0)/1 * 0.1), 0) +
    IF(O39-Uzman_D!$M$11&lt;0, -(O39-Uzman_D!$M$11), O39-Uzman_D!$M$11)*1
)</f>
        <v>-0.30000000000000027</v>
      </c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2"/>
      <c r="AB39" s="72"/>
      <c r="AC39" s="73">
        <f>1 - (
    SUM(
        IF(Q39-Uzman_D!$B$12&lt;0, -(Q39-Uzman_D!$B$12), Q39-Uzman_D!$B$12)*0.1 +
        IF(R39-Uzman_D!$C$12&lt;0, -(R39-Uzman_D!$C$12), R39-Uzman_D!$C$12)*0.1 +
        IF(S39-Uzman_D!$D$12&lt;0, -(S39-Uzman_D!$D$12), S39-Uzman_D!$D$12)*0.1 +
        IF(T39-Uzman_D!$E$12&lt;0, -(T39-Uzman_D!$E$12), T39-Uzman_D!$E$12)*0.1 +
        IF(U39-Uzman_D!$F$12&lt;0, -(U39-Uzman_D!$F$12), U39-Uzman_D!$F$12)*0.1 +
        IF(V39-Uzman_D!$G$12&lt;0, -(V39-Uzman_D!$G$12), V39-Uzman_D!$G$12)*0.1 +
        IF(W39-Uzman_D!$H$12&lt;0, -(W39-Uzman_D!$H$12), W39-Uzman_D!$H$12)*0.1 +
        IF(X39-Uzman_D!$I$12&lt;0, -(X39-Uzman_D!$I$12), X39-Uzman_D!$I$12)*0.1 +
        IF(Y39-Uzman_D!$J$12&lt;0, -(Y39-Uzman_D!$J$12), Y39-Uzman_D!$J$12)*0.1
    ) +
    IF(ROUND((IF(AA39-Uzman_D!$L$12&lt;0, -(AA39-Uzman_D!$L$12), AA39-Uzman_D!$L$12)*2),0)/2 = IF(AA39-Uzman_D!$L$12&lt;0, -(AA39-Uzman_D!$L$12), AA39-Uzman_D!$L$12),
    (ROUND((IF(AA39-Uzman_D!$L$12&lt;0, -(AA39-Uzman_D!$L$12), AA39-Uzman_D!$L$12)*2),0)/1 * 0.1), 0) +
    IF(AB39-Uzman_D!$M$12&lt;0, -(AB39-Uzman_D!$M$12), AB39-Uzman_D!$M$12)*1
)</f>
        <v>-0.20000000000000018</v>
      </c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2"/>
      <c r="AO39" s="72"/>
      <c r="AP39" s="73">
        <f>1 - (
    SUM(
        IF(AD39-Uzman_D!$B$13&lt;0, -(AD39-Uzman_D!$B$13), AD39-Uzman_D!$B$13)*0.1 +
        IF(AE39-Uzman_D!$C$13&lt;0, -(AE39-Uzman_D!$C$13), AE39-Uzman_D!$C$13)*0.1 +
        IF(AF39-Uzman_D!$D$13&lt;0, -(AF39-Uzman_D!$D$13), AF39-Uzman_D!$D$13)*0.1 +
        IF(AG39-Uzman_D!$E$13&lt;0, -(AG39-Uzman_D!$E$13), AG39-Uzman_D!$E$13)*0.1 +
        IF(AH39-Uzman_D!$F$13&lt;0, -(AH39-Uzman_D!$F$13), AH39-Uzman_D!$F$13)*0.1 +
        IF(AI39-Uzman_D!$G$13&lt;0, -(AI39-Uzman_D!$G$13), AI39-Uzman_D!$G$13)*0.1 +
        IF(AJ39-Uzman_D!$H$13&lt;0, -(AJ39-Uzman_D!$H$13), AJ39-Uzman_D!$H$13)*0.1 +
        IF(AK39-Uzman_D!$I$13&lt;0, -(AK39-Uzman_D!$I$13), AK39-Uzman_D!$I$13)*0.1 +
        IF(AL39-Uzman_D!$J$13&lt;0, -(AL39-Uzman_D!$J$13), AL39-Uzman_D!$J$13)*0.1
    ) +
    IF(ROUND((IF(AN39-Uzman_D!$L$13&lt;0, -(AN39-Uzman_D!$L$13), AN39-Uzman_D!$L$13)*2),0)/2 = IF(AN39-Uzman_D!$L$13&lt;0, -(AN39-Uzman_D!$L$13), AN39-Uzman_D!$L$13),
    (ROUND((IF(AN39-Uzman_D!$L$13&lt;0, -(AN39-Uzman_D!$L$13), AN39-Uzman_D!$L$13)*2),0)/1 * 0.1), 0) +
    IF(AO39-Uzman_D!$M$13&lt;0, -(AO39-Uzman_D!$M$13), AO39-Uzman_D!$M$13)*1
)</f>
        <v>-0.30000000000000004</v>
      </c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2"/>
      <c r="BB39" s="72"/>
      <c r="BC39" s="73">
        <f>1 - (
    SUM(
        IF(AQ39-Uzman_D!$B$14&lt;0, -(AQ39-Uzman_D!$B$14), AQ39-Uzman_D!$B$14)*0.1 +
        IF(AR39-Uzman_D!$C$14&lt;0, -(AR39-Uzman_D!$C$14), AR39-Uzman_D!$C$14)*0.1 +
        IF(AS39-Uzman_D!$D$14&lt;0, -(AS39-Uzman_D!$D$14), AS39-Uzman_D!$D$14)*0.1 +
        IF(AT39-Uzman_D!$E$14&lt;0, -(AT39-Uzman_D!$E$14), AT39-Uzman_D!$E$14)*0.1 +
        IF(AU39-Uzman_D!$F$14&lt;0, -(AU39-Uzman_D!$F$14), AU39-Uzman_D!$F$14)*0.1 +
        IF(AV39-Uzman_D!$G$14&lt;0, -(AV39-Uzman_D!$G$14), AV39-Uzman_D!$G$14)*0.1 +
        IF(AW39-Uzman_D!$H$14&lt;0, -(AW39-Uzman_D!$H$14), AW39-Uzman_D!$H$14)*0.1 +
        IF(AX39-Uzman_D!$I$14&lt;0, -(AX39-Uzman_D!$I$14), AX39-Uzman_D!$I$14)*0.1 +
        IF(AY39-Uzman_D!$J$14&lt;0, -(AY39-Uzman_D!$J$14), AY39-Uzman_D!$J$14)*0.1
    ) +
    IF(ROUND((IF(BA39-Uzman_D!$L$14&lt;0, -(BA39-Uzman_D!$L$14), BA39-Uzman_D!$L$14)*2),0)/2 = IF(BA39-Uzman_D!$L$14&lt;0, -(BA39-Uzman_D!$L$14), BA39-Uzman_D!$L$14),
    (ROUND((IF(BA39-Uzman_D!$L$14&lt;0, -(BA39-Uzman_D!$L$14), BA39-Uzman_D!$L$14)*2),0)/1 * 0.1), 0) +
    IF(BB39-Uzman_D!$M$14&lt;0, -(BB39-Uzman_D!$M$14), BB39-Uzman_D!$M$14)*1
)</f>
        <v>-0.20000000000000018</v>
      </c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2"/>
      <c r="BO39" s="72"/>
      <c r="BP39" s="73">
        <f>1 - (
    SUM(
        IF(BD39-Uzman_D!$B$15&lt;0, -(BD39-Uzman_D!$B$15), BD39-Uzman_D!$B$15)*0.1 +
        IF(BE39-Uzman_D!$C$15&lt;0, -(BE39-Uzman_D!$C$15), BE39-Uzman_D!$C$15)*0.1 +
        IF(BF39-Uzman_D!$D$15&lt;0, -(BF39-Uzman_D!$D$15), BF39-Uzman_D!$D$15)*0.1 +
        IF(BG39-Uzman_D!$E$15&lt;0, -(BG39-Uzman_D!$E$15), BG39-Uzman_D!$E$15)*0.1 +
        IF(BH39-Uzman_D!$F$15&lt;0, -(BH39-Uzman_D!$F$15), BH39-Uzman_D!$F$15)*0.1 +
        IF(BI39-Uzman_D!$G$15&lt;0, -(BI39-Uzman_D!$G$15), BI39-Uzman_D!$G$15)*0.1 +
        IF(BJ39-Uzman_D!$H$15&lt;0, -(BJ39-Uzman_D!$H$15), BJ39-Uzman_D!$H$15)*0.1 +
        IF(BK39-Uzman_D!$I$15&lt;0, -(BK39-Uzman_D!$I$15), BK39-Uzman_D!$I$15)*0.1 +
        IF(BL39-Uzman_D!$J$15&lt;0, -(BL39-Uzman_D!$J$15), BL39-Uzman_D!$J$15)*0.1
    ) +
    IF(ROUND((IF(BN39-Uzman_D!$L$15&lt;0, -(BN39-Uzman_D!$L$15), BN39-Uzman_D!$L$15)*2),0)/2 = IF(BN39-Uzman_D!$L$15&lt;0, -(BN39-Uzman_D!$L$15), BN39-Uzman_D!$L$15),
    (ROUND((IF(BN39-Uzman_D!$L$15&lt;0, -(BN39-Uzman_D!$L$15), BN39-Uzman_D!$L$15)*2),0)/1 * 0.1), 0) +
    IF(BO39-Uzman_D!$M$15&lt;0, -(BO39-Uzman_D!$M$15), BO39-Uzman_D!$M$15)*1
)</f>
        <v>-0.60000000000000009</v>
      </c>
      <c r="BQ39" s="74">
        <f t="shared" si="0"/>
        <v>-0.32000000000000017</v>
      </c>
    </row>
    <row r="40" spans="1:69" ht="15" customHeight="1" x14ac:dyDescent="0.2">
      <c r="A40" s="57">
        <v>37</v>
      </c>
      <c r="B40" s="37">
        <f>Hakemler!B40</f>
        <v>0</v>
      </c>
      <c r="C40" s="37">
        <f>Hakemler!C40</f>
        <v>0</v>
      </c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2"/>
      <c r="O40" s="72"/>
      <c r="P40" s="73">
        <f>1 - (
    SUM(
        IF(D40-Uzman_D!$B$11&lt;0, -(D40-Uzman_D!$B$11), D40-Uzman_D!$B$11)*0.1 +
        IF(E40-Uzman_D!$C$11&lt;0, -(E40-Uzman_D!$C$11), E40-Uzman_D!$C$11)*0.1 +
        IF(F40-Uzman_D!$D$11&lt;0, -(F40-Uzman_D!$D$11), F40-Uzman_D!$D$11)*0.1 +
        IF(G40-Uzman_D!$E$11&lt;0, -(G40-Uzman_D!$E$11), G40-Uzman_D!$E$11)*0.1 +
        IF(H40-Uzman_D!$F$11&lt;0, -(H40-Uzman_D!$F$11), H40-Uzman_D!$F$11)*0.1 +
        IF(I40-Uzman_D!$G$11&lt;0, -(I40-Uzman_D!$G$11), I40-Uzman_D!$G$11)*0.1 +
        IF(J40-Uzman_D!$H$11&lt;0, -(J40-Uzman_D!$H$11), J40-Uzman_D!$H$11)*0.1 +
        IF(K40-Uzman_D!$I$11&lt;0, -(K40-Uzman_D!$I$11), K40-Uzman_D!$I$11)*0.1 +
        IF(L40-Uzman_D!$J$11&lt;0, -(L40-Uzman_D!$J$11), L40-Uzman_D!$J$11)*0.1
    ) +
    IF(ROUND((IF(N40-Uzman_D!$L$11&lt;0, -(N40-Uzman_D!$L$11), N40-Uzman_D!$L$11)*2),0)/2 = IF(N40-Uzman_D!$L$11&lt;0, -(N40-Uzman_D!$L$11), N40-Uzman_D!$L$11),
    (ROUND((IF(N40-Uzman_D!$L$11&lt;0, -(N40-Uzman_D!$L$11), N40-Uzman_D!$L$11)*2),0)/1 * 0.1), 0) +
    IF(O40-Uzman_D!$M$11&lt;0, -(O40-Uzman_D!$M$11), O40-Uzman_D!$M$11)*1
)</f>
        <v>-0.30000000000000027</v>
      </c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2"/>
      <c r="AB40" s="72"/>
      <c r="AC40" s="73">
        <f>1 - (
    SUM(
        IF(Q40-Uzman_D!$B$12&lt;0, -(Q40-Uzman_D!$B$12), Q40-Uzman_D!$B$12)*0.1 +
        IF(R40-Uzman_D!$C$12&lt;0, -(R40-Uzman_D!$C$12), R40-Uzman_D!$C$12)*0.1 +
        IF(S40-Uzman_D!$D$12&lt;0, -(S40-Uzman_D!$D$12), S40-Uzman_D!$D$12)*0.1 +
        IF(T40-Uzman_D!$E$12&lt;0, -(T40-Uzman_D!$E$12), T40-Uzman_D!$E$12)*0.1 +
        IF(U40-Uzman_D!$F$12&lt;0, -(U40-Uzman_D!$F$12), U40-Uzman_D!$F$12)*0.1 +
        IF(V40-Uzman_D!$G$12&lt;0, -(V40-Uzman_D!$G$12), V40-Uzman_D!$G$12)*0.1 +
        IF(W40-Uzman_D!$H$12&lt;0, -(W40-Uzman_D!$H$12), W40-Uzman_D!$H$12)*0.1 +
        IF(X40-Uzman_D!$I$12&lt;0, -(X40-Uzman_D!$I$12), X40-Uzman_D!$I$12)*0.1 +
        IF(Y40-Uzman_D!$J$12&lt;0, -(Y40-Uzman_D!$J$12), Y40-Uzman_D!$J$12)*0.1
    ) +
    IF(ROUND((IF(AA40-Uzman_D!$L$12&lt;0, -(AA40-Uzman_D!$L$12), AA40-Uzman_D!$L$12)*2),0)/2 = IF(AA40-Uzman_D!$L$12&lt;0, -(AA40-Uzman_D!$L$12), AA40-Uzman_D!$L$12),
    (ROUND((IF(AA40-Uzman_D!$L$12&lt;0, -(AA40-Uzman_D!$L$12), AA40-Uzman_D!$L$12)*2),0)/1 * 0.1), 0) +
    IF(AB40-Uzman_D!$M$12&lt;0, -(AB40-Uzman_D!$M$12), AB40-Uzman_D!$M$12)*1
)</f>
        <v>-0.20000000000000018</v>
      </c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2"/>
      <c r="AO40" s="72"/>
      <c r="AP40" s="73">
        <f>1 - (
    SUM(
        IF(AD40-Uzman_D!$B$13&lt;0, -(AD40-Uzman_D!$B$13), AD40-Uzman_D!$B$13)*0.1 +
        IF(AE40-Uzman_D!$C$13&lt;0, -(AE40-Uzman_D!$C$13), AE40-Uzman_D!$C$13)*0.1 +
        IF(AF40-Uzman_D!$D$13&lt;0, -(AF40-Uzman_D!$D$13), AF40-Uzman_D!$D$13)*0.1 +
        IF(AG40-Uzman_D!$E$13&lt;0, -(AG40-Uzman_D!$E$13), AG40-Uzman_D!$E$13)*0.1 +
        IF(AH40-Uzman_D!$F$13&lt;0, -(AH40-Uzman_D!$F$13), AH40-Uzman_D!$F$13)*0.1 +
        IF(AI40-Uzman_D!$G$13&lt;0, -(AI40-Uzman_D!$G$13), AI40-Uzman_D!$G$13)*0.1 +
        IF(AJ40-Uzman_D!$H$13&lt;0, -(AJ40-Uzman_D!$H$13), AJ40-Uzman_D!$H$13)*0.1 +
        IF(AK40-Uzman_D!$I$13&lt;0, -(AK40-Uzman_D!$I$13), AK40-Uzman_D!$I$13)*0.1 +
        IF(AL40-Uzman_D!$J$13&lt;0, -(AL40-Uzman_D!$J$13), AL40-Uzman_D!$J$13)*0.1
    ) +
    IF(ROUND((IF(AN40-Uzman_D!$L$13&lt;0, -(AN40-Uzman_D!$L$13), AN40-Uzman_D!$L$13)*2),0)/2 = IF(AN40-Uzman_D!$L$13&lt;0, -(AN40-Uzman_D!$L$13), AN40-Uzman_D!$L$13),
    (ROUND((IF(AN40-Uzman_D!$L$13&lt;0, -(AN40-Uzman_D!$L$13), AN40-Uzman_D!$L$13)*2),0)/1 * 0.1), 0) +
    IF(AO40-Uzman_D!$M$13&lt;0, -(AO40-Uzman_D!$M$13), AO40-Uzman_D!$M$13)*1
)</f>
        <v>-0.30000000000000004</v>
      </c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2"/>
      <c r="BB40" s="72"/>
      <c r="BC40" s="73">
        <f>1 - (
    SUM(
        IF(AQ40-Uzman_D!$B$14&lt;0, -(AQ40-Uzman_D!$B$14), AQ40-Uzman_D!$B$14)*0.1 +
        IF(AR40-Uzman_D!$C$14&lt;0, -(AR40-Uzman_D!$C$14), AR40-Uzman_D!$C$14)*0.1 +
        IF(AS40-Uzman_D!$D$14&lt;0, -(AS40-Uzman_D!$D$14), AS40-Uzman_D!$D$14)*0.1 +
        IF(AT40-Uzman_D!$E$14&lt;0, -(AT40-Uzman_D!$E$14), AT40-Uzman_D!$E$14)*0.1 +
        IF(AU40-Uzman_D!$F$14&lt;0, -(AU40-Uzman_D!$F$14), AU40-Uzman_D!$F$14)*0.1 +
        IF(AV40-Uzman_D!$G$14&lt;0, -(AV40-Uzman_D!$G$14), AV40-Uzman_D!$G$14)*0.1 +
        IF(AW40-Uzman_D!$H$14&lt;0, -(AW40-Uzman_D!$H$14), AW40-Uzman_D!$H$14)*0.1 +
        IF(AX40-Uzman_D!$I$14&lt;0, -(AX40-Uzman_D!$I$14), AX40-Uzman_D!$I$14)*0.1 +
        IF(AY40-Uzman_D!$J$14&lt;0, -(AY40-Uzman_D!$J$14), AY40-Uzman_D!$J$14)*0.1
    ) +
    IF(ROUND((IF(BA40-Uzman_D!$L$14&lt;0, -(BA40-Uzman_D!$L$14), BA40-Uzman_D!$L$14)*2),0)/2 = IF(BA40-Uzman_D!$L$14&lt;0, -(BA40-Uzman_D!$L$14), BA40-Uzman_D!$L$14),
    (ROUND((IF(BA40-Uzman_D!$L$14&lt;0, -(BA40-Uzman_D!$L$14), BA40-Uzman_D!$L$14)*2),0)/1 * 0.1), 0) +
    IF(BB40-Uzman_D!$M$14&lt;0, -(BB40-Uzman_D!$M$14), BB40-Uzman_D!$M$14)*1
)</f>
        <v>-0.20000000000000018</v>
      </c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2"/>
      <c r="BO40" s="72"/>
      <c r="BP40" s="73">
        <f>1 - (
    SUM(
        IF(BD40-Uzman_D!$B$15&lt;0, -(BD40-Uzman_D!$B$15), BD40-Uzman_D!$B$15)*0.1 +
        IF(BE40-Uzman_D!$C$15&lt;0, -(BE40-Uzman_D!$C$15), BE40-Uzman_D!$C$15)*0.1 +
        IF(BF40-Uzman_D!$D$15&lt;0, -(BF40-Uzman_D!$D$15), BF40-Uzman_D!$D$15)*0.1 +
        IF(BG40-Uzman_D!$E$15&lt;0, -(BG40-Uzman_D!$E$15), BG40-Uzman_D!$E$15)*0.1 +
        IF(BH40-Uzman_D!$F$15&lt;0, -(BH40-Uzman_D!$F$15), BH40-Uzman_D!$F$15)*0.1 +
        IF(BI40-Uzman_D!$G$15&lt;0, -(BI40-Uzman_D!$G$15), BI40-Uzman_D!$G$15)*0.1 +
        IF(BJ40-Uzman_D!$H$15&lt;0, -(BJ40-Uzman_D!$H$15), BJ40-Uzman_D!$H$15)*0.1 +
        IF(BK40-Uzman_D!$I$15&lt;0, -(BK40-Uzman_D!$I$15), BK40-Uzman_D!$I$15)*0.1 +
        IF(BL40-Uzman_D!$J$15&lt;0, -(BL40-Uzman_D!$J$15), BL40-Uzman_D!$J$15)*0.1
    ) +
    IF(ROUND((IF(BN40-Uzman_D!$L$15&lt;0, -(BN40-Uzman_D!$L$15), BN40-Uzman_D!$L$15)*2),0)/2 = IF(BN40-Uzman_D!$L$15&lt;0, -(BN40-Uzman_D!$L$15), BN40-Uzman_D!$L$15),
    (ROUND((IF(BN40-Uzman_D!$L$15&lt;0, -(BN40-Uzman_D!$L$15), BN40-Uzman_D!$L$15)*2),0)/1 * 0.1), 0) +
    IF(BO40-Uzman_D!$M$15&lt;0, -(BO40-Uzman_D!$M$15), BO40-Uzman_D!$M$15)*1
)</f>
        <v>-0.60000000000000009</v>
      </c>
      <c r="BQ40" s="74">
        <f t="shared" si="0"/>
        <v>-0.32000000000000017</v>
      </c>
    </row>
    <row r="41" spans="1:69" ht="15" customHeight="1" x14ac:dyDescent="0.2">
      <c r="A41" s="57">
        <v>38</v>
      </c>
      <c r="B41" s="37">
        <f>Hakemler!B41</f>
        <v>0</v>
      </c>
      <c r="C41" s="37">
        <f>Hakemler!C41</f>
        <v>0</v>
      </c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2"/>
      <c r="O41" s="72"/>
      <c r="P41" s="73">
        <f>1 - (
    SUM(
        IF(D41-Uzman_D!$B$11&lt;0, -(D41-Uzman_D!$B$11), D41-Uzman_D!$B$11)*0.1 +
        IF(E41-Uzman_D!$C$11&lt;0, -(E41-Uzman_D!$C$11), E41-Uzman_D!$C$11)*0.1 +
        IF(F41-Uzman_D!$D$11&lt;0, -(F41-Uzman_D!$D$11), F41-Uzman_D!$D$11)*0.1 +
        IF(G41-Uzman_D!$E$11&lt;0, -(G41-Uzman_D!$E$11), G41-Uzman_D!$E$11)*0.1 +
        IF(H41-Uzman_D!$F$11&lt;0, -(H41-Uzman_D!$F$11), H41-Uzman_D!$F$11)*0.1 +
        IF(I41-Uzman_D!$G$11&lt;0, -(I41-Uzman_D!$G$11), I41-Uzman_D!$G$11)*0.1 +
        IF(J41-Uzman_D!$H$11&lt;0, -(J41-Uzman_D!$H$11), J41-Uzman_D!$H$11)*0.1 +
        IF(K41-Uzman_D!$I$11&lt;0, -(K41-Uzman_D!$I$11), K41-Uzman_D!$I$11)*0.1 +
        IF(L41-Uzman_D!$J$11&lt;0, -(L41-Uzman_D!$J$11), L41-Uzman_D!$J$11)*0.1
    ) +
    IF(ROUND((IF(N41-Uzman_D!$L$11&lt;0, -(N41-Uzman_D!$L$11), N41-Uzman_D!$L$11)*2),0)/2 = IF(N41-Uzman_D!$L$11&lt;0, -(N41-Uzman_D!$L$11), N41-Uzman_D!$L$11),
    (ROUND((IF(N41-Uzman_D!$L$11&lt;0, -(N41-Uzman_D!$L$11), N41-Uzman_D!$L$11)*2),0)/1 * 0.1), 0) +
    IF(O41-Uzman_D!$M$11&lt;0, -(O41-Uzman_D!$M$11), O41-Uzman_D!$M$11)*1
)</f>
        <v>-0.30000000000000027</v>
      </c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2"/>
      <c r="AB41" s="72"/>
      <c r="AC41" s="73">
        <f>1 - (
    SUM(
        IF(Q41-Uzman_D!$B$12&lt;0, -(Q41-Uzman_D!$B$12), Q41-Uzman_D!$B$12)*0.1 +
        IF(R41-Uzman_D!$C$12&lt;0, -(R41-Uzman_D!$C$12), R41-Uzman_D!$C$12)*0.1 +
        IF(S41-Uzman_D!$D$12&lt;0, -(S41-Uzman_D!$D$12), S41-Uzman_D!$D$12)*0.1 +
        IF(T41-Uzman_D!$E$12&lt;0, -(T41-Uzman_D!$E$12), T41-Uzman_D!$E$12)*0.1 +
        IF(U41-Uzman_D!$F$12&lt;0, -(U41-Uzman_D!$F$12), U41-Uzman_D!$F$12)*0.1 +
        IF(V41-Uzman_D!$G$12&lt;0, -(V41-Uzman_D!$G$12), V41-Uzman_D!$G$12)*0.1 +
        IF(W41-Uzman_D!$H$12&lt;0, -(W41-Uzman_D!$H$12), W41-Uzman_D!$H$12)*0.1 +
        IF(X41-Uzman_D!$I$12&lt;0, -(X41-Uzman_D!$I$12), X41-Uzman_D!$I$12)*0.1 +
        IF(Y41-Uzman_D!$J$12&lt;0, -(Y41-Uzman_D!$J$12), Y41-Uzman_D!$J$12)*0.1
    ) +
    IF(ROUND((IF(AA41-Uzman_D!$L$12&lt;0, -(AA41-Uzman_D!$L$12), AA41-Uzman_D!$L$12)*2),0)/2 = IF(AA41-Uzman_D!$L$12&lt;0, -(AA41-Uzman_D!$L$12), AA41-Uzman_D!$L$12),
    (ROUND((IF(AA41-Uzman_D!$L$12&lt;0, -(AA41-Uzman_D!$L$12), AA41-Uzman_D!$L$12)*2),0)/1 * 0.1), 0) +
    IF(AB41-Uzman_D!$M$12&lt;0, -(AB41-Uzman_D!$M$12), AB41-Uzman_D!$M$12)*1
)</f>
        <v>-0.20000000000000018</v>
      </c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2"/>
      <c r="AO41" s="72"/>
      <c r="AP41" s="73">
        <f>1 - (
    SUM(
        IF(AD41-Uzman_D!$B$13&lt;0, -(AD41-Uzman_D!$B$13), AD41-Uzman_D!$B$13)*0.1 +
        IF(AE41-Uzman_D!$C$13&lt;0, -(AE41-Uzman_D!$C$13), AE41-Uzman_D!$C$13)*0.1 +
        IF(AF41-Uzman_D!$D$13&lt;0, -(AF41-Uzman_D!$D$13), AF41-Uzman_D!$D$13)*0.1 +
        IF(AG41-Uzman_D!$E$13&lt;0, -(AG41-Uzman_D!$E$13), AG41-Uzman_D!$E$13)*0.1 +
        IF(AH41-Uzman_D!$F$13&lt;0, -(AH41-Uzman_D!$F$13), AH41-Uzman_D!$F$13)*0.1 +
        IF(AI41-Uzman_D!$G$13&lt;0, -(AI41-Uzman_D!$G$13), AI41-Uzman_D!$G$13)*0.1 +
        IF(AJ41-Uzman_D!$H$13&lt;0, -(AJ41-Uzman_D!$H$13), AJ41-Uzman_D!$H$13)*0.1 +
        IF(AK41-Uzman_D!$I$13&lt;0, -(AK41-Uzman_D!$I$13), AK41-Uzman_D!$I$13)*0.1 +
        IF(AL41-Uzman_D!$J$13&lt;0, -(AL41-Uzman_D!$J$13), AL41-Uzman_D!$J$13)*0.1
    ) +
    IF(ROUND((IF(AN41-Uzman_D!$L$13&lt;0, -(AN41-Uzman_D!$L$13), AN41-Uzman_D!$L$13)*2),0)/2 = IF(AN41-Uzman_D!$L$13&lt;0, -(AN41-Uzman_D!$L$13), AN41-Uzman_D!$L$13),
    (ROUND((IF(AN41-Uzman_D!$L$13&lt;0, -(AN41-Uzman_D!$L$13), AN41-Uzman_D!$L$13)*2),0)/1 * 0.1), 0) +
    IF(AO41-Uzman_D!$M$13&lt;0, -(AO41-Uzman_D!$M$13), AO41-Uzman_D!$M$13)*1
)</f>
        <v>-0.30000000000000004</v>
      </c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2"/>
      <c r="BB41" s="72"/>
      <c r="BC41" s="73">
        <f>1 - (
    SUM(
        IF(AQ41-Uzman_D!$B$14&lt;0, -(AQ41-Uzman_D!$B$14), AQ41-Uzman_D!$B$14)*0.1 +
        IF(AR41-Uzman_D!$C$14&lt;0, -(AR41-Uzman_D!$C$14), AR41-Uzman_D!$C$14)*0.1 +
        IF(AS41-Uzman_D!$D$14&lt;0, -(AS41-Uzman_D!$D$14), AS41-Uzman_D!$D$14)*0.1 +
        IF(AT41-Uzman_D!$E$14&lt;0, -(AT41-Uzman_D!$E$14), AT41-Uzman_D!$E$14)*0.1 +
        IF(AU41-Uzman_D!$F$14&lt;0, -(AU41-Uzman_D!$F$14), AU41-Uzman_D!$F$14)*0.1 +
        IF(AV41-Uzman_D!$G$14&lt;0, -(AV41-Uzman_D!$G$14), AV41-Uzman_D!$G$14)*0.1 +
        IF(AW41-Uzman_D!$H$14&lt;0, -(AW41-Uzman_D!$H$14), AW41-Uzman_D!$H$14)*0.1 +
        IF(AX41-Uzman_D!$I$14&lt;0, -(AX41-Uzman_D!$I$14), AX41-Uzman_D!$I$14)*0.1 +
        IF(AY41-Uzman_D!$J$14&lt;0, -(AY41-Uzman_D!$J$14), AY41-Uzman_D!$J$14)*0.1
    ) +
    IF(ROUND((IF(BA41-Uzman_D!$L$14&lt;0, -(BA41-Uzman_D!$L$14), BA41-Uzman_D!$L$14)*2),0)/2 = IF(BA41-Uzman_D!$L$14&lt;0, -(BA41-Uzman_D!$L$14), BA41-Uzman_D!$L$14),
    (ROUND((IF(BA41-Uzman_D!$L$14&lt;0, -(BA41-Uzman_D!$L$14), BA41-Uzman_D!$L$14)*2),0)/1 * 0.1), 0) +
    IF(BB41-Uzman_D!$M$14&lt;0, -(BB41-Uzman_D!$M$14), BB41-Uzman_D!$M$14)*1
)</f>
        <v>-0.20000000000000018</v>
      </c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2"/>
      <c r="BO41" s="72"/>
      <c r="BP41" s="73">
        <f>1 - (
    SUM(
        IF(BD41-Uzman_D!$B$15&lt;0, -(BD41-Uzman_D!$B$15), BD41-Uzman_D!$B$15)*0.1 +
        IF(BE41-Uzman_D!$C$15&lt;0, -(BE41-Uzman_D!$C$15), BE41-Uzman_D!$C$15)*0.1 +
        IF(BF41-Uzman_D!$D$15&lt;0, -(BF41-Uzman_D!$D$15), BF41-Uzman_D!$D$15)*0.1 +
        IF(BG41-Uzman_D!$E$15&lt;0, -(BG41-Uzman_D!$E$15), BG41-Uzman_D!$E$15)*0.1 +
        IF(BH41-Uzman_D!$F$15&lt;0, -(BH41-Uzman_D!$F$15), BH41-Uzman_D!$F$15)*0.1 +
        IF(BI41-Uzman_D!$G$15&lt;0, -(BI41-Uzman_D!$G$15), BI41-Uzman_D!$G$15)*0.1 +
        IF(BJ41-Uzman_D!$H$15&lt;0, -(BJ41-Uzman_D!$H$15), BJ41-Uzman_D!$H$15)*0.1 +
        IF(BK41-Uzman_D!$I$15&lt;0, -(BK41-Uzman_D!$I$15), BK41-Uzman_D!$I$15)*0.1 +
        IF(BL41-Uzman_D!$J$15&lt;0, -(BL41-Uzman_D!$J$15), BL41-Uzman_D!$J$15)*0.1
    ) +
    IF(ROUND((IF(BN41-Uzman_D!$L$15&lt;0, -(BN41-Uzman_D!$L$15), BN41-Uzman_D!$L$15)*2),0)/2 = IF(BN41-Uzman_D!$L$15&lt;0, -(BN41-Uzman_D!$L$15), BN41-Uzman_D!$L$15),
    (ROUND((IF(BN41-Uzman_D!$L$15&lt;0, -(BN41-Uzman_D!$L$15), BN41-Uzman_D!$L$15)*2),0)/1 * 0.1), 0) +
    IF(BO41-Uzman_D!$M$15&lt;0, -(BO41-Uzman_D!$M$15), BO41-Uzman_D!$M$15)*1
)</f>
        <v>-0.60000000000000009</v>
      </c>
      <c r="BQ41" s="74">
        <f t="shared" si="0"/>
        <v>-0.32000000000000017</v>
      </c>
    </row>
    <row r="42" spans="1:69" ht="15" customHeight="1" x14ac:dyDescent="0.2">
      <c r="A42" s="57">
        <v>39</v>
      </c>
      <c r="B42" s="37">
        <f>Hakemler!B42</f>
        <v>0</v>
      </c>
      <c r="C42" s="37">
        <f>Hakemler!C42</f>
        <v>0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2"/>
      <c r="O42" s="72"/>
      <c r="P42" s="73">
        <f>1 - (
    SUM(
        IF(D42-Uzman_D!$B$11&lt;0, -(D42-Uzman_D!$B$11), D42-Uzman_D!$B$11)*0.1 +
        IF(E42-Uzman_D!$C$11&lt;0, -(E42-Uzman_D!$C$11), E42-Uzman_D!$C$11)*0.1 +
        IF(F42-Uzman_D!$D$11&lt;0, -(F42-Uzman_D!$D$11), F42-Uzman_D!$D$11)*0.1 +
        IF(G42-Uzman_D!$E$11&lt;0, -(G42-Uzman_D!$E$11), G42-Uzman_D!$E$11)*0.1 +
        IF(H42-Uzman_D!$F$11&lt;0, -(H42-Uzman_D!$F$11), H42-Uzman_D!$F$11)*0.1 +
        IF(I42-Uzman_D!$G$11&lt;0, -(I42-Uzman_D!$G$11), I42-Uzman_D!$G$11)*0.1 +
        IF(J42-Uzman_D!$H$11&lt;0, -(J42-Uzman_D!$H$11), J42-Uzman_D!$H$11)*0.1 +
        IF(K42-Uzman_D!$I$11&lt;0, -(K42-Uzman_D!$I$11), K42-Uzman_D!$I$11)*0.1 +
        IF(L42-Uzman_D!$J$11&lt;0, -(L42-Uzman_D!$J$11), L42-Uzman_D!$J$11)*0.1
    ) +
    IF(ROUND((IF(N42-Uzman_D!$L$11&lt;0, -(N42-Uzman_D!$L$11), N42-Uzman_D!$L$11)*2),0)/2 = IF(N42-Uzman_D!$L$11&lt;0, -(N42-Uzman_D!$L$11), N42-Uzman_D!$L$11),
    (ROUND((IF(N42-Uzman_D!$L$11&lt;0, -(N42-Uzman_D!$L$11), N42-Uzman_D!$L$11)*2),0)/1 * 0.1), 0) +
    IF(O42-Uzman_D!$M$11&lt;0, -(O42-Uzman_D!$M$11), O42-Uzman_D!$M$11)*1
)</f>
        <v>-0.30000000000000027</v>
      </c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2"/>
      <c r="AB42" s="72"/>
      <c r="AC42" s="73">
        <f>1 - (
    SUM(
        IF(Q42-Uzman_D!$B$12&lt;0, -(Q42-Uzman_D!$B$12), Q42-Uzman_D!$B$12)*0.1 +
        IF(R42-Uzman_D!$C$12&lt;0, -(R42-Uzman_D!$C$12), R42-Uzman_D!$C$12)*0.1 +
        IF(S42-Uzman_D!$D$12&lt;0, -(S42-Uzman_D!$D$12), S42-Uzman_D!$D$12)*0.1 +
        IF(T42-Uzman_D!$E$12&lt;0, -(T42-Uzman_D!$E$12), T42-Uzman_D!$E$12)*0.1 +
        IF(U42-Uzman_D!$F$12&lt;0, -(U42-Uzman_D!$F$12), U42-Uzman_D!$F$12)*0.1 +
        IF(V42-Uzman_D!$G$12&lt;0, -(V42-Uzman_D!$G$12), V42-Uzman_D!$G$12)*0.1 +
        IF(W42-Uzman_D!$H$12&lt;0, -(W42-Uzman_D!$H$12), W42-Uzman_D!$H$12)*0.1 +
        IF(X42-Uzman_D!$I$12&lt;0, -(X42-Uzman_D!$I$12), X42-Uzman_D!$I$12)*0.1 +
        IF(Y42-Uzman_D!$J$12&lt;0, -(Y42-Uzman_D!$J$12), Y42-Uzman_D!$J$12)*0.1
    ) +
    IF(ROUND((IF(AA42-Uzman_D!$L$12&lt;0, -(AA42-Uzman_D!$L$12), AA42-Uzman_D!$L$12)*2),0)/2 = IF(AA42-Uzman_D!$L$12&lt;0, -(AA42-Uzman_D!$L$12), AA42-Uzman_D!$L$12),
    (ROUND((IF(AA42-Uzman_D!$L$12&lt;0, -(AA42-Uzman_D!$L$12), AA42-Uzman_D!$L$12)*2),0)/1 * 0.1), 0) +
    IF(AB42-Uzman_D!$M$12&lt;0, -(AB42-Uzman_D!$M$12), AB42-Uzman_D!$M$12)*1
)</f>
        <v>-0.20000000000000018</v>
      </c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2"/>
      <c r="AO42" s="72"/>
      <c r="AP42" s="73">
        <f>1 - (
    SUM(
        IF(AD42-Uzman_D!$B$13&lt;0, -(AD42-Uzman_D!$B$13), AD42-Uzman_D!$B$13)*0.1 +
        IF(AE42-Uzman_D!$C$13&lt;0, -(AE42-Uzman_D!$C$13), AE42-Uzman_D!$C$13)*0.1 +
        IF(AF42-Uzman_D!$D$13&lt;0, -(AF42-Uzman_D!$D$13), AF42-Uzman_D!$D$13)*0.1 +
        IF(AG42-Uzman_D!$E$13&lt;0, -(AG42-Uzman_D!$E$13), AG42-Uzman_D!$E$13)*0.1 +
        IF(AH42-Uzman_D!$F$13&lt;0, -(AH42-Uzman_D!$F$13), AH42-Uzman_D!$F$13)*0.1 +
        IF(AI42-Uzman_D!$G$13&lt;0, -(AI42-Uzman_D!$G$13), AI42-Uzman_D!$G$13)*0.1 +
        IF(AJ42-Uzman_D!$H$13&lt;0, -(AJ42-Uzman_D!$H$13), AJ42-Uzman_D!$H$13)*0.1 +
        IF(AK42-Uzman_D!$I$13&lt;0, -(AK42-Uzman_D!$I$13), AK42-Uzman_D!$I$13)*0.1 +
        IF(AL42-Uzman_D!$J$13&lt;0, -(AL42-Uzman_D!$J$13), AL42-Uzman_D!$J$13)*0.1
    ) +
    IF(ROUND((IF(AN42-Uzman_D!$L$13&lt;0, -(AN42-Uzman_D!$L$13), AN42-Uzman_D!$L$13)*2),0)/2 = IF(AN42-Uzman_D!$L$13&lt;0, -(AN42-Uzman_D!$L$13), AN42-Uzman_D!$L$13),
    (ROUND((IF(AN42-Uzman_D!$L$13&lt;0, -(AN42-Uzman_D!$L$13), AN42-Uzman_D!$L$13)*2),0)/1 * 0.1), 0) +
    IF(AO42-Uzman_D!$M$13&lt;0, -(AO42-Uzman_D!$M$13), AO42-Uzman_D!$M$13)*1
)</f>
        <v>-0.30000000000000004</v>
      </c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2"/>
      <c r="BB42" s="72"/>
      <c r="BC42" s="73">
        <f>1 - (
    SUM(
        IF(AQ42-Uzman_D!$B$14&lt;0, -(AQ42-Uzman_D!$B$14), AQ42-Uzman_D!$B$14)*0.1 +
        IF(AR42-Uzman_D!$C$14&lt;0, -(AR42-Uzman_D!$C$14), AR42-Uzman_D!$C$14)*0.1 +
        IF(AS42-Uzman_D!$D$14&lt;0, -(AS42-Uzman_D!$D$14), AS42-Uzman_D!$D$14)*0.1 +
        IF(AT42-Uzman_D!$E$14&lt;0, -(AT42-Uzman_D!$E$14), AT42-Uzman_D!$E$14)*0.1 +
        IF(AU42-Uzman_D!$F$14&lt;0, -(AU42-Uzman_D!$F$14), AU42-Uzman_D!$F$14)*0.1 +
        IF(AV42-Uzman_D!$G$14&lt;0, -(AV42-Uzman_D!$G$14), AV42-Uzman_D!$G$14)*0.1 +
        IF(AW42-Uzman_D!$H$14&lt;0, -(AW42-Uzman_D!$H$14), AW42-Uzman_D!$H$14)*0.1 +
        IF(AX42-Uzman_D!$I$14&lt;0, -(AX42-Uzman_D!$I$14), AX42-Uzman_D!$I$14)*0.1 +
        IF(AY42-Uzman_D!$J$14&lt;0, -(AY42-Uzman_D!$J$14), AY42-Uzman_D!$J$14)*0.1
    ) +
    IF(ROUND((IF(BA42-Uzman_D!$L$14&lt;0, -(BA42-Uzman_D!$L$14), BA42-Uzman_D!$L$14)*2),0)/2 = IF(BA42-Uzman_D!$L$14&lt;0, -(BA42-Uzman_D!$L$14), BA42-Uzman_D!$L$14),
    (ROUND((IF(BA42-Uzman_D!$L$14&lt;0, -(BA42-Uzman_D!$L$14), BA42-Uzman_D!$L$14)*2),0)/1 * 0.1), 0) +
    IF(BB42-Uzman_D!$M$14&lt;0, -(BB42-Uzman_D!$M$14), BB42-Uzman_D!$M$14)*1
)</f>
        <v>-0.20000000000000018</v>
      </c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2"/>
      <c r="BO42" s="72"/>
      <c r="BP42" s="73">
        <f>1 - (
    SUM(
        IF(BD42-Uzman_D!$B$15&lt;0, -(BD42-Uzman_D!$B$15), BD42-Uzman_D!$B$15)*0.1 +
        IF(BE42-Uzman_D!$C$15&lt;0, -(BE42-Uzman_D!$C$15), BE42-Uzman_D!$C$15)*0.1 +
        IF(BF42-Uzman_D!$D$15&lt;0, -(BF42-Uzman_D!$D$15), BF42-Uzman_D!$D$15)*0.1 +
        IF(BG42-Uzman_D!$E$15&lt;0, -(BG42-Uzman_D!$E$15), BG42-Uzman_D!$E$15)*0.1 +
        IF(BH42-Uzman_D!$F$15&lt;0, -(BH42-Uzman_D!$F$15), BH42-Uzman_D!$F$15)*0.1 +
        IF(BI42-Uzman_D!$G$15&lt;0, -(BI42-Uzman_D!$G$15), BI42-Uzman_D!$G$15)*0.1 +
        IF(BJ42-Uzman_D!$H$15&lt;0, -(BJ42-Uzman_D!$H$15), BJ42-Uzman_D!$H$15)*0.1 +
        IF(BK42-Uzman_D!$I$15&lt;0, -(BK42-Uzman_D!$I$15), BK42-Uzman_D!$I$15)*0.1 +
        IF(BL42-Uzman_D!$J$15&lt;0, -(BL42-Uzman_D!$J$15), BL42-Uzman_D!$J$15)*0.1
    ) +
    IF(ROUND((IF(BN42-Uzman_D!$L$15&lt;0, -(BN42-Uzman_D!$L$15), BN42-Uzman_D!$L$15)*2),0)/2 = IF(BN42-Uzman_D!$L$15&lt;0, -(BN42-Uzman_D!$L$15), BN42-Uzman_D!$L$15),
    (ROUND((IF(BN42-Uzman_D!$L$15&lt;0, -(BN42-Uzman_D!$L$15), BN42-Uzman_D!$L$15)*2),0)/1 * 0.1), 0) +
    IF(BO42-Uzman_D!$M$15&lt;0, -(BO42-Uzman_D!$M$15), BO42-Uzman_D!$M$15)*1
)</f>
        <v>-0.60000000000000009</v>
      </c>
      <c r="BQ42" s="74">
        <f t="shared" si="0"/>
        <v>-0.32000000000000017</v>
      </c>
    </row>
    <row r="43" spans="1:69" ht="15" customHeight="1" x14ac:dyDescent="0.2">
      <c r="A43" s="57">
        <v>40</v>
      </c>
      <c r="B43" s="29">
        <f>Hakemler!B43</f>
        <v>0</v>
      </c>
      <c r="C43" s="29">
        <f>Hakemler!C43</f>
        <v>0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2"/>
      <c r="O43" s="72"/>
      <c r="P43" s="73">
        <f>1 - (
    SUM(
        IF(D43-Uzman_D!$B$11&lt;0, -(D43-Uzman_D!$B$11), D43-Uzman_D!$B$11)*0.1 +
        IF(E43-Uzman_D!$C$11&lt;0, -(E43-Uzman_D!$C$11), E43-Uzman_D!$C$11)*0.1 +
        IF(F43-Uzman_D!$D$11&lt;0, -(F43-Uzman_D!$D$11), F43-Uzman_D!$D$11)*0.1 +
        IF(G43-Uzman_D!$E$11&lt;0, -(G43-Uzman_D!$E$11), G43-Uzman_D!$E$11)*0.1 +
        IF(H43-Uzman_D!$F$11&lt;0, -(H43-Uzman_D!$F$11), H43-Uzman_D!$F$11)*0.1 +
        IF(I43-Uzman_D!$G$11&lt;0, -(I43-Uzman_D!$G$11), I43-Uzman_D!$G$11)*0.1 +
        IF(J43-Uzman_D!$H$11&lt;0, -(J43-Uzman_D!$H$11), J43-Uzman_D!$H$11)*0.1 +
        IF(K43-Uzman_D!$I$11&lt;0, -(K43-Uzman_D!$I$11), K43-Uzman_D!$I$11)*0.1 +
        IF(L43-Uzman_D!$J$11&lt;0, -(L43-Uzman_D!$J$11), L43-Uzman_D!$J$11)*0.1
    ) +
    IF(ROUND((IF(N43-Uzman_D!$L$11&lt;0, -(N43-Uzman_D!$L$11), N43-Uzman_D!$L$11)*2),0)/2 = IF(N43-Uzman_D!$L$11&lt;0, -(N43-Uzman_D!$L$11), N43-Uzman_D!$L$11),
    (ROUND((IF(N43-Uzman_D!$L$11&lt;0, -(N43-Uzman_D!$L$11), N43-Uzman_D!$L$11)*2),0)/1 * 0.1), 0) +
    IF(O43-Uzman_D!$M$11&lt;0, -(O43-Uzman_D!$M$11), O43-Uzman_D!$M$11)*1
)</f>
        <v>-0.30000000000000027</v>
      </c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2"/>
      <c r="AB43" s="72"/>
      <c r="AC43" s="73">
        <f>1 - (
    SUM(
        IF(Q43-Uzman_D!$B$12&lt;0, -(Q43-Uzman_D!$B$12), Q43-Uzman_D!$B$12)*0.1 +
        IF(R43-Uzman_D!$C$12&lt;0, -(R43-Uzman_D!$C$12), R43-Uzman_D!$C$12)*0.1 +
        IF(S43-Uzman_D!$D$12&lt;0, -(S43-Uzman_D!$D$12), S43-Uzman_D!$D$12)*0.1 +
        IF(T43-Uzman_D!$E$12&lt;0, -(T43-Uzman_D!$E$12), T43-Uzman_D!$E$12)*0.1 +
        IF(U43-Uzman_D!$F$12&lt;0, -(U43-Uzman_D!$F$12), U43-Uzman_D!$F$12)*0.1 +
        IF(V43-Uzman_D!$G$12&lt;0, -(V43-Uzman_D!$G$12), V43-Uzman_D!$G$12)*0.1 +
        IF(W43-Uzman_D!$H$12&lt;0, -(W43-Uzman_D!$H$12), W43-Uzman_D!$H$12)*0.1 +
        IF(X43-Uzman_D!$I$12&lt;0, -(X43-Uzman_D!$I$12), X43-Uzman_D!$I$12)*0.1 +
        IF(Y43-Uzman_D!$J$12&lt;0, -(Y43-Uzman_D!$J$12), Y43-Uzman_D!$J$12)*0.1
    ) +
    IF(ROUND((IF(AA43-Uzman_D!$L$12&lt;0, -(AA43-Uzman_D!$L$12), AA43-Uzman_D!$L$12)*2),0)/2 = IF(AA43-Uzman_D!$L$12&lt;0, -(AA43-Uzman_D!$L$12), AA43-Uzman_D!$L$12),
    (ROUND((IF(AA43-Uzman_D!$L$12&lt;0, -(AA43-Uzman_D!$L$12), AA43-Uzman_D!$L$12)*2),0)/1 * 0.1), 0) +
    IF(AB43-Uzman_D!$M$12&lt;0, -(AB43-Uzman_D!$M$12), AB43-Uzman_D!$M$12)*1
)</f>
        <v>-0.20000000000000018</v>
      </c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2"/>
      <c r="AO43" s="72"/>
      <c r="AP43" s="73">
        <f>1 - (
    SUM(
        IF(AD43-Uzman_D!$B$13&lt;0, -(AD43-Uzman_D!$B$13), AD43-Uzman_D!$B$13)*0.1 +
        IF(AE43-Uzman_D!$C$13&lt;0, -(AE43-Uzman_D!$C$13), AE43-Uzman_D!$C$13)*0.1 +
        IF(AF43-Uzman_D!$D$13&lt;0, -(AF43-Uzman_D!$D$13), AF43-Uzman_D!$D$13)*0.1 +
        IF(AG43-Uzman_D!$E$13&lt;0, -(AG43-Uzman_D!$E$13), AG43-Uzman_D!$E$13)*0.1 +
        IF(AH43-Uzman_D!$F$13&lt;0, -(AH43-Uzman_D!$F$13), AH43-Uzman_D!$F$13)*0.1 +
        IF(AI43-Uzman_D!$G$13&lt;0, -(AI43-Uzman_D!$G$13), AI43-Uzman_D!$G$13)*0.1 +
        IF(AJ43-Uzman_D!$H$13&lt;0, -(AJ43-Uzman_D!$H$13), AJ43-Uzman_D!$H$13)*0.1 +
        IF(AK43-Uzman_D!$I$13&lt;0, -(AK43-Uzman_D!$I$13), AK43-Uzman_D!$I$13)*0.1 +
        IF(AL43-Uzman_D!$J$13&lt;0, -(AL43-Uzman_D!$J$13), AL43-Uzman_D!$J$13)*0.1
    ) +
    IF(ROUND((IF(AN43-Uzman_D!$L$13&lt;0, -(AN43-Uzman_D!$L$13), AN43-Uzman_D!$L$13)*2),0)/2 = IF(AN43-Uzman_D!$L$13&lt;0, -(AN43-Uzman_D!$L$13), AN43-Uzman_D!$L$13),
    (ROUND((IF(AN43-Uzman_D!$L$13&lt;0, -(AN43-Uzman_D!$L$13), AN43-Uzman_D!$L$13)*2),0)/1 * 0.1), 0) +
    IF(AO43-Uzman_D!$M$13&lt;0, -(AO43-Uzman_D!$M$13), AO43-Uzman_D!$M$13)*1
)</f>
        <v>-0.30000000000000004</v>
      </c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2"/>
      <c r="BB43" s="72"/>
      <c r="BC43" s="73">
        <f>1 - (
    SUM(
        IF(AQ43-Uzman_D!$B$14&lt;0, -(AQ43-Uzman_D!$B$14), AQ43-Uzman_D!$B$14)*0.1 +
        IF(AR43-Uzman_D!$C$14&lt;0, -(AR43-Uzman_D!$C$14), AR43-Uzman_D!$C$14)*0.1 +
        IF(AS43-Uzman_D!$D$14&lt;0, -(AS43-Uzman_D!$D$14), AS43-Uzman_D!$D$14)*0.1 +
        IF(AT43-Uzman_D!$E$14&lt;0, -(AT43-Uzman_D!$E$14), AT43-Uzman_D!$E$14)*0.1 +
        IF(AU43-Uzman_D!$F$14&lt;0, -(AU43-Uzman_D!$F$14), AU43-Uzman_D!$F$14)*0.1 +
        IF(AV43-Uzman_D!$G$14&lt;0, -(AV43-Uzman_D!$G$14), AV43-Uzman_D!$G$14)*0.1 +
        IF(AW43-Uzman_D!$H$14&lt;0, -(AW43-Uzman_D!$H$14), AW43-Uzman_D!$H$14)*0.1 +
        IF(AX43-Uzman_D!$I$14&lt;0, -(AX43-Uzman_D!$I$14), AX43-Uzman_D!$I$14)*0.1 +
        IF(AY43-Uzman_D!$J$14&lt;0, -(AY43-Uzman_D!$J$14), AY43-Uzman_D!$J$14)*0.1
    ) +
    IF(ROUND((IF(BA43-Uzman_D!$L$14&lt;0, -(BA43-Uzman_D!$L$14), BA43-Uzman_D!$L$14)*2),0)/2 = IF(BA43-Uzman_D!$L$14&lt;0, -(BA43-Uzman_D!$L$14), BA43-Uzman_D!$L$14),
    (ROUND((IF(BA43-Uzman_D!$L$14&lt;0, -(BA43-Uzman_D!$L$14), BA43-Uzman_D!$L$14)*2),0)/1 * 0.1), 0) +
    IF(BB43-Uzman_D!$M$14&lt;0, -(BB43-Uzman_D!$M$14), BB43-Uzman_D!$M$14)*1
)</f>
        <v>-0.20000000000000018</v>
      </c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2"/>
      <c r="BO43" s="72"/>
      <c r="BP43" s="73">
        <f>1 - (
    SUM(
        IF(BD43-Uzman_D!$B$15&lt;0, -(BD43-Uzman_D!$B$15), BD43-Uzman_D!$B$15)*0.1 +
        IF(BE43-Uzman_D!$C$15&lt;0, -(BE43-Uzman_D!$C$15), BE43-Uzman_D!$C$15)*0.1 +
        IF(BF43-Uzman_D!$D$15&lt;0, -(BF43-Uzman_D!$D$15), BF43-Uzman_D!$D$15)*0.1 +
        IF(BG43-Uzman_D!$E$15&lt;0, -(BG43-Uzman_D!$E$15), BG43-Uzman_D!$E$15)*0.1 +
        IF(BH43-Uzman_D!$F$15&lt;0, -(BH43-Uzman_D!$F$15), BH43-Uzman_D!$F$15)*0.1 +
        IF(BI43-Uzman_D!$G$15&lt;0, -(BI43-Uzman_D!$G$15), BI43-Uzman_D!$G$15)*0.1 +
        IF(BJ43-Uzman_D!$H$15&lt;0, -(BJ43-Uzman_D!$H$15), BJ43-Uzman_D!$H$15)*0.1 +
        IF(BK43-Uzman_D!$I$15&lt;0, -(BK43-Uzman_D!$I$15), BK43-Uzman_D!$I$15)*0.1 +
        IF(BL43-Uzman_D!$J$15&lt;0, -(BL43-Uzman_D!$J$15), BL43-Uzman_D!$J$15)*0.1
    ) +
    IF(ROUND((IF(BN43-Uzman_D!$L$15&lt;0, -(BN43-Uzman_D!$L$15), BN43-Uzman_D!$L$15)*2),0)/2 = IF(BN43-Uzman_D!$L$15&lt;0, -(BN43-Uzman_D!$L$15), BN43-Uzman_D!$L$15),
    (ROUND((IF(BN43-Uzman_D!$L$15&lt;0, -(BN43-Uzman_D!$L$15), BN43-Uzman_D!$L$15)*2),0)/1 * 0.1), 0) +
    IF(BO43-Uzman_D!$M$15&lt;0, -(BO43-Uzman_D!$M$15), BO43-Uzman_D!$M$15)*1
)</f>
        <v>-0.60000000000000009</v>
      </c>
      <c r="BQ43" s="74">
        <f t="shared" si="0"/>
        <v>-0.32000000000000017</v>
      </c>
    </row>
    <row r="44" spans="1:69" ht="15" customHeight="1" x14ac:dyDescent="0.2">
      <c r="A44" s="57">
        <v>41</v>
      </c>
      <c r="B44" s="37">
        <f>Hakemler!B44</f>
        <v>0</v>
      </c>
      <c r="C44" s="37">
        <f>Hakemler!C44</f>
        <v>0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2"/>
      <c r="O44" s="72"/>
      <c r="P44" s="73">
        <f>1 - (
    SUM(
        IF(D44-Uzman_D!$B$11&lt;0, -(D44-Uzman_D!$B$11), D44-Uzman_D!$B$11)*0.1 +
        IF(E44-Uzman_D!$C$11&lt;0, -(E44-Uzman_D!$C$11), E44-Uzman_D!$C$11)*0.1 +
        IF(F44-Uzman_D!$D$11&lt;0, -(F44-Uzman_D!$D$11), F44-Uzman_D!$D$11)*0.1 +
        IF(G44-Uzman_D!$E$11&lt;0, -(G44-Uzman_D!$E$11), G44-Uzman_D!$E$11)*0.1 +
        IF(H44-Uzman_D!$F$11&lt;0, -(H44-Uzman_D!$F$11), H44-Uzman_D!$F$11)*0.1 +
        IF(I44-Uzman_D!$G$11&lt;0, -(I44-Uzman_D!$G$11), I44-Uzman_D!$G$11)*0.1 +
        IF(J44-Uzman_D!$H$11&lt;0, -(J44-Uzman_D!$H$11), J44-Uzman_D!$H$11)*0.1 +
        IF(K44-Uzman_D!$I$11&lt;0, -(K44-Uzman_D!$I$11), K44-Uzman_D!$I$11)*0.1 +
        IF(L44-Uzman_D!$J$11&lt;0, -(L44-Uzman_D!$J$11), L44-Uzman_D!$J$11)*0.1
    ) +
    IF(ROUND((IF(N44-Uzman_D!$L$11&lt;0, -(N44-Uzman_D!$L$11), N44-Uzman_D!$L$11)*2),0)/2 = IF(N44-Uzman_D!$L$11&lt;0, -(N44-Uzman_D!$L$11), N44-Uzman_D!$L$11),
    (ROUND((IF(N44-Uzman_D!$L$11&lt;0, -(N44-Uzman_D!$L$11), N44-Uzman_D!$L$11)*2),0)/1 * 0.1), 0) +
    IF(O44-Uzman_D!$M$11&lt;0, -(O44-Uzman_D!$M$11), O44-Uzman_D!$M$11)*1
)</f>
        <v>-0.30000000000000027</v>
      </c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2"/>
      <c r="AB44" s="72"/>
      <c r="AC44" s="73">
        <f>1 - (
    SUM(
        IF(Q44-Uzman_D!$B$12&lt;0, -(Q44-Uzman_D!$B$12), Q44-Uzman_D!$B$12)*0.1 +
        IF(R44-Uzman_D!$C$12&lt;0, -(R44-Uzman_D!$C$12), R44-Uzman_D!$C$12)*0.1 +
        IF(S44-Uzman_D!$D$12&lt;0, -(S44-Uzman_D!$D$12), S44-Uzman_D!$D$12)*0.1 +
        IF(T44-Uzman_D!$E$12&lt;0, -(T44-Uzman_D!$E$12), T44-Uzman_D!$E$12)*0.1 +
        IF(U44-Uzman_D!$F$12&lt;0, -(U44-Uzman_D!$F$12), U44-Uzman_D!$F$12)*0.1 +
        IF(V44-Uzman_D!$G$12&lt;0, -(V44-Uzman_D!$G$12), V44-Uzman_D!$G$12)*0.1 +
        IF(W44-Uzman_D!$H$12&lt;0, -(W44-Uzman_D!$H$12), W44-Uzman_D!$H$12)*0.1 +
        IF(X44-Uzman_D!$I$12&lt;0, -(X44-Uzman_D!$I$12), X44-Uzman_D!$I$12)*0.1 +
        IF(Y44-Uzman_D!$J$12&lt;0, -(Y44-Uzman_D!$J$12), Y44-Uzman_D!$J$12)*0.1
    ) +
    IF(ROUND((IF(AA44-Uzman_D!$L$12&lt;0, -(AA44-Uzman_D!$L$12), AA44-Uzman_D!$L$12)*2),0)/2 = IF(AA44-Uzman_D!$L$12&lt;0, -(AA44-Uzman_D!$L$12), AA44-Uzman_D!$L$12),
    (ROUND((IF(AA44-Uzman_D!$L$12&lt;0, -(AA44-Uzman_D!$L$12), AA44-Uzman_D!$L$12)*2),0)/1 * 0.1), 0) +
    IF(AB44-Uzman_D!$M$12&lt;0, -(AB44-Uzman_D!$M$12), AB44-Uzman_D!$M$12)*1
)</f>
        <v>-0.20000000000000018</v>
      </c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2"/>
      <c r="AO44" s="72"/>
      <c r="AP44" s="73">
        <f>1 - (
    SUM(
        IF(AD44-Uzman_D!$B$13&lt;0, -(AD44-Uzman_D!$B$13), AD44-Uzman_D!$B$13)*0.1 +
        IF(AE44-Uzman_D!$C$13&lt;0, -(AE44-Uzman_D!$C$13), AE44-Uzman_D!$C$13)*0.1 +
        IF(AF44-Uzman_D!$D$13&lt;0, -(AF44-Uzman_D!$D$13), AF44-Uzman_D!$D$13)*0.1 +
        IF(AG44-Uzman_D!$E$13&lt;0, -(AG44-Uzman_D!$E$13), AG44-Uzman_D!$E$13)*0.1 +
        IF(AH44-Uzman_D!$F$13&lt;0, -(AH44-Uzman_D!$F$13), AH44-Uzman_D!$F$13)*0.1 +
        IF(AI44-Uzman_D!$G$13&lt;0, -(AI44-Uzman_D!$G$13), AI44-Uzman_D!$G$13)*0.1 +
        IF(AJ44-Uzman_D!$H$13&lt;0, -(AJ44-Uzman_D!$H$13), AJ44-Uzman_D!$H$13)*0.1 +
        IF(AK44-Uzman_D!$I$13&lt;0, -(AK44-Uzman_D!$I$13), AK44-Uzman_D!$I$13)*0.1 +
        IF(AL44-Uzman_D!$J$13&lt;0, -(AL44-Uzman_D!$J$13), AL44-Uzman_D!$J$13)*0.1
    ) +
    IF(ROUND((IF(AN44-Uzman_D!$L$13&lt;0, -(AN44-Uzman_D!$L$13), AN44-Uzman_D!$L$13)*2),0)/2 = IF(AN44-Uzman_D!$L$13&lt;0, -(AN44-Uzman_D!$L$13), AN44-Uzman_D!$L$13),
    (ROUND((IF(AN44-Uzman_D!$L$13&lt;0, -(AN44-Uzman_D!$L$13), AN44-Uzman_D!$L$13)*2),0)/1 * 0.1), 0) +
    IF(AO44-Uzman_D!$M$13&lt;0, -(AO44-Uzman_D!$M$13), AO44-Uzman_D!$M$13)*1
)</f>
        <v>-0.30000000000000004</v>
      </c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2"/>
      <c r="BB44" s="72"/>
      <c r="BC44" s="73">
        <f>1 - (
    SUM(
        IF(AQ44-Uzman_D!$B$14&lt;0, -(AQ44-Uzman_D!$B$14), AQ44-Uzman_D!$B$14)*0.1 +
        IF(AR44-Uzman_D!$C$14&lt;0, -(AR44-Uzman_D!$C$14), AR44-Uzman_D!$C$14)*0.1 +
        IF(AS44-Uzman_D!$D$14&lt;0, -(AS44-Uzman_D!$D$14), AS44-Uzman_D!$D$14)*0.1 +
        IF(AT44-Uzman_D!$E$14&lt;0, -(AT44-Uzman_D!$E$14), AT44-Uzman_D!$E$14)*0.1 +
        IF(AU44-Uzman_D!$F$14&lt;0, -(AU44-Uzman_D!$F$14), AU44-Uzman_D!$F$14)*0.1 +
        IF(AV44-Uzman_D!$G$14&lt;0, -(AV44-Uzman_D!$G$14), AV44-Uzman_D!$G$14)*0.1 +
        IF(AW44-Uzman_D!$H$14&lt;0, -(AW44-Uzman_D!$H$14), AW44-Uzman_D!$H$14)*0.1 +
        IF(AX44-Uzman_D!$I$14&lt;0, -(AX44-Uzman_D!$I$14), AX44-Uzman_D!$I$14)*0.1 +
        IF(AY44-Uzman_D!$J$14&lt;0, -(AY44-Uzman_D!$J$14), AY44-Uzman_D!$J$14)*0.1
    ) +
    IF(ROUND((IF(BA44-Uzman_D!$L$14&lt;0, -(BA44-Uzman_D!$L$14), BA44-Uzman_D!$L$14)*2),0)/2 = IF(BA44-Uzman_D!$L$14&lt;0, -(BA44-Uzman_D!$L$14), BA44-Uzman_D!$L$14),
    (ROUND((IF(BA44-Uzman_D!$L$14&lt;0, -(BA44-Uzman_D!$L$14), BA44-Uzman_D!$L$14)*2),0)/1 * 0.1), 0) +
    IF(BB44-Uzman_D!$M$14&lt;0, -(BB44-Uzman_D!$M$14), BB44-Uzman_D!$M$14)*1
)</f>
        <v>-0.20000000000000018</v>
      </c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2"/>
      <c r="BO44" s="72"/>
      <c r="BP44" s="73">
        <f>1 - (
    SUM(
        IF(BD44-Uzman_D!$B$15&lt;0, -(BD44-Uzman_D!$B$15), BD44-Uzman_D!$B$15)*0.1 +
        IF(BE44-Uzman_D!$C$15&lt;0, -(BE44-Uzman_D!$C$15), BE44-Uzman_D!$C$15)*0.1 +
        IF(BF44-Uzman_D!$D$15&lt;0, -(BF44-Uzman_D!$D$15), BF44-Uzman_D!$D$15)*0.1 +
        IF(BG44-Uzman_D!$E$15&lt;0, -(BG44-Uzman_D!$E$15), BG44-Uzman_D!$E$15)*0.1 +
        IF(BH44-Uzman_D!$F$15&lt;0, -(BH44-Uzman_D!$F$15), BH44-Uzman_D!$F$15)*0.1 +
        IF(BI44-Uzman_D!$G$15&lt;0, -(BI44-Uzman_D!$G$15), BI44-Uzman_D!$G$15)*0.1 +
        IF(BJ44-Uzman_D!$H$15&lt;0, -(BJ44-Uzman_D!$H$15), BJ44-Uzman_D!$H$15)*0.1 +
        IF(BK44-Uzman_D!$I$15&lt;0, -(BK44-Uzman_D!$I$15), BK44-Uzman_D!$I$15)*0.1 +
        IF(BL44-Uzman_D!$J$15&lt;0, -(BL44-Uzman_D!$J$15), BL44-Uzman_D!$J$15)*0.1
    ) +
    IF(ROUND((IF(BN44-Uzman_D!$L$15&lt;0, -(BN44-Uzman_D!$L$15), BN44-Uzman_D!$L$15)*2),0)/2 = IF(BN44-Uzman_D!$L$15&lt;0, -(BN44-Uzman_D!$L$15), BN44-Uzman_D!$L$15),
    (ROUND((IF(BN44-Uzman_D!$L$15&lt;0, -(BN44-Uzman_D!$L$15), BN44-Uzman_D!$L$15)*2),0)/1 * 0.1), 0) +
    IF(BO44-Uzman_D!$M$15&lt;0, -(BO44-Uzman_D!$M$15), BO44-Uzman_D!$M$15)*1
)</f>
        <v>-0.60000000000000009</v>
      </c>
      <c r="BQ44" s="74">
        <f t="shared" si="0"/>
        <v>-0.32000000000000017</v>
      </c>
    </row>
    <row r="45" spans="1:69" ht="15" customHeight="1" x14ac:dyDescent="0.2">
      <c r="A45" s="57">
        <v>42</v>
      </c>
      <c r="B45" s="29">
        <f>Hakemler!B45</f>
        <v>0</v>
      </c>
      <c r="C45" s="29">
        <f>Hakemler!C45</f>
        <v>0</v>
      </c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2"/>
      <c r="O45" s="72"/>
      <c r="P45" s="73">
        <f>1 - (
    SUM(
        IF(D45-Uzman_D!$B$11&lt;0, -(D45-Uzman_D!$B$11), D45-Uzman_D!$B$11)*0.1 +
        IF(E45-Uzman_D!$C$11&lt;0, -(E45-Uzman_D!$C$11), E45-Uzman_D!$C$11)*0.1 +
        IF(F45-Uzman_D!$D$11&lt;0, -(F45-Uzman_D!$D$11), F45-Uzman_D!$D$11)*0.1 +
        IF(G45-Uzman_D!$E$11&lt;0, -(G45-Uzman_D!$E$11), G45-Uzman_D!$E$11)*0.1 +
        IF(H45-Uzman_D!$F$11&lt;0, -(H45-Uzman_D!$F$11), H45-Uzman_D!$F$11)*0.1 +
        IF(I45-Uzman_D!$G$11&lt;0, -(I45-Uzman_D!$G$11), I45-Uzman_D!$G$11)*0.1 +
        IF(J45-Uzman_D!$H$11&lt;0, -(J45-Uzman_D!$H$11), J45-Uzman_D!$H$11)*0.1 +
        IF(K45-Uzman_D!$I$11&lt;0, -(K45-Uzman_D!$I$11), K45-Uzman_D!$I$11)*0.1 +
        IF(L45-Uzman_D!$J$11&lt;0, -(L45-Uzman_D!$J$11), L45-Uzman_D!$J$11)*0.1
    ) +
    IF(ROUND((IF(N45-Uzman_D!$L$11&lt;0, -(N45-Uzman_D!$L$11), N45-Uzman_D!$L$11)*2),0)/2 = IF(N45-Uzman_D!$L$11&lt;0, -(N45-Uzman_D!$L$11), N45-Uzman_D!$L$11),
    (ROUND((IF(N45-Uzman_D!$L$11&lt;0, -(N45-Uzman_D!$L$11), N45-Uzman_D!$L$11)*2),0)/1 * 0.1), 0) +
    IF(O45-Uzman_D!$M$11&lt;0, -(O45-Uzman_D!$M$11), O45-Uzman_D!$M$11)*1
)</f>
        <v>-0.30000000000000027</v>
      </c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2"/>
      <c r="AB45" s="72"/>
      <c r="AC45" s="73">
        <f>1 - (
    SUM(
        IF(Q45-Uzman_D!$B$12&lt;0, -(Q45-Uzman_D!$B$12), Q45-Uzman_D!$B$12)*0.1 +
        IF(R45-Uzman_D!$C$12&lt;0, -(R45-Uzman_D!$C$12), R45-Uzman_D!$C$12)*0.1 +
        IF(S45-Uzman_D!$D$12&lt;0, -(S45-Uzman_D!$D$12), S45-Uzman_D!$D$12)*0.1 +
        IF(T45-Uzman_D!$E$12&lt;0, -(T45-Uzman_D!$E$12), T45-Uzman_D!$E$12)*0.1 +
        IF(U45-Uzman_D!$F$12&lt;0, -(U45-Uzman_D!$F$12), U45-Uzman_D!$F$12)*0.1 +
        IF(V45-Uzman_D!$G$12&lt;0, -(V45-Uzman_D!$G$12), V45-Uzman_D!$G$12)*0.1 +
        IF(W45-Uzman_D!$H$12&lt;0, -(W45-Uzman_D!$H$12), W45-Uzman_D!$H$12)*0.1 +
        IF(X45-Uzman_D!$I$12&lt;0, -(X45-Uzman_D!$I$12), X45-Uzman_D!$I$12)*0.1 +
        IF(Y45-Uzman_D!$J$12&lt;0, -(Y45-Uzman_D!$J$12), Y45-Uzman_D!$J$12)*0.1
    ) +
    IF(ROUND((IF(AA45-Uzman_D!$L$12&lt;0, -(AA45-Uzman_D!$L$12), AA45-Uzman_D!$L$12)*2),0)/2 = IF(AA45-Uzman_D!$L$12&lt;0, -(AA45-Uzman_D!$L$12), AA45-Uzman_D!$L$12),
    (ROUND((IF(AA45-Uzman_D!$L$12&lt;0, -(AA45-Uzman_D!$L$12), AA45-Uzman_D!$L$12)*2),0)/1 * 0.1), 0) +
    IF(AB45-Uzman_D!$M$12&lt;0, -(AB45-Uzman_D!$M$12), AB45-Uzman_D!$M$12)*1
)</f>
        <v>-0.20000000000000018</v>
      </c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2"/>
      <c r="AO45" s="72"/>
      <c r="AP45" s="73">
        <f>1 - (
    SUM(
        IF(AD45-Uzman_D!$B$13&lt;0, -(AD45-Uzman_D!$B$13), AD45-Uzman_D!$B$13)*0.1 +
        IF(AE45-Uzman_D!$C$13&lt;0, -(AE45-Uzman_D!$C$13), AE45-Uzman_D!$C$13)*0.1 +
        IF(AF45-Uzman_D!$D$13&lt;0, -(AF45-Uzman_D!$D$13), AF45-Uzman_D!$D$13)*0.1 +
        IF(AG45-Uzman_D!$E$13&lt;0, -(AG45-Uzman_D!$E$13), AG45-Uzman_D!$E$13)*0.1 +
        IF(AH45-Uzman_D!$F$13&lt;0, -(AH45-Uzman_D!$F$13), AH45-Uzman_D!$F$13)*0.1 +
        IF(AI45-Uzman_D!$G$13&lt;0, -(AI45-Uzman_D!$G$13), AI45-Uzman_D!$G$13)*0.1 +
        IF(AJ45-Uzman_D!$H$13&lt;0, -(AJ45-Uzman_D!$H$13), AJ45-Uzman_D!$H$13)*0.1 +
        IF(AK45-Uzman_D!$I$13&lt;0, -(AK45-Uzman_D!$I$13), AK45-Uzman_D!$I$13)*0.1 +
        IF(AL45-Uzman_D!$J$13&lt;0, -(AL45-Uzman_D!$J$13), AL45-Uzman_D!$J$13)*0.1
    ) +
    IF(ROUND((IF(AN45-Uzman_D!$L$13&lt;0, -(AN45-Uzman_D!$L$13), AN45-Uzman_D!$L$13)*2),0)/2 = IF(AN45-Uzman_D!$L$13&lt;0, -(AN45-Uzman_D!$L$13), AN45-Uzman_D!$L$13),
    (ROUND((IF(AN45-Uzman_D!$L$13&lt;0, -(AN45-Uzman_D!$L$13), AN45-Uzman_D!$L$13)*2),0)/1 * 0.1), 0) +
    IF(AO45-Uzman_D!$M$13&lt;0, -(AO45-Uzman_D!$M$13), AO45-Uzman_D!$M$13)*1
)</f>
        <v>-0.30000000000000004</v>
      </c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2"/>
      <c r="BB45" s="72"/>
      <c r="BC45" s="73">
        <f>1 - (
    SUM(
        IF(AQ45-Uzman_D!$B$14&lt;0, -(AQ45-Uzman_D!$B$14), AQ45-Uzman_D!$B$14)*0.1 +
        IF(AR45-Uzman_D!$C$14&lt;0, -(AR45-Uzman_D!$C$14), AR45-Uzman_D!$C$14)*0.1 +
        IF(AS45-Uzman_D!$D$14&lt;0, -(AS45-Uzman_D!$D$14), AS45-Uzman_D!$D$14)*0.1 +
        IF(AT45-Uzman_D!$E$14&lt;0, -(AT45-Uzman_D!$E$14), AT45-Uzman_D!$E$14)*0.1 +
        IF(AU45-Uzman_D!$F$14&lt;0, -(AU45-Uzman_D!$F$14), AU45-Uzman_D!$F$14)*0.1 +
        IF(AV45-Uzman_D!$G$14&lt;0, -(AV45-Uzman_D!$G$14), AV45-Uzman_D!$G$14)*0.1 +
        IF(AW45-Uzman_D!$H$14&lt;0, -(AW45-Uzman_D!$H$14), AW45-Uzman_D!$H$14)*0.1 +
        IF(AX45-Uzman_D!$I$14&lt;0, -(AX45-Uzman_D!$I$14), AX45-Uzman_D!$I$14)*0.1 +
        IF(AY45-Uzman_D!$J$14&lt;0, -(AY45-Uzman_D!$J$14), AY45-Uzman_D!$J$14)*0.1
    ) +
    IF(ROUND((IF(BA45-Uzman_D!$L$14&lt;0, -(BA45-Uzman_D!$L$14), BA45-Uzman_D!$L$14)*2),0)/2 = IF(BA45-Uzman_D!$L$14&lt;0, -(BA45-Uzman_D!$L$14), BA45-Uzman_D!$L$14),
    (ROUND((IF(BA45-Uzman_D!$L$14&lt;0, -(BA45-Uzman_D!$L$14), BA45-Uzman_D!$L$14)*2),0)/1 * 0.1), 0) +
    IF(BB45-Uzman_D!$M$14&lt;0, -(BB45-Uzman_D!$M$14), BB45-Uzman_D!$M$14)*1
)</f>
        <v>-0.20000000000000018</v>
      </c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2"/>
      <c r="BO45" s="72"/>
      <c r="BP45" s="73">
        <f>1 - (
    SUM(
        IF(BD45-Uzman_D!$B$15&lt;0, -(BD45-Uzman_D!$B$15), BD45-Uzman_D!$B$15)*0.1 +
        IF(BE45-Uzman_D!$C$15&lt;0, -(BE45-Uzman_D!$C$15), BE45-Uzman_D!$C$15)*0.1 +
        IF(BF45-Uzman_D!$D$15&lt;0, -(BF45-Uzman_D!$D$15), BF45-Uzman_D!$D$15)*0.1 +
        IF(BG45-Uzman_D!$E$15&lt;0, -(BG45-Uzman_D!$E$15), BG45-Uzman_D!$E$15)*0.1 +
        IF(BH45-Uzman_D!$F$15&lt;0, -(BH45-Uzman_D!$F$15), BH45-Uzman_D!$F$15)*0.1 +
        IF(BI45-Uzman_D!$G$15&lt;0, -(BI45-Uzman_D!$G$15), BI45-Uzman_D!$G$15)*0.1 +
        IF(BJ45-Uzman_D!$H$15&lt;0, -(BJ45-Uzman_D!$H$15), BJ45-Uzman_D!$H$15)*0.1 +
        IF(BK45-Uzman_D!$I$15&lt;0, -(BK45-Uzman_D!$I$15), BK45-Uzman_D!$I$15)*0.1 +
        IF(BL45-Uzman_D!$J$15&lt;0, -(BL45-Uzman_D!$J$15), BL45-Uzman_D!$J$15)*0.1
    ) +
    IF(ROUND((IF(BN45-Uzman_D!$L$15&lt;0, -(BN45-Uzman_D!$L$15), BN45-Uzman_D!$L$15)*2),0)/2 = IF(BN45-Uzman_D!$L$15&lt;0, -(BN45-Uzman_D!$L$15), BN45-Uzman_D!$L$15),
    (ROUND((IF(BN45-Uzman_D!$L$15&lt;0, -(BN45-Uzman_D!$L$15), BN45-Uzman_D!$L$15)*2),0)/1 * 0.1), 0) +
    IF(BO45-Uzman_D!$M$15&lt;0, -(BO45-Uzman_D!$M$15), BO45-Uzman_D!$M$15)*1
)</f>
        <v>-0.60000000000000009</v>
      </c>
      <c r="BQ45" s="74">
        <f t="shared" si="0"/>
        <v>-0.32000000000000017</v>
      </c>
    </row>
    <row r="46" spans="1:69" ht="15" customHeight="1" x14ac:dyDescent="0.2">
      <c r="A46" s="57">
        <v>43</v>
      </c>
      <c r="B46" s="37">
        <f>Hakemler!B46</f>
        <v>0</v>
      </c>
      <c r="C46" s="37">
        <f>Hakemler!C46</f>
        <v>0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2"/>
      <c r="O46" s="72"/>
      <c r="P46" s="73">
        <f>1 - (
    SUM(
        IF(D46-Uzman_D!$B$11&lt;0, -(D46-Uzman_D!$B$11), D46-Uzman_D!$B$11)*0.1 +
        IF(E46-Uzman_D!$C$11&lt;0, -(E46-Uzman_D!$C$11), E46-Uzman_D!$C$11)*0.1 +
        IF(F46-Uzman_D!$D$11&lt;0, -(F46-Uzman_D!$D$11), F46-Uzman_D!$D$11)*0.1 +
        IF(G46-Uzman_D!$E$11&lt;0, -(G46-Uzman_D!$E$11), G46-Uzman_D!$E$11)*0.1 +
        IF(H46-Uzman_D!$F$11&lt;0, -(H46-Uzman_D!$F$11), H46-Uzman_D!$F$11)*0.1 +
        IF(I46-Uzman_D!$G$11&lt;0, -(I46-Uzman_D!$G$11), I46-Uzman_D!$G$11)*0.1 +
        IF(J46-Uzman_D!$H$11&lt;0, -(J46-Uzman_D!$H$11), J46-Uzman_D!$H$11)*0.1 +
        IF(K46-Uzman_D!$I$11&lt;0, -(K46-Uzman_D!$I$11), K46-Uzman_D!$I$11)*0.1 +
        IF(L46-Uzman_D!$J$11&lt;0, -(L46-Uzman_D!$J$11), L46-Uzman_D!$J$11)*0.1
    ) +
    IF(ROUND((IF(N46-Uzman_D!$L$11&lt;0, -(N46-Uzman_D!$L$11), N46-Uzman_D!$L$11)*2),0)/2 = IF(N46-Uzman_D!$L$11&lt;0, -(N46-Uzman_D!$L$11), N46-Uzman_D!$L$11),
    (ROUND((IF(N46-Uzman_D!$L$11&lt;0, -(N46-Uzman_D!$L$11), N46-Uzman_D!$L$11)*2),0)/1 * 0.1), 0) +
    IF(O46-Uzman_D!$M$11&lt;0, -(O46-Uzman_D!$M$11), O46-Uzman_D!$M$11)*1
)</f>
        <v>-0.30000000000000027</v>
      </c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2"/>
      <c r="AB46" s="72"/>
      <c r="AC46" s="73">
        <f>1 - (
    SUM(
        IF(Q46-Uzman_D!$B$12&lt;0, -(Q46-Uzman_D!$B$12), Q46-Uzman_D!$B$12)*0.1 +
        IF(R46-Uzman_D!$C$12&lt;0, -(R46-Uzman_D!$C$12), R46-Uzman_D!$C$12)*0.1 +
        IF(S46-Uzman_D!$D$12&lt;0, -(S46-Uzman_D!$D$12), S46-Uzman_D!$D$12)*0.1 +
        IF(T46-Uzman_D!$E$12&lt;0, -(T46-Uzman_D!$E$12), T46-Uzman_D!$E$12)*0.1 +
        IF(U46-Uzman_D!$F$12&lt;0, -(U46-Uzman_D!$F$12), U46-Uzman_D!$F$12)*0.1 +
        IF(V46-Uzman_D!$G$12&lt;0, -(V46-Uzman_D!$G$12), V46-Uzman_D!$G$12)*0.1 +
        IF(W46-Uzman_D!$H$12&lt;0, -(W46-Uzman_D!$H$12), W46-Uzman_D!$H$12)*0.1 +
        IF(X46-Uzman_D!$I$12&lt;0, -(X46-Uzman_D!$I$12), X46-Uzman_D!$I$12)*0.1 +
        IF(Y46-Uzman_D!$J$12&lt;0, -(Y46-Uzman_D!$J$12), Y46-Uzman_D!$J$12)*0.1
    ) +
    IF(ROUND((IF(AA46-Uzman_D!$L$12&lt;0, -(AA46-Uzman_D!$L$12), AA46-Uzman_D!$L$12)*2),0)/2 = IF(AA46-Uzman_D!$L$12&lt;0, -(AA46-Uzman_D!$L$12), AA46-Uzman_D!$L$12),
    (ROUND((IF(AA46-Uzman_D!$L$12&lt;0, -(AA46-Uzman_D!$L$12), AA46-Uzman_D!$L$12)*2),0)/1 * 0.1), 0) +
    IF(AB46-Uzman_D!$M$12&lt;0, -(AB46-Uzman_D!$M$12), AB46-Uzman_D!$M$12)*1
)</f>
        <v>-0.20000000000000018</v>
      </c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2"/>
      <c r="AO46" s="72"/>
      <c r="AP46" s="73">
        <f>1 - (
    SUM(
        IF(AD46-Uzman_D!$B$13&lt;0, -(AD46-Uzman_D!$B$13), AD46-Uzman_D!$B$13)*0.1 +
        IF(AE46-Uzman_D!$C$13&lt;0, -(AE46-Uzman_D!$C$13), AE46-Uzman_D!$C$13)*0.1 +
        IF(AF46-Uzman_D!$D$13&lt;0, -(AF46-Uzman_D!$D$13), AF46-Uzman_D!$D$13)*0.1 +
        IF(AG46-Uzman_D!$E$13&lt;0, -(AG46-Uzman_D!$E$13), AG46-Uzman_D!$E$13)*0.1 +
        IF(AH46-Uzman_D!$F$13&lt;0, -(AH46-Uzman_D!$F$13), AH46-Uzman_D!$F$13)*0.1 +
        IF(AI46-Uzman_D!$G$13&lt;0, -(AI46-Uzman_D!$G$13), AI46-Uzman_D!$G$13)*0.1 +
        IF(AJ46-Uzman_D!$H$13&lt;0, -(AJ46-Uzman_D!$H$13), AJ46-Uzman_D!$H$13)*0.1 +
        IF(AK46-Uzman_D!$I$13&lt;0, -(AK46-Uzman_D!$I$13), AK46-Uzman_D!$I$13)*0.1 +
        IF(AL46-Uzman_D!$J$13&lt;0, -(AL46-Uzman_D!$J$13), AL46-Uzman_D!$J$13)*0.1
    ) +
    IF(ROUND((IF(AN46-Uzman_D!$L$13&lt;0, -(AN46-Uzman_D!$L$13), AN46-Uzman_D!$L$13)*2),0)/2 = IF(AN46-Uzman_D!$L$13&lt;0, -(AN46-Uzman_D!$L$13), AN46-Uzman_D!$L$13),
    (ROUND((IF(AN46-Uzman_D!$L$13&lt;0, -(AN46-Uzman_D!$L$13), AN46-Uzman_D!$L$13)*2),0)/1 * 0.1), 0) +
    IF(AO46-Uzman_D!$M$13&lt;0, -(AO46-Uzman_D!$M$13), AO46-Uzman_D!$M$13)*1
)</f>
        <v>-0.30000000000000004</v>
      </c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2"/>
      <c r="BB46" s="72"/>
      <c r="BC46" s="73">
        <f>1 - (
    SUM(
        IF(AQ46-Uzman_D!$B$14&lt;0, -(AQ46-Uzman_D!$B$14), AQ46-Uzman_D!$B$14)*0.1 +
        IF(AR46-Uzman_D!$C$14&lt;0, -(AR46-Uzman_D!$C$14), AR46-Uzman_D!$C$14)*0.1 +
        IF(AS46-Uzman_D!$D$14&lt;0, -(AS46-Uzman_D!$D$14), AS46-Uzman_D!$D$14)*0.1 +
        IF(AT46-Uzman_D!$E$14&lt;0, -(AT46-Uzman_D!$E$14), AT46-Uzman_D!$E$14)*0.1 +
        IF(AU46-Uzman_D!$F$14&lt;0, -(AU46-Uzman_D!$F$14), AU46-Uzman_D!$F$14)*0.1 +
        IF(AV46-Uzman_D!$G$14&lt;0, -(AV46-Uzman_D!$G$14), AV46-Uzman_D!$G$14)*0.1 +
        IF(AW46-Uzman_D!$H$14&lt;0, -(AW46-Uzman_D!$H$14), AW46-Uzman_D!$H$14)*0.1 +
        IF(AX46-Uzman_D!$I$14&lt;0, -(AX46-Uzman_D!$I$14), AX46-Uzman_D!$I$14)*0.1 +
        IF(AY46-Uzman_D!$J$14&lt;0, -(AY46-Uzman_D!$J$14), AY46-Uzman_D!$J$14)*0.1
    ) +
    IF(ROUND((IF(BA46-Uzman_D!$L$14&lt;0, -(BA46-Uzman_D!$L$14), BA46-Uzman_D!$L$14)*2),0)/2 = IF(BA46-Uzman_D!$L$14&lt;0, -(BA46-Uzman_D!$L$14), BA46-Uzman_D!$L$14),
    (ROUND((IF(BA46-Uzman_D!$L$14&lt;0, -(BA46-Uzman_D!$L$14), BA46-Uzman_D!$L$14)*2),0)/1 * 0.1), 0) +
    IF(BB46-Uzman_D!$M$14&lt;0, -(BB46-Uzman_D!$M$14), BB46-Uzman_D!$M$14)*1
)</f>
        <v>-0.20000000000000018</v>
      </c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2"/>
      <c r="BO46" s="72"/>
      <c r="BP46" s="73">
        <f>1 - (
    SUM(
        IF(BD46-Uzman_D!$B$15&lt;0, -(BD46-Uzman_D!$B$15), BD46-Uzman_D!$B$15)*0.1 +
        IF(BE46-Uzman_D!$C$15&lt;0, -(BE46-Uzman_D!$C$15), BE46-Uzman_D!$C$15)*0.1 +
        IF(BF46-Uzman_D!$D$15&lt;0, -(BF46-Uzman_D!$D$15), BF46-Uzman_D!$D$15)*0.1 +
        IF(BG46-Uzman_D!$E$15&lt;0, -(BG46-Uzman_D!$E$15), BG46-Uzman_D!$E$15)*0.1 +
        IF(BH46-Uzman_D!$F$15&lt;0, -(BH46-Uzman_D!$F$15), BH46-Uzman_D!$F$15)*0.1 +
        IF(BI46-Uzman_D!$G$15&lt;0, -(BI46-Uzman_D!$G$15), BI46-Uzman_D!$G$15)*0.1 +
        IF(BJ46-Uzman_D!$H$15&lt;0, -(BJ46-Uzman_D!$H$15), BJ46-Uzman_D!$H$15)*0.1 +
        IF(BK46-Uzman_D!$I$15&lt;0, -(BK46-Uzman_D!$I$15), BK46-Uzman_D!$I$15)*0.1 +
        IF(BL46-Uzman_D!$J$15&lt;0, -(BL46-Uzman_D!$J$15), BL46-Uzman_D!$J$15)*0.1
    ) +
    IF(ROUND((IF(BN46-Uzman_D!$L$15&lt;0, -(BN46-Uzman_D!$L$15), BN46-Uzman_D!$L$15)*2),0)/2 = IF(BN46-Uzman_D!$L$15&lt;0, -(BN46-Uzman_D!$L$15), BN46-Uzman_D!$L$15),
    (ROUND((IF(BN46-Uzman_D!$L$15&lt;0, -(BN46-Uzman_D!$L$15), BN46-Uzman_D!$L$15)*2),0)/1 * 0.1), 0) +
    IF(BO46-Uzman_D!$M$15&lt;0, -(BO46-Uzman_D!$M$15), BO46-Uzman_D!$M$15)*1
)</f>
        <v>-0.60000000000000009</v>
      </c>
      <c r="BQ46" s="74">
        <f t="shared" si="0"/>
        <v>-0.32000000000000017</v>
      </c>
    </row>
    <row r="47" spans="1:69" ht="15" customHeight="1" x14ac:dyDescent="0.2">
      <c r="A47" s="57">
        <v>44</v>
      </c>
      <c r="B47" s="37">
        <f>Hakemler!B47</f>
        <v>0</v>
      </c>
      <c r="C47" s="37">
        <f>Hakemler!C47</f>
        <v>0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2"/>
      <c r="O47" s="72"/>
      <c r="P47" s="73">
        <f>1 - (
    SUM(
        IF(D47-Uzman_D!$B$11&lt;0, -(D47-Uzman_D!$B$11), D47-Uzman_D!$B$11)*0.1 +
        IF(E47-Uzman_D!$C$11&lt;0, -(E47-Uzman_D!$C$11), E47-Uzman_D!$C$11)*0.1 +
        IF(F47-Uzman_D!$D$11&lt;0, -(F47-Uzman_D!$D$11), F47-Uzman_D!$D$11)*0.1 +
        IF(G47-Uzman_D!$E$11&lt;0, -(G47-Uzman_D!$E$11), G47-Uzman_D!$E$11)*0.1 +
        IF(H47-Uzman_D!$F$11&lt;0, -(H47-Uzman_D!$F$11), H47-Uzman_D!$F$11)*0.1 +
        IF(I47-Uzman_D!$G$11&lt;0, -(I47-Uzman_D!$G$11), I47-Uzman_D!$G$11)*0.1 +
        IF(J47-Uzman_D!$H$11&lt;0, -(J47-Uzman_D!$H$11), J47-Uzman_D!$H$11)*0.1 +
        IF(K47-Uzman_D!$I$11&lt;0, -(K47-Uzman_D!$I$11), K47-Uzman_D!$I$11)*0.1 +
        IF(L47-Uzman_D!$J$11&lt;0, -(L47-Uzman_D!$J$11), L47-Uzman_D!$J$11)*0.1
    ) +
    IF(ROUND((IF(N47-Uzman_D!$L$11&lt;0, -(N47-Uzman_D!$L$11), N47-Uzman_D!$L$11)*2),0)/2 = IF(N47-Uzman_D!$L$11&lt;0, -(N47-Uzman_D!$L$11), N47-Uzman_D!$L$11),
    (ROUND((IF(N47-Uzman_D!$L$11&lt;0, -(N47-Uzman_D!$L$11), N47-Uzman_D!$L$11)*2),0)/1 * 0.1), 0) +
    IF(O47-Uzman_D!$M$11&lt;0, -(O47-Uzman_D!$M$11), O47-Uzman_D!$M$11)*1
)</f>
        <v>-0.30000000000000027</v>
      </c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2"/>
      <c r="AB47" s="72"/>
      <c r="AC47" s="73">
        <f>1 - (
    SUM(
        IF(Q47-Uzman_D!$B$12&lt;0, -(Q47-Uzman_D!$B$12), Q47-Uzman_D!$B$12)*0.1 +
        IF(R47-Uzman_D!$C$12&lt;0, -(R47-Uzman_D!$C$12), R47-Uzman_D!$C$12)*0.1 +
        IF(S47-Uzman_D!$D$12&lt;0, -(S47-Uzman_D!$D$12), S47-Uzman_D!$D$12)*0.1 +
        IF(T47-Uzman_D!$E$12&lt;0, -(T47-Uzman_D!$E$12), T47-Uzman_D!$E$12)*0.1 +
        IF(U47-Uzman_D!$F$12&lt;0, -(U47-Uzman_D!$F$12), U47-Uzman_D!$F$12)*0.1 +
        IF(V47-Uzman_D!$G$12&lt;0, -(V47-Uzman_D!$G$12), V47-Uzman_D!$G$12)*0.1 +
        IF(W47-Uzman_D!$H$12&lt;0, -(W47-Uzman_D!$H$12), W47-Uzman_D!$H$12)*0.1 +
        IF(X47-Uzman_D!$I$12&lt;0, -(X47-Uzman_D!$I$12), X47-Uzman_D!$I$12)*0.1 +
        IF(Y47-Uzman_D!$J$12&lt;0, -(Y47-Uzman_D!$J$12), Y47-Uzman_D!$J$12)*0.1
    ) +
    IF(ROUND((IF(AA47-Uzman_D!$L$12&lt;0, -(AA47-Uzman_D!$L$12), AA47-Uzman_D!$L$12)*2),0)/2 = IF(AA47-Uzman_D!$L$12&lt;0, -(AA47-Uzman_D!$L$12), AA47-Uzman_D!$L$12),
    (ROUND((IF(AA47-Uzman_D!$L$12&lt;0, -(AA47-Uzman_D!$L$12), AA47-Uzman_D!$L$12)*2),0)/1 * 0.1), 0) +
    IF(AB47-Uzman_D!$M$12&lt;0, -(AB47-Uzman_D!$M$12), AB47-Uzman_D!$M$12)*1
)</f>
        <v>-0.20000000000000018</v>
      </c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2"/>
      <c r="AO47" s="72"/>
      <c r="AP47" s="73">
        <f>1 - (
    SUM(
        IF(AD47-Uzman_D!$B$13&lt;0, -(AD47-Uzman_D!$B$13), AD47-Uzman_D!$B$13)*0.1 +
        IF(AE47-Uzman_D!$C$13&lt;0, -(AE47-Uzman_D!$C$13), AE47-Uzman_D!$C$13)*0.1 +
        IF(AF47-Uzman_D!$D$13&lt;0, -(AF47-Uzman_D!$D$13), AF47-Uzman_D!$D$13)*0.1 +
        IF(AG47-Uzman_D!$E$13&lt;0, -(AG47-Uzman_D!$E$13), AG47-Uzman_D!$E$13)*0.1 +
        IF(AH47-Uzman_D!$F$13&lt;0, -(AH47-Uzman_D!$F$13), AH47-Uzman_D!$F$13)*0.1 +
        IF(AI47-Uzman_D!$G$13&lt;0, -(AI47-Uzman_D!$G$13), AI47-Uzman_D!$G$13)*0.1 +
        IF(AJ47-Uzman_D!$H$13&lt;0, -(AJ47-Uzman_D!$H$13), AJ47-Uzman_D!$H$13)*0.1 +
        IF(AK47-Uzman_D!$I$13&lt;0, -(AK47-Uzman_D!$I$13), AK47-Uzman_D!$I$13)*0.1 +
        IF(AL47-Uzman_D!$J$13&lt;0, -(AL47-Uzman_D!$J$13), AL47-Uzman_D!$J$13)*0.1
    ) +
    IF(ROUND((IF(AN47-Uzman_D!$L$13&lt;0, -(AN47-Uzman_D!$L$13), AN47-Uzman_D!$L$13)*2),0)/2 = IF(AN47-Uzman_D!$L$13&lt;0, -(AN47-Uzman_D!$L$13), AN47-Uzman_D!$L$13),
    (ROUND((IF(AN47-Uzman_D!$L$13&lt;0, -(AN47-Uzman_D!$L$13), AN47-Uzman_D!$L$13)*2),0)/1 * 0.1), 0) +
    IF(AO47-Uzman_D!$M$13&lt;0, -(AO47-Uzman_D!$M$13), AO47-Uzman_D!$M$13)*1
)</f>
        <v>-0.30000000000000004</v>
      </c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2"/>
      <c r="BB47" s="72"/>
      <c r="BC47" s="73">
        <f>1 - (
    SUM(
        IF(AQ47-Uzman_D!$B$14&lt;0, -(AQ47-Uzman_D!$B$14), AQ47-Uzman_D!$B$14)*0.1 +
        IF(AR47-Uzman_D!$C$14&lt;0, -(AR47-Uzman_D!$C$14), AR47-Uzman_D!$C$14)*0.1 +
        IF(AS47-Uzman_D!$D$14&lt;0, -(AS47-Uzman_D!$D$14), AS47-Uzman_D!$D$14)*0.1 +
        IF(AT47-Uzman_D!$E$14&lt;0, -(AT47-Uzman_D!$E$14), AT47-Uzman_D!$E$14)*0.1 +
        IF(AU47-Uzman_D!$F$14&lt;0, -(AU47-Uzman_D!$F$14), AU47-Uzman_D!$F$14)*0.1 +
        IF(AV47-Uzman_D!$G$14&lt;0, -(AV47-Uzman_D!$G$14), AV47-Uzman_D!$G$14)*0.1 +
        IF(AW47-Uzman_D!$H$14&lt;0, -(AW47-Uzman_D!$H$14), AW47-Uzman_D!$H$14)*0.1 +
        IF(AX47-Uzman_D!$I$14&lt;0, -(AX47-Uzman_D!$I$14), AX47-Uzman_D!$I$14)*0.1 +
        IF(AY47-Uzman_D!$J$14&lt;0, -(AY47-Uzman_D!$J$14), AY47-Uzman_D!$J$14)*0.1
    ) +
    IF(ROUND((IF(BA47-Uzman_D!$L$14&lt;0, -(BA47-Uzman_D!$L$14), BA47-Uzman_D!$L$14)*2),0)/2 = IF(BA47-Uzman_D!$L$14&lt;0, -(BA47-Uzman_D!$L$14), BA47-Uzman_D!$L$14),
    (ROUND((IF(BA47-Uzman_D!$L$14&lt;0, -(BA47-Uzman_D!$L$14), BA47-Uzman_D!$L$14)*2),0)/1 * 0.1), 0) +
    IF(BB47-Uzman_D!$M$14&lt;0, -(BB47-Uzman_D!$M$14), BB47-Uzman_D!$M$14)*1
)</f>
        <v>-0.20000000000000018</v>
      </c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2"/>
      <c r="BO47" s="72"/>
      <c r="BP47" s="73">
        <f>1 - (
    SUM(
        IF(BD47-Uzman_D!$B$15&lt;0, -(BD47-Uzman_D!$B$15), BD47-Uzman_D!$B$15)*0.1 +
        IF(BE47-Uzman_D!$C$15&lt;0, -(BE47-Uzman_D!$C$15), BE47-Uzman_D!$C$15)*0.1 +
        IF(BF47-Uzman_D!$D$15&lt;0, -(BF47-Uzman_D!$D$15), BF47-Uzman_D!$D$15)*0.1 +
        IF(BG47-Uzman_D!$E$15&lt;0, -(BG47-Uzman_D!$E$15), BG47-Uzman_D!$E$15)*0.1 +
        IF(BH47-Uzman_D!$F$15&lt;0, -(BH47-Uzman_D!$F$15), BH47-Uzman_D!$F$15)*0.1 +
        IF(BI47-Uzman_D!$G$15&lt;0, -(BI47-Uzman_D!$G$15), BI47-Uzman_D!$G$15)*0.1 +
        IF(BJ47-Uzman_D!$H$15&lt;0, -(BJ47-Uzman_D!$H$15), BJ47-Uzman_D!$H$15)*0.1 +
        IF(BK47-Uzman_D!$I$15&lt;0, -(BK47-Uzman_D!$I$15), BK47-Uzman_D!$I$15)*0.1 +
        IF(BL47-Uzman_D!$J$15&lt;0, -(BL47-Uzman_D!$J$15), BL47-Uzman_D!$J$15)*0.1
    ) +
    IF(ROUND((IF(BN47-Uzman_D!$L$15&lt;0, -(BN47-Uzman_D!$L$15), BN47-Uzman_D!$L$15)*2),0)/2 = IF(BN47-Uzman_D!$L$15&lt;0, -(BN47-Uzman_D!$L$15), BN47-Uzman_D!$L$15),
    (ROUND((IF(BN47-Uzman_D!$L$15&lt;0, -(BN47-Uzman_D!$L$15), BN47-Uzman_D!$L$15)*2),0)/1 * 0.1), 0) +
    IF(BO47-Uzman_D!$M$15&lt;0, -(BO47-Uzman_D!$M$15), BO47-Uzman_D!$M$15)*1
)</f>
        <v>-0.60000000000000009</v>
      </c>
      <c r="BQ47" s="74">
        <f t="shared" si="0"/>
        <v>-0.32000000000000017</v>
      </c>
    </row>
    <row r="48" spans="1:69" ht="15" customHeight="1" x14ac:dyDescent="0.2">
      <c r="A48" s="57">
        <v>45</v>
      </c>
      <c r="B48" s="29">
        <f>Hakemler!B48</f>
        <v>0</v>
      </c>
      <c r="C48" s="29">
        <f>Hakemler!C48</f>
        <v>0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2"/>
      <c r="O48" s="72"/>
      <c r="P48" s="73">
        <f>1 - (
    SUM(
        IF(D48-Uzman_D!$B$11&lt;0, -(D48-Uzman_D!$B$11), D48-Uzman_D!$B$11)*0.1 +
        IF(E48-Uzman_D!$C$11&lt;0, -(E48-Uzman_D!$C$11), E48-Uzman_D!$C$11)*0.1 +
        IF(F48-Uzman_D!$D$11&lt;0, -(F48-Uzman_D!$D$11), F48-Uzman_D!$D$11)*0.1 +
        IF(G48-Uzman_D!$E$11&lt;0, -(G48-Uzman_D!$E$11), G48-Uzman_D!$E$11)*0.1 +
        IF(H48-Uzman_D!$F$11&lt;0, -(H48-Uzman_D!$F$11), H48-Uzman_D!$F$11)*0.1 +
        IF(I48-Uzman_D!$G$11&lt;0, -(I48-Uzman_D!$G$11), I48-Uzman_D!$G$11)*0.1 +
        IF(J48-Uzman_D!$H$11&lt;0, -(J48-Uzman_D!$H$11), J48-Uzman_D!$H$11)*0.1 +
        IF(K48-Uzman_D!$I$11&lt;0, -(K48-Uzman_D!$I$11), K48-Uzman_D!$I$11)*0.1 +
        IF(L48-Uzman_D!$J$11&lt;0, -(L48-Uzman_D!$J$11), L48-Uzman_D!$J$11)*0.1
    ) +
    IF(ROUND((IF(N48-Uzman_D!$L$11&lt;0, -(N48-Uzman_D!$L$11), N48-Uzman_D!$L$11)*2),0)/2 = IF(N48-Uzman_D!$L$11&lt;0, -(N48-Uzman_D!$L$11), N48-Uzman_D!$L$11),
    (ROUND((IF(N48-Uzman_D!$L$11&lt;0, -(N48-Uzman_D!$L$11), N48-Uzman_D!$L$11)*2),0)/1 * 0.1), 0) +
    IF(O48-Uzman_D!$M$11&lt;0, -(O48-Uzman_D!$M$11), O48-Uzman_D!$M$11)*1
)</f>
        <v>-0.30000000000000027</v>
      </c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2"/>
      <c r="AB48" s="72"/>
      <c r="AC48" s="73">
        <f>1 - (
    SUM(
        IF(Q48-Uzman_D!$B$12&lt;0, -(Q48-Uzman_D!$B$12), Q48-Uzman_D!$B$12)*0.1 +
        IF(R48-Uzman_D!$C$12&lt;0, -(R48-Uzman_D!$C$12), R48-Uzman_D!$C$12)*0.1 +
        IF(S48-Uzman_D!$D$12&lt;0, -(S48-Uzman_D!$D$12), S48-Uzman_D!$D$12)*0.1 +
        IF(T48-Uzman_D!$E$12&lt;0, -(T48-Uzman_D!$E$12), T48-Uzman_D!$E$12)*0.1 +
        IF(U48-Uzman_D!$F$12&lt;0, -(U48-Uzman_D!$F$12), U48-Uzman_D!$F$12)*0.1 +
        IF(V48-Uzman_D!$G$12&lt;0, -(V48-Uzman_D!$G$12), V48-Uzman_D!$G$12)*0.1 +
        IF(W48-Uzman_D!$H$12&lt;0, -(W48-Uzman_D!$H$12), W48-Uzman_D!$H$12)*0.1 +
        IF(X48-Uzman_D!$I$12&lt;0, -(X48-Uzman_D!$I$12), X48-Uzman_D!$I$12)*0.1 +
        IF(Y48-Uzman_D!$J$12&lt;0, -(Y48-Uzman_D!$J$12), Y48-Uzman_D!$J$12)*0.1
    ) +
    IF(ROUND((IF(AA48-Uzman_D!$L$12&lt;0, -(AA48-Uzman_D!$L$12), AA48-Uzman_D!$L$12)*2),0)/2 = IF(AA48-Uzman_D!$L$12&lt;0, -(AA48-Uzman_D!$L$12), AA48-Uzman_D!$L$12),
    (ROUND((IF(AA48-Uzman_D!$L$12&lt;0, -(AA48-Uzman_D!$L$12), AA48-Uzman_D!$L$12)*2),0)/1 * 0.1), 0) +
    IF(AB48-Uzman_D!$M$12&lt;0, -(AB48-Uzman_D!$M$12), AB48-Uzman_D!$M$12)*1
)</f>
        <v>-0.20000000000000018</v>
      </c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2"/>
      <c r="AO48" s="72"/>
      <c r="AP48" s="73">
        <f>1 - (
    SUM(
        IF(AD48-Uzman_D!$B$13&lt;0, -(AD48-Uzman_D!$B$13), AD48-Uzman_D!$B$13)*0.1 +
        IF(AE48-Uzman_D!$C$13&lt;0, -(AE48-Uzman_D!$C$13), AE48-Uzman_D!$C$13)*0.1 +
        IF(AF48-Uzman_D!$D$13&lt;0, -(AF48-Uzman_D!$D$13), AF48-Uzman_D!$D$13)*0.1 +
        IF(AG48-Uzman_D!$E$13&lt;0, -(AG48-Uzman_D!$E$13), AG48-Uzman_D!$E$13)*0.1 +
        IF(AH48-Uzman_D!$F$13&lt;0, -(AH48-Uzman_D!$F$13), AH48-Uzman_D!$F$13)*0.1 +
        IF(AI48-Uzman_D!$G$13&lt;0, -(AI48-Uzman_D!$G$13), AI48-Uzman_D!$G$13)*0.1 +
        IF(AJ48-Uzman_D!$H$13&lt;0, -(AJ48-Uzman_D!$H$13), AJ48-Uzman_D!$H$13)*0.1 +
        IF(AK48-Uzman_D!$I$13&lt;0, -(AK48-Uzman_D!$I$13), AK48-Uzman_D!$I$13)*0.1 +
        IF(AL48-Uzman_D!$J$13&lt;0, -(AL48-Uzman_D!$J$13), AL48-Uzman_D!$J$13)*0.1
    ) +
    IF(ROUND((IF(AN48-Uzman_D!$L$13&lt;0, -(AN48-Uzman_D!$L$13), AN48-Uzman_D!$L$13)*2),0)/2 = IF(AN48-Uzman_D!$L$13&lt;0, -(AN48-Uzman_D!$L$13), AN48-Uzman_D!$L$13),
    (ROUND((IF(AN48-Uzman_D!$L$13&lt;0, -(AN48-Uzman_D!$L$13), AN48-Uzman_D!$L$13)*2),0)/1 * 0.1), 0) +
    IF(AO48-Uzman_D!$M$13&lt;0, -(AO48-Uzman_D!$M$13), AO48-Uzman_D!$M$13)*1
)</f>
        <v>-0.30000000000000004</v>
      </c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2"/>
      <c r="BB48" s="72"/>
      <c r="BC48" s="73">
        <f>1 - (
    SUM(
        IF(AQ48-Uzman_D!$B$14&lt;0, -(AQ48-Uzman_D!$B$14), AQ48-Uzman_D!$B$14)*0.1 +
        IF(AR48-Uzman_D!$C$14&lt;0, -(AR48-Uzman_D!$C$14), AR48-Uzman_D!$C$14)*0.1 +
        IF(AS48-Uzman_D!$D$14&lt;0, -(AS48-Uzman_D!$D$14), AS48-Uzman_D!$D$14)*0.1 +
        IF(AT48-Uzman_D!$E$14&lt;0, -(AT48-Uzman_D!$E$14), AT48-Uzman_D!$E$14)*0.1 +
        IF(AU48-Uzman_D!$F$14&lt;0, -(AU48-Uzman_D!$F$14), AU48-Uzman_D!$F$14)*0.1 +
        IF(AV48-Uzman_D!$G$14&lt;0, -(AV48-Uzman_D!$G$14), AV48-Uzman_D!$G$14)*0.1 +
        IF(AW48-Uzman_D!$H$14&lt;0, -(AW48-Uzman_D!$H$14), AW48-Uzman_D!$H$14)*0.1 +
        IF(AX48-Uzman_D!$I$14&lt;0, -(AX48-Uzman_D!$I$14), AX48-Uzman_D!$I$14)*0.1 +
        IF(AY48-Uzman_D!$J$14&lt;0, -(AY48-Uzman_D!$J$14), AY48-Uzman_D!$J$14)*0.1
    ) +
    IF(ROUND((IF(BA48-Uzman_D!$L$14&lt;0, -(BA48-Uzman_D!$L$14), BA48-Uzman_D!$L$14)*2),0)/2 = IF(BA48-Uzman_D!$L$14&lt;0, -(BA48-Uzman_D!$L$14), BA48-Uzman_D!$L$14),
    (ROUND((IF(BA48-Uzman_D!$L$14&lt;0, -(BA48-Uzman_D!$L$14), BA48-Uzman_D!$L$14)*2),0)/1 * 0.1), 0) +
    IF(BB48-Uzman_D!$M$14&lt;0, -(BB48-Uzman_D!$M$14), BB48-Uzman_D!$M$14)*1
)</f>
        <v>-0.20000000000000018</v>
      </c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2"/>
      <c r="BO48" s="72"/>
      <c r="BP48" s="73">
        <f>1 - (
    SUM(
        IF(BD48-Uzman_D!$B$15&lt;0, -(BD48-Uzman_D!$B$15), BD48-Uzman_D!$B$15)*0.1 +
        IF(BE48-Uzman_D!$C$15&lt;0, -(BE48-Uzman_D!$C$15), BE48-Uzman_D!$C$15)*0.1 +
        IF(BF48-Uzman_D!$D$15&lt;0, -(BF48-Uzman_D!$D$15), BF48-Uzman_D!$D$15)*0.1 +
        IF(BG48-Uzman_D!$E$15&lt;0, -(BG48-Uzman_D!$E$15), BG48-Uzman_D!$E$15)*0.1 +
        IF(BH48-Uzman_D!$F$15&lt;0, -(BH48-Uzman_D!$F$15), BH48-Uzman_D!$F$15)*0.1 +
        IF(BI48-Uzman_D!$G$15&lt;0, -(BI48-Uzman_D!$G$15), BI48-Uzman_D!$G$15)*0.1 +
        IF(BJ48-Uzman_D!$H$15&lt;0, -(BJ48-Uzman_D!$H$15), BJ48-Uzman_D!$H$15)*0.1 +
        IF(BK48-Uzman_D!$I$15&lt;0, -(BK48-Uzman_D!$I$15), BK48-Uzman_D!$I$15)*0.1 +
        IF(BL48-Uzman_D!$J$15&lt;0, -(BL48-Uzman_D!$J$15), BL48-Uzman_D!$J$15)*0.1
    ) +
    IF(ROUND((IF(BN48-Uzman_D!$L$15&lt;0, -(BN48-Uzman_D!$L$15), BN48-Uzman_D!$L$15)*2),0)/2 = IF(BN48-Uzman_D!$L$15&lt;0, -(BN48-Uzman_D!$L$15), BN48-Uzman_D!$L$15),
    (ROUND((IF(BN48-Uzman_D!$L$15&lt;0, -(BN48-Uzman_D!$L$15), BN48-Uzman_D!$L$15)*2),0)/1 * 0.1), 0) +
    IF(BO48-Uzman_D!$M$15&lt;0, -(BO48-Uzman_D!$M$15), BO48-Uzman_D!$M$15)*1
)</f>
        <v>-0.60000000000000009</v>
      </c>
      <c r="BQ48" s="74">
        <f t="shared" si="0"/>
        <v>-0.32000000000000017</v>
      </c>
    </row>
    <row r="49" spans="1:69" ht="15" customHeight="1" x14ac:dyDescent="0.2">
      <c r="A49" s="57">
        <v>46</v>
      </c>
      <c r="B49" s="37">
        <f>Hakemler!B49</f>
        <v>0</v>
      </c>
      <c r="C49" s="37">
        <f>Hakemler!C49</f>
        <v>0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2"/>
      <c r="O49" s="72"/>
      <c r="P49" s="73">
        <f>1 - (
    SUM(
        IF(D49-Uzman_D!$B$11&lt;0, -(D49-Uzman_D!$B$11), D49-Uzman_D!$B$11)*0.1 +
        IF(E49-Uzman_D!$C$11&lt;0, -(E49-Uzman_D!$C$11), E49-Uzman_D!$C$11)*0.1 +
        IF(F49-Uzman_D!$D$11&lt;0, -(F49-Uzman_D!$D$11), F49-Uzman_D!$D$11)*0.1 +
        IF(G49-Uzman_D!$E$11&lt;0, -(G49-Uzman_D!$E$11), G49-Uzman_D!$E$11)*0.1 +
        IF(H49-Uzman_D!$F$11&lt;0, -(H49-Uzman_D!$F$11), H49-Uzman_D!$F$11)*0.1 +
        IF(I49-Uzman_D!$G$11&lt;0, -(I49-Uzman_D!$G$11), I49-Uzman_D!$G$11)*0.1 +
        IF(J49-Uzman_D!$H$11&lt;0, -(J49-Uzman_D!$H$11), J49-Uzman_D!$H$11)*0.1 +
        IF(K49-Uzman_D!$I$11&lt;0, -(K49-Uzman_D!$I$11), K49-Uzman_D!$I$11)*0.1 +
        IF(L49-Uzman_D!$J$11&lt;0, -(L49-Uzman_D!$J$11), L49-Uzman_D!$J$11)*0.1
    ) +
    IF(ROUND((IF(N49-Uzman_D!$L$11&lt;0, -(N49-Uzman_D!$L$11), N49-Uzman_D!$L$11)*2),0)/2 = IF(N49-Uzman_D!$L$11&lt;0, -(N49-Uzman_D!$L$11), N49-Uzman_D!$L$11),
    (ROUND((IF(N49-Uzman_D!$L$11&lt;0, -(N49-Uzman_D!$L$11), N49-Uzman_D!$L$11)*2),0)/1 * 0.1), 0) +
    IF(O49-Uzman_D!$M$11&lt;0, -(O49-Uzman_D!$M$11), O49-Uzman_D!$M$11)*1
)</f>
        <v>-0.30000000000000027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2"/>
      <c r="AB49" s="72"/>
      <c r="AC49" s="73">
        <f>1 - (
    SUM(
        IF(Q49-Uzman_D!$B$12&lt;0, -(Q49-Uzman_D!$B$12), Q49-Uzman_D!$B$12)*0.1 +
        IF(R49-Uzman_D!$C$12&lt;0, -(R49-Uzman_D!$C$12), R49-Uzman_D!$C$12)*0.1 +
        IF(S49-Uzman_D!$D$12&lt;0, -(S49-Uzman_D!$D$12), S49-Uzman_D!$D$12)*0.1 +
        IF(T49-Uzman_D!$E$12&lt;0, -(T49-Uzman_D!$E$12), T49-Uzman_D!$E$12)*0.1 +
        IF(U49-Uzman_D!$F$12&lt;0, -(U49-Uzman_D!$F$12), U49-Uzman_D!$F$12)*0.1 +
        IF(V49-Uzman_D!$G$12&lt;0, -(V49-Uzman_D!$G$12), V49-Uzman_D!$G$12)*0.1 +
        IF(W49-Uzman_D!$H$12&lt;0, -(W49-Uzman_D!$H$12), W49-Uzman_D!$H$12)*0.1 +
        IF(X49-Uzman_D!$I$12&lt;0, -(X49-Uzman_D!$I$12), X49-Uzman_D!$I$12)*0.1 +
        IF(Y49-Uzman_D!$J$12&lt;0, -(Y49-Uzman_D!$J$12), Y49-Uzman_D!$J$12)*0.1
    ) +
    IF(ROUND((IF(AA49-Uzman_D!$L$12&lt;0, -(AA49-Uzman_D!$L$12), AA49-Uzman_D!$L$12)*2),0)/2 = IF(AA49-Uzman_D!$L$12&lt;0, -(AA49-Uzman_D!$L$12), AA49-Uzman_D!$L$12),
    (ROUND((IF(AA49-Uzman_D!$L$12&lt;0, -(AA49-Uzman_D!$L$12), AA49-Uzman_D!$L$12)*2),0)/1 * 0.1), 0) +
    IF(AB49-Uzman_D!$M$12&lt;0, -(AB49-Uzman_D!$M$12), AB49-Uzman_D!$M$12)*1
)</f>
        <v>-0.20000000000000018</v>
      </c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2"/>
      <c r="AO49" s="72"/>
      <c r="AP49" s="73">
        <f>1 - (
    SUM(
        IF(AD49-Uzman_D!$B$13&lt;0, -(AD49-Uzman_D!$B$13), AD49-Uzman_D!$B$13)*0.1 +
        IF(AE49-Uzman_D!$C$13&lt;0, -(AE49-Uzman_D!$C$13), AE49-Uzman_D!$C$13)*0.1 +
        IF(AF49-Uzman_D!$D$13&lt;0, -(AF49-Uzman_D!$D$13), AF49-Uzman_D!$D$13)*0.1 +
        IF(AG49-Uzman_D!$E$13&lt;0, -(AG49-Uzman_D!$E$13), AG49-Uzman_D!$E$13)*0.1 +
        IF(AH49-Uzman_D!$F$13&lt;0, -(AH49-Uzman_D!$F$13), AH49-Uzman_D!$F$13)*0.1 +
        IF(AI49-Uzman_D!$G$13&lt;0, -(AI49-Uzman_D!$G$13), AI49-Uzman_D!$G$13)*0.1 +
        IF(AJ49-Uzman_D!$H$13&lt;0, -(AJ49-Uzman_D!$H$13), AJ49-Uzman_D!$H$13)*0.1 +
        IF(AK49-Uzman_D!$I$13&lt;0, -(AK49-Uzman_D!$I$13), AK49-Uzman_D!$I$13)*0.1 +
        IF(AL49-Uzman_D!$J$13&lt;0, -(AL49-Uzman_D!$J$13), AL49-Uzman_D!$J$13)*0.1
    ) +
    IF(ROUND((IF(AN49-Uzman_D!$L$13&lt;0, -(AN49-Uzman_D!$L$13), AN49-Uzman_D!$L$13)*2),0)/2 = IF(AN49-Uzman_D!$L$13&lt;0, -(AN49-Uzman_D!$L$13), AN49-Uzman_D!$L$13),
    (ROUND((IF(AN49-Uzman_D!$L$13&lt;0, -(AN49-Uzman_D!$L$13), AN49-Uzman_D!$L$13)*2),0)/1 * 0.1), 0) +
    IF(AO49-Uzman_D!$M$13&lt;0, -(AO49-Uzman_D!$M$13), AO49-Uzman_D!$M$13)*1
)</f>
        <v>-0.30000000000000004</v>
      </c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2"/>
      <c r="BB49" s="72"/>
      <c r="BC49" s="73">
        <f>1 - (
    SUM(
        IF(AQ49-Uzman_D!$B$14&lt;0, -(AQ49-Uzman_D!$B$14), AQ49-Uzman_D!$B$14)*0.1 +
        IF(AR49-Uzman_D!$C$14&lt;0, -(AR49-Uzman_D!$C$14), AR49-Uzman_D!$C$14)*0.1 +
        IF(AS49-Uzman_D!$D$14&lt;0, -(AS49-Uzman_D!$D$14), AS49-Uzman_D!$D$14)*0.1 +
        IF(AT49-Uzman_D!$E$14&lt;0, -(AT49-Uzman_D!$E$14), AT49-Uzman_D!$E$14)*0.1 +
        IF(AU49-Uzman_D!$F$14&lt;0, -(AU49-Uzman_D!$F$14), AU49-Uzman_D!$F$14)*0.1 +
        IF(AV49-Uzman_D!$G$14&lt;0, -(AV49-Uzman_D!$G$14), AV49-Uzman_D!$G$14)*0.1 +
        IF(AW49-Uzman_D!$H$14&lt;0, -(AW49-Uzman_D!$H$14), AW49-Uzman_D!$H$14)*0.1 +
        IF(AX49-Uzman_D!$I$14&lt;0, -(AX49-Uzman_D!$I$14), AX49-Uzman_D!$I$14)*0.1 +
        IF(AY49-Uzman_D!$J$14&lt;0, -(AY49-Uzman_D!$J$14), AY49-Uzman_D!$J$14)*0.1
    ) +
    IF(ROUND((IF(BA49-Uzman_D!$L$14&lt;0, -(BA49-Uzman_D!$L$14), BA49-Uzman_D!$L$14)*2),0)/2 = IF(BA49-Uzman_D!$L$14&lt;0, -(BA49-Uzman_D!$L$14), BA49-Uzman_D!$L$14),
    (ROUND((IF(BA49-Uzman_D!$L$14&lt;0, -(BA49-Uzman_D!$L$14), BA49-Uzman_D!$L$14)*2),0)/1 * 0.1), 0) +
    IF(BB49-Uzman_D!$M$14&lt;0, -(BB49-Uzman_D!$M$14), BB49-Uzman_D!$M$14)*1
)</f>
        <v>-0.20000000000000018</v>
      </c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2"/>
      <c r="BO49" s="72"/>
      <c r="BP49" s="73">
        <f>1 - (
    SUM(
        IF(BD49-Uzman_D!$B$15&lt;0, -(BD49-Uzman_D!$B$15), BD49-Uzman_D!$B$15)*0.1 +
        IF(BE49-Uzman_D!$C$15&lt;0, -(BE49-Uzman_D!$C$15), BE49-Uzman_D!$C$15)*0.1 +
        IF(BF49-Uzman_D!$D$15&lt;0, -(BF49-Uzman_D!$D$15), BF49-Uzman_D!$D$15)*0.1 +
        IF(BG49-Uzman_D!$E$15&lt;0, -(BG49-Uzman_D!$E$15), BG49-Uzman_D!$E$15)*0.1 +
        IF(BH49-Uzman_D!$F$15&lt;0, -(BH49-Uzman_D!$F$15), BH49-Uzman_D!$F$15)*0.1 +
        IF(BI49-Uzman_D!$G$15&lt;0, -(BI49-Uzman_D!$G$15), BI49-Uzman_D!$G$15)*0.1 +
        IF(BJ49-Uzman_D!$H$15&lt;0, -(BJ49-Uzman_D!$H$15), BJ49-Uzman_D!$H$15)*0.1 +
        IF(BK49-Uzman_D!$I$15&lt;0, -(BK49-Uzman_D!$I$15), BK49-Uzman_D!$I$15)*0.1 +
        IF(BL49-Uzman_D!$J$15&lt;0, -(BL49-Uzman_D!$J$15), BL49-Uzman_D!$J$15)*0.1
    ) +
    IF(ROUND((IF(BN49-Uzman_D!$L$15&lt;0, -(BN49-Uzman_D!$L$15), BN49-Uzman_D!$L$15)*2),0)/2 = IF(BN49-Uzman_D!$L$15&lt;0, -(BN49-Uzman_D!$L$15), BN49-Uzman_D!$L$15),
    (ROUND((IF(BN49-Uzman_D!$L$15&lt;0, -(BN49-Uzman_D!$L$15), BN49-Uzman_D!$L$15)*2),0)/1 * 0.1), 0) +
    IF(BO49-Uzman_D!$M$15&lt;0, -(BO49-Uzman_D!$M$15), BO49-Uzman_D!$M$15)*1
)</f>
        <v>-0.60000000000000009</v>
      </c>
      <c r="BQ49" s="74">
        <f t="shared" si="0"/>
        <v>-0.32000000000000017</v>
      </c>
    </row>
    <row r="50" spans="1:69" ht="15" customHeight="1" x14ac:dyDescent="0.2">
      <c r="A50" s="57">
        <v>47</v>
      </c>
      <c r="B50" s="29">
        <f>Hakemler!B50</f>
        <v>0</v>
      </c>
      <c r="C50" s="29">
        <f>Hakemler!C50</f>
        <v>0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2"/>
      <c r="O50" s="72"/>
      <c r="P50" s="73">
        <f>1 - (
    SUM(
        IF(D50-Uzman_D!$B$11&lt;0, -(D50-Uzman_D!$B$11), D50-Uzman_D!$B$11)*0.1 +
        IF(E50-Uzman_D!$C$11&lt;0, -(E50-Uzman_D!$C$11), E50-Uzman_D!$C$11)*0.1 +
        IF(F50-Uzman_D!$D$11&lt;0, -(F50-Uzman_D!$D$11), F50-Uzman_D!$D$11)*0.1 +
        IF(G50-Uzman_D!$E$11&lt;0, -(G50-Uzman_D!$E$11), G50-Uzman_D!$E$11)*0.1 +
        IF(H50-Uzman_D!$F$11&lt;0, -(H50-Uzman_D!$F$11), H50-Uzman_D!$F$11)*0.1 +
        IF(I50-Uzman_D!$G$11&lt;0, -(I50-Uzman_D!$G$11), I50-Uzman_D!$G$11)*0.1 +
        IF(J50-Uzman_D!$H$11&lt;0, -(J50-Uzman_D!$H$11), J50-Uzman_D!$H$11)*0.1 +
        IF(K50-Uzman_D!$I$11&lt;0, -(K50-Uzman_D!$I$11), K50-Uzman_D!$I$11)*0.1 +
        IF(L50-Uzman_D!$J$11&lt;0, -(L50-Uzman_D!$J$11), L50-Uzman_D!$J$11)*0.1
    ) +
    IF(ROUND((IF(N50-Uzman_D!$L$11&lt;0, -(N50-Uzman_D!$L$11), N50-Uzman_D!$L$11)*2),0)/2 = IF(N50-Uzman_D!$L$11&lt;0, -(N50-Uzman_D!$L$11), N50-Uzman_D!$L$11),
    (ROUND((IF(N50-Uzman_D!$L$11&lt;0, -(N50-Uzman_D!$L$11), N50-Uzman_D!$L$11)*2),0)/1 * 0.1), 0) +
    IF(O50-Uzman_D!$M$11&lt;0, -(O50-Uzman_D!$M$11), O50-Uzman_D!$M$11)*1
)</f>
        <v>-0.30000000000000027</v>
      </c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2"/>
      <c r="AB50" s="72"/>
      <c r="AC50" s="73">
        <f>1 - (
    SUM(
        IF(Q50-Uzman_D!$B$12&lt;0, -(Q50-Uzman_D!$B$12), Q50-Uzman_D!$B$12)*0.1 +
        IF(R50-Uzman_D!$C$12&lt;0, -(R50-Uzman_D!$C$12), R50-Uzman_D!$C$12)*0.1 +
        IF(S50-Uzman_D!$D$12&lt;0, -(S50-Uzman_D!$D$12), S50-Uzman_D!$D$12)*0.1 +
        IF(T50-Uzman_D!$E$12&lt;0, -(T50-Uzman_D!$E$12), T50-Uzman_D!$E$12)*0.1 +
        IF(U50-Uzman_D!$F$12&lt;0, -(U50-Uzman_D!$F$12), U50-Uzman_D!$F$12)*0.1 +
        IF(V50-Uzman_D!$G$12&lt;0, -(V50-Uzman_D!$G$12), V50-Uzman_D!$G$12)*0.1 +
        IF(W50-Uzman_D!$H$12&lt;0, -(W50-Uzman_D!$H$12), W50-Uzman_D!$H$12)*0.1 +
        IF(X50-Uzman_D!$I$12&lt;0, -(X50-Uzman_D!$I$12), X50-Uzman_D!$I$12)*0.1 +
        IF(Y50-Uzman_D!$J$12&lt;0, -(Y50-Uzman_D!$J$12), Y50-Uzman_D!$J$12)*0.1
    ) +
    IF(ROUND((IF(AA50-Uzman_D!$L$12&lt;0, -(AA50-Uzman_D!$L$12), AA50-Uzman_D!$L$12)*2),0)/2 = IF(AA50-Uzman_D!$L$12&lt;0, -(AA50-Uzman_D!$L$12), AA50-Uzman_D!$L$12),
    (ROUND((IF(AA50-Uzman_D!$L$12&lt;0, -(AA50-Uzman_D!$L$12), AA50-Uzman_D!$L$12)*2),0)/1 * 0.1), 0) +
    IF(AB50-Uzman_D!$M$12&lt;0, -(AB50-Uzman_D!$M$12), AB50-Uzman_D!$M$12)*1
)</f>
        <v>-0.20000000000000018</v>
      </c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2"/>
      <c r="AO50" s="72"/>
      <c r="AP50" s="73">
        <f>1 - (
    SUM(
        IF(AD50-Uzman_D!$B$13&lt;0, -(AD50-Uzman_D!$B$13), AD50-Uzman_D!$B$13)*0.1 +
        IF(AE50-Uzman_D!$C$13&lt;0, -(AE50-Uzman_D!$C$13), AE50-Uzman_D!$C$13)*0.1 +
        IF(AF50-Uzman_D!$D$13&lt;0, -(AF50-Uzman_D!$D$13), AF50-Uzman_D!$D$13)*0.1 +
        IF(AG50-Uzman_D!$E$13&lt;0, -(AG50-Uzman_D!$E$13), AG50-Uzman_D!$E$13)*0.1 +
        IF(AH50-Uzman_D!$F$13&lt;0, -(AH50-Uzman_D!$F$13), AH50-Uzman_D!$F$13)*0.1 +
        IF(AI50-Uzman_D!$G$13&lt;0, -(AI50-Uzman_D!$G$13), AI50-Uzman_D!$G$13)*0.1 +
        IF(AJ50-Uzman_D!$H$13&lt;0, -(AJ50-Uzman_D!$H$13), AJ50-Uzman_D!$H$13)*0.1 +
        IF(AK50-Uzman_D!$I$13&lt;0, -(AK50-Uzman_D!$I$13), AK50-Uzman_D!$I$13)*0.1 +
        IF(AL50-Uzman_D!$J$13&lt;0, -(AL50-Uzman_D!$J$13), AL50-Uzman_D!$J$13)*0.1
    ) +
    IF(ROUND((IF(AN50-Uzman_D!$L$13&lt;0, -(AN50-Uzman_D!$L$13), AN50-Uzman_D!$L$13)*2),0)/2 = IF(AN50-Uzman_D!$L$13&lt;0, -(AN50-Uzman_D!$L$13), AN50-Uzman_D!$L$13),
    (ROUND((IF(AN50-Uzman_D!$L$13&lt;0, -(AN50-Uzman_D!$L$13), AN50-Uzman_D!$L$13)*2),0)/1 * 0.1), 0) +
    IF(AO50-Uzman_D!$M$13&lt;0, -(AO50-Uzman_D!$M$13), AO50-Uzman_D!$M$13)*1
)</f>
        <v>-0.30000000000000004</v>
      </c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2"/>
      <c r="BB50" s="72"/>
      <c r="BC50" s="73">
        <f>1 - (
    SUM(
        IF(AQ50-Uzman_D!$B$14&lt;0, -(AQ50-Uzman_D!$B$14), AQ50-Uzman_D!$B$14)*0.1 +
        IF(AR50-Uzman_D!$C$14&lt;0, -(AR50-Uzman_D!$C$14), AR50-Uzman_D!$C$14)*0.1 +
        IF(AS50-Uzman_D!$D$14&lt;0, -(AS50-Uzman_D!$D$14), AS50-Uzman_D!$D$14)*0.1 +
        IF(AT50-Uzman_D!$E$14&lt;0, -(AT50-Uzman_D!$E$14), AT50-Uzman_D!$E$14)*0.1 +
        IF(AU50-Uzman_D!$F$14&lt;0, -(AU50-Uzman_D!$F$14), AU50-Uzman_D!$F$14)*0.1 +
        IF(AV50-Uzman_D!$G$14&lt;0, -(AV50-Uzman_D!$G$14), AV50-Uzman_D!$G$14)*0.1 +
        IF(AW50-Uzman_D!$H$14&lt;0, -(AW50-Uzman_D!$H$14), AW50-Uzman_D!$H$14)*0.1 +
        IF(AX50-Uzman_D!$I$14&lt;0, -(AX50-Uzman_D!$I$14), AX50-Uzman_D!$I$14)*0.1 +
        IF(AY50-Uzman_D!$J$14&lt;0, -(AY50-Uzman_D!$J$14), AY50-Uzman_D!$J$14)*0.1
    ) +
    IF(ROUND((IF(BA50-Uzman_D!$L$14&lt;0, -(BA50-Uzman_D!$L$14), BA50-Uzman_D!$L$14)*2),0)/2 = IF(BA50-Uzman_D!$L$14&lt;0, -(BA50-Uzman_D!$L$14), BA50-Uzman_D!$L$14),
    (ROUND((IF(BA50-Uzman_D!$L$14&lt;0, -(BA50-Uzman_D!$L$14), BA50-Uzman_D!$L$14)*2),0)/1 * 0.1), 0) +
    IF(BB50-Uzman_D!$M$14&lt;0, -(BB50-Uzman_D!$M$14), BB50-Uzman_D!$M$14)*1
)</f>
        <v>-0.20000000000000018</v>
      </c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2"/>
      <c r="BO50" s="72"/>
      <c r="BP50" s="73">
        <f>1 - (
    SUM(
        IF(BD50-Uzman_D!$B$15&lt;0, -(BD50-Uzman_D!$B$15), BD50-Uzman_D!$B$15)*0.1 +
        IF(BE50-Uzman_D!$C$15&lt;0, -(BE50-Uzman_D!$C$15), BE50-Uzman_D!$C$15)*0.1 +
        IF(BF50-Uzman_D!$D$15&lt;0, -(BF50-Uzman_D!$D$15), BF50-Uzman_D!$D$15)*0.1 +
        IF(BG50-Uzman_D!$E$15&lt;0, -(BG50-Uzman_D!$E$15), BG50-Uzman_D!$E$15)*0.1 +
        IF(BH50-Uzman_D!$F$15&lt;0, -(BH50-Uzman_D!$F$15), BH50-Uzman_D!$F$15)*0.1 +
        IF(BI50-Uzman_D!$G$15&lt;0, -(BI50-Uzman_D!$G$15), BI50-Uzman_D!$G$15)*0.1 +
        IF(BJ50-Uzman_D!$H$15&lt;0, -(BJ50-Uzman_D!$H$15), BJ50-Uzman_D!$H$15)*0.1 +
        IF(BK50-Uzman_D!$I$15&lt;0, -(BK50-Uzman_D!$I$15), BK50-Uzman_D!$I$15)*0.1 +
        IF(BL50-Uzman_D!$J$15&lt;0, -(BL50-Uzman_D!$J$15), BL50-Uzman_D!$J$15)*0.1
    ) +
    IF(ROUND((IF(BN50-Uzman_D!$L$15&lt;0, -(BN50-Uzman_D!$L$15), BN50-Uzman_D!$L$15)*2),0)/2 = IF(BN50-Uzman_D!$L$15&lt;0, -(BN50-Uzman_D!$L$15), BN50-Uzman_D!$L$15),
    (ROUND((IF(BN50-Uzman_D!$L$15&lt;0, -(BN50-Uzman_D!$L$15), BN50-Uzman_D!$L$15)*2),0)/1 * 0.1), 0) +
    IF(BO50-Uzman_D!$M$15&lt;0, -(BO50-Uzman_D!$M$15), BO50-Uzman_D!$M$15)*1
)</f>
        <v>-0.60000000000000009</v>
      </c>
      <c r="BQ50" s="74">
        <f t="shared" si="0"/>
        <v>-0.32000000000000017</v>
      </c>
    </row>
    <row r="51" spans="1:69" ht="15" customHeight="1" x14ac:dyDescent="0.2">
      <c r="A51" s="57">
        <v>48</v>
      </c>
      <c r="B51" s="37">
        <f>Hakemler!B51</f>
        <v>0</v>
      </c>
      <c r="C51" s="37">
        <f>Hakemler!C51</f>
        <v>0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2"/>
      <c r="O51" s="72"/>
      <c r="P51" s="73">
        <f>1 - (
    SUM(
        IF(D51-Uzman_D!$B$11&lt;0, -(D51-Uzman_D!$B$11), D51-Uzman_D!$B$11)*0.1 +
        IF(E51-Uzman_D!$C$11&lt;0, -(E51-Uzman_D!$C$11), E51-Uzman_D!$C$11)*0.1 +
        IF(F51-Uzman_D!$D$11&lt;0, -(F51-Uzman_D!$D$11), F51-Uzman_D!$D$11)*0.1 +
        IF(G51-Uzman_D!$E$11&lt;0, -(G51-Uzman_D!$E$11), G51-Uzman_D!$E$11)*0.1 +
        IF(H51-Uzman_D!$F$11&lt;0, -(H51-Uzman_D!$F$11), H51-Uzman_D!$F$11)*0.1 +
        IF(I51-Uzman_D!$G$11&lt;0, -(I51-Uzman_D!$G$11), I51-Uzman_D!$G$11)*0.1 +
        IF(J51-Uzman_D!$H$11&lt;0, -(J51-Uzman_D!$H$11), J51-Uzman_D!$H$11)*0.1 +
        IF(K51-Uzman_D!$I$11&lt;0, -(K51-Uzman_D!$I$11), K51-Uzman_D!$I$11)*0.1 +
        IF(L51-Uzman_D!$J$11&lt;0, -(L51-Uzman_D!$J$11), L51-Uzman_D!$J$11)*0.1
    ) +
    IF(ROUND((IF(N51-Uzman_D!$L$11&lt;0, -(N51-Uzman_D!$L$11), N51-Uzman_D!$L$11)*2),0)/2 = IF(N51-Uzman_D!$L$11&lt;0, -(N51-Uzman_D!$L$11), N51-Uzman_D!$L$11),
    (ROUND((IF(N51-Uzman_D!$L$11&lt;0, -(N51-Uzman_D!$L$11), N51-Uzman_D!$L$11)*2),0)/1 * 0.1), 0) +
    IF(O51-Uzman_D!$M$11&lt;0, -(O51-Uzman_D!$M$11), O51-Uzman_D!$M$11)*1
)</f>
        <v>-0.30000000000000027</v>
      </c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2"/>
      <c r="AB51" s="72"/>
      <c r="AC51" s="73">
        <f>1 - (
    SUM(
        IF(Q51-Uzman_D!$B$12&lt;0, -(Q51-Uzman_D!$B$12), Q51-Uzman_D!$B$12)*0.1 +
        IF(R51-Uzman_D!$C$12&lt;0, -(R51-Uzman_D!$C$12), R51-Uzman_D!$C$12)*0.1 +
        IF(S51-Uzman_D!$D$12&lt;0, -(S51-Uzman_D!$D$12), S51-Uzman_D!$D$12)*0.1 +
        IF(T51-Uzman_D!$E$12&lt;0, -(T51-Uzman_D!$E$12), T51-Uzman_D!$E$12)*0.1 +
        IF(U51-Uzman_D!$F$12&lt;0, -(U51-Uzman_D!$F$12), U51-Uzman_D!$F$12)*0.1 +
        IF(V51-Uzman_D!$G$12&lt;0, -(V51-Uzman_D!$G$12), V51-Uzman_D!$G$12)*0.1 +
        IF(W51-Uzman_D!$H$12&lt;0, -(W51-Uzman_D!$H$12), W51-Uzman_D!$H$12)*0.1 +
        IF(X51-Uzman_D!$I$12&lt;0, -(X51-Uzman_D!$I$12), X51-Uzman_D!$I$12)*0.1 +
        IF(Y51-Uzman_D!$J$12&lt;0, -(Y51-Uzman_D!$J$12), Y51-Uzman_D!$J$12)*0.1
    ) +
    IF(ROUND((IF(AA51-Uzman_D!$L$12&lt;0, -(AA51-Uzman_D!$L$12), AA51-Uzman_D!$L$12)*2),0)/2 = IF(AA51-Uzman_D!$L$12&lt;0, -(AA51-Uzman_D!$L$12), AA51-Uzman_D!$L$12),
    (ROUND((IF(AA51-Uzman_D!$L$12&lt;0, -(AA51-Uzman_D!$L$12), AA51-Uzman_D!$L$12)*2),0)/1 * 0.1), 0) +
    IF(AB51-Uzman_D!$M$12&lt;0, -(AB51-Uzman_D!$M$12), AB51-Uzman_D!$M$12)*1
)</f>
        <v>-0.20000000000000018</v>
      </c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2"/>
      <c r="AO51" s="72"/>
      <c r="AP51" s="73">
        <f>1 - (
    SUM(
        IF(AD51-Uzman_D!$B$13&lt;0, -(AD51-Uzman_D!$B$13), AD51-Uzman_D!$B$13)*0.1 +
        IF(AE51-Uzman_D!$C$13&lt;0, -(AE51-Uzman_D!$C$13), AE51-Uzman_D!$C$13)*0.1 +
        IF(AF51-Uzman_D!$D$13&lt;0, -(AF51-Uzman_D!$D$13), AF51-Uzman_D!$D$13)*0.1 +
        IF(AG51-Uzman_D!$E$13&lt;0, -(AG51-Uzman_D!$E$13), AG51-Uzman_D!$E$13)*0.1 +
        IF(AH51-Uzman_D!$F$13&lt;0, -(AH51-Uzman_D!$F$13), AH51-Uzman_D!$F$13)*0.1 +
        IF(AI51-Uzman_D!$G$13&lt;0, -(AI51-Uzman_D!$G$13), AI51-Uzman_D!$G$13)*0.1 +
        IF(AJ51-Uzman_D!$H$13&lt;0, -(AJ51-Uzman_D!$H$13), AJ51-Uzman_D!$H$13)*0.1 +
        IF(AK51-Uzman_D!$I$13&lt;0, -(AK51-Uzman_D!$I$13), AK51-Uzman_D!$I$13)*0.1 +
        IF(AL51-Uzman_D!$J$13&lt;0, -(AL51-Uzman_D!$J$13), AL51-Uzman_D!$J$13)*0.1
    ) +
    IF(ROUND((IF(AN51-Uzman_D!$L$13&lt;0, -(AN51-Uzman_D!$L$13), AN51-Uzman_D!$L$13)*2),0)/2 = IF(AN51-Uzman_D!$L$13&lt;0, -(AN51-Uzman_D!$L$13), AN51-Uzman_D!$L$13),
    (ROUND((IF(AN51-Uzman_D!$L$13&lt;0, -(AN51-Uzman_D!$L$13), AN51-Uzman_D!$L$13)*2),0)/1 * 0.1), 0) +
    IF(AO51-Uzman_D!$M$13&lt;0, -(AO51-Uzman_D!$M$13), AO51-Uzman_D!$M$13)*1
)</f>
        <v>-0.30000000000000004</v>
      </c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2"/>
      <c r="BB51" s="72"/>
      <c r="BC51" s="73">
        <f>1 - (
    SUM(
        IF(AQ51-Uzman_D!$B$14&lt;0, -(AQ51-Uzman_D!$B$14), AQ51-Uzman_D!$B$14)*0.1 +
        IF(AR51-Uzman_D!$C$14&lt;0, -(AR51-Uzman_D!$C$14), AR51-Uzman_D!$C$14)*0.1 +
        IF(AS51-Uzman_D!$D$14&lt;0, -(AS51-Uzman_D!$D$14), AS51-Uzman_D!$D$14)*0.1 +
        IF(AT51-Uzman_D!$E$14&lt;0, -(AT51-Uzman_D!$E$14), AT51-Uzman_D!$E$14)*0.1 +
        IF(AU51-Uzman_D!$F$14&lt;0, -(AU51-Uzman_D!$F$14), AU51-Uzman_D!$F$14)*0.1 +
        IF(AV51-Uzman_D!$G$14&lt;0, -(AV51-Uzman_D!$G$14), AV51-Uzman_D!$G$14)*0.1 +
        IF(AW51-Uzman_D!$H$14&lt;0, -(AW51-Uzman_D!$H$14), AW51-Uzman_D!$H$14)*0.1 +
        IF(AX51-Uzman_D!$I$14&lt;0, -(AX51-Uzman_D!$I$14), AX51-Uzman_D!$I$14)*0.1 +
        IF(AY51-Uzman_D!$J$14&lt;0, -(AY51-Uzman_D!$J$14), AY51-Uzman_D!$J$14)*0.1
    ) +
    IF(ROUND((IF(BA51-Uzman_D!$L$14&lt;0, -(BA51-Uzman_D!$L$14), BA51-Uzman_D!$L$14)*2),0)/2 = IF(BA51-Uzman_D!$L$14&lt;0, -(BA51-Uzman_D!$L$14), BA51-Uzman_D!$L$14),
    (ROUND((IF(BA51-Uzman_D!$L$14&lt;0, -(BA51-Uzman_D!$L$14), BA51-Uzman_D!$L$14)*2),0)/1 * 0.1), 0) +
    IF(BB51-Uzman_D!$M$14&lt;0, -(BB51-Uzman_D!$M$14), BB51-Uzman_D!$M$14)*1
)</f>
        <v>-0.20000000000000018</v>
      </c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2"/>
      <c r="BO51" s="72"/>
      <c r="BP51" s="73">
        <f>1 - (
    SUM(
        IF(BD51-Uzman_D!$B$15&lt;0, -(BD51-Uzman_D!$B$15), BD51-Uzman_D!$B$15)*0.1 +
        IF(BE51-Uzman_D!$C$15&lt;0, -(BE51-Uzman_D!$C$15), BE51-Uzman_D!$C$15)*0.1 +
        IF(BF51-Uzman_D!$D$15&lt;0, -(BF51-Uzman_D!$D$15), BF51-Uzman_D!$D$15)*0.1 +
        IF(BG51-Uzman_D!$E$15&lt;0, -(BG51-Uzman_D!$E$15), BG51-Uzman_D!$E$15)*0.1 +
        IF(BH51-Uzman_D!$F$15&lt;0, -(BH51-Uzman_D!$F$15), BH51-Uzman_D!$F$15)*0.1 +
        IF(BI51-Uzman_D!$G$15&lt;0, -(BI51-Uzman_D!$G$15), BI51-Uzman_D!$G$15)*0.1 +
        IF(BJ51-Uzman_D!$H$15&lt;0, -(BJ51-Uzman_D!$H$15), BJ51-Uzman_D!$H$15)*0.1 +
        IF(BK51-Uzman_D!$I$15&lt;0, -(BK51-Uzman_D!$I$15), BK51-Uzman_D!$I$15)*0.1 +
        IF(BL51-Uzman_D!$J$15&lt;0, -(BL51-Uzman_D!$J$15), BL51-Uzman_D!$J$15)*0.1
    ) +
    IF(ROUND((IF(BN51-Uzman_D!$L$15&lt;0, -(BN51-Uzman_D!$L$15), BN51-Uzman_D!$L$15)*2),0)/2 = IF(BN51-Uzman_D!$L$15&lt;0, -(BN51-Uzman_D!$L$15), BN51-Uzman_D!$L$15),
    (ROUND((IF(BN51-Uzman_D!$L$15&lt;0, -(BN51-Uzman_D!$L$15), BN51-Uzman_D!$L$15)*2),0)/1 * 0.1), 0) +
    IF(BO51-Uzman_D!$M$15&lt;0, -(BO51-Uzman_D!$M$15), BO51-Uzman_D!$M$15)*1
)</f>
        <v>-0.60000000000000009</v>
      </c>
      <c r="BQ51" s="74">
        <f t="shared" si="0"/>
        <v>-0.32000000000000017</v>
      </c>
    </row>
    <row r="52" spans="1:69" ht="15" customHeight="1" x14ac:dyDescent="0.2">
      <c r="A52" s="57">
        <v>49</v>
      </c>
      <c r="B52" s="29">
        <f>Hakemler!B52</f>
        <v>0</v>
      </c>
      <c r="C52" s="29">
        <f>Hakemler!C52</f>
        <v>0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2"/>
      <c r="O52" s="72"/>
      <c r="P52" s="73">
        <f>1 - (
    SUM(
        IF(D52-Uzman_D!$B$11&lt;0, -(D52-Uzman_D!$B$11), D52-Uzman_D!$B$11)*0.1 +
        IF(E52-Uzman_D!$C$11&lt;0, -(E52-Uzman_D!$C$11), E52-Uzman_D!$C$11)*0.1 +
        IF(F52-Uzman_D!$D$11&lt;0, -(F52-Uzman_D!$D$11), F52-Uzman_D!$D$11)*0.1 +
        IF(G52-Uzman_D!$E$11&lt;0, -(G52-Uzman_D!$E$11), G52-Uzman_D!$E$11)*0.1 +
        IF(H52-Uzman_D!$F$11&lt;0, -(H52-Uzman_D!$F$11), H52-Uzman_D!$F$11)*0.1 +
        IF(I52-Uzman_D!$G$11&lt;0, -(I52-Uzman_D!$G$11), I52-Uzman_D!$G$11)*0.1 +
        IF(J52-Uzman_D!$H$11&lt;0, -(J52-Uzman_D!$H$11), J52-Uzman_D!$H$11)*0.1 +
        IF(K52-Uzman_D!$I$11&lt;0, -(K52-Uzman_D!$I$11), K52-Uzman_D!$I$11)*0.1 +
        IF(L52-Uzman_D!$J$11&lt;0, -(L52-Uzman_D!$J$11), L52-Uzman_D!$J$11)*0.1
    ) +
    IF(ROUND((IF(N52-Uzman_D!$L$11&lt;0, -(N52-Uzman_D!$L$11), N52-Uzman_D!$L$11)*2),0)/2 = IF(N52-Uzman_D!$L$11&lt;0, -(N52-Uzman_D!$L$11), N52-Uzman_D!$L$11),
    (ROUND((IF(N52-Uzman_D!$L$11&lt;0, -(N52-Uzman_D!$L$11), N52-Uzman_D!$L$11)*2),0)/1 * 0.1), 0) +
    IF(O52-Uzman_D!$M$11&lt;0, -(O52-Uzman_D!$M$11), O52-Uzman_D!$M$11)*1
)</f>
        <v>-0.30000000000000027</v>
      </c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2"/>
      <c r="AB52" s="72"/>
      <c r="AC52" s="73">
        <f>1 - (
    SUM(
        IF(Q52-Uzman_D!$B$12&lt;0, -(Q52-Uzman_D!$B$12), Q52-Uzman_D!$B$12)*0.1 +
        IF(R52-Uzman_D!$C$12&lt;0, -(R52-Uzman_D!$C$12), R52-Uzman_D!$C$12)*0.1 +
        IF(S52-Uzman_D!$D$12&lt;0, -(S52-Uzman_D!$D$12), S52-Uzman_D!$D$12)*0.1 +
        IF(T52-Uzman_D!$E$12&lt;0, -(T52-Uzman_D!$E$12), T52-Uzman_D!$E$12)*0.1 +
        IF(U52-Uzman_D!$F$12&lt;0, -(U52-Uzman_D!$F$12), U52-Uzman_D!$F$12)*0.1 +
        IF(V52-Uzman_D!$G$12&lt;0, -(V52-Uzman_D!$G$12), V52-Uzman_D!$G$12)*0.1 +
        IF(W52-Uzman_D!$H$12&lt;0, -(W52-Uzman_D!$H$12), W52-Uzman_D!$H$12)*0.1 +
        IF(X52-Uzman_D!$I$12&lt;0, -(X52-Uzman_D!$I$12), X52-Uzman_D!$I$12)*0.1 +
        IF(Y52-Uzman_D!$J$12&lt;0, -(Y52-Uzman_D!$J$12), Y52-Uzman_D!$J$12)*0.1
    ) +
    IF(ROUND((IF(AA52-Uzman_D!$L$12&lt;0, -(AA52-Uzman_D!$L$12), AA52-Uzman_D!$L$12)*2),0)/2 = IF(AA52-Uzman_D!$L$12&lt;0, -(AA52-Uzman_D!$L$12), AA52-Uzman_D!$L$12),
    (ROUND((IF(AA52-Uzman_D!$L$12&lt;0, -(AA52-Uzman_D!$L$12), AA52-Uzman_D!$L$12)*2),0)/1 * 0.1), 0) +
    IF(AB52-Uzman_D!$M$12&lt;0, -(AB52-Uzman_D!$M$12), AB52-Uzman_D!$M$12)*1
)</f>
        <v>-0.20000000000000018</v>
      </c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2"/>
      <c r="AO52" s="72"/>
      <c r="AP52" s="73">
        <f>1 - (
    SUM(
        IF(AD52-Uzman_D!$B$13&lt;0, -(AD52-Uzman_D!$B$13), AD52-Uzman_D!$B$13)*0.1 +
        IF(AE52-Uzman_D!$C$13&lt;0, -(AE52-Uzman_D!$C$13), AE52-Uzman_D!$C$13)*0.1 +
        IF(AF52-Uzman_D!$D$13&lt;0, -(AF52-Uzman_D!$D$13), AF52-Uzman_D!$D$13)*0.1 +
        IF(AG52-Uzman_D!$E$13&lt;0, -(AG52-Uzman_D!$E$13), AG52-Uzman_D!$E$13)*0.1 +
        IF(AH52-Uzman_D!$F$13&lt;0, -(AH52-Uzman_D!$F$13), AH52-Uzman_D!$F$13)*0.1 +
        IF(AI52-Uzman_D!$G$13&lt;0, -(AI52-Uzman_D!$G$13), AI52-Uzman_D!$G$13)*0.1 +
        IF(AJ52-Uzman_D!$H$13&lt;0, -(AJ52-Uzman_D!$H$13), AJ52-Uzman_D!$H$13)*0.1 +
        IF(AK52-Uzman_D!$I$13&lt;0, -(AK52-Uzman_D!$I$13), AK52-Uzman_D!$I$13)*0.1 +
        IF(AL52-Uzman_D!$J$13&lt;0, -(AL52-Uzman_D!$J$13), AL52-Uzman_D!$J$13)*0.1
    ) +
    IF(ROUND((IF(AN52-Uzman_D!$L$13&lt;0, -(AN52-Uzman_D!$L$13), AN52-Uzman_D!$L$13)*2),0)/2 = IF(AN52-Uzman_D!$L$13&lt;0, -(AN52-Uzman_D!$L$13), AN52-Uzman_D!$L$13),
    (ROUND((IF(AN52-Uzman_D!$L$13&lt;0, -(AN52-Uzman_D!$L$13), AN52-Uzman_D!$L$13)*2),0)/1 * 0.1), 0) +
    IF(AO52-Uzman_D!$M$13&lt;0, -(AO52-Uzman_D!$M$13), AO52-Uzman_D!$M$13)*1
)</f>
        <v>-0.30000000000000004</v>
      </c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2"/>
      <c r="BB52" s="72"/>
      <c r="BC52" s="73">
        <f>1 - (
    SUM(
        IF(AQ52-Uzman_D!$B$14&lt;0, -(AQ52-Uzman_D!$B$14), AQ52-Uzman_D!$B$14)*0.1 +
        IF(AR52-Uzman_D!$C$14&lt;0, -(AR52-Uzman_D!$C$14), AR52-Uzman_D!$C$14)*0.1 +
        IF(AS52-Uzman_D!$D$14&lt;0, -(AS52-Uzman_D!$D$14), AS52-Uzman_D!$D$14)*0.1 +
        IF(AT52-Uzman_D!$E$14&lt;0, -(AT52-Uzman_D!$E$14), AT52-Uzman_D!$E$14)*0.1 +
        IF(AU52-Uzman_D!$F$14&lt;0, -(AU52-Uzman_D!$F$14), AU52-Uzman_D!$F$14)*0.1 +
        IF(AV52-Uzman_D!$G$14&lt;0, -(AV52-Uzman_D!$G$14), AV52-Uzman_D!$G$14)*0.1 +
        IF(AW52-Uzman_D!$H$14&lt;0, -(AW52-Uzman_D!$H$14), AW52-Uzman_D!$H$14)*0.1 +
        IF(AX52-Uzman_D!$I$14&lt;0, -(AX52-Uzman_D!$I$14), AX52-Uzman_D!$I$14)*0.1 +
        IF(AY52-Uzman_D!$J$14&lt;0, -(AY52-Uzman_D!$J$14), AY52-Uzman_D!$J$14)*0.1
    ) +
    IF(ROUND((IF(BA52-Uzman_D!$L$14&lt;0, -(BA52-Uzman_D!$L$14), BA52-Uzman_D!$L$14)*2),0)/2 = IF(BA52-Uzman_D!$L$14&lt;0, -(BA52-Uzman_D!$L$14), BA52-Uzman_D!$L$14),
    (ROUND((IF(BA52-Uzman_D!$L$14&lt;0, -(BA52-Uzman_D!$L$14), BA52-Uzman_D!$L$14)*2),0)/1 * 0.1), 0) +
    IF(BB52-Uzman_D!$M$14&lt;0, -(BB52-Uzman_D!$M$14), BB52-Uzman_D!$M$14)*1
)</f>
        <v>-0.20000000000000018</v>
      </c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2"/>
      <c r="BO52" s="72"/>
      <c r="BP52" s="73">
        <f>1 - (
    SUM(
        IF(BD52-Uzman_D!$B$15&lt;0, -(BD52-Uzman_D!$B$15), BD52-Uzman_D!$B$15)*0.1 +
        IF(BE52-Uzman_D!$C$15&lt;0, -(BE52-Uzman_D!$C$15), BE52-Uzman_D!$C$15)*0.1 +
        IF(BF52-Uzman_D!$D$15&lt;0, -(BF52-Uzman_D!$D$15), BF52-Uzman_D!$D$15)*0.1 +
        IF(BG52-Uzman_D!$E$15&lt;0, -(BG52-Uzman_D!$E$15), BG52-Uzman_D!$E$15)*0.1 +
        IF(BH52-Uzman_D!$F$15&lt;0, -(BH52-Uzman_D!$F$15), BH52-Uzman_D!$F$15)*0.1 +
        IF(BI52-Uzman_D!$G$15&lt;0, -(BI52-Uzman_D!$G$15), BI52-Uzman_D!$G$15)*0.1 +
        IF(BJ52-Uzman_D!$H$15&lt;0, -(BJ52-Uzman_D!$H$15), BJ52-Uzman_D!$H$15)*0.1 +
        IF(BK52-Uzman_D!$I$15&lt;0, -(BK52-Uzman_D!$I$15), BK52-Uzman_D!$I$15)*0.1 +
        IF(BL52-Uzman_D!$J$15&lt;0, -(BL52-Uzman_D!$J$15), BL52-Uzman_D!$J$15)*0.1
    ) +
    IF(ROUND((IF(BN52-Uzman_D!$L$15&lt;0, -(BN52-Uzman_D!$L$15), BN52-Uzman_D!$L$15)*2),0)/2 = IF(BN52-Uzman_D!$L$15&lt;0, -(BN52-Uzman_D!$L$15), BN52-Uzman_D!$L$15),
    (ROUND((IF(BN52-Uzman_D!$L$15&lt;0, -(BN52-Uzman_D!$L$15), BN52-Uzman_D!$L$15)*2),0)/1 * 0.1), 0) +
    IF(BO52-Uzman_D!$M$15&lt;0, -(BO52-Uzman_D!$M$15), BO52-Uzman_D!$M$15)*1
)</f>
        <v>-0.60000000000000009</v>
      </c>
      <c r="BQ52" s="74">
        <f t="shared" si="0"/>
        <v>-0.32000000000000017</v>
      </c>
    </row>
    <row r="53" spans="1:69" ht="15" customHeight="1" x14ac:dyDescent="0.2">
      <c r="A53" s="57">
        <v>50</v>
      </c>
      <c r="B53" s="29">
        <f>Hakemler!B53</f>
        <v>0</v>
      </c>
      <c r="C53" s="29">
        <f>Hakemler!C53</f>
        <v>0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2"/>
      <c r="O53" s="72"/>
      <c r="P53" s="73">
        <f>1 - (
    SUM(
        IF(D53-Uzman_D!$B$11&lt;0, -(D53-Uzman_D!$B$11), D53-Uzman_D!$B$11)*0.1 +
        IF(E53-Uzman_D!$C$11&lt;0, -(E53-Uzman_D!$C$11), E53-Uzman_D!$C$11)*0.1 +
        IF(F53-Uzman_D!$D$11&lt;0, -(F53-Uzman_D!$D$11), F53-Uzman_D!$D$11)*0.1 +
        IF(G53-Uzman_D!$E$11&lt;0, -(G53-Uzman_D!$E$11), G53-Uzman_D!$E$11)*0.1 +
        IF(H53-Uzman_D!$F$11&lt;0, -(H53-Uzman_D!$F$11), H53-Uzman_D!$F$11)*0.1 +
        IF(I53-Uzman_D!$G$11&lt;0, -(I53-Uzman_D!$G$11), I53-Uzman_D!$G$11)*0.1 +
        IF(J53-Uzman_D!$H$11&lt;0, -(J53-Uzman_D!$H$11), J53-Uzman_D!$H$11)*0.1 +
        IF(K53-Uzman_D!$I$11&lt;0, -(K53-Uzman_D!$I$11), K53-Uzman_D!$I$11)*0.1 +
        IF(L53-Uzman_D!$J$11&lt;0, -(L53-Uzman_D!$J$11), L53-Uzman_D!$J$11)*0.1
    ) +
    IF(ROUND((IF(N53-Uzman_D!$L$11&lt;0, -(N53-Uzman_D!$L$11), N53-Uzman_D!$L$11)*2),0)/2 = IF(N53-Uzman_D!$L$11&lt;0, -(N53-Uzman_D!$L$11), N53-Uzman_D!$L$11),
    (ROUND((IF(N53-Uzman_D!$L$11&lt;0, -(N53-Uzman_D!$L$11), N53-Uzman_D!$L$11)*2),0)/1 * 0.1), 0) +
    IF(O53-Uzman_D!$M$11&lt;0, -(O53-Uzman_D!$M$11), O53-Uzman_D!$M$11)*1
)</f>
        <v>-0.30000000000000027</v>
      </c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2"/>
      <c r="AB53" s="72"/>
      <c r="AC53" s="73">
        <f>1 - (
    SUM(
        IF(Q53-Uzman_D!$B$12&lt;0, -(Q53-Uzman_D!$B$12), Q53-Uzman_D!$B$12)*0.1 +
        IF(R53-Uzman_D!$C$12&lt;0, -(R53-Uzman_D!$C$12), R53-Uzman_D!$C$12)*0.1 +
        IF(S53-Uzman_D!$D$12&lt;0, -(S53-Uzman_D!$D$12), S53-Uzman_D!$D$12)*0.1 +
        IF(T53-Uzman_D!$E$12&lt;0, -(T53-Uzman_D!$E$12), T53-Uzman_D!$E$12)*0.1 +
        IF(U53-Uzman_D!$F$12&lt;0, -(U53-Uzman_D!$F$12), U53-Uzman_D!$F$12)*0.1 +
        IF(V53-Uzman_D!$G$12&lt;0, -(V53-Uzman_D!$G$12), V53-Uzman_D!$G$12)*0.1 +
        IF(W53-Uzman_D!$H$12&lt;0, -(W53-Uzman_D!$H$12), W53-Uzman_D!$H$12)*0.1 +
        IF(X53-Uzman_D!$I$12&lt;0, -(X53-Uzman_D!$I$12), X53-Uzman_D!$I$12)*0.1 +
        IF(Y53-Uzman_D!$J$12&lt;0, -(Y53-Uzman_D!$J$12), Y53-Uzman_D!$J$12)*0.1
    ) +
    IF(ROUND((IF(AA53-Uzman_D!$L$12&lt;0, -(AA53-Uzman_D!$L$12), AA53-Uzman_D!$L$12)*2),0)/2 = IF(AA53-Uzman_D!$L$12&lt;0, -(AA53-Uzman_D!$L$12), AA53-Uzman_D!$L$12),
    (ROUND((IF(AA53-Uzman_D!$L$12&lt;0, -(AA53-Uzman_D!$L$12), AA53-Uzman_D!$L$12)*2),0)/1 * 0.1), 0) +
    IF(AB53-Uzman_D!$M$12&lt;0, -(AB53-Uzman_D!$M$12), AB53-Uzman_D!$M$12)*1
)</f>
        <v>-0.20000000000000018</v>
      </c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2"/>
      <c r="AO53" s="72"/>
      <c r="AP53" s="73">
        <f>1 - (
    SUM(
        IF(AD53-Uzman_D!$B$13&lt;0, -(AD53-Uzman_D!$B$13), AD53-Uzman_D!$B$13)*0.1 +
        IF(AE53-Uzman_D!$C$13&lt;0, -(AE53-Uzman_D!$C$13), AE53-Uzman_D!$C$13)*0.1 +
        IF(AF53-Uzman_D!$D$13&lt;0, -(AF53-Uzman_D!$D$13), AF53-Uzman_D!$D$13)*0.1 +
        IF(AG53-Uzman_D!$E$13&lt;0, -(AG53-Uzman_D!$E$13), AG53-Uzman_D!$E$13)*0.1 +
        IF(AH53-Uzman_D!$F$13&lt;0, -(AH53-Uzman_D!$F$13), AH53-Uzman_D!$F$13)*0.1 +
        IF(AI53-Uzman_D!$G$13&lt;0, -(AI53-Uzman_D!$G$13), AI53-Uzman_D!$G$13)*0.1 +
        IF(AJ53-Uzman_D!$H$13&lt;0, -(AJ53-Uzman_D!$H$13), AJ53-Uzman_D!$H$13)*0.1 +
        IF(AK53-Uzman_D!$I$13&lt;0, -(AK53-Uzman_D!$I$13), AK53-Uzman_D!$I$13)*0.1 +
        IF(AL53-Uzman_D!$J$13&lt;0, -(AL53-Uzman_D!$J$13), AL53-Uzman_D!$J$13)*0.1
    ) +
    IF(ROUND((IF(AN53-Uzman_D!$L$13&lt;0, -(AN53-Uzman_D!$L$13), AN53-Uzman_D!$L$13)*2),0)/2 = IF(AN53-Uzman_D!$L$13&lt;0, -(AN53-Uzman_D!$L$13), AN53-Uzman_D!$L$13),
    (ROUND((IF(AN53-Uzman_D!$L$13&lt;0, -(AN53-Uzman_D!$L$13), AN53-Uzman_D!$L$13)*2),0)/1 * 0.1), 0) +
    IF(AO53-Uzman_D!$M$13&lt;0, -(AO53-Uzman_D!$M$13), AO53-Uzman_D!$M$13)*1
)</f>
        <v>-0.30000000000000004</v>
      </c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2"/>
      <c r="BB53" s="72"/>
      <c r="BC53" s="73">
        <f>1 - (
    SUM(
        IF(AQ53-Uzman_D!$B$14&lt;0, -(AQ53-Uzman_D!$B$14), AQ53-Uzman_D!$B$14)*0.1 +
        IF(AR53-Uzman_D!$C$14&lt;0, -(AR53-Uzman_D!$C$14), AR53-Uzman_D!$C$14)*0.1 +
        IF(AS53-Uzman_D!$D$14&lt;0, -(AS53-Uzman_D!$D$14), AS53-Uzman_D!$D$14)*0.1 +
        IF(AT53-Uzman_D!$E$14&lt;0, -(AT53-Uzman_D!$E$14), AT53-Uzman_D!$E$14)*0.1 +
        IF(AU53-Uzman_D!$F$14&lt;0, -(AU53-Uzman_D!$F$14), AU53-Uzman_D!$F$14)*0.1 +
        IF(AV53-Uzman_D!$G$14&lt;0, -(AV53-Uzman_D!$G$14), AV53-Uzman_D!$G$14)*0.1 +
        IF(AW53-Uzman_D!$H$14&lt;0, -(AW53-Uzman_D!$H$14), AW53-Uzman_D!$H$14)*0.1 +
        IF(AX53-Uzman_D!$I$14&lt;0, -(AX53-Uzman_D!$I$14), AX53-Uzman_D!$I$14)*0.1 +
        IF(AY53-Uzman_D!$J$14&lt;0, -(AY53-Uzman_D!$J$14), AY53-Uzman_D!$J$14)*0.1
    ) +
    IF(ROUND((IF(BA53-Uzman_D!$L$14&lt;0, -(BA53-Uzman_D!$L$14), BA53-Uzman_D!$L$14)*2),0)/2 = IF(BA53-Uzman_D!$L$14&lt;0, -(BA53-Uzman_D!$L$14), BA53-Uzman_D!$L$14),
    (ROUND((IF(BA53-Uzman_D!$L$14&lt;0, -(BA53-Uzman_D!$L$14), BA53-Uzman_D!$L$14)*2),0)/1 * 0.1), 0) +
    IF(BB53-Uzman_D!$M$14&lt;0, -(BB53-Uzman_D!$M$14), BB53-Uzman_D!$M$14)*1
)</f>
        <v>-0.20000000000000018</v>
      </c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2"/>
      <c r="BO53" s="72"/>
      <c r="BP53" s="73">
        <f>1 - (
    SUM(
        IF(BD53-Uzman_D!$B$15&lt;0, -(BD53-Uzman_D!$B$15), BD53-Uzman_D!$B$15)*0.1 +
        IF(BE53-Uzman_D!$C$15&lt;0, -(BE53-Uzman_D!$C$15), BE53-Uzman_D!$C$15)*0.1 +
        IF(BF53-Uzman_D!$D$15&lt;0, -(BF53-Uzman_D!$D$15), BF53-Uzman_D!$D$15)*0.1 +
        IF(BG53-Uzman_D!$E$15&lt;0, -(BG53-Uzman_D!$E$15), BG53-Uzman_D!$E$15)*0.1 +
        IF(BH53-Uzman_D!$F$15&lt;0, -(BH53-Uzman_D!$F$15), BH53-Uzman_D!$F$15)*0.1 +
        IF(BI53-Uzman_D!$G$15&lt;0, -(BI53-Uzman_D!$G$15), BI53-Uzman_D!$G$15)*0.1 +
        IF(BJ53-Uzman_D!$H$15&lt;0, -(BJ53-Uzman_D!$H$15), BJ53-Uzman_D!$H$15)*0.1 +
        IF(BK53-Uzman_D!$I$15&lt;0, -(BK53-Uzman_D!$I$15), BK53-Uzman_D!$I$15)*0.1 +
        IF(BL53-Uzman_D!$J$15&lt;0, -(BL53-Uzman_D!$J$15), BL53-Uzman_D!$J$15)*0.1
    ) +
    IF(ROUND((IF(BN53-Uzman_D!$L$15&lt;0, -(BN53-Uzman_D!$L$15), BN53-Uzman_D!$L$15)*2),0)/2 = IF(BN53-Uzman_D!$L$15&lt;0, -(BN53-Uzman_D!$L$15), BN53-Uzman_D!$L$15),
    (ROUND((IF(BN53-Uzman_D!$L$15&lt;0, -(BN53-Uzman_D!$L$15), BN53-Uzman_D!$L$15)*2),0)/1 * 0.1), 0) +
    IF(BO53-Uzman_D!$M$15&lt;0, -(BO53-Uzman_D!$M$15), BO53-Uzman_D!$M$15)*1
)</f>
        <v>-0.60000000000000009</v>
      </c>
      <c r="BQ53" s="74">
        <f t="shared" si="0"/>
        <v>-0.32000000000000017</v>
      </c>
    </row>
    <row r="54" spans="1:69" ht="15" customHeight="1" x14ac:dyDescent="0.2">
      <c r="A54" s="57">
        <v>51</v>
      </c>
      <c r="B54" s="37">
        <f>Hakemler!B54</f>
        <v>0</v>
      </c>
      <c r="C54" s="37">
        <f>Hakemler!C54</f>
        <v>0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2"/>
      <c r="O54" s="72"/>
      <c r="P54" s="73">
        <f>1 - (
    SUM(
        IF(D54-Uzman_D!$B$11&lt;0, -(D54-Uzman_D!$B$11), D54-Uzman_D!$B$11)*0.1 +
        IF(E54-Uzman_D!$C$11&lt;0, -(E54-Uzman_D!$C$11), E54-Uzman_D!$C$11)*0.1 +
        IF(F54-Uzman_D!$D$11&lt;0, -(F54-Uzman_D!$D$11), F54-Uzman_D!$D$11)*0.1 +
        IF(G54-Uzman_D!$E$11&lt;0, -(G54-Uzman_D!$E$11), G54-Uzman_D!$E$11)*0.1 +
        IF(H54-Uzman_D!$F$11&lt;0, -(H54-Uzman_D!$F$11), H54-Uzman_D!$F$11)*0.1 +
        IF(I54-Uzman_D!$G$11&lt;0, -(I54-Uzman_D!$G$11), I54-Uzman_D!$G$11)*0.1 +
        IF(J54-Uzman_D!$H$11&lt;0, -(J54-Uzman_D!$H$11), J54-Uzman_D!$H$11)*0.1 +
        IF(K54-Uzman_D!$I$11&lt;0, -(K54-Uzman_D!$I$11), K54-Uzman_D!$I$11)*0.1 +
        IF(L54-Uzman_D!$J$11&lt;0, -(L54-Uzman_D!$J$11), L54-Uzman_D!$J$11)*0.1
    ) +
    IF(ROUND((IF(N54-Uzman_D!$L$11&lt;0, -(N54-Uzman_D!$L$11), N54-Uzman_D!$L$11)*2),0)/2 = IF(N54-Uzman_D!$L$11&lt;0, -(N54-Uzman_D!$L$11), N54-Uzman_D!$L$11),
    (ROUND((IF(N54-Uzman_D!$L$11&lt;0, -(N54-Uzman_D!$L$11), N54-Uzman_D!$L$11)*2),0)/1 * 0.1), 0) +
    IF(O54-Uzman_D!$M$11&lt;0, -(O54-Uzman_D!$M$11), O54-Uzman_D!$M$11)*1
)</f>
        <v>-0.30000000000000027</v>
      </c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2"/>
      <c r="AB54" s="72"/>
      <c r="AC54" s="73">
        <f>1 - (
    SUM(
        IF(Q54-Uzman_D!$B$12&lt;0, -(Q54-Uzman_D!$B$12), Q54-Uzman_D!$B$12)*0.1 +
        IF(R54-Uzman_D!$C$12&lt;0, -(R54-Uzman_D!$C$12), R54-Uzman_D!$C$12)*0.1 +
        IF(S54-Uzman_D!$D$12&lt;0, -(S54-Uzman_D!$D$12), S54-Uzman_D!$D$12)*0.1 +
        IF(T54-Uzman_D!$E$12&lt;0, -(T54-Uzman_D!$E$12), T54-Uzman_D!$E$12)*0.1 +
        IF(U54-Uzman_D!$F$12&lt;0, -(U54-Uzman_D!$F$12), U54-Uzman_D!$F$12)*0.1 +
        IF(V54-Uzman_D!$G$12&lt;0, -(V54-Uzman_D!$G$12), V54-Uzman_D!$G$12)*0.1 +
        IF(W54-Uzman_D!$H$12&lt;0, -(W54-Uzman_D!$H$12), W54-Uzman_D!$H$12)*0.1 +
        IF(X54-Uzman_D!$I$12&lt;0, -(X54-Uzman_D!$I$12), X54-Uzman_D!$I$12)*0.1 +
        IF(Y54-Uzman_D!$J$12&lt;0, -(Y54-Uzman_D!$J$12), Y54-Uzman_D!$J$12)*0.1
    ) +
    IF(ROUND((IF(AA54-Uzman_D!$L$12&lt;0, -(AA54-Uzman_D!$L$12), AA54-Uzman_D!$L$12)*2),0)/2 = IF(AA54-Uzman_D!$L$12&lt;0, -(AA54-Uzman_D!$L$12), AA54-Uzman_D!$L$12),
    (ROUND((IF(AA54-Uzman_D!$L$12&lt;0, -(AA54-Uzman_D!$L$12), AA54-Uzman_D!$L$12)*2),0)/1 * 0.1), 0) +
    IF(AB54-Uzman_D!$M$12&lt;0, -(AB54-Uzman_D!$M$12), AB54-Uzman_D!$M$12)*1
)</f>
        <v>-0.20000000000000018</v>
      </c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2"/>
      <c r="AO54" s="72"/>
      <c r="AP54" s="73">
        <f>1 - (
    SUM(
        IF(AD54-Uzman_D!$B$13&lt;0, -(AD54-Uzman_D!$B$13), AD54-Uzman_D!$B$13)*0.1 +
        IF(AE54-Uzman_D!$C$13&lt;0, -(AE54-Uzman_D!$C$13), AE54-Uzman_D!$C$13)*0.1 +
        IF(AF54-Uzman_D!$D$13&lt;0, -(AF54-Uzman_D!$D$13), AF54-Uzman_D!$D$13)*0.1 +
        IF(AG54-Uzman_D!$E$13&lt;0, -(AG54-Uzman_D!$E$13), AG54-Uzman_D!$E$13)*0.1 +
        IF(AH54-Uzman_D!$F$13&lt;0, -(AH54-Uzman_D!$F$13), AH54-Uzman_D!$F$13)*0.1 +
        IF(AI54-Uzman_D!$G$13&lt;0, -(AI54-Uzman_D!$G$13), AI54-Uzman_D!$G$13)*0.1 +
        IF(AJ54-Uzman_D!$H$13&lt;0, -(AJ54-Uzman_D!$H$13), AJ54-Uzman_D!$H$13)*0.1 +
        IF(AK54-Uzman_D!$I$13&lt;0, -(AK54-Uzman_D!$I$13), AK54-Uzman_D!$I$13)*0.1 +
        IF(AL54-Uzman_D!$J$13&lt;0, -(AL54-Uzman_D!$J$13), AL54-Uzman_D!$J$13)*0.1
    ) +
    IF(ROUND((IF(AN54-Uzman_D!$L$13&lt;0, -(AN54-Uzman_D!$L$13), AN54-Uzman_D!$L$13)*2),0)/2 = IF(AN54-Uzman_D!$L$13&lt;0, -(AN54-Uzman_D!$L$13), AN54-Uzman_D!$L$13),
    (ROUND((IF(AN54-Uzman_D!$L$13&lt;0, -(AN54-Uzman_D!$L$13), AN54-Uzman_D!$L$13)*2),0)/1 * 0.1), 0) +
    IF(AO54-Uzman_D!$M$13&lt;0, -(AO54-Uzman_D!$M$13), AO54-Uzman_D!$M$13)*1
)</f>
        <v>-0.30000000000000004</v>
      </c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2"/>
      <c r="BB54" s="72"/>
      <c r="BC54" s="73">
        <f>1 - (
    SUM(
        IF(AQ54-Uzman_D!$B$14&lt;0, -(AQ54-Uzman_D!$B$14), AQ54-Uzman_D!$B$14)*0.1 +
        IF(AR54-Uzman_D!$C$14&lt;0, -(AR54-Uzman_D!$C$14), AR54-Uzman_D!$C$14)*0.1 +
        IF(AS54-Uzman_D!$D$14&lt;0, -(AS54-Uzman_D!$D$14), AS54-Uzman_D!$D$14)*0.1 +
        IF(AT54-Uzman_D!$E$14&lt;0, -(AT54-Uzman_D!$E$14), AT54-Uzman_D!$E$14)*0.1 +
        IF(AU54-Uzman_D!$F$14&lt;0, -(AU54-Uzman_D!$F$14), AU54-Uzman_D!$F$14)*0.1 +
        IF(AV54-Uzman_D!$G$14&lt;0, -(AV54-Uzman_D!$G$14), AV54-Uzman_D!$G$14)*0.1 +
        IF(AW54-Uzman_D!$H$14&lt;0, -(AW54-Uzman_D!$H$14), AW54-Uzman_D!$H$14)*0.1 +
        IF(AX54-Uzman_D!$I$14&lt;0, -(AX54-Uzman_D!$I$14), AX54-Uzman_D!$I$14)*0.1 +
        IF(AY54-Uzman_D!$J$14&lt;0, -(AY54-Uzman_D!$J$14), AY54-Uzman_D!$J$14)*0.1
    ) +
    IF(ROUND((IF(BA54-Uzman_D!$L$14&lt;0, -(BA54-Uzman_D!$L$14), BA54-Uzman_D!$L$14)*2),0)/2 = IF(BA54-Uzman_D!$L$14&lt;0, -(BA54-Uzman_D!$L$14), BA54-Uzman_D!$L$14),
    (ROUND((IF(BA54-Uzman_D!$L$14&lt;0, -(BA54-Uzman_D!$L$14), BA54-Uzman_D!$L$14)*2),0)/1 * 0.1), 0) +
    IF(BB54-Uzman_D!$M$14&lt;0, -(BB54-Uzman_D!$M$14), BB54-Uzman_D!$M$14)*1
)</f>
        <v>-0.20000000000000018</v>
      </c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2"/>
      <c r="BO54" s="72"/>
      <c r="BP54" s="73">
        <f>1 - (
    SUM(
        IF(BD54-Uzman_D!$B$15&lt;0, -(BD54-Uzman_D!$B$15), BD54-Uzman_D!$B$15)*0.1 +
        IF(BE54-Uzman_D!$C$15&lt;0, -(BE54-Uzman_D!$C$15), BE54-Uzman_D!$C$15)*0.1 +
        IF(BF54-Uzman_D!$D$15&lt;0, -(BF54-Uzman_D!$D$15), BF54-Uzman_D!$D$15)*0.1 +
        IF(BG54-Uzman_D!$E$15&lt;0, -(BG54-Uzman_D!$E$15), BG54-Uzman_D!$E$15)*0.1 +
        IF(BH54-Uzman_D!$F$15&lt;0, -(BH54-Uzman_D!$F$15), BH54-Uzman_D!$F$15)*0.1 +
        IF(BI54-Uzman_D!$G$15&lt;0, -(BI54-Uzman_D!$G$15), BI54-Uzman_D!$G$15)*0.1 +
        IF(BJ54-Uzman_D!$H$15&lt;0, -(BJ54-Uzman_D!$H$15), BJ54-Uzman_D!$H$15)*0.1 +
        IF(BK54-Uzman_D!$I$15&lt;0, -(BK54-Uzman_D!$I$15), BK54-Uzman_D!$I$15)*0.1 +
        IF(BL54-Uzman_D!$J$15&lt;0, -(BL54-Uzman_D!$J$15), BL54-Uzman_D!$J$15)*0.1
    ) +
    IF(ROUND((IF(BN54-Uzman_D!$L$15&lt;0, -(BN54-Uzman_D!$L$15), BN54-Uzman_D!$L$15)*2),0)/2 = IF(BN54-Uzman_D!$L$15&lt;0, -(BN54-Uzman_D!$L$15), BN54-Uzman_D!$L$15),
    (ROUND((IF(BN54-Uzman_D!$L$15&lt;0, -(BN54-Uzman_D!$L$15), BN54-Uzman_D!$L$15)*2),0)/1 * 0.1), 0) +
    IF(BO54-Uzman_D!$M$15&lt;0, -(BO54-Uzman_D!$M$15), BO54-Uzman_D!$M$15)*1
)</f>
        <v>-0.60000000000000009</v>
      </c>
      <c r="BQ54" s="74">
        <f t="shared" si="0"/>
        <v>-0.32000000000000017</v>
      </c>
    </row>
    <row r="55" spans="1:69" ht="15" customHeight="1" x14ac:dyDescent="0.2">
      <c r="A55" s="57">
        <v>52</v>
      </c>
      <c r="B55" s="37">
        <f>Hakemler!B55</f>
        <v>0</v>
      </c>
      <c r="C55" s="37">
        <f>Hakemler!C55</f>
        <v>0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2"/>
      <c r="O55" s="72"/>
      <c r="P55" s="73">
        <f>1 - (
    SUM(
        IF(D55-Uzman_D!$B$11&lt;0, -(D55-Uzman_D!$B$11), D55-Uzman_D!$B$11)*0.1 +
        IF(E55-Uzman_D!$C$11&lt;0, -(E55-Uzman_D!$C$11), E55-Uzman_D!$C$11)*0.1 +
        IF(F55-Uzman_D!$D$11&lt;0, -(F55-Uzman_D!$D$11), F55-Uzman_D!$D$11)*0.1 +
        IF(G55-Uzman_D!$E$11&lt;0, -(G55-Uzman_D!$E$11), G55-Uzman_D!$E$11)*0.1 +
        IF(H55-Uzman_D!$F$11&lt;0, -(H55-Uzman_D!$F$11), H55-Uzman_D!$F$11)*0.1 +
        IF(I55-Uzman_D!$G$11&lt;0, -(I55-Uzman_D!$G$11), I55-Uzman_D!$G$11)*0.1 +
        IF(J55-Uzman_D!$H$11&lt;0, -(J55-Uzman_D!$H$11), J55-Uzman_D!$H$11)*0.1 +
        IF(K55-Uzman_D!$I$11&lt;0, -(K55-Uzman_D!$I$11), K55-Uzman_D!$I$11)*0.1 +
        IF(L55-Uzman_D!$J$11&lt;0, -(L55-Uzman_D!$J$11), L55-Uzman_D!$J$11)*0.1
    ) +
    IF(ROUND((IF(N55-Uzman_D!$L$11&lt;0, -(N55-Uzman_D!$L$11), N55-Uzman_D!$L$11)*2),0)/2 = IF(N55-Uzman_D!$L$11&lt;0, -(N55-Uzman_D!$L$11), N55-Uzman_D!$L$11),
    (ROUND((IF(N55-Uzman_D!$L$11&lt;0, -(N55-Uzman_D!$L$11), N55-Uzman_D!$L$11)*2),0)/1 * 0.1), 0) +
    IF(O55-Uzman_D!$M$11&lt;0, -(O55-Uzman_D!$M$11), O55-Uzman_D!$M$11)*1
)</f>
        <v>-0.30000000000000027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2"/>
      <c r="AB55" s="72"/>
      <c r="AC55" s="73">
        <f>1 - (
    SUM(
        IF(Q55-Uzman_D!$B$12&lt;0, -(Q55-Uzman_D!$B$12), Q55-Uzman_D!$B$12)*0.1 +
        IF(R55-Uzman_D!$C$12&lt;0, -(R55-Uzman_D!$C$12), R55-Uzman_D!$C$12)*0.1 +
        IF(S55-Uzman_D!$D$12&lt;0, -(S55-Uzman_D!$D$12), S55-Uzman_D!$D$12)*0.1 +
        IF(T55-Uzman_D!$E$12&lt;0, -(T55-Uzman_D!$E$12), T55-Uzman_D!$E$12)*0.1 +
        IF(U55-Uzman_D!$F$12&lt;0, -(U55-Uzman_D!$F$12), U55-Uzman_D!$F$12)*0.1 +
        IF(V55-Uzman_D!$G$12&lt;0, -(V55-Uzman_D!$G$12), V55-Uzman_D!$G$12)*0.1 +
        IF(W55-Uzman_D!$H$12&lt;0, -(W55-Uzman_D!$H$12), W55-Uzman_D!$H$12)*0.1 +
        IF(X55-Uzman_D!$I$12&lt;0, -(X55-Uzman_D!$I$12), X55-Uzman_D!$I$12)*0.1 +
        IF(Y55-Uzman_D!$J$12&lt;0, -(Y55-Uzman_D!$J$12), Y55-Uzman_D!$J$12)*0.1
    ) +
    IF(ROUND((IF(AA55-Uzman_D!$L$12&lt;0, -(AA55-Uzman_D!$L$12), AA55-Uzman_D!$L$12)*2),0)/2 = IF(AA55-Uzman_D!$L$12&lt;0, -(AA55-Uzman_D!$L$12), AA55-Uzman_D!$L$12),
    (ROUND((IF(AA55-Uzman_D!$L$12&lt;0, -(AA55-Uzman_D!$L$12), AA55-Uzman_D!$L$12)*2),0)/1 * 0.1), 0) +
    IF(AB55-Uzman_D!$M$12&lt;0, -(AB55-Uzman_D!$M$12), AB55-Uzman_D!$M$12)*1
)</f>
        <v>-0.20000000000000018</v>
      </c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2"/>
      <c r="AO55" s="72"/>
      <c r="AP55" s="73">
        <f>1 - (
    SUM(
        IF(AD55-Uzman_D!$B$13&lt;0, -(AD55-Uzman_D!$B$13), AD55-Uzman_D!$B$13)*0.1 +
        IF(AE55-Uzman_D!$C$13&lt;0, -(AE55-Uzman_D!$C$13), AE55-Uzman_D!$C$13)*0.1 +
        IF(AF55-Uzman_D!$D$13&lt;0, -(AF55-Uzman_D!$D$13), AF55-Uzman_D!$D$13)*0.1 +
        IF(AG55-Uzman_D!$E$13&lt;0, -(AG55-Uzman_D!$E$13), AG55-Uzman_D!$E$13)*0.1 +
        IF(AH55-Uzman_D!$F$13&lt;0, -(AH55-Uzman_D!$F$13), AH55-Uzman_D!$F$13)*0.1 +
        IF(AI55-Uzman_D!$G$13&lt;0, -(AI55-Uzman_D!$G$13), AI55-Uzman_D!$G$13)*0.1 +
        IF(AJ55-Uzman_D!$H$13&lt;0, -(AJ55-Uzman_D!$H$13), AJ55-Uzman_D!$H$13)*0.1 +
        IF(AK55-Uzman_D!$I$13&lt;0, -(AK55-Uzman_D!$I$13), AK55-Uzman_D!$I$13)*0.1 +
        IF(AL55-Uzman_D!$J$13&lt;0, -(AL55-Uzman_D!$J$13), AL55-Uzman_D!$J$13)*0.1
    ) +
    IF(ROUND((IF(AN55-Uzman_D!$L$13&lt;0, -(AN55-Uzman_D!$L$13), AN55-Uzman_D!$L$13)*2),0)/2 = IF(AN55-Uzman_D!$L$13&lt;0, -(AN55-Uzman_D!$L$13), AN55-Uzman_D!$L$13),
    (ROUND((IF(AN55-Uzman_D!$L$13&lt;0, -(AN55-Uzman_D!$L$13), AN55-Uzman_D!$L$13)*2),0)/1 * 0.1), 0) +
    IF(AO55-Uzman_D!$M$13&lt;0, -(AO55-Uzman_D!$M$13), AO55-Uzman_D!$M$13)*1
)</f>
        <v>-0.30000000000000004</v>
      </c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2"/>
      <c r="BB55" s="72"/>
      <c r="BC55" s="73">
        <f>1 - (
    SUM(
        IF(AQ55-Uzman_D!$B$14&lt;0, -(AQ55-Uzman_D!$B$14), AQ55-Uzman_D!$B$14)*0.1 +
        IF(AR55-Uzman_D!$C$14&lt;0, -(AR55-Uzman_D!$C$14), AR55-Uzman_D!$C$14)*0.1 +
        IF(AS55-Uzman_D!$D$14&lt;0, -(AS55-Uzman_D!$D$14), AS55-Uzman_D!$D$14)*0.1 +
        IF(AT55-Uzman_D!$E$14&lt;0, -(AT55-Uzman_D!$E$14), AT55-Uzman_D!$E$14)*0.1 +
        IF(AU55-Uzman_D!$F$14&lt;0, -(AU55-Uzman_D!$F$14), AU55-Uzman_D!$F$14)*0.1 +
        IF(AV55-Uzman_D!$G$14&lt;0, -(AV55-Uzman_D!$G$14), AV55-Uzman_D!$G$14)*0.1 +
        IF(AW55-Uzman_D!$H$14&lt;0, -(AW55-Uzman_D!$H$14), AW55-Uzman_D!$H$14)*0.1 +
        IF(AX55-Uzman_D!$I$14&lt;0, -(AX55-Uzman_D!$I$14), AX55-Uzman_D!$I$14)*0.1 +
        IF(AY55-Uzman_D!$J$14&lt;0, -(AY55-Uzman_D!$J$14), AY55-Uzman_D!$J$14)*0.1
    ) +
    IF(ROUND((IF(BA55-Uzman_D!$L$14&lt;0, -(BA55-Uzman_D!$L$14), BA55-Uzman_D!$L$14)*2),0)/2 = IF(BA55-Uzman_D!$L$14&lt;0, -(BA55-Uzman_D!$L$14), BA55-Uzman_D!$L$14),
    (ROUND((IF(BA55-Uzman_D!$L$14&lt;0, -(BA55-Uzman_D!$L$14), BA55-Uzman_D!$L$14)*2),0)/1 * 0.1), 0) +
    IF(BB55-Uzman_D!$M$14&lt;0, -(BB55-Uzman_D!$M$14), BB55-Uzman_D!$M$14)*1
)</f>
        <v>-0.20000000000000018</v>
      </c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2"/>
      <c r="BO55" s="72"/>
      <c r="BP55" s="73">
        <f>1 - (
    SUM(
        IF(BD55-Uzman_D!$B$15&lt;0, -(BD55-Uzman_D!$B$15), BD55-Uzman_D!$B$15)*0.1 +
        IF(BE55-Uzman_D!$C$15&lt;0, -(BE55-Uzman_D!$C$15), BE55-Uzman_D!$C$15)*0.1 +
        IF(BF55-Uzman_D!$D$15&lt;0, -(BF55-Uzman_D!$D$15), BF55-Uzman_D!$D$15)*0.1 +
        IF(BG55-Uzman_D!$E$15&lt;0, -(BG55-Uzman_D!$E$15), BG55-Uzman_D!$E$15)*0.1 +
        IF(BH55-Uzman_D!$F$15&lt;0, -(BH55-Uzman_D!$F$15), BH55-Uzman_D!$F$15)*0.1 +
        IF(BI55-Uzman_D!$G$15&lt;0, -(BI55-Uzman_D!$G$15), BI55-Uzman_D!$G$15)*0.1 +
        IF(BJ55-Uzman_D!$H$15&lt;0, -(BJ55-Uzman_D!$H$15), BJ55-Uzman_D!$H$15)*0.1 +
        IF(BK55-Uzman_D!$I$15&lt;0, -(BK55-Uzman_D!$I$15), BK55-Uzman_D!$I$15)*0.1 +
        IF(BL55-Uzman_D!$J$15&lt;0, -(BL55-Uzman_D!$J$15), BL55-Uzman_D!$J$15)*0.1
    ) +
    IF(ROUND((IF(BN55-Uzman_D!$L$15&lt;0, -(BN55-Uzman_D!$L$15), BN55-Uzman_D!$L$15)*2),0)/2 = IF(BN55-Uzman_D!$L$15&lt;0, -(BN55-Uzman_D!$L$15), BN55-Uzman_D!$L$15),
    (ROUND((IF(BN55-Uzman_D!$L$15&lt;0, -(BN55-Uzman_D!$L$15), BN55-Uzman_D!$L$15)*2),0)/1 * 0.1), 0) +
    IF(BO55-Uzman_D!$M$15&lt;0, -(BO55-Uzman_D!$M$15), BO55-Uzman_D!$M$15)*1
)</f>
        <v>-0.60000000000000009</v>
      </c>
      <c r="BQ55" s="74">
        <f t="shared" si="0"/>
        <v>-0.32000000000000017</v>
      </c>
    </row>
    <row r="56" spans="1:69" ht="15" customHeight="1" x14ac:dyDescent="0.2">
      <c r="A56" s="57">
        <v>53</v>
      </c>
      <c r="B56" s="37">
        <f>Hakemler!B56</f>
        <v>0</v>
      </c>
      <c r="C56" s="29">
        <f>Hakemler!C56</f>
        <v>0</v>
      </c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2"/>
      <c r="O56" s="72"/>
      <c r="P56" s="73">
        <f>1 - (
    SUM(
        IF(D56-Uzman_D!$B$11&lt;0, -(D56-Uzman_D!$B$11), D56-Uzman_D!$B$11)*0.1 +
        IF(E56-Uzman_D!$C$11&lt;0, -(E56-Uzman_D!$C$11), E56-Uzman_D!$C$11)*0.1 +
        IF(F56-Uzman_D!$D$11&lt;0, -(F56-Uzman_D!$D$11), F56-Uzman_D!$D$11)*0.1 +
        IF(G56-Uzman_D!$E$11&lt;0, -(G56-Uzman_D!$E$11), G56-Uzman_D!$E$11)*0.1 +
        IF(H56-Uzman_D!$F$11&lt;0, -(H56-Uzman_D!$F$11), H56-Uzman_D!$F$11)*0.1 +
        IF(I56-Uzman_D!$G$11&lt;0, -(I56-Uzman_D!$G$11), I56-Uzman_D!$G$11)*0.1 +
        IF(J56-Uzman_D!$H$11&lt;0, -(J56-Uzman_D!$H$11), J56-Uzman_D!$H$11)*0.1 +
        IF(K56-Uzman_D!$I$11&lt;0, -(K56-Uzman_D!$I$11), K56-Uzman_D!$I$11)*0.1 +
        IF(L56-Uzman_D!$J$11&lt;0, -(L56-Uzman_D!$J$11), L56-Uzman_D!$J$11)*0.1
    ) +
    IF(ROUND((IF(N56-Uzman_D!$L$11&lt;0, -(N56-Uzman_D!$L$11), N56-Uzman_D!$L$11)*2),0)/2 = IF(N56-Uzman_D!$L$11&lt;0, -(N56-Uzman_D!$L$11), N56-Uzman_D!$L$11),
    (ROUND((IF(N56-Uzman_D!$L$11&lt;0, -(N56-Uzman_D!$L$11), N56-Uzman_D!$L$11)*2),0)/1 * 0.1), 0) +
    IF(O56-Uzman_D!$M$11&lt;0, -(O56-Uzman_D!$M$11), O56-Uzman_D!$M$11)*1
)</f>
        <v>-0.30000000000000027</v>
      </c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2"/>
      <c r="AB56" s="72"/>
      <c r="AC56" s="73">
        <f>1 - (
    SUM(
        IF(Q56-Uzman_D!$B$12&lt;0, -(Q56-Uzman_D!$B$12), Q56-Uzman_D!$B$12)*0.1 +
        IF(R56-Uzman_D!$C$12&lt;0, -(R56-Uzman_D!$C$12), R56-Uzman_D!$C$12)*0.1 +
        IF(S56-Uzman_D!$D$12&lt;0, -(S56-Uzman_D!$D$12), S56-Uzman_D!$D$12)*0.1 +
        IF(T56-Uzman_D!$E$12&lt;0, -(T56-Uzman_D!$E$12), T56-Uzman_D!$E$12)*0.1 +
        IF(U56-Uzman_D!$F$12&lt;0, -(U56-Uzman_D!$F$12), U56-Uzman_D!$F$12)*0.1 +
        IF(V56-Uzman_D!$G$12&lt;0, -(V56-Uzman_D!$G$12), V56-Uzman_D!$G$12)*0.1 +
        IF(W56-Uzman_D!$H$12&lt;0, -(W56-Uzman_D!$H$12), W56-Uzman_D!$H$12)*0.1 +
        IF(X56-Uzman_D!$I$12&lt;0, -(X56-Uzman_D!$I$12), X56-Uzman_D!$I$12)*0.1 +
        IF(Y56-Uzman_D!$J$12&lt;0, -(Y56-Uzman_D!$J$12), Y56-Uzman_D!$J$12)*0.1
    ) +
    IF(ROUND((IF(AA56-Uzman_D!$L$12&lt;0, -(AA56-Uzman_D!$L$12), AA56-Uzman_D!$L$12)*2),0)/2 = IF(AA56-Uzman_D!$L$12&lt;0, -(AA56-Uzman_D!$L$12), AA56-Uzman_D!$L$12),
    (ROUND((IF(AA56-Uzman_D!$L$12&lt;0, -(AA56-Uzman_D!$L$12), AA56-Uzman_D!$L$12)*2),0)/1 * 0.1), 0) +
    IF(AB56-Uzman_D!$M$12&lt;0, -(AB56-Uzman_D!$M$12), AB56-Uzman_D!$M$12)*1
)</f>
        <v>-0.20000000000000018</v>
      </c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2"/>
      <c r="AO56" s="72"/>
      <c r="AP56" s="73">
        <f>1 - (
    SUM(
        IF(AD56-Uzman_D!$B$13&lt;0, -(AD56-Uzman_D!$B$13), AD56-Uzman_D!$B$13)*0.1 +
        IF(AE56-Uzman_D!$C$13&lt;0, -(AE56-Uzman_D!$C$13), AE56-Uzman_D!$C$13)*0.1 +
        IF(AF56-Uzman_D!$D$13&lt;0, -(AF56-Uzman_D!$D$13), AF56-Uzman_D!$D$13)*0.1 +
        IF(AG56-Uzman_D!$E$13&lt;0, -(AG56-Uzman_D!$E$13), AG56-Uzman_D!$E$13)*0.1 +
        IF(AH56-Uzman_D!$F$13&lt;0, -(AH56-Uzman_D!$F$13), AH56-Uzman_D!$F$13)*0.1 +
        IF(AI56-Uzman_D!$G$13&lt;0, -(AI56-Uzman_D!$G$13), AI56-Uzman_D!$G$13)*0.1 +
        IF(AJ56-Uzman_D!$H$13&lt;0, -(AJ56-Uzman_D!$H$13), AJ56-Uzman_D!$H$13)*0.1 +
        IF(AK56-Uzman_D!$I$13&lt;0, -(AK56-Uzman_D!$I$13), AK56-Uzman_D!$I$13)*0.1 +
        IF(AL56-Uzman_D!$J$13&lt;0, -(AL56-Uzman_D!$J$13), AL56-Uzman_D!$J$13)*0.1
    ) +
    IF(ROUND((IF(AN56-Uzman_D!$L$13&lt;0, -(AN56-Uzman_D!$L$13), AN56-Uzman_D!$L$13)*2),0)/2 = IF(AN56-Uzman_D!$L$13&lt;0, -(AN56-Uzman_D!$L$13), AN56-Uzman_D!$L$13),
    (ROUND((IF(AN56-Uzman_D!$L$13&lt;0, -(AN56-Uzman_D!$L$13), AN56-Uzman_D!$L$13)*2),0)/1 * 0.1), 0) +
    IF(AO56-Uzman_D!$M$13&lt;0, -(AO56-Uzman_D!$M$13), AO56-Uzman_D!$M$13)*1
)</f>
        <v>-0.30000000000000004</v>
      </c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2"/>
      <c r="BB56" s="72"/>
      <c r="BC56" s="73">
        <f>1 - (
    SUM(
        IF(AQ56-Uzman_D!$B$14&lt;0, -(AQ56-Uzman_D!$B$14), AQ56-Uzman_D!$B$14)*0.1 +
        IF(AR56-Uzman_D!$C$14&lt;0, -(AR56-Uzman_D!$C$14), AR56-Uzman_D!$C$14)*0.1 +
        IF(AS56-Uzman_D!$D$14&lt;0, -(AS56-Uzman_D!$D$14), AS56-Uzman_D!$D$14)*0.1 +
        IF(AT56-Uzman_D!$E$14&lt;0, -(AT56-Uzman_D!$E$14), AT56-Uzman_D!$E$14)*0.1 +
        IF(AU56-Uzman_D!$F$14&lt;0, -(AU56-Uzman_D!$F$14), AU56-Uzman_D!$F$14)*0.1 +
        IF(AV56-Uzman_D!$G$14&lt;0, -(AV56-Uzman_D!$G$14), AV56-Uzman_D!$G$14)*0.1 +
        IF(AW56-Uzman_D!$H$14&lt;0, -(AW56-Uzman_D!$H$14), AW56-Uzman_D!$H$14)*0.1 +
        IF(AX56-Uzman_D!$I$14&lt;0, -(AX56-Uzman_D!$I$14), AX56-Uzman_D!$I$14)*0.1 +
        IF(AY56-Uzman_D!$J$14&lt;0, -(AY56-Uzman_D!$J$14), AY56-Uzman_D!$J$14)*0.1
    ) +
    IF(ROUND((IF(BA56-Uzman_D!$L$14&lt;0, -(BA56-Uzman_D!$L$14), BA56-Uzman_D!$L$14)*2),0)/2 = IF(BA56-Uzman_D!$L$14&lt;0, -(BA56-Uzman_D!$L$14), BA56-Uzman_D!$L$14),
    (ROUND((IF(BA56-Uzman_D!$L$14&lt;0, -(BA56-Uzman_D!$L$14), BA56-Uzman_D!$L$14)*2),0)/1 * 0.1), 0) +
    IF(BB56-Uzman_D!$M$14&lt;0, -(BB56-Uzman_D!$M$14), BB56-Uzman_D!$M$14)*1
)</f>
        <v>-0.20000000000000018</v>
      </c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2"/>
      <c r="BO56" s="72"/>
      <c r="BP56" s="73">
        <f>1 - (
    SUM(
        IF(BD56-Uzman_D!$B$15&lt;0, -(BD56-Uzman_D!$B$15), BD56-Uzman_D!$B$15)*0.1 +
        IF(BE56-Uzman_D!$C$15&lt;0, -(BE56-Uzman_D!$C$15), BE56-Uzman_D!$C$15)*0.1 +
        IF(BF56-Uzman_D!$D$15&lt;0, -(BF56-Uzman_D!$D$15), BF56-Uzman_D!$D$15)*0.1 +
        IF(BG56-Uzman_D!$E$15&lt;0, -(BG56-Uzman_D!$E$15), BG56-Uzman_D!$E$15)*0.1 +
        IF(BH56-Uzman_D!$F$15&lt;0, -(BH56-Uzman_D!$F$15), BH56-Uzman_D!$F$15)*0.1 +
        IF(BI56-Uzman_D!$G$15&lt;0, -(BI56-Uzman_D!$G$15), BI56-Uzman_D!$G$15)*0.1 +
        IF(BJ56-Uzman_D!$H$15&lt;0, -(BJ56-Uzman_D!$H$15), BJ56-Uzman_D!$H$15)*0.1 +
        IF(BK56-Uzman_D!$I$15&lt;0, -(BK56-Uzman_D!$I$15), BK56-Uzman_D!$I$15)*0.1 +
        IF(BL56-Uzman_D!$J$15&lt;0, -(BL56-Uzman_D!$J$15), BL56-Uzman_D!$J$15)*0.1
    ) +
    IF(ROUND((IF(BN56-Uzman_D!$L$15&lt;0, -(BN56-Uzman_D!$L$15), BN56-Uzman_D!$L$15)*2),0)/2 = IF(BN56-Uzman_D!$L$15&lt;0, -(BN56-Uzman_D!$L$15), BN56-Uzman_D!$L$15),
    (ROUND((IF(BN56-Uzman_D!$L$15&lt;0, -(BN56-Uzman_D!$L$15), BN56-Uzman_D!$L$15)*2),0)/1 * 0.1), 0) +
    IF(BO56-Uzman_D!$M$15&lt;0, -(BO56-Uzman_D!$M$15), BO56-Uzman_D!$M$15)*1
)</f>
        <v>-0.60000000000000009</v>
      </c>
      <c r="BQ56" s="74">
        <f t="shared" si="0"/>
        <v>-0.32000000000000017</v>
      </c>
    </row>
    <row r="57" spans="1:69" ht="15" customHeight="1" x14ac:dyDescent="0.2">
      <c r="A57" s="57">
        <v>54</v>
      </c>
      <c r="B57" s="29">
        <f>Hakemler!B57</f>
        <v>0</v>
      </c>
      <c r="C57" s="29">
        <f>Hakemler!C57</f>
        <v>0</v>
      </c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2"/>
      <c r="O57" s="72"/>
      <c r="P57" s="73">
        <f>1 - (
    SUM(
        IF(D57-Uzman_D!$B$11&lt;0, -(D57-Uzman_D!$B$11), D57-Uzman_D!$B$11)*0.1 +
        IF(E57-Uzman_D!$C$11&lt;0, -(E57-Uzman_D!$C$11), E57-Uzman_D!$C$11)*0.1 +
        IF(F57-Uzman_D!$D$11&lt;0, -(F57-Uzman_D!$D$11), F57-Uzman_D!$D$11)*0.1 +
        IF(G57-Uzman_D!$E$11&lt;0, -(G57-Uzman_D!$E$11), G57-Uzman_D!$E$11)*0.1 +
        IF(H57-Uzman_D!$F$11&lt;0, -(H57-Uzman_D!$F$11), H57-Uzman_D!$F$11)*0.1 +
        IF(I57-Uzman_D!$G$11&lt;0, -(I57-Uzman_D!$G$11), I57-Uzman_D!$G$11)*0.1 +
        IF(J57-Uzman_D!$H$11&lt;0, -(J57-Uzman_D!$H$11), J57-Uzman_D!$H$11)*0.1 +
        IF(K57-Uzman_D!$I$11&lt;0, -(K57-Uzman_D!$I$11), K57-Uzman_D!$I$11)*0.1 +
        IF(L57-Uzman_D!$J$11&lt;0, -(L57-Uzman_D!$J$11), L57-Uzman_D!$J$11)*0.1
    ) +
    IF(ROUND((IF(N57-Uzman_D!$L$11&lt;0, -(N57-Uzman_D!$L$11), N57-Uzman_D!$L$11)*2),0)/2 = IF(N57-Uzman_D!$L$11&lt;0, -(N57-Uzman_D!$L$11), N57-Uzman_D!$L$11),
    (ROUND((IF(N57-Uzman_D!$L$11&lt;0, -(N57-Uzman_D!$L$11), N57-Uzman_D!$L$11)*2),0)/1 * 0.1), 0) +
    IF(O57-Uzman_D!$M$11&lt;0, -(O57-Uzman_D!$M$11), O57-Uzman_D!$M$11)*1
)</f>
        <v>-0.30000000000000027</v>
      </c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2"/>
      <c r="AB57" s="72"/>
      <c r="AC57" s="73">
        <f>1 - (
    SUM(
        IF(Q57-Uzman_D!$B$12&lt;0, -(Q57-Uzman_D!$B$12), Q57-Uzman_D!$B$12)*0.1 +
        IF(R57-Uzman_D!$C$12&lt;0, -(R57-Uzman_D!$C$12), R57-Uzman_D!$C$12)*0.1 +
        IF(S57-Uzman_D!$D$12&lt;0, -(S57-Uzman_D!$D$12), S57-Uzman_D!$D$12)*0.1 +
        IF(T57-Uzman_D!$E$12&lt;0, -(T57-Uzman_D!$E$12), T57-Uzman_D!$E$12)*0.1 +
        IF(U57-Uzman_D!$F$12&lt;0, -(U57-Uzman_D!$F$12), U57-Uzman_D!$F$12)*0.1 +
        IF(V57-Uzman_D!$G$12&lt;0, -(V57-Uzman_D!$G$12), V57-Uzman_D!$G$12)*0.1 +
        IF(W57-Uzman_D!$H$12&lt;0, -(W57-Uzman_D!$H$12), W57-Uzman_D!$H$12)*0.1 +
        IF(X57-Uzman_D!$I$12&lt;0, -(X57-Uzman_D!$I$12), X57-Uzman_D!$I$12)*0.1 +
        IF(Y57-Uzman_D!$J$12&lt;0, -(Y57-Uzman_D!$J$12), Y57-Uzman_D!$J$12)*0.1
    ) +
    IF(ROUND((IF(AA57-Uzman_D!$L$12&lt;0, -(AA57-Uzman_D!$L$12), AA57-Uzman_D!$L$12)*2),0)/2 = IF(AA57-Uzman_D!$L$12&lt;0, -(AA57-Uzman_D!$L$12), AA57-Uzman_D!$L$12),
    (ROUND((IF(AA57-Uzman_D!$L$12&lt;0, -(AA57-Uzman_D!$L$12), AA57-Uzman_D!$L$12)*2),0)/1 * 0.1), 0) +
    IF(AB57-Uzman_D!$M$12&lt;0, -(AB57-Uzman_D!$M$12), AB57-Uzman_D!$M$12)*1
)</f>
        <v>-0.20000000000000018</v>
      </c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2"/>
      <c r="AO57" s="72"/>
      <c r="AP57" s="73">
        <f>1 - (
    SUM(
        IF(AD57-Uzman_D!$B$13&lt;0, -(AD57-Uzman_D!$B$13), AD57-Uzman_D!$B$13)*0.1 +
        IF(AE57-Uzman_D!$C$13&lt;0, -(AE57-Uzman_D!$C$13), AE57-Uzman_D!$C$13)*0.1 +
        IF(AF57-Uzman_D!$D$13&lt;0, -(AF57-Uzman_D!$D$13), AF57-Uzman_D!$D$13)*0.1 +
        IF(AG57-Uzman_D!$E$13&lt;0, -(AG57-Uzman_D!$E$13), AG57-Uzman_D!$E$13)*0.1 +
        IF(AH57-Uzman_D!$F$13&lt;0, -(AH57-Uzman_D!$F$13), AH57-Uzman_D!$F$13)*0.1 +
        IF(AI57-Uzman_D!$G$13&lt;0, -(AI57-Uzman_D!$G$13), AI57-Uzman_D!$G$13)*0.1 +
        IF(AJ57-Uzman_D!$H$13&lt;0, -(AJ57-Uzman_D!$H$13), AJ57-Uzman_D!$H$13)*0.1 +
        IF(AK57-Uzman_D!$I$13&lt;0, -(AK57-Uzman_D!$I$13), AK57-Uzman_D!$I$13)*0.1 +
        IF(AL57-Uzman_D!$J$13&lt;0, -(AL57-Uzman_D!$J$13), AL57-Uzman_D!$J$13)*0.1
    ) +
    IF(ROUND((IF(AN57-Uzman_D!$L$13&lt;0, -(AN57-Uzman_D!$L$13), AN57-Uzman_D!$L$13)*2),0)/2 = IF(AN57-Uzman_D!$L$13&lt;0, -(AN57-Uzman_D!$L$13), AN57-Uzman_D!$L$13),
    (ROUND((IF(AN57-Uzman_D!$L$13&lt;0, -(AN57-Uzman_D!$L$13), AN57-Uzman_D!$L$13)*2),0)/1 * 0.1), 0) +
    IF(AO57-Uzman_D!$M$13&lt;0, -(AO57-Uzman_D!$M$13), AO57-Uzman_D!$M$13)*1
)</f>
        <v>-0.30000000000000004</v>
      </c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2"/>
      <c r="BB57" s="72"/>
      <c r="BC57" s="73">
        <f>1 - (
    SUM(
        IF(AQ57-Uzman_D!$B$14&lt;0, -(AQ57-Uzman_D!$B$14), AQ57-Uzman_D!$B$14)*0.1 +
        IF(AR57-Uzman_D!$C$14&lt;0, -(AR57-Uzman_D!$C$14), AR57-Uzman_D!$C$14)*0.1 +
        IF(AS57-Uzman_D!$D$14&lt;0, -(AS57-Uzman_D!$D$14), AS57-Uzman_D!$D$14)*0.1 +
        IF(AT57-Uzman_D!$E$14&lt;0, -(AT57-Uzman_D!$E$14), AT57-Uzman_D!$E$14)*0.1 +
        IF(AU57-Uzman_D!$F$14&lt;0, -(AU57-Uzman_D!$F$14), AU57-Uzman_D!$F$14)*0.1 +
        IF(AV57-Uzman_D!$G$14&lt;0, -(AV57-Uzman_D!$G$14), AV57-Uzman_D!$G$14)*0.1 +
        IF(AW57-Uzman_D!$H$14&lt;0, -(AW57-Uzman_D!$H$14), AW57-Uzman_D!$H$14)*0.1 +
        IF(AX57-Uzman_D!$I$14&lt;0, -(AX57-Uzman_D!$I$14), AX57-Uzman_D!$I$14)*0.1 +
        IF(AY57-Uzman_D!$J$14&lt;0, -(AY57-Uzman_D!$J$14), AY57-Uzman_D!$J$14)*0.1
    ) +
    IF(ROUND((IF(BA57-Uzman_D!$L$14&lt;0, -(BA57-Uzman_D!$L$14), BA57-Uzman_D!$L$14)*2),0)/2 = IF(BA57-Uzman_D!$L$14&lt;0, -(BA57-Uzman_D!$L$14), BA57-Uzman_D!$L$14),
    (ROUND((IF(BA57-Uzman_D!$L$14&lt;0, -(BA57-Uzman_D!$L$14), BA57-Uzman_D!$L$14)*2),0)/1 * 0.1), 0) +
    IF(BB57-Uzman_D!$M$14&lt;0, -(BB57-Uzman_D!$M$14), BB57-Uzman_D!$M$14)*1
)</f>
        <v>-0.20000000000000018</v>
      </c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2"/>
      <c r="BO57" s="72"/>
      <c r="BP57" s="73">
        <f>1 - (
    SUM(
        IF(BD57-Uzman_D!$B$15&lt;0, -(BD57-Uzman_D!$B$15), BD57-Uzman_D!$B$15)*0.1 +
        IF(BE57-Uzman_D!$C$15&lt;0, -(BE57-Uzman_D!$C$15), BE57-Uzman_D!$C$15)*0.1 +
        IF(BF57-Uzman_D!$D$15&lt;0, -(BF57-Uzman_D!$D$15), BF57-Uzman_D!$D$15)*0.1 +
        IF(BG57-Uzman_D!$E$15&lt;0, -(BG57-Uzman_D!$E$15), BG57-Uzman_D!$E$15)*0.1 +
        IF(BH57-Uzman_D!$F$15&lt;0, -(BH57-Uzman_D!$F$15), BH57-Uzman_D!$F$15)*0.1 +
        IF(BI57-Uzman_D!$G$15&lt;0, -(BI57-Uzman_D!$G$15), BI57-Uzman_D!$G$15)*0.1 +
        IF(BJ57-Uzman_D!$H$15&lt;0, -(BJ57-Uzman_D!$H$15), BJ57-Uzman_D!$H$15)*0.1 +
        IF(BK57-Uzman_D!$I$15&lt;0, -(BK57-Uzman_D!$I$15), BK57-Uzman_D!$I$15)*0.1 +
        IF(BL57-Uzman_D!$J$15&lt;0, -(BL57-Uzman_D!$J$15), BL57-Uzman_D!$J$15)*0.1
    ) +
    IF(ROUND((IF(BN57-Uzman_D!$L$15&lt;0, -(BN57-Uzman_D!$L$15), BN57-Uzman_D!$L$15)*2),0)/2 = IF(BN57-Uzman_D!$L$15&lt;0, -(BN57-Uzman_D!$L$15), BN57-Uzman_D!$L$15),
    (ROUND((IF(BN57-Uzman_D!$L$15&lt;0, -(BN57-Uzman_D!$L$15), BN57-Uzman_D!$L$15)*2),0)/1 * 0.1), 0) +
    IF(BO57-Uzman_D!$M$15&lt;0, -(BO57-Uzman_D!$M$15), BO57-Uzman_D!$M$15)*1
)</f>
        <v>-0.60000000000000009</v>
      </c>
      <c r="BQ57" s="74">
        <f t="shared" si="0"/>
        <v>-0.32000000000000017</v>
      </c>
    </row>
    <row r="58" spans="1:69" ht="15" customHeight="1" x14ac:dyDescent="0.2">
      <c r="A58" s="57">
        <v>55</v>
      </c>
      <c r="B58" s="37">
        <f>Hakemler!B58</f>
        <v>0</v>
      </c>
      <c r="C58" s="37">
        <f>Hakemler!C58</f>
        <v>0</v>
      </c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2"/>
      <c r="O58" s="72"/>
      <c r="P58" s="73">
        <f>1 - (
    SUM(
        IF(D58-Uzman_D!$B$11&lt;0, -(D58-Uzman_D!$B$11), D58-Uzman_D!$B$11)*0.1 +
        IF(E58-Uzman_D!$C$11&lt;0, -(E58-Uzman_D!$C$11), E58-Uzman_D!$C$11)*0.1 +
        IF(F58-Uzman_D!$D$11&lt;0, -(F58-Uzman_D!$D$11), F58-Uzman_D!$D$11)*0.1 +
        IF(G58-Uzman_D!$E$11&lt;0, -(G58-Uzman_D!$E$11), G58-Uzman_D!$E$11)*0.1 +
        IF(H58-Uzman_D!$F$11&lt;0, -(H58-Uzman_D!$F$11), H58-Uzman_D!$F$11)*0.1 +
        IF(I58-Uzman_D!$G$11&lt;0, -(I58-Uzman_D!$G$11), I58-Uzman_D!$G$11)*0.1 +
        IF(J58-Uzman_D!$H$11&lt;0, -(J58-Uzman_D!$H$11), J58-Uzman_D!$H$11)*0.1 +
        IF(K58-Uzman_D!$I$11&lt;0, -(K58-Uzman_D!$I$11), K58-Uzman_D!$I$11)*0.1 +
        IF(L58-Uzman_D!$J$11&lt;0, -(L58-Uzman_D!$J$11), L58-Uzman_D!$J$11)*0.1
    ) +
    IF(ROUND((IF(N58-Uzman_D!$L$11&lt;0, -(N58-Uzman_D!$L$11), N58-Uzman_D!$L$11)*2),0)/2 = IF(N58-Uzman_D!$L$11&lt;0, -(N58-Uzman_D!$L$11), N58-Uzman_D!$L$11),
    (ROUND((IF(N58-Uzman_D!$L$11&lt;0, -(N58-Uzman_D!$L$11), N58-Uzman_D!$L$11)*2),0)/1 * 0.1), 0) +
    IF(O58-Uzman_D!$M$11&lt;0, -(O58-Uzman_D!$M$11), O58-Uzman_D!$M$11)*1
)</f>
        <v>-0.30000000000000027</v>
      </c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2"/>
      <c r="AB58" s="72"/>
      <c r="AC58" s="73">
        <f>1 - (
    SUM(
        IF(Q58-Uzman_D!$B$12&lt;0, -(Q58-Uzman_D!$B$12), Q58-Uzman_D!$B$12)*0.1 +
        IF(R58-Uzman_D!$C$12&lt;0, -(R58-Uzman_D!$C$12), R58-Uzman_D!$C$12)*0.1 +
        IF(S58-Uzman_D!$D$12&lt;0, -(S58-Uzman_D!$D$12), S58-Uzman_D!$D$12)*0.1 +
        IF(T58-Uzman_D!$E$12&lt;0, -(T58-Uzman_D!$E$12), T58-Uzman_D!$E$12)*0.1 +
        IF(U58-Uzman_D!$F$12&lt;0, -(U58-Uzman_D!$F$12), U58-Uzman_D!$F$12)*0.1 +
        IF(V58-Uzman_D!$G$12&lt;0, -(V58-Uzman_D!$G$12), V58-Uzman_D!$G$12)*0.1 +
        IF(W58-Uzman_D!$H$12&lt;0, -(W58-Uzman_D!$H$12), W58-Uzman_D!$H$12)*0.1 +
        IF(X58-Uzman_D!$I$12&lt;0, -(X58-Uzman_D!$I$12), X58-Uzman_D!$I$12)*0.1 +
        IF(Y58-Uzman_D!$J$12&lt;0, -(Y58-Uzman_D!$J$12), Y58-Uzman_D!$J$12)*0.1
    ) +
    IF(ROUND((IF(AA58-Uzman_D!$L$12&lt;0, -(AA58-Uzman_D!$L$12), AA58-Uzman_D!$L$12)*2),0)/2 = IF(AA58-Uzman_D!$L$12&lt;0, -(AA58-Uzman_D!$L$12), AA58-Uzman_D!$L$12),
    (ROUND((IF(AA58-Uzman_D!$L$12&lt;0, -(AA58-Uzman_D!$L$12), AA58-Uzman_D!$L$12)*2),0)/1 * 0.1), 0) +
    IF(AB58-Uzman_D!$M$12&lt;0, -(AB58-Uzman_D!$M$12), AB58-Uzman_D!$M$12)*1
)</f>
        <v>-0.20000000000000018</v>
      </c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2"/>
      <c r="AO58" s="72"/>
      <c r="AP58" s="73">
        <f>1 - (
    SUM(
        IF(AD58-Uzman_D!$B$13&lt;0, -(AD58-Uzman_D!$B$13), AD58-Uzman_D!$B$13)*0.1 +
        IF(AE58-Uzman_D!$C$13&lt;0, -(AE58-Uzman_D!$C$13), AE58-Uzman_D!$C$13)*0.1 +
        IF(AF58-Uzman_D!$D$13&lt;0, -(AF58-Uzman_D!$D$13), AF58-Uzman_D!$D$13)*0.1 +
        IF(AG58-Uzman_D!$E$13&lt;0, -(AG58-Uzman_D!$E$13), AG58-Uzman_D!$E$13)*0.1 +
        IF(AH58-Uzman_D!$F$13&lt;0, -(AH58-Uzman_D!$F$13), AH58-Uzman_D!$F$13)*0.1 +
        IF(AI58-Uzman_D!$G$13&lt;0, -(AI58-Uzman_D!$G$13), AI58-Uzman_D!$G$13)*0.1 +
        IF(AJ58-Uzman_D!$H$13&lt;0, -(AJ58-Uzman_D!$H$13), AJ58-Uzman_D!$H$13)*0.1 +
        IF(AK58-Uzman_D!$I$13&lt;0, -(AK58-Uzman_D!$I$13), AK58-Uzman_D!$I$13)*0.1 +
        IF(AL58-Uzman_D!$J$13&lt;0, -(AL58-Uzman_D!$J$13), AL58-Uzman_D!$J$13)*0.1
    ) +
    IF(ROUND((IF(AN58-Uzman_D!$L$13&lt;0, -(AN58-Uzman_D!$L$13), AN58-Uzman_D!$L$13)*2),0)/2 = IF(AN58-Uzman_D!$L$13&lt;0, -(AN58-Uzman_D!$L$13), AN58-Uzman_D!$L$13),
    (ROUND((IF(AN58-Uzman_D!$L$13&lt;0, -(AN58-Uzman_D!$L$13), AN58-Uzman_D!$L$13)*2),0)/1 * 0.1), 0) +
    IF(AO58-Uzman_D!$M$13&lt;0, -(AO58-Uzman_D!$M$13), AO58-Uzman_D!$M$13)*1
)</f>
        <v>-0.30000000000000004</v>
      </c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2"/>
      <c r="BB58" s="72"/>
      <c r="BC58" s="73">
        <f>1 - (
    SUM(
        IF(AQ58-Uzman_D!$B$14&lt;0, -(AQ58-Uzman_D!$B$14), AQ58-Uzman_D!$B$14)*0.1 +
        IF(AR58-Uzman_D!$C$14&lt;0, -(AR58-Uzman_D!$C$14), AR58-Uzman_D!$C$14)*0.1 +
        IF(AS58-Uzman_D!$D$14&lt;0, -(AS58-Uzman_D!$D$14), AS58-Uzman_D!$D$14)*0.1 +
        IF(AT58-Uzman_D!$E$14&lt;0, -(AT58-Uzman_D!$E$14), AT58-Uzman_D!$E$14)*0.1 +
        IF(AU58-Uzman_D!$F$14&lt;0, -(AU58-Uzman_D!$F$14), AU58-Uzman_D!$F$14)*0.1 +
        IF(AV58-Uzman_D!$G$14&lt;0, -(AV58-Uzman_D!$G$14), AV58-Uzman_D!$G$14)*0.1 +
        IF(AW58-Uzman_D!$H$14&lt;0, -(AW58-Uzman_D!$H$14), AW58-Uzman_D!$H$14)*0.1 +
        IF(AX58-Uzman_D!$I$14&lt;0, -(AX58-Uzman_D!$I$14), AX58-Uzman_D!$I$14)*0.1 +
        IF(AY58-Uzman_D!$J$14&lt;0, -(AY58-Uzman_D!$J$14), AY58-Uzman_D!$J$14)*0.1
    ) +
    IF(ROUND((IF(BA58-Uzman_D!$L$14&lt;0, -(BA58-Uzman_D!$L$14), BA58-Uzman_D!$L$14)*2),0)/2 = IF(BA58-Uzman_D!$L$14&lt;0, -(BA58-Uzman_D!$L$14), BA58-Uzman_D!$L$14),
    (ROUND((IF(BA58-Uzman_D!$L$14&lt;0, -(BA58-Uzman_D!$L$14), BA58-Uzman_D!$L$14)*2),0)/1 * 0.1), 0) +
    IF(BB58-Uzman_D!$M$14&lt;0, -(BB58-Uzman_D!$M$14), BB58-Uzman_D!$M$14)*1
)</f>
        <v>-0.20000000000000018</v>
      </c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2"/>
      <c r="BO58" s="72"/>
      <c r="BP58" s="73">
        <f>1 - (
    SUM(
        IF(BD58-Uzman_D!$B$15&lt;0, -(BD58-Uzman_D!$B$15), BD58-Uzman_D!$B$15)*0.1 +
        IF(BE58-Uzman_D!$C$15&lt;0, -(BE58-Uzman_D!$C$15), BE58-Uzman_D!$C$15)*0.1 +
        IF(BF58-Uzman_D!$D$15&lt;0, -(BF58-Uzman_D!$D$15), BF58-Uzman_D!$D$15)*0.1 +
        IF(BG58-Uzman_D!$E$15&lt;0, -(BG58-Uzman_D!$E$15), BG58-Uzman_D!$E$15)*0.1 +
        IF(BH58-Uzman_D!$F$15&lt;0, -(BH58-Uzman_D!$F$15), BH58-Uzman_D!$F$15)*0.1 +
        IF(BI58-Uzman_D!$G$15&lt;0, -(BI58-Uzman_D!$G$15), BI58-Uzman_D!$G$15)*0.1 +
        IF(BJ58-Uzman_D!$H$15&lt;0, -(BJ58-Uzman_D!$H$15), BJ58-Uzman_D!$H$15)*0.1 +
        IF(BK58-Uzman_D!$I$15&lt;0, -(BK58-Uzman_D!$I$15), BK58-Uzman_D!$I$15)*0.1 +
        IF(BL58-Uzman_D!$J$15&lt;0, -(BL58-Uzman_D!$J$15), BL58-Uzman_D!$J$15)*0.1
    ) +
    IF(ROUND((IF(BN58-Uzman_D!$L$15&lt;0, -(BN58-Uzman_D!$L$15), BN58-Uzman_D!$L$15)*2),0)/2 = IF(BN58-Uzman_D!$L$15&lt;0, -(BN58-Uzman_D!$L$15), BN58-Uzman_D!$L$15),
    (ROUND((IF(BN58-Uzman_D!$L$15&lt;0, -(BN58-Uzman_D!$L$15), BN58-Uzman_D!$L$15)*2),0)/1 * 0.1), 0) +
    IF(BO58-Uzman_D!$M$15&lt;0, -(BO58-Uzman_D!$M$15), BO58-Uzman_D!$M$15)*1
)</f>
        <v>-0.60000000000000009</v>
      </c>
      <c r="BQ58" s="74">
        <f t="shared" si="0"/>
        <v>-0.32000000000000017</v>
      </c>
    </row>
    <row r="59" spans="1:69" ht="15" customHeight="1" x14ac:dyDescent="0.2">
      <c r="A59" s="57">
        <v>56</v>
      </c>
      <c r="B59" s="29">
        <f>Hakemler!B59</f>
        <v>0</v>
      </c>
      <c r="C59" s="29">
        <f>Hakemler!C59</f>
        <v>0</v>
      </c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2"/>
      <c r="O59" s="72"/>
      <c r="P59" s="73">
        <f>1 - (
    SUM(
        IF(D59-Uzman_D!$B$11&lt;0, -(D59-Uzman_D!$B$11), D59-Uzman_D!$B$11)*0.1 +
        IF(E59-Uzman_D!$C$11&lt;0, -(E59-Uzman_D!$C$11), E59-Uzman_D!$C$11)*0.1 +
        IF(F59-Uzman_D!$D$11&lt;0, -(F59-Uzman_D!$D$11), F59-Uzman_D!$D$11)*0.1 +
        IF(G59-Uzman_D!$E$11&lt;0, -(G59-Uzman_D!$E$11), G59-Uzman_D!$E$11)*0.1 +
        IF(H59-Uzman_D!$F$11&lt;0, -(H59-Uzman_D!$F$11), H59-Uzman_D!$F$11)*0.1 +
        IF(I59-Uzman_D!$G$11&lt;0, -(I59-Uzman_D!$G$11), I59-Uzman_D!$G$11)*0.1 +
        IF(J59-Uzman_D!$H$11&lt;0, -(J59-Uzman_D!$H$11), J59-Uzman_D!$H$11)*0.1 +
        IF(K59-Uzman_D!$I$11&lt;0, -(K59-Uzman_D!$I$11), K59-Uzman_D!$I$11)*0.1 +
        IF(L59-Uzman_D!$J$11&lt;0, -(L59-Uzman_D!$J$11), L59-Uzman_D!$J$11)*0.1
    ) +
    IF(ROUND((IF(N59-Uzman_D!$L$11&lt;0, -(N59-Uzman_D!$L$11), N59-Uzman_D!$L$11)*2),0)/2 = IF(N59-Uzman_D!$L$11&lt;0, -(N59-Uzman_D!$L$11), N59-Uzman_D!$L$11),
    (ROUND((IF(N59-Uzman_D!$L$11&lt;0, -(N59-Uzman_D!$L$11), N59-Uzman_D!$L$11)*2),0)/1 * 0.1), 0) +
    IF(O59-Uzman_D!$M$11&lt;0, -(O59-Uzman_D!$M$11), O59-Uzman_D!$M$11)*1
)</f>
        <v>-0.30000000000000027</v>
      </c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2"/>
      <c r="AB59" s="72"/>
      <c r="AC59" s="73">
        <f>1 - (
    SUM(
        IF(Q59-Uzman_D!$B$12&lt;0, -(Q59-Uzman_D!$B$12), Q59-Uzman_D!$B$12)*0.1 +
        IF(R59-Uzman_D!$C$12&lt;0, -(R59-Uzman_D!$C$12), R59-Uzman_D!$C$12)*0.1 +
        IF(S59-Uzman_D!$D$12&lt;0, -(S59-Uzman_D!$D$12), S59-Uzman_D!$D$12)*0.1 +
        IF(T59-Uzman_D!$E$12&lt;0, -(T59-Uzman_D!$E$12), T59-Uzman_D!$E$12)*0.1 +
        IF(U59-Uzman_D!$F$12&lt;0, -(U59-Uzman_D!$F$12), U59-Uzman_D!$F$12)*0.1 +
        IF(V59-Uzman_D!$G$12&lt;0, -(V59-Uzman_D!$G$12), V59-Uzman_D!$G$12)*0.1 +
        IF(W59-Uzman_D!$H$12&lt;0, -(W59-Uzman_D!$H$12), W59-Uzman_D!$H$12)*0.1 +
        IF(X59-Uzman_D!$I$12&lt;0, -(X59-Uzman_D!$I$12), X59-Uzman_D!$I$12)*0.1 +
        IF(Y59-Uzman_D!$J$12&lt;0, -(Y59-Uzman_D!$J$12), Y59-Uzman_D!$J$12)*0.1
    ) +
    IF(ROUND((IF(AA59-Uzman_D!$L$12&lt;0, -(AA59-Uzman_D!$L$12), AA59-Uzman_D!$L$12)*2),0)/2 = IF(AA59-Uzman_D!$L$12&lt;0, -(AA59-Uzman_D!$L$12), AA59-Uzman_D!$L$12),
    (ROUND((IF(AA59-Uzman_D!$L$12&lt;0, -(AA59-Uzman_D!$L$12), AA59-Uzman_D!$L$12)*2),0)/1 * 0.1), 0) +
    IF(AB59-Uzman_D!$M$12&lt;0, -(AB59-Uzman_D!$M$12), AB59-Uzman_D!$M$12)*1
)</f>
        <v>-0.20000000000000018</v>
      </c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2"/>
      <c r="AO59" s="72"/>
      <c r="AP59" s="73">
        <f>1 - (
    SUM(
        IF(AD59-Uzman_D!$B$13&lt;0, -(AD59-Uzman_D!$B$13), AD59-Uzman_D!$B$13)*0.1 +
        IF(AE59-Uzman_D!$C$13&lt;0, -(AE59-Uzman_D!$C$13), AE59-Uzman_D!$C$13)*0.1 +
        IF(AF59-Uzman_D!$D$13&lt;0, -(AF59-Uzman_D!$D$13), AF59-Uzman_D!$D$13)*0.1 +
        IF(AG59-Uzman_D!$E$13&lt;0, -(AG59-Uzman_D!$E$13), AG59-Uzman_D!$E$13)*0.1 +
        IF(AH59-Uzman_D!$F$13&lt;0, -(AH59-Uzman_D!$F$13), AH59-Uzman_D!$F$13)*0.1 +
        IF(AI59-Uzman_D!$G$13&lt;0, -(AI59-Uzman_D!$G$13), AI59-Uzman_D!$G$13)*0.1 +
        IF(AJ59-Uzman_D!$H$13&lt;0, -(AJ59-Uzman_D!$H$13), AJ59-Uzman_D!$H$13)*0.1 +
        IF(AK59-Uzman_D!$I$13&lt;0, -(AK59-Uzman_D!$I$13), AK59-Uzman_D!$I$13)*0.1 +
        IF(AL59-Uzman_D!$J$13&lt;0, -(AL59-Uzman_D!$J$13), AL59-Uzman_D!$J$13)*0.1
    ) +
    IF(ROUND((IF(AN59-Uzman_D!$L$13&lt;0, -(AN59-Uzman_D!$L$13), AN59-Uzman_D!$L$13)*2),0)/2 = IF(AN59-Uzman_D!$L$13&lt;0, -(AN59-Uzman_D!$L$13), AN59-Uzman_D!$L$13),
    (ROUND((IF(AN59-Uzman_D!$L$13&lt;0, -(AN59-Uzman_D!$L$13), AN59-Uzman_D!$L$13)*2),0)/1 * 0.1), 0) +
    IF(AO59-Uzman_D!$M$13&lt;0, -(AO59-Uzman_D!$M$13), AO59-Uzman_D!$M$13)*1
)</f>
        <v>-0.30000000000000004</v>
      </c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2"/>
      <c r="BB59" s="72"/>
      <c r="BC59" s="73">
        <f>1 - (
    SUM(
        IF(AQ59-Uzman_D!$B$14&lt;0, -(AQ59-Uzman_D!$B$14), AQ59-Uzman_D!$B$14)*0.1 +
        IF(AR59-Uzman_D!$C$14&lt;0, -(AR59-Uzman_D!$C$14), AR59-Uzman_D!$C$14)*0.1 +
        IF(AS59-Uzman_D!$D$14&lt;0, -(AS59-Uzman_D!$D$14), AS59-Uzman_D!$D$14)*0.1 +
        IF(AT59-Uzman_D!$E$14&lt;0, -(AT59-Uzman_D!$E$14), AT59-Uzman_D!$E$14)*0.1 +
        IF(AU59-Uzman_D!$F$14&lt;0, -(AU59-Uzman_D!$F$14), AU59-Uzman_D!$F$14)*0.1 +
        IF(AV59-Uzman_D!$G$14&lt;0, -(AV59-Uzman_D!$G$14), AV59-Uzman_D!$G$14)*0.1 +
        IF(AW59-Uzman_D!$H$14&lt;0, -(AW59-Uzman_D!$H$14), AW59-Uzman_D!$H$14)*0.1 +
        IF(AX59-Uzman_D!$I$14&lt;0, -(AX59-Uzman_D!$I$14), AX59-Uzman_D!$I$14)*0.1 +
        IF(AY59-Uzman_D!$J$14&lt;0, -(AY59-Uzman_D!$J$14), AY59-Uzman_D!$J$14)*0.1
    ) +
    IF(ROUND((IF(BA59-Uzman_D!$L$14&lt;0, -(BA59-Uzman_D!$L$14), BA59-Uzman_D!$L$14)*2),0)/2 = IF(BA59-Uzman_D!$L$14&lt;0, -(BA59-Uzman_D!$L$14), BA59-Uzman_D!$L$14),
    (ROUND((IF(BA59-Uzman_D!$L$14&lt;0, -(BA59-Uzman_D!$L$14), BA59-Uzman_D!$L$14)*2),0)/1 * 0.1), 0) +
    IF(BB59-Uzman_D!$M$14&lt;0, -(BB59-Uzman_D!$M$14), BB59-Uzman_D!$M$14)*1
)</f>
        <v>-0.20000000000000018</v>
      </c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2"/>
      <c r="BO59" s="72"/>
      <c r="BP59" s="73">
        <f>1 - (
    SUM(
        IF(BD59-Uzman_D!$B$15&lt;0, -(BD59-Uzman_D!$B$15), BD59-Uzman_D!$B$15)*0.1 +
        IF(BE59-Uzman_D!$C$15&lt;0, -(BE59-Uzman_D!$C$15), BE59-Uzman_D!$C$15)*0.1 +
        IF(BF59-Uzman_D!$D$15&lt;0, -(BF59-Uzman_D!$D$15), BF59-Uzman_D!$D$15)*0.1 +
        IF(BG59-Uzman_D!$E$15&lt;0, -(BG59-Uzman_D!$E$15), BG59-Uzman_D!$E$15)*0.1 +
        IF(BH59-Uzman_D!$F$15&lt;0, -(BH59-Uzman_D!$F$15), BH59-Uzman_D!$F$15)*0.1 +
        IF(BI59-Uzman_D!$G$15&lt;0, -(BI59-Uzman_D!$G$15), BI59-Uzman_D!$G$15)*0.1 +
        IF(BJ59-Uzman_D!$H$15&lt;0, -(BJ59-Uzman_D!$H$15), BJ59-Uzman_D!$H$15)*0.1 +
        IF(BK59-Uzman_D!$I$15&lt;0, -(BK59-Uzman_D!$I$15), BK59-Uzman_D!$I$15)*0.1 +
        IF(BL59-Uzman_D!$J$15&lt;0, -(BL59-Uzman_D!$J$15), BL59-Uzman_D!$J$15)*0.1
    ) +
    IF(ROUND((IF(BN59-Uzman_D!$L$15&lt;0, -(BN59-Uzman_D!$L$15), BN59-Uzman_D!$L$15)*2),0)/2 = IF(BN59-Uzman_D!$L$15&lt;0, -(BN59-Uzman_D!$L$15), BN59-Uzman_D!$L$15),
    (ROUND((IF(BN59-Uzman_D!$L$15&lt;0, -(BN59-Uzman_D!$L$15), BN59-Uzman_D!$L$15)*2),0)/1 * 0.1), 0) +
    IF(BO59-Uzman_D!$M$15&lt;0, -(BO59-Uzman_D!$M$15), BO59-Uzman_D!$M$15)*1
)</f>
        <v>-0.60000000000000009</v>
      </c>
      <c r="BQ59" s="74">
        <f t="shared" si="0"/>
        <v>-0.32000000000000017</v>
      </c>
    </row>
    <row r="60" spans="1:69" ht="15" customHeight="1" x14ac:dyDescent="0.2">
      <c r="A60" s="57">
        <v>57</v>
      </c>
      <c r="B60" s="37">
        <f>Hakemler!B60</f>
        <v>0</v>
      </c>
      <c r="C60" s="37">
        <f>Hakemler!C60</f>
        <v>0</v>
      </c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2"/>
      <c r="O60" s="72"/>
      <c r="P60" s="73">
        <f>1 - (
    SUM(
        IF(D60-Uzman_D!$B$11&lt;0, -(D60-Uzman_D!$B$11), D60-Uzman_D!$B$11)*0.1 +
        IF(E60-Uzman_D!$C$11&lt;0, -(E60-Uzman_D!$C$11), E60-Uzman_D!$C$11)*0.1 +
        IF(F60-Uzman_D!$D$11&lt;0, -(F60-Uzman_D!$D$11), F60-Uzman_D!$D$11)*0.1 +
        IF(G60-Uzman_D!$E$11&lt;0, -(G60-Uzman_D!$E$11), G60-Uzman_D!$E$11)*0.1 +
        IF(H60-Uzman_D!$F$11&lt;0, -(H60-Uzman_D!$F$11), H60-Uzman_D!$F$11)*0.1 +
        IF(I60-Uzman_D!$G$11&lt;0, -(I60-Uzman_D!$G$11), I60-Uzman_D!$G$11)*0.1 +
        IF(J60-Uzman_D!$H$11&lt;0, -(J60-Uzman_D!$H$11), J60-Uzman_D!$H$11)*0.1 +
        IF(K60-Uzman_D!$I$11&lt;0, -(K60-Uzman_D!$I$11), K60-Uzman_D!$I$11)*0.1 +
        IF(L60-Uzman_D!$J$11&lt;0, -(L60-Uzman_D!$J$11), L60-Uzman_D!$J$11)*0.1
    ) +
    IF(ROUND((IF(N60-Uzman_D!$L$11&lt;0, -(N60-Uzman_D!$L$11), N60-Uzman_D!$L$11)*2),0)/2 = IF(N60-Uzman_D!$L$11&lt;0, -(N60-Uzman_D!$L$11), N60-Uzman_D!$L$11),
    (ROUND((IF(N60-Uzman_D!$L$11&lt;0, -(N60-Uzman_D!$L$11), N60-Uzman_D!$L$11)*2),0)/1 * 0.1), 0) +
    IF(O60-Uzman_D!$M$11&lt;0, -(O60-Uzman_D!$M$11), O60-Uzman_D!$M$11)*1
)</f>
        <v>-0.30000000000000027</v>
      </c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2"/>
      <c r="AB60" s="72"/>
      <c r="AC60" s="73">
        <f>1 - (
    SUM(
        IF(Q60-Uzman_D!$B$12&lt;0, -(Q60-Uzman_D!$B$12), Q60-Uzman_D!$B$12)*0.1 +
        IF(R60-Uzman_D!$C$12&lt;0, -(R60-Uzman_D!$C$12), R60-Uzman_D!$C$12)*0.1 +
        IF(S60-Uzman_D!$D$12&lt;0, -(S60-Uzman_D!$D$12), S60-Uzman_D!$D$12)*0.1 +
        IF(T60-Uzman_D!$E$12&lt;0, -(T60-Uzman_D!$E$12), T60-Uzman_D!$E$12)*0.1 +
        IF(U60-Uzman_D!$F$12&lt;0, -(U60-Uzman_D!$F$12), U60-Uzman_D!$F$12)*0.1 +
        IF(V60-Uzman_D!$G$12&lt;0, -(V60-Uzman_D!$G$12), V60-Uzman_D!$G$12)*0.1 +
        IF(W60-Uzman_D!$H$12&lt;0, -(W60-Uzman_D!$H$12), W60-Uzman_D!$H$12)*0.1 +
        IF(X60-Uzman_D!$I$12&lt;0, -(X60-Uzman_D!$I$12), X60-Uzman_D!$I$12)*0.1 +
        IF(Y60-Uzman_D!$J$12&lt;0, -(Y60-Uzman_D!$J$12), Y60-Uzman_D!$J$12)*0.1
    ) +
    IF(ROUND((IF(AA60-Uzman_D!$L$12&lt;0, -(AA60-Uzman_D!$L$12), AA60-Uzman_D!$L$12)*2),0)/2 = IF(AA60-Uzman_D!$L$12&lt;0, -(AA60-Uzman_D!$L$12), AA60-Uzman_D!$L$12),
    (ROUND((IF(AA60-Uzman_D!$L$12&lt;0, -(AA60-Uzman_D!$L$12), AA60-Uzman_D!$L$12)*2),0)/1 * 0.1), 0) +
    IF(AB60-Uzman_D!$M$12&lt;0, -(AB60-Uzman_D!$M$12), AB60-Uzman_D!$M$12)*1
)</f>
        <v>-0.20000000000000018</v>
      </c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2"/>
      <c r="AO60" s="72"/>
      <c r="AP60" s="73">
        <f>1 - (
    SUM(
        IF(AD60-Uzman_D!$B$13&lt;0, -(AD60-Uzman_D!$B$13), AD60-Uzman_D!$B$13)*0.1 +
        IF(AE60-Uzman_D!$C$13&lt;0, -(AE60-Uzman_D!$C$13), AE60-Uzman_D!$C$13)*0.1 +
        IF(AF60-Uzman_D!$D$13&lt;0, -(AF60-Uzman_D!$D$13), AF60-Uzman_D!$D$13)*0.1 +
        IF(AG60-Uzman_D!$E$13&lt;0, -(AG60-Uzman_D!$E$13), AG60-Uzman_D!$E$13)*0.1 +
        IF(AH60-Uzman_D!$F$13&lt;0, -(AH60-Uzman_D!$F$13), AH60-Uzman_D!$F$13)*0.1 +
        IF(AI60-Uzman_D!$G$13&lt;0, -(AI60-Uzman_D!$G$13), AI60-Uzman_D!$G$13)*0.1 +
        IF(AJ60-Uzman_D!$H$13&lt;0, -(AJ60-Uzman_D!$H$13), AJ60-Uzman_D!$H$13)*0.1 +
        IF(AK60-Uzman_D!$I$13&lt;0, -(AK60-Uzman_D!$I$13), AK60-Uzman_D!$I$13)*0.1 +
        IF(AL60-Uzman_D!$J$13&lt;0, -(AL60-Uzman_D!$J$13), AL60-Uzman_D!$J$13)*0.1
    ) +
    IF(ROUND((IF(AN60-Uzman_D!$L$13&lt;0, -(AN60-Uzman_D!$L$13), AN60-Uzman_D!$L$13)*2),0)/2 = IF(AN60-Uzman_D!$L$13&lt;0, -(AN60-Uzman_D!$L$13), AN60-Uzman_D!$L$13),
    (ROUND((IF(AN60-Uzman_D!$L$13&lt;0, -(AN60-Uzman_D!$L$13), AN60-Uzman_D!$L$13)*2),0)/1 * 0.1), 0) +
    IF(AO60-Uzman_D!$M$13&lt;0, -(AO60-Uzman_D!$M$13), AO60-Uzman_D!$M$13)*1
)</f>
        <v>-0.30000000000000004</v>
      </c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2"/>
      <c r="BB60" s="72"/>
      <c r="BC60" s="73">
        <f>1 - (
    SUM(
        IF(AQ60-Uzman_D!$B$14&lt;0, -(AQ60-Uzman_D!$B$14), AQ60-Uzman_D!$B$14)*0.1 +
        IF(AR60-Uzman_D!$C$14&lt;0, -(AR60-Uzman_D!$C$14), AR60-Uzman_D!$C$14)*0.1 +
        IF(AS60-Uzman_D!$D$14&lt;0, -(AS60-Uzman_D!$D$14), AS60-Uzman_D!$D$14)*0.1 +
        IF(AT60-Uzman_D!$E$14&lt;0, -(AT60-Uzman_D!$E$14), AT60-Uzman_D!$E$14)*0.1 +
        IF(AU60-Uzman_D!$F$14&lt;0, -(AU60-Uzman_D!$F$14), AU60-Uzman_D!$F$14)*0.1 +
        IF(AV60-Uzman_D!$G$14&lt;0, -(AV60-Uzman_D!$G$14), AV60-Uzman_D!$G$14)*0.1 +
        IF(AW60-Uzman_D!$H$14&lt;0, -(AW60-Uzman_D!$H$14), AW60-Uzman_D!$H$14)*0.1 +
        IF(AX60-Uzman_D!$I$14&lt;0, -(AX60-Uzman_D!$I$14), AX60-Uzman_D!$I$14)*0.1 +
        IF(AY60-Uzman_D!$J$14&lt;0, -(AY60-Uzman_D!$J$14), AY60-Uzman_D!$J$14)*0.1
    ) +
    IF(ROUND((IF(BA60-Uzman_D!$L$14&lt;0, -(BA60-Uzman_D!$L$14), BA60-Uzman_D!$L$14)*2),0)/2 = IF(BA60-Uzman_D!$L$14&lt;0, -(BA60-Uzman_D!$L$14), BA60-Uzman_D!$L$14),
    (ROUND((IF(BA60-Uzman_D!$L$14&lt;0, -(BA60-Uzman_D!$L$14), BA60-Uzman_D!$L$14)*2),0)/1 * 0.1), 0) +
    IF(BB60-Uzman_D!$M$14&lt;0, -(BB60-Uzman_D!$M$14), BB60-Uzman_D!$M$14)*1
)</f>
        <v>-0.20000000000000018</v>
      </c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2"/>
      <c r="BO60" s="72"/>
      <c r="BP60" s="73">
        <f>1 - (
    SUM(
        IF(BD60-Uzman_D!$B$15&lt;0, -(BD60-Uzman_D!$B$15), BD60-Uzman_D!$B$15)*0.1 +
        IF(BE60-Uzman_D!$C$15&lt;0, -(BE60-Uzman_D!$C$15), BE60-Uzman_D!$C$15)*0.1 +
        IF(BF60-Uzman_D!$D$15&lt;0, -(BF60-Uzman_D!$D$15), BF60-Uzman_D!$D$15)*0.1 +
        IF(BG60-Uzman_D!$E$15&lt;0, -(BG60-Uzman_D!$E$15), BG60-Uzman_D!$E$15)*0.1 +
        IF(BH60-Uzman_D!$F$15&lt;0, -(BH60-Uzman_D!$F$15), BH60-Uzman_D!$F$15)*0.1 +
        IF(BI60-Uzman_D!$G$15&lt;0, -(BI60-Uzman_D!$G$15), BI60-Uzman_D!$G$15)*0.1 +
        IF(BJ60-Uzman_D!$H$15&lt;0, -(BJ60-Uzman_D!$H$15), BJ60-Uzman_D!$H$15)*0.1 +
        IF(BK60-Uzman_D!$I$15&lt;0, -(BK60-Uzman_D!$I$15), BK60-Uzman_D!$I$15)*0.1 +
        IF(BL60-Uzman_D!$J$15&lt;0, -(BL60-Uzman_D!$J$15), BL60-Uzman_D!$J$15)*0.1
    ) +
    IF(ROUND((IF(BN60-Uzman_D!$L$15&lt;0, -(BN60-Uzman_D!$L$15), BN60-Uzman_D!$L$15)*2),0)/2 = IF(BN60-Uzman_D!$L$15&lt;0, -(BN60-Uzman_D!$L$15), BN60-Uzman_D!$L$15),
    (ROUND((IF(BN60-Uzman_D!$L$15&lt;0, -(BN60-Uzman_D!$L$15), BN60-Uzman_D!$L$15)*2),0)/1 * 0.1), 0) +
    IF(BO60-Uzman_D!$M$15&lt;0, -(BO60-Uzman_D!$M$15), BO60-Uzman_D!$M$15)*1
)</f>
        <v>-0.60000000000000009</v>
      </c>
      <c r="BQ60" s="74">
        <f t="shared" si="0"/>
        <v>-0.32000000000000017</v>
      </c>
    </row>
    <row r="61" spans="1:69" ht="15" customHeight="1" x14ac:dyDescent="0.2">
      <c r="A61" s="57">
        <v>58</v>
      </c>
      <c r="B61" s="29">
        <f>Hakemler!B61</f>
        <v>0</v>
      </c>
      <c r="C61" s="29">
        <f>Hakemler!C61</f>
        <v>0</v>
      </c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2"/>
      <c r="O61" s="72"/>
      <c r="P61" s="73">
        <f>1 - (
    SUM(
        IF(D61-Uzman_D!$B$11&lt;0, -(D61-Uzman_D!$B$11), D61-Uzman_D!$B$11)*0.1 +
        IF(E61-Uzman_D!$C$11&lt;0, -(E61-Uzman_D!$C$11), E61-Uzman_D!$C$11)*0.1 +
        IF(F61-Uzman_D!$D$11&lt;0, -(F61-Uzman_D!$D$11), F61-Uzman_D!$D$11)*0.1 +
        IF(G61-Uzman_D!$E$11&lt;0, -(G61-Uzman_D!$E$11), G61-Uzman_D!$E$11)*0.1 +
        IF(H61-Uzman_D!$F$11&lt;0, -(H61-Uzman_D!$F$11), H61-Uzman_D!$F$11)*0.1 +
        IF(I61-Uzman_D!$G$11&lt;0, -(I61-Uzman_D!$G$11), I61-Uzman_D!$G$11)*0.1 +
        IF(J61-Uzman_D!$H$11&lt;0, -(J61-Uzman_D!$H$11), J61-Uzman_D!$H$11)*0.1 +
        IF(K61-Uzman_D!$I$11&lt;0, -(K61-Uzman_D!$I$11), K61-Uzman_D!$I$11)*0.1 +
        IF(L61-Uzman_D!$J$11&lt;0, -(L61-Uzman_D!$J$11), L61-Uzman_D!$J$11)*0.1
    ) +
    IF(ROUND((IF(N61-Uzman_D!$L$11&lt;0, -(N61-Uzman_D!$L$11), N61-Uzman_D!$L$11)*2),0)/2 = IF(N61-Uzman_D!$L$11&lt;0, -(N61-Uzman_D!$L$11), N61-Uzman_D!$L$11),
    (ROUND((IF(N61-Uzman_D!$L$11&lt;0, -(N61-Uzman_D!$L$11), N61-Uzman_D!$L$11)*2),0)/1 * 0.1), 0) +
    IF(O61-Uzman_D!$M$11&lt;0, -(O61-Uzman_D!$M$11), O61-Uzman_D!$M$11)*1
)</f>
        <v>-0.30000000000000027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2"/>
      <c r="AB61" s="72"/>
      <c r="AC61" s="73">
        <f>1 - (
    SUM(
        IF(Q61-Uzman_D!$B$12&lt;0, -(Q61-Uzman_D!$B$12), Q61-Uzman_D!$B$12)*0.1 +
        IF(R61-Uzman_D!$C$12&lt;0, -(R61-Uzman_D!$C$12), R61-Uzman_D!$C$12)*0.1 +
        IF(S61-Uzman_D!$D$12&lt;0, -(S61-Uzman_D!$D$12), S61-Uzman_D!$D$12)*0.1 +
        IF(T61-Uzman_D!$E$12&lt;0, -(T61-Uzman_D!$E$12), T61-Uzman_D!$E$12)*0.1 +
        IF(U61-Uzman_D!$F$12&lt;0, -(U61-Uzman_D!$F$12), U61-Uzman_D!$F$12)*0.1 +
        IF(V61-Uzman_D!$G$12&lt;0, -(V61-Uzman_D!$G$12), V61-Uzman_D!$G$12)*0.1 +
        IF(W61-Uzman_D!$H$12&lt;0, -(W61-Uzman_D!$H$12), W61-Uzman_D!$H$12)*0.1 +
        IF(X61-Uzman_D!$I$12&lt;0, -(X61-Uzman_D!$I$12), X61-Uzman_D!$I$12)*0.1 +
        IF(Y61-Uzman_D!$J$12&lt;0, -(Y61-Uzman_D!$J$12), Y61-Uzman_D!$J$12)*0.1
    ) +
    IF(ROUND((IF(AA61-Uzman_D!$L$12&lt;0, -(AA61-Uzman_D!$L$12), AA61-Uzman_D!$L$12)*2),0)/2 = IF(AA61-Uzman_D!$L$12&lt;0, -(AA61-Uzman_D!$L$12), AA61-Uzman_D!$L$12),
    (ROUND((IF(AA61-Uzman_D!$L$12&lt;0, -(AA61-Uzman_D!$L$12), AA61-Uzman_D!$L$12)*2),0)/1 * 0.1), 0) +
    IF(AB61-Uzman_D!$M$12&lt;0, -(AB61-Uzman_D!$M$12), AB61-Uzman_D!$M$12)*1
)</f>
        <v>-0.20000000000000018</v>
      </c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2"/>
      <c r="AO61" s="72"/>
      <c r="AP61" s="73">
        <f>1 - (
    SUM(
        IF(AD61-Uzman_D!$B$13&lt;0, -(AD61-Uzman_D!$B$13), AD61-Uzman_D!$B$13)*0.1 +
        IF(AE61-Uzman_D!$C$13&lt;0, -(AE61-Uzman_D!$C$13), AE61-Uzman_D!$C$13)*0.1 +
        IF(AF61-Uzman_D!$D$13&lt;0, -(AF61-Uzman_D!$D$13), AF61-Uzman_D!$D$13)*0.1 +
        IF(AG61-Uzman_D!$E$13&lt;0, -(AG61-Uzman_D!$E$13), AG61-Uzman_D!$E$13)*0.1 +
        IF(AH61-Uzman_D!$F$13&lt;0, -(AH61-Uzman_D!$F$13), AH61-Uzman_D!$F$13)*0.1 +
        IF(AI61-Uzman_D!$G$13&lt;0, -(AI61-Uzman_D!$G$13), AI61-Uzman_D!$G$13)*0.1 +
        IF(AJ61-Uzman_D!$H$13&lt;0, -(AJ61-Uzman_D!$H$13), AJ61-Uzman_D!$H$13)*0.1 +
        IF(AK61-Uzman_D!$I$13&lt;0, -(AK61-Uzman_D!$I$13), AK61-Uzman_D!$I$13)*0.1 +
        IF(AL61-Uzman_D!$J$13&lt;0, -(AL61-Uzman_D!$J$13), AL61-Uzman_D!$J$13)*0.1
    ) +
    IF(ROUND((IF(AN61-Uzman_D!$L$13&lt;0, -(AN61-Uzman_D!$L$13), AN61-Uzman_D!$L$13)*2),0)/2 = IF(AN61-Uzman_D!$L$13&lt;0, -(AN61-Uzman_D!$L$13), AN61-Uzman_D!$L$13),
    (ROUND((IF(AN61-Uzman_D!$L$13&lt;0, -(AN61-Uzman_D!$L$13), AN61-Uzman_D!$L$13)*2),0)/1 * 0.1), 0) +
    IF(AO61-Uzman_D!$M$13&lt;0, -(AO61-Uzman_D!$M$13), AO61-Uzman_D!$M$13)*1
)</f>
        <v>-0.30000000000000004</v>
      </c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2"/>
      <c r="BB61" s="72"/>
      <c r="BC61" s="73">
        <f>1 - (
    SUM(
        IF(AQ61-Uzman_D!$B$14&lt;0, -(AQ61-Uzman_D!$B$14), AQ61-Uzman_D!$B$14)*0.1 +
        IF(AR61-Uzman_D!$C$14&lt;0, -(AR61-Uzman_D!$C$14), AR61-Uzman_D!$C$14)*0.1 +
        IF(AS61-Uzman_D!$D$14&lt;0, -(AS61-Uzman_D!$D$14), AS61-Uzman_D!$D$14)*0.1 +
        IF(AT61-Uzman_D!$E$14&lt;0, -(AT61-Uzman_D!$E$14), AT61-Uzman_D!$E$14)*0.1 +
        IF(AU61-Uzman_D!$F$14&lt;0, -(AU61-Uzman_D!$F$14), AU61-Uzman_D!$F$14)*0.1 +
        IF(AV61-Uzman_D!$G$14&lt;0, -(AV61-Uzman_D!$G$14), AV61-Uzman_D!$G$14)*0.1 +
        IF(AW61-Uzman_D!$H$14&lt;0, -(AW61-Uzman_D!$H$14), AW61-Uzman_D!$H$14)*0.1 +
        IF(AX61-Uzman_D!$I$14&lt;0, -(AX61-Uzman_D!$I$14), AX61-Uzman_D!$I$14)*0.1 +
        IF(AY61-Uzman_D!$J$14&lt;0, -(AY61-Uzman_D!$J$14), AY61-Uzman_D!$J$14)*0.1
    ) +
    IF(ROUND((IF(BA61-Uzman_D!$L$14&lt;0, -(BA61-Uzman_D!$L$14), BA61-Uzman_D!$L$14)*2),0)/2 = IF(BA61-Uzman_D!$L$14&lt;0, -(BA61-Uzman_D!$L$14), BA61-Uzman_D!$L$14),
    (ROUND((IF(BA61-Uzman_D!$L$14&lt;0, -(BA61-Uzman_D!$L$14), BA61-Uzman_D!$L$14)*2),0)/1 * 0.1), 0) +
    IF(BB61-Uzman_D!$M$14&lt;0, -(BB61-Uzman_D!$M$14), BB61-Uzman_D!$M$14)*1
)</f>
        <v>-0.20000000000000018</v>
      </c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2"/>
      <c r="BO61" s="72"/>
      <c r="BP61" s="73">
        <f>1 - (
    SUM(
        IF(BD61-Uzman_D!$B$15&lt;0, -(BD61-Uzman_D!$B$15), BD61-Uzman_D!$B$15)*0.1 +
        IF(BE61-Uzman_D!$C$15&lt;0, -(BE61-Uzman_D!$C$15), BE61-Uzman_D!$C$15)*0.1 +
        IF(BF61-Uzman_D!$D$15&lt;0, -(BF61-Uzman_D!$D$15), BF61-Uzman_D!$D$15)*0.1 +
        IF(BG61-Uzman_D!$E$15&lt;0, -(BG61-Uzman_D!$E$15), BG61-Uzman_D!$E$15)*0.1 +
        IF(BH61-Uzman_D!$F$15&lt;0, -(BH61-Uzman_D!$F$15), BH61-Uzman_D!$F$15)*0.1 +
        IF(BI61-Uzman_D!$G$15&lt;0, -(BI61-Uzman_D!$G$15), BI61-Uzman_D!$G$15)*0.1 +
        IF(BJ61-Uzman_D!$H$15&lt;0, -(BJ61-Uzman_D!$H$15), BJ61-Uzman_D!$H$15)*0.1 +
        IF(BK61-Uzman_D!$I$15&lt;0, -(BK61-Uzman_D!$I$15), BK61-Uzman_D!$I$15)*0.1 +
        IF(BL61-Uzman_D!$J$15&lt;0, -(BL61-Uzman_D!$J$15), BL61-Uzman_D!$J$15)*0.1
    ) +
    IF(ROUND((IF(BN61-Uzman_D!$L$15&lt;0, -(BN61-Uzman_D!$L$15), BN61-Uzman_D!$L$15)*2),0)/2 = IF(BN61-Uzman_D!$L$15&lt;0, -(BN61-Uzman_D!$L$15), BN61-Uzman_D!$L$15),
    (ROUND((IF(BN61-Uzman_D!$L$15&lt;0, -(BN61-Uzman_D!$L$15), BN61-Uzman_D!$L$15)*2),0)/1 * 0.1), 0) +
    IF(BO61-Uzman_D!$M$15&lt;0, -(BO61-Uzman_D!$M$15), BO61-Uzman_D!$M$15)*1
)</f>
        <v>-0.60000000000000009</v>
      </c>
      <c r="BQ61" s="74">
        <f t="shared" si="0"/>
        <v>-0.32000000000000017</v>
      </c>
    </row>
    <row r="62" spans="1:69" ht="15" customHeight="1" x14ac:dyDescent="0.2">
      <c r="A62" s="57">
        <v>59</v>
      </c>
      <c r="B62" s="29">
        <f>Hakemler!B62</f>
        <v>0</v>
      </c>
      <c r="C62" s="29">
        <f>Hakemler!C62</f>
        <v>0</v>
      </c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2"/>
      <c r="O62" s="72"/>
      <c r="P62" s="73">
        <f>1 - (
    SUM(
        IF(D62-Uzman_D!$B$11&lt;0, -(D62-Uzman_D!$B$11), D62-Uzman_D!$B$11)*0.1 +
        IF(E62-Uzman_D!$C$11&lt;0, -(E62-Uzman_D!$C$11), E62-Uzman_D!$C$11)*0.1 +
        IF(F62-Uzman_D!$D$11&lt;0, -(F62-Uzman_D!$D$11), F62-Uzman_D!$D$11)*0.1 +
        IF(G62-Uzman_D!$E$11&lt;0, -(G62-Uzman_D!$E$11), G62-Uzman_D!$E$11)*0.1 +
        IF(H62-Uzman_D!$F$11&lt;0, -(H62-Uzman_D!$F$11), H62-Uzman_D!$F$11)*0.1 +
        IF(I62-Uzman_D!$G$11&lt;0, -(I62-Uzman_D!$G$11), I62-Uzman_D!$G$11)*0.1 +
        IF(J62-Uzman_D!$H$11&lt;0, -(J62-Uzman_D!$H$11), J62-Uzman_D!$H$11)*0.1 +
        IF(K62-Uzman_D!$I$11&lt;0, -(K62-Uzman_D!$I$11), K62-Uzman_D!$I$11)*0.1 +
        IF(L62-Uzman_D!$J$11&lt;0, -(L62-Uzman_D!$J$11), L62-Uzman_D!$J$11)*0.1
    ) +
    IF(ROUND((IF(N62-Uzman_D!$L$11&lt;0, -(N62-Uzman_D!$L$11), N62-Uzman_D!$L$11)*2),0)/2 = IF(N62-Uzman_D!$L$11&lt;0, -(N62-Uzman_D!$L$11), N62-Uzman_D!$L$11),
    (ROUND((IF(N62-Uzman_D!$L$11&lt;0, -(N62-Uzman_D!$L$11), N62-Uzman_D!$L$11)*2),0)/1 * 0.1), 0) +
    IF(O62-Uzman_D!$M$11&lt;0, -(O62-Uzman_D!$M$11), O62-Uzman_D!$M$11)*1
)</f>
        <v>-0.30000000000000027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2"/>
      <c r="AB62" s="72"/>
      <c r="AC62" s="73">
        <f>1 - (
    SUM(
        IF(Q62-Uzman_D!$B$12&lt;0, -(Q62-Uzman_D!$B$12), Q62-Uzman_D!$B$12)*0.1 +
        IF(R62-Uzman_D!$C$12&lt;0, -(R62-Uzman_D!$C$12), R62-Uzman_D!$C$12)*0.1 +
        IF(S62-Uzman_D!$D$12&lt;0, -(S62-Uzman_D!$D$12), S62-Uzman_D!$D$12)*0.1 +
        IF(T62-Uzman_D!$E$12&lt;0, -(T62-Uzman_D!$E$12), T62-Uzman_D!$E$12)*0.1 +
        IF(U62-Uzman_D!$F$12&lt;0, -(U62-Uzman_D!$F$12), U62-Uzman_D!$F$12)*0.1 +
        IF(V62-Uzman_D!$G$12&lt;0, -(V62-Uzman_D!$G$12), V62-Uzman_D!$G$12)*0.1 +
        IF(W62-Uzman_D!$H$12&lt;0, -(W62-Uzman_D!$H$12), W62-Uzman_D!$H$12)*0.1 +
        IF(X62-Uzman_D!$I$12&lt;0, -(X62-Uzman_D!$I$12), X62-Uzman_D!$I$12)*0.1 +
        IF(Y62-Uzman_D!$J$12&lt;0, -(Y62-Uzman_D!$J$12), Y62-Uzman_D!$J$12)*0.1
    ) +
    IF(ROUND((IF(AA62-Uzman_D!$L$12&lt;0, -(AA62-Uzman_D!$L$12), AA62-Uzman_D!$L$12)*2),0)/2 = IF(AA62-Uzman_D!$L$12&lt;0, -(AA62-Uzman_D!$L$12), AA62-Uzman_D!$L$12),
    (ROUND((IF(AA62-Uzman_D!$L$12&lt;0, -(AA62-Uzman_D!$L$12), AA62-Uzman_D!$L$12)*2),0)/1 * 0.1), 0) +
    IF(AB62-Uzman_D!$M$12&lt;0, -(AB62-Uzman_D!$M$12), AB62-Uzman_D!$M$12)*1
)</f>
        <v>-0.20000000000000018</v>
      </c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2"/>
      <c r="AO62" s="72"/>
      <c r="AP62" s="73">
        <f>1 - (
    SUM(
        IF(AD62-Uzman_D!$B$13&lt;0, -(AD62-Uzman_D!$B$13), AD62-Uzman_D!$B$13)*0.1 +
        IF(AE62-Uzman_D!$C$13&lt;0, -(AE62-Uzman_D!$C$13), AE62-Uzman_D!$C$13)*0.1 +
        IF(AF62-Uzman_D!$D$13&lt;0, -(AF62-Uzman_D!$D$13), AF62-Uzman_D!$D$13)*0.1 +
        IF(AG62-Uzman_D!$E$13&lt;0, -(AG62-Uzman_D!$E$13), AG62-Uzman_D!$E$13)*0.1 +
        IF(AH62-Uzman_D!$F$13&lt;0, -(AH62-Uzman_D!$F$13), AH62-Uzman_D!$F$13)*0.1 +
        IF(AI62-Uzman_D!$G$13&lt;0, -(AI62-Uzman_D!$G$13), AI62-Uzman_D!$G$13)*0.1 +
        IF(AJ62-Uzman_D!$H$13&lt;0, -(AJ62-Uzman_D!$H$13), AJ62-Uzman_D!$H$13)*0.1 +
        IF(AK62-Uzman_D!$I$13&lt;0, -(AK62-Uzman_D!$I$13), AK62-Uzman_D!$I$13)*0.1 +
        IF(AL62-Uzman_D!$J$13&lt;0, -(AL62-Uzman_D!$J$13), AL62-Uzman_D!$J$13)*0.1
    ) +
    IF(ROUND((IF(AN62-Uzman_D!$L$13&lt;0, -(AN62-Uzman_D!$L$13), AN62-Uzman_D!$L$13)*2),0)/2 = IF(AN62-Uzman_D!$L$13&lt;0, -(AN62-Uzman_D!$L$13), AN62-Uzman_D!$L$13),
    (ROUND((IF(AN62-Uzman_D!$L$13&lt;0, -(AN62-Uzman_D!$L$13), AN62-Uzman_D!$L$13)*2),0)/1 * 0.1), 0) +
    IF(AO62-Uzman_D!$M$13&lt;0, -(AO62-Uzman_D!$M$13), AO62-Uzman_D!$M$13)*1
)</f>
        <v>-0.30000000000000004</v>
      </c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2"/>
      <c r="BB62" s="72"/>
      <c r="BC62" s="73">
        <f>1 - (
    SUM(
        IF(AQ62-Uzman_D!$B$14&lt;0, -(AQ62-Uzman_D!$B$14), AQ62-Uzman_D!$B$14)*0.1 +
        IF(AR62-Uzman_D!$C$14&lt;0, -(AR62-Uzman_D!$C$14), AR62-Uzman_D!$C$14)*0.1 +
        IF(AS62-Uzman_D!$D$14&lt;0, -(AS62-Uzman_D!$D$14), AS62-Uzman_D!$D$14)*0.1 +
        IF(AT62-Uzman_D!$E$14&lt;0, -(AT62-Uzman_D!$E$14), AT62-Uzman_D!$E$14)*0.1 +
        IF(AU62-Uzman_D!$F$14&lt;0, -(AU62-Uzman_D!$F$14), AU62-Uzman_D!$F$14)*0.1 +
        IF(AV62-Uzman_D!$G$14&lt;0, -(AV62-Uzman_D!$G$14), AV62-Uzman_D!$G$14)*0.1 +
        IF(AW62-Uzman_D!$H$14&lt;0, -(AW62-Uzman_D!$H$14), AW62-Uzman_D!$H$14)*0.1 +
        IF(AX62-Uzman_D!$I$14&lt;0, -(AX62-Uzman_D!$I$14), AX62-Uzman_D!$I$14)*0.1 +
        IF(AY62-Uzman_D!$J$14&lt;0, -(AY62-Uzman_D!$J$14), AY62-Uzman_D!$J$14)*0.1
    ) +
    IF(ROUND((IF(BA62-Uzman_D!$L$14&lt;0, -(BA62-Uzman_D!$L$14), BA62-Uzman_D!$L$14)*2),0)/2 = IF(BA62-Uzman_D!$L$14&lt;0, -(BA62-Uzman_D!$L$14), BA62-Uzman_D!$L$14),
    (ROUND((IF(BA62-Uzman_D!$L$14&lt;0, -(BA62-Uzman_D!$L$14), BA62-Uzman_D!$L$14)*2),0)/1 * 0.1), 0) +
    IF(BB62-Uzman_D!$M$14&lt;0, -(BB62-Uzman_D!$M$14), BB62-Uzman_D!$M$14)*1
)</f>
        <v>-0.20000000000000018</v>
      </c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2"/>
      <c r="BO62" s="72"/>
      <c r="BP62" s="73">
        <f>1 - (
    SUM(
        IF(BD62-Uzman_D!$B$15&lt;0, -(BD62-Uzman_D!$B$15), BD62-Uzman_D!$B$15)*0.1 +
        IF(BE62-Uzman_D!$C$15&lt;0, -(BE62-Uzman_D!$C$15), BE62-Uzman_D!$C$15)*0.1 +
        IF(BF62-Uzman_D!$D$15&lt;0, -(BF62-Uzman_D!$D$15), BF62-Uzman_D!$D$15)*0.1 +
        IF(BG62-Uzman_D!$E$15&lt;0, -(BG62-Uzman_D!$E$15), BG62-Uzman_D!$E$15)*0.1 +
        IF(BH62-Uzman_D!$F$15&lt;0, -(BH62-Uzman_D!$F$15), BH62-Uzman_D!$F$15)*0.1 +
        IF(BI62-Uzman_D!$G$15&lt;0, -(BI62-Uzman_D!$G$15), BI62-Uzman_D!$G$15)*0.1 +
        IF(BJ62-Uzman_D!$H$15&lt;0, -(BJ62-Uzman_D!$H$15), BJ62-Uzman_D!$H$15)*0.1 +
        IF(BK62-Uzman_D!$I$15&lt;0, -(BK62-Uzman_D!$I$15), BK62-Uzman_D!$I$15)*0.1 +
        IF(BL62-Uzman_D!$J$15&lt;0, -(BL62-Uzman_D!$J$15), BL62-Uzman_D!$J$15)*0.1
    ) +
    IF(ROUND((IF(BN62-Uzman_D!$L$15&lt;0, -(BN62-Uzman_D!$L$15), BN62-Uzman_D!$L$15)*2),0)/2 = IF(BN62-Uzman_D!$L$15&lt;0, -(BN62-Uzman_D!$L$15), BN62-Uzman_D!$L$15),
    (ROUND((IF(BN62-Uzman_D!$L$15&lt;0, -(BN62-Uzman_D!$L$15), BN62-Uzman_D!$L$15)*2),0)/1 * 0.1), 0) +
    IF(BO62-Uzman_D!$M$15&lt;0, -(BO62-Uzman_D!$M$15), BO62-Uzman_D!$M$15)*1
)</f>
        <v>-0.60000000000000009</v>
      </c>
      <c r="BQ62" s="74">
        <f t="shared" si="0"/>
        <v>-0.32000000000000017</v>
      </c>
    </row>
    <row r="63" spans="1:69" ht="15" customHeight="1" x14ac:dyDescent="0.2">
      <c r="A63" s="57">
        <v>60</v>
      </c>
      <c r="B63" s="29">
        <f>Hakemler!B63</f>
        <v>0</v>
      </c>
      <c r="C63" s="29">
        <f>Hakemler!C63</f>
        <v>0</v>
      </c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2"/>
      <c r="O63" s="72"/>
      <c r="P63" s="73">
        <f>1 - (
    SUM(
        IF(D63-Uzman_D!$B$11&lt;0, -(D63-Uzman_D!$B$11), D63-Uzman_D!$B$11)*0.1 +
        IF(E63-Uzman_D!$C$11&lt;0, -(E63-Uzman_D!$C$11), E63-Uzman_D!$C$11)*0.1 +
        IF(F63-Uzman_D!$D$11&lt;0, -(F63-Uzman_D!$D$11), F63-Uzman_D!$D$11)*0.1 +
        IF(G63-Uzman_D!$E$11&lt;0, -(G63-Uzman_D!$E$11), G63-Uzman_D!$E$11)*0.1 +
        IF(H63-Uzman_D!$F$11&lt;0, -(H63-Uzman_D!$F$11), H63-Uzman_D!$F$11)*0.1 +
        IF(I63-Uzman_D!$G$11&lt;0, -(I63-Uzman_D!$G$11), I63-Uzman_D!$G$11)*0.1 +
        IF(J63-Uzman_D!$H$11&lt;0, -(J63-Uzman_D!$H$11), J63-Uzman_D!$H$11)*0.1 +
        IF(K63-Uzman_D!$I$11&lt;0, -(K63-Uzman_D!$I$11), K63-Uzman_D!$I$11)*0.1 +
        IF(L63-Uzman_D!$J$11&lt;0, -(L63-Uzman_D!$J$11), L63-Uzman_D!$J$11)*0.1
    ) +
    IF(ROUND((IF(N63-Uzman_D!$L$11&lt;0, -(N63-Uzman_D!$L$11), N63-Uzman_D!$L$11)*2),0)/2 = IF(N63-Uzman_D!$L$11&lt;0, -(N63-Uzman_D!$L$11), N63-Uzman_D!$L$11),
    (ROUND((IF(N63-Uzman_D!$L$11&lt;0, -(N63-Uzman_D!$L$11), N63-Uzman_D!$L$11)*2),0)/1 * 0.1), 0) +
    IF(O63-Uzman_D!$M$11&lt;0, -(O63-Uzman_D!$M$11), O63-Uzman_D!$M$11)*1
)</f>
        <v>-0.30000000000000027</v>
      </c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2"/>
      <c r="AB63" s="72"/>
      <c r="AC63" s="73">
        <f>1 - (
    SUM(
        IF(Q63-Uzman_D!$B$12&lt;0, -(Q63-Uzman_D!$B$12), Q63-Uzman_D!$B$12)*0.1 +
        IF(R63-Uzman_D!$C$12&lt;0, -(R63-Uzman_D!$C$12), R63-Uzman_D!$C$12)*0.1 +
        IF(S63-Uzman_D!$D$12&lt;0, -(S63-Uzman_D!$D$12), S63-Uzman_D!$D$12)*0.1 +
        IF(T63-Uzman_D!$E$12&lt;0, -(T63-Uzman_D!$E$12), T63-Uzman_D!$E$12)*0.1 +
        IF(U63-Uzman_D!$F$12&lt;0, -(U63-Uzman_D!$F$12), U63-Uzman_D!$F$12)*0.1 +
        IF(V63-Uzman_D!$G$12&lt;0, -(V63-Uzman_D!$G$12), V63-Uzman_D!$G$12)*0.1 +
        IF(W63-Uzman_D!$H$12&lt;0, -(W63-Uzman_D!$H$12), W63-Uzman_D!$H$12)*0.1 +
        IF(X63-Uzman_D!$I$12&lt;0, -(X63-Uzman_D!$I$12), X63-Uzman_D!$I$12)*0.1 +
        IF(Y63-Uzman_D!$J$12&lt;0, -(Y63-Uzman_D!$J$12), Y63-Uzman_D!$J$12)*0.1
    ) +
    IF(ROUND((IF(AA63-Uzman_D!$L$12&lt;0, -(AA63-Uzman_D!$L$12), AA63-Uzman_D!$L$12)*2),0)/2 = IF(AA63-Uzman_D!$L$12&lt;0, -(AA63-Uzman_D!$L$12), AA63-Uzman_D!$L$12),
    (ROUND((IF(AA63-Uzman_D!$L$12&lt;0, -(AA63-Uzman_D!$L$12), AA63-Uzman_D!$L$12)*2),0)/1 * 0.1), 0) +
    IF(AB63-Uzman_D!$M$12&lt;0, -(AB63-Uzman_D!$M$12), AB63-Uzman_D!$M$12)*1
)</f>
        <v>-0.20000000000000018</v>
      </c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2"/>
      <c r="AO63" s="72"/>
      <c r="AP63" s="73">
        <f>1 - (
    SUM(
        IF(AD63-Uzman_D!$B$13&lt;0, -(AD63-Uzman_D!$B$13), AD63-Uzman_D!$B$13)*0.1 +
        IF(AE63-Uzman_D!$C$13&lt;0, -(AE63-Uzman_D!$C$13), AE63-Uzman_D!$C$13)*0.1 +
        IF(AF63-Uzman_D!$D$13&lt;0, -(AF63-Uzman_D!$D$13), AF63-Uzman_D!$D$13)*0.1 +
        IF(AG63-Uzman_D!$E$13&lt;0, -(AG63-Uzman_D!$E$13), AG63-Uzman_D!$E$13)*0.1 +
        IF(AH63-Uzman_D!$F$13&lt;0, -(AH63-Uzman_D!$F$13), AH63-Uzman_D!$F$13)*0.1 +
        IF(AI63-Uzman_D!$G$13&lt;0, -(AI63-Uzman_D!$G$13), AI63-Uzman_D!$G$13)*0.1 +
        IF(AJ63-Uzman_D!$H$13&lt;0, -(AJ63-Uzman_D!$H$13), AJ63-Uzman_D!$H$13)*0.1 +
        IF(AK63-Uzman_D!$I$13&lt;0, -(AK63-Uzman_D!$I$13), AK63-Uzman_D!$I$13)*0.1 +
        IF(AL63-Uzman_D!$J$13&lt;0, -(AL63-Uzman_D!$J$13), AL63-Uzman_D!$J$13)*0.1
    ) +
    IF(ROUND((IF(AN63-Uzman_D!$L$13&lt;0, -(AN63-Uzman_D!$L$13), AN63-Uzman_D!$L$13)*2),0)/2 = IF(AN63-Uzman_D!$L$13&lt;0, -(AN63-Uzman_D!$L$13), AN63-Uzman_D!$L$13),
    (ROUND((IF(AN63-Uzman_D!$L$13&lt;0, -(AN63-Uzman_D!$L$13), AN63-Uzman_D!$L$13)*2),0)/1 * 0.1), 0) +
    IF(AO63-Uzman_D!$M$13&lt;0, -(AO63-Uzman_D!$M$13), AO63-Uzman_D!$M$13)*1
)</f>
        <v>-0.30000000000000004</v>
      </c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2"/>
      <c r="BB63" s="72"/>
      <c r="BC63" s="73">
        <f>1 - (
    SUM(
        IF(AQ63-Uzman_D!$B$14&lt;0, -(AQ63-Uzman_D!$B$14), AQ63-Uzman_D!$B$14)*0.1 +
        IF(AR63-Uzman_D!$C$14&lt;0, -(AR63-Uzman_D!$C$14), AR63-Uzman_D!$C$14)*0.1 +
        IF(AS63-Uzman_D!$D$14&lt;0, -(AS63-Uzman_D!$D$14), AS63-Uzman_D!$D$14)*0.1 +
        IF(AT63-Uzman_D!$E$14&lt;0, -(AT63-Uzman_D!$E$14), AT63-Uzman_D!$E$14)*0.1 +
        IF(AU63-Uzman_D!$F$14&lt;0, -(AU63-Uzman_D!$F$14), AU63-Uzman_D!$F$14)*0.1 +
        IF(AV63-Uzman_D!$G$14&lt;0, -(AV63-Uzman_D!$G$14), AV63-Uzman_D!$G$14)*0.1 +
        IF(AW63-Uzman_D!$H$14&lt;0, -(AW63-Uzman_D!$H$14), AW63-Uzman_D!$H$14)*0.1 +
        IF(AX63-Uzman_D!$I$14&lt;0, -(AX63-Uzman_D!$I$14), AX63-Uzman_D!$I$14)*0.1 +
        IF(AY63-Uzman_D!$J$14&lt;0, -(AY63-Uzman_D!$J$14), AY63-Uzman_D!$J$14)*0.1
    ) +
    IF(ROUND((IF(BA63-Uzman_D!$L$14&lt;0, -(BA63-Uzman_D!$L$14), BA63-Uzman_D!$L$14)*2),0)/2 = IF(BA63-Uzman_D!$L$14&lt;0, -(BA63-Uzman_D!$L$14), BA63-Uzman_D!$L$14),
    (ROUND((IF(BA63-Uzman_D!$L$14&lt;0, -(BA63-Uzman_D!$L$14), BA63-Uzman_D!$L$14)*2),0)/1 * 0.1), 0) +
    IF(BB63-Uzman_D!$M$14&lt;0, -(BB63-Uzman_D!$M$14), BB63-Uzman_D!$M$14)*1
)</f>
        <v>-0.20000000000000018</v>
      </c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2"/>
      <c r="BO63" s="72"/>
      <c r="BP63" s="73">
        <f>1 - (
    SUM(
        IF(BD63-Uzman_D!$B$15&lt;0, -(BD63-Uzman_D!$B$15), BD63-Uzman_D!$B$15)*0.1 +
        IF(BE63-Uzman_D!$C$15&lt;0, -(BE63-Uzman_D!$C$15), BE63-Uzman_D!$C$15)*0.1 +
        IF(BF63-Uzman_D!$D$15&lt;0, -(BF63-Uzman_D!$D$15), BF63-Uzman_D!$D$15)*0.1 +
        IF(BG63-Uzman_D!$E$15&lt;0, -(BG63-Uzman_D!$E$15), BG63-Uzman_D!$E$15)*0.1 +
        IF(BH63-Uzman_D!$F$15&lt;0, -(BH63-Uzman_D!$F$15), BH63-Uzman_D!$F$15)*0.1 +
        IF(BI63-Uzman_D!$G$15&lt;0, -(BI63-Uzman_D!$G$15), BI63-Uzman_D!$G$15)*0.1 +
        IF(BJ63-Uzman_D!$H$15&lt;0, -(BJ63-Uzman_D!$H$15), BJ63-Uzman_D!$H$15)*0.1 +
        IF(BK63-Uzman_D!$I$15&lt;0, -(BK63-Uzman_D!$I$15), BK63-Uzman_D!$I$15)*0.1 +
        IF(BL63-Uzman_D!$J$15&lt;0, -(BL63-Uzman_D!$J$15), BL63-Uzman_D!$J$15)*0.1
    ) +
    IF(ROUND((IF(BN63-Uzman_D!$L$15&lt;0, -(BN63-Uzman_D!$L$15), BN63-Uzman_D!$L$15)*2),0)/2 = IF(BN63-Uzman_D!$L$15&lt;0, -(BN63-Uzman_D!$L$15), BN63-Uzman_D!$L$15),
    (ROUND((IF(BN63-Uzman_D!$L$15&lt;0, -(BN63-Uzman_D!$L$15), BN63-Uzman_D!$L$15)*2),0)/1 * 0.1), 0) +
    IF(BO63-Uzman_D!$M$15&lt;0, -(BO63-Uzman_D!$M$15), BO63-Uzman_D!$M$15)*1
)</f>
        <v>-0.60000000000000009</v>
      </c>
      <c r="BQ63" s="74">
        <f t="shared" si="0"/>
        <v>-0.32000000000000017</v>
      </c>
    </row>
    <row r="64" spans="1:69" ht="15" customHeight="1" x14ac:dyDescent="0.2">
      <c r="A64" s="57">
        <v>61</v>
      </c>
      <c r="B64" s="29">
        <f>Hakemler!B64</f>
        <v>0</v>
      </c>
      <c r="C64" s="29">
        <f>Hakemler!C64</f>
        <v>0</v>
      </c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2"/>
      <c r="O64" s="72"/>
      <c r="P64" s="73">
        <f>1 - (
    SUM(
        IF(D64-Uzman_D!$B$11&lt;0, -(D64-Uzman_D!$B$11), D64-Uzman_D!$B$11)*0.1 +
        IF(E64-Uzman_D!$C$11&lt;0, -(E64-Uzman_D!$C$11), E64-Uzman_D!$C$11)*0.1 +
        IF(F64-Uzman_D!$D$11&lt;0, -(F64-Uzman_D!$D$11), F64-Uzman_D!$D$11)*0.1 +
        IF(G64-Uzman_D!$E$11&lt;0, -(G64-Uzman_D!$E$11), G64-Uzman_D!$E$11)*0.1 +
        IF(H64-Uzman_D!$F$11&lt;0, -(H64-Uzman_D!$F$11), H64-Uzman_D!$F$11)*0.1 +
        IF(I64-Uzman_D!$G$11&lt;0, -(I64-Uzman_D!$G$11), I64-Uzman_D!$G$11)*0.1 +
        IF(J64-Uzman_D!$H$11&lt;0, -(J64-Uzman_D!$H$11), J64-Uzman_D!$H$11)*0.1 +
        IF(K64-Uzman_D!$I$11&lt;0, -(K64-Uzman_D!$I$11), K64-Uzman_D!$I$11)*0.1 +
        IF(L64-Uzman_D!$J$11&lt;0, -(L64-Uzman_D!$J$11), L64-Uzman_D!$J$11)*0.1
    ) +
    IF(ROUND((IF(N64-Uzman_D!$L$11&lt;0, -(N64-Uzman_D!$L$11), N64-Uzman_D!$L$11)*2),0)/2 = IF(N64-Uzman_D!$L$11&lt;0, -(N64-Uzman_D!$L$11), N64-Uzman_D!$L$11),
    (ROUND((IF(N64-Uzman_D!$L$11&lt;0, -(N64-Uzman_D!$L$11), N64-Uzman_D!$L$11)*2),0)/1 * 0.1), 0) +
    IF(O64-Uzman_D!$M$11&lt;0, -(O64-Uzman_D!$M$11), O64-Uzman_D!$M$11)*1
)</f>
        <v>-0.30000000000000027</v>
      </c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2"/>
      <c r="AB64" s="72"/>
      <c r="AC64" s="73">
        <f>1 - (
    SUM(
        IF(Q64-Uzman_D!$B$12&lt;0, -(Q64-Uzman_D!$B$12), Q64-Uzman_D!$B$12)*0.1 +
        IF(R64-Uzman_D!$C$12&lt;0, -(R64-Uzman_D!$C$12), R64-Uzman_D!$C$12)*0.1 +
        IF(S64-Uzman_D!$D$12&lt;0, -(S64-Uzman_D!$D$12), S64-Uzman_D!$D$12)*0.1 +
        IF(T64-Uzman_D!$E$12&lt;0, -(T64-Uzman_D!$E$12), T64-Uzman_D!$E$12)*0.1 +
        IF(U64-Uzman_D!$F$12&lt;0, -(U64-Uzman_D!$F$12), U64-Uzman_D!$F$12)*0.1 +
        IF(V64-Uzman_D!$G$12&lt;0, -(V64-Uzman_D!$G$12), V64-Uzman_D!$G$12)*0.1 +
        IF(W64-Uzman_D!$H$12&lt;0, -(W64-Uzman_D!$H$12), W64-Uzman_D!$H$12)*0.1 +
        IF(X64-Uzman_D!$I$12&lt;0, -(X64-Uzman_D!$I$12), X64-Uzman_D!$I$12)*0.1 +
        IF(Y64-Uzman_D!$J$12&lt;0, -(Y64-Uzman_D!$J$12), Y64-Uzman_D!$J$12)*0.1
    ) +
    IF(ROUND((IF(AA64-Uzman_D!$L$12&lt;0, -(AA64-Uzman_D!$L$12), AA64-Uzman_D!$L$12)*2),0)/2 = IF(AA64-Uzman_D!$L$12&lt;0, -(AA64-Uzman_D!$L$12), AA64-Uzman_D!$L$12),
    (ROUND((IF(AA64-Uzman_D!$L$12&lt;0, -(AA64-Uzman_D!$L$12), AA64-Uzman_D!$L$12)*2),0)/1 * 0.1), 0) +
    IF(AB64-Uzman_D!$M$12&lt;0, -(AB64-Uzman_D!$M$12), AB64-Uzman_D!$M$12)*1
)</f>
        <v>-0.20000000000000018</v>
      </c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2"/>
      <c r="AO64" s="72"/>
      <c r="AP64" s="73">
        <f>1 - (
    SUM(
        IF(AD64-Uzman_D!$B$13&lt;0, -(AD64-Uzman_D!$B$13), AD64-Uzman_D!$B$13)*0.1 +
        IF(AE64-Uzman_D!$C$13&lt;0, -(AE64-Uzman_D!$C$13), AE64-Uzman_D!$C$13)*0.1 +
        IF(AF64-Uzman_D!$D$13&lt;0, -(AF64-Uzman_D!$D$13), AF64-Uzman_D!$D$13)*0.1 +
        IF(AG64-Uzman_D!$E$13&lt;0, -(AG64-Uzman_D!$E$13), AG64-Uzman_D!$E$13)*0.1 +
        IF(AH64-Uzman_D!$F$13&lt;0, -(AH64-Uzman_D!$F$13), AH64-Uzman_D!$F$13)*0.1 +
        IF(AI64-Uzman_D!$G$13&lt;0, -(AI64-Uzman_D!$G$13), AI64-Uzman_D!$G$13)*0.1 +
        IF(AJ64-Uzman_D!$H$13&lt;0, -(AJ64-Uzman_D!$H$13), AJ64-Uzman_D!$H$13)*0.1 +
        IF(AK64-Uzman_D!$I$13&lt;0, -(AK64-Uzman_D!$I$13), AK64-Uzman_D!$I$13)*0.1 +
        IF(AL64-Uzman_D!$J$13&lt;0, -(AL64-Uzman_D!$J$13), AL64-Uzman_D!$J$13)*0.1
    ) +
    IF(ROUND((IF(AN64-Uzman_D!$L$13&lt;0, -(AN64-Uzman_D!$L$13), AN64-Uzman_D!$L$13)*2),0)/2 = IF(AN64-Uzman_D!$L$13&lt;0, -(AN64-Uzman_D!$L$13), AN64-Uzman_D!$L$13),
    (ROUND((IF(AN64-Uzman_D!$L$13&lt;0, -(AN64-Uzman_D!$L$13), AN64-Uzman_D!$L$13)*2),0)/1 * 0.1), 0) +
    IF(AO64-Uzman_D!$M$13&lt;0, -(AO64-Uzman_D!$M$13), AO64-Uzman_D!$M$13)*1
)</f>
        <v>-0.30000000000000004</v>
      </c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2"/>
      <c r="BB64" s="72"/>
      <c r="BC64" s="73">
        <f>1 - (
    SUM(
        IF(AQ64-Uzman_D!$B$14&lt;0, -(AQ64-Uzman_D!$B$14), AQ64-Uzman_D!$B$14)*0.1 +
        IF(AR64-Uzman_D!$C$14&lt;0, -(AR64-Uzman_D!$C$14), AR64-Uzman_D!$C$14)*0.1 +
        IF(AS64-Uzman_D!$D$14&lt;0, -(AS64-Uzman_D!$D$14), AS64-Uzman_D!$D$14)*0.1 +
        IF(AT64-Uzman_D!$E$14&lt;0, -(AT64-Uzman_D!$E$14), AT64-Uzman_D!$E$14)*0.1 +
        IF(AU64-Uzman_D!$F$14&lt;0, -(AU64-Uzman_D!$F$14), AU64-Uzman_D!$F$14)*0.1 +
        IF(AV64-Uzman_D!$G$14&lt;0, -(AV64-Uzman_D!$G$14), AV64-Uzman_D!$G$14)*0.1 +
        IF(AW64-Uzman_D!$H$14&lt;0, -(AW64-Uzman_D!$H$14), AW64-Uzman_D!$H$14)*0.1 +
        IF(AX64-Uzman_D!$I$14&lt;0, -(AX64-Uzman_D!$I$14), AX64-Uzman_D!$I$14)*0.1 +
        IF(AY64-Uzman_D!$J$14&lt;0, -(AY64-Uzman_D!$J$14), AY64-Uzman_D!$J$14)*0.1
    ) +
    IF(ROUND((IF(BA64-Uzman_D!$L$14&lt;0, -(BA64-Uzman_D!$L$14), BA64-Uzman_D!$L$14)*2),0)/2 = IF(BA64-Uzman_D!$L$14&lt;0, -(BA64-Uzman_D!$L$14), BA64-Uzman_D!$L$14),
    (ROUND((IF(BA64-Uzman_D!$L$14&lt;0, -(BA64-Uzman_D!$L$14), BA64-Uzman_D!$L$14)*2),0)/1 * 0.1), 0) +
    IF(BB64-Uzman_D!$M$14&lt;0, -(BB64-Uzman_D!$M$14), BB64-Uzman_D!$M$14)*1
)</f>
        <v>-0.20000000000000018</v>
      </c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2"/>
      <c r="BO64" s="72"/>
      <c r="BP64" s="73">
        <f>1 - (
    SUM(
        IF(BD64-Uzman_D!$B$15&lt;0, -(BD64-Uzman_D!$B$15), BD64-Uzman_D!$B$15)*0.1 +
        IF(BE64-Uzman_D!$C$15&lt;0, -(BE64-Uzman_D!$C$15), BE64-Uzman_D!$C$15)*0.1 +
        IF(BF64-Uzman_D!$D$15&lt;0, -(BF64-Uzman_D!$D$15), BF64-Uzman_D!$D$15)*0.1 +
        IF(BG64-Uzman_D!$E$15&lt;0, -(BG64-Uzman_D!$E$15), BG64-Uzman_D!$E$15)*0.1 +
        IF(BH64-Uzman_D!$F$15&lt;0, -(BH64-Uzman_D!$F$15), BH64-Uzman_D!$F$15)*0.1 +
        IF(BI64-Uzman_D!$G$15&lt;0, -(BI64-Uzman_D!$G$15), BI64-Uzman_D!$G$15)*0.1 +
        IF(BJ64-Uzman_D!$H$15&lt;0, -(BJ64-Uzman_D!$H$15), BJ64-Uzman_D!$H$15)*0.1 +
        IF(BK64-Uzman_D!$I$15&lt;0, -(BK64-Uzman_D!$I$15), BK64-Uzman_D!$I$15)*0.1 +
        IF(BL64-Uzman_D!$J$15&lt;0, -(BL64-Uzman_D!$J$15), BL64-Uzman_D!$J$15)*0.1
    ) +
    IF(ROUND((IF(BN64-Uzman_D!$L$15&lt;0, -(BN64-Uzman_D!$L$15), BN64-Uzman_D!$L$15)*2),0)/2 = IF(BN64-Uzman_D!$L$15&lt;0, -(BN64-Uzman_D!$L$15), BN64-Uzman_D!$L$15),
    (ROUND((IF(BN64-Uzman_D!$L$15&lt;0, -(BN64-Uzman_D!$L$15), BN64-Uzman_D!$L$15)*2),0)/1 * 0.1), 0) +
    IF(BO64-Uzman_D!$M$15&lt;0, -(BO64-Uzman_D!$M$15), BO64-Uzman_D!$M$15)*1
)</f>
        <v>-0.60000000000000009</v>
      </c>
      <c r="BQ64" s="74">
        <f t="shared" si="0"/>
        <v>-0.32000000000000017</v>
      </c>
    </row>
    <row r="65" spans="1:69" ht="15" customHeight="1" x14ac:dyDescent="0.2">
      <c r="A65" s="57">
        <v>62</v>
      </c>
      <c r="B65" s="29">
        <f>Hakemler!B65</f>
        <v>0</v>
      </c>
      <c r="C65" s="29">
        <f>Hakemler!C65</f>
        <v>0</v>
      </c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2"/>
      <c r="O65" s="72"/>
      <c r="P65" s="73">
        <f>1 - (
    SUM(
        IF(D65-Uzman_D!$B$11&lt;0, -(D65-Uzman_D!$B$11), D65-Uzman_D!$B$11)*0.1 +
        IF(E65-Uzman_D!$C$11&lt;0, -(E65-Uzman_D!$C$11), E65-Uzman_D!$C$11)*0.1 +
        IF(F65-Uzman_D!$D$11&lt;0, -(F65-Uzman_D!$D$11), F65-Uzman_D!$D$11)*0.1 +
        IF(G65-Uzman_D!$E$11&lt;0, -(G65-Uzman_D!$E$11), G65-Uzman_D!$E$11)*0.1 +
        IF(H65-Uzman_D!$F$11&lt;0, -(H65-Uzman_D!$F$11), H65-Uzman_D!$F$11)*0.1 +
        IF(I65-Uzman_D!$G$11&lt;0, -(I65-Uzman_D!$G$11), I65-Uzman_D!$G$11)*0.1 +
        IF(J65-Uzman_D!$H$11&lt;0, -(J65-Uzman_D!$H$11), J65-Uzman_D!$H$11)*0.1 +
        IF(K65-Uzman_D!$I$11&lt;0, -(K65-Uzman_D!$I$11), K65-Uzman_D!$I$11)*0.1 +
        IF(L65-Uzman_D!$J$11&lt;0, -(L65-Uzman_D!$J$11), L65-Uzman_D!$J$11)*0.1
    ) +
    IF(ROUND((IF(N65-Uzman_D!$L$11&lt;0, -(N65-Uzman_D!$L$11), N65-Uzman_D!$L$11)*2),0)/2 = IF(N65-Uzman_D!$L$11&lt;0, -(N65-Uzman_D!$L$11), N65-Uzman_D!$L$11),
    (ROUND((IF(N65-Uzman_D!$L$11&lt;0, -(N65-Uzman_D!$L$11), N65-Uzman_D!$L$11)*2),0)/1 * 0.1), 0) +
    IF(O65-Uzman_D!$M$11&lt;0, -(O65-Uzman_D!$M$11), O65-Uzman_D!$M$11)*1
)</f>
        <v>-0.30000000000000027</v>
      </c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2"/>
      <c r="AB65" s="72"/>
      <c r="AC65" s="73">
        <f>1 - (
    SUM(
        IF(Q65-Uzman_D!$B$12&lt;0, -(Q65-Uzman_D!$B$12), Q65-Uzman_D!$B$12)*0.1 +
        IF(R65-Uzman_D!$C$12&lt;0, -(R65-Uzman_D!$C$12), R65-Uzman_D!$C$12)*0.1 +
        IF(S65-Uzman_D!$D$12&lt;0, -(S65-Uzman_D!$D$12), S65-Uzman_D!$D$12)*0.1 +
        IF(T65-Uzman_D!$E$12&lt;0, -(T65-Uzman_D!$E$12), T65-Uzman_D!$E$12)*0.1 +
        IF(U65-Uzman_D!$F$12&lt;0, -(U65-Uzman_D!$F$12), U65-Uzman_D!$F$12)*0.1 +
        IF(V65-Uzman_D!$G$12&lt;0, -(V65-Uzman_D!$G$12), V65-Uzman_D!$G$12)*0.1 +
        IF(W65-Uzman_D!$H$12&lt;0, -(W65-Uzman_D!$H$12), W65-Uzman_D!$H$12)*0.1 +
        IF(X65-Uzman_D!$I$12&lt;0, -(X65-Uzman_D!$I$12), X65-Uzman_D!$I$12)*0.1 +
        IF(Y65-Uzman_D!$J$12&lt;0, -(Y65-Uzman_D!$J$12), Y65-Uzman_D!$J$12)*0.1
    ) +
    IF(ROUND((IF(AA65-Uzman_D!$L$12&lt;0, -(AA65-Uzman_D!$L$12), AA65-Uzman_D!$L$12)*2),0)/2 = IF(AA65-Uzman_D!$L$12&lt;0, -(AA65-Uzman_D!$L$12), AA65-Uzman_D!$L$12),
    (ROUND((IF(AA65-Uzman_D!$L$12&lt;0, -(AA65-Uzman_D!$L$12), AA65-Uzman_D!$L$12)*2),0)/1 * 0.1), 0) +
    IF(AB65-Uzman_D!$M$12&lt;0, -(AB65-Uzman_D!$M$12), AB65-Uzman_D!$M$12)*1
)</f>
        <v>-0.20000000000000018</v>
      </c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2"/>
      <c r="AO65" s="72"/>
      <c r="AP65" s="73">
        <f>1 - (
    SUM(
        IF(AD65-Uzman_D!$B$13&lt;0, -(AD65-Uzman_D!$B$13), AD65-Uzman_D!$B$13)*0.1 +
        IF(AE65-Uzman_D!$C$13&lt;0, -(AE65-Uzman_D!$C$13), AE65-Uzman_D!$C$13)*0.1 +
        IF(AF65-Uzman_D!$D$13&lt;0, -(AF65-Uzman_D!$D$13), AF65-Uzman_D!$D$13)*0.1 +
        IF(AG65-Uzman_D!$E$13&lt;0, -(AG65-Uzman_D!$E$13), AG65-Uzman_D!$E$13)*0.1 +
        IF(AH65-Uzman_D!$F$13&lt;0, -(AH65-Uzman_D!$F$13), AH65-Uzman_D!$F$13)*0.1 +
        IF(AI65-Uzman_D!$G$13&lt;0, -(AI65-Uzman_D!$G$13), AI65-Uzman_D!$G$13)*0.1 +
        IF(AJ65-Uzman_D!$H$13&lt;0, -(AJ65-Uzman_D!$H$13), AJ65-Uzman_D!$H$13)*0.1 +
        IF(AK65-Uzman_D!$I$13&lt;0, -(AK65-Uzman_D!$I$13), AK65-Uzman_D!$I$13)*0.1 +
        IF(AL65-Uzman_D!$J$13&lt;0, -(AL65-Uzman_D!$J$13), AL65-Uzman_D!$J$13)*0.1
    ) +
    IF(ROUND((IF(AN65-Uzman_D!$L$13&lt;0, -(AN65-Uzman_D!$L$13), AN65-Uzman_D!$L$13)*2),0)/2 = IF(AN65-Uzman_D!$L$13&lt;0, -(AN65-Uzman_D!$L$13), AN65-Uzman_D!$L$13),
    (ROUND((IF(AN65-Uzman_D!$L$13&lt;0, -(AN65-Uzman_D!$L$13), AN65-Uzman_D!$L$13)*2),0)/1 * 0.1), 0) +
    IF(AO65-Uzman_D!$M$13&lt;0, -(AO65-Uzman_D!$M$13), AO65-Uzman_D!$M$13)*1
)</f>
        <v>-0.30000000000000004</v>
      </c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2"/>
      <c r="BB65" s="72"/>
      <c r="BC65" s="73">
        <f>1 - (
    SUM(
        IF(AQ65-Uzman_D!$B$14&lt;0, -(AQ65-Uzman_D!$B$14), AQ65-Uzman_D!$B$14)*0.1 +
        IF(AR65-Uzman_D!$C$14&lt;0, -(AR65-Uzman_D!$C$14), AR65-Uzman_D!$C$14)*0.1 +
        IF(AS65-Uzman_D!$D$14&lt;0, -(AS65-Uzman_D!$D$14), AS65-Uzman_D!$D$14)*0.1 +
        IF(AT65-Uzman_D!$E$14&lt;0, -(AT65-Uzman_D!$E$14), AT65-Uzman_D!$E$14)*0.1 +
        IF(AU65-Uzman_D!$F$14&lt;0, -(AU65-Uzman_D!$F$14), AU65-Uzman_D!$F$14)*0.1 +
        IF(AV65-Uzman_D!$G$14&lt;0, -(AV65-Uzman_D!$G$14), AV65-Uzman_D!$G$14)*0.1 +
        IF(AW65-Uzman_D!$H$14&lt;0, -(AW65-Uzman_D!$H$14), AW65-Uzman_D!$H$14)*0.1 +
        IF(AX65-Uzman_D!$I$14&lt;0, -(AX65-Uzman_D!$I$14), AX65-Uzman_D!$I$14)*0.1 +
        IF(AY65-Uzman_D!$J$14&lt;0, -(AY65-Uzman_D!$J$14), AY65-Uzman_D!$J$14)*0.1
    ) +
    IF(ROUND((IF(BA65-Uzman_D!$L$14&lt;0, -(BA65-Uzman_D!$L$14), BA65-Uzman_D!$L$14)*2),0)/2 = IF(BA65-Uzman_D!$L$14&lt;0, -(BA65-Uzman_D!$L$14), BA65-Uzman_D!$L$14),
    (ROUND((IF(BA65-Uzman_D!$L$14&lt;0, -(BA65-Uzman_D!$L$14), BA65-Uzman_D!$L$14)*2),0)/1 * 0.1), 0) +
    IF(BB65-Uzman_D!$M$14&lt;0, -(BB65-Uzman_D!$M$14), BB65-Uzman_D!$M$14)*1
)</f>
        <v>-0.20000000000000018</v>
      </c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2"/>
      <c r="BO65" s="72"/>
      <c r="BP65" s="73">
        <f>1 - (
    SUM(
        IF(BD65-Uzman_D!$B$15&lt;0, -(BD65-Uzman_D!$B$15), BD65-Uzman_D!$B$15)*0.1 +
        IF(BE65-Uzman_D!$C$15&lt;0, -(BE65-Uzman_D!$C$15), BE65-Uzman_D!$C$15)*0.1 +
        IF(BF65-Uzman_D!$D$15&lt;0, -(BF65-Uzman_D!$D$15), BF65-Uzman_D!$D$15)*0.1 +
        IF(BG65-Uzman_D!$E$15&lt;0, -(BG65-Uzman_D!$E$15), BG65-Uzman_D!$E$15)*0.1 +
        IF(BH65-Uzman_D!$F$15&lt;0, -(BH65-Uzman_D!$F$15), BH65-Uzman_D!$F$15)*0.1 +
        IF(BI65-Uzman_D!$G$15&lt;0, -(BI65-Uzman_D!$G$15), BI65-Uzman_D!$G$15)*0.1 +
        IF(BJ65-Uzman_D!$H$15&lt;0, -(BJ65-Uzman_D!$H$15), BJ65-Uzman_D!$H$15)*0.1 +
        IF(BK65-Uzman_D!$I$15&lt;0, -(BK65-Uzman_D!$I$15), BK65-Uzman_D!$I$15)*0.1 +
        IF(BL65-Uzman_D!$J$15&lt;0, -(BL65-Uzman_D!$J$15), BL65-Uzman_D!$J$15)*0.1
    ) +
    IF(ROUND((IF(BN65-Uzman_D!$L$15&lt;0, -(BN65-Uzman_D!$L$15), BN65-Uzman_D!$L$15)*2),0)/2 = IF(BN65-Uzman_D!$L$15&lt;0, -(BN65-Uzman_D!$L$15), BN65-Uzman_D!$L$15),
    (ROUND((IF(BN65-Uzman_D!$L$15&lt;0, -(BN65-Uzman_D!$L$15), BN65-Uzman_D!$L$15)*2),0)/1 * 0.1), 0) +
    IF(BO65-Uzman_D!$M$15&lt;0, -(BO65-Uzman_D!$M$15), BO65-Uzman_D!$M$15)*1
)</f>
        <v>-0.60000000000000009</v>
      </c>
      <c r="BQ65" s="74">
        <f t="shared" si="0"/>
        <v>-0.32000000000000017</v>
      </c>
    </row>
    <row r="66" spans="1:69" ht="15" customHeight="1" x14ac:dyDescent="0.2">
      <c r="A66" s="57">
        <v>63</v>
      </c>
      <c r="B66" s="29">
        <f>Hakemler!B66</f>
        <v>0</v>
      </c>
      <c r="C66" s="29">
        <f>Hakemler!C66</f>
        <v>0</v>
      </c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2"/>
      <c r="O66" s="72"/>
      <c r="P66" s="73">
        <f>1 - (
    SUM(
        IF(D66-Uzman_D!$B$11&lt;0, -(D66-Uzman_D!$B$11), D66-Uzman_D!$B$11)*0.1 +
        IF(E66-Uzman_D!$C$11&lt;0, -(E66-Uzman_D!$C$11), E66-Uzman_D!$C$11)*0.1 +
        IF(F66-Uzman_D!$D$11&lt;0, -(F66-Uzman_D!$D$11), F66-Uzman_D!$D$11)*0.1 +
        IF(G66-Uzman_D!$E$11&lt;0, -(G66-Uzman_D!$E$11), G66-Uzman_D!$E$11)*0.1 +
        IF(H66-Uzman_D!$F$11&lt;0, -(H66-Uzman_D!$F$11), H66-Uzman_D!$F$11)*0.1 +
        IF(I66-Uzman_D!$G$11&lt;0, -(I66-Uzman_D!$G$11), I66-Uzman_D!$G$11)*0.1 +
        IF(J66-Uzman_D!$H$11&lt;0, -(J66-Uzman_D!$H$11), J66-Uzman_D!$H$11)*0.1 +
        IF(K66-Uzman_D!$I$11&lt;0, -(K66-Uzman_D!$I$11), K66-Uzman_D!$I$11)*0.1 +
        IF(L66-Uzman_D!$J$11&lt;0, -(L66-Uzman_D!$J$11), L66-Uzman_D!$J$11)*0.1
    ) +
    IF(ROUND((IF(N66-Uzman_D!$L$11&lt;0, -(N66-Uzman_D!$L$11), N66-Uzman_D!$L$11)*2),0)/2 = IF(N66-Uzman_D!$L$11&lt;0, -(N66-Uzman_D!$L$11), N66-Uzman_D!$L$11),
    (ROUND((IF(N66-Uzman_D!$L$11&lt;0, -(N66-Uzman_D!$L$11), N66-Uzman_D!$L$11)*2),0)/1 * 0.1), 0) +
    IF(O66-Uzman_D!$M$11&lt;0, -(O66-Uzman_D!$M$11), O66-Uzman_D!$M$11)*1
)</f>
        <v>-0.30000000000000027</v>
      </c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2"/>
      <c r="AB66" s="72"/>
      <c r="AC66" s="73">
        <f>1 - (
    SUM(
        IF(Q66-Uzman_D!$B$12&lt;0, -(Q66-Uzman_D!$B$12), Q66-Uzman_D!$B$12)*0.1 +
        IF(R66-Uzman_D!$C$12&lt;0, -(R66-Uzman_D!$C$12), R66-Uzman_D!$C$12)*0.1 +
        IF(S66-Uzman_D!$D$12&lt;0, -(S66-Uzman_D!$D$12), S66-Uzman_D!$D$12)*0.1 +
        IF(T66-Uzman_D!$E$12&lt;0, -(T66-Uzman_D!$E$12), T66-Uzman_D!$E$12)*0.1 +
        IF(U66-Uzman_D!$F$12&lt;0, -(U66-Uzman_D!$F$12), U66-Uzman_D!$F$12)*0.1 +
        IF(V66-Uzman_D!$G$12&lt;0, -(V66-Uzman_D!$G$12), V66-Uzman_D!$G$12)*0.1 +
        IF(W66-Uzman_D!$H$12&lt;0, -(W66-Uzman_D!$H$12), W66-Uzman_D!$H$12)*0.1 +
        IF(X66-Uzman_D!$I$12&lt;0, -(X66-Uzman_D!$I$12), X66-Uzman_D!$I$12)*0.1 +
        IF(Y66-Uzman_D!$J$12&lt;0, -(Y66-Uzman_D!$J$12), Y66-Uzman_D!$J$12)*0.1
    ) +
    IF(ROUND((IF(AA66-Uzman_D!$L$12&lt;0, -(AA66-Uzman_D!$L$12), AA66-Uzman_D!$L$12)*2),0)/2 = IF(AA66-Uzman_D!$L$12&lt;0, -(AA66-Uzman_D!$L$12), AA66-Uzman_D!$L$12),
    (ROUND((IF(AA66-Uzman_D!$L$12&lt;0, -(AA66-Uzman_D!$L$12), AA66-Uzman_D!$L$12)*2),0)/1 * 0.1), 0) +
    IF(AB66-Uzman_D!$M$12&lt;0, -(AB66-Uzman_D!$M$12), AB66-Uzman_D!$M$12)*1
)</f>
        <v>-0.20000000000000018</v>
      </c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2"/>
      <c r="AO66" s="72"/>
      <c r="AP66" s="73">
        <f>1 - (
    SUM(
        IF(AD66-Uzman_D!$B$13&lt;0, -(AD66-Uzman_D!$B$13), AD66-Uzman_D!$B$13)*0.1 +
        IF(AE66-Uzman_D!$C$13&lt;0, -(AE66-Uzman_D!$C$13), AE66-Uzman_D!$C$13)*0.1 +
        IF(AF66-Uzman_D!$D$13&lt;0, -(AF66-Uzman_D!$D$13), AF66-Uzman_D!$D$13)*0.1 +
        IF(AG66-Uzman_D!$E$13&lt;0, -(AG66-Uzman_D!$E$13), AG66-Uzman_D!$E$13)*0.1 +
        IF(AH66-Uzman_D!$F$13&lt;0, -(AH66-Uzman_D!$F$13), AH66-Uzman_D!$F$13)*0.1 +
        IF(AI66-Uzman_D!$G$13&lt;0, -(AI66-Uzman_D!$G$13), AI66-Uzman_D!$G$13)*0.1 +
        IF(AJ66-Uzman_D!$H$13&lt;0, -(AJ66-Uzman_D!$H$13), AJ66-Uzman_D!$H$13)*0.1 +
        IF(AK66-Uzman_D!$I$13&lt;0, -(AK66-Uzman_D!$I$13), AK66-Uzman_D!$I$13)*0.1 +
        IF(AL66-Uzman_D!$J$13&lt;0, -(AL66-Uzman_D!$J$13), AL66-Uzman_D!$J$13)*0.1
    ) +
    IF(ROUND((IF(AN66-Uzman_D!$L$13&lt;0, -(AN66-Uzman_D!$L$13), AN66-Uzman_D!$L$13)*2),0)/2 = IF(AN66-Uzman_D!$L$13&lt;0, -(AN66-Uzman_D!$L$13), AN66-Uzman_D!$L$13),
    (ROUND((IF(AN66-Uzman_D!$L$13&lt;0, -(AN66-Uzman_D!$L$13), AN66-Uzman_D!$L$13)*2),0)/1 * 0.1), 0) +
    IF(AO66-Uzman_D!$M$13&lt;0, -(AO66-Uzman_D!$M$13), AO66-Uzman_D!$M$13)*1
)</f>
        <v>-0.30000000000000004</v>
      </c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2"/>
      <c r="BB66" s="72"/>
      <c r="BC66" s="73">
        <f>1 - (
    SUM(
        IF(AQ66-Uzman_D!$B$14&lt;0, -(AQ66-Uzman_D!$B$14), AQ66-Uzman_D!$B$14)*0.1 +
        IF(AR66-Uzman_D!$C$14&lt;0, -(AR66-Uzman_D!$C$14), AR66-Uzman_D!$C$14)*0.1 +
        IF(AS66-Uzman_D!$D$14&lt;0, -(AS66-Uzman_D!$D$14), AS66-Uzman_D!$D$14)*0.1 +
        IF(AT66-Uzman_D!$E$14&lt;0, -(AT66-Uzman_D!$E$14), AT66-Uzman_D!$E$14)*0.1 +
        IF(AU66-Uzman_D!$F$14&lt;0, -(AU66-Uzman_D!$F$14), AU66-Uzman_D!$F$14)*0.1 +
        IF(AV66-Uzman_D!$G$14&lt;0, -(AV66-Uzman_D!$G$14), AV66-Uzman_D!$G$14)*0.1 +
        IF(AW66-Uzman_D!$H$14&lt;0, -(AW66-Uzman_D!$H$14), AW66-Uzman_D!$H$14)*0.1 +
        IF(AX66-Uzman_D!$I$14&lt;0, -(AX66-Uzman_D!$I$14), AX66-Uzman_D!$I$14)*0.1 +
        IF(AY66-Uzman_D!$J$14&lt;0, -(AY66-Uzman_D!$J$14), AY66-Uzman_D!$J$14)*0.1
    ) +
    IF(ROUND((IF(BA66-Uzman_D!$L$14&lt;0, -(BA66-Uzman_D!$L$14), BA66-Uzman_D!$L$14)*2),0)/2 = IF(BA66-Uzman_D!$L$14&lt;0, -(BA66-Uzman_D!$L$14), BA66-Uzman_D!$L$14),
    (ROUND((IF(BA66-Uzman_D!$L$14&lt;0, -(BA66-Uzman_D!$L$14), BA66-Uzman_D!$L$14)*2),0)/1 * 0.1), 0) +
    IF(BB66-Uzman_D!$M$14&lt;0, -(BB66-Uzman_D!$M$14), BB66-Uzman_D!$M$14)*1
)</f>
        <v>-0.20000000000000018</v>
      </c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2"/>
      <c r="BO66" s="72"/>
      <c r="BP66" s="73">
        <f>1 - (
    SUM(
        IF(BD66-Uzman_D!$B$15&lt;0, -(BD66-Uzman_D!$B$15), BD66-Uzman_D!$B$15)*0.1 +
        IF(BE66-Uzman_D!$C$15&lt;0, -(BE66-Uzman_D!$C$15), BE66-Uzman_D!$C$15)*0.1 +
        IF(BF66-Uzman_D!$D$15&lt;0, -(BF66-Uzman_D!$D$15), BF66-Uzman_D!$D$15)*0.1 +
        IF(BG66-Uzman_D!$E$15&lt;0, -(BG66-Uzman_D!$E$15), BG66-Uzman_D!$E$15)*0.1 +
        IF(BH66-Uzman_D!$F$15&lt;0, -(BH66-Uzman_D!$F$15), BH66-Uzman_D!$F$15)*0.1 +
        IF(BI66-Uzman_D!$G$15&lt;0, -(BI66-Uzman_D!$G$15), BI66-Uzman_D!$G$15)*0.1 +
        IF(BJ66-Uzman_D!$H$15&lt;0, -(BJ66-Uzman_D!$H$15), BJ66-Uzman_D!$H$15)*0.1 +
        IF(BK66-Uzman_D!$I$15&lt;0, -(BK66-Uzman_D!$I$15), BK66-Uzman_D!$I$15)*0.1 +
        IF(BL66-Uzman_D!$J$15&lt;0, -(BL66-Uzman_D!$J$15), BL66-Uzman_D!$J$15)*0.1
    ) +
    IF(ROUND((IF(BN66-Uzman_D!$L$15&lt;0, -(BN66-Uzman_D!$L$15), BN66-Uzman_D!$L$15)*2),0)/2 = IF(BN66-Uzman_D!$L$15&lt;0, -(BN66-Uzman_D!$L$15), BN66-Uzman_D!$L$15),
    (ROUND((IF(BN66-Uzman_D!$L$15&lt;0, -(BN66-Uzman_D!$L$15), BN66-Uzman_D!$L$15)*2),0)/1 * 0.1), 0) +
    IF(BO66-Uzman_D!$M$15&lt;0, -(BO66-Uzman_D!$M$15), BO66-Uzman_D!$M$15)*1
)</f>
        <v>-0.60000000000000009</v>
      </c>
      <c r="BQ66" s="74">
        <f t="shared" si="0"/>
        <v>-0.32000000000000017</v>
      </c>
    </row>
    <row r="67" spans="1:69" ht="15" customHeight="1" x14ac:dyDescent="0.2">
      <c r="A67" s="57">
        <v>64</v>
      </c>
      <c r="B67" s="37">
        <f>Hakemler!B67</f>
        <v>0</v>
      </c>
      <c r="C67" s="37">
        <f>Hakemler!C67</f>
        <v>0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75"/>
      <c r="O67" s="75"/>
      <c r="P67" s="73">
        <f>1 - (
    SUM(
        IF(D67-Uzman_D!$B$11&lt;0, -(D67-Uzman_D!$B$11), D67-Uzman_D!$B$11)*0.1 +
        IF(E67-Uzman_D!$C$11&lt;0, -(E67-Uzman_D!$C$11), E67-Uzman_D!$C$11)*0.1 +
        IF(F67-Uzman_D!$D$11&lt;0, -(F67-Uzman_D!$D$11), F67-Uzman_D!$D$11)*0.1 +
        IF(G67-Uzman_D!$E$11&lt;0, -(G67-Uzman_D!$E$11), G67-Uzman_D!$E$11)*0.1 +
        IF(H67-Uzman_D!$F$11&lt;0, -(H67-Uzman_D!$F$11), H67-Uzman_D!$F$11)*0.1 +
        IF(I67-Uzman_D!$G$11&lt;0, -(I67-Uzman_D!$G$11), I67-Uzman_D!$G$11)*0.1 +
        IF(J67-Uzman_D!$H$11&lt;0, -(J67-Uzman_D!$H$11), J67-Uzman_D!$H$11)*0.1 +
        IF(K67-Uzman_D!$I$11&lt;0, -(K67-Uzman_D!$I$11), K67-Uzman_D!$I$11)*0.1 +
        IF(L67-Uzman_D!$J$11&lt;0, -(L67-Uzman_D!$J$11), L67-Uzman_D!$J$11)*0.1
    ) +
    IF(ROUND((IF(N67-Uzman_D!$L$11&lt;0, -(N67-Uzman_D!$L$11), N67-Uzman_D!$L$11)*2),0)/2 = IF(N67-Uzman_D!$L$11&lt;0, -(N67-Uzman_D!$L$11), N67-Uzman_D!$L$11),
    (ROUND((IF(N67-Uzman_D!$L$11&lt;0, -(N67-Uzman_D!$L$11), N67-Uzman_D!$L$11)*2),0)/1 * 0.1), 0) +
    IF(O67-Uzman_D!$M$11&lt;0, -(O67-Uzman_D!$M$11), O67-Uzman_D!$M$11)*1
)</f>
        <v>-0.30000000000000027</v>
      </c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75"/>
      <c r="AB67" s="75"/>
      <c r="AC67" s="73">
        <f>1 - (
    SUM(
        IF(Q67-Uzman_D!$B$12&lt;0, -(Q67-Uzman_D!$B$12), Q67-Uzman_D!$B$12)*0.1 +
        IF(R67-Uzman_D!$C$12&lt;0, -(R67-Uzman_D!$C$12), R67-Uzman_D!$C$12)*0.1 +
        IF(S67-Uzman_D!$D$12&lt;0, -(S67-Uzman_D!$D$12), S67-Uzman_D!$D$12)*0.1 +
        IF(T67-Uzman_D!$E$12&lt;0, -(T67-Uzman_D!$E$12), T67-Uzman_D!$E$12)*0.1 +
        IF(U67-Uzman_D!$F$12&lt;0, -(U67-Uzman_D!$F$12), U67-Uzman_D!$F$12)*0.1 +
        IF(V67-Uzman_D!$G$12&lt;0, -(V67-Uzman_D!$G$12), V67-Uzman_D!$G$12)*0.1 +
        IF(W67-Uzman_D!$H$12&lt;0, -(W67-Uzman_D!$H$12), W67-Uzman_D!$H$12)*0.1 +
        IF(X67-Uzman_D!$I$12&lt;0, -(X67-Uzman_D!$I$12), X67-Uzman_D!$I$12)*0.1 +
        IF(Y67-Uzman_D!$J$12&lt;0, -(Y67-Uzman_D!$J$12), Y67-Uzman_D!$J$12)*0.1
    ) +
    IF(ROUND((IF(AA67-Uzman_D!$L$12&lt;0, -(AA67-Uzman_D!$L$12), AA67-Uzman_D!$L$12)*2),0)/2 = IF(AA67-Uzman_D!$L$12&lt;0, -(AA67-Uzman_D!$L$12), AA67-Uzman_D!$L$12),
    (ROUND((IF(AA67-Uzman_D!$L$12&lt;0, -(AA67-Uzman_D!$L$12), AA67-Uzman_D!$L$12)*2),0)/1 * 0.1), 0) +
    IF(AB67-Uzman_D!$M$12&lt;0, -(AB67-Uzman_D!$M$12), AB67-Uzman_D!$M$12)*1
)</f>
        <v>-0.20000000000000018</v>
      </c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75"/>
      <c r="AO67" s="75"/>
      <c r="AP67" s="73">
        <f>1 - (
    SUM(
        IF(AD67-Uzman_D!$B$13&lt;0, -(AD67-Uzman_D!$B$13), AD67-Uzman_D!$B$13)*0.1 +
        IF(AE67-Uzman_D!$C$13&lt;0, -(AE67-Uzman_D!$C$13), AE67-Uzman_D!$C$13)*0.1 +
        IF(AF67-Uzman_D!$D$13&lt;0, -(AF67-Uzman_D!$D$13), AF67-Uzman_D!$D$13)*0.1 +
        IF(AG67-Uzman_D!$E$13&lt;0, -(AG67-Uzman_D!$E$13), AG67-Uzman_D!$E$13)*0.1 +
        IF(AH67-Uzman_D!$F$13&lt;0, -(AH67-Uzman_D!$F$13), AH67-Uzman_D!$F$13)*0.1 +
        IF(AI67-Uzman_D!$G$13&lt;0, -(AI67-Uzman_D!$G$13), AI67-Uzman_D!$G$13)*0.1 +
        IF(AJ67-Uzman_D!$H$13&lt;0, -(AJ67-Uzman_D!$H$13), AJ67-Uzman_D!$H$13)*0.1 +
        IF(AK67-Uzman_D!$I$13&lt;0, -(AK67-Uzman_D!$I$13), AK67-Uzman_D!$I$13)*0.1 +
        IF(AL67-Uzman_D!$J$13&lt;0, -(AL67-Uzman_D!$J$13), AL67-Uzman_D!$J$13)*0.1
    ) +
    IF(ROUND((IF(AN67-Uzman_D!$L$13&lt;0, -(AN67-Uzman_D!$L$13), AN67-Uzman_D!$L$13)*2),0)/2 = IF(AN67-Uzman_D!$L$13&lt;0, -(AN67-Uzman_D!$L$13), AN67-Uzman_D!$L$13),
    (ROUND((IF(AN67-Uzman_D!$L$13&lt;0, -(AN67-Uzman_D!$L$13), AN67-Uzman_D!$L$13)*2),0)/1 * 0.1), 0) +
    IF(AO67-Uzman_D!$M$13&lt;0, -(AO67-Uzman_D!$M$13), AO67-Uzman_D!$M$13)*1
)</f>
        <v>-0.30000000000000004</v>
      </c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75"/>
      <c r="BB67" s="75"/>
      <c r="BC67" s="73">
        <f>1 - (
    SUM(
        IF(AQ67-Uzman_D!$B$14&lt;0, -(AQ67-Uzman_D!$B$14), AQ67-Uzman_D!$B$14)*0.1 +
        IF(AR67-Uzman_D!$C$14&lt;0, -(AR67-Uzman_D!$C$14), AR67-Uzman_D!$C$14)*0.1 +
        IF(AS67-Uzman_D!$D$14&lt;0, -(AS67-Uzman_D!$D$14), AS67-Uzman_D!$D$14)*0.1 +
        IF(AT67-Uzman_D!$E$14&lt;0, -(AT67-Uzman_D!$E$14), AT67-Uzman_D!$E$14)*0.1 +
        IF(AU67-Uzman_D!$F$14&lt;0, -(AU67-Uzman_D!$F$14), AU67-Uzman_D!$F$14)*0.1 +
        IF(AV67-Uzman_D!$G$14&lt;0, -(AV67-Uzman_D!$G$14), AV67-Uzman_D!$G$14)*0.1 +
        IF(AW67-Uzman_D!$H$14&lt;0, -(AW67-Uzman_D!$H$14), AW67-Uzman_D!$H$14)*0.1 +
        IF(AX67-Uzman_D!$I$14&lt;0, -(AX67-Uzman_D!$I$14), AX67-Uzman_D!$I$14)*0.1 +
        IF(AY67-Uzman_D!$J$14&lt;0, -(AY67-Uzman_D!$J$14), AY67-Uzman_D!$J$14)*0.1
    ) +
    IF(ROUND((IF(BA67-Uzman_D!$L$14&lt;0, -(BA67-Uzman_D!$L$14), BA67-Uzman_D!$L$14)*2),0)/2 = IF(BA67-Uzman_D!$L$14&lt;0, -(BA67-Uzman_D!$L$14), BA67-Uzman_D!$L$14),
    (ROUND((IF(BA67-Uzman_D!$L$14&lt;0, -(BA67-Uzman_D!$L$14), BA67-Uzman_D!$L$14)*2),0)/1 * 0.1), 0) +
    IF(BB67-Uzman_D!$M$14&lt;0, -(BB67-Uzman_D!$M$14), BB67-Uzman_D!$M$14)*1
)</f>
        <v>-0.20000000000000018</v>
      </c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75"/>
      <c r="BO67" s="75"/>
      <c r="BP67" s="73">
        <f>1 - (
    SUM(
        IF(BD67-Uzman_D!$B$15&lt;0, -(BD67-Uzman_D!$B$15), BD67-Uzman_D!$B$15)*0.1 +
        IF(BE67-Uzman_D!$C$15&lt;0, -(BE67-Uzman_D!$C$15), BE67-Uzman_D!$C$15)*0.1 +
        IF(BF67-Uzman_D!$D$15&lt;0, -(BF67-Uzman_D!$D$15), BF67-Uzman_D!$D$15)*0.1 +
        IF(BG67-Uzman_D!$E$15&lt;0, -(BG67-Uzman_D!$E$15), BG67-Uzman_D!$E$15)*0.1 +
        IF(BH67-Uzman_D!$F$15&lt;0, -(BH67-Uzman_D!$F$15), BH67-Uzman_D!$F$15)*0.1 +
        IF(BI67-Uzman_D!$G$15&lt;0, -(BI67-Uzman_D!$G$15), BI67-Uzman_D!$G$15)*0.1 +
        IF(BJ67-Uzman_D!$H$15&lt;0, -(BJ67-Uzman_D!$H$15), BJ67-Uzman_D!$H$15)*0.1 +
        IF(BK67-Uzman_D!$I$15&lt;0, -(BK67-Uzman_D!$I$15), BK67-Uzman_D!$I$15)*0.1 +
        IF(BL67-Uzman_D!$J$15&lt;0, -(BL67-Uzman_D!$J$15), BL67-Uzman_D!$J$15)*0.1
    ) +
    IF(ROUND((IF(BN67-Uzman_D!$L$15&lt;0, -(BN67-Uzman_D!$L$15), BN67-Uzman_D!$L$15)*2),0)/2 = IF(BN67-Uzman_D!$L$15&lt;0, -(BN67-Uzman_D!$L$15), BN67-Uzman_D!$L$15),
    (ROUND((IF(BN67-Uzman_D!$L$15&lt;0, -(BN67-Uzman_D!$L$15), BN67-Uzman_D!$L$15)*2),0)/1 * 0.1), 0) +
    IF(BO67-Uzman_D!$M$15&lt;0, -(BO67-Uzman_D!$M$15), BO67-Uzman_D!$M$15)*1
)</f>
        <v>-0.60000000000000009</v>
      </c>
      <c r="BQ67" s="74">
        <f t="shared" si="0"/>
        <v>-0.32000000000000017</v>
      </c>
    </row>
    <row r="68" spans="1:69" ht="15" customHeight="1" x14ac:dyDescent="0.2">
      <c r="A68" s="57">
        <v>65</v>
      </c>
      <c r="B68" s="37">
        <f>Hakemler!B68</f>
        <v>0</v>
      </c>
      <c r="C68" s="37">
        <f>Hakemler!C68</f>
        <v>0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75"/>
      <c r="O68" s="75"/>
      <c r="P68" s="73">
        <f>1 - (
    SUM(
        IF(D68-Uzman_D!$B$11&lt;0, -(D68-Uzman_D!$B$11), D68-Uzman_D!$B$11)*0.1 +
        IF(E68-Uzman_D!$C$11&lt;0, -(E68-Uzman_D!$C$11), E68-Uzman_D!$C$11)*0.1 +
        IF(F68-Uzman_D!$D$11&lt;0, -(F68-Uzman_D!$D$11), F68-Uzman_D!$D$11)*0.1 +
        IF(G68-Uzman_D!$E$11&lt;0, -(G68-Uzman_D!$E$11), G68-Uzman_D!$E$11)*0.1 +
        IF(H68-Uzman_D!$F$11&lt;0, -(H68-Uzman_D!$F$11), H68-Uzman_D!$F$11)*0.1 +
        IF(I68-Uzman_D!$G$11&lt;0, -(I68-Uzman_D!$G$11), I68-Uzman_D!$G$11)*0.1 +
        IF(J68-Uzman_D!$H$11&lt;0, -(J68-Uzman_D!$H$11), J68-Uzman_D!$H$11)*0.1 +
        IF(K68-Uzman_D!$I$11&lt;0, -(K68-Uzman_D!$I$11), K68-Uzman_D!$I$11)*0.1 +
        IF(L68-Uzman_D!$J$11&lt;0, -(L68-Uzman_D!$J$11), L68-Uzman_D!$J$11)*0.1
    ) +
    IF(ROUND((IF(N68-Uzman_D!$L$11&lt;0, -(N68-Uzman_D!$L$11), N68-Uzman_D!$L$11)*2),0)/2 = IF(N68-Uzman_D!$L$11&lt;0, -(N68-Uzman_D!$L$11), N68-Uzman_D!$L$11),
    (ROUND((IF(N68-Uzman_D!$L$11&lt;0, -(N68-Uzman_D!$L$11), N68-Uzman_D!$L$11)*2),0)/1 * 0.1), 0) +
    IF(O68-Uzman_D!$M$11&lt;0, -(O68-Uzman_D!$M$11), O68-Uzman_D!$M$11)*1
)</f>
        <v>-0.30000000000000027</v>
      </c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75"/>
      <c r="AB68" s="75"/>
      <c r="AC68" s="73">
        <f>1 - (
    SUM(
        IF(Q68-Uzman_D!$B$12&lt;0, -(Q68-Uzman_D!$B$12), Q68-Uzman_D!$B$12)*0.1 +
        IF(R68-Uzman_D!$C$12&lt;0, -(R68-Uzman_D!$C$12), R68-Uzman_D!$C$12)*0.1 +
        IF(S68-Uzman_D!$D$12&lt;0, -(S68-Uzman_D!$D$12), S68-Uzman_D!$D$12)*0.1 +
        IF(T68-Uzman_D!$E$12&lt;0, -(T68-Uzman_D!$E$12), T68-Uzman_D!$E$12)*0.1 +
        IF(U68-Uzman_D!$F$12&lt;0, -(U68-Uzman_D!$F$12), U68-Uzman_D!$F$12)*0.1 +
        IF(V68-Uzman_D!$G$12&lt;0, -(V68-Uzman_D!$G$12), V68-Uzman_D!$G$12)*0.1 +
        IF(W68-Uzman_D!$H$12&lt;0, -(W68-Uzman_D!$H$12), W68-Uzman_D!$H$12)*0.1 +
        IF(X68-Uzman_D!$I$12&lt;0, -(X68-Uzman_D!$I$12), X68-Uzman_D!$I$12)*0.1 +
        IF(Y68-Uzman_D!$J$12&lt;0, -(Y68-Uzman_D!$J$12), Y68-Uzman_D!$J$12)*0.1
    ) +
    IF(ROUND((IF(AA68-Uzman_D!$L$12&lt;0, -(AA68-Uzman_D!$L$12), AA68-Uzman_D!$L$12)*2),0)/2 = IF(AA68-Uzman_D!$L$12&lt;0, -(AA68-Uzman_D!$L$12), AA68-Uzman_D!$L$12),
    (ROUND((IF(AA68-Uzman_D!$L$12&lt;0, -(AA68-Uzman_D!$L$12), AA68-Uzman_D!$L$12)*2),0)/1 * 0.1), 0) +
    IF(AB68-Uzman_D!$M$12&lt;0, -(AB68-Uzman_D!$M$12), AB68-Uzman_D!$M$12)*1
)</f>
        <v>-0.20000000000000018</v>
      </c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75"/>
      <c r="AO68" s="75"/>
      <c r="AP68" s="73">
        <f>1 - (
    SUM(
        IF(AD68-Uzman_D!$B$13&lt;0, -(AD68-Uzman_D!$B$13), AD68-Uzman_D!$B$13)*0.1 +
        IF(AE68-Uzman_D!$C$13&lt;0, -(AE68-Uzman_D!$C$13), AE68-Uzman_D!$C$13)*0.1 +
        IF(AF68-Uzman_D!$D$13&lt;0, -(AF68-Uzman_D!$D$13), AF68-Uzman_D!$D$13)*0.1 +
        IF(AG68-Uzman_D!$E$13&lt;0, -(AG68-Uzman_D!$E$13), AG68-Uzman_D!$E$13)*0.1 +
        IF(AH68-Uzman_D!$F$13&lt;0, -(AH68-Uzman_D!$F$13), AH68-Uzman_D!$F$13)*0.1 +
        IF(AI68-Uzman_D!$G$13&lt;0, -(AI68-Uzman_D!$G$13), AI68-Uzman_D!$G$13)*0.1 +
        IF(AJ68-Uzman_D!$H$13&lt;0, -(AJ68-Uzman_D!$H$13), AJ68-Uzman_D!$H$13)*0.1 +
        IF(AK68-Uzman_D!$I$13&lt;0, -(AK68-Uzman_D!$I$13), AK68-Uzman_D!$I$13)*0.1 +
        IF(AL68-Uzman_D!$J$13&lt;0, -(AL68-Uzman_D!$J$13), AL68-Uzman_D!$J$13)*0.1
    ) +
    IF(ROUND((IF(AN68-Uzman_D!$L$13&lt;0, -(AN68-Uzman_D!$L$13), AN68-Uzman_D!$L$13)*2),0)/2 = IF(AN68-Uzman_D!$L$13&lt;0, -(AN68-Uzman_D!$L$13), AN68-Uzman_D!$L$13),
    (ROUND((IF(AN68-Uzman_D!$L$13&lt;0, -(AN68-Uzman_D!$L$13), AN68-Uzman_D!$L$13)*2),0)/1 * 0.1), 0) +
    IF(AO68-Uzman_D!$M$13&lt;0, -(AO68-Uzman_D!$M$13), AO68-Uzman_D!$M$13)*1
)</f>
        <v>-0.30000000000000004</v>
      </c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75"/>
      <c r="BB68" s="75"/>
      <c r="BC68" s="73">
        <f>1 - (
    SUM(
        IF(AQ68-Uzman_D!$B$14&lt;0, -(AQ68-Uzman_D!$B$14), AQ68-Uzman_D!$B$14)*0.1 +
        IF(AR68-Uzman_D!$C$14&lt;0, -(AR68-Uzman_D!$C$14), AR68-Uzman_D!$C$14)*0.1 +
        IF(AS68-Uzman_D!$D$14&lt;0, -(AS68-Uzman_D!$D$14), AS68-Uzman_D!$D$14)*0.1 +
        IF(AT68-Uzman_D!$E$14&lt;0, -(AT68-Uzman_D!$E$14), AT68-Uzman_D!$E$14)*0.1 +
        IF(AU68-Uzman_D!$F$14&lt;0, -(AU68-Uzman_D!$F$14), AU68-Uzman_D!$F$14)*0.1 +
        IF(AV68-Uzman_D!$G$14&lt;0, -(AV68-Uzman_D!$G$14), AV68-Uzman_D!$G$14)*0.1 +
        IF(AW68-Uzman_D!$H$14&lt;0, -(AW68-Uzman_D!$H$14), AW68-Uzman_D!$H$14)*0.1 +
        IF(AX68-Uzman_D!$I$14&lt;0, -(AX68-Uzman_D!$I$14), AX68-Uzman_D!$I$14)*0.1 +
        IF(AY68-Uzman_D!$J$14&lt;0, -(AY68-Uzman_D!$J$14), AY68-Uzman_D!$J$14)*0.1
    ) +
    IF(ROUND((IF(BA68-Uzman_D!$L$14&lt;0, -(BA68-Uzman_D!$L$14), BA68-Uzman_D!$L$14)*2),0)/2 = IF(BA68-Uzman_D!$L$14&lt;0, -(BA68-Uzman_D!$L$14), BA68-Uzman_D!$L$14),
    (ROUND((IF(BA68-Uzman_D!$L$14&lt;0, -(BA68-Uzman_D!$L$14), BA68-Uzman_D!$L$14)*2),0)/1 * 0.1), 0) +
    IF(BB68-Uzman_D!$M$14&lt;0, -(BB68-Uzman_D!$M$14), BB68-Uzman_D!$M$14)*1
)</f>
        <v>-0.20000000000000018</v>
      </c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75"/>
      <c r="BO68" s="75"/>
      <c r="BP68" s="73">
        <f>1 - (
    SUM(
        IF(BD68-Uzman_D!$B$15&lt;0, -(BD68-Uzman_D!$B$15), BD68-Uzman_D!$B$15)*0.1 +
        IF(BE68-Uzman_D!$C$15&lt;0, -(BE68-Uzman_D!$C$15), BE68-Uzman_D!$C$15)*0.1 +
        IF(BF68-Uzman_D!$D$15&lt;0, -(BF68-Uzman_D!$D$15), BF68-Uzman_D!$D$15)*0.1 +
        IF(BG68-Uzman_D!$E$15&lt;0, -(BG68-Uzman_D!$E$15), BG68-Uzman_D!$E$15)*0.1 +
        IF(BH68-Uzman_D!$F$15&lt;0, -(BH68-Uzman_D!$F$15), BH68-Uzman_D!$F$15)*0.1 +
        IF(BI68-Uzman_D!$G$15&lt;0, -(BI68-Uzman_D!$G$15), BI68-Uzman_D!$G$15)*0.1 +
        IF(BJ68-Uzman_D!$H$15&lt;0, -(BJ68-Uzman_D!$H$15), BJ68-Uzman_D!$H$15)*0.1 +
        IF(BK68-Uzman_D!$I$15&lt;0, -(BK68-Uzman_D!$I$15), BK68-Uzman_D!$I$15)*0.1 +
        IF(BL68-Uzman_D!$J$15&lt;0, -(BL68-Uzman_D!$J$15), BL68-Uzman_D!$J$15)*0.1
    ) +
    IF(ROUND((IF(BN68-Uzman_D!$L$15&lt;0, -(BN68-Uzman_D!$L$15), BN68-Uzman_D!$L$15)*2),0)/2 = IF(BN68-Uzman_D!$L$15&lt;0, -(BN68-Uzman_D!$L$15), BN68-Uzman_D!$L$15),
    (ROUND((IF(BN68-Uzman_D!$L$15&lt;0, -(BN68-Uzman_D!$L$15), BN68-Uzman_D!$L$15)*2),0)/1 * 0.1), 0) +
    IF(BO68-Uzman_D!$M$15&lt;0, -(BO68-Uzman_D!$M$15), BO68-Uzman_D!$M$15)*1
)</f>
        <v>-0.60000000000000009</v>
      </c>
      <c r="BQ68" s="74">
        <f t="shared" si="0"/>
        <v>-0.32000000000000017</v>
      </c>
    </row>
    <row r="69" spans="1:69" ht="15" customHeight="1" x14ac:dyDescent="0.2">
      <c r="A69" s="57">
        <v>66</v>
      </c>
      <c r="B69" s="37">
        <f>Hakemler!B69</f>
        <v>0</v>
      </c>
      <c r="C69" s="37">
        <f>Hakemler!C69</f>
        <v>0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75"/>
      <c r="O69" s="75"/>
      <c r="P69" s="73">
        <f>1 - (
    SUM(
        IF(D69-Uzman_D!$B$11&lt;0, -(D69-Uzman_D!$B$11), D69-Uzman_D!$B$11)*0.1 +
        IF(E69-Uzman_D!$C$11&lt;0, -(E69-Uzman_D!$C$11), E69-Uzman_D!$C$11)*0.1 +
        IF(F69-Uzman_D!$D$11&lt;0, -(F69-Uzman_D!$D$11), F69-Uzman_D!$D$11)*0.1 +
        IF(G69-Uzman_D!$E$11&lt;0, -(G69-Uzman_D!$E$11), G69-Uzman_D!$E$11)*0.1 +
        IF(H69-Uzman_D!$F$11&lt;0, -(H69-Uzman_D!$F$11), H69-Uzman_D!$F$11)*0.1 +
        IF(I69-Uzman_D!$G$11&lt;0, -(I69-Uzman_D!$G$11), I69-Uzman_D!$G$11)*0.1 +
        IF(J69-Uzman_D!$H$11&lt;0, -(J69-Uzman_D!$H$11), J69-Uzman_D!$H$11)*0.1 +
        IF(K69-Uzman_D!$I$11&lt;0, -(K69-Uzman_D!$I$11), K69-Uzman_D!$I$11)*0.1 +
        IF(L69-Uzman_D!$J$11&lt;0, -(L69-Uzman_D!$J$11), L69-Uzman_D!$J$11)*0.1
    ) +
    IF(ROUND((IF(N69-Uzman_D!$L$11&lt;0, -(N69-Uzman_D!$L$11), N69-Uzman_D!$L$11)*2),0)/2 = IF(N69-Uzman_D!$L$11&lt;0, -(N69-Uzman_D!$L$11), N69-Uzman_D!$L$11),
    (ROUND((IF(N69-Uzman_D!$L$11&lt;0, -(N69-Uzman_D!$L$11), N69-Uzman_D!$L$11)*2),0)/1 * 0.1), 0) +
    IF(O69-Uzman_D!$M$11&lt;0, -(O69-Uzman_D!$M$11), O69-Uzman_D!$M$11)*1
)</f>
        <v>-0.30000000000000027</v>
      </c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75"/>
      <c r="AB69" s="75"/>
      <c r="AC69" s="73">
        <f>1 - (
    SUM(
        IF(Q69-Uzman_D!$B$12&lt;0, -(Q69-Uzman_D!$B$12), Q69-Uzman_D!$B$12)*0.1 +
        IF(R69-Uzman_D!$C$12&lt;0, -(R69-Uzman_D!$C$12), R69-Uzman_D!$C$12)*0.1 +
        IF(S69-Uzman_D!$D$12&lt;0, -(S69-Uzman_D!$D$12), S69-Uzman_D!$D$12)*0.1 +
        IF(T69-Uzman_D!$E$12&lt;0, -(T69-Uzman_D!$E$12), T69-Uzman_D!$E$12)*0.1 +
        IF(U69-Uzman_D!$F$12&lt;0, -(U69-Uzman_D!$F$12), U69-Uzman_D!$F$12)*0.1 +
        IF(V69-Uzman_D!$G$12&lt;0, -(V69-Uzman_D!$G$12), V69-Uzman_D!$G$12)*0.1 +
        IF(W69-Uzman_D!$H$12&lt;0, -(W69-Uzman_D!$H$12), W69-Uzman_D!$H$12)*0.1 +
        IF(X69-Uzman_D!$I$12&lt;0, -(X69-Uzman_D!$I$12), X69-Uzman_D!$I$12)*0.1 +
        IF(Y69-Uzman_D!$J$12&lt;0, -(Y69-Uzman_D!$J$12), Y69-Uzman_D!$J$12)*0.1
    ) +
    IF(ROUND((IF(AA69-Uzman_D!$L$12&lt;0, -(AA69-Uzman_D!$L$12), AA69-Uzman_D!$L$12)*2),0)/2 = IF(AA69-Uzman_D!$L$12&lt;0, -(AA69-Uzman_D!$L$12), AA69-Uzman_D!$L$12),
    (ROUND((IF(AA69-Uzman_D!$L$12&lt;0, -(AA69-Uzman_D!$L$12), AA69-Uzman_D!$L$12)*2),0)/1 * 0.1), 0) +
    IF(AB69-Uzman_D!$M$12&lt;0, -(AB69-Uzman_D!$M$12), AB69-Uzman_D!$M$12)*1
)</f>
        <v>-0.20000000000000018</v>
      </c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75"/>
      <c r="AO69" s="75"/>
      <c r="AP69" s="73">
        <f>1 - (
    SUM(
        IF(AD69-Uzman_D!$B$13&lt;0, -(AD69-Uzman_D!$B$13), AD69-Uzman_D!$B$13)*0.1 +
        IF(AE69-Uzman_D!$C$13&lt;0, -(AE69-Uzman_D!$C$13), AE69-Uzman_D!$C$13)*0.1 +
        IF(AF69-Uzman_D!$D$13&lt;0, -(AF69-Uzman_D!$D$13), AF69-Uzman_D!$D$13)*0.1 +
        IF(AG69-Uzman_D!$E$13&lt;0, -(AG69-Uzman_D!$E$13), AG69-Uzman_D!$E$13)*0.1 +
        IF(AH69-Uzman_D!$F$13&lt;0, -(AH69-Uzman_D!$F$13), AH69-Uzman_D!$F$13)*0.1 +
        IF(AI69-Uzman_D!$G$13&lt;0, -(AI69-Uzman_D!$G$13), AI69-Uzman_D!$G$13)*0.1 +
        IF(AJ69-Uzman_D!$H$13&lt;0, -(AJ69-Uzman_D!$H$13), AJ69-Uzman_D!$H$13)*0.1 +
        IF(AK69-Uzman_D!$I$13&lt;0, -(AK69-Uzman_D!$I$13), AK69-Uzman_D!$I$13)*0.1 +
        IF(AL69-Uzman_D!$J$13&lt;0, -(AL69-Uzman_D!$J$13), AL69-Uzman_D!$J$13)*0.1
    ) +
    IF(ROUND((IF(AN69-Uzman_D!$L$13&lt;0, -(AN69-Uzman_D!$L$13), AN69-Uzman_D!$L$13)*2),0)/2 = IF(AN69-Uzman_D!$L$13&lt;0, -(AN69-Uzman_D!$L$13), AN69-Uzman_D!$L$13),
    (ROUND((IF(AN69-Uzman_D!$L$13&lt;0, -(AN69-Uzman_D!$L$13), AN69-Uzman_D!$L$13)*2),0)/1 * 0.1), 0) +
    IF(AO69-Uzman_D!$M$13&lt;0, -(AO69-Uzman_D!$M$13), AO69-Uzman_D!$M$13)*1
)</f>
        <v>-0.30000000000000004</v>
      </c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75"/>
      <c r="BB69" s="75"/>
      <c r="BC69" s="73">
        <f>1 - (
    SUM(
        IF(AQ69-Uzman_D!$B$14&lt;0, -(AQ69-Uzman_D!$B$14), AQ69-Uzman_D!$B$14)*0.1 +
        IF(AR69-Uzman_D!$C$14&lt;0, -(AR69-Uzman_D!$C$14), AR69-Uzman_D!$C$14)*0.1 +
        IF(AS69-Uzman_D!$D$14&lt;0, -(AS69-Uzman_D!$D$14), AS69-Uzman_D!$D$14)*0.1 +
        IF(AT69-Uzman_D!$E$14&lt;0, -(AT69-Uzman_D!$E$14), AT69-Uzman_D!$E$14)*0.1 +
        IF(AU69-Uzman_D!$F$14&lt;0, -(AU69-Uzman_D!$F$14), AU69-Uzman_D!$F$14)*0.1 +
        IF(AV69-Uzman_D!$G$14&lt;0, -(AV69-Uzman_D!$G$14), AV69-Uzman_D!$G$14)*0.1 +
        IF(AW69-Uzman_D!$H$14&lt;0, -(AW69-Uzman_D!$H$14), AW69-Uzman_D!$H$14)*0.1 +
        IF(AX69-Uzman_D!$I$14&lt;0, -(AX69-Uzman_D!$I$14), AX69-Uzman_D!$I$14)*0.1 +
        IF(AY69-Uzman_D!$J$14&lt;0, -(AY69-Uzman_D!$J$14), AY69-Uzman_D!$J$14)*0.1
    ) +
    IF(ROUND((IF(BA69-Uzman_D!$L$14&lt;0, -(BA69-Uzman_D!$L$14), BA69-Uzman_D!$L$14)*2),0)/2 = IF(BA69-Uzman_D!$L$14&lt;0, -(BA69-Uzman_D!$L$14), BA69-Uzman_D!$L$14),
    (ROUND((IF(BA69-Uzman_D!$L$14&lt;0, -(BA69-Uzman_D!$L$14), BA69-Uzman_D!$L$14)*2),0)/1 * 0.1), 0) +
    IF(BB69-Uzman_D!$M$14&lt;0, -(BB69-Uzman_D!$M$14), BB69-Uzman_D!$M$14)*1
)</f>
        <v>-0.20000000000000018</v>
      </c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75"/>
      <c r="BO69" s="75"/>
      <c r="BP69" s="73">
        <f>1 - (
    SUM(
        IF(BD69-Uzman_D!$B$15&lt;0, -(BD69-Uzman_D!$B$15), BD69-Uzman_D!$B$15)*0.1 +
        IF(BE69-Uzman_D!$C$15&lt;0, -(BE69-Uzman_D!$C$15), BE69-Uzman_D!$C$15)*0.1 +
        IF(BF69-Uzman_D!$D$15&lt;0, -(BF69-Uzman_D!$D$15), BF69-Uzman_D!$D$15)*0.1 +
        IF(BG69-Uzman_D!$E$15&lt;0, -(BG69-Uzman_D!$E$15), BG69-Uzman_D!$E$15)*0.1 +
        IF(BH69-Uzman_D!$F$15&lt;0, -(BH69-Uzman_D!$F$15), BH69-Uzman_D!$F$15)*0.1 +
        IF(BI69-Uzman_D!$G$15&lt;0, -(BI69-Uzman_D!$G$15), BI69-Uzman_D!$G$15)*0.1 +
        IF(BJ69-Uzman_D!$H$15&lt;0, -(BJ69-Uzman_D!$H$15), BJ69-Uzman_D!$H$15)*0.1 +
        IF(BK69-Uzman_D!$I$15&lt;0, -(BK69-Uzman_D!$I$15), BK69-Uzman_D!$I$15)*0.1 +
        IF(BL69-Uzman_D!$J$15&lt;0, -(BL69-Uzman_D!$J$15), BL69-Uzman_D!$J$15)*0.1
    ) +
    IF(ROUND((IF(BN69-Uzman_D!$L$15&lt;0, -(BN69-Uzman_D!$L$15), BN69-Uzman_D!$L$15)*2),0)/2 = IF(BN69-Uzman_D!$L$15&lt;0, -(BN69-Uzman_D!$L$15), BN69-Uzman_D!$L$15),
    (ROUND((IF(BN69-Uzman_D!$L$15&lt;0, -(BN69-Uzman_D!$L$15), BN69-Uzman_D!$L$15)*2),0)/1 * 0.1), 0) +
    IF(BO69-Uzman_D!$M$15&lt;0, -(BO69-Uzman_D!$M$15), BO69-Uzman_D!$M$15)*1
)</f>
        <v>-0.60000000000000009</v>
      </c>
      <c r="BQ69" s="74">
        <f t="shared" ref="BQ69:BQ103" si="1">(P69+AC69+AP69+BC69+BP69)/5</f>
        <v>-0.32000000000000017</v>
      </c>
    </row>
    <row r="70" spans="1:69" ht="15" customHeight="1" x14ac:dyDescent="0.2">
      <c r="A70" s="57">
        <v>67</v>
      </c>
      <c r="B70" s="37">
        <f>Hakemler!B70</f>
        <v>0</v>
      </c>
      <c r="C70" s="37">
        <f>Hakemler!C70</f>
        <v>0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75"/>
      <c r="O70" s="75"/>
      <c r="P70" s="73">
        <f>1 - (
    SUM(
        IF(D70-Uzman_D!$B$11&lt;0, -(D70-Uzman_D!$B$11), D70-Uzman_D!$B$11)*0.1 +
        IF(E70-Uzman_D!$C$11&lt;0, -(E70-Uzman_D!$C$11), E70-Uzman_D!$C$11)*0.1 +
        IF(F70-Uzman_D!$D$11&lt;0, -(F70-Uzman_D!$D$11), F70-Uzman_D!$D$11)*0.1 +
        IF(G70-Uzman_D!$E$11&lt;0, -(G70-Uzman_D!$E$11), G70-Uzman_D!$E$11)*0.1 +
        IF(H70-Uzman_D!$F$11&lt;0, -(H70-Uzman_D!$F$11), H70-Uzman_D!$F$11)*0.1 +
        IF(I70-Uzman_D!$G$11&lt;0, -(I70-Uzman_D!$G$11), I70-Uzman_D!$G$11)*0.1 +
        IF(J70-Uzman_D!$H$11&lt;0, -(J70-Uzman_D!$H$11), J70-Uzman_D!$H$11)*0.1 +
        IF(K70-Uzman_D!$I$11&lt;0, -(K70-Uzman_D!$I$11), K70-Uzman_D!$I$11)*0.1 +
        IF(L70-Uzman_D!$J$11&lt;0, -(L70-Uzman_D!$J$11), L70-Uzman_D!$J$11)*0.1
    ) +
    IF(ROUND((IF(N70-Uzman_D!$L$11&lt;0, -(N70-Uzman_D!$L$11), N70-Uzman_D!$L$11)*2),0)/2 = IF(N70-Uzman_D!$L$11&lt;0, -(N70-Uzman_D!$L$11), N70-Uzman_D!$L$11),
    (ROUND((IF(N70-Uzman_D!$L$11&lt;0, -(N70-Uzman_D!$L$11), N70-Uzman_D!$L$11)*2),0)/1 * 0.1), 0) +
    IF(O70-Uzman_D!$M$11&lt;0, -(O70-Uzman_D!$M$11), O70-Uzman_D!$M$11)*1
)</f>
        <v>-0.30000000000000027</v>
      </c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75"/>
      <c r="AB70" s="75"/>
      <c r="AC70" s="73">
        <f>1 - (
    SUM(
        IF(Q70-Uzman_D!$B$12&lt;0, -(Q70-Uzman_D!$B$12), Q70-Uzman_D!$B$12)*0.1 +
        IF(R70-Uzman_D!$C$12&lt;0, -(R70-Uzman_D!$C$12), R70-Uzman_D!$C$12)*0.1 +
        IF(S70-Uzman_D!$D$12&lt;0, -(S70-Uzman_D!$D$12), S70-Uzman_D!$D$12)*0.1 +
        IF(T70-Uzman_D!$E$12&lt;0, -(T70-Uzman_D!$E$12), T70-Uzman_D!$E$12)*0.1 +
        IF(U70-Uzman_D!$F$12&lt;0, -(U70-Uzman_D!$F$12), U70-Uzman_D!$F$12)*0.1 +
        IF(V70-Uzman_D!$G$12&lt;0, -(V70-Uzman_D!$G$12), V70-Uzman_D!$G$12)*0.1 +
        IF(W70-Uzman_D!$H$12&lt;0, -(W70-Uzman_D!$H$12), W70-Uzman_D!$H$12)*0.1 +
        IF(X70-Uzman_D!$I$12&lt;0, -(X70-Uzman_D!$I$12), X70-Uzman_D!$I$12)*0.1 +
        IF(Y70-Uzman_D!$J$12&lt;0, -(Y70-Uzman_D!$J$12), Y70-Uzman_D!$J$12)*0.1
    ) +
    IF(ROUND((IF(AA70-Uzman_D!$L$12&lt;0, -(AA70-Uzman_D!$L$12), AA70-Uzman_D!$L$12)*2),0)/2 = IF(AA70-Uzman_D!$L$12&lt;0, -(AA70-Uzman_D!$L$12), AA70-Uzman_D!$L$12),
    (ROUND((IF(AA70-Uzman_D!$L$12&lt;0, -(AA70-Uzman_D!$L$12), AA70-Uzman_D!$L$12)*2),0)/1 * 0.1), 0) +
    IF(AB70-Uzman_D!$M$12&lt;0, -(AB70-Uzman_D!$M$12), AB70-Uzman_D!$M$12)*1
)</f>
        <v>-0.20000000000000018</v>
      </c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75"/>
      <c r="AO70" s="75"/>
      <c r="AP70" s="73">
        <f>1 - (
    SUM(
        IF(AD70-Uzman_D!$B$13&lt;0, -(AD70-Uzman_D!$B$13), AD70-Uzman_D!$B$13)*0.1 +
        IF(AE70-Uzman_D!$C$13&lt;0, -(AE70-Uzman_D!$C$13), AE70-Uzman_D!$C$13)*0.1 +
        IF(AF70-Uzman_D!$D$13&lt;0, -(AF70-Uzman_D!$D$13), AF70-Uzman_D!$D$13)*0.1 +
        IF(AG70-Uzman_D!$E$13&lt;0, -(AG70-Uzman_D!$E$13), AG70-Uzman_D!$E$13)*0.1 +
        IF(AH70-Uzman_D!$F$13&lt;0, -(AH70-Uzman_D!$F$13), AH70-Uzman_D!$F$13)*0.1 +
        IF(AI70-Uzman_D!$G$13&lt;0, -(AI70-Uzman_D!$G$13), AI70-Uzman_D!$G$13)*0.1 +
        IF(AJ70-Uzman_D!$H$13&lt;0, -(AJ70-Uzman_D!$H$13), AJ70-Uzman_D!$H$13)*0.1 +
        IF(AK70-Uzman_D!$I$13&lt;0, -(AK70-Uzman_D!$I$13), AK70-Uzman_D!$I$13)*0.1 +
        IF(AL70-Uzman_D!$J$13&lt;0, -(AL70-Uzman_D!$J$13), AL70-Uzman_D!$J$13)*0.1
    ) +
    IF(ROUND((IF(AN70-Uzman_D!$L$13&lt;0, -(AN70-Uzman_D!$L$13), AN70-Uzman_D!$L$13)*2),0)/2 = IF(AN70-Uzman_D!$L$13&lt;0, -(AN70-Uzman_D!$L$13), AN70-Uzman_D!$L$13),
    (ROUND((IF(AN70-Uzman_D!$L$13&lt;0, -(AN70-Uzman_D!$L$13), AN70-Uzman_D!$L$13)*2),0)/1 * 0.1), 0) +
    IF(AO70-Uzman_D!$M$13&lt;0, -(AO70-Uzman_D!$M$13), AO70-Uzman_D!$M$13)*1
)</f>
        <v>-0.30000000000000004</v>
      </c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75"/>
      <c r="BB70" s="75"/>
      <c r="BC70" s="73">
        <f>1 - (
    SUM(
        IF(AQ70-Uzman_D!$B$14&lt;0, -(AQ70-Uzman_D!$B$14), AQ70-Uzman_D!$B$14)*0.1 +
        IF(AR70-Uzman_D!$C$14&lt;0, -(AR70-Uzman_D!$C$14), AR70-Uzman_D!$C$14)*0.1 +
        IF(AS70-Uzman_D!$D$14&lt;0, -(AS70-Uzman_D!$D$14), AS70-Uzman_D!$D$14)*0.1 +
        IF(AT70-Uzman_D!$E$14&lt;0, -(AT70-Uzman_D!$E$14), AT70-Uzman_D!$E$14)*0.1 +
        IF(AU70-Uzman_D!$F$14&lt;0, -(AU70-Uzman_D!$F$14), AU70-Uzman_D!$F$14)*0.1 +
        IF(AV70-Uzman_D!$G$14&lt;0, -(AV70-Uzman_D!$G$14), AV70-Uzman_D!$G$14)*0.1 +
        IF(AW70-Uzman_D!$H$14&lt;0, -(AW70-Uzman_D!$H$14), AW70-Uzman_D!$H$14)*0.1 +
        IF(AX70-Uzman_D!$I$14&lt;0, -(AX70-Uzman_D!$I$14), AX70-Uzman_D!$I$14)*0.1 +
        IF(AY70-Uzman_D!$J$14&lt;0, -(AY70-Uzman_D!$J$14), AY70-Uzman_D!$J$14)*0.1
    ) +
    IF(ROUND((IF(BA70-Uzman_D!$L$14&lt;0, -(BA70-Uzman_D!$L$14), BA70-Uzman_D!$L$14)*2),0)/2 = IF(BA70-Uzman_D!$L$14&lt;0, -(BA70-Uzman_D!$L$14), BA70-Uzman_D!$L$14),
    (ROUND((IF(BA70-Uzman_D!$L$14&lt;0, -(BA70-Uzman_D!$L$14), BA70-Uzman_D!$L$14)*2),0)/1 * 0.1), 0) +
    IF(BB70-Uzman_D!$M$14&lt;0, -(BB70-Uzman_D!$M$14), BB70-Uzman_D!$M$14)*1
)</f>
        <v>-0.20000000000000018</v>
      </c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75"/>
      <c r="BO70" s="75"/>
      <c r="BP70" s="73">
        <f>1 - (
    SUM(
        IF(BD70-Uzman_D!$B$15&lt;0, -(BD70-Uzman_D!$B$15), BD70-Uzman_D!$B$15)*0.1 +
        IF(BE70-Uzman_D!$C$15&lt;0, -(BE70-Uzman_D!$C$15), BE70-Uzman_D!$C$15)*0.1 +
        IF(BF70-Uzman_D!$D$15&lt;0, -(BF70-Uzman_D!$D$15), BF70-Uzman_D!$D$15)*0.1 +
        IF(BG70-Uzman_D!$E$15&lt;0, -(BG70-Uzman_D!$E$15), BG70-Uzman_D!$E$15)*0.1 +
        IF(BH70-Uzman_D!$F$15&lt;0, -(BH70-Uzman_D!$F$15), BH70-Uzman_D!$F$15)*0.1 +
        IF(BI70-Uzman_D!$G$15&lt;0, -(BI70-Uzman_D!$G$15), BI70-Uzman_D!$G$15)*0.1 +
        IF(BJ70-Uzman_D!$H$15&lt;0, -(BJ70-Uzman_D!$H$15), BJ70-Uzman_D!$H$15)*0.1 +
        IF(BK70-Uzman_D!$I$15&lt;0, -(BK70-Uzman_D!$I$15), BK70-Uzman_D!$I$15)*0.1 +
        IF(BL70-Uzman_D!$J$15&lt;0, -(BL70-Uzman_D!$J$15), BL70-Uzman_D!$J$15)*0.1
    ) +
    IF(ROUND((IF(BN70-Uzman_D!$L$15&lt;0, -(BN70-Uzman_D!$L$15), BN70-Uzman_D!$L$15)*2),0)/2 = IF(BN70-Uzman_D!$L$15&lt;0, -(BN70-Uzman_D!$L$15), BN70-Uzman_D!$L$15),
    (ROUND((IF(BN70-Uzman_D!$L$15&lt;0, -(BN70-Uzman_D!$L$15), BN70-Uzman_D!$L$15)*2),0)/1 * 0.1), 0) +
    IF(BO70-Uzman_D!$M$15&lt;0, -(BO70-Uzman_D!$M$15), BO70-Uzman_D!$M$15)*1
)</f>
        <v>-0.60000000000000009</v>
      </c>
      <c r="BQ70" s="74">
        <f t="shared" si="1"/>
        <v>-0.32000000000000017</v>
      </c>
    </row>
    <row r="71" spans="1:69" ht="15" customHeight="1" x14ac:dyDescent="0.2">
      <c r="A71" s="57">
        <v>68</v>
      </c>
      <c r="B71" s="37">
        <f>Hakemler!B71</f>
        <v>0</v>
      </c>
      <c r="C71" s="37">
        <f>Hakemler!C71</f>
        <v>0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75"/>
      <c r="O71" s="75"/>
      <c r="P71" s="73">
        <f>1 - (
    SUM(
        IF(D71-Uzman_D!$B$11&lt;0, -(D71-Uzman_D!$B$11), D71-Uzman_D!$B$11)*0.1 +
        IF(E71-Uzman_D!$C$11&lt;0, -(E71-Uzman_D!$C$11), E71-Uzman_D!$C$11)*0.1 +
        IF(F71-Uzman_D!$D$11&lt;0, -(F71-Uzman_D!$D$11), F71-Uzman_D!$D$11)*0.1 +
        IF(G71-Uzman_D!$E$11&lt;0, -(G71-Uzman_D!$E$11), G71-Uzman_D!$E$11)*0.1 +
        IF(H71-Uzman_D!$F$11&lt;0, -(H71-Uzman_D!$F$11), H71-Uzman_D!$F$11)*0.1 +
        IF(I71-Uzman_D!$G$11&lt;0, -(I71-Uzman_D!$G$11), I71-Uzman_D!$G$11)*0.1 +
        IF(J71-Uzman_D!$H$11&lt;0, -(J71-Uzman_D!$H$11), J71-Uzman_D!$H$11)*0.1 +
        IF(K71-Uzman_D!$I$11&lt;0, -(K71-Uzman_D!$I$11), K71-Uzman_D!$I$11)*0.1 +
        IF(L71-Uzman_D!$J$11&lt;0, -(L71-Uzman_D!$J$11), L71-Uzman_D!$J$11)*0.1
    ) +
    IF(ROUND((IF(N71-Uzman_D!$L$11&lt;0, -(N71-Uzman_D!$L$11), N71-Uzman_D!$L$11)*2),0)/2 = IF(N71-Uzman_D!$L$11&lt;0, -(N71-Uzman_D!$L$11), N71-Uzman_D!$L$11),
    (ROUND((IF(N71-Uzman_D!$L$11&lt;0, -(N71-Uzman_D!$L$11), N71-Uzman_D!$L$11)*2),0)/1 * 0.1), 0) +
    IF(O71-Uzman_D!$M$11&lt;0, -(O71-Uzman_D!$M$11), O71-Uzman_D!$M$11)*1
)</f>
        <v>-0.30000000000000027</v>
      </c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75"/>
      <c r="AB71" s="75"/>
      <c r="AC71" s="73">
        <f>1 - (
    SUM(
        IF(Q71-Uzman_D!$B$12&lt;0, -(Q71-Uzman_D!$B$12), Q71-Uzman_D!$B$12)*0.1 +
        IF(R71-Uzman_D!$C$12&lt;0, -(R71-Uzman_D!$C$12), R71-Uzman_D!$C$12)*0.1 +
        IF(S71-Uzman_D!$D$12&lt;0, -(S71-Uzman_D!$D$12), S71-Uzman_D!$D$12)*0.1 +
        IF(T71-Uzman_D!$E$12&lt;0, -(T71-Uzman_D!$E$12), T71-Uzman_D!$E$12)*0.1 +
        IF(U71-Uzman_D!$F$12&lt;0, -(U71-Uzman_D!$F$12), U71-Uzman_D!$F$12)*0.1 +
        IF(V71-Uzman_D!$G$12&lt;0, -(V71-Uzman_D!$G$12), V71-Uzman_D!$G$12)*0.1 +
        IF(W71-Uzman_D!$H$12&lt;0, -(W71-Uzman_D!$H$12), W71-Uzman_D!$H$12)*0.1 +
        IF(X71-Uzman_D!$I$12&lt;0, -(X71-Uzman_D!$I$12), X71-Uzman_D!$I$12)*0.1 +
        IF(Y71-Uzman_D!$J$12&lt;0, -(Y71-Uzman_D!$J$12), Y71-Uzman_D!$J$12)*0.1
    ) +
    IF(ROUND((IF(AA71-Uzman_D!$L$12&lt;0, -(AA71-Uzman_D!$L$12), AA71-Uzman_D!$L$12)*2),0)/2 = IF(AA71-Uzman_D!$L$12&lt;0, -(AA71-Uzman_D!$L$12), AA71-Uzman_D!$L$12),
    (ROUND((IF(AA71-Uzman_D!$L$12&lt;0, -(AA71-Uzman_D!$L$12), AA71-Uzman_D!$L$12)*2),0)/1 * 0.1), 0) +
    IF(AB71-Uzman_D!$M$12&lt;0, -(AB71-Uzman_D!$M$12), AB71-Uzman_D!$M$12)*1
)</f>
        <v>-0.20000000000000018</v>
      </c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75"/>
      <c r="AO71" s="75"/>
      <c r="AP71" s="73">
        <f>1 - (
    SUM(
        IF(AD71-Uzman_D!$B$13&lt;0, -(AD71-Uzman_D!$B$13), AD71-Uzman_D!$B$13)*0.1 +
        IF(AE71-Uzman_D!$C$13&lt;0, -(AE71-Uzman_D!$C$13), AE71-Uzman_D!$C$13)*0.1 +
        IF(AF71-Uzman_D!$D$13&lt;0, -(AF71-Uzman_D!$D$13), AF71-Uzman_D!$D$13)*0.1 +
        IF(AG71-Uzman_D!$E$13&lt;0, -(AG71-Uzman_D!$E$13), AG71-Uzman_D!$E$13)*0.1 +
        IF(AH71-Uzman_D!$F$13&lt;0, -(AH71-Uzman_D!$F$13), AH71-Uzman_D!$F$13)*0.1 +
        IF(AI71-Uzman_D!$G$13&lt;0, -(AI71-Uzman_D!$G$13), AI71-Uzman_D!$G$13)*0.1 +
        IF(AJ71-Uzman_D!$H$13&lt;0, -(AJ71-Uzman_D!$H$13), AJ71-Uzman_D!$H$13)*0.1 +
        IF(AK71-Uzman_D!$I$13&lt;0, -(AK71-Uzman_D!$I$13), AK71-Uzman_D!$I$13)*0.1 +
        IF(AL71-Uzman_D!$J$13&lt;0, -(AL71-Uzman_D!$J$13), AL71-Uzman_D!$J$13)*0.1
    ) +
    IF(ROUND((IF(AN71-Uzman_D!$L$13&lt;0, -(AN71-Uzman_D!$L$13), AN71-Uzman_D!$L$13)*2),0)/2 = IF(AN71-Uzman_D!$L$13&lt;0, -(AN71-Uzman_D!$L$13), AN71-Uzman_D!$L$13),
    (ROUND((IF(AN71-Uzman_D!$L$13&lt;0, -(AN71-Uzman_D!$L$13), AN71-Uzman_D!$L$13)*2),0)/1 * 0.1), 0) +
    IF(AO71-Uzman_D!$M$13&lt;0, -(AO71-Uzman_D!$M$13), AO71-Uzman_D!$M$13)*1
)</f>
        <v>-0.30000000000000004</v>
      </c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75"/>
      <c r="BB71" s="75"/>
      <c r="BC71" s="73">
        <f>1 - (
    SUM(
        IF(AQ71-Uzman_D!$B$14&lt;0, -(AQ71-Uzman_D!$B$14), AQ71-Uzman_D!$B$14)*0.1 +
        IF(AR71-Uzman_D!$C$14&lt;0, -(AR71-Uzman_D!$C$14), AR71-Uzman_D!$C$14)*0.1 +
        IF(AS71-Uzman_D!$D$14&lt;0, -(AS71-Uzman_D!$D$14), AS71-Uzman_D!$D$14)*0.1 +
        IF(AT71-Uzman_D!$E$14&lt;0, -(AT71-Uzman_D!$E$14), AT71-Uzman_D!$E$14)*0.1 +
        IF(AU71-Uzman_D!$F$14&lt;0, -(AU71-Uzman_D!$F$14), AU71-Uzman_D!$F$14)*0.1 +
        IF(AV71-Uzman_D!$G$14&lt;0, -(AV71-Uzman_D!$G$14), AV71-Uzman_D!$G$14)*0.1 +
        IF(AW71-Uzman_D!$H$14&lt;0, -(AW71-Uzman_D!$H$14), AW71-Uzman_D!$H$14)*0.1 +
        IF(AX71-Uzman_D!$I$14&lt;0, -(AX71-Uzman_D!$I$14), AX71-Uzman_D!$I$14)*0.1 +
        IF(AY71-Uzman_D!$J$14&lt;0, -(AY71-Uzman_D!$J$14), AY71-Uzman_D!$J$14)*0.1
    ) +
    IF(ROUND((IF(BA71-Uzman_D!$L$14&lt;0, -(BA71-Uzman_D!$L$14), BA71-Uzman_D!$L$14)*2),0)/2 = IF(BA71-Uzman_D!$L$14&lt;0, -(BA71-Uzman_D!$L$14), BA71-Uzman_D!$L$14),
    (ROUND((IF(BA71-Uzman_D!$L$14&lt;0, -(BA71-Uzman_D!$L$14), BA71-Uzman_D!$L$14)*2),0)/1 * 0.1), 0) +
    IF(BB71-Uzman_D!$M$14&lt;0, -(BB71-Uzman_D!$M$14), BB71-Uzman_D!$M$14)*1
)</f>
        <v>-0.20000000000000018</v>
      </c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75"/>
      <c r="BO71" s="75"/>
      <c r="BP71" s="73">
        <f>1 - (
    SUM(
        IF(BD71-Uzman_D!$B$15&lt;0, -(BD71-Uzman_D!$B$15), BD71-Uzman_D!$B$15)*0.1 +
        IF(BE71-Uzman_D!$C$15&lt;0, -(BE71-Uzman_D!$C$15), BE71-Uzman_D!$C$15)*0.1 +
        IF(BF71-Uzman_D!$D$15&lt;0, -(BF71-Uzman_D!$D$15), BF71-Uzman_D!$D$15)*0.1 +
        IF(BG71-Uzman_D!$E$15&lt;0, -(BG71-Uzman_D!$E$15), BG71-Uzman_D!$E$15)*0.1 +
        IF(BH71-Uzman_D!$F$15&lt;0, -(BH71-Uzman_D!$F$15), BH71-Uzman_D!$F$15)*0.1 +
        IF(BI71-Uzman_D!$G$15&lt;0, -(BI71-Uzman_D!$G$15), BI71-Uzman_D!$G$15)*0.1 +
        IF(BJ71-Uzman_D!$H$15&lt;0, -(BJ71-Uzman_D!$H$15), BJ71-Uzman_D!$H$15)*0.1 +
        IF(BK71-Uzman_D!$I$15&lt;0, -(BK71-Uzman_D!$I$15), BK71-Uzman_D!$I$15)*0.1 +
        IF(BL71-Uzman_D!$J$15&lt;0, -(BL71-Uzman_D!$J$15), BL71-Uzman_D!$J$15)*0.1
    ) +
    IF(ROUND((IF(BN71-Uzman_D!$L$15&lt;0, -(BN71-Uzman_D!$L$15), BN71-Uzman_D!$L$15)*2),0)/2 = IF(BN71-Uzman_D!$L$15&lt;0, -(BN71-Uzman_D!$L$15), BN71-Uzman_D!$L$15),
    (ROUND((IF(BN71-Uzman_D!$L$15&lt;0, -(BN71-Uzman_D!$L$15), BN71-Uzman_D!$L$15)*2),0)/1 * 0.1), 0) +
    IF(BO71-Uzman_D!$M$15&lt;0, -(BO71-Uzman_D!$M$15), BO71-Uzman_D!$M$15)*1
)</f>
        <v>-0.60000000000000009</v>
      </c>
      <c r="BQ71" s="74">
        <f t="shared" si="1"/>
        <v>-0.32000000000000017</v>
      </c>
    </row>
    <row r="72" spans="1:69" ht="15" customHeight="1" x14ac:dyDescent="0.2">
      <c r="A72" s="57">
        <v>69</v>
      </c>
      <c r="B72" s="37">
        <f>Hakemler!B72</f>
        <v>0</v>
      </c>
      <c r="C72" s="37">
        <f>Hakemler!C72</f>
        <v>0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75"/>
      <c r="O72" s="75"/>
      <c r="P72" s="73">
        <f>1 - (
    SUM(
        IF(D72-Uzman_D!$B$11&lt;0, -(D72-Uzman_D!$B$11), D72-Uzman_D!$B$11)*0.1 +
        IF(E72-Uzman_D!$C$11&lt;0, -(E72-Uzman_D!$C$11), E72-Uzman_D!$C$11)*0.1 +
        IF(F72-Uzman_D!$D$11&lt;0, -(F72-Uzman_D!$D$11), F72-Uzman_D!$D$11)*0.1 +
        IF(G72-Uzman_D!$E$11&lt;0, -(G72-Uzman_D!$E$11), G72-Uzman_D!$E$11)*0.1 +
        IF(H72-Uzman_D!$F$11&lt;0, -(H72-Uzman_D!$F$11), H72-Uzman_D!$F$11)*0.1 +
        IF(I72-Uzman_D!$G$11&lt;0, -(I72-Uzman_D!$G$11), I72-Uzman_D!$G$11)*0.1 +
        IF(J72-Uzman_D!$H$11&lt;0, -(J72-Uzman_D!$H$11), J72-Uzman_D!$H$11)*0.1 +
        IF(K72-Uzman_D!$I$11&lt;0, -(K72-Uzman_D!$I$11), K72-Uzman_D!$I$11)*0.1 +
        IF(L72-Uzman_D!$J$11&lt;0, -(L72-Uzman_D!$J$11), L72-Uzman_D!$J$11)*0.1
    ) +
    IF(ROUND((IF(N72-Uzman_D!$L$11&lt;0, -(N72-Uzman_D!$L$11), N72-Uzman_D!$L$11)*2),0)/2 = IF(N72-Uzman_D!$L$11&lt;0, -(N72-Uzman_D!$L$11), N72-Uzman_D!$L$11),
    (ROUND((IF(N72-Uzman_D!$L$11&lt;0, -(N72-Uzman_D!$L$11), N72-Uzman_D!$L$11)*2),0)/1 * 0.1), 0) +
    IF(O72-Uzman_D!$M$11&lt;0, -(O72-Uzman_D!$M$11), O72-Uzman_D!$M$11)*1
)</f>
        <v>-0.30000000000000027</v>
      </c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75"/>
      <c r="AB72" s="75"/>
      <c r="AC72" s="73">
        <f>1 - (
    SUM(
        IF(Q72-Uzman_D!$B$12&lt;0, -(Q72-Uzman_D!$B$12), Q72-Uzman_D!$B$12)*0.1 +
        IF(R72-Uzman_D!$C$12&lt;0, -(R72-Uzman_D!$C$12), R72-Uzman_D!$C$12)*0.1 +
        IF(S72-Uzman_D!$D$12&lt;0, -(S72-Uzman_D!$D$12), S72-Uzman_D!$D$12)*0.1 +
        IF(T72-Uzman_D!$E$12&lt;0, -(T72-Uzman_D!$E$12), T72-Uzman_D!$E$12)*0.1 +
        IF(U72-Uzman_D!$F$12&lt;0, -(U72-Uzman_D!$F$12), U72-Uzman_D!$F$12)*0.1 +
        IF(V72-Uzman_D!$G$12&lt;0, -(V72-Uzman_D!$G$12), V72-Uzman_D!$G$12)*0.1 +
        IF(W72-Uzman_D!$H$12&lt;0, -(W72-Uzman_D!$H$12), W72-Uzman_D!$H$12)*0.1 +
        IF(X72-Uzman_D!$I$12&lt;0, -(X72-Uzman_D!$I$12), X72-Uzman_D!$I$12)*0.1 +
        IF(Y72-Uzman_D!$J$12&lt;0, -(Y72-Uzman_D!$J$12), Y72-Uzman_D!$J$12)*0.1
    ) +
    IF(ROUND((IF(AA72-Uzman_D!$L$12&lt;0, -(AA72-Uzman_D!$L$12), AA72-Uzman_D!$L$12)*2),0)/2 = IF(AA72-Uzman_D!$L$12&lt;0, -(AA72-Uzman_D!$L$12), AA72-Uzman_D!$L$12),
    (ROUND((IF(AA72-Uzman_D!$L$12&lt;0, -(AA72-Uzman_D!$L$12), AA72-Uzman_D!$L$12)*2),0)/1 * 0.1), 0) +
    IF(AB72-Uzman_D!$M$12&lt;0, -(AB72-Uzman_D!$M$12), AB72-Uzman_D!$M$12)*1
)</f>
        <v>-0.20000000000000018</v>
      </c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75"/>
      <c r="AO72" s="75"/>
      <c r="AP72" s="73">
        <f>1 - (
    SUM(
        IF(AD72-Uzman_D!$B$13&lt;0, -(AD72-Uzman_D!$B$13), AD72-Uzman_D!$B$13)*0.1 +
        IF(AE72-Uzman_D!$C$13&lt;0, -(AE72-Uzman_D!$C$13), AE72-Uzman_D!$C$13)*0.1 +
        IF(AF72-Uzman_D!$D$13&lt;0, -(AF72-Uzman_D!$D$13), AF72-Uzman_D!$D$13)*0.1 +
        IF(AG72-Uzman_D!$E$13&lt;0, -(AG72-Uzman_D!$E$13), AG72-Uzman_D!$E$13)*0.1 +
        IF(AH72-Uzman_D!$F$13&lt;0, -(AH72-Uzman_D!$F$13), AH72-Uzman_D!$F$13)*0.1 +
        IF(AI72-Uzman_D!$G$13&lt;0, -(AI72-Uzman_D!$G$13), AI72-Uzman_D!$G$13)*0.1 +
        IF(AJ72-Uzman_D!$H$13&lt;0, -(AJ72-Uzman_D!$H$13), AJ72-Uzman_D!$H$13)*0.1 +
        IF(AK72-Uzman_D!$I$13&lt;0, -(AK72-Uzman_D!$I$13), AK72-Uzman_D!$I$13)*0.1 +
        IF(AL72-Uzman_D!$J$13&lt;0, -(AL72-Uzman_D!$J$13), AL72-Uzman_D!$J$13)*0.1
    ) +
    IF(ROUND((IF(AN72-Uzman_D!$L$13&lt;0, -(AN72-Uzman_D!$L$13), AN72-Uzman_D!$L$13)*2),0)/2 = IF(AN72-Uzman_D!$L$13&lt;0, -(AN72-Uzman_D!$L$13), AN72-Uzman_D!$L$13),
    (ROUND((IF(AN72-Uzman_D!$L$13&lt;0, -(AN72-Uzman_D!$L$13), AN72-Uzman_D!$L$13)*2),0)/1 * 0.1), 0) +
    IF(AO72-Uzman_D!$M$13&lt;0, -(AO72-Uzman_D!$M$13), AO72-Uzman_D!$M$13)*1
)</f>
        <v>-0.30000000000000004</v>
      </c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75"/>
      <c r="BB72" s="75"/>
      <c r="BC72" s="73">
        <f>1 - (
    SUM(
        IF(AQ72-Uzman_D!$B$14&lt;0, -(AQ72-Uzman_D!$B$14), AQ72-Uzman_D!$B$14)*0.1 +
        IF(AR72-Uzman_D!$C$14&lt;0, -(AR72-Uzman_D!$C$14), AR72-Uzman_D!$C$14)*0.1 +
        IF(AS72-Uzman_D!$D$14&lt;0, -(AS72-Uzman_D!$D$14), AS72-Uzman_D!$D$14)*0.1 +
        IF(AT72-Uzman_D!$E$14&lt;0, -(AT72-Uzman_D!$E$14), AT72-Uzman_D!$E$14)*0.1 +
        IF(AU72-Uzman_D!$F$14&lt;0, -(AU72-Uzman_D!$F$14), AU72-Uzman_D!$F$14)*0.1 +
        IF(AV72-Uzman_D!$G$14&lt;0, -(AV72-Uzman_D!$G$14), AV72-Uzman_D!$G$14)*0.1 +
        IF(AW72-Uzman_D!$H$14&lt;0, -(AW72-Uzman_D!$H$14), AW72-Uzman_D!$H$14)*0.1 +
        IF(AX72-Uzman_D!$I$14&lt;0, -(AX72-Uzman_D!$I$14), AX72-Uzman_D!$I$14)*0.1 +
        IF(AY72-Uzman_D!$J$14&lt;0, -(AY72-Uzman_D!$J$14), AY72-Uzman_D!$J$14)*0.1
    ) +
    IF(ROUND((IF(BA72-Uzman_D!$L$14&lt;0, -(BA72-Uzman_D!$L$14), BA72-Uzman_D!$L$14)*2),0)/2 = IF(BA72-Uzman_D!$L$14&lt;0, -(BA72-Uzman_D!$L$14), BA72-Uzman_D!$L$14),
    (ROUND((IF(BA72-Uzman_D!$L$14&lt;0, -(BA72-Uzman_D!$L$14), BA72-Uzman_D!$L$14)*2),0)/1 * 0.1), 0) +
    IF(BB72-Uzman_D!$M$14&lt;0, -(BB72-Uzman_D!$M$14), BB72-Uzman_D!$M$14)*1
)</f>
        <v>-0.20000000000000018</v>
      </c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75"/>
      <c r="BO72" s="75"/>
      <c r="BP72" s="73">
        <f>1 - (
    SUM(
        IF(BD72-Uzman_D!$B$15&lt;0, -(BD72-Uzman_D!$B$15), BD72-Uzman_D!$B$15)*0.1 +
        IF(BE72-Uzman_D!$C$15&lt;0, -(BE72-Uzman_D!$C$15), BE72-Uzman_D!$C$15)*0.1 +
        IF(BF72-Uzman_D!$D$15&lt;0, -(BF72-Uzman_D!$D$15), BF72-Uzman_D!$D$15)*0.1 +
        IF(BG72-Uzman_D!$E$15&lt;0, -(BG72-Uzman_D!$E$15), BG72-Uzman_D!$E$15)*0.1 +
        IF(BH72-Uzman_D!$F$15&lt;0, -(BH72-Uzman_D!$F$15), BH72-Uzman_D!$F$15)*0.1 +
        IF(BI72-Uzman_D!$G$15&lt;0, -(BI72-Uzman_D!$G$15), BI72-Uzman_D!$G$15)*0.1 +
        IF(BJ72-Uzman_D!$H$15&lt;0, -(BJ72-Uzman_D!$H$15), BJ72-Uzman_D!$H$15)*0.1 +
        IF(BK72-Uzman_D!$I$15&lt;0, -(BK72-Uzman_D!$I$15), BK72-Uzman_D!$I$15)*0.1 +
        IF(BL72-Uzman_D!$J$15&lt;0, -(BL72-Uzman_D!$J$15), BL72-Uzman_D!$J$15)*0.1
    ) +
    IF(ROUND((IF(BN72-Uzman_D!$L$15&lt;0, -(BN72-Uzman_D!$L$15), BN72-Uzman_D!$L$15)*2),0)/2 = IF(BN72-Uzman_D!$L$15&lt;0, -(BN72-Uzman_D!$L$15), BN72-Uzman_D!$L$15),
    (ROUND((IF(BN72-Uzman_D!$L$15&lt;0, -(BN72-Uzman_D!$L$15), BN72-Uzman_D!$L$15)*2),0)/1 * 0.1), 0) +
    IF(BO72-Uzman_D!$M$15&lt;0, -(BO72-Uzman_D!$M$15), BO72-Uzman_D!$M$15)*1
)</f>
        <v>-0.60000000000000009</v>
      </c>
      <c r="BQ72" s="74">
        <f t="shared" si="1"/>
        <v>-0.32000000000000017</v>
      </c>
    </row>
    <row r="73" spans="1:69" ht="15" customHeight="1" x14ac:dyDescent="0.2">
      <c r="A73" s="57">
        <v>70</v>
      </c>
      <c r="B73" s="37">
        <f>Hakemler!B73</f>
        <v>0</v>
      </c>
      <c r="C73" s="37">
        <f>Hakemler!C73</f>
        <v>0</v>
      </c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75"/>
      <c r="O73" s="75"/>
      <c r="P73" s="73">
        <f>1 - (
    SUM(
        IF(D73-Uzman_D!$B$11&lt;0, -(D73-Uzman_D!$B$11), D73-Uzman_D!$B$11)*0.1 +
        IF(E73-Uzman_D!$C$11&lt;0, -(E73-Uzman_D!$C$11), E73-Uzman_D!$C$11)*0.1 +
        IF(F73-Uzman_D!$D$11&lt;0, -(F73-Uzman_D!$D$11), F73-Uzman_D!$D$11)*0.1 +
        IF(G73-Uzman_D!$E$11&lt;0, -(G73-Uzman_D!$E$11), G73-Uzman_D!$E$11)*0.1 +
        IF(H73-Uzman_D!$F$11&lt;0, -(H73-Uzman_D!$F$11), H73-Uzman_D!$F$11)*0.1 +
        IF(I73-Uzman_D!$G$11&lt;0, -(I73-Uzman_D!$G$11), I73-Uzman_D!$G$11)*0.1 +
        IF(J73-Uzman_D!$H$11&lt;0, -(J73-Uzman_D!$H$11), J73-Uzman_D!$H$11)*0.1 +
        IF(K73-Uzman_D!$I$11&lt;0, -(K73-Uzman_D!$I$11), K73-Uzman_D!$I$11)*0.1 +
        IF(L73-Uzman_D!$J$11&lt;0, -(L73-Uzman_D!$J$11), L73-Uzman_D!$J$11)*0.1
    ) +
    IF(ROUND((IF(N73-Uzman_D!$L$11&lt;0, -(N73-Uzman_D!$L$11), N73-Uzman_D!$L$11)*2),0)/2 = IF(N73-Uzman_D!$L$11&lt;0, -(N73-Uzman_D!$L$11), N73-Uzman_D!$L$11),
    (ROUND((IF(N73-Uzman_D!$L$11&lt;0, -(N73-Uzman_D!$L$11), N73-Uzman_D!$L$11)*2),0)/1 * 0.1), 0) +
    IF(O73-Uzman_D!$M$11&lt;0, -(O73-Uzman_D!$M$11), O73-Uzman_D!$M$11)*1
)</f>
        <v>-0.30000000000000027</v>
      </c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75"/>
      <c r="AB73" s="75"/>
      <c r="AC73" s="73">
        <f>1 - (
    SUM(
        IF(Q73-Uzman_D!$B$12&lt;0, -(Q73-Uzman_D!$B$12), Q73-Uzman_D!$B$12)*0.1 +
        IF(R73-Uzman_D!$C$12&lt;0, -(R73-Uzman_D!$C$12), R73-Uzman_D!$C$12)*0.1 +
        IF(S73-Uzman_D!$D$12&lt;0, -(S73-Uzman_D!$D$12), S73-Uzman_D!$D$12)*0.1 +
        IF(T73-Uzman_D!$E$12&lt;0, -(T73-Uzman_D!$E$12), T73-Uzman_D!$E$12)*0.1 +
        IF(U73-Uzman_D!$F$12&lt;0, -(U73-Uzman_D!$F$12), U73-Uzman_D!$F$12)*0.1 +
        IF(V73-Uzman_D!$G$12&lt;0, -(V73-Uzman_D!$G$12), V73-Uzman_D!$G$12)*0.1 +
        IF(W73-Uzman_D!$H$12&lt;0, -(W73-Uzman_D!$H$12), W73-Uzman_D!$H$12)*0.1 +
        IF(X73-Uzman_D!$I$12&lt;0, -(X73-Uzman_D!$I$12), X73-Uzman_D!$I$12)*0.1 +
        IF(Y73-Uzman_D!$J$12&lt;0, -(Y73-Uzman_D!$J$12), Y73-Uzman_D!$J$12)*0.1
    ) +
    IF(ROUND((IF(AA73-Uzman_D!$L$12&lt;0, -(AA73-Uzman_D!$L$12), AA73-Uzman_D!$L$12)*2),0)/2 = IF(AA73-Uzman_D!$L$12&lt;0, -(AA73-Uzman_D!$L$12), AA73-Uzman_D!$L$12),
    (ROUND((IF(AA73-Uzman_D!$L$12&lt;0, -(AA73-Uzman_D!$L$12), AA73-Uzman_D!$L$12)*2),0)/1 * 0.1), 0) +
    IF(AB73-Uzman_D!$M$12&lt;0, -(AB73-Uzman_D!$M$12), AB73-Uzman_D!$M$12)*1
)</f>
        <v>-0.20000000000000018</v>
      </c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75"/>
      <c r="AO73" s="75"/>
      <c r="AP73" s="73">
        <f>1 - (
    SUM(
        IF(AD73-Uzman_D!$B$13&lt;0, -(AD73-Uzman_D!$B$13), AD73-Uzman_D!$B$13)*0.1 +
        IF(AE73-Uzman_D!$C$13&lt;0, -(AE73-Uzman_D!$C$13), AE73-Uzman_D!$C$13)*0.1 +
        IF(AF73-Uzman_D!$D$13&lt;0, -(AF73-Uzman_D!$D$13), AF73-Uzman_D!$D$13)*0.1 +
        IF(AG73-Uzman_D!$E$13&lt;0, -(AG73-Uzman_D!$E$13), AG73-Uzman_D!$E$13)*0.1 +
        IF(AH73-Uzman_D!$F$13&lt;0, -(AH73-Uzman_D!$F$13), AH73-Uzman_D!$F$13)*0.1 +
        IF(AI73-Uzman_D!$G$13&lt;0, -(AI73-Uzman_D!$G$13), AI73-Uzman_D!$G$13)*0.1 +
        IF(AJ73-Uzman_D!$H$13&lt;0, -(AJ73-Uzman_D!$H$13), AJ73-Uzman_D!$H$13)*0.1 +
        IF(AK73-Uzman_D!$I$13&lt;0, -(AK73-Uzman_D!$I$13), AK73-Uzman_D!$I$13)*0.1 +
        IF(AL73-Uzman_D!$J$13&lt;0, -(AL73-Uzman_D!$J$13), AL73-Uzman_D!$J$13)*0.1
    ) +
    IF(ROUND((IF(AN73-Uzman_D!$L$13&lt;0, -(AN73-Uzman_D!$L$13), AN73-Uzman_D!$L$13)*2),0)/2 = IF(AN73-Uzman_D!$L$13&lt;0, -(AN73-Uzman_D!$L$13), AN73-Uzman_D!$L$13),
    (ROUND((IF(AN73-Uzman_D!$L$13&lt;0, -(AN73-Uzman_D!$L$13), AN73-Uzman_D!$L$13)*2),0)/1 * 0.1), 0) +
    IF(AO73-Uzman_D!$M$13&lt;0, -(AO73-Uzman_D!$M$13), AO73-Uzman_D!$M$13)*1
)</f>
        <v>-0.30000000000000004</v>
      </c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75"/>
      <c r="BB73" s="75"/>
      <c r="BC73" s="73">
        <f>1 - (
    SUM(
        IF(AQ73-Uzman_D!$B$14&lt;0, -(AQ73-Uzman_D!$B$14), AQ73-Uzman_D!$B$14)*0.1 +
        IF(AR73-Uzman_D!$C$14&lt;0, -(AR73-Uzman_D!$C$14), AR73-Uzman_D!$C$14)*0.1 +
        IF(AS73-Uzman_D!$D$14&lt;0, -(AS73-Uzman_D!$D$14), AS73-Uzman_D!$D$14)*0.1 +
        IF(AT73-Uzman_D!$E$14&lt;0, -(AT73-Uzman_D!$E$14), AT73-Uzman_D!$E$14)*0.1 +
        IF(AU73-Uzman_D!$F$14&lt;0, -(AU73-Uzman_D!$F$14), AU73-Uzman_D!$F$14)*0.1 +
        IF(AV73-Uzman_D!$G$14&lt;0, -(AV73-Uzman_D!$G$14), AV73-Uzman_D!$G$14)*0.1 +
        IF(AW73-Uzman_D!$H$14&lt;0, -(AW73-Uzman_D!$H$14), AW73-Uzman_D!$H$14)*0.1 +
        IF(AX73-Uzman_D!$I$14&lt;0, -(AX73-Uzman_D!$I$14), AX73-Uzman_D!$I$14)*0.1 +
        IF(AY73-Uzman_D!$J$14&lt;0, -(AY73-Uzman_D!$J$14), AY73-Uzman_D!$J$14)*0.1
    ) +
    IF(ROUND((IF(BA73-Uzman_D!$L$14&lt;0, -(BA73-Uzman_D!$L$14), BA73-Uzman_D!$L$14)*2),0)/2 = IF(BA73-Uzman_D!$L$14&lt;0, -(BA73-Uzman_D!$L$14), BA73-Uzman_D!$L$14),
    (ROUND((IF(BA73-Uzman_D!$L$14&lt;0, -(BA73-Uzman_D!$L$14), BA73-Uzman_D!$L$14)*2),0)/1 * 0.1), 0) +
    IF(BB73-Uzman_D!$M$14&lt;0, -(BB73-Uzman_D!$M$14), BB73-Uzman_D!$M$14)*1
)</f>
        <v>-0.20000000000000018</v>
      </c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75"/>
      <c r="BO73" s="75"/>
      <c r="BP73" s="73">
        <f>1 - (
    SUM(
        IF(BD73-Uzman_D!$B$15&lt;0, -(BD73-Uzman_D!$B$15), BD73-Uzman_D!$B$15)*0.1 +
        IF(BE73-Uzman_D!$C$15&lt;0, -(BE73-Uzman_D!$C$15), BE73-Uzman_D!$C$15)*0.1 +
        IF(BF73-Uzman_D!$D$15&lt;0, -(BF73-Uzman_D!$D$15), BF73-Uzman_D!$D$15)*0.1 +
        IF(BG73-Uzman_D!$E$15&lt;0, -(BG73-Uzman_D!$E$15), BG73-Uzman_D!$E$15)*0.1 +
        IF(BH73-Uzman_D!$F$15&lt;0, -(BH73-Uzman_D!$F$15), BH73-Uzman_D!$F$15)*0.1 +
        IF(BI73-Uzman_D!$G$15&lt;0, -(BI73-Uzman_D!$G$15), BI73-Uzman_D!$G$15)*0.1 +
        IF(BJ73-Uzman_D!$H$15&lt;0, -(BJ73-Uzman_D!$H$15), BJ73-Uzman_D!$H$15)*0.1 +
        IF(BK73-Uzman_D!$I$15&lt;0, -(BK73-Uzman_D!$I$15), BK73-Uzman_D!$I$15)*0.1 +
        IF(BL73-Uzman_D!$J$15&lt;0, -(BL73-Uzman_D!$J$15), BL73-Uzman_D!$J$15)*0.1
    ) +
    IF(ROUND((IF(BN73-Uzman_D!$L$15&lt;0, -(BN73-Uzman_D!$L$15), BN73-Uzman_D!$L$15)*2),0)/2 = IF(BN73-Uzman_D!$L$15&lt;0, -(BN73-Uzman_D!$L$15), BN73-Uzman_D!$L$15),
    (ROUND((IF(BN73-Uzman_D!$L$15&lt;0, -(BN73-Uzman_D!$L$15), BN73-Uzman_D!$L$15)*2),0)/1 * 0.1), 0) +
    IF(BO73-Uzman_D!$M$15&lt;0, -(BO73-Uzman_D!$M$15), BO73-Uzman_D!$M$15)*1
)</f>
        <v>-0.60000000000000009</v>
      </c>
      <c r="BQ73" s="74">
        <f t="shared" si="1"/>
        <v>-0.32000000000000017</v>
      </c>
    </row>
    <row r="74" spans="1:69" ht="15" customHeight="1" x14ac:dyDescent="0.2">
      <c r="A74" s="57">
        <v>71</v>
      </c>
      <c r="B74" s="37">
        <f>Hakemler!B74</f>
        <v>0</v>
      </c>
      <c r="C74" s="37">
        <f>Hakemler!C74</f>
        <v>0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75"/>
      <c r="O74" s="75"/>
      <c r="P74" s="73">
        <f>1 - (
    SUM(
        IF(D74-Uzman_D!$B$11&lt;0, -(D74-Uzman_D!$B$11), D74-Uzman_D!$B$11)*0.1 +
        IF(E74-Uzman_D!$C$11&lt;0, -(E74-Uzman_D!$C$11), E74-Uzman_D!$C$11)*0.1 +
        IF(F74-Uzman_D!$D$11&lt;0, -(F74-Uzman_D!$D$11), F74-Uzman_D!$D$11)*0.1 +
        IF(G74-Uzman_D!$E$11&lt;0, -(G74-Uzman_D!$E$11), G74-Uzman_D!$E$11)*0.1 +
        IF(H74-Uzman_D!$F$11&lt;0, -(H74-Uzman_D!$F$11), H74-Uzman_D!$F$11)*0.1 +
        IF(I74-Uzman_D!$G$11&lt;0, -(I74-Uzman_D!$G$11), I74-Uzman_D!$G$11)*0.1 +
        IF(J74-Uzman_D!$H$11&lt;0, -(J74-Uzman_D!$H$11), J74-Uzman_D!$H$11)*0.1 +
        IF(K74-Uzman_D!$I$11&lt;0, -(K74-Uzman_D!$I$11), K74-Uzman_D!$I$11)*0.1 +
        IF(L74-Uzman_D!$J$11&lt;0, -(L74-Uzman_D!$J$11), L74-Uzman_D!$J$11)*0.1
    ) +
    IF(ROUND((IF(N74-Uzman_D!$L$11&lt;0, -(N74-Uzman_D!$L$11), N74-Uzman_D!$L$11)*2),0)/2 = IF(N74-Uzman_D!$L$11&lt;0, -(N74-Uzman_D!$L$11), N74-Uzman_D!$L$11),
    (ROUND((IF(N74-Uzman_D!$L$11&lt;0, -(N74-Uzman_D!$L$11), N74-Uzman_D!$L$11)*2),0)/1 * 0.1), 0) +
    IF(O74-Uzman_D!$M$11&lt;0, -(O74-Uzman_D!$M$11), O74-Uzman_D!$M$11)*1
)</f>
        <v>-0.30000000000000027</v>
      </c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75"/>
      <c r="AB74" s="75"/>
      <c r="AC74" s="73">
        <f>1 - (
    SUM(
        IF(Q74-Uzman_D!$B$12&lt;0, -(Q74-Uzman_D!$B$12), Q74-Uzman_D!$B$12)*0.1 +
        IF(R74-Uzman_D!$C$12&lt;0, -(R74-Uzman_D!$C$12), R74-Uzman_D!$C$12)*0.1 +
        IF(S74-Uzman_D!$D$12&lt;0, -(S74-Uzman_D!$D$12), S74-Uzman_D!$D$12)*0.1 +
        IF(T74-Uzman_D!$E$12&lt;0, -(T74-Uzman_D!$E$12), T74-Uzman_D!$E$12)*0.1 +
        IF(U74-Uzman_D!$F$12&lt;0, -(U74-Uzman_D!$F$12), U74-Uzman_D!$F$12)*0.1 +
        IF(V74-Uzman_D!$G$12&lt;0, -(V74-Uzman_D!$G$12), V74-Uzman_D!$G$12)*0.1 +
        IF(W74-Uzman_D!$H$12&lt;0, -(W74-Uzman_D!$H$12), W74-Uzman_D!$H$12)*0.1 +
        IF(X74-Uzman_D!$I$12&lt;0, -(X74-Uzman_D!$I$12), X74-Uzman_D!$I$12)*0.1 +
        IF(Y74-Uzman_D!$J$12&lt;0, -(Y74-Uzman_D!$J$12), Y74-Uzman_D!$J$12)*0.1
    ) +
    IF(ROUND((IF(AA74-Uzman_D!$L$12&lt;0, -(AA74-Uzman_D!$L$12), AA74-Uzman_D!$L$12)*2),0)/2 = IF(AA74-Uzman_D!$L$12&lt;0, -(AA74-Uzman_D!$L$12), AA74-Uzman_D!$L$12),
    (ROUND((IF(AA74-Uzman_D!$L$12&lt;0, -(AA74-Uzman_D!$L$12), AA74-Uzman_D!$L$12)*2),0)/1 * 0.1), 0) +
    IF(AB74-Uzman_D!$M$12&lt;0, -(AB74-Uzman_D!$M$12), AB74-Uzman_D!$M$12)*1
)</f>
        <v>-0.20000000000000018</v>
      </c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75"/>
      <c r="AO74" s="75"/>
      <c r="AP74" s="73">
        <f>1 - (
    SUM(
        IF(AD74-Uzman_D!$B$13&lt;0, -(AD74-Uzman_D!$B$13), AD74-Uzman_D!$B$13)*0.1 +
        IF(AE74-Uzman_D!$C$13&lt;0, -(AE74-Uzman_D!$C$13), AE74-Uzman_D!$C$13)*0.1 +
        IF(AF74-Uzman_D!$D$13&lt;0, -(AF74-Uzman_D!$D$13), AF74-Uzman_D!$D$13)*0.1 +
        IF(AG74-Uzman_D!$E$13&lt;0, -(AG74-Uzman_D!$E$13), AG74-Uzman_D!$E$13)*0.1 +
        IF(AH74-Uzman_D!$F$13&lt;0, -(AH74-Uzman_D!$F$13), AH74-Uzman_D!$F$13)*0.1 +
        IF(AI74-Uzman_D!$G$13&lt;0, -(AI74-Uzman_D!$G$13), AI74-Uzman_D!$G$13)*0.1 +
        IF(AJ74-Uzman_D!$H$13&lt;0, -(AJ74-Uzman_D!$H$13), AJ74-Uzman_D!$H$13)*0.1 +
        IF(AK74-Uzman_D!$I$13&lt;0, -(AK74-Uzman_D!$I$13), AK74-Uzman_D!$I$13)*0.1 +
        IF(AL74-Uzman_D!$J$13&lt;0, -(AL74-Uzman_D!$J$13), AL74-Uzman_D!$J$13)*0.1
    ) +
    IF(ROUND((IF(AN74-Uzman_D!$L$13&lt;0, -(AN74-Uzman_D!$L$13), AN74-Uzman_D!$L$13)*2),0)/2 = IF(AN74-Uzman_D!$L$13&lt;0, -(AN74-Uzman_D!$L$13), AN74-Uzman_D!$L$13),
    (ROUND((IF(AN74-Uzman_D!$L$13&lt;0, -(AN74-Uzman_D!$L$13), AN74-Uzman_D!$L$13)*2),0)/1 * 0.1), 0) +
    IF(AO74-Uzman_D!$M$13&lt;0, -(AO74-Uzman_D!$M$13), AO74-Uzman_D!$M$13)*1
)</f>
        <v>-0.30000000000000004</v>
      </c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75"/>
      <c r="BB74" s="75"/>
      <c r="BC74" s="73">
        <f>1 - (
    SUM(
        IF(AQ74-Uzman_D!$B$14&lt;0, -(AQ74-Uzman_D!$B$14), AQ74-Uzman_D!$B$14)*0.1 +
        IF(AR74-Uzman_D!$C$14&lt;0, -(AR74-Uzman_D!$C$14), AR74-Uzman_D!$C$14)*0.1 +
        IF(AS74-Uzman_D!$D$14&lt;0, -(AS74-Uzman_D!$D$14), AS74-Uzman_D!$D$14)*0.1 +
        IF(AT74-Uzman_D!$E$14&lt;0, -(AT74-Uzman_D!$E$14), AT74-Uzman_D!$E$14)*0.1 +
        IF(AU74-Uzman_D!$F$14&lt;0, -(AU74-Uzman_D!$F$14), AU74-Uzman_D!$F$14)*0.1 +
        IF(AV74-Uzman_D!$G$14&lt;0, -(AV74-Uzman_D!$G$14), AV74-Uzman_D!$G$14)*0.1 +
        IF(AW74-Uzman_D!$H$14&lt;0, -(AW74-Uzman_D!$H$14), AW74-Uzman_D!$H$14)*0.1 +
        IF(AX74-Uzman_D!$I$14&lt;0, -(AX74-Uzman_D!$I$14), AX74-Uzman_D!$I$14)*0.1 +
        IF(AY74-Uzman_D!$J$14&lt;0, -(AY74-Uzman_D!$J$14), AY74-Uzman_D!$J$14)*0.1
    ) +
    IF(ROUND((IF(BA74-Uzman_D!$L$14&lt;0, -(BA74-Uzman_D!$L$14), BA74-Uzman_D!$L$14)*2),0)/2 = IF(BA74-Uzman_D!$L$14&lt;0, -(BA74-Uzman_D!$L$14), BA74-Uzman_D!$L$14),
    (ROUND((IF(BA74-Uzman_D!$L$14&lt;0, -(BA74-Uzman_D!$L$14), BA74-Uzman_D!$L$14)*2),0)/1 * 0.1), 0) +
    IF(BB74-Uzman_D!$M$14&lt;0, -(BB74-Uzman_D!$M$14), BB74-Uzman_D!$M$14)*1
)</f>
        <v>-0.20000000000000018</v>
      </c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75"/>
      <c r="BO74" s="75"/>
      <c r="BP74" s="73">
        <f>1 - (
    SUM(
        IF(BD74-Uzman_D!$B$15&lt;0, -(BD74-Uzman_D!$B$15), BD74-Uzman_D!$B$15)*0.1 +
        IF(BE74-Uzman_D!$C$15&lt;0, -(BE74-Uzman_D!$C$15), BE74-Uzman_D!$C$15)*0.1 +
        IF(BF74-Uzman_D!$D$15&lt;0, -(BF74-Uzman_D!$D$15), BF74-Uzman_D!$D$15)*0.1 +
        IF(BG74-Uzman_D!$E$15&lt;0, -(BG74-Uzman_D!$E$15), BG74-Uzman_D!$E$15)*0.1 +
        IF(BH74-Uzman_D!$F$15&lt;0, -(BH74-Uzman_D!$F$15), BH74-Uzman_D!$F$15)*0.1 +
        IF(BI74-Uzman_D!$G$15&lt;0, -(BI74-Uzman_D!$G$15), BI74-Uzman_D!$G$15)*0.1 +
        IF(BJ74-Uzman_D!$H$15&lt;0, -(BJ74-Uzman_D!$H$15), BJ74-Uzman_D!$H$15)*0.1 +
        IF(BK74-Uzman_D!$I$15&lt;0, -(BK74-Uzman_D!$I$15), BK74-Uzman_D!$I$15)*0.1 +
        IF(BL74-Uzman_D!$J$15&lt;0, -(BL74-Uzman_D!$J$15), BL74-Uzman_D!$J$15)*0.1
    ) +
    IF(ROUND((IF(BN74-Uzman_D!$L$15&lt;0, -(BN74-Uzman_D!$L$15), BN74-Uzman_D!$L$15)*2),0)/2 = IF(BN74-Uzman_D!$L$15&lt;0, -(BN74-Uzman_D!$L$15), BN74-Uzman_D!$L$15),
    (ROUND((IF(BN74-Uzman_D!$L$15&lt;0, -(BN74-Uzman_D!$L$15), BN74-Uzman_D!$L$15)*2),0)/1 * 0.1), 0) +
    IF(BO74-Uzman_D!$M$15&lt;0, -(BO74-Uzman_D!$M$15), BO74-Uzman_D!$M$15)*1
)</f>
        <v>-0.60000000000000009</v>
      </c>
      <c r="BQ74" s="74">
        <f t="shared" si="1"/>
        <v>-0.32000000000000017</v>
      </c>
    </row>
    <row r="75" spans="1:69" ht="15" customHeight="1" x14ac:dyDescent="0.2">
      <c r="A75" s="57">
        <v>72</v>
      </c>
      <c r="B75" s="37">
        <f>Hakemler!B75</f>
        <v>0</v>
      </c>
      <c r="C75" s="37">
        <f>Hakemler!C75</f>
        <v>0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75"/>
      <c r="O75" s="75"/>
      <c r="P75" s="73">
        <f>1 - (
    SUM(
        IF(D75-Uzman_D!$B$11&lt;0, -(D75-Uzman_D!$B$11), D75-Uzman_D!$B$11)*0.1 +
        IF(E75-Uzman_D!$C$11&lt;0, -(E75-Uzman_D!$C$11), E75-Uzman_D!$C$11)*0.1 +
        IF(F75-Uzman_D!$D$11&lt;0, -(F75-Uzman_D!$D$11), F75-Uzman_D!$D$11)*0.1 +
        IF(G75-Uzman_D!$E$11&lt;0, -(G75-Uzman_D!$E$11), G75-Uzman_D!$E$11)*0.1 +
        IF(H75-Uzman_D!$F$11&lt;0, -(H75-Uzman_D!$F$11), H75-Uzman_D!$F$11)*0.1 +
        IF(I75-Uzman_D!$G$11&lt;0, -(I75-Uzman_D!$G$11), I75-Uzman_D!$G$11)*0.1 +
        IF(J75-Uzman_D!$H$11&lt;0, -(J75-Uzman_D!$H$11), J75-Uzman_D!$H$11)*0.1 +
        IF(K75-Uzman_D!$I$11&lt;0, -(K75-Uzman_D!$I$11), K75-Uzman_D!$I$11)*0.1 +
        IF(L75-Uzman_D!$J$11&lt;0, -(L75-Uzman_D!$J$11), L75-Uzman_D!$J$11)*0.1
    ) +
    IF(ROUND((IF(N75-Uzman_D!$L$11&lt;0, -(N75-Uzman_D!$L$11), N75-Uzman_D!$L$11)*2),0)/2 = IF(N75-Uzman_D!$L$11&lt;0, -(N75-Uzman_D!$L$11), N75-Uzman_D!$L$11),
    (ROUND((IF(N75-Uzman_D!$L$11&lt;0, -(N75-Uzman_D!$L$11), N75-Uzman_D!$L$11)*2),0)/1 * 0.1), 0) +
    IF(O75-Uzman_D!$M$11&lt;0, -(O75-Uzman_D!$M$11), O75-Uzman_D!$M$11)*1
)</f>
        <v>-0.30000000000000027</v>
      </c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75"/>
      <c r="AB75" s="75"/>
      <c r="AC75" s="73">
        <f>1 - (
    SUM(
        IF(Q75-Uzman_D!$B$12&lt;0, -(Q75-Uzman_D!$B$12), Q75-Uzman_D!$B$12)*0.1 +
        IF(R75-Uzman_D!$C$12&lt;0, -(R75-Uzman_D!$C$12), R75-Uzman_D!$C$12)*0.1 +
        IF(S75-Uzman_D!$D$12&lt;0, -(S75-Uzman_D!$D$12), S75-Uzman_D!$D$12)*0.1 +
        IF(T75-Uzman_D!$E$12&lt;0, -(T75-Uzman_D!$E$12), T75-Uzman_D!$E$12)*0.1 +
        IF(U75-Uzman_D!$F$12&lt;0, -(U75-Uzman_D!$F$12), U75-Uzman_D!$F$12)*0.1 +
        IF(V75-Uzman_D!$G$12&lt;0, -(V75-Uzman_D!$G$12), V75-Uzman_D!$G$12)*0.1 +
        IF(W75-Uzman_D!$H$12&lt;0, -(W75-Uzman_D!$H$12), W75-Uzman_D!$H$12)*0.1 +
        IF(X75-Uzman_D!$I$12&lt;0, -(X75-Uzman_D!$I$12), X75-Uzman_D!$I$12)*0.1 +
        IF(Y75-Uzman_D!$J$12&lt;0, -(Y75-Uzman_D!$J$12), Y75-Uzman_D!$J$12)*0.1
    ) +
    IF(ROUND((IF(AA75-Uzman_D!$L$12&lt;0, -(AA75-Uzman_D!$L$12), AA75-Uzman_D!$L$12)*2),0)/2 = IF(AA75-Uzman_D!$L$12&lt;0, -(AA75-Uzman_D!$L$12), AA75-Uzman_D!$L$12),
    (ROUND((IF(AA75-Uzman_D!$L$12&lt;0, -(AA75-Uzman_D!$L$12), AA75-Uzman_D!$L$12)*2),0)/1 * 0.1), 0) +
    IF(AB75-Uzman_D!$M$12&lt;0, -(AB75-Uzman_D!$M$12), AB75-Uzman_D!$M$12)*1
)</f>
        <v>-0.20000000000000018</v>
      </c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75"/>
      <c r="AO75" s="75"/>
      <c r="AP75" s="73">
        <f>1 - (
    SUM(
        IF(AD75-Uzman_D!$B$13&lt;0, -(AD75-Uzman_D!$B$13), AD75-Uzman_D!$B$13)*0.1 +
        IF(AE75-Uzman_D!$C$13&lt;0, -(AE75-Uzman_D!$C$13), AE75-Uzman_D!$C$13)*0.1 +
        IF(AF75-Uzman_D!$D$13&lt;0, -(AF75-Uzman_D!$D$13), AF75-Uzman_D!$D$13)*0.1 +
        IF(AG75-Uzman_D!$E$13&lt;0, -(AG75-Uzman_D!$E$13), AG75-Uzman_D!$E$13)*0.1 +
        IF(AH75-Uzman_D!$F$13&lt;0, -(AH75-Uzman_D!$F$13), AH75-Uzman_D!$F$13)*0.1 +
        IF(AI75-Uzman_D!$G$13&lt;0, -(AI75-Uzman_D!$G$13), AI75-Uzman_D!$G$13)*0.1 +
        IF(AJ75-Uzman_D!$H$13&lt;0, -(AJ75-Uzman_D!$H$13), AJ75-Uzman_D!$H$13)*0.1 +
        IF(AK75-Uzman_D!$I$13&lt;0, -(AK75-Uzman_D!$I$13), AK75-Uzman_D!$I$13)*0.1 +
        IF(AL75-Uzman_D!$J$13&lt;0, -(AL75-Uzman_D!$J$13), AL75-Uzman_D!$J$13)*0.1
    ) +
    IF(ROUND((IF(AN75-Uzman_D!$L$13&lt;0, -(AN75-Uzman_D!$L$13), AN75-Uzman_D!$L$13)*2),0)/2 = IF(AN75-Uzman_D!$L$13&lt;0, -(AN75-Uzman_D!$L$13), AN75-Uzman_D!$L$13),
    (ROUND((IF(AN75-Uzman_D!$L$13&lt;0, -(AN75-Uzman_D!$L$13), AN75-Uzman_D!$L$13)*2),0)/1 * 0.1), 0) +
    IF(AO75-Uzman_D!$M$13&lt;0, -(AO75-Uzman_D!$M$13), AO75-Uzman_D!$M$13)*1
)</f>
        <v>-0.30000000000000004</v>
      </c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75"/>
      <c r="BB75" s="75"/>
      <c r="BC75" s="73">
        <f>1 - (
    SUM(
        IF(AQ75-Uzman_D!$B$14&lt;0, -(AQ75-Uzman_D!$B$14), AQ75-Uzman_D!$B$14)*0.1 +
        IF(AR75-Uzman_D!$C$14&lt;0, -(AR75-Uzman_D!$C$14), AR75-Uzman_D!$C$14)*0.1 +
        IF(AS75-Uzman_D!$D$14&lt;0, -(AS75-Uzman_D!$D$14), AS75-Uzman_D!$D$14)*0.1 +
        IF(AT75-Uzman_D!$E$14&lt;0, -(AT75-Uzman_D!$E$14), AT75-Uzman_D!$E$14)*0.1 +
        IF(AU75-Uzman_D!$F$14&lt;0, -(AU75-Uzman_D!$F$14), AU75-Uzman_D!$F$14)*0.1 +
        IF(AV75-Uzman_D!$G$14&lt;0, -(AV75-Uzman_D!$G$14), AV75-Uzman_D!$G$14)*0.1 +
        IF(AW75-Uzman_D!$H$14&lt;0, -(AW75-Uzman_D!$H$14), AW75-Uzman_D!$H$14)*0.1 +
        IF(AX75-Uzman_D!$I$14&lt;0, -(AX75-Uzman_D!$I$14), AX75-Uzman_D!$I$14)*0.1 +
        IF(AY75-Uzman_D!$J$14&lt;0, -(AY75-Uzman_D!$J$14), AY75-Uzman_D!$J$14)*0.1
    ) +
    IF(ROUND((IF(BA75-Uzman_D!$L$14&lt;0, -(BA75-Uzman_D!$L$14), BA75-Uzman_D!$L$14)*2),0)/2 = IF(BA75-Uzman_D!$L$14&lt;0, -(BA75-Uzman_D!$L$14), BA75-Uzman_D!$L$14),
    (ROUND((IF(BA75-Uzman_D!$L$14&lt;0, -(BA75-Uzman_D!$L$14), BA75-Uzman_D!$L$14)*2),0)/1 * 0.1), 0) +
    IF(BB75-Uzman_D!$M$14&lt;0, -(BB75-Uzman_D!$M$14), BB75-Uzman_D!$M$14)*1
)</f>
        <v>-0.20000000000000018</v>
      </c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75"/>
      <c r="BO75" s="75"/>
      <c r="BP75" s="73">
        <f>1 - (
    SUM(
        IF(BD75-Uzman_D!$B$15&lt;0, -(BD75-Uzman_D!$B$15), BD75-Uzman_D!$B$15)*0.1 +
        IF(BE75-Uzman_D!$C$15&lt;0, -(BE75-Uzman_D!$C$15), BE75-Uzman_D!$C$15)*0.1 +
        IF(BF75-Uzman_D!$D$15&lt;0, -(BF75-Uzman_D!$D$15), BF75-Uzman_D!$D$15)*0.1 +
        IF(BG75-Uzman_D!$E$15&lt;0, -(BG75-Uzman_D!$E$15), BG75-Uzman_D!$E$15)*0.1 +
        IF(BH75-Uzman_D!$F$15&lt;0, -(BH75-Uzman_D!$F$15), BH75-Uzman_D!$F$15)*0.1 +
        IF(BI75-Uzman_D!$G$15&lt;0, -(BI75-Uzman_D!$G$15), BI75-Uzman_D!$G$15)*0.1 +
        IF(BJ75-Uzman_D!$H$15&lt;0, -(BJ75-Uzman_D!$H$15), BJ75-Uzman_D!$H$15)*0.1 +
        IF(BK75-Uzman_D!$I$15&lt;0, -(BK75-Uzman_D!$I$15), BK75-Uzman_D!$I$15)*0.1 +
        IF(BL75-Uzman_D!$J$15&lt;0, -(BL75-Uzman_D!$J$15), BL75-Uzman_D!$J$15)*0.1
    ) +
    IF(ROUND((IF(BN75-Uzman_D!$L$15&lt;0, -(BN75-Uzman_D!$L$15), BN75-Uzman_D!$L$15)*2),0)/2 = IF(BN75-Uzman_D!$L$15&lt;0, -(BN75-Uzman_D!$L$15), BN75-Uzman_D!$L$15),
    (ROUND((IF(BN75-Uzman_D!$L$15&lt;0, -(BN75-Uzman_D!$L$15), BN75-Uzman_D!$L$15)*2),0)/1 * 0.1), 0) +
    IF(BO75-Uzman_D!$M$15&lt;0, -(BO75-Uzman_D!$M$15), BO75-Uzman_D!$M$15)*1
)</f>
        <v>-0.60000000000000009</v>
      </c>
      <c r="BQ75" s="74">
        <f t="shared" si="1"/>
        <v>-0.32000000000000017</v>
      </c>
    </row>
    <row r="76" spans="1:69" ht="15" customHeight="1" x14ac:dyDescent="0.2">
      <c r="A76" s="57">
        <v>73</v>
      </c>
      <c r="B76" s="37">
        <f>Hakemler!B76</f>
        <v>0</v>
      </c>
      <c r="C76" s="37">
        <f>Hakemler!C76</f>
        <v>0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75"/>
      <c r="O76" s="75"/>
      <c r="P76" s="73">
        <f>1 - (
    SUM(
        IF(D76-Uzman_D!$B$11&lt;0, -(D76-Uzman_D!$B$11), D76-Uzman_D!$B$11)*0.1 +
        IF(E76-Uzman_D!$C$11&lt;0, -(E76-Uzman_D!$C$11), E76-Uzman_D!$C$11)*0.1 +
        IF(F76-Uzman_D!$D$11&lt;0, -(F76-Uzman_D!$D$11), F76-Uzman_D!$D$11)*0.1 +
        IF(G76-Uzman_D!$E$11&lt;0, -(G76-Uzman_D!$E$11), G76-Uzman_D!$E$11)*0.1 +
        IF(H76-Uzman_D!$F$11&lt;0, -(H76-Uzman_D!$F$11), H76-Uzman_D!$F$11)*0.1 +
        IF(I76-Uzman_D!$G$11&lt;0, -(I76-Uzman_D!$G$11), I76-Uzman_D!$G$11)*0.1 +
        IF(J76-Uzman_D!$H$11&lt;0, -(J76-Uzman_D!$H$11), J76-Uzman_D!$H$11)*0.1 +
        IF(K76-Uzman_D!$I$11&lt;0, -(K76-Uzman_D!$I$11), K76-Uzman_D!$I$11)*0.1 +
        IF(L76-Uzman_D!$J$11&lt;0, -(L76-Uzman_D!$J$11), L76-Uzman_D!$J$11)*0.1
    ) +
    IF(ROUND((IF(N76-Uzman_D!$L$11&lt;0, -(N76-Uzman_D!$L$11), N76-Uzman_D!$L$11)*2),0)/2 = IF(N76-Uzman_D!$L$11&lt;0, -(N76-Uzman_D!$L$11), N76-Uzman_D!$L$11),
    (ROUND((IF(N76-Uzman_D!$L$11&lt;0, -(N76-Uzman_D!$L$11), N76-Uzman_D!$L$11)*2),0)/1 * 0.1), 0) +
    IF(O76-Uzman_D!$M$11&lt;0, -(O76-Uzman_D!$M$11), O76-Uzman_D!$M$11)*1
)</f>
        <v>-0.30000000000000027</v>
      </c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75"/>
      <c r="AB76" s="75"/>
      <c r="AC76" s="73">
        <f>1 - (
    SUM(
        IF(Q76-Uzman_D!$B$12&lt;0, -(Q76-Uzman_D!$B$12), Q76-Uzman_D!$B$12)*0.1 +
        IF(R76-Uzman_D!$C$12&lt;0, -(R76-Uzman_D!$C$12), R76-Uzman_D!$C$12)*0.1 +
        IF(S76-Uzman_D!$D$12&lt;0, -(S76-Uzman_D!$D$12), S76-Uzman_D!$D$12)*0.1 +
        IF(T76-Uzman_D!$E$12&lt;0, -(T76-Uzman_D!$E$12), T76-Uzman_D!$E$12)*0.1 +
        IF(U76-Uzman_D!$F$12&lt;0, -(U76-Uzman_D!$F$12), U76-Uzman_D!$F$12)*0.1 +
        IF(V76-Uzman_D!$G$12&lt;0, -(V76-Uzman_D!$G$12), V76-Uzman_D!$G$12)*0.1 +
        IF(W76-Uzman_D!$H$12&lt;0, -(W76-Uzman_D!$H$12), W76-Uzman_D!$H$12)*0.1 +
        IF(X76-Uzman_D!$I$12&lt;0, -(X76-Uzman_D!$I$12), X76-Uzman_D!$I$12)*0.1 +
        IF(Y76-Uzman_D!$J$12&lt;0, -(Y76-Uzman_D!$J$12), Y76-Uzman_D!$J$12)*0.1
    ) +
    IF(ROUND((IF(AA76-Uzman_D!$L$12&lt;0, -(AA76-Uzman_D!$L$12), AA76-Uzman_D!$L$12)*2),0)/2 = IF(AA76-Uzman_D!$L$12&lt;0, -(AA76-Uzman_D!$L$12), AA76-Uzman_D!$L$12),
    (ROUND((IF(AA76-Uzman_D!$L$12&lt;0, -(AA76-Uzman_D!$L$12), AA76-Uzman_D!$L$12)*2),0)/1 * 0.1), 0) +
    IF(AB76-Uzman_D!$M$12&lt;0, -(AB76-Uzman_D!$M$12), AB76-Uzman_D!$M$12)*1
)</f>
        <v>-0.20000000000000018</v>
      </c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75"/>
      <c r="AO76" s="75"/>
      <c r="AP76" s="73">
        <f>1 - (
    SUM(
        IF(AD76-Uzman_D!$B$13&lt;0, -(AD76-Uzman_D!$B$13), AD76-Uzman_D!$B$13)*0.1 +
        IF(AE76-Uzman_D!$C$13&lt;0, -(AE76-Uzman_D!$C$13), AE76-Uzman_D!$C$13)*0.1 +
        IF(AF76-Uzman_D!$D$13&lt;0, -(AF76-Uzman_D!$D$13), AF76-Uzman_D!$D$13)*0.1 +
        IF(AG76-Uzman_D!$E$13&lt;0, -(AG76-Uzman_D!$E$13), AG76-Uzman_D!$E$13)*0.1 +
        IF(AH76-Uzman_D!$F$13&lt;0, -(AH76-Uzman_D!$F$13), AH76-Uzman_D!$F$13)*0.1 +
        IF(AI76-Uzman_D!$G$13&lt;0, -(AI76-Uzman_D!$G$13), AI76-Uzman_D!$G$13)*0.1 +
        IF(AJ76-Uzman_D!$H$13&lt;0, -(AJ76-Uzman_D!$H$13), AJ76-Uzman_D!$H$13)*0.1 +
        IF(AK76-Uzman_D!$I$13&lt;0, -(AK76-Uzman_D!$I$13), AK76-Uzman_D!$I$13)*0.1 +
        IF(AL76-Uzman_D!$J$13&lt;0, -(AL76-Uzman_D!$J$13), AL76-Uzman_D!$J$13)*0.1
    ) +
    IF(ROUND((IF(AN76-Uzman_D!$L$13&lt;0, -(AN76-Uzman_D!$L$13), AN76-Uzman_D!$L$13)*2),0)/2 = IF(AN76-Uzman_D!$L$13&lt;0, -(AN76-Uzman_D!$L$13), AN76-Uzman_D!$L$13),
    (ROUND((IF(AN76-Uzman_D!$L$13&lt;0, -(AN76-Uzman_D!$L$13), AN76-Uzman_D!$L$13)*2),0)/1 * 0.1), 0) +
    IF(AO76-Uzman_D!$M$13&lt;0, -(AO76-Uzman_D!$M$13), AO76-Uzman_D!$M$13)*1
)</f>
        <v>-0.30000000000000004</v>
      </c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75"/>
      <c r="BB76" s="75"/>
      <c r="BC76" s="73">
        <f>1 - (
    SUM(
        IF(AQ76-Uzman_D!$B$14&lt;0, -(AQ76-Uzman_D!$B$14), AQ76-Uzman_D!$B$14)*0.1 +
        IF(AR76-Uzman_D!$C$14&lt;0, -(AR76-Uzman_D!$C$14), AR76-Uzman_D!$C$14)*0.1 +
        IF(AS76-Uzman_D!$D$14&lt;0, -(AS76-Uzman_D!$D$14), AS76-Uzman_D!$D$14)*0.1 +
        IF(AT76-Uzman_D!$E$14&lt;0, -(AT76-Uzman_D!$E$14), AT76-Uzman_D!$E$14)*0.1 +
        IF(AU76-Uzman_D!$F$14&lt;0, -(AU76-Uzman_D!$F$14), AU76-Uzman_D!$F$14)*0.1 +
        IF(AV76-Uzman_D!$G$14&lt;0, -(AV76-Uzman_D!$G$14), AV76-Uzman_D!$G$14)*0.1 +
        IF(AW76-Uzman_D!$H$14&lt;0, -(AW76-Uzman_D!$H$14), AW76-Uzman_D!$H$14)*0.1 +
        IF(AX76-Uzman_D!$I$14&lt;0, -(AX76-Uzman_D!$I$14), AX76-Uzman_D!$I$14)*0.1 +
        IF(AY76-Uzman_D!$J$14&lt;0, -(AY76-Uzman_D!$J$14), AY76-Uzman_D!$J$14)*0.1
    ) +
    IF(ROUND((IF(BA76-Uzman_D!$L$14&lt;0, -(BA76-Uzman_D!$L$14), BA76-Uzman_D!$L$14)*2),0)/2 = IF(BA76-Uzman_D!$L$14&lt;0, -(BA76-Uzman_D!$L$14), BA76-Uzman_D!$L$14),
    (ROUND((IF(BA76-Uzman_D!$L$14&lt;0, -(BA76-Uzman_D!$L$14), BA76-Uzman_D!$L$14)*2),0)/1 * 0.1), 0) +
    IF(BB76-Uzman_D!$M$14&lt;0, -(BB76-Uzman_D!$M$14), BB76-Uzman_D!$M$14)*1
)</f>
        <v>-0.20000000000000018</v>
      </c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75"/>
      <c r="BO76" s="75"/>
      <c r="BP76" s="73">
        <f>1 - (
    SUM(
        IF(BD76-Uzman_D!$B$15&lt;0, -(BD76-Uzman_D!$B$15), BD76-Uzman_D!$B$15)*0.1 +
        IF(BE76-Uzman_D!$C$15&lt;0, -(BE76-Uzman_D!$C$15), BE76-Uzman_D!$C$15)*0.1 +
        IF(BF76-Uzman_D!$D$15&lt;0, -(BF76-Uzman_D!$D$15), BF76-Uzman_D!$D$15)*0.1 +
        IF(BG76-Uzman_D!$E$15&lt;0, -(BG76-Uzman_D!$E$15), BG76-Uzman_D!$E$15)*0.1 +
        IF(BH76-Uzman_D!$F$15&lt;0, -(BH76-Uzman_D!$F$15), BH76-Uzman_D!$F$15)*0.1 +
        IF(BI76-Uzman_D!$G$15&lt;0, -(BI76-Uzman_D!$G$15), BI76-Uzman_D!$G$15)*0.1 +
        IF(BJ76-Uzman_D!$H$15&lt;0, -(BJ76-Uzman_D!$H$15), BJ76-Uzman_D!$H$15)*0.1 +
        IF(BK76-Uzman_D!$I$15&lt;0, -(BK76-Uzman_D!$I$15), BK76-Uzman_D!$I$15)*0.1 +
        IF(BL76-Uzman_D!$J$15&lt;0, -(BL76-Uzman_D!$J$15), BL76-Uzman_D!$J$15)*0.1
    ) +
    IF(ROUND((IF(BN76-Uzman_D!$L$15&lt;0, -(BN76-Uzman_D!$L$15), BN76-Uzman_D!$L$15)*2),0)/2 = IF(BN76-Uzman_D!$L$15&lt;0, -(BN76-Uzman_D!$L$15), BN76-Uzman_D!$L$15),
    (ROUND((IF(BN76-Uzman_D!$L$15&lt;0, -(BN76-Uzman_D!$L$15), BN76-Uzman_D!$L$15)*2),0)/1 * 0.1), 0) +
    IF(BO76-Uzman_D!$M$15&lt;0, -(BO76-Uzman_D!$M$15), BO76-Uzman_D!$M$15)*1
)</f>
        <v>-0.60000000000000009</v>
      </c>
      <c r="BQ76" s="74">
        <f t="shared" si="1"/>
        <v>-0.32000000000000017</v>
      </c>
    </row>
    <row r="77" spans="1:69" ht="15" customHeight="1" x14ac:dyDescent="0.2">
      <c r="A77" s="57">
        <v>74</v>
      </c>
      <c r="B77" s="37">
        <f>Hakemler!B77</f>
        <v>0</v>
      </c>
      <c r="C77" s="37">
        <f>Hakemler!C77</f>
        <v>0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75"/>
      <c r="O77" s="75"/>
      <c r="P77" s="73">
        <f>1 - (
    SUM(
        IF(D77-Uzman_D!$B$11&lt;0, -(D77-Uzman_D!$B$11), D77-Uzman_D!$B$11)*0.1 +
        IF(E77-Uzman_D!$C$11&lt;0, -(E77-Uzman_D!$C$11), E77-Uzman_D!$C$11)*0.1 +
        IF(F77-Uzman_D!$D$11&lt;0, -(F77-Uzman_D!$D$11), F77-Uzman_D!$D$11)*0.1 +
        IF(G77-Uzman_D!$E$11&lt;0, -(G77-Uzman_D!$E$11), G77-Uzman_D!$E$11)*0.1 +
        IF(H77-Uzman_D!$F$11&lt;0, -(H77-Uzman_D!$F$11), H77-Uzman_D!$F$11)*0.1 +
        IF(I77-Uzman_D!$G$11&lt;0, -(I77-Uzman_D!$G$11), I77-Uzman_D!$G$11)*0.1 +
        IF(J77-Uzman_D!$H$11&lt;0, -(J77-Uzman_D!$H$11), J77-Uzman_D!$H$11)*0.1 +
        IF(K77-Uzman_D!$I$11&lt;0, -(K77-Uzman_D!$I$11), K77-Uzman_D!$I$11)*0.1 +
        IF(L77-Uzman_D!$J$11&lt;0, -(L77-Uzman_D!$J$11), L77-Uzman_D!$J$11)*0.1
    ) +
    IF(ROUND((IF(N77-Uzman_D!$L$11&lt;0, -(N77-Uzman_D!$L$11), N77-Uzman_D!$L$11)*2),0)/2 = IF(N77-Uzman_D!$L$11&lt;0, -(N77-Uzman_D!$L$11), N77-Uzman_D!$L$11),
    (ROUND((IF(N77-Uzman_D!$L$11&lt;0, -(N77-Uzman_D!$L$11), N77-Uzman_D!$L$11)*2),0)/1 * 0.1), 0) +
    IF(O77-Uzman_D!$M$11&lt;0, -(O77-Uzman_D!$M$11), O77-Uzman_D!$M$11)*1
)</f>
        <v>-0.30000000000000027</v>
      </c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75"/>
      <c r="AB77" s="75"/>
      <c r="AC77" s="73">
        <f>1 - (
    SUM(
        IF(Q77-Uzman_D!$B$12&lt;0, -(Q77-Uzman_D!$B$12), Q77-Uzman_D!$B$12)*0.1 +
        IF(R77-Uzman_D!$C$12&lt;0, -(R77-Uzman_D!$C$12), R77-Uzman_D!$C$12)*0.1 +
        IF(S77-Uzman_D!$D$12&lt;0, -(S77-Uzman_D!$D$12), S77-Uzman_D!$D$12)*0.1 +
        IF(T77-Uzman_D!$E$12&lt;0, -(T77-Uzman_D!$E$12), T77-Uzman_D!$E$12)*0.1 +
        IF(U77-Uzman_D!$F$12&lt;0, -(U77-Uzman_D!$F$12), U77-Uzman_D!$F$12)*0.1 +
        IF(V77-Uzman_D!$G$12&lt;0, -(V77-Uzman_D!$G$12), V77-Uzman_D!$G$12)*0.1 +
        IF(W77-Uzman_D!$H$12&lt;0, -(W77-Uzman_D!$H$12), W77-Uzman_D!$H$12)*0.1 +
        IF(X77-Uzman_D!$I$12&lt;0, -(X77-Uzman_D!$I$12), X77-Uzman_D!$I$12)*0.1 +
        IF(Y77-Uzman_D!$J$12&lt;0, -(Y77-Uzman_D!$J$12), Y77-Uzman_D!$J$12)*0.1
    ) +
    IF(ROUND((IF(AA77-Uzman_D!$L$12&lt;0, -(AA77-Uzman_D!$L$12), AA77-Uzman_D!$L$12)*2),0)/2 = IF(AA77-Uzman_D!$L$12&lt;0, -(AA77-Uzman_D!$L$12), AA77-Uzman_D!$L$12),
    (ROUND((IF(AA77-Uzman_D!$L$12&lt;0, -(AA77-Uzman_D!$L$12), AA77-Uzman_D!$L$12)*2),0)/1 * 0.1), 0) +
    IF(AB77-Uzman_D!$M$12&lt;0, -(AB77-Uzman_D!$M$12), AB77-Uzman_D!$M$12)*1
)</f>
        <v>-0.20000000000000018</v>
      </c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75"/>
      <c r="AO77" s="75"/>
      <c r="AP77" s="73">
        <f>1 - (
    SUM(
        IF(AD77-Uzman_D!$B$13&lt;0, -(AD77-Uzman_D!$B$13), AD77-Uzman_D!$B$13)*0.1 +
        IF(AE77-Uzman_D!$C$13&lt;0, -(AE77-Uzman_D!$C$13), AE77-Uzman_D!$C$13)*0.1 +
        IF(AF77-Uzman_D!$D$13&lt;0, -(AF77-Uzman_D!$D$13), AF77-Uzman_D!$D$13)*0.1 +
        IF(AG77-Uzman_D!$E$13&lt;0, -(AG77-Uzman_D!$E$13), AG77-Uzman_D!$E$13)*0.1 +
        IF(AH77-Uzman_D!$F$13&lt;0, -(AH77-Uzman_D!$F$13), AH77-Uzman_D!$F$13)*0.1 +
        IF(AI77-Uzman_D!$G$13&lt;0, -(AI77-Uzman_D!$G$13), AI77-Uzman_D!$G$13)*0.1 +
        IF(AJ77-Uzman_D!$H$13&lt;0, -(AJ77-Uzman_D!$H$13), AJ77-Uzman_D!$H$13)*0.1 +
        IF(AK77-Uzman_D!$I$13&lt;0, -(AK77-Uzman_D!$I$13), AK77-Uzman_D!$I$13)*0.1 +
        IF(AL77-Uzman_D!$J$13&lt;0, -(AL77-Uzman_D!$J$13), AL77-Uzman_D!$J$13)*0.1
    ) +
    IF(ROUND((IF(AN77-Uzman_D!$L$13&lt;0, -(AN77-Uzman_D!$L$13), AN77-Uzman_D!$L$13)*2),0)/2 = IF(AN77-Uzman_D!$L$13&lt;0, -(AN77-Uzman_D!$L$13), AN77-Uzman_D!$L$13),
    (ROUND((IF(AN77-Uzman_D!$L$13&lt;0, -(AN77-Uzman_D!$L$13), AN77-Uzman_D!$L$13)*2),0)/1 * 0.1), 0) +
    IF(AO77-Uzman_D!$M$13&lt;0, -(AO77-Uzman_D!$M$13), AO77-Uzman_D!$M$13)*1
)</f>
        <v>-0.30000000000000004</v>
      </c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75"/>
      <c r="BB77" s="75"/>
      <c r="BC77" s="73">
        <f>1 - (
    SUM(
        IF(AQ77-Uzman_D!$B$14&lt;0, -(AQ77-Uzman_D!$B$14), AQ77-Uzman_D!$B$14)*0.1 +
        IF(AR77-Uzman_D!$C$14&lt;0, -(AR77-Uzman_D!$C$14), AR77-Uzman_D!$C$14)*0.1 +
        IF(AS77-Uzman_D!$D$14&lt;0, -(AS77-Uzman_D!$D$14), AS77-Uzman_D!$D$14)*0.1 +
        IF(AT77-Uzman_D!$E$14&lt;0, -(AT77-Uzman_D!$E$14), AT77-Uzman_D!$E$14)*0.1 +
        IF(AU77-Uzman_D!$F$14&lt;0, -(AU77-Uzman_D!$F$14), AU77-Uzman_D!$F$14)*0.1 +
        IF(AV77-Uzman_D!$G$14&lt;0, -(AV77-Uzman_D!$G$14), AV77-Uzman_D!$G$14)*0.1 +
        IF(AW77-Uzman_D!$H$14&lt;0, -(AW77-Uzman_D!$H$14), AW77-Uzman_D!$H$14)*0.1 +
        IF(AX77-Uzman_D!$I$14&lt;0, -(AX77-Uzman_D!$I$14), AX77-Uzman_D!$I$14)*0.1 +
        IF(AY77-Uzman_D!$J$14&lt;0, -(AY77-Uzman_D!$J$14), AY77-Uzman_D!$J$14)*0.1
    ) +
    IF(ROUND((IF(BA77-Uzman_D!$L$14&lt;0, -(BA77-Uzman_D!$L$14), BA77-Uzman_D!$L$14)*2),0)/2 = IF(BA77-Uzman_D!$L$14&lt;0, -(BA77-Uzman_D!$L$14), BA77-Uzman_D!$L$14),
    (ROUND((IF(BA77-Uzman_D!$L$14&lt;0, -(BA77-Uzman_D!$L$14), BA77-Uzman_D!$L$14)*2),0)/1 * 0.1), 0) +
    IF(BB77-Uzman_D!$M$14&lt;0, -(BB77-Uzman_D!$M$14), BB77-Uzman_D!$M$14)*1
)</f>
        <v>-0.20000000000000018</v>
      </c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75"/>
      <c r="BO77" s="75"/>
      <c r="BP77" s="73">
        <f>1 - (
    SUM(
        IF(BD77-Uzman_D!$B$15&lt;0, -(BD77-Uzman_D!$B$15), BD77-Uzman_D!$B$15)*0.1 +
        IF(BE77-Uzman_D!$C$15&lt;0, -(BE77-Uzman_D!$C$15), BE77-Uzman_D!$C$15)*0.1 +
        IF(BF77-Uzman_D!$D$15&lt;0, -(BF77-Uzman_D!$D$15), BF77-Uzman_D!$D$15)*0.1 +
        IF(BG77-Uzman_D!$E$15&lt;0, -(BG77-Uzman_D!$E$15), BG77-Uzman_D!$E$15)*0.1 +
        IF(BH77-Uzman_D!$F$15&lt;0, -(BH77-Uzman_D!$F$15), BH77-Uzman_D!$F$15)*0.1 +
        IF(BI77-Uzman_D!$G$15&lt;0, -(BI77-Uzman_D!$G$15), BI77-Uzman_D!$G$15)*0.1 +
        IF(BJ77-Uzman_D!$H$15&lt;0, -(BJ77-Uzman_D!$H$15), BJ77-Uzman_D!$H$15)*0.1 +
        IF(BK77-Uzman_D!$I$15&lt;0, -(BK77-Uzman_D!$I$15), BK77-Uzman_D!$I$15)*0.1 +
        IF(BL77-Uzman_D!$J$15&lt;0, -(BL77-Uzman_D!$J$15), BL77-Uzman_D!$J$15)*0.1
    ) +
    IF(ROUND((IF(BN77-Uzman_D!$L$15&lt;0, -(BN77-Uzman_D!$L$15), BN77-Uzman_D!$L$15)*2),0)/2 = IF(BN77-Uzman_D!$L$15&lt;0, -(BN77-Uzman_D!$L$15), BN77-Uzman_D!$L$15),
    (ROUND((IF(BN77-Uzman_D!$L$15&lt;0, -(BN77-Uzman_D!$L$15), BN77-Uzman_D!$L$15)*2),0)/1 * 0.1), 0) +
    IF(BO77-Uzman_D!$M$15&lt;0, -(BO77-Uzman_D!$M$15), BO77-Uzman_D!$M$15)*1
)</f>
        <v>-0.60000000000000009</v>
      </c>
      <c r="BQ77" s="74">
        <f t="shared" si="1"/>
        <v>-0.32000000000000017</v>
      </c>
    </row>
    <row r="78" spans="1:69" ht="15" customHeight="1" x14ac:dyDescent="0.2">
      <c r="A78" s="57">
        <v>75</v>
      </c>
      <c r="B78" s="37">
        <f>Hakemler!B78</f>
        <v>0</v>
      </c>
      <c r="C78" s="37">
        <f>Hakemler!C78</f>
        <v>0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75"/>
      <c r="O78" s="75"/>
      <c r="P78" s="73">
        <f>1 - (
    SUM(
        IF(D78-Uzman_D!$B$11&lt;0, -(D78-Uzman_D!$B$11), D78-Uzman_D!$B$11)*0.1 +
        IF(E78-Uzman_D!$C$11&lt;0, -(E78-Uzman_D!$C$11), E78-Uzman_D!$C$11)*0.1 +
        IF(F78-Uzman_D!$D$11&lt;0, -(F78-Uzman_D!$D$11), F78-Uzman_D!$D$11)*0.1 +
        IF(G78-Uzman_D!$E$11&lt;0, -(G78-Uzman_D!$E$11), G78-Uzman_D!$E$11)*0.1 +
        IF(H78-Uzman_D!$F$11&lt;0, -(H78-Uzman_D!$F$11), H78-Uzman_D!$F$11)*0.1 +
        IF(I78-Uzman_D!$G$11&lt;0, -(I78-Uzman_D!$G$11), I78-Uzman_D!$G$11)*0.1 +
        IF(J78-Uzman_D!$H$11&lt;0, -(J78-Uzman_D!$H$11), J78-Uzman_D!$H$11)*0.1 +
        IF(K78-Uzman_D!$I$11&lt;0, -(K78-Uzman_D!$I$11), K78-Uzman_D!$I$11)*0.1 +
        IF(L78-Uzman_D!$J$11&lt;0, -(L78-Uzman_D!$J$11), L78-Uzman_D!$J$11)*0.1
    ) +
    IF(ROUND((IF(N78-Uzman_D!$L$11&lt;0, -(N78-Uzman_D!$L$11), N78-Uzman_D!$L$11)*2),0)/2 = IF(N78-Uzman_D!$L$11&lt;0, -(N78-Uzman_D!$L$11), N78-Uzman_D!$L$11),
    (ROUND((IF(N78-Uzman_D!$L$11&lt;0, -(N78-Uzman_D!$L$11), N78-Uzman_D!$L$11)*2),0)/1 * 0.1), 0) +
    IF(O78-Uzman_D!$M$11&lt;0, -(O78-Uzman_D!$M$11), O78-Uzman_D!$M$11)*1
)</f>
        <v>-0.30000000000000027</v>
      </c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75"/>
      <c r="AB78" s="75"/>
      <c r="AC78" s="73">
        <f>1 - (
    SUM(
        IF(Q78-Uzman_D!$B$12&lt;0, -(Q78-Uzman_D!$B$12), Q78-Uzman_D!$B$12)*0.1 +
        IF(R78-Uzman_D!$C$12&lt;0, -(R78-Uzman_D!$C$12), R78-Uzman_D!$C$12)*0.1 +
        IF(S78-Uzman_D!$D$12&lt;0, -(S78-Uzman_D!$D$12), S78-Uzman_D!$D$12)*0.1 +
        IF(T78-Uzman_D!$E$12&lt;0, -(T78-Uzman_D!$E$12), T78-Uzman_D!$E$12)*0.1 +
        IF(U78-Uzman_D!$F$12&lt;0, -(U78-Uzman_D!$F$12), U78-Uzman_D!$F$12)*0.1 +
        IF(V78-Uzman_D!$G$12&lt;0, -(V78-Uzman_D!$G$12), V78-Uzman_D!$G$12)*0.1 +
        IF(W78-Uzman_D!$H$12&lt;0, -(W78-Uzman_D!$H$12), W78-Uzman_D!$H$12)*0.1 +
        IF(X78-Uzman_D!$I$12&lt;0, -(X78-Uzman_D!$I$12), X78-Uzman_D!$I$12)*0.1 +
        IF(Y78-Uzman_D!$J$12&lt;0, -(Y78-Uzman_D!$J$12), Y78-Uzman_D!$J$12)*0.1
    ) +
    IF(ROUND((IF(AA78-Uzman_D!$L$12&lt;0, -(AA78-Uzman_D!$L$12), AA78-Uzman_D!$L$12)*2),0)/2 = IF(AA78-Uzman_D!$L$12&lt;0, -(AA78-Uzman_D!$L$12), AA78-Uzman_D!$L$12),
    (ROUND((IF(AA78-Uzman_D!$L$12&lt;0, -(AA78-Uzman_D!$L$12), AA78-Uzman_D!$L$12)*2),0)/1 * 0.1), 0) +
    IF(AB78-Uzman_D!$M$12&lt;0, -(AB78-Uzman_D!$M$12), AB78-Uzman_D!$M$12)*1
)</f>
        <v>-0.20000000000000018</v>
      </c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75"/>
      <c r="AO78" s="75"/>
      <c r="AP78" s="73">
        <f>1 - (
    SUM(
        IF(AD78-Uzman_D!$B$13&lt;0, -(AD78-Uzman_D!$B$13), AD78-Uzman_D!$B$13)*0.1 +
        IF(AE78-Uzman_D!$C$13&lt;0, -(AE78-Uzman_D!$C$13), AE78-Uzman_D!$C$13)*0.1 +
        IF(AF78-Uzman_D!$D$13&lt;0, -(AF78-Uzman_D!$D$13), AF78-Uzman_D!$D$13)*0.1 +
        IF(AG78-Uzman_D!$E$13&lt;0, -(AG78-Uzman_D!$E$13), AG78-Uzman_D!$E$13)*0.1 +
        IF(AH78-Uzman_D!$F$13&lt;0, -(AH78-Uzman_D!$F$13), AH78-Uzman_D!$F$13)*0.1 +
        IF(AI78-Uzman_D!$G$13&lt;0, -(AI78-Uzman_D!$G$13), AI78-Uzman_D!$G$13)*0.1 +
        IF(AJ78-Uzman_D!$H$13&lt;0, -(AJ78-Uzman_D!$H$13), AJ78-Uzman_D!$H$13)*0.1 +
        IF(AK78-Uzman_D!$I$13&lt;0, -(AK78-Uzman_D!$I$13), AK78-Uzman_D!$I$13)*0.1 +
        IF(AL78-Uzman_D!$J$13&lt;0, -(AL78-Uzman_D!$J$13), AL78-Uzman_D!$J$13)*0.1
    ) +
    IF(ROUND((IF(AN78-Uzman_D!$L$13&lt;0, -(AN78-Uzman_D!$L$13), AN78-Uzman_D!$L$13)*2),0)/2 = IF(AN78-Uzman_D!$L$13&lt;0, -(AN78-Uzman_D!$L$13), AN78-Uzman_D!$L$13),
    (ROUND((IF(AN78-Uzman_D!$L$13&lt;0, -(AN78-Uzman_D!$L$13), AN78-Uzman_D!$L$13)*2),0)/1 * 0.1), 0) +
    IF(AO78-Uzman_D!$M$13&lt;0, -(AO78-Uzman_D!$M$13), AO78-Uzman_D!$M$13)*1
)</f>
        <v>-0.30000000000000004</v>
      </c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75"/>
      <c r="BB78" s="75"/>
      <c r="BC78" s="73">
        <f>1 - (
    SUM(
        IF(AQ78-Uzman_D!$B$14&lt;0, -(AQ78-Uzman_D!$B$14), AQ78-Uzman_D!$B$14)*0.1 +
        IF(AR78-Uzman_D!$C$14&lt;0, -(AR78-Uzman_D!$C$14), AR78-Uzman_D!$C$14)*0.1 +
        IF(AS78-Uzman_D!$D$14&lt;0, -(AS78-Uzman_D!$D$14), AS78-Uzman_D!$D$14)*0.1 +
        IF(AT78-Uzman_D!$E$14&lt;0, -(AT78-Uzman_D!$E$14), AT78-Uzman_D!$E$14)*0.1 +
        IF(AU78-Uzman_D!$F$14&lt;0, -(AU78-Uzman_D!$F$14), AU78-Uzman_D!$F$14)*0.1 +
        IF(AV78-Uzman_D!$G$14&lt;0, -(AV78-Uzman_D!$G$14), AV78-Uzman_D!$G$14)*0.1 +
        IF(AW78-Uzman_D!$H$14&lt;0, -(AW78-Uzman_D!$H$14), AW78-Uzman_D!$H$14)*0.1 +
        IF(AX78-Uzman_D!$I$14&lt;0, -(AX78-Uzman_D!$I$14), AX78-Uzman_D!$I$14)*0.1 +
        IF(AY78-Uzman_D!$J$14&lt;0, -(AY78-Uzman_D!$J$14), AY78-Uzman_D!$J$14)*0.1
    ) +
    IF(ROUND((IF(BA78-Uzman_D!$L$14&lt;0, -(BA78-Uzman_D!$L$14), BA78-Uzman_D!$L$14)*2),0)/2 = IF(BA78-Uzman_D!$L$14&lt;0, -(BA78-Uzman_D!$L$14), BA78-Uzman_D!$L$14),
    (ROUND((IF(BA78-Uzman_D!$L$14&lt;0, -(BA78-Uzman_D!$L$14), BA78-Uzman_D!$L$14)*2),0)/1 * 0.1), 0) +
    IF(BB78-Uzman_D!$M$14&lt;0, -(BB78-Uzman_D!$M$14), BB78-Uzman_D!$M$14)*1
)</f>
        <v>-0.20000000000000018</v>
      </c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75"/>
      <c r="BO78" s="75"/>
      <c r="BP78" s="73">
        <f>1 - (
    SUM(
        IF(BD78-Uzman_D!$B$15&lt;0, -(BD78-Uzman_D!$B$15), BD78-Uzman_D!$B$15)*0.1 +
        IF(BE78-Uzman_D!$C$15&lt;0, -(BE78-Uzman_D!$C$15), BE78-Uzman_D!$C$15)*0.1 +
        IF(BF78-Uzman_D!$D$15&lt;0, -(BF78-Uzman_D!$D$15), BF78-Uzman_D!$D$15)*0.1 +
        IF(BG78-Uzman_D!$E$15&lt;0, -(BG78-Uzman_D!$E$15), BG78-Uzman_D!$E$15)*0.1 +
        IF(BH78-Uzman_D!$F$15&lt;0, -(BH78-Uzman_D!$F$15), BH78-Uzman_D!$F$15)*0.1 +
        IF(BI78-Uzman_D!$G$15&lt;0, -(BI78-Uzman_D!$G$15), BI78-Uzman_D!$G$15)*0.1 +
        IF(BJ78-Uzman_D!$H$15&lt;0, -(BJ78-Uzman_D!$H$15), BJ78-Uzman_D!$H$15)*0.1 +
        IF(BK78-Uzman_D!$I$15&lt;0, -(BK78-Uzman_D!$I$15), BK78-Uzman_D!$I$15)*0.1 +
        IF(BL78-Uzman_D!$J$15&lt;0, -(BL78-Uzman_D!$J$15), BL78-Uzman_D!$J$15)*0.1
    ) +
    IF(ROUND((IF(BN78-Uzman_D!$L$15&lt;0, -(BN78-Uzman_D!$L$15), BN78-Uzman_D!$L$15)*2),0)/2 = IF(BN78-Uzman_D!$L$15&lt;0, -(BN78-Uzman_D!$L$15), BN78-Uzman_D!$L$15),
    (ROUND((IF(BN78-Uzman_D!$L$15&lt;0, -(BN78-Uzman_D!$L$15), BN78-Uzman_D!$L$15)*2),0)/1 * 0.1), 0) +
    IF(BO78-Uzman_D!$M$15&lt;0, -(BO78-Uzman_D!$M$15), BO78-Uzman_D!$M$15)*1
)</f>
        <v>-0.60000000000000009</v>
      </c>
      <c r="BQ78" s="74">
        <f t="shared" si="1"/>
        <v>-0.32000000000000017</v>
      </c>
    </row>
    <row r="79" spans="1:69" ht="15" customHeight="1" x14ac:dyDescent="0.2">
      <c r="A79" s="57">
        <v>76</v>
      </c>
      <c r="B79" s="37">
        <f>Hakemler!B79</f>
        <v>0</v>
      </c>
      <c r="C79" s="37">
        <f>Hakemler!C79</f>
        <v>0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75"/>
      <c r="O79" s="75"/>
      <c r="P79" s="73">
        <f>1 - (
    SUM(
        IF(D79-Uzman_D!$B$11&lt;0, -(D79-Uzman_D!$B$11), D79-Uzman_D!$B$11)*0.1 +
        IF(E79-Uzman_D!$C$11&lt;0, -(E79-Uzman_D!$C$11), E79-Uzman_D!$C$11)*0.1 +
        IF(F79-Uzman_D!$D$11&lt;0, -(F79-Uzman_D!$D$11), F79-Uzman_D!$D$11)*0.1 +
        IF(G79-Uzman_D!$E$11&lt;0, -(G79-Uzman_D!$E$11), G79-Uzman_D!$E$11)*0.1 +
        IF(H79-Uzman_D!$F$11&lt;0, -(H79-Uzman_D!$F$11), H79-Uzman_D!$F$11)*0.1 +
        IF(I79-Uzman_D!$G$11&lt;0, -(I79-Uzman_D!$G$11), I79-Uzman_D!$G$11)*0.1 +
        IF(J79-Uzman_D!$H$11&lt;0, -(J79-Uzman_D!$H$11), J79-Uzman_D!$H$11)*0.1 +
        IF(K79-Uzman_D!$I$11&lt;0, -(K79-Uzman_D!$I$11), K79-Uzman_D!$I$11)*0.1 +
        IF(L79-Uzman_D!$J$11&lt;0, -(L79-Uzman_D!$J$11), L79-Uzman_D!$J$11)*0.1
    ) +
    IF(ROUND((IF(N79-Uzman_D!$L$11&lt;0, -(N79-Uzman_D!$L$11), N79-Uzman_D!$L$11)*2),0)/2 = IF(N79-Uzman_D!$L$11&lt;0, -(N79-Uzman_D!$L$11), N79-Uzman_D!$L$11),
    (ROUND((IF(N79-Uzman_D!$L$11&lt;0, -(N79-Uzman_D!$L$11), N79-Uzman_D!$L$11)*2),0)/1 * 0.1), 0) +
    IF(O79-Uzman_D!$M$11&lt;0, -(O79-Uzman_D!$M$11), O79-Uzman_D!$M$11)*1
)</f>
        <v>-0.30000000000000027</v>
      </c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75"/>
      <c r="AB79" s="75"/>
      <c r="AC79" s="73">
        <f>1 - (
    SUM(
        IF(Q79-Uzman_D!$B$12&lt;0, -(Q79-Uzman_D!$B$12), Q79-Uzman_D!$B$12)*0.1 +
        IF(R79-Uzman_D!$C$12&lt;0, -(R79-Uzman_D!$C$12), R79-Uzman_D!$C$12)*0.1 +
        IF(S79-Uzman_D!$D$12&lt;0, -(S79-Uzman_D!$D$12), S79-Uzman_D!$D$12)*0.1 +
        IF(T79-Uzman_D!$E$12&lt;0, -(T79-Uzman_D!$E$12), T79-Uzman_D!$E$12)*0.1 +
        IF(U79-Uzman_D!$F$12&lt;0, -(U79-Uzman_D!$F$12), U79-Uzman_D!$F$12)*0.1 +
        IF(V79-Uzman_D!$G$12&lt;0, -(V79-Uzman_D!$G$12), V79-Uzman_D!$G$12)*0.1 +
        IF(W79-Uzman_D!$H$12&lt;0, -(W79-Uzman_D!$H$12), W79-Uzman_D!$H$12)*0.1 +
        IF(X79-Uzman_D!$I$12&lt;0, -(X79-Uzman_D!$I$12), X79-Uzman_D!$I$12)*0.1 +
        IF(Y79-Uzman_D!$J$12&lt;0, -(Y79-Uzman_D!$J$12), Y79-Uzman_D!$J$12)*0.1
    ) +
    IF(ROUND((IF(AA79-Uzman_D!$L$12&lt;0, -(AA79-Uzman_D!$L$12), AA79-Uzman_D!$L$12)*2),0)/2 = IF(AA79-Uzman_D!$L$12&lt;0, -(AA79-Uzman_D!$L$12), AA79-Uzman_D!$L$12),
    (ROUND((IF(AA79-Uzman_D!$L$12&lt;0, -(AA79-Uzman_D!$L$12), AA79-Uzman_D!$L$12)*2),0)/1 * 0.1), 0) +
    IF(AB79-Uzman_D!$M$12&lt;0, -(AB79-Uzman_D!$M$12), AB79-Uzman_D!$M$12)*1
)</f>
        <v>-0.20000000000000018</v>
      </c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75"/>
      <c r="AO79" s="75"/>
      <c r="AP79" s="73">
        <f>1 - (
    SUM(
        IF(AD79-Uzman_D!$B$13&lt;0, -(AD79-Uzman_D!$B$13), AD79-Uzman_D!$B$13)*0.1 +
        IF(AE79-Uzman_D!$C$13&lt;0, -(AE79-Uzman_D!$C$13), AE79-Uzman_D!$C$13)*0.1 +
        IF(AF79-Uzman_D!$D$13&lt;0, -(AF79-Uzman_D!$D$13), AF79-Uzman_D!$D$13)*0.1 +
        IF(AG79-Uzman_D!$E$13&lt;0, -(AG79-Uzman_D!$E$13), AG79-Uzman_D!$E$13)*0.1 +
        IF(AH79-Uzman_D!$F$13&lt;0, -(AH79-Uzman_D!$F$13), AH79-Uzman_D!$F$13)*0.1 +
        IF(AI79-Uzman_D!$G$13&lt;0, -(AI79-Uzman_D!$G$13), AI79-Uzman_D!$G$13)*0.1 +
        IF(AJ79-Uzman_D!$H$13&lt;0, -(AJ79-Uzman_D!$H$13), AJ79-Uzman_D!$H$13)*0.1 +
        IF(AK79-Uzman_D!$I$13&lt;0, -(AK79-Uzman_D!$I$13), AK79-Uzman_D!$I$13)*0.1 +
        IF(AL79-Uzman_D!$J$13&lt;0, -(AL79-Uzman_D!$J$13), AL79-Uzman_D!$J$13)*0.1
    ) +
    IF(ROUND((IF(AN79-Uzman_D!$L$13&lt;0, -(AN79-Uzman_D!$L$13), AN79-Uzman_D!$L$13)*2),0)/2 = IF(AN79-Uzman_D!$L$13&lt;0, -(AN79-Uzman_D!$L$13), AN79-Uzman_D!$L$13),
    (ROUND((IF(AN79-Uzman_D!$L$13&lt;0, -(AN79-Uzman_D!$L$13), AN79-Uzman_D!$L$13)*2),0)/1 * 0.1), 0) +
    IF(AO79-Uzman_D!$M$13&lt;0, -(AO79-Uzman_D!$M$13), AO79-Uzman_D!$M$13)*1
)</f>
        <v>-0.30000000000000004</v>
      </c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75"/>
      <c r="BB79" s="75"/>
      <c r="BC79" s="73">
        <f>1 - (
    SUM(
        IF(AQ79-Uzman_D!$B$14&lt;0, -(AQ79-Uzman_D!$B$14), AQ79-Uzman_D!$B$14)*0.1 +
        IF(AR79-Uzman_D!$C$14&lt;0, -(AR79-Uzman_D!$C$14), AR79-Uzman_D!$C$14)*0.1 +
        IF(AS79-Uzman_D!$D$14&lt;0, -(AS79-Uzman_D!$D$14), AS79-Uzman_D!$D$14)*0.1 +
        IF(AT79-Uzman_D!$E$14&lt;0, -(AT79-Uzman_D!$E$14), AT79-Uzman_D!$E$14)*0.1 +
        IF(AU79-Uzman_D!$F$14&lt;0, -(AU79-Uzman_D!$F$14), AU79-Uzman_D!$F$14)*0.1 +
        IF(AV79-Uzman_D!$G$14&lt;0, -(AV79-Uzman_D!$G$14), AV79-Uzman_D!$G$14)*0.1 +
        IF(AW79-Uzman_D!$H$14&lt;0, -(AW79-Uzman_D!$H$14), AW79-Uzman_D!$H$14)*0.1 +
        IF(AX79-Uzman_D!$I$14&lt;0, -(AX79-Uzman_D!$I$14), AX79-Uzman_D!$I$14)*0.1 +
        IF(AY79-Uzman_D!$J$14&lt;0, -(AY79-Uzman_D!$J$14), AY79-Uzman_D!$J$14)*0.1
    ) +
    IF(ROUND((IF(BA79-Uzman_D!$L$14&lt;0, -(BA79-Uzman_D!$L$14), BA79-Uzman_D!$L$14)*2),0)/2 = IF(BA79-Uzman_D!$L$14&lt;0, -(BA79-Uzman_D!$L$14), BA79-Uzman_D!$L$14),
    (ROUND((IF(BA79-Uzman_D!$L$14&lt;0, -(BA79-Uzman_D!$L$14), BA79-Uzman_D!$L$14)*2),0)/1 * 0.1), 0) +
    IF(BB79-Uzman_D!$M$14&lt;0, -(BB79-Uzman_D!$M$14), BB79-Uzman_D!$M$14)*1
)</f>
        <v>-0.20000000000000018</v>
      </c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75"/>
      <c r="BO79" s="75"/>
      <c r="BP79" s="73">
        <f>1 - (
    SUM(
        IF(BD79-Uzman_D!$B$15&lt;0, -(BD79-Uzman_D!$B$15), BD79-Uzman_D!$B$15)*0.1 +
        IF(BE79-Uzman_D!$C$15&lt;0, -(BE79-Uzman_D!$C$15), BE79-Uzman_D!$C$15)*0.1 +
        IF(BF79-Uzman_D!$D$15&lt;0, -(BF79-Uzman_D!$D$15), BF79-Uzman_D!$D$15)*0.1 +
        IF(BG79-Uzman_D!$E$15&lt;0, -(BG79-Uzman_D!$E$15), BG79-Uzman_D!$E$15)*0.1 +
        IF(BH79-Uzman_D!$F$15&lt;0, -(BH79-Uzman_D!$F$15), BH79-Uzman_D!$F$15)*0.1 +
        IF(BI79-Uzman_D!$G$15&lt;0, -(BI79-Uzman_D!$G$15), BI79-Uzman_D!$G$15)*0.1 +
        IF(BJ79-Uzman_D!$H$15&lt;0, -(BJ79-Uzman_D!$H$15), BJ79-Uzman_D!$H$15)*0.1 +
        IF(BK79-Uzman_D!$I$15&lt;0, -(BK79-Uzman_D!$I$15), BK79-Uzman_D!$I$15)*0.1 +
        IF(BL79-Uzman_D!$J$15&lt;0, -(BL79-Uzman_D!$J$15), BL79-Uzman_D!$J$15)*0.1
    ) +
    IF(ROUND((IF(BN79-Uzman_D!$L$15&lt;0, -(BN79-Uzman_D!$L$15), BN79-Uzman_D!$L$15)*2),0)/2 = IF(BN79-Uzman_D!$L$15&lt;0, -(BN79-Uzman_D!$L$15), BN79-Uzman_D!$L$15),
    (ROUND((IF(BN79-Uzman_D!$L$15&lt;0, -(BN79-Uzman_D!$L$15), BN79-Uzman_D!$L$15)*2),0)/1 * 0.1), 0) +
    IF(BO79-Uzman_D!$M$15&lt;0, -(BO79-Uzman_D!$M$15), BO79-Uzman_D!$M$15)*1
)</f>
        <v>-0.60000000000000009</v>
      </c>
      <c r="BQ79" s="74">
        <f t="shared" si="1"/>
        <v>-0.32000000000000017</v>
      </c>
    </row>
    <row r="80" spans="1:69" ht="15" customHeight="1" x14ac:dyDescent="0.2">
      <c r="A80" s="57">
        <v>77</v>
      </c>
      <c r="B80" s="37">
        <f>Hakemler!B80</f>
        <v>0</v>
      </c>
      <c r="C80" s="37">
        <f>Hakemler!C80</f>
        <v>0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75"/>
      <c r="O80" s="75"/>
      <c r="P80" s="73">
        <f>1 - (
    SUM(
        IF(D80-Uzman_D!$B$11&lt;0, -(D80-Uzman_D!$B$11), D80-Uzman_D!$B$11)*0.1 +
        IF(E80-Uzman_D!$C$11&lt;0, -(E80-Uzman_D!$C$11), E80-Uzman_D!$C$11)*0.1 +
        IF(F80-Uzman_D!$D$11&lt;0, -(F80-Uzman_D!$D$11), F80-Uzman_D!$D$11)*0.1 +
        IF(G80-Uzman_D!$E$11&lt;0, -(G80-Uzman_D!$E$11), G80-Uzman_D!$E$11)*0.1 +
        IF(H80-Uzman_D!$F$11&lt;0, -(H80-Uzman_D!$F$11), H80-Uzman_D!$F$11)*0.1 +
        IF(I80-Uzman_D!$G$11&lt;0, -(I80-Uzman_D!$G$11), I80-Uzman_D!$G$11)*0.1 +
        IF(J80-Uzman_D!$H$11&lt;0, -(J80-Uzman_D!$H$11), J80-Uzman_D!$H$11)*0.1 +
        IF(K80-Uzman_D!$I$11&lt;0, -(K80-Uzman_D!$I$11), K80-Uzman_D!$I$11)*0.1 +
        IF(L80-Uzman_D!$J$11&lt;0, -(L80-Uzman_D!$J$11), L80-Uzman_D!$J$11)*0.1
    ) +
    IF(ROUND((IF(N80-Uzman_D!$L$11&lt;0, -(N80-Uzman_D!$L$11), N80-Uzman_D!$L$11)*2),0)/2 = IF(N80-Uzman_D!$L$11&lt;0, -(N80-Uzman_D!$L$11), N80-Uzman_D!$L$11),
    (ROUND((IF(N80-Uzman_D!$L$11&lt;0, -(N80-Uzman_D!$L$11), N80-Uzman_D!$L$11)*2),0)/1 * 0.1), 0) +
    IF(O80-Uzman_D!$M$11&lt;0, -(O80-Uzman_D!$M$11), O80-Uzman_D!$M$11)*1
)</f>
        <v>-0.30000000000000027</v>
      </c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75"/>
      <c r="AB80" s="75"/>
      <c r="AC80" s="73">
        <f>1 - (
    SUM(
        IF(Q80-Uzman_D!$B$12&lt;0, -(Q80-Uzman_D!$B$12), Q80-Uzman_D!$B$12)*0.1 +
        IF(R80-Uzman_D!$C$12&lt;0, -(R80-Uzman_D!$C$12), R80-Uzman_D!$C$12)*0.1 +
        IF(S80-Uzman_D!$D$12&lt;0, -(S80-Uzman_D!$D$12), S80-Uzman_D!$D$12)*0.1 +
        IF(T80-Uzman_D!$E$12&lt;0, -(T80-Uzman_D!$E$12), T80-Uzman_D!$E$12)*0.1 +
        IF(U80-Uzman_D!$F$12&lt;0, -(U80-Uzman_D!$F$12), U80-Uzman_D!$F$12)*0.1 +
        IF(V80-Uzman_D!$G$12&lt;0, -(V80-Uzman_D!$G$12), V80-Uzman_D!$G$12)*0.1 +
        IF(W80-Uzman_D!$H$12&lt;0, -(W80-Uzman_D!$H$12), W80-Uzman_D!$H$12)*0.1 +
        IF(X80-Uzman_D!$I$12&lt;0, -(X80-Uzman_D!$I$12), X80-Uzman_D!$I$12)*0.1 +
        IF(Y80-Uzman_D!$J$12&lt;0, -(Y80-Uzman_D!$J$12), Y80-Uzman_D!$J$12)*0.1
    ) +
    IF(ROUND((IF(AA80-Uzman_D!$L$12&lt;0, -(AA80-Uzman_D!$L$12), AA80-Uzman_D!$L$12)*2),0)/2 = IF(AA80-Uzman_D!$L$12&lt;0, -(AA80-Uzman_D!$L$12), AA80-Uzman_D!$L$12),
    (ROUND((IF(AA80-Uzman_D!$L$12&lt;0, -(AA80-Uzman_D!$L$12), AA80-Uzman_D!$L$12)*2),0)/1 * 0.1), 0) +
    IF(AB80-Uzman_D!$M$12&lt;0, -(AB80-Uzman_D!$M$12), AB80-Uzman_D!$M$12)*1
)</f>
        <v>-0.20000000000000018</v>
      </c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75"/>
      <c r="AO80" s="75"/>
      <c r="AP80" s="73">
        <f>1 - (
    SUM(
        IF(AD80-Uzman_D!$B$13&lt;0, -(AD80-Uzman_D!$B$13), AD80-Uzman_D!$B$13)*0.1 +
        IF(AE80-Uzman_D!$C$13&lt;0, -(AE80-Uzman_D!$C$13), AE80-Uzman_D!$C$13)*0.1 +
        IF(AF80-Uzman_D!$D$13&lt;0, -(AF80-Uzman_D!$D$13), AF80-Uzman_D!$D$13)*0.1 +
        IF(AG80-Uzman_D!$E$13&lt;0, -(AG80-Uzman_D!$E$13), AG80-Uzman_D!$E$13)*0.1 +
        IF(AH80-Uzman_D!$F$13&lt;0, -(AH80-Uzman_D!$F$13), AH80-Uzman_D!$F$13)*0.1 +
        IF(AI80-Uzman_D!$G$13&lt;0, -(AI80-Uzman_D!$G$13), AI80-Uzman_D!$G$13)*0.1 +
        IF(AJ80-Uzman_D!$H$13&lt;0, -(AJ80-Uzman_D!$H$13), AJ80-Uzman_D!$H$13)*0.1 +
        IF(AK80-Uzman_D!$I$13&lt;0, -(AK80-Uzman_D!$I$13), AK80-Uzman_D!$I$13)*0.1 +
        IF(AL80-Uzman_D!$J$13&lt;0, -(AL80-Uzman_D!$J$13), AL80-Uzman_D!$J$13)*0.1
    ) +
    IF(ROUND((IF(AN80-Uzman_D!$L$13&lt;0, -(AN80-Uzman_D!$L$13), AN80-Uzman_D!$L$13)*2),0)/2 = IF(AN80-Uzman_D!$L$13&lt;0, -(AN80-Uzman_D!$L$13), AN80-Uzman_D!$L$13),
    (ROUND((IF(AN80-Uzman_D!$L$13&lt;0, -(AN80-Uzman_D!$L$13), AN80-Uzman_D!$L$13)*2),0)/1 * 0.1), 0) +
    IF(AO80-Uzman_D!$M$13&lt;0, -(AO80-Uzman_D!$M$13), AO80-Uzman_D!$M$13)*1
)</f>
        <v>-0.30000000000000004</v>
      </c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75"/>
      <c r="BB80" s="75"/>
      <c r="BC80" s="73">
        <f>1 - (
    SUM(
        IF(AQ80-Uzman_D!$B$14&lt;0, -(AQ80-Uzman_D!$B$14), AQ80-Uzman_D!$B$14)*0.1 +
        IF(AR80-Uzman_D!$C$14&lt;0, -(AR80-Uzman_D!$C$14), AR80-Uzman_D!$C$14)*0.1 +
        IF(AS80-Uzman_D!$D$14&lt;0, -(AS80-Uzman_D!$D$14), AS80-Uzman_D!$D$14)*0.1 +
        IF(AT80-Uzman_D!$E$14&lt;0, -(AT80-Uzman_D!$E$14), AT80-Uzman_D!$E$14)*0.1 +
        IF(AU80-Uzman_D!$F$14&lt;0, -(AU80-Uzman_D!$F$14), AU80-Uzman_D!$F$14)*0.1 +
        IF(AV80-Uzman_D!$G$14&lt;0, -(AV80-Uzman_D!$G$14), AV80-Uzman_D!$G$14)*0.1 +
        IF(AW80-Uzman_D!$H$14&lt;0, -(AW80-Uzman_D!$H$14), AW80-Uzman_D!$H$14)*0.1 +
        IF(AX80-Uzman_D!$I$14&lt;0, -(AX80-Uzman_D!$I$14), AX80-Uzman_D!$I$14)*0.1 +
        IF(AY80-Uzman_D!$J$14&lt;0, -(AY80-Uzman_D!$J$14), AY80-Uzman_D!$J$14)*0.1
    ) +
    IF(ROUND((IF(BA80-Uzman_D!$L$14&lt;0, -(BA80-Uzman_D!$L$14), BA80-Uzman_D!$L$14)*2),0)/2 = IF(BA80-Uzman_D!$L$14&lt;0, -(BA80-Uzman_D!$L$14), BA80-Uzman_D!$L$14),
    (ROUND((IF(BA80-Uzman_D!$L$14&lt;0, -(BA80-Uzman_D!$L$14), BA80-Uzman_D!$L$14)*2),0)/1 * 0.1), 0) +
    IF(BB80-Uzman_D!$M$14&lt;0, -(BB80-Uzman_D!$M$14), BB80-Uzman_D!$M$14)*1
)</f>
        <v>-0.20000000000000018</v>
      </c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75"/>
      <c r="BO80" s="75"/>
      <c r="BP80" s="73">
        <f>1 - (
    SUM(
        IF(BD80-Uzman_D!$B$15&lt;0, -(BD80-Uzman_D!$B$15), BD80-Uzman_D!$B$15)*0.1 +
        IF(BE80-Uzman_D!$C$15&lt;0, -(BE80-Uzman_D!$C$15), BE80-Uzman_D!$C$15)*0.1 +
        IF(BF80-Uzman_D!$D$15&lt;0, -(BF80-Uzman_D!$D$15), BF80-Uzman_D!$D$15)*0.1 +
        IF(BG80-Uzman_D!$E$15&lt;0, -(BG80-Uzman_D!$E$15), BG80-Uzman_D!$E$15)*0.1 +
        IF(BH80-Uzman_D!$F$15&lt;0, -(BH80-Uzman_D!$F$15), BH80-Uzman_D!$F$15)*0.1 +
        IF(BI80-Uzman_D!$G$15&lt;0, -(BI80-Uzman_D!$G$15), BI80-Uzman_D!$G$15)*0.1 +
        IF(BJ80-Uzman_D!$H$15&lt;0, -(BJ80-Uzman_D!$H$15), BJ80-Uzman_D!$H$15)*0.1 +
        IF(BK80-Uzman_D!$I$15&lt;0, -(BK80-Uzman_D!$I$15), BK80-Uzman_D!$I$15)*0.1 +
        IF(BL80-Uzman_D!$J$15&lt;0, -(BL80-Uzman_D!$J$15), BL80-Uzman_D!$J$15)*0.1
    ) +
    IF(ROUND((IF(BN80-Uzman_D!$L$15&lt;0, -(BN80-Uzman_D!$L$15), BN80-Uzman_D!$L$15)*2),0)/2 = IF(BN80-Uzman_D!$L$15&lt;0, -(BN80-Uzman_D!$L$15), BN80-Uzman_D!$L$15),
    (ROUND((IF(BN80-Uzman_D!$L$15&lt;0, -(BN80-Uzman_D!$L$15), BN80-Uzman_D!$L$15)*2),0)/1 * 0.1), 0) +
    IF(BO80-Uzman_D!$M$15&lt;0, -(BO80-Uzman_D!$M$15), BO80-Uzman_D!$M$15)*1
)</f>
        <v>-0.60000000000000009</v>
      </c>
      <c r="BQ80" s="74">
        <f t="shared" si="1"/>
        <v>-0.32000000000000017</v>
      </c>
    </row>
    <row r="81" spans="1:69" ht="15" customHeight="1" x14ac:dyDescent="0.2">
      <c r="A81" s="57">
        <v>78</v>
      </c>
      <c r="B81" s="37">
        <f>Hakemler!B81</f>
        <v>0</v>
      </c>
      <c r="C81" s="37">
        <f>Hakemler!C81</f>
        <v>0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75"/>
      <c r="O81" s="75"/>
      <c r="P81" s="73">
        <f>1 - (
    SUM(
        IF(D81-Uzman_D!$B$11&lt;0, -(D81-Uzman_D!$B$11), D81-Uzman_D!$B$11)*0.1 +
        IF(E81-Uzman_D!$C$11&lt;0, -(E81-Uzman_D!$C$11), E81-Uzman_D!$C$11)*0.1 +
        IF(F81-Uzman_D!$D$11&lt;0, -(F81-Uzman_D!$D$11), F81-Uzman_D!$D$11)*0.1 +
        IF(G81-Uzman_D!$E$11&lt;0, -(G81-Uzman_D!$E$11), G81-Uzman_D!$E$11)*0.1 +
        IF(H81-Uzman_D!$F$11&lt;0, -(H81-Uzman_D!$F$11), H81-Uzman_D!$F$11)*0.1 +
        IF(I81-Uzman_D!$G$11&lt;0, -(I81-Uzman_D!$G$11), I81-Uzman_D!$G$11)*0.1 +
        IF(J81-Uzman_D!$H$11&lt;0, -(J81-Uzman_D!$H$11), J81-Uzman_D!$H$11)*0.1 +
        IF(K81-Uzman_D!$I$11&lt;0, -(K81-Uzman_D!$I$11), K81-Uzman_D!$I$11)*0.1 +
        IF(L81-Uzman_D!$J$11&lt;0, -(L81-Uzman_D!$J$11), L81-Uzman_D!$J$11)*0.1
    ) +
    IF(ROUND((IF(N81-Uzman_D!$L$11&lt;0, -(N81-Uzman_D!$L$11), N81-Uzman_D!$L$11)*2),0)/2 = IF(N81-Uzman_D!$L$11&lt;0, -(N81-Uzman_D!$L$11), N81-Uzman_D!$L$11),
    (ROUND((IF(N81-Uzman_D!$L$11&lt;0, -(N81-Uzman_D!$L$11), N81-Uzman_D!$L$11)*2),0)/1 * 0.1), 0) +
    IF(O81-Uzman_D!$M$11&lt;0, -(O81-Uzman_D!$M$11), O81-Uzman_D!$M$11)*1
)</f>
        <v>-0.30000000000000027</v>
      </c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75"/>
      <c r="AB81" s="75"/>
      <c r="AC81" s="73">
        <f>1 - (
    SUM(
        IF(Q81-Uzman_D!$B$12&lt;0, -(Q81-Uzman_D!$B$12), Q81-Uzman_D!$B$12)*0.1 +
        IF(R81-Uzman_D!$C$12&lt;0, -(R81-Uzman_D!$C$12), R81-Uzman_D!$C$12)*0.1 +
        IF(S81-Uzman_D!$D$12&lt;0, -(S81-Uzman_D!$D$12), S81-Uzman_D!$D$12)*0.1 +
        IF(T81-Uzman_D!$E$12&lt;0, -(T81-Uzman_D!$E$12), T81-Uzman_D!$E$12)*0.1 +
        IF(U81-Uzman_D!$F$12&lt;0, -(U81-Uzman_D!$F$12), U81-Uzman_D!$F$12)*0.1 +
        IF(V81-Uzman_D!$G$12&lt;0, -(V81-Uzman_D!$G$12), V81-Uzman_D!$G$12)*0.1 +
        IF(W81-Uzman_D!$H$12&lt;0, -(W81-Uzman_D!$H$12), W81-Uzman_D!$H$12)*0.1 +
        IF(X81-Uzman_D!$I$12&lt;0, -(X81-Uzman_D!$I$12), X81-Uzman_D!$I$12)*0.1 +
        IF(Y81-Uzman_D!$J$12&lt;0, -(Y81-Uzman_D!$J$12), Y81-Uzman_D!$J$12)*0.1
    ) +
    IF(ROUND((IF(AA81-Uzman_D!$L$12&lt;0, -(AA81-Uzman_D!$L$12), AA81-Uzman_D!$L$12)*2),0)/2 = IF(AA81-Uzman_D!$L$12&lt;0, -(AA81-Uzman_D!$L$12), AA81-Uzman_D!$L$12),
    (ROUND((IF(AA81-Uzman_D!$L$12&lt;0, -(AA81-Uzman_D!$L$12), AA81-Uzman_D!$L$12)*2),0)/1 * 0.1), 0) +
    IF(AB81-Uzman_D!$M$12&lt;0, -(AB81-Uzman_D!$M$12), AB81-Uzman_D!$M$12)*1
)</f>
        <v>-0.20000000000000018</v>
      </c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75"/>
      <c r="AO81" s="75"/>
      <c r="AP81" s="73">
        <f>1 - (
    SUM(
        IF(AD81-Uzman_D!$B$13&lt;0, -(AD81-Uzman_D!$B$13), AD81-Uzman_D!$B$13)*0.1 +
        IF(AE81-Uzman_D!$C$13&lt;0, -(AE81-Uzman_D!$C$13), AE81-Uzman_D!$C$13)*0.1 +
        IF(AF81-Uzman_D!$D$13&lt;0, -(AF81-Uzman_D!$D$13), AF81-Uzman_D!$D$13)*0.1 +
        IF(AG81-Uzman_D!$E$13&lt;0, -(AG81-Uzman_D!$E$13), AG81-Uzman_D!$E$13)*0.1 +
        IF(AH81-Uzman_D!$F$13&lt;0, -(AH81-Uzman_D!$F$13), AH81-Uzman_D!$F$13)*0.1 +
        IF(AI81-Uzman_D!$G$13&lt;0, -(AI81-Uzman_D!$G$13), AI81-Uzman_D!$G$13)*0.1 +
        IF(AJ81-Uzman_D!$H$13&lt;0, -(AJ81-Uzman_D!$H$13), AJ81-Uzman_D!$H$13)*0.1 +
        IF(AK81-Uzman_D!$I$13&lt;0, -(AK81-Uzman_D!$I$13), AK81-Uzman_D!$I$13)*0.1 +
        IF(AL81-Uzman_D!$J$13&lt;0, -(AL81-Uzman_D!$J$13), AL81-Uzman_D!$J$13)*0.1
    ) +
    IF(ROUND((IF(AN81-Uzman_D!$L$13&lt;0, -(AN81-Uzman_D!$L$13), AN81-Uzman_D!$L$13)*2),0)/2 = IF(AN81-Uzman_D!$L$13&lt;0, -(AN81-Uzman_D!$L$13), AN81-Uzman_D!$L$13),
    (ROUND((IF(AN81-Uzman_D!$L$13&lt;0, -(AN81-Uzman_D!$L$13), AN81-Uzman_D!$L$13)*2),0)/1 * 0.1), 0) +
    IF(AO81-Uzman_D!$M$13&lt;0, -(AO81-Uzman_D!$M$13), AO81-Uzman_D!$M$13)*1
)</f>
        <v>-0.30000000000000004</v>
      </c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75"/>
      <c r="BB81" s="75"/>
      <c r="BC81" s="73">
        <f>1 - (
    SUM(
        IF(AQ81-Uzman_D!$B$14&lt;0, -(AQ81-Uzman_D!$B$14), AQ81-Uzman_D!$B$14)*0.1 +
        IF(AR81-Uzman_D!$C$14&lt;0, -(AR81-Uzman_D!$C$14), AR81-Uzman_D!$C$14)*0.1 +
        IF(AS81-Uzman_D!$D$14&lt;0, -(AS81-Uzman_D!$D$14), AS81-Uzman_D!$D$14)*0.1 +
        IF(AT81-Uzman_D!$E$14&lt;0, -(AT81-Uzman_D!$E$14), AT81-Uzman_D!$E$14)*0.1 +
        IF(AU81-Uzman_D!$F$14&lt;0, -(AU81-Uzman_D!$F$14), AU81-Uzman_D!$F$14)*0.1 +
        IF(AV81-Uzman_D!$G$14&lt;0, -(AV81-Uzman_D!$G$14), AV81-Uzman_D!$G$14)*0.1 +
        IF(AW81-Uzman_D!$H$14&lt;0, -(AW81-Uzman_D!$H$14), AW81-Uzman_D!$H$14)*0.1 +
        IF(AX81-Uzman_D!$I$14&lt;0, -(AX81-Uzman_D!$I$14), AX81-Uzman_D!$I$14)*0.1 +
        IF(AY81-Uzman_D!$J$14&lt;0, -(AY81-Uzman_D!$J$14), AY81-Uzman_D!$J$14)*0.1
    ) +
    IF(ROUND((IF(BA81-Uzman_D!$L$14&lt;0, -(BA81-Uzman_D!$L$14), BA81-Uzman_D!$L$14)*2),0)/2 = IF(BA81-Uzman_D!$L$14&lt;0, -(BA81-Uzman_D!$L$14), BA81-Uzman_D!$L$14),
    (ROUND((IF(BA81-Uzman_D!$L$14&lt;0, -(BA81-Uzman_D!$L$14), BA81-Uzman_D!$L$14)*2),0)/1 * 0.1), 0) +
    IF(BB81-Uzman_D!$M$14&lt;0, -(BB81-Uzman_D!$M$14), BB81-Uzman_D!$M$14)*1
)</f>
        <v>-0.20000000000000018</v>
      </c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75"/>
      <c r="BO81" s="75"/>
      <c r="BP81" s="73">
        <f>1 - (
    SUM(
        IF(BD81-Uzman_D!$B$15&lt;0, -(BD81-Uzman_D!$B$15), BD81-Uzman_D!$B$15)*0.1 +
        IF(BE81-Uzman_D!$C$15&lt;0, -(BE81-Uzman_D!$C$15), BE81-Uzman_D!$C$15)*0.1 +
        IF(BF81-Uzman_D!$D$15&lt;0, -(BF81-Uzman_D!$D$15), BF81-Uzman_D!$D$15)*0.1 +
        IF(BG81-Uzman_D!$E$15&lt;0, -(BG81-Uzman_D!$E$15), BG81-Uzman_D!$E$15)*0.1 +
        IF(BH81-Uzman_D!$F$15&lt;0, -(BH81-Uzman_D!$F$15), BH81-Uzman_D!$F$15)*0.1 +
        IF(BI81-Uzman_D!$G$15&lt;0, -(BI81-Uzman_D!$G$15), BI81-Uzman_D!$G$15)*0.1 +
        IF(BJ81-Uzman_D!$H$15&lt;0, -(BJ81-Uzman_D!$H$15), BJ81-Uzman_D!$H$15)*0.1 +
        IF(BK81-Uzman_D!$I$15&lt;0, -(BK81-Uzman_D!$I$15), BK81-Uzman_D!$I$15)*0.1 +
        IF(BL81-Uzman_D!$J$15&lt;0, -(BL81-Uzman_D!$J$15), BL81-Uzman_D!$J$15)*0.1
    ) +
    IF(ROUND((IF(BN81-Uzman_D!$L$15&lt;0, -(BN81-Uzman_D!$L$15), BN81-Uzman_D!$L$15)*2),0)/2 = IF(BN81-Uzman_D!$L$15&lt;0, -(BN81-Uzman_D!$L$15), BN81-Uzman_D!$L$15),
    (ROUND((IF(BN81-Uzman_D!$L$15&lt;0, -(BN81-Uzman_D!$L$15), BN81-Uzman_D!$L$15)*2),0)/1 * 0.1), 0) +
    IF(BO81-Uzman_D!$M$15&lt;0, -(BO81-Uzman_D!$M$15), BO81-Uzman_D!$M$15)*1
)</f>
        <v>-0.60000000000000009</v>
      </c>
      <c r="BQ81" s="74">
        <f t="shared" si="1"/>
        <v>-0.32000000000000017</v>
      </c>
    </row>
    <row r="82" spans="1:69" ht="15" customHeight="1" x14ac:dyDescent="0.2">
      <c r="A82" s="57">
        <v>79</v>
      </c>
      <c r="B82" s="37">
        <f>Hakemler!B82</f>
        <v>0</v>
      </c>
      <c r="C82" s="37">
        <f>Hakemler!C82</f>
        <v>0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75"/>
      <c r="O82" s="75"/>
      <c r="P82" s="73">
        <f>1 - (
    SUM(
        IF(D82-Uzman_D!$B$11&lt;0, -(D82-Uzman_D!$B$11), D82-Uzman_D!$B$11)*0.1 +
        IF(E82-Uzman_D!$C$11&lt;0, -(E82-Uzman_D!$C$11), E82-Uzman_D!$C$11)*0.1 +
        IF(F82-Uzman_D!$D$11&lt;0, -(F82-Uzman_D!$D$11), F82-Uzman_D!$D$11)*0.1 +
        IF(G82-Uzman_D!$E$11&lt;0, -(G82-Uzman_D!$E$11), G82-Uzman_D!$E$11)*0.1 +
        IF(H82-Uzman_D!$F$11&lt;0, -(H82-Uzman_D!$F$11), H82-Uzman_D!$F$11)*0.1 +
        IF(I82-Uzman_D!$G$11&lt;0, -(I82-Uzman_D!$G$11), I82-Uzman_D!$G$11)*0.1 +
        IF(J82-Uzman_D!$H$11&lt;0, -(J82-Uzman_D!$H$11), J82-Uzman_D!$H$11)*0.1 +
        IF(K82-Uzman_D!$I$11&lt;0, -(K82-Uzman_D!$I$11), K82-Uzman_D!$I$11)*0.1 +
        IF(L82-Uzman_D!$J$11&lt;0, -(L82-Uzman_D!$J$11), L82-Uzman_D!$J$11)*0.1
    ) +
    IF(ROUND((IF(N82-Uzman_D!$L$11&lt;0, -(N82-Uzman_D!$L$11), N82-Uzman_D!$L$11)*2),0)/2 = IF(N82-Uzman_D!$L$11&lt;0, -(N82-Uzman_D!$L$11), N82-Uzman_D!$L$11),
    (ROUND((IF(N82-Uzman_D!$L$11&lt;0, -(N82-Uzman_D!$L$11), N82-Uzman_D!$L$11)*2),0)/1 * 0.1), 0) +
    IF(O82-Uzman_D!$M$11&lt;0, -(O82-Uzman_D!$M$11), O82-Uzman_D!$M$11)*1
)</f>
        <v>-0.30000000000000027</v>
      </c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75"/>
      <c r="AB82" s="75"/>
      <c r="AC82" s="73">
        <f>1 - (
    SUM(
        IF(Q82-Uzman_D!$B$12&lt;0, -(Q82-Uzman_D!$B$12), Q82-Uzman_D!$B$12)*0.1 +
        IF(R82-Uzman_D!$C$12&lt;0, -(R82-Uzman_D!$C$12), R82-Uzman_D!$C$12)*0.1 +
        IF(S82-Uzman_D!$D$12&lt;0, -(S82-Uzman_D!$D$12), S82-Uzman_D!$D$12)*0.1 +
        IF(T82-Uzman_D!$E$12&lt;0, -(T82-Uzman_D!$E$12), T82-Uzman_D!$E$12)*0.1 +
        IF(U82-Uzman_D!$F$12&lt;0, -(U82-Uzman_D!$F$12), U82-Uzman_D!$F$12)*0.1 +
        IF(V82-Uzman_D!$G$12&lt;0, -(V82-Uzman_D!$G$12), V82-Uzman_D!$G$12)*0.1 +
        IF(W82-Uzman_D!$H$12&lt;0, -(W82-Uzman_D!$H$12), W82-Uzman_D!$H$12)*0.1 +
        IF(X82-Uzman_D!$I$12&lt;0, -(X82-Uzman_D!$I$12), X82-Uzman_D!$I$12)*0.1 +
        IF(Y82-Uzman_D!$J$12&lt;0, -(Y82-Uzman_D!$J$12), Y82-Uzman_D!$J$12)*0.1
    ) +
    IF(ROUND((IF(AA82-Uzman_D!$L$12&lt;0, -(AA82-Uzman_D!$L$12), AA82-Uzman_D!$L$12)*2),0)/2 = IF(AA82-Uzman_D!$L$12&lt;0, -(AA82-Uzman_D!$L$12), AA82-Uzman_D!$L$12),
    (ROUND((IF(AA82-Uzman_D!$L$12&lt;0, -(AA82-Uzman_D!$L$12), AA82-Uzman_D!$L$12)*2),0)/1 * 0.1), 0) +
    IF(AB82-Uzman_D!$M$12&lt;0, -(AB82-Uzman_D!$M$12), AB82-Uzman_D!$M$12)*1
)</f>
        <v>-0.20000000000000018</v>
      </c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75"/>
      <c r="AO82" s="75"/>
      <c r="AP82" s="73">
        <f>1 - (
    SUM(
        IF(AD82-Uzman_D!$B$13&lt;0, -(AD82-Uzman_D!$B$13), AD82-Uzman_D!$B$13)*0.1 +
        IF(AE82-Uzman_D!$C$13&lt;0, -(AE82-Uzman_D!$C$13), AE82-Uzman_D!$C$13)*0.1 +
        IF(AF82-Uzman_D!$D$13&lt;0, -(AF82-Uzman_D!$D$13), AF82-Uzman_D!$D$13)*0.1 +
        IF(AG82-Uzman_D!$E$13&lt;0, -(AG82-Uzman_D!$E$13), AG82-Uzman_D!$E$13)*0.1 +
        IF(AH82-Uzman_D!$F$13&lt;0, -(AH82-Uzman_D!$F$13), AH82-Uzman_D!$F$13)*0.1 +
        IF(AI82-Uzman_D!$G$13&lt;0, -(AI82-Uzman_D!$G$13), AI82-Uzman_D!$G$13)*0.1 +
        IF(AJ82-Uzman_D!$H$13&lt;0, -(AJ82-Uzman_D!$H$13), AJ82-Uzman_D!$H$13)*0.1 +
        IF(AK82-Uzman_D!$I$13&lt;0, -(AK82-Uzman_D!$I$13), AK82-Uzman_D!$I$13)*0.1 +
        IF(AL82-Uzman_D!$J$13&lt;0, -(AL82-Uzman_D!$J$13), AL82-Uzman_D!$J$13)*0.1
    ) +
    IF(ROUND((IF(AN82-Uzman_D!$L$13&lt;0, -(AN82-Uzman_D!$L$13), AN82-Uzman_D!$L$13)*2),0)/2 = IF(AN82-Uzman_D!$L$13&lt;0, -(AN82-Uzman_D!$L$13), AN82-Uzman_D!$L$13),
    (ROUND((IF(AN82-Uzman_D!$L$13&lt;0, -(AN82-Uzman_D!$L$13), AN82-Uzman_D!$L$13)*2),0)/1 * 0.1), 0) +
    IF(AO82-Uzman_D!$M$13&lt;0, -(AO82-Uzman_D!$M$13), AO82-Uzman_D!$M$13)*1
)</f>
        <v>-0.30000000000000004</v>
      </c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75"/>
      <c r="BB82" s="75"/>
      <c r="BC82" s="73">
        <f>1 - (
    SUM(
        IF(AQ82-Uzman_D!$B$14&lt;0, -(AQ82-Uzman_D!$B$14), AQ82-Uzman_D!$B$14)*0.1 +
        IF(AR82-Uzman_D!$C$14&lt;0, -(AR82-Uzman_D!$C$14), AR82-Uzman_D!$C$14)*0.1 +
        IF(AS82-Uzman_D!$D$14&lt;0, -(AS82-Uzman_D!$D$14), AS82-Uzman_D!$D$14)*0.1 +
        IF(AT82-Uzman_D!$E$14&lt;0, -(AT82-Uzman_D!$E$14), AT82-Uzman_D!$E$14)*0.1 +
        IF(AU82-Uzman_D!$F$14&lt;0, -(AU82-Uzman_D!$F$14), AU82-Uzman_D!$F$14)*0.1 +
        IF(AV82-Uzman_D!$G$14&lt;0, -(AV82-Uzman_D!$G$14), AV82-Uzman_D!$G$14)*0.1 +
        IF(AW82-Uzman_D!$H$14&lt;0, -(AW82-Uzman_D!$H$14), AW82-Uzman_D!$H$14)*0.1 +
        IF(AX82-Uzman_D!$I$14&lt;0, -(AX82-Uzman_D!$I$14), AX82-Uzman_D!$I$14)*0.1 +
        IF(AY82-Uzman_D!$J$14&lt;0, -(AY82-Uzman_D!$J$14), AY82-Uzman_D!$J$14)*0.1
    ) +
    IF(ROUND((IF(BA82-Uzman_D!$L$14&lt;0, -(BA82-Uzman_D!$L$14), BA82-Uzman_D!$L$14)*2),0)/2 = IF(BA82-Uzman_D!$L$14&lt;0, -(BA82-Uzman_D!$L$14), BA82-Uzman_D!$L$14),
    (ROUND((IF(BA82-Uzman_D!$L$14&lt;0, -(BA82-Uzman_D!$L$14), BA82-Uzman_D!$L$14)*2),0)/1 * 0.1), 0) +
    IF(BB82-Uzman_D!$M$14&lt;0, -(BB82-Uzman_D!$M$14), BB82-Uzman_D!$M$14)*1
)</f>
        <v>-0.20000000000000018</v>
      </c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75"/>
      <c r="BO82" s="75"/>
      <c r="BP82" s="73">
        <f>1 - (
    SUM(
        IF(BD82-Uzman_D!$B$15&lt;0, -(BD82-Uzman_D!$B$15), BD82-Uzman_D!$B$15)*0.1 +
        IF(BE82-Uzman_D!$C$15&lt;0, -(BE82-Uzman_D!$C$15), BE82-Uzman_D!$C$15)*0.1 +
        IF(BF82-Uzman_D!$D$15&lt;0, -(BF82-Uzman_D!$D$15), BF82-Uzman_D!$D$15)*0.1 +
        IF(BG82-Uzman_D!$E$15&lt;0, -(BG82-Uzman_D!$E$15), BG82-Uzman_D!$E$15)*0.1 +
        IF(BH82-Uzman_D!$F$15&lt;0, -(BH82-Uzman_D!$F$15), BH82-Uzman_D!$F$15)*0.1 +
        IF(BI82-Uzman_D!$G$15&lt;0, -(BI82-Uzman_D!$G$15), BI82-Uzman_D!$G$15)*0.1 +
        IF(BJ82-Uzman_D!$H$15&lt;0, -(BJ82-Uzman_D!$H$15), BJ82-Uzman_D!$H$15)*0.1 +
        IF(BK82-Uzman_D!$I$15&lt;0, -(BK82-Uzman_D!$I$15), BK82-Uzman_D!$I$15)*0.1 +
        IF(BL82-Uzman_D!$J$15&lt;0, -(BL82-Uzman_D!$J$15), BL82-Uzman_D!$J$15)*0.1
    ) +
    IF(ROUND((IF(BN82-Uzman_D!$L$15&lt;0, -(BN82-Uzman_D!$L$15), BN82-Uzman_D!$L$15)*2),0)/2 = IF(BN82-Uzman_D!$L$15&lt;0, -(BN82-Uzman_D!$L$15), BN82-Uzman_D!$L$15),
    (ROUND((IF(BN82-Uzman_D!$L$15&lt;0, -(BN82-Uzman_D!$L$15), BN82-Uzman_D!$L$15)*2),0)/1 * 0.1), 0) +
    IF(BO82-Uzman_D!$M$15&lt;0, -(BO82-Uzman_D!$M$15), BO82-Uzman_D!$M$15)*1
)</f>
        <v>-0.60000000000000009</v>
      </c>
      <c r="BQ82" s="74">
        <f t="shared" si="1"/>
        <v>-0.32000000000000017</v>
      </c>
    </row>
    <row r="83" spans="1:69" ht="15" customHeight="1" x14ac:dyDescent="0.2">
      <c r="A83" s="57">
        <v>80</v>
      </c>
      <c r="B83" s="37">
        <f>Hakemler!B83</f>
        <v>0</v>
      </c>
      <c r="C83" s="37">
        <f>Hakemler!C83</f>
        <v>0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75"/>
      <c r="O83" s="75"/>
      <c r="P83" s="73">
        <f>1 - (
    SUM(
        IF(D83-Uzman_D!$B$11&lt;0, -(D83-Uzman_D!$B$11), D83-Uzman_D!$B$11)*0.1 +
        IF(E83-Uzman_D!$C$11&lt;0, -(E83-Uzman_D!$C$11), E83-Uzman_D!$C$11)*0.1 +
        IF(F83-Uzman_D!$D$11&lt;0, -(F83-Uzman_D!$D$11), F83-Uzman_D!$D$11)*0.1 +
        IF(G83-Uzman_D!$E$11&lt;0, -(G83-Uzman_D!$E$11), G83-Uzman_D!$E$11)*0.1 +
        IF(H83-Uzman_D!$F$11&lt;0, -(H83-Uzman_D!$F$11), H83-Uzman_D!$F$11)*0.1 +
        IF(I83-Uzman_D!$G$11&lt;0, -(I83-Uzman_D!$G$11), I83-Uzman_D!$G$11)*0.1 +
        IF(J83-Uzman_D!$H$11&lt;0, -(J83-Uzman_D!$H$11), J83-Uzman_D!$H$11)*0.1 +
        IF(K83-Uzman_D!$I$11&lt;0, -(K83-Uzman_D!$I$11), K83-Uzman_D!$I$11)*0.1 +
        IF(L83-Uzman_D!$J$11&lt;0, -(L83-Uzman_D!$J$11), L83-Uzman_D!$J$11)*0.1
    ) +
    IF(ROUND((IF(N83-Uzman_D!$L$11&lt;0, -(N83-Uzman_D!$L$11), N83-Uzman_D!$L$11)*2),0)/2 = IF(N83-Uzman_D!$L$11&lt;0, -(N83-Uzman_D!$L$11), N83-Uzman_D!$L$11),
    (ROUND((IF(N83-Uzman_D!$L$11&lt;0, -(N83-Uzman_D!$L$11), N83-Uzman_D!$L$11)*2),0)/1 * 0.1), 0) +
    IF(O83-Uzman_D!$M$11&lt;0, -(O83-Uzman_D!$M$11), O83-Uzman_D!$M$11)*1
)</f>
        <v>-0.30000000000000027</v>
      </c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75"/>
      <c r="AB83" s="75"/>
      <c r="AC83" s="73">
        <f>1 - (
    SUM(
        IF(Q83-Uzman_D!$B$12&lt;0, -(Q83-Uzman_D!$B$12), Q83-Uzman_D!$B$12)*0.1 +
        IF(R83-Uzman_D!$C$12&lt;0, -(R83-Uzman_D!$C$12), R83-Uzman_D!$C$12)*0.1 +
        IF(S83-Uzman_D!$D$12&lt;0, -(S83-Uzman_D!$D$12), S83-Uzman_D!$D$12)*0.1 +
        IF(T83-Uzman_D!$E$12&lt;0, -(T83-Uzman_D!$E$12), T83-Uzman_D!$E$12)*0.1 +
        IF(U83-Uzman_D!$F$12&lt;0, -(U83-Uzman_D!$F$12), U83-Uzman_D!$F$12)*0.1 +
        IF(V83-Uzman_D!$G$12&lt;0, -(V83-Uzman_D!$G$12), V83-Uzman_D!$G$12)*0.1 +
        IF(W83-Uzman_D!$H$12&lt;0, -(W83-Uzman_D!$H$12), W83-Uzman_D!$H$12)*0.1 +
        IF(X83-Uzman_D!$I$12&lt;0, -(X83-Uzman_D!$I$12), X83-Uzman_D!$I$12)*0.1 +
        IF(Y83-Uzman_D!$J$12&lt;0, -(Y83-Uzman_D!$J$12), Y83-Uzman_D!$J$12)*0.1
    ) +
    IF(ROUND((IF(AA83-Uzman_D!$L$12&lt;0, -(AA83-Uzman_D!$L$12), AA83-Uzman_D!$L$12)*2),0)/2 = IF(AA83-Uzman_D!$L$12&lt;0, -(AA83-Uzman_D!$L$12), AA83-Uzman_D!$L$12),
    (ROUND((IF(AA83-Uzman_D!$L$12&lt;0, -(AA83-Uzman_D!$L$12), AA83-Uzman_D!$L$12)*2),0)/1 * 0.1), 0) +
    IF(AB83-Uzman_D!$M$12&lt;0, -(AB83-Uzman_D!$M$12), AB83-Uzman_D!$M$12)*1
)</f>
        <v>-0.20000000000000018</v>
      </c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75"/>
      <c r="AO83" s="75"/>
      <c r="AP83" s="73">
        <f>1 - (
    SUM(
        IF(AD83-Uzman_D!$B$13&lt;0, -(AD83-Uzman_D!$B$13), AD83-Uzman_D!$B$13)*0.1 +
        IF(AE83-Uzman_D!$C$13&lt;0, -(AE83-Uzman_D!$C$13), AE83-Uzman_D!$C$13)*0.1 +
        IF(AF83-Uzman_D!$D$13&lt;0, -(AF83-Uzman_D!$D$13), AF83-Uzman_D!$D$13)*0.1 +
        IF(AG83-Uzman_D!$E$13&lt;0, -(AG83-Uzman_D!$E$13), AG83-Uzman_D!$E$13)*0.1 +
        IF(AH83-Uzman_D!$F$13&lt;0, -(AH83-Uzman_D!$F$13), AH83-Uzman_D!$F$13)*0.1 +
        IF(AI83-Uzman_D!$G$13&lt;0, -(AI83-Uzman_D!$G$13), AI83-Uzman_D!$G$13)*0.1 +
        IF(AJ83-Uzman_D!$H$13&lt;0, -(AJ83-Uzman_D!$H$13), AJ83-Uzman_D!$H$13)*0.1 +
        IF(AK83-Uzman_D!$I$13&lt;0, -(AK83-Uzman_D!$I$13), AK83-Uzman_D!$I$13)*0.1 +
        IF(AL83-Uzman_D!$J$13&lt;0, -(AL83-Uzman_D!$J$13), AL83-Uzman_D!$J$13)*0.1
    ) +
    IF(ROUND((IF(AN83-Uzman_D!$L$13&lt;0, -(AN83-Uzman_D!$L$13), AN83-Uzman_D!$L$13)*2),0)/2 = IF(AN83-Uzman_D!$L$13&lt;0, -(AN83-Uzman_D!$L$13), AN83-Uzman_D!$L$13),
    (ROUND((IF(AN83-Uzman_D!$L$13&lt;0, -(AN83-Uzman_D!$L$13), AN83-Uzman_D!$L$13)*2),0)/1 * 0.1), 0) +
    IF(AO83-Uzman_D!$M$13&lt;0, -(AO83-Uzman_D!$M$13), AO83-Uzman_D!$M$13)*1
)</f>
        <v>-0.30000000000000004</v>
      </c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75"/>
      <c r="BB83" s="75"/>
      <c r="BC83" s="73">
        <f>1 - (
    SUM(
        IF(AQ83-Uzman_D!$B$14&lt;0, -(AQ83-Uzman_D!$B$14), AQ83-Uzman_D!$B$14)*0.1 +
        IF(AR83-Uzman_D!$C$14&lt;0, -(AR83-Uzman_D!$C$14), AR83-Uzman_D!$C$14)*0.1 +
        IF(AS83-Uzman_D!$D$14&lt;0, -(AS83-Uzman_D!$D$14), AS83-Uzman_D!$D$14)*0.1 +
        IF(AT83-Uzman_D!$E$14&lt;0, -(AT83-Uzman_D!$E$14), AT83-Uzman_D!$E$14)*0.1 +
        IF(AU83-Uzman_D!$F$14&lt;0, -(AU83-Uzman_D!$F$14), AU83-Uzman_D!$F$14)*0.1 +
        IF(AV83-Uzman_D!$G$14&lt;0, -(AV83-Uzman_D!$G$14), AV83-Uzman_D!$G$14)*0.1 +
        IF(AW83-Uzman_D!$H$14&lt;0, -(AW83-Uzman_D!$H$14), AW83-Uzman_D!$H$14)*0.1 +
        IF(AX83-Uzman_D!$I$14&lt;0, -(AX83-Uzman_D!$I$14), AX83-Uzman_D!$I$14)*0.1 +
        IF(AY83-Uzman_D!$J$14&lt;0, -(AY83-Uzman_D!$J$14), AY83-Uzman_D!$J$14)*0.1
    ) +
    IF(ROUND((IF(BA83-Uzman_D!$L$14&lt;0, -(BA83-Uzman_D!$L$14), BA83-Uzman_D!$L$14)*2),0)/2 = IF(BA83-Uzman_D!$L$14&lt;0, -(BA83-Uzman_D!$L$14), BA83-Uzman_D!$L$14),
    (ROUND((IF(BA83-Uzman_D!$L$14&lt;0, -(BA83-Uzman_D!$L$14), BA83-Uzman_D!$L$14)*2),0)/1 * 0.1), 0) +
    IF(BB83-Uzman_D!$M$14&lt;0, -(BB83-Uzman_D!$M$14), BB83-Uzman_D!$M$14)*1
)</f>
        <v>-0.20000000000000018</v>
      </c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75"/>
      <c r="BO83" s="75"/>
      <c r="BP83" s="73">
        <f>1 - (
    SUM(
        IF(BD83-Uzman_D!$B$15&lt;0, -(BD83-Uzman_D!$B$15), BD83-Uzman_D!$B$15)*0.1 +
        IF(BE83-Uzman_D!$C$15&lt;0, -(BE83-Uzman_D!$C$15), BE83-Uzman_D!$C$15)*0.1 +
        IF(BF83-Uzman_D!$D$15&lt;0, -(BF83-Uzman_D!$D$15), BF83-Uzman_D!$D$15)*0.1 +
        IF(BG83-Uzman_D!$E$15&lt;0, -(BG83-Uzman_D!$E$15), BG83-Uzman_D!$E$15)*0.1 +
        IF(BH83-Uzman_D!$F$15&lt;0, -(BH83-Uzman_D!$F$15), BH83-Uzman_D!$F$15)*0.1 +
        IF(BI83-Uzman_D!$G$15&lt;0, -(BI83-Uzman_D!$G$15), BI83-Uzman_D!$G$15)*0.1 +
        IF(BJ83-Uzman_D!$H$15&lt;0, -(BJ83-Uzman_D!$H$15), BJ83-Uzman_D!$H$15)*0.1 +
        IF(BK83-Uzman_D!$I$15&lt;0, -(BK83-Uzman_D!$I$15), BK83-Uzman_D!$I$15)*0.1 +
        IF(BL83-Uzman_D!$J$15&lt;0, -(BL83-Uzman_D!$J$15), BL83-Uzman_D!$J$15)*0.1
    ) +
    IF(ROUND((IF(BN83-Uzman_D!$L$15&lt;0, -(BN83-Uzman_D!$L$15), BN83-Uzman_D!$L$15)*2),0)/2 = IF(BN83-Uzman_D!$L$15&lt;0, -(BN83-Uzman_D!$L$15), BN83-Uzman_D!$L$15),
    (ROUND((IF(BN83-Uzman_D!$L$15&lt;0, -(BN83-Uzman_D!$L$15), BN83-Uzman_D!$L$15)*2),0)/1 * 0.1), 0) +
    IF(BO83-Uzman_D!$M$15&lt;0, -(BO83-Uzman_D!$M$15), BO83-Uzman_D!$M$15)*1
)</f>
        <v>-0.60000000000000009</v>
      </c>
      <c r="BQ83" s="74">
        <f t="shared" si="1"/>
        <v>-0.32000000000000017</v>
      </c>
    </row>
    <row r="84" spans="1:69" ht="15" customHeight="1" x14ac:dyDescent="0.2">
      <c r="A84" s="57">
        <v>81</v>
      </c>
      <c r="B84" s="37">
        <f>Hakemler!B84</f>
        <v>0</v>
      </c>
      <c r="C84" s="37">
        <f>Hakemler!C84</f>
        <v>0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75"/>
      <c r="O84" s="75"/>
      <c r="P84" s="73">
        <f>1 - (
    SUM(
        IF(D84-Uzman_D!$B$11&lt;0, -(D84-Uzman_D!$B$11), D84-Uzman_D!$B$11)*0.1 +
        IF(E84-Uzman_D!$C$11&lt;0, -(E84-Uzman_D!$C$11), E84-Uzman_D!$C$11)*0.1 +
        IF(F84-Uzman_D!$D$11&lt;0, -(F84-Uzman_D!$D$11), F84-Uzman_D!$D$11)*0.1 +
        IF(G84-Uzman_D!$E$11&lt;0, -(G84-Uzman_D!$E$11), G84-Uzman_D!$E$11)*0.1 +
        IF(H84-Uzman_D!$F$11&lt;0, -(H84-Uzman_D!$F$11), H84-Uzman_D!$F$11)*0.1 +
        IF(I84-Uzman_D!$G$11&lt;0, -(I84-Uzman_D!$G$11), I84-Uzman_D!$G$11)*0.1 +
        IF(J84-Uzman_D!$H$11&lt;0, -(J84-Uzman_D!$H$11), J84-Uzman_D!$H$11)*0.1 +
        IF(K84-Uzman_D!$I$11&lt;0, -(K84-Uzman_D!$I$11), K84-Uzman_D!$I$11)*0.1 +
        IF(L84-Uzman_D!$J$11&lt;0, -(L84-Uzman_D!$J$11), L84-Uzman_D!$J$11)*0.1
    ) +
    IF(ROUND((IF(N84-Uzman_D!$L$11&lt;0, -(N84-Uzman_D!$L$11), N84-Uzman_D!$L$11)*2),0)/2 = IF(N84-Uzman_D!$L$11&lt;0, -(N84-Uzman_D!$L$11), N84-Uzman_D!$L$11),
    (ROUND((IF(N84-Uzman_D!$L$11&lt;0, -(N84-Uzman_D!$L$11), N84-Uzman_D!$L$11)*2),0)/1 * 0.1), 0) +
    IF(O84-Uzman_D!$M$11&lt;0, -(O84-Uzman_D!$M$11), O84-Uzman_D!$M$11)*1
)</f>
        <v>-0.30000000000000027</v>
      </c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75"/>
      <c r="AB84" s="75"/>
      <c r="AC84" s="73">
        <f>1 - (
    SUM(
        IF(Q84-Uzman_D!$B$12&lt;0, -(Q84-Uzman_D!$B$12), Q84-Uzman_D!$B$12)*0.1 +
        IF(R84-Uzman_D!$C$12&lt;0, -(R84-Uzman_D!$C$12), R84-Uzman_D!$C$12)*0.1 +
        IF(S84-Uzman_D!$D$12&lt;0, -(S84-Uzman_D!$D$12), S84-Uzman_D!$D$12)*0.1 +
        IF(T84-Uzman_D!$E$12&lt;0, -(T84-Uzman_D!$E$12), T84-Uzman_D!$E$12)*0.1 +
        IF(U84-Uzman_D!$F$12&lt;0, -(U84-Uzman_D!$F$12), U84-Uzman_D!$F$12)*0.1 +
        IF(V84-Uzman_D!$G$12&lt;0, -(V84-Uzman_D!$G$12), V84-Uzman_D!$G$12)*0.1 +
        IF(W84-Uzman_D!$H$12&lt;0, -(W84-Uzman_D!$H$12), W84-Uzman_D!$H$12)*0.1 +
        IF(X84-Uzman_D!$I$12&lt;0, -(X84-Uzman_D!$I$12), X84-Uzman_D!$I$12)*0.1 +
        IF(Y84-Uzman_D!$J$12&lt;0, -(Y84-Uzman_D!$J$12), Y84-Uzman_D!$J$12)*0.1
    ) +
    IF(ROUND((IF(AA84-Uzman_D!$L$12&lt;0, -(AA84-Uzman_D!$L$12), AA84-Uzman_D!$L$12)*2),0)/2 = IF(AA84-Uzman_D!$L$12&lt;0, -(AA84-Uzman_D!$L$12), AA84-Uzman_D!$L$12),
    (ROUND((IF(AA84-Uzman_D!$L$12&lt;0, -(AA84-Uzman_D!$L$12), AA84-Uzman_D!$L$12)*2),0)/1 * 0.1), 0) +
    IF(AB84-Uzman_D!$M$12&lt;0, -(AB84-Uzman_D!$M$12), AB84-Uzman_D!$M$12)*1
)</f>
        <v>-0.20000000000000018</v>
      </c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75"/>
      <c r="AO84" s="75"/>
      <c r="AP84" s="73">
        <f>1 - (
    SUM(
        IF(AD84-Uzman_D!$B$13&lt;0, -(AD84-Uzman_D!$B$13), AD84-Uzman_D!$B$13)*0.1 +
        IF(AE84-Uzman_D!$C$13&lt;0, -(AE84-Uzman_D!$C$13), AE84-Uzman_D!$C$13)*0.1 +
        IF(AF84-Uzman_D!$D$13&lt;0, -(AF84-Uzman_D!$D$13), AF84-Uzman_D!$D$13)*0.1 +
        IF(AG84-Uzman_D!$E$13&lt;0, -(AG84-Uzman_D!$E$13), AG84-Uzman_D!$E$13)*0.1 +
        IF(AH84-Uzman_D!$F$13&lt;0, -(AH84-Uzman_D!$F$13), AH84-Uzman_D!$F$13)*0.1 +
        IF(AI84-Uzman_D!$G$13&lt;0, -(AI84-Uzman_D!$G$13), AI84-Uzman_D!$G$13)*0.1 +
        IF(AJ84-Uzman_D!$H$13&lt;0, -(AJ84-Uzman_D!$H$13), AJ84-Uzman_D!$H$13)*0.1 +
        IF(AK84-Uzman_D!$I$13&lt;0, -(AK84-Uzman_D!$I$13), AK84-Uzman_D!$I$13)*0.1 +
        IF(AL84-Uzman_D!$J$13&lt;0, -(AL84-Uzman_D!$J$13), AL84-Uzman_D!$J$13)*0.1
    ) +
    IF(ROUND((IF(AN84-Uzman_D!$L$13&lt;0, -(AN84-Uzman_D!$L$13), AN84-Uzman_D!$L$13)*2),0)/2 = IF(AN84-Uzman_D!$L$13&lt;0, -(AN84-Uzman_D!$L$13), AN84-Uzman_D!$L$13),
    (ROUND((IF(AN84-Uzman_D!$L$13&lt;0, -(AN84-Uzman_D!$L$13), AN84-Uzman_D!$L$13)*2),0)/1 * 0.1), 0) +
    IF(AO84-Uzman_D!$M$13&lt;0, -(AO84-Uzman_D!$M$13), AO84-Uzman_D!$M$13)*1
)</f>
        <v>-0.30000000000000004</v>
      </c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75"/>
      <c r="BB84" s="75"/>
      <c r="BC84" s="73">
        <f>1 - (
    SUM(
        IF(AQ84-Uzman_D!$B$14&lt;0, -(AQ84-Uzman_D!$B$14), AQ84-Uzman_D!$B$14)*0.1 +
        IF(AR84-Uzman_D!$C$14&lt;0, -(AR84-Uzman_D!$C$14), AR84-Uzman_D!$C$14)*0.1 +
        IF(AS84-Uzman_D!$D$14&lt;0, -(AS84-Uzman_D!$D$14), AS84-Uzman_D!$D$14)*0.1 +
        IF(AT84-Uzman_D!$E$14&lt;0, -(AT84-Uzman_D!$E$14), AT84-Uzman_D!$E$14)*0.1 +
        IF(AU84-Uzman_D!$F$14&lt;0, -(AU84-Uzman_D!$F$14), AU84-Uzman_D!$F$14)*0.1 +
        IF(AV84-Uzman_D!$G$14&lt;0, -(AV84-Uzman_D!$G$14), AV84-Uzman_D!$G$14)*0.1 +
        IF(AW84-Uzman_D!$H$14&lt;0, -(AW84-Uzman_D!$H$14), AW84-Uzman_D!$H$14)*0.1 +
        IF(AX84-Uzman_D!$I$14&lt;0, -(AX84-Uzman_D!$I$14), AX84-Uzman_D!$I$14)*0.1 +
        IF(AY84-Uzman_D!$J$14&lt;0, -(AY84-Uzman_D!$J$14), AY84-Uzman_D!$J$14)*0.1
    ) +
    IF(ROUND((IF(BA84-Uzman_D!$L$14&lt;0, -(BA84-Uzman_D!$L$14), BA84-Uzman_D!$L$14)*2),0)/2 = IF(BA84-Uzman_D!$L$14&lt;0, -(BA84-Uzman_D!$L$14), BA84-Uzman_D!$L$14),
    (ROUND((IF(BA84-Uzman_D!$L$14&lt;0, -(BA84-Uzman_D!$L$14), BA84-Uzman_D!$L$14)*2),0)/1 * 0.1), 0) +
    IF(BB84-Uzman_D!$M$14&lt;0, -(BB84-Uzman_D!$M$14), BB84-Uzman_D!$M$14)*1
)</f>
        <v>-0.20000000000000018</v>
      </c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75"/>
      <c r="BO84" s="75"/>
      <c r="BP84" s="73">
        <f>1 - (
    SUM(
        IF(BD84-Uzman_D!$B$15&lt;0, -(BD84-Uzman_D!$B$15), BD84-Uzman_D!$B$15)*0.1 +
        IF(BE84-Uzman_D!$C$15&lt;0, -(BE84-Uzman_D!$C$15), BE84-Uzman_D!$C$15)*0.1 +
        IF(BF84-Uzman_D!$D$15&lt;0, -(BF84-Uzman_D!$D$15), BF84-Uzman_D!$D$15)*0.1 +
        IF(BG84-Uzman_D!$E$15&lt;0, -(BG84-Uzman_D!$E$15), BG84-Uzman_D!$E$15)*0.1 +
        IF(BH84-Uzman_D!$F$15&lt;0, -(BH84-Uzman_D!$F$15), BH84-Uzman_D!$F$15)*0.1 +
        IF(BI84-Uzman_D!$G$15&lt;0, -(BI84-Uzman_D!$G$15), BI84-Uzman_D!$G$15)*0.1 +
        IF(BJ84-Uzman_D!$H$15&lt;0, -(BJ84-Uzman_D!$H$15), BJ84-Uzman_D!$H$15)*0.1 +
        IF(BK84-Uzman_D!$I$15&lt;0, -(BK84-Uzman_D!$I$15), BK84-Uzman_D!$I$15)*0.1 +
        IF(BL84-Uzman_D!$J$15&lt;0, -(BL84-Uzman_D!$J$15), BL84-Uzman_D!$J$15)*0.1
    ) +
    IF(ROUND((IF(BN84-Uzman_D!$L$15&lt;0, -(BN84-Uzman_D!$L$15), BN84-Uzman_D!$L$15)*2),0)/2 = IF(BN84-Uzman_D!$L$15&lt;0, -(BN84-Uzman_D!$L$15), BN84-Uzman_D!$L$15),
    (ROUND((IF(BN84-Uzman_D!$L$15&lt;0, -(BN84-Uzman_D!$L$15), BN84-Uzman_D!$L$15)*2),0)/1 * 0.1), 0) +
    IF(BO84-Uzman_D!$M$15&lt;0, -(BO84-Uzman_D!$M$15), BO84-Uzman_D!$M$15)*1
)</f>
        <v>-0.60000000000000009</v>
      </c>
      <c r="BQ84" s="74">
        <f t="shared" si="1"/>
        <v>-0.32000000000000017</v>
      </c>
    </row>
    <row r="85" spans="1:69" ht="15" customHeight="1" x14ac:dyDescent="0.2">
      <c r="A85" s="57">
        <v>82</v>
      </c>
      <c r="B85" s="37">
        <f>Hakemler!B85</f>
        <v>0</v>
      </c>
      <c r="C85" s="37">
        <f>Hakemler!C85</f>
        <v>0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75"/>
      <c r="O85" s="75"/>
      <c r="P85" s="73">
        <f>1 - (
    SUM(
        IF(D85-Uzman_D!$B$11&lt;0, -(D85-Uzman_D!$B$11), D85-Uzman_D!$B$11)*0.1 +
        IF(E85-Uzman_D!$C$11&lt;0, -(E85-Uzman_D!$C$11), E85-Uzman_D!$C$11)*0.1 +
        IF(F85-Uzman_D!$D$11&lt;0, -(F85-Uzman_D!$D$11), F85-Uzman_D!$D$11)*0.1 +
        IF(G85-Uzman_D!$E$11&lt;0, -(G85-Uzman_D!$E$11), G85-Uzman_D!$E$11)*0.1 +
        IF(H85-Uzman_D!$F$11&lt;0, -(H85-Uzman_D!$F$11), H85-Uzman_D!$F$11)*0.1 +
        IF(I85-Uzman_D!$G$11&lt;0, -(I85-Uzman_D!$G$11), I85-Uzman_D!$G$11)*0.1 +
        IF(J85-Uzman_D!$H$11&lt;0, -(J85-Uzman_D!$H$11), J85-Uzman_D!$H$11)*0.1 +
        IF(K85-Uzman_D!$I$11&lt;0, -(K85-Uzman_D!$I$11), K85-Uzman_D!$I$11)*0.1 +
        IF(L85-Uzman_D!$J$11&lt;0, -(L85-Uzman_D!$J$11), L85-Uzman_D!$J$11)*0.1
    ) +
    IF(ROUND((IF(N85-Uzman_D!$L$11&lt;0, -(N85-Uzman_D!$L$11), N85-Uzman_D!$L$11)*2),0)/2 = IF(N85-Uzman_D!$L$11&lt;0, -(N85-Uzman_D!$L$11), N85-Uzman_D!$L$11),
    (ROUND((IF(N85-Uzman_D!$L$11&lt;0, -(N85-Uzman_D!$L$11), N85-Uzman_D!$L$11)*2),0)/1 * 0.1), 0) +
    IF(O85-Uzman_D!$M$11&lt;0, -(O85-Uzman_D!$M$11), O85-Uzman_D!$M$11)*1
)</f>
        <v>-0.30000000000000027</v>
      </c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75"/>
      <c r="AB85" s="75"/>
      <c r="AC85" s="73">
        <f>1 - (
    SUM(
        IF(Q85-Uzman_D!$B$12&lt;0, -(Q85-Uzman_D!$B$12), Q85-Uzman_D!$B$12)*0.1 +
        IF(R85-Uzman_D!$C$12&lt;0, -(R85-Uzman_D!$C$12), R85-Uzman_D!$C$12)*0.1 +
        IF(S85-Uzman_D!$D$12&lt;0, -(S85-Uzman_D!$D$12), S85-Uzman_D!$D$12)*0.1 +
        IF(T85-Uzman_D!$E$12&lt;0, -(T85-Uzman_D!$E$12), T85-Uzman_D!$E$12)*0.1 +
        IF(U85-Uzman_D!$F$12&lt;0, -(U85-Uzman_D!$F$12), U85-Uzman_D!$F$12)*0.1 +
        IF(V85-Uzman_D!$G$12&lt;0, -(V85-Uzman_D!$G$12), V85-Uzman_D!$G$12)*0.1 +
        IF(W85-Uzman_D!$H$12&lt;0, -(W85-Uzman_D!$H$12), W85-Uzman_D!$H$12)*0.1 +
        IF(X85-Uzman_D!$I$12&lt;0, -(X85-Uzman_D!$I$12), X85-Uzman_D!$I$12)*0.1 +
        IF(Y85-Uzman_D!$J$12&lt;0, -(Y85-Uzman_D!$J$12), Y85-Uzman_D!$J$12)*0.1
    ) +
    IF(ROUND((IF(AA85-Uzman_D!$L$12&lt;0, -(AA85-Uzman_D!$L$12), AA85-Uzman_D!$L$12)*2),0)/2 = IF(AA85-Uzman_D!$L$12&lt;0, -(AA85-Uzman_D!$L$12), AA85-Uzman_D!$L$12),
    (ROUND((IF(AA85-Uzman_D!$L$12&lt;0, -(AA85-Uzman_D!$L$12), AA85-Uzman_D!$L$12)*2),0)/1 * 0.1), 0) +
    IF(AB85-Uzman_D!$M$12&lt;0, -(AB85-Uzman_D!$M$12), AB85-Uzman_D!$M$12)*1
)</f>
        <v>-0.20000000000000018</v>
      </c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75"/>
      <c r="AO85" s="75"/>
      <c r="AP85" s="73">
        <f>1 - (
    SUM(
        IF(AD85-Uzman_D!$B$13&lt;0, -(AD85-Uzman_D!$B$13), AD85-Uzman_D!$B$13)*0.1 +
        IF(AE85-Uzman_D!$C$13&lt;0, -(AE85-Uzman_D!$C$13), AE85-Uzman_D!$C$13)*0.1 +
        IF(AF85-Uzman_D!$D$13&lt;0, -(AF85-Uzman_D!$D$13), AF85-Uzman_D!$D$13)*0.1 +
        IF(AG85-Uzman_D!$E$13&lt;0, -(AG85-Uzman_D!$E$13), AG85-Uzman_D!$E$13)*0.1 +
        IF(AH85-Uzman_D!$F$13&lt;0, -(AH85-Uzman_D!$F$13), AH85-Uzman_D!$F$13)*0.1 +
        IF(AI85-Uzman_D!$G$13&lt;0, -(AI85-Uzman_D!$G$13), AI85-Uzman_D!$G$13)*0.1 +
        IF(AJ85-Uzman_D!$H$13&lt;0, -(AJ85-Uzman_D!$H$13), AJ85-Uzman_D!$H$13)*0.1 +
        IF(AK85-Uzman_D!$I$13&lt;0, -(AK85-Uzman_D!$I$13), AK85-Uzman_D!$I$13)*0.1 +
        IF(AL85-Uzman_D!$J$13&lt;0, -(AL85-Uzman_D!$J$13), AL85-Uzman_D!$J$13)*0.1
    ) +
    IF(ROUND((IF(AN85-Uzman_D!$L$13&lt;0, -(AN85-Uzman_D!$L$13), AN85-Uzman_D!$L$13)*2),0)/2 = IF(AN85-Uzman_D!$L$13&lt;0, -(AN85-Uzman_D!$L$13), AN85-Uzman_D!$L$13),
    (ROUND((IF(AN85-Uzman_D!$L$13&lt;0, -(AN85-Uzman_D!$L$13), AN85-Uzman_D!$L$13)*2),0)/1 * 0.1), 0) +
    IF(AO85-Uzman_D!$M$13&lt;0, -(AO85-Uzman_D!$M$13), AO85-Uzman_D!$M$13)*1
)</f>
        <v>-0.30000000000000004</v>
      </c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75"/>
      <c r="BB85" s="75"/>
      <c r="BC85" s="73">
        <f>1 - (
    SUM(
        IF(AQ85-Uzman_D!$B$14&lt;0, -(AQ85-Uzman_D!$B$14), AQ85-Uzman_D!$B$14)*0.1 +
        IF(AR85-Uzman_D!$C$14&lt;0, -(AR85-Uzman_D!$C$14), AR85-Uzman_D!$C$14)*0.1 +
        IF(AS85-Uzman_D!$D$14&lt;0, -(AS85-Uzman_D!$D$14), AS85-Uzman_D!$D$14)*0.1 +
        IF(AT85-Uzman_D!$E$14&lt;0, -(AT85-Uzman_D!$E$14), AT85-Uzman_D!$E$14)*0.1 +
        IF(AU85-Uzman_D!$F$14&lt;0, -(AU85-Uzman_D!$F$14), AU85-Uzman_D!$F$14)*0.1 +
        IF(AV85-Uzman_D!$G$14&lt;0, -(AV85-Uzman_D!$G$14), AV85-Uzman_D!$G$14)*0.1 +
        IF(AW85-Uzman_D!$H$14&lt;0, -(AW85-Uzman_D!$H$14), AW85-Uzman_D!$H$14)*0.1 +
        IF(AX85-Uzman_D!$I$14&lt;0, -(AX85-Uzman_D!$I$14), AX85-Uzman_D!$I$14)*0.1 +
        IF(AY85-Uzman_D!$J$14&lt;0, -(AY85-Uzman_D!$J$14), AY85-Uzman_D!$J$14)*0.1
    ) +
    IF(ROUND((IF(BA85-Uzman_D!$L$14&lt;0, -(BA85-Uzman_D!$L$14), BA85-Uzman_D!$L$14)*2),0)/2 = IF(BA85-Uzman_D!$L$14&lt;0, -(BA85-Uzman_D!$L$14), BA85-Uzman_D!$L$14),
    (ROUND((IF(BA85-Uzman_D!$L$14&lt;0, -(BA85-Uzman_D!$L$14), BA85-Uzman_D!$L$14)*2),0)/1 * 0.1), 0) +
    IF(BB85-Uzman_D!$M$14&lt;0, -(BB85-Uzman_D!$M$14), BB85-Uzman_D!$M$14)*1
)</f>
        <v>-0.20000000000000018</v>
      </c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75"/>
      <c r="BO85" s="75"/>
      <c r="BP85" s="73">
        <f>1 - (
    SUM(
        IF(BD85-Uzman_D!$B$15&lt;0, -(BD85-Uzman_D!$B$15), BD85-Uzman_D!$B$15)*0.1 +
        IF(BE85-Uzman_D!$C$15&lt;0, -(BE85-Uzman_D!$C$15), BE85-Uzman_D!$C$15)*0.1 +
        IF(BF85-Uzman_D!$D$15&lt;0, -(BF85-Uzman_D!$D$15), BF85-Uzman_D!$D$15)*0.1 +
        IF(BG85-Uzman_D!$E$15&lt;0, -(BG85-Uzman_D!$E$15), BG85-Uzman_D!$E$15)*0.1 +
        IF(BH85-Uzman_D!$F$15&lt;0, -(BH85-Uzman_D!$F$15), BH85-Uzman_D!$F$15)*0.1 +
        IF(BI85-Uzman_D!$G$15&lt;0, -(BI85-Uzman_D!$G$15), BI85-Uzman_D!$G$15)*0.1 +
        IF(BJ85-Uzman_D!$H$15&lt;0, -(BJ85-Uzman_D!$H$15), BJ85-Uzman_D!$H$15)*0.1 +
        IF(BK85-Uzman_D!$I$15&lt;0, -(BK85-Uzman_D!$I$15), BK85-Uzman_D!$I$15)*0.1 +
        IF(BL85-Uzman_D!$J$15&lt;0, -(BL85-Uzman_D!$J$15), BL85-Uzman_D!$J$15)*0.1
    ) +
    IF(ROUND((IF(BN85-Uzman_D!$L$15&lt;0, -(BN85-Uzman_D!$L$15), BN85-Uzman_D!$L$15)*2),0)/2 = IF(BN85-Uzman_D!$L$15&lt;0, -(BN85-Uzman_D!$L$15), BN85-Uzman_D!$L$15),
    (ROUND((IF(BN85-Uzman_D!$L$15&lt;0, -(BN85-Uzman_D!$L$15), BN85-Uzman_D!$L$15)*2),0)/1 * 0.1), 0) +
    IF(BO85-Uzman_D!$M$15&lt;0, -(BO85-Uzman_D!$M$15), BO85-Uzman_D!$M$15)*1
)</f>
        <v>-0.60000000000000009</v>
      </c>
      <c r="BQ85" s="74">
        <f t="shared" si="1"/>
        <v>-0.32000000000000017</v>
      </c>
    </row>
    <row r="86" spans="1:69" ht="15" customHeight="1" x14ac:dyDescent="0.2">
      <c r="A86" s="57">
        <v>83</v>
      </c>
      <c r="B86" s="37">
        <f>Hakemler!B86</f>
        <v>0</v>
      </c>
      <c r="C86" s="37">
        <f>Hakemler!C86</f>
        <v>0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75"/>
      <c r="O86" s="75"/>
      <c r="P86" s="73">
        <f>1 - (
    SUM(
        IF(D86-Uzman_D!$B$11&lt;0, -(D86-Uzman_D!$B$11), D86-Uzman_D!$B$11)*0.1 +
        IF(E86-Uzman_D!$C$11&lt;0, -(E86-Uzman_D!$C$11), E86-Uzman_D!$C$11)*0.1 +
        IF(F86-Uzman_D!$D$11&lt;0, -(F86-Uzman_D!$D$11), F86-Uzman_D!$D$11)*0.1 +
        IF(G86-Uzman_D!$E$11&lt;0, -(G86-Uzman_D!$E$11), G86-Uzman_D!$E$11)*0.1 +
        IF(H86-Uzman_D!$F$11&lt;0, -(H86-Uzman_D!$F$11), H86-Uzman_D!$F$11)*0.1 +
        IF(I86-Uzman_D!$G$11&lt;0, -(I86-Uzman_D!$G$11), I86-Uzman_D!$G$11)*0.1 +
        IF(J86-Uzman_D!$H$11&lt;0, -(J86-Uzman_D!$H$11), J86-Uzman_D!$H$11)*0.1 +
        IF(K86-Uzman_D!$I$11&lt;0, -(K86-Uzman_D!$I$11), K86-Uzman_D!$I$11)*0.1 +
        IF(L86-Uzman_D!$J$11&lt;0, -(L86-Uzman_D!$J$11), L86-Uzman_D!$J$11)*0.1
    ) +
    IF(ROUND((IF(N86-Uzman_D!$L$11&lt;0, -(N86-Uzman_D!$L$11), N86-Uzman_D!$L$11)*2),0)/2 = IF(N86-Uzman_D!$L$11&lt;0, -(N86-Uzman_D!$L$11), N86-Uzman_D!$L$11),
    (ROUND((IF(N86-Uzman_D!$L$11&lt;0, -(N86-Uzman_D!$L$11), N86-Uzman_D!$L$11)*2),0)/1 * 0.1), 0) +
    IF(O86-Uzman_D!$M$11&lt;0, -(O86-Uzman_D!$M$11), O86-Uzman_D!$M$11)*1
)</f>
        <v>-0.30000000000000027</v>
      </c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75"/>
      <c r="AB86" s="75"/>
      <c r="AC86" s="73">
        <f>1 - (
    SUM(
        IF(Q86-Uzman_D!$B$12&lt;0, -(Q86-Uzman_D!$B$12), Q86-Uzman_D!$B$12)*0.1 +
        IF(R86-Uzman_D!$C$12&lt;0, -(R86-Uzman_D!$C$12), R86-Uzman_D!$C$12)*0.1 +
        IF(S86-Uzman_D!$D$12&lt;0, -(S86-Uzman_D!$D$12), S86-Uzman_D!$D$12)*0.1 +
        IF(T86-Uzman_D!$E$12&lt;0, -(T86-Uzman_D!$E$12), T86-Uzman_D!$E$12)*0.1 +
        IF(U86-Uzman_D!$F$12&lt;0, -(U86-Uzman_D!$F$12), U86-Uzman_D!$F$12)*0.1 +
        IF(V86-Uzman_D!$G$12&lt;0, -(V86-Uzman_D!$G$12), V86-Uzman_D!$G$12)*0.1 +
        IF(W86-Uzman_D!$H$12&lt;0, -(W86-Uzman_D!$H$12), W86-Uzman_D!$H$12)*0.1 +
        IF(X86-Uzman_D!$I$12&lt;0, -(X86-Uzman_D!$I$12), X86-Uzman_D!$I$12)*0.1 +
        IF(Y86-Uzman_D!$J$12&lt;0, -(Y86-Uzman_D!$J$12), Y86-Uzman_D!$J$12)*0.1
    ) +
    IF(ROUND((IF(AA86-Uzman_D!$L$12&lt;0, -(AA86-Uzman_D!$L$12), AA86-Uzman_D!$L$12)*2),0)/2 = IF(AA86-Uzman_D!$L$12&lt;0, -(AA86-Uzman_D!$L$12), AA86-Uzman_D!$L$12),
    (ROUND((IF(AA86-Uzman_D!$L$12&lt;0, -(AA86-Uzman_D!$L$12), AA86-Uzman_D!$L$12)*2),0)/1 * 0.1), 0) +
    IF(AB86-Uzman_D!$M$12&lt;0, -(AB86-Uzman_D!$M$12), AB86-Uzman_D!$M$12)*1
)</f>
        <v>-0.20000000000000018</v>
      </c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75"/>
      <c r="AO86" s="75"/>
      <c r="AP86" s="73">
        <f>1 - (
    SUM(
        IF(AD86-Uzman_D!$B$13&lt;0, -(AD86-Uzman_D!$B$13), AD86-Uzman_D!$B$13)*0.1 +
        IF(AE86-Uzman_D!$C$13&lt;0, -(AE86-Uzman_D!$C$13), AE86-Uzman_D!$C$13)*0.1 +
        IF(AF86-Uzman_D!$D$13&lt;0, -(AF86-Uzman_D!$D$13), AF86-Uzman_D!$D$13)*0.1 +
        IF(AG86-Uzman_D!$E$13&lt;0, -(AG86-Uzman_D!$E$13), AG86-Uzman_D!$E$13)*0.1 +
        IF(AH86-Uzman_D!$F$13&lt;0, -(AH86-Uzman_D!$F$13), AH86-Uzman_D!$F$13)*0.1 +
        IF(AI86-Uzman_D!$G$13&lt;0, -(AI86-Uzman_D!$G$13), AI86-Uzman_D!$G$13)*0.1 +
        IF(AJ86-Uzman_D!$H$13&lt;0, -(AJ86-Uzman_D!$H$13), AJ86-Uzman_D!$H$13)*0.1 +
        IF(AK86-Uzman_D!$I$13&lt;0, -(AK86-Uzman_D!$I$13), AK86-Uzman_D!$I$13)*0.1 +
        IF(AL86-Uzman_D!$J$13&lt;0, -(AL86-Uzman_D!$J$13), AL86-Uzman_D!$J$13)*0.1
    ) +
    IF(ROUND((IF(AN86-Uzman_D!$L$13&lt;0, -(AN86-Uzman_D!$L$13), AN86-Uzman_D!$L$13)*2),0)/2 = IF(AN86-Uzman_D!$L$13&lt;0, -(AN86-Uzman_D!$L$13), AN86-Uzman_D!$L$13),
    (ROUND((IF(AN86-Uzman_D!$L$13&lt;0, -(AN86-Uzman_D!$L$13), AN86-Uzman_D!$L$13)*2),0)/1 * 0.1), 0) +
    IF(AO86-Uzman_D!$M$13&lt;0, -(AO86-Uzman_D!$M$13), AO86-Uzman_D!$M$13)*1
)</f>
        <v>-0.30000000000000004</v>
      </c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75"/>
      <c r="BB86" s="75"/>
      <c r="BC86" s="73">
        <f>1 - (
    SUM(
        IF(AQ86-Uzman_D!$B$14&lt;0, -(AQ86-Uzman_D!$B$14), AQ86-Uzman_D!$B$14)*0.1 +
        IF(AR86-Uzman_D!$C$14&lt;0, -(AR86-Uzman_D!$C$14), AR86-Uzman_D!$C$14)*0.1 +
        IF(AS86-Uzman_D!$D$14&lt;0, -(AS86-Uzman_D!$D$14), AS86-Uzman_D!$D$14)*0.1 +
        IF(AT86-Uzman_D!$E$14&lt;0, -(AT86-Uzman_D!$E$14), AT86-Uzman_D!$E$14)*0.1 +
        IF(AU86-Uzman_D!$F$14&lt;0, -(AU86-Uzman_D!$F$14), AU86-Uzman_D!$F$14)*0.1 +
        IF(AV86-Uzman_D!$G$14&lt;0, -(AV86-Uzman_D!$G$14), AV86-Uzman_D!$G$14)*0.1 +
        IF(AW86-Uzman_D!$H$14&lt;0, -(AW86-Uzman_D!$H$14), AW86-Uzman_D!$H$14)*0.1 +
        IF(AX86-Uzman_D!$I$14&lt;0, -(AX86-Uzman_D!$I$14), AX86-Uzman_D!$I$14)*0.1 +
        IF(AY86-Uzman_D!$J$14&lt;0, -(AY86-Uzman_D!$J$14), AY86-Uzman_D!$J$14)*0.1
    ) +
    IF(ROUND((IF(BA86-Uzman_D!$L$14&lt;0, -(BA86-Uzman_D!$L$14), BA86-Uzman_D!$L$14)*2),0)/2 = IF(BA86-Uzman_D!$L$14&lt;0, -(BA86-Uzman_D!$L$14), BA86-Uzman_D!$L$14),
    (ROUND((IF(BA86-Uzman_D!$L$14&lt;0, -(BA86-Uzman_D!$L$14), BA86-Uzman_D!$L$14)*2),0)/1 * 0.1), 0) +
    IF(BB86-Uzman_D!$M$14&lt;0, -(BB86-Uzman_D!$M$14), BB86-Uzman_D!$M$14)*1
)</f>
        <v>-0.20000000000000018</v>
      </c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75"/>
      <c r="BO86" s="75"/>
      <c r="BP86" s="73">
        <f>1 - (
    SUM(
        IF(BD86-Uzman_D!$B$15&lt;0, -(BD86-Uzman_D!$B$15), BD86-Uzman_D!$B$15)*0.1 +
        IF(BE86-Uzman_D!$C$15&lt;0, -(BE86-Uzman_D!$C$15), BE86-Uzman_D!$C$15)*0.1 +
        IF(BF86-Uzman_D!$D$15&lt;0, -(BF86-Uzman_D!$D$15), BF86-Uzman_D!$D$15)*0.1 +
        IF(BG86-Uzman_D!$E$15&lt;0, -(BG86-Uzman_D!$E$15), BG86-Uzman_D!$E$15)*0.1 +
        IF(BH86-Uzman_D!$F$15&lt;0, -(BH86-Uzman_D!$F$15), BH86-Uzman_D!$F$15)*0.1 +
        IF(BI86-Uzman_D!$G$15&lt;0, -(BI86-Uzman_D!$G$15), BI86-Uzman_D!$G$15)*0.1 +
        IF(BJ86-Uzman_D!$H$15&lt;0, -(BJ86-Uzman_D!$H$15), BJ86-Uzman_D!$H$15)*0.1 +
        IF(BK86-Uzman_D!$I$15&lt;0, -(BK86-Uzman_D!$I$15), BK86-Uzman_D!$I$15)*0.1 +
        IF(BL86-Uzman_D!$J$15&lt;0, -(BL86-Uzman_D!$J$15), BL86-Uzman_D!$J$15)*0.1
    ) +
    IF(ROUND((IF(BN86-Uzman_D!$L$15&lt;0, -(BN86-Uzman_D!$L$15), BN86-Uzman_D!$L$15)*2),0)/2 = IF(BN86-Uzman_D!$L$15&lt;0, -(BN86-Uzman_D!$L$15), BN86-Uzman_D!$L$15),
    (ROUND((IF(BN86-Uzman_D!$L$15&lt;0, -(BN86-Uzman_D!$L$15), BN86-Uzman_D!$L$15)*2),0)/1 * 0.1), 0) +
    IF(BO86-Uzman_D!$M$15&lt;0, -(BO86-Uzman_D!$M$15), BO86-Uzman_D!$M$15)*1
)</f>
        <v>-0.60000000000000009</v>
      </c>
      <c r="BQ86" s="74">
        <f t="shared" si="1"/>
        <v>-0.32000000000000017</v>
      </c>
    </row>
    <row r="87" spans="1:69" ht="15" customHeight="1" x14ac:dyDescent="0.2">
      <c r="A87" s="57">
        <v>84</v>
      </c>
      <c r="B87" s="37">
        <f>Hakemler!B87</f>
        <v>0</v>
      </c>
      <c r="C87" s="37">
        <f>Hakemler!C87</f>
        <v>0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75"/>
      <c r="O87" s="75"/>
      <c r="P87" s="73">
        <f>1 - (
    SUM(
        IF(D87-Uzman_D!$B$11&lt;0, -(D87-Uzman_D!$B$11), D87-Uzman_D!$B$11)*0.1 +
        IF(E87-Uzman_D!$C$11&lt;0, -(E87-Uzman_D!$C$11), E87-Uzman_D!$C$11)*0.1 +
        IF(F87-Uzman_D!$D$11&lt;0, -(F87-Uzman_D!$D$11), F87-Uzman_D!$D$11)*0.1 +
        IF(G87-Uzman_D!$E$11&lt;0, -(G87-Uzman_D!$E$11), G87-Uzman_D!$E$11)*0.1 +
        IF(H87-Uzman_D!$F$11&lt;0, -(H87-Uzman_D!$F$11), H87-Uzman_D!$F$11)*0.1 +
        IF(I87-Uzman_D!$G$11&lt;0, -(I87-Uzman_D!$G$11), I87-Uzman_D!$G$11)*0.1 +
        IF(J87-Uzman_D!$H$11&lt;0, -(J87-Uzman_D!$H$11), J87-Uzman_D!$H$11)*0.1 +
        IF(K87-Uzman_D!$I$11&lt;0, -(K87-Uzman_D!$I$11), K87-Uzman_D!$I$11)*0.1 +
        IF(L87-Uzman_D!$J$11&lt;0, -(L87-Uzman_D!$J$11), L87-Uzman_D!$J$11)*0.1
    ) +
    IF(ROUND((IF(N87-Uzman_D!$L$11&lt;0, -(N87-Uzman_D!$L$11), N87-Uzman_D!$L$11)*2),0)/2 = IF(N87-Uzman_D!$L$11&lt;0, -(N87-Uzman_D!$L$11), N87-Uzman_D!$L$11),
    (ROUND((IF(N87-Uzman_D!$L$11&lt;0, -(N87-Uzman_D!$L$11), N87-Uzman_D!$L$11)*2),0)/1 * 0.1), 0) +
    IF(O87-Uzman_D!$M$11&lt;0, -(O87-Uzman_D!$M$11), O87-Uzman_D!$M$11)*1
)</f>
        <v>-0.30000000000000027</v>
      </c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75"/>
      <c r="AB87" s="75"/>
      <c r="AC87" s="73">
        <f>1 - (
    SUM(
        IF(Q87-Uzman_D!$B$12&lt;0, -(Q87-Uzman_D!$B$12), Q87-Uzman_D!$B$12)*0.1 +
        IF(R87-Uzman_D!$C$12&lt;0, -(R87-Uzman_D!$C$12), R87-Uzman_D!$C$12)*0.1 +
        IF(S87-Uzman_D!$D$12&lt;0, -(S87-Uzman_D!$D$12), S87-Uzman_D!$D$12)*0.1 +
        IF(T87-Uzman_D!$E$12&lt;0, -(T87-Uzman_D!$E$12), T87-Uzman_D!$E$12)*0.1 +
        IF(U87-Uzman_D!$F$12&lt;0, -(U87-Uzman_D!$F$12), U87-Uzman_D!$F$12)*0.1 +
        IF(V87-Uzman_D!$G$12&lt;0, -(V87-Uzman_D!$G$12), V87-Uzman_D!$G$12)*0.1 +
        IF(W87-Uzman_D!$H$12&lt;0, -(W87-Uzman_D!$H$12), W87-Uzman_D!$H$12)*0.1 +
        IF(X87-Uzman_D!$I$12&lt;0, -(X87-Uzman_D!$I$12), X87-Uzman_D!$I$12)*0.1 +
        IF(Y87-Uzman_D!$J$12&lt;0, -(Y87-Uzman_D!$J$12), Y87-Uzman_D!$J$12)*0.1
    ) +
    IF(ROUND((IF(AA87-Uzman_D!$L$12&lt;0, -(AA87-Uzman_D!$L$12), AA87-Uzman_D!$L$12)*2),0)/2 = IF(AA87-Uzman_D!$L$12&lt;0, -(AA87-Uzman_D!$L$12), AA87-Uzman_D!$L$12),
    (ROUND((IF(AA87-Uzman_D!$L$12&lt;0, -(AA87-Uzman_D!$L$12), AA87-Uzman_D!$L$12)*2),0)/1 * 0.1), 0) +
    IF(AB87-Uzman_D!$M$12&lt;0, -(AB87-Uzman_D!$M$12), AB87-Uzman_D!$M$12)*1
)</f>
        <v>-0.20000000000000018</v>
      </c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75"/>
      <c r="AO87" s="75"/>
      <c r="AP87" s="73">
        <f>1 - (
    SUM(
        IF(AD87-Uzman_D!$B$13&lt;0, -(AD87-Uzman_D!$B$13), AD87-Uzman_D!$B$13)*0.1 +
        IF(AE87-Uzman_D!$C$13&lt;0, -(AE87-Uzman_D!$C$13), AE87-Uzman_D!$C$13)*0.1 +
        IF(AF87-Uzman_D!$D$13&lt;0, -(AF87-Uzman_D!$D$13), AF87-Uzman_D!$D$13)*0.1 +
        IF(AG87-Uzman_D!$E$13&lt;0, -(AG87-Uzman_D!$E$13), AG87-Uzman_D!$E$13)*0.1 +
        IF(AH87-Uzman_D!$F$13&lt;0, -(AH87-Uzman_D!$F$13), AH87-Uzman_D!$F$13)*0.1 +
        IF(AI87-Uzman_D!$G$13&lt;0, -(AI87-Uzman_D!$G$13), AI87-Uzman_D!$G$13)*0.1 +
        IF(AJ87-Uzman_D!$H$13&lt;0, -(AJ87-Uzman_D!$H$13), AJ87-Uzman_D!$H$13)*0.1 +
        IF(AK87-Uzman_D!$I$13&lt;0, -(AK87-Uzman_D!$I$13), AK87-Uzman_D!$I$13)*0.1 +
        IF(AL87-Uzman_D!$J$13&lt;0, -(AL87-Uzman_D!$J$13), AL87-Uzman_D!$J$13)*0.1
    ) +
    IF(ROUND((IF(AN87-Uzman_D!$L$13&lt;0, -(AN87-Uzman_D!$L$13), AN87-Uzman_D!$L$13)*2),0)/2 = IF(AN87-Uzman_D!$L$13&lt;0, -(AN87-Uzman_D!$L$13), AN87-Uzman_D!$L$13),
    (ROUND((IF(AN87-Uzman_D!$L$13&lt;0, -(AN87-Uzman_D!$L$13), AN87-Uzman_D!$L$13)*2),0)/1 * 0.1), 0) +
    IF(AO87-Uzman_D!$M$13&lt;0, -(AO87-Uzman_D!$M$13), AO87-Uzman_D!$M$13)*1
)</f>
        <v>-0.30000000000000004</v>
      </c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75"/>
      <c r="BB87" s="75"/>
      <c r="BC87" s="73">
        <f>1 - (
    SUM(
        IF(AQ87-Uzman_D!$B$14&lt;0, -(AQ87-Uzman_D!$B$14), AQ87-Uzman_D!$B$14)*0.1 +
        IF(AR87-Uzman_D!$C$14&lt;0, -(AR87-Uzman_D!$C$14), AR87-Uzman_D!$C$14)*0.1 +
        IF(AS87-Uzman_D!$D$14&lt;0, -(AS87-Uzman_D!$D$14), AS87-Uzman_D!$D$14)*0.1 +
        IF(AT87-Uzman_D!$E$14&lt;0, -(AT87-Uzman_D!$E$14), AT87-Uzman_D!$E$14)*0.1 +
        IF(AU87-Uzman_D!$F$14&lt;0, -(AU87-Uzman_D!$F$14), AU87-Uzman_D!$F$14)*0.1 +
        IF(AV87-Uzman_D!$G$14&lt;0, -(AV87-Uzman_D!$G$14), AV87-Uzman_D!$G$14)*0.1 +
        IF(AW87-Uzman_D!$H$14&lt;0, -(AW87-Uzman_D!$H$14), AW87-Uzman_D!$H$14)*0.1 +
        IF(AX87-Uzman_D!$I$14&lt;0, -(AX87-Uzman_D!$I$14), AX87-Uzman_D!$I$14)*0.1 +
        IF(AY87-Uzman_D!$J$14&lt;0, -(AY87-Uzman_D!$J$14), AY87-Uzman_D!$J$14)*0.1
    ) +
    IF(ROUND((IF(BA87-Uzman_D!$L$14&lt;0, -(BA87-Uzman_D!$L$14), BA87-Uzman_D!$L$14)*2),0)/2 = IF(BA87-Uzman_D!$L$14&lt;0, -(BA87-Uzman_D!$L$14), BA87-Uzman_D!$L$14),
    (ROUND((IF(BA87-Uzman_D!$L$14&lt;0, -(BA87-Uzman_D!$L$14), BA87-Uzman_D!$L$14)*2),0)/1 * 0.1), 0) +
    IF(BB87-Uzman_D!$M$14&lt;0, -(BB87-Uzman_D!$M$14), BB87-Uzman_D!$M$14)*1
)</f>
        <v>-0.20000000000000018</v>
      </c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75"/>
      <c r="BO87" s="75"/>
      <c r="BP87" s="73">
        <f>1 - (
    SUM(
        IF(BD87-Uzman_D!$B$15&lt;0, -(BD87-Uzman_D!$B$15), BD87-Uzman_D!$B$15)*0.1 +
        IF(BE87-Uzman_D!$C$15&lt;0, -(BE87-Uzman_D!$C$15), BE87-Uzman_D!$C$15)*0.1 +
        IF(BF87-Uzman_D!$D$15&lt;0, -(BF87-Uzman_D!$D$15), BF87-Uzman_D!$D$15)*0.1 +
        IF(BG87-Uzman_D!$E$15&lt;0, -(BG87-Uzman_D!$E$15), BG87-Uzman_D!$E$15)*0.1 +
        IF(BH87-Uzman_D!$F$15&lt;0, -(BH87-Uzman_D!$F$15), BH87-Uzman_D!$F$15)*0.1 +
        IF(BI87-Uzman_D!$G$15&lt;0, -(BI87-Uzman_D!$G$15), BI87-Uzman_D!$G$15)*0.1 +
        IF(BJ87-Uzman_D!$H$15&lt;0, -(BJ87-Uzman_D!$H$15), BJ87-Uzman_D!$H$15)*0.1 +
        IF(BK87-Uzman_D!$I$15&lt;0, -(BK87-Uzman_D!$I$15), BK87-Uzman_D!$I$15)*0.1 +
        IF(BL87-Uzman_D!$J$15&lt;0, -(BL87-Uzman_D!$J$15), BL87-Uzman_D!$J$15)*0.1
    ) +
    IF(ROUND((IF(BN87-Uzman_D!$L$15&lt;0, -(BN87-Uzman_D!$L$15), BN87-Uzman_D!$L$15)*2),0)/2 = IF(BN87-Uzman_D!$L$15&lt;0, -(BN87-Uzman_D!$L$15), BN87-Uzman_D!$L$15),
    (ROUND((IF(BN87-Uzman_D!$L$15&lt;0, -(BN87-Uzman_D!$L$15), BN87-Uzman_D!$L$15)*2),0)/1 * 0.1), 0) +
    IF(BO87-Uzman_D!$M$15&lt;0, -(BO87-Uzman_D!$M$15), BO87-Uzman_D!$M$15)*1
)</f>
        <v>-0.60000000000000009</v>
      </c>
      <c r="BQ87" s="74">
        <f t="shared" si="1"/>
        <v>-0.32000000000000017</v>
      </c>
    </row>
    <row r="88" spans="1:69" ht="15" customHeight="1" x14ac:dyDescent="0.2">
      <c r="A88" s="57">
        <v>85</v>
      </c>
      <c r="B88" s="37">
        <f>Hakemler!B88</f>
        <v>0</v>
      </c>
      <c r="C88" s="37">
        <f>Hakemler!C88</f>
        <v>0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75"/>
      <c r="O88" s="75"/>
      <c r="P88" s="73">
        <f>1 - (
    SUM(
        IF(D88-Uzman_D!$B$11&lt;0, -(D88-Uzman_D!$B$11), D88-Uzman_D!$B$11)*0.1 +
        IF(E88-Uzman_D!$C$11&lt;0, -(E88-Uzman_D!$C$11), E88-Uzman_D!$C$11)*0.1 +
        IF(F88-Uzman_D!$D$11&lt;0, -(F88-Uzman_D!$D$11), F88-Uzman_D!$D$11)*0.1 +
        IF(G88-Uzman_D!$E$11&lt;0, -(G88-Uzman_D!$E$11), G88-Uzman_D!$E$11)*0.1 +
        IF(H88-Uzman_D!$F$11&lt;0, -(H88-Uzman_D!$F$11), H88-Uzman_D!$F$11)*0.1 +
        IF(I88-Uzman_D!$G$11&lt;0, -(I88-Uzman_D!$G$11), I88-Uzman_D!$G$11)*0.1 +
        IF(J88-Uzman_D!$H$11&lt;0, -(J88-Uzman_D!$H$11), J88-Uzman_D!$H$11)*0.1 +
        IF(K88-Uzman_D!$I$11&lt;0, -(K88-Uzman_D!$I$11), K88-Uzman_D!$I$11)*0.1 +
        IF(L88-Uzman_D!$J$11&lt;0, -(L88-Uzman_D!$J$11), L88-Uzman_D!$J$11)*0.1
    ) +
    IF(ROUND((IF(N88-Uzman_D!$L$11&lt;0, -(N88-Uzman_D!$L$11), N88-Uzman_D!$L$11)*2),0)/2 = IF(N88-Uzman_D!$L$11&lt;0, -(N88-Uzman_D!$L$11), N88-Uzman_D!$L$11),
    (ROUND((IF(N88-Uzman_D!$L$11&lt;0, -(N88-Uzman_D!$L$11), N88-Uzman_D!$L$11)*2),0)/1 * 0.1), 0) +
    IF(O88-Uzman_D!$M$11&lt;0, -(O88-Uzman_D!$M$11), O88-Uzman_D!$M$11)*1
)</f>
        <v>-0.30000000000000027</v>
      </c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75"/>
      <c r="AB88" s="75"/>
      <c r="AC88" s="73">
        <f>1 - (
    SUM(
        IF(Q88-Uzman_D!$B$12&lt;0, -(Q88-Uzman_D!$B$12), Q88-Uzman_D!$B$12)*0.1 +
        IF(R88-Uzman_D!$C$12&lt;0, -(R88-Uzman_D!$C$12), R88-Uzman_D!$C$12)*0.1 +
        IF(S88-Uzman_D!$D$12&lt;0, -(S88-Uzman_D!$D$12), S88-Uzman_D!$D$12)*0.1 +
        IF(T88-Uzman_D!$E$12&lt;0, -(T88-Uzman_D!$E$12), T88-Uzman_D!$E$12)*0.1 +
        IF(U88-Uzman_D!$F$12&lt;0, -(U88-Uzman_D!$F$12), U88-Uzman_D!$F$12)*0.1 +
        IF(V88-Uzman_D!$G$12&lt;0, -(V88-Uzman_D!$G$12), V88-Uzman_D!$G$12)*0.1 +
        IF(W88-Uzman_D!$H$12&lt;0, -(W88-Uzman_D!$H$12), W88-Uzman_D!$H$12)*0.1 +
        IF(X88-Uzman_D!$I$12&lt;0, -(X88-Uzman_D!$I$12), X88-Uzman_D!$I$12)*0.1 +
        IF(Y88-Uzman_D!$J$12&lt;0, -(Y88-Uzman_D!$J$12), Y88-Uzman_D!$J$12)*0.1
    ) +
    IF(ROUND((IF(AA88-Uzman_D!$L$12&lt;0, -(AA88-Uzman_D!$L$12), AA88-Uzman_D!$L$12)*2),0)/2 = IF(AA88-Uzman_D!$L$12&lt;0, -(AA88-Uzman_D!$L$12), AA88-Uzman_D!$L$12),
    (ROUND((IF(AA88-Uzman_D!$L$12&lt;0, -(AA88-Uzman_D!$L$12), AA88-Uzman_D!$L$12)*2),0)/1 * 0.1), 0) +
    IF(AB88-Uzman_D!$M$12&lt;0, -(AB88-Uzman_D!$M$12), AB88-Uzman_D!$M$12)*1
)</f>
        <v>-0.20000000000000018</v>
      </c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75"/>
      <c r="AO88" s="75"/>
      <c r="AP88" s="73">
        <f>1 - (
    SUM(
        IF(AD88-Uzman_D!$B$13&lt;0, -(AD88-Uzman_D!$B$13), AD88-Uzman_D!$B$13)*0.1 +
        IF(AE88-Uzman_D!$C$13&lt;0, -(AE88-Uzman_D!$C$13), AE88-Uzman_D!$C$13)*0.1 +
        IF(AF88-Uzman_D!$D$13&lt;0, -(AF88-Uzman_D!$D$13), AF88-Uzman_D!$D$13)*0.1 +
        IF(AG88-Uzman_D!$E$13&lt;0, -(AG88-Uzman_D!$E$13), AG88-Uzman_D!$E$13)*0.1 +
        IF(AH88-Uzman_D!$F$13&lt;0, -(AH88-Uzman_D!$F$13), AH88-Uzman_D!$F$13)*0.1 +
        IF(AI88-Uzman_D!$G$13&lt;0, -(AI88-Uzman_D!$G$13), AI88-Uzman_D!$G$13)*0.1 +
        IF(AJ88-Uzman_D!$H$13&lt;0, -(AJ88-Uzman_D!$H$13), AJ88-Uzman_D!$H$13)*0.1 +
        IF(AK88-Uzman_D!$I$13&lt;0, -(AK88-Uzman_D!$I$13), AK88-Uzman_D!$I$13)*0.1 +
        IF(AL88-Uzman_D!$J$13&lt;0, -(AL88-Uzman_D!$J$13), AL88-Uzman_D!$J$13)*0.1
    ) +
    IF(ROUND((IF(AN88-Uzman_D!$L$13&lt;0, -(AN88-Uzman_D!$L$13), AN88-Uzman_D!$L$13)*2),0)/2 = IF(AN88-Uzman_D!$L$13&lt;0, -(AN88-Uzman_D!$L$13), AN88-Uzman_D!$L$13),
    (ROUND((IF(AN88-Uzman_D!$L$13&lt;0, -(AN88-Uzman_D!$L$13), AN88-Uzman_D!$L$13)*2),0)/1 * 0.1), 0) +
    IF(AO88-Uzman_D!$M$13&lt;0, -(AO88-Uzman_D!$M$13), AO88-Uzman_D!$M$13)*1
)</f>
        <v>-0.30000000000000004</v>
      </c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75"/>
      <c r="BB88" s="75"/>
      <c r="BC88" s="73">
        <f>1 - (
    SUM(
        IF(AQ88-Uzman_D!$B$14&lt;0, -(AQ88-Uzman_D!$B$14), AQ88-Uzman_D!$B$14)*0.1 +
        IF(AR88-Uzman_D!$C$14&lt;0, -(AR88-Uzman_D!$C$14), AR88-Uzman_D!$C$14)*0.1 +
        IF(AS88-Uzman_D!$D$14&lt;0, -(AS88-Uzman_D!$D$14), AS88-Uzman_D!$D$14)*0.1 +
        IF(AT88-Uzman_D!$E$14&lt;0, -(AT88-Uzman_D!$E$14), AT88-Uzman_D!$E$14)*0.1 +
        IF(AU88-Uzman_D!$F$14&lt;0, -(AU88-Uzman_D!$F$14), AU88-Uzman_D!$F$14)*0.1 +
        IF(AV88-Uzman_D!$G$14&lt;0, -(AV88-Uzman_D!$G$14), AV88-Uzman_D!$G$14)*0.1 +
        IF(AW88-Uzman_D!$H$14&lt;0, -(AW88-Uzman_D!$H$14), AW88-Uzman_D!$H$14)*0.1 +
        IF(AX88-Uzman_D!$I$14&lt;0, -(AX88-Uzman_D!$I$14), AX88-Uzman_D!$I$14)*0.1 +
        IF(AY88-Uzman_D!$J$14&lt;0, -(AY88-Uzman_D!$J$14), AY88-Uzman_D!$J$14)*0.1
    ) +
    IF(ROUND((IF(BA88-Uzman_D!$L$14&lt;0, -(BA88-Uzman_D!$L$14), BA88-Uzman_D!$L$14)*2),0)/2 = IF(BA88-Uzman_D!$L$14&lt;0, -(BA88-Uzman_D!$L$14), BA88-Uzman_D!$L$14),
    (ROUND((IF(BA88-Uzman_D!$L$14&lt;0, -(BA88-Uzman_D!$L$14), BA88-Uzman_D!$L$14)*2),0)/1 * 0.1), 0) +
    IF(BB88-Uzman_D!$M$14&lt;0, -(BB88-Uzman_D!$M$14), BB88-Uzman_D!$M$14)*1
)</f>
        <v>-0.20000000000000018</v>
      </c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75"/>
      <c r="BO88" s="75"/>
      <c r="BP88" s="73">
        <f>1 - (
    SUM(
        IF(BD88-Uzman_D!$B$15&lt;0, -(BD88-Uzman_D!$B$15), BD88-Uzman_D!$B$15)*0.1 +
        IF(BE88-Uzman_D!$C$15&lt;0, -(BE88-Uzman_D!$C$15), BE88-Uzman_D!$C$15)*0.1 +
        IF(BF88-Uzman_D!$D$15&lt;0, -(BF88-Uzman_D!$D$15), BF88-Uzman_D!$D$15)*0.1 +
        IF(BG88-Uzman_D!$E$15&lt;0, -(BG88-Uzman_D!$E$15), BG88-Uzman_D!$E$15)*0.1 +
        IF(BH88-Uzman_D!$F$15&lt;0, -(BH88-Uzman_D!$F$15), BH88-Uzman_D!$F$15)*0.1 +
        IF(BI88-Uzman_D!$G$15&lt;0, -(BI88-Uzman_D!$G$15), BI88-Uzman_D!$G$15)*0.1 +
        IF(BJ88-Uzman_D!$H$15&lt;0, -(BJ88-Uzman_D!$H$15), BJ88-Uzman_D!$H$15)*0.1 +
        IF(BK88-Uzman_D!$I$15&lt;0, -(BK88-Uzman_D!$I$15), BK88-Uzman_D!$I$15)*0.1 +
        IF(BL88-Uzman_D!$J$15&lt;0, -(BL88-Uzman_D!$J$15), BL88-Uzman_D!$J$15)*0.1
    ) +
    IF(ROUND((IF(BN88-Uzman_D!$L$15&lt;0, -(BN88-Uzman_D!$L$15), BN88-Uzman_D!$L$15)*2),0)/2 = IF(BN88-Uzman_D!$L$15&lt;0, -(BN88-Uzman_D!$L$15), BN88-Uzman_D!$L$15),
    (ROUND((IF(BN88-Uzman_D!$L$15&lt;0, -(BN88-Uzman_D!$L$15), BN88-Uzman_D!$L$15)*2),0)/1 * 0.1), 0) +
    IF(BO88-Uzman_D!$M$15&lt;0, -(BO88-Uzman_D!$M$15), BO88-Uzman_D!$M$15)*1
)</f>
        <v>-0.60000000000000009</v>
      </c>
      <c r="BQ88" s="74">
        <f t="shared" si="1"/>
        <v>-0.32000000000000017</v>
      </c>
    </row>
    <row r="89" spans="1:69" ht="15" customHeight="1" x14ac:dyDescent="0.2">
      <c r="A89" s="57">
        <v>86</v>
      </c>
      <c r="B89" s="37">
        <f>Hakemler!B89</f>
        <v>0</v>
      </c>
      <c r="C89" s="37">
        <f>Hakemler!C89</f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75"/>
      <c r="O89" s="75"/>
      <c r="P89" s="73">
        <f>1 - (
    SUM(
        IF(D89-Uzman_D!$B$11&lt;0, -(D89-Uzman_D!$B$11), D89-Uzman_D!$B$11)*0.1 +
        IF(E89-Uzman_D!$C$11&lt;0, -(E89-Uzman_D!$C$11), E89-Uzman_D!$C$11)*0.1 +
        IF(F89-Uzman_D!$D$11&lt;0, -(F89-Uzman_D!$D$11), F89-Uzman_D!$D$11)*0.1 +
        IF(G89-Uzman_D!$E$11&lt;0, -(G89-Uzman_D!$E$11), G89-Uzman_D!$E$11)*0.1 +
        IF(H89-Uzman_D!$F$11&lt;0, -(H89-Uzman_D!$F$11), H89-Uzman_D!$F$11)*0.1 +
        IF(I89-Uzman_D!$G$11&lt;0, -(I89-Uzman_D!$G$11), I89-Uzman_D!$G$11)*0.1 +
        IF(J89-Uzman_D!$H$11&lt;0, -(J89-Uzman_D!$H$11), J89-Uzman_D!$H$11)*0.1 +
        IF(K89-Uzman_D!$I$11&lt;0, -(K89-Uzman_D!$I$11), K89-Uzman_D!$I$11)*0.1 +
        IF(L89-Uzman_D!$J$11&lt;0, -(L89-Uzman_D!$J$11), L89-Uzman_D!$J$11)*0.1
    ) +
    IF(ROUND((IF(N89-Uzman_D!$L$11&lt;0, -(N89-Uzman_D!$L$11), N89-Uzman_D!$L$11)*2),0)/2 = IF(N89-Uzman_D!$L$11&lt;0, -(N89-Uzman_D!$L$11), N89-Uzman_D!$L$11),
    (ROUND((IF(N89-Uzman_D!$L$11&lt;0, -(N89-Uzman_D!$L$11), N89-Uzman_D!$L$11)*2),0)/1 * 0.1), 0) +
    IF(O89-Uzman_D!$M$11&lt;0, -(O89-Uzman_D!$M$11), O89-Uzman_D!$M$11)*1
)</f>
        <v>-0.30000000000000027</v>
      </c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75"/>
      <c r="AB89" s="75"/>
      <c r="AC89" s="73">
        <f>1 - (
    SUM(
        IF(Q89-Uzman_D!$B$12&lt;0, -(Q89-Uzman_D!$B$12), Q89-Uzman_D!$B$12)*0.1 +
        IF(R89-Uzman_D!$C$12&lt;0, -(R89-Uzman_D!$C$12), R89-Uzman_D!$C$12)*0.1 +
        IF(S89-Uzman_D!$D$12&lt;0, -(S89-Uzman_D!$D$12), S89-Uzman_D!$D$12)*0.1 +
        IF(T89-Uzman_D!$E$12&lt;0, -(T89-Uzman_D!$E$12), T89-Uzman_D!$E$12)*0.1 +
        IF(U89-Uzman_D!$F$12&lt;0, -(U89-Uzman_D!$F$12), U89-Uzman_D!$F$12)*0.1 +
        IF(V89-Uzman_D!$G$12&lt;0, -(V89-Uzman_D!$G$12), V89-Uzman_D!$G$12)*0.1 +
        IF(W89-Uzman_D!$H$12&lt;0, -(W89-Uzman_D!$H$12), W89-Uzman_D!$H$12)*0.1 +
        IF(X89-Uzman_D!$I$12&lt;0, -(X89-Uzman_D!$I$12), X89-Uzman_D!$I$12)*0.1 +
        IF(Y89-Uzman_D!$J$12&lt;0, -(Y89-Uzman_D!$J$12), Y89-Uzman_D!$J$12)*0.1
    ) +
    IF(ROUND((IF(AA89-Uzman_D!$L$12&lt;0, -(AA89-Uzman_D!$L$12), AA89-Uzman_D!$L$12)*2),0)/2 = IF(AA89-Uzman_D!$L$12&lt;0, -(AA89-Uzman_D!$L$12), AA89-Uzman_D!$L$12),
    (ROUND((IF(AA89-Uzman_D!$L$12&lt;0, -(AA89-Uzman_D!$L$12), AA89-Uzman_D!$L$12)*2),0)/1 * 0.1), 0) +
    IF(AB89-Uzman_D!$M$12&lt;0, -(AB89-Uzman_D!$M$12), AB89-Uzman_D!$M$12)*1
)</f>
        <v>-0.20000000000000018</v>
      </c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75"/>
      <c r="AO89" s="75"/>
      <c r="AP89" s="73">
        <f>1 - (
    SUM(
        IF(AD89-Uzman_D!$B$13&lt;0, -(AD89-Uzman_D!$B$13), AD89-Uzman_D!$B$13)*0.1 +
        IF(AE89-Uzman_D!$C$13&lt;0, -(AE89-Uzman_D!$C$13), AE89-Uzman_D!$C$13)*0.1 +
        IF(AF89-Uzman_D!$D$13&lt;0, -(AF89-Uzman_D!$D$13), AF89-Uzman_D!$D$13)*0.1 +
        IF(AG89-Uzman_D!$E$13&lt;0, -(AG89-Uzman_D!$E$13), AG89-Uzman_D!$E$13)*0.1 +
        IF(AH89-Uzman_D!$F$13&lt;0, -(AH89-Uzman_D!$F$13), AH89-Uzman_D!$F$13)*0.1 +
        IF(AI89-Uzman_D!$G$13&lt;0, -(AI89-Uzman_D!$G$13), AI89-Uzman_D!$G$13)*0.1 +
        IF(AJ89-Uzman_D!$H$13&lt;0, -(AJ89-Uzman_D!$H$13), AJ89-Uzman_D!$H$13)*0.1 +
        IF(AK89-Uzman_D!$I$13&lt;0, -(AK89-Uzman_D!$I$13), AK89-Uzman_D!$I$13)*0.1 +
        IF(AL89-Uzman_D!$J$13&lt;0, -(AL89-Uzman_D!$J$13), AL89-Uzman_D!$J$13)*0.1
    ) +
    IF(ROUND((IF(AN89-Uzman_D!$L$13&lt;0, -(AN89-Uzman_D!$L$13), AN89-Uzman_D!$L$13)*2),0)/2 = IF(AN89-Uzman_D!$L$13&lt;0, -(AN89-Uzman_D!$L$13), AN89-Uzman_D!$L$13),
    (ROUND((IF(AN89-Uzman_D!$L$13&lt;0, -(AN89-Uzman_D!$L$13), AN89-Uzman_D!$L$13)*2),0)/1 * 0.1), 0) +
    IF(AO89-Uzman_D!$M$13&lt;0, -(AO89-Uzman_D!$M$13), AO89-Uzman_D!$M$13)*1
)</f>
        <v>-0.30000000000000004</v>
      </c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75"/>
      <c r="BB89" s="75"/>
      <c r="BC89" s="73">
        <f>1 - (
    SUM(
        IF(AQ89-Uzman_D!$B$14&lt;0, -(AQ89-Uzman_D!$B$14), AQ89-Uzman_D!$B$14)*0.1 +
        IF(AR89-Uzman_D!$C$14&lt;0, -(AR89-Uzman_D!$C$14), AR89-Uzman_D!$C$14)*0.1 +
        IF(AS89-Uzman_D!$D$14&lt;0, -(AS89-Uzman_D!$D$14), AS89-Uzman_D!$D$14)*0.1 +
        IF(AT89-Uzman_D!$E$14&lt;0, -(AT89-Uzman_D!$E$14), AT89-Uzman_D!$E$14)*0.1 +
        IF(AU89-Uzman_D!$F$14&lt;0, -(AU89-Uzman_D!$F$14), AU89-Uzman_D!$F$14)*0.1 +
        IF(AV89-Uzman_D!$G$14&lt;0, -(AV89-Uzman_D!$G$14), AV89-Uzman_D!$G$14)*0.1 +
        IF(AW89-Uzman_D!$H$14&lt;0, -(AW89-Uzman_D!$H$14), AW89-Uzman_D!$H$14)*0.1 +
        IF(AX89-Uzman_D!$I$14&lt;0, -(AX89-Uzman_D!$I$14), AX89-Uzman_D!$I$14)*0.1 +
        IF(AY89-Uzman_D!$J$14&lt;0, -(AY89-Uzman_D!$J$14), AY89-Uzman_D!$J$14)*0.1
    ) +
    IF(ROUND((IF(BA89-Uzman_D!$L$14&lt;0, -(BA89-Uzman_D!$L$14), BA89-Uzman_D!$L$14)*2),0)/2 = IF(BA89-Uzman_D!$L$14&lt;0, -(BA89-Uzman_D!$L$14), BA89-Uzman_D!$L$14),
    (ROUND((IF(BA89-Uzman_D!$L$14&lt;0, -(BA89-Uzman_D!$L$14), BA89-Uzman_D!$L$14)*2),0)/1 * 0.1), 0) +
    IF(BB89-Uzman_D!$M$14&lt;0, -(BB89-Uzman_D!$M$14), BB89-Uzman_D!$M$14)*1
)</f>
        <v>-0.20000000000000018</v>
      </c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75"/>
      <c r="BO89" s="75"/>
      <c r="BP89" s="73">
        <f>1 - (
    SUM(
        IF(BD89-Uzman_D!$B$15&lt;0, -(BD89-Uzman_D!$B$15), BD89-Uzman_D!$B$15)*0.1 +
        IF(BE89-Uzman_D!$C$15&lt;0, -(BE89-Uzman_D!$C$15), BE89-Uzman_D!$C$15)*0.1 +
        IF(BF89-Uzman_D!$D$15&lt;0, -(BF89-Uzman_D!$D$15), BF89-Uzman_D!$D$15)*0.1 +
        IF(BG89-Uzman_D!$E$15&lt;0, -(BG89-Uzman_D!$E$15), BG89-Uzman_D!$E$15)*0.1 +
        IF(BH89-Uzman_D!$F$15&lt;0, -(BH89-Uzman_D!$F$15), BH89-Uzman_D!$F$15)*0.1 +
        IF(BI89-Uzman_D!$G$15&lt;0, -(BI89-Uzman_D!$G$15), BI89-Uzman_D!$G$15)*0.1 +
        IF(BJ89-Uzman_D!$H$15&lt;0, -(BJ89-Uzman_D!$H$15), BJ89-Uzman_D!$H$15)*0.1 +
        IF(BK89-Uzman_D!$I$15&lt;0, -(BK89-Uzman_D!$I$15), BK89-Uzman_D!$I$15)*0.1 +
        IF(BL89-Uzman_D!$J$15&lt;0, -(BL89-Uzman_D!$J$15), BL89-Uzman_D!$J$15)*0.1
    ) +
    IF(ROUND((IF(BN89-Uzman_D!$L$15&lt;0, -(BN89-Uzman_D!$L$15), BN89-Uzman_D!$L$15)*2),0)/2 = IF(BN89-Uzman_D!$L$15&lt;0, -(BN89-Uzman_D!$L$15), BN89-Uzman_D!$L$15),
    (ROUND((IF(BN89-Uzman_D!$L$15&lt;0, -(BN89-Uzman_D!$L$15), BN89-Uzman_D!$L$15)*2),0)/1 * 0.1), 0) +
    IF(BO89-Uzman_D!$M$15&lt;0, -(BO89-Uzman_D!$M$15), BO89-Uzman_D!$M$15)*1
)</f>
        <v>-0.60000000000000009</v>
      </c>
      <c r="BQ89" s="74">
        <f t="shared" si="1"/>
        <v>-0.32000000000000017</v>
      </c>
    </row>
    <row r="90" spans="1:69" ht="15" customHeight="1" x14ac:dyDescent="0.2">
      <c r="A90" s="57">
        <v>87</v>
      </c>
      <c r="B90" s="37">
        <f>Hakemler!B90</f>
        <v>0</v>
      </c>
      <c r="C90" s="37">
        <f>Hakemler!C90</f>
        <v>0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75"/>
      <c r="O90" s="75"/>
      <c r="P90" s="73">
        <f>1 - (
    SUM(
        IF(D90-Uzman_D!$B$11&lt;0, -(D90-Uzman_D!$B$11), D90-Uzman_D!$B$11)*0.1 +
        IF(E90-Uzman_D!$C$11&lt;0, -(E90-Uzman_D!$C$11), E90-Uzman_D!$C$11)*0.1 +
        IF(F90-Uzman_D!$D$11&lt;0, -(F90-Uzman_D!$D$11), F90-Uzman_D!$D$11)*0.1 +
        IF(G90-Uzman_D!$E$11&lt;0, -(G90-Uzman_D!$E$11), G90-Uzman_D!$E$11)*0.1 +
        IF(H90-Uzman_D!$F$11&lt;0, -(H90-Uzman_D!$F$11), H90-Uzman_D!$F$11)*0.1 +
        IF(I90-Uzman_D!$G$11&lt;0, -(I90-Uzman_D!$G$11), I90-Uzman_D!$G$11)*0.1 +
        IF(J90-Uzman_D!$H$11&lt;0, -(J90-Uzman_D!$H$11), J90-Uzman_D!$H$11)*0.1 +
        IF(K90-Uzman_D!$I$11&lt;0, -(K90-Uzman_D!$I$11), K90-Uzman_D!$I$11)*0.1 +
        IF(L90-Uzman_D!$J$11&lt;0, -(L90-Uzman_D!$J$11), L90-Uzman_D!$J$11)*0.1
    ) +
    IF(ROUND((IF(N90-Uzman_D!$L$11&lt;0, -(N90-Uzman_D!$L$11), N90-Uzman_D!$L$11)*2),0)/2 = IF(N90-Uzman_D!$L$11&lt;0, -(N90-Uzman_D!$L$11), N90-Uzman_D!$L$11),
    (ROUND((IF(N90-Uzman_D!$L$11&lt;0, -(N90-Uzman_D!$L$11), N90-Uzman_D!$L$11)*2),0)/1 * 0.1), 0) +
    IF(O90-Uzman_D!$M$11&lt;0, -(O90-Uzman_D!$M$11), O90-Uzman_D!$M$11)*1
)</f>
        <v>-0.30000000000000027</v>
      </c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75"/>
      <c r="AB90" s="75"/>
      <c r="AC90" s="73">
        <f>1 - (
    SUM(
        IF(Q90-Uzman_D!$B$12&lt;0, -(Q90-Uzman_D!$B$12), Q90-Uzman_D!$B$12)*0.1 +
        IF(R90-Uzman_D!$C$12&lt;0, -(R90-Uzman_D!$C$12), R90-Uzman_D!$C$12)*0.1 +
        IF(S90-Uzman_D!$D$12&lt;0, -(S90-Uzman_D!$D$12), S90-Uzman_D!$D$12)*0.1 +
        IF(T90-Uzman_D!$E$12&lt;0, -(T90-Uzman_D!$E$12), T90-Uzman_D!$E$12)*0.1 +
        IF(U90-Uzman_D!$F$12&lt;0, -(U90-Uzman_D!$F$12), U90-Uzman_D!$F$12)*0.1 +
        IF(V90-Uzman_D!$G$12&lt;0, -(V90-Uzman_D!$G$12), V90-Uzman_D!$G$12)*0.1 +
        IF(W90-Uzman_D!$H$12&lt;0, -(W90-Uzman_D!$H$12), W90-Uzman_D!$H$12)*0.1 +
        IF(X90-Uzman_D!$I$12&lt;0, -(X90-Uzman_D!$I$12), X90-Uzman_D!$I$12)*0.1 +
        IF(Y90-Uzman_D!$J$12&lt;0, -(Y90-Uzman_D!$J$12), Y90-Uzman_D!$J$12)*0.1
    ) +
    IF(ROUND((IF(AA90-Uzman_D!$L$12&lt;0, -(AA90-Uzman_D!$L$12), AA90-Uzman_D!$L$12)*2),0)/2 = IF(AA90-Uzman_D!$L$12&lt;0, -(AA90-Uzman_D!$L$12), AA90-Uzman_D!$L$12),
    (ROUND((IF(AA90-Uzman_D!$L$12&lt;0, -(AA90-Uzman_D!$L$12), AA90-Uzman_D!$L$12)*2),0)/1 * 0.1), 0) +
    IF(AB90-Uzman_D!$M$12&lt;0, -(AB90-Uzman_D!$M$12), AB90-Uzman_D!$M$12)*1
)</f>
        <v>-0.20000000000000018</v>
      </c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75"/>
      <c r="AO90" s="75"/>
      <c r="AP90" s="73">
        <f>1 - (
    SUM(
        IF(AD90-Uzman_D!$B$13&lt;0, -(AD90-Uzman_D!$B$13), AD90-Uzman_D!$B$13)*0.1 +
        IF(AE90-Uzman_D!$C$13&lt;0, -(AE90-Uzman_D!$C$13), AE90-Uzman_D!$C$13)*0.1 +
        IF(AF90-Uzman_D!$D$13&lt;0, -(AF90-Uzman_D!$D$13), AF90-Uzman_D!$D$13)*0.1 +
        IF(AG90-Uzman_D!$E$13&lt;0, -(AG90-Uzman_D!$E$13), AG90-Uzman_D!$E$13)*0.1 +
        IF(AH90-Uzman_D!$F$13&lt;0, -(AH90-Uzman_D!$F$13), AH90-Uzman_D!$F$13)*0.1 +
        IF(AI90-Uzman_D!$G$13&lt;0, -(AI90-Uzman_D!$G$13), AI90-Uzman_D!$G$13)*0.1 +
        IF(AJ90-Uzman_D!$H$13&lt;0, -(AJ90-Uzman_D!$H$13), AJ90-Uzman_D!$H$13)*0.1 +
        IF(AK90-Uzman_D!$I$13&lt;0, -(AK90-Uzman_D!$I$13), AK90-Uzman_D!$I$13)*0.1 +
        IF(AL90-Uzman_D!$J$13&lt;0, -(AL90-Uzman_D!$J$13), AL90-Uzman_D!$J$13)*0.1
    ) +
    IF(ROUND((IF(AN90-Uzman_D!$L$13&lt;0, -(AN90-Uzman_D!$L$13), AN90-Uzman_D!$L$13)*2),0)/2 = IF(AN90-Uzman_D!$L$13&lt;0, -(AN90-Uzman_D!$L$13), AN90-Uzman_D!$L$13),
    (ROUND((IF(AN90-Uzman_D!$L$13&lt;0, -(AN90-Uzman_D!$L$13), AN90-Uzman_D!$L$13)*2),0)/1 * 0.1), 0) +
    IF(AO90-Uzman_D!$M$13&lt;0, -(AO90-Uzman_D!$M$13), AO90-Uzman_D!$M$13)*1
)</f>
        <v>-0.30000000000000004</v>
      </c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75"/>
      <c r="BB90" s="75"/>
      <c r="BC90" s="73">
        <f>1 - (
    SUM(
        IF(AQ90-Uzman_D!$B$14&lt;0, -(AQ90-Uzman_D!$B$14), AQ90-Uzman_D!$B$14)*0.1 +
        IF(AR90-Uzman_D!$C$14&lt;0, -(AR90-Uzman_D!$C$14), AR90-Uzman_D!$C$14)*0.1 +
        IF(AS90-Uzman_D!$D$14&lt;0, -(AS90-Uzman_D!$D$14), AS90-Uzman_D!$D$14)*0.1 +
        IF(AT90-Uzman_D!$E$14&lt;0, -(AT90-Uzman_D!$E$14), AT90-Uzman_D!$E$14)*0.1 +
        IF(AU90-Uzman_D!$F$14&lt;0, -(AU90-Uzman_D!$F$14), AU90-Uzman_D!$F$14)*0.1 +
        IF(AV90-Uzman_D!$G$14&lt;0, -(AV90-Uzman_D!$G$14), AV90-Uzman_D!$G$14)*0.1 +
        IF(AW90-Uzman_D!$H$14&lt;0, -(AW90-Uzman_D!$H$14), AW90-Uzman_D!$H$14)*0.1 +
        IF(AX90-Uzman_D!$I$14&lt;0, -(AX90-Uzman_D!$I$14), AX90-Uzman_D!$I$14)*0.1 +
        IF(AY90-Uzman_D!$J$14&lt;0, -(AY90-Uzman_D!$J$14), AY90-Uzman_D!$J$14)*0.1
    ) +
    IF(ROUND((IF(BA90-Uzman_D!$L$14&lt;0, -(BA90-Uzman_D!$L$14), BA90-Uzman_D!$L$14)*2),0)/2 = IF(BA90-Uzman_D!$L$14&lt;0, -(BA90-Uzman_D!$L$14), BA90-Uzman_D!$L$14),
    (ROUND((IF(BA90-Uzman_D!$L$14&lt;0, -(BA90-Uzman_D!$L$14), BA90-Uzman_D!$L$14)*2),0)/1 * 0.1), 0) +
    IF(BB90-Uzman_D!$M$14&lt;0, -(BB90-Uzman_D!$M$14), BB90-Uzman_D!$M$14)*1
)</f>
        <v>-0.20000000000000018</v>
      </c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75"/>
      <c r="BO90" s="75"/>
      <c r="BP90" s="73">
        <f>1 - (
    SUM(
        IF(BD90-Uzman_D!$B$15&lt;0, -(BD90-Uzman_D!$B$15), BD90-Uzman_D!$B$15)*0.1 +
        IF(BE90-Uzman_D!$C$15&lt;0, -(BE90-Uzman_D!$C$15), BE90-Uzman_D!$C$15)*0.1 +
        IF(BF90-Uzman_D!$D$15&lt;0, -(BF90-Uzman_D!$D$15), BF90-Uzman_D!$D$15)*0.1 +
        IF(BG90-Uzman_D!$E$15&lt;0, -(BG90-Uzman_D!$E$15), BG90-Uzman_D!$E$15)*0.1 +
        IF(BH90-Uzman_D!$F$15&lt;0, -(BH90-Uzman_D!$F$15), BH90-Uzman_D!$F$15)*0.1 +
        IF(BI90-Uzman_D!$G$15&lt;0, -(BI90-Uzman_D!$G$15), BI90-Uzman_D!$G$15)*0.1 +
        IF(BJ90-Uzman_D!$H$15&lt;0, -(BJ90-Uzman_D!$H$15), BJ90-Uzman_D!$H$15)*0.1 +
        IF(BK90-Uzman_D!$I$15&lt;0, -(BK90-Uzman_D!$I$15), BK90-Uzman_D!$I$15)*0.1 +
        IF(BL90-Uzman_D!$J$15&lt;0, -(BL90-Uzman_D!$J$15), BL90-Uzman_D!$J$15)*0.1
    ) +
    IF(ROUND((IF(BN90-Uzman_D!$L$15&lt;0, -(BN90-Uzman_D!$L$15), BN90-Uzman_D!$L$15)*2),0)/2 = IF(BN90-Uzman_D!$L$15&lt;0, -(BN90-Uzman_D!$L$15), BN90-Uzman_D!$L$15),
    (ROUND((IF(BN90-Uzman_D!$L$15&lt;0, -(BN90-Uzman_D!$L$15), BN90-Uzman_D!$L$15)*2),0)/1 * 0.1), 0) +
    IF(BO90-Uzman_D!$M$15&lt;0, -(BO90-Uzman_D!$M$15), BO90-Uzman_D!$M$15)*1
)</f>
        <v>-0.60000000000000009</v>
      </c>
      <c r="BQ90" s="74">
        <f t="shared" si="1"/>
        <v>-0.32000000000000017</v>
      </c>
    </row>
    <row r="91" spans="1:69" ht="15" customHeight="1" x14ac:dyDescent="0.2">
      <c r="A91" s="57">
        <v>88</v>
      </c>
      <c r="B91" s="37">
        <f>Hakemler!B91</f>
        <v>0</v>
      </c>
      <c r="C91" s="37">
        <f>Hakemler!C91</f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75"/>
      <c r="O91" s="75"/>
      <c r="P91" s="73">
        <f>1 - (
    SUM(
        IF(D91-Uzman_D!$B$11&lt;0, -(D91-Uzman_D!$B$11), D91-Uzman_D!$B$11)*0.1 +
        IF(E91-Uzman_D!$C$11&lt;0, -(E91-Uzman_D!$C$11), E91-Uzman_D!$C$11)*0.1 +
        IF(F91-Uzman_D!$D$11&lt;0, -(F91-Uzman_D!$D$11), F91-Uzman_D!$D$11)*0.1 +
        IF(G91-Uzman_D!$E$11&lt;0, -(G91-Uzman_D!$E$11), G91-Uzman_D!$E$11)*0.1 +
        IF(H91-Uzman_D!$F$11&lt;0, -(H91-Uzman_D!$F$11), H91-Uzman_D!$F$11)*0.1 +
        IF(I91-Uzman_D!$G$11&lt;0, -(I91-Uzman_D!$G$11), I91-Uzman_D!$G$11)*0.1 +
        IF(J91-Uzman_D!$H$11&lt;0, -(J91-Uzman_D!$H$11), J91-Uzman_D!$H$11)*0.1 +
        IF(K91-Uzman_D!$I$11&lt;0, -(K91-Uzman_D!$I$11), K91-Uzman_D!$I$11)*0.1 +
        IF(L91-Uzman_D!$J$11&lt;0, -(L91-Uzman_D!$J$11), L91-Uzman_D!$J$11)*0.1
    ) +
    IF(ROUND((IF(N91-Uzman_D!$L$11&lt;0, -(N91-Uzman_D!$L$11), N91-Uzman_D!$L$11)*2),0)/2 = IF(N91-Uzman_D!$L$11&lt;0, -(N91-Uzman_D!$L$11), N91-Uzman_D!$L$11),
    (ROUND((IF(N91-Uzman_D!$L$11&lt;0, -(N91-Uzman_D!$L$11), N91-Uzman_D!$L$11)*2),0)/1 * 0.1), 0) +
    IF(O91-Uzman_D!$M$11&lt;0, -(O91-Uzman_D!$M$11), O91-Uzman_D!$M$11)*1
)</f>
        <v>-0.30000000000000027</v>
      </c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75"/>
      <c r="AB91" s="75"/>
      <c r="AC91" s="73">
        <f>1 - (
    SUM(
        IF(Q91-Uzman_D!$B$12&lt;0, -(Q91-Uzman_D!$B$12), Q91-Uzman_D!$B$12)*0.1 +
        IF(R91-Uzman_D!$C$12&lt;0, -(R91-Uzman_D!$C$12), R91-Uzman_D!$C$12)*0.1 +
        IF(S91-Uzman_D!$D$12&lt;0, -(S91-Uzman_D!$D$12), S91-Uzman_D!$D$12)*0.1 +
        IF(T91-Uzman_D!$E$12&lt;0, -(T91-Uzman_D!$E$12), T91-Uzman_D!$E$12)*0.1 +
        IF(U91-Uzman_D!$F$12&lt;0, -(U91-Uzman_D!$F$12), U91-Uzman_D!$F$12)*0.1 +
        IF(V91-Uzman_D!$G$12&lt;0, -(V91-Uzman_D!$G$12), V91-Uzman_D!$G$12)*0.1 +
        IF(W91-Uzman_D!$H$12&lt;0, -(W91-Uzman_D!$H$12), W91-Uzman_D!$H$12)*0.1 +
        IF(X91-Uzman_D!$I$12&lt;0, -(X91-Uzman_D!$I$12), X91-Uzman_D!$I$12)*0.1 +
        IF(Y91-Uzman_D!$J$12&lt;0, -(Y91-Uzman_D!$J$12), Y91-Uzman_D!$J$12)*0.1
    ) +
    IF(ROUND((IF(AA91-Uzman_D!$L$12&lt;0, -(AA91-Uzman_D!$L$12), AA91-Uzman_D!$L$12)*2),0)/2 = IF(AA91-Uzman_D!$L$12&lt;0, -(AA91-Uzman_D!$L$12), AA91-Uzman_D!$L$12),
    (ROUND((IF(AA91-Uzman_D!$L$12&lt;0, -(AA91-Uzman_D!$L$12), AA91-Uzman_D!$L$12)*2),0)/1 * 0.1), 0) +
    IF(AB91-Uzman_D!$M$12&lt;0, -(AB91-Uzman_D!$M$12), AB91-Uzman_D!$M$12)*1
)</f>
        <v>-0.20000000000000018</v>
      </c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75"/>
      <c r="AO91" s="75"/>
      <c r="AP91" s="73">
        <f>1 - (
    SUM(
        IF(AD91-Uzman_D!$B$13&lt;0, -(AD91-Uzman_D!$B$13), AD91-Uzman_D!$B$13)*0.1 +
        IF(AE91-Uzman_D!$C$13&lt;0, -(AE91-Uzman_D!$C$13), AE91-Uzman_D!$C$13)*0.1 +
        IF(AF91-Uzman_D!$D$13&lt;0, -(AF91-Uzman_D!$D$13), AF91-Uzman_D!$D$13)*0.1 +
        IF(AG91-Uzman_D!$E$13&lt;0, -(AG91-Uzman_D!$E$13), AG91-Uzman_D!$E$13)*0.1 +
        IF(AH91-Uzman_D!$F$13&lt;0, -(AH91-Uzman_D!$F$13), AH91-Uzman_D!$F$13)*0.1 +
        IF(AI91-Uzman_D!$G$13&lt;0, -(AI91-Uzman_D!$G$13), AI91-Uzman_D!$G$13)*0.1 +
        IF(AJ91-Uzman_D!$H$13&lt;0, -(AJ91-Uzman_D!$H$13), AJ91-Uzman_D!$H$13)*0.1 +
        IF(AK91-Uzman_D!$I$13&lt;0, -(AK91-Uzman_D!$I$13), AK91-Uzman_D!$I$13)*0.1 +
        IF(AL91-Uzman_D!$J$13&lt;0, -(AL91-Uzman_D!$J$13), AL91-Uzman_D!$J$13)*0.1
    ) +
    IF(ROUND((IF(AN91-Uzman_D!$L$13&lt;0, -(AN91-Uzman_D!$L$13), AN91-Uzman_D!$L$13)*2),0)/2 = IF(AN91-Uzman_D!$L$13&lt;0, -(AN91-Uzman_D!$L$13), AN91-Uzman_D!$L$13),
    (ROUND((IF(AN91-Uzman_D!$L$13&lt;0, -(AN91-Uzman_D!$L$13), AN91-Uzman_D!$L$13)*2),0)/1 * 0.1), 0) +
    IF(AO91-Uzman_D!$M$13&lt;0, -(AO91-Uzman_D!$M$13), AO91-Uzman_D!$M$13)*1
)</f>
        <v>-0.30000000000000004</v>
      </c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75"/>
      <c r="BB91" s="75"/>
      <c r="BC91" s="73">
        <f>1 - (
    SUM(
        IF(AQ91-Uzman_D!$B$14&lt;0, -(AQ91-Uzman_D!$B$14), AQ91-Uzman_D!$B$14)*0.1 +
        IF(AR91-Uzman_D!$C$14&lt;0, -(AR91-Uzman_D!$C$14), AR91-Uzman_D!$C$14)*0.1 +
        IF(AS91-Uzman_D!$D$14&lt;0, -(AS91-Uzman_D!$D$14), AS91-Uzman_D!$D$14)*0.1 +
        IF(AT91-Uzman_D!$E$14&lt;0, -(AT91-Uzman_D!$E$14), AT91-Uzman_D!$E$14)*0.1 +
        IF(AU91-Uzman_D!$F$14&lt;0, -(AU91-Uzman_D!$F$14), AU91-Uzman_D!$F$14)*0.1 +
        IF(AV91-Uzman_D!$G$14&lt;0, -(AV91-Uzman_D!$G$14), AV91-Uzman_D!$G$14)*0.1 +
        IF(AW91-Uzman_D!$H$14&lt;0, -(AW91-Uzman_D!$H$14), AW91-Uzman_D!$H$14)*0.1 +
        IF(AX91-Uzman_D!$I$14&lt;0, -(AX91-Uzman_D!$I$14), AX91-Uzman_D!$I$14)*0.1 +
        IF(AY91-Uzman_D!$J$14&lt;0, -(AY91-Uzman_D!$J$14), AY91-Uzman_D!$J$14)*0.1
    ) +
    IF(ROUND((IF(BA91-Uzman_D!$L$14&lt;0, -(BA91-Uzman_D!$L$14), BA91-Uzman_D!$L$14)*2),0)/2 = IF(BA91-Uzman_D!$L$14&lt;0, -(BA91-Uzman_D!$L$14), BA91-Uzman_D!$L$14),
    (ROUND((IF(BA91-Uzman_D!$L$14&lt;0, -(BA91-Uzman_D!$L$14), BA91-Uzman_D!$L$14)*2),0)/1 * 0.1), 0) +
    IF(BB91-Uzman_D!$M$14&lt;0, -(BB91-Uzman_D!$M$14), BB91-Uzman_D!$M$14)*1
)</f>
        <v>-0.20000000000000018</v>
      </c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75"/>
      <c r="BO91" s="75"/>
      <c r="BP91" s="73">
        <f>1 - (
    SUM(
        IF(BD91-Uzman_D!$B$15&lt;0, -(BD91-Uzman_D!$B$15), BD91-Uzman_D!$B$15)*0.1 +
        IF(BE91-Uzman_D!$C$15&lt;0, -(BE91-Uzman_D!$C$15), BE91-Uzman_D!$C$15)*0.1 +
        IF(BF91-Uzman_D!$D$15&lt;0, -(BF91-Uzman_D!$D$15), BF91-Uzman_D!$D$15)*0.1 +
        IF(BG91-Uzman_D!$E$15&lt;0, -(BG91-Uzman_D!$E$15), BG91-Uzman_D!$E$15)*0.1 +
        IF(BH91-Uzman_D!$F$15&lt;0, -(BH91-Uzman_D!$F$15), BH91-Uzman_D!$F$15)*0.1 +
        IF(BI91-Uzman_D!$G$15&lt;0, -(BI91-Uzman_D!$G$15), BI91-Uzman_D!$G$15)*0.1 +
        IF(BJ91-Uzman_D!$H$15&lt;0, -(BJ91-Uzman_D!$H$15), BJ91-Uzman_D!$H$15)*0.1 +
        IF(BK91-Uzman_D!$I$15&lt;0, -(BK91-Uzman_D!$I$15), BK91-Uzman_D!$I$15)*0.1 +
        IF(BL91-Uzman_D!$J$15&lt;0, -(BL91-Uzman_D!$J$15), BL91-Uzman_D!$J$15)*0.1
    ) +
    IF(ROUND((IF(BN91-Uzman_D!$L$15&lt;0, -(BN91-Uzman_D!$L$15), BN91-Uzman_D!$L$15)*2),0)/2 = IF(BN91-Uzman_D!$L$15&lt;0, -(BN91-Uzman_D!$L$15), BN91-Uzman_D!$L$15),
    (ROUND((IF(BN91-Uzman_D!$L$15&lt;0, -(BN91-Uzman_D!$L$15), BN91-Uzman_D!$L$15)*2),0)/1 * 0.1), 0) +
    IF(BO91-Uzman_D!$M$15&lt;0, -(BO91-Uzman_D!$M$15), BO91-Uzman_D!$M$15)*1
)</f>
        <v>-0.60000000000000009</v>
      </c>
      <c r="BQ91" s="74">
        <f t="shared" si="1"/>
        <v>-0.32000000000000017</v>
      </c>
    </row>
    <row r="92" spans="1:69" ht="15" customHeight="1" x14ac:dyDescent="0.2">
      <c r="A92" s="57">
        <v>89</v>
      </c>
      <c r="B92" s="37">
        <f>Hakemler!B92</f>
        <v>0</v>
      </c>
      <c r="C92" s="37">
        <f>Hakemler!C92</f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75"/>
      <c r="O92" s="75"/>
      <c r="P92" s="73">
        <f>1 - (
    SUM(
        IF(D92-Uzman_D!$B$11&lt;0, -(D92-Uzman_D!$B$11), D92-Uzman_D!$B$11)*0.1 +
        IF(E92-Uzman_D!$C$11&lt;0, -(E92-Uzman_D!$C$11), E92-Uzman_D!$C$11)*0.1 +
        IF(F92-Uzman_D!$D$11&lt;0, -(F92-Uzman_D!$D$11), F92-Uzman_D!$D$11)*0.1 +
        IF(G92-Uzman_D!$E$11&lt;0, -(G92-Uzman_D!$E$11), G92-Uzman_D!$E$11)*0.1 +
        IF(H92-Uzman_D!$F$11&lt;0, -(H92-Uzman_D!$F$11), H92-Uzman_D!$F$11)*0.1 +
        IF(I92-Uzman_D!$G$11&lt;0, -(I92-Uzman_D!$G$11), I92-Uzman_D!$G$11)*0.1 +
        IF(J92-Uzman_D!$H$11&lt;0, -(J92-Uzman_D!$H$11), J92-Uzman_D!$H$11)*0.1 +
        IF(K92-Uzman_D!$I$11&lt;0, -(K92-Uzman_D!$I$11), K92-Uzman_D!$I$11)*0.1 +
        IF(L92-Uzman_D!$J$11&lt;0, -(L92-Uzman_D!$J$11), L92-Uzman_D!$J$11)*0.1
    ) +
    IF(ROUND((IF(N92-Uzman_D!$L$11&lt;0, -(N92-Uzman_D!$L$11), N92-Uzman_D!$L$11)*2),0)/2 = IF(N92-Uzman_D!$L$11&lt;0, -(N92-Uzman_D!$L$11), N92-Uzman_D!$L$11),
    (ROUND((IF(N92-Uzman_D!$L$11&lt;0, -(N92-Uzman_D!$L$11), N92-Uzman_D!$L$11)*2),0)/1 * 0.1), 0) +
    IF(O92-Uzman_D!$M$11&lt;0, -(O92-Uzman_D!$M$11), O92-Uzman_D!$M$11)*1
)</f>
        <v>-0.30000000000000027</v>
      </c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75"/>
      <c r="AB92" s="75"/>
      <c r="AC92" s="73">
        <f>1 - (
    SUM(
        IF(Q92-Uzman_D!$B$12&lt;0, -(Q92-Uzman_D!$B$12), Q92-Uzman_D!$B$12)*0.1 +
        IF(R92-Uzman_D!$C$12&lt;0, -(R92-Uzman_D!$C$12), R92-Uzman_D!$C$12)*0.1 +
        IF(S92-Uzman_D!$D$12&lt;0, -(S92-Uzman_D!$D$12), S92-Uzman_D!$D$12)*0.1 +
        IF(T92-Uzman_D!$E$12&lt;0, -(T92-Uzman_D!$E$12), T92-Uzman_D!$E$12)*0.1 +
        IF(U92-Uzman_D!$F$12&lt;0, -(U92-Uzman_D!$F$12), U92-Uzman_D!$F$12)*0.1 +
        IF(V92-Uzman_D!$G$12&lt;0, -(V92-Uzman_D!$G$12), V92-Uzman_D!$G$12)*0.1 +
        IF(W92-Uzman_D!$H$12&lt;0, -(W92-Uzman_D!$H$12), W92-Uzman_D!$H$12)*0.1 +
        IF(X92-Uzman_D!$I$12&lt;0, -(X92-Uzman_D!$I$12), X92-Uzman_D!$I$12)*0.1 +
        IF(Y92-Uzman_D!$J$12&lt;0, -(Y92-Uzman_D!$J$12), Y92-Uzman_D!$J$12)*0.1
    ) +
    IF(ROUND((IF(AA92-Uzman_D!$L$12&lt;0, -(AA92-Uzman_D!$L$12), AA92-Uzman_D!$L$12)*2),0)/2 = IF(AA92-Uzman_D!$L$12&lt;0, -(AA92-Uzman_D!$L$12), AA92-Uzman_D!$L$12),
    (ROUND((IF(AA92-Uzman_D!$L$12&lt;0, -(AA92-Uzman_D!$L$12), AA92-Uzman_D!$L$12)*2),0)/1 * 0.1), 0) +
    IF(AB92-Uzman_D!$M$12&lt;0, -(AB92-Uzman_D!$M$12), AB92-Uzman_D!$M$12)*1
)</f>
        <v>-0.20000000000000018</v>
      </c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75"/>
      <c r="AO92" s="75"/>
      <c r="AP92" s="73">
        <f>1 - (
    SUM(
        IF(AD92-Uzman_D!$B$13&lt;0, -(AD92-Uzman_D!$B$13), AD92-Uzman_D!$B$13)*0.1 +
        IF(AE92-Uzman_D!$C$13&lt;0, -(AE92-Uzman_D!$C$13), AE92-Uzman_D!$C$13)*0.1 +
        IF(AF92-Uzman_D!$D$13&lt;0, -(AF92-Uzman_D!$D$13), AF92-Uzman_D!$D$13)*0.1 +
        IF(AG92-Uzman_D!$E$13&lt;0, -(AG92-Uzman_D!$E$13), AG92-Uzman_D!$E$13)*0.1 +
        IF(AH92-Uzman_D!$F$13&lt;0, -(AH92-Uzman_D!$F$13), AH92-Uzman_D!$F$13)*0.1 +
        IF(AI92-Uzman_D!$G$13&lt;0, -(AI92-Uzman_D!$G$13), AI92-Uzman_D!$G$13)*0.1 +
        IF(AJ92-Uzman_D!$H$13&lt;0, -(AJ92-Uzman_D!$H$13), AJ92-Uzman_D!$H$13)*0.1 +
        IF(AK92-Uzman_D!$I$13&lt;0, -(AK92-Uzman_D!$I$13), AK92-Uzman_D!$I$13)*0.1 +
        IF(AL92-Uzman_D!$J$13&lt;0, -(AL92-Uzman_D!$J$13), AL92-Uzman_D!$J$13)*0.1
    ) +
    IF(ROUND((IF(AN92-Uzman_D!$L$13&lt;0, -(AN92-Uzman_D!$L$13), AN92-Uzman_D!$L$13)*2),0)/2 = IF(AN92-Uzman_D!$L$13&lt;0, -(AN92-Uzman_D!$L$13), AN92-Uzman_D!$L$13),
    (ROUND((IF(AN92-Uzman_D!$L$13&lt;0, -(AN92-Uzman_D!$L$13), AN92-Uzman_D!$L$13)*2),0)/1 * 0.1), 0) +
    IF(AO92-Uzman_D!$M$13&lt;0, -(AO92-Uzman_D!$M$13), AO92-Uzman_D!$M$13)*1
)</f>
        <v>-0.30000000000000004</v>
      </c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75"/>
      <c r="BB92" s="75"/>
      <c r="BC92" s="73">
        <f>1 - (
    SUM(
        IF(AQ92-Uzman_D!$B$14&lt;0, -(AQ92-Uzman_D!$B$14), AQ92-Uzman_D!$B$14)*0.1 +
        IF(AR92-Uzman_D!$C$14&lt;0, -(AR92-Uzman_D!$C$14), AR92-Uzman_D!$C$14)*0.1 +
        IF(AS92-Uzman_D!$D$14&lt;0, -(AS92-Uzman_D!$D$14), AS92-Uzman_D!$D$14)*0.1 +
        IF(AT92-Uzman_D!$E$14&lt;0, -(AT92-Uzman_D!$E$14), AT92-Uzman_D!$E$14)*0.1 +
        IF(AU92-Uzman_D!$F$14&lt;0, -(AU92-Uzman_D!$F$14), AU92-Uzman_D!$F$14)*0.1 +
        IF(AV92-Uzman_D!$G$14&lt;0, -(AV92-Uzman_D!$G$14), AV92-Uzman_D!$G$14)*0.1 +
        IF(AW92-Uzman_D!$H$14&lt;0, -(AW92-Uzman_D!$H$14), AW92-Uzman_D!$H$14)*0.1 +
        IF(AX92-Uzman_D!$I$14&lt;0, -(AX92-Uzman_D!$I$14), AX92-Uzman_D!$I$14)*0.1 +
        IF(AY92-Uzman_D!$J$14&lt;0, -(AY92-Uzman_D!$J$14), AY92-Uzman_D!$J$14)*0.1
    ) +
    IF(ROUND((IF(BA92-Uzman_D!$L$14&lt;0, -(BA92-Uzman_D!$L$14), BA92-Uzman_D!$L$14)*2),0)/2 = IF(BA92-Uzman_D!$L$14&lt;0, -(BA92-Uzman_D!$L$14), BA92-Uzman_D!$L$14),
    (ROUND((IF(BA92-Uzman_D!$L$14&lt;0, -(BA92-Uzman_D!$L$14), BA92-Uzman_D!$L$14)*2),0)/1 * 0.1), 0) +
    IF(BB92-Uzman_D!$M$14&lt;0, -(BB92-Uzman_D!$M$14), BB92-Uzman_D!$M$14)*1
)</f>
        <v>-0.20000000000000018</v>
      </c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75"/>
      <c r="BO92" s="75"/>
      <c r="BP92" s="73">
        <f>1 - (
    SUM(
        IF(BD92-Uzman_D!$B$15&lt;0, -(BD92-Uzman_D!$B$15), BD92-Uzman_D!$B$15)*0.1 +
        IF(BE92-Uzman_D!$C$15&lt;0, -(BE92-Uzman_D!$C$15), BE92-Uzman_D!$C$15)*0.1 +
        IF(BF92-Uzman_D!$D$15&lt;0, -(BF92-Uzman_D!$D$15), BF92-Uzman_D!$D$15)*0.1 +
        IF(BG92-Uzman_D!$E$15&lt;0, -(BG92-Uzman_D!$E$15), BG92-Uzman_D!$E$15)*0.1 +
        IF(BH92-Uzman_D!$F$15&lt;0, -(BH92-Uzman_D!$F$15), BH92-Uzman_D!$F$15)*0.1 +
        IF(BI92-Uzman_D!$G$15&lt;0, -(BI92-Uzman_D!$G$15), BI92-Uzman_D!$G$15)*0.1 +
        IF(BJ92-Uzman_D!$H$15&lt;0, -(BJ92-Uzman_D!$H$15), BJ92-Uzman_D!$H$15)*0.1 +
        IF(BK92-Uzman_D!$I$15&lt;0, -(BK92-Uzman_D!$I$15), BK92-Uzman_D!$I$15)*0.1 +
        IF(BL92-Uzman_D!$J$15&lt;0, -(BL92-Uzman_D!$J$15), BL92-Uzman_D!$J$15)*0.1
    ) +
    IF(ROUND((IF(BN92-Uzman_D!$L$15&lt;0, -(BN92-Uzman_D!$L$15), BN92-Uzman_D!$L$15)*2),0)/2 = IF(BN92-Uzman_D!$L$15&lt;0, -(BN92-Uzman_D!$L$15), BN92-Uzman_D!$L$15),
    (ROUND((IF(BN92-Uzman_D!$L$15&lt;0, -(BN92-Uzman_D!$L$15), BN92-Uzman_D!$L$15)*2),0)/1 * 0.1), 0) +
    IF(BO92-Uzman_D!$M$15&lt;0, -(BO92-Uzman_D!$M$15), BO92-Uzman_D!$M$15)*1
)</f>
        <v>-0.60000000000000009</v>
      </c>
      <c r="BQ92" s="74">
        <f t="shared" si="1"/>
        <v>-0.32000000000000017</v>
      </c>
    </row>
    <row r="93" spans="1:69" ht="15" customHeight="1" x14ac:dyDescent="0.2">
      <c r="A93" s="57">
        <v>90</v>
      </c>
      <c r="B93" s="37">
        <f>Hakemler!B93</f>
        <v>0</v>
      </c>
      <c r="C93" s="37">
        <f>Hakemler!C93</f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75"/>
      <c r="O93" s="75"/>
      <c r="P93" s="73">
        <f>1 - (
    SUM(
        IF(D93-Uzman_D!$B$11&lt;0, -(D93-Uzman_D!$B$11), D93-Uzman_D!$B$11)*0.1 +
        IF(E93-Uzman_D!$C$11&lt;0, -(E93-Uzman_D!$C$11), E93-Uzman_D!$C$11)*0.1 +
        IF(F93-Uzman_D!$D$11&lt;0, -(F93-Uzman_D!$D$11), F93-Uzman_D!$D$11)*0.1 +
        IF(G93-Uzman_D!$E$11&lt;0, -(G93-Uzman_D!$E$11), G93-Uzman_D!$E$11)*0.1 +
        IF(H93-Uzman_D!$F$11&lt;0, -(H93-Uzman_D!$F$11), H93-Uzman_D!$F$11)*0.1 +
        IF(I93-Uzman_D!$G$11&lt;0, -(I93-Uzman_D!$G$11), I93-Uzman_D!$G$11)*0.1 +
        IF(J93-Uzman_D!$H$11&lt;0, -(J93-Uzman_D!$H$11), J93-Uzman_D!$H$11)*0.1 +
        IF(K93-Uzman_D!$I$11&lt;0, -(K93-Uzman_D!$I$11), K93-Uzman_D!$I$11)*0.1 +
        IF(L93-Uzman_D!$J$11&lt;0, -(L93-Uzman_D!$J$11), L93-Uzman_D!$J$11)*0.1
    ) +
    IF(ROUND((IF(N93-Uzman_D!$L$11&lt;0, -(N93-Uzman_D!$L$11), N93-Uzman_D!$L$11)*2),0)/2 = IF(N93-Uzman_D!$L$11&lt;0, -(N93-Uzman_D!$L$11), N93-Uzman_D!$L$11),
    (ROUND((IF(N93-Uzman_D!$L$11&lt;0, -(N93-Uzman_D!$L$11), N93-Uzman_D!$L$11)*2),0)/1 * 0.1), 0) +
    IF(O93-Uzman_D!$M$11&lt;0, -(O93-Uzman_D!$M$11), O93-Uzman_D!$M$11)*1
)</f>
        <v>-0.30000000000000027</v>
      </c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75"/>
      <c r="AB93" s="75"/>
      <c r="AC93" s="73">
        <f>1 - (
    SUM(
        IF(Q93-Uzman_D!$B$12&lt;0, -(Q93-Uzman_D!$B$12), Q93-Uzman_D!$B$12)*0.1 +
        IF(R93-Uzman_D!$C$12&lt;0, -(R93-Uzman_D!$C$12), R93-Uzman_D!$C$12)*0.1 +
        IF(S93-Uzman_D!$D$12&lt;0, -(S93-Uzman_D!$D$12), S93-Uzman_D!$D$12)*0.1 +
        IF(T93-Uzman_D!$E$12&lt;0, -(T93-Uzman_D!$E$12), T93-Uzman_D!$E$12)*0.1 +
        IF(U93-Uzman_D!$F$12&lt;0, -(U93-Uzman_D!$F$12), U93-Uzman_D!$F$12)*0.1 +
        IF(V93-Uzman_D!$G$12&lt;0, -(V93-Uzman_D!$G$12), V93-Uzman_D!$G$12)*0.1 +
        IF(W93-Uzman_D!$H$12&lt;0, -(W93-Uzman_D!$H$12), W93-Uzman_D!$H$12)*0.1 +
        IF(X93-Uzman_D!$I$12&lt;0, -(X93-Uzman_D!$I$12), X93-Uzman_D!$I$12)*0.1 +
        IF(Y93-Uzman_D!$J$12&lt;0, -(Y93-Uzman_D!$J$12), Y93-Uzman_D!$J$12)*0.1
    ) +
    IF(ROUND((IF(AA93-Uzman_D!$L$12&lt;0, -(AA93-Uzman_D!$L$12), AA93-Uzman_D!$L$12)*2),0)/2 = IF(AA93-Uzman_D!$L$12&lt;0, -(AA93-Uzman_D!$L$12), AA93-Uzman_D!$L$12),
    (ROUND((IF(AA93-Uzman_D!$L$12&lt;0, -(AA93-Uzman_D!$L$12), AA93-Uzman_D!$L$12)*2),0)/1 * 0.1), 0) +
    IF(AB93-Uzman_D!$M$12&lt;0, -(AB93-Uzman_D!$M$12), AB93-Uzman_D!$M$12)*1
)</f>
        <v>-0.20000000000000018</v>
      </c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75"/>
      <c r="AO93" s="75"/>
      <c r="AP93" s="73">
        <f>1 - (
    SUM(
        IF(AD93-Uzman_D!$B$13&lt;0, -(AD93-Uzman_D!$B$13), AD93-Uzman_D!$B$13)*0.1 +
        IF(AE93-Uzman_D!$C$13&lt;0, -(AE93-Uzman_D!$C$13), AE93-Uzman_D!$C$13)*0.1 +
        IF(AF93-Uzman_D!$D$13&lt;0, -(AF93-Uzman_D!$D$13), AF93-Uzman_D!$D$13)*0.1 +
        IF(AG93-Uzman_D!$E$13&lt;0, -(AG93-Uzman_D!$E$13), AG93-Uzman_D!$E$13)*0.1 +
        IF(AH93-Uzman_D!$F$13&lt;0, -(AH93-Uzman_D!$F$13), AH93-Uzman_D!$F$13)*0.1 +
        IF(AI93-Uzman_D!$G$13&lt;0, -(AI93-Uzman_D!$G$13), AI93-Uzman_D!$G$13)*0.1 +
        IF(AJ93-Uzman_D!$H$13&lt;0, -(AJ93-Uzman_D!$H$13), AJ93-Uzman_D!$H$13)*0.1 +
        IF(AK93-Uzman_D!$I$13&lt;0, -(AK93-Uzman_D!$I$13), AK93-Uzman_D!$I$13)*0.1 +
        IF(AL93-Uzman_D!$J$13&lt;0, -(AL93-Uzman_D!$J$13), AL93-Uzman_D!$J$13)*0.1
    ) +
    IF(ROUND((IF(AN93-Uzman_D!$L$13&lt;0, -(AN93-Uzman_D!$L$13), AN93-Uzman_D!$L$13)*2),0)/2 = IF(AN93-Uzman_D!$L$13&lt;0, -(AN93-Uzman_D!$L$13), AN93-Uzman_D!$L$13),
    (ROUND((IF(AN93-Uzman_D!$L$13&lt;0, -(AN93-Uzman_D!$L$13), AN93-Uzman_D!$L$13)*2),0)/1 * 0.1), 0) +
    IF(AO93-Uzman_D!$M$13&lt;0, -(AO93-Uzman_D!$M$13), AO93-Uzman_D!$M$13)*1
)</f>
        <v>-0.30000000000000004</v>
      </c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75"/>
      <c r="BB93" s="75"/>
      <c r="BC93" s="73">
        <f>1 - (
    SUM(
        IF(AQ93-Uzman_D!$B$14&lt;0, -(AQ93-Uzman_D!$B$14), AQ93-Uzman_D!$B$14)*0.1 +
        IF(AR93-Uzman_D!$C$14&lt;0, -(AR93-Uzman_D!$C$14), AR93-Uzman_D!$C$14)*0.1 +
        IF(AS93-Uzman_D!$D$14&lt;0, -(AS93-Uzman_D!$D$14), AS93-Uzman_D!$D$14)*0.1 +
        IF(AT93-Uzman_D!$E$14&lt;0, -(AT93-Uzman_D!$E$14), AT93-Uzman_D!$E$14)*0.1 +
        IF(AU93-Uzman_D!$F$14&lt;0, -(AU93-Uzman_D!$F$14), AU93-Uzman_D!$F$14)*0.1 +
        IF(AV93-Uzman_D!$G$14&lt;0, -(AV93-Uzman_D!$G$14), AV93-Uzman_D!$G$14)*0.1 +
        IF(AW93-Uzman_D!$H$14&lt;0, -(AW93-Uzman_D!$H$14), AW93-Uzman_D!$H$14)*0.1 +
        IF(AX93-Uzman_D!$I$14&lt;0, -(AX93-Uzman_D!$I$14), AX93-Uzman_D!$I$14)*0.1 +
        IF(AY93-Uzman_D!$J$14&lt;0, -(AY93-Uzman_D!$J$14), AY93-Uzman_D!$J$14)*0.1
    ) +
    IF(ROUND((IF(BA93-Uzman_D!$L$14&lt;0, -(BA93-Uzman_D!$L$14), BA93-Uzman_D!$L$14)*2),0)/2 = IF(BA93-Uzman_D!$L$14&lt;0, -(BA93-Uzman_D!$L$14), BA93-Uzman_D!$L$14),
    (ROUND((IF(BA93-Uzman_D!$L$14&lt;0, -(BA93-Uzman_D!$L$14), BA93-Uzman_D!$L$14)*2),0)/1 * 0.1), 0) +
    IF(BB93-Uzman_D!$M$14&lt;0, -(BB93-Uzman_D!$M$14), BB93-Uzman_D!$M$14)*1
)</f>
        <v>-0.20000000000000018</v>
      </c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75"/>
      <c r="BO93" s="75"/>
      <c r="BP93" s="73">
        <f>1 - (
    SUM(
        IF(BD93-Uzman_D!$B$15&lt;0, -(BD93-Uzman_D!$B$15), BD93-Uzman_D!$B$15)*0.1 +
        IF(BE93-Uzman_D!$C$15&lt;0, -(BE93-Uzman_D!$C$15), BE93-Uzman_D!$C$15)*0.1 +
        IF(BF93-Uzman_D!$D$15&lt;0, -(BF93-Uzman_D!$D$15), BF93-Uzman_D!$D$15)*0.1 +
        IF(BG93-Uzman_D!$E$15&lt;0, -(BG93-Uzman_D!$E$15), BG93-Uzman_D!$E$15)*0.1 +
        IF(BH93-Uzman_D!$F$15&lt;0, -(BH93-Uzman_D!$F$15), BH93-Uzman_D!$F$15)*0.1 +
        IF(BI93-Uzman_D!$G$15&lt;0, -(BI93-Uzman_D!$G$15), BI93-Uzman_D!$G$15)*0.1 +
        IF(BJ93-Uzman_D!$H$15&lt;0, -(BJ93-Uzman_D!$H$15), BJ93-Uzman_D!$H$15)*0.1 +
        IF(BK93-Uzman_D!$I$15&lt;0, -(BK93-Uzman_D!$I$15), BK93-Uzman_D!$I$15)*0.1 +
        IF(BL93-Uzman_D!$J$15&lt;0, -(BL93-Uzman_D!$J$15), BL93-Uzman_D!$J$15)*0.1
    ) +
    IF(ROUND((IF(BN93-Uzman_D!$L$15&lt;0, -(BN93-Uzman_D!$L$15), BN93-Uzman_D!$L$15)*2),0)/2 = IF(BN93-Uzman_D!$L$15&lt;0, -(BN93-Uzman_D!$L$15), BN93-Uzman_D!$L$15),
    (ROUND((IF(BN93-Uzman_D!$L$15&lt;0, -(BN93-Uzman_D!$L$15), BN93-Uzman_D!$L$15)*2),0)/1 * 0.1), 0) +
    IF(BO93-Uzman_D!$M$15&lt;0, -(BO93-Uzman_D!$M$15), BO93-Uzman_D!$M$15)*1
)</f>
        <v>-0.60000000000000009</v>
      </c>
      <c r="BQ93" s="74">
        <f t="shared" si="1"/>
        <v>-0.32000000000000017</v>
      </c>
    </row>
    <row r="94" spans="1:69" ht="15" customHeight="1" x14ac:dyDescent="0.2">
      <c r="A94" s="57">
        <v>91</v>
      </c>
      <c r="B94" s="37">
        <f>Hakemler!B94</f>
        <v>0</v>
      </c>
      <c r="C94" s="37">
        <f>Hakemler!C94</f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75"/>
      <c r="O94" s="75"/>
      <c r="P94" s="73">
        <f>1 - (
    SUM(
        IF(D94-Uzman_D!$B$11&lt;0, -(D94-Uzman_D!$B$11), D94-Uzman_D!$B$11)*0.1 +
        IF(E94-Uzman_D!$C$11&lt;0, -(E94-Uzman_D!$C$11), E94-Uzman_D!$C$11)*0.1 +
        IF(F94-Uzman_D!$D$11&lt;0, -(F94-Uzman_D!$D$11), F94-Uzman_D!$D$11)*0.1 +
        IF(G94-Uzman_D!$E$11&lt;0, -(G94-Uzman_D!$E$11), G94-Uzman_D!$E$11)*0.1 +
        IF(H94-Uzman_D!$F$11&lt;0, -(H94-Uzman_D!$F$11), H94-Uzman_D!$F$11)*0.1 +
        IF(I94-Uzman_D!$G$11&lt;0, -(I94-Uzman_D!$G$11), I94-Uzman_D!$G$11)*0.1 +
        IF(J94-Uzman_D!$H$11&lt;0, -(J94-Uzman_D!$H$11), J94-Uzman_D!$H$11)*0.1 +
        IF(K94-Uzman_D!$I$11&lt;0, -(K94-Uzman_D!$I$11), K94-Uzman_D!$I$11)*0.1 +
        IF(L94-Uzman_D!$J$11&lt;0, -(L94-Uzman_D!$J$11), L94-Uzman_D!$J$11)*0.1
    ) +
    IF(ROUND((IF(N94-Uzman_D!$L$11&lt;0, -(N94-Uzman_D!$L$11), N94-Uzman_D!$L$11)*2),0)/2 = IF(N94-Uzman_D!$L$11&lt;0, -(N94-Uzman_D!$L$11), N94-Uzman_D!$L$11),
    (ROUND((IF(N94-Uzman_D!$L$11&lt;0, -(N94-Uzman_D!$L$11), N94-Uzman_D!$L$11)*2),0)/1 * 0.1), 0) +
    IF(O94-Uzman_D!$M$11&lt;0, -(O94-Uzman_D!$M$11), O94-Uzman_D!$M$11)*1
)</f>
        <v>-0.30000000000000027</v>
      </c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75"/>
      <c r="AB94" s="75"/>
      <c r="AC94" s="73">
        <f>1 - (
    SUM(
        IF(Q94-Uzman_D!$B$12&lt;0, -(Q94-Uzman_D!$B$12), Q94-Uzman_D!$B$12)*0.1 +
        IF(R94-Uzman_D!$C$12&lt;0, -(R94-Uzman_D!$C$12), R94-Uzman_D!$C$12)*0.1 +
        IF(S94-Uzman_D!$D$12&lt;0, -(S94-Uzman_D!$D$12), S94-Uzman_D!$D$12)*0.1 +
        IF(T94-Uzman_D!$E$12&lt;0, -(T94-Uzman_D!$E$12), T94-Uzman_D!$E$12)*0.1 +
        IF(U94-Uzman_D!$F$12&lt;0, -(U94-Uzman_D!$F$12), U94-Uzman_D!$F$12)*0.1 +
        IF(V94-Uzman_D!$G$12&lt;0, -(V94-Uzman_D!$G$12), V94-Uzman_D!$G$12)*0.1 +
        IF(W94-Uzman_D!$H$12&lt;0, -(W94-Uzman_D!$H$12), W94-Uzman_D!$H$12)*0.1 +
        IF(X94-Uzman_D!$I$12&lt;0, -(X94-Uzman_D!$I$12), X94-Uzman_D!$I$12)*0.1 +
        IF(Y94-Uzman_D!$J$12&lt;0, -(Y94-Uzman_D!$J$12), Y94-Uzman_D!$J$12)*0.1
    ) +
    IF(ROUND((IF(AA94-Uzman_D!$L$12&lt;0, -(AA94-Uzman_D!$L$12), AA94-Uzman_D!$L$12)*2),0)/2 = IF(AA94-Uzman_D!$L$12&lt;0, -(AA94-Uzman_D!$L$12), AA94-Uzman_D!$L$12),
    (ROUND((IF(AA94-Uzman_D!$L$12&lt;0, -(AA94-Uzman_D!$L$12), AA94-Uzman_D!$L$12)*2),0)/1 * 0.1), 0) +
    IF(AB94-Uzman_D!$M$12&lt;0, -(AB94-Uzman_D!$M$12), AB94-Uzman_D!$M$12)*1
)</f>
        <v>-0.20000000000000018</v>
      </c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75"/>
      <c r="AO94" s="75"/>
      <c r="AP94" s="73">
        <f>1 - (
    SUM(
        IF(AD94-Uzman_D!$B$13&lt;0, -(AD94-Uzman_D!$B$13), AD94-Uzman_D!$B$13)*0.1 +
        IF(AE94-Uzman_D!$C$13&lt;0, -(AE94-Uzman_D!$C$13), AE94-Uzman_D!$C$13)*0.1 +
        IF(AF94-Uzman_D!$D$13&lt;0, -(AF94-Uzman_D!$D$13), AF94-Uzman_D!$D$13)*0.1 +
        IF(AG94-Uzman_D!$E$13&lt;0, -(AG94-Uzman_D!$E$13), AG94-Uzman_D!$E$13)*0.1 +
        IF(AH94-Uzman_D!$F$13&lt;0, -(AH94-Uzman_D!$F$13), AH94-Uzman_D!$F$13)*0.1 +
        IF(AI94-Uzman_D!$G$13&lt;0, -(AI94-Uzman_D!$G$13), AI94-Uzman_D!$G$13)*0.1 +
        IF(AJ94-Uzman_D!$H$13&lt;0, -(AJ94-Uzman_D!$H$13), AJ94-Uzman_D!$H$13)*0.1 +
        IF(AK94-Uzman_D!$I$13&lt;0, -(AK94-Uzman_D!$I$13), AK94-Uzman_D!$I$13)*0.1 +
        IF(AL94-Uzman_D!$J$13&lt;0, -(AL94-Uzman_D!$J$13), AL94-Uzman_D!$J$13)*0.1
    ) +
    IF(ROUND((IF(AN94-Uzman_D!$L$13&lt;0, -(AN94-Uzman_D!$L$13), AN94-Uzman_D!$L$13)*2),0)/2 = IF(AN94-Uzman_D!$L$13&lt;0, -(AN94-Uzman_D!$L$13), AN94-Uzman_D!$L$13),
    (ROUND((IF(AN94-Uzman_D!$L$13&lt;0, -(AN94-Uzman_D!$L$13), AN94-Uzman_D!$L$13)*2),0)/1 * 0.1), 0) +
    IF(AO94-Uzman_D!$M$13&lt;0, -(AO94-Uzman_D!$M$13), AO94-Uzman_D!$M$13)*1
)</f>
        <v>-0.30000000000000004</v>
      </c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75"/>
      <c r="BB94" s="75"/>
      <c r="BC94" s="73">
        <f>1 - (
    SUM(
        IF(AQ94-Uzman_D!$B$14&lt;0, -(AQ94-Uzman_D!$B$14), AQ94-Uzman_D!$B$14)*0.1 +
        IF(AR94-Uzman_D!$C$14&lt;0, -(AR94-Uzman_D!$C$14), AR94-Uzman_D!$C$14)*0.1 +
        IF(AS94-Uzman_D!$D$14&lt;0, -(AS94-Uzman_D!$D$14), AS94-Uzman_D!$D$14)*0.1 +
        IF(AT94-Uzman_D!$E$14&lt;0, -(AT94-Uzman_D!$E$14), AT94-Uzman_D!$E$14)*0.1 +
        IF(AU94-Uzman_D!$F$14&lt;0, -(AU94-Uzman_D!$F$14), AU94-Uzman_D!$F$14)*0.1 +
        IF(AV94-Uzman_D!$G$14&lt;0, -(AV94-Uzman_D!$G$14), AV94-Uzman_D!$G$14)*0.1 +
        IF(AW94-Uzman_D!$H$14&lt;0, -(AW94-Uzman_D!$H$14), AW94-Uzman_D!$H$14)*0.1 +
        IF(AX94-Uzman_D!$I$14&lt;0, -(AX94-Uzman_D!$I$14), AX94-Uzman_D!$I$14)*0.1 +
        IF(AY94-Uzman_D!$J$14&lt;0, -(AY94-Uzman_D!$J$14), AY94-Uzman_D!$J$14)*0.1
    ) +
    IF(ROUND((IF(BA94-Uzman_D!$L$14&lt;0, -(BA94-Uzman_D!$L$14), BA94-Uzman_D!$L$14)*2),0)/2 = IF(BA94-Uzman_D!$L$14&lt;0, -(BA94-Uzman_D!$L$14), BA94-Uzman_D!$L$14),
    (ROUND((IF(BA94-Uzman_D!$L$14&lt;0, -(BA94-Uzman_D!$L$14), BA94-Uzman_D!$L$14)*2),0)/1 * 0.1), 0) +
    IF(BB94-Uzman_D!$M$14&lt;0, -(BB94-Uzman_D!$M$14), BB94-Uzman_D!$M$14)*1
)</f>
        <v>-0.20000000000000018</v>
      </c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75"/>
      <c r="BO94" s="75"/>
      <c r="BP94" s="73">
        <f>1 - (
    SUM(
        IF(BD94-Uzman_D!$B$15&lt;0, -(BD94-Uzman_D!$B$15), BD94-Uzman_D!$B$15)*0.1 +
        IF(BE94-Uzman_D!$C$15&lt;0, -(BE94-Uzman_D!$C$15), BE94-Uzman_D!$C$15)*0.1 +
        IF(BF94-Uzman_D!$D$15&lt;0, -(BF94-Uzman_D!$D$15), BF94-Uzman_D!$D$15)*0.1 +
        IF(BG94-Uzman_D!$E$15&lt;0, -(BG94-Uzman_D!$E$15), BG94-Uzman_D!$E$15)*0.1 +
        IF(BH94-Uzman_D!$F$15&lt;0, -(BH94-Uzman_D!$F$15), BH94-Uzman_D!$F$15)*0.1 +
        IF(BI94-Uzman_D!$G$15&lt;0, -(BI94-Uzman_D!$G$15), BI94-Uzman_D!$G$15)*0.1 +
        IF(BJ94-Uzman_D!$H$15&lt;0, -(BJ94-Uzman_D!$H$15), BJ94-Uzman_D!$H$15)*0.1 +
        IF(BK94-Uzman_D!$I$15&lt;0, -(BK94-Uzman_D!$I$15), BK94-Uzman_D!$I$15)*0.1 +
        IF(BL94-Uzman_D!$J$15&lt;0, -(BL94-Uzman_D!$J$15), BL94-Uzman_D!$J$15)*0.1
    ) +
    IF(ROUND((IF(BN94-Uzman_D!$L$15&lt;0, -(BN94-Uzman_D!$L$15), BN94-Uzman_D!$L$15)*2),0)/2 = IF(BN94-Uzman_D!$L$15&lt;0, -(BN94-Uzman_D!$L$15), BN94-Uzman_D!$L$15),
    (ROUND((IF(BN94-Uzman_D!$L$15&lt;0, -(BN94-Uzman_D!$L$15), BN94-Uzman_D!$L$15)*2),0)/1 * 0.1), 0) +
    IF(BO94-Uzman_D!$M$15&lt;0, -(BO94-Uzman_D!$M$15), BO94-Uzman_D!$M$15)*1
)</f>
        <v>-0.60000000000000009</v>
      </c>
      <c r="BQ94" s="74">
        <f t="shared" si="1"/>
        <v>-0.32000000000000017</v>
      </c>
    </row>
    <row r="95" spans="1:69" ht="15" customHeight="1" x14ac:dyDescent="0.2">
      <c r="A95" s="57">
        <v>92</v>
      </c>
      <c r="B95" s="37">
        <f>Hakemler!B95</f>
        <v>0</v>
      </c>
      <c r="C95" s="37">
        <f>Hakemler!C95</f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75"/>
      <c r="O95" s="75"/>
      <c r="P95" s="73">
        <f>1 - (
    SUM(
        IF(D95-Uzman_D!$B$11&lt;0, -(D95-Uzman_D!$B$11), D95-Uzman_D!$B$11)*0.1 +
        IF(E95-Uzman_D!$C$11&lt;0, -(E95-Uzman_D!$C$11), E95-Uzman_D!$C$11)*0.1 +
        IF(F95-Uzman_D!$D$11&lt;0, -(F95-Uzman_D!$D$11), F95-Uzman_D!$D$11)*0.1 +
        IF(G95-Uzman_D!$E$11&lt;0, -(G95-Uzman_D!$E$11), G95-Uzman_D!$E$11)*0.1 +
        IF(H95-Uzman_D!$F$11&lt;0, -(H95-Uzman_D!$F$11), H95-Uzman_D!$F$11)*0.1 +
        IF(I95-Uzman_D!$G$11&lt;0, -(I95-Uzman_D!$G$11), I95-Uzman_D!$G$11)*0.1 +
        IF(J95-Uzman_D!$H$11&lt;0, -(J95-Uzman_D!$H$11), J95-Uzman_D!$H$11)*0.1 +
        IF(K95-Uzman_D!$I$11&lt;0, -(K95-Uzman_D!$I$11), K95-Uzman_D!$I$11)*0.1 +
        IF(L95-Uzman_D!$J$11&lt;0, -(L95-Uzman_D!$J$11), L95-Uzman_D!$J$11)*0.1
    ) +
    IF(ROUND((IF(N95-Uzman_D!$L$11&lt;0, -(N95-Uzman_D!$L$11), N95-Uzman_D!$L$11)*2),0)/2 = IF(N95-Uzman_D!$L$11&lt;0, -(N95-Uzman_D!$L$11), N95-Uzman_D!$L$11),
    (ROUND((IF(N95-Uzman_D!$L$11&lt;0, -(N95-Uzman_D!$L$11), N95-Uzman_D!$L$11)*2),0)/1 * 0.1), 0) +
    IF(O95-Uzman_D!$M$11&lt;0, -(O95-Uzman_D!$M$11), O95-Uzman_D!$M$11)*1
)</f>
        <v>-0.30000000000000027</v>
      </c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75"/>
      <c r="AB95" s="75"/>
      <c r="AC95" s="73">
        <f>1 - (
    SUM(
        IF(Q95-Uzman_D!$B$12&lt;0, -(Q95-Uzman_D!$B$12), Q95-Uzman_D!$B$12)*0.1 +
        IF(R95-Uzman_D!$C$12&lt;0, -(R95-Uzman_D!$C$12), R95-Uzman_D!$C$12)*0.1 +
        IF(S95-Uzman_D!$D$12&lt;0, -(S95-Uzman_D!$D$12), S95-Uzman_D!$D$12)*0.1 +
        IF(T95-Uzman_D!$E$12&lt;0, -(T95-Uzman_D!$E$12), T95-Uzman_D!$E$12)*0.1 +
        IF(U95-Uzman_D!$F$12&lt;0, -(U95-Uzman_D!$F$12), U95-Uzman_D!$F$12)*0.1 +
        IF(V95-Uzman_D!$G$12&lt;0, -(V95-Uzman_D!$G$12), V95-Uzman_D!$G$12)*0.1 +
        IF(W95-Uzman_D!$H$12&lt;0, -(W95-Uzman_D!$H$12), W95-Uzman_D!$H$12)*0.1 +
        IF(X95-Uzman_D!$I$12&lt;0, -(X95-Uzman_D!$I$12), X95-Uzman_D!$I$12)*0.1 +
        IF(Y95-Uzman_D!$J$12&lt;0, -(Y95-Uzman_D!$J$12), Y95-Uzman_D!$J$12)*0.1
    ) +
    IF(ROUND((IF(AA95-Uzman_D!$L$12&lt;0, -(AA95-Uzman_D!$L$12), AA95-Uzman_D!$L$12)*2),0)/2 = IF(AA95-Uzman_D!$L$12&lt;0, -(AA95-Uzman_D!$L$12), AA95-Uzman_D!$L$12),
    (ROUND((IF(AA95-Uzman_D!$L$12&lt;0, -(AA95-Uzman_D!$L$12), AA95-Uzman_D!$L$12)*2),0)/1 * 0.1), 0) +
    IF(AB95-Uzman_D!$M$12&lt;0, -(AB95-Uzman_D!$M$12), AB95-Uzman_D!$M$12)*1
)</f>
        <v>-0.20000000000000018</v>
      </c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75"/>
      <c r="AO95" s="75"/>
      <c r="AP95" s="73">
        <f>1 - (
    SUM(
        IF(AD95-Uzman_D!$B$13&lt;0, -(AD95-Uzman_D!$B$13), AD95-Uzman_D!$B$13)*0.1 +
        IF(AE95-Uzman_D!$C$13&lt;0, -(AE95-Uzman_D!$C$13), AE95-Uzman_D!$C$13)*0.1 +
        IF(AF95-Uzman_D!$D$13&lt;0, -(AF95-Uzman_D!$D$13), AF95-Uzman_D!$D$13)*0.1 +
        IF(AG95-Uzman_D!$E$13&lt;0, -(AG95-Uzman_D!$E$13), AG95-Uzman_D!$E$13)*0.1 +
        IF(AH95-Uzman_D!$F$13&lt;0, -(AH95-Uzman_D!$F$13), AH95-Uzman_D!$F$13)*0.1 +
        IF(AI95-Uzman_D!$G$13&lt;0, -(AI95-Uzman_D!$G$13), AI95-Uzman_D!$G$13)*0.1 +
        IF(AJ95-Uzman_D!$H$13&lt;0, -(AJ95-Uzman_D!$H$13), AJ95-Uzman_D!$H$13)*0.1 +
        IF(AK95-Uzman_D!$I$13&lt;0, -(AK95-Uzman_D!$I$13), AK95-Uzman_D!$I$13)*0.1 +
        IF(AL95-Uzman_D!$J$13&lt;0, -(AL95-Uzman_D!$J$13), AL95-Uzman_D!$J$13)*0.1
    ) +
    IF(ROUND((IF(AN95-Uzman_D!$L$13&lt;0, -(AN95-Uzman_D!$L$13), AN95-Uzman_D!$L$13)*2),0)/2 = IF(AN95-Uzman_D!$L$13&lt;0, -(AN95-Uzman_D!$L$13), AN95-Uzman_D!$L$13),
    (ROUND((IF(AN95-Uzman_D!$L$13&lt;0, -(AN95-Uzman_D!$L$13), AN95-Uzman_D!$L$13)*2),0)/1 * 0.1), 0) +
    IF(AO95-Uzman_D!$M$13&lt;0, -(AO95-Uzman_D!$M$13), AO95-Uzman_D!$M$13)*1
)</f>
        <v>-0.30000000000000004</v>
      </c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75"/>
      <c r="BB95" s="75"/>
      <c r="BC95" s="73">
        <f>1 - (
    SUM(
        IF(AQ95-Uzman_D!$B$14&lt;0, -(AQ95-Uzman_D!$B$14), AQ95-Uzman_D!$B$14)*0.1 +
        IF(AR95-Uzman_D!$C$14&lt;0, -(AR95-Uzman_D!$C$14), AR95-Uzman_D!$C$14)*0.1 +
        IF(AS95-Uzman_D!$D$14&lt;0, -(AS95-Uzman_D!$D$14), AS95-Uzman_D!$D$14)*0.1 +
        IF(AT95-Uzman_D!$E$14&lt;0, -(AT95-Uzman_D!$E$14), AT95-Uzman_D!$E$14)*0.1 +
        IF(AU95-Uzman_D!$F$14&lt;0, -(AU95-Uzman_D!$F$14), AU95-Uzman_D!$F$14)*0.1 +
        IF(AV95-Uzman_D!$G$14&lt;0, -(AV95-Uzman_D!$G$14), AV95-Uzman_D!$G$14)*0.1 +
        IF(AW95-Uzman_D!$H$14&lt;0, -(AW95-Uzman_D!$H$14), AW95-Uzman_D!$H$14)*0.1 +
        IF(AX95-Uzman_D!$I$14&lt;0, -(AX95-Uzman_D!$I$14), AX95-Uzman_D!$I$14)*0.1 +
        IF(AY95-Uzman_D!$J$14&lt;0, -(AY95-Uzman_D!$J$14), AY95-Uzman_D!$J$14)*0.1
    ) +
    IF(ROUND((IF(BA95-Uzman_D!$L$14&lt;0, -(BA95-Uzman_D!$L$14), BA95-Uzman_D!$L$14)*2),0)/2 = IF(BA95-Uzman_D!$L$14&lt;0, -(BA95-Uzman_D!$L$14), BA95-Uzman_D!$L$14),
    (ROUND((IF(BA95-Uzman_D!$L$14&lt;0, -(BA95-Uzman_D!$L$14), BA95-Uzman_D!$L$14)*2),0)/1 * 0.1), 0) +
    IF(BB95-Uzman_D!$M$14&lt;0, -(BB95-Uzman_D!$M$14), BB95-Uzman_D!$M$14)*1
)</f>
        <v>-0.20000000000000018</v>
      </c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75"/>
      <c r="BO95" s="75"/>
      <c r="BP95" s="73">
        <f>1 - (
    SUM(
        IF(BD95-Uzman_D!$B$15&lt;0, -(BD95-Uzman_D!$B$15), BD95-Uzman_D!$B$15)*0.1 +
        IF(BE95-Uzman_D!$C$15&lt;0, -(BE95-Uzman_D!$C$15), BE95-Uzman_D!$C$15)*0.1 +
        IF(BF95-Uzman_D!$D$15&lt;0, -(BF95-Uzman_D!$D$15), BF95-Uzman_D!$D$15)*0.1 +
        IF(BG95-Uzman_D!$E$15&lt;0, -(BG95-Uzman_D!$E$15), BG95-Uzman_D!$E$15)*0.1 +
        IF(BH95-Uzman_D!$F$15&lt;0, -(BH95-Uzman_D!$F$15), BH95-Uzman_D!$F$15)*0.1 +
        IF(BI95-Uzman_D!$G$15&lt;0, -(BI95-Uzman_D!$G$15), BI95-Uzman_D!$G$15)*0.1 +
        IF(BJ95-Uzman_D!$H$15&lt;0, -(BJ95-Uzman_D!$H$15), BJ95-Uzman_D!$H$15)*0.1 +
        IF(BK95-Uzman_D!$I$15&lt;0, -(BK95-Uzman_D!$I$15), BK95-Uzman_D!$I$15)*0.1 +
        IF(BL95-Uzman_D!$J$15&lt;0, -(BL95-Uzman_D!$J$15), BL95-Uzman_D!$J$15)*0.1
    ) +
    IF(ROUND((IF(BN95-Uzman_D!$L$15&lt;0, -(BN95-Uzman_D!$L$15), BN95-Uzman_D!$L$15)*2),0)/2 = IF(BN95-Uzman_D!$L$15&lt;0, -(BN95-Uzman_D!$L$15), BN95-Uzman_D!$L$15),
    (ROUND((IF(BN95-Uzman_D!$L$15&lt;0, -(BN95-Uzman_D!$L$15), BN95-Uzman_D!$L$15)*2),0)/1 * 0.1), 0) +
    IF(BO95-Uzman_D!$M$15&lt;0, -(BO95-Uzman_D!$M$15), BO95-Uzman_D!$M$15)*1
)</f>
        <v>-0.60000000000000009</v>
      </c>
      <c r="BQ95" s="74">
        <f t="shared" si="1"/>
        <v>-0.32000000000000017</v>
      </c>
    </row>
    <row r="96" spans="1:69" ht="15" customHeight="1" x14ac:dyDescent="0.2">
      <c r="A96" s="57">
        <v>93</v>
      </c>
      <c r="B96" s="37">
        <f>Hakemler!B96</f>
        <v>0</v>
      </c>
      <c r="C96" s="37">
        <f>Hakemler!C96</f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75"/>
      <c r="O96" s="75"/>
      <c r="P96" s="73">
        <f>1 - (
    SUM(
        IF(D96-Uzman_D!$B$11&lt;0, -(D96-Uzman_D!$B$11), D96-Uzman_D!$B$11)*0.1 +
        IF(E96-Uzman_D!$C$11&lt;0, -(E96-Uzman_D!$C$11), E96-Uzman_D!$C$11)*0.1 +
        IF(F96-Uzman_D!$D$11&lt;0, -(F96-Uzman_D!$D$11), F96-Uzman_D!$D$11)*0.1 +
        IF(G96-Uzman_D!$E$11&lt;0, -(G96-Uzman_D!$E$11), G96-Uzman_D!$E$11)*0.1 +
        IF(H96-Uzman_D!$F$11&lt;0, -(H96-Uzman_D!$F$11), H96-Uzman_D!$F$11)*0.1 +
        IF(I96-Uzman_D!$G$11&lt;0, -(I96-Uzman_D!$G$11), I96-Uzman_D!$G$11)*0.1 +
        IF(J96-Uzman_D!$H$11&lt;0, -(J96-Uzman_D!$H$11), J96-Uzman_D!$H$11)*0.1 +
        IF(K96-Uzman_D!$I$11&lt;0, -(K96-Uzman_D!$I$11), K96-Uzman_D!$I$11)*0.1 +
        IF(L96-Uzman_D!$J$11&lt;0, -(L96-Uzman_D!$J$11), L96-Uzman_D!$J$11)*0.1
    ) +
    IF(ROUND((IF(N96-Uzman_D!$L$11&lt;0, -(N96-Uzman_D!$L$11), N96-Uzman_D!$L$11)*2),0)/2 = IF(N96-Uzman_D!$L$11&lt;0, -(N96-Uzman_D!$L$11), N96-Uzman_D!$L$11),
    (ROUND((IF(N96-Uzman_D!$L$11&lt;0, -(N96-Uzman_D!$L$11), N96-Uzman_D!$L$11)*2),0)/1 * 0.1), 0) +
    IF(O96-Uzman_D!$M$11&lt;0, -(O96-Uzman_D!$M$11), O96-Uzman_D!$M$11)*1
)</f>
        <v>-0.30000000000000027</v>
      </c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75"/>
      <c r="AB96" s="75"/>
      <c r="AC96" s="73">
        <f>1 - (
    SUM(
        IF(Q96-Uzman_D!$B$12&lt;0, -(Q96-Uzman_D!$B$12), Q96-Uzman_D!$B$12)*0.1 +
        IF(R96-Uzman_D!$C$12&lt;0, -(R96-Uzman_D!$C$12), R96-Uzman_D!$C$12)*0.1 +
        IF(S96-Uzman_D!$D$12&lt;0, -(S96-Uzman_D!$D$12), S96-Uzman_D!$D$12)*0.1 +
        IF(T96-Uzman_D!$E$12&lt;0, -(T96-Uzman_D!$E$12), T96-Uzman_D!$E$12)*0.1 +
        IF(U96-Uzman_D!$F$12&lt;0, -(U96-Uzman_D!$F$12), U96-Uzman_D!$F$12)*0.1 +
        IF(V96-Uzman_D!$G$12&lt;0, -(V96-Uzman_D!$G$12), V96-Uzman_D!$G$12)*0.1 +
        IF(W96-Uzman_D!$H$12&lt;0, -(W96-Uzman_D!$H$12), W96-Uzman_D!$H$12)*0.1 +
        IF(X96-Uzman_D!$I$12&lt;0, -(X96-Uzman_D!$I$12), X96-Uzman_D!$I$12)*0.1 +
        IF(Y96-Uzman_D!$J$12&lt;0, -(Y96-Uzman_D!$J$12), Y96-Uzman_D!$J$12)*0.1
    ) +
    IF(ROUND((IF(AA96-Uzman_D!$L$12&lt;0, -(AA96-Uzman_D!$L$12), AA96-Uzman_D!$L$12)*2),0)/2 = IF(AA96-Uzman_D!$L$12&lt;0, -(AA96-Uzman_D!$L$12), AA96-Uzman_D!$L$12),
    (ROUND((IF(AA96-Uzman_D!$L$12&lt;0, -(AA96-Uzman_D!$L$12), AA96-Uzman_D!$L$12)*2),0)/1 * 0.1), 0) +
    IF(AB96-Uzman_D!$M$12&lt;0, -(AB96-Uzman_D!$M$12), AB96-Uzman_D!$M$12)*1
)</f>
        <v>-0.20000000000000018</v>
      </c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75"/>
      <c r="AO96" s="75"/>
      <c r="AP96" s="73">
        <f>1 - (
    SUM(
        IF(AD96-Uzman_D!$B$13&lt;0, -(AD96-Uzman_D!$B$13), AD96-Uzman_D!$B$13)*0.1 +
        IF(AE96-Uzman_D!$C$13&lt;0, -(AE96-Uzman_D!$C$13), AE96-Uzman_D!$C$13)*0.1 +
        IF(AF96-Uzman_D!$D$13&lt;0, -(AF96-Uzman_D!$D$13), AF96-Uzman_D!$D$13)*0.1 +
        IF(AG96-Uzman_D!$E$13&lt;0, -(AG96-Uzman_D!$E$13), AG96-Uzman_D!$E$13)*0.1 +
        IF(AH96-Uzman_D!$F$13&lt;0, -(AH96-Uzman_D!$F$13), AH96-Uzman_D!$F$13)*0.1 +
        IF(AI96-Uzman_D!$G$13&lt;0, -(AI96-Uzman_D!$G$13), AI96-Uzman_D!$G$13)*0.1 +
        IF(AJ96-Uzman_D!$H$13&lt;0, -(AJ96-Uzman_D!$H$13), AJ96-Uzman_D!$H$13)*0.1 +
        IF(AK96-Uzman_D!$I$13&lt;0, -(AK96-Uzman_D!$I$13), AK96-Uzman_D!$I$13)*0.1 +
        IF(AL96-Uzman_D!$J$13&lt;0, -(AL96-Uzman_D!$J$13), AL96-Uzman_D!$J$13)*0.1
    ) +
    IF(ROUND((IF(AN96-Uzman_D!$L$13&lt;0, -(AN96-Uzman_D!$L$13), AN96-Uzman_D!$L$13)*2),0)/2 = IF(AN96-Uzman_D!$L$13&lt;0, -(AN96-Uzman_D!$L$13), AN96-Uzman_D!$L$13),
    (ROUND((IF(AN96-Uzman_D!$L$13&lt;0, -(AN96-Uzman_D!$L$13), AN96-Uzman_D!$L$13)*2),0)/1 * 0.1), 0) +
    IF(AO96-Uzman_D!$M$13&lt;0, -(AO96-Uzman_D!$M$13), AO96-Uzman_D!$M$13)*1
)</f>
        <v>-0.30000000000000004</v>
      </c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75"/>
      <c r="BB96" s="75"/>
      <c r="BC96" s="73">
        <f>1 - (
    SUM(
        IF(AQ96-Uzman_D!$B$14&lt;0, -(AQ96-Uzman_D!$B$14), AQ96-Uzman_D!$B$14)*0.1 +
        IF(AR96-Uzman_D!$C$14&lt;0, -(AR96-Uzman_D!$C$14), AR96-Uzman_D!$C$14)*0.1 +
        IF(AS96-Uzman_D!$D$14&lt;0, -(AS96-Uzman_D!$D$14), AS96-Uzman_D!$D$14)*0.1 +
        IF(AT96-Uzman_D!$E$14&lt;0, -(AT96-Uzman_D!$E$14), AT96-Uzman_D!$E$14)*0.1 +
        IF(AU96-Uzman_D!$F$14&lt;0, -(AU96-Uzman_D!$F$14), AU96-Uzman_D!$F$14)*0.1 +
        IF(AV96-Uzman_D!$G$14&lt;0, -(AV96-Uzman_D!$G$14), AV96-Uzman_D!$G$14)*0.1 +
        IF(AW96-Uzman_D!$H$14&lt;0, -(AW96-Uzman_D!$H$14), AW96-Uzman_D!$H$14)*0.1 +
        IF(AX96-Uzman_D!$I$14&lt;0, -(AX96-Uzman_D!$I$14), AX96-Uzman_D!$I$14)*0.1 +
        IF(AY96-Uzman_D!$J$14&lt;0, -(AY96-Uzman_D!$J$14), AY96-Uzman_D!$J$14)*0.1
    ) +
    IF(ROUND((IF(BA96-Uzman_D!$L$14&lt;0, -(BA96-Uzman_D!$L$14), BA96-Uzman_D!$L$14)*2),0)/2 = IF(BA96-Uzman_D!$L$14&lt;0, -(BA96-Uzman_D!$L$14), BA96-Uzman_D!$L$14),
    (ROUND((IF(BA96-Uzman_D!$L$14&lt;0, -(BA96-Uzman_D!$L$14), BA96-Uzman_D!$L$14)*2),0)/1 * 0.1), 0) +
    IF(BB96-Uzman_D!$M$14&lt;0, -(BB96-Uzman_D!$M$14), BB96-Uzman_D!$M$14)*1
)</f>
        <v>-0.20000000000000018</v>
      </c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75"/>
      <c r="BO96" s="75"/>
      <c r="BP96" s="73">
        <f>1 - (
    SUM(
        IF(BD96-Uzman_D!$B$15&lt;0, -(BD96-Uzman_D!$B$15), BD96-Uzman_D!$B$15)*0.1 +
        IF(BE96-Uzman_D!$C$15&lt;0, -(BE96-Uzman_D!$C$15), BE96-Uzman_D!$C$15)*0.1 +
        IF(BF96-Uzman_D!$D$15&lt;0, -(BF96-Uzman_D!$D$15), BF96-Uzman_D!$D$15)*0.1 +
        IF(BG96-Uzman_D!$E$15&lt;0, -(BG96-Uzman_D!$E$15), BG96-Uzman_D!$E$15)*0.1 +
        IF(BH96-Uzman_D!$F$15&lt;0, -(BH96-Uzman_D!$F$15), BH96-Uzman_D!$F$15)*0.1 +
        IF(BI96-Uzman_D!$G$15&lt;0, -(BI96-Uzman_D!$G$15), BI96-Uzman_D!$G$15)*0.1 +
        IF(BJ96-Uzman_D!$H$15&lt;0, -(BJ96-Uzman_D!$H$15), BJ96-Uzman_D!$H$15)*0.1 +
        IF(BK96-Uzman_D!$I$15&lt;0, -(BK96-Uzman_D!$I$15), BK96-Uzman_D!$I$15)*0.1 +
        IF(BL96-Uzman_D!$J$15&lt;0, -(BL96-Uzman_D!$J$15), BL96-Uzman_D!$J$15)*0.1
    ) +
    IF(ROUND((IF(BN96-Uzman_D!$L$15&lt;0, -(BN96-Uzman_D!$L$15), BN96-Uzman_D!$L$15)*2),0)/2 = IF(BN96-Uzman_D!$L$15&lt;0, -(BN96-Uzman_D!$L$15), BN96-Uzman_D!$L$15),
    (ROUND((IF(BN96-Uzman_D!$L$15&lt;0, -(BN96-Uzman_D!$L$15), BN96-Uzman_D!$L$15)*2),0)/1 * 0.1), 0) +
    IF(BO96-Uzman_D!$M$15&lt;0, -(BO96-Uzman_D!$M$15), BO96-Uzman_D!$M$15)*1
)</f>
        <v>-0.60000000000000009</v>
      </c>
      <c r="BQ96" s="74">
        <f t="shared" si="1"/>
        <v>-0.32000000000000017</v>
      </c>
    </row>
    <row r="97" spans="1:69" ht="15" customHeight="1" x14ac:dyDescent="0.2">
      <c r="A97" s="57">
        <v>94</v>
      </c>
      <c r="B97" s="37">
        <f>Hakemler!B97</f>
        <v>0</v>
      </c>
      <c r="C97" s="37">
        <f>Hakemler!C97</f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75"/>
      <c r="O97" s="75"/>
      <c r="P97" s="73">
        <f>1 - (
    SUM(
        IF(D97-Uzman_D!$B$11&lt;0, -(D97-Uzman_D!$B$11), D97-Uzman_D!$B$11)*0.1 +
        IF(E97-Uzman_D!$C$11&lt;0, -(E97-Uzman_D!$C$11), E97-Uzman_D!$C$11)*0.1 +
        IF(F97-Uzman_D!$D$11&lt;0, -(F97-Uzman_D!$D$11), F97-Uzman_D!$D$11)*0.1 +
        IF(G97-Uzman_D!$E$11&lt;0, -(G97-Uzman_D!$E$11), G97-Uzman_D!$E$11)*0.1 +
        IF(H97-Uzman_D!$F$11&lt;0, -(H97-Uzman_D!$F$11), H97-Uzman_D!$F$11)*0.1 +
        IF(I97-Uzman_D!$G$11&lt;0, -(I97-Uzman_D!$G$11), I97-Uzman_D!$G$11)*0.1 +
        IF(J97-Uzman_D!$H$11&lt;0, -(J97-Uzman_D!$H$11), J97-Uzman_D!$H$11)*0.1 +
        IF(K97-Uzman_D!$I$11&lt;0, -(K97-Uzman_D!$I$11), K97-Uzman_D!$I$11)*0.1 +
        IF(L97-Uzman_D!$J$11&lt;0, -(L97-Uzman_D!$J$11), L97-Uzman_D!$J$11)*0.1
    ) +
    IF(ROUND((IF(N97-Uzman_D!$L$11&lt;0, -(N97-Uzman_D!$L$11), N97-Uzman_D!$L$11)*2),0)/2 = IF(N97-Uzman_D!$L$11&lt;0, -(N97-Uzman_D!$L$11), N97-Uzman_D!$L$11),
    (ROUND((IF(N97-Uzman_D!$L$11&lt;0, -(N97-Uzman_D!$L$11), N97-Uzman_D!$L$11)*2),0)/1 * 0.1), 0) +
    IF(O97-Uzman_D!$M$11&lt;0, -(O97-Uzman_D!$M$11), O97-Uzman_D!$M$11)*1
)</f>
        <v>-0.30000000000000027</v>
      </c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75"/>
      <c r="AB97" s="75"/>
      <c r="AC97" s="73">
        <f>1 - (
    SUM(
        IF(Q97-Uzman_D!$B$12&lt;0, -(Q97-Uzman_D!$B$12), Q97-Uzman_D!$B$12)*0.1 +
        IF(R97-Uzman_D!$C$12&lt;0, -(R97-Uzman_D!$C$12), R97-Uzman_D!$C$12)*0.1 +
        IF(S97-Uzman_D!$D$12&lt;0, -(S97-Uzman_D!$D$12), S97-Uzman_D!$D$12)*0.1 +
        IF(T97-Uzman_D!$E$12&lt;0, -(T97-Uzman_D!$E$12), T97-Uzman_D!$E$12)*0.1 +
        IF(U97-Uzman_D!$F$12&lt;0, -(U97-Uzman_D!$F$12), U97-Uzman_D!$F$12)*0.1 +
        IF(V97-Uzman_D!$G$12&lt;0, -(V97-Uzman_D!$G$12), V97-Uzman_D!$G$12)*0.1 +
        IF(W97-Uzman_D!$H$12&lt;0, -(W97-Uzman_D!$H$12), W97-Uzman_D!$H$12)*0.1 +
        IF(X97-Uzman_D!$I$12&lt;0, -(X97-Uzman_D!$I$12), X97-Uzman_D!$I$12)*0.1 +
        IF(Y97-Uzman_D!$J$12&lt;0, -(Y97-Uzman_D!$J$12), Y97-Uzman_D!$J$12)*0.1
    ) +
    IF(ROUND((IF(AA97-Uzman_D!$L$12&lt;0, -(AA97-Uzman_D!$L$12), AA97-Uzman_D!$L$12)*2),0)/2 = IF(AA97-Uzman_D!$L$12&lt;0, -(AA97-Uzman_D!$L$12), AA97-Uzman_D!$L$12),
    (ROUND((IF(AA97-Uzman_D!$L$12&lt;0, -(AA97-Uzman_D!$L$12), AA97-Uzman_D!$L$12)*2),0)/1 * 0.1), 0) +
    IF(AB97-Uzman_D!$M$12&lt;0, -(AB97-Uzman_D!$M$12), AB97-Uzman_D!$M$12)*1
)</f>
        <v>-0.20000000000000018</v>
      </c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75"/>
      <c r="AO97" s="75"/>
      <c r="AP97" s="73">
        <f>1 - (
    SUM(
        IF(AD97-Uzman_D!$B$13&lt;0, -(AD97-Uzman_D!$B$13), AD97-Uzman_D!$B$13)*0.1 +
        IF(AE97-Uzman_D!$C$13&lt;0, -(AE97-Uzman_D!$C$13), AE97-Uzman_D!$C$13)*0.1 +
        IF(AF97-Uzman_D!$D$13&lt;0, -(AF97-Uzman_D!$D$13), AF97-Uzman_D!$D$13)*0.1 +
        IF(AG97-Uzman_D!$E$13&lt;0, -(AG97-Uzman_D!$E$13), AG97-Uzman_D!$E$13)*0.1 +
        IF(AH97-Uzman_D!$F$13&lt;0, -(AH97-Uzman_D!$F$13), AH97-Uzman_D!$F$13)*0.1 +
        IF(AI97-Uzman_D!$G$13&lt;0, -(AI97-Uzman_D!$G$13), AI97-Uzman_D!$G$13)*0.1 +
        IF(AJ97-Uzman_D!$H$13&lt;0, -(AJ97-Uzman_D!$H$13), AJ97-Uzman_D!$H$13)*0.1 +
        IF(AK97-Uzman_D!$I$13&lt;0, -(AK97-Uzman_D!$I$13), AK97-Uzman_D!$I$13)*0.1 +
        IF(AL97-Uzman_D!$J$13&lt;0, -(AL97-Uzman_D!$J$13), AL97-Uzman_D!$J$13)*0.1
    ) +
    IF(ROUND((IF(AN97-Uzman_D!$L$13&lt;0, -(AN97-Uzman_D!$L$13), AN97-Uzman_D!$L$13)*2),0)/2 = IF(AN97-Uzman_D!$L$13&lt;0, -(AN97-Uzman_D!$L$13), AN97-Uzman_D!$L$13),
    (ROUND((IF(AN97-Uzman_D!$L$13&lt;0, -(AN97-Uzman_D!$L$13), AN97-Uzman_D!$L$13)*2),0)/1 * 0.1), 0) +
    IF(AO97-Uzman_D!$M$13&lt;0, -(AO97-Uzman_D!$M$13), AO97-Uzman_D!$M$13)*1
)</f>
        <v>-0.30000000000000004</v>
      </c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75"/>
      <c r="BB97" s="75"/>
      <c r="BC97" s="73">
        <f>1 - (
    SUM(
        IF(AQ97-Uzman_D!$B$14&lt;0, -(AQ97-Uzman_D!$B$14), AQ97-Uzman_D!$B$14)*0.1 +
        IF(AR97-Uzman_D!$C$14&lt;0, -(AR97-Uzman_D!$C$14), AR97-Uzman_D!$C$14)*0.1 +
        IF(AS97-Uzman_D!$D$14&lt;0, -(AS97-Uzman_D!$D$14), AS97-Uzman_D!$D$14)*0.1 +
        IF(AT97-Uzman_D!$E$14&lt;0, -(AT97-Uzman_D!$E$14), AT97-Uzman_D!$E$14)*0.1 +
        IF(AU97-Uzman_D!$F$14&lt;0, -(AU97-Uzman_D!$F$14), AU97-Uzman_D!$F$14)*0.1 +
        IF(AV97-Uzman_D!$G$14&lt;0, -(AV97-Uzman_D!$G$14), AV97-Uzman_D!$G$14)*0.1 +
        IF(AW97-Uzman_D!$H$14&lt;0, -(AW97-Uzman_D!$H$14), AW97-Uzman_D!$H$14)*0.1 +
        IF(AX97-Uzman_D!$I$14&lt;0, -(AX97-Uzman_D!$I$14), AX97-Uzman_D!$I$14)*0.1 +
        IF(AY97-Uzman_D!$J$14&lt;0, -(AY97-Uzman_D!$J$14), AY97-Uzman_D!$J$14)*0.1
    ) +
    IF(ROUND((IF(BA97-Uzman_D!$L$14&lt;0, -(BA97-Uzman_D!$L$14), BA97-Uzman_D!$L$14)*2),0)/2 = IF(BA97-Uzman_D!$L$14&lt;0, -(BA97-Uzman_D!$L$14), BA97-Uzman_D!$L$14),
    (ROUND((IF(BA97-Uzman_D!$L$14&lt;0, -(BA97-Uzman_D!$L$14), BA97-Uzman_D!$L$14)*2),0)/1 * 0.1), 0) +
    IF(BB97-Uzman_D!$M$14&lt;0, -(BB97-Uzman_D!$M$14), BB97-Uzman_D!$M$14)*1
)</f>
        <v>-0.20000000000000018</v>
      </c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75"/>
      <c r="BO97" s="75"/>
      <c r="BP97" s="73">
        <f>1 - (
    SUM(
        IF(BD97-Uzman_D!$B$15&lt;0, -(BD97-Uzman_D!$B$15), BD97-Uzman_D!$B$15)*0.1 +
        IF(BE97-Uzman_D!$C$15&lt;0, -(BE97-Uzman_D!$C$15), BE97-Uzman_D!$C$15)*0.1 +
        IF(BF97-Uzman_D!$D$15&lt;0, -(BF97-Uzman_D!$D$15), BF97-Uzman_D!$D$15)*0.1 +
        IF(BG97-Uzman_D!$E$15&lt;0, -(BG97-Uzman_D!$E$15), BG97-Uzman_D!$E$15)*0.1 +
        IF(BH97-Uzman_D!$F$15&lt;0, -(BH97-Uzman_D!$F$15), BH97-Uzman_D!$F$15)*0.1 +
        IF(BI97-Uzman_D!$G$15&lt;0, -(BI97-Uzman_D!$G$15), BI97-Uzman_D!$G$15)*0.1 +
        IF(BJ97-Uzman_D!$H$15&lt;0, -(BJ97-Uzman_D!$H$15), BJ97-Uzman_D!$H$15)*0.1 +
        IF(BK97-Uzman_D!$I$15&lt;0, -(BK97-Uzman_D!$I$15), BK97-Uzman_D!$I$15)*0.1 +
        IF(BL97-Uzman_D!$J$15&lt;0, -(BL97-Uzman_D!$J$15), BL97-Uzman_D!$J$15)*0.1
    ) +
    IF(ROUND((IF(BN97-Uzman_D!$L$15&lt;0, -(BN97-Uzman_D!$L$15), BN97-Uzman_D!$L$15)*2),0)/2 = IF(BN97-Uzman_D!$L$15&lt;0, -(BN97-Uzman_D!$L$15), BN97-Uzman_D!$L$15),
    (ROUND((IF(BN97-Uzman_D!$L$15&lt;0, -(BN97-Uzman_D!$L$15), BN97-Uzman_D!$L$15)*2),0)/1 * 0.1), 0) +
    IF(BO97-Uzman_D!$M$15&lt;0, -(BO97-Uzman_D!$M$15), BO97-Uzman_D!$M$15)*1
)</f>
        <v>-0.60000000000000009</v>
      </c>
      <c r="BQ97" s="74">
        <f t="shared" si="1"/>
        <v>-0.32000000000000017</v>
      </c>
    </row>
    <row r="98" spans="1:69" ht="15" customHeight="1" x14ac:dyDescent="0.2">
      <c r="A98" s="57">
        <v>95</v>
      </c>
      <c r="B98" s="37">
        <f>Hakemler!B98</f>
        <v>0</v>
      </c>
      <c r="C98" s="37">
        <f>Hakemler!C98</f>
        <v>0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75"/>
      <c r="O98" s="75"/>
      <c r="P98" s="73">
        <f>1 - (
    SUM(
        IF(D98-Uzman_D!$B$11&lt;0, -(D98-Uzman_D!$B$11), D98-Uzman_D!$B$11)*0.1 +
        IF(E98-Uzman_D!$C$11&lt;0, -(E98-Uzman_D!$C$11), E98-Uzman_D!$C$11)*0.1 +
        IF(F98-Uzman_D!$D$11&lt;0, -(F98-Uzman_D!$D$11), F98-Uzman_D!$D$11)*0.1 +
        IF(G98-Uzman_D!$E$11&lt;0, -(G98-Uzman_D!$E$11), G98-Uzman_D!$E$11)*0.1 +
        IF(H98-Uzman_D!$F$11&lt;0, -(H98-Uzman_D!$F$11), H98-Uzman_D!$F$11)*0.1 +
        IF(I98-Uzman_D!$G$11&lt;0, -(I98-Uzman_D!$G$11), I98-Uzman_D!$G$11)*0.1 +
        IF(J98-Uzman_D!$H$11&lt;0, -(J98-Uzman_D!$H$11), J98-Uzman_D!$H$11)*0.1 +
        IF(K98-Uzman_D!$I$11&lt;0, -(K98-Uzman_D!$I$11), K98-Uzman_D!$I$11)*0.1 +
        IF(L98-Uzman_D!$J$11&lt;0, -(L98-Uzman_D!$J$11), L98-Uzman_D!$J$11)*0.1
    ) +
    IF(ROUND((IF(N98-Uzman_D!$L$11&lt;0, -(N98-Uzman_D!$L$11), N98-Uzman_D!$L$11)*2),0)/2 = IF(N98-Uzman_D!$L$11&lt;0, -(N98-Uzman_D!$L$11), N98-Uzman_D!$L$11),
    (ROUND((IF(N98-Uzman_D!$L$11&lt;0, -(N98-Uzman_D!$L$11), N98-Uzman_D!$L$11)*2),0)/1 * 0.1), 0) +
    IF(O98-Uzman_D!$M$11&lt;0, -(O98-Uzman_D!$M$11), O98-Uzman_D!$M$11)*1
)</f>
        <v>-0.30000000000000027</v>
      </c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75"/>
      <c r="AB98" s="75"/>
      <c r="AC98" s="73">
        <f>1 - (
    SUM(
        IF(Q98-Uzman_D!$B$12&lt;0, -(Q98-Uzman_D!$B$12), Q98-Uzman_D!$B$12)*0.1 +
        IF(R98-Uzman_D!$C$12&lt;0, -(R98-Uzman_D!$C$12), R98-Uzman_D!$C$12)*0.1 +
        IF(S98-Uzman_D!$D$12&lt;0, -(S98-Uzman_D!$D$12), S98-Uzman_D!$D$12)*0.1 +
        IF(T98-Uzman_D!$E$12&lt;0, -(T98-Uzman_D!$E$12), T98-Uzman_D!$E$12)*0.1 +
        IF(U98-Uzman_D!$F$12&lt;0, -(U98-Uzman_D!$F$12), U98-Uzman_D!$F$12)*0.1 +
        IF(V98-Uzman_D!$G$12&lt;0, -(V98-Uzman_D!$G$12), V98-Uzman_D!$G$12)*0.1 +
        IF(W98-Uzman_D!$H$12&lt;0, -(W98-Uzman_D!$H$12), W98-Uzman_D!$H$12)*0.1 +
        IF(X98-Uzman_D!$I$12&lt;0, -(X98-Uzman_D!$I$12), X98-Uzman_D!$I$12)*0.1 +
        IF(Y98-Uzman_D!$J$12&lt;0, -(Y98-Uzman_D!$J$12), Y98-Uzman_D!$J$12)*0.1
    ) +
    IF(ROUND((IF(AA98-Uzman_D!$L$12&lt;0, -(AA98-Uzman_D!$L$12), AA98-Uzman_D!$L$12)*2),0)/2 = IF(AA98-Uzman_D!$L$12&lt;0, -(AA98-Uzman_D!$L$12), AA98-Uzman_D!$L$12),
    (ROUND((IF(AA98-Uzman_D!$L$12&lt;0, -(AA98-Uzman_D!$L$12), AA98-Uzman_D!$L$12)*2),0)/1 * 0.1), 0) +
    IF(AB98-Uzman_D!$M$12&lt;0, -(AB98-Uzman_D!$M$12), AB98-Uzman_D!$M$12)*1
)</f>
        <v>-0.20000000000000018</v>
      </c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75"/>
      <c r="AO98" s="75"/>
      <c r="AP98" s="73">
        <f>1 - (
    SUM(
        IF(AD98-Uzman_D!$B$13&lt;0, -(AD98-Uzman_D!$B$13), AD98-Uzman_D!$B$13)*0.1 +
        IF(AE98-Uzman_D!$C$13&lt;0, -(AE98-Uzman_D!$C$13), AE98-Uzman_D!$C$13)*0.1 +
        IF(AF98-Uzman_D!$D$13&lt;0, -(AF98-Uzman_D!$D$13), AF98-Uzman_D!$D$13)*0.1 +
        IF(AG98-Uzman_D!$E$13&lt;0, -(AG98-Uzman_D!$E$13), AG98-Uzman_D!$E$13)*0.1 +
        IF(AH98-Uzman_D!$F$13&lt;0, -(AH98-Uzman_D!$F$13), AH98-Uzman_D!$F$13)*0.1 +
        IF(AI98-Uzman_D!$G$13&lt;0, -(AI98-Uzman_D!$G$13), AI98-Uzman_D!$G$13)*0.1 +
        IF(AJ98-Uzman_D!$H$13&lt;0, -(AJ98-Uzman_D!$H$13), AJ98-Uzman_D!$H$13)*0.1 +
        IF(AK98-Uzman_D!$I$13&lt;0, -(AK98-Uzman_D!$I$13), AK98-Uzman_D!$I$13)*0.1 +
        IF(AL98-Uzman_D!$J$13&lt;0, -(AL98-Uzman_D!$J$13), AL98-Uzman_D!$J$13)*0.1
    ) +
    IF(ROUND((IF(AN98-Uzman_D!$L$13&lt;0, -(AN98-Uzman_D!$L$13), AN98-Uzman_D!$L$13)*2),0)/2 = IF(AN98-Uzman_D!$L$13&lt;0, -(AN98-Uzman_D!$L$13), AN98-Uzman_D!$L$13),
    (ROUND((IF(AN98-Uzman_D!$L$13&lt;0, -(AN98-Uzman_D!$L$13), AN98-Uzman_D!$L$13)*2),0)/1 * 0.1), 0) +
    IF(AO98-Uzman_D!$M$13&lt;0, -(AO98-Uzman_D!$M$13), AO98-Uzman_D!$M$13)*1
)</f>
        <v>-0.30000000000000004</v>
      </c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75"/>
      <c r="BB98" s="75"/>
      <c r="BC98" s="73">
        <f>1 - (
    SUM(
        IF(AQ98-Uzman_D!$B$14&lt;0, -(AQ98-Uzman_D!$B$14), AQ98-Uzman_D!$B$14)*0.1 +
        IF(AR98-Uzman_D!$C$14&lt;0, -(AR98-Uzman_D!$C$14), AR98-Uzman_D!$C$14)*0.1 +
        IF(AS98-Uzman_D!$D$14&lt;0, -(AS98-Uzman_D!$D$14), AS98-Uzman_D!$D$14)*0.1 +
        IF(AT98-Uzman_D!$E$14&lt;0, -(AT98-Uzman_D!$E$14), AT98-Uzman_D!$E$14)*0.1 +
        IF(AU98-Uzman_D!$F$14&lt;0, -(AU98-Uzman_D!$F$14), AU98-Uzman_D!$F$14)*0.1 +
        IF(AV98-Uzman_D!$G$14&lt;0, -(AV98-Uzman_D!$G$14), AV98-Uzman_D!$G$14)*0.1 +
        IF(AW98-Uzman_D!$H$14&lt;0, -(AW98-Uzman_D!$H$14), AW98-Uzman_D!$H$14)*0.1 +
        IF(AX98-Uzman_D!$I$14&lt;0, -(AX98-Uzman_D!$I$14), AX98-Uzman_D!$I$14)*0.1 +
        IF(AY98-Uzman_D!$J$14&lt;0, -(AY98-Uzman_D!$J$14), AY98-Uzman_D!$J$14)*0.1
    ) +
    IF(ROUND((IF(BA98-Uzman_D!$L$14&lt;0, -(BA98-Uzman_D!$L$14), BA98-Uzman_D!$L$14)*2),0)/2 = IF(BA98-Uzman_D!$L$14&lt;0, -(BA98-Uzman_D!$L$14), BA98-Uzman_D!$L$14),
    (ROUND((IF(BA98-Uzman_D!$L$14&lt;0, -(BA98-Uzman_D!$L$14), BA98-Uzman_D!$L$14)*2),0)/1 * 0.1), 0) +
    IF(BB98-Uzman_D!$M$14&lt;0, -(BB98-Uzman_D!$M$14), BB98-Uzman_D!$M$14)*1
)</f>
        <v>-0.20000000000000018</v>
      </c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75"/>
      <c r="BO98" s="75"/>
      <c r="BP98" s="73">
        <f>1 - (
    SUM(
        IF(BD98-Uzman_D!$B$15&lt;0, -(BD98-Uzman_D!$B$15), BD98-Uzman_D!$B$15)*0.1 +
        IF(BE98-Uzman_D!$C$15&lt;0, -(BE98-Uzman_D!$C$15), BE98-Uzman_D!$C$15)*0.1 +
        IF(BF98-Uzman_D!$D$15&lt;0, -(BF98-Uzman_D!$D$15), BF98-Uzman_D!$D$15)*0.1 +
        IF(BG98-Uzman_D!$E$15&lt;0, -(BG98-Uzman_D!$E$15), BG98-Uzman_D!$E$15)*0.1 +
        IF(BH98-Uzman_D!$F$15&lt;0, -(BH98-Uzman_D!$F$15), BH98-Uzman_D!$F$15)*0.1 +
        IF(BI98-Uzman_D!$G$15&lt;0, -(BI98-Uzman_D!$G$15), BI98-Uzman_D!$G$15)*0.1 +
        IF(BJ98-Uzman_D!$H$15&lt;0, -(BJ98-Uzman_D!$H$15), BJ98-Uzman_D!$H$15)*0.1 +
        IF(BK98-Uzman_D!$I$15&lt;0, -(BK98-Uzman_D!$I$15), BK98-Uzman_D!$I$15)*0.1 +
        IF(BL98-Uzman_D!$J$15&lt;0, -(BL98-Uzman_D!$J$15), BL98-Uzman_D!$J$15)*0.1
    ) +
    IF(ROUND((IF(BN98-Uzman_D!$L$15&lt;0, -(BN98-Uzman_D!$L$15), BN98-Uzman_D!$L$15)*2),0)/2 = IF(BN98-Uzman_D!$L$15&lt;0, -(BN98-Uzman_D!$L$15), BN98-Uzman_D!$L$15),
    (ROUND((IF(BN98-Uzman_D!$L$15&lt;0, -(BN98-Uzman_D!$L$15), BN98-Uzman_D!$L$15)*2),0)/1 * 0.1), 0) +
    IF(BO98-Uzman_D!$M$15&lt;0, -(BO98-Uzman_D!$M$15), BO98-Uzman_D!$M$15)*1
)</f>
        <v>-0.60000000000000009</v>
      </c>
      <c r="BQ98" s="74">
        <f t="shared" si="1"/>
        <v>-0.32000000000000017</v>
      </c>
    </row>
    <row r="99" spans="1:69" ht="15" customHeight="1" x14ac:dyDescent="0.2">
      <c r="A99" s="57">
        <v>96</v>
      </c>
      <c r="B99" s="37">
        <f>Hakemler!B99</f>
        <v>0</v>
      </c>
      <c r="C99" s="37">
        <f>Hakemler!C99</f>
        <v>0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75"/>
      <c r="O99" s="75"/>
      <c r="P99" s="73">
        <f>1 - (
    SUM(
        IF(D99-Uzman_D!$B$11&lt;0, -(D99-Uzman_D!$B$11), D99-Uzman_D!$B$11)*0.1 +
        IF(E99-Uzman_D!$C$11&lt;0, -(E99-Uzman_D!$C$11), E99-Uzman_D!$C$11)*0.1 +
        IF(F99-Uzman_D!$D$11&lt;0, -(F99-Uzman_D!$D$11), F99-Uzman_D!$D$11)*0.1 +
        IF(G99-Uzman_D!$E$11&lt;0, -(G99-Uzman_D!$E$11), G99-Uzman_D!$E$11)*0.1 +
        IF(H99-Uzman_D!$F$11&lt;0, -(H99-Uzman_D!$F$11), H99-Uzman_D!$F$11)*0.1 +
        IF(I99-Uzman_D!$G$11&lt;0, -(I99-Uzman_D!$G$11), I99-Uzman_D!$G$11)*0.1 +
        IF(J99-Uzman_D!$H$11&lt;0, -(J99-Uzman_D!$H$11), J99-Uzman_D!$H$11)*0.1 +
        IF(K99-Uzman_D!$I$11&lt;0, -(K99-Uzman_D!$I$11), K99-Uzman_D!$I$11)*0.1 +
        IF(L99-Uzman_D!$J$11&lt;0, -(L99-Uzman_D!$J$11), L99-Uzman_D!$J$11)*0.1
    ) +
    IF(ROUND((IF(N99-Uzman_D!$L$11&lt;0, -(N99-Uzman_D!$L$11), N99-Uzman_D!$L$11)*2),0)/2 = IF(N99-Uzman_D!$L$11&lt;0, -(N99-Uzman_D!$L$11), N99-Uzman_D!$L$11),
    (ROUND((IF(N99-Uzman_D!$L$11&lt;0, -(N99-Uzman_D!$L$11), N99-Uzman_D!$L$11)*2),0)/1 * 0.1), 0) +
    IF(O99-Uzman_D!$M$11&lt;0, -(O99-Uzman_D!$M$11), O99-Uzman_D!$M$11)*1
)</f>
        <v>-0.30000000000000027</v>
      </c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75"/>
      <c r="AB99" s="75"/>
      <c r="AC99" s="73">
        <f>1 - (
    SUM(
        IF(Q99-Uzman_D!$B$12&lt;0, -(Q99-Uzman_D!$B$12), Q99-Uzman_D!$B$12)*0.1 +
        IF(R99-Uzman_D!$C$12&lt;0, -(R99-Uzman_D!$C$12), R99-Uzman_D!$C$12)*0.1 +
        IF(S99-Uzman_D!$D$12&lt;0, -(S99-Uzman_D!$D$12), S99-Uzman_D!$D$12)*0.1 +
        IF(T99-Uzman_D!$E$12&lt;0, -(T99-Uzman_D!$E$12), T99-Uzman_D!$E$12)*0.1 +
        IF(U99-Uzman_D!$F$12&lt;0, -(U99-Uzman_D!$F$12), U99-Uzman_D!$F$12)*0.1 +
        IF(V99-Uzman_D!$G$12&lt;0, -(V99-Uzman_D!$G$12), V99-Uzman_D!$G$12)*0.1 +
        IF(W99-Uzman_D!$H$12&lt;0, -(W99-Uzman_D!$H$12), W99-Uzman_D!$H$12)*0.1 +
        IF(X99-Uzman_D!$I$12&lt;0, -(X99-Uzman_D!$I$12), X99-Uzman_D!$I$12)*0.1 +
        IF(Y99-Uzman_D!$J$12&lt;0, -(Y99-Uzman_D!$J$12), Y99-Uzman_D!$J$12)*0.1
    ) +
    IF(ROUND((IF(AA99-Uzman_D!$L$12&lt;0, -(AA99-Uzman_D!$L$12), AA99-Uzman_D!$L$12)*2),0)/2 = IF(AA99-Uzman_D!$L$12&lt;0, -(AA99-Uzman_D!$L$12), AA99-Uzman_D!$L$12),
    (ROUND((IF(AA99-Uzman_D!$L$12&lt;0, -(AA99-Uzman_D!$L$12), AA99-Uzman_D!$L$12)*2),0)/1 * 0.1), 0) +
    IF(AB99-Uzman_D!$M$12&lt;0, -(AB99-Uzman_D!$M$12), AB99-Uzman_D!$M$12)*1
)</f>
        <v>-0.20000000000000018</v>
      </c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75"/>
      <c r="AO99" s="75"/>
      <c r="AP99" s="73">
        <f>1 - (
    SUM(
        IF(AD99-Uzman_D!$B$13&lt;0, -(AD99-Uzman_D!$B$13), AD99-Uzman_D!$B$13)*0.1 +
        IF(AE99-Uzman_D!$C$13&lt;0, -(AE99-Uzman_D!$C$13), AE99-Uzman_D!$C$13)*0.1 +
        IF(AF99-Uzman_D!$D$13&lt;0, -(AF99-Uzman_D!$D$13), AF99-Uzman_D!$D$13)*0.1 +
        IF(AG99-Uzman_D!$E$13&lt;0, -(AG99-Uzman_D!$E$13), AG99-Uzman_D!$E$13)*0.1 +
        IF(AH99-Uzman_D!$F$13&lt;0, -(AH99-Uzman_D!$F$13), AH99-Uzman_D!$F$13)*0.1 +
        IF(AI99-Uzman_D!$G$13&lt;0, -(AI99-Uzman_D!$G$13), AI99-Uzman_D!$G$13)*0.1 +
        IF(AJ99-Uzman_D!$H$13&lt;0, -(AJ99-Uzman_D!$H$13), AJ99-Uzman_D!$H$13)*0.1 +
        IF(AK99-Uzman_D!$I$13&lt;0, -(AK99-Uzman_D!$I$13), AK99-Uzman_D!$I$13)*0.1 +
        IF(AL99-Uzman_D!$J$13&lt;0, -(AL99-Uzman_D!$J$13), AL99-Uzman_D!$J$13)*0.1
    ) +
    IF(ROUND((IF(AN99-Uzman_D!$L$13&lt;0, -(AN99-Uzman_D!$L$13), AN99-Uzman_D!$L$13)*2),0)/2 = IF(AN99-Uzman_D!$L$13&lt;0, -(AN99-Uzman_D!$L$13), AN99-Uzman_D!$L$13),
    (ROUND((IF(AN99-Uzman_D!$L$13&lt;0, -(AN99-Uzman_D!$L$13), AN99-Uzman_D!$L$13)*2),0)/1 * 0.1), 0) +
    IF(AO99-Uzman_D!$M$13&lt;0, -(AO99-Uzman_D!$M$13), AO99-Uzman_D!$M$13)*1
)</f>
        <v>-0.30000000000000004</v>
      </c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75"/>
      <c r="BB99" s="75"/>
      <c r="BC99" s="73">
        <f>1 - (
    SUM(
        IF(AQ99-Uzman_D!$B$14&lt;0, -(AQ99-Uzman_D!$B$14), AQ99-Uzman_D!$B$14)*0.1 +
        IF(AR99-Uzman_D!$C$14&lt;0, -(AR99-Uzman_D!$C$14), AR99-Uzman_D!$C$14)*0.1 +
        IF(AS99-Uzman_D!$D$14&lt;0, -(AS99-Uzman_D!$D$14), AS99-Uzman_D!$D$14)*0.1 +
        IF(AT99-Uzman_D!$E$14&lt;0, -(AT99-Uzman_D!$E$14), AT99-Uzman_D!$E$14)*0.1 +
        IF(AU99-Uzman_D!$F$14&lt;0, -(AU99-Uzman_D!$F$14), AU99-Uzman_D!$F$14)*0.1 +
        IF(AV99-Uzman_D!$G$14&lt;0, -(AV99-Uzman_D!$G$14), AV99-Uzman_D!$G$14)*0.1 +
        IF(AW99-Uzman_D!$H$14&lt;0, -(AW99-Uzman_D!$H$14), AW99-Uzman_D!$H$14)*0.1 +
        IF(AX99-Uzman_D!$I$14&lt;0, -(AX99-Uzman_D!$I$14), AX99-Uzman_D!$I$14)*0.1 +
        IF(AY99-Uzman_D!$J$14&lt;0, -(AY99-Uzman_D!$J$14), AY99-Uzman_D!$J$14)*0.1
    ) +
    IF(ROUND((IF(BA99-Uzman_D!$L$14&lt;0, -(BA99-Uzman_D!$L$14), BA99-Uzman_D!$L$14)*2),0)/2 = IF(BA99-Uzman_D!$L$14&lt;0, -(BA99-Uzman_D!$L$14), BA99-Uzman_D!$L$14),
    (ROUND((IF(BA99-Uzman_D!$L$14&lt;0, -(BA99-Uzman_D!$L$14), BA99-Uzman_D!$L$14)*2),0)/1 * 0.1), 0) +
    IF(BB99-Uzman_D!$M$14&lt;0, -(BB99-Uzman_D!$M$14), BB99-Uzman_D!$M$14)*1
)</f>
        <v>-0.20000000000000018</v>
      </c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75"/>
      <c r="BO99" s="75"/>
      <c r="BP99" s="73">
        <f>1 - (
    SUM(
        IF(BD99-Uzman_D!$B$15&lt;0, -(BD99-Uzman_D!$B$15), BD99-Uzman_D!$B$15)*0.1 +
        IF(BE99-Uzman_D!$C$15&lt;0, -(BE99-Uzman_D!$C$15), BE99-Uzman_D!$C$15)*0.1 +
        IF(BF99-Uzman_D!$D$15&lt;0, -(BF99-Uzman_D!$D$15), BF99-Uzman_D!$D$15)*0.1 +
        IF(BG99-Uzman_D!$E$15&lt;0, -(BG99-Uzman_D!$E$15), BG99-Uzman_D!$E$15)*0.1 +
        IF(BH99-Uzman_D!$F$15&lt;0, -(BH99-Uzman_D!$F$15), BH99-Uzman_D!$F$15)*0.1 +
        IF(BI99-Uzman_D!$G$15&lt;0, -(BI99-Uzman_D!$G$15), BI99-Uzman_D!$G$15)*0.1 +
        IF(BJ99-Uzman_D!$H$15&lt;0, -(BJ99-Uzman_D!$H$15), BJ99-Uzman_D!$H$15)*0.1 +
        IF(BK99-Uzman_D!$I$15&lt;0, -(BK99-Uzman_D!$I$15), BK99-Uzman_D!$I$15)*0.1 +
        IF(BL99-Uzman_D!$J$15&lt;0, -(BL99-Uzman_D!$J$15), BL99-Uzman_D!$J$15)*0.1
    ) +
    IF(ROUND((IF(BN99-Uzman_D!$L$15&lt;0, -(BN99-Uzman_D!$L$15), BN99-Uzman_D!$L$15)*2),0)/2 = IF(BN99-Uzman_D!$L$15&lt;0, -(BN99-Uzman_D!$L$15), BN99-Uzman_D!$L$15),
    (ROUND((IF(BN99-Uzman_D!$L$15&lt;0, -(BN99-Uzman_D!$L$15), BN99-Uzman_D!$L$15)*2),0)/1 * 0.1), 0) +
    IF(BO99-Uzman_D!$M$15&lt;0, -(BO99-Uzman_D!$M$15), BO99-Uzman_D!$M$15)*1
)</f>
        <v>-0.60000000000000009</v>
      </c>
      <c r="BQ99" s="74">
        <f t="shared" si="1"/>
        <v>-0.32000000000000017</v>
      </c>
    </row>
    <row r="100" spans="1:69" ht="15" customHeight="1" x14ac:dyDescent="0.2">
      <c r="A100" s="57">
        <v>97</v>
      </c>
      <c r="B100" s="37">
        <f>Hakemler!B100</f>
        <v>0</v>
      </c>
      <c r="C100" s="37">
        <f>Hakemler!C100</f>
        <v>0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75"/>
      <c r="O100" s="75"/>
      <c r="P100" s="73">
        <f>1 - (
    SUM(
        IF(D100-Uzman_D!$B$11&lt;0, -(D100-Uzman_D!$B$11), D100-Uzman_D!$B$11)*0.1 +
        IF(E100-Uzman_D!$C$11&lt;0, -(E100-Uzman_D!$C$11), E100-Uzman_D!$C$11)*0.1 +
        IF(F100-Uzman_D!$D$11&lt;0, -(F100-Uzman_D!$D$11), F100-Uzman_D!$D$11)*0.1 +
        IF(G100-Uzman_D!$E$11&lt;0, -(G100-Uzman_D!$E$11), G100-Uzman_D!$E$11)*0.1 +
        IF(H100-Uzman_D!$F$11&lt;0, -(H100-Uzman_D!$F$11), H100-Uzman_D!$F$11)*0.1 +
        IF(I100-Uzman_D!$G$11&lt;0, -(I100-Uzman_D!$G$11), I100-Uzman_D!$G$11)*0.1 +
        IF(J100-Uzman_D!$H$11&lt;0, -(J100-Uzman_D!$H$11), J100-Uzman_D!$H$11)*0.1 +
        IF(K100-Uzman_D!$I$11&lt;0, -(K100-Uzman_D!$I$11), K100-Uzman_D!$I$11)*0.1 +
        IF(L100-Uzman_D!$J$11&lt;0, -(L100-Uzman_D!$J$11), L100-Uzman_D!$J$11)*0.1
    ) +
    IF(ROUND((IF(N100-Uzman_D!$L$11&lt;0, -(N100-Uzman_D!$L$11), N100-Uzman_D!$L$11)*2),0)/2 = IF(N100-Uzman_D!$L$11&lt;0, -(N100-Uzman_D!$L$11), N100-Uzman_D!$L$11),
    (ROUND((IF(N100-Uzman_D!$L$11&lt;0, -(N100-Uzman_D!$L$11), N100-Uzman_D!$L$11)*2),0)/1 * 0.1), 0) +
    IF(O100-Uzman_D!$M$11&lt;0, -(O100-Uzman_D!$M$11), O100-Uzman_D!$M$11)*1
)</f>
        <v>-0.30000000000000027</v>
      </c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75"/>
      <c r="AB100" s="75"/>
      <c r="AC100" s="73">
        <f>1 - (
    SUM(
        IF(Q100-Uzman_D!$B$12&lt;0, -(Q100-Uzman_D!$B$12), Q100-Uzman_D!$B$12)*0.1 +
        IF(R100-Uzman_D!$C$12&lt;0, -(R100-Uzman_D!$C$12), R100-Uzman_D!$C$12)*0.1 +
        IF(S100-Uzman_D!$D$12&lt;0, -(S100-Uzman_D!$D$12), S100-Uzman_D!$D$12)*0.1 +
        IF(T100-Uzman_D!$E$12&lt;0, -(T100-Uzman_D!$E$12), T100-Uzman_D!$E$12)*0.1 +
        IF(U100-Uzman_D!$F$12&lt;0, -(U100-Uzman_D!$F$12), U100-Uzman_D!$F$12)*0.1 +
        IF(V100-Uzman_D!$G$12&lt;0, -(V100-Uzman_D!$G$12), V100-Uzman_D!$G$12)*0.1 +
        IF(W100-Uzman_D!$H$12&lt;0, -(W100-Uzman_D!$H$12), W100-Uzman_D!$H$12)*0.1 +
        IF(X100-Uzman_D!$I$12&lt;0, -(X100-Uzman_D!$I$12), X100-Uzman_D!$I$12)*0.1 +
        IF(Y100-Uzman_D!$J$12&lt;0, -(Y100-Uzman_D!$J$12), Y100-Uzman_D!$J$12)*0.1
    ) +
    IF(ROUND((IF(AA100-Uzman_D!$L$12&lt;0, -(AA100-Uzman_D!$L$12), AA100-Uzman_D!$L$12)*2),0)/2 = IF(AA100-Uzman_D!$L$12&lt;0, -(AA100-Uzman_D!$L$12), AA100-Uzman_D!$L$12),
    (ROUND((IF(AA100-Uzman_D!$L$12&lt;0, -(AA100-Uzman_D!$L$12), AA100-Uzman_D!$L$12)*2),0)/1 * 0.1), 0) +
    IF(AB100-Uzman_D!$M$12&lt;0, -(AB100-Uzman_D!$M$12), AB100-Uzman_D!$M$12)*1
)</f>
        <v>-0.20000000000000018</v>
      </c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75"/>
      <c r="AO100" s="75"/>
      <c r="AP100" s="73">
        <f>1 - (
    SUM(
        IF(AD100-Uzman_D!$B$13&lt;0, -(AD100-Uzman_D!$B$13), AD100-Uzman_D!$B$13)*0.1 +
        IF(AE100-Uzman_D!$C$13&lt;0, -(AE100-Uzman_D!$C$13), AE100-Uzman_D!$C$13)*0.1 +
        IF(AF100-Uzman_D!$D$13&lt;0, -(AF100-Uzman_D!$D$13), AF100-Uzman_D!$D$13)*0.1 +
        IF(AG100-Uzman_D!$E$13&lt;0, -(AG100-Uzman_D!$E$13), AG100-Uzman_D!$E$13)*0.1 +
        IF(AH100-Uzman_D!$F$13&lt;0, -(AH100-Uzman_D!$F$13), AH100-Uzman_D!$F$13)*0.1 +
        IF(AI100-Uzman_D!$G$13&lt;0, -(AI100-Uzman_D!$G$13), AI100-Uzman_D!$G$13)*0.1 +
        IF(AJ100-Uzman_D!$H$13&lt;0, -(AJ100-Uzman_D!$H$13), AJ100-Uzman_D!$H$13)*0.1 +
        IF(AK100-Uzman_D!$I$13&lt;0, -(AK100-Uzman_D!$I$13), AK100-Uzman_D!$I$13)*0.1 +
        IF(AL100-Uzman_D!$J$13&lt;0, -(AL100-Uzman_D!$J$13), AL100-Uzman_D!$J$13)*0.1
    ) +
    IF(ROUND((IF(AN100-Uzman_D!$L$13&lt;0, -(AN100-Uzman_D!$L$13), AN100-Uzman_D!$L$13)*2),0)/2 = IF(AN100-Uzman_D!$L$13&lt;0, -(AN100-Uzman_D!$L$13), AN100-Uzman_D!$L$13),
    (ROUND((IF(AN100-Uzman_D!$L$13&lt;0, -(AN100-Uzman_D!$L$13), AN100-Uzman_D!$L$13)*2),0)/1 * 0.1), 0) +
    IF(AO100-Uzman_D!$M$13&lt;0, -(AO100-Uzman_D!$M$13), AO100-Uzman_D!$M$13)*1
)</f>
        <v>-0.30000000000000004</v>
      </c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75"/>
      <c r="BB100" s="75"/>
      <c r="BC100" s="73">
        <f>1 - (
    SUM(
        IF(AQ100-Uzman_D!$B$14&lt;0, -(AQ100-Uzman_D!$B$14), AQ100-Uzman_D!$B$14)*0.1 +
        IF(AR100-Uzman_D!$C$14&lt;0, -(AR100-Uzman_D!$C$14), AR100-Uzman_D!$C$14)*0.1 +
        IF(AS100-Uzman_D!$D$14&lt;0, -(AS100-Uzman_D!$D$14), AS100-Uzman_D!$D$14)*0.1 +
        IF(AT100-Uzman_D!$E$14&lt;0, -(AT100-Uzman_D!$E$14), AT100-Uzman_D!$E$14)*0.1 +
        IF(AU100-Uzman_D!$F$14&lt;0, -(AU100-Uzman_D!$F$14), AU100-Uzman_D!$F$14)*0.1 +
        IF(AV100-Uzman_D!$G$14&lt;0, -(AV100-Uzman_D!$G$14), AV100-Uzman_D!$G$14)*0.1 +
        IF(AW100-Uzman_D!$H$14&lt;0, -(AW100-Uzman_D!$H$14), AW100-Uzman_D!$H$14)*0.1 +
        IF(AX100-Uzman_D!$I$14&lt;0, -(AX100-Uzman_D!$I$14), AX100-Uzman_D!$I$14)*0.1 +
        IF(AY100-Uzman_D!$J$14&lt;0, -(AY100-Uzman_D!$J$14), AY100-Uzman_D!$J$14)*0.1
    ) +
    IF(ROUND((IF(BA100-Uzman_D!$L$14&lt;0, -(BA100-Uzman_D!$L$14), BA100-Uzman_D!$L$14)*2),0)/2 = IF(BA100-Uzman_D!$L$14&lt;0, -(BA100-Uzman_D!$L$14), BA100-Uzman_D!$L$14),
    (ROUND((IF(BA100-Uzman_D!$L$14&lt;0, -(BA100-Uzman_D!$L$14), BA100-Uzman_D!$L$14)*2),0)/1 * 0.1), 0) +
    IF(BB100-Uzman_D!$M$14&lt;0, -(BB100-Uzman_D!$M$14), BB100-Uzman_D!$M$14)*1
)</f>
        <v>-0.20000000000000018</v>
      </c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75"/>
      <c r="BO100" s="75"/>
      <c r="BP100" s="73">
        <f>1 - (
    SUM(
        IF(BD100-Uzman_D!$B$15&lt;0, -(BD100-Uzman_D!$B$15), BD100-Uzman_D!$B$15)*0.1 +
        IF(BE100-Uzman_D!$C$15&lt;0, -(BE100-Uzman_D!$C$15), BE100-Uzman_D!$C$15)*0.1 +
        IF(BF100-Uzman_D!$D$15&lt;0, -(BF100-Uzman_D!$D$15), BF100-Uzman_D!$D$15)*0.1 +
        IF(BG100-Uzman_D!$E$15&lt;0, -(BG100-Uzman_D!$E$15), BG100-Uzman_D!$E$15)*0.1 +
        IF(BH100-Uzman_D!$F$15&lt;0, -(BH100-Uzman_D!$F$15), BH100-Uzman_D!$F$15)*0.1 +
        IF(BI100-Uzman_D!$G$15&lt;0, -(BI100-Uzman_D!$G$15), BI100-Uzman_D!$G$15)*0.1 +
        IF(BJ100-Uzman_D!$H$15&lt;0, -(BJ100-Uzman_D!$H$15), BJ100-Uzman_D!$H$15)*0.1 +
        IF(BK100-Uzman_D!$I$15&lt;0, -(BK100-Uzman_D!$I$15), BK100-Uzman_D!$I$15)*0.1 +
        IF(BL100-Uzman_D!$J$15&lt;0, -(BL100-Uzman_D!$J$15), BL100-Uzman_D!$J$15)*0.1
    ) +
    IF(ROUND((IF(BN100-Uzman_D!$L$15&lt;0, -(BN100-Uzman_D!$L$15), BN100-Uzman_D!$L$15)*2),0)/2 = IF(BN100-Uzman_D!$L$15&lt;0, -(BN100-Uzman_D!$L$15), BN100-Uzman_D!$L$15),
    (ROUND((IF(BN100-Uzman_D!$L$15&lt;0, -(BN100-Uzman_D!$L$15), BN100-Uzman_D!$L$15)*2),0)/1 * 0.1), 0) +
    IF(BO100-Uzman_D!$M$15&lt;0, -(BO100-Uzman_D!$M$15), BO100-Uzman_D!$M$15)*1
)</f>
        <v>-0.60000000000000009</v>
      </c>
      <c r="BQ100" s="74">
        <f t="shared" si="1"/>
        <v>-0.32000000000000017</v>
      </c>
    </row>
    <row r="101" spans="1:69" ht="15" customHeight="1" x14ac:dyDescent="0.2">
      <c r="A101" s="57">
        <v>98</v>
      </c>
      <c r="B101" s="37">
        <f>Hakemler!B101</f>
        <v>0</v>
      </c>
      <c r="C101" s="37">
        <f>Hakemler!C101</f>
        <v>0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75"/>
      <c r="O101" s="75"/>
      <c r="P101" s="73">
        <f>1 - (
    SUM(
        IF(D101-Uzman_D!$B$11&lt;0, -(D101-Uzman_D!$B$11), D101-Uzman_D!$B$11)*0.1 +
        IF(E101-Uzman_D!$C$11&lt;0, -(E101-Uzman_D!$C$11), E101-Uzman_D!$C$11)*0.1 +
        IF(F101-Uzman_D!$D$11&lt;0, -(F101-Uzman_D!$D$11), F101-Uzman_D!$D$11)*0.1 +
        IF(G101-Uzman_D!$E$11&lt;0, -(G101-Uzman_D!$E$11), G101-Uzman_D!$E$11)*0.1 +
        IF(H101-Uzman_D!$F$11&lt;0, -(H101-Uzman_D!$F$11), H101-Uzman_D!$F$11)*0.1 +
        IF(I101-Uzman_D!$G$11&lt;0, -(I101-Uzman_D!$G$11), I101-Uzman_D!$G$11)*0.1 +
        IF(J101-Uzman_D!$H$11&lt;0, -(J101-Uzman_D!$H$11), J101-Uzman_D!$H$11)*0.1 +
        IF(K101-Uzman_D!$I$11&lt;0, -(K101-Uzman_D!$I$11), K101-Uzman_D!$I$11)*0.1 +
        IF(L101-Uzman_D!$J$11&lt;0, -(L101-Uzman_D!$J$11), L101-Uzman_D!$J$11)*0.1
    ) +
    IF(ROUND((IF(N101-Uzman_D!$L$11&lt;0, -(N101-Uzman_D!$L$11), N101-Uzman_D!$L$11)*2),0)/2 = IF(N101-Uzman_D!$L$11&lt;0, -(N101-Uzman_D!$L$11), N101-Uzman_D!$L$11),
    (ROUND((IF(N101-Uzman_D!$L$11&lt;0, -(N101-Uzman_D!$L$11), N101-Uzman_D!$L$11)*2),0)/1 * 0.1), 0) +
    IF(O101-Uzman_D!$M$11&lt;0, -(O101-Uzman_D!$M$11), O101-Uzman_D!$M$11)*1
)</f>
        <v>-0.30000000000000027</v>
      </c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75"/>
      <c r="AB101" s="75"/>
      <c r="AC101" s="73">
        <f>1 - (
    SUM(
        IF(Q101-Uzman_D!$B$12&lt;0, -(Q101-Uzman_D!$B$12), Q101-Uzman_D!$B$12)*0.1 +
        IF(R101-Uzman_D!$C$12&lt;0, -(R101-Uzman_D!$C$12), R101-Uzman_D!$C$12)*0.1 +
        IF(S101-Uzman_D!$D$12&lt;0, -(S101-Uzman_D!$D$12), S101-Uzman_D!$D$12)*0.1 +
        IF(T101-Uzman_D!$E$12&lt;0, -(T101-Uzman_D!$E$12), T101-Uzman_D!$E$12)*0.1 +
        IF(U101-Uzman_D!$F$12&lt;0, -(U101-Uzman_D!$F$12), U101-Uzman_D!$F$12)*0.1 +
        IF(V101-Uzman_D!$G$12&lt;0, -(V101-Uzman_D!$G$12), V101-Uzman_D!$G$12)*0.1 +
        IF(W101-Uzman_D!$H$12&lt;0, -(W101-Uzman_D!$H$12), W101-Uzman_D!$H$12)*0.1 +
        IF(X101-Uzman_D!$I$12&lt;0, -(X101-Uzman_D!$I$12), X101-Uzman_D!$I$12)*0.1 +
        IF(Y101-Uzman_D!$J$12&lt;0, -(Y101-Uzman_D!$J$12), Y101-Uzman_D!$J$12)*0.1
    ) +
    IF(ROUND((IF(AA101-Uzman_D!$L$12&lt;0, -(AA101-Uzman_D!$L$12), AA101-Uzman_D!$L$12)*2),0)/2 = IF(AA101-Uzman_D!$L$12&lt;0, -(AA101-Uzman_D!$L$12), AA101-Uzman_D!$L$12),
    (ROUND((IF(AA101-Uzman_D!$L$12&lt;0, -(AA101-Uzman_D!$L$12), AA101-Uzman_D!$L$12)*2),0)/1 * 0.1), 0) +
    IF(AB101-Uzman_D!$M$12&lt;0, -(AB101-Uzman_D!$M$12), AB101-Uzman_D!$M$12)*1
)</f>
        <v>-0.20000000000000018</v>
      </c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75"/>
      <c r="AO101" s="75"/>
      <c r="AP101" s="73">
        <f>1 - (
    SUM(
        IF(AD101-Uzman_D!$B$13&lt;0, -(AD101-Uzman_D!$B$13), AD101-Uzman_D!$B$13)*0.1 +
        IF(AE101-Uzman_D!$C$13&lt;0, -(AE101-Uzman_D!$C$13), AE101-Uzman_D!$C$13)*0.1 +
        IF(AF101-Uzman_D!$D$13&lt;0, -(AF101-Uzman_D!$D$13), AF101-Uzman_D!$D$13)*0.1 +
        IF(AG101-Uzman_D!$E$13&lt;0, -(AG101-Uzman_D!$E$13), AG101-Uzman_D!$E$13)*0.1 +
        IF(AH101-Uzman_D!$F$13&lt;0, -(AH101-Uzman_D!$F$13), AH101-Uzman_D!$F$13)*0.1 +
        IF(AI101-Uzman_D!$G$13&lt;0, -(AI101-Uzman_D!$G$13), AI101-Uzman_D!$G$13)*0.1 +
        IF(AJ101-Uzman_D!$H$13&lt;0, -(AJ101-Uzman_D!$H$13), AJ101-Uzman_D!$H$13)*0.1 +
        IF(AK101-Uzman_D!$I$13&lt;0, -(AK101-Uzman_D!$I$13), AK101-Uzman_D!$I$13)*0.1 +
        IF(AL101-Uzman_D!$J$13&lt;0, -(AL101-Uzman_D!$J$13), AL101-Uzman_D!$J$13)*0.1
    ) +
    IF(ROUND((IF(AN101-Uzman_D!$L$13&lt;0, -(AN101-Uzman_D!$L$13), AN101-Uzman_D!$L$13)*2),0)/2 = IF(AN101-Uzman_D!$L$13&lt;0, -(AN101-Uzman_D!$L$13), AN101-Uzman_D!$L$13),
    (ROUND((IF(AN101-Uzman_D!$L$13&lt;0, -(AN101-Uzman_D!$L$13), AN101-Uzman_D!$L$13)*2),0)/1 * 0.1), 0) +
    IF(AO101-Uzman_D!$M$13&lt;0, -(AO101-Uzman_D!$M$13), AO101-Uzman_D!$M$13)*1
)</f>
        <v>-0.30000000000000004</v>
      </c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75"/>
      <c r="BB101" s="75"/>
      <c r="BC101" s="73">
        <f>1 - (
    SUM(
        IF(AQ101-Uzman_D!$B$14&lt;0, -(AQ101-Uzman_D!$B$14), AQ101-Uzman_D!$B$14)*0.1 +
        IF(AR101-Uzman_D!$C$14&lt;0, -(AR101-Uzman_D!$C$14), AR101-Uzman_D!$C$14)*0.1 +
        IF(AS101-Uzman_D!$D$14&lt;0, -(AS101-Uzman_D!$D$14), AS101-Uzman_D!$D$14)*0.1 +
        IF(AT101-Uzman_D!$E$14&lt;0, -(AT101-Uzman_D!$E$14), AT101-Uzman_D!$E$14)*0.1 +
        IF(AU101-Uzman_D!$F$14&lt;0, -(AU101-Uzman_D!$F$14), AU101-Uzman_D!$F$14)*0.1 +
        IF(AV101-Uzman_D!$G$14&lt;0, -(AV101-Uzman_D!$G$14), AV101-Uzman_D!$G$14)*0.1 +
        IF(AW101-Uzman_D!$H$14&lt;0, -(AW101-Uzman_D!$H$14), AW101-Uzman_D!$H$14)*0.1 +
        IF(AX101-Uzman_D!$I$14&lt;0, -(AX101-Uzman_D!$I$14), AX101-Uzman_D!$I$14)*0.1 +
        IF(AY101-Uzman_D!$J$14&lt;0, -(AY101-Uzman_D!$J$14), AY101-Uzman_D!$J$14)*0.1
    ) +
    IF(ROUND((IF(BA101-Uzman_D!$L$14&lt;0, -(BA101-Uzman_D!$L$14), BA101-Uzman_D!$L$14)*2),0)/2 = IF(BA101-Uzman_D!$L$14&lt;0, -(BA101-Uzman_D!$L$14), BA101-Uzman_D!$L$14),
    (ROUND((IF(BA101-Uzman_D!$L$14&lt;0, -(BA101-Uzman_D!$L$14), BA101-Uzman_D!$L$14)*2),0)/1 * 0.1), 0) +
    IF(BB101-Uzman_D!$M$14&lt;0, -(BB101-Uzman_D!$M$14), BB101-Uzman_D!$M$14)*1
)</f>
        <v>-0.20000000000000018</v>
      </c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75"/>
      <c r="BO101" s="75"/>
      <c r="BP101" s="73">
        <f>1 - (
    SUM(
        IF(BD101-Uzman_D!$B$15&lt;0, -(BD101-Uzman_D!$B$15), BD101-Uzman_D!$B$15)*0.1 +
        IF(BE101-Uzman_D!$C$15&lt;0, -(BE101-Uzman_D!$C$15), BE101-Uzman_D!$C$15)*0.1 +
        IF(BF101-Uzman_D!$D$15&lt;0, -(BF101-Uzman_D!$D$15), BF101-Uzman_D!$D$15)*0.1 +
        IF(BG101-Uzman_D!$E$15&lt;0, -(BG101-Uzman_D!$E$15), BG101-Uzman_D!$E$15)*0.1 +
        IF(BH101-Uzman_D!$F$15&lt;0, -(BH101-Uzman_D!$F$15), BH101-Uzman_D!$F$15)*0.1 +
        IF(BI101-Uzman_D!$G$15&lt;0, -(BI101-Uzman_D!$G$15), BI101-Uzman_D!$G$15)*0.1 +
        IF(BJ101-Uzman_D!$H$15&lt;0, -(BJ101-Uzman_D!$H$15), BJ101-Uzman_D!$H$15)*0.1 +
        IF(BK101-Uzman_D!$I$15&lt;0, -(BK101-Uzman_D!$I$15), BK101-Uzman_D!$I$15)*0.1 +
        IF(BL101-Uzman_D!$J$15&lt;0, -(BL101-Uzman_D!$J$15), BL101-Uzman_D!$J$15)*0.1
    ) +
    IF(ROUND((IF(BN101-Uzman_D!$L$15&lt;0, -(BN101-Uzman_D!$L$15), BN101-Uzman_D!$L$15)*2),0)/2 = IF(BN101-Uzman_D!$L$15&lt;0, -(BN101-Uzman_D!$L$15), BN101-Uzman_D!$L$15),
    (ROUND((IF(BN101-Uzman_D!$L$15&lt;0, -(BN101-Uzman_D!$L$15), BN101-Uzman_D!$L$15)*2),0)/1 * 0.1), 0) +
    IF(BO101-Uzman_D!$M$15&lt;0, -(BO101-Uzman_D!$M$15), BO101-Uzman_D!$M$15)*1
)</f>
        <v>-0.60000000000000009</v>
      </c>
      <c r="BQ101" s="74">
        <f t="shared" si="1"/>
        <v>-0.32000000000000017</v>
      </c>
    </row>
    <row r="102" spans="1:69" ht="15" customHeight="1" x14ac:dyDescent="0.2">
      <c r="A102" s="57">
        <v>99</v>
      </c>
      <c r="B102" s="37">
        <f>Hakemler!B102</f>
        <v>0</v>
      </c>
      <c r="C102" s="37">
        <f>Hakemler!C102</f>
        <v>0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75"/>
      <c r="O102" s="75"/>
      <c r="P102" s="73">
        <f>1 - (
    SUM(
        IF(D102-Uzman_D!$B$11&lt;0, -(D102-Uzman_D!$B$11), D102-Uzman_D!$B$11)*0.1 +
        IF(E102-Uzman_D!$C$11&lt;0, -(E102-Uzman_D!$C$11), E102-Uzman_D!$C$11)*0.1 +
        IF(F102-Uzman_D!$D$11&lt;0, -(F102-Uzman_D!$D$11), F102-Uzman_D!$D$11)*0.1 +
        IF(G102-Uzman_D!$E$11&lt;0, -(G102-Uzman_D!$E$11), G102-Uzman_D!$E$11)*0.1 +
        IF(H102-Uzman_D!$F$11&lt;0, -(H102-Uzman_D!$F$11), H102-Uzman_D!$F$11)*0.1 +
        IF(I102-Uzman_D!$G$11&lt;0, -(I102-Uzman_D!$G$11), I102-Uzman_D!$G$11)*0.1 +
        IF(J102-Uzman_D!$H$11&lt;0, -(J102-Uzman_D!$H$11), J102-Uzman_D!$H$11)*0.1 +
        IF(K102-Uzman_D!$I$11&lt;0, -(K102-Uzman_D!$I$11), K102-Uzman_D!$I$11)*0.1 +
        IF(L102-Uzman_D!$J$11&lt;0, -(L102-Uzman_D!$J$11), L102-Uzman_D!$J$11)*0.1
    ) +
    IF(ROUND((IF(N102-Uzman_D!$L$11&lt;0, -(N102-Uzman_D!$L$11), N102-Uzman_D!$L$11)*2),0)/2 = IF(N102-Uzman_D!$L$11&lt;0, -(N102-Uzman_D!$L$11), N102-Uzman_D!$L$11),
    (ROUND((IF(N102-Uzman_D!$L$11&lt;0, -(N102-Uzman_D!$L$11), N102-Uzman_D!$L$11)*2),0)/1 * 0.1), 0) +
    IF(O102-Uzman_D!$M$11&lt;0, -(O102-Uzman_D!$M$11), O102-Uzman_D!$M$11)*1
)</f>
        <v>-0.30000000000000027</v>
      </c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75"/>
      <c r="AB102" s="75"/>
      <c r="AC102" s="73">
        <f>1 - (
    SUM(
        IF(Q102-Uzman_D!$B$12&lt;0, -(Q102-Uzman_D!$B$12), Q102-Uzman_D!$B$12)*0.1 +
        IF(R102-Uzman_D!$C$12&lt;0, -(R102-Uzman_D!$C$12), R102-Uzman_D!$C$12)*0.1 +
        IF(S102-Uzman_D!$D$12&lt;0, -(S102-Uzman_D!$D$12), S102-Uzman_D!$D$12)*0.1 +
        IF(T102-Uzman_D!$E$12&lt;0, -(T102-Uzman_D!$E$12), T102-Uzman_D!$E$12)*0.1 +
        IF(U102-Uzman_D!$F$12&lt;0, -(U102-Uzman_D!$F$12), U102-Uzman_D!$F$12)*0.1 +
        IF(V102-Uzman_D!$G$12&lt;0, -(V102-Uzman_D!$G$12), V102-Uzman_D!$G$12)*0.1 +
        IF(W102-Uzman_D!$H$12&lt;0, -(W102-Uzman_D!$H$12), W102-Uzman_D!$H$12)*0.1 +
        IF(X102-Uzman_D!$I$12&lt;0, -(X102-Uzman_D!$I$12), X102-Uzman_D!$I$12)*0.1 +
        IF(Y102-Uzman_D!$J$12&lt;0, -(Y102-Uzman_D!$J$12), Y102-Uzman_D!$J$12)*0.1
    ) +
    IF(ROUND((IF(AA102-Uzman_D!$L$12&lt;0, -(AA102-Uzman_D!$L$12), AA102-Uzman_D!$L$12)*2),0)/2 = IF(AA102-Uzman_D!$L$12&lt;0, -(AA102-Uzman_D!$L$12), AA102-Uzman_D!$L$12),
    (ROUND((IF(AA102-Uzman_D!$L$12&lt;0, -(AA102-Uzman_D!$L$12), AA102-Uzman_D!$L$12)*2),0)/1 * 0.1), 0) +
    IF(AB102-Uzman_D!$M$12&lt;0, -(AB102-Uzman_D!$M$12), AB102-Uzman_D!$M$12)*1
)</f>
        <v>-0.20000000000000018</v>
      </c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75"/>
      <c r="AO102" s="75"/>
      <c r="AP102" s="73">
        <f>1 - (
    SUM(
        IF(AD102-Uzman_D!$B$13&lt;0, -(AD102-Uzman_D!$B$13), AD102-Uzman_D!$B$13)*0.1 +
        IF(AE102-Uzman_D!$C$13&lt;0, -(AE102-Uzman_D!$C$13), AE102-Uzman_D!$C$13)*0.1 +
        IF(AF102-Uzman_D!$D$13&lt;0, -(AF102-Uzman_D!$D$13), AF102-Uzman_D!$D$13)*0.1 +
        IF(AG102-Uzman_D!$E$13&lt;0, -(AG102-Uzman_D!$E$13), AG102-Uzman_D!$E$13)*0.1 +
        IF(AH102-Uzman_D!$F$13&lt;0, -(AH102-Uzman_D!$F$13), AH102-Uzman_D!$F$13)*0.1 +
        IF(AI102-Uzman_D!$G$13&lt;0, -(AI102-Uzman_D!$G$13), AI102-Uzman_D!$G$13)*0.1 +
        IF(AJ102-Uzman_D!$H$13&lt;0, -(AJ102-Uzman_D!$H$13), AJ102-Uzman_D!$H$13)*0.1 +
        IF(AK102-Uzman_D!$I$13&lt;0, -(AK102-Uzman_D!$I$13), AK102-Uzman_D!$I$13)*0.1 +
        IF(AL102-Uzman_D!$J$13&lt;0, -(AL102-Uzman_D!$J$13), AL102-Uzman_D!$J$13)*0.1
    ) +
    IF(ROUND((IF(AN102-Uzman_D!$L$13&lt;0, -(AN102-Uzman_D!$L$13), AN102-Uzman_D!$L$13)*2),0)/2 = IF(AN102-Uzman_D!$L$13&lt;0, -(AN102-Uzman_D!$L$13), AN102-Uzman_D!$L$13),
    (ROUND((IF(AN102-Uzman_D!$L$13&lt;0, -(AN102-Uzman_D!$L$13), AN102-Uzman_D!$L$13)*2),0)/1 * 0.1), 0) +
    IF(AO102-Uzman_D!$M$13&lt;0, -(AO102-Uzman_D!$M$13), AO102-Uzman_D!$M$13)*1
)</f>
        <v>-0.30000000000000004</v>
      </c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75"/>
      <c r="BB102" s="75"/>
      <c r="BC102" s="73">
        <f>1 - (
    SUM(
        IF(AQ102-Uzman_D!$B$14&lt;0, -(AQ102-Uzman_D!$B$14), AQ102-Uzman_D!$B$14)*0.1 +
        IF(AR102-Uzman_D!$C$14&lt;0, -(AR102-Uzman_D!$C$14), AR102-Uzman_D!$C$14)*0.1 +
        IF(AS102-Uzman_D!$D$14&lt;0, -(AS102-Uzman_D!$D$14), AS102-Uzman_D!$D$14)*0.1 +
        IF(AT102-Uzman_D!$E$14&lt;0, -(AT102-Uzman_D!$E$14), AT102-Uzman_D!$E$14)*0.1 +
        IF(AU102-Uzman_D!$F$14&lt;0, -(AU102-Uzman_D!$F$14), AU102-Uzman_D!$F$14)*0.1 +
        IF(AV102-Uzman_D!$G$14&lt;0, -(AV102-Uzman_D!$G$14), AV102-Uzman_D!$G$14)*0.1 +
        IF(AW102-Uzman_D!$H$14&lt;0, -(AW102-Uzman_D!$H$14), AW102-Uzman_D!$H$14)*0.1 +
        IF(AX102-Uzman_D!$I$14&lt;0, -(AX102-Uzman_D!$I$14), AX102-Uzman_D!$I$14)*0.1 +
        IF(AY102-Uzman_D!$J$14&lt;0, -(AY102-Uzman_D!$J$14), AY102-Uzman_D!$J$14)*0.1
    ) +
    IF(ROUND((IF(BA102-Uzman_D!$L$14&lt;0, -(BA102-Uzman_D!$L$14), BA102-Uzman_D!$L$14)*2),0)/2 = IF(BA102-Uzman_D!$L$14&lt;0, -(BA102-Uzman_D!$L$14), BA102-Uzman_D!$L$14),
    (ROUND((IF(BA102-Uzman_D!$L$14&lt;0, -(BA102-Uzman_D!$L$14), BA102-Uzman_D!$L$14)*2),0)/1 * 0.1), 0) +
    IF(BB102-Uzman_D!$M$14&lt;0, -(BB102-Uzman_D!$M$14), BB102-Uzman_D!$M$14)*1
)</f>
        <v>-0.20000000000000018</v>
      </c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75"/>
      <c r="BO102" s="75"/>
      <c r="BP102" s="73">
        <f>1 - (
    SUM(
        IF(BD102-Uzman_D!$B$15&lt;0, -(BD102-Uzman_D!$B$15), BD102-Uzman_D!$B$15)*0.1 +
        IF(BE102-Uzman_D!$C$15&lt;0, -(BE102-Uzman_D!$C$15), BE102-Uzman_D!$C$15)*0.1 +
        IF(BF102-Uzman_D!$D$15&lt;0, -(BF102-Uzman_D!$D$15), BF102-Uzman_D!$D$15)*0.1 +
        IF(BG102-Uzman_D!$E$15&lt;0, -(BG102-Uzman_D!$E$15), BG102-Uzman_D!$E$15)*0.1 +
        IF(BH102-Uzman_D!$F$15&lt;0, -(BH102-Uzman_D!$F$15), BH102-Uzman_D!$F$15)*0.1 +
        IF(BI102-Uzman_D!$G$15&lt;0, -(BI102-Uzman_D!$G$15), BI102-Uzman_D!$G$15)*0.1 +
        IF(BJ102-Uzman_D!$H$15&lt;0, -(BJ102-Uzman_D!$H$15), BJ102-Uzman_D!$H$15)*0.1 +
        IF(BK102-Uzman_D!$I$15&lt;0, -(BK102-Uzman_D!$I$15), BK102-Uzman_D!$I$15)*0.1 +
        IF(BL102-Uzman_D!$J$15&lt;0, -(BL102-Uzman_D!$J$15), BL102-Uzman_D!$J$15)*0.1
    ) +
    IF(ROUND((IF(BN102-Uzman_D!$L$15&lt;0, -(BN102-Uzman_D!$L$15), BN102-Uzman_D!$L$15)*2),0)/2 = IF(BN102-Uzman_D!$L$15&lt;0, -(BN102-Uzman_D!$L$15), BN102-Uzman_D!$L$15),
    (ROUND((IF(BN102-Uzman_D!$L$15&lt;0, -(BN102-Uzman_D!$L$15), BN102-Uzman_D!$L$15)*2),0)/1 * 0.1), 0) +
    IF(BO102-Uzman_D!$M$15&lt;0, -(BO102-Uzman_D!$M$15), BO102-Uzman_D!$M$15)*1
)</f>
        <v>-0.60000000000000009</v>
      </c>
      <c r="BQ102" s="74">
        <f t="shared" si="1"/>
        <v>-0.32000000000000017</v>
      </c>
    </row>
    <row r="103" spans="1:69" ht="15.75" customHeight="1" x14ac:dyDescent="0.2">
      <c r="A103" s="76">
        <v>100</v>
      </c>
      <c r="B103" s="37">
        <f>Hakemler!B103</f>
        <v>0</v>
      </c>
      <c r="C103" s="37">
        <f>Hakemler!C103</f>
        <v>0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75"/>
      <c r="O103" s="75"/>
      <c r="P103" s="73">
        <f>1 - (
    SUM(
        IF(D103-Uzman_D!$B$11&lt;0, -(D103-Uzman_D!$B$11), D103-Uzman_D!$B$11)*0.1 +
        IF(E103-Uzman_D!$C$11&lt;0, -(E103-Uzman_D!$C$11), E103-Uzman_D!$C$11)*0.1 +
        IF(F103-Uzman_D!$D$11&lt;0, -(F103-Uzman_D!$D$11), F103-Uzman_D!$D$11)*0.1 +
        IF(G103-Uzman_D!$E$11&lt;0, -(G103-Uzman_D!$E$11), G103-Uzman_D!$E$11)*0.1 +
        IF(H103-Uzman_D!$F$11&lt;0, -(H103-Uzman_D!$F$11), H103-Uzman_D!$F$11)*0.1 +
        IF(I103-Uzman_D!$G$11&lt;0, -(I103-Uzman_D!$G$11), I103-Uzman_D!$G$11)*0.1 +
        IF(J103-Uzman_D!$H$11&lt;0, -(J103-Uzman_D!$H$11), J103-Uzman_D!$H$11)*0.1 +
        IF(K103-Uzman_D!$I$11&lt;0, -(K103-Uzman_D!$I$11), K103-Uzman_D!$I$11)*0.1 +
        IF(L103-Uzman_D!$J$11&lt;0, -(L103-Uzman_D!$J$11), L103-Uzman_D!$J$11)*0.1
    ) +
    IF(ROUND((IF(N103-Uzman_D!$L$11&lt;0, -(N103-Uzman_D!$L$11), N103-Uzman_D!$L$11)*2),0)/2 = IF(N103-Uzman_D!$L$11&lt;0, -(N103-Uzman_D!$L$11), N103-Uzman_D!$L$11),
    (ROUND((IF(N103-Uzman_D!$L$11&lt;0, -(N103-Uzman_D!$L$11), N103-Uzman_D!$L$11)*2),0)/1 * 0.1), 0) +
    IF(O103-Uzman_D!$M$11&lt;0, -(O103-Uzman_D!$M$11), O103-Uzman_D!$M$11)*1
)</f>
        <v>-0.30000000000000027</v>
      </c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75"/>
      <c r="AB103" s="75"/>
      <c r="AC103" s="73">
        <f>1 - (
    SUM(
        IF(Q103-Uzman_D!$B$12&lt;0, -(Q103-Uzman_D!$B$12), Q103-Uzman_D!$B$12)*0.1 +
        IF(R103-Uzman_D!$C$12&lt;0, -(R103-Uzman_D!$C$12), R103-Uzman_D!$C$12)*0.1 +
        IF(S103-Uzman_D!$D$12&lt;0, -(S103-Uzman_D!$D$12), S103-Uzman_D!$D$12)*0.1 +
        IF(T103-Uzman_D!$E$12&lt;0, -(T103-Uzman_D!$E$12), T103-Uzman_D!$E$12)*0.1 +
        IF(U103-Uzman_D!$F$12&lt;0, -(U103-Uzman_D!$F$12), U103-Uzman_D!$F$12)*0.1 +
        IF(V103-Uzman_D!$G$12&lt;0, -(V103-Uzman_D!$G$12), V103-Uzman_D!$G$12)*0.1 +
        IF(W103-Uzman_D!$H$12&lt;0, -(W103-Uzman_D!$H$12), W103-Uzman_D!$H$12)*0.1 +
        IF(X103-Uzman_D!$I$12&lt;0, -(X103-Uzman_D!$I$12), X103-Uzman_D!$I$12)*0.1 +
        IF(Y103-Uzman_D!$J$12&lt;0, -(Y103-Uzman_D!$J$12), Y103-Uzman_D!$J$12)*0.1
    ) +
    IF(ROUND((IF(AA103-Uzman_D!$L$12&lt;0, -(AA103-Uzman_D!$L$12), AA103-Uzman_D!$L$12)*2),0)/2 = IF(AA103-Uzman_D!$L$12&lt;0, -(AA103-Uzman_D!$L$12), AA103-Uzman_D!$L$12),
    (ROUND((IF(AA103-Uzman_D!$L$12&lt;0, -(AA103-Uzman_D!$L$12), AA103-Uzman_D!$L$12)*2),0)/1 * 0.1), 0) +
    IF(AB103-Uzman_D!$M$12&lt;0, -(AB103-Uzman_D!$M$12), AB103-Uzman_D!$M$12)*1
)</f>
        <v>-0.20000000000000018</v>
      </c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75"/>
      <c r="AO103" s="75"/>
      <c r="AP103" s="73">
        <f>1 - (
    SUM(
        IF(AD103-Uzman_D!$B$13&lt;0, -(AD103-Uzman_D!$B$13), AD103-Uzman_D!$B$13)*0.1 +
        IF(AE103-Uzman_D!$C$13&lt;0, -(AE103-Uzman_D!$C$13), AE103-Uzman_D!$C$13)*0.1 +
        IF(AF103-Uzman_D!$D$13&lt;0, -(AF103-Uzman_D!$D$13), AF103-Uzman_D!$D$13)*0.1 +
        IF(AG103-Uzman_D!$E$13&lt;0, -(AG103-Uzman_D!$E$13), AG103-Uzman_D!$E$13)*0.1 +
        IF(AH103-Uzman_D!$F$13&lt;0, -(AH103-Uzman_D!$F$13), AH103-Uzman_D!$F$13)*0.1 +
        IF(AI103-Uzman_D!$G$13&lt;0, -(AI103-Uzman_D!$G$13), AI103-Uzman_D!$G$13)*0.1 +
        IF(AJ103-Uzman_D!$H$13&lt;0, -(AJ103-Uzman_D!$H$13), AJ103-Uzman_D!$H$13)*0.1 +
        IF(AK103-Uzman_D!$I$13&lt;0, -(AK103-Uzman_D!$I$13), AK103-Uzman_D!$I$13)*0.1 +
        IF(AL103-Uzman_D!$J$13&lt;0, -(AL103-Uzman_D!$J$13), AL103-Uzman_D!$J$13)*0.1
    ) +
    IF(ROUND((IF(AN103-Uzman_D!$L$13&lt;0, -(AN103-Uzman_D!$L$13), AN103-Uzman_D!$L$13)*2),0)/2 = IF(AN103-Uzman_D!$L$13&lt;0, -(AN103-Uzman_D!$L$13), AN103-Uzman_D!$L$13),
    (ROUND((IF(AN103-Uzman_D!$L$13&lt;0, -(AN103-Uzman_D!$L$13), AN103-Uzman_D!$L$13)*2),0)/1 * 0.1), 0) +
    IF(AO103-Uzman_D!$M$13&lt;0, -(AO103-Uzman_D!$M$13), AO103-Uzman_D!$M$13)*1
)</f>
        <v>-0.30000000000000004</v>
      </c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75"/>
      <c r="BB103" s="75"/>
      <c r="BC103" s="73">
        <f>1 - (
    SUM(
        IF(AQ103-Uzman_D!$B$14&lt;0, -(AQ103-Uzman_D!$B$14), AQ103-Uzman_D!$B$14)*0.1 +
        IF(AR103-Uzman_D!$C$14&lt;0, -(AR103-Uzman_D!$C$14), AR103-Uzman_D!$C$14)*0.1 +
        IF(AS103-Uzman_D!$D$14&lt;0, -(AS103-Uzman_D!$D$14), AS103-Uzman_D!$D$14)*0.1 +
        IF(AT103-Uzman_D!$E$14&lt;0, -(AT103-Uzman_D!$E$14), AT103-Uzman_D!$E$14)*0.1 +
        IF(AU103-Uzman_D!$F$14&lt;0, -(AU103-Uzman_D!$F$14), AU103-Uzman_D!$F$14)*0.1 +
        IF(AV103-Uzman_D!$G$14&lt;0, -(AV103-Uzman_D!$G$14), AV103-Uzman_D!$G$14)*0.1 +
        IF(AW103-Uzman_D!$H$14&lt;0, -(AW103-Uzman_D!$H$14), AW103-Uzman_D!$H$14)*0.1 +
        IF(AX103-Uzman_D!$I$14&lt;0, -(AX103-Uzman_D!$I$14), AX103-Uzman_D!$I$14)*0.1 +
        IF(AY103-Uzman_D!$J$14&lt;0, -(AY103-Uzman_D!$J$14), AY103-Uzman_D!$J$14)*0.1
    ) +
    IF(ROUND((IF(BA103-Uzman_D!$L$14&lt;0, -(BA103-Uzman_D!$L$14), BA103-Uzman_D!$L$14)*2),0)/2 = IF(BA103-Uzman_D!$L$14&lt;0, -(BA103-Uzman_D!$L$14), BA103-Uzman_D!$L$14),
    (ROUND((IF(BA103-Uzman_D!$L$14&lt;0, -(BA103-Uzman_D!$L$14), BA103-Uzman_D!$L$14)*2),0)/1 * 0.1), 0) +
    IF(BB103-Uzman_D!$M$14&lt;0, -(BB103-Uzman_D!$M$14), BB103-Uzman_D!$M$14)*1
)</f>
        <v>-0.20000000000000018</v>
      </c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75"/>
      <c r="BO103" s="75"/>
      <c r="BP103" s="73">
        <f>1 - (
    SUM(
        IF(BD103-Uzman_D!$B$15&lt;0, -(BD103-Uzman_D!$B$15), BD103-Uzman_D!$B$15)*0.1 +
        IF(BE103-Uzman_D!$C$15&lt;0, -(BE103-Uzman_D!$C$15), BE103-Uzman_D!$C$15)*0.1 +
        IF(BF103-Uzman_D!$D$15&lt;0, -(BF103-Uzman_D!$D$15), BF103-Uzman_D!$D$15)*0.1 +
        IF(BG103-Uzman_D!$E$15&lt;0, -(BG103-Uzman_D!$E$15), BG103-Uzman_D!$E$15)*0.1 +
        IF(BH103-Uzman_D!$F$15&lt;0, -(BH103-Uzman_D!$F$15), BH103-Uzman_D!$F$15)*0.1 +
        IF(BI103-Uzman_D!$G$15&lt;0, -(BI103-Uzman_D!$G$15), BI103-Uzman_D!$G$15)*0.1 +
        IF(BJ103-Uzman_D!$H$15&lt;0, -(BJ103-Uzman_D!$H$15), BJ103-Uzman_D!$H$15)*0.1 +
        IF(BK103-Uzman_D!$I$15&lt;0, -(BK103-Uzman_D!$I$15), BK103-Uzman_D!$I$15)*0.1 +
        IF(BL103-Uzman_D!$J$15&lt;0, -(BL103-Uzman_D!$J$15), BL103-Uzman_D!$J$15)*0.1
    ) +
    IF(ROUND((IF(BN103-Uzman_D!$L$15&lt;0, -(BN103-Uzman_D!$L$15), BN103-Uzman_D!$L$15)*2),0)/2 = IF(BN103-Uzman_D!$L$15&lt;0, -(BN103-Uzman_D!$L$15), BN103-Uzman_D!$L$15),
    (ROUND((IF(BN103-Uzman_D!$L$15&lt;0, -(BN103-Uzman_D!$L$15), BN103-Uzman_D!$L$15)*2),0)/1 * 0.1), 0) +
    IF(BO103-Uzman_D!$M$15&lt;0, -(BO103-Uzman_D!$M$15), BO103-Uzman_D!$M$15)*1
)</f>
        <v>-0.60000000000000009</v>
      </c>
      <c r="BQ103" s="74">
        <f t="shared" si="1"/>
        <v>-0.32000000000000017</v>
      </c>
    </row>
  </sheetData>
  <mergeCells count="9">
    <mergeCell ref="A2:A3"/>
    <mergeCell ref="AQ2:BC2"/>
    <mergeCell ref="B2:B3"/>
    <mergeCell ref="A1:BQ1"/>
    <mergeCell ref="BD2:BP2"/>
    <mergeCell ref="AD2:AP2"/>
    <mergeCell ref="Q2:AC2"/>
    <mergeCell ref="C2:C3"/>
    <mergeCell ref="D2:P2"/>
  </mergeCells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IV103"/>
  <sheetViews>
    <sheetView showGridLines="0" workbookViewId="0">
      <selection activeCell="N4" sqref="N4"/>
    </sheetView>
  </sheetViews>
  <sheetFormatPr baseColWidth="10" defaultColWidth="8.83203125" defaultRowHeight="15" customHeight="1" x14ac:dyDescent="0.2"/>
  <cols>
    <col min="1" max="1" width="3.5" style="1" customWidth="1"/>
    <col min="2" max="2" width="13.5" style="1" customWidth="1"/>
    <col min="3" max="3" width="19.1640625" style="1" customWidth="1"/>
    <col min="4" max="18" width="5.5" style="1" customWidth="1"/>
    <col min="19" max="19" width="9.5" style="1" customWidth="1"/>
    <col min="20" max="256" width="8.83203125" style="1" customWidth="1"/>
  </cols>
  <sheetData>
    <row r="1" spans="1:36" ht="18.75" customHeight="1" x14ac:dyDescent="0.2">
      <c r="A1" s="173" t="s">
        <v>45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5"/>
      <c r="T1" s="41"/>
      <c r="U1" s="42"/>
      <c r="V1" s="42"/>
      <c r="W1" s="42"/>
      <c r="X1" s="42"/>
      <c r="Y1" s="42"/>
      <c r="Z1" s="42"/>
      <c r="AA1" s="42"/>
      <c r="AB1" s="42"/>
      <c r="AC1" s="42"/>
      <c r="AD1" s="42"/>
      <c r="AE1" s="25"/>
      <c r="AF1" s="25"/>
      <c r="AG1" s="25"/>
      <c r="AH1" s="25"/>
      <c r="AI1" s="25"/>
      <c r="AJ1" s="25"/>
    </row>
    <row r="2" spans="1:36" ht="15.75" customHeight="1" x14ac:dyDescent="0.2">
      <c r="A2" s="181" t="s">
        <v>10</v>
      </c>
      <c r="B2" s="185" t="s">
        <v>11</v>
      </c>
      <c r="C2" s="183" t="s">
        <v>12</v>
      </c>
      <c r="D2" s="180" t="s">
        <v>25</v>
      </c>
      <c r="E2" s="188"/>
      <c r="F2" s="179"/>
      <c r="G2" s="176" t="s">
        <v>26</v>
      </c>
      <c r="H2" s="187"/>
      <c r="I2" s="177"/>
      <c r="J2" s="180" t="s">
        <v>27</v>
      </c>
      <c r="K2" s="188"/>
      <c r="L2" s="179"/>
      <c r="M2" s="176" t="s">
        <v>28</v>
      </c>
      <c r="N2" s="187"/>
      <c r="O2" s="177"/>
      <c r="P2" s="180" t="s">
        <v>29</v>
      </c>
      <c r="Q2" s="188"/>
      <c r="R2" s="179"/>
      <c r="S2" s="43"/>
      <c r="T2" s="4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ht="15.75" customHeight="1" x14ac:dyDescent="0.2">
      <c r="A3" s="182"/>
      <c r="B3" s="186"/>
      <c r="C3" s="184"/>
      <c r="D3" s="45" t="s">
        <v>25</v>
      </c>
      <c r="E3" s="46" t="s">
        <v>21</v>
      </c>
      <c r="F3" s="48" t="s">
        <v>22</v>
      </c>
      <c r="G3" s="45" t="s">
        <v>26</v>
      </c>
      <c r="H3" s="46" t="s">
        <v>21</v>
      </c>
      <c r="I3" s="48" t="s">
        <v>22</v>
      </c>
      <c r="J3" s="45" t="s">
        <v>27</v>
      </c>
      <c r="K3" s="46" t="s">
        <v>21</v>
      </c>
      <c r="L3" s="48" t="s">
        <v>22</v>
      </c>
      <c r="M3" s="45" t="s">
        <v>28</v>
      </c>
      <c r="N3" s="46" t="s">
        <v>21</v>
      </c>
      <c r="O3" s="48" t="s">
        <v>22</v>
      </c>
      <c r="P3" s="45" t="s">
        <v>29</v>
      </c>
      <c r="Q3" s="46" t="s">
        <v>21</v>
      </c>
      <c r="R3" s="48" t="s">
        <v>22</v>
      </c>
      <c r="S3" s="49" t="s">
        <v>23</v>
      </c>
      <c r="T3" s="50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ht="15.5" customHeight="1" thickBot="1" x14ac:dyDescent="0.25">
      <c r="A4" s="51">
        <v>1</v>
      </c>
      <c r="B4" s="52" t="str">
        <f>Hakemler!B4</f>
        <v>Yalçıner</v>
      </c>
      <c r="C4" s="53" t="str">
        <f>Hakemler!C4</f>
        <v>Yunus Emre</v>
      </c>
      <c r="D4" s="54">
        <v>4.9000000000000004</v>
      </c>
      <c r="E4" s="64">
        <f>IF(ISBLANK(D4),0,ABS(Uzman_E!A$10-D4))</f>
        <v>0.10000000000000053</v>
      </c>
      <c r="F4" s="55">
        <f>IF(ISBLANK(D4),0,INDEX(Tablo_E!$B$2:$CX$102,MATCH(ROUND(Uzman_E!A$10,1),Tablo_E!$A$2:$A$102,1),MATCH(ROUND(E4,1),Tablo_E!$B$1:$CX$1,1)))</f>
        <v>1</v>
      </c>
      <c r="G4" s="54">
        <v>4.3</v>
      </c>
      <c r="H4" s="64">
        <f>IF(ISBLANK(G4),0,ABS(Uzman_E!B$10-G4))</f>
        <v>0.20000000000000018</v>
      </c>
      <c r="I4" s="55">
        <f>IF(ISBLANK(G4),0,INDEX(Tablo_E!$B$2:$CX$102,MATCH(ROUND(Uzman_E!B$10,1),Tablo_E!$A$2:$A$102,1),MATCH(ROUND(H4,1),Tablo_E!$B$1:$CX$1,1)))</f>
        <v>1</v>
      </c>
      <c r="J4" s="54">
        <v>3.4</v>
      </c>
      <c r="K4" s="64">
        <f>IF(ISBLANK(J4),0,ABS(Uzman_E!C$10-J4))</f>
        <v>0.10000000000000009</v>
      </c>
      <c r="L4" s="55">
        <f>IF(ISBLANK(J4),0,INDEX(Tablo_E!$B$2:$CX$102,MATCH(ROUND(Uzman_E!C$10,1),Tablo_E!$A$2:$A$102,1),MATCH(ROUND(K4,1),Tablo_E!$B$1:$CX$1,1)))</f>
        <v>1</v>
      </c>
      <c r="M4" s="54">
        <v>5</v>
      </c>
      <c r="N4" s="64">
        <f>IF(ISBLANK(M4),0,ABS(Uzman_E!D$10-M4))</f>
        <v>9.9999999999999645E-2</v>
      </c>
      <c r="O4" s="55">
        <f>IF(ISBLANK(M4),0,INDEX(Tablo_E!$B$2:$CX$102,MATCH(ROUND(Uzman_E!D$10,1),Tablo_E!$A$2:$A$102,1),MATCH(ROUND(N4,1),Tablo_E!$B$1:$CX$1,1)))</f>
        <v>1</v>
      </c>
      <c r="P4" s="54">
        <v>4.3</v>
      </c>
      <c r="Q4" s="64">
        <f>IF(ISBLANK(P4),0,ABS(Uzman_E!E$10-P4))</f>
        <v>0.20000000000000018</v>
      </c>
      <c r="R4" s="55">
        <f>IF(ISBLANK(P4),0,INDEX(Tablo_E!$B$2:$CX$102,MATCH(ROUND(Uzman_E!E$10,1),Tablo_E!$A$2:$A$102,1),MATCH(ROUND(Q4,1),Tablo_E!$B$1:$CX$1,1)))</f>
        <v>1</v>
      </c>
      <c r="S4" s="56">
        <f>(F4+I4+L4+O4+R4)/5</f>
        <v>1</v>
      </c>
      <c r="T4" s="50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ht="15" customHeight="1" thickBot="1" x14ac:dyDescent="0.25">
      <c r="A5" s="57">
        <v>2</v>
      </c>
      <c r="B5" s="58" t="str">
        <f>Hakemler!B5</f>
        <v>Deneme</v>
      </c>
      <c r="C5" s="59" t="str">
        <f>Hakemler!C5</f>
        <v>Hakem</v>
      </c>
      <c r="D5" s="60"/>
      <c r="E5" s="64">
        <f>IF(ISBLANK(D5),0,ABS(Uzman_E!A$10-D5))</f>
        <v>0</v>
      </c>
      <c r="F5" s="55">
        <f>IF(ISBLANK(D5),0,INDEX(Tablo_E!$B$2:$CX$102,MATCH(ROUND(Uzman_E!A$10,1),Tablo_E!$A$2:$A$102,1),MATCH(ROUND(E5,1),Tablo_E!$B$1:$CX$1,1)))</f>
        <v>0</v>
      </c>
      <c r="G5" s="60"/>
      <c r="H5" s="64">
        <f>IF(ISBLANK(G5),0,ABS(Uzman_E!B$10-G5))</f>
        <v>0</v>
      </c>
      <c r="I5" s="55">
        <f>IF(ISBLANK(G5),0,INDEX(Tablo_E!$B$2:$CX$102,MATCH(ROUND(Uzman_E!B$10,1),Tablo_E!$A$2:$A$102,1),MATCH(ROUND(H5,1),Tablo_E!$B$1:$CX$1,1)))</f>
        <v>0</v>
      </c>
      <c r="J5" s="60"/>
      <c r="K5" s="64">
        <f>IF(ISBLANK(J5),0,ABS(Uzman_E!C$10-J5))</f>
        <v>0</v>
      </c>
      <c r="L5" s="55">
        <f>IF(ISBLANK(J5),0,INDEX(Tablo_E!$B$2:$CX$102,MATCH(ROUND(Uzman_E!C$10,1),Tablo_E!$A$2:$A$102,1),MATCH(ROUND(K5,1),Tablo_E!$B$1:$CX$1,1)))</f>
        <v>0</v>
      </c>
      <c r="M5" s="60"/>
      <c r="N5" s="64">
        <f>IF(ISBLANK(M5),0,ABS(Uzman_E!D$10-M5))</f>
        <v>0</v>
      </c>
      <c r="O5" s="55">
        <f>IF(ISBLANK(M5),0,INDEX(Tablo_E!$B$2:$CX$102,MATCH(ROUND(Uzman_E!D$10,1),Tablo_E!$A$2:$A$102,1),MATCH(ROUND(N5,1),Tablo_E!$B$1:$CX$1,1)))</f>
        <v>0</v>
      </c>
      <c r="P5" s="60"/>
      <c r="Q5" s="64">
        <f>IF(ISBLANK(P5),0,ABS(Uzman_E!E$10-P5))</f>
        <v>0</v>
      </c>
      <c r="R5" s="55">
        <f>IF(ISBLANK(P5),0,INDEX(Tablo_E!$B$2:$CX$102,MATCH(ROUND(Uzman_E!E$10,1),Tablo_E!$A$2:$A$102,1),MATCH(ROUND(Q5,1),Tablo_E!$B$1:$CX$1,1)))</f>
        <v>0</v>
      </c>
      <c r="S5" s="56">
        <f t="shared" ref="S5:S68" si="0">(F5+I5+L5+O5+R5)/5</f>
        <v>0</v>
      </c>
      <c r="T5" s="50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ht="15" customHeight="1" thickBot="1" x14ac:dyDescent="0.25">
      <c r="A6" s="57">
        <v>3</v>
      </c>
      <c r="B6" s="58">
        <f>Hakemler!B6</f>
        <v>0</v>
      </c>
      <c r="C6" s="59">
        <f>Hakemler!C6</f>
        <v>0</v>
      </c>
      <c r="D6" s="60"/>
      <c r="E6" s="64">
        <f>IF(ISBLANK(D6),0,ABS(Uzman_E!A$10-D6))</f>
        <v>0</v>
      </c>
      <c r="F6" s="55">
        <f>IF(ISBLANK(D6),0,INDEX(Tablo_E!$B$2:$CX$102,MATCH(ROUND(Uzman_E!A$10,1),Tablo_E!$A$2:$A$102,1),MATCH(ROUND(E6,1),Tablo_E!$B$1:$CX$1,1)))</f>
        <v>0</v>
      </c>
      <c r="G6" s="60"/>
      <c r="H6" s="64">
        <f>IF(ISBLANK(G6),0,ABS(Uzman_E!B$10-G6))</f>
        <v>0</v>
      </c>
      <c r="I6" s="55">
        <f>IF(ISBLANK(G6),0,INDEX(Tablo_E!$B$2:$CX$102,MATCH(ROUND(Uzman_E!B$10,1),Tablo_E!$A$2:$A$102,1),MATCH(ROUND(H6,1),Tablo_E!$B$1:$CX$1,1)))</f>
        <v>0</v>
      </c>
      <c r="J6" s="60"/>
      <c r="K6" s="64">
        <f>IF(ISBLANK(J6),0,ABS(Uzman_E!C$10-J6))</f>
        <v>0</v>
      </c>
      <c r="L6" s="55">
        <f>IF(ISBLANK(J6),0,INDEX(Tablo_E!$B$2:$CX$102,MATCH(ROUND(Uzman_E!C$10,1),Tablo_E!$A$2:$A$102,1),MATCH(ROUND(K6,1),Tablo_E!$B$1:$CX$1,1)))</f>
        <v>0</v>
      </c>
      <c r="M6" s="60"/>
      <c r="N6" s="64">
        <f>IF(ISBLANK(M6),0,ABS(Uzman_E!D$10-M6))</f>
        <v>0</v>
      </c>
      <c r="O6" s="55">
        <f>IF(ISBLANK(M6),0,INDEX(Tablo_E!$B$2:$CX$102,MATCH(ROUND(Uzman_E!D$10,1),Tablo_E!$A$2:$A$102,1),MATCH(ROUND(N6,1),Tablo_E!$B$1:$CX$1,1)))</f>
        <v>0</v>
      </c>
      <c r="P6" s="60"/>
      <c r="Q6" s="64">
        <f>IF(ISBLANK(P6),0,ABS(Uzman_E!E$10-P6))</f>
        <v>0</v>
      </c>
      <c r="R6" s="55">
        <f>IF(ISBLANK(P6),0,INDEX(Tablo_E!$B$2:$CX$102,MATCH(ROUND(Uzman_E!E$10,1),Tablo_E!$A$2:$A$102,1),MATCH(ROUND(Q6,1),Tablo_E!$B$1:$CX$1,1)))</f>
        <v>0</v>
      </c>
      <c r="S6" s="56">
        <f t="shared" si="0"/>
        <v>0</v>
      </c>
      <c r="T6" s="50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6" ht="15" customHeight="1" thickBot="1" x14ac:dyDescent="0.25">
      <c r="A7" s="57">
        <v>4</v>
      </c>
      <c r="B7" s="58">
        <f>Hakemler!B7</f>
        <v>0</v>
      </c>
      <c r="C7" s="59">
        <f>Hakemler!C7</f>
        <v>0</v>
      </c>
      <c r="D7" s="60"/>
      <c r="E7" s="64">
        <f>IF(ISBLANK(D7),0,ABS(Uzman_E!A$10-D7))</f>
        <v>0</v>
      </c>
      <c r="F7" s="55">
        <f>IF(ISBLANK(D7),0,INDEX(Tablo_E!$B$2:$CX$102,MATCH(ROUND(Uzman_E!A$10,1),Tablo_E!$A$2:$A$102,1),MATCH(ROUND(E7,1),Tablo_E!$B$1:$CX$1,1)))</f>
        <v>0</v>
      </c>
      <c r="G7" s="60"/>
      <c r="H7" s="64">
        <f>IF(ISBLANK(G7),0,ABS(Uzman_E!B$10-G7))</f>
        <v>0</v>
      </c>
      <c r="I7" s="55">
        <f>IF(ISBLANK(G7),0,INDEX(Tablo_E!$B$2:$CX$102,MATCH(ROUND(Uzman_E!B$10,1),Tablo_E!$A$2:$A$102,1),MATCH(ROUND(H7,1),Tablo_E!$B$1:$CX$1,1)))</f>
        <v>0</v>
      </c>
      <c r="J7" s="60"/>
      <c r="K7" s="64">
        <f>IF(ISBLANK(J7),0,ABS(Uzman_E!C$10-J7))</f>
        <v>0</v>
      </c>
      <c r="L7" s="55">
        <f>IF(ISBLANK(J7),0,INDEX(Tablo_E!$B$2:$CX$102,MATCH(ROUND(Uzman_E!C$10,1),Tablo_E!$A$2:$A$102,1),MATCH(ROUND(K7,1),Tablo_E!$B$1:$CX$1,1)))</f>
        <v>0</v>
      </c>
      <c r="M7" s="60"/>
      <c r="N7" s="64">
        <f>IF(ISBLANK(M7),0,ABS(Uzman_E!D$10-M7))</f>
        <v>0</v>
      </c>
      <c r="O7" s="55">
        <f>IF(ISBLANK(M7),0,INDEX(Tablo_E!$B$2:$CX$102,MATCH(ROUND(Uzman_E!D$10,1),Tablo_E!$A$2:$A$102,1),MATCH(ROUND(N7,1),Tablo_E!$B$1:$CX$1,1)))</f>
        <v>0</v>
      </c>
      <c r="P7" s="60"/>
      <c r="Q7" s="64">
        <f>IF(ISBLANK(P7),0,ABS(Uzman_E!E$10-P7))</f>
        <v>0</v>
      </c>
      <c r="R7" s="55">
        <f>IF(ISBLANK(P7),0,INDEX(Tablo_E!$B$2:$CX$102,MATCH(ROUND(Uzman_E!E$10,1),Tablo_E!$A$2:$A$102,1),MATCH(ROUND(Q7,1),Tablo_E!$B$1:$CX$1,1)))</f>
        <v>0</v>
      </c>
      <c r="S7" s="56">
        <f t="shared" si="0"/>
        <v>0</v>
      </c>
      <c r="T7" s="50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spans="1:36" ht="15" customHeight="1" thickBot="1" x14ac:dyDescent="0.25">
      <c r="A8" s="57">
        <v>5</v>
      </c>
      <c r="B8" s="58">
        <f>Hakemler!B8</f>
        <v>0</v>
      </c>
      <c r="C8" s="59">
        <f>Hakemler!C8</f>
        <v>0</v>
      </c>
      <c r="D8" s="60"/>
      <c r="E8" s="64">
        <f>IF(ISBLANK(D8),0,ABS(Uzman_E!A$10-D8))</f>
        <v>0</v>
      </c>
      <c r="F8" s="55">
        <f>IF(ISBLANK(D8),0,INDEX(Tablo_E!$B$2:$CX$102,MATCH(ROUND(Uzman_E!A$10,1),Tablo_E!$A$2:$A$102,1),MATCH(ROUND(E8,1),Tablo_E!$B$1:$CX$1,1)))</f>
        <v>0</v>
      </c>
      <c r="G8" s="60"/>
      <c r="H8" s="64">
        <f>IF(ISBLANK(G8),0,ABS(Uzman_E!B$10-G8))</f>
        <v>0</v>
      </c>
      <c r="I8" s="55">
        <f>IF(ISBLANK(G8),0,INDEX(Tablo_E!$B$2:$CX$102,MATCH(ROUND(Uzman_E!B$10,1),Tablo_E!$A$2:$A$102,1),MATCH(ROUND(H8,1),Tablo_E!$B$1:$CX$1,1)))</f>
        <v>0</v>
      </c>
      <c r="J8" s="60"/>
      <c r="K8" s="64">
        <f>IF(ISBLANK(J8),0,ABS(Uzman_E!C$10-J8))</f>
        <v>0</v>
      </c>
      <c r="L8" s="55">
        <f>IF(ISBLANK(J8),0,INDEX(Tablo_E!$B$2:$CX$102,MATCH(ROUND(Uzman_E!C$10,1),Tablo_E!$A$2:$A$102,1),MATCH(ROUND(K8,1),Tablo_E!$B$1:$CX$1,1)))</f>
        <v>0</v>
      </c>
      <c r="M8" s="60"/>
      <c r="N8" s="64">
        <f>IF(ISBLANK(M8),0,ABS(Uzman_E!D$10-M8))</f>
        <v>0</v>
      </c>
      <c r="O8" s="55">
        <f>IF(ISBLANK(M8),0,INDEX(Tablo_E!$B$2:$CX$102,MATCH(ROUND(Uzman_E!D$10,1),Tablo_E!$A$2:$A$102,1),MATCH(ROUND(N8,1),Tablo_E!$B$1:$CX$1,1)))</f>
        <v>0</v>
      </c>
      <c r="P8" s="60"/>
      <c r="Q8" s="64">
        <f>IF(ISBLANK(P8),0,ABS(Uzman_E!E$10-P8))</f>
        <v>0</v>
      </c>
      <c r="R8" s="55">
        <f>IF(ISBLANK(P8),0,INDEX(Tablo_E!$B$2:$CX$102,MATCH(ROUND(Uzman_E!E$10,1),Tablo_E!$A$2:$A$102,1),MATCH(ROUND(Q8,1),Tablo_E!$B$1:$CX$1,1)))</f>
        <v>0</v>
      </c>
      <c r="S8" s="56">
        <f t="shared" si="0"/>
        <v>0</v>
      </c>
      <c r="T8" s="50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 spans="1:36" ht="15" customHeight="1" thickBot="1" x14ac:dyDescent="0.25">
      <c r="A9" s="57">
        <v>6</v>
      </c>
      <c r="B9" s="58">
        <f>Hakemler!B9</f>
        <v>0</v>
      </c>
      <c r="C9" s="59">
        <f>Hakemler!C9</f>
        <v>0</v>
      </c>
      <c r="D9" s="60"/>
      <c r="E9" s="64">
        <f>IF(ISBLANK(D9),0,ABS(Uzman_E!A$10-D9))</f>
        <v>0</v>
      </c>
      <c r="F9" s="55">
        <f>IF(ISBLANK(D9),0,INDEX(Tablo_E!$B$2:$CX$102,MATCH(ROUND(Uzman_E!A$10,1),Tablo_E!$A$2:$A$102,1),MATCH(ROUND(E9,1),Tablo_E!$B$1:$CX$1,1)))</f>
        <v>0</v>
      </c>
      <c r="G9" s="60"/>
      <c r="H9" s="64">
        <f>IF(ISBLANK(G9),0,ABS(Uzman_E!B$10-G9))</f>
        <v>0</v>
      </c>
      <c r="I9" s="55">
        <f>IF(ISBLANK(G9),0,INDEX(Tablo_E!$B$2:$CX$102,MATCH(ROUND(Uzman_E!B$10,1),Tablo_E!$A$2:$A$102,1),MATCH(ROUND(H9,1),Tablo_E!$B$1:$CX$1,1)))</f>
        <v>0</v>
      </c>
      <c r="J9" s="60"/>
      <c r="K9" s="64">
        <f>IF(ISBLANK(J9),0,ABS(Uzman_E!C$10-J9))</f>
        <v>0</v>
      </c>
      <c r="L9" s="55">
        <f>IF(ISBLANK(J9),0,INDEX(Tablo_E!$B$2:$CX$102,MATCH(ROUND(Uzman_E!C$10,1),Tablo_E!$A$2:$A$102,1),MATCH(ROUND(K9,1),Tablo_E!$B$1:$CX$1,1)))</f>
        <v>0</v>
      </c>
      <c r="M9" s="60"/>
      <c r="N9" s="64">
        <f>IF(ISBLANK(M9),0,ABS(Uzman_E!D$10-M9))</f>
        <v>0</v>
      </c>
      <c r="O9" s="55">
        <f>IF(ISBLANK(M9),0,INDEX(Tablo_E!$B$2:$CX$102,MATCH(ROUND(Uzman_E!D$10,1),Tablo_E!$A$2:$A$102,1),MATCH(ROUND(N9,1),Tablo_E!$B$1:$CX$1,1)))</f>
        <v>0</v>
      </c>
      <c r="P9" s="60"/>
      <c r="Q9" s="64">
        <f>IF(ISBLANK(P9),0,ABS(Uzman_E!E$10-P9))</f>
        <v>0</v>
      </c>
      <c r="R9" s="55">
        <f>IF(ISBLANK(P9),0,INDEX(Tablo_E!$B$2:$CX$102,MATCH(ROUND(Uzman_E!E$10,1),Tablo_E!$A$2:$A$102,1),MATCH(ROUND(Q9,1),Tablo_E!$B$1:$CX$1,1)))</f>
        <v>0</v>
      </c>
      <c r="S9" s="56">
        <f t="shared" si="0"/>
        <v>0</v>
      </c>
      <c r="T9" s="50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 spans="1:36" ht="15" customHeight="1" thickBot="1" x14ac:dyDescent="0.25">
      <c r="A10" s="57">
        <v>7</v>
      </c>
      <c r="B10" s="58">
        <f>Hakemler!B10</f>
        <v>0</v>
      </c>
      <c r="C10" s="59">
        <f>Hakemler!C10</f>
        <v>0</v>
      </c>
      <c r="D10" s="60"/>
      <c r="E10" s="64">
        <f>IF(ISBLANK(D10),0,ABS(Uzman_E!A$10-D10))</f>
        <v>0</v>
      </c>
      <c r="F10" s="55">
        <f>IF(ISBLANK(D10),0,INDEX(Tablo_E!$B$2:$CX$102,MATCH(ROUND(Uzman_E!A$10,1),Tablo_E!$A$2:$A$102,1),MATCH(ROUND(E10,1),Tablo_E!$B$1:$CX$1,1)))</f>
        <v>0</v>
      </c>
      <c r="G10" s="60"/>
      <c r="H10" s="64">
        <f>IF(ISBLANK(G10),0,ABS(Uzman_E!B$10-G10))</f>
        <v>0</v>
      </c>
      <c r="I10" s="55">
        <f>IF(ISBLANK(G10),0,INDEX(Tablo_E!$B$2:$CX$102,MATCH(ROUND(Uzman_E!B$10,1),Tablo_E!$A$2:$A$102,1),MATCH(ROUND(H10,1),Tablo_E!$B$1:$CX$1,1)))</f>
        <v>0</v>
      </c>
      <c r="J10" s="60"/>
      <c r="K10" s="64">
        <f>IF(ISBLANK(J10),0,ABS(Uzman_E!C$10-J10))</f>
        <v>0</v>
      </c>
      <c r="L10" s="55">
        <f>IF(ISBLANK(J10),0,INDEX(Tablo_E!$B$2:$CX$102,MATCH(ROUND(Uzman_E!C$10,1),Tablo_E!$A$2:$A$102,1),MATCH(ROUND(K10,1),Tablo_E!$B$1:$CX$1,1)))</f>
        <v>0</v>
      </c>
      <c r="M10" s="60"/>
      <c r="N10" s="64">
        <f>IF(ISBLANK(M10),0,ABS(Uzman_E!D$10-M10))</f>
        <v>0</v>
      </c>
      <c r="O10" s="55">
        <f>IF(ISBLANK(M10),0,INDEX(Tablo_E!$B$2:$CX$102,MATCH(ROUND(Uzman_E!D$10,1),Tablo_E!$A$2:$A$102,1),MATCH(ROUND(N10,1),Tablo_E!$B$1:$CX$1,1)))</f>
        <v>0</v>
      </c>
      <c r="P10" s="60"/>
      <c r="Q10" s="64">
        <f>IF(ISBLANK(P10),0,ABS(Uzman_E!E$10-P10))</f>
        <v>0</v>
      </c>
      <c r="R10" s="55">
        <f>IF(ISBLANK(P10),0,INDEX(Tablo_E!$B$2:$CX$102,MATCH(ROUND(Uzman_E!E$10,1),Tablo_E!$A$2:$A$102,1),MATCH(ROUND(Q10,1),Tablo_E!$B$1:$CX$1,1)))</f>
        <v>0</v>
      </c>
      <c r="S10" s="56">
        <f t="shared" si="0"/>
        <v>0</v>
      </c>
      <c r="T10" s="50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 spans="1:36" ht="15" customHeight="1" thickBot="1" x14ac:dyDescent="0.25">
      <c r="A11" s="57">
        <v>8</v>
      </c>
      <c r="B11" s="58">
        <f>Hakemler!B11</f>
        <v>0</v>
      </c>
      <c r="C11" s="59">
        <f>Hakemler!C11</f>
        <v>0</v>
      </c>
      <c r="D11" s="60"/>
      <c r="E11" s="64">
        <f>IF(ISBLANK(D11),0,ABS(Uzman_E!A$10-D11))</f>
        <v>0</v>
      </c>
      <c r="F11" s="55">
        <f>IF(ISBLANK(D11),0,INDEX(Tablo_E!$B$2:$CX$102,MATCH(ROUND(Uzman_E!A$10,1),Tablo_E!$A$2:$A$102,1),MATCH(ROUND(E11,1),Tablo_E!$B$1:$CX$1,1)))</f>
        <v>0</v>
      </c>
      <c r="G11" s="60"/>
      <c r="H11" s="64">
        <f>IF(ISBLANK(G11),0,ABS(Uzman_E!B$10-G11))</f>
        <v>0</v>
      </c>
      <c r="I11" s="55">
        <f>IF(ISBLANK(G11),0,INDEX(Tablo_E!$B$2:$CX$102,MATCH(ROUND(Uzman_E!B$10,1),Tablo_E!$A$2:$A$102,1),MATCH(ROUND(H11,1),Tablo_E!$B$1:$CX$1,1)))</f>
        <v>0</v>
      </c>
      <c r="J11" s="60"/>
      <c r="K11" s="64">
        <f>IF(ISBLANK(J11),0,ABS(Uzman_E!C$10-J11))</f>
        <v>0</v>
      </c>
      <c r="L11" s="55">
        <f>IF(ISBLANK(J11),0,INDEX(Tablo_E!$B$2:$CX$102,MATCH(ROUND(Uzman_E!C$10,1),Tablo_E!$A$2:$A$102,1),MATCH(ROUND(K11,1),Tablo_E!$B$1:$CX$1,1)))</f>
        <v>0</v>
      </c>
      <c r="M11" s="60"/>
      <c r="N11" s="64">
        <f>IF(ISBLANK(M11),0,ABS(Uzman_E!D$10-M11))</f>
        <v>0</v>
      </c>
      <c r="O11" s="55">
        <f>IF(ISBLANK(M11),0,INDEX(Tablo_E!$B$2:$CX$102,MATCH(ROUND(Uzman_E!D$10,1),Tablo_E!$A$2:$A$102,1),MATCH(ROUND(N11,1),Tablo_E!$B$1:$CX$1,1)))</f>
        <v>0</v>
      </c>
      <c r="P11" s="60"/>
      <c r="Q11" s="64">
        <f>IF(ISBLANK(P11),0,ABS(Uzman_E!E$10-P11))</f>
        <v>0</v>
      </c>
      <c r="R11" s="55">
        <f>IF(ISBLANK(P11),0,INDEX(Tablo_E!$B$2:$CX$102,MATCH(ROUND(Uzman_E!E$10,1),Tablo_E!$A$2:$A$102,1),MATCH(ROUND(Q11,1),Tablo_E!$B$1:$CX$1,1)))</f>
        <v>0</v>
      </c>
      <c r="S11" s="56">
        <f t="shared" si="0"/>
        <v>0</v>
      </c>
      <c r="T11" s="50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36" ht="15" customHeight="1" thickBot="1" x14ac:dyDescent="0.25">
      <c r="A12" s="57">
        <v>9</v>
      </c>
      <c r="B12" s="58">
        <f>Hakemler!B12</f>
        <v>0</v>
      </c>
      <c r="C12" s="59">
        <f>Hakemler!C12</f>
        <v>0</v>
      </c>
      <c r="D12" s="60"/>
      <c r="E12" s="64">
        <f>IF(ISBLANK(D12),0,ABS(Uzman_E!A$10-D12))</f>
        <v>0</v>
      </c>
      <c r="F12" s="55">
        <f>IF(ISBLANK(D12),0,INDEX(Tablo_E!$B$2:$CX$102,MATCH(ROUND(Uzman_E!A$10,1),Tablo_E!$A$2:$A$102,1),MATCH(ROUND(E12,1),Tablo_E!$B$1:$CX$1,1)))</f>
        <v>0</v>
      </c>
      <c r="G12" s="60"/>
      <c r="H12" s="64">
        <f>IF(ISBLANK(G12),0,ABS(Uzman_E!B$10-G12))</f>
        <v>0</v>
      </c>
      <c r="I12" s="55">
        <f>IF(ISBLANK(G12),0,INDEX(Tablo_E!$B$2:$CX$102,MATCH(ROUND(Uzman_E!B$10,1),Tablo_E!$A$2:$A$102,1),MATCH(ROUND(H12,1),Tablo_E!$B$1:$CX$1,1)))</f>
        <v>0</v>
      </c>
      <c r="J12" s="60"/>
      <c r="K12" s="64">
        <f>IF(ISBLANK(J12),0,ABS(Uzman_E!C$10-J12))</f>
        <v>0</v>
      </c>
      <c r="L12" s="55">
        <f>IF(ISBLANK(J12),0,INDEX(Tablo_E!$B$2:$CX$102,MATCH(ROUND(Uzman_E!C$10,1),Tablo_E!$A$2:$A$102,1),MATCH(ROUND(K12,1),Tablo_E!$B$1:$CX$1,1)))</f>
        <v>0</v>
      </c>
      <c r="M12" s="60"/>
      <c r="N12" s="64">
        <f>IF(ISBLANK(M12),0,ABS(Uzman_E!D$10-M12))</f>
        <v>0</v>
      </c>
      <c r="O12" s="55">
        <f>IF(ISBLANK(M12),0,INDEX(Tablo_E!$B$2:$CX$102,MATCH(ROUND(Uzman_E!D$10,1),Tablo_E!$A$2:$A$102,1),MATCH(ROUND(N12,1),Tablo_E!$B$1:$CX$1,1)))</f>
        <v>0</v>
      </c>
      <c r="P12" s="60"/>
      <c r="Q12" s="64">
        <f>IF(ISBLANK(P12),0,ABS(Uzman_E!E$10-P12))</f>
        <v>0</v>
      </c>
      <c r="R12" s="55">
        <f>IF(ISBLANK(P12),0,INDEX(Tablo_E!$B$2:$CX$102,MATCH(ROUND(Uzman_E!E$10,1),Tablo_E!$A$2:$A$102,1),MATCH(ROUND(Q12,1),Tablo_E!$B$1:$CX$1,1)))</f>
        <v>0</v>
      </c>
      <c r="S12" s="56">
        <f t="shared" si="0"/>
        <v>0</v>
      </c>
      <c r="T12" s="50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 spans="1:36" ht="15" customHeight="1" thickBot="1" x14ac:dyDescent="0.25">
      <c r="A13" s="57">
        <v>10</v>
      </c>
      <c r="B13" s="58">
        <f>Hakemler!B13</f>
        <v>0</v>
      </c>
      <c r="C13" s="59">
        <f>Hakemler!C13</f>
        <v>0</v>
      </c>
      <c r="D13" s="60"/>
      <c r="E13" s="64">
        <f>IF(ISBLANK(D13),0,ABS(Uzman_E!A$10-D13))</f>
        <v>0</v>
      </c>
      <c r="F13" s="55">
        <f>IF(ISBLANK(D13),0,INDEX(Tablo_E!$B$2:$CX$102,MATCH(ROUND(Uzman_E!A$10,1),Tablo_E!$A$2:$A$102,1),MATCH(ROUND(E13,1),Tablo_E!$B$1:$CX$1,1)))</f>
        <v>0</v>
      </c>
      <c r="G13" s="60"/>
      <c r="H13" s="64">
        <f>IF(ISBLANK(G13),0,ABS(Uzman_E!B$10-G13))</f>
        <v>0</v>
      </c>
      <c r="I13" s="55">
        <f>IF(ISBLANK(G13),0,INDEX(Tablo_E!$B$2:$CX$102,MATCH(ROUND(Uzman_E!B$10,1),Tablo_E!$A$2:$A$102,1),MATCH(ROUND(H13,1),Tablo_E!$B$1:$CX$1,1)))</f>
        <v>0</v>
      </c>
      <c r="J13" s="60"/>
      <c r="K13" s="64">
        <f>IF(ISBLANK(J13),0,ABS(Uzman_E!C$10-J13))</f>
        <v>0</v>
      </c>
      <c r="L13" s="55">
        <f>IF(ISBLANK(J13),0,INDEX(Tablo_E!$B$2:$CX$102,MATCH(ROUND(Uzman_E!C$10,1),Tablo_E!$A$2:$A$102,1),MATCH(ROUND(K13,1),Tablo_E!$B$1:$CX$1,1)))</f>
        <v>0</v>
      </c>
      <c r="M13" s="60"/>
      <c r="N13" s="64">
        <f>IF(ISBLANK(M13),0,ABS(Uzman_E!D$10-M13))</f>
        <v>0</v>
      </c>
      <c r="O13" s="55">
        <f>IF(ISBLANK(M13),0,INDEX(Tablo_E!$B$2:$CX$102,MATCH(ROUND(Uzman_E!D$10,1),Tablo_E!$A$2:$A$102,1),MATCH(ROUND(N13,1),Tablo_E!$B$1:$CX$1,1)))</f>
        <v>0</v>
      </c>
      <c r="P13" s="60"/>
      <c r="Q13" s="64">
        <f>IF(ISBLANK(P13),0,ABS(Uzman_E!E$10-P13))</f>
        <v>0</v>
      </c>
      <c r="R13" s="55">
        <f>IF(ISBLANK(P13),0,INDEX(Tablo_E!$B$2:$CX$102,MATCH(ROUND(Uzman_E!E$10,1),Tablo_E!$A$2:$A$102,1),MATCH(ROUND(Q13,1),Tablo_E!$B$1:$CX$1,1)))</f>
        <v>0</v>
      </c>
      <c r="S13" s="56">
        <f t="shared" si="0"/>
        <v>0</v>
      </c>
      <c r="T13" s="50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1:36" ht="15" customHeight="1" thickBot="1" x14ac:dyDescent="0.25">
      <c r="A14" s="57">
        <v>11</v>
      </c>
      <c r="B14" s="58">
        <f>Hakemler!B14</f>
        <v>0</v>
      </c>
      <c r="C14" s="59">
        <f>Hakemler!C14</f>
        <v>0</v>
      </c>
      <c r="D14" s="60"/>
      <c r="E14" s="64">
        <f>IF(ISBLANK(D14),0,ABS(Uzman_E!A$10-D14))</f>
        <v>0</v>
      </c>
      <c r="F14" s="55">
        <f>IF(ISBLANK(D14),0,INDEX(Tablo_E!$B$2:$CX$102,MATCH(ROUND(Uzman_E!A$10,1),Tablo_E!$A$2:$A$102,1),MATCH(ROUND(E14,1),Tablo_E!$B$1:$CX$1,1)))</f>
        <v>0</v>
      </c>
      <c r="G14" s="60"/>
      <c r="H14" s="64">
        <f>IF(ISBLANK(G14),0,ABS(Uzman_E!B$10-G14))</f>
        <v>0</v>
      </c>
      <c r="I14" s="55">
        <f>IF(ISBLANK(G14),0,INDEX(Tablo_E!$B$2:$CX$102,MATCH(ROUND(Uzman_E!B$10,1),Tablo_E!$A$2:$A$102,1),MATCH(ROUND(H14,1),Tablo_E!$B$1:$CX$1,1)))</f>
        <v>0</v>
      </c>
      <c r="J14" s="60"/>
      <c r="K14" s="64">
        <f>IF(ISBLANK(J14),0,ABS(Uzman_E!C$10-J14))</f>
        <v>0</v>
      </c>
      <c r="L14" s="55">
        <f>IF(ISBLANK(J14),0,INDEX(Tablo_E!$B$2:$CX$102,MATCH(ROUND(Uzman_E!C$10,1),Tablo_E!$A$2:$A$102,1),MATCH(ROUND(K14,1),Tablo_E!$B$1:$CX$1,1)))</f>
        <v>0</v>
      </c>
      <c r="M14" s="60"/>
      <c r="N14" s="64">
        <f>IF(ISBLANK(M14),0,ABS(Uzman_E!D$10-M14))</f>
        <v>0</v>
      </c>
      <c r="O14" s="55">
        <f>IF(ISBLANK(M14),0,INDEX(Tablo_E!$B$2:$CX$102,MATCH(ROUND(Uzman_E!D$10,1),Tablo_E!$A$2:$A$102,1),MATCH(ROUND(N14,1),Tablo_E!$B$1:$CX$1,1)))</f>
        <v>0</v>
      </c>
      <c r="P14" s="60"/>
      <c r="Q14" s="64">
        <f>IF(ISBLANK(P14),0,ABS(Uzman_E!E$10-P14))</f>
        <v>0</v>
      </c>
      <c r="R14" s="55">
        <f>IF(ISBLANK(P14),0,INDEX(Tablo_E!$B$2:$CX$102,MATCH(ROUND(Uzman_E!E$10,1),Tablo_E!$A$2:$A$102,1),MATCH(ROUND(Q14,1),Tablo_E!$B$1:$CX$1,1)))</f>
        <v>0</v>
      </c>
      <c r="S14" s="56">
        <f t="shared" si="0"/>
        <v>0</v>
      </c>
      <c r="T14" s="50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 spans="1:36" ht="15" customHeight="1" thickBot="1" x14ac:dyDescent="0.25">
      <c r="A15" s="57">
        <v>12</v>
      </c>
      <c r="B15" s="58">
        <f>Hakemler!B15</f>
        <v>0</v>
      </c>
      <c r="C15" s="59">
        <f>Hakemler!C15</f>
        <v>0</v>
      </c>
      <c r="D15" s="60"/>
      <c r="E15" s="64">
        <f>IF(ISBLANK(D15),0,ABS(Uzman_E!A$10-D15))</f>
        <v>0</v>
      </c>
      <c r="F15" s="55">
        <f>IF(ISBLANK(D15),0,INDEX(Tablo_E!$B$2:$CX$102,MATCH(ROUND(Uzman_E!A$10,1),Tablo_E!$A$2:$A$102,1),MATCH(ROUND(E15,1),Tablo_E!$B$1:$CX$1,1)))</f>
        <v>0</v>
      </c>
      <c r="G15" s="60"/>
      <c r="H15" s="64">
        <f>IF(ISBLANK(G15),0,ABS(Uzman_E!B$10-G15))</f>
        <v>0</v>
      </c>
      <c r="I15" s="55">
        <f>IF(ISBLANK(G15),0,INDEX(Tablo_E!$B$2:$CX$102,MATCH(ROUND(Uzman_E!B$10,1),Tablo_E!$A$2:$A$102,1),MATCH(ROUND(H15,1),Tablo_E!$B$1:$CX$1,1)))</f>
        <v>0</v>
      </c>
      <c r="J15" s="60"/>
      <c r="K15" s="64">
        <f>IF(ISBLANK(J15),0,ABS(Uzman_E!C$10-J15))</f>
        <v>0</v>
      </c>
      <c r="L15" s="55">
        <f>IF(ISBLANK(J15),0,INDEX(Tablo_E!$B$2:$CX$102,MATCH(ROUND(Uzman_E!C$10,1),Tablo_E!$A$2:$A$102,1),MATCH(ROUND(K15,1),Tablo_E!$B$1:$CX$1,1)))</f>
        <v>0</v>
      </c>
      <c r="M15" s="60"/>
      <c r="N15" s="64">
        <f>IF(ISBLANK(M15),0,ABS(Uzman_E!D$10-M15))</f>
        <v>0</v>
      </c>
      <c r="O15" s="55">
        <f>IF(ISBLANK(M15),0,INDEX(Tablo_E!$B$2:$CX$102,MATCH(ROUND(Uzman_E!D$10,1),Tablo_E!$A$2:$A$102,1),MATCH(ROUND(N15,1),Tablo_E!$B$1:$CX$1,1)))</f>
        <v>0</v>
      </c>
      <c r="P15" s="60"/>
      <c r="Q15" s="64">
        <f>IF(ISBLANK(P15),0,ABS(Uzman_E!E$10-P15))</f>
        <v>0</v>
      </c>
      <c r="R15" s="55">
        <f>IF(ISBLANK(P15),0,INDEX(Tablo_E!$B$2:$CX$102,MATCH(ROUND(Uzman_E!E$10,1),Tablo_E!$A$2:$A$102,1),MATCH(ROUND(Q15,1),Tablo_E!$B$1:$CX$1,1)))</f>
        <v>0</v>
      </c>
      <c r="S15" s="56">
        <f t="shared" si="0"/>
        <v>0</v>
      </c>
      <c r="T15" s="50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 spans="1:36" ht="15" customHeight="1" thickBot="1" x14ac:dyDescent="0.25">
      <c r="A16" s="57">
        <v>13</v>
      </c>
      <c r="B16" s="58">
        <f>Hakemler!B16</f>
        <v>0</v>
      </c>
      <c r="C16" s="59">
        <f>Hakemler!C16</f>
        <v>0</v>
      </c>
      <c r="D16" s="60"/>
      <c r="E16" s="64">
        <f>IF(ISBLANK(D16),0,ABS(Uzman_E!A$10-D16))</f>
        <v>0</v>
      </c>
      <c r="F16" s="55">
        <f>IF(ISBLANK(D16),0,INDEX(Tablo_E!$B$2:$CX$102,MATCH(ROUND(Uzman_E!A$10,1),Tablo_E!$A$2:$A$102,1),MATCH(ROUND(E16,1),Tablo_E!$B$1:$CX$1,1)))</f>
        <v>0</v>
      </c>
      <c r="G16" s="60"/>
      <c r="H16" s="64">
        <f>IF(ISBLANK(G16),0,ABS(Uzman_E!B$10-G16))</f>
        <v>0</v>
      </c>
      <c r="I16" s="55">
        <f>IF(ISBLANK(G16),0,INDEX(Tablo_E!$B$2:$CX$102,MATCH(ROUND(Uzman_E!B$10,1),Tablo_E!$A$2:$A$102,1),MATCH(ROUND(H16,1),Tablo_E!$B$1:$CX$1,1)))</f>
        <v>0</v>
      </c>
      <c r="J16" s="60"/>
      <c r="K16" s="64">
        <f>IF(ISBLANK(J16),0,ABS(Uzman_E!C$10-J16))</f>
        <v>0</v>
      </c>
      <c r="L16" s="55">
        <f>IF(ISBLANK(J16),0,INDEX(Tablo_E!$B$2:$CX$102,MATCH(ROUND(Uzman_E!C$10,1),Tablo_E!$A$2:$A$102,1),MATCH(ROUND(K16,1),Tablo_E!$B$1:$CX$1,1)))</f>
        <v>0</v>
      </c>
      <c r="M16" s="60"/>
      <c r="N16" s="64">
        <f>IF(ISBLANK(M16),0,ABS(Uzman_E!D$10-M16))</f>
        <v>0</v>
      </c>
      <c r="O16" s="55">
        <f>IF(ISBLANK(M16),0,INDEX(Tablo_E!$B$2:$CX$102,MATCH(ROUND(Uzman_E!D$10,1),Tablo_E!$A$2:$A$102,1),MATCH(ROUND(N16,1),Tablo_E!$B$1:$CX$1,1)))</f>
        <v>0</v>
      </c>
      <c r="P16" s="60"/>
      <c r="Q16" s="64">
        <f>IF(ISBLANK(P16),0,ABS(Uzman_E!E$10-P16))</f>
        <v>0</v>
      </c>
      <c r="R16" s="55">
        <f>IF(ISBLANK(P16),0,INDEX(Tablo_E!$B$2:$CX$102,MATCH(ROUND(Uzman_E!E$10,1),Tablo_E!$A$2:$A$102,1),MATCH(ROUND(Q16,1),Tablo_E!$B$1:$CX$1,1)))</f>
        <v>0</v>
      </c>
      <c r="S16" s="56">
        <f t="shared" si="0"/>
        <v>0</v>
      </c>
      <c r="T16" s="50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6" ht="15" customHeight="1" thickBot="1" x14ac:dyDescent="0.25">
      <c r="A17" s="57">
        <v>14</v>
      </c>
      <c r="B17" s="58">
        <f>Hakemler!B17</f>
        <v>0</v>
      </c>
      <c r="C17" s="59">
        <f>Hakemler!C17</f>
        <v>0</v>
      </c>
      <c r="D17" s="60"/>
      <c r="E17" s="64">
        <f>IF(ISBLANK(D17),0,ABS(Uzman_E!A$10-D17))</f>
        <v>0</v>
      </c>
      <c r="F17" s="55">
        <f>IF(ISBLANK(D17),0,INDEX(Tablo_E!$B$2:$CX$102,MATCH(ROUND(Uzman_E!A$10,1),Tablo_E!$A$2:$A$102,1),MATCH(ROUND(E17,1),Tablo_E!$B$1:$CX$1,1)))</f>
        <v>0</v>
      </c>
      <c r="G17" s="60"/>
      <c r="H17" s="64">
        <f>IF(ISBLANK(G17),0,ABS(Uzman_E!B$10-G17))</f>
        <v>0</v>
      </c>
      <c r="I17" s="55">
        <f>IF(ISBLANK(G17),0,INDEX(Tablo_E!$B$2:$CX$102,MATCH(ROUND(Uzman_E!B$10,1),Tablo_E!$A$2:$A$102,1),MATCH(ROUND(H17,1),Tablo_E!$B$1:$CX$1,1)))</f>
        <v>0</v>
      </c>
      <c r="J17" s="60"/>
      <c r="K17" s="64">
        <f>IF(ISBLANK(J17),0,ABS(Uzman_E!C$10-J17))</f>
        <v>0</v>
      </c>
      <c r="L17" s="55">
        <f>IF(ISBLANK(J17),0,INDEX(Tablo_E!$B$2:$CX$102,MATCH(ROUND(Uzman_E!C$10,1),Tablo_E!$A$2:$A$102,1),MATCH(ROUND(K17,1),Tablo_E!$B$1:$CX$1,1)))</f>
        <v>0</v>
      </c>
      <c r="M17" s="60"/>
      <c r="N17" s="64">
        <f>IF(ISBLANK(M17),0,ABS(Uzman_E!D$10-M17))</f>
        <v>0</v>
      </c>
      <c r="O17" s="55">
        <f>IF(ISBLANK(M17),0,INDEX(Tablo_E!$B$2:$CX$102,MATCH(ROUND(Uzman_E!D$10,1),Tablo_E!$A$2:$A$102,1),MATCH(ROUND(N17,1),Tablo_E!$B$1:$CX$1,1)))</f>
        <v>0</v>
      </c>
      <c r="P17" s="60"/>
      <c r="Q17" s="64">
        <f>IF(ISBLANK(P17),0,ABS(Uzman_E!E$10-P17))</f>
        <v>0</v>
      </c>
      <c r="R17" s="55">
        <f>IF(ISBLANK(P17),0,INDEX(Tablo_E!$B$2:$CX$102,MATCH(ROUND(Uzman_E!E$10,1),Tablo_E!$A$2:$A$102,1),MATCH(ROUND(Q17,1),Tablo_E!$B$1:$CX$1,1)))</f>
        <v>0</v>
      </c>
      <c r="S17" s="56">
        <f t="shared" si="0"/>
        <v>0</v>
      </c>
      <c r="T17" s="50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 spans="1:36" ht="15" customHeight="1" thickBot="1" x14ac:dyDescent="0.25">
      <c r="A18" s="57">
        <v>15</v>
      </c>
      <c r="B18" s="58">
        <f>Hakemler!B18</f>
        <v>0</v>
      </c>
      <c r="C18" s="59">
        <f>Hakemler!C18</f>
        <v>0</v>
      </c>
      <c r="D18" s="60"/>
      <c r="E18" s="64">
        <f>IF(ISBLANK(D18),0,ABS(Uzman_E!A$10-D18))</f>
        <v>0</v>
      </c>
      <c r="F18" s="55">
        <f>IF(ISBLANK(D18),0,INDEX(Tablo_E!$B$2:$CX$102,MATCH(ROUND(Uzman_E!A$10,1),Tablo_E!$A$2:$A$102,1),MATCH(ROUND(E18,1),Tablo_E!$B$1:$CX$1,1)))</f>
        <v>0</v>
      </c>
      <c r="G18" s="60"/>
      <c r="H18" s="64">
        <f>IF(ISBLANK(G18),0,ABS(Uzman_E!B$10-G18))</f>
        <v>0</v>
      </c>
      <c r="I18" s="55">
        <f>IF(ISBLANK(G18),0,INDEX(Tablo_E!$B$2:$CX$102,MATCH(ROUND(Uzman_E!B$10,1),Tablo_E!$A$2:$A$102,1),MATCH(ROUND(H18,1),Tablo_E!$B$1:$CX$1,1)))</f>
        <v>0</v>
      </c>
      <c r="J18" s="60"/>
      <c r="K18" s="64">
        <f>IF(ISBLANK(J18),0,ABS(Uzman_E!C$10-J18))</f>
        <v>0</v>
      </c>
      <c r="L18" s="55">
        <f>IF(ISBLANK(J18),0,INDEX(Tablo_E!$B$2:$CX$102,MATCH(ROUND(Uzman_E!C$10,1),Tablo_E!$A$2:$A$102,1),MATCH(ROUND(K18,1),Tablo_E!$B$1:$CX$1,1)))</f>
        <v>0</v>
      </c>
      <c r="M18" s="60"/>
      <c r="N18" s="64">
        <f>IF(ISBLANK(M18),0,ABS(Uzman_E!D$10-M18))</f>
        <v>0</v>
      </c>
      <c r="O18" s="55">
        <f>IF(ISBLANK(M18),0,INDEX(Tablo_E!$B$2:$CX$102,MATCH(ROUND(Uzman_E!D$10,1),Tablo_E!$A$2:$A$102,1),MATCH(ROUND(N18,1),Tablo_E!$B$1:$CX$1,1)))</f>
        <v>0</v>
      </c>
      <c r="P18" s="60"/>
      <c r="Q18" s="64">
        <f>IF(ISBLANK(P18),0,ABS(Uzman_E!E$10-P18))</f>
        <v>0</v>
      </c>
      <c r="R18" s="55">
        <f>IF(ISBLANK(P18),0,INDEX(Tablo_E!$B$2:$CX$102,MATCH(ROUND(Uzman_E!E$10,1),Tablo_E!$A$2:$A$102,1),MATCH(ROUND(Q18,1),Tablo_E!$B$1:$CX$1,1)))</f>
        <v>0</v>
      </c>
      <c r="S18" s="56">
        <f t="shared" si="0"/>
        <v>0</v>
      </c>
      <c r="T18" s="50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 spans="1:36" ht="15" customHeight="1" thickBot="1" x14ac:dyDescent="0.25">
      <c r="A19" s="57">
        <v>16</v>
      </c>
      <c r="B19" s="58">
        <f>Hakemler!B19</f>
        <v>0</v>
      </c>
      <c r="C19" s="59">
        <f>Hakemler!C19</f>
        <v>0</v>
      </c>
      <c r="D19" s="60"/>
      <c r="E19" s="64">
        <f>IF(ISBLANK(D19),0,ABS(Uzman_E!A$10-D19))</f>
        <v>0</v>
      </c>
      <c r="F19" s="55">
        <f>IF(ISBLANK(D19),0,INDEX(Tablo_E!$B$2:$CX$102,MATCH(ROUND(Uzman_E!A$10,1),Tablo_E!$A$2:$A$102,1),MATCH(ROUND(E19,1),Tablo_E!$B$1:$CX$1,1)))</f>
        <v>0</v>
      </c>
      <c r="G19" s="60"/>
      <c r="H19" s="64">
        <f>IF(ISBLANK(G19),0,ABS(Uzman_E!B$10-G19))</f>
        <v>0</v>
      </c>
      <c r="I19" s="55">
        <f>IF(ISBLANK(G19),0,INDEX(Tablo_E!$B$2:$CX$102,MATCH(ROUND(Uzman_E!B$10,1),Tablo_E!$A$2:$A$102,1),MATCH(ROUND(H19,1),Tablo_E!$B$1:$CX$1,1)))</f>
        <v>0</v>
      </c>
      <c r="J19" s="60"/>
      <c r="K19" s="64">
        <f>IF(ISBLANK(J19),0,ABS(Uzman_E!C$10-J19))</f>
        <v>0</v>
      </c>
      <c r="L19" s="55">
        <f>IF(ISBLANK(J19),0,INDEX(Tablo_E!$B$2:$CX$102,MATCH(ROUND(Uzman_E!C$10,1),Tablo_E!$A$2:$A$102,1),MATCH(ROUND(K19,1),Tablo_E!$B$1:$CX$1,1)))</f>
        <v>0</v>
      </c>
      <c r="M19" s="60"/>
      <c r="N19" s="64">
        <f>IF(ISBLANK(M19),0,ABS(Uzman_E!D$10-M19))</f>
        <v>0</v>
      </c>
      <c r="O19" s="55">
        <f>IF(ISBLANK(M19),0,INDEX(Tablo_E!$B$2:$CX$102,MATCH(ROUND(Uzman_E!D$10,1),Tablo_E!$A$2:$A$102,1),MATCH(ROUND(N19,1),Tablo_E!$B$1:$CX$1,1)))</f>
        <v>0</v>
      </c>
      <c r="P19" s="60"/>
      <c r="Q19" s="64">
        <f>IF(ISBLANK(P19),0,ABS(Uzman_E!E$10-P19))</f>
        <v>0</v>
      </c>
      <c r="R19" s="55">
        <f>IF(ISBLANK(P19),0,INDEX(Tablo_E!$B$2:$CX$102,MATCH(ROUND(Uzman_E!E$10,1),Tablo_E!$A$2:$A$102,1),MATCH(ROUND(Q19,1),Tablo_E!$B$1:$CX$1,1)))</f>
        <v>0</v>
      </c>
      <c r="S19" s="56">
        <f t="shared" si="0"/>
        <v>0</v>
      </c>
      <c r="T19" s="50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 spans="1:36" ht="15" customHeight="1" thickBot="1" x14ac:dyDescent="0.25">
      <c r="A20" s="57">
        <v>17</v>
      </c>
      <c r="B20" s="58">
        <f>Hakemler!B20</f>
        <v>0</v>
      </c>
      <c r="C20" s="59">
        <f>Hakemler!C20</f>
        <v>0</v>
      </c>
      <c r="D20" s="60"/>
      <c r="E20" s="64">
        <f>IF(ISBLANK(D20),0,ABS(Uzman_E!A$10-D20))</f>
        <v>0</v>
      </c>
      <c r="F20" s="55">
        <f>IF(ISBLANK(D20),0,INDEX(Tablo_E!$B$2:$CX$102,MATCH(ROUND(Uzman_E!A$10,1),Tablo_E!$A$2:$A$102,1),MATCH(ROUND(E20,1),Tablo_E!$B$1:$CX$1,1)))</f>
        <v>0</v>
      </c>
      <c r="G20" s="60"/>
      <c r="H20" s="64">
        <f>IF(ISBLANK(G20),0,ABS(Uzman_E!B$10-G20))</f>
        <v>0</v>
      </c>
      <c r="I20" s="55">
        <f>IF(ISBLANK(G20),0,INDEX(Tablo_E!$B$2:$CX$102,MATCH(ROUND(Uzman_E!B$10,1),Tablo_E!$A$2:$A$102,1),MATCH(ROUND(H20,1),Tablo_E!$B$1:$CX$1,1)))</f>
        <v>0</v>
      </c>
      <c r="J20" s="60"/>
      <c r="K20" s="64">
        <f>IF(ISBLANK(J20),0,ABS(Uzman_E!C$10-J20))</f>
        <v>0</v>
      </c>
      <c r="L20" s="55">
        <f>IF(ISBLANK(J20),0,INDEX(Tablo_E!$B$2:$CX$102,MATCH(ROUND(Uzman_E!C$10,1),Tablo_E!$A$2:$A$102,1),MATCH(ROUND(K20,1),Tablo_E!$B$1:$CX$1,1)))</f>
        <v>0</v>
      </c>
      <c r="M20" s="60"/>
      <c r="N20" s="64">
        <f>IF(ISBLANK(M20),0,ABS(Uzman_E!D$10-M20))</f>
        <v>0</v>
      </c>
      <c r="O20" s="55">
        <f>IF(ISBLANK(M20),0,INDEX(Tablo_E!$B$2:$CX$102,MATCH(ROUND(Uzman_E!D$10,1),Tablo_E!$A$2:$A$102,1),MATCH(ROUND(N20,1),Tablo_E!$B$1:$CX$1,1)))</f>
        <v>0</v>
      </c>
      <c r="P20" s="60"/>
      <c r="Q20" s="64">
        <f>IF(ISBLANK(P20),0,ABS(Uzman_E!E$10-P20))</f>
        <v>0</v>
      </c>
      <c r="R20" s="55">
        <f>IF(ISBLANK(P20),0,INDEX(Tablo_E!$B$2:$CX$102,MATCH(ROUND(Uzman_E!E$10,1),Tablo_E!$A$2:$A$102,1),MATCH(ROUND(Q20,1),Tablo_E!$B$1:$CX$1,1)))</f>
        <v>0</v>
      </c>
      <c r="S20" s="56">
        <f t="shared" si="0"/>
        <v>0</v>
      </c>
      <c r="T20" s="50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1:36" ht="15" customHeight="1" thickBot="1" x14ac:dyDescent="0.25">
      <c r="A21" s="57">
        <v>18</v>
      </c>
      <c r="B21" s="58">
        <f>Hakemler!B21</f>
        <v>0</v>
      </c>
      <c r="C21" s="59">
        <f>Hakemler!C21</f>
        <v>0</v>
      </c>
      <c r="D21" s="60"/>
      <c r="E21" s="64">
        <f>IF(ISBLANK(D21),0,ABS(Uzman_E!A$10-D21))</f>
        <v>0</v>
      </c>
      <c r="F21" s="55">
        <f>IF(ISBLANK(D21),0,INDEX(Tablo_E!$B$2:$CX$102,MATCH(ROUND(Uzman_E!A$10,1),Tablo_E!$A$2:$A$102,1),MATCH(ROUND(E21,1),Tablo_E!$B$1:$CX$1,1)))</f>
        <v>0</v>
      </c>
      <c r="G21" s="60"/>
      <c r="H21" s="64">
        <f>IF(ISBLANK(G21),0,ABS(Uzman_E!B$10-G21))</f>
        <v>0</v>
      </c>
      <c r="I21" s="55">
        <f>IF(ISBLANK(G21),0,INDEX(Tablo_E!$B$2:$CX$102,MATCH(ROUND(Uzman_E!B$10,1),Tablo_E!$A$2:$A$102,1),MATCH(ROUND(H21,1),Tablo_E!$B$1:$CX$1,1)))</f>
        <v>0</v>
      </c>
      <c r="J21" s="60"/>
      <c r="K21" s="64">
        <f>IF(ISBLANK(J21),0,ABS(Uzman_E!C$10-J21))</f>
        <v>0</v>
      </c>
      <c r="L21" s="55">
        <f>IF(ISBLANK(J21),0,INDEX(Tablo_E!$B$2:$CX$102,MATCH(ROUND(Uzman_E!C$10,1),Tablo_E!$A$2:$A$102,1),MATCH(ROUND(K21,1),Tablo_E!$B$1:$CX$1,1)))</f>
        <v>0</v>
      </c>
      <c r="M21" s="60"/>
      <c r="N21" s="64">
        <f>IF(ISBLANK(M21),0,ABS(Uzman_E!D$10-M21))</f>
        <v>0</v>
      </c>
      <c r="O21" s="55">
        <f>IF(ISBLANK(M21),0,INDEX(Tablo_E!$B$2:$CX$102,MATCH(ROUND(Uzman_E!D$10,1),Tablo_E!$A$2:$A$102,1),MATCH(ROUND(N21,1),Tablo_E!$B$1:$CX$1,1)))</f>
        <v>0</v>
      </c>
      <c r="P21" s="60"/>
      <c r="Q21" s="64">
        <f>IF(ISBLANK(P21),0,ABS(Uzman_E!E$10-P21))</f>
        <v>0</v>
      </c>
      <c r="R21" s="55">
        <f>IF(ISBLANK(P21),0,INDEX(Tablo_E!$B$2:$CX$102,MATCH(ROUND(Uzman_E!E$10,1),Tablo_E!$A$2:$A$102,1),MATCH(ROUND(Q21,1),Tablo_E!$B$1:$CX$1,1)))</f>
        <v>0</v>
      </c>
      <c r="S21" s="56">
        <f t="shared" si="0"/>
        <v>0</v>
      </c>
      <c r="T21" s="50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spans="1:36" ht="15" customHeight="1" thickBot="1" x14ac:dyDescent="0.25">
      <c r="A22" s="57">
        <v>19</v>
      </c>
      <c r="B22" s="58">
        <f>Hakemler!B22</f>
        <v>0</v>
      </c>
      <c r="C22" s="59">
        <f>Hakemler!C22</f>
        <v>0</v>
      </c>
      <c r="D22" s="60"/>
      <c r="E22" s="64">
        <f>IF(ISBLANK(D22),0,ABS(Uzman_E!A$10-D22))</f>
        <v>0</v>
      </c>
      <c r="F22" s="55">
        <f>IF(ISBLANK(D22),0,INDEX(Tablo_E!$B$2:$CX$102,MATCH(ROUND(Uzman_E!A$10,1),Tablo_E!$A$2:$A$102,1),MATCH(ROUND(E22,1),Tablo_E!$B$1:$CX$1,1)))</f>
        <v>0</v>
      </c>
      <c r="G22" s="60"/>
      <c r="H22" s="64">
        <f>IF(ISBLANK(G22),0,ABS(Uzman_E!B$10-G22))</f>
        <v>0</v>
      </c>
      <c r="I22" s="55">
        <f>IF(ISBLANK(G22),0,INDEX(Tablo_E!$B$2:$CX$102,MATCH(ROUND(Uzman_E!B$10,1),Tablo_E!$A$2:$A$102,1),MATCH(ROUND(H22,1),Tablo_E!$B$1:$CX$1,1)))</f>
        <v>0</v>
      </c>
      <c r="J22" s="60"/>
      <c r="K22" s="64">
        <f>IF(ISBLANK(J22),0,ABS(Uzman_E!C$10-J22))</f>
        <v>0</v>
      </c>
      <c r="L22" s="55">
        <f>IF(ISBLANK(J22),0,INDEX(Tablo_E!$B$2:$CX$102,MATCH(ROUND(Uzman_E!C$10,1),Tablo_E!$A$2:$A$102,1),MATCH(ROUND(K22,1),Tablo_E!$B$1:$CX$1,1)))</f>
        <v>0</v>
      </c>
      <c r="M22" s="60"/>
      <c r="N22" s="64">
        <f>IF(ISBLANK(M22),0,ABS(Uzman_E!D$10-M22))</f>
        <v>0</v>
      </c>
      <c r="O22" s="55">
        <f>IF(ISBLANK(M22),0,INDEX(Tablo_E!$B$2:$CX$102,MATCH(ROUND(Uzman_E!D$10,1),Tablo_E!$A$2:$A$102,1),MATCH(ROUND(N22,1),Tablo_E!$B$1:$CX$1,1)))</f>
        <v>0</v>
      </c>
      <c r="P22" s="60"/>
      <c r="Q22" s="64">
        <f>IF(ISBLANK(P22),0,ABS(Uzman_E!E$10-P22))</f>
        <v>0</v>
      </c>
      <c r="R22" s="55">
        <f>IF(ISBLANK(P22),0,INDEX(Tablo_E!$B$2:$CX$102,MATCH(ROUND(Uzman_E!E$10,1),Tablo_E!$A$2:$A$102,1),MATCH(ROUND(Q22,1),Tablo_E!$B$1:$CX$1,1)))</f>
        <v>0</v>
      </c>
      <c r="S22" s="56">
        <f t="shared" si="0"/>
        <v>0</v>
      </c>
      <c r="T22" s="50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5" customHeight="1" thickBot="1" x14ac:dyDescent="0.25">
      <c r="A23" s="57">
        <v>20</v>
      </c>
      <c r="B23" s="58">
        <f>Hakemler!B23</f>
        <v>0</v>
      </c>
      <c r="C23" s="59">
        <f>Hakemler!C23</f>
        <v>0</v>
      </c>
      <c r="D23" s="60"/>
      <c r="E23" s="64">
        <f>IF(ISBLANK(D23),0,ABS(Uzman_E!A$10-D23))</f>
        <v>0</v>
      </c>
      <c r="F23" s="55">
        <f>IF(ISBLANK(D23),0,INDEX(Tablo_E!$B$2:$CX$102,MATCH(ROUND(Uzman_E!A$10,1),Tablo_E!$A$2:$A$102,1),MATCH(ROUND(E23,1),Tablo_E!$B$1:$CX$1,1)))</f>
        <v>0</v>
      </c>
      <c r="G23" s="60"/>
      <c r="H23" s="64">
        <f>IF(ISBLANK(G23),0,ABS(Uzman_E!B$10-G23))</f>
        <v>0</v>
      </c>
      <c r="I23" s="55">
        <f>IF(ISBLANK(G23),0,INDEX(Tablo_E!$B$2:$CX$102,MATCH(ROUND(Uzman_E!B$10,1),Tablo_E!$A$2:$A$102,1),MATCH(ROUND(H23,1),Tablo_E!$B$1:$CX$1,1)))</f>
        <v>0</v>
      </c>
      <c r="J23" s="60"/>
      <c r="K23" s="64">
        <f>IF(ISBLANK(J23),0,ABS(Uzman_E!C$10-J23))</f>
        <v>0</v>
      </c>
      <c r="L23" s="55">
        <f>IF(ISBLANK(J23),0,INDEX(Tablo_E!$B$2:$CX$102,MATCH(ROUND(Uzman_E!C$10,1),Tablo_E!$A$2:$A$102,1),MATCH(ROUND(K23,1),Tablo_E!$B$1:$CX$1,1)))</f>
        <v>0</v>
      </c>
      <c r="M23" s="60"/>
      <c r="N23" s="64">
        <f>IF(ISBLANK(M23),0,ABS(Uzman_E!D$10-M23))</f>
        <v>0</v>
      </c>
      <c r="O23" s="55">
        <f>IF(ISBLANK(M23),0,INDEX(Tablo_E!$B$2:$CX$102,MATCH(ROUND(Uzman_E!D$10,1),Tablo_E!$A$2:$A$102,1),MATCH(ROUND(N23,1),Tablo_E!$B$1:$CX$1,1)))</f>
        <v>0</v>
      </c>
      <c r="P23" s="60"/>
      <c r="Q23" s="64">
        <f>IF(ISBLANK(P23),0,ABS(Uzman_E!E$10-P23))</f>
        <v>0</v>
      </c>
      <c r="R23" s="55">
        <f>IF(ISBLANK(P23),0,INDEX(Tablo_E!$B$2:$CX$102,MATCH(ROUND(Uzman_E!E$10,1),Tablo_E!$A$2:$A$102,1),MATCH(ROUND(Q23,1),Tablo_E!$B$1:$CX$1,1)))</f>
        <v>0</v>
      </c>
      <c r="S23" s="56">
        <f t="shared" si="0"/>
        <v>0</v>
      </c>
      <c r="T23" s="50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spans="1:36" ht="15" customHeight="1" thickBot="1" x14ac:dyDescent="0.25">
      <c r="A24" s="57">
        <v>21</v>
      </c>
      <c r="B24" s="58">
        <f>Hakemler!B24</f>
        <v>0</v>
      </c>
      <c r="C24" s="59">
        <f>Hakemler!C24</f>
        <v>0</v>
      </c>
      <c r="D24" s="60"/>
      <c r="E24" s="64">
        <f>IF(ISBLANK(D24),0,ABS(Uzman_E!A$10-D24))</f>
        <v>0</v>
      </c>
      <c r="F24" s="55">
        <f>IF(ISBLANK(D24),0,INDEX(Tablo_E!$B$2:$CX$102,MATCH(ROUND(Uzman_E!A$10,1),Tablo_E!$A$2:$A$102,1),MATCH(ROUND(E24,1),Tablo_E!$B$1:$CX$1,1)))</f>
        <v>0</v>
      </c>
      <c r="G24" s="60"/>
      <c r="H24" s="64">
        <f>IF(ISBLANK(G24),0,ABS(Uzman_E!B$10-G24))</f>
        <v>0</v>
      </c>
      <c r="I24" s="55">
        <f>IF(ISBLANK(G24),0,INDEX(Tablo_E!$B$2:$CX$102,MATCH(ROUND(Uzman_E!B$10,1),Tablo_E!$A$2:$A$102,1),MATCH(ROUND(H24,1),Tablo_E!$B$1:$CX$1,1)))</f>
        <v>0</v>
      </c>
      <c r="J24" s="60"/>
      <c r="K24" s="64">
        <f>IF(ISBLANK(J24),0,ABS(Uzman_E!C$10-J24))</f>
        <v>0</v>
      </c>
      <c r="L24" s="55">
        <f>IF(ISBLANK(J24),0,INDEX(Tablo_E!$B$2:$CX$102,MATCH(ROUND(Uzman_E!C$10,1),Tablo_E!$A$2:$A$102,1),MATCH(ROUND(K24,1),Tablo_E!$B$1:$CX$1,1)))</f>
        <v>0</v>
      </c>
      <c r="M24" s="60"/>
      <c r="N24" s="64">
        <f>IF(ISBLANK(M24),0,ABS(Uzman_E!D$10-M24))</f>
        <v>0</v>
      </c>
      <c r="O24" s="55">
        <f>IF(ISBLANK(M24),0,INDEX(Tablo_E!$B$2:$CX$102,MATCH(ROUND(Uzman_E!D$10,1),Tablo_E!$A$2:$A$102,1),MATCH(ROUND(N24,1),Tablo_E!$B$1:$CX$1,1)))</f>
        <v>0</v>
      </c>
      <c r="P24" s="60"/>
      <c r="Q24" s="64">
        <f>IF(ISBLANK(P24),0,ABS(Uzman_E!E$10-P24))</f>
        <v>0</v>
      </c>
      <c r="R24" s="55">
        <f>IF(ISBLANK(P24),0,INDEX(Tablo_E!$B$2:$CX$102,MATCH(ROUND(Uzman_E!E$10,1),Tablo_E!$A$2:$A$102,1),MATCH(ROUND(Q24,1),Tablo_E!$B$1:$CX$1,1)))</f>
        <v>0</v>
      </c>
      <c r="S24" s="56">
        <f t="shared" si="0"/>
        <v>0</v>
      </c>
      <c r="T24" s="50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spans="1:36" ht="15" customHeight="1" thickBot="1" x14ac:dyDescent="0.25">
      <c r="A25" s="57">
        <v>22</v>
      </c>
      <c r="B25" s="58">
        <f>Hakemler!B25</f>
        <v>0</v>
      </c>
      <c r="C25" s="59">
        <f>Hakemler!C25</f>
        <v>0</v>
      </c>
      <c r="D25" s="60"/>
      <c r="E25" s="64">
        <f>IF(ISBLANK(D25),0,ABS(Uzman_E!A$10-D25))</f>
        <v>0</v>
      </c>
      <c r="F25" s="55">
        <f>IF(ISBLANK(D25),0,INDEX(Tablo_E!$B$2:$CX$102,MATCH(ROUND(Uzman_E!A$10,1),Tablo_E!$A$2:$A$102,1),MATCH(ROUND(E25,1),Tablo_E!$B$1:$CX$1,1)))</f>
        <v>0</v>
      </c>
      <c r="G25" s="60"/>
      <c r="H25" s="64">
        <f>IF(ISBLANK(G25),0,ABS(Uzman_E!B$10-G25))</f>
        <v>0</v>
      </c>
      <c r="I25" s="55">
        <f>IF(ISBLANK(G25),0,INDEX(Tablo_E!$B$2:$CX$102,MATCH(ROUND(Uzman_E!B$10,1),Tablo_E!$A$2:$A$102,1),MATCH(ROUND(H25,1),Tablo_E!$B$1:$CX$1,1)))</f>
        <v>0</v>
      </c>
      <c r="J25" s="60"/>
      <c r="K25" s="64">
        <f>IF(ISBLANK(J25),0,ABS(Uzman_E!C$10-J25))</f>
        <v>0</v>
      </c>
      <c r="L25" s="55">
        <f>IF(ISBLANK(J25),0,INDEX(Tablo_E!$B$2:$CX$102,MATCH(ROUND(Uzman_E!C$10,1),Tablo_E!$A$2:$A$102,1),MATCH(ROUND(K25,1),Tablo_E!$B$1:$CX$1,1)))</f>
        <v>0</v>
      </c>
      <c r="M25" s="60"/>
      <c r="N25" s="64">
        <f>IF(ISBLANK(M25),0,ABS(Uzman_E!D$10-M25))</f>
        <v>0</v>
      </c>
      <c r="O25" s="55">
        <f>IF(ISBLANK(M25),0,INDEX(Tablo_E!$B$2:$CX$102,MATCH(ROUND(Uzman_E!D$10,1),Tablo_E!$A$2:$A$102,1),MATCH(ROUND(N25,1),Tablo_E!$B$1:$CX$1,1)))</f>
        <v>0</v>
      </c>
      <c r="P25" s="60"/>
      <c r="Q25" s="64">
        <f>IF(ISBLANK(P25),0,ABS(Uzman_E!E$10-P25))</f>
        <v>0</v>
      </c>
      <c r="R25" s="55">
        <f>IF(ISBLANK(P25),0,INDEX(Tablo_E!$B$2:$CX$102,MATCH(ROUND(Uzman_E!E$10,1),Tablo_E!$A$2:$A$102,1),MATCH(ROUND(Q25,1),Tablo_E!$B$1:$CX$1,1)))</f>
        <v>0</v>
      </c>
      <c r="S25" s="56">
        <f t="shared" si="0"/>
        <v>0</v>
      </c>
      <c r="T25" s="50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spans="1:36" ht="15" customHeight="1" thickBot="1" x14ac:dyDescent="0.25">
      <c r="A26" s="57">
        <v>23</v>
      </c>
      <c r="B26" s="58">
        <f>Hakemler!B26</f>
        <v>0</v>
      </c>
      <c r="C26" s="59">
        <f>Hakemler!C26</f>
        <v>0</v>
      </c>
      <c r="D26" s="60"/>
      <c r="E26" s="64">
        <f>IF(ISBLANK(D26),0,ABS(Uzman_E!A$10-D26))</f>
        <v>0</v>
      </c>
      <c r="F26" s="55">
        <f>IF(ISBLANK(D26),0,INDEX(Tablo_E!$B$2:$CX$102,MATCH(ROUND(Uzman_E!A$10,1),Tablo_E!$A$2:$A$102,1),MATCH(ROUND(E26,1),Tablo_E!$B$1:$CX$1,1)))</f>
        <v>0</v>
      </c>
      <c r="G26" s="60"/>
      <c r="H26" s="64">
        <f>IF(ISBLANK(G26),0,ABS(Uzman_E!B$10-G26))</f>
        <v>0</v>
      </c>
      <c r="I26" s="55">
        <f>IF(ISBLANK(G26),0,INDEX(Tablo_E!$B$2:$CX$102,MATCH(ROUND(Uzman_E!B$10,1),Tablo_E!$A$2:$A$102,1),MATCH(ROUND(H26,1),Tablo_E!$B$1:$CX$1,1)))</f>
        <v>0</v>
      </c>
      <c r="J26" s="60"/>
      <c r="K26" s="64">
        <f>IF(ISBLANK(J26),0,ABS(Uzman_E!C$10-J26))</f>
        <v>0</v>
      </c>
      <c r="L26" s="55">
        <f>IF(ISBLANK(J26),0,INDEX(Tablo_E!$B$2:$CX$102,MATCH(ROUND(Uzman_E!C$10,1),Tablo_E!$A$2:$A$102,1),MATCH(ROUND(K26,1),Tablo_E!$B$1:$CX$1,1)))</f>
        <v>0</v>
      </c>
      <c r="M26" s="60"/>
      <c r="N26" s="64">
        <f>IF(ISBLANK(M26),0,ABS(Uzman_E!D$10-M26))</f>
        <v>0</v>
      </c>
      <c r="O26" s="55">
        <f>IF(ISBLANK(M26),0,INDEX(Tablo_E!$B$2:$CX$102,MATCH(ROUND(Uzman_E!D$10,1),Tablo_E!$A$2:$A$102,1),MATCH(ROUND(N26,1),Tablo_E!$B$1:$CX$1,1)))</f>
        <v>0</v>
      </c>
      <c r="P26" s="60"/>
      <c r="Q26" s="64">
        <f>IF(ISBLANK(P26),0,ABS(Uzman_E!E$10-P26))</f>
        <v>0</v>
      </c>
      <c r="R26" s="55">
        <f>IF(ISBLANK(P26),0,INDEX(Tablo_E!$B$2:$CX$102,MATCH(ROUND(Uzman_E!E$10,1),Tablo_E!$A$2:$A$102,1),MATCH(ROUND(Q26,1),Tablo_E!$B$1:$CX$1,1)))</f>
        <v>0</v>
      </c>
      <c r="S26" s="56">
        <f t="shared" si="0"/>
        <v>0</v>
      </c>
      <c r="T26" s="50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6" ht="15" customHeight="1" thickBot="1" x14ac:dyDescent="0.25">
      <c r="A27" s="57">
        <v>24</v>
      </c>
      <c r="B27" s="58">
        <f>Hakemler!B27</f>
        <v>0</v>
      </c>
      <c r="C27" s="59">
        <f>Hakemler!C27</f>
        <v>0</v>
      </c>
      <c r="D27" s="60"/>
      <c r="E27" s="64">
        <f>IF(ISBLANK(D27),0,ABS(Uzman_E!A$10-D27))</f>
        <v>0</v>
      </c>
      <c r="F27" s="55">
        <f>IF(ISBLANK(D27),0,INDEX(Tablo_E!$B$2:$CX$102,MATCH(ROUND(Uzman_E!A$10,1),Tablo_E!$A$2:$A$102,1),MATCH(ROUND(E27,1),Tablo_E!$B$1:$CX$1,1)))</f>
        <v>0</v>
      </c>
      <c r="G27" s="60"/>
      <c r="H27" s="64">
        <f>IF(ISBLANK(G27),0,ABS(Uzman_E!B$10-G27))</f>
        <v>0</v>
      </c>
      <c r="I27" s="55">
        <f>IF(ISBLANK(G27),0,INDEX(Tablo_E!$B$2:$CX$102,MATCH(ROUND(Uzman_E!B$10,1),Tablo_E!$A$2:$A$102,1),MATCH(ROUND(H27,1),Tablo_E!$B$1:$CX$1,1)))</f>
        <v>0</v>
      </c>
      <c r="J27" s="60"/>
      <c r="K27" s="64">
        <f>IF(ISBLANK(J27),0,ABS(Uzman_E!C$10-J27))</f>
        <v>0</v>
      </c>
      <c r="L27" s="55">
        <f>IF(ISBLANK(J27),0,INDEX(Tablo_E!$B$2:$CX$102,MATCH(ROUND(Uzman_E!C$10,1),Tablo_E!$A$2:$A$102,1),MATCH(ROUND(K27,1),Tablo_E!$B$1:$CX$1,1)))</f>
        <v>0</v>
      </c>
      <c r="M27" s="60"/>
      <c r="N27" s="64">
        <f>IF(ISBLANK(M27),0,ABS(Uzman_E!D$10-M27))</f>
        <v>0</v>
      </c>
      <c r="O27" s="55">
        <f>IF(ISBLANK(M27),0,INDEX(Tablo_E!$B$2:$CX$102,MATCH(ROUND(Uzman_E!D$10,1),Tablo_E!$A$2:$A$102,1),MATCH(ROUND(N27,1),Tablo_E!$B$1:$CX$1,1)))</f>
        <v>0</v>
      </c>
      <c r="P27" s="60"/>
      <c r="Q27" s="64">
        <f>IF(ISBLANK(P27),0,ABS(Uzman_E!E$10-P27))</f>
        <v>0</v>
      </c>
      <c r="R27" s="55">
        <f>IF(ISBLANK(P27),0,INDEX(Tablo_E!$B$2:$CX$102,MATCH(ROUND(Uzman_E!E$10,1),Tablo_E!$A$2:$A$102,1),MATCH(ROUND(Q27,1),Tablo_E!$B$1:$CX$1,1)))</f>
        <v>0</v>
      </c>
      <c r="S27" s="56">
        <f t="shared" si="0"/>
        <v>0</v>
      </c>
      <c r="T27" s="50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6" ht="15" customHeight="1" thickBot="1" x14ac:dyDescent="0.25">
      <c r="A28" s="57">
        <v>25</v>
      </c>
      <c r="B28" s="58">
        <f>Hakemler!B28</f>
        <v>0</v>
      </c>
      <c r="C28" s="59">
        <f>Hakemler!C28</f>
        <v>0</v>
      </c>
      <c r="D28" s="60"/>
      <c r="E28" s="64">
        <f>IF(ISBLANK(D28),0,ABS(Uzman_E!A$10-D28))</f>
        <v>0</v>
      </c>
      <c r="F28" s="55">
        <f>IF(ISBLANK(D28),0,INDEX(Tablo_E!$B$2:$CX$102,MATCH(ROUND(Uzman_E!A$10,1),Tablo_E!$A$2:$A$102,1),MATCH(ROUND(E28,1),Tablo_E!$B$1:$CX$1,1)))</f>
        <v>0</v>
      </c>
      <c r="G28" s="60"/>
      <c r="H28" s="64">
        <f>IF(ISBLANK(G28),0,ABS(Uzman_E!B$10-G28))</f>
        <v>0</v>
      </c>
      <c r="I28" s="55">
        <f>IF(ISBLANK(G28),0,INDEX(Tablo_E!$B$2:$CX$102,MATCH(ROUND(Uzman_E!B$10,1),Tablo_E!$A$2:$A$102,1),MATCH(ROUND(H28,1),Tablo_E!$B$1:$CX$1,1)))</f>
        <v>0</v>
      </c>
      <c r="J28" s="60"/>
      <c r="K28" s="64">
        <f>IF(ISBLANK(J28),0,ABS(Uzman_E!C$10-J28))</f>
        <v>0</v>
      </c>
      <c r="L28" s="55">
        <f>IF(ISBLANK(J28),0,INDEX(Tablo_E!$B$2:$CX$102,MATCH(ROUND(Uzman_E!C$10,1),Tablo_E!$A$2:$A$102,1),MATCH(ROUND(K28,1),Tablo_E!$B$1:$CX$1,1)))</f>
        <v>0</v>
      </c>
      <c r="M28" s="60"/>
      <c r="N28" s="64">
        <f>IF(ISBLANK(M28),0,ABS(Uzman_E!D$10-M28))</f>
        <v>0</v>
      </c>
      <c r="O28" s="55">
        <f>IF(ISBLANK(M28),0,INDEX(Tablo_E!$B$2:$CX$102,MATCH(ROUND(Uzman_E!D$10,1),Tablo_E!$A$2:$A$102,1),MATCH(ROUND(N28,1),Tablo_E!$B$1:$CX$1,1)))</f>
        <v>0</v>
      </c>
      <c r="P28" s="60"/>
      <c r="Q28" s="64">
        <f>IF(ISBLANK(P28),0,ABS(Uzman_E!E$10-P28))</f>
        <v>0</v>
      </c>
      <c r="R28" s="55">
        <f>IF(ISBLANK(P28),0,INDEX(Tablo_E!$B$2:$CX$102,MATCH(ROUND(Uzman_E!E$10,1),Tablo_E!$A$2:$A$102,1),MATCH(ROUND(Q28,1),Tablo_E!$B$1:$CX$1,1)))</f>
        <v>0</v>
      </c>
      <c r="S28" s="56">
        <f t="shared" si="0"/>
        <v>0</v>
      </c>
      <c r="T28" s="50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spans="1:36" ht="15" customHeight="1" thickBot="1" x14ac:dyDescent="0.25">
      <c r="A29" s="57">
        <v>26</v>
      </c>
      <c r="B29" s="58">
        <f>Hakemler!B29</f>
        <v>0</v>
      </c>
      <c r="C29" s="59">
        <f>Hakemler!C29</f>
        <v>0</v>
      </c>
      <c r="D29" s="60"/>
      <c r="E29" s="64">
        <f>IF(ISBLANK(D29),0,ABS(Uzman_E!A$10-D29))</f>
        <v>0</v>
      </c>
      <c r="F29" s="55">
        <f>IF(ISBLANK(D29),0,INDEX(Tablo_E!$B$2:$CX$102,MATCH(ROUND(Uzman_E!A$10,1),Tablo_E!$A$2:$A$102,1),MATCH(ROUND(E29,1),Tablo_E!$B$1:$CX$1,1)))</f>
        <v>0</v>
      </c>
      <c r="G29" s="60"/>
      <c r="H29" s="64">
        <f>IF(ISBLANK(G29),0,ABS(Uzman_E!B$10-G29))</f>
        <v>0</v>
      </c>
      <c r="I29" s="55">
        <f>IF(ISBLANK(G29),0,INDEX(Tablo_E!$B$2:$CX$102,MATCH(ROUND(Uzman_E!B$10,1),Tablo_E!$A$2:$A$102,1),MATCH(ROUND(H29,1),Tablo_E!$B$1:$CX$1,1)))</f>
        <v>0</v>
      </c>
      <c r="J29" s="60"/>
      <c r="K29" s="64">
        <f>IF(ISBLANK(J29),0,ABS(Uzman_E!C$10-J29))</f>
        <v>0</v>
      </c>
      <c r="L29" s="55">
        <f>IF(ISBLANK(J29),0,INDEX(Tablo_E!$B$2:$CX$102,MATCH(ROUND(Uzman_E!C$10,1),Tablo_E!$A$2:$A$102,1),MATCH(ROUND(K29,1),Tablo_E!$B$1:$CX$1,1)))</f>
        <v>0</v>
      </c>
      <c r="M29" s="60"/>
      <c r="N29" s="64">
        <f>IF(ISBLANK(M29),0,ABS(Uzman_E!D$10-M29))</f>
        <v>0</v>
      </c>
      <c r="O29" s="55">
        <f>IF(ISBLANK(M29),0,INDEX(Tablo_E!$B$2:$CX$102,MATCH(ROUND(Uzman_E!D$10,1),Tablo_E!$A$2:$A$102,1),MATCH(ROUND(N29,1),Tablo_E!$B$1:$CX$1,1)))</f>
        <v>0</v>
      </c>
      <c r="P29" s="60"/>
      <c r="Q29" s="64">
        <f>IF(ISBLANK(P29),0,ABS(Uzman_E!E$10-P29))</f>
        <v>0</v>
      </c>
      <c r="R29" s="55">
        <f>IF(ISBLANK(P29),0,INDEX(Tablo_E!$B$2:$CX$102,MATCH(ROUND(Uzman_E!E$10,1),Tablo_E!$A$2:$A$102,1),MATCH(ROUND(Q29,1),Tablo_E!$B$1:$CX$1,1)))</f>
        <v>0</v>
      </c>
      <c r="S29" s="56">
        <f t="shared" si="0"/>
        <v>0</v>
      </c>
      <c r="T29" s="50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spans="1:36" ht="15" customHeight="1" thickBot="1" x14ac:dyDescent="0.25">
      <c r="A30" s="57">
        <v>27</v>
      </c>
      <c r="B30" s="58">
        <f>Hakemler!B30</f>
        <v>0</v>
      </c>
      <c r="C30" s="59">
        <f>Hakemler!C30</f>
        <v>0</v>
      </c>
      <c r="D30" s="60"/>
      <c r="E30" s="64">
        <f>IF(ISBLANK(D30),0,ABS(Uzman_E!A$10-D30))</f>
        <v>0</v>
      </c>
      <c r="F30" s="55">
        <f>IF(ISBLANK(D30),0,INDEX(Tablo_E!$B$2:$CX$102,MATCH(ROUND(Uzman_E!A$10,1),Tablo_E!$A$2:$A$102,1),MATCH(ROUND(E30,1),Tablo_E!$B$1:$CX$1,1)))</f>
        <v>0</v>
      </c>
      <c r="G30" s="60"/>
      <c r="H30" s="64">
        <f>IF(ISBLANK(G30),0,ABS(Uzman_E!B$10-G30))</f>
        <v>0</v>
      </c>
      <c r="I30" s="55">
        <f>IF(ISBLANK(G30),0,INDEX(Tablo_E!$B$2:$CX$102,MATCH(ROUND(Uzman_E!B$10,1),Tablo_E!$A$2:$A$102,1),MATCH(ROUND(H30,1),Tablo_E!$B$1:$CX$1,1)))</f>
        <v>0</v>
      </c>
      <c r="J30" s="60"/>
      <c r="K30" s="64">
        <f>IF(ISBLANK(J30),0,ABS(Uzman_E!C$10-J30))</f>
        <v>0</v>
      </c>
      <c r="L30" s="55">
        <f>IF(ISBLANK(J30),0,INDEX(Tablo_E!$B$2:$CX$102,MATCH(ROUND(Uzman_E!C$10,1),Tablo_E!$A$2:$A$102,1),MATCH(ROUND(K30,1),Tablo_E!$B$1:$CX$1,1)))</f>
        <v>0</v>
      </c>
      <c r="M30" s="60"/>
      <c r="N30" s="64">
        <f>IF(ISBLANK(M30),0,ABS(Uzman_E!D$10-M30))</f>
        <v>0</v>
      </c>
      <c r="O30" s="55">
        <f>IF(ISBLANK(M30),0,INDEX(Tablo_E!$B$2:$CX$102,MATCH(ROUND(Uzman_E!D$10,1),Tablo_E!$A$2:$A$102,1),MATCH(ROUND(N30,1),Tablo_E!$B$1:$CX$1,1)))</f>
        <v>0</v>
      </c>
      <c r="P30" s="60"/>
      <c r="Q30" s="64">
        <f>IF(ISBLANK(P30),0,ABS(Uzman_E!E$10-P30))</f>
        <v>0</v>
      </c>
      <c r="R30" s="55">
        <f>IF(ISBLANK(P30),0,INDEX(Tablo_E!$B$2:$CX$102,MATCH(ROUND(Uzman_E!E$10,1),Tablo_E!$A$2:$A$102,1),MATCH(ROUND(Q30,1),Tablo_E!$B$1:$CX$1,1)))</f>
        <v>0</v>
      </c>
      <c r="S30" s="56">
        <f t="shared" si="0"/>
        <v>0</v>
      </c>
      <c r="T30" s="50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6" ht="15" customHeight="1" thickBot="1" x14ac:dyDescent="0.25">
      <c r="A31" s="57">
        <v>28</v>
      </c>
      <c r="B31" s="58">
        <f>Hakemler!B31</f>
        <v>0</v>
      </c>
      <c r="C31" s="59">
        <f>Hakemler!C31</f>
        <v>0</v>
      </c>
      <c r="D31" s="60"/>
      <c r="E31" s="64">
        <f>IF(ISBLANK(D31),0,ABS(Uzman_E!A$10-D31))</f>
        <v>0</v>
      </c>
      <c r="F31" s="55">
        <f>IF(ISBLANK(D31),0,INDEX(Tablo_E!$B$2:$CX$102,MATCH(ROUND(Uzman_E!A$10,1),Tablo_E!$A$2:$A$102,1),MATCH(ROUND(E31,1),Tablo_E!$B$1:$CX$1,1)))</f>
        <v>0</v>
      </c>
      <c r="G31" s="60"/>
      <c r="H31" s="64">
        <f>IF(ISBLANK(G31),0,ABS(Uzman_E!B$10-G31))</f>
        <v>0</v>
      </c>
      <c r="I31" s="55">
        <f>IF(ISBLANK(G31),0,INDEX(Tablo_E!$B$2:$CX$102,MATCH(ROUND(Uzman_E!B$10,1),Tablo_E!$A$2:$A$102,1),MATCH(ROUND(H31,1),Tablo_E!$B$1:$CX$1,1)))</f>
        <v>0</v>
      </c>
      <c r="J31" s="60"/>
      <c r="K31" s="64">
        <f>IF(ISBLANK(J31),0,ABS(Uzman_E!C$10-J31))</f>
        <v>0</v>
      </c>
      <c r="L31" s="55">
        <f>IF(ISBLANK(J31),0,INDEX(Tablo_E!$B$2:$CX$102,MATCH(ROUND(Uzman_E!C$10,1),Tablo_E!$A$2:$A$102,1),MATCH(ROUND(K31,1),Tablo_E!$B$1:$CX$1,1)))</f>
        <v>0</v>
      </c>
      <c r="M31" s="60"/>
      <c r="N31" s="64">
        <f>IF(ISBLANK(M31),0,ABS(Uzman_E!D$10-M31))</f>
        <v>0</v>
      </c>
      <c r="O31" s="55">
        <f>IF(ISBLANK(M31),0,INDEX(Tablo_E!$B$2:$CX$102,MATCH(ROUND(Uzman_E!D$10,1),Tablo_E!$A$2:$A$102,1),MATCH(ROUND(N31,1),Tablo_E!$B$1:$CX$1,1)))</f>
        <v>0</v>
      </c>
      <c r="P31" s="60"/>
      <c r="Q31" s="64">
        <f>IF(ISBLANK(P31),0,ABS(Uzman_E!E$10-P31))</f>
        <v>0</v>
      </c>
      <c r="R31" s="55">
        <f>IF(ISBLANK(P31),0,INDEX(Tablo_E!$B$2:$CX$102,MATCH(ROUND(Uzman_E!E$10,1),Tablo_E!$A$2:$A$102,1),MATCH(ROUND(Q31,1),Tablo_E!$B$1:$CX$1,1)))</f>
        <v>0</v>
      </c>
      <c r="S31" s="56">
        <f t="shared" si="0"/>
        <v>0</v>
      </c>
      <c r="T31" s="50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spans="1:36" ht="15" customHeight="1" thickBot="1" x14ac:dyDescent="0.25">
      <c r="A32" s="57">
        <v>29</v>
      </c>
      <c r="B32" s="58">
        <f>Hakemler!B32</f>
        <v>0</v>
      </c>
      <c r="C32" s="59">
        <f>Hakemler!C32</f>
        <v>0</v>
      </c>
      <c r="D32" s="60"/>
      <c r="E32" s="64">
        <f>IF(ISBLANK(D32),0,ABS(Uzman_E!A$10-D32))</f>
        <v>0</v>
      </c>
      <c r="F32" s="55">
        <f>IF(ISBLANK(D32),0,INDEX(Tablo_E!$B$2:$CX$102,MATCH(ROUND(Uzman_E!A$10,1),Tablo_E!$A$2:$A$102,1),MATCH(ROUND(E32,1),Tablo_E!$B$1:$CX$1,1)))</f>
        <v>0</v>
      </c>
      <c r="G32" s="60"/>
      <c r="H32" s="64">
        <f>IF(ISBLANK(G32),0,ABS(Uzman_E!B$10-G32))</f>
        <v>0</v>
      </c>
      <c r="I32" s="55">
        <f>IF(ISBLANK(G32),0,INDEX(Tablo_E!$B$2:$CX$102,MATCH(ROUND(Uzman_E!B$10,1),Tablo_E!$A$2:$A$102,1),MATCH(ROUND(H32,1),Tablo_E!$B$1:$CX$1,1)))</f>
        <v>0</v>
      </c>
      <c r="J32" s="60"/>
      <c r="K32" s="64">
        <f>IF(ISBLANK(J32),0,ABS(Uzman_E!C$10-J32))</f>
        <v>0</v>
      </c>
      <c r="L32" s="55">
        <f>IF(ISBLANK(J32),0,INDEX(Tablo_E!$B$2:$CX$102,MATCH(ROUND(Uzman_E!C$10,1),Tablo_E!$A$2:$A$102,1),MATCH(ROUND(K32,1),Tablo_E!$B$1:$CX$1,1)))</f>
        <v>0</v>
      </c>
      <c r="M32" s="60"/>
      <c r="N32" s="64">
        <f>IF(ISBLANK(M32),0,ABS(Uzman_E!D$10-M32))</f>
        <v>0</v>
      </c>
      <c r="O32" s="55">
        <f>IF(ISBLANK(M32),0,INDEX(Tablo_E!$B$2:$CX$102,MATCH(ROUND(Uzman_E!D$10,1),Tablo_E!$A$2:$A$102,1),MATCH(ROUND(N32,1),Tablo_E!$B$1:$CX$1,1)))</f>
        <v>0</v>
      </c>
      <c r="P32" s="60"/>
      <c r="Q32" s="64">
        <f>IF(ISBLANK(P32),0,ABS(Uzman_E!E$10-P32))</f>
        <v>0</v>
      </c>
      <c r="R32" s="55">
        <f>IF(ISBLANK(P32),0,INDEX(Tablo_E!$B$2:$CX$102,MATCH(ROUND(Uzman_E!E$10,1),Tablo_E!$A$2:$A$102,1),MATCH(ROUND(Q32,1),Tablo_E!$B$1:$CX$1,1)))</f>
        <v>0</v>
      </c>
      <c r="S32" s="56">
        <f t="shared" si="0"/>
        <v>0</v>
      </c>
      <c r="T32" s="50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spans="1:36" ht="15" customHeight="1" thickBot="1" x14ac:dyDescent="0.25">
      <c r="A33" s="57">
        <v>30</v>
      </c>
      <c r="B33" s="58">
        <f>Hakemler!B33</f>
        <v>0</v>
      </c>
      <c r="C33" s="59">
        <f>Hakemler!C33</f>
        <v>0</v>
      </c>
      <c r="D33" s="60"/>
      <c r="E33" s="64">
        <f>IF(ISBLANK(D33),0,ABS(Uzman_E!A$10-D33))</f>
        <v>0</v>
      </c>
      <c r="F33" s="55">
        <f>IF(ISBLANK(D33),0,INDEX(Tablo_E!$B$2:$CX$102,MATCH(ROUND(Uzman_E!A$10,1),Tablo_E!$A$2:$A$102,1),MATCH(ROUND(E33,1),Tablo_E!$B$1:$CX$1,1)))</f>
        <v>0</v>
      </c>
      <c r="G33" s="60"/>
      <c r="H33" s="64">
        <f>IF(ISBLANK(G33),0,ABS(Uzman_E!B$10-G33))</f>
        <v>0</v>
      </c>
      <c r="I33" s="55">
        <f>IF(ISBLANK(G33),0,INDEX(Tablo_E!$B$2:$CX$102,MATCH(ROUND(Uzman_E!B$10,1),Tablo_E!$A$2:$A$102,1),MATCH(ROUND(H33,1),Tablo_E!$B$1:$CX$1,1)))</f>
        <v>0</v>
      </c>
      <c r="J33" s="60"/>
      <c r="K33" s="64">
        <f>IF(ISBLANK(J33),0,ABS(Uzman_E!C$10-J33))</f>
        <v>0</v>
      </c>
      <c r="L33" s="55">
        <f>IF(ISBLANK(J33),0,INDEX(Tablo_E!$B$2:$CX$102,MATCH(ROUND(Uzman_E!C$10,1),Tablo_E!$A$2:$A$102,1),MATCH(ROUND(K33,1),Tablo_E!$B$1:$CX$1,1)))</f>
        <v>0</v>
      </c>
      <c r="M33" s="60"/>
      <c r="N33" s="64">
        <f>IF(ISBLANK(M33),0,ABS(Uzman_E!D$10-M33))</f>
        <v>0</v>
      </c>
      <c r="O33" s="55">
        <f>IF(ISBLANK(M33),0,INDEX(Tablo_E!$B$2:$CX$102,MATCH(ROUND(Uzman_E!D$10,1),Tablo_E!$A$2:$A$102,1),MATCH(ROUND(N33,1),Tablo_E!$B$1:$CX$1,1)))</f>
        <v>0</v>
      </c>
      <c r="P33" s="60"/>
      <c r="Q33" s="64">
        <f>IF(ISBLANK(P33),0,ABS(Uzman_E!E$10-P33))</f>
        <v>0</v>
      </c>
      <c r="R33" s="55">
        <f>IF(ISBLANK(P33),0,INDEX(Tablo_E!$B$2:$CX$102,MATCH(ROUND(Uzman_E!E$10,1),Tablo_E!$A$2:$A$102,1),MATCH(ROUND(Q33,1),Tablo_E!$B$1:$CX$1,1)))</f>
        <v>0</v>
      </c>
      <c r="S33" s="56">
        <f t="shared" si="0"/>
        <v>0</v>
      </c>
      <c r="T33" s="50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spans="1:36" ht="15" customHeight="1" thickBot="1" x14ac:dyDescent="0.25">
      <c r="A34" s="57">
        <v>31</v>
      </c>
      <c r="B34" s="58">
        <f>Hakemler!B34</f>
        <v>0</v>
      </c>
      <c r="C34" s="59">
        <f>Hakemler!C34</f>
        <v>0</v>
      </c>
      <c r="D34" s="60"/>
      <c r="E34" s="64">
        <f>IF(ISBLANK(D34),0,ABS(Uzman_E!A$10-D34))</f>
        <v>0</v>
      </c>
      <c r="F34" s="55">
        <f>IF(ISBLANK(D34),0,INDEX(Tablo_E!$B$2:$CX$102,MATCH(ROUND(Uzman_E!A$10,1),Tablo_E!$A$2:$A$102,1),MATCH(ROUND(E34,1),Tablo_E!$B$1:$CX$1,1)))</f>
        <v>0</v>
      </c>
      <c r="G34" s="60"/>
      <c r="H34" s="64">
        <f>IF(ISBLANK(G34),0,ABS(Uzman_E!B$10-G34))</f>
        <v>0</v>
      </c>
      <c r="I34" s="55">
        <f>IF(ISBLANK(G34),0,INDEX(Tablo_E!$B$2:$CX$102,MATCH(ROUND(Uzman_E!B$10,1),Tablo_E!$A$2:$A$102,1),MATCH(ROUND(H34,1),Tablo_E!$B$1:$CX$1,1)))</f>
        <v>0</v>
      </c>
      <c r="J34" s="60"/>
      <c r="K34" s="64">
        <f>IF(ISBLANK(J34),0,ABS(Uzman_E!C$10-J34))</f>
        <v>0</v>
      </c>
      <c r="L34" s="55">
        <f>IF(ISBLANK(J34),0,INDEX(Tablo_E!$B$2:$CX$102,MATCH(ROUND(Uzman_E!C$10,1),Tablo_E!$A$2:$A$102,1),MATCH(ROUND(K34,1),Tablo_E!$B$1:$CX$1,1)))</f>
        <v>0</v>
      </c>
      <c r="M34" s="60"/>
      <c r="N34" s="64">
        <f>IF(ISBLANK(M34),0,ABS(Uzman_E!D$10-M34))</f>
        <v>0</v>
      </c>
      <c r="O34" s="55">
        <f>IF(ISBLANK(M34),0,INDEX(Tablo_E!$B$2:$CX$102,MATCH(ROUND(Uzman_E!D$10,1),Tablo_E!$A$2:$A$102,1),MATCH(ROUND(N34,1),Tablo_E!$B$1:$CX$1,1)))</f>
        <v>0</v>
      </c>
      <c r="P34" s="60"/>
      <c r="Q34" s="64">
        <f>IF(ISBLANK(P34),0,ABS(Uzman_E!E$10-P34))</f>
        <v>0</v>
      </c>
      <c r="R34" s="55">
        <f>IF(ISBLANK(P34),0,INDEX(Tablo_E!$B$2:$CX$102,MATCH(ROUND(Uzman_E!E$10,1),Tablo_E!$A$2:$A$102,1),MATCH(ROUND(Q34,1),Tablo_E!$B$1:$CX$1,1)))</f>
        <v>0</v>
      </c>
      <c r="S34" s="56">
        <f t="shared" si="0"/>
        <v>0</v>
      </c>
      <c r="T34" s="50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spans="1:36" ht="15" customHeight="1" thickBot="1" x14ac:dyDescent="0.25">
      <c r="A35" s="57">
        <v>32</v>
      </c>
      <c r="B35" s="58">
        <f>Hakemler!B35</f>
        <v>0</v>
      </c>
      <c r="C35" s="59">
        <f>Hakemler!C35</f>
        <v>0</v>
      </c>
      <c r="D35" s="60"/>
      <c r="E35" s="64">
        <f>IF(ISBLANK(D35),0,ABS(Uzman_E!A$10-D35))</f>
        <v>0</v>
      </c>
      <c r="F35" s="55">
        <f>IF(ISBLANK(D35),0,INDEX(Tablo_E!$B$2:$CX$102,MATCH(ROUND(Uzman_E!A$10,1),Tablo_E!$A$2:$A$102,1),MATCH(ROUND(E35,1),Tablo_E!$B$1:$CX$1,1)))</f>
        <v>0</v>
      </c>
      <c r="G35" s="60"/>
      <c r="H35" s="64">
        <f>IF(ISBLANK(G35),0,ABS(Uzman_E!B$10-G35))</f>
        <v>0</v>
      </c>
      <c r="I35" s="55">
        <f>IF(ISBLANK(G35),0,INDEX(Tablo_E!$B$2:$CX$102,MATCH(ROUND(Uzman_E!B$10,1),Tablo_E!$A$2:$A$102,1),MATCH(ROUND(H35,1),Tablo_E!$B$1:$CX$1,1)))</f>
        <v>0</v>
      </c>
      <c r="J35" s="60"/>
      <c r="K35" s="64">
        <f>IF(ISBLANK(J35),0,ABS(Uzman_E!C$10-J35))</f>
        <v>0</v>
      </c>
      <c r="L35" s="55">
        <f>IF(ISBLANK(J35),0,INDEX(Tablo_E!$B$2:$CX$102,MATCH(ROUND(Uzman_E!C$10,1),Tablo_E!$A$2:$A$102,1),MATCH(ROUND(K35,1),Tablo_E!$B$1:$CX$1,1)))</f>
        <v>0</v>
      </c>
      <c r="M35" s="60"/>
      <c r="N35" s="64">
        <f>IF(ISBLANK(M35),0,ABS(Uzman_E!D$10-M35))</f>
        <v>0</v>
      </c>
      <c r="O35" s="55">
        <f>IF(ISBLANK(M35),0,INDEX(Tablo_E!$B$2:$CX$102,MATCH(ROUND(Uzman_E!D$10,1),Tablo_E!$A$2:$A$102,1),MATCH(ROUND(N35,1),Tablo_E!$B$1:$CX$1,1)))</f>
        <v>0</v>
      </c>
      <c r="P35" s="60"/>
      <c r="Q35" s="64">
        <f>IF(ISBLANK(P35),0,ABS(Uzman_E!E$10-P35))</f>
        <v>0</v>
      </c>
      <c r="R35" s="55">
        <f>IF(ISBLANK(P35),0,INDEX(Tablo_E!$B$2:$CX$102,MATCH(ROUND(Uzman_E!E$10,1),Tablo_E!$A$2:$A$102,1),MATCH(ROUND(Q35,1),Tablo_E!$B$1:$CX$1,1)))</f>
        <v>0</v>
      </c>
      <c r="S35" s="56">
        <f t="shared" si="0"/>
        <v>0</v>
      </c>
      <c r="T35" s="50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spans="1:36" ht="15" customHeight="1" thickBot="1" x14ac:dyDescent="0.25">
      <c r="A36" s="57">
        <v>33</v>
      </c>
      <c r="B36" s="58">
        <f>Hakemler!B36</f>
        <v>0</v>
      </c>
      <c r="C36" s="59">
        <f>Hakemler!C36</f>
        <v>0</v>
      </c>
      <c r="D36" s="60"/>
      <c r="E36" s="64">
        <f>IF(ISBLANK(D36),0,ABS(Uzman_E!A$10-D36))</f>
        <v>0</v>
      </c>
      <c r="F36" s="55">
        <f>IF(ISBLANK(D36),0,INDEX(Tablo_E!$B$2:$CX$102,MATCH(ROUND(Uzman_E!A$10,1),Tablo_E!$A$2:$A$102,1),MATCH(ROUND(E36,1),Tablo_E!$B$1:$CX$1,1)))</f>
        <v>0</v>
      </c>
      <c r="G36" s="60"/>
      <c r="H36" s="64">
        <f>IF(ISBLANK(G36),0,ABS(Uzman_E!B$10-G36))</f>
        <v>0</v>
      </c>
      <c r="I36" s="55">
        <f>IF(ISBLANK(G36),0,INDEX(Tablo_E!$B$2:$CX$102,MATCH(ROUND(Uzman_E!B$10,1),Tablo_E!$A$2:$A$102,1),MATCH(ROUND(H36,1),Tablo_E!$B$1:$CX$1,1)))</f>
        <v>0</v>
      </c>
      <c r="J36" s="60"/>
      <c r="K36" s="64">
        <f>IF(ISBLANK(J36),0,ABS(Uzman_E!C$10-J36))</f>
        <v>0</v>
      </c>
      <c r="L36" s="55">
        <f>IF(ISBLANK(J36),0,INDEX(Tablo_E!$B$2:$CX$102,MATCH(ROUND(Uzman_E!C$10,1),Tablo_E!$A$2:$A$102,1),MATCH(ROUND(K36,1),Tablo_E!$B$1:$CX$1,1)))</f>
        <v>0</v>
      </c>
      <c r="M36" s="60"/>
      <c r="N36" s="64">
        <f>IF(ISBLANK(M36),0,ABS(Uzman_E!D$10-M36))</f>
        <v>0</v>
      </c>
      <c r="O36" s="55">
        <f>IF(ISBLANK(M36),0,INDEX(Tablo_E!$B$2:$CX$102,MATCH(ROUND(Uzman_E!D$10,1),Tablo_E!$A$2:$A$102,1),MATCH(ROUND(N36,1),Tablo_E!$B$1:$CX$1,1)))</f>
        <v>0</v>
      </c>
      <c r="P36" s="60"/>
      <c r="Q36" s="64">
        <f>IF(ISBLANK(P36),0,ABS(Uzman_E!E$10-P36))</f>
        <v>0</v>
      </c>
      <c r="R36" s="55">
        <f>IF(ISBLANK(P36),0,INDEX(Tablo_E!$B$2:$CX$102,MATCH(ROUND(Uzman_E!E$10,1),Tablo_E!$A$2:$A$102,1),MATCH(ROUND(Q36,1),Tablo_E!$B$1:$CX$1,1)))</f>
        <v>0</v>
      </c>
      <c r="S36" s="56">
        <f t="shared" si="0"/>
        <v>0</v>
      </c>
      <c r="T36" s="50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spans="1:36" ht="15" customHeight="1" thickBot="1" x14ac:dyDescent="0.25">
      <c r="A37" s="57">
        <v>34</v>
      </c>
      <c r="B37" s="58">
        <f>Hakemler!B37</f>
        <v>0</v>
      </c>
      <c r="C37" s="59">
        <f>Hakemler!C37</f>
        <v>0</v>
      </c>
      <c r="D37" s="60"/>
      <c r="E37" s="64">
        <f>IF(ISBLANK(D37),0,ABS(Uzman_E!A$10-D37))</f>
        <v>0</v>
      </c>
      <c r="F37" s="55">
        <f>IF(ISBLANK(D37),0,INDEX(Tablo_E!$B$2:$CX$102,MATCH(ROUND(Uzman_E!A$10,1),Tablo_E!$A$2:$A$102,1),MATCH(ROUND(E37,1),Tablo_E!$B$1:$CX$1,1)))</f>
        <v>0</v>
      </c>
      <c r="G37" s="60"/>
      <c r="H37" s="64">
        <f>IF(ISBLANK(G37),0,ABS(Uzman_E!B$10-G37))</f>
        <v>0</v>
      </c>
      <c r="I37" s="55">
        <f>IF(ISBLANK(G37),0,INDEX(Tablo_E!$B$2:$CX$102,MATCH(ROUND(Uzman_E!B$10,1),Tablo_E!$A$2:$A$102,1),MATCH(ROUND(H37,1),Tablo_E!$B$1:$CX$1,1)))</f>
        <v>0</v>
      </c>
      <c r="J37" s="60"/>
      <c r="K37" s="64">
        <f>IF(ISBLANK(J37),0,ABS(Uzman_E!C$10-J37))</f>
        <v>0</v>
      </c>
      <c r="L37" s="55">
        <f>IF(ISBLANK(J37),0,INDEX(Tablo_E!$B$2:$CX$102,MATCH(ROUND(Uzman_E!C$10,1),Tablo_E!$A$2:$A$102,1),MATCH(ROUND(K37,1),Tablo_E!$B$1:$CX$1,1)))</f>
        <v>0</v>
      </c>
      <c r="M37" s="60"/>
      <c r="N37" s="64">
        <f>IF(ISBLANK(M37),0,ABS(Uzman_E!D$10-M37))</f>
        <v>0</v>
      </c>
      <c r="O37" s="55">
        <f>IF(ISBLANK(M37),0,INDEX(Tablo_E!$B$2:$CX$102,MATCH(ROUND(Uzman_E!D$10,1),Tablo_E!$A$2:$A$102,1),MATCH(ROUND(N37,1),Tablo_E!$B$1:$CX$1,1)))</f>
        <v>0</v>
      </c>
      <c r="P37" s="60"/>
      <c r="Q37" s="64">
        <f>IF(ISBLANK(P37),0,ABS(Uzman_E!E$10-P37))</f>
        <v>0</v>
      </c>
      <c r="R37" s="55">
        <f>IF(ISBLANK(P37),0,INDEX(Tablo_E!$B$2:$CX$102,MATCH(ROUND(Uzman_E!E$10,1),Tablo_E!$A$2:$A$102,1),MATCH(ROUND(Q37,1),Tablo_E!$B$1:$CX$1,1)))</f>
        <v>0</v>
      </c>
      <c r="S37" s="56">
        <f t="shared" si="0"/>
        <v>0</v>
      </c>
      <c r="T37" s="50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spans="1:36" ht="15" customHeight="1" thickBot="1" x14ac:dyDescent="0.25">
      <c r="A38" s="57">
        <v>35</v>
      </c>
      <c r="B38" s="58">
        <f>Hakemler!B38</f>
        <v>0</v>
      </c>
      <c r="C38" s="59">
        <f>Hakemler!C38</f>
        <v>0</v>
      </c>
      <c r="D38" s="60"/>
      <c r="E38" s="64">
        <f>IF(ISBLANK(D38),0,ABS(Uzman_E!A$10-D38))</f>
        <v>0</v>
      </c>
      <c r="F38" s="55">
        <f>IF(ISBLANK(D38),0,INDEX(Tablo_E!$B$2:$CX$102,MATCH(ROUND(Uzman_E!A$10,1),Tablo_E!$A$2:$A$102,1),MATCH(ROUND(E38,1),Tablo_E!$B$1:$CX$1,1)))</f>
        <v>0</v>
      </c>
      <c r="G38" s="60"/>
      <c r="H38" s="64">
        <f>IF(ISBLANK(G38),0,ABS(Uzman_E!B$10-G38))</f>
        <v>0</v>
      </c>
      <c r="I38" s="55">
        <f>IF(ISBLANK(G38),0,INDEX(Tablo_E!$B$2:$CX$102,MATCH(ROUND(Uzman_E!B$10,1),Tablo_E!$A$2:$A$102,1),MATCH(ROUND(H38,1),Tablo_E!$B$1:$CX$1,1)))</f>
        <v>0</v>
      </c>
      <c r="J38" s="60"/>
      <c r="K38" s="64">
        <f>IF(ISBLANK(J38),0,ABS(Uzman_E!C$10-J38))</f>
        <v>0</v>
      </c>
      <c r="L38" s="55">
        <f>IF(ISBLANK(J38),0,INDEX(Tablo_E!$B$2:$CX$102,MATCH(ROUND(Uzman_E!C$10,1),Tablo_E!$A$2:$A$102,1),MATCH(ROUND(K38,1),Tablo_E!$B$1:$CX$1,1)))</f>
        <v>0</v>
      </c>
      <c r="M38" s="60"/>
      <c r="N38" s="64">
        <f>IF(ISBLANK(M38),0,ABS(Uzman_E!D$10-M38))</f>
        <v>0</v>
      </c>
      <c r="O38" s="55">
        <f>IF(ISBLANK(M38),0,INDEX(Tablo_E!$B$2:$CX$102,MATCH(ROUND(Uzman_E!D$10,1),Tablo_E!$A$2:$A$102,1),MATCH(ROUND(N38,1),Tablo_E!$B$1:$CX$1,1)))</f>
        <v>0</v>
      </c>
      <c r="P38" s="60"/>
      <c r="Q38" s="64">
        <f>IF(ISBLANK(P38),0,ABS(Uzman_E!E$10-P38))</f>
        <v>0</v>
      </c>
      <c r="R38" s="55">
        <f>IF(ISBLANK(P38),0,INDEX(Tablo_E!$B$2:$CX$102,MATCH(ROUND(Uzman_E!E$10,1),Tablo_E!$A$2:$A$102,1),MATCH(ROUND(Q38,1),Tablo_E!$B$1:$CX$1,1)))</f>
        <v>0</v>
      </c>
      <c r="S38" s="56">
        <f t="shared" si="0"/>
        <v>0</v>
      </c>
      <c r="T38" s="50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spans="1:36" ht="15" customHeight="1" thickBot="1" x14ac:dyDescent="0.25">
      <c r="A39" s="57">
        <v>36</v>
      </c>
      <c r="B39" s="58">
        <f>Hakemler!B39</f>
        <v>0</v>
      </c>
      <c r="C39" s="59">
        <f>Hakemler!C39</f>
        <v>0</v>
      </c>
      <c r="D39" s="60"/>
      <c r="E39" s="64">
        <f>IF(ISBLANK(D39),0,ABS(Uzman_E!A$10-D39))</f>
        <v>0</v>
      </c>
      <c r="F39" s="55">
        <f>IF(ISBLANK(D39),0,INDEX(Tablo_E!$B$2:$CX$102,MATCH(ROUND(Uzman_E!A$10,1),Tablo_E!$A$2:$A$102,1),MATCH(ROUND(E39,1),Tablo_E!$B$1:$CX$1,1)))</f>
        <v>0</v>
      </c>
      <c r="G39" s="60"/>
      <c r="H39" s="64">
        <f>IF(ISBLANK(G39),0,ABS(Uzman_E!B$10-G39))</f>
        <v>0</v>
      </c>
      <c r="I39" s="55">
        <f>IF(ISBLANK(G39),0,INDEX(Tablo_E!$B$2:$CX$102,MATCH(ROUND(Uzman_E!B$10,1),Tablo_E!$A$2:$A$102,1),MATCH(ROUND(H39,1),Tablo_E!$B$1:$CX$1,1)))</f>
        <v>0</v>
      </c>
      <c r="J39" s="60"/>
      <c r="K39" s="64">
        <f>IF(ISBLANK(J39),0,ABS(Uzman_E!C$10-J39))</f>
        <v>0</v>
      </c>
      <c r="L39" s="55">
        <f>IF(ISBLANK(J39),0,INDEX(Tablo_E!$B$2:$CX$102,MATCH(ROUND(Uzman_E!C$10,1),Tablo_E!$A$2:$A$102,1),MATCH(ROUND(K39,1),Tablo_E!$B$1:$CX$1,1)))</f>
        <v>0</v>
      </c>
      <c r="M39" s="60"/>
      <c r="N39" s="64">
        <f>IF(ISBLANK(M39),0,ABS(Uzman_E!D$10-M39))</f>
        <v>0</v>
      </c>
      <c r="O39" s="55">
        <f>IF(ISBLANK(M39),0,INDEX(Tablo_E!$B$2:$CX$102,MATCH(ROUND(Uzman_E!D$10,1),Tablo_E!$A$2:$A$102,1),MATCH(ROUND(N39,1),Tablo_E!$B$1:$CX$1,1)))</f>
        <v>0</v>
      </c>
      <c r="P39" s="60"/>
      <c r="Q39" s="64">
        <f>IF(ISBLANK(P39),0,ABS(Uzman_E!E$10-P39))</f>
        <v>0</v>
      </c>
      <c r="R39" s="55">
        <f>IF(ISBLANK(P39),0,INDEX(Tablo_E!$B$2:$CX$102,MATCH(ROUND(Uzman_E!E$10,1),Tablo_E!$A$2:$A$102,1),MATCH(ROUND(Q39,1),Tablo_E!$B$1:$CX$1,1)))</f>
        <v>0</v>
      </c>
      <c r="S39" s="56">
        <f t="shared" si="0"/>
        <v>0</v>
      </c>
      <c r="T39" s="50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spans="1:36" ht="15" customHeight="1" thickBot="1" x14ac:dyDescent="0.25">
      <c r="A40" s="57">
        <v>37</v>
      </c>
      <c r="B40" s="35">
        <f>Hakemler!B40</f>
        <v>0</v>
      </c>
      <c r="C40" s="63">
        <f>Hakemler!C40</f>
        <v>0</v>
      </c>
      <c r="D40" s="60"/>
      <c r="E40" s="64">
        <f>IF(ISBLANK(D40),0,ABS(Uzman_E!A$10-D40))</f>
        <v>0</v>
      </c>
      <c r="F40" s="55">
        <f>IF(ISBLANK(D40),0,INDEX(Tablo_E!$B$2:$CX$102,MATCH(ROUND(Uzman_E!A$10,1),Tablo_E!$A$2:$A$102,1),MATCH(ROUND(E40,1),Tablo_E!$B$1:$CX$1,1)))</f>
        <v>0</v>
      </c>
      <c r="G40" s="60"/>
      <c r="H40" s="64">
        <f>IF(ISBLANK(G40),0,ABS(Uzman_E!B$10-G40))</f>
        <v>0</v>
      </c>
      <c r="I40" s="55">
        <f>IF(ISBLANK(G40),0,INDEX(Tablo_E!$B$2:$CX$102,MATCH(ROUND(Uzman_E!B$10,1),Tablo_E!$A$2:$A$102,1),MATCH(ROUND(H40,1),Tablo_E!$B$1:$CX$1,1)))</f>
        <v>0</v>
      </c>
      <c r="J40" s="60"/>
      <c r="K40" s="64">
        <f>IF(ISBLANK(J40),0,ABS(Uzman_E!C$10-J40))</f>
        <v>0</v>
      </c>
      <c r="L40" s="55">
        <f>IF(ISBLANK(J40),0,INDEX(Tablo_E!$B$2:$CX$102,MATCH(ROUND(Uzman_E!C$10,1),Tablo_E!$A$2:$A$102,1),MATCH(ROUND(K40,1),Tablo_E!$B$1:$CX$1,1)))</f>
        <v>0</v>
      </c>
      <c r="M40" s="60"/>
      <c r="N40" s="64">
        <f>IF(ISBLANK(M40),0,ABS(Uzman_E!D$10-M40))</f>
        <v>0</v>
      </c>
      <c r="O40" s="55">
        <f>IF(ISBLANK(M40),0,INDEX(Tablo_E!$B$2:$CX$102,MATCH(ROUND(Uzman_E!D$10,1),Tablo_E!$A$2:$A$102,1),MATCH(ROUND(N40,1),Tablo_E!$B$1:$CX$1,1)))</f>
        <v>0</v>
      </c>
      <c r="P40" s="60"/>
      <c r="Q40" s="64">
        <f>IF(ISBLANK(P40),0,ABS(Uzman_E!E$10-P40))</f>
        <v>0</v>
      </c>
      <c r="R40" s="55">
        <f>IF(ISBLANK(P40),0,INDEX(Tablo_E!$B$2:$CX$102,MATCH(ROUND(Uzman_E!E$10,1),Tablo_E!$A$2:$A$102,1),MATCH(ROUND(Q40,1),Tablo_E!$B$1:$CX$1,1)))</f>
        <v>0</v>
      </c>
      <c r="S40" s="56">
        <f t="shared" si="0"/>
        <v>0</v>
      </c>
      <c r="T40" s="50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spans="1:36" ht="15" customHeight="1" thickBot="1" x14ac:dyDescent="0.25">
      <c r="A41" s="57">
        <v>38</v>
      </c>
      <c r="B41" s="35">
        <f>Hakemler!B41</f>
        <v>0</v>
      </c>
      <c r="C41" s="63">
        <f>Hakemler!C41</f>
        <v>0</v>
      </c>
      <c r="D41" s="60"/>
      <c r="E41" s="64">
        <f>IF(ISBLANK(D41),0,ABS(Uzman_E!A$10-D41))</f>
        <v>0</v>
      </c>
      <c r="F41" s="55">
        <f>IF(ISBLANK(D41),0,INDEX(Tablo_E!$B$2:$CX$102,MATCH(ROUND(Uzman_E!A$10,1),Tablo_E!$A$2:$A$102,1),MATCH(ROUND(E41,1),Tablo_E!$B$1:$CX$1,1)))</f>
        <v>0</v>
      </c>
      <c r="G41" s="60"/>
      <c r="H41" s="64">
        <f>IF(ISBLANK(G41),0,ABS(Uzman_E!B$10-G41))</f>
        <v>0</v>
      </c>
      <c r="I41" s="55">
        <f>IF(ISBLANK(G41),0,INDEX(Tablo_E!$B$2:$CX$102,MATCH(ROUND(Uzman_E!B$10,1),Tablo_E!$A$2:$A$102,1),MATCH(ROUND(H41,1),Tablo_E!$B$1:$CX$1,1)))</f>
        <v>0</v>
      </c>
      <c r="J41" s="60"/>
      <c r="K41" s="64">
        <f>IF(ISBLANK(J41),0,ABS(Uzman_E!C$10-J41))</f>
        <v>0</v>
      </c>
      <c r="L41" s="55">
        <f>IF(ISBLANK(J41),0,INDEX(Tablo_E!$B$2:$CX$102,MATCH(ROUND(Uzman_E!C$10,1),Tablo_E!$A$2:$A$102,1),MATCH(ROUND(K41,1),Tablo_E!$B$1:$CX$1,1)))</f>
        <v>0</v>
      </c>
      <c r="M41" s="60"/>
      <c r="N41" s="64">
        <f>IF(ISBLANK(M41),0,ABS(Uzman_E!D$10-M41))</f>
        <v>0</v>
      </c>
      <c r="O41" s="55">
        <f>IF(ISBLANK(M41),0,INDEX(Tablo_E!$B$2:$CX$102,MATCH(ROUND(Uzman_E!D$10,1),Tablo_E!$A$2:$A$102,1),MATCH(ROUND(N41,1),Tablo_E!$B$1:$CX$1,1)))</f>
        <v>0</v>
      </c>
      <c r="P41" s="60"/>
      <c r="Q41" s="64">
        <f>IF(ISBLANK(P41),0,ABS(Uzman_E!E$10-P41))</f>
        <v>0</v>
      </c>
      <c r="R41" s="55">
        <f>IF(ISBLANK(P41),0,INDEX(Tablo_E!$B$2:$CX$102,MATCH(ROUND(Uzman_E!E$10,1),Tablo_E!$A$2:$A$102,1),MATCH(ROUND(Q41,1),Tablo_E!$B$1:$CX$1,1)))</f>
        <v>0</v>
      </c>
      <c r="S41" s="56">
        <f t="shared" si="0"/>
        <v>0</v>
      </c>
      <c r="T41" s="50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spans="1:36" ht="15" customHeight="1" thickBot="1" x14ac:dyDescent="0.25">
      <c r="A42" s="57">
        <v>39</v>
      </c>
      <c r="B42" s="35">
        <f>Hakemler!B42</f>
        <v>0</v>
      </c>
      <c r="C42" s="63">
        <f>Hakemler!C42</f>
        <v>0</v>
      </c>
      <c r="D42" s="60"/>
      <c r="E42" s="64">
        <f>IF(ISBLANK(D42),0,ABS(Uzman_E!A$10-D42))</f>
        <v>0</v>
      </c>
      <c r="F42" s="55">
        <f>IF(ISBLANK(D42),0,INDEX(Tablo_E!$B$2:$CX$102,MATCH(ROUND(Uzman_E!A$10,1),Tablo_E!$A$2:$A$102,1),MATCH(ROUND(E42,1),Tablo_E!$B$1:$CX$1,1)))</f>
        <v>0</v>
      </c>
      <c r="G42" s="60"/>
      <c r="H42" s="64">
        <f>IF(ISBLANK(G42),0,ABS(Uzman_E!B$10-G42))</f>
        <v>0</v>
      </c>
      <c r="I42" s="55">
        <f>IF(ISBLANK(G42),0,INDEX(Tablo_E!$B$2:$CX$102,MATCH(ROUND(Uzman_E!B$10,1),Tablo_E!$A$2:$A$102,1),MATCH(ROUND(H42,1),Tablo_E!$B$1:$CX$1,1)))</f>
        <v>0</v>
      </c>
      <c r="J42" s="60"/>
      <c r="K42" s="64">
        <f>IF(ISBLANK(J42),0,ABS(Uzman_E!C$10-J42))</f>
        <v>0</v>
      </c>
      <c r="L42" s="55">
        <f>IF(ISBLANK(J42),0,INDEX(Tablo_E!$B$2:$CX$102,MATCH(ROUND(Uzman_E!C$10,1),Tablo_E!$A$2:$A$102,1),MATCH(ROUND(K42,1),Tablo_E!$B$1:$CX$1,1)))</f>
        <v>0</v>
      </c>
      <c r="M42" s="60"/>
      <c r="N42" s="64">
        <f>IF(ISBLANK(M42),0,ABS(Uzman_E!D$10-M42))</f>
        <v>0</v>
      </c>
      <c r="O42" s="55">
        <f>IF(ISBLANK(M42),0,INDEX(Tablo_E!$B$2:$CX$102,MATCH(ROUND(Uzman_E!D$10,1),Tablo_E!$A$2:$A$102,1),MATCH(ROUND(N42,1),Tablo_E!$B$1:$CX$1,1)))</f>
        <v>0</v>
      </c>
      <c r="P42" s="60"/>
      <c r="Q42" s="64">
        <f>IF(ISBLANK(P42),0,ABS(Uzman_E!E$10-P42))</f>
        <v>0</v>
      </c>
      <c r="R42" s="55">
        <f>IF(ISBLANK(P42),0,INDEX(Tablo_E!$B$2:$CX$102,MATCH(ROUND(Uzman_E!E$10,1),Tablo_E!$A$2:$A$102,1),MATCH(ROUND(Q42,1),Tablo_E!$B$1:$CX$1,1)))</f>
        <v>0</v>
      </c>
      <c r="S42" s="56">
        <f t="shared" si="0"/>
        <v>0</v>
      </c>
      <c r="T42" s="50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spans="1:36" ht="15" customHeight="1" thickBot="1" x14ac:dyDescent="0.25">
      <c r="A43" s="57">
        <v>40</v>
      </c>
      <c r="B43" s="58">
        <f>Hakemler!B43</f>
        <v>0</v>
      </c>
      <c r="C43" s="59">
        <f>Hakemler!C43</f>
        <v>0</v>
      </c>
      <c r="D43" s="60"/>
      <c r="E43" s="64">
        <f>IF(ISBLANK(D43),0,ABS(Uzman_E!A$10-D43))</f>
        <v>0</v>
      </c>
      <c r="F43" s="55">
        <f>IF(ISBLANK(D43),0,INDEX(Tablo_E!$B$2:$CX$102,MATCH(ROUND(Uzman_E!A$10,1),Tablo_E!$A$2:$A$102,1),MATCH(ROUND(E43,1),Tablo_E!$B$1:$CX$1,1)))</f>
        <v>0</v>
      </c>
      <c r="G43" s="60"/>
      <c r="H43" s="64">
        <f>IF(ISBLANK(G43),0,ABS(Uzman_E!B$10-G43))</f>
        <v>0</v>
      </c>
      <c r="I43" s="55">
        <f>IF(ISBLANK(G43),0,INDEX(Tablo_E!$B$2:$CX$102,MATCH(ROUND(Uzman_E!B$10,1),Tablo_E!$A$2:$A$102,1),MATCH(ROUND(H43,1),Tablo_E!$B$1:$CX$1,1)))</f>
        <v>0</v>
      </c>
      <c r="J43" s="60"/>
      <c r="K43" s="64">
        <f>IF(ISBLANK(J43),0,ABS(Uzman_E!C$10-J43))</f>
        <v>0</v>
      </c>
      <c r="L43" s="55">
        <f>IF(ISBLANK(J43),0,INDEX(Tablo_E!$B$2:$CX$102,MATCH(ROUND(Uzman_E!C$10,1),Tablo_E!$A$2:$A$102,1),MATCH(ROUND(K43,1),Tablo_E!$B$1:$CX$1,1)))</f>
        <v>0</v>
      </c>
      <c r="M43" s="60"/>
      <c r="N43" s="64">
        <f>IF(ISBLANK(M43),0,ABS(Uzman_E!D$10-M43))</f>
        <v>0</v>
      </c>
      <c r="O43" s="55">
        <f>IF(ISBLANK(M43),0,INDEX(Tablo_E!$B$2:$CX$102,MATCH(ROUND(Uzman_E!D$10,1),Tablo_E!$A$2:$A$102,1),MATCH(ROUND(N43,1),Tablo_E!$B$1:$CX$1,1)))</f>
        <v>0</v>
      </c>
      <c r="P43" s="60"/>
      <c r="Q43" s="64">
        <f>IF(ISBLANK(P43),0,ABS(Uzman_E!E$10-P43))</f>
        <v>0</v>
      </c>
      <c r="R43" s="55">
        <f>IF(ISBLANK(P43),0,INDEX(Tablo_E!$B$2:$CX$102,MATCH(ROUND(Uzman_E!E$10,1),Tablo_E!$A$2:$A$102,1),MATCH(ROUND(Q43,1),Tablo_E!$B$1:$CX$1,1)))</f>
        <v>0</v>
      </c>
      <c r="S43" s="56">
        <f t="shared" si="0"/>
        <v>0</v>
      </c>
      <c r="T43" s="50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spans="1:36" ht="15" customHeight="1" thickBot="1" x14ac:dyDescent="0.25">
      <c r="A44" s="57">
        <v>41</v>
      </c>
      <c r="B44" s="35">
        <f>Hakemler!B44</f>
        <v>0</v>
      </c>
      <c r="C44" s="63">
        <f>Hakemler!C44</f>
        <v>0</v>
      </c>
      <c r="D44" s="60"/>
      <c r="E44" s="64">
        <f>IF(ISBLANK(D44),0,ABS(Uzman_E!A$10-D44))</f>
        <v>0</v>
      </c>
      <c r="F44" s="55">
        <f>IF(ISBLANK(D44),0,INDEX(Tablo_E!$B$2:$CX$102,MATCH(ROUND(Uzman_E!A$10,1),Tablo_E!$A$2:$A$102,1),MATCH(ROUND(E44,1),Tablo_E!$B$1:$CX$1,1)))</f>
        <v>0</v>
      </c>
      <c r="G44" s="60"/>
      <c r="H44" s="64">
        <f>IF(ISBLANK(G44),0,ABS(Uzman_E!B$10-G44))</f>
        <v>0</v>
      </c>
      <c r="I44" s="55">
        <f>IF(ISBLANK(G44),0,INDEX(Tablo_E!$B$2:$CX$102,MATCH(ROUND(Uzman_E!B$10,1),Tablo_E!$A$2:$A$102,1),MATCH(ROUND(H44,1),Tablo_E!$B$1:$CX$1,1)))</f>
        <v>0</v>
      </c>
      <c r="J44" s="60"/>
      <c r="K44" s="64">
        <f>IF(ISBLANK(J44),0,ABS(Uzman_E!C$10-J44))</f>
        <v>0</v>
      </c>
      <c r="L44" s="55">
        <f>IF(ISBLANK(J44),0,INDEX(Tablo_E!$B$2:$CX$102,MATCH(ROUND(Uzman_E!C$10,1),Tablo_E!$A$2:$A$102,1),MATCH(ROUND(K44,1),Tablo_E!$B$1:$CX$1,1)))</f>
        <v>0</v>
      </c>
      <c r="M44" s="60"/>
      <c r="N44" s="64">
        <f>IF(ISBLANK(M44),0,ABS(Uzman_E!D$10-M44))</f>
        <v>0</v>
      </c>
      <c r="O44" s="55">
        <f>IF(ISBLANK(M44),0,INDEX(Tablo_E!$B$2:$CX$102,MATCH(ROUND(Uzman_E!D$10,1),Tablo_E!$A$2:$A$102,1),MATCH(ROUND(N44,1),Tablo_E!$B$1:$CX$1,1)))</f>
        <v>0</v>
      </c>
      <c r="P44" s="60"/>
      <c r="Q44" s="64">
        <f>IF(ISBLANK(P44),0,ABS(Uzman_E!E$10-P44))</f>
        <v>0</v>
      </c>
      <c r="R44" s="55">
        <f>IF(ISBLANK(P44),0,INDEX(Tablo_E!$B$2:$CX$102,MATCH(ROUND(Uzman_E!E$10,1),Tablo_E!$A$2:$A$102,1),MATCH(ROUND(Q44,1),Tablo_E!$B$1:$CX$1,1)))</f>
        <v>0</v>
      </c>
      <c r="S44" s="56">
        <f t="shared" si="0"/>
        <v>0</v>
      </c>
      <c r="T44" s="50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spans="1:36" ht="15" customHeight="1" thickBot="1" x14ac:dyDescent="0.25">
      <c r="A45" s="57">
        <v>42</v>
      </c>
      <c r="B45" s="58">
        <f>Hakemler!B45</f>
        <v>0</v>
      </c>
      <c r="C45" s="59">
        <f>Hakemler!C45</f>
        <v>0</v>
      </c>
      <c r="D45" s="60"/>
      <c r="E45" s="64">
        <f>IF(ISBLANK(D45),0,ABS(Uzman_E!A$10-D45))</f>
        <v>0</v>
      </c>
      <c r="F45" s="55">
        <f>IF(ISBLANK(D45),0,INDEX(Tablo_E!$B$2:$CX$102,MATCH(ROUND(Uzman_E!A$10,1),Tablo_E!$A$2:$A$102,1),MATCH(ROUND(E45,1),Tablo_E!$B$1:$CX$1,1)))</f>
        <v>0</v>
      </c>
      <c r="G45" s="60"/>
      <c r="H45" s="64">
        <f>IF(ISBLANK(G45),0,ABS(Uzman_E!B$10-G45))</f>
        <v>0</v>
      </c>
      <c r="I45" s="55">
        <f>IF(ISBLANK(G45),0,INDEX(Tablo_E!$B$2:$CX$102,MATCH(ROUND(Uzman_E!B$10,1),Tablo_E!$A$2:$A$102,1),MATCH(ROUND(H45,1),Tablo_E!$B$1:$CX$1,1)))</f>
        <v>0</v>
      </c>
      <c r="J45" s="60"/>
      <c r="K45" s="64">
        <f>IF(ISBLANK(J45),0,ABS(Uzman_E!C$10-J45))</f>
        <v>0</v>
      </c>
      <c r="L45" s="55">
        <f>IF(ISBLANK(J45),0,INDEX(Tablo_E!$B$2:$CX$102,MATCH(ROUND(Uzman_E!C$10,1),Tablo_E!$A$2:$A$102,1),MATCH(ROUND(K45,1),Tablo_E!$B$1:$CX$1,1)))</f>
        <v>0</v>
      </c>
      <c r="M45" s="60"/>
      <c r="N45" s="64">
        <f>IF(ISBLANK(M45),0,ABS(Uzman_E!D$10-M45))</f>
        <v>0</v>
      </c>
      <c r="O45" s="55">
        <f>IF(ISBLANK(M45),0,INDEX(Tablo_E!$B$2:$CX$102,MATCH(ROUND(Uzman_E!D$10,1),Tablo_E!$A$2:$A$102,1),MATCH(ROUND(N45,1),Tablo_E!$B$1:$CX$1,1)))</f>
        <v>0</v>
      </c>
      <c r="P45" s="60"/>
      <c r="Q45" s="64">
        <f>IF(ISBLANK(P45),0,ABS(Uzman_E!E$10-P45))</f>
        <v>0</v>
      </c>
      <c r="R45" s="55">
        <f>IF(ISBLANK(P45),0,INDEX(Tablo_E!$B$2:$CX$102,MATCH(ROUND(Uzman_E!E$10,1),Tablo_E!$A$2:$A$102,1),MATCH(ROUND(Q45,1),Tablo_E!$B$1:$CX$1,1)))</f>
        <v>0</v>
      </c>
      <c r="S45" s="56">
        <f t="shared" si="0"/>
        <v>0</v>
      </c>
      <c r="T45" s="50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spans="1:36" ht="15" customHeight="1" thickBot="1" x14ac:dyDescent="0.25">
      <c r="A46" s="57">
        <v>43</v>
      </c>
      <c r="B46" s="35">
        <f>Hakemler!B46</f>
        <v>0</v>
      </c>
      <c r="C46" s="63">
        <f>Hakemler!C46</f>
        <v>0</v>
      </c>
      <c r="D46" s="60"/>
      <c r="E46" s="64">
        <f>IF(ISBLANK(D46),0,ABS(Uzman_E!A$10-D46))</f>
        <v>0</v>
      </c>
      <c r="F46" s="55">
        <f>IF(ISBLANK(D46),0,INDEX(Tablo_E!$B$2:$CX$102,MATCH(ROUND(Uzman_E!A$10,1),Tablo_E!$A$2:$A$102,1),MATCH(ROUND(E46,1),Tablo_E!$B$1:$CX$1,1)))</f>
        <v>0</v>
      </c>
      <c r="G46" s="60"/>
      <c r="H46" s="64">
        <f>IF(ISBLANK(G46),0,ABS(Uzman_E!B$10-G46))</f>
        <v>0</v>
      </c>
      <c r="I46" s="55">
        <f>IF(ISBLANK(G46),0,INDEX(Tablo_E!$B$2:$CX$102,MATCH(ROUND(Uzman_E!B$10,1),Tablo_E!$A$2:$A$102,1),MATCH(ROUND(H46,1),Tablo_E!$B$1:$CX$1,1)))</f>
        <v>0</v>
      </c>
      <c r="J46" s="60"/>
      <c r="K46" s="64">
        <f>IF(ISBLANK(J46),0,ABS(Uzman_E!C$10-J46))</f>
        <v>0</v>
      </c>
      <c r="L46" s="55">
        <f>IF(ISBLANK(J46),0,INDEX(Tablo_E!$B$2:$CX$102,MATCH(ROUND(Uzman_E!C$10,1),Tablo_E!$A$2:$A$102,1),MATCH(ROUND(K46,1),Tablo_E!$B$1:$CX$1,1)))</f>
        <v>0</v>
      </c>
      <c r="M46" s="60"/>
      <c r="N46" s="64">
        <f>IF(ISBLANK(M46),0,ABS(Uzman_E!D$10-M46))</f>
        <v>0</v>
      </c>
      <c r="O46" s="55">
        <f>IF(ISBLANK(M46),0,INDEX(Tablo_E!$B$2:$CX$102,MATCH(ROUND(Uzman_E!D$10,1),Tablo_E!$A$2:$A$102,1),MATCH(ROUND(N46,1),Tablo_E!$B$1:$CX$1,1)))</f>
        <v>0</v>
      </c>
      <c r="P46" s="60"/>
      <c r="Q46" s="64">
        <f>IF(ISBLANK(P46),0,ABS(Uzman_E!E$10-P46))</f>
        <v>0</v>
      </c>
      <c r="R46" s="55">
        <f>IF(ISBLANK(P46),0,INDEX(Tablo_E!$B$2:$CX$102,MATCH(ROUND(Uzman_E!E$10,1),Tablo_E!$A$2:$A$102,1),MATCH(ROUND(Q46,1),Tablo_E!$B$1:$CX$1,1)))</f>
        <v>0</v>
      </c>
      <c r="S46" s="56">
        <f t="shared" si="0"/>
        <v>0</v>
      </c>
      <c r="T46" s="50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spans="1:36" ht="15" customHeight="1" thickBot="1" x14ac:dyDescent="0.25">
      <c r="A47" s="57">
        <v>44</v>
      </c>
      <c r="B47" s="35">
        <f>Hakemler!B47</f>
        <v>0</v>
      </c>
      <c r="C47" s="63">
        <f>Hakemler!C47</f>
        <v>0</v>
      </c>
      <c r="D47" s="60"/>
      <c r="E47" s="64">
        <f>IF(ISBLANK(D47),0,ABS(Uzman_E!A$10-D47))</f>
        <v>0</v>
      </c>
      <c r="F47" s="55">
        <f>IF(ISBLANK(D47),0,INDEX(Tablo_E!$B$2:$CX$102,MATCH(ROUND(Uzman_E!A$10,1),Tablo_E!$A$2:$A$102,1),MATCH(ROUND(E47,1),Tablo_E!$B$1:$CX$1,1)))</f>
        <v>0</v>
      </c>
      <c r="G47" s="60"/>
      <c r="H47" s="64">
        <f>IF(ISBLANK(G47),0,ABS(Uzman_E!B$10-G47))</f>
        <v>0</v>
      </c>
      <c r="I47" s="55">
        <f>IF(ISBLANK(G47),0,INDEX(Tablo_E!$B$2:$CX$102,MATCH(ROUND(Uzman_E!B$10,1),Tablo_E!$A$2:$A$102,1),MATCH(ROUND(H47,1),Tablo_E!$B$1:$CX$1,1)))</f>
        <v>0</v>
      </c>
      <c r="J47" s="60"/>
      <c r="K47" s="64">
        <f>IF(ISBLANK(J47),0,ABS(Uzman_E!C$10-J47))</f>
        <v>0</v>
      </c>
      <c r="L47" s="55">
        <f>IF(ISBLANK(J47),0,INDEX(Tablo_E!$B$2:$CX$102,MATCH(ROUND(Uzman_E!C$10,1),Tablo_E!$A$2:$A$102,1),MATCH(ROUND(K47,1),Tablo_E!$B$1:$CX$1,1)))</f>
        <v>0</v>
      </c>
      <c r="M47" s="60"/>
      <c r="N47" s="64">
        <f>IF(ISBLANK(M47),0,ABS(Uzman_E!D$10-M47))</f>
        <v>0</v>
      </c>
      <c r="O47" s="55">
        <f>IF(ISBLANK(M47),0,INDEX(Tablo_E!$B$2:$CX$102,MATCH(ROUND(Uzman_E!D$10,1),Tablo_E!$A$2:$A$102,1),MATCH(ROUND(N47,1),Tablo_E!$B$1:$CX$1,1)))</f>
        <v>0</v>
      </c>
      <c r="P47" s="60"/>
      <c r="Q47" s="64">
        <f>IF(ISBLANK(P47),0,ABS(Uzman_E!E$10-P47))</f>
        <v>0</v>
      </c>
      <c r="R47" s="55">
        <f>IF(ISBLANK(P47),0,INDEX(Tablo_E!$B$2:$CX$102,MATCH(ROUND(Uzman_E!E$10,1),Tablo_E!$A$2:$A$102,1),MATCH(ROUND(Q47,1),Tablo_E!$B$1:$CX$1,1)))</f>
        <v>0</v>
      </c>
      <c r="S47" s="56">
        <f t="shared" si="0"/>
        <v>0</v>
      </c>
      <c r="T47" s="50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spans="1:36" ht="15" customHeight="1" thickBot="1" x14ac:dyDescent="0.25">
      <c r="A48" s="57">
        <v>45</v>
      </c>
      <c r="B48" s="58">
        <f>Hakemler!B48</f>
        <v>0</v>
      </c>
      <c r="C48" s="59">
        <f>Hakemler!C48</f>
        <v>0</v>
      </c>
      <c r="D48" s="60"/>
      <c r="E48" s="64">
        <f>IF(ISBLANK(D48),0,ABS(Uzman_E!A$10-D48))</f>
        <v>0</v>
      </c>
      <c r="F48" s="55">
        <f>IF(ISBLANK(D48),0,INDEX(Tablo_E!$B$2:$CX$102,MATCH(ROUND(Uzman_E!A$10,1),Tablo_E!$A$2:$A$102,1),MATCH(ROUND(E48,1),Tablo_E!$B$1:$CX$1,1)))</f>
        <v>0</v>
      </c>
      <c r="G48" s="60"/>
      <c r="H48" s="64">
        <f>IF(ISBLANK(G48),0,ABS(Uzman_E!B$10-G48))</f>
        <v>0</v>
      </c>
      <c r="I48" s="55">
        <f>IF(ISBLANK(G48),0,INDEX(Tablo_E!$B$2:$CX$102,MATCH(ROUND(Uzman_E!B$10,1),Tablo_E!$A$2:$A$102,1),MATCH(ROUND(H48,1),Tablo_E!$B$1:$CX$1,1)))</f>
        <v>0</v>
      </c>
      <c r="J48" s="60"/>
      <c r="K48" s="64">
        <f>IF(ISBLANK(J48),0,ABS(Uzman_E!C$10-J48))</f>
        <v>0</v>
      </c>
      <c r="L48" s="55">
        <f>IF(ISBLANK(J48),0,INDEX(Tablo_E!$B$2:$CX$102,MATCH(ROUND(Uzman_E!C$10,1),Tablo_E!$A$2:$A$102,1),MATCH(ROUND(K48,1),Tablo_E!$B$1:$CX$1,1)))</f>
        <v>0</v>
      </c>
      <c r="M48" s="60"/>
      <c r="N48" s="64">
        <f>IF(ISBLANK(M48),0,ABS(Uzman_E!D$10-M48))</f>
        <v>0</v>
      </c>
      <c r="O48" s="55">
        <f>IF(ISBLANK(M48),0,INDEX(Tablo_E!$B$2:$CX$102,MATCH(ROUND(Uzman_E!D$10,1),Tablo_E!$A$2:$A$102,1),MATCH(ROUND(N48,1),Tablo_E!$B$1:$CX$1,1)))</f>
        <v>0</v>
      </c>
      <c r="P48" s="60"/>
      <c r="Q48" s="64">
        <f>IF(ISBLANK(P48),0,ABS(Uzman_E!E$10-P48))</f>
        <v>0</v>
      </c>
      <c r="R48" s="55">
        <f>IF(ISBLANK(P48),0,INDEX(Tablo_E!$B$2:$CX$102,MATCH(ROUND(Uzman_E!E$10,1),Tablo_E!$A$2:$A$102,1),MATCH(ROUND(Q48,1),Tablo_E!$B$1:$CX$1,1)))</f>
        <v>0</v>
      </c>
      <c r="S48" s="56">
        <f t="shared" si="0"/>
        <v>0</v>
      </c>
      <c r="T48" s="50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spans="1:36" ht="15" customHeight="1" thickBot="1" x14ac:dyDescent="0.25">
      <c r="A49" s="57">
        <v>46</v>
      </c>
      <c r="B49" s="35">
        <f>Hakemler!B49</f>
        <v>0</v>
      </c>
      <c r="C49" s="63">
        <f>Hakemler!C49</f>
        <v>0</v>
      </c>
      <c r="D49" s="60"/>
      <c r="E49" s="64">
        <f>IF(ISBLANK(D49),0,ABS(Uzman_E!A$10-D49))</f>
        <v>0</v>
      </c>
      <c r="F49" s="55">
        <f>IF(ISBLANK(D49),0,INDEX(Tablo_E!$B$2:$CX$102,MATCH(ROUND(Uzman_E!A$10,1),Tablo_E!$A$2:$A$102,1),MATCH(ROUND(E49,1),Tablo_E!$B$1:$CX$1,1)))</f>
        <v>0</v>
      </c>
      <c r="G49" s="60"/>
      <c r="H49" s="64">
        <f>IF(ISBLANK(G49),0,ABS(Uzman_E!B$10-G49))</f>
        <v>0</v>
      </c>
      <c r="I49" s="55">
        <f>IF(ISBLANK(G49),0,INDEX(Tablo_E!$B$2:$CX$102,MATCH(ROUND(Uzman_E!B$10,1),Tablo_E!$A$2:$A$102,1),MATCH(ROUND(H49,1),Tablo_E!$B$1:$CX$1,1)))</f>
        <v>0</v>
      </c>
      <c r="J49" s="60"/>
      <c r="K49" s="64">
        <f>IF(ISBLANK(J49),0,ABS(Uzman_E!C$10-J49))</f>
        <v>0</v>
      </c>
      <c r="L49" s="55">
        <f>IF(ISBLANK(J49),0,INDEX(Tablo_E!$B$2:$CX$102,MATCH(ROUND(Uzman_E!C$10,1),Tablo_E!$A$2:$A$102,1),MATCH(ROUND(K49,1),Tablo_E!$B$1:$CX$1,1)))</f>
        <v>0</v>
      </c>
      <c r="M49" s="60"/>
      <c r="N49" s="64">
        <f>IF(ISBLANK(M49),0,ABS(Uzman_E!D$10-M49))</f>
        <v>0</v>
      </c>
      <c r="O49" s="55">
        <f>IF(ISBLANK(M49),0,INDEX(Tablo_E!$B$2:$CX$102,MATCH(ROUND(Uzman_E!D$10,1),Tablo_E!$A$2:$A$102,1),MATCH(ROUND(N49,1),Tablo_E!$B$1:$CX$1,1)))</f>
        <v>0</v>
      </c>
      <c r="P49" s="60"/>
      <c r="Q49" s="64">
        <f>IF(ISBLANK(P49),0,ABS(Uzman_E!E$10-P49))</f>
        <v>0</v>
      </c>
      <c r="R49" s="55">
        <f>IF(ISBLANK(P49),0,INDEX(Tablo_E!$B$2:$CX$102,MATCH(ROUND(Uzman_E!E$10,1),Tablo_E!$A$2:$A$102,1),MATCH(ROUND(Q49,1),Tablo_E!$B$1:$CX$1,1)))</f>
        <v>0</v>
      </c>
      <c r="S49" s="56">
        <f t="shared" si="0"/>
        <v>0</v>
      </c>
      <c r="T49" s="50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spans="1:36" ht="15" customHeight="1" thickBot="1" x14ac:dyDescent="0.25">
      <c r="A50" s="57">
        <v>47</v>
      </c>
      <c r="B50" s="58">
        <f>Hakemler!B50</f>
        <v>0</v>
      </c>
      <c r="C50" s="59">
        <f>Hakemler!C50</f>
        <v>0</v>
      </c>
      <c r="D50" s="60"/>
      <c r="E50" s="64">
        <f>IF(ISBLANK(D50),0,ABS(Uzman_E!A$10-D50))</f>
        <v>0</v>
      </c>
      <c r="F50" s="55">
        <f>IF(ISBLANK(D50),0,INDEX(Tablo_E!$B$2:$CX$102,MATCH(ROUND(Uzman_E!A$10,1),Tablo_E!$A$2:$A$102,1),MATCH(ROUND(E50,1),Tablo_E!$B$1:$CX$1,1)))</f>
        <v>0</v>
      </c>
      <c r="G50" s="60"/>
      <c r="H50" s="64">
        <f>IF(ISBLANK(G50),0,ABS(Uzman_E!B$10-G50))</f>
        <v>0</v>
      </c>
      <c r="I50" s="55">
        <f>IF(ISBLANK(G50),0,INDEX(Tablo_E!$B$2:$CX$102,MATCH(ROUND(Uzman_E!B$10,1),Tablo_E!$A$2:$A$102,1),MATCH(ROUND(H50,1),Tablo_E!$B$1:$CX$1,1)))</f>
        <v>0</v>
      </c>
      <c r="J50" s="60"/>
      <c r="K50" s="64">
        <f>IF(ISBLANK(J50),0,ABS(Uzman_E!C$10-J50))</f>
        <v>0</v>
      </c>
      <c r="L50" s="55">
        <f>IF(ISBLANK(J50),0,INDEX(Tablo_E!$B$2:$CX$102,MATCH(ROUND(Uzman_E!C$10,1),Tablo_E!$A$2:$A$102,1),MATCH(ROUND(K50,1),Tablo_E!$B$1:$CX$1,1)))</f>
        <v>0</v>
      </c>
      <c r="M50" s="60"/>
      <c r="N50" s="64">
        <f>IF(ISBLANK(M50),0,ABS(Uzman_E!D$10-M50))</f>
        <v>0</v>
      </c>
      <c r="O50" s="55">
        <f>IF(ISBLANK(M50),0,INDEX(Tablo_E!$B$2:$CX$102,MATCH(ROUND(Uzman_E!D$10,1),Tablo_E!$A$2:$A$102,1),MATCH(ROUND(N50,1),Tablo_E!$B$1:$CX$1,1)))</f>
        <v>0</v>
      </c>
      <c r="P50" s="60"/>
      <c r="Q50" s="64">
        <f>IF(ISBLANK(P50),0,ABS(Uzman_E!E$10-P50))</f>
        <v>0</v>
      </c>
      <c r="R50" s="55">
        <f>IF(ISBLANK(P50),0,INDEX(Tablo_E!$B$2:$CX$102,MATCH(ROUND(Uzman_E!E$10,1),Tablo_E!$A$2:$A$102,1),MATCH(ROUND(Q50,1),Tablo_E!$B$1:$CX$1,1)))</f>
        <v>0</v>
      </c>
      <c r="S50" s="56">
        <f t="shared" si="0"/>
        <v>0</v>
      </c>
      <c r="T50" s="50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spans="1:36" ht="15" customHeight="1" thickBot="1" x14ac:dyDescent="0.25">
      <c r="A51" s="57">
        <v>48</v>
      </c>
      <c r="B51" s="35">
        <f>Hakemler!B51</f>
        <v>0</v>
      </c>
      <c r="C51" s="63">
        <f>Hakemler!C51</f>
        <v>0</v>
      </c>
      <c r="D51" s="60"/>
      <c r="E51" s="64">
        <f>IF(ISBLANK(D51),0,ABS(Uzman_E!A$10-D51))</f>
        <v>0</v>
      </c>
      <c r="F51" s="55">
        <f>IF(ISBLANK(D51),0,INDEX(Tablo_E!$B$2:$CX$102,MATCH(ROUND(Uzman_E!A$10,1),Tablo_E!$A$2:$A$102,1),MATCH(ROUND(E51,1),Tablo_E!$B$1:$CX$1,1)))</f>
        <v>0</v>
      </c>
      <c r="G51" s="60"/>
      <c r="H51" s="64">
        <f>IF(ISBLANK(G51),0,ABS(Uzman_E!B$10-G51))</f>
        <v>0</v>
      </c>
      <c r="I51" s="55">
        <f>IF(ISBLANK(G51),0,INDEX(Tablo_E!$B$2:$CX$102,MATCH(ROUND(Uzman_E!B$10,1),Tablo_E!$A$2:$A$102,1),MATCH(ROUND(H51,1),Tablo_E!$B$1:$CX$1,1)))</f>
        <v>0</v>
      </c>
      <c r="J51" s="60"/>
      <c r="K51" s="64">
        <f>IF(ISBLANK(J51),0,ABS(Uzman_E!C$10-J51))</f>
        <v>0</v>
      </c>
      <c r="L51" s="55">
        <f>IF(ISBLANK(J51),0,INDEX(Tablo_E!$B$2:$CX$102,MATCH(ROUND(Uzman_E!C$10,1),Tablo_E!$A$2:$A$102,1),MATCH(ROUND(K51,1),Tablo_E!$B$1:$CX$1,1)))</f>
        <v>0</v>
      </c>
      <c r="M51" s="60"/>
      <c r="N51" s="64">
        <f>IF(ISBLANK(M51),0,ABS(Uzman_E!D$10-M51))</f>
        <v>0</v>
      </c>
      <c r="O51" s="55">
        <f>IF(ISBLANK(M51),0,INDEX(Tablo_E!$B$2:$CX$102,MATCH(ROUND(Uzman_E!D$10,1),Tablo_E!$A$2:$A$102,1),MATCH(ROUND(N51,1),Tablo_E!$B$1:$CX$1,1)))</f>
        <v>0</v>
      </c>
      <c r="P51" s="60"/>
      <c r="Q51" s="64">
        <f>IF(ISBLANK(P51),0,ABS(Uzman_E!E$10-P51))</f>
        <v>0</v>
      </c>
      <c r="R51" s="55">
        <f>IF(ISBLANK(P51),0,INDEX(Tablo_E!$B$2:$CX$102,MATCH(ROUND(Uzman_E!E$10,1),Tablo_E!$A$2:$A$102,1),MATCH(ROUND(Q51,1),Tablo_E!$B$1:$CX$1,1)))</f>
        <v>0</v>
      </c>
      <c r="S51" s="56">
        <f t="shared" si="0"/>
        <v>0</v>
      </c>
      <c r="T51" s="50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spans="1:36" ht="15" customHeight="1" thickBot="1" x14ac:dyDescent="0.25">
      <c r="A52" s="57">
        <v>49</v>
      </c>
      <c r="B52" s="58">
        <f>Hakemler!B52</f>
        <v>0</v>
      </c>
      <c r="C52" s="59">
        <f>Hakemler!C52</f>
        <v>0</v>
      </c>
      <c r="D52" s="60"/>
      <c r="E52" s="64">
        <f>IF(ISBLANK(D52),0,ABS(Uzman_E!A$10-D52))</f>
        <v>0</v>
      </c>
      <c r="F52" s="55">
        <f>IF(ISBLANK(D52),0,INDEX(Tablo_E!$B$2:$CX$102,MATCH(ROUND(Uzman_E!A$10,1),Tablo_E!$A$2:$A$102,1),MATCH(ROUND(E52,1),Tablo_E!$B$1:$CX$1,1)))</f>
        <v>0</v>
      </c>
      <c r="G52" s="60"/>
      <c r="H52" s="64">
        <f>IF(ISBLANK(G52),0,ABS(Uzman_E!B$10-G52))</f>
        <v>0</v>
      </c>
      <c r="I52" s="55">
        <f>IF(ISBLANK(G52),0,INDEX(Tablo_E!$B$2:$CX$102,MATCH(ROUND(Uzman_E!B$10,1),Tablo_E!$A$2:$A$102,1),MATCH(ROUND(H52,1),Tablo_E!$B$1:$CX$1,1)))</f>
        <v>0</v>
      </c>
      <c r="J52" s="60"/>
      <c r="K52" s="64">
        <f>IF(ISBLANK(J52),0,ABS(Uzman_E!C$10-J52))</f>
        <v>0</v>
      </c>
      <c r="L52" s="55">
        <f>IF(ISBLANK(J52),0,INDEX(Tablo_E!$B$2:$CX$102,MATCH(ROUND(Uzman_E!C$10,1),Tablo_E!$A$2:$A$102,1),MATCH(ROUND(K52,1),Tablo_E!$B$1:$CX$1,1)))</f>
        <v>0</v>
      </c>
      <c r="M52" s="60"/>
      <c r="N52" s="64">
        <f>IF(ISBLANK(M52),0,ABS(Uzman_E!D$10-M52))</f>
        <v>0</v>
      </c>
      <c r="O52" s="55">
        <f>IF(ISBLANK(M52),0,INDEX(Tablo_E!$B$2:$CX$102,MATCH(ROUND(Uzman_E!D$10,1),Tablo_E!$A$2:$A$102,1),MATCH(ROUND(N52,1),Tablo_E!$B$1:$CX$1,1)))</f>
        <v>0</v>
      </c>
      <c r="P52" s="60"/>
      <c r="Q52" s="64">
        <f>IF(ISBLANK(P52),0,ABS(Uzman_E!E$10-P52))</f>
        <v>0</v>
      </c>
      <c r="R52" s="55">
        <f>IF(ISBLANK(P52),0,INDEX(Tablo_E!$B$2:$CX$102,MATCH(ROUND(Uzman_E!E$10,1),Tablo_E!$A$2:$A$102,1),MATCH(ROUND(Q52,1),Tablo_E!$B$1:$CX$1,1)))</f>
        <v>0</v>
      </c>
      <c r="S52" s="56">
        <f t="shared" si="0"/>
        <v>0</v>
      </c>
      <c r="T52" s="50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spans="1:36" ht="15" customHeight="1" thickBot="1" x14ac:dyDescent="0.25">
      <c r="A53" s="57">
        <v>50</v>
      </c>
      <c r="B53" s="58">
        <f>Hakemler!B53</f>
        <v>0</v>
      </c>
      <c r="C53" s="59">
        <f>Hakemler!C53</f>
        <v>0</v>
      </c>
      <c r="D53" s="60"/>
      <c r="E53" s="64">
        <f>IF(ISBLANK(D53),0,ABS(Uzman_E!A$10-D53))</f>
        <v>0</v>
      </c>
      <c r="F53" s="55">
        <f>IF(ISBLANK(D53),0,INDEX(Tablo_E!$B$2:$CX$102,MATCH(ROUND(Uzman_E!A$10,1),Tablo_E!$A$2:$A$102,1),MATCH(ROUND(E53,1),Tablo_E!$B$1:$CX$1,1)))</f>
        <v>0</v>
      </c>
      <c r="G53" s="60"/>
      <c r="H53" s="64">
        <f>IF(ISBLANK(G53),0,ABS(Uzman_E!B$10-G53))</f>
        <v>0</v>
      </c>
      <c r="I53" s="55">
        <f>IF(ISBLANK(G53),0,INDEX(Tablo_E!$B$2:$CX$102,MATCH(ROUND(Uzman_E!B$10,1),Tablo_E!$A$2:$A$102,1),MATCH(ROUND(H53,1),Tablo_E!$B$1:$CX$1,1)))</f>
        <v>0</v>
      </c>
      <c r="J53" s="60"/>
      <c r="K53" s="64">
        <f>IF(ISBLANK(J53),0,ABS(Uzman_E!C$10-J53))</f>
        <v>0</v>
      </c>
      <c r="L53" s="55">
        <f>IF(ISBLANK(J53),0,INDEX(Tablo_E!$B$2:$CX$102,MATCH(ROUND(Uzman_E!C$10,1),Tablo_E!$A$2:$A$102,1),MATCH(ROUND(K53,1),Tablo_E!$B$1:$CX$1,1)))</f>
        <v>0</v>
      </c>
      <c r="M53" s="60"/>
      <c r="N53" s="64">
        <f>IF(ISBLANK(M53),0,ABS(Uzman_E!D$10-M53))</f>
        <v>0</v>
      </c>
      <c r="O53" s="55">
        <f>IF(ISBLANK(M53),0,INDEX(Tablo_E!$B$2:$CX$102,MATCH(ROUND(Uzman_E!D$10,1),Tablo_E!$A$2:$A$102,1),MATCH(ROUND(N53,1),Tablo_E!$B$1:$CX$1,1)))</f>
        <v>0</v>
      </c>
      <c r="P53" s="60"/>
      <c r="Q53" s="64">
        <f>IF(ISBLANK(P53),0,ABS(Uzman_E!E$10-P53))</f>
        <v>0</v>
      </c>
      <c r="R53" s="55">
        <f>IF(ISBLANK(P53),0,INDEX(Tablo_E!$B$2:$CX$102,MATCH(ROUND(Uzman_E!E$10,1),Tablo_E!$A$2:$A$102,1),MATCH(ROUND(Q53,1),Tablo_E!$B$1:$CX$1,1)))</f>
        <v>0</v>
      </c>
      <c r="S53" s="56">
        <f t="shared" si="0"/>
        <v>0</v>
      </c>
      <c r="T53" s="50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spans="1:36" ht="15" customHeight="1" thickBot="1" x14ac:dyDescent="0.25">
      <c r="A54" s="57">
        <v>51</v>
      </c>
      <c r="B54" s="35">
        <f>Hakemler!B54</f>
        <v>0</v>
      </c>
      <c r="C54" s="63">
        <f>Hakemler!C54</f>
        <v>0</v>
      </c>
      <c r="D54" s="60"/>
      <c r="E54" s="64">
        <f>IF(ISBLANK(D54),0,ABS(Uzman_E!A$10-D54))</f>
        <v>0</v>
      </c>
      <c r="F54" s="55">
        <f>IF(ISBLANK(D54),0,INDEX(Tablo_E!$B$2:$CX$102,MATCH(ROUND(Uzman_E!A$10,1),Tablo_E!$A$2:$A$102,1),MATCH(ROUND(E54,1),Tablo_E!$B$1:$CX$1,1)))</f>
        <v>0</v>
      </c>
      <c r="G54" s="60"/>
      <c r="H54" s="64">
        <f>IF(ISBLANK(G54),0,ABS(Uzman_E!B$10-G54))</f>
        <v>0</v>
      </c>
      <c r="I54" s="55">
        <f>IF(ISBLANK(G54),0,INDEX(Tablo_E!$B$2:$CX$102,MATCH(ROUND(Uzman_E!B$10,1),Tablo_E!$A$2:$A$102,1),MATCH(ROUND(H54,1),Tablo_E!$B$1:$CX$1,1)))</f>
        <v>0</v>
      </c>
      <c r="J54" s="60"/>
      <c r="K54" s="64">
        <f>IF(ISBLANK(J54),0,ABS(Uzman_E!C$10-J54))</f>
        <v>0</v>
      </c>
      <c r="L54" s="55">
        <f>IF(ISBLANK(J54),0,INDEX(Tablo_E!$B$2:$CX$102,MATCH(ROUND(Uzman_E!C$10,1),Tablo_E!$A$2:$A$102,1),MATCH(ROUND(K54,1),Tablo_E!$B$1:$CX$1,1)))</f>
        <v>0</v>
      </c>
      <c r="M54" s="60"/>
      <c r="N54" s="64">
        <f>IF(ISBLANK(M54),0,ABS(Uzman_E!D$10-M54))</f>
        <v>0</v>
      </c>
      <c r="O54" s="55">
        <f>IF(ISBLANK(M54),0,INDEX(Tablo_E!$B$2:$CX$102,MATCH(ROUND(Uzman_E!D$10,1),Tablo_E!$A$2:$A$102,1),MATCH(ROUND(N54,1),Tablo_E!$B$1:$CX$1,1)))</f>
        <v>0</v>
      </c>
      <c r="P54" s="60"/>
      <c r="Q54" s="64">
        <f>IF(ISBLANK(P54),0,ABS(Uzman_E!E$10-P54))</f>
        <v>0</v>
      </c>
      <c r="R54" s="55">
        <f>IF(ISBLANK(P54),0,INDEX(Tablo_E!$B$2:$CX$102,MATCH(ROUND(Uzman_E!E$10,1),Tablo_E!$A$2:$A$102,1),MATCH(ROUND(Q54,1),Tablo_E!$B$1:$CX$1,1)))</f>
        <v>0</v>
      </c>
      <c r="S54" s="56">
        <f t="shared" si="0"/>
        <v>0</v>
      </c>
      <c r="T54" s="50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spans="1:36" ht="15" customHeight="1" thickBot="1" x14ac:dyDescent="0.25">
      <c r="A55" s="57">
        <v>52</v>
      </c>
      <c r="B55" s="35">
        <f>Hakemler!B55</f>
        <v>0</v>
      </c>
      <c r="C55" s="63">
        <f>Hakemler!C55</f>
        <v>0</v>
      </c>
      <c r="D55" s="60"/>
      <c r="E55" s="64">
        <f>IF(ISBLANK(D55),0,ABS(Uzman_E!A$10-D55))</f>
        <v>0</v>
      </c>
      <c r="F55" s="55">
        <f>IF(ISBLANK(D55),0,INDEX(Tablo_E!$B$2:$CX$102,MATCH(ROUND(Uzman_E!A$10,1),Tablo_E!$A$2:$A$102,1),MATCH(ROUND(E55,1),Tablo_E!$B$1:$CX$1,1)))</f>
        <v>0</v>
      </c>
      <c r="G55" s="60"/>
      <c r="H55" s="64">
        <f>IF(ISBLANK(G55),0,ABS(Uzman_E!B$10-G55))</f>
        <v>0</v>
      </c>
      <c r="I55" s="55">
        <f>IF(ISBLANK(G55),0,INDEX(Tablo_E!$B$2:$CX$102,MATCH(ROUND(Uzman_E!B$10,1),Tablo_E!$A$2:$A$102,1),MATCH(ROUND(H55,1),Tablo_E!$B$1:$CX$1,1)))</f>
        <v>0</v>
      </c>
      <c r="J55" s="60"/>
      <c r="K55" s="64">
        <f>IF(ISBLANK(J55),0,ABS(Uzman_E!C$10-J55))</f>
        <v>0</v>
      </c>
      <c r="L55" s="55">
        <f>IF(ISBLANK(J55),0,INDEX(Tablo_E!$B$2:$CX$102,MATCH(ROUND(Uzman_E!C$10,1),Tablo_E!$A$2:$A$102,1),MATCH(ROUND(K55,1),Tablo_E!$B$1:$CX$1,1)))</f>
        <v>0</v>
      </c>
      <c r="M55" s="60"/>
      <c r="N55" s="64">
        <f>IF(ISBLANK(M55),0,ABS(Uzman_E!D$10-M55))</f>
        <v>0</v>
      </c>
      <c r="O55" s="55">
        <f>IF(ISBLANK(M55),0,INDEX(Tablo_E!$B$2:$CX$102,MATCH(ROUND(Uzman_E!D$10,1),Tablo_E!$A$2:$A$102,1),MATCH(ROUND(N55,1),Tablo_E!$B$1:$CX$1,1)))</f>
        <v>0</v>
      </c>
      <c r="P55" s="60"/>
      <c r="Q55" s="64">
        <f>IF(ISBLANK(P55),0,ABS(Uzman_E!E$10-P55))</f>
        <v>0</v>
      </c>
      <c r="R55" s="55">
        <f>IF(ISBLANK(P55),0,INDEX(Tablo_E!$B$2:$CX$102,MATCH(ROUND(Uzman_E!E$10,1),Tablo_E!$A$2:$A$102,1),MATCH(ROUND(Q55,1),Tablo_E!$B$1:$CX$1,1)))</f>
        <v>0</v>
      </c>
      <c r="S55" s="56">
        <f t="shared" si="0"/>
        <v>0</v>
      </c>
      <c r="T55" s="50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spans="1:36" ht="15" customHeight="1" thickBot="1" x14ac:dyDescent="0.25">
      <c r="A56" s="57">
        <v>53</v>
      </c>
      <c r="B56" s="35">
        <f>Hakemler!B56</f>
        <v>0</v>
      </c>
      <c r="C56" s="59">
        <f>Hakemler!C56</f>
        <v>0</v>
      </c>
      <c r="D56" s="60"/>
      <c r="E56" s="64">
        <f>IF(ISBLANK(D56),0,ABS(Uzman_E!A$10-D56))</f>
        <v>0</v>
      </c>
      <c r="F56" s="55">
        <f>IF(ISBLANK(D56),0,INDEX(Tablo_E!$B$2:$CX$102,MATCH(ROUND(Uzman_E!A$10,1),Tablo_E!$A$2:$A$102,1),MATCH(ROUND(E56,1),Tablo_E!$B$1:$CX$1,1)))</f>
        <v>0</v>
      </c>
      <c r="G56" s="60"/>
      <c r="H56" s="64">
        <f>IF(ISBLANK(G56),0,ABS(Uzman_E!B$10-G56))</f>
        <v>0</v>
      </c>
      <c r="I56" s="55">
        <f>IF(ISBLANK(G56),0,INDEX(Tablo_E!$B$2:$CX$102,MATCH(ROUND(Uzman_E!B$10,1),Tablo_E!$A$2:$A$102,1),MATCH(ROUND(H56,1),Tablo_E!$B$1:$CX$1,1)))</f>
        <v>0</v>
      </c>
      <c r="J56" s="60"/>
      <c r="K56" s="64">
        <f>IF(ISBLANK(J56),0,ABS(Uzman_E!C$10-J56))</f>
        <v>0</v>
      </c>
      <c r="L56" s="55">
        <f>IF(ISBLANK(J56),0,INDEX(Tablo_E!$B$2:$CX$102,MATCH(ROUND(Uzman_E!C$10,1),Tablo_E!$A$2:$A$102,1),MATCH(ROUND(K56,1),Tablo_E!$B$1:$CX$1,1)))</f>
        <v>0</v>
      </c>
      <c r="M56" s="60"/>
      <c r="N56" s="64">
        <f>IF(ISBLANK(M56),0,ABS(Uzman_E!D$10-M56))</f>
        <v>0</v>
      </c>
      <c r="O56" s="55">
        <f>IF(ISBLANK(M56),0,INDEX(Tablo_E!$B$2:$CX$102,MATCH(ROUND(Uzman_E!D$10,1),Tablo_E!$A$2:$A$102,1),MATCH(ROUND(N56,1),Tablo_E!$B$1:$CX$1,1)))</f>
        <v>0</v>
      </c>
      <c r="P56" s="60"/>
      <c r="Q56" s="64">
        <f>IF(ISBLANK(P56),0,ABS(Uzman_E!E$10-P56))</f>
        <v>0</v>
      </c>
      <c r="R56" s="55">
        <f>IF(ISBLANK(P56),0,INDEX(Tablo_E!$B$2:$CX$102,MATCH(ROUND(Uzman_E!E$10,1),Tablo_E!$A$2:$A$102,1),MATCH(ROUND(Q56,1),Tablo_E!$B$1:$CX$1,1)))</f>
        <v>0</v>
      </c>
      <c r="S56" s="56">
        <f t="shared" si="0"/>
        <v>0</v>
      </c>
      <c r="T56" s="50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spans="1:36" ht="15" customHeight="1" thickBot="1" x14ac:dyDescent="0.25">
      <c r="A57" s="57">
        <v>54</v>
      </c>
      <c r="B57" s="58">
        <f>Hakemler!B57</f>
        <v>0</v>
      </c>
      <c r="C57" s="59">
        <f>Hakemler!C57</f>
        <v>0</v>
      </c>
      <c r="D57" s="60"/>
      <c r="E57" s="64">
        <f>IF(ISBLANK(D57),0,ABS(Uzman_E!A$10-D57))</f>
        <v>0</v>
      </c>
      <c r="F57" s="55">
        <f>IF(ISBLANK(D57),0,INDEX(Tablo_E!$B$2:$CX$102,MATCH(ROUND(Uzman_E!A$10,1),Tablo_E!$A$2:$A$102,1),MATCH(ROUND(E57,1),Tablo_E!$B$1:$CX$1,1)))</f>
        <v>0</v>
      </c>
      <c r="G57" s="60"/>
      <c r="H57" s="64">
        <f>IF(ISBLANK(G57),0,ABS(Uzman_E!B$10-G57))</f>
        <v>0</v>
      </c>
      <c r="I57" s="55">
        <f>IF(ISBLANK(G57),0,INDEX(Tablo_E!$B$2:$CX$102,MATCH(ROUND(Uzman_E!B$10,1),Tablo_E!$A$2:$A$102,1),MATCH(ROUND(H57,1),Tablo_E!$B$1:$CX$1,1)))</f>
        <v>0</v>
      </c>
      <c r="J57" s="60"/>
      <c r="K57" s="64">
        <f>IF(ISBLANK(J57),0,ABS(Uzman_E!C$10-J57))</f>
        <v>0</v>
      </c>
      <c r="L57" s="55">
        <f>IF(ISBLANK(J57),0,INDEX(Tablo_E!$B$2:$CX$102,MATCH(ROUND(Uzman_E!C$10,1),Tablo_E!$A$2:$A$102,1),MATCH(ROUND(K57,1),Tablo_E!$B$1:$CX$1,1)))</f>
        <v>0</v>
      </c>
      <c r="M57" s="60"/>
      <c r="N57" s="64">
        <f>IF(ISBLANK(M57),0,ABS(Uzman_E!D$10-M57))</f>
        <v>0</v>
      </c>
      <c r="O57" s="55">
        <f>IF(ISBLANK(M57),0,INDEX(Tablo_E!$B$2:$CX$102,MATCH(ROUND(Uzman_E!D$10,1),Tablo_E!$A$2:$A$102,1),MATCH(ROUND(N57,1),Tablo_E!$B$1:$CX$1,1)))</f>
        <v>0</v>
      </c>
      <c r="P57" s="60"/>
      <c r="Q57" s="64">
        <f>IF(ISBLANK(P57),0,ABS(Uzman_E!E$10-P57))</f>
        <v>0</v>
      </c>
      <c r="R57" s="55">
        <f>IF(ISBLANK(P57),0,INDEX(Tablo_E!$B$2:$CX$102,MATCH(ROUND(Uzman_E!E$10,1),Tablo_E!$A$2:$A$102,1),MATCH(ROUND(Q57,1),Tablo_E!$B$1:$CX$1,1)))</f>
        <v>0</v>
      </c>
      <c r="S57" s="56">
        <f t="shared" si="0"/>
        <v>0</v>
      </c>
      <c r="T57" s="50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spans="1:36" ht="15" customHeight="1" thickBot="1" x14ac:dyDescent="0.25">
      <c r="A58" s="57">
        <v>55</v>
      </c>
      <c r="B58" s="35">
        <f>Hakemler!B58</f>
        <v>0</v>
      </c>
      <c r="C58" s="63">
        <f>Hakemler!C58</f>
        <v>0</v>
      </c>
      <c r="D58" s="60"/>
      <c r="E58" s="64">
        <f>IF(ISBLANK(D58),0,ABS(Uzman_E!A$10-D58))</f>
        <v>0</v>
      </c>
      <c r="F58" s="55">
        <f>IF(ISBLANK(D58),0,INDEX(Tablo_E!$B$2:$CX$102,MATCH(ROUND(Uzman_E!A$10,1),Tablo_E!$A$2:$A$102,1),MATCH(ROUND(E58,1),Tablo_E!$B$1:$CX$1,1)))</f>
        <v>0</v>
      </c>
      <c r="G58" s="60"/>
      <c r="H58" s="64">
        <f>IF(ISBLANK(G58),0,ABS(Uzman_E!B$10-G58))</f>
        <v>0</v>
      </c>
      <c r="I58" s="55">
        <f>IF(ISBLANK(G58),0,INDEX(Tablo_E!$B$2:$CX$102,MATCH(ROUND(Uzman_E!B$10,1),Tablo_E!$A$2:$A$102,1),MATCH(ROUND(H58,1),Tablo_E!$B$1:$CX$1,1)))</f>
        <v>0</v>
      </c>
      <c r="J58" s="60"/>
      <c r="K58" s="64">
        <f>IF(ISBLANK(J58),0,ABS(Uzman_E!C$10-J58))</f>
        <v>0</v>
      </c>
      <c r="L58" s="55">
        <f>IF(ISBLANK(J58),0,INDEX(Tablo_E!$B$2:$CX$102,MATCH(ROUND(Uzman_E!C$10,1),Tablo_E!$A$2:$A$102,1),MATCH(ROUND(K58,1),Tablo_E!$B$1:$CX$1,1)))</f>
        <v>0</v>
      </c>
      <c r="M58" s="60"/>
      <c r="N58" s="64">
        <f>IF(ISBLANK(M58),0,ABS(Uzman_E!D$10-M58))</f>
        <v>0</v>
      </c>
      <c r="O58" s="55">
        <f>IF(ISBLANK(M58),0,INDEX(Tablo_E!$B$2:$CX$102,MATCH(ROUND(Uzman_E!D$10,1),Tablo_E!$A$2:$A$102,1),MATCH(ROUND(N58,1),Tablo_E!$B$1:$CX$1,1)))</f>
        <v>0</v>
      </c>
      <c r="P58" s="60"/>
      <c r="Q58" s="64">
        <f>IF(ISBLANK(P58),0,ABS(Uzman_E!E$10-P58))</f>
        <v>0</v>
      </c>
      <c r="R58" s="55">
        <f>IF(ISBLANK(P58),0,INDEX(Tablo_E!$B$2:$CX$102,MATCH(ROUND(Uzman_E!E$10,1),Tablo_E!$A$2:$A$102,1),MATCH(ROUND(Q58,1),Tablo_E!$B$1:$CX$1,1)))</f>
        <v>0</v>
      </c>
      <c r="S58" s="56">
        <f t="shared" si="0"/>
        <v>0</v>
      </c>
      <c r="T58" s="50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spans="1:36" ht="15" customHeight="1" thickBot="1" x14ac:dyDescent="0.25">
      <c r="A59" s="57">
        <v>56</v>
      </c>
      <c r="B59" s="58">
        <f>Hakemler!B59</f>
        <v>0</v>
      </c>
      <c r="C59" s="59">
        <f>Hakemler!C59</f>
        <v>0</v>
      </c>
      <c r="D59" s="60"/>
      <c r="E59" s="64">
        <f>IF(ISBLANK(D59),0,ABS(Uzman_E!A$10-D59))</f>
        <v>0</v>
      </c>
      <c r="F59" s="55">
        <f>IF(ISBLANK(D59),0,INDEX(Tablo_E!$B$2:$CX$102,MATCH(ROUND(Uzman_E!A$10,1),Tablo_E!$A$2:$A$102,1),MATCH(ROUND(E59,1),Tablo_E!$B$1:$CX$1,1)))</f>
        <v>0</v>
      </c>
      <c r="G59" s="60"/>
      <c r="H59" s="64">
        <f>IF(ISBLANK(G59),0,ABS(Uzman_E!B$10-G59))</f>
        <v>0</v>
      </c>
      <c r="I59" s="55">
        <f>IF(ISBLANK(G59),0,INDEX(Tablo_E!$B$2:$CX$102,MATCH(ROUND(Uzman_E!B$10,1),Tablo_E!$A$2:$A$102,1),MATCH(ROUND(H59,1),Tablo_E!$B$1:$CX$1,1)))</f>
        <v>0</v>
      </c>
      <c r="J59" s="60"/>
      <c r="K59" s="64">
        <f>IF(ISBLANK(J59),0,ABS(Uzman_E!C$10-J59))</f>
        <v>0</v>
      </c>
      <c r="L59" s="55">
        <f>IF(ISBLANK(J59),0,INDEX(Tablo_E!$B$2:$CX$102,MATCH(ROUND(Uzman_E!C$10,1),Tablo_E!$A$2:$A$102,1),MATCH(ROUND(K59,1),Tablo_E!$B$1:$CX$1,1)))</f>
        <v>0</v>
      </c>
      <c r="M59" s="60"/>
      <c r="N59" s="64">
        <f>IF(ISBLANK(M59),0,ABS(Uzman_E!D$10-M59))</f>
        <v>0</v>
      </c>
      <c r="O59" s="55">
        <f>IF(ISBLANK(M59),0,INDEX(Tablo_E!$B$2:$CX$102,MATCH(ROUND(Uzman_E!D$10,1),Tablo_E!$A$2:$A$102,1),MATCH(ROUND(N59,1),Tablo_E!$B$1:$CX$1,1)))</f>
        <v>0</v>
      </c>
      <c r="P59" s="60"/>
      <c r="Q59" s="64">
        <f>IF(ISBLANK(P59),0,ABS(Uzman_E!E$10-P59))</f>
        <v>0</v>
      </c>
      <c r="R59" s="55">
        <f>IF(ISBLANK(P59),0,INDEX(Tablo_E!$B$2:$CX$102,MATCH(ROUND(Uzman_E!E$10,1),Tablo_E!$A$2:$A$102,1),MATCH(ROUND(Q59,1),Tablo_E!$B$1:$CX$1,1)))</f>
        <v>0</v>
      </c>
      <c r="S59" s="56">
        <f t="shared" si="0"/>
        <v>0</v>
      </c>
      <c r="T59" s="50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spans="1:36" ht="15" customHeight="1" thickBot="1" x14ac:dyDescent="0.25">
      <c r="A60" s="57">
        <v>57</v>
      </c>
      <c r="B60" s="35">
        <f>Hakemler!B60</f>
        <v>0</v>
      </c>
      <c r="C60" s="63">
        <f>Hakemler!C60</f>
        <v>0</v>
      </c>
      <c r="D60" s="60"/>
      <c r="E60" s="64">
        <f>IF(ISBLANK(D60),0,ABS(Uzman_E!A$10-D60))</f>
        <v>0</v>
      </c>
      <c r="F60" s="55">
        <f>IF(ISBLANK(D60),0,INDEX(Tablo_E!$B$2:$CX$102,MATCH(ROUND(Uzman_E!A$10,1),Tablo_E!$A$2:$A$102,1),MATCH(ROUND(E60,1),Tablo_E!$B$1:$CX$1,1)))</f>
        <v>0</v>
      </c>
      <c r="G60" s="60"/>
      <c r="H60" s="64">
        <f>IF(ISBLANK(G60),0,ABS(Uzman_E!B$10-G60))</f>
        <v>0</v>
      </c>
      <c r="I60" s="55">
        <f>IF(ISBLANK(G60),0,INDEX(Tablo_E!$B$2:$CX$102,MATCH(ROUND(Uzman_E!B$10,1),Tablo_E!$A$2:$A$102,1),MATCH(ROUND(H60,1),Tablo_E!$B$1:$CX$1,1)))</f>
        <v>0</v>
      </c>
      <c r="J60" s="60"/>
      <c r="K60" s="64">
        <f>IF(ISBLANK(J60),0,ABS(Uzman_E!C$10-J60))</f>
        <v>0</v>
      </c>
      <c r="L60" s="55">
        <f>IF(ISBLANK(J60),0,INDEX(Tablo_E!$B$2:$CX$102,MATCH(ROUND(Uzman_E!C$10,1),Tablo_E!$A$2:$A$102,1),MATCH(ROUND(K60,1),Tablo_E!$B$1:$CX$1,1)))</f>
        <v>0</v>
      </c>
      <c r="M60" s="60"/>
      <c r="N60" s="64">
        <f>IF(ISBLANK(M60),0,ABS(Uzman_E!D$10-M60))</f>
        <v>0</v>
      </c>
      <c r="O60" s="55">
        <f>IF(ISBLANK(M60),0,INDEX(Tablo_E!$B$2:$CX$102,MATCH(ROUND(Uzman_E!D$10,1),Tablo_E!$A$2:$A$102,1),MATCH(ROUND(N60,1),Tablo_E!$B$1:$CX$1,1)))</f>
        <v>0</v>
      </c>
      <c r="P60" s="60"/>
      <c r="Q60" s="64">
        <f>IF(ISBLANK(P60),0,ABS(Uzman_E!E$10-P60))</f>
        <v>0</v>
      </c>
      <c r="R60" s="55">
        <f>IF(ISBLANK(P60),0,INDEX(Tablo_E!$B$2:$CX$102,MATCH(ROUND(Uzman_E!E$10,1),Tablo_E!$A$2:$A$102,1),MATCH(ROUND(Q60,1),Tablo_E!$B$1:$CX$1,1)))</f>
        <v>0</v>
      </c>
      <c r="S60" s="56">
        <f t="shared" si="0"/>
        <v>0</v>
      </c>
      <c r="T60" s="50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spans="1:36" ht="15" customHeight="1" thickBot="1" x14ac:dyDescent="0.25">
      <c r="A61" s="57">
        <v>58</v>
      </c>
      <c r="B61" s="58">
        <f>Hakemler!B61</f>
        <v>0</v>
      </c>
      <c r="C61" s="59">
        <f>Hakemler!C61</f>
        <v>0</v>
      </c>
      <c r="D61" s="60"/>
      <c r="E61" s="64">
        <f>IF(ISBLANK(D61),0,ABS(Uzman_E!A$10-D61))</f>
        <v>0</v>
      </c>
      <c r="F61" s="55">
        <f>IF(ISBLANK(D61),0,INDEX(Tablo_E!$B$2:$CX$102,MATCH(ROUND(Uzman_E!A$10,1),Tablo_E!$A$2:$A$102,1),MATCH(ROUND(E61,1),Tablo_E!$B$1:$CX$1,1)))</f>
        <v>0</v>
      </c>
      <c r="G61" s="60"/>
      <c r="H61" s="64">
        <f>IF(ISBLANK(G61),0,ABS(Uzman_E!B$10-G61))</f>
        <v>0</v>
      </c>
      <c r="I61" s="55">
        <f>IF(ISBLANK(G61),0,INDEX(Tablo_E!$B$2:$CX$102,MATCH(ROUND(Uzman_E!B$10,1),Tablo_E!$A$2:$A$102,1),MATCH(ROUND(H61,1),Tablo_E!$B$1:$CX$1,1)))</f>
        <v>0</v>
      </c>
      <c r="J61" s="60"/>
      <c r="K61" s="64">
        <f>IF(ISBLANK(J61),0,ABS(Uzman_E!C$10-J61))</f>
        <v>0</v>
      </c>
      <c r="L61" s="55">
        <f>IF(ISBLANK(J61),0,INDEX(Tablo_E!$B$2:$CX$102,MATCH(ROUND(Uzman_E!C$10,1),Tablo_E!$A$2:$A$102,1),MATCH(ROUND(K61,1),Tablo_E!$B$1:$CX$1,1)))</f>
        <v>0</v>
      </c>
      <c r="M61" s="60"/>
      <c r="N61" s="64">
        <f>IF(ISBLANK(M61),0,ABS(Uzman_E!D$10-M61))</f>
        <v>0</v>
      </c>
      <c r="O61" s="55">
        <f>IF(ISBLANK(M61),0,INDEX(Tablo_E!$B$2:$CX$102,MATCH(ROUND(Uzman_E!D$10,1),Tablo_E!$A$2:$A$102,1),MATCH(ROUND(N61,1),Tablo_E!$B$1:$CX$1,1)))</f>
        <v>0</v>
      </c>
      <c r="P61" s="60"/>
      <c r="Q61" s="64">
        <f>IF(ISBLANK(P61),0,ABS(Uzman_E!E$10-P61))</f>
        <v>0</v>
      </c>
      <c r="R61" s="55">
        <f>IF(ISBLANK(P61),0,INDEX(Tablo_E!$B$2:$CX$102,MATCH(ROUND(Uzman_E!E$10,1),Tablo_E!$A$2:$A$102,1),MATCH(ROUND(Q61,1),Tablo_E!$B$1:$CX$1,1)))</f>
        <v>0</v>
      </c>
      <c r="S61" s="56">
        <f t="shared" si="0"/>
        <v>0</v>
      </c>
      <c r="T61" s="50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spans="1:36" ht="15" customHeight="1" thickBot="1" x14ac:dyDescent="0.25">
      <c r="A62" s="57">
        <v>59</v>
      </c>
      <c r="B62" s="58">
        <f>Hakemler!B62</f>
        <v>0</v>
      </c>
      <c r="C62" s="59">
        <f>Hakemler!C62</f>
        <v>0</v>
      </c>
      <c r="D62" s="60"/>
      <c r="E62" s="64">
        <f>IF(ISBLANK(D62),0,ABS(Uzman_E!A$10-D62))</f>
        <v>0</v>
      </c>
      <c r="F62" s="55">
        <f>IF(ISBLANK(D62),0,INDEX(Tablo_E!$B$2:$CX$102,MATCH(ROUND(Uzman_E!A$10,1),Tablo_E!$A$2:$A$102,1),MATCH(ROUND(E62,1),Tablo_E!$B$1:$CX$1,1)))</f>
        <v>0</v>
      </c>
      <c r="G62" s="60"/>
      <c r="H62" s="64">
        <f>IF(ISBLANK(G62),0,ABS(Uzman_E!B$10-G62))</f>
        <v>0</v>
      </c>
      <c r="I62" s="55">
        <f>IF(ISBLANK(G62),0,INDEX(Tablo_E!$B$2:$CX$102,MATCH(ROUND(Uzman_E!B$10,1),Tablo_E!$A$2:$A$102,1),MATCH(ROUND(H62,1),Tablo_E!$B$1:$CX$1,1)))</f>
        <v>0</v>
      </c>
      <c r="J62" s="60"/>
      <c r="K62" s="64">
        <f>IF(ISBLANK(J62),0,ABS(Uzman_E!C$10-J62))</f>
        <v>0</v>
      </c>
      <c r="L62" s="55">
        <f>IF(ISBLANK(J62),0,INDEX(Tablo_E!$B$2:$CX$102,MATCH(ROUND(Uzman_E!C$10,1),Tablo_E!$A$2:$A$102,1),MATCH(ROUND(K62,1),Tablo_E!$B$1:$CX$1,1)))</f>
        <v>0</v>
      </c>
      <c r="M62" s="60"/>
      <c r="N62" s="64">
        <f>IF(ISBLANK(M62),0,ABS(Uzman_E!D$10-M62))</f>
        <v>0</v>
      </c>
      <c r="O62" s="55">
        <f>IF(ISBLANK(M62),0,INDEX(Tablo_E!$B$2:$CX$102,MATCH(ROUND(Uzman_E!D$10,1),Tablo_E!$A$2:$A$102,1),MATCH(ROUND(N62,1),Tablo_E!$B$1:$CX$1,1)))</f>
        <v>0</v>
      </c>
      <c r="P62" s="60"/>
      <c r="Q62" s="64">
        <f>IF(ISBLANK(P62),0,ABS(Uzman_E!E$10-P62))</f>
        <v>0</v>
      </c>
      <c r="R62" s="55">
        <f>IF(ISBLANK(P62),0,INDEX(Tablo_E!$B$2:$CX$102,MATCH(ROUND(Uzman_E!E$10,1),Tablo_E!$A$2:$A$102,1),MATCH(ROUND(Q62,1),Tablo_E!$B$1:$CX$1,1)))</f>
        <v>0</v>
      </c>
      <c r="S62" s="56">
        <f t="shared" si="0"/>
        <v>0</v>
      </c>
      <c r="T62" s="50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spans="1:36" ht="15" customHeight="1" thickBot="1" x14ac:dyDescent="0.25">
      <c r="A63" s="57">
        <v>60</v>
      </c>
      <c r="B63" s="58">
        <f>Hakemler!B63</f>
        <v>0</v>
      </c>
      <c r="C63" s="59">
        <f>Hakemler!C63</f>
        <v>0</v>
      </c>
      <c r="D63" s="60"/>
      <c r="E63" s="64">
        <f>IF(ISBLANK(D63),0,ABS(Uzman_E!A$10-D63))</f>
        <v>0</v>
      </c>
      <c r="F63" s="55">
        <f>IF(ISBLANK(D63),0,INDEX(Tablo_E!$B$2:$CX$102,MATCH(ROUND(Uzman_E!A$10,1),Tablo_E!$A$2:$A$102,1),MATCH(ROUND(E63,1),Tablo_E!$B$1:$CX$1,1)))</f>
        <v>0</v>
      </c>
      <c r="G63" s="60"/>
      <c r="H63" s="64">
        <f>IF(ISBLANK(G63),0,ABS(Uzman_E!B$10-G63))</f>
        <v>0</v>
      </c>
      <c r="I63" s="55">
        <f>IF(ISBLANK(G63),0,INDEX(Tablo_E!$B$2:$CX$102,MATCH(ROUND(Uzman_E!B$10,1),Tablo_E!$A$2:$A$102,1),MATCH(ROUND(H63,1),Tablo_E!$B$1:$CX$1,1)))</f>
        <v>0</v>
      </c>
      <c r="J63" s="60"/>
      <c r="K63" s="64">
        <f>IF(ISBLANK(J63),0,ABS(Uzman_E!C$10-J63))</f>
        <v>0</v>
      </c>
      <c r="L63" s="55">
        <f>IF(ISBLANK(J63),0,INDEX(Tablo_E!$B$2:$CX$102,MATCH(ROUND(Uzman_E!C$10,1),Tablo_E!$A$2:$A$102,1),MATCH(ROUND(K63,1),Tablo_E!$B$1:$CX$1,1)))</f>
        <v>0</v>
      </c>
      <c r="M63" s="60"/>
      <c r="N63" s="64">
        <f>IF(ISBLANK(M63),0,ABS(Uzman_E!D$10-M63))</f>
        <v>0</v>
      </c>
      <c r="O63" s="55">
        <f>IF(ISBLANK(M63),0,INDEX(Tablo_E!$B$2:$CX$102,MATCH(ROUND(Uzman_E!D$10,1),Tablo_E!$A$2:$A$102,1),MATCH(ROUND(N63,1),Tablo_E!$B$1:$CX$1,1)))</f>
        <v>0</v>
      </c>
      <c r="P63" s="60"/>
      <c r="Q63" s="64">
        <f>IF(ISBLANK(P63),0,ABS(Uzman_E!E$10-P63))</f>
        <v>0</v>
      </c>
      <c r="R63" s="55">
        <f>IF(ISBLANK(P63),0,INDEX(Tablo_E!$B$2:$CX$102,MATCH(ROUND(Uzman_E!E$10,1),Tablo_E!$A$2:$A$102,1),MATCH(ROUND(Q63,1),Tablo_E!$B$1:$CX$1,1)))</f>
        <v>0</v>
      </c>
      <c r="S63" s="56">
        <f t="shared" si="0"/>
        <v>0</v>
      </c>
      <c r="T63" s="50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spans="1:36" ht="15" customHeight="1" thickBot="1" x14ac:dyDescent="0.25">
      <c r="A64" s="57">
        <v>61</v>
      </c>
      <c r="B64" s="58">
        <f>Hakemler!B64</f>
        <v>0</v>
      </c>
      <c r="C64" s="59">
        <f>Hakemler!C64</f>
        <v>0</v>
      </c>
      <c r="D64" s="60"/>
      <c r="E64" s="64">
        <f>IF(ISBLANK(D64),0,ABS(Uzman_E!A$10-D64))</f>
        <v>0</v>
      </c>
      <c r="F64" s="55">
        <f>IF(ISBLANK(D64),0,INDEX(Tablo_E!$B$2:$CX$102,MATCH(ROUND(Uzman_E!A$10,1),Tablo_E!$A$2:$A$102,1),MATCH(ROUND(E64,1),Tablo_E!$B$1:$CX$1,1)))</f>
        <v>0</v>
      </c>
      <c r="G64" s="60"/>
      <c r="H64" s="64">
        <f>IF(ISBLANK(G64),0,ABS(Uzman_E!B$10-G64))</f>
        <v>0</v>
      </c>
      <c r="I64" s="55">
        <f>IF(ISBLANK(G64),0,INDEX(Tablo_E!$B$2:$CX$102,MATCH(ROUND(Uzman_E!B$10,1),Tablo_E!$A$2:$A$102,1),MATCH(ROUND(H64,1),Tablo_E!$B$1:$CX$1,1)))</f>
        <v>0</v>
      </c>
      <c r="J64" s="60"/>
      <c r="K64" s="64">
        <f>IF(ISBLANK(J64),0,ABS(Uzman_E!C$10-J64))</f>
        <v>0</v>
      </c>
      <c r="L64" s="55">
        <f>IF(ISBLANK(J64),0,INDEX(Tablo_E!$B$2:$CX$102,MATCH(ROUND(Uzman_E!C$10,1),Tablo_E!$A$2:$A$102,1),MATCH(ROUND(K64,1),Tablo_E!$B$1:$CX$1,1)))</f>
        <v>0</v>
      </c>
      <c r="M64" s="60"/>
      <c r="N64" s="64">
        <f>IF(ISBLANK(M64),0,ABS(Uzman_E!D$10-M64))</f>
        <v>0</v>
      </c>
      <c r="O64" s="55">
        <f>IF(ISBLANK(M64),0,INDEX(Tablo_E!$B$2:$CX$102,MATCH(ROUND(Uzman_E!D$10,1),Tablo_E!$A$2:$A$102,1),MATCH(ROUND(N64,1),Tablo_E!$B$1:$CX$1,1)))</f>
        <v>0</v>
      </c>
      <c r="P64" s="60"/>
      <c r="Q64" s="64">
        <f>IF(ISBLANK(P64),0,ABS(Uzman_E!E$10-P64))</f>
        <v>0</v>
      </c>
      <c r="R64" s="55">
        <f>IF(ISBLANK(P64),0,INDEX(Tablo_E!$B$2:$CX$102,MATCH(ROUND(Uzman_E!E$10,1),Tablo_E!$A$2:$A$102,1),MATCH(ROUND(Q64,1),Tablo_E!$B$1:$CX$1,1)))</f>
        <v>0</v>
      </c>
      <c r="S64" s="56">
        <f t="shared" si="0"/>
        <v>0</v>
      </c>
      <c r="T64" s="50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spans="1:36" ht="15" customHeight="1" thickBot="1" x14ac:dyDescent="0.25">
      <c r="A65" s="57">
        <v>62</v>
      </c>
      <c r="B65" s="58">
        <f>Hakemler!B65</f>
        <v>0</v>
      </c>
      <c r="C65" s="59">
        <f>Hakemler!C65</f>
        <v>0</v>
      </c>
      <c r="D65" s="60"/>
      <c r="E65" s="64">
        <f>IF(ISBLANK(D65),0,ABS(Uzman_E!A$10-D65))</f>
        <v>0</v>
      </c>
      <c r="F65" s="55">
        <f>IF(ISBLANK(D65),0,INDEX(Tablo_E!$B$2:$CX$102,MATCH(ROUND(Uzman_E!A$10,1),Tablo_E!$A$2:$A$102,1),MATCH(ROUND(E65,1),Tablo_E!$B$1:$CX$1,1)))</f>
        <v>0</v>
      </c>
      <c r="G65" s="60"/>
      <c r="H65" s="64">
        <f>IF(ISBLANK(G65),0,ABS(Uzman_E!B$10-G65))</f>
        <v>0</v>
      </c>
      <c r="I65" s="55">
        <f>IF(ISBLANK(G65),0,INDEX(Tablo_E!$B$2:$CX$102,MATCH(ROUND(Uzman_E!B$10,1),Tablo_E!$A$2:$A$102,1),MATCH(ROUND(H65,1),Tablo_E!$B$1:$CX$1,1)))</f>
        <v>0</v>
      </c>
      <c r="J65" s="60"/>
      <c r="K65" s="64">
        <f>IF(ISBLANK(J65),0,ABS(Uzman_E!C$10-J65))</f>
        <v>0</v>
      </c>
      <c r="L65" s="55">
        <f>IF(ISBLANK(J65),0,INDEX(Tablo_E!$B$2:$CX$102,MATCH(ROUND(Uzman_E!C$10,1),Tablo_E!$A$2:$A$102,1),MATCH(ROUND(K65,1),Tablo_E!$B$1:$CX$1,1)))</f>
        <v>0</v>
      </c>
      <c r="M65" s="60"/>
      <c r="N65" s="64">
        <f>IF(ISBLANK(M65),0,ABS(Uzman_E!D$10-M65))</f>
        <v>0</v>
      </c>
      <c r="O65" s="55">
        <f>IF(ISBLANK(M65),0,INDEX(Tablo_E!$B$2:$CX$102,MATCH(ROUND(Uzman_E!D$10,1),Tablo_E!$A$2:$A$102,1),MATCH(ROUND(N65,1),Tablo_E!$B$1:$CX$1,1)))</f>
        <v>0</v>
      </c>
      <c r="P65" s="60"/>
      <c r="Q65" s="64">
        <f>IF(ISBLANK(P65),0,ABS(Uzman_E!E$10-P65))</f>
        <v>0</v>
      </c>
      <c r="R65" s="55">
        <f>IF(ISBLANK(P65),0,INDEX(Tablo_E!$B$2:$CX$102,MATCH(ROUND(Uzman_E!E$10,1),Tablo_E!$A$2:$A$102,1),MATCH(ROUND(Q65,1),Tablo_E!$B$1:$CX$1,1)))</f>
        <v>0</v>
      </c>
      <c r="S65" s="56">
        <f t="shared" si="0"/>
        <v>0</v>
      </c>
      <c r="T65" s="50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spans="1:36" ht="15" customHeight="1" thickBot="1" x14ac:dyDescent="0.25">
      <c r="A66" s="57">
        <v>63</v>
      </c>
      <c r="B66" s="58">
        <f>Hakemler!B66</f>
        <v>0</v>
      </c>
      <c r="C66" s="59">
        <f>Hakemler!C66</f>
        <v>0</v>
      </c>
      <c r="D66" s="60"/>
      <c r="E66" s="64">
        <f>IF(ISBLANK(D66),0,ABS(Uzman_E!A$10-D66))</f>
        <v>0</v>
      </c>
      <c r="F66" s="55">
        <f>IF(ISBLANK(D66),0,INDEX(Tablo_E!$B$2:$CX$102,MATCH(ROUND(Uzman_E!A$10,1),Tablo_E!$A$2:$A$102,1),MATCH(ROUND(E66,1),Tablo_E!$B$1:$CX$1,1)))</f>
        <v>0</v>
      </c>
      <c r="G66" s="60"/>
      <c r="H66" s="64">
        <f>IF(ISBLANK(G66),0,ABS(Uzman_E!B$10-G66))</f>
        <v>0</v>
      </c>
      <c r="I66" s="55">
        <f>IF(ISBLANK(G66),0,INDEX(Tablo_E!$B$2:$CX$102,MATCH(ROUND(Uzman_E!B$10,1),Tablo_E!$A$2:$A$102,1),MATCH(ROUND(H66,1),Tablo_E!$B$1:$CX$1,1)))</f>
        <v>0</v>
      </c>
      <c r="J66" s="60"/>
      <c r="K66" s="64">
        <f>IF(ISBLANK(J66),0,ABS(Uzman_E!C$10-J66))</f>
        <v>0</v>
      </c>
      <c r="L66" s="55">
        <f>IF(ISBLANK(J66),0,INDEX(Tablo_E!$B$2:$CX$102,MATCH(ROUND(Uzman_E!C$10,1),Tablo_E!$A$2:$A$102,1),MATCH(ROUND(K66,1),Tablo_E!$B$1:$CX$1,1)))</f>
        <v>0</v>
      </c>
      <c r="M66" s="60"/>
      <c r="N66" s="64">
        <f>IF(ISBLANK(M66),0,ABS(Uzman_E!D$10-M66))</f>
        <v>0</v>
      </c>
      <c r="O66" s="55">
        <f>IF(ISBLANK(M66),0,INDEX(Tablo_E!$B$2:$CX$102,MATCH(ROUND(Uzman_E!D$10,1),Tablo_E!$A$2:$A$102,1),MATCH(ROUND(N66,1),Tablo_E!$B$1:$CX$1,1)))</f>
        <v>0</v>
      </c>
      <c r="P66" s="60"/>
      <c r="Q66" s="64">
        <f>IF(ISBLANK(P66),0,ABS(Uzman_E!E$10-P66))</f>
        <v>0</v>
      </c>
      <c r="R66" s="55">
        <f>IF(ISBLANK(P66),0,INDEX(Tablo_E!$B$2:$CX$102,MATCH(ROUND(Uzman_E!E$10,1),Tablo_E!$A$2:$A$102,1),MATCH(ROUND(Q66,1),Tablo_E!$B$1:$CX$1,1)))</f>
        <v>0</v>
      </c>
      <c r="S66" s="56">
        <f t="shared" si="0"/>
        <v>0</v>
      </c>
      <c r="T66" s="50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spans="1:36" ht="15" customHeight="1" thickBot="1" x14ac:dyDescent="0.25">
      <c r="A67" s="57">
        <v>64</v>
      </c>
      <c r="B67" s="35">
        <f>Hakemler!B67</f>
        <v>0</v>
      </c>
      <c r="C67" s="63">
        <f>Hakemler!C67</f>
        <v>0</v>
      </c>
      <c r="D67" s="60"/>
      <c r="E67" s="64">
        <f>IF(ISBLANK(D67),0,ABS(Uzman_E!A$10-D67))</f>
        <v>0</v>
      </c>
      <c r="F67" s="55">
        <f>IF(ISBLANK(D67),0,INDEX(Tablo_E!$B$2:$CX$102,MATCH(ROUND(Uzman_E!A$10,1),Tablo_E!$A$2:$A$102,1),MATCH(ROUND(E67,1),Tablo_E!$B$1:$CX$1,1)))</f>
        <v>0</v>
      </c>
      <c r="G67" s="60"/>
      <c r="H67" s="64">
        <f>IF(ISBLANK(G67),0,ABS(Uzman_E!B$10-G67))</f>
        <v>0</v>
      </c>
      <c r="I67" s="55">
        <f>IF(ISBLANK(G67),0,INDEX(Tablo_E!$B$2:$CX$102,MATCH(ROUND(Uzman_E!B$10,1),Tablo_E!$A$2:$A$102,1),MATCH(ROUND(H67,1),Tablo_E!$B$1:$CX$1,1)))</f>
        <v>0</v>
      </c>
      <c r="J67" s="60"/>
      <c r="K67" s="64">
        <f>IF(ISBLANK(J67),0,ABS(Uzman_E!C$10-J67))</f>
        <v>0</v>
      </c>
      <c r="L67" s="55">
        <f>IF(ISBLANK(J67),0,INDEX(Tablo_E!$B$2:$CX$102,MATCH(ROUND(Uzman_E!C$10,1),Tablo_E!$A$2:$A$102,1),MATCH(ROUND(K67,1),Tablo_E!$B$1:$CX$1,1)))</f>
        <v>0</v>
      </c>
      <c r="M67" s="60"/>
      <c r="N67" s="64">
        <f>IF(ISBLANK(M67),0,ABS(Uzman_E!D$10-M67))</f>
        <v>0</v>
      </c>
      <c r="O67" s="55">
        <f>IF(ISBLANK(M67),0,INDEX(Tablo_E!$B$2:$CX$102,MATCH(ROUND(Uzman_E!D$10,1),Tablo_E!$A$2:$A$102,1),MATCH(ROUND(N67,1),Tablo_E!$B$1:$CX$1,1)))</f>
        <v>0</v>
      </c>
      <c r="P67" s="60"/>
      <c r="Q67" s="64">
        <f>IF(ISBLANK(P67),0,ABS(Uzman_E!E$10-P67))</f>
        <v>0</v>
      </c>
      <c r="R67" s="55">
        <f>IF(ISBLANK(P67),0,INDEX(Tablo_E!$B$2:$CX$102,MATCH(ROUND(Uzman_E!E$10,1),Tablo_E!$A$2:$A$102,1),MATCH(ROUND(Q67,1),Tablo_E!$B$1:$CX$1,1)))</f>
        <v>0</v>
      </c>
      <c r="S67" s="56">
        <f t="shared" si="0"/>
        <v>0</v>
      </c>
      <c r="T67" s="50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spans="1:36" ht="15" customHeight="1" thickBot="1" x14ac:dyDescent="0.25">
      <c r="A68" s="57">
        <v>65</v>
      </c>
      <c r="B68" s="35">
        <f>Hakemler!B68</f>
        <v>0</v>
      </c>
      <c r="C68" s="63">
        <f>Hakemler!C68</f>
        <v>0</v>
      </c>
      <c r="D68" s="60"/>
      <c r="E68" s="64">
        <f>IF(ISBLANK(D68),0,ABS(Uzman_E!A$10-D68))</f>
        <v>0</v>
      </c>
      <c r="F68" s="55">
        <f>IF(ISBLANK(D68),0,INDEX(Tablo_E!$B$2:$CX$102,MATCH(ROUND(Uzman_E!A$10,1),Tablo_E!$A$2:$A$102,1),MATCH(ROUND(E68,1),Tablo_E!$B$1:$CX$1,1)))</f>
        <v>0</v>
      </c>
      <c r="G68" s="60"/>
      <c r="H68" s="64">
        <f>IF(ISBLANK(G68),0,ABS(Uzman_E!B$10-G68))</f>
        <v>0</v>
      </c>
      <c r="I68" s="55">
        <f>IF(ISBLANK(G68),0,INDEX(Tablo_E!$B$2:$CX$102,MATCH(ROUND(Uzman_E!B$10,1),Tablo_E!$A$2:$A$102,1),MATCH(ROUND(H68,1),Tablo_E!$B$1:$CX$1,1)))</f>
        <v>0</v>
      </c>
      <c r="J68" s="60"/>
      <c r="K68" s="64">
        <f>IF(ISBLANK(J68),0,ABS(Uzman_E!C$10-J68))</f>
        <v>0</v>
      </c>
      <c r="L68" s="55">
        <f>IF(ISBLANK(J68),0,INDEX(Tablo_E!$B$2:$CX$102,MATCH(ROUND(Uzman_E!C$10,1),Tablo_E!$A$2:$A$102,1),MATCH(ROUND(K68,1),Tablo_E!$B$1:$CX$1,1)))</f>
        <v>0</v>
      </c>
      <c r="M68" s="60"/>
      <c r="N68" s="64">
        <f>IF(ISBLANK(M68),0,ABS(Uzman_E!D$10-M68))</f>
        <v>0</v>
      </c>
      <c r="O68" s="55">
        <f>IF(ISBLANK(M68),0,INDEX(Tablo_E!$B$2:$CX$102,MATCH(ROUND(Uzman_E!D$10,1),Tablo_E!$A$2:$A$102,1),MATCH(ROUND(N68,1),Tablo_E!$B$1:$CX$1,1)))</f>
        <v>0</v>
      </c>
      <c r="P68" s="60"/>
      <c r="Q68" s="64">
        <f>IF(ISBLANK(P68),0,ABS(Uzman_E!E$10-P68))</f>
        <v>0</v>
      </c>
      <c r="R68" s="55">
        <f>IF(ISBLANK(P68),0,INDEX(Tablo_E!$B$2:$CX$102,MATCH(ROUND(Uzman_E!E$10,1),Tablo_E!$A$2:$A$102,1),MATCH(ROUND(Q68,1),Tablo_E!$B$1:$CX$1,1)))</f>
        <v>0</v>
      </c>
      <c r="S68" s="56">
        <f t="shared" si="0"/>
        <v>0</v>
      </c>
      <c r="T68" s="50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spans="1:36" ht="15" customHeight="1" thickBot="1" x14ac:dyDescent="0.25">
      <c r="A69" s="57">
        <v>66</v>
      </c>
      <c r="B69" s="35">
        <f>Hakemler!B69</f>
        <v>0</v>
      </c>
      <c r="C69" s="63">
        <f>Hakemler!C69</f>
        <v>0</v>
      </c>
      <c r="D69" s="60"/>
      <c r="E69" s="64">
        <f>IF(ISBLANK(D69),0,ABS(Uzman_E!A$10-D69))</f>
        <v>0</v>
      </c>
      <c r="F69" s="55">
        <f>IF(ISBLANK(D69),0,INDEX(Tablo_E!$B$2:$CX$102,MATCH(ROUND(Uzman_E!A$10,1),Tablo_E!$A$2:$A$102,1),MATCH(ROUND(E69,1),Tablo_E!$B$1:$CX$1,1)))</f>
        <v>0</v>
      </c>
      <c r="G69" s="60"/>
      <c r="H69" s="64">
        <f>IF(ISBLANK(G69),0,ABS(Uzman_E!B$10-G69))</f>
        <v>0</v>
      </c>
      <c r="I69" s="55">
        <f>IF(ISBLANK(G69),0,INDEX(Tablo_E!$B$2:$CX$102,MATCH(ROUND(Uzman_E!B$10,1),Tablo_E!$A$2:$A$102,1),MATCH(ROUND(H69,1),Tablo_E!$B$1:$CX$1,1)))</f>
        <v>0</v>
      </c>
      <c r="J69" s="60"/>
      <c r="K69" s="64">
        <f>IF(ISBLANK(J69),0,ABS(Uzman_E!C$10-J69))</f>
        <v>0</v>
      </c>
      <c r="L69" s="55">
        <f>IF(ISBLANK(J69),0,INDEX(Tablo_E!$B$2:$CX$102,MATCH(ROUND(Uzman_E!C$10,1),Tablo_E!$A$2:$A$102,1),MATCH(ROUND(K69,1),Tablo_E!$B$1:$CX$1,1)))</f>
        <v>0</v>
      </c>
      <c r="M69" s="60"/>
      <c r="N69" s="64">
        <f>IF(ISBLANK(M69),0,ABS(Uzman_E!D$10-M69))</f>
        <v>0</v>
      </c>
      <c r="O69" s="55">
        <f>IF(ISBLANK(M69),0,INDEX(Tablo_E!$B$2:$CX$102,MATCH(ROUND(Uzman_E!D$10,1),Tablo_E!$A$2:$A$102,1),MATCH(ROUND(N69,1),Tablo_E!$B$1:$CX$1,1)))</f>
        <v>0</v>
      </c>
      <c r="P69" s="60"/>
      <c r="Q69" s="64">
        <f>IF(ISBLANK(P69),0,ABS(Uzman_E!E$10-P69))</f>
        <v>0</v>
      </c>
      <c r="R69" s="55">
        <f>IF(ISBLANK(P69),0,INDEX(Tablo_E!$B$2:$CX$102,MATCH(ROUND(Uzman_E!E$10,1),Tablo_E!$A$2:$A$102,1),MATCH(ROUND(Q69,1),Tablo_E!$B$1:$CX$1,1)))</f>
        <v>0</v>
      </c>
      <c r="S69" s="56">
        <f t="shared" ref="S69:S103" si="1">(F69+I69+L69+O69+R69)/5</f>
        <v>0</v>
      </c>
      <c r="T69" s="50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spans="1:36" ht="15" customHeight="1" thickBot="1" x14ac:dyDescent="0.25">
      <c r="A70" s="57">
        <v>67</v>
      </c>
      <c r="B70" s="35">
        <f>Hakemler!B70</f>
        <v>0</v>
      </c>
      <c r="C70" s="63">
        <f>Hakemler!C70</f>
        <v>0</v>
      </c>
      <c r="D70" s="60"/>
      <c r="E70" s="64">
        <f>IF(ISBLANK(D70),0,ABS(Uzman_E!A$10-D70))</f>
        <v>0</v>
      </c>
      <c r="F70" s="55">
        <f>IF(ISBLANK(D70),0,INDEX(Tablo_E!$B$2:$CX$102,MATCH(ROUND(Uzman_E!A$10,1),Tablo_E!$A$2:$A$102,1),MATCH(ROUND(E70,1),Tablo_E!$B$1:$CX$1,1)))</f>
        <v>0</v>
      </c>
      <c r="G70" s="60"/>
      <c r="H70" s="64">
        <f>IF(ISBLANK(G70),0,ABS(Uzman_E!B$10-G70))</f>
        <v>0</v>
      </c>
      <c r="I70" s="55">
        <f>IF(ISBLANK(G70),0,INDEX(Tablo_E!$B$2:$CX$102,MATCH(ROUND(Uzman_E!B$10,1),Tablo_E!$A$2:$A$102,1),MATCH(ROUND(H70,1),Tablo_E!$B$1:$CX$1,1)))</f>
        <v>0</v>
      </c>
      <c r="J70" s="60"/>
      <c r="K70" s="64">
        <f>IF(ISBLANK(J70),0,ABS(Uzman_E!C$10-J70))</f>
        <v>0</v>
      </c>
      <c r="L70" s="55">
        <f>IF(ISBLANK(J70),0,INDEX(Tablo_E!$B$2:$CX$102,MATCH(ROUND(Uzman_E!C$10,1),Tablo_E!$A$2:$A$102,1),MATCH(ROUND(K70,1),Tablo_E!$B$1:$CX$1,1)))</f>
        <v>0</v>
      </c>
      <c r="M70" s="60"/>
      <c r="N70" s="64">
        <f>IF(ISBLANK(M70),0,ABS(Uzman_E!D$10-M70))</f>
        <v>0</v>
      </c>
      <c r="O70" s="55">
        <f>IF(ISBLANK(M70),0,INDEX(Tablo_E!$B$2:$CX$102,MATCH(ROUND(Uzman_E!D$10,1),Tablo_E!$A$2:$A$102,1),MATCH(ROUND(N70,1),Tablo_E!$B$1:$CX$1,1)))</f>
        <v>0</v>
      </c>
      <c r="P70" s="60"/>
      <c r="Q70" s="64">
        <f>IF(ISBLANK(P70),0,ABS(Uzman_E!E$10-P70))</f>
        <v>0</v>
      </c>
      <c r="R70" s="55">
        <f>IF(ISBLANK(P70),0,INDEX(Tablo_E!$B$2:$CX$102,MATCH(ROUND(Uzman_E!E$10,1),Tablo_E!$A$2:$A$102,1),MATCH(ROUND(Q70,1),Tablo_E!$B$1:$CX$1,1)))</f>
        <v>0</v>
      </c>
      <c r="S70" s="56">
        <f t="shared" si="1"/>
        <v>0</v>
      </c>
      <c r="T70" s="50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spans="1:36" ht="15" customHeight="1" thickBot="1" x14ac:dyDescent="0.25">
      <c r="A71" s="57">
        <v>68</v>
      </c>
      <c r="B71" s="35">
        <f>Hakemler!B71</f>
        <v>0</v>
      </c>
      <c r="C71" s="63">
        <f>Hakemler!C71</f>
        <v>0</v>
      </c>
      <c r="D71" s="60"/>
      <c r="E71" s="64">
        <f>IF(ISBLANK(D71),0,ABS(Uzman_E!A$10-D71))</f>
        <v>0</v>
      </c>
      <c r="F71" s="55">
        <f>IF(ISBLANK(D71),0,INDEX(Tablo_E!$B$2:$CX$102,MATCH(ROUND(Uzman_E!A$10,1),Tablo_E!$A$2:$A$102,1),MATCH(ROUND(E71,1),Tablo_E!$B$1:$CX$1,1)))</f>
        <v>0</v>
      </c>
      <c r="G71" s="60"/>
      <c r="H71" s="64">
        <f>IF(ISBLANK(G71),0,ABS(Uzman_E!B$10-G71))</f>
        <v>0</v>
      </c>
      <c r="I71" s="55">
        <f>IF(ISBLANK(G71),0,INDEX(Tablo_E!$B$2:$CX$102,MATCH(ROUND(Uzman_E!B$10,1),Tablo_E!$A$2:$A$102,1),MATCH(ROUND(H71,1),Tablo_E!$B$1:$CX$1,1)))</f>
        <v>0</v>
      </c>
      <c r="J71" s="60"/>
      <c r="K71" s="64">
        <f>IF(ISBLANK(J71),0,ABS(Uzman_E!C$10-J71))</f>
        <v>0</v>
      </c>
      <c r="L71" s="55">
        <f>IF(ISBLANK(J71),0,INDEX(Tablo_E!$B$2:$CX$102,MATCH(ROUND(Uzman_E!C$10,1),Tablo_E!$A$2:$A$102,1),MATCH(ROUND(K71,1),Tablo_E!$B$1:$CX$1,1)))</f>
        <v>0</v>
      </c>
      <c r="M71" s="60"/>
      <c r="N71" s="64">
        <f>IF(ISBLANK(M71),0,ABS(Uzman_E!D$10-M71))</f>
        <v>0</v>
      </c>
      <c r="O71" s="55">
        <f>IF(ISBLANK(M71),0,INDEX(Tablo_E!$B$2:$CX$102,MATCH(ROUND(Uzman_E!D$10,1),Tablo_E!$A$2:$A$102,1),MATCH(ROUND(N71,1),Tablo_E!$B$1:$CX$1,1)))</f>
        <v>0</v>
      </c>
      <c r="P71" s="60"/>
      <c r="Q71" s="64">
        <f>IF(ISBLANK(P71),0,ABS(Uzman_E!E$10-P71))</f>
        <v>0</v>
      </c>
      <c r="R71" s="55">
        <f>IF(ISBLANK(P71),0,INDEX(Tablo_E!$B$2:$CX$102,MATCH(ROUND(Uzman_E!E$10,1),Tablo_E!$A$2:$A$102,1),MATCH(ROUND(Q71,1),Tablo_E!$B$1:$CX$1,1)))</f>
        <v>0</v>
      </c>
      <c r="S71" s="56">
        <f t="shared" si="1"/>
        <v>0</v>
      </c>
      <c r="T71" s="50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spans="1:36" ht="15" customHeight="1" thickBot="1" x14ac:dyDescent="0.25">
      <c r="A72" s="57">
        <v>69</v>
      </c>
      <c r="B72" s="35">
        <f>Hakemler!B72</f>
        <v>0</v>
      </c>
      <c r="C72" s="63">
        <f>Hakemler!C72</f>
        <v>0</v>
      </c>
      <c r="D72" s="60"/>
      <c r="E72" s="64">
        <f>IF(ISBLANK(D72),0,ABS(Uzman_E!A$10-D72))</f>
        <v>0</v>
      </c>
      <c r="F72" s="55">
        <f>IF(ISBLANK(D72),0,INDEX(Tablo_E!$B$2:$CX$102,MATCH(ROUND(Uzman_E!A$10,1),Tablo_E!$A$2:$A$102,1),MATCH(ROUND(E72,1),Tablo_E!$B$1:$CX$1,1)))</f>
        <v>0</v>
      </c>
      <c r="G72" s="60"/>
      <c r="H72" s="64">
        <f>IF(ISBLANK(G72),0,ABS(Uzman_E!B$10-G72))</f>
        <v>0</v>
      </c>
      <c r="I72" s="55">
        <f>IF(ISBLANK(G72),0,INDEX(Tablo_E!$B$2:$CX$102,MATCH(ROUND(Uzman_E!B$10,1),Tablo_E!$A$2:$A$102,1),MATCH(ROUND(H72,1),Tablo_E!$B$1:$CX$1,1)))</f>
        <v>0</v>
      </c>
      <c r="J72" s="60"/>
      <c r="K72" s="64">
        <f>IF(ISBLANK(J72),0,ABS(Uzman_E!C$10-J72))</f>
        <v>0</v>
      </c>
      <c r="L72" s="55">
        <f>IF(ISBLANK(J72),0,INDEX(Tablo_E!$B$2:$CX$102,MATCH(ROUND(Uzman_E!C$10,1),Tablo_E!$A$2:$A$102,1),MATCH(ROUND(K72,1),Tablo_E!$B$1:$CX$1,1)))</f>
        <v>0</v>
      </c>
      <c r="M72" s="60"/>
      <c r="N72" s="64">
        <f>IF(ISBLANK(M72),0,ABS(Uzman_E!D$10-M72))</f>
        <v>0</v>
      </c>
      <c r="O72" s="55">
        <f>IF(ISBLANK(M72),0,INDEX(Tablo_E!$B$2:$CX$102,MATCH(ROUND(Uzman_E!D$10,1),Tablo_E!$A$2:$A$102,1),MATCH(ROUND(N72,1),Tablo_E!$B$1:$CX$1,1)))</f>
        <v>0</v>
      </c>
      <c r="P72" s="60"/>
      <c r="Q72" s="64">
        <f>IF(ISBLANK(P72),0,ABS(Uzman_E!E$10-P72))</f>
        <v>0</v>
      </c>
      <c r="R72" s="55">
        <f>IF(ISBLANK(P72),0,INDEX(Tablo_E!$B$2:$CX$102,MATCH(ROUND(Uzman_E!E$10,1),Tablo_E!$A$2:$A$102,1),MATCH(ROUND(Q72,1),Tablo_E!$B$1:$CX$1,1)))</f>
        <v>0</v>
      </c>
      <c r="S72" s="56">
        <f t="shared" si="1"/>
        <v>0</v>
      </c>
      <c r="T72" s="50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spans="1:36" ht="15" customHeight="1" thickBot="1" x14ac:dyDescent="0.25">
      <c r="A73" s="57">
        <v>70</v>
      </c>
      <c r="B73" s="35">
        <f>Hakemler!B73</f>
        <v>0</v>
      </c>
      <c r="C73" s="63">
        <f>Hakemler!C73</f>
        <v>0</v>
      </c>
      <c r="D73" s="60"/>
      <c r="E73" s="64">
        <f>IF(ISBLANK(D73),0,ABS(Uzman_E!A$10-D73))</f>
        <v>0</v>
      </c>
      <c r="F73" s="55">
        <f>IF(ISBLANK(D73),0,INDEX(Tablo_E!$B$2:$CX$102,MATCH(ROUND(Uzman_E!A$10,1),Tablo_E!$A$2:$A$102,1),MATCH(ROUND(E73,1),Tablo_E!$B$1:$CX$1,1)))</f>
        <v>0</v>
      </c>
      <c r="G73" s="60"/>
      <c r="H73" s="64">
        <f>IF(ISBLANK(G73),0,ABS(Uzman_E!B$10-G73))</f>
        <v>0</v>
      </c>
      <c r="I73" s="55">
        <f>IF(ISBLANK(G73),0,INDEX(Tablo_E!$B$2:$CX$102,MATCH(ROUND(Uzman_E!B$10,1),Tablo_E!$A$2:$A$102,1),MATCH(ROUND(H73,1),Tablo_E!$B$1:$CX$1,1)))</f>
        <v>0</v>
      </c>
      <c r="J73" s="60"/>
      <c r="K73" s="64">
        <f>IF(ISBLANK(J73),0,ABS(Uzman_E!C$10-J73))</f>
        <v>0</v>
      </c>
      <c r="L73" s="55">
        <f>IF(ISBLANK(J73),0,INDEX(Tablo_E!$B$2:$CX$102,MATCH(ROUND(Uzman_E!C$10,1),Tablo_E!$A$2:$A$102,1),MATCH(ROUND(K73,1),Tablo_E!$B$1:$CX$1,1)))</f>
        <v>0</v>
      </c>
      <c r="M73" s="60"/>
      <c r="N73" s="64">
        <f>IF(ISBLANK(M73),0,ABS(Uzman_E!D$10-M73))</f>
        <v>0</v>
      </c>
      <c r="O73" s="55">
        <f>IF(ISBLANK(M73),0,INDEX(Tablo_E!$B$2:$CX$102,MATCH(ROUND(Uzman_E!D$10,1),Tablo_E!$A$2:$A$102,1),MATCH(ROUND(N73,1),Tablo_E!$B$1:$CX$1,1)))</f>
        <v>0</v>
      </c>
      <c r="P73" s="60"/>
      <c r="Q73" s="64">
        <f>IF(ISBLANK(P73),0,ABS(Uzman_E!E$10-P73))</f>
        <v>0</v>
      </c>
      <c r="R73" s="55">
        <f>IF(ISBLANK(P73),0,INDEX(Tablo_E!$B$2:$CX$102,MATCH(ROUND(Uzman_E!E$10,1),Tablo_E!$A$2:$A$102,1),MATCH(ROUND(Q73,1),Tablo_E!$B$1:$CX$1,1)))</f>
        <v>0</v>
      </c>
      <c r="S73" s="56">
        <f t="shared" si="1"/>
        <v>0</v>
      </c>
      <c r="T73" s="50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spans="1:36" ht="15" customHeight="1" thickBot="1" x14ac:dyDescent="0.25">
      <c r="A74" s="57">
        <v>71</v>
      </c>
      <c r="B74" s="35">
        <f>Hakemler!B74</f>
        <v>0</v>
      </c>
      <c r="C74" s="63">
        <f>Hakemler!C74</f>
        <v>0</v>
      </c>
      <c r="D74" s="60"/>
      <c r="E74" s="64">
        <f>IF(ISBLANK(D74),0,ABS(Uzman_E!A$10-D74))</f>
        <v>0</v>
      </c>
      <c r="F74" s="55">
        <f>IF(ISBLANK(D74),0,INDEX(Tablo_E!$B$2:$CX$102,MATCH(ROUND(Uzman_E!A$10,1),Tablo_E!$A$2:$A$102,1),MATCH(ROUND(E74,1),Tablo_E!$B$1:$CX$1,1)))</f>
        <v>0</v>
      </c>
      <c r="G74" s="60"/>
      <c r="H74" s="64">
        <f>IF(ISBLANK(G74),0,ABS(Uzman_E!B$10-G74))</f>
        <v>0</v>
      </c>
      <c r="I74" s="55">
        <f>IF(ISBLANK(G74),0,INDEX(Tablo_E!$B$2:$CX$102,MATCH(ROUND(Uzman_E!B$10,1),Tablo_E!$A$2:$A$102,1),MATCH(ROUND(H74,1),Tablo_E!$B$1:$CX$1,1)))</f>
        <v>0</v>
      </c>
      <c r="J74" s="60"/>
      <c r="K74" s="64">
        <f>IF(ISBLANK(J74),0,ABS(Uzman_E!C$10-J74))</f>
        <v>0</v>
      </c>
      <c r="L74" s="55">
        <f>IF(ISBLANK(J74),0,INDEX(Tablo_E!$B$2:$CX$102,MATCH(ROUND(Uzman_E!C$10,1),Tablo_E!$A$2:$A$102,1),MATCH(ROUND(K74,1),Tablo_E!$B$1:$CX$1,1)))</f>
        <v>0</v>
      </c>
      <c r="M74" s="60"/>
      <c r="N74" s="64">
        <f>IF(ISBLANK(M74),0,ABS(Uzman_E!D$10-M74))</f>
        <v>0</v>
      </c>
      <c r="O74" s="55">
        <f>IF(ISBLANK(M74),0,INDEX(Tablo_E!$B$2:$CX$102,MATCH(ROUND(Uzman_E!D$10,1),Tablo_E!$A$2:$A$102,1),MATCH(ROUND(N74,1),Tablo_E!$B$1:$CX$1,1)))</f>
        <v>0</v>
      </c>
      <c r="P74" s="60"/>
      <c r="Q74" s="64">
        <f>IF(ISBLANK(P74),0,ABS(Uzman_E!E$10-P74))</f>
        <v>0</v>
      </c>
      <c r="R74" s="55">
        <f>IF(ISBLANK(P74),0,INDEX(Tablo_E!$B$2:$CX$102,MATCH(ROUND(Uzman_E!E$10,1),Tablo_E!$A$2:$A$102,1),MATCH(ROUND(Q74,1),Tablo_E!$B$1:$CX$1,1)))</f>
        <v>0</v>
      </c>
      <c r="S74" s="56">
        <f t="shared" si="1"/>
        <v>0</v>
      </c>
      <c r="T74" s="50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spans="1:36" ht="15" customHeight="1" thickBot="1" x14ac:dyDescent="0.25">
      <c r="A75" s="57">
        <v>72</v>
      </c>
      <c r="B75" s="35">
        <f>Hakemler!B75</f>
        <v>0</v>
      </c>
      <c r="C75" s="63">
        <f>Hakemler!C75</f>
        <v>0</v>
      </c>
      <c r="D75" s="60"/>
      <c r="E75" s="64">
        <f>IF(ISBLANK(D75),0,ABS(Uzman_E!A$10-D75))</f>
        <v>0</v>
      </c>
      <c r="F75" s="55">
        <f>IF(ISBLANK(D75),0,INDEX(Tablo_E!$B$2:$CX$102,MATCH(ROUND(Uzman_E!A$10,1),Tablo_E!$A$2:$A$102,1),MATCH(ROUND(E75,1),Tablo_E!$B$1:$CX$1,1)))</f>
        <v>0</v>
      </c>
      <c r="G75" s="60"/>
      <c r="H75" s="64">
        <f>IF(ISBLANK(G75),0,ABS(Uzman_E!B$10-G75))</f>
        <v>0</v>
      </c>
      <c r="I75" s="55">
        <f>IF(ISBLANK(G75),0,INDEX(Tablo_E!$B$2:$CX$102,MATCH(ROUND(Uzman_E!B$10,1),Tablo_E!$A$2:$A$102,1),MATCH(ROUND(H75,1),Tablo_E!$B$1:$CX$1,1)))</f>
        <v>0</v>
      </c>
      <c r="J75" s="60"/>
      <c r="K75" s="64">
        <f>IF(ISBLANK(J75),0,ABS(Uzman_E!C$10-J75))</f>
        <v>0</v>
      </c>
      <c r="L75" s="55">
        <f>IF(ISBLANK(J75),0,INDEX(Tablo_E!$B$2:$CX$102,MATCH(ROUND(Uzman_E!C$10,1),Tablo_E!$A$2:$A$102,1),MATCH(ROUND(K75,1),Tablo_E!$B$1:$CX$1,1)))</f>
        <v>0</v>
      </c>
      <c r="M75" s="60"/>
      <c r="N75" s="64">
        <f>IF(ISBLANK(M75),0,ABS(Uzman_E!D$10-M75))</f>
        <v>0</v>
      </c>
      <c r="O75" s="55">
        <f>IF(ISBLANK(M75),0,INDEX(Tablo_E!$B$2:$CX$102,MATCH(ROUND(Uzman_E!D$10,1),Tablo_E!$A$2:$A$102,1),MATCH(ROUND(N75,1),Tablo_E!$B$1:$CX$1,1)))</f>
        <v>0</v>
      </c>
      <c r="P75" s="60"/>
      <c r="Q75" s="64">
        <f>IF(ISBLANK(P75),0,ABS(Uzman_E!E$10-P75))</f>
        <v>0</v>
      </c>
      <c r="R75" s="55">
        <f>IF(ISBLANK(P75),0,INDEX(Tablo_E!$B$2:$CX$102,MATCH(ROUND(Uzman_E!E$10,1),Tablo_E!$A$2:$A$102,1),MATCH(ROUND(Q75,1),Tablo_E!$B$1:$CX$1,1)))</f>
        <v>0</v>
      </c>
      <c r="S75" s="56">
        <f t="shared" si="1"/>
        <v>0</v>
      </c>
      <c r="T75" s="50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spans="1:36" ht="15" customHeight="1" thickBot="1" x14ac:dyDescent="0.25">
      <c r="A76" s="57">
        <v>73</v>
      </c>
      <c r="B76" s="35">
        <f>Hakemler!B76</f>
        <v>0</v>
      </c>
      <c r="C76" s="63">
        <f>Hakemler!C76</f>
        <v>0</v>
      </c>
      <c r="D76" s="60"/>
      <c r="E76" s="64">
        <f>IF(ISBLANK(D76),0,ABS(Uzman_E!A$10-D76))</f>
        <v>0</v>
      </c>
      <c r="F76" s="55">
        <f>IF(ISBLANK(D76),0,INDEX(Tablo_E!$B$2:$CX$102,MATCH(ROUND(Uzman_E!A$10,1),Tablo_E!$A$2:$A$102,1),MATCH(ROUND(E76,1),Tablo_E!$B$1:$CX$1,1)))</f>
        <v>0</v>
      </c>
      <c r="G76" s="60"/>
      <c r="H76" s="64">
        <f>IF(ISBLANK(G76),0,ABS(Uzman_E!B$10-G76))</f>
        <v>0</v>
      </c>
      <c r="I76" s="55">
        <f>IF(ISBLANK(G76),0,INDEX(Tablo_E!$B$2:$CX$102,MATCH(ROUND(Uzman_E!B$10,1),Tablo_E!$A$2:$A$102,1),MATCH(ROUND(H76,1),Tablo_E!$B$1:$CX$1,1)))</f>
        <v>0</v>
      </c>
      <c r="J76" s="60"/>
      <c r="K76" s="64">
        <f>IF(ISBLANK(J76),0,ABS(Uzman_E!C$10-J76))</f>
        <v>0</v>
      </c>
      <c r="L76" s="55">
        <f>IF(ISBLANK(J76),0,INDEX(Tablo_E!$B$2:$CX$102,MATCH(ROUND(Uzman_E!C$10,1),Tablo_E!$A$2:$A$102,1),MATCH(ROUND(K76,1),Tablo_E!$B$1:$CX$1,1)))</f>
        <v>0</v>
      </c>
      <c r="M76" s="60"/>
      <c r="N76" s="64">
        <f>IF(ISBLANK(M76),0,ABS(Uzman_E!D$10-M76))</f>
        <v>0</v>
      </c>
      <c r="O76" s="55">
        <f>IF(ISBLANK(M76),0,INDEX(Tablo_E!$B$2:$CX$102,MATCH(ROUND(Uzman_E!D$10,1),Tablo_E!$A$2:$A$102,1),MATCH(ROUND(N76,1),Tablo_E!$B$1:$CX$1,1)))</f>
        <v>0</v>
      </c>
      <c r="P76" s="60"/>
      <c r="Q76" s="64">
        <f>IF(ISBLANK(P76),0,ABS(Uzman_E!E$10-P76))</f>
        <v>0</v>
      </c>
      <c r="R76" s="55">
        <f>IF(ISBLANK(P76),0,INDEX(Tablo_E!$B$2:$CX$102,MATCH(ROUND(Uzman_E!E$10,1),Tablo_E!$A$2:$A$102,1),MATCH(ROUND(Q76,1),Tablo_E!$B$1:$CX$1,1)))</f>
        <v>0</v>
      </c>
      <c r="S76" s="56">
        <f t="shared" si="1"/>
        <v>0</v>
      </c>
      <c r="T76" s="50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spans="1:36" ht="15" customHeight="1" thickBot="1" x14ac:dyDescent="0.25">
      <c r="A77" s="57">
        <v>74</v>
      </c>
      <c r="B77" s="35">
        <f>Hakemler!B77</f>
        <v>0</v>
      </c>
      <c r="C77" s="63">
        <f>Hakemler!C77</f>
        <v>0</v>
      </c>
      <c r="D77" s="60"/>
      <c r="E77" s="64">
        <f>IF(ISBLANK(D77),0,ABS(Uzman_E!A$10-D77))</f>
        <v>0</v>
      </c>
      <c r="F77" s="55">
        <f>IF(ISBLANK(D77),0,INDEX(Tablo_E!$B$2:$CX$102,MATCH(ROUND(Uzman_E!A$10,1),Tablo_E!$A$2:$A$102,1),MATCH(ROUND(E77,1),Tablo_E!$B$1:$CX$1,1)))</f>
        <v>0</v>
      </c>
      <c r="G77" s="60"/>
      <c r="H77" s="64">
        <f>IF(ISBLANK(G77),0,ABS(Uzman_E!B$10-G77))</f>
        <v>0</v>
      </c>
      <c r="I77" s="55">
        <f>IF(ISBLANK(G77),0,INDEX(Tablo_E!$B$2:$CX$102,MATCH(ROUND(Uzman_E!B$10,1),Tablo_E!$A$2:$A$102,1),MATCH(ROUND(H77,1),Tablo_E!$B$1:$CX$1,1)))</f>
        <v>0</v>
      </c>
      <c r="J77" s="60"/>
      <c r="K77" s="64">
        <f>IF(ISBLANK(J77),0,ABS(Uzman_E!C$10-J77))</f>
        <v>0</v>
      </c>
      <c r="L77" s="55">
        <f>IF(ISBLANK(J77),0,INDEX(Tablo_E!$B$2:$CX$102,MATCH(ROUND(Uzman_E!C$10,1),Tablo_E!$A$2:$A$102,1),MATCH(ROUND(K77,1),Tablo_E!$B$1:$CX$1,1)))</f>
        <v>0</v>
      </c>
      <c r="M77" s="60"/>
      <c r="N77" s="64">
        <f>IF(ISBLANK(M77),0,ABS(Uzman_E!D$10-M77))</f>
        <v>0</v>
      </c>
      <c r="O77" s="55">
        <f>IF(ISBLANK(M77),0,INDEX(Tablo_E!$B$2:$CX$102,MATCH(ROUND(Uzman_E!D$10,1),Tablo_E!$A$2:$A$102,1),MATCH(ROUND(N77,1),Tablo_E!$B$1:$CX$1,1)))</f>
        <v>0</v>
      </c>
      <c r="P77" s="60"/>
      <c r="Q77" s="64">
        <f>IF(ISBLANK(P77),0,ABS(Uzman_E!E$10-P77))</f>
        <v>0</v>
      </c>
      <c r="R77" s="55">
        <f>IF(ISBLANK(P77),0,INDEX(Tablo_E!$B$2:$CX$102,MATCH(ROUND(Uzman_E!E$10,1),Tablo_E!$A$2:$A$102,1),MATCH(ROUND(Q77,1),Tablo_E!$B$1:$CX$1,1)))</f>
        <v>0</v>
      </c>
      <c r="S77" s="56">
        <f t="shared" si="1"/>
        <v>0</v>
      </c>
      <c r="T77" s="50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spans="1:36" ht="15" customHeight="1" thickBot="1" x14ac:dyDescent="0.25">
      <c r="A78" s="57">
        <v>75</v>
      </c>
      <c r="B78" s="35">
        <f>Hakemler!B78</f>
        <v>0</v>
      </c>
      <c r="C78" s="63">
        <f>Hakemler!C78</f>
        <v>0</v>
      </c>
      <c r="D78" s="60"/>
      <c r="E78" s="64">
        <f>IF(ISBLANK(D78),0,ABS(Uzman_E!A$10-D78))</f>
        <v>0</v>
      </c>
      <c r="F78" s="55">
        <f>IF(ISBLANK(D78),0,INDEX(Tablo_E!$B$2:$CX$102,MATCH(ROUND(Uzman_E!A$10,1),Tablo_E!$A$2:$A$102,1),MATCH(ROUND(E78,1),Tablo_E!$B$1:$CX$1,1)))</f>
        <v>0</v>
      </c>
      <c r="G78" s="60"/>
      <c r="H78" s="64">
        <f>IF(ISBLANK(G78),0,ABS(Uzman_E!B$10-G78))</f>
        <v>0</v>
      </c>
      <c r="I78" s="55">
        <f>IF(ISBLANK(G78),0,INDEX(Tablo_E!$B$2:$CX$102,MATCH(ROUND(Uzman_E!B$10,1),Tablo_E!$A$2:$A$102,1),MATCH(ROUND(H78,1),Tablo_E!$B$1:$CX$1,1)))</f>
        <v>0</v>
      </c>
      <c r="J78" s="60"/>
      <c r="K78" s="64">
        <f>IF(ISBLANK(J78),0,ABS(Uzman_E!C$10-J78))</f>
        <v>0</v>
      </c>
      <c r="L78" s="55">
        <f>IF(ISBLANK(J78),0,INDEX(Tablo_E!$B$2:$CX$102,MATCH(ROUND(Uzman_E!C$10,1),Tablo_E!$A$2:$A$102,1),MATCH(ROUND(K78,1),Tablo_E!$B$1:$CX$1,1)))</f>
        <v>0</v>
      </c>
      <c r="M78" s="60"/>
      <c r="N78" s="64">
        <f>IF(ISBLANK(M78),0,ABS(Uzman_E!D$10-M78))</f>
        <v>0</v>
      </c>
      <c r="O78" s="55">
        <f>IF(ISBLANK(M78),0,INDEX(Tablo_E!$B$2:$CX$102,MATCH(ROUND(Uzman_E!D$10,1),Tablo_E!$A$2:$A$102,1),MATCH(ROUND(N78,1),Tablo_E!$B$1:$CX$1,1)))</f>
        <v>0</v>
      </c>
      <c r="P78" s="60"/>
      <c r="Q78" s="64">
        <f>IF(ISBLANK(P78),0,ABS(Uzman_E!E$10-P78))</f>
        <v>0</v>
      </c>
      <c r="R78" s="55">
        <f>IF(ISBLANK(P78),0,INDEX(Tablo_E!$B$2:$CX$102,MATCH(ROUND(Uzman_E!E$10,1),Tablo_E!$A$2:$A$102,1),MATCH(ROUND(Q78,1),Tablo_E!$B$1:$CX$1,1)))</f>
        <v>0</v>
      </c>
      <c r="S78" s="56">
        <f t="shared" si="1"/>
        <v>0</v>
      </c>
      <c r="T78" s="50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spans="1:36" ht="15" customHeight="1" thickBot="1" x14ac:dyDescent="0.25">
      <c r="A79" s="57">
        <v>76</v>
      </c>
      <c r="B79" s="35">
        <f>Hakemler!B79</f>
        <v>0</v>
      </c>
      <c r="C79" s="63">
        <f>Hakemler!C79</f>
        <v>0</v>
      </c>
      <c r="D79" s="60"/>
      <c r="E79" s="64">
        <f>IF(ISBLANK(D79),0,ABS(Uzman_E!A$10-D79))</f>
        <v>0</v>
      </c>
      <c r="F79" s="55">
        <f>IF(ISBLANK(D79),0,INDEX(Tablo_E!$B$2:$CX$102,MATCH(ROUND(Uzman_E!A$10,1),Tablo_E!$A$2:$A$102,1),MATCH(ROUND(E79,1),Tablo_E!$B$1:$CX$1,1)))</f>
        <v>0</v>
      </c>
      <c r="G79" s="60"/>
      <c r="H79" s="64">
        <f>IF(ISBLANK(G79),0,ABS(Uzman_E!B$10-G79))</f>
        <v>0</v>
      </c>
      <c r="I79" s="55">
        <f>IF(ISBLANK(G79),0,INDEX(Tablo_E!$B$2:$CX$102,MATCH(ROUND(Uzman_E!B$10,1),Tablo_E!$A$2:$A$102,1),MATCH(ROUND(H79,1),Tablo_E!$B$1:$CX$1,1)))</f>
        <v>0</v>
      </c>
      <c r="J79" s="60"/>
      <c r="K79" s="64">
        <f>IF(ISBLANK(J79),0,ABS(Uzman_E!C$10-J79))</f>
        <v>0</v>
      </c>
      <c r="L79" s="55">
        <f>IF(ISBLANK(J79),0,INDEX(Tablo_E!$B$2:$CX$102,MATCH(ROUND(Uzman_E!C$10,1),Tablo_E!$A$2:$A$102,1),MATCH(ROUND(K79,1),Tablo_E!$B$1:$CX$1,1)))</f>
        <v>0</v>
      </c>
      <c r="M79" s="60"/>
      <c r="N79" s="64">
        <f>IF(ISBLANK(M79),0,ABS(Uzman_E!D$10-M79))</f>
        <v>0</v>
      </c>
      <c r="O79" s="55">
        <f>IF(ISBLANK(M79),0,INDEX(Tablo_E!$B$2:$CX$102,MATCH(ROUND(Uzman_E!D$10,1),Tablo_E!$A$2:$A$102,1),MATCH(ROUND(N79,1),Tablo_E!$B$1:$CX$1,1)))</f>
        <v>0</v>
      </c>
      <c r="P79" s="60"/>
      <c r="Q79" s="64">
        <f>IF(ISBLANK(P79),0,ABS(Uzman_E!E$10-P79))</f>
        <v>0</v>
      </c>
      <c r="R79" s="55">
        <f>IF(ISBLANK(P79),0,INDEX(Tablo_E!$B$2:$CX$102,MATCH(ROUND(Uzman_E!E$10,1),Tablo_E!$A$2:$A$102,1),MATCH(ROUND(Q79,1),Tablo_E!$B$1:$CX$1,1)))</f>
        <v>0</v>
      </c>
      <c r="S79" s="56">
        <f t="shared" si="1"/>
        <v>0</v>
      </c>
      <c r="T79" s="50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spans="1:36" ht="15" customHeight="1" thickBot="1" x14ac:dyDescent="0.25">
      <c r="A80" s="57">
        <v>77</v>
      </c>
      <c r="B80" s="35">
        <f>Hakemler!B80</f>
        <v>0</v>
      </c>
      <c r="C80" s="63">
        <f>Hakemler!C80</f>
        <v>0</v>
      </c>
      <c r="D80" s="60"/>
      <c r="E80" s="64">
        <f>IF(ISBLANK(D80),0,ABS(Uzman_E!A$10-D80))</f>
        <v>0</v>
      </c>
      <c r="F80" s="55">
        <f>IF(ISBLANK(D80),0,INDEX(Tablo_E!$B$2:$CX$102,MATCH(ROUND(Uzman_E!A$10,1),Tablo_E!$A$2:$A$102,1),MATCH(ROUND(E80,1),Tablo_E!$B$1:$CX$1,1)))</f>
        <v>0</v>
      </c>
      <c r="G80" s="60"/>
      <c r="H80" s="64">
        <f>IF(ISBLANK(G80),0,ABS(Uzman_E!B$10-G80))</f>
        <v>0</v>
      </c>
      <c r="I80" s="55">
        <f>IF(ISBLANK(G80),0,INDEX(Tablo_E!$B$2:$CX$102,MATCH(ROUND(Uzman_E!B$10,1),Tablo_E!$A$2:$A$102,1),MATCH(ROUND(H80,1),Tablo_E!$B$1:$CX$1,1)))</f>
        <v>0</v>
      </c>
      <c r="J80" s="60"/>
      <c r="K80" s="64">
        <f>IF(ISBLANK(J80),0,ABS(Uzman_E!C$10-J80))</f>
        <v>0</v>
      </c>
      <c r="L80" s="55">
        <f>IF(ISBLANK(J80),0,INDEX(Tablo_E!$B$2:$CX$102,MATCH(ROUND(Uzman_E!C$10,1),Tablo_E!$A$2:$A$102,1),MATCH(ROUND(K80,1),Tablo_E!$B$1:$CX$1,1)))</f>
        <v>0</v>
      </c>
      <c r="M80" s="60"/>
      <c r="N80" s="64">
        <f>IF(ISBLANK(M80),0,ABS(Uzman_E!D$10-M80))</f>
        <v>0</v>
      </c>
      <c r="O80" s="55">
        <f>IF(ISBLANK(M80),0,INDEX(Tablo_E!$B$2:$CX$102,MATCH(ROUND(Uzman_E!D$10,1),Tablo_E!$A$2:$A$102,1),MATCH(ROUND(N80,1),Tablo_E!$B$1:$CX$1,1)))</f>
        <v>0</v>
      </c>
      <c r="P80" s="60"/>
      <c r="Q80" s="64">
        <f>IF(ISBLANK(P80),0,ABS(Uzman_E!E$10-P80))</f>
        <v>0</v>
      </c>
      <c r="R80" s="55">
        <f>IF(ISBLANK(P80),0,INDEX(Tablo_E!$B$2:$CX$102,MATCH(ROUND(Uzman_E!E$10,1),Tablo_E!$A$2:$A$102,1),MATCH(ROUND(Q80,1),Tablo_E!$B$1:$CX$1,1)))</f>
        <v>0</v>
      </c>
      <c r="S80" s="56">
        <f t="shared" si="1"/>
        <v>0</v>
      </c>
      <c r="T80" s="50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</row>
    <row r="81" spans="1:36" ht="15" customHeight="1" thickBot="1" x14ac:dyDescent="0.25">
      <c r="A81" s="57">
        <v>78</v>
      </c>
      <c r="B81" s="35">
        <f>Hakemler!B81</f>
        <v>0</v>
      </c>
      <c r="C81" s="63">
        <f>Hakemler!C81</f>
        <v>0</v>
      </c>
      <c r="D81" s="60"/>
      <c r="E81" s="64">
        <f>IF(ISBLANK(D81),0,ABS(Uzman_E!A$10-D81))</f>
        <v>0</v>
      </c>
      <c r="F81" s="55">
        <f>IF(ISBLANK(D81),0,INDEX(Tablo_E!$B$2:$CX$102,MATCH(ROUND(Uzman_E!A$10,1),Tablo_E!$A$2:$A$102,1),MATCH(ROUND(E81,1),Tablo_E!$B$1:$CX$1,1)))</f>
        <v>0</v>
      </c>
      <c r="G81" s="60"/>
      <c r="H81" s="64">
        <f>IF(ISBLANK(G81),0,ABS(Uzman_E!B$10-G81))</f>
        <v>0</v>
      </c>
      <c r="I81" s="55">
        <f>IF(ISBLANK(G81),0,INDEX(Tablo_E!$B$2:$CX$102,MATCH(ROUND(Uzman_E!B$10,1),Tablo_E!$A$2:$A$102,1),MATCH(ROUND(H81,1),Tablo_E!$B$1:$CX$1,1)))</f>
        <v>0</v>
      </c>
      <c r="J81" s="60"/>
      <c r="K81" s="64">
        <f>IF(ISBLANK(J81),0,ABS(Uzman_E!C$10-J81))</f>
        <v>0</v>
      </c>
      <c r="L81" s="55">
        <f>IF(ISBLANK(J81),0,INDEX(Tablo_E!$B$2:$CX$102,MATCH(ROUND(Uzman_E!C$10,1),Tablo_E!$A$2:$A$102,1),MATCH(ROUND(K81,1),Tablo_E!$B$1:$CX$1,1)))</f>
        <v>0</v>
      </c>
      <c r="M81" s="60"/>
      <c r="N81" s="64">
        <f>IF(ISBLANK(M81),0,ABS(Uzman_E!D$10-M81))</f>
        <v>0</v>
      </c>
      <c r="O81" s="55">
        <f>IF(ISBLANK(M81),0,INDEX(Tablo_E!$B$2:$CX$102,MATCH(ROUND(Uzman_E!D$10,1),Tablo_E!$A$2:$A$102,1),MATCH(ROUND(N81,1),Tablo_E!$B$1:$CX$1,1)))</f>
        <v>0</v>
      </c>
      <c r="P81" s="60"/>
      <c r="Q81" s="64">
        <f>IF(ISBLANK(P81),0,ABS(Uzman_E!E$10-P81))</f>
        <v>0</v>
      </c>
      <c r="R81" s="55">
        <f>IF(ISBLANK(P81),0,INDEX(Tablo_E!$B$2:$CX$102,MATCH(ROUND(Uzman_E!E$10,1),Tablo_E!$A$2:$A$102,1),MATCH(ROUND(Q81,1),Tablo_E!$B$1:$CX$1,1)))</f>
        <v>0</v>
      </c>
      <c r="S81" s="56">
        <f t="shared" si="1"/>
        <v>0</v>
      </c>
      <c r="T81" s="50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</row>
    <row r="82" spans="1:36" ht="15" customHeight="1" thickBot="1" x14ac:dyDescent="0.25">
      <c r="A82" s="57">
        <v>79</v>
      </c>
      <c r="B82" s="35">
        <f>Hakemler!B82</f>
        <v>0</v>
      </c>
      <c r="C82" s="63">
        <f>Hakemler!C82</f>
        <v>0</v>
      </c>
      <c r="D82" s="60"/>
      <c r="E82" s="64">
        <f>IF(ISBLANK(D82),0,ABS(Uzman_E!A$10-D82))</f>
        <v>0</v>
      </c>
      <c r="F82" s="55">
        <f>IF(ISBLANK(D82),0,INDEX(Tablo_E!$B$2:$CX$102,MATCH(ROUND(Uzman_E!A$10,1),Tablo_E!$A$2:$A$102,1),MATCH(ROUND(E82,1),Tablo_E!$B$1:$CX$1,1)))</f>
        <v>0</v>
      </c>
      <c r="G82" s="60"/>
      <c r="H82" s="64">
        <f>IF(ISBLANK(G82),0,ABS(Uzman_E!B$10-G82))</f>
        <v>0</v>
      </c>
      <c r="I82" s="55">
        <f>IF(ISBLANK(G82),0,INDEX(Tablo_E!$B$2:$CX$102,MATCH(ROUND(Uzman_E!B$10,1),Tablo_E!$A$2:$A$102,1),MATCH(ROUND(H82,1),Tablo_E!$B$1:$CX$1,1)))</f>
        <v>0</v>
      </c>
      <c r="J82" s="60"/>
      <c r="K82" s="64">
        <f>IF(ISBLANK(J82),0,ABS(Uzman_E!C$10-J82))</f>
        <v>0</v>
      </c>
      <c r="L82" s="55">
        <f>IF(ISBLANK(J82),0,INDEX(Tablo_E!$B$2:$CX$102,MATCH(ROUND(Uzman_E!C$10,1),Tablo_E!$A$2:$A$102,1),MATCH(ROUND(K82,1),Tablo_E!$B$1:$CX$1,1)))</f>
        <v>0</v>
      </c>
      <c r="M82" s="60"/>
      <c r="N82" s="64">
        <f>IF(ISBLANK(M82),0,ABS(Uzman_E!D$10-M82))</f>
        <v>0</v>
      </c>
      <c r="O82" s="55">
        <f>IF(ISBLANK(M82),0,INDEX(Tablo_E!$B$2:$CX$102,MATCH(ROUND(Uzman_E!D$10,1),Tablo_E!$A$2:$A$102,1),MATCH(ROUND(N82,1),Tablo_E!$B$1:$CX$1,1)))</f>
        <v>0</v>
      </c>
      <c r="P82" s="60"/>
      <c r="Q82" s="64">
        <f>IF(ISBLANK(P82),0,ABS(Uzman_E!E$10-P82))</f>
        <v>0</v>
      </c>
      <c r="R82" s="55">
        <f>IF(ISBLANK(P82),0,INDEX(Tablo_E!$B$2:$CX$102,MATCH(ROUND(Uzman_E!E$10,1),Tablo_E!$A$2:$A$102,1),MATCH(ROUND(Q82,1),Tablo_E!$B$1:$CX$1,1)))</f>
        <v>0</v>
      </c>
      <c r="S82" s="56">
        <f t="shared" si="1"/>
        <v>0</v>
      </c>
      <c r="T82" s="50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</row>
    <row r="83" spans="1:36" ht="15" customHeight="1" thickBot="1" x14ac:dyDescent="0.25">
      <c r="A83" s="57">
        <v>80</v>
      </c>
      <c r="B83" s="35">
        <f>Hakemler!B83</f>
        <v>0</v>
      </c>
      <c r="C83" s="63">
        <f>Hakemler!C83</f>
        <v>0</v>
      </c>
      <c r="D83" s="60"/>
      <c r="E83" s="64">
        <f>IF(ISBLANK(D83),0,ABS(Uzman_E!A$10-D83))</f>
        <v>0</v>
      </c>
      <c r="F83" s="55">
        <f>IF(ISBLANK(D83),0,INDEX(Tablo_E!$B$2:$CX$102,MATCH(ROUND(Uzman_E!A$10,1),Tablo_E!$A$2:$A$102,1),MATCH(ROUND(E83,1),Tablo_E!$B$1:$CX$1,1)))</f>
        <v>0</v>
      </c>
      <c r="G83" s="60"/>
      <c r="H83" s="64">
        <f>IF(ISBLANK(G83),0,ABS(Uzman_E!B$10-G83))</f>
        <v>0</v>
      </c>
      <c r="I83" s="55">
        <f>IF(ISBLANK(G83),0,INDEX(Tablo_E!$B$2:$CX$102,MATCH(ROUND(Uzman_E!B$10,1),Tablo_E!$A$2:$A$102,1),MATCH(ROUND(H83,1),Tablo_E!$B$1:$CX$1,1)))</f>
        <v>0</v>
      </c>
      <c r="J83" s="60"/>
      <c r="K83" s="64">
        <f>IF(ISBLANK(J83),0,ABS(Uzman_E!C$10-J83))</f>
        <v>0</v>
      </c>
      <c r="L83" s="55">
        <f>IF(ISBLANK(J83),0,INDEX(Tablo_E!$B$2:$CX$102,MATCH(ROUND(Uzman_E!C$10,1),Tablo_E!$A$2:$A$102,1),MATCH(ROUND(K83,1),Tablo_E!$B$1:$CX$1,1)))</f>
        <v>0</v>
      </c>
      <c r="M83" s="60"/>
      <c r="N83" s="64">
        <f>IF(ISBLANK(M83),0,ABS(Uzman_E!D$10-M83))</f>
        <v>0</v>
      </c>
      <c r="O83" s="55">
        <f>IF(ISBLANK(M83),0,INDEX(Tablo_E!$B$2:$CX$102,MATCH(ROUND(Uzman_E!D$10,1),Tablo_E!$A$2:$A$102,1),MATCH(ROUND(N83,1),Tablo_E!$B$1:$CX$1,1)))</f>
        <v>0</v>
      </c>
      <c r="P83" s="60"/>
      <c r="Q83" s="64">
        <f>IF(ISBLANK(P83),0,ABS(Uzman_E!E$10-P83))</f>
        <v>0</v>
      </c>
      <c r="R83" s="55">
        <f>IF(ISBLANK(P83),0,INDEX(Tablo_E!$B$2:$CX$102,MATCH(ROUND(Uzman_E!E$10,1),Tablo_E!$A$2:$A$102,1),MATCH(ROUND(Q83,1),Tablo_E!$B$1:$CX$1,1)))</f>
        <v>0</v>
      </c>
      <c r="S83" s="56">
        <f t="shared" si="1"/>
        <v>0</v>
      </c>
      <c r="T83" s="50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</row>
    <row r="84" spans="1:36" ht="15" customHeight="1" thickBot="1" x14ac:dyDescent="0.25">
      <c r="A84" s="57">
        <v>81</v>
      </c>
      <c r="B84" s="35">
        <f>Hakemler!B84</f>
        <v>0</v>
      </c>
      <c r="C84" s="63">
        <f>Hakemler!C84</f>
        <v>0</v>
      </c>
      <c r="D84" s="60"/>
      <c r="E84" s="64">
        <f>IF(ISBLANK(D84),0,ABS(Uzman_E!A$10-D84))</f>
        <v>0</v>
      </c>
      <c r="F84" s="55">
        <f>IF(ISBLANK(D84),0,INDEX(Tablo_E!$B$2:$CX$102,MATCH(ROUND(Uzman_E!A$10,1),Tablo_E!$A$2:$A$102,1),MATCH(ROUND(E84,1),Tablo_E!$B$1:$CX$1,1)))</f>
        <v>0</v>
      </c>
      <c r="G84" s="60"/>
      <c r="H84" s="64">
        <f>IF(ISBLANK(G84),0,ABS(Uzman_E!B$10-G84))</f>
        <v>0</v>
      </c>
      <c r="I84" s="55">
        <f>IF(ISBLANK(G84),0,INDEX(Tablo_E!$B$2:$CX$102,MATCH(ROUND(Uzman_E!B$10,1),Tablo_E!$A$2:$A$102,1),MATCH(ROUND(H84,1),Tablo_E!$B$1:$CX$1,1)))</f>
        <v>0</v>
      </c>
      <c r="J84" s="60"/>
      <c r="K84" s="64">
        <f>IF(ISBLANK(J84),0,ABS(Uzman_E!C$10-J84))</f>
        <v>0</v>
      </c>
      <c r="L84" s="55">
        <f>IF(ISBLANK(J84),0,INDEX(Tablo_E!$B$2:$CX$102,MATCH(ROUND(Uzman_E!C$10,1),Tablo_E!$A$2:$A$102,1),MATCH(ROUND(K84,1),Tablo_E!$B$1:$CX$1,1)))</f>
        <v>0</v>
      </c>
      <c r="M84" s="60"/>
      <c r="N84" s="64">
        <f>IF(ISBLANK(M84),0,ABS(Uzman_E!D$10-M84))</f>
        <v>0</v>
      </c>
      <c r="O84" s="55">
        <f>IF(ISBLANK(M84),0,INDEX(Tablo_E!$B$2:$CX$102,MATCH(ROUND(Uzman_E!D$10,1),Tablo_E!$A$2:$A$102,1),MATCH(ROUND(N84,1),Tablo_E!$B$1:$CX$1,1)))</f>
        <v>0</v>
      </c>
      <c r="P84" s="60"/>
      <c r="Q84" s="64">
        <f>IF(ISBLANK(P84),0,ABS(Uzman_E!E$10-P84))</f>
        <v>0</v>
      </c>
      <c r="R84" s="55">
        <f>IF(ISBLANK(P84),0,INDEX(Tablo_E!$B$2:$CX$102,MATCH(ROUND(Uzman_E!E$10,1),Tablo_E!$A$2:$A$102,1),MATCH(ROUND(Q84,1),Tablo_E!$B$1:$CX$1,1)))</f>
        <v>0</v>
      </c>
      <c r="S84" s="56">
        <f t="shared" si="1"/>
        <v>0</v>
      </c>
      <c r="T84" s="50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</row>
    <row r="85" spans="1:36" ht="15" customHeight="1" thickBot="1" x14ac:dyDescent="0.25">
      <c r="A85" s="57">
        <v>82</v>
      </c>
      <c r="B85" s="35">
        <f>Hakemler!B85</f>
        <v>0</v>
      </c>
      <c r="C85" s="63">
        <f>Hakemler!C85</f>
        <v>0</v>
      </c>
      <c r="D85" s="60"/>
      <c r="E85" s="64">
        <f>IF(ISBLANK(D85),0,ABS(Uzman_E!A$10-D85))</f>
        <v>0</v>
      </c>
      <c r="F85" s="55">
        <f>IF(ISBLANK(D85),0,INDEX(Tablo_E!$B$2:$CX$102,MATCH(ROUND(Uzman_E!A$10,1),Tablo_E!$A$2:$A$102,1),MATCH(ROUND(E85,1),Tablo_E!$B$1:$CX$1,1)))</f>
        <v>0</v>
      </c>
      <c r="G85" s="60"/>
      <c r="H85" s="64">
        <f>IF(ISBLANK(G85),0,ABS(Uzman_E!B$10-G85))</f>
        <v>0</v>
      </c>
      <c r="I85" s="55">
        <f>IF(ISBLANK(G85),0,INDEX(Tablo_E!$B$2:$CX$102,MATCH(ROUND(Uzman_E!B$10,1),Tablo_E!$A$2:$A$102,1),MATCH(ROUND(H85,1),Tablo_E!$B$1:$CX$1,1)))</f>
        <v>0</v>
      </c>
      <c r="J85" s="60"/>
      <c r="K85" s="64">
        <f>IF(ISBLANK(J85),0,ABS(Uzman_E!C$10-J85))</f>
        <v>0</v>
      </c>
      <c r="L85" s="55">
        <f>IF(ISBLANK(J85),0,INDEX(Tablo_E!$B$2:$CX$102,MATCH(ROUND(Uzman_E!C$10,1),Tablo_E!$A$2:$A$102,1),MATCH(ROUND(K85,1),Tablo_E!$B$1:$CX$1,1)))</f>
        <v>0</v>
      </c>
      <c r="M85" s="60"/>
      <c r="N85" s="64">
        <f>IF(ISBLANK(M85),0,ABS(Uzman_E!D$10-M85))</f>
        <v>0</v>
      </c>
      <c r="O85" s="55">
        <f>IF(ISBLANK(M85),0,INDEX(Tablo_E!$B$2:$CX$102,MATCH(ROUND(Uzman_E!D$10,1),Tablo_E!$A$2:$A$102,1),MATCH(ROUND(N85,1),Tablo_E!$B$1:$CX$1,1)))</f>
        <v>0</v>
      </c>
      <c r="P85" s="60"/>
      <c r="Q85" s="64">
        <f>IF(ISBLANK(P85),0,ABS(Uzman_E!E$10-P85))</f>
        <v>0</v>
      </c>
      <c r="R85" s="55">
        <f>IF(ISBLANK(P85),0,INDEX(Tablo_E!$B$2:$CX$102,MATCH(ROUND(Uzman_E!E$10,1),Tablo_E!$A$2:$A$102,1),MATCH(ROUND(Q85,1),Tablo_E!$B$1:$CX$1,1)))</f>
        <v>0</v>
      </c>
      <c r="S85" s="56">
        <f t="shared" si="1"/>
        <v>0</v>
      </c>
      <c r="T85" s="50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</row>
    <row r="86" spans="1:36" ht="15" customHeight="1" thickBot="1" x14ac:dyDescent="0.25">
      <c r="A86" s="57">
        <v>83</v>
      </c>
      <c r="B86" s="35">
        <f>Hakemler!B86</f>
        <v>0</v>
      </c>
      <c r="C86" s="63">
        <f>Hakemler!C86</f>
        <v>0</v>
      </c>
      <c r="D86" s="60"/>
      <c r="E86" s="64">
        <f>IF(ISBLANK(D86),0,ABS(Uzman_E!A$10-D86))</f>
        <v>0</v>
      </c>
      <c r="F86" s="55">
        <f>IF(ISBLANK(D86),0,INDEX(Tablo_E!$B$2:$CX$102,MATCH(ROUND(Uzman_E!A$10,1),Tablo_E!$A$2:$A$102,1),MATCH(ROUND(E86,1),Tablo_E!$B$1:$CX$1,1)))</f>
        <v>0</v>
      </c>
      <c r="G86" s="60"/>
      <c r="H86" s="64">
        <f>IF(ISBLANK(G86),0,ABS(Uzman_E!B$10-G86))</f>
        <v>0</v>
      </c>
      <c r="I86" s="55">
        <f>IF(ISBLANK(G86),0,INDEX(Tablo_E!$B$2:$CX$102,MATCH(ROUND(Uzman_E!B$10,1),Tablo_E!$A$2:$A$102,1),MATCH(ROUND(H86,1),Tablo_E!$B$1:$CX$1,1)))</f>
        <v>0</v>
      </c>
      <c r="J86" s="60"/>
      <c r="K86" s="64">
        <f>IF(ISBLANK(J86),0,ABS(Uzman_E!C$10-J86))</f>
        <v>0</v>
      </c>
      <c r="L86" s="55">
        <f>IF(ISBLANK(J86),0,INDEX(Tablo_E!$B$2:$CX$102,MATCH(ROUND(Uzman_E!C$10,1),Tablo_E!$A$2:$A$102,1),MATCH(ROUND(K86,1),Tablo_E!$B$1:$CX$1,1)))</f>
        <v>0</v>
      </c>
      <c r="M86" s="60"/>
      <c r="N86" s="64">
        <f>IF(ISBLANK(M86),0,ABS(Uzman_E!D$10-M86))</f>
        <v>0</v>
      </c>
      <c r="O86" s="55">
        <f>IF(ISBLANK(M86),0,INDEX(Tablo_E!$B$2:$CX$102,MATCH(ROUND(Uzman_E!D$10,1),Tablo_E!$A$2:$A$102,1),MATCH(ROUND(N86,1),Tablo_E!$B$1:$CX$1,1)))</f>
        <v>0</v>
      </c>
      <c r="P86" s="60"/>
      <c r="Q86" s="64">
        <f>IF(ISBLANK(P86),0,ABS(Uzman_E!E$10-P86))</f>
        <v>0</v>
      </c>
      <c r="R86" s="55">
        <f>IF(ISBLANK(P86),0,INDEX(Tablo_E!$B$2:$CX$102,MATCH(ROUND(Uzman_E!E$10,1),Tablo_E!$A$2:$A$102,1),MATCH(ROUND(Q86,1),Tablo_E!$B$1:$CX$1,1)))</f>
        <v>0</v>
      </c>
      <c r="S86" s="56">
        <f t="shared" si="1"/>
        <v>0</v>
      </c>
      <c r="T86" s="50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</row>
    <row r="87" spans="1:36" ht="15" customHeight="1" thickBot="1" x14ac:dyDescent="0.25">
      <c r="A87" s="57">
        <v>84</v>
      </c>
      <c r="B87" s="35">
        <f>Hakemler!B87</f>
        <v>0</v>
      </c>
      <c r="C87" s="63">
        <f>Hakemler!C87</f>
        <v>0</v>
      </c>
      <c r="D87" s="60"/>
      <c r="E87" s="64">
        <f>IF(ISBLANK(D87),0,ABS(Uzman_E!A$10-D87))</f>
        <v>0</v>
      </c>
      <c r="F87" s="55">
        <f>IF(ISBLANK(D87),0,INDEX(Tablo_E!$B$2:$CX$102,MATCH(ROUND(Uzman_E!A$10,1),Tablo_E!$A$2:$A$102,1),MATCH(ROUND(E87,1),Tablo_E!$B$1:$CX$1,1)))</f>
        <v>0</v>
      </c>
      <c r="G87" s="60"/>
      <c r="H87" s="64">
        <f>IF(ISBLANK(G87),0,ABS(Uzman_E!B$10-G87))</f>
        <v>0</v>
      </c>
      <c r="I87" s="55">
        <f>IF(ISBLANK(G87),0,INDEX(Tablo_E!$B$2:$CX$102,MATCH(ROUND(Uzman_E!B$10,1),Tablo_E!$A$2:$A$102,1),MATCH(ROUND(H87,1),Tablo_E!$B$1:$CX$1,1)))</f>
        <v>0</v>
      </c>
      <c r="J87" s="60"/>
      <c r="K87" s="64">
        <f>IF(ISBLANK(J87),0,ABS(Uzman_E!C$10-J87))</f>
        <v>0</v>
      </c>
      <c r="L87" s="55">
        <f>IF(ISBLANK(J87),0,INDEX(Tablo_E!$B$2:$CX$102,MATCH(ROUND(Uzman_E!C$10,1),Tablo_E!$A$2:$A$102,1),MATCH(ROUND(K87,1),Tablo_E!$B$1:$CX$1,1)))</f>
        <v>0</v>
      </c>
      <c r="M87" s="60"/>
      <c r="N87" s="64">
        <f>IF(ISBLANK(M87),0,ABS(Uzman_E!D$10-M87))</f>
        <v>0</v>
      </c>
      <c r="O87" s="55">
        <f>IF(ISBLANK(M87),0,INDEX(Tablo_E!$B$2:$CX$102,MATCH(ROUND(Uzman_E!D$10,1),Tablo_E!$A$2:$A$102,1),MATCH(ROUND(N87,1),Tablo_E!$B$1:$CX$1,1)))</f>
        <v>0</v>
      </c>
      <c r="P87" s="60"/>
      <c r="Q87" s="64">
        <f>IF(ISBLANK(P87),0,ABS(Uzman_E!E$10-P87))</f>
        <v>0</v>
      </c>
      <c r="R87" s="55">
        <f>IF(ISBLANK(P87),0,INDEX(Tablo_E!$B$2:$CX$102,MATCH(ROUND(Uzman_E!E$10,1),Tablo_E!$A$2:$A$102,1),MATCH(ROUND(Q87,1),Tablo_E!$B$1:$CX$1,1)))</f>
        <v>0</v>
      </c>
      <c r="S87" s="56">
        <f t="shared" si="1"/>
        <v>0</v>
      </c>
      <c r="T87" s="50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</row>
    <row r="88" spans="1:36" ht="15" customHeight="1" thickBot="1" x14ac:dyDescent="0.25">
      <c r="A88" s="57">
        <v>85</v>
      </c>
      <c r="B88" s="35">
        <f>Hakemler!B88</f>
        <v>0</v>
      </c>
      <c r="C88" s="63">
        <f>Hakemler!C88</f>
        <v>0</v>
      </c>
      <c r="D88" s="60"/>
      <c r="E88" s="64">
        <f>IF(ISBLANK(D88),0,ABS(Uzman_E!A$10-D88))</f>
        <v>0</v>
      </c>
      <c r="F88" s="55">
        <f>IF(ISBLANK(D88),0,INDEX(Tablo_E!$B$2:$CX$102,MATCH(ROUND(Uzman_E!A$10,1),Tablo_E!$A$2:$A$102,1),MATCH(ROUND(E88,1),Tablo_E!$B$1:$CX$1,1)))</f>
        <v>0</v>
      </c>
      <c r="G88" s="60"/>
      <c r="H88" s="64">
        <f>IF(ISBLANK(G88),0,ABS(Uzman_E!B$10-G88))</f>
        <v>0</v>
      </c>
      <c r="I88" s="55">
        <f>IF(ISBLANK(G88),0,INDEX(Tablo_E!$B$2:$CX$102,MATCH(ROUND(Uzman_E!B$10,1),Tablo_E!$A$2:$A$102,1),MATCH(ROUND(H88,1),Tablo_E!$B$1:$CX$1,1)))</f>
        <v>0</v>
      </c>
      <c r="J88" s="60"/>
      <c r="K88" s="64">
        <f>IF(ISBLANK(J88),0,ABS(Uzman_E!C$10-J88))</f>
        <v>0</v>
      </c>
      <c r="L88" s="55">
        <f>IF(ISBLANK(J88),0,INDEX(Tablo_E!$B$2:$CX$102,MATCH(ROUND(Uzman_E!C$10,1),Tablo_E!$A$2:$A$102,1),MATCH(ROUND(K88,1),Tablo_E!$B$1:$CX$1,1)))</f>
        <v>0</v>
      </c>
      <c r="M88" s="60"/>
      <c r="N88" s="64">
        <f>IF(ISBLANK(M88),0,ABS(Uzman_E!D$10-M88))</f>
        <v>0</v>
      </c>
      <c r="O88" s="55">
        <f>IF(ISBLANK(M88),0,INDEX(Tablo_E!$B$2:$CX$102,MATCH(ROUND(Uzman_E!D$10,1),Tablo_E!$A$2:$A$102,1),MATCH(ROUND(N88,1),Tablo_E!$B$1:$CX$1,1)))</f>
        <v>0</v>
      </c>
      <c r="P88" s="60"/>
      <c r="Q88" s="64">
        <f>IF(ISBLANK(P88),0,ABS(Uzman_E!E$10-P88))</f>
        <v>0</v>
      </c>
      <c r="R88" s="55">
        <f>IF(ISBLANK(P88),0,INDEX(Tablo_E!$B$2:$CX$102,MATCH(ROUND(Uzman_E!E$10,1),Tablo_E!$A$2:$A$102,1),MATCH(ROUND(Q88,1),Tablo_E!$B$1:$CX$1,1)))</f>
        <v>0</v>
      </c>
      <c r="S88" s="56">
        <f t="shared" si="1"/>
        <v>0</v>
      </c>
      <c r="T88" s="50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</row>
    <row r="89" spans="1:36" ht="15" customHeight="1" thickBot="1" x14ac:dyDescent="0.25">
      <c r="A89" s="57">
        <v>86</v>
      </c>
      <c r="B89" s="35">
        <f>Hakemler!B89</f>
        <v>0</v>
      </c>
      <c r="C89" s="63">
        <f>Hakemler!C89</f>
        <v>0</v>
      </c>
      <c r="D89" s="60"/>
      <c r="E89" s="64">
        <f>IF(ISBLANK(D89),0,ABS(Uzman_E!A$10-D89))</f>
        <v>0</v>
      </c>
      <c r="F89" s="55">
        <f>IF(ISBLANK(D89),0,INDEX(Tablo_E!$B$2:$CX$102,MATCH(ROUND(Uzman_E!A$10,1),Tablo_E!$A$2:$A$102,1),MATCH(ROUND(E89,1),Tablo_E!$B$1:$CX$1,1)))</f>
        <v>0</v>
      </c>
      <c r="G89" s="60"/>
      <c r="H89" s="64">
        <f>IF(ISBLANK(G89),0,ABS(Uzman_E!B$10-G89))</f>
        <v>0</v>
      </c>
      <c r="I89" s="55">
        <f>IF(ISBLANK(G89),0,INDEX(Tablo_E!$B$2:$CX$102,MATCH(ROUND(Uzman_E!B$10,1),Tablo_E!$A$2:$A$102,1),MATCH(ROUND(H89,1),Tablo_E!$B$1:$CX$1,1)))</f>
        <v>0</v>
      </c>
      <c r="J89" s="60"/>
      <c r="K89" s="64">
        <f>IF(ISBLANK(J89),0,ABS(Uzman_E!C$10-J89))</f>
        <v>0</v>
      </c>
      <c r="L89" s="55">
        <f>IF(ISBLANK(J89),0,INDEX(Tablo_E!$B$2:$CX$102,MATCH(ROUND(Uzman_E!C$10,1),Tablo_E!$A$2:$A$102,1),MATCH(ROUND(K89,1),Tablo_E!$B$1:$CX$1,1)))</f>
        <v>0</v>
      </c>
      <c r="M89" s="60"/>
      <c r="N89" s="64">
        <f>IF(ISBLANK(M89),0,ABS(Uzman_E!D$10-M89))</f>
        <v>0</v>
      </c>
      <c r="O89" s="55">
        <f>IF(ISBLANK(M89),0,INDEX(Tablo_E!$B$2:$CX$102,MATCH(ROUND(Uzman_E!D$10,1),Tablo_E!$A$2:$A$102,1),MATCH(ROUND(N89,1),Tablo_E!$B$1:$CX$1,1)))</f>
        <v>0</v>
      </c>
      <c r="P89" s="60"/>
      <c r="Q89" s="64">
        <f>IF(ISBLANK(P89),0,ABS(Uzman_E!E$10-P89))</f>
        <v>0</v>
      </c>
      <c r="R89" s="55">
        <f>IF(ISBLANK(P89),0,INDEX(Tablo_E!$B$2:$CX$102,MATCH(ROUND(Uzman_E!E$10,1),Tablo_E!$A$2:$A$102,1),MATCH(ROUND(Q89,1),Tablo_E!$B$1:$CX$1,1)))</f>
        <v>0</v>
      </c>
      <c r="S89" s="56">
        <f t="shared" si="1"/>
        <v>0</v>
      </c>
      <c r="T89" s="50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</row>
    <row r="90" spans="1:36" ht="15" customHeight="1" thickBot="1" x14ac:dyDescent="0.25">
      <c r="A90" s="57">
        <v>87</v>
      </c>
      <c r="B90" s="35">
        <f>Hakemler!B90</f>
        <v>0</v>
      </c>
      <c r="C90" s="63">
        <f>Hakemler!C90</f>
        <v>0</v>
      </c>
      <c r="D90" s="60"/>
      <c r="E90" s="64">
        <f>IF(ISBLANK(D90),0,ABS(Uzman_E!A$10-D90))</f>
        <v>0</v>
      </c>
      <c r="F90" s="55">
        <f>IF(ISBLANK(D90),0,INDEX(Tablo_E!$B$2:$CX$102,MATCH(ROUND(Uzman_E!A$10,1),Tablo_E!$A$2:$A$102,1),MATCH(ROUND(E90,1),Tablo_E!$B$1:$CX$1,1)))</f>
        <v>0</v>
      </c>
      <c r="G90" s="60"/>
      <c r="H90" s="64">
        <f>IF(ISBLANK(G90),0,ABS(Uzman_E!B$10-G90))</f>
        <v>0</v>
      </c>
      <c r="I90" s="55">
        <f>IF(ISBLANK(G90),0,INDEX(Tablo_E!$B$2:$CX$102,MATCH(ROUND(Uzman_E!B$10,1),Tablo_E!$A$2:$A$102,1),MATCH(ROUND(H90,1),Tablo_E!$B$1:$CX$1,1)))</f>
        <v>0</v>
      </c>
      <c r="J90" s="60"/>
      <c r="K90" s="64">
        <f>IF(ISBLANK(J90),0,ABS(Uzman_E!C$10-J90))</f>
        <v>0</v>
      </c>
      <c r="L90" s="55">
        <f>IF(ISBLANK(J90),0,INDEX(Tablo_E!$B$2:$CX$102,MATCH(ROUND(Uzman_E!C$10,1),Tablo_E!$A$2:$A$102,1),MATCH(ROUND(K90,1),Tablo_E!$B$1:$CX$1,1)))</f>
        <v>0</v>
      </c>
      <c r="M90" s="60"/>
      <c r="N90" s="64">
        <f>IF(ISBLANK(M90),0,ABS(Uzman_E!D$10-M90))</f>
        <v>0</v>
      </c>
      <c r="O90" s="55">
        <f>IF(ISBLANK(M90),0,INDEX(Tablo_E!$B$2:$CX$102,MATCH(ROUND(Uzman_E!D$10,1),Tablo_E!$A$2:$A$102,1),MATCH(ROUND(N90,1),Tablo_E!$B$1:$CX$1,1)))</f>
        <v>0</v>
      </c>
      <c r="P90" s="60"/>
      <c r="Q90" s="64">
        <f>IF(ISBLANK(P90),0,ABS(Uzman_E!E$10-P90))</f>
        <v>0</v>
      </c>
      <c r="R90" s="55">
        <f>IF(ISBLANK(P90),0,INDEX(Tablo_E!$B$2:$CX$102,MATCH(ROUND(Uzman_E!E$10,1),Tablo_E!$A$2:$A$102,1),MATCH(ROUND(Q90,1),Tablo_E!$B$1:$CX$1,1)))</f>
        <v>0</v>
      </c>
      <c r="S90" s="56">
        <f t="shared" si="1"/>
        <v>0</v>
      </c>
      <c r="T90" s="50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</row>
    <row r="91" spans="1:36" ht="15" customHeight="1" thickBot="1" x14ac:dyDescent="0.25">
      <c r="A91" s="57">
        <v>88</v>
      </c>
      <c r="B91" s="35">
        <f>Hakemler!B91</f>
        <v>0</v>
      </c>
      <c r="C91" s="63">
        <f>Hakemler!C91</f>
        <v>0</v>
      </c>
      <c r="D91" s="60"/>
      <c r="E91" s="64">
        <f>IF(ISBLANK(D91),0,ABS(Uzman_E!A$10-D91))</f>
        <v>0</v>
      </c>
      <c r="F91" s="55">
        <f>IF(ISBLANK(D91),0,INDEX(Tablo_E!$B$2:$CX$102,MATCH(ROUND(Uzman_E!A$10,1),Tablo_E!$A$2:$A$102,1),MATCH(ROUND(E91,1),Tablo_E!$B$1:$CX$1,1)))</f>
        <v>0</v>
      </c>
      <c r="G91" s="60"/>
      <c r="H91" s="64">
        <f>IF(ISBLANK(G91),0,ABS(Uzman_E!B$10-G91))</f>
        <v>0</v>
      </c>
      <c r="I91" s="55">
        <f>IF(ISBLANK(G91),0,INDEX(Tablo_E!$B$2:$CX$102,MATCH(ROUND(Uzman_E!B$10,1),Tablo_E!$A$2:$A$102,1),MATCH(ROUND(H91,1),Tablo_E!$B$1:$CX$1,1)))</f>
        <v>0</v>
      </c>
      <c r="J91" s="60"/>
      <c r="K91" s="64">
        <f>IF(ISBLANK(J91),0,ABS(Uzman_E!C$10-J91))</f>
        <v>0</v>
      </c>
      <c r="L91" s="55">
        <f>IF(ISBLANK(J91),0,INDEX(Tablo_E!$B$2:$CX$102,MATCH(ROUND(Uzman_E!C$10,1),Tablo_E!$A$2:$A$102,1),MATCH(ROUND(K91,1),Tablo_E!$B$1:$CX$1,1)))</f>
        <v>0</v>
      </c>
      <c r="M91" s="60"/>
      <c r="N91" s="64">
        <f>IF(ISBLANK(M91),0,ABS(Uzman_E!D$10-M91))</f>
        <v>0</v>
      </c>
      <c r="O91" s="55">
        <f>IF(ISBLANK(M91),0,INDEX(Tablo_E!$B$2:$CX$102,MATCH(ROUND(Uzman_E!D$10,1),Tablo_E!$A$2:$A$102,1),MATCH(ROUND(N91,1),Tablo_E!$B$1:$CX$1,1)))</f>
        <v>0</v>
      </c>
      <c r="P91" s="60"/>
      <c r="Q91" s="64">
        <f>IF(ISBLANK(P91),0,ABS(Uzman_E!E$10-P91))</f>
        <v>0</v>
      </c>
      <c r="R91" s="55">
        <f>IF(ISBLANK(P91),0,INDEX(Tablo_E!$B$2:$CX$102,MATCH(ROUND(Uzman_E!E$10,1),Tablo_E!$A$2:$A$102,1),MATCH(ROUND(Q91,1),Tablo_E!$B$1:$CX$1,1)))</f>
        <v>0</v>
      </c>
      <c r="S91" s="56">
        <f t="shared" si="1"/>
        <v>0</v>
      </c>
      <c r="T91" s="50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</row>
    <row r="92" spans="1:36" ht="15" customHeight="1" thickBot="1" x14ac:dyDescent="0.25">
      <c r="A92" s="57">
        <v>89</v>
      </c>
      <c r="B92" s="35">
        <f>Hakemler!B92</f>
        <v>0</v>
      </c>
      <c r="C92" s="63">
        <f>Hakemler!C92</f>
        <v>0</v>
      </c>
      <c r="D92" s="60"/>
      <c r="E92" s="64">
        <f>IF(ISBLANK(D92),0,ABS(Uzman_E!A$10-D92))</f>
        <v>0</v>
      </c>
      <c r="F92" s="55">
        <f>IF(ISBLANK(D92),0,INDEX(Tablo_E!$B$2:$CX$102,MATCH(ROUND(Uzman_E!A$10,1),Tablo_E!$A$2:$A$102,1),MATCH(ROUND(E92,1),Tablo_E!$B$1:$CX$1,1)))</f>
        <v>0</v>
      </c>
      <c r="G92" s="60"/>
      <c r="H92" s="64">
        <f>IF(ISBLANK(G92),0,ABS(Uzman_E!B$10-G92))</f>
        <v>0</v>
      </c>
      <c r="I92" s="55">
        <f>IF(ISBLANK(G92),0,INDEX(Tablo_E!$B$2:$CX$102,MATCH(ROUND(Uzman_E!B$10,1),Tablo_E!$A$2:$A$102,1),MATCH(ROUND(H92,1),Tablo_E!$B$1:$CX$1,1)))</f>
        <v>0</v>
      </c>
      <c r="J92" s="60"/>
      <c r="K92" s="64">
        <f>IF(ISBLANK(J92),0,ABS(Uzman_E!C$10-J92))</f>
        <v>0</v>
      </c>
      <c r="L92" s="55">
        <f>IF(ISBLANK(J92),0,INDEX(Tablo_E!$B$2:$CX$102,MATCH(ROUND(Uzman_E!C$10,1),Tablo_E!$A$2:$A$102,1),MATCH(ROUND(K92,1),Tablo_E!$B$1:$CX$1,1)))</f>
        <v>0</v>
      </c>
      <c r="M92" s="60"/>
      <c r="N92" s="64">
        <f>IF(ISBLANK(M92),0,ABS(Uzman_E!D$10-M92))</f>
        <v>0</v>
      </c>
      <c r="O92" s="55">
        <f>IF(ISBLANK(M92),0,INDEX(Tablo_E!$B$2:$CX$102,MATCH(ROUND(Uzman_E!D$10,1),Tablo_E!$A$2:$A$102,1),MATCH(ROUND(N92,1),Tablo_E!$B$1:$CX$1,1)))</f>
        <v>0</v>
      </c>
      <c r="P92" s="60"/>
      <c r="Q92" s="64">
        <f>IF(ISBLANK(P92),0,ABS(Uzman_E!E$10-P92))</f>
        <v>0</v>
      </c>
      <c r="R92" s="55">
        <f>IF(ISBLANK(P92),0,INDEX(Tablo_E!$B$2:$CX$102,MATCH(ROUND(Uzman_E!E$10,1),Tablo_E!$A$2:$A$102,1),MATCH(ROUND(Q92,1),Tablo_E!$B$1:$CX$1,1)))</f>
        <v>0</v>
      </c>
      <c r="S92" s="56">
        <f t="shared" si="1"/>
        <v>0</v>
      </c>
      <c r="T92" s="50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</row>
    <row r="93" spans="1:36" ht="15" customHeight="1" thickBot="1" x14ac:dyDescent="0.25">
      <c r="A93" s="57">
        <v>90</v>
      </c>
      <c r="B93" s="35">
        <f>Hakemler!B93</f>
        <v>0</v>
      </c>
      <c r="C93" s="63">
        <f>Hakemler!C93</f>
        <v>0</v>
      </c>
      <c r="D93" s="60"/>
      <c r="E93" s="64">
        <f>IF(ISBLANK(D93),0,ABS(Uzman_E!A$10-D93))</f>
        <v>0</v>
      </c>
      <c r="F93" s="55">
        <f>IF(ISBLANK(D93),0,INDEX(Tablo_E!$B$2:$CX$102,MATCH(ROUND(Uzman_E!A$10,1),Tablo_E!$A$2:$A$102,1),MATCH(ROUND(E93,1),Tablo_E!$B$1:$CX$1,1)))</f>
        <v>0</v>
      </c>
      <c r="G93" s="60"/>
      <c r="H93" s="64">
        <f>IF(ISBLANK(G93),0,ABS(Uzman_E!B$10-G93))</f>
        <v>0</v>
      </c>
      <c r="I93" s="55">
        <f>IF(ISBLANK(G93),0,INDEX(Tablo_E!$B$2:$CX$102,MATCH(ROUND(Uzman_E!B$10,1),Tablo_E!$A$2:$A$102,1),MATCH(ROUND(H93,1),Tablo_E!$B$1:$CX$1,1)))</f>
        <v>0</v>
      </c>
      <c r="J93" s="60"/>
      <c r="K93" s="64">
        <f>IF(ISBLANK(J93),0,ABS(Uzman_E!C$10-J93))</f>
        <v>0</v>
      </c>
      <c r="L93" s="55">
        <f>IF(ISBLANK(J93),0,INDEX(Tablo_E!$B$2:$CX$102,MATCH(ROUND(Uzman_E!C$10,1),Tablo_E!$A$2:$A$102,1),MATCH(ROUND(K93,1),Tablo_E!$B$1:$CX$1,1)))</f>
        <v>0</v>
      </c>
      <c r="M93" s="60"/>
      <c r="N93" s="64">
        <f>IF(ISBLANK(M93),0,ABS(Uzman_E!D$10-M93))</f>
        <v>0</v>
      </c>
      <c r="O93" s="55">
        <f>IF(ISBLANK(M93),0,INDEX(Tablo_E!$B$2:$CX$102,MATCH(ROUND(Uzman_E!D$10,1),Tablo_E!$A$2:$A$102,1),MATCH(ROUND(N93,1),Tablo_E!$B$1:$CX$1,1)))</f>
        <v>0</v>
      </c>
      <c r="P93" s="60"/>
      <c r="Q93" s="64">
        <f>IF(ISBLANK(P93),0,ABS(Uzman_E!E$10-P93))</f>
        <v>0</v>
      </c>
      <c r="R93" s="55">
        <f>IF(ISBLANK(P93),0,INDEX(Tablo_E!$B$2:$CX$102,MATCH(ROUND(Uzman_E!E$10,1),Tablo_E!$A$2:$A$102,1),MATCH(ROUND(Q93,1),Tablo_E!$B$1:$CX$1,1)))</f>
        <v>0</v>
      </c>
      <c r="S93" s="56">
        <f t="shared" si="1"/>
        <v>0</v>
      </c>
      <c r="T93" s="50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ht="15" customHeight="1" thickBot="1" x14ac:dyDescent="0.25">
      <c r="A94" s="57">
        <v>91</v>
      </c>
      <c r="B94" s="35">
        <f>Hakemler!B94</f>
        <v>0</v>
      </c>
      <c r="C94" s="63">
        <f>Hakemler!C94</f>
        <v>0</v>
      </c>
      <c r="D94" s="60"/>
      <c r="E94" s="64">
        <f>IF(ISBLANK(D94),0,ABS(Uzman_E!A$10-D94))</f>
        <v>0</v>
      </c>
      <c r="F94" s="55">
        <f>IF(ISBLANK(D94),0,INDEX(Tablo_E!$B$2:$CX$102,MATCH(ROUND(Uzman_E!A$10,1),Tablo_E!$A$2:$A$102,1),MATCH(ROUND(E94,1),Tablo_E!$B$1:$CX$1,1)))</f>
        <v>0</v>
      </c>
      <c r="G94" s="60"/>
      <c r="H94" s="64">
        <f>IF(ISBLANK(G94),0,ABS(Uzman_E!B$10-G94))</f>
        <v>0</v>
      </c>
      <c r="I94" s="55">
        <f>IF(ISBLANK(G94),0,INDEX(Tablo_E!$B$2:$CX$102,MATCH(ROUND(Uzman_E!B$10,1),Tablo_E!$A$2:$A$102,1),MATCH(ROUND(H94,1),Tablo_E!$B$1:$CX$1,1)))</f>
        <v>0</v>
      </c>
      <c r="J94" s="60"/>
      <c r="K94" s="64">
        <f>IF(ISBLANK(J94),0,ABS(Uzman_E!C$10-J94))</f>
        <v>0</v>
      </c>
      <c r="L94" s="55">
        <f>IF(ISBLANK(J94),0,INDEX(Tablo_E!$B$2:$CX$102,MATCH(ROUND(Uzman_E!C$10,1),Tablo_E!$A$2:$A$102,1),MATCH(ROUND(K94,1),Tablo_E!$B$1:$CX$1,1)))</f>
        <v>0</v>
      </c>
      <c r="M94" s="60"/>
      <c r="N94" s="64">
        <f>IF(ISBLANK(M94),0,ABS(Uzman_E!D$10-M94))</f>
        <v>0</v>
      </c>
      <c r="O94" s="55">
        <f>IF(ISBLANK(M94),0,INDEX(Tablo_E!$B$2:$CX$102,MATCH(ROUND(Uzman_E!D$10,1),Tablo_E!$A$2:$A$102,1),MATCH(ROUND(N94,1),Tablo_E!$B$1:$CX$1,1)))</f>
        <v>0</v>
      </c>
      <c r="P94" s="60"/>
      <c r="Q94" s="64">
        <f>IF(ISBLANK(P94),0,ABS(Uzman_E!E$10-P94))</f>
        <v>0</v>
      </c>
      <c r="R94" s="55">
        <f>IF(ISBLANK(P94),0,INDEX(Tablo_E!$B$2:$CX$102,MATCH(ROUND(Uzman_E!E$10,1),Tablo_E!$A$2:$A$102,1),MATCH(ROUND(Q94,1),Tablo_E!$B$1:$CX$1,1)))</f>
        <v>0</v>
      </c>
      <c r="S94" s="56">
        <f t="shared" si="1"/>
        <v>0</v>
      </c>
      <c r="T94" s="50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ht="15" customHeight="1" thickBot="1" x14ac:dyDescent="0.25">
      <c r="A95" s="57">
        <v>92</v>
      </c>
      <c r="B95" s="35">
        <f>Hakemler!B95</f>
        <v>0</v>
      </c>
      <c r="C95" s="63">
        <f>Hakemler!C95</f>
        <v>0</v>
      </c>
      <c r="D95" s="60"/>
      <c r="E95" s="64">
        <f>IF(ISBLANK(D95),0,ABS(Uzman_E!A$10-D95))</f>
        <v>0</v>
      </c>
      <c r="F95" s="55">
        <f>IF(ISBLANK(D95),0,INDEX(Tablo_E!$B$2:$CX$102,MATCH(ROUND(Uzman_E!A$10,1),Tablo_E!$A$2:$A$102,1),MATCH(ROUND(E95,1),Tablo_E!$B$1:$CX$1,1)))</f>
        <v>0</v>
      </c>
      <c r="G95" s="60"/>
      <c r="H95" s="64">
        <f>IF(ISBLANK(G95),0,ABS(Uzman_E!B$10-G95))</f>
        <v>0</v>
      </c>
      <c r="I95" s="55">
        <f>IF(ISBLANK(G95),0,INDEX(Tablo_E!$B$2:$CX$102,MATCH(ROUND(Uzman_E!B$10,1),Tablo_E!$A$2:$A$102,1),MATCH(ROUND(H95,1),Tablo_E!$B$1:$CX$1,1)))</f>
        <v>0</v>
      </c>
      <c r="J95" s="60"/>
      <c r="K95" s="64">
        <f>IF(ISBLANK(J95),0,ABS(Uzman_E!C$10-J95))</f>
        <v>0</v>
      </c>
      <c r="L95" s="55">
        <f>IF(ISBLANK(J95),0,INDEX(Tablo_E!$B$2:$CX$102,MATCH(ROUND(Uzman_E!C$10,1),Tablo_E!$A$2:$A$102,1),MATCH(ROUND(K95,1),Tablo_E!$B$1:$CX$1,1)))</f>
        <v>0</v>
      </c>
      <c r="M95" s="60"/>
      <c r="N95" s="64">
        <f>IF(ISBLANK(M95),0,ABS(Uzman_E!D$10-M95))</f>
        <v>0</v>
      </c>
      <c r="O95" s="55">
        <f>IF(ISBLANK(M95),0,INDEX(Tablo_E!$B$2:$CX$102,MATCH(ROUND(Uzman_E!D$10,1),Tablo_E!$A$2:$A$102,1),MATCH(ROUND(N95,1),Tablo_E!$B$1:$CX$1,1)))</f>
        <v>0</v>
      </c>
      <c r="P95" s="60"/>
      <c r="Q95" s="64">
        <f>IF(ISBLANK(P95),0,ABS(Uzman_E!E$10-P95))</f>
        <v>0</v>
      </c>
      <c r="R95" s="55">
        <f>IF(ISBLANK(P95),0,INDEX(Tablo_E!$B$2:$CX$102,MATCH(ROUND(Uzman_E!E$10,1),Tablo_E!$A$2:$A$102,1),MATCH(ROUND(Q95,1),Tablo_E!$B$1:$CX$1,1)))</f>
        <v>0</v>
      </c>
      <c r="S95" s="56">
        <f t="shared" si="1"/>
        <v>0</v>
      </c>
      <c r="T95" s="50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spans="1:36" ht="15" customHeight="1" thickBot="1" x14ac:dyDescent="0.25">
      <c r="A96" s="57">
        <v>93</v>
      </c>
      <c r="B96" s="35">
        <f>Hakemler!B96</f>
        <v>0</v>
      </c>
      <c r="C96" s="63">
        <f>Hakemler!C96</f>
        <v>0</v>
      </c>
      <c r="D96" s="60"/>
      <c r="E96" s="64">
        <f>IF(ISBLANK(D96),0,ABS(Uzman_E!A$10-D96))</f>
        <v>0</v>
      </c>
      <c r="F96" s="55">
        <f>IF(ISBLANK(D96),0,INDEX(Tablo_E!$B$2:$CX$102,MATCH(ROUND(Uzman_E!A$10,1),Tablo_E!$A$2:$A$102,1),MATCH(ROUND(E96,1),Tablo_E!$B$1:$CX$1,1)))</f>
        <v>0</v>
      </c>
      <c r="G96" s="60"/>
      <c r="H96" s="64">
        <f>IF(ISBLANK(G96),0,ABS(Uzman_E!B$10-G96))</f>
        <v>0</v>
      </c>
      <c r="I96" s="55">
        <f>IF(ISBLANK(G96),0,INDEX(Tablo_E!$B$2:$CX$102,MATCH(ROUND(Uzman_E!B$10,1),Tablo_E!$A$2:$A$102,1),MATCH(ROUND(H96,1),Tablo_E!$B$1:$CX$1,1)))</f>
        <v>0</v>
      </c>
      <c r="J96" s="60"/>
      <c r="K96" s="64">
        <f>IF(ISBLANK(J96),0,ABS(Uzman_E!C$10-J96))</f>
        <v>0</v>
      </c>
      <c r="L96" s="55">
        <f>IF(ISBLANK(J96),0,INDEX(Tablo_E!$B$2:$CX$102,MATCH(ROUND(Uzman_E!C$10,1),Tablo_E!$A$2:$A$102,1),MATCH(ROUND(K96,1),Tablo_E!$B$1:$CX$1,1)))</f>
        <v>0</v>
      </c>
      <c r="M96" s="60"/>
      <c r="N96" s="64">
        <f>IF(ISBLANK(M96),0,ABS(Uzman_E!D$10-M96))</f>
        <v>0</v>
      </c>
      <c r="O96" s="55">
        <f>IF(ISBLANK(M96),0,INDEX(Tablo_E!$B$2:$CX$102,MATCH(ROUND(Uzman_E!D$10,1),Tablo_E!$A$2:$A$102,1),MATCH(ROUND(N96,1),Tablo_E!$B$1:$CX$1,1)))</f>
        <v>0</v>
      </c>
      <c r="P96" s="60"/>
      <c r="Q96" s="64">
        <f>IF(ISBLANK(P96),0,ABS(Uzman_E!E$10-P96))</f>
        <v>0</v>
      </c>
      <c r="R96" s="55">
        <f>IF(ISBLANK(P96),0,INDEX(Tablo_E!$B$2:$CX$102,MATCH(ROUND(Uzman_E!E$10,1),Tablo_E!$A$2:$A$102,1),MATCH(ROUND(Q96,1),Tablo_E!$B$1:$CX$1,1)))</f>
        <v>0</v>
      </c>
      <c r="S96" s="56">
        <f t="shared" si="1"/>
        <v>0</v>
      </c>
      <c r="T96" s="50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</row>
    <row r="97" spans="1:36" ht="15" customHeight="1" thickBot="1" x14ac:dyDescent="0.25">
      <c r="A97" s="57">
        <v>94</v>
      </c>
      <c r="B97" s="35">
        <f>Hakemler!B97</f>
        <v>0</v>
      </c>
      <c r="C97" s="63">
        <f>Hakemler!C97</f>
        <v>0</v>
      </c>
      <c r="D97" s="60"/>
      <c r="E97" s="64">
        <f>IF(ISBLANK(D97),0,ABS(Uzman_E!A$10-D97))</f>
        <v>0</v>
      </c>
      <c r="F97" s="55">
        <f>IF(ISBLANK(D97),0,INDEX(Tablo_E!$B$2:$CX$102,MATCH(ROUND(Uzman_E!A$10,1),Tablo_E!$A$2:$A$102,1),MATCH(ROUND(E97,1),Tablo_E!$B$1:$CX$1,1)))</f>
        <v>0</v>
      </c>
      <c r="G97" s="60"/>
      <c r="H97" s="64">
        <f>IF(ISBLANK(G97),0,ABS(Uzman_E!B$10-G97))</f>
        <v>0</v>
      </c>
      <c r="I97" s="55">
        <f>IF(ISBLANK(G97),0,INDEX(Tablo_E!$B$2:$CX$102,MATCH(ROUND(Uzman_E!B$10,1),Tablo_E!$A$2:$A$102,1),MATCH(ROUND(H97,1),Tablo_E!$B$1:$CX$1,1)))</f>
        <v>0</v>
      </c>
      <c r="J97" s="60"/>
      <c r="K97" s="64">
        <f>IF(ISBLANK(J97),0,ABS(Uzman_E!C$10-J97))</f>
        <v>0</v>
      </c>
      <c r="L97" s="55">
        <f>IF(ISBLANK(J97),0,INDEX(Tablo_E!$B$2:$CX$102,MATCH(ROUND(Uzman_E!C$10,1),Tablo_E!$A$2:$A$102,1),MATCH(ROUND(K97,1),Tablo_E!$B$1:$CX$1,1)))</f>
        <v>0</v>
      </c>
      <c r="M97" s="60"/>
      <c r="N97" s="64">
        <f>IF(ISBLANK(M97),0,ABS(Uzman_E!D$10-M97))</f>
        <v>0</v>
      </c>
      <c r="O97" s="55">
        <f>IF(ISBLANK(M97),0,INDEX(Tablo_E!$B$2:$CX$102,MATCH(ROUND(Uzman_E!D$10,1),Tablo_E!$A$2:$A$102,1),MATCH(ROUND(N97,1),Tablo_E!$B$1:$CX$1,1)))</f>
        <v>0</v>
      </c>
      <c r="P97" s="60"/>
      <c r="Q97" s="64">
        <f>IF(ISBLANK(P97),0,ABS(Uzman_E!E$10-P97))</f>
        <v>0</v>
      </c>
      <c r="R97" s="55">
        <f>IF(ISBLANK(P97),0,INDEX(Tablo_E!$B$2:$CX$102,MATCH(ROUND(Uzman_E!E$10,1),Tablo_E!$A$2:$A$102,1),MATCH(ROUND(Q97,1),Tablo_E!$B$1:$CX$1,1)))</f>
        <v>0</v>
      </c>
      <c r="S97" s="56">
        <f t="shared" si="1"/>
        <v>0</v>
      </c>
      <c r="T97" s="50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</row>
    <row r="98" spans="1:36" ht="15" customHeight="1" thickBot="1" x14ac:dyDescent="0.25">
      <c r="A98" s="57">
        <v>95</v>
      </c>
      <c r="B98" s="35">
        <f>Hakemler!B98</f>
        <v>0</v>
      </c>
      <c r="C98" s="63">
        <f>Hakemler!C98</f>
        <v>0</v>
      </c>
      <c r="D98" s="60"/>
      <c r="E98" s="64">
        <f>IF(ISBLANK(D98),0,ABS(Uzman_E!A$10-D98))</f>
        <v>0</v>
      </c>
      <c r="F98" s="55">
        <f>IF(ISBLANK(D98),0,INDEX(Tablo_E!$B$2:$CX$102,MATCH(ROUND(Uzman_E!A$10,1),Tablo_E!$A$2:$A$102,1),MATCH(ROUND(E98,1),Tablo_E!$B$1:$CX$1,1)))</f>
        <v>0</v>
      </c>
      <c r="G98" s="60"/>
      <c r="H98" s="64">
        <f>IF(ISBLANK(G98),0,ABS(Uzman_E!B$10-G98))</f>
        <v>0</v>
      </c>
      <c r="I98" s="55">
        <f>IF(ISBLANK(G98),0,INDEX(Tablo_E!$B$2:$CX$102,MATCH(ROUND(Uzman_E!B$10,1),Tablo_E!$A$2:$A$102,1),MATCH(ROUND(H98,1),Tablo_E!$B$1:$CX$1,1)))</f>
        <v>0</v>
      </c>
      <c r="J98" s="60"/>
      <c r="K98" s="64">
        <f>IF(ISBLANK(J98),0,ABS(Uzman_E!C$10-J98))</f>
        <v>0</v>
      </c>
      <c r="L98" s="55">
        <f>IF(ISBLANK(J98),0,INDEX(Tablo_E!$B$2:$CX$102,MATCH(ROUND(Uzman_E!C$10,1),Tablo_E!$A$2:$A$102,1),MATCH(ROUND(K98,1),Tablo_E!$B$1:$CX$1,1)))</f>
        <v>0</v>
      </c>
      <c r="M98" s="60"/>
      <c r="N98" s="64">
        <f>IF(ISBLANK(M98),0,ABS(Uzman_E!D$10-M98))</f>
        <v>0</v>
      </c>
      <c r="O98" s="55">
        <f>IF(ISBLANK(M98),0,INDEX(Tablo_E!$B$2:$CX$102,MATCH(ROUND(Uzman_E!D$10,1),Tablo_E!$A$2:$A$102,1),MATCH(ROUND(N98,1),Tablo_E!$B$1:$CX$1,1)))</f>
        <v>0</v>
      </c>
      <c r="P98" s="60"/>
      <c r="Q98" s="64">
        <f>IF(ISBLANK(P98),0,ABS(Uzman_E!E$10-P98))</f>
        <v>0</v>
      </c>
      <c r="R98" s="55">
        <f>IF(ISBLANK(P98),0,INDEX(Tablo_E!$B$2:$CX$102,MATCH(ROUND(Uzman_E!E$10,1),Tablo_E!$A$2:$A$102,1),MATCH(ROUND(Q98,1),Tablo_E!$B$1:$CX$1,1)))</f>
        <v>0</v>
      </c>
      <c r="S98" s="56">
        <f t="shared" si="1"/>
        <v>0</v>
      </c>
      <c r="T98" s="50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</row>
    <row r="99" spans="1:36" ht="15" customHeight="1" thickBot="1" x14ac:dyDescent="0.25">
      <c r="A99" s="57">
        <v>96</v>
      </c>
      <c r="B99" s="35">
        <f>Hakemler!B99</f>
        <v>0</v>
      </c>
      <c r="C99" s="63">
        <f>Hakemler!C99</f>
        <v>0</v>
      </c>
      <c r="D99" s="60"/>
      <c r="E99" s="64">
        <f>IF(ISBLANK(D99),0,ABS(Uzman_E!A$10-D99))</f>
        <v>0</v>
      </c>
      <c r="F99" s="55">
        <f>IF(ISBLANK(D99),0,INDEX(Tablo_E!$B$2:$CX$102,MATCH(ROUND(Uzman_E!A$10,1),Tablo_E!$A$2:$A$102,1),MATCH(ROUND(E99,1),Tablo_E!$B$1:$CX$1,1)))</f>
        <v>0</v>
      </c>
      <c r="G99" s="60"/>
      <c r="H99" s="64">
        <f>IF(ISBLANK(G99),0,ABS(Uzman_E!B$10-G99))</f>
        <v>0</v>
      </c>
      <c r="I99" s="55">
        <f>IF(ISBLANK(G99),0,INDEX(Tablo_E!$B$2:$CX$102,MATCH(ROUND(Uzman_E!B$10,1),Tablo_E!$A$2:$A$102,1),MATCH(ROUND(H99,1),Tablo_E!$B$1:$CX$1,1)))</f>
        <v>0</v>
      </c>
      <c r="J99" s="60"/>
      <c r="K99" s="64">
        <f>IF(ISBLANK(J99),0,ABS(Uzman_E!C$10-J99))</f>
        <v>0</v>
      </c>
      <c r="L99" s="55">
        <f>IF(ISBLANK(J99),0,INDEX(Tablo_E!$B$2:$CX$102,MATCH(ROUND(Uzman_E!C$10,1),Tablo_E!$A$2:$A$102,1),MATCH(ROUND(K99,1),Tablo_E!$B$1:$CX$1,1)))</f>
        <v>0</v>
      </c>
      <c r="M99" s="60"/>
      <c r="N99" s="64">
        <f>IF(ISBLANK(M99),0,ABS(Uzman_E!D$10-M99))</f>
        <v>0</v>
      </c>
      <c r="O99" s="55">
        <f>IF(ISBLANK(M99),0,INDEX(Tablo_E!$B$2:$CX$102,MATCH(ROUND(Uzman_E!D$10,1),Tablo_E!$A$2:$A$102,1),MATCH(ROUND(N99,1),Tablo_E!$B$1:$CX$1,1)))</f>
        <v>0</v>
      </c>
      <c r="P99" s="60"/>
      <c r="Q99" s="64">
        <f>IF(ISBLANK(P99),0,ABS(Uzman_E!E$10-P99))</f>
        <v>0</v>
      </c>
      <c r="R99" s="55">
        <f>IF(ISBLANK(P99),0,INDEX(Tablo_E!$B$2:$CX$102,MATCH(ROUND(Uzman_E!E$10,1),Tablo_E!$A$2:$A$102,1),MATCH(ROUND(Q99,1),Tablo_E!$B$1:$CX$1,1)))</f>
        <v>0</v>
      </c>
      <c r="S99" s="56">
        <f t="shared" si="1"/>
        <v>0</v>
      </c>
      <c r="T99" s="50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</row>
    <row r="100" spans="1:36" ht="15" customHeight="1" thickBot="1" x14ac:dyDescent="0.25">
      <c r="A100" s="57">
        <v>97</v>
      </c>
      <c r="B100" s="35">
        <f>Hakemler!B100</f>
        <v>0</v>
      </c>
      <c r="C100" s="63">
        <f>Hakemler!C100</f>
        <v>0</v>
      </c>
      <c r="D100" s="60"/>
      <c r="E100" s="64">
        <f>IF(ISBLANK(D100),0,ABS(Uzman_E!A$10-D100))</f>
        <v>0</v>
      </c>
      <c r="F100" s="55">
        <f>IF(ISBLANK(D100),0,INDEX(Tablo_E!$B$2:$CX$102,MATCH(ROUND(Uzman_E!A$10,1),Tablo_E!$A$2:$A$102,1),MATCH(ROUND(E100,1),Tablo_E!$B$1:$CX$1,1)))</f>
        <v>0</v>
      </c>
      <c r="G100" s="60"/>
      <c r="H100" s="64">
        <f>IF(ISBLANK(G100),0,ABS(Uzman_E!B$10-G100))</f>
        <v>0</v>
      </c>
      <c r="I100" s="55">
        <f>IF(ISBLANK(G100),0,INDEX(Tablo_E!$B$2:$CX$102,MATCH(ROUND(Uzman_E!B$10,1),Tablo_E!$A$2:$A$102,1),MATCH(ROUND(H100,1),Tablo_E!$B$1:$CX$1,1)))</f>
        <v>0</v>
      </c>
      <c r="J100" s="60"/>
      <c r="K100" s="64">
        <f>IF(ISBLANK(J100),0,ABS(Uzman_E!C$10-J100))</f>
        <v>0</v>
      </c>
      <c r="L100" s="55">
        <f>IF(ISBLANK(J100),0,INDEX(Tablo_E!$B$2:$CX$102,MATCH(ROUND(Uzman_E!C$10,1),Tablo_E!$A$2:$A$102,1),MATCH(ROUND(K100,1),Tablo_E!$B$1:$CX$1,1)))</f>
        <v>0</v>
      </c>
      <c r="M100" s="60"/>
      <c r="N100" s="64">
        <f>IF(ISBLANK(M100),0,ABS(Uzman_E!D$10-M100))</f>
        <v>0</v>
      </c>
      <c r="O100" s="55">
        <f>IF(ISBLANK(M100),0,INDEX(Tablo_E!$B$2:$CX$102,MATCH(ROUND(Uzman_E!D$10,1),Tablo_E!$A$2:$A$102,1),MATCH(ROUND(N100,1),Tablo_E!$B$1:$CX$1,1)))</f>
        <v>0</v>
      </c>
      <c r="P100" s="60"/>
      <c r="Q100" s="64">
        <f>IF(ISBLANK(P100),0,ABS(Uzman_E!E$10-P100))</f>
        <v>0</v>
      </c>
      <c r="R100" s="55">
        <f>IF(ISBLANK(P100),0,INDEX(Tablo_E!$B$2:$CX$102,MATCH(ROUND(Uzman_E!E$10,1),Tablo_E!$A$2:$A$102,1),MATCH(ROUND(Q100,1),Tablo_E!$B$1:$CX$1,1)))</f>
        <v>0</v>
      </c>
      <c r="S100" s="56">
        <f t="shared" si="1"/>
        <v>0</v>
      </c>
      <c r="T100" s="50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</row>
    <row r="101" spans="1:36" ht="15" customHeight="1" thickBot="1" x14ac:dyDescent="0.25">
      <c r="A101" s="57">
        <v>98</v>
      </c>
      <c r="B101" s="35">
        <f>Hakemler!B101</f>
        <v>0</v>
      </c>
      <c r="C101" s="63">
        <f>Hakemler!C101</f>
        <v>0</v>
      </c>
      <c r="D101" s="60"/>
      <c r="E101" s="64">
        <f>IF(ISBLANK(D101),0,ABS(Uzman_E!A$10-D101))</f>
        <v>0</v>
      </c>
      <c r="F101" s="55">
        <f>IF(ISBLANK(D101),0,INDEX(Tablo_E!$B$2:$CX$102,MATCH(ROUND(Uzman_E!A$10,1),Tablo_E!$A$2:$A$102,1),MATCH(ROUND(E101,1),Tablo_E!$B$1:$CX$1,1)))</f>
        <v>0</v>
      </c>
      <c r="G101" s="60"/>
      <c r="H101" s="64">
        <f>IF(ISBLANK(G101),0,ABS(Uzman_E!B$10-G101))</f>
        <v>0</v>
      </c>
      <c r="I101" s="55">
        <f>IF(ISBLANK(G101),0,INDEX(Tablo_E!$B$2:$CX$102,MATCH(ROUND(Uzman_E!B$10,1),Tablo_E!$A$2:$A$102,1),MATCH(ROUND(H101,1),Tablo_E!$B$1:$CX$1,1)))</f>
        <v>0</v>
      </c>
      <c r="J101" s="60"/>
      <c r="K101" s="64">
        <f>IF(ISBLANK(J101),0,ABS(Uzman_E!C$10-J101))</f>
        <v>0</v>
      </c>
      <c r="L101" s="55">
        <f>IF(ISBLANK(J101),0,INDEX(Tablo_E!$B$2:$CX$102,MATCH(ROUND(Uzman_E!C$10,1),Tablo_E!$A$2:$A$102,1),MATCH(ROUND(K101,1),Tablo_E!$B$1:$CX$1,1)))</f>
        <v>0</v>
      </c>
      <c r="M101" s="60"/>
      <c r="N101" s="64">
        <f>IF(ISBLANK(M101),0,ABS(Uzman_E!D$10-M101))</f>
        <v>0</v>
      </c>
      <c r="O101" s="55">
        <f>IF(ISBLANK(M101),0,INDEX(Tablo_E!$B$2:$CX$102,MATCH(ROUND(Uzman_E!D$10,1),Tablo_E!$A$2:$A$102,1),MATCH(ROUND(N101,1),Tablo_E!$B$1:$CX$1,1)))</f>
        <v>0</v>
      </c>
      <c r="P101" s="60"/>
      <c r="Q101" s="64">
        <f>IF(ISBLANK(P101),0,ABS(Uzman_E!E$10-P101))</f>
        <v>0</v>
      </c>
      <c r="R101" s="55">
        <f>IF(ISBLANK(P101),0,INDEX(Tablo_E!$B$2:$CX$102,MATCH(ROUND(Uzman_E!E$10,1),Tablo_E!$A$2:$A$102,1),MATCH(ROUND(Q101,1),Tablo_E!$B$1:$CX$1,1)))</f>
        <v>0</v>
      </c>
      <c r="S101" s="56">
        <f t="shared" si="1"/>
        <v>0</v>
      </c>
      <c r="T101" s="50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</row>
    <row r="102" spans="1:36" ht="15" customHeight="1" thickBot="1" x14ac:dyDescent="0.25">
      <c r="A102" s="57">
        <v>99</v>
      </c>
      <c r="B102" s="35">
        <f>Hakemler!B102</f>
        <v>0</v>
      </c>
      <c r="C102" s="63">
        <f>Hakemler!C102</f>
        <v>0</v>
      </c>
      <c r="D102" s="60"/>
      <c r="E102" s="64">
        <f>IF(ISBLANK(D102),0,ABS(Uzman_E!A$10-D102))</f>
        <v>0</v>
      </c>
      <c r="F102" s="55">
        <f>IF(ISBLANK(D102),0,INDEX(Tablo_E!$B$2:$CX$102,MATCH(ROUND(Uzman_E!A$10,1),Tablo_E!$A$2:$A$102,1),MATCH(ROUND(E102,1),Tablo_E!$B$1:$CX$1,1)))</f>
        <v>0</v>
      </c>
      <c r="G102" s="60"/>
      <c r="H102" s="64">
        <f>IF(ISBLANK(G102),0,ABS(Uzman_E!B$10-G102))</f>
        <v>0</v>
      </c>
      <c r="I102" s="55">
        <f>IF(ISBLANK(G102),0,INDEX(Tablo_E!$B$2:$CX$102,MATCH(ROUND(Uzman_E!B$10,1),Tablo_E!$A$2:$A$102,1),MATCH(ROUND(H102,1),Tablo_E!$B$1:$CX$1,1)))</f>
        <v>0</v>
      </c>
      <c r="J102" s="60"/>
      <c r="K102" s="64">
        <f>IF(ISBLANK(J102),0,ABS(Uzman_E!C$10-J102))</f>
        <v>0</v>
      </c>
      <c r="L102" s="55">
        <f>IF(ISBLANK(J102),0,INDEX(Tablo_E!$B$2:$CX$102,MATCH(ROUND(Uzman_E!C$10,1),Tablo_E!$A$2:$A$102,1),MATCH(ROUND(K102,1),Tablo_E!$B$1:$CX$1,1)))</f>
        <v>0</v>
      </c>
      <c r="M102" s="60"/>
      <c r="N102" s="64">
        <f>IF(ISBLANK(M102),0,ABS(Uzman_E!D$10-M102))</f>
        <v>0</v>
      </c>
      <c r="O102" s="55">
        <f>IF(ISBLANK(M102),0,INDEX(Tablo_E!$B$2:$CX$102,MATCH(ROUND(Uzman_E!D$10,1),Tablo_E!$A$2:$A$102,1),MATCH(ROUND(N102,1),Tablo_E!$B$1:$CX$1,1)))</f>
        <v>0</v>
      </c>
      <c r="P102" s="60"/>
      <c r="Q102" s="64">
        <f>IF(ISBLANK(P102),0,ABS(Uzman_E!E$10-P102))</f>
        <v>0</v>
      </c>
      <c r="R102" s="55">
        <f>IF(ISBLANK(P102),0,INDEX(Tablo_E!$B$2:$CX$102,MATCH(ROUND(Uzman_E!E$10,1),Tablo_E!$A$2:$A$102,1),MATCH(ROUND(Q102,1),Tablo_E!$B$1:$CX$1,1)))</f>
        <v>0</v>
      </c>
      <c r="S102" s="56">
        <f t="shared" si="1"/>
        <v>0</v>
      </c>
      <c r="T102" s="50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</row>
    <row r="103" spans="1:36" ht="15" customHeight="1" x14ac:dyDescent="0.2">
      <c r="A103" s="57">
        <v>100</v>
      </c>
      <c r="B103" s="35">
        <f>Hakemler!B103</f>
        <v>0</v>
      </c>
      <c r="C103" s="63">
        <f>Hakemler!C103</f>
        <v>0</v>
      </c>
      <c r="D103" s="60"/>
      <c r="E103" s="64">
        <f>IF(ISBLANK(D103),0,ABS(Uzman_E!A$10-D103))</f>
        <v>0</v>
      </c>
      <c r="F103" s="55">
        <f>IF(ISBLANK(D103),0,INDEX(Tablo_E!$B$2:$CX$102,MATCH(ROUND(Uzman_E!A$10,1),Tablo_E!$A$2:$A$102,1),MATCH(ROUND(E103,1),Tablo_E!$B$1:$CX$1,1)))</f>
        <v>0</v>
      </c>
      <c r="G103" s="60"/>
      <c r="H103" s="64">
        <f>IF(ISBLANK(G103),0,ABS(Uzman_E!B$10-G103))</f>
        <v>0</v>
      </c>
      <c r="I103" s="55">
        <f>IF(ISBLANK(G103),0,INDEX(Tablo_E!$B$2:$CX$102,MATCH(ROUND(Uzman_E!B$10,1),Tablo_E!$A$2:$A$102,1),MATCH(ROUND(H103,1),Tablo_E!$B$1:$CX$1,1)))</f>
        <v>0</v>
      </c>
      <c r="J103" s="60"/>
      <c r="K103" s="64">
        <f>IF(ISBLANK(J103),0,ABS(Uzman_E!C$10-J103))</f>
        <v>0</v>
      </c>
      <c r="L103" s="55">
        <f>IF(ISBLANK(J103),0,INDEX(Tablo_E!$B$2:$CX$102,MATCH(ROUND(Uzman_E!C$10,1),Tablo_E!$A$2:$A$102,1),MATCH(ROUND(K103,1),Tablo_E!$B$1:$CX$1,1)))</f>
        <v>0</v>
      </c>
      <c r="M103" s="60"/>
      <c r="N103" s="64">
        <f>IF(ISBLANK(M103),0,ABS(Uzman_E!D$10-M103))</f>
        <v>0</v>
      </c>
      <c r="O103" s="55">
        <f>IF(ISBLANK(M103),0,INDEX(Tablo_E!$B$2:$CX$102,MATCH(ROUND(Uzman_E!D$10,1),Tablo_E!$A$2:$A$102,1),MATCH(ROUND(N103,1),Tablo_E!$B$1:$CX$1,1)))</f>
        <v>0</v>
      </c>
      <c r="P103" s="60"/>
      <c r="Q103" s="64">
        <f>IF(ISBLANK(P103),0,ABS(Uzman_E!E$10-P103))</f>
        <v>0</v>
      </c>
      <c r="R103" s="55">
        <f>IF(ISBLANK(P103),0,INDEX(Tablo_E!$B$2:$CX$102,MATCH(ROUND(Uzman_E!E$10,1),Tablo_E!$A$2:$A$102,1),MATCH(ROUND(Q103,1),Tablo_E!$B$1:$CX$1,1)))</f>
        <v>0</v>
      </c>
      <c r="S103" s="56">
        <f t="shared" si="1"/>
        <v>0</v>
      </c>
      <c r="T103" s="50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</row>
  </sheetData>
  <mergeCells count="9">
    <mergeCell ref="A1:S1"/>
    <mergeCell ref="P2:R2"/>
    <mergeCell ref="J2:L2"/>
    <mergeCell ref="G2:I2"/>
    <mergeCell ref="D2:F2"/>
    <mergeCell ref="A2:A3"/>
    <mergeCell ref="C2:C3"/>
    <mergeCell ref="M2:O2"/>
    <mergeCell ref="B2:B3"/>
  </mergeCells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IQ103"/>
  <sheetViews>
    <sheetView showGridLines="0" topLeftCell="T1" workbookViewId="0">
      <selection activeCell="BQ4" sqref="BQ4:BQ103"/>
    </sheetView>
  </sheetViews>
  <sheetFormatPr baseColWidth="10" defaultColWidth="8.83203125" defaultRowHeight="15" customHeight="1" x14ac:dyDescent="0.2"/>
  <cols>
    <col min="1" max="1" width="5" style="1" customWidth="1"/>
    <col min="2" max="3" width="13.5" style="1" customWidth="1"/>
    <col min="4" max="15" width="3.5" style="1" customWidth="1"/>
    <col min="16" max="16" width="7.6640625" style="1" bestFit="1" customWidth="1"/>
    <col min="17" max="28" width="3.5" style="1" customWidth="1"/>
    <col min="29" max="29" width="6.5" style="1" customWidth="1"/>
    <col min="30" max="41" width="3.5" style="1" customWidth="1"/>
    <col min="42" max="42" width="6.5" style="1" customWidth="1"/>
    <col min="43" max="54" width="3.5" style="1" customWidth="1"/>
    <col min="55" max="55" width="6.5" style="1" customWidth="1"/>
    <col min="56" max="67" width="3.5" style="1" customWidth="1"/>
    <col min="68" max="68" width="6.5" style="1" customWidth="1"/>
    <col min="69" max="69" width="10.5" style="1" customWidth="1"/>
    <col min="70" max="251" width="8.83203125" style="1" customWidth="1"/>
  </cols>
  <sheetData>
    <row r="1" spans="1:69" ht="18.75" customHeight="1" x14ac:dyDescent="0.2">
      <c r="A1" s="196" t="s">
        <v>44</v>
      </c>
      <c r="B1" s="197"/>
      <c r="C1" s="197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9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1"/>
    </row>
    <row r="2" spans="1:69" ht="15.75" customHeight="1" x14ac:dyDescent="0.2">
      <c r="A2" s="189" t="s">
        <v>10</v>
      </c>
      <c r="B2" s="194" t="s">
        <v>11</v>
      </c>
      <c r="C2" s="205" t="s">
        <v>12</v>
      </c>
      <c r="D2" s="202" t="s">
        <v>16</v>
      </c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4"/>
      <c r="Q2" s="191" t="s">
        <v>17</v>
      </c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3"/>
      <c r="AD2" s="202" t="s">
        <v>18</v>
      </c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4"/>
      <c r="AQ2" s="191" t="s">
        <v>19</v>
      </c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3"/>
      <c r="BD2" s="202" t="s">
        <v>20</v>
      </c>
      <c r="BE2" s="203"/>
      <c r="BF2" s="203"/>
      <c r="BG2" s="203"/>
      <c r="BH2" s="203"/>
      <c r="BI2" s="203"/>
      <c r="BJ2" s="203"/>
      <c r="BK2" s="203"/>
      <c r="BL2" s="203"/>
      <c r="BM2" s="203"/>
      <c r="BN2" s="203"/>
      <c r="BO2" s="203"/>
      <c r="BP2" s="204"/>
      <c r="BQ2" s="66"/>
    </row>
    <row r="3" spans="1:69" ht="15.75" customHeight="1" x14ac:dyDescent="0.2">
      <c r="A3" s="190"/>
      <c r="B3" s="195"/>
      <c r="C3" s="206"/>
      <c r="D3" s="67" t="s">
        <v>31</v>
      </c>
      <c r="E3" s="68" t="s">
        <v>32</v>
      </c>
      <c r="F3" s="68" t="s">
        <v>33</v>
      </c>
      <c r="G3" s="68" t="s">
        <v>34</v>
      </c>
      <c r="H3" s="68" t="s">
        <v>35</v>
      </c>
      <c r="I3" s="68" t="s">
        <v>36</v>
      </c>
      <c r="J3" s="68" t="s">
        <v>37</v>
      </c>
      <c r="K3" s="68" t="s">
        <v>38</v>
      </c>
      <c r="L3" s="68" t="s">
        <v>39</v>
      </c>
      <c r="M3" s="68" t="s">
        <v>40</v>
      </c>
      <c r="N3" s="68" t="s">
        <v>41</v>
      </c>
      <c r="O3" s="68" t="s">
        <v>42</v>
      </c>
      <c r="P3" s="69" t="s">
        <v>22</v>
      </c>
      <c r="Q3" s="67" t="s">
        <v>31</v>
      </c>
      <c r="R3" s="68" t="s">
        <v>32</v>
      </c>
      <c r="S3" s="68" t="s">
        <v>33</v>
      </c>
      <c r="T3" s="68" t="s">
        <v>34</v>
      </c>
      <c r="U3" s="68" t="s">
        <v>35</v>
      </c>
      <c r="V3" s="68" t="s">
        <v>36</v>
      </c>
      <c r="W3" s="68" t="s">
        <v>37</v>
      </c>
      <c r="X3" s="68" t="s">
        <v>38</v>
      </c>
      <c r="Y3" s="68" t="s">
        <v>39</v>
      </c>
      <c r="Z3" s="68" t="s">
        <v>40</v>
      </c>
      <c r="AA3" s="68" t="s">
        <v>41</v>
      </c>
      <c r="AB3" s="68" t="s">
        <v>42</v>
      </c>
      <c r="AC3" s="69" t="s">
        <v>22</v>
      </c>
      <c r="AD3" s="67" t="s">
        <v>31</v>
      </c>
      <c r="AE3" s="68" t="s">
        <v>32</v>
      </c>
      <c r="AF3" s="68" t="s">
        <v>33</v>
      </c>
      <c r="AG3" s="68" t="s">
        <v>34</v>
      </c>
      <c r="AH3" s="68" t="s">
        <v>35</v>
      </c>
      <c r="AI3" s="68" t="s">
        <v>36</v>
      </c>
      <c r="AJ3" s="68" t="s">
        <v>37</v>
      </c>
      <c r="AK3" s="68" t="s">
        <v>38</v>
      </c>
      <c r="AL3" s="68" t="s">
        <v>39</v>
      </c>
      <c r="AM3" s="68" t="s">
        <v>40</v>
      </c>
      <c r="AN3" s="68" t="s">
        <v>41</v>
      </c>
      <c r="AO3" s="68" t="s">
        <v>42</v>
      </c>
      <c r="AP3" s="69" t="s">
        <v>22</v>
      </c>
      <c r="AQ3" s="67" t="s">
        <v>31</v>
      </c>
      <c r="AR3" s="68" t="s">
        <v>32</v>
      </c>
      <c r="AS3" s="68" t="s">
        <v>33</v>
      </c>
      <c r="AT3" s="68" t="s">
        <v>34</v>
      </c>
      <c r="AU3" s="68" t="s">
        <v>35</v>
      </c>
      <c r="AV3" s="68" t="s">
        <v>36</v>
      </c>
      <c r="AW3" s="68" t="s">
        <v>37</v>
      </c>
      <c r="AX3" s="68" t="s">
        <v>38</v>
      </c>
      <c r="AY3" s="68" t="s">
        <v>39</v>
      </c>
      <c r="AZ3" s="68" t="s">
        <v>40</v>
      </c>
      <c r="BA3" s="68" t="s">
        <v>41</v>
      </c>
      <c r="BB3" s="68" t="s">
        <v>42</v>
      </c>
      <c r="BC3" s="69" t="s">
        <v>22</v>
      </c>
      <c r="BD3" s="67" t="s">
        <v>31</v>
      </c>
      <c r="BE3" s="68" t="s">
        <v>32</v>
      </c>
      <c r="BF3" s="68" t="s">
        <v>33</v>
      </c>
      <c r="BG3" s="68" t="s">
        <v>34</v>
      </c>
      <c r="BH3" s="68" t="s">
        <v>35</v>
      </c>
      <c r="BI3" s="68" t="s">
        <v>36</v>
      </c>
      <c r="BJ3" s="68" t="s">
        <v>37</v>
      </c>
      <c r="BK3" s="68" t="s">
        <v>38</v>
      </c>
      <c r="BL3" s="68" t="s">
        <v>39</v>
      </c>
      <c r="BM3" s="68" t="s">
        <v>40</v>
      </c>
      <c r="BN3" s="68" t="s">
        <v>41</v>
      </c>
      <c r="BO3" s="68" t="s">
        <v>42</v>
      </c>
      <c r="BP3" s="69" t="s">
        <v>22</v>
      </c>
      <c r="BQ3" s="70" t="s">
        <v>23</v>
      </c>
    </row>
    <row r="4" spans="1:69" ht="15.5" customHeight="1" x14ac:dyDescent="0.2">
      <c r="A4" s="57">
        <v>1</v>
      </c>
      <c r="B4" s="29" t="str">
        <f>Hakemler!B4</f>
        <v>Yalçıner</v>
      </c>
      <c r="C4" s="29" t="str">
        <f>Hakemler!C4</f>
        <v>Yunus Emre</v>
      </c>
      <c r="D4" s="71">
        <v>0</v>
      </c>
      <c r="E4" s="71">
        <v>1</v>
      </c>
      <c r="F4" s="71">
        <v>2</v>
      </c>
      <c r="G4" s="71">
        <v>5</v>
      </c>
      <c r="H4" s="71">
        <v>0</v>
      </c>
      <c r="I4" s="71">
        <v>0</v>
      </c>
      <c r="J4" s="71">
        <v>0</v>
      </c>
      <c r="K4" s="71">
        <v>0</v>
      </c>
      <c r="L4" s="71">
        <v>0</v>
      </c>
      <c r="M4" s="71">
        <v>0</v>
      </c>
      <c r="N4" s="72">
        <v>2</v>
      </c>
      <c r="O4" s="72">
        <v>0.3</v>
      </c>
      <c r="P4" s="73">
        <f>1 - (
    SUM(
        IF(D4-Uzman_D!$B$18&lt;0, -(D4-Uzman_D!$B$18), D4-Uzman_D!$B$18)*0.1 +
        IF(E4-Uzman_D!$C$18&lt;0, -(E4-Uzman_D!$C$18), E4-Uzman_D!$C$18)*0.1 +
        IF(F4-Uzman_D!$D$18&lt;0, -(F4-Uzman_D!$D$18), F4-Uzman_D!$D$18)*0.1 +
        IF(G4-Uzman_D!$E$18&lt;0, -(G4-Uzman_D!$E$18), G4-Uzman_D!$E$18)*0.1 +
        IF(H4-Uzman_D!$F$18&lt;0, -(H4-Uzman_D!$F$18), H4-Uzman_D!$F$18)*0.1 +
        IF(I4-Uzman_D!$G$18&lt;0, -(I4-Uzman_D!$G$18), I4-Uzman_D!$G$18)*0.1 +
        IF(J4-Uzman_D!$H$18&lt;0, -(J4-Uzman_D!$H$18), J4-Uzman_D!$H$18)*0.1 +
        IF(K4-Uzman_D!$I$18&lt;0, -(K4-Uzman_D!$I$18), K4-Uzman_D!$I$18)*0.1 +
        IF(L4-Uzman_D!$J$18&lt;0, -(L4-Uzman_D!$J$18), L4-Uzman_D!$J$18)*0.1
    ) +
    IF(ROUND((IF(N4-Uzman_D!$L$18&lt;0, -(N4-Uzman_D!$L$18), N4-Uzman_D!$L$18)*2),0)/2 = IF(N4-Uzman_D!$L$18&lt;0, -(N4-Uzman_D!$L$18), N4-Uzman_D!$L$18),
    (ROUND((IF(N4-Uzman_D!$L$18&lt;0, -(N4-Uzman_D!$L$18), N4-Uzman_D!$L$18)*2),0)/1 * 0.1), 0) +
    IF(O4-Uzman_D!$M$18&lt;0, -(O4-Uzman_D!$M$18), O4-Uzman_D!$M$18)*1
)</f>
        <v>1</v>
      </c>
      <c r="Q4" s="71">
        <v>0</v>
      </c>
      <c r="R4" s="71">
        <v>0</v>
      </c>
      <c r="S4" s="71">
        <v>3</v>
      </c>
      <c r="T4" s="71">
        <v>3</v>
      </c>
      <c r="U4" s="71">
        <v>2</v>
      </c>
      <c r="V4" s="71">
        <v>0</v>
      </c>
      <c r="W4" s="71">
        <v>0</v>
      </c>
      <c r="X4" s="71">
        <v>0</v>
      </c>
      <c r="Y4" s="71">
        <v>0</v>
      </c>
      <c r="Z4" s="71">
        <v>0</v>
      </c>
      <c r="AA4" s="72">
        <v>2</v>
      </c>
      <c r="AB4" s="72">
        <v>0.5</v>
      </c>
      <c r="AC4" s="73">
        <f>1 - (
    SUM(
        IF(Q4-Uzman_D!$B$19&lt;0, -(Q4-Uzman_D!$B$19), Q4-Uzman_D!$B$19)*0.1 +
        IF(R4-Uzman_D!$C$19&lt;0, -(R4-Uzman_D!$C$19), R4-Uzman_D!$C$19)*0.1 +
        IF(S4-Uzman_D!$D$19&lt;0, -(S4-Uzman_D!$D$19), S4-Uzman_D!$D$19)*0.1 +
        IF(T4-Uzman_D!$E$19&lt;0, -(T4-Uzman_D!$E$19), T4-Uzman_D!$E$19)*0.1 +
        IF(U4-Uzman_D!$F$19&lt;0, -(U4-Uzman_D!$F$19), U4-Uzman_D!$F$19)*0.1 +
        IF(V4-Uzman_D!$G$19&lt;0, -(V4-Uzman_D!$G$19), V4-Uzman_D!$G$19)*0.1 +
        IF(W4-Uzman_D!$H$19&lt;0, -(W4-Uzman_D!$H$19), W4-Uzman_D!$H$19)*0.1 +
        IF(X4-Uzman_D!$I$19&lt;0, -(X4-Uzman_D!$I$19), X4-Uzman_D!$I$19)*0.1 +
        IF(Y4-Uzman_D!$J$19&lt;0, -(Y4-Uzman_D!$J$19), Y4-Uzman_D!$J$19)*0.1
    ) +
    IF(ROUND((IF(AA4-Uzman_D!$L$19&lt;0, -(AA4-Uzman_D!$L$19), AA4-Uzman_D!$L$19)*2),0)/2 = IF(AA4-Uzman_D!$L$19&lt;0, -(AA4-Uzman_D!$L$19), AA4-Uzman_D!$L$19),
    (ROUND((IF(AA4-Uzman_D!$L$19&lt;0, -(AA4-Uzman_D!$L$19), AA4-Uzman_D!$L$19)*2),0)/1 * 0.1), 0) +
    IF(AB4-Uzman_D!$M$19&lt;0, -(AB4-Uzman_D!$M$19), AB4-Uzman_D!$M$19)*1
)</f>
        <v>0.7</v>
      </c>
      <c r="AD4" s="71">
        <v>0</v>
      </c>
      <c r="AE4" s="71">
        <v>1</v>
      </c>
      <c r="AF4" s="71">
        <v>4</v>
      </c>
      <c r="AG4" s="71">
        <v>2</v>
      </c>
      <c r="AH4" s="71">
        <v>0</v>
      </c>
      <c r="AI4" s="71">
        <v>1</v>
      </c>
      <c r="AJ4" s="71">
        <v>0</v>
      </c>
      <c r="AK4" s="71">
        <v>0</v>
      </c>
      <c r="AL4" s="71">
        <v>0</v>
      </c>
      <c r="AM4" s="71">
        <v>0</v>
      </c>
      <c r="AN4" s="72">
        <v>2</v>
      </c>
      <c r="AO4" s="72">
        <v>0.4</v>
      </c>
      <c r="AP4" s="73">
        <f>1 - (
    SUM(
        IF(AD4-Uzman_D!$B$20&lt;0, -(AD4-Uzman_D!$B$20), AD4-Uzman_D!$B$20)*0.1 +
        IF(AE4-Uzman_D!$C$20&lt;0, -(AE4-Uzman_D!$C$20), AE4-Uzman_D!$C$20)*0.1 +
        IF(AF4-Uzman_D!$D$20&lt;0, -(AF4-Uzman_D!$D$20), AF4-Uzman_D!$D$20)*0.1 +
        IF(AG4-Uzman_D!$E$20&lt;0, -(AG4-Uzman_D!$E$20), AG4-Uzman_D!$E$20)*0.1 +
        IF(AH4-Uzman_D!$F$20&lt;0, -(AH4-Uzman_D!$F$20), AH4-Uzman_D!$F$20)*0.1 +
        IF(AI4-Uzman_D!$G$20&lt;0, -(AI4-Uzman_D!$G$20), AI4-Uzman_D!$G$20)*0.1 +
        IF(AJ4-Uzman_D!$H$20&lt;0, -(AJ4-Uzman_D!$H$20), AJ4-Uzman_D!$H$20)*0.1 +
        IF(AK4-Uzman_D!$I$20&lt;0, -(AK4-Uzman_D!$I$20), AK4-Uzman_D!$I$20)*0.1 +
        IF(AL4-Uzman_D!$J$20&lt;0, -(AL4-Uzman_D!$J$20), AL4-Uzman_D!$J$20)*0.1
    ) +
    IF(ROUND((IF(AN4-Uzman_D!$L$20&lt;0, -(AN4-Uzman_D!$L$20), AN4-Uzman_D!$L$20)*2),0)/2 = IF(AN4-Uzman_D!$L$20&lt;0, -(AN4-Uzman_D!$L$20), AN4-Uzman_D!$L$20),
    (ROUND((IF(AN4-Uzman_D!$L$20&lt;0, -(AN4-Uzman_D!$L$20), AN4-Uzman_D!$L$20)*2),0)/1 * 0.1), 0) +
    IF(AO4-Uzman_D!$M$20&lt;0, -(AO4-Uzman_D!$M$20), AO4-Uzman_D!$M$20)*1
)</f>
        <v>1</v>
      </c>
      <c r="AQ4" s="71">
        <v>0</v>
      </c>
      <c r="AR4" s="71">
        <v>1</v>
      </c>
      <c r="AS4" s="71">
        <v>3</v>
      </c>
      <c r="AT4" s="71">
        <v>2</v>
      </c>
      <c r="AU4" s="71">
        <v>2</v>
      </c>
      <c r="AV4" s="71">
        <v>0</v>
      </c>
      <c r="AW4" s="71">
        <v>0</v>
      </c>
      <c r="AX4" s="71">
        <v>0</v>
      </c>
      <c r="AY4" s="71">
        <v>0</v>
      </c>
      <c r="AZ4" s="71">
        <v>0</v>
      </c>
      <c r="BA4" s="72">
        <v>2</v>
      </c>
      <c r="BB4" s="72">
        <v>0.4</v>
      </c>
      <c r="BC4" s="73">
        <f>1 - (
    SUM(
        IF(AQ4-Uzman_D!$B$21&lt;0, -(AQ4-Uzman_D!$B$21), AQ4-Uzman_D!$B$21)*0.1 +
        IF(AR4-Uzman_D!$C$21&lt;0, -(AR4-Uzman_D!$C$21), AR4-Uzman_D!$C$21)*0.1 +
        IF(AS4-Uzman_D!$D$21&lt;0, -(AS4-Uzman_D!$D$21), AS4-Uzman_D!$D$21)*0.1 +
        IF(AT4-Uzman_D!$E$21&lt;0, -(AT4-Uzman_D!$E$21), AT4-Uzman_D!$E$21)*0.1 +
        IF(AU4-Uzman_D!$F$21&lt;0, -(AU4-Uzman_D!$F$21), AU4-Uzman_D!$F$21)*0.1 +
        IF(AV4-Uzman_D!$G$21&lt;0, -(AV4-Uzman_D!$G$21), AV4-Uzman_D!$G$21)*0.1 +
        IF(AW4-Uzman_D!$H$21&lt;0, -(AW4-Uzman_D!$H$21), AW4-Uzman_D!$H$21)*0.1 +
        IF(AX4-Uzman_D!$I$21&lt;0, -(AX4-Uzman_D!$I$21), AX4-Uzman_D!$I$21)*0.1 +
        IF(AY4-Uzman_D!$J$21&lt;0, -(AY4-Uzman_D!$J$21), AY4-Uzman_D!$J$21)*0.1
    ) +
    IF(ROUND((IF(BA4-Uzman_D!$L$21&lt;0, -(BA4-Uzman_D!$L$21), BA4-Uzman_D!$L$21)*2),0)/2 = IF(BA4-Uzman_D!$L$21&lt;0, -(BA4-Uzman_D!$L$21), BA4-Uzman_D!$L$21),
    (ROUND((IF(BA4-Uzman_D!$L$21&lt;0, -(BA4-Uzman_D!$L$21), BA4-Uzman_D!$L$21)*2),0)/1 * 0.1), 0) +
    IF(BB4-Uzman_D!$M$21&lt;0, -(BB4-Uzman_D!$M$21), BB4-Uzman_D!$M$21)*1
)</f>
        <v>1</v>
      </c>
      <c r="BD4" s="71">
        <v>2</v>
      </c>
      <c r="BE4" s="71">
        <v>4</v>
      </c>
      <c r="BF4" s="71">
        <v>1</v>
      </c>
      <c r="BG4" s="71">
        <v>1</v>
      </c>
      <c r="BH4" s="71">
        <v>0</v>
      </c>
      <c r="BI4" s="71">
        <v>0</v>
      </c>
      <c r="BJ4" s="71">
        <v>0</v>
      </c>
      <c r="BK4" s="71">
        <v>0</v>
      </c>
      <c r="BL4" s="71">
        <v>0</v>
      </c>
      <c r="BM4" s="71">
        <v>0</v>
      </c>
      <c r="BN4" s="72">
        <v>2</v>
      </c>
      <c r="BO4" s="72">
        <v>0.2</v>
      </c>
      <c r="BP4" s="73">
        <f>1 - (
    SUM(
        IF(BD4-Uzman_D!$B$22&lt;0, -(BD4-Uzman_D!$B$22), BD4-Uzman_D!$B$22)*0.1 +
        IF(BE4-Uzman_D!$C$22&lt;0, -(BE4-Uzman_D!$C$22), BE4-Uzman_D!$C$22)*0.1 +
        IF(BF4-Uzman_D!$D$22&lt;0, -(BF4-Uzman_D!$D$22), BF4-Uzman_D!$D$22)*0.1 +
        IF(BG4-Uzman_D!$E$22&lt;0, -(BG4-Uzman_D!$E$22), BG4-Uzman_D!$E$22)*0.1 +
        IF(BH4-Uzman_D!$F$22&lt;0, -(BH4-Uzman_D!$F$22), BH4-Uzman_D!$F$22)*0.1 +
        IF(BI4-Uzman_D!$G$22&lt;0, -(BI4-Uzman_D!$G$22), BI4-Uzman_D!$G$22)*0.1 +
        IF(BJ4-Uzman_D!$H$22&lt;0, -(BJ4-Uzman_D!$H$22), BJ4-Uzman_D!$H$22)*0.1 +
        IF(BK4-Uzman_D!$I$22&lt;0, -(BK4-Uzman_D!$I$22), BK4-Uzman_D!$I$22)*0.1 +
        IF(BL4-Uzman_D!$J$22&lt;0, -(BL4-Uzman_D!$J$22), BL4-Uzman_D!$J$22)*0.1
    ) +
    IF(ROUND((IF(BN4-Uzman_D!$L$22&lt;0, -(BN4-Uzman_D!$L$22), BN4-Uzman_D!$L$22)*2),0)/2 = IF(BN4-Uzman_D!$L$22&lt;0, -(BN4-Uzman_D!$L$22), BN4-Uzman_D!$L$22),
    (ROUND((IF(BN4-Uzman_D!$L$22&lt;0, -(BN4-Uzman_D!$L$22), BN4-Uzman_D!$L$22)*2),0)/1 * 0.1), 0) +
    IF(BO4-Uzman_D!$M$22&lt;0, -(BO4-Uzman_D!$M$22), BO4-Uzman_D!$M$22)*1
)</f>
        <v>1</v>
      </c>
      <c r="BQ4" s="74">
        <f>(P4+AC4+AP4+BC4+BP4)/5</f>
        <v>0.94000000000000006</v>
      </c>
    </row>
    <row r="5" spans="1:69" ht="15" customHeight="1" x14ac:dyDescent="0.2">
      <c r="A5" s="57">
        <v>2</v>
      </c>
      <c r="B5" s="29" t="str">
        <f>Hakemler!B5</f>
        <v>Deneme</v>
      </c>
      <c r="C5" s="29" t="str">
        <f>Hakemler!C5</f>
        <v>Hakem</v>
      </c>
      <c r="D5" s="71">
        <v>0</v>
      </c>
      <c r="E5" s="71">
        <v>0</v>
      </c>
      <c r="F5" s="71">
        <v>0</v>
      </c>
      <c r="G5" s="71">
        <v>0</v>
      </c>
      <c r="H5" s="71">
        <v>0</v>
      </c>
      <c r="I5" s="71">
        <v>0</v>
      </c>
      <c r="J5" s="71">
        <v>0</v>
      </c>
      <c r="K5" s="71">
        <v>0</v>
      </c>
      <c r="L5" s="71">
        <v>0</v>
      </c>
      <c r="M5" s="71">
        <v>0</v>
      </c>
      <c r="N5" s="72">
        <v>0</v>
      </c>
      <c r="O5" s="72">
        <v>0</v>
      </c>
      <c r="P5" s="73">
        <f>1 - (
    SUM(
        IF(D5-Uzman_D!$B$18&lt;0, -(D5-Uzman_D!$B$18), D5-Uzman_D!$B$18)*0.1 +
        IF(E5-Uzman_D!$C$18&lt;0, -(E5-Uzman_D!$C$18), E5-Uzman_D!$C$18)*0.1 +
        IF(F5-Uzman_D!$D$18&lt;0, -(F5-Uzman_D!$D$18), F5-Uzman_D!$D$18)*0.1 +
        IF(G5-Uzman_D!$E$18&lt;0, -(G5-Uzman_D!$E$18), G5-Uzman_D!$E$18)*0.1 +
        IF(H5-Uzman_D!$F$18&lt;0, -(H5-Uzman_D!$F$18), H5-Uzman_D!$F$18)*0.1 +
        IF(I5-Uzman_D!$G$18&lt;0, -(I5-Uzman_D!$G$18), I5-Uzman_D!$G$18)*0.1 +
        IF(J5-Uzman_D!$H$18&lt;0, -(J5-Uzman_D!$H$18), J5-Uzman_D!$H$18)*0.1 +
        IF(K5-Uzman_D!$I$18&lt;0, -(K5-Uzman_D!$I$18), K5-Uzman_D!$I$18)*0.1 +
        IF(L5-Uzman_D!$J$18&lt;0, -(L5-Uzman_D!$J$18), L5-Uzman_D!$J$18)*0.1
    ) +
    IF(ROUND((IF(N5-Uzman_D!$L$18&lt;0, -(N5-Uzman_D!$L$18), N5-Uzman_D!$L$18)*2),0)/2 = IF(N5-Uzman_D!$L$18&lt;0, -(N5-Uzman_D!$L$18), N5-Uzman_D!$L$18),
    (ROUND((IF(N5-Uzman_D!$L$18&lt;0, -(N5-Uzman_D!$L$18), N5-Uzman_D!$L$18)*2),0)/1 * 0.1), 0) +
    IF(O5-Uzman_D!$M$18&lt;0, -(O5-Uzman_D!$M$18), O5-Uzman_D!$M$18)*1
)</f>
        <v>-0.50000000000000022</v>
      </c>
      <c r="Q5" s="71"/>
      <c r="R5" s="71"/>
      <c r="S5" s="71"/>
      <c r="T5" s="71"/>
      <c r="U5" s="71"/>
      <c r="V5" s="71"/>
      <c r="W5" s="71"/>
      <c r="X5" s="71"/>
      <c r="Y5" s="71"/>
      <c r="Z5" s="71"/>
      <c r="AA5" s="72"/>
      <c r="AB5" s="72"/>
      <c r="AC5" s="73">
        <f>1 - (
    SUM(
        IF(Q5-Uzman_D!$B$19&lt;0, -(Q5-Uzman_D!$B$19), Q5-Uzman_D!$B$19)*0.1 +
        IF(R5-Uzman_D!$C$19&lt;0, -(R5-Uzman_D!$C$19), R5-Uzman_D!$C$19)*0.1 +
        IF(S5-Uzman_D!$D$19&lt;0, -(S5-Uzman_D!$D$19), S5-Uzman_D!$D$19)*0.1 +
        IF(T5-Uzman_D!$E$19&lt;0, -(T5-Uzman_D!$E$19), T5-Uzman_D!$E$19)*0.1 +
        IF(U5-Uzman_D!$F$19&lt;0, -(U5-Uzman_D!$F$19), U5-Uzman_D!$F$19)*0.1 +
        IF(V5-Uzman_D!$G$19&lt;0, -(V5-Uzman_D!$G$19), V5-Uzman_D!$G$19)*0.1 +
        IF(W5-Uzman_D!$H$19&lt;0, -(W5-Uzman_D!$H$19), W5-Uzman_D!$H$19)*0.1 +
        IF(X5-Uzman_D!$I$19&lt;0, -(X5-Uzman_D!$I$19), X5-Uzman_D!$I$19)*0.1 +
        IF(Y5-Uzman_D!$J$19&lt;0, -(Y5-Uzman_D!$J$19), Y5-Uzman_D!$J$19)*0.1
    ) +
    IF(ROUND((IF(AA5-Uzman_D!$L$19&lt;0, -(AA5-Uzman_D!$L$19), AA5-Uzman_D!$L$19)*2),0)/2 = IF(AA5-Uzman_D!$L$19&lt;0, -(AA5-Uzman_D!$L$19), AA5-Uzman_D!$L$19),
    (ROUND((IF(AA5-Uzman_D!$L$19&lt;0, -(AA5-Uzman_D!$L$19), AA5-Uzman_D!$L$19)*2),0)/1 * 0.1), 0) +
    IF(AB5-Uzman_D!$M$19&lt;0, -(AB5-Uzman_D!$M$19), AB5-Uzman_D!$M$19)*1
)</f>
        <v>-0.60000000000000009</v>
      </c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2"/>
      <c r="AO5" s="72"/>
      <c r="AP5" s="73">
        <f>1 - (
    SUM(
        IF(AD5-Uzman_D!$B$20&lt;0, -(AD5-Uzman_D!$B$20), AD5-Uzman_D!$B$20)*0.1 +
        IF(AE5-Uzman_D!$C$20&lt;0, -(AE5-Uzman_D!$C$20), AE5-Uzman_D!$C$20)*0.1 +
        IF(AF5-Uzman_D!$D$20&lt;0, -(AF5-Uzman_D!$D$20), AF5-Uzman_D!$D$20)*0.1 +
        IF(AG5-Uzman_D!$E$20&lt;0, -(AG5-Uzman_D!$E$20), AG5-Uzman_D!$E$20)*0.1 +
        IF(AH5-Uzman_D!$F$20&lt;0, -(AH5-Uzman_D!$F$20), AH5-Uzman_D!$F$20)*0.1 +
        IF(AI5-Uzman_D!$G$20&lt;0, -(AI5-Uzman_D!$G$20), AI5-Uzman_D!$G$20)*0.1 +
        IF(AJ5-Uzman_D!$H$20&lt;0, -(AJ5-Uzman_D!$H$20), AJ5-Uzman_D!$H$20)*0.1 +
        IF(AK5-Uzman_D!$I$20&lt;0, -(AK5-Uzman_D!$I$20), AK5-Uzman_D!$I$20)*0.1 +
        IF(AL5-Uzman_D!$J$20&lt;0, -(AL5-Uzman_D!$J$20), AL5-Uzman_D!$J$20)*0.1
    ) +
    IF(ROUND((IF(AN5-Uzman_D!$L$20&lt;0, -(AN5-Uzman_D!$L$20), AN5-Uzman_D!$L$20)*2),0)/2 = IF(AN5-Uzman_D!$L$20&lt;0, -(AN5-Uzman_D!$L$20), AN5-Uzman_D!$L$20),
    (ROUND((IF(AN5-Uzman_D!$L$20&lt;0, -(AN5-Uzman_D!$L$20), AN5-Uzman_D!$L$20)*2),0)/1 * 0.1), 0) +
    IF(AO5-Uzman_D!$M$20&lt;0, -(AO5-Uzman_D!$M$20), AO5-Uzman_D!$M$20)*1
)</f>
        <v>-0.60000000000000009</v>
      </c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2"/>
      <c r="BB5" s="72"/>
      <c r="BC5" s="73">
        <f>1 - (
    SUM(
        IF(AQ5-Uzman_D!$B$21&lt;0, -(AQ5-Uzman_D!$B$21), AQ5-Uzman_D!$B$21)*0.1 +
        IF(AR5-Uzman_D!$C$21&lt;0, -(AR5-Uzman_D!$C$21), AR5-Uzman_D!$C$21)*0.1 +
        IF(AS5-Uzman_D!$D$21&lt;0, -(AS5-Uzman_D!$D$21), AS5-Uzman_D!$D$21)*0.1 +
        IF(AT5-Uzman_D!$E$21&lt;0, -(AT5-Uzman_D!$E$21), AT5-Uzman_D!$E$21)*0.1 +
        IF(AU5-Uzman_D!$F$21&lt;0, -(AU5-Uzman_D!$F$21), AU5-Uzman_D!$F$21)*0.1 +
        IF(AV5-Uzman_D!$G$21&lt;0, -(AV5-Uzman_D!$G$21), AV5-Uzman_D!$G$21)*0.1 +
        IF(AW5-Uzman_D!$H$21&lt;0, -(AW5-Uzman_D!$H$21), AW5-Uzman_D!$H$21)*0.1 +
        IF(AX5-Uzman_D!$I$21&lt;0, -(AX5-Uzman_D!$I$21), AX5-Uzman_D!$I$21)*0.1 +
        IF(AY5-Uzman_D!$J$21&lt;0, -(AY5-Uzman_D!$J$21), AY5-Uzman_D!$J$21)*0.1
    ) +
    IF(ROUND((IF(BA5-Uzman_D!$L$21&lt;0, -(BA5-Uzman_D!$L$21), BA5-Uzman_D!$L$21)*2),0)/2 = IF(BA5-Uzman_D!$L$21&lt;0, -(BA5-Uzman_D!$L$21), BA5-Uzman_D!$L$21),
    (ROUND((IF(BA5-Uzman_D!$L$21&lt;0, -(BA5-Uzman_D!$L$21), BA5-Uzman_D!$L$21)*2),0)/1 * 0.1), 0) +
    IF(BB5-Uzman_D!$M$21&lt;0, -(BB5-Uzman_D!$M$21), BB5-Uzman_D!$M$21)*1
)</f>
        <v>-0.60000000000000009</v>
      </c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2"/>
      <c r="BO5" s="72"/>
      <c r="BP5" s="73">
        <f>1 - (
    SUM(
        IF(BD5-Uzman_D!$B$22&lt;0, -(BD5-Uzman_D!$B$22), BD5-Uzman_D!$B$22)*0.1 +
        IF(BE5-Uzman_D!$C$22&lt;0, -(BE5-Uzman_D!$C$22), BE5-Uzman_D!$C$22)*0.1 +
        IF(BF5-Uzman_D!$D$22&lt;0, -(BF5-Uzman_D!$D$22), BF5-Uzman_D!$D$22)*0.1 +
        IF(BG5-Uzman_D!$E$22&lt;0, -(BG5-Uzman_D!$E$22), BG5-Uzman_D!$E$22)*0.1 +
        IF(BH5-Uzman_D!$F$22&lt;0, -(BH5-Uzman_D!$F$22), BH5-Uzman_D!$F$22)*0.1 +
        IF(BI5-Uzman_D!$G$22&lt;0, -(BI5-Uzman_D!$G$22), BI5-Uzman_D!$G$22)*0.1 +
        IF(BJ5-Uzman_D!$H$22&lt;0, -(BJ5-Uzman_D!$H$22), BJ5-Uzman_D!$H$22)*0.1 +
        IF(BK5-Uzman_D!$I$22&lt;0, -(BK5-Uzman_D!$I$22), BK5-Uzman_D!$I$22)*0.1 +
        IF(BL5-Uzman_D!$J$22&lt;0, -(BL5-Uzman_D!$J$22), BL5-Uzman_D!$J$22)*0.1
    ) +
    IF(ROUND((IF(BN5-Uzman_D!$L$22&lt;0, -(BN5-Uzman_D!$L$22), BN5-Uzman_D!$L$22)*2),0)/2 = IF(BN5-Uzman_D!$L$22&lt;0, -(BN5-Uzman_D!$L$22), BN5-Uzman_D!$L$22),
    (ROUND((IF(BN5-Uzman_D!$L$22&lt;0, -(BN5-Uzman_D!$L$22), BN5-Uzman_D!$L$22)*2),0)/1 * 0.1), 0) +
    IF(BO5-Uzman_D!$M$22&lt;0, -(BO5-Uzman_D!$M$22), BO5-Uzman_D!$M$22)*1
)</f>
        <v>-0.40000000000000013</v>
      </c>
      <c r="BQ5" s="74">
        <f t="shared" ref="BQ5:BQ68" si="0">(P5+AC5+AP5+BC5+BP5)/5</f>
        <v>-0.54000000000000026</v>
      </c>
    </row>
    <row r="6" spans="1:69" ht="15" customHeight="1" x14ac:dyDescent="0.2">
      <c r="A6" s="57">
        <v>3</v>
      </c>
      <c r="B6" s="29">
        <f>Hakemler!B6</f>
        <v>0</v>
      </c>
      <c r="C6" s="29">
        <f>Hakemler!C6</f>
        <v>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2"/>
      <c r="O6" s="72"/>
      <c r="P6" s="73">
        <f>1 - (
    SUM(
        IF(D6-Uzman_D!$B$18&lt;0, -(D6-Uzman_D!$B$18), D6-Uzman_D!$B$18)*0.1 +
        IF(E6-Uzman_D!$C$18&lt;0, -(E6-Uzman_D!$C$18), E6-Uzman_D!$C$18)*0.1 +
        IF(F6-Uzman_D!$D$18&lt;0, -(F6-Uzman_D!$D$18), F6-Uzman_D!$D$18)*0.1 +
        IF(G6-Uzman_D!$E$18&lt;0, -(G6-Uzman_D!$E$18), G6-Uzman_D!$E$18)*0.1 +
        IF(H6-Uzman_D!$F$18&lt;0, -(H6-Uzman_D!$F$18), H6-Uzman_D!$F$18)*0.1 +
        IF(I6-Uzman_D!$G$18&lt;0, -(I6-Uzman_D!$G$18), I6-Uzman_D!$G$18)*0.1 +
        IF(J6-Uzman_D!$H$18&lt;0, -(J6-Uzman_D!$H$18), J6-Uzman_D!$H$18)*0.1 +
        IF(K6-Uzman_D!$I$18&lt;0, -(K6-Uzman_D!$I$18), K6-Uzman_D!$I$18)*0.1 +
        IF(L6-Uzman_D!$J$18&lt;0, -(L6-Uzman_D!$J$18), L6-Uzman_D!$J$18)*0.1
    ) +
    IF(ROUND((IF(N6-Uzman_D!$L$18&lt;0, -(N6-Uzman_D!$L$18), N6-Uzman_D!$L$18)*2),0)/2 = IF(N6-Uzman_D!$L$18&lt;0, -(N6-Uzman_D!$L$18), N6-Uzman_D!$L$18),
    (ROUND((IF(N6-Uzman_D!$L$18&lt;0, -(N6-Uzman_D!$L$18), N6-Uzman_D!$L$18)*2),0)/1 * 0.1), 0) +
    IF(O6-Uzman_D!$M$18&lt;0, -(O6-Uzman_D!$M$18), O6-Uzman_D!$M$18)*1
)</f>
        <v>-0.50000000000000022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2"/>
      <c r="AB6" s="72"/>
      <c r="AC6" s="73">
        <f>1 - (
    SUM(
        IF(Q6-Uzman_D!$B$19&lt;0, -(Q6-Uzman_D!$B$19), Q6-Uzman_D!$B$19)*0.1 +
        IF(R6-Uzman_D!$C$19&lt;0, -(R6-Uzman_D!$C$19), R6-Uzman_D!$C$19)*0.1 +
        IF(S6-Uzman_D!$D$19&lt;0, -(S6-Uzman_D!$D$19), S6-Uzman_D!$D$19)*0.1 +
        IF(T6-Uzman_D!$E$19&lt;0, -(T6-Uzman_D!$E$19), T6-Uzman_D!$E$19)*0.1 +
        IF(U6-Uzman_D!$F$19&lt;0, -(U6-Uzman_D!$F$19), U6-Uzman_D!$F$19)*0.1 +
        IF(V6-Uzman_D!$G$19&lt;0, -(V6-Uzman_D!$G$19), V6-Uzman_D!$G$19)*0.1 +
        IF(W6-Uzman_D!$H$19&lt;0, -(W6-Uzman_D!$H$19), W6-Uzman_D!$H$19)*0.1 +
        IF(X6-Uzman_D!$I$19&lt;0, -(X6-Uzman_D!$I$19), X6-Uzman_D!$I$19)*0.1 +
        IF(Y6-Uzman_D!$J$19&lt;0, -(Y6-Uzman_D!$J$19), Y6-Uzman_D!$J$19)*0.1
    ) +
    IF(ROUND((IF(AA6-Uzman_D!$L$19&lt;0, -(AA6-Uzman_D!$L$19), AA6-Uzman_D!$L$19)*2),0)/2 = IF(AA6-Uzman_D!$L$19&lt;0, -(AA6-Uzman_D!$L$19), AA6-Uzman_D!$L$19),
    (ROUND((IF(AA6-Uzman_D!$L$19&lt;0, -(AA6-Uzman_D!$L$19), AA6-Uzman_D!$L$19)*2),0)/1 * 0.1), 0) +
    IF(AB6-Uzman_D!$M$19&lt;0, -(AB6-Uzman_D!$M$19), AB6-Uzman_D!$M$19)*1
)</f>
        <v>-0.60000000000000009</v>
      </c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2"/>
      <c r="AO6" s="72"/>
      <c r="AP6" s="73">
        <f>1 - (
    SUM(
        IF(AD6-Uzman_D!$B$20&lt;0, -(AD6-Uzman_D!$B$20), AD6-Uzman_D!$B$20)*0.1 +
        IF(AE6-Uzman_D!$C$20&lt;0, -(AE6-Uzman_D!$C$20), AE6-Uzman_D!$C$20)*0.1 +
        IF(AF6-Uzman_D!$D$20&lt;0, -(AF6-Uzman_D!$D$20), AF6-Uzman_D!$D$20)*0.1 +
        IF(AG6-Uzman_D!$E$20&lt;0, -(AG6-Uzman_D!$E$20), AG6-Uzman_D!$E$20)*0.1 +
        IF(AH6-Uzman_D!$F$20&lt;0, -(AH6-Uzman_D!$F$20), AH6-Uzman_D!$F$20)*0.1 +
        IF(AI6-Uzman_D!$G$20&lt;0, -(AI6-Uzman_D!$G$20), AI6-Uzman_D!$G$20)*0.1 +
        IF(AJ6-Uzman_D!$H$20&lt;0, -(AJ6-Uzman_D!$H$20), AJ6-Uzman_D!$H$20)*0.1 +
        IF(AK6-Uzman_D!$I$20&lt;0, -(AK6-Uzman_D!$I$20), AK6-Uzman_D!$I$20)*0.1 +
        IF(AL6-Uzman_D!$J$20&lt;0, -(AL6-Uzman_D!$J$20), AL6-Uzman_D!$J$20)*0.1
    ) +
    IF(ROUND((IF(AN6-Uzman_D!$L$20&lt;0, -(AN6-Uzman_D!$L$20), AN6-Uzman_D!$L$20)*2),0)/2 = IF(AN6-Uzman_D!$L$20&lt;0, -(AN6-Uzman_D!$L$20), AN6-Uzman_D!$L$20),
    (ROUND((IF(AN6-Uzman_D!$L$20&lt;0, -(AN6-Uzman_D!$L$20), AN6-Uzman_D!$L$20)*2),0)/1 * 0.1), 0) +
    IF(AO6-Uzman_D!$M$20&lt;0, -(AO6-Uzman_D!$M$20), AO6-Uzman_D!$M$20)*1
)</f>
        <v>-0.60000000000000009</v>
      </c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2"/>
      <c r="BB6" s="72"/>
      <c r="BC6" s="73">
        <f>1 - (
    SUM(
        IF(AQ6-Uzman_D!$B$21&lt;0, -(AQ6-Uzman_D!$B$21), AQ6-Uzman_D!$B$21)*0.1 +
        IF(AR6-Uzman_D!$C$21&lt;0, -(AR6-Uzman_D!$C$21), AR6-Uzman_D!$C$21)*0.1 +
        IF(AS6-Uzman_D!$D$21&lt;0, -(AS6-Uzman_D!$D$21), AS6-Uzman_D!$D$21)*0.1 +
        IF(AT6-Uzman_D!$E$21&lt;0, -(AT6-Uzman_D!$E$21), AT6-Uzman_D!$E$21)*0.1 +
        IF(AU6-Uzman_D!$F$21&lt;0, -(AU6-Uzman_D!$F$21), AU6-Uzman_D!$F$21)*0.1 +
        IF(AV6-Uzman_D!$G$21&lt;0, -(AV6-Uzman_D!$G$21), AV6-Uzman_D!$G$21)*0.1 +
        IF(AW6-Uzman_D!$H$21&lt;0, -(AW6-Uzman_D!$H$21), AW6-Uzman_D!$H$21)*0.1 +
        IF(AX6-Uzman_D!$I$21&lt;0, -(AX6-Uzman_D!$I$21), AX6-Uzman_D!$I$21)*0.1 +
        IF(AY6-Uzman_D!$J$21&lt;0, -(AY6-Uzman_D!$J$21), AY6-Uzman_D!$J$21)*0.1
    ) +
    IF(ROUND((IF(BA6-Uzman_D!$L$21&lt;0, -(BA6-Uzman_D!$L$21), BA6-Uzman_D!$L$21)*2),0)/2 = IF(BA6-Uzman_D!$L$21&lt;0, -(BA6-Uzman_D!$L$21), BA6-Uzman_D!$L$21),
    (ROUND((IF(BA6-Uzman_D!$L$21&lt;0, -(BA6-Uzman_D!$L$21), BA6-Uzman_D!$L$21)*2),0)/1 * 0.1), 0) +
    IF(BB6-Uzman_D!$M$21&lt;0, -(BB6-Uzman_D!$M$21), BB6-Uzman_D!$M$21)*1
)</f>
        <v>-0.60000000000000009</v>
      </c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2"/>
      <c r="BO6" s="72"/>
      <c r="BP6" s="73">
        <f>1 - (
    SUM(
        IF(BD6-Uzman_D!$B$22&lt;0, -(BD6-Uzman_D!$B$22), BD6-Uzman_D!$B$22)*0.1 +
        IF(BE6-Uzman_D!$C$22&lt;0, -(BE6-Uzman_D!$C$22), BE6-Uzman_D!$C$22)*0.1 +
        IF(BF6-Uzman_D!$D$22&lt;0, -(BF6-Uzman_D!$D$22), BF6-Uzman_D!$D$22)*0.1 +
        IF(BG6-Uzman_D!$E$22&lt;0, -(BG6-Uzman_D!$E$22), BG6-Uzman_D!$E$22)*0.1 +
        IF(BH6-Uzman_D!$F$22&lt;0, -(BH6-Uzman_D!$F$22), BH6-Uzman_D!$F$22)*0.1 +
        IF(BI6-Uzman_D!$G$22&lt;0, -(BI6-Uzman_D!$G$22), BI6-Uzman_D!$G$22)*0.1 +
        IF(BJ6-Uzman_D!$H$22&lt;0, -(BJ6-Uzman_D!$H$22), BJ6-Uzman_D!$H$22)*0.1 +
        IF(BK6-Uzman_D!$I$22&lt;0, -(BK6-Uzman_D!$I$22), BK6-Uzman_D!$I$22)*0.1 +
        IF(BL6-Uzman_D!$J$22&lt;0, -(BL6-Uzman_D!$J$22), BL6-Uzman_D!$J$22)*0.1
    ) +
    IF(ROUND((IF(BN6-Uzman_D!$L$22&lt;0, -(BN6-Uzman_D!$L$22), BN6-Uzman_D!$L$22)*2),0)/2 = IF(BN6-Uzman_D!$L$22&lt;0, -(BN6-Uzman_D!$L$22), BN6-Uzman_D!$L$22),
    (ROUND((IF(BN6-Uzman_D!$L$22&lt;0, -(BN6-Uzman_D!$L$22), BN6-Uzman_D!$L$22)*2),0)/1 * 0.1), 0) +
    IF(BO6-Uzman_D!$M$22&lt;0, -(BO6-Uzman_D!$M$22), BO6-Uzman_D!$M$22)*1
)</f>
        <v>-0.40000000000000013</v>
      </c>
      <c r="BQ6" s="74">
        <f t="shared" si="0"/>
        <v>-0.54000000000000026</v>
      </c>
    </row>
    <row r="7" spans="1:69" ht="15" customHeight="1" x14ac:dyDescent="0.2">
      <c r="A7" s="57">
        <v>4</v>
      </c>
      <c r="B7" s="29">
        <f>Hakemler!B7</f>
        <v>0</v>
      </c>
      <c r="C7" s="29">
        <f>Hakemler!C7</f>
        <v>0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2"/>
      <c r="O7" s="72"/>
      <c r="P7" s="73">
        <f>1 - (
    SUM(
        IF(D7-Uzman_D!$B$18&lt;0, -(D7-Uzman_D!$B$18), D7-Uzman_D!$B$18)*0.1 +
        IF(E7-Uzman_D!$C$18&lt;0, -(E7-Uzman_D!$C$18), E7-Uzman_D!$C$18)*0.1 +
        IF(F7-Uzman_D!$D$18&lt;0, -(F7-Uzman_D!$D$18), F7-Uzman_D!$D$18)*0.1 +
        IF(G7-Uzman_D!$E$18&lt;0, -(G7-Uzman_D!$E$18), G7-Uzman_D!$E$18)*0.1 +
        IF(H7-Uzman_D!$F$18&lt;0, -(H7-Uzman_D!$F$18), H7-Uzman_D!$F$18)*0.1 +
        IF(I7-Uzman_D!$G$18&lt;0, -(I7-Uzman_D!$G$18), I7-Uzman_D!$G$18)*0.1 +
        IF(J7-Uzman_D!$H$18&lt;0, -(J7-Uzman_D!$H$18), J7-Uzman_D!$H$18)*0.1 +
        IF(K7-Uzman_D!$I$18&lt;0, -(K7-Uzman_D!$I$18), K7-Uzman_D!$I$18)*0.1 +
        IF(L7-Uzman_D!$J$18&lt;0, -(L7-Uzman_D!$J$18), L7-Uzman_D!$J$18)*0.1
    ) +
    IF(ROUND((IF(N7-Uzman_D!$L$18&lt;0, -(N7-Uzman_D!$L$18), N7-Uzman_D!$L$18)*2),0)/2 = IF(N7-Uzman_D!$L$18&lt;0, -(N7-Uzman_D!$L$18), N7-Uzman_D!$L$18),
    (ROUND((IF(N7-Uzman_D!$L$18&lt;0, -(N7-Uzman_D!$L$18), N7-Uzman_D!$L$18)*2),0)/1 * 0.1), 0) +
    IF(O7-Uzman_D!$M$18&lt;0, -(O7-Uzman_D!$M$18), O7-Uzman_D!$M$18)*1
)</f>
        <v>-0.50000000000000022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2"/>
      <c r="AB7" s="72"/>
      <c r="AC7" s="73">
        <f>1 - (
    SUM(
        IF(Q7-Uzman_D!$B$19&lt;0, -(Q7-Uzman_D!$B$19), Q7-Uzman_D!$B$19)*0.1 +
        IF(R7-Uzman_D!$C$19&lt;0, -(R7-Uzman_D!$C$19), R7-Uzman_D!$C$19)*0.1 +
        IF(S7-Uzman_D!$D$19&lt;0, -(S7-Uzman_D!$D$19), S7-Uzman_D!$D$19)*0.1 +
        IF(T7-Uzman_D!$E$19&lt;0, -(T7-Uzman_D!$E$19), T7-Uzman_D!$E$19)*0.1 +
        IF(U7-Uzman_D!$F$19&lt;0, -(U7-Uzman_D!$F$19), U7-Uzman_D!$F$19)*0.1 +
        IF(V7-Uzman_D!$G$19&lt;0, -(V7-Uzman_D!$G$19), V7-Uzman_D!$G$19)*0.1 +
        IF(W7-Uzman_D!$H$19&lt;0, -(W7-Uzman_D!$H$19), W7-Uzman_D!$H$19)*0.1 +
        IF(X7-Uzman_D!$I$19&lt;0, -(X7-Uzman_D!$I$19), X7-Uzman_D!$I$19)*0.1 +
        IF(Y7-Uzman_D!$J$19&lt;0, -(Y7-Uzman_D!$J$19), Y7-Uzman_D!$J$19)*0.1
    ) +
    IF(ROUND((IF(AA7-Uzman_D!$L$19&lt;0, -(AA7-Uzman_D!$L$19), AA7-Uzman_D!$L$19)*2),0)/2 = IF(AA7-Uzman_D!$L$19&lt;0, -(AA7-Uzman_D!$L$19), AA7-Uzman_D!$L$19),
    (ROUND((IF(AA7-Uzman_D!$L$19&lt;0, -(AA7-Uzman_D!$L$19), AA7-Uzman_D!$L$19)*2),0)/1 * 0.1), 0) +
    IF(AB7-Uzman_D!$M$19&lt;0, -(AB7-Uzman_D!$M$19), AB7-Uzman_D!$M$19)*1
)</f>
        <v>-0.60000000000000009</v>
      </c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2"/>
      <c r="AO7" s="72"/>
      <c r="AP7" s="73">
        <f>1 - (
    SUM(
        IF(AD7-Uzman_D!$B$20&lt;0, -(AD7-Uzman_D!$B$20), AD7-Uzman_D!$B$20)*0.1 +
        IF(AE7-Uzman_D!$C$20&lt;0, -(AE7-Uzman_D!$C$20), AE7-Uzman_D!$C$20)*0.1 +
        IF(AF7-Uzman_D!$D$20&lt;0, -(AF7-Uzman_D!$D$20), AF7-Uzman_D!$D$20)*0.1 +
        IF(AG7-Uzman_D!$E$20&lt;0, -(AG7-Uzman_D!$E$20), AG7-Uzman_D!$E$20)*0.1 +
        IF(AH7-Uzman_D!$F$20&lt;0, -(AH7-Uzman_D!$F$20), AH7-Uzman_D!$F$20)*0.1 +
        IF(AI7-Uzman_D!$G$20&lt;0, -(AI7-Uzman_D!$G$20), AI7-Uzman_D!$G$20)*0.1 +
        IF(AJ7-Uzman_D!$H$20&lt;0, -(AJ7-Uzman_D!$H$20), AJ7-Uzman_D!$H$20)*0.1 +
        IF(AK7-Uzman_D!$I$20&lt;0, -(AK7-Uzman_D!$I$20), AK7-Uzman_D!$I$20)*0.1 +
        IF(AL7-Uzman_D!$J$20&lt;0, -(AL7-Uzman_D!$J$20), AL7-Uzman_D!$J$20)*0.1
    ) +
    IF(ROUND((IF(AN7-Uzman_D!$L$20&lt;0, -(AN7-Uzman_D!$L$20), AN7-Uzman_D!$L$20)*2),0)/2 = IF(AN7-Uzman_D!$L$20&lt;0, -(AN7-Uzman_D!$L$20), AN7-Uzman_D!$L$20),
    (ROUND((IF(AN7-Uzman_D!$L$20&lt;0, -(AN7-Uzman_D!$L$20), AN7-Uzman_D!$L$20)*2),0)/1 * 0.1), 0) +
    IF(AO7-Uzman_D!$M$20&lt;0, -(AO7-Uzman_D!$M$20), AO7-Uzman_D!$M$20)*1
)</f>
        <v>-0.60000000000000009</v>
      </c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2"/>
      <c r="BB7" s="72"/>
      <c r="BC7" s="73">
        <f>1 - (
    SUM(
        IF(AQ7-Uzman_D!$B$21&lt;0, -(AQ7-Uzman_D!$B$21), AQ7-Uzman_D!$B$21)*0.1 +
        IF(AR7-Uzman_D!$C$21&lt;0, -(AR7-Uzman_D!$C$21), AR7-Uzman_D!$C$21)*0.1 +
        IF(AS7-Uzman_D!$D$21&lt;0, -(AS7-Uzman_D!$D$21), AS7-Uzman_D!$D$21)*0.1 +
        IF(AT7-Uzman_D!$E$21&lt;0, -(AT7-Uzman_D!$E$21), AT7-Uzman_D!$E$21)*0.1 +
        IF(AU7-Uzman_D!$F$21&lt;0, -(AU7-Uzman_D!$F$21), AU7-Uzman_D!$F$21)*0.1 +
        IF(AV7-Uzman_D!$G$21&lt;0, -(AV7-Uzman_D!$G$21), AV7-Uzman_D!$G$21)*0.1 +
        IF(AW7-Uzman_D!$H$21&lt;0, -(AW7-Uzman_D!$H$21), AW7-Uzman_D!$H$21)*0.1 +
        IF(AX7-Uzman_D!$I$21&lt;0, -(AX7-Uzman_D!$I$21), AX7-Uzman_D!$I$21)*0.1 +
        IF(AY7-Uzman_D!$J$21&lt;0, -(AY7-Uzman_D!$J$21), AY7-Uzman_D!$J$21)*0.1
    ) +
    IF(ROUND((IF(BA7-Uzman_D!$L$21&lt;0, -(BA7-Uzman_D!$L$21), BA7-Uzman_D!$L$21)*2),0)/2 = IF(BA7-Uzman_D!$L$21&lt;0, -(BA7-Uzman_D!$L$21), BA7-Uzman_D!$L$21),
    (ROUND((IF(BA7-Uzman_D!$L$21&lt;0, -(BA7-Uzman_D!$L$21), BA7-Uzman_D!$L$21)*2),0)/1 * 0.1), 0) +
    IF(BB7-Uzman_D!$M$21&lt;0, -(BB7-Uzman_D!$M$21), BB7-Uzman_D!$M$21)*1
)</f>
        <v>-0.60000000000000009</v>
      </c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2"/>
      <c r="BO7" s="72"/>
      <c r="BP7" s="73">
        <f>1 - (
    SUM(
        IF(BD7-Uzman_D!$B$22&lt;0, -(BD7-Uzman_D!$B$22), BD7-Uzman_D!$B$22)*0.1 +
        IF(BE7-Uzman_D!$C$22&lt;0, -(BE7-Uzman_D!$C$22), BE7-Uzman_D!$C$22)*0.1 +
        IF(BF7-Uzman_D!$D$22&lt;0, -(BF7-Uzman_D!$D$22), BF7-Uzman_D!$D$22)*0.1 +
        IF(BG7-Uzman_D!$E$22&lt;0, -(BG7-Uzman_D!$E$22), BG7-Uzman_D!$E$22)*0.1 +
        IF(BH7-Uzman_D!$F$22&lt;0, -(BH7-Uzman_D!$F$22), BH7-Uzman_D!$F$22)*0.1 +
        IF(BI7-Uzman_D!$G$22&lt;0, -(BI7-Uzman_D!$G$22), BI7-Uzman_D!$G$22)*0.1 +
        IF(BJ7-Uzman_D!$H$22&lt;0, -(BJ7-Uzman_D!$H$22), BJ7-Uzman_D!$H$22)*0.1 +
        IF(BK7-Uzman_D!$I$22&lt;0, -(BK7-Uzman_D!$I$22), BK7-Uzman_D!$I$22)*0.1 +
        IF(BL7-Uzman_D!$J$22&lt;0, -(BL7-Uzman_D!$J$22), BL7-Uzman_D!$J$22)*0.1
    ) +
    IF(ROUND((IF(BN7-Uzman_D!$L$22&lt;0, -(BN7-Uzman_D!$L$22), BN7-Uzman_D!$L$22)*2),0)/2 = IF(BN7-Uzman_D!$L$22&lt;0, -(BN7-Uzman_D!$L$22), BN7-Uzman_D!$L$22),
    (ROUND((IF(BN7-Uzman_D!$L$22&lt;0, -(BN7-Uzman_D!$L$22), BN7-Uzman_D!$L$22)*2),0)/1 * 0.1), 0) +
    IF(BO7-Uzman_D!$M$22&lt;0, -(BO7-Uzman_D!$M$22), BO7-Uzman_D!$M$22)*1
)</f>
        <v>-0.40000000000000013</v>
      </c>
      <c r="BQ7" s="74">
        <f t="shared" si="0"/>
        <v>-0.54000000000000026</v>
      </c>
    </row>
    <row r="8" spans="1:69" ht="15" customHeight="1" x14ac:dyDescent="0.2">
      <c r="A8" s="57">
        <v>5</v>
      </c>
      <c r="B8" s="29">
        <f>Hakemler!B8</f>
        <v>0</v>
      </c>
      <c r="C8" s="29">
        <f>Hakemler!C8</f>
        <v>0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2"/>
      <c r="O8" s="72"/>
      <c r="P8" s="73">
        <f>1 - (
    SUM(
        IF(D8-Uzman_D!$B$18&lt;0, -(D8-Uzman_D!$B$18), D8-Uzman_D!$B$18)*0.1 +
        IF(E8-Uzman_D!$C$18&lt;0, -(E8-Uzman_D!$C$18), E8-Uzman_D!$C$18)*0.1 +
        IF(F8-Uzman_D!$D$18&lt;0, -(F8-Uzman_D!$D$18), F8-Uzman_D!$D$18)*0.1 +
        IF(G8-Uzman_D!$E$18&lt;0, -(G8-Uzman_D!$E$18), G8-Uzman_D!$E$18)*0.1 +
        IF(H8-Uzman_D!$F$18&lt;0, -(H8-Uzman_D!$F$18), H8-Uzman_D!$F$18)*0.1 +
        IF(I8-Uzman_D!$G$18&lt;0, -(I8-Uzman_D!$G$18), I8-Uzman_D!$G$18)*0.1 +
        IF(J8-Uzman_D!$H$18&lt;0, -(J8-Uzman_D!$H$18), J8-Uzman_D!$H$18)*0.1 +
        IF(K8-Uzman_D!$I$18&lt;0, -(K8-Uzman_D!$I$18), K8-Uzman_D!$I$18)*0.1 +
        IF(L8-Uzman_D!$J$18&lt;0, -(L8-Uzman_D!$J$18), L8-Uzman_D!$J$18)*0.1
    ) +
    IF(ROUND((IF(N8-Uzman_D!$L$18&lt;0, -(N8-Uzman_D!$L$18), N8-Uzman_D!$L$18)*2),0)/2 = IF(N8-Uzman_D!$L$18&lt;0, -(N8-Uzman_D!$L$18), N8-Uzman_D!$L$18),
    (ROUND((IF(N8-Uzman_D!$L$18&lt;0, -(N8-Uzman_D!$L$18), N8-Uzman_D!$L$18)*2),0)/1 * 0.1), 0) +
    IF(O8-Uzman_D!$M$18&lt;0, -(O8-Uzman_D!$M$18), O8-Uzman_D!$M$18)*1
)</f>
        <v>-0.50000000000000022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2"/>
      <c r="AB8" s="72"/>
      <c r="AC8" s="73">
        <f>1 - (
    SUM(
        IF(Q8-Uzman_D!$B$19&lt;0, -(Q8-Uzman_D!$B$19), Q8-Uzman_D!$B$19)*0.1 +
        IF(R8-Uzman_D!$C$19&lt;0, -(R8-Uzman_D!$C$19), R8-Uzman_D!$C$19)*0.1 +
        IF(S8-Uzman_D!$D$19&lt;0, -(S8-Uzman_D!$D$19), S8-Uzman_D!$D$19)*0.1 +
        IF(T8-Uzman_D!$E$19&lt;0, -(T8-Uzman_D!$E$19), T8-Uzman_D!$E$19)*0.1 +
        IF(U8-Uzman_D!$F$19&lt;0, -(U8-Uzman_D!$F$19), U8-Uzman_D!$F$19)*0.1 +
        IF(V8-Uzman_D!$G$19&lt;0, -(V8-Uzman_D!$G$19), V8-Uzman_D!$G$19)*0.1 +
        IF(W8-Uzman_D!$H$19&lt;0, -(W8-Uzman_D!$H$19), W8-Uzman_D!$H$19)*0.1 +
        IF(X8-Uzman_D!$I$19&lt;0, -(X8-Uzman_D!$I$19), X8-Uzman_D!$I$19)*0.1 +
        IF(Y8-Uzman_D!$J$19&lt;0, -(Y8-Uzman_D!$J$19), Y8-Uzman_D!$J$19)*0.1
    ) +
    IF(ROUND((IF(AA8-Uzman_D!$L$19&lt;0, -(AA8-Uzman_D!$L$19), AA8-Uzman_D!$L$19)*2),0)/2 = IF(AA8-Uzman_D!$L$19&lt;0, -(AA8-Uzman_D!$L$19), AA8-Uzman_D!$L$19),
    (ROUND((IF(AA8-Uzman_D!$L$19&lt;0, -(AA8-Uzman_D!$L$19), AA8-Uzman_D!$L$19)*2),0)/1 * 0.1), 0) +
    IF(AB8-Uzman_D!$M$19&lt;0, -(AB8-Uzman_D!$M$19), AB8-Uzman_D!$M$19)*1
)</f>
        <v>-0.60000000000000009</v>
      </c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2"/>
      <c r="AO8" s="72"/>
      <c r="AP8" s="73">
        <f>1 - (
    SUM(
        IF(AD8-Uzman_D!$B$20&lt;0, -(AD8-Uzman_D!$B$20), AD8-Uzman_D!$B$20)*0.1 +
        IF(AE8-Uzman_D!$C$20&lt;0, -(AE8-Uzman_D!$C$20), AE8-Uzman_D!$C$20)*0.1 +
        IF(AF8-Uzman_D!$D$20&lt;0, -(AF8-Uzman_D!$D$20), AF8-Uzman_D!$D$20)*0.1 +
        IF(AG8-Uzman_D!$E$20&lt;0, -(AG8-Uzman_D!$E$20), AG8-Uzman_D!$E$20)*0.1 +
        IF(AH8-Uzman_D!$F$20&lt;0, -(AH8-Uzman_D!$F$20), AH8-Uzman_D!$F$20)*0.1 +
        IF(AI8-Uzman_D!$G$20&lt;0, -(AI8-Uzman_D!$G$20), AI8-Uzman_D!$G$20)*0.1 +
        IF(AJ8-Uzman_D!$H$20&lt;0, -(AJ8-Uzman_D!$H$20), AJ8-Uzman_D!$H$20)*0.1 +
        IF(AK8-Uzman_D!$I$20&lt;0, -(AK8-Uzman_D!$I$20), AK8-Uzman_D!$I$20)*0.1 +
        IF(AL8-Uzman_D!$J$20&lt;0, -(AL8-Uzman_D!$J$20), AL8-Uzman_D!$J$20)*0.1
    ) +
    IF(ROUND((IF(AN8-Uzman_D!$L$20&lt;0, -(AN8-Uzman_D!$L$20), AN8-Uzman_D!$L$20)*2),0)/2 = IF(AN8-Uzman_D!$L$20&lt;0, -(AN8-Uzman_D!$L$20), AN8-Uzman_D!$L$20),
    (ROUND((IF(AN8-Uzman_D!$L$20&lt;0, -(AN8-Uzman_D!$L$20), AN8-Uzman_D!$L$20)*2),0)/1 * 0.1), 0) +
    IF(AO8-Uzman_D!$M$20&lt;0, -(AO8-Uzman_D!$M$20), AO8-Uzman_D!$M$20)*1
)</f>
        <v>-0.60000000000000009</v>
      </c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2"/>
      <c r="BB8" s="72"/>
      <c r="BC8" s="73">
        <f>1 - (
    SUM(
        IF(AQ8-Uzman_D!$B$21&lt;0, -(AQ8-Uzman_D!$B$21), AQ8-Uzman_D!$B$21)*0.1 +
        IF(AR8-Uzman_D!$C$21&lt;0, -(AR8-Uzman_D!$C$21), AR8-Uzman_D!$C$21)*0.1 +
        IF(AS8-Uzman_D!$D$21&lt;0, -(AS8-Uzman_D!$D$21), AS8-Uzman_D!$D$21)*0.1 +
        IF(AT8-Uzman_D!$E$21&lt;0, -(AT8-Uzman_D!$E$21), AT8-Uzman_D!$E$21)*0.1 +
        IF(AU8-Uzman_D!$F$21&lt;0, -(AU8-Uzman_D!$F$21), AU8-Uzman_D!$F$21)*0.1 +
        IF(AV8-Uzman_D!$G$21&lt;0, -(AV8-Uzman_D!$G$21), AV8-Uzman_D!$G$21)*0.1 +
        IF(AW8-Uzman_D!$H$21&lt;0, -(AW8-Uzman_D!$H$21), AW8-Uzman_D!$H$21)*0.1 +
        IF(AX8-Uzman_D!$I$21&lt;0, -(AX8-Uzman_D!$I$21), AX8-Uzman_D!$I$21)*0.1 +
        IF(AY8-Uzman_D!$J$21&lt;0, -(AY8-Uzman_D!$J$21), AY8-Uzman_D!$J$21)*0.1
    ) +
    IF(ROUND((IF(BA8-Uzman_D!$L$21&lt;0, -(BA8-Uzman_D!$L$21), BA8-Uzman_D!$L$21)*2),0)/2 = IF(BA8-Uzman_D!$L$21&lt;0, -(BA8-Uzman_D!$L$21), BA8-Uzman_D!$L$21),
    (ROUND((IF(BA8-Uzman_D!$L$21&lt;0, -(BA8-Uzman_D!$L$21), BA8-Uzman_D!$L$21)*2),0)/1 * 0.1), 0) +
    IF(BB8-Uzman_D!$M$21&lt;0, -(BB8-Uzman_D!$M$21), BB8-Uzman_D!$M$21)*1
)</f>
        <v>-0.60000000000000009</v>
      </c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2"/>
      <c r="BO8" s="72"/>
      <c r="BP8" s="73">
        <f>1 - (
    SUM(
        IF(BD8-Uzman_D!$B$22&lt;0, -(BD8-Uzman_D!$B$22), BD8-Uzman_D!$B$22)*0.1 +
        IF(BE8-Uzman_D!$C$22&lt;0, -(BE8-Uzman_D!$C$22), BE8-Uzman_D!$C$22)*0.1 +
        IF(BF8-Uzman_D!$D$22&lt;0, -(BF8-Uzman_D!$D$22), BF8-Uzman_D!$D$22)*0.1 +
        IF(BG8-Uzman_D!$E$22&lt;0, -(BG8-Uzman_D!$E$22), BG8-Uzman_D!$E$22)*0.1 +
        IF(BH8-Uzman_D!$F$22&lt;0, -(BH8-Uzman_D!$F$22), BH8-Uzman_D!$F$22)*0.1 +
        IF(BI8-Uzman_D!$G$22&lt;0, -(BI8-Uzman_D!$G$22), BI8-Uzman_D!$G$22)*0.1 +
        IF(BJ8-Uzman_D!$H$22&lt;0, -(BJ8-Uzman_D!$H$22), BJ8-Uzman_D!$H$22)*0.1 +
        IF(BK8-Uzman_D!$I$22&lt;0, -(BK8-Uzman_D!$I$22), BK8-Uzman_D!$I$22)*0.1 +
        IF(BL8-Uzman_D!$J$22&lt;0, -(BL8-Uzman_D!$J$22), BL8-Uzman_D!$J$22)*0.1
    ) +
    IF(ROUND((IF(BN8-Uzman_D!$L$22&lt;0, -(BN8-Uzman_D!$L$22), BN8-Uzman_D!$L$22)*2),0)/2 = IF(BN8-Uzman_D!$L$22&lt;0, -(BN8-Uzman_D!$L$22), BN8-Uzman_D!$L$22),
    (ROUND((IF(BN8-Uzman_D!$L$22&lt;0, -(BN8-Uzman_D!$L$22), BN8-Uzman_D!$L$22)*2),0)/1 * 0.1), 0) +
    IF(BO8-Uzman_D!$M$22&lt;0, -(BO8-Uzman_D!$M$22), BO8-Uzman_D!$M$22)*1
)</f>
        <v>-0.40000000000000013</v>
      </c>
      <c r="BQ8" s="74">
        <f t="shared" si="0"/>
        <v>-0.54000000000000026</v>
      </c>
    </row>
    <row r="9" spans="1:69" ht="15" customHeight="1" x14ac:dyDescent="0.2">
      <c r="A9" s="57">
        <v>6</v>
      </c>
      <c r="B9" s="29">
        <f>Hakemler!B9</f>
        <v>0</v>
      </c>
      <c r="C9" s="29">
        <f>Hakemler!C9</f>
        <v>0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2"/>
      <c r="O9" s="72"/>
      <c r="P9" s="73">
        <f>1 - (
    SUM(
        IF(D9-Uzman_D!$B$18&lt;0, -(D9-Uzman_D!$B$18), D9-Uzman_D!$B$18)*0.1 +
        IF(E9-Uzman_D!$C$18&lt;0, -(E9-Uzman_D!$C$18), E9-Uzman_D!$C$18)*0.1 +
        IF(F9-Uzman_D!$D$18&lt;0, -(F9-Uzman_D!$D$18), F9-Uzman_D!$D$18)*0.1 +
        IF(G9-Uzman_D!$E$18&lt;0, -(G9-Uzman_D!$E$18), G9-Uzman_D!$E$18)*0.1 +
        IF(H9-Uzman_D!$F$18&lt;0, -(H9-Uzman_D!$F$18), H9-Uzman_D!$F$18)*0.1 +
        IF(I9-Uzman_D!$G$18&lt;0, -(I9-Uzman_D!$G$18), I9-Uzman_D!$G$18)*0.1 +
        IF(J9-Uzman_D!$H$18&lt;0, -(J9-Uzman_D!$H$18), J9-Uzman_D!$H$18)*0.1 +
        IF(K9-Uzman_D!$I$18&lt;0, -(K9-Uzman_D!$I$18), K9-Uzman_D!$I$18)*0.1 +
        IF(L9-Uzman_D!$J$18&lt;0, -(L9-Uzman_D!$J$18), L9-Uzman_D!$J$18)*0.1
    ) +
    IF(ROUND((IF(N9-Uzman_D!$L$18&lt;0, -(N9-Uzman_D!$L$18), N9-Uzman_D!$L$18)*2),0)/2 = IF(N9-Uzman_D!$L$18&lt;0, -(N9-Uzman_D!$L$18), N9-Uzman_D!$L$18),
    (ROUND((IF(N9-Uzman_D!$L$18&lt;0, -(N9-Uzman_D!$L$18), N9-Uzman_D!$L$18)*2),0)/1 * 0.1), 0) +
    IF(O9-Uzman_D!$M$18&lt;0, -(O9-Uzman_D!$M$18), O9-Uzman_D!$M$18)*1
)</f>
        <v>-0.50000000000000022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2"/>
      <c r="AB9" s="72"/>
      <c r="AC9" s="73">
        <f>1 - (
    SUM(
        IF(Q9-Uzman_D!$B$19&lt;0, -(Q9-Uzman_D!$B$19), Q9-Uzman_D!$B$19)*0.1 +
        IF(R9-Uzman_D!$C$19&lt;0, -(R9-Uzman_D!$C$19), R9-Uzman_D!$C$19)*0.1 +
        IF(S9-Uzman_D!$D$19&lt;0, -(S9-Uzman_D!$D$19), S9-Uzman_D!$D$19)*0.1 +
        IF(T9-Uzman_D!$E$19&lt;0, -(T9-Uzman_D!$E$19), T9-Uzman_D!$E$19)*0.1 +
        IF(U9-Uzman_D!$F$19&lt;0, -(U9-Uzman_D!$F$19), U9-Uzman_D!$F$19)*0.1 +
        IF(V9-Uzman_D!$G$19&lt;0, -(V9-Uzman_D!$G$19), V9-Uzman_D!$G$19)*0.1 +
        IF(W9-Uzman_D!$H$19&lt;0, -(W9-Uzman_D!$H$19), W9-Uzman_D!$H$19)*0.1 +
        IF(X9-Uzman_D!$I$19&lt;0, -(X9-Uzman_D!$I$19), X9-Uzman_D!$I$19)*0.1 +
        IF(Y9-Uzman_D!$J$19&lt;0, -(Y9-Uzman_D!$J$19), Y9-Uzman_D!$J$19)*0.1
    ) +
    IF(ROUND((IF(AA9-Uzman_D!$L$19&lt;0, -(AA9-Uzman_D!$L$19), AA9-Uzman_D!$L$19)*2),0)/2 = IF(AA9-Uzman_D!$L$19&lt;0, -(AA9-Uzman_D!$L$19), AA9-Uzman_D!$L$19),
    (ROUND((IF(AA9-Uzman_D!$L$19&lt;0, -(AA9-Uzman_D!$L$19), AA9-Uzman_D!$L$19)*2),0)/1 * 0.1), 0) +
    IF(AB9-Uzman_D!$M$19&lt;0, -(AB9-Uzman_D!$M$19), AB9-Uzman_D!$M$19)*1
)</f>
        <v>-0.60000000000000009</v>
      </c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2"/>
      <c r="AO9" s="72"/>
      <c r="AP9" s="73">
        <f>1 - (
    SUM(
        IF(AD9-Uzman_D!$B$20&lt;0, -(AD9-Uzman_D!$B$20), AD9-Uzman_D!$B$20)*0.1 +
        IF(AE9-Uzman_D!$C$20&lt;0, -(AE9-Uzman_D!$C$20), AE9-Uzman_D!$C$20)*0.1 +
        IF(AF9-Uzman_D!$D$20&lt;0, -(AF9-Uzman_D!$D$20), AF9-Uzman_D!$D$20)*0.1 +
        IF(AG9-Uzman_D!$E$20&lt;0, -(AG9-Uzman_D!$E$20), AG9-Uzman_D!$E$20)*0.1 +
        IF(AH9-Uzman_D!$F$20&lt;0, -(AH9-Uzman_D!$F$20), AH9-Uzman_D!$F$20)*0.1 +
        IF(AI9-Uzman_D!$G$20&lt;0, -(AI9-Uzman_D!$G$20), AI9-Uzman_D!$G$20)*0.1 +
        IF(AJ9-Uzman_D!$H$20&lt;0, -(AJ9-Uzman_D!$H$20), AJ9-Uzman_D!$H$20)*0.1 +
        IF(AK9-Uzman_D!$I$20&lt;0, -(AK9-Uzman_D!$I$20), AK9-Uzman_D!$I$20)*0.1 +
        IF(AL9-Uzman_D!$J$20&lt;0, -(AL9-Uzman_D!$J$20), AL9-Uzman_D!$J$20)*0.1
    ) +
    IF(ROUND((IF(AN9-Uzman_D!$L$20&lt;0, -(AN9-Uzman_D!$L$20), AN9-Uzman_D!$L$20)*2),0)/2 = IF(AN9-Uzman_D!$L$20&lt;0, -(AN9-Uzman_D!$L$20), AN9-Uzman_D!$L$20),
    (ROUND((IF(AN9-Uzman_D!$L$20&lt;0, -(AN9-Uzman_D!$L$20), AN9-Uzman_D!$L$20)*2),0)/1 * 0.1), 0) +
    IF(AO9-Uzman_D!$M$20&lt;0, -(AO9-Uzman_D!$M$20), AO9-Uzman_D!$M$20)*1
)</f>
        <v>-0.60000000000000009</v>
      </c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2"/>
      <c r="BB9" s="72"/>
      <c r="BC9" s="73">
        <f>1 - (
    SUM(
        IF(AQ9-Uzman_D!$B$21&lt;0, -(AQ9-Uzman_D!$B$21), AQ9-Uzman_D!$B$21)*0.1 +
        IF(AR9-Uzman_D!$C$21&lt;0, -(AR9-Uzman_D!$C$21), AR9-Uzman_D!$C$21)*0.1 +
        IF(AS9-Uzman_D!$D$21&lt;0, -(AS9-Uzman_D!$D$21), AS9-Uzman_D!$D$21)*0.1 +
        IF(AT9-Uzman_D!$E$21&lt;0, -(AT9-Uzman_D!$E$21), AT9-Uzman_D!$E$21)*0.1 +
        IF(AU9-Uzman_D!$F$21&lt;0, -(AU9-Uzman_D!$F$21), AU9-Uzman_D!$F$21)*0.1 +
        IF(AV9-Uzman_D!$G$21&lt;0, -(AV9-Uzman_D!$G$21), AV9-Uzman_D!$G$21)*0.1 +
        IF(AW9-Uzman_D!$H$21&lt;0, -(AW9-Uzman_D!$H$21), AW9-Uzman_D!$H$21)*0.1 +
        IF(AX9-Uzman_D!$I$21&lt;0, -(AX9-Uzman_D!$I$21), AX9-Uzman_D!$I$21)*0.1 +
        IF(AY9-Uzman_D!$J$21&lt;0, -(AY9-Uzman_D!$J$21), AY9-Uzman_D!$J$21)*0.1
    ) +
    IF(ROUND((IF(BA9-Uzman_D!$L$21&lt;0, -(BA9-Uzman_D!$L$21), BA9-Uzman_D!$L$21)*2),0)/2 = IF(BA9-Uzman_D!$L$21&lt;0, -(BA9-Uzman_D!$L$21), BA9-Uzman_D!$L$21),
    (ROUND((IF(BA9-Uzman_D!$L$21&lt;0, -(BA9-Uzman_D!$L$21), BA9-Uzman_D!$L$21)*2),0)/1 * 0.1), 0) +
    IF(BB9-Uzman_D!$M$21&lt;0, -(BB9-Uzman_D!$M$21), BB9-Uzman_D!$M$21)*1
)</f>
        <v>-0.60000000000000009</v>
      </c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2"/>
      <c r="BO9" s="72"/>
      <c r="BP9" s="73">
        <f>1 - (
    SUM(
        IF(BD9-Uzman_D!$B$22&lt;0, -(BD9-Uzman_D!$B$22), BD9-Uzman_D!$B$22)*0.1 +
        IF(BE9-Uzman_D!$C$22&lt;0, -(BE9-Uzman_D!$C$22), BE9-Uzman_D!$C$22)*0.1 +
        IF(BF9-Uzman_D!$D$22&lt;0, -(BF9-Uzman_D!$D$22), BF9-Uzman_D!$D$22)*0.1 +
        IF(BG9-Uzman_D!$E$22&lt;0, -(BG9-Uzman_D!$E$22), BG9-Uzman_D!$E$22)*0.1 +
        IF(BH9-Uzman_D!$F$22&lt;0, -(BH9-Uzman_D!$F$22), BH9-Uzman_D!$F$22)*0.1 +
        IF(BI9-Uzman_D!$G$22&lt;0, -(BI9-Uzman_D!$G$22), BI9-Uzman_D!$G$22)*0.1 +
        IF(BJ9-Uzman_D!$H$22&lt;0, -(BJ9-Uzman_D!$H$22), BJ9-Uzman_D!$H$22)*0.1 +
        IF(BK9-Uzman_D!$I$22&lt;0, -(BK9-Uzman_D!$I$22), BK9-Uzman_D!$I$22)*0.1 +
        IF(BL9-Uzman_D!$J$22&lt;0, -(BL9-Uzman_D!$J$22), BL9-Uzman_D!$J$22)*0.1
    ) +
    IF(ROUND((IF(BN9-Uzman_D!$L$22&lt;0, -(BN9-Uzman_D!$L$22), BN9-Uzman_D!$L$22)*2),0)/2 = IF(BN9-Uzman_D!$L$22&lt;0, -(BN9-Uzman_D!$L$22), BN9-Uzman_D!$L$22),
    (ROUND((IF(BN9-Uzman_D!$L$22&lt;0, -(BN9-Uzman_D!$L$22), BN9-Uzman_D!$L$22)*2),0)/1 * 0.1), 0) +
    IF(BO9-Uzman_D!$M$22&lt;0, -(BO9-Uzman_D!$M$22), BO9-Uzman_D!$M$22)*1
)</f>
        <v>-0.40000000000000013</v>
      </c>
      <c r="BQ9" s="74">
        <f t="shared" si="0"/>
        <v>-0.54000000000000026</v>
      </c>
    </row>
    <row r="10" spans="1:69" ht="15" customHeight="1" x14ac:dyDescent="0.2">
      <c r="A10" s="57">
        <v>7</v>
      </c>
      <c r="B10" s="29">
        <f>Hakemler!B10</f>
        <v>0</v>
      </c>
      <c r="C10" s="29">
        <f>Hakemler!C10</f>
        <v>0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2"/>
      <c r="O10" s="72"/>
      <c r="P10" s="73">
        <f>1 - (
    SUM(
        IF(D10-Uzman_D!$B$18&lt;0, -(D10-Uzman_D!$B$18), D10-Uzman_D!$B$18)*0.1 +
        IF(E10-Uzman_D!$C$18&lt;0, -(E10-Uzman_D!$C$18), E10-Uzman_D!$C$18)*0.1 +
        IF(F10-Uzman_D!$D$18&lt;0, -(F10-Uzman_D!$D$18), F10-Uzman_D!$D$18)*0.1 +
        IF(G10-Uzman_D!$E$18&lt;0, -(G10-Uzman_D!$E$18), G10-Uzman_D!$E$18)*0.1 +
        IF(H10-Uzman_D!$F$18&lt;0, -(H10-Uzman_D!$F$18), H10-Uzman_D!$F$18)*0.1 +
        IF(I10-Uzman_D!$G$18&lt;0, -(I10-Uzman_D!$G$18), I10-Uzman_D!$G$18)*0.1 +
        IF(J10-Uzman_D!$H$18&lt;0, -(J10-Uzman_D!$H$18), J10-Uzman_D!$H$18)*0.1 +
        IF(K10-Uzman_D!$I$18&lt;0, -(K10-Uzman_D!$I$18), K10-Uzman_D!$I$18)*0.1 +
        IF(L10-Uzman_D!$J$18&lt;0, -(L10-Uzman_D!$J$18), L10-Uzman_D!$J$18)*0.1
    ) +
    IF(ROUND((IF(N10-Uzman_D!$L$18&lt;0, -(N10-Uzman_D!$L$18), N10-Uzman_D!$L$18)*2),0)/2 = IF(N10-Uzman_D!$L$18&lt;0, -(N10-Uzman_D!$L$18), N10-Uzman_D!$L$18),
    (ROUND((IF(N10-Uzman_D!$L$18&lt;0, -(N10-Uzman_D!$L$18), N10-Uzman_D!$L$18)*2),0)/1 * 0.1), 0) +
    IF(O10-Uzman_D!$M$18&lt;0, -(O10-Uzman_D!$M$18), O10-Uzman_D!$M$18)*1
)</f>
        <v>-0.50000000000000022</v>
      </c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2"/>
      <c r="AB10" s="72"/>
      <c r="AC10" s="73">
        <f>1 - (
    SUM(
        IF(Q10-Uzman_D!$B$19&lt;0, -(Q10-Uzman_D!$B$19), Q10-Uzman_D!$B$19)*0.1 +
        IF(R10-Uzman_D!$C$19&lt;0, -(R10-Uzman_D!$C$19), R10-Uzman_D!$C$19)*0.1 +
        IF(S10-Uzman_D!$D$19&lt;0, -(S10-Uzman_D!$D$19), S10-Uzman_D!$D$19)*0.1 +
        IF(T10-Uzman_D!$E$19&lt;0, -(T10-Uzman_D!$E$19), T10-Uzman_D!$E$19)*0.1 +
        IF(U10-Uzman_D!$F$19&lt;0, -(U10-Uzman_D!$F$19), U10-Uzman_D!$F$19)*0.1 +
        IF(V10-Uzman_D!$G$19&lt;0, -(V10-Uzman_D!$G$19), V10-Uzman_D!$G$19)*0.1 +
        IF(W10-Uzman_D!$H$19&lt;0, -(W10-Uzman_D!$H$19), W10-Uzman_D!$H$19)*0.1 +
        IF(X10-Uzman_D!$I$19&lt;0, -(X10-Uzman_D!$I$19), X10-Uzman_D!$I$19)*0.1 +
        IF(Y10-Uzman_D!$J$19&lt;0, -(Y10-Uzman_D!$J$19), Y10-Uzman_D!$J$19)*0.1
    ) +
    IF(ROUND((IF(AA10-Uzman_D!$L$19&lt;0, -(AA10-Uzman_D!$L$19), AA10-Uzman_D!$L$19)*2),0)/2 = IF(AA10-Uzman_D!$L$19&lt;0, -(AA10-Uzman_D!$L$19), AA10-Uzman_D!$L$19),
    (ROUND((IF(AA10-Uzman_D!$L$19&lt;0, -(AA10-Uzman_D!$L$19), AA10-Uzman_D!$L$19)*2),0)/1 * 0.1), 0) +
    IF(AB10-Uzman_D!$M$19&lt;0, -(AB10-Uzman_D!$M$19), AB10-Uzman_D!$M$19)*1
)</f>
        <v>-0.60000000000000009</v>
      </c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2"/>
      <c r="AO10" s="72"/>
      <c r="AP10" s="73">
        <f>1 - (
    SUM(
        IF(AD10-Uzman_D!$B$20&lt;0, -(AD10-Uzman_D!$B$20), AD10-Uzman_D!$B$20)*0.1 +
        IF(AE10-Uzman_D!$C$20&lt;0, -(AE10-Uzman_D!$C$20), AE10-Uzman_D!$C$20)*0.1 +
        IF(AF10-Uzman_D!$D$20&lt;0, -(AF10-Uzman_D!$D$20), AF10-Uzman_D!$D$20)*0.1 +
        IF(AG10-Uzman_D!$E$20&lt;0, -(AG10-Uzman_D!$E$20), AG10-Uzman_D!$E$20)*0.1 +
        IF(AH10-Uzman_D!$F$20&lt;0, -(AH10-Uzman_D!$F$20), AH10-Uzman_D!$F$20)*0.1 +
        IF(AI10-Uzman_D!$G$20&lt;0, -(AI10-Uzman_D!$G$20), AI10-Uzman_D!$G$20)*0.1 +
        IF(AJ10-Uzman_D!$H$20&lt;0, -(AJ10-Uzman_D!$H$20), AJ10-Uzman_D!$H$20)*0.1 +
        IF(AK10-Uzman_D!$I$20&lt;0, -(AK10-Uzman_D!$I$20), AK10-Uzman_D!$I$20)*0.1 +
        IF(AL10-Uzman_D!$J$20&lt;0, -(AL10-Uzman_D!$J$20), AL10-Uzman_D!$J$20)*0.1
    ) +
    IF(ROUND((IF(AN10-Uzman_D!$L$20&lt;0, -(AN10-Uzman_D!$L$20), AN10-Uzman_D!$L$20)*2),0)/2 = IF(AN10-Uzman_D!$L$20&lt;0, -(AN10-Uzman_D!$L$20), AN10-Uzman_D!$L$20),
    (ROUND((IF(AN10-Uzman_D!$L$20&lt;0, -(AN10-Uzman_D!$L$20), AN10-Uzman_D!$L$20)*2),0)/1 * 0.1), 0) +
    IF(AO10-Uzman_D!$M$20&lt;0, -(AO10-Uzman_D!$M$20), AO10-Uzman_D!$M$20)*1
)</f>
        <v>-0.60000000000000009</v>
      </c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2"/>
      <c r="BB10" s="72"/>
      <c r="BC10" s="73">
        <f>1 - (
    SUM(
        IF(AQ10-Uzman_D!$B$21&lt;0, -(AQ10-Uzman_D!$B$21), AQ10-Uzman_D!$B$21)*0.1 +
        IF(AR10-Uzman_D!$C$21&lt;0, -(AR10-Uzman_D!$C$21), AR10-Uzman_D!$C$21)*0.1 +
        IF(AS10-Uzman_D!$D$21&lt;0, -(AS10-Uzman_D!$D$21), AS10-Uzman_D!$D$21)*0.1 +
        IF(AT10-Uzman_D!$E$21&lt;0, -(AT10-Uzman_D!$E$21), AT10-Uzman_D!$E$21)*0.1 +
        IF(AU10-Uzman_D!$F$21&lt;0, -(AU10-Uzman_D!$F$21), AU10-Uzman_D!$F$21)*0.1 +
        IF(AV10-Uzman_D!$G$21&lt;0, -(AV10-Uzman_D!$G$21), AV10-Uzman_D!$G$21)*0.1 +
        IF(AW10-Uzman_D!$H$21&lt;0, -(AW10-Uzman_D!$H$21), AW10-Uzman_D!$H$21)*0.1 +
        IF(AX10-Uzman_D!$I$21&lt;0, -(AX10-Uzman_D!$I$21), AX10-Uzman_D!$I$21)*0.1 +
        IF(AY10-Uzman_D!$J$21&lt;0, -(AY10-Uzman_D!$J$21), AY10-Uzman_D!$J$21)*0.1
    ) +
    IF(ROUND((IF(BA10-Uzman_D!$L$21&lt;0, -(BA10-Uzman_D!$L$21), BA10-Uzman_D!$L$21)*2),0)/2 = IF(BA10-Uzman_D!$L$21&lt;0, -(BA10-Uzman_D!$L$21), BA10-Uzman_D!$L$21),
    (ROUND((IF(BA10-Uzman_D!$L$21&lt;0, -(BA10-Uzman_D!$L$21), BA10-Uzman_D!$L$21)*2),0)/1 * 0.1), 0) +
    IF(BB10-Uzman_D!$M$21&lt;0, -(BB10-Uzman_D!$M$21), BB10-Uzman_D!$M$21)*1
)</f>
        <v>-0.60000000000000009</v>
      </c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2"/>
      <c r="BO10" s="72"/>
      <c r="BP10" s="73">
        <f>1 - (
    SUM(
        IF(BD10-Uzman_D!$B$22&lt;0, -(BD10-Uzman_D!$B$22), BD10-Uzman_D!$B$22)*0.1 +
        IF(BE10-Uzman_D!$C$22&lt;0, -(BE10-Uzman_D!$C$22), BE10-Uzman_D!$C$22)*0.1 +
        IF(BF10-Uzman_D!$D$22&lt;0, -(BF10-Uzman_D!$D$22), BF10-Uzman_D!$D$22)*0.1 +
        IF(BG10-Uzman_D!$E$22&lt;0, -(BG10-Uzman_D!$E$22), BG10-Uzman_D!$E$22)*0.1 +
        IF(BH10-Uzman_D!$F$22&lt;0, -(BH10-Uzman_D!$F$22), BH10-Uzman_D!$F$22)*0.1 +
        IF(BI10-Uzman_D!$G$22&lt;0, -(BI10-Uzman_D!$G$22), BI10-Uzman_D!$G$22)*0.1 +
        IF(BJ10-Uzman_D!$H$22&lt;0, -(BJ10-Uzman_D!$H$22), BJ10-Uzman_D!$H$22)*0.1 +
        IF(BK10-Uzman_D!$I$22&lt;0, -(BK10-Uzman_D!$I$22), BK10-Uzman_D!$I$22)*0.1 +
        IF(BL10-Uzman_D!$J$22&lt;0, -(BL10-Uzman_D!$J$22), BL10-Uzman_D!$J$22)*0.1
    ) +
    IF(ROUND((IF(BN10-Uzman_D!$L$22&lt;0, -(BN10-Uzman_D!$L$22), BN10-Uzman_D!$L$22)*2),0)/2 = IF(BN10-Uzman_D!$L$22&lt;0, -(BN10-Uzman_D!$L$22), BN10-Uzman_D!$L$22),
    (ROUND((IF(BN10-Uzman_D!$L$22&lt;0, -(BN10-Uzman_D!$L$22), BN10-Uzman_D!$L$22)*2),0)/1 * 0.1), 0) +
    IF(BO10-Uzman_D!$M$22&lt;0, -(BO10-Uzman_D!$M$22), BO10-Uzman_D!$M$22)*1
)</f>
        <v>-0.40000000000000013</v>
      </c>
      <c r="BQ10" s="74">
        <f t="shared" si="0"/>
        <v>-0.54000000000000026</v>
      </c>
    </row>
    <row r="11" spans="1:69" ht="15" customHeight="1" x14ac:dyDescent="0.2">
      <c r="A11" s="57">
        <v>8</v>
      </c>
      <c r="B11" s="29">
        <f>Hakemler!B11</f>
        <v>0</v>
      </c>
      <c r="C11" s="29">
        <f>Hakemler!C11</f>
        <v>0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2"/>
      <c r="O11" s="72"/>
      <c r="P11" s="73">
        <f>1 - (
    SUM(
        IF(D11-Uzman_D!$B$18&lt;0, -(D11-Uzman_D!$B$18), D11-Uzman_D!$B$18)*0.1 +
        IF(E11-Uzman_D!$C$18&lt;0, -(E11-Uzman_D!$C$18), E11-Uzman_D!$C$18)*0.1 +
        IF(F11-Uzman_D!$D$18&lt;0, -(F11-Uzman_D!$D$18), F11-Uzman_D!$D$18)*0.1 +
        IF(G11-Uzman_D!$E$18&lt;0, -(G11-Uzman_D!$E$18), G11-Uzman_D!$E$18)*0.1 +
        IF(H11-Uzman_D!$F$18&lt;0, -(H11-Uzman_D!$F$18), H11-Uzman_D!$F$18)*0.1 +
        IF(I11-Uzman_D!$G$18&lt;0, -(I11-Uzman_D!$G$18), I11-Uzman_D!$G$18)*0.1 +
        IF(J11-Uzman_D!$H$18&lt;0, -(J11-Uzman_D!$H$18), J11-Uzman_D!$H$18)*0.1 +
        IF(K11-Uzman_D!$I$18&lt;0, -(K11-Uzman_D!$I$18), K11-Uzman_D!$I$18)*0.1 +
        IF(L11-Uzman_D!$J$18&lt;0, -(L11-Uzman_D!$J$18), L11-Uzman_D!$J$18)*0.1
    ) +
    IF(ROUND((IF(N11-Uzman_D!$L$18&lt;0, -(N11-Uzman_D!$L$18), N11-Uzman_D!$L$18)*2),0)/2 = IF(N11-Uzman_D!$L$18&lt;0, -(N11-Uzman_D!$L$18), N11-Uzman_D!$L$18),
    (ROUND((IF(N11-Uzman_D!$L$18&lt;0, -(N11-Uzman_D!$L$18), N11-Uzman_D!$L$18)*2),0)/1 * 0.1), 0) +
    IF(O11-Uzman_D!$M$18&lt;0, -(O11-Uzman_D!$M$18), O11-Uzman_D!$M$18)*1
)</f>
        <v>-0.50000000000000022</v>
      </c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2"/>
      <c r="AB11" s="72"/>
      <c r="AC11" s="73">
        <f>1 - (
    SUM(
        IF(Q11-Uzman_D!$B$19&lt;0, -(Q11-Uzman_D!$B$19), Q11-Uzman_D!$B$19)*0.1 +
        IF(R11-Uzman_D!$C$19&lt;0, -(R11-Uzman_D!$C$19), R11-Uzman_D!$C$19)*0.1 +
        IF(S11-Uzman_D!$D$19&lt;0, -(S11-Uzman_D!$D$19), S11-Uzman_D!$D$19)*0.1 +
        IF(T11-Uzman_D!$E$19&lt;0, -(T11-Uzman_D!$E$19), T11-Uzman_D!$E$19)*0.1 +
        IF(U11-Uzman_D!$F$19&lt;0, -(U11-Uzman_D!$F$19), U11-Uzman_D!$F$19)*0.1 +
        IF(V11-Uzman_D!$G$19&lt;0, -(V11-Uzman_D!$G$19), V11-Uzman_D!$G$19)*0.1 +
        IF(W11-Uzman_D!$H$19&lt;0, -(W11-Uzman_D!$H$19), W11-Uzman_D!$H$19)*0.1 +
        IF(X11-Uzman_D!$I$19&lt;0, -(X11-Uzman_D!$I$19), X11-Uzman_D!$I$19)*0.1 +
        IF(Y11-Uzman_D!$J$19&lt;0, -(Y11-Uzman_D!$J$19), Y11-Uzman_D!$J$19)*0.1
    ) +
    IF(ROUND((IF(AA11-Uzman_D!$L$19&lt;0, -(AA11-Uzman_D!$L$19), AA11-Uzman_D!$L$19)*2),0)/2 = IF(AA11-Uzman_D!$L$19&lt;0, -(AA11-Uzman_D!$L$19), AA11-Uzman_D!$L$19),
    (ROUND((IF(AA11-Uzman_D!$L$19&lt;0, -(AA11-Uzman_D!$L$19), AA11-Uzman_D!$L$19)*2),0)/1 * 0.1), 0) +
    IF(AB11-Uzman_D!$M$19&lt;0, -(AB11-Uzman_D!$M$19), AB11-Uzman_D!$M$19)*1
)</f>
        <v>-0.60000000000000009</v>
      </c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2"/>
      <c r="AO11" s="72"/>
      <c r="AP11" s="73">
        <f>1 - (
    SUM(
        IF(AD11-Uzman_D!$B$20&lt;0, -(AD11-Uzman_D!$B$20), AD11-Uzman_D!$B$20)*0.1 +
        IF(AE11-Uzman_D!$C$20&lt;0, -(AE11-Uzman_D!$C$20), AE11-Uzman_D!$C$20)*0.1 +
        IF(AF11-Uzman_D!$D$20&lt;0, -(AF11-Uzman_D!$D$20), AF11-Uzman_D!$D$20)*0.1 +
        IF(AG11-Uzman_D!$E$20&lt;0, -(AG11-Uzman_D!$E$20), AG11-Uzman_D!$E$20)*0.1 +
        IF(AH11-Uzman_D!$F$20&lt;0, -(AH11-Uzman_D!$F$20), AH11-Uzman_D!$F$20)*0.1 +
        IF(AI11-Uzman_D!$G$20&lt;0, -(AI11-Uzman_D!$G$20), AI11-Uzman_D!$G$20)*0.1 +
        IF(AJ11-Uzman_D!$H$20&lt;0, -(AJ11-Uzman_D!$H$20), AJ11-Uzman_D!$H$20)*0.1 +
        IF(AK11-Uzman_D!$I$20&lt;0, -(AK11-Uzman_D!$I$20), AK11-Uzman_D!$I$20)*0.1 +
        IF(AL11-Uzman_D!$J$20&lt;0, -(AL11-Uzman_D!$J$20), AL11-Uzman_D!$J$20)*0.1
    ) +
    IF(ROUND((IF(AN11-Uzman_D!$L$20&lt;0, -(AN11-Uzman_D!$L$20), AN11-Uzman_D!$L$20)*2),0)/2 = IF(AN11-Uzman_D!$L$20&lt;0, -(AN11-Uzman_D!$L$20), AN11-Uzman_D!$L$20),
    (ROUND((IF(AN11-Uzman_D!$L$20&lt;0, -(AN11-Uzman_D!$L$20), AN11-Uzman_D!$L$20)*2),0)/1 * 0.1), 0) +
    IF(AO11-Uzman_D!$M$20&lt;0, -(AO11-Uzman_D!$M$20), AO11-Uzman_D!$M$20)*1
)</f>
        <v>-0.60000000000000009</v>
      </c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2"/>
      <c r="BB11" s="72"/>
      <c r="BC11" s="73">
        <f>1 - (
    SUM(
        IF(AQ11-Uzman_D!$B$21&lt;0, -(AQ11-Uzman_D!$B$21), AQ11-Uzman_D!$B$21)*0.1 +
        IF(AR11-Uzman_D!$C$21&lt;0, -(AR11-Uzman_D!$C$21), AR11-Uzman_D!$C$21)*0.1 +
        IF(AS11-Uzman_D!$D$21&lt;0, -(AS11-Uzman_D!$D$21), AS11-Uzman_D!$D$21)*0.1 +
        IF(AT11-Uzman_D!$E$21&lt;0, -(AT11-Uzman_D!$E$21), AT11-Uzman_D!$E$21)*0.1 +
        IF(AU11-Uzman_D!$F$21&lt;0, -(AU11-Uzman_D!$F$21), AU11-Uzman_D!$F$21)*0.1 +
        IF(AV11-Uzman_D!$G$21&lt;0, -(AV11-Uzman_D!$G$21), AV11-Uzman_D!$G$21)*0.1 +
        IF(AW11-Uzman_D!$H$21&lt;0, -(AW11-Uzman_D!$H$21), AW11-Uzman_D!$H$21)*0.1 +
        IF(AX11-Uzman_D!$I$21&lt;0, -(AX11-Uzman_D!$I$21), AX11-Uzman_D!$I$21)*0.1 +
        IF(AY11-Uzman_D!$J$21&lt;0, -(AY11-Uzman_D!$J$21), AY11-Uzman_D!$J$21)*0.1
    ) +
    IF(ROUND((IF(BA11-Uzman_D!$L$21&lt;0, -(BA11-Uzman_D!$L$21), BA11-Uzman_D!$L$21)*2),0)/2 = IF(BA11-Uzman_D!$L$21&lt;0, -(BA11-Uzman_D!$L$21), BA11-Uzman_D!$L$21),
    (ROUND((IF(BA11-Uzman_D!$L$21&lt;0, -(BA11-Uzman_D!$L$21), BA11-Uzman_D!$L$21)*2),0)/1 * 0.1), 0) +
    IF(BB11-Uzman_D!$M$21&lt;0, -(BB11-Uzman_D!$M$21), BB11-Uzman_D!$M$21)*1
)</f>
        <v>-0.60000000000000009</v>
      </c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2"/>
      <c r="BO11" s="72"/>
      <c r="BP11" s="73">
        <f>1 - (
    SUM(
        IF(BD11-Uzman_D!$B$22&lt;0, -(BD11-Uzman_D!$B$22), BD11-Uzman_D!$B$22)*0.1 +
        IF(BE11-Uzman_D!$C$22&lt;0, -(BE11-Uzman_D!$C$22), BE11-Uzman_D!$C$22)*0.1 +
        IF(BF11-Uzman_D!$D$22&lt;0, -(BF11-Uzman_D!$D$22), BF11-Uzman_D!$D$22)*0.1 +
        IF(BG11-Uzman_D!$E$22&lt;0, -(BG11-Uzman_D!$E$22), BG11-Uzman_D!$E$22)*0.1 +
        IF(BH11-Uzman_D!$F$22&lt;0, -(BH11-Uzman_D!$F$22), BH11-Uzman_D!$F$22)*0.1 +
        IF(BI11-Uzman_D!$G$22&lt;0, -(BI11-Uzman_D!$G$22), BI11-Uzman_D!$G$22)*0.1 +
        IF(BJ11-Uzman_D!$H$22&lt;0, -(BJ11-Uzman_D!$H$22), BJ11-Uzman_D!$H$22)*0.1 +
        IF(BK11-Uzman_D!$I$22&lt;0, -(BK11-Uzman_D!$I$22), BK11-Uzman_D!$I$22)*0.1 +
        IF(BL11-Uzman_D!$J$22&lt;0, -(BL11-Uzman_D!$J$22), BL11-Uzman_D!$J$22)*0.1
    ) +
    IF(ROUND((IF(BN11-Uzman_D!$L$22&lt;0, -(BN11-Uzman_D!$L$22), BN11-Uzman_D!$L$22)*2),0)/2 = IF(BN11-Uzman_D!$L$22&lt;0, -(BN11-Uzman_D!$L$22), BN11-Uzman_D!$L$22),
    (ROUND((IF(BN11-Uzman_D!$L$22&lt;0, -(BN11-Uzman_D!$L$22), BN11-Uzman_D!$L$22)*2),0)/1 * 0.1), 0) +
    IF(BO11-Uzman_D!$M$22&lt;0, -(BO11-Uzman_D!$M$22), BO11-Uzman_D!$M$22)*1
)</f>
        <v>-0.40000000000000013</v>
      </c>
      <c r="BQ11" s="74">
        <f t="shared" si="0"/>
        <v>-0.54000000000000026</v>
      </c>
    </row>
    <row r="12" spans="1:69" ht="15" customHeight="1" x14ac:dyDescent="0.2">
      <c r="A12" s="57">
        <v>9</v>
      </c>
      <c r="B12" s="29">
        <f>Hakemler!B12</f>
        <v>0</v>
      </c>
      <c r="C12" s="29">
        <f>Hakemler!C12</f>
        <v>0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2"/>
      <c r="O12" s="72"/>
      <c r="P12" s="73">
        <f>1 - (
    SUM(
        IF(D12-Uzman_D!$B$18&lt;0, -(D12-Uzman_D!$B$18), D12-Uzman_D!$B$18)*0.1 +
        IF(E12-Uzman_D!$C$18&lt;0, -(E12-Uzman_D!$C$18), E12-Uzman_D!$C$18)*0.1 +
        IF(F12-Uzman_D!$D$18&lt;0, -(F12-Uzman_D!$D$18), F12-Uzman_D!$D$18)*0.1 +
        IF(G12-Uzman_D!$E$18&lt;0, -(G12-Uzman_D!$E$18), G12-Uzman_D!$E$18)*0.1 +
        IF(H12-Uzman_D!$F$18&lt;0, -(H12-Uzman_D!$F$18), H12-Uzman_D!$F$18)*0.1 +
        IF(I12-Uzman_D!$G$18&lt;0, -(I12-Uzman_D!$G$18), I12-Uzman_D!$G$18)*0.1 +
        IF(J12-Uzman_D!$H$18&lt;0, -(J12-Uzman_D!$H$18), J12-Uzman_D!$H$18)*0.1 +
        IF(K12-Uzman_D!$I$18&lt;0, -(K12-Uzman_D!$I$18), K12-Uzman_D!$I$18)*0.1 +
        IF(L12-Uzman_D!$J$18&lt;0, -(L12-Uzman_D!$J$18), L12-Uzman_D!$J$18)*0.1
    ) +
    IF(ROUND((IF(N12-Uzman_D!$L$18&lt;0, -(N12-Uzman_D!$L$18), N12-Uzman_D!$L$18)*2),0)/2 = IF(N12-Uzman_D!$L$18&lt;0, -(N12-Uzman_D!$L$18), N12-Uzman_D!$L$18),
    (ROUND((IF(N12-Uzman_D!$L$18&lt;0, -(N12-Uzman_D!$L$18), N12-Uzman_D!$L$18)*2),0)/1 * 0.1), 0) +
    IF(O12-Uzman_D!$M$18&lt;0, -(O12-Uzman_D!$M$18), O12-Uzman_D!$M$18)*1
)</f>
        <v>-0.50000000000000022</v>
      </c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2"/>
      <c r="AB12" s="72"/>
      <c r="AC12" s="73">
        <f>1 - (
    SUM(
        IF(Q12-Uzman_D!$B$19&lt;0, -(Q12-Uzman_D!$B$19), Q12-Uzman_D!$B$19)*0.1 +
        IF(R12-Uzman_D!$C$19&lt;0, -(R12-Uzman_D!$C$19), R12-Uzman_D!$C$19)*0.1 +
        IF(S12-Uzman_D!$D$19&lt;0, -(S12-Uzman_D!$D$19), S12-Uzman_D!$D$19)*0.1 +
        IF(T12-Uzman_D!$E$19&lt;0, -(T12-Uzman_D!$E$19), T12-Uzman_D!$E$19)*0.1 +
        IF(U12-Uzman_D!$F$19&lt;0, -(U12-Uzman_D!$F$19), U12-Uzman_D!$F$19)*0.1 +
        IF(V12-Uzman_D!$G$19&lt;0, -(V12-Uzman_D!$G$19), V12-Uzman_D!$G$19)*0.1 +
        IF(W12-Uzman_D!$H$19&lt;0, -(W12-Uzman_D!$H$19), W12-Uzman_D!$H$19)*0.1 +
        IF(X12-Uzman_D!$I$19&lt;0, -(X12-Uzman_D!$I$19), X12-Uzman_D!$I$19)*0.1 +
        IF(Y12-Uzman_D!$J$19&lt;0, -(Y12-Uzman_D!$J$19), Y12-Uzman_D!$J$19)*0.1
    ) +
    IF(ROUND((IF(AA12-Uzman_D!$L$19&lt;0, -(AA12-Uzman_D!$L$19), AA12-Uzman_D!$L$19)*2),0)/2 = IF(AA12-Uzman_D!$L$19&lt;0, -(AA12-Uzman_D!$L$19), AA12-Uzman_D!$L$19),
    (ROUND((IF(AA12-Uzman_D!$L$19&lt;0, -(AA12-Uzman_D!$L$19), AA12-Uzman_D!$L$19)*2),0)/1 * 0.1), 0) +
    IF(AB12-Uzman_D!$M$19&lt;0, -(AB12-Uzman_D!$M$19), AB12-Uzman_D!$M$19)*1
)</f>
        <v>-0.60000000000000009</v>
      </c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2"/>
      <c r="AO12" s="72"/>
      <c r="AP12" s="73">
        <f>1 - (
    SUM(
        IF(AD12-Uzman_D!$B$20&lt;0, -(AD12-Uzman_D!$B$20), AD12-Uzman_D!$B$20)*0.1 +
        IF(AE12-Uzman_D!$C$20&lt;0, -(AE12-Uzman_D!$C$20), AE12-Uzman_D!$C$20)*0.1 +
        IF(AF12-Uzman_D!$D$20&lt;0, -(AF12-Uzman_D!$D$20), AF12-Uzman_D!$D$20)*0.1 +
        IF(AG12-Uzman_D!$E$20&lt;0, -(AG12-Uzman_D!$E$20), AG12-Uzman_D!$E$20)*0.1 +
        IF(AH12-Uzman_D!$F$20&lt;0, -(AH12-Uzman_D!$F$20), AH12-Uzman_D!$F$20)*0.1 +
        IF(AI12-Uzman_D!$G$20&lt;0, -(AI12-Uzman_D!$G$20), AI12-Uzman_D!$G$20)*0.1 +
        IF(AJ12-Uzman_D!$H$20&lt;0, -(AJ12-Uzman_D!$H$20), AJ12-Uzman_D!$H$20)*0.1 +
        IF(AK12-Uzman_D!$I$20&lt;0, -(AK12-Uzman_D!$I$20), AK12-Uzman_D!$I$20)*0.1 +
        IF(AL12-Uzman_D!$J$20&lt;0, -(AL12-Uzman_D!$J$20), AL12-Uzman_D!$J$20)*0.1
    ) +
    IF(ROUND((IF(AN12-Uzman_D!$L$20&lt;0, -(AN12-Uzman_D!$L$20), AN12-Uzman_D!$L$20)*2),0)/2 = IF(AN12-Uzman_D!$L$20&lt;0, -(AN12-Uzman_D!$L$20), AN12-Uzman_D!$L$20),
    (ROUND((IF(AN12-Uzman_D!$L$20&lt;0, -(AN12-Uzman_D!$L$20), AN12-Uzman_D!$L$20)*2),0)/1 * 0.1), 0) +
    IF(AO12-Uzman_D!$M$20&lt;0, -(AO12-Uzman_D!$M$20), AO12-Uzman_D!$M$20)*1
)</f>
        <v>-0.60000000000000009</v>
      </c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2"/>
      <c r="BB12" s="72"/>
      <c r="BC12" s="73">
        <f>1 - (
    SUM(
        IF(AQ12-Uzman_D!$B$21&lt;0, -(AQ12-Uzman_D!$B$21), AQ12-Uzman_D!$B$21)*0.1 +
        IF(AR12-Uzman_D!$C$21&lt;0, -(AR12-Uzman_D!$C$21), AR12-Uzman_D!$C$21)*0.1 +
        IF(AS12-Uzman_D!$D$21&lt;0, -(AS12-Uzman_D!$D$21), AS12-Uzman_D!$D$21)*0.1 +
        IF(AT12-Uzman_D!$E$21&lt;0, -(AT12-Uzman_D!$E$21), AT12-Uzman_D!$E$21)*0.1 +
        IF(AU12-Uzman_D!$F$21&lt;0, -(AU12-Uzman_D!$F$21), AU12-Uzman_D!$F$21)*0.1 +
        IF(AV12-Uzman_D!$G$21&lt;0, -(AV12-Uzman_D!$G$21), AV12-Uzman_D!$G$21)*0.1 +
        IF(AW12-Uzman_D!$H$21&lt;0, -(AW12-Uzman_D!$H$21), AW12-Uzman_D!$H$21)*0.1 +
        IF(AX12-Uzman_D!$I$21&lt;0, -(AX12-Uzman_D!$I$21), AX12-Uzman_D!$I$21)*0.1 +
        IF(AY12-Uzman_D!$J$21&lt;0, -(AY12-Uzman_D!$J$21), AY12-Uzman_D!$J$21)*0.1
    ) +
    IF(ROUND((IF(BA12-Uzman_D!$L$21&lt;0, -(BA12-Uzman_D!$L$21), BA12-Uzman_D!$L$21)*2),0)/2 = IF(BA12-Uzman_D!$L$21&lt;0, -(BA12-Uzman_D!$L$21), BA12-Uzman_D!$L$21),
    (ROUND((IF(BA12-Uzman_D!$L$21&lt;0, -(BA12-Uzman_D!$L$21), BA12-Uzman_D!$L$21)*2),0)/1 * 0.1), 0) +
    IF(BB12-Uzman_D!$M$21&lt;0, -(BB12-Uzman_D!$M$21), BB12-Uzman_D!$M$21)*1
)</f>
        <v>-0.60000000000000009</v>
      </c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2"/>
      <c r="BO12" s="72"/>
      <c r="BP12" s="73">
        <f>1 - (
    SUM(
        IF(BD12-Uzman_D!$B$22&lt;0, -(BD12-Uzman_D!$B$22), BD12-Uzman_D!$B$22)*0.1 +
        IF(BE12-Uzman_D!$C$22&lt;0, -(BE12-Uzman_D!$C$22), BE12-Uzman_D!$C$22)*0.1 +
        IF(BF12-Uzman_D!$D$22&lt;0, -(BF12-Uzman_D!$D$22), BF12-Uzman_D!$D$22)*0.1 +
        IF(BG12-Uzman_D!$E$22&lt;0, -(BG12-Uzman_D!$E$22), BG12-Uzman_D!$E$22)*0.1 +
        IF(BH12-Uzman_D!$F$22&lt;0, -(BH12-Uzman_D!$F$22), BH12-Uzman_D!$F$22)*0.1 +
        IF(BI12-Uzman_D!$G$22&lt;0, -(BI12-Uzman_D!$G$22), BI12-Uzman_D!$G$22)*0.1 +
        IF(BJ12-Uzman_D!$H$22&lt;0, -(BJ12-Uzman_D!$H$22), BJ12-Uzman_D!$H$22)*0.1 +
        IF(BK12-Uzman_D!$I$22&lt;0, -(BK12-Uzman_D!$I$22), BK12-Uzman_D!$I$22)*0.1 +
        IF(BL12-Uzman_D!$J$22&lt;0, -(BL12-Uzman_D!$J$22), BL12-Uzman_D!$J$22)*0.1
    ) +
    IF(ROUND((IF(BN12-Uzman_D!$L$22&lt;0, -(BN12-Uzman_D!$L$22), BN12-Uzman_D!$L$22)*2),0)/2 = IF(BN12-Uzman_D!$L$22&lt;0, -(BN12-Uzman_D!$L$22), BN12-Uzman_D!$L$22),
    (ROUND((IF(BN12-Uzman_D!$L$22&lt;0, -(BN12-Uzman_D!$L$22), BN12-Uzman_D!$L$22)*2),0)/1 * 0.1), 0) +
    IF(BO12-Uzman_D!$M$22&lt;0, -(BO12-Uzman_D!$M$22), BO12-Uzman_D!$M$22)*1
)</f>
        <v>-0.40000000000000013</v>
      </c>
      <c r="BQ12" s="74">
        <f t="shared" si="0"/>
        <v>-0.54000000000000026</v>
      </c>
    </row>
    <row r="13" spans="1:69" ht="15" customHeight="1" x14ac:dyDescent="0.2">
      <c r="A13" s="57">
        <v>10</v>
      </c>
      <c r="B13" s="29">
        <f>Hakemler!B13</f>
        <v>0</v>
      </c>
      <c r="C13" s="29">
        <f>Hakemler!C13</f>
        <v>0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2"/>
      <c r="O13" s="72"/>
      <c r="P13" s="73">
        <f>1 - (
    SUM(
        IF(D13-Uzman_D!$B$18&lt;0, -(D13-Uzman_D!$B$18), D13-Uzman_D!$B$18)*0.1 +
        IF(E13-Uzman_D!$C$18&lt;0, -(E13-Uzman_D!$C$18), E13-Uzman_D!$C$18)*0.1 +
        IF(F13-Uzman_D!$D$18&lt;0, -(F13-Uzman_D!$D$18), F13-Uzman_D!$D$18)*0.1 +
        IF(G13-Uzman_D!$E$18&lt;0, -(G13-Uzman_D!$E$18), G13-Uzman_D!$E$18)*0.1 +
        IF(H13-Uzman_D!$F$18&lt;0, -(H13-Uzman_D!$F$18), H13-Uzman_D!$F$18)*0.1 +
        IF(I13-Uzman_D!$G$18&lt;0, -(I13-Uzman_D!$G$18), I13-Uzman_D!$G$18)*0.1 +
        IF(J13-Uzman_D!$H$18&lt;0, -(J13-Uzman_D!$H$18), J13-Uzman_D!$H$18)*0.1 +
        IF(K13-Uzman_D!$I$18&lt;0, -(K13-Uzman_D!$I$18), K13-Uzman_D!$I$18)*0.1 +
        IF(L13-Uzman_D!$J$18&lt;0, -(L13-Uzman_D!$J$18), L13-Uzman_D!$J$18)*0.1
    ) +
    IF(ROUND((IF(N13-Uzman_D!$L$18&lt;0, -(N13-Uzman_D!$L$18), N13-Uzman_D!$L$18)*2),0)/2 = IF(N13-Uzman_D!$L$18&lt;0, -(N13-Uzman_D!$L$18), N13-Uzman_D!$L$18),
    (ROUND((IF(N13-Uzman_D!$L$18&lt;0, -(N13-Uzman_D!$L$18), N13-Uzman_D!$L$18)*2),0)/1 * 0.1), 0) +
    IF(O13-Uzman_D!$M$18&lt;0, -(O13-Uzman_D!$M$18), O13-Uzman_D!$M$18)*1
)</f>
        <v>-0.50000000000000022</v>
      </c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2"/>
      <c r="AB13" s="72"/>
      <c r="AC13" s="73">
        <f>1 - (
    SUM(
        IF(Q13-Uzman_D!$B$19&lt;0, -(Q13-Uzman_D!$B$19), Q13-Uzman_D!$B$19)*0.1 +
        IF(R13-Uzman_D!$C$19&lt;0, -(R13-Uzman_D!$C$19), R13-Uzman_D!$C$19)*0.1 +
        IF(S13-Uzman_D!$D$19&lt;0, -(S13-Uzman_D!$D$19), S13-Uzman_D!$D$19)*0.1 +
        IF(T13-Uzman_D!$E$19&lt;0, -(T13-Uzman_D!$E$19), T13-Uzman_D!$E$19)*0.1 +
        IF(U13-Uzman_D!$F$19&lt;0, -(U13-Uzman_D!$F$19), U13-Uzman_D!$F$19)*0.1 +
        IF(V13-Uzman_D!$G$19&lt;0, -(V13-Uzman_D!$G$19), V13-Uzman_D!$G$19)*0.1 +
        IF(W13-Uzman_D!$H$19&lt;0, -(W13-Uzman_D!$H$19), W13-Uzman_D!$H$19)*0.1 +
        IF(X13-Uzman_D!$I$19&lt;0, -(X13-Uzman_D!$I$19), X13-Uzman_D!$I$19)*0.1 +
        IF(Y13-Uzman_D!$J$19&lt;0, -(Y13-Uzman_D!$J$19), Y13-Uzman_D!$J$19)*0.1
    ) +
    IF(ROUND((IF(AA13-Uzman_D!$L$19&lt;0, -(AA13-Uzman_D!$L$19), AA13-Uzman_D!$L$19)*2),0)/2 = IF(AA13-Uzman_D!$L$19&lt;0, -(AA13-Uzman_D!$L$19), AA13-Uzman_D!$L$19),
    (ROUND((IF(AA13-Uzman_D!$L$19&lt;0, -(AA13-Uzman_D!$L$19), AA13-Uzman_D!$L$19)*2),0)/1 * 0.1), 0) +
    IF(AB13-Uzman_D!$M$19&lt;0, -(AB13-Uzman_D!$M$19), AB13-Uzman_D!$M$19)*1
)</f>
        <v>-0.60000000000000009</v>
      </c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2"/>
      <c r="AO13" s="72"/>
      <c r="AP13" s="73">
        <f>1 - (
    SUM(
        IF(AD13-Uzman_D!$B$20&lt;0, -(AD13-Uzman_D!$B$20), AD13-Uzman_D!$B$20)*0.1 +
        IF(AE13-Uzman_D!$C$20&lt;0, -(AE13-Uzman_D!$C$20), AE13-Uzman_D!$C$20)*0.1 +
        IF(AF13-Uzman_D!$D$20&lt;0, -(AF13-Uzman_D!$D$20), AF13-Uzman_D!$D$20)*0.1 +
        IF(AG13-Uzman_D!$E$20&lt;0, -(AG13-Uzman_D!$E$20), AG13-Uzman_D!$E$20)*0.1 +
        IF(AH13-Uzman_D!$F$20&lt;0, -(AH13-Uzman_D!$F$20), AH13-Uzman_D!$F$20)*0.1 +
        IF(AI13-Uzman_D!$G$20&lt;0, -(AI13-Uzman_D!$G$20), AI13-Uzman_D!$G$20)*0.1 +
        IF(AJ13-Uzman_D!$H$20&lt;0, -(AJ13-Uzman_D!$H$20), AJ13-Uzman_D!$H$20)*0.1 +
        IF(AK13-Uzman_D!$I$20&lt;0, -(AK13-Uzman_D!$I$20), AK13-Uzman_D!$I$20)*0.1 +
        IF(AL13-Uzman_D!$J$20&lt;0, -(AL13-Uzman_D!$J$20), AL13-Uzman_D!$J$20)*0.1
    ) +
    IF(ROUND((IF(AN13-Uzman_D!$L$20&lt;0, -(AN13-Uzman_D!$L$20), AN13-Uzman_D!$L$20)*2),0)/2 = IF(AN13-Uzman_D!$L$20&lt;0, -(AN13-Uzman_D!$L$20), AN13-Uzman_D!$L$20),
    (ROUND((IF(AN13-Uzman_D!$L$20&lt;0, -(AN13-Uzman_D!$L$20), AN13-Uzman_D!$L$20)*2),0)/1 * 0.1), 0) +
    IF(AO13-Uzman_D!$M$20&lt;0, -(AO13-Uzman_D!$M$20), AO13-Uzman_D!$M$20)*1
)</f>
        <v>-0.60000000000000009</v>
      </c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2"/>
      <c r="BB13" s="72"/>
      <c r="BC13" s="73">
        <f>1 - (
    SUM(
        IF(AQ13-Uzman_D!$B$21&lt;0, -(AQ13-Uzman_D!$B$21), AQ13-Uzman_D!$B$21)*0.1 +
        IF(AR13-Uzman_D!$C$21&lt;0, -(AR13-Uzman_D!$C$21), AR13-Uzman_D!$C$21)*0.1 +
        IF(AS13-Uzman_D!$D$21&lt;0, -(AS13-Uzman_D!$D$21), AS13-Uzman_D!$D$21)*0.1 +
        IF(AT13-Uzman_D!$E$21&lt;0, -(AT13-Uzman_D!$E$21), AT13-Uzman_D!$E$21)*0.1 +
        IF(AU13-Uzman_D!$F$21&lt;0, -(AU13-Uzman_D!$F$21), AU13-Uzman_D!$F$21)*0.1 +
        IF(AV13-Uzman_D!$G$21&lt;0, -(AV13-Uzman_D!$G$21), AV13-Uzman_D!$G$21)*0.1 +
        IF(AW13-Uzman_D!$H$21&lt;0, -(AW13-Uzman_D!$H$21), AW13-Uzman_D!$H$21)*0.1 +
        IF(AX13-Uzman_D!$I$21&lt;0, -(AX13-Uzman_D!$I$21), AX13-Uzman_D!$I$21)*0.1 +
        IF(AY13-Uzman_D!$J$21&lt;0, -(AY13-Uzman_D!$J$21), AY13-Uzman_D!$J$21)*0.1
    ) +
    IF(ROUND((IF(BA13-Uzman_D!$L$21&lt;0, -(BA13-Uzman_D!$L$21), BA13-Uzman_D!$L$21)*2),0)/2 = IF(BA13-Uzman_D!$L$21&lt;0, -(BA13-Uzman_D!$L$21), BA13-Uzman_D!$L$21),
    (ROUND((IF(BA13-Uzman_D!$L$21&lt;0, -(BA13-Uzman_D!$L$21), BA13-Uzman_D!$L$21)*2),0)/1 * 0.1), 0) +
    IF(BB13-Uzman_D!$M$21&lt;0, -(BB13-Uzman_D!$M$21), BB13-Uzman_D!$M$21)*1
)</f>
        <v>-0.60000000000000009</v>
      </c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2"/>
      <c r="BO13" s="72"/>
      <c r="BP13" s="73">
        <f>1 - (
    SUM(
        IF(BD13-Uzman_D!$B$22&lt;0, -(BD13-Uzman_D!$B$22), BD13-Uzman_D!$B$22)*0.1 +
        IF(BE13-Uzman_D!$C$22&lt;0, -(BE13-Uzman_D!$C$22), BE13-Uzman_D!$C$22)*0.1 +
        IF(BF13-Uzman_D!$D$22&lt;0, -(BF13-Uzman_D!$D$22), BF13-Uzman_D!$D$22)*0.1 +
        IF(BG13-Uzman_D!$E$22&lt;0, -(BG13-Uzman_D!$E$22), BG13-Uzman_D!$E$22)*0.1 +
        IF(BH13-Uzman_D!$F$22&lt;0, -(BH13-Uzman_D!$F$22), BH13-Uzman_D!$F$22)*0.1 +
        IF(BI13-Uzman_D!$G$22&lt;0, -(BI13-Uzman_D!$G$22), BI13-Uzman_D!$G$22)*0.1 +
        IF(BJ13-Uzman_D!$H$22&lt;0, -(BJ13-Uzman_D!$H$22), BJ13-Uzman_D!$H$22)*0.1 +
        IF(BK13-Uzman_D!$I$22&lt;0, -(BK13-Uzman_D!$I$22), BK13-Uzman_D!$I$22)*0.1 +
        IF(BL13-Uzman_D!$J$22&lt;0, -(BL13-Uzman_D!$J$22), BL13-Uzman_D!$J$22)*0.1
    ) +
    IF(ROUND((IF(BN13-Uzman_D!$L$22&lt;0, -(BN13-Uzman_D!$L$22), BN13-Uzman_D!$L$22)*2),0)/2 = IF(BN13-Uzman_D!$L$22&lt;0, -(BN13-Uzman_D!$L$22), BN13-Uzman_D!$L$22),
    (ROUND((IF(BN13-Uzman_D!$L$22&lt;0, -(BN13-Uzman_D!$L$22), BN13-Uzman_D!$L$22)*2),0)/1 * 0.1), 0) +
    IF(BO13-Uzman_D!$M$22&lt;0, -(BO13-Uzman_D!$M$22), BO13-Uzman_D!$M$22)*1
)</f>
        <v>-0.40000000000000013</v>
      </c>
      <c r="BQ13" s="74">
        <f t="shared" si="0"/>
        <v>-0.54000000000000026</v>
      </c>
    </row>
    <row r="14" spans="1:69" ht="15" customHeight="1" x14ac:dyDescent="0.2">
      <c r="A14" s="57">
        <v>11</v>
      </c>
      <c r="B14" s="29">
        <f>Hakemler!B14</f>
        <v>0</v>
      </c>
      <c r="C14" s="29">
        <f>Hakemler!C14</f>
        <v>0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2"/>
      <c r="O14" s="72"/>
      <c r="P14" s="73">
        <f>1 - (
    SUM(
        IF(D14-Uzman_D!$B$18&lt;0, -(D14-Uzman_D!$B$18), D14-Uzman_D!$B$18)*0.1 +
        IF(E14-Uzman_D!$C$18&lt;0, -(E14-Uzman_D!$C$18), E14-Uzman_D!$C$18)*0.1 +
        IF(F14-Uzman_D!$D$18&lt;0, -(F14-Uzman_D!$D$18), F14-Uzman_D!$D$18)*0.1 +
        IF(G14-Uzman_D!$E$18&lt;0, -(G14-Uzman_D!$E$18), G14-Uzman_D!$E$18)*0.1 +
        IF(H14-Uzman_D!$F$18&lt;0, -(H14-Uzman_D!$F$18), H14-Uzman_D!$F$18)*0.1 +
        IF(I14-Uzman_D!$G$18&lt;0, -(I14-Uzman_D!$G$18), I14-Uzman_D!$G$18)*0.1 +
        IF(J14-Uzman_D!$H$18&lt;0, -(J14-Uzman_D!$H$18), J14-Uzman_D!$H$18)*0.1 +
        IF(K14-Uzman_D!$I$18&lt;0, -(K14-Uzman_D!$I$18), K14-Uzman_D!$I$18)*0.1 +
        IF(L14-Uzman_D!$J$18&lt;0, -(L14-Uzman_D!$J$18), L14-Uzman_D!$J$18)*0.1
    ) +
    IF(ROUND((IF(N14-Uzman_D!$L$18&lt;0, -(N14-Uzman_D!$L$18), N14-Uzman_D!$L$18)*2),0)/2 = IF(N14-Uzman_D!$L$18&lt;0, -(N14-Uzman_D!$L$18), N14-Uzman_D!$L$18),
    (ROUND((IF(N14-Uzman_D!$L$18&lt;0, -(N14-Uzman_D!$L$18), N14-Uzman_D!$L$18)*2),0)/1 * 0.1), 0) +
    IF(O14-Uzman_D!$M$18&lt;0, -(O14-Uzman_D!$M$18), O14-Uzman_D!$M$18)*1
)</f>
        <v>-0.50000000000000022</v>
      </c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2"/>
      <c r="AB14" s="72"/>
      <c r="AC14" s="73">
        <f>1 - (
    SUM(
        IF(Q14-Uzman_D!$B$19&lt;0, -(Q14-Uzman_D!$B$19), Q14-Uzman_D!$B$19)*0.1 +
        IF(R14-Uzman_D!$C$19&lt;0, -(R14-Uzman_D!$C$19), R14-Uzman_D!$C$19)*0.1 +
        IF(S14-Uzman_D!$D$19&lt;0, -(S14-Uzman_D!$D$19), S14-Uzman_D!$D$19)*0.1 +
        IF(T14-Uzman_D!$E$19&lt;0, -(T14-Uzman_D!$E$19), T14-Uzman_D!$E$19)*0.1 +
        IF(U14-Uzman_D!$F$19&lt;0, -(U14-Uzman_D!$F$19), U14-Uzman_D!$F$19)*0.1 +
        IF(V14-Uzman_D!$G$19&lt;0, -(V14-Uzman_D!$G$19), V14-Uzman_D!$G$19)*0.1 +
        IF(W14-Uzman_D!$H$19&lt;0, -(W14-Uzman_D!$H$19), W14-Uzman_D!$H$19)*0.1 +
        IF(X14-Uzman_D!$I$19&lt;0, -(X14-Uzman_D!$I$19), X14-Uzman_D!$I$19)*0.1 +
        IF(Y14-Uzman_D!$J$19&lt;0, -(Y14-Uzman_D!$J$19), Y14-Uzman_D!$J$19)*0.1
    ) +
    IF(ROUND((IF(AA14-Uzman_D!$L$19&lt;0, -(AA14-Uzman_D!$L$19), AA14-Uzman_D!$L$19)*2),0)/2 = IF(AA14-Uzman_D!$L$19&lt;0, -(AA14-Uzman_D!$L$19), AA14-Uzman_D!$L$19),
    (ROUND((IF(AA14-Uzman_D!$L$19&lt;0, -(AA14-Uzman_D!$L$19), AA14-Uzman_D!$L$19)*2),0)/1 * 0.1), 0) +
    IF(AB14-Uzman_D!$M$19&lt;0, -(AB14-Uzman_D!$M$19), AB14-Uzman_D!$M$19)*1
)</f>
        <v>-0.60000000000000009</v>
      </c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2"/>
      <c r="AO14" s="72"/>
      <c r="AP14" s="73">
        <f>1 - (
    SUM(
        IF(AD14-Uzman_D!$B$20&lt;0, -(AD14-Uzman_D!$B$20), AD14-Uzman_D!$B$20)*0.1 +
        IF(AE14-Uzman_D!$C$20&lt;0, -(AE14-Uzman_D!$C$20), AE14-Uzman_D!$C$20)*0.1 +
        IF(AF14-Uzman_D!$D$20&lt;0, -(AF14-Uzman_D!$D$20), AF14-Uzman_D!$D$20)*0.1 +
        IF(AG14-Uzman_D!$E$20&lt;0, -(AG14-Uzman_D!$E$20), AG14-Uzman_D!$E$20)*0.1 +
        IF(AH14-Uzman_D!$F$20&lt;0, -(AH14-Uzman_D!$F$20), AH14-Uzman_D!$F$20)*0.1 +
        IF(AI14-Uzman_D!$G$20&lt;0, -(AI14-Uzman_D!$G$20), AI14-Uzman_D!$G$20)*0.1 +
        IF(AJ14-Uzman_D!$H$20&lt;0, -(AJ14-Uzman_D!$H$20), AJ14-Uzman_D!$H$20)*0.1 +
        IF(AK14-Uzman_D!$I$20&lt;0, -(AK14-Uzman_D!$I$20), AK14-Uzman_D!$I$20)*0.1 +
        IF(AL14-Uzman_D!$J$20&lt;0, -(AL14-Uzman_D!$J$20), AL14-Uzman_D!$J$20)*0.1
    ) +
    IF(ROUND((IF(AN14-Uzman_D!$L$20&lt;0, -(AN14-Uzman_D!$L$20), AN14-Uzman_D!$L$20)*2),0)/2 = IF(AN14-Uzman_D!$L$20&lt;0, -(AN14-Uzman_D!$L$20), AN14-Uzman_D!$L$20),
    (ROUND((IF(AN14-Uzman_D!$L$20&lt;0, -(AN14-Uzman_D!$L$20), AN14-Uzman_D!$L$20)*2),0)/1 * 0.1), 0) +
    IF(AO14-Uzman_D!$M$20&lt;0, -(AO14-Uzman_D!$M$20), AO14-Uzman_D!$M$20)*1
)</f>
        <v>-0.60000000000000009</v>
      </c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2"/>
      <c r="BB14" s="72"/>
      <c r="BC14" s="73">
        <f>1 - (
    SUM(
        IF(AQ14-Uzman_D!$B$21&lt;0, -(AQ14-Uzman_D!$B$21), AQ14-Uzman_D!$B$21)*0.1 +
        IF(AR14-Uzman_D!$C$21&lt;0, -(AR14-Uzman_D!$C$21), AR14-Uzman_D!$C$21)*0.1 +
        IF(AS14-Uzman_D!$D$21&lt;0, -(AS14-Uzman_D!$D$21), AS14-Uzman_D!$D$21)*0.1 +
        IF(AT14-Uzman_D!$E$21&lt;0, -(AT14-Uzman_D!$E$21), AT14-Uzman_D!$E$21)*0.1 +
        IF(AU14-Uzman_D!$F$21&lt;0, -(AU14-Uzman_D!$F$21), AU14-Uzman_D!$F$21)*0.1 +
        IF(AV14-Uzman_D!$G$21&lt;0, -(AV14-Uzman_D!$G$21), AV14-Uzman_D!$G$21)*0.1 +
        IF(AW14-Uzman_D!$H$21&lt;0, -(AW14-Uzman_D!$H$21), AW14-Uzman_D!$H$21)*0.1 +
        IF(AX14-Uzman_D!$I$21&lt;0, -(AX14-Uzman_D!$I$21), AX14-Uzman_D!$I$21)*0.1 +
        IF(AY14-Uzman_D!$J$21&lt;0, -(AY14-Uzman_D!$J$21), AY14-Uzman_D!$J$21)*0.1
    ) +
    IF(ROUND((IF(BA14-Uzman_D!$L$21&lt;0, -(BA14-Uzman_D!$L$21), BA14-Uzman_D!$L$21)*2),0)/2 = IF(BA14-Uzman_D!$L$21&lt;0, -(BA14-Uzman_D!$L$21), BA14-Uzman_D!$L$21),
    (ROUND((IF(BA14-Uzman_D!$L$21&lt;0, -(BA14-Uzman_D!$L$21), BA14-Uzman_D!$L$21)*2),0)/1 * 0.1), 0) +
    IF(BB14-Uzman_D!$M$21&lt;0, -(BB14-Uzman_D!$M$21), BB14-Uzman_D!$M$21)*1
)</f>
        <v>-0.60000000000000009</v>
      </c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2"/>
      <c r="BO14" s="72"/>
      <c r="BP14" s="73">
        <f>1 - (
    SUM(
        IF(BD14-Uzman_D!$B$22&lt;0, -(BD14-Uzman_D!$B$22), BD14-Uzman_D!$B$22)*0.1 +
        IF(BE14-Uzman_D!$C$22&lt;0, -(BE14-Uzman_D!$C$22), BE14-Uzman_D!$C$22)*0.1 +
        IF(BF14-Uzman_D!$D$22&lt;0, -(BF14-Uzman_D!$D$22), BF14-Uzman_D!$D$22)*0.1 +
        IF(BG14-Uzman_D!$E$22&lt;0, -(BG14-Uzman_D!$E$22), BG14-Uzman_D!$E$22)*0.1 +
        IF(BH14-Uzman_D!$F$22&lt;0, -(BH14-Uzman_D!$F$22), BH14-Uzman_D!$F$22)*0.1 +
        IF(BI14-Uzman_D!$G$22&lt;0, -(BI14-Uzman_D!$G$22), BI14-Uzman_D!$G$22)*0.1 +
        IF(BJ14-Uzman_D!$H$22&lt;0, -(BJ14-Uzman_D!$H$22), BJ14-Uzman_D!$H$22)*0.1 +
        IF(BK14-Uzman_D!$I$22&lt;0, -(BK14-Uzman_D!$I$22), BK14-Uzman_D!$I$22)*0.1 +
        IF(BL14-Uzman_D!$J$22&lt;0, -(BL14-Uzman_D!$J$22), BL14-Uzman_D!$J$22)*0.1
    ) +
    IF(ROUND((IF(BN14-Uzman_D!$L$22&lt;0, -(BN14-Uzman_D!$L$22), BN14-Uzman_D!$L$22)*2),0)/2 = IF(BN14-Uzman_D!$L$22&lt;0, -(BN14-Uzman_D!$L$22), BN14-Uzman_D!$L$22),
    (ROUND((IF(BN14-Uzman_D!$L$22&lt;0, -(BN14-Uzman_D!$L$22), BN14-Uzman_D!$L$22)*2),0)/1 * 0.1), 0) +
    IF(BO14-Uzman_D!$M$22&lt;0, -(BO14-Uzman_D!$M$22), BO14-Uzman_D!$M$22)*1
)</f>
        <v>-0.40000000000000013</v>
      </c>
      <c r="BQ14" s="74">
        <f t="shared" si="0"/>
        <v>-0.54000000000000026</v>
      </c>
    </row>
    <row r="15" spans="1:69" ht="15" customHeight="1" x14ac:dyDescent="0.2">
      <c r="A15" s="57">
        <v>12</v>
      </c>
      <c r="B15" s="29">
        <f>Hakemler!B15</f>
        <v>0</v>
      </c>
      <c r="C15" s="29">
        <f>Hakemler!C15</f>
        <v>0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2"/>
      <c r="O15" s="72"/>
      <c r="P15" s="73">
        <f>1 - (
    SUM(
        IF(D15-Uzman_D!$B$18&lt;0, -(D15-Uzman_D!$B$18), D15-Uzman_D!$B$18)*0.1 +
        IF(E15-Uzman_D!$C$18&lt;0, -(E15-Uzman_D!$C$18), E15-Uzman_D!$C$18)*0.1 +
        IF(F15-Uzman_D!$D$18&lt;0, -(F15-Uzman_D!$D$18), F15-Uzman_D!$D$18)*0.1 +
        IF(G15-Uzman_D!$E$18&lt;0, -(G15-Uzman_D!$E$18), G15-Uzman_D!$E$18)*0.1 +
        IF(H15-Uzman_D!$F$18&lt;0, -(H15-Uzman_D!$F$18), H15-Uzman_D!$F$18)*0.1 +
        IF(I15-Uzman_D!$G$18&lt;0, -(I15-Uzman_D!$G$18), I15-Uzman_D!$G$18)*0.1 +
        IF(J15-Uzman_D!$H$18&lt;0, -(J15-Uzman_D!$H$18), J15-Uzman_D!$H$18)*0.1 +
        IF(K15-Uzman_D!$I$18&lt;0, -(K15-Uzman_D!$I$18), K15-Uzman_D!$I$18)*0.1 +
        IF(L15-Uzman_D!$J$18&lt;0, -(L15-Uzman_D!$J$18), L15-Uzman_D!$J$18)*0.1
    ) +
    IF(ROUND((IF(N15-Uzman_D!$L$18&lt;0, -(N15-Uzman_D!$L$18), N15-Uzman_D!$L$18)*2),0)/2 = IF(N15-Uzman_D!$L$18&lt;0, -(N15-Uzman_D!$L$18), N15-Uzman_D!$L$18),
    (ROUND((IF(N15-Uzman_D!$L$18&lt;0, -(N15-Uzman_D!$L$18), N15-Uzman_D!$L$18)*2),0)/1 * 0.1), 0) +
    IF(O15-Uzman_D!$M$18&lt;0, -(O15-Uzman_D!$M$18), O15-Uzman_D!$M$18)*1
)</f>
        <v>-0.50000000000000022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2"/>
      <c r="AB15" s="72"/>
      <c r="AC15" s="73">
        <f>1 - (
    SUM(
        IF(Q15-Uzman_D!$B$19&lt;0, -(Q15-Uzman_D!$B$19), Q15-Uzman_D!$B$19)*0.1 +
        IF(R15-Uzman_D!$C$19&lt;0, -(R15-Uzman_D!$C$19), R15-Uzman_D!$C$19)*0.1 +
        IF(S15-Uzman_D!$D$19&lt;0, -(S15-Uzman_D!$D$19), S15-Uzman_D!$D$19)*0.1 +
        IF(T15-Uzman_D!$E$19&lt;0, -(T15-Uzman_D!$E$19), T15-Uzman_D!$E$19)*0.1 +
        IF(U15-Uzman_D!$F$19&lt;0, -(U15-Uzman_D!$F$19), U15-Uzman_D!$F$19)*0.1 +
        IF(V15-Uzman_D!$G$19&lt;0, -(V15-Uzman_D!$G$19), V15-Uzman_D!$G$19)*0.1 +
        IF(W15-Uzman_D!$H$19&lt;0, -(W15-Uzman_D!$H$19), W15-Uzman_D!$H$19)*0.1 +
        IF(X15-Uzman_D!$I$19&lt;0, -(X15-Uzman_D!$I$19), X15-Uzman_D!$I$19)*0.1 +
        IF(Y15-Uzman_D!$J$19&lt;0, -(Y15-Uzman_D!$J$19), Y15-Uzman_D!$J$19)*0.1
    ) +
    IF(ROUND((IF(AA15-Uzman_D!$L$19&lt;0, -(AA15-Uzman_D!$L$19), AA15-Uzman_D!$L$19)*2),0)/2 = IF(AA15-Uzman_D!$L$19&lt;0, -(AA15-Uzman_D!$L$19), AA15-Uzman_D!$L$19),
    (ROUND((IF(AA15-Uzman_D!$L$19&lt;0, -(AA15-Uzman_D!$L$19), AA15-Uzman_D!$L$19)*2),0)/1 * 0.1), 0) +
    IF(AB15-Uzman_D!$M$19&lt;0, -(AB15-Uzman_D!$M$19), AB15-Uzman_D!$M$19)*1
)</f>
        <v>-0.60000000000000009</v>
      </c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2"/>
      <c r="AO15" s="72"/>
      <c r="AP15" s="73">
        <f>1 - (
    SUM(
        IF(AD15-Uzman_D!$B$20&lt;0, -(AD15-Uzman_D!$B$20), AD15-Uzman_D!$B$20)*0.1 +
        IF(AE15-Uzman_D!$C$20&lt;0, -(AE15-Uzman_D!$C$20), AE15-Uzman_D!$C$20)*0.1 +
        IF(AF15-Uzman_D!$D$20&lt;0, -(AF15-Uzman_D!$D$20), AF15-Uzman_D!$D$20)*0.1 +
        IF(AG15-Uzman_D!$E$20&lt;0, -(AG15-Uzman_D!$E$20), AG15-Uzman_D!$E$20)*0.1 +
        IF(AH15-Uzman_D!$F$20&lt;0, -(AH15-Uzman_D!$F$20), AH15-Uzman_D!$F$20)*0.1 +
        IF(AI15-Uzman_D!$G$20&lt;0, -(AI15-Uzman_D!$G$20), AI15-Uzman_D!$G$20)*0.1 +
        IF(AJ15-Uzman_D!$H$20&lt;0, -(AJ15-Uzman_D!$H$20), AJ15-Uzman_D!$H$20)*0.1 +
        IF(AK15-Uzman_D!$I$20&lt;0, -(AK15-Uzman_D!$I$20), AK15-Uzman_D!$I$20)*0.1 +
        IF(AL15-Uzman_D!$J$20&lt;0, -(AL15-Uzman_D!$J$20), AL15-Uzman_D!$J$20)*0.1
    ) +
    IF(ROUND((IF(AN15-Uzman_D!$L$20&lt;0, -(AN15-Uzman_D!$L$20), AN15-Uzman_D!$L$20)*2),0)/2 = IF(AN15-Uzman_D!$L$20&lt;0, -(AN15-Uzman_D!$L$20), AN15-Uzman_D!$L$20),
    (ROUND((IF(AN15-Uzman_D!$L$20&lt;0, -(AN15-Uzman_D!$L$20), AN15-Uzman_D!$L$20)*2),0)/1 * 0.1), 0) +
    IF(AO15-Uzman_D!$M$20&lt;0, -(AO15-Uzman_D!$M$20), AO15-Uzman_D!$M$20)*1
)</f>
        <v>-0.60000000000000009</v>
      </c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2"/>
      <c r="BB15" s="72"/>
      <c r="BC15" s="73">
        <f>1 - (
    SUM(
        IF(AQ15-Uzman_D!$B$21&lt;0, -(AQ15-Uzman_D!$B$21), AQ15-Uzman_D!$B$21)*0.1 +
        IF(AR15-Uzman_D!$C$21&lt;0, -(AR15-Uzman_D!$C$21), AR15-Uzman_D!$C$21)*0.1 +
        IF(AS15-Uzman_D!$D$21&lt;0, -(AS15-Uzman_D!$D$21), AS15-Uzman_D!$D$21)*0.1 +
        IF(AT15-Uzman_D!$E$21&lt;0, -(AT15-Uzman_D!$E$21), AT15-Uzman_D!$E$21)*0.1 +
        IF(AU15-Uzman_D!$F$21&lt;0, -(AU15-Uzman_D!$F$21), AU15-Uzman_D!$F$21)*0.1 +
        IF(AV15-Uzman_D!$G$21&lt;0, -(AV15-Uzman_D!$G$21), AV15-Uzman_D!$G$21)*0.1 +
        IF(AW15-Uzman_D!$H$21&lt;0, -(AW15-Uzman_D!$H$21), AW15-Uzman_D!$H$21)*0.1 +
        IF(AX15-Uzman_D!$I$21&lt;0, -(AX15-Uzman_D!$I$21), AX15-Uzman_D!$I$21)*0.1 +
        IF(AY15-Uzman_D!$J$21&lt;0, -(AY15-Uzman_D!$J$21), AY15-Uzman_D!$J$21)*0.1
    ) +
    IF(ROUND((IF(BA15-Uzman_D!$L$21&lt;0, -(BA15-Uzman_D!$L$21), BA15-Uzman_D!$L$21)*2),0)/2 = IF(BA15-Uzman_D!$L$21&lt;0, -(BA15-Uzman_D!$L$21), BA15-Uzman_D!$L$21),
    (ROUND((IF(BA15-Uzman_D!$L$21&lt;0, -(BA15-Uzman_D!$L$21), BA15-Uzman_D!$L$21)*2),0)/1 * 0.1), 0) +
    IF(BB15-Uzman_D!$M$21&lt;0, -(BB15-Uzman_D!$M$21), BB15-Uzman_D!$M$21)*1
)</f>
        <v>-0.60000000000000009</v>
      </c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2"/>
      <c r="BO15" s="72"/>
      <c r="BP15" s="73">
        <f>1 - (
    SUM(
        IF(BD15-Uzman_D!$B$22&lt;0, -(BD15-Uzman_D!$B$22), BD15-Uzman_D!$B$22)*0.1 +
        IF(BE15-Uzman_D!$C$22&lt;0, -(BE15-Uzman_D!$C$22), BE15-Uzman_D!$C$22)*0.1 +
        IF(BF15-Uzman_D!$D$22&lt;0, -(BF15-Uzman_D!$D$22), BF15-Uzman_D!$D$22)*0.1 +
        IF(BG15-Uzman_D!$E$22&lt;0, -(BG15-Uzman_D!$E$22), BG15-Uzman_D!$E$22)*0.1 +
        IF(BH15-Uzman_D!$F$22&lt;0, -(BH15-Uzman_D!$F$22), BH15-Uzman_D!$F$22)*0.1 +
        IF(BI15-Uzman_D!$G$22&lt;0, -(BI15-Uzman_D!$G$22), BI15-Uzman_D!$G$22)*0.1 +
        IF(BJ15-Uzman_D!$H$22&lt;0, -(BJ15-Uzman_D!$H$22), BJ15-Uzman_D!$H$22)*0.1 +
        IF(BK15-Uzman_D!$I$22&lt;0, -(BK15-Uzman_D!$I$22), BK15-Uzman_D!$I$22)*0.1 +
        IF(BL15-Uzman_D!$J$22&lt;0, -(BL15-Uzman_D!$J$22), BL15-Uzman_D!$J$22)*0.1
    ) +
    IF(ROUND((IF(BN15-Uzman_D!$L$22&lt;0, -(BN15-Uzman_D!$L$22), BN15-Uzman_D!$L$22)*2),0)/2 = IF(BN15-Uzman_D!$L$22&lt;0, -(BN15-Uzman_D!$L$22), BN15-Uzman_D!$L$22),
    (ROUND((IF(BN15-Uzman_D!$L$22&lt;0, -(BN15-Uzman_D!$L$22), BN15-Uzman_D!$L$22)*2),0)/1 * 0.1), 0) +
    IF(BO15-Uzman_D!$M$22&lt;0, -(BO15-Uzman_D!$M$22), BO15-Uzman_D!$M$22)*1
)</f>
        <v>-0.40000000000000013</v>
      </c>
      <c r="BQ15" s="74">
        <f t="shared" si="0"/>
        <v>-0.54000000000000026</v>
      </c>
    </row>
    <row r="16" spans="1:69" ht="15" customHeight="1" x14ac:dyDescent="0.2">
      <c r="A16" s="57">
        <v>13</v>
      </c>
      <c r="B16" s="29">
        <f>Hakemler!B16</f>
        <v>0</v>
      </c>
      <c r="C16" s="29">
        <f>Hakemler!C16</f>
        <v>0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2"/>
      <c r="O16" s="72"/>
      <c r="P16" s="73">
        <f>1 - (
    SUM(
        IF(D16-Uzman_D!$B$18&lt;0, -(D16-Uzman_D!$B$18), D16-Uzman_D!$B$18)*0.1 +
        IF(E16-Uzman_D!$C$18&lt;0, -(E16-Uzman_D!$C$18), E16-Uzman_D!$C$18)*0.1 +
        IF(F16-Uzman_D!$D$18&lt;0, -(F16-Uzman_D!$D$18), F16-Uzman_D!$D$18)*0.1 +
        IF(G16-Uzman_D!$E$18&lt;0, -(G16-Uzman_D!$E$18), G16-Uzman_D!$E$18)*0.1 +
        IF(H16-Uzman_D!$F$18&lt;0, -(H16-Uzman_D!$F$18), H16-Uzman_D!$F$18)*0.1 +
        IF(I16-Uzman_D!$G$18&lt;0, -(I16-Uzman_D!$G$18), I16-Uzman_D!$G$18)*0.1 +
        IF(J16-Uzman_D!$H$18&lt;0, -(J16-Uzman_D!$H$18), J16-Uzman_D!$H$18)*0.1 +
        IF(K16-Uzman_D!$I$18&lt;0, -(K16-Uzman_D!$I$18), K16-Uzman_D!$I$18)*0.1 +
        IF(L16-Uzman_D!$J$18&lt;0, -(L16-Uzman_D!$J$18), L16-Uzman_D!$J$18)*0.1
    ) +
    IF(ROUND((IF(N16-Uzman_D!$L$18&lt;0, -(N16-Uzman_D!$L$18), N16-Uzman_D!$L$18)*2),0)/2 = IF(N16-Uzman_D!$L$18&lt;0, -(N16-Uzman_D!$L$18), N16-Uzman_D!$L$18),
    (ROUND((IF(N16-Uzman_D!$L$18&lt;0, -(N16-Uzman_D!$L$18), N16-Uzman_D!$L$18)*2),0)/1 * 0.1), 0) +
    IF(O16-Uzman_D!$M$18&lt;0, -(O16-Uzman_D!$M$18), O16-Uzman_D!$M$18)*1
)</f>
        <v>-0.50000000000000022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2"/>
      <c r="AB16" s="72"/>
      <c r="AC16" s="73">
        <f>1 - (
    SUM(
        IF(Q16-Uzman_D!$B$19&lt;0, -(Q16-Uzman_D!$B$19), Q16-Uzman_D!$B$19)*0.1 +
        IF(R16-Uzman_D!$C$19&lt;0, -(R16-Uzman_D!$C$19), R16-Uzman_D!$C$19)*0.1 +
        IF(S16-Uzman_D!$D$19&lt;0, -(S16-Uzman_D!$D$19), S16-Uzman_D!$D$19)*0.1 +
        IF(T16-Uzman_D!$E$19&lt;0, -(T16-Uzman_D!$E$19), T16-Uzman_D!$E$19)*0.1 +
        IF(U16-Uzman_D!$F$19&lt;0, -(U16-Uzman_D!$F$19), U16-Uzman_D!$F$19)*0.1 +
        IF(V16-Uzman_D!$G$19&lt;0, -(V16-Uzman_D!$G$19), V16-Uzman_D!$G$19)*0.1 +
        IF(W16-Uzman_D!$H$19&lt;0, -(W16-Uzman_D!$H$19), W16-Uzman_D!$H$19)*0.1 +
        IF(X16-Uzman_D!$I$19&lt;0, -(X16-Uzman_D!$I$19), X16-Uzman_D!$I$19)*0.1 +
        IF(Y16-Uzman_D!$J$19&lt;0, -(Y16-Uzman_D!$J$19), Y16-Uzman_D!$J$19)*0.1
    ) +
    IF(ROUND((IF(AA16-Uzman_D!$L$19&lt;0, -(AA16-Uzman_D!$L$19), AA16-Uzman_D!$L$19)*2),0)/2 = IF(AA16-Uzman_D!$L$19&lt;0, -(AA16-Uzman_D!$L$19), AA16-Uzman_D!$L$19),
    (ROUND((IF(AA16-Uzman_D!$L$19&lt;0, -(AA16-Uzman_D!$L$19), AA16-Uzman_D!$L$19)*2),0)/1 * 0.1), 0) +
    IF(AB16-Uzman_D!$M$19&lt;0, -(AB16-Uzman_D!$M$19), AB16-Uzman_D!$M$19)*1
)</f>
        <v>-0.60000000000000009</v>
      </c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2"/>
      <c r="AO16" s="72"/>
      <c r="AP16" s="73">
        <f>1 - (
    SUM(
        IF(AD16-Uzman_D!$B$20&lt;0, -(AD16-Uzman_D!$B$20), AD16-Uzman_D!$B$20)*0.1 +
        IF(AE16-Uzman_D!$C$20&lt;0, -(AE16-Uzman_D!$C$20), AE16-Uzman_D!$C$20)*0.1 +
        IF(AF16-Uzman_D!$D$20&lt;0, -(AF16-Uzman_D!$D$20), AF16-Uzman_D!$D$20)*0.1 +
        IF(AG16-Uzman_D!$E$20&lt;0, -(AG16-Uzman_D!$E$20), AG16-Uzman_D!$E$20)*0.1 +
        IF(AH16-Uzman_D!$F$20&lt;0, -(AH16-Uzman_D!$F$20), AH16-Uzman_D!$F$20)*0.1 +
        IF(AI16-Uzman_D!$G$20&lt;0, -(AI16-Uzman_D!$G$20), AI16-Uzman_D!$G$20)*0.1 +
        IF(AJ16-Uzman_D!$H$20&lt;0, -(AJ16-Uzman_D!$H$20), AJ16-Uzman_D!$H$20)*0.1 +
        IF(AK16-Uzman_D!$I$20&lt;0, -(AK16-Uzman_D!$I$20), AK16-Uzman_D!$I$20)*0.1 +
        IF(AL16-Uzman_D!$J$20&lt;0, -(AL16-Uzman_D!$J$20), AL16-Uzman_D!$J$20)*0.1
    ) +
    IF(ROUND((IF(AN16-Uzman_D!$L$20&lt;0, -(AN16-Uzman_D!$L$20), AN16-Uzman_D!$L$20)*2),0)/2 = IF(AN16-Uzman_D!$L$20&lt;0, -(AN16-Uzman_D!$L$20), AN16-Uzman_D!$L$20),
    (ROUND((IF(AN16-Uzman_D!$L$20&lt;0, -(AN16-Uzman_D!$L$20), AN16-Uzman_D!$L$20)*2),0)/1 * 0.1), 0) +
    IF(AO16-Uzman_D!$M$20&lt;0, -(AO16-Uzman_D!$M$20), AO16-Uzman_D!$M$20)*1
)</f>
        <v>-0.60000000000000009</v>
      </c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2"/>
      <c r="BB16" s="72"/>
      <c r="BC16" s="73">
        <f>1 - (
    SUM(
        IF(AQ16-Uzman_D!$B$21&lt;0, -(AQ16-Uzman_D!$B$21), AQ16-Uzman_D!$B$21)*0.1 +
        IF(AR16-Uzman_D!$C$21&lt;0, -(AR16-Uzman_D!$C$21), AR16-Uzman_D!$C$21)*0.1 +
        IF(AS16-Uzman_D!$D$21&lt;0, -(AS16-Uzman_D!$D$21), AS16-Uzman_D!$D$21)*0.1 +
        IF(AT16-Uzman_D!$E$21&lt;0, -(AT16-Uzman_D!$E$21), AT16-Uzman_D!$E$21)*0.1 +
        IF(AU16-Uzman_D!$F$21&lt;0, -(AU16-Uzman_D!$F$21), AU16-Uzman_D!$F$21)*0.1 +
        IF(AV16-Uzman_D!$G$21&lt;0, -(AV16-Uzman_D!$G$21), AV16-Uzman_D!$G$21)*0.1 +
        IF(AW16-Uzman_D!$H$21&lt;0, -(AW16-Uzman_D!$H$21), AW16-Uzman_D!$H$21)*0.1 +
        IF(AX16-Uzman_D!$I$21&lt;0, -(AX16-Uzman_D!$I$21), AX16-Uzman_D!$I$21)*0.1 +
        IF(AY16-Uzman_D!$J$21&lt;0, -(AY16-Uzman_D!$J$21), AY16-Uzman_D!$J$21)*0.1
    ) +
    IF(ROUND((IF(BA16-Uzman_D!$L$21&lt;0, -(BA16-Uzman_D!$L$21), BA16-Uzman_D!$L$21)*2),0)/2 = IF(BA16-Uzman_D!$L$21&lt;0, -(BA16-Uzman_D!$L$21), BA16-Uzman_D!$L$21),
    (ROUND((IF(BA16-Uzman_D!$L$21&lt;0, -(BA16-Uzman_D!$L$21), BA16-Uzman_D!$L$21)*2),0)/1 * 0.1), 0) +
    IF(BB16-Uzman_D!$M$21&lt;0, -(BB16-Uzman_D!$M$21), BB16-Uzman_D!$M$21)*1
)</f>
        <v>-0.60000000000000009</v>
      </c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2"/>
      <c r="BO16" s="72"/>
      <c r="BP16" s="73">
        <f>1 - (
    SUM(
        IF(BD16-Uzman_D!$B$22&lt;0, -(BD16-Uzman_D!$B$22), BD16-Uzman_D!$B$22)*0.1 +
        IF(BE16-Uzman_D!$C$22&lt;0, -(BE16-Uzman_D!$C$22), BE16-Uzman_D!$C$22)*0.1 +
        IF(BF16-Uzman_D!$D$22&lt;0, -(BF16-Uzman_D!$D$22), BF16-Uzman_D!$D$22)*0.1 +
        IF(BG16-Uzman_D!$E$22&lt;0, -(BG16-Uzman_D!$E$22), BG16-Uzman_D!$E$22)*0.1 +
        IF(BH16-Uzman_D!$F$22&lt;0, -(BH16-Uzman_D!$F$22), BH16-Uzman_D!$F$22)*0.1 +
        IF(BI16-Uzman_D!$G$22&lt;0, -(BI16-Uzman_D!$G$22), BI16-Uzman_D!$G$22)*0.1 +
        IF(BJ16-Uzman_D!$H$22&lt;0, -(BJ16-Uzman_D!$H$22), BJ16-Uzman_D!$H$22)*0.1 +
        IF(BK16-Uzman_D!$I$22&lt;0, -(BK16-Uzman_D!$I$22), BK16-Uzman_D!$I$22)*0.1 +
        IF(BL16-Uzman_D!$J$22&lt;0, -(BL16-Uzman_D!$J$22), BL16-Uzman_D!$J$22)*0.1
    ) +
    IF(ROUND((IF(BN16-Uzman_D!$L$22&lt;0, -(BN16-Uzman_D!$L$22), BN16-Uzman_D!$L$22)*2),0)/2 = IF(BN16-Uzman_D!$L$22&lt;0, -(BN16-Uzman_D!$L$22), BN16-Uzman_D!$L$22),
    (ROUND((IF(BN16-Uzman_D!$L$22&lt;0, -(BN16-Uzman_D!$L$22), BN16-Uzman_D!$L$22)*2),0)/1 * 0.1), 0) +
    IF(BO16-Uzman_D!$M$22&lt;0, -(BO16-Uzman_D!$M$22), BO16-Uzman_D!$M$22)*1
)</f>
        <v>-0.40000000000000013</v>
      </c>
      <c r="BQ16" s="74">
        <f t="shared" si="0"/>
        <v>-0.54000000000000026</v>
      </c>
    </row>
    <row r="17" spans="1:69" ht="15" customHeight="1" x14ac:dyDescent="0.2">
      <c r="A17" s="57">
        <v>14</v>
      </c>
      <c r="B17" s="29">
        <f>Hakemler!B17</f>
        <v>0</v>
      </c>
      <c r="C17" s="29">
        <f>Hakemler!C17</f>
        <v>0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2"/>
      <c r="O17" s="72"/>
      <c r="P17" s="73">
        <f>1 - (
    SUM(
        IF(D17-Uzman_D!$B$18&lt;0, -(D17-Uzman_D!$B$18), D17-Uzman_D!$B$18)*0.1 +
        IF(E17-Uzman_D!$C$18&lt;0, -(E17-Uzman_D!$C$18), E17-Uzman_D!$C$18)*0.1 +
        IF(F17-Uzman_D!$D$18&lt;0, -(F17-Uzman_D!$D$18), F17-Uzman_D!$D$18)*0.1 +
        IF(G17-Uzman_D!$E$18&lt;0, -(G17-Uzman_D!$E$18), G17-Uzman_D!$E$18)*0.1 +
        IF(H17-Uzman_D!$F$18&lt;0, -(H17-Uzman_D!$F$18), H17-Uzman_D!$F$18)*0.1 +
        IF(I17-Uzman_D!$G$18&lt;0, -(I17-Uzman_D!$G$18), I17-Uzman_D!$G$18)*0.1 +
        IF(J17-Uzman_D!$H$18&lt;0, -(J17-Uzman_D!$H$18), J17-Uzman_D!$H$18)*0.1 +
        IF(K17-Uzman_D!$I$18&lt;0, -(K17-Uzman_D!$I$18), K17-Uzman_D!$I$18)*0.1 +
        IF(L17-Uzman_D!$J$18&lt;0, -(L17-Uzman_D!$J$18), L17-Uzman_D!$J$18)*0.1
    ) +
    IF(ROUND((IF(N17-Uzman_D!$L$18&lt;0, -(N17-Uzman_D!$L$18), N17-Uzman_D!$L$18)*2),0)/2 = IF(N17-Uzman_D!$L$18&lt;0, -(N17-Uzman_D!$L$18), N17-Uzman_D!$L$18),
    (ROUND((IF(N17-Uzman_D!$L$18&lt;0, -(N17-Uzman_D!$L$18), N17-Uzman_D!$L$18)*2),0)/1 * 0.1), 0) +
    IF(O17-Uzman_D!$M$18&lt;0, -(O17-Uzman_D!$M$18), O17-Uzman_D!$M$18)*1
)</f>
        <v>-0.50000000000000022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2"/>
      <c r="AB17" s="72"/>
      <c r="AC17" s="73">
        <f>1 - (
    SUM(
        IF(Q17-Uzman_D!$B$19&lt;0, -(Q17-Uzman_D!$B$19), Q17-Uzman_D!$B$19)*0.1 +
        IF(R17-Uzman_D!$C$19&lt;0, -(R17-Uzman_D!$C$19), R17-Uzman_D!$C$19)*0.1 +
        IF(S17-Uzman_D!$D$19&lt;0, -(S17-Uzman_D!$D$19), S17-Uzman_D!$D$19)*0.1 +
        IF(T17-Uzman_D!$E$19&lt;0, -(T17-Uzman_D!$E$19), T17-Uzman_D!$E$19)*0.1 +
        IF(U17-Uzman_D!$F$19&lt;0, -(U17-Uzman_D!$F$19), U17-Uzman_D!$F$19)*0.1 +
        IF(V17-Uzman_D!$G$19&lt;0, -(V17-Uzman_D!$G$19), V17-Uzman_D!$G$19)*0.1 +
        IF(W17-Uzman_D!$H$19&lt;0, -(W17-Uzman_D!$H$19), W17-Uzman_D!$H$19)*0.1 +
        IF(X17-Uzman_D!$I$19&lt;0, -(X17-Uzman_D!$I$19), X17-Uzman_D!$I$19)*0.1 +
        IF(Y17-Uzman_D!$J$19&lt;0, -(Y17-Uzman_D!$J$19), Y17-Uzman_D!$J$19)*0.1
    ) +
    IF(ROUND((IF(AA17-Uzman_D!$L$19&lt;0, -(AA17-Uzman_D!$L$19), AA17-Uzman_D!$L$19)*2),0)/2 = IF(AA17-Uzman_D!$L$19&lt;0, -(AA17-Uzman_D!$L$19), AA17-Uzman_D!$L$19),
    (ROUND((IF(AA17-Uzman_D!$L$19&lt;0, -(AA17-Uzman_D!$L$19), AA17-Uzman_D!$L$19)*2),0)/1 * 0.1), 0) +
    IF(AB17-Uzman_D!$M$19&lt;0, -(AB17-Uzman_D!$M$19), AB17-Uzman_D!$M$19)*1
)</f>
        <v>-0.60000000000000009</v>
      </c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2"/>
      <c r="AO17" s="72"/>
      <c r="AP17" s="73">
        <f>1 - (
    SUM(
        IF(AD17-Uzman_D!$B$20&lt;0, -(AD17-Uzman_D!$B$20), AD17-Uzman_D!$B$20)*0.1 +
        IF(AE17-Uzman_D!$C$20&lt;0, -(AE17-Uzman_D!$C$20), AE17-Uzman_D!$C$20)*0.1 +
        IF(AF17-Uzman_D!$D$20&lt;0, -(AF17-Uzman_D!$D$20), AF17-Uzman_D!$D$20)*0.1 +
        IF(AG17-Uzman_D!$E$20&lt;0, -(AG17-Uzman_D!$E$20), AG17-Uzman_D!$E$20)*0.1 +
        IF(AH17-Uzman_D!$F$20&lt;0, -(AH17-Uzman_D!$F$20), AH17-Uzman_D!$F$20)*0.1 +
        IF(AI17-Uzman_D!$G$20&lt;0, -(AI17-Uzman_D!$G$20), AI17-Uzman_D!$G$20)*0.1 +
        IF(AJ17-Uzman_D!$H$20&lt;0, -(AJ17-Uzman_D!$H$20), AJ17-Uzman_D!$H$20)*0.1 +
        IF(AK17-Uzman_D!$I$20&lt;0, -(AK17-Uzman_D!$I$20), AK17-Uzman_D!$I$20)*0.1 +
        IF(AL17-Uzman_D!$J$20&lt;0, -(AL17-Uzman_D!$J$20), AL17-Uzman_D!$J$20)*0.1
    ) +
    IF(ROUND((IF(AN17-Uzman_D!$L$20&lt;0, -(AN17-Uzman_D!$L$20), AN17-Uzman_D!$L$20)*2),0)/2 = IF(AN17-Uzman_D!$L$20&lt;0, -(AN17-Uzman_D!$L$20), AN17-Uzman_D!$L$20),
    (ROUND((IF(AN17-Uzman_D!$L$20&lt;0, -(AN17-Uzman_D!$L$20), AN17-Uzman_D!$L$20)*2),0)/1 * 0.1), 0) +
    IF(AO17-Uzman_D!$M$20&lt;0, -(AO17-Uzman_D!$M$20), AO17-Uzman_D!$M$20)*1
)</f>
        <v>-0.60000000000000009</v>
      </c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2"/>
      <c r="BB17" s="72"/>
      <c r="BC17" s="73">
        <f>1 - (
    SUM(
        IF(AQ17-Uzman_D!$B$21&lt;0, -(AQ17-Uzman_D!$B$21), AQ17-Uzman_D!$B$21)*0.1 +
        IF(AR17-Uzman_D!$C$21&lt;0, -(AR17-Uzman_D!$C$21), AR17-Uzman_D!$C$21)*0.1 +
        IF(AS17-Uzman_D!$D$21&lt;0, -(AS17-Uzman_D!$D$21), AS17-Uzman_D!$D$21)*0.1 +
        IF(AT17-Uzman_D!$E$21&lt;0, -(AT17-Uzman_D!$E$21), AT17-Uzman_D!$E$21)*0.1 +
        IF(AU17-Uzman_D!$F$21&lt;0, -(AU17-Uzman_D!$F$21), AU17-Uzman_D!$F$21)*0.1 +
        IF(AV17-Uzman_D!$G$21&lt;0, -(AV17-Uzman_D!$G$21), AV17-Uzman_D!$G$21)*0.1 +
        IF(AW17-Uzman_D!$H$21&lt;0, -(AW17-Uzman_D!$H$21), AW17-Uzman_D!$H$21)*0.1 +
        IF(AX17-Uzman_D!$I$21&lt;0, -(AX17-Uzman_D!$I$21), AX17-Uzman_D!$I$21)*0.1 +
        IF(AY17-Uzman_D!$J$21&lt;0, -(AY17-Uzman_D!$J$21), AY17-Uzman_D!$J$21)*0.1
    ) +
    IF(ROUND((IF(BA17-Uzman_D!$L$21&lt;0, -(BA17-Uzman_D!$L$21), BA17-Uzman_D!$L$21)*2),0)/2 = IF(BA17-Uzman_D!$L$21&lt;0, -(BA17-Uzman_D!$L$21), BA17-Uzman_D!$L$21),
    (ROUND((IF(BA17-Uzman_D!$L$21&lt;0, -(BA17-Uzman_D!$L$21), BA17-Uzman_D!$L$21)*2),0)/1 * 0.1), 0) +
    IF(BB17-Uzman_D!$M$21&lt;0, -(BB17-Uzman_D!$M$21), BB17-Uzman_D!$M$21)*1
)</f>
        <v>-0.60000000000000009</v>
      </c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2"/>
      <c r="BO17" s="72"/>
      <c r="BP17" s="73">
        <f>1 - (
    SUM(
        IF(BD17-Uzman_D!$B$22&lt;0, -(BD17-Uzman_D!$B$22), BD17-Uzman_D!$B$22)*0.1 +
        IF(BE17-Uzman_D!$C$22&lt;0, -(BE17-Uzman_D!$C$22), BE17-Uzman_D!$C$22)*0.1 +
        IF(BF17-Uzman_D!$D$22&lt;0, -(BF17-Uzman_D!$D$22), BF17-Uzman_D!$D$22)*0.1 +
        IF(BG17-Uzman_D!$E$22&lt;0, -(BG17-Uzman_D!$E$22), BG17-Uzman_D!$E$22)*0.1 +
        IF(BH17-Uzman_D!$F$22&lt;0, -(BH17-Uzman_D!$F$22), BH17-Uzman_D!$F$22)*0.1 +
        IF(BI17-Uzman_D!$G$22&lt;0, -(BI17-Uzman_D!$G$22), BI17-Uzman_D!$G$22)*0.1 +
        IF(BJ17-Uzman_D!$H$22&lt;0, -(BJ17-Uzman_D!$H$22), BJ17-Uzman_D!$H$22)*0.1 +
        IF(BK17-Uzman_D!$I$22&lt;0, -(BK17-Uzman_D!$I$22), BK17-Uzman_D!$I$22)*0.1 +
        IF(BL17-Uzman_D!$J$22&lt;0, -(BL17-Uzman_D!$J$22), BL17-Uzman_D!$J$22)*0.1
    ) +
    IF(ROUND((IF(BN17-Uzman_D!$L$22&lt;0, -(BN17-Uzman_D!$L$22), BN17-Uzman_D!$L$22)*2),0)/2 = IF(BN17-Uzman_D!$L$22&lt;0, -(BN17-Uzman_D!$L$22), BN17-Uzman_D!$L$22),
    (ROUND((IF(BN17-Uzman_D!$L$22&lt;0, -(BN17-Uzman_D!$L$22), BN17-Uzman_D!$L$22)*2),0)/1 * 0.1), 0) +
    IF(BO17-Uzman_D!$M$22&lt;0, -(BO17-Uzman_D!$M$22), BO17-Uzman_D!$M$22)*1
)</f>
        <v>-0.40000000000000013</v>
      </c>
      <c r="BQ17" s="74">
        <f t="shared" si="0"/>
        <v>-0.54000000000000026</v>
      </c>
    </row>
    <row r="18" spans="1:69" ht="15" customHeight="1" x14ac:dyDescent="0.2">
      <c r="A18" s="57">
        <v>15</v>
      </c>
      <c r="B18" s="29">
        <f>Hakemler!B18</f>
        <v>0</v>
      </c>
      <c r="C18" s="29">
        <f>Hakemler!C18</f>
        <v>0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  <c r="O18" s="72"/>
      <c r="P18" s="73">
        <f>1 - (
    SUM(
        IF(D18-Uzman_D!$B$18&lt;0, -(D18-Uzman_D!$B$18), D18-Uzman_D!$B$18)*0.1 +
        IF(E18-Uzman_D!$C$18&lt;0, -(E18-Uzman_D!$C$18), E18-Uzman_D!$C$18)*0.1 +
        IF(F18-Uzman_D!$D$18&lt;0, -(F18-Uzman_D!$D$18), F18-Uzman_D!$D$18)*0.1 +
        IF(G18-Uzman_D!$E$18&lt;0, -(G18-Uzman_D!$E$18), G18-Uzman_D!$E$18)*0.1 +
        IF(H18-Uzman_D!$F$18&lt;0, -(H18-Uzman_D!$F$18), H18-Uzman_D!$F$18)*0.1 +
        IF(I18-Uzman_D!$G$18&lt;0, -(I18-Uzman_D!$G$18), I18-Uzman_D!$G$18)*0.1 +
        IF(J18-Uzman_D!$H$18&lt;0, -(J18-Uzman_D!$H$18), J18-Uzman_D!$H$18)*0.1 +
        IF(K18-Uzman_D!$I$18&lt;0, -(K18-Uzman_D!$I$18), K18-Uzman_D!$I$18)*0.1 +
        IF(L18-Uzman_D!$J$18&lt;0, -(L18-Uzman_D!$J$18), L18-Uzman_D!$J$18)*0.1
    ) +
    IF(ROUND((IF(N18-Uzman_D!$L$18&lt;0, -(N18-Uzman_D!$L$18), N18-Uzman_D!$L$18)*2),0)/2 = IF(N18-Uzman_D!$L$18&lt;0, -(N18-Uzman_D!$L$18), N18-Uzman_D!$L$18),
    (ROUND((IF(N18-Uzman_D!$L$18&lt;0, -(N18-Uzman_D!$L$18), N18-Uzman_D!$L$18)*2),0)/1 * 0.1), 0) +
    IF(O18-Uzman_D!$M$18&lt;0, -(O18-Uzman_D!$M$18), O18-Uzman_D!$M$18)*1
)</f>
        <v>-0.50000000000000022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  <c r="AB18" s="72"/>
      <c r="AC18" s="73">
        <f>1 - (
    SUM(
        IF(Q18-Uzman_D!$B$19&lt;0, -(Q18-Uzman_D!$B$19), Q18-Uzman_D!$B$19)*0.1 +
        IF(R18-Uzman_D!$C$19&lt;0, -(R18-Uzman_D!$C$19), R18-Uzman_D!$C$19)*0.1 +
        IF(S18-Uzman_D!$D$19&lt;0, -(S18-Uzman_D!$D$19), S18-Uzman_D!$D$19)*0.1 +
        IF(T18-Uzman_D!$E$19&lt;0, -(T18-Uzman_D!$E$19), T18-Uzman_D!$E$19)*0.1 +
        IF(U18-Uzman_D!$F$19&lt;0, -(U18-Uzman_D!$F$19), U18-Uzman_D!$F$19)*0.1 +
        IF(V18-Uzman_D!$G$19&lt;0, -(V18-Uzman_D!$G$19), V18-Uzman_D!$G$19)*0.1 +
        IF(W18-Uzman_D!$H$19&lt;0, -(W18-Uzman_D!$H$19), W18-Uzman_D!$H$19)*0.1 +
        IF(X18-Uzman_D!$I$19&lt;0, -(X18-Uzman_D!$I$19), X18-Uzman_D!$I$19)*0.1 +
        IF(Y18-Uzman_D!$J$19&lt;0, -(Y18-Uzman_D!$J$19), Y18-Uzman_D!$J$19)*0.1
    ) +
    IF(ROUND((IF(AA18-Uzman_D!$L$19&lt;0, -(AA18-Uzman_D!$L$19), AA18-Uzman_D!$L$19)*2),0)/2 = IF(AA18-Uzman_D!$L$19&lt;0, -(AA18-Uzman_D!$L$19), AA18-Uzman_D!$L$19),
    (ROUND((IF(AA18-Uzman_D!$L$19&lt;0, -(AA18-Uzman_D!$L$19), AA18-Uzman_D!$L$19)*2),0)/1 * 0.1), 0) +
    IF(AB18-Uzman_D!$M$19&lt;0, -(AB18-Uzman_D!$M$19), AB18-Uzman_D!$M$19)*1
)</f>
        <v>-0.60000000000000009</v>
      </c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2"/>
      <c r="AO18" s="72"/>
      <c r="AP18" s="73">
        <f>1 - (
    SUM(
        IF(AD18-Uzman_D!$B$20&lt;0, -(AD18-Uzman_D!$B$20), AD18-Uzman_D!$B$20)*0.1 +
        IF(AE18-Uzman_D!$C$20&lt;0, -(AE18-Uzman_D!$C$20), AE18-Uzman_D!$C$20)*0.1 +
        IF(AF18-Uzman_D!$D$20&lt;0, -(AF18-Uzman_D!$D$20), AF18-Uzman_D!$D$20)*0.1 +
        IF(AG18-Uzman_D!$E$20&lt;0, -(AG18-Uzman_D!$E$20), AG18-Uzman_D!$E$20)*0.1 +
        IF(AH18-Uzman_D!$F$20&lt;0, -(AH18-Uzman_D!$F$20), AH18-Uzman_D!$F$20)*0.1 +
        IF(AI18-Uzman_D!$G$20&lt;0, -(AI18-Uzman_D!$G$20), AI18-Uzman_D!$G$20)*0.1 +
        IF(AJ18-Uzman_D!$H$20&lt;0, -(AJ18-Uzman_D!$H$20), AJ18-Uzman_D!$H$20)*0.1 +
        IF(AK18-Uzman_D!$I$20&lt;0, -(AK18-Uzman_D!$I$20), AK18-Uzman_D!$I$20)*0.1 +
        IF(AL18-Uzman_D!$J$20&lt;0, -(AL18-Uzman_D!$J$20), AL18-Uzman_D!$J$20)*0.1
    ) +
    IF(ROUND((IF(AN18-Uzman_D!$L$20&lt;0, -(AN18-Uzman_D!$L$20), AN18-Uzman_D!$L$20)*2),0)/2 = IF(AN18-Uzman_D!$L$20&lt;0, -(AN18-Uzman_D!$L$20), AN18-Uzman_D!$L$20),
    (ROUND((IF(AN18-Uzman_D!$L$20&lt;0, -(AN18-Uzman_D!$L$20), AN18-Uzman_D!$L$20)*2),0)/1 * 0.1), 0) +
    IF(AO18-Uzman_D!$M$20&lt;0, -(AO18-Uzman_D!$M$20), AO18-Uzman_D!$M$20)*1
)</f>
        <v>-0.60000000000000009</v>
      </c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2"/>
      <c r="BB18" s="72"/>
      <c r="BC18" s="73">
        <f>1 - (
    SUM(
        IF(AQ18-Uzman_D!$B$21&lt;0, -(AQ18-Uzman_D!$B$21), AQ18-Uzman_D!$B$21)*0.1 +
        IF(AR18-Uzman_D!$C$21&lt;0, -(AR18-Uzman_D!$C$21), AR18-Uzman_D!$C$21)*0.1 +
        IF(AS18-Uzman_D!$D$21&lt;0, -(AS18-Uzman_D!$D$21), AS18-Uzman_D!$D$21)*0.1 +
        IF(AT18-Uzman_D!$E$21&lt;0, -(AT18-Uzman_D!$E$21), AT18-Uzman_D!$E$21)*0.1 +
        IF(AU18-Uzman_D!$F$21&lt;0, -(AU18-Uzman_D!$F$21), AU18-Uzman_D!$F$21)*0.1 +
        IF(AV18-Uzman_D!$G$21&lt;0, -(AV18-Uzman_D!$G$21), AV18-Uzman_D!$G$21)*0.1 +
        IF(AW18-Uzman_D!$H$21&lt;0, -(AW18-Uzman_D!$H$21), AW18-Uzman_D!$H$21)*0.1 +
        IF(AX18-Uzman_D!$I$21&lt;0, -(AX18-Uzman_D!$I$21), AX18-Uzman_D!$I$21)*0.1 +
        IF(AY18-Uzman_D!$J$21&lt;0, -(AY18-Uzman_D!$J$21), AY18-Uzman_D!$J$21)*0.1
    ) +
    IF(ROUND((IF(BA18-Uzman_D!$L$21&lt;0, -(BA18-Uzman_D!$L$21), BA18-Uzman_D!$L$21)*2),0)/2 = IF(BA18-Uzman_D!$L$21&lt;0, -(BA18-Uzman_D!$L$21), BA18-Uzman_D!$L$21),
    (ROUND((IF(BA18-Uzman_D!$L$21&lt;0, -(BA18-Uzman_D!$L$21), BA18-Uzman_D!$L$21)*2),0)/1 * 0.1), 0) +
    IF(BB18-Uzman_D!$M$21&lt;0, -(BB18-Uzman_D!$M$21), BB18-Uzman_D!$M$21)*1
)</f>
        <v>-0.60000000000000009</v>
      </c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2"/>
      <c r="BO18" s="72"/>
      <c r="BP18" s="73">
        <f>1 - (
    SUM(
        IF(BD18-Uzman_D!$B$22&lt;0, -(BD18-Uzman_D!$B$22), BD18-Uzman_D!$B$22)*0.1 +
        IF(BE18-Uzman_D!$C$22&lt;0, -(BE18-Uzman_D!$C$22), BE18-Uzman_D!$C$22)*0.1 +
        IF(BF18-Uzman_D!$D$22&lt;0, -(BF18-Uzman_D!$D$22), BF18-Uzman_D!$D$22)*0.1 +
        IF(BG18-Uzman_D!$E$22&lt;0, -(BG18-Uzman_D!$E$22), BG18-Uzman_D!$E$22)*0.1 +
        IF(BH18-Uzman_D!$F$22&lt;0, -(BH18-Uzman_D!$F$22), BH18-Uzman_D!$F$22)*0.1 +
        IF(BI18-Uzman_D!$G$22&lt;0, -(BI18-Uzman_D!$G$22), BI18-Uzman_D!$G$22)*0.1 +
        IF(BJ18-Uzman_D!$H$22&lt;0, -(BJ18-Uzman_D!$H$22), BJ18-Uzman_D!$H$22)*0.1 +
        IF(BK18-Uzman_D!$I$22&lt;0, -(BK18-Uzman_D!$I$22), BK18-Uzman_D!$I$22)*0.1 +
        IF(BL18-Uzman_D!$J$22&lt;0, -(BL18-Uzman_D!$J$22), BL18-Uzman_D!$J$22)*0.1
    ) +
    IF(ROUND((IF(BN18-Uzman_D!$L$22&lt;0, -(BN18-Uzman_D!$L$22), BN18-Uzman_D!$L$22)*2),0)/2 = IF(BN18-Uzman_D!$L$22&lt;0, -(BN18-Uzman_D!$L$22), BN18-Uzman_D!$L$22),
    (ROUND((IF(BN18-Uzman_D!$L$22&lt;0, -(BN18-Uzman_D!$L$22), BN18-Uzman_D!$L$22)*2),0)/1 * 0.1), 0) +
    IF(BO18-Uzman_D!$M$22&lt;0, -(BO18-Uzman_D!$M$22), BO18-Uzman_D!$M$22)*1
)</f>
        <v>-0.40000000000000013</v>
      </c>
      <c r="BQ18" s="74">
        <f t="shared" si="0"/>
        <v>-0.54000000000000026</v>
      </c>
    </row>
    <row r="19" spans="1:69" ht="15" customHeight="1" x14ac:dyDescent="0.2">
      <c r="A19" s="57">
        <v>16</v>
      </c>
      <c r="B19" s="29">
        <f>Hakemler!B19</f>
        <v>0</v>
      </c>
      <c r="C19" s="29">
        <f>Hakemler!C19</f>
        <v>0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2"/>
      <c r="O19" s="72"/>
      <c r="P19" s="73">
        <f>1 - (
    SUM(
        IF(D19-Uzman_D!$B$18&lt;0, -(D19-Uzman_D!$B$18), D19-Uzman_D!$B$18)*0.1 +
        IF(E19-Uzman_D!$C$18&lt;0, -(E19-Uzman_D!$C$18), E19-Uzman_D!$C$18)*0.1 +
        IF(F19-Uzman_D!$D$18&lt;0, -(F19-Uzman_D!$D$18), F19-Uzman_D!$D$18)*0.1 +
        IF(G19-Uzman_D!$E$18&lt;0, -(G19-Uzman_D!$E$18), G19-Uzman_D!$E$18)*0.1 +
        IF(H19-Uzman_D!$F$18&lt;0, -(H19-Uzman_D!$F$18), H19-Uzman_D!$F$18)*0.1 +
        IF(I19-Uzman_D!$G$18&lt;0, -(I19-Uzman_D!$G$18), I19-Uzman_D!$G$18)*0.1 +
        IF(J19-Uzman_D!$H$18&lt;0, -(J19-Uzman_D!$H$18), J19-Uzman_D!$H$18)*0.1 +
        IF(K19-Uzman_D!$I$18&lt;0, -(K19-Uzman_D!$I$18), K19-Uzman_D!$I$18)*0.1 +
        IF(L19-Uzman_D!$J$18&lt;0, -(L19-Uzman_D!$J$18), L19-Uzman_D!$J$18)*0.1
    ) +
    IF(ROUND((IF(N19-Uzman_D!$L$18&lt;0, -(N19-Uzman_D!$L$18), N19-Uzman_D!$L$18)*2),0)/2 = IF(N19-Uzman_D!$L$18&lt;0, -(N19-Uzman_D!$L$18), N19-Uzman_D!$L$18),
    (ROUND((IF(N19-Uzman_D!$L$18&lt;0, -(N19-Uzman_D!$L$18), N19-Uzman_D!$L$18)*2),0)/1 * 0.1), 0) +
    IF(O19-Uzman_D!$M$18&lt;0, -(O19-Uzman_D!$M$18), O19-Uzman_D!$M$18)*1
)</f>
        <v>-0.50000000000000022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  <c r="AB19" s="72"/>
      <c r="AC19" s="73">
        <f>1 - (
    SUM(
        IF(Q19-Uzman_D!$B$19&lt;0, -(Q19-Uzman_D!$B$19), Q19-Uzman_D!$B$19)*0.1 +
        IF(R19-Uzman_D!$C$19&lt;0, -(R19-Uzman_D!$C$19), R19-Uzman_D!$C$19)*0.1 +
        IF(S19-Uzman_D!$D$19&lt;0, -(S19-Uzman_D!$D$19), S19-Uzman_D!$D$19)*0.1 +
        IF(T19-Uzman_D!$E$19&lt;0, -(T19-Uzman_D!$E$19), T19-Uzman_D!$E$19)*0.1 +
        IF(U19-Uzman_D!$F$19&lt;0, -(U19-Uzman_D!$F$19), U19-Uzman_D!$F$19)*0.1 +
        IF(V19-Uzman_D!$G$19&lt;0, -(V19-Uzman_D!$G$19), V19-Uzman_D!$G$19)*0.1 +
        IF(W19-Uzman_D!$H$19&lt;0, -(W19-Uzman_D!$H$19), W19-Uzman_D!$H$19)*0.1 +
        IF(X19-Uzman_D!$I$19&lt;0, -(X19-Uzman_D!$I$19), X19-Uzman_D!$I$19)*0.1 +
        IF(Y19-Uzman_D!$J$19&lt;0, -(Y19-Uzman_D!$J$19), Y19-Uzman_D!$J$19)*0.1
    ) +
    IF(ROUND((IF(AA19-Uzman_D!$L$19&lt;0, -(AA19-Uzman_D!$L$19), AA19-Uzman_D!$L$19)*2),0)/2 = IF(AA19-Uzman_D!$L$19&lt;0, -(AA19-Uzman_D!$L$19), AA19-Uzman_D!$L$19),
    (ROUND((IF(AA19-Uzman_D!$L$19&lt;0, -(AA19-Uzman_D!$L$19), AA19-Uzman_D!$L$19)*2),0)/1 * 0.1), 0) +
    IF(AB19-Uzman_D!$M$19&lt;0, -(AB19-Uzman_D!$M$19), AB19-Uzman_D!$M$19)*1
)</f>
        <v>-0.60000000000000009</v>
      </c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2"/>
      <c r="AO19" s="72"/>
      <c r="AP19" s="73">
        <f>1 - (
    SUM(
        IF(AD19-Uzman_D!$B$20&lt;0, -(AD19-Uzman_D!$B$20), AD19-Uzman_D!$B$20)*0.1 +
        IF(AE19-Uzman_D!$C$20&lt;0, -(AE19-Uzman_D!$C$20), AE19-Uzman_D!$C$20)*0.1 +
        IF(AF19-Uzman_D!$D$20&lt;0, -(AF19-Uzman_D!$D$20), AF19-Uzman_D!$D$20)*0.1 +
        IF(AG19-Uzman_D!$E$20&lt;0, -(AG19-Uzman_D!$E$20), AG19-Uzman_D!$E$20)*0.1 +
        IF(AH19-Uzman_D!$F$20&lt;0, -(AH19-Uzman_D!$F$20), AH19-Uzman_D!$F$20)*0.1 +
        IF(AI19-Uzman_D!$G$20&lt;0, -(AI19-Uzman_D!$G$20), AI19-Uzman_D!$G$20)*0.1 +
        IF(AJ19-Uzman_D!$H$20&lt;0, -(AJ19-Uzman_D!$H$20), AJ19-Uzman_D!$H$20)*0.1 +
        IF(AK19-Uzman_D!$I$20&lt;0, -(AK19-Uzman_D!$I$20), AK19-Uzman_D!$I$20)*0.1 +
        IF(AL19-Uzman_D!$J$20&lt;0, -(AL19-Uzman_D!$J$20), AL19-Uzman_D!$J$20)*0.1
    ) +
    IF(ROUND((IF(AN19-Uzman_D!$L$20&lt;0, -(AN19-Uzman_D!$L$20), AN19-Uzman_D!$L$20)*2),0)/2 = IF(AN19-Uzman_D!$L$20&lt;0, -(AN19-Uzman_D!$L$20), AN19-Uzman_D!$L$20),
    (ROUND((IF(AN19-Uzman_D!$L$20&lt;0, -(AN19-Uzman_D!$L$20), AN19-Uzman_D!$L$20)*2),0)/1 * 0.1), 0) +
    IF(AO19-Uzman_D!$M$20&lt;0, -(AO19-Uzman_D!$M$20), AO19-Uzman_D!$M$20)*1
)</f>
        <v>-0.60000000000000009</v>
      </c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2"/>
      <c r="BB19" s="72"/>
      <c r="BC19" s="73">
        <f>1 - (
    SUM(
        IF(AQ19-Uzman_D!$B$21&lt;0, -(AQ19-Uzman_D!$B$21), AQ19-Uzman_D!$B$21)*0.1 +
        IF(AR19-Uzman_D!$C$21&lt;0, -(AR19-Uzman_D!$C$21), AR19-Uzman_D!$C$21)*0.1 +
        IF(AS19-Uzman_D!$D$21&lt;0, -(AS19-Uzman_D!$D$21), AS19-Uzman_D!$D$21)*0.1 +
        IF(AT19-Uzman_D!$E$21&lt;0, -(AT19-Uzman_D!$E$21), AT19-Uzman_D!$E$21)*0.1 +
        IF(AU19-Uzman_D!$F$21&lt;0, -(AU19-Uzman_D!$F$21), AU19-Uzman_D!$F$21)*0.1 +
        IF(AV19-Uzman_D!$G$21&lt;0, -(AV19-Uzman_D!$G$21), AV19-Uzman_D!$G$21)*0.1 +
        IF(AW19-Uzman_D!$H$21&lt;0, -(AW19-Uzman_D!$H$21), AW19-Uzman_D!$H$21)*0.1 +
        IF(AX19-Uzman_D!$I$21&lt;0, -(AX19-Uzman_D!$I$21), AX19-Uzman_D!$I$21)*0.1 +
        IF(AY19-Uzman_D!$J$21&lt;0, -(AY19-Uzman_D!$J$21), AY19-Uzman_D!$J$21)*0.1
    ) +
    IF(ROUND((IF(BA19-Uzman_D!$L$21&lt;0, -(BA19-Uzman_D!$L$21), BA19-Uzman_D!$L$21)*2),0)/2 = IF(BA19-Uzman_D!$L$21&lt;0, -(BA19-Uzman_D!$L$21), BA19-Uzman_D!$L$21),
    (ROUND((IF(BA19-Uzman_D!$L$21&lt;0, -(BA19-Uzman_D!$L$21), BA19-Uzman_D!$L$21)*2),0)/1 * 0.1), 0) +
    IF(BB19-Uzman_D!$M$21&lt;0, -(BB19-Uzman_D!$M$21), BB19-Uzman_D!$M$21)*1
)</f>
        <v>-0.60000000000000009</v>
      </c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2"/>
      <c r="BO19" s="72"/>
      <c r="BP19" s="73">
        <f>1 - (
    SUM(
        IF(BD19-Uzman_D!$B$22&lt;0, -(BD19-Uzman_D!$B$22), BD19-Uzman_D!$B$22)*0.1 +
        IF(BE19-Uzman_D!$C$22&lt;0, -(BE19-Uzman_D!$C$22), BE19-Uzman_D!$C$22)*0.1 +
        IF(BF19-Uzman_D!$D$22&lt;0, -(BF19-Uzman_D!$D$22), BF19-Uzman_D!$D$22)*0.1 +
        IF(BG19-Uzman_D!$E$22&lt;0, -(BG19-Uzman_D!$E$22), BG19-Uzman_D!$E$22)*0.1 +
        IF(BH19-Uzman_D!$F$22&lt;0, -(BH19-Uzman_D!$F$22), BH19-Uzman_D!$F$22)*0.1 +
        IF(BI19-Uzman_D!$G$22&lt;0, -(BI19-Uzman_D!$G$22), BI19-Uzman_D!$G$22)*0.1 +
        IF(BJ19-Uzman_D!$H$22&lt;0, -(BJ19-Uzman_D!$H$22), BJ19-Uzman_D!$H$22)*0.1 +
        IF(BK19-Uzman_D!$I$22&lt;0, -(BK19-Uzman_D!$I$22), BK19-Uzman_D!$I$22)*0.1 +
        IF(BL19-Uzman_D!$J$22&lt;0, -(BL19-Uzman_D!$J$22), BL19-Uzman_D!$J$22)*0.1
    ) +
    IF(ROUND((IF(BN19-Uzman_D!$L$22&lt;0, -(BN19-Uzman_D!$L$22), BN19-Uzman_D!$L$22)*2),0)/2 = IF(BN19-Uzman_D!$L$22&lt;0, -(BN19-Uzman_D!$L$22), BN19-Uzman_D!$L$22),
    (ROUND((IF(BN19-Uzman_D!$L$22&lt;0, -(BN19-Uzman_D!$L$22), BN19-Uzman_D!$L$22)*2),0)/1 * 0.1), 0) +
    IF(BO19-Uzman_D!$M$22&lt;0, -(BO19-Uzman_D!$M$22), BO19-Uzman_D!$M$22)*1
)</f>
        <v>-0.40000000000000013</v>
      </c>
      <c r="BQ19" s="74">
        <f t="shared" si="0"/>
        <v>-0.54000000000000026</v>
      </c>
    </row>
    <row r="20" spans="1:69" ht="15" customHeight="1" x14ac:dyDescent="0.2">
      <c r="A20" s="57">
        <v>17</v>
      </c>
      <c r="B20" s="29">
        <f>Hakemler!B20</f>
        <v>0</v>
      </c>
      <c r="C20" s="29">
        <f>Hakemler!C20</f>
        <v>0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2"/>
      <c r="O20" s="72"/>
      <c r="P20" s="73">
        <f>1 - (
    SUM(
        IF(D20-Uzman_D!$B$18&lt;0, -(D20-Uzman_D!$B$18), D20-Uzman_D!$B$18)*0.1 +
        IF(E20-Uzman_D!$C$18&lt;0, -(E20-Uzman_D!$C$18), E20-Uzman_D!$C$18)*0.1 +
        IF(F20-Uzman_D!$D$18&lt;0, -(F20-Uzman_D!$D$18), F20-Uzman_D!$D$18)*0.1 +
        IF(G20-Uzman_D!$E$18&lt;0, -(G20-Uzman_D!$E$18), G20-Uzman_D!$E$18)*0.1 +
        IF(H20-Uzman_D!$F$18&lt;0, -(H20-Uzman_D!$F$18), H20-Uzman_D!$F$18)*0.1 +
        IF(I20-Uzman_D!$G$18&lt;0, -(I20-Uzman_D!$G$18), I20-Uzman_D!$G$18)*0.1 +
        IF(J20-Uzman_D!$H$18&lt;0, -(J20-Uzman_D!$H$18), J20-Uzman_D!$H$18)*0.1 +
        IF(K20-Uzman_D!$I$18&lt;0, -(K20-Uzman_D!$I$18), K20-Uzman_D!$I$18)*0.1 +
        IF(L20-Uzman_D!$J$18&lt;0, -(L20-Uzman_D!$J$18), L20-Uzman_D!$J$18)*0.1
    ) +
    IF(ROUND((IF(N20-Uzman_D!$L$18&lt;0, -(N20-Uzman_D!$L$18), N20-Uzman_D!$L$18)*2),0)/2 = IF(N20-Uzman_D!$L$18&lt;0, -(N20-Uzman_D!$L$18), N20-Uzman_D!$L$18),
    (ROUND((IF(N20-Uzman_D!$L$18&lt;0, -(N20-Uzman_D!$L$18), N20-Uzman_D!$L$18)*2),0)/1 * 0.1), 0) +
    IF(O20-Uzman_D!$M$18&lt;0, -(O20-Uzman_D!$M$18), O20-Uzman_D!$M$18)*1
)</f>
        <v>-0.50000000000000022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  <c r="AB20" s="72"/>
      <c r="AC20" s="73">
        <f>1 - (
    SUM(
        IF(Q20-Uzman_D!$B$19&lt;0, -(Q20-Uzman_D!$B$19), Q20-Uzman_D!$B$19)*0.1 +
        IF(R20-Uzman_D!$C$19&lt;0, -(R20-Uzman_D!$C$19), R20-Uzman_D!$C$19)*0.1 +
        IF(S20-Uzman_D!$D$19&lt;0, -(S20-Uzman_D!$D$19), S20-Uzman_D!$D$19)*0.1 +
        IF(T20-Uzman_D!$E$19&lt;0, -(T20-Uzman_D!$E$19), T20-Uzman_D!$E$19)*0.1 +
        IF(U20-Uzman_D!$F$19&lt;0, -(U20-Uzman_D!$F$19), U20-Uzman_D!$F$19)*0.1 +
        IF(V20-Uzman_D!$G$19&lt;0, -(V20-Uzman_D!$G$19), V20-Uzman_D!$G$19)*0.1 +
        IF(W20-Uzman_D!$H$19&lt;0, -(W20-Uzman_D!$H$19), W20-Uzman_D!$H$19)*0.1 +
        IF(X20-Uzman_D!$I$19&lt;0, -(X20-Uzman_D!$I$19), X20-Uzman_D!$I$19)*0.1 +
        IF(Y20-Uzman_D!$J$19&lt;0, -(Y20-Uzman_D!$J$19), Y20-Uzman_D!$J$19)*0.1
    ) +
    IF(ROUND((IF(AA20-Uzman_D!$L$19&lt;0, -(AA20-Uzman_D!$L$19), AA20-Uzman_D!$L$19)*2),0)/2 = IF(AA20-Uzman_D!$L$19&lt;0, -(AA20-Uzman_D!$L$19), AA20-Uzman_D!$L$19),
    (ROUND((IF(AA20-Uzman_D!$L$19&lt;0, -(AA20-Uzman_D!$L$19), AA20-Uzman_D!$L$19)*2),0)/1 * 0.1), 0) +
    IF(AB20-Uzman_D!$M$19&lt;0, -(AB20-Uzman_D!$M$19), AB20-Uzman_D!$M$19)*1
)</f>
        <v>-0.60000000000000009</v>
      </c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2"/>
      <c r="AO20" s="72"/>
      <c r="AP20" s="73">
        <f>1 - (
    SUM(
        IF(AD20-Uzman_D!$B$20&lt;0, -(AD20-Uzman_D!$B$20), AD20-Uzman_D!$B$20)*0.1 +
        IF(AE20-Uzman_D!$C$20&lt;0, -(AE20-Uzman_D!$C$20), AE20-Uzman_D!$C$20)*0.1 +
        IF(AF20-Uzman_D!$D$20&lt;0, -(AF20-Uzman_D!$D$20), AF20-Uzman_D!$D$20)*0.1 +
        IF(AG20-Uzman_D!$E$20&lt;0, -(AG20-Uzman_D!$E$20), AG20-Uzman_D!$E$20)*0.1 +
        IF(AH20-Uzman_D!$F$20&lt;0, -(AH20-Uzman_D!$F$20), AH20-Uzman_D!$F$20)*0.1 +
        IF(AI20-Uzman_D!$G$20&lt;0, -(AI20-Uzman_D!$G$20), AI20-Uzman_D!$G$20)*0.1 +
        IF(AJ20-Uzman_D!$H$20&lt;0, -(AJ20-Uzman_D!$H$20), AJ20-Uzman_D!$H$20)*0.1 +
        IF(AK20-Uzman_D!$I$20&lt;0, -(AK20-Uzman_D!$I$20), AK20-Uzman_D!$I$20)*0.1 +
        IF(AL20-Uzman_D!$J$20&lt;0, -(AL20-Uzman_D!$J$20), AL20-Uzman_D!$J$20)*0.1
    ) +
    IF(ROUND((IF(AN20-Uzman_D!$L$20&lt;0, -(AN20-Uzman_D!$L$20), AN20-Uzman_D!$L$20)*2),0)/2 = IF(AN20-Uzman_D!$L$20&lt;0, -(AN20-Uzman_D!$L$20), AN20-Uzman_D!$L$20),
    (ROUND((IF(AN20-Uzman_D!$L$20&lt;0, -(AN20-Uzman_D!$L$20), AN20-Uzman_D!$L$20)*2),0)/1 * 0.1), 0) +
    IF(AO20-Uzman_D!$M$20&lt;0, -(AO20-Uzman_D!$M$20), AO20-Uzman_D!$M$20)*1
)</f>
        <v>-0.60000000000000009</v>
      </c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2"/>
      <c r="BB20" s="72"/>
      <c r="BC20" s="73">
        <f>1 - (
    SUM(
        IF(AQ20-Uzman_D!$B$21&lt;0, -(AQ20-Uzman_D!$B$21), AQ20-Uzman_D!$B$21)*0.1 +
        IF(AR20-Uzman_D!$C$21&lt;0, -(AR20-Uzman_D!$C$21), AR20-Uzman_D!$C$21)*0.1 +
        IF(AS20-Uzman_D!$D$21&lt;0, -(AS20-Uzman_D!$D$21), AS20-Uzman_D!$D$21)*0.1 +
        IF(AT20-Uzman_D!$E$21&lt;0, -(AT20-Uzman_D!$E$21), AT20-Uzman_D!$E$21)*0.1 +
        IF(AU20-Uzman_D!$F$21&lt;0, -(AU20-Uzman_D!$F$21), AU20-Uzman_D!$F$21)*0.1 +
        IF(AV20-Uzman_D!$G$21&lt;0, -(AV20-Uzman_D!$G$21), AV20-Uzman_D!$G$21)*0.1 +
        IF(AW20-Uzman_D!$H$21&lt;0, -(AW20-Uzman_D!$H$21), AW20-Uzman_D!$H$21)*0.1 +
        IF(AX20-Uzman_D!$I$21&lt;0, -(AX20-Uzman_D!$I$21), AX20-Uzman_D!$I$21)*0.1 +
        IF(AY20-Uzman_D!$J$21&lt;0, -(AY20-Uzman_D!$J$21), AY20-Uzman_D!$J$21)*0.1
    ) +
    IF(ROUND((IF(BA20-Uzman_D!$L$21&lt;0, -(BA20-Uzman_D!$L$21), BA20-Uzman_D!$L$21)*2),0)/2 = IF(BA20-Uzman_D!$L$21&lt;0, -(BA20-Uzman_D!$L$21), BA20-Uzman_D!$L$21),
    (ROUND((IF(BA20-Uzman_D!$L$21&lt;0, -(BA20-Uzman_D!$L$21), BA20-Uzman_D!$L$21)*2),0)/1 * 0.1), 0) +
    IF(BB20-Uzman_D!$M$21&lt;0, -(BB20-Uzman_D!$M$21), BB20-Uzman_D!$M$21)*1
)</f>
        <v>-0.60000000000000009</v>
      </c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2"/>
      <c r="BO20" s="72"/>
      <c r="BP20" s="73">
        <f>1 - (
    SUM(
        IF(BD20-Uzman_D!$B$22&lt;0, -(BD20-Uzman_D!$B$22), BD20-Uzman_D!$B$22)*0.1 +
        IF(BE20-Uzman_D!$C$22&lt;0, -(BE20-Uzman_D!$C$22), BE20-Uzman_D!$C$22)*0.1 +
        IF(BF20-Uzman_D!$D$22&lt;0, -(BF20-Uzman_D!$D$22), BF20-Uzman_D!$D$22)*0.1 +
        IF(BG20-Uzman_D!$E$22&lt;0, -(BG20-Uzman_D!$E$22), BG20-Uzman_D!$E$22)*0.1 +
        IF(BH20-Uzman_D!$F$22&lt;0, -(BH20-Uzman_D!$F$22), BH20-Uzman_D!$F$22)*0.1 +
        IF(BI20-Uzman_D!$G$22&lt;0, -(BI20-Uzman_D!$G$22), BI20-Uzman_D!$G$22)*0.1 +
        IF(BJ20-Uzman_D!$H$22&lt;0, -(BJ20-Uzman_D!$H$22), BJ20-Uzman_D!$H$22)*0.1 +
        IF(BK20-Uzman_D!$I$22&lt;0, -(BK20-Uzman_D!$I$22), BK20-Uzman_D!$I$22)*0.1 +
        IF(BL20-Uzman_D!$J$22&lt;0, -(BL20-Uzman_D!$J$22), BL20-Uzman_D!$J$22)*0.1
    ) +
    IF(ROUND((IF(BN20-Uzman_D!$L$22&lt;0, -(BN20-Uzman_D!$L$22), BN20-Uzman_D!$L$22)*2),0)/2 = IF(BN20-Uzman_D!$L$22&lt;0, -(BN20-Uzman_D!$L$22), BN20-Uzman_D!$L$22),
    (ROUND((IF(BN20-Uzman_D!$L$22&lt;0, -(BN20-Uzman_D!$L$22), BN20-Uzman_D!$L$22)*2),0)/1 * 0.1), 0) +
    IF(BO20-Uzman_D!$M$22&lt;0, -(BO20-Uzman_D!$M$22), BO20-Uzman_D!$M$22)*1
)</f>
        <v>-0.40000000000000013</v>
      </c>
      <c r="BQ20" s="74">
        <f t="shared" si="0"/>
        <v>-0.54000000000000026</v>
      </c>
    </row>
    <row r="21" spans="1:69" ht="15" customHeight="1" x14ac:dyDescent="0.2">
      <c r="A21" s="57">
        <v>18</v>
      </c>
      <c r="B21" s="29">
        <f>Hakemler!B21</f>
        <v>0</v>
      </c>
      <c r="C21" s="29">
        <f>Hakemler!C21</f>
        <v>0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2"/>
      <c r="O21" s="72"/>
      <c r="P21" s="73">
        <f>1 - (
    SUM(
        IF(D21-Uzman_D!$B$18&lt;0, -(D21-Uzman_D!$B$18), D21-Uzman_D!$B$18)*0.1 +
        IF(E21-Uzman_D!$C$18&lt;0, -(E21-Uzman_D!$C$18), E21-Uzman_D!$C$18)*0.1 +
        IF(F21-Uzman_D!$D$18&lt;0, -(F21-Uzman_D!$D$18), F21-Uzman_D!$D$18)*0.1 +
        IF(G21-Uzman_D!$E$18&lt;0, -(G21-Uzman_D!$E$18), G21-Uzman_D!$E$18)*0.1 +
        IF(H21-Uzman_D!$F$18&lt;0, -(H21-Uzman_D!$F$18), H21-Uzman_D!$F$18)*0.1 +
        IF(I21-Uzman_D!$G$18&lt;0, -(I21-Uzman_D!$G$18), I21-Uzman_D!$G$18)*0.1 +
        IF(J21-Uzman_D!$H$18&lt;0, -(J21-Uzman_D!$H$18), J21-Uzman_D!$H$18)*0.1 +
        IF(K21-Uzman_D!$I$18&lt;0, -(K21-Uzman_D!$I$18), K21-Uzman_D!$I$18)*0.1 +
        IF(L21-Uzman_D!$J$18&lt;0, -(L21-Uzman_D!$J$18), L21-Uzman_D!$J$18)*0.1
    ) +
    IF(ROUND((IF(N21-Uzman_D!$L$18&lt;0, -(N21-Uzman_D!$L$18), N21-Uzman_D!$L$18)*2),0)/2 = IF(N21-Uzman_D!$L$18&lt;0, -(N21-Uzman_D!$L$18), N21-Uzman_D!$L$18),
    (ROUND((IF(N21-Uzman_D!$L$18&lt;0, -(N21-Uzman_D!$L$18), N21-Uzman_D!$L$18)*2),0)/1 * 0.1), 0) +
    IF(O21-Uzman_D!$M$18&lt;0, -(O21-Uzman_D!$M$18), O21-Uzman_D!$M$18)*1
)</f>
        <v>-0.50000000000000022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2"/>
      <c r="AB21" s="72"/>
      <c r="AC21" s="73">
        <f>1 - (
    SUM(
        IF(Q21-Uzman_D!$B$19&lt;0, -(Q21-Uzman_D!$B$19), Q21-Uzman_D!$B$19)*0.1 +
        IF(R21-Uzman_D!$C$19&lt;0, -(R21-Uzman_D!$C$19), R21-Uzman_D!$C$19)*0.1 +
        IF(S21-Uzman_D!$D$19&lt;0, -(S21-Uzman_D!$D$19), S21-Uzman_D!$D$19)*0.1 +
        IF(T21-Uzman_D!$E$19&lt;0, -(T21-Uzman_D!$E$19), T21-Uzman_D!$E$19)*0.1 +
        IF(U21-Uzman_D!$F$19&lt;0, -(U21-Uzman_D!$F$19), U21-Uzman_D!$F$19)*0.1 +
        IF(V21-Uzman_D!$G$19&lt;0, -(V21-Uzman_D!$G$19), V21-Uzman_D!$G$19)*0.1 +
        IF(W21-Uzman_D!$H$19&lt;0, -(W21-Uzman_D!$H$19), W21-Uzman_D!$H$19)*0.1 +
        IF(X21-Uzman_D!$I$19&lt;0, -(X21-Uzman_D!$I$19), X21-Uzman_D!$I$19)*0.1 +
        IF(Y21-Uzman_D!$J$19&lt;0, -(Y21-Uzman_D!$J$19), Y21-Uzman_D!$J$19)*0.1
    ) +
    IF(ROUND((IF(AA21-Uzman_D!$L$19&lt;0, -(AA21-Uzman_D!$L$19), AA21-Uzman_D!$L$19)*2),0)/2 = IF(AA21-Uzman_D!$L$19&lt;0, -(AA21-Uzman_D!$L$19), AA21-Uzman_D!$L$19),
    (ROUND((IF(AA21-Uzman_D!$L$19&lt;0, -(AA21-Uzman_D!$L$19), AA21-Uzman_D!$L$19)*2),0)/1 * 0.1), 0) +
    IF(AB21-Uzman_D!$M$19&lt;0, -(AB21-Uzman_D!$M$19), AB21-Uzman_D!$M$19)*1
)</f>
        <v>-0.60000000000000009</v>
      </c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2"/>
      <c r="AO21" s="72"/>
      <c r="AP21" s="73">
        <f>1 - (
    SUM(
        IF(AD21-Uzman_D!$B$20&lt;0, -(AD21-Uzman_D!$B$20), AD21-Uzman_D!$B$20)*0.1 +
        IF(AE21-Uzman_D!$C$20&lt;0, -(AE21-Uzman_D!$C$20), AE21-Uzman_D!$C$20)*0.1 +
        IF(AF21-Uzman_D!$D$20&lt;0, -(AF21-Uzman_D!$D$20), AF21-Uzman_D!$D$20)*0.1 +
        IF(AG21-Uzman_D!$E$20&lt;0, -(AG21-Uzman_D!$E$20), AG21-Uzman_D!$E$20)*0.1 +
        IF(AH21-Uzman_D!$F$20&lt;0, -(AH21-Uzman_D!$F$20), AH21-Uzman_D!$F$20)*0.1 +
        IF(AI21-Uzman_D!$G$20&lt;0, -(AI21-Uzman_D!$G$20), AI21-Uzman_D!$G$20)*0.1 +
        IF(AJ21-Uzman_D!$H$20&lt;0, -(AJ21-Uzman_D!$H$20), AJ21-Uzman_D!$H$20)*0.1 +
        IF(AK21-Uzman_D!$I$20&lt;0, -(AK21-Uzman_D!$I$20), AK21-Uzman_D!$I$20)*0.1 +
        IF(AL21-Uzman_D!$J$20&lt;0, -(AL21-Uzman_D!$J$20), AL21-Uzman_D!$J$20)*0.1
    ) +
    IF(ROUND((IF(AN21-Uzman_D!$L$20&lt;0, -(AN21-Uzman_D!$L$20), AN21-Uzman_D!$L$20)*2),0)/2 = IF(AN21-Uzman_D!$L$20&lt;0, -(AN21-Uzman_D!$L$20), AN21-Uzman_D!$L$20),
    (ROUND((IF(AN21-Uzman_D!$L$20&lt;0, -(AN21-Uzman_D!$L$20), AN21-Uzman_D!$L$20)*2),0)/1 * 0.1), 0) +
    IF(AO21-Uzman_D!$M$20&lt;0, -(AO21-Uzman_D!$M$20), AO21-Uzman_D!$M$20)*1
)</f>
        <v>-0.60000000000000009</v>
      </c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2"/>
      <c r="BB21" s="72"/>
      <c r="BC21" s="73">
        <f>1 - (
    SUM(
        IF(AQ21-Uzman_D!$B$21&lt;0, -(AQ21-Uzman_D!$B$21), AQ21-Uzman_D!$B$21)*0.1 +
        IF(AR21-Uzman_D!$C$21&lt;0, -(AR21-Uzman_D!$C$21), AR21-Uzman_D!$C$21)*0.1 +
        IF(AS21-Uzman_D!$D$21&lt;0, -(AS21-Uzman_D!$D$21), AS21-Uzman_D!$D$21)*0.1 +
        IF(AT21-Uzman_D!$E$21&lt;0, -(AT21-Uzman_D!$E$21), AT21-Uzman_D!$E$21)*0.1 +
        IF(AU21-Uzman_D!$F$21&lt;0, -(AU21-Uzman_D!$F$21), AU21-Uzman_D!$F$21)*0.1 +
        IF(AV21-Uzman_D!$G$21&lt;0, -(AV21-Uzman_D!$G$21), AV21-Uzman_D!$G$21)*0.1 +
        IF(AW21-Uzman_D!$H$21&lt;0, -(AW21-Uzman_D!$H$21), AW21-Uzman_D!$H$21)*0.1 +
        IF(AX21-Uzman_D!$I$21&lt;0, -(AX21-Uzman_D!$I$21), AX21-Uzman_D!$I$21)*0.1 +
        IF(AY21-Uzman_D!$J$21&lt;0, -(AY21-Uzman_D!$J$21), AY21-Uzman_D!$J$21)*0.1
    ) +
    IF(ROUND((IF(BA21-Uzman_D!$L$21&lt;0, -(BA21-Uzman_D!$L$21), BA21-Uzman_D!$L$21)*2),0)/2 = IF(BA21-Uzman_D!$L$21&lt;0, -(BA21-Uzman_D!$L$21), BA21-Uzman_D!$L$21),
    (ROUND((IF(BA21-Uzman_D!$L$21&lt;0, -(BA21-Uzman_D!$L$21), BA21-Uzman_D!$L$21)*2),0)/1 * 0.1), 0) +
    IF(BB21-Uzman_D!$M$21&lt;0, -(BB21-Uzman_D!$M$21), BB21-Uzman_D!$M$21)*1
)</f>
        <v>-0.60000000000000009</v>
      </c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2"/>
      <c r="BO21" s="72"/>
      <c r="BP21" s="73">
        <f>1 - (
    SUM(
        IF(BD21-Uzman_D!$B$22&lt;0, -(BD21-Uzman_D!$B$22), BD21-Uzman_D!$B$22)*0.1 +
        IF(BE21-Uzman_D!$C$22&lt;0, -(BE21-Uzman_D!$C$22), BE21-Uzman_D!$C$22)*0.1 +
        IF(BF21-Uzman_D!$D$22&lt;0, -(BF21-Uzman_D!$D$22), BF21-Uzman_D!$D$22)*0.1 +
        IF(BG21-Uzman_D!$E$22&lt;0, -(BG21-Uzman_D!$E$22), BG21-Uzman_D!$E$22)*0.1 +
        IF(BH21-Uzman_D!$F$22&lt;0, -(BH21-Uzman_D!$F$22), BH21-Uzman_D!$F$22)*0.1 +
        IF(BI21-Uzman_D!$G$22&lt;0, -(BI21-Uzman_D!$G$22), BI21-Uzman_D!$G$22)*0.1 +
        IF(BJ21-Uzman_D!$H$22&lt;0, -(BJ21-Uzman_D!$H$22), BJ21-Uzman_D!$H$22)*0.1 +
        IF(BK21-Uzman_D!$I$22&lt;0, -(BK21-Uzman_D!$I$22), BK21-Uzman_D!$I$22)*0.1 +
        IF(BL21-Uzman_D!$J$22&lt;0, -(BL21-Uzman_D!$J$22), BL21-Uzman_D!$J$22)*0.1
    ) +
    IF(ROUND((IF(BN21-Uzman_D!$L$22&lt;0, -(BN21-Uzman_D!$L$22), BN21-Uzman_D!$L$22)*2),0)/2 = IF(BN21-Uzman_D!$L$22&lt;0, -(BN21-Uzman_D!$L$22), BN21-Uzman_D!$L$22),
    (ROUND((IF(BN21-Uzman_D!$L$22&lt;0, -(BN21-Uzman_D!$L$22), BN21-Uzman_D!$L$22)*2),0)/1 * 0.1), 0) +
    IF(BO21-Uzman_D!$M$22&lt;0, -(BO21-Uzman_D!$M$22), BO21-Uzman_D!$M$22)*1
)</f>
        <v>-0.40000000000000013</v>
      </c>
      <c r="BQ21" s="74">
        <f t="shared" si="0"/>
        <v>-0.54000000000000026</v>
      </c>
    </row>
    <row r="22" spans="1:69" ht="15" customHeight="1" x14ac:dyDescent="0.2">
      <c r="A22" s="57">
        <v>19</v>
      </c>
      <c r="B22" s="29">
        <f>Hakemler!B22</f>
        <v>0</v>
      </c>
      <c r="C22" s="29">
        <f>Hakemler!C22</f>
        <v>0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2"/>
      <c r="O22" s="72"/>
      <c r="P22" s="73">
        <f>1 - (
    SUM(
        IF(D22-Uzman_D!$B$18&lt;0, -(D22-Uzman_D!$B$18), D22-Uzman_D!$B$18)*0.1 +
        IF(E22-Uzman_D!$C$18&lt;0, -(E22-Uzman_D!$C$18), E22-Uzman_D!$C$18)*0.1 +
        IF(F22-Uzman_D!$D$18&lt;0, -(F22-Uzman_D!$D$18), F22-Uzman_D!$D$18)*0.1 +
        IF(G22-Uzman_D!$E$18&lt;0, -(G22-Uzman_D!$E$18), G22-Uzman_D!$E$18)*0.1 +
        IF(H22-Uzman_D!$F$18&lt;0, -(H22-Uzman_D!$F$18), H22-Uzman_D!$F$18)*0.1 +
        IF(I22-Uzman_D!$G$18&lt;0, -(I22-Uzman_D!$G$18), I22-Uzman_D!$G$18)*0.1 +
        IF(J22-Uzman_D!$H$18&lt;0, -(J22-Uzman_D!$H$18), J22-Uzman_D!$H$18)*0.1 +
        IF(K22-Uzman_D!$I$18&lt;0, -(K22-Uzman_D!$I$18), K22-Uzman_D!$I$18)*0.1 +
        IF(L22-Uzman_D!$J$18&lt;0, -(L22-Uzman_D!$J$18), L22-Uzman_D!$J$18)*0.1
    ) +
    IF(ROUND((IF(N22-Uzman_D!$L$18&lt;0, -(N22-Uzman_D!$L$18), N22-Uzman_D!$L$18)*2),0)/2 = IF(N22-Uzman_D!$L$18&lt;0, -(N22-Uzman_D!$L$18), N22-Uzman_D!$L$18),
    (ROUND((IF(N22-Uzman_D!$L$18&lt;0, -(N22-Uzman_D!$L$18), N22-Uzman_D!$L$18)*2),0)/1 * 0.1), 0) +
    IF(O22-Uzman_D!$M$18&lt;0, -(O22-Uzman_D!$M$18), O22-Uzman_D!$M$18)*1
)</f>
        <v>-0.50000000000000022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2"/>
      <c r="AB22" s="72"/>
      <c r="AC22" s="73">
        <f>1 - (
    SUM(
        IF(Q22-Uzman_D!$B$19&lt;0, -(Q22-Uzman_D!$B$19), Q22-Uzman_D!$B$19)*0.1 +
        IF(R22-Uzman_D!$C$19&lt;0, -(R22-Uzman_D!$C$19), R22-Uzman_D!$C$19)*0.1 +
        IF(S22-Uzman_D!$D$19&lt;0, -(S22-Uzman_D!$D$19), S22-Uzman_D!$D$19)*0.1 +
        IF(T22-Uzman_D!$E$19&lt;0, -(T22-Uzman_D!$E$19), T22-Uzman_D!$E$19)*0.1 +
        IF(U22-Uzman_D!$F$19&lt;0, -(U22-Uzman_D!$F$19), U22-Uzman_D!$F$19)*0.1 +
        IF(V22-Uzman_D!$G$19&lt;0, -(V22-Uzman_D!$G$19), V22-Uzman_D!$G$19)*0.1 +
        IF(W22-Uzman_D!$H$19&lt;0, -(W22-Uzman_D!$H$19), W22-Uzman_D!$H$19)*0.1 +
        IF(X22-Uzman_D!$I$19&lt;0, -(X22-Uzman_D!$I$19), X22-Uzman_D!$I$19)*0.1 +
        IF(Y22-Uzman_D!$J$19&lt;0, -(Y22-Uzman_D!$J$19), Y22-Uzman_D!$J$19)*0.1
    ) +
    IF(ROUND((IF(AA22-Uzman_D!$L$19&lt;0, -(AA22-Uzman_D!$L$19), AA22-Uzman_D!$L$19)*2),0)/2 = IF(AA22-Uzman_D!$L$19&lt;0, -(AA22-Uzman_D!$L$19), AA22-Uzman_D!$L$19),
    (ROUND((IF(AA22-Uzman_D!$L$19&lt;0, -(AA22-Uzman_D!$L$19), AA22-Uzman_D!$L$19)*2),0)/1 * 0.1), 0) +
    IF(AB22-Uzman_D!$M$19&lt;0, -(AB22-Uzman_D!$M$19), AB22-Uzman_D!$M$19)*1
)</f>
        <v>-0.60000000000000009</v>
      </c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2"/>
      <c r="AO22" s="72"/>
      <c r="AP22" s="73">
        <f>1 - (
    SUM(
        IF(AD22-Uzman_D!$B$20&lt;0, -(AD22-Uzman_D!$B$20), AD22-Uzman_D!$B$20)*0.1 +
        IF(AE22-Uzman_D!$C$20&lt;0, -(AE22-Uzman_D!$C$20), AE22-Uzman_D!$C$20)*0.1 +
        IF(AF22-Uzman_D!$D$20&lt;0, -(AF22-Uzman_D!$D$20), AF22-Uzman_D!$D$20)*0.1 +
        IF(AG22-Uzman_D!$E$20&lt;0, -(AG22-Uzman_D!$E$20), AG22-Uzman_D!$E$20)*0.1 +
        IF(AH22-Uzman_D!$F$20&lt;0, -(AH22-Uzman_D!$F$20), AH22-Uzman_D!$F$20)*0.1 +
        IF(AI22-Uzman_D!$G$20&lt;0, -(AI22-Uzman_D!$G$20), AI22-Uzman_D!$G$20)*0.1 +
        IF(AJ22-Uzman_D!$H$20&lt;0, -(AJ22-Uzman_D!$H$20), AJ22-Uzman_D!$H$20)*0.1 +
        IF(AK22-Uzman_D!$I$20&lt;0, -(AK22-Uzman_D!$I$20), AK22-Uzman_D!$I$20)*0.1 +
        IF(AL22-Uzman_D!$J$20&lt;0, -(AL22-Uzman_D!$J$20), AL22-Uzman_D!$J$20)*0.1
    ) +
    IF(ROUND((IF(AN22-Uzman_D!$L$20&lt;0, -(AN22-Uzman_D!$L$20), AN22-Uzman_D!$L$20)*2),0)/2 = IF(AN22-Uzman_D!$L$20&lt;0, -(AN22-Uzman_D!$L$20), AN22-Uzman_D!$L$20),
    (ROUND((IF(AN22-Uzman_D!$L$20&lt;0, -(AN22-Uzman_D!$L$20), AN22-Uzman_D!$L$20)*2),0)/1 * 0.1), 0) +
    IF(AO22-Uzman_D!$M$20&lt;0, -(AO22-Uzman_D!$M$20), AO22-Uzman_D!$M$20)*1
)</f>
        <v>-0.60000000000000009</v>
      </c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2"/>
      <c r="BB22" s="72"/>
      <c r="BC22" s="73">
        <f>1 - (
    SUM(
        IF(AQ22-Uzman_D!$B$21&lt;0, -(AQ22-Uzman_D!$B$21), AQ22-Uzman_D!$B$21)*0.1 +
        IF(AR22-Uzman_D!$C$21&lt;0, -(AR22-Uzman_D!$C$21), AR22-Uzman_D!$C$21)*0.1 +
        IF(AS22-Uzman_D!$D$21&lt;0, -(AS22-Uzman_D!$D$21), AS22-Uzman_D!$D$21)*0.1 +
        IF(AT22-Uzman_D!$E$21&lt;0, -(AT22-Uzman_D!$E$21), AT22-Uzman_D!$E$21)*0.1 +
        IF(AU22-Uzman_D!$F$21&lt;0, -(AU22-Uzman_D!$F$21), AU22-Uzman_D!$F$21)*0.1 +
        IF(AV22-Uzman_D!$G$21&lt;0, -(AV22-Uzman_D!$G$21), AV22-Uzman_D!$G$21)*0.1 +
        IF(AW22-Uzman_D!$H$21&lt;0, -(AW22-Uzman_D!$H$21), AW22-Uzman_D!$H$21)*0.1 +
        IF(AX22-Uzman_D!$I$21&lt;0, -(AX22-Uzman_D!$I$21), AX22-Uzman_D!$I$21)*0.1 +
        IF(AY22-Uzman_D!$J$21&lt;0, -(AY22-Uzman_D!$J$21), AY22-Uzman_D!$J$21)*0.1
    ) +
    IF(ROUND((IF(BA22-Uzman_D!$L$21&lt;0, -(BA22-Uzman_D!$L$21), BA22-Uzman_D!$L$21)*2),0)/2 = IF(BA22-Uzman_D!$L$21&lt;0, -(BA22-Uzman_D!$L$21), BA22-Uzman_D!$L$21),
    (ROUND((IF(BA22-Uzman_D!$L$21&lt;0, -(BA22-Uzman_D!$L$21), BA22-Uzman_D!$L$21)*2),0)/1 * 0.1), 0) +
    IF(BB22-Uzman_D!$M$21&lt;0, -(BB22-Uzman_D!$M$21), BB22-Uzman_D!$M$21)*1
)</f>
        <v>-0.60000000000000009</v>
      </c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2"/>
      <c r="BO22" s="72"/>
      <c r="BP22" s="73">
        <f>1 - (
    SUM(
        IF(BD22-Uzman_D!$B$22&lt;0, -(BD22-Uzman_D!$B$22), BD22-Uzman_D!$B$22)*0.1 +
        IF(BE22-Uzman_D!$C$22&lt;0, -(BE22-Uzman_D!$C$22), BE22-Uzman_D!$C$22)*0.1 +
        IF(BF22-Uzman_D!$D$22&lt;0, -(BF22-Uzman_D!$D$22), BF22-Uzman_D!$D$22)*0.1 +
        IF(BG22-Uzman_D!$E$22&lt;0, -(BG22-Uzman_D!$E$22), BG22-Uzman_D!$E$22)*0.1 +
        IF(BH22-Uzman_D!$F$22&lt;0, -(BH22-Uzman_D!$F$22), BH22-Uzman_D!$F$22)*0.1 +
        IF(BI22-Uzman_D!$G$22&lt;0, -(BI22-Uzman_D!$G$22), BI22-Uzman_D!$G$22)*0.1 +
        IF(BJ22-Uzman_D!$H$22&lt;0, -(BJ22-Uzman_D!$H$22), BJ22-Uzman_D!$H$22)*0.1 +
        IF(BK22-Uzman_D!$I$22&lt;0, -(BK22-Uzman_D!$I$22), BK22-Uzman_D!$I$22)*0.1 +
        IF(BL22-Uzman_D!$J$22&lt;0, -(BL22-Uzman_D!$J$22), BL22-Uzman_D!$J$22)*0.1
    ) +
    IF(ROUND((IF(BN22-Uzman_D!$L$22&lt;0, -(BN22-Uzman_D!$L$22), BN22-Uzman_D!$L$22)*2),0)/2 = IF(BN22-Uzman_D!$L$22&lt;0, -(BN22-Uzman_D!$L$22), BN22-Uzman_D!$L$22),
    (ROUND((IF(BN22-Uzman_D!$L$22&lt;0, -(BN22-Uzman_D!$L$22), BN22-Uzman_D!$L$22)*2),0)/1 * 0.1), 0) +
    IF(BO22-Uzman_D!$M$22&lt;0, -(BO22-Uzman_D!$M$22), BO22-Uzman_D!$M$22)*1
)</f>
        <v>-0.40000000000000013</v>
      </c>
      <c r="BQ22" s="74">
        <f t="shared" si="0"/>
        <v>-0.54000000000000026</v>
      </c>
    </row>
    <row r="23" spans="1:69" ht="15" customHeight="1" x14ac:dyDescent="0.2">
      <c r="A23" s="57">
        <v>20</v>
      </c>
      <c r="B23" s="29">
        <f>Hakemler!B23</f>
        <v>0</v>
      </c>
      <c r="C23" s="29">
        <f>Hakemler!C23</f>
        <v>0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2"/>
      <c r="O23" s="72"/>
      <c r="P23" s="73">
        <f>1 - (
    SUM(
        IF(D23-Uzman_D!$B$18&lt;0, -(D23-Uzman_D!$B$18), D23-Uzman_D!$B$18)*0.1 +
        IF(E23-Uzman_D!$C$18&lt;0, -(E23-Uzman_D!$C$18), E23-Uzman_D!$C$18)*0.1 +
        IF(F23-Uzman_D!$D$18&lt;0, -(F23-Uzman_D!$D$18), F23-Uzman_D!$D$18)*0.1 +
        IF(G23-Uzman_D!$E$18&lt;0, -(G23-Uzman_D!$E$18), G23-Uzman_D!$E$18)*0.1 +
        IF(H23-Uzman_D!$F$18&lt;0, -(H23-Uzman_D!$F$18), H23-Uzman_D!$F$18)*0.1 +
        IF(I23-Uzman_D!$G$18&lt;0, -(I23-Uzman_D!$G$18), I23-Uzman_D!$G$18)*0.1 +
        IF(J23-Uzman_D!$H$18&lt;0, -(J23-Uzman_D!$H$18), J23-Uzman_D!$H$18)*0.1 +
        IF(K23-Uzman_D!$I$18&lt;0, -(K23-Uzman_D!$I$18), K23-Uzman_D!$I$18)*0.1 +
        IF(L23-Uzman_D!$J$18&lt;0, -(L23-Uzman_D!$J$18), L23-Uzman_D!$J$18)*0.1
    ) +
    IF(ROUND((IF(N23-Uzman_D!$L$18&lt;0, -(N23-Uzman_D!$L$18), N23-Uzman_D!$L$18)*2),0)/2 = IF(N23-Uzman_D!$L$18&lt;0, -(N23-Uzman_D!$L$18), N23-Uzman_D!$L$18),
    (ROUND((IF(N23-Uzman_D!$L$18&lt;0, -(N23-Uzman_D!$L$18), N23-Uzman_D!$L$18)*2),0)/1 * 0.1), 0) +
    IF(O23-Uzman_D!$M$18&lt;0, -(O23-Uzman_D!$M$18), O23-Uzman_D!$M$18)*1
)</f>
        <v>-0.50000000000000022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2"/>
      <c r="AB23" s="72"/>
      <c r="AC23" s="73">
        <f>1 - (
    SUM(
        IF(Q23-Uzman_D!$B$19&lt;0, -(Q23-Uzman_D!$B$19), Q23-Uzman_D!$B$19)*0.1 +
        IF(R23-Uzman_D!$C$19&lt;0, -(R23-Uzman_D!$C$19), R23-Uzman_D!$C$19)*0.1 +
        IF(S23-Uzman_D!$D$19&lt;0, -(S23-Uzman_D!$D$19), S23-Uzman_D!$D$19)*0.1 +
        IF(T23-Uzman_D!$E$19&lt;0, -(T23-Uzman_D!$E$19), T23-Uzman_D!$E$19)*0.1 +
        IF(U23-Uzman_D!$F$19&lt;0, -(U23-Uzman_D!$F$19), U23-Uzman_D!$F$19)*0.1 +
        IF(V23-Uzman_D!$G$19&lt;0, -(V23-Uzman_D!$G$19), V23-Uzman_D!$G$19)*0.1 +
        IF(W23-Uzman_D!$H$19&lt;0, -(W23-Uzman_D!$H$19), W23-Uzman_D!$H$19)*0.1 +
        IF(X23-Uzman_D!$I$19&lt;0, -(X23-Uzman_D!$I$19), X23-Uzman_D!$I$19)*0.1 +
        IF(Y23-Uzman_D!$J$19&lt;0, -(Y23-Uzman_D!$J$19), Y23-Uzman_D!$J$19)*0.1
    ) +
    IF(ROUND((IF(AA23-Uzman_D!$L$19&lt;0, -(AA23-Uzman_D!$L$19), AA23-Uzman_D!$L$19)*2),0)/2 = IF(AA23-Uzman_D!$L$19&lt;0, -(AA23-Uzman_D!$L$19), AA23-Uzman_D!$L$19),
    (ROUND((IF(AA23-Uzman_D!$L$19&lt;0, -(AA23-Uzman_D!$L$19), AA23-Uzman_D!$L$19)*2),0)/1 * 0.1), 0) +
    IF(AB23-Uzman_D!$M$19&lt;0, -(AB23-Uzman_D!$M$19), AB23-Uzman_D!$M$19)*1
)</f>
        <v>-0.60000000000000009</v>
      </c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2"/>
      <c r="AO23" s="72"/>
      <c r="AP23" s="73">
        <f>1 - (
    SUM(
        IF(AD23-Uzman_D!$B$20&lt;0, -(AD23-Uzman_D!$B$20), AD23-Uzman_D!$B$20)*0.1 +
        IF(AE23-Uzman_D!$C$20&lt;0, -(AE23-Uzman_D!$C$20), AE23-Uzman_D!$C$20)*0.1 +
        IF(AF23-Uzman_D!$D$20&lt;0, -(AF23-Uzman_D!$D$20), AF23-Uzman_D!$D$20)*0.1 +
        IF(AG23-Uzman_D!$E$20&lt;0, -(AG23-Uzman_D!$E$20), AG23-Uzman_D!$E$20)*0.1 +
        IF(AH23-Uzman_D!$F$20&lt;0, -(AH23-Uzman_D!$F$20), AH23-Uzman_D!$F$20)*0.1 +
        IF(AI23-Uzman_D!$G$20&lt;0, -(AI23-Uzman_D!$G$20), AI23-Uzman_D!$G$20)*0.1 +
        IF(AJ23-Uzman_D!$H$20&lt;0, -(AJ23-Uzman_D!$H$20), AJ23-Uzman_D!$H$20)*0.1 +
        IF(AK23-Uzman_D!$I$20&lt;0, -(AK23-Uzman_D!$I$20), AK23-Uzman_D!$I$20)*0.1 +
        IF(AL23-Uzman_D!$J$20&lt;0, -(AL23-Uzman_D!$J$20), AL23-Uzman_D!$J$20)*0.1
    ) +
    IF(ROUND((IF(AN23-Uzman_D!$L$20&lt;0, -(AN23-Uzman_D!$L$20), AN23-Uzman_D!$L$20)*2),0)/2 = IF(AN23-Uzman_D!$L$20&lt;0, -(AN23-Uzman_D!$L$20), AN23-Uzman_D!$L$20),
    (ROUND((IF(AN23-Uzman_D!$L$20&lt;0, -(AN23-Uzman_D!$L$20), AN23-Uzman_D!$L$20)*2),0)/1 * 0.1), 0) +
    IF(AO23-Uzman_D!$M$20&lt;0, -(AO23-Uzman_D!$M$20), AO23-Uzman_D!$M$20)*1
)</f>
        <v>-0.60000000000000009</v>
      </c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2"/>
      <c r="BB23" s="72"/>
      <c r="BC23" s="73">
        <f>1 - (
    SUM(
        IF(AQ23-Uzman_D!$B$21&lt;0, -(AQ23-Uzman_D!$B$21), AQ23-Uzman_D!$B$21)*0.1 +
        IF(AR23-Uzman_D!$C$21&lt;0, -(AR23-Uzman_D!$C$21), AR23-Uzman_D!$C$21)*0.1 +
        IF(AS23-Uzman_D!$D$21&lt;0, -(AS23-Uzman_D!$D$21), AS23-Uzman_D!$D$21)*0.1 +
        IF(AT23-Uzman_D!$E$21&lt;0, -(AT23-Uzman_D!$E$21), AT23-Uzman_D!$E$21)*0.1 +
        IF(AU23-Uzman_D!$F$21&lt;0, -(AU23-Uzman_D!$F$21), AU23-Uzman_D!$F$21)*0.1 +
        IF(AV23-Uzman_D!$G$21&lt;0, -(AV23-Uzman_D!$G$21), AV23-Uzman_D!$G$21)*0.1 +
        IF(AW23-Uzman_D!$H$21&lt;0, -(AW23-Uzman_D!$H$21), AW23-Uzman_D!$H$21)*0.1 +
        IF(AX23-Uzman_D!$I$21&lt;0, -(AX23-Uzman_D!$I$21), AX23-Uzman_D!$I$21)*0.1 +
        IF(AY23-Uzman_D!$J$21&lt;0, -(AY23-Uzman_D!$J$21), AY23-Uzman_D!$J$21)*0.1
    ) +
    IF(ROUND((IF(BA23-Uzman_D!$L$21&lt;0, -(BA23-Uzman_D!$L$21), BA23-Uzman_D!$L$21)*2),0)/2 = IF(BA23-Uzman_D!$L$21&lt;0, -(BA23-Uzman_D!$L$21), BA23-Uzman_D!$L$21),
    (ROUND((IF(BA23-Uzman_D!$L$21&lt;0, -(BA23-Uzman_D!$L$21), BA23-Uzman_D!$L$21)*2),0)/1 * 0.1), 0) +
    IF(BB23-Uzman_D!$M$21&lt;0, -(BB23-Uzman_D!$M$21), BB23-Uzman_D!$M$21)*1
)</f>
        <v>-0.60000000000000009</v>
      </c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2"/>
      <c r="BO23" s="72"/>
      <c r="BP23" s="73">
        <f>1 - (
    SUM(
        IF(BD23-Uzman_D!$B$22&lt;0, -(BD23-Uzman_D!$B$22), BD23-Uzman_D!$B$22)*0.1 +
        IF(BE23-Uzman_D!$C$22&lt;0, -(BE23-Uzman_D!$C$22), BE23-Uzman_D!$C$22)*0.1 +
        IF(BF23-Uzman_D!$D$22&lt;0, -(BF23-Uzman_D!$D$22), BF23-Uzman_D!$D$22)*0.1 +
        IF(BG23-Uzman_D!$E$22&lt;0, -(BG23-Uzman_D!$E$22), BG23-Uzman_D!$E$22)*0.1 +
        IF(BH23-Uzman_D!$F$22&lt;0, -(BH23-Uzman_D!$F$22), BH23-Uzman_D!$F$22)*0.1 +
        IF(BI23-Uzman_D!$G$22&lt;0, -(BI23-Uzman_D!$G$22), BI23-Uzman_D!$G$22)*0.1 +
        IF(BJ23-Uzman_D!$H$22&lt;0, -(BJ23-Uzman_D!$H$22), BJ23-Uzman_D!$H$22)*0.1 +
        IF(BK23-Uzman_D!$I$22&lt;0, -(BK23-Uzman_D!$I$22), BK23-Uzman_D!$I$22)*0.1 +
        IF(BL23-Uzman_D!$J$22&lt;0, -(BL23-Uzman_D!$J$22), BL23-Uzman_D!$J$22)*0.1
    ) +
    IF(ROUND((IF(BN23-Uzman_D!$L$22&lt;0, -(BN23-Uzman_D!$L$22), BN23-Uzman_D!$L$22)*2),0)/2 = IF(BN23-Uzman_D!$L$22&lt;0, -(BN23-Uzman_D!$L$22), BN23-Uzman_D!$L$22),
    (ROUND((IF(BN23-Uzman_D!$L$22&lt;0, -(BN23-Uzman_D!$L$22), BN23-Uzman_D!$L$22)*2),0)/1 * 0.1), 0) +
    IF(BO23-Uzman_D!$M$22&lt;0, -(BO23-Uzman_D!$M$22), BO23-Uzman_D!$M$22)*1
)</f>
        <v>-0.40000000000000013</v>
      </c>
      <c r="BQ23" s="74">
        <f t="shared" si="0"/>
        <v>-0.54000000000000026</v>
      </c>
    </row>
    <row r="24" spans="1:69" ht="15" customHeight="1" x14ac:dyDescent="0.2">
      <c r="A24" s="57">
        <v>21</v>
      </c>
      <c r="B24" s="29">
        <f>Hakemler!B24</f>
        <v>0</v>
      </c>
      <c r="C24" s="29">
        <f>Hakemler!C24</f>
        <v>0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2"/>
      <c r="O24" s="72"/>
      <c r="P24" s="73">
        <f>1 - (
    SUM(
        IF(D24-Uzman_D!$B$18&lt;0, -(D24-Uzman_D!$B$18), D24-Uzman_D!$B$18)*0.1 +
        IF(E24-Uzman_D!$C$18&lt;0, -(E24-Uzman_D!$C$18), E24-Uzman_D!$C$18)*0.1 +
        IF(F24-Uzman_D!$D$18&lt;0, -(F24-Uzman_D!$D$18), F24-Uzman_D!$D$18)*0.1 +
        IF(G24-Uzman_D!$E$18&lt;0, -(G24-Uzman_D!$E$18), G24-Uzman_D!$E$18)*0.1 +
        IF(H24-Uzman_D!$F$18&lt;0, -(H24-Uzman_D!$F$18), H24-Uzman_D!$F$18)*0.1 +
        IF(I24-Uzman_D!$G$18&lt;0, -(I24-Uzman_D!$G$18), I24-Uzman_D!$G$18)*0.1 +
        IF(J24-Uzman_D!$H$18&lt;0, -(J24-Uzman_D!$H$18), J24-Uzman_D!$H$18)*0.1 +
        IF(K24-Uzman_D!$I$18&lt;0, -(K24-Uzman_D!$I$18), K24-Uzman_D!$I$18)*0.1 +
        IF(L24-Uzman_D!$J$18&lt;0, -(L24-Uzman_D!$J$18), L24-Uzman_D!$J$18)*0.1
    ) +
    IF(ROUND((IF(N24-Uzman_D!$L$18&lt;0, -(N24-Uzman_D!$L$18), N24-Uzman_D!$L$18)*2),0)/2 = IF(N24-Uzman_D!$L$18&lt;0, -(N24-Uzman_D!$L$18), N24-Uzman_D!$L$18),
    (ROUND((IF(N24-Uzman_D!$L$18&lt;0, -(N24-Uzman_D!$L$18), N24-Uzman_D!$L$18)*2),0)/1 * 0.1), 0) +
    IF(O24-Uzman_D!$M$18&lt;0, -(O24-Uzman_D!$M$18), O24-Uzman_D!$M$18)*1
)</f>
        <v>-0.50000000000000022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2"/>
      <c r="AB24" s="72"/>
      <c r="AC24" s="73">
        <f>1 - (
    SUM(
        IF(Q24-Uzman_D!$B$19&lt;0, -(Q24-Uzman_D!$B$19), Q24-Uzman_D!$B$19)*0.1 +
        IF(R24-Uzman_D!$C$19&lt;0, -(R24-Uzman_D!$C$19), R24-Uzman_D!$C$19)*0.1 +
        IF(S24-Uzman_D!$D$19&lt;0, -(S24-Uzman_D!$D$19), S24-Uzman_D!$D$19)*0.1 +
        IF(T24-Uzman_D!$E$19&lt;0, -(T24-Uzman_D!$E$19), T24-Uzman_D!$E$19)*0.1 +
        IF(U24-Uzman_D!$F$19&lt;0, -(U24-Uzman_D!$F$19), U24-Uzman_D!$F$19)*0.1 +
        IF(V24-Uzman_D!$G$19&lt;0, -(V24-Uzman_D!$G$19), V24-Uzman_D!$G$19)*0.1 +
        IF(W24-Uzman_D!$H$19&lt;0, -(W24-Uzman_D!$H$19), W24-Uzman_D!$H$19)*0.1 +
        IF(X24-Uzman_D!$I$19&lt;0, -(X24-Uzman_D!$I$19), X24-Uzman_D!$I$19)*0.1 +
        IF(Y24-Uzman_D!$J$19&lt;0, -(Y24-Uzman_D!$J$19), Y24-Uzman_D!$J$19)*0.1
    ) +
    IF(ROUND((IF(AA24-Uzman_D!$L$19&lt;0, -(AA24-Uzman_D!$L$19), AA24-Uzman_D!$L$19)*2),0)/2 = IF(AA24-Uzman_D!$L$19&lt;0, -(AA24-Uzman_D!$L$19), AA24-Uzman_D!$L$19),
    (ROUND((IF(AA24-Uzman_D!$L$19&lt;0, -(AA24-Uzman_D!$L$19), AA24-Uzman_D!$L$19)*2),0)/1 * 0.1), 0) +
    IF(AB24-Uzman_D!$M$19&lt;0, -(AB24-Uzman_D!$M$19), AB24-Uzman_D!$M$19)*1
)</f>
        <v>-0.60000000000000009</v>
      </c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2"/>
      <c r="AO24" s="72"/>
      <c r="AP24" s="73">
        <f>1 - (
    SUM(
        IF(AD24-Uzman_D!$B$20&lt;0, -(AD24-Uzman_D!$B$20), AD24-Uzman_D!$B$20)*0.1 +
        IF(AE24-Uzman_D!$C$20&lt;0, -(AE24-Uzman_D!$C$20), AE24-Uzman_D!$C$20)*0.1 +
        IF(AF24-Uzman_D!$D$20&lt;0, -(AF24-Uzman_D!$D$20), AF24-Uzman_D!$D$20)*0.1 +
        IF(AG24-Uzman_D!$E$20&lt;0, -(AG24-Uzman_D!$E$20), AG24-Uzman_D!$E$20)*0.1 +
        IF(AH24-Uzman_D!$F$20&lt;0, -(AH24-Uzman_D!$F$20), AH24-Uzman_D!$F$20)*0.1 +
        IF(AI24-Uzman_D!$G$20&lt;0, -(AI24-Uzman_D!$G$20), AI24-Uzman_D!$G$20)*0.1 +
        IF(AJ24-Uzman_D!$H$20&lt;0, -(AJ24-Uzman_D!$H$20), AJ24-Uzman_D!$H$20)*0.1 +
        IF(AK24-Uzman_D!$I$20&lt;0, -(AK24-Uzman_D!$I$20), AK24-Uzman_D!$I$20)*0.1 +
        IF(AL24-Uzman_D!$J$20&lt;0, -(AL24-Uzman_D!$J$20), AL24-Uzman_D!$J$20)*0.1
    ) +
    IF(ROUND((IF(AN24-Uzman_D!$L$20&lt;0, -(AN24-Uzman_D!$L$20), AN24-Uzman_D!$L$20)*2),0)/2 = IF(AN24-Uzman_D!$L$20&lt;0, -(AN24-Uzman_D!$L$20), AN24-Uzman_D!$L$20),
    (ROUND((IF(AN24-Uzman_D!$L$20&lt;0, -(AN24-Uzman_D!$L$20), AN24-Uzman_D!$L$20)*2),0)/1 * 0.1), 0) +
    IF(AO24-Uzman_D!$M$20&lt;0, -(AO24-Uzman_D!$M$20), AO24-Uzman_D!$M$20)*1
)</f>
        <v>-0.60000000000000009</v>
      </c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2"/>
      <c r="BB24" s="72"/>
      <c r="BC24" s="73">
        <f>1 - (
    SUM(
        IF(AQ24-Uzman_D!$B$21&lt;0, -(AQ24-Uzman_D!$B$21), AQ24-Uzman_D!$B$21)*0.1 +
        IF(AR24-Uzman_D!$C$21&lt;0, -(AR24-Uzman_D!$C$21), AR24-Uzman_D!$C$21)*0.1 +
        IF(AS24-Uzman_D!$D$21&lt;0, -(AS24-Uzman_D!$D$21), AS24-Uzman_D!$D$21)*0.1 +
        IF(AT24-Uzman_D!$E$21&lt;0, -(AT24-Uzman_D!$E$21), AT24-Uzman_D!$E$21)*0.1 +
        IF(AU24-Uzman_D!$F$21&lt;0, -(AU24-Uzman_D!$F$21), AU24-Uzman_D!$F$21)*0.1 +
        IF(AV24-Uzman_D!$G$21&lt;0, -(AV24-Uzman_D!$G$21), AV24-Uzman_D!$G$21)*0.1 +
        IF(AW24-Uzman_D!$H$21&lt;0, -(AW24-Uzman_D!$H$21), AW24-Uzman_D!$H$21)*0.1 +
        IF(AX24-Uzman_D!$I$21&lt;0, -(AX24-Uzman_D!$I$21), AX24-Uzman_D!$I$21)*0.1 +
        IF(AY24-Uzman_D!$J$21&lt;0, -(AY24-Uzman_D!$J$21), AY24-Uzman_D!$J$21)*0.1
    ) +
    IF(ROUND((IF(BA24-Uzman_D!$L$21&lt;0, -(BA24-Uzman_D!$L$21), BA24-Uzman_D!$L$21)*2),0)/2 = IF(BA24-Uzman_D!$L$21&lt;0, -(BA24-Uzman_D!$L$21), BA24-Uzman_D!$L$21),
    (ROUND((IF(BA24-Uzman_D!$L$21&lt;0, -(BA24-Uzman_D!$L$21), BA24-Uzman_D!$L$21)*2),0)/1 * 0.1), 0) +
    IF(BB24-Uzman_D!$M$21&lt;0, -(BB24-Uzman_D!$M$21), BB24-Uzman_D!$M$21)*1
)</f>
        <v>-0.60000000000000009</v>
      </c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2"/>
      <c r="BO24" s="72"/>
      <c r="BP24" s="73">
        <f>1 - (
    SUM(
        IF(BD24-Uzman_D!$B$22&lt;0, -(BD24-Uzman_D!$B$22), BD24-Uzman_D!$B$22)*0.1 +
        IF(BE24-Uzman_D!$C$22&lt;0, -(BE24-Uzman_D!$C$22), BE24-Uzman_D!$C$22)*0.1 +
        IF(BF24-Uzman_D!$D$22&lt;0, -(BF24-Uzman_D!$D$22), BF24-Uzman_D!$D$22)*0.1 +
        IF(BG24-Uzman_D!$E$22&lt;0, -(BG24-Uzman_D!$E$22), BG24-Uzman_D!$E$22)*0.1 +
        IF(BH24-Uzman_D!$F$22&lt;0, -(BH24-Uzman_D!$F$22), BH24-Uzman_D!$F$22)*0.1 +
        IF(BI24-Uzman_D!$G$22&lt;0, -(BI24-Uzman_D!$G$22), BI24-Uzman_D!$G$22)*0.1 +
        IF(BJ24-Uzman_D!$H$22&lt;0, -(BJ24-Uzman_D!$H$22), BJ24-Uzman_D!$H$22)*0.1 +
        IF(BK24-Uzman_D!$I$22&lt;0, -(BK24-Uzman_D!$I$22), BK24-Uzman_D!$I$22)*0.1 +
        IF(BL24-Uzman_D!$J$22&lt;0, -(BL24-Uzman_D!$J$22), BL24-Uzman_D!$J$22)*0.1
    ) +
    IF(ROUND((IF(BN24-Uzman_D!$L$22&lt;0, -(BN24-Uzman_D!$L$22), BN24-Uzman_D!$L$22)*2),0)/2 = IF(BN24-Uzman_D!$L$22&lt;0, -(BN24-Uzman_D!$L$22), BN24-Uzman_D!$L$22),
    (ROUND((IF(BN24-Uzman_D!$L$22&lt;0, -(BN24-Uzman_D!$L$22), BN24-Uzman_D!$L$22)*2),0)/1 * 0.1), 0) +
    IF(BO24-Uzman_D!$M$22&lt;0, -(BO24-Uzman_D!$M$22), BO24-Uzman_D!$M$22)*1
)</f>
        <v>-0.40000000000000013</v>
      </c>
      <c r="BQ24" s="74">
        <f t="shared" si="0"/>
        <v>-0.54000000000000026</v>
      </c>
    </row>
    <row r="25" spans="1:69" ht="15" customHeight="1" x14ac:dyDescent="0.2">
      <c r="A25" s="57">
        <v>22</v>
      </c>
      <c r="B25" s="29">
        <f>Hakemler!B25</f>
        <v>0</v>
      </c>
      <c r="C25" s="29">
        <f>Hakemler!C25</f>
        <v>0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2"/>
      <c r="O25" s="72"/>
      <c r="P25" s="73">
        <f>1 - (
    SUM(
        IF(D25-Uzman_D!$B$18&lt;0, -(D25-Uzman_D!$B$18), D25-Uzman_D!$B$18)*0.1 +
        IF(E25-Uzman_D!$C$18&lt;0, -(E25-Uzman_D!$C$18), E25-Uzman_D!$C$18)*0.1 +
        IF(F25-Uzman_D!$D$18&lt;0, -(F25-Uzman_D!$D$18), F25-Uzman_D!$D$18)*0.1 +
        IF(G25-Uzman_D!$E$18&lt;0, -(G25-Uzman_D!$E$18), G25-Uzman_D!$E$18)*0.1 +
        IF(H25-Uzman_D!$F$18&lt;0, -(H25-Uzman_D!$F$18), H25-Uzman_D!$F$18)*0.1 +
        IF(I25-Uzman_D!$G$18&lt;0, -(I25-Uzman_D!$G$18), I25-Uzman_D!$G$18)*0.1 +
        IF(J25-Uzman_D!$H$18&lt;0, -(J25-Uzman_D!$H$18), J25-Uzman_D!$H$18)*0.1 +
        IF(K25-Uzman_D!$I$18&lt;0, -(K25-Uzman_D!$I$18), K25-Uzman_D!$I$18)*0.1 +
        IF(L25-Uzman_D!$J$18&lt;0, -(L25-Uzman_D!$J$18), L25-Uzman_D!$J$18)*0.1
    ) +
    IF(ROUND((IF(N25-Uzman_D!$L$18&lt;0, -(N25-Uzman_D!$L$18), N25-Uzman_D!$L$18)*2),0)/2 = IF(N25-Uzman_D!$L$18&lt;0, -(N25-Uzman_D!$L$18), N25-Uzman_D!$L$18),
    (ROUND((IF(N25-Uzman_D!$L$18&lt;0, -(N25-Uzman_D!$L$18), N25-Uzman_D!$L$18)*2),0)/1 * 0.1), 0) +
    IF(O25-Uzman_D!$M$18&lt;0, -(O25-Uzman_D!$M$18), O25-Uzman_D!$M$18)*1
)</f>
        <v>-0.50000000000000022</v>
      </c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2"/>
      <c r="AB25" s="72"/>
      <c r="AC25" s="73">
        <f>1 - (
    SUM(
        IF(Q25-Uzman_D!$B$19&lt;0, -(Q25-Uzman_D!$B$19), Q25-Uzman_D!$B$19)*0.1 +
        IF(R25-Uzman_D!$C$19&lt;0, -(R25-Uzman_D!$C$19), R25-Uzman_D!$C$19)*0.1 +
        IF(S25-Uzman_D!$D$19&lt;0, -(S25-Uzman_D!$D$19), S25-Uzman_D!$D$19)*0.1 +
        IF(T25-Uzman_D!$E$19&lt;0, -(T25-Uzman_D!$E$19), T25-Uzman_D!$E$19)*0.1 +
        IF(U25-Uzman_D!$F$19&lt;0, -(U25-Uzman_D!$F$19), U25-Uzman_D!$F$19)*0.1 +
        IF(V25-Uzman_D!$G$19&lt;0, -(V25-Uzman_D!$G$19), V25-Uzman_D!$G$19)*0.1 +
        IF(W25-Uzman_D!$H$19&lt;0, -(W25-Uzman_D!$H$19), W25-Uzman_D!$H$19)*0.1 +
        IF(X25-Uzman_D!$I$19&lt;0, -(X25-Uzman_D!$I$19), X25-Uzman_D!$I$19)*0.1 +
        IF(Y25-Uzman_D!$J$19&lt;0, -(Y25-Uzman_D!$J$19), Y25-Uzman_D!$J$19)*0.1
    ) +
    IF(ROUND((IF(AA25-Uzman_D!$L$19&lt;0, -(AA25-Uzman_D!$L$19), AA25-Uzman_D!$L$19)*2),0)/2 = IF(AA25-Uzman_D!$L$19&lt;0, -(AA25-Uzman_D!$L$19), AA25-Uzman_D!$L$19),
    (ROUND((IF(AA25-Uzman_D!$L$19&lt;0, -(AA25-Uzman_D!$L$19), AA25-Uzman_D!$L$19)*2),0)/1 * 0.1), 0) +
    IF(AB25-Uzman_D!$M$19&lt;0, -(AB25-Uzman_D!$M$19), AB25-Uzman_D!$M$19)*1
)</f>
        <v>-0.60000000000000009</v>
      </c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2"/>
      <c r="AO25" s="72"/>
      <c r="AP25" s="73">
        <f>1 - (
    SUM(
        IF(AD25-Uzman_D!$B$20&lt;0, -(AD25-Uzman_D!$B$20), AD25-Uzman_D!$B$20)*0.1 +
        IF(AE25-Uzman_D!$C$20&lt;0, -(AE25-Uzman_D!$C$20), AE25-Uzman_D!$C$20)*0.1 +
        IF(AF25-Uzman_D!$D$20&lt;0, -(AF25-Uzman_D!$D$20), AF25-Uzman_D!$D$20)*0.1 +
        IF(AG25-Uzman_D!$E$20&lt;0, -(AG25-Uzman_D!$E$20), AG25-Uzman_D!$E$20)*0.1 +
        IF(AH25-Uzman_D!$F$20&lt;0, -(AH25-Uzman_D!$F$20), AH25-Uzman_D!$F$20)*0.1 +
        IF(AI25-Uzman_D!$G$20&lt;0, -(AI25-Uzman_D!$G$20), AI25-Uzman_D!$G$20)*0.1 +
        IF(AJ25-Uzman_D!$H$20&lt;0, -(AJ25-Uzman_D!$H$20), AJ25-Uzman_D!$H$20)*0.1 +
        IF(AK25-Uzman_D!$I$20&lt;0, -(AK25-Uzman_D!$I$20), AK25-Uzman_D!$I$20)*0.1 +
        IF(AL25-Uzman_D!$J$20&lt;0, -(AL25-Uzman_D!$J$20), AL25-Uzman_D!$J$20)*0.1
    ) +
    IF(ROUND((IF(AN25-Uzman_D!$L$20&lt;0, -(AN25-Uzman_D!$L$20), AN25-Uzman_D!$L$20)*2),0)/2 = IF(AN25-Uzman_D!$L$20&lt;0, -(AN25-Uzman_D!$L$20), AN25-Uzman_D!$L$20),
    (ROUND((IF(AN25-Uzman_D!$L$20&lt;0, -(AN25-Uzman_D!$L$20), AN25-Uzman_D!$L$20)*2),0)/1 * 0.1), 0) +
    IF(AO25-Uzman_D!$M$20&lt;0, -(AO25-Uzman_D!$M$20), AO25-Uzman_D!$M$20)*1
)</f>
        <v>-0.60000000000000009</v>
      </c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2"/>
      <c r="BB25" s="72"/>
      <c r="BC25" s="73">
        <f>1 - (
    SUM(
        IF(AQ25-Uzman_D!$B$21&lt;0, -(AQ25-Uzman_D!$B$21), AQ25-Uzman_D!$B$21)*0.1 +
        IF(AR25-Uzman_D!$C$21&lt;0, -(AR25-Uzman_D!$C$21), AR25-Uzman_D!$C$21)*0.1 +
        IF(AS25-Uzman_D!$D$21&lt;0, -(AS25-Uzman_D!$D$21), AS25-Uzman_D!$D$21)*0.1 +
        IF(AT25-Uzman_D!$E$21&lt;0, -(AT25-Uzman_D!$E$21), AT25-Uzman_D!$E$21)*0.1 +
        IF(AU25-Uzman_D!$F$21&lt;0, -(AU25-Uzman_D!$F$21), AU25-Uzman_D!$F$21)*0.1 +
        IF(AV25-Uzman_D!$G$21&lt;0, -(AV25-Uzman_D!$G$21), AV25-Uzman_D!$G$21)*0.1 +
        IF(AW25-Uzman_D!$H$21&lt;0, -(AW25-Uzman_D!$H$21), AW25-Uzman_D!$H$21)*0.1 +
        IF(AX25-Uzman_D!$I$21&lt;0, -(AX25-Uzman_D!$I$21), AX25-Uzman_D!$I$21)*0.1 +
        IF(AY25-Uzman_D!$J$21&lt;0, -(AY25-Uzman_D!$J$21), AY25-Uzman_D!$J$21)*0.1
    ) +
    IF(ROUND((IF(BA25-Uzman_D!$L$21&lt;0, -(BA25-Uzman_D!$L$21), BA25-Uzman_D!$L$21)*2),0)/2 = IF(BA25-Uzman_D!$L$21&lt;0, -(BA25-Uzman_D!$L$21), BA25-Uzman_D!$L$21),
    (ROUND((IF(BA25-Uzman_D!$L$21&lt;0, -(BA25-Uzman_D!$L$21), BA25-Uzman_D!$L$21)*2),0)/1 * 0.1), 0) +
    IF(BB25-Uzman_D!$M$21&lt;0, -(BB25-Uzman_D!$M$21), BB25-Uzman_D!$M$21)*1
)</f>
        <v>-0.60000000000000009</v>
      </c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2"/>
      <c r="BO25" s="72"/>
      <c r="BP25" s="73">
        <f>1 - (
    SUM(
        IF(BD25-Uzman_D!$B$22&lt;0, -(BD25-Uzman_D!$B$22), BD25-Uzman_D!$B$22)*0.1 +
        IF(BE25-Uzman_D!$C$22&lt;0, -(BE25-Uzman_D!$C$22), BE25-Uzman_D!$C$22)*0.1 +
        IF(BF25-Uzman_D!$D$22&lt;0, -(BF25-Uzman_D!$D$22), BF25-Uzman_D!$D$22)*0.1 +
        IF(BG25-Uzman_D!$E$22&lt;0, -(BG25-Uzman_D!$E$22), BG25-Uzman_D!$E$22)*0.1 +
        IF(BH25-Uzman_D!$F$22&lt;0, -(BH25-Uzman_D!$F$22), BH25-Uzman_D!$F$22)*0.1 +
        IF(BI25-Uzman_D!$G$22&lt;0, -(BI25-Uzman_D!$G$22), BI25-Uzman_D!$G$22)*0.1 +
        IF(BJ25-Uzman_D!$H$22&lt;0, -(BJ25-Uzman_D!$H$22), BJ25-Uzman_D!$H$22)*0.1 +
        IF(BK25-Uzman_D!$I$22&lt;0, -(BK25-Uzman_D!$I$22), BK25-Uzman_D!$I$22)*0.1 +
        IF(BL25-Uzman_D!$J$22&lt;0, -(BL25-Uzman_D!$J$22), BL25-Uzman_D!$J$22)*0.1
    ) +
    IF(ROUND((IF(BN25-Uzman_D!$L$22&lt;0, -(BN25-Uzman_D!$L$22), BN25-Uzman_D!$L$22)*2),0)/2 = IF(BN25-Uzman_D!$L$22&lt;0, -(BN25-Uzman_D!$L$22), BN25-Uzman_D!$L$22),
    (ROUND((IF(BN25-Uzman_D!$L$22&lt;0, -(BN25-Uzman_D!$L$22), BN25-Uzman_D!$L$22)*2),0)/1 * 0.1), 0) +
    IF(BO25-Uzman_D!$M$22&lt;0, -(BO25-Uzman_D!$M$22), BO25-Uzman_D!$M$22)*1
)</f>
        <v>-0.40000000000000013</v>
      </c>
      <c r="BQ25" s="74">
        <f t="shared" si="0"/>
        <v>-0.54000000000000026</v>
      </c>
    </row>
    <row r="26" spans="1:69" ht="15" customHeight="1" x14ac:dyDescent="0.2">
      <c r="A26" s="57">
        <v>23</v>
      </c>
      <c r="B26" s="29">
        <f>Hakemler!B26</f>
        <v>0</v>
      </c>
      <c r="C26" s="29">
        <f>Hakemler!C26</f>
        <v>0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2"/>
      <c r="O26" s="72"/>
      <c r="P26" s="73">
        <f>1 - (
    SUM(
        IF(D26-Uzman_D!$B$18&lt;0, -(D26-Uzman_D!$B$18), D26-Uzman_D!$B$18)*0.1 +
        IF(E26-Uzman_D!$C$18&lt;0, -(E26-Uzman_D!$C$18), E26-Uzman_D!$C$18)*0.1 +
        IF(F26-Uzman_D!$D$18&lt;0, -(F26-Uzman_D!$D$18), F26-Uzman_D!$D$18)*0.1 +
        IF(G26-Uzman_D!$E$18&lt;0, -(G26-Uzman_D!$E$18), G26-Uzman_D!$E$18)*0.1 +
        IF(H26-Uzman_D!$F$18&lt;0, -(H26-Uzman_D!$F$18), H26-Uzman_D!$F$18)*0.1 +
        IF(I26-Uzman_D!$G$18&lt;0, -(I26-Uzman_D!$G$18), I26-Uzman_D!$G$18)*0.1 +
        IF(J26-Uzman_D!$H$18&lt;0, -(J26-Uzman_D!$H$18), J26-Uzman_D!$H$18)*0.1 +
        IF(K26-Uzman_D!$I$18&lt;0, -(K26-Uzman_D!$I$18), K26-Uzman_D!$I$18)*0.1 +
        IF(L26-Uzman_D!$J$18&lt;0, -(L26-Uzman_D!$J$18), L26-Uzman_D!$J$18)*0.1
    ) +
    IF(ROUND((IF(N26-Uzman_D!$L$18&lt;0, -(N26-Uzman_D!$L$18), N26-Uzman_D!$L$18)*2),0)/2 = IF(N26-Uzman_D!$L$18&lt;0, -(N26-Uzman_D!$L$18), N26-Uzman_D!$L$18),
    (ROUND((IF(N26-Uzman_D!$L$18&lt;0, -(N26-Uzman_D!$L$18), N26-Uzman_D!$L$18)*2),0)/1 * 0.1), 0) +
    IF(O26-Uzman_D!$M$18&lt;0, -(O26-Uzman_D!$M$18), O26-Uzman_D!$M$18)*1
)</f>
        <v>-0.50000000000000022</v>
      </c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2"/>
      <c r="AB26" s="72"/>
      <c r="AC26" s="73">
        <f>1 - (
    SUM(
        IF(Q26-Uzman_D!$B$19&lt;0, -(Q26-Uzman_D!$B$19), Q26-Uzman_D!$B$19)*0.1 +
        IF(R26-Uzman_D!$C$19&lt;0, -(R26-Uzman_D!$C$19), R26-Uzman_D!$C$19)*0.1 +
        IF(S26-Uzman_D!$D$19&lt;0, -(S26-Uzman_D!$D$19), S26-Uzman_D!$D$19)*0.1 +
        IF(T26-Uzman_D!$E$19&lt;0, -(T26-Uzman_D!$E$19), T26-Uzman_D!$E$19)*0.1 +
        IF(U26-Uzman_D!$F$19&lt;0, -(U26-Uzman_D!$F$19), U26-Uzman_D!$F$19)*0.1 +
        IF(V26-Uzman_D!$G$19&lt;0, -(V26-Uzman_D!$G$19), V26-Uzman_D!$G$19)*0.1 +
        IF(W26-Uzman_D!$H$19&lt;0, -(W26-Uzman_D!$H$19), W26-Uzman_D!$H$19)*0.1 +
        IF(X26-Uzman_D!$I$19&lt;0, -(X26-Uzman_D!$I$19), X26-Uzman_D!$I$19)*0.1 +
        IF(Y26-Uzman_D!$J$19&lt;0, -(Y26-Uzman_D!$J$19), Y26-Uzman_D!$J$19)*0.1
    ) +
    IF(ROUND((IF(AA26-Uzman_D!$L$19&lt;0, -(AA26-Uzman_D!$L$19), AA26-Uzman_D!$L$19)*2),0)/2 = IF(AA26-Uzman_D!$L$19&lt;0, -(AA26-Uzman_D!$L$19), AA26-Uzman_D!$L$19),
    (ROUND((IF(AA26-Uzman_D!$L$19&lt;0, -(AA26-Uzman_D!$L$19), AA26-Uzman_D!$L$19)*2),0)/1 * 0.1), 0) +
    IF(AB26-Uzman_D!$M$19&lt;0, -(AB26-Uzman_D!$M$19), AB26-Uzman_D!$M$19)*1
)</f>
        <v>-0.60000000000000009</v>
      </c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2"/>
      <c r="AO26" s="72"/>
      <c r="AP26" s="73">
        <f>1 - (
    SUM(
        IF(AD26-Uzman_D!$B$20&lt;0, -(AD26-Uzman_D!$B$20), AD26-Uzman_D!$B$20)*0.1 +
        IF(AE26-Uzman_D!$C$20&lt;0, -(AE26-Uzman_D!$C$20), AE26-Uzman_D!$C$20)*0.1 +
        IF(AF26-Uzman_D!$D$20&lt;0, -(AF26-Uzman_D!$D$20), AF26-Uzman_D!$D$20)*0.1 +
        IF(AG26-Uzman_D!$E$20&lt;0, -(AG26-Uzman_D!$E$20), AG26-Uzman_D!$E$20)*0.1 +
        IF(AH26-Uzman_D!$F$20&lt;0, -(AH26-Uzman_D!$F$20), AH26-Uzman_D!$F$20)*0.1 +
        IF(AI26-Uzman_D!$G$20&lt;0, -(AI26-Uzman_D!$G$20), AI26-Uzman_D!$G$20)*0.1 +
        IF(AJ26-Uzman_D!$H$20&lt;0, -(AJ26-Uzman_D!$H$20), AJ26-Uzman_D!$H$20)*0.1 +
        IF(AK26-Uzman_D!$I$20&lt;0, -(AK26-Uzman_D!$I$20), AK26-Uzman_D!$I$20)*0.1 +
        IF(AL26-Uzman_D!$J$20&lt;0, -(AL26-Uzman_D!$J$20), AL26-Uzman_D!$J$20)*0.1
    ) +
    IF(ROUND((IF(AN26-Uzman_D!$L$20&lt;0, -(AN26-Uzman_D!$L$20), AN26-Uzman_D!$L$20)*2),0)/2 = IF(AN26-Uzman_D!$L$20&lt;0, -(AN26-Uzman_D!$L$20), AN26-Uzman_D!$L$20),
    (ROUND((IF(AN26-Uzman_D!$L$20&lt;0, -(AN26-Uzman_D!$L$20), AN26-Uzman_D!$L$20)*2),0)/1 * 0.1), 0) +
    IF(AO26-Uzman_D!$M$20&lt;0, -(AO26-Uzman_D!$M$20), AO26-Uzman_D!$M$20)*1
)</f>
        <v>-0.60000000000000009</v>
      </c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2"/>
      <c r="BB26" s="72"/>
      <c r="BC26" s="73">
        <f>1 - (
    SUM(
        IF(AQ26-Uzman_D!$B$21&lt;0, -(AQ26-Uzman_D!$B$21), AQ26-Uzman_D!$B$21)*0.1 +
        IF(AR26-Uzman_D!$C$21&lt;0, -(AR26-Uzman_D!$C$21), AR26-Uzman_D!$C$21)*0.1 +
        IF(AS26-Uzman_D!$D$21&lt;0, -(AS26-Uzman_D!$D$21), AS26-Uzman_D!$D$21)*0.1 +
        IF(AT26-Uzman_D!$E$21&lt;0, -(AT26-Uzman_D!$E$21), AT26-Uzman_D!$E$21)*0.1 +
        IF(AU26-Uzman_D!$F$21&lt;0, -(AU26-Uzman_D!$F$21), AU26-Uzman_D!$F$21)*0.1 +
        IF(AV26-Uzman_D!$G$21&lt;0, -(AV26-Uzman_D!$G$21), AV26-Uzman_D!$G$21)*0.1 +
        IF(AW26-Uzman_D!$H$21&lt;0, -(AW26-Uzman_D!$H$21), AW26-Uzman_D!$H$21)*0.1 +
        IF(AX26-Uzman_D!$I$21&lt;0, -(AX26-Uzman_D!$I$21), AX26-Uzman_D!$I$21)*0.1 +
        IF(AY26-Uzman_D!$J$21&lt;0, -(AY26-Uzman_D!$J$21), AY26-Uzman_D!$J$21)*0.1
    ) +
    IF(ROUND((IF(BA26-Uzman_D!$L$21&lt;0, -(BA26-Uzman_D!$L$21), BA26-Uzman_D!$L$21)*2),0)/2 = IF(BA26-Uzman_D!$L$21&lt;0, -(BA26-Uzman_D!$L$21), BA26-Uzman_D!$L$21),
    (ROUND((IF(BA26-Uzman_D!$L$21&lt;0, -(BA26-Uzman_D!$L$21), BA26-Uzman_D!$L$21)*2),0)/1 * 0.1), 0) +
    IF(BB26-Uzman_D!$M$21&lt;0, -(BB26-Uzman_D!$M$21), BB26-Uzman_D!$M$21)*1
)</f>
        <v>-0.60000000000000009</v>
      </c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2"/>
      <c r="BO26" s="72"/>
      <c r="BP26" s="73">
        <f>1 - (
    SUM(
        IF(BD26-Uzman_D!$B$22&lt;0, -(BD26-Uzman_D!$B$22), BD26-Uzman_D!$B$22)*0.1 +
        IF(BE26-Uzman_D!$C$22&lt;0, -(BE26-Uzman_D!$C$22), BE26-Uzman_D!$C$22)*0.1 +
        IF(BF26-Uzman_D!$D$22&lt;0, -(BF26-Uzman_D!$D$22), BF26-Uzman_D!$D$22)*0.1 +
        IF(BG26-Uzman_D!$E$22&lt;0, -(BG26-Uzman_D!$E$22), BG26-Uzman_D!$E$22)*0.1 +
        IF(BH26-Uzman_D!$F$22&lt;0, -(BH26-Uzman_D!$F$22), BH26-Uzman_D!$F$22)*0.1 +
        IF(BI26-Uzman_D!$G$22&lt;0, -(BI26-Uzman_D!$G$22), BI26-Uzman_D!$G$22)*0.1 +
        IF(BJ26-Uzman_D!$H$22&lt;0, -(BJ26-Uzman_D!$H$22), BJ26-Uzman_D!$H$22)*0.1 +
        IF(BK26-Uzman_D!$I$22&lt;0, -(BK26-Uzman_D!$I$22), BK26-Uzman_D!$I$22)*0.1 +
        IF(BL26-Uzman_D!$J$22&lt;0, -(BL26-Uzman_D!$J$22), BL26-Uzman_D!$J$22)*0.1
    ) +
    IF(ROUND((IF(BN26-Uzman_D!$L$22&lt;0, -(BN26-Uzman_D!$L$22), BN26-Uzman_D!$L$22)*2),0)/2 = IF(BN26-Uzman_D!$L$22&lt;0, -(BN26-Uzman_D!$L$22), BN26-Uzman_D!$L$22),
    (ROUND((IF(BN26-Uzman_D!$L$22&lt;0, -(BN26-Uzman_D!$L$22), BN26-Uzman_D!$L$22)*2),0)/1 * 0.1), 0) +
    IF(BO26-Uzman_D!$M$22&lt;0, -(BO26-Uzman_D!$M$22), BO26-Uzman_D!$M$22)*1
)</f>
        <v>-0.40000000000000013</v>
      </c>
      <c r="BQ26" s="74">
        <f t="shared" si="0"/>
        <v>-0.54000000000000026</v>
      </c>
    </row>
    <row r="27" spans="1:69" ht="15" customHeight="1" x14ac:dyDescent="0.2">
      <c r="A27" s="57">
        <v>24</v>
      </c>
      <c r="B27" s="29">
        <f>Hakemler!B27</f>
        <v>0</v>
      </c>
      <c r="C27" s="29">
        <f>Hakemler!C27</f>
        <v>0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2"/>
      <c r="O27" s="72"/>
      <c r="P27" s="73">
        <f>1 - (
    SUM(
        IF(D27-Uzman_D!$B$18&lt;0, -(D27-Uzman_D!$B$18), D27-Uzman_D!$B$18)*0.1 +
        IF(E27-Uzman_D!$C$18&lt;0, -(E27-Uzman_D!$C$18), E27-Uzman_D!$C$18)*0.1 +
        IF(F27-Uzman_D!$D$18&lt;0, -(F27-Uzman_D!$D$18), F27-Uzman_D!$D$18)*0.1 +
        IF(G27-Uzman_D!$E$18&lt;0, -(G27-Uzman_D!$E$18), G27-Uzman_D!$E$18)*0.1 +
        IF(H27-Uzman_D!$F$18&lt;0, -(H27-Uzman_D!$F$18), H27-Uzman_D!$F$18)*0.1 +
        IF(I27-Uzman_D!$G$18&lt;0, -(I27-Uzman_D!$G$18), I27-Uzman_D!$G$18)*0.1 +
        IF(J27-Uzman_D!$H$18&lt;0, -(J27-Uzman_D!$H$18), J27-Uzman_D!$H$18)*0.1 +
        IF(K27-Uzman_D!$I$18&lt;0, -(K27-Uzman_D!$I$18), K27-Uzman_D!$I$18)*0.1 +
        IF(L27-Uzman_D!$J$18&lt;0, -(L27-Uzman_D!$J$18), L27-Uzman_D!$J$18)*0.1
    ) +
    IF(ROUND((IF(N27-Uzman_D!$L$18&lt;0, -(N27-Uzman_D!$L$18), N27-Uzman_D!$L$18)*2),0)/2 = IF(N27-Uzman_D!$L$18&lt;0, -(N27-Uzman_D!$L$18), N27-Uzman_D!$L$18),
    (ROUND((IF(N27-Uzman_D!$L$18&lt;0, -(N27-Uzman_D!$L$18), N27-Uzman_D!$L$18)*2),0)/1 * 0.1), 0) +
    IF(O27-Uzman_D!$M$18&lt;0, -(O27-Uzman_D!$M$18), O27-Uzman_D!$M$18)*1
)</f>
        <v>-0.50000000000000022</v>
      </c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2"/>
      <c r="AB27" s="72"/>
      <c r="AC27" s="73">
        <f>1 - (
    SUM(
        IF(Q27-Uzman_D!$B$19&lt;0, -(Q27-Uzman_D!$B$19), Q27-Uzman_D!$B$19)*0.1 +
        IF(R27-Uzman_D!$C$19&lt;0, -(R27-Uzman_D!$C$19), R27-Uzman_D!$C$19)*0.1 +
        IF(S27-Uzman_D!$D$19&lt;0, -(S27-Uzman_D!$D$19), S27-Uzman_D!$D$19)*0.1 +
        IF(T27-Uzman_D!$E$19&lt;0, -(T27-Uzman_D!$E$19), T27-Uzman_D!$E$19)*0.1 +
        IF(U27-Uzman_D!$F$19&lt;0, -(U27-Uzman_D!$F$19), U27-Uzman_D!$F$19)*0.1 +
        IF(V27-Uzman_D!$G$19&lt;0, -(V27-Uzman_D!$G$19), V27-Uzman_D!$G$19)*0.1 +
        IF(W27-Uzman_D!$H$19&lt;0, -(W27-Uzman_D!$H$19), W27-Uzman_D!$H$19)*0.1 +
        IF(X27-Uzman_D!$I$19&lt;0, -(X27-Uzman_D!$I$19), X27-Uzman_D!$I$19)*0.1 +
        IF(Y27-Uzman_D!$J$19&lt;0, -(Y27-Uzman_D!$J$19), Y27-Uzman_D!$J$19)*0.1
    ) +
    IF(ROUND((IF(AA27-Uzman_D!$L$19&lt;0, -(AA27-Uzman_D!$L$19), AA27-Uzman_D!$L$19)*2),0)/2 = IF(AA27-Uzman_D!$L$19&lt;0, -(AA27-Uzman_D!$L$19), AA27-Uzman_D!$L$19),
    (ROUND((IF(AA27-Uzman_D!$L$19&lt;0, -(AA27-Uzman_D!$L$19), AA27-Uzman_D!$L$19)*2),0)/1 * 0.1), 0) +
    IF(AB27-Uzman_D!$M$19&lt;0, -(AB27-Uzman_D!$M$19), AB27-Uzman_D!$M$19)*1
)</f>
        <v>-0.60000000000000009</v>
      </c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2"/>
      <c r="AO27" s="72"/>
      <c r="AP27" s="73">
        <f>1 - (
    SUM(
        IF(AD27-Uzman_D!$B$20&lt;0, -(AD27-Uzman_D!$B$20), AD27-Uzman_D!$B$20)*0.1 +
        IF(AE27-Uzman_D!$C$20&lt;0, -(AE27-Uzman_D!$C$20), AE27-Uzman_D!$C$20)*0.1 +
        IF(AF27-Uzman_D!$D$20&lt;0, -(AF27-Uzman_D!$D$20), AF27-Uzman_D!$D$20)*0.1 +
        IF(AG27-Uzman_D!$E$20&lt;0, -(AG27-Uzman_D!$E$20), AG27-Uzman_D!$E$20)*0.1 +
        IF(AH27-Uzman_D!$F$20&lt;0, -(AH27-Uzman_D!$F$20), AH27-Uzman_D!$F$20)*0.1 +
        IF(AI27-Uzman_D!$G$20&lt;0, -(AI27-Uzman_D!$G$20), AI27-Uzman_D!$G$20)*0.1 +
        IF(AJ27-Uzman_D!$H$20&lt;0, -(AJ27-Uzman_D!$H$20), AJ27-Uzman_D!$H$20)*0.1 +
        IF(AK27-Uzman_D!$I$20&lt;0, -(AK27-Uzman_D!$I$20), AK27-Uzman_D!$I$20)*0.1 +
        IF(AL27-Uzman_D!$J$20&lt;0, -(AL27-Uzman_D!$J$20), AL27-Uzman_D!$J$20)*0.1
    ) +
    IF(ROUND((IF(AN27-Uzman_D!$L$20&lt;0, -(AN27-Uzman_D!$L$20), AN27-Uzman_D!$L$20)*2),0)/2 = IF(AN27-Uzman_D!$L$20&lt;0, -(AN27-Uzman_D!$L$20), AN27-Uzman_D!$L$20),
    (ROUND((IF(AN27-Uzman_D!$L$20&lt;0, -(AN27-Uzman_D!$L$20), AN27-Uzman_D!$L$20)*2),0)/1 * 0.1), 0) +
    IF(AO27-Uzman_D!$M$20&lt;0, -(AO27-Uzman_D!$M$20), AO27-Uzman_D!$M$20)*1
)</f>
        <v>-0.60000000000000009</v>
      </c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2"/>
      <c r="BB27" s="72"/>
      <c r="BC27" s="73">
        <f>1 - (
    SUM(
        IF(AQ27-Uzman_D!$B$21&lt;0, -(AQ27-Uzman_D!$B$21), AQ27-Uzman_D!$B$21)*0.1 +
        IF(AR27-Uzman_D!$C$21&lt;0, -(AR27-Uzman_D!$C$21), AR27-Uzman_D!$C$21)*0.1 +
        IF(AS27-Uzman_D!$D$21&lt;0, -(AS27-Uzman_D!$D$21), AS27-Uzman_D!$D$21)*0.1 +
        IF(AT27-Uzman_D!$E$21&lt;0, -(AT27-Uzman_D!$E$21), AT27-Uzman_D!$E$21)*0.1 +
        IF(AU27-Uzman_D!$F$21&lt;0, -(AU27-Uzman_D!$F$21), AU27-Uzman_D!$F$21)*0.1 +
        IF(AV27-Uzman_D!$G$21&lt;0, -(AV27-Uzman_D!$G$21), AV27-Uzman_D!$G$21)*0.1 +
        IF(AW27-Uzman_D!$H$21&lt;0, -(AW27-Uzman_D!$H$21), AW27-Uzman_D!$H$21)*0.1 +
        IF(AX27-Uzman_D!$I$21&lt;0, -(AX27-Uzman_D!$I$21), AX27-Uzman_D!$I$21)*0.1 +
        IF(AY27-Uzman_D!$J$21&lt;0, -(AY27-Uzman_D!$J$21), AY27-Uzman_D!$J$21)*0.1
    ) +
    IF(ROUND((IF(BA27-Uzman_D!$L$21&lt;0, -(BA27-Uzman_D!$L$21), BA27-Uzman_D!$L$21)*2),0)/2 = IF(BA27-Uzman_D!$L$21&lt;0, -(BA27-Uzman_D!$L$21), BA27-Uzman_D!$L$21),
    (ROUND((IF(BA27-Uzman_D!$L$21&lt;0, -(BA27-Uzman_D!$L$21), BA27-Uzman_D!$L$21)*2),0)/1 * 0.1), 0) +
    IF(BB27-Uzman_D!$M$21&lt;0, -(BB27-Uzman_D!$M$21), BB27-Uzman_D!$M$21)*1
)</f>
        <v>-0.60000000000000009</v>
      </c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2"/>
      <c r="BO27" s="72"/>
      <c r="BP27" s="73">
        <f>1 - (
    SUM(
        IF(BD27-Uzman_D!$B$22&lt;0, -(BD27-Uzman_D!$B$22), BD27-Uzman_D!$B$22)*0.1 +
        IF(BE27-Uzman_D!$C$22&lt;0, -(BE27-Uzman_D!$C$22), BE27-Uzman_D!$C$22)*0.1 +
        IF(BF27-Uzman_D!$D$22&lt;0, -(BF27-Uzman_D!$D$22), BF27-Uzman_D!$D$22)*0.1 +
        IF(BG27-Uzman_D!$E$22&lt;0, -(BG27-Uzman_D!$E$22), BG27-Uzman_D!$E$22)*0.1 +
        IF(BH27-Uzman_D!$F$22&lt;0, -(BH27-Uzman_D!$F$22), BH27-Uzman_D!$F$22)*0.1 +
        IF(BI27-Uzman_D!$G$22&lt;0, -(BI27-Uzman_D!$G$22), BI27-Uzman_D!$G$22)*0.1 +
        IF(BJ27-Uzman_D!$H$22&lt;0, -(BJ27-Uzman_D!$H$22), BJ27-Uzman_D!$H$22)*0.1 +
        IF(BK27-Uzman_D!$I$22&lt;0, -(BK27-Uzman_D!$I$22), BK27-Uzman_D!$I$22)*0.1 +
        IF(BL27-Uzman_D!$J$22&lt;0, -(BL27-Uzman_D!$J$22), BL27-Uzman_D!$J$22)*0.1
    ) +
    IF(ROUND((IF(BN27-Uzman_D!$L$22&lt;0, -(BN27-Uzman_D!$L$22), BN27-Uzman_D!$L$22)*2),0)/2 = IF(BN27-Uzman_D!$L$22&lt;0, -(BN27-Uzman_D!$L$22), BN27-Uzman_D!$L$22),
    (ROUND((IF(BN27-Uzman_D!$L$22&lt;0, -(BN27-Uzman_D!$L$22), BN27-Uzman_D!$L$22)*2),0)/1 * 0.1), 0) +
    IF(BO27-Uzman_D!$M$22&lt;0, -(BO27-Uzman_D!$M$22), BO27-Uzman_D!$M$22)*1
)</f>
        <v>-0.40000000000000013</v>
      </c>
      <c r="BQ27" s="74">
        <f t="shared" si="0"/>
        <v>-0.54000000000000026</v>
      </c>
    </row>
    <row r="28" spans="1:69" ht="15" customHeight="1" x14ac:dyDescent="0.2">
      <c r="A28" s="57">
        <v>25</v>
      </c>
      <c r="B28" s="29">
        <f>Hakemler!B28</f>
        <v>0</v>
      </c>
      <c r="C28" s="29">
        <f>Hakemler!C28</f>
        <v>0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2"/>
      <c r="O28" s="72"/>
      <c r="P28" s="73">
        <f>1 - (
    SUM(
        IF(D28-Uzman_D!$B$18&lt;0, -(D28-Uzman_D!$B$18), D28-Uzman_D!$B$18)*0.1 +
        IF(E28-Uzman_D!$C$18&lt;0, -(E28-Uzman_D!$C$18), E28-Uzman_D!$C$18)*0.1 +
        IF(F28-Uzman_D!$D$18&lt;0, -(F28-Uzman_D!$D$18), F28-Uzman_D!$D$18)*0.1 +
        IF(G28-Uzman_D!$E$18&lt;0, -(G28-Uzman_D!$E$18), G28-Uzman_D!$E$18)*0.1 +
        IF(H28-Uzman_D!$F$18&lt;0, -(H28-Uzman_D!$F$18), H28-Uzman_D!$F$18)*0.1 +
        IF(I28-Uzman_D!$G$18&lt;0, -(I28-Uzman_D!$G$18), I28-Uzman_D!$G$18)*0.1 +
        IF(J28-Uzman_D!$H$18&lt;0, -(J28-Uzman_D!$H$18), J28-Uzman_D!$H$18)*0.1 +
        IF(K28-Uzman_D!$I$18&lt;0, -(K28-Uzman_D!$I$18), K28-Uzman_D!$I$18)*0.1 +
        IF(L28-Uzman_D!$J$18&lt;0, -(L28-Uzman_D!$J$18), L28-Uzman_D!$J$18)*0.1
    ) +
    IF(ROUND((IF(N28-Uzman_D!$L$18&lt;0, -(N28-Uzman_D!$L$18), N28-Uzman_D!$L$18)*2),0)/2 = IF(N28-Uzman_D!$L$18&lt;0, -(N28-Uzman_D!$L$18), N28-Uzman_D!$L$18),
    (ROUND((IF(N28-Uzman_D!$L$18&lt;0, -(N28-Uzman_D!$L$18), N28-Uzman_D!$L$18)*2),0)/1 * 0.1), 0) +
    IF(O28-Uzman_D!$M$18&lt;0, -(O28-Uzman_D!$M$18), O28-Uzman_D!$M$18)*1
)</f>
        <v>-0.50000000000000022</v>
      </c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2"/>
      <c r="AB28" s="72"/>
      <c r="AC28" s="73">
        <f>1 - (
    SUM(
        IF(Q28-Uzman_D!$B$19&lt;0, -(Q28-Uzman_D!$B$19), Q28-Uzman_D!$B$19)*0.1 +
        IF(R28-Uzman_D!$C$19&lt;0, -(R28-Uzman_D!$C$19), R28-Uzman_D!$C$19)*0.1 +
        IF(S28-Uzman_D!$D$19&lt;0, -(S28-Uzman_D!$D$19), S28-Uzman_D!$D$19)*0.1 +
        IF(T28-Uzman_D!$E$19&lt;0, -(T28-Uzman_D!$E$19), T28-Uzman_D!$E$19)*0.1 +
        IF(U28-Uzman_D!$F$19&lt;0, -(U28-Uzman_D!$F$19), U28-Uzman_D!$F$19)*0.1 +
        IF(V28-Uzman_D!$G$19&lt;0, -(V28-Uzman_D!$G$19), V28-Uzman_D!$G$19)*0.1 +
        IF(W28-Uzman_D!$H$19&lt;0, -(W28-Uzman_D!$H$19), W28-Uzman_D!$H$19)*0.1 +
        IF(X28-Uzman_D!$I$19&lt;0, -(X28-Uzman_D!$I$19), X28-Uzman_D!$I$19)*0.1 +
        IF(Y28-Uzman_D!$J$19&lt;0, -(Y28-Uzman_D!$J$19), Y28-Uzman_D!$J$19)*0.1
    ) +
    IF(ROUND((IF(AA28-Uzman_D!$L$19&lt;0, -(AA28-Uzman_D!$L$19), AA28-Uzman_D!$L$19)*2),0)/2 = IF(AA28-Uzman_D!$L$19&lt;0, -(AA28-Uzman_D!$L$19), AA28-Uzman_D!$L$19),
    (ROUND((IF(AA28-Uzman_D!$L$19&lt;0, -(AA28-Uzman_D!$L$19), AA28-Uzman_D!$L$19)*2),0)/1 * 0.1), 0) +
    IF(AB28-Uzman_D!$M$19&lt;0, -(AB28-Uzman_D!$M$19), AB28-Uzman_D!$M$19)*1
)</f>
        <v>-0.60000000000000009</v>
      </c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2"/>
      <c r="AO28" s="72"/>
      <c r="AP28" s="73">
        <f>1 - (
    SUM(
        IF(AD28-Uzman_D!$B$20&lt;0, -(AD28-Uzman_D!$B$20), AD28-Uzman_D!$B$20)*0.1 +
        IF(AE28-Uzman_D!$C$20&lt;0, -(AE28-Uzman_D!$C$20), AE28-Uzman_D!$C$20)*0.1 +
        IF(AF28-Uzman_D!$D$20&lt;0, -(AF28-Uzman_D!$D$20), AF28-Uzman_D!$D$20)*0.1 +
        IF(AG28-Uzman_D!$E$20&lt;0, -(AG28-Uzman_D!$E$20), AG28-Uzman_D!$E$20)*0.1 +
        IF(AH28-Uzman_D!$F$20&lt;0, -(AH28-Uzman_D!$F$20), AH28-Uzman_D!$F$20)*0.1 +
        IF(AI28-Uzman_D!$G$20&lt;0, -(AI28-Uzman_D!$G$20), AI28-Uzman_D!$G$20)*0.1 +
        IF(AJ28-Uzman_D!$H$20&lt;0, -(AJ28-Uzman_D!$H$20), AJ28-Uzman_D!$H$20)*0.1 +
        IF(AK28-Uzman_D!$I$20&lt;0, -(AK28-Uzman_D!$I$20), AK28-Uzman_D!$I$20)*0.1 +
        IF(AL28-Uzman_D!$J$20&lt;0, -(AL28-Uzman_D!$J$20), AL28-Uzman_D!$J$20)*0.1
    ) +
    IF(ROUND((IF(AN28-Uzman_D!$L$20&lt;0, -(AN28-Uzman_D!$L$20), AN28-Uzman_D!$L$20)*2),0)/2 = IF(AN28-Uzman_D!$L$20&lt;0, -(AN28-Uzman_D!$L$20), AN28-Uzman_D!$L$20),
    (ROUND((IF(AN28-Uzman_D!$L$20&lt;0, -(AN28-Uzman_D!$L$20), AN28-Uzman_D!$L$20)*2),0)/1 * 0.1), 0) +
    IF(AO28-Uzman_D!$M$20&lt;0, -(AO28-Uzman_D!$M$20), AO28-Uzman_D!$M$20)*1
)</f>
        <v>-0.60000000000000009</v>
      </c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2"/>
      <c r="BB28" s="72"/>
      <c r="BC28" s="73">
        <f>1 - (
    SUM(
        IF(AQ28-Uzman_D!$B$21&lt;0, -(AQ28-Uzman_D!$B$21), AQ28-Uzman_D!$B$21)*0.1 +
        IF(AR28-Uzman_D!$C$21&lt;0, -(AR28-Uzman_D!$C$21), AR28-Uzman_D!$C$21)*0.1 +
        IF(AS28-Uzman_D!$D$21&lt;0, -(AS28-Uzman_D!$D$21), AS28-Uzman_D!$D$21)*0.1 +
        IF(AT28-Uzman_D!$E$21&lt;0, -(AT28-Uzman_D!$E$21), AT28-Uzman_D!$E$21)*0.1 +
        IF(AU28-Uzman_D!$F$21&lt;0, -(AU28-Uzman_D!$F$21), AU28-Uzman_D!$F$21)*0.1 +
        IF(AV28-Uzman_D!$G$21&lt;0, -(AV28-Uzman_D!$G$21), AV28-Uzman_D!$G$21)*0.1 +
        IF(AW28-Uzman_D!$H$21&lt;0, -(AW28-Uzman_D!$H$21), AW28-Uzman_D!$H$21)*0.1 +
        IF(AX28-Uzman_D!$I$21&lt;0, -(AX28-Uzman_D!$I$21), AX28-Uzman_D!$I$21)*0.1 +
        IF(AY28-Uzman_D!$J$21&lt;0, -(AY28-Uzman_D!$J$21), AY28-Uzman_D!$J$21)*0.1
    ) +
    IF(ROUND((IF(BA28-Uzman_D!$L$21&lt;0, -(BA28-Uzman_D!$L$21), BA28-Uzman_D!$L$21)*2),0)/2 = IF(BA28-Uzman_D!$L$21&lt;0, -(BA28-Uzman_D!$L$21), BA28-Uzman_D!$L$21),
    (ROUND((IF(BA28-Uzman_D!$L$21&lt;0, -(BA28-Uzman_D!$L$21), BA28-Uzman_D!$L$21)*2),0)/1 * 0.1), 0) +
    IF(BB28-Uzman_D!$M$21&lt;0, -(BB28-Uzman_D!$M$21), BB28-Uzman_D!$M$21)*1
)</f>
        <v>-0.60000000000000009</v>
      </c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2"/>
      <c r="BO28" s="72"/>
      <c r="BP28" s="73">
        <f>1 - (
    SUM(
        IF(BD28-Uzman_D!$B$22&lt;0, -(BD28-Uzman_D!$B$22), BD28-Uzman_D!$B$22)*0.1 +
        IF(BE28-Uzman_D!$C$22&lt;0, -(BE28-Uzman_D!$C$22), BE28-Uzman_D!$C$22)*0.1 +
        IF(BF28-Uzman_D!$D$22&lt;0, -(BF28-Uzman_D!$D$22), BF28-Uzman_D!$D$22)*0.1 +
        IF(BG28-Uzman_D!$E$22&lt;0, -(BG28-Uzman_D!$E$22), BG28-Uzman_D!$E$22)*0.1 +
        IF(BH28-Uzman_D!$F$22&lt;0, -(BH28-Uzman_D!$F$22), BH28-Uzman_D!$F$22)*0.1 +
        IF(BI28-Uzman_D!$G$22&lt;0, -(BI28-Uzman_D!$G$22), BI28-Uzman_D!$G$22)*0.1 +
        IF(BJ28-Uzman_D!$H$22&lt;0, -(BJ28-Uzman_D!$H$22), BJ28-Uzman_D!$H$22)*0.1 +
        IF(BK28-Uzman_D!$I$22&lt;0, -(BK28-Uzman_D!$I$22), BK28-Uzman_D!$I$22)*0.1 +
        IF(BL28-Uzman_D!$J$22&lt;0, -(BL28-Uzman_D!$J$22), BL28-Uzman_D!$J$22)*0.1
    ) +
    IF(ROUND((IF(BN28-Uzman_D!$L$22&lt;0, -(BN28-Uzman_D!$L$22), BN28-Uzman_D!$L$22)*2),0)/2 = IF(BN28-Uzman_D!$L$22&lt;0, -(BN28-Uzman_D!$L$22), BN28-Uzman_D!$L$22),
    (ROUND((IF(BN28-Uzman_D!$L$22&lt;0, -(BN28-Uzman_D!$L$22), BN28-Uzman_D!$L$22)*2),0)/1 * 0.1), 0) +
    IF(BO28-Uzman_D!$M$22&lt;0, -(BO28-Uzman_D!$M$22), BO28-Uzman_D!$M$22)*1
)</f>
        <v>-0.40000000000000013</v>
      </c>
      <c r="BQ28" s="74">
        <f t="shared" si="0"/>
        <v>-0.54000000000000026</v>
      </c>
    </row>
    <row r="29" spans="1:69" ht="15" customHeight="1" x14ac:dyDescent="0.2">
      <c r="A29" s="57">
        <v>26</v>
      </c>
      <c r="B29" s="29">
        <f>Hakemler!B29</f>
        <v>0</v>
      </c>
      <c r="C29" s="29">
        <f>Hakemler!C29</f>
        <v>0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2"/>
      <c r="O29" s="72"/>
      <c r="P29" s="73">
        <f>1 - (
    SUM(
        IF(D29-Uzman_D!$B$18&lt;0, -(D29-Uzman_D!$B$18), D29-Uzman_D!$B$18)*0.1 +
        IF(E29-Uzman_D!$C$18&lt;0, -(E29-Uzman_D!$C$18), E29-Uzman_D!$C$18)*0.1 +
        IF(F29-Uzman_D!$D$18&lt;0, -(F29-Uzman_D!$D$18), F29-Uzman_D!$D$18)*0.1 +
        IF(G29-Uzman_D!$E$18&lt;0, -(G29-Uzman_D!$E$18), G29-Uzman_D!$E$18)*0.1 +
        IF(H29-Uzman_D!$F$18&lt;0, -(H29-Uzman_D!$F$18), H29-Uzman_D!$F$18)*0.1 +
        IF(I29-Uzman_D!$G$18&lt;0, -(I29-Uzman_D!$G$18), I29-Uzman_D!$G$18)*0.1 +
        IF(J29-Uzman_D!$H$18&lt;0, -(J29-Uzman_D!$H$18), J29-Uzman_D!$H$18)*0.1 +
        IF(K29-Uzman_D!$I$18&lt;0, -(K29-Uzman_D!$I$18), K29-Uzman_D!$I$18)*0.1 +
        IF(L29-Uzman_D!$J$18&lt;0, -(L29-Uzman_D!$J$18), L29-Uzman_D!$J$18)*0.1
    ) +
    IF(ROUND((IF(N29-Uzman_D!$L$18&lt;0, -(N29-Uzman_D!$L$18), N29-Uzman_D!$L$18)*2),0)/2 = IF(N29-Uzman_D!$L$18&lt;0, -(N29-Uzman_D!$L$18), N29-Uzman_D!$L$18),
    (ROUND((IF(N29-Uzman_D!$L$18&lt;0, -(N29-Uzman_D!$L$18), N29-Uzman_D!$L$18)*2),0)/1 * 0.1), 0) +
    IF(O29-Uzman_D!$M$18&lt;0, -(O29-Uzman_D!$M$18), O29-Uzman_D!$M$18)*1
)</f>
        <v>-0.50000000000000022</v>
      </c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2"/>
      <c r="AB29" s="72"/>
      <c r="AC29" s="73">
        <f>1 - (
    SUM(
        IF(Q29-Uzman_D!$B$19&lt;0, -(Q29-Uzman_D!$B$19), Q29-Uzman_D!$B$19)*0.1 +
        IF(R29-Uzman_D!$C$19&lt;0, -(R29-Uzman_D!$C$19), R29-Uzman_D!$C$19)*0.1 +
        IF(S29-Uzman_D!$D$19&lt;0, -(S29-Uzman_D!$D$19), S29-Uzman_D!$D$19)*0.1 +
        IF(T29-Uzman_D!$E$19&lt;0, -(T29-Uzman_D!$E$19), T29-Uzman_D!$E$19)*0.1 +
        IF(U29-Uzman_D!$F$19&lt;0, -(U29-Uzman_D!$F$19), U29-Uzman_D!$F$19)*0.1 +
        IF(V29-Uzman_D!$G$19&lt;0, -(V29-Uzman_D!$G$19), V29-Uzman_D!$G$19)*0.1 +
        IF(W29-Uzman_D!$H$19&lt;0, -(W29-Uzman_D!$H$19), W29-Uzman_D!$H$19)*0.1 +
        IF(X29-Uzman_D!$I$19&lt;0, -(X29-Uzman_D!$I$19), X29-Uzman_D!$I$19)*0.1 +
        IF(Y29-Uzman_D!$J$19&lt;0, -(Y29-Uzman_D!$J$19), Y29-Uzman_D!$J$19)*0.1
    ) +
    IF(ROUND((IF(AA29-Uzman_D!$L$19&lt;0, -(AA29-Uzman_D!$L$19), AA29-Uzman_D!$L$19)*2),0)/2 = IF(AA29-Uzman_D!$L$19&lt;0, -(AA29-Uzman_D!$L$19), AA29-Uzman_D!$L$19),
    (ROUND((IF(AA29-Uzman_D!$L$19&lt;0, -(AA29-Uzman_D!$L$19), AA29-Uzman_D!$L$19)*2),0)/1 * 0.1), 0) +
    IF(AB29-Uzman_D!$M$19&lt;0, -(AB29-Uzman_D!$M$19), AB29-Uzman_D!$M$19)*1
)</f>
        <v>-0.60000000000000009</v>
      </c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2"/>
      <c r="AO29" s="72"/>
      <c r="AP29" s="73">
        <f>1 - (
    SUM(
        IF(AD29-Uzman_D!$B$20&lt;0, -(AD29-Uzman_D!$B$20), AD29-Uzman_D!$B$20)*0.1 +
        IF(AE29-Uzman_D!$C$20&lt;0, -(AE29-Uzman_D!$C$20), AE29-Uzman_D!$C$20)*0.1 +
        IF(AF29-Uzman_D!$D$20&lt;0, -(AF29-Uzman_D!$D$20), AF29-Uzman_D!$D$20)*0.1 +
        IF(AG29-Uzman_D!$E$20&lt;0, -(AG29-Uzman_D!$E$20), AG29-Uzman_D!$E$20)*0.1 +
        IF(AH29-Uzman_D!$F$20&lt;0, -(AH29-Uzman_D!$F$20), AH29-Uzman_D!$F$20)*0.1 +
        IF(AI29-Uzman_D!$G$20&lt;0, -(AI29-Uzman_D!$G$20), AI29-Uzman_D!$G$20)*0.1 +
        IF(AJ29-Uzman_D!$H$20&lt;0, -(AJ29-Uzman_D!$H$20), AJ29-Uzman_D!$H$20)*0.1 +
        IF(AK29-Uzman_D!$I$20&lt;0, -(AK29-Uzman_D!$I$20), AK29-Uzman_D!$I$20)*0.1 +
        IF(AL29-Uzman_D!$J$20&lt;0, -(AL29-Uzman_D!$J$20), AL29-Uzman_D!$J$20)*0.1
    ) +
    IF(ROUND((IF(AN29-Uzman_D!$L$20&lt;0, -(AN29-Uzman_D!$L$20), AN29-Uzman_D!$L$20)*2),0)/2 = IF(AN29-Uzman_D!$L$20&lt;0, -(AN29-Uzman_D!$L$20), AN29-Uzman_D!$L$20),
    (ROUND((IF(AN29-Uzman_D!$L$20&lt;0, -(AN29-Uzman_D!$L$20), AN29-Uzman_D!$L$20)*2),0)/1 * 0.1), 0) +
    IF(AO29-Uzman_D!$M$20&lt;0, -(AO29-Uzman_D!$M$20), AO29-Uzman_D!$M$20)*1
)</f>
        <v>-0.60000000000000009</v>
      </c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2"/>
      <c r="BB29" s="72"/>
      <c r="BC29" s="73">
        <f>1 - (
    SUM(
        IF(AQ29-Uzman_D!$B$21&lt;0, -(AQ29-Uzman_D!$B$21), AQ29-Uzman_D!$B$21)*0.1 +
        IF(AR29-Uzman_D!$C$21&lt;0, -(AR29-Uzman_D!$C$21), AR29-Uzman_D!$C$21)*0.1 +
        IF(AS29-Uzman_D!$D$21&lt;0, -(AS29-Uzman_D!$D$21), AS29-Uzman_D!$D$21)*0.1 +
        IF(AT29-Uzman_D!$E$21&lt;0, -(AT29-Uzman_D!$E$21), AT29-Uzman_D!$E$21)*0.1 +
        IF(AU29-Uzman_D!$F$21&lt;0, -(AU29-Uzman_D!$F$21), AU29-Uzman_D!$F$21)*0.1 +
        IF(AV29-Uzman_D!$G$21&lt;0, -(AV29-Uzman_D!$G$21), AV29-Uzman_D!$G$21)*0.1 +
        IF(AW29-Uzman_D!$H$21&lt;0, -(AW29-Uzman_D!$H$21), AW29-Uzman_D!$H$21)*0.1 +
        IF(AX29-Uzman_D!$I$21&lt;0, -(AX29-Uzman_D!$I$21), AX29-Uzman_D!$I$21)*0.1 +
        IF(AY29-Uzman_D!$J$21&lt;0, -(AY29-Uzman_D!$J$21), AY29-Uzman_D!$J$21)*0.1
    ) +
    IF(ROUND((IF(BA29-Uzman_D!$L$21&lt;0, -(BA29-Uzman_D!$L$21), BA29-Uzman_D!$L$21)*2),0)/2 = IF(BA29-Uzman_D!$L$21&lt;0, -(BA29-Uzman_D!$L$21), BA29-Uzman_D!$L$21),
    (ROUND((IF(BA29-Uzman_D!$L$21&lt;0, -(BA29-Uzman_D!$L$21), BA29-Uzman_D!$L$21)*2),0)/1 * 0.1), 0) +
    IF(BB29-Uzman_D!$M$21&lt;0, -(BB29-Uzman_D!$M$21), BB29-Uzman_D!$M$21)*1
)</f>
        <v>-0.60000000000000009</v>
      </c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2"/>
      <c r="BO29" s="72"/>
      <c r="BP29" s="73">
        <f>1 - (
    SUM(
        IF(BD29-Uzman_D!$B$22&lt;0, -(BD29-Uzman_D!$B$22), BD29-Uzman_D!$B$22)*0.1 +
        IF(BE29-Uzman_D!$C$22&lt;0, -(BE29-Uzman_D!$C$22), BE29-Uzman_D!$C$22)*0.1 +
        IF(BF29-Uzman_D!$D$22&lt;0, -(BF29-Uzman_D!$D$22), BF29-Uzman_D!$D$22)*0.1 +
        IF(BG29-Uzman_D!$E$22&lt;0, -(BG29-Uzman_D!$E$22), BG29-Uzman_D!$E$22)*0.1 +
        IF(BH29-Uzman_D!$F$22&lt;0, -(BH29-Uzman_D!$F$22), BH29-Uzman_D!$F$22)*0.1 +
        IF(BI29-Uzman_D!$G$22&lt;0, -(BI29-Uzman_D!$G$22), BI29-Uzman_D!$G$22)*0.1 +
        IF(BJ29-Uzman_D!$H$22&lt;0, -(BJ29-Uzman_D!$H$22), BJ29-Uzman_D!$H$22)*0.1 +
        IF(BK29-Uzman_D!$I$22&lt;0, -(BK29-Uzman_D!$I$22), BK29-Uzman_D!$I$22)*0.1 +
        IF(BL29-Uzman_D!$J$22&lt;0, -(BL29-Uzman_D!$J$22), BL29-Uzman_D!$J$22)*0.1
    ) +
    IF(ROUND((IF(BN29-Uzman_D!$L$22&lt;0, -(BN29-Uzman_D!$L$22), BN29-Uzman_D!$L$22)*2),0)/2 = IF(BN29-Uzman_D!$L$22&lt;0, -(BN29-Uzman_D!$L$22), BN29-Uzman_D!$L$22),
    (ROUND((IF(BN29-Uzman_D!$L$22&lt;0, -(BN29-Uzman_D!$L$22), BN29-Uzman_D!$L$22)*2),0)/1 * 0.1), 0) +
    IF(BO29-Uzman_D!$M$22&lt;0, -(BO29-Uzman_D!$M$22), BO29-Uzman_D!$M$22)*1
)</f>
        <v>-0.40000000000000013</v>
      </c>
      <c r="BQ29" s="74">
        <f t="shared" si="0"/>
        <v>-0.54000000000000026</v>
      </c>
    </row>
    <row r="30" spans="1:69" ht="15" customHeight="1" x14ac:dyDescent="0.2">
      <c r="A30" s="57">
        <v>27</v>
      </c>
      <c r="B30" s="29">
        <f>Hakemler!B30</f>
        <v>0</v>
      </c>
      <c r="C30" s="29">
        <f>Hakemler!C30</f>
        <v>0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2"/>
      <c r="O30" s="72"/>
      <c r="P30" s="73">
        <f>1 - (
    SUM(
        IF(D30-Uzman_D!$B$18&lt;0, -(D30-Uzman_D!$B$18), D30-Uzman_D!$B$18)*0.1 +
        IF(E30-Uzman_D!$C$18&lt;0, -(E30-Uzman_D!$C$18), E30-Uzman_D!$C$18)*0.1 +
        IF(F30-Uzman_D!$D$18&lt;0, -(F30-Uzman_D!$D$18), F30-Uzman_D!$D$18)*0.1 +
        IF(G30-Uzman_D!$E$18&lt;0, -(G30-Uzman_D!$E$18), G30-Uzman_D!$E$18)*0.1 +
        IF(H30-Uzman_D!$F$18&lt;0, -(H30-Uzman_D!$F$18), H30-Uzman_D!$F$18)*0.1 +
        IF(I30-Uzman_D!$G$18&lt;0, -(I30-Uzman_D!$G$18), I30-Uzman_D!$G$18)*0.1 +
        IF(J30-Uzman_D!$H$18&lt;0, -(J30-Uzman_D!$H$18), J30-Uzman_D!$H$18)*0.1 +
        IF(K30-Uzman_D!$I$18&lt;0, -(K30-Uzman_D!$I$18), K30-Uzman_D!$I$18)*0.1 +
        IF(L30-Uzman_D!$J$18&lt;0, -(L30-Uzman_D!$J$18), L30-Uzman_D!$J$18)*0.1
    ) +
    IF(ROUND((IF(N30-Uzman_D!$L$18&lt;0, -(N30-Uzman_D!$L$18), N30-Uzman_D!$L$18)*2),0)/2 = IF(N30-Uzman_D!$L$18&lt;0, -(N30-Uzman_D!$L$18), N30-Uzman_D!$L$18),
    (ROUND((IF(N30-Uzman_D!$L$18&lt;0, -(N30-Uzman_D!$L$18), N30-Uzman_D!$L$18)*2),0)/1 * 0.1), 0) +
    IF(O30-Uzman_D!$M$18&lt;0, -(O30-Uzman_D!$M$18), O30-Uzman_D!$M$18)*1
)</f>
        <v>-0.50000000000000022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/>
      <c r="AB30" s="72"/>
      <c r="AC30" s="73">
        <f>1 - (
    SUM(
        IF(Q30-Uzman_D!$B$19&lt;0, -(Q30-Uzman_D!$B$19), Q30-Uzman_D!$B$19)*0.1 +
        IF(R30-Uzman_D!$C$19&lt;0, -(R30-Uzman_D!$C$19), R30-Uzman_D!$C$19)*0.1 +
        IF(S30-Uzman_D!$D$19&lt;0, -(S30-Uzman_D!$D$19), S30-Uzman_D!$D$19)*0.1 +
        IF(T30-Uzman_D!$E$19&lt;0, -(T30-Uzman_D!$E$19), T30-Uzman_D!$E$19)*0.1 +
        IF(U30-Uzman_D!$F$19&lt;0, -(U30-Uzman_D!$F$19), U30-Uzman_D!$F$19)*0.1 +
        IF(V30-Uzman_D!$G$19&lt;0, -(V30-Uzman_D!$G$19), V30-Uzman_D!$G$19)*0.1 +
        IF(W30-Uzman_D!$H$19&lt;0, -(W30-Uzman_D!$H$19), W30-Uzman_D!$H$19)*0.1 +
        IF(X30-Uzman_D!$I$19&lt;0, -(X30-Uzman_D!$I$19), X30-Uzman_D!$I$19)*0.1 +
        IF(Y30-Uzman_D!$J$19&lt;0, -(Y30-Uzman_D!$J$19), Y30-Uzman_D!$J$19)*0.1
    ) +
    IF(ROUND((IF(AA30-Uzman_D!$L$19&lt;0, -(AA30-Uzman_D!$L$19), AA30-Uzman_D!$L$19)*2),0)/2 = IF(AA30-Uzman_D!$L$19&lt;0, -(AA30-Uzman_D!$L$19), AA30-Uzman_D!$L$19),
    (ROUND((IF(AA30-Uzman_D!$L$19&lt;0, -(AA30-Uzman_D!$L$19), AA30-Uzman_D!$L$19)*2),0)/1 * 0.1), 0) +
    IF(AB30-Uzman_D!$M$19&lt;0, -(AB30-Uzman_D!$M$19), AB30-Uzman_D!$M$19)*1
)</f>
        <v>-0.60000000000000009</v>
      </c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2"/>
      <c r="AO30" s="72"/>
      <c r="AP30" s="73">
        <f>1 - (
    SUM(
        IF(AD30-Uzman_D!$B$20&lt;0, -(AD30-Uzman_D!$B$20), AD30-Uzman_D!$B$20)*0.1 +
        IF(AE30-Uzman_D!$C$20&lt;0, -(AE30-Uzman_D!$C$20), AE30-Uzman_D!$C$20)*0.1 +
        IF(AF30-Uzman_D!$D$20&lt;0, -(AF30-Uzman_D!$D$20), AF30-Uzman_D!$D$20)*0.1 +
        IF(AG30-Uzman_D!$E$20&lt;0, -(AG30-Uzman_D!$E$20), AG30-Uzman_D!$E$20)*0.1 +
        IF(AH30-Uzman_D!$F$20&lt;0, -(AH30-Uzman_D!$F$20), AH30-Uzman_D!$F$20)*0.1 +
        IF(AI30-Uzman_D!$G$20&lt;0, -(AI30-Uzman_D!$G$20), AI30-Uzman_D!$G$20)*0.1 +
        IF(AJ30-Uzman_D!$H$20&lt;0, -(AJ30-Uzman_D!$H$20), AJ30-Uzman_D!$H$20)*0.1 +
        IF(AK30-Uzman_D!$I$20&lt;0, -(AK30-Uzman_D!$I$20), AK30-Uzman_D!$I$20)*0.1 +
        IF(AL30-Uzman_D!$J$20&lt;0, -(AL30-Uzman_D!$J$20), AL30-Uzman_D!$J$20)*0.1
    ) +
    IF(ROUND((IF(AN30-Uzman_D!$L$20&lt;0, -(AN30-Uzman_D!$L$20), AN30-Uzman_D!$L$20)*2),0)/2 = IF(AN30-Uzman_D!$L$20&lt;0, -(AN30-Uzman_D!$L$20), AN30-Uzman_D!$L$20),
    (ROUND((IF(AN30-Uzman_D!$L$20&lt;0, -(AN30-Uzman_D!$L$20), AN30-Uzman_D!$L$20)*2),0)/1 * 0.1), 0) +
    IF(AO30-Uzman_D!$M$20&lt;0, -(AO30-Uzman_D!$M$20), AO30-Uzman_D!$M$20)*1
)</f>
        <v>-0.60000000000000009</v>
      </c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2"/>
      <c r="BB30" s="72"/>
      <c r="BC30" s="73">
        <f>1 - (
    SUM(
        IF(AQ30-Uzman_D!$B$21&lt;0, -(AQ30-Uzman_D!$B$21), AQ30-Uzman_D!$B$21)*0.1 +
        IF(AR30-Uzman_D!$C$21&lt;0, -(AR30-Uzman_D!$C$21), AR30-Uzman_D!$C$21)*0.1 +
        IF(AS30-Uzman_D!$D$21&lt;0, -(AS30-Uzman_D!$D$21), AS30-Uzman_D!$D$21)*0.1 +
        IF(AT30-Uzman_D!$E$21&lt;0, -(AT30-Uzman_D!$E$21), AT30-Uzman_D!$E$21)*0.1 +
        IF(AU30-Uzman_D!$F$21&lt;0, -(AU30-Uzman_D!$F$21), AU30-Uzman_D!$F$21)*0.1 +
        IF(AV30-Uzman_D!$G$21&lt;0, -(AV30-Uzman_D!$G$21), AV30-Uzman_D!$G$21)*0.1 +
        IF(AW30-Uzman_D!$H$21&lt;0, -(AW30-Uzman_D!$H$21), AW30-Uzman_D!$H$21)*0.1 +
        IF(AX30-Uzman_D!$I$21&lt;0, -(AX30-Uzman_D!$I$21), AX30-Uzman_D!$I$21)*0.1 +
        IF(AY30-Uzman_D!$J$21&lt;0, -(AY30-Uzman_D!$J$21), AY30-Uzman_D!$J$21)*0.1
    ) +
    IF(ROUND((IF(BA30-Uzman_D!$L$21&lt;0, -(BA30-Uzman_D!$L$21), BA30-Uzman_D!$L$21)*2),0)/2 = IF(BA30-Uzman_D!$L$21&lt;0, -(BA30-Uzman_D!$L$21), BA30-Uzman_D!$L$21),
    (ROUND((IF(BA30-Uzman_D!$L$21&lt;0, -(BA30-Uzman_D!$L$21), BA30-Uzman_D!$L$21)*2),0)/1 * 0.1), 0) +
    IF(BB30-Uzman_D!$M$21&lt;0, -(BB30-Uzman_D!$M$21), BB30-Uzman_D!$M$21)*1
)</f>
        <v>-0.60000000000000009</v>
      </c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2"/>
      <c r="BO30" s="72"/>
      <c r="BP30" s="73">
        <f>1 - (
    SUM(
        IF(BD30-Uzman_D!$B$22&lt;0, -(BD30-Uzman_D!$B$22), BD30-Uzman_D!$B$22)*0.1 +
        IF(BE30-Uzman_D!$C$22&lt;0, -(BE30-Uzman_D!$C$22), BE30-Uzman_D!$C$22)*0.1 +
        IF(BF30-Uzman_D!$D$22&lt;0, -(BF30-Uzman_D!$D$22), BF30-Uzman_D!$D$22)*0.1 +
        IF(BG30-Uzman_D!$E$22&lt;0, -(BG30-Uzman_D!$E$22), BG30-Uzman_D!$E$22)*0.1 +
        IF(BH30-Uzman_D!$F$22&lt;0, -(BH30-Uzman_D!$F$22), BH30-Uzman_D!$F$22)*0.1 +
        IF(BI30-Uzman_D!$G$22&lt;0, -(BI30-Uzman_D!$G$22), BI30-Uzman_D!$G$22)*0.1 +
        IF(BJ30-Uzman_D!$H$22&lt;0, -(BJ30-Uzman_D!$H$22), BJ30-Uzman_D!$H$22)*0.1 +
        IF(BK30-Uzman_D!$I$22&lt;0, -(BK30-Uzman_D!$I$22), BK30-Uzman_D!$I$22)*0.1 +
        IF(BL30-Uzman_D!$J$22&lt;0, -(BL30-Uzman_D!$J$22), BL30-Uzman_D!$J$22)*0.1
    ) +
    IF(ROUND((IF(BN30-Uzman_D!$L$22&lt;0, -(BN30-Uzman_D!$L$22), BN30-Uzman_D!$L$22)*2),0)/2 = IF(BN30-Uzman_D!$L$22&lt;0, -(BN30-Uzman_D!$L$22), BN30-Uzman_D!$L$22),
    (ROUND((IF(BN30-Uzman_D!$L$22&lt;0, -(BN30-Uzman_D!$L$22), BN30-Uzman_D!$L$22)*2),0)/1 * 0.1), 0) +
    IF(BO30-Uzman_D!$M$22&lt;0, -(BO30-Uzman_D!$M$22), BO30-Uzman_D!$M$22)*1
)</f>
        <v>-0.40000000000000013</v>
      </c>
      <c r="BQ30" s="74">
        <f t="shared" si="0"/>
        <v>-0.54000000000000026</v>
      </c>
    </row>
    <row r="31" spans="1:69" ht="15" customHeight="1" x14ac:dyDescent="0.2">
      <c r="A31" s="57">
        <v>28</v>
      </c>
      <c r="B31" s="29">
        <f>Hakemler!B31</f>
        <v>0</v>
      </c>
      <c r="C31" s="29">
        <f>Hakemler!C31</f>
        <v>0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2"/>
      <c r="O31" s="72"/>
      <c r="P31" s="73">
        <f>1 - (
    SUM(
        IF(D31-Uzman_D!$B$18&lt;0, -(D31-Uzman_D!$B$18), D31-Uzman_D!$B$18)*0.1 +
        IF(E31-Uzman_D!$C$18&lt;0, -(E31-Uzman_D!$C$18), E31-Uzman_D!$C$18)*0.1 +
        IF(F31-Uzman_D!$D$18&lt;0, -(F31-Uzman_D!$D$18), F31-Uzman_D!$D$18)*0.1 +
        IF(G31-Uzman_D!$E$18&lt;0, -(G31-Uzman_D!$E$18), G31-Uzman_D!$E$18)*0.1 +
        IF(H31-Uzman_D!$F$18&lt;0, -(H31-Uzman_D!$F$18), H31-Uzman_D!$F$18)*0.1 +
        IF(I31-Uzman_D!$G$18&lt;0, -(I31-Uzman_D!$G$18), I31-Uzman_D!$G$18)*0.1 +
        IF(J31-Uzman_D!$H$18&lt;0, -(J31-Uzman_D!$H$18), J31-Uzman_D!$H$18)*0.1 +
        IF(K31-Uzman_D!$I$18&lt;0, -(K31-Uzman_D!$I$18), K31-Uzman_D!$I$18)*0.1 +
        IF(L31-Uzman_D!$J$18&lt;0, -(L31-Uzman_D!$J$18), L31-Uzman_D!$J$18)*0.1
    ) +
    IF(ROUND((IF(N31-Uzman_D!$L$18&lt;0, -(N31-Uzman_D!$L$18), N31-Uzman_D!$L$18)*2),0)/2 = IF(N31-Uzman_D!$L$18&lt;0, -(N31-Uzman_D!$L$18), N31-Uzman_D!$L$18),
    (ROUND((IF(N31-Uzman_D!$L$18&lt;0, -(N31-Uzman_D!$L$18), N31-Uzman_D!$L$18)*2),0)/1 * 0.1), 0) +
    IF(O31-Uzman_D!$M$18&lt;0, -(O31-Uzman_D!$M$18), O31-Uzman_D!$M$18)*1
)</f>
        <v>-0.50000000000000022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/>
      <c r="AB31" s="72"/>
      <c r="AC31" s="73">
        <f>1 - (
    SUM(
        IF(Q31-Uzman_D!$B$19&lt;0, -(Q31-Uzman_D!$B$19), Q31-Uzman_D!$B$19)*0.1 +
        IF(R31-Uzman_D!$C$19&lt;0, -(R31-Uzman_D!$C$19), R31-Uzman_D!$C$19)*0.1 +
        IF(S31-Uzman_D!$D$19&lt;0, -(S31-Uzman_D!$D$19), S31-Uzman_D!$D$19)*0.1 +
        IF(T31-Uzman_D!$E$19&lt;0, -(T31-Uzman_D!$E$19), T31-Uzman_D!$E$19)*0.1 +
        IF(U31-Uzman_D!$F$19&lt;0, -(U31-Uzman_D!$F$19), U31-Uzman_D!$F$19)*0.1 +
        IF(V31-Uzman_D!$G$19&lt;0, -(V31-Uzman_D!$G$19), V31-Uzman_D!$G$19)*0.1 +
        IF(W31-Uzman_D!$H$19&lt;0, -(W31-Uzman_D!$H$19), W31-Uzman_D!$H$19)*0.1 +
        IF(X31-Uzman_D!$I$19&lt;0, -(X31-Uzman_D!$I$19), X31-Uzman_D!$I$19)*0.1 +
        IF(Y31-Uzman_D!$J$19&lt;0, -(Y31-Uzman_D!$J$19), Y31-Uzman_D!$J$19)*0.1
    ) +
    IF(ROUND((IF(AA31-Uzman_D!$L$19&lt;0, -(AA31-Uzman_D!$L$19), AA31-Uzman_D!$L$19)*2),0)/2 = IF(AA31-Uzman_D!$L$19&lt;0, -(AA31-Uzman_D!$L$19), AA31-Uzman_D!$L$19),
    (ROUND((IF(AA31-Uzman_D!$L$19&lt;0, -(AA31-Uzman_D!$L$19), AA31-Uzman_D!$L$19)*2),0)/1 * 0.1), 0) +
    IF(AB31-Uzman_D!$M$19&lt;0, -(AB31-Uzman_D!$M$19), AB31-Uzman_D!$M$19)*1
)</f>
        <v>-0.60000000000000009</v>
      </c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2"/>
      <c r="AO31" s="72"/>
      <c r="AP31" s="73">
        <f>1 - (
    SUM(
        IF(AD31-Uzman_D!$B$20&lt;0, -(AD31-Uzman_D!$B$20), AD31-Uzman_D!$B$20)*0.1 +
        IF(AE31-Uzman_D!$C$20&lt;0, -(AE31-Uzman_D!$C$20), AE31-Uzman_D!$C$20)*0.1 +
        IF(AF31-Uzman_D!$D$20&lt;0, -(AF31-Uzman_D!$D$20), AF31-Uzman_D!$D$20)*0.1 +
        IF(AG31-Uzman_D!$E$20&lt;0, -(AG31-Uzman_D!$E$20), AG31-Uzman_D!$E$20)*0.1 +
        IF(AH31-Uzman_D!$F$20&lt;0, -(AH31-Uzman_D!$F$20), AH31-Uzman_D!$F$20)*0.1 +
        IF(AI31-Uzman_D!$G$20&lt;0, -(AI31-Uzman_D!$G$20), AI31-Uzman_D!$G$20)*0.1 +
        IF(AJ31-Uzman_D!$H$20&lt;0, -(AJ31-Uzman_D!$H$20), AJ31-Uzman_D!$H$20)*0.1 +
        IF(AK31-Uzman_D!$I$20&lt;0, -(AK31-Uzman_D!$I$20), AK31-Uzman_D!$I$20)*0.1 +
        IF(AL31-Uzman_D!$J$20&lt;0, -(AL31-Uzman_D!$J$20), AL31-Uzman_D!$J$20)*0.1
    ) +
    IF(ROUND((IF(AN31-Uzman_D!$L$20&lt;0, -(AN31-Uzman_D!$L$20), AN31-Uzman_D!$L$20)*2),0)/2 = IF(AN31-Uzman_D!$L$20&lt;0, -(AN31-Uzman_D!$L$20), AN31-Uzman_D!$L$20),
    (ROUND((IF(AN31-Uzman_D!$L$20&lt;0, -(AN31-Uzman_D!$L$20), AN31-Uzman_D!$L$20)*2),0)/1 * 0.1), 0) +
    IF(AO31-Uzman_D!$M$20&lt;0, -(AO31-Uzman_D!$M$20), AO31-Uzman_D!$M$20)*1
)</f>
        <v>-0.60000000000000009</v>
      </c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2"/>
      <c r="BB31" s="72"/>
      <c r="BC31" s="73">
        <f>1 - (
    SUM(
        IF(AQ31-Uzman_D!$B$21&lt;0, -(AQ31-Uzman_D!$B$21), AQ31-Uzman_D!$B$21)*0.1 +
        IF(AR31-Uzman_D!$C$21&lt;0, -(AR31-Uzman_D!$C$21), AR31-Uzman_D!$C$21)*0.1 +
        IF(AS31-Uzman_D!$D$21&lt;0, -(AS31-Uzman_D!$D$21), AS31-Uzman_D!$D$21)*0.1 +
        IF(AT31-Uzman_D!$E$21&lt;0, -(AT31-Uzman_D!$E$21), AT31-Uzman_D!$E$21)*0.1 +
        IF(AU31-Uzman_D!$F$21&lt;0, -(AU31-Uzman_D!$F$21), AU31-Uzman_D!$F$21)*0.1 +
        IF(AV31-Uzman_D!$G$21&lt;0, -(AV31-Uzman_D!$G$21), AV31-Uzman_D!$G$21)*0.1 +
        IF(AW31-Uzman_D!$H$21&lt;0, -(AW31-Uzman_D!$H$21), AW31-Uzman_D!$H$21)*0.1 +
        IF(AX31-Uzman_D!$I$21&lt;0, -(AX31-Uzman_D!$I$21), AX31-Uzman_D!$I$21)*0.1 +
        IF(AY31-Uzman_D!$J$21&lt;0, -(AY31-Uzman_D!$J$21), AY31-Uzman_D!$J$21)*0.1
    ) +
    IF(ROUND((IF(BA31-Uzman_D!$L$21&lt;0, -(BA31-Uzman_D!$L$21), BA31-Uzman_D!$L$21)*2),0)/2 = IF(BA31-Uzman_D!$L$21&lt;0, -(BA31-Uzman_D!$L$21), BA31-Uzman_D!$L$21),
    (ROUND((IF(BA31-Uzman_D!$L$21&lt;0, -(BA31-Uzman_D!$L$21), BA31-Uzman_D!$L$21)*2),0)/1 * 0.1), 0) +
    IF(BB31-Uzman_D!$M$21&lt;0, -(BB31-Uzman_D!$M$21), BB31-Uzman_D!$M$21)*1
)</f>
        <v>-0.60000000000000009</v>
      </c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2"/>
      <c r="BO31" s="72"/>
      <c r="BP31" s="73">
        <f>1 - (
    SUM(
        IF(BD31-Uzman_D!$B$22&lt;0, -(BD31-Uzman_D!$B$22), BD31-Uzman_D!$B$22)*0.1 +
        IF(BE31-Uzman_D!$C$22&lt;0, -(BE31-Uzman_D!$C$22), BE31-Uzman_D!$C$22)*0.1 +
        IF(BF31-Uzman_D!$D$22&lt;0, -(BF31-Uzman_D!$D$22), BF31-Uzman_D!$D$22)*0.1 +
        IF(BG31-Uzman_D!$E$22&lt;0, -(BG31-Uzman_D!$E$22), BG31-Uzman_D!$E$22)*0.1 +
        IF(BH31-Uzman_D!$F$22&lt;0, -(BH31-Uzman_D!$F$22), BH31-Uzman_D!$F$22)*0.1 +
        IF(BI31-Uzman_D!$G$22&lt;0, -(BI31-Uzman_D!$G$22), BI31-Uzman_D!$G$22)*0.1 +
        IF(BJ31-Uzman_D!$H$22&lt;0, -(BJ31-Uzman_D!$H$22), BJ31-Uzman_D!$H$22)*0.1 +
        IF(BK31-Uzman_D!$I$22&lt;0, -(BK31-Uzman_D!$I$22), BK31-Uzman_D!$I$22)*0.1 +
        IF(BL31-Uzman_D!$J$22&lt;0, -(BL31-Uzman_D!$J$22), BL31-Uzman_D!$J$22)*0.1
    ) +
    IF(ROUND((IF(BN31-Uzman_D!$L$22&lt;0, -(BN31-Uzman_D!$L$22), BN31-Uzman_D!$L$22)*2),0)/2 = IF(BN31-Uzman_D!$L$22&lt;0, -(BN31-Uzman_D!$L$22), BN31-Uzman_D!$L$22),
    (ROUND((IF(BN31-Uzman_D!$L$22&lt;0, -(BN31-Uzman_D!$L$22), BN31-Uzman_D!$L$22)*2),0)/1 * 0.1), 0) +
    IF(BO31-Uzman_D!$M$22&lt;0, -(BO31-Uzman_D!$M$22), BO31-Uzman_D!$M$22)*1
)</f>
        <v>-0.40000000000000013</v>
      </c>
      <c r="BQ31" s="74">
        <f t="shared" si="0"/>
        <v>-0.54000000000000026</v>
      </c>
    </row>
    <row r="32" spans="1:69" ht="15" customHeight="1" x14ac:dyDescent="0.2">
      <c r="A32" s="57">
        <v>29</v>
      </c>
      <c r="B32" s="29">
        <f>Hakemler!B32</f>
        <v>0</v>
      </c>
      <c r="C32" s="29">
        <f>Hakemler!C32</f>
        <v>0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2"/>
      <c r="O32" s="72"/>
      <c r="P32" s="73">
        <f>1 - (
    SUM(
        IF(D32-Uzman_D!$B$18&lt;0, -(D32-Uzman_D!$B$18), D32-Uzman_D!$B$18)*0.1 +
        IF(E32-Uzman_D!$C$18&lt;0, -(E32-Uzman_D!$C$18), E32-Uzman_D!$C$18)*0.1 +
        IF(F32-Uzman_D!$D$18&lt;0, -(F32-Uzman_D!$D$18), F32-Uzman_D!$D$18)*0.1 +
        IF(G32-Uzman_D!$E$18&lt;0, -(G32-Uzman_D!$E$18), G32-Uzman_D!$E$18)*0.1 +
        IF(H32-Uzman_D!$F$18&lt;0, -(H32-Uzman_D!$F$18), H32-Uzman_D!$F$18)*0.1 +
        IF(I32-Uzman_D!$G$18&lt;0, -(I32-Uzman_D!$G$18), I32-Uzman_D!$G$18)*0.1 +
        IF(J32-Uzman_D!$H$18&lt;0, -(J32-Uzman_D!$H$18), J32-Uzman_D!$H$18)*0.1 +
        IF(K32-Uzman_D!$I$18&lt;0, -(K32-Uzman_D!$I$18), K32-Uzman_D!$I$18)*0.1 +
        IF(L32-Uzman_D!$J$18&lt;0, -(L32-Uzman_D!$J$18), L32-Uzman_D!$J$18)*0.1
    ) +
    IF(ROUND((IF(N32-Uzman_D!$L$18&lt;0, -(N32-Uzman_D!$L$18), N32-Uzman_D!$L$18)*2),0)/2 = IF(N32-Uzman_D!$L$18&lt;0, -(N32-Uzman_D!$L$18), N32-Uzman_D!$L$18),
    (ROUND((IF(N32-Uzman_D!$L$18&lt;0, -(N32-Uzman_D!$L$18), N32-Uzman_D!$L$18)*2),0)/1 * 0.1), 0) +
    IF(O32-Uzman_D!$M$18&lt;0, -(O32-Uzman_D!$M$18), O32-Uzman_D!$M$18)*1
)</f>
        <v>-0.50000000000000022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2"/>
      <c r="AB32" s="72"/>
      <c r="AC32" s="73">
        <f>1 - (
    SUM(
        IF(Q32-Uzman_D!$B$19&lt;0, -(Q32-Uzman_D!$B$19), Q32-Uzman_D!$B$19)*0.1 +
        IF(R32-Uzman_D!$C$19&lt;0, -(R32-Uzman_D!$C$19), R32-Uzman_D!$C$19)*0.1 +
        IF(S32-Uzman_D!$D$19&lt;0, -(S32-Uzman_D!$D$19), S32-Uzman_D!$D$19)*0.1 +
        IF(T32-Uzman_D!$E$19&lt;0, -(T32-Uzman_D!$E$19), T32-Uzman_D!$E$19)*0.1 +
        IF(U32-Uzman_D!$F$19&lt;0, -(U32-Uzman_D!$F$19), U32-Uzman_D!$F$19)*0.1 +
        IF(V32-Uzman_D!$G$19&lt;0, -(V32-Uzman_D!$G$19), V32-Uzman_D!$G$19)*0.1 +
        IF(W32-Uzman_D!$H$19&lt;0, -(W32-Uzman_D!$H$19), W32-Uzman_D!$H$19)*0.1 +
        IF(X32-Uzman_D!$I$19&lt;0, -(X32-Uzman_D!$I$19), X32-Uzman_D!$I$19)*0.1 +
        IF(Y32-Uzman_D!$J$19&lt;0, -(Y32-Uzman_D!$J$19), Y32-Uzman_D!$J$19)*0.1
    ) +
    IF(ROUND((IF(AA32-Uzman_D!$L$19&lt;0, -(AA32-Uzman_D!$L$19), AA32-Uzman_D!$L$19)*2),0)/2 = IF(AA32-Uzman_D!$L$19&lt;0, -(AA32-Uzman_D!$L$19), AA32-Uzman_D!$L$19),
    (ROUND((IF(AA32-Uzman_D!$L$19&lt;0, -(AA32-Uzman_D!$L$19), AA32-Uzman_D!$L$19)*2),0)/1 * 0.1), 0) +
    IF(AB32-Uzman_D!$M$19&lt;0, -(AB32-Uzman_D!$M$19), AB32-Uzman_D!$M$19)*1
)</f>
        <v>-0.60000000000000009</v>
      </c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2"/>
      <c r="AO32" s="72"/>
      <c r="AP32" s="73">
        <f>1 - (
    SUM(
        IF(AD32-Uzman_D!$B$20&lt;0, -(AD32-Uzman_D!$B$20), AD32-Uzman_D!$B$20)*0.1 +
        IF(AE32-Uzman_D!$C$20&lt;0, -(AE32-Uzman_D!$C$20), AE32-Uzman_D!$C$20)*0.1 +
        IF(AF32-Uzman_D!$D$20&lt;0, -(AF32-Uzman_D!$D$20), AF32-Uzman_D!$D$20)*0.1 +
        IF(AG32-Uzman_D!$E$20&lt;0, -(AG32-Uzman_D!$E$20), AG32-Uzman_D!$E$20)*0.1 +
        IF(AH32-Uzman_D!$F$20&lt;0, -(AH32-Uzman_D!$F$20), AH32-Uzman_D!$F$20)*0.1 +
        IF(AI32-Uzman_D!$G$20&lt;0, -(AI32-Uzman_D!$G$20), AI32-Uzman_D!$G$20)*0.1 +
        IF(AJ32-Uzman_D!$H$20&lt;0, -(AJ32-Uzman_D!$H$20), AJ32-Uzman_D!$H$20)*0.1 +
        IF(AK32-Uzman_D!$I$20&lt;0, -(AK32-Uzman_D!$I$20), AK32-Uzman_D!$I$20)*0.1 +
        IF(AL32-Uzman_D!$J$20&lt;0, -(AL32-Uzman_D!$J$20), AL32-Uzman_D!$J$20)*0.1
    ) +
    IF(ROUND((IF(AN32-Uzman_D!$L$20&lt;0, -(AN32-Uzman_D!$L$20), AN32-Uzman_D!$L$20)*2),0)/2 = IF(AN32-Uzman_D!$L$20&lt;0, -(AN32-Uzman_D!$L$20), AN32-Uzman_D!$L$20),
    (ROUND((IF(AN32-Uzman_D!$L$20&lt;0, -(AN32-Uzman_D!$L$20), AN32-Uzman_D!$L$20)*2),0)/1 * 0.1), 0) +
    IF(AO32-Uzman_D!$M$20&lt;0, -(AO32-Uzman_D!$M$20), AO32-Uzman_D!$M$20)*1
)</f>
        <v>-0.60000000000000009</v>
      </c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2"/>
      <c r="BB32" s="72"/>
      <c r="BC32" s="73">
        <f>1 - (
    SUM(
        IF(AQ32-Uzman_D!$B$21&lt;0, -(AQ32-Uzman_D!$B$21), AQ32-Uzman_D!$B$21)*0.1 +
        IF(AR32-Uzman_D!$C$21&lt;0, -(AR32-Uzman_D!$C$21), AR32-Uzman_D!$C$21)*0.1 +
        IF(AS32-Uzman_D!$D$21&lt;0, -(AS32-Uzman_D!$D$21), AS32-Uzman_D!$D$21)*0.1 +
        IF(AT32-Uzman_D!$E$21&lt;0, -(AT32-Uzman_D!$E$21), AT32-Uzman_D!$E$21)*0.1 +
        IF(AU32-Uzman_D!$F$21&lt;0, -(AU32-Uzman_D!$F$21), AU32-Uzman_D!$F$21)*0.1 +
        IF(AV32-Uzman_D!$G$21&lt;0, -(AV32-Uzman_D!$G$21), AV32-Uzman_D!$G$21)*0.1 +
        IF(AW32-Uzman_D!$H$21&lt;0, -(AW32-Uzman_D!$H$21), AW32-Uzman_D!$H$21)*0.1 +
        IF(AX32-Uzman_D!$I$21&lt;0, -(AX32-Uzman_D!$I$21), AX32-Uzman_D!$I$21)*0.1 +
        IF(AY32-Uzman_D!$J$21&lt;0, -(AY32-Uzman_D!$J$21), AY32-Uzman_D!$J$21)*0.1
    ) +
    IF(ROUND((IF(BA32-Uzman_D!$L$21&lt;0, -(BA32-Uzman_D!$L$21), BA32-Uzman_D!$L$21)*2),0)/2 = IF(BA32-Uzman_D!$L$21&lt;0, -(BA32-Uzman_D!$L$21), BA32-Uzman_D!$L$21),
    (ROUND((IF(BA32-Uzman_D!$L$21&lt;0, -(BA32-Uzman_D!$L$21), BA32-Uzman_D!$L$21)*2),0)/1 * 0.1), 0) +
    IF(BB32-Uzman_D!$M$21&lt;0, -(BB32-Uzman_D!$M$21), BB32-Uzman_D!$M$21)*1
)</f>
        <v>-0.60000000000000009</v>
      </c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2"/>
      <c r="BO32" s="72"/>
      <c r="BP32" s="73">
        <f>1 - (
    SUM(
        IF(BD32-Uzman_D!$B$22&lt;0, -(BD32-Uzman_D!$B$22), BD32-Uzman_D!$B$22)*0.1 +
        IF(BE32-Uzman_D!$C$22&lt;0, -(BE32-Uzman_D!$C$22), BE32-Uzman_D!$C$22)*0.1 +
        IF(BF32-Uzman_D!$D$22&lt;0, -(BF32-Uzman_D!$D$22), BF32-Uzman_D!$D$22)*0.1 +
        IF(BG32-Uzman_D!$E$22&lt;0, -(BG32-Uzman_D!$E$22), BG32-Uzman_D!$E$22)*0.1 +
        IF(BH32-Uzman_D!$F$22&lt;0, -(BH32-Uzman_D!$F$22), BH32-Uzman_D!$F$22)*0.1 +
        IF(BI32-Uzman_D!$G$22&lt;0, -(BI32-Uzman_D!$G$22), BI32-Uzman_D!$G$22)*0.1 +
        IF(BJ32-Uzman_D!$H$22&lt;0, -(BJ32-Uzman_D!$H$22), BJ32-Uzman_D!$H$22)*0.1 +
        IF(BK32-Uzman_D!$I$22&lt;0, -(BK32-Uzman_D!$I$22), BK32-Uzman_D!$I$22)*0.1 +
        IF(BL32-Uzman_D!$J$22&lt;0, -(BL32-Uzman_D!$J$22), BL32-Uzman_D!$J$22)*0.1
    ) +
    IF(ROUND((IF(BN32-Uzman_D!$L$22&lt;0, -(BN32-Uzman_D!$L$22), BN32-Uzman_D!$L$22)*2),0)/2 = IF(BN32-Uzman_D!$L$22&lt;0, -(BN32-Uzman_D!$L$22), BN32-Uzman_D!$L$22),
    (ROUND((IF(BN32-Uzman_D!$L$22&lt;0, -(BN32-Uzman_D!$L$22), BN32-Uzman_D!$L$22)*2),0)/1 * 0.1), 0) +
    IF(BO32-Uzman_D!$M$22&lt;0, -(BO32-Uzman_D!$M$22), BO32-Uzman_D!$M$22)*1
)</f>
        <v>-0.40000000000000013</v>
      </c>
      <c r="BQ32" s="74">
        <f t="shared" si="0"/>
        <v>-0.54000000000000026</v>
      </c>
    </row>
    <row r="33" spans="1:69" ht="15" customHeight="1" x14ac:dyDescent="0.2">
      <c r="A33" s="57">
        <v>30</v>
      </c>
      <c r="B33" s="29">
        <f>Hakemler!B33</f>
        <v>0</v>
      </c>
      <c r="C33" s="29">
        <f>Hakemler!C33</f>
        <v>0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72"/>
      <c r="P33" s="73">
        <f>1 - (
    SUM(
        IF(D33-Uzman_D!$B$18&lt;0, -(D33-Uzman_D!$B$18), D33-Uzman_D!$B$18)*0.1 +
        IF(E33-Uzman_D!$C$18&lt;0, -(E33-Uzman_D!$C$18), E33-Uzman_D!$C$18)*0.1 +
        IF(F33-Uzman_D!$D$18&lt;0, -(F33-Uzman_D!$D$18), F33-Uzman_D!$D$18)*0.1 +
        IF(G33-Uzman_D!$E$18&lt;0, -(G33-Uzman_D!$E$18), G33-Uzman_D!$E$18)*0.1 +
        IF(H33-Uzman_D!$F$18&lt;0, -(H33-Uzman_D!$F$18), H33-Uzman_D!$F$18)*0.1 +
        IF(I33-Uzman_D!$G$18&lt;0, -(I33-Uzman_D!$G$18), I33-Uzman_D!$G$18)*0.1 +
        IF(J33-Uzman_D!$H$18&lt;0, -(J33-Uzman_D!$H$18), J33-Uzman_D!$H$18)*0.1 +
        IF(K33-Uzman_D!$I$18&lt;0, -(K33-Uzman_D!$I$18), K33-Uzman_D!$I$18)*0.1 +
        IF(L33-Uzman_D!$J$18&lt;0, -(L33-Uzman_D!$J$18), L33-Uzman_D!$J$18)*0.1
    ) +
    IF(ROUND((IF(N33-Uzman_D!$L$18&lt;0, -(N33-Uzman_D!$L$18), N33-Uzman_D!$L$18)*2),0)/2 = IF(N33-Uzman_D!$L$18&lt;0, -(N33-Uzman_D!$L$18), N33-Uzman_D!$L$18),
    (ROUND((IF(N33-Uzman_D!$L$18&lt;0, -(N33-Uzman_D!$L$18), N33-Uzman_D!$L$18)*2),0)/1 * 0.1), 0) +
    IF(O33-Uzman_D!$M$18&lt;0, -(O33-Uzman_D!$M$18), O33-Uzman_D!$M$18)*1
)</f>
        <v>-0.50000000000000022</v>
      </c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2"/>
      <c r="AB33" s="72"/>
      <c r="AC33" s="73">
        <f>1 - (
    SUM(
        IF(Q33-Uzman_D!$B$19&lt;0, -(Q33-Uzman_D!$B$19), Q33-Uzman_D!$B$19)*0.1 +
        IF(R33-Uzman_D!$C$19&lt;0, -(R33-Uzman_D!$C$19), R33-Uzman_D!$C$19)*0.1 +
        IF(S33-Uzman_D!$D$19&lt;0, -(S33-Uzman_D!$D$19), S33-Uzman_D!$D$19)*0.1 +
        IF(T33-Uzman_D!$E$19&lt;0, -(T33-Uzman_D!$E$19), T33-Uzman_D!$E$19)*0.1 +
        IF(U33-Uzman_D!$F$19&lt;0, -(U33-Uzman_D!$F$19), U33-Uzman_D!$F$19)*0.1 +
        IF(V33-Uzman_D!$G$19&lt;0, -(V33-Uzman_D!$G$19), V33-Uzman_D!$G$19)*0.1 +
        IF(W33-Uzman_D!$H$19&lt;0, -(W33-Uzman_D!$H$19), W33-Uzman_D!$H$19)*0.1 +
        IF(X33-Uzman_D!$I$19&lt;0, -(X33-Uzman_D!$I$19), X33-Uzman_D!$I$19)*0.1 +
        IF(Y33-Uzman_D!$J$19&lt;0, -(Y33-Uzman_D!$J$19), Y33-Uzman_D!$J$19)*0.1
    ) +
    IF(ROUND((IF(AA33-Uzman_D!$L$19&lt;0, -(AA33-Uzman_D!$L$19), AA33-Uzman_D!$L$19)*2),0)/2 = IF(AA33-Uzman_D!$L$19&lt;0, -(AA33-Uzman_D!$L$19), AA33-Uzman_D!$L$19),
    (ROUND((IF(AA33-Uzman_D!$L$19&lt;0, -(AA33-Uzman_D!$L$19), AA33-Uzman_D!$L$19)*2),0)/1 * 0.1), 0) +
    IF(AB33-Uzman_D!$M$19&lt;0, -(AB33-Uzman_D!$M$19), AB33-Uzman_D!$M$19)*1
)</f>
        <v>-0.60000000000000009</v>
      </c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2"/>
      <c r="AO33" s="72"/>
      <c r="AP33" s="73">
        <f>1 - (
    SUM(
        IF(AD33-Uzman_D!$B$20&lt;0, -(AD33-Uzman_D!$B$20), AD33-Uzman_D!$B$20)*0.1 +
        IF(AE33-Uzman_D!$C$20&lt;0, -(AE33-Uzman_D!$C$20), AE33-Uzman_D!$C$20)*0.1 +
        IF(AF33-Uzman_D!$D$20&lt;0, -(AF33-Uzman_D!$D$20), AF33-Uzman_D!$D$20)*0.1 +
        IF(AG33-Uzman_D!$E$20&lt;0, -(AG33-Uzman_D!$E$20), AG33-Uzman_D!$E$20)*0.1 +
        IF(AH33-Uzman_D!$F$20&lt;0, -(AH33-Uzman_D!$F$20), AH33-Uzman_D!$F$20)*0.1 +
        IF(AI33-Uzman_D!$G$20&lt;0, -(AI33-Uzman_D!$G$20), AI33-Uzman_D!$G$20)*0.1 +
        IF(AJ33-Uzman_D!$H$20&lt;0, -(AJ33-Uzman_D!$H$20), AJ33-Uzman_D!$H$20)*0.1 +
        IF(AK33-Uzman_D!$I$20&lt;0, -(AK33-Uzman_D!$I$20), AK33-Uzman_D!$I$20)*0.1 +
        IF(AL33-Uzman_D!$J$20&lt;0, -(AL33-Uzman_D!$J$20), AL33-Uzman_D!$J$20)*0.1
    ) +
    IF(ROUND((IF(AN33-Uzman_D!$L$20&lt;0, -(AN33-Uzman_D!$L$20), AN33-Uzman_D!$L$20)*2),0)/2 = IF(AN33-Uzman_D!$L$20&lt;0, -(AN33-Uzman_D!$L$20), AN33-Uzman_D!$L$20),
    (ROUND((IF(AN33-Uzman_D!$L$20&lt;0, -(AN33-Uzman_D!$L$20), AN33-Uzman_D!$L$20)*2),0)/1 * 0.1), 0) +
    IF(AO33-Uzman_D!$M$20&lt;0, -(AO33-Uzman_D!$M$20), AO33-Uzman_D!$M$20)*1
)</f>
        <v>-0.60000000000000009</v>
      </c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2"/>
      <c r="BB33" s="72"/>
      <c r="BC33" s="73">
        <f>1 - (
    SUM(
        IF(AQ33-Uzman_D!$B$21&lt;0, -(AQ33-Uzman_D!$B$21), AQ33-Uzman_D!$B$21)*0.1 +
        IF(AR33-Uzman_D!$C$21&lt;0, -(AR33-Uzman_D!$C$21), AR33-Uzman_D!$C$21)*0.1 +
        IF(AS33-Uzman_D!$D$21&lt;0, -(AS33-Uzman_D!$D$21), AS33-Uzman_D!$D$21)*0.1 +
        IF(AT33-Uzman_D!$E$21&lt;0, -(AT33-Uzman_D!$E$21), AT33-Uzman_D!$E$21)*0.1 +
        IF(AU33-Uzman_D!$F$21&lt;0, -(AU33-Uzman_D!$F$21), AU33-Uzman_D!$F$21)*0.1 +
        IF(AV33-Uzman_D!$G$21&lt;0, -(AV33-Uzman_D!$G$21), AV33-Uzman_D!$G$21)*0.1 +
        IF(AW33-Uzman_D!$H$21&lt;0, -(AW33-Uzman_D!$H$21), AW33-Uzman_D!$H$21)*0.1 +
        IF(AX33-Uzman_D!$I$21&lt;0, -(AX33-Uzman_D!$I$21), AX33-Uzman_D!$I$21)*0.1 +
        IF(AY33-Uzman_D!$J$21&lt;0, -(AY33-Uzman_D!$J$21), AY33-Uzman_D!$J$21)*0.1
    ) +
    IF(ROUND((IF(BA33-Uzman_D!$L$21&lt;0, -(BA33-Uzman_D!$L$21), BA33-Uzman_D!$L$21)*2),0)/2 = IF(BA33-Uzman_D!$L$21&lt;0, -(BA33-Uzman_D!$L$21), BA33-Uzman_D!$L$21),
    (ROUND((IF(BA33-Uzman_D!$L$21&lt;0, -(BA33-Uzman_D!$L$21), BA33-Uzman_D!$L$21)*2),0)/1 * 0.1), 0) +
    IF(BB33-Uzman_D!$M$21&lt;0, -(BB33-Uzman_D!$M$21), BB33-Uzman_D!$M$21)*1
)</f>
        <v>-0.60000000000000009</v>
      </c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2"/>
      <c r="BO33" s="72"/>
      <c r="BP33" s="73">
        <f>1 - (
    SUM(
        IF(BD33-Uzman_D!$B$22&lt;0, -(BD33-Uzman_D!$B$22), BD33-Uzman_D!$B$22)*0.1 +
        IF(BE33-Uzman_D!$C$22&lt;0, -(BE33-Uzman_D!$C$22), BE33-Uzman_D!$C$22)*0.1 +
        IF(BF33-Uzman_D!$D$22&lt;0, -(BF33-Uzman_D!$D$22), BF33-Uzman_D!$D$22)*0.1 +
        IF(BG33-Uzman_D!$E$22&lt;0, -(BG33-Uzman_D!$E$22), BG33-Uzman_D!$E$22)*0.1 +
        IF(BH33-Uzman_D!$F$22&lt;0, -(BH33-Uzman_D!$F$22), BH33-Uzman_D!$F$22)*0.1 +
        IF(BI33-Uzman_D!$G$22&lt;0, -(BI33-Uzman_D!$G$22), BI33-Uzman_D!$G$22)*0.1 +
        IF(BJ33-Uzman_D!$H$22&lt;0, -(BJ33-Uzman_D!$H$22), BJ33-Uzman_D!$H$22)*0.1 +
        IF(BK33-Uzman_D!$I$22&lt;0, -(BK33-Uzman_D!$I$22), BK33-Uzman_D!$I$22)*0.1 +
        IF(BL33-Uzman_D!$J$22&lt;0, -(BL33-Uzman_D!$J$22), BL33-Uzman_D!$J$22)*0.1
    ) +
    IF(ROUND((IF(BN33-Uzman_D!$L$22&lt;0, -(BN33-Uzman_D!$L$22), BN33-Uzman_D!$L$22)*2),0)/2 = IF(BN33-Uzman_D!$L$22&lt;0, -(BN33-Uzman_D!$L$22), BN33-Uzman_D!$L$22),
    (ROUND((IF(BN33-Uzman_D!$L$22&lt;0, -(BN33-Uzman_D!$L$22), BN33-Uzman_D!$L$22)*2),0)/1 * 0.1), 0) +
    IF(BO33-Uzman_D!$M$22&lt;0, -(BO33-Uzman_D!$M$22), BO33-Uzman_D!$M$22)*1
)</f>
        <v>-0.40000000000000013</v>
      </c>
      <c r="BQ33" s="74">
        <f t="shared" si="0"/>
        <v>-0.54000000000000026</v>
      </c>
    </row>
    <row r="34" spans="1:69" ht="15" customHeight="1" x14ac:dyDescent="0.2">
      <c r="A34" s="57">
        <v>31</v>
      </c>
      <c r="B34" s="29">
        <f>Hakemler!B34</f>
        <v>0</v>
      </c>
      <c r="C34" s="29">
        <f>Hakemler!C34</f>
        <v>0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2"/>
      <c r="O34" s="72"/>
      <c r="P34" s="73">
        <f>1 - (
    SUM(
        IF(D34-Uzman_D!$B$18&lt;0, -(D34-Uzman_D!$B$18), D34-Uzman_D!$B$18)*0.1 +
        IF(E34-Uzman_D!$C$18&lt;0, -(E34-Uzman_D!$C$18), E34-Uzman_D!$C$18)*0.1 +
        IF(F34-Uzman_D!$D$18&lt;0, -(F34-Uzman_D!$D$18), F34-Uzman_D!$D$18)*0.1 +
        IF(G34-Uzman_D!$E$18&lt;0, -(G34-Uzman_D!$E$18), G34-Uzman_D!$E$18)*0.1 +
        IF(H34-Uzman_D!$F$18&lt;0, -(H34-Uzman_D!$F$18), H34-Uzman_D!$F$18)*0.1 +
        IF(I34-Uzman_D!$G$18&lt;0, -(I34-Uzman_D!$G$18), I34-Uzman_D!$G$18)*0.1 +
        IF(J34-Uzman_D!$H$18&lt;0, -(J34-Uzman_D!$H$18), J34-Uzman_D!$H$18)*0.1 +
        IF(K34-Uzman_D!$I$18&lt;0, -(K34-Uzman_D!$I$18), K34-Uzman_D!$I$18)*0.1 +
        IF(L34-Uzman_D!$J$18&lt;0, -(L34-Uzman_D!$J$18), L34-Uzman_D!$J$18)*0.1
    ) +
    IF(ROUND((IF(N34-Uzman_D!$L$18&lt;0, -(N34-Uzman_D!$L$18), N34-Uzman_D!$L$18)*2),0)/2 = IF(N34-Uzman_D!$L$18&lt;0, -(N34-Uzman_D!$L$18), N34-Uzman_D!$L$18),
    (ROUND((IF(N34-Uzman_D!$L$18&lt;0, -(N34-Uzman_D!$L$18), N34-Uzman_D!$L$18)*2),0)/1 * 0.1), 0) +
    IF(O34-Uzman_D!$M$18&lt;0, -(O34-Uzman_D!$M$18), O34-Uzman_D!$M$18)*1
)</f>
        <v>-0.50000000000000022</v>
      </c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2"/>
      <c r="AB34" s="72"/>
      <c r="AC34" s="73">
        <f>1 - (
    SUM(
        IF(Q34-Uzman_D!$B$19&lt;0, -(Q34-Uzman_D!$B$19), Q34-Uzman_D!$B$19)*0.1 +
        IF(R34-Uzman_D!$C$19&lt;0, -(R34-Uzman_D!$C$19), R34-Uzman_D!$C$19)*0.1 +
        IF(S34-Uzman_D!$D$19&lt;0, -(S34-Uzman_D!$D$19), S34-Uzman_D!$D$19)*0.1 +
        IF(T34-Uzman_D!$E$19&lt;0, -(T34-Uzman_D!$E$19), T34-Uzman_D!$E$19)*0.1 +
        IF(U34-Uzman_D!$F$19&lt;0, -(U34-Uzman_D!$F$19), U34-Uzman_D!$F$19)*0.1 +
        IF(V34-Uzman_D!$G$19&lt;0, -(V34-Uzman_D!$G$19), V34-Uzman_D!$G$19)*0.1 +
        IF(W34-Uzman_D!$H$19&lt;0, -(W34-Uzman_D!$H$19), W34-Uzman_D!$H$19)*0.1 +
        IF(X34-Uzman_D!$I$19&lt;0, -(X34-Uzman_D!$I$19), X34-Uzman_D!$I$19)*0.1 +
        IF(Y34-Uzman_D!$J$19&lt;0, -(Y34-Uzman_D!$J$19), Y34-Uzman_D!$J$19)*0.1
    ) +
    IF(ROUND((IF(AA34-Uzman_D!$L$19&lt;0, -(AA34-Uzman_D!$L$19), AA34-Uzman_D!$L$19)*2),0)/2 = IF(AA34-Uzman_D!$L$19&lt;0, -(AA34-Uzman_D!$L$19), AA34-Uzman_D!$L$19),
    (ROUND((IF(AA34-Uzman_D!$L$19&lt;0, -(AA34-Uzman_D!$L$19), AA34-Uzman_D!$L$19)*2),0)/1 * 0.1), 0) +
    IF(AB34-Uzman_D!$M$19&lt;0, -(AB34-Uzman_D!$M$19), AB34-Uzman_D!$M$19)*1
)</f>
        <v>-0.60000000000000009</v>
      </c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2"/>
      <c r="AO34" s="72"/>
      <c r="AP34" s="73">
        <f>1 - (
    SUM(
        IF(AD34-Uzman_D!$B$20&lt;0, -(AD34-Uzman_D!$B$20), AD34-Uzman_D!$B$20)*0.1 +
        IF(AE34-Uzman_D!$C$20&lt;0, -(AE34-Uzman_D!$C$20), AE34-Uzman_D!$C$20)*0.1 +
        IF(AF34-Uzman_D!$D$20&lt;0, -(AF34-Uzman_D!$D$20), AF34-Uzman_D!$D$20)*0.1 +
        IF(AG34-Uzman_D!$E$20&lt;0, -(AG34-Uzman_D!$E$20), AG34-Uzman_D!$E$20)*0.1 +
        IF(AH34-Uzman_D!$F$20&lt;0, -(AH34-Uzman_D!$F$20), AH34-Uzman_D!$F$20)*0.1 +
        IF(AI34-Uzman_D!$G$20&lt;0, -(AI34-Uzman_D!$G$20), AI34-Uzman_D!$G$20)*0.1 +
        IF(AJ34-Uzman_D!$H$20&lt;0, -(AJ34-Uzman_D!$H$20), AJ34-Uzman_D!$H$20)*0.1 +
        IF(AK34-Uzman_D!$I$20&lt;0, -(AK34-Uzman_D!$I$20), AK34-Uzman_D!$I$20)*0.1 +
        IF(AL34-Uzman_D!$J$20&lt;0, -(AL34-Uzman_D!$J$20), AL34-Uzman_D!$J$20)*0.1
    ) +
    IF(ROUND((IF(AN34-Uzman_D!$L$20&lt;0, -(AN34-Uzman_D!$L$20), AN34-Uzman_D!$L$20)*2),0)/2 = IF(AN34-Uzman_D!$L$20&lt;0, -(AN34-Uzman_D!$L$20), AN34-Uzman_D!$L$20),
    (ROUND((IF(AN34-Uzman_D!$L$20&lt;0, -(AN34-Uzman_D!$L$20), AN34-Uzman_D!$L$20)*2),0)/1 * 0.1), 0) +
    IF(AO34-Uzman_D!$M$20&lt;0, -(AO34-Uzman_D!$M$20), AO34-Uzman_D!$M$20)*1
)</f>
        <v>-0.60000000000000009</v>
      </c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2"/>
      <c r="BB34" s="72"/>
      <c r="BC34" s="73">
        <f>1 - (
    SUM(
        IF(AQ34-Uzman_D!$B$21&lt;0, -(AQ34-Uzman_D!$B$21), AQ34-Uzman_D!$B$21)*0.1 +
        IF(AR34-Uzman_D!$C$21&lt;0, -(AR34-Uzman_D!$C$21), AR34-Uzman_D!$C$21)*0.1 +
        IF(AS34-Uzman_D!$D$21&lt;0, -(AS34-Uzman_D!$D$21), AS34-Uzman_D!$D$21)*0.1 +
        IF(AT34-Uzman_D!$E$21&lt;0, -(AT34-Uzman_D!$E$21), AT34-Uzman_D!$E$21)*0.1 +
        IF(AU34-Uzman_D!$F$21&lt;0, -(AU34-Uzman_D!$F$21), AU34-Uzman_D!$F$21)*0.1 +
        IF(AV34-Uzman_D!$G$21&lt;0, -(AV34-Uzman_D!$G$21), AV34-Uzman_D!$G$21)*0.1 +
        IF(AW34-Uzman_D!$H$21&lt;0, -(AW34-Uzman_D!$H$21), AW34-Uzman_D!$H$21)*0.1 +
        IF(AX34-Uzman_D!$I$21&lt;0, -(AX34-Uzman_D!$I$21), AX34-Uzman_D!$I$21)*0.1 +
        IF(AY34-Uzman_D!$J$21&lt;0, -(AY34-Uzman_D!$J$21), AY34-Uzman_D!$J$21)*0.1
    ) +
    IF(ROUND((IF(BA34-Uzman_D!$L$21&lt;0, -(BA34-Uzman_D!$L$21), BA34-Uzman_D!$L$21)*2),0)/2 = IF(BA34-Uzman_D!$L$21&lt;0, -(BA34-Uzman_D!$L$21), BA34-Uzman_D!$L$21),
    (ROUND((IF(BA34-Uzman_D!$L$21&lt;0, -(BA34-Uzman_D!$L$21), BA34-Uzman_D!$L$21)*2),0)/1 * 0.1), 0) +
    IF(BB34-Uzman_D!$M$21&lt;0, -(BB34-Uzman_D!$M$21), BB34-Uzman_D!$M$21)*1
)</f>
        <v>-0.60000000000000009</v>
      </c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2"/>
      <c r="BO34" s="72"/>
      <c r="BP34" s="73">
        <f>1 - (
    SUM(
        IF(BD34-Uzman_D!$B$22&lt;0, -(BD34-Uzman_D!$B$22), BD34-Uzman_D!$B$22)*0.1 +
        IF(BE34-Uzman_D!$C$22&lt;0, -(BE34-Uzman_D!$C$22), BE34-Uzman_D!$C$22)*0.1 +
        IF(BF34-Uzman_D!$D$22&lt;0, -(BF34-Uzman_D!$D$22), BF34-Uzman_D!$D$22)*0.1 +
        IF(BG34-Uzman_D!$E$22&lt;0, -(BG34-Uzman_D!$E$22), BG34-Uzman_D!$E$22)*0.1 +
        IF(BH34-Uzman_D!$F$22&lt;0, -(BH34-Uzman_D!$F$22), BH34-Uzman_D!$F$22)*0.1 +
        IF(BI34-Uzman_D!$G$22&lt;0, -(BI34-Uzman_D!$G$22), BI34-Uzman_D!$G$22)*0.1 +
        IF(BJ34-Uzman_D!$H$22&lt;0, -(BJ34-Uzman_D!$H$22), BJ34-Uzman_D!$H$22)*0.1 +
        IF(BK34-Uzman_D!$I$22&lt;0, -(BK34-Uzman_D!$I$22), BK34-Uzman_D!$I$22)*0.1 +
        IF(BL34-Uzman_D!$J$22&lt;0, -(BL34-Uzman_D!$J$22), BL34-Uzman_D!$J$22)*0.1
    ) +
    IF(ROUND((IF(BN34-Uzman_D!$L$22&lt;0, -(BN34-Uzman_D!$L$22), BN34-Uzman_D!$L$22)*2),0)/2 = IF(BN34-Uzman_D!$L$22&lt;0, -(BN34-Uzman_D!$L$22), BN34-Uzman_D!$L$22),
    (ROUND((IF(BN34-Uzman_D!$L$22&lt;0, -(BN34-Uzman_D!$L$22), BN34-Uzman_D!$L$22)*2),0)/1 * 0.1), 0) +
    IF(BO34-Uzman_D!$M$22&lt;0, -(BO34-Uzman_D!$M$22), BO34-Uzman_D!$M$22)*1
)</f>
        <v>-0.40000000000000013</v>
      </c>
      <c r="BQ34" s="74">
        <f t="shared" si="0"/>
        <v>-0.54000000000000026</v>
      </c>
    </row>
    <row r="35" spans="1:69" ht="15" customHeight="1" x14ac:dyDescent="0.2">
      <c r="A35" s="57">
        <v>32</v>
      </c>
      <c r="B35" s="29">
        <f>Hakemler!B35</f>
        <v>0</v>
      </c>
      <c r="C35" s="29">
        <f>Hakemler!C35</f>
        <v>0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  <c r="O35" s="72"/>
      <c r="P35" s="73">
        <f>1 - (
    SUM(
        IF(D35-Uzman_D!$B$18&lt;0, -(D35-Uzman_D!$B$18), D35-Uzman_D!$B$18)*0.1 +
        IF(E35-Uzman_D!$C$18&lt;0, -(E35-Uzman_D!$C$18), E35-Uzman_D!$C$18)*0.1 +
        IF(F35-Uzman_D!$D$18&lt;0, -(F35-Uzman_D!$D$18), F35-Uzman_D!$D$18)*0.1 +
        IF(G35-Uzman_D!$E$18&lt;0, -(G35-Uzman_D!$E$18), G35-Uzman_D!$E$18)*0.1 +
        IF(H35-Uzman_D!$F$18&lt;0, -(H35-Uzman_D!$F$18), H35-Uzman_D!$F$18)*0.1 +
        IF(I35-Uzman_D!$G$18&lt;0, -(I35-Uzman_D!$G$18), I35-Uzman_D!$G$18)*0.1 +
        IF(J35-Uzman_D!$H$18&lt;0, -(J35-Uzman_D!$H$18), J35-Uzman_D!$H$18)*0.1 +
        IF(K35-Uzman_D!$I$18&lt;0, -(K35-Uzman_D!$I$18), K35-Uzman_D!$I$18)*0.1 +
        IF(L35-Uzman_D!$J$18&lt;0, -(L35-Uzman_D!$J$18), L35-Uzman_D!$J$18)*0.1
    ) +
    IF(ROUND((IF(N35-Uzman_D!$L$18&lt;0, -(N35-Uzman_D!$L$18), N35-Uzman_D!$L$18)*2),0)/2 = IF(N35-Uzman_D!$L$18&lt;0, -(N35-Uzman_D!$L$18), N35-Uzman_D!$L$18),
    (ROUND((IF(N35-Uzman_D!$L$18&lt;0, -(N35-Uzman_D!$L$18), N35-Uzman_D!$L$18)*2),0)/1 * 0.1), 0) +
    IF(O35-Uzman_D!$M$18&lt;0, -(O35-Uzman_D!$M$18), O35-Uzman_D!$M$18)*1
)</f>
        <v>-0.50000000000000022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2"/>
      <c r="AB35" s="72"/>
      <c r="AC35" s="73">
        <f>1 - (
    SUM(
        IF(Q35-Uzman_D!$B$19&lt;0, -(Q35-Uzman_D!$B$19), Q35-Uzman_D!$B$19)*0.1 +
        IF(R35-Uzman_D!$C$19&lt;0, -(R35-Uzman_D!$C$19), R35-Uzman_D!$C$19)*0.1 +
        IF(S35-Uzman_D!$D$19&lt;0, -(S35-Uzman_D!$D$19), S35-Uzman_D!$D$19)*0.1 +
        IF(T35-Uzman_D!$E$19&lt;0, -(T35-Uzman_D!$E$19), T35-Uzman_D!$E$19)*0.1 +
        IF(U35-Uzman_D!$F$19&lt;0, -(U35-Uzman_D!$F$19), U35-Uzman_D!$F$19)*0.1 +
        IF(V35-Uzman_D!$G$19&lt;0, -(V35-Uzman_D!$G$19), V35-Uzman_D!$G$19)*0.1 +
        IF(W35-Uzman_D!$H$19&lt;0, -(W35-Uzman_D!$H$19), W35-Uzman_D!$H$19)*0.1 +
        IF(X35-Uzman_D!$I$19&lt;0, -(X35-Uzman_D!$I$19), X35-Uzman_D!$I$19)*0.1 +
        IF(Y35-Uzman_D!$J$19&lt;0, -(Y35-Uzman_D!$J$19), Y35-Uzman_D!$J$19)*0.1
    ) +
    IF(ROUND((IF(AA35-Uzman_D!$L$19&lt;0, -(AA35-Uzman_D!$L$19), AA35-Uzman_D!$L$19)*2),0)/2 = IF(AA35-Uzman_D!$L$19&lt;0, -(AA35-Uzman_D!$L$19), AA35-Uzman_D!$L$19),
    (ROUND((IF(AA35-Uzman_D!$L$19&lt;0, -(AA35-Uzman_D!$L$19), AA35-Uzman_D!$L$19)*2),0)/1 * 0.1), 0) +
    IF(AB35-Uzman_D!$M$19&lt;0, -(AB35-Uzman_D!$M$19), AB35-Uzman_D!$M$19)*1
)</f>
        <v>-0.60000000000000009</v>
      </c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2"/>
      <c r="AO35" s="72"/>
      <c r="AP35" s="73">
        <f>1 - (
    SUM(
        IF(AD35-Uzman_D!$B$20&lt;0, -(AD35-Uzman_D!$B$20), AD35-Uzman_D!$B$20)*0.1 +
        IF(AE35-Uzman_D!$C$20&lt;0, -(AE35-Uzman_D!$C$20), AE35-Uzman_D!$C$20)*0.1 +
        IF(AF35-Uzman_D!$D$20&lt;0, -(AF35-Uzman_D!$D$20), AF35-Uzman_D!$D$20)*0.1 +
        IF(AG35-Uzman_D!$E$20&lt;0, -(AG35-Uzman_D!$E$20), AG35-Uzman_D!$E$20)*0.1 +
        IF(AH35-Uzman_D!$F$20&lt;0, -(AH35-Uzman_D!$F$20), AH35-Uzman_D!$F$20)*0.1 +
        IF(AI35-Uzman_D!$G$20&lt;0, -(AI35-Uzman_D!$G$20), AI35-Uzman_D!$G$20)*0.1 +
        IF(AJ35-Uzman_D!$H$20&lt;0, -(AJ35-Uzman_D!$H$20), AJ35-Uzman_D!$H$20)*0.1 +
        IF(AK35-Uzman_D!$I$20&lt;0, -(AK35-Uzman_D!$I$20), AK35-Uzman_D!$I$20)*0.1 +
        IF(AL35-Uzman_D!$J$20&lt;0, -(AL35-Uzman_D!$J$20), AL35-Uzman_D!$J$20)*0.1
    ) +
    IF(ROUND((IF(AN35-Uzman_D!$L$20&lt;0, -(AN35-Uzman_D!$L$20), AN35-Uzman_D!$L$20)*2),0)/2 = IF(AN35-Uzman_D!$L$20&lt;0, -(AN35-Uzman_D!$L$20), AN35-Uzman_D!$L$20),
    (ROUND((IF(AN35-Uzman_D!$L$20&lt;0, -(AN35-Uzman_D!$L$20), AN35-Uzman_D!$L$20)*2),0)/1 * 0.1), 0) +
    IF(AO35-Uzman_D!$M$20&lt;0, -(AO35-Uzman_D!$M$20), AO35-Uzman_D!$M$20)*1
)</f>
        <v>-0.60000000000000009</v>
      </c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2"/>
      <c r="BB35" s="72"/>
      <c r="BC35" s="73">
        <f>1 - (
    SUM(
        IF(AQ35-Uzman_D!$B$21&lt;0, -(AQ35-Uzman_D!$B$21), AQ35-Uzman_D!$B$21)*0.1 +
        IF(AR35-Uzman_D!$C$21&lt;0, -(AR35-Uzman_D!$C$21), AR35-Uzman_D!$C$21)*0.1 +
        IF(AS35-Uzman_D!$D$21&lt;0, -(AS35-Uzman_D!$D$21), AS35-Uzman_D!$D$21)*0.1 +
        IF(AT35-Uzman_D!$E$21&lt;0, -(AT35-Uzman_D!$E$21), AT35-Uzman_D!$E$21)*0.1 +
        IF(AU35-Uzman_D!$F$21&lt;0, -(AU35-Uzman_D!$F$21), AU35-Uzman_D!$F$21)*0.1 +
        IF(AV35-Uzman_D!$G$21&lt;0, -(AV35-Uzman_D!$G$21), AV35-Uzman_D!$G$21)*0.1 +
        IF(AW35-Uzman_D!$H$21&lt;0, -(AW35-Uzman_D!$H$21), AW35-Uzman_D!$H$21)*0.1 +
        IF(AX35-Uzman_D!$I$21&lt;0, -(AX35-Uzman_D!$I$21), AX35-Uzman_D!$I$21)*0.1 +
        IF(AY35-Uzman_D!$J$21&lt;0, -(AY35-Uzman_D!$J$21), AY35-Uzman_D!$J$21)*0.1
    ) +
    IF(ROUND((IF(BA35-Uzman_D!$L$21&lt;0, -(BA35-Uzman_D!$L$21), BA35-Uzman_D!$L$21)*2),0)/2 = IF(BA35-Uzman_D!$L$21&lt;0, -(BA35-Uzman_D!$L$21), BA35-Uzman_D!$L$21),
    (ROUND((IF(BA35-Uzman_D!$L$21&lt;0, -(BA35-Uzman_D!$L$21), BA35-Uzman_D!$L$21)*2),0)/1 * 0.1), 0) +
    IF(BB35-Uzman_D!$M$21&lt;0, -(BB35-Uzman_D!$M$21), BB35-Uzman_D!$M$21)*1
)</f>
        <v>-0.60000000000000009</v>
      </c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2"/>
      <c r="BO35" s="72"/>
      <c r="BP35" s="73">
        <f>1 - (
    SUM(
        IF(BD35-Uzman_D!$B$22&lt;0, -(BD35-Uzman_D!$B$22), BD35-Uzman_D!$B$22)*0.1 +
        IF(BE35-Uzman_D!$C$22&lt;0, -(BE35-Uzman_D!$C$22), BE35-Uzman_D!$C$22)*0.1 +
        IF(BF35-Uzman_D!$D$22&lt;0, -(BF35-Uzman_D!$D$22), BF35-Uzman_D!$D$22)*0.1 +
        IF(BG35-Uzman_D!$E$22&lt;0, -(BG35-Uzman_D!$E$22), BG35-Uzman_D!$E$22)*0.1 +
        IF(BH35-Uzman_D!$F$22&lt;0, -(BH35-Uzman_D!$F$22), BH35-Uzman_D!$F$22)*0.1 +
        IF(BI35-Uzman_D!$G$22&lt;0, -(BI35-Uzman_D!$G$22), BI35-Uzman_D!$G$22)*0.1 +
        IF(BJ35-Uzman_D!$H$22&lt;0, -(BJ35-Uzman_D!$H$22), BJ35-Uzman_D!$H$22)*0.1 +
        IF(BK35-Uzman_D!$I$22&lt;0, -(BK35-Uzman_D!$I$22), BK35-Uzman_D!$I$22)*0.1 +
        IF(BL35-Uzman_D!$J$22&lt;0, -(BL35-Uzman_D!$J$22), BL35-Uzman_D!$J$22)*0.1
    ) +
    IF(ROUND((IF(BN35-Uzman_D!$L$22&lt;0, -(BN35-Uzman_D!$L$22), BN35-Uzman_D!$L$22)*2),0)/2 = IF(BN35-Uzman_D!$L$22&lt;0, -(BN35-Uzman_D!$L$22), BN35-Uzman_D!$L$22),
    (ROUND((IF(BN35-Uzman_D!$L$22&lt;0, -(BN35-Uzman_D!$L$22), BN35-Uzman_D!$L$22)*2),0)/1 * 0.1), 0) +
    IF(BO35-Uzman_D!$M$22&lt;0, -(BO35-Uzman_D!$M$22), BO35-Uzman_D!$M$22)*1
)</f>
        <v>-0.40000000000000013</v>
      </c>
      <c r="BQ35" s="74">
        <f t="shared" si="0"/>
        <v>-0.54000000000000026</v>
      </c>
    </row>
    <row r="36" spans="1:69" ht="15" customHeight="1" x14ac:dyDescent="0.2">
      <c r="A36" s="57">
        <v>33</v>
      </c>
      <c r="B36" s="29">
        <f>Hakemler!B36</f>
        <v>0</v>
      </c>
      <c r="C36" s="29">
        <f>Hakemler!C36</f>
        <v>0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  <c r="O36" s="72"/>
      <c r="P36" s="73">
        <f>1 - (
    SUM(
        IF(D36-Uzman_D!$B$18&lt;0, -(D36-Uzman_D!$B$18), D36-Uzman_D!$B$18)*0.1 +
        IF(E36-Uzman_D!$C$18&lt;0, -(E36-Uzman_D!$C$18), E36-Uzman_D!$C$18)*0.1 +
        IF(F36-Uzman_D!$D$18&lt;0, -(F36-Uzman_D!$D$18), F36-Uzman_D!$D$18)*0.1 +
        IF(G36-Uzman_D!$E$18&lt;0, -(G36-Uzman_D!$E$18), G36-Uzman_D!$E$18)*0.1 +
        IF(H36-Uzman_D!$F$18&lt;0, -(H36-Uzman_D!$F$18), H36-Uzman_D!$F$18)*0.1 +
        IF(I36-Uzman_D!$G$18&lt;0, -(I36-Uzman_D!$G$18), I36-Uzman_D!$G$18)*0.1 +
        IF(J36-Uzman_D!$H$18&lt;0, -(J36-Uzman_D!$H$18), J36-Uzman_D!$H$18)*0.1 +
        IF(K36-Uzman_D!$I$18&lt;0, -(K36-Uzman_D!$I$18), K36-Uzman_D!$I$18)*0.1 +
        IF(L36-Uzman_D!$J$18&lt;0, -(L36-Uzman_D!$J$18), L36-Uzman_D!$J$18)*0.1
    ) +
    IF(ROUND((IF(N36-Uzman_D!$L$18&lt;0, -(N36-Uzman_D!$L$18), N36-Uzman_D!$L$18)*2),0)/2 = IF(N36-Uzman_D!$L$18&lt;0, -(N36-Uzman_D!$L$18), N36-Uzman_D!$L$18),
    (ROUND((IF(N36-Uzman_D!$L$18&lt;0, -(N36-Uzman_D!$L$18), N36-Uzman_D!$L$18)*2),0)/1 * 0.1), 0) +
    IF(O36-Uzman_D!$M$18&lt;0, -(O36-Uzman_D!$M$18), O36-Uzman_D!$M$18)*1
)</f>
        <v>-0.50000000000000022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2"/>
      <c r="AB36" s="72"/>
      <c r="AC36" s="73">
        <f>1 - (
    SUM(
        IF(Q36-Uzman_D!$B$19&lt;0, -(Q36-Uzman_D!$B$19), Q36-Uzman_D!$B$19)*0.1 +
        IF(R36-Uzman_D!$C$19&lt;0, -(R36-Uzman_D!$C$19), R36-Uzman_D!$C$19)*0.1 +
        IF(S36-Uzman_D!$D$19&lt;0, -(S36-Uzman_D!$D$19), S36-Uzman_D!$D$19)*0.1 +
        IF(T36-Uzman_D!$E$19&lt;0, -(T36-Uzman_D!$E$19), T36-Uzman_D!$E$19)*0.1 +
        IF(U36-Uzman_D!$F$19&lt;0, -(U36-Uzman_D!$F$19), U36-Uzman_D!$F$19)*0.1 +
        IF(V36-Uzman_D!$G$19&lt;0, -(V36-Uzman_D!$G$19), V36-Uzman_D!$G$19)*0.1 +
        IF(W36-Uzman_D!$H$19&lt;0, -(W36-Uzman_D!$H$19), W36-Uzman_D!$H$19)*0.1 +
        IF(X36-Uzman_D!$I$19&lt;0, -(X36-Uzman_D!$I$19), X36-Uzman_D!$I$19)*0.1 +
        IF(Y36-Uzman_D!$J$19&lt;0, -(Y36-Uzman_D!$J$19), Y36-Uzman_D!$J$19)*0.1
    ) +
    IF(ROUND((IF(AA36-Uzman_D!$L$19&lt;0, -(AA36-Uzman_D!$L$19), AA36-Uzman_D!$L$19)*2),0)/2 = IF(AA36-Uzman_D!$L$19&lt;0, -(AA36-Uzman_D!$L$19), AA36-Uzman_D!$L$19),
    (ROUND((IF(AA36-Uzman_D!$L$19&lt;0, -(AA36-Uzman_D!$L$19), AA36-Uzman_D!$L$19)*2),0)/1 * 0.1), 0) +
    IF(AB36-Uzman_D!$M$19&lt;0, -(AB36-Uzman_D!$M$19), AB36-Uzman_D!$M$19)*1
)</f>
        <v>-0.60000000000000009</v>
      </c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2"/>
      <c r="AO36" s="72"/>
      <c r="AP36" s="73">
        <f>1 - (
    SUM(
        IF(AD36-Uzman_D!$B$20&lt;0, -(AD36-Uzman_D!$B$20), AD36-Uzman_D!$B$20)*0.1 +
        IF(AE36-Uzman_D!$C$20&lt;0, -(AE36-Uzman_D!$C$20), AE36-Uzman_D!$C$20)*0.1 +
        IF(AF36-Uzman_D!$D$20&lt;0, -(AF36-Uzman_D!$D$20), AF36-Uzman_D!$D$20)*0.1 +
        IF(AG36-Uzman_D!$E$20&lt;0, -(AG36-Uzman_D!$E$20), AG36-Uzman_D!$E$20)*0.1 +
        IF(AH36-Uzman_D!$F$20&lt;0, -(AH36-Uzman_D!$F$20), AH36-Uzman_D!$F$20)*0.1 +
        IF(AI36-Uzman_D!$G$20&lt;0, -(AI36-Uzman_D!$G$20), AI36-Uzman_D!$G$20)*0.1 +
        IF(AJ36-Uzman_D!$H$20&lt;0, -(AJ36-Uzman_D!$H$20), AJ36-Uzman_D!$H$20)*0.1 +
        IF(AK36-Uzman_D!$I$20&lt;0, -(AK36-Uzman_D!$I$20), AK36-Uzman_D!$I$20)*0.1 +
        IF(AL36-Uzman_D!$J$20&lt;0, -(AL36-Uzman_D!$J$20), AL36-Uzman_D!$J$20)*0.1
    ) +
    IF(ROUND((IF(AN36-Uzman_D!$L$20&lt;0, -(AN36-Uzman_D!$L$20), AN36-Uzman_D!$L$20)*2),0)/2 = IF(AN36-Uzman_D!$L$20&lt;0, -(AN36-Uzman_D!$L$20), AN36-Uzman_D!$L$20),
    (ROUND((IF(AN36-Uzman_D!$L$20&lt;0, -(AN36-Uzman_D!$L$20), AN36-Uzman_D!$L$20)*2),0)/1 * 0.1), 0) +
    IF(AO36-Uzman_D!$M$20&lt;0, -(AO36-Uzman_D!$M$20), AO36-Uzman_D!$M$20)*1
)</f>
        <v>-0.60000000000000009</v>
      </c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2"/>
      <c r="BB36" s="72"/>
      <c r="BC36" s="73">
        <f>1 - (
    SUM(
        IF(AQ36-Uzman_D!$B$21&lt;0, -(AQ36-Uzman_D!$B$21), AQ36-Uzman_D!$B$21)*0.1 +
        IF(AR36-Uzman_D!$C$21&lt;0, -(AR36-Uzman_D!$C$21), AR36-Uzman_D!$C$21)*0.1 +
        IF(AS36-Uzman_D!$D$21&lt;0, -(AS36-Uzman_D!$D$21), AS36-Uzman_D!$D$21)*0.1 +
        IF(AT36-Uzman_D!$E$21&lt;0, -(AT36-Uzman_D!$E$21), AT36-Uzman_D!$E$21)*0.1 +
        IF(AU36-Uzman_D!$F$21&lt;0, -(AU36-Uzman_D!$F$21), AU36-Uzman_D!$F$21)*0.1 +
        IF(AV36-Uzman_D!$G$21&lt;0, -(AV36-Uzman_D!$G$21), AV36-Uzman_D!$G$21)*0.1 +
        IF(AW36-Uzman_D!$H$21&lt;0, -(AW36-Uzman_D!$H$21), AW36-Uzman_D!$H$21)*0.1 +
        IF(AX36-Uzman_D!$I$21&lt;0, -(AX36-Uzman_D!$I$21), AX36-Uzman_D!$I$21)*0.1 +
        IF(AY36-Uzman_D!$J$21&lt;0, -(AY36-Uzman_D!$J$21), AY36-Uzman_D!$J$21)*0.1
    ) +
    IF(ROUND((IF(BA36-Uzman_D!$L$21&lt;0, -(BA36-Uzman_D!$L$21), BA36-Uzman_D!$L$21)*2),0)/2 = IF(BA36-Uzman_D!$L$21&lt;0, -(BA36-Uzman_D!$L$21), BA36-Uzman_D!$L$21),
    (ROUND((IF(BA36-Uzman_D!$L$21&lt;0, -(BA36-Uzman_D!$L$21), BA36-Uzman_D!$L$21)*2),0)/1 * 0.1), 0) +
    IF(BB36-Uzman_D!$M$21&lt;0, -(BB36-Uzman_D!$M$21), BB36-Uzman_D!$M$21)*1
)</f>
        <v>-0.60000000000000009</v>
      </c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2"/>
      <c r="BO36" s="72"/>
      <c r="BP36" s="73">
        <f>1 - (
    SUM(
        IF(BD36-Uzman_D!$B$22&lt;0, -(BD36-Uzman_D!$B$22), BD36-Uzman_D!$B$22)*0.1 +
        IF(BE36-Uzman_D!$C$22&lt;0, -(BE36-Uzman_D!$C$22), BE36-Uzman_D!$C$22)*0.1 +
        IF(BF36-Uzman_D!$D$22&lt;0, -(BF36-Uzman_D!$D$22), BF36-Uzman_D!$D$22)*0.1 +
        IF(BG36-Uzman_D!$E$22&lt;0, -(BG36-Uzman_D!$E$22), BG36-Uzman_D!$E$22)*0.1 +
        IF(BH36-Uzman_D!$F$22&lt;0, -(BH36-Uzman_D!$F$22), BH36-Uzman_D!$F$22)*0.1 +
        IF(BI36-Uzman_D!$G$22&lt;0, -(BI36-Uzman_D!$G$22), BI36-Uzman_D!$G$22)*0.1 +
        IF(BJ36-Uzman_D!$H$22&lt;0, -(BJ36-Uzman_D!$H$22), BJ36-Uzman_D!$H$22)*0.1 +
        IF(BK36-Uzman_D!$I$22&lt;0, -(BK36-Uzman_D!$I$22), BK36-Uzman_D!$I$22)*0.1 +
        IF(BL36-Uzman_D!$J$22&lt;0, -(BL36-Uzman_D!$J$22), BL36-Uzman_D!$J$22)*0.1
    ) +
    IF(ROUND((IF(BN36-Uzman_D!$L$22&lt;0, -(BN36-Uzman_D!$L$22), BN36-Uzman_D!$L$22)*2),0)/2 = IF(BN36-Uzman_D!$L$22&lt;0, -(BN36-Uzman_D!$L$22), BN36-Uzman_D!$L$22),
    (ROUND((IF(BN36-Uzman_D!$L$22&lt;0, -(BN36-Uzman_D!$L$22), BN36-Uzman_D!$L$22)*2),0)/1 * 0.1), 0) +
    IF(BO36-Uzman_D!$M$22&lt;0, -(BO36-Uzman_D!$M$22), BO36-Uzman_D!$M$22)*1
)</f>
        <v>-0.40000000000000013</v>
      </c>
      <c r="BQ36" s="74">
        <f t="shared" si="0"/>
        <v>-0.54000000000000026</v>
      </c>
    </row>
    <row r="37" spans="1:69" ht="15" customHeight="1" x14ac:dyDescent="0.2">
      <c r="A37" s="57">
        <v>34</v>
      </c>
      <c r="B37" s="29">
        <f>Hakemler!B37</f>
        <v>0</v>
      </c>
      <c r="C37" s="29">
        <f>Hakemler!C37</f>
        <v>0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  <c r="O37" s="72"/>
      <c r="P37" s="73">
        <f>1 - (
    SUM(
        IF(D37-Uzman_D!$B$18&lt;0, -(D37-Uzman_D!$B$18), D37-Uzman_D!$B$18)*0.1 +
        IF(E37-Uzman_D!$C$18&lt;0, -(E37-Uzman_D!$C$18), E37-Uzman_D!$C$18)*0.1 +
        IF(F37-Uzman_D!$D$18&lt;0, -(F37-Uzman_D!$D$18), F37-Uzman_D!$D$18)*0.1 +
        IF(G37-Uzman_D!$E$18&lt;0, -(G37-Uzman_D!$E$18), G37-Uzman_D!$E$18)*0.1 +
        IF(H37-Uzman_D!$F$18&lt;0, -(H37-Uzman_D!$F$18), H37-Uzman_D!$F$18)*0.1 +
        IF(I37-Uzman_D!$G$18&lt;0, -(I37-Uzman_D!$G$18), I37-Uzman_D!$G$18)*0.1 +
        IF(J37-Uzman_D!$H$18&lt;0, -(J37-Uzman_D!$H$18), J37-Uzman_D!$H$18)*0.1 +
        IF(K37-Uzman_D!$I$18&lt;0, -(K37-Uzman_D!$I$18), K37-Uzman_D!$I$18)*0.1 +
        IF(L37-Uzman_D!$J$18&lt;0, -(L37-Uzman_D!$J$18), L37-Uzman_D!$J$18)*0.1
    ) +
    IF(ROUND((IF(N37-Uzman_D!$L$18&lt;0, -(N37-Uzman_D!$L$18), N37-Uzman_D!$L$18)*2),0)/2 = IF(N37-Uzman_D!$L$18&lt;0, -(N37-Uzman_D!$L$18), N37-Uzman_D!$L$18),
    (ROUND((IF(N37-Uzman_D!$L$18&lt;0, -(N37-Uzman_D!$L$18), N37-Uzman_D!$L$18)*2),0)/1 * 0.1), 0) +
    IF(O37-Uzman_D!$M$18&lt;0, -(O37-Uzman_D!$M$18), O37-Uzman_D!$M$18)*1
)</f>
        <v>-0.50000000000000022</v>
      </c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2"/>
      <c r="AB37" s="72"/>
      <c r="AC37" s="73">
        <f>1 - (
    SUM(
        IF(Q37-Uzman_D!$B$19&lt;0, -(Q37-Uzman_D!$B$19), Q37-Uzman_D!$B$19)*0.1 +
        IF(R37-Uzman_D!$C$19&lt;0, -(R37-Uzman_D!$C$19), R37-Uzman_D!$C$19)*0.1 +
        IF(S37-Uzman_D!$D$19&lt;0, -(S37-Uzman_D!$D$19), S37-Uzman_D!$D$19)*0.1 +
        IF(T37-Uzman_D!$E$19&lt;0, -(T37-Uzman_D!$E$19), T37-Uzman_D!$E$19)*0.1 +
        IF(U37-Uzman_D!$F$19&lt;0, -(U37-Uzman_D!$F$19), U37-Uzman_D!$F$19)*0.1 +
        IF(V37-Uzman_D!$G$19&lt;0, -(V37-Uzman_D!$G$19), V37-Uzman_D!$G$19)*0.1 +
        IF(W37-Uzman_D!$H$19&lt;0, -(W37-Uzman_D!$H$19), W37-Uzman_D!$H$19)*0.1 +
        IF(X37-Uzman_D!$I$19&lt;0, -(X37-Uzman_D!$I$19), X37-Uzman_D!$I$19)*0.1 +
        IF(Y37-Uzman_D!$J$19&lt;0, -(Y37-Uzman_D!$J$19), Y37-Uzman_D!$J$19)*0.1
    ) +
    IF(ROUND((IF(AA37-Uzman_D!$L$19&lt;0, -(AA37-Uzman_D!$L$19), AA37-Uzman_D!$L$19)*2),0)/2 = IF(AA37-Uzman_D!$L$19&lt;0, -(AA37-Uzman_D!$L$19), AA37-Uzman_D!$L$19),
    (ROUND((IF(AA37-Uzman_D!$L$19&lt;0, -(AA37-Uzman_D!$L$19), AA37-Uzman_D!$L$19)*2),0)/1 * 0.1), 0) +
    IF(AB37-Uzman_D!$M$19&lt;0, -(AB37-Uzman_D!$M$19), AB37-Uzman_D!$M$19)*1
)</f>
        <v>-0.60000000000000009</v>
      </c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2"/>
      <c r="AO37" s="72"/>
      <c r="AP37" s="73">
        <f>1 - (
    SUM(
        IF(AD37-Uzman_D!$B$20&lt;0, -(AD37-Uzman_D!$B$20), AD37-Uzman_D!$B$20)*0.1 +
        IF(AE37-Uzman_D!$C$20&lt;0, -(AE37-Uzman_D!$C$20), AE37-Uzman_D!$C$20)*0.1 +
        IF(AF37-Uzman_D!$D$20&lt;0, -(AF37-Uzman_D!$D$20), AF37-Uzman_D!$D$20)*0.1 +
        IF(AG37-Uzman_D!$E$20&lt;0, -(AG37-Uzman_D!$E$20), AG37-Uzman_D!$E$20)*0.1 +
        IF(AH37-Uzman_D!$F$20&lt;0, -(AH37-Uzman_D!$F$20), AH37-Uzman_D!$F$20)*0.1 +
        IF(AI37-Uzman_D!$G$20&lt;0, -(AI37-Uzman_D!$G$20), AI37-Uzman_D!$G$20)*0.1 +
        IF(AJ37-Uzman_D!$H$20&lt;0, -(AJ37-Uzman_D!$H$20), AJ37-Uzman_D!$H$20)*0.1 +
        IF(AK37-Uzman_D!$I$20&lt;0, -(AK37-Uzman_D!$I$20), AK37-Uzman_D!$I$20)*0.1 +
        IF(AL37-Uzman_D!$J$20&lt;0, -(AL37-Uzman_D!$J$20), AL37-Uzman_D!$J$20)*0.1
    ) +
    IF(ROUND((IF(AN37-Uzman_D!$L$20&lt;0, -(AN37-Uzman_D!$L$20), AN37-Uzman_D!$L$20)*2),0)/2 = IF(AN37-Uzman_D!$L$20&lt;0, -(AN37-Uzman_D!$L$20), AN37-Uzman_D!$L$20),
    (ROUND((IF(AN37-Uzman_D!$L$20&lt;0, -(AN37-Uzman_D!$L$20), AN37-Uzman_D!$L$20)*2),0)/1 * 0.1), 0) +
    IF(AO37-Uzman_D!$M$20&lt;0, -(AO37-Uzman_D!$M$20), AO37-Uzman_D!$M$20)*1
)</f>
        <v>-0.60000000000000009</v>
      </c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2"/>
      <c r="BB37" s="72"/>
      <c r="BC37" s="73">
        <f>1 - (
    SUM(
        IF(AQ37-Uzman_D!$B$21&lt;0, -(AQ37-Uzman_D!$B$21), AQ37-Uzman_D!$B$21)*0.1 +
        IF(AR37-Uzman_D!$C$21&lt;0, -(AR37-Uzman_D!$C$21), AR37-Uzman_D!$C$21)*0.1 +
        IF(AS37-Uzman_D!$D$21&lt;0, -(AS37-Uzman_D!$D$21), AS37-Uzman_D!$D$21)*0.1 +
        IF(AT37-Uzman_D!$E$21&lt;0, -(AT37-Uzman_D!$E$21), AT37-Uzman_D!$E$21)*0.1 +
        IF(AU37-Uzman_D!$F$21&lt;0, -(AU37-Uzman_D!$F$21), AU37-Uzman_D!$F$21)*0.1 +
        IF(AV37-Uzman_D!$G$21&lt;0, -(AV37-Uzman_D!$G$21), AV37-Uzman_D!$G$21)*0.1 +
        IF(AW37-Uzman_D!$H$21&lt;0, -(AW37-Uzman_D!$H$21), AW37-Uzman_D!$H$21)*0.1 +
        IF(AX37-Uzman_D!$I$21&lt;0, -(AX37-Uzman_D!$I$21), AX37-Uzman_D!$I$21)*0.1 +
        IF(AY37-Uzman_D!$J$21&lt;0, -(AY37-Uzman_D!$J$21), AY37-Uzman_D!$J$21)*0.1
    ) +
    IF(ROUND((IF(BA37-Uzman_D!$L$21&lt;0, -(BA37-Uzman_D!$L$21), BA37-Uzman_D!$L$21)*2),0)/2 = IF(BA37-Uzman_D!$L$21&lt;0, -(BA37-Uzman_D!$L$21), BA37-Uzman_D!$L$21),
    (ROUND((IF(BA37-Uzman_D!$L$21&lt;0, -(BA37-Uzman_D!$L$21), BA37-Uzman_D!$L$21)*2),0)/1 * 0.1), 0) +
    IF(BB37-Uzman_D!$M$21&lt;0, -(BB37-Uzman_D!$M$21), BB37-Uzman_D!$M$21)*1
)</f>
        <v>-0.60000000000000009</v>
      </c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2"/>
      <c r="BO37" s="72"/>
      <c r="BP37" s="73">
        <f>1 - (
    SUM(
        IF(BD37-Uzman_D!$B$22&lt;0, -(BD37-Uzman_D!$B$22), BD37-Uzman_D!$B$22)*0.1 +
        IF(BE37-Uzman_D!$C$22&lt;0, -(BE37-Uzman_D!$C$22), BE37-Uzman_D!$C$22)*0.1 +
        IF(BF37-Uzman_D!$D$22&lt;0, -(BF37-Uzman_D!$D$22), BF37-Uzman_D!$D$22)*0.1 +
        IF(BG37-Uzman_D!$E$22&lt;0, -(BG37-Uzman_D!$E$22), BG37-Uzman_D!$E$22)*0.1 +
        IF(BH37-Uzman_D!$F$22&lt;0, -(BH37-Uzman_D!$F$22), BH37-Uzman_D!$F$22)*0.1 +
        IF(BI37-Uzman_D!$G$22&lt;0, -(BI37-Uzman_D!$G$22), BI37-Uzman_D!$G$22)*0.1 +
        IF(BJ37-Uzman_D!$H$22&lt;0, -(BJ37-Uzman_D!$H$22), BJ37-Uzman_D!$H$22)*0.1 +
        IF(BK37-Uzman_D!$I$22&lt;0, -(BK37-Uzman_D!$I$22), BK37-Uzman_D!$I$22)*0.1 +
        IF(BL37-Uzman_D!$J$22&lt;0, -(BL37-Uzman_D!$J$22), BL37-Uzman_D!$J$22)*0.1
    ) +
    IF(ROUND((IF(BN37-Uzman_D!$L$22&lt;0, -(BN37-Uzman_D!$L$22), BN37-Uzman_D!$L$22)*2),0)/2 = IF(BN37-Uzman_D!$L$22&lt;0, -(BN37-Uzman_D!$L$22), BN37-Uzman_D!$L$22),
    (ROUND((IF(BN37-Uzman_D!$L$22&lt;0, -(BN37-Uzman_D!$L$22), BN37-Uzman_D!$L$22)*2),0)/1 * 0.1), 0) +
    IF(BO37-Uzman_D!$M$22&lt;0, -(BO37-Uzman_D!$M$22), BO37-Uzman_D!$M$22)*1
)</f>
        <v>-0.40000000000000013</v>
      </c>
      <c r="BQ37" s="74">
        <f t="shared" si="0"/>
        <v>-0.54000000000000026</v>
      </c>
    </row>
    <row r="38" spans="1:69" ht="15" customHeight="1" x14ac:dyDescent="0.2">
      <c r="A38" s="57">
        <v>35</v>
      </c>
      <c r="B38" s="29">
        <f>Hakemler!B38</f>
        <v>0</v>
      </c>
      <c r="C38" s="29">
        <f>Hakemler!C38</f>
        <v>0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2"/>
      <c r="O38" s="72"/>
      <c r="P38" s="73">
        <f>1 - (
    SUM(
        IF(D38-Uzman_D!$B$18&lt;0, -(D38-Uzman_D!$B$18), D38-Uzman_D!$B$18)*0.1 +
        IF(E38-Uzman_D!$C$18&lt;0, -(E38-Uzman_D!$C$18), E38-Uzman_D!$C$18)*0.1 +
        IF(F38-Uzman_D!$D$18&lt;0, -(F38-Uzman_D!$D$18), F38-Uzman_D!$D$18)*0.1 +
        IF(G38-Uzman_D!$E$18&lt;0, -(G38-Uzman_D!$E$18), G38-Uzman_D!$E$18)*0.1 +
        IF(H38-Uzman_D!$F$18&lt;0, -(H38-Uzman_D!$F$18), H38-Uzman_D!$F$18)*0.1 +
        IF(I38-Uzman_D!$G$18&lt;0, -(I38-Uzman_D!$G$18), I38-Uzman_D!$G$18)*0.1 +
        IF(J38-Uzman_D!$H$18&lt;0, -(J38-Uzman_D!$H$18), J38-Uzman_D!$H$18)*0.1 +
        IF(K38-Uzman_D!$I$18&lt;0, -(K38-Uzman_D!$I$18), K38-Uzman_D!$I$18)*0.1 +
        IF(L38-Uzman_D!$J$18&lt;0, -(L38-Uzman_D!$J$18), L38-Uzman_D!$J$18)*0.1
    ) +
    IF(ROUND((IF(N38-Uzman_D!$L$18&lt;0, -(N38-Uzman_D!$L$18), N38-Uzman_D!$L$18)*2),0)/2 = IF(N38-Uzman_D!$L$18&lt;0, -(N38-Uzman_D!$L$18), N38-Uzman_D!$L$18),
    (ROUND((IF(N38-Uzman_D!$L$18&lt;0, -(N38-Uzman_D!$L$18), N38-Uzman_D!$L$18)*2),0)/1 * 0.1), 0) +
    IF(O38-Uzman_D!$M$18&lt;0, -(O38-Uzman_D!$M$18), O38-Uzman_D!$M$18)*1
)</f>
        <v>-0.50000000000000022</v>
      </c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2"/>
      <c r="AB38" s="72"/>
      <c r="AC38" s="73">
        <f>1 - (
    SUM(
        IF(Q38-Uzman_D!$B$19&lt;0, -(Q38-Uzman_D!$B$19), Q38-Uzman_D!$B$19)*0.1 +
        IF(R38-Uzman_D!$C$19&lt;0, -(R38-Uzman_D!$C$19), R38-Uzman_D!$C$19)*0.1 +
        IF(S38-Uzman_D!$D$19&lt;0, -(S38-Uzman_D!$D$19), S38-Uzman_D!$D$19)*0.1 +
        IF(T38-Uzman_D!$E$19&lt;0, -(T38-Uzman_D!$E$19), T38-Uzman_D!$E$19)*0.1 +
        IF(U38-Uzman_D!$F$19&lt;0, -(U38-Uzman_D!$F$19), U38-Uzman_D!$F$19)*0.1 +
        IF(V38-Uzman_D!$G$19&lt;0, -(V38-Uzman_D!$G$19), V38-Uzman_D!$G$19)*0.1 +
        IF(W38-Uzman_D!$H$19&lt;0, -(W38-Uzman_D!$H$19), W38-Uzman_D!$H$19)*0.1 +
        IF(X38-Uzman_D!$I$19&lt;0, -(X38-Uzman_D!$I$19), X38-Uzman_D!$I$19)*0.1 +
        IF(Y38-Uzman_D!$J$19&lt;0, -(Y38-Uzman_D!$J$19), Y38-Uzman_D!$J$19)*0.1
    ) +
    IF(ROUND((IF(AA38-Uzman_D!$L$19&lt;0, -(AA38-Uzman_D!$L$19), AA38-Uzman_D!$L$19)*2),0)/2 = IF(AA38-Uzman_D!$L$19&lt;0, -(AA38-Uzman_D!$L$19), AA38-Uzman_D!$L$19),
    (ROUND((IF(AA38-Uzman_D!$L$19&lt;0, -(AA38-Uzman_D!$L$19), AA38-Uzman_D!$L$19)*2),0)/1 * 0.1), 0) +
    IF(AB38-Uzman_D!$M$19&lt;0, -(AB38-Uzman_D!$M$19), AB38-Uzman_D!$M$19)*1
)</f>
        <v>-0.60000000000000009</v>
      </c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2"/>
      <c r="AO38" s="72"/>
      <c r="AP38" s="73">
        <f>1 - (
    SUM(
        IF(AD38-Uzman_D!$B$20&lt;0, -(AD38-Uzman_D!$B$20), AD38-Uzman_D!$B$20)*0.1 +
        IF(AE38-Uzman_D!$C$20&lt;0, -(AE38-Uzman_D!$C$20), AE38-Uzman_D!$C$20)*0.1 +
        IF(AF38-Uzman_D!$D$20&lt;0, -(AF38-Uzman_D!$D$20), AF38-Uzman_D!$D$20)*0.1 +
        IF(AG38-Uzman_D!$E$20&lt;0, -(AG38-Uzman_D!$E$20), AG38-Uzman_D!$E$20)*0.1 +
        IF(AH38-Uzman_D!$F$20&lt;0, -(AH38-Uzman_D!$F$20), AH38-Uzman_D!$F$20)*0.1 +
        IF(AI38-Uzman_D!$G$20&lt;0, -(AI38-Uzman_D!$G$20), AI38-Uzman_D!$G$20)*0.1 +
        IF(AJ38-Uzman_D!$H$20&lt;0, -(AJ38-Uzman_D!$H$20), AJ38-Uzman_D!$H$20)*0.1 +
        IF(AK38-Uzman_D!$I$20&lt;0, -(AK38-Uzman_D!$I$20), AK38-Uzman_D!$I$20)*0.1 +
        IF(AL38-Uzman_D!$J$20&lt;0, -(AL38-Uzman_D!$J$20), AL38-Uzman_D!$J$20)*0.1
    ) +
    IF(ROUND((IF(AN38-Uzman_D!$L$20&lt;0, -(AN38-Uzman_D!$L$20), AN38-Uzman_D!$L$20)*2),0)/2 = IF(AN38-Uzman_D!$L$20&lt;0, -(AN38-Uzman_D!$L$20), AN38-Uzman_D!$L$20),
    (ROUND((IF(AN38-Uzman_D!$L$20&lt;0, -(AN38-Uzman_D!$L$20), AN38-Uzman_D!$L$20)*2),0)/1 * 0.1), 0) +
    IF(AO38-Uzman_D!$M$20&lt;0, -(AO38-Uzman_D!$M$20), AO38-Uzman_D!$M$20)*1
)</f>
        <v>-0.60000000000000009</v>
      </c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2"/>
      <c r="BB38" s="72"/>
      <c r="BC38" s="73">
        <f>1 - (
    SUM(
        IF(AQ38-Uzman_D!$B$21&lt;0, -(AQ38-Uzman_D!$B$21), AQ38-Uzman_D!$B$21)*0.1 +
        IF(AR38-Uzman_D!$C$21&lt;0, -(AR38-Uzman_D!$C$21), AR38-Uzman_D!$C$21)*0.1 +
        IF(AS38-Uzman_D!$D$21&lt;0, -(AS38-Uzman_D!$D$21), AS38-Uzman_D!$D$21)*0.1 +
        IF(AT38-Uzman_D!$E$21&lt;0, -(AT38-Uzman_D!$E$21), AT38-Uzman_D!$E$21)*0.1 +
        IF(AU38-Uzman_D!$F$21&lt;0, -(AU38-Uzman_D!$F$21), AU38-Uzman_D!$F$21)*0.1 +
        IF(AV38-Uzman_D!$G$21&lt;0, -(AV38-Uzman_D!$G$21), AV38-Uzman_D!$G$21)*0.1 +
        IF(AW38-Uzman_D!$H$21&lt;0, -(AW38-Uzman_D!$H$21), AW38-Uzman_D!$H$21)*0.1 +
        IF(AX38-Uzman_D!$I$21&lt;0, -(AX38-Uzman_D!$I$21), AX38-Uzman_D!$I$21)*0.1 +
        IF(AY38-Uzman_D!$J$21&lt;0, -(AY38-Uzman_D!$J$21), AY38-Uzman_D!$J$21)*0.1
    ) +
    IF(ROUND((IF(BA38-Uzman_D!$L$21&lt;0, -(BA38-Uzman_D!$L$21), BA38-Uzman_D!$L$21)*2),0)/2 = IF(BA38-Uzman_D!$L$21&lt;0, -(BA38-Uzman_D!$L$21), BA38-Uzman_D!$L$21),
    (ROUND((IF(BA38-Uzman_D!$L$21&lt;0, -(BA38-Uzman_D!$L$21), BA38-Uzman_D!$L$21)*2),0)/1 * 0.1), 0) +
    IF(BB38-Uzman_D!$M$21&lt;0, -(BB38-Uzman_D!$M$21), BB38-Uzman_D!$M$21)*1
)</f>
        <v>-0.60000000000000009</v>
      </c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2"/>
      <c r="BO38" s="72"/>
      <c r="BP38" s="73">
        <f>1 - (
    SUM(
        IF(BD38-Uzman_D!$B$22&lt;0, -(BD38-Uzman_D!$B$22), BD38-Uzman_D!$B$22)*0.1 +
        IF(BE38-Uzman_D!$C$22&lt;0, -(BE38-Uzman_D!$C$22), BE38-Uzman_D!$C$22)*0.1 +
        IF(BF38-Uzman_D!$D$22&lt;0, -(BF38-Uzman_D!$D$22), BF38-Uzman_D!$D$22)*0.1 +
        IF(BG38-Uzman_D!$E$22&lt;0, -(BG38-Uzman_D!$E$22), BG38-Uzman_D!$E$22)*0.1 +
        IF(BH38-Uzman_D!$F$22&lt;0, -(BH38-Uzman_D!$F$22), BH38-Uzman_D!$F$22)*0.1 +
        IF(BI38-Uzman_D!$G$22&lt;0, -(BI38-Uzman_D!$G$22), BI38-Uzman_D!$G$22)*0.1 +
        IF(BJ38-Uzman_D!$H$22&lt;0, -(BJ38-Uzman_D!$H$22), BJ38-Uzman_D!$H$22)*0.1 +
        IF(BK38-Uzman_D!$I$22&lt;0, -(BK38-Uzman_D!$I$22), BK38-Uzman_D!$I$22)*0.1 +
        IF(BL38-Uzman_D!$J$22&lt;0, -(BL38-Uzman_D!$J$22), BL38-Uzman_D!$J$22)*0.1
    ) +
    IF(ROUND((IF(BN38-Uzman_D!$L$22&lt;0, -(BN38-Uzman_D!$L$22), BN38-Uzman_D!$L$22)*2),0)/2 = IF(BN38-Uzman_D!$L$22&lt;0, -(BN38-Uzman_D!$L$22), BN38-Uzman_D!$L$22),
    (ROUND((IF(BN38-Uzman_D!$L$22&lt;0, -(BN38-Uzman_D!$L$22), BN38-Uzman_D!$L$22)*2),0)/1 * 0.1), 0) +
    IF(BO38-Uzman_D!$M$22&lt;0, -(BO38-Uzman_D!$M$22), BO38-Uzman_D!$M$22)*1
)</f>
        <v>-0.40000000000000013</v>
      </c>
      <c r="BQ38" s="74">
        <f t="shared" si="0"/>
        <v>-0.54000000000000026</v>
      </c>
    </row>
    <row r="39" spans="1:69" ht="15" customHeight="1" x14ac:dyDescent="0.2">
      <c r="A39" s="57">
        <v>36</v>
      </c>
      <c r="B39" s="29">
        <f>Hakemler!B39</f>
        <v>0</v>
      </c>
      <c r="C39" s="29">
        <f>Hakemler!C39</f>
        <v>0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2"/>
      <c r="O39" s="72"/>
      <c r="P39" s="73">
        <f>1 - (
    SUM(
        IF(D39-Uzman_D!$B$18&lt;0, -(D39-Uzman_D!$B$18), D39-Uzman_D!$B$18)*0.1 +
        IF(E39-Uzman_D!$C$18&lt;0, -(E39-Uzman_D!$C$18), E39-Uzman_D!$C$18)*0.1 +
        IF(F39-Uzman_D!$D$18&lt;0, -(F39-Uzman_D!$D$18), F39-Uzman_D!$D$18)*0.1 +
        IF(G39-Uzman_D!$E$18&lt;0, -(G39-Uzman_D!$E$18), G39-Uzman_D!$E$18)*0.1 +
        IF(H39-Uzman_D!$F$18&lt;0, -(H39-Uzman_D!$F$18), H39-Uzman_D!$F$18)*0.1 +
        IF(I39-Uzman_D!$G$18&lt;0, -(I39-Uzman_D!$G$18), I39-Uzman_D!$G$18)*0.1 +
        IF(J39-Uzman_D!$H$18&lt;0, -(J39-Uzman_D!$H$18), J39-Uzman_D!$H$18)*0.1 +
        IF(K39-Uzman_D!$I$18&lt;0, -(K39-Uzman_D!$I$18), K39-Uzman_D!$I$18)*0.1 +
        IF(L39-Uzman_D!$J$18&lt;0, -(L39-Uzman_D!$J$18), L39-Uzman_D!$J$18)*0.1
    ) +
    IF(ROUND((IF(N39-Uzman_D!$L$18&lt;0, -(N39-Uzman_D!$L$18), N39-Uzman_D!$L$18)*2),0)/2 = IF(N39-Uzman_D!$L$18&lt;0, -(N39-Uzman_D!$L$18), N39-Uzman_D!$L$18),
    (ROUND((IF(N39-Uzman_D!$L$18&lt;0, -(N39-Uzman_D!$L$18), N39-Uzman_D!$L$18)*2),0)/1 * 0.1), 0) +
    IF(O39-Uzman_D!$M$18&lt;0, -(O39-Uzman_D!$M$18), O39-Uzman_D!$M$18)*1
)</f>
        <v>-0.50000000000000022</v>
      </c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2"/>
      <c r="AB39" s="72"/>
      <c r="AC39" s="73">
        <f>1 - (
    SUM(
        IF(Q39-Uzman_D!$B$19&lt;0, -(Q39-Uzman_D!$B$19), Q39-Uzman_D!$B$19)*0.1 +
        IF(R39-Uzman_D!$C$19&lt;0, -(R39-Uzman_D!$C$19), R39-Uzman_D!$C$19)*0.1 +
        IF(S39-Uzman_D!$D$19&lt;0, -(S39-Uzman_D!$D$19), S39-Uzman_D!$D$19)*0.1 +
        IF(T39-Uzman_D!$E$19&lt;0, -(T39-Uzman_D!$E$19), T39-Uzman_D!$E$19)*0.1 +
        IF(U39-Uzman_D!$F$19&lt;0, -(U39-Uzman_D!$F$19), U39-Uzman_D!$F$19)*0.1 +
        IF(V39-Uzman_D!$G$19&lt;0, -(V39-Uzman_D!$G$19), V39-Uzman_D!$G$19)*0.1 +
        IF(W39-Uzman_D!$H$19&lt;0, -(W39-Uzman_D!$H$19), W39-Uzman_D!$H$19)*0.1 +
        IF(X39-Uzman_D!$I$19&lt;0, -(X39-Uzman_D!$I$19), X39-Uzman_D!$I$19)*0.1 +
        IF(Y39-Uzman_D!$J$19&lt;0, -(Y39-Uzman_D!$J$19), Y39-Uzman_D!$J$19)*0.1
    ) +
    IF(ROUND((IF(AA39-Uzman_D!$L$19&lt;0, -(AA39-Uzman_D!$L$19), AA39-Uzman_D!$L$19)*2),0)/2 = IF(AA39-Uzman_D!$L$19&lt;0, -(AA39-Uzman_D!$L$19), AA39-Uzman_D!$L$19),
    (ROUND((IF(AA39-Uzman_D!$L$19&lt;0, -(AA39-Uzman_D!$L$19), AA39-Uzman_D!$L$19)*2),0)/1 * 0.1), 0) +
    IF(AB39-Uzman_D!$M$19&lt;0, -(AB39-Uzman_D!$M$19), AB39-Uzman_D!$M$19)*1
)</f>
        <v>-0.60000000000000009</v>
      </c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2"/>
      <c r="AO39" s="72"/>
      <c r="AP39" s="73">
        <f>1 - (
    SUM(
        IF(AD39-Uzman_D!$B$20&lt;0, -(AD39-Uzman_D!$B$20), AD39-Uzman_D!$B$20)*0.1 +
        IF(AE39-Uzman_D!$C$20&lt;0, -(AE39-Uzman_D!$C$20), AE39-Uzman_D!$C$20)*0.1 +
        IF(AF39-Uzman_D!$D$20&lt;0, -(AF39-Uzman_D!$D$20), AF39-Uzman_D!$D$20)*0.1 +
        IF(AG39-Uzman_D!$E$20&lt;0, -(AG39-Uzman_D!$E$20), AG39-Uzman_D!$E$20)*0.1 +
        IF(AH39-Uzman_D!$F$20&lt;0, -(AH39-Uzman_D!$F$20), AH39-Uzman_D!$F$20)*0.1 +
        IF(AI39-Uzman_D!$G$20&lt;0, -(AI39-Uzman_D!$G$20), AI39-Uzman_D!$G$20)*0.1 +
        IF(AJ39-Uzman_D!$H$20&lt;0, -(AJ39-Uzman_D!$H$20), AJ39-Uzman_D!$H$20)*0.1 +
        IF(AK39-Uzman_D!$I$20&lt;0, -(AK39-Uzman_D!$I$20), AK39-Uzman_D!$I$20)*0.1 +
        IF(AL39-Uzman_D!$J$20&lt;0, -(AL39-Uzman_D!$J$20), AL39-Uzman_D!$J$20)*0.1
    ) +
    IF(ROUND((IF(AN39-Uzman_D!$L$20&lt;0, -(AN39-Uzman_D!$L$20), AN39-Uzman_D!$L$20)*2),0)/2 = IF(AN39-Uzman_D!$L$20&lt;0, -(AN39-Uzman_D!$L$20), AN39-Uzman_D!$L$20),
    (ROUND((IF(AN39-Uzman_D!$L$20&lt;0, -(AN39-Uzman_D!$L$20), AN39-Uzman_D!$L$20)*2),0)/1 * 0.1), 0) +
    IF(AO39-Uzman_D!$M$20&lt;0, -(AO39-Uzman_D!$M$20), AO39-Uzman_D!$M$20)*1
)</f>
        <v>-0.60000000000000009</v>
      </c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2"/>
      <c r="BB39" s="72"/>
      <c r="BC39" s="73">
        <f>1 - (
    SUM(
        IF(AQ39-Uzman_D!$B$21&lt;0, -(AQ39-Uzman_D!$B$21), AQ39-Uzman_D!$B$21)*0.1 +
        IF(AR39-Uzman_D!$C$21&lt;0, -(AR39-Uzman_D!$C$21), AR39-Uzman_D!$C$21)*0.1 +
        IF(AS39-Uzman_D!$D$21&lt;0, -(AS39-Uzman_D!$D$21), AS39-Uzman_D!$D$21)*0.1 +
        IF(AT39-Uzman_D!$E$21&lt;0, -(AT39-Uzman_D!$E$21), AT39-Uzman_D!$E$21)*0.1 +
        IF(AU39-Uzman_D!$F$21&lt;0, -(AU39-Uzman_D!$F$21), AU39-Uzman_D!$F$21)*0.1 +
        IF(AV39-Uzman_D!$G$21&lt;0, -(AV39-Uzman_D!$G$21), AV39-Uzman_D!$G$21)*0.1 +
        IF(AW39-Uzman_D!$H$21&lt;0, -(AW39-Uzman_D!$H$21), AW39-Uzman_D!$H$21)*0.1 +
        IF(AX39-Uzman_D!$I$21&lt;0, -(AX39-Uzman_D!$I$21), AX39-Uzman_D!$I$21)*0.1 +
        IF(AY39-Uzman_D!$J$21&lt;0, -(AY39-Uzman_D!$J$21), AY39-Uzman_D!$J$21)*0.1
    ) +
    IF(ROUND((IF(BA39-Uzman_D!$L$21&lt;0, -(BA39-Uzman_D!$L$21), BA39-Uzman_D!$L$21)*2),0)/2 = IF(BA39-Uzman_D!$L$21&lt;0, -(BA39-Uzman_D!$L$21), BA39-Uzman_D!$L$21),
    (ROUND((IF(BA39-Uzman_D!$L$21&lt;0, -(BA39-Uzman_D!$L$21), BA39-Uzman_D!$L$21)*2),0)/1 * 0.1), 0) +
    IF(BB39-Uzman_D!$M$21&lt;0, -(BB39-Uzman_D!$M$21), BB39-Uzman_D!$M$21)*1
)</f>
        <v>-0.60000000000000009</v>
      </c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2"/>
      <c r="BO39" s="72"/>
      <c r="BP39" s="73">
        <f>1 - (
    SUM(
        IF(BD39-Uzman_D!$B$22&lt;0, -(BD39-Uzman_D!$B$22), BD39-Uzman_D!$B$22)*0.1 +
        IF(BE39-Uzman_D!$C$22&lt;0, -(BE39-Uzman_D!$C$22), BE39-Uzman_D!$C$22)*0.1 +
        IF(BF39-Uzman_D!$D$22&lt;0, -(BF39-Uzman_D!$D$22), BF39-Uzman_D!$D$22)*0.1 +
        IF(BG39-Uzman_D!$E$22&lt;0, -(BG39-Uzman_D!$E$22), BG39-Uzman_D!$E$22)*0.1 +
        IF(BH39-Uzman_D!$F$22&lt;0, -(BH39-Uzman_D!$F$22), BH39-Uzman_D!$F$22)*0.1 +
        IF(BI39-Uzman_D!$G$22&lt;0, -(BI39-Uzman_D!$G$22), BI39-Uzman_D!$G$22)*0.1 +
        IF(BJ39-Uzman_D!$H$22&lt;0, -(BJ39-Uzman_D!$H$22), BJ39-Uzman_D!$H$22)*0.1 +
        IF(BK39-Uzman_D!$I$22&lt;0, -(BK39-Uzman_D!$I$22), BK39-Uzman_D!$I$22)*0.1 +
        IF(BL39-Uzman_D!$J$22&lt;0, -(BL39-Uzman_D!$J$22), BL39-Uzman_D!$J$22)*0.1
    ) +
    IF(ROUND((IF(BN39-Uzman_D!$L$22&lt;0, -(BN39-Uzman_D!$L$22), BN39-Uzman_D!$L$22)*2),0)/2 = IF(BN39-Uzman_D!$L$22&lt;0, -(BN39-Uzman_D!$L$22), BN39-Uzman_D!$L$22),
    (ROUND((IF(BN39-Uzman_D!$L$22&lt;0, -(BN39-Uzman_D!$L$22), BN39-Uzman_D!$L$22)*2),0)/1 * 0.1), 0) +
    IF(BO39-Uzman_D!$M$22&lt;0, -(BO39-Uzman_D!$M$22), BO39-Uzman_D!$M$22)*1
)</f>
        <v>-0.40000000000000013</v>
      </c>
      <c r="BQ39" s="74">
        <f t="shared" si="0"/>
        <v>-0.54000000000000026</v>
      </c>
    </row>
    <row r="40" spans="1:69" ht="15" customHeight="1" x14ac:dyDescent="0.2">
      <c r="A40" s="57">
        <v>37</v>
      </c>
      <c r="B40" s="37">
        <f>Hakemler!B40</f>
        <v>0</v>
      </c>
      <c r="C40" s="37">
        <f>Hakemler!C40</f>
        <v>0</v>
      </c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2"/>
      <c r="O40" s="72"/>
      <c r="P40" s="73">
        <f>1 - (
    SUM(
        IF(D40-Uzman_D!$B$18&lt;0, -(D40-Uzman_D!$B$18), D40-Uzman_D!$B$18)*0.1 +
        IF(E40-Uzman_D!$C$18&lt;0, -(E40-Uzman_D!$C$18), E40-Uzman_D!$C$18)*0.1 +
        IF(F40-Uzman_D!$D$18&lt;0, -(F40-Uzman_D!$D$18), F40-Uzman_D!$D$18)*0.1 +
        IF(G40-Uzman_D!$E$18&lt;0, -(G40-Uzman_D!$E$18), G40-Uzman_D!$E$18)*0.1 +
        IF(H40-Uzman_D!$F$18&lt;0, -(H40-Uzman_D!$F$18), H40-Uzman_D!$F$18)*0.1 +
        IF(I40-Uzman_D!$G$18&lt;0, -(I40-Uzman_D!$G$18), I40-Uzman_D!$G$18)*0.1 +
        IF(J40-Uzman_D!$H$18&lt;0, -(J40-Uzman_D!$H$18), J40-Uzman_D!$H$18)*0.1 +
        IF(K40-Uzman_D!$I$18&lt;0, -(K40-Uzman_D!$I$18), K40-Uzman_D!$I$18)*0.1 +
        IF(L40-Uzman_D!$J$18&lt;0, -(L40-Uzman_D!$J$18), L40-Uzman_D!$J$18)*0.1
    ) +
    IF(ROUND((IF(N40-Uzman_D!$L$18&lt;0, -(N40-Uzman_D!$L$18), N40-Uzman_D!$L$18)*2),0)/2 = IF(N40-Uzman_D!$L$18&lt;0, -(N40-Uzman_D!$L$18), N40-Uzman_D!$L$18),
    (ROUND((IF(N40-Uzman_D!$L$18&lt;0, -(N40-Uzman_D!$L$18), N40-Uzman_D!$L$18)*2),0)/1 * 0.1), 0) +
    IF(O40-Uzman_D!$M$18&lt;0, -(O40-Uzman_D!$M$18), O40-Uzman_D!$M$18)*1
)</f>
        <v>-0.50000000000000022</v>
      </c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2"/>
      <c r="AB40" s="72"/>
      <c r="AC40" s="73">
        <f>1 - (
    SUM(
        IF(Q40-Uzman_D!$B$19&lt;0, -(Q40-Uzman_D!$B$19), Q40-Uzman_D!$B$19)*0.1 +
        IF(R40-Uzman_D!$C$19&lt;0, -(R40-Uzman_D!$C$19), R40-Uzman_D!$C$19)*0.1 +
        IF(S40-Uzman_D!$D$19&lt;0, -(S40-Uzman_D!$D$19), S40-Uzman_D!$D$19)*0.1 +
        IF(T40-Uzman_D!$E$19&lt;0, -(T40-Uzman_D!$E$19), T40-Uzman_D!$E$19)*0.1 +
        IF(U40-Uzman_D!$F$19&lt;0, -(U40-Uzman_D!$F$19), U40-Uzman_D!$F$19)*0.1 +
        IF(V40-Uzman_D!$G$19&lt;0, -(V40-Uzman_D!$G$19), V40-Uzman_D!$G$19)*0.1 +
        IF(W40-Uzman_D!$H$19&lt;0, -(W40-Uzman_D!$H$19), W40-Uzman_D!$H$19)*0.1 +
        IF(X40-Uzman_D!$I$19&lt;0, -(X40-Uzman_D!$I$19), X40-Uzman_D!$I$19)*0.1 +
        IF(Y40-Uzman_D!$J$19&lt;0, -(Y40-Uzman_D!$J$19), Y40-Uzman_D!$J$19)*0.1
    ) +
    IF(ROUND((IF(AA40-Uzman_D!$L$19&lt;0, -(AA40-Uzman_D!$L$19), AA40-Uzman_D!$L$19)*2),0)/2 = IF(AA40-Uzman_D!$L$19&lt;0, -(AA40-Uzman_D!$L$19), AA40-Uzman_D!$L$19),
    (ROUND((IF(AA40-Uzman_D!$L$19&lt;0, -(AA40-Uzman_D!$L$19), AA40-Uzman_D!$L$19)*2),0)/1 * 0.1), 0) +
    IF(AB40-Uzman_D!$M$19&lt;0, -(AB40-Uzman_D!$M$19), AB40-Uzman_D!$M$19)*1
)</f>
        <v>-0.60000000000000009</v>
      </c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2"/>
      <c r="AO40" s="72"/>
      <c r="AP40" s="73">
        <f>1 - (
    SUM(
        IF(AD40-Uzman_D!$B$20&lt;0, -(AD40-Uzman_D!$B$20), AD40-Uzman_D!$B$20)*0.1 +
        IF(AE40-Uzman_D!$C$20&lt;0, -(AE40-Uzman_D!$C$20), AE40-Uzman_D!$C$20)*0.1 +
        IF(AF40-Uzman_D!$D$20&lt;0, -(AF40-Uzman_D!$D$20), AF40-Uzman_D!$D$20)*0.1 +
        IF(AG40-Uzman_D!$E$20&lt;0, -(AG40-Uzman_D!$E$20), AG40-Uzman_D!$E$20)*0.1 +
        IF(AH40-Uzman_D!$F$20&lt;0, -(AH40-Uzman_D!$F$20), AH40-Uzman_D!$F$20)*0.1 +
        IF(AI40-Uzman_D!$G$20&lt;0, -(AI40-Uzman_D!$G$20), AI40-Uzman_D!$G$20)*0.1 +
        IF(AJ40-Uzman_D!$H$20&lt;0, -(AJ40-Uzman_D!$H$20), AJ40-Uzman_D!$H$20)*0.1 +
        IF(AK40-Uzman_D!$I$20&lt;0, -(AK40-Uzman_D!$I$20), AK40-Uzman_D!$I$20)*0.1 +
        IF(AL40-Uzman_D!$J$20&lt;0, -(AL40-Uzman_D!$J$20), AL40-Uzman_D!$J$20)*0.1
    ) +
    IF(ROUND((IF(AN40-Uzman_D!$L$20&lt;0, -(AN40-Uzman_D!$L$20), AN40-Uzman_D!$L$20)*2),0)/2 = IF(AN40-Uzman_D!$L$20&lt;0, -(AN40-Uzman_D!$L$20), AN40-Uzman_D!$L$20),
    (ROUND((IF(AN40-Uzman_D!$L$20&lt;0, -(AN40-Uzman_D!$L$20), AN40-Uzman_D!$L$20)*2),0)/1 * 0.1), 0) +
    IF(AO40-Uzman_D!$M$20&lt;0, -(AO40-Uzman_D!$M$20), AO40-Uzman_D!$M$20)*1
)</f>
        <v>-0.60000000000000009</v>
      </c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2"/>
      <c r="BB40" s="72"/>
      <c r="BC40" s="73">
        <f>1 - (
    SUM(
        IF(AQ40-Uzman_D!$B$21&lt;0, -(AQ40-Uzman_D!$B$21), AQ40-Uzman_D!$B$21)*0.1 +
        IF(AR40-Uzman_D!$C$21&lt;0, -(AR40-Uzman_D!$C$21), AR40-Uzman_D!$C$21)*0.1 +
        IF(AS40-Uzman_D!$D$21&lt;0, -(AS40-Uzman_D!$D$21), AS40-Uzman_D!$D$21)*0.1 +
        IF(AT40-Uzman_D!$E$21&lt;0, -(AT40-Uzman_D!$E$21), AT40-Uzman_D!$E$21)*0.1 +
        IF(AU40-Uzman_D!$F$21&lt;0, -(AU40-Uzman_D!$F$21), AU40-Uzman_D!$F$21)*0.1 +
        IF(AV40-Uzman_D!$G$21&lt;0, -(AV40-Uzman_D!$G$21), AV40-Uzman_D!$G$21)*0.1 +
        IF(AW40-Uzman_D!$H$21&lt;0, -(AW40-Uzman_D!$H$21), AW40-Uzman_D!$H$21)*0.1 +
        IF(AX40-Uzman_D!$I$21&lt;0, -(AX40-Uzman_D!$I$21), AX40-Uzman_D!$I$21)*0.1 +
        IF(AY40-Uzman_D!$J$21&lt;0, -(AY40-Uzman_D!$J$21), AY40-Uzman_D!$J$21)*0.1
    ) +
    IF(ROUND((IF(BA40-Uzman_D!$L$21&lt;0, -(BA40-Uzman_D!$L$21), BA40-Uzman_D!$L$21)*2),0)/2 = IF(BA40-Uzman_D!$L$21&lt;0, -(BA40-Uzman_D!$L$21), BA40-Uzman_D!$L$21),
    (ROUND((IF(BA40-Uzman_D!$L$21&lt;0, -(BA40-Uzman_D!$L$21), BA40-Uzman_D!$L$21)*2),0)/1 * 0.1), 0) +
    IF(BB40-Uzman_D!$M$21&lt;0, -(BB40-Uzman_D!$M$21), BB40-Uzman_D!$M$21)*1
)</f>
        <v>-0.60000000000000009</v>
      </c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2"/>
      <c r="BO40" s="72"/>
      <c r="BP40" s="73">
        <f>1 - (
    SUM(
        IF(BD40-Uzman_D!$B$22&lt;0, -(BD40-Uzman_D!$B$22), BD40-Uzman_D!$B$22)*0.1 +
        IF(BE40-Uzman_D!$C$22&lt;0, -(BE40-Uzman_D!$C$22), BE40-Uzman_D!$C$22)*0.1 +
        IF(BF40-Uzman_D!$D$22&lt;0, -(BF40-Uzman_D!$D$22), BF40-Uzman_D!$D$22)*0.1 +
        IF(BG40-Uzman_D!$E$22&lt;0, -(BG40-Uzman_D!$E$22), BG40-Uzman_D!$E$22)*0.1 +
        IF(BH40-Uzman_D!$F$22&lt;0, -(BH40-Uzman_D!$F$22), BH40-Uzman_D!$F$22)*0.1 +
        IF(BI40-Uzman_D!$G$22&lt;0, -(BI40-Uzman_D!$G$22), BI40-Uzman_D!$G$22)*0.1 +
        IF(BJ40-Uzman_D!$H$22&lt;0, -(BJ40-Uzman_D!$H$22), BJ40-Uzman_D!$H$22)*0.1 +
        IF(BK40-Uzman_D!$I$22&lt;0, -(BK40-Uzman_D!$I$22), BK40-Uzman_D!$I$22)*0.1 +
        IF(BL40-Uzman_D!$J$22&lt;0, -(BL40-Uzman_D!$J$22), BL40-Uzman_D!$J$22)*0.1
    ) +
    IF(ROUND((IF(BN40-Uzman_D!$L$22&lt;0, -(BN40-Uzman_D!$L$22), BN40-Uzman_D!$L$22)*2),0)/2 = IF(BN40-Uzman_D!$L$22&lt;0, -(BN40-Uzman_D!$L$22), BN40-Uzman_D!$L$22),
    (ROUND((IF(BN40-Uzman_D!$L$22&lt;0, -(BN40-Uzman_D!$L$22), BN40-Uzman_D!$L$22)*2),0)/1 * 0.1), 0) +
    IF(BO40-Uzman_D!$M$22&lt;0, -(BO40-Uzman_D!$M$22), BO40-Uzman_D!$M$22)*1
)</f>
        <v>-0.40000000000000013</v>
      </c>
      <c r="BQ40" s="74">
        <f t="shared" si="0"/>
        <v>-0.54000000000000026</v>
      </c>
    </row>
    <row r="41" spans="1:69" ht="15" customHeight="1" x14ac:dyDescent="0.2">
      <c r="A41" s="57">
        <v>38</v>
      </c>
      <c r="B41" s="37">
        <f>Hakemler!B41</f>
        <v>0</v>
      </c>
      <c r="C41" s="37">
        <f>Hakemler!C41</f>
        <v>0</v>
      </c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2"/>
      <c r="O41" s="72"/>
      <c r="P41" s="73">
        <f>1 - (
    SUM(
        IF(D41-Uzman_D!$B$18&lt;0, -(D41-Uzman_D!$B$18), D41-Uzman_D!$B$18)*0.1 +
        IF(E41-Uzman_D!$C$18&lt;0, -(E41-Uzman_D!$C$18), E41-Uzman_D!$C$18)*0.1 +
        IF(F41-Uzman_D!$D$18&lt;0, -(F41-Uzman_D!$D$18), F41-Uzman_D!$D$18)*0.1 +
        IF(G41-Uzman_D!$E$18&lt;0, -(G41-Uzman_D!$E$18), G41-Uzman_D!$E$18)*0.1 +
        IF(H41-Uzman_D!$F$18&lt;0, -(H41-Uzman_D!$F$18), H41-Uzman_D!$F$18)*0.1 +
        IF(I41-Uzman_D!$G$18&lt;0, -(I41-Uzman_D!$G$18), I41-Uzman_D!$G$18)*0.1 +
        IF(J41-Uzman_D!$H$18&lt;0, -(J41-Uzman_D!$H$18), J41-Uzman_D!$H$18)*0.1 +
        IF(K41-Uzman_D!$I$18&lt;0, -(K41-Uzman_D!$I$18), K41-Uzman_D!$I$18)*0.1 +
        IF(L41-Uzman_D!$J$18&lt;0, -(L41-Uzman_D!$J$18), L41-Uzman_D!$J$18)*0.1
    ) +
    IF(ROUND((IF(N41-Uzman_D!$L$18&lt;0, -(N41-Uzman_D!$L$18), N41-Uzman_D!$L$18)*2),0)/2 = IF(N41-Uzman_D!$L$18&lt;0, -(N41-Uzman_D!$L$18), N41-Uzman_D!$L$18),
    (ROUND((IF(N41-Uzman_D!$L$18&lt;0, -(N41-Uzman_D!$L$18), N41-Uzman_D!$L$18)*2),0)/1 * 0.1), 0) +
    IF(O41-Uzman_D!$M$18&lt;0, -(O41-Uzman_D!$M$18), O41-Uzman_D!$M$18)*1
)</f>
        <v>-0.50000000000000022</v>
      </c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2"/>
      <c r="AB41" s="72"/>
      <c r="AC41" s="73">
        <f>1 - (
    SUM(
        IF(Q41-Uzman_D!$B$19&lt;0, -(Q41-Uzman_D!$B$19), Q41-Uzman_D!$B$19)*0.1 +
        IF(R41-Uzman_D!$C$19&lt;0, -(R41-Uzman_D!$C$19), R41-Uzman_D!$C$19)*0.1 +
        IF(S41-Uzman_D!$D$19&lt;0, -(S41-Uzman_D!$D$19), S41-Uzman_D!$D$19)*0.1 +
        IF(T41-Uzman_D!$E$19&lt;0, -(T41-Uzman_D!$E$19), T41-Uzman_D!$E$19)*0.1 +
        IF(U41-Uzman_D!$F$19&lt;0, -(U41-Uzman_D!$F$19), U41-Uzman_D!$F$19)*0.1 +
        IF(V41-Uzman_D!$G$19&lt;0, -(V41-Uzman_D!$G$19), V41-Uzman_D!$G$19)*0.1 +
        IF(W41-Uzman_D!$H$19&lt;0, -(W41-Uzman_D!$H$19), W41-Uzman_D!$H$19)*0.1 +
        IF(X41-Uzman_D!$I$19&lt;0, -(X41-Uzman_D!$I$19), X41-Uzman_D!$I$19)*0.1 +
        IF(Y41-Uzman_D!$J$19&lt;0, -(Y41-Uzman_D!$J$19), Y41-Uzman_D!$J$19)*0.1
    ) +
    IF(ROUND((IF(AA41-Uzman_D!$L$19&lt;0, -(AA41-Uzman_D!$L$19), AA41-Uzman_D!$L$19)*2),0)/2 = IF(AA41-Uzman_D!$L$19&lt;0, -(AA41-Uzman_D!$L$19), AA41-Uzman_D!$L$19),
    (ROUND((IF(AA41-Uzman_D!$L$19&lt;0, -(AA41-Uzman_D!$L$19), AA41-Uzman_D!$L$19)*2),0)/1 * 0.1), 0) +
    IF(AB41-Uzman_D!$M$19&lt;0, -(AB41-Uzman_D!$M$19), AB41-Uzman_D!$M$19)*1
)</f>
        <v>-0.60000000000000009</v>
      </c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2"/>
      <c r="AO41" s="72"/>
      <c r="AP41" s="73">
        <f>1 - (
    SUM(
        IF(AD41-Uzman_D!$B$20&lt;0, -(AD41-Uzman_D!$B$20), AD41-Uzman_D!$B$20)*0.1 +
        IF(AE41-Uzman_D!$C$20&lt;0, -(AE41-Uzman_D!$C$20), AE41-Uzman_D!$C$20)*0.1 +
        IF(AF41-Uzman_D!$D$20&lt;0, -(AF41-Uzman_D!$D$20), AF41-Uzman_D!$D$20)*0.1 +
        IF(AG41-Uzman_D!$E$20&lt;0, -(AG41-Uzman_D!$E$20), AG41-Uzman_D!$E$20)*0.1 +
        IF(AH41-Uzman_D!$F$20&lt;0, -(AH41-Uzman_D!$F$20), AH41-Uzman_D!$F$20)*0.1 +
        IF(AI41-Uzman_D!$G$20&lt;0, -(AI41-Uzman_D!$G$20), AI41-Uzman_D!$G$20)*0.1 +
        IF(AJ41-Uzman_D!$H$20&lt;0, -(AJ41-Uzman_D!$H$20), AJ41-Uzman_D!$H$20)*0.1 +
        IF(AK41-Uzman_D!$I$20&lt;0, -(AK41-Uzman_D!$I$20), AK41-Uzman_D!$I$20)*0.1 +
        IF(AL41-Uzman_D!$J$20&lt;0, -(AL41-Uzman_D!$J$20), AL41-Uzman_D!$J$20)*0.1
    ) +
    IF(ROUND((IF(AN41-Uzman_D!$L$20&lt;0, -(AN41-Uzman_D!$L$20), AN41-Uzman_D!$L$20)*2),0)/2 = IF(AN41-Uzman_D!$L$20&lt;0, -(AN41-Uzman_D!$L$20), AN41-Uzman_D!$L$20),
    (ROUND((IF(AN41-Uzman_D!$L$20&lt;0, -(AN41-Uzman_D!$L$20), AN41-Uzman_D!$L$20)*2),0)/1 * 0.1), 0) +
    IF(AO41-Uzman_D!$M$20&lt;0, -(AO41-Uzman_D!$M$20), AO41-Uzman_D!$M$20)*1
)</f>
        <v>-0.60000000000000009</v>
      </c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2"/>
      <c r="BB41" s="72"/>
      <c r="BC41" s="73">
        <f>1 - (
    SUM(
        IF(AQ41-Uzman_D!$B$21&lt;0, -(AQ41-Uzman_D!$B$21), AQ41-Uzman_D!$B$21)*0.1 +
        IF(AR41-Uzman_D!$C$21&lt;0, -(AR41-Uzman_D!$C$21), AR41-Uzman_D!$C$21)*0.1 +
        IF(AS41-Uzman_D!$D$21&lt;0, -(AS41-Uzman_D!$D$21), AS41-Uzman_D!$D$21)*0.1 +
        IF(AT41-Uzman_D!$E$21&lt;0, -(AT41-Uzman_D!$E$21), AT41-Uzman_D!$E$21)*0.1 +
        IF(AU41-Uzman_D!$F$21&lt;0, -(AU41-Uzman_D!$F$21), AU41-Uzman_D!$F$21)*0.1 +
        IF(AV41-Uzman_D!$G$21&lt;0, -(AV41-Uzman_D!$G$21), AV41-Uzman_D!$G$21)*0.1 +
        IF(AW41-Uzman_D!$H$21&lt;0, -(AW41-Uzman_D!$H$21), AW41-Uzman_D!$H$21)*0.1 +
        IF(AX41-Uzman_D!$I$21&lt;0, -(AX41-Uzman_D!$I$21), AX41-Uzman_D!$I$21)*0.1 +
        IF(AY41-Uzman_D!$J$21&lt;0, -(AY41-Uzman_D!$J$21), AY41-Uzman_D!$J$21)*0.1
    ) +
    IF(ROUND((IF(BA41-Uzman_D!$L$21&lt;0, -(BA41-Uzman_D!$L$21), BA41-Uzman_D!$L$21)*2),0)/2 = IF(BA41-Uzman_D!$L$21&lt;0, -(BA41-Uzman_D!$L$21), BA41-Uzman_D!$L$21),
    (ROUND((IF(BA41-Uzman_D!$L$21&lt;0, -(BA41-Uzman_D!$L$21), BA41-Uzman_D!$L$21)*2),0)/1 * 0.1), 0) +
    IF(BB41-Uzman_D!$M$21&lt;0, -(BB41-Uzman_D!$M$21), BB41-Uzman_D!$M$21)*1
)</f>
        <v>-0.60000000000000009</v>
      </c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2"/>
      <c r="BO41" s="72"/>
      <c r="BP41" s="73">
        <f>1 - (
    SUM(
        IF(BD41-Uzman_D!$B$22&lt;0, -(BD41-Uzman_D!$B$22), BD41-Uzman_D!$B$22)*0.1 +
        IF(BE41-Uzman_D!$C$22&lt;0, -(BE41-Uzman_D!$C$22), BE41-Uzman_D!$C$22)*0.1 +
        IF(BF41-Uzman_D!$D$22&lt;0, -(BF41-Uzman_D!$D$22), BF41-Uzman_D!$D$22)*0.1 +
        IF(BG41-Uzman_D!$E$22&lt;0, -(BG41-Uzman_D!$E$22), BG41-Uzman_D!$E$22)*0.1 +
        IF(BH41-Uzman_D!$F$22&lt;0, -(BH41-Uzman_D!$F$22), BH41-Uzman_D!$F$22)*0.1 +
        IF(BI41-Uzman_D!$G$22&lt;0, -(BI41-Uzman_D!$G$22), BI41-Uzman_D!$G$22)*0.1 +
        IF(BJ41-Uzman_D!$H$22&lt;0, -(BJ41-Uzman_D!$H$22), BJ41-Uzman_D!$H$22)*0.1 +
        IF(BK41-Uzman_D!$I$22&lt;0, -(BK41-Uzman_D!$I$22), BK41-Uzman_D!$I$22)*0.1 +
        IF(BL41-Uzman_D!$J$22&lt;0, -(BL41-Uzman_D!$J$22), BL41-Uzman_D!$J$22)*0.1
    ) +
    IF(ROUND((IF(BN41-Uzman_D!$L$22&lt;0, -(BN41-Uzman_D!$L$22), BN41-Uzman_D!$L$22)*2),0)/2 = IF(BN41-Uzman_D!$L$22&lt;0, -(BN41-Uzman_D!$L$22), BN41-Uzman_D!$L$22),
    (ROUND((IF(BN41-Uzman_D!$L$22&lt;0, -(BN41-Uzman_D!$L$22), BN41-Uzman_D!$L$22)*2),0)/1 * 0.1), 0) +
    IF(BO41-Uzman_D!$M$22&lt;0, -(BO41-Uzman_D!$M$22), BO41-Uzman_D!$M$22)*1
)</f>
        <v>-0.40000000000000013</v>
      </c>
      <c r="BQ41" s="74">
        <f t="shared" si="0"/>
        <v>-0.54000000000000026</v>
      </c>
    </row>
    <row r="42" spans="1:69" ht="15" customHeight="1" x14ac:dyDescent="0.2">
      <c r="A42" s="57">
        <v>39</v>
      </c>
      <c r="B42" s="37">
        <f>Hakemler!B42</f>
        <v>0</v>
      </c>
      <c r="C42" s="37">
        <f>Hakemler!C42</f>
        <v>0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2"/>
      <c r="O42" s="72"/>
      <c r="P42" s="73">
        <f>1 - (
    SUM(
        IF(D42-Uzman_D!$B$18&lt;0, -(D42-Uzman_D!$B$18), D42-Uzman_D!$B$18)*0.1 +
        IF(E42-Uzman_D!$C$18&lt;0, -(E42-Uzman_D!$C$18), E42-Uzman_D!$C$18)*0.1 +
        IF(F42-Uzman_D!$D$18&lt;0, -(F42-Uzman_D!$D$18), F42-Uzman_D!$D$18)*0.1 +
        IF(G42-Uzman_D!$E$18&lt;0, -(G42-Uzman_D!$E$18), G42-Uzman_D!$E$18)*0.1 +
        IF(H42-Uzman_D!$F$18&lt;0, -(H42-Uzman_D!$F$18), H42-Uzman_D!$F$18)*0.1 +
        IF(I42-Uzman_D!$G$18&lt;0, -(I42-Uzman_D!$G$18), I42-Uzman_D!$G$18)*0.1 +
        IF(J42-Uzman_D!$H$18&lt;0, -(J42-Uzman_D!$H$18), J42-Uzman_D!$H$18)*0.1 +
        IF(K42-Uzman_D!$I$18&lt;0, -(K42-Uzman_D!$I$18), K42-Uzman_D!$I$18)*0.1 +
        IF(L42-Uzman_D!$J$18&lt;0, -(L42-Uzman_D!$J$18), L42-Uzman_D!$J$18)*0.1
    ) +
    IF(ROUND((IF(N42-Uzman_D!$L$18&lt;0, -(N42-Uzman_D!$L$18), N42-Uzman_D!$L$18)*2),0)/2 = IF(N42-Uzman_D!$L$18&lt;0, -(N42-Uzman_D!$L$18), N42-Uzman_D!$L$18),
    (ROUND((IF(N42-Uzman_D!$L$18&lt;0, -(N42-Uzman_D!$L$18), N42-Uzman_D!$L$18)*2),0)/1 * 0.1), 0) +
    IF(O42-Uzman_D!$M$18&lt;0, -(O42-Uzman_D!$M$18), O42-Uzman_D!$M$18)*1
)</f>
        <v>-0.50000000000000022</v>
      </c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2"/>
      <c r="AB42" s="72"/>
      <c r="AC42" s="73">
        <f>1 - (
    SUM(
        IF(Q42-Uzman_D!$B$19&lt;0, -(Q42-Uzman_D!$B$19), Q42-Uzman_D!$B$19)*0.1 +
        IF(R42-Uzman_D!$C$19&lt;0, -(R42-Uzman_D!$C$19), R42-Uzman_D!$C$19)*0.1 +
        IF(S42-Uzman_D!$D$19&lt;0, -(S42-Uzman_D!$D$19), S42-Uzman_D!$D$19)*0.1 +
        IF(T42-Uzman_D!$E$19&lt;0, -(T42-Uzman_D!$E$19), T42-Uzman_D!$E$19)*0.1 +
        IF(U42-Uzman_D!$F$19&lt;0, -(U42-Uzman_D!$F$19), U42-Uzman_D!$F$19)*0.1 +
        IF(V42-Uzman_D!$G$19&lt;0, -(V42-Uzman_D!$G$19), V42-Uzman_D!$G$19)*0.1 +
        IF(W42-Uzman_D!$H$19&lt;0, -(W42-Uzman_D!$H$19), W42-Uzman_D!$H$19)*0.1 +
        IF(X42-Uzman_D!$I$19&lt;0, -(X42-Uzman_D!$I$19), X42-Uzman_D!$I$19)*0.1 +
        IF(Y42-Uzman_D!$J$19&lt;0, -(Y42-Uzman_D!$J$19), Y42-Uzman_D!$J$19)*0.1
    ) +
    IF(ROUND((IF(AA42-Uzman_D!$L$19&lt;0, -(AA42-Uzman_D!$L$19), AA42-Uzman_D!$L$19)*2),0)/2 = IF(AA42-Uzman_D!$L$19&lt;0, -(AA42-Uzman_D!$L$19), AA42-Uzman_D!$L$19),
    (ROUND((IF(AA42-Uzman_D!$L$19&lt;0, -(AA42-Uzman_D!$L$19), AA42-Uzman_D!$L$19)*2),0)/1 * 0.1), 0) +
    IF(AB42-Uzman_D!$M$19&lt;0, -(AB42-Uzman_D!$M$19), AB42-Uzman_D!$M$19)*1
)</f>
        <v>-0.60000000000000009</v>
      </c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2"/>
      <c r="AO42" s="72"/>
      <c r="AP42" s="73">
        <f>1 - (
    SUM(
        IF(AD42-Uzman_D!$B$20&lt;0, -(AD42-Uzman_D!$B$20), AD42-Uzman_D!$B$20)*0.1 +
        IF(AE42-Uzman_D!$C$20&lt;0, -(AE42-Uzman_D!$C$20), AE42-Uzman_D!$C$20)*0.1 +
        IF(AF42-Uzman_D!$D$20&lt;0, -(AF42-Uzman_D!$D$20), AF42-Uzman_D!$D$20)*0.1 +
        IF(AG42-Uzman_D!$E$20&lt;0, -(AG42-Uzman_D!$E$20), AG42-Uzman_D!$E$20)*0.1 +
        IF(AH42-Uzman_D!$F$20&lt;0, -(AH42-Uzman_D!$F$20), AH42-Uzman_D!$F$20)*0.1 +
        IF(AI42-Uzman_D!$G$20&lt;0, -(AI42-Uzman_D!$G$20), AI42-Uzman_D!$G$20)*0.1 +
        IF(AJ42-Uzman_D!$H$20&lt;0, -(AJ42-Uzman_D!$H$20), AJ42-Uzman_D!$H$20)*0.1 +
        IF(AK42-Uzman_D!$I$20&lt;0, -(AK42-Uzman_D!$I$20), AK42-Uzman_D!$I$20)*0.1 +
        IF(AL42-Uzman_D!$J$20&lt;0, -(AL42-Uzman_D!$J$20), AL42-Uzman_D!$J$20)*0.1
    ) +
    IF(ROUND((IF(AN42-Uzman_D!$L$20&lt;0, -(AN42-Uzman_D!$L$20), AN42-Uzman_D!$L$20)*2),0)/2 = IF(AN42-Uzman_D!$L$20&lt;0, -(AN42-Uzman_D!$L$20), AN42-Uzman_D!$L$20),
    (ROUND((IF(AN42-Uzman_D!$L$20&lt;0, -(AN42-Uzman_D!$L$20), AN42-Uzman_D!$L$20)*2),0)/1 * 0.1), 0) +
    IF(AO42-Uzman_D!$M$20&lt;0, -(AO42-Uzman_D!$M$20), AO42-Uzman_D!$M$20)*1
)</f>
        <v>-0.60000000000000009</v>
      </c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2"/>
      <c r="BB42" s="72"/>
      <c r="BC42" s="73">
        <f>1 - (
    SUM(
        IF(AQ42-Uzman_D!$B$21&lt;0, -(AQ42-Uzman_D!$B$21), AQ42-Uzman_D!$B$21)*0.1 +
        IF(AR42-Uzman_D!$C$21&lt;0, -(AR42-Uzman_D!$C$21), AR42-Uzman_D!$C$21)*0.1 +
        IF(AS42-Uzman_D!$D$21&lt;0, -(AS42-Uzman_D!$D$21), AS42-Uzman_D!$D$21)*0.1 +
        IF(AT42-Uzman_D!$E$21&lt;0, -(AT42-Uzman_D!$E$21), AT42-Uzman_D!$E$21)*0.1 +
        IF(AU42-Uzman_D!$F$21&lt;0, -(AU42-Uzman_D!$F$21), AU42-Uzman_D!$F$21)*0.1 +
        IF(AV42-Uzman_D!$G$21&lt;0, -(AV42-Uzman_D!$G$21), AV42-Uzman_D!$G$21)*0.1 +
        IF(AW42-Uzman_D!$H$21&lt;0, -(AW42-Uzman_D!$H$21), AW42-Uzman_D!$H$21)*0.1 +
        IF(AX42-Uzman_D!$I$21&lt;0, -(AX42-Uzman_D!$I$21), AX42-Uzman_D!$I$21)*0.1 +
        IF(AY42-Uzman_D!$J$21&lt;0, -(AY42-Uzman_D!$J$21), AY42-Uzman_D!$J$21)*0.1
    ) +
    IF(ROUND((IF(BA42-Uzman_D!$L$21&lt;0, -(BA42-Uzman_D!$L$21), BA42-Uzman_D!$L$21)*2),0)/2 = IF(BA42-Uzman_D!$L$21&lt;0, -(BA42-Uzman_D!$L$21), BA42-Uzman_D!$L$21),
    (ROUND((IF(BA42-Uzman_D!$L$21&lt;0, -(BA42-Uzman_D!$L$21), BA42-Uzman_D!$L$21)*2),0)/1 * 0.1), 0) +
    IF(BB42-Uzman_D!$M$21&lt;0, -(BB42-Uzman_D!$M$21), BB42-Uzman_D!$M$21)*1
)</f>
        <v>-0.60000000000000009</v>
      </c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2"/>
      <c r="BO42" s="72"/>
      <c r="BP42" s="73">
        <f>1 - (
    SUM(
        IF(BD42-Uzman_D!$B$22&lt;0, -(BD42-Uzman_D!$B$22), BD42-Uzman_D!$B$22)*0.1 +
        IF(BE42-Uzman_D!$C$22&lt;0, -(BE42-Uzman_D!$C$22), BE42-Uzman_D!$C$22)*0.1 +
        IF(BF42-Uzman_D!$D$22&lt;0, -(BF42-Uzman_D!$D$22), BF42-Uzman_D!$D$22)*0.1 +
        IF(BG42-Uzman_D!$E$22&lt;0, -(BG42-Uzman_D!$E$22), BG42-Uzman_D!$E$22)*0.1 +
        IF(BH42-Uzman_D!$F$22&lt;0, -(BH42-Uzman_D!$F$22), BH42-Uzman_D!$F$22)*0.1 +
        IF(BI42-Uzman_D!$G$22&lt;0, -(BI42-Uzman_D!$G$22), BI42-Uzman_D!$G$22)*0.1 +
        IF(BJ42-Uzman_D!$H$22&lt;0, -(BJ42-Uzman_D!$H$22), BJ42-Uzman_D!$H$22)*0.1 +
        IF(BK42-Uzman_D!$I$22&lt;0, -(BK42-Uzman_D!$I$22), BK42-Uzman_D!$I$22)*0.1 +
        IF(BL42-Uzman_D!$J$22&lt;0, -(BL42-Uzman_D!$J$22), BL42-Uzman_D!$J$22)*0.1
    ) +
    IF(ROUND((IF(BN42-Uzman_D!$L$22&lt;0, -(BN42-Uzman_D!$L$22), BN42-Uzman_D!$L$22)*2),0)/2 = IF(BN42-Uzman_D!$L$22&lt;0, -(BN42-Uzman_D!$L$22), BN42-Uzman_D!$L$22),
    (ROUND((IF(BN42-Uzman_D!$L$22&lt;0, -(BN42-Uzman_D!$L$22), BN42-Uzman_D!$L$22)*2),0)/1 * 0.1), 0) +
    IF(BO42-Uzman_D!$M$22&lt;0, -(BO42-Uzman_D!$M$22), BO42-Uzman_D!$M$22)*1
)</f>
        <v>-0.40000000000000013</v>
      </c>
      <c r="BQ42" s="74">
        <f t="shared" si="0"/>
        <v>-0.54000000000000026</v>
      </c>
    </row>
    <row r="43" spans="1:69" ht="15" customHeight="1" x14ac:dyDescent="0.2">
      <c r="A43" s="57">
        <v>40</v>
      </c>
      <c r="B43" s="29">
        <f>Hakemler!B43</f>
        <v>0</v>
      </c>
      <c r="C43" s="29">
        <f>Hakemler!C43</f>
        <v>0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2"/>
      <c r="O43" s="72"/>
      <c r="P43" s="73">
        <f>1 - (
    SUM(
        IF(D43-Uzman_D!$B$18&lt;0, -(D43-Uzman_D!$B$18), D43-Uzman_D!$B$18)*0.1 +
        IF(E43-Uzman_D!$C$18&lt;0, -(E43-Uzman_D!$C$18), E43-Uzman_D!$C$18)*0.1 +
        IF(F43-Uzman_D!$D$18&lt;0, -(F43-Uzman_D!$D$18), F43-Uzman_D!$D$18)*0.1 +
        IF(G43-Uzman_D!$E$18&lt;0, -(G43-Uzman_D!$E$18), G43-Uzman_D!$E$18)*0.1 +
        IF(H43-Uzman_D!$F$18&lt;0, -(H43-Uzman_D!$F$18), H43-Uzman_D!$F$18)*0.1 +
        IF(I43-Uzman_D!$G$18&lt;0, -(I43-Uzman_D!$G$18), I43-Uzman_D!$G$18)*0.1 +
        IF(J43-Uzman_D!$H$18&lt;0, -(J43-Uzman_D!$H$18), J43-Uzman_D!$H$18)*0.1 +
        IF(K43-Uzman_D!$I$18&lt;0, -(K43-Uzman_D!$I$18), K43-Uzman_D!$I$18)*0.1 +
        IF(L43-Uzman_D!$J$18&lt;0, -(L43-Uzman_D!$J$18), L43-Uzman_D!$J$18)*0.1
    ) +
    IF(ROUND((IF(N43-Uzman_D!$L$18&lt;0, -(N43-Uzman_D!$L$18), N43-Uzman_D!$L$18)*2),0)/2 = IF(N43-Uzman_D!$L$18&lt;0, -(N43-Uzman_D!$L$18), N43-Uzman_D!$L$18),
    (ROUND((IF(N43-Uzman_D!$L$18&lt;0, -(N43-Uzman_D!$L$18), N43-Uzman_D!$L$18)*2),0)/1 * 0.1), 0) +
    IF(O43-Uzman_D!$M$18&lt;0, -(O43-Uzman_D!$M$18), O43-Uzman_D!$M$18)*1
)</f>
        <v>-0.50000000000000022</v>
      </c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2"/>
      <c r="AB43" s="72"/>
      <c r="AC43" s="73">
        <f>1 - (
    SUM(
        IF(Q43-Uzman_D!$B$19&lt;0, -(Q43-Uzman_D!$B$19), Q43-Uzman_D!$B$19)*0.1 +
        IF(R43-Uzman_D!$C$19&lt;0, -(R43-Uzman_D!$C$19), R43-Uzman_D!$C$19)*0.1 +
        IF(S43-Uzman_D!$D$19&lt;0, -(S43-Uzman_D!$D$19), S43-Uzman_D!$D$19)*0.1 +
        IF(T43-Uzman_D!$E$19&lt;0, -(T43-Uzman_D!$E$19), T43-Uzman_D!$E$19)*0.1 +
        IF(U43-Uzman_D!$F$19&lt;0, -(U43-Uzman_D!$F$19), U43-Uzman_D!$F$19)*0.1 +
        IF(V43-Uzman_D!$G$19&lt;0, -(V43-Uzman_D!$G$19), V43-Uzman_D!$G$19)*0.1 +
        IF(W43-Uzman_D!$H$19&lt;0, -(W43-Uzman_D!$H$19), W43-Uzman_D!$H$19)*0.1 +
        IF(X43-Uzman_D!$I$19&lt;0, -(X43-Uzman_D!$I$19), X43-Uzman_D!$I$19)*0.1 +
        IF(Y43-Uzman_D!$J$19&lt;0, -(Y43-Uzman_D!$J$19), Y43-Uzman_D!$J$19)*0.1
    ) +
    IF(ROUND((IF(AA43-Uzman_D!$L$19&lt;0, -(AA43-Uzman_D!$L$19), AA43-Uzman_D!$L$19)*2),0)/2 = IF(AA43-Uzman_D!$L$19&lt;0, -(AA43-Uzman_D!$L$19), AA43-Uzman_D!$L$19),
    (ROUND((IF(AA43-Uzman_D!$L$19&lt;0, -(AA43-Uzman_D!$L$19), AA43-Uzman_D!$L$19)*2),0)/1 * 0.1), 0) +
    IF(AB43-Uzman_D!$M$19&lt;0, -(AB43-Uzman_D!$M$19), AB43-Uzman_D!$M$19)*1
)</f>
        <v>-0.60000000000000009</v>
      </c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2"/>
      <c r="AO43" s="72"/>
      <c r="AP43" s="73">
        <f>1 - (
    SUM(
        IF(AD43-Uzman_D!$B$20&lt;0, -(AD43-Uzman_D!$B$20), AD43-Uzman_D!$B$20)*0.1 +
        IF(AE43-Uzman_D!$C$20&lt;0, -(AE43-Uzman_D!$C$20), AE43-Uzman_D!$C$20)*0.1 +
        IF(AF43-Uzman_D!$D$20&lt;0, -(AF43-Uzman_D!$D$20), AF43-Uzman_D!$D$20)*0.1 +
        IF(AG43-Uzman_D!$E$20&lt;0, -(AG43-Uzman_D!$E$20), AG43-Uzman_D!$E$20)*0.1 +
        IF(AH43-Uzman_D!$F$20&lt;0, -(AH43-Uzman_D!$F$20), AH43-Uzman_D!$F$20)*0.1 +
        IF(AI43-Uzman_D!$G$20&lt;0, -(AI43-Uzman_D!$G$20), AI43-Uzman_D!$G$20)*0.1 +
        IF(AJ43-Uzman_D!$H$20&lt;0, -(AJ43-Uzman_D!$H$20), AJ43-Uzman_D!$H$20)*0.1 +
        IF(AK43-Uzman_D!$I$20&lt;0, -(AK43-Uzman_D!$I$20), AK43-Uzman_D!$I$20)*0.1 +
        IF(AL43-Uzman_D!$J$20&lt;0, -(AL43-Uzman_D!$J$20), AL43-Uzman_D!$J$20)*0.1
    ) +
    IF(ROUND((IF(AN43-Uzman_D!$L$20&lt;0, -(AN43-Uzman_D!$L$20), AN43-Uzman_D!$L$20)*2),0)/2 = IF(AN43-Uzman_D!$L$20&lt;0, -(AN43-Uzman_D!$L$20), AN43-Uzman_D!$L$20),
    (ROUND((IF(AN43-Uzman_D!$L$20&lt;0, -(AN43-Uzman_D!$L$20), AN43-Uzman_D!$L$20)*2),0)/1 * 0.1), 0) +
    IF(AO43-Uzman_D!$M$20&lt;0, -(AO43-Uzman_D!$M$20), AO43-Uzman_D!$M$20)*1
)</f>
        <v>-0.60000000000000009</v>
      </c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2"/>
      <c r="BB43" s="72"/>
      <c r="BC43" s="73">
        <f>1 - (
    SUM(
        IF(AQ43-Uzman_D!$B$21&lt;0, -(AQ43-Uzman_D!$B$21), AQ43-Uzman_D!$B$21)*0.1 +
        IF(AR43-Uzman_D!$C$21&lt;0, -(AR43-Uzman_D!$C$21), AR43-Uzman_D!$C$21)*0.1 +
        IF(AS43-Uzman_D!$D$21&lt;0, -(AS43-Uzman_D!$D$21), AS43-Uzman_D!$D$21)*0.1 +
        IF(AT43-Uzman_D!$E$21&lt;0, -(AT43-Uzman_D!$E$21), AT43-Uzman_D!$E$21)*0.1 +
        IF(AU43-Uzman_D!$F$21&lt;0, -(AU43-Uzman_D!$F$21), AU43-Uzman_D!$F$21)*0.1 +
        IF(AV43-Uzman_D!$G$21&lt;0, -(AV43-Uzman_D!$G$21), AV43-Uzman_D!$G$21)*0.1 +
        IF(AW43-Uzman_D!$H$21&lt;0, -(AW43-Uzman_D!$H$21), AW43-Uzman_D!$H$21)*0.1 +
        IF(AX43-Uzman_D!$I$21&lt;0, -(AX43-Uzman_D!$I$21), AX43-Uzman_D!$I$21)*0.1 +
        IF(AY43-Uzman_D!$J$21&lt;0, -(AY43-Uzman_D!$J$21), AY43-Uzman_D!$J$21)*0.1
    ) +
    IF(ROUND((IF(BA43-Uzman_D!$L$21&lt;0, -(BA43-Uzman_D!$L$21), BA43-Uzman_D!$L$21)*2),0)/2 = IF(BA43-Uzman_D!$L$21&lt;0, -(BA43-Uzman_D!$L$21), BA43-Uzman_D!$L$21),
    (ROUND((IF(BA43-Uzman_D!$L$21&lt;0, -(BA43-Uzman_D!$L$21), BA43-Uzman_D!$L$21)*2),0)/1 * 0.1), 0) +
    IF(BB43-Uzman_D!$M$21&lt;0, -(BB43-Uzman_D!$M$21), BB43-Uzman_D!$M$21)*1
)</f>
        <v>-0.60000000000000009</v>
      </c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2"/>
      <c r="BO43" s="72"/>
      <c r="BP43" s="73">
        <f>1 - (
    SUM(
        IF(BD43-Uzman_D!$B$22&lt;0, -(BD43-Uzman_D!$B$22), BD43-Uzman_D!$B$22)*0.1 +
        IF(BE43-Uzman_D!$C$22&lt;0, -(BE43-Uzman_D!$C$22), BE43-Uzman_D!$C$22)*0.1 +
        IF(BF43-Uzman_D!$D$22&lt;0, -(BF43-Uzman_D!$D$22), BF43-Uzman_D!$D$22)*0.1 +
        IF(BG43-Uzman_D!$E$22&lt;0, -(BG43-Uzman_D!$E$22), BG43-Uzman_D!$E$22)*0.1 +
        IF(BH43-Uzman_D!$F$22&lt;0, -(BH43-Uzman_D!$F$22), BH43-Uzman_D!$F$22)*0.1 +
        IF(BI43-Uzman_D!$G$22&lt;0, -(BI43-Uzman_D!$G$22), BI43-Uzman_D!$G$22)*0.1 +
        IF(BJ43-Uzman_D!$H$22&lt;0, -(BJ43-Uzman_D!$H$22), BJ43-Uzman_D!$H$22)*0.1 +
        IF(BK43-Uzman_D!$I$22&lt;0, -(BK43-Uzman_D!$I$22), BK43-Uzman_D!$I$22)*0.1 +
        IF(BL43-Uzman_D!$J$22&lt;0, -(BL43-Uzman_D!$J$22), BL43-Uzman_D!$J$22)*0.1
    ) +
    IF(ROUND((IF(BN43-Uzman_D!$L$22&lt;0, -(BN43-Uzman_D!$L$22), BN43-Uzman_D!$L$22)*2),0)/2 = IF(BN43-Uzman_D!$L$22&lt;0, -(BN43-Uzman_D!$L$22), BN43-Uzman_D!$L$22),
    (ROUND((IF(BN43-Uzman_D!$L$22&lt;0, -(BN43-Uzman_D!$L$22), BN43-Uzman_D!$L$22)*2),0)/1 * 0.1), 0) +
    IF(BO43-Uzman_D!$M$22&lt;0, -(BO43-Uzman_D!$M$22), BO43-Uzman_D!$M$22)*1
)</f>
        <v>-0.40000000000000013</v>
      </c>
      <c r="BQ43" s="74">
        <f t="shared" si="0"/>
        <v>-0.54000000000000026</v>
      </c>
    </row>
    <row r="44" spans="1:69" ht="15" customHeight="1" x14ac:dyDescent="0.2">
      <c r="A44" s="57">
        <v>41</v>
      </c>
      <c r="B44" s="37">
        <f>Hakemler!B44</f>
        <v>0</v>
      </c>
      <c r="C44" s="37">
        <f>Hakemler!C44</f>
        <v>0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2"/>
      <c r="O44" s="72"/>
      <c r="P44" s="73">
        <f>1 - (
    SUM(
        IF(D44-Uzman_D!$B$18&lt;0, -(D44-Uzman_D!$B$18), D44-Uzman_D!$B$18)*0.1 +
        IF(E44-Uzman_D!$C$18&lt;0, -(E44-Uzman_D!$C$18), E44-Uzman_D!$C$18)*0.1 +
        IF(F44-Uzman_D!$D$18&lt;0, -(F44-Uzman_D!$D$18), F44-Uzman_D!$D$18)*0.1 +
        IF(G44-Uzman_D!$E$18&lt;0, -(G44-Uzman_D!$E$18), G44-Uzman_D!$E$18)*0.1 +
        IF(H44-Uzman_D!$F$18&lt;0, -(H44-Uzman_D!$F$18), H44-Uzman_D!$F$18)*0.1 +
        IF(I44-Uzman_D!$G$18&lt;0, -(I44-Uzman_D!$G$18), I44-Uzman_D!$G$18)*0.1 +
        IF(J44-Uzman_D!$H$18&lt;0, -(J44-Uzman_D!$H$18), J44-Uzman_D!$H$18)*0.1 +
        IF(K44-Uzman_D!$I$18&lt;0, -(K44-Uzman_D!$I$18), K44-Uzman_D!$I$18)*0.1 +
        IF(L44-Uzman_D!$J$18&lt;0, -(L44-Uzman_D!$J$18), L44-Uzman_D!$J$18)*0.1
    ) +
    IF(ROUND((IF(N44-Uzman_D!$L$18&lt;0, -(N44-Uzman_D!$L$18), N44-Uzman_D!$L$18)*2),0)/2 = IF(N44-Uzman_D!$L$18&lt;0, -(N44-Uzman_D!$L$18), N44-Uzman_D!$L$18),
    (ROUND((IF(N44-Uzman_D!$L$18&lt;0, -(N44-Uzman_D!$L$18), N44-Uzman_D!$L$18)*2),0)/1 * 0.1), 0) +
    IF(O44-Uzman_D!$M$18&lt;0, -(O44-Uzman_D!$M$18), O44-Uzman_D!$M$18)*1
)</f>
        <v>-0.50000000000000022</v>
      </c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2"/>
      <c r="AB44" s="72"/>
      <c r="AC44" s="73">
        <f>1 - (
    SUM(
        IF(Q44-Uzman_D!$B$19&lt;0, -(Q44-Uzman_D!$B$19), Q44-Uzman_D!$B$19)*0.1 +
        IF(R44-Uzman_D!$C$19&lt;0, -(R44-Uzman_D!$C$19), R44-Uzman_D!$C$19)*0.1 +
        IF(S44-Uzman_D!$D$19&lt;0, -(S44-Uzman_D!$D$19), S44-Uzman_D!$D$19)*0.1 +
        IF(T44-Uzman_D!$E$19&lt;0, -(T44-Uzman_D!$E$19), T44-Uzman_D!$E$19)*0.1 +
        IF(U44-Uzman_D!$F$19&lt;0, -(U44-Uzman_D!$F$19), U44-Uzman_D!$F$19)*0.1 +
        IF(V44-Uzman_D!$G$19&lt;0, -(V44-Uzman_D!$G$19), V44-Uzman_D!$G$19)*0.1 +
        IF(W44-Uzman_D!$H$19&lt;0, -(W44-Uzman_D!$H$19), W44-Uzman_D!$H$19)*0.1 +
        IF(X44-Uzman_D!$I$19&lt;0, -(X44-Uzman_D!$I$19), X44-Uzman_D!$I$19)*0.1 +
        IF(Y44-Uzman_D!$J$19&lt;0, -(Y44-Uzman_D!$J$19), Y44-Uzman_D!$J$19)*0.1
    ) +
    IF(ROUND((IF(AA44-Uzman_D!$L$19&lt;0, -(AA44-Uzman_D!$L$19), AA44-Uzman_D!$L$19)*2),0)/2 = IF(AA44-Uzman_D!$L$19&lt;0, -(AA44-Uzman_D!$L$19), AA44-Uzman_D!$L$19),
    (ROUND((IF(AA44-Uzman_D!$L$19&lt;0, -(AA44-Uzman_D!$L$19), AA44-Uzman_D!$L$19)*2),0)/1 * 0.1), 0) +
    IF(AB44-Uzman_D!$M$19&lt;0, -(AB44-Uzman_D!$M$19), AB44-Uzman_D!$M$19)*1
)</f>
        <v>-0.60000000000000009</v>
      </c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2"/>
      <c r="AO44" s="72"/>
      <c r="AP44" s="73">
        <f>1 - (
    SUM(
        IF(AD44-Uzman_D!$B$20&lt;0, -(AD44-Uzman_D!$B$20), AD44-Uzman_D!$B$20)*0.1 +
        IF(AE44-Uzman_D!$C$20&lt;0, -(AE44-Uzman_D!$C$20), AE44-Uzman_D!$C$20)*0.1 +
        IF(AF44-Uzman_D!$D$20&lt;0, -(AF44-Uzman_D!$D$20), AF44-Uzman_D!$D$20)*0.1 +
        IF(AG44-Uzman_D!$E$20&lt;0, -(AG44-Uzman_D!$E$20), AG44-Uzman_D!$E$20)*0.1 +
        IF(AH44-Uzman_D!$F$20&lt;0, -(AH44-Uzman_D!$F$20), AH44-Uzman_D!$F$20)*0.1 +
        IF(AI44-Uzman_D!$G$20&lt;0, -(AI44-Uzman_D!$G$20), AI44-Uzman_D!$G$20)*0.1 +
        IF(AJ44-Uzman_D!$H$20&lt;0, -(AJ44-Uzman_D!$H$20), AJ44-Uzman_D!$H$20)*0.1 +
        IF(AK44-Uzman_D!$I$20&lt;0, -(AK44-Uzman_D!$I$20), AK44-Uzman_D!$I$20)*0.1 +
        IF(AL44-Uzman_D!$J$20&lt;0, -(AL44-Uzman_D!$J$20), AL44-Uzman_D!$J$20)*0.1
    ) +
    IF(ROUND((IF(AN44-Uzman_D!$L$20&lt;0, -(AN44-Uzman_D!$L$20), AN44-Uzman_D!$L$20)*2),0)/2 = IF(AN44-Uzman_D!$L$20&lt;0, -(AN44-Uzman_D!$L$20), AN44-Uzman_D!$L$20),
    (ROUND((IF(AN44-Uzman_D!$L$20&lt;0, -(AN44-Uzman_D!$L$20), AN44-Uzman_D!$L$20)*2),0)/1 * 0.1), 0) +
    IF(AO44-Uzman_D!$M$20&lt;0, -(AO44-Uzman_D!$M$20), AO44-Uzman_D!$M$20)*1
)</f>
        <v>-0.60000000000000009</v>
      </c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2"/>
      <c r="BB44" s="72"/>
      <c r="BC44" s="73">
        <f>1 - (
    SUM(
        IF(AQ44-Uzman_D!$B$21&lt;0, -(AQ44-Uzman_D!$B$21), AQ44-Uzman_D!$B$21)*0.1 +
        IF(AR44-Uzman_D!$C$21&lt;0, -(AR44-Uzman_D!$C$21), AR44-Uzman_D!$C$21)*0.1 +
        IF(AS44-Uzman_D!$D$21&lt;0, -(AS44-Uzman_D!$D$21), AS44-Uzman_D!$D$21)*0.1 +
        IF(AT44-Uzman_D!$E$21&lt;0, -(AT44-Uzman_D!$E$21), AT44-Uzman_D!$E$21)*0.1 +
        IF(AU44-Uzman_D!$F$21&lt;0, -(AU44-Uzman_D!$F$21), AU44-Uzman_D!$F$21)*0.1 +
        IF(AV44-Uzman_D!$G$21&lt;0, -(AV44-Uzman_D!$G$21), AV44-Uzman_D!$G$21)*0.1 +
        IF(AW44-Uzman_D!$H$21&lt;0, -(AW44-Uzman_D!$H$21), AW44-Uzman_D!$H$21)*0.1 +
        IF(AX44-Uzman_D!$I$21&lt;0, -(AX44-Uzman_D!$I$21), AX44-Uzman_D!$I$21)*0.1 +
        IF(AY44-Uzman_D!$J$21&lt;0, -(AY44-Uzman_D!$J$21), AY44-Uzman_D!$J$21)*0.1
    ) +
    IF(ROUND((IF(BA44-Uzman_D!$L$21&lt;0, -(BA44-Uzman_D!$L$21), BA44-Uzman_D!$L$21)*2),0)/2 = IF(BA44-Uzman_D!$L$21&lt;0, -(BA44-Uzman_D!$L$21), BA44-Uzman_D!$L$21),
    (ROUND((IF(BA44-Uzman_D!$L$21&lt;0, -(BA44-Uzman_D!$L$21), BA44-Uzman_D!$L$21)*2),0)/1 * 0.1), 0) +
    IF(BB44-Uzman_D!$M$21&lt;0, -(BB44-Uzman_D!$M$21), BB44-Uzman_D!$M$21)*1
)</f>
        <v>-0.60000000000000009</v>
      </c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2"/>
      <c r="BO44" s="72"/>
      <c r="BP44" s="73">
        <f>1 - (
    SUM(
        IF(BD44-Uzman_D!$B$22&lt;0, -(BD44-Uzman_D!$B$22), BD44-Uzman_D!$B$22)*0.1 +
        IF(BE44-Uzman_D!$C$22&lt;0, -(BE44-Uzman_D!$C$22), BE44-Uzman_D!$C$22)*0.1 +
        IF(BF44-Uzman_D!$D$22&lt;0, -(BF44-Uzman_D!$D$22), BF44-Uzman_D!$D$22)*0.1 +
        IF(BG44-Uzman_D!$E$22&lt;0, -(BG44-Uzman_D!$E$22), BG44-Uzman_D!$E$22)*0.1 +
        IF(BH44-Uzman_D!$F$22&lt;0, -(BH44-Uzman_D!$F$22), BH44-Uzman_D!$F$22)*0.1 +
        IF(BI44-Uzman_D!$G$22&lt;0, -(BI44-Uzman_D!$G$22), BI44-Uzman_D!$G$22)*0.1 +
        IF(BJ44-Uzman_D!$H$22&lt;0, -(BJ44-Uzman_D!$H$22), BJ44-Uzman_D!$H$22)*0.1 +
        IF(BK44-Uzman_D!$I$22&lt;0, -(BK44-Uzman_D!$I$22), BK44-Uzman_D!$I$22)*0.1 +
        IF(BL44-Uzman_D!$J$22&lt;0, -(BL44-Uzman_D!$J$22), BL44-Uzman_D!$J$22)*0.1
    ) +
    IF(ROUND((IF(BN44-Uzman_D!$L$22&lt;0, -(BN44-Uzman_D!$L$22), BN44-Uzman_D!$L$22)*2),0)/2 = IF(BN44-Uzman_D!$L$22&lt;0, -(BN44-Uzman_D!$L$22), BN44-Uzman_D!$L$22),
    (ROUND((IF(BN44-Uzman_D!$L$22&lt;0, -(BN44-Uzman_D!$L$22), BN44-Uzman_D!$L$22)*2),0)/1 * 0.1), 0) +
    IF(BO44-Uzman_D!$M$22&lt;0, -(BO44-Uzman_D!$M$22), BO44-Uzman_D!$M$22)*1
)</f>
        <v>-0.40000000000000013</v>
      </c>
      <c r="BQ44" s="74">
        <f t="shared" si="0"/>
        <v>-0.54000000000000026</v>
      </c>
    </row>
    <row r="45" spans="1:69" ht="15" customHeight="1" x14ac:dyDescent="0.2">
      <c r="A45" s="57">
        <v>42</v>
      </c>
      <c r="B45" s="29">
        <f>Hakemler!B45</f>
        <v>0</v>
      </c>
      <c r="C45" s="29">
        <f>Hakemler!C45</f>
        <v>0</v>
      </c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2"/>
      <c r="O45" s="72"/>
      <c r="P45" s="73">
        <f>1 - (
    SUM(
        IF(D45-Uzman_D!$B$18&lt;0, -(D45-Uzman_D!$B$18), D45-Uzman_D!$B$18)*0.1 +
        IF(E45-Uzman_D!$C$18&lt;0, -(E45-Uzman_D!$C$18), E45-Uzman_D!$C$18)*0.1 +
        IF(F45-Uzman_D!$D$18&lt;0, -(F45-Uzman_D!$D$18), F45-Uzman_D!$D$18)*0.1 +
        IF(G45-Uzman_D!$E$18&lt;0, -(G45-Uzman_D!$E$18), G45-Uzman_D!$E$18)*0.1 +
        IF(H45-Uzman_D!$F$18&lt;0, -(H45-Uzman_D!$F$18), H45-Uzman_D!$F$18)*0.1 +
        IF(I45-Uzman_D!$G$18&lt;0, -(I45-Uzman_D!$G$18), I45-Uzman_D!$G$18)*0.1 +
        IF(J45-Uzman_D!$H$18&lt;0, -(J45-Uzman_D!$H$18), J45-Uzman_D!$H$18)*0.1 +
        IF(K45-Uzman_D!$I$18&lt;0, -(K45-Uzman_D!$I$18), K45-Uzman_D!$I$18)*0.1 +
        IF(L45-Uzman_D!$J$18&lt;0, -(L45-Uzman_D!$J$18), L45-Uzman_D!$J$18)*0.1
    ) +
    IF(ROUND((IF(N45-Uzman_D!$L$18&lt;0, -(N45-Uzman_D!$L$18), N45-Uzman_D!$L$18)*2),0)/2 = IF(N45-Uzman_D!$L$18&lt;0, -(N45-Uzman_D!$L$18), N45-Uzman_D!$L$18),
    (ROUND((IF(N45-Uzman_D!$L$18&lt;0, -(N45-Uzman_D!$L$18), N45-Uzman_D!$L$18)*2),0)/1 * 0.1), 0) +
    IF(O45-Uzman_D!$M$18&lt;0, -(O45-Uzman_D!$M$18), O45-Uzman_D!$M$18)*1
)</f>
        <v>-0.50000000000000022</v>
      </c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2"/>
      <c r="AB45" s="72"/>
      <c r="AC45" s="73">
        <f>1 - (
    SUM(
        IF(Q45-Uzman_D!$B$19&lt;0, -(Q45-Uzman_D!$B$19), Q45-Uzman_D!$B$19)*0.1 +
        IF(R45-Uzman_D!$C$19&lt;0, -(R45-Uzman_D!$C$19), R45-Uzman_D!$C$19)*0.1 +
        IF(S45-Uzman_D!$D$19&lt;0, -(S45-Uzman_D!$D$19), S45-Uzman_D!$D$19)*0.1 +
        IF(T45-Uzman_D!$E$19&lt;0, -(T45-Uzman_D!$E$19), T45-Uzman_D!$E$19)*0.1 +
        IF(U45-Uzman_D!$F$19&lt;0, -(U45-Uzman_D!$F$19), U45-Uzman_D!$F$19)*0.1 +
        IF(V45-Uzman_D!$G$19&lt;0, -(V45-Uzman_D!$G$19), V45-Uzman_D!$G$19)*0.1 +
        IF(W45-Uzman_D!$H$19&lt;0, -(W45-Uzman_D!$H$19), W45-Uzman_D!$H$19)*0.1 +
        IF(X45-Uzman_D!$I$19&lt;0, -(X45-Uzman_D!$I$19), X45-Uzman_D!$I$19)*0.1 +
        IF(Y45-Uzman_D!$J$19&lt;0, -(Y45-Uzman_D!$J$19), Y45-Uzman_D!$J$19)*0.1
    ) +
    IF(ROUND((IF(AA45-Uzman_D!$L$19&lt;0, -(AA45-Uzman_D!$L$19), AA45-Uzman_D!$L$19)*2),0)/2 = IF(AA45-Uzman_D!$L$19&lt;0, -(AA45-Uzman_D!$L$19), AA45-Uzman_D!$L$19),
    (ROUND((IF(AA45-Uzman_D!$L$19&lt;0, -(AA45-Uzman_D!$L$19), AA45-Uzman_D!$L$19)*2),0)/1 * 0.1), 0) +
    IF(AB45-Uzman_D!$M$19&lt;0, -(AB45-Uzman_D!$M$19), AB45-Uzman_D!$M$19)*1
)</f>
        <v>-0.60000000000000009</v>
      </c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2"/>
      <c r="AO45" s="72"/>
      <c r="AP45" s="73">
        <f>1 - (
    SUM(
        IF(AD45-Uzman_D!$B$20&lt;0, -(AD45-Uzman_D!$B$20), AD45-Uzman_D!$B$20)*0.1 +
        IF(AE45-Uzman_D!$C$20&lt;0, -(AE45-Uzman_D!$C$20), AE45-Uzman_D!$C$20)*0.1 +
        IF(AF45-Uzman_D!$D$20&lt;0, -(AF45-Uzman_D!$D$20), AF45-Uzman_D!$D$20)*0.1 +
        IF(AG45-Uzman_D!$E$20&lt;0, -(AG45-Uzman_D!$E$20), AG45-Uzman_D!$E$20)*0.1 +
        IF(AH45-Uzman_D!$F$20&lt;0, -(AH45-Uzman_D!$F$20), AH45-Uzman_D!$F$20)*0.1 +
        IF(AI45-Uzman_D!$G$20&lt;0, -(AI45-Uzman_D!$G$20), AI45-Uzman_D!$G$20)*0.1 +
        IF(AJ45-Uzman_D!$H$20&lt;0, -(AJ45-Uzman_D!$H$20), AJ45-Uzman_D!$H$20)*0.1 +
        IF(AK45-Uzman_D!$I$20&lt;0, -(AK45-Uzman_D!$I$20), AK45-Uzman_D!$I$20)*0.1 +
        IF(AL45-Uzman_D!$J$20&lt;0, -(AL45-Uzman_D!$J$20), AL45-Uzman_D!$J$20)*0.1
    ) +
    IF(ROUND((IF(AN45-Uzman_D!$L$20&lt;0, -(AN45-Uzman_D!$L$20), AN45-Uzman_D!$L$20)*2),0)/2 = IF(AN45-Uzman_D!$L$20&lt;0, -(AN45-Uzman_D!$L$20), AN45-Uzman_D!$L$20),
    (ROUND((IF(AN45-Uzman_D!$L$20&lt;0, -(AN45-Uzman_D!$L$20), AN45-Uzman_D!$L$20)*2),0)/1 * 0.1), 0) +
    IF(AO45-Uzman_D!$M$20&lt;0, -(AO45-Uzman_D!$M$20), AO45-Uzman_D!$M$20)*1
)</f>
        <v>-0.60000000000000009</v>
      </c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2"/>
      <c r="BB45" s="72"/>
      <c r="BC45" s="73">
        <f>1 - (
    SUM(
        IF(AQ45-Uzman_D!$B$21&lt;0, -(AQ45-Uzman_D!$B$21), AQ45-Uzman_D!$B$21)*0.1 +
        IF(AR45-Uzman_D!$C$21&lt;0, -(AR45-Uzman_D!$C$21), AR45-Uzman_D!$C$21)*0.1 +
        IF(AS45-Uzman_D!$D$21&lt;0, -(AS45-Uzman_D!$D$21), AS45-Uzman_D!$D$21)*0.1 +
        IF(AT45-Uzman_D!$E$21&lt;0, -(AT45-Uzman_D!$E$21), AT45-Uzman_D!$E$21)*0.1 +
        IF(AU45-Uzman_D!$F$21&lt;0, -(AU45-Uzman_D!$F$21), AU45-Uzman_D!$F$21)*0.1 +
        IF(AV45-Uzman_D!$G$21&lt;0, -(AV45-Uzman_D!$G$21), AV45-Uzman_D!$G$21)*0.1 +
        IF(AW45-Uzman_D!$H$21&lt;0, -(AW45-Uzman_D!$H$21), AW45-Uzman_D!$H$21)*0.1 +
        IF(AX45-Uzman_D!$I$21&lt;0, -(AX45-Uzman_D!$I$21), AX45-Uzman_D!$I$21)*0.1 +
        IF(AY45-Uzman_D!$J$21&lt;0, -(AY45-Uzman_D!$J$21), AY45-Uzman_D!$J$21)*0.1
    ) +
    IF(ROUND((IF(BA45-Uzman_D!$L$21&lt;0, -(BA45-Uzman_D!$L$21), BA45-Uzman_D!$L$21)*2),0)/2 = IF(BA45-Uzman_D!$L$21&lt;0, -(BA45-Uzman_D!$L$21), BA45-Uzman_D!$L$21),
    (ROUND((IF(BA45-Uzman_D!$L$21&lt;0, -(BA45-Uzman_D!$L$21), BA45-Uzman_D!$L$21)*2),0)/1 * 0.1), 0) +
    IF(BB45-Uzman_D!$M$21&lt;0, -(BB45-Uzman_D!$M$21), BB45-Uzman_D!$M$21)*1
)</f>
        <v>-0.60000000000000009</v>
      </c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2"/>
      <c r="BO45" s="72"/>
      <c r="BP45" s="73">
        <f>1 - (
    SUM(
        IF(BD45-Uzman_D!$B$22&lt;0, -(BD45-Uzman_D!$B$22), BD45-Uzman_D!$B$22)*0.1 +
        IF(BE45-Uzman_D!$C$22&lt;0, -(BE45-Uzman_D!$C$22), BE45-Uzman_D!$C$22)*0.1 +
        IF(BF45-Uzman_D!$D$22&lt;0, -(BF45-Uzman_D!$D$22), BF45-Uzman_D!$D$22)*0.1 +
        IF(BG45-Uzman_D!$E$22&lt;0, -(BG45-Uzman_D!$E$22), BG45-Uzman_D!$E$22)*0.1 +
        IF(BH45-Uzman_D!$F$22&lt;0, -(BH45-Uzman_D!$F$22), BH45-Uzman_D!$F$22)*0.1 +
        IF(BI45-Uzman_D!$G$22&lt;0, -(BI45-Uzman_D!$G$22), BI45-Uzman_D!$G$22)*0.1 +
        IF(BJ45-Uzman_D!$H$22&lt;0, -(BJ45-Uzman_D!$H$22), BJ45-Uzman_D!$H$22)*0.1 +
        IF(BK45-Uzman_D!$I$22&lt;0, -(BK45-Uzman_D!$I$22), BK45-Uzman_D!$I$22)*0.1 +
        IF(BL45-Uzman_D!$J$22&lt;0, -(BL45-Uzman_D!$J$22), BL45-Uzman_D!$J$22)*0.1
    ) +
    IF(ROUND((IF(BN45-Uzman_D!$L$22&lt;0, -(BN45-Uzman_D!$L$22), BN45-Uzman_D!$L$22)*2),0)/2 = IF(BN45-Uzman_D!$L$22&lt;0, -(BN45-Uzman_D!$L$22), BN45-Uzman_D!$L$22),
    (ROUND((IF(BN45-Uzman_D!$L$22&lt;0, -(BN45-Uzman_D!$L$22), BN45-Uzman_D!$L$22)*2),0)/1 * 0.1), 0) +
    IF(BO45-Uzman_D!$M$22&lt;0, -(BO45-Uzman_D!$M$22), BO45-Uzman_D!$M$22)*1
)</f>
        <v>-0.40000000000000013</v>
      </c>
      <c r="BQ45" s="74">
        <f t="shared" si="0"/>
        <v>-0.54000000000000026</v>
      </c>
    </row>
    <row r="46" spans="1:69" ht="15" customHeight="1" x14ac:dyDescent="0.2">
      <c r="A46" s="57">
        <v>43</v>
      </c>
      <c r="B46" s="37">
        <f>Hakemler!B46</f>
        <v>0</v>
      </c>
      <c r="C46" s="37">
        <f>Hakemler!C46</f>
        <v>0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2"/>
      <c r="O46" s="72"/>
      <c r="P46" s="73">
        <f>1 - (
    SUM(
        IF(D46-Uzman_D!$B$18&lt;0, -(D46-Uzman_D!$B$18), D46-Uzman_D!$B$18)*0.1 +
        IF(E46-Uzman_D!$C$18&lt;0, -(E46-Uzman_D!$C$18), E46-Uzman_D!$C$18)*0.1 +
        IF(F46-Uzman_D!$D$18&lt;0, -(F46-Uzman_D!$D$18), F46-Uzman_D!$D$18)*0.1 +
        IF(G46-Uzman_D!$E$18&lt;0, -(G46-Uzman_D!$E$18), G46-Uzman_D!$E$18)*0.1 +
        IF(H46-Uzman_D!$F$18&lt;0, -(H46-Uzman_D!$F$18), H46-Uzman_D!$F$18)*0.1 +
        IF(I46-Uzman_D!$G$18&lt;0, -(I46-Uzman_D!$G$18), I46-Uzman_D!$G$18)*0.1 +
        IF(J46-Uzman_D!$H$18&lt;0, -(J46-Uzman_D!$H$18), J46-Uzman_D!$H$18)*0.1 +
        IF(K46-Uzman_D!$I$18&lt;0, -(K46-Uzman_D!$I$18), K46-Uzman_D!$I$18)*0.1 +
        IF(L46-Uzman_D!$J$18&lt;0, -(L46-Uzman_D!$J$18), L46-Uzman_D!$J$18)*0.1
    ) +
    IF(ROUND((IF(N46-Uzman_D!$L$18&lt;0, -(N46-Uzman_D!$L$18), N46-Uzman_D!$L$18)*2),0)/2 = IF(N46-Uzman_D!$L$18&lt;0, -(N46-Uzman_D!$L$18), N46-Uzman_D!$L$18),
    (ROUND((IF(N46-Uzman_D!$L$18&lt;0, -(N46-Uzman_D!$L$18), N46-Uzman_D!$L$18)*2),0)/1 * 0.1), 0) +
    IF(O46-Uzman_D!$M$18&lt;0, -(O46-Uzman_D!$M$18), O46-Uzman_D!$M$18)*1
)</f>
        <v>-0.50000000000000022</v>
      </c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2"/>
      <c r="AB46" s="72"/>
      <c r="AC46" s="73">
        <f>1 - (
    SUM(
        IF(Q46-Uzman_D!$B$19&lt;0, -(Q46-Uzman_D!$B$19), Q46-Uzman_D!$B$19)*0.1 +
        IF(R46-Uzman_D!$C$19&lt;0, -(R46-Uzman_D!$C$19), R46-Uzman_D!$C$19)*0.1 +
        IF(S46-Uzman_D!$D$19&lt;0, -(S46-Uzman_D!$D$19), S46-Uzman_D!$D$19)*0.1 +
        IF(T46-Uzman_D!$E$19&lt;0, -(T46-Uzman_D!$E$19), T46-Uzman_D!$E$19)*0.1 +
        IF(U46-Uzman_D!$F$19&lt;0, -(U46-Uzman_D!$F$19), U46-Uzman_D!$F$19)*0.1 +
        IF(V46-Uzman_D!$G$19&lt;0, -(V46-Uzman_D!$G$19), V46-Uzman_D!$G$19)*0.1 +
        IF(W46-Uzman_D!$H$19&lt;0, -(W46-Uzman_D!$H$19), W46-Uzman_D!$H$19)*0.1 +
        IF(X46-Uzman_D!$I$19&lt;0, -(X46-Uzman_D!$I$19), X46-Uzman_D!$I$19)*0.1 +
        IF(Y46-Uzman_D!$J$19&lt;0, -(Y46-Uzman_D!$J$19), Y46-Uzman_D!$J$19)*0.1
    ) +
    IF(ROUND((IF(AA46-Uzman_D!$L$19&lt;0, -(AA46-Uzman_D!$L$19), AA46-Uzman_D!$L$19)*2),0)/2 = IF(AA46-Uzman_D!$L$19&lt;0, -(AA46-Uzman_D!$L$19), AA46-Uzman_D!$L$19),
    (ROUND((IF(AA46-Uzman_D!$L$19&lt;0, -(AA46-Uzman_D!$L$19), AA46-Uzman_D!$L$19)*2),0)/1 * 0.1), 0) +
    IF(AB46-Uzman_D!$M$19&lt;0, -(AB46-Uzman_D!$M$19), AB46-Uzman_D!$M$19)*1
)</f>
        <v>-0.60000000000000009</v>
      </c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2"/>
      <c r="AO46" s="72"/>
      <c r="AP46" s="73">
        <f>1 - (
    SUM(
        IF(AD46-Uzman_D!$B$20&lt;0, -(AD46-Uzman_D!$B$20), AD46-Uzman_D!$B$20)*0.1 +
        IF(AE46-Uzman_D!$C$20&lt;0, -(AE46-Uzman_D!$C$20), AE46-Uzman_D!$C$20)*0.1 +
        IF(AF46-Uzman_D!$D$20&lt;0, -(AF46-Uzman_D!$D$20), AF46-Uzman_D!$D$20)*0.1 +
        IF(AG46-Uzman_D!$E$20&lt;0, -(AG46-Uzman_D!$E$20), AG46-Uzman_D!$E$20)*0.1 +
        IF(AH46-Uzman_D!$F$20&lt;0, -(AH46-Uzman_D!$F$20), AH46-Uzman_D!$F$20)*0.1 +
        IF(AI46-Uzman_D!$G$20&lt;0, -(AI46-Uzman_D!$G$20), AI46-Uzman_D!$G$20)*0.1 +
        IF(AJ46-Uzman_D!$H$20&lt;0, -(AJ46-Uzman_D!$H$20), AJ46-Uzman_D!$H$20)*0.1 +
        IF(AK46-Uzman_D!$I$20&lt;0, -(AK46-Uzman_D!$I$20), AK46-Uzman_D!$I$20)*0.1 +
        IF(AL46-Uzman_D!$J$20&lt;0, -(AL46-Uzman_D!$J$20), AL46-Uzman_D!$J$20)*0.1
    ) +
    IF(ROUND((IF(AN46-Uzman_D!$L$20&lt;0, -(AN46-Uzman_D!$L$20), AN46-Uzman_D!$L$20)*2),0)/2 = IF(AN46-Uzman_D!$L$20&lt;0, -(AN46-Uzman_D!$L$20), AN46-Uzman_D!$L$20),
    (ROUND((IF(AN46-Uzman_D!$L$20&lt;0, -(AN46-Uzman_D!$L$20), AN46-Uzman_D!$L$20)*2),0)/1 * 0.1), 0) +
    IF(AO46-Uzman_D!$M$20&lt;0, -(AO46-Uzman_D!$M$20), AO46-Uzman_D!$M$20)*1
)</f>
        <v>-0.60000000000000009</v>
      </c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2"/>
      <c r="BB46" s="72"/>
      <c r="BC46" s="73">
        <f>1 - (
    SUM(
        IF(AQ46-Uzman_D!$B$21&lt;0, -(AQ46-Uzman_D!$B$21), AQ46-Uzman_D!$B$21)*0.1 +
        IF(AR46-Uzman_D!$C$21&lt;0, -(AR46-Uzman_D!$C$21), AR46-Uzman_D!$C$21)*0.1 +
        IF(AS46-Uzman_D!$D$21&lt;0, -(AS46-Uzman_D!$D$21), AS46-Uzman_D!$D$21)*0.1 +
        IF(AT46-Uzman_D!$E$21&lt;0, -(AT46-Uzman_D!$E$21), AT46-Uzman_D!$E$21)*0.1 +
        IF(AU46-Uzman_D!$F$21&lt;0, -(AU46-Uzman_D!$F$21), AU46-Uzman_D!$F$21)*0.1 +
        IF(AV46-Uzman_D!$G$21&lt;0, -(AV46-Uzman_D!$G$21), AV46-Uzman_D!$G$21)*0.1 +
        IF(AW46-Uzman_D!$H$21&lt;0, -(AW46-Uzman_D!$H$21), AW46-Uzman_D!$H$21)*0.1 +
        IF(AX46-Uzman_D!$I$21&lt;0, -(AX46-Uzman_D!$I$21), AX46-Uzman_D!$I$21)*0.1 +
        IF(AY46-Uzman_D!$J$21&lt;0, -(AY46-Uzman_D!$J$21), AY46-Uzman_D!$J$21)*0.1
    ) +
    IF(ROUND((IF(BA46-Uzman_D!$L$21&lt;0, -(BA46-Uzman_D!$L$21), BA46-Uzman_D!$L$21)*2),0)/2 = IF(BA46-Uzman_D!$L$21&lt;0, -(BA46-Uzman_D!$L$21), BA46-Uzman_D!$L$21),
    (ROUND((IF(BA46-Uzman_D!$L$21&lt;0, -(BA46-Uzman_D!$L$21), BA46-Uzman_D!$L$21)*2),0)/1 * 0.1), 0) +
    IF(BB46-Uzman_D!$M$21&lt;0, -(BB46-Uzman_D!$M$21), BB46-Uzman_D!$M$21)*1
)</f>
        <v>-0.60000000000000009</v>
      </c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2"/>
      <c r="BO46" s="72"/>
      <c r="BP46" s="73">
        <f>1 - (
    SUM(
        IF(BD46-Uzman_D!$B$22&lt;0, -(BD46-Uzman_D!$B$22), BD46-Uzman_D!$B$22)*0.1 +
        IF(BE46-Uzman_D!$C$22&lt;0, -(BE46-Uzman_D!$C$22), BE46-Uzman_D!$C$22)*0.1 +
        IF(BF46-Uzman_D!$D$22&lt;0, -(BF46-Uzman_D!$D$22), BF46-Uzman_D!$D$22)*0.1 +
        IF(BG46-Uzman_D!$E$22&lt;0, -(BG46-Uzman_D!$E$22), BG46-Uzman_D!$E$22)*0.1 +
        IF(BH46-Uzman_D!$F$22&lt;0, -(BH46-Uzman_D!$F$22), BH46-Uzman_D!$F$22)*0.1 +
        IF(BI46-Uzman_D!$G$22&lt;0, -(BI46-Uzman_D!$G$22), BI46-Uzman_D!$G$22)*0.1 +
        IF(BJ46-Uzman_D!$H$22&lt;0, -(BJ46-Uzman_D!$H$22), BJ46-Uzman_D!$H$22)*0.1 +
        IF(BK46-Uzman_D!$I$22&lt;0, -(BK46-Uzman_D!$I$22), BK46-Uzman_D!$I$22)*0.1 +
        IF(BL46-Uzman_D!$J$22&lt;0, -(BL46-Uzman_D!$J$22), BL46-Uzman_D!$J$22)*0.1
    ) +
    IF(ROUND((IF(BN46-Uzman_D!$L$22&lt;0, -(BN46-Uzman_D!$L$22), BN46-Uzman_D!$L$22)*2),0)/2 = IF(BN46-Uzman_D!$L$22&lt;0, -(BN46-Uzman_D!$L$22), BN46-Uzman_D!$L$22),
    (ROUND((IF(BN46-Uzman_D!$L$22&lt;0, -(BN46-Uzman_D!$L$22), BN46-Uzman_D!$L$22)*2),0)/1 * 0.1), 0) +
    IF(BO46-Uzman_D!$M$22&lt;0, -(BO46-Uzman_D!$M$22), BO46-Uzman_D!$M$22)*1
)</f>
        <v>-0.40000000000000013</v>
      </c>
      <c r="BQ46" s="74">
        <f t="shared" si="0"/>
        <v>-0.54000000000000026</v>
      </c>
    </row>
    <row r="47" spans="1:69" ht="15" customHeight="1" x14ac:dyDescent="0.2">
      <c r="A47" s="57">
        <v>44</v>
      </c>
      <c r="B47" s="37">
        <f>Hakemler!B47</f>
        <v>0</v>
      </c>
      <c r="C47" s="37">
        <f>Hakemler!C47</f>
        <v>0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2"/>
      <c r="O47" s="72"/>
      <c r="P47" s="73">
        <f>1 - (
    SUM(
        IF(D47-Uzman_D!$B$18&lt;0, -(D47-Uzman_D!$B$18), D47-Uzman_D!$B$18)*0.1 +
        IF(E47-Uzman_D!$C$18&lt;0, -(E47-Uzman_D!$C$18), E47-Uzman_D!$C$18)*0.1 +
        IF(F47-Uzman_D!$D$18&lt;0, -(F47-Uzman_D!$D$18), F47-Uzman_D!$D$18)*0.1 +
        IF(G47-Uzman_D!$E$18&lt;0, -(G47-Uzman_D!$E$18), G47-Uzman_D!$E$18)*0.1 +
        IF(H47-Uzman_D!$F$18&lt;0, -(H47-Uzman_D!$F$18), H47-Uzman_D!$F$18)*0.1 +
        IF(I47-Uzman_D!$G$18&lt;0, -(I47-Uzman_D!$G$18), I47-Uzman_D!$G$18)*0.1 +
        IF(J47-Uzman_D!$H$18&lt;0, -(J47-Uzman_D!$H$18), J47-Uzman_D!$H$18)*0.1 +
        IF(K47-Uzman_D!$I$18&lt;0, -(K47-Uzman_D!$I$18), K47-Uzman_D!$I$18)*0.1 +
        IF(L47-Uzman_D!$J$18&lt;0, -(L47-Uzman_D!$J$18), L47-Uzman_D!$J$18)*0.1
    ) +
    IF(ROUND((IF(N47-Uzman_D!$L$18&lt;0, -(N47-Uzman_D!$L$18), N47-Uzman_D!$L$18)*2),0)/2 = IF(N47-Uzman_D!$L$18&lt;0, -(N47-Uzman_D!$L$18), N47-Uzman_D!$L$18),
    (ROUND((IF(N47-Uzman_D!$L$18&lt;0, -(N47-Uzman_D!$L$18), N47-Uzman_D!$L$18)*2),0)/1 * 0.1), 0) +
    IF(O47-Uzman_D!$M$18&lt;0, -(O47-Uzman_D!$M$18), O47-Uzman_D!$M$18)*1
)</f>
        <v>-0.50000000000000022</v>
      </c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2"/>
      <c r="AB47" s="72"/>
      <c r="AC47" s="73">
        <f>1 - (
    SUM(
        IF(Q47-Uzman_D!$B$19&lt;0, -(Q47-Uzman_D!$B$19), Q47-Uzman_D!$B$19)*0.1 +
        IF(R47-Uzman_D!$C$19&lt;0, -(R47-Uzman_D!$C$19), R47-Uzman_D!$C$19)*0.1 +
        IF(S47-Uzman_D!$D$19&lt;0, -(S47-Uzman_D!$D$19), S47-Uzman_D!$D$19)*0.1 +
        IF(T47-Uzman_D!$E$19&lt;0, -(T47-Uzman_D!$E$19), T47-Uzman_D!$E$19)*0.1 +
        IF(U47-Uzman_D!$F$19&lt;0, -(U47-Uzman_D!$F$19), U47-Uzman_D!$F$19)*0.1 +
        IF(V47-Uzman_D!$G$19&lt;0, -(V47-Uzman_D!$G$19), V47-Uzman_D!$G$19)*0.1 +
        IF(W47-Uzman_D!$H$19&lt;0, -(W47-Uzman_D!$H$19), W47-Uzman_D!$H$19)*0.1 +
        IF(X47-Uzman_D!$I$19&lt;0, -(X47-Uzman_D!$I$19), X47-Uzman_D!$I$19)*0.1 +
        IF(Y47-Uzman_D!$J$19&lt;0, -(Y47-Uzman_D!$J$19), Y47-Uzman_D!$J$19)*0.1
    ) +
    IF(ROUND((IF(AA47-Uzman_D!$L$19&lt;0, -(AA47-Uzman_D!$L$19), AA47-Uzman_D!$L$19)*2),0)/2 = IF(AA47-Uzman_D!$L$19&lt;0, -(AA47-Uzman_D!$L$19), AA47-Uzman_D!$L$19),
    (ROUND((IF(AA47-Uzman_D!$L$19&lt;0, -(AA47-Uzman_D!$L$19), AA47-Uzman_D!$L$19)*2),0)/1 * 0.1), 0) +
    IF(AB47-Uzman_D!$M$19&lt;0, -(AB47-Uzman_D!$M$19), AB47-Uzman_D!$M$19)*1
)</f>
        <v>-0.60000000000000009</v>
      </c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2"/>
      <c r="AO47" s="72"/>
      <c r="AP47" s="73">
        <f>1 - (
    SUM(
        IF(AD47-Uzman_D!$B$20&lt;0, -(AD47-Uzman_D!$B$20), AD47-Uzman_D!$B$20)*0.1 +
        IF(AE47-Uzman_D!$C$20&lt;0, -(AE47-Uzman_D!$C$20), AE47-Uzman_D!$C$20)*0.1 +
        IF(AF47-Uzman_D!$D$20&lt;0, -(AF47-Uzman_D!$D$20), AF47-Uzman_D!$D$20)*0.1 +
        IF(AG47-Uzman_D!$E$20&lt;0, -(AG47-Uzman_D!$E$20), AG47-Uzman_D!$E$20)*0.1 +
        IF(AH47-Uzman_D!$F$20&lt;0, -(AH47-Uzman_D!$F$20), AH47-Uzman_D!$F$20)*0.1 +
        IF(AI47-Uzman_D!$G$20&lt;0, -(AI47-Uzman_D!$G$20), AI47-Uzman_D!$G$20)*0.1 +
        IF(AJ47-Uzman_D!$H$20&lt;0, -(AJ47-Uzman_D!$H$20), AJ47-Uzman_D!$H$20)*0.1 +
        IF(AK47-Uzman_D!$I$20&lt;0, -(AK47-Uzman_D!$I$20), AK47-Uzman_D!$I$20)*0.1 +
        IF(AL47-Uzman_D!$J$20&lt;0, -(AL47-Uzman_D!$J$20), AL47-Uzman_D!$J$20)*0.1
    ) +
    IF(ROUND((IF(AN47-Uzman_D!$L$20&lt;0, -(AN47-Uzman_D!$L$20), AN47-Uzman_D!$L$20)*2),0)/2 = IF(AN47-Uzman_D!$L$20&lt;0, -(AN47-Uzman_D!$L$20), AN47-Uzman_D!$L$20),
    (ROUND((IF(AN47-Uzman_D!$L$20&lt;0, -(AN47-Uzman_D!$L$20), AN47-Uzman_D!$L$20)*2),0)/1 * 0.1), 0) +
    IF(AO47-Uzman_D!$M$20&lt;0, -(AO47-Uzman_D!$M$20), AO47-Uzman_D!$M$20)*1
)</f>
        <v>-0.60000000000000009</v>
      </c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2"/>
      <c r="BB47" s="72"/>
      <c r="BC47" s="73">
        <f>1 - (
    SUM(
        IF(AQ47-Uzman_D!$B$21&lt;0, -(AQ47-Uzman_D!$B$21), AQ47-Uzman_D!$B$21)*0.1 +
        IF(AR47-Uzman_D!$C$21&lt;0, -(AR47-Uzman_D!$C$21), AR47-Uzman_D!$C$21)*0.1 +
        IF(AS47-Uzman_D!$D$21&lt;0, -(AS47-Uzman_D!$D$21), AS47-Uzman_D!$D$21)*0.1 +
        IF(AT47-Uzman_D!$E$21&lt;0, -(AT47-Uzman_D!$E$21), AT47-Uzman_D!$E$21)*0.1 +
        IF(AU47-Uzman_D!$F$21&lt;0, -(AU47-Uzman_D!$F$21), AU47-Uzman_D!$F$21)*0.1 +
        IF(AV47-Uzman_D!$G$21&lt;0, -(AV47-Uzman_D!$G$21), AV47-Uzman_D!$G$21)*0.1 +
        IF(AW47-Uzman_D!$H$21&lt;0, -(AW47-Uzman_D!$H$21), AW47-Uzman_D!$H$21)*0.1 +
        IF(AX47-Uzman_D!$I$21&lt;0, -(AX47-Uzman_D!$I$21), AX47-Uzman_D!$I$21)*0.1 +
        IF(AY47-Uzman_D!$J$21&lt;0, -(AY47-Uzman_D!$J$21), AY47-Uzman_D!$J$21)*0.1
    ) +
    IF(ROUND((IF(BA47-Uzman_D!$L$21&lt;0, -(BA47-Uzman_D!$L$21), BA47-Uzman_D!$L$21)*2),0)/2 = IF(BA47-Uzman_D!$L$21&lt;0, -(BA47-Uzman_D!$L$21), BA47-Uzman_D!$L$21),
    (ROUND((IF(BA47-Uzman_D!$L$21&lt;0, -(BA47-Uzman_D!$L$21), BA47-Uzman_D!$L$21)*2),0)/1 * 0.1), 0) +
    IF(BB47-Uzman_D!$M$21&lt;0, -(BB47-Uzman_D!$M$21), BB47-Uzman_D!$M$21)*1
)</f>
        <v>-0.60000000000000009</v>
      </c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2"/>
      <c r="BO47" s="72"/>
      <c r="BP47" s="73">
        <f>1 - (
    SUM(
        IF(BD47-Uzman_D!$B$22&lt;0, -(BD47-Uzman_D!$B$22), BD47-Uzman_D!$B$22)*0.1 +
        IF(BE47-Uzman_D!$C$22&lt;0, -(BE47-Uzman_D!$C$22), BE47-Uzman_D!$C$22)*0.1 +
        IF(BF47-Uzman_D!$D$22&lt;0, -(BF47-Uzman_D!$D$22), BF47-Uzman_D!$D$22)*0.1 +
        IF(BG47-Uzman_D!$E$22&lt;0, -(BG47-Uzman_D!$E$22), BG47-Uzman_D!$E$22)*0.1 +
        IF(BH47-Uzman_D!$F$22&lt;0, -(BH47-Uzman_D!$F$22), BH47-Uzman_D!$F$22)*0.1 +
        IF(BI47-Uzman_D!$G$22&lt;0, -(BI47-Uzman_D!$G$22), BI47-Uzman_D!$G$22)*0.1 +
        IF(BJ47-Uzman_D!$H$22&lt;0, -(BJ47-Uzman_D!$H$22), BJ47-Uzman_D!$H$22)*0.1 +
        IF(BK47-Uzman_D!$I$22&lt;0, -(BK47-Uzman_D!$I$22), BK47-Uzman_D!$I$22)*0.1 +
        IF(BL47-Uzman_D!$J$22&lt;0, -(BL47-Uzman_D!$J$22), BL47-Uzman_D!$J$22)*0.1
    ) +
    IF(ROUND((IF(BN47-Uzman_D!$L$22&lt;0, -(BN47-Uzman_D!$L$22), BN47-Uzman_D!$L$22)*2),0)/2 = IF(BN47-Uzman_D!$L$22&lt;0, -(BN47-Uzman_D!$L$22), BN47-Uzman_D!$L$22),
    (ROUND((IF(BN47-Uzman_D!$L$22&lt;0, -(BN47-Uzman_D!$L$22), BN47-Uzman_D!$L$22)*2),0)/1 * 0.1), 0) +
    IF(BO47-Uzman_D!$M$22&lt;0, -(BO47-Uzman_D!$M$22), BO47-Uzman_D!$M$22)*1
)</f>
        <v>-0.40000000000000013</v>
      </c>
      <c r="BQ47" s="74">
        <f t="shared" si="0"/>
        <v>-0.54000000000000026</v>
      </c>
    </row>
    <row r="48" spans="1:69" ht="15" customHeight="1" x14ac:dyDescent="0.2">
      <c r="A48" s="57">
        <v>45</v>
      </c>
      <c r="B48" s="29">
        <f>Hakemler!B48</f>
        <v>0</v>
      </c>
      <c r="C48" s="29">
        <f>Hakemler!C48</f>
        <v>0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2"/>
      <c r="O48" s="72"/>
      <c r="P48" s="73">
        <f>1 - (
    SUM(
        IF(D48-Uzman_D!$B$18&lt;0, -(D48-Uzman_D!$B$18), D48-Uzman_D!$B$18)*0.1 +
        IF(E48-Uzman_D!$C$18&lt;0, -(E48-Uzman_D!$C$18), E48-Uzman_D!$C$18)*0.1 +
        IF(F48-Uzman_D!$D$18&lt;0, -(F48-Uzman_D!$D$18), F48-Uzman_D!$D$18)*0.1 +
        IF(G48-Uzman_D!$E$18&lt;0, -(G48-Uzman_D!$E$18), G48-Uzman_D!$E$18)*0.1 +
        IF(H48-Uzman_D!$F$18&lt;0, -(H48-Uzman_D!$F$18), H48-Uzman_D!$F$18)*0.1 +
        IF(I48-Uzman_D!$G$18&lt;0, -(I48-Uzman_D!$G$18), I48-Uzman_D!$G$18)*0.1 +
        IF(J48-Uzman_D!$H$18&lt;0, -(J48-Uzman_D!$H$18), J48-Uzman_D!$H$18)*0.1 +
        IF(K48-Uzman_D!$I$18&lt;0, -(K48-Uzman_D!$I$18), K48-Uzman_D!$I$18)*0.1 +
        IF(L48-Uzman_D!$J$18&lt;0, -(L48-Uzman_D!$J$18), L48-Uzman_D!$J$18)*0.1
    ) +
    IF(ROUND((IF(N48-Uzman_D!$L$18&lt;0, -(N48-Uzman_D!$L$18), N48-Uzman_D!$L$18)*2),0)/2 = IF(N48-Uzman_D!$L$18&lt;0, -(N48-Uzman_D!$L$18), N48-Uzman_D!$L$18),
    (ROUND((IF(N48-Uzman_D!$L$18&lt;0, -(N48-Uzman_D!$L$18), N48-Uzman_D!$L$18)*2),0)/1 * 0.1), 0) +
    IF(O48-Uzman_D!$M$18&lt;0, -(O48-Uzman_D!$M$18), O48-Uzman_D!$M$18)*1
)</f>
        <v>-0.50000000000000022</v>
      </c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2"/>
      <c r="AB48" s="72"/>
      <c r="AC48" s="73">
        <f>1 - (
    SUM(
        IF(Q48-Uzman_D!$B$19&lt;0, -(Q48-Uzman_D!$B$19), Q48-Uzman_D!$B$19)*0.1 +
        IF(R48-Uzman_D!$C$19&lt;0, -(R48-Uzman_D!$C$19), R48-Uzman_D!$C$19)*0.1 +
        IF(S48-Uzman_D!$D$19&lt;0, -(S48-Uzman_D!$D$19), S48-Uzman_D!$D$19)*0.1 +
        IF(T48-Uzman_D!$E$19&lt;0, -(T48-Uzman_D!$E$19), T48-Uzman_D!$E$19)*0.1 +
        IF(U48-Uzman_D!$F$19&lt;0, -(U48-Uzman_D!$F$19), U48-Uzman_D!$F$19)*0.1 +
        IF(V48-Uzman_D!$G$19&lt;0, -(V48-Uzman_D!$G$19), V48-Uzman_D!$G$19)*0.1 +
        IF(W48-Uzman_D!$H$19&lt;0, -(W48-Uzman_D!$H$19), W48-Uzman_D!$H$19)*0.1 +
        IF(X48-Uzman_D!$I$19&lt;0, -(X48-Uzman_D!$I$19), X48-Uzman_D!$I$19)*0.1 +
        IF(Y48-Uzman_D!$J$19&lt;0, -(Y48-Uzman_D!$J$19), Y48-Uzman_D!$J$19)*0.1
    ) +
    IF(ROUND((IF(AA48-Uzman_D!$L$19&lt;0, -(AA48-Uzman_D!$L$19), AA48-Uzman_D!$L$19)*2),0)/2 = IF(AA48-Uzman_D!$L$19&lt;0, -(AA48-Uzman_D!$L$19), AA48-Uzman_D!$L$19),
    (ROUND((IF(AA48-Uzman_D!$L$19&lt;0, -(AA48-Uzman_D!$L$19), AA48-Uzman_D!$L$19)*2),0)/1 * 0.1), 0) +
    IF(AB48-Uzman_D!$M$19&lt;0, -(AB48-Uzman_D!$M$19), AB48-Uzman_D!$M$19)*1
)</f>
        <v>-0.60000000000000009</v>
      </c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2"/>
      <c r="AO48" s="72"/>
      <c r="AP48" s="73">
        <f>1 - (
    SUM(
        IF(AD48-Uzman_D!$B$20&lt;0, -(AD48-Uzman_D!$B$20), AD48-Uzman_D!$B$20)*0.1 +
        IF(AE48-Uzman_D!$C$20&lt;0, -(AE48-Uzman_D!$C$20), AE48-Uzman_D!$C$20)*0.1 +
        IF(AF48-Uzman_D!$D$20&lt;0, -(AF48-Uzman_D!$D$20), AF48-Uzman_D!$D$20)*0.1 +
        IF(AG48-Uzman_D!$E$20&lt;0, -(AG48-Uzman_D!$E$20), AG48-Uzman_D!$E$20)*0.1 +
        IF(AH48-Uzman_D!$F$20&lt;0, -(AH48-Uzman_D!$F$20), AH48-Uzman_D!$F$20)*0.1 +
        IF(AI48-Uzman_D!$G$20&lt;0, -(AI48-Uzman_D!$G$20), AI48-Uzman_D!$G$20)*0.1 +
        IF(AJ48-Uzman_D!$H$20&lt;0, -(AJ48-Uzman_D!$H$20), AJ48-Uzman_D!$H$20)*0.1 +
        IF(AK48-Uzman_D!$I$20&lt;0, -(AK48-Uzman_D!$I$20), AK48-Uzman_D!$I$20)*0.1 +
        IF(AL48-Uzman_D!$J$20&lt;0, -(AL48-Uzman_D!$J$20), AL48-Uzman_D!$J$20)*0.1
    ) +
    IF(ROUND((IF(AN48-Uzman_D!$L$20&lt;0, -(AN48-Uzman_D!$L$20), AN48-Uzman_D!$L$20)*2),0)/2 = IF(AN48-Uzman_D!$L$20&lt;0, -(AN48-Uzman_D!$L$20), AN48-Uzman_D!$L$20),
    (ROUND((IF(AN48-Uzman_D!$L$20&lt;0, -(AN48-Uzman_D!$L$20), AN48-Uzman_D!$L$20)*2),0)/1 * 0.1), 0) +
    IF(AO48-Uzman_D!$M$20&lt;0, -(AO48-Uzman_D!$M$20), AO48-Uzman_D!$M$20)*1
)</f>
        <v>-0.60000000000000009</v>
      </c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2"/>
      <c r="BB48" s="72"/>
      <c r="BC48" s="73">
        <f>1 - (
    SUM(
        IF(AQ48-Uzman_D!$B$21&lt;0, -(AQ48-Uzman_D!$B$21), AQ48-Uzman_D!$B$21)*0.1 +
        IF(AR48-Uzman_D!$C$21&lt;0, -(AR48-Uzman_D!$C$21), AR48-Uzman_D!$C$21)*0.1 +
        IF(AS48-Uzman_D!$D$21&lt;0, -(AS48-Uzman_D!$D$21), AS48-Uzman_D!$D$21)*0.1 +
        IF(AT48-Uzman_D!$E$21&lt;0, -(AT48-Uzman_D!$E$21), AT48-Uzman_D!$E$21)*0.1 +
        IF(AU48-Uzman_D!$F$21&lt;0, -(AU48-Uzman_D!$F$21), AU48-Uzman_D!$F$21)*0.1 +
        IF(AV48-Uzman_D!$G$21&lt;0, -(AV48-Uzman_D!$G$21), AV48-Uzman_D!$G$21)*0.1 +
        IF(AW48-Uzman_D!$H$21&lt;0, -(AW48-Uzman_D!$H$21), AW48-Uzman_D!$H$21)*0.1 +
        IF(AX48-Uzman_D!$I$21&lt;0, -(AX48-Uzman_D!$I$21), AX48-Uzman_D!$I$21)*0.1 +
        IF(AY48-Uzman_D!$J$21&lt;0, -(AY48-Uzman_D!$J$21), AY48-Uzman_D!$J$21)*0.1
    ) +
    IF(ROUND((IF(BA48-Uzman_D!$L$21&lt;0, -(BA48-Uzman_D!$L$21), BA48-Uzman_D!$L$21)*2),0)/2 = IF(BA48-Uzman_D!$L$21&lt;0, -(BA48-Uzman_D!$L$21), BA48-Uzman_D!$L$21),
    (ROUND((IF(BA48-Uzman_D!$L$21&lt;0, -(BA48-Uzman_D!$L$21), BA48-Uzman_D!$L$21)*2),0)/1 * 0.1), 0) +
    IF(BB48-Uzman_D!$M$21&lt;0, -(BB48-Uzman_D!$M$21), BB48-Uzman_D!$M$21)*1
)</f>
        <v>-0.60000000000000009</v>
      </c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2"/>
      <c r="BO48" s="72"/>
      <c r="BP48" s="73">
        <f>1 - (
    SUM(
        IF(BD48-Uzman_D!$B$22&lt;0, -(BD48-Uzman_D!$B$22), BD48-Uzman_D!$B$22)*0.1 +
        IF(BE48-Uzman_D!$C$22&lt;0, -(BE48-Uzman_D!$C$22), BE48-Uzman_D!$C$22)*0.1 +
        IF(BF48-Uzman_D!$D$22&lt;0, -(BF48-Uzman_D!$D$22), BF48-Uzman_D!$D$22)*0.1 +
        IF(BG48-Uzman_D!$E$22&lt;0, -(BG48-Uzman_D!$E$22), BG48-Uzman_D!$E$22)*0.1 +
        IF(BH48-Uzman_D!$F$22&lt;0, -(BH48-Uzman_D!$F$22), BH48-Uzman_D!$F$22)*0.1 +
        IF(BI48-Uzman_D!$G$22&lt;0, -(BI48-Uzman_D!$G$22), BI48-Uzman_D!$G$22)*0.1 +
        IF(BJ48-Uzman_D!$H$22&lt;0, -(BJ48-Uzman_D!$H$22), BJ48-Uzman_D!$H$22)*0.1 +
        IF(BK48-Uzman_D!$I$22&lt;0, -(BK48-Uzman_D!$I$22), BK48-Uzman_D!$I$22)*0.1 +
        IF(BL48-Uzman_D!$J$22&lt;0, -(BL48-Uzman_D!$J$22), BL48-Uzman_D!$J$22)*0.1
    ) +
    IF(ROUND((IF(BN48-Uzman_D!$L$22&lt;0, -(BN48-Uzman_D!$L$22), BN48-Uzman_D!$L$22)*2),0)/2 = IF(BN48-Uzman_D!$L$22&lt;0, -(BN48-Uzman_D!$L$22), BN48-Uzman_D!$L$22),
    (ROUND((IF(BN48-Uzman_D!$L$22&lt;0, -(BN48-Uzman_D!$L$22), BN48-Uzman_D!$L$22)*2),0)/1 * 0.1), 0) +
    IF(BO48-Uzman_D!$M$22&lt;0, -(BO48-Uzman_D!$M$22), BO48-Uzman_D!$M$22)*1
)</f>
        <v>-0.40000000000000013</v>
      </c>
      <c r="BQ48" s="74">
        <f t="shared" si="0"/>
        <v>-0.54000000000000026</v>
      </c>
    </row>
    <row r="49" spans="1:69" ht="15" customHeight="1" x14ac:dyDescent="0.2">
      <c r="A49" s="57">
        <v>46</v>
      </c>
      <c r="B49" s="37">
        <f>Hakemler!B49</f>
        <v>0</v>
      </c>
      <c r="C49" s="37">
        <f>Hakemler!C49</f>
        <v>0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2"/>
      <c r="O49" s="72"/>
      <c r="P49" s="73">
        <f>1 - (
    SUM(
        IF(D49-Uzman_D!$B$18&lt;0, -(D49-Uzman_D!$B$18), D49-Uzman_D!$B$18)*0.1 +
        IF(E49-Uzman_D!$C$18&lt;0, -(E49-Uzman_D!$C$18), E49-Uzman_D!$C$18)*0.1 +
        IF(F49-Uzman_D!$D$18&lt;0, -(F49-Uzman_D!$D$18), F49-Uzman_D!$D$18)*0.1 +
        IF(G49-Uzman_D!$E$18&lt;0, -(G49-Uzman_D!$E$18), G49-Uzman_D!$E$18)*0.1 +
        IF(H49-Uzman_D!$F$18&lt;0, -(H49-Uzman_D!$F$18), H49-Uzman_D!$F$18)*0.1 +
        IF(I49-Uzman_D!$G$18&lt;0, -(I49-Uzman_D!$G$18), I49-Uzman_D!$G$18)*0.1 +
        IF(J49-Uzman_D!$H$18&lt;0, -(J49-Uzman_D!$H$18), J49-Uzman_D!$H$18)*0.1 +
        IF(K49-Uzman_D!$I$18&lt;0, -(K49-Uzman_D!$I$18), K49-Uzman_D!$I$18)*0.1 +
        IF(L49-Uzman_D!$J$18&lt;0, -(L49-Uzman_D!$J$18), L49-Uzman_D!$J$18)*0.1
    ) +
    IF(ROUND((IF(N49-Uzman_D!$L$18&lt;0, -(N49-Uzman_D!$L$18), N49-Uzman_D!$L$18)*2),0)/2 = IF(N49-Uzman_D!$L$18&lt;0, -(N49-Uzman_D!$L$18), N49-Uzman_D!$L$18),
    (ROUND((IF(N49-Uzman_D!$L$18&lt;0, -(N49-Uzman_D!$L$18), N49-Uzman_D!$L$18)*2),0)/1 * 0.1), 0) +
    IF(O49-Uzman_D!$M$18&lt;0, -(O49-Uzman_D!$M$18), O49-Uzman_D!$M$18)*1
)</f>
        <v>-0.50000000000000022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2"/>
      <c r="AB49" s="72"/>
      <c r="AC49" s="73">
        <f>1 - (
    SUM(
        IF(Q49-Uzman_D!$B$19&lt;0, -(Q49-Uzman_D!$B$19), Q49-Uzman_D!$B$19)*0.1 +
        IF(R49-Uzman_D!$C$19&lt;0, -(R49-Uzman_D!$C$19), R49-Uzman_D!$C$19)*0.1 +
        IF(S49-Uzman_D!$D$19&lt;0, -(S49-Uzman_D!$D$19), S49-Uzman_D!$D$19)*0.1 +
        IF(T49-Uzman_D!$E$19&lt;0, -(T49-Uzman_D!$E$19), T49-Uzman_D!$E$19)*0.1 +
        IF(U49-Uzman_D!$F$19&lt;0, -(U49-Uzman_D!$F$19), U49-Uzman_D!$F$19)*0.1 +
        IF(V49-Uzman_D!$G$19&lt;0, -(V49-Uzman_D!$G$19), V49-Uzman_D!$G$19)*0.1 +
        IF(W49-Uzman_D!$H$19&lt;0, -(W49-Uzman_D!$H$19), W49-Uzman_D!$H$19)*0.1 +
        IF(X49-Uzman_D!$I$19&lt;0, -(X49-Uzman_D!$I$19), X49-Uzman_D!$I$19)*0.1 +
        IF(Y49-Uzman_D!$J$19&lt;0, -(Y49-Uzman_D!$J$19), Y49-Uzman_D!$J$19)*0.1
    ) +
    IF(ROUND((IF(AA49-Uzman_D!$L$19&lt;0, -(AA49-Uzman_D!$L$19), AA49-Uzman_D!$L$19)*2),0)/2 = IF(AA49-Uzman_D!$L$19&lt;0, -(AA49-Uzman_D!$L$19), AA49-Uzman_D!$L$19),
    (ROUND((IF(AA49-Uzman_D!$L$19&lt;0, -(AA49-Uzman_D!$L$19), AA49-Uzman_D!$L$19)*2),0)/1 * 0.1), 0) +
    IF(AB49-Uzman_D!$M$19&lt;0, -(AB49-Uzman_D!$M$19), AB49-Uzman_D!$M$19)*1
)</f>
        <v>-0.60000000000000009</v>
      </c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2"/>
      <c r="AO49" s="72"/>
      <c r="AP49" s="73">
        <f>1 - (
    SUM(
        IF(AD49-Uzman_D!$B$20&lt;0, -(AD49-Uzman_D!$B$20), AD49-Uzman_D!$B$20)*0.1 +
        IF(AE49-Uzman_D!$C$20&lt;0, -(AE49-Uzman_D!$C$20), AE49-Uzman_D!$C$20)*0.1 +
        IF(AF49-Uzman_D!$D$20&lt;0, -(AF49-Uzman_D!$D$20), AF49-Uzman_D!$D$20)*0.1 +
        IF(AG49-Uzman_D!$E$20&lt;0, -(AG49-Uzman_D!$E$20), AG49-Uzman_D!$E$20)*0.1 +
        IF(AH49-Uzman_D!$F$20&lt;0, -(AH49-Uzman_D!$F$20), AH49-Uzman_D!$F$20)*0.1 +
        IF(AI49-Uzman_D!$G$20&lt;0, -(AI49-Uzman_D!$G$20), AI49-Uzman_D!$G$20)*0.1 +
        IF(AJ49-Uzman_D!$H$20&lt;0, -(AJ49-Uzman_D!$H$20), AJ49-Uzman_D!$H$20)*0.1 +
        IF(AK49-Uzman_D!$I$20&lt;0, -(AK49-Uzman_D!$I$20), AK49-Uzman_D!$I$20)*0.1 +
        IF(AL49-Uzman_D!$J$20&lt;0, -(AL49-Uzman_D!$J$20), AL49-Uzman_D!$J$20)*0.1
    ) +
    IF(ROUND((IF(AN49-Uzman_D!$L$20&lt;0, -(AN49-Uzman_D!$L$20), AN49-Uzman_D!$L$20)*2),0)/2 = IF(AN49-Uzman_D!$L$20&lt;0, -(AN49-Uzman_D!$L$20), AN49-Uzman_D!$L$20),
    (ROUND((IF(AN49-Uzman_D!$L$20&lt;0, -(AN49-Uzman_D!$L$20), AN49-Uzman_D!$L$20)*2),0)/1 * 0.1), 0) +
    IF(AO49-Uzman_D!$M$20&lt;0, -(AO49-Uzman_D!$M$20), AO49-Uzman_D!$M$20)*1
)</f>
        <v>-0.60000000000000009</v>
      </c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2"/>
      <c r="BB49" s="72"/>
      <c r="BC49" s="73">
        <f>1 - (
    SUM(
        IF(AQ49-Uzman_D!$B$21&lt;0, -(AQ49-Uzman_D!$B$21), AQ49-Uzman_D!$B$21)*0.1 +
        IF(AR49-Uzman_D!$C$21&lt;0, -(AR49-Uzman_D!$C$21), AR49-Uzman_D!$C$21)*0.1 +
        IF(AS49-Uzman_D!$D$21&lt;0, -(AS49-Uzman_D!$D$21), AS49-Uzman_D!$D$21)*0.1 +
        IF(AT49-Uzman_D!$E$21&lt;0, -(AT49-Uzman_D!$E$21), AT49-Uzman_D!$E$21)*0.1 +
        IF(AU49-Uzman_D!$F$21&lt;0, -(AU49-Uzman_D!$F$21), AU49-Uzman_D!$F$21)*0.1 +
        IF(AV49-Uzman_D!$G$21&lt;0, -(AV49-Uzman_D!$G$21), AV49-Uzman_D!$G$21)*0.1 +
        IF(AW49-Uzman_D!$H$21&lt;0, -(AW49-Uzman_D!$H$21), AW49-Uzman_D!$H$21)*0.1 +
        IF(AX49-Uzman_D!$I$21&lt;0, -(AX49-Uzman_D!$I$21), AX49-Uzman_D!$I$21)*0.1 +
        IF(AY49-Uzman_D!$J$21&lt;0, -(AY49-Uzman_D!$J$21), AY49-Uzman_D!$J$21)*0.1
    ) +
    IF(ROUND((IF(BA49-Uzman_D!$L$21&lt;0, -(BA49-Uzman_D!$L$21), BA49-Uzman_D!$L$21)*2),0)/2 = IF(BA49-Uzman_D!$L$21&lt;0, -(BA49-Uzman_D!$L$21), BA49-Uzman_D!$L$21),
    (ROUND((IF(BA49-Uzman_D!$L$21&lt;0, -(BA49-Uzman_D!$L$21), BA49-Uzman_D!$L$21)*2),0)/1 * 0.1), 0) +
    IF(BB49-Uzman_D!$M$21&lt;0, -(BB49-Uzman_D!$M$21), BB49-Uzman_D!$M$21)*1
)</f>
        <v>-0.60000000000000009</v>
      </c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2"/>
      <c r="BO49" s="72"/>
      <c r="BP49" s="73">
        <f>1 - (
    SUM(
        IF(BD49-Uzman_D!$B$22&lt;0, -(BD49-Uzman_D!$B$22), BD49-Uzman_D!$B$22)*0.1 +
        IF(BE49-Uzman_D!$C$22&lt;0, -(BE49-Uzman_D!$C$22), BE49-Uzman_D!$C$22)*0.1 +
        IF(BF49-Uzman_D!$D$22&lt;0, -(BF49-Uzman_D!$D$22), BF49-Uzman_D!$D$22)*0.1 +
        IF(BG49-Uzman_D!$E$22&lt;0, -(BG49-Uzman_D!$E$22), BG49-Uzman_D!$E$22)*0.1 +
        IF(BH49-Uzman_D!$F$22&lt;0, -(BH49-Uzman_D!$F$22), BH49-Uzman_D!$F$22)*0.1 +
        IF(BI49-Uzman_D!$G$22&lt;0, -(BI49-Uzman_D!$G$22), BI49-Uzman_D!$G$22)*0.1 +
        IF(BJ49-Uzman_D!$H$22&lt;0, -(BJ49-Uzman_D!$H$22), BJ49-Uzman_D!$H$22)*0.1 +
        IF(BK49-Uzman_D!$I$22&lt;0, -(BK49-Uzman_D!$I$22), BK49-Uzman_D!$I$22)*0.1 +
        IF(BL49-Uzman_D!$J$22&lt;0, -(BL49-Uzman_D!$J$22), BL49-Uzman_D!$J$22)*0.1
    ) +
    IF(ROUND((IF(BN49-Uzman_D!$L$22&lt;0, -(BN49-Uzman_D!$L$22), BN49-Uzman_D!$L$22)*2),0)/2 = IF(BN49-Uzman_D!$L$22&lt;0, -(BN49-Uzman_D!$L$22), BN49-Uzman_D!$L$22),
    (ROUND((IF(BN49-Uzman_D!$L$22&lt;0, -(BN49-Uzman_D!$L$22), BN49-Uzman_D!$L$22)*2),0)/1 * 0.1), 0) +
    IF(BO49-Uzman_D!$M$22&lt;0, -(BO49-Uzman_D!$M$22), BO49-Uzman_D!$M$22)*1
)</f>
        <v>-0.40000000000000013</v>
      </c>
      <c r="BQ49" s="74">
        <f t="shared" si="0"/>
        <v>-0.54000000000000026</v>
      </c>
    </row>
    <row r="50" spans="1:69" ht="15" customHeight="1" x14ac:dyDescent="0.2">
      <c r="A50" s="57">
        <v>47</v>
      </c>
      <c r="B50" s="29">
        <f>Hakemler!B50</f>
        <v>0</v>
      </c>
      <c r="C50" s="29">
        <f>Hakemler!C50</f>
        <v>0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2"/>
      <c r="O50" s="72"/>
      <c r="P50" s="73">
        <f>1 - (
    SUM(
        IF(D50-Uzman_D!$B$18&lt;0, -(D50-Uzman_D!$B$18), D50-Uzman_D!$B$18)*0.1 +
        IF(E50-Uzman_D!$C$18&lt;0, -(E50-Uzman_D!$C$18), E50-Uzman_D!$C$18)*0.1 +
        IF(F50-Uzman_D!$D$18&lt;0, -(F50-Uzman_D!$D$18), F50-Uzman_D!$D$18)*0.1 +
        IF(G50-Uzman_D!$E$18&lt;0, -(G50-Uzman_D!$E$18), G50-Uzman_D!$E$18)*0.1 +
        IF(H50-Uzman_D!$F$18&lt;0, -(H50-Uzman_D!$F$18), H50-Uzman_D!$F$18)*0.1 +
        IF(I50-Uzman_D!$G$18&lt;0, -(I50-Uzman_D!$G$18), I50-Uzman_D!$G$18)*0.1 +
        IF(J50-Uzman_D!$H$18&lt;0, -(J50-Uzman_D!$H$18), J50-Uzman_D!$H$18)*0.1 +
        IF(K50-Uzman_D!$I$18&lt;0, -(K50-Uzman_D!$I$18), K50-Uzman_D!$I$18)*0.1 +
        IF(L50-Uzman_D!$J$18&lt;0, -(L50-Uzman_D!$J$18), L50-Uzman_D!$J$18)*0.1
    ) +
    IF(ROUND((IF(N50-Uzman_D!$L$18&lt;0, -(N50-Uzman_D!$L$18), N50-Uzman_D!$L$18)*2),0)/2 = IF(N50-Uzman_D!$L$18&lt;0, -(N50-Uzman_D!$L$18), N50-Uzman_D!$L$18),
    (ROUND((IF(N50-Uzman_D!$L$18&lt;0, -(N50-Uzman_D!$L$18), N50-Uzman_D!$L$18)*2),0)/1 * 0.1), 0) +
    IF(O50-Uzman_D!$M$18&lt;0, -(O50-Uzman_D!$M$18), O50-Uzman_D!$M$18)*1
)</f>
        <v>-0.50000000000000022</v>
      </c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2"/>
      <c r="AB50" s="72"/>
      <c r="AC50" s="73">
        <f>1 - (
    SUM(
        IF(Q50-Uzman_D!$B$19&lt;0, -(Q50-Uzman_D!$B$19), Q50-Uzman_D!$B$19)*0.1 +
        IF(R50-Uzman_D!$C$19&lt;0, -(R50-Uzman_D!$C$19), R50-Uzman_D!$C$19)*0.1 +
        IF(S50-Uzman_D!$D$19&lt;0, -(S50-Uzman_D!$D$19), S50-Uzman_D!$D$19)*0.1 +
        IF(T50-Uzman_D!$E$19&lt;0, -(T50-Uzman_D!$E$19), T50-Uzman_D!$E$19)*0.1 +
        IF(U50-Uzman_D!$F$19&lt;0, -(U50-Uzman_D!$F$19), U50-Uzman_D!$F$19)*0.1 +
        IF(V50-Uzman_D!$G$19&lt;0, -(V50-Uzman_D!$G$19), V50-Uzman_D!$G$19)*0.1 +
        IF(W50-Uzman_D!$H$19&lt;0, -(W50-Uzman_D!$H$19), W50-Uzman_D!$H$19)*0.1 +
        IF(X50-Uzman_D!$I$19&lt;0, -(X50-Uzman_D!$I$19), X50-Uzman_D!$I$19)*0.1 +
        IF(Y50-Uzman_D!$J$19&lt;0, -(Y50-Uzman_D!$J$19), Y50-Uzman_D!$J$19)*0.1
    ) +
    IF(ROUND((IF(AA50-Uzman_D!$L$19&lt;0, -(AA50-Uzman_D!$L$19), AA50-Uzman_D!$L$19)*2),0)/2 = IF(AA50-Uzman_D!$L$19&lt;0, -(AA50-Uzman_D!$L$19), AA50-Uzman_D!$L$19),
    (ROUND((IF(AA50-Uzman_D!$L$19&lt;0, -(AA50-Uzman_D!$L$19), AA50-Uzman_D!$L$19)*2),0)/1 * 0.1), 0) +
    IF(AB50-Uzman_D!$M$19&lt;0, -(AB50-Uzman_D!$M$19), AB50-Uzman_D!$M$19)*1
)</f>
        <v>-0.60000000000000009</v>
      </c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2"/>
      <c r="AO50" s="72"/>
      <c r="AP50" s="73">
        <f>1 - (
    SUM(
        IF(AD50-Uzman_D!$B$20&lt;0, -(AD50-Uzman_D!$B$20), AD50-Uzman_D!$B$20)*0.1 +
        IF(AE50-Uzman_D!$C$20&lt;0, -(AE50-Uzman_D!$C$20), AE50-Uzman_D!$C$20)*0.1 +
        IF(AF50-Uzman_D!$D$20&lt;0, -(AF50-Uzman_D!$D$20), AF50-Uzman_D!$D$20)*0.1 +
        IF(AG50-Uzman_D!$E$20&lt;0, -(AG50-Uzman_D!$E$20), AG50-Uzman_D!$E$20)*0.1 +
        IF(AH50-Uzman_D!$F$20&lt;0, -(AH50-Uzman_D!$F$20), AH50-Uzman_D!$F$20)*0.1 +
        IF(AI50-Uzman_D!$G$20&lt;0, -(AI50-Uzman_D!$G$20), AI50-Uzman_D!$G$20)*0.1 +
        IF(AJ50-Uzman_D!$H$20&lt;0, -(AJ50-Uzman_D!$H$20), AJ50-Uzman_D!$H$20)*0.1 +
        IF(AK50-Uzman_D!$I$20&lt;0, -(AK50-Uzman_D!$I$20), AK50-Uzman_D!$I$20)*0.1 +
        IF(AL50-Uzman_D!$J$20&lt;0, -(AL50-Uzman_D!$J$20), AL50-Uzman_D!$J$20)*0.1
    ) +
    IF(ROUND((IF(AN50-Uzman_D!$L$20&lt;0, -(AN50-Uzman_D!$L$20), AN50-Uzman_D!$L$20)*2),0)/2 = IF(AN50-Uzman_D!$L$20&lt;0, -(AN50-Uzman_D!$L$20), AN50-Uzman_D!$L$20),
    (ROUND((IF(AN50-Uzman_D!$L$20&lt;0, -(AN50-Uzman_D!$L$20), AN50-Uzman_D!$L$20)*2),0)/1 * 0.1), 0) +
    IF(AO50-Uzman_D!$M$20&lt;0, -(AO50-Uzman_D!$M$20), AO50-Uzman_D!$M$20)*1
)</f>
        <v>-0.60000000000000009</v>
      </c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2"/>
      <c r="BB50" s="72"/>
      <c r="BC50" s="73">
        <f>1 - (
    SUM(
        IF(AQ50-Uzman_D!$B$21&lt;0, -(AQ50-Uzman_D!$B$21), AQ50-Uzman_D!$B$21)*0.1 +
        IF(AR50-Uzman_D!$C$21&lt;0, -(AR50-Uzman_D!$C$21), AR50-Uzman_D!$C$21)*0.1 +
        IF(AS50-Uzman_D!$D$21&lt;0, -(AS50-Uzman_D!$D$21), AS50-Uzman_D!$D$21)*0.1 +
        IF(AT50-Uzman_D!$E$21&lt;0, -(AT50-Uzman_D!$E$21), AT50-Uzman_D!$E$21)*0.1 +
        IF(AU50-Uzman_D!$F$21&lt;0, -(AU50-Uzman_D!$F$21), AU50-Uzman_D!$F$21)*0.1 +
        IF(AV50-Uzman_D!$G$21&lt;0, -(AV50-Uzman_D!$G$21), AV50-Uzman_D!$G$21)*0.1 +
        IF(AW50-Uzman_D!$H$21&lt;0, -(AW50-Uzman_D!$H$21), AW50-Uzman_D!$H$21)*0.1 +
        IF(AX50-Uzman_D!$I$21&lt;0, -(AX50-Uzman_D!$I$21), AX50-Uzman_D!$I$21)*0.1 +
        IF(AY50-Uzman_D!$J$21&lt;0, -(AY50-Uzman_D!$J$21), AY50-Uzman_D!$J$21)*0.1
    ) +
    IF(ROUND((IF(BA50-Uzman_D!$L$21&lt;0, -(BA50-Uzman_D!$L$21), BA50-Uzman_D!$L$21)*2),0)/2 = IF(BA50-Uzman_D!$L$21&lt;0, -(BA50-Uzman_D!$L$21), BA50-Uzman_D!$L$21),
    (ROUND((IF(BA50-Uzman_D!$L$21&lt;0, -(BA50-Uzman_D!$L$21), BA50-Uzman_D!$L$21)*2),0)/1 * 0.1), 0) +
    IF(BB50-Uzman_D!$M$21&lt;0, -(BB50-Uzman_D!$M$21), BB50-Uzman_D!$M$21)*1
)</f>
        <v>-0.60000000000000009</v>
      </c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2"/>
      <c r="BO50" s="72"/>
      <c r="BP50" s="73">
        <f>1 - (
    SUM(
        IF(BD50-Uzman_D!$B$22&lt;0, -(BD50-Uzman_D!$B$22), BD50-Uzman_D!$B$22)*0.1 +
        IF(BE50-Uzman_D!$C$22&lt;0, -(BE50-Uzman_D!$C$22), BE50-Uzman_D!$C$22)*0.1 +
        IF(BF50-Uzman_D!$D$22&lt;0, -(BF50-Uzman_D!$D$22), BF50-Uzman_D!$D$22)*0.1 +
        IF(BG50-Uzman_D!$E$22&lt;0, -(BG50-Uzman_D!$E$22), BG50-Uzman_D!$E$22)*0.1 +
        IF(BH50-Uzman_D!$F$22&lt;0, -(BH50-Uzman_D!$F$22), BH50-Uzman_D!$F$22)*0.1 +
        IF(BI50-Uzman_D!$G$22&lt;0, -(BI50-Uzman_D!$G$22), BI50-Uzman_D!$G$22)*0.1 +
        IF(BJ50-Uzman_D!$H$22&lt;0, -(BJ50-Uzman_D!$H$22), BJ50-Uzman_D!$H$22)*0.1 +
        IF(BK50-Uzman_D!$I$22&lt;0, -(BK50-Uzman_D!$I$22), BK50-Uzman_D!$I$22)*0.1 +
        IF(BL50-Uzman_D!$J$22&lt;0, -(BL50-Uzman_D!$J$22), BL50-Uzman_D!$J$22)*0.1
    ) +
    IF(ROUND((IF(BN50-Uzman_D!$L$22&lt;0, -(BN50-Uzman_D!$L$22), BN50-Uzman_D!$L$22)*2),0)/2 = IF(BN50-Uzman_D!$L$22&lt;0, -(BN50-Uzman_D!$L$22), BN50-Uzman_D!$L$22),
    (ROUND((IF(BN50-Uzman_D!$L$22&lt;0, -(BN50-Uzman_D!$L$22), BN50-Uzman_D!$L$22)*2),0)/1 * 0.1), 0) +
    IF(BO50-Uzman_D!$M$22&lt;0, -(BO50-Uzman_D!$M$22), BO50-Uzman_D!$M$22)*1
)</f>
        <v>-0.40000000000000013</v>
      </c>
      <c r="BQ50" s="74">
        <f t="shared" si="0"/>
        <v>-0.54000000000000026</v>
      </c>
    </row>
    <row r="51" spans="1:69" ht="15" customHeight="1" x14ac:dyDescent="0.2">
      <c r="A51" s="57">
        <v>48</v>
      </c>
      <c r="B51" s="37">
        <f>Hakemler!B51</f>
        <v>0</v>
      </c>
      <c r="C51" s="37">
        <f>Hakemler!C51</f>
        <v>0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2"/>
      <c r="O51" s="72"/>
      <c r="P51" s="73">
        <f>1 - (
    SUM(
        IF(D51-Uzman_D!$B$18&lt;0, -(D51-Uzman_D!$B$18), D51-Uzman_D!$B$18)*0.1 +
        IF(E51-Uzman_D!$C$18&lt;0, -(E51-Uzman_D!$C$18), E51-Uzman_D!$C$18)*0.1 +
        IF(F51-Uzman_D!$D$18&lt;0, -(F51-Uzman_D!$D$18), F51-Uzman_D!$D$18)*0.1 +
        IF(G51-Uzman_D!$E$18&lt;0, -(G51-Uzman_D!$E$18), G51-Uzman_D!$E$18)*0.1 +
        IF(H51-Uzman_D!$F$18&lt;0, -(H51-Uzman_D!$F$18), H51-Uzman_D!$F$18)*0.1 +
        IF(I51-Uzman_D!$G$18&lt;0, -(I51-Uzman_D!$G$18), I51-Uzman_D!$G$18)*0.1 +
        IF(J51-Uzman_D!$H$18&lt;0, -(J51-Uzman_D!$H$18), J51-Uzman_D!$H$18)*0.1 +
        IF(K51-Uzman_D!$I$18&lt;0, -(K51-Uzman_D!$I$18), K51-Uzman_D!$I$18)*0.1 +
        IF(L51-Uzman_D!$J$18&lt;0, -(L51-Uzman_D!$J$18), L51-Uzman_D!$J$18)*0.1
    ) +
    IF(ROUND((IF(N51-Uzman_D!$L$18&lt;0, -(N51-Uzman_D!$L$18), N51-Uzman_D!$L$18)*2),0)/2 = IF(N51-Uzman_D!$L$18&lt;0, -(N51-Uzman_D!$L$18), N51-Uzman_D!$L$18),
    (ROUND((IF(N51-Uzman_D!$L$18&lt;0, -(N51-Uzman_D!$L$18), N51-Uzman_D!$L$18)*2),0)/1 * 0.1), 0) +
    IF(O51-Uzman_D!$M$18&lt;0, -(O51-Uzman_D!$M$18), O51-Uzman_D!$M$18)*1
)</f>
        <v>-0.50000000000000022</v>
      </c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2"/>
      <c r="AB51" s="72"/>
      <c r="AC51" s="73">
        <f>1 - (
    SUM(
        IF(Q51-Uzman_D!$B$19&lt;0, -(Q51-Uzman_D!$B$19), Q51-Uzman_D!$B$19)*0.1 +
        IF(R51-Uzman_D!$C$19&lt;0, -(R51-Uzman_D!$C$19), R51-Uzman_D!$C$19)*0.1 +
        IF(S51-Uzman_D!$D$19&lt;0, -(S51-Uzman_D!$D$19), S51-Uzman_D!$D$19)*0.1 +
        IF(T51-Uzman_D!$E$19&lt;0, -(T51-Uzman_D!$E$19), T51-Uzman_D!$E$19)*0.1 +
        IF(U51-Uzman_D!$F$19&lt;0, -(U51-Uzman_D!$F$19), U51-Uzman_D!$F$19)*0.1 +
        IF(V51-Uzman_D!$G$19&lt;0, -(V51-Uzman_D!$G$19), V51-Uzman_D!$G$19)*0.1 +
        IF(W51-Uzman_D!$H$19&lt;0, -(W51-Uzman_D!$H$19), W51-Uzman_D!$H$19)*0.1 +
        IF(X51-Uzman_D!$I$19&lt;0, -(X51-Uzman_D!$I$19), X51-Uzman_D!$I$19)*0.1 +
        IF(Y51-Uzman_D!$J$19&lt;0, -(Y51-Uzman_D!$J$19), Y51-Uzman_D!$J$19)*0.1
    ) +
    IF(ROUND((IF(AA51-Uzman_D!$L$19&lt;0, -(AA51-Uzman_D!$L$19), AA51-Uzman_D!$L$19)*2),0)/2 = IF(AA51-Uzman_D!$L$19&lt;0, -(AA51-Uzman_D!$L$19), AA51-Uzman_D!$L$19),
    (ROUND((IF(AA51-Uzman_D!$L$19&lt;0, -(AA51-Uzman_D!$L$19), AA51-Uzman_D!$L$19)*2),0)/1 * 0.1), 0) +
    IF(AB51-Uzman_D!$M$19&lt;0, -(AB51-Uzman_D!$M$19), AB51-Uzman_D!$M$19)*1
)</f>
        <v>-0.60000000000000009</v>
      </c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2"/>
      <c r="AO51" s="72"/>
      <c r="AP51" s="73">
        <f>1 - (
    SUM(
        IF(AD51-Uzman_D!$B$20&lt;0, -(AD51-Uzman_D!$B$20), AD51-Uzman_D!$B$20)*0.1 +
        IF(AE51-Uzman_D!$C$20&lt;0, -(AE51-Uzman_D!$C$20), AE51-Uzman_D!$C$20)*0.1 +
        IF(AF51-Uzman_D!$D$20&lt;0, -(AF51-Uzman_D!$D$20), AF51-Uzman_D!$D$20)*0.1 +
        IF(AG51-Uzman_D!$E$20&lt;0, -(AG51-Uzman_D!$E$20), AG51-Uzman_D!$E$20)*0.1 +
        IF(AH51-Uzman_D!$F$20&lt;0, -(AH51-Uzman_D!$F$20), AH51-Uzman_D!$F$20)*0.1 +
        IF(AI51-Uzman_D!$G$20&lt;0, -(AI51-Uzman_D!$G$20), AI51-Uzman_D!$G$20)*0.1 +
        IF(AJ51-Uzman_D!$H$20&lt;0, -(AJ51-Uzman_D!$H$20), AJ51-Uzman_D!$H$20)*0.1 +
        IF(AK51-Uzman_D!$I$20&lt;0, -(AK51-Uzman_D!$I$20), AK51-Uzman_D!$I$20)*0.1 +
        IF(AL51-Uzman_D!$J$20&lt;0, -(AL51-Uzman_D!$J$20), AL51-Uzman_D!$J$20)*0.1
    ) +
    IF(ROUND((IF(AN51-Uzman_D!$L$20&lt;0, -(AN51-Uzman_D!$L$20), AN51-Uzman_D!$L$20)*2),0)/2 = IF(AN51-Uzman_D!$L$20&lt;0, -(AN51-Uzman_D!$L$20), AN51-Uzman_D!$L$20),
    (ROUND((IF(AN51-Uzman_D!$L$20&lt;0, -(AN51-Uzman_D!$L$20), AN51-Uzman_D!$L$20)*2),0)/1 * 0.1), 0) +
    IF(AO51-Uzman_D!$M$20&lt;0, -(AO51-Uzman_D!$M$20), AO51-Uzman_D!$M$20)*1
)</f>
        <v>-0.60000000000000009</v>
      </c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2"/>
      <c r="BB51" s="72"/>
      <c r="BC51" s="73">
        <f>1 - (
    SUM(
        IF(AQ51-Uzman_D!$B$21&lt;0, -(AQ51-Uzman_D!$B$21), AQ51-Uzman_D!$B$21)*0.1 +
        IF(AR51-Uzman_D!$C$21&lt;0, -(AR51-Uzman_D!$C$21), AR51-Uzman_D!$C$21)*0.1 +
        IF(AS51-Uzman_D!$D$21&lt;0, -(AS51-Uzman_D!$D$21), AS51-Uzman_D!$D$21)*0.1 +
        IF(AT51-Uzman_D!$E$21&lt;0, -(AT51-Uzman_D!$E$21), AT51-Uzman_D!$E$21)*0.1 +
        IF(AU51-Uzman_D!$F$21&lt;0, -(AU51-Uzman_D!$F$21), AU51-Uzman_D!$F$21)*0.1 +
        IF(AV51-Uzman_D!$G$21&lt;0, -(AV51-Uzman_D!$G$21), AV51-Uzman_D!$G$21)*0.1 +
        IF(AW51-Uzman_D!$H$21&lt;0, -(AW51-Uzman_D!$H$21), AW51-Uzman_D!$H$21)*0.1 +
        IF(AX51-Uzman_D!$I$21&lt;0, -(AX51-Uzman_D!$I$21), AX51-Uzman_D!$I$21)*0.1 +
        IF(AY51-Uzman_D!$J$21&lt;0, -(AY51-Uzman_D!$J$21), AY51-Uzman_D!$J$21)*0.1
    ) +
    IF(ROUND((IF(BA51-Uzman_D!$L$21&lt;0, -(BA51-Uzman_D!$L$21), BA51-Uzman_D!$L$21)*2),0)/2 = IF(BA51-Uzman_D!$L$21&lt;0, -(BA51-Uzman_D!$L$21), BA51-Uzman_D!$L$21),
    (ROUND((IF(BA51-Uzman_D!$L$21&lt;0, -(BA51-Uzman_D!$L$21), BA51-Uzman_D!$L$21)*2),0)/1 * 0.1), 0) +
    IF(BB51-Uzman_D!$M$21&lt;0, -(BB51-Uzman_D!$M$21), BB51-Uzman_D!$M$21)*1
)</f>
        <v>-0.60000000000000009</v>
      </c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2"/>
      <c r="BO51" s="72"/>
      <c r="BP51" s="73">
        <f>1 - (
    SUM(
        IF(BD51-Uzman_D!$B$22&lt;0, -(BD51-Uzman_D!$B$22), BD51-Uzman_D!$B$22)*0.1 +
        IF(BE51-Uzman_D!$C$22&lt;0, -(BE51-Uzman_D!$C$22), BE51-Uzman_D!$C$22)*0.1 +
        IF(BF51-Uzman_D!$D$22&lt;0, -(BF51-Uzman_D!$D$22), BF51-Uzman_D!$D$22)*0.1 +
        IF(BG51-Uzman_D!$E$22&lt;0, -(BG51-Uzman_D!$E$22), BG51-Uzman_D!$E$22)*0.1 +
        IF(BH51-Uzman_D!$F$22&lt;0, -(BH51-Uzman_D!$F$22), BH51-Uzman_D!$F$22)*0.1 +
        IF(BI51-Uzman_D!$G$22&lt;0, -(BI51-Uzman_D!$G$22), BI51-Uzman_D!$G$22)*0.1 +
        IF(BJ51-Uzman_D!$H$22&lt;0, -(BJ51-Uzman_D!$H$22), BJ51-Uzman_D!$H$22)*0.1 +
        IF(BK51-Uzman_D!$I$22&lt;0, -(BK51-Uzman_D!$I$22), BK51-Uzman_D!$I$22)*0.1 +
        IF(BL51-Uzman_D!$J$22&lt;0, -(BL51-Uzman_D!$J$22), BL51-Uzman_D!$J$22)*0.1
    ) +
    IF(ROUND((IF(BN51-Uzman_D!$L$22&lt;0, -(BN51-Uzman_D!$L$22), BN51-Uzman_D!$L$22)*2),0)/2 = IF(BN51-Uzman_D!$L$22&lt;0, -(BN51-Uzman_D!$L$22), BN51-Uzman_D!$L$22),
    (ROUND((IF(BN51-Uzman_D!$L$22&lt;0, -(BN51-Uzman_D!$L$22), BN51-Uzman_D!$L$22)*2),0)/1 * 0.1), 0) +
    IF(BO51-Uzman_D!$M$22&lt;0, -(BO51-Uzman_D!$M$22), BO51-Uzman_D!$M$22)*1
)</f>
        <v>-0.40000000000000013</v>
      </c>
      <c r="BQ51" s="74">
        <f t="shared" si="0"/>
        <v>-0.54000000000000026</v>
      </c>
    </row>
    <row r="52" spans="1:69" ht="15" customHeight="1" x14ac:dyDescent="0.2">
      <c r="A52" s="57">
        <v>49</v>
      </c>
      <c r="B52" s="29">
        <f>Hakemler!B52</f>
        <v>0</v>
      </c>
      <c r="C52" s="29">
        <f>Hakemler!C52</f>
        <v>0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2"/>
      <c r="O52" s="72"/>
      <c r="P52" s="73">
        <f>1 - (
    SUM(
        IF(D52-Uzman_D!$B$18&lt;0, -(D52-Uzman_D!$B$18), D52-Uzman_D!$B$18)*0.1 +
        IF(E52-Uzman_D!$C$18&lt;0, -(E52-Uzman_D!$C$18), E52-Uzman_D!$C$18)*0.1 +
        IF(F52-Uzman_D!$D$18&lt;0, -(F52-Uzman_D!$D$18), F52-Uzman_D!$D$18)*0.1 +
        IF(G52-Uzman_D!$E$18&lt;0, -(G52-Uzman_D!$E$18), G52-Uzman_D!$E$18)*0.1 +
        IF(H52-Uzman_D!$F$18&lt;0, -(H52-Uzman_D!$F$18), H52-Uzman_D!$F$18)*0.1 +
        IF(I52-Uzman_D!$G$18&lt;0, -(I52-Uzman_D!$G$18), I52-Uzman_D!$G$18)*0.1 +
        IF(J52-Uzman_D!$H$18&lt;0, -(J52-Uzman_D!$H$18), J52-Uzman_D!$H$18)*0.1 +
        IF(K52-Uzman_D!$I$18&lt;0, -(K52-Uzman_D!$I$18), K52-Uzman_D!$I$18)*0.1 +
        IF(L52-Uzman_D!$J$18&lt;0, -(L52-Uzman_D!$J$18), L52-Uzman_D!$J$18)*0.1
    ) +
    IF(ROUND((IF(N52-Uzman_D!$L$18&lt;0, -(N52-Uzman_D!$L$18), N52-Uzman_D!$L$18)*2),0)/2 = IF(N52-Uzman_D!$L$18&lt;0, -(N52-Uzman_D!$L$18), N52-Uzman_D!$L$18),
    (ROUND((IF(N52-Uzman_D!$L$18&lt;0, -(N52-Uzman_D!$L$18), N52-Uzman_D!$L$18)*2),0)/1 * 0.1), 0) +
    IF(O52-Uzman_D!$M$18&lt;0, -(O52-Uzman_D!$M$18), O52-Uzman_D!$M$18)*1
)</f>
        <v>-0.50000000000000022</v>
      </c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2"/>
      <c r="AB52" s="72"/>
      <c r="AC52" s="73">
        <f>1 - (
    SUM(
        IF(Q52-Uzman_D!$B$19&lt;0, -(Q52-Uzman_D!$B$19), Q52-Uzman_D!$B$19)*0.1 +
        IF(R52-Uzman_D!$C$19&lt;0, -(R52-Uzman_D!$C$19), R52-Uzman_D!$C$19)*0.1 +
        IF(S52-Uzman_D!$D$19&lt;0, -(S52-Uzman_D!$D$19), S52-Uzman_D!$D$19)*0.1 +
        IF(T52-Uzman_D!$E$19&lt;0, -(T52-Uzman_D!$E$19), T52-Uzman_D!$E$19)*0.1 +
        IF(U52-Uzman_D!$F$19&lt;0, -(U52-Uzman_D!$F$19), U52-Uzman_D!$F$19)*0.1 +
        IF(V52-Uzman_D!$G$19&lt;0, -(V52-Uzman_D!$G$19), V52-Uzman_D!$G$19)*0.1 +
        IF(W52-Uzman_D!$H$19&lt;0, -(W52-Uzman_D!$H$19), W52-Uzman_D!$H$19)*0.1 +
        IF(X52-Uzman_D!$I$19&lt;0, -(X52-Uzman_D!$I$19), X52-Uzman_D!$I$19)*0.1 +
        IF(Y52-Uzman_D!$J$19&lt;0, -(Y52-Uzman_D!$J$19), Y52-Uzman_D!$J$19)*0.1
    ) +
    IF(ROUND((IF(AA52-Uzman_D!$L$19&lt;0, -(AA52-Uzman_D!$L$19), AA52-Uzman_D!$L$19)*2),0)/2 = IF(AA52-Uzman_D!$L$19&lt;0, -(AA52-Uzman_D!$L$19), AA52-Uzman_D!$L$19),
    (ROUND((IF(AA52-Uzman_D!$L$19&lt;0, -(AA52-Uzman_D!$L$19), AA52-Uzman_D!$L$19)*2),0)/1 * 0.1), 0) +
    IF(AB52-Uzman_D!$M$19&lt;0, -(AB52-Uzman_D!$M$19), AB52-Uzman_D!$M$19)*1
)</f>
        <v>-0.60000000000000009</v>
      </c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2"/>
      <c r="AO52" s="72"/>
      <c r="AP52" s="73">
        <f>1 - (
    SUM(
        IF(AD52-Uzman_D!$B$20&lt;0, -(AD52-Uzman_D!$B$20), AD52-Uzman_D!$B$20)*0.1 +
        IF(AE52-Uzman_D!$C$20&lt;0, -(AE52-Uzman_D!$C$20), AE52-Uzman_D!$C$20)*0.1 +
        IF(AF52-Uzman_D!$D$20&lt;0, -(AF52-Uzman_D!$D$20), AF52-Uzman_D!$D$20)*0.1 +
        IF(AG52-Uzman_D!$E$20&lt;0, -(AG52-Uzman_D!$E$20), AG52-Uzman_D!$E$20)*0.1 +
        IF(AH52-Uzman_D!$F$20&lt;0, -(AH52-Uzman_D!$F$20), AH52-Uzman_D!$F$20)*0.1 +
        IF(AI52-Uzman_D!$G$20&lt;0, -(AI52-Uzman_D!$G$20), AI52-Uzman_D!$G$20)*0.1 +
        IF(AJ52-Uzman_D!$H$20&lt;0, -(AJ52-Uzman_D!$H$20), AJ52-Uzman_D!$H$20)*0.1 +
        IF(AK52-Uzman_D!$I$20&lt;0, -(AK52-Uzman_D!$I$20), AK52-Uzman_D!$I$20)*0.1 +
        IF(AL52-Uzman_D!$J$20&lt;0, -(AL52-Uzman_D!$J$20), AL52-Uzman_D!$J$20)*0.1
    ) +
    IF(ROUND((IF(AN52-Uzman_D!$L$20&lt;0, -(AN52-Uzman_D!$L$20), AN52-Uzman_D!$L$20)*2),0)/2 = IF(AN52-Uzman_D!$L$20&lt;0, -(AN52-Uzman_D!$L$20), AN52-Uzman_D!$L$20),
    (ROUND((IF(AN52-Uzman_D!$L$20&lt;0, -(AN52-Uzman_D!$L$20), AN52-Uzman_D!$L$20)*2),0)/1 * 0.1), 0) +
    IF(AO52-Uzman_D!$M$20&lt;0, -(AO52-Uzman_D!$M$20), AO52-Uzman_D!$M$20)*1
)</f>
        <v>-0.60000000000000009</v>
      </c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2"/>
      <c r="BB52" s="72"/>
      <c r="BC52" s="73">
        <f>1 - (
    SUM(
        IF(AQ52-Uzman_D!$B$21&lt;0, -(AQ52-Uzman_D!$B$21), AQ52-Uzman_D!$B$21)*0.1 +
        IF(AR52-Uzman_D!$C$21&lt;0, -(AR52-Uzman_D!$C$21), AR52-Uzman_D!$C$21)*0.1 +
        IF(AS52-Uzman_D!$D$21&lt;0, -(AS52-Uzman_D!$D$21), AS52-Uzman_D!$D$21)*0.1 +
        IF(AT52-Uzman_D!$E$21&lt;0, -(AT52-Uzman_D!$E$21), AT52-Uzman_D!$E$21)*0.1 +
        IF(AU52-Uzman_D!$F$21&lt;0, -(AU52-Uzman_D!$F$21), AU52-Uzman_D!$F$21)*0.1 +
        IF(AV52-Uzman_D!$G$21&lt;0, -(AV52-Uzman_D!$G$21), AV52-Uzman_D!$G$21)*0.1 +
        IF(AW52-Uzman_D!$H$21&lt;0, -(AW52-Uzman_D!$H$21), AW52-Uzman_D!$H$21)*0.1 +
        IF(AX52-Uzman_D!$I$21&lt;0, -(AX52-Uzman_D!$I$21), AX52-Uzman_D!$I$21)*0.1 +
        IF(AY52-Uzman_D!$J$21&lt;0, -(AY52-Uzman_D!$J$21), AY52-Uzman_D!$J$21)*0.1
    ) +
    IF(ROUND((IF(BA52-Uzman_D!$L$21&lt;0, -(BA52-Uzman_D!$L$21), BA52-Uzman_D!$L$21)*2),0)/2 = IF(BA52-Uzman_D!$L$21&lt;0, -(BA52-Uzman_D!$L$21), BA52-Uzman_D!$L$21),
    (ROUND((IF(BA52-Uzman_D!$L$21&lt;0, -(BA52-Uzman_D!$L$21), BA52-Uzman_D!$L$21)*2),0)/1 * 0.1), 0) +
    IF(BB52-Uzman_D!$M$21&lt;0, -(BB52-Uzman_D!$M$21), BB52-Uzman_D!$M$21)*1
)</f>
        <v>-0.60000000000000009</v>
      </c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2"/>
      <c r="BO52" s="72"/>
      <c r="BP52" s="73">
        <f>1 - (
    SUM(
        IF(BD52-Uzman_D!$B$22&lt;0, -(BD52-Uzman_D!$B$22), BD52-Uzman_D!$B$22)*0.1 +
        IF(BE52-Uzman_D!$C$22&lt;0, -(BE52-Uzman_D!$C$22), BE52-Uzman_D!$C$22)*0.1 +
        IF(BF52-Uzman_D!$D$22&lt;0, -(BF52-Uzman_D!$D$22), BF52-Uzman_D!$D$22)*0.1 +
        IF(BG52-Uzman_D!$E$22&lt;0, -(BG52-Uzman_D!$E$22), BG52-Uzman_D!$E$22)*0.1 +
        IF(BH52-Uzman_D!$F$22&lt;0, -(BH52-Uzman_D!$F$22), BH52-Uzman_D!$F$22)*0.1 +
        IF(BI52-Uzman_D!$G$22&lt;0, -(BI52-Uzman_D!$G$22), BI52-Uzman_D!$G$22)*0.1 +
        IF(BJ52-Uzman_D!$H$22&lt;0, -(BJ52-Uzman_D!$H$22), BJ52-Uzman_D!$H$22)*0.1 +
        IF(BK52-Uzman_D!$I$22&lt;0, -(BK52-Uzman_D!$I$22), BK52-Uzman_D!$I$22)*0.1 +
        IF(BL52-Uzman_D!$J$22&lt;0, -(BL52-Uzman_D!$J$22), BL52-Uzman_D!$J$22)*0.1
    ) +
    IF(ROUND((IF(BN52-Uzman_D!$L$22&lt;0, -(BN52-Uzman_D!$L$22), BN52-Uzman_D!$L$22)*2),0)/2 = IF(BN52-Uzman_D!$L$22&lt;0, -(BN52-Uzman_D!$L$22), BN52-Uzman_D!$L$22),
    (ROUND((IF(BN52-Uzman_D!$L$22&lt;0, -(BN52-Uzman_D!$L$22), BN52-Uzman_D!$L$22)*2),0)/1 * 0.1), 0) +
    IF(BO52-Uzman_D!$M$22&lt;0, -(BO52-Uzman_D!$M$22), BO52-Uzman_D!$M$22)*1
)</f>
        <v>-0.40000000000000013</v>
      </c>
      <c r="BQ52" s="74">
        <f t="shared" si="0"/>
        <v>-0.54000000000000026</v>
      </c>
    </row>
    <row r="53" spans="1:69" ht="15" customHeight="1" x14ac:dyDescent="0.2">
      <c r="A53" s="57">
        <v>50</v>
      </c>
      <c r="B53" s="29">
        <f>Hakemler!B53</f>
        <v>0</v>
      </c>
      <c r="C53" s="29">
        <f>Hakemler!C53</f>
        <v>0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2"/>
      <c r="O53" s="72"/>
      <c r="P53" s="73">
        <f>1 - (
    SUM(
        IF(D53-Uzman_D!$B$18&lt;0, -(D53-Uzman_D!$B$18), D53-Uzman_D!$B$18)*0.1 +
        IF(E53-Uzman_D!$C$18&lt;0, -(E53-Uzman_D!$C$18), E53-Uzman_D!$C$18)*0.1 +
        IF(F53-Uzman_D!$D$18&lt;0, -(F53-Uzman_D!$D$18), F53-Uzman_D!$D$18)*0.1 +
        IF(G53-Uzman_D!$E$18&lt;0, -(G53-Uzman_D!$E$18), G53-Uzman_D!$E$18)*0.1 +
        IF(H53-Uzman_D!$F$18&lt;0, -(H53-Uzman_D!$F$18), H53-Uzman_D!$F$18)*0.1 +
        IF(I53-Uzman_D!$G$18&lt;0, -(I53-Uzman_D!$G$18), I53-Uzman_D!$G$18)*0.1 +
        IF(J53-Uzman_D!$H$18&lt;0, -(J53-Uzman_D!$H$18), J53-Uzman_D!$H$18)*0.1 +
        IF(K53-Uzman_D!$I$18&lt;0, -(K53-Uzman_D!$I$18), K53-Uzman_D!$I$18)*0.1 +
        IF(L53-Uzman_D!$J$18&lt;0, -(L53-Uzman_D!$J$18), L53-Uzman_D!$J$18)*0.1
    ) +
    IF(ROUND((IF(N53-Uzman_D!$L$18&lt;0, -(N53-Uzman_D!$L$18), N53-Uzman_D!$L$18)*2),0)/2 = IF(N53-Uzman_D!$L$18&lt;0, -(N53-Uzman_D!$L$18), N53-Uzman_D!$L$18),
    (ROUND((IF(N53-Uzman_D!$L$18&lt;0, -(N53-Uzman_D!$L$18), N53-Uzman_D!$L$18)*2),0)/1 * 0.1), 0) +
    IF(O53-Uzman_D!$M$18&lt;0, -(O53-Uzman_D!$M$18), O53-Uzman_D!$M$18)*1
)</f>
        <v>-0.50000000000000022</v>
      </c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2"/>
      <c r="AB53" s="72"/>
      <c r="AC53" s="73">
        <f>1 - (
    SUM(
        IF(Q53-Uzman_D!$B$19&lt;0, -(Q53-Uzman_D!$B$19), Q53-Uzman_D!$B$19)*0.1 +
        IF(R53-Uzman_D!$C$19&lt;0, -(R53-Uzman_D!$C$19), R53-Uzman_D!$C$19)*0.1 +
        IF(S53-Uzman_D!$D$19&lt;0, -(S53-Uzman_D!$D$19), S53-Uzman_D!$D$19)*0.1 +
        IF(T53-Uzman_D!$E$19&lt;0, -(T53-Uzman_D!$E$19), T53-Uzman_D!$E$19)*0.1 +
        IF(U53-Uzman_D!$F$19&lt;0, -(U53-Uzman_D!$F$19), U53-Uzman_D!$F$19)*0.1 +
        IF(V53-Uzman_D!$G$19&lt;0, -(V53-Uzman_D!$G$19), V53-Uzman_D!$G$19)*0.1 +
        IF(W53-Uzman_D!$H$19&lt;0, -(W53-Uzman_D!$H$19), W53-Uzman_D!$H$19)*0.1 +
        IF(X53-Uzman_D!$I$19&lt;0, -(X53-Uzman_D!$I$19), X53-Uzman_D!$I$19)*0.1 +
        IF(Y53-Uzman_D!$J$19&lt;0, -(Y53-Uzman_D!$J$19), Y53-Uzman_D!$J$19)*0.1
    ) +
    IF(ROUND((IF(AA53-Uzman_D!$L$19&lt;0, -(AA53-Uzman_D!$L$19), AA53-Uzman_D!$L$19)*2),0)/2 = IF(AA53-Uzman_D!$L$19&lt;0, -(AA53-Uzman_D!$L$19), AA53-Uzman_D!$L$19),
    (ROUND((IF(AA53-Uzman_D!$L$19&lt;0, -(AA53-Uzman_D!$L$19), AA53-Uzman_D!$L$19)*2),0)/1 * 0.1), 0) +
    IF(AB53-Uzman_D!$M$19&lt;0, -(AB53-Uzman_D!$M$19), AB53-Uzman_D!$M$19)*1
)</f>
        <v>-0.60000000000000009</v>
      </c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2"/>
      <c r="AO53" s="72"/>
      <c r="AP53" s="73">
        <f>1 - (
    SUM(
        IF(AD53-Uzman_D!$B$20&lt;0, -(AD53-Uzman_D!$B$20), AD53-Uzman_D!$B$20)*0.1 +
        IF(AE53-Uzman_D!$C$20&lt;0, -(AE53-Uzman_D!$C$20), AE53-Uzman_D!$C$20)*0.1 +
        IF(AF53-Uzman_D!$D$20&lt;0, -(AF53-Uzman_D!$D$20), AF53-Uzman_D!$D$20)*0.1 +
        IF(AG53-Uzman_D!$E$20&lt;0, -(AG53-Uzman_D!$E$20), AG53-Uzman_D!$E$20)*0.1 +
        IF(AH53-Uzman_D!$F$20&lt;0, -(AH53-Uzman_D!$F$20), AH53-Uzman_D!$F$20)*0.1 +
        IF(AI53-Uzman_D!$G$20&lt;0, -(AI53-Uzman_D!$G$20), AI53-Uzman_D!$G$20)*0.1 +
        IF(AJ53-Uzman_D!$H$20&lt;0, -(AJ53-Uzman_D!$H$20), AJ53-Uzman_D!$H$20)*0.1 +
        IF(AK53-Uzman_D!$I$20&lt;0, -(AK53-Uzman_D!$I$20), AK53-Uzman_D!$I$20)*0.1 +
        IF(AL53-Uzman_D!$J$20&lt;0, -(AL53-Uzman_D!$J$20), AL53-Uzman_D!$J$20)*0.1
    ) +
    IF(ROUND((IF(AN53-Uzman_D!$L$20&lt;0, -(AN53-Uzman_D!$L$20), AN53-Uzman_D!$L$20)*2),0)/2 = IF(AN53-Uzman_D!$L$20&lt;0, -(AN53-Uzman_D!$L$20), AN53-Uzman_D!$L$20),
    (ROUND((IF(AN53-Uzman_D!$L$20&lt;0, -(AN53-Uzman_D!$L$20), AN53-Uzman_D!$L$20)*2),0)/1 * 0.1), 0) +
    IF(AO53-Uzman_D!$M$20&lt;0, -(AO53-Uzman_D!$M$20), AO53-Uzman_D!$M$20)*1
)</f>
        <v>-0.60000000000000009</v>
      </c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2"/>
      <c r="BB53" s="72"/>
      <c r="BC53" s="73">
        <f>1 - (
    SUM(
        IF(AQ53-Uzman_D!$B$21&lt;0, -(AQ53-Uzman_D!$B$21), AQ53-Uzman_D!$B$21)*0.1 +
        IF(AR53-Uzman_D!$C$21&lt;0, -(AR53-Uzman_D!$C$21), AR53-Uzman_D!$C$21)*0.1 +
        IF(AS53-Uzman_D!$D$21&lt;0, -(AS53-Uzman_D!$D$21), AS53-Uzman_D!$D$21)*0.1 +
        IF(AT53-Uzman_D!$E$21&lt;0, -(AT53-Uzman_D!$E$21), AT53-Uzman_D!$E$21)*0.1 +
        IF(AU53-Uzman_D!$F$21&lt;0, -(AU53-Uzman_D!$F$21), AU53-Uzman_D!$F$21)*0.1 +
        IF(AV53-Uzman_D!$G$21&lt;0, -(AV53-Uzman_D!$G$21), AV53-Uzman_D!$G$21)*0.1 +
        IF(AW53-Uzman_D!$H$21&lt;0, -(AW53-Uzman_D!$H$21), AW53-Uzman_D!$H$21)*0.1 +
        IF(AX53-Uzman_D!$I$21&lt;0, -(AX53-Uzman_D!$I$21), AX53-Uzman_D!$I$21)*0.1 +
        IF(AY53-Uzman_D!$J$21&lt;0, -(AY53-Uzman_D!$J$21), AY53-Uzman_D!$J$21)*0.1
    ) +
    IF(ROUND((IF(BA53-Uzman_D!$L$21&lt;0, -(BA53-Uzman_D!$L$21), BA53-Uzman_D!$L$21)*2),0)/2 = IF(BA53-Uzman_D!$L$21&lt;0, -(BA53-Uzman_D!$L$21), BA53-Uzman_D!$L$21),
    (ROUND((IF(BA53-Uzman_D!$L$21&lt;0, -(BA53-Uzman_D!$L$21), BA53-Uzman_D!$L$21)*2),0)/1 * 0.1), 0) +
    IF(BB53-Uzman_D!$M$21&lt;0, -(BB53-Uzman_D!$M$21), BB53-Uzman_D!$M$21)*1
)</f>
        <v>-0.60000000000000009</v>
      </c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2"/>
      <c r="BO53" s="72"/>
      <c r="BP53" s="73">
        <f>1 - (
    SUM(
        IF(BD53-Uzman_D!$B$22&lt;0, -(BD53-Uzman_D!$B$22), BD53-Uzman_D!$B$22)*0.1 +
        IF(BE53-Uzman_D!$C$22&lt;0, -(BE53-Uzman_D!$C$22), BE53-Uzman_D!$C$22)*0.1 +
        IF(BF53-Uzman_D!$D$22&lt;0, -(BF53-Uzman_D!$D$22), BF53-Uzman_D!$D$22)*0.1 +
        IF(BG53-Uzman_D!$E$22&lt;0, -(BG53-Uzman_D!$E$22), BG53-Uzman_D!$E$22)*0.1 +
        IF(BH53-Uzman_D!$F$22&lt;0, -(BH53-Uzman_D!$F$22), BH53-Uzman_D!$F$22)*0.1 +
        IF(BI53-Uzman_D!$G$22&lt;0, -(BI53-Uzman_D!$G$22), BI53-Uzman_D!$G$22)*0.1 +
        IF(BJ53-Uzman_D!$H$22&lt;0, -(BJ53-Uzman_D!$H$22), BJ53-Uzman_D!$H$22)*0.1 +
        IF(BK53-Uzman_D!$I$22&lt;0, -(BK53-Uzman_D!$I$22), BK53-Uzman_D!$I$22)*0.1 +
        IF(BL53-Uzman_D!$J$22&lt;0, -(BL53-Uzman_D!$J$22), BL53-Uzman_D!$J$22)*0.1
    ) +
    IF(ROUND((IF(BN53-Uzman_D!$L$22&lt;0, -(BN53-Uzman_D!$L$22), BN53-Uzman_D!$L$22)*2),0)/2 = IF(BN53-Uzman_D!$L$22&lt;0, -(BN53-Uzman_D!$L$22), BN53-Uzman_D!$L$22),
    (ROUND((IF(BN53-Uzman_D!$L$22&lt;0, -(BN53-Uzman_D!$L$22), BN53-Uzman_D!$L$22)*2),0)/1 * 0.1), 0) +
    IF(BO53-Uzman_D!$M$22&lt;0, -(BO53-Uzman_D!$M$22), BO53-Uzman_D!$M$22)*1
)</f>
        <v>-0.40000000000000013</v>
      </c>
      <c r="BQ53" s="74">
        <f t="shared" si="0"/>
        <v>-0.54000000000000026</v>
      </c>
    </row>
    <row r="54" spans="1:69" ht="15" customHeight="1" x14ac:dyDescent="0.2">
      <c r="A54" s="57">
        <v>51</v>
      </c>
      <c r="B54" s="37">
        <f>Hakemler!B54</f>
        <v>0</v>
      </c>
      <c r="C54" s="37">
        <f>Hakemler!C54</f>
        <v>0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2"/>
      <c r="O54" s="72"/>
      <c r="P54" s="73">
        <f>1 - (
    SUM(
        IF(D54-Uzman_D!$B$18&lt;0, -(D54-Uzman_D!$B$18), D54-Uzman_D!$B$18)*0.1 +
        IF(E54-Uzman_D!$C$18&lt;0, -(E54-Uzman_D!$C$18), E54-Uzman_D!$C$18)*0.1 +
        IF(F54-Uzman_D!$D$18&lt;0, -(F54-Uzman_D!$D$18), F54-Uzman_D!$D$18)*0.1 +
        IF(G54-Uzman_D!$E$18&lt;0, -(G54-Uzman_D!$E$18), G54-Uzman_D!$E$18)*0.1 +
        IF(H54-Uzman_D!$F$18&lt;0, -(H54-Uzman_D!$F$18), H54-Uzman_D!$F$18)*0.1 +
        IF(I54-Uzman_D!$G$18&lt;0, -(I54-Uzman_D!$G$18), I54-Uzman_D!$G$18)*0.1 +
        IF(J54-Uzman_D!$H$18&lt;0, -(J54-Uzman_D!$H$18), J54-Uzman_D!$H$18)*0.1 +
        IF(K54-Uzman_D!$I$18&lt;0, -(K54-Uzman_D!$I$18), K54-Uzman_D!$I$18)*0.1 +
        IF(L54-Uzman_D!$J$18&lt;0, -(L54-Uzman_D!$J$18), L54-Uzman_D!$J$18)*0.1
    ) +
    IF(ROUND((IF(N54-Uzman_D!$L$18&lt;0, -(N54-Uzman_D!$L$18), N54-Uzman_D!$L$18)*2),0)/2 = IF(N54-Uzman_D!$L$18&lt;0, -(N54-Uzman_D!$L$18), N54-Uzman_D!$L$18),
    (ROUND((IF(N54-Uzman_D!$L$18&lt;0, -(N54-Uzman_D!$L$18), N54-Uzman_D!$L$18)*2),0)/1 * 0.1), 0) +
    IF(O54-Uzman_D!$M$18&lt;0, -(O54-Uzman_D!$M$18), O54-Uzman_D!$M$18)*1
)</f>
        <v>-0.50000000000000022</v>
      </c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2"/>
      <c r="AB54" s="72"/>
      <c r="AC54" s="73">
        <f>1 - (
    SUM(
        IF(Q54-Uzman_D!$B$19&lt;0, -(Q54-Uzman_D!$B$19), Q54-Uzman_D!$B$19)*0.1 +
        IF(R54-Uzman_D!$C$19&lt;0, -(R54-Uzman_D!$C$19), R54-Uzman_D!$C$19)*0.1 +
        IF(S54-Uzman_D!$D$19&lt;0, -(S54-Uzman_D!$D$19), S54-Uzman_D!$D$19)*0.1 +
        IF(T54-Uzman_D!$E$19&lt;0, -(T54-Uzman_D!$E$19), T54-Uzman_D!$E$19)*0.1 +
        IF(U54-Uzman_D!$F$19&lt;0, -(U54-Uzman_D!$F$19), U54-Uzman_D!$F$19)*0.1 +
        IF(V54-Uzman_D!$G$19&lt;0, -(V54-Uzman_D!$G$19), V54-Uzman_D!$G$19)*0.1 +
        IF(W54-Uzman_D!$H$19&lt;0, -(W54-Uzman_D!$H$19), W54-Uzman_D!$H$19)*0.1 +
        IF(X54-Uzman_D!$I$19&lt;0, -(X54-Uzman_D!$I$19), X54-Uzman_D!$I$19)*0.1 +
        IF(Y54-Uzman_D!$J$19&lt;0, -(Y54-Uzman_D!$J$19), Y54-Uzman_D!$J$19)*0.1
    ) +
    IF(ROUND((IF(AA54-Uzman_D!$L$19&lt;0, -(AA54-Uzman_D!$L$19), AA54-Uzman_D!$L$19)*2),0)/2 = IF(AA54-Uzman_D!$L$19&lt;0, -(AA54-Uzman_D!$L$19), AA54-Uzman_D!$L$19),
    (ROUND((IF(AA54-Uzman_D!$L$19&lt;0, -(AA54-Uzman_D!$L$19), AA54-Uzman_D!$L$19)*2),0)/1 * 0.1), 0) +
    IF(AB54-Uzman_D!$M$19&lt;0, -(AB54-Uzman_D!$M$19), AB54-Uzman_D!$M$19)*1
)</f>
        <v>-0.60000000000000009</v>
      </c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2"/>
      <c r="AO54" s="72"/>
      <c r="AP54" s="73">
        <f>1 - (
    SUM(
        IF(AD54-Uzman_D!$B$20&lt;0, -(AD54-Uzman_D!$B$20), AD54-Uzman_D!$B$20)*0.1 +
        IF(AE54-Uzman_D!$C$20&lt;0, -(AE54-Uzman_D!$C$20), AE54-Uzman_D!$C$20)*0.1 +
        IF(AF54-Uzman_D!$D$20&lt;0, -(AF54-Uzman_D!$D$20), AF54-Uzman_D!$D$20)*0.1 +
        IF(AG54-Uzman_D!$E$20&lt;0, -(AG54-Uzman_D!$E$20), AG54-Uzman_D!$E$20)*0.1 +
        IF(AH54-Uzman_D!$F$20&lt;0, -(AH54-Uzman_D!$F$20), AH54-Uzman_D!$F$20)*0.1 +
        IF(AI54-Uzman_D!$G$20&lt;0, -(AI54-Uzman_D!$G$20), AI54-Uzman_D!$G$20)*0.1 +
        IF(AJ54-Uzman_D!$H$20&lt;0, -(AJ54-Uzman_D!$H$20), AJ54-Uzman_D!$H$20)*0.1 +
        IF(AK54-Uzman_D!$I$20&lt;0, -(AK54-Uzman_D!$I$20), AK54-Uzman_D!$I$20)*0.1 +
        IF(AL54-Uzman_D!$J$20&lt;0, -(AL54-Uzman_D!$J$20), AL54-Uzman_D!$J$20)*0.1
    ) +
    IF(ROUND((IF(AN54-Uzman_D!$L$20&lt;0, -(AN54-Uzman_D!$L$20), AN54-Uzman_D!$L$20)*2),0)/2 = IF(AN54-Uzman_D!$L$20&lt;0, -(AN54-Uzman_D!$L$20), AN54-Uzman_D!$L$20),
    (ROUND((IF(AN54-Uzman_D!$L$20&lt;0, -(AN54-Uzman_D!$L$20), AN54-Uzman_D!$L$20)*2),0)/1 * 0.1), 0) +
    IF(AO54-Uzman_D!$M$20&lt;0, -(AO54-Uzman_D!$M$20), AO54-Uzman_D!$M$20)*1
)</f>
        <v>-0.60000000000000009</v>
      </c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2"/>
      <c r="BB54" s="72"/>
      <c r="BC54" s="73">
        <f>1 - (
    SUM(
        IF(AQ54-Uzman_D!$B$21&lt;0, -(AQ54-Uzman_D!$B$21), AQ54-Uzman_D!$B$21)*0.1 +
        IF(AR54-Uzman_D!$C$21&lt;0, -(AR54-Uzman_D!$C$21), AR54-Uzman_D!$C$21)*0.1 +
        IF(AS54-Uzman_D!$D$21&lt;0, -(AS54-Uzman_D!$D$21), AS54-Uzman_D!$D$21)*0.1 +
        IF(AT54-Uzman_D!$E$21&lt;0, -(AT54-Uzman_D!$E$21), AT54-Uzman_D!$E$21)*0.1 +
        IF(AU54-Uzman_D!$F$21&lt;0, -(AU54-Uzman_D!$F$21), AU54-Uzman_D!$F$21)*0.1 +
        IF(AV54-Uzman_D!$G$21&lt;0, -(AV54-Uzman_D!$G$21), AV54-Uzman_D!$G$21)*0.1 +
        IF(AW54-Uzman_D!$H$21&lt;0, -(AW54-Uzman_D!$H$21), AW54-Uzman_D!$H$21)*0.1 +
        IF(AX54-Uzman_D!$I$21&lt;0, -(AX54-Uzman_D!$I$21), AX54-Uzman_D!$I$21)*0.1 +
        IF(AY54-Uzman_D!$J$21&lt;0, -(AY54-Uzman_D!$J$21), AY54-Uzman_D!$J$21)*0.1
    ) +
    IF(ROUND((IF(BA54-Uzman_D!$L$21&lt;0, -(BA54-Uzman_D!$L$21), BA54-Uzman_D!$L$21)*2),0)/2 = IF(BA54-Uzman_D!$L$21&lt;0, -(BA54-Uzman_D!$L$21), BA54-Uzman_D!$L$21),
    (ROUND((IF(BA54-Uzman_D!$L$21&lt;0, -(BA54-Uzman_D!$L$21), BA54-Uzman_D!$L$21)*2),0)/1 * 0.1), 0) +
    IF(BB54-Uzman_D!$M$21&lt;0, -(BB54-Uzman_D!$M$21), BB54-Uzman_D!$M$21)*1
)</f>
        <v>-0.60000000000000009</v>
      </c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2"/>
      <c r="BO54" s="72"/>
      <c r="BP54" s="73">
        <f>1 - (
    SUM(
        IF(BD54-Uzman_D!$B$22&lt;0, -(BD54-Uzman_D!$B$22), BD54-Uzman_D!$B$22)*0.1 +
        IF(BE54-Uzman_D!$C$22&lt;0, -(BE54-Uzman_D!$C$22), BE54-Uzman_D!$C$22)*0.1 +
        IF(BF54-Uzman_D!$D$22&lt;0, -(BF54-Uzman_D!$D$22), BF54-Uzman_D!$D$22)*0.1 +
        IF(BG54-Uzman_D!$E$22&lt;0, -(BG54-Uzman_D!$E$22), BG54-Uzman_D!$E$22)*0.1 +
        IF(BH54-Uzman_D!$F$22&lt;0, -(BH54-Uzman_D!$F$22), BH54-Uzman_D!$F$22)*0.1 +
        IF(BI54-Uzman_D!$G$22&lt;0, -(BI54-Uzman_D!$G$22), BI54-Uzman_D!$G$22)*0.1 +
        IF(BJ54-Uzman_D!$H$22&lt;0, -(BJ54-Uzman_D!$H$22), BJ54-Uzman_D!$H$22)*0.1 +
        IF(BK54-Uzman_D!$I$22&lt;0, -(BK54-Uzman_D!$I$22), BK54-Uzman_D!$I$22)*0.1 +
        IF(BL54-Uzman_D!$J$22&lt;0, -(BL54-Uzman_D!$J$22), BL54-Uzman_D!$J$22)*0.1
    ) +
    IF(ROUND((IF(BN54-Uzman_D!$L$22&lt;0, -(BN54-Uzman_D!$L$22), BN54-Uzman_D!$L$22)*2),0)/2 = IF(BN54-Uzman_D!$L$22&lt;0, -(BN54-Uzman_D!$L$22), BN54-Uzman_D!$L$22),
    (ROUND((IF(BN54-Uzman_D!$L$22&lt;0, -(BN54-Uzman_D!$L$22), BN54-Uzman_D!$L$22)*2),0)/1 * 0.1), 0) +
    IF(BO54-Uzman_D!$M$22&lt;0, -(BO54-Uzman_D!$M$22), BO54-Uzman_D!$M$22)*1
)</f>
        <v>-0.40000000000000013</v>
      </c>
      <c r="BQ54" s="74">
        <f t="shared" si="0"/>
        <v>-0.54000000000000026</v>
      </c>
    </row>
    <row r="55" spans="1:69" ht="15" customHeight="1" x14ac:dyDescent="0.2">
      <c r="A55" s="57">
        <v>52</v>
      </c>
      <c r="B55" s="37">
        <f>Hakemler!B55</f>
        <v>0</v>
      </c>
      <c r="C55" s="37">
        <f>Hakemler!C55</f>
        <v>0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2"/>
      <c r="O55" s="72"/>
      <c r="P55" s="73">
        <f>1 - (
    SUM(
        IF(D55-Uzman_D!$B$18&lt;0, -(D55-Uzman_D!$B$18), D55-Uzman_D!$B$18)*0.1 +
        IF(E55-Uzman_D!$C$18&lt;0, -(E55-Uzman_D!$C$18), E55-Uzman_D!$C$18)*0.1 +
        IF(F55-Uzman_D!$D$18&lt;0, -(F55-Uzman_D!$D$18), F55-Uzman_D!$D$18)*0.1 +
        IF(G55-Uzman_D!$E$18&lt;0, -(G55-Uzman_D!$E$18), G55-Uzman_D!$E$18)*0.1 +
        IF(H55-Uzman_D!$F$18&lt;0, -(H55-Uzman_D!$F$18), H55-Uzman_D!$F$18)*0.1 +
        IF(I55-Uzman_D!$G$18&lt;0, -(I55-Uzman_D!$G$18), I55-Uzman_D!$G$18)*0.1 +
        IF(J55-Uzman_D!$H$18&lt;0, -(J55-Uzman_D!$H$18), J55-Uzman_D!$H$18)*0.1 +
        IF(K55-Uzman_D!$I$18&lt;0, -(K55-Uzman_D!$I$18), K55-Uzman_D!$I$18)*0.1 +
        IF(L55-Uzman_D!$J$18&lt;0, -(L55-Uzman_D!$J$18), L55-Uzman_D!$J$18)*0.1
    ) +
    IF(ROUND((IF(N55-Uzman_D!$L$18&lt;0, -(N55-Uzman_D!$L$18), N55-Uzman_D!$L$18)*2),0)/2 = IF(N55-Uzman_D!$L$18&lt;0, -(N55-Uzman_D!$L$18), N55-Uzman_D!$L$18),
    (ROUND((IF(N55-Uzman_D!$L$18&lt;0, -(N55-Uzman_D!$L$18), N55-Uzman_D!$L$18)*2),0)/1 * 0.1), 0) +
    IF(O55-Uzman_D!$M$18&lt;0, -(O55-Uzman_D!$M$18), O55-Uzman_D!$M$18)*1
)</f>
        <v>-0.50000000000000022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2"/>
      <c r="AB55" s="72"/>
      <c r="AC55" s="73">
        <f>1 - (
    SUM(
        IF(Q55-Uzman_D!$B$19&lt;0, -(Q55-Uzman_D!$B$19), Q55-Uzman_D!$B$19)*0.1 +
        IF(R55-Uzman_D!$C$19&lt;0, -(R55-Uzman_D!$C$19), R55-Uzman_D!$C$19)*0.1 +
        IF(S55-Uzman_D!$D$19&lt;0, -(S55-Uzman_D!$D$19), S55-Uzman_D!$D$19)*0.1 +
        IF(T55-Uzman_D!$E$19&lt;0, -(T55-Uzman_D!$E$19), T55-Uzman_D!$E$19)*0.1 +
        IF(U55-Uzman_D!$F$19&lt;0, -(U55-Uzman_D!$F$19), U55-Uzman_D!$F$19)*0.1 +
        IF(V55-Uzman_D!$G$19&lt;0, -(V55-Uzman_D!$G$19), V55-Uzman_D!$G$19)*0.1 +
        IF(W55-Uzman_D!$H$19&lt;0, -(W55-Uzman_D!$H$19), W55-Uzman_D!$H$19)*0.1 +
        IF(X55-Uzman_D!$I$19&lt;0, -(X55-Uzman_D!$I$19), X55-Uzman_D!$I$19)*0.1 +
        IF(Y55-Uzman_D!$J$19&lt;0, -(Y55-Uzman_D!$J$19), Y55-Uzman_D!$J$19)*0.1
    ) +
    IF(ROUND((IF(AA55-Uzman_D!$L$19&lt;0, -(AA55-Uzman_D!$L$19), AA55-Uzman_D!$L$19)*2),0)/2 = IF(AA55-Uzman_D!$L$19&lt;0, -(AA55-Uzman_D!$L$19), AA55-Uzman_D!$L$19),
    (ROUND((IF(AA55-Uzman_D!$L$19&lt;0, -(AA55-Uzman_D!$L$19), AA55-Uzman_D!$L$19)*2),0)/1 * 0.1), 0) +
    IF(AB55-Uzman_D!$M$19&lt;0, -(AB55-Uzman_D!$M$19), AB55-Uzman_D!$M$19)*1
)</f>
        <v>-0.60000000000000009</v>
      </c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2"/>
      <c r="AO55" s="72"/>
      <c r="AP55" s="73">
        <f>1 - (
    SUM(
        IF(AD55-Uzman_D!$B$20&lt;0, -(AD55-Uzman_D!$B$20), AD55-Uzman_D!$B$20)*0.1 +
        IF(AE55-Uzman_D!$C$20&lt;0, -(AE55-Uzman_D!$C$20), AE55-Uzman_D!$C$20)*0.1 +
        IF(AF55-Uzman_D!$D$20&lt;0, -(AF55-Uzman_D!$D$20), AF55-Uzman_D!$D$20)*0.1 +
        IF(AG55-Uzman_D!$E$20&lt;0, -(AG55-Uzman_D!$E$20), AG55-Uzman_D!$E$20)*0.1 +
        IF(AH55-Uzman_D!$F$20&lt;0, -(AH55-Uzman_D!$F$20), AH55-Uzman_D!$F$20)*0.1 +
        IF(AI55-Uzman_D!$G$20&lt;0, -(AI55-Uzman_D!$G$20), AI55-Uzman_D!$G$20)*0.1 +
        IF(AJ55-Uzman_D!$H$20&lt;0, -(AJ55-Uzman_D!$H$20), AJ55-Uzman_D!$H$20)*0.1 +
        IF(AK55-Uzman_D!$I$20&lt;0, -(AK55-Uzman_D!$I$20), AK55-Uzman_D!$I$20)*0.1 +
        IF(AL55-Uzman_D!$J$20&lt;0, -(AL55-Uzman_D!$J$20), AL55-Uzman_D!$J$20)*0.1
    ) +
    IF(ROUND((IF(AN55-Uzman_D!$L$20&lt;0, -(AN55-Uzman_D!$L$20), AN55-Uzman_D!$L$20)*2),0)/2 = IF(AN55-Uzman_D!$L$20&lt;0, -(AN55-Uzman_D!$L$20), AN55-Uzman_D!$L$20),
    (ROUND((IF(AN55-Uzman_D!$L$20&lt;0, -(AN55-Uzman_D!$L$20), AN55-Uzman_D!$L$20)*2),0)/1 * 0.1), 0) +
    IF(AO55-Uzman_D!$M$20&lt;0, -(AO55-Uzman_D!$M$20), AO55-Uzman_D!$M$20)*1
)</f>
        <v>-0.60000000000000009</v>
      </c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2"/>
      <c r="BB55" s="72"/>
      <c r="BC55" s="73">
        <f>1 - (
    SUM(
        IF(AQ55-Uzman_D!$B$21&lt;0, -(AQ55-Uzman_D!$B$21), AQ55-Uzman_D!$B$21)*0.1 +
        IF(AR55-Uzman_D!$C$21&lt;0, -(AR55-Uzman_D!$C$21), AR55-Uzman_D!$C$21)*0.1 +
        IF(AS55-Uzman_D!$D$21&lt;0, -(AS55-Uzman_D!$D$21), AS55-Uzman_D!$D$21)*0.1 +
        IF(AT55-Uzman_D!$E$21&lt;0, -(AT55-Uzman_D!$E$21), AT55-Uzman_D!$E$21)*0.1 +
        IF(AU55-Uzman_D!$F$21&lt;0, -(AU55-Uzman_D!$F$21), AU55-Uzman_D!$F$21)*0.1 +
        IF(AV55-Uzman_D!$G$21&lt;0, -(AV55-Uzman_D!$G$21), AV55-Uzman_D!$G$21)*0.1 +
        IF(AW55-Uzman_D!$H$21&lt;0, -(AW55-Uzman_D!$H$21), AW55-Uzman_D!$H$21)*0.1 +
        IF(AX55-Uzman_D!$I$21&lt;0, -(AX55-Uzman_D!$I$21), AX55-Uzman_D!$I$21)*0.1 +
        IF(AY55-Uzman_D!$J$21&lt;0, -(AY55-Uzman_D!$J$21), AY55-Uzman_D!$J$21)*0.1
    ) +
    IF(ROUND((IF(BA55-Uzman_D!$L$21&lt;0, -(BA55-Uzman_D!$L$21), BA55-Uzman_D!$L$21)*2),0)/2 = IF(BA55-Uzman_D!$L$21&lt;0, -(BA55-Uzman_D!$L$21), BA55-Uzman_D!$L$21),
    (ROUND((IF(BA55-Uzman_D!$L$21&lt;0, -(BA55-Uzman_D!$L$21), BA55-Uzman_D!$L$21)*2),0)/1 * 0.1), 0) +
    IF(BB55-Uzman_D!$M$21&lt;0, -(BB55-Uzman_D!$M$21), BB55-Uzman_D!$M$21)*1
)</f>
        <v>-0.60000000000000009</v>
      </c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2"/>
      <c r="BO55" s="72"/>
      <c r="BP55" s="73">
        <f>1 - (
    SUM(
        IF(BD55-Uzman_D!$B$22&lt;0, -(BD55-Uzman_D!$B$22), BD55-Uzman_D!$B$22)*0.1 +
        IF(BE55-Uzman_D!$C$22&lt;0, -(BE55-Uzman_D!$C$22), BE55-Uzman_D!$C$22)*0.1 +
        IF(BF55-Uzman_D!$D$22&lt;0, -(BF55-Uzman_D!$D$22), BF55-Uzman_D!$D$22)*0.1 +
        IF(BG55-Uzman_D!$E$22&lt;0, -(BG55-Uzman_D!$E$22), BG55-Uzman_D!$E$22)*0.1 +
        IF(BH55-Uzman_D!$F$22&lt;0, -(BH55-Uzman_D!$F$22), BH55-Uzman_D!$F$22)*0.1 +
        IF(BI55-Uzman_D!$G$22&lt;0, -(BI55-Uzman_D!$G$22), BI55-Uzman_D!$G$22)*0.1 +
        IF(BJ55-Uzman_D!$H$22&lt;0, -(BJ55-Uzman_D!$H$22), BJ55-Uzman_D!$H$22)*0.1 +
        IF(BK55-Uzman_D!$I$22&lt;0, -(BK55-Uzman_D!$I$22), BK55-Uzman_D!$I$22)*0.1 +
        IF(BL55-Uzman_D!$J$22&lt;0, -(BL55-Uzman_D!$J$22), BL55-Uzman_D!$J$22)*0.1
    ) +
    IF(ROUND((IF(BN55-Uzman_D!$L$22&lt;0, -(BN55-Uzman_D!$L$22), BN55-Uzman_D!$L$22)*2),0)/2 = IF(BN55-Uzman_D!$L$22&lt;0, -(BN55-Uzman_D!$L$22), BN55-Uzman_D!$L$22),
    (ROUND((IF(BN55-Uzman_D!$L$22&lt;0, -(BN55-Uzman_D!$L$22), BN55-Uzman_D!$L$22)*2),0)/1 * 0.1), 0) +
    IF(BO55-Uzman_D!$M$22&lt;0, -(BO55-Uzman_D!$M$22), BO55-Uzman_D!$M$22)*1
)</f>
        <v>-0.40000000000000013</v>
      </c>
      <c r="BQ55" s="74">
        <f t="shared" si="0"/>
        <v>-0.54000000000000026</v>
      </c>
    </row>
    <row r="56" spans="1:69" ht="15" customHeight="1" x14ac:dyDescent="0.2">
      <c r="A56" s="57">
        <v>53</v>
      </c>
      <c r="B56" s="37">
        <f>Hakemler!B56</f>
        <v>0</v>
      </c>
      <c r="C56" s="29">
        <f>Hakemler!C56</f>
        <v>0</v>
      </c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2"/>
      <c r="O56" s="72"/>
      <c r="P56" s="73">
        <f>1 - (
    SUM(
        IF(D56-Uzman_D!$B$18&lt;0, -(D56-Uzman_D!$B$18), D56-Uzman_D!$B$18)*0.1 +
        IF(E56-Uzman_D!$C$18&lt;0, -(E56-Uzman_D!$C$18), E56-Uzman_D!$C$18)*0.1 +
        IF(F56-Uzman_D!$D$18&lt;0, -(F56-Uzman_D!$D$18), F56-Uzman_D!$D$18)*0.1 +
        IF(G56-Uzman_D!$E$18&lt;0, -(G56-Uzman_D!$E$18), G56-Uzman_D!$E$18)*0.1 +
        IF(H56-Uzman_D!$F$18&lt;0, -(H56-Uzman_D!$F$18), H56-Uzman_D!$F$18)*0.1 +
        IF(I56-Uzman_D!$G$18&lt;0, -(I56-Uzman_D!$G$18), I56-Uzman_D!$G$18)*0.1 +
        IF(J56-Uzman_D!$H$18&lt;0, -(J56-Uzman_D!$H$18), J56-Uzman_D!$H$18)*0.1 +
        IF(K56-Uzman_D!$I$18&lt;0, -(K56-Uzman_D!$I$18), K56-Uzman_D!$I$18)*0.1 +
        IF(L56-Uzman_D!$J$18&lt;0, -(L56-Uzman_D!$J$18), L56-Uzman_D!$J$18)*0.1
    ) +
    IF(ROUND((IF(N56-Uzman_D!$L$18&lt;0, -(N56-Uzman_D!$L$18), N56-Uzman_D!$L$18)*2),0)/2 = IF(N56-Uzman_D!$L$18&lt;0, -(N56-Uzman_D!$L$18), N56-Uzman_D!$L$18),
    (ROUND((IF(N56-Uzman_D!$L$18&lt;0, -(N56-Uzman_D!$L$18), N56-Uzman_D!$L$18)*2),0)/1 * 0.1), 0) +
    IF(O56-Uzman_D!$M$18&lt;0, -(O56-Uzman_D!$M$18), O56-Uzman_D!$M$18)*1
)</f>
        <v>-0.50000000000000022</v>
      </c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2"/>
      <c r="AB56" s="72"/>
      <c r="AC56" s="73">
        <f>1 - (
    SUM(
        IF(Q56-Uzman_D!$B$19&lt;0, -(Q56-Uzman_D!$B$19), Q56-Uzman_D!$B$19)*0.1 +
        IF(R56-Uzman_D!$C$19&lt;0, -(R56-Uzman_D!$C$19), R56-Uzman_D!$C$19)*0.1 +
        IF(S56-Uzman_D!$D$19&lt;0, -(S56-Uzman_D!$D$19), S56-Uzman_D!$D$19)*0.1 +
        IF(T56-Uzman_D!$E$19&lt;0, -(T56-Uzman_D!$E$19), T56-Uzman_D!$E$19)*0.1 +
        IF(U56-Uzman_D!$F$19&lt;0, -(U56-Uzman_D!$F$19), U56-Uzman_D!$F$19)*0.1 +
        IF(V56-Uzman_D!$G$19&lt;0, -(V56-Uzman_D!$G$19), V56-Uzman_D!$G$19)*0.1 +
        IF(W56-Uzman_D!$H$19&lt;0, -(W56-Uzman_D!$H$19), W56-Uzman_D!$H$19)*0.1 +
        IF(X56-Uzman_D!$I$19&lt;0, -(X56-Uzman_D!$I$19), X56-Uzman_D!$I$19)*0.1 +
        IF(Y56-Uzman_D!$J$19&lt;0, -(Y56-Uzman_D!$J$19), Y56-Uzman_D!$J$19)*0.1
    ) +
    IF(ROUND((IF(AA56-Uzman_D!$L$19&lt;0, -(AA56-Uzman_D!$L$19), AA56-Uzman_D!$L$19)*2),0)/2 = IF(AA56-Uzman_D!$L$19&lt;0, -(AA56-Uzman_D!$L$19), AA56-Uzman_D!$L$19),
    (ROUND((IF(AA56-Uzman_D!$L$19&lt;0, -(AA56-Uzman_D!$L$19), AA56-Uzman_D!$L$19)*2),0)/1 * 0.1), 0) +
    IF(AB56-Uzman_D!$M$19&lt;0, -(AB56-Uzman_D!$M$19), AB56-Uzman_D!$M$19)*1
)</f>
        <v>-0.60000000000000009</v>
      </c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2"/>
      <c r="AO56" s="72"/>
      <c r="AP56" s="73">
        <f>1 - (
    SUM(
        IF(AD56-Uzman_D!$B$20&lt;0, -(AD56-Uzman_D!$B$20), AD56-Uzman_D!$B$20)*0.1 +
        IF(AE56-Uzman_D!$C$20&lt;0, -(AE56-Uzman_D!$C$20), AE56-Uzman_D!$C$20)*0.1 +
        IF(AF56-Uzman_D!$D$20&lt;0, -(AF56-Uzman_D!$D$20), AF56-Uzman_D!$D$20)*0.1 +
        IF(AG56-Uzman_D!$E$20&lt;0, -(AG56-Uzman_D!$E$20), AG56-Uzman_D!$E$20)*0.1 +
        IF(AH56-Uzman_D!$F$20&lt;0, -(AH56-Uzman_D!$F$20), AH56-Uzman_D!$F$20)*0.1 +
        IF(AI56-Uzman_D!$G$20&lt;0, -(AI56-Uzman_D!$G$20), AI56-Uzman_D!$G$20)*0.1 +
        IF(AJ56-Uzman_D!$H$20&lt;0, -(AJ56-Uzman_D!$H$20), AJ56-Uzman_D!$H$20)*0.1 +
        IF(AK56-Uzman_D!$I$20&lt;0, -(AK56-Uzman_D!$I$20), AK56-Uzman_D!$I$20)*0.1 +
        IF(AL56-Uzman_D!$J$20&lt;0, -(AL56-Uzman_D!$J$20), AL56-Uzman_D!$J$20)*0.1
    ) +
    IF(ROUND((IF(AN56-Uzman_D!$L$20&lt;0, -(AN56-Uzman_D!$L$20), AN56-Uzman_D!$L$20)*2),0)/2 = IF(AN56-Uzman_D!$L$20&lt;0, -(AN56-Uzman_D!$L$20), AN56-Uzman_D!$L$20),
    (ROUND((IF(AN56-Uzman_D!$L$20&lt;0, -(AN56-Uzman_D!$L$20), AN56-Uzman_D!$L$20)*2),0)/1 * 0.1), 0) +
    IF(AO56-Uzman_D!$M$20&lt;0, -(AO56-Uzman_D!$M$20), AO56-Uzman_D!$M$20)*1
)</f>
        <v>-0.60000000000000009</v>
      </c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2"/>
      <c r="BB56" s="72"/>
      <c r="BC56" s="73">
        <f>1 - (
    SUM(
        IF(AQ56-Uzman_D!$B$21&lt;0, -(AQ56-Uzman_D!$B$21), AQ56-Uzman_D!$B$21)*0.1 +
        IF(AR56-Uzman_D!$C$21&lt;0, -(AR56-Uzman_D!$C$21), AR56-Uzman_D!$C$21)*0.1 +
        IF(AS56-Uzman_D!$D$21&lt;0, -(AS56-Uzman_D!$D$21), AS56-Uzman_D!$D$21)*0.1 +
        IF(AT56-Uzman_D!$E$21&lt;0, -(AT56-Uzman_D!$E$21), AT56-Uzman_D!$E$21)*0.1 +
        IF(AU56-Uzman_D!$F$21&lt;0, -(AU56-Uzman_D!$F$21), AU56-Uzman_D!$F$21)*0.1 +
        IF(AV56-Uzman_D!$G$21&lt;0, -(AV56-Uzman_D!$G$21), AV56-Uzman_D!$G$21)*0.1 +
        IF(AW56-Uzman_D!$H$21&lt;0, -(AW56-Uzman_D!$H$21), AW56-Uzman_D!$H$21)*0.1 +
        IF(AX56-Uzman_D!$I$21&lt;0, -(AX56-Uzman_D!$I$21), AX56-Uzman_D!$I$21)*0.1 +
        IF(AY56-Uzman_D!$J$21&lt;0, -(AY56-Uzman_D!$J$21), AY56-Uzman_D!$J$21)*0.1
    ) +
    IF(ROUND((IF(BA56-Uzman_D!$L$21&lt;0, -(BA56-Uzman_D!$L$21), BA56-Uzman_D!$L$21)*2),0)/2 = IF(BA56-Uzman_D!$L$21&lt;0, -(BA56-Uzman_D!$L$21), BA56-Uzman_D!$L$21),
    (ROUND((IF(BA56-Uzman_D!$L$21&lt;0, -(BA56-Uzman_D!$L$21), BA56-Uzman_D!$L$21)*2),0)/1 * 0.1), 0) +
    IF(BB56-Uzman_D!$M$21&lt;0, -(BB56-Uzman_D!$M$21), BB56-Uzman_D!$M$21)*1
)</f>
        <v>-0.60000000000000009</v>
      </c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2"/>
      <c r="BO56" s="72"/>
      <c r="BP56" s="73">
        <f>1 - (
    SUM(
        IF(BD56-Uzman_D!$B$22&lt;0, -(BD56-Uzman_D!$B$22), BD56-Uzman_D!$B$22)*0.1 +
        IF(BE56-Uzman_D!$C$22&lt;0, -(BE56-Uzman_D!$C$22), BE56-Uzman_D!$C$22)*0.1 +
        IF(BF56-Uzman_D!$D$22&lt;0, -(BF56-Uzman_D!$D$22), BF56-Uzman_D!$D$22)*0.1 +
        IF(BG56-Uzman_D!$E$22&lt;0, -(BG56-Uzman_D!$E$22), BG56-Uzman_D!$E$22)*0.1 +
        IF(BH56-Uzman_D!$F$22&lt;0, -(BH56-Uzman_D!$F$22), BH56-Uzman_D!$F$22)*0.1 +
        IF(BI56-Uzman_D!$G$22&lt;0, -(BI56-Uzman_D!$G$22), BI56-Uzman_D!$G$22)*0.1 +
        IF(BJ56-Uzman_D!$H$22&lt;0, -(BJ56-Uzman_D!$H$22), BJ56-Uzman_D!$H$22)*0.1 +
        IF(BK56-Uzman_D!$I$22&lt;0, -(BK56-Uzman_D!$I$22), BK56-Uzman_D!$I$22)*0.1 +
        IF(BL56-Uzman_D!$J$22&lt;0, -(BL56-Uzman_D!$J$22), BL56-Uzman_D!$J$22)*0.1
    ) +
    IF(ROUND((IF(BN56-Uzman_D!$L$22&lt;0, -(BN56-Uzman_D!$L$22), BN56-Uzman_D!$L$22)*2),0)/2 = IF(BN56-Uzman_D!$L$22&lt;0, -(BN56-Uzman_D!$L$22), BN56-Uzman_D!$L$22),
    (ROUND((IF(BN56-Uzman_D!$L$22&lt;0, -(BN56-Uzman_D!$L$22), BN56-Uzman_D!$L$22)*2),0)/1 * 0.1), 0) +
    IF(BO56-Uzman_D!$M$22&lt;0, -(BO56-Uzman_D!$M$22), BO56-Uzman_D!$M$22)*1
)</f>
        <v>-0.40000000000000013</v>
      </c>
      <c r="BQ56" s="74">
        <f t="shared" si="0"/>
        <v>-0.54000000000000026</v>
      </c>
    </row>
    <row r="57" spans="1:69" ht="15" customHeight="1" x14ac:dyDescent="0.2">
      <c r="A57" s="57">
        <v>54</v>
      </c>
      <c r="B57" s="29">
        <f>Hakemler!B57</f>
        <v>0</v>
      </c>
      <c r="C57" s="29">
        <f>Hakemler!C57</f>
        <v>0</v>
      </c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2"/>
      <c r="O57" s="72"/>
      <c r="P57" s="73">
        <f>1 - (
    SUM(
        IF(D57-Uzman_D!$B$18&lt;0, -(D57-Uzman_D!$B$18), D57-Uzman_D!$B$18)*0.1 +
        IF(E57-Uzman_D!$C$18&lt;0, -(E57-Uzman_D!$C$18), E57-Uzman_D!$C$18)*0.1 +
        IF(F57-Uzman_D!$D$18&lt;0, -(F57-Uzman_D!$D$18), F57-Uzman_D!$D$18)*0.1 +
        IF(G57-Uzman_D!$E$18&lt;0, -(G57-Uzman_D!$E$18), G57-Uzman_D!$E$18)*0.1 +
        IF(H57-Uzman_D!$F$18&lt;0, -(H57-Uzman_D!$F$18), H57-Uzman_D!$F$18)*0.1 +
        IF(I57-Uzman_D!$G$18&lt;0, -(I57-Uzman_D!$G$18), I57-Uzman_D!$G$18)*0.1 +
        IF(J57-Uzman_D!$H$18&lt;0, -(J57-Uzman_D!$H$18), J57-Uzman_D!$H$18)*0.1 +
        IF(K57-Uzman_D!$I$18&lt;0, -(K57-Uzman_D!$I$18), K57-Uzman_D!$I$18)*0.1 +
        IF(L57-Uzman_D!$J$18&lt;0, -(L57-Uzman_D!$J$18), L57-Uzman_D!$J$18)*0.1
    ) +
    IF(ROUND((IF(N57-Uzman_D!$L$18&lt;0, -(N57-Uzman_D!$L$18), N57-Uzman_D!$L$18)*2),0)/2 = IF(N57-Uzman_D!$L$18&lt;0, -(N57-Uzman_D!$L$18), N57-Uzman_D!$L$18),
    (ROUND((IF(N57-Uzman_D!$L$18&lt;0, -(N57-Uzman_D!$L$18), N57-Uzman_D!$L$18)*2),0)/1 * 0.1), 0) +
    IF(O57-Uzman_D!$M$18&lt;0, -(O57-Uzman_D!$M$18), O57-Uzman_D!$M$18)*1
)</f>
        <v>-0.50000000000000022</v>
      </c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2"/>
      <c r="AB57" s="72"/>
      <c r="AC57" s="73">
        <f>1 - (
    SUM(
        IF(Q57-Uzman_D!$B$19&lt;0, -(Q57-Uzman_D!$B$19), Q57-Uzman_D!$B$19)*0.1 +
        IF(R57-Uzman_D!$C$19&lt;0, -(R57-Uzman_D!$C$19), R57-Uzman_D!$C$19)*0.1 +
        IF(S57-Uzman_D!$D$19&lt;0, -(S57-Uzman_D!$D$19), S57-Uzman_D!$D$19)*0.1 +
        IF(T57-Uzman_D!$E$19&lt;0, -(T57-Uzman_D!$E$19), T57-Uzman_D!$E$19)*0.1 +
        IF(U57-Uzman_D!$F$19&lt;0, -(U57-Uzman_D!$F$19), U57-Uzman_D!$F$19)*0.1 +
        IF(V57-Uzman_D!$G$19&lt;0, -(V57-Uzman_D!$G$19), V57-Uzman_D!$G$19)*0.1 +
        IF(W57-Uzman_D!$H$19&lt;0, -(W57-Uzman_D!$H$19), W57-Uzman_D!$H$19)*0.1 +
        IF(X57-Uzman_D!$I$19&lt;0, -(X57-Uzman_D!$I$19), X57-Uzman_D!$I$19)*0.1 +
        IF(Y57-Uzman_D!$J$19&lt;0, -(Y57-Uzman_D!$J$19), Y57-Uzman_D!$J$19)*0.1
    ) +
    IF(ROUND((IF(AA57-Uzman_D!$L$19&lt;0, -(AA57-Uzman_D!$L$19), AA57-Uzman_D!$L$19)*2),0)/2 = IF(AA57-Uzman_D!$L$19&lt;0, -(AA57-Uzman_D!$L$19), AA57-Uzman_D!$L$19),
    (ROUND((IF(AA57-Uzman_D!$L$19&lt;0, -(AA57-Uzman_D!$L$19), AA57-Uzman_D!$L$19)*2),0)/1 * 0.1), 0) +
    IF(AB57-Uzman_D!$M$19&lt;0, -(AB57-Uzman_D!$M$19), AB57-Uzman_D!$M$19)*1
)</f>
        <v>-0.60000000000000009</v>
      </c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2"/>
      <c r="AO57" s="72"/>
      <c r="AP57" s="73">
        <f>1 - (
    SUM(
        IF(AD57-Uzman_D!$B$20&lt;0, -(AD57-Uzman_D!$B$20), AD57-Uzman_D!$B$20)*0.1 +
        IF(AE57-Uzman_D!$C$20&lt;0, -(AE57-Uzman_D!$C$20), AE57-Uzman_D!$C$20)*0.1 +
        IF(AF57-Uzman_D!$D$20&lt;0, -(AF57-Uzman_D!$D$20), AF57-Uzman_D!$D$20)*0.1 +
        IF(AG57-Uzman_D!$E$20&lt;0, -(AG57-Uzman_D!$E$20), AG57-Uzman_D!$E$20)*0.1 +
        IF(AH57-Uzman_D!$F$20&lt;0, -(AH57-Uzman_D!$F$20), AH57-Uzman_D!$F$20)*0.1 +
        IF(AI57-Uzman_D!$G$20&lt;0, -(AI57-Uzman_D!$G$20), AI57-Uzman_D!$G$20)*0.1 +
        IF(AJ57-Uzman_D!$H$20&lt;0, -(AJ57-Uzman_D!$H$20), AJ57-Uzman_D!$H$20)*0.1 +
        IF(AK57-Uzman_D!$I$20&lt;0, -(AK57-Uzman_D!$I$20), AK57-Uzman_D!$I$20)*0.1 +
        IF(AL57-Uzman_D!$J$20&lt;0, -(AL57-Uzman_D!$J$20), AL57-Uzman_D!$J$20)*0.1
    ) +
    IF(ROUND((IF(AN57-Uzman_D!$L$20&lt;0, -(AN57-Uzman_D!$L$20), AN57-Uzman_D!$L$20)*2),0)/2 = IF(AN57-Uzman_D!$L$20&lt;0, -(AN57-Uzman_D!$L$20), AN57-Uzman_D!$L$20),
    (ROUND((IF(AN57-Uzman_D!$L$20&lt;0, -(AN57-Uzman_D!$L$20), AN57-Uzman_D!$L$20)*2),0)/1 * 0.1), 0) +
    IF(AO57-Uzman_D!$M$20&lt;0, -(AO57-Uzman_D!$M$20), AO57-Uzman_D!$M$20)*1
)</f>
        <v>-0.60000000000000009</v>
      </c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2"/>
      <c r="BB57" s="72"/>
      <c r="BC57" s="73">
        <f>1 - (
    SUM(
        IF(AQ57-Uzman_D!$B$21&lt;0, -(AQ57-Uzman_D!$B$21), AQ57-Uzman_D!$B$21)*0.1 +
        IF(AR57-Uzman_D!$C$21&lt;0, -(AR57-Uzman_D!$C$21), AR57-Uzman_D!$C$21)*0.1 +
        IF(AS57-Uzman_D!$D$21&lt;0, -(AS57-Uzman_D!$D$21), AS57-Uzman_D!$D$21)*0.1 +
        IF(AT57-Uzman_D!$E$21&lt;0, -(AT57-Uzman_D!$E$21), AT57-Uzman_D!$E$21)*0.1 +
        IF(AU57-Uzman_D!$F$21&lt;0, -(AU57-Uzman_D!$F$21), AU57-Uzman_D!$F$21)*0.1 +
        IF(AV57-Uzman_D!$G$21&lt;0, -(AV57-Uzman_D!$G$21), AV57-Uzman_D!$G$21)*0.1 +
        IF(AW57-Uzman_D!$H$21&lt;0, -(AW57-Uzman_D!$H$21), AW57-Uzman_D!$H$21)*0.1 +
        IF(AX57-Uzman_D!$I$21&lt;0, -(AX57-Uzman_D!$I$21), AX57-Uzman_D!$I$21)*0.1 +
        IF(AY57-Uzman_D!$J$21&lt;0, -(AY57-Uzman_D!$J$21), AY57-Uzman_D!$J$21)*0.1
    ) +
    IF(ROUND((IF(BA57-Uzman_D!$L$21&lt;0, -(BA57-Uzman_D!$L$21), BA57-Uzman_D!$L$21)*2),0)/2 = IF(BA57-Uzman_D!$L$21&lt;0, -(BA57-Uzman_D!$L$21), BA57-Uzman_D!$L$21),
    (ROUND((IF(BA57-Uzman_D!$L$21&lt;0, -(BA57-Uzman_D!$L$21), BA57-Uzman_D!$L$21)*2),0)/1 * 0.1), 0) +
    IF(BB57-Uzman_D!$M$21&lt;0, -(BB57-Uzman_D!$M$21), BB57-Uzman_D!$M$21)*1
)</f>
        <v>-0.60000000000000009</v>
      </c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2"/>
      <c r="BO57" s="72"/>
      <c r="BP57" s="73">
        <f>1 - (
    SUM(
        IF(BD57-Uzman_D!$B$22&lt;0, -(BD57-Uzman_D!$B$22), BD57-Uzman_D!$B$22)*0.1 +
        IF(BE57-Uzman_D!$C$22&lt;0, -(BE57-Uzman_D!$C$22), BE57-Uzman_D!$C$22)*0.1 +
        IF(BF57-Uzman_D!$D$22&lt;0, -(BF57-Uzman_D!$D$22), BF57-Uzman_D!$D$22)*0.1 +
        IF(BG57-Uzman_D!$E$22&lt;0, -(BG57-Uzman_D!$E$22), BG57-Uzman_D!$E$22)*0.1 +
        IF(BH57-Uzman_D!$F$22&lt;0, -(BH57-Uzman_D!$F$22), BH57-Uzman_D!$F$22)*0.1 +
        IF(BI57-Uzman_D!$G$22&lt;0, -(BI57-Uzman_D!$G$22), BI57-Uzman_D!$G$22)*0.1 +
        IF(BJ57-Uzman_D!$H$22&lt;0, -(BJ57-Uzman_D!$H$22), BJ57-Uzman_D!$H$22)*0.1 +
        IF(BK57-Uzman_D!$I$22&lt;0, -(BK57-Uzman_D!$I$22), BK57-Uzman_D!$I$22)*0.1 +
        IF(BL57-Uzman_D!$J$22&lt;0, -(BL57-Uzman_D!$J$22), BL57-Uzman_D!$J$22)*0.1
    ) +
    IF(ROUND((IF(BN57-Uzman_D!$L$22&lt;0, -(BN57-Uzman_D!$L$22), BN57-Uzman_D!$L$22)*2),0)/2 = IF(BN57-Uzman_D!$L$22&lt;0, -(BN57-Uzman_D!$L$22), BN57-Uzman_D!$L$22),
    (ROUND((IF(BN57-Uzman_D!$L$22&lt;0, -(BN57-Uzman_D!$L$22), BN57-Uzman_D!$L$22)*2),0)/1 * 0.1), 0) +
    IF(BO57-Uzman_D!$M$22&lt;0, -(BO57-Uzman_D!$M$22), BO57-Uzman_D!$M$22)*1
)</f>
        <v>-0.40000000000000013</v>
      </c>
      <c r="BQ57" s="74">
        <f t="shared" si="0"/>
        <v>-0.54000000000000026</v>
      </c>
    </row>
    <row r="58" spans="1:69" ht="15" customHeight="1" x14ac:dyDescent="0.2">
      <c r="A58" s="57">
        <v>55</v>
      </c>
      <c r="B58" s="37">
        <f>Hakemler!B58</f>
        <v>0</v>
      </c>
      <c r="C58" s="37">
        <f>Hakemler!C58</f>
        <v>0</v>
      </c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2"/>
      <c r="O58" s="72"/>
      <c r="P58" s="73">
        <f>1 - (
    SUM(
        IF(D58-Uzman_D!$B$18&lt;0, -(D58-Uzman_D!$B$18), D58-Uzman_D!$B$18)*0.1 +
        IF(E58-Uzman_D!$C$18&lt;0, -(E58-Uzman_D!$C$18), E58-Uzman_D!$C$18)*0.1 +
        IF(F58-Uzman_D!$D$18&lt;0, -(F58-Uzman_D!$D$18), F58-Uzman_D!$D$18)*0.1 +
        IF(G58-Uzman_D!$E$18&lt;0, -(G58-Uzman_D!$E$18), G58-Uzman_D!$E$18)*0.1 +
        IF(H58-Uzman_D!$F$18&lt;0, -(H58-Uzman_D!$F$18), H58-Uzman_D!$F$18)*0.1 +
        IF(I58-Uzman_D!$G$18&lt;0, -(I58-Uzman_D!$G$18), I58-Uzman_D!$G$18)*0.1 +
        IF(J58-Uzman_D!$H$18&lt;0, -(J58-Uzman_D!$H$18), J58-Uzman_D!$H$18)*0.1 +
        IF(K58-Uzman_D!$I$18&lt;0, -(K58-Uzman_D!$I$18), K58-Uzman_D!$I$18)*0.1 +
        IF(L58-Uzman_D!$J$18&lt;0, -(L58-Uzman_D!$J$18), L58-Uzman_D!$J$18)*0.1
    ) +
    IF(ROUND((IF(N58-Uzman_D!$L$18&lt;0, -(N58-Uzman_D!$L$18), N58-Uzman_D!$L$18)*2),0)/2 = IF(N58-Uzman_D!$L$18&lt;0, -(N58-Uzman_D!$L$18), N58-Uzman_D!$L$18),
    (ROUND((IF(N58-Uzman_D!$L$18&lt;0, -(N58-Uzman_D!$L$18), N58-Uzman_D!$L$18)*2),0)/1 * 0.1), 0) +
    IF(O58-Uzman_D!$M$18&lt;0, -(O58-Uzman_D!$M$18), O58-Uzman_D!$M$18)*1
)</f>
        <v>-0.50000000000000022</v>
      </c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2"/>
      <c r="AB58" s="72"/>
      <c r="AC58" s="73">
        <f>1 - (
    SUM(
        IF(Q58-Uzman_D!$B$19&lt;0, -(Q58-Uzman_D!$B$19), Q58-Uzman_D!$B$19)*0.1 +
        IF(R58-Uzman_D!$C$19&lt;0, -(R58-Uzman_D!$C$19), R58-Uzman_D!$C$19)*0.1 +
        IF(S58-Uzman_D!$D$19&lt;0, -(S58-Uzman_D!$D$19), S58-Uzman_D!$D$19)*0.1 +
        IF(T58-Uzman_D!$E$19&lt;0, -(T58-Uzman_D!$E$19), T58-Uzman_D!$E$19)*0.1 +
        IF(U58-Uzman_D!$F$19&lt;0, -(U58-Uzman_D!$F$19), U58-Uzman_D!$F$19)*0.1 +
        IF(V58-Uzman_D!$G$19&lt;0, -(V58-Uzman_D!$G$19), V58-Uzman_D!$G$19)*0.1 +
        IF(W58-Uzman_D!$H$19&lt;0, -(W58-Uzman_D!$H$19), W58-Uzman_D!$H$19)*0.1 +
        IF(X58-Uzman_D!$I$19&lt;0, -(X58-Uzman_D!$I$19), X58-Uzman_D!$I$19)*0.1 +
        IF(Y58-Uzman_D!$J$19&lt;0, -(Y58-Uzman_D!$J$19), Y58-Uzman_D!$J$19)*0.1
    ) +
    IF(ROUND((IF(AA58-Uzman_D!$L$19&lt;0, -(AA58-Uzman_D!$L$19), AA58-Uzman_D!$L$19)*2),0)/2 = IF(AA58-Uzman_D!$L$19&lt;0, -(AA58-Uzman_D!$L$19), AA58-Uzman_D!$L$19),
    (ROUND((IF(AA58-Uzman_D!$L$19&lt;0, -(AA58-Uzman_D!$L$19), AA58-Uzman_D!$L$19)*2),0)/1 * 0.1), 0) +
    IF(AB58-Uzman_D!$M$19&lt;0, -(AB58-Uzman_D!$M$19), AB58-Uzman_D!$M$19)*1
)</f>
        <v>-0.60000000000000009</v>
      </c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2"/>
      <c r="AO58" s="72"/>
      <c r="AP58" s="73">
        <f>1 - (
    SUM(
        IF(AD58-Uzman_D!$B$20&lt;0, -(AD58-Uzman_D!$B$20), AD58-Uzman_D!$B$20)*0.1 +
        IF(AE58-Uzman_D!$C$20&lt;0, -(AE58-Uzman_D!$C$20), AE58-Uzman_D!$C$20)*0.1 +
        IF(AF58-Uzman_D!$D$20&lt;0, -(AF58-Uzman_D!$D$20), AF58-Uzman_D!$D$20)*0.1 +
        IF(AG58-Uzman_D!$E$20&lt;0, -(AG58-Uzman_D!$E$20), AG58-Uzman_D!$E$20)*0.1 +
        IF(AH58-Uzman_D!$F$20&lt;0, -(AH58-Uzman_D!$F$20), AH58-Uzman_D!$F$20)*0.1 +
        IF(AI58-Uzman_D!$G$20&lt;0, -(AI58-Uzman_D!$G$20), AI58-Uzman_D!$G$20)*0.1 +
        IF(AJ58-Uzman_D!$H$20&lt;0, -(AJ58-Uzman_D!$H$20), AJ58-Uzman_D!$H$20)*0.1 +
        IF(AK58-Uzman_D!$I$20&lt;0, -(AK58-Uzman_D!$I$20), AK58-Uzman_D!$I$20)*0.1 +
        IF(AL58-Uzman_D!$J$20&lt;0, -(AL58-Uzman_D!$J$20), AL58-Uzman_D!$J$20)*0.1
    ) +
    IF(ROUND((IF(AN58-Uzman_D!$L$20&lt;0, -(AN58-Uzman_D!$L$20), AN58-Uzman_D!$L$20)*2),0)/2 = IF(AN58-Uzman_D!$L$20&lt;0, -(AN58-Uzman_D!$L$20), AN58-Uzman_D!$L$20),
    (ROUND((IF(AN58-Uzman_D!$L$20&lt;0, -(AN58-Uzman_D!$L$20), AN58-Uzman_D!$L$20)*2),0)/1 * 0.1), 0) +
    IF(AO58-Uzman_D!$M$20&lt;0, -(AO58-Uzman_D!$M$20), AO58-Uzman_D!$M$20)*1
)</f>
        <v>-0.60000000000000009</v>
      </c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2"/>
      <c r="BB58" s="72"/>
      <c r="BC58" s="73">
        <f>1 - (
    SUM(
        IF(AQ58-Uzman_D!$B$21&lt;0, -(AQ58-Uzman_D!$B$21), AQ58-Uzman_D!$B$21)*0.1 +
        IF(AR58-Uzman_D!$C$21&lt;0, -(AR58-Uzman_D!$C$21), AR58-Uzman_D!$C$21)*0.1 +
        IF(AS58-Uzman_D!$D$21&lt;0, -(AS58-Uzman_D!$D$21), AS58-Uzman_D!$D$21)*0.1 +
        IF(AT58-Uzman_D!$E$21&lt;0, -(AT58-Uzman_D!$E$21), AT58-Uzman_D!$E$21)*0.1 +
        IF(AU58-Uzman_D!$F$21&lt;0, -(AU58-Uzman_D!$F$21), AU58-Uzman_D!$F$21)*0.1 +
        IF(AV58-Uzman_D!$G$21&lt;0, -(AV58-Uzman_D!$G$21), AV58-Uzman_D!$G$21)*0.1 +
        IF(AW58-Uzman_D!$H$21&lt;0, -(AW58-Uzman_D!$H$21), AW58-Uzman_D!$H$21)*0.1 +
        IF(AX58-Uzman_D!$I$21&lt;0, -(AX58-Uzman_D!$I$21), AX58-Uzman_D!$I$21)*0.1 +
        IF(AY58-Uzman_D!$J$21&lt;0, -(AY58-Uzman_D!$J$21), AY58-Uzman_D!$J$21)*0.1
    ) +
    IF(ROUND((IF(BA58-Uzman_D!$L$21&lt;0, -(BA58-Uzman_D!$L$21), BA58-Uzman_D!$L$21)*2),0)/2 = IF(BA58-Uzman_D!$L$21&lt;0, -(BA58-Uzman_D!$L$21), BA58-Uzman_D!$L$21),
    (ROUND((IF(BA58-Uzman_D!$L$21&lt;0, -(BA58-Uzman_D!$L$21), BA58-Uzman_D!$L$21)*2),0)/1 * 0.1), 0) +
    IF(BB58-Uzman_D!$M$21&lt;0, -(BB58-Uzman_D!$M$21), BB58-Uzman_D!$M$21)*1
)</f>
        <v>-0.60000000000000009</v>
      </c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2"/>
      <c r="BO58" s="72"/>
      <c r="BP58" s="73">
        <f>1 - (
    SUM(
        IF(BD58-Uzman_D!$B$22&lt;0, -(BD58-Uzman_D!$B$22), BD58-Uzman_D!$B$22)*0.1 +
        IF(BE58-Uzman_D!$C$22&lt;0, -(BE58-Uzman_D!$C$22), BE58-Uzman_D!$C$22)*0.1 +
        IF(BF58-Uzman_D!$D$22&lt;0, -(BF58-Uzman_D!$D$22), BF58-Uzman_D!$D$22)*0.1 +
        IF(BG58-Uzman_D!$E$22&lt;0, -(BG58-Uzman_D!$E$22), BG58-Uzman_D!$E$22)*0.1 +
        IF(BH58-Uzman_D!$F$22&lt;0, -(BH58-Uzman_D!$F$22), BH58-Uzman_D!$F$22)*0.1 +
        IF(BI58-Uzman_D!$G$22&lt;0, -(BI58-Uzman_D!$G$22), BI58-Uzman_D!$G$22)*0.1 +
        IF(BJ58-Uzman_D!$H$22&lt;0, -(BJ58-Uzman_D!$H$22), BJ58-Uzman_D!$H$22)*0.1 +
        IF(BK58-Uzman_D!$I$22&lt;0, -(BK58-Uzman_D!$I$22), BK58-Uzman_D!$I$22)*0.1 +
        IF(BL58-Uzman_D!$J$22&lt;0, -(BL58-Uzman_D!$J$22), BL58-Uzman_D!$J$22)*0.1
    ) +
    IF(ROUND((IF(BN58-Uzman_D!$L$22&lt;0, -(BN58-Uzman_D!$L$22), BN58-Uzman_D!$L$22)*2),0)/2 = IF(BN58-Uzman_D!$L$22&lt;0, -(BN58-Uzman_D!$L$22), BN58-Uzman_D!$L$22),
    (ROUND((IF(BN58-Uzman_D!$L$22&lt;0, -(BN58-Uzman_D!$L$22), BN58-Uzman_D!$L$22)*2),0)/1 * 0.1), 0) +
    IF(BO58-Uzman_D!$M$22&lt;0, -(BO58-Uzman_D!$M$22), BO58-Uzman_D!$M$22)*1
)</f>
        <v>-0.40000000000000013</v>
      </c>
      <c r="BQ58" s="74">
        <f t="shared" si="0"/>
        <v>-0.54000000000000026</v>
      </c>
    </row>
    <row r="59" spans="1:69" ht="15" customHeight="1" x14ac:dyDescent="0.2">
      <c r="A59" s="57">
        <v>56</v>
      </c>
      <c r="B59" s="29">
        <f>Hakemler!B59</f>
        <v>0</v>
      </c>
      <c r="C59" s="29">
        <f>Hakemler!C59</f>
        <v>0</v>
      </c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2"/>
      <c r="O59" s="72"/>
      <c r="P59" s="73">
        <f>1 - (
    SUM(
        IF(D59-Uzman_D!$B$18&lt;0, -(D59-Uzman_D!$B$18), D59-Uzman_D!$B$18)*0.1 +
        IF(E59-Uzman_D!$C$18&lt;0, -(E59-Uzman_D!$C$18), E59-Uzman_D!$C$18)*0.1 +
        IF(F59-Uzman_D!$D$18&lt;0, -(F59-Uzman_D!$D$18), F59-Uzman_D!$D$18)*0.1 +
        IF(G59-Uzman_D!$E$18&lt;0, -(G59-Uzman_D!$E$18), G59-Uzman_D!$E$18)*0.1 +
        IF(H59-Uzman_D!$F$18&lt;0, -(H59-Uzman_D!$F$18), H59-Uzman_D!$F$18)*0.1 +
        IF(I59-Uzman_D!$G$18&lt;0, -(I59-Uzman_D!$G$18), I59-Uzman_D!$G$18)*0.1 +
        IF(J59-Uzman_D!$H$18&lt;0, -(J59-Uzman_D!$H$18), J59-Uzman_D!$H$18)*0.1 +
        IF(K59-Uzman_D!$I$18&lt;0, -(K59-Uzman_D!$I$18), K59-Uzman_D!$I$18)*0.1 +
        IF(L59-Uzman_D!$J$18&lt;0, -(L59-Uzman_D!$J$18), L59-Uzman_D!$J$18)*0.1
    ) +
    IF(ROUND((IF(N59-Uzman_D!$L$18&lt;0, -(N59-Uzman_D!$L$18), N59-Uzman_D!$L$18)*2),0)/2 = IF(N59-Uzman_D!$L$18&lt;0, -(N59-Uzman_D!$L$18), N59-Uzman_D!$L$18),
    (ROUND((IF(N59-Uzman_D!$L$18&lt;0, -(N59-Uzman_D!$L$18), N59-Uzman_D!$L$18)*2),0)/1 * 0.1), 0) +
    IF(O59-Uzman_D!$M$18&lt;0, -(O59-Uzman_D!$M$18), O59-Uzman_D!$M$18)*1
)</f>
        <v>-0.50000000000000022</v>
      </c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2"/>
      <c r="AB59" s="72"/>
      <c r="AC59" s="73">
        <f>1 - (
    SUM(
        IF(Q59-Uzman_D!$B$19&lt;0, -(Q59-Uzman_D!$B$19), Q59-Uzman_D!$B$19)*0.1 +
        IF(R59-Uzman_D!$C$19&lt;0, -(R59-Uzman_D!$C$19), R59-Uzman_D!$C$19)*0.1 +
        IF(S59-Uzman_D!$D$19&lt;0, -(S59-Uzman_D!$D$19), S59-Uzman_D!$D$19)*0.1 +
        IF(T59-Uzman_D!$E$19&lt;0, -(T59-Uzman_D!$E$19), T59-Uzman_D!$E$19)*0.1 +
        IF(U59-Uzman_D!$F$19&lt;0, -(U59-Uzman_D!$F$19), U59-Uzman_D!$F$19)*0.1 +
        IF(V59-Uzman_D!$G$19&lt;0, -(V59-Uzman_D!$G$19), V59-Uzman_D!$G$19)*0.1 +
        IF(W59-Uzman_D!$H$19&lt;0, -(W59-Uzman_D!$H$19), W59-Uzman_D!$H$19)*0.1 +
        IF(X59-Uzman_D!$I$19&lt;0, -(X59-Uzman_D!$I$19), X59-Uzman_D!$I$19)*0.1 +
        IF(Y59-Uzman_D!$J$19&lt;0, -(Y59-Uzman_D!$J$19), Y59-Uzman_D!$J$19)*0.1
    ) +
    IF(ROUND((IF(AA59-Uzman_D!$L$19&lt;0, -(AA59-Uzman_D!$L$19), AA59-Uzman_D!$L$19)*2),0)/2 = IF(AA59-Uzman_D!$L$19&lt;0, -(AA59-Uzman_D!$L$19), AA59-Uzman_D!$L$19),
    (ROUND((IF(AA59-Uzman_D!$L$19&lt;0, -(AA59-Uzman_D!$L$19), AA59-Uzman_D!$L$19)*2),0)/1 * 0.1), 0) +
    IF(AB59-Uzman_D!$M$19&lt;0, -(AB59-Uzman_D!$M$19), AB59-Uzman_D!$M$19)*1
)</f>
        <v>-0.60000000000000009</v>
      </c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2"/>
      <c r="AO59" s="72"/>
      <c r="AP59" s="73">
        <f>1 - (
    SUM(
        IF(AD59-Uzman_D!$B$20&lt;0, -(AD59-Uzman_D!$B$20), AD59-Uzman_D!$B$20)*0.1 +
        IF(AE59-Uzman_D!$C$20&lt;0, -(AE59-Uzman_D!$C$20), AE59-Uzman_D!$C$20)*0.1 +
        IF(AF59-Uzman_D!$D$20&lt;0, -(AF59-Uzman_D!$D$20), AF59-Uzman_D!$D$20)*0.1 +
        IF(AG59-Uzman_D!$E$20&lt;0, -(AG59-Uzman_D!$E$20), AG59-Uzman_D!$E$20)*0.1 +
        IF(AH59-Uzman_D!$F$20&lt;0, -(AH59-Uzman_D!$F$20), AH59-Uzman_D!$F$20)*0.1 +
        IF(AI59-Uzman_D!$G$20&lt;0, -(AI59-Uzman_D!$G$20), AI59-Uzman_D!$G$20)*0.1 +
        IF(AJ59-Uzman_D!$H$20&lt;0, -(AJ59-Uzman_D!$H$20), AJ59-Uzman_D!$H$20)*0.1 +
        IF(AK59-Uzman_D!$I$20&lt;0, -(AK59-Uzman_D!$I$20), AK59-Uzman_D!$I$20)*0.1 +
        IF(AL59-Uzman_D!$J$20&lt;0, -(AL59-Uzman_D!$J$20), AL59-Uzman_D!$J$20)*0.1
    ) +
    IF(ROUND((IF(AN59-Uzman_D!$L$20&lt;0, -(AN59-Uzman_D!$L$20), AN59-Uzman_D!$L$20)*2),0)/2 = IF(AN59-Uzman_D!$L$20&lt;0, -(AN59-Uzman_D!$L$20), AN59-Uzman_D!$L$20),
    (ROUND((IF(AN59-Uzman_D!$L$20&lt;0, -(AN59-Uzman_D!$L$20), AN59-Uzman_D!$L$20)*2),0)/1 * 0.1), 0) +
    IF(AO59-Uzman_D!$M$20&lt;0, -(AO59-Uzman_D!$M$20), AO59-Uzman_D!$M$20)*1
)</f>
        <v>-0.60000000000000009</v>
      </c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2"/>
      <c r="BB59" s="72"/>
      <c r="BC59" s="73">
        <f>1 - (
    SUM(
        IF(AQ59-Uzman_D!$B$21&lt;0, -(AQ59-Uzman_D!$B$21), AQ59-Uzman_D!$B$21)*0.1 +
        IF(AR59-Uzman_D!$C$21&lt;0, -(AR59-Uzman_D!$C$21), AR59-Uzman_D!$C$21)*0.1 +
        IF(AS59-Uzman_D!$D$21&lt;0, -(AS59-Uzman_D!$D$21), AS59-Uzman_D!$D$21)*0.1 +
        IF(AT59-Uzman_D!$E$21&lt;0, -(AT59-Uzman_D!$E$21), AT59-Uzman_D!$E$21)*0.1 +
        IF(AU59-Uzman_D!$F$21&lt;0, -(AU59-Uzman_D!$F$21), AU59-Uzman_D!$F$21)*0.1 +
        IF(AV59-Uzman_D!$G$21&lt;0, -(AV59-Uzman_D!$G$21), AV59-Uzman_D!$G$21)*0.1 +
        IF(AW59-Uzman_D!$H$21&lt;0, -(AW59-Uzman_D!$H$21), AW59-Uzman_D!$H$21)*0.1 +
        IF(AX59-Uzman_D!$I$21&lt;0, -(AX59-Uzman_D!$I$21), AX59-Uzman_D!$I$21)*0.1 +
        IF(AY59-Uzman_D!$J$21&lt;0, -(AY59-Uzman_D!$J$21), AY59-Uzman_D!$J$21)*0.1
    ) +
    IF(ROUND((IF(BA59-Uzman_D!$L$21&lt;0, -(BA59-Uzman_D!$L$21), BA59-Uzman_D!$L$21)*2),0)/2 = IF(BA59-Uzman_D!$L$21&lt;0, -(BA59-Uzman_D!$L$21), BA59-Uzman_D!$L$21),
    (ROUND((IF(BA59-Uzman_D!$L$21&lt;0, -(BA59-Uzman_D!$L$21), BA59-Uzman_D!$L$21)*2),0)/1 * 0.1), 0) +
    IF(BB59-Uzman_D!$M$21&lt;0, -(BB59-Uzman_D!$M$21), BB59-Uzman_D!$M$21)*1
)</f>
        <v>-0.60000000000000009</v>
      </c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2"/>
      <c r="BO59" s="72"/>
      <c r="BP59" s="73">
        <f>1 - (
    SUM(
        IF(BD59-Uzman_D!$B$22&lt;0, -(BD59-Uzman_D!$B$22), BD59-Uzman_D!$B$22)*0.1 +
        IF(BE59-Uzman_D!$C$22&lt;0, -(BE59-Uzman_D!$C$22), BE59-Uzman_D!$C$22)*0.1 +
        IF(BF59-Uzman_D!$D$22&lt;0, -(BF59-Uzman_D!$D$22), BF59-Uzman_D!$D$22)*0.1 +
        IF(BG59-Uzman_D!$E$22&lt;0, -(BG59-Uzman_D!$E$22), BG59-Uzman_D!$E$22)*0.1 +
        IF(BH59-Uzman_D!$F$22&lt;0, -(BH59-Uzman_D!$F$22), BH59-Uzman_D!$F$22)*0.1 +
        IF(BI59-Uzman_D!$G$22&lt;0, -(BI59-Uzman_D!$G$22), BI59-Uzman_D!$G$22)*0.1 +
        IF(BJ59-Uzman_D!$H$22&lt;0, -(BJ59-Uzman_D!$H$22), BJ59-Uzman_D!$H$22)*0.1 +
        IF(BK59-Uzman_D!$I$22&lt;0, -(BK59-Uzman_D!$I$22), BK59-Uzman_D!$I$22)*0.1 +
        IF(BL59-Uzman_D!$J$22&lt;0, -(BL59-Uzman_D!$J$22), BL59-Uzman_D!$J$22)*0.1
    ) +
    IF(ROUND((IF(BN59-Uzman_D!$L$22&lt;0, -(BN59-Uzman_D!$L$22), BN59-Uzman_D!$L$22)*2),0)/2 = IF(BN59-Uzman_D!$L$22&lt;0, -(BN59-Uzman_D!$L$22), BN59-Uzman_D!$L$22),
    (ROUND((IF(BN59-Uzman_D!$L$22&lt;0, -(BN59-Uzman_D!$L$22), BN59-Uzman_D!$L$22)*2),0)/1 * 0.1), 0) +
    IF(BO59-Uzman_D!$M$22&lt;0, -(BO59-Uzman_D!$M$22), BO59-Uzman_D!$M$22)*1
)</f>
        <v>-0.40000000000000013</v>
      </c>
      <c r="BQ59" s="74">
        <f t="shared" si="0"/>
        <v>-0.54000000000000026</v>
      </c>
    </row>
    <row r="60" spans="1:69" ht="15" customHeight="1" x14ac:dyDescent="0.2">
      <c r="A60" s="57">
        <v>57</v>
      </c>
      <c r="B60" s="37">
        <f>Hakemler!B60</f>
        <v>0</v>
      </c>
      <c r="C60" s="37">
        <f>Hakemler!C60</f>
        <v>0</v>
      </c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2"/>
      <c r="O60" s="72"/>
      <c r="P60" s="73">
        <f>1 - (
    SUM(
        IF(D60-Uzman_D!$B$18&lt;0, -(D60-Uzman_D!$B$18), D60-Uzman_D!$B$18)*0.1 +
        IF(E60-Uzman_D!$C$18&lt;0, -(E60-Uzman_D!$C$18), E60-Uzman_D!$C$18)*0.1 +
        IF(F60-Uzman_D!$D$18&lt;0, -(F60-Uzman_D!$D$18), F60-Uzman_D!$D$18)*0.1 +
        IF(G60-Uzman_D!$E$18&lt;0, -(G60-Uzman_D!$E$18), G60-Uzman_D!$E$18)*0.1 +
        IF(H60-Uzman_D!$F$18&lt;0, -(H60-Uzman_D!$F$18), H60-Uzman_D!$F$18)*0.1 +
        IF(I60-Uzman_D!$G$18&lt;0, -(I60-Uzman_D!$G$18), I60-Uzman_D!$G$18)*0.1 +
        IF(J60-Uzman_D!$H$18&lt;0, -(J60-Uzman_D!$H$18), J60-Uzman_D!$H$18)*0.1 +
        IF(K60-Uzman_D!$I$18&lt;0, -(K60-Uzman_D!$I$18), K60-Uzman_D!$I$18)*0.1 +
        IF(L60-Uzman_D!$J$18&lt;0, -(L60-Uzman_D!$J$18), L60-Uzman_D!$J$18)*0.1
    ) +
    IF(ROUND((IF(N60-Uzman_D!$L$18&lt;0, -(N60-Uzman_D!$L$18), N60-Uzman_D!$L$18)*2),0)/2 = IF(N60-Uzman_D!$L$18&lt;0, -(N60-Uzman_D!$L$18), N60-Uzman_D!$L$18),
    (ROUND((IF(N60-Uzman_D!$L$18&lt;0, -(N60-Uzman_D!$L$18), N60-Uzman_D!$L$18)*2),0)/1 * 0.1), 0) +
    IF(O60-Uzman_D!$M$18&lt;0, -(O60-Uzman_D!$M$18), O60-Uzman_D!$M$18)*1
)</f>
        <v>-0.50000000000000022</v>
      </c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2"/>
      <c r="AB60" s="72"/>
      <c r="AC60" s="73">
        <f>1 - (
    SUM(
        IF(Q60-Uzman_D!$B$19&lt;0, -(Q60-Uzman_D!$B$19), Q60-Uzman_D!$B$19)*0.1 +
        IF(R60-Uzman_D!$C$19&lt;0, -(R60-Uzman_D!$C$19), R60-Uzman_D!$C$19)*0.1 +
        IF(S60-Uzman_D!$D$19&lt;0, -(S60-Uzman_D!$D$19), S60-Uzman_D!$D$19)*0.1 +
        IF(T60-Uzman_D!$E$19&lt;0, -(T60-Uzman_D!$E$19), T60-Uzman_D!$E$19)*0.1 +
        IF(U60-Uzman_D!$F$19&lt;0, -(U60-Uzman_D!$F$19), U60-Uzman_D!$F$19)*0.1 +
        IF(V60-Uzman_D!$G$19&lt;0, -(V60-Uzman_D!$G$19), V60-Uzman_D!$G$19)*0.1 +
        IF(W60-Uzman_D!$H$19&lt;0, -(W60-Uzman_D!$H$19), W60-Uzman_D!$H$19)*0.1 +
        IF(X60-Uzman_D!$I$19&lt;0, -(X60-Uzman_D!$I$19), X60-Uzman_D!$I$19)*0.1 +
        IF(Y60-Uzman_D!$J$19&lt;0, -(Y60-Uzman_D!$J$19), Y60-Uzman_D!$J$19)*0.1
    ) +
    IF(ROUND((IF(AA60-Uzman_D!$L$19&lt;0, -(AA60-Uzman_D!$L$19), AA60-Uzman_D!$L$19)*2),0)/2 = IF(AA60-Uzman_D!$L$19&lt;0, -(AA60-Uzman_D!$L$19), AA60-Uzman_D!$L$19),
    (ROUND((IF(AA60-Uzman_D!$L$19&lt;0, -(AA60-Uzman_D!$L$19), AA60-Uzman_D!$L$19)*2),0)/1 * 0.1), 0) +
    IF(AB60-Uzman_D!$M$19&lt;0, -(AB60-Uzman_D!$M$19), AB60-Uzman_D!$M$19)*1
)</f>
        <v>-0.60000000000000009</v>
      </c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2"/>
      <c r="AO60" s="72"/>
      <c r="AP60" s="73">
        <f>1 - (
    SUM(
        IF(AD60-Uzman_D!$B$20&lt;0, -(AD60-Uzman_D!$B$20), AD60-Uzman_D!$B$20)*0.1 +
        IF(AE60-Uzman_D!$C$20&lt;0, -(AE60-Uzman_D!$C$20), AE60-Uzman_D!$C$20)*0.1 +
        IF(AF60-Uzman_D!$D$20&lt;0, -(AF60-Uzman_D!$D$20), AF60-Uzman_D!$D$20)*0.1 +
        IF(AG60-Uzman_D!$E$20&lt;0, -(AG60-Uzman_D!$E$20), AG60-Uzman_D!$E$20)*0.1 +
        IF(AH60-Uzman_D!$F$20&lt;0, -(AH60-Uzman_D!$F$20), AH60-Uzman_D!$F$20)*0.1 +
        IF(AI60-Uzman_D!$G$20&lt;0, -(AI60-Uzman_D!$G$20), AI60-Uzman_D!$G$20)*0.1 +
        IF(AJ60-Uzman_D!$H$20&lt;0, -(AJ60-Uzman_D!$H$20), AJ60-Uzman_D!$H$20)*0.1 +
        IF(AK60-Uzman_D!$I$20&lt;0, -(AK60-Uzman_D!$I$20), AK60-Uzman_D!$I$20)*0.1 +
        IF(AL60-Uzman_D!$J$20&lt;0, -(AL60-Uzman_D!$J$20), AL60-Uzman_D!$J$20)*0.1
    ) +
    IF(ROUND((IF(AN60-Uzman_D!$L$20&lt;0, -(AN60-Uzman_D!$L$20), AN60-Uzman_D!$L$20)*2),0)/2 = IF(AN60-Uzman_D!$L$20&lt;0, -(AN60-Uzman_D!$L$20), AN60-Uzman_D!$L$20),
    (ROUND((IF(AN60-Uzman_D!$L$20&lt;0, -(AN60-Uzman_D!$L$20), AN60-Uzman_D!$L$20)*2),0)/1 * 0.1), 0) +
    IF(AO60-Uzman_D!$M$20&lt;0, -(AO60-Uzman_D!$M$20), AO60-Uzman_D!$M$20)*1
)</f>
        <v>-0.60000000000000009</v>
      </c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2"/>
      <c r="BB60" s="72"/>
      <c r="BC60" s="73">
        <f>1 - (
    SUM(
        IF(AQ60-Uzman_D!$B$21&lt;0, -(AQ60-Uzman_D!$B$21), AQ60-Uzman_D!$B$21)*0.1 +
        IF(AR60-Uzman_D!$C$21&lt;0, -(AR60-Uzman_D!$C$21), AR60-Uzman_D!$C$21)*0.1 +
        IF(AS60-Uzman_D!$D$21&lt;0, -(AS60-Uzman_D!$D$21), AS60-Uzman_D!$D$21)*0.1 +
        IF(AT60-Uzman_D!$E$21&lt;0, -(AT60-Uzman_D!$E$21), AT60-Uzman_D!$E$21)*0.1 +
        IF(AU60-Uzman_D!$F$21&lt;0, -(AU60-Uzman_D!$F$21), AU60-Uzman_D!$F$21)*0.1 +
        IF(AV60-Uzman_D!$G$21&lt;0, -(AV60-Uzman_D!$G$21), AV60-Uzman_D!$G$21)*0.1 +
        IF(AW60-Uzman_D!$H$21&lt;0, -(AW60-Uzman_D!$H$21), AW60-Uzman_D!$H$21)*0.1 +
        IF(AX60-Uzman_D!$I$21&lt;0, -(AX60-Uzman_D!$I$21), AX60-Uzman_D!$I$21)*0.1 +
        IF(AY60-Uzman_D!$J$21&lt;0, -(AY60-Uzman_D!$J$21), AY60-Uzman_D!$J$21)*0.1
    ) +
    IF(ROUND((IF(BA60-Uzman_D!$L$21&lt;0, -(BA60-Uzman_D!$L$21), BA60-Uzman_D!$L$21)*2),0)/2 = IF(BA60-Uzman_D!$L$21&lt;0, -(BA60-Uzman_D!$L$21), BA60-Uzman_D!$L$21),
    (ROUND((IF(BA60-Uzman_D!$L$21&lt;0, -(BA60-Uzman_D!$L$21), BA60-Uzman_D!$L$21)*2),0)/1 * 0.1), 0) +
    IF(BB60-Uzman_D!$M$21&lt;0, -(BB60-Uzman_D!$M$21), BB60-Uzman_D!$M$21)*1
)</f>
        <v>-0.60000000000000009</v>
      </c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2"/>
      <c r="BO60" s="72"/>
      <c r="BP60" s="73">
        <f>1 - (
    SUM(
        IF(BD60-Uzman_D!$B$22&lt;0, -(BD60-Uzman_D!$B$22), BD60-Uzman_D!$B$22)*0.1 +
        IF(BE60-Uzman_D!$C$22&lt;0, -(BE60-Uzman_D!$C$22), BE60-Uzman_D!$C$22)*0.1 +
        IF(BF60-Uzman_D!$D$22&lt;0, -(BF60-Uzman_D!$D$22), BF60-Uzman_D!$D$22)*0.1 +
        IF(BG60-Uzman_D!$E$22&lt;0, -(BG60-Uzman_D!$E$22), BG60-Uzman_D!$E$22)*0.1 +
        IF(BH60-Uzman_D!$F$22&lt;0, -(BH60-Uzman_D!$F$22), BH60-Uzman_D!$F$22)*0.1 +
        IF(BI60-Uzman_D!$G$22&lt;0, -(BI60-Uzman_D!$G$22), BI60-Uzman_D!$G$22)*0.1 +
        IF(BJ60-Uzman_D!$H$22&lt;0, -(BJ60-Uzman_D!$H$22), BJ60-Uzman_D!$H$22)*0.1 +
        IF(BK60-Uzman_D!$I$22&lt;0, -(BK60-Uzman_D!$I$22), BK60-Uzman_D!$I$22)*0.1 +
        IF(BL60-Uzman_D!$J$22&lt;0, -(BL60-Uzman_D!$J$22), BL60-Uzman_D!$J$22)*0.1
    ) +
    IF(ROUND((IF(BN60-Uzman_D!$L$22&lt;0, -(BN60-Uzman_D!$L$22), BN60-Uzman_D!$L$22)*2),0)/2 = IF(BN60-Uzman_D!$L$22&lt;0, -(BN60-Uzman_D!$L$22), BN60-Uzman_D!$L$22),
    (ROUND((IF(BN60-Uzman_D!$L$22&lt;0, -(BN60-Uzman_D!$L$22), BN60-Uzman_D!$L$22)*2),0)/1 * 0.1), 0) +
    IF(BO60-Uzman_D!$M$22&lt;0, -(BO60-Uzman_D!$M$22), BO60-Uzman_D!$M$22)*1
)</f>
        <v>-0.40000000000000013</v>
      </c>
      <c r="BQ60" s="74">
        <f t="shared" si="0"/>
        <v>-0.54000000000000026</v>
      </c>
    </row>
    <row r="61" spans="1:69" ht="15" customHeight="1" x14ac:dyDescent="0.2">
      <c r="A61" s="57">
        <v>58</v>
      </c>
      <c r="B61" s="29">
        <f>Hakemler!B61</f>
        <v>0</v>
      </c>
      <c r="C61" s="29">
        <f>Hakemler!C61</f>
        <v>0</v>
      </c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2"/>
      <c r="O61" s="72"/>
      <c r="P61" s="73">
        <f>1 - (
    SUM(
        IF(D61-Uzman_D!$B$18&lt;0, -(D61-Uzman_D!$B$18), D61-Uzman_D!$B$18)*0.1 +
        IF(E61-Uzman_D!$C$18&lt;0, -(E61-Uzman_D!$C$18), E61-Uzman_D!$C$18)*0.1 +
        IF(F61-Uzman_D!$D$18&lt;0, -(F61-Uzman_D!$D$18), F61-Uzman_D!$D$18)*0.1 +
        IF(G61-Uzman_D!$E$18&lt;0, -(G61-Uzman_D!$E$18), G61-Uzman_D!$E$18)*0.1 +
        IF(H61-Uzman_D!$F$18&lt;0, -(H61-Uzman_D!$F$18), H61-Uzman_D!$F$18)*0.1 +
        IF(I61-Uzman_D!$G$18&lt;0, -(I61-Uzman_D!$G$18), I61-Uzman_D!$G$18)*0.1 +
        IF(J61-Uzman_D!$H$18&lt;0, -(J61-Uzman_D!$H$18), J61-Uzman_D!$H$18)*0.1 +
        IF(K61-Uzman_D!$I$18&lt;0, -(K61-Uzman_D!$I$18), K61-Uzman_D!$I$18)*0.1 +
        IF(L61-Uzman_D!$J$18&lt;0, -(L61-Uzman_D!$J$18), L61-Uzman_D!$J$18)*0.1
    ) +
    IF(ROUND((IF(N61-Uzman_D!$L$18&lt;0, -(N61-Uzman_D!$L$18), N61-Uzman_D!$L$18)*2),0)/2 = IF(N61-Uzman_D!$L$18&lt;0, -(N61-Uzman_D!$L$18), N61-Uzman_D!$L$18),
    (ROUND((IF(N61-Uzman_D!$L$18&lt;0, -(N61-Uzman_D!$L$18), N61-Uzman_D!$L$18)*2),0)/1 * 0.1), 0) +
    IF(O61-Uzman_D!$M$18&lt;0, -(O61-Uzman_D!$M$18), O61-Uzman_D!$M$18)*1
)</f>
        <v>-0.50000000000000022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2"/>
      <c r="AB61" s="72"/>
      <c r="AC61" s="73">
        <f>1 - (
    SUM(
        IF(Q61-Uzman_D!$B$19&lt;0, -(Q61-Uzman_D!$B$19), Q61-Uzman_D!$B$19)*0.1 +
        IF(R61-Uzman_D!$C$19&lt;0, -(R61-Uzman_D!$C$19), R61-Uzman_D!$C$19)*0.1 +
        IF(S61-Uzman_D!$D$19&lt;0, -(S61-Uzman_D!$D$19), S61-Uzman_D!$D$19)*0.1 +
        IF(T61-Uzman_D!$E$19&lt;0, -(T61-Uzman_D!$E$19), T61-Uzman_D!$E$19)*0.1 +
        IF(U61-Uzman_D!$F$19&lt;0, -(U61-Uzman_D!$F$19), U61-Uzman_D!$F$19)*0.1 +
        IF(V61-Uzman_D!$G$19&lt;0, -(V61-Uzman_D!$G$19), V61-Uzman_D!$G$19)*0.1 +
        IF(W61-Uzman_D!$H$19&lt;0, -(W61-Uzman_D!$H$19), W61-Uzman_D!$H$19)*0.1 +
        IF(X61-Uzman_D!$I$19&lt;0, -(X61-Uzman_D!$I$19), X61-Uzman_D!$I$19)*0.1 +
        IF(Y61-Uzman_D!$J$19&lt;0, -(Y61-Uzman_D!$J$19), Y61-Uzman_D!$J$19)*0.1
    ) +
    IF(ROUND((IF(AA61-Uzman_D!$L$19&lt;0, -(AA61-Uzman_D!$L$19), AA61-Uzman_D!$L$19)*2),0)/2 = IF(AA61-Uzman_D!$L$19&lt;0, -(AA61-Uzman_D!$L$19), AA61-Uzman_D!$L$19),
    (ROUND((IF(AA61-Uzman_D!$L$19&lt;0, -(AA61-Uzman_D!$L$19), AA61-Uzman_D!$L$19)*2),0)/1 * 0.1), 0) +
    IF(AB61-Uzman_D!$M$19&lt;0, -(AB61-Uzman_D!$M$19), AB61-Uzman_D!$M$19)*1
)</f>
        <v>-0.60000000000000009</v>
      </c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2"/>
      <c r="AO61" s="72"/>
      <c r="AP61" s="73">
        <f>1 - (
    SUM(
        IF(AD61-Uzman_D!$B$20&lt;0, -(AD61-Uzman_D!$B$20), AD61-Uzman_D!$B$20)*0.1 +
        IF(AE61-Uzman_D!$C$20&lt;0, -(AE61-Uzman_D!$C$20), AE61-Uzman_D!$C$20)*0.1 +
        IF(AF61-Uzman_D!$D$20&lt;0, -(AF61-Uzman_D!$D$20), AF61-Uzman_D!$D$20)*0.1 +
        IF(AG61-Uzman_D!$E$20&lt;0, -(AG61-Uzman_D!$E$20), AG61-Uzman_D!$E$20)*0.1 +
        IF(AH61-Uzman_D!$F$20&lt;0, -(AH61-Uzman_D!$F$20), AH61-Uzman_D!$F$20)*0.1 +
        IF(AI61-Uzman_D!$G$20&lt;0, -(AI61-Uzman_D!$G$20), AI61-Uzman_D!$G$20)*0.1 +
        IF(AJ61-Uzman_D!$H$20&lt;0, -(AJ61-Uzman_D!$H$20), AJ61-Uzman_D!$H$20)*0.1 +
        IF(AK61-Uzman_D!$I$20&lt;0, -(AK61-Uzman_D!$I$20), AK61-Uzman_D!$I$20)*0.1 +
        IF(AL61-Uzman_D!$J$20&lt;0, -(AL61-Uzman_D!$J$20), AL61-Uzman_D!$J$20)*0.1
    ) +
    IF(ROUND((IF(AN61-Uzman_D!$L$20&lt;0, -(AN61-Uzman_D!$L$20), AN61-Uzman_D!$L$20)*2),0)/2 = IF(AN61-Uzman_D!$L$20&lt;0, -(AN61-Uzman_D!$L$20), AN61-Uzman_D!$L$20),
    (ROUND((IF(AN61-Uzman_D!$L$20&lt;0, -(AN61-Uzman_D!$L$20), AN61-Uzman_D!$L$20)*2),0)/1 * 0.1), 0) +
    IF(AO61-Uzman_D!$M$20&lt;0, -(AO61-Uzman_D!$M$20), AO61-Uzman_D!$M$20)*1
)</f>
        <v>-0.60000000000000009</v>
      </c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2"/>
      <c r="BB61" s="72"/>
      <c r="BC61" s="73">
        <f>1 - (
    SUM(
        IF(AQ61-Uzman_D!$B$21&lt;0, -(AQ61-Uzman_D!$B$21), AQ61-Uzman_D!$B$21)*0.1 +
        IF(AR61-Uzman_D!$C$21&lt;0, -(AR61-Uzman_D!$C$21), AR61-Uzman_D!$C$21)*0.1 +
        IF(AS61-Uzman_D!$D$21&lt;0, -(AS61-Uzman_D!$D$21), AS61-Uzman_D!$D$21)*0.1 +
        IF(AT61-Uzman_D!$E$21&lt;0, -(AT61-Uzman_D!$E$21), AT61-Uzman_D!$E$21)*0.1 +
        IF(AU61-Uzman_D!$F$21&lt;0, -(AU61-Uzman_D!$F$21), AU61-Uzman_D!$F$21)*0.1 +
        IF(AV61-Uzman_D!$G$21&lt;0, -(AV61-Uzman_D!$G$21), AV61-Uzman_D!$G$21)*0.1 +
        IF(AW61-Uzman_D!$H$21&lt;0, -(AW61-Uzman_D!$H$21), AW61-Uzman_D!$H$21)*0.1 +
        IF(AX61-Uzman_D!$I$21&lt;0, -(AX61-Uzman_D!$I$21), AX61-Uzman_D!$I$21)*0.1 +
        IF(AY61-Uzman_D!$J$21&lt;0, -(AY61-Uzman_D!$J$21), AY61-Uzman_D!$J$21)*0.1
    ) +
    IF(ROUND((IF(BA61-Uzman_D!$L$21&lt;0, -(BA61-Uzman_D!$L$21), BA61-Uzman_D!$L$21)*2),0)/2 = IF(BA61-Uzman_D!$L$21&lt;0, -(BA61-Uzman_D!$L$21), BA61-Uzman_D!$L$21),
    (ROUND((IF(BA61-Uzman_D!$L$21&lt;0, -(BA61-Uzman_D!$L$21), BA61-Uzman_D!$L$21)*2),0)/1 * 0.1), 0) +
    IF(BB61-Uzman_D!$M$21&lt;0, -(BB61-Uzman_D!$M$21), BB61-Uzman_D!$M$21)*1
)</f>
        <v>-0.60000000000000009</v>
      </c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2"/>
      <c r="BO61" s="72"/>
      <c r="BP61" s="73">
        <f>1 - (
    SUM(
        IF(BD61-Uzman_D!$B$22&lt;0, -(BD61-Uzman_D!$B$22), BD61-Uzman_D!$B$22)*0.1 +
        IF(BE61-Uzman_D!$C$22&lt;0, -(BE61-Uzman_D!$C$22), BE61-Uzman_D!$C$22)*0.1 +
        IF(BF61-Uzman_D!$D$22&lt;0, -(BF61-Uzman_D!$D$22), BF61-Uzman_D!$D$22)*0.1 +
        IF(BG61-Uzman_D!$E$22&lt;0, -(BG61-Uzman_D!$E$22), BG61-Uzman_D!$E$22)*0.1 +
        IF(BH61-Uzman_D!$F$22&lt;0, -(BH61-Uzman_D!$F$22), BH61-Uzman_D!$F$22)*0.1 +
        IF(BI61-Uzman_D!$G$22&lt;0, -(BI61-Uzman_D!$G$22), BI61-Uzman_D!$G$22)*0.1 +
        IF(BJ61-Uzman_D!$H$22&lt;0, -(BJ61-Uzman_D!$H$22), BJ61-Uzman_D!$H$22)*0.1 +
        IF(BK61-Uzman_D!$I$22&lt;0, -(BK61-Uzman_D!$I$22), BK61-Uzman_D!$I$22)*0.1 +
        IF(BL61-Uzman_D!$J$22&lt;0, -(BL61-Uzman_D!$J$22), BL61-Uzman_D!$J$22)*0.1
    ) +
    IF(ROUND((IF(BN61-Uzman_D!$L$22&lt;0, -(BN61-Uzman_D!$L$22), BN61-Uzman_D!$L$22)*2),0)/2 = IF(BN61-Uzman_D!$L$22&lt;0, -(BN61-Uzman_D!$L$22), BN61-Uzman_D!$L$22),
    (ROUND((IF(BN61-Uzman_D!$L$22&lt;0, -(BN61-Uzman_D!$L$22), BN61-Uzman_D!$L$22)*2),0)/1 * 0.1), 0) +
    IF(BO61-Uzman_D!$M$22&lt;0, -(BO61-Uzman_D!$M$22), BO61-Uzman_D!$M$22)*1
)</f>
        <v>-0.40000000000000013</v>
      </c>
      <c r="BQ61" s="74">
        <f t="shared" si="0"/>
        <v>-0.54000000000000026</v>
      </c>
    </row>
    <row r="62" spans="1:69" ht="15" customHeight="1" x14ac:dyDescent="0.2">
      <c r="A62" s="57">
        <v>59</v>
      </c>
      <c r="B62" s="29">
        <f>Hakemler!B62</f>
        <v>0</v>
      </c>
      <c r="C62" s="29">
        <f>Hakemler!C62</f>
        <v>0</v>
      </c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2"/>
      <c r="O62" s="72"/>
      <c r="P62" s="73">
        <f>1 - (
    SUM(
        IF(D62-Uzman_D!$B$18&lt;0, -(D62-Uzman_D!$B$18), D62-Uzman_D!$B$18)*0.1 +
        IF(E62-Uzman_D!$C$18&lt;0, -(E62-Uzman_D!$C$18), E62-Uzman_D!$C$18)*0.1 +
        IF(F62-Uzman_D!$D$18&lt;0, -(F62-Uzman_D!$D$18), F62-Uzman_D!$D$18)*0.1 +
        IF(G62-Uzman_D!$E$18&lt;0, -(G62-Uzman_D!$E$18), G62-Uzman_D!$E$18)*0.1 +
        IF(H62-Uzman_D!$F$18&lt;0, -(H62-Uzman_D!$F$18), H62-Uzman_D!$F$18)*0.1 +
        IF(I62-Uzman_D!$G$18&lt;0, -(I62-Uzman_D!$G$18), I62-Uzman_D!$G$18)*0.1 +
        IF(J62-Uzman_D!$H$18&lt;0, -(J62-Uzman_D!$H$18), J62-Uzman_D!$H$18)*0.1 +
        IF(K62-Uzman_D!$I$18&lt;0, -(K62-Uzman_D!$I$18), K62-Uzman_D!$I$18)*0.1 +
        IF(L62-Uzman_D!$J$18&lt;0, -(L62-Uzman_D!$J$18), L62-Uzman_D!$J$18)*0.1
    ) +
    IF(ROUND((IF(N62-Uzman_D!$L$18&lt;0, -(N62-Uzman_D!$L$18), N62-Uzman_D!$L$18)*2),0)/2 = IF(N62-Uzman_D!$L$18&lt;0, -(N62-Uzman_D!$L$18), N62-Uzman_D!$L$18),
    (ROUND((IF(N62-Uzman_D!$L$18&lt;0, -(N62-Uzman_D!$L$18), N62-Uzman_D!$L$18)*2),0)/1 * 0.1), 0) +
    IF(O62-Uzman_D!$M$18&lt;0, -(O62-Uzman_D!$M$18), O62-Uzman_D!$M$18)*1
)</f>
        <v>-0.50000000000000022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2"/>
      <c r="AB62" s="72"/>
      <c r="AC62" s="73">
        <f>1 - (
    SUM(
        IF(Q62-Uzman_D!$B$19&lt;0, -(Q62-Uzman_D!$B$19), Q62-Uzman_D!$B$19)*0.1 +
        IF(R62-Uzman_D!$C$19&lt;0, -(R62-Uzman_D!$C$19), R62-Uzman_D!$C$19)*0.1 +
        IF(S62-Uzman_D!$D$19&lt;0, -(S62-Uzman_D!$D$19), S62-Uzman_D!$D$19)*0.1 +
        IF(T62-Uzman_D!$E$19&lt;0, -(T62-Uzman_D!$E$19), T62-Uzman_D!$E$19)*0.1 +
        IF(U62-Uzman_D!$F$19&lt;0, -(U62-Uzman_D!$F$19), U62-Uzman_D!$F$19)*0.1 +
        IF(V62-Uzman_D!$G$19&lt;0, -(V62-Uzman_D!$G$19), V62-Uzman_D!$G$19)*0.1 +
        IF(W62-Uzman_D!$H$19&lt;0, -(W62-Uzman_D!$H$19), W62-Uzman_D!$H$19)*0.1 +
        IF(X62-Uzman_D!$I$19&lt;0, -(X62-Uzman_D!$I$19), X62-Uzman_D!$I$19)*0.1 +
        IF(Y62-Uzman_D!$J$19&lt;0, -(Y62-Uzman_D!$J$19), Y62-Uzman_D!$J$19)*0.1
    ) +
    IF(ROUND((IF(AA62-Uzman_D!$L$19&lt;0, -(AA62-Uzman_D!$L$19), AA62-Uzman_D!$L$19)*2),0)/2 = IF(AA62-Uzman_D!$L$19&lt;0, -(AA62-Uzman_D!$L$19), AA62-Uzman_D!$L$19),
    (ROUND((IF(AA62-Uzman_D!$L$19&lt;0, -(AA62-Uzman_D!$L$19), AA62-Uzman_D!$L$19)*2),0)/1 * 0.1), 0) +
    IF(AB62-Uzman_D!$M$19&lt;0, -(AB62-Uzman_D!$M$19), AB62-Uzman_D!$M$19)*1
)</f>
        <v>-0.60000000000000009</v>
      </c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2"/>
      <c r="AO62" s="72"/>
      <c r="AP62" s="73">
        <f>1 - (
    SUM(
        IF(AD62-Uzman_D!$B$20&lt;0, -(AD62-Uzman_D!$B$20), AD62-Uzman_D!$B$20)*0.1 +
        IF(AE62-Uzman_D!$C$20&lt;0, -(AE62-Uzman_D!$C$20), AE62-Uzman_D!$C$20)*0.1 +
        IF(AF62-Uzman_D!$D$20&lt;0, -(AF62-Uzman_D!$D$20), AF62-Uzman_D!$D$20)*0.1 +
        IF(AG62-Uzman_D!$E$20&lt;0, -(AG62-Uzman_D!$E$20), AG62-Uzman_D!$E$20)*0.1 +
        IF(AH62-Uzman_D!$F$20&lt;0, -(AH62-Uzman_D!$F$20), AH62-Uzman_D!$F$20)*0.1 +
        IF(AI62-Uzman_D!$G$20&lt;0, -(AI62-Uzman_D!$G$20), AI62-Uzman_D!$G$20)*0.1 +
        IF(AJ62-Uzman_D!$H$20&lt;0, -(AJ62-Uzman_D!$H$20), AJ62-Uzman_D!$H$20)*0.1 +
        IF(AK62-Uzman_D!$I$20&lt;0, -(AK62-Uzman_D!$I$20), AK62-Uzman_D!$I$20)*0.1 +
        IF(AL62-Uzman_D!$J$20&lt;0, -(AL62-Uzman_D!$J$20), AL62-Uzman_D!$J$20)*0.1
    ) +
    IF(ROUND((IF(AN62-Uzman_D!$L$20&lt;0, -(AN62-Uzman_D!$L$20), AN62-Uzman_D!$L$20)*2),0)/2 = IF(AN62-Uzman_D!$L$20&lt;0, -(AN62-Uzman_D!$L$20), AN62-Uzman_D!$L$20),
    (ROUND((IF(AN62-Uzman_D!$L$20&lt;0, -(AN62-Uzman_D!$L$20), AN62-Uzman_D!$L$20)*2),0)/1 * 0.1), 0) +
    IF(AO62-Uzman_D!$M$20&lt;0, -(AO62-Uzman_D!$M$20), AO62-Uzman_D!$M$20)*1
)</f>
        <v>-0.60000000000000009</v>
      </c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2"/>
      <c r="BB62" s="72"/>
      <c r="BC62" s="73">
        <f>1 - (
    SUM(
        IF(AQ62-Uzman_D!$B$21&lt;0, -(AQ62-Uzman_D!$B$21), AQ62-Uzman_D!$B$21)*0.1 +
        IF(AR62-Uzman_D!$C$21&lt;0, -(AR62-Uzman_D!$C$21), AR62-Uzman_D!$C$21)*0.1 +
        IF(AS62-Uzman_D!$D$21&lt;0, -(AS62-Uzman_D!$D$21), AS62-Uzman_D!$D$21)*0.1 +
        IF(AT62-Uzman_D!$E$21&lt;0, -(AT62-Uzman_D!$E$21), AT62-Uzman_D!$E$21)*0.1 +
        IF(AU62-Uzman_D!$F$21&lt;0, -(AU62-Uzman_D!$F$21), AU62-Uzman_D!$F$21)*0.1 +
        IF(AV62-Uzman_D!$G$21&lt;0, -(AV62-Uzman_D!$G$21), AV62-Uzman_D!$G$21)*0.1 +
        IF(AW62-Uzman_D!$H$21&lt;0, -(AW62-Uzman_D!$H$21), AW62-Uzman_D!$H$21)*0.1 +
        IF(AX62-Uzman_D!$I$21&lt;0, -(AX62-Uzman_D!$I$21), AX62-Uzman_D!$I$21)*0.1 +
        IF(AY62-Uzman_D!$J$21&lt;0, -(AY62-Uzman_D!$J$21), AY62-Uzman_D!$J$21)*0.1
    ) +
    IF(ROUND((IF(BA62-Uzman_D!$L$21&lt;0, -(BA62-Uzman_D!$L$21), BA62-Uzman_D!$L$21)*2),0)/2 = IF(BA62-Uzman_D!$L$21&lt;0, -(BA62-Uzman_D!$L$21), BA62-Uzman_D!$L$21),
    (ROUND((IF(BA62-Uzman_D!$L$21&lt;0, -(BA62-Uzman_D!$L$21), BA62-Uzman_D!$L$21)*2),0)/1 * 0.1), 0) +
    IF(BB62-Uzman_D!$M$21&lt;0, -(BB62-Uzman_D!$M$21), BB62-Uzman_D!$M$21)*1
)</f>
        <v>-0.60000000000000009</v>
      </c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2"/>
      <c r="BO62" s="72"/>
      <c r="BP62" s="73">
        <f>1 - (
    SUM(
        IF(BD62-Uzman_D!$B$22&lt;0, -(BD62-Uzman_D!$B$22), BD62-Uzman_D!$B$22)*0.1 +
        IF(BE62-Uzman_D!$C$22&lt;0, -(BE62-Uzman_D!$C$22), BE62-Uzman_D!$C$22)*0.1 +
        IF(BF62-Uzman_D!$D$22&lt;0, -(BF62-Uzman_D!$D$22), BF62-Uzman_D!$D$22)*0.1 +
        IF(BG62-Uzman_D!$E$22&lt;0, -(BG62-Uzman_D!$E$22), BG62-Uzman_D!$E$22)*0.1 +
        IF(BH62-Uzman_D!$F$22&lt;0, -(BH62-Uzman_D!$F$22), BH62-Uzman_D!$F$22)*0.1 +
        IF(BI62-Uzman_D!$G$22&lt;0, -(BI62-Uzman_D!$G$22), BI62-Uzman_D!$G$22)*0.1 +
        IF(BJ62-Uzman_D!$H$22&lt;0, -(BJ62-Uzman_D!$H$22), BJ62-Uzman_D!$H$22)*0.1 +
        IF(BK62-Uzman_D!$I$22&lt;0, -(BK62-Uzman_D!$I$22), BK62-Uzman_D!$I$22)*0.1 +
        IF(BL62-Uzman_D!$J$22&lt;0, -(BL62-Uzman_D!$J$22), BL62-Uzman_D!$J$22)*0.1
    ) +
    IF(ROUND((IF(BN62-Uzman_D!$L$22&lt;0, -(BN62-Uzman_D!$L$22), BN62-Uzman_D!$L$22)*2),0)/2 = IF(BN62-Uzman_D!$L$22&lt;0, -(BN62-Uzman_D!$L$22), BN62-Uzman_D!$L$22),
    (ROUND((IF(BN62-Uzman_D!$L$22&lt;0, -(BN62-Uzman_D!$L$22), BN62-Uzman_D!$L$22)*2),0)/1 * 0.1), 0) +
    IF(BO62-Uzman_D!$M$22&lt;0, -(BO62-Uzman_D!$M$22), BO62-Uzman_D!$M$22)*1
)</f>
        <v>-0.40000000000000013</v>
      </c>
      <c r="BQ62" s="74">
        <f t="shared" si="0"/>
        <v>-0.54000000000000026</v>
      </c>
    </row>
    <row r="63" spans="1:69" ht="15" customHeight="1" x14ac:dyDescent="0.2">
      <c r="A63" s="57">
        <v>60</v>
      </c>
      <c r="B63" s="29">
        <f>Hakemler!B63</f>
        <v>0</v>
      </c>
      <c r="C63" s="29">
        <f>Hakemler!C63</f>
        <v>0</v>
      </c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2"/>
      <c r="O63" s="72"/>
      <c r="P63" s="73">
        <f>1 - (
    SUM(
        IF(D63-Uzman_D!$B$18&lt;0, -(D63-Uzman_D!$B$18), D63-Uzman_D!$B$18)*0.1 +
        IF(E63-Uzman_D!$C$18&lt;0, -(E63-Uzman_D!$C$18), E63-Uzman_D!$C$18)*0.1 +
        IF(F63-Uzman_D!$D$18&lt;0, -(F63-Uzman_D!$D$18), F63-Uzman_D!$D$18)*0.1 +
        IF(G63-Uzman_D!$E$18&lt;0, -(G63-Uzman_D!$E$18), G63-Uzman_D!$E$18)*0.1 +
        IF(H63-Uzman_D!$F$18&lt;0, -(H63-Uzman_D!$F$18), H63-Uzman_D!$F$18)*0.1 +
        IF(I63-Uzman_D!$G$18&lt;0, -(I63-Uzman_D!$G$18), I63-Uzman_D!$G$18)*0.1 +
        IF(J63-Uzman_D!$H$18&lt;0, -(J63-Uzman_D!$H$18), J63-Uzman_D!$H$18)*0.1 +
        IF(K63-Uzman_D!$I$18&lt;0, -(K63-Uzman_D!$I$18), K63-Uzman_D!$I$18)*0.1 +
        IF(L63-Uzman_D!$J$18&lt;0, -(L63-Uzman_D!$J$18), L63-Uzman_D!$J$18)*0.1
    ) +
    IF(ROUND((IF(N63-Uzman_D!$L$18&lt;0, -(N63-Uzman_D!$L$18), N63-Uzman_D!$L$18)*2),0)/2 = IF(N63-Uzman_D!$L$18&lt;0, -(N63-Uzman_D!$L$18), N63-Uzman_D!$L$18),
    (ROUND((IF(N63-Uzman_D!$L$18&lt;0, -(N63-Uzman_D!$L$18), N63-Uzman_D!$L$18)*2),0)/1 * 0.1), 0) +
    IF(O63-Uzman_D!$M$18&lt;0, -(O63-Uzman_D!$M$18), O63-Uzman_D!$M$18)*1
)</f>
        <v>-0.50000000000000022</v>
      </c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2"/>
      <c r="AB63" s="72"/>
      <c r="AC63" s="73">
        <f>1 - (
    SUM(
        IF(Q63-Uzman_D!$B$19&lt;0, -(Q63-Uzman_D!$B$19), Q63-Uzman_D!$B$19)*0.1 +
        IF(R63-Uzman_D!$C$19&lt;0, -(R63-Uzman_D!$C$19), R63-Uzman_D!$C$19)*0.1 +
        IF(S63-Uzman_D!$D$19&lt;0, -(S63-Uzman_D!$D$19), S63-Uzman_D!$D$19)*0.1 +
        IF(T63-Uzman_D!$E$19&lt;0, -(T63-Uzman_D!$E$19), T63-Uzman_D!$E$19)*0.1 +
        IF(U63-Uzman_D!$F$19&lt;0, -(U63-Uzman_D!$F$19), U63-Uzman_D!$F$19)*0.1 +
        IF(V63-Uzman_D!$G$19&lt;0, -(V63-Uzman_D!$G$19), V63-Uzman_D!$G$19)*0.1 +
        IF(W63-Uzman_D!$H$19&lt;0, -(W63-Uzman_D!$H$19), W63-Uzman_D!$H$19)*0.1 +
        IF(X63-Uzman_D!$I$19&lt;0, -(X63-Uzman_D!$I$19), X63-Uzman_D!$I$19)*0.1 +
        IF(Y63-Uzman_D!$J$19&lt;0, -(Y63-Uzman_D!$J$19), Y63-Uzman_D!$J$19)*0.1
    ) +
    IF(ROUND((IF(AA63-Uzman_D!$L$19&lt;0, -(AA63-Uzman_D!$L$19), AA63-Uzman_D!$L$19)*2),0)/2 = IF(AA63-Uzman_D!$L$19&lt;0, -(AA63-Uzman_D!$L$19), AA63-Uzman_D!$L$19),
    (ROUND((IF(AA63-Uzman_D!$L$19&lt;0, -(AA63-Uzman_D!$L$19), AA63-Uzman_D!$L$19)*2),0)/1 * 0.1), 0) +
    IF(AB63-Uzman_D!$M$19&lt;0, -(AB63-Uzman_D!$M$19), AB63-Uzman_D!$M$19)*1
)</f>
        <v>-0.60000000000000009</v>
      </c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2"/>
      <c r="AO63" s="72"/>
      <c r="AP63" s="73">
        <f>1 - (
    SUM(
        IF(AD63-Uzman_D!$B$20&lt;0, -(AD63-Uzman_D!$B$20), AD63-Uzman_D!$B$20)*0.1 +
        IF(AE63-Uzman_D!$C$20&lt;0, -(AE63-Uzman_D!$C$20), AE63-Uzman_D!$C$20)*0.1 +
        IF(AF63-Uzman_D!$D$20&lt;0, -(AF63-Uzman_D!$D$20), AF63-Uzman_D!$D$20)*0.1 +
        IF(AG63-Uzman_D!$E$20&lt;0, -(AG63-Uzman_D!$E$20), AG63-Uzman_D!$E$20)*0.1 +
        IF(AH63-Uzman_D!$F$20&lt;0, -(AH63-Uzman_D!$F$20), AH63-Uzman_D!$F$20)*0.1 +
        IF(AI63-Uzman_D!$G$20&lt;0, -(AI63-Uzman_D!$G$20), AI63-Uzman_D!$G$20)*0.1 +
        IF(AJ63-Uzman_D!$H$20&lt;0, -(AJ63-Uzman_D!$H$20), AJ63-Uzman_D!$H$20)*0.1 +
        IF(AK63-Uzman_D!$I$20&lt;0, -(AK63-Uzman_D!$I$20), AK63-Uzman_D!$I$20)*0.1 +
        IF(AL63-Uzman_D!$J$20&lt;0, -(AL63-Uzman_D!$J$20), AL63-Uzman_D!$J$20)*0.1
    ) +
    IF(ROUND((IF(AN63-Uzman_D!$L$20&lt;0, -(AN63-Uzman_D!$L$20), AN63-Uzman_D!$L$20)*2),0)/2 = IF(AN63-Uzman_D!$L$20&lt;0, -(AN63-Uzman_D!$L$20), AN63-Uzman_D!$L$20),
    (ROUND((IF(AN63-Uzman_D!$L$20&lt;0, -(AN63-Uzman_D!$L$20), AN63-Uzman_D!$L$20)*2),0)/1 * 0.1), 0) +
    IF(AO63-Uzman_D!$M$20&lt;0, -(AO63-Uzman_D!$M$20), AO63-Uzman_D!$M$20)*1
)</f>
        <v>-0.60000000000000009</v>
      </c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2"/>
      <c r="BB63" s="72"/>
      <c r="BC63" s="73">
        <f>1 - (
    SUM(
        IF(AQ63-Uzman_D!$B$21&lt;0, -(AQ63-Uzman_D!$B$21), AQ63-Uzman_D!$B$21)*0.1 +
        IF(AR63-Uzman_D!$C$21&lt;0, -(AR63-Uzman_D!$C$21), AR63-Uzman_D!$C$21)*0.1 +
        IF(AS63-Uzman_D!$D$21&lt;0, -(AS63-Uzman_D!$D$21), AS63-Uzman_D!$D$21)*0.1 +
        IF(AT63-Uzman_D!$E$21&lt;0, -(AT63-Uzman_D!$E$21), AT63-Uzman_D!$E$21)*0.1 +
        IF(AU63-Uzman_D!$F$21&lt;0, -(AU63-Uzman_D!$F$21), AU63-Uzman_D!$F$21)*0.1 +
        IF(AV63-Uzman_D!$G$21&lt;0, -(AV63-Uzman_D!$G$21), AV63-Uzman_D!$G$21)*0.1 +
        IF(AW63-Uzman_D!$H$21&lt;0, -(AW63-Uzman_D!$H$21), AW63-Uzman_D!$H$21)*0.1 +
        IF(AX63-Uzman_D!$I$21&lt;0, -(AX63-Uzman_D!$I$21), AX63-Uzman_D!$I$21)*0.1 +
        IF(AY63-Uzman_D!$J$21&lt;0, -(AY63-Uzman_D!$J$21), AY63-Uzman_D!$J$21)*0.1
    ) +
    IF(ROUND((IF(BA63-Uzman_D!$L$21&lt;0, -(BA63-Uzman_D!$L$21), BA63-Uzman_D!$L$21)*2),0)/2 = IF(BA63-Uzman_D!$L$21&lt;0, -(BA63-Uzman_D!$L$21), BA63-Uzman_D!$L$21),
    (ROUND((IF(BA63-Uzman_D!$L$21&lt;0, -(BA63-Uzman_D!$L$21), BA63-Uzman_D!$L$21)*2),0)/1 * 0.1), 0) +
    IF(BB63-Uzman_D!$M$21&lt;0, -(BB63-Uzman_D!$M$21), BB63-Uzman_D!$M$21)*1
)</f>
        <v>-0.60000000000000009</v>
      </c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2"/>
      <c r="BO63" s="72"/>
      <c r="BP63" s="73">
        <f>1 - (
    SUM(
        IF(BD63-Uzman_D!$B$22&lt;0, -(BD63-Uzman_D!$B$22), BD63-Uzman_D!$B$22)*0.1 +
        IF(BE63-Uzman_D!$C$22&lt;0, -(BE63-Uzman_D!$C$22), BE63-Uzman_D!$C$22)*0.1 +
        IF(BF63-Uzman_D!$D$22&lt;0, -(BF63-Uzman_D!$D$22), BF63-Uzman_D!$D$22)*0.1 +
        IF(BG63-Uzman_D!$E$22&lt;0, -(BG63-Uzman_D!$E$22), BG63-Uzman_D!$E$22)*0.1 +
        IF(BH63-Uzman_D!$F$22&lt;0, -(BH63-Uzman_D!$F$22), BH63-Uzman_D!$F$22)*0.1 +
        IF(BI63-Uzman_D!$G$22&lt;0, -(BI63-Uzman_D!$G$22), BI63-Uzman_D!$G$22)*0.1 +
        IF(BJ63-Uzman_D!$H$22&lt;0, -(BJ63-Uzman_D!$H$22), BJ63-Uzman_D!$H$22)*0.1 +
        IF(BK63-Uzman_D!$I$22&lt;0, -(BK63-Uzman_D!$I$22), BK63-Uzman_D!$I$22)*0.1 +
        IF(BL63-Uzman_D!$J$22&lt;0, -(BL63-Uzman_D!$J$22), BL63-Uzman_D!$J$22)*0.1
    ) +
    IF(ROUND((IF(BN63-Uzman_D!$L$22&lt;0, -(BN63-Uzman_D!$L$22), BN63-Uzman_D!$L$22)*2),0)/2 = IF(BN63-Uzman_D!$L$22&lt;0, -(BN63-Uzman_D!$L$22), BN63-Uzman_D!$L$22),
    (ROUND((IF(BN63-Uzman_D!$L$22&lt;0, -(BN63-Uzman_D!$L$22), BN63-Uzman_D!$L$22)*2),0)/1 * 0.1), 0) +
    IF(BO63-Uzman_D!$M$22&lt;0, -(BO63-Uzman_D!$M$22), BO63-Uzman_D!$M$22)*1
)</f>
        <v>-0.40000000000000013</v>
      </c>
      <c r="BQ63" s="74">
        <f t="shared" si="0"/>
        <v>-0.54000000000000026</v>
      </c>
    </row>
    <row r="64" spans="1:69" ht="15" customHeight="1" x14ac:dyDescent="0.2">
      <c r="A64" s="57">
        <v>61</v>
      </c>
      <c r="B64" s="29">
        <f>Hakemler!B64</f>
        <v>0</v>
      </c>
      <c r="C64" s="29">
        <f>Hakemler!C64</f>
        <v>0</v>
      </c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2"/>
      <c r="O64" s="72"/>
      <c r="P64" s="73">
        <f>1 - (
    SUM(
        IF(D64-Uzman_D!$B$18&lt;0, -(D64-Uzman_D!$B$18), D64-Uzman_D!$B$18)*0.1 +
        IF(E64-Uzman_D!$C$18&lt;0, -(E64-Uzman_D!$C$18), E64-Uzman_D!$C$18)*0.1 +
        IF(F64-Uzman_D!$D$18&lt;0, -(F64-Uzman_D!$D$18), F64-Uzman_D!$D$18)*0.1 +
        IF(G64-Uzman_D!$E$18&lt;0, -(G64-Uzman_D!$E$18), G64-Uzman_D!$E$18)*0.1 +
        IF(H64-Uzman_D!$F$18&lt;0, -(H64-Uzman_D!$F$18), H64-Uzman_D!$F$18)*0.1 +
        IF(I64-Uzman_D!$G$18&lt;0, -(I64-Uzman_D!$G$18), I64-Uzman_D!$G$18)*0.1 +
        IF(J64-Uzman_D!$H$18&lt;0, -(J64-Uzman_D!$H$18), J64-Uzman_D!$H$18)*0.1 +
        IF(K64-Uzman_D!$I$18&lt;0, -(K64-Uzman_D!$I$18), K64-Uzman_D!$I$18)*0.1 +
        IF(L64-Uzman_D!$J$18&lt;0, -(L64-Uzman_D!$J$18), L64-Uzman_D!$J$18)*0.1
    ) +
    IF(ROUND((IF(N64-Uzman_D!$L$18&lt;0, -(N64-Uzman_D!$L$18), N64-Uzman_D!$L$18)*2),0)/2 = IF(N64-Uzman_D!$L$18&lt;0, -(N64-Uzman_D!$L$18), N64-Uzman_D!$L$18),
    (ROUND((IF(N64-Uzman_D!$L$18&lt;0, -(N64-Uzman_D!$L$18), N64-Uzman_D!$L$18)*2),0)/1 * 0.1), 0) +
    IF(O64-Uzman_D!$M$18&lt;0, -(O64-Uzman_D!$M$18), O64-Uzman_D!$M$18)*1
)</f>
        <v>-0.50000000000000022</v>
      </c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2"/>
      <c r="AB64" s="72"/>
      <c r="AC64" s="73">
        <f>1 - (
    SUM(
        IF(Q64-Uzman_D!$B$19&lt;0, -(Q64-Uzman_D!$B$19), Q64-Uzman_D!$B$19)*0.1 +
        IF(R64-Uzman_D!$C$19&lt;0, -(R64-Uzman_D!$C$19), R64-Uzman_D!$C$19)*0.1 +
        IF(S64-Uzman_D!$D$19&lt;0, -(S64-Uzman_D!$D$19), S64-Uzman_D!$D$19)*0.1 +
        IF(T64-Uzman_D!$E$19&lt;0, -(T64-Uzman_D!$E$19), T64-Uzman_D!$E$19)*0.1 +
        IF(U64-Uzman_D!$F$19&lt;0, -(U64-Uzman_D!$F$19), U64-Uzman_D!$F$19)*0.1 +
        IF(V64-Uzman_D!$G$19&lt;0, -(V64-Uzman_D!$G$19), V64-Uzman_D!$G$19)*0.1 +
        IF(W64-Uzman_D!$H$19&lt;0, -(W64-Uzman_D!$H$19), W64-Uzman_D!$H$19)*0.1 +
        IF(X64-Uzman_D!$I$19&lt;0, -(X64-Uzman_D!$I$19), X64-Uzman_D!$I$19)*0.1 +
        IF(Y64-Uzman_D!$J$19&lt;0, -(Y64-Uzman_D!$J$19), Y64-Uzman_D!$J$19)*0.1
    ) +
    IF(ROUND((IF(AA64-Uzman_D!$L$19&lt;0, -(AA64-Uzman_D!$L$19), AA64-Uzman_D!$L$19)*2),0)/2 = IF(AA64-Uzman_D!$L$19&lt;0, -(AA64-Uzman_D!$L$19), AA64-Uzman_D!$L$19),
    (ROUND((IF(AA64-Uzman_D!$L$19&lt;0, -(AA64-Uzman_D!$L$19), AA64-Uzman_D!$L$19)*2),0)/1 * 0.1), 0) +
    IF(AB64-Uzman_D!$M$19&lt;0, -(AB64-Uzman_D!$M$19), AB64-Uzman_D!$M$19)*1
)</f>
        <v>-0.60000000000000009</v>
      </c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2"/>
      <c r="AO64" s="72"/>
      <c r="AP64" s="73">
        <f>1 - (
    SUM(
        IF(AD64-Uzman_D!$B$20&lt;0, -(AD64-Uzman_D!$B$20), AD64-Uzman_D!$B$20)*0.1 +
        IF(AE64-Uzman_D!$C$20&lt;0, -(AE64-Uzman_D!$C$20), AE64-Uzman_D!$C$20)*0.1 +
        IF(AF64-Uzman_D!$D$20&lt;0, -(AF64-Uzman_D!$D$20), AF64-Uzman_D!$D$20)*0.1 +
        IF(AG64-Uzman_D!$E$20&lt;0, -(AG64-Uzman_D!$E$20), AG64-Uzman_D!$E$20)*0.1 +
        IF(AH64-Uzman_D!$F$20&lt;0, -(AH64-Uzman_D!$F$20), AH64-Uzman_D!$F$20)*0.1 +
        IF(AI64-Uzman_D!$G$20&lt;0, -(AI64-Uzman_D!$G$20), AI64-Uzman_D!$G$20)*0.1 +
        IF(AJ64-Uzman_D!$H$20&lt;0, -(AJ64-Uzman_D!$H$20), AJ64-Uzman_D!$H$20)*0.1 +
        IF(AK64-Uzman_D!$I$20&lt;0, -(AK64-Uzman_D!$I$20), AK64-Uzman_D!$I$20)*0.1 +
        IF(AL64-Uzman_D!$J$20&lt;0, -(AL64-Uzman_D!$J$20), AL64-Uzman_D!$J$20)*0.1
    ) +
    IF(ROUND((IF(AN64-Uzman_D!$L$20&lt;0, -(AN64-Uzman_D!$L$20), AN64-Uzman_D!$L$20)*2),0)/2 = IF(AN64-Uzman_D!$L$20&lt;0, -(AN64-Uzman_D!$L$20), AN64-Uzman_D!$L$20),
    (ROUND((IF(AN64-Uzman_D!$L$20&lt;0, -(AN64-Uzman_D!$L$20), AN64-Uzman_D!$L$20)*2),0)/1 * 0.1), 0) +
    IF(AO64-Uzman_D!$M$20&lt;0, -(AO64-Uzman_D!$M$20), AO64-Uzman_D!$M$20)*1
)</f>
        <v>-0.60000000000000009</v>
      </c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2"/>
      <c r="BB64" s="72"/>
      <c r="BC64" s="73">
        <f>1 - (
    SUM(
        IF(AQ64-Uzman_D!$B$21&lt;0, -(AQ64-Uzman_D!$B$21), AQ64-Uzman_D!$B$21)*0.1 +
        IF(AR64-Uzman_D!$C$21&lt;0, -(AR64-Uzman_D!$C$21), AR64-Uzman_D!$C$21)*0.1 +
        IF(AS64-Uzman_D!$D$21&lt;0, -(AS64-Uzman_D!$D$21), AS64-Uzman_D!$D$21)*0.1 +
        IF(AT64-Uzman_D!$E$21&lt;0, -(AT64-Uzman_D!$E$21), AT64-Uzman_D!$E$21)*0.1 +
        IF(AU64-Uzman_D!$F$21&lt;0, -(AU64-Uzman_D!$F$21), AU64-Uzman_D!$F$21)*0.1 +
        IF(AV64-Uzman_D!$G$21&lt;0, -(AV64-Uzman_D!$G$21), AV64-Uzman_D!$G$21)*0.1 +
        IF(AW64-Uzman_D!$H$21&lt;0, -(AW64-Uzman_D!$H$21), AW64-Uzman_D!$H$21)*0.1 +
        IF(AX64-Uzman_D!$I$21&lt;0, -(AX64-Uzman_D!$I$21), AX64-Uzman_D!$I$21)*0.1 +
        IF(AY64-Uzman_D!$J$21&lt;0, -(AY64-Uzman_D!$J$21), AY64-Uzman_D!$J$21)*0.1
    ) +
    IF(ROUND((IF(BA64-Uzman_D!$L$21&lt;0, -(BA64-Uzman_D!$L$21), BA64-Uzman_D!$L$21)*2),0)/2 = IF(BA64-Uzman_D!$L$21&lt;0, -(BA64-Uzman_D!$L$21), BA64-Uzman_D!$L$21),
    (ROUND((IF(BA64-Uzman_D!$L$21&lt;0, -(BA64-Uzman_D!$L$21), BA64-Uzman_D!$L$21)*2),0)/1 * 0.1), 0) +
    IF(BB64-Uzman_D!$M$21&lt;0, -(BB64-Uzman_D!$M$21), BB64-Uzman_D!$M$21)*1
)</f>
        <v>-0.60000000000000009</v>
      </c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2"/>
      <c r="BO64" s="72"/>
      <c r="BP64" s="73">
        <f>1 - (
    SUM(
        IF(BD64-Uzman_D!$B$22&lt;0, -(BD64-Uzman_D!$B$22), BD64-Uzman_D!$B$22)*0.1 +
        IF(BE64-Uzman_D!$C$22&lt;0, -(BE64-Uzman_D!$C$22), BE64-Uzman_D!$C$22)*0.1 +
        IF(BF64-Uzman_D!$D$22&lt;0, -(BF64-Uzman_D!$D$22), BF64-Uzman_D!$D$22)*0.1 +
        IF(BG64-Uzman_D!$E$22&lt;0, -(BG64-Uzman_D!$E$22), BG64-Uzman_D!$E$22)*0.1 +
        IF(BH64-Uzman_D!$F$22&lt;0, -(BH64-Uzman_D!$F$22), BH64-Uzman_D!$F$22)*0.1 +
        IF(BI64-Uzman_D!$G$22&lt;0, -(BI64-Uzman_D!$G$22), BI64-Uzman_D!$G$22)*0.1 +
        IF(BJ64-Uzman_D!$H$22&lt;0, -(BJ64-Uzman_D!$H$22), BJ64-Uzman_D!$H$22)*0.1 +
        IF(BK64-Uzman_D!$I$22&lt;0, -(BK64-Uzman_D!$I$22), BK64-Uzman_D!$I$22)*0.1 +
        IF(BL64-Uzman_D!$J$22&lt;0, -(BL64-Uzman_D!$J$22), BL64-Uzman_D!$J$22)*0.1
    ) +
    IF(ROUND((IF(BN64-Uzman_D!$L$22&lt;0, -(BN64-Uzman_D!$L$22), BN64-Uzman_D!$L$22)*2),0)/2 = IF(BN64-Uzman_D!$L$22&lt;0, -(BN64-Uzman_D!$L$22), BN64-Uzman_D!$L$22),
    (ROUND((IF(BN64-Uzman_D!$L$22&lt;0, -(BN64-Uzman_D!$L$22), BN64-Uzman_D!$L$22)*2),0)/1 * 0.1), 0) +
    IF(BO64-Uzman_D!$M$22&lt;0, -(BO64-Uzman_D!$M$22), BO64-Uzman_D!$M$22)*1
)</f>
        <v>-0.40000000000000013</v>
      </c>
      <c r="BQ64" s="74">
        <f t="shared" si="0"/>
        <v>-0.54000000000000026</v>
      </c>
    </row>
    <row r="65" spans="1:69" ht="15" customHeight="1" x14ac:dyDescent="0.2">
      <c r="A65" s="57">
        <v>62</v>
      </c>
      <c r="B65" s="29">
        <f>Hakemler!B65</f>
        <v>0</v>
      </c>
      <c r="C65" s="29">
        <f>Hakemler!C65</f>
        <v>0</v>
      </c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2"/>
      <c r="O65" s="72"/>
      <c r="P65" s="73">
        <f>1 - (
    SUM(
        IF(D65-Uzman_D!$B$18&lt;0, -(D65-Uzman_D!$B$18), D65-Uzman_D!$B$18)*0.1 +
        IF(E65-Uzman_D!$C$18&lt;0, -(E65-Uzman_D!$C$18), E65-Uzman_D!$C$18)*0.1 +
        IF(F65-Uzman_D!$D$18&lt;0, -(F65-Uzman_D!$D$18), F65-Uzman_D!$D$18)*0.1 +
        IF(G65-Uzman_D!$E$18&lt;0, -(G65-Uzman_D!$E$18), G65-Uzman_D!$E$18)*0.1 +
        IF(H65-Uzman_D!$F$18&lt;0, -(H65-Uzman_D!$F$18), H65-Uzman_D!$F$18)*0.1 +
        IF(I65-Uzman_D!$G$18&lt;0, -(I65-Uzman_D!$G$18), I65-Uzman_D!$G$18)*0.1 +
        IF(J65-Uzman_D!$H$18&lt;0, -(J65-Uzman_D!$H$18), J65-Uzman_D!$H$18)*0.1 +
        IF(K65-Uzman_D!$I$18&lt;0, -(K65-Uzman_D!$I$18), K65-Uzman_D!$I$18)*0.1 +
        IF(L65-Uzman_D!$J$18&lt;0, -(L65-Uzman_D!$J$18), L65-Uzman_D!$J$18)*0.1
    ) +
    IF(ROUND((IF(N65-Uzman_D!$L$18&lt;0, -(N65-Uzman_D!$L$18), N65-Uzman_D!$L$18)*2),0)/2 = IF(N65-Uzman_D!$L$18&lt;0, -(N65-Uzman_D!$L$18), N65-Uzman_D!$L$18),
    (ROUND((IF(N65-Uzman_D!$L$18&lt;0, -(N65-Uzman_D!$L$18), N65-Uzman_D!$L$18)*2),0)/1 * 0.1), 0) +
    IF(O65-Uzman_D!$M$18&lt;0, -(O65-Uzman_D!$M$18), O65-Uzman_D!$M$18)*1
)</f>
        <v>-0.50000000000000022</v>
      </c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2"/>
      <c r="AB65" s="72"/>
      <c r="AC65" s="73">
        <f>1 - (
    SUM(
        IF(Q65-Uzman_D!$B$19&lt;0, -(Q65-Uzman_D!$B$19), Q65-Uzman_D!$B$19)*0.1 +
        IF(R65-Uzman_D!$C$19&lt;0, -(R65-Uzman_D!$C$19), R65-Uzman_D!$C$19)*0.1 +
        IF(S65-Uzman_D!$D$19&lt;0, -(S65-Uzman_D!$D$19), S65-Uzman_D!$D$19)*0.1 +
        IF(T65-Uzman_D!$E$19&lt;0, -(T65-Uzman_D!$E$19), T65-Uzman_D!$E$19)*0.1 +
        IF(U65-Uzman_D!$F$19&lt;0, -(U65-Uzman_D!$F$19), U65-Uzman_D!$F$19)*0.1 +
        IF(V65-Uzman_D!$G$19&lt;0, -(V65-Uzman_D!$G$19), V65-Uzman_D!$G$19)*0.1 +
        IF(W65-Uzman_D!$H$19&lt;0, -(W65-Uzman_D!$H$19), W65-Uzman_D!$H$19)*0.1 +
        IF(X65-Uzman_D!$I$19&lt;0, -(X65-Uzman_D!$I$19), X65-Uzman_D!$I$19)*0.1 +
        IF(Y65-Uzman_D!$J$19&lt;0, -(Y65-Uzman_D!$J$19), Y65-Uzman_D!$J$19)*0.1
    ) +
    IF(ROUND((IF(AA65-Uzman_D!$L$19&lt;0, -(AA65-Uzman_D!$L$19), AA65-Uzman_D!$L$19)*2),0)/2 = IF(AA65-Uzman_D!$L$19&lt;0, -(AA65-Uzman_D!$L$19), AA65-Uzman_D!$L$19),
    (ROUND((IF(AA65-Uzman_D!$L$19&lt;0, -(AA65-Uzman_D!$L$19), AA65-Uzman_D!$L$19)*2),0)/1 * 0.1), 0) +
    IF(AB65-Uzman_D!$M$19&lt;0, -(AB65-Uzman_D!$M$19), AB65-Uzman_D!$M$19)*1
)</f>
        <v>-0.60000000000000009</v>
      </c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2"/>
      <c r="AO65" s="72"/>
      <c r="AP65" s="73">
        <f>1 - (
    SUM(
        IF(AD65-Uzman_D!$B$20&lt;0, -(AD65-Uzman_D!$B$20), AD65-Uzman_D!$B$20)*0.1 +
        IF(AE65-Uzman_D!$C$20&lt;0, -(AE65-Uzman_D!$C$20), AE65-Uzman_D!$C$20)*0.1 +
        IF(AF65-Uzman_D!$D$20&lt;0, -(AF65-Uzman_D!$D$20), AF65-Uzman_D!$D$20)*0.1 +
        IF(AG65-Uzman_D!$E$20&lt;0, -(AG65-Uzman_D!$E$20), AG65-Uzman_D!$E$20)*0.1 +
        IF(AH65-Uzman_D!$F$20&lt;0, -(AH65-Uzman_D!$F$20), AH65-Uzman_D!$F$20)*0.1 +
        IF(AI65-Uzman_D!$G$20&lt;0, -(AI65-Uzman_D!$G$20), AI65-Uzman_D!$G$20)*0.1 +
        IF(AJ65-Uzman_D!$H$20&lt;0, -(AJ65-Uzman_D!$H$20), AJ65-Uzman_D!$H$20)*0.1 +
        IF(AK65-Uzman_D!$I$20&lt;0, -(AK65-Uzman_D!$I$20), AK65-Uzman_D!$I$20)*0.1 +
        IF(AL65-Uzman_D!$J$20&lt;0, -(AL65-Uzman_D!$J$20), AL65-Uzman_D!$J$20)*0.1
    ) +
    IF(ROUND((IF(AN65-Uzman_D!$L$20&lt;0, -(AN65-Uzman_D!$L$20), AN65-Uzman_D!$L$20)*2),0)/2 = IF(AN65-Uzman_D!$L$20&lt;0, -(AN65-Uzman_D!$L$20), AN65-Uzman_D!$L$20),
    (ROUND((IF(AN65-Uzman_D!$L$20&lt;0, -(AN65-Uzman_D!$L$20), AN65-Uzman_D!$L$20)*2),0)/1 * 0.1), 0) +
    IF(AO65-Uzman_D!$M$20&lt;0, -(AO65-Uzman_D!$M$20), AO65-Uzman_D!$M$20)*1
)</f>
        <v>-0.60000000000000009</v>
      </c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2"/>
      <c r="BB65" s="72"/>
      <c r="BC65" s="73">
        <f>1 - (
    SUM(
        IF(AQ65-Uzman_D!$B$21&lt;0, -(AQ65-Uzman_D!$B$21), AQ65-Uzman_D!$B$21)*0.1 +
        IF(AR65-Uzman_D!$C$21&lt;0, -(AR65-Uzman_D!$C$21), AR65-Uzman_D!$C$21)*0.1 +
        IF(AS65-Uzman_D!$D$21&lt;0, -(AS65-Uzman_D!$D$21), AS65-Uzman_D!$D$21)*0.1 +
        IF(AT65-Uzman_D!$E$21&lt;0, -(AT65-Uzman_D!$E$21), AT65-Uzman_D!$E$21)*0.1 +
        IF(AU65-Uzman_D!$F$21&lt;0, -(AU65-Uzman_D!$F$21), AU65-Uzman_D!$F$21)*0.1 +
        IF(AV65-Uzman_D!$G$21&lt;0, -(AV65-Uzman_D!$G$21), AV65-Uzman_D!$G$21)*0.1 +
        IF(AW65-Uzman_D!$H$21&lt;0, -(AW65-Uzman_D!$H$21), AW65-Uzman_D!$H$21)*0.1 +
        IF(AX65-Uzman_D!$I$21&lt;0, -(AX65-Uzman_D!$I$21), AX65-Uzman_D!$I$21)*0.1 +
        IF(AY65-Uzman_D!$J$21&lt;0, -(AY65-Uzman_D!$J$21), AY65-Uzman_D!$J$21)*0.1
    ) +
    IF(ROUND((IF(BA65-Uzman_D!$L$21&lt;0, -(BA65-Uzman_D!$L$21), BA65-Uzman_D!$L$21)*2),0)/2 = IF(BA65-Uzman_D!$L$21&lt;0, -(BA65-Uzman_D!$L$21), BA65-Uzman_D!$L$21),
    (ROUND((IF(BA65-Uzman_D!$L$21&lt;0, -(BA65-Uzman_D!$L$21), BA65-Uzman_D!$L$21)*2),0)/1 * 0.1), 0) +
    IF(BB65-Uzman_D!$M$21&lt;0, -(BB65-Uzman_D!$M$21), BB65-Uzman_D!$M$21)*1
)</f>
        <v>-0.60000000000000009</v>
      </c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2"/>
      <c r="BO65" s="72"/>
      <c r="BP65" s="73">
        <f>1 - (
    SUM(
        IF(BD65-Uzman_D!$B$22&lt;0, -(BD65-Uzman_D!$B$22), BD65-Uzman_D!$B$22)*0.1 +
        IF(BE65-Uzman_D!$C$22&lt;0, -(BE65-Uzman_D!$C$22), BE65-Uzman_D!$C$22)*0.1 +
        IF(BF65-Uzman_D!$D$22&lt;0, -(BF65-Uzman_D!$D$22), BF65-Uzman_D!$D$22)*0.1 +
        IF(BG65-Uzman_D!$E$22&lt;0, -(BG65-Uzman_D!$E$22), BG65-Uzman_D!$E$22)*0.1 +
        IF(BH65-Uzman_D!$F$22&lt;0, -(BH65-Uzman_D!$F$22), BH65-Uzman_D!$F$22)*0.1 +
        IF(BI65-Uzman_D!$G$22&lt;0, -(BI65-Uzman_D!$G$22), BI65-Uzman_D!$G$22)*0.1 +
        IF(BJ65-Uzman_D!$H$22&lt;0, -(BJ65-Uzman_D!$H$22), BJ65-Uzman_D!$H$22)*0.1 +
        IF(BK65-Uzman_D!$I$22&lt;0, -(BK65-Uzman_D!$I$22), BK65-Uzman_D!$I$22)*0.1 +
        IF(BL65-Uzman_D!$J$22&lt;0, -(BL65-Uzman_D!$J$22), BL65-Uzman_D!$J$22)*0.1
    ) +
    IF(ROUND((IF(BN65-Uzman_D!$L$22&lt;0, -(BN65-Uzman_D!$L$22), BN65-Uzman_D!$L$22)*2),0)/2 = IF(BN65-Uzman_D!$L$22&lt;0, -(BN65-Uzman_D!$L$22), BN65-Uzman_D!$L$22),
    (ROUND((IF(BN65-Uzman_D!$L$22&lt;0, -(BN65-Uzman_D!$L$22), BN65-Uzman_D!$L$22)*2),0)/1 * 0.1), 0) +
    IF(BO65-Uzman_D!$M$22&lt;0, -(BO65-Uzman_D!$M$22), BO65-Uzman_D!$M$22)*1
)</f>
        <v>-0.40000000000000013</v>
      </c>
      <c r="BQ65" s="74">
        <f t="shared" si="0"/>
        <v>-0.54000000000000026</v>
      </c>
    </row>
    <row r="66" spans="1:69" ht="15" customHeight="1" x14ac:dyDescent="0.2">
      <c r="A66" s="57">
        <v>63</v>
      </c>
      <c r="B66" s="29">
        <f>Hakemler!B66</f>
        <v>0</v>
      </c>
      <c r="C66" s="29">
        <f>Hakemler!C66</f>
        <v>0</v>
      </c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2"/>
      <c r="O66" s="72"/>
      <c r="P66" s="73">
        <f>1 - (
    SUM(
        IF(D66-Uzman_D!$B$18&lt;0, -(D66-Uzman_D!$B$18), D66-Uzman_D!$B$18)*0.1 +
        IF(E66-Uzman_D!$C$18&lt;0, -(E66-Uzman_D!$C$18), E66-Uzman_D!$C$18)*0.1 +
        IF(F66-Uzman_D!$D$18&lt;0, -(F66-Uzman_D!$D$18), F66-Uzman_D!$D$18)*0.1 +
        IF(G66-Uzman_D!$E$18&lt;0, -(G66-Uzman_D!$E$18), G66-Uzman_D!$E$18)*0.1 +
        IF(H66-Uzman_D!$F$18&lt;0, -(H66-Uzman_D!$F$18), H66-Uzman_D!$F$18)*0.1 +
        IF(I66-Uzman_D!$G$18&lt;0, -(I66-Uzman_D!$G$18), I66-Uzman_D!$G$18)*0.1 +
        IF(J66-Uzman_D!$H$18&lt;0, -(J66-Uzman_D!$H$18), J66-Uzman_D!$H$18)*0.1 +
        IF(K66-Uzman_D!$I$18&lt;0, -(K66-Uzman_D!$I$18), K66-Uzman_D!$I$18)*0.1 +
        IF(L66-Uzman_D!$J$18&lt;0, -(L66-Uzman_D!$J$18), L66-Uzman_D!$J$18)*0.1
    ) +
    IF(ROUND((IF(N66-Uzman_D!$L$18&lt;0, -(N66-Uzman_D!$L$18), N66-Uzman_D!$L$18)*2),0)/2 = IF(N66-Uzman_D!$L$18&lt;0, -(N66-Uzman_D!$L$18), N66-Uzman_D!$L$18),
    (ROUND((IF(N66-Uzman_D!$L$18&lt;0, -(N66-Uzman_D!$L$18), N66-Uzman_D!$L$18)*2),0)/1 * 0.1), 0) +
    IF(O66-Uzman_D!$M$18&lt;0, -(O66-Uzman_D!$M$18), O66-Uzman_D!$M$18)*1
)</f>
        <v>-0.50000000000000022</v>
      </c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2"/>
      <c r="AB66" s="72"/>
      <c r="AC66" s="73">
        <f>1 - (
    SUM(
        IF(Q66-Uzman_D!$B$19&lt;0, -(Q66-Uzman_D!$B$19), Q66-Uzman_D!$B$19)*0.1 +
        IF(R66-Uzman_D!$C$19&lt;0, -(R66-Uzman_D!$C$19), R66-Uzman_D!$C$19)*0.1 +
        IF(S66-Uzman_D!$D$19&lt;0, -(S66-Uzman_D!$D$19), S66-Uzman_D!$D$19)*0.1 +
        IF(T66-Uzman_D!$E$19&lt;0, -(T66-Uzman_D!$E$19), T66-Uzman_D!$E$19)*0.1 +
        IF(U66-Uzman_D!$F$19&lt;0, -(U66-Uzman_D!$F$19), U66-Uzman_D!$F$19)*0.1 +
        IF(V66-Uzman_D!$G$19&lt;0, -(V66-Uzman_D!$G$19), V66-Uzman_D!$G$19)*0.1 +
        IF(W66-Uzman_D!$H$19&lt;0, -(W66-Uzman_D!$H$19), W66-Uzman_D!$H$19)*0.1 +
        IF(X66-Uzman_D!$I$19&lt;0, -(X66-Uzman_D!$I$19), X66-Uzman_D!$I$19)*0.1 +
        IF(Y66-Uzman_D!$J$19&lt;0, -(Y66-Uzman_D!$J$19), Y66-Uzman_D!$J$19)*0.1
    ) +
    IF(ROUND((IF(AA66-Uzman_D!$L$19&lt;0, -(AA66-Uzman_D!$L$19), AA66-Uzman_D!$L$19)*2),0)/2 = IF(AA66-Uzman_D!$L$19&lt;0, -(AA66-Uzman_D!$L$19), AA66-Uzman_D!$L$19),
    (ROUND((IF(AA66-Uzman_D!$L$19&lt;0, -(AA66-Uzman_D!$L$19), AA66-Uzman_D!$L$19)*2),0)/1 * 0.1), 0) +
    IF(AB66-Uzman_D!$M$19&lt;0, -(AB66-Uzman_D!$M$19), AB66-Uzman_D!$M$19)*1
)</f>
        <v>-0.60000000000000009</v>
      </c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2"/>
      <c r="AO66" s="72"/>
      <c r="AP66" s="73">
        <f>1 - (
    SUM(
        IF(AD66-Uzman_D!$B$20&lt;0, -(AD66-Uzman_D!$B$20), AD66-Uzman_D!$B$20)*0.1 +
        IF(AE66-Uzman_D!$C$20&lt;0, -(AE66-Uzman_D!$C$20), AE66-Uzman_D!$C$20)*0.1 +
        IF(AF66-Uzman_D!$D$20&lt;0, -(AF66-Uzman_D!$D$20), AF66-Uzman_D!$D$20)*0.1 +
        IF(AG66-Uzman_D!$E$20&lt;0, -(AG66-Uzman_D!$E$20), AG66-Uzman_D!$E$20)*0.1 +
        IF(AH66-Uzman_D!$F$20&lt;0, -(AH66-Uzman_D!$F$20), AH66-Uzman_D!$F$20)*0.1 +
        IF(AI66-Uzman_D!$G$20&lt;0, -(AI66-Uzman_D!$G$20), AI66-Uzman_D!$G$20)*0.1 +
        IF(AJ66-Uzman_D!$H$20&lt;0, -(AJ66-Uzman_D!$H$20), AJ66-Uzman_D!$H$20)*0.1 +
        IF(AK66-Uzman_D!$I$20&lt;0, -(AK66-Uzman_D!$I$20), AK66-Uzman_D!$I$20)*0.1 +
        IF(AL66-Uzman_D!$J$20&lt;0, -(AL66-Uzman_D!$J$20), AL66-Uzman_D!$J$20)*0.1
    ) +
    IF(ROUND((IF(AN66-Uzman_D!$L$20&lt;0, -(AN66-Uzman_D!$L$20), AN66-Uzman_D!$L$20)*2),0)/2 = IF(AN66-Uzman_D!$L$20&lt;0, -(AN66-Uzman_D!$L$20), AN66-Uzman_D!$L$20),
    (ROUND((IF(AN66-Uzman_D!$L$20&lt;0, -(AN66-Uzman_D!$L$20), AN66-Uzman_D!$L$20)*2),0)/1 * 0.1), 0) +
    IF(AO66-Uzman_D!$M$20&lt;0, -(AO66-Uzman_D!$M$20), AO66-Uzman_D!$M$20)*1
)</f>
        <v>-0.60000000000000009</v>
      </c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2"/>
      <c r="BB66" s="72"/>
      <c r="BC66" s="73">
        <f>1 - (
    SUM(
        IF(AQ66-Uzman_D!$B$21&lt;0, -(AQ66-Uzman_D!$B$21), AQ66-Uzman_D!$B$21)*0.1 +
        IF(AR66-Uzman_D!$C$21&lt;0, -(AR66-Uzman_D!$C$21), AR66-Uzman_D!$C$21)*0.1 +
        IF(AS66-Uzman_D!$D$21&lt;0, -(AS66-Uzman_D!$D$21), AS66-Uzman_D!$D$21)*0.1 +
        IF(AT66-Uzman_D!$E$21&lt;0, -(AT66-Uzman_D!$E$21), AT66-Uzman_D!$E$21)*0.1 +
        IF(AU66-Uzman_D!$F$21&lt;0, -(AU66-Uzman_D!$F$21), AU66-Uzman_D!$F$21)*0.1 +
        IF(AV66-Uzman_D!$G$21&lt;0, -(AV66-Uzman_D!$G$21), AV66-Uzman_D!$G$21)*0.1 +
        IF(AW66-Uzman_D!$H$21&lt;0, -(AW66-Uzman_D!$H$21), AW66-Uzman_D!$H$21)*0.1 +
        IF(AX66-Uzman_D!$I$21&lt;0, -(AX66-Uzman_D!$I$21), AX66-Uzman_D!$I$21)*0.1 +
        IF(AY66-Uzman_D!$J$21&lt;0, -(AY66-Uzman_D!$J$21), AY66-Uzman_D!$J$21)*0.1
    ) +
    IF(ROUND((IF(BA66-Uzman_D!$L$21&lt;0, -(BA66-Uzman_D!$L$21), BA66-Uzman_D!$L$21)*2),0)/2 = IF(BA66-Uzman_D!$L$21&lt;0, -(BA66-Uzman_D!$L$21), BA66-Uzman_D!$L$21),
    (ROUND((IF(BA66-Uzman_D!$L$21&lt;0, -(BA66-Uzman_D!$L$21), BA66-Uzman_D!$L$21)*2),0)/1 * 0.1), 0) +
    IF(BB66-Uzman_D!$M$21&lt;0, -(BB66-Uzman_D!$M$21), BB66-Uzman_D!$M$21)*1
)</f>
        <v>-0.60000000000000009</v>
      </c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2"/>
      <c r="BO66" s="72"/>
      <c r="BP66" s="73">
        <f>1 - (
    SUM(
        IF(BD66-Uzman_D!$B$22&lt;0, -(BD66-Uzman_D!$B$22), BD66-Uzman_D!$B$22)*0.1 +
        IF(BE66-Uzman_D!$C$22&lt;0, -(BE66-Uzman_D!$C$22), BE66-Uzman_D!$C$22)*0.1 +
        IF(BF66-Uzman_D!$D$22&lt;0, -(BF66-Uzman_D!$D$22), BF66-Uzman_D!$D$22)*0.1 +
        IF(BG66-Uzman_D!$E$22&lt;0, -(BG66-Uzman_D!$E$22), BG66-Uzman_D!$E$22)*0.1 +
        IF(BH66-Uzman_D!$F$22&lt;0, -(BH66-Uzman_D!$F$22), BH66-Uzman_D!$F$22)*0.1 +
        IF(BI66-Uzman_D!$G$22&lt;0, -(BI66-Uzman_D!$G$22), BI66-Uzman_D!$G$22)*0.1 +
        IF(BJ66-Uzman_D!$H$22&lt;0, -(BJ66-Uzman_D!$H$22), BJ66-Uzman_D!$H$22)*0.1 +
        IF(BK66-Uzman_D!$I$22&lt;0, -(BK66-Uzman_D!$I$22), BK66-Uzman_D!$I$22)*0.1 +
        IF(BL66-Uzman_D!$J$22&lt;0, -(BL66-Uzman_D!$J$22), BL66-Uzman_D!$J$22)*0.1
    ) +
    IF(ROUND((IF(BN66-Uzman_D!$L$22&lt;0, -(BN66-Uzman_D!$L$22), BN66-Uzman_D!$L$22)*2),0)/2 = IF(BN66-Uzman_D!$L$22&lt;0, -(BN66-Uzman_D!$L$22), BN66-Uzman_D!$L$22),
    (ROUND((IF(BN66-Uzman_D!$L$22&lt;0, -(BN66-Uzman_D!$L$22), BN66-Uzman_D!$L$22)*2),0)/1 * 0.1), 0) +
    IF(BO66-Uzman_D!$M$22&lt;0, -(BO66-Uzman_D!$M$22), BO66-Uzman_D!$M$22)*1
)</f>
        <v>-0.40000000000000013</v>
      </c>
      <c r="BQ66" s="74">
        <f t="shared" si="0"/>
        <v>-0.54000000000000026</v>
      </c>
    </row>
    <row r="67" spans="1:69" ht="15" customHeight="1" x14ac:dyDescent="0.2">
      <c r="A67" s="57">
        <v>64</v>
      </c>
      <c r="B67" s="37">
        <f>Hakemler!B67</f>
        <v>0</v>
      </c>
      <c r="C67" s="37">
        <f>Hakemler!C67</f>
        <v>0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75"/>
      <c r="O67" s="75"/>
      <c r="P67" s="73">
        <f>1 - (
    SUM(
        IF(D67-Uzman_D!$B$18&lt;0, -(D67-Uzman_D!$B$18), D67-Uzman_D!$B$18)*0.1 +
        IF(E67-Uzman_D!$C$18&lt;0, -(E67-Uzman_D!$C$18), E67-Uzman_D!$C$18)*0.1 +
        IF(F67-Uzman_D!$D$18&lt;0, -(F67-Uzman_D!$D$18), F67-Uzman_D!$D$18)*0.1 +
        IF(G67-Uzman_D!$E$18&lt;0, -(G67-Uzman_D!$E$18), G67-Uzman_D!$E$18)*0.1 +
        IF(H67-Uzman_D!$F$18&lt;0, -(H67-Uzman_D!$F$18), H67-Uzman_D!$F$18)*0.1 +
        IF(I67-Uzman_D!$G$18&lt;0, -(I67-Uzman_D!$G$18), I67-Uzman_D!$G$18)*0.1 +
        IF(J67-Uzman_D!$H$18&lt;0, -(J67-Uzman_D!$H$18), J67-Uzman_D!$H$18)*0.1 +
        IF(K67-Uzman_D!$I$18&lt;0, -(K67-Uzman_D!$I$18), K67-Uzman_D!$I$18)*0.1 +
        IF(L67-Uzman_D!$J$18&lt;0, -(L67-Uzman_D!$J$18), L67-Uzman_D!$J$18)*0.1
    ) +
    IF(ROUND((IF(N67-Uzman_D!$L$18&lt;0, -(N67-Uzman_D!$L$18), N67-Uzman_D!$L$18)*2),0)/2 = IF(N67-Uzman_D!$L$18&lt;0, -(N67-Uzman_D!$L$18), N67-Uzman_D!$L$18),
    (ROUND((IF(N67-Uzman_D!$L$18&lt;0, -(N67-Uzman_D!$L$18), N67-Uzman_D!$L$18)*2),0)/1 * 0.1), 0) +
    IF(O67-Uzman_D!$M$18&lt;0, -(O67-Uzman_D!$M$18), O67-Uzman_D!$M$18)*1
)</f>
        <v>-0.50000000000000022</v>
      </c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75"/>
      <c r="AB67" s="75"/>
      <c r="AC67" s="73">
        <f>1 - (
    SUM(
        IF(Q67-Uzman_D!$B$19&lt;0, -(Q67-Uzman_D!$B$19), Q67-Uzman_D!$B$19)*0.1 +
        IF(R67-Uzman_D!$C$19&lt;0, -(R67-Uzman_D!$C$19), R67-Uzman_D!$C$19)*0.1 +
        IF(S67-Uzman_D!$D$19&lt;0, -(S67-Uzman_D!$D$19), S67-Uzman_D!$D$19)*0.1 +
        IF(T67-Uzman_D!$E$19&lt;0, -(T67-Uzman_D!$E$19), T67-Uzman_D!$E$19)*0.1 +
        IF(U67-Uzman_D!$F$19&lt;0, -(U67-Uzman_D!$F$19), U67-Uzman_D!$F$19)*0.1 +
        IF(V67-Uzman_D!$G$19&lt;0, -(V67-Uzman_D!$G$19), V67-Uzman_D!$G$19)*0.1 +
        IF(W67-Uzman_D!$H$19&lt;0, -(W67-Uzman_D!$H$19), W67-Uzman_D!$H$19)*0.1 +
        IF(X67-Uzman_D!$I$19&lt;0, -(X67-Uzman_D!$I$19), X67-Uzman_D!$I$19)*0.1 +
        IF(Y67-Uzman_D!$J$19&lt;0, -(Y67-Uzman_D!$J$19), Y67-Uzman_D!$J$19)*0.1
    ) +
    IF(ROUND((IF(AA67-Uzman_D!$L$19&lt;0, -(AA67-Uzman_D!$L$19), AA67-Uzman_D!$L$19)*2),0)/2 = IF(AA67-Uzman_D!$L$19&lt;0, -(AA67-Uzman_D!$L$19), AA67-Uzman_D!$L$19),
    (ROUND((IF(AA67-Uzman_D!$L$19&lt;0, -(AA67-Uzman_D!$L$19), AA67-Uzman_D!$L$19)*2),0)/1 * 0.1), 0) +
    IF(AB67-Uzman_D!$M$19&lt;0, -(AB67-Uzman_D!$M$19), AB67-Uzman_D!$M$19)*1
)</f>
        <v>-0.60000000000000009</v>
      </c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75"/>
      <c r="AO67" s="75"/>
      <c r="AP67" s="73">
        <f>1 - (
    SUM(
        IF(AD67-Uzman_D!$B$20&lt;0, -(AD67-Uzman_D!$B$20), AD67-Uzman_D!$B$20)*0.1 +
        IF(AE67-Uzman_D!$C$20&lt;0, -(AE67-Uzman_D!$C$20), AE67-Uzman_D!$C$20)*0.1 +
        IF(AF67-Uzman_D!$D$20&lt;0, -(AF67-Uzman_D!$D$20), AF67-Uzman_D!$D$20)*0.1 +
        IF(AG67-Uzman_D!$E$20&lt;0, -(AG67-Uzman_D!$E$20), AG67-Uzman_D!$E$20)*0.1 +
        IF(AH67-Uzman_D!$F$20&lt;0, -(AH67-Uzman_D!$F$20), AH67-Uzman_D!$F$20)*0.1 +
        IF(AI67-Uzman_D!$G$20&lt;0, -(AI67-Uzman_D!$G$20), AI67-Uzman_D!$G$20)*0.1 +
        IF(AJ67-Uzman_D!$H$20&lt;0, -(AJ67-Uzman_D!$H$20), AJ67-Uzman_D!$H$20)*0.1 +
        IF(AK67-Uzman_D!$I$20&lt;0, -(AK67-Uzman_D!$I$20), AK67-Uzman_D!$I$20)*0.1 +
        IF(AL67-Uzman_D!$J$20&lt;0, -(AL67-Uzman_D!$J$20), AL67-Uzman_D!$J$20)*0.1
    ) +
    IF(ROUND((IF(AN67-Uzman_D!$L$20&lt;0, -(AN67-Uzman_D!$L$20), AN67-Uzman_D!$L$20)*2),0)/2 = IF(AN67-Uzman_D!$L$20&lt;0, -(AN67-Uzman_D!$L$20), AN67-Uzman_D!$L$20),
    (ROUND((IF(AN67-Uzman_D!$L$20&lt;0, -(AN67-Uzman_D!$L$20), AN67-Uzman_D!$L$20)*2),0)/1 * 0.1), 0) +
    IF(AO67-Uzman_D!$M$20&lt;0, -(AO67-Uzman_D!$M$20), AO67-Uzman_D!$M$20)*1
)</f>
        <v>-0.60000000000000009</v>
      </c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75"/>
      <c r="BB67" s="75"/>
      <c r="BC67" s="73">
        <f>1 - (
    SUM(
        IF(AQ67-Uzman_D!$B$21&lt;0, -(AQ67-Uzman_D!$B$21), AQ67-Uzman_D!$B$21)*0.1 +
        IF(AR67-Uzman_D!$C$21&lt;0, -(AR67-Uzman_D!$C$21), AR67-Uzman_D!$C$21)*0.1 +
        IF(AS67-Uzman_D!$D$21&lt;0, -(AS67-Uzman_D!$D$21), AS67-Uzman_D!$D$21)*0.1 +
        IF(AT67-Uzman_D!$E$21&lt;0, -(AT67-Uzman_D!$E$21), AT67-Uzman_D!$E$21)*0.1 +
        IF(AU67-Uzman_D!$F$21&lt;0, -(AU67-Uzman_D!$F$21), AU67-Uzman_D!$F$21)*0.1 +
        IF(AV67-Uzman_D!$G$21&lt;0, -(AV67-Uzman_D!$G$21), AV67-Uzman_D!$G$21)*0.1 +
        IF(AW67-Uzman_D!$H$21&lt;0, -(AW67-Uzman_D!$H$21), AW67-Uzman_D!$H$21)*0.1 +
        IF(AX67-Uzman_D!$I$21&lt;0, -(AX67-Uzman_D!$I$21), AX67-Uzman_D!$I$21)*0.1 +
        IF(AY67-Uzman_D!$J$21&lt;0, -(AY67-Uzman_D!$J$21), AY67-Uzman_D!$J$21)*0.1
    ) +
    IF(ROUND((IF(BA67-Uzman_D!$L$21&lt;0, -(BA67-Uzman_D!$L$21), BA67-Uzman_D!$L$21)*2),0)/2 = IF(BA67-Uzman_D!$L$21&lt;0, -(BA67-Uzman_D!$L$21), BA67-Uzman_D!$L$21),
    (ROUND((IF(BA67-Uzman_D!$L$21&lt;0, -(BA67-Uzman_D!$L$21), BA67-Uzman_D!$L$21)*2),0)/1 * 0.1), 0) +
    IF(BB67-Uzman_D!$M$21&lt;0, -(BB67-Uzman_D!$M$21), BB67-Uzman_D!$M$21)*1
)</f>
        <v>-0.60000000000000009</v>
      </c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75"/>
      <c r="BO67" s="75"/>
      <c r="BP67" s="73">
        <f>1 - (
    SUM(
        IF(BD67-Uzman_D!$B$22&lt;0, -(BD67-Uzman_D!$B$22), BD67-Uzman_D!$B$22)*0.1 +
        IF(BE67-Uzman_D!$C$22&lt;0, -(BE67-Uzman_D!$C$22), BE67-Uzman_D!$C$22)*0.1 +
        IF(BF67-Uzman_D!$D$22&lt;0, -(BF67-Uzman_D!$D$22), BF67-Uzman_D!$D$22)*0.1 +
        IF(BG67-Uzman_D!$E$22&lt;0, -(BG67-Uzman_D!$E$22), BG67-Uzman_D!$E$22)*0.1 +
        IF(BH67-Uzman_D!$F$22&lt;0, -(BH67-Uzman_D!$F$22), BH67-Uzman_D!$F$22)*0.1 +
        IF(BI67-Uzman_D!$G$22&lt;0, -(BI67-Uzman_D!$G$22), BI67-Uzman_D!$G$22)*0.1 +
        IF(BJ67-Uzman_D!$H$22&lt;0, -(BJ67-Uzman_D!$H$22), BJ67-Uzman_D!$H$22)*0.1 +
        IF(BK67-Uzman_D!$I$22&lt;0, -(BK67-Uzman_D!$I$22), BK67-Uzman_D!$I$22)*0.1 +
        IF(BL67-Uzman_D!$J$22&lt;0, -(BL67-Uzman_D!$J$22), BL67-Uzman_D!$J$22)*0.1
    ) +
    IF(ROUND((IF(BN67-Uzman_D!$L$22&lt;0, -(BN67-Uzman_D!$L$22), BN67-Uzman_D!$L$22)*2),0)/2 = IF(BN67-Uzman_D!$L$22&lt;0, -(BN67-Uzman_D!$L$22), BN67-Uzman_D!$L$22),
    (ROUND((IF(BN67-Uzman_D!$L$22&lt;0, -(BN67-Uzman_D!$L$22), BN67-Uzman_D!$L$22)*2),0)/1 * 0.1), 0) +
    IF(BO67-Uzman_D!$M$22&lt;0, -(BO67-Uzman_D!$M$22), BO67-Uzman_D!$M$22)*1
)</f>
        <v>-0.40000000000000013</v>
      </c>
      <c r="BQ67" s="74">
        <f t="shared" si="0"/>
        <v>-0.54000000000000026</v>
      </c>
    </row>
    <row r="68" spans="1:69" ht="15" customHeight="1" x14ac:dyDescent="0.2">
      <c r="A68" s="57">
        <v>65</v>
      </c>
      <c r="B68" s="37">
        <f>Hakemler!B68</f>
        <v>0</v>
      </c>
      <c r="C68" s="37">
        <f>Hakemler!C68</f>
        <v>0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75"/>
      <c r="O68" s="75"/>
      <c r="P68" s="73">
        <f>1 - (
    SUM(
        IF(D68-Uzman_D!$B$18&lt;0, -(D68-Uzman_D!$B$18), D68-Uzman_D!$B$18)*0.1 +
        IF(E68-Uzman_D!$C$18&lt;0, -(E68-Uzman_D!$C$18), E68-Uzman_D!$C$18)*0.1 +
        IF(F68-Uzman_D!$D$18&lt;0, -(F68-Uzman_D!$D$18), F68-Uzman_D!$D$18)*0.1 +
        IF(G68-Uzman_D!$E$18&lt;0, -(G68-Uzman_D!$E$18), G68-Uzman_D!$E$18)*0.1 +
        IF(H68-Uzman_D!$F$18&lt;0, -(H68-Uzman_D!$F$18), H68-Uzman_D!$F$18)*0.1 +
        IF(I68-Uzman_D!$G$18&lt;0, -(I68-Uzman_D!$G$18), I68-Uzman_D!$G$18)*0.1 +
        IF(J68-Uzman_D!$H$18&lt;0, -(J68-Uzman_D!$H$18), J68-Uzman_D!$H$18)*0.1 +
        IF(K68-Uzman_D!$I$18&lt;0, -(K68-Uzman_D!$I$18), K68-Uzman_D!$I$18)*0.1 +
        IF(L68-Uzman_D!$J$18&lt;0, -(L68-Uzman_D!$J$18), L68-Uzman_D!$J$18)*0.1
    ) +
    IF(ROUND((IF(N68-Uzman_D!$L$18&lt;0, -(N68-Uzman_D!$L$18), N68-Uzman_D!$L$18)*2),0)/2 = IF(N68-Uzman_D!$L$18&lt;0, -(N68-Uzman_D!$L$18), N68-Uzman_D!$L$18),
    (ROUND((IF(N68-Uzman_D!$L$18&lt;0, -(N68-Uzman_D!$L$18), N68-Uzman_D!$L$18)*2),0)/1 * 0.1), 0) +
    IF(O68-Uzman_D!$M$18&lt;0, -(O68-Uzman_D!$M$18), O68-Uzman_D!$M$18)*1
)</f>
        <v>-0.50000000000000022</v>
      </c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75"/>
      <c r="AB68" s="75"/>
      <c r="AC68" s="73">
        <f>1 - (
    SUM(
        IF(Q68-Uzman_D!$B$19&lt;0, -(Q68-Uzman_D!$B$19), Q68-Uzman_D!$B$19)*0.1 +
        IF(R68-Uzman_D!$C$19&lt;0, -(R68-Uzman_D!$C$19), R68-Uzman_D!$C$19)*0.1 +
        IF(S68-Uzman_D!$D$19&lt;0, -(S68-Uzman_D!$D$19), S68-Uzman_D!$D$19)*0.1 +
        IF(T68-Uzman_D!$E$19&lt;0, -(T68-Uzman_D!$E$19), T68-Uzman_D!$E$19)*0.1 +
        IF(U68-Uzman_D!$F$19&lt;0, -(U68-Uzman_D!$F$19), U68-Uzman_D!$F$19)*0.1 +
        IF(V68-Uzman_D!$G$19&lt;0, -(V68-Uzman_D!$G$19), V68-Uzman_D!$G$19)*0.1 +
        IF(W68-Uzman_D!$H$19&lt;0, -(W68-Uzman_D!$H$19), W68-Uzman_D!$H$19)*0.1 +
        IF(X68-Uzman_D!$I$19&lt;0, -(X68-Uzman_D!$I$19), X68-Uzman_D!$I$19)*0.1 +
        IF(Y68-Uzman_D!$J$19&lt;0, -(Y68-Uzman_D!$J$19), Y68-Uzman_D!$J$19)*0.1
    ) +
    IF(ROUND((IF(AA68-Uzman_D!$L$19&lt;0, -(AA68-Uzman_D!$L$19), AA68-Uzman_D!$L$19)*2),0)/2 = IF(AA68-Uzman_D!$L$19&lt;0, -(AA68-Uzman_D!$L$19), AA68-Uzman_D!$L$19),
    (ROUND((IF(AA68-Uzman_D!$L$19&lt;0, -(AA68-Uzman_D!$L$19), AA68-Uzman_D!$L$19)*2),0)/1 * 0.1), 0) +
    IF(AB68-Uzman_D!$M$19&lt;0, -(AB68-Uzman_D!$M$19), AB68-Uzman_D!$M$19)*1
)</f>
        <v>-0.60000000000000009</v>
      </c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75"/>
      <c r="AO68" s="75"/>
      <c r="AP68" s="73">
        <f>1 - (
    SUM(
        IF(AD68-Uzman_D!$B$20&lt;0, -(AD68-Uzman_D!$B$20), AD68-Uzman_D!$B$20)*0.1 +
        IF(AE68-Uzman_D!$C$20&lt;0, -(AE68-Uzman_D!$C$20), AE68-Uzman_D!$C$20)*0.1 +
        IF(AF68-Uzman_D!$D$20&lt;0, -(AF68-Uzman_D!$D$20), AF68-Uzman_D!$D$20)*0.1 +
        IF(AG68-Uzman_D!$E$20&lt;0, -(AG68-Uzman_D!$E$20), AG68-Uzman_D!$E$20)*0.1 +
        IF(AH68-Uzman_D!$F$20&lt;0, -(AH68-Uzman_D!$F$20), AH68-Uzman_D!$F$20)*0.1 +
        IF(AI68-Uzman_D!$G$20&lt;0, -(AI68-Uzman_D!$G$20), AI68-Uzman_D!$G$20)*0.1 +
        IF(AJ68-Uzman_D!$H$20&lt;0, -(AJ68-Uzman_D!$H$20), AJ68-Uzman_D!$H$20)*0.1 +
        IF(AK68-Uzman_D!$I$20&lt;0, -(AK68-Uzman_D!$I$20), AK68-Uzman_D!$I$20)*0.1 +
        IF(AL68-Uzman_D!$J$20&lt;0, -(AL68-Uzman_D!$J$20), AL68-Uzman_D!$J$20)*0.1
    ) +
    IF(ROUND((IF(AN68-Uzman_D!$L$20&lt;0, -(AN68-Uzman_D!$L$20), AN68-Uzman_D!$L$20)*2),0)/2 = IF(AN68-Uzman_D!$L$20&lt;0, -(AN68-Uzman_D!$L$20), AN68-Uzman_D!$L$20),
    (ROUND((IF(AN68-Uzman_D!$L$20&lt;0, -(AN68-Uzman_D!$L$20), AN68-Uzman_D!$L$20)*2),0)/1 * 0.1), 0) +
    IF(AO68-Uzman_D!$M$20&lt;0, -(AO68-Uzman_D!$M$20), AO68-Uzman_D!$M$20)*1
)</f>
        <v>-0.60000000000000009</v>
      </c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75"/>
      <c r="BB68" s="75"/>
      <c r="BC68" s="73">
        <f>1 - (
    SUM(
        IF(AQ68-Uzman_D!$B$21&lt;0, -(AQ68-Uzman_D!$B$21), AQ68-Uzman_D!$B$21)*0.1 +
        IF(AR68-Uzman_D!$C$21&lt;0, -(AR68-Uzman_D!$C$21), AR68-Uzman_D!$C$21)*0.1 +
        IF(AS68-Uzman_D!$D$21&lt;0, -(AS68-Uzman_D!$D$21), AS68-Uzman_D!$D$21)*0.1 +
        IF(AT68-Uzman_D!$E$21&lt;0, -(AT68-Uzman_D!$E$21), AT68-Uzman_D!$E$21)*0.1 +
        IF(AU68-Uzman_D!$F$21&lt;0, -(AU68-Uzman_D!$F$21), AU68-Uzman_D!$F$21)*0.1 +
        IF(AV68-Uzman_D!$G$21&lt;0, -(AV68-Uzman_D!$G$21), AV68-Uzman_D!$G$21)*0.1 +
        IF(AW68-Uzman_D!$H$21&lt;0, -(AW68-Uzman_D!$H$21), AW68-Uzman_D!$H$21)*0.1 +
        IF(AX68-Uzman_D!$I$21&lt;0, -(AX68-Uzman_D!$I$21), AX68-Uzman_D!$I$21)*0.1 +
        IF(AY68-Uzman_D!$J$21&lt;0, -(AY68-Uzman_D!$J$21), AY68-Uzman_D!$J$21)*0.1
    ) +
    IF(ROUND((IF(BA68-Uzman_D!$L$21&lt;0, -(BA68-Uzman_D!$L$21), BA68-Uzman_D!$L$21)*2),0)/2 = IF(BA68-Uzman_D!$L$21&lt;0, -(BA68-Uzman_D!$L$21), BA68-Uzman_D!$L$21),
    (ROUND((IF(BA68-Uzman_D!$L$21&lt;0, -(BA68-Uzman_D!$L$21), BA68-Uzman_D!$L$21)*2),0)/1 * 0.1), 0) +
    IF(BB68-Uzman_D!$M$21&lt;0, -(BB68-Uzman_D!$M$21), BB68-Uzman_D!$M$21)*1
)</f>
        <v>-0.60000000000000009</v>
      </c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75"/>
      <c r="BO68" s="75"/>
      <c r="BP68" s="73">
        <f>1 - (
    SUM(
        IF(BD68-Uzman_D!$B$22&lt;0, -(BD68-Uzman_D!$B$22), BD68-Uzman_D!$B$22)*0.1 +
        IF(BE68-Uzman_D!$C$22&lt;0, -(BE68-Uzman_D!$C$22), BE68-Uzman_D!$C$22)*0.1 +
        IF(BF68-Uzman_D!$D$22&lt;0, -(BF68-Uzman_D!$D$22), BF68-Uzman_D!$D$22)*0.1 +
        IF(BG68-Uzman_D!$E$22&lt;0, -(BG68-Uzman_D!$E$22), BG68-Uzman_D!$E$22)*0.1 +
        IF(BH68-Uzman_D!$F$22&lt;0, -(BH68-Uzman_D!$F$22), BH68-Uzman_D!$F$22)*0.1 +
        IF(BI68-Uzman_D!$G$22&lt;0, -(BI68-Uzman_D!$G$22), BI68-Uzman_D!$G$22)*0.1 +
        IF(BJ68-Uzman_D!$H$22&lt;0, -(BJ68-Uzman_D!$H$22), BJ68-Uzman_D!$H$22)*0.1 +
        IF(BK68-Uzman_D!$I$22&lt;0, -(BK68-Uzman_D!$I$22), BK68-Uzman_D!$I$22)*0.1 +
        IF(BL68-Uzman_D!$J$22&lt;0, -(BL68-Uzman_D!$J$22), BL68-Uzman_D!$J$22)*0.1
    ) +
    IF(ROUND((IF(BN68-Uzman_D!$L$22&lt;0, -(BN68-Uzman_D!$L$22), BN68-Uzman_D!$L$22)*2),0)/2 = IF(BN68-Uzman_D!$L$22&lt;0, -(BN68-Uzman_D!$L$22), BN68-Uzman_D!$L$22),
    (ROUND((IF(BN68-Uzman_D!$L$22&lt;0, -(BN68-Uzman_D!$L$22), BN68-Uzman_D!$L$22)*2),0)/1 * 0.1), 0) +
    IF(BO68-Uzman_D!$M$22&lt;0, -(BO68-Uzman_D!$M$22), BO68-Uzman_D!$M$22)*1
)</f>
        <v>-0.40000000000000013</v>
      </c>
      <c r="BQ68" s="74">
        <f t="shared" si="0"/>
        <v>-0.54000000000000026</v>
      </c>
    </row>
    <row r="69" spans="1:69" ht="15" customHeight="1" x14ac:dyDescent="0.2">
      <c r="A69" s="57">
        <v>66</v>
      </c>
      <c r="B69" s="37">
        <f>Hakemler!B69</f>
        <v>0</v>
      </c>
      <c r="C69" s="37">
        <f>Hakemler!C69</f>
        <v>0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75"/>
      <c r="O69" s="75"/>
      <c r="P69" s="73">
        <f>1 - (
    SUM(
        IF(D69-Uzman_D!$B$18&lt;0, -(D69-Uzman_D!$B$18), D69-Uzman_D!$B$18)*0.1 +
        IF(E69-Uzman_D!$C$18&lt;0, -(E69-Uzman_D!$C$18), E69-Uzman_D!$C$18)*0.1 +
        IF(F69-Uzman_D!$D$18&lt;0, -(F69-Uzman_D!$D$18), F69-Uzman_D!$D$18)*0.1 +
        IF(G69-Uzman_D!$E$18&lt;0, -(G69-Uzman_D!$E$18), G69-Uzman_D!$E$18)*0.1 +
        IF(H69-Uzman_D!$F$18&lt;0, -(H69-Uzman_D!$F$18), H69-Uzman_D!$F$18)*0.1 +
        IF(I69-Uzman_D!$G$18&lt;0, -(I69-Uzman_D!$G$18), I69-Uzman_D!$G$18)*0.1 +
        IF(J69-Uzman_D!$H$18&lt;0, -(J69-Uzman_D!$H$18), J69-Uzman_D!$H$18)*0.1 +
        IF(K69-Uzman_D!$I$18&lt;0, -(K69-Uzman_D!$I$18), K69-Uzman_D!$I$18)*0.1 +
        IF(L69-Uzman_D!$J$18&lt;0, -(L69-Uzman_D!$J$18), L69-Uzman_D!$J$18)*0.1
    ) +
    IF(ROUND((IF(N69-Uzman_D!$L$18&lt;0, -(N69-Uzman_D!$L$18), N69-Uzman_D!$L$18)*2),0)/2 = IF(N69-Uzman_D!$L$18&lt;0, -(N69-Uzman_D!$L$18), N69-Uzman_D!$L$18),
    (ROUND((IF(N69-Uzman_D!$L$18&lt;0, -(N69-Uzman_D!$L$18), N69-Uzman_D!$L$18)*2),0)/1 * 0.1), 0) +
    IF(O69-Uzman_D!$M$18&lt;0, -(O69-Uzman_D!$M$18), O69-Uzman_D!$M$18)*1
)</f>
        <v>-0.50000000000000022</v>
      </c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75"/>
      <c r="AB69" s="75"/>
      <c r="AC69" s="73">
        <f>1 - (
    SUM(
        IF(Q69-Uzman_D!$B$19&lt;0, -(Q69-Uzman_D!$B$19), Q69-Uzman_D!$B$19)*0.1 +
        IF(R69-Uzman_D!$C$19&lt;0, -(R69-Uzman_D!$C$19), R69-Uzman_D!$C$19)*0.1 +
        IF(S69-Uzman_D!$D$19&lt;0, -(S69-Uzman_D!$D$19), S69-Uzman_D!$D$19)*0.1 +
        IF(T69-Uzman_D!$E$19&lt;0, -(T69-Uzman_D!$E$19), T69-Uzman_D!$E$19)*0.1 +
        IF(U69-Uzman_D!$F$19&lt;0, -(U69-Uzman_D!$F$19), U69-Uzman_D!$F$19)*0.1 +
        IF(V69-Uzman_D!$G$19&lt;0, -(V69-Uzman_D!$G$19), V69-Uzman_D!$G$19)*0.1 +
        IF(W69-Uzman_D!$H$19&lt;0, -(W69-Uzman_D!$H$19), W69-Uzman_D!$H$19)*0.1 +
        IF(X69-Uzman_D!$I$19&lt;0, -(X69-Uzman_D!$I$19), X69-Uzman_D!$I$19)*0.1 +
        IF(Y69-Uzman_D!$J$19&lt;0, -(Y69-Uzman_D!$J$19), Y69-Uzman_D!$J$19)*0.1
    ) +
    IF(ROUND((IF(AA69-Uzman_D!$L$19&lt;0, -(AA69-Uzman_D!$L$19), AA69-Uzman_D!$L$19)*2),0)/2 = IF(AA69-Uzman_D!$L$19&lt;0, -(AA69-Uzman_D!$L$19), AA69-Uzman_D!$L$19),
    (ROUND((IF(AA69-Uzman_D!$L$19&lt;0, -(AA69-Uzman_D!$L$19), AA69-Uzman_D!$L$19)*2),0)/1 * 0.1), 0) +
    IF(AB69-Uzman_D!$M$19&lt;0, -(AB69-Uzman_D!$M$19), AB69-Uzman_D!$M$19)*1
)</f>
        <v>-0.60000000000000009</v>
      </c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75"/>
      <c r="AO69" s="75"/>
      <c r="AP69" s="73">
        <f>1 - (
    SUM(
        IF(AD69-Uzman_D!$B$20&lt;0, -(AD69-Uzman_D!$B$20), AD69-Uzman_D!$B$20)*0.1 +
        IF(AE69-Uzman_D!$C$20&lt;0, -(AE69-Uzman_D!$C$20), AE69-Uzman_D!$C$20)*0.1 +
        IF(AF69-Uzman_D!$D$20&lt;0, -(AF69-Uzman_D!$D$20), AF69-Uzman_D!$D$20)*0.1 +
        IF(AG69-Uzman_D!$E$20&lt;0, -(AG69-Uzman_D!$E$20), AG69-Uzman_D!$E$20)*0.1 +
        IF(AH69-Uzman_D!$F$20&lt;0, -(AH69-Uzman_D!$F$20), AH69-Uzman_D!$F$20)*0.1 +
        IF(AI69-Uzman_D!$G$20&lt;0, -(AI69-Uzman_D!$G$20), AI69-Uzman_D!$G$20)*0.1 +
        IF(AJ69-Uzman_D!$H$20&lt;0, -(AJ69-Uzman_D!$H$20), AJ69-Uzman_D!$H$20)*0.1 +
        IF(AK69-Uzman_D!$I$20&lt;0, -(AK69-Uzman_D!$I$20), AK69-Uzman_D!$I$20)*0.1 +
        IF(AL69-Uzman_D!$J$20&lt;0, -(AL69-Uzman_D!$J$20), AL69-Uzman_D!$J$20)*0.1
    ) +
    IF(ROUND((IF(AN69-Uzman_D!$L$20&lt;0, -(AN69-Uzman_D!$L$20), AN69-Uzman_D!$L$20)*2),0)/2 = IF(AN69-Uzman_D!$L$20&lt;0, -(AN69-Uzman_D!$L$20), AN69-Uzman_D!$L$20),
    (ROUND((IF(AN69-Uzman_D!$L$20&lt;0, -(AN69-Uzman_D!$L$20), AN69-Uzman_D!$L$20)*2),0)/1 * 0.1), 0) +
    IF(AO69-Uzman_D!$M$20&lt;0, -(AO69-Uzman_D!$M$20), AO69-Uzman_D!$M$20)*1
)</f>
        <v>-0.60000000000000009</v>
      </c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75"/>
      <c r="BB69" s="75"/>
      <c r="BC69" s="73">
        <f>1 - (
    SUM(
        IF(AQ69-Uzman_D!$B$21&lt;0, -(AQ69-Uzman_D!$B$21), AQ69-Uzman_D!$B$21)*0.1 +
        IF(AR69-Uzman_D!$C$21&lt;0, -(AR69-Uzman_D!$C$21), AR69-Uzman_D!$C$21)*0.1 +
        IF(AS69-Uzman_D!$D$21&lt;0, -(AS69-Uzman_D!$D$21), AS69-Uzman_D!$D$21)*0.1 +
        IF(AT69-Uzman_D!$E$21&lt;0, -(AT69-Uzman_D!$E$21), AT69-Uzman_D!$E$21)*0.1 +
        IF(AU69-Uzman_D!$F$21&lt;0, -(AU69-Uzman_D!$F$21), AU69-Uzman_D!$F$21)*0.1 +
        IF(AV69-Uzman_D!$G$21&lt;0, -(AV69-Uzman_D!$G$21), AV69-Uzman_D!$G$21)*0.1 +
        IF(AW69-Uzman_D!$H$21&lt;0, -(AW69-Uzman_D!$H$21), AW69-Uzman_D!$H$21)*0.1 +
        IF(AX69-Uzman_D!$I$21&lt;0, -(AX69-Uzman_D!$I$21), AX69-Uzman_D!$I$21)*0.1 +
        IF(AY69-Uzman_D!$J$21&lt;0, -(AY69-Uzman_D!$J$21), AY69-Uzman_D!$J$21)*0.1
    ) +
    IF(ROUND((IF(BA69-Uzman_D!$L$21&lt;0, -(BA69-Uzman_D!$L$21), BA69-Uzman_D!$L$21)*2),0)/2 = IF(BA69-Uzman_D!$L$21&lt;0, -(BA69-Uzman_D!$L$21), BA69-Uzman_D!$L$21),
    (ROUND((IF(BA69-Uzman_D!$L$21&lt;0, -(BA69-Uzman_D!$L$21), BA69-Uzman_D!$L$21)*2),0)/1 * 0.1), 0) +
    IF(BB69-Uzman_D!$M$21&lt;0, -(BB69-Uzman_D!$M$21), BB69-Uzman_D!$M$21)*1
)</f>
        <v>-0.60000000000000009</v>
      </c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75"/>
      <c r="BO69" s="75"/>
      <c r="BP69" s="73">
        <f>1 - (
    SUM(
        IF(BD69-Uzman_D!$B$22&lt;0, -(BD69-Uzman_D!$B$22), BD69-Uzman_D!$B$22)*0.1 +
        IF(BE69-Uzman_D!$C$22&lt;0, -(BE69-Uzman_D!$C$22), BE69-Uzman_D!$C$22)*0.1 +
        IF(BF69-Uzman_D!$D$22&lt;0, -(BF69-Uzman_D!$D$22), BF69-Uzman_D!$D$22)*0.1 +
        IF(BG69-Uzman_D!$E$22&lt;0, -(BG69-Uzman_D!$E$22), BG69-Uzman_D!$E$22)*0.1 +
        IF(BH69-Uzman_D!$F$22&lt;0, -(BH69-Uzman_D!$F$22), BH69-Uzman_D!$F$22)*0.1 +
        IF(BI69-Uzman_D!$G$22&lt;0, -(BI69-Uzman_D!$G$22), BI69-Uzman_D!$G$22)*0.1 +
        IF(BJ69-Uzman_D!$H$22&lt;0, -(BJ69-Uzman_D!$H$22), BJ69-Uzman_D!$H$22)*0.1 +
        IF(BK69-Uzman_D!$I$22&lt;0, -(BK69-Uzman_D!$I$22), BK69-Uzman_D!$I$22)*0.1 +
        IF(BL69-Uzman_D!$J$22&lt;0, -(BL69-Uzman_D!$J$22), BL69-Uzman_D!$J$22)*0.1
    ) +
    IF(ROUND((IF(BN69-Uzman_D!$L$22&lt;0, -(BN69-Uzman_D!$L$22), BN69-Uzman_D!$L$22)*2),0)/2 = IF(BN69-Uzman_D!$L$22&lt;0, -(BN69-Uzman_D!$L$22), BN69-Uzman_D!$L$22),
    (ROUND((IF(BN69-Uzman_D!$L$22&lt;0, -(BN69-Uzman_D!$L$22), BN69-Uzman_D!$L$22)*2),0)/1 * 0.1), 0) +
    IF(BO69-Uzman_D!$M$22&lt;0, -(BO69-Uzman_D!$M$22), BO69-Uzman_D!$M$22)*1
)</f>
        <v>-0.40000000000000013</v>
      </c>
      <c r="BQ69" s="74">
        <f t="shared" ref="BQ69:BQ103" si="1">(P69+AC69+AP69+BC69+BP69)/5</f>
        <v>-0.54000000000000026</v>
      </c>
    </row>
    <row r="70" spans="1:69" ht="15" customHeight="1" x14ac:dyDescent="0.2">
      <c r="A70" s="57">
        <v>67</v>
      </c>
      <c r="B70" s="37">
        <f>Hakemler!B70</f>
        <v>0</v>
      </c>
      <c r="C70" s="37">
        <f>Hakemler!C70</f>
        <v>0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75"/>
      <c r="O70" s="75"/>
      <c r="P70" s="73">
        <f>1 - (
    SUM(
        IF(D70-Uzman_D!$B$18&lt;0, -(D70-Uzman_D!$B$18), D70-Uzman_D!$B$18)*0.1 +
        IF(E70-Uzman_D!$C$18&lt;0, -(E70-Uzman_D!$C$18), E70-Uzman_D!$C$18)*0.1 +
        IF(F70-Uzman_D!$D$18&lt;0, -(F70-Uzman_D!$D$18), F70-Uzman_D!$D$18)*0.1 +
        IF(G70-Uzman_D!$E$18&lt;0, -(G70-Uzman_D!$E$18), G70-Uzman_D!$E$18)*0.1 +
        IF(H70-Uzman_D!$F$18&lt;0, -(H70-Uzman_D!$F$18), H70-Uzman_D!$F$18)*0.1 +
        IF(I70-Uzman_D!$G$18&lt;0, -(I70-Uzman_D!$G$18), I70-Uzman_D!$G$18)*0.1 +
        IF(J70-Uzman_D!$H$18&lt;0, -(J70-Uzman_D!$H$18), J70-Uzman_D!$H$18)*0.1 +
        IF(K70-Uzman_D!$I$18&lt;0, -(K70-Uzman_D!$I$18), K70-Uzman_D!$I$18)*0.1 +
        IF(L70-Uzman_D!$J$18&lt;0, -(L70-Uzman_D!$J$18), L70-Uzman_D!$J$18)*0.1
    ) +
    IF(ROUND((IF(N70-Uzman_D!$L$18&lt;0, -(N70-Uzman_D!$L$18), N70-Uzman_D!$L$18)*2),0)/2 = IF(N70-Uzman_D!$L$18&lt;0, -(N70-Uzman_D!$L$18), N70-Uzman_D!$L$18),
    (ROUND((IF(N70-Uzman_D!$L$18&lt;0, -(N70-Uzman_D!$L$18), N70-Uzman_D!$L$18)*2),0)/1 * 0.1), 0) +
    IF(O70-Uzman_D!$M$18&lt;0, -(O70-Uzman_D!$M$18), O70-Uzman_D!$M$18)*1
)</f>
        <v>-0.50000000000000022</v>
      </c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75"/>
      <c r="AB70" s="75"/>
      <c r="AC70" s="73">
        <f>1 - (
    SUM(
        IF(Q70-Uzman_D!$B$19&lt;0, -(Q70-Uzman_D!$B$19), Q70-Uzman_D!$B$19)*0.1 +
        IF(R70-Uzman_D!$C$19&lt;0, -(R70-Uzman_D!$C$19), R70-Uzman_D!$C$19)*0.1 +
        IF(S70-Uzman_D!$D$19&lt;0, -(S70-Uzman_D!$D$19), S70-Uzman_D!$D$19)*0.1 +
        IF(T70-Uzman_D!$E$19&lt;0, -(T70-Uzman_D!$E$19), T70-Uzman_D!$E$19)*0.1 +
        IF(U70-Uzman_D!$F$19&lt;0, -(U70-Uzman_D!$F$19), U70-Uzman_D!$F$19)*0.1 +
        IF(V70-Uzman_D!$G$19&lt;0, -(V70-Uzman_D!$G$19), V70-Uzman_D!$G$19)*0.1 +
        IF(W70-Uzman_D!$H$19&lt;0, -(W70-Uzman_D!$H$19), W70-Uzman_D!$H$19)*0.1 +
        IF(X70-Uzman_D!$I$19&lt;0, -(X70-Uzman_D!$I$19), X70-Uzman_D!$I$19)*0.1 +
        IF(Y70-Uzman_D!$J$19&lt;0, -(Y70-Uzman_D!$J$19), Y70-Uzman_D!$J$19)*0.1
    ) +
    IF(ROUND((IF(AA70-Uzman_D!$L$19&lt;0, -(AA70-Uzman_D!$L$19), AA70-Uzman_D!$L$19)*2),0)/2 = IF(AA70-Uzman_D!$L$19&lt;0, -(AA70-Uzman_D!$L$19), AA70-Uzman_D!$L$19),
    (ROUND((IF(AA70-Uzman_D!$L$19&lt;0, -(AA70-Uzman_D!$L$19), AA70-Uzman_D!$L$19)*2),0)/1 * 0.1), 0) +
    IF(AB70-Uzman_D!$M$19&lt;0, -(AB70-Uzman_D!$M$19), AB70-Uzman_D!$M$19)*1
)</f>
        <v>-0.60000000000000009</v>
      </c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75"/>
      <c r="AO70" s="75"/>
      <c r="AP70" s="73">
        <f>1 - (
    SUM(
        IF(AD70-Uzman_D!$B$20&lt;0, -(AD70-Uzman_D!$B$20), AD70-Uzman_D!$B$20)*0.1 +
        IF(AE70-Uzman_D!$C$20&lt;0, -(AE70-Uzman_D!$C$20), AE70-Uzman_D!$C$20)*0.1 +
        IF(AF70-Uzman_D!$D$20&lt;0, -(AF70-Uzman_D!$D$20), AF70-Uzman_D!$D$20)*0.1 +
        IF(AG70-Uzman_D!$E$20&lt;0, -(AG70-Uzman_D!$E$20), AG70-Uzman_D!$E$20)*0.1 +
        IF(AH70-Uzman_D!$F$20&lt;0, -(AH70-Uzman_D!$F$20), AH70-Uzman_D!$F$20)*0.1 +
        IF(AI70-Uzman_D!$G$20&lt;0, -(AI70-Uzman_D!$G$20), AI70-Uzman_D!$G$20)*0.1 +
        IF(AJ70-Uzman_D!$H$20&lt;0, -(AJ70-Uzman_D!$H$20), AJ70-Uzman_D!$H$20)*0.1 +
        IF(AK70-Uzman_D!$I$20&lt;0, -(AK70-Uzman_D!$I$20), AK70-Uzman_D!$I$20)*0.1 +
        IF(AL70-Uzman_D!$J$20&lt;0, -(AL70-Uzman_D!$J$20), AL70-Uzman_D!$J$20)*0.1
    ) +
    IF(ROUND((IF(AN70-Uzman_D!$L$20&lt;0, -(AN70-Uzman_D!$L$20), AN70-Uzman_D!$L$20)*2),0)/2 = IF(AN70-Uzman_D!$L$20&lt;0, -(AN70-Uzman_D!$L$20), AN70-Uzman_D!$L$20),
    (ROUND((IF(AN70-Uzman_D!$L$20&lt;0, -(AN70-Uzman_D!$L$20), AN70-Uzman_D!$L$20)*2),0)/1 * 0.1), 0) +
    IF(AO70-Uzman_D!$M$20&lt;0, -(AO70-Uzman_D!$M$20), AO70-Uzman_D!$M$20)*1
)</f>
        <v>-0.60000000000000009</v>
      </c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75"/>
      <c r="BB70" s="75"/>
      <c r="BC70" s="73">
        <f>1 - (
    SUM(
        IF(AQ70-Uzman_D!$B$21&lt;0, -(AQ70-Uzman_D!$B$21), AQ70-Uzman_D!$B$21)*0.1 +
        IF(AR70-Uzman_D!$C$21&lt;0, -(AR70-Uzman_D!$C$21), AR70-Uzman_D!$C$21)*0.1 +
        IF(AS70-Uzman_D!$D$21&lt;0, -(AS70-Uzman_D!$D$21), AS70-Uzman_D!$D$21)*0.1 +
        IF(AT70-Uzman_D!$E$21&lt;0, -(AT70-Uzman_D!$E$21), AT70-Uzman_D!$E$21)*0.1 +
        IF(AU70-Uzman_D!$F$21&lt;0, -(AU70-Uzman_D!$F$21), AU70-Uzman_D!$F$21)*0.1 +
        IF(AV70-Uzman_D!$G$21&lt;0, -(AV70-Uzman_D!$G$21), AV70-Uzman_D!$G$21)*0.1 +
        IF(AW70-Uzman_D!$H$21&lt;0, -(AW70-Uzman_D!$H$21), AW70-Uzman_D!$H$21)*0.1 +
        IF(AX70-Uzman_D!$I$21&lt;0, -(AX70-Uzman_D!$I$21), AX70-Uzman_D!$I$21)*0.1 +
        IF(AY70-Uzman_D!$J$21&lt;0, -(AY70-Uzman_D!$J$21), AY70-Uzman_D!$J$21)*0.1
    ) +
    IF(ROUND((IF(BA70-Uzman_D!$L$21&lt;0, -(BA70-Uzman_D!$L$21), BA70-Uzman_D!$L$21)*2),0)/2 = IF(BA70-Uzman_D!$L$21&lt;0, -(BA70-Uzman_D!$L$21), BA70-Uzman_D!$L$21),
    (ROUND((IF(BA70-Uzman_D!$L$21&lt;0, -(BA70-Uzman_D!$L$21), BA70-Uzman_D!$L$21)*2),0)/1 * 0.1), 0) +
    IF(BB70-Uzman_D!$M$21&lt;0, -(BB70-Uzman_D!$M$21), BB70-Uzman_D!$M$21)*1
)</f>
        <v>-0.60000000000000009</v>
      </c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75"/>
      <c r="BO70" s="75"/>
      <c r="BP70" s="73">
        <f>1 - (
    SUM(
        IF(BD70-Uzman_D!$B$22&lt;0, -(BD70-Uzman_D!$B$22), BD70-Uzman_D!$B$22)*0.1 +
        IF(BE70-Uzman_D!$C$22&lt;0, -(BE70-Uzman_D!$C$22), BE70-Uzman_D!$C$22)*0.1 +
        IF(BF70-Uzman_D!$D$22&lt;0, -(BF70-Uzman_D!$D$22), BF70-Uzman_D!$D$22)*0.1 +
        IF(BG70-Uzman_D!$E$22&lt;0, -(BG70-Uzman_D!$E$22), BG70-Uzman_D!$E$22)*0.1 +
        IF(BH70-Uzman_D!$F$22&lt;0, -(BH70-Uzman_D!$F$22), BH70-Uzman_D!$F$22)*0.1 +
        IF(BI70-Uzman_D!$G$22&lt;0, -(BI70-Uzman_D!$G$22), BI70-Uzman_D!$G$22)*0.1 +
        IF(BJ70-Uzman_D!$H$22&lt;0, -(BJ70-Uzman_D!$H$22), BJ70-Uzman_D!$H$22)*0.1 +
        IF(BK70-Uzman_D!$I$22&lt;0, -(BK70-Uzman_D!$I$22), BK70-Uzman_D!$I$22)*0.1 +
        IF(BL70-Uzman_D!$J$22&lt;0, -(BL70-Uzman_D!$J$22), BL70-Uzman_D!$J$22)*0.1
    ) +
    IF(ROUND((IF(BN70-Uzman_D!$L$22&lt;0, -(BN70-Uzman_D!$L$22), BN70-Uzman_D!$L$22)*2),0)/2 = IF(BN70-Uzman_D!$L$22&lt;0, -(BN70-Uzman_D!$L$22), BN70-Uzman_D!$L$22),
    (ROUND((IF(BN70-Uzman_D!$L$22&lt;0, -(BN70-Uzman_D!$L$22), BN70-Uzman_D!$L$22)*2),0)/1 * 0.1), 0) +
    IF(BO70-Uzman_D!$M$22&lt;0, -(BO70-Uzman_D!$M$22), BO70-Uzman_D!$M$22)*1
)</f>
        <v>-0.40000000000000013</v>
      </c>
      <c r="BQ70" s="74">
        <f t="shared" si="1"/>
        <v>-0.54000000000000026</v>
      </c>
    </row>
    <row r="71" spans="1:69" ht="15" customHeight="1" x14ac:dyDescent="0.2">
      <c r="A71" s="57">
        <v>68</v>
      </c>
      <c r="B71" s="37">
        <f>Hakemler!B71</f>
        <v>0</v>
      </c>
      <c r="C71" s="37">
        <f>Hakemler!C71</f>
        <v>0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75"/>
      <c r="O71" s="75"/>
      <c r="P71" s="73">
        <f>1 - (
    SUM(
        IF(D71-Uzman_D!$B$18&lt;0, -(D71-Uzman_D!$B$18), D71-Uzman_D!$B$18)*0.1 +
        IF(E71-Uzman_D!$C$18&lt;0, -(E71-Uzman_D!$C$18), E71-Uzman_D!$C$18)*0.1 +
        IF(F71-Uzman_D!$D$18&lt;0, -(F71-Uzman_D!$D$18), F71-Uzman_D!$D$18)*0.1 +
        IF(G71-Uzman_D!$E$18&lt;0, -(G71-Uzman_D!$E$18), G71-Uzman_D!$E$18)*0.1 +
        IF(H71-Uzman_D!$F$18&lt;0, -(H71-Uzman_D!$F$18), H71-Uzman_D!$F$18)*0.1 +
        IF(I71-Uzman_D!$G$18&lt;0, -(I71-Uzman_D!$G$18), I71-Uzman_D!$G$18)*0.1 +
        IF(J71-Uzman_D!$H$18&lt;0, -(J71-Uzman_D!$H$18), J71-Uzman_D!$H$18)*0.1 +
        IF(K71-Uzman_D!$I$18&lt;0, -(K71-Uzman_D!$I$18), K71-Uzman_D!$I$18)*0.1 +
        IF(L71-Uzman_D!$J$18&lt;0, -(L71-Uzman_D!$J$18), L71-Uzman_D!$J$18)*0.1
    ) +
    IF(ROUND((IF(N71-Uzman_D!$L$18&lt;0, -(N71-Uzman_D!$L$18), N71-Uzman_D!$L$18)*2),0)/2 = IF(N71-Uzman_D!$L$18&lt;0, -(N71-Uzman_D!$L$18), N71-Uzman_D!$L$18),
    (ROUND((IF(N71-Uzman_D!$L$18&lt;0, -(N71-Uzman_D!$L$18), N71-Uzman_D!$L$18)*2),0)/1 * 0.1), 0) +
    IF(O71-Uzman_D!$M$18&lt;0, -(O71-Uzman_D!$M$18), O71-Uzman_D!$M$18)*1
)</f>
        <v>-0.50000000000000022</v>
      </c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75"/>
      <c r="AB71" s="75"/>
      <c r="AC71" s="73">
        <f>1 - (
    SUM(
        IF(Q71-Uzman_D!$B$19&lt;0, -(Q71-Uzman_D!$B$19), Q71-Uzman_D!$B$19)*0.1 +
        IF(R71-Uzman_D!$C$19&lt;0, -(R71-Uzman_D!$C$19), R71-Uzman_D!$C$19)*0.1 +
        IF(S71-Uzman_D!$D$19&lt;0, -(S71-Uzman_D!$D$19), S71-Uzman_D!$D$19)*0.1 +
        IF(T71-Uzman_D!$E$19&lt;0, -(T71-Uzman_D!$E$19), T71-Uzman_D!$E$19)*0.1 +
        IF(U71-Uzman_D!$F$19&lt;0, -(U71-Uzman_D!$F$19), U71-Uzman_D!$F$19)*0.1 +
        IF(V71-Uzman_D!$G$19&lt;0, -(V71-Uzman_D!$G$19), V71-Uzman_D!$G$19)*0.1 +
        IF(W71-Uzman_D!$H$19&lt;0, -(W71-Uzman_D!$H$19), W71-Uzman_D!$H$19)*0.1 +
        IF(X71-Uzman_D!$I$19&lt;0, -(X71-Uzman_D!$I$19), X71-Uzman_D!$I$19)*0.1 +
        IF(Y71-Uzman_D!$J$19&lt;0, -(Y71-Uzman_D!$J$19), Y71-Uzman_D!$J$19)*0.1
    ) +
    IF(ROUND((IF(AA71-Uzman_D!$L$19&lt;0, -(AA71-Uzman_D!$L$19), AA71-Uzman_D!$L$19)*2),0)/2 = IF(AA71-Uzman_D!$L$19&lt;0, -(AA71-Uzman_D!$L$19), AA71-Uzman_D!$L$19),
    (ROUND((IF(AA71-Uzman_D!$L$19&lt;0, -(AA71-Uzman_D!$L$19), AA71-Uzman_D!$L$19)*2),0)/1 * 0.1), 0) +
    IF(AB71-Uzman_D!$M$19&lt;0, -(AB71-Uzman_D!$M$19), AB71-Uzman_D!$M$19)*1
)</f>
        <v>-0.60000000000000009</v>
      </c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75"/>
      <c r="AO71" s="75"/>
      <c r="AP71" s="73">
        <f>1 - (
    SUM(
        IF(AD71-Uzman_D!$B$20&lt;0, -(AD71-Uzman_D!$B$20), AD71-Uzman_D!$B$20)*0.1 +
        IF(AE71-Uzman_D!$C$20&lt;0, -(AE71-Uzman_D!$C$20), AE71-Uzman_D!$C$20)*0.1 +
        IF(AF71-Uzman_D!$D$20&lt;0, -(AF71-Uzman_D!$D$20), AF71-Uzman_D!$D$20)*0.1 +
        IF(AG71-Uzman_D!$E$20&lt;0, -(AG71-Uzman_D!$E$20), AG71-Uzman_D!$E$20)*0.1 +
        IF(AH71-Uzman_D!$F$20&lt;0, -(AH71-Uzman_D!$F$20), AH71-Uzman_D!$F$20)*0.1 +
        IF(AI71-Uzman_D!$G$20&lt;0, -(AI71-Uzman_D!$G$20), AI71-Uzman_D!$G$20)*0.1 +
        IF(AJ71-Uzman_D!$H$20&lt;0, -(AJ71-Uzman_D!$H$20), AJ71-Uzman_D!$H$20)*0.1 +
        IF(AK71-Uzman_D!$I$20&lt;0, -(AK71-Uzman_D!$I$20), AK71-Uzman_D!$I$20)*0.1 +
        IF(AL71-Uzman_D!$J$20&lt;0, -(AL71-Uzman_D!$J$20), AL71-Uzman_D!$J$20)*0.1
    ) +
    IF(ROUND((IF(AN71-Uzman_D!$L$20&lt;0, -(AN71-Uzman_D!$L$20), AN71-Uzman_D!$L$20)*2),0)/2 = IF(AN71-Uzman_D!$L$20&lt;0, -(AN71-Uzman_D!$L$20), AN71-Uzman_D!$L$20),
    (ROUND((IF(AN71-Uzman_D!$L$20&lt;0, -(AN71-Uzman_D!$L$20), AN71-Uzman_D!$L$20)*2),0)/1 * 0.1), 0) +
    IF(AO71-Uzman_D!$M$20&lt;0, -(AO71-Uzman_D!$M$20), AO71-Uzman_D!$M$20)*1
)</f>
        <v>-0.60000000000000009</v>
      </c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75"/>
      <c r="BB71" s="75"/>
      <c r="BC71" s="73">
        <f>1 - (
    SUM(
        IF(AQ71-Uzman_D!$B$21&lt;0, -(AQ71-Uzman_D!$B$21), AQ71-Uzman_D!$B$21)*0.1 +
        IF(AR71-Uzman_D!$C$21&lt;0, -(AR71-Uzman_D!$C$21), AR71-Uzman_D!$C$21)*0.1 +
        IF(AS71-Uzman_D!$D$21&lt;0, -(AS71-Uzman_D!$D$21), AS71-Uzman_D!$D$21)*0.1 +
        IF(AT71-Uzman_D!$E$21&lt;0, -(AT71-Uzman_D!$E$21), AT71-Uzman_D!$E$21)*0.1 +
        IF(AU71-Uzman_D!$F$21&lt;0, -(AU71-Uzman_D!$F$21), AU71-Uzman_D!$F$21)*0.1 +
        IF(AV71-Uzman_D!$G$21&lt;0, -(AV71-Uzman_D!$G$21), AV71-Uzman_D!$G$21)*0.1 +
        IF(AW71-Uzman_D!$H$21&lt;0, -(AW71-Uzman_D!$H$21), AW71-Uzman_D!$H$21)*0.1 +
        IF(AX71-Uzman_D!$I$21&lt;0, -(AX71-Uzman_D!$I$21), AX71-Uzman_D!$I$21)*0.1 +
        IF(AY71-Uzman_D!$J$21&lt;0, -(AY71-Uzman_D!$J$21), AY71-Uzman_D!$J$21)*0.1
    ) +
    IF(ROUND((IF(BA71-Uzman_D!$L$21&lt;0, -(BA71-Uzman_D!$L$21), BA71-Uzman_D!$L$21)*2),0)/2 = IF(BA71-Uzman_D!$L$21&lt;0, -(BA71-Uzman_D!$L$21), BA71-Uzman_D!$L$21),
    (ROUND((IF(BA71-Uzman_D!$L$21&lt;0, -(BA71-Uzman_D!$L$21), BA71-Uzman_D!$L$21)*2),0)/1 * 0.1), 0) +
    IF(BB71-Uzman_D!$M$21&lt;0, -(BB71-Uzman_D!$M$21), BB71-Uzman_D!$M$21)*1
)</f>
        <v>-0.60000000000000009</v>
      </c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75"/>
      <c r="BO71" s="75"/>
      <c r="BP71" s="73">
        <f>1 - (
    SUM(
        IF(BD71-Uzman_D!$B$22&lt;0, -(BD71-Uzman_D!$B$22), BD71-Uzman_D!$B$22)*0.1 +
        IF(BE71-Uzman_D!$C$22&lt;0, -(BE71-Uzman_D!$C$22), BE71-Uzman_D!$C$22)*0.1 +
        IF(BF71-Uzman_D!$D$22&lt;0, -(BF71-Uzman_D!$D$22), BF71-Uzman_D!$D$22)*0.1 +
        IF(BG71-Uzman_D!$E$22&lt;0, -(BG71-Uzman_D!$E$22), BG71-Uzman_D!$E$22)*0.1 +
        IF(BH71-Uzman_D!$F$22&lt;0, -(BH71-Uzman_D!$F$22), BH71-Uzman_D!$F$22)*0.1 +
        IF(BI71-Uzman_D!$G$22&lt;0, -(BI71-Uzman_D!$G$22), BI71-Uzman_D!$G$22)*0.1 +
        IF(BJ71-Uzman_D!$H$22&lt;0, -(BJ71-Uzman_D!$H$22), BJ71-Uzman_D!$H$22)*0.1 +
        IF(BK71-Uzman_D!$I$22&lt;0, -(BK71-Uzman_D!$I$22), BK71-Uzman_D!$I$22)*0.1 +
        IF(BL71-Uzman_D!$J$22&lt;0, -(BL71-Uzman_D!$J$22), BL71-Uzman_D!$J$22)*0.1
    ) +
    IF(ROUND((IF(BN71-Uzman_D!$L$22&lt;0, -(BN71-Uzman_D!$L$22), BN71-Uzman_D!$L$22)*2),0)/2 = IF(BN71-Uzman_D!$L$22&lt;0, -(BN71-Uzman_D!$L$22), BN71-Uzman_D!$L$22),
    (ROUND((IF(BN71-Uzman_D!$L$22&lt;0, -(BN71-Uzman_D!$L$22), BN71-Uzman_D!$L$22)*2),0)/1 * 0.1), 0) +
    IF(BO71-Uzman_D!$M$22&lt;0, -(BO71-Uzman_D!$M$22), BO71-Uzman_D!$M$22)*1
)</f>
        <v>-0.40000000000000013</v>
      </c>
      <c r="BQ71" s="74">
        <f t="shared" si="1"/>
        <v>-0.54000000000000026</v>
      </c>
    </row>
    <row r="72" spans="1:69" ht="15" customHeight="1" x14ac:dyDescent="0.2">
      <c r="A72" s="57">
        <v>69</v>
      </c>
      <c r="B72" s="37">
        <f>Hakemler!B72</f>
        <v>0</v>
      </c>
      <c r="C72" s="37">
        <f>Hakemler!C72</f>
        <v>0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75"/>
      <c r="O72" s="75"/>
      <c r="P72" s="73">
        <f>1 - (
    SUM(
        IF(D72-Uzman_D!$B$18&lt;0, -(D72-Uzman_D!$B$18), D72-Uzman_D!$B$18)*0.1 +
        IF(E72-Uzman_D!$C$18&lt;0, -(E72-Uzman_D!$C$18), E72-Uzman_D!$C$18)*0.1 +
        IF(F72-Uzman_D!$D$18&lt;0, -(F72-Uzman_D!$D$18), F72-Uzman_D!$D$18)*0.1 +
        IF(G72-Uzman_D!$E$18&lt;0, -(G72-Uzman_D!$E$18), G72-Uzman_D!$E$18)*0.1 +
        IF(H72-Uzman_D!$F$18&lt;0, -(H72-Uzman_D!$F$18), H72-Uzman_D!$F$18)*0.1 +
        IF(I72-Uzman_D!$G$18&lt;0, -(I72-Uzman_D!$G$18), I72-Uzman_D!$G$18)*0.1 +
        IF(J72-Uzman_D!$H$18&lt;0, -(J72-Uzman_D!$H$18), J72-Uzman_D!$H$18)*0.1 +
        IF(K72-Uzman_D!$I$18&lt;0, -(K72-Uzman_D!$I$18), K72-Uzman_D!$I$18)*0.1 +
        IF(L72-Uzman_D!$J$18&lt;0, -(L72-Uzman_D!$J$18), L72-Uzman_D!$J$18)*0.1
    ) +
    IF(ROUND((IF(N72-Uzman_D!$L$18&lt;0, -(N72-Uzman_D!$L$18), N72-Uzman_D!$L$18)*2),0)/2 = IF(N72-Uzman_D!$L$18&lt;0, -(N72-Uzman_D!$L$18), N72-Uzman_D!$L$18),
    (ROUND((IF(N72-Uzman_D!$L$18&lt;0, -(N72-Uzman_D!$L$18), N72-Uzman_D!$L$18)*2),0)/1 * 0.1), 0) +
    IF(O72-Uzman_D!$M$18&lt;0, -(O72-Uzman_D!$M$18), O72-Uzman_D!$M$18)*1
)</f>
        <v>-0.50000000000000022</v>
      </c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75"/>
      <c r="AB72" s="75"/>
      <c r="AC72" s="73">
        <f>1 - (
    SUM(
        IF(Q72-Uzman_D!$B$19&lt;0, -(Q72-Uzman_D!$B$19), Q72-Uzman_D!$B$19)*0.1 +
        IF(R72-Uzman_D!$C$19&lt;0, -(R72-Uzman_D!$C$19), R72-Uzman_D!$C$19)*0.1 +
        IF(S72-Uzman_D!$D$19&lt;0, -(S72-Uzman_D!$D$19), S72-Uzman_D!$D$19)*0.1 +
        IF(T72-Uzman_D!$E$19&lt;0, -(T72-Uzman_D!$E$19), T72-Uzman_D!$E$19)*0.1 +
        IF(U72-Uzman_D!$F$19&lt;0, -(U72-Uzman_D!$F$19), U72-Uzman_D!$F$19)*0.1 +
        IF(V72-Uzman_D!$G$19&lt;0, -(V72-Uzman_D!$G$19), V72-Uzman_D!$G$19)*0.1 +
        IF(W72-Uzman_D!$H$19&lt;0, -(W72-Uzman_D!$H$19), W72-Uzman_D!$H$19)*0.1 +
        IF(X72-Uzman_D!$I$19&lt;0, -(X72-Uzman_D!$I$19), X72-Uzman_D!$I$19)*0.1 +
        IF(Y72-Uzman_D!$J$19&lt;0, -(Y72-Uzman_D!$J$19), Y72-Uzman_D!$J$19)*0.1
    ) +
    IF(ROUND((IF(AA72-Uzman_D!$L$19&lt;0, -(AA72-Uzman_D!$L$19), AA72-Uzman_D!$L$19)*2),0)/2 = IF(AA72-Uzman_D!$L$19&lt;0, -(AA72-Uzman_D!$L$19), AA72-Uzman_D!$L$19),
    (ROUND((IF(AA72-Uzman_D!$L$19&lt;0, -(AA72-Uzman_D!$L$19), AA72-Uzman_D!$L$19)*2),0)/1 * 0.1), 0) +
    IF(AB72-Uzman_D!$M$19&lt;0, -(AB72-Uzman_D!$M$19), AB72-Uzman_D!$M$19)*1
)</f>
        <v>-0.60000000000000009</v>
      </c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75"/>
      <c r="AO72" s="75"/>
      <c r="AP72" s="73">
        <f>1 - (
    SUM(
        IF(AD72-Uzman_D!$B$20&lt;0, -(AD72-Uzman_D!$B$20), AD72-Uzman_D!$B$20)*0.1 +
        IF(AE72-Uzman_D!$C$20&lt;0, -(AE72-Uzman_D!$C$20), AE72-Uzman_D!$C$20)*0.1 +
        IF(AF72-Uzman_D!$D$20&lt;0, -(AF72-Uzman_D!$D$20), AF72-Uzman_D!$D$20)*0.1 +
        IF(AG72-Uzman_D!$E$20&lt;0, -(AG72-Uzman_D!$E$20), AG72-Uzman_D!$E$20)*0.1 +
        IF(AH72-Uzman_D!$F$20&lt;0, -(AH72-Uzman_D!$F$20), AH72-Uzman_D!$F$20)*0.1 +
        IF(AI72-Uzman_D!$G$20&lt;0, -(AI72-Uzman_D!$G$20), AI72-Uzman_D!$G$20)*0.1 +
        IF(AJ72-Uzman_D!$H$20&lt;0, -(AJ72-Uzman_D!$H$20), AJ72-Uzman_D!$H$20)*0.1 +
        IF(AK72-Uzman_D!$I$20&lt;0, -(AK72-Uzman_D!$I$20), AK72-Uzman_D!$I$20)*0.1 +
        IF(AL72-Uzman_D!$J$20&lt;0, -(AL72-Uzman_D!$J$20), AL72-Uzman_D!$J$20)*0.1
    ) +
    IF(ROUND((IF(AN72-Uzman_D!$L$20&lt;0, -(AN72-Uzman_D!$L$20), AN72-Uzman_D!$L$20)*2),0)/2 = IF(AN72-Uzman_D!$L$20&lt;0, -(AN72-Uzman_D!$L$20), AN72-Uzman_D!$L$20),
    (ROUND((IF(AN72-Uzman_D!$L$20&lt;0, -(AN72-Uzman_D!$L$20), AN72-Uzman_D!$L$20)*2),0)/1 * 0.1), 0) +
    IF(AO72-Uzman_D!$M$20&lt;0, -(AO72-Uzman_D!$M$20), AO72-Uzman_D!$M$20)*1
)</f>
        <v>-0.60000000000000009</v>
      </c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75"/>
      <c r="BB72" s="75"/>
      <c r="BC72" s="73">
        <f>1 - (
    SUM(
        IF(AQ72-Uzman_D!$B$21&lt;0, -(AQ72-Uzman_D!$B$21), AQ72-Uzman_D!$B$21)*0.1 +
        IF(AR72-Uzman_D!$C$21&lt;0, -(AR72-Uzman_D!$C$21), AR72-Uzman_D!$C$21)*0.1 +
        IF(AS72-Uzman_D!$D$21&lt;0, -(AS72-Uzman_D!$D$21), AS72-Uzman_D!$D$21)*0.1 +
        IF(AT72-Uzman_D!$E$21&lt;0, -(AT72-Uzman_D!$E$21), AT72-Uzman_D!$E$21)*0.1 +
        IF(AU72-Uzman_D!$F$21&lt;0, -(AU72-Uzman_D!$F$21), AU72-Uzman_D!$F$21)*0.1 +
        IF(AV72-Uzman_D!$G$21&lt;0, -(AV72-Uzman_D!$G$21), AV72-Uzman_D!$G$21)*0.1 +
        IF(AW72-Uzman_D!$H$21&lt;0, -(AW72-Uzman_D!$H$21), AW72-Uzman_D!$H$21)*0.1 +
        IF(AX72-Uzman_D!$I$21&lt;0, -(AX72-Uzman_D!$I$21), AX72-Uzman_D!$I$21)*0.1 +
        IF(AY72-Uzman_D!$J$21&lt;0, -(AY72-Uzman_D!$J$21), AY72-Uzman_D!$J$21)*0.1
    ) +
    IF(ROUND((IF(BA72-Uzman_D!$L$21&lt;0, -(BA72-Uzman_D!$L$21), BA72-Uzman_D!$L$21)*2),0)/2 = IF(BA72-Uzman_D!$L$21&lt;0, -(BA72-Uzman_D!$L$21), BA72-Uzman_D!$L$21),
    (ROUND((IF(BA72-Uzman_D!$L$21&lt;0, -(BA72-Uzman_D!$L$21), BA72-Uzman_D!$L$21)*2),0)/1 * 0.1), 0) +
    IF(BB72-Uzman_D!$M$21&lt;0, -(BB72-Uzman_D!$M$21), BB72-Uzman_D!$M$21)*1
)</f>
        <v>-0.60000000000000009</v>
      </c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75"/>
      <c r="BO72" s="75"/>
      <c r="BP72" s="73">
        <f>1 - (
    SUM(
        IF(BD72-Uzman_D!$B$22&lt;0, -(BD72-Uzman_D!$B$22), BD72-Uzman_D!$B$22)*0.1 +
        IF(BE72-Uzman_D!$C$22&lt;0, -(BE72-Uzman_D!$C$22), BE72-Uzman_D!$C$22)*0.1 +
        IF(BF72-Uzman_D!$D$22&lt;0, -(BF72-Uzman_D!$D$22), BF72-Uzman_D!$D$22)*0.1 +
        IF(BG72-Uzman_D!$E$22&lt;0, -(BG72-Uzman_D!$E$22), BG72-Uzman_D!$E$22)*0.1 +
        IF(BH72-Uzman_D!$F$22&lt;0, -(BH72-Uzman_D!$F$22), BH72-Uzman_D!$F$22)*0.1 +
        IF(BI72-Uzman_D!$G$22&lt;0, -(BI72-Uzman_D!$G$22), BI72-Uzman_D!$G$22)*0.1 +
        IF(BJ72-Uzman_D!$H$22&lt;0, -(BJ72-Uzman_D!$H$22), BJ72-Uzman_D!$H$22)*0.1 +
        IF(BK72-Uzman_D!$I$22&lt;0, -(BK72-Uzman_D!$I$22), BK72-Uzman_D!$I$22)*0.1 +
        IF(BL72-Uzman_D!$J$22&lt;0, -(BL72-Uzman_D!$J$22), BL72-Uzman_D!$J$22)*0.1
    ) +
    IF(ROUND((IF(BN72-Uzman_D!$L$22&lt;0, -(BN72-Uzman_D!$L$22), BN72-Uzman_D!$L$22)*2),0)/2 = IF(BN72-Uzman_D!$L$22&lt;0, -(BN72-Uzman_D!$L$22), BN72-Uzman_D!$L$22),
    (ROUND((IF(BN72-Uzman_D!$L$22&lt;0, -(BN72-Uzman_D!$L$22), BN72-Uzman_D!$L$22)*2),0)/1 * 0.1), 0) +
    IF(BO72-Uzman_D!$M$22&lt;0, -(BO72-Uzman_D!$M$22), BO72-Uzman_D!$M$22)*1
)</f>
        <v>-0.40000000000000013</v>
      </c>
      <c r="BQ72" s="74">
        <f t="shared" si="1"/>
        <v>-0.54000000000000026</v>
      </c>
    </row>
    <row r="73" spans="1:69" ht="15" customHeight="1" x14ac:dyDescent="0.2">
      <c r="A73" s="57">
        <v>70</v>
      </c>
      <c r="B73" s="37">
        <f>Hakemler!B73</f>
        <v>0</v>
      </c>
      <c r="C73" s="37">
        <f>Hakemler!C73</f>
        <v>0</v>
      </c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75"/>
      <c r="O73" s="75"/>
      <c r="P73" s="73">
        <f>1 - (
    SUM(
        IF(D73-Uzman_D!$B$18&lt;0, -(D73-Uzman_D!$B$18), D73-Uzman_D!$B$18)*0.1 +
        IF(E73-Uzman_D!$C$18&lt;0, -(E73-Uzman_D!$C$18), E73-Uzman_D!$C$18)*0.1 +
        IF(F73-Uzman_D!$D$18&lt;0, -(F73-Uzman_D!$D$18), F73-Uzman_D!$D$18)*0.1 +
        IF(G73-Uzman_D!$E$18&lt;0, -(G73-Uzman_D!$E$18), G73-Uzman_D!$E$18)*0.1 +
        IF(H73-Uzman_D!$F$18&lt;0, -(H73-Uzman_D!$F$18), H73-Uzman_D!$F$18)*0.1 +
        IF(I73-Uzman_D!$G$18&lt;0, -(I73-Uzman_D!$G$18), I73-Uzman_D!$G$18)*0.1 +
        IF(J73-Uzman_D!$H$18&lt;0, -(J73-Uzman_D!$H$18), J73-Uzman_D!$H$18)*0.1 +
        IF(K73-Uzman_D!$I$18&lt;0, -(K73-Uzman_D!$I$18), K73-Uzman_D!$I$18)*0.1 +
        IF(L73-Uzman_D!$J$18&lt;0, -(L73-Uzman_D!$J$18), L73-Uzman_D!$J$18)*0.1
    ) +
    IF(ROUND((IF(N73-Uzman_D!$L$18&lt;0, -(N73-Uzman_D!$L$18), N73-Uzman_D!$L$18)*2),0)/2 = IF(N73-Uzman_D!$L$18&lt;0, -(N73-Uzman_D!$L$18), N73-Uzman_D!$L$18),
    (ROUND((IF(N73-Uzman_D!$L$18&lt;0, -(N73-Uzman_D!$L$18), N73-Uzman_D!$L$18)*2),0)/1 * 0.1), 0) +
    IF(O73-Uzman_D!$M$18&lt;0, -(O73-Uzman_D!$M$18), O73-Uzman_D!$M$18)*1
)</f>
        <v>-0.50000000000000022</v>
      </c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75"/>
      <c r="AB73" s="75"/>
      <c r="AC73" s="73">
        <f>1 - (
    SUM(
        IF(Q73-Uzman_D!$B$19&lt;0, -(Q73-Uzman_D!$B$19), Q73-Uzman_D!$B$19)*0.1 +
        IF(R73-Uzman_D!$C$19&lt;0, -(R73-Uzman_D!$C$19), R73-Uzman_D!$C$19)*0.1 +
        IF(S73-Uzman_D!$D$19&lt;0, -(S73-Uzman_D!$D$19), S73-Uzman_D!$D$19)*0.1 +
        IF(T73-Uzman_D!$E$19&lt;0, -(T73-Uzman_D!$E$19), T73-Uzman_D!$E$19)*0.1 +
        IF(U73-Uzman_D!$F$19&lt;0, -(U73-Uzman_D!$F$19), U73-Uzman_D!$F$19)*0.1 +
        IF(V73-Uzman_D!$G$19&lt;0, -(V73-Uzman_D!$G$19), V73-Uzman_D!$G$19)*0.1 +
        IF(W73-Uzman_D!$H$19&lt;0, -(W73-Uzman_D!$H$19), W73-Uzman_D!$H$19)*0.1 +
        IF(X73-Uzman_D!$I$19&lt;0, -(X73-Uzman_D!$I$19), X73-Uzman_D!$I$19)*0.1 +
        IF(Y73-Uzman_D!$J$19&lt;0, -(Y73-Uzman_D!$J$19), Y73-Uzman_D!$J$19)*0.1
    ) +
    IF(ROUND((IF(AA73-Uzman_D!$L$19&lt;0, -(AA73-Uzman_D!$L$19), AA73-Uzman_D!$L$19)*2),0)/2 = IF(AA73-Uzman_D!$L$19&lt;0, -(AA73-Uzman_D!$L$19), AA73-Uzman_D!$L$19),
    (ROUND((IF(AA73-Uzman_D!$L$19&lt;0, -(AA73-Uzman_D!$L$19), AA73-Uzman_D!$L$19)*2),0)/1 * 0.1), 0) +
    IF(AB73-Uzman_D!$M$19&lt;0, -(AB73-Uzman_D!$M$19), AB73-Uzman_D!$M$19)*1
)</f>
        <v>-0.60000000000000009</v>
      </c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75"/>
      <c r="AO73" s="75"/>
      <c r="AP73" s="73">
        <f>1 - (
    SUM(
        IF(AD73-Uzman_D!$B$20&lt;0, -(AD73-Uzman_D!$B$20), AD73-Uzman_D!$B$20)*0.1 +
        IF(AE73-Uzman_D!$C$20&lt;0, -(AE73-Uzman_D!$C$20), AE73-Uzman_D!$C$20)*0.1 +
        IF(AF73-Uzman_D!$D$20&lt;0, -(AF73-Uzman_D!$D$20), AF73-Uzman_D!$D$20)*0.1 +
        IF(AG73-Uzman_D!$E$20&lt;0, -(AG73-Uzman_D!$E$20), AG73-Uzman_D!$E$20)*0.1 +
        IF(AH73-Uzman_D!$F$20&lt;0, -(AH73-Uzman_D!$F$20), AH73-Uzman_D!$F$20)*0.1 +
        IF(AI73-Uzman_D!$G$20&lt;0, -(AI73-Uzman_D!$G$20), AI73-Uzman_D!$G$20)*0.1 +
        IF(AJ73-Uzman_D!$H$20&lt;0, -(AJ73-Uzman_D!$H$20), AJ73-Uzman_D!$H$20)*0.1 +
        IF(AK73-Uzman_D!$I$20&lt;0, -(AK73-Uzman_D!$I$20), AK73-Uzman_D!$I$20)*0.1 +
        IF(AL73-Uzman_D!$J$20&lt;0, -(AL73-Uzman_D!$J$20), AL73-Uzman_D!$J$20)*0.1
    ) +
    IF(ROUND((IF(AN73-Uzman_D!$L$20&lt;0, -(AN73-Uzman_D!$L$20), AN73-Uzman_D!$L$20)*2),0)/2 = IF(AN73-Uzman_D!$L$20&lt;0, -(AN73-Uzman_D!$L$20), AN73-Uzman_D!$L$20),
    (ROUND((IF(AN73-Uzman_D!$L$20&lt;0, -(AN73-Uzman_D!$L$20), AN73-Uzman_D!$L$20)*2),0)/1 * 0.1), 0) +
    IF(AO73-Uzman_D!$M$20&lt;0, -(AO73-Uzman_D!$M$20), AO73-Uzman_D!$M$20)*1
)</f>
        <v>-0.60000000000000009</v>
      </c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75"/>
      <c r="BB73" s="75"/>
      <c r="BC73" s="73">
        <f>1 - (
    SUM(
        IF(AQ73-Uzman_D!$B$21&lt;0, -(AQ73-Uzman_D!$B$21), AQ73-Uzman_D!$B$21)*0.1 +
        IF(AR73-Uzman_D!$C$21&lt;0, -(AR73-Uzman_D!$C$21), AR73-Uzman_D!$C$21)*0.1 +
        IF(AS73-Uzman_D!$D$21&lt;0, -(AS73-Uzman_D!$D$21), AS73-Uzman_D!$D$21)*0.1 +
        IF(AT73-Uzman_D!$E$21&lt;0, -(AT73-Uzman_D!$E$21), AT73-Uzman_D!$E$21)*0.1 +
        IF(AU73-Uzman_D!$F$21&lt;0, -(AU73-Uzman_D!$F$21), AU73-Uzman_D!$F$21)*0.1 +
        IF(AV73-Uzman_D!$G$21&lt;0, -(AV73-Uzman_D!$G$21), AV73-Uzman_D!$G$21)*0.1 +
        IF(AW73-Uzman_D!$H$21&lt;0, -(AW73-Uzman_D!$H$21), AW73-Uzman_D!$H$21)*0.1 +
        IF(AX73-Uzman_D!$I$21&lt;0, -(AX73-Uzman_D!$I$21), AX73-Uzman_D!$I$21)*0.1 +
        IF(AY73-Uzman_D!$J$21&lt;0, -(AY73-Uzman_D!$J$21), AY73-Uzman_D!$J$21)*0.1
    ) +
    IF(ROUND((IF(BA73-Uzman_D!$L$21&lt;0, -(BA73-Uzman_D!$L$21), BA73-Uzman_D!$L$21)*2),0)/2 = IF(BA73-Uzman_D!$L$21&lt;0, -(BA73-Uzman_D!$L$21), BA73-Uzman_D!$L$21),
    (ROUND((IF(BA73-Uzman_D!$L$21&lt;0, -(BA73-Uzman_D!$L$21), BA73-Uzman_D!$L$21)*2),0)/1 * 0.1), 0) +
    IF(BB73-Uzman_D!$M$21&lt;0, -(BB73-Uzman_D!$M$21), BB73-Uzman_D!$M$21)*1
)</f>
        <v>-0.60000000000000009</v>
      </c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75"/>
      <c r="BO73" s="75"/>
      <c r="BP73" s="73">
        <f>1 - (
    SUM(
        IF(BD73-Uzman_D!$B$22&lt;0, -(BD73-Uzman_D!$B$22), BD73-Uzman_D!$B$22)*0.1 +
        IF(BE73-Uzman_D!$C$22&lt;0, -(BE73-Uzman_D!$C$22), BE73-Uzman_D!$C$22)*0.1 +
        IF(BF73-Uzman_D!$D$22&lt;0, -(BF73-Uzman_D!$D$22), BF73-Uzman_D!$D$22)*0.1 +
        IF(BG73-Uzman_D!$E$22&lt;0, -(BG73-Uzman_D!$E$22), BG73-Uzman_D!$E$22)*0.1 +
        IF(BH73-Uzman_D!$F$22&lt;0, -(BH73-Uzman_D!$F$22), BH73-Uzman_D!$F$22)*0.1 +
        IF(BI73-Uzman_D!$G$22&lt;0, -(BI73-Uzman_D!$G$22), BI73-Uzman_D!$G$22)*0.1 +
        IF(BJ73-Uzman_D!$H$22&lt;0, -(BJ73-Uzman_D!$H$22), BJ73-Uzman_D!$H$22)*0.1 +
        IF(BK73-Uzman_D!$I$22&lt;0, -(BK73-Uzman_D!$I$22), BK73-Uzman_D!$I$22)*0.1 +
        IF(BL73-Uzman_D!$J$22&lt;0, -(BL73-Uzman_D!$J$22), BL73-Uzman_D!$J$22)*0.1
    ) +
    IF(ROUND((IF(BN73-Uzman_D!$L$22&lt;0, -(BN73-Uzman_D!$L$22), BN73-Uzman_D!$L$22)*2),0)/2 = IF(BN73-Uzman_D!$L$22&lt;0, -(BN73-Uzman_D!$L$22), BN73-Uzman_D!$L$22),
    (ROUND((IF(BN73-Uzman_D!$L$22&lt;0, -(BN73-Uzman_D!$L$22), BN73-Uzman_D!$L$22)*2),0)/1 * 0.1), 0) +
    IF(BO73-Uzman_D!$M$22&lt;0, -(BO73-Uzman_D!$M$22), BO73-Uzman_D!$M$22)*1
)</f>
        <v>-0.40000000000000013</v>
      </c>
      <c r="BQ73" s="74">
        <f t="shared" si="1"/>
        <v>-0.54000000000000026</v>
      </c>
    </row>
    <row r="74" spans="1:69" ht="15" customHeight="1" x14ac:dyDescent="0.2">
      <c r="A74" s="57">
        <v>71</v>
      </c>
      <c r="B74" s="37">
        <f>Hakemler!B74</f>
        <v>0</v>
      </c>
      <c r="C74" s="37">
        <f>Hakemler!C74</f>
        <v>0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75"/>
      <c r="O74" s="75"/>
      <c r="P74" s="73">
        <f>1 - (
    SUM(
        IF(D74-Uzman_D!$B$18&lt;0, -(D74-Uzman_D!$B$18), D74-Uzman_D!$B$18)*0.1 +
        IF(E74-Uzman_D!$C$18&lt;0, -(E74-Uzman_D!$C$18), E74-Uzman_D!$C$18)*0.1 +
        IF(F74-Uzman_D!$D$18&lt;0, -(F74-Uzman_D!$D$18), F74-Uzman_D!$D$18)*0.1 +
        IF(G74-Uzman_D!$E$18&lt;0, -(G74-Uzman_D!$E$18), G74-Uzman_D!$E$18)*0.1 +
        IF(H74-Uzman_D!$F$18&lt;0, -(H74-Uzman_D!$F$18), H74-Uzman_D!$F$18)*0.1 +
        IF(I74-Uzman_D!$G$18&lt;0, -(I74-Uzman_D!$G$18), I74-Uzman_D!$G$18)*0.1 +
        IF(J74-Uzman_D!$H$18&lt;0, -(J74-Uzman_D!$H$18), J74-Uzman_D!$H$18)*0.1 +
        IF(K74-Uzman_D!$I$18&lt;0, -(K74-Uzman_D!$I$18), K74-Uzman_D!$I$18)*0.1 +
        IF(L74-Uzman_D!$J$18&lt;0, -(L74-Uzman_D!$J$18), L74-Uzman_D!$J$18)*0.1
    ) +
    IF(ROUND((IF(N74-Uzman_D!$L$18&lt;0, -(N74-Uzman_D!$L$18), N74-Uzman_D!$L$18)*2),0)/2 = IF(N74-Uzman_D!$L$18&lt;0, -(N74-Uzman_D!$L$18), N74-Uzman_D!$L$18),
    (ROUND((IF(N74-Uzman_D!$L$18&lt;0, -(N74-Uzman_D!$L$18), N74-Uzman_D!$L$18)*2),0)/1 * 0.1), 0) +
    IF(O74-Uzman_D!$M$18&lt;0, -(O74-Uzman_D!$M$18), O74-Uzman_D!$M$18)*1
)</f>
        <v>-0.50000000000000022</v>
      </c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75"/>
      <c r="AB74" s="75"/>
      <c r="AC74" s="73">
        <f>1 - (
    SUM(
        IF(Q74-Uzman_D!$B$19&lt;0, -(Q74-Uzman_D!$B$19), Q74-Uzman_D!$B$19)*0.1 +
        IF(R74-Uzman_D!$C$19&lt;0, -(R74-Uzman_D!$C$19), R74-Uzman_D!$C$19)*0.1 +
        IF(S74-Uzman_D!$D$19&lt;0, -(S74-Uzman_D!$D$19), S74-Uzman_D!$D$19)*0.1 +
        IF(T74-Uzman_D!$E$19&lt;0, -(T74-Uzman_D!$E$19), T74-Uzman_D!$E$19)*0.1 +
        IF(U74-Uzman_D!$F$19&lt;0, -(U74-Uzman_D!$F$19), U74-Uzman_D!$F$19)*0.1 +
        IF(V74-Uzman_D!$G$19&lt;0, -(V74-Uzman_D!$G$19), V74-Uzman_D!$G$19)*0.1 +
        IF(W74-Uzman_D!$H$19&lt;0, -(W74-Uzman_D!$H$19), W74-Uzman_D!$H$19)*0.1 +
        IF(X74-Uzman_D!$I$19&lt;0, -(X74-Uzman_D!$I$19), X74-Uzman_D!$I$19)*0.1 +
        IF(Y74-Uzman_D!$J$19&lt;0, -(Y74-Uzman_D!$J$19), Y74-Uzman_D!$J$19)*0.1
    ) +
    IF(ROUND((IF(AA74-Uzman_D!$L$19&lt;0, -(AA74-Uzman_D!$L$19), AA74-Uzman_D!$L$19)*2),0)/2 = IF(AA74-Uzman_D!$L$19&lt;0, -(AA74-Uzman_D!$L$19), AA74-Uzman_D!$L$19),
    (ROUND((IF(AA74-Uzman_D!$L$19&lt;0, -(AA74-Uzman_D!$L$19), AA74-Uzman_D!$L$19)*2),0)/1 * 0.1), 0) +
    IF(AB74-Uzman_D!$M$19&lt;0, -(AB74-Uzman_D!$M$19), AB74-Uzman_D!$M$19)*1
)</f>
        <v>-0.60000000000000009</v>
      </c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75"/>
      <c r="AO74" s="75"/>
      <c r="AP74" s="73">
        <f>1 - (
    SUM(
        IF(AD74-Uzman_D!$B$20&lt;0, -(AD74-Uzman_D!$B$20), AD74-Uzman_D!$B$20)*0.1 +
        IF(AE74-Uzman_D!$C$20&lt;0, -(AE74-Uzman_D!$C$20), AE74-Uzman_D!$C$20)*0.1 +
        IF(AF74-Uzman_D!$D$20&lt;0, -(AF74-Uzman_D!$D$20), AF74-Uzman_D!$D$20)*0.1 +
        IF(AG74-Uzman_D!$E$20&lt;0, -(AG74-Uzman_D!$E$20), AG74-Uzman_D!$E$20)*0.1 +
        IF(AH74-Uzman_D!$F$20&lt;0, -(AH74-Uzman_D!$F$20), AH74-Uzman_D!$F$20)*0.1 +
        IF(AI74-Uzman_D!$G$20&lt;0, -(AI74-Uzman_D!$G$20), AI74-Uzman_D!$G$20)*0.1 +
        IF(AJ74-Uzman_D!$H$20&lt;0, -(AJ74-Uzman_D!$H$20), AJ74-Uzman_D!$H$20)*0.1 +
        IF(AK74-Uzman_D!$I$20&lt;0, -(AK74-Uzman_D!$I$20), AK74-Uzman_D!$I$20)*0.1 +
        IF(AL74-Uzman_D!$J$20&lt;0, -(AL74-Uzman_D!$J$20), AL74-Uzman_D!$J$20)*0.1
    ) +
    IF(ROUND((IF(AN74-Uzman_D!$L$20&lt;0, -(AN74-Uzman_D!$L$20), AN74-Uzman_D!$L$20)*2),0)/2 = IF(AN74-Uzman_D!$L$20&lt;0, -(AN74-Uzman_D!$L$20), AN74-Uzman_D!$L$20),
    (ROUND((IF(AN74-Uzman_D!$L$20&lt;0, -(AN74-Uzman_D!$L$20), AN74-Uzman_D!$L$20)*2),0)/1 * 0.1), 0) +
    IF(AO74-Uzman_D!$M$20&lt;0, -(AO74-Uzman_D!$M$20), AO74-Uzman_D!$M$20)*1
)</f>
        <v>-0.60000000000000009</v>
      </c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75"/>
      <c r="BB74" s="75"/>
      <c r="BC74" s="73">
        <f>1 - (
    SUM(
        IF(AQ74-Uzman_D!$B$21&lt;0, -(AQ74-Uzman_D!$B$21), AQ74-Uzman_D!$B$21)*0.1 +
        IF(AR74-Uzman_D!$C$21&lt;0, -(AR74-Uzman_D!$C$21), AR74-Uzman_D!$C$21)*0.1 +
        IF(AS74-Uzman_D!$D$21&lt;0, -(AS74-Uzman_D!$D$21), AS74-Uzman_D!$D$21)*0.1 +
        IF(AT74-Uzman_D!$E$21&lt;0, -(AT74-Uzman_D!$E$21), AT74-Uzman_D!$E$21)*0.1 +
        IF(AU74-Uzman_D!$F$21&lt;0, -(AU74-Uzman_D!$F$21), AU74-Uzman_D!$F$21)*0.1 +
        IF(AV74-Uzman_D!$G$21&lt;0, -(AV74-Uzman_D!$G$21), AV74-Uzman_D!$G$21)*0.1 +
        IF(AW74-Uzman_D!$H$21&lt;0, -(AW74-Uzman_D!$H$21), AW74-Uzman_D!$H$21)*0.1 +
        IF(AX74-Uzman_D!$I$21&lt;0, -(AX74-Uzman_D!$I$21), AX74-Uzman_D!$I$21)*0.1 +
        IF(AY74-Uzman_D!$J$21&lt;0, -(AY74-Uzman_D!$J$21), AY74-Uzman_D!$J$21)*0.1
    ) +
    IF(ROUND((IF(BA74-Uzman_D!$L$21&lt;0, -(BA74-Uzman_D!$L$21), BA74-Uzman_D!$L$21)*2),0)/2 = IF(BA74-Uzman_D!$L$21&lt;0, -(BA74-Uzman_D!$L$21), BA74-Uzman_D!$L$21),
    (ROUND((IF(BA74-Uzman_D!$L$21&lt;0, -(BA74-Uzman_D!$L$21), BA74-Uzman_D!$L$21)*2),0)/1 * 0.1), 0) +
    IF(BB74-Uzman_D!$M$21&lt;0, -(BB74-Uzman_D!$M$21), BB74-Uzman_D!$M$21)*1
)</f>
        <v>-0.60000000000000009</v>
      </c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75"/>
      <c r="BO74" s="75"/>
      <c r="BP74" s="73">
        <f>1 - (
    SUM(
        IF(BD74-Uzman_D!$B$22&lt;0, -(BD74-Uzman_D!$B$22), BD74-Uzman_D!$B$22)*0.1 +
        IF(BE74-Uzman_D!$C$22&lt;0, -(BE74-Uzman_D!$C$22), BE74-Uzman_D!$C$22)*0.1 +
        IF(BF74-Uzman_D!$D$22&lt;0, -(BF74-Uzman_D!$D$22), BF74-Uzman_D!$D$22)*0.1 +
        IF(BG74-Uzman_D!$E$22&lt;0, -(BG74-Uzman_D!$E$22), BG74-Uzman_D!$E$22)*0.1 +
        IF(BH74-Uzman_D!$F$22&lt;0, -(BH74-Uzman_D!$F$22), BH74-Uzman_D!$F$22)*0.1 +
        IF(BI74-Uzman_D!$G$22&lt;0, -(BI74-Uzman_D!$G$22), BI74-Uzman_D!$G$22)*0.1 +
        IF(BJ74-Uzman_D!$H$22&lt;0, -(BJ74-Uzman_D!$H$22), BJ74-Uzman_D!$H$22)*0.1 +
        IF(BK74-Uzman_D!$I$22&lt;0, -(BK74-Uzman_D!$I$22), BK74-Uzman_D!$I$22)*0.1 +
        IF(BL74-Uzman_D!$J$22&lt;0, -(BL74-Uzman_D!$J$22), BL74-Uzman_D!$J$22)*0.1
    ) +
    IF(ROUND((IF(BN74-Uzman_D!$L$22&lt;0, -(BN74-Uzman_D!$L$22), BN74-Uzman_D!$L$22)*2),0)/2 = IF(BN74-Uzman_D!$L$22&lt;0, -(BN74-Uzman_D!$L$22), BN74-Uzman_D!$L$22),
    (ROUND((IF(BN74-Uzman_D!$L$22&lt;0, -(BN74-Uzman_D!$L$22), BN74-Uzman_D!$L$22)*2),0)/1 * 0.1), 0) +
    IF(BO74-Uzman_D!$M$22&lt;0, -(BO74-Uzman_D!$M$22), BO74-Uzman_D!$M$22)*1
)</f>
        <v>-0.40000000000000013</v>
      </c>
      <c r="BQ74" s="74">
        <f t="shared" si="1"/>
        <v>-0.54000000000000026</v>
      </c>
    </row>
    <row r="75" spans="1:69" ht="15" customHeight="1" x14ac:dyDescent="0.2">
      <c r="A75" s="57">
        <v>72</v>
      </c>
      <c r="B75" s="37">
        <f>Hakemler!B75</f>
        <v>0</v>
      </c>
      <c r="C75" s="37">
        <f>Hakemler!C75</f>
        <v>0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75"/>
      <c r="O75" s="75"/>
      <c r="P75" s="73">
        <f>1 - (
    SUM(
        IF(D75-Uzman_D!$B$18&lt;0, -(D75-Uzman_D!$B$18), D75-Uzman_D!$B$18)*0.1 +
        IF(E75-Uzman_D!$C$18&lt;0, -(E75-Uzman_D!$C$18), E75-Uzman_D!$C$18)*0.1 +
        IF(F75-Uzman_D!$D$18&lt;0, -(F75-Uzman_D!$D$18), F75-Uzman_D!$D$18)*0.1 +
        IF(G75-Uzman_D!$E$18&lt;0, -(G75-Uzman_D!$E$18), G75-Uzman_D!$E$18)*0.1 +
        IF(H75-Uzman_D!$F$18&lt;0, -(H75-Uzman_D!$F$18), H75-Uzman_D!$F$18)*0.1 +
        IF(I75-Uzman_D!$G$18&lt;0, -(I75-Uzman_D!$G$18), I75-Uzman_D!$G$18)*0.1 +
        IF(J75-Uzman_D!$H$18&lt;0, -(J75-Uzman_D!$H$18), J75-Uzman_D!$H$18)*0.1 +
        IF(K75-Uzman_D!$I$18&lt;0, -(K75-Uzman_D!$I$18), K75-Uzman_D!$I$18)*0.1 +
        IF(L75-Uzman_D!$J$18&lt;0, -(L75-Uzman_D!$J$18), L75-Uzman_D!$J$18)*0.1
    ) +
    IF(ROUND((IF(N75-Uzman_D!$L$18&lt;0, -(N75-Uzman_D!$L$18), N75-Uzman_D!$L$18)*2),0)/2 = IF(N75-Uzman_D!$L$18&lt;0, -(N75-Uzman_D!$L$18), N75-Uzman_D!$L$18),
    (ROUND((IF(N75-Uzman_D!$L$18&lt;0, -(N75-Uzman_D!$L$18), N75-Uzman_D!$L$18)*2),0)/1 * 0.1), 0) +
    IF(O75-Uzman_D!$M$18&lt;0, -(O75-Uzman_D!$M$18), O75-Uzman_D!$M$18)*1
)</f>
        <v>-0.50000000000000022</v>
      </c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75"/>
      <c r="AB75" s="75"/>
      <c r="AC75" s="73">
        <f>1 - (
    SUM(
        IF(Q75-Uzman_D!$B$19&lt;0, -(Q75-Uzman_D!$B$19), Q75-Uzman_D!$B$19)*0.1 +
        IF(R75-Uzman_D!$C$19&lt;0, -(R75-Uzman_D!$C$19), R75-Uzman_D!$C$19)*0.1 +
        IF(S75-Uzman_D!$D$19&lt;0, -(S75-Uzman_D!$D$19), S75-Uzman_D!$D$19)*0.1 +
        IF(T75-Uzman_D!$E$19&lt;0, -(T75-Uzman_D!$E$19), T75-Uzman_D!$E$19)*0.1 +
        IF(U75-Uzman_D!$F$19&lt;0, -(U75-Uzman_D!$F$19), U75-Uzman_D!$F$19)*0.1 +
        IF(V75-Uzman_D!$G$19&lt;0, -(V75-Uzman_D!$G$19), V75-Uzman_D!$G$19)*0.1 +
        IF(W75-Uzman_D!$H$19&lt;0, -(W75-Uzman_D!$H$19), W75-Uzman_D!$H$19)*0.1 +
        IF(X75-Uzman_D!$I$19&lt;0, -(X75-Uzman_D!$I$19), X75-Uzman_D!$I$19)*0.1 +
        IF(Y75-Uzman_D!$J$19&lt;0, -(Y75-Uzman_D!$J$19), Y75-Uzman_D!$J$19)*0.1
    ) +
    IF(ROUND((IF(AA75-Uzman_D!$L$19&lt;0, -(AA75-Uzman_D!$L$19), AA75-Uzman_D!$L$19)*2),0)/2 = IF(AA75-Uzman_D!$L$19&lt;0, -(AA75-Uzman_D!$L$19), AA75-Uzman_D!$L$19),
    (ROUND((IF(AA75-Uzman_D!$L$19&lt;0, -(AA75-Uzman_D!$L$19), AA75-Uzman_D!$L$19)*2),0)/1 * 0.1), 0) +
    IF(AB75-Uzman_D!$M$19&lt;0, -(AB75-Uzman_D!$M$19), AB75-Uzman_D!$M$19)*1
)</f>
        <v>-0.60000000000000009</v>
      </c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75"/>
      <c r="AO75" s="75"/>
      <c r="AP75" s="73">
        <f>1 - (
    SUM(
        IF(AD75-Uzman_D!$B$20&lt;0, -(AD75-Uzman_D!$B$20), AD75-Uzman_D!$B$20)*0.1 +
        IF(AE75-Uzman_D!$C$20&lt;0, -(AE75-Uzman_D!$C$20), AE75-Uzman_D!$C$20)*0.1 +
        IF(AF75-Uzman_D!$D$20&lt;0, -(AF75-Uzman_D!$D$20), AF75-Uzman_D!$D$20)*0.1 +
        IF(AG75-Uzman_D!$E$20&lt;0, -(AG75-Uzman_D!$E$20), AG75-Uzman_D!$E$20)*0.1 +
        IF(AH75-Uzman_D!$F$20&lt;0, -(AH75-Uzman_D!$F$20), AH75-Uzman_D!$F$20)*0.1 +
        IF(AI75-Uzman_D!$G$20&lt;0, -(AI75-Uzman_D!$G$20), AI75-Uzman_D!$G$20)*0.1 +
        IF(AJ75-Uzman_D!$H$20&lt;0, -(AJ75-Uzman_D!$H$20), AJ75-Uzman_D!$H$20)*0.1 +
        IF(AK75-Uzman_D!$I$20&lt;0, -(AK75-Uzman_D!$I$20), AK75-Uzman_D!$I$20)*0.1 +
        IF(AL75-Uzman_D!$J$20&lt;0, -(AL75-Uzman_D!$J$20), AL75-Uzman_D!$J$20)*0.1
    ) +
    IF(ROUND((IF(AN75-Uzman_D!$L$20&lt;0, -(AN75-Uzman_D!$L$20), AN75-Uzman_D!$L$20)*2),0)/2 = IF(AN75-Uzman_D!$L$20&lt;0, -(AN75-Uzman_D!$L$20), AN75-Uzman_D!$L$20),
    (ROUND((IF(AN75-Uzman_D!$L$20&lt;0, -(AN75-Uzman_D!$L$20), AN75-Uzman_D!$L$20)*2),0)/1 * 0.1), 0) +
    IF(AO75-Uzman_D!$M$20&lt;0, -(AO75-Uzman_D!$M$20), AO75-Uzman_D!$M$20)*1
)</f>
        <v>-0.60000000000000009</v>
      </c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75"/>
      <c r="BB75" s="75"/>
      <c r="BC75" s="73">
        <f>1 - (
    SUM(
        IF(AQ75-Uzman_D!$B$21&lt;0, -(AQ75-Uzman_D!$B$21), AQ75-Uzman_D!$B$21)*0.1 +
        IF(AR75-Uzman_D!$C$21&lt;0, -(AR75-Uzman_D!$C$21), AR75-Uzman_D!$C$21)*0.1 +
        IF(AS75-Uzman_D!$D$21&lt;0, -(AS75-Uzman_D!$D$21), AS75-Uzman_D!$D$21)*0.1 +
        IF(AT75-Uzman_D!$E$21&lt;0, -(AT75-Uzman_D!$E$21), AT75-Uzman_D!$E$21)*0.1 +
        IF(AU75-Uzman_D!$F$21&lt;0, -(AU75-Uzman_D!$F$21), AU75-Uzman_D!$F$21)*0.1 +
        IF(AV75-Uzman_D!$G$21&lt;0, -(AV75-Uzman_D!$G$21), AV75-Uzman_D!$G$21)*0.1 +
        IF(AW75-Uzman_D!$H$21&lt;0, -(AW75-Uzman_D!$H$21), AW75-Uzman_D!$H$21)*0.1 +
        IF(AX75-Uzman_D!$I$21&lt;0, -(AX75-Uzman_D!$I$21), AX75-Uzman_D!$I$21)*0.1 +
        IF(AY75-Uzman_D!$J$21&lt;0, -(AY75-Uzman_D!$J$21), AY75-Uzman_D!$J$21)*0.1
    ) +
    IF(ROUND((IF(BA75-Uzman_D!$L$21&lt;0, -(BA75-Uzman_D!$L$21), BA75-Uzman_D!$L$21)*2),0)/2 = IF(BA75-Uzman_D!$L$21&lt;0, -(BA75-Uzman_D!$L$21), BA75-Uzman_D!$L$21),
    (ROUND((IF(BA75-Uzman_D!$L$21&lt;0, -(BA75-Uzman_D!$L$21), BA75-Uzman_D!$L$21)*2),0)/1 * 0.1), 0) +
    IF(BB75-Uzman_D!$M$21&lt;0, -(BB75-Uzman_D!$M$21), BB75-Uzman_D!$M$21)*1
)</f>
        <v>-0.60000000000000009</v>
      </c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75"/>
      <c r="BO75" s="75"/>
      <c r="BP75" s="73">
        <f>1 - (
    SUM(
        IF(BD75-Uzman_D!$B$22&lt;0, -(BD75-Uzman_D!$B$22), BD75-Uzman_D!$B$22)*0.1 +
        IF(BE75-Uzman_D!$C$22&lt;0, -(BE75-Uzman_D!$C$22), BE75-Uzman_D!$C$22)*0.1 +
        IF(BF75-Uzman_D!$D$22&lt;0, -(BF75-Uzman_D!$D$22), BF75-Uzman_D!$D$22)*0.1 +
        IF(BG75-Uzman_D!$E$22&lt;0, -(BG75-Uzman_D!$E$22), BG75-Uzman_D!$E$22)*0.1 +
        IF(BH75-Uzman_D!$F$22&lt;0, -(BH75-Uzman_D!$F$22), BH75-Uzman_D!$F$22)*0.1 +
        IF(BI75-Uzman_D!$G$22&lt;0, -(BI75-Uzman_D!$G$22), BI75-Uzman_D!$G$22)*0.1 +
        IF(BJ75-Uzman_D!$H$22&lt;0, -(BJ75-Uzman_D!$H$22), BJ75-Uzman_D!$H$22)*0.1 +
        IF(BK75-Uzman_D!$I$22&lt;0, -(BK75-Uzman_D!$I$22), BK75-Uzman_D!$I$22)*0.1 +
        IF(BL75-Uzman_D!$J$22&lt;0, -(BL75-Uzman_D!$J$22), BL75-Uzman_D!$J$22)*0.1
    ) +
    IF(ROUND((IF(BN75-Uzman_D!$L$22&lt;0, -(BN75-Uzman_D!$L$22), BN75-Uzman_D!$L$22)*2),0)/2 = IF(BN75-Uzman_D!$L$22&lt;0, -(BN75-Uzman_D!$L$22), BN75-Uzman_D!$L$22),
    (ROUND((IF(BN75-Uzman_D!$L$22&lt;0, -(BN75-Uzman_D!$L$22), BN75-Uzman_D!$L$22)*2),0)/1 * 0.1), 0) +
    IF(BO75-Uzman_D!$M$22&lt;0, -(BO75-Uzman_D!$M$22), BO75-Uzman_D!$M$22)*1
)</f>
        <v>-0.40000000000000013</v>
      </c>
      <c r="BQ75" s="74">
        <f t="shared" si="1"/>
        <v>-0.54000000000000026</v>
      </c>
    </row>
    <row r="76" spans="1:69" ht="15" customHeight="1" x14ac:dyDescent="0.2">
      <c r="A76" s="57">
        <v>73</v>
      </c>
      <c r="B76" s="37">
        <f>Hakemler!B76</f>
        <v>0</v>
      </c>
      <c r="C76" s="37">
        <f>Hakemler!C76</f>
        <v>0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75"/>
      <c r="O76" s="75"/>
      <c r="P76" s="73">
        <f>1 - (
    SUM(
        IF(D76-Uzman_D!$B$18&lt;0, -(D76-Uzman_D!$B$18), D76-Uzman_D!$B$18)*0.1 +
        IF(E76-Uzman_D!$C$18&lt;0, -(E76-Uzman_D!$C$18), E76-Uzman_D!$C$18)*0.1 +
        IF(F76-Uzman_D!$D$18&lt;0, -(F76-Uzman_D!$D$18), F76-Uzman_D!$D$18)*0.1 +
        IF(G76-Uzman_D!$E$18&lt;0, -(G76-Uzman_D!$E$18), G76-Uzman_D!$E$18)*0.1 +
        IF(H76-Uzman_D!$F$18&lt;0, -(H76-Uzman_D!$F$18), H76-Uzman_D!$F$18)*0.1 +
        IF(I76-Uzman_D!$G$18&lt;0, -(I76-Uzman_D!$G$18), I76-Uzman_D!$G$18)*0.1 +
        IF(J76-Uzman_D!$H$18&lt;0, -(J76-Uzman_D!$H$18), J76-Uzman_D!$H$18)*0.1 +
        IF(K76-Uzman_D!$I$18&lt;0, -(K76-Uzman_D!$I$18), K76-Uzman_D!$I$18)*0.1 +
        IF(L76-Uzman_D!$J$18&lt;0, -(L76-Uzman_D!$J$18), L76-Uzman_D!$J$18)*0.1
    ) +
    IF(ROUND((IF(N76-Uzman_D!$L$18&lt;0, -(N76-Uzman_D!$L$18), N76-Uzman_D!$L$18)*2),0)/2 = IF(N76-Uzman_D!$L$18&lt;0, -(N76-Uzman_D!$L$18), N76-Uzman_D!$L$18),
    (ROUND((IF(N76-Uzman_D!$L$18&lt;0, -(N76-Uzman_D!$L$18), N76-Uzman_D!$L$18)*2),0)/1 * 0.1), 0) +
    IF(O76-Uzman_D!$M$18&lt;0, -(O76-Uzman_D!$M$18), O76-Uzman_D!$M$18)*1
)</f>
        <v>-0.50000000000000022</v>
      </c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75"/>
      <c r="AB76" s="75"/>
      <c r="AC76" s="73">
        <f>1 - (
    SUM(
        IF(Q76-Uzman_D!$B$19&lt;0, -(Q76-Uzman_D!$B$19), Q76-Uzman_D!$B$19)*0.1 +
        IF(R76-Uzman_D!$C$19&lt;0, -(R76-Uzman_D!$C$19), R76-Uzman_D!$C$19)*0.1 +
        IF(S76-Uzman_D!$D$19&lt;0, -(S76-Uzman_D!$D$19), S76-Uzman_D!$D$19)*0.1 +
        IF(T76-Uzman_D!$E$19&lt;0, -(T76-Uzman_D!$E$19), T76-Uzman_D!$E$19)*0.1 +
        IF(U76-Uzman_D!$F$19&lt;0, -(U76-Uzman_D!$F$19), U76-Uzman_D!$F$19)*0.1 +
        IF(V76-Uzman_D!$G$19&lt;0, -(V76-Uzman_D!$G$19), V76-Uzman_D!$G$19)*0.1 +
        IF(W76-Uzman_D!$H$19&lt;0, -(W76-Uzman_D!$H$19), W76-Uzman_D!$H$19)*0.1 +
        IF(X76-Uzman_D!$I$19&lt;0, -(X76-Uzman_D!$I$19), X76-Uzman_D!$I$19)*0.1 +
        IF(Y76-Uzman_D!$J$19&lt;0, -(Y76-Uzman_D!$J$19), Y76-Uzman_D!$J$19)*0.1
    ) +
    IF(ROUND((IF(AA76-Uzman_D!$L$19&lt;0, -(AA76-Uzman_D!$L$19), AA76-Uzman_D!$L$19)*2),0)/2 = IF(AA76-Uzman_D!$L$19&lt;0, -(AA76-Uzman_D!$L$19), AA76-Uzman_D!$L$19),
    (ROUND((IF(AA76-Uzman_D!$L$19&lt;0, -(AA76-Uzman_D!$L$19), AA76-Uzman_D!$L$19)*2),0)/1 * 0.1), 0) +
    IF(AB76-Uzman_D!$M$19&lt;0, -(AB76-Uzman_D!$M$19), AB76-Uzman_D!$M$19)*1
)</f>
        <v>-0.60000000000000009</v>
      </c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75"/>
      <c r="AO76" s="75"/>
      <c r="AP76" s="73">
        <f>1 - (
    SUM(
        IF(AD76-Uzman_D!$B$20&lt;0, -(AD76-Uzman_D!$B$20), AD76-Uzman_D!$B$20)*0.1 +
        IF(AE76-Uzman_D!$C$20&lt;0, -(AE76-Uzman_D!$C$20), AE76-Uzman_D!$C$20)*0.1 +
        IF(AF76-Uzman_D!$D$20&lt;0, -(AF76-Uzman_D!$D$20), AF76-Uzman_D!$D$20)*0.1 +
        IF(AG76-Uzman_D!$E$20&lt;0, -(AG76-Uzman_D!$E$20), AG76-Uzman_D!$E$20)*0.1 +
        IF(AH76-Uzman_D!$F$20&lt;0, -(AH76-Uzman_D!$F$20), AH76-Uzman_D!$F$20)*0.1 +
        IF(AI76-Uzman_D!$G$20&lt;0, -(AI76-Uzman_D!$G$20), AI76-Uzman_D!$G$20)*0.1 +
        IF(AJ76-Uzman_D!$H$20&lt;0, -(AJ76-Uzman_D!$H$20), AJ76-Uzman_D!$H$20)*0.1 +
        IF(AK76-Uzman_D!$I$20&lt;0, -(AK76-Uzman_D!$I$20), AK76-Uzman_D!$I$20)*0.1 +
        IF(AL76-Uzman_D!$J$20&lt;0, -(AL76-Uzman_D!$J$20), AL76-Uzman_D!$J$20)*0.1
    ) +
    IF(ROUND((IF(AN76-Uzman_D!$L$20&lt;0, -(AN76-Uzman_D!$L$20), AN76-Uzman_D!$L$20)*2),0)/2 = IF(AN76-Uzman_D!$L$20&lt;0, -(AN76-Uzman_D!$L$20), AN76-Uzman_D!$L$20),
    (ROUND((IF(AN76-Uzman_D!$L$20&lt;0, -(AN76-Uzman_D!$L$20), AN76-Uzman_D!$L$20)*2),0)/1 * 0.1), 0) +
    IF(AO76-Uzman_D!$M$20&lt;0, -(AO76-Uzman_D!$M$20), AO76-Uzman_D!$M$20)*1
)</f>
        <v>-0.60000000000000009</v>
      </c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75"/>
      <c r="BB76" s="75"/>
      <c r="BC76" s="73">
        <f>1 - (
    SUM(
        IF(AQ76-Uzman_D!$B$21&lt;0, -(AQ76-Uzman_D!$B$21), AQ76-Uzman_D!$B$21)*0.1 +
        IF(AR76-Uzman_D!$C$21&lt;0, -(AR76-Uzman_D!$C$21), AR76-Uzman_D!$C$21)*0.1 +
        IF(AS76-Uzman_D!$D$21&lt;0, -(AS76-Uzman_D!$D$21), AS76-Uzman_D!$D$21)*0.1 +
        IF(AT76-Uzman_D!$E$21&lt;0, -(AT76-Uzman_D!$E$21), AT76-Uzman_D!$E$21)*0.1 +
        IF(AU76-Uzman_D!$F$21&lt;0, -(AU76-Uzman_D!$F$21), AU76-Uzman_D!$F$21)*0.1 +
        IF(AV76-Uzman_D!$G$21&lt;0, -(AV76-Uzman_D!$G$21), AV76-Uzman_D!$G$21)*0.1 +
        IF(AW76-Uzman_D!$H$21&lt;0, -(AW76-Uzman_D!$H$21), AW76-Uzman_D!$H$21)*0.1 +
        IF(AX76-Uzman_D!$I$21&lt;0, -(AX76-Uzman_D!$I$21), AX76-Uzman_D!$I$21)*0.1 +
        IF(AY76-Uzman_D!$J$21&lt;0, -(AY76-Uzman_D!$J$21), AY76-Uzman_D!$J$21)*0.1
    ) +
    IF(ROUND((IF(BA76-Uzman_D!$L$21&lt;0, -(BA76-Uzman_D!$L$21), BA76-Uzman_D!$L$21)*2),0)/2 = IF(BA76-Uzman_D!$L$21&lt;0, -(BA76-Uzman_D!$L$21), BA76-Uzman_D!$L$21),
    (ROUND((IF(BA76-Uzman_D!$L$21&lt;0, -(BA76-Uzman_D!$L$21), BA76-Uzman_D!$L$21)*2),0)/1 * 0.1), 0) +
    IF(BB76-Uzman_D!$M$21&lt;0, -(BB76-Uzman_D!$M$21), BB76-Uzman_D!$M$21)*1
)</f>
        <v>-0.60000000000000009</v>
      </c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75"/>
      <c r="BO76" s="75"/>
      <c r="BP76" s="73">
        <f>1 - (
    SUM(
        IF(BD76-Uzman_D!$B$22&lt;0, -(BD76-Uzman_D!$B$22), BD76-Uzman_D!$B$22)*0.1 +
        IF(BE76-Uzman_D!$C$22&lt;0, -(BE76-Uzman_D!$C$22), BE76-Uzman_D!$C$22)*0.1 +
        IF(BF76-Uzman_D!$D$22&lt;0, -(BF76-Uzman_D!$D$22), BF76-Uzman_D!$D$22)*0.1 +
        IF(BG76-Uzman_D!$E$22&lt;0, -(BG76-Uzman_D!$E$22), BG76-Uzman_D!$E$22)*0.1 +
        IF(BH76-Uzman_D!$F$22&lt;0, -(BH76-Uzman_D!$F$22), BH76-Uzman_D!$F$22)*0.1 +
        IF(BI76-Uzman_D!$G$22&lt;0, -(BI76-Uzman_D!$G$22), BI76-Uzman_D!$G$22)*0.1 +
        IF(BJ76-Uzman_D!$H$22&lt;0, -(BJ76-Uzman_D!$H$22), BJ76-Uzman_D!$H$22)*0.1 +
        IF(BK76-Uzman_D!$I$22&lt;0, -(BK76-Uzman_D!$I$22), BK76-Uzman_D!$I$22)*0.1 +
        IF(BL76-Uzman_D!$J$22&lt;0, -(BL76-Uzman_D!$J$22), BL76-Uzman_D!$J$22)*0.1
    ) +
    IF(ROUND((IF(BN76-Uzman_D!$L$22&lt;0, -(BN76-Uzman_D!$L$22), BN76-Uzman_D!$L$22)*2),0)/2 = IF(BN76-Uzman_D!$L$22&lt;0, -(BN76-Uzman_D!$L$22), BN76-Uzman_D!$L$22),
    (ROUND((IF(BN76-Uzman_D!$L$22&lt;0, -(BN76-Uzman_D!$L$22), BN76-Uzman_D!$L$22)*2),0)/1 * 0.1), 0) +
    IF(BO76-Uzman_D!$M$22&lt;0, -(BO76-Uzman_D!$M$22), BO76-Uzman_D!$M$22)*1
)</f>
        <v>-0.40000000000000013</v>
      </c>
      <c r="BQ76" s="74">
        <f t="shared" si="1"/>
        <v>-0.54000000000000026</v>
      </c>
    </row>
    <row r="77" spans="1:69" ht="15" customHeight="1" x14ac:dyDescent="0.2">
      <c r="A77" s="57">
        <v>74</v>
      </c>
      <c r="B77" s="37">
        <f>Hakemler!B77</f>
        <v>0</v>
      </c>
      <c r="C77" s="37">
        <f>Hakemler!C77</f>
        <v>0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75"/>
      <c r="O77" s="75"/>
      <c r="P77" s="73">
        <f>1 - (
    SUM(
        IF(D77-Uzman_D!$B$18&lt;0, -(D77-Uzman_D!$B$18), D77-Uzman_D!$B$18)*0.1 +
        IF(E77-Uzman_D!$C$18&lt;0, -(E77-Uzman_D!$C$18), E77-Uzman_D!$C$18)*0.1 +
        IF(F77-Uzman_D!$D$18&lt;0, -(F77-Uzman_D!$D$18), F77-Uzman_D!$D$18)*0.1 +
        IF(G77-Uzman_D!$E$18&lt;0, -(G77-Uzman_D!$E$18), G77-Uzman_D!$E$18)*0.1 +
        IF(H77-Uzman_D!$F$18&lt;0, -(H77-Uzman_D!$F$18), H77-Uzman_D!$F$18)*0.1 +
        IF(I77-Uzman_D!$G$18&lt;0, -(I77-Uzman_D!$G$18), I77-Uzman_D!$G$18)*0.1 +
        IF(J77-Uzman_D!$H$18&lt;0, -(J77-Uzman_D!$H$18), J77-Uzman_D!$H$18)*0.1 +
        IF(K77-Uzman_D!$I$18&lt;0, -(K77-Uzman_D!$I$18), K77-Uzman_D!$I$18)*0.1 +
        IF(L77-Uzman_D!$J$18&lt;0, -(L77-Uzman_D!$J$18), L77-Uzman_D!$J$18)*0.1
    ) +
    IF(ROUND((IF(N77-Uzman_D!$L$18&lt;0, -(N77-Uzman_D!$L$18), N77-Uzman_D!$L$18)*2),0)/2 = IF(N77-Uzman_D!$L$18&lt;0, -(N77-Uzman_D!$L$18), N77-Uzman_D!$L$18),
    (ROUND((IF(N77-Uzman_D!$L$18&lt;0, -(N77-Uzman_D!$L$18), N77-Uzman_D!$L$18)*2),0)/1 * 0.1), 0) +
    IF(O77-Uzman_D!$M$18&lt;0, -(O77-Uzman_D!$M$18), O77-Uzman_D!$M$18)*1
)</f>
        <v>-0.50000000000000022</v>
      </c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75"/>
      <c r="AB77" s="75"/>
      <c r="AC77" s="73">
        <f>1 - (
    SUM(
        IF(Q77-Uzman_D!$B$19&lt;0, -(Q77-Uzman_D!$B$19), Q77-Uzman_D!$B$19)*0.1 +
        IF(R77-Uzman_D!$C$19&lt;0, -(R77-Uzman_D!$C$19), R77-Uzman_D!$C$19)*0.1 +
        IF(S77-Uzman_D!$D$19&lt;0, -(S77-Uzman_D!$D$19), S77-Uzman_D!$D$19)*0.1 +
        IF(T77-Uzman_D!$E$19&lt;0, -(T77-Uzman_D!$E$19), T77-Uzman_D!$E$19)*0.1 +
        IF(U77-Uzman_D!$F$19&lt;0, -(U77-Uzman_D!$F$19), U77-Uzman_D!$F$19)*0.1 +
        IF(V77-Uzman_D!$G$19&lt;0, -(V77-Uzman_D!$G$19), V77-Uzman_D!$G$19)*0.1 +
        IF(W77-Uzman_D!$H$19&lt;0, -(W77-Uzman_D!$H$19), W77-Uzman_D!$H$19)*0.1 +
        IF(X77-Uzman_D!$I$19&lt;0, -(X77-Uzman_D!$I$19), X77-Uzman_D!$I$19)*0.1 +
        IF(Y77-Uzman_D!$J$19&lt;0, -(Y77-Uzman_D!$J$19), Y77-Uzman_D!$J$19)*0.1
    ) +
    IF(ROUND((IF(AA77-Uzman_D!$L$19&lt;0, -(AA77-Uzman_D!$L$19), AA77-Uzman_D!$L$19)*2),0)/2 = IF(AA77-Uzman_D!$L$19&lt;0, -(AA77-Uzman_D!$L$19), AA77-Uzman_D!$L$19),
    (ROUND((IF(AA77-Uzman_D!$L$19&lt;0, -(AA77-Uzman_D!$L$19), AA77-Uzman_D!$L$19)*2),0)/1 * 0.1), 0) +
    IF(AB77-Uzman_D!$M$19&lt;0, -(AB77-Uzman_D!$M$19), AB77-Uzman_D!$M$19)*1
)</f>
        <v>-0.60000000000000009</v>
      </c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75"/>
      <c r="AO77" s="75"/>
      <c r="AP77" s="73">
        <f>1 - (
    SUM(
        IF(AD77-Uzman_D!$B$20&lt;0, -(AD77-Uzman_D!$B$20), AD77-Uzman_D!$B$20)*0.1 +
        IF(AE77-Uzman_D!$C$20&lt;0, -(AE77-Uzman_D!$C$20), AE77-Uzman_D!$C$20)*0.1 +
        IF(AF77-Uzman_D!$D$20&lt;0, -(AF77-Uzman_D!$D$20), AF77-Uzman_D!$D$20)*0.1 +
        IF(AG77-Uzman_D!$E$20&lt;0, -(AG77-Uzman_D!$E$20), AG77-Uzman_D!$E$20)*0.1 +
        IF(AH77-Uzman_D!$F$20&lt;0, -(AH77-Uzman_D!$F$20), AH77-Uzman_D!$F$20)*0.1 +
        IF(AI77-Uzman_D!$G$20&lt;0, -(AI77-Uzman_D!$G$20), AI77-Uzman_D!$G$20)*0.1 +
        IF(AJ77-Uzman_D!$H$20&lt;0, -(AJ77-Uzman_D!$H$20), AJ77-Uzman_D!$H$20)*0.1 +
        IF(AK77-Uzman_D!$I$20&lt;0, -(AK77-Uzman_D!$I$20), AK77-Uzman_D!$I$20)*0.1 +
        IF(AL77-Uzman_D!$J$20&lt;0, -(AL77-Uzman_D!$J$20), AL77-Uzman_D!$J$20)*0.1
    ) +
    IF(ROUND((IF(AN77-Uzman_D!$L$20&lt;0, -(AN77-Uzman_D!$L$20), AN77-Uzman_D!$L$20)*2),0)/2 = IF(AN77-Uzman_D!$L$20&lt;0, -(AN77-Uzman_D!$L$20), AN77-Uzman_D!$L$20),
    (ROUND((IF(AN77-Uzman_D!$L$20&lt;0, -(AN77-Uzman_D!$L$20), AN77-Uzman_D!$L$20)*2),0)/1 * 0.1), 0) +
    IF(AO77-Uzman_D!$M$20&lt;0, -(AO77-Uzman_D!$M$20), AO77-Uzman_D!$M$20)*1
)</f>
        <v>-0.60000000000000009</v>
      </c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75"/>
      <c r="BB77" s="75"/>
      <c r="BC77" s="73">
        <f>1 - (
    SUM(
        IF(AQ77-Uzman_D!$B$21&lt;0, -(AQ77-Uzman_D!$B$21), AQ77-Uzman_D!$B$21)*0.1 +
        IF(AR77-Uzman_D!$C$21&lt;0, -(AR77-Uzman_D!$C$21), AR77-Uzman_D!$C$21)*0.1 +
        IF(AS77-Uzman_D!$D$21&lt;0, -(AS77-Uzman_D!$D$21), AS77-Uzman_D!$D$21)*0.1 +
        IF(AT77-Uzman_D!$E$21&lt;0, -(AT77-Uzman_D!$E$21), AT77-Uzman_D!$E$21)*0.1 +
        IF(AU77-Uzman_D!$F$21&lt;0, -(AU77-Uzman_D!$F$21), AU77-Uzman_D!$F$21)*0.1 +
        IF(AV77-Uzman_D!$G$21&lt;0, -(AV77-Uzman_D!$G$21), AV77-Uzman_D!$G$21)*0.1 +
        IF(AW77-Uzman_D!$H$21&lt;0, -(AW77-Uzman_D!$H$21), AW77-Uzman_D!$H$21)*0.1 +
        IF(AX77-Uzman_D!$I$21&lt;0, -(AX77-Uzman_D!$I$21), AX77-Uzman_D!$I$21)*0.1 +
        IF(AY77-Uzman_D!$J$21&lt;0, -(AY77-Uzman_D!$J$21), AY77-Uzman_D!$J$21)*0.1
    ) +
    IF(ROUND((IF(BA77-Uzman_D!$L$21&lt;0, -(BA77-Uzman_D!$L$21), BA77-Uzman_D!$L$21)*2),0)/2 = IF(BA77-Uzman_D!$L$21&lt;0, -(BA77-Uzman_D!$L$21), BA77-Uzman_D!$L$21),
    (ROUND((IF(BA77-Uzman_D!$L$21&lt;0, -(BA77-Uzman_D!$L$21), BA77-Uzman_D!$L$21)*2),0)/1 * 0.1), 0) +
    IF(BB77-Uzman_D!$M$21&lt;0, -(BB77-Uzman_D!$M$21), BB77-Uzman_D!$M$21)*1
)</f>
        <v>-0.60000000000000009</v>
      </c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75"/>
      <c r="BO77" s="75"/>
      <c r="BP77" s="73">
        <f>1 - (
    SUM(
        IF(BD77-Uzman_D!$B$22&lt;0, -(BD77-Uzman_D!$B$22), BD77-Uzman_D!$B$22)*0.1 +
        IF(BE77-Uzman_D!$C$22&lt;0, -(BE77-Uzman_D!$C$22), BE77-Uzman_D!$C$22)*0.1 +
        IF(BF77-Uzman_D!$D$22&lt;0, -(BF77-Uzman_D!$D$22), BF77-Uzman_D!$D$22)*0.1 +
        IF(BG77-Uzman_D!$E$22&lt;0, -(BG77-Uzman_D!$E$22), BG77-Uzman_D!$E$22)*0.1 +
        IF(BH77-Uzman_D!$F$22&lt;0, -(BH77-Uzman_D!$F$22), BH77-Uzman_D!$F$22)*0.1 +
        IF(BI77-Uzman_D!$G$22&lt;0, -(BI77-Uzman_D!$G$22), BI77-Uzman_D!$G$22)*0.1 +
        IF(BJ77-Uzman_D!$H$22&lt;0, -(BJ77-Uzman_D!$H$22), BJ77-Uzman_D!$H$22)*0.1 +
        IF(BK77-Uzman_D!$I$22&lt;0, -(BK77-Uzman_D!$I$22), BK77-Uzman_D!$I$22)*0.1 +
        IF(BL77-Uzman_D!$J$22&lt;0, -(BL77-Uzman_D!$J$22), BL77-Uzman_D!$J$22)*0.1
    ) +
    IF(ROUND((IF(BN77-Uzman_D!$L$22&lt;0, -(BN77-Uzman_D!$L$22), BN77-Uzman_D!$L$22)*2),0)/2 = IF(BN77-Uzman_D!$L$22&lt;0, -(BN77-Uzman_D!$L$22), BN77-Uzman_D!$L$22),
    (ROUND((IF(BN77-Uzman_D!$L$22&lt;0, -(BN77-Uzman_D!$L$22), BN77-Uzman_D!$L$22)*2),0)/1 * 0.1), 0) +
    IF(BO77-Uzman_D!$M$22&lt;0, -(BO77-Uzman_D!$M$22), BO77-Uzman_D!$M$22)*1
)</f>
        <v>-0.40000000000000013</v>
      </c>
      <c r="BQ77" s="74">
        <f t="shared" si="1"/>
        <v>-0.54000000000000026</v>
      </c>
    </row>
    <row r="78" spans="1:69" ht="15" customHeight="1" x14ac:dyDescent="0.2">
      <c r="A78" s="57">
        <v>75</v>
      </c>
      <c r="B78" s="37">
        <f>Hakemler!B78</f>
        <v>0</v>
      </c>
      <c r="C78" s="37">
        <f>Hakemler!C78</f>
        <v>0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75"/>
      <c r="O78" s="75"/>
      <c r="P78" s="73">
        <f>1 - (
    SUM(
        IF(D78-Uzman_D!$B$18&lt;0, -(D78-Uzman_D!$B$18), D78-Uzman_D!$B$18)*0.1 +
        IF(E78-Uzman_D!$C$18&lt;0, -(E78-Uzman_D!$C$18), E78-Uzman_D!$C$18)*0.1 +
        IF(F78-Uzman_D!$D$18&lt;0, -(F78-Uzman_D!$D$18), F78-Uzman_D!$D$18)*0.1 +
        IF(G78-Uzman_D!$E$18&lt;0, -(G78-Uzman_D!$E$18), G78-Uzman_D!$E$18)*0.1 +
        IF(H78-Uzman_D!$F$18&lt;0, -(H78-Uzman_D!$F$18), H78-Uzman_D!$F$18)*0.1 +
        IF(I78-Uzman_D!$G$18&lt;0, -(I78-Uzman_D!$G$18), I78-Uzman_D!$G$18)*0.1 +
        IF(J78-Uzman_D!$H$18&lt;0, -(J78-Uzman_D!$H$18), J78-Uzman_D!$H$18)*0.1 +
        IF(K78-Uzman_D!$I$18&lt;0, -(K78-Uzman_D!$I$18), K78-Uzman_D!$I$18)*0.1 +
        IF(L78-Uzman_D!$J$18&lt;0, -(L78-Uzman_D!$J$18), L78-Uzman_D!$J$18)*0.1
    ) +
    IF(ROUND((IF(N78-Uzman_D!$L$18&lt;0, -(N78-Uzman_D!$L$18), N78-Uzman_D!$L$18)*2),0)/2 = IF(N78-Uzman_D!$L$18&lt;0, -(N78-Uzman_D!$L$18), N78-Uzman_D!$L$18),
    (ROUND((IF(N78-Uzman_D!$L$18&lt;0, -(N78-Uzman_D!$L$18), N78-Uzman_D!$L$18)*2),0)/1 * 0.1), 0) +
    IF(O78-Uzman_D!$M$18&lt;0, -(O78-Uzman_D!$M$18), O78-Uzman_D!$M$18)*1
)</f>
        <v>-0.50000000000000022</v>
      </c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75"/>
      <c r="AB78" s="75"/>
      <c r="AC78" s="73">
        <f>1 - (
    SUM(
        IF(Q78-Uzman_D!$B$19&lt;0, -(Q78-Uzman_D!$B$19), Q78-Uzman_D!$B$19)*0.1 +
        IF(R78-Uzman_D!$C$19&lt;0, -(R78-Uzman_D!$C$19), R78-Uzman_D!$C$19)*0.1 +
        IF(S78-Uzman_D!$D$19&lt;0, -(S78-Uzman_D!$D$19), S78-Uzman_D!$D$19)*0.1 +
        IF(T78-Uzman_D!$E$19&lt;0, -(T78-Uzman_D!$E$19), T78-Uzman_D!$E$19)*0.1 +
        IF(U78-Uzman_D!$F$19&lt;0, -(U78-Uzman_D!$F$19), U78-Uzman_D!$F$19)*0.1 +
        IF(V78-Uzman_D!$G$19&lt;0, -(V78-Uzman_D!$G$19), V78-Uzman_D!$G$19)*0.1 +
        IF(W78-Uzman_D!$H$19&lt;0, -(W78-Uzman_D!$H$19), W78-Uzman_D!$H$19)*0.1 +
        IF(X78-Uzman_D!$I$19&lt;0, -(X78-Uzman_D!$I$19), X78-Uzman_D!$I$19)*0.1 +
        IF(Y78-Uzman_D!$J$19&lt;0, -(Y78-Uzman_D!$J$19), Y78-Uzman_D!$J$19)*0.1
    ) +
    IF(ROUND((IF(AA78-Uzman_D!$L$19&lt;0, -(AA78-Uzman_D!$L$19), AA78-Uzman_D!$L$19)*2),0)/2 = IF(AA78-Uzman_D!$L$19&lt;0, -(AA78-Uzman_D!$L$19), AA78-Uzman_D!$L$19),
    (ROUND((IF(AA78-Uzman_D!$L$19&lt;0, -(AA78-Uzman_D!$L$19), AA78-Uzman_D!$L$19)*2),0)/1 * 0.1), 0) +
    IF(AB78-Uzman_D!$M$19&lt;0, -(AB78-Uzman_D!$M$19), AB78-Uzman_D!$M$19)*1
)</f>
        <v>-0.60000000000000009</v>
      </c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75"/>
      <c r="AO78" s="75"/>
      <c r="AP78" s="73">
        <f>1 - (
    SUM(
        IF(AD78-Uzman_D!$B$20&lt;0, -(AD78-Uzman_D!$B$20), AD78-Uzman_D!$B$20)*0.1 +
        IF(AE78-Uzman_D!$C$20&lt;0, -(AE78-Uzman_D!$C$20), AE78-Uzman_D!$C$20)*0.1 +
        IF(AF78-Uzman_D!$D$20&lt;0, -(AF78-Uzman_D!$D$20), AF78-Uzman_D!$D$20)*0.1 +
        IF(AG78-Uzman_D!$E$20&lt;0, -(AG78-Uzman_D!$E$20), AG78-Uzman_D!$E$20)*0.1 +
        IF(AH78-Uzman_D!$F$20&lt;0, -(AH78-Uzman_D!$F$20), AH78-Uzman_D!$F$20)*0.1 +
        IF(AI78-Uzman_D!$G$20&lt;0, -(AI78-Uzman_D!$G$20), AI78-Uzman_D!$G$20)*0.1 +
        IF(AJ78-Uzman_D!$H$20&lt;0, -(AJ78-Uzman_D!$H$20), AJ78-Uzman_D!$H$20)*0.1 +
        IF(AK78-Uzman_D!$I$20&lt;0, -(AK78-Uzman_D!$I$20), AK78-Uzman_D!$I$20)*0.1 +
        IF(AL78-Uzman_D!$J$20&lt;0, -(AL78-Uzman_D!$J$20), AL78-Uzman_D!$J$20)*0.1
    ) +
    IF(ROUND((IF(AN78-Uzman_D!$L$20&lt;0, -(AN78-Uzman_D!$L$20), AN78-Uzman_D!$L$20)*2),0)/2 = IF(AN78-Uzman_D!$L$20&lt;0, -(AN78-Uzman_D!$L$20), AN78-Uzman_D!$L$20),
    (ROUND((IF(AN78-Uzman_D!$L$20&lt;0, -(AN78-Uzman_D!$L$20), AN78-Uzman_D!$L$20)*2),0)/1 * 0.1), 0) +
    IF(AO78-Uzman_D!$M$20&lt;0, -(AO78-Uzman_D!$M$20), AO78-Uzman_D!$M$20)*1
)</f>
        <v>-0.60000000000000009</v>
      </c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75"/>
      <c r="BB78" s="75"/>
      <c r="BC78" s="73">
        <f>1 - (
    SUM(
        IF(AQ78-Uzman_D!$B$21&lt;0, -(AQ78-Uzman_D!$B$21), AQ78-Uzman_D!$B$21)*0.1 +
        IF(AR78-Uzman_D!$C$21&lt;0, -(AR78-Uzman_D!$C$21), AR78-Uzman_D!$C$21)*0.1 +
        IF(AS78-Uzman_D!$D$21&lt;0, -(AS78-Uzman_D!$D$21), AS78-Uzman_D!$D$21)*0.1 +
        IF(AT78-Uzman_D!$E$21&lt;0, -(AT78-Uzman_D!$E$21), AT78-Uzman_D!$E$21)*0.1 +
        IF(AU78-Uzman_D!$F$21&lt;0, -(AU78-Uzman_D!$F$21), AU78-Uzman_D!$F$21)*0.1 +
        IF(AV78-Uzman_D!$G$21&lt;0, -(AV78-Uzman_D!$G$21), AV78-Uzman_D!$G$21)*0.1 +
        IF(AW78-Uzman_D!$H$21&lt;0, -(AW78-Uzman_D!$H$21), AW78-Uzman_D!$H$21)*0.1 +
        IF(AX78-Uzman_D!$I$21&lt;0, -(AX78-Uzman_D!$I$21), AX78-Uzman_D!$I$21)*0.1 +
        IF(AY78-Uzman_D!$J$21&lt;0, -(AY78-Uzman_D!$J$21), AY78-Uzman_D!$J$21)*0.1
    ) +
    IF(ROUND((IF(BA78-Uzman_D!$L$21&lt;0, -(BA78-Uzman_D!$L$21), BA78-Uzman_D!$L$21)*2),0)/2 = IF(BA78-Uzman_D!$L$21&lt;0, -(BA78-Uzman_D!$L$21), BA78-Uzman_D!$L$21),
    (ROUND((IF(BA78-Uzman_D!$L$21&lt;0, -(BA78-Uzman_D!$L$21), BA78-Uzman_D!$L$21)*2),0)/1 * 0.1), 0) +
    IF(BB78-Uzman_D!$M$21&lt;0, -(BB78-Uzman_D!$M$21), BB78-Uzman_D!$M$21)*1
)</f>
        <v>-0.60000000000000009</v>
      </c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75"/>
      <c r="BO78" s="75"/>
      <c r="BP78" s="73">
        <f>1 - (
    SUM(
        IF(BD78-Uzman_D!$B$22&lt;0, -(BD78-Uzman_D!$B$22), BD78-Uzman_D!$B$22)*0.1 +
        IF(BE78-Uzman_D!$C$22&lt;0, -(BE78-Uzman_D!$C$22), BE78-Uzman_D!$C$22)*0.1 +
        IF(BF78-Uzman_D!$D$22&lt;0, -(BF78-Uzman_D!$D$22), BF78-Uzman_D!$D$22)*0.1 +
        IF(BG78-Uzman_D!$E$22&lt;0, -(BG78-Uzman_D!$E$22), BG78-Uzman_D!$E$22)*0.1 +
        IF(BH78-Uzman_D!$F$22&lt;0, -(BH78-Uzman_D!$F$22), BH78-Uzman_D!$F$22)*0.1 +
        IF(BI78-Uzman_D!$G$22&lt;0, -(BI78-Uzman_D!$G$22), BI78-Uzman_D!$G$22)*0.1 +
        IF(BJ78-Uzman_D!$H$22&lt;0, -(BJ78-Uzman_D!$H$22), BJ78-Uzman_D!$H$22)*0.1 +
        IF(BK78-Uzman_D!$I$22&lt;0, -(BK78-Uzman_D!$I$22), BK78-Uzman_D!$I$22)*0.1 +
        IF(BL78-Uzman_D!$J$22&lt;0, -(BL78-Uzman_D!$J$22), BL78-Uzman_D!$J$22)*0.1
    ) +
    IF(ROUND((IF(BN78-Uzman_D!$L$22&lt;0, -(BN78-Uzman_D!$L$22), BN78-Uzman_D!$L$22)*2),0)/2 = IF(BN78-Uzman_D!$L$22&lt;0, -(BN78-Uzman_D!$L$22), BN78-Uzman_D!$L$22),
    (ROUND((IF(BN78-Uzman_D!$L$22&lt;0, -(BN78-Uzman_D!$L$22), BN78-Uzman_D!$L$22)*2),0)/1 * 0.1), 0) +
    IF(BO78-Uzman_D!$M$22&lt;0, -(BO78-Uzman_D!$M$22), BO78-Uzman_D!$M$22)*1
)</f>
        <v>-0.40000000000000013</v>
      </c>
      <c r="BQ78" s="74">
        <f t="shared" si="1"/>
        <v>-0.54000000000000026</v>
      </c>
    </row>
    <row r="79" spans="1:69" ht="15" customHeight="1" x14ac:dyDescent="0.2">
      <c r="A79" s="57">
        <v>76</v>
      </c>
      <c r="B79" s="37">
        <f>Hakemler!B79</f>
        <v>0</v>
      </c>
      <c r="C79" s="37">
        <f>Hakemler!C79</f>
        <v>0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75"/>
      <c r="O79" s="75"/>
      <c r="P79" s="73">
        <f>1 - (
    SUM(
        IF(D79-Uzman_D!$B$18&lt;0, -(D79-Uzman_D!$B$18), D79-Uzman_D!$B$18)*0.1 +
        IF(E79-Uzman_D!$C$18&lt;0, -(E79-Uzman_D!$C$18), E79-Uzman_D!$C$18)*0.1 +
        IF(F79-Uzman_D!$D$18&lt;0, -(F79-Uzman_D!$D$18), F79-Uzman_D!$D$18)*0.1 +
        IF(G79-Uzman_D!$E$18&lt;0, -(G79-Uzman_D!$E$18), G79-Uzman_D!$E$18)*0.1 +
        IF(H79-Uzman_D!$F$18&lt;0, -(H79-Uzman_D!$F$18), H79-Uzman_D!$F$18)*0.1 +
        IF(I79-Uzman_D!$G$18&lt;0, -(I79-Uzman_D!$G$18), I79-Uzman_D!$G$18)*0.1 +
        IF(J79-Uzman_D!$H$18&lt;0, -(J79-Uzman_D!$H$18), J79-Uzman_D!$H$18)*0.1 +
        IF(K79-Uzman_D!$I$18&lt;0, -(K79-Uzman_D!$I$18), K79-Uzman_D!$I$18)*0.1 +
        IF(L79-Uzman_D!$J$18&lt;0, -(L79-Uzman_D!$J$18), L79-Uzman_D!$J$18)*0.1
    ) +
    IF(ROUND((IF(N79-Uzman_D!$L$18&lt;0, -(N79-Uzman_D!$L$18), N79-Uzman_D!$L$18)*2),0)/2 = IF(N79-Uzman_D!$L$18&lt;0, -(N79-Uzman_D!$L$18), N79-Uzman_D!$L$18),
    (ROUND((IF(N79-Uzman_D!$L$18&lt;0, -(N79-Uzman_D!$L$18), N79-Uzman_D!$L$18)*2),0)/1 * 0.1), 0) +
    IF(O79-Uzman_D!$M$18&lt;0, -(O79-Uzman_D!$M$18), O79-Uzman_D!$M$18)*1
)</f>
        <v>-0.50000000000000022</v>
      </c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75"/>
      <c r="AB79" s="75"/>
      <c r="AC79" s="73">
        <f>1 - (
    SUM(
        IF(Q79-Uzman_D!$B$19&lt;0, -(Q79-Uzman_D!$B$19), Q79-Uzman_D!$B$19)*0.1 +
        IF(R79-Uzman_D!$C$19&lt;0, -(R79-Uzman_D!$C$19), R79-Uzman_D!$C$19)*0.1 +
        IF(S79-Uzman_D!$D$19&lt;0, -(S79-Uzman_D!$D$19), S79-Uzman_D!$D$19)*0.1 +
        IF(T79-Uzman_D!$E$19&lt;0, -(T79-Uzman_D!$E$19), T79-Uzman_D!$E$19)*0.1 +
        IF(U79-Uzman_D!$F$19&lt;0, -(U79-Uzman_D!$F$19), U79-Uzman_D!$F$19)*0.1 +
        IF(V79-Uzman_D!$G$19&lt;0, -(V79-Uzman_D!$G$19), V79-Uzman_D!$G$19)*0.1 +
        IF(W79-Uzman_D!$H$19&lt;0, -(W79-Uzman_D!$H$19), W79-Uzman_D!$H$19)*0.1 +
        IF(X79-Uzman_D!$I$19&lt;0, -(X79-Uzman_D!$I$19), X79-Uzman_D!$I$19)*0.1 +
        IF(Y79-Uzman_D!$J$19&lt;0, -(Y79-Uzman_D!$J$19), Y79-Uzman_D!$J$19)*0.1
    ) +
    IF(ROUND((IF(AA79-Uzman_D!$L$19&lt;0, -(AA79-Uzman_D!$L$19), AA79-Uzman_D!$L$19)*2),0)/2 = IF(AA79-Uzman_D!$L$19&lt;0, -(AA79-Uzman_D!$L$19), AA79-Uzman_D!$L$19),
    (ROUND((IF(AA79-Uzman_D!$L$19&lt;0, -(AA79-Uzman_D!$L$19), AA79-Uzman_D!$L$19)*2),0)/1 * 0.1), 0) +
    IF(AB79-Uzman_D!$M$19&lt;0, -(AB79-Uzman_D!$M$19), AB79-Uzman_D!$M$19)*1
)</f>
        <v>-0.60000000000000009</v>
      </c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75"/>
      <c r="AO79" s="75"/>
      <c r="AP79" s="73">
        <f>1 - (
    SUM(
        IF(AD79-Uzman_D!$B$20&lt;0, -(AD79-Uzman_D!$B$20), AD79-Uzman_D!$B$20)*0.1 +
        IF(AE79-Uzman_D!$C$20&lt;0, -(AE79-Uzman_D!$C$20), AE79-Uzman_D!$C$20)*0.1 +
        IF(AF79-Uzman_D!$D$20&lt;0, -(AF79-Uzman_D!$D$20), AF79-Uzman_D!$D$20)*0.1 +
        IF(AG79-Uzman_D!$E$20&lt;0, -(AG79-Uzman_D!$E$20), AG79-Uzman_D!$E$20)*0.1 +
        IF(AH79-Uzman_D!$F$20&lt;0, -(AH79-Uzman_D!$F$20), AH79-Uzman_D!$F$20)*0.1 +
        IF(AI79-Uzman_D!$G$20&lt;0, -(AI79-Uzman_D!$G$20), AI79-Uzman_D!$G$20)*0.1 +
        IF(AJ79-Uzman_D!$H$20&lt;0, -(AJ79-Uzman_D!$H$20), AJ79-Uzman_D!$H$20)*0.1 +
        IF(AK79-Uzman_D!$I$20&lt;0, -(AK79-Uzman_D!$I$20), AK79-Uzman_D!$I$20)*0.1 +
        IF(AL79-Uzman_D!$J$20&lt;0, -(AL79-Uzman_D!$J$20), AL79-Uzman_D!$J$20)*0.1
    ) +
    IF(ROUND((IF(AN79-Uzman_D!$L$20&lt;0, -(AN79-Uzman_D!$L$20), AN79-Uzman_D!$L$20)*2),0)/2 = IF(AN79-Uzman_D!$L$20&lt;0, -(AN79-Uzman_D!$L$20), AN79-Uzman_D!$L$20),
    (ROUND((IF(AN79-Uzman_D!$L$20&lt;0, -(AN79-Uzman_D!$L$20), AN79-Uzman_D!$L$20)*2),0)/1 * 0.1), 0) +
    IF(AO79-Uzman_D!$M$20&lt;0, -(AO79-Uzman_D!$M$20), AO79-Uzman_D!$M$20)*1
)</f>
        <v>-0.60000000000000009</v>
      </c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75"/>
      <c r="BB79" s="75"/>
      <c r="BC79" s="73">
        <f>1 - (
    SUM(
        IF(AQ79-Uzman_D!$B$21&lt;0, -(AQ79-Uzman_D!$B$21), AQ79-Uzman_D!$B$21)*0.1 +
        IF(AR79-Uzman_D!$C$21&lt;0, -(AR79-Uzman_D!$C$21), AR79-Uzman_D!$C$21)*0.1 +
        IF(AS79-Uzman_D!$D$21&lt;0, -(AS79-Uzman_D!$D$21), AS79-Uzman_D!$D$21)*0.1 +
        IF(AT79-Uzman_D!$E$21&lt;0, -(AT79-Uzman_D!$E$21), AT79-Uzman_D!$E$21)*0.1 +
        IF(AU79-Uzman_D!$F$21&lt;0, -(AU79-Uzman_D!$F$21), AU79-Uzman_D!$F$21)*0.1 +
        IF(AV79-Uzman_D!$G$21&lt;0, -(AV79-Uzman_D!$G$21), AV79-Uzman_D!$G$21)*0.1 +
        IF(AW79-Uzman_D!$H$21&lt;0, -(AW79-Uzman_D!$H$21), AW79-Uzman_D!$H$21)*0.1 +
        IF(AX79-Uzman_D!$I$21&lt;0, -(AX79-Uzman_D!$I$21), AX79-Uzman_D!$I$21)*0.1 +
        IF(AY79-Uzman_D!$J$21&lt;0, -(AY79-Uzman_D!$J$21), AY79-Uzman_D!$J$21)*0.1
    ) +
    IF(ROUND((IF(BA79-Uzman_D!$L$21&lt;0, -(BA79-Uzman_D!$L$21), BA79-Uzman_D!$L$21)*2),0)/2 = IF(BA79-Uzman_D!$L$21&lt;0, -(BA79-Uzman_D!$L$21), BA79-Uzman_D!$L$21),
    (ROUND((IF(BA79-Uzman_D!$L$21&lt;0, -(BA79-Uzman_D!$L$21), BA79-Uzman_D!$L$21)*2),0)/1 * 0.1), 0) +
    IF(BB79-Uzman_D!$M$21&lt;0, -(BB79-Uzman_D!$M$21), BB79-Uzman_D!$M$21)*1
)</f>
        <v>-0.60000000000000009</v>
      </c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75"/>
      <c r="BO79" s="75"/>
      <c r="BP79" s="73">
        <f>1 - (
    SUM(
        IF(BD79-Uzman_D!$B$22&lt;0, -(BD79-Uzman_D!$B$22), BD79-Uzman_D!$B$22)*0.1 +
        IF(BE79-Uzman_D!$C$22&lt;0, -(BE79-Uzman_D!$C$22), BE79-Uzman_D!$C$22)*0.1 +
        IF(BF79-Uzman_D!$D$22&lt;0, -(BF79-Uzman_D!$D$22), BF79-Uzman_D!$D$22)*0.1 +
        IF(BG79-Uzman_D!$E$22&lt;0, -(BG79-Uzman_D!$E$22), BG79-Uzman_D!$E$22)*0.1 +
        IF(BH79-Uzman_D!$F$22&lt;0, -(BH79-Uzman_D!$F$22), BH79-Uzman_D!$F$22)*0.1 +
        IF(BI79-Uzman_D!$G$22&lt;0, -(BI79-Uzman_D!$G$22), BI79-Uzman_D!$G$22)*0.1 +
        IF(BJ79-Uzman_D!$H$22&lt;0, -(BJ79-Uzman_D!$H$22), BJ79-Uzman_D!$H$22)*0.1 +
        IF(BK79-Uzman_D!$I$22&lt;0, -(BK79-Uzman_D!$I$22), BK79-Uzman_D!$I$22)*0.1 +
        IF(BL79-Uzman_D!$J$22&lt;0, -(BL79-Uzman_D!$J$22), BL79-Uzman_D!$J$22)*0.1
    ) +
    IF(ROUND((IF(BN79-Uzman_D!$L$22&lt;0, -(BN79-Uzman_D!$L$22), BN79-Uzman_D!$L$22)*2),0)/2 = IF(BN79-Uzman_D!$L$22&lt;0, -(BN79-Uzman_D!$L$22), BN79-Uzman_D!$L$22),
    (ROUND((IF(BN79-Uzman_D!$L$22&lt;0, -(BN79-Uzman_D!$L$22), BN79-Uzman_D!$L$22)*2),0)/1 * 0.1), 0) +
    IF(BO79-Uzman_D!$M$22&lt;0, -(BO79-Uzman_D!$M$22), BO79-Uzman_D!$M$22)*1
)</f>
        <v>-0.40000000000000013</v>
      </c>
      <c r="BQ79" s="74">
        <f t="shared" si="1"/>
        <v>-0.54000000000000026</v>
      </c>
    </row>
    <row r="80" spans="1:69" ht="15" customHeight="1" x14ac:dyDescent="0.2">
      <c r="A80" s="57">
        <v>77</v>
      </c>
      <c r="B80" s="37">
        <f>Hakemler!B80</f>
        <v>0</v>
      </c>
      <c r="C80" s="37">
        <f>Hakemler!C80</f>
        <v>0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75"/>
      <c r="O80" s="75"/>
      <c r="P80" s="73">
        <f>1 - (
    SUM(
        IF(D80-Uzman_D!$B$18&lt;0, -(D80-Uzman_D!$B$18), D80-Uzman_D!$B$18)*0.1 +
        IF(E80-Uzman_D!$C$18&lt;0, -(E80-Uzman_D!$C$18), E80-Uzman_D!$C$18)*0.1 +
        IF(F80-Uzman_D!$D$18&lt;0, -(F80-Uzman_D!$D$18), F80-Uzman_D!$D$18)*0.1 +
        IF(G80-Uzman_D!$E$18&lt;0, -(G80-Uzman_D!$E$18), G80-Uzman_D!$E$18)*0.1 +
        IF(H80-Uzman_D!$F$18&lt;0, -(H80-Uzman_D!$F$18), H80-Uzman_D!$F$18)*0.1 +
        IF(I80-Uzman_D!$G$18&lt;0, -(I80-Uzman_D!$G$18), I80-Uzman_D!$G$18)*0.1 +
        IF(J80-Uzman_D!$H$18&lt;0, -(J80-Uzman_D!$H$18), J80-Uzman_D!$H$18)*0.1 +
        IF(K80-Uzman_D!$I$18&lt;0, -(K80-Uzman_D!$I$18), K80-Uzman_D!$I$18)*0.1 +
        IF(L80-Uzman_D!$J$18&lt;0, -(L80-Uzman_D!$J$18), L80-Uzman_D!$J$18)*0.1
    ) +
    IF(ROUND((IF(N80-Uzman_D!$L$18&lt;0, -(N80-Uzman_D!$L$18), N80-Uzman_D!$L$18)*2),0)/2 = IF(N80-Uzman_D!$L$18&lt;0, -(N80-Uzman_D!$L$18), N80-Uzman_D!$L$18),
    (ROUND((IF(N80-Uzman_D!$L$18&lt;0, -(N80-Uzman_D!$L$18), N80-Uzman_D!$L$18)*2),0)/1 * 0.1), 0) +
    IF(O80-Uzman_D!$M$18&lt;0, -(O80-Uzman_D!$M$18), O80-Uzman_D!$M$18)*1
)</f>
        <v>-0.50000000000000022</v>
      </c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75"/>
      <c r="AB80" s="75"/>
      <c r="AC80" s="73">
        <f>1 - (
    SUM(
        IF(Q80-Uzman_D!$B$19&lt;0, -(Q80-Uzman_D!$B$19), Q80-Uzman_D!$B$19)*0.1 +
        IF(R80-Uzman_D!$C$19&lt;0, -(R80-Uzman_D!$C$19), R80-Uzman_D!$C$19)*0.1 +
        IF(S80-Uzman_D!$D$19&lt;0, -(S80-Uzman_D!$D$19), S80-Uzman_D!$D$19)*0.1 +
        IF(T80-Uzman_D!$E$19&lt;0, -(T80-Uzman_D!$E$19), T80-Uzman_D!$E$19)*0.1 +
        IF(U80-Uzman_D!$F$19&lt;0, -(U80-Uzman_D!$F$19), U80-Uzman_D!$F$19)*0.1 +
        IF(V80-Uzman_D!$G$19&lt;0, -(V80-Uzman_D!$G$19), V80-Uzman_D!$G$19)*0.1 +
        IF(W80-Uzman_D!$H$19&lt;0, -(W80-Uzman_D!$H$19), W80-Uzman_D!$H$19)*0.1 +
        IF(X80-Uzman_D!$I$19&lt;0, -(X80-Uzman_D!$I$19), X80-Uzman_D!$I$19)*0.1 +
        IF(Y80-Uzman_D!$J$19&lt;0, -(Y80-Uzman_D!$J$19), Y80-Uzman_D!$J$19)*0.1
    ) +
    IF(ROUND((IF(AA80-Uzman_D!$L$19&lt;0, -(AA80-Uzman_D!$L$19), AA80-Uzman_D!$L$19)*2),0)/2 = IF(AA80-Uzman_D!$L$19&lt;0, -(AA80-Uzman_D!$L$19), AA80-Uzman_D!$L$19),
    (ROUND((IF(AA80-Uzman_D!$L$19&lt;0, -(AA80-Uzman_D!$L$19), AA80-Uzman_D!$L$19)*2),0)/1 * 0.1), 0) +
    IF(AB80-Uzman_D!$M$19&lt;0, -(AB80-Uzman_D!$M$19), AB80-Uzman_D!$M$19)*1
)</f>
        <v>-0.60000000000000009</v>
      </c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75"/>
      <c r="AO80" s="75"/>
      <c r="AP80" s="73">
        <f>1 - (
    SUM(
        IF(AD80-Uzman_D!$B$20&lt;0, -(AD80-Uzman_D!$B$20), AD80-Uzman_D!$B$20)*0.1 +
        IF(AE80-Uzman_D!$C$20&lt;0, -(AE80-Uzman_D!$C$20), AE80-Uzman_D!$C$20)*0.1 +
        IF(AF80-Uzman_D!$D$20&lt;0, -(AF80-Uzman_D!$D$20), AF80-Uzman_D!$D$20)*0.1 +
        IF(AG80-Uzman_D!$E$20&lt;0, -(AG80-Uzman_D!$E$20), AG80-Uzman_D!$E$20)*0.1 +
        IF(AH80-Uzman_D!$F$20&lt;0, -(AH80-Uzman_D!$F$20), AH80-Uzman_D!$F$20)*0.1 +
        IF(AI80-Uzman_D!$G$20&lt;0, -(AI80-Uzman_D!$G$20), AI80-Uzman_D!$G$20)*0.1 +
        IF(AJ80-Uzman_D!$H$20&lt;0, -(AJ80-Uzman_D!$H$20), AJ80-Uzman_D!$H$20)*0.1 +
        IF(AK80-Uzman_D!$I$20&lt;0, -(AK80-Uzman_D!$I$20), AK80-Uzman_D!$I$20)*0.1 +
        IF(AL80-Uzman_D!$J$20&lt;0, -(AL80-Uzman_D!$J$20), AL80-Uzman_D!$J$20)*0.1
    ) +
    IF(ROUND((IF(AN80-Uzman_D!$L$20&lt;0, -(AN80-Uzman_D!$L$20), AN80-Uzman_D!$L$20)*2),0)/2 = IF(AN80-Uzman_D!$L$20&lt;0, -(AN80-Uzman_D!$L$20), AN80-Uzman_D!$L$20),
    (ROUND((IF(AN80-Uzman_D!$L$20&lt;0, -(AN80-Uzman_D!$L$20), AN80-Uzman_D!$L$20)*2),0)/1 * 0.1), 0) +
    IF(AO80-Uzman_D!$M$20&lt;0, -(AO80-Uzman_D!$M$20), AO80-Uzman_D!$M$20)*1
)</f>
        <v>-0.60000000000000009</v>
      </c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75"/>
      <c r="BB80" s="75"/>
      <c r="BC80" s="73">
        <f>1 - (
    SUM(
        IF(AQ80-Uzman_D!$B$21&lt;0, -(AQ80-Uzman_D!$B$21), AQ80-Uzman_D!$B$21)*0.1 +
        IF(AR80-Uzman_D!$C$21&lt;0, -(AR80-Uzman_D!$C$21), AR80-Uzman_D!$C$21)*0.1 +
        IF(AS80-Uzman_D!$D$21&lt;0, -(AS80-Uzman_D!$D$21), AS80-Uzman_D!$D$21)*0.1 +
        IF(AT80-Uzman_D!$E$21&lt;0, -(AT80-Uzman_D!$E$21), AT80-Uzman_D!$E$21)*0.1 +
        IF(AU80-Uzman_D!$F$21&lt;0, -(AU80-Uzman_D!$F$21), AU80-Uzman_D!$F$21)*0.1 +
        IF(AV80-Uzman_D!$G$21&lt;0, -(AV80-Uzman_D!$G$21), AV80-Uzman_D!$G$21)*0.1 +
        IF(AW80-Uzman_D!$H$21&lt;0, -(AW80-Uzman_D!$H$21), AW80-Uzman_D!$H$21)*0.1 +
        IF(AX80-Uzman_D!$I$21&lt;0, -(AX80-Uzman_D!$I$21), AX80-Uzman_D!$I$21)*0.1 +
        IF(AY80-Uzman_D!$J$21&lt;0, -(AY80-Uzman_D!$J$21), AY80-Uzman_D!$J$21)*0.1
    ) +
    IF(ROUND((IF(BA80-Uzman_D!$L$21&lt;0, -(BA80-Uzman_D!$L$21), BA80-Uzman_D!$L$21)*2),0)/2 = IF(BA80-Uzman_D!$L$21&lt;0, -(BA80-Uzman_D!$L$21), BA80-Uzman_D!$L$21),
    (ROUND((IF(BA80-Uzman_D!$L$21&lt;0, -(BA80-Uzman_D!$L$21), BA80-Uzman_D!$L$21)*2),0)/1 * 0.1), 0) +
    IF(BB80-Uzman_D!$M$21&lt;0, -(BB80-Uzman_D!$M$21), BB80-Uzman_D!$M$21)*1
)</f>
        <v>-0.60000000000000009</v>
      </c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75"/>
      <c r="BO80" s="75"/>
      <c r="BP80" s="73">
        <f>1 - (
    SUM(
        IF(BD80-Uzman_D!$B$22&lt;0, -(BD80-Uzman_D!$B$22), BD80-Uzman_D!$B$22)*0.1 +
        IF(BE80-Uzman_D!$C$22&lt;0, -(BE80-Uzman_D!$C$22), BE80-Uzman_D!$C$22)*0.1 +
        IF(BF80-Uzman_D!$D$22&lt;0, -(BF80-Uzman_D!$D$22), BF80-Uzman_D!$D$22)*0.1 +
        IF(BG80-Uzman_D!$E$22&lt;0, -(BG80-Uzman_D!$E$22), BG80-Uzman_D!$E$22)*0.1 +
        IF(BH80-Uzman_D!$F$22&lt;0, -(BH80-Uzman_D!$F$22), BH80-Uzman_D!$F$22)*0.1 +
        IF(BI80-Uzman_D!$G$22&lt;0, -(BI80-Uzman_D!$G$22), BI80-Uzman_D!$G$22)*0.1 +
        IF(BJ80-Uzman_D!$H$22&lt;0, -(BJ80-Uzman_D!$H$22), BJ80-Uzman_D!$H$22)*0.1 +
        IF(BK80-Uzman_D!$I$22&lt;0, -(BK80-Uzman_D!$I$22), BK80-Uzman_D!$I$22)*0.1 +
        IF(BL80-Uzman_D!$J$22&lt;0, -(BL80-Uzman_D!$J$22), BL80-Uzman_D!$J$22)*0.1
    ) +
    IF(ROUND((IF(BN80-Uzman_D!$L$22&lt;0, -(BN80-Uzman_D!$L$22), BN80-Uzman_D!$L$22)*2),0)/2 = IF(BN80-Uzman_D!$L$22&lt;0, -(BN80-Uzman_D!$L$22), BN80-Uzman_D!$L$22),
    (ROUND((IF(BN80-Uzman_D!$L$22&lt;0, -(BN80-Uzman_D!$L$22), BN80-Uzman_D!$L$22)*2),0)/1 * 0.1), 0) +
    IF(BO80-Uzman_D!$M$22&lt;0, -(BO80-Uzman_D!$M$22), BO80-Uzman_D!$M$22)*1
)</f>
        <v>-0.40000000000000013</v>
      </c>
      <c r="BQ80" s="74">
        <f t="shared" si="1"/>
        <v>-0.54000000000000026</v>
      </c>
    </row>
    <row r="81" spans="1:69" ht="15" customHeight="1" x14ac:dyDescent="0.2">
      <c r="A81" s="57">
        <v>78</v>
      </c>
      <c r="B81" s="37">
        <f>Hakemler!B81</f>
        <v>0</v>
      </c>
      <c r="C81" s="37">
        <f>Hakemler!C81</f>
        <v>0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75"/>
      <c r="O81" s="75"/>
      <c r="P81" s="73">
        <f>1 - (
    SUM(
        IF(D81-Uzman_D!$B$18&lt;0, -(D81-Uzman_D!$B$18), D81-Uzman_D!$B$18)*0.1 +
        IF(E81-Uzman_D!$C$18&lt;0, -(E81-Uzman_D!$C$18), E81-Uzman_D!$C$18)*0.1 +
        IF(F81-Uzman_D!$D$18&lt;0, -(F81-Uzman_D!$D$18), F81-Uzman_D!$D$18)*0.1 +
        IF(G81-Uzman_D!$E$18&lt;0, -(G81-Uzman_D!$E$18), G81-Uzman_D!$E$18)*0.1 +
        IF(H81-Uzman_D!$F$18&lt;0, -(H81-Uzman_D!$F$18), H81-Uzman_D!$F$18)*0.1 +
        IF(I81-Uzman_D!$G$18&lt;0, -(I81-Uzman_D!$G$18), I81-Uzman_D!$G$18)*0.1 +
        IF(J81-Uzman_D!$H$18&lt;0, -(J81-Uzman_D!$H$18), J81-Uzman_D!$H$18)*0.1 +
        IF(K81-Uzman_D!$I$18&lt;0, -(K81-Uzman_D!$I$18), K81-Uzman_D!$I$18)*0.1 +
        IF(L81-Uzman_D!$J$18&lt;0, -(L81-Uzman_D!$J$18), L81-Uzman_D!$J$18)*0.1
    ) +
    IF(ROUND((IF(N81-Uzman_D!$L$18&lt;0, -(N81-Uzman_D!$L$18), N81-Uzman_D!$L$18)*2),0)/2 = IF(N81-Uzman_D!$L$18&lt;0, -(N81-Uzman_D!$L$18), N81-Uzman_D!$L$18),
    (ROUND((IF(N81-Uzman_D!$L$18&lt;0, -(N81-Uzman_D!$L$18), N81-Uzman_D!$L$18)*2),0)/1 * 0.1), 0) +
    IF(O81-Uzman_D!$M$18&lt;0, -(O81-Uzman_D!$M$18), O81-Uzman_D!$M$18)*1
)</f>
        <v>-0.50000000000000022</v>
      </c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75"/>
      <c r="AB81" s="75"/>
      <c r="AC81" s="73">
        <f>1 - (
    SUM(
        IF(Q81-Uzman_D!$B$19&lt;0, -(Q81-Uzman_D!$B$19), Q81-Uzman_D!$B$19)*0.1 +
        IF(R81-Uzman_D!$C$19&lt;0, -(R81-Uzman_D!$C$19), R81-Uzman_D!$C$19)*0.1 +
        IF(S81-Uzman_D!$D$19&lt;0, -(S81-Uzman_D!$D$19), S81-Uzman_D!$D$19)*0.1 +
        IF(T81-Uzman_D!$E$19&lt;0, -(T81-Uzman_D!$E$19), T81-Uzman_D!$E$19)*0.1 +
        IF(U81-Uzman_D!$F$19&lt;0, -(U81-Uzman_D!$F$19), U81-Uzman_D!$F$19)*0.1 +
        IF(V81-Uzman_D!$G$19&lt;0, -(V81-Uzman_D!$G$19), V81-Uzman_D!$G$19)*0.1 +
        IF(W81-Uzman_D!$H$19&lt;0, -(W81-Uzman_D!$H$19), W81-Uzman_D!$H$19)*0.1 +
        IF(X81-Uzman_D!$I$19&lt;0, -(X81-Uzman_D!$I$19), X81-Uzman_D!$I$19)*0.1 +
        IF(Y81-Uzman_D!$J$19&lt;0, -(Y81-Uzman_D!$J$19), Y81-Uzman_D!$J$19)*0.1
    ) +
    IF(ROUND((IF(AA81-Uzman_D!$L$19&lt;0, -(AA81-Uzman_D!$L$19), AA81-Uzman_D!$L$19)*2),0)/2 = IF(AA81-Uzman_D!$L$19&lt;0, -(AA81-Uzman_D!$L$19), AA81-Uzman_D!$L$19),
    (ROUND((IF(AA81-Uzman_D!$L$19&lt;0, -(AA81-Uzman_D!$L$19), AA81-Uzman_D!$L$19)*2),0)/1 * 0.1), 0) +
    IF(AB81-Uzman_D!$M$19&lt;0, -(AB81-Uzman_D!$M$19), AB81-Uzman_D!$M$19)*1
)</f>
        <v>-0.60000000000000009</v>
      </c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75"/>
      <c r="AO81" s="75"/>
      <c r="AP81" s="73">
        <f>1 - (
    SUM(
        IF(AD81-Uzman_D!$B$20&lt;0, -(AD81-Uzman_D!$B$20), AD81-Uzman_D!$B$20)*0.1 +
        IF(AE81-Uzman_D!$C$20&lt;0, -(AE81-Uzman_D!$C$20), AE81-Uzman_D!$C$20)*0.1 +
        IF(AF81-Uzman_D!$D$20&lt;0, -(AF81-Uzman_D!$D$20), AF81-Uzman_D!$D$20)*0.1 +
        IF(AG81-Uzman_D!$E$20&lt;0, -(AG81-Uzman_D!$E$20), AG81-Uzman_D!$E$20)*0.1 +
        IF(AH81-Uzman_D!$F$20&lt;0, -(AH81-Uzman_D!$F$20), AH81-Uzman_D!$F$20)*0.1 +
        IF(AI81-Uzman_D!$G$20&lt;0, -(AI81-Uzman_D!$G$20), AI81-Uzman_D!$G$20)*0.1 +
        IF(AJ81-Uzman_D!$H$20&lt;0, -(AJ81-Uzman_D!$H$20), AJ81-Uzman_D!$H$20)*0.1 +
        IF(AK81-Uzman_D!$I$20&lt;0, -(AK81-Uzman_D!$I$20), AK81-Uzman_D!$I$20)*0.1 +
        IF(AL81-Uzman_D!$J$20&lt;0, -(AL81-Uzman_D!$J$20), AL81-Uzman_D!$J$20)*0.1
    ) +
    IF(ROUND((IF(AN81-Uzman_D!$L$20&lt;0, -(AN81-Uzman_D!$L$20), AN81-Uzman_D!$L$20)*2),0)/2 = IF(AN81-Uzman_D!$L$20&lt;0, -(AN81-Uzman_D!$L$20), AN81-Uzman_D!$L$20),
    (ROUND((IF(AN81-Uzman_D!$L$20&lt;0, -(AN81-Uzman_D!$L$20), AN81-Uzman_D!$L$20)*2),0)/1 * 0.1), 0) +
    IF(AO81-Uzman_D!$M$20&lt;0, -(AO81-Uzman_D!$M$20), AO81-Uzman_D!$M$20)*1
)</f>
        <v>-0.60000000000000009</v>
      </c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75"/>
      <c r="BB81" s="75"/>
      <c r="BC81" s="73">
        <f>1 - (
    SUM(
        IF(AQ81-Uzman_D!$B$21&lt;0, -(AQ81-Uzman_D!$B$21), AQ81-Uzman_D!$B$21)*0.1 +
        IF(AR81-Uzman_D!$C$21&lt;0, -(AR81-Uzman_D!$C$21), AR81-Uzman_D!$C$21)*0.1 +
        IF(AS81-Uzman_D!$D$21&lt;0, -(AS81-Uzman_D!$D$21), AS81-Uzman_D!$D$21)*0.1 +
        IF(AT81-Uzman_D!$E$21&lt;0, -(AT81-Uzman_D!$E$21), AT81-Uzman_D!$E$21)*0.1 +
        IF(AU81-Uzman_D!$F$21&lt;0, -(AU81-Uzman_D!$F$21), AU81-Uzman_D!$F$21)*0.1 +
        IF(AV81-Uzman_D!$G$21&lt;0, -(AV81-Uzman_D!$G$21), AV81-Uzman_D!$G$21)*0.1 +
        IF(AW81-Uzman_D!$H$21&lt;0, -(AW81-Uzman_D!$H$21), AW81-Uzman_D!$H$21)*0.1 +
        IF(AX81-Uzman_D!$I$21&lt;0, -(AX81-Uzman_D!$I$21), AX81-Uzman_D!$I$21)*0.1 +
        IF(AY81-Uzman_D!$J$21&lt;0, -(AY81-Uzman_D!$J$21), AY81-Uzman_D!$J$21)*0.1
    ) +
    IF(ROUND((IF(BA81-Uzman_D!$L$21&lt;0, -(BA81-Uzman_D!$L$21), BA81-Uzman_D!$L$21)*2),0)/2 = IF(BA81-Uzman_D!$L$21&lt;0, -(BA81-Uzman_D!$L$21), BA81-Uzman_D!$L$21),
    (ROUND((IF(BA81-Uzman_D!$L$21&lt;0, -(BA81-Uzman_D!$L$21), BA81-Uzman_D!$L$21)*2),0)/1 * 0.1), 0) +
    IF(BB81-Uzman_D!$M$21&lt;0, -(BB81-Uzman_D!$M$21), BB81-Uzman_D!$M$21)*1
)</f>
        <v>-0.60000000000000009</v>
      </c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75"/>
      <c r="BO81" s="75"/>
      <c r="BP81" s="73">
        <f>1 - (
    SUM(
        IF(BD81-Uzman_D!$B$22&lt;0, -(BD81-Uzman_D!$B$22), BD81-Uzman_D!$B$22)*0.1 +
        IF(BE81-Uzman_D!$C$22&lt;0, -(BE81-Uzman_D!$C$22), BE81-Uzman_D!$C$22)*0.1 +
        IF(BF81-Uzman_D!$D$22&lt;0, -(BF81-Uzman_D!$D$22), BF81-Uzman_D!$D$22)*0.1 +
        IF(BG81-Uzman_D!$E$22&lt;0, -(BG81-Uzman_D!$E$22), BG81-Uzman_D!$E$22)*0.1 +
        IF(BH81-Uzman_D!$F$22&lt;0, -(BH81-Uzman_D!$F$22), BH81-Uzman_D!$F$22)*0.1 +
        IF(BI81-Uzman_D!$G$22&lt;0, -(BI81-Uzman_D!$G$22), BI81-Uzman_D!$G$22)*0.1 +
        IF(BJ81-Uzman_D!$H$22&lt;0, -(BJ81-Uzman_D!$H$22), BJ81-Uzman_D!$H$22)*0.1 +
        IF(BK81-Uzman_D!$I$22&lt;0, -(BK81-Uzman_D!$I$22), BK81-Uzman_D!$I$22)*0.1 +
        IF(BL81-Uzman_D!$J$22&lt;0, -(BL81-Uzman_D!$J$22), BL81-Uzman_D!$J$22)*0.1
    ) +
    IF(ROUND((IF(BN81-Uzman_D!$L$22&lt;0, -(BN81-Uzman_D!$L$22), BN81-Uzman_D!$L$22)*2),0)/2 = IF(BN81-Uzman_D!$L$22&lt;0, -(BN81-Uzman_D!$L$22), BN81-Uzman_D!$L$22),
    (ROUND((IF(BN81-Uzman_D!$L$22&lt;0, -(BN81-Uzman_D!$L$22), BN81-Uzman_D!$L$22)*2),0)/1 * 0.1), 0) +
    IF(BO81-Uzman_D!$M$22&lt;0, -(BO81-Uzman_D!$M$22), BO81-Uzman_D!$M$22)*1
)</f>
        <v>-0.40000000000000013</v>
      </c>
      <c r="BQ81" s="74">
        <f t="shared" si="1"/>
        <v>-0.54000000000000026</v>
      </c>
    </row>
    <row r="82" spans="1:69" ht="15" customHeight="1" x14ac:dyDescent="0.2">
      <c r="A82" s="57">
        <v>79</v>
      </c>
      <c r="B82" s="37">
        <f>Hakemler!B82</f>
        <v>0</v>
      </c>
      <c r="C82" s="37">
        <f>Hakemler!C82</f>
        <v>0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75"/>
      <c r="O82" s="75"/>
      <c r="P82" s="73">
        <f>1 - (
    SUM(
        IF(D82-Uzman_D!$B$18&lt;0, -(D82-Uzman_D!$B$18), D82-Uzman_D!$B$18)*0.1 +
        IF(E82-Uzman_D!$C$18&lt;0, -(E82-Uzman_D!$C$18), E82-Uzman_D!$C$18)*0.1 +
        IF(F82-Uzman_D!$D$18&lt;0, -(F82-Uzman_D!$D$18), F82-Uzman_D!$D$18)*0.1 +
        IF(G82-Uzman_D!$E$18&lt;0, -(G82-Uzman_D!$E$18), G82-Uzman_D!$E$18)*0.1 +
        IF(H82-Uzman_D!$F$18&lt;0, -(H82-Uzman_D!$F$18), H82-Uzman_D!$F$18)*0.1 +
        IF(I82-Uzman_D!$G$18&lt;0, -(I82-Uzman_D!$G$18), I82-Uzman_D!$G$18)*0.1 +
        IF(J82-Uzman_D!$H$18&lt;0, -(J82-Uzman_D!$H$18), J82-Uzman_D!$H$18)*0.1 +
        IF(K82-Uzman_D!$I$18&lt;0, -(K82-Uzman_D!$I$18), K82-Uzman_D!$I$18)*0.1 +
        IF(L82-Uzman_D!$J$18&lt;0, -(L82-Uzman_D!$J$18), L82-Uzman_D!$J$18)*0.1
    ) +
    IF(ROUND((IF(N82-Uzman_D!$L$18&lt;0, -(N82-Uzman_D!$L$18), N82-Uzman_D!$L$18)*2),0)/2 = IF(N82-Uzman_D!$L$18&lt;0, -(N82-Uzman_D!$L$18), N82-Uzman_D!$L$18),
    (ROUND((IF(N82-Uzman_D!$L$18&lt;0, -(N82-Uzman_D!$L$18), N82-Uzman_D!$L$18)*2),0)/1 * 0.1), 0) +
    IF(O82-Uzman_D!$M$18&lt;0, -(O82-Uzman_D!$M$18), O82-Uzman_D!$M$18)*1
)</f>
        <v>-0.50000000000000022</v>
      </c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75"/>
      <c r="AB82" s="75"/>
      <c r="AC82" s="73">
        <f>1 - (
    SUM(
        IF(Q82-Uzman_D!$B$19&lt;0, -(Q82-Uzman_D!$B$19), Q82-Uzman_D!$B$19)*0.1 +
        IF(R82-Uzman_D!$C$19&lt;0, -(R82-Uzman_D!$C$19), R82-Uzman_D!$C$19)*0.1 +
        IF(S82-Uzman_D!$D$19&lt;0, -(S82-Uzman_D!$D$19), S82-Uzman_D!$D$19)*0.1 +
        IF(T82-Uzman_D!$E$19&lt;0, -(T82-Uzman_D!$E$19), T82-Uzman_D!$E$19)*0.1 +
        IF(U82-Uzman_D!$F$19&lt;0, -(U82-Uzman_D!$F$19), U82-Uzman_D!$F$19)*0.1 +
        IF(V82-Uzman_D!$G$19&lt;0, -(V82-Uzman_D!$G$19), V82-Uzman_D!$G$19)*0.1 +
        IF(W82-Uzman_D!$H$19&lt;0, -(W82-Uzman_D!$H$19), W82-Uzman_D!$H$19)*0.1 +
        IF(X82-Uzman_D!$I$19&lt;0, -(X82-Uzman_D!$I$19), X82-Uzman_D!$I$19)*0.1 +
        IF(Y82-Uzman_D!$J$19&lt;0, -(Y82-Uzman_D!$J$19), Y82-Uzman_D!$J$19)*0.1
    ) +
    IF(ROUND((IF(AA82-Uzman_D!$L$19&lt;0, -(AA82-Uzman_D!$L$19), AA82-Uzman_D!$L$19)*2),0)/2 = IF(AA82-Uzman_D!$L$19&lt;0, -(AA82-Uzman_D!$L$19), AA82-Uzman_D!$L$19),
    (ROUND((IF(AA82-Uzman_D!$L$19&lt;0, -(AA82-Uzman_D!$L$19), AA82-Uzman_D!$L$19)*2),0)/1 * 0.1), 0) +
    IF(AB82-Uzman_D!$M$19&lt;0, -(AB82-Uzman_D!$M$19), AB82-Uzman_D!$M$19)*1
)</f>
        <v>-0.60000000000000009</v>
      </c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75"/>
      <c r="AO82" s="75"/>
      <c r="AP82" s="73">
        <f>1 - (
    SUM(
        IF(AD82-Uzman_D!$B$20&lt;0, -(AD82-Uzman_D!$B$20), AD82-Uzman_D!$B$20)*0.1 +
        IF(AE82-Uzman_D!$C$20&lt;0, -(AE82-Uzman_D!$C$20), AE82-Uzman_D!$C$20)*0.1 +
        IF(AF82-Uzman_D!$D$20&lt;0, -(AF82-Uzman_D!$D$20), AF82-Uzman_D!$D$20)*0.1 +
        IF(AG82-Uzman_D!$E$20&lt;0, -(AG82-Uzman_D!$E$20), AG82-Uzman_D!$E$20)*0.1 +
        IF(AH82-Uzman_D!$F$20&lt;0, -(AH82-Uzman_D!$F$20), AH82-Uzman_D!$F$20)*0.1 +
        IF(AI82-Uzman_D!$G$20&lt;0, -(AI82-Uzman_D!$G$20), AI82-Uzman_D!$G$20)*0.1 +
        IF(AJ82-Uzman_D!$H$20&lt;0, -(AJ82-Uzman_D!$H$20), AJ82-Uzman_D!$H$20)*0.1 +
        IF(AK82-Uzman_D!$I$20&lt;0, -(AK82-Uzman_D!$I$20), AK82-Uzman_D!$I$20)*0.1 +
        IF(AL82-Uzman_D!$J$20&lt;0, -(AL82-Uzman_D!$J$20), AL82-Uzman_D!$J$20)*0.1
    ) +
    IF(ROUND((IF(AN82-Uzman_D!$L$20&lt;0, -(AN82-Uzman_D!$L$20), AN82-Uzman_D!$L$20)*2),0)/2 = IF(AN82-Uzman_D!$L$20&lt;0, -(AN82-Uzman_D!$L$20), AN82-Uzman_D!$L$20),
    (ROUND((IF(AN82-Uzman_D!$L$20&lt;0, -(AN82-Uzman_D!$L$20), AN82-Uzman_D!$L$20)*2),0)/1 * 0.1), 0) +
    IF(AO82-Uzman_D!$M$20&lt;0, -(AO82-Uzman_D!$M$20), AO82-Uzman_D!$M$20)*1
)</f>
        <v>-0.60000000000000009</v>
      </c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75"/>
      <c r="BB82" s="75"/>
      <c r="BC82" s="73">
        <f>1 - (
    SUM(
        IF(AQ82-Uzman_D!$B$21&lt;0, -(AQ82-Uzman_D!$B$21), AQ82-Uzman_D!$B$21)*0.1 +
        IF(AR82-Uzman_D!$C$21&lt;0, -(AR82-Uzman_D!$C$21), AR82-Uzman_D!$C$21)*0.1 +
        IF(AS82-Uzman_D!$D$21&lt;0, -(AS82-Uzman_D!$D$21), AS82-Uzman_D!$D$21)*0.1 +
        IF(AT82-Uzman_D!$E$21&lt;0, -(AT82-Uzman_D!$E$21), AT82-Uzman_D!$E$21)*0.1 +
        IF(AU82-Uzman_D!$F$21&lt;0, -(AU82-Uzman_D!$F$21), AU82-Uzman_D!$F$21)*0.1 +
        IF(AV82-Uzman_D!$G$21&lt;0, -(AV82-Uzman_D!$G$21), AV82-Uzman_D!$G$21)*0.1 +
        IF(AW82-Uzman_D!$H$21&lt;0, -(AW82-Uzman_D!$H$21), AW82-Uzman_D!$H$21)*0.1 +
        IF(AX82-Uzman_D!$I$21&lt;0, -(AX82-Uzman_D!$I$21), AX82-Uzman_D!$I$21)*0.1 +
        IF(AY82-Uzman_D!$J$21&lt;0, -(AY82-Uzman_D!$J$21), AY82-Uzman_D!$J$21)*0.1
    ) +
    IF(ROUND((IF(BA82-Uzman_D!$L$21&lt;0, -(BA82-Uzman_D!$L$21), BA82-Uzman_D!$L$21)*2),0)/2 = IF(BA82-Uzman_D!$L$21&lt;0, -(BA82-Uzman_D!$L$21), BA82-Uzman_D!$L$21),
    (ROUND((IF(BA82-Uzman_D!$L$21&lt;0, -(BA82-Uzman_D!$L$21), BA82-Uzman_D!$L$21)*2),0)/1 * 0.1), 0) +
    IF(BB82-Uzman_D!$M$21&lt;0, -(BB82-Uzman_D!$M$21), BB82-Uzman_D!$M$21)*1
)</f>
        <v>-0.60000000000000009</v>
      </c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75"/>
      <c r="BO82" s="75"/>
      <c r="BP82" s="73">
        <f>1 - (
    SUM(
        IF(BD82-Uzman_D!$B$22&lt;0, -(BD82-Uzman_D!$B$22), BD82-Uzman_D!$B$22)*0.1 +
        IF(BE82-Uzman_D!$C$22&lt;0, -(BE82-Uzman_D!$C$22), BE82-Uzman_D!$C$22)*0.1 +
        IF(BF82-Uzman_D!$D$22&lt;0, -(BF82-Uzman_D!$D$22), BF82-Uzman_D!$D$22)*0.1 +
        IF(BG82-Uzman_D!$E$22&lt;0, -(BG82-Uzman_D!$E$22), BG82-Uzman_D!$E$22)*0.1 +
        IF(BH82-Uzman_D!$F$22&lt;0, -(BH82-Uzman_D!$F$22), BH82-Uzman_D!$F$22)*0.1 +
        IF(BI82-Uzman_D!$G$22&lt;0, -(BI82-Uzman_D!$G$22), BI82-Uzman_D!$G$22)*0.1 +
        IF(BJ82-Uzman_D!$H$22&lt;0, -(BJ82-Uzman_D!$H$22), BJ82-Uzman_D!$H$22)*0.1 +
        IF(BK82-Uzman_D!$I$22&lt;0, -(BK82-Uzman_D!$I$22), BK82-Uzman_D!$I$22)*0.1 +
        IF(BL82-Uzman_D!$J$22&lt;0, -(BL82-Uzman_D!$J$22), BL82-Uzman_D!$J$22)*0.1
    ) +
    IF(ROUND((IF(BN82-Uzman_D!$L$22&lt;0, -(BN82-Uzman_D!$L$22), BN82-Uzman_D!$L$22)*2),0)/2 = IF(BN82-Uzman_D!$L$22&lt;0, -(BN82-Uzman_D!$L$22), BN82-Uzman_D!$L$22),
    (ROUND((IF(BN82-Uzman_D!$L$22&lt;0, -(BN82-Uzman_D!$L$22), BN82-Uzman_D!$L$22)*2),0)/1 * 0.1), 0) +
    IF(BO82-Uzman_D!$M$22&lt;0, -(BO82-Uzman_D!$M$22), BO82-Uzman_D!$M$22)*1
)</f>
        <v>-0.40000000000000013</v>
      </c>
      <c r="BQ82" s="74">
        <f t="shared" si="1"/>
        <v>-0.54000000000000026</v>
      </c>
    </row>
    <row r="83" spans="1:69" ht="15" customHeight="1" x14ac:dyDescent="0.2">
      <c r="A83" s="57">
        <v>80</v>
      </c>
      <c r="B83" s="37">
        <f>Hakemler!B83</f>
        <v>0</v>
      </c>
      <c r="C83" s="37">
        <f>Hakemler!C83</f>
        <v>0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75"/>
      <c r="O83" s="75"/>
      <c r="P83" s="73">
        <f>1 - (
    SUM(
        IF(D83-Uzman_D!$B$18&lt;0, -(D83-Uzman_D!$B$18), D83-Uzman_D!$B$18)*0.1 +
        IF(E83-Uzman_D!$C$18&lt;0, -(E83-Uzman_D!$C$18), E83-Uzman_D!$C$18)*0.1 +
        IF(F83-Uzman_D!$D$18&lt;0, -(F83-Uzman_D!$D$18), F83-Uzman_D!$D$18)*0.1 +
        IF(G83-Uzman_D!$E$18&lt;0, -(G83-Uzman_D!$E$18), G83-Uzman_D!$E$18)*0.1 +
        IF(H83-Uzman_D!$F$18&lt;0, -(H83-Uzman_D!$F$18), H83-Uzman_D!$F$18)*0.1 +
        IF(I83-Uzman_D!$G$18&lt;0, -(I83-Uzman_D!$G$18), I83-Uzman_D!$G$18)*0.1 +
        IF(J83-Uzman_D!$H$18&lt;0, -(J83-Uzman_D!$H$18), J83-Uzman_D!$H$18)*0.1 +
        IF(K83-Uzman_D!$I$18&lt;0, -(K83-Uzman_D!$I$18), K83-Uzman_D!$I$18)*0.1 +
        IF(L83-Uzman_D!$J$18&lt;0, -(L83-Uzman_D!$J$18), L83-Uzman_D!$J$18)*0.1
    ) +
    IF(ROUND((IF(N83-Uzman_D!$L$18&lt;0, -(N83-Uzman_D!$L$18), N83-Uzman_D!$L$18)*2),0)/2 = IF(N83-Uzman_D!$L$18&lt;0, -(N83-Uzman_D!$L$18), N83-Uzman_D!$L$18),
    (ROUND((IF(N83-Uzman_D!$L$18&lt;0, -(N83-Uzman_D!$L$18), N83-Uzman_D!$L$18)*2),0)/1 * 0.1), 0) +
    IF(O83-Uzman_D!$M$18&lt;0, -(O83-Uzman_D!$M$18), O83-Uzman_D!$M$18)*1
)</f>
        <v>-0.50000000000000022</v>
      </c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75"/>
      <c r="AB83" s="75"/>
      <c r="AC83" s="73">
        <f>1 - (
    SUM(
        IF(Q83-Uzman_D!$B$19&lt;0, -(Q83-Uzman_D!$B$19), Q83-Uzman_D!$B$19)*0.1 +
        IF(R83-Uzman_D!$C$19&lt;0, -(R83-Uzman_D!$C$19), R83-Uzman_D!$C$19)*0.1 +
        IF(S83-Uzman_D!$D$19&lt;0, -(S83-Uzman_D!$D$19), S83-Uzman_D!$D$19)*0.1 +
        IF(T83-Uzman_D!$E$19&lt;0, -(T83-Uzman_D!$E$19), T83-Uzman_D!$E$19)*0.1 +
        IF(U83-Uzman_D!$F$19&lt;0, -(U83-Uzman_D!$F$19), U83-Uzman_D!$F$19)*0.1 +
        IF(V83-Uzman_D!$G$19&lt;0, -(V83-Uzman_D!$G$19), V83-Uzman_D!$G$19)*0.1 +
        IF(W83-Uzman_D!$H$19&lt;0, -(W83-Uzman_D!$H$19), W83-Uzman_D!$H$19)*0.1 +
        IF(X83-Uzman_D!$I$19&lt;0, -(X83-Uzman_D!$I$19), X83-Uzman_D!$I$19)*0.1 +
        IF(Y83-Uzman_D!$J$19&lt;0, -(Y83-Uzman_D!$J$19), Y83-Uzman_D!$J$19)*0.1
    ) +
    IF(ROUND((IF(AA83-Uzman_D!$L$19&lt;0, -(AA83-Uzman_D!$L$19), AA83-Uzman_D!$L$19)*2),0)/2 = IF(AA83-Uzman_D!$L$19&lt;0, -(AA83-Uzman_D!$L$19), AA83-Uzman_D!$L$19),
    (ROUND((IF(AA83-Uzman_D!$L$19&lt;0, -(AA83-Uzman_D!$L$19), AA83-Uzman_D!$L$19)*2),0)/1 * 0.1), 0) +
    IF(AB83-Uzman_D!$M$19&lt;0, -(AB83-Uzman_D!$M$19), AB83-Uzman_D!$M$19)*1
)</f>
        <v>-0.60000000000000009</v>
      </c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75"/>
      <c r="AO83" s="75"/>
      <c r="AP83" s="73">
        <f>1 - (
    SUM(
        IF(AD83-Uzman_D!$B$20&lt;0, -(AD83-Uzman_D!$B$20), AD83-Uzman_D!$B$20)*0.1 +
        IF(AE83-Uzman_D!$C$20&lt;0, -(AE83-Uzman_D!$C$20), AE83-Uzman_D!$C$20)*0.1 +
        IF(AF83-Uzman_D!$D$20&lt;0, -(AF83-Uzman_D!$D$20), AF83-Uzman_D!$D$20)*0.1 +
        IF(AG83-Uzman_D!$E$20&lt;0, -(AG83-Uzman_D!$E$20), AG83-Uzman_D!$E$20)*0.1 +
        IF(AH83-Uzman_D!$F$20&lt;0, -(AH83-Uzman_D!$F$20), AH83-Uzman_D!$F$20)*0.1 +
        IF(AI83-Uzman_D!$G$20&lt;0, -(AI83-Uzman_D!$G$20), AI83-Uzman_D!$G$20)*0.1 +
        IF(AJ83-Uzman_D!$H$20&lt;0, -(AJ83-Uzman_D!$H$20), AJ83-Uzman_D!$H$20)*0.1 +
        IF(AK83-Uzman_D!$I$20&lt;0, -(AK83-Uzman_D!$I$20), AK83-Uzman_D!$I$20)*0.1 +
        IF(AL83-Uzman_D!$J$20&lt;0, -(AL83-Uzman_D!$J$20), AL83-Uzman_D!$J$20)*0.1
    ) +
    IF(ROUND((IF(AN83-Uzman_D!$L$20&lt;0, -(AN83-Uzman_D!$L$20), AN83-Uzman_D!$L$20)*2),0)/2 = IF(AN83-Uzman_D!$L$20&lt;0, -(AN83-Uzman_D!$L$20), AN83-Uzman_D!$L$20),
    (ROUND((IF(AN83-Uzman_D!$L$20&lt;0, -(AN83-Uzman_D!$L$20), AN83-Uzman_D!$L$20)*2),0)/1 * 0.1), 0) +
    IF(AO83-Uzman_D!$M$20&lt;0, -(AO83-Uzman_D!$M$20), AO83-Uzman_D!$M$20)*1
)</f>
        <v>-0.60000000000000009</v>
      </c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75"/>
      <c r="BB83" s="75"/>
      <c r="BC83" s="73">
        <f>1 - (
    SUM(
        IF(AQ83-Uzman_D!$B$21&lt;0, -(AQ83-Uzman_D!$B$21), AQ83-Uzman_D!$B$21)*0.1 +
        IF(AR83-Uzman_D!$C$21&lt;0, -(AR83-Uzman_D!$C$21), AR83-Uzman_D!$C$21)*0.1 +
        IF(AS83-Uzman_D!$D$21&lt;0, -(AS83-Uzman_D!$D$21), AS83-Uzman_D!$D$21)*0.1 +
        IF(AT83-Uzman_D!$E$21&lt;0, -(AT83-Uzman_D!$E$21), AT83-Uzman_D!$E$21)*0.1 +
        IF(AU83-Uzman_D!$F$21&lt;0, -(AU83-Uzman_D!$F$21), AU83-Uzman_D!$F$21)*0.1 +
        IF(AV83-Uzman_D!$G$21&lt;0, -(AV83-Uzman_D!$G$21), AV83-Uzman_D!$G$21)*0.1 +
        IF(AW83-Uzman_D!$H$21&lt;0, -(AW83-Uzman_D!$H$21), AW83-Uzman_D!$H$21)*0.1 +
        IF(AX83-Uzman_D!$I$21&lt;0, -(AX83-Uzman_D!$I$21), AX83-Uzman_D!$I$21)*0.1 +
        IF(AY83-Uzman_D!$J$21&lt;0, -(AY83-Uzman_D!$J$21), AY83-Uzman_D!$J$21)*0.1
    ) +
    IF(ROUND((IF(BA83-Uzman_D!$L$21&lt;0, -(BA83-Uzman_D!$L$21), BA83-Uzman_D!$L$21)*2),0)/2 = IF(BA83-Uzman_D!$L$21&lt;0, -(BA83-Uzman_D!$L$21), BA83-Uzman_D!$L$21),
    (ROUND((IF(BA83-Uzman_D!$L$21&lt;0, -(BA83-Uzman_D!$L$21), BA83-Uzman_D!$L$21)*2),0)/1 * 0.1), 0) +
    IF(BB83-Uzman_D!$M$21&lt;0, -(BB83-Uzman_D!$M$21), BB83-Uzman_D!$M$21)*1
)</f>
        <v>-0.60000000000000009</v>
      </c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75"/>
      <c r="BO83" s="75"/>
      <c r="BP83" s="73">
        <f>1 - (
    SUM(
        IF(BD83-Uzman_D!$B$22&lt;0, -(BD83-Uzman_D!$B$22), BD83-Uzman_D!$B$22)*0.1 +
        IF(BE83-Uzman_D!$C$22&lt;0, -(BE83-Uzman_D!$C$22), BE83-Uzman_D!$C$22)*0.1 +
        IF(BF83-Uzman_D!$D$22&lt;0, -(BF83-Uzman_D!$D$22), BF83-Uzman_D!$D$22)*0.1 +
        IF(BG83-Uzman_D!$E$22&lt;0, -(BG83-Uzman_D!$E$22), BG83-Uzman_D!$E$22)*0.1 +
        IF(BH83-Uzman_D!$F$22&lt;0, -(BH83-Uzman_D!$F$22), BH83-Uzman_D!$F$22)*0.1 +
        IF(BI83-Uzman_D!$G$22&lt;0, -(BI83-Uzman_D!$G$22), BI83-Uzman_D!$G$22)*0.1 +
        IF(BJ83-Uzman_D!$H$22&lt;0, -(BJ83-Uzman_D!$H$22), BJ83-Uzman_D!$H$22)*0.1 +
        IF(BK83-Uzman_D!$I$22&lt;0, -(BK83-Uzman_D!$I$22), BK83-Uzman_D!$I$22)*0.1 +
        IF(BL83-Uzman_D!$J$22&lt;0, -(BL83-Uzman_D!$J$22), BL83-Uzman_D!$J$22)*0.1
    ) +
    IF(ROUND((IF(BN83-Uzman_D!$L$22&lt;0, -(BN83-Uzman_D!$L$22), BN83-Uzman_D!$L$22)*2),0)/2 = IF(BN83-Uzman_D!$L$22&lt;0, -(BN83-Uzman_D!$L$22), BN83-Uzman_D!$L$22),
    (ROUND((IF(BN83-Uzman_D!$L$22&lt;0, -(BN83-Uzman_D!$L$22), BN83-Uzman_D!$L$22)*2),0)/1 * 0.1), 0) +
    IF(BO83-Uzman_D!$M$22&lt;0, -(BO83-Uzman_D!$M$22), BO83-Uzman_D!$M$22)*1
)</f>
        <v>-0.40000000000000013</v>
      </c>
      <c r="BQ83" s="74">
        <f t="shared" si="1"/>
        <v>-0.54000000000000026</v>
      </c>
    </row>
    <row r="84" spans="1:69" ht="15" customHeight="1" x14ac:dyDescent="0.2">
      <c r="A84" s="57">
        <v>81</v>
      </c>
      <c r="B84" s="37">
        <f>Hakemler!B84</f>
        <v>0</v>
      </c>
      <c r="C84" s="37">
        <f>Hakemler!C84</f>
        <v>0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75"/>
      <c r="O84" s="75"/>
      <c r="P84" s="73">
        <f>1 - (
    SUM(
        IF(D84-Uzman_D!$B$18&lt;0, -(D84-Uzman_D!$B$18), D84-Uzman_D!$B$18)*0.1 +
        IF(E84-Uzman_D!$C$18&lt;0, -(E84-Uzman_D!$C$18), E84-Uzman_D!$C$18)*0.1 +
        IF(F84-Uzman_D!$D$18&lt;0, -(F84-Uzman_D!$D$18), F84-Uzman_D!$D$18)*0.1 +
        IF(G84-Uzman_D!$E$18&lt;0, -(G84-Uzman_D!$E$18), G84-Uzman_D!$E$18)*0.1 +
        IF(H84-Uzman_D!$F$18&lt;0, -(H84-Uzman_D!$F$18), H84-Uzman_D!$F$18)*0.1 +
        IF(I84-Uzman_D!$G$18&lt;0, -(I84-Uzman_D!$G$18), I84-Uzman_D!$G$18)*0.1 +
        IF(J84-Uzman_D!$H$18&lt;0, -(J84-Uzman_D!$H$18), J84-Uzman_D!$H$18)*0.1 +
        IF(K84-Uzman_D!$I$18&lt;0, -(K84-Uzman_D!$I$18), K84-Uzman_D!$I$18)*0.1 +
        IF(L84-Uzman_D!$J$18&lt;0, -(L84-Uzman_D!$J$18), L84-Uzman_D!$J$18)*0.1
    ) +
    IF(ROUND((IF(N84-Uzman_D!$L$18&lt;0, -(N84-Uzman_D!$L$18), N84-Uzman_D!$L$18)*2),0)/2 = IF(N84-Uzman_D!$L$18&lt;0, -(N84-Uzman_D!$L$18), N84-Uzman_D!$L$18),
    (ROUND((IF(N84-Uzman_D!$L$18&lt;0, -(N84-Uzman_D!$L$18), N84-Uzman_D!$L$18)*2),0)/1 * 0.1), 0) +
    IF(O84-Uzman_D!$M$18&lt;0, -(O84-Uzman_D!$M$18), O84-Uzman_D!$M$18)*1
)</f>
        <v>-0.50000000000000022</v>
      </c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75"/>
      <c r="AB84" s="75"/>
      <c r="AC84" s="73">
        <f>1 - (
    SUM(
        IF(Q84-Uzman_D!$B$19&lt;0, -(Q84-Uzman_D!$B$19), Q84-Uzman_D!$B$19)*0.1 +
        IF(R84-Uzman_D!$C$19&lt;0, -(R84-Uzman_D!$C$19), R84-Uzman_D!$C$19)*0.1 +
        IF(S84-Uzman_D!$D$19&lt;0, -(S84-Uzman_D!$D$19), S84-Uzman_D!$D$19)*0.1 +
        IF(T84-Uzman_D!$E$19&lt;0, -(T84-Uzman_D!$E$19), T84-Uzman_D!$E$19)*0.1 +
        IF(U84-Uzman_D!$F$19&lt;0, -(U84-Uzman_D!$F$19), U84-Uzman_D!$F$19)*0.1 +
        IF(V84-Uzman_D!$G$19&lt;0, -(V84-Uzman_D!$G$19), V84-Uzman_D!$G$19)*0.1 +
        IF(W84-Uzman_D!$H$19&lt;0, -(W84-Uzman_D!$H$19), W84-Uzman_D!$H$19)*0.1 +
        IF(X84-Uzman_D!$I$19&lt;0, -(X84-Uzman_D!$I$19), X84-Uzman_D!$I$19)*0.1 +
        IF(Y84-Uzman_D!$J$19&lt;0, -(Y84-Uzman_D!$J$19), Y84-Uzman_D!$J$19)*0.1
    ) +
    IF(ROUND((IF(AA84-Uzman_D!$L$19&lt;0, -(AA84-Uzman_D!$L$19), AA84-Uzman_D!$L$19)*2),0)/2 = IF(AA84-Uzman_D!$L$19&lt;0, -(AA84-Uzman_D!$L$19), AA84-Uzman_D!$L$19),
    (ROUND((IF(AA84-Uzman_D!$L$19&lt;0, -(AA84-Uzman_D!$L$19), AA84-Uzman_D!$L$19)*2),0)/1 * 0.1), 0) +
    IF(AB84-Uzman_D!$M$19&lt;0, -(AB84-Uzman_D!$M$19), AB84-Uzman_D!$M$19)*1
)</f>
        <v>-0.60000000000000009</v>
      </c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75"/>
      <c r="AO84" s="75"/>
      <c r="AP84" s="73">
        <f>1 - (
    SUM(
        IF(AD84-Uzman_D!$B$20&lt;0, -(AD84-Uzman_D!$B$20), AD84-Uzman_D!$B$20)*0.1 +
        IF(AE84-Uzman_D!$C$20&lt;0, -(AE84-Uzman_D!$C$20), AE84-Uzman_D!$C$20)*0.1 +
        IF(AF84-Uzman_D!$D$20&lt;0, -(AF84-Uzman_D!$D$20), AF84-Uzman_D!$D$20)*0.1 +
        IF(AG84-Uzman_D!$E$20&lt;0, -(AG84-Uzman_D!$E$20), AG84-Uzman_D!$E$20)*0.1 +
        IF(AH84-Uzman_D!$F$20&lt;0, -(AH84-Uzman_D!$F$20), AH84-Uzman_D!$F$20)*0.1 +
        IF(AI84-Uzman_D!$G$20&lt;0, -(AI84-Uzman_D!$G$20), AI84-Uzman_D!$G$20)*0.1 +
        IF(AJ84-Uzman_D!$H$20&lt;0, -(AJ84-Uzman_D!$H$20), AJ84-Uzman_D!$H$20)*0.1 +
        IF(AK84-Uzman_D!$I$20&lt;0, -(AK84-Uzman_D!$I$20), AK84-Uzman_D!$I$20)*0.1 +
        IF(AL84-Uzman_D!$J$20&lt;0, -(AL84-Uzman_D!$J$20), AL84-Uzman_D!$J$20)*0.1
    ) +
    IF(ROUND((IF(AN84-Uzman_D!$L$20&lt;0, -(AN84-Uzman_D!$L$20), AN84-Uzman_D!$L$20)*2),0)/2 = IF(AN84-Uzman_D!$L$20&lt;0, -(AN84-Uzman_D!$L$20), AN84-Uzman_D!$L$20),
    (ROUND((IF(AN84-Uzman_D!$L$20&lt;0, -(AN84-Uzman_D!$L$20), AN84-Uzman_D!$L$20)*2),0)/1 * 0.1), 0) +
    IF(AO84-Uzman_D!$M$20&lt;0, -(AO84-Uzman_D!$M$20), AO84-Uzman_D!$M$20)*1
)</f>
        <v>-0.60000000000000009</v>
      </c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75"/>
      <c r="BB84" s="75"/>
      <c r="BC84" s="73">
        <f>1 - (
    SUM(
        IF(AQ84-Uzman_D!$B$21&lt;0, -(AQ84-Uzman_D!$B$21), AQ84-Uzman_D!$B$21)*0.1 +
        IF(AR84-Uzman_D!$C$21&lt;0, -(AR84-Uzman_D!$C$21), AR84-Uzman_D!$C$21)*0.1 +
        IF(AS84-Uzman_D!$D$21&lt;0, -(AS84-Uzman_D!$D$21), AS84-Uzman_D!$D$21)*0.1 +
        IF(AT84-Uzman_D!$E$21&lt;0, -(AT84-Uzman_D!$E$21), AT84-Uzman_D!$E$21)*0.1 +
        IF(AU84-Uzman_D!$F$21&lt;0, -(AU84-Uzman_D!$F$21), AU84-Uzman_D!$F$21)*0.1 +
        IF(AV84-Uzman_D!$G$21&lt;0, -(AV84-Uzman_D!$G$21), AV84-Uzman_D!$G$21)*0.1 +
        IF(AW84-Uzman_D!$H$21&lt;0, -(AW84-Uzman_D!$H$21), AW84-Uzman_D!$H$21)*0.1 +
        IF(AX84-Uzman_D!$I$21&lt;0, -(AX84-Uzman_D!$I$21), AX84-Uzman_D!$I$21)*0.1 +
        IF(AY84-Uzman_D!$J$21&lt;0, -(AY84-Uzman_D!$J$21), AY84-Uzman_D!$J$21)*0.1
    ) +
    IF(ROUND((IF(BA84-Uzman_D!$L$21&lt;0, -(BA84-Uzman_D!$L$21), BA84-Uzman_D!$L$21)*2),0)/2 = IF(BA84-Uzman_D!$L$21&lt;0, -(BA84-Uzman_D!$L$21), BA84-Uzman_D!$L$21),
    (ROUND((IF(BA84-Uzman_D!$L$21&lt;0, -(BA84-Uzman_D!$L$21), BA84-Uzman_D!$L$21)*2),0)/1 * 0.1), 0) +
    IF(BB84-Uzman_D!$M$21&lt;0, -(BB84-Uzman_D!$M$21), BB84-Uzman_D!$M$21)*1
)</f>
        <v>-0.60000000000000009</v>
      </c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75"/>
      <c r="BO84" s="75"/>
      <c r="BP84" s="73">
        <f>1 - (
    SUM(
        IF(BD84-Uzman_D!$B$22&lt;0, -(BD84-Uzman_D!$B$22), BD84-Uzman_D!$B$22)*0.1 +
        IF(BE84-Uzman_D!$C$22&lt;0, -(BE84-Uzman_D!$C$22), BE84-Uzman_D!$C$22)*0.1 +
        IF(BF84-Uzman_D!$D$22&lt;0, -(BF84-Uzman_D!$D$22), BF84-Uzman_D!$D$22)*0.1 +
        IF(BG84-Uzman_D!$E$22&lt;0, -(BG84-Uzman_D!$E$22), BG84-Uzman_D!$E$22)*0.1 +
        IF(BH84-Uzman_D!$F$22&lt;0, -(BH84-Uzman_D!$F$22), BH84-Uzman_D!$F$22)*0.1 +
        IF(BI84-Uzman_D!$G$22&lt;0, -(BI84-Uzman_D!$G$22), BI84-Uzman_D!$G$22)*0.1 +
        IF(BJ84-Uzman_D!$H$22&lt;0, -(BJ84-Uzman_D!$H$22), BJ84-Uzman_D!$H$22)*0.1 +
        IF(BK84-Uzman_D!$I$22&lt;0, -(BK84-Uzman_D!$I$22), BK84-Uzman_D!$I$22)*0.1 +
        IF(BL84-Uzman_D!$J$22&lt;0, -(BL84-Uzman_D!$J$22), BL84-Uzman_D!$J$22)*0.1
    ) +
    IF(ROUND((IF(BN84-Uzman_D!$L$22&lt;0, -(BN84-Uzman_D!$L$22), BN84-Uzman_D!$L$22)*2),0)/2 = IF(BN84-Uzman_D!$L$22&lt;0, -(BN84-Uzman_D!$L$22), BN84-Uzman_D!$L$22),
    (ROUND((IF(BN84-Uzman_D!$L$22&lt;0, -(BN84-Uzman_D!$L$22), BN84-Uzman_D!$L$22)*2),0)/1 * 0.1), 0) +
    IF(BO84-Uzman_D!$M$22&lt;0, -(BO84-Uzman_D!$M$22), BO84-Uzman_D!$M$22)*1
)</f>
        <v>-0.40000000000000013</v>
      </c>
      <c r="BQ84" s="74">
        <f t="shared" si="1"/>
        <v>-0.54000000000000026</v>
      </c>
    </row>
    <row r="85" spans="1:69" ht="15" customHeight="1" x14ac:dyDescent="0.2">
      <c r="A85" s="57">
        <v>82</v>
      </c>
      <c r="B85" s="37">
        <f>Hakemler!B85</f>
        <v>0</v>
      </c>
      <c r="C85" s="37">
        <f>Hakemler!C85</f>
        <v>0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75"/>
      <c r="O85" s="75"/>
      <c r="P85" s="73">
        <f>1 - (
    SUM(
        IF(D85-Uzman_D!$B$18&lt;0, -(D85-Uzman_D!$B$18), D85-Uzman_D!$B$18)*0.1 +
        IF(E85-Uzman_D!$C$18&lt;0, -(E85-Uzman_D!$C$18), E85-Uzman_D!$C$18)*0.1 +
        IF(F85-Uzman_D!$D$18&lt;0, -(F85-Uzman_D!$D$18), F85-Uzman_D!$D$18)*0.1 +
        IF(G85-Uzman_D!$E$18&lt;0, -(G85-Uzman_D!$E$18), G85-Uzman_D!$E$18)*0.1 +
        IF(H85-Uzman_D!$F$18&lt;0, -(H85-Uzman_D!$F$18), H85-Uzman_D!$F$18)*0.1 +
        IF(I85-Uzman_D!$G$18&lt;0, -(I85-Uzman_D!$G$18), I85-Uzman_D!$G$18)*0.1 +
        IF(J85-Uzman_D!$H$18&lt;0, -(J85-Uzman_D!$H$18), J85-Uzman_D!$H$18)*0.1 +
        IF(K85-Uzman_D!$I$18&lt;0, -(K85-Uzman_D!$I$18), K85-Uzman_D!$I$18)*0.1 +
        IF(L85-Uzman_D!$J$18&lt;0, -(L85-Uzman_D!$J$18), L85-Uzman_D!$J$18)*0.1
    ) +
    IF(ROUND((IF(N85-Uzman_D!$L$18&lt;0, -(N85-Uzman_D!$L$18), N85-Uzman_D!$L$18)*2),0)/2 = IF(N85-Uzman_D!$L$18&lt;0, -(N85-Uzman_D!$L$18), N85-Uzman_D!$L$18),
    (ROUND((IF(N85-Uzman_D!$L$18&lt;0, -(N85-Uzman_D!$L$18), N85-Uzman_D!$L$18)*2),0)/1 * 0.1), 0) +
    IF(O85-Uzman_D!$M$18&lt;0, -(O85-Uzman_D!$M$18), O85-Uzman_D!$M$18)*1
)</f>
        <v>-0.50000000000000022</v>
      </c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75"/>
      <c r="AB85" s="75"/>
      <c r="AC85" s="73">
        <f>1 - (
    SUM(
        IF(Q85-Uzman_D!$B$19&lt;0, -(Q85-Uzman_D!$B$19), Q85-Uzman_D!$B$19)*0.1 +
        IF(R85-Uzman_D!$C$19&lt;0, -(R85-Uzman_D!$C$19), R85-Uzman_D!$C$19)*0.1 +
        IF(S85-Uzman_D!$D$19&lt;0, -(S85-Uzman_D!$D$19), S85-Uzman_D!$D$19)*0.1 +
        IF(T85-Uzman_D!$E$19&lt;0, -(T85-Uzman_D!$E$19), T85-Uzman_D!$E$19)*0.1 +
        IF(U85-Uzman_D!$F$19&lt;0, -(U85-Uzman_D!$F$19), U85-Uzman_D!$F$19)*0.1 +
        IF(V85-Uzman_D!$G$19&lt;0, -(V85-Uzman_D!$G$19), V85-Uzman_D!$G$19)*0.1 +
        IF(W85-Uzman_D!$H$19&lt;0, -(W85-Uzman_D!$H$19), W85-Uzman_D!$H$19)*0.1 +
        IF(X85-Uzman_D!$I$19&lt;0, -(X85-Uzman_D!$I$19), X85-Uzman_D!$I$19)*0.1 +
        IF(Y85-Uzman_D!$J$19&lt;0, -(Y85-Uzman_D!$J$19), Y85-Uzman_D!$J$19)*0.1
    ) +
    IF(ROUND((IF(AA85-Uzman_D!$L$19&lt;0, -(AA85-Uzman_D!$L$19), AA85-Uzman_D!$L$19)*2),0)/2 = IF(AA85-Uzman_D!$L$19&lt;0, -(AA85-Uzman_D!$L$19), AA85-Uzman_D!$L$19),
    (ROUND((IF(AA85-Uzman_D!$L$19&lt;0, -(AA85-Uzman_D!$L$19), AA85-Uzman_D!$L$19)*2),0)/1 * 0.1), 0) +
    IF(AB85-Uzman_D!$M$19&lt;0, -(AB85-Uzman_D!$M$19), AB85-Uzman_D!$M$19)*1
)</f>
        <v>-0.60000000000000009</v>
      </c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75"/>
      <c r="AO85" s="75"/>
      <c r="AP85" s="73">
        <f>1 - (
    SUM(
        IF(AD85-Uzman_D!$B$20&lt;0, -(AD85-Uzman_D!$B$20), AD85-Uzman_D!$B$20)*0.1 +
        IF(AE85-Uzman_D!$C$20&lt;0, -(AE85-Uzman_D!$C$20), AE85-Uzman_D!$C$20)*0.1 +
        IF(AF85-Uzman_D!$D$20&lt;0, -(AF85-Uzman_D!$D$20), AF85-Uzman_D!$D$20)*0.1 +
        IF(AG85-Uzman_D!$E$20&lt;0, -(AG85-Uzman_D!$E$20), AG85-Uzman_D!$E$20)*0.1 +
        IF(AH85-Uzman_D!$F$20&lt;0, -(AH85-Uzman_D!$F$20), AH85-Uzman_D!$F$20)*0.1 +
        IF(AI85-Uzman_D!$G$20&lt;0, -(AI85-Uzman_D!$G$20), AI85-Uzman_D!$G$20)*0.1 +
        IF(AJ85-Uzman_D!$H$20&lt;0, -(AJ85-Uzman_D!$H$20), AJ85-Uzman_D!$H$20)*0.1 +
        IF(AK85-Uzman_D!$I$20&lt;0, -(AK85-Uzman_D!$I$20), AK85-Uzman_D!$I$20)*0.1 +
        IF(AL85-Uzman_D!$J$20&lt;0, -(AL85-Uzman_D!$J$20), AL85-Uzman_D!$J$20)*0.1
    ) +
    IF(ROUND((IF(AN85-Uzman_D!$L$20&lt;0, -(AN85-Uzman_D!$L$20), AN85-Uzman_D!$L$20)*2),0)/2 = IF(AN85-Uzman_D!$L$20&lt;0, -(AN85-Uzman_D!$L$20), AN85-Uzman_D!$L$20),
    (ROUND((IF(AN85-Uzman_D!$L$20&lt;0, -(AN85-Uzman_D!$L$20), AN85-Uzman_D!$L$20)*2),0)/1 * 0.1), 0) +
    IF(AO85-Uzman_D!$M$20&lt;0, -(AO85-Uzman_D!$M$20), AO85-Uzman_D!$M$20)*1
)</f>
        <v>-0.60000000000000009</v>
      </c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75"/>
      <c r="BB85" s="75"/>
      <c r="BC85" s="73">
        <f>1 - (
    SUM(
        IF(AQ85-Uzman_D!$B$21&lt;0, -(AQ85-Uzman_D!$B$21), AQ85-Uzman_D!$B$21)*0.1 +
        IF(AR85-Uzman_D!$C$21&lt;0, -(AR85-Uzman_D!$C$21), AR85-Uzman_D!$C$21)*0.1 +
        IF(AS85-Uzman_D!$D$21&lt;0, -(AS85-Uzman_D!$D$21), AS85-Uzman_D!$D$21)*0.1 +
        IF(AT85-Uzman_D!$E$21&lt;0, -(AT85-Uzman_D!$E$21), AT85-Uzman_D!$E$21)*0.1 +
        IF(AU85-Uzman_D!$F$21&lt;0, -(AU85-Uzman_D!$F$21), AU85-Uzman_D!$F$21)*0.1 +
        IF(AV85-Uzman_D!$G$21&lt;0, -(AV85-Uzman_D!$G$21), AV85-Uzman_D!$G$21)*0.1 +
        IF(AW85-Uzman_D!$H$21&lt;0, -(AW85-Uzman_D!$H$21), AW85-Uzman_D!$H$21)*0.1 +
        IF(AX85-Uzman_D!$I$21&lt;0, -(AX85-Uzman_D!$I$21), AX85-Uzman_D!$I$21)*0.1 +
        IF(AY85-Uzman_D!$J$21&lt;0, -(AY85-Uzman_D!$J$21), AY85-Uzman_D!$J$21)*0.1
    ) +
    IF(ROUND((IF(BA85-Uzman_D!$L$21&lt;0, -(BA85-Uzman_D!$L$21), BA85-Uzman_D!$L$21)*2),0)/2 = IF(BA85-Uzman_D!$L$21&lt;0, -(BA85-Uzman_D!$L$21), BA85-Uzman_D!$L$21),
    (ROUND((IF(BA85-Uzman_D!$L$21&lt;0, -(BA85-Uzman_D!$L$21), BA85-Uzman_D!$L$21)*2),0)/1 * 0.1), 0) +
    IF(BB85-Uzman_D!$M$21&lt;0, -(BB85-Uzman_D!$M$21), BB85-Uzman_D!$M$21)*1
)</f>
        <v>-0.60000000000000009</v>
      </c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75"/>
      <c r="BO85" s="75"/>
      <c r="BP85" s="73">
        <f>1 - (
    SUM(
        IF(BD85-Uzman_D!$B$22&lt;0, -(BD85-Uzman_D!$B$22), BD85-Uzman_D!$B$22)*0.1 +
        IF(BE85-Uzman_D!$C$22&lt;0, -(BE85-Uzman_D!$C$22), BE85-Uzman_D!$C$22)*0.1 +
        IF(BF85-Uzman_D!$D$22&lt;0, -(BF85-Uzman_D!$D$22), BF85-Uzman_D!$D$22)*0.1 +
        IF(BG85-Uzman_D!$E$22&lt;0, -(BG85-Uzman_D!$E$22), BG85-Uzman_D!$E$22)*0.1 +
        IF(BH85-Uzman_D!$F$22&lt;0, -(BH85-Uzman_D!$F$22), BH85-Uzman_D!$F$22)*0.1 +
        IF(BI85-Uzman_D!$G$22&lt;0, -(BI85-Uzman_D!$G$22), BI85-Uzman_D!$G$22)*0.1 +
        IF(BJ85-Uzman_D!$H$22&lt;0, -(BJ85-Uzman_D!$H$22), BJ85-Uzman_D!$H$22)*0.1 +
        IF(BK85-Uzman_D!$I$22&lt;0, -(BK85-Uzman_D!$I$22), BK85-Uzman_D!$I$22)*0.1 +
        IF(BL85-Uzman_D!$J$22&lt;0, -(BL85-Uzman_D!$J$22), BL85-Uzman_D!$J$22)*0.1
    ) +
    IF(ROUND((IF(BN85-Uzman_D!$L$22&lt;0, -(BN85-Uzman_D!$L$22), BN85-Uzman_D!$L$22)*2),0)/2 = IF(BN85-Uzman_D!$L$22&lt;0, -(BN85-Uzman_D!$L$22), BN85-Uzman_D!$L$22),
    (ROUND((IF(BN85-Uzman_D!$L$22&lt;0, -(BN85-Uzman_D!$L$22), BN85-Uzman_D!$L$22)*2),0)/1 * 0.1), 0) +
    IF(BO85-Uzman_D!$M$22&lt;0, -(BO85-Uzman_D!$M$22), BO85-Uzman_D!$M$22)*1
)</f>
        <v>-0.40000000000000013</v>
      </c>
      <c r="BQ85" s="74">
        <f t="shared" si="1"/>
        <v>-0.54000000000000026</v>
      </c>
    </row>
    <row r="86" spans="1:69" ht="15" customHeight="1" x14ac:dyDescent="0.2">
      <c r="A86" s="57">
        <v>83</v>
      </c>
      <c r="B86" s="37">
        <f>Hakemler!B86</f>
        <v>0</v>
      </c>
      <c r="C86" s="37">
        <f>Hakemler!C86</f>
        <v>0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75"/>
      <c r="O86" s="75"/>
      <c r="P86" s="73">
        <f>1 - (
    SUM(
        IF(D86-Uzman_D!$B$18&lt;0, -(D86-Uzman_D!$B$18), D86-Uzman_D!$B$18)*0.1 +
        IF(E86-Uzman_D!$C$18&lt;0, -(E86-Uzman_D!$C$18), E86-Uzman_D!$C$18)*0.1 +
        IF(F86-Uzman_D!$D$18&lt;0, -(F86-Uzman_D!$D$18), F86-Uzman_D!$D$18)*0.1 +
        IF(G86-Uzman_D!$E$18&lt;0, -(G86-Uzman_D!$E$18), G86-Uzman_D!$E$18)*0.1 +
        IF(H86-Uzman_D!$F$18&lt;0, -(H86-Uzman_D!$F$18), H86-Uzman_D!$F$18)*0.1 +
        IF(I86-Uzman_D!$G$18&lt;0, -(I86-Uzman_D!$G$18), I86-Uzman_D!$G$18)*0.1 +
        IF(J86-Uzman_D!$H$18&lt;0, -(J86-Uzman_D!$H$18), J86-Uzman_D!$H$18)*0.1 +
        IF(K86-Uzman_D!$I$18&lt;0, -(K86-Uzman_D!$I$18), K86-Uzman_D!$I$18)*0.1 +
        IF(L86-Uzman_D!$J$18&lt;0, -(L86-Uzman_D!$J$18), L86-Uzman_D!$J$18)*0.1
    ) +
    IF(ROUND((IF(N86-Uzman_D!$L$18&lt;0, -(N86-Uzman_D!$L$18), N86-Uzman_D!$L$18)*2),0)/2 = IF(N86-Uzman_D!$L$18&lt;0, -(N86-Uzman_D!$L$18), N86-Uzman_D!$L$18),
    (ROUND((IF(N86-Uzman_D!$L$18&lt;0, -(N86-Uzman_D!$L$18), N86-Uzman_D!$L$18)*2),0)/1 * 0.1), 0) +
    IF(O86-Uzman_D!$M$18&lt;0, -(O86-Uzman_D!$M$18), O86-Uzman_D!$M$18)*1
)</f>
        <v>-0.50000000000000022</v>
      </c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75"/>
      <c r="AB86" s="75"/>
      <c r="AC86" s="73">
        <f>1 - (
    SUM(
        IF(Q86-Uzman_D!$B$19&lt;0, -(Q86-Uzman_D!$B$19), Q86-Uzman_D!$B$19)*0.1 +
        IF(R86-Uzman_D!$C$19&lt;0, -(R86-Uzman_D!$C$19), R86-Uzman_D!$C$19)*0.1 +
        IF(S86-Uzman_D!$D$19&lt;0, -(S86-Uzman_D!$D$19), S86-Uzman_D!$D$19)*0.1 +
        IF(T86-Uzman_D!$E$19&lt;0, -(T86-Uzman_D!$E$19), T86-Uzman_D!$E$19)*0.1 +
        IF(U86-Uzman_D!$F$19&lt;0, -(U86-Uzman_D!$F$19), U86-Uzman_D!$F$19)*0.1 +
        IF(V86-Uzman_D!$G$19&lt;0, -(V86-Uzman_D!$G$19), V86-Uzman_D!$G$19)*0.1 +
        IF(W86-Uzman_D!$H$19&lt;0, -(W86-Uzman_D!$H$19), W86-Uzman_D!$H$19)*0.1 +
        IF(X86-Uzman_D!$I$19&lt;0, -(X86-Uzman_D!$I$19), X86-Uzman_D!$I$19)*0.1 +
        IF(Y86-Uzman_D!$J$19&lt;0, -(Y86-Uzman_D!$J$19), Y86-Uzman_D!$J$19)*0.1
    ) +
    IF(ROUND((IF(AA86-Uzman_D!$L$19&lt;0, -(AA86-Uzman_D!$L$19), AA86-Uzman_D!$L$19)*2),0)/2 = IF(AA86-Uzman_D!$L$19&lt;0, -(AA86-Uzman_D!$L$19), AA86-Uzman_D!$L$19),
    (ROUND((IF(AA86-Uzman_D!$L$19&lt;0, -(AA86-Uzman_D!$L$19), AA86-Uzman_D!$L$19)*2),0)/1 * 0.1), 0) +
    IF(AB86-Uzman_D!$M$19&lt;0, -(AB86-Uzman_D!$M$19), AB86-Uzman_D!$M$19)*1
)</f>
        <v>-0.60000000000000009</v>
      </c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75"/>
      <c r="AO86" s="75"/>
      <c r="AP86" s="73">
        <f>1 - (
    SUM(
        IF(AD86-Uzman_D!$B$20&lt;0, -(AD86-Uzman_D!$B$20), AD86-Uzman_D!$B$20)*0.1 +
        IF(AE86-Uzman_D!$C$20&lt;0, -(AE86-Uzman_D!$C$20), AE86-Uzman_D!$C$20)*0.1 +
        IF(AF86-Uzman_D!$D$20&lt;0, -(AF86-Uzman_D!$D$20), AF86-Uzman_D!$D$20)*0.1 +
        IF(AG86-Uzman_D!$E$20&lt;0, -(AG86-Uzman_D!$E$20), AG86-Uzman_D!$E$20)*0.1 +
        IF(AH86-Uzman_D!$F$20&lt;0, -(AH86-Uzman_D!$F$20), AH86-Uzman_D!$F$20)*0.1 +
        IF(AI86-Uzman_D!$G$20&lt;0, -(AI86-Uzman_D!$G$20), AI86-Uzman_D!$G$20)*0.1 +
        IF(AJ86-Uzman_D!$H$20&lt;0, -(AJ86-Uzman_D!$H$20), AJ86-Uzman_D!$H$20)*0.1 +
        IF(AK86-Uzman_D!$I$20&lt;0, -(AK86-Uzman_D!$I$20), AK86-Uzman_D!$I$20)*0.1 +
        IF(AL86-Uzman_D!$J$20&lt;0, -(AL86-Uzman_D!$J$20), AL86-Uzman_D!$J$20)*0.1
    ) +
    IF(ROUND((IF(AN86-Uzman_D!$L$20&lt;0, -(AN86-Uzman_D!$L$20), AN86-Uzman_D!$L$20)*2),0)/2 = IF(AN86-Uzman_D!$L$20&lt;0, -(AN86-Uzman_D!$L$20), AN86-Uzman_D!$L$20),
    (ROUND((IF(AN86-Uzman_D!$L$20&lt;0, -(AN86-Uzman_D!$L$20), AN86-Uzman_D!$L$20)*2),0)/1 * 0.1), 0) +
    IF(AO86-Uzman_D!$M$20&lt;0, -(AO86-Uzman_D!$M$20), AO86-Uzman_D!$M$20)*1
)</f>
        <v>-0.60000000000000009</v>
      </c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75"/>
      <c r="BB86" s="75"/>
      <c r="BC86" s="73">
        <f>1 - (
    SUM(
        IF(AQ86-Uzman_D!$B$21&lt;0, -(AQ86-Uzman_D!$B$21), AQ86-Uzman_D!$B$21)*0.1 +
        IF(AR86-Uzman_D!$C$21&lt;0, -(AR86-Uzman_D!$C$21), AR86-Uzman_D!$C$21)*0.1 +
        IF(AS86-Uzman_D!$D$21&lt;0, -(AS86-Uzman_D!$D$21), AS86-Uzman_D!$D$21)*0.1 +
        IF(AT86-Uzman_D!$E$21&lt;0, -(AT86-Uzman_D!$E$21), AT86-Uzman_D!$E$21)*0.1 +
        IF(AU86-Uzman_D!$F$21&lt;0, -(AU86-Uzman_D!$F$21), AU86-Uzman_D!$F$21)*0.1 +
        IF(AV86-Uzman_D!$G$21&lt;0, -(AV86-Uzman_D!$G$21), AV86-Uzman_D!$G$21)*0.1 +
        IF(AW86-Uzman_D!$H$21&lt;0, -(AW86-Uzman_D!$H$21), AW86-Uzman_D!$H$21)*0.1 +
        IF(AX86-Uzman_D!$I$21&lt;0, -(AX86-Uzman_D!$I$21), AX86-Uzman_D!$I$21)*0.1 +
        IF(AY86-Uzman_D!$J$21&lt;0, -(AY86-Uzman_D!$J$21), AY86-Uzman_D!$J$21)*0.1
    ) +
    IF(ROUND((IF(BA86-Uzman_D!$L$21&lt;0, -(BA86-Uzman_D!$L$21), BA86-Uzman_D!$L$21)*2),0)/2 = IF(BA86-Uzman_D!$L$21&lt;0, -(BA86-Uzman_D!$L$21), BA86-Uzman_D!$L$21),
    (ROUND((IF(BA86-Uzman_D!$L$21&lt;0, -(BA86-Uzman_D!$L$21), BA86-Uzman_D!$L$21)*2),0)/1 * 0.1), 0) +
    IF(BB86-Uzman_D!$M$21&lt;0, -(BB86-Uzman_D!$M$21), BB86-Uzman_D!$M$21)*1
)</f>
        <v>-0.60000000000000009</v>
      </c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75"/>
      <c r="BO86" s="75"/>
      <c r="BP86" s="73">
        <f>1 - (
    SUM(
        IF(BD86-Uzman_D!$B$22&lt;0, -(BD86-Uzman_D!$B$22), BD86-Uzman_D!$B$22)*0.1 +
        IF(BE86-Uzman_D!$C$22&lt;0, -(BE86-Uzman_D!$C$22), BE86-Uzman_D!$C$22)*0.1 +
        IF(BF86-Uzman_D!$D$22&lt;0, -(BF86-Uzman_D!$D$22), BF86-Uzman_D!$D$22)*0.1 +
        IF(BG86-Uzman_D!$E$22&lt;0, -(BG86-Uzman_D!$E$22), BG86-Uzman_D!$E$22)*0.1 +
        IF(BH86-Uzman_D!$F$22&lt;0, -(BH86-Uzman_D!$F$22), BH86-Uzman_D!$F$22)*0.1 +
        IF(BI86-Uzman_D!$G$22&lt;0, -(BI86-Uzman_D!$G$22), BI86-Uzman_D!$G$22)*0.1 +
        IF(BJ86-Uzman_D!$H$22&lt;0, -(BJ86-Uzman_D!$H$22), BJ86-Uzman_D!$H$22)*0.1 +
        IF(BK86-Uzman_D!$I$22&lt;0, -(BK86-Uzman_D!$I$22), BK86-Uzman_D!$I$22)*0.1 +
        IF(BL86-Uzman_D!$J$22&lt;0, -(BL86-Uzman_D!$J$22), BL86-Uzman_D!$J$22)*0.1
    ) +
    IF(ROUND((IF(BN86-Uzman_D!$L$22&lt;0, -(BN86-Uzman_D!$L$22), BN86-Uzman_D!$L$22)*2),0)/2 = IF(BN86-Uzman_D!$L$22&lt;0, -(BN86-Uzman_D!$L$22), BN86-Uzman_D!$L$22),
    (ROUND((IF(BN86-Uzman_D!$L$22&lt;0, -(BN86-Uzman_D!$L$22), BN86-Uzman_D!$L$22)*2),0)/1 * 0.1), 0) +
    IF(BO86-Uzman_D!$M$22&lt;0, -(BO86-Uzman_D!$M$22), BO86-Uzman_D!$M$22)*1
)</f>
        <v>-0.40000000000000013</v>
      </c>
      <c r="BQ86" s="74">
        <f t="shared" si="1"/>
        <v>-0.54000000000000026</v>
      </c>
    </row>
    <row r="87" spans="1:69" ht="15" customHeight="1" x14ac:dyDescent="0.2">
      <c r="A87" s="57">
        <v>84</v>
      </c>
      <c r="B87" s="37">
        <f>Hakemler!B87</f>
        <v>0</v>
      </c>
      <c r="C87" s="37">
        <f>Hakemler!C87</f>
        <v>0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75"/>
      <c r="O87" s="75"/>
      <c r="P87" s="73">
        <f>1 - (
    SUM(
        IF(D87-Uzman_D!$B$18&lt;0, -(D87-Uzman_D!$B$18), D87-Uzman_D!$B$18)*0.1 +
        IF(E87-Uzman_D!$C$18&lt;0, -(E87-Uzman_D!$C$18), E87-Uzman_D!$C$18)*0.1 +
        IF(F87-Uzman_D!$D$18&lt;0, -(F87-Uzman_D!$D$18), F87-Uzman_D!$D$18)*0.1 +
        IF(G87-Uzman_D!$E$18&lt;0, -(G87-Uzman_D!$E$18), G87-Uzman_D!$E$18)*0.1 +
        IF(H87-Uzman_D!$F$18&lt;0, -(H87-Uzman_D!$F$18), H87-Uzman_D!$F$18)*0.1 +
        IF(I87-Uzman_D!$G$18&lt;0, -(I87-Uzman_D!$G$18), I87-Uzman_D!$G$18)*0.1 +
        IF(J87-Uzman_D!$H$18&lt;0, -(J87-Uzman_D!$H$18), J87-Uzman_D!$H$18)*0.1 +
        IF(K87-Uzman_D!$I$18&lt;0, -(K87-Uzman_D!$I$18), K87-Uzman_D!$I$18)*0.1 +
        IF(L87-Uzman_D!$J$18&lt;0, -(L87-Uzman_D!$J$18), L87-Uzman_D!$J$18)*0.1
    ) +
    IF(ROUND((IF(N87-Uzman_D!$L$18&lt;0, -(N87-Uzman_D!$L$18), N87-Uzman_D!$L$18)*2),0)/2 = IF(N87-Uzman_D!$L$18&lt;0, -(N87-Uzman_D!$L$18), N87-Uzman_D!$L$18),
    (ROUND((IF(N87-Uzman_D!$L$18&lt;0, -(N87-Uzman_D!$L$18), N87-Uzman_D!$L$18)*2),0)/1 * 0.1), 0) +
    IF(O87-Uzman_D!$M$18&lt;0, -(O87-Uzman_D!$M$18), O87-Uzman_D!$M$18)*1
)</f>
        <v>-0.50000000000000022</v>
      </c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75"/>
      <c r="AB87" s="75"/>
      <c r="AC87" s="73">
        <f>1 - (
    SUM(
        IF(Q87-Uzman_D!$B$19&lt;0, -(Q87-Uzman_D!$B$19), Q87-Uzman_D!$B$19)*0.1 +
        IF(R87-Uzman_D!$C$19&lt;0, -(R87-Uzman_D!$C$19), R87-Uzman_D!$C$19)*0.1 +
        IF(S87-Uzman_D!$D$19&lt;0, -(S87-Uzman_D!$D$19), S87-Uzman_D!$D$19)*0.1 +
        IF(T87-Uzman_D!$E$19&lt;0, -(T87-Uzman_D!$E$19), T87-Uzman_D!$E$19)*0.1 +
        IF(U87-Uzman_D!$F$19&lt;0, -(U87-Uzman_D!$F$19), U87-Uzman_D!$F$19)*0.1 +
        IF(V87-Uzman_D!$G$19&lt;0, -(V87-Uzman_D!$G$19), V87-Uzman_D!$G$19)*0.1 +
        IF(W87-Uzman_D!$H$19&lt;0, -(W87-Uzman_D!$H$19), W87-Uzman_D!$H$19)*0.1 +
        IF(X87-Uzman_D!$I$19&lt;0, -(X87-Uzman_D!$I$19), X87-Uzman_D!$I$19)*0.1 +
        IF(Y87-Uzman_D!$J$19&lt;0, -(Y87-Uzman_D!$J$19), Y87-Uzman_D!$J$19)*0.1
    ) +
    IF(ROUND((IF(AA87-Uzman_D!$L$19&lt;0, -(AA87-Uzman_D!$L$19), AA87-Uzman_D!$L$19)*2),0)/2 = IF(AA87-Uzman_D!$L$19&lt;0, -(AA87-Uzman_D!$L$19), AA87-Uzman_D!$L$19),
    (ROUND((IF(AA87-Uzman_D!$L$19&lt;0, -(AA87-Uzman_D!$L$19), AA87-Uzman_D!$L$19)*2),0)/1 * 0.1), 0) +
    IF(AB87-Uzman_D!$M$19&lt;0, -(AB87-Uzman_D!$M$19), AB87-Uzman_D!$M$19)*1
)</f>
        <v>-0.60000000000000009</v>
      </c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75"/>
      <c r="AO87" s="75"/>
      <c r="AP87" s="73">
        <f>1 - (
    SUM(
        IF(AD87-Uzman_D!$B$20&lt;0, -(AD87-Uzman_D!$B$20), AD87-Uzman_D!$B$20)*0.1 +
        IF(AE87-Uzman_D!$C$20&lt;0, -(AE87-Uzman_D!$C$20), AE87-Uzman_D!$C$20)*0.1 +
        IF(AF87-Uzman_D!$D$20&lt;0, -(AF87-Uzman_D!$D$20), AF87-Uzman_D!$D$20)*0.1 +
        IF(AG87-Uzman_D!$E$20&lt;0, -(AG87-Uzman_D!$E$20), AG87-Uzman_D!$E$20)*0.1 +
        IF(AH87-Uzman_D!$F$20&lt;0, -(AH87-Uzman_D!$F$20), AH87-Uzman_D!$F$20)*0.1 +
        IF(AI87-Uzman_D!$G$20&lt;0, -(AI87-Uzman_D!$G$20), AI87-Uzman_D!$G$20)*0.1 +
        IF(AJ87-Uzman_D!$H$20&lt;0, -(AJ87-Uzman_D!$H$20), AJ87-Uzman_D!$H$20)*0.1 +
        IF(AK87-Uzman_D!$I$20&lt;0, -(AK87-Uzman_D!$I$20), AK87-Uzman_D!$I$20)*0.1 +
        IF(AL87-Uzman_D!$J$20&lt;0, -(AL87-Uzman_D!$J$20), AL87-Uzman_D!$J$20)*0.1
    ) +
    IF(ROUND((IF(AN87-Uzman_D!$L$20&lt;0, -(AN87-Uzman_D!$L$20), AN87-Uzman_D!$L$20)*2),0)/2 = IF(AN87-Uzman_D!$L$20&lt;0, -(AN87-Uzman_D!$L$20), AN87-Uzman_D!$L$20),
    (ROUND((IF(AN87-Uzman_D!$L$20&lt;0, -(AN87-Uzman_D!$L$20), AN87-Uzman_D!$L$20)*2),0)/1 * 0.1), 0) +
    IF(AO87-Uzman_D!$M$20&lt;0, -(AO87-Uzman_D!$M$20), AO87-Uzman_D!$M$20)*1
)</f>
        <v>-0.60000000000000009</v>
      </c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75"/>
      <c r="BB87" s="75"/>
      <c r="BC87" s="73">
        <f>1 - (
    SUM(
        IF(AQ87-Uzman_D!$B$21&lt;0, -(AQ87-Uzman_D!$B$21), AQ87-Uzman_D!$B$21)*0.1 +
        IF(AR87-Uzman_D!$C$21&lt;0, -(AR87-Uzman_D!$C$21), AR87-Uzman_D!$C$21)*0.1 +
        IF(AS87-Uzman_D!$D$21&lt;0, -(AS87-Uzman_D!$D$21), AS87-Uzman_D!$D$21)*0.1 +
        IF(AT87-Uzman_D!$E$21&lt;0, -(AT87-Uzman_D!$E$21), AT87-Uzman_D!$E$21)*0.1 +
        IF(AU87-Uzman_D!$F$21&lt;0, -(AU87-Uzman_D!$F$21), AU87-Uzman_D!$F$21)*0.1 +
        IF(AV87-Uzman_D!$G$21&lt;0, -(AV87-Uzman_D!$G$21), AV87-Uzman_D!$G$21)*0.1 +
        IF(AW87-Uzman_D!$H$21&lt;0, -(AW87-Uzman_D!$H$21), AW87-Uzman_D!$H$21)*0.1 +
        IF(AX87-Uzman_D!$I$21&lt;0, -(AX87-Uzman_D!$I$21), AX87-Uzman_D!$I$21)*0.1 +
        IF(AY87-Uzman_D!$J$21&lt;0, -(AY87-Uzman_D!$J$21), AY87-Uzman_D!$J$21)*0.1
    ) +
    IF(ROUND((IF(BA87-Uzman_D!$L$21&lt;0, -(BA87-Uzman_D!$L$21), BA87-Uzman_D!$L$21)*2),0)/2 = IF(BA87-Uzman_D!$L$21&lt;0, -(BA87-Uzman_D!$L$21), BA87-Uzman_D!$L$21),
    (ROUND((IF(BA87-Uzman_D!$L$21&lt;0, -(BA87-Uzman_D!$L$21), BA87-Uzman_D!$L$21)*2),0)/1 * 0.1), 0) +
    IF(BB87-Uzman_D!$M$21&lt;0, -(BB87-Uzman_D!$M$21), BB87-Uzman_D!$M$21)*1
)</f>
        <v>-0.60000000000000009</v>
      </c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75"/>
      <c r="BO87" s="75"/>
      <c r="BP87" s="73">
        <f>1 - (
    SUM(
        IF(BD87-Uzman_D!$B$22&lt;0, -(BD87-Uzman_D!$B$22), BD87-Uzman_D!$B$22)*0.1 +
        IF(BE87-Uzman_D!$C$22&lt;0, -(BE87-Uzman_D!$C$22), BE87-Uzman_D!$C$22)*0.1 +
        IF(BF87-Uzman_D!$D$22&lt;0, -(BF87-Uzman_D!$D$22), BF87-Uzman_D!$D$22)*0.1 +
        IF(BG87-Uzman_D!$E$22&lt;0, -(BG87-Uzman_D!$E$22), BG87-Uzman_D!$E$22)*0.1 +
        IF(BH87-Uzman_D!$F$22&lt;0, -(BH87-Uzman_D!$F$22), BH87-Uzman_D!$F$22)*0.1 +
        IF(BI87-Uzman_D!$G$22&lt;0, -(BI87-Uzman_D!$G$22), BI87-Uzman_D!$G$22)*0.1 +
        IF(BJ87-Uzman_D!$H$22&lt;0, -(BJ87-Uzman_D!$H$22), BJ87-Uzman_D!$H$22)*0.1 +
        IF(BK87-Uzman_D!$I$22&lt;0, -(BK87-Uzman_D!$I$22), BK87-Uzman_D!$I$22)*0.1 +
        IF(BL87-Uzman_D!$J$22&lt;0, -(BL87-Uzman_D!$J$22), BL87-Uzman_D!$J$22)*0.1
    ) +
    IF(ROUND((IF(BN87-Uzman_D!$L$22&lt;0, -(BN87-Uzman_D!$L$22), BN87-Uzman_D!$L$22)*2),0)/2 = IF(BN87-Uzman_D!$L$22&lt;0, -(BN87-Uzman_D!$L$22), BN87-Uzman_D!$L$22),
    (ROUND((IF(BN87-Uzman_D!$L$22&lt;0, -(BN87-Uzman_D!$L$22), BN87-Uzman_D!$L$22)*2),0)/1 * 0.1), 0) +
    IF(BO87-Uzman_D!$M$22&lt;0, -(BO87-Uzman_D!$M$22), BO87-Uzman_D!$M$22)*1
)</f>
        <v>-0.40000000000000013</v>
      </c>
      <c r="BQ87" s="74">
        <f t="shared" si="1"/>
        <v>-0.54000000000000026</v>
      </c>
    </row>
    <row r="88" spans="1:69" ht="15" customHeight="1" x14ac:dyDescent="0.2">
      <c r="A88" s="57">
        <v>85</v>
      </c>
      <c r="B88" s="37">
        <f>Hakemler!B88</f>
        <v>0</v>
      </c>
      <c r="C88" s="37">
        <f>Hakemler!C88</f>
        <v>0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75"/>
      <c r="O88" s="75"/>
      <c r="P88" s="73">
        <f>1 - (
    SUM(
        IF(D88-Uzman_D!$B$18&lt;0, -(D88-Uzman_D!$B$18), D88-Uzman_D!$B$18)*0.1 +
        IF(E88-Uzman_D!$C$18&lt;0, -(E88-Uzman_D!$C$18), E88-Uzman_D!$C$18)*0.1 +
        IF(F88-Uzman_D!$D$18&lt;0, -(F88-Uzman_D!$D$18), F88-Uzman_D!$D$18)*0.1 +
        IF(G88-Uzman_D!$E$18&lt;0, -(G88-Uzman_D!$E$18), G88-Uzman_D!$E$18)*0.1 +
        IF(H88-Uzman_D!$F$18&lt;0, -(H88-Uzman_D!$F$18), H88-Uzman_D!$F$18)*0.1 +
        IF(I88-Uzman_D!$G$18&lt;0, -(I88-Uzman_D!$G$18), I88-Uzman_D!$G$18)*0.1 +
        IF(J88-Uzman_D!$H$18&lt;0, -(J88-Uzman_D!$H$18), J88-Uzman_D!$H$18)*0.1 +
        IF(K88-Uzman_D!$I$18&lt;0, -(K88-Uzman_D!$I$18), K88-Uzman_D!$I$18)*0.1 +
        IF(L88-Uzman_D!$J$18&lt;0, -(L88-Uzman_D!$J$18), L88-Uzman_D!$J$18)*0.1
    ) +
    IF(ROUND((IF(N88-Uzman_D!$L$18&lt;0, -(N88-Uzman_D!$L$18), N88-Uzman_D!$L$18)*2),0)/2 = IF(N88-Uzman_D!$L$18&lt;0, -(N88-Uzman_D!$L$18), N88-Uzman_D!$L$18),
    (ROUND((IF(N88-Uzman_D!$L$18&lt;0, -(N88-Uzman_D!$L$18), N88-Uzman_D!$L$18)*2),0)/1 * 0.1), 0) +
    IF(O88-Uzman_D!$M$18&lt;0, -(O88-Uzman_D!$M$18), O88-Uzman_D!$M$18)*1
)</f>
        <v>-0.50000000000000022</v>
      </c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75"/>
      <c r="AB88" s="75"/>
      <c r="AC88" s="73">
        <f>1 - (
    SUM(
        IF(Q88-Uzman_D!$B$19&lt;0, -(Q88-Uzman_D!$B$19), Q88-Uzman_D!$B$19)*0.1 +
        IF(R88-Uzman_D!$C$19&lt;0, -(R88-Uzman_D!$C$19), R88-Uzman_D!$C$19)*0.1 +
        IF(S88-Uzman_D!$D$19&lt;0, -(S88-Uzman_D!$D$19), S88-Uzman_D!$D$19)*0.1 +
        IF(T88-Uzman_D!$E$19&lt;0, -(T88-Uzman_D!$E$19), T88-Uzman_D!$E$19)*0.1 +
        IF(U88-Uzman_D!$F$19&lt;0, -(U88-Uzman_D!$F$19), U88-Uzman_D!$F$19)*0.1 +
        IF(V88-Uzman_D!$G$19&lt;0, -(V88-Uzman_D!$G$19), V88-Uzman_D!$G$19)*0.1 +
        IF(W88-Uzman_D!$H$19&lt;0, -(W88-Uzman_D!$H$19), W88-Uzman_D!$H$19)*0.1 +
        IF(X88-Uzman_D!$I$19&lt;0, -(X88-Uzman_D!$I$19), X88-Uzman_D!$I$19)*0.1 +
        IF(Y88-Uzman_D!$J$19&lt;0, -(Y88-Uzman_D!$J$19), Y88-Uzman_D!$J$19)*0.1
    ) +
    IF(ROUND((IF(AA88-Uzman_D!$L$19&lt;0, -(AA88-Uzman_D!$L$19), AA88-Uzman_D!$L$19)*2),0)/2 = IF(AA88-Uzman_D!$L$19&lt;0, -(AA88-Uzman_D!$L$19), AA88-Uzman_D!$L$19),
    (ROUND((IF(AA88-Uzman_D!$L$19&lt;0, -(AA88-Uzman_D!$L$19), AA88-Uzman_D!$L$19)*2),0)/1 * 0.1), 0) +
    IF(AB88-Uzman_D!$M$19&lt;0, -(AB88-Uzman_D!$M$19), AB88-Uzman_D!$M$19)*1
)</f>
        <v>-0.60000000000000009</v>
      </c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75"/>
      <c r="AO88" s="75"/>
      <c r="AP88" s="73">
        <f>1 - (
    SUM(
        IF(AD88-Uzman_D!$B$20&lt;0, -(AD88-Uzman_D!$B$20), AD88-Uzman_D!$B$20)*0.1 +
        IF(AE88-Uzman_D!$C$20&lt;0, -(AE88-Uzman_D!$C$20), AE88-Uzman_D!$C$20)*0.1 +
        IF(AF88-Uzman_D!$D$20&lt;0, -(AF88-Uzman_D!$D$20), AF88-Uzman_D!$D$20)*0.1 +
        IF(AG88-Uzman_D!$E$20&lt;0, -(AG88-Uzman_D!$E$20), AG88-Uzman_D!$E$20)*0.1 +
        IF(AH88-Uzman_D!$F$20&lt;0, -(AH88-Uzman_D!$F$20), AH88-Uzman_D!$F$20)*0.1 +
        IF(AI88-Uzman_D!$G$20&lt;0, -(AI88-Uzman_D!$G$20), AI88-Uzman_D!$G$20)*0.1 +
        IF(AJ88-Uzman_D!$H$20&lt;0, -(AJ88-Uzman_D!$H$20), AJ88-Uzman_D!$H$20)*0.1 +
        IF(AK88-Uzman_D!$I$20&lt;0, -(AK88-Uzman_D!$I$20), AK88-Uzman_D!$I$20)*0.1 +
        IF(AL88-Uzman_D!$J$20&lt;0, -(AL88-Uzman_D!$J$20), AL88-Uzman_D!$J$20)*0.1
    ) +
    IF(ROUND((IF(AN88-Uzman_D!$L$20&lt;0, -(AN88-Uzman_D!$L$20), AN88-Uzman_D!$L$20)*2),0)/2 = IF(AN88-Uzman_D!$L$20&lt;0, -(AN88-Uzman_D!$L$20), AN88-Uzman_D!$L$20),
    (ROUND((IF(AN88-Uzman_D!$L$20&lt;0, -(AN88-Uzman_D!$L$20), AN88-Uzman_D!$L$20)*2),0)/1 * 0.1), 0) +
    IF(AO88-Uzman_D!$M$20&lt;0, -(AO88-Uzman_D!$M$20), AO88-Uzman_D!$M$20)*1
)</f>
        <v>-0.60000000000000009</v>
      </c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75"/>
      <c r="BB88" s="75"/>
      <c r="BC88" s="73">
        <f>1 - (
    SUM(
        IF(AQ88-Uzman_D!$B$21&lt;0, -(AQ88-Uzman_D!$B$21), AQ88-Uzman_D!$B$21)*0.1 +
        IF(AR88-Uzman_D!$C$21&lt;0, -(AR88-Uzman_D!$C$21), AR88-Uzman_D!$C$21)*0.1 +
        IF(AS88-Uzman_D!$D$21&lt;0, -(AS88-Uzman_D!$D$21), AS88-Uzman_D!$D$21)*0.1 +
        IF(AT88-Uzman_D!$E$21&lt;0, -(AT88-Uzman_D!$E$21), AT88-Uzman_D!$E$21)*0.1 +
        IF(AU88-Uzman_D!$F$21&lt;0, -(AU88-Uzman_D!$F$21), AU88-Uzman_D!$F$21)*0.1 +
        IF(AV88-Uzman_D!$G$21&lt;0, -(AV88-Uzman_D!$G$21), AV88-Uzman_D!$G$21)*0.1 +
        IF(AW88-Uzman_D!$H$21&lt;0, -(AW88-Uzman_D!$H$21), AW88-Uzman_D!$H$21)*0.1 +
        IF(AX88-Uzman_D!$I$21&lt;0, -(AX88-Uzman_D!$I$21), AX88-Uzman_D!$I$21)*0.1 +
        IF(AY88-Uzman_D!$J$21&lt;0, -(AY88-Uzman_D!$J$21), AY88-Uzman_D!$J$21)*0.1
    ) +
    IF(ROUND((IF(BA88-Uzman_D!$L$21&lt;0, -(BA88-Uzman_D!$L$21), BA88-Uzman_D!$L$21)*2),0)/2 = IF(BA88-Uzman_D!$L$21&lt;0, -(BA88-Uzman_D!$L$21), BA88-Uzman_D!$L$21),
    (ROUND((IF(BA88-Uzman_D!$L$21&lt;0, -(BA88-Uzman_D!$L$21), BA88-Uzman_D!$L$21)*2),0)/1 * 0.1), 0) +
    IF(BB88-Uzman_D!$M$21&lt;0, -(BB88-Uzman_D!$M$21), BB88-Uzman_D!$M$21)*1
)</f>
        <v>-0.60000000000000009</v>
      </c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75"/>
      <c r="BO88" s="75"/>
      <c r="BP88" s="73">
        <f>1 - (
    SUM(
        IF(BD88-Uzman_D!$B$22&lt;0, -(BD88-Uzman_D!$B$22), BD88-Uzman_D!$B$22)*0.1 +
        IF(BE88-Uzman_D!$C$22&lt;0, -(BE88-Uzman_D!$C$22), BE88-Uzman_D!$C$22)*0.1 +
        IF(BF88-Uzman_D!$D$22&lt;0, -(BF88-Uzman_D!$D$22), BF88-Uzman_D!$D$22)*0.1 +
        IF(BG88-Uzman_D!$E$22&lt;0, -(BG88-Uzman_D!$E$22), BG88-Uzman_D!$E$22)*0.1 +
        IF(BH88-Uzman_D!$F$22&lt;0, -(BH88-Uzman_D!$F$22), BH88-Uzman_D!$F$22)*0.1 +
        IF(BI88-Uzman_D!$G$22&lt;0, -(BI88-Uzman_D!$G$22), BI88-Uzman_D!$G$22)*0.1 +
        IF(BJ88-Uzman_D!$H$22&lt;0, -(BJ88-Uzman_D!$H$22), BJ88-Uzman_D!$H$22)*0.1 +
        IF(BK88-Uzman_D!$I$22&lt;0, -(BK88-Uzman_D!$I$22), BK88-Uzman_D!$I$22)*0.1 +
        IF(BL88-Uzman_D!$J$22&lt;0, -(BL88-Uzman_D!$J$22), BL88-Uzman_D!$J$22)*0.1
    ) +
    IF(ROUND((IF(BN88-Uzman_D!$L$22&lt;0, -(BN88-Uzman_D!$L$22), BN88-Uzman_D!$L$22)*2),0)/2 = IF(BN88-Uzman_D!$L$22&lt;0, -(BN88-Uzman_D!$L$22), BN88-Uzman_D!$L$22),
    (ROUND((IF(BN88-Uzman_D!$L$22&lt;0, -(BN88-Uzman_D!$L$22), BN88-Uzman_D!$L$22)*2),0)/1 * 0.1), 0) +
    IF(BO88-Uzman_D!$M$22&lt;0, -(BO88-Uzman_D!$M$22), BO88-Uzman_D!$M$22)*1
)</f>
        <v>-0.40000000000000013</v>
      </c>
      <c r="BQ88" s="74">
        <f t="shared" si="1"/>
        <v>-0.54000000000000026</v>
      </c>
    </row>
    <row r="89" spans="1:69" ht="15" customHeight="1" x14ac:dyDescent="0.2">
      <c r="A89" s="57">
        <v>86</v>
      </c>
      <c r="B89" s="37">
        <f>Hakemler!B89</f>
        <v>0</v>
      </c>
      <c r="C89" s="37">
        <f>Hakemler!C89</f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75"/>
      <c r="O89" s="75"/>
      <c r="P89" s="73">
        <f>1 - (
    SUM(
        IF(D89-Uzman_D!$B$18&lt;0, -(D89-Uzman_D!$B$18), D89-Uzman_D!$B$18)*0.1 +
        IF(E89-Uzman_D!$C$18&lt;0, -(E89-Uzman_D!$C$18), E89-Uzman_D!$C$18)*0.1 +
        IF(F89-Uzman_D!$D$18&lt;0, -(F89-Uzman_D!$D$18), F89-Uzman_D!$D$18)*0.1 +
        IF(G89-Uzman_D!$E$18&lt;0, -(G89-Uzman_D!$E$18), G89-Uzman_D!$E$18)*0.1 +
        IF(H89-Uzman_D!$F$18&lt;0, -(H89-Uzman_D!$F$18), H89-Uzman_D!$F$18)*0.1 +
        IF(I89-Uzman_D!$G$18&lt;0, -(I89-Uzman_D!$G$18), I89-Uzman_D!$G$18)*0.1 +
        IF(J89-Uzman_D!$H$18&lt;0, -(J89-Uzman_D!$H$18), J89-Uzman_D!$H$18)*0.1 +
        IF(K89-Uzman_D!$I$18&lt;0, -(K89-Uzman_D!$I$18), K89-Uzman_D!$I$18)*0.1 +
        IF(L89-Uzman_D!$J$18&lt;0, -(L89-Uzman_D!$J$18), L89-Uzman_D!$J$18)*0.1
    ) +
    IF(ROUND((IF(N89-Uzman_D!$L$18&lt;0, -(N89-Uzman_D!$L$18), N89-Uzman_D!$L$18)*2),0)/2 = IF(N89-Uzman_D!$L$18&lt;0, -(N89-Uzman_D!$L$18), N89-Uzman_D!$L$18),
    (ROUND((IF(N89-Uzman_D!$L$18&lt;0, -(N89-Uzman_D!$L$18), N89-Uzman_D!$L$18)*2),0)/1 * 0.1), 0) +
    IF(O89-Uzman_D!$M$18&lt;0, -(O89-Uzman_D!$M$18), O89-Uzman_D!$M$18)*1
)</f>
        <v>-0.50000000000000022</v>
      </c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75"/>
      <c r="AB89" s="75"/>
      <c r="AC89" s="73">
        <f>1 - (
    SUM(
        IF(Q89-Uzman_D!$B$19&lt;0, -(Q89-Uzman_D!$B$19), Q89-Uzman_D!$B$19)*0.1 +
        IF(R89-Uzman_D!$C$19&lt;0, -(R89-Uzman_D!$C$19), R89-Uzman_D!$C$19)*0.1 +
        IF(S89-Uzman_D!$D$19&lt;0, -(S89-Uzman_D!$D$19), S89-Uzman_D!$D$19)*0.1 +
        IF(T89-Uzman_D!$E$19&lt;0, -(T89-Uzman_D!$E$19), T89-Uzman_D!$E$19)*0.1 +
        IF(U89-Uzman_D!$F$19&lt;0, -(U89-Uzman_D!$F$19), U89-Uzman_D!$F$19)*0.1 +
        IF(V89-Uzman_D!$G$19&lt;0, -(V89-Uzman_D!$G$19), V89-Uzman_D!$G$19)*0.1 +
        IF(W89-Uzman_D!$H$19&lt;0, -(W89-Uzman_D!$H$19), W89-Uzman_D!$H$19)*0.1 +
        IF(X89-Uzman_D!$I$19&lt;0, -(X89-Uzman_D!$I$19), X89-Uzman_D!$I$19)*0.1 +
        IF(Y89-Uzman_D!$J$19&lt;0, -(Y89-Uzman_D!$J$19), Y89-Uzman_D!$J$19)*0.1
    ) +
    IF(ROUND((IF(AA89-Uzman_D!$L$19&lt;0, -(AA89-Uzman_D!$L$19), AA89-Uzman_D!$L$19)*2),0)/2 = IF(AA89-Uzman_D!$L$19&lt;0, -(AA89-Uzman_D!$L$19), AA89-Uzman_D!$L$19),
    (ROUND((IF(AA89-Uzman_D!$L$19&lt;0, -(AA89-Uzman_D!$L$19), AA89-Uzman_D!$L$19)*2),0)/1 * 0.1), 0) +
    IF(AB89-Uzman_D!$M$19&lt;0, -(AB89-Uzman_D!$M$19), AB89-Uzman_D!$M$19)*1
)</f>
        <v>-0.60000000000000009</v>
      </c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75"/>
      <c r="AO89" s="75"/>
      <c r="AP89" s="73">
        <f>1 - (
    SUM(
        IF(AD89-Uzman_D!$B$20&lt;0, -(AD89-Uzman_D!$B$20), AD89-Uzman_D!$B$20)*0.1 +
        IF(AE89-Uzman_D!$C$20&lt;0, -(AE89-Uzman_D!$C$20), AE89-Uzman_D!$C$20)*0.1 +
        IF(AF89-Uzman_D!$D$20&lt;0, -(AF89-Uzman_D!$D$20), AF89-Uzman_D!$D$20)*0.1 +
        IF(AG89-Uzman_D!$E$20&lt;0, -(AG89-Uzman_D!$E$20), AG89-Uzman_D!$E$20)*0.1 +
        IF(AH89-Uzman_D!$F$20&lt;0, -(AH89-Uzman_D!$F$20), AH89-Uzman_D!$F$20)*0.1 +
        IF(AI89-Uzman_D!$G$20&lt;0, -(AI89-Uzman_D!$G$20), AI89-Uzman_D!$G$20)*0.1 +
        IF(AJ89-Uzman_D!$H$20&lt;0, -(AJ89-Uzman_D!$H$20), AJ89-Uzman_D!$H$20)*0.1 +
        IF(AK89-Uzman_D!$I$20&lt;0, -(AK89-Uzman_D!$I$20), AK89-Uzman_D!$I$20)*0.1 +
        IF(AL89-Uzman_D!$J$20&lt;0, -(AL89-Uzman_D!$J$20), AL89-Uzman_D!$J$20)*0.1
    ) +
    IF(ROUND((IF(AN89-Uzman_D!$L$20&lt;0, -(AN89-Uzman_D!$L$20), AN89-Uzman_D!$L$20)*2),0)/2 = IF(AN89-Uzman_D!$L$20&lt;0, -(AN89-Uzman_D!$L$20), AN89-Uzman_D!$L$20),
    (ROUND((IF(AN89-Uzman_D!$L$20&lt;0, -(AN89-Uzman_D!$L$20), AN89-Uzman_D!$L$20)*2),0)/1 * 0.1), 0) +
    IF(AO89-Uzman_D!$M$20&lt;0, -(AO89-Uzman_D!$M$20), AO89-Uzman_D!$M$20)*1
)</f>
        <v>-0.60000000000000009</v>
      </c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75"/>
      <c r="BB89" s="75"/>
      <c r="BC89" s="73">
        <f>1 - (
    SUM(
        IF(AQ89-Uzman_D!$B$21&lt;0, -(AQ89-Uzman_D!$B$21), AQ89-Uzman_D!$B$21)*0.1 +
        IF(AR89-Uzman_D!$C$21&lt;0, -(AR89-Uzman_D!$C$21), AR89-Uzman_D!$C$21)*0.1 +
        IF(AS89-Uzman_D!$D$21&lt;0, -(AS89-Uzman_D!$D$21), AS89-Uzman_D!$D$21)*0.1 +
        IF(AT89-Uzman_D!$E$21&lt;0, -(AT89-Uzman_D!$E$21), AT89-Uzman_D!$E$21)*0.1 +
        IF(AU89-Uzman_D!$F$21&lt;0, -(AU89-Uzman_D!$F$21), AU89-Uzman_D!$F$21)*0.1 +
        IF(AV89-Uzman_D!$G$21&lt;0, -(AV89-Uzman_D!$G$21), AV89-Uzman_D!$G$21)*0.1 +
        IF(AW89-Uzman_D!$H$21&lt;0, -(AW89-Uzman_D!$H$21), AW89-Uzman_D!$H$21)*0.1 +
        IF(AX89-Uzman_D!$I$21&lt;0, -(AX89-Uzman_D!$I$21), AX89-Uzman_D!$I$21)*0.1 +
        IF(AY89-Uzman_D!$J$21&lt;0, -(AY89-Uzman_D!$J$21), AY89-Uzman_D!$J$21)*0.1
    ) +
    IF(ROUND((IF(BA89-Uzman_D!$L$21&lt;0, -(BA89-Uzman_D!$L$21), BA89-Uzman_D!$L$21)*2),0)/2 = IF(BA89-Uzman_D!$L$21&lt;0, -(BA89-Uzman_D!$L$21), BA89-Uzman_D!$L$21),
    (ROUND((IF(BA89-Uzman_D!$L$21&lt;0, -(BA89-Uzman_D!$L$21), BA89-Uzman_D!$L$21)*2),0)/1 * 0.1), 0) +
    IF(BB89-Uzman_D!$M$21&lt;0, -(BB89-Uzman_D!$M$21), BB89-Uzman_D!$M$21)*1
)</f>
        <v>-0.60000000000000009</v>
      </c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75"/>
      <c r="BO89" s="75"/>
      <c r="BP89" s="73">
        <f>1 - (
    SUM(
        IF(BD89-Uzman_D!$B$22&lt;0, -(BD89-Uzman_D!$B$22), BD89-Uzman_D!$B$22)*0.1 +
        IF(BE89-Uzman_D!$C$22&lt;0, -(BE89-Uzman_D!$C$22), BE89-Uzman_D!$C$22)*0.1 +
        IF(BF89-Uzman_D!$D$22&lt;0, -(BF89-Uzman_D!$D$22), BF89-Uzman_D!$D$22)*0.1 +
        IF(BG89-Uzman_D!$E$22&lt;0, -(BG89-Uzman_D!$E$22), BG89-Uzman_D!$E$22)*0.1 +
        IF(BH89-Uzman_D!$F$22&lt;0, -(BH89-Uzman_D!$F$22), BH89-Uzman_D!$F$22)*0.1 +
        IF(BI89-Uzman_D!$G$22&lt;0, -(BI89-Uzman_D!$G$22), BI89-Uzman_D!$G$22)*0.1 +
        IF(BJ89-Uzman_D!$H$22&lt;0, -(BJ89-Uzman_D!$H$22), BJ89-Uzman_D!$H$22)*0.1 +
        IF(BK89-Uzman_D!$I$22&lt;0, -(BK89-Uzman_D!$I$22), BK89-Uzman_D!$I$22)*0.1 +
        IF(BL89-Uzman_D!$J$22&lt;0, -(BL89-Uzman_D!$J$22), BL89-Uzman_D!$J$22)*0.1
    ) +
    IF(ROUND((IF(BN89-Uzman_D!$L$22&lt;0, -(BN89-Uzman_D!$L$22), BN89-Uzman_D!$L$22)*2),0)/2 = IF(BN89-Uzman_D!$L$22&lt;0, -(BN89-Uzman_D!$L$22), BN89-Uzman_D!$L$22),
    (ROUND((IF(BN89-Uzman_D!$L$22&lt;0, -(BN89-Uzman_D!$L$22), BN89-Uzman_D!$L$22)*2),0)/1 * 0.1), 0) +
    IF(BO89-Uzman_D!$M$22&lt;0, -(BO89-Uzman_D!$M$22), BO89-Uzman_D!$M$22)*1
)</f>
        <v>-0.40000000000000013</v>
      </c>
      <c r="BQ89" s="74">
        <f t="shared" si="1"/>
        <v>-0.54000000000000026</v>
      </c>
    </row>
    <row r="90" spans="1:69" ht="15" customHeight="1" x14ac:dyDescent="0.2">
      <c r="A90" s="57">
        <v>87</v>
      </c>
      <c r="B90" s="37">
        <f>Hakemler!B90</f>
        <v>0</v>
      </c>
      <c r="C90" s="37">
        <f>Hakemler!C90</f>
        <v>0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75"/>
      <c r="O90" s="75"/>
      <c r="P90" s="73">
        <f>1 - (
    SUM(
        IF(D90-Uzman_D!$B$18&lt;0, -(D90-Uzman_D!$B$18), D90-Uzman_D!$B$18)*0.1 +
        IF(E90-Uzman_D!$C$18&lt;0, -(E90-Uzman_D!$C$18), E90-Uzman_D!$C$18)*0.1 +
        IF(F90-Uzman_D!$D$18&lt;0, -(F90-Uzman_D!$D$18), F90-Uzman_D!$D$18)*0.1 +
        IF(G90-Uzman_D!$E$18&lt;0, -(G90-Uzman_D!$E$18), G90-Uzman_D!$E$18)*0.1 +
        IF(H90-Uzman_D!$F$18&lt;0, -(H90-Uzman_D!$F$18), H90-Uzman_D!$F$18)*0.1 +
        IF(I90-Uzman_D!$G$18&lt;0, -(I90-Uzman_D!$G$18), I90-Uzman_D!$G$18)*0.1 +
        IF(J90-Uzman_D!$H$18&lt;0, -(J90-Uzman_D!$H$18), J90-Uzman_D!$H$18)*0.1 +
        IF(K90-Uzman_D!$I$18&lt;0, -(K90-Uzman_D!$I$18), K90-Uzman_D!$I$18)*0.1 +
        IF(L90-Uzman_D!$J$18&lt;0, -(L90-Uzman_D!$J$18), L90-Uzman_D!$J$18)*0.1
    ) +
    IF(ROUND((IF(N90-Uzman_D!$L$18&lt;0, -(N90-Uzman_D!$L$18), N90-Uzman_D!$L$18)*2),0)/2 = IF(N90-Uzman_D!$L$18&lt;0, -(N90-Uzman_D!$L$18), N90-Uzman_D!$L$18),
    (ROUND((IF(N90-Uzman_D!$L$18&lt;0, -(N90-Uzman_D!$L$18), N90-Uzman_D!$L$18)*2),0)/1 * 0.1), 0) +
    IF(O90-Uzman_D!$M$18&lt;0, -(O90-Uzman_D!$M$18), O90-Uzman_D!$M$18)*1
)</f>
        <v>-0.50000000000000022</v>
      </c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75"/>
      <c r="AB90" s="75"/>
      <c r="AC90" s="73">
        <f>1 - (
    SUM(
        IF(Q90-Uzman_D!$B$19&lt;0, -(Q90-Uzman_D!$B$19), Q90-Uzman_D!$B$19)*0.1 +
        IF(R90-Uzman_D!$C$19&lt;0, -(R90-Uzman_D!$C$19), R90-Uzman_D!$C$19)*0.1 +
        IF(S90-Uzman_D!$D$19&lt;0, -(S90-Uzman_D!$D$19), S90-Uzman_D!$D$19)*0.1 +
        IF(T90-Uzman_D!$E$19&lt;0, -(T90-Uzman_D!$E$19), T90-Uzman_D!$E$19)*0.1 +
        IF(U90-Uzman_D!$F$19&lt;0, -(U90-Uzman_D!$F$19), U90-Uzman_D!$F$19)*0.1 +
        IF(V90-Uzman_D!$G$19&lt;0, -(V90-Uzman_D!$G$19), V90-Uzman_D!$G$19)*0.1 +
        IF(W90-Uzman_D!$H$19&lt;0, -(W90-Uzman_D!$H$19), W90-Uzman_D!$H$19)*0.1 +
        IF(X90-Uzman_D!$I$19&lt;0, -(X90-Uzman_D!$I$19), X90-Uzman_D!$I$19)*0.1 +
        IF(Y90-Uzman_D!$J$19&lt;0, -(Y90-Uzman_D!$J$19), Y90-Uzman_D!$J$19)*0.1
    ) +
    IF(ROUND((IF(AA90-Uzman_D!$L$19&lt;0, -(AA90-Uzman_D!$L$19), AA90-Uzman_D!$L$19)*2),0)/2 = IF(AA90-Uzman_D!$L$19&lt;0, -(AA90-Uzman_D!$L$19), AA90-Uzman_D!$L$19),
    (ROUND((IF(AA90-Uzman_D!$L$19&lt;0, -(AA90-Uzman_D!$L$19), AA90-Uzman_D!$L$19)*2),0)/1 * 0.1), 0) +
    IF(AB90-Uzman_D!$M$19&lt;0, -(AB90-Uzman_D!$M$19), AB90-Uzman_D!$M$19)*1
)</f>
        <v>-0.60000000000000009</v>
      </c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75"/>
      <c r="AO90" s="75"/>
      <c r="AP90" s="73">
        <f>1 - (
    SUM(
        IF(AD90-Uzman_D!$B$20&lt;0, -(AD90-Uzman_D!$B$20), AD90-Uzman_D!$B$20)*0.1 +
        IF(AE90-Uzman_D!$C$20&lt;0, -(AE90-Uzman_D!$C$20), AE90-Uzman_D!$C$20)*0.1 +
        IF(AF90-Uzman_D!$D$20&lt;0, -(AF90-Uzman_D!$D$20), AF90-Uzman_D!$D$20)*0.1 +
        IF(AG90-Uzman_D!$E$20&lt;0, -(AG90-Uzman_D!$E$20), AG90-Uzman_D!$E$20)*0.1 +
        IF(AH90-Uzman_D!$F$20&lt;0, -(AH90-Uzman_D!$F$20), AH90-Uzman_D!$F$20)*0.1 +
        IF(AI90-Uzman_D!$G$20&lt;0, -(AI90-Uzman_D!$G$20), AI90-Uzman_D!$G$20)*0.1 +
        IF(AJ90-Uzman_D!$H$20&lt;0, -(AJ90-Uzman_D!$H$20), AJ90-Uzman_D!$H$20)*0.1 +
        IF(AK90-Uzman_D!$I$20&lt;0, -(AK90-Uzman_D!$I$20), AK90-Uzman_D!$I$20)*0.1 +
        IF(AL90-Uzman_D!$J$20&lt;0, -(AL90-Uzman_D!$J$20), AL90-Uzman_D!$J$20)*0.1
    ) +
    IF(ROUND((IF(AN90-Uzman_D!$L$20&lt;0, -(AN90-Uzman_D!$L$20), AN90-Uzman_D!$L$20)*2),0)/2 = IF(AN90-Uzman_D!$L$20&lt;0, -(AN90-Uzman_D!$L$20), AN90-Uzman_D!$L$20),
    (ROUND((IF(AN90-Uzman_D!$L$20&lt;0, -(AN90-Uzman_D!$L$20), AN90-Uzman_D!$L$20)*2),0)/1 * 0.1), 0) +
    IF(AO90-Uzman_D!$M$20&lt;0, -(AO90-Uzman_D!$M$20), AO90-Uzman_D!$M$20)*1
)</f>
        <v>-0.60000000000000009</v>
      </c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75"/>
      <c r="BB90" s="75"/>
      <c r="BC90" s="73">
        <f>1 - (
    SUM(
        IF(AQ90-Uzman_D!$B$21&lt;0, -(AQ90-Uzman_D!$B$21), AQ90-Uzman_D!$B$21)*0.1 +
        IF(AR90-Uzman_D!$C$21&lt;0, -(AR90-Uzman_D!$C$21), AR90-Uzman_D!$C$21)*0.1 +
        IF(AS90-Uzman_D!$D$21&lt;0, -(AS90-Uzman_D!$D$21), AS90-Uzman_D!$D$21)*0.1 +
        IF(AT90-Uzman_D!$E$21&lt;0, -(AT90-Uzman_D!$E$21), AT90-Uzman_D!$E$21)*0.1 +
        IF(AU90-Uzman_D!$F$21&lt;0, -(AU90-Uzman_D!$F$21), AU90-Uzman_D!$F$21)*0.1 +
        IF(AV90-Uzman_D!$G$21&lt;0, -(AV90-Uzman_D!$G$21), AV90-Uzman_D!$G$21)*0.1 +
        IF(AW90-Uzman_D!$H$21&lt;0, -(AW90-Uzman_D!$H$21), AW90-Uzman_D!$H$21)*0.1 +
        IF(AX90-Uzman_D!$I$21&lt;0, -(AX90-Uzman_D!$I$21), AX90-Uzman_D!$I$21)*0.1 +
        IF(AY90-Uzman_D!$J$21&lt;0, -(AY90-Uzman_D!$J$21), AY90-Uzman_D!$J$21)*0.1
    ) +
    IF(ROUND((IF(BA90-Uzman_D!$L$21&lt;0, -(BA90-Uzman_D!$L$21), BA90-Uzman_D!$L$21)*2),0)/2 = IF(BA90-Uzman_D!$L$21&lt;0, -(BA90-Uzman_D!$L$21), BA90-Uzman_D!$L$21),
    (ROUND((IF(BA90-Uzman_D!$L$21&lt;0, -(BA90-Uzman_D!$L$21), BA90-Uzman_D!$L$21)*2),0)/1 * 0.1), 0) +
    IF(BB90-Uzman_D!$M$21&lt;0, -(BB90-Uzman_D!$M$21), BB90-Uzman_D!$M$21)*1
)</f>
        <v>-0.60000000000000009</v>
      </c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75"/>
      <c r="BO90" s="75"/>
      <c r="BP90" s="73">
        <f>1 - (
    SUM(
        IF(BD90-Uzman_D!$B$22&lt;0, -(BD90-Uzman_D!$B$22), BD90-Uzman_D!$B$22)*0.1 +
        IF(BE90-Uzman_D!$C$22&lt;0, -(BE90-Uzman_D!$C$22), BE90-Uzman_D!$C$22)*0.1 +
        IF(BF90-Uzman_D!$D$22&lt;0, -(BF90-Uzman_D!$D$22), BF90-Uzman_D!$D$22)*0.1 +
        IF(BG90-Uzman_D!$E$22&lt;0, -(BG90-Uzman_D!$E$22), BG90-Uzman_D!$E$22)*0.1 +
        IF(BH90-Uzman_D!$F$22&lt;0, -(BH90-Uzman_D!$F$22), BH90-Uzman_D!$F$22)*0.1 +
        IF(BI90-Uzman_D!$G$22&lt;0, -(BI90-Uzman_D!$G$22), BI90-Uzman_D!$G$22)*0.1 +
        IF(BJ90-Uzman_D!$H$22&lt;0, -(BJ90-Uzman_D!$H$22), BJ90-Uzman_D!$H$22)*0.1 +
        IF(BK90-Uzman_D!$I$22&lt;0, -(BK90-Uzman_D!$I$22), BK90-Uzman_D!$I$22)*0.1 +
        IF(BL90-Uzman_D!$J$22&lt;0, -(BL90-Uzman_D!$J$22), BL90-Uzman_D!$J$22)*0.1
    ) +
    IF(ROUND((IF(BN90-Uzman_D!$L$22&lt;0, -(BN90-Uzman_D!$L$22), BN90-Uzman_D!$L$22)*2),0)/2 = IF(BN90-Uzman_D!$L$22&lt;0, -(BN90-Uzman_D!$L$22), BN90-Uzman_D!$L$22),
    (ROUND((IF(BN90-Uzman_D!$L$22&lt;0, -(BN90-Uzman_D!$L$22), BN90-Uzman_D!$L$22)*2),0)/1 * 0.1), 0) +
    IF(BO90-Uzman_D!$M$22&lt;0, -(BO90-Uzman_D!$M$22), BO90-Uzman_D!$M$22)*1
)</f>
        <v>-0.40000000000000013</v>
      </c>
      <c r="BQ90" s="74">
        <f t="shared" si="1"/>
        <v>-0.54000000000000026</v>
      </c>
    </row>
    <row r="91" spans="1:69" ht="15" customHeight="1" x14ac:dyDescent="0.2">
      <c r="A91" s="57">
        <v>88</v>
      </c>
      <c r="B91" s="37">
        <f>Hakemler!B91</f>
        <v>0</v>
      </c>
      <c r="C91" s="37">
        <f>Hakemler!C91</f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75"/>
      <c r="O91" s="75"/>
      <c r="P91" s="73">
        <f>1 - (
    SUM(
        IF(D91-Uzman_D!$B$18&lt;0, -(D91-Uzman_D!$B$18), D91-Uzman_D!$B$18)*0.1 +
        IF(E91-Uzman_D!$C$18&lt;0, -(E91-Uzman_D!$C$18), E91-Uzman_D!$C$18)*0.1 +
        IF(F91-Uzman_D!$D$18&lt;0, -(F91-Uzman_D!$D$18), F91-Uzman_D!$D$18)*0.1 +
        IF(G91-Uzman_D!$E$18&lt;0, -(G91-Uzman_D!$E$18), G91-Uzman_D!$E$18)*0.1 +
        IF(H91-Uzman_D!$F$18&lt;0, -(H91-Uzman_D!$F$18), H91-Uzman_D!$F$18)*0.1 +
        IF(I91-Uzman_D!$G$18&lt;0, -(I91-Uzman_D!$G$18), I91-Uzman_D!$G$18)*0.1 +
        IF(J91-Uzman_D!$H$18&lt;0, -(J91-Uzman_D!$H$18), J91-Uzman_D!$H$18)*0.1 +
        IF(K91-Uzman_D!$I$18&lt;0, -(K91-Uzman_D!$I$18), K91-Uzman_D!$I$18)*0.1 +
        IF(L91-Uzman_D!$J$18&lt;0, -(L91-Uzman_D!$J$18), L91-Uzman_D!$J$18)*0.1
    ) +
    IF(ROUND((IF(N91-Uzman_D!$L$18&lt;0, -(N91-Uzman_D!$L$18), N91-Uzman_D!$L$18)*2),0)/2 = IF(N91-Uzman_D!$L$18&lt;0, -(N91-Uzman_D!$L$18), N91-Uzman_D!$L$18),
    (ROUND((IF(N91-Uzman_D!$L$18&lt;0, -(N91-Uzman_D!$L$18), N91-Uzman_D!$L$18)*2),0)/1 * 0.1), 0) +
    IF(O91-Uzman_D!$M$18&lt;0, -(O91-Uzman_D!$M$18), O91-Uzman_D!$M$18)*1
)</f>
        <v>-0.50000000000000022</v>
      </c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75"/>
      <c r="AB91" s="75"/>
      <c r="AC91" s="73">
        <f>1 - (
    SUM(
        IF(Q91-Uzman_D!$B$19&lt;0, -(Q91-Uzman_D!$B$19), Q91-Uzman_D!$B$19)*0.1 +
        IF(R91-Uzman_D!$C$19&lt;0, -(R91-Uzman_D!$C$19), R91-Uzman_D!$C$19)*0.1 +
        IF(S91-Uzman_D!$D$19&lt;0, -(S91-Uzman_D!$D$19), S91-Uzman_D!$D$19)*0.1 +
        IF(T91-Uzman_D!$E$19&lt;0, -(T91-Uzman_D!$E$19), T91-Uzman_D!$E$19)*0.1 +
        IF(U91-Uzman_D!$F$19&lt;0, -(U91-Uzman_D!$F$19), U91-Uzman_D!$F$19)*0.1 +
        IF(V91-Uzman_D!$G$19&lt;0, -(V91-Uzman_D!$G$19), V91-Uzman_D!$G$19)*0.1 +
        IF(W91-Uzman_D!$H$19&lt;0, -(W91-Uzman_D!$H$19), W91-Uzman_D!$H$19)*0.1 +
        IF(X91-Uzman_D!$I$19&lt;0, -(X91-Uzman_D!$I$19), X91-Uzman_D!$I$19)*0.1 +
        IF(Y91-Uzman_D!$J$19&lt;0, -(Y91-Uzman_D!$J$19), Y91-Uzman_D!$J$19)*0.1
    ) +
    IF(ROUND((IF(AA91-Uzman_D!$L$19&lt;0, -(AA91-Uzman_D!$L$19), AA91-Uzman_D!$L$19)*2),0)/2 = IF(AA91-Uzman_D!$L$19&lt;0, -(AA91-Uzman_D!$L$19), AA91-Uzman_D!$L$19),
    (ROUND((IF(AA91-Uzman_D!$L$19&lt;0, -(AA91-Uzman_D!$L$19), AA91-Uzman_D!$L$19)*2),0)/1 * 0.1), 0) +
    IF(AB91-Uzman_D!$M$19&lt;0, -(AB91-Uzman_D!$M$19), AB91-Uzman_D!$M$19)*1
)</f>
        <v>-0.60000000000000009</v>
      </c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75"/>
      <c r="AO91" s="75"/>
      <c r="AP91" s="73">
        <f>1 - (
    SUM(
        IF(AD91-Uzman_D!$B$20&lt;0, -(AD91-Uzman_D!$B$20), AD91-Uzman_D!$B$20)*0.1 +
        IF(AE91-Uzman_D!$C$20&lt;0, -(AE91-Uzman_D!$C$20), AE91-Uzman_D!$C$20)*0.1 +
        IF(AF91-Uzman_D!$D$20&lt;0, -(AF91-Uzman_D!$D$20), AF91-Uzman_D!$D$20)*0.1 +
        IF(AG91-Uzman_D!$E$20&lt;0, -(AG91-Uzman_D!$E$20), AG91-Uzman_D!$E$20)*0.1 +
        IF(AH91-Uzman_D!$F$20&lt;0, -(AH91-Uzman_D!$F$20), AH91-Uzman_D!$F$20)*0.1 +
        IF(AI91-Uzman_D!$G$20&lt;0, -(AI91-Uzman_D!$G$20), AI91-Uzman_D!$G$20)*0.1 +
        IF(AJ91-Uzman_D!$H$20&lt;0, -(AJ91-Uzman_D!$H$20), AJ91-Uzman_D!$H$20)*0.1 +
        IF(AK91-Uzman_D!$I$20&lt;0, -(AK91-Uzman_D!$I$20), AK91-Uzman_D!$I$20)*0.1 +
        IF(AL91-Uzman_D!$J$20&lt;0, -(AL91-Uzman_D!$J$20), AL91-Uzman_D!$J$20)*0.1
    ) +
    IF(ROUND((IF(AN91-Uzman_D!$L$20&lt;0, -(AN91-Uzman_D!$L$20), AN91-Uzman_D!$L$20)*2),0)/2 = IF(AN91-Uzman_D!$L$20&lt;0, -(AN91-Uzman_D!$L$20), AN91-Uzman_D!$L$20),
    (ROUND((IF(AN91-Uzman_D!$L$20&lt;0, -(AN91-Uzman_D!$L$20), AN91-Uzman_D!$L$20)*2),0)/1 * 0.1), 0) +
    IF(AO91-Uzman_D!$M$20&lt;0, -(AO91-Uzman_D!$M$20), AO91-Uzman_D!$M$20)*1
)</f>
        <v>-0.60000000000000009</v>
      </c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75"/>
      <c r="BB91" s="75"/>
      <c r="BC91" s="73">
        <f>1 - (
    SUM(
        IF(AQ91-Uzman_D!$B$21&lt;0, -(AQ91-Uzman_D!$B$21), AQ91-Uzman_D!$B$21)*0.1 +
        IF(AR91-Uzman_D!$C$21&lt;0, -(AR91-Uzman_D!$C$21), AR91-Uzman_D!$C$21)*0.1 +
        IF(AS91-Uzman_D!$D$21&lt;0, -(AS91-Uzman_D!$D$21), AS91-Uzman_D!$D$21)*0.1 +
        IF(AT91-Uzman_D!$E$21&lt;0, -(AT91-Uzman_D!$E$21), AT91-Uzman_D!$E$21)*0.1 +
        IF(AU91-Uzman_D!$F$21&lt;0, -(AU91-Uzman_D!$F$21), AU91-Uzman_D!$F$21)*0.1 +
        IF(AV91-Uzman_D!$G$21&lt;0, -(AV91-Uzman_D!$G$21), AV91-Uzman_D!$G$21)*0.1 +
        IF(AW91-Uzman_D!$H$21&lt;0, -(AW91-Uzman_D!$H$21), AW91-Uzman_D!$H$21)*0.1 +
        IF(AX91-Uzman_D!$I$21&lt;0, -(AX91-Uzman_D!$I$21), AX91-Uzman_D!$I$21)*0.1 +
        IF(AY91-Uzman_D!$J$21&lt;0, -(AY91-Uzman_D!$J$21), AY91-Uzman_D!$J$21)*0.1
    ) +
    IF(ROUND((IF(BA91-Uzman_D!$L$21&lt;0, -(BA91-Uzman_D!$L$21), BA91-Uzman_D!$L$21)*2),0)/2 = IF(BA91-Uzman_D!$L$21&lt;0, -(BA91-Uzman_D!$L$21), BA91-Uzman_D!$L$21),
    (ROUND((IF(BA91-Uzman_D!$L$21&lt;0, -(BA91-Uzman_D!$L$21), BA91-Uzman_D!$L$21)*2),0)/1 * 0.1), 0) +
    IF(BB91-Uzman_D!$M$21&lt;0, -(BB91-Uzman_D!$M$21), BB91-Uzman_D!$M$21)*1
)</f>
        <v>-0.60000000000000009</v>
      </c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75"/>
      <c r="BO91" s="75"/>
      <c r="BP91" s="73">
        <f>1 - (
    SUM(
        IF(BD91-Uzman_D!$B$22&lt;0, -(BD91-Uzman_D!$B$22), BD91-Uzman_D!$B$22)*0.1 +
        IF(BE91-Uzman_D!$C$22&lt;0, -(BE91-Uzman_D!$C$22), BE91-Uzman_D!$C$22)*0.1 +
        IF(BF91-Uzman_D!$D$22&lt;0, -(BF91-Uzman_D!$D$22), BF91-Uzman_D!$D$22)*0.1 +
        IF(BG91-Uzman_D!$E$22&lt;0, -(BG91-Uzman_D!$E$22), BG91-Uzman_D!$E$22)*0.1 +
        IF(BH91-Uzman_D!$F$22&lt;0, -(BH91-Uzman_D!$F$22), BH91-Uzman_D!$F$22)*0.1 +
        IF(BI91-Uzman_D!$G$22&lt;0, -(BI91-Uzman_D!$G$22), BI91-Uzman_D!$G$22)*0.1 +
        IF(BJ91-Uzman_D!$H$22&lt;0, -(BJ91-Uzman_D!$H$22), BJ91-Uzman_D!$H$22)*0.1 +
        IF(BK91-Uzman_D!$I$22&lt;0, -(BK91-Uzman_D!$I$22), BK91-Uzman_D!$I$22)*0.1 +
        IF(BL91-Uzman_D!$J$22&lt;0, -(BL91-Uzman_D!$J$22), BL91-Uzman_D!$J$22)*0.1
    ) +
    IF(ROUND((IF(BN91-Uzman_D!$L$22&lt;0, -(BN91-Uzman_D!$L$22), BN91-Uzman_D!$L$22)*2),0)/2 = IF(BN91-Uzman_D!$L$22&lt;0, -(BN91-Uzman_D!$L$22), BN91-Uzman_D!$L$22),
    (ROUND((IF(BN91-Uzman_D!$L$22&lt;0, -(BN91-Uzman_D!$L$22), BN91-Uzman_D!$L$22)*2),0)/1 * 0.1), 0) +
    IF(BO91-Uzman_D!$M$22&lt;0, -(BO91-Uzman_D!$M$22), BO91-Uzman_D!$M$22)*1
)</f>
        <v>-0.40000000000000013</v>
      </c>
      <c r="BQ91" s="74">
        <f t="shared" si="1"/>
        <v>-0.54000000000000026</v>
      </c>
    </row>
    <row r="92" spans="1:69" ht="15" customHeight="1" x14ac:dyDescent="0.2">
      <c r="A92" s="57">
        <v>89</v>
      </c>
      <c r="B92" s="37">
        <f>Hakemler!B92</f>
        <v>0</v>
      </c>
      <c r="C92" s="37">
        <f>Hakemler!C92</f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75"/>
      <c r="O92" s="75"/>
      <c r="P92" s="73">
        <f>1 - (
    SUM(
        IF(D92-Uzman_D!$B$18&lt;0, -(D92-Uzman_D!$B$18), D92-Uzman_D!$B$18)*0.1 +
        IF(E92-Uzman_D!$C$18&lt;0, -(E92-Uzman_D!$C$18), E92-Uzman_D!$C$18)*0.1 +
        IF(F92-Uzman_D!$D$18&lt;0, -(F92-Uzman_D!$D$18), F92-Uzman_D!$D$18)*0.1 +
        IF(G92-Uzman_D!$E$18&lt;0, -(G92-Uzman_D!$E$18), G92-Uzman_D!$E$18)*0.1 +
        IF(H92-Uzman_D!$F$18&lt;0, -(H92-Uzman_D!$F$18), H92-Uzman_D!$F$18)*0.1 +
        IF(I92-Uzman_D!$G$18&lt;0, -(I92-Uzman_D!$G$18), I92-Uzman_D!$G$18)*0.1 +
        IF(J92-Uzman_D!$H$18&lt;0, -(J92-Uzman_D!$H$18), J92-Uzman_D!$H$18)*0.1 +
        IF(K92-Uzman_D!$I$18&lt;0, -(K92-Uzman_D!$I$18), K92-Uzman_D!$I$18)*0.1 +
        IF(L92-Uzman_D!$J$18&lt;0, -(L92-Uzman_D!$J$18), L92-Uzman_D!$J$18)*0.1
    ) +
    IF(ROUND((IF(N92-Uzman_D!$L$18&lt;0, -(N92-Uzman_D!$L$18), N92-Uzman_D!$L$18)*2),0)/2 = IF(N92-Uzman_D!$L$18&lt;0, -(N92-Uzman_D!$L$18), N92-Uzman_D!$L$18),
    (ROUND((IF(N92-Uzman_D!$L$18&lt;0, -(N92-Uzman_D!$L$18), N92-Uzman_D!$L$18)*2),0)/1 * 0.1), 0) +
    IF(O92-Uzman_D!$M$18&lt;0, -(O92-Uzman_D!$M$18), O92-Uzman_D!$M$18)*1
)</f>
        <v>-0.50000000000000022</v>
      </c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75"/>
      <c r="AB92" s="75"/>
      <c r="AC92" s="73">
        <f>1 - (
    SUM(
        IF(Q92-Uzman_D!$B$19&lt;0, -(Q92-Uzman_D!$B$19), Q92-Uzman_D!$B$19)*0.1 +
        IF(R92-Uzman_D!$C$19&lt;0, -(R92-Uzman_D!$C$19), R92-Uzman_D!$C$19)*0.1 +
        IF(S92-Uzman_D!$D$19&lt;0, -(S92-Uzman_D!$D$19), S92-Uzman_D!$D$19)*0.1 +
        IF(T92-Uzman_D!$E$19&lt;0, -(T92-Uzman_D!$E$19), T92-Uzman_D!$E$19)*0.1 +
        IF(U92-Uzman_D!$F$19&lt;0, -(U92-Uzman_D!$F$19), U92-Uzman_D!$F$19)*0.1 +
        IF(V92-Uzman_D!$G$19&lt;0, -(V92-Uzman_D!$G$19), V92-Uzman_D!$G$19)*0.1 +
        IF(W92-Uzman_D!$H$19&lt;0, -(W92-Uzman_D!$H$19), W92-Uzman_D!$H$19)*0.1 +
        IF(X92-Uzman_D!$I$19&lt;0, -(X92-Uzman_D!$I$19), X92-Uzman_D!$I$19)*0.1 +
        IF(Y92-Uzman_D!$J$19&lt;0, -(Y92-Uzman_D!$J$19), Y92-Uzman_D!$J$19)*0.1
    ) +
    IF(ROUND((IF(AA92-Uzman_D!$L$19&lt;0, -(AA92-Uzman_D!$L$19), AA92-Uzman_D!$L$19)*2),0)/2 = IF(AA92-Uzman_D!$L$19&lt;0, -(AA92-Uzman_D!$L$19), AA92-Uzman_D!$L$19),
    (ROUND((IF(AA92-Uzman_D!$L$19&lt;0, -(AA92-Uzman_D!$L$19), AA92-Uzman_D!$L$19)*2),0)/1 * 0.1), 0) +
    IF(AB92-Uzman_D!$M$19&lt;0, -(AB92-Uzman_D!$M$19), AB92-Uzman_D!$M$19)*1
)</f>
        <v>-0.60000000000000009</v>
      </c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75"/>
      <c r="AO92" s="75"/>
      <c r="AP92" s="73">
        <f>1 - (
    SUM(
        IF(AD92-Uzman_D!$B$20&lt;0, -(AD92-Uzman_D!$B$20), AD92-Uzman_D!$B$20)*0.1 +
        IF(AE92-Uzman_D!$C$20&lt;0, -(AE92-Uzman_D!$C$20), AE92-Uzman_D!$C$20)*0.1 +
        IF(AF92-Uzman_D!$D$20&lt;0, -(AF92-Uzman_D!$D$20), AF92-Uzman_D!$D$20)*0.1 +
        IF(AG92-Uzman_D!$E$20&lt;0, -(AG92-Uzman_D!$E$20), AG92-Uzman_D!$E$20)*0.1 +
        IF(AH92-Uzman_D!$F$20&lt;0, -(AH92-Uzman_D!$F$20), AH92-Uzman_D!$F$20)*0.1 +
        IF(AI92-Uzman_D!$G$20&lt;0, -(AI92-Uzman_D!$G$20), AI92-Uzman_D!$G$20)*0.1 +
        IF(AJ92-Uzman_D!$H$20&lt;0, -(AJ92-Uzman_D!$H$20), AJ92-Uzman_D!$H$20)*0.1 +
        IF(AK92-Uzman_D!$I$20&lt;0, -(AK92-Uzman_D!$I$20), AK92-Uzman_D!$I$20)*0.1 +
        IF(AL92-Uzman_D!$J$20&lt;0, -(AL92-Uzman_D!$J$20), AL92-Uzman_D!$J$20)*0.1
    ) +
    IF(ROUND((IF(AN92-Uzman_D!$L$20&lt;0, -(AN92-Uzman_D!$L$20), AN92-Uzman_D!$L$20)*2),0)/2 = IF(AN92-Uzman_D!$L$20&lt;0, -(AN92-Uzman_D!$L$20), AN92-Uzman_D!$L$20),
    (ROUND((IF(AN92-Uzman_D!$L$20&lt;0, -(AN92-Uzman_D!$L$20), AN92-Uzman_D!$L$20)*2),0)/1 * 0.1), 0) +
    IF(AO92-Uzman_D!$M$20&lt;0, -(AO92-Uzman_D!$M$20), AO92-Uzman_D!$M$20)*1
)</f>
        <v>-0.60000000000000009</v>
      </c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75"/>
      <c r="BB92" s="75"/>
      <c r="BC92" s="73">
        <f>1 - (
    SUM(
        IF(AQ92-Uzman_D!$B$21&lt;0, -(AQ92-Uzman_D!$B$21), AQ92-Uzman_D!$B$21)*0.1 +
        IF(AR92-Uzman_D!$C$21&lt;0, -(AR92-Uzman_D!$C$21), AR92-Uzman_D!$C$21)*0.1 +
        IF(AS92-Uzman_D!$D$21&lt;0, -(AS92-Uzman_D!$D$21), AS92-Uzman_D!$D$21)*0.1 +
        IF(AT92-Uzman_D!$E$21&lt;0, -(AT92-Uzman_D!$E$21), AT92-Uzman_D!$E$21)*0.1 +
        IF(AU92-Uzman_D!$F$21&lt;0, -(AU92-Uzman_D!$F$21), AU92-Uzman_D!$F$21)*0.1 +
        IF(AV92-Uzman_D!$G$21&lt;0, -(AV92-Uzman_D!$G$21), AV92-Uzman_D!$G$21)*0.1 +
        IF(AW92-Uzman_D!$H$21&lt;0, -(AW92-Uzman_D!$H$21), AW92-Uzman_D!$H$21)*0.1 +
        IF(AX92-Uzman_D!$I$21&lt;0, -(AX92-Uzman_D!$I$21), AX92-Uzman_D!$I$21)*0.1 +
        IF(AY92-Uzman_D!$J$21&lt;0, -(AY92-Uzman_D!$J$21), AY92-Uzman_D!$J$21)*0.1
    ) +
    IF(ROUND((IF(BA92-Uzman_D!$L$21&lt;0, -(BA92-Uzman_D!$L$21), BA92-Uzman_D!$L$21)*2),0)/2 = IF(BA92-Uzman_D!$L$21&lt;0, -(BA92-Uzman_D!$L$21), BA92-Uzman_D!$L$21),
    (ROUND((IF(BA92-Uzman_D!$L$21&lt;0, -(BA92-Uzman_D!$L$21), BA92-Uzman_D!$L$21)*2),0)/1 * 0.1), 0) +
    IF(BB92-Uzman_D!$M$21&lt;0, -(BB92-Uzman_D!$M$21), BB92-Uzman_D!$M$21)*1
)</f>
        <v>-0.60000000000000009</v>
      </c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75"/>
      <c r="BO92" s="75"/>
      <c r="BP92" s="73">
        <f>1 - (
    SUM(
        IF(BD92-Uzman_D!$B$22&lt;0, -(BD92-Uzman_D!$B$22), BD92-Uzman_D!$B$22)*0.1 +
        IF(BE92-Uzman_D!$C$22&lt;0, -(BE92-Uzman_D!$C$22), BE92-Uzman_D!$C$22)*0.1 +
        IF(BF92-Uzman_D!$D$22&lt;0, -(BF92-Uzman_D!$D$22), BF92-Uzman_D!$D$22)*0.1 +
        IF(BG92-Uzman_D!$E$22&lt;0, -(BG92-Uzman_D!$E$22), BG92-Uzman_D!$E$22)*0.1 +
        IF(BH92-Uzman_D!$F$22&lt;0, -(BH92-Uzman_D!$F$22), BH92-Uzman_D!$F$22)*0.1 +
        IF(BI92-Uzman_D!$G$22&lt;0, -(BI92-Uzman_D!$G$22), BI92-Uzman_D!$G$22)*0.1 +
        IF(BJ92-Uzman_D!$H$22&lt;0, -(BJ92-Uzman_D!$H$22), BJ92-Uzman_D!$H$22)*0.1 +
        IF(BK92-Uzman_D!$I$22&lt;0, -(BK92-Uzman_D!$I$22), BK92-Uzman_D!$I$22)*0.1 +
        IF(BL92-Uzman_D!$J$22&lt;0, -(BL92-Uzman_D!$J$22), BL92-Uzman_D!$J$22)*0.1
    ) +
    IF(ROUND((IF(BN92-Uzman_D!$L$22&lt;0, -(BN92-Uzman_D!$L$22), BN92-Uzman_D!$L$22)*2),0)/2 = IF(BN92-Uzman_D!$L$22&lt;0, -(BN92-Uzman_D!$L$22), BN92-Uzman_D!$L$22),
    (ROUND((IF(BN92-Uzman_D!$L$22&lt;0, -(BN92-Uzman_D!$L$22), BN92-Uzman_D!$L$22)*2),0)/1 * 0.1), 0) +
    IF(BO92-Uzman_D!$M$22&lt;0, -(BO92-Uzman_D!$M$22), BO92-Uzman_D!$M$22)*1
)</f>
        <v>-0.40000000000000013</v>
      </c>
      <c r="BQ92" s="74">
        <f t="shared" si="1"/>
        <v>-0.54000000000000026</v>
      </c>
    </row>
    <row r="93" spans="1:69" ht="15" customHeight="1" x14ac:dyDescent="0.2">
      <c r="A93" s="57">
        <v>90</v>
      </c>
      <c r="B93" s="37">
        <f>Hakemler!B93</f>
        <v>0</v>
      </c>
      <c r="C93" s="37">
        <f>Hakemler!C93</f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75"/>
      <c r="O93" s="75"/>
      <c r="P93" s="73">
        <f>1 - (
    SUM(
        IF(D93-Uzman_D!$B$18&lt;0, -(D93-Uzman_D!$B$18), D93-Uzman_D!$B$18)*0.1 +
        IF(E93-Uzman_D!$C$18&lt;0, -(E93-Uzman_D!$C$18), E93-Uzman_D!$C$18)*0.1 +
        IF(F93-Uzman_D!$D$18&lt;0, -(F93-Uzman_D!$D$18), F93-Uzman_D!$D$18)*0.1 +
        IF(G93-Uzman_D!$E$18&lt;0, -(G93-Uzman_D!$E$18), G93-Uzman_D!$E$18)*0.1 +
        IF(H93-Uzman_D!$F$18&lt;0, -(H93-Uzman_D!$F$18), H93-Uzman_D!$F$18)*0.1 +
        IF(I93-Uzman_D!$G$18&lt;0, -(I93-Uzman_D!$G$18), I93-Uzman_D!$G$18)*0.1 +
        IF(J93-Uzman_D!$H$18&lt;0, -(J93-Uzman_D!$H$18), J93-Uzman_D!$H$18)*0.1 +
        IF(K93-Uzman_D!$I$18&lt;0, -(K93-Uzman_D!$I$18), K93-Uzman_D!$I$18)*0.1 +
        IF(L93-Uzman_D!$J$18&lt;0, -(L93-Uzman_D!$J$18), L93-Uzman_D!$J$18)*0.1
    ) +
    IF(ROUND((IF(N93-Uzman_D!$L$18&lt;0, -(N93-Uzman_D!$L$18), N93-Uzman_D!$L$18)*2),0)/2 = IF(N93-Uzman_D!$L$18&lt;0, -(N93-Uzman_D!$L$18), N93-Uzman_D!$L$18),
    (ROUND((IF(N93-Uzman_D!$L$18&lt;0, -(N93-Uzman_D!$L$18), N93-Uzman_D!$L$18)*2),0)/1 * 0.1), 0) +
    IF(O93-Uzman_D!$M$18&lt;0, -(O93-Uzman_D!$M$18), O93-Uzman_D!$M$18)*1
)</f>
        <v>-0.50000000000000022</v>
      </c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75"/>
      <c r="AB93" s="75"/>
      <c r="AC93" s="73">
        <f>1 - (
    SUM(
        IF(Q93-Uzman_D!$B$19&lt;0, -(Q93-Uzman_D!$B$19), Q93-Uzman_D!$B$19)*0.1 +
        IF(R93-Uzman_D!$C$19&lt;0, -(R93-Uzman_D!$C$19), R93-Uzman_D!$C$19)*0.1 +
        IF(S93-Uzman_D!$D$19&lt;0, -(S93-Uzman_D!$D$19), S93-Uzman_D!$D$19)*0.1 +
        IF(T93-Uzman_D!$E$19&lt;0, -(T93-Uzman_D!$E$19), T93-Uzman_D!$E$19)*0.1 +
        IF(U93-Uzman_D!$F$19&lt;0, -(U93-Uzman_D!$F$19), U93-Uzman_D!$F$19)*0.1 +
        IF(V93-Uzman_D!$G$19&lt;0, -(V93-Uzman_D!$G$19), V93-Uzman_D!$G$19)*0.1 +
        IF(W93-Uzman_D!$H$19&lt;0, -(W93-Uzman_D!$H$19), W93-Uzman_D!$H$19)*0.1 +
        IF(X93-Uzman_D!$I$19&lt;0, -(X93-Uzman_D!$I$19), X93-Uzman_D!$I$19)*0.1 +
        IF(Y93-Uzman_D!$J$19&lt;0, -(Y93-Uzman_D!$J$19), Y93-Uzman_D!$J$19)*0.1
    ) +
    IF(ROUND((IF(AA93-Uzman_D!$L$19&lt;0, -(AA93-Uzman_D!$L$19), AA93-Uzman_D!$L$19)*2),0)/2 = IF(AA93-Uzman_D!$L$19&lt;0, -(AA93-Uzman_D!$L$19), AA93-Uzman_D!$L$19),
    (ROUND((IF(AA93-Uzman_D!$L$19&lt;0, -(AA93-Uzman_D!$L$19), AA93-Uzman_D!$L$19)*2),0)/1 * 0.1), 0) +
    IF(AB93-Uzman_D!$M$19&lt;0, -(AB93-Uzman_D!$M$19), AB93-Uzman_D!$M$19)*1
)</f>
        <v>-0.60000000000000009</v>
      </c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75"/>
      <c r="AO93" s="75"/>
      <c r="AP93" s="73">
        <f>1 - (
    SUM(
        IF(AD93-Uzman_D!$B$20&lt;0, -(AD93-Uzman_D!$B$20), AD93-Uzman_D!$B$20)*0.1 +
        IF(AE93-Uzman_D!$C$20&lt;0, -(AE93-Uzman_D!$C$20), AE93-Uzman_D!$C$20)*0.1 +
        IF(AF93-Uzman_D!$D$20&lt;0, -(AF93-Uzman_D!$D$20), AF93-Uzman_D!$D$20)*0.1 +
        IF(AG93-Uzman_D!$E$20&lt;0, -(AG93-Uzman_D!$E$20), AG93-Uzman_D!$E$20)*0.1 +
        IF(AH93-Uzman_D!$F$20&lt;0, -(AH93-Uzman_D!$F$20), AH93-Uzman_D!$F$20)*0.1 +
        IF(AI93-Uzman_D!$G$20&lt;0, -(AI93-Uzman_D!$G$20), AI93-Uzman_D!$G$20)*0.1 +
        IF(AJ93-Uzman_D!$H$20&lt;0, -(AJ93-Uzman_D!$H$20), AJ93-Uzman_D!$H$20)*0.1 +
        IF(AK93-Uzman_D!$I$20&lt;0, -(AK93-Uzman_D!$I$20), AK93-Uzman_D!$I$20)*0.1 +
        IF(AL93-Uzman_D!$J$20&lt;0, -(AL93-Uzman_D!$J$20), AL93-Uzman_D!$J$20)*0.1
    ) +
    IF(ROUND((IF(AN93-Uzman_D!$L$20&lt;0, -(AN93-Uzman_D!$L$20), AN93-Uzman_D!$L$20)*2),0)/2 = IF(AN93-Uzman_D!$L$20&lt;0, -(AN93-Uzman_D!$L$20), AN93-Uzman_D!$L$20),
    (ROUND((IF(AN93-Uzman_D!$L$20&lt;0, -(AN93-Uzman_D!$L$20), AN93-Uzman_D!$L$20)*2),0)/1 * 0.1), 0) +
    IF(AO93-Uzman_D!$M$20&lt;0, -(AO93-Uzman_D!$M$20), AO93-Uzman_D!$M$20)*1
)</f>
        <v>-0.60000000000000009</v>
      </c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75"/>
      <c r="BB93" s="75"/>
      <c r="BC93" s="73">
        <f>1 - (
    SUM(
        IF(AQ93-Uzman_D!$B$21&lt;0, -(AQ93-Uzman_D!$B$21), AQ93-Uzman_D!$B$21)*0.1 +
        IF(AR93-Uzman_D!$C$21&lt;0, -(AR93-Uzman_D!$C$21), AR93-Uzman_D!$C$21)*0.1 +
        IF(AS93-Uzman_D!$D$21&lt;0, -(AS93-Uzman_D!$D$21), AS93-Uzman_D!$D$21)*0.1 +
        IF(AT93-Uzman_D!$E$21&lt;0, -(AT93-Uzman_D!$E$21), AT93-Uzman_D!$E$21)*0.1 +
        IF(AU93-Uzman_D!$F$21&lt;0, -(AU93-Uzman_D!$F$21), AU93-Uzman_D!$F$21)*0.1 +
        IF(AV93-Uzman_D!$G$21&lt;0, -(AV93-Uzman_D!$G$21), AV93-Uzman_D!$G$21)*0.1 +
        IF(AW93-Uzman_D!$H$21&lt;0, -(AW93-Uzman_D!$H$21), AW93-Uzman_D!$H$21)*0.1 +
        IF(AX93-Uzman_D!$I$21&lt;0, -(AX93-Uzman_D!$I$21), AX93-Uzman_D!$I$21)*0.1 +
        IF(AY93-Uzman_D!$J$21&lt;0, -(AY93-Uzman_D!$J$21), AY93-Uzman_D!$J$21)*0.1
    ) +
    IF(ROUND((IF(BA93-Uzman_D!$L$21&lt;0, -(BA93-Uzman_D!$L$21), BA93-Uzman_D!$L$21)*2),0)/2 = IF(BA93-Uzman_D!$L$21&lt;0, -(BA93-Uzman_D!$L$21), BA93-Uzman_D!$L$21),
    (ROUND((IF(BA93-Uzman_D!$L$21&lt;0, -(BA93-Uzman_D!$L$21), BA93-Uzman_D!$L$21)*2),0)/1 * 0.1), 0) +
    IF(BB93-Uzman_D!$M$21&lt;0, -(BB93-Uzman_D!$M$21), BB93-Uzman_D!$M$21)*1
)</f>
        <v>-0.60000000000000009</v>
      </c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75"/>
      <c r="BO93" s="75"/>
      <c r="BP93" s="73">
        <f>1 - (
    SUM(
        IF(BD93-Uzman_D!$B$22&lt;0, -(BD93-Uzman_D!$B$22), BD93-Uzman_D!$B$22)*0.1 +
        IF(BE93-Uzman_D!$C$22&lt;0, -(BE93-Uzman_D!$C$22), BE93-Uzman_D!$C$22)*0.1 +
        IF(BF93-Uzman_D!$D$22&lt;0, -(BF93-Uzman_D!$D$22), BF93-Uzman_D!$D$22)*0.1 +
        IF(BG93-Uzman_D!$E$22&lt;0, -(BG93-Uzman_D!$E$22), BG93-Uzman_D!$E$22)*0.1 +
        IF(BH93-Uzman_D!$F$22&lt;0, -(BH93-Uzman_D!$F$22), BH93-Uzman_D!$F$22)*0.1 +
        IF(BI93-Uzman_D!$G$22&lt;0, -(BI93-Uzman_D!$G$22), BI93-Uzman_D!$G$22)*0.1 +
        IF(BJ93-Uzman_D!$H$22&lt;0, -(BJ93-Uzman_D!$H$22), BJ93-Uzman_D!$H$22)*0.1 +
        IF(BK93-Uzman_D!$I$22&lt;0, -(BK93-Uzman_D!$I$22), BK93-Uzman_D!$I$22)*0.1 +
        IF(BL93-Uzman_D!$J$22&lt;0, -(BL93-Uzman_D!$J$22), BL93-Uzman_D!$J$22)*0.1
    ) +
    IF(ROUND((IF(BN93-Uzman_D!$L$22&lt;0, -(BN93-Uzman_D!$L$22), BN93-Uzman_D!$L$22)*2),0)/2 = IF(BN93-Uzman_D!$L$22&lt;0, -(BN93-Uzman_D!$L$22), BN93-Uzman_D!$L$22),
    (ROUND((IF(BN93-Uzman_D!$L$22&lt;0, -(BN93-Uzman_D!$L$22), BN93-Uzman_D!$L$22)*2),0)/1 * 0.1), 0) +
    IF(BO93-Uzman_D!$M$22&lt;0, -(BO93-Uzman_D!$M$22), BO93-Uzman_D!$M$22)*1
)</f>
        <v>-0.40000000000000013</v>
      </c>
      <c r="BQ93" s="74">
        <f t="shared" si="1"/>
        <v>-0.54000000000000026</v>
      </c>
    </row>
    <row r="94" spans="1:69" ht="15" customHeight="1" x14ac:dyDescent="0.2">
      <c r="A94" s="57">
        <v>91</v>
      </c>
      <c r="B94" s="37">
        <f>Hakemler!B94</f>
        <v>0</v>
      </c>
      <c r="C94" s="37">
        <f>Hakemler!C94</f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75"/>
      <c r="O94" s="75"/>
      <c r="P94" s="73">
        <f>1 - (
    SUM(
        IF(D94-Uzman_D!$B$18&lt;0, -(D94-Uzman_D!$B$18), D94-Uzman_D!$B$18)*0.1 +
        IF(E94-Uzman_D!$C$18&lt;0, -(E94-Uzman_D!$C$18), E94-Uzman_D!$C$18)*0.1 +
        IF(F94-Uzman_D!$D$18&lt;0, -(F94-Uzman_D!$D$18), F94-Uzman_D!$D$18)*0.1 +
        IF(G94-Uzman_D!$E$18&lt;0, -(G94-Uzman_D!$E$18), G94-Uzman_D!$E$18)*0.1 +
        IF(H94-Uzman_D!$F$18&lt;0, -(H94-Uzman_D!$F$18), H94-Uzman_D!$F$18)*0.1 +
        IF(I94-Uzman_D!$G$18&lt;0, -(I94-Uzman_D!$G$18), I94-Uzman_D!$G$18)*0.1 +
        IF(J94-Uzman_D!$H$18&lt;0, -(J94-Uzman_D!$H$18), J94-Uzman_D!$H$18)*0.1 +
        IF(K94-Uzman_D!$I$18&lt;0, -(K94-Uzman_D!$I$18), K94-Uzman_D!$I$18)*0.1 +
        IF(L94-Uzman_D!$J$18&lt;0, -(L94-Uzman_D!$J$18), L94-Uzman_D!$J$18)*0.1
    ) +
    IF(ROUND((IF(N94-Uzman_D!$L$18&lt;0, -(N94-Uzman_D!$L$18), N94-Uzman_D!$L$18)*2),0)/2 = IF(N94-Uzman_D!$L$18&lt;0, -(N94-Uzman_D!$L$18), N94-Uzman_D!$L$18),
    (ROUND((IF(N94-Uzman_D!$L$18&lt;0, -(N94-Uzman_D!$L$18), N94-Uzman_D!$L$18)*2),0)/1 * 0.1), 0) +
    IF(O94-Uzman_D!$M$18&lt;0, -(O94-Uzman_D!$M$18), O94-Uzman_D!$M$18)*1
)</f>
        <v>-0.50000000000000022</v>
      </c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75"/>
      <c r="AB94" s="75"/>
      <c r="AC94" s="73">
        <f>1 - (
    SUM(
        IF(Q94-Uzman_D!$B$19&lt;0, -(Q94-Uzman_D!$B$19), Q94-Uzman_D!$B$19)*0.1 +
        IF(R94-Uzman_D!$C$19&lt;0, -(R94-Uzman_D!$C$19), R94-Uzman_D!$C$19)*0.1 +
        IF(S94-Uzman_D!$D$19&lt;0, -(S94-Uzman_D!$D$19), S94-Uzman_D!$D$19)*0.1 +
        IF(T94-Uzman_D!$E$19&lt;0, -(T94-Uzman_D!$E$19), T94-Uzman_D!$E$19)*0.1 +
        IF(U94-Uzman_D!$F$19&lt;0, -(U94-Uzman_D!$F$19), U94-Uzman_D!$F$19)*0.1 +
        IF(V94-Uzman_D!$G$19&lt;0, -(V94-Uzman_D!$G$19), V94-Uzman_D!$G$19)*0.1 +
        IF(W94-Uzman_D!$H$19&lt;0, -(W94-Uzman_D!$H$19), W94-Uzman_D!$H$19)*0.1 +
        IF(X94-Uzman_D!$I$19&lt;0, -(X94-Uzman_D!$I$19), X94-Uzman_D!$I$19)*0.1 +
        IF(Y94-Uzman_D!$J$19&lt;0, -(Y94-Uzman_D!$J$19), Y94-Uzman_D!$J$19)*0.1
    ) +
    IF(ROUND((IF(AA94-Uzman_D!$L$19&lt;0, -(AA94-Uzman_D!$L$19), AA94-Uzman_D!$L$19)*2),0)/2 = IF(AA94-Uzman_D!$L$19&lt;0, -(AA94-Uzman_D!$L$19), AA94-Uzman_D!$L$19),
    (ROUND((IF(AA94-Uzman_D!$L$19&lt;0, -(AA94-Uzman_D!$L$19), AA94-Uzman_D!$L$19)*2),0)/1 * 0.1), 0) +
    IF(AB94-Uzman_D!$M$19&lt;0, -(AB94-Uzman_D!$M$19), AB94-Uzman_D!$M$19)*1
)</f>
        <v>-0.60000000000000009</v>
      </c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75"/>
      <c r="AO94" s="75"/>
      <c r="AP94" s="73">
        <f>1 - (
    SUM(
        IF(AD94-Uzman_D!$B$20&lt;0, -(AD94-Uzman_D!$B$20), AD94-Uzman_D!$B$20)*0.1 +
        IF(AE94-Uzman_D!$C$20&lt;0, -(AE94-Uzman_D!$C$20), AE94-Uzman_D!$C$20)*0.1 +
        IF(AF94-Uzman_D!$D$20&lt;0, -(AF94-Uzman_D!$D$20), AF94-Uzman_D!$D$20)*0.1 +
        IF(AG94-Uzman_D!$E$20&lt;0, -(AG94-Uzman_D!$E$20), AG94-Uzman_D!$E$20)*0.1 +
        IF(AH94-Uzman_D!$F$20&lt;0, -(AH94-Uzman_D!$F$20), AH94-Uzman_D!$F$20)*0.1 +
        IF(AI94-Uzman_D!$G$20&lt;0, -(AI94-Uzman_D!$G$20), AI94-Uzman_D!$G$20)*0.1 +
        IF(AJ94-Uzman_D!$H$20&lt;0, -(AJ94-Uzman_D!$H$20), AJ94-Uzman_D!$H$20)*0.1 +
        IF(AK94-Uzman_D!$I$20&lt;0, -(AK94-Uzman_D!$I$20), AK94-Uzman_D!$I$20)*0.1 +
        IF(AL94-Uzman_D!$J$20&lt;0, -(AL94-Uzman_D!$J$20), AL94-Uzman_D!$J$20)*0.1
    ) +
    IF(ROUND((IF(AN94-Uzman_D!$L$20&lt;0, -(AN94-Uzman_D!$L$20), AN94-Uzman_D!$L$20)*2),0)/2 = IF(AN94-Uzman_D!$L$20&lt;0, -(AN94-Uzman_D!$L$20), AN94-Uzman_D!$L$20),
    (ROUND((IF(AN94-Uzman_D!$L$20&lt;0, -(AN94-Uzman_D!$L$20), AN94-Uzman_D!$L$20)*2),0)/1 * 0.1), 0) +
    IF(AO94-Uzman_D!$M$20&lt;0, -(AO94-Uzman_D!$M$20), AO94-Uzman_D!$M$20)*1
)</f>
        <v>-0.60000000000000009</v>
      </c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75"/>
      <c r="BB94" s="75"/>
      <c r="BC94" s="73">
        <f>1 - (
    SUM(
        IF(AQ94-Uzman_D!$B$21&lt;0, -(AQ94-Uzman_D!$B$21), AQ94-Uzman_D!$B$21)*0.1 +
        IF(AR94-Uzman_D!$C$21&lt;0, -(AR94-Uzman_D!$C$21), AR94-Uzman_D!$C$21)*0.1 +
        IF(AS94-Uzman_D!$D$21&lt;0, -(AS94-Uzman_D!$D$21), AS94-Uzman_D!$D$21)*0.1 +
        IF(AT94-Uzman_D!$E$21&lt;0, -(AT94-Uzman_D!$E$21), AT94-Uzman_D!$E$21)*0.1 +
        IF(AU94-Uzman_D!$F$21&lt;0, -(AU94-Uzman_D!$F$21), AU94-Uzman_D!$F$21)*0.1 +
        IF(AV94-Uzman_D!$G$21&lt;0, -(AV94-Uzman_D!$G$21), AV94-Uzman_D!$G$21)*0.1 +
        IF(AW94-Uzman_D!$H$21&lt;0, -(AW94-Uzman_D!$H$21), AW94-Uzman_D!$H$21)*0.1 +
        IF(AX94-Uzman_D!$I$21&lt;0, -(AX94-Uzman_D!$I$21), AX94-Uzman_D!$I$21)*0.1 +
        IF(AY94-Uzman_D!$J$21&lt;0, -(AY94-Uzman_D!$J$21), AY94-Uzman_D!$J$21)*0.1
    ) +
    IF(ROUND((IF(BA94-Uzman_D!$L$21&lt;0, -(BA94-Uzman_D!$L$21), BA94-Uzman_D!$L$21)*2),0)/2 = IF(BA94-Uzman_D!$L$21&lt;0, -(BA94-Uzman_D!$L$21), BA94-Uzman_D!$L$21),
    (ROUND((IF(BA94-Uzman_D!$L$21&lt;0, -(BA94-Uzman_D!$L$21), BA94-Uzman_D!$L$21)*2),0)/1 * 0.1), 0) +
    IF(BB94-Uzman_D!$M$21&lt;0, -(BB94-Uzman_D!$M$21), BB94-Uzman_D!$M$21)*1
)</f>
        <v>-0.60000000000000009</v>
      </c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75"/>
      <c r="BO94" s="75"/>
      <c r="BP94" s="73">
        <f>1 - (
    SUM(
        IF(BD94-Uzman_D!$B$22&lt;0, -(BD94-Uzman_D!$B$22), BD94-Uzman_D!$B$22)*0.1 +
        IF(BE94-Uzman_D!$C$22&lt;0, -(BE94-Uzman_D!$C$22), BE94-Uzman_D!$C$22)*0.1 +
        IF(BF94-Uzman_D!$D$22&lt;0, -(BF94-Uzman_D!$D$22), BF94-Uzman_D!$D$22)*0.1 +
        IF(BG94-Uzman_D!$E$22&lt;0, -(BG94-Uzman_D!$E$22), BG94-Uzman_D!$E$22)*0.1 +
        IF(BH94-Uzman_D!$F$22&lt;0, -(BH94-Uzman_D!$F$22), BH94-Uzman_D!$F$22)*0.1 +
        IF(BI94-Uzman_D!$G$22&lt;0, -(BI94-Uzman_D!$G$22), BI94-Uzman_D!$G$22)*0.1 +
        IF(BJ94-Uzman_D!$H$22&lt;0, -(BJ94-Uzman_D!$H$22), BJ94-Uzman_D!$H$22)*0.1 +
        IF(BK94-Uzman_D!$I$22&lt;0, -(BK94-Uzman_D!$I$22), BK94-Uzman_D!$I$22)*0.1 +
        IF(BL94-Uzman_D!$J$22&lt;0, -(BL94-Uzman_D!$J$22), BL94-Uzman_D!$J$22)*0.1
    ) +
    IF(ROUND((IF(BN94-Uzman_D!$L$22&lt;0, -(BN94-Uzman_D!$L$22), BN94-Uzman_D!$L$22)*2),0)/2 = IF(BN94-Uzman_D!$L$22&lt;0, -(BN94-Uzman_D!$L$22), BN94-Uzman_D!$L$22),
    (ROUND((IF(BN94-Uzman_D!$L$22&lt;0, -(BN94-Uzman_D!$L$22), BN94-Uzman_D!$L$22)*2),0)/1 * 0.1), 0) +
    IF(BO94-Uzman_D!$M$22&lt;0, -(BO94-Uzman_D!$M$22), BO94-Uzman_D!$M$22)*1
)</f>
        <v>-0.40000000000000013</v>
      </c>
      <c r="BQ94" s="74">
        <f t="shared" si="1"/>
        <v>-0.54000000000000026</v>
      </c>
    </row>
    <row r="95" spans="1:69" ht="15" customHeight="1" x14ac:dyDescent="0.2">
      <c r="A95" s="57">
        <v>92</v>
      </c>
      <c r="B95" s="37">
        <f>Hakemler!B95</f>
        <v>0</v>
      </c>
      <c r="C95" s="37">
        <f>Hakemler!C95</f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75"/>
      <c r="O95" s="75"/>
      <c r="P95" s="73">
        <f>1 - (
    SUM(
        IF(D95-Uzman_D!$B$18&lt;0, -(D95-Uzman_D!$B$18), D95-Uzman_D!$B$18)*0.1 +
        IF(E95-Uzman_D!$C$18&lt;0, -(E95-Uzman_D!$C$18), E95-Uzman_D!$C$18)*0.1 +
        IF(F95-Uzman_D!$D$18&lt;0, -(F95-Uzman_D!$D$18), F95-Uzman_D!$D$18)*0.1 +
        IF(G95-Uzman_D!$E$18&lt;0, -(G95-Uzman_D!$E$18), G95-Uzman_D!$E$18)*0.1 +
        IF(H95-Uzman_D!$F$18&lt;0, -(H95-Uzman_D!$F$18), H95-Uzman_D!$F$18)*0.1 +
        IF(I95-Uzman_D!$G$18&lt;0, -(I95-Uzman_D!$G$18), I95-Uzman_D!$G$18)*0.1 +
        IF(J95-Uzman_D!$H$18&lt;0, -(J95-Uzman_D!$H$18), J95-Uzman_D!$H$18)*0.1 +
        IF(K95-Uzman_D!$I$18&lt;0, -(K95-Uzman_D!$I$18), K95-Uzman_D!$I$18)*0.1 +
        IF(L95-Uzman_D!$J$18&lt;0, -(L95-Uzman_D!$J$18), L95-Uzman_D!$J$18)*0.1
    ) +
    IF(ROUND((IF(N95-Uzman_D!$L$18&lt;0, -(N95-Uzman_D!$L$18), N95-Uzman_D!$L$18)*2),0)/2 = IF(N95-Uzman_D!$L$18&lt;0, -(N95-Uzman_D!$L$18), N95-Uzman_D!$L$18),
    (ROUND((IF(N95-Uzman_D!$L$18&lt;0, -(N95-Uzman_D!$L$18), N95-Uzman_D!$L$18)*2),0)/1 * 0.1), 0) +
    IF(O95-Uzman_D!$M$18&lt;0, -(O95-Uzman_D!$M$18), O95-Uzman_D!$M$18)*1
)</f>
        <v>-0.50000000000000022</v>
      </c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75"/>
      <c r="AB95" s="75"/>
      <c r="AC95" s="73">
        <f>1 - (
    SUM(
        IF(Q95-Uzman_D!$B$19&lt;0, -(Q95-Uzman_D!$B$19), Q95-Uzman_D!$B$19)*0.1 +
        IF(R95-Uzman_D!$C$19&lt;0, -(R95-Uzman_D!$C$19), R95-Uzman_D!$C$19)*0.1 +
        IF(S95-Uzman_D!$D$19&lt;0, -(S95-Uzman_D!$D$19), S95-Uzman_D!$D$19)*0.1 +
        IF(T95-Uzman_D!$E$19&lt;0, -(T95-Uzman_D!$E$19), T95-Uzman_D!$E$19)*0.1 +
        IF(U95-Uzman_D!$F$19&lt;0, -(U95-Uzman_D!$F$19), U95-Uzman_D!$F$19)*0.1 +
        IF(V95-Uzman_D!$G$19&lt;0, -(V95-Uzman_D!$G$19), V95-Uzman_D!$G$19)*0.1 +
        IF(W95-Uzman_D!$H$19&lt;0, -(W95-Uzman_D!$H$19), W95-Uzman_D!$H$19)*0.1 +
        IF(X95-Uzman_D!$I$19&lt;0, -(X95-Uzman_D!$I$19), X95-Uzman_D!$I$19)*0.1 +
        IF(Y95-Uzman_D!$J$19&lt;0, -(Y95-Uzman_D!$J$19), Y95-Uzman_D!$J$19)*0.1
    ) +
    IF(ROUND((IF(AA95-Uzman_D!$L$19&lt;0, -(AA95-Uzman_D!$L$19), AA95-Uzman_D!$L$19)*2),0)/2 = IF(AA95-Uzman_D!$L$19&lt;0, -(AA95-Uzman_D!$L$19), AA95-Uzman_D!$L$19),
    (ROUND((IF(AA95-Uzman_D!$L$19&lt;0, -(AA95-Uzman_D!$L$19), AA95-Uzman_D!$L$19)*2),0)/1 * 0.1), 0) +
    IF(AB95-Uzman_D!$M$19&lt;0, -(AB95-Uzman_D!$M$19), AB95-Uzman_D!$M$19)*1
)</f>
        <v>-0.60000000000000009</v>
      </c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75"/>
      <c r="AO95" s="75"/>
      <c r="AP95" s="73">
        <f>1 - (
    SUM(
        IF(AD95-Uzman_D!$B$20&lt;0, -(AD95-Uzman_D!$B$20), AD95-Uzman_D!$B$20)*0.1 +
        IF(AE95-Uzman_D!$C$20&lt;0, -(AE95-Uzman_D!$C$20), AE95-Uzman_D!$C$20)*0.1 +
        IF(AF95-Uzman_D!$D$20&lt;0, -(AF95-Uzman_D!$D$20), AF95-Uzman_D!$D$20)*0.1 +
        IF(AG95-Uzman_D!$E$20&lt;0, -(AG95-Uzman_D!$E$20), AG95-Uzman_D!$E$20)*0.1 +
        IF(AH95-Uzman_D!$F$20&lt;0, -(AH95-Uzman_D!$F$20), AH95-Uzman_D!$F$20)*0.1 +
        IF(AI95-Uzman_D!$G$20&lt;0, -(AI95-Uzman_D!$G$20), AI95-Uzman_D!$G$20)*0.1 +
        IF(AJ95-Uzman_D!$H$20&lt;0, -(AJ95-Uzman_D!$H$20), AJ95-Uzman_D!$H$20)*0.1 +
        IF(AK95-Uzman_D!$I$20&lt;0, -(AK95-Uzman_D!$I$20), AK95-Uzman_D!$I$20)*0.1 +
        IF(AL95-Uzman_D!$J$20&lt;0, -(AL95-Uzman_D!$J$20), AL95-Uzman_D!$J$20)*0.1
    ) +
    IF(ROUND((IF(AN95-Uzman_D!$L$20&lt;0, -(AN95-Uzman_D!$L$20), AN95-Uzman_D!$L$20)*2),0)/2 = IF(AN95-Uzman_D!$L$20&lt;0, -(AN95-Uzman_D!$L$20), AN95-Uzman_D!$L$20),
    (ROUND((IF(AN95-Uzman_D!$L$20&lt;0, -(AN95-Uzman_D!$L$20), AN95-Uzman_D!$L$20)*2),0)/1 * 0.1), 0) +
    IF(AO95-Uzman_D!$M$20&lt;0, -(AO95-Uzman_D!$M$20), AO95-Uzman_D!$M$20)*1
)</f>
        <v>-0.60000000000000009</v>
      </c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75"/>
      <c r="BB95" s="75"/>
      <c r="BC95" s="73">
        <f>1 - (
    SUM(
        IF(AQ95-Uzman_D!$B$21&lt;0, -(AQ95-Uzman_D!$B$21), AQ95-Uzman_D!$B$21)*0.1 +
        IF(AR95-Uzman_D!$C$21&lt;0, -(AR95-Uzman_D!$C$21), AR95-Uzman_D!$C$21)*0.1 +
        IF(AS95-Uzman_D!$D$21&lt;0, -(AS95-Uzman_D!$D$21), AS95-Uzman_D!$D$21)*0.1 +
        IF(AT95-Uzman_D!$E$21&lt;0, -(AT95-Uzman_D!$E$21), AT95-Uzman_D!$E$21)*0.1 +
        IF(AU95-Uzman_D!$F$21&lt;0, -(AU95-Uzman_D!$F$21), AU95-Uzman_D!$F$21)*0.1 +
        IF(AV95-Uzman_D!$G$21&lt;0, -(AV95-Uzman_D!$G$21), AV95-Uzman_D!$G$21)*0.1 +
        IF(AW95-Uzman_D!$H$21&lt;0, -(AW95-Uzman_D!$H$21), AW95-Uzman_D!$H$21)*0.1 +
        IF(AX95-Uzman_D!$I$21&lt;0, -(AX95-Uzman_D!$I$21), AX95-Uzman_D!$I$21)*0.1 +
        IF(AY95-Uzman_D!$J$21&lt;0, -(AY95-Uzman_D!$J$21), AY95-Uzman_D!$J$21)*0.1
    ) +
    IF(ROUND((IF(BA95-Uzman_D!$L$21&lt;0, -(BA95-Uzman_D!$L$21), BA95-Uzman_D!$L$21)*2),0)/2 = IF(BA95-Uzman_D!$L$21&lt;0, -(BA95-Uzman_D!$L$21), BA95-Uzman_D!$L$21),
    (ROUND((IF(BA95-Uzman_D!$L$21&lt;0, -(BA95-Uzman_D!$L$21), BA95-Uzman_D!$L$21)*2),0)/1 * 0.1), 0) +
    IF(BB95-Uzman_D!$M$21&lt;0, -(BB95-Uzman_D!$M$21), BB95-Uzman_D!$M$21)*1
)</f>
        <v>-0.60000000000000009</v>
      </c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75"/>
      <c r="BO95" s="75"/>
      <c r="BP95" s="73">
        <f>1 - (
    SUM(
        IF(BD95-Uzman_D!$B$22&lt;0, -(BD95-Uzman_D!$B$22), BD95-Uzman_D!$B$22)*0.1 +
        IF(BE95-Uzman_D!$C$22&lt;0, -(BE95-Uzman_D!$C$22), BE95-Uzman_D!$C$22)*0.1 +
        IF(BF95-Uzman_D!$D$22&lt;0, -(BF95-Uzman_D!$D$22), BF95-Uzman_D!$D$22)*0.1 +
        IF(BG95-Uzman_D!$E$22&lt;0, -(BG95-Uzman_D!$E$22), BG95-Uzman_D!$E$22)*0.1 +
        IF(BH95-Uzman_D!$F$22&lt;0, -(BH95-Uzman_D!$F$22), BH95-Uzman_D!$F$22)*0.1 +
        IF(BI95-Uzman_D!$G$22&lt;0, -(BI95-Uzman_D!$G$22), BI95-Uzman_D!$G$22)*0.1 +
        IF(BJ95-Uzman_D!$H$22&lt;0, -(BJ95-Uzman_D!$H$22), BJ95-Uzman_D!$H$22)*0.1 +
        IF(BK95-Uzman_D!$I$22&lt;0, -(BK95-Uzman_D!$I$22), BK95-Uzman_D!$I$22)*0.1 +
        IF(BL95-Uzman_D!$J$22&lt;0, -(BL95-Uzman_D!$J$22), BL95-Uzman_D!$J$22)*0.1
    ) +
    IF(ROUND((IF(BN95-Uzman_D!$L$22&lt;0, -(BN95-Uzman_D!$L$22), BN95-Uzman_D!$L$22)*2),0)/2 = IF(BN95-Uzman_D!$L$22&lt;0, -(BN95-Uzman_D!$L$22), BN95-Uzman_D!$L$22),
    (ROUND((IF(BN95-Uzman_D!$L$22&lt;0, -(BN95-Uzman_D!$L$22), BN95-Uzman_D!$L$22)*2),0)/1 * 0.1), 0) +
    IF(BO95-Uzman_D!$M$22&lt;0, -(BO95-Uzman_D!$M$22), BO95-Uzman_D!$M$22)*1
)</f>
        <v>-0.40000000000000013</v>
      </c>
      <c r="BQ95" s="74">
        <f t="shared" si="1"/>
        <v>-0.54000000000000026</v>
      </c>
    </row>
    <row r="96" spans="1:69" ht="15" customHeight="1" x14ac:dyDescent="0.2">
      <c r="A96" s="57">
        <v>93</v>
      </c>
      <c r="B96" s="37">
        <f>Hakemler!B96</f>
        <v>0</v>
      </c>
      <c r="C96" s="37">
        <f>Hakemler!C96</f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75"/>
      <c r="O96" s="75"/>
      <c r="P96" s="73">
        <f>1 - (
    SUM(
        IF(D96-Uzman_D!$B$18&lt;0, -(D96-Uzman_D!$B$18), D96-Uzman_D!$B$18)*0.1 +
        IF(E96-Uzman_D!$C$18&lt;0, -(E96-Uzman_D!$C$18), E96-Uzman_D!$C$18)*0.1 +
        IF(F96-Uzman_D!$D$18&lt;0, -(F96-Uzman_D!$D$18), F96-Uzman_D!$D$18)*0.1 +
        IF(G96-Uzman_D!$E$18&lt;0, -(G96-Uzman_D!$E$18), G96-Uzman_D!$E$18)*0.1 +
        IF(H96-Uzman_D!$F$18&lt;0, -(H96-Uzman_D!$F$18), H96-Uzman_D!$F$18)*0.1 +
        IF(I96-Uzman_D!$G$18&lt;0, -(I96-Uzman_D!$G$18), I96-Uzman_D!$G$18)*0.1 +
        IF(J96-Uzman_D!$H$18&lt;0, -(J96-Uzman_D!$H$18), J96-Uzman_D!$H$18)*0.1 +
        IF(K96-Uzman_D!$I$18&lt;0, -(K96-Uzman_D!$I$18), K96-Uzman_D!$I$18)*0.1 +
        IF(L96-Uzman_D!$J$18&lt;0, -(L96-Uzman_D!$J$18), L96-Uzman_D!$J$18)*0.1
    ) +
    IF(ROUND((IF(N96-Uzman_D!$L$18&lt;0, -(N96-Uzman_D!$L$18), N96-Uzman_D!$L$18)*2),0)/2 = IF(N96-Uzman_D!$L$18&lt;0, -(N96-Uzman_D!$L$18), N96-Uzman_D!$L$18),
    (ROUND((IF(N96-Uzman_D!$L$18&lt;0, -(N96-Uzman_D!$L$18), N96-Uzman_D!$L$18)*2),0)/1 * 0.1), 0) +
    IF(O96-Uzman_D!$M$18&lt;0, -(O96-Uzman_D!$M$18), O96-Uzman_D!$M$18)*1
)</f>
        <v>-0.50000000000000022</v>
      </c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75"/>
      <c r="AB96" s="75"/>
      <c r="AC96" s="73">
        <f>1 - (
    SUM(
        IF(Q96-Uzman_D!$B$19&lt;0, -(Q96-Uzman_D!$B$19), Q96-Uzman_D!$B$19)*0.1 +
        IF(R96-Uzman_D!$C$19&lt;0, -(R96-Uzman_D!$C$19), R96-Uzman_D!$C$19)*0.1 +
        IF(S96-Uzman_D!$D$19&lt;0, -(S96-Uzman_D!$D$19), S96-Uzman_D!$D$19)*0.1 +
        IF(T96-Uzman_D!$E$19&lt;0, -(T96-Uzman_D!$E$19), T96-Uzman_D!$E$19)*0.1 +
        IF(U96-Uzman_D!$F$19&lt;0, -(U96-Uzman_D!$F$19), U96-Uzman_D!$F$19)*0.1 +
        IF(V96-Uzman_D!$G$19&lt;0, -(V96-Uzman_D!$G$19), V96-Uzman_D!$G$19)*0.1 +
        IF(W96-Uzman_D!$H$19&lt;0, -(W96-Uzman_D!$H$19), W96-Uzman_D!$H$19)*0.1 +
        IF(X96-Uzman_D!$I$19&lt;0, -(X96-Uzman_D!$I$19), X96-Uzman_D!$I$19)*0.1 +
        IF(Y96-Uzman_D!$J$19&lt;0, -(Y96-Uzman_D!$J$19), Y96-Uzman_D!$J$19)*0.1
    ) +
    IF(ROUND((IF(AA96-Uzman_D!$L$19&lt;0, -(AA96-Uzman_D!$L$19), AA96-Uzman_D!$L$19)*2),0)/2 = IF(AA96-Uzman_D!$L$19&lt;0, -(AA96-Uzman_D!$L$19), AA96-Uzman_D!$L$19),
    (ROUND((IF(AA96-Uzman_D!$L$19&lt;0, -(AA96-Uzman_D!$L$19), AA96-Uzman_D!$L$19)*2),0)/1 * 0.1), 0) +
    IF(AB96-Uzman_D!$M$19&lt;0, -(AB96-Uzman_D!$M$19), AB96-Uzman_D!$M$19)*1
)</f>
        <v>-0.60000000000000009</v>
      </c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75"/>
      <c r="AO96" s="75"/>
      <c r="AP96" s="73">
        <f>1 - (
    SUM(
        IF(AD96-Uzman_D!$B$20&lt;0, -(AD96-Uzman_D!$B$20), AD96-Uzman_D!$B$20)*0.1 +
        IF(AE96-Uzman_D!$C$20&lt;0, -(AE96-Uzman_D!$C$20), AE96-Uzman_D!$C$20)*0.1 +
        IF(AF96-Uzman_D!$D$20&lt;0, -(AF96-Uzman_D!$D$20), AF96-Uzman_D!$D$20)*0.1 +
        IF(AG96-Uzman_D!$E$20&lt;0, -(AG96-Uzman_D!$E$20), AG96-Uzman_D!$E$20)*0.1 +
        IF(AH96-Uzman_D!$F$20&lt;0, -(AH96-Uzman_D!$F$20), AH96-Uzman_D!$F$20)*0.1 +
        IF(AI96-Uzman_D!$G$20&lt;0, -(AI96-Uzman_D!$G$20), AI96-Uzman_D!$G$20)*0.1 +
        IF(AJ96-Uzman_D!$H$20&lt;0, -(AJ96-Uzman_D!$H$20), AJ96-Uzman_D!$H$20)*0.1 +
        IF(AK96-Uzman_D!$I$20&lt;0, -(AK96-Uzman_D!$I$20), AK96-Uzman_D!$I$20)*0.1 +
        IF(AL96-Uzman_D!$J$20&lt;0, -(AL96-Uzman_D!$J$20), AL96-Uzman_D!$J$20)*0.1
    ) +
    IF(ROUND((IF(AN96-Uzman_D!$L$20&lt;0, -(AN96-Uzman_D!$L$20), AN96-Uzman_D!$L$20)*2),0)/2 = IF(AN96-Uzman_D!$L$20&lt;0, -(AN96-Uzman_D!$L$20), AN96-Uzman_D!$L$20),
    (ROUND((IF(AN96-Uzman_D!$L$20&lt;0, -(AN96-Uzman_D!$L$20), AN96-Uzman_D!$L$20)*2),0)/1 * 0.1), 0) +
    IF(AO96-Uzman_D!$M$20&lt;0, -(AO96-Uzman_D!$M$20), AO96-Uzman_D!$M$20)*1
)</f>
        <v>-0.60000000000000009</v>
      </c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75"/>
      <c r="BB96" s="75"/>
      <c r="BC96" s="73">
        <f>1 - (
    SUM(
        IF(AQ96-Uzman_D!$B$21&lt;0, -(AQ96-Uzman_D!$B$21), AQ96-Uzman_D!$B$21)*0.1 +
        IF(AR96-Uzman_D!$C$21&lt;0, -(AR96-Uzman_D!$C$21), AR96-Uzman_D!$C$21)*0.1 +
        IF(AS96-Uzman_D!$D$21&lt;0, -(AS96-Uzman_D!$D$21), AS96-Uzman_D!$D$21)*0.1 +
        IF(AT96-Uzman_D!$E$21&lt;0, -(AT96-Uzman_D!$E$21), AT96-Uzman_D!$E$21)*0.1 +
        IF(AU96-Uzman_D!$F$21&lt;0, -(AU96-Uzman_D!$F$21), AU96-Uzman_D!$F$21)*0.1 +
        IF(AV96-Uzman_D!$G$21&lt;0, -(AV96-Uzman_D!$G$21), AV96-Uzman_D!$G$21)*0.1 +
        IF(AW96-Uzman_D!$H$21&lt;0, -(AW96-Uzman_D!$H$21), AW96-Uzman_D!$H$21)*0.1 +
        IF(AX96-Uzman_D!$I$21&lt;0, -(AX96-Uzman_D!$I$21), AX96-Uzman_D!$I$21)*0.1 +
        IF(AY96-Uzman_D!$J$21&lt;0, -(AY96-Uzman_D!$J$21), AY96-Uzman_D!$J$21)*0.1
    ) +
    IF(ROUND((IF(BA96-Uzman_D!$L$21&lt;0, -(BA96-Uzman_D!$L$21), BA96-Uzman_D!$L$21)*2),0)/2 = IF(BA96-Uzman_D!$L$21&lt;0, -(BA96-Uzman_D!$L$21), BA96-Uzman_D!$L$21),
    (ROUND((IF(BA96-Uzman_D!$L$21&lt;0, -(BA96-Uzman_D!$L$21), BA96-Uzman_D!$L$21)*2),0)/1 * 0.1), 0) +
    IF(BB96-Uzman_D!$M$21&lt;0, -(BB96-Uzman_D!$M$21), BB96-Uzman_D!$M$21)*1
)</f>
        <v>-0.60000000000000009</v>
      </c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75"/>
      <c r="BO96" s="75"/>
      <c r="BP96" s="73">
        <f>1 - (
    SUM(
        IF(BD96-Uzman_D!$B$22&lt;0, -(BD96-Uzman_D!$B$22), BD96-Uzman_D!$B$22)*0.1 +
        IF(BE96-Uzman_D!$C$22&lt;0, -(BE96-Uzman_D!$C$22), BE96-Uzman_D!$C$22)*0.1 +
        IF(BF96-Uzman_D!$D$22&lt;0, -(BF96-Uzman_D!$D$22), BF96-Uzman_D!$D$22)*0.1 +
        IF(BG96-Uzman_D!$E$22&lt;0, -(BG96-Uzman_D!$E$22), BG96-Uzman_D!$E$22)*0.1 +
        IF(BH96-Uzman_D!$F$22&lt;0, -(BH96-Uzman_D!$F$22), BH96-Uzman_D!$F$22)*0.1 +
        IF(BI96-Uzman_D!$G$22&lt;0, -(BI96-Uzman_D!$G$22), BI96-Uzman_D!$G$22)*0.1 +
        IF(BJ96-Uzman_D!$H$22&lt;0, -(BJ96-Uzman_D!$H$22), BJ96-Uzman_D!$H$22)*0.1 +
        IF(BK96-Uzman_D!$I$22&lt;0, -(BK96-Uzman_D!$I$22), BK96-Uzman_D!$I$22)*0.1 +
        IF(BL96-Uzman_D!$J$22&lt;0, -(BL96-Uzman_D!$J$22), BL96-Uzman_D!$J$22)*0.1
    ) +
    IF(ROUND((IF(BN96-Uzman_D!$L$22&lt;0, -(BN96-Uzman_D!$L$22), BN96-Uzman_D!$L$22)*2),0)/2 = IF(BN96-Uzman_D!$L$22&lt;0, -(BN96-Uzman_D!$L$22), BN96-Uzman_D!$L$22),
    (ROUND((IF(BN96-Uzman_D!$L$22&lt;0, -(BN96-Uzman_D!$L$22), BN96-Uzman_D!$L$22)*2),0)/1 * 0.1), 0) +
    IF(BO96-Uzman_D!$M$22&lt;0, -(BO96-Uzman_D!$M$22), BO96-Uzman_D!$M$22)*1
)</f>
        <v>-0.40000000000000013</v>
      </c>
      <c r="BQ96" s="74">
        <f t="shared" si="1"/>
        <v>-0.54000000000000026</v>
      </c>
    </row>
    <row r="97" spans="1:69" ht="15" customHeight="1" x14ac:dyDescent="0.2">
      <c r="A97" s="57">
        <v>94</v>
      </c>
      <c r="B97" s="37">
        <f>Hakemler!B97</f>
        <v>0</v>
      </c>
      <c r="C97" s="37">
        <f>Hakemler!C97</f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75"/>
      <c r="O97" s="75"/>
      <c r="P97" s="73">
        <f>1 - (
    SUM(
        IF(D97-Uzman_D!$B$18&lt;0, -(D97-Uzman_D!$B$18), D97-Uzman_D!$B$18)*0.1 +
        IF(E97-Uzman_D!$C$18&lt;0, -(E97-Uzman_D!$C$18), E97-Uzman_D!$C$18)*0.1 +
        IF(F97-Uzman_D!$D$18&lt;0, -(F97-Uzman_D!$D$18), F97-Uzman_D!$D$18)*0.1 +
        IF(G97-Uzman_D!$E$18&lt;0, -(G97-Uzman_D!$E$18), G97-Uzman_D!$E$18)*0.1 +
        IF(H97-Uzman_D!$F$18&lt;0, -(H97-Uzman_D!$F$18), H97-Uzman_D!$F$18)*0.1 +
        IF(I97-Uzman_D!$G$18&lt;0, -(I97-Uzman_D!$G$18), I97-Uzman_D!$G$18)*0.1 +
        IF(J97-Uzman_D!$H$18&lt;0, -(J97-Uzman_D!$H$18), J97-Uzman_D!$H$18)*0.1 +
        IF(K97-Uzman_D!$I$18&lt;0, -(K97-Uzman_D!$I$18), K97-Uzman_D!$I$18)*0.1 +
        IF(L97-Uzman_D!$J$18&lt;0, -(L97-Uzman_D!$J$18), L97-Uzman_D!$J$18)*0.1
    ) +
    IF(ROUND((IF(N97-Uzman_D!$L$18&lt;0, -(N97-Uzman_D!$L$18), N97-Uzman_D!$L$18)*2),0)/2 = IF(N97-Uzman_D!$L$18&lt;0, -(N97-Uzman_D!$L$18), N97-Uzman_D!$L$18),
    (ROUND((IF(N97-Uzman_D!$L$18&lt;0, -(N97-Uzman_D!$L$18), N97-Uzman_D!$L$18)*2),0)/1 * 0.1), 0) +
    IF(O97-Uzman_D!$M$18&lt;0, -(O97-Uzman_D!$M$18), O97-Uzman_D!$M$18)*1
)</f>
        <v>-0.50000000000000022</v>
      </c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75"/>
      <c r="AB97" s="75"/>
      <c r="AC97" s="73">
        <f>1 - (
    SUM(
        IF(Q97-Uzman_D!$B$19&lt;0, -(Q97-Uzman_D!$B$19), Q97-Uzman_D!$B$19)*0.1 +
        IF(R97-Uzman_D!$C$19&lt;0, -(R97-Uzman_D!$C$19), R97-Uzman_D!$C$19)*0.1 +
        IF(S97-Uzman_D!$D$19&lt;0, -(S97-Uzman_D!$D$19), S97-Uzman_D!$D$19)*0.1 +
        IF(T97-Uzman_D!$E$19&lt;0, -(T97-Uzman_D!$E$19), T97-Uzman_D!$E$19)*0.1 +
        IF(U97-Uzman_D!$F$19&lt;0, -(U97-Uzman_D!$F$19), U97-Uzman_D!$F$19)*0.1 +
        IF(V97-Uzman_D!$G$19&lt;0, -(V97-Uzman_D!$G$19), V97-Uzman_D!$G$19)*0.1 +
        IF(W97-Uzman_D!$H$19&lt;0, -(W97-Uzman_D!$H$19), W97-Uzman_D!$H$19)*0.1 +
        IF(X97-Uzman_D!$I$19&lt;0, -(X97-Uzman_D!$I$19), X97-Uzman_D!$I$19)*0.1 +
        IF(Y97-Uzman_D!$J$19&lt;0, -(Y97-Uzman_D!$J$19), Y97-Uzman_D!$J$19)*0.1
    ) +
    IF(ROUND((IF(AA97-Uzman_D!$L$19&lt;0, -(AA97-Uzman_D!$L$19), AA97-Uzman_D!$L$19)*2),0)/2 = IF(AA97-Uzman_D!$L$19&lt;0, -(AA97-Uzman_D!$L$19), AA97-Uzman_D!$L$19),
    (ROUND((IF(AA97-Uzman_D!$L$19&lt;0, -(AA97-Uzman_D!$L$19), AA97-Uzman_D!$L$19)*2),0)/1 * 0.1), 0) +
    IF(AB97-Uzman_D!$M$19&lt;0, -(AB97-Uzman_D!$M$19), AB97-Uzman_D!$M$19)*1
)</f>
        <v>-0.60000000000000009</v>
      </c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75"/>
      <c r="AO97" s="75"/>
      <c r="AP97" s="73">
        <f>1 - (
    SUM(
        IF(AD97-Uzman_D!$B$20&lt;0, -(AD97-Uzman_D!$B$20), AD97-Uzman_D!$B$20)*0.1 +
        IF(AE97-Uzman_D!$C$20&lt;0, -(AE97-Uzman_D!$C$20), AE97-Uzman_D!$C$20)*0.1 +
        IF(AF97-Uzman_D!$D$20&lt;0, -(AF97-Uzman_D!$D$20), AF97-Uzman_D!$D$20)*0.1 +
        IF(AG97-Uzman_D!$E$20&lt;0, -(AG97-Uzman_D!$E$20), AG97-Uzman_D!$E$20)*0.1 +
        IF(AH97-Uzman_D!$F$20&lt;0, -(AH97-Uzman_D!$F$20), AH97-Uzman_D!$F$20)*0.1 +
        IF(AI97-Uzman_D!$G$20&lt;0, -(AI97-Uzman_D!$G$20), AI97-Uzman_D!$G$20)*0.1 +
        IF(AJ97-Uzman_D!$H$20&lt;0, -(AJ97-Uzman_D!$H$20), AJ97-Uzman_D!$H$20)*0.1 +
        IF(AK97-Uzman_D!$I$20&lt;0, -(AK97-Uzman_D!$I$20), AK97-Uzman_D!$I$20)*0.1 +
        IF(AL97-Uzman_D!$J$20&lt;0, -(AL97-Uzman_D!$J$20), AL97-Uzman_D!$J$20)*0.1
    ) +
    IF(ROUND((IF(AN97-Uzman_D!$L$20&lt;0, -(AN97-Uzman_D!$L$20), AN97-Uzman_D!$L$20)*2),0)/2 = IF(AN97-Uzman_D!$L$20&lt;0, -(AN97-Uzman_D!$L$20), AN97-Uzman_D!$L$20),
    (ROUND((IF(AN97-Uzman_D!$L$20&lt;0, -(AN97-Uzman_D!$L$20), AN97-Uzman_D!$L$20)*2),0)/1 * 0.1), 0) +
    IF(AO97-Uzman_D!$M$20&lt;0, -(AO97-Uzman_D!$M$20), AO97-Uzman_D!$M$20)*1
)</f>
        <v>-0.60000000000000009</v>
      </c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75"/>
      <c r="BB97" s="75"/>
      <c r="BC97" s="73">
        <f>1 - (
    SUM(
        IF(AQ97-Uzman_D!$B$21&lt;0, -(AQ97-Uzman_D!$B$21), AQ97-Uzman_D!$B$21)*0.1 +
        IF(AR97-Uzman_D!$C$21&lt;0, -(AR97-Uzman_D!$C$21), AR97-Uzman_D!$C$21)*0.1 +
        IF(AS97-Uzman_D!$D$21&lt;0, -(AS97-Uzman_D!$D$21), AS97-Uzman_D!$D$21)*0.1 +
        IF(AT97-Uzman_D!$E$21&lt;0, -(AT97-Uzman_D!$E$21), AT97-Uzman_D!$E$21)*0.1 +
        IF(AU97-Uzman_D!$F$21&lt;0, -(AU97-Uzman_D!$F$21), AU97-Uzman_D!$F$21)*0.1 +
        IF(AV97-Uzman_D!$G$21&lt;0, -(AV97-Uzman_D!$G$21), AV97-Uzman_D!$G$21)*0.1 +
        IF(AW97-Uzman_D!$H$21&lt;0, -(AW97-Uzman_D!$H$21), AW97-Uzman_D!$H$21)*0.1 +
        IF(AX97-Uzman_D!$I$21&lt;0, -(AX97-Uzman_D!$I$21), AX97-Uzman_D!$I$21)*0.1 +
        IF(AY97-Uzman_D!$J$21&lt;0, -(AY97-Uzman_D!$J$21), AY97-Uzman_D!$J$21)*0.1
    ) +
    IF(ROUND((IF(BA97-Uzman_D!$L$21&lt;0, -(BA97-Uzman_D!$L$21), BA97-Uzman_D!$L$21)*2),0)/2 = IF(BA97-Uzman_D!$L$21&lt;0, -(BA97-Uzman_D!$L$21), BA97-Uzman_D!$L$21),
    (ROUND((IF(BA97-Uzman_D!$L$21&lt;0, -(BA97-Uzman_D!$L$21), BA97-Uzman_D!$L$21)*2),0)/1 * 0.1), 0) +
    IF(BB97-Uzman_D!$M$21&lt;0, -(BB97-Uzman_D!$M$21), BB97-Uzman_D!$M$21)*1
)</f>
        <v>-0.60000000000000009</v>
      </c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75"/>
      <c r="BO97" s="75"/>
      <c r="BP97" s="73">
        <f>1 - (
    SUM(
        IF(BD97-Uzman_D!$B$22&lt;0, -(BD97-Uzman_D!$B$22), BD97-Uzman_D!$B$22)*0.1 +
        IF(BE97-Uzman_D!$C$22&lt;0, -(BE97-Uzman_D!$C$22), BE97-Uzman_D!$C$22)*0.1 +
        IF(BF97-Uzman_D!$D$22&lt;0, -(BF97-Uzman_D!$D$22), BF97-Uzman_D!$D$22)*0.1 +
        IF(BG97-Uzman_D!$E$22&lt;0, -(BG97-Uzman_D!$E$22), BG97-Uzman_D!$E$22)*0.1 +
        IF(BH97-Uzman_D!$F$22&lt;0, -(BH97-Uzman_D!$F$22), BH97-Uzman_D!$F$22)*0.1 +
        IF(BI97-Uzman_D!$G$22&lt;0, -(BI97-Uzman_D!$G$22), BI97-Uzman_D!$G$22)*0.1 +
        IF(BJ97-Uzman_D!$H$22&lt;0, -(BJ97-Uzman_D!$H$22), BJ97-Uzman_D!$H$22)*0.1 +
        IF(BK97-Uzman_D!$I$22&lt;0, -(BK97-Uzman_D!$I$22), BK97-Uzman_D!$I$22)*0.1 +
        IF(BL97-Uzman_D!$J$22&lt;0, -(BL97-Uzman_D!$J$22), BL97-Uzman_D!$J$22)*0.1
    ) +
    IF(ROUND((IF(BN97-Uzman_D!$L$22&lt;0, -(BN97-Uzman_D!$L$22), BN97-Uzman_D!$L$22)*2),0)/2 = IF(BN97-Uzman_D!$L$22&lt;0, -(BN97-Uzman_D!$L$22), BN97-Uzman_D!$L$22),
    (ROUND((IF(BN97-Uzman_D!$L$22&lt;0, -(BN97-Uzman_D!$L$22), BN97-Uzman_D!$L$22)*2),0)/1 * 0.1), 0) +
    IF(BO97-Uzman_D!$M$22&lt;0, -(BO97-Uzman_D!$M$22), BO97-Uzman_D!$M$22)*1
)</f>
        <v>-0.40000000000000013</v>
      </c>
      <c r="BQ97" s="74">
        <f t="shared" si="1"/>
        <v>-0.54000000000000026</v>
      </c>
    </row>
    <row r="98" spans="1:69" ht="15" customHeight="1" x14ac:dyDescent="0.2">
      <c r="A98" s="57">
        <v>95</v>
      </c>
      <c r="B98" s="37">
        <f>Hakemler!B98</f>
        <v>0</v>
      </c>
      <c r="C98" s="37">
        <f>Hakemler!C98</f>
        <v>0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75"/>
      <c r="O98" s="75"/>
      <c r="P98" s="73">
        <f>1 - (
    SUM(
        IF(D98-Uzman_D!$B$18&lt;0, -(D98-Uzman_D!$B$18), D98-Uzman_D!$B$18)*0.1 +
        IF(E98-Uzman_D!$C$18&lt;0, -(E98-Uzman_D!$C$18), E98-Uzman_D!$C$18)*0.1 +
        IF(F98-Uzman_D!$D$18&lt;0, -(F98-Uzman_D!$D$18), F98-Uzman_D!$D$18)*0.1 +
        IF(G98-Uzman_D!$E$18&lt;0, -(G98-Uzman_D!$E$18), G98-Uzman_D!$E$18)*0.1 +
        IF(H98-Uzman_D!$F$18&lt;0, -(H98-Uzman_D!$F$18), H98-Uzman_D!$F$18)*0.1 +
        IF(I98-Uzman_D!$G$18&lt;0, -(I98-Uzman_D!$G$18), I98-Uzman_D!$G$18)*0.1 +
        IF(J98-Uzman_D!$H$18&lt;0, -(J98-Uzman_D!$H$18), J98-Uzman_D!$H$18)*0.1 +
        IF(K98-Uzman_D!$I$18&lt;0, -(K98-Uzman_D!$I$18), K98-Uzman_D!$I$18)*0.1 +
        IF(L98-Uzman_D!$J$18&lt;0, -(L98-Uzman_D!$J$18), L98-Uzman_D!$J$18)*0.1
    ) +
    IF(ROUND((IF(N98-Uzman_D!$L$18&lt;0, -(N98-Uzman_D!$L$18), N98-Uzman_D!$L$18)*2),0)/2 = IF(N98-Uzman_D!$L$18&lt;0, -(N98-Uzman_D!$L$18), N98-Uzman_D!$L$18),
    (ROUND((IF(N98-Uzman_D!$L$18&lt;0, -(N98-Uzman_D!$L$18), N98-Uzman_D!$L$18)*2),0)/1 * 0.1), 0) +
    IF(O98-Uzman_D!$M$18&lt;0, -(O98-Uzman_D!$M$18), O98-Uzman_D!$M$18)*1
)</f>
        <v>-0.50000000000000022</v>
      </c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75"/>
      <c r="AB98" s="75"/>
      <c r="AC98" s="73">
        <f>1 - (
    SUM(
        IF(Q98-Uzman_D!$B$19&lt;0, -(Q98-Uzman_D!$B$19), Q98-Uzman_D!$B$19)*0.1 +
        IF(R98-Uzman_D!$C$19&lt;0, -(R98-Uzman_D!$C$19), R98-Uzman_D!$C$19)*0.1 +
        IF(S98-Uzman_D!$D$19&lt;0, -(S98-Uzman_D!$D$19), S98-Uzman_D!$D$19)*0.1 +
        IF(T98-Uzman_D!$E$19&lt;0, -(T98-Uzman_D!$E$19), T98-Uzman_D!$E$19)*0.1 +
        IF(U98-Uzman_D!$F$19&lt;0, -(U98-Uzman_D!$F$19), U98-Uzman_D!$F$19)*0.1 +
        IF(V98-Uzman_D!$G$19&lt;0, -(V98-Uzman_D!$G$19), V98-Uzman_D!$G$19)*0.1 +
        IF(W98-Uzman_D!$H$19&lt;0, -(W98-Uzman_D!$H$19), W98-Uzman_D!$H$19)*0.1 +
        IF(X98-Uzman_D!$I$19&lt;0, -(X98-Uzman_D!$I$19), X98-Uzman_D!$I$19)*0.1 +
        IF(Y98-Uzman_D!$J$19&lt;0, -(Y98-Uzman_D!$J$19), Y98-Uzman_D!$J$19)*0.1
    ) +
    IF(ROUND((IF(AA98-Uzman_D!$L$19&lt;0, -(AA98-Uzman_D!$L$19), AA98-Uzman_D!$L$19)*2),0)/2 = IF(AA98-Uzman_D!$L$19&lt;0, -(AA98-Uzman_D!$L$19), AA98-Uzman_D!$L$19),
    (ROUND((IF(AA98-Uzman_D!$L$19&lt;0, -(AA98-Uzman_D!$L$19), AA98-Uzman_D!$L$19)*2),0)/1 * 0.1), 0) +
    IF(AB98-Uzman_D!$M$19&lt;0, -(AB98-Uzman_D!$M$19), AB98-Uzman_D!$M$19)*1
)</f>
        <v>-0.60000000000000009</v>
      </c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75"/>
      <c r="AO98" s="75"/>
      <c r="AP98" s="73">
        <f>1 - (
    SUM(
        IF(AD98-Uzman_D!$B$20&lt;0, -(AD98-Uzman_D!$B$20), AD98-Uzman_D!$B$20)*0.1 +
        IF(AE98-Uzman_D!$C$20&lt;0, -(AE98-Uzman_D!$C$20), AE98-Uzman_D!$C$20)*0.1 +
        IF(AF98-Uzman_D!$D$20&lt;0, -(AF98-Uzman_D!$D$20), AF98-Uzman_D!$D$20)*0.1 +
        IF(AG98-Uzman_D!$E$20&lt;0, -(AG98-Uzman_D!$E$20), AG98-Uzman_D!$E$20)*0.1 +
        IF(AH98-Uzman_D!$F$20&lt;0, -(AH98-Uzman_D!$F$20), AH98-Uzman_D!$F$20)*0.1 +
        IF(AI98-Uzman_D!$G$20&lt;0, -(AI98-Uzman_D!$G$20), AI98-Uzman_D!$G$20)*0.1 +
        IF(AJ98-Uzman_D!$H$20&lt;0, -(AJ98-Uzman_D!$H$20), AJ98-Uzman_D!$H$20)*0.1 +
        IF(AK98-Uzman_D!$I$20&lt;0, -(AK98-Uzman_D!$I$20), AK98-Uzman_D!$I$20)*0.1 +
        IF(AL98-Uzman_D!$J$20&lt;0, -(AL98-Uzman_D!$J$20), AL98-Uzman_D!$J$20)*0.1
    ) +
    IF(ROUND((IF(AN98-Uzman_D!$L$20&lt;0, -(AN98-Uzman_D!$L$20), AN98-Uzman_D!$L$20)*2),0)/2 = IF(AN98-Uzman_D!$L$20&lt;0, -(AN98-Uzman_D!$L$20), AN98-Uzman_D!$L$20),
    (ROUND((IF(AN98-Uzman_D!$L$20&lt;0, -(AN98-Uzman_D!$L$20), AN98-Uzman_D!$L$20)*2),0)/1 * 0.1), 0) +
    IF(AO98-Uzman_D!$M$20&lt;0, -(AO98-Uzman_D!$M$20), AO98-Uzman_D!$M$20)*1
)</f>
        <v>-0.60000000000000009</v>
      </c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75"/>
      <c r="BB98" s="75"/>
      <c r="BC98" s="73">
        <f>1 - (
    SUM(
        IF(AQ98-Uzman_D!$B$21&lt;0, -(AQ98-Uzman_D!$B$21), AQ98-Uzman_D!$B$21)*0.1 +
        IF(AR98-Uzman_D!$C$21&lt;0, -(AR98-Uzman_D!$C$21), AR98-Uzman_D!$C$21)*0.1 +
        IF(AS98-Uzman_D!$D$21&lt;0, -(AS98-Uzman_D!$D$21), AS98-Uzman_D!$D$21)*0.1 +
        IF(AT98-Uzman_D!$E$21&lt;0, -(AT98-Uzman_D!$E$21), AT98-Uzman_D!$E$21)*0.1 +
        IF(AU98-Uzman_D!$F$21&lt;0, -(AU98-Uzman_D!$F$21), AU98-Uzman_D!$F$21)*0.1 +
        IF(AV98-Uzman_D!$G$21&lt;0, -(AV98-Uzman_D!$G$21), AV98-Uzman_D!$G$21)*0.1 +
        IF(AW98-Uzman_D!$H$21&lt;0, -(AW98-Uzman_D!$H$21), AW98-Uzman_D!$H$21)*0.1 +
        IF(AX98-Uzman_D!$I$21&lt;0, -(AX98-Uzman_D!$I$21), AX98-Uzman_D!$I$21)*0.1 +
        IF(AY98-Uzman_D!$J$21&lt;0, -(AY98-Uzman_D!$J$21), AY98-Uzman_D!$J$21)*0.1
    ) +
    IF(ROUND((IF(BA98-Uzman_D!$L$21&lt;0, -(BA98-Uzman_D!$L$21), BA98-Uzman_D!$L$21)*2),0)/2 = IF(BA98-Uzman_D!$L$21&lt;0, -(BA98-Uzman_D!$L$21), BA98-Uzman_D!$L$21),
    (ROUND((IF(BA98-Uzman_D!$L$21&lt;0, -(BA98-Uzman_D!$L$21), BA98-Uzman_D!$L$21)*2),0)/1 * 0.1), 0) +
    IF(BB98-Uzman_D!$M$21&lt;0, -(BB98-Uzman_D!$M$21), BB98-Uzman_D!$M$21)*1
)</f>
        <v>-0.60000000000000009</v>
      </c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75"/>
      <c r="BO98" s="75"/>
      <c r="BP98" s="73">
        <f>1 - (
    SUM(
        IF(BD98-Uzman_D!$B$22&lt;0, -(BD98-Uzman_D!$B$22), BD98-Uzman_D!$B$22)*0.1 +
        IF(BE98-Uzman_D!$C$22&lt;0, -(BE98-Uzman_D!$C$22), BE98-Uzman_D!$C$22)*0.1 +
        IF(BF98-Uzman_D!$D$22&lt;0, -(BF98-Uzman_D!$D$22), BF98-Uzman_D!$D$22)*0.1 +
        IF(BG98-Uzman_D!$E$22&lt;0, -(BG98-Uzman_D!$E$22), BG98-Uzman_D!$E$22)*0.1 +
        IF(BH98-Uzman_D!$F$22&lt;0, -(BH98-Uzman_D!$F$22), BH98-Uzman_D!$F$22)*0.1 +
        IF(BI98-Uzman_D!$G$22&lt;0, -(BI98-Uzman_D!$G$22), BI98-Uzman_D!$G$22)*0.1 +
        IF(BJ98-Uzman_D!$H$22&lt;0, -(BJ98-Uzman_D!$H$22), BJ98-Uzman_D!$H$22)*0.1 +
        IF(BK98-Uzman_D!$I$22&lt;0, -(BK98-Uzman_D!$I$22), BK98-Uzman_D!$I$22)*0.1 +
        IF(BL98-Uzman_D!$J$22&lt;0, -(BL98-Uzman_D!$J$22), BL98-Uzman_D!$J$22)*0.1
    ) +
    IF(ROUND((IF(BN98-Uzman_D!$L$22&lt;0, -(BN98-Uzman_D!$L$22), BN98-Uzman_D!$L$22)*2),0)/2 = IF(BN98-Uzman_D!$L$22&lt;0, -(BN98-Uzman_D!$L$22), BN98-Uzman_D!$L$22),
    (ROUND((IF(BN98-Uzman_D!$L$22&lt;0, -(BN98-Uzman_D!$L$22), BN98-Uzman_D!$L$22)*2),0)/1 * 0.1), 0) +
    IF(BO98-Uzman_D!$M$22&lt;0, -(BO98-Uzman_D!$M$22), BO98-Uzman_D!$M$22)*1
)</f>
        <v>-0.40000000000000013</v>
      </c>
      <c r="BQ98" s="74">
        <f t="shared" si="1"/>
        <v>-0.54000000000000026</v>
      </c>
    </row>
    <row r="99" spans="1:69" ht="15" customHeight="1" x14ac:dyDescent="0.2">
      <c r="A99" s="57">
        <v>96</v>
      </c>
      <c r="B99" s="37">
        <f>Hakemler!B99</f>
        <v>0</v>
      </c>
      <c r="C99" s="37">
        <f>Hakemler!C99</f>
        <v>0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75"/>
      <c r="O99" s="75"/>
      <c r="P99" s="73">
        <f>1 - (
    SUM(
        IF(D99-Uzman_D!$B$18&lt;0, -(D99-Uzman_D!$B$18), D99-Uzman_D!$B$18)*0.1 +
        IF(E99-Uzman_D!$C$18&lt;0, -(E99-Uzman_D!$C$18), E99-Uzman_D!$C$18)*0.1 +
        IF(F99-Uzman_D!$D$18&lt;0, -(F99-Uzman_D!$D$18), F99-Uzman_D!$D$18)*0.1 +
        IF(G99-Uzman_D!$E$18&lt;0, -(G99-Uzman_D!$E$18), G99-Uzman_D!$E$18)*0.1 +
        IF(H99-Uzman_D!$F$18&lt;0, -(H99-Uzman_D!$F$18), H99-Uzman_D!$F$18)*0.1 +
        IF(I99-Uzman_D!$G$18&lt;0, -(I99-Uzman_D!$G$18), I99-Uzman_D!$G$18)*0.1 +
        IF(J99-Uzman_D!$H$18&lt;0, -(J99-Uzman_D!$H$18), J99-Uzman_D!$H$18)*0.1 +
        IF(K99-Uzman_D!$I$18&lt;0, -(K99-Uzman_D!$I$18), K99-Uzman_D!$I$18)*0.1 +
        IF(L99-Uzman_D!$J$18&lt;0, -(L99-Uzman_D!$J$18), L99-Uzman_D!$J$18)*0.1
    ) +
    IF(ROUND((IF(N99-Uzman_D!$L$18&lt;0, -(N99-Uzman_D!$L$18), N99-Uzman_D!$L$18)*2),0)/2 = IF(N99-Uzman_D!$L$18&lt;0, -(N99-Uzman_D!$L$18), N99-Uzman_D!$L$18),
    (ROUND((IF(N99-Uzman_D!$L$18&lt;0, -(N99-Uzman_D!$L$18), N99-Uzman_D!$L$18)*2),0)/1 * 0.1), 0) +
    IF(O99-Uzman_D!$M$18&lt;0, -(O99-Uzman_D!$M$18), O99-Uzman_D!$M$18)*1
)</f>
        <v>-0.50000000000000022</v>
      </c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75"/>
      <c r="AB99" s="75"/>
      <c r="AC99" s="73">
        <f>1 - (
    SUM(
        IF(Q99-Uzman_D!$B$19&lt;0, -(Q99-Uzman_D!$B$19), Q99-Uzman_D!$B$19)*0.1 +
        IF(R99-Uzman_D!$C$19&lt;0, -(R99-Uzman_D!$C$19), R99-Uzman_D!$C$19)*0.1 +
        IF(S99-Uzman_D!$D$19&lt;0, -(S99-Uzman_D!$D$19), S99-Uzman_D!$D$19)*0.1 +
        IF(T99-Uzman_D!$E$19&lt;0, -(T99-Uzman_D!$E$19), T99-Uzman_D!$E$19)*0.1 +
        IF(U99-Uzman_D!$F$19&lt;0, -(U99-Uzman_D!$F$19), U99-Uzman_D!$F$19)*0.1 +
        IF(V99-Uzman_D!$G$19&lt;0, -(V99-Uzman_D!$G$19), V99-Uzman_D!$G$19)*0.1 +
        IF(W99-Uzman_D!$H$19&lt;0, -(W99-Uzman_D!$H$19), W99-Uzman_D!$H$19)*0.1 +
        IF(X99-Uzman_D!$I$19&lt;0, -(X99-Uzman_D!$I$19), X99-Uzman_D!$I$19)*0.1 +
        IF(Y99-Uzman_D!$J$19&lt;0, -(Y99-Uzman_D!$J$19), Y99-Uzman_D!$J$19)*0.1
    ) +
    IF(ROUND((IF(AA99-Uzman_D!$L$19&lt;0, -(AA99-Uzman_D!$L$19), AA99-Uzman_D!$L$19)*2),0)/2 = IF(AA99-Uzman_D!$L$19&lt;0, -(AA99-Uzman_D!$L$19), AA99-Uzman_D!$L$19),
    (ROUND((IF(AA99-Uzman_D!$L$19&lt;0, -(AA99-Uzman_D!$L$19), AA99-Uzman_D!$L$19)*2),0)/1 * 0.1), 0) +
    IF(AB99-Uzman_D!$M$19&lt;0, -(AB99-Uzman_D!$M$19), AB99-Uzman_D!$M$19)*1
)</f>
        <v>-0.60000000000000009</v>
      </c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75"/>
      <c r="AO99" s="75"/>
      <c r="AP99" s="73">
        <f>1 - (
    SUM(
        IF(AD99-Uzman_D!$B$20&lt;0, -(AD99-Uzman_D!$B$20), AD99-Uzman_D!$B$20)*0.1 +
        IF(AE99-Uzman_D!$C$20&lt;0, -(AE99-Uzman_D!$C$20), AE99-Uzman_D!$C$20)*0.1 +
        IF(AF99-Uzman_D!$D$20&lt;0, -(AF99-Uzman_D!$D$20), AF99-Uzman_D!$D$20)*0.1 +
        IF(AG99-Uzman_D!$E$20&lt;0, -(AG99-Uzman_D!$E$20), AG99-Uzman_D!$E$20)*0.1 +
        IF(AH99-Uzman_D!$F$20&lt;0, -(AH99-Uzman_D!$F$20), AH99-Uzman_D!$F$20)*0.1 +
        IF(AI99-Uzman_D!$G$20&lt;0, -(AI99-Uzman_D!$G$20), AI99-Uzman_D!$G$20)*0.1 +
        IF(AJ99-Uzman_D!$H$20&lt;0, -(AJ99-Uzman_D!$H$20), AJ99-Uzman_D!$H$20)*0.1 +
        IF(AK99-Uzman_D!$I$20&lt;0, -(AK99-Uzman_D!$I$20), AK99-Uzman_D!$I$20)*0.1 +
        IF(AL99-Uzman_D!$J$20&lt;0, -(AL99-Uzman_D!$J$20), AL99-Uzman_D!$J$20)*0.1
    ) +
    IF(ROUND((IF(AN99-Uzman_D!$L$20&lt;0, -(AN99-Uzman_D!$L$20), AN99-Uzman_D!$L$20)*2),0)/2 = IF(AN99-Uzman_D!$L$20&lt;0, -(AN99-Uzman_D!$L$20), AN99-Uzman_D!$L$20),
    (ROUND((IF(AN99-Uzman_D!$L$20&lt;0, -(AN99-Uzman_D!$L$20), AN99-Uzman_D!$L$20)*2),0)/1 * 0.1), 0) +
    IF(AO99-Uzman_D!$M$20&lt;0, -(AO99-Uzman_D!$M$20), AO99-Uzman_D!$M$20)*1
)</f>
        <v>-0.60000000000000009</v>
      </c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75"/>
      <c r="BB99" s="75"/>
      <c r="BC99" s="73">
        <f>1 - (
    SUM(
        IF(AQ99-Uzman_D!$B$21&lt;0, -(AQ99-Uzman_D!$B$21), AQ99-Uzman_D!$B$21)*0.1 +
        IF(AR99-Uzman_D!$C$21&lt;0, -(AR99-Uzman_D!$C$21), AR99-Uzman_D!$C$21)*0.1 +
        IF(AS99-Uzman_D!$D$21&lt;0, -(AS99-Uzman_D!$D$21), AS99-Uzman_D!$D$21)*0.1 +
        IF(AT99-Uzman_D!$E$21&lt;0, -(AT99-Uzman_D!$E$21), AT99-Uzman_D!$E$21)*0.1 +
        IF(AU99-Uzman_D!$F$21&lt;0, -(AU99-Uzman_D!$F$21), AU99-Uzman_D!$F$21)*0.1 +
        IF(AV99-Uzman_D!$G$21&lt;0, -(AV99-Uzman_D!$G$21), AV99-Uzman_D!$G$21)*0.1 +
        IF(AW99-Uzman_D!$H$21&lt;0, -(AW99-Uzman_D!$H$21), AW99-Uzman_D!$H$21)*0.1 +
        IF(AX99-Uzman_D!$I$21&lt;0, -(AX99-Uzman_D!$I$21), AX99-Uzman_D!$I$21)*0.1 +
        IF(AY99-Uzman_D!$J$21&lt;0, -(AY99-Uzman_D!$J$21), AY99-Uzman_D!$J$21)*0.1
    ) +
    IF(ROUND((IF(BA99-Uzman_D!$L$21&lt;0, -(BA99-Uzman_D!$L$21), BA99-Uzman_D!$L$21)*2),0)/2 = IF(BA99-Uzman_D!$L$21&lt;0, -(BA99-Uzman_D!$L$21), BA99-Uzman_D!$L$21),
    (ROUND((IF(BA99-Uzman_D!$L$21&lt;0, -(BA99-Uzman_D!$L$21), BA99-Uzman_D!$L$21)*2),0)/1 * 0.1), 0) +
    IF(BB99-Uzman_D!$M$21&lt;0, -(BB99-Uzman_D!$M$21), BB99-Uzman_D!$M$21)*1
)</f>
        <v>-0.60000000000000009</v>
      </c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75"/>
      <c r="BO99" s="75"/>
      <c r="BP99" s="73">
        <f>1 - (
    SUM(
        IF(BD99-Uzman_D!$B$22&lt;0, -(BD99-Uzman_D!$B$22), BD99-Uzman_D!$B$22)*0.1 +
        IF(BE99-Uzman_D!$C$22&lt;0, -(BE99-Uzman_D!$C$22), BE99-Uzman_D!$C$22)*0.1 +
        IF(BF99-Uzman_D!$D$22&lt;0, -(BF99-Uzman_D!$D$22), BF99-Uzman_D!$D$22)*0.1 +
        IF(BG99-Uzman_D!$E$22&lt;0, -(BG99-Uzman_D!$E$22), BG99-Uzman_D!$E$22)*0.1 +
        IF(BH99-Uzman_D!$F$22&lt;0, -(BH99-Uzman_D!$F$22), BH99-Uzman_D!$F$22)*0.1 +
        IF(BI99-Uzman_D!$G$22&lt;0, -(BI99-Uzman_D!$G$22), BI99-Uzman_D!$G$22)*0.1 +
        IF(BJ99-Uzman_D!$H$22&lt;0, -(BJ99-Uzman_D!$H$22), BJ99-Uzman_D!$H$22)*0.1 +
        IF(BK99-Uzman_D!$I$22&lt;0, -(BK99-Uzman_D!$I$22), BK99-Uzman_D!$I$22)*0.1 +
        IF(BL99-Uzman_D!$J$22&lt;0, -(BL99-Uzman_D!$J$22), BL99-Uzman_D!$J$22)*0.1
    ) +
    IF(ROUND((IF(BN99-Uzman_D!$L$22&lt;0, -(BN99-Uzman_D!$L$22), BN99-Uzman_D!$L$22)*2),0)/2 = IF(BN99-Uzman_D!$L$22&lt;0, -(BN99-Uzman_D!$L$22), BN99-Uzman_D!$L$22),
    (ROUND((IF(BN99-Uzman_D!$L$22&lt;0, -(BN99-Uzman_D!$L$22), BN99-Uzman_D!$L$22)*2),0)/1 * 0.1), 0) +
    IF(BO99-Uzman_D!$M$22&lt;0, -(BO99-Uzman_D!$M$22), BO99-Uzman_D!$M$22)*1
)</f>
        <v>-0.40000000000000013</v>
      </c>
      <c r="BQ99" s="74">
        <f t="shared" si="1"/>
        <v>-0.54000000000000026</v>
      </c>
    </row>
    <row r="100" spans="1:69" ht="15" customHeight="1" x14ac:dyDescent="0.2">
      <c r="A100" s="57">
        <v>97</v>
      </c>
      <c r="B100" s="37">
        <f>Hakemler!B100</f>
        <v>0</v>
      </c>
      <c r="C100" s="37">
        <f>Hakemler!C100</f>
        <v>0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75"/>
      <c r="O100" s="75"/>
      <c r="P100" s="73">
        <f>1 - (
    SUM(
        IF(D100-Uzman_D!$B$18&lt;0, -(D100-Uzman_D!$B$18), D100-Uzman_D!$B$18)*0.1 +
        IF(E100-Uzman_D!$C$18&lt;0, -(E100-Uzman_D!$C$18), E100-Uzman_D!$C$18)*0.1 +
        IF(F100-Uzman_D!$D$18&lt;0, -(F100-Uzman_D!$D$18), F100-Uzman_D!$D$18)*0.1 +
        IF(G100-Uzman_D!$E$18&lt;0, -(G100-Uzman_D!$E$18), G100-Uzman_D!$E$18)*0.1 +
        IF(H100-Uzman_D!$F$18&lt;0, -(H100-Uzman_D!$F$18), H100-Uzman_D!$F$18)*0.1 +
        IF(I100-Uzman_D!$G$18&lt;0, -(I100-Uzman_D!$G$18), I100-Uzman_D!$G$18)*0.1 +
        IF(J100-Uzman_D!$H$18&lt;0, -(J100-Uzman_D!$H$18), J100-Uzman_D!$H$18)*0.1 +
        IF(K100-Uzman_D!$I$18&lt;0, -(K100-Uzman_D!$I$18), K100-Uzman_D!$I$18)*0.1 +
        IF(L100-Uzman_D!$J$18&lt;0, -(L100-Uzman_D!$J$18), L100-Uzman_D!$J$18)*0.1
    ) +
    IF(ROUND((IF(N100-Uzman_D!$L$18&lt;0, -(N100-Uzman_D!$L$18), N100-Uzman_D!$L$18)*2),0)/2 = IF(N100-Uzman_D!$L$18&lt;0, -(N100-Uzman_D!$L$18), N100-Uzman_D!$L$18),
    (ROUND((IF(N100-Uzman_D!$L$18&lt;0, -(N100-Uzman_D!$L$18), N100-Uzman_D!$L$18)*2),0)/1 * 0.1), 0) +
    IF(O100-Uzman_D!$M$18&lt;0, -(O100-Uzman_D!$M$18), O100-Uzman_D!$M$18)*1
)</f>
        <v>-0.50000000000000022</v>
      </c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75"/>
      <c r="AB100" s="75"/>
      <c r="AC100" s="73">
        <f>1 - (
    SUM(
        IF(Q100-Uzman_D!$B$19&lt;0, -(Q100-Uzman_D!$B$19), Q100-Uzman_D!$B$19)*0.1 +
        IF(R100-Uzman_D!$C$19&lt;0, -(R100-Uzman_D!$C$19), R100-Uzman_D!$C$19)*0.1 +
        IF(S100-Uzman_D!$D$19&lt;0, -(S100-Uzman_D!$D$19), S100-Uzman_D!$D$19)*0.1 +
        IF(T100-Uzman_D!$E$19&lt;0, -(T100-Uzman_D!$E$19), T100-Uzman_D!$E$19)*0.1 +
        IF(U100-Uzman_D!$F$19&lt;0, -(U100-Uzman_D!$F$19), U100-Uzman_D!$F$19)*0.1 +
        IF(V100-Uzman_D!$G$19&lt;0, -(V100-Uzman_D!$G$19), V100-Uzman_D!$G$19)*0.1 +
        IF(W100-Uzman_D!$H$19&lt;0, -(W100-Uzman_D!$H$19), W100-Uzman_D!$H$19)*0.1 +
        IF(X100-Uzman_D!$I$19&lt;0, -(X100-Uzman_D!$I$19), X100-Uzman_D!$I$19)*0.1 +
        IF(Y100-Uzman_D!$J$19&lt;0, -(Y100-Uzman_D!$J$19), Y100-Uzman_D!$J$19)*0.1
    ) +
    IF(ROUND((IF(AA100-Uzman_D!$L$19&lt;0, -(AA100-Uzman_D!$L$19), AA100-Uzman_D!$L$19)*2),0)/2 = IF(AA100-Uzman_D!$L$19&lt;0, -(AA100-Uzman_D!$L$19), AA100-Uzman_D!$L$19),
    (ROUND((IF(AA100-Uzman_D!$L$19&lt;0, -(AA100-Uzman_D!$L$19), AA100-Uzman_D!$L$19)*2),0)/1 * 0.1), 0) +
    IF(AB100-Uzman_D!$M$19&lt;0, -(AB100-Uzman_D!$M$19), AB100-Uzman_D!$M$19)*1
)</f>
        <v>-0.60000000000000009</v>
      </c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75"/>
      <c r="AO100" s="75"/>
      <c r="AP100" s="73">
        <f>1 - (
    SUM(
        IF(AD100-Uzman_D!$B$20&lt;0, -(AD100-Uzman_D!$B$20), AD100-Uzman_D!$B$20)*0.1 +
        IF(AE100-Uzman_D!$C$20&lt;0, -(AE100-Uzman_D!$C$20), AE100-Uzman_D!$C$20)*0.1 +
        IF(AF100-Uzman_D!$D$20&lt;0, -(AF100-Uzman_D!$D$20), AF100-Uzman_D!$D$20)*0.1 +
        IF(AG100-Uzman_D!$E$20&lt;0, -(AG100-Uzman_D!$E$20), AG100-Uzman_D!$E$20)*0.1 +
        IF(AH100-Uzman_D!$F$20&lt;0, -(AH100-Uzman_D!$F$20), AH100-Uzman_D!$F$20)*0.1 +
        IF(AI100-Uzman_D!$G$20&lt;0, -(AI100-Uzman_D!$G$20), AI100-Uzman_D!$G$20)*0.1 +
        IF(AJ100-Uzman_D!$H$20&lt;0, -(AJ100-Uzman_D!$H$20), AJ100-Uzman_D!$H$20)*0.1 +
        IF(AK100-Uzman_D!$I$20&lt;0, -(AK100-Uzman_D!$I$20), AK100-Uzman_D!$I$20)*0.1 +
        IF(AL100-Uzman_D!$J$20&lt;0, -(AL100-Uzman_D!$J$20), AL100-Uzman_D!$J$20)*0.1
    ) +
    IF(ROUND((IF(AN100-Uzman_D!$L$20&lt;0, -(AN100-Uzman_D!$L$20), AN100-Uzman_D!$L$20)*2),0)/2 = IF(AN100-Uzman_D!$L$20&lt;0, -(AN100-Uzman_D!$L$20), AN100-Uzman_D!$L$20),
    (ROUND((IF(AN100-Uzman_D!$L$20&lt;0, -(AN100-Uzman_D!$L$20), AN100-Uzman_D!$L$20)*2),0)/1 * 0.1), 0) +
    IF(AO100-Uzman_D!$M$20&lt;0, -(AO100-Uzman_D!$M$20), AO100-Uzman_D!$M$20)*1
)</f>
        <v>-0.60000000000000009</v>
      </c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75"/>
      <c r="BB100" s="75"/>
      <c r="BC100" s="73">
        <f>1 - (
    SUM(
        IF(AQ100-Uzman_D!$B$21&lt;0, -(AQ100-Uzman_D!$B$21), AQ100-Uzman_D!$B$21)*0.1 +
        IF(AR100-Uzman_D!$C$21&lt;0, -(AR100-Uzman_D!$C$21), AR100-Uzman_D!$C$21)*0.1 +
        IF(AS100-Uzman_D!$D$21&lt;0, -(AS100-Uzman_D!$D$21), AS100-Uzman_D!$D$21)*0.1 +
        IF(AT100-Uzman_D!$E$21&lt;0, -(AT100-Uzman_D!$E$21), AT100-Uzman_D!$E$21)*0.1 +
        IF(AU100-Uzman_D!$F$21&lt;0, -(AU100-Uzman_D!$F$21), AU100-Uzman_D!$F$21)*0.1 +
        IF(AV100-Uzman_D!$G$21&lt;0, -(AV100-Uzman_D!$G$21), AV100-Uzman_D!$G$21)*0.1 +
        IF(AW100-Uzman_D!$H$21&lt;0, -(AW100-Uzman_D!$H$21), AW100-Uzman_D!$H$21)*0.1 +
        IF(AX100-Uzman_D!$I$21&lt;0, -(AX100-Uzman_D!$I$21), AX100-Uzman_D!$I$21)*0.1 +
        IF(AY100-Uzman_D!$J$21&lt;0, -(AY100-Uzman_D!$J$21), AY100-Uzman_D!$J$21)*0.1
    ) +
    IF(ROUND((IF(BA100-Uzman_D!$L$21&lt;0, -(BA100-Uzman_D!$L$21), BA100-Uzman_D!$L$21)*2),0)/2 = IF(BA100-Uzman_D!$L$21&lt;0, -(BA100-Uzman_D!$L$21), BA100-Uzman_D!$L$21),
    (ROUND((IF(BA100-Uzman_D!$L$21&lt;0, -(BA100-Uzman_D!$L$21), BA100-Uzman_D!$L$21)*2),0)/1 * 0.1), 0) +
    IF(BB100-Uzman_D!$M$21&lt;0, -(BB100-Uzman_D!$M$21), BB100-Uzman_D!$M$21)*1
)</f>
        <v>-0.60000000000000009</v>
      </c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75"/>
      <c r="BO100" s="75"/>
      <c r="BP100" s="73">
        <f>1 - (
    SUM(
        IF(BD100-Uzman_D!$B$22&lt;0, -(BD100-Uzman_D!$B$22), BD100-Uzman_D!$B$22)*0.1 +
        IF(BE100-Uzman_D!$C$22&lt;0, -(BE100-Uzman_D!$C$22), BE100-Uzman_D!$C$22)*0.1 +
        IF(BF100-Uzman_D!$D$22&lt;0, -(BF100-Uzman_D!$D$22), BF100-Uzman_D!$D$22)*0.1 +
        IF(BG100-Uzman_D!$E$22&lt;0, -(BG100-Uzman_D!$E$22), BG100-Uzman_D!$E$22)*0.1 +
        IF(BH100-Uzman_D!$F$22&lt;0, -(BH100-Uzman_D!$F$22), BH100-Uzman_D!$F$22)*0.1 +
        IF(BI100-Uzman_D!$G$22&lt;0, -(BI100-Uzman_D!$G$22), BI100-Uzman_D!$G$22)*0.1 +
        IF(BJ100-Uzman_D!$H$22&lt;0, -(BJ100-Uzman_D!$H$22), BJ100-Uzman_D!$H$22)*0.1 +
        IF(BK100-Uzman_D!$I$22&lt;0, -(BK100-Uzman_D!$I$22), BK100-Uzman_D!$I$22)*0.1 +
        IF(BL100-Uzman_D!$J$22&lt;0, -(BL100-Uzman_D!$J$22), BL100-Uzman_D!$J$22)*0.1
    ) +
    IF(ROUND((IF(BN100-Uzman_D!$L$22&lt;0, -(BN100-Uzman_D!$L$22), BN100-Uzman_D!$L$22)*2),0)/2 = IF(BN100-Uzman_D!$L$22&lt;0, -(BN100-Uzman_D!$L$22), BN100-Uzman_D!$L$22),
    (ROUND((IF(BN100-Uzman_D!$L$22&lt;0, -(BN100-Uzman_D!$L$22), BN100-Uzman_D!$L$22)*2),0)/1 * 0.1), 0) +
    IF(BO100-Uzman_D!$M$22&lt;0, -(BO100-Uzman_D!$M$22), BO100-Uzman_D!$M$22)*1
)</f>
        <v>-0.40000000000000013</v>
      </c>
      <c r="BQ100" s="74">
        <f t="shared" si="1"/>
        <v>-0.54000000000000026</v>
      </c>
    </row>
    <row r="101" spans="1:69" ht="15" customHeight="1" x14ac:dyDescent="0.2">
      <c r="A101" s="57">
        <v>98</v>
      </c>
      <c r="B101" s="37">
        <f>Hakemler!B101</f>
        <v>0</v>
      </c>
      <c r="C101" s="37">
        <f>Hakemler!C101</f>
        <v>0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75"/>
      <c r="O101" s="75"/>
      <c r="P101" s="73">
        <f>1 - (
    SUM(
        IF(D101-Uzman_D!$B$18&lt;0, -(D101-Uzman_D!$B$18), D101-Uzman_D!$B$18)*0.1 +
        IF(E101-Uzman_D!$C$18&lt;0, -(E101-Uzman_D!$C$18), E101-Uzman_D!$C$18)*0.1 +
        IF(F101-Uzman_D!$D$18&lt;0, -(F101-Uzman_D!$D$18), F101-Uzman_D!$D$18)*0.1 +
        IF(G101-Uzman_D!$E$18&lt;0, -(G101-Uzman_D!$E$18), G101-Uzman_D!$E$18)*0.1 +
        IF(H101-Uzman_D!$F$18&lt;0, -(H101-Uzman_D!$F$18), H101-Uzman_D!$F$18)*0.1 +
        IF(I101-Uzman_D!$G$18&lt;0, -(I101-Uzman_D!$G$18), I101-Uzman_D!$G$18)*0.1 +
        IF(J101-Uzman_D!$H$18&lt;0, -(J101-Uzman_D!$H$18), J101-Uzman_D!$H$18)*0.1 +
        IF(K101-Uzman_D!$I$18&lt;0, -(K101-Uzman_D!$I$18), K101-Uzman_D!$I$18)*0.1 +
        IF(L101-Uzman_D!$J$18&lt;0, -(L101-Uzman_D!$J$18), L101-Uzman_D!$J$18)*0.1
    ) +
    IF(ROUND((IF(N101-Uzman_D!$L$18&lt;0, -(N101-Uzman_D!$L$18), N101-Uzman_D!$L$18)*2),0)/2 = IF(N101-Uzman_D!$L$18&lt;0, -(N101-Uzman_D!$L$18), N101-Uzman_D!$L$18),
    (ROUND((IF(N101-Uzman_D!$L$18&lt;0, -(N101-Uzman_D!$L$18), N101-Uzman_D!$L$18)*2),0)/1 * 0.1), 0) +
    IF(O101-Uzman_D!$M$18&lt;0, -(O101-Uzman_D!$M$18), O101-Uzman_D!$M$18)*1
)</f>
        <v>-0.50000000000000022</v>
      </c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75"/>
      <c r="AB101" s="75"/>
      <c r="AC101" s="73">
        <f>1 - (
    SUM(
        IF(Q101-Uzman_D!$B$19&lt;0, -(Q101-Uzman_D!$B$19), Q101-Uzman_D!$B$19)*0.1 +
        IF(R101-Uzman_D!$C$19&lt;0, -(R101-Uzman_D!$C$19), R101-Uzman_D!$C$19)*0.1 +
        IF(S101-Uzman_D!$D$19&lt;0, -(S101-Uzman_D!$D$19), S101-Uzman_D!$D$19)*0.1 +
        IF(T101-Uzman_D!$E$19&lt;0, -(T101-Uzman_D!$E$19), T101-Uzman_D!$E$19)*0.1 +
        IF(U101-Uzman_D!$F$19&lt;0, -(U101-Uzman_D!$F$19), U101-Uzman_D!$F$19)*0.1 +
        IF(V101-Uzman_D!$G$19&lt;0, -(V101-Uzman_D!$G$19), V101-Uzman_D!$G$19)*0.1 +
        IF(W101-Uzman_D!$H$19&lt;0, -(W101-Uzman_D!$H$19), W101-Uzman_D!$H$19)*0.1 +
        IF(X101-Uzman_D!$I$19&lt;0, -(X101-Uzman_D!$I$19), X101-Uzman_D!$I$19)*0.1 +
        IF(Y101-Uzman_D!$J$19&lt;0, -(Y101-Uzman_D!$J$19), Y101-Uzman_D!$J$19)*0.1
    ) +
    IF(ROUND((IF(AA101-Uzman_D!$L$19&lt;0, -(AA101-Uzman_D!$L$19), AA101-Uzman_D!$L$19)*2),0)/2 = IF(AA101-Uzman_D!$L$19&lt;0, -(AA101-Uzman_D!$L$19), AA101-Uzman_D!$L$19),
    (ROUND((IF(AA101-Uzman_D!$L$19&lt;0, -(AA101-Uzman_D!$L$19), AA101-Uzman_D!$L$19)*2),0)/1 * 0.1), 0) +
    IF(AB101-Uzman_D!$M$19&lt;0, -(AB101-Uzman_D!$M$19), AB101-Uzman_D!$M$19)*1
)</f>
        <v>-0.60000000000000009</v>
      </c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75"/>
      <c r="AO101" s="75"/>
      <c r="AP101" s="73">
        <f>1 - (
    SUM(
        IF(AD101-Uzman_D!$B$20&lt;0, -(AD101-Uzman_D!$B$20), AD101-Uzman_D!$B$20)*0.1 +
        IF(AE101-Uzman_D!$C$20&lt;0, -(AE101-Uzman_D!$C$20), AE101-Uzman_D!$C$20)*0.1 +
        IF(AF101-Uzman_D!$D$20&lt;0, -(AF101-Uzman_D!$D$20), AF101-Uzman_D!$D$20)*0.1 +
        IF(AG101-Uzman_D!$E$20&lt;0, -(AG101-Uzman_D!$E$20), AG101-Uzman_D!$E$20)*0.1 +
        IF(AH101-Uzman_D!$F$20&lt;0, -(AH101-Uzman_D!$F$20), AH101-Uzman_D!$F$20)*0.1 +
        IF(AI101-Uzman_D!$G$20&lt;0, -(AI101-Uzman_D!$G$20), AI101-Uzman_D!$G$20)*0.1 +
        IF(AJ101-Uzman_D!$H$20&lt;0, -(AJ101-Uzman_D!$H$20), AJ101-Uzman_D!$H$20)*0.1 +
        IF(AK101-Uzman_D!$I$20&lt;0, -(AK101-Uzman_D!$I$20), AK101-Uzman_D!$I$20)*0.1 +
        IF(AL101-Uzman_D!$J$20&lt;0, -(AL101-Uzman_D!$J$20), AL101-Uzman_D!$J$20)*0.1
    ) +
    IF(ROUND((IF(AN101-Uzman_D!$L$20&lt;0, -(AN101-Uzman_D!$L$20), AN101-Uzman_D!$L$20)*2),0)/2 = IF(AN101-Uzman_D!$L$20&lt;0, -(AN101-Uzman_D!$L$20), AN101-Uzman_D!$L$20),
    (ROUND((IF(AN101-Uzman_D!$L$20&lt;0, -(AN101-Uzman_D!$L$20), AN101-Uzman_D!$L$20)*2),0)/1 * 0.1), 0) +
    IF(AO101-Uzman_D!$M$20&lt;0, -(AO101-Uzman_D!$M$20), AO101-Uzman_D!$M$20)*1
)</f>
        <v>-0.60000000000000009</v>
      </c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75"/>
      <c r="BB101" s="75"/>
      <c r="BC101" s="73">
        <f>1 - (
    SUM(
        IF(AQ101-Uzman_D!$B$21&lt;0, -(AQ101-Uzman_D!$B$21), AQ101-Uzman_D!$B$21)*0.1 +
        IF(AR101-Uzman_D!$C$21&lt;0, -(AR101-Uzman_D!$C$21), AR101-Uzman_D!$C$21)*0.1 +
        IF(AS101-Uzman_D!$D$21&lt;0, -(AS101-Uzman_D!$D$21), AS101-Uzman_D!$D$21)*0.1 +
        IF(AT101-Uzman_D!$E$21&lt;0, -(AT101-Uzman_D!$E$21), AT101-Uzman_D!$E$21)*0.1 +
        IF(AU101-Uzman_D!$F$21&lt;0, -(AU101-Uzman_D!$F$21), AU101-Uzman_D!$F$21)*0.1 +
        IF(AV101-Uzman_D!$G$21&lt;0, -(AV101-Uzman_D!$G$21), AV101-Uzman_D!$G$21)*0.1 +
        IF(AW101-Uzman_D!$H$21&lt;0, -(AW101-Uzman_D!$H$21), AW101-Uzman_D!$H$21)*0.1 +
        IF(AX101-Uzman_D!$I$21&lt;0, -(AX101-Uzman_D!$I$21), AX101-Uzman_D!$I$21)*0.1 +
        IF(AY101-Uzman_D!$J$21&lt;0, -(AY101-Uzman_D!$J$21), AY101-Uzman_D!$J$21)*0.1
    ) +
    IF(ROUND((IF(BA101-Uzman_D!$L$21&lt;0, -(BA101-Uzman_D!$L$21), BA101-Uzman_D!$L$21)*2),0)/2 = IF(BA101-Uzman_D!$L$21&lt;0, -(BA101-Uzman_D!$L$21), BA101-Uzman_D!$L$21),
    (ROUND((IF(BA101-Uzman_D!$L$21&lt;0, -(BA101-Uzman_D!$L$21), BA101-Uzman_D!$L$21)*2),0)/1 * 0.1), 0) +
    IF(BB101-Uzman_D!$M$21&lt;0, -(BB101-Uzman_D!$M$21), BB101-Uzman_D!$M$21)*1
)</f>
        <v>-0.60000000000000009</v>
      </c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75"/>
      <c r="BO101" s="75"/>
      <c r="BP101" s="73">
        <f>1 - (
    SUM(
        IF(BD101-Uzman_D!$B$22&lt;0, -(BD101-Uzman_D!$B$22), BD101-Uzman_D!$B$22)*0.1 +
        IF(BE101-Uzman_D!$C$22&lt;0, -(BE101-Uzman_D!$C$22), BE101-Uzman_D!$C$22)*0.1 +
        IF(BF101-Uzman_D!$D$22&lt;0, -(BF101-Uzman_D!$D$22), BF101-Uzman_D!$D$22)*0.1 +
        IF(BG101-Uzman_D!$E$22&lt;0, -(BG101-Uzman_D!$E$22), BG101-Uzman_D!$E$22)*0.1 +
        IF(BH101-Uzman_D!$F$22&lt;0, -(BH101-Uzman_D!$F$22), BH101-Uzman_D!$F$22)*0.1 +
        IF(BI101-Uzman_D!$G$22&lt;0, -(BI101-Uzman_D!$G$22), BI101-Uzman_D!$G$22)*0.1 +
        IF(BJ101-Uzman_D!$H$22&lt;0, -(BJ101-Uzman_D!$H$22), BJ101-Uzman_D!$H$22)*0.1 +
        IF(BK101-Uzman_D!$I$22&lt;0, -(BK101-Uzman_D!$I$22), BK101-Uzman_D!$I$22)*0.1 +
        IF(BL101-Uzman_D!$J$22&lt;0, -(BL101-Uzman_D!$J$22), BL101-Uzman_D!$J$22)*0.1
    ) +
    IF(ROUND((IF(BN101-Uzman_D!$L$22&lt;0, -(BN101-Uzman_D!$L$22), BN101-Uzman_D!$L$22)*2),0)/2 = IF(BN101-Uzman_D!$L$22&lt;0, -(BN101-Uzman_D!$L$22), BN101-Uzman_D!$L$22),
    (ROUND((IF(BN101-Uzman_D!$L$22&lt;0, -(BN101-Uzman_D!$L$22), BN101-Uzman_D!$L$22)*2),0)/1 * 0.1), 0) +
    IF(BO101-Uzman_D!$M$22&lt;0, -(BO101-Uzman_D!$M$22), BO101-Uzman_D!$M$22)*1
)</f>
        <v>-0.40000000000000013</v>
      </c>
      <c r="BQ101" s="74">
        <f t="shared" si="1"/>
        <v>-0.54000000000000026</v>
      </c>
    </row>
    <row r="102" spans="1:69" ht="15" customHeight="1" x14ac:dyDescent="0.2">
      <c r="A102" s="57">
        <v>99</v>
      </c>
      <c r="B102" s="37">
        <f>Hakemler!B102</f>
        <v>0</v>
      </c>
      <c r="C102" s="37">
        <f>Hakemler!C102</f>
        <v>0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75"/>
      <c r="O102" s="75"/>
      <c r="P102" s="73">
        <f>1 - (
    SUM(
        IF(D102-Uzman_D!$B$18&lt;0, -(D102-Uzman_D!$B$18), D102-Uzman_D!$B$18)*0.1 +
        IF(E102-Uzman_D!$C$18&lt;0, -(E102-Uzman_D!$C$18), E102-Uzman_D!$C$18)*0.1 +
        IF(F102-Uzman_D!$D$18&lt;0, -(F102-Uzman_D!$D$18), F102-Uzman_D!$D$18)*0.1 +
        IF(G102-Uzman_D!$E$18&lt;0, -(G102-Uzman_D!$E$18), G102-Uzman_D!$E$18)*0.1 +
        IF(H102-Uzman_D!$F$18&lt;0, -(H102-Uzman_D!$F$18), H102-Uzman_D!$F$18)*0.1 +
        IF(I102-Uzman_D!$G$18&lt;0, -(I102-Uzman_D!$G$18), I102-Uzman_D!$G$18)*0.1 +
        IF(J102-Uzman_D!$H$18&lt;0, -(J102-Uzman_D!$H$18), J102-Uzman_D!$H$18)*0.1 +
        IF(K102-Uzman_D!$I$18&lt;0, -(K102-Uzman_D!$I$18), K102-Uzman_D!$I$18)*0.1 +
        IF(L102-Uzman_D!$J$18&lt;0, -(L102-Uzman_D!$J$18), L102-Uzman_D!$J$18)*0.1
    ) +
    IF(ROUND((IF(N102-Uzman_D!$L$18&lt;0, -(N102-Uzman_D!$L$18), N102-Uzman_D!$L$18)*2),0)/2 = IF(N102-Uzman_D!$L$18&lt;0, -(N102-Uzman_D!$L$18), N102-Uzman_D!$L$18),
    (ROUND((IF(N102-Uzman_D!$L$18&lt;0, -(N102-Uzman_D!$L$18), N102-Uzman_D!$L$18)*2),0)/1 * 0.1), 0) +
    IF(O102-Uzman_D!$M$18&lt;0, -(O102-Uzman_D!$M$18), O102-Uzman_D!$M$18)*1
)</f>
        <v>-0.50000000000000022</v>
      </c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75"/>
      <c r="AB102" s="75"/>
      <c r="AC102" s="73">
        <f>1 - (
    SUM(
        IF(Q102-Uzman_D!$B$19&lt;0, -(Q102-Uzman_D!$B$19), Q102-Uzman_D!$B$19)*0.1 +
        IF(R102-Uzman_D!$C$19&lt;0, -(R102-Uzman_D!$C$19), R102-Uzman_D!$C$19)*0.1 +
        IF(S102-Uzman_D!$D$19&lt;0, -(S102-Uzman_D!$D$19), S102-Uzman_D!$D$19)*0.1 +
        IF(T102-Uzman_D!$E$19&lt;0, -(T102-Uzman_D!$E$19), T102-Uzman_D!$E$19)*0.1 +
        IF(U102-Uzman_D!$F$19&lt;0, -(U102-Uzman_D!$F$19), U102-Uzman_D!$F$19)*0.1 +
        IF(V102-Uzman_D!$G$19&lt;0, -(V102-Uzman_D!$G$19), V102-Uzman_D!$G$19)*0.1 +
        IF(W102-Uzman_D!$H$19&lt;0, -(W102-Uzman_D!$H$19), W102-Uzman_D!$H$19)*0.1 +
        IF(X102-Uzman_D!$I$19&lt;0, -(X102-Uzman_D!$I$19), X102-Uzman_D!$I$19)*0.1 +
        IF(Y102-Uzman_D!$J$19&lt;0, -(Y102-Uzman_D!$J$19), Y102-Uzman_D!$J$19)*0.1
    ) +
    IF(ROUND((IF(AA102-Uzman_D!$L$19&lt;0, -(AA102-Uzman_D!$L$19), AA102-Uzman_D!$L$19)*2),0)/2 = IF(AA102-Uzman_D!$L$19&lt;0, -(AA102-Uzman_D!$L$19), AA102-Uzman_D!$L$19),
    (ROUND((IF(AA102-Uzman_D!$L$19&lt;0, -(AA102-Uzman_D!$L$19), AA102-Uzman_D!$L$19)*2),0)/1 * 0.1), 0) +
    IF(AB102-Uzman_D!$M$19&lt;0, -(AB102-Uzman_D!$M$19), AB102-Uzman_D!$M$19)*1
)</f>
        <v>-0.60000000000000009</v>
      </c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75"/>
      <c r="AO102" s="75"/>
      <c r="AP102" s="73">
        <f>1 - (
    SUM(
        IF(AD102-Uzman_D!$B$20&lt;0, -(AD102-Uzman_D!$B$20), AD102-Uzman_D!$B$20)*0.1 +
        IF(AE102-Uzman_D!$C$20&lt;0, -(AE102-Uzman_D!$C$20), AE102-Uzman_D!$C$20)*0.1 +
        IF(AF102-Uzman_D!$D$20&lt;0, -(AF102-Uzman_D!$D$20), AF102-Uzman_D!$D$20)*0.1 +
        IF(AG102-Uzman_D!$E$20&lt;0, -(AG102-Uzman_D!$E$20), AG102-Uzman_D!$E$20)*0.1 +
        IF(AH102-Uzman_D!$F$20&lt;0, -(AH102-Uzman_D!$F$20), AH102-Uzman_D!$F$20)*0.1 +
        IF(AI102-Uzman_D!$G$20&lt;0, -(AI102-Uzman_D!$G$20), AI102-Uzman_D!$G$20)*0.1 +
        IF(AJ102-Uzman_D!$H$20&lt;0, -(AJ102-Uzman_D!$H$20), AJ102-Uzman_D!$H$20)*0.1 +
        IF(AK102-Uzman_D!$I$20&lt;0, -(AK102-Uzman_D!$I$20), AK102-Uzman_D!$I$20)*0.1 +
        IF(AL102-Uzman_D!$J$20&lt;0, -(AL102-Uzman_D!$J$20), AL102-Uzman_D!$J$20)*0.1
    ) +
    IF(ROUND((IF(AN102-Uzman_D!$L$20&lt;0, -(AN102-Uzman_D!$L$20), AN102-Uzman_D!$L$20)*2),0)/2 = IF(AN102-Uzman_D!$L$20&lt;0, -(AN102-Uzman_D!$L$20), AN102-Uzman_D!$L$20),
    (ROUND((IF(AN102-Uzman_D!$L$20&lt;0, -(AN102-Uzman_D!$L$20), AN102-Uzman_D!$L$20)*2),0)/1 * 0.1), 0) +
    IF(AO102-Uzman_D!$M$20&lt;0, -(AO102-Uzman_D!$M$20), AO102-Uzman_D!$M$20)*1
)</f>
        <v>-0.60000000000000009</v>
      </c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75"/>
      <c r="BB102" s="75"/>
      <c r="BC102" s="73">
        <f>1 - (
    SUM(
        IF(AQ102-Uzman_D!$B$21&lt;0, -(AQ102-Uzman_D!$B$21), AQ102-Uzman_D!$B$21)*0.1 +
        IF(AR102-Uzman_D!$C$21&lt;0, -(AR102-Uzman_D!$C$21), AR102-Uzman_D!$C$21)*0.1 +
        IF(AS102-Uzman_D!$D$21&lt;0, -(AS102-Uzman_D!$D$21), AS102-Uzman_D!$D$21)*0.1 +
        IF(AT102-Uzman_D!$E$21&lt;0, -(AT102-Uzman_D!$E$21), AT102-Uzman_D!$E$21)*0.1 +
        IF(AU102-Uzman_D!$F$21&lt;0, -(AU102-Uzman_D!$F$21), AU102-Uzman_D!$F$21)*0.1 +
        IF(AV102-Uzman_D!$G$21&lt;0, -(AV102-Uzman_D!$G$21), AV102-Uzman_D!$G$21)*0.1 +
        IF(AW102-Uzman_D!$H$21&lt;0, -(AW102-Uzman_D!$H$21), AW102-Uzman_D!$H$21)*0.1 +
        IF(AX102-Uzman_D!$I$21&lt;0, -(AX102-Uzman_D!$I$21), AX102-Uzman_D!$I$21)*0.1 +
        IF(AY102-Uzman_D!$J$21&lt;0, -(AY102-Uzman_D!$J$21), AY102-Uzman_D!$J$21)*0.1
    ) +
    IF(ROUND((IF(BA102-Uzman_D!$L$21&lt;0, -(BA102-Uzman_D!$L$21), BA102-Uzman_D!$L$21)*2),0)/2 = IF(BA102-Uzman_D!$L$21&lt;0, -(BA102-Uzman_D!$L$21), BA102-Uzman_D!$L$21),
    (ROUND((IF(BA102-Uzman_D!$L$21&lt;0, -(BA102-Uzman_D!$L$21), BA102-Uzman_D!$L$21)*2),0)/1 * 0.1), 0) +
    IF(BB102-Uzman_D!$M$21&lt;0, -(BB102-Uzman_D!$M$21), BB102-Uzman_D!$M$21)*1
)</f>
        <v>-0.60000000000000009</v>
      </c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75"/>
      <c r="BO102" s="75"/>
      <c r="BP102" s="73">
        <f>1 - (
    SUM(
        IF(BD102-Uzman_D!$B$22&lt;0, -(BD102-Uzman_D!$B$22), BD102-Uzman_D!$B$22)*0.1 +
        IF(BE102-Uzman_D!$C$22&lt;0, -(BE102-Uzman_D!$C$22), BE102-Uzman_D!$C$22)*0.1 +
        IF(BF102-Uzman_D!$D$22&lt;0, -(BF102-Uzman_D!$D$22), BF102-Uzman_D!$D$22)*0.1 +
        IF(BG102-Uzman_D!$E$22&lt;0, -(BG102-Uzman_D!$E$22), BG102-Uzman_D!$E$22)*0.1 +
        IF(BH102-Uzman_D!$F$22&lt;0, -(BH102-Uzman_D!$F$22), BH102-Uzman_D!$F$22)*0.1 +
        IF(BI102-Uzman_D!$G$22&lt;0, -(BI102-Uzman_D!$G$22), BI102-Uzman_D!$G$22)*0.1 +
        IF(BJ102-Uzman_D!$H$22&lt;0, -(BJ102-Uzman_D!$H$22), BJ102-Uzman_D!$H$22)*0.1 +
        IF(BK102-Uzman_D!$I$22&lt;0, -(BK102-Uzman_D!$I$22), BK102-Uzman_D!$I$22)*0.1 +
        IF(BL102-Uzman_D!$J$22&lt;0, -(BL102-Uzman_D!$J$22), BL102-Uzman_D!$J$22)*0.1
    ) +
    IF(ROUND((IF(BN102-Uzman_D!$L$22&lt;0, -(BN102-Uzman_D!$L$22), BN102-Uzman_D!$L$22)*2),0)/2 = IF(BN102-Uzman_D!$L$22&lt;0, -(BN102-Uzman_D!$L$22), BN102-Uzman_D!$L$22),
    (ROUND((IF(BN102-Uzman_D!$L$22&lt;0, -(BN102-Uzman_D!$L$22), BN102-Uzman_D!$L$22)*2),0)/1 * 0.1), 0) +
    IF(BO102-Uzman_D!$M$22&lt;0, -(BO102-Uzman_D!$M$22), BO102-Uzman_D!$M$22)*1
)</f>
        <v>-0.40000000000000013</v>
      </c>
      <c r="BQ102" s="74">
        <f t="shared" si="1"/>
        <v>-0.54000000000000026</v>
      </c>
    </row>
    <row r="103" spans="1:69" ht="15.75" customHeight="1" x14ac:dyDescent="0.2">
      <c r="A103" s="76">
        <v>100</v>
      </c>
      <c r="B103" s="37">
        <f>Hakemler!B103</f>
        <v>0</v>
      </c>
      <c r="C103" s="37">
        <f>Hakemler!C103</f>
        <v>0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75"/>
      <c r="O103" s="75"/>
      <c r="P103" s="73">
        <f>1 - (
    SUM(
        IF(D103-Uzman_D!$B$18&lt;0, -(D103-Uzman_D!$B$18), D103-Uzman_D!$B$18)*0.1 +
        IF(E103-Uzman_D!$C$18&lt;0, -(E103-Uzman_D!$C$18), E103-Uzman_D!$C$18)*0.1 +
        IF(F103-Uzman_D!$D$18&lt;0, -(F103-Uzman_D!$D$18), F103-Uzman_D!$D$18)*0.1 +
        IF(G103-Uzman_D!$E$18&lt;0, -(G103-Uzman_D!$E$18), G103-Uzman_D!$E$18)*0.1 +
        IF(H103-Uzman_D!$F$18&lt;0, -(H103-Uzman_D!$F$18), H103-Uzman_D!$F$18)*0.1 +
        IF(I103-Uzman_D!$G$18&lt;0, -(I103-Uzman_D!$G$18), I103-Uzman_D!$G$18)*0.1 +
        IF(J103-Uzman_D!$H$18&lt;0, -(J103-Uzman_D!$H$18), J103-Uzman_D!$H$18)*0.1 +
        IF(K103-Uzman_D!$I$18&lt;0, -(K103-Uzman_D!$I$18), K103-Uzman_D!$I$18)*0.1 +
        IF(L103-Uzman_D!$J$18&lt;0, -(L103-Uzman_D!$J$18), L103-Uzman_D!$J$18)*0.1
    ) +
    IF(ROUND((IF(N103-Uzman_D!$L$18&lt;0, -(N103-Uzman_D!$L$18), N103-Uzman_D!$L$18)*2),0)/2 = IF(N103-Uzman_D!$L$18&lt;0, -(N103-Uzman_D!$L$18), N103-Uzman_D!$L$18),
    (ROUND((IF(N103-Uzman_D!$L$18&lt;0, -(N103-Uzman_D!$L$18), N103-Uzman_D!$L$18)*2),0)/1 * 0.1), 0) +
    IF(O103-Uzman_D!$M$18&lt;0, -(O103-Uzman_D!$M$18), O103-Uzman_D!$M$18)*1
)</f>
        <v>-0.50000000000000022</v>
      </c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75"/>
      <c r="AB103" s="75"/>
      <c r="AC103" s="73">
        <f>1 - (
    SUM(
        IF(Q103-Uzman_D!$B$19&lt;0, -(Q103-Uzman_D!$B$19), Q103-Uzman_D!$B$19)*0.1 +
        IF(R103-Uzman_D!$C$19&lt;0, -(R103-Uzman_D!$C$19), R103-Uzman_D!$C$19)*0.1 +
        IF(S103-Uzman_D!$D$19&lt;0, -(S103-Uzman_D!$D$19), S103-Uzman_D!$D$19)*0.1 +
        IF(T103-Uzman_D!$E$19&lt;0, -(T103-Uzman_D!$E$19), T103-Uzman_D!$E$19)*0.1 +
        IF(U103-Uzman_D!$F$19&lt;0, -(U103-Uzman_D!$F$19), U103-Uzman_D!$F$19)*0.1 +
        IF(V103-Uzman_D!$G$19&lt;0, -(V103-Uzman_D!$G$19), V103-Uzman_D!$G$19)*0.1 +
        IF(W103-Uzman_D!$H$19&lt;0, -(W103-Uzman_D!$H$19), W103-Uzman_D!$H$19)*0.1 +
        IF(X103-Uzman_D!$I$19&lt;0, -(X103-Uzman_D!$I$19), X103-Uzman_D!$I$19)*0.1 +
        IF(Y103-Uzman_D!$J$19&lt;0, -(Y103-Uzman_D!$J$19), Y103-Uzman_D!$J$19)*0.1
    ) +
    IF(ROUND((IF(AA103-Uzman_D!$L$19&lt;0, -(AA103-Uzman_D!$L$19), AA103-Uzman_D!$L$19)*2),0)/2 = IF(AA103-Uzman_D!$L$19&lt;0, -(AA103-Uzman_D!$L$19), AA103-Uzman_D!$L$19),
    (ROUND((IF(AA103-Uzman_D!$L$19&lt;0, -(AA103-Uzman_D!$L$19), AA103-Uzman_D!$L$19)*2),0)/1 * 0.1), 0) +
    IF(AB103-Uzman_D!$M$19&lt;0, -(AB103-Uzman_D!$M$19), AB103-Uzman_D!$M$19)*1
)</f>
        <v>-0.60000000000000009</v>
      </c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75"/>
      <c r="AO103" s="75"/>
      <c r="AP103" s="73">
        <f>1 - (
    SUM(
        IF(AD103-Uzman_D!$B$20&lt;0, -(AD103-Uzman_D!$B$20), AD103-Uzman_D!$B$20)*0.1 +
        IF(AE103-Uzman_D!$C$20&lt;0, -(AE103-Uzman_D!$C$20), AE103-Uzman_D!$C$20)*0.1 +
        IF(AF103-Uzman_D!$D$20&lt;0, -(AF103-Uzman_D!$D$20), AF103-Uzman_D!$D$20)*0.1 +
        IF(AG103-Uzman_D!$E$20&lt;0, -(AG103-Uzman_D!$E$20), AG103-Uzman_D!$E$20)*0.1 +
        IF(AH103-Uzman_D!$F$20&lt;0, -(AH103-Uzman_D!$F$20), AH103-Uzman_D!$F$20)*0.1 +
        IF(AI103-Uzman_D!$G$20&lt;0, -(AI103-Uzman_D!$G$20), AI103-Uzman_D!$G$20)*0.1 +
        IF(AJ103-Uzman_D!$H$20&lt;0, -(AJ103-Uzman_D!$H$20), AJ103-Uzman_D!$H$20)*0.1 +
        IF(AK103-Uzman_D!$I$20&lt;0, -(AK103-Uzman_D!$I$20), AK103-Uzman_D!$I$20)*0.1 +
        IF(AL103-Uzman_D!$J$20&lt;0, -(AL103-Uzman_D!$J$20), AL103-Uzman_D!$J$20)*0.1
    ) +
    IF(ROUND((IF(AN103-Uzman_D!$L$20&lt;0, -(AN103-Uzman_D!$L$20), AN103-Uzman_D!$L$20)*2),0)/2 = IF(AN103-Uzman_D!$L$20&lt;0, -(AN103-Uzman_D!$L$20), AN103-Uzman_D!$L$20),
    (ROUND((IF(AN103-Uzman_D!$L$20&lt;0, -(AN103-Uzman_D!$L$20), AN103-Uzman_D!$L$20)*2),0)/1 * 0.1), 0) +
    IF(AO103-Uzman_D!$M$20&lt;0, -(AO103-Uzman_D!$M$20), AO103-Uzman_D!$M$20)*1
)</f>
        <v>-0.60000000000000009</v>
      </c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75"/>
      <c r="BB103" s="75"/>
      <c r="BC103" s="73">
        <f>1 - (
    SUM(
        IF(AQ103-Uzman_D!$B$21&lt;0, -(AQ103-Uzman_D!$B$21), AQ103-Uzman_D!$B$21)*0.1 +
        IF(AR103-Uzman_D!$C$21&lt;0, -(AR103-Uzman_D!$C$21), AR103-Uzman_D!$C$21)*0.1 +
        IF(AS103-Uzman_D!$D$21&lt;0, -(AS103-Uzman_D!$D$21), AS103-Uzman_D!$D$21)*0.1 +
        IF(AT103-Uzman_D!$E$21&lt;0, -(AT103-Uzman_D!$E$21), AT103-Uzman_D!$E$21)*0.1 +
        IF(AU103-Uzman_D!$F$21&lt;0, -(AU103-Uzman_D!$F$21), AU103-Uzman_D!$F$21)*0.1 +
        IF(AV103-Uzman_D!$G$21&lt;0, -(AV103-Uzman_D!$G$21), AV103-Uzman_D!$G$21)*0.1 +
        IF(AW103-Uzman_D!$H$21&lt;0, -(AW103-Uzman_D!$H$21), AW103-Uzman_D!$H$21)*0.1 +
        IF(AX103-Uzman_D!$I$21&lt;0, -(AX103-Uzman_D!$I$21), AX103-Uzman_D!$I$21)*0.1 +
        IF(AY103-Uzman_D!$J$21&lt;0, -(AY103-Uzman_D!$J$21), AY103-Uzman_D!$J$21)*0.1
    ) +
    IF(ROUND((IF(BA103-Uzman_D!$L$21&lt;0, -(BA103-Uzman_D!$L$21), BA103-Uzman_D!$L$21)*2),0)/2 = IF(BA103-Uzman_D!$L$21&lt;0, -(BA103-Uzman_D!$L$21), BA103-Uzman_D!$L$21),
    (ROUND((IF(BA103-Uzman_D!$L$21&lt;0, -(BA103-Uzman_D!$L$21), BA103-Uzman_D!$L$21)*2),0)/1 * 0.1), 0) +
    IF(BB103-Uzman_D!$M$21&lt;0, -(BB103-Uzman_D!$M$21), BB103-Uzman_D!$M$21)*1
)</f>
        <v>-0.60000000000000009</v>
      </c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75"/>
      <c r="BO103" s="75"/>
      <c r="BP103" s="73">
        <f>1 - (
    SUM(
        IF(BD103-Uzman_D!$B$22&lt;0, -(BD103-Uzman_D!$B$22), BD103-Uzman_D!$B$22)*0.1 +
        IF(BE103-Uzman_D!$C$22&lt;0, -(BE103-Uzman_D!$C$22), BE103-Uzman_D!$C$22)*0.1 +
        IF(BF103-Uzman_D!$D$22&lt;0, -(BF103-Uzman_D!$D$22), BF103-Uzman_D!$D$22)*0.1 +
        IF(BG103-Uzman_D!$E$22&lt;0, -(BG103-Uzman_D!$E$22), BG103-Uzman_D!$E$22)*0.1 +
        IF(BH103-Uzman_D!$F$22&lt;0, -(BH103-Uzman_D!$F$22), BH103-Uzman_D!$F$22)*0.1 +
        IF(BI103-Uzman_D!$G$22&lt;0, -(BI103-Uzman_D!$G$22), BI103-Uzman_D!$G$22)*0.1 +
        IF(BJ103-Uzman_D!$H$22&lt;0, -(BJ103-Uzman_D!$H$22), BJ103-Uzman_D!$H$22)*0.1 +
        IF(BK103-Uzman_D!$I$22&lt;0, -(BK103-Uzman_D!$I$22), BK103-Uzman_D!$I$22)*0.1 +
        IF(BL103-Uzman_D!$J$22&lt;0, -(BL103-Uzman_D!$J$22), BL103-Uzman_D!$J$22)*0.1
    ) +
    IF(ROUND((IF(BN103-Uzman_D!$L$22&lt;0, -(BN103-Uzman_D!$L$22), BN103-Uzman_D!$L$22)*2),0)/2 = IF(BN103-Uzman_D!$L$22&lt;0, -(BN103-Uzman_D!$L$22), BN103-Uzman_D!$L$22),
    (ROUND((IF(BN103-Uzman_D!$L$22&lt;0, -(BN103-Uzman_D!$L$22), BN103-Uzman_D!$L$22)*2),0)/1 * 0.1), 0) +
    IF(BO103-Uzman_D!$M$22&lt;0, -(BO103-Uzman_D!$M$22), BO103-Uzman_D!$M$22)*1
)</f>
        <v>-0.40000000000000013</v>
      </c>
      <c r="BQ103" s="74">
        <f t="shared" si="1"/>
        <v>-0.54000000000000026</v>
      </c>
    </row>
  </sheetData>
  <mergeCells count="9">
    <mergeCell ref="A2:A3"/>
    <mergeCell ref="AQ2:BC2"/>
    <mergeCell ref="B2:B3"/>
    <mergeCell ref="A1:BQ1"/>
    <mergeCell ref="BD2:BP2"/>
    <mergeCell ref="AD2:AP2"/>
    <mergeCell ref="Q2:AC2"/>
    <mergeCell ref="C2:C3"/>
    <mergeCell ref="D2:P2"/>
  </mergeCells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IV103"/>
  <sheetViews>
    <sheetView showGridLines="0" workbookViewId="0">
      <selection activeCell="E4" sqref="E4"/>
    </sheetView>
  </sheetViews>
  <sheetFormatPr baseColWidth="10" defaultColWidth="8.83203125" defaultRowHeight="15" customHeight="1" x14ac:dyDescent="0.2"/>
  <cols>
    <col min="1" max="1" width="3.5" style="1" customWidth="1"/>
    <col min="2" max="2" width="13.5" style="1" customWidth="1"/>
    <col min="3" max="3" width="19.1640625" style="1" customWidth="1"/>
    <col min="4" max="18" width="5.5" style="1" customWidth="1"/>
    <col min="19" max="19" width="9.5" style="1" customWidth="1"/>
    <col min="20" max="256" width="8.83203125" style="1" customWidth="1"/>
  </cols>
  <sheetData>
    <row r="1" spans="1:36" ht="18.75" customHeight="1" x14ac:dyDescent="0.2">
      <c r="A1" s="173" t="s">
        <v>46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5"/>
      <c r="T1" s="41"/>
      <c r="U1" s="42"/>
      <c r="V1" s="42"/>
      <c r="W1" s="42"/>
      <c r="X1" s="42"/>
      <c r="Y1" s="42"/>
      <c r="Z1" s="42"/>
      <c r="AA1" s="42"/>
      <c r="AB1" s="42"/>
      <c r="AC1" s="42"/>
      <c r="AD1" s="42"/>
      <c r="AE1" s="25"/>
      <c r="AF1" s="25"/>
      <c r="AG1" s="25"/>
      <c r="AH1" s="25"/>
      <c r="AI1" s="25"/>
      <c r="AJ1" s="25"/>
    </row>
    <row r="2" spans="1:36" ht="15.75" customHeight="1" x14ac:dyDescent="0.2">
      <c r="A2" s="181" t="s">
        <v>10</v>
      </c>
      <c r="B2" s="185" t="s">
        <v>11</v>
      </c>
      <c r="C2" s="183" t="s">
        <v>12</v>
      </c>
      <c r="D2" s="180" t="s">
        <v>25</v>
      </c>
      <c r="E2" s="188"/>
      <c r="F2" s="179"/>
      <c r="G2" s="176" t="s">
        <v>26</v>
      </c>
      <c r="H2" s="187"/>
      <c r="I2" s="177"/>
      <c r="J2" s="180" t="s">
        <v>27</v>
      </c>
      <c r="K2" s="188"/>
      <c r="L2" s="179"/>
      <c r="M2" s="176" t="s">
        <v>28</v>
      </c>
      <c r="N2" s="187"/>
      <c r="O2" s="177"/>
      <c r="P2" s="180" t="s">
        <v>29</v>
      </c>
      <c r="Q2" s="188"/>
      <c r="R2" s="179"/>
      <c r="S2" s="43"/>
      <c r="T2" s="4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ht="15.75" customHeight="1" x14ac:dyDescent="0.2">
      <c r="A3" s="182"/>
      <c r="B3" s="186"/>
      <c r="C3" s="184"/>
      <c r="D3" s="45" t="s">
        <v>25</v>
      </c>
      <c r="E3" s="46" t="s">
        <v>21</v>
      </c>
      <c r="F3" s="48" t="s">
        <v>22</v>
      </c>
      <c r="G3" s="45" t="s">
        <v>26</v>
      </c>
      <c r="H3" s="46" t="s">
        <v>21</v>
      </c>
      <c r="I3" s="48" t="s">
        <v>22</v>
      </c>
      <c r="J3" s="45" t="s">
        <v>27</v>
      </c>
      <c r="K3" s="46" t="s">
        <v>21</v>
      </c>
      <c r="L3" s="48" t="s">
        <v>22</v>
      </c>
      <c r="M3" s="45" t="s">
        <v>28</v>
      </c>
      <c r="N3" s="46" t="s">
        <v>21</v>
      </c>
      <c r="O3" s="48" t="s">
        <v>22</v>
      </c>
      <c r="P3" s="45" t="s">
        <v>29</v>
      </c>
      <c r="Q3" s="46" t="s">
        <v>21</v>
      </c>
      <c r="R3" s="48" t="s">
        <v>22</v>
      </c>
      <c r="S3" s="49" t="s">
        <v>23</v>
      </c>
      <c r="T3" s="50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ht="15.5" customHeight="1" thickBot="1" x14ac:dyDescent="0.25">
      <c r="A4" s="51">
        <v>1</v>
      </c>
      <c r="B4" s="52" t="str">
        <f>Hakemler!B4</f>
        <v>Yalçıner</v>
      </c>
      <c r="C4" s="53" t="str">
        <f>Hakemler!C4</f>
        <v>Yunus Emre</v>
      </c>
      <c r="D4" s="54">
        <v>1.5</v>
      </c>
      <c r="E4" s="64">
        <f>IF(ISBLANK(D4),0,ABS(Uzman_E!A$13-D4))</f>
        <v>0.30000000000000004</v>
      </c>
      <c r="F4" s="55">
        <f>IF(ISBLANK(D4),0,INDEX(Tablo_E!$B$2:$CX$102,MATCH(ROUND(Uzman_E!A$13,1),Tablo_E!$A$2:$A$102,1),MATCH(ROUND(E4,1),Tablo_E!$B$1:$CX$1,1)))</f>
        <v>1</v>
      </c>
      <c r="G4" s="54">
        <v>3</v>
      </c>
      <c r="H4" s="64">
        <f>IF(ISBLANK(G4),0,ABS(Uzman_E!B$13-G4))</f>
        <v>0.10000000000000009</v>
      </c>
      <c r="I4" s="55">
        <f>IF(ISBLANK(G4),0,INDEX(Tablo_E!$B$2:$CX$102,MATCH(ROUND(Uzman_E!B$13,1),Tablo_E!$A$2:$A$102,1),MATCH(ROUND(H4,1),Tablo_E!$B$1:$CX$1,1)))</f>
        <v>1</v>
      </c>
      <c r="J4" s="54">
        <v>3</v>
      </c>
      <c r="K4" s="64">
        <f>IF(ISBLANK(J4),0,ABS(Uzman_E!C$13-J4))</f>
        <v>0.10000000000000009</v>
      </c>
      <c r="L4" s="55">
        <f>IF(ISBLANK(J4),0,INDEX(Tablo_E!$B$2:$CX$102,MATCH(ROUND(Uzman_E!C$13,1),Tablo_E!$A$2:$A$102,1),MATCH(ROUND(K4,1),Tablo_E!$B$1:$CX$1,1)))</f>
        <v>1</v>
      </c>
      <c r="M4" s="54">
        <v>4.3</v>
      </c>
      <c r="N4" s="64">
        <f>IF(ISBLANK(M4),0,ABS(Uzman_E!D$13-M4))</f>
        <v>1.1999999999999997</v>
      </c>
      <c r="O4" s="55">
        <f>IF(ISBLANK(M4),0,INDEX(Tablo_E!$B$2:$CX$102,MATCH(ROUND(Uzman_E!D$13,1),Tablo_E!$A$2:$A$102,1),MATCH(ROUND(N4,1),Tablo_E!$B$1:$CX$1,1)))</f>
        <v>0.3</v>
      </c>
      <c r="P4" s="54">
        <v>2.5</v>
      </c>
      <c r="Q4" s="64">
        <f>IF(ISBLANK(P4),0,ABS(Uzman_E!E$13-P4))</f>
        <v>0</v>
      </c>
      <c r="R4" s="55">
        <f>IF(ISBLANK(P4),0,INDEX(Tablo_E!$B$2:$CX$102,MATCH(ROUND(Uzman_E!E$13,1),Tablo_E!$A$2:$A$102,1),MATCH(ROUND(Q4,1),Tablo_E!$B$1:$CX$1,1)))</f>
        <v>1</v>
      </c>
      <c r="S4" s="56">
        <f>(F4+I4+L4+O4+R4)/5</f>
        <v>0.86</v>
      </c>
      <c r="T4" s="50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ht="15" customHeight="1" thickBot="1" x14ac:dyDescent="0.25">
      <c r="A5" s="57">
        <v>2</v>
      </c>
      <c r="B5" s="58" t="str">
        <f>Hakemler!B5</f>
        <v>Deneme</v>
      </c>
      <c r="C5" s="59" t="str">
        <f>Hakemler!C5</f>
        <v>Hakem</v>
      </c>
      <c r="D5" s="60"/>
      <c r="E5" s="64">
        <f>IF(ISBLANK(D5),0,ABS(Uzman_E!A$13-D5))</f>
        <v>0</v>
      </c>
      <c r="F5" s="55">
        <f>IF(ISBLANK(D5),0,INDEX(Tablo_E!$B$2:$CX$102,MATCH(ROUND(Uzman_E!A$13,1),Tablo_E!$A$2:$A$102,1),MATCH(ROUND(E5,1),Tablo_E!$B$1:$CX$1,1)))</f>
        <v>0</v>
      </c>
      <c r="G5" s="60"/>
      <c r="H5" s="64">
        <f>IF(ISBLANK(G5),0,ABS(Uzman_E!B$13-G5))</f>
        <v>0</v>
      </c>
      <c r="I5" s="55">
        <f>IF(ISBLANK(G5),0,INDEX(Tablo_E!$B$2:$CX$102,MATCH(ROUND(Uzman_E!B$13,1),Tablo_E!$A$2:$A$102,1),MATCH(ROUND(H5,1),Tablo_E!$B$1:$CX$1,1)))</f>
        <v>0</v>
      </c>
      <c r="J5" s="60"/>
      <c r="K5" s="64">
        <f>IF(ISBLANK(J5),0,ABS(Uzman_E!C$13-J5))</f>
        <v>0</v>
      </c>
      <c r="L5" s="55">
        <f>IF(ISBLANK(J5),0,INDEX(Tablo_E!$B$2:$CX$102,MATCH(ROUND(Uzman_E!C$13,1),Tablo_E!$A$2:$A$102,1),MATCH(ROUND(K5,1),Tablo_E!$B$1:$CX$1,1)))</f>
        <v>0</v>
      </c>
      <c r="M5" s="60"/>
      <c r="N5" s="64">
        <f>IF(ISBLANK(M5),0,ABS(Uzman_E!D$13-M5))</f>
        <v>0</v>
      </c>
      <c r="O5" s="55">
        <f>IF(ISBLANK(M5),0,INDEX(Tablo_E!$B$2:$CX$102,MATCH(ROUND(Uzman_E!D$13,1),Tablo_E!$A$2:$A$102,1),MATCH(ROUND(N5,1),Tablo_E!$B$1:$CX$1,1)))</f>
        <v>0</v>
      </c>
      <c r="P5" s="60"/>
      <c r="Q5" s="64">
        <f>IF(ISBLANK(P5),0,ABS(Uzman_E!E$13-P5))</f>
        <v>0</v>
      </c>
      <c r="R5" s="55">
        <f>IF(ISBLANK(P5),0,INDEX(Tablo_E!$B$2:$CX$102,MATCH(ROUND(Uzman_E!E$13,1),Tablo_E!$A$2:$A$102,1),MATCH(ROUND(Q5,1),Tablo_E!$B$1:$CX$1,1)))</f>
        <v>0</v>
      </c>
      <c r="S5" s="56">
        <f t="shared" ref="S5:S68" si="0">(F5+I5+L5+O5+R5)/5</f>
        <v>0</v>
      </c>
      <c r="T5" s="50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ht="15" customHeight="1" thickBot="1" x14ac:dyDescent="0.25">
      <c r="A6" s="57">
        <v>3</v>
      </c>
      <c r="B6" s="58">
        <f>Hakemler!B6</f>
        <v>0</v>
      </c>
      <c r="C6" s="59">
        <f>Hakemler!C6</f>
        <v>0</v>
      </c>
      <c r="D6" s="60"/>
      <c r="E6" s="64">
        <f>IF(ISBLANK(D6),0,ABS(Uzman_E!A$13-D6))</f>
        <v>0</v>
      </c>
      <c r="F6" s="55">
        <f>IF(ISBLANK(D6),0,INDEX(Tablo_E!$B$2:$CX$102,MATCH(ROUND(Uzman_E!A$13,1),Tablo_E!$A$2:$A$102,1),MATCH(ROUND(E6,1),Tablo_E!$B$1:$CX$1,1)))</f>
        <v>0</v>
      </c>
      <c r="G6" s="60"/>
      <c r="H6" s="64">
        <f>IF(ISBLANK(G6),0,ABS(Uzman_E!B$13-G6))</f>
        <v>0</v>
      </c>
      <c r="I6" s="55">
        <f>IF(ISBLANK(G6),0,INDEX(Tablo_E!$B$2:$CX$102,MATCH(ROUND(Uzman_E!B$13,1),Tablo_E!$A$2:$A$102,1),MATCH(ROUND(H6,1),Tablo_E!$B$1:$CX$1,1)))</f>
        <v>0</v>
      </c>
      <c r="J6" s="60"/>
      <c r="K6" s="64">
        <f>IF(ISBLANK(J6),0,ABS(Uzman_E!C$13-J6))</f>
        <v>0</v>
      </c>
      <c r="L6" s="55">
        <f>IF(ISBLANK(J6),0,INDEX(Tablo_E!$B$2:$CX$102,MATCH(ROUND(Uzman_E!C$13,1),Tablo_E!$A$2:$A$102,1),MATCH(ROUND(K6,1),Tablo_E!$B$1:$CX$1,1)))</f>
        <v>0</v>
      </c>
      <c r="M6" s="60"/>
      <c r="N6" s="64">
        <f>IF(ISBLANK(M6),0,ABS(Uzman_E!D$13-M6))</f>
        <v>0</v>
      </c>
      <c r="O6" s="55">
        <f>IF(ISBLANK(M6),0,INDEX(Tablo_E!$B$2:$CX$102,MATCH(ROUND(Uzman_E!D$13,1),Tablo_E!$A$2:$A$102,1),MATCH(ROUND(N6,1),Tablo_E!$B$1:$CX$1,1)))</f>
        <v>0</v>
      </c>
      <c r="P6" s="60"/>
      <c r="Q6" s="64">
        <f>IF(ISBLANK(P6),0,ABS(Uzman_E!E$13-P6))</f>
        <v>0</v>
      </c>
      <c r="R6" s="55">
        <f>IF(ISBLANK(P6),0,INDEX(Tablo_E!$B$2:$CX$102,MATCH(ROUND(Uzman_E!E$13,1),Tablo_E!$A$2:$A$102,1),MATCH(ROUND(Q6,1),Tablo_E!$B$1:$CX$1,1)))</f>
        <v>0</v>
      </c>
      <c r="S6" s="56">
        <f t="shared" si="0"/>
        <v>0</v>
      </c>
      <c r="T6" s="50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6" ht="15" customHeight="1" thickBot="1" x14ac:dyDescent="0.25">
      <c r="A7" s="57">
        <v>4</v>
      </c>
      <c r="B7" s="58">
        <f>Hakemler!B7</f>
        <v>0</v>
      </c>
      <c r="C7" s="59">
        <f>Hakemler!C7</f>
        <v>0</v>
      </c>
      <c r="D7" s="60"/>
      <c r="E7" s="64">
        <f>IF(ISBLANK(D7),0,ABS(Uzman_E!A$13-D7))</f>
        <v>0</v>
      </c>
      <c r="F7" s="55">
        <f>IF(ISBLANK(D7),0,INDEX(Tablo_E!$B$2:$CX$102,MATCH(ROUND(Uzman_E!A$13,1),Tablo_E!$A$2:$A$102,1),MATCH(ROUND(E7,1),Tablo_E!$B$1:$CX$1,1)))</f>
        <v>0</v>
      </c>
      <c r="G7" s="60"/>
      <c r="H7" s="64">
        <f>IF(ISBLANK(G7),0,ABS(Uzman_E!B$13-G7))</f>
        <v>0</v>
      </c>
      <c r="I7" s="55">
        <f>IF(ISBLANK(G7),0,INDEX(Tablo_E!$B$2:$CX$102,MATCH(ROUND(Uzman_E!B$13,1),Tablo_E!$A$2:$A$102,1),MATCH(ROUND(H7,1),Tablo_E!$B$1:$CX$1,1)))</f>
        <v>0</v>
      </c>
      <c r="J7" s="60"/>
      <c r="K7" s="64">
        <f>IF(ISBLANK(J7),0,ABS(Uzman_E!C$13-J7))</f>
        <v>0</v>
      </c>
      <c r="L7" s="55">
        <f>IF(ISBLANK(J7),0,INDEX(Tablo_E!$B$2:$CX$102,MATCH(ROUND(Uzman_E!C$13,1),Tablo_E!$A$2:$A$102,1),MATCH(ROUND(K7,1),Tablo_E!$B$1:$CX$1,1)))</f>
        <v>0</v>
      </c>
      <c r="M7" s="60"/>
      <c r="N7" s="64">
        <f>IF(ISBLANK(M7),0,ABS(Uzman_E!D$13-M7))</f>
        <v>0</v>
      </c>
      <c r="O7" s="55">
        <f>IF(ISBLANK(M7),0,INDEX(Tablo_E!$B$2:$CX$102,MATCH(ROUND(Uzman_E!D$13,1),Tablo_E!$A$2:$A$102,1),MATCH(ROUND(N7,1),Tablo_E!$B$1:$CX$1,1)))</f>
        <v>0</v>
      </c>
      <c r="P7" s="60"/>
      <c r="Q7" s="64">
        <f>IF(ISBLANK(P7),0,ABS(Uzman_E!E$13-P7))</f>
        <v>0</v>
      </c>
      <c r="R7" s="55">
        <f>IF(ISBLANK(P7),0,INDEX(Tablo_E!$B$2:$CX$102,MATCH(ROUND(Uzman_E!E$13,1),Tablo_E!$A$2:$A$102,1),MATCH(ROUND(Q7,1),Tablo_E!$B$1:$CX$1,1)))</f>
        <v>0</v>
      </c>
      <c r="S7" s="56">
        <f t="shared" si="0"/>
        <v>0</v>
      </c>
      <c r="T7" s="50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spans="1:36" ht="15" customHeight="1" thickBot="1" x14ac:dyDescent="0.25">
      <c r="A8" s="57">
        <v>5</v>
      </c>
      <c r="B8" s="58">
        <f>Hakemler!B8</f>
        <v>0</v>
      </c>
      <c r="C8" s="59">
        <f>Hakemler!C8</f>
        <v>0</v>
      </c>
      <c r="D8" s="60"/>
      <c r="E8" s="64">
        <f>IF(ISBLANK(D8),0,ABS(Uzman_E!A$13-D8))</f>
        <v>0</v>
      </c>
      <c r="F8" s="55">
        <f>IF(ISBLANK(D8),0,INDEX(Tablo_E!$B$2:$CX$102,MATCH(ROUND(Uzman_E!A$13,1),Tablo_E!$A$2:$A$102,1),MATCH(ROUND(E8,1),Tablo_E!$B$1:$CX$1,1)))</f>
        <v>0</v>
      </c>
      <c r="G8" s="60"/>
      <c r="H8" s="64">
        <f>IF(ISBLANK(G8),0,ABS(Uzman_E!B$13-G8))</f>
        <v>0</v>
      </c>
      <c r="I8" s="55">
        <f>IF(ISBLANK(G8),0,INDEX(Tablo_E!$B$2:$CX$102,MATCH(ROUND(Uzman_E!B$13,1),Tablo_E!$A$2:$A$102,1),MATCH(ROUND(H8,1),Tablo_E!$B$1:$CX$1,1)))</f>
        <v>0</v>
      </c>
      <c r="J8" s="60"/>
      <c r="K8" s="64">
        <f>IF(ISBLANK(J8),0,ABS(Uzman_E!C$13-J8))</f>
        <v>0</v>
      </c>
      <c r="L8" s="55">
        <f>IF(ISBLANK(J8),0,INDEX(Tablo_E!$B$2:$CX$102,MATCH(ROUND(Uzman_E!C$13,1),Tablo_E!$A$2:$A$102,1),MATCH(ROUND(K8,1),Tablo_E!$B$1:$CX$1,1)))</f>
        <v>0</v>
      </c>
      <c r="M8" s="60"/>
      <c r="N8" s="64">
        <f>IF(ISBLANK(M8),0,ABS(Uzman_E!D$13-M8))</f>
        <v>0</v>
      </c>
      <c r="O8" s="55">
        <f>IF(ISBLANK(M8),0,INDEX(Tablo_E!$B$2:$CX$102,MATCH(ROUND(Uzman_E!D$13,1),Tablo_E!$A$2:$A$102,1),MATCH(ROUND(N8,1),Tablo_E!$B$1:$CX$1,1)))</f>
        <v>0</v>
      </c>
      <c r="P8" s="60"/>
      <c r="Q8" s="64">
        <f>IF(ISBLANK(P8),0,ABS(Uzman_E!E$13-P8))</f>
        <v>0</v>
      </c>
      <c r="R8" s="55">
        <f>IF(ISBLANK(P8),0,INDEX(Tablo_E!$B$2:$CX$102,MATCH(ROUND(Uzman_E!E$13,1),Tablo_E!$A$2:$A$102,1),MATCH(ROUND(Q8,1),Tablo_E!$B$1:$CX$1,1)))</f>
        <v>0</v>
      </c>
      <c r="S8" s="56">
        <f t="shared" si="0"/>
        <v>0</v>
      </c>
      <c r="T8" s="50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 spans="1:36" ht="15" customHeight="1" thickBot="1" x14ac:dyDescent="0.25">
      <c r="A9" s="57">
        <v>6</v>
      </c>
      <c r="B9" s="58">
        <f>Hakemler!B9</f>
        <v>0</v>
      </c>
      <c r="C9" s="59">
        <f>Hakemler!C9</f>
        <v>0</v>
      </c>
      <c r="D9" s="60"/>
      <c r="E9" s="64">
        <f>IF(ISBLANK(D9),0,ABS(Uzman_E!A$13-D9))</f>
        <v>0</v>
      </c>
      <c r="F9" s="55">
        <f>IF(ISBLANK(D9),0,INDEX(Tablo_E!$B$2:$CX$102,MATCH(ROUND(Uzman_E!A$13,1),Tablo_E!$A$2:$A$102,1),MATCH(ROUND(E9,1),Tablo_E!$B$1:$CX$1,1)))</f>
        <v>0</v>
      </c>
      <c r="G9" s="60"/>
      <c r="H9" s="64">
        <f>IF(ISBLANK(G9),0,ABS(Uzman_E!B$13-G9))</f>
        <v>0</v>
      </c>
      <c r="I9" s="55">
        <f>IF(ISBLANK(G9),0,INDEX(Tablo_E!$B$2:$CX$102,MATCH(ROUND(Uzman_E!B$13,1),Tablo_E!$A$2:$A$102,1),MATCH(ROUND(H9,1),Tablo_E!$B$1:$CX$1,1)))</f>
        <v>0</v>
      </c>
      <c r="J9" s="60"/>
      <c r="K9" s="64">
        <f>IF(ISBLANK(J9),0,ABS(Uzman_E!C$13-J9))</f>
        <v>0</v>
      </c>
      <c r="L9" s="55">
        <f>IF(ISBLANK(J9),0,INDEX(Tablo_E!$B$2:$CX$102,MATCH(ROUND(Uzman_E!C$13,1),Tablo_E!$A$2:$A$102,1),MATCH(ROUND(K9,1),Tablo_E!$B$1:$CX$1,1)))</f>
        <v>0</v>
      </c>
      <c r="M9" s="60"/>
      <c r="N9" s="64">
        <f>IF(ISBLANK(M9),0,ABS(Uzman_E!D$13-M9))</f>
        <v>0</v>
      </c>
      <c r="O9" s="55">
        <f>IF(ISBLANK(M9),0,INDEX(Tablo_E!$B$2:$CX$102,MATCH(ROUND(Uzman_E!D$13,1),Tablo_E!$A$2:$A$102,1),MATCH(ROUND(N9,1),Tablo_E!$B$1:$CX$1,1)))</f>
        <v>0</v>
      </c>
      <c r="P9" s="60"/>
      <c r="Q9" s="64">
        <f>IF(ISBLANK(P9),0,ABS(Uzman_E!E$13-P9))</f>
        <v>0</v>
      </c>
      <c r="R9" s="55">
        <f>IF(ISBLANK(P9),0,INDEX(Tablo_E!$B$2:$CX$102,MATCH(ROUND(Uzman_E!E$13,1),Tablo_E!$A$2:$A$102,1),MATCH(ROUND(Q9,1),Tablo_E!$B$1:$CX$1,1)))</f>
        <v>0</v>
      </c>
      <c r="S9" s="56">
        <f t="shared" si="0"/>
        <v>0</v>
      </c>
      <c r="T9" s="50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 spans="1:36" ht="15" customHeight="1" thickBot="1" x14ac:dyDescent="0.25">
      <c r="A10" s="57">
        <v>7</v>
      </c>
      <c r="B10" s="58">
        <f>Hakemler!B10</f>
        <v>0</v>
      </c>
      <c r="C10" s="59">
        <f>Hakemler!C10</f>
        <v>0</v>
      </c>
      <c r="D10" s="60"/>
      <c r="E10" s="64">
        <f>IF(ISBLANK(D10),0,ABS(Uzman_E!A$13-D10))</f>
        <v>0</v>
      </c>
      <c r="F10" s="55">
        <f>IF(ISBLANK(D10),0,INDEX(Tablo_E!$B$2:$CX$102,MATCH(ROUND(Uzman_E!A$13,1),Tablo_E!$A$2:$A$102,1),MATCH(ROUND(E10,1),Tablo_E!$B$1:$CX$1,1)))</f>
        <v>0</v>
      </c>
      <c r="G10" s="60"/>
      <c r="H10" s="64">
        <f>IF(ISBLANK(G10),0,ABS(Uzman_E!B$13-G10))</f>
        <v>0</v>
      </c>
      <c r="I10" s="55">
        <f>IF(ISBLANK(G10),0,INDEX(Tablo_E!$B$2:$CX$102,MATCH(ROUND(Uzman_E!B$13,1),Tablo_E!$A$2:$A$102,1),MATCH(ROUND(H10,1),Tablo_E!$B$1:$CX$1,1)))</f>
        <v>0</v>
      </c>
      <c r="J10" s="60"/>
      <c r="K10" s="64">
        <f>IF(ISBLANK(J10),0,ABS(Uzman_E!C$13-J10))</f>
        <v>0</v>
      </c>
      <c r="L10" s="55">
        <f>IF(ISBLANK(J10),0,INDEX(Tablo_E!$B$2:$CX$102,MATCH(ROUND(Uzman_E!C$13,1),Tablo_E!$A$2:$A$102,1),MATCH(ROUND(K10,1),Tablo_E!$B$1:$CX$1,1)))</f>
        <v>0</v>
      </c>
      <c r="M10" s="60"/>
      <c r="N10" s="64">
        <f>IF(ISBLANK(M10),0,ABS(Uzman_E!D$13-M10))</f>
        <v>0</v>
      </c>
      <c r="O10" s="55">
        <f>IF(ISBLANK(M10),0,INDEX(Tablo_E!$B$2:$CX$102,MATCH(ROUND(Uzman_E!D$13,1),Tablo_E!$A$2:$A$102,1),MATCH(ROUND(N10,1),Tablo_E!$B$1:$CX$1,1)))</f>
        <v>0</v>
      </c>
      <c r="P10" s="60"/>
      <c r="Q10" s="64">
        <f>IF(ISBLANK(P10),0,ABS(Uzman_E!E$13-P10))</f>
        <v>0</v>
      </c>
      <c r="R10" s="55">
        <f>IF(ISBLANK(P10),0,INDEX(Tablo_E!$B$2:$CX$102,MATCH(ROUND(Uzman_E!E$13,1),Tablo_E!$A$2:$A$102,1),MATCH(ROUND(Q10,1),Tablo_E!$B$1:$CX$1,1)))</f>
        <v>0</v>
      </c>
      <c r="S10" s="56">
        <f t="shared" si="0"/>
        <v>0</v>
      </c>
      <c r="T10" s="50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 spans="1:36" ht="15" customHeight="1" thickBot="1" x14ac:dyDescent="0.25">
      <c r="A11" s="57">
        <v>8</v>
      </c>
      <c r="B11" s="58">
        <f>Hakemler!B11</f>
        <v>0</v>
      </c>
      <c r="C11" s="59">
        <f>Hakemler!C11</f>
        <v>0</v>
      </c>
      <c r="D11" s="60"/>
      <c r="E11" s="64">
        <f>IF(ISBLANK(D11),0,ABS(Uzman_E!A$13-D11))</f>
        <v>0</v>
      </c>
      <c r="F11" s="55">
        <f>IF(ISBLANK(D11),0,INDEX(Tablo_E!$B$2:$CX$102,MATCH(ROUND(Uzman_E!A$13,1),Tablo_E!$A$2:$A$102,1),MATCH(ROUND(E11,1),Tablo_E!$B$1:$CX$1,1)))</f>
        <v>0</v>
      </c>
      <c r="G11" s="60"/>
      <c r="H11" s="64">
        <f>IF(ISBLANK(G11),0,ABS(Uzman_E!B$13-G11))</f>
        <v>0</v>
      </c>
      <c r="I11" s="55">
        <f>IF(ISBLANK(G11),0,INDEX(Tablo_E!$B$2:$CX$102,MATCH(ROUND(Uzman_E!B$13,1),Tablo_E!$A$2:$A$102,1),MATCH(ROUND(H11,1),Tablo_E!$B$1:$CX$1,1)))</f>
        <v>0</v>
      </c>
      <c r="J11" s="60"/>
      <c r="K11" s="64">
        <f>IF(ISBLANK(J11),0,ABS(Uzman_E!C$13-J11))</f>
        <v>0</v>
      </c>
      <c r="L11" s="55">
        <f>IF(ISBLANK(J11),0,INDEX(Tablo_E!$B$2:$CX$102,MATCH(ROUND(Uzman_E!C$13,1),Tablo_E!$A$2:$A$102,1),MATCH(ROUND(K11,1),Tablo_E!$B$1:$CX$1,1)))</f>
        <v>0</v>
      </c>
      <c r="M11" s="60"/>
      <c r="N11" s="64">
        <f>IF(ISBLANK(M11),0,ABS(Uzman_E!D$13-M11))</f>
        <v>0</v>
      </c>
      <c r="O11" s="55">
        <f>IF(ISBLANK(M11),0,INDEX(Tablo_E!$B$2:$CX$102,MATCH(ROUND(Uzman_E!D$13,1),Tablo_E!$A$2:$A$102,1),MATCH(ROUND(N11,1),Tablo_E!$B$1:$CX$1,1)))</f>
        <v>0</v>
      </c>
      <c r="P11" s="60"/>
      <c r="Q11" s="64">
        <f>IF(ISBLANK(P11),0,ABS(Uzman_E!E$13-P11))</f>
        <v>0</v>
      </c>
      <c r="R11" s="55">
        <f>IF(ISBLANK(P11),0,INDEX(Tablo_E!$B$2:$CX$102,MATCH(ROUND(Uzman_E!E$13,1),Tablo_E!$A$2:$A$102,1),MATCH(ROUND(Q11,1),Tablo_E!$B$1:$CX$1,1)))</f>
        <v>0</v>
      </c>
      <c r="S11" s="56">
        <f t="shared" si="0"/>
        <v>0</v>
      </c>
      <c r="T11" s="50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36" ht="15" customHeight="1" thickBot="1" x14ac:dyDescent="0.25">
      <c r="A12" s="57">
        <v>9</v>
      </c>
      <c r="B12" s="58">
        <f>Hakemler!B12</f>
        <v>0</v>
      </c>
      <c r="C12" s="59">
        <f>Hakemler!C12</f>
        <v>0</v>
      </c>
      <c r="D12" s="60"/>
      <c r="E12" s="64">
        <f>IF(ISBLANK(D12),0,ABS(Uzman_E!A$13-D12))</f>
        <v>0</v>
      </c>
      <c r="F12" s="55">
        <f>IF(ISBLANK(D12),0,INDEX(Tablo_E!$B$2:$CX$102,MATCH(ROUND(Uzman_E!A$13,1),Tablo_E!$A$2:$A$102,1),MATCH(ROUND(E12,1),Tablo_E!$B$1:$CX$1,1)))</f>
        <v>0</v>
      </c>
      <c r="G12" s="60"/>
      <c r="H12" s="64">
        <f>IF(ISBLANK(G12),0,ABS(Uzman_E!B$13-G12))</f>
        <v>0</v>
      </c>
      <c r="I12" s="55">
        <f>IF(ISBLANK(G12),0,INDEX(Tablo_E!$B$2:$CX$102,MATCH(ROUND(Uzman_E!B$13,1),Tablo_E!$A$2:$A$102,1),MATCH(ROUND(H12,1),Tablo_E!$B$1:$CX$1,1)))</f>
        <v>0</v>
      </c>
      <c r="J12" s="60"/>
      <c r="K12" s="64">
        <f>IF(ISBLANK(J12),0,ABS(Uzman_E!C$13-J12))</f>
        <v>0</v>
      </c>
      <c r="L12" s="55">
        <f>IF(ISBLANK(J12),0,INDEX(Tablo_E!$B$2:$CX$102,MATCH(ROUND(Uzman_E!C$13,1),Tablo_E!$A$2:$A$102,1),MATCH(ROUND(K12,1),Tablo_E!$B$1:$CX$1,1)))</f>
        <v>0</v>
      </c>
      <c r="M12" s="60"/>
      <c r="N12" s="64">
        <f>IF(ISBLANK(M12),0,ABS(Uzman_E!D$13-M12))</f>
        <v>0</v>
      </c>
      <c r="O12" s="55">
        <f>IF(ISBLANK(M12),0,INDEX(Tablo_E!$B$2:$CX$102,MATCH(ROUND(Uzman_E!D$13,1),Tablo_E!$A$2:$A$102,1),MATCH(ROUND(N12,1),Tablo_E!$B$1:$CX$1,1)))</f>
        <v>0</v>
      </c>
      <c r="P12" s="60"/>
      <c r="Q12" s="64">
        <f>IF(ISBLANK(P12),0,ABS(Uzman_E!E$13-P12))</f>
        <v>0</v>
      </c>
      <c r="R12" s="55">
        <f>IF(ISBLANK(P12),0,INDEX(Tablo_E!$B$2:$CX$102,MATCH(ROUND(Uzman_E!E$13,1),Tablo_E!$A$2:$A$102,1),MATCH(ROUND(Q12,1),Tablo_E!$B$1:$CX$1,1)))</f>
        <v>0</v>
      </c>
      <c r="S12" s="56">
        <f t="shared" si="0"/>
        <v>0</v>
      </c>
      <c r="T12" s="50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 spans="1:36" ht="15" customHeight="1" thickBot="1" x14ac:dyDescent="0.25">
      <c r="A13" s="57">
        <v>10</v>
      </c>
      <c r="B13" s="58">
        <f>Hakemler!B13</f>
        <v>0</v>
      </c>
      <c r="C13" s="59">
        <f>Hakemler!C13</f>
        <v>0</v>
      </c>
      <c r="D13" s="60"/>
      <c r="E13" s="64">
        <f>IF(ISBLANK(D13),0,ABS(Uzman_E!A$13-D13))</f>
        <v>0</v>
      </c>
      <c r="F13" s="55">
        <f>IF(ISBLANK(D13),0,INDEX(Tablo_E!$B$2:$CX$102,MATCH(ROUND(Uzman_E!A$13,1),Tablo_E!$A$2:$A$102,1),MATCH(ROUND(E13,1),Tablo_E!$B$1:$CX$1,1)))</f>
        <v>0</v>
      </c>
      <c r="G13" s="60"/>
      <c r="H13" s="64">
        <f>IF(ISBLANK(G13),0,ABS(Uzman_E!B$13-G13))</f>
        <v>0</v>
      </c>
      <c r="I13" s="55">
        <f>IF(ISBLANK(G13),0,INDEX(Tablo_E!$B$2:$CX$102,MATCH(ROUND(Uzman_E!B$13,1),Tablo_E!$A$2:$A$102,1),MATCH(ROUND(H13,1),Tablo_E!$B$1:$CX$1,1)))</f>
        <v>0</v>
      </c>
      <c r="J13" s="60"/>
      <c r="K13" s="64">
        <f>IF(ISBLANK(J13),0,ABS(Uzman_E!C$13-J13))</f>
        <v>0</v>
      </c>
      <c r="L13" s="55">
        <f>IF(ISBLANK(J13),0,INDEX(Tablo_E!$B$2:$CX$102,MATCH(ROUND(Uzman_E!C$13,1),Tablo_E!$A$2:$A$102,1),MATCH(ROUND(K13,1),Tablo_E!$B$1:$CX$1,1)))</f>
        <v>0</v>
      </c>
      <c r="M13" s="60"/>
      <c r="N13" s="64">
        <f>IF(ISBLANK(M13),0,ABS(Uzman_E!D$13-M13))</f>
        <v>0</v>
      </c>
      <c r="O13" s="55">
        <f>IF(ISBLANK(M13),0,INDEX(Tablo_E!$B$2:$CX$102,MATCH(ROUND(Uzman_E!D$13,1),Tablo_E!$A$2:$A$102,1),MATCH(ROUND(N13,1),Tablo_E!$B$1:$CX$1,1)))</f>
        <v>0</v>
      </c>
      <c r="P13" s="60"/>
      <c r="Q13" s="64">
        <f>IF(ISBLANK(P13),0,ABS(Uzman_E!E$13-P13))</f>
        <v>0</v>
      </c>
      <c r="R13" s="55">
        <f>IF(ISBLANK(P13),0,INDEX(Tablo_E!$B$2:$CX$102,MATCH(ROUND(Uzman_E!E$13,1),Tablo_E!$A$2:$A$102,1),MATCH(ROUND(Q13,1),Tablo_E!$B$1:$CX$1,1)))</f>
        <v>0</v>
      </c>
      <c r="S13" s="56">
        <f t="shared" si="0"/>
        <v>0</v>
      </c>
      <c r="T13" s="50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1:36" ht="15" customHeight="1" thickBot="1" x14ac:dyDescent="0.25">
      <c r="A14" s="57">
        <v>11</v>
      </c>
      <c r="B14" s="58">
        <f>Hakemler!B14</f>
        <v>0</v>
      </c>
      <c r="C14" s="59">
        <f>Hakemler!C14</f>
        <v>0</v>
      </c>
      <c r="D14" s="60"/>
      <c r="E14" s="64">
        <f>IF(ISBLANK(D14),0,ABS(Uzman_E!A$13-D14))</f>
        <v>0</v>
      </c>
      <c r="F14" s="55">
        <f>IF(ISBLANK(D14),0,INDEX(Tablo_E!$B$2:$CX$102,MATCH(ROUND(Uzman_E!A$13,1),Tablo_E!$A$2:$A$102,1),MATCH(ROUND(E14,1),Tablo_E!$B$1:$CX$1,1)))</f>
        <v>0</v>
      </c>
      <c r="G14" s="60"/>
      <c r="H14" s="64">
        <f>IF(ISBLANK(G14),0,ABS(Uzman_E!B$13-G14))</f>
        <v>0</v>
      </c>
      <c r="I14" s="55">
        <f>IF(ISBLANK(G14),0,INDEX(Tablo_E!$B$2:$CX$102,MATCH(ROUND(Uzman_E!B$13,1),Tablo_E!$A$2:$A$102,1),MATCH(ROUND(H14,1),Tablo_E!$B$1:$CX$1,1)))</f>
        <v>0</v>
      </c>
      <c r="J14" s="60"/>
      <c r="K14" s="64">
        <f>IF(ISBLANK(J14),0,ABS(Uzman_E!C$13-J14))</f>
        <v>0</v>
      </c>
      <c r="L14" s="55">
        <f>IF(ISBLANK(J14),0,INDEX(Tablo_E!$B$2:$CX$102,MATCH(ROUND(Uzman_E!C$13,1),Tablo_E!$A$2:$A$102,1),MATCH(ROUND(K14,1),Tablo_E!$B$1:$CX$1,1)))</f>
        <v>0</v>
      </c>
      <c r="M14" s="60"/>
      <c r="N14" s="64">
        <f>IF(ISBLANK(M14),0,ABS(Uzman_E!D$13-M14))</f>
        <v>0</v>
      </c>
      <c r="O14" s="55">
        <f>IF(ISBLANK(M14),0,INDEX(Tablo_E!$B$2:$CX$102,MATCH(ROUND(Uzman_E!D$13,1),Tablo_E!$A$2:$A$102,1),MATCH(ROUND(N14,1),Tablo_E!$B$1:$CX$1,1)))</f>
        <v>0</v>
      </c>
      <c r="P14" s="60"/>
      <c r="Q14" s="64">
        <f>IF(ISBLANK(P14),0,ABS(Uzman_E!E$13-P14))</f>
        <v>0</v>
      </c>
      <c r="R14" s="55">
        <f>IF(ISBLANK(P14),0,INDEX(Tablo_E!$B$2:$CX$102,MATCH(ROUND(Uzman_E!E$13,1),Tablo_E!$A$2:$A$102,1),MATCH(ROUND(Q14,1),Tablo_E!$B$1:$CX$1,1)))</f>
        <v>0</v>
      </c>
      <c r="S14" s="56">
        <f t="shared" si="0"/>
        <v>0</v>
      </c>
      <c r="T14" s="50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 spans="1:36" ht="15" customHeight="1" thickBot="1" x14ac:dyDescent="0.25">
      <c r="A15" s="57">
        <v>12</v>
      </c>
      <c r="B15" s="58">
        <f>Hakemler!B15</f>
        <v>0</v>
      </c>
      <c r="C15" s="59">
        <f>Hakemler!C15</f>
        <v>0</v>
      </c>
      <c r="D15" s="60"/>
      <c r="E15" s="64">
        <f>IF(ISBLANK(D15),0,ABS(Uzman_E!A$13-D15))</f>
        <v>0</v>
      </c>
      <c r="F15" s="55">
        <f>IF(ISBLANK(D15),0,INDEX(Tablo_E!$B$2:$CX$102,MATCH(ROUND(Uzman_E!A$13,1),Tablo_E!$A$2:$A$102,1),MATCH(ROUND(E15,1),Tablo_E!$B$1:$CX$1,1)))</f>
        <v>0</v>
      </c>
      <c r="G15" s="60"/>
      <c r="H15" s="64">
        <f>IF(ISBLANK(G15),0,ABS(Uzman_E!B$13-G15))</f>
        <v>0</v>
      </c>
      <c r="I15" s="55">
        <f>IF(ISBLANK(G15),0,INDEX(Tablo_E!$B$2:$CX$102,MATCH(ROUND(Uzman_E!B$13,1),Tablo_E!$A$2:$A$102,1),MATCH(ROUND(H15,1),Tablo_E!$B$1:$CX$1,1)))</f>
        <v>0</v>
      </c>
      <c r="J15" s="60"/>
      <c r="K15" s="64">
        <f>IF(ISBLANK(J15),0,ABS(Uzman_E!C$13-J15))</f>
        <v>0</v>
      </c>
      <c r="L15" s="55">
        <f>IF(ISBLANK(J15),0,INDEX(Tablo_E!$B$2:$CX$102,MATCH(ROUND(Uzman_E!C$13,1),Tablo_E!$A$2:$A$102,1),MATCH(ROUND(K15,1),Tablo_E!$B$1:$CX$1,1)))</f>
        <v>0</v>
      </c>
      <c r="M15" s="60"/>
      <c r="N15" s="64">
        <f>IF(ISBLANK(M15),0,ABS(Uzman_E!D$13-M15))</f>
        <v>0</v>
      </c>
      <c r="O15" s="55">
        <f>IF(ISBLANK(M15),0,INDEX(Tablo_E!$B$2:$CX$102,MATCH(ROUND(Uzman_E!D$13,1),Tablo_E!$A$2:$A$102,1),MATCH(ROUND(N15,1),Tablo_E!$B$1:$CX$1,1)))</f>
        <v>0</v>
      </c>
      <c r="P15" s="60"/>
      <c r="Q15" s="64">
        <f>IF(ISBLANK(P15),0,ABS(Uzman_E!E$13-P15))</f>
        <v>0</v>
      </c>
      <c r="R15" s="55">
        <f>IF(ISBLANK(P15),0,INDEX(Tablo_E!$B$2:$CX$102,MATCH(ROUND(Uzman_E!E$13,1),Tablo_E!$A$2:$A$102,1),MATCH(ROUND(Q15,1),Tablo_E!$B$1:$CX$1,1)))</f>
        <v>0</v>
      </c>
      <c r="S15" s="56">
        <f t="shared" si="0"/>
        <v>0</v>
      </c>
      <c r="T15" s="50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 spans="1:36" ht="15" customHeight="1" thickBot="1" x14ac:dyDescent="0.25">
      <c r="A16" s="57">
        <v>13</v>
      </c>
      <c r="B16" s="58">
        <f>Hakemler!B16</f>
        <v>0</v>
      </c>
      <c r="C16" s="59">
        <f>Hakemler!C16</f>
        <v>0</v>
      </c>
      <c r="D16" s="60"/>
      <c r="E16" s="64">
        <f>IF(ISBLANK(D16),0,ABS(Uzman_E!A$13-D16))</f>
        <v>0</v>
      </c>
      <c r="F16" s="55">
        <f>IF(ISBLANK(D16),0,INDEX(Tablo_E!$B$2:$CX$102,MATCH(ROUND(Uzman_E!A$13,1),Tablo_E!$A$2:$A$102,1),MATCH(ROUND(E16,1),Tablo_E!$B$1:$CX$1,1)))</f>
        <v>0</v>
      </c>
      <c r="G16" s="60"/>
      <c r="H16" s="64">
        <f>IF(ISBLANK(G16),0,ABS(Uzman_E!B$13-G16))</f>
        <v>0</v>
      </c>
      <c r="I16" s="55">
        <f>IF(ISBLANK(G16),0,INDEX(Tablo_E!$B$2:$CX$102,MATCH(ROUND(Uzman_E!B$13,1),Tablo_E!$A$2:$A$102,1),MATCH(ROUND(H16,1),Tablo_E!$B$1:$CX$1,1)))</f>
        <v>0</v>
      </c>
      <c r="J16" s="60"/>
      <c r="K16" s="64">
        <f>IF(ISBLANK(J16),0,ABS(Uzman_E!C$13-J16))</f>
        <v>0</v>
      </c>
      <c r="L16" s="55">
        <f>IF(ISBLANK(J16),0,INDEX(Tablo_E!$B$2:$CX$102,MATCH(ROUND(Uzman_E!C$13,1),Tablo_E!$A$2:$A$102,1),MATCH(ROUND(K16,1),Tablo_E!$B$1:$CX$1,1)))</f>
        <v>0</v>
      </c>
      <c r="M16" s="60"/>
      <c r="N16" s="64">
        <f>IF(ISBLANK(M16),0,ABS(Uzman_E!D$13-M16))</f>
        <v>0</v>
      </c>
      <c r="O16" s="55">
        <f>IF(ISBLANK(M16),0,INDEX(Tablo_E!$B$2:$CX$102,MATCH(ROUND(Uzman_E!D$13,1),Tablo_E!$A$2:$A$102,1),MATCH(ROUND(N16,1),Tablo_E!$B$1:$CX$1,1)))</f>
        <v>0</v>
      </c>
      <c r="P16" s="60"/>
      <c r="Q16" s="64">
        <f>IF(ISBLANK(P16),0,ABS(Uzman_E!E$13-P16))</f>
        <v>0</v>
      </c>
      <c r="R16" s="55">
        <f>IF(ISBLANK(P16),0,INDEX(Tablo_E!$B$2:$CX$102,MATCH(ROUND(Uzman_E!E$13,1),Tablo_E!$A$2:$A$102,1),MATCH(ROUND(Q16,1),Tablo_E!$B$1:$CX$1,1)))</f>
        <v>0</v>
      </c>
      <c r="S16" s="56">
        <f t="shared" si="0"/>
        <v>0</v>
      </c>
      <c r="T16" s="50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6" ht="15" customHeight="1" thickBot="1" x14ac:dyDescent="0.25">
      <c r="A17" s="57">
        <v>14</v>
      </c>
      <c r="B17" s="58">
        <f>Hakemler!B17</f>
        <v>0</v>
      </c>
      <c r="C17" s="59">
        <f>Hakemler!C17</f>
        <v>0</v>
      </c>
      <c r="D17" s="60"/>
      <c r="E17" s="64">
        <f>IF(ISBLANK(D17),0,ABS(Uzman_E!A$13-D17))</f>
        <v>0</v>
      </c>
      <c r="F17" s="55">
        <f>IF(ISBLANK(D17),0,INDEX(Tablo_E!$B$2:$CX$102,MATCH(ROUND(Uzman_E!A$13,1),Tablo_E!$A$2:$A$102,1),MATCH(ROUND(E17,1),Tablo_E!$B$1:$CX$1,1)))</f>
        <v>0</v>
      </c>
      <c r="G17" s="60"/>
      <c r="H17" s="64">
        <f>IF(ISBLANK(G17),0,ABS(Uzman_E!B$13-G17))</f>
        <v>0</v>
      </c>
      <c r="I17" s="55">
        <f>IF(ISBLANK(G17),0,INDEX(Tablo_E!$B$2:$CX$102,MATCH(ROUND(Uzman_E!B$13,1),Tablo_E!$A$2:$A$102,1),MATCH(ROUND(H17,1),Tablo_E!$B$1:$CX$1,1)))</f>
        <v>0</v>
      </c>
      <c r="J17" s="60"/>
      <c r="K17" s="64">
        <f>IF(ISBLANK(J17),0,ABS(Uzman_E!C$13-J17))</f>
        <v>0</v>
      </c>
      <c r="L17" s="55">
        <f>IF(ISBLANK(J17),0,INDEX(Tablo_E!$B$2:$CX$102,MATCH(ROUND(Uzman_E!C$13,1),Tablo_E!$A$2:$A$102,1),MATCH(ROUND(K17,1),Tablo_E!$B$1:$CX$1,1)))</f>
        <v>0</v>
      </c>
      <c r="M17" s="60"/>
      <c r="N17" s="64">
        <f>IF(ISBLANK(M17),0,ABS(Uzman_E!D$13-M17))</f>
        <v>0</v>
      </c>
      <c r="O17" s="55">
        <f>IF(ISBLANK(M17),0,INDEX(Tablo_E!$B$2:$CX$102,MATCH(ROUND(Uzman_E!D$13,1),Tablo_E!$A$2:$A$102,1),MATCH(ROUND(N17,1),Tablo_E!$B$1:$CX$1,1)))</f>
        <v>0</v>
      </c>
      <c r="P17" s="60"/>
      <c r="Q17" s="64">
        <f>IF(ISBLANK(P17),0,ABS(Uzman_E!E$13-P17))</f>
        <v>0</v>
      </c>
      <c r="R17" s="55">
        <f>IF(ISBLANK(P17),0,INDEX(Tablo_E!$B$2:$CX$102,MATCH(ROUND(Uzman_E!E$13,1),Tablo_E!$A$2:$A$102,1),MATCH(ROUND(Q17,1),Tablo_E!$B$1:$CX$1,1)))</f>
        <v>0</v>
      </c>
      <c r="S17" s="56">
        <f t="shared" si="0"/>
        <v>0</v>
      </c>
      <c r="T17" s="50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 spans="1:36" ht="15" customHeight="1" thickBot="1" x14ac:dyDescent="0.25">
      <c r="A18" s="57">
        <v>15</v>
      </c>
      <c r="B18" s="58">
        <f>Hakemler!B18</f>
        <v>0</v>
      </c>
      <c r="C18" s="59">
        <f>Hakemler!C18</f>
        <v>0</v>
      </c>
      <c r="D18" s="60"/>
      <c r="E18" s="64">
        <f>IF(ISBLANK(D18),0,ABS(Uzman_E!A$13-D18))</f>
        <v>0</v>
      </c>
      <c r="F18" s="55">
        <f>IF(ISBLANK(D18),0,INDEX(Tablo_E!$B$2:$CX$102,MATCH(ROUND(Uzman_E!A$13,1),Tablo_E!$A$2:$A$102,1),MATCH(ROUND(E18,1),Tablo_E!$B$1:$CX$1,1)))</f>
        <v>0</v>
      </c>
      <c r="G18" s="60"/>
      <c r="H18" s="64">
        <f>IF(ISBLANK(G18),0,ABS(Uzman_E!B$13-G18))</f>
        <v>0</v>
      </c>
      <c r="I18" s="55">
        <f>IF(ISBLANK(G18),0,INDEX(Tablo_E!$B$2:$CX$102,MATCH(ROUND(Uzman_E!B$13,1),Tablo_E!$A$2:$A$102,1),MATCH(ROUND(H18,1),Tablo_E!$B$1:$CX$1,1)))</f>
        <v>0</v>
      </c>
      <c r="J18" s="60"/>
      <c r="K18" s="64">
        <f>IF(ISBLANK(J18),0,ABS(Uzman_E!C$13-J18))</f>
        <v>0</v>
      </c>
      <c r="L18" s="55">
        <f>IF(ISBLANK(J18),0,INDEX(Tablo_E!$B$2:$CX$102,MATCH(ROUND(Uzman_E!C$13,1),Tablo_E!$A$2:$A$102,1),MATCH(ROUND(K18,1),Tablo_E!$B$1:$CX$1,1)))</f>
        <v>0</v>
      </c>
      <c r="M18" s="60"/>
      <c r="N18" s="64">
        <f>IF(ISBLANK(M18),0,ABS(Uzman_E!D$13-M18))</f>
        <v>0</v>
      </c>
      <c r="O18" s="55">
        <f>IF(ISBLANK(M18),0,INDEX(Tablo_E!$B$2:$CX$102,MATCH(ROUND(Uzman_E!D$13,1),Tablo_E!$A$2:$A$102,1),MATCH(ROUND(N18,1),Tablo_E!$B$1:$CX$1,1)))</f>
        <v>0</v>
      </c>
      <c r="P18" s="60"/>
      <c r="Q18" s="64">
        <f>IF(ISBLANK(P18),0,ABS(Uzman_E!E$13-P18))</f>
        <v>0</v>
      </c>
      <c r="R18" s="55">
        <f>IF(ISBLANK(P18),0,INDEX(Tablo_E!$B$2:$CX$102,MATCH(ROUND(Uzman_E!E$13,1),Tablo_E!$A$2:$A$102,1),MATCH(ROUND(Q18,1),Tablo_E!$B$1:$CX$1,1)))</f>
        <v>0</v>
      </c>
      <c r="S18" s="56">
        <f t="shared" si="0"/>
        <v>0</v>
      </c>
      <c r="T18" s="50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 spans="1:36" ht="15" customHeight="1" thickBot="1" x14ac:dyDescent="0.25">
      <c r="A19" s="57">
        <v>16</v>
      </c>
      <c r="B19" s="58">
        <f>Hakemler!B19</f>
        <v>0</v>
      </c>
      <c r="C19" s="59">
        <f>Hakemler!C19</f>
        <v>0</v>
      </c>
      <c r="D19" s="60"/>
      <c r="E19" s="64">
        <f>IF(ISBLANK(D19),0,ABS(Uzman_E!A$13-D19))</f>
        <v>0</v>
      </c>
      <c r="F19" s="55">
        <f>IF(ISBLANK(D19),0,INDEX(Tablo_E!$B$2:$CX$102,MATCH(ROUND(Uzman_E!A$13,1),Tablo_E!$A$2:$A$102,1),MATCH(ROUND(E19,1),Tablo_E!$B$1:$CX$1,1)))</f>
        <v>0</v>
      </c>
      <c r="G19" s="60"/>
      <c r="H19" s="64">
        <f>IF(ISBLANK(G19),0,ABS(Uzman_E!B$13-G19))</f>
        <v>0</v>
      </c>
      <c r="I19" s="55">
        <f>IF(ISBLANK(G19),0,INDEX(Tablo_E!$B$2:$CX$102,MATCH(ROUND(Uzman_E!B$13,1),Tablo_E!$A$2:$A$102,1),MATCH(ROUND(H19,1),Tablo_E!$B$1:$CX$1,1)))</f>
        <v>0</v>
      </c>
      <c r="J19" s="60"/>
      <c r="K19" s="64">
        <f>IF(ISBLANK(J19),0,ABS(Uzman_E!C$13-J19))</f>
        <v>0</v>
      </c>
      <c r="L19" s="55">
        <f>IF(ISBLANK(J19),0,INDEX(Tablo_E!$B$2:$CX$102,MATCH(ROUND(Uzman_E!C$13,1),Tablo_E!$A$2:$A$102,1),MATCH(ROUND(K19,1),Tablo_E!$B$1:$CX$1,1)))</f>
        <v>0</v>
      </c>
      <c r="M19" s="60"/>
      <c r="N19" s="64">
        <f>IF(ISBLANK(M19),0,ABS(Uzman_E!D$13-M19))</f>
        <v>0</v>
      </c>
      <c r="O19" s="55">
        <f>IF(ISBLANK(M19),0,INDEX(Tablo_E!$B$2:$CX$102,MATCH(ROUND(Uzman_E!D$13,1),Tablo_E!$A$2:$A$102,1),MATCH(ROUND(N19,1),Tablo_E!$B$1:$CX$1,1)))</f>
        <v>0</v>
      </c>
      <c r="P19" s="60"/>
      <c r="Q19" s="64">
        <f>IF(ISBLANK(P19),0,ABS(Uzman_E!E$13-P19))</f>
        <v>0</v>
      </c>
      <c r="R19" s="55">
        <f>IF(ISBLANK(P19),0,INDEX(Tablo_E!$B$2:$CX$102,MATCH(ROUND(Uzman_E!E$13,1),Tablo_E!$A$2:$A$102,1),MATCH(ROUND(Q19,1),Tablo_E!$B$1:$CX$1,1)))</f>
        <v>0</v>
      </c>
      <c r="S19" s="56">
        <f t="shared" si="0"/>
        <v>0</v>
      </c>
      <c r="T19" s="50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 spans="1:36" ht="15" customHeight="1" thickBot="1" x14ac:dyDescent="0.25">
      <c r="A20" s="57">
        <v>17</v>
      </c>
      <c r="B20" s="58">
        <f>Hakemler!B20</f>
        <v>0</v>
      </c>
      <c r="C20" s="59">
        <f>Hakemler!C20</f>
        <v>0</v>
      </c>
      <c r="D20" s="60"/>
      <c r="E20" s="64">
        <f>IF(ISBLANK(D20),0,ABS(Uzman_E!A$13-D20))</f>
        <v>0</v>
      </c>
      <c r="F20" s="55">
        <f>IF(ISBLANK(D20),0,INDEX(Tablo_E!$B$2:$CX$102,MATCH(ROUND(Uzman_E!A$13,1),Tablo_E!$A$2:$A$102,1),MATCH(ROUND(E20,1),Tablo_E!$B$1:$CX$1,1)))</f>
        <v>0</v>
      </c>
      <c r="G20" s="60"/>
      <c r="H20" s="64">
        <f>IF(ISBLANK(G20),0,ABS(Uzman_E!B$13-G20))</f>
        <v>0</v>
      </c>
      <c r="I20" s="55">
        <f>IF(ISBLANK(G20),0,INDEX(Tablo_E!$B$2:$CX$102,MATCH(ROUND(Uzman_E!B$13,1),Tablo_E!$A$2:$A$102,1),MATCH(ROUND(H20,1),Tablo_E!$B$1:$CX$1,1)))</f>
        <v>0</v>
      </c>
      <c r="J20" s="60"/>
      <c r="K20" s="64">
        <f>IF(ISBLANK(J20),0,ABS(Uzman_E!C$13-J20))</f>
        <v>0</v>
      </c>
      <c r="L20" s="55">
        <f>IF(ISBLANK(J20),0,INDEX(Tablo_E!$B$2:$CX$102,MATCH(ROUND(Uzman_E!C$13,1),Tablo_E!$A$2:$A$102,1),MATCH(ROUND(K20,1),Tablo_E!$B$1:$CX$1,1)))</f>
        <v>0</v>
      </c>
      <c r="M20" s="60"/>
      <c r="N20" s="64">
        <f>IF(ISBLANK(M20),0,ABS(Uzman_E!D$13-M20))</f>
        <v>0</v>
      </c>
      <c r="O20" s="55">
        <f>IF(ISBLANK(M20),0,INDEX(Tablo_E!$B$2:$CX$102,MATCH(ROUND(Uzman_E!D$13,1),Tablo_E!$A$2:$A$102,1),MATCH(ROUND(N20,1),Tablo_E!$B$1:$CX$1,1)))</f>
        <v>0</v>
      </c>
      <c r="P20" s="60"/>
      <c r="Q20" s="64">
        <f>IF(ISBLANK(P20),0,ABS(Uzman_E!E$13-P20))</f>
        <v>0</v>
      </c>
      <c r="R20" s="55">
        <f>IF(ISBLANK(P20),0,INDEX(Tablo_E!$B$2:$CX$102,MATCH(ROUND(Uzman_E!E$13,1),Tablo_E!$A$2:$A$102,1),MATCH(ROUND(Q20,1),Tablo_E!$B$1:$CX$1,1)))</f>
        <v>0</v>
      </c>
      <c r="S20" s="56">
        <f t="shared" si="0"/>
        <v>0</v>
      </c>
      <c r="T20" s="50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1:36" ht="15" customHeight="1" thickBot="1" x14ac:dyDescent="0.25">
      <c r="A21" s="57">
        <v>18</v>
      </c>
      <c r="B21" s="58">
        <f>Hakemler!B21</f>
        <v>0</v>
      </c>
      <c r="C21" s="59">
        <f>Hakemler!C21</f>
        <v>0</v>
      </c>
      <c r="D21" s="60"/>
      <c r="E21" s="64">
        <f>IF(ISBLANK(D21),0,ABS(Uzman_E!A$13-D21))</f>
        <v>0</v>
      </c>
      <c r="F21" s="55">
        <f>IF(ISBLANK(D21),0,INDEX(Tablo_E!$B$2:$CX$102,MATCH(ROUND(Uzman_E!A$13,1),Tablo_E!$A$2:$A$102,1),MATCH(ROUND(E21,1),Tablo_E!$B$1:$CX$1,1)))</f>
        <v>0</v>
      </c>
      <c r="G21" s="60"/>
      <c r="H21" s="64">
        <f>IF(ISBLANK(G21),0,ABS(Uzman_E!B$13-G21))</f>
        <v>0</v>
      </c>
      <c r="I21" s="55">
        <f>IF(ISBLANK(G21),0,INDEX(Tablo_E!$B$2:$CX$102,MATCH(ROUND(Uzman_E!B$13,1),Tablo_E!$A$2:$A$102,1),MATCH(ROUND(H21,1),Tablo_E!$B$1:$CX$1,1)))</f>
        <v>0</v>
      </c>
      <c r="J21" s="60"/>
      <c r="K21" s="64">
        <f>IF(ISBLANK(J21),0,ABS(Uzman_E!C$13-J21))</f>
        <v>0</v>
      </c>
      <c r="L21" s="55">
        <f>IF(ISBLANK(J21),0,INDEX(Tablo_E!$B$2:$CX$102,MATCH(ROUND(Uzman_E!C$13,1),Tablo_E!$A$2:$A$102,1),MATCH(ROUND(K21,1),Tablo_E!$B$1:$CX$1,1)))</f>
        <v>0</v>
      </c>
      <c r="M21" s="60"/>
      <c r="N21" s="64">
        <f>IF(ISBLANK(M21),0,ABS(Uzman_E!D$13-M21))</f>
        <v>0</v>
      </c>
      <c r="O21" s="55">
        <f>IF(ISBLANK(M21),0,INDEX(Tablo_E!$B$2:$CX$102,MATCH(ROUND(Uzman_E!D$13,1),Tablo_E!$A$2:$A$102,1),MATCH(ROUND(N21,1),Tablo_E!$B$1:$CX$1,1)))</f>
        <v>0</v>
      </c>
      <c r="P21" s="60"/>
      <c r="Q21" s="64">
        <f>IF(ISBLANK(P21),0,ABS(Uzman_E!E$13-P21))</f>
        <v>0</v>
      </c>
      <c r="R21" s="55">
        <f>IF(ISBLANK(P21),0,INDEX(Tablo_E!$B$2:$CX$102,MATCH(ROUND(Uzman_E!E$13,1),Tablo_E!$A$2:$A$102,1),MATCH(ROUND(Q21,1),Tablo_E!$B$1:$CX$1,1)))</f>
        <v>0</v>
      </c>
      <c r="S21" s="56">
        <f t="shared" si="0"/>
        <v>0</v>
      </c>
      <c r="T21" s="50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spans="1:36" ht="15" customHeight="1" thickBot="1" x14ac:dyDescent="0.25">
      <c r="A22" s="57">
        <v>19</v>
      </c>
      <c r="B22" s="58">
        <f>Hakemler!B22</f>
        <v>0</v>
      </c>
      <c r="C22" s="59">
        <f>Hakemler!C22</f>
        <v>0</v>
      </c>
      <c r="D22" s="60"/>
      <c r="E22" s="64">
        <f>IF(ISBLANK(D22),0,ABS(Uzman_E!A$13-D22))</f>
        <v>0</v>
      </c>
      <c r="F22" s="55">
        <f>IF(ISBLANK(D22),0,INDEX(Tablo_E!$B$2:$CX$102,MATCH(ROUND(Uzman_E!A$13,1),Tablo_E!$A$2:$A$102,1),MATCH(ROUND(E22,1),Tablo_E!$B$1:$CX$1,1)))</f>
        <v>0</v>
      </c>
      <c r="G22" s="60"/>
      <c r="H22" s="64">
        <f>IF(ISBLANK(G22),0,ABS(Uzman_E!B$13-G22))</f>
        <v>0</v>
      </c>
      <c r="I22" s="55">
        <f>IF(ISBLANK(G22),0,INDEX(Tablo_E!$B$2:$CX$102,MATCH(ROUND(Uzman_E!B$13,1),Tablo_E!$A$2:$A$102,1),MATCH(ROUND(H22,1),Tablo_E!$B$1:$CX$1,1)))</f>
        <v>0</v>
      </c>
      <c r="J22" s="60"/>
      <c r="K22" s="64">
        <f>IF(ISBLANK(J22),0,ABS(Uzman_E!C$13-J22))</f>
        <v>0</v>
      </c>
      <c r="L22" s="55">
        <f>IF(ISBLANK(J22),0,INDEX(Tablo_E!$B$2:$CX$102,MATCH(ROUND(Uzman_E!C$13,1),Tablo_E!$A$2:$A$102,1),MATCH(ROUND(K22,1),Tablo_E!$B$1:$CX$1,1)))</f>
        <v>0</v>
      </c>
      <c r="M22" s="60"/>
      <c r="N22" s="64">
        <f>IF(ISBLANK(M22),0,ABS(Uzman_E!D$13-M22))</f>
        <v>0</v>
      </c>
      <c r="O22" s="55">
        <f>IF(ISBLANK(M22),0,INDEX(Tablo_E!$B$2:$CX$102,MATCH(ROUND(Uzman_E!D$13,1),Tablo_E!$A$2:$A$102,1),MATCH(ROUND(N22,1),Tablo_E!$B$1:$CX$1,1)))</f>
        <v>0</v>
      </c>
      <c r="P22" s="60"/>
      <c r="Q22" s="64">
        <f>IF(ISBLANK(P22),0,ABS(Uzman_E!E$13-P22))</f>
        <v>0</v>
      </c>
      <c r="R22" s="55">
        <f>IF(ISBLANK(P22),0,INDEX(Tablo_E!$B$2:$CX$102,MATCH(ROUND(Uzman_E!E$13,1),Tablo_E!$A$2:$A$102,1),MATCH(ROUND(Q22,1),Tablo_E!$B$1:$CX$1,1)))</f>
        <v>0</v>
      </c>
      <c r="S22" s="56">
        <f t="shared" si="0"/>
        <v>0</v>
      </c>
      <c r="T22" s="50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5" customHeight="1" thickBot="1" x14ac:dyDescent="0.25">
      <c r="A23" s="57">
        <v>20</v>
      </c>
      <c r="B23" s="58">
        <f>Hakemler!B23</f>
        <v>0</v>
      </c>
      <c r="C23" s="59">
        <f>Hakemler!C23</f>
        <v>0</v>
      </c>
      <c r="D23" s="60"/>
      <c r="E23" s="64">
        <f>IF(ISBLANK(D23),0,ABS(Uzman_E!A$13-D23))</f>
        <v>0</v>
      </c>
      <c r="F23" s="55">
        <f>IF(ISBLANK(D23),0,INDEX(Tablo_E!$B$2:$CX$102,MATCH(ROUND(Uzman_E!A$13,1),Tablo_E!$A$2:$A$102,1),MATCH(ROUND(E23,1),Tablo_E!$B$1:$CX$1,1)))</f>
        <v>0</v>
      </c>
      <c r="G23" s="60"/>
      <c r="H23" s="64">
        <f>IF(ISBLANK(G23),0,ABS(Uzman_E!B$13-G23))</f>
        <v>0</v>
      </c>
      <c r="I23" s="55">
        <f>IF(ISBLANK(G23),0,INDEX(Tablo_E!$B$2:$CX$102,MATCH(ROUND(Uzman_E!B$13,1),Tablo_E!$A$2:$A$102,1),MATCH(ROUND(H23,1),Tablo_E!$B$1:$CX$1,1)))</f>
        <v>0</v>
      </c>
      <c r="J23" s="60"/>
      <c r="K23" s="64">
        <f>IF(ISBLANK(J23),0,ABS(Uzman_E!C$13-J23))</f>
        <v>0</v>
      </c>
      <c r="L23" s="55">
        <f>IF(ISBLANK(J23),0,INDEX(Tablo_E!$B$2:$CX$102,MATCH(ROUND(Uzman_E!C$13,1),Tablo_E!$A$2:$A$102,1),MATCH(ROUND(K23,1),Tablo_E!$B$1:$CX$1,1)))</f>
        <v>0</v>
      </c>
      <c r="M23" s="60"/>
      <c r="N23" s="64">
        <f>IF(ISBLANK(M23),0,ABS(Uzman_E!D$13-M23))</f>
        <v>0</v>
      </c>
      <c r="O23" s="55">
        <f>IF(ISBLANK(M23),0,INDEX(Tablo_E!$B$2:$CX$102,MATCH(ROUND(Uzman_E!D$13,1),Tablo_E!$A$2:$A$102,1),MATCH(ROUND(N23,1),Tablo_E!$B$1:$CX$1,1)))</f>
        <v>0</v>
      </c>
      <c r="P23" s="60"/>
      <c r="Q23" s="64">
        <f>IF(ISBLANK(P23),0,ABS(Uzman_E!E$13-P23))</f>
        <v>0</v>
      </c>
      <c r="R23" s="55">
        <f>IF(ISBLANK(P23),0,INDEX(Tablo_E!$B$2:$CX$102,MATCH(ROUND(Uzman_E!E$13,1),Tablo_E!$A$2:$A$102,1),MATCH(ROUND(Q23,1),Tablo_E!$B$1:$CX$1,1)))</f>
        <v>0</v>
      </c>
      <c r="S23" s="56">
        <f t="shared" si="0"/>
        <v>0</v>
      </c>
      <c r="T23" s="50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spans="1:36" ht="15" customHeight="1" thickBot="1" x14ac:dyDescent="0.25">
      <c r="A24" s="57">
        <v>21</v>
      </c>
      <c r="B24" s="58">
        <f>Hakemler!B24</f>
        <v>0</v>
      </c>
      <c r="C24" s="59">
        <f>Hakemler!C24</f>
        <v>0</v>
      </c>
      <c r="D24" s="60"/>
      <c r="E24" s="64">
        <f>IF(ISBLANK(D24),0,ABS(Uzman_E!A$13-D24))</f>
        <v>0</v>
      </c>
      <c r="F24" s="55">
        <f>IF(ISBLANK(D24),0,INDEX(Tablo_E!$B$2:$CX$102,MATCH(ROUND(Uzman_E!A$13,1),Tablo_E!$A$2:$A$102,1),MATCH(ROUND(E24,1),Tablo_E!$B$1:$CX$1,1)))</f>
        <v>0</v>
      </c>
      <c r="G24" s="60"/>
      <c r="H24" s="64">
        <f>IF(ISBLANK(G24),0,ABS(Uzman_E!B$13-G24))</f>
        <v>0</v>
      </c>
      <c r="I24" s="55">
        <f>IF(ISBLANK(G24),0,INDEX(Tablo_E!$B$2:$CX$102,MATCH(ROUND(Uzman_E!B$13,1),Tablo_E!$A$2:$A$102,1),MATCH(ROUND(H24,1),Tablo_E!$B$1:$CX$1,1)))</f>
        <v>0</v>
      </c>
      <c r="J24" s="60"/>
      <c r="K24" s="64">
        <f>IF(ISBLANK(J24),0,ABS(Uzman_E!C$13-J24))</f>
        <v>0</v>
      </c>
      <c r="L24" s="55">
        <f>IF(ISBLANK(J24),0,INDEX(Tablo_E!$B$2:$CX$102,MATCH(ROUND(Uzman_E!C$13,1),Tablo_E!$A$2:$A$102,1),MATCH(ROUND(K24,1),Tablo_E!$B$1:$CX$1,1)))</f>
        <v>0</v>
      </c>
      <c r="M24" s="60"/>
      <c r="N24" s="64">
        <f>IF(ISBLANK(M24),0,ABS(Uzman_E!D$13-M24))</f>
        <v>0</v>
      </c>
      <c r="O24" s="55">
        <f>IF(ISBLANK(M24),0,INDEX(Tablo_E!$B$2:$CX$102,MATCH(ROUND(Uzman_E!D$13,1),Tablo_E!$A$2:$A$102,1),MATCH(ROUND(N24,1),Tablo_E!$B$1:$CX$1,1)))</f>
        <v>0</v>
      </c>
      <c r="P24" s="60"/>
      <c r="Q24" s="64">
        <f>IF(ISBLANK(P24),0,ABS(Uzman_E!E$13-P24))</f>
        <v>0</v>
      </c>
      <c r="R24" s="55">
        <f>IF(ISBLANK(P24),0,INDEX(Tablo_E!$B$2:$CX$102,MATCH(ROUND(Uzman_E!E$13,1),Tablo_E!$A$2:$A$102,1),MATCH(ROUND(Q24,1),Tablo_E!$B$1:$CX$1,1)))</f>
        <v>0</v>
      </c>
      <c r="S24" s="56">
        <f t="shared" si="0"/>
        <v>0</v>
      </c>
      <c r="T24" s="50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spans="1:36" ht="15" customHeight="1" thickBot="1" x14ac:dyDescent="0.25">
      <c r="A25" s="57">
        <v>22</v>
      </c>
      <c r="B25" s="58">
        <f>Hakemler!B25</f>
        <v>0</v>
      </c>
      <c r="C25" s="59">
        <f>Hakemler!C25</f>
        <v>0</v>
      </c>
      <c r="D25" s="60"/>
      <c r="E25" s="64">
        <f>IF(ISBLANK(D25),0,ABS(Uzman_E!A$13-D25))</f>
        <v>0</v>
      </c>
      <c r="F25" s="55">
        <f>IF(ISBLANK(D25),0,INDEX(Tablo_E!$B$2:$CX$102,MATCH(ROUND(Uzman_E!A$13,1),Tablo_E!$A$2:$A$102,1),MATCH(ROUND(E25,1),Tablo_E!$B$1:$CX$1,1)))</f>
        <v>0</v>
      </c>
      <c r="G25" s="60"/>
      <c r="H25" s="64">
        <f>IF(ISBLANK(G25),0,ABS(Uzman_E!B$13-G25))</f>
        <v>0</v>
      </c>
      <c r="I25" s="55">
        <f>IF(ISBLANK(G25),0,INDEX(Tablo_E!$B$2:$CX$102,MATCH(ROUND(Uzman_E!B$13,1),Tablo_E!$A$2:$A$102,1),MATCH(ROUND(H25,1),Tablo_E!$B$1:$CX$1,1)))</f>
        <v>0</v>
      </c>
      <c r="J25" s="60"/>
      <c r="K25" s="64">
        <f>IF(ISBLANK(J25),0,ABS(Uzman_E!C$13-J25))</f>
        <v>0</v>
      </c>
      <c r="L25" s="55">
        <f>IF(ISBLANK(J25),0,INDEX(Tablo_E!$B$2:$CX$102,MATCH(ROUND(Uzman_E!C$13,1),Tablo_E!$A$2:$A$102,1),MATCH(ROUND(K25,1),Tablo_E!$B$1:$CX$1,1)))</f>
        <v>0</v>
      </c>
      <c r="M25" s="60"/>
      <c r="N25" s="64">
        <f>IF(ISBLANK(M25),0,ABS(Uzman_E!D$13-M25))</f>
        <v>0</v>
      </c>
      <c r="O25" s="55">
        <f>IF(ISBLANK(M25),0,INDEX(Tablo_E!$B$2:$CX$102,MATCH(ROUND(Uzman_E!D$13,1),Tablo_E!$A$2:$A$102,1),MATCH(ROUND(N25,1),Tablo_E!$B$1:$CX$1,1)))</f>
        <v>0</v>
      </c>
      <c r="P25" s="60"/>
      <c r="Q25" s="64">
        <f>IF(ISBLANK(P25),0,ABS(Uzman_E!E$13-P25))</f>
        <v>0</v>
      </c>
      <c r="R25" s="55">
        <f>IF(ISBLANK(P25),0,INDEX(Tablo_E!$B$2:$CX$102,MATCH(ROUND(Uzman_E!E$13,1),Tablo_E!$A$2:$A$102,1),MATCH(ROUND(Q25,1),Tablo_E!$B$1:$CX$1,1)))</f>
        <v>0</v>
      </c>
      <c r="S25" s="56">
        <f t="shared" si="0"/>
        <v>0</v>
      </c>
      <c r="T25" s="50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spans="1:36" ht="15" customHeight="1" thickBot="1" x14ac:dyDescent="0.25">
      <c r="A26" s="57">
        <v>23</v>
      </c>
      <c r="B26" s="58">
        <f>Hakemler!B26</f>
        <v>0</v>
      </c>
      <c r="C26" s="59">
        <f>Hakemler!C26</f>
        <v>0</v>
      </c>
      <c r="D26" s="60"/>
      <c r="E26" s="64">
        <f>IF(ISBLANK(D26),0,ABS(Uzman_E!A$13-D26))</f>
        <v>0</v>
      </c>
      <c r="F26" s="55">
        <f>IF(ISBLANK(D26),0,INDEX(Tablo_E!$B$2:$CX$102,MATCH(ROUND(Uzman_E!A$13,1),Tablo_E!$A$2:$A$102,1),MATCH(ROUND(E26,1),Tablo_E!$B$1:$CX$1,1)))</f>
        <v>0</v>
      </c>
      <c r="G26" s="60"/>
      <c r="H26" s="64">
        <f>IF(ISBLANK(G26),0,ABS(Uzman_E!B$13-G26))</f>
        <v>0</v>
      </c>
      <c r="I26" s="55">
        <f>IF(ISBLANK(G26),0,INDEX(Tablo_E!$B$2:$CX$102,MATCH(ROUND(Uzman_E!B$13,1),Tablo_E!$A$2:$A$102,1),MATCH(ROUND(H26,1),Tablo_E!$B$1:$CX$1,1)))</f>
        <v>0</v>
      </c>
      <c r="J26" s="60"/>
      <c r="K26" s="64">
        <f>IF(ISBLANK(J26),0,ABS(Uzman_E!C$13-J26))</f>
        <v>0</v>
      </c>
      <c r="L26" s="55">
        <f>IF(ISBLANK(J26),0,INDEX(Tablo_E!$B$2:$CX$102,MATCH(ROUND(Uzman_E!C$13,1),Tablo_E!$A$2:$A$102,1),MATCH(ROUND(K26,1),Tablo_E!$B$1:$CX$1,1)))</f>
        <v>0</v>
      </c>
      <c r="M26" s="60"/>
      <c r="N26" s="64">
        <f>IF(ISBLANK(M26),0,ABS(Uzman_E!D$13-M26))</f>
        <v>0</v>
      </c>
      <c r="O26" s="55">
        <f>IF(ISBLANK(M26),0,INDEX(Tablo_E!$B$2:$CX$102,MATCH(ROUND(Uzman_E!D$13,1),Tablo_E!$A$2:$A$102,1),MATCH(ROUND(N26,1),Tablo_E!$B$1:$CX$1,1)))</f>
        <v>0</v>
      </c>
      <c r="P26" s="60"/>
      <c r="Q26" s="64">
        <f>IF(ISBLANK(P26),0,ABS(Uzman_E!E$13-P26))</f>
        <v>0</v>
      </c>
      <c r="R26" s="55">
        <f>IF(ISBLANK(P26),0,INDEX(Tablo_E!$B$2:$CX$102,MATCH(ROUND(Uzman_E!E$13,1),Tablo_E!$A$2:$A$102,1),MATCH(ROUND(Q26,1),Tablo_E!$B$1:$CX$1,1)))</f>
        <v>0</v>
      </c>
      <c r="S26" s="56">
        <f t="shared" si="0"/>
        <v>0</v>
      </c>
      <c r="T26" s="50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6" ht="15" customHeight="1" thickBot="1" x14ac:dyDescent="0.25">
      <c r="A27" s="57">
        <v>24</v>
      </c>
      <c r="B27" s="58">
        <f>Hakemler!B27</f>
        <v>0</v>
      </c>
      <c r="C27" s="59">
        <f>Hakemler!C27</f>
        <v>0</v>
      </c>
      <c r="D27" s="60"/>
      <c r="E27" s="64">
        <f>IF(ISBLANK(D27),0,ABS(Uzman_E!A$13-D27))</f>
        <v>0</v>
      </c>
      <c r="F27" s="55">
        <f>IF(ISBLANK(D27),0,INDEX(Tablo_E!$B$2:$CX$102,MATCH(ROUND(Uzman_E!A$13,1),Tablo_E!$A$2:$A$102,1),MATCH(ROUND(E27,1),Tablo_E!$B$1:$CX$1,1)))</f>
        <v>0</v>
      </c>
      <c r="G27" s="60"/>
      <c r="H27" s="64">
        <f>IF(ISBLANK(G27),0,ABS(Uzman_E!B$13-G27))</f>
        <v>0</v>
      </c>
      <c r="I27" s="55">
        <f>IF(ISBLANK(G27),0,INDEX(Tablo_E!$B$2:$CX$102,MATCH(ROUND(Uzman_E!B$13,1),Tablo_E!$A$2:$A$102,1),MATCH(ROUND(H27,1),Tablo_E!$B$1:$CX$1,1)))</f>
        <v>0</v>
      </c>
      <c r="J27" s="60"/>
      <c r="K27" s="64">
        <f>IF(ISBLANK(J27),0,ABS(Uzman_E!C$13-J27))</f>
        <v>0</v>
      </c>
      <c r="L27" s="55">
        <f>IF(ISBLANK(J27),0,INDEX(Tablo_E!$B$2:$CX$102,MATCH(ROUND(Uzman_E!C$13,1),Tablo_E!$A$2:$A$102,1),MATCH(ROUND(K27,1),Tablo_E!$B$1:$CX$1,1)))</f>
        <v>0</v>
      </c>
      <c r="M27" s="60"/>
      <c r="N27" s="64">
        <f>IF(ISBLANK(M27),0,ABS(Uzman_E!D$13-M27))</f>
        <v>0</v>
      </c>
      <c r="O27" s="55">
        <f>IF(ISBLANK(M27),0,INDEX(Tablo_E!$B$2:$CX$102,MATCH(ROUND(Uzman_E!D$13,1),Tablo_E!$A$2:$A$102,1),MATCH(ROUND(N27,1),Tablo_E!$B$1:$CX$1,1)))</f>
        <v>0</v>
      </c>
      <c r="P27" s="60"/>
      <c r="Q27" s="64">
        <f>IF(ISBLANK(P27),0,ABS(Uzman_E!E$13-P27))</f>
        <v>0</v>
      </c>
      <c r="R27" s="55">
        <f>IF(ISBLANK(P27),0,INDEX(Tablo_E!$B$2:$CX$102,MATCH(ROUND(Uzman_E!E$13,1),Tablo_E!$A$2:$A$102,1),MATCH(ROUND(Q27,1),Tablo_E!$B$1:$CX$1,1)))</f>
        <v>0</v>
      </c>
      <c r="S27" s="56">
        <f t="shared" si="0"/>
        <v>0</v>
      </c>
      <c r="T27" s="50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6" ht="15" customHeight="1" thickBot="1" x14ac:dyDescent="0.25">
      <c r="A28" s="57">
        <v>25</v>
      </c>
      <c r="B28" s="58">
        <f>Hakemler!B28</f>
        <v>0</v>
      </c>
      <c r="C28" s="59">
        <f>Hakemler!C28</f>
        <v>0</v>
      </c>
      <c r="D28" s="60"/>
      <c r="E28" s="64">
        <f>IF(ISBLANK(D28),0,ABS(Uzman_E!A$13-D28))</f>
        <v>0</v>
      </c>
      <c r="F28" s="55">
        <f>IF(ISBLANK(D28),0,INDEX(Tablo_E!$B$2:$CX$102,MATCH(ROUND(Uzman_E!A$13,1),Tablo_E!$A$2:$A$102,1),MATCH(ROUND(E28,1),Tablo_E!$B$1:$CX$1,1)))</f>
        <v>0</v>
      </c>
      <c r="G28" s="60"/>
      <c r="H28" s="64">
        <f>IF(ISBLANK(G28),0,ABS(Uzman_E!B$13-G28))</f>
        <v>0</v>
      </c>
      <c r="I28" s="55">
        <f>IF(ISBLANK(G28),0,INDEX(Tablo_E!$B$2:$CX$102,MATCH(ROUND(Uzman_E!B$13,1),Tablo_E!$A$2:$A$102,1),MATCH(ROUND(H28,1),Tablo_E!$B$1:$CX$1,1)))</f>
        <v>0</v>
      </c>
      <c r="J28" s="60"/>
      <c r="K28" s="64">
        <f>IF(ISBLANK(J28),0,ABS(Uzman_E!C$13-J28))</f>
        <v>0</v>
      </c>
      <c r="L28" s="55">
        <f>IF(ISBLANK(J28),0,INDEX(Tablo_E!$B$2:$CX$102,MATCH(ROUND(Uzman_E!C$13,1),Tablo_E!$A$2:$A$102,1),MATCH(ROUND(K28,1),Tablo_E!$B$1:$CX$1,1)))</f>
        <v>0</v>
      </c>
      <c r="M28" s="60"/>
      <c r="N28" s="64">
        <f>IF(ISBLANK(M28),0,ABS(Uzman_E!D$13-M28))</f>
        <v>0</v>
      </c>
      <c r="O28" s="55">
        <f>IF(ISBLANK(M28),0,INDEX(Tablo_E!$B$2:$CX$102,MATCH(ROUND(Uzman_E!D$13,1),Tablo_E!$A$2:$A$102,1),MATCH(ROUND(N28,1),Tablo_E!$B$1:$CX$1,1)))</f>
        <v>0</v>
      </c>
      <c r="P28" s="60"/>
      <c r="Q28" s="64">
        <f>IF(ISBLANK(P28),0,ABS(Uzman_E!E$13-P28))</f>
        <v>0</v>
      </c>
      <c r="R28" s="55">
        <f>IF(ISBLANK(P28),0,INDEX(Tablo_E!$B$2:$CX$102,MATCH(ROUND(Uzman_E!E$13,1),Tablo_E!$A$2:$A$102,1),MATCH(ROUND(Q28,1),Tablo_E!$B$1:$CX$1,1)))</f>
        <v>0</v>
      </c>
      <c r="S28" s="56">
        <f t="shared" si="0"/>
        <v>0</v>
      </c>
      <c r="T28" s="50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spans="1:36" ht="15" customHeight="1" thickBot="1" x14ac:dyDescent="0.25">
      <c r="A29" s="57">
        <v>26</v>
      </c>
      <c r="B29" s="58">
        <f>Hakemler!B29</f>
        <v>0</v>
      </c>
      <c r="C29" s="59">
        <f>Hakemler!C29</f>
        <v>0</v>
      </c>
      <c r="D29" s="60"/>
      <c r="E29" s="64">
        <f>IF(ISBLANK(D29),0,ABS(Uzman_E!A$13-D29))</f>
        <v>0</v>
      </c>
      <c r="F29" s="55">
        <f>IF(ISBLANK(D29),0,INDEX(Tablo_E!$B$2:$CX$102,MATCH(ROUND(Uzman_E!A$13,1),Tablo_E!$A$2:$A$102,1),MATCH(ROUND(E29,1),Tablo_E!$B$1:$CX$1,1)))</f>
        <v>0</v>
      </c>
      <c r="G29" s="60"/>
      <c r="H29" s="64">
        <f>IF(ISBLANK(G29),0,ABS(Uzman_E!B$13-G29))</f>
        <v>0</v>
      </c>
      <c r="I29" s="55">
        <f>IF(ISBLANK(G29),0,INDEX(Tablo_E!$B$2:$CX$102,MATCH(ROUND(Uzman_E!B$13,1),Tablo_E!$A$2:$A$102,1),MATCH(ROUND(H29,1),Tablo_E!$B$1:$CX$1,1)))</f>
        <v>0</v>
      </c>
      <c r="J29" s="60"/>
      <c r="K29" s="64">
        <f>IF(ISBLANK(J29),0,ABS(Uzman_E!C$13-J29))</f>
        <v>0</v>
      </c>
      <c r="L29" s="55">
        <f>IF(ISBLANK(J29),0,INDEX(Tablo_E!$B$2:$CX$102,MATCH(ROUND(Uzman_E!C$13,1),Tablo_E!$A$2:$A$102,1),MATCH(ROUND(K29,1),Tablo_E!$B$1:$CX$1,1)))</f>
        <v>0</v>
      </c>
      <c r="M29" s="60"/>
      <c r="N29" s="64">
        <f>IF(ISBLANK(M29),0,ABS(Uzman_E!D$13-M29))</f>
        <v>0</v>
      </c>
      <c r="O29" s="55">
        <f>IF(ISBLANK(M29),0,INDEX(Tablo_E!$B$2:$CX$102,MATCH(ROUND(Uzman_E!D$13,1),Tablo_E!$A$2:$A$102,1),MATCH(ROUND(N29,1),Tablo_E!$B$1:$CX$1,1)))</f>
        <v>0</v>
      </c>
      <c r="P29" s="60"/>
      <c r="Q29" s="64">
        <f>IF(ISBLANK(P29),0,ABS(Uzman_E!E$13-P29))</f>
        <v>0</v>
      </c>
      <c r="R29" s="55">
        <f>IF(ISBLANK(P29),0,INDEX(Tablo_E!$B$2:$CX$102,MATCH(ROUND(Uzman_E!E$13,1),Tablo_E!$A$2:$A$102,1),MATCH(ROUND(Q29,1),Tablo_E!$B$1:$CX$1,1)))</f>
        <v>0</v>
      </c>
      <c r="S29" s="56">
        <f t="shared" si="0"/>
        <v>0</v>
      </c>
      <c r="T29" s="50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spans="1:36" ht="15" customHeight="1" thickBot="1" x14ac:dyDescent="0.25">
      <c r="A30" s="57">
        <v>27</v>
      </c>
      <c r="B30" s="58">
        <f>Hakemler!B30</f>
        <v>0</v>
      </c>
      <c r="C30" s="59">
        <f>Hakemler!C30</f>
        <v>0</v>
      </c>
      <c r="D30" s="60"/>
      <c r="E30" s="64">
        <f>IF(ISBLANK(D30),0,ABS(Uzman_E!A$13-D30))</f>
        <v>0</v>
      </c>
      <c r="F30" s="55">
        <f>IF(ISBLANK(D30),0,INDEX(Tablo_E!$B$2:$CX$102,MATCH(ROUND(Uzman_E!A$13,1),Tablo_E!$A$2:$A$102,1),MATCH(ROUND(E30,1),Tablo_E!$B$1:$CX$1,1)))</f>
        <v>0</v>
      </c>
      <c r="G30" s="60"/>
      <c r="H30" s="64">
        <f>IF(ISBLANK(G30),0,ABS(Uzman_E!B$13-G30))</f>
        <v>0</v>
      </c>
      <c r="I30" s="55">
        <f>IF(ISBLANK(G30),0,INDEX(Tablo_E!$B$2:$CX$102,MATCH(ROUND(Uzman_E!B$13,1),Tablo_E!$A$2:$A$102,1),MATCH(ROUND(H30,1),Tablo_E!$B$1:$CX$1,1)))</f>
        <v>0</v>
      </c>
      <c r="J30" s="60"/>
      <c r="K30" s="64">
        <f>IF(ISBLANK(J30),0,ABS(Uzman_E!C$13-J30))</f>
        <v>0</v>
      </c>
      <c r="L30" s="55">
        <f>IF(ISBLANK(J30),0,INDEX(Tablo_E!$B$2:$CX$102,MATCH(ROUND(Uzman_E!C$13,1),Tablo_E!$A$2:$A$102,1),MATCH(ROUND(K30,1),Tablo_E!$B$1:$CX$1,1)))</f>
        <v>0</v>
      </c>
      <c r="M30" s="60"/>
      <c r="N30" s="64">
        <f>IF(ISBLANK(M30),0,ABS(Uzman_E!D$13-M30))</f>
        <v>0</v>
      </c>
      <c r="O30" s="55">
        <f>IF(ISBLANK(M30),0,INDEX(Tablo_E!$B$2:$CX$102,MATCH(ROUND(Uzman_E!D$13,1),Tablo_E!$A$2:$A$102,1),MATCH(ROUND(N30,1),Tablo_E!$B$1:$CX$1,1)))</f>
        <v>0</v>
      </c>
      <c r="P30" s="60"/>
      <c r="Q30" s="64">
        <f>IF(ISBLANK(P30),0,ABS(Uzman_E!E$13-P30))</f>
        <v>0</v>
      </c>
      <c r="R30" s="55">
        <f>IF(ISBLANK(P30),0,INDEX(Tablo_E!$B$2:$CX$102,MATCH(ROUND(Uzman_E!E$13,1),Tablo_E!$A$2:$A$102,1),MATCH(ROUND(Q30,1),Tablo_E!$B$1:$CX$1,1)))</f>
        <v>0</v>
      </c>
      <c r="S30" s="56">
        <f t="shared" si="0"/>
        <v>0</v>
      </c>
      <c r="T30" s="50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6" ht="15" customHeight="1" thickBot="1" x14ac:dyDescent="0.25">
      <c r="A31" s="57">
        <v>28</v>
      </c>
      <c r="B31" s="58">
        <f>Hakemler!B31</f>
        <v>0</v>
      </c>
      <c r="C31" s="59">
        <f>Hakemler!C31</f>
        <v>0</v>
      </c>
      <c r="D31" s="60"/>
      <c r="E31" s="64">
        <f>IF(ISBLANK(D31),0,ABS(Uzman_E!A$13-D31))</f>
        <v>0</v>
      </c>
      <c r="F31" s="55">
        <f>IF(ISBLANK(D31),0,INDEX(Tablo_E!$B$2:$CX$102,MATCH(ROUND(Uzman_E!A$13,1),Tablo_E!$A$2:$A$102,1),MATCH(ROUND(E31,1),Tablo_E!$B$1:$CX$1,1)))</f>
        <v>0</v>
      </c>
      <c r="G31" s="60"/>
      <c r="H31" s="64">
        <f>IF(ISBLANK(G31),0,ABS(Uzman_E!B$13-G31))</f>
        <v>0</v>
      </c>
      <c r="I31" s="55">
        <f>IF(ISBLANK(G31),0,INDEX(Tablo_E!$B$2:$CX$102,MATCH(ROUND(Uzman_E!B$13,1),Tablo_E!$A$2:$A$102,1),MATCH(ROUND(H31,1),Tablo_E!$B$1:$CX$1,1)))</f>
        <v>0</v>
      </c>
      <c r="J31" s="60"/>
      <c r="K31" s="64">
        <f>IF(ISBLANK(J31),0,ABS(Uzman_E!C$13-J31))</f>
        <v>0</v>
      </c>
      <c r="L31" s="55">
        <f>IF(ISBLANK(J31),0,INDEX(Tablo_E!$B$2:$CX$102,MATCH(ROUND(Uzman_E!C$13,1),Tablo_E!$A$2:$A$102,1),MATCH(ROUND(K31,1),Tablo_E!$B$1:$CX$1,1)))</f>
        <v>0</v>
      </c>
      <c r="M31" s="60"/>
      <c r="N31" s="64">
        <f>IF(ISBLANK(M31),0,ABS(Uzman_E!D$13-M31))</f>
        <v>0</v>
      </c>
      <c r="O31" s="55">
        <f>IF(ISBLANK(M31),0,INDEX(Tablo_E!$B$2:$CX$102,MATCH(ROUND(Uzman_E!D$13,1),Tablo_E!$A$2:$A$102,1),MATCH(ROUND(N31,1),Tablo_E!$B$1:$CX$1,1)))</f>
        <v>0</v>
      </c>
      <c r="P31" s="60"/>
      <c r="Q31" s="64">
        <f>IF(ISBLANK(P31),0,ABS(Uzman_E!E$13-P31))</f>
        <v>0</v>
      </c>
      <c r="R31" s="55">
        <f>IF(ISBLANK(P31),0,INDEX(Tablo_E!$B$2:$CX$102,MATCH(ROUND(Uzman_E!E$13,1),Tablo_E!$A$2:$A$102,1),MATCH(ROUND(Q31,1),Tablo_E!$B$1:$CX$1,1)))</f>
        <v>0</v>
      </c>
      <c r="S31" s="56">
        <f t="shared" si="0"/>
        <v>0</v>
      </c>
      <c r="T31" s="50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spans="1:36" ht="15" customHeight="1" thickBot="1" x14ac:dyDescent="0.25">
      <c r="A32" s="57">
        <v>29</v>
      </c>
      <c r="B32" s="58">
        <f>Hakemler!B32</f>
        <v>0</v>
      </c>
      <c r="C32" s="59">
        <f>Hakemler!C32</f>
        <v>0</v>
      </c>
      <c r="D32" s="60"/>
      <c r="E32" s="64">
        <f>IF(ISBLANK(D32),0,ABS(Uzman_E!A$13-D32))</f>
        <v>0</v>
      </c>
      <c r="F32" s="55">
        <f>IF(ISBLANK(D32),0,INDEX(Tablo_E!$B$2:$CX$102,MATCH(ROUND(Uzman_E!A$13,1),Tablo_E!$A$2:$A$102,1),MATCH(ROUND(E32,1),Tablo_E!$B$1:$CX$1,1)))</f>
        <v>0</v>
      </c>
      <c r="G32" s="60"/>
      <c r="H32" s="64">
        <f>IF(ISBLANK(G32),0,ABS(Uzman_E!B$13-G32))</f>
        <v>0</v>
      </c>
      <c r="I32" s="55">
        <f>IF(ISBLANK(G32),0,INDEX(Tablo_E!$B$2:$CX$102,MATCH(ROUND(Uzman_E!B$13,1),Tablo_E!$A$2:$A$102,1),MATCH(ROUND(H32,1),Tablo_E!$B$1:$CX$1,1)))</f>
        <v>0</v>
      </c>
      <c r="J32" s="60"/>
      <c r="K32" s="64">
        <f>IF(ISBLANK(J32),0,ABS(Uzman_E!C$13-J32))</f>
        <v>0</v>
      </c>
      <c r="L32" s="55">
        <f>IF(ISBLANK(J32),0,INDEX(Tablo_E!$B$2:$CX$102,MATCH(ROUND(Uzman_E!C$13,1),Tablo_E!$A$2:$A$102,1),MATCH(ROUND(K32,1),Tablo_E!$B$1:$CX$1,1)))</f>
        <v>0</v>
      </c>
      <c r="M32" s="60"/>
      <c r="N32" s="64">
        <f>IF(ISBLANK(M32),0,ABS(Uzman_E!D$13-M32))</f>
        <v>0</v>
      </c>
      <c r="O32" s="55">
        <f>IF(ISBLANK(M32),0,INDEX(Tablo_E!$B$2:$CX$102,MATCH(ROUND(Uzman_E!D$13,1),Tablo_E!$A$2:$A$102,1),MATCH(ROUND(N32,1),Tablo_E!$B$1:$CX$1,1)))</f>
        <v>0</v>
      </c>
      <c r="P32" s="60"/>
      <c r="Q32" s="64">
        <f>IF(ISBLANK(P32),0,ABS(Uzman_E!E$13-P32))</f>
        <v>0</v>
      </c>
      <c r="R32" s="55">
        <f>IF(ISBLANK(P32),0,INDEX(Tablo_E!$B$2:$CX$102,MATCH(ROUND(Uzman_E!E$13,1),Tablo_E!$A$2:$A$102,1),MATCH(ROUND(Q32,1),Tablo_E!$B$1:$CX$1,1)))</f>
        <v>0</v>
      </c>
      <c r="S32" s="56">
        <f t="shared" si="0"/>
        <v>0</v>
      </c>
      <c r="T32" s="50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spans="1:36" ht="15" customHeight="1" thickBot="1" x14ac:dyDescent="0.25">
      <c r="A33" s="57">
        <v>30</v>
      </c>
      <c r="B33" s="58">
        <f>Hakemler!B33</f>
        <v>0</v>
      </c>
      <c r="C33" s="59">
        <f>Hakemler!C33</f>
        <v>0</v>
      </c>
      <c r="D33" s="60"/>
      <c r="E33" s="64">
        <f>IF(ISBLANK(D33),0,ABS(Uzman_E!A$13-D33))</f>
        <v>0</v>
      </c>
      <c r="F33" s="55">
        <f>IF(ISBLANK(D33),0,INDEX(Tablo_E!$B$2:$CX$102,MATCH(ROUND(Uzman_E!A$13,1),Tablo_E!$A$2:$A$102,1),MATCH(ROUND(E33,1),Tablo_E!$B$1:$CX$1,1)))</f>
        <v>0</v>
      </c>
      <c r="G33" s="60"/>
      <c r="H33" s="64">
        <f>IF(ISBLANK(G33),0,ABS(Uzman_E!B$13-G33))</f>
        <v>0</v>
      </c>
      <c r="I33" s="55">
        <f>IF(ISBLANK(G33),0,INDEX(Tablo_E!$B$2:$CX$102,MATCH(ROUND(Uzman_E!B$13,1),Tablo_E!$A$2:$A$102,1),MATCH(ROUND(H33,1),Tablo_E!$B$1:$CX$1,1)))</f>
        <v>0</v>
      </c>
      <c r="J33" s="60"/>
      <c r="K33" s="64">
        <f>IF(ISBLANK(J33),0,ABS(Uzman_E!C$13-J33))</f>
        <v>0</v>
      </c>
      <c r="L33" s="55">
        <f>IF(ISBLANK(J33),0,INDEX(Tablo_E!$B$2:$CX$102,MATCH(ROUND(Uzman_E!C$13,1),Tablo_E!$A$2:$A$102,1),MATCH(ROUND(K33,1),Tablo_E!$B$1:$CX$1,1)))</f>
        <v>0</v>
      </c>
      <c r="M33" s="60"/>
      <c r="N33" s="64">
        <f>IF(ISBLANK(M33),0,ABS(Uzman_E!D$13-M33))</f>
        <v>0</v>
      </c>
      <c r="O33" s="55">
        <f>IF(ISBLANK(M33),0,INDEX(Tablo_E!$B$2:$CX$102,MATCH(ROUND(Uzman_E!D$13,1),Tablo_E!$A$2:$A$102,1),MATCH(ROUND(N33,1),Tablo_E!$B$1:$CX$1,1)))</f>
        <v>0</v>
      </c>
      <c r="P33" s="60"/>
      <c r="Q33" s="64">
        <f>IF(ISBLANK(P33),0,ABS(Uzman_E!E$13-P33))</f>
        <v>0</v>
      </c>
      <c r="R33" s="55">
        <f>IF(ISBLANK(P33),0,INDEX(Tablo_E!$B$2:$CX$102,MATCH(ROUND(Uzman_E!E$13,1),Tablo_E!$A$2:$A$102,1),MATCH(ROUND(Q33,1),Tablo_E!$B$1:$CX$1,1)))</f>
        <v>0</v>
      </c>
      <c r="S33" s="56">
        <f t="shared" si="0"/>
        <v>0</v>
      </c>
      <c r="T33" s="50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spans="1:36" ht="15" customHeight="1" thickBot="1" x14ac:dyDescent="0.25">
      <c r="A34" s="57">
        <v>31</v>
      </c>
      <c r="B34" s="58">
        <f>Hakemler!B34</f>
        <v>0</v>
      </c>
      <c r="C34" s="59">
        <f>Hakemler!C34</f>
        <v>0</v>
      </c>
      <c r="D34" s="60"/>
      <c r="E34" s="64">
        <f>IF(ISBLANK(D34),0,ABS(Uzman_E!A$13-D34))</f>
        <v>0</v>
      </c>
      <c r="F34" s="55">
        <f>IF(ISBLANK(D34),0,INDEX(Tablo_E!$B$2:$CX$102,MATCH(ROUND(Uzman_E!A$13,1),Tablo_E!$A$2:$A$102,1),MATCH(ROUND(E34,1),Tablo_E!$B$1:$CX$1,1)))</f>
        <v>0</v>
      </c>
      <c r="G34" s="60"/>
      <c r="H34" s="64">
        <f>IF(ISBLANK(G34),0,ABS(Uzman_E!B$13-G34))</f>
        <v>0</v>
      </c>
      <c r="I34" s="55">
        <f>IF(ISBLANK(G34),0,INDEX(Tablo_E!$B$2:$CX$102,MATCH(ROUND(Uzman_E!B$13,1),Tablo_E!$A$2:$A$102,1),MATCH(ROUND(H34,1),Tablo_E!$B$1:$CX$1,1)))</f>
        <v>0</v>
      </c>
      <c r="J34" s="60"/>
      <c r="K34" s="64">
        <f>IF(ISBLANK(J34),0,ABS(Uzman_E!C$13-J34))</f>
        <v>0</v>
      </c>
      <c r="L34" s="55">
        <f>IF(ISBLANK(J34),0,INDEX(Tablo_E!$B$2:$CX$102,MATCH(ROUND(Uzman_E!C$13,1),Tablo_E!$A$2:$A$102,1),MATCH(ROUND(K34,1),Tablo_E!$B$1:$CX$1,1)))</f>
        <v>0</v>
      </c>
      <c r="M34" s="60"/>
      <c r="N34" s="64">
        <f>IF(ISBLANK(M34),0,ABS(Uzman_E!D$13-M34))</f>
        <v>0</v>
      </c>
      <c r="O34" s="55">
        <f>IF(ISBLANK(M34),0,INDEX(Tablo_E!$B$2:$CX$102,MATCH(ROUND(Uzman_E!D$13,1),Tablo_E!$A$2:$A$102,1),MATCH(ROUND(N34,1),Tablo_E!$B$1:$CX$1,1)))</f>
        <v>0</v>
      </c>
      <c r="P34" s="60"/>
      <c r="Q34" s="64">
        <f>IF(ISBLANK(P34),0,ABS(Uzman_E!E$13-P34))</f>
        <v>0</v>
      </c>
      <c r="R34" s="55">
        <f>IF(ISBLANK(P34),0,INDEX(Tablo_E!$B$2:$CX$102,MATCH(ROUND(Uzman_E!E$13,1),Tablo_E!$A$2:$A$102,1),MATCH(ROUND(Q34,1),Tablo_E!$B$1:$CX$1,1)))</f>
        <v>0</v>
      </c>
      <c r="S34" s="56">
        <f t="shared" si="0"/>
        <v>0</v>
      </c>
      <c r="T34" s="50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spans="1:36" ht="15" customHeight="1" thickBot="1" x14ac:dyDescent="0.25">
      <c r="A35" s="57">
        <v>32</v>
      </c>
      <c r="B35" s="58">
        <f>Hakemler!B35</f>
        <v>0</v>
      </c>
      <c r="C35" s="59">
        <f>Hakemler!C35</f>
        <v>0</v>
      </c>
      <c r="D35" s="60"/>
      <c r="E35" s="64">
        <f>IF(ISBLANK(D35),0,ABS(Uzman_E!A$13-D35))</f>
        <v>0</v>
      </c>
      <c r="F35" s="55">
        <f>IF(ISBLANK(D35),0,INDEX(Tablo_E!$B$2:$CX$102,MATCH(ROUND(Uzman_E!A$13,1),Tablo_E!$A$2:$A$102,1),MATCH(ROUND(E35,1),Tablo_E!$B$1:$CX$1,1)))</f>
        <v>0</v>
      </c>
      <c r="G35" s="60"/>
      <c r="H35" s="64">
        <f>IF(ISBLANK(G35),0,ABS(Uzman_E!B$13-G35))</f>
        <v>0</v>
      </c>
      <c r="I35" s="55">
        <f>IF(ISBLANK(G35),0,INDEX(Tablo_E!$B$2:$CX$102,MATCH(ROUND(Uzman_E!B$13,1),Tablo_E!$A$2:$A$102,1),MATCH(ROUND(H35,1),Tablo_E!$B$1:$CX$1,1)))</f>
        <v>0</v>
      </c>
      <c r="J35" s="60"/>
      <c r="K35" s="64">
        <f>IF(ISBLANK(J35),0,ABS(Uzman_E!C$13-J35))</f>
        <v>0</v>
      </c>
      <c r="L35" s="55">
        <f>IF(ISBLANK(J35),0,INDEX(Tablo_E!$B$2:$CX$102,MATCH(ROUND(Uzman_E!C$13,1),Tablo_E!$A$2:$A$102,1),MATCH(ROUND(K35,1),Tablo_E!$B$1:$CX$1,1)))</f>
        <v>0</v>
      </c>
      <c r="M35" s="60"/>
      <c r="N35" s="64">
        <f>IF(ISBLANK(M35),0,ABS(Uzman_E!D$13-M35))</f>
        <v>0</v>
      </c>
      <c r="O35" s="55">
        <f>IF(ISBLANK(M35),0,INDEX(Tablo_E!$B$2:$CX$102,MATCH(ROUND(Uzman_E!D$13,1),Tablo_E!$A$2:$A$102,1),MATCH(ROUND(N35,1),Tablo_E!$B$1:$CX$1,1)))</f>
        <v>0</v>
      </c>
      <c r="P35" s="60"/>
      <c r="Q35" s="64">
        <f>IF(ISBLANK(P35),0,ABS(Uzman_E!E$13-P35))</f>
        <v>0</v>
      </c>
      <c r="R35" s="55">
        <f>IF(ISBLANK(P35),0,INDEX(Tablo_E!$B$2:$CX$102,MATCH(ROUND(Uzman_E!E$13,1),Tablo_E!$A$2:$A$102,1),MATCH(ROUND(Q35,1),Tablo_E!$B$1:$CX$1,1)))</f>
        <v>0</v>
      </c>
      <c r="S35" s="56">
        <f t="shared" si="0"/>
        <v>0</v>
      </c>
      <c r="T35" s="50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spans="1:36" ht="15" customHeight="1" thickBot="1" x14ac:dyDescent="0.25">
      <c r="A36" s="57">
        <v>33</v>
      </c>
      <c r="B36" s="58">
        <f>Hakemler!B36</f>
        <v>0</v>
      </c>
      <c r="C36" s="59">
        <f>Hakemler!C36</f>
        <v>0</v>
      </c>
      <c r="D36" s="60"/>
      <c r="E36" s="64">
        <f>IF(ISBLANK(D36),0,ABS(Uzman_E!A$13-D36))</f>
        <v>0</v>
      </c>
      <c r="F36" s="55">
        <f>IF(ISBLANK(D36),0,INDEX(Tablo_E!$B$2:$CX$102,MATCH(ROUND(Uzman_E!A$13,1),Tablo_E!$A$2:$A$102,1),MATCH(ROUND(E36,1),Tablo_E!$B$1:$CX$1,1)))</f>
        <v>0</v>
      </c>
      <c r="G36" s="60"/>
      <c r="H36" s="64">
        <f>IF(ISBLANK(G36),0,ABS(Uzman_E!B$13-G36))</f>
        <v>0</v>
      </c>
      <c r="I36" s="55">
        <f>IF(ISBLANK(G36),0,INDEX(Tablo_E!$B$2:$CX$102,MATCH(ROUND(Uzman_E!B$13,1),Tablo_E!$A$2:$A$102,1),MATCH(ROUND(H36,1),Tablo_E!$B$1:$CX$1,1)))</f>
        <v>0</v>
      </c>
      <c r="J36" s="60"/>
      <c r="K36" s="64">
        <f>IF(ISBLANK(J36),0,ABS(Uzman_E!C$13-J36))</f>
        <v>0</v>
      </c>
      <c r="L36" s="55">
        <f>IF(ISBLANK(J36),0,INDEX(Tablo_E!$B$2:$CX$102,MATCH(ROUND(Uzman_E!C$13,1),Tablo_E!$A$2:$A$102,1),MATCH(ROUND(K36,1),Tablo_E!$B$1:$CX$1,1)))</f>
        <v>0</v>
      </c>
      <c r="M36" s="60"/>
      <c r="N36" s="64">
        <f>IF(ISBLANK(M36),0,ABS(Uzman_E!D$13-M36))</f>
        <v>0</v>
      </c>
      <c r="O36" s="55">
        <f>IF(ISBLANK(M36),0,INDEX(Tablo_E!$B$2:$CX$102,MATCH(ROUND(Uzman_E!D$13,1),Tablo_E!$A$2:$A$102,1),MATCH(ROUND(N36,1),Tablo_E!$B$1:$CX$1,1)))</f>
        <v>0</v>
      </c>
      <c r="P36" s="60"/>
      <c r="Q36" s="64">
        <f>IF(ISBLANK(P36),0,ABS(Uzman_E!E$13-P36))</f>
        <v>0</v>
      </c>
      <c r="R36" s="55">
        <f>IF(ISBLANK(P36),0,INDEX(Tablo_E!$B$2:$CX$102,MATCH(ROUND(Uzman_E!E$13,1),Tablo_E!$A$2:$A$102,1),MATCH(ROUND(Q36,1),Tablo_E!$B$1:$CX$1,1)))</f>
        <v>0</v>
      </c>
      <c r="S36" s="56">
        <f t="shared" si="0"/>
        <v>0</v>
      </c>
      <c r="T36" s="50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spans="1:36" ht="15" customHeight="1" thickBot="1" x14ac:dyDescent="0.25">
      <c r="A37" s="57">
        <v>34</v>
      </c>
      <c r="B37" s="58">
        <f>Hakemler!B37</f>
        <v>0</v>
      </c>
      <c r="C37" s="59">
        <f>Hakemler!C37</f>
        <v>0</v>
      </c>
      <c r="D37" s="60"/>
      <c r="E37" s="64">
        <f>IF(ISBLANK(D37),0,ABS(Uzman_E!A$13-D37))</f>
        <v>0</v>
      </c>
      <c r="F37" s="55">
        <f>IF(ISBLANK(D37),0,INDEX(Tablo_E!$B$2:$CX$102,MATCH(ROUND(Uzman_E!A$13,1),Tablo_E!$A$2:$A$102,1),MATCH(ROUND(E37,1),Tablo_E!$B$1:$CX$1,1)))</f>
        <v>0</v>
      </c>
      <c r="G37" s="60"/>
      <c r="H37" s="64">
        <f>IF(ISBLANK(G37),0,ABS(Uzman_E!B$13-G37))</f>
        <v>0</v>
      </c>
      <c r="I37" s="55">
        <f>IF(ISBLANK(G37),0,INDEX(Tablo_E!$B$2:$CX$102,MATCH(ROUND(Uzman_E!B$13,1),Tablo_E!$A$2:$A$102,1),MATCH(ROUND(H37,1),Tablo_E!$B$1:$CX$1,1)))</f>
        <v>0</v>
      </c>
      <c r="J37" s="60"/>
      <c r="K37" s="64">
        <f>IF(ISBLANK(J37),0,ABS(Uzman_E!C$13-J37))</f>
        <v>0</v>
      </c>
      <c r="L37" s="55">
        <f>IF(ISBLANK(J37),0,INDEX(Tablo_E!$B$2:$CX$102,MATCH(ROUND(Uzman_E!C$13,1),Tablo_E!$A$2:$A$102,1),MATCH(ROUND(K37,1),Tablo_E!$B$1:$CX$1,1)))</f>
        <v>0</v>
      </c>
      <c r="M37" s="60"/>
      <c r="N37" s="64">
        <f>IF(ISBLANK(M37),0,ABS(Uzman_E!D$13-M37))</f>
        <v>0</v>
      </c>
      <c r="O37" s="55">
        <f>IF(ISBLANK(M37),0,INDEX(Tablo_E!$B$2:$CX$102,MATCH(ROUND(Uzman_E!D$13,1),Tablo_E!$A$2:$A$102,1),MATCH(ROUND(N37,1),Tablo_E!$B$1:$CX$1,1)))</f>
        <v>0</v>
      </c>
      <c r="P37" s="60"/>
      <c r="Q37" s="64">
        <f>IF(ISBLANK(P37),0,ABS(Uzman_E!E$13-P37))</f>
        <v>0</v>
      </c>
      <c r="R37" s="55">
        <f>IF(ISBLANK(P37),0,INDEX(Tablo_E!$B$2:$CX$102,MATCH(ROUND(Uzman_E!E$13,1),Tablo_E!$A$2:$A$102,1),MATCH(ROUND(Q37,1),Tablo_E!$B$1:$CX$1,1)))</f>
        <v>0</v>
      </c>
      <c r="S37" s="56">
        <f t="shared" si="0"/>
        <v>0</v>
      </c>
      <c r="T37" s="50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spans="1:36" ht="15" customHeight="1" thickBot="1" x14ac:dyDescent="0.25">
      <c r="A38" s="57">
        <v>35</v>
      </c>
      <c r="B38" s="58">
        <f>Hakemler!B38</f>
        <v>0</v>
      </c>
      <c r="C38" s="59">
        <f>Hakemler!C38</f>
        <v>0</v>
      </c>
      <c r="D38" s="60"/>
      <c r="E38" s="64">
        <f>IF(ISBLANK(D38),0,ABS(Uzman_E!A$13-D38))</f>
        <v>0</v>
      </c>
      <c r="F38" s="55">
        <f>IF(ISBLANK(D38),0,INDEX(Tablo_E!$B$2:$CX$102,MATCH(ROUND(Uzman_E!A$13,1),Tablo_E!$A$2:$A$102,1),MATCH(ROUND(E38,1),Tablo_E!$B$1:$CX$1,1)))</f>
        <v>0</v>
      </c>
      <c r="G38" s="60"/>
      <c r="H38" s="64">
        <f>IF(ISBLANK(G38),0,ABS(Uzman_E!B$13-G38))</f>
        <v>0</v>
      </c>
      <c r="I38" s="55">
        <f>IF(ISBLANK(G38),0,INDEX(Tablo_E!$B$2:$CX$102,MATCH(ROUND(Uzman_E!B$13,1),Tablo_E!$A$2:$A$102,1),MATCH(ROUND(H38,1),Tablo_E!$B$1:$CX$1,1)))</f>
        <v>0</v>
      </c>
      <c r="J38" s="60"/>
      <c r="K38" s="64">
        <f>IF(ISBLANK(J38),0,ABS(Uzman_E!C$13-J38))</f>
        <v>0</v>
      </c>
      <c r="L38" s="55">
        <f>IF(ISBLANK(J38),0,INDEX(Tablo_E!$B$2:$CX$102,MATCH(ROUND(Uzman_E!C$13,1),Tablo_E!$A$2:$A$102,1),MATCH(ROUND(K38,1),Tablo_E!$B$1:$CX$1,1)))</f>
        <v>0</v>
      </c>
      <c r="M38" s="60"/>
      <c r="N38" s="64">
        <f>IF(ISBLANK(M38),0,ABS(Uzman_E!D$13-M38))</f>
        <v>0</v>
      </c>
      <c r="O38" s="55">
        <f>IF(ISBLANK(M38),0,INDEX(Tablo_E!$B$2:$CX$102,MATCH(ROUND(Uzman_E!D$13,1),Tablo_E!$A$2:$A$102,1),MATCH(ROUND(N38,1),Tablo_E!$B$1:$CX$1,1)))</f>
        <v>0</v>
      </c>
      <c r="P38" s="60"/>
      <c r="Q38" s="64">
        <f>IF(ISBLANK(P38),0,ABS(Uzman_E!E$13-P38))</f>
        <v>0</v>
      </c>
      <c r="R38" s="55">
        <f>IF(ISBLANK(P38),0,INDEX(Tablo_E!$B$2:$CX$102,MATCH(ROUND(Uzman_E!E$13,1),Tablo_E!$A$2:$A$102,1),MATCH(ROUND(Q38,1),Tablo_E!$B$1:$CX$1,1)))</f>
        <v>0</v>
      </c>
      <c r="S38" s="56">
        <f t="shared" si="0"/>
        <v>0</v>
      </c>
      <c r="T38" s="50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spans="1:36" ht="15" customHeight="1" thickBot="1" x14ac:dyDescent="0.25">
      <c r="A39" s="57">
        <v>36</v>
      </c>
      <c r="B39" s="58">
        <f>Hakemler!B39</f>
        <v>0</v>
      </c>
      <c r="C39" s="59">
        <f>Hakemler!C39</f>
        <v>0</v>
      </c>
      <c r="D39" s="60"/>
      <c r="E39" s="64">
        <f>IF(ISBLANK(D39),0,ABS(Uzman_E!A$13-D39))</f>
        <v>0</v>
      </c>
      <c r="F39" s="55">
        <f>IF(ISBLANK(D39),0,INDEX(Tablo_E!$B$2:$CX$102,MATCH(ROUND(Uzman_E!A$13,1),Tablo_E!$A$2:$A$102,1),MATCH(ROUND(E39,1),Tablo_E!$B$1:$CX$1,1)))</f>
        <v>0</v>
      </c>
      <c r="G39" s="60"/>
      <c r="H39" s="64">
        <f>IF(ISBLANK(G39),0,ABS(Uzman_E!B$13-G39))</f>
        <v>0</v>
      </c>
      <c r="I39" s="55">
        <f>IF(ISBLANK(G39),0,INDEX(Tablo_E!$B$2:$CX$102,MATCH(ROUND(Uzman_E!B$13,1),Tablo_E!$A$2:$A$102,1),MATCH(ROUND(H39,1),Tablo_E!$B$1:$CX$1,1)))</f>
        <v>0</v>
      </c>
      <c r="J39" s="60"/>
      <c r="K39" s="64">
        <f>IF(ISBLANK(J39),0,ABS(Uzman_E!C$13-J39))</f>
        <v>0</v>
      </c>
      <c r="L39" s="55">
        <f>IF(ISBLANK(J39),0,INDEX(Tablo_E!$B$2:$CX$102,MATCH(ROUND(Uzman_E!C$13,1),Tablo_E!$A$2:$A$102,1),MATCH(ROUND(K39,1),Tablo_E!$B$1:$CX$1,1)))</f>
        <v>0</v>
      </c>
      <c r="M39" s="60"/>
      <c r="N39" s="64">
        <f>IF(ISBLANK(M39),0,ABS(Uzman_E!D$13-M39))</f>
        <v>0</v>
      </c>
      <c r="O39" s="55">
        <f>IF(ISBLANK(M39),0,INDEX(Tablo_E!$B$2:$CX$102,MATCH(ROUND(Uzman_E!D$13,1),Tablo_E!$A$2:$A$102,1),MATCH(ROUND(N39,1),Tablo_E!$B$1:$CX$1,1)))</f>
        <v>0</v>
      </c>
      <c r="P39" s="60"/>
      <c r="Q39" s="64">
        <f>IF(ISBLANK(P39),0,ABS(Uzman_E!E$13-P39))</f>
        <v>0</v>
      </c>
      <c r="R39" s="55">
        <f>IF(ISBLANK(P39),0,INDEX(Tablo_E!$B$2:$CX$102,MATCH(ROUND(Uzman_E!E$13,1),Tablo_E!$A$2:$A$102,1),MATCH(ROUND(Q39,1),Tablo_E!$B$1:$CX$1,1)))</f>
        <v>0</v>
      </c>
      <c r="S39" s="56">
        <f t="shared" si="0"/>
        <v>0</v>
      </c>
      <c r="T39" s="50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spans="1:36" ht="15" customHeight="1" thickBot="1" x14ac:dyDescent="0.25">
      <c r="A40" s="57">
        <v>37</v>
      </c>
      <c r="B40" s="35">
        <f>Hakemler!B40</f>
        <v>0</v>
      </c>
      <c r="C40" s="63">
        <f>Hakemler!C40</f>
        <v>0</v>
      </c>
      <c r="D40" s="60"/>
      <c r="E40" s="64">
        <f>IF(ISBLANK(D40),0,ABS(Uzman_E!A$13-D40))</f>
        <v>0</v>
      </c>
      <c r="F40" s="55">
        <f>IF(ISBLANK(D40),0,INDEX(Tablo_E!$B$2:$CX$102,MATCH(ROUND(Uzman_E!A$13,1),Tablo_E!$A$2:$A$102,1),MATCH(ROUND(E40,1),Tablo_E!$B$1:$CX$1,1)))</f>
        <v>0</v>
      </c>
      <c r="G40" s="60"/>
      <c r="H40" s="64">
        <f>IF(ISBLANK(G40),0,ABS(Uzman_E!B$13-G40))</f>
        <v>0</v>
      </c>
      <c r="I40" s="55">
        <f>IF(ISBLANK(G40),0,INDEX(Tablo_E!$B$2:$CX$102,MATCH(ROUND(Uzman_E!B$13,1),Tablo_E!$A$2:$A$102,1),MATCH(ROUND(H40,1),Tablo_E!$B$1:$CX$1,1)))</f>
        <v>0</v>
      </c>
      <c r="J40" s="60"/>
      <c r="K40" s="64">
        <f>IF(ISBLANK(J40),0,ABS(Uzman_E!C$13-J40))</f>
        <v>0</v>
      </c>
      <c r="L40" s="55">
        <f>IF(ISBLANK(J40),0,INDEX(Tablo_E!$B$2:$CX$102,MATCH(ROUND(Uzman_E!C$13,1),Tablo_E!$A$2:$A$102,1),MATCH(ROUND(K40,1),Tablo_E!$B$1:$CX$1,1)))</f>
        <v>0</v>
      </c>
      <c r="M40" s="60"/>
      <c r="N40" s="64">
        <f>IF(ISBLANK(M40),0,ABS(Uzman_E!D$13-M40))</f>
        <v>0</v>
      </c>
      <c r="O40" s="55">
        <f>IF(ISBLANK(M40),0,INDEX(Tablo_E!$B$2:$CX$102,MATCH(ROUND(Uzman_E!D$13,1),Tablo_E!$A$2:$A$102,1),MATCH(ROUND(N40,1),Tablo_E!$B$1:$CX$1,1)))</f>
        <v>0</v>
      </c>
      <c r="P40" s="60"/>
      <c r="Q40" s="64">
        <f>IF(ISBLANK(P40),0,ABS(Uzman_E!E$13-P40))</f>
        <v>0</v>
      </c>
      <c r="R40" s="55">
        <f>IF(ISBLANK(P40),0,INDEX(Tablo_E!$B$2:$CX$102,MATCH(ROUND(Uzman_E!E$13,1),Tablo_E!$A$2:$A$102,1),MATCH(ROUND(Q40,1),Tablo_E!$B$1:$CX$1,1)))</f>
        <v>0</v>
      </c>
      <c r="S40" s="56">
        <f t="shared" si="0"/>
        <v>0</v>
      </c>
      <c r="T40" s="50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spans="1:36" ht="15" customHeight="1" thickBot="1" x14ac:dyDescent="0.25">
      <c r="A41" s="57">
        <v>38</v>
      </c>
      <c r="B41" s="35">
        <f>Hakemler!B41</f>
        <v>0</v>
      </c>
      <c r="C41" s="63">
        <f>Hakemler!C41</f>
        <v>0</v>
      </c>
      <c r="D41" s="60"/>
      <c r="E41" s="64">
        <f>IF(ISBLANK(D41),0,ABS(Uzman_E!A$13-D41))</f>
        <v>0</v>
      </c>
      <c r="F41" s="55">
        <f>IF(ISBLANK(D41),0,INDEX(Tablo_E!$B$2:$CX$102,MATCH(ROUND(Uzman_E!A$13,1),Tablo_E!$A$2:$A$102,1),MATCH(ROUND(E41,1),Tablo_E!$B$1:$CX$1,1)))</f>
        <v>0</v>
      </c>
      <c r="G41" s="60"/>
      <c r="H41" s="64">
        <f>IF(ISBLANK(G41),0,ABS(Uzman_E!B$13-G41))</f>
        <v>0</v>
      </c>
      <c r="I41" s="55">
        <f>IF(ISBLANK(G41),0,INDEX(Tablo_E!$B$2:$CX$102,MATCH(ROUND(Uzman_E!B$13,1),Tablo_E!$A$2:$A$102,1),MATCH(ROUND(H41,1),Tablo_E!$B$1:$CX$1,1)))</f>
        <v>0</v>
      </c>
      <c r="J41" s="60"/>
      <c r="K41" s="64">
        <f>IF(ISBLANK(J41),0,ABS(Uzman_E!C$13-J41))</f>
        <v>0</v>
      </c>
      <c r="L41" s="55">
        <f>IF(ISBLANK(J41),0,INDEX(Tablo_E!$B$2:$CX$102,MATCH(ROUND(Uzman_E!C$13,1),Tablo_E!$A$2:$A$102,1),MATCH(ROUND(K41,1),Tablo_E!$B$1:$CX$1,1)))</f>
        <v>0</v>
      </c>
      <c r="M41" s="60"/>
      <c r="N41" s="64">
        <f>IF(ISBLANK(M41),0,ABS(Uzman_E!D$13-M41))</f>
        <v>0</v>
      </c>
      <c r="O41" s="55">
        <f>IF(ISBLANK(M41),0,INDEX(Tablo_E!$B$2:$CX$102,MATCH(ROUND(Uzman_E!D$13,1),Tablo_E!$A$2:$A$102,1),MATCH(ROUND(N41,1),Tablo_E!$B$1:$CX$1,1)))</f>
        <v>0</v>
      </c>
      <c r="P41" s="60"/>
      <c r="Q41" s="64">
        <f>IF(ISBLANK(P41),0,ABS(Uzman_E!E$13-P41))</f>
        <v>0</v>
      </c>
      <c r="R41" s="55">
        <f>IF(ISBLANK(P41),0,INDEX(Tablo_E!$B$2:$CX$102,MATCH(ROUND(Uzman_E!E$13,1),Tablo_E!$A$2:$A$102,1),MATCH(ROUND(Q41,1),Tablo_E!$B$1:$CX$1,1)))</f>
        <v>0</v>
      </c>
      <c r="S41" s="56">
        <f t="shared" si="0"/>
        <v>0</v>
      </c>
      <c r="T41" s="50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spans="1:36" ht="15" customHeight="1" thickBot="1" x14ac:dyDescent="0.25">
      <c r="A42" s="57">
        <v>39</v>
      </c>
      <c r="B42" s="35">
        <f>Hakemler!B42</f>
        <v>0</v>
      </c>
      <c r="C42" s="63">
        <f>Hakemler!C42</f>
        <v>0</v>
      </c>
      <c r="D42" s="60"/>
      <c r="E42" s="64">
        <f>IF(ISBLANK(D42),0,ABS(Uzman_E!A$13-D42))</f>
        <v>0</v>
      </c>
      <c r="F42" s="55">
        <f>IF(ISBLANK(D42),0,INDEX(Tablo_E!$B$2:$CX$102,MATCH(ROUND(Uzman_E!A$13,1),Tablo_E!$A$2:$A$102,1),MATCH(ROUND(E42,1),Tablo_E!$B$1:$CX$1,1)))</f>
        <v>0</v>
      </c>
      <c r="G42" s="60"/>
      <c r="H42" s="64">
        <f>IF(ISBLANK(G42),0,ABS(Uzman_E!B$13-G42))</f>
        <v>0</v>
      </c>
      <c r="I42" s="55">
        <f>IF(ISBLANK(G42),0,INDEX(Tablo_E!$B$2:$CX$102,MATCH(ROUND(Uzman_E!B$13,1),Tablo_E!$A$2:$A$102,1),MATCH(ROUND(H42,1),Tablo_E!$B$1:$CX$1,1)))</f>
        <v>0</v>
      </c>
      <c r="J42" s="60"/>
      <c r="K42" s="64">
        <f>IF(ISBLANK(J42),0,ABS(Uzman_E!C$13-J42))</f>
        <v>0</v>
      </c>
      <c r="L42" s="55">
        <f>IF(ISBLANK(J42),0,INDEX(Tablo_E!$B$2:$CX$102,MATCH(ROUND(Uzman_E!C$13,1),Tablo_E!$A$2:$A$102,1),MATCH(ROUND(K42,1),Tablo_E!$B$1:$CX$1,1)))</f>
        <v>0</v>
      </c>
      <c r="M42" s="60"/>
      <c r="N42" s="64">
        <f>IF(ISBLANK(M42),0,ABS(Uzman_E!D$13-M42))</f>
        <v>0</v>
      </c>
      <c r="O42" s="55">
        <f>IF(ISBLANK(M42),0,INDEX(Tablo_E!$B$2:$CX$102,MATCH(ROUND(Uzman_E!D$13,1),Tablo_E!$A$2:$A$102,1),MATCH(ROUND(N42,1),Tablo_E!$B$1:$CX$1,1)))</f>
        <v>0</v>
      </c>
      <c r="P42" s="60"/>
      <c r="Q42" s="64">
        <f>IF(ISBLANK(P42),0,ABS(Uzman_E!E$13-P42))</f>
        <v>0</v>
      </c>
      <c r="R42" s="55">
        <f>IF(ISBLANK(P42),0,INDEX(Tablo_E!$B$2:$CX$102,MATCH(ROUND(Uzman_E!E$13,1),Tablo_E!$A$2:$A$102,1),MATCH(ROUND(Q42,1),Tablo_E!$B$1:$CX$1,1)))</f>
        <v>0</v>
      </c>
      <c r="S42" s="56">
        <f t="shared" si="0"/>
        <v>0</v>
      </c>
      <c r="T42" s="50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spans="1:36" ht="15" customHeight="1" thickBot="1" x14ac:dyDescent="0.25">
      <c r="A43" s="57">
        <v>40</v>
      </c>
      <c r="B43" s="58">
        <f>Hakemler!B43</f>
        <v>0</v>
      </c>
      <c r="C43" s="59">
        <f>Hakemler!C43</f>
        <v>0</v>
      </c>
      <c r="D43" s="60"/>
      <c r="E43" s="64">
        <f>IF(ISBLANK(D43),0,ABS(Uzman_E!A$13-D43))</f>
        <v>0</v>
      </c>
      <c r="F43" s="55">
        <f>IF(ISBLANK(D43),0,INDEX(Tablo_E!$B$2:$CX$102,MATCH(ROUND(Uzman_E!A$13,1),Tablo_E!$A$2:$A$102,1),MATCH(ROUND(E43,1),Tablo_E!$B$1:$CX$1,1)))</f>
        <v>0</v>
      </c>
      <c r="G43" s="60"/>
      <c r="H43" s="64">
        <f>IF(ISBLANK(G43),0,ABS(Uzman_E!B$13-G43))</f>
        <v>0</v>
      </c>
      <c r="I43" s="55">
        <f>IF(ISBLANK(G43),0,INDEX(Tablo_E!$B$2:$CX$102,MATCH(ROUND(Uzman_E!B$13,1),Tablo_E!$A$2:$A$102,1),MATCH(ROUND(H43,1),Tablo_E!$B$1:$CX$1,1)))</f>
        <v>0</v>
      </c>
      <c r="J43" s="60"/>
      <c r="K43" s="64">
        <f>IF(ISBLANK(J43),0,ABS(Uzman_E!C$13-J43))</f>
        <v>0</v>
      </c>
      <c r="L43" s="55">
        <f>IF(ISBLANK(J43),0,INDEX(Tablo_E!$B$2:$CX$102,MATCH(ROUND(Uzman_E!C$13,1),Tablo_E!$A$2:$A$102,1),MATCH(ROUND(K43,1),Tablo_E!$B$1:$CX$1,1)))</f>
        <v>0</v>
      </c>
      <c r="M43" s="60"/>
      <c r="N43" s="64">
        <f>IF(ISBLANK(M43),0,ABS(Uzman_E!D$13-M43))</f>
        <v>0</v>
      </c>
      <c r="O43" s="55">
        <f>IF(ISBLANK(M43),0,INDEX(Tablo_E!$B$2:$CX$102,MATCH(ROUND(Uzman_E!D$13,1),Tablo_E!$A$2:$A$102,1),MATCH(ROUND(N43,1),Tablo_E!$B$1:$CX$1,1)))</f>
        <v>0</v>
      </c>
      <c r="P43" s="60"/>
      <c r="Q43" s="64">
        <f>IF(ISBLANK(P43),0,ABS(Uzman_E!E$13-P43))</f>
        <v>0</v>
      </c>
      <c r="R43" s="55">
        <f>IF(ISBLANK(P43),0,INDEX(Tablo_E!$B$2:$CX$102,MATCH(ROUND(Uzman_E!E$13,1),Tablo_E!$A$2:$A$102,1),MATCH(ROUND(Q43,1),Tablo_E!$B$1:$CX$1,1)))</f>
        <v>0</v>
      </c>
      <c r="S43" s="56">
        <f t="shared" si="0"/>
        <v>0</v>
      </c>
      <c r="T43" s="50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spans="1:36" ht="15" customHeight="1" thickBot="1" x14ac:dyDescent="0.25">
      <c r="A44" s="57">
        <v>41</v>
      </c>
      <c r="B44" s="35">
        <f>Hakemler!B44</f>
        <v>0</v>
      </c>
      <c r="C44" s="63">
        <f>Hakemler!C44</f>
        <v>0</v>
      </c>
      <c r="D44" s="60"/>
      <c r="E44" s="64">
        <f>IF(ISBLANK(D44),0,ABS(Uzman_E!A$13-D44))</f>
        <v>0</v>
      </c>
      <c r="F44" s="55">
        <f>IF(ISBLANK(D44),0,INDEX(Tablo_E!$B$2:$CX$102,MATCH(ROUND(Uzman_E!A$13,1),Tablo_E!$A$2:$A$102,1),MATCH(ROUND(E44,1),Tablo_E!$B$1:$CX$1,1)))</f>
        <v>0</v>
      </c>
      <c r="G44" s="60"/>
      <c r="H44" s="64">
        <f>IF(ISBLANK(G44),0,ABS(Uzman_E!B$13-G44))</f>
        <v>0</v>
      </c>
      <c r="I44" s="55">
        <f>IF(ISBLANK(G44),0,INDEX(Tablo_E!$B$2:$CX$102,MATCH(ROUND(Uzman_E!B$13,1),Tablo_E!$A$2:$A$102,1),MATCH(ROUND(H44,1),Tablo_E!$B$1:$CX$1,1)))</f>
        <v>0</v>
      </c>
      <c r="J44" s="60"/>
      <c r="K44" s="64">
        <f>IF(ISBLANK(J44),0,ABS(Uzman_E!C$13-J44))</f>
        <v>0</v>
      </c>
      <c r="L44" s="55">
        <f>IF(ISBLANK(J44),0,INDEX(Tablo_E!$B$2:$CX$102,MATCH(ROUND(Uzman_E!C$13,1),Tablo_E!$A$2:$A$102,1),MATCH(ROUND(K44,1),Tablo_E!$B$1:$CX$1,1)))</f>
        <v>0</v>
      </c>
      <c r="M44" s="60"/>
      <c r="N44" s="64">
        <f>IF(ISBLANK(M44),0,ABS(Uzman_E!D$13-M44))</f>
        <v>0</v>
      </c>
      <c r="O44" s="55">
        <f>IF(ISBLANK(M44),0,INDEX(Tablo_E!$B$2:$CX$102,MATCH(ROUND(Uzman_E!D$13,1),Tablo_E!$A$2:$A$102,1),MATCH(ROUND(N44,1),Tablo_E!$B$1:$CX$1,1)))</f>
        <v>0</v>
      </c>
      <c r="P44" s="60"/>
      <c r="Q44" s="64">
        <f>IF(ISBLANK(P44),0,ABS(Uzman_E!E$13-P44))</f>
        <v>0</v>
      </c>
      <c r="R44" s="55">
        <f>IF(ISBLANK(P44),0,INDEX(Tablo_E!$B$2:$CX$102,MATCH(ROUND(Uzman_E!E$13,1),Tablo_E!$A$2:$A$102,1),MATCH(ROUND(Q44,1),Tablo_E!$B$1:$CX$1,1)))</f>
        <v>0</v>
      </c>
      <c r="S44" s="56">
        <f t="shared" si="0"/>
        <v>0</v>
      </c>
      <c r="T44" s="50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spans="1:36" ht="15" customHeight="1" thickBot="1" x14ac:dyDescent="0.25">
      <c r="A45" s="57">
        <v>42</v>
      </c>
      <c r="B45" s="58">
        <f>Hakemler!B45</f>
        <v>0</v>
      </c>
      <c r="C45" s="59">
        <f>Hakemler!C45</f>
        <v>0</v>
      </c>
      <c r="D45" s="60"/>
      <c r="E45" s="64">
        <f>IF(ISBLANK(D45),0,ABS(Uzman_E!A$13-D45))</f>
        <v>0</v>
      </c>
      <c r="F45" s="55">
        <f>IF(ISBLANK(D45),0,INDEX(Tablo_E!$B$2:$CX$102,MATCH(ROUND(Uzman_E!A$13,1),Tablo_E!$A$2:$A$102,1),MATCH(ROUND(E45,1),Tablo_E!$B$1:$CX$1,1)))</f>
        <v>0</v>
      </c>
      <c r="G45" s="60"/>
      <c r="H45" s="64">
        <f>IF(ISBLANK(G45),0,ABS(Uzman_E!B$13-G45))</f>
        <v>0</v>
      </c>
      <c r="I45" s="55">
        <f>IF(ISBLANK(G45),0,INDEX(Tablo_E!$B$2:$CX$102,MATCH(ROUND(Uzman_E!B$13,1),Tablo_E!$A$2:$A$102,1),MATCH(ROUND(H45,1),Tablo_E!$B$1:$CX$1,1)))</f>
        <v>0</v>
      </c>
      <c r="J45" s="60"/>
      <c r="K45" s="64">
        <f>IF(ISBLANK(J45),0,ABS(Uzman_E!C$13-J45))</f>
        <v>0</v>
      </c>
      <c r="L45" s="55">
        <f>IF(ISBLANK(J45),0,INDEX(Tablo_E!$B$2:$CX$102,MATCH(ROUND(Uzman_E!C$13,1),Tablo_E!$A$2:$A$102,1),MATCH(ROUND(K45,1),Tablo_E!$B$1:$CX$1,1)))</f>
        <v>0</v>
      </c>
      <c r="M45" s="60"/>
      <c r="N45" s="64">
        <f>IF(ISBLANK(M45),0,ABS(Uzman_E!D$13-M45))</f>
        <v>0</v>
      </c>
      <c r="O45" s="55">
        <f>IF(ISBLANK(M45),0,INDEX(Tablo_E!$B$2:$CX$102,MATCH(ROUND(Uzman_E!D$13,1),Tablo_E!$A$2:$A$102,1),MATCH(ROUND(N45,1),Tablo_E!$B$1:$CX$1,1)))</f>
        <v>0</v>
      </c>
      <c r="P45" s="60"/>
      <c r="Q45" s="64">
        <f>IF(ISBLANK(P45),0,ABS(Uzman_E!E$13-P45))</f>
        <v>0</v>
      </c>
      <c r="R45" s="55">
        <f>IF(ISBLANK(P45),0,INDEX(Tablo_E!$B$2:$CX$102,MATCH(ROUND(Uzman_E!E$13,1),Tablo_E!$A$2:$A$102,1),MATCH(ROUND(Q45,1),Tablo_E!$B$1:$CX$1,1)))</f>
        <v>0</v>
      </c>
      <c r="S45" s="56">
        <f t="shared" si="0"/>
        <v>0</v>
      </c>
      <c r="T45" s="50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spans="1:36" ht="15" customHeight="1" thickBot="1" x14ac:dyDescent="0.25">
      <c r="A46" s="57">
        <v>43</v>
      </c>
      <c r="B46" s="35">
        <f>Hakemler!B46</f>
        <v>0</v>
      </c>
      <c r="C46" s="63">
        <f>Hakemler!C46</f>
        <v>0</v>
      </c>
      <c r="D46" s="60"/>
      <c r="E46" s="64">
        <f>IF(ISBLANK(D46),0,ABS(Uzman_E!A$13-D46))</f>
        <v>0</v>
      </c>
      <c r="F46" s="55">
        <f>IF(ISBLANK(D46),0,INDEX(Tablo_E!$B$2:$CX$102,MATCH(ROUND(Uzman_E!A$13,1),Tablo_E!$A$2:$A$102,1),MATCH(ROUND(E46,1),Tablo_E!$B$1:$CX$1,1)))</f>
        <v>0</v>
      </c>
      <c r="G46" s="60"/>
      <c r="H46" s="64">
        <f>IF(ISBLANK(G46),0,ABS(Uzman_E!B$13-G46))</f>
        <v>0</v>
      </c>
      <c r="I46" s="55">
        <f>IF(ISBLANK(G46),0,INDEX(Tablo_E!$B$2:$CX$102,MATCH(ROUND(Uzman_E!B$13,1),Tablo_E!$A$2:$A$102,1),MATCH(ROUND(H46,1),Tablo_E!$B$1:$CX$1,1)))</f>
        <v>0</v>
      </c>
      <c r="J46" s="60"/>
      <c r="K46" s="64">
        <f>IF(ISBLANK(J46),0,ABS(Uzman_E!C$13-J46))</f>
        <v>0</v>
      </c>
      <c r="L46" s="55">
        <f>IF(ISBLANK(J46),0,INDEX(Tablo_E!$B$2:$CX$102,MATCH(ROUND(Uzman_E!C$13,1),Tablo_E!$A$2:$A$102,1),MATCH(ROUND(K46,1),Tablo_E!$B$1:$CX$1,1)))</f>
        <v>0</v>
      </c>
      <c r="M46" s="60"/>
      <c r="N46" s="64">
        <f>IF(ISBLANK(M46),0,ABS(Uzman_E!D$13-M46))</f>
        <v>0</v>
      </c>
      <c r="O46" s="55">
        <f>IF(ISBLANK(M46),0,INDEX(Tablo_E!$B$2:$CX$102,MATCH(ROUND(Uzman_E!D$13,1),Tablo_E!$A$2:$A$102,1),MATCH(ROUND(N46,1),Tablo_E!$B$1:$CX$1,1)))</f>
        <v>0</v>
      </c>
      <c r="P46" s="60"/>
      <c r="Q46" s="64">
        <f>IF(ISBLANK(P46),0,ABS(Uzman_E!E$13-P46))</f>
        <v>0</v>
      </c>
      <c r="R46" s="55">
        <f>IF(ISBLANK(P46),0,INDEX(Tablo_E!$B$2:$CX$102,MATCH(ROUND(Uzman_E!E$13,1),Tablo_E!$A$2:$A$102,1),MATCH(ROUND(Q46,1),Tablo_E!$B$1:$CX$1,1)))</f>
        <v>0</v>
      </c>
      <c r="S46" s="56">
        <f t="shared" si="0"/>
        <v>0</v>
      </c>
      <c r="T46" s="50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spans="1:36" ht="15" customHeight="1" thickBot="1" x14ac:dyDescent="0.25">
      <c r="A47" s="57">
        <v>44</v>
      </c>
      <c r="B47" s="35">
        <f>Hakemler!B47</f>
        <v>0</v>
      </c>
      <c r="C47" s="63">
        <f>Hakemler!C47</f>
        <v>0</v>
      </c>
      <c r="D47" s="60"/>
      <c r="E47" s="64">
        <f>IF(ISBLANK(D47),0,ABS(Uzman_E!A$13-D47))</f>
        <v>0</v>
      </c>
      <c r="F47" s="55">
        <f>IF(ISBLANK(D47),0,INDEX(Tablo_E!$B$2:$CX$102,MATCH(ROUND(Uzman_E!A$13,1),Tablo_E!$A$2:$A$102,1),MATCH(ROUND(E47,1),Tablo_E!$B$1:$CX$1,1)))</f>
        <v>0</v>
      </c>
      <c r="G47" s="60"/>
      <c r="H47" s="64">
        <f>IF(ISBLANK(G47),0,ABS(Uzman_E!B$13-G47))</f>
        <v>0</v>
      </c>
      <c r="I47" s="55">
        <f>IF(ISBLANK(G47),0,INDEX(Tablo_E!$B$2:$CX$102,MATCH(ROUND(Uzman_E!B$13,1),Tablo_E!$A$2:$A$102,1),MATCH(ROUND(H47,1),Tablo_E!$B$1:$CX$1,1)))</f>
        <v>0</v>
      </c>
      <c r="J47" s="60"/>
      <c r="K47" s="64">
        <f>IF(ISBLANK(J47),0,ABS(Uzman_E!C$13-J47))</f>
        <v>0</v>
      </c>
      <c r="L47" s="55">
        <f>IF(ISBLANK(J47),0,INDEX(Tablo_E!$B$2:$CX$102,MATCH(ROUND(Uzman_E!C$13,1),Tablo_E!$A$2:$A$102,1),MATCH(ROUND(K47,1),Tablo_E!$B$1:$CX$1,1)))</f>
        <v>0</v>
      </c>
      <c r="M47" s="60"/>
      <c r="N47" s="64">
        <f>IF(ISBLANK(M47),0,ABS(Uzman_E!D$13-M47))</f>
        <v>0</v>
      </c>
      <c r="O47" s="55">
        <f>IF(ISBLANK(M47),0,INDEX(Tablo_E!$B$2:$CX$102,MATCH(ROUND(Uzman_E!D$13,1),Tablo_E!$A$2:$A$102,1),MATCH(ROUND(N47,1),Tablo_E!$B$1:$CX$1,1)))</f>
        <v>0</v>
      </c>
      <c r="P47" s="60"/>
      <c r="Q47" s="64">
        <f>IF(ISBLANK(P47),0,ABS(Uzman_E!E$13-P47))</f>
        <v>0</v>
      </c>
      <c r="R47" s="55">
        <f>IF(ISBLANK(P47),0,INDEX(Tablo_E!$B$2:$CX$102,MATCH(ROUND(Uzman_E!E$13,1),Tablo_E!$A$2:$A$102,1),MATCH(ROUND(Q47,1),Tablo_E!$B$1:$CX$1,1)))</f>
        <v>0</v>
      </c>
      <c r="S47" s="56">
        <f t="shared" si="0"/>
        <v>0</v>
      </c>
      <c r="T47" s="50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spans="1:36" ht="15" customHeight="1" thickBot="1" x14ac:dyDescent="0.25">
      <c r="A48" s="57">
        <v>45</v>
      </c>
      <c r="B48" s="58">
        <f>Hakemler!B48</f>
        <v>0</v>
      </c>
      <c r="C48" s="59">
        <f>Hakemler!C48</f>
        <v>0</v>
      </c>
      <c r="D48" s="60"/>
      <c r="E48" s="64">
        <f>IF(ISBLANK(D48),0,ABS(Uzman_E!A$13-D48))</f>
        <v>0</v>
      </c>
      <c r="F48" s="55">
        <f>IF(ISBLANK(D48),0,INDEX(Tablo_E!$B$2:$CX$102,MATCH(ROUND(Uzman_E!A$13,1),Tablo_E!$A$2:$A$102,1),MATCH(ROUND(E48,1),Tablo_E!$B$1:$CX$1,1)))</f>
        <v>0</v>
      </c>
      <c r="G48" s="60"/>
      <c r="H48" s="64">
        <f>IF(ISBLANK(G48),0,ABS(Uzman_E!B$13-G48))</f>
        <v>0</v>
      </c>
      <c r="I48" s="55">
        <f>IF(ISBLANK(G48),0,INDEX(Tablo_E!$B$2:$CX$102,MATCH(ROUND(Uzman_E!B$13,1),Tablo_E!$A$2:$A$102,1),MATCH(ROUND(H48,1),Tablo_E!$B$1:$CX$1,1)))</f>
        <v>0</v>
      </c>
      <c r="J48" s="60"/>
      <c r="K48" s="64">
        <f>IF(ISBLANK(J48),0,ABS(Uzman_E!C$13-J48))</f>
        <v>0</v>
      </c>
      <c r="L48" s="55">
        <f>IF(ISBLANK(J48),0,INDEX(Tablo_E!$B$2:$CX$102,MATCH(ROUND(Uzman_E!C$13,1),Tablo_E!$A$2:$A$102,1),MATCH(ROUND(K48,1),Tablo_E!$B$1:$CX$1,1)))</f>
        <v>0</v>
      </c>
      <c r="M48" s="60"/>
      <c r="N48" s="64">
        <f>IF(ISBLANK(M48),0,ABS(Uzman_E!D$13-M48))</f>
        <v>0</v>
      </c>
      <c r="O48" s="55">
        <f>IF(ISBLANK(M48),0,INDEX(Tablo_E!$B$2:$CX$102,MATCH(ROUND(Uzman_E!D$13,1),Tablo_E!$A$2:$A$102,1),MATCH(ROUND(N48,1),Tablo_E!$B$1:$CX$1,1)))</f>
        <v>0</v>
      </c>
      <c r="P48" s="60"/>
      <c r="Q48" s="64">
        <f>IF(ISBLANK(P48),0,ABS(Uzman_E!E$13-P48))</f>
        <v>0</v>
      </c>
      <c r="R48" s="55">
        <f>IF(ISBLANK(P48),0,INDEX(Tablo_E!$B$2:$CX$102,MATCH(ROUND(Uzman_E!E$13,1),Tablo_E!$A$2:$A$102,1),MATCH(ROUND(Q48,1),Tablo_E!$B$1:$CX$1,1)))</f>
        <v>0</v>
      </c>
      <c r="S48" s="56">
        <f t="shared" si="0"/>
        <v>0</v>
      </c>
      <c r="T48" s="50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spans="1:36" ht="15" customHeight="1" thickBot="1" x14ac:dyDescent="0.25">
      <c r="A49" s="57">
        <v>46</v>
      </c>
      <c r="B49" s="35">
        <f>Hakemler!B49</f>
        <v>0</v>
      </c>
      <c r="C49" s="63">
        <f>Hakemler!C49</f>
        <v>0</v>
      </c>
      <c r="D49" s="60"/>
      <c r="E49" s="64">
        <f>IF(ISBLANK(D49),0,ABS(Uzman_E!A$13-D49))</f>
        <v>0</v>
      </c>
      <c r="F49" s="55">
        <f>IF(ISBLANK(D49),0,INDEX(Tablo_E!$B$2:$CX$102,MATCH(ROUND(Uzman_E!A$13,1),Tablo_E!$A$2:$A$102,1),MATCH(ROUND(E49,1),Tablo_E!$B$1:$CX$1,1)))</f>
        <v>0</v>
      </c>
      <c r="G49" s="60"/>
      <c r="H49" s="64">
        <f>IF(ISBLANK(G49),0,ABS(Uzman_E!B$13-G49))</f>
        <v>0</v>
      </c>
      <c r="I49" s="55">
        <f>IF(ISBLANK(G49),0,INDEX(Tablo_E!$B$2:$CX$102,MATCH(ROUND(Uzman_E!B$13,1),Tablo_E!$A$2:$A$102,1),MATCH(ROUND(H49,1),Tablo_E!$B$1:$CX$1,1)))</f>
        <v>0</v>
      </c>
      <c r="J49" s="60"/>
      <c r="K49" s="64">
        <f>IF(ISBLANK(J49),0,ABS(Uzman_E!C$13-J49))</f>
        <v>0</v>
      </c>
      <c r="L49" s="55">
        <f>IF(ISBLANK(J49),0,INDEX(Tablo_E!$B$2:$CX$102,MATCH(ROUND(Uzman_E!C$13,1),Tablo_E!$A$2:$A$102,1),MATCH(ROUND(K49,1),Tablo_E!$B$1:$CX$1,1)))</f>
        <v>0</v>
      </c>
      <c r="M49" s="60"/>
      <c r="N49" s="64">
        <f>IF(ISBLANK(M49),0,ABS(Uzman_E!D$13-M49))</f>
        <v>0</v>
      </c>
      <c r="O49" s="55">
        <f>IF(ISBLANK(M49),0,INDEX(Tablo_E!$B$2:$CX$102,MATCH(ROUND(Uzman_E!D$13,1),Tablo_E!$A$2:$A$102,1),MATCH(ROUND(N49,1),Tablo_E!$B$1:$CX$1,1)))</f>
        <v>0</v>
      </c>
      <c r="P49" s="60"/>
      <c r="Q49" s="64">
        <f>IF(ISBLANK(P49),0,ABS(Uzman_E!E$13-P49))</f>
        <v>0</v>
      </c>
      <c r="R49" s="55">
        <f>IF(ISBLANK(P49),0,INDEX(Tablo_E!$B$2:$CX$102,MATCH(ROUND(Uzman_E!E$13,1),Tablo_E!$A$2:$A$102,1),MATCH(ROUND(Q49,1),Tablo_E!$B$1:$CX$1,1)))</f>
        <v>0</v>
      </c>
      <c r="S49" s="56">
        <f t="shared" si="0"/>
        <v>0</v>
      </c>
      <c r="T49" s="50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spans="1:36" ht="15" customHeight="1" thickBot="1" x14ac:dyDescent="0.25">
      <c r="A50" s="57">
        <v>47</v>
      </c>
      <c r="B50" s="58">
        <f>Hakemler!B50</f>
        <v>0</v>
      </c>
      <c r="C50" s="59">
        <f>Hakemler!C50</f>
        <v>0</v>
      </c>
      <c r="D50" s="60"/>
      <c r="E50" s="64">
        <f>IF(ISBLANK(D50),0,ABS(Uzman_E!A$13-D50))</f>
        <v>0</v>
      </c>
      <c r="F50" s="55">
        <f>IF(ISBLANK(D50),0,INDEX(Tablo_E!$B$2:$CX$102,MATCH(ROUND(Uzman_E!A$13,1),Tablo_E!$A$2:$A$102,1),MATCH(ROUND(E50,1),Tablo_E!$B$1:$CX$1,1)))</f>
        <v>0</v>
      </c>
      <c r="G50" s="60"/>
      <c r="H50" s="64">
        <f>IF(ISBLANK(G50),0,ABS(Uzman_E!B$13-G50))</f>
        <v>0</v>
      </c>
      <c r="I50" s="55">
        <f>IF(ISBLANK(G50),0,INDEX(Tablo_E!$B$2:$CX$102,MATCH(ROUND(Uzman_E!B$13,1),Tablo_E!$A$2:$A$102,1),MATCH(ROUND(H50,1),Tablo_E!$B$1:$CX$1,1)))</f>
        <v>0</v>
      </c>
      <c r="J50" s="60"/>
      <c r="K50" s="64">
        <f>IF(ISBLANK(J50),0,ABS(Uzman_E!C$13-J50))</f>
        <v>0</v>
      </c>
      <c r="L50" s="55">
        <f>IF(ISBLANK(J50),0,INDEX(Tablo_E!$B$2:$CX$102,MATCH(ROUND(Uzman_E!C$13,1),Tablo_E!$A$2:$A$102,1),MATCH(ROUND(K50,1),Tablo_E!$B$1:$CX$1,1)))</f>
        <v>0</v>
      </c>
      <c r="M50" s="60"/>
      <c r="N50" s="64">
        <f>IF(ISBLANK(M50),0,ABS(Uzman_E!D$13-M50))</f>
        <v>0</v>
      </c>
      <c r="O50" s="55">
        <f>IF(ISBLANK(M50),0,INDEX(Tablo_E!$B$2:$CX$102,MATCH(ROUND(Uzman_E!D$13,1),Tablo_E!$A$2:$A$102,1),MATCH(ROUND(N50,1),Tablo_E!$B$1:$CX$1,1)))</f>
        <v>0</v>
      </c>
      <c r="P50" s="60"/>
      <c r="Q50" s="64">
        <f>IF(ISBLANK(P50),0,ABS(Uzman_E!E$13-P50))</f>
        <v>0</v>
      </c>
      <c r="R50" s="55">
        <f>IF(ISBLANK(P50),0,INDEX(Tablo_E!$B$2:$CX$102,MATCH(ROUND(Uzman_E!E$13,1),Tablo_E!$A$2:$A$102,1),MATCH(ROUND(Q50,1),Tablo_E!$B$1:$CX$1,1)))</f>
        <v>0</v>
      </c>
      <c r="S50" s="56">
        <f t="shared" si="0"/>
        <v>0</v>
      </c>
      <c r="T50" s="50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spans="1:36" ht="15" customHeight="1" thickBot="1" x14ac:dyDescent="0.25">
      <c r="A51" s="57">
        <v>48</v>
      </c>
      <c r="B51" s="35">
        <f>Hakemler!B51</f>
        <v>0</v>
      </c>
      <c r="C51" s="63">
        <f>Hakemler!C51</f>
        <v>0</v>
      </c>
      <c r="D51" s="60"/>
      <c r="E51" s="64">
        <f>IF(ISBLANK(D51),0,ABS(Uzman_E!A$13-D51))</f>
        <v>0</v>
      </c>
      <c r="F51" s="55">
        <f>IF(ISBLANK(D51),0,INDEX(Tablo_E!$B$2:$CX$102,MATCH(ROUND(Uzman_E!A$13,1),Tablo_E!$A$2:$A$102,1),MATCH(ROUND(E51,1),Tablo_E!$B$1:$CX$1,1)))</f>
        <v>0</v>
      </c>
      <c r="G51" s="60"/>
      <c r="H51" s="64">
        <f>IF(ISBLANK(G51),0,ABS(Uzman_E!B$13-G51))</f>
        <v>0</v>
      </c>
      <c r="I51" s="55">
        <f>IF(ISBLANK(G51),0,INDEX(Tablo_E!$B$2:$CX$102,MATCH(ROUND(Uzman_E!B$13,1),Tablo_E!$A$2:$A$102,1),MATCH(ROUND(H51,1),Tablo_E!$B$1:$CX$1,1)))</f>
        <v>0</v>
      </c>
      <c r="J51" s="60"/>
      <c r="K51" s="64">
        <f>IF(ISBLANK(J51),0,ABS(Uzman_E!C$13-J51))</f>
        <v>0</v>
      </c>
      <c r="L51" s="55">
        <f>IF(ISBLANK(J51),0,INDEX(Tablo_E!$B$2:$CX$102,MATCH(ROUND(Uzman_E!C$13,1),Tablo_E!$A$2:$A$102,1),MATCH(ROUND(K51,1),Tablo_E!$B$1:$CX$1,1)))</f>
        <v>0</v>
      </c>
      <c r="M51" s="60"/>
      <c r="N51" s="64">
        <f>IF(ISBLANK(M51),0,ABS(Uzman_E!D$13-M51))</f>
        <v>0</v>
      </c>
      <c r="O51" s="55">
        <f>IF(ISBLANK(M51),0,INDEX(Tablo_E!$B$2:$CX$102,MATCH(ROUND(Uzman_E!D$13,1),Tablo_E!$A$2:$A$102,1),MATCH(ROUND(N51,1),Tablo_E!$B$1:$CX$1,1)))</f>
        <v>0</v>
      </c>
      <c r="P51" s="60"/>
      <c r="Q51" s="64">
        <f>IF(ISBLANK(P51),0,ABS(Uzman_E!E$13-P51))</f>
        <v>0</v>
      </c>
      <c r="R51" s="55">
        <f>IF(ISBLANK(P51),0,INDEX(Tablo_E!$B$2:$CX$102,MATCH(ROUND(Uzman_E!E$13,1),Tablo_E!$A$2:$A$102,1),MATCH(ROUND(Q51,1),Tablo_E!$B$1:$CX$1,1)))</f>
        <v>0</v>
      </c>
      <c r="S51" s="56">
        <f t="shared" si="0"/>
        <v>0</v>
      </c>
      <c r="T51" s="50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spans="1:36" ht="15" customHeight="1" thickBot="1" x14ac:dyDescent="0.25">
      <c r="A52" s="57">
        <v>49</v>
      </c>
      <c r="B52" s="58">
        <f>Hakemler!B52</f>
        <v>0</v>
      </c>
      <c r="C52" s="59">
        <f>Hakemler!C52</f>
        <v>0</v>
      </c>
      <c r="D52" s="60"/>
      <c r="E52" s="64">
        <f>IF(ISBLANK(D52),0,ABS(Uzman_E!A$13-D52))</f>
        <v>0</v>
      </c>
      <c r="F52" s="55">
        <f>IF(ISBLANK(D52),0,INDEX(Tablo_E!$B$2:$CX$102,MATCH(ROUND(Uzman_E!A$13,1),Tablo_E!$A$2:$A$102,1),MATCH(ROUND(E52,1),Tablo_E!$B$1:$CX$1,1)))</f>
        <v>0</v>
      </c>
      <c r="G52" s="60"/>
      <c r="H52" s="64">
        <f>IF(ISBLANK(G52),0,ABS(Uzman_E!B$13-G52))</f>
        <v>0</v>
      </c>
      <c r="I52" s="55">
        <f>IF(ISBLANK(G52),0,INDEX(Tablo_E!$B$2:$CX$102,MATCH(ROUND(Uzman_E!B$13,1),Tablo_E!$A$2:$A$102,1),MATCH(ROUND(H52,1),Tablo_E!$B$1:$CX$1,1)))</f>
        <v>0</v>
      </c>
      <c r="J52" s="60"/>
      <c r="K52" s="64">
        <f>IF(ISBLANK(J52),0,ABS(Uzman_E!C$13-J52))</f>
        <v>0</v>
      </c>
      <c r="L52" s="55">
        <f>IF(ISBLANK(J52),0,INDEX(Tablo_E!$B$2:$CX$102,MATCH(ROUND(Uzman_E!C$13,1),Tablo_E!$A$2:$A$102,1),MATCH(ROUND(K52,1),Tablo_E!$B$1:$CX$1,1)))</f>
        <v>0</v>
      </c>
      <c r="M52" s="60"/>
      <c r="N52" s="64">
        <f>IF(ISBLANK(M52),0,ABS(Uzman_E!D$13-M52))</f>
        <v>0</v>
      </c>
      <c r="O52" s="55">
        <f>IF(ISBLANK(M52),0,INDEX(Tablo_E!$B$2:$CX$102,MATCH(ROUND(Uzman_E!D$13,1),Tablo_E!$A$2:$A$102,1),MATCH(ROUND(N52,1),Tablo_E!$B$1:$CX$1,1)))</f>
        <v>0</v>
      </c>
      <c r="P52" s="60"/>
      <c r="Q52" s="64">
        <f>IF(ISBLANK(P52),0,ABS(Uzman_E!E$13-P52))</f>
        <v>0</v>
      </c>
      <c r="R52" s="55">
        <f>IF(ISBLANK(P52),0,INDEX(Tablo_E!$B$2:$CX$102,MATCH(ROUND(Uzman_E!E$13,1),Tablo_E!$A$2:$A$102,1),MATCH(ROUND(Q52,1),Tablo_E!$B$1:$CX$1,1)))</f>
        <v>0</v>
      </c>
      <c r="S52" s="56">
        <f t="shared" si="0"/>
        <v>0</v>
      </c>
      <c r="T52" s="50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spans="1:36" ht="15" customHeight="1" thickBot="1" x14ac:dyDescent="0.25">
      <c r="A53" s="57">
        <v>50</v>
      </c>
      <c r="B53" s="58">
        <f>Hakemler!B53</f>
        <v>0</v>
      </c>
      <c r="C53" s="59">
        <f>Hakemler!C53</f>
        <v>0</v>
      </c>
      <c r="D53" s="60"/>
      <c r="E53" s="64">
        <f>IF(ISBLANK(D53),0,ABS(Uzman_E!A$13-D53))</f>
        <v>0</v>
      </c>
      <c r="F53" s="55">
        <f>IF(ISBLANK(D53),0,INDEX(Tablo_E!$B$2:$CX$102,MATCH(ROUND(Uzman_E!A$13,1),Tablo_E!$A$2:$A$102,1),MATCH(ROUND(E53,1),Tablo_E!$B$1:$CX$1,1)))</f>
        <v>0</v>
      </c>
      <c r="G53" s="60"/>
      <c r="H53" s="64">
        <f>IF(ISBLANK(G53),0,ABS(Uzman_E!B$13-G53))</f>
        <v>0</v>
      </c>
      <c r="I53" s="55">
        <f>IF(ISBLANK(G53),0,INDEX(Tablo_E!$B$2:$CX$102,MATCH(ROUND(Uzman_E!B$13,1),Tablo_E!$A$2:$A$102,1),MATCH(ROUND(H53,1),Tablo_E!$B$1:$CX$1,1)))</f>
        <v>0</v>
      </c>
      <c r="J53" s="60"/>
      <c r="K53" s="64">
        <f>IF(ISBLANK(J53),0,ABS(Uzman_E!C$13-J53))</f>
        <v>0</v>
      </c>
      <c r="L53" s="55">
        <f>IF(ISBLANK(J53),0,INDEX(Tablo_E!$B$2:$CX$102,MATCH(ROUND(Uzman_E!C$13,1),Tablo_E!$A$2:$A$102,1),MATCH(ROUND(K53,1),Tablo_E!$B$1:$CX$1,1)))</f>
        <v>0</v>
      </c>
      <c r="M53" s="60"/>
      <c r="N53" s="64">
        <f>IF(ISBLANK(M53),0,ABS(Uzman_E!D$13-M53))</f>
        <v>0</v>
      </c>
      <c r="O53" s="55">
        <f>IF(ISBLANK(M53),0,INDEX(Tablo_E!$B$2:$CX$102,MATCH(ROUND(Uzman_E!D$13,1),Tablo_E!$A$2:$A$102,1),MATCH(ROUND(N53,1),Tablo_E!$B$1:$CX$1,1)))</f>
        <v>0</v>
      </c>
      <c r="P53" s="60"/>
      <c r="Q53" s="64">
        <f>IF(ISBLANK(P53),0,ABS(Uzman_E!E$13-P53))</f>
        <v>0</v>
      </c>
      <c r="R53" s="55">
        <f>IF(ISBLANK(P53),0,INDEX(Tablo_E!$B$2:$CX$102,MATCH(ROUND(Uzman_E!E$13,1),Tablo_E!$A$2:$A$102,1),MATCH(ROUND(Q53,1),Tablo_E!$B$1:$CX$1,1)))</f>
        <v>0</v>
      </c>
      <c r="S53" s="56">
        <f t="shared" si="0"/>
        <v>0</v>
      </c>
      <c r="T53" s="50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spans="1:36" ht="15" customHeight="1" thickBot="1" x14ac:dyDescent="0.25">
      <c r="A54" s="57">
        <v>51</v>
      </c>
      <c r="B54" s="35">
        <f>Hakemler!B54</f>
        <v>0</v>
      </c>
      <c r="C54" s="63">
        <f>Hakemler!C54</f>
        <v>0</v>
      </c>
      <c r="D54" s="60"/>
      <c r="E54" s="64">
        <f>IF(ISBLANK(D54),0,ABS(Uzman_E!A$13-D54))</f>
        <v>0</v>
      </c>
      <c r="F54" s="55">
        <f>IF(ISBLANK(D54),0,INDEX(Tablo_E!$B$2:$CX$102,MATCH(ROUND(Uzman_E!A$13,1),Tablo_E!$A$2:$A$102,1),MATCH(ROUND(E54,1),Tablo_E!$B$1:$CX$1,1)))</f>
        <v>0</v>
      </c>
      <c r="G54" s="60"/>
      <c r="H54" s="64">
        <f>IF(ISBLANK(G54),0,ABS(Uzman_E!B$13-G54))</f>
        <v>0</v>
      </c>
      <c r="I54" s="55">
        <f>IF(ISBLANK(G54),0,INDEX(Tablo_E!$B$2:$CX$102,MATCH(ROUND(Uzman_E!B$13,1),Tablo_E!$A$2:$A$102,1),MATCH(ROUND(H54,1),Tablo_E!$B$1:$CX$1,1)))</f>
        <v>0</v>
      </c>
      <c r="J54" s="60"/>
      <c r="K54" s="64">
        <f>IF(ISBLANK(J54),0,ABS(Uzman_E!C$13-J54))</f>
        <v>0</v>
      </c>
      <c r="L54" s="55">
        <f>IF(ISBLANK(J54),0,INDEX(Tablo_E!$B$2:$CX$102,MATCH(ROUND(Uzman_E!C$13,1),Tablo_E!$A$2:$A$102,1),MATCH(ROUND(K54,1),Tablo_E!$B$1:$CX$1,1)))</f>
        <v>0</v>
      </c>
      <c r="M54" s="60"/>
      <c r="N54" s="64">
        <f>IF(ISBLANK(M54),0,ABS(Uzman_E!D$13-M54))</f>
        <v>0</v>
      </c>
      <c r="O54" s="55">
        <f>IF(ISBLANK(M54),0,INDEX(Tablo_E!$B$2:$CX$102,MATCH(ROUND(Uzman_E!D$13,1),Tablo_E!$A$2:$A$102,1),MATCH(ROUND(N54,1),Tablo_E!$B$1:$CX$1,1)))</f>
        <v>0</v>
      </c>
      <c r="P54" s="60"/>
      <c r="Q54" s="64">
        <f>IF(ISBLANK(P54),0,ABS(Uzman_E!E$13-P54))</f>
        <v>0</v>
      </c>
      <c r="R54" s="55">
        <f>IF(ISBLANK(P54),0,INDEX(Tablo_E!$B$2:$CX$102,MATCH(ROUND(Uzman_E!E$13,1),Tablo_E!$A$2:$A$102,1),MATCH(ROUND(Q54,1),Tablo_E!$B$1:$CX$1,1)))</f>
        <v>0</v>
      </c>
      <c r="S54" s="56">
        <f t="shared" si="0"/>
        <v>0</v>
      </c>
      <c r="T54" s="50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spans="1:36" ht="15" customHeight="1" thickBot="1" x14ac:dyDescent="0.25">
      <c r="A55" s="57">
        <v>52</v>
      </c>
      <c r="B55" s="35">
        <f>Hakemler!B55</f>
        <v>0</v>
      </c>
      <c r="C55" s="63">
        <f>Hakemler!C55</f>
        <v>0</v>
      </c>
      <c r="D55" s="60"/>
      <c r="E55" s="64">
        <f>IF(ISBLANK(D55),0,ABS(Uzman_E!A$13-D55))</f>
        <v>0</v>
      </c>
      <c r="F55" s="55">
        <f>IF(ISBLANK(D55),0,INDEX(Tablo_E!$B$2:$CX$102,MATCH(ROUND(Uzman_E!A$13,1),Tablo_E!$A$2:$A$102,1),MATCH(ROUND(E55,1),Tablo_E!$B$1:$CX$1,1)))</f>
        <v>0</v>
      </c>
      <c r="G55" s="60"/>
      <c r="H55" s="64">
        <f>IF(ISBLANK(G55),0,ABS(Uzman_E!B$13-G55))</f>
        <v>0</v>
      </c>
      <c r="I55" s="55">
        <f>IF(ISBLANK(G55),0,INDEX(Tablo_E!$B$2:$CX$102,MATCH(ROUND(Uzman_E!B$13,1),Tablo_E!$A$2:$A$102,1),MATCH(ROUND(H55,1),Tablo_E!$B$1:$CX$1,1)))</f>
        <v>0</v>
      </c>
      <c r="J55" s="60"/>
      <c r="K55" s="64">
        <f>IF(ISBLANK(J55),0,ABS(Uzman_E!C$13-J55))</f>
        <v>0</v>
      </c>
      <c r="L55" s="55">
        <f>IF(ISBLANK(J55),0,INDEX(Tablo_E!$B$2:$CX$102,MATCH(ROUND(Uzman_E!C$13,1),Tablo_E!$A$2:$A$102,1),MATCH(ROUND(K55,1),Tablo_E!$B$1:$CX$1,1)))</f>
        <v>0</v>
      </c>
      <c r="M55" s="60"/>
      <c r="N55" s="64">
        <f>IF(ISBLANK(M55),0,ABS(Uzman_E!D$13-M55))</f>
        <v>0</v>
      </c>
      <c r="O55" s="55">
        <f>IF(ISBLANK(M55),0,INDEX(Tablo_E!$B$2:$CX$102,MATCH(ROUND(Uzman_E!D$13,1),Tablo_E!$A$2:$A$102,1),MATCH(ROUND(N55,1),Tablo_E!$B$1:$CX$1,1)))</f>
        <v>0</v>
      </c>
      <c r="P55" s="60"/>
      <c r="Q55" s="64">
        <f>IF(ISBLANK(P55),0,ABS(Uzman_E!E$13-P55))</f>
        <v>0</v>
      </c>
      <c r="R55" s="55">
        <f>IF(ISBLANK(P55),0,INDEX(Tablo_E!$B$2:$CX$102,MATCH(ROUND(Uzman_E!E$13,1),Tablo_E!$A$2:$A$102,1),MATCH(ROUND(Q55,1),Tablo_E!$B$1:$CX$1,1)))</f>
        <v>0</v>
      </c>
      <c r="S55" s="56">
        <f t="shared" si="0"/>
        <v>0</v>
      </c>
      <c r="T55" s="50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spans="1:36" ht="15" customHeight="1" thickBot="1" x14ac:dyDescent="0.25">
      <c r="A56" s="57">
        <v>53</v>
      </c>
      <c r="B56" s="35">
        <f>Hakemler!B56</f>
        <v>0</v>
      </c>
      <c r="C56" s="59">
        <f>Hakemler!C56</f>
        <v>0</v>
      </c>
      <c r="D56" s="60"/>
      <c r="E56" s="64">
        <f>IF(ISBLANK(D56),0,ABS(Uzman_E!A$13-D56))</f>
        <v>0</v>
      </c>
      <c r="F56" s="55">
        <f>IF(ISBLANK(D56),0,INDEX(Tablo_E!$B$2:$CX$102,MATCH(ROUND(Uzman_E!A$13,1),Tablo_E!$A$2:$A$102,1),MATCH(ROUND(E56,1),Tablo_E!$B$1:$CX$1,1)))</f>
        <v>0</v>
      </c>
      <c r="G56" s="60"/>
      <c r="H56" s="64">
        <f>IF(ISBLANK(G56),0,ABS(Uzman_E!B$13-G56))</f>
        <v>0</v>
      </c>
      <c r="I56" s="55">
        <f>IF(ISBLANK(G56),0,INDEX(Tablo_E!$B$2:$CX$102,MATCH(ROUND(Uzman_E!B$13,1),Tablo_E!$A$2:$A$102,1),MATCH(ROUND(H56,1),Tablo_E!$B$1:$CX$1,1)))</f>
        <v>0</v>
      </c>
      <c r="J56" s="60"/>
      <c r="K56" s="64">
        <f>IF(ISBLANK(J56),0,ABS(Uzman_E!C$13-J56))</f>
        <v>0</v>
      </c>
      <c r="L56" s="55">
        <f>IF(ISBLANK(J56),0,INDEX(Tablo_E!$B$2:$CX$102,MATCH(ROUND(Uzman_E!C$13,1),Tablo_E!$A$2:$A$102,1),MATCH(ROUND(K56,1),Tablo_E!$B$1:$CX$1,1)))</f>
        <v>0</v>
      </c>
      <c r="M56" s="60"/>
      <c r="N56" s="64">
        <f>IF(ISBLANK(M56),0,ABS(Uzman_E!D$13-M56))</f>
        <v>0</v>
      </c>
      <c r="O56" s="55">
        <f>IF(ISBLANK(M56),0,INDEX(Tablo_E!$B$2:$CX$102,MATCH(ROUND(Uzman_E!D$13,1),Tablo_E!$A$2:$A$102,1),MATCH(ROUND(N56,1),Tablo_E!$B$1:$CX$1,1)))</f>
        <v>0</v>
      </c>
      <c r="P56" s="60"/>
      <c r="Q56" s="64">
        <f>IF(ISBLANK(P56),0,ABS(Uzman_E!E$13-P56))</f>
        <v>0</v>
      </c>
      <c r="R56" s="55">
        <f>IF(ISBLANK(P56),0,INDEX(Tablo_E!$B$2:$CX$102,MATCH(ROUND(Uzman_E!E$13,1),Tablo_E!$A$2:$A$102,1),MATCH(ROUND(Q56,1),Tablo_E!$B$1:$CX$1,1)))</f>
        <v>0</v>
      </c>
      <c r="S56" s="56">
        <f t="shared" si="0"/>
        <v>0</v>
      </c>
      <c r="T56" s="50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spans="1:36" ht="15" customHeight="1" thickBot="1" x14ac:dyDescent="0.25">
      <c r="A57" s="57">
        <v>54</v>
      </c>
      <c r="B57" s="58">
        <f>Hakemler!B57</f>
        <v>0</v>
      </c>
      <c r="C57" s="59">
        <f>Hakemler!C57</f>
        <v>0</v>
      </c>
      <c r="D57" s="60"/>
      <c r="E57" s="64">
        <f>IF(ISBLANK(D57),0,ABS(Uzman_E!A$13-D57))</f>
        <v>0</v>
      </c>
      <c r="F57" s="55">
        <f>IF(ISBLANK(D57),0,INDEX(Tablo_E!$B$2:$CX$102,MATCH(ROUND(Uzman_E!A$13,1),Tablo_E!$A$2:$A$102,1),MATCH(ROUND(E57,1),Tablo_E!$B$1:$CX$1,1)))</f>
        <v>0</v>
      </c>
      <c r="G57" s="60"/>
      <c r="H57" s="64">
        <f>IF(ISBLANK(G57),0,ABS(Uzman_E!B$13-G57))</f>
        <v>0</v>
      </c>
      <c r="I57" s="55">
        <f>IF(ISBLANK(G57),0,INDEX(Tablo_E!$B$2:$CX$102,MATCH(ROUND(Uzman_E!B$13,1),Tablo_E!$A$2:$A$102,1),MATCH(ROUND(H57,1),Tablo_E!$B$1:$CX$1,1)))</f>
        <v>0</v>
      </c>
      <c r="J57" s="60"/>
      <c r="K57" s="64">
        <f>IF(ISBLANK(J57),0,ABS(Uzman_E!C$13-J57))</f>
        <v>0</v>
      </c>
      <c r="L57" s="55">
        <f>IF(ISBLANK(J57),0,INDEX(Tablo_E!$B$2:$CX$102,MATCH(ROUND(Uzman_E!C$13,1),Tablo_E!$A$2:$A$102,1),MATCH(ROUND(K57,1),Tablo_E!$B$1:$CX$1,1)))</f>
        <v>0</v>
      </c>
      <c r="M57" s="60"/>
      <c r="N57" s="64">
        <f>IF(ISBLANK(M57),0,ABS(Uzman_E!D$13-M57))</f>
        <v>0</v>
      </c>
      <c r="O57" s="55">
        <f>IF(ISBLANK(M57),0,INDEX(Tablo_E!$B$2:$CX$102,MATCH(ROUND(Uzman_E!D$13,1),Tablo_E!$A$2:$A$102,1),MATCH(ROUND(N57,1),Tablo_E!$B$1:$CX$1,1)))</f>
        <v>0</v>
      </c>
      <c r="P57" s="60"/>
      <c r="Q57" s="64">
        <f>IF(ISBLANK(P57),0,ABS(Uzman_E!E$13-P57))</f>
        <v>0</v>
      </c>
      <c r="R57" s="55">
        <f>IF(ISBLANK(P57),0,INDEX(Tablo_E!$B$2:$CX$102,MATCH(ROUND(Uzman_E!E$13,1),Tablo_E!$A$2:$A$102,1),MATCH(ROUND(Q57,1),Tablo_E!$B$1:$CX$1,1)))</f>
        <v>0</v>
      </c>
      <c r="S57" s="56">
        <f t="shared" si="0"/>
        <v>0</v>
      </c>
      <c r="T57" s="50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spans="1:36" ht="15" customHeight="1" thickBot="1" x14ac:dyDescent="0.25">
      <c r="A58" s="57">
        <v>55</v>
      </c>
      <c r="B58" s="35">
        <f>Hakemler!B58</f>
        <v>0</v>
      </c>
      <c r="C58" s="63">
        <f>Hakemler!C58</f>
        <v>0</v>
      </c>
      <c r="D58" s="60"/>
      <c r="E58" s="64">
        <f>IF(ISBLANK(D58),0,ABS(Uzman_E!A$13-D58))</f>
        <v>0</v>
      </c>
      <c r="F58" s="55">
        <f>IF(ISBLANK(D58),0,INDEX(Tablo_E!$B$2:$CX$102,MATCH(ROUND(Uzman_E!A$13,1),Tablo_E!$A$2:$A$102,1),MATCH(ROUND(E58,1),Tablo_E!$B$1:$CX$1,1)))</f>
        <v>0</v>
      </c>
      <c r="G58" s="60"/>
      <c r="H58" s="64">
        <f>IF(ISBLANK(G58),0,ABS(Uzman_E!B$13-G58))</f>
        <v>0</v>
      </c>
      <c r="I58" s="55">
        <f>IF(ISBLANK(G58),0,INDEX(Tablo_E!$B$2:$CX$102,MATCH(ROUND(Uzman_E!B$13,1),Tablo_E!$A$2:$A$102,1),MATCH(ROUND(H58,1),Tablo_E!$B$1:$CX$1,1)))</f>
        <v>0</v>
      </c>
      <c r="J58" s="60"/>
      <c r="K58" s="64">
        <f>IF(ISBLANK(J58),0,ABS(Uzman_E!C$13-J58))</f>
        <v>0</v>
      </c>
      <c r="L58" s="55">
        <f>IF(ISBLANK(J58),0,INDEX(Tablo_E!$B$2:$CX$102,MATCH(ROUND(Uzman_E!C$13,1),Tablo_E!$A$2:$A$102,1),MATCH(ROUND(K58,1),Tablo_E!$B$1:$CX$1,1)))</f>
        <v>0</v>
      </c>
      <c r="M58" s="60"/>
      <c r="N58" s="64">
        <f>IF(ISBLANK(M58),0,ABS(Uzman_E!D$13-M58))</f>
        <v>0</v>
      </c>
      <c r="O58" s="55">
        <f>IF(ISBLANK(M58),0,INDEX(Tablo_E!$B$2:$CX$102,MATCH(ROUND(Uzman_E!D$13,1),Tablo_E!$A$2:$A$102,1),MATCH(ROUND(N58,1),Tablo_E!$B$1:$CX$1,1)))</f>
        <v>0</v>
      </c>
      <c r="P58" s="60"/>
      <c r="Q58" s="64">
        <f>IF(ISBLANK(P58),0,ABS(Uzman_E!E$13-P58))</f>
        <v>0</v>
      </c>
      <c r="R58" s="55">
        <f>IF(ISBLANK(P58),0,INDEX(Tablo_E!$B$2:$CX$102,MATCH(ROUND(Uzman_E!E$13,1),Tablo_E!$A$2:$A$102,1),MATCH(ROUND(Q58,1),Tablo_E!$B$1:$CX$1,1)))</f>
        <v>0</v>
      </c>
      <c r="S58" s="56">
        <f t="shared" si="0"/>
        <v>0</v>
      </c>
      <c r="T58" s="50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spans="1:36" ht="15" customHeight="1" thickBot="1" x14ac:dyDescent="0.25">
      <c r="A59" s="57">
        <v>56</v>
      </c>
      <c r="B59" s="58">
        <f>Hakemler!B59</f>
        <v>0</v>
      </c>
      <c r="C59" s="59">
        <f>Hakemler!C59</f>
        <v>0</v>
      </c>
      <c r="D59" s="60"/>
      <c r="E59" s="64">
        <f>IF(ISBLANK(D59),0,ABS(Uzman_E!A$13-D59))</f>
        <v>0</v>
      </c>
      <c r="F59" s="55">
        <f>IF(ISBLANK(D59),0,INDEX(Tablo_E!$B$2:$CX$102,MATCH(ROUND(Uzman_E!A$13,1),Tablo_E!$A$2:$A$102,1),MATCH(ROUND(E59,1),Tablo_E!$B$1:$CX$1,1)))</f>
        <v>0</v>
      </c>
      <c r="G59" s="60"/>
      <c r="H59" s="64">
        <f>IF(ISBLANK(G59),0,ABS(Uzman_E!B$13-G59))</f>
        <v>0</v>
      </c>
      <c r="I59" s="55">
        <f>IF(ISBLANK(G59),0,INDEX(Tablo_E!$B$2:$CX$102,MATCH(ROUND(Uzman_E!B$13,1),Tablo_E!$A$2:$A$102,1),MATCH(ROUND(H59,1),Tablo_E!$B$1:$CX$1,1)))</f>
        <v>0</v>
      </c>
      <c r="J59" s="60"/>
      <c r="K59" s="64">
        <f>IF(ISBLANK(J59),0,ABS(Uzman_E!C$13-J59))</f>
        <v>0</v>
      </c>
      <c r="L59" s="55">
        <f>IF(ISBLANK(J59),0,INDEX(Tablo_E!$B$2:$CX$102,MATCH(ROUND(Uzman_E!C$13,1),Tablo_E!$A$2:$A$102,1),MATCH(ROUND(K59,1),Tablo_E!$B$1:$CX$1,1)))</f>
        <v>0</v>
      </c>
      <c r="M59" s="60"/>
      <c r="N59" s="64">
        <f>IF(ISBLANK(M59),0,ABS(Uzman_E!D$13-M59))</f>
        <v>0</v>
      </c>
      <c r="O59" s="55">
        <f>IF(ISBLANK(M59),0,INDEX(Tablo_E!$B$2:$CX$102,MATCH(ROUND(Uzman_E!D$13,1),Tablo_E!$A$2:$A$102,1),MATCH(ROUND(N59,1),Tablo_E!$B$1:$CX$1,1)))</f>
        <v>0</v>
      </c>
      <c r="P59" s="60"/>
      <c r="Q59" s="64">
        <f>IF(ISBLANK(P59),0,ABS(Uzman_E!E$13-P59))</f>
        <v>0</v>
      </c>
      <c r="R59" s="55">
        <f>IF(ISBLANK(P59),0,INDEX(Tablo_E!$B$2:$CX$102,MATCH(ROUND(Uzman_E!E$13,1),Tablo_E!$A$2:$A$102,1),MATCH(ROUND(Q59,1),Tablo_E!$B$1:$CX$1,1)))</f>
        <v>0</v>
      </c>
      <c r="S59" s="56">
        <f t="shared" si="0"/>
        <v>0</v>
      </c>
      <c r="T59" s="50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spans="1:36" ht="15" customHeight="1" thickBot="1" x14ac:dyDescent="0.25">
      <c r="A60" s="57">
        <v>57</v>
      </c>
      <c r="B60" s="35">
        <f>Hakemler!B60</f>
        <v>0</v>
      </c>
      <c r="C60" s="63">
        <f>Hakemler!C60</f>
        <v>0</v>
      </c>
      <c r="D60" s="60"/>
      <c r="E60" s="64">
        <f>IF(ISBLANK(D60),0,ABS(Uzman_E!A$13-D60))</f>
        <v>0</v>
      </c>
      <c r="F60" s="55">
        <f>IF(ISBLANK(D60),0,INDEX(Tablo_E!$B$2:$CX$102,MATCH(ROUND(Uzman_E!A$13,1),Tablo_E!$A$2:$A$102,1),MATCH(ROUND(E60,1),Tablo_E!$B$1:$CX$1,1)))</f>
        <v>0</v>
      </c>
      <c r="G60" s="60"/>
      <c r="H60" s="64">
        <f>IF(ISBLANK(G60),0,ABS(Uzman_E!B$13-G60))</f>
        <v>0</v>
      </c>
      <c r="I60" s="55">
        <f>IF(ISBLANK(G60),0,INDEX(Tablo_E!$B$2:$CX$102,MATCH(ROUND(Uzman_E!B$13,1),Tablo_E!$A$2:$A$102,1),MATCH(ROUND(H60,1),Tablo_E!$B$1:$CX$1,1)))</f>
        <v>0</v>
      </c>
      <c r="J60" s="60"/>
      <c r="K60" s="64">
        <f>IF(ISBLANK(J60),0,ABS(Uzman_E!C$13-J60))</f>
        <v>0</v>
      </c>
      <c r="L60" s="55">
        <f>IF(ISBLANK(J60),0,INDEX(Tablo_E!$B$2:$CX$102,MATCH(ROUND(Uzman_E!C$13,1),Tablo_E!$A$2:$A$102,1),MATCH(ROUND(K60,1),Tablo_E!$B$1:$CX$1,1)))</f>
        <v>0</v>
      </c>
      <c r="M60" s="60"/>
      <c r="N60" s="64">
        <f>IF(ISBLANK(M60),0,ABS(Uzman_E!D$13-M60))</f>
        <v>0</v>
      </c>
      <c r="O60" s="55">
        <f>IF(ISBLANK(M60),0,INDEX(Tablo_E!$B$2:$CX$102,MATCH(ROUND(Uzman_E!D$13,1),Tablo_E!$A$2:$A$102,1),MATCH(ROUND(N60,1),Tablo_E!$B$1:$CX$1,1)))</f>
        <v>0</v>
      </c>
      <c r="P60" s="60"/>
      <c r="Q60" s="64">
        <f>IF(ISBLANK(P60),0,ABS(Uzman_E!E$13-P60))</f>
        <v>0</v>
      </c>
      <c r="R60" s="55">
        <f>IF(ISBLANK(P60),0,INDEX(Tablo_E!$B$2:$CX$102,MATCH(ROUND(Uzman_E!E$13,1),Tablo_E!$A$2:$A$102,1),MATCH(ROUND(Q60,1),Tablo_E!$B$1:$CX$1,1)))</f>
        <v>0</v>
      </c>
      <c r="S60" s="56">
        <f t="shared" si="0"/>
        <v>0</v>
      </c>
      <c r="T60" s="50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spans="1:36" ht="15" customHeight="1" thickBot="1" x14ac:dyDescent="0.25">
      <c r="A61" s="57">
        <v>58</v>
      </c>
      <c r="B61" s="58">
        <f>Hakemler!B61</f>
        <v>0</v>
      </c>
      <c r="C61" s="59">
        <f>Hakemler!C61</f>
        <v>0</v>
      </c>
      <c r="D61" s="60"/>
      <c r="E61" s="64">
        <f>IF(ISBLANK(D61),0,ABS(Uzman_E!A$13-D61))</f>
        <v>0</v>
      </c>
      <c r="F61" s="55">
        <f>IF(ISBLANK(D61),0,INDEX(Tablo_E!$B$2:$CX$102,MATCH(ROUND(Uzman_E!A$13,1),Tablo_E!$A$2:$A$102,1),MATCH(ROUND(E61,1),Tablo_E!$B$1:$CX$1,1)))</f>
        <v>0</v>
      </c>
      <c r="G61" s="60"/>
      <c r="H61" s="64">
        <f>IF(ISBLANK(G61),0,ABS(Uzman_E!B$13-G61))</f>
        <v>0</v>
      </c>
      <c r="I61" s="55">
        <f>IF(ISBLANK(G61),0,INDEX(Tablo_E!$B$2:$CX$102,MATCH(ROUND(Uzman_E!B$13,1),Tablo_E!$A$2:$A$102,1),MATCH(ROUND(H61,1),Tablo_E!$B$1:$CX$1,1)))</f>
        <v>0</v>
      </c>
      <c r="J61" s="60"/>
      <c r="K61" s="64">
        <f>IF(ISBLANK(J61),0,ABS(Uzman_E!C$13-J61))</f>
        <v>0</v>
      </c>
      <c r="L61" s="55">
        <f>IF(ISBLANK(J61),0,INDEX(Tablo_E!$B$2:$CX$102,MATCH(ROUND(Uzman_E!C$13,1),Tablo_E!$A$2:$A$102,1),MATCH(ROUND(K61,1),Tablo_E!$B$1:$CX$1,1)))</f>
        <v>0</v>
      </c>
      <c r="M61" s="60"/>
      <c r="N61" s="64">
        <f>IF(ISBLANK(M61),0,ABS(Uzman_E!D$13-M61))</f>
        <v>0</v>
      </c>
      <c r="O61" s="55">
        <f>IF(ISBLANK(M61),0,INDEX(Tablo_E!$B$2:$CX$102,MATCH(ROUND(Uzman_E!D$13,1),Tablo_E!$A$2:$A$102,1),MATCH(ROUND(N61,1),Tablo_E!$B$1:$CX$1,1)))</f>
        <v>0</v>
      </c>
      <c r="P61" s="60"/>
      <c r="Q61" s="64">
        <f>IF(ISBLANK(P61),0,ABS(Uzman_E!E$13-P61))</f>
        <v>0</v>
      </c>
      <c r="R61" s="55">
        <f>IF(ISBLANK(P61),0,INDEX(Tablo_E!$B$2:$CX$102,MATCH(ROUND(Uzman_E!E$13,1),Tablo_E!$A$2:$A$102,1),MATCH(ROUND(Q61,1),Tablo_E!$B$1:$CX$1,1)))</f>
        <v>0</v>
      </c>
      <c r="S61" s="56">
        <f t="shared" si="0"/>
        <v>0</v>
      </c>
      <c r="T61" s="50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spans="1:36" ht="15" customHeight="1" thickBot="1" x14ac:dyDescent="0.25">
      <c r="A62" s="57">
        <v>59</v>
      </c>
      <c r="B62" s="58">
        <f>Hakemler!B62</f>
        <v>0</v>
      </c>
      <c r="C62" s="59">
        <f>Hakemler!C62</f>
        <v>0</v>
      </c>
      <c r="D62" s="60"/>
      <c r="E62" s="64">
        <f>IF(ISBLANK(D62),0,ABS(Uzman_E!A$13-D62))</f>
        <v>0</v>
      </c>
      <c r="F62" s="55">
        <f>IF(ISBLANK(D62),0,INDEX(Tablo_E!$B$2:$CX$102,MATCH(ROUND(Uzman_E!A$13,1),Tablo_E!$A$2:$A$102,1),MATCH(ROUND(E62,1),Tablo_E!$B$1:$CX$1,1)))</f>
        <v>0</v>
      </c>
      <c r="G62" s="60"/>
      <c r="H62" s="64">
        <f>IF(ISBLANK(G62),0,ABS(Uzman_E!B$13-G62))</f>
        <v>0</v>
      </c>
      <c r="I62" s="55">
        <f>IF(ISBLANK(G62),0,INDEX(Tablo_E!$B$2:$CX$102,MATCH(ROUND(Uzman_E!B$13,1),Tablo_E!$A$2:$A$102,1),MATCH(ROUND(H62,1),Tablo_E!$B$1:$CX$1,1)))</f>
        <v>0</v>
      </c>
      <c r="J62" s="60"/>
      <c r="K62" s="64">
        <f>IF(ISBLANK(J62),0,ABS(Uzman_E!C$13-J62))</f>
        <v>0</v>
      </c>
      <c r="L62" s="55">
        <f>IF(ISBLANK(J62),0,INDEX(Tablo_E!$B$2:$CX$102,MATCH(ROUND(Uzman_E!C$13,1),Tablo_E!$A$2:$A$102,1),MATCH(ROUND(K62,1),Tablo_E!$B$1:$CX$1,1)))</f>
        <v>0</v>
      </c>
      <c r="M62" s="60"/>
      <c r="N62" s="64">
        <f>IF(ISBLANK(M62),0,ABS(Uzman_E!D$13-M62))</f>
        <v>0</v>
      </c>
      <c r="O62" s="55">
        <f>IF(ISBLANK(M62),0,INDEX(Tablo_E!$B$2:$CX$102,MATCH(ROUND(Uzman_E!D$13,1),Tablo_E!$A$2:$A$102,1),MATCH(ROUND(N62,1),Tablo_E!$B$1:$CX$1,1)))</f>
        <v>0</v>
      </c>
      <c r="P62" s="60"/>
      <c r="Q62" s="64">
        <f>IF(ISBLANK(P62),0,ABS(Uzman_E!E$13-P62))</f>
        <v>0</v>
      </c>
      <c r="R62" s="55">
        <f>IF(ISBLANK(P62),0,INDEX(Tablo_E!$B$2:$CX$102,MATCH(ROUND(Uzman_E!E$13,1),Tablo_E!$A$2:$A$102,1),MATCH(ROUND(Q62,1),Tablo_E!$B$1:$CX$1,1)))</f>
        <v>0</v>
      </c>
      <c r="S62" s="56">
        <f t="shared" si="0"/>
        <v>0</v>
      </c>
      <c r="T62" s="50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spans="1:36" ht="15" customHeight="1" thickBot="1" x14ac:dyDescent="0.25">
      <c r="A63" s="57">
        <v>60</v>
      </c>
      <c r="B63" s="58">
        <f>Hakemler!B63</f>
        <v>0</v>
      </c>
      <c r="C63" s="59">
        <f>Hakemler!C63</f>
        <v>0</v>
      </c>
      <c r="D63" s="60"/>
      <c r="E63" s="64">
        <f>IF(ISBLANK(D63),0,ABS(Uzman_E!A$13-D63))</f>
        <v>0</v>
      </c>
      <c r="F63" s="55">
        <f>IF(ISBLANK(D63),0,INDEX(Tablo_E!$B$2:$CX$102,MATCH(ROUND(Uzman_E!A$13,1),Tablo_E!$A$2:$A$102,1),MATCH(ROUND(E63,1),Tablo_E!$B$1:$CX$1,1)))</f>
        <v>0</v>
      </c>
      <c r="G63" s="60"/>
      <c r="H63" s="64">
        <f>IF(ISBLANK(G63),0,ABS(Uzman_E!B$13-G63))</f>
        <v>0</v>
      </c>
      <c r="I63" s="55">
        <f>IF(ISBLANK(G63),0,INDEX(Tablo_E!$B$2:$CX$102,MATCH(ROUND(Uzman_E!B$13,1),Tablo_E!$A$2:$A$102,1),MATCH(ROUND(H63,1),Tablo_E!$B$1:$CX$1,1)))</f>
        <v>0</v>
      </c>
      <c r="J63" s="60"/>
      <c r="K63" s="64">
        <f>IF(ISBLANK(J63),0,ABS(Uzman_E!C$13-J63))</f>
        <v>0</v>
      </c>
      <c r="L63" s="55">
        <f>IF(ISBLANK(J63),0,INDEX(Tablo_E!$B$2:$CX$102,MATCH(ROUND(Uzman_E!C$13,1),Tablo_E!$A$2:$A$102,1),MATCH(ROUND(K63,1),Tablo_E!$B$1:$CX$1,1)))</f>
        <v>0</v>
      </c>
      <c r="M63" s="60"/>
      <c r="N63" s="64">
        <f>IF(ISBLANK(M63),0,ABS(Uzman_E!D$13-M63))</f>
        <v>0</v>
      </c>
      <c r="O63" s="55">
        <f>IF(ISBLANK(M63),0,INDEX(Tablo_E!$B$2:$CX$102,MATCH(ROUND(Uzman_E!D$13,1),Tablo_E!$A$2:$A$102,1),MATCH(ROUND(N63,1),Tablo_E!$B$1:$CX$1,1)))</f>
        <v>0</v>
      </c>
      <c r="P63" s="60"/>
      <c r="Q63" s="64">
        <f>IF(ISBLANK(P63),0,ABS(Uzman_E!E$13-P63))</f>
        <v>0</v>
      </c>
      <c r="R63" s="55">
        <f>IF(ISBLANK(P63),0,INDEX(Tablo_E!$B$2:$CX$102,MATCH(ROUND(Uzman_E!E$13,1),Tablo_E!$A$2:$A$102,1),MATCH(ROUND(Q63,1),Tablo_E!$B$1:$CX$1,1)))</f>
        <v>0</v>
      </c>
      <c r="S63" s="56">
        <f t="shared" si="0"/>
        <v>0</v>
      </c>
      <c r="T63" s="50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spans="1:36" ht="15" customHeight="1" thickBot="1" x14ac:dyDescent="0.25">
      <c r="A64" s="57">
        <v>61</v>
      </c>
      <c r="B64" s="58">
        <f>Hakemler!B64</f>
        <v>0</v>
      </c>
      <c r="C64" s="59">
        <f>Hakemler!C64</f>
        <v>0</v>
      </c>
      <c r="D64" s="60"/>
      <c r="E64" s="64">
        <f>IF(ISBLANK(D64),0,ABS(Uzman_E!A$13-D64))</f>
        <v>0</v>
      </c>
      <c r="F64" s="55">
        <f>IF(ISBLANK(D64),0,INDEX(Tablo_E!$B$2:$CX$102,MATCH(ROUND(Uzman_E!A$13,1),Tablo_E!$A$2:$A$102,1),MATCH(ROUND(E64,1),Tablo_E!$B$1:$CX$1,1)))</f>
        <v>0</v>
      </c>
      <c r="G64" s="60"/>
      <c r="H64" s="64">
        <f>IF(ISBLANK(G64),0,ABS(Uzman_E!B$13-G64))</f>
        <v>0</v>
      </c>
      <c r="I64" s="55">
        <f>IF(ISBLANK(G64),0,INDEX(Tablo_E!$B$2:$CX$102,MATCH(ROUND(Uzman_E!B$13,1),Tablo_E!$A$2:$A$102,1),MATCH(ROUND(H64,1),Tablo_E!$B$1:$CX$1,1)))</f>
        <v>0</v>
      </c>
      <c r="J64" s="60"/>
      <c r="K64" s="64">
        <f>IF(ISBLANK(J64),0,ABS(Uzman_E!C$13-J64))</f>
        <v>0</v>
      </c>
      <c r="L64" s="55">
        <f>IF(ISBLANK(J64),0,INDEX(Tablo_E!$B$2:$CX$102,MATCH(ROUND(Uzman_E!C$13,1),Tablo_E!$A$2:$A$102,1),MATCH(ROUND(K64,1),Tablo_E!$B$1:$CX$1,1)))</f>
        <v>0</v>
      </c>
      <c r="M64" s="60"/>
      <c r="N64" s="64">
        <f>IF(ISBLANK(M64),0,ABS(Uzman_E!D$13-M64))</f>
        <v>0</v>
      </c>
      <c r="O64" s="55">
        <f>IF(ISBLANK(M64),0,INDEX(Tablo_E!$B$2:$CX$102,MATCH(ROUND(Uzman_E!D$13,1),Tablo_E!$A$2:$A$102,1),MATCH(ROUND(N64,1),Tablo_E!$B$1:$CX$1,1)))</f>
        <v>0</v>
      </c>
      <c r="P64" s="60"/>
      <c r="Q64" s="64">
        <f>IF(ISBLANK(P64),0,ABS(Uzman_E!E$13-P64))</f>
        <v>0</v>
      </c>
      <c r="R64" s="55">
        <f>IF(ISBLANK(P64),0,INDEX(Tablo_E!$B$2:$CX$102,MATCH(ROUND(Uzman_E!E$13,1),Tablo_E!$A$2:$A$102,1),MATCH(ROUND(Q64,1),Tablo_E!$B$1:$CX$1,1)))</f>
        <v>0</v>
      </c>
      <c r="S64" s="56">
        <f t="shared" si="0"/>
        <v>0</v>
      </c>
      <c r="T64" s="50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spans="1:36" ht="15" customHeight="1" thickBot="1" x14ac:dyDescent="0.25">
      <c r="A65" s="57">
        <v>62</v>
      </c>
      <c r="B65" s="58">
        <f>Hakemler!B65</f>
        <v>0</v>
      </c>
      <c r="C65" s="59">
        <f>Hakemler!C65</f>
        <v>0</v>
      </c>
      <c r="D65" s="60"/>
      <c r="E65" s="64">
        <f>IF(ISBLANK(D65),0,ABS(Uzman_E!A$13-D65))</f>
        <v>0</v>
      </c>
      <c r="F65" s="55">
        <f>IF(ISBLANK(D65),0,INDEX(Tablo_E!$B$2:$CX$102,MATCH(ROUND(Uzman_E!A$13,1),Tablo_E!$A$2:$A$102,1),MATCH(ROUND(E65,1),Tablo_E!$B$1:$CX$1,1)))</f>
        <v>0</v>
      </c>
      <c r="G65" s="60"/>
      <c r="H65" s="64">
        <f>IF(ISBLANK(G65),0,ABS(Uzman_E!B$13-G65))</f>
        <v>0</v>
      </c>
      <c r="I65" s="55">
        <f>IF(ISBLANK(G65),0,INDEX(Tablo_E!$B$2:$CX$102,MATCH(ROUND(Uzman_E!B$13,1),Tablo_E!$A$2:$A$102,1),MATCH(ROUND(H65,1),Tablo_E!$B$1:$CX$1,1)))</f>
        <v>0</v>
      </c>
      <c r="J65" s="60"/>
      <c r="K65" s="64">
        <f>IF(ISBLANK(J65),0,ABS(Uzman_E!C$13-J65))</f>
        <v>0</v>
      </c>
      <c r="L65" s="55">
        <f>IF(ISBLANK(J65),0,INDEX(Tablo_E!$B$2:$CX$102,MATCH(ROUND(Uzman_E!C$13,1),Tablo_E!$A$2:$A$102,1),MATCH(ROUND(K65,1),Tablo_E!$B$1:$CX$1,1)))</f>
        <v>0</v>
      </c>
      <c r="M65" s="60"/>
      <c r="N65" s="64">
        <f>IF(ISBLANK(M65),0,ABS(Uzman_E!D$13-M65))</f>
        <v>0</v>
      </c>
      <c r="O65" s="55">
        <f>IF(ISBLANK(M65),0,INDEX(Tablo_E!$B$2:$CX$102,MATCH(ROUND(Uzman_E!D$13,1),Tablo_E!$A$2:$A$102,1),MATCH(ROUND(N65,1),Tablo_E!$B$1:$CX$1,1)))</f>
        <v>0</v>
      </c>
      <c r="P65" s="60"/>
      <c r="Q65" s="64">
        <f>IF(ISBLANK(P65),0,ABS(Uzman_E!E$13-P65))</f>
        <v>0</v>
      </c>
      <c r="R65" s="55">
        <f>IF(ISBLANK(P65),0,INDEX(Tablo_E!$B$2:$CX$102,MATCH(ROUND(Uzman_E!E$13,1),Tablo_E!$A$2:$A$102,1),MATCH(ROUND(Q65,1),Tablo_E!$B$1:$CX$1,1)))</f>
        <v>0</v>
      </c>
      <c r="S65" s="56">
        <f t="shared" si="0"/>
        <v>0</v>
      </c>
      <c r="T65" s="50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spans="1:36" ht="15" customHeight="1" thickBot="1" x14ac:dyDescent="0.25">
      <c r="A66" s="57">
        <v>63</v>
      </c>
      <c r="B66" s="58">
        <f>Hakemler!B66</f>
        <v>0</v>
      </c>
      <c r="C66" s="59">
        <f>Hakemler!C66</f>
        <v>0</v>
      </c>
      <c r="D66" s="60"/>
      <c r="E66" s="64">
        <f>IF(ISBLANK(D66),0,ABS(Uzman_E!A$13-D66))</f>
        <v>0</v>
      </c>
      <c r="F66" s="55">
        <f>IF(ISBLANK(D66),0,INDEX(Tablo_E!$B$2:$CX$102,MATCH(ROUND(Uzman_E!A$13,1),Tablo_E!$A$2:$A$102,1),MATCH(ROUND(E66,1),Tablo_E!$B$1:$CX$1,1)))</f>
        <v>0</v>
      </c>
      <c r="G66" s="60"/>
      <c r="H66" s="64">
        <f>IF(ISBLANK(G66),0,ABS(Uzman_E!B$13-G66))</f>
        <v>0</v>
      </c>
      <c r="I66" s="55">
        <f>IF(ISBLANK(G66),0,INDEX(Tablo_E!$B$2:$CX$102,MATCH(ROUND(Uzman_E!B$13,1),Tablo_E!$A$2:$A$102,1),MATCH(ROUND(H66,1),Tablo_E!$B$1:$CX$1,1)))</f>
        <v>0</v>
      </c>
      <c r="J66" s="60"/>
      <c r="K66" s="64">
        <f>IF(ISBLANK(J66),0,ABS(Uzman_E!C$13-J66))</f>
        <v>0</v>
      </c>
      <c r="L66" s="55">
        <f>IF(ISBLANK(J66),0,INDEX(Tablo_E!$B$2:$CX$102,MATCH(ROUND(Uzman_E!C$13,1),Tablo_E!$A$2:$A$102,1),MATCH(ROUND(K66,1),Tablo_E!$B$1:$CX$1,1)))</f>
        <v>0</v>
      </c>
      <c r="M66" s="60"/>
      <c r="N66" s="64">
        <f>IF(ISBLANK(M66),0,ABS(Uzman_E!D$13-M66))</f>
        <v>0</v>
      </c>
      <c r="O66" s="55">
        <f>IF(ISBLANK(M66),0,INDEX(Tablo_E!$B$2:$CX$102,MATCH(ROUND(Uzman_E!D$13,1),Tablo_E!$A$2:$A$102,1),MATCH(ROUND(N66,1),Tablo_E!$B$1:$CX$1,1)))</f>
        <v>0</v>
      </c>
      <c r="P66" s="60"/>
      <c r="Q66" s="64">
        <f>IF(ISBLANK(P66),0,ABS(Uzman_E!E$13-P66))</f>
        <v>0</v>
      </c>
      <c r="R66" s="55">
        <f>IF(ISBLANK(P66),0,INDEX(Tablo_E!$B$2:$CX$102,MATCH(ROUND(Uzman_E!E$13,1),Tablo_E!$A$2:$A$102,1),MATCH(ROUND(Q66,1),Tablo_E!$B$1:$CX$1,1)))</f>
        <v>0</v>
      </c>
      <c r="S66" s="56">
        <f t="shared" si="0"/>
        <v>0</v>
      </c>
      <c r="T66" s="50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spans="1:36" ht="15" customHeight="1" thickBot="1" x14ac:dyDescent="0.25">
      <c r="A67" s="57">
        <v>64</v>
      </c>
      <c r="B67" s="35">
        <f>Hakemler!B67</f>
        <v>0</v>
      </c>
      <c r="C67" s="63">
        <f>Hakemler!C67</f>
        <v>0</v>
      </c>
      <c r="D67" s="60"/>
      <c r="E67" s="64">
        <f>IF(ISBLANK(D67),0,ABS(Uzman_E!A$13-D67))</f>
        <v>0</v>
      </c>
      <c r="F67" s="55">
        <f>IF(ISBLANK(D67),0,INDEX(Tablo_E!$B$2:$CX$102,MATCH(ROUND(Uzman_E!A$13,1),Tablo_E!$A$2:$A$102,1),MATCH(ROUND(E67,1),Tablo_E!$B$1:$CX$1,1)))</f>
        <v>0</v>
      </c>
      <c r="G67" s="60"/>
      <c r="H67" s="64">
        <f>IF(ISBLANK(G67),0,ABS(Uzman_E!B$13-G67))</f>
        <v>0</v>
      </c>
      <c r="I67" s="55">
        <f>IF(ISBLANK(G67),0,INDEX(Tablo_E!$B$2:$CX$102,MATCH(ROUND(Uzman_E!B$13,1),Tablo_E!$A$2:$A$102,1),MATCH(ROUND(H67,1),Tablo_E!$B$1:$CX$1,1)))</f>
        <v>0</v>
      </c>
      <c r="J67" s="60"/>
      <c r="K67" s="64">
        <f>IF(ISBLANK(J67),0,ABS(Uzman_E!C$13-J67))</f>
        <v>0</v>
      </c>
      <c r="L67" s="55">
        <f>IF(ISBLANK(J67),0,INDEX(Tablo_E!$B$2:$CX$102,MATCH(ROUND(Uzman_E!C$13,1),Tablo_E!$A$2:$A$102,1),MATCH(ROUND(K67,1),Tablo_E!$B$1:$CX$1,1)))</f>
        <v>0</v>
      </c>
      <c r="M67" s="60"/>
      <c r="N67" s="64">
        <f>IF(ISBLANK(M67),0,ABS(Uzman_E!D$13-M67))</f>
        <v>0</v>
      </c>
      <c r="O67" s="55">
        <f>IF(ISBLANK(M67),0,INDEX(Tablo_E!$B$2:$CX$102,MATCH(ROUND(Uzman_E!D$13,1),Tablo_E!$A$2:$A$102,1),MATCH(ROUND(N67,1),Tablo_E!$B$1:$CX$1,1)))</f>
        <v>0</v>
      </c>
      <c r="P67" s="60"/>
      <c r="Q67" s="64">
        <f>IF(ISBLANK(P67),0,ABS(Uzman_E!E$13-P67))</f>
        <v>0</v>
      </c>
      <c r="R67" s="55">
        <f>IF(ISBLANK(P67),0,INDEX(Tablo_E!$B$2:$CX$102,MATCH(ROUND(Uzman_E!E$13,1),Tablo_E!$A$2:$A$102,1),MATCH(ROUND(Q67,1),Tablo_E!$B$1:$CX$1,1)))</f>
        <v>0</v>
      </c>
      <c r="S67" s="56">
        <f t="shared" si="0"/>
        <v>0</v>
      </c>
      <c r="T67" s="50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spans="1:36" ht="15" customHeight="1" thickBot="1" x14ac:dyDescent="0.25">
      <c r="A68" s="57">
        <v>65</v>
      </c>
      <c r="B68" s="35">
        <f>Hakemler!B68</f>
        <v>0</v>
      </c>
      <c r="C68" s="63">
        <f>Hakemler!C68</f>
        <v>0</v>
      </c>
      <c r="D68" s="60"/>
      <c r="E68" s="64">
        <f>IF(ISBLANK(D68),0,ABS(Uzman_E!A$13-D68))</f>
        <v>0</v>
      </c>
      <c r="F68" s="55">
        <f>IF(ISBLANK(D68),0,INDEX(Tablo_E!$B$2:$CX$102,MATCH(ROUND(Uzman_E!A$13,1),Tablo_E!$A$2:$A$102,1),MATCH(ROUND(E68,1),Tablo_E!$B$1:$CX$1,1)))</f>
        <v>0</v>
      </c>
      <c r="G68" s="60"/>
      <c r="H68" s="64">
        <f>IF(ISBLANK(G68),0,ABS(Uzman_E!B$13-G68))</f>
        <v>0</v>
      </c>
      <c r="I68" s="55">
        <f>IF(ISBLANK(G68),0,INDEX(Tablo_E!$B$2:$CX$102,MATCH(ROUND(Uzman_E!B$13,1),Tablo_E!$A$2:$A$102,1),MATCH(ROUND(H68,1),Tablo_E!$B$1:$CX$1,1)))</f>
        <v>0</v>
      </c>
      <c r="J68" s="60"/>
      <c r="K68" s="64">
        <f>IF(ISBLANK(J68),0,ABS(Uzman_E!C$13-J68))</f>
        <v>0</v>
      </c>
      <c r="L68" s="55">
        <f>IF(ISBLANK(J68),0,INDEX(Tablo_E!$B$2:$CX$102,MATCH(ROUND(Uzman_E!C$13,1),Tablo_E!$A$2:$A$102,1),MATCH(ROUND(K68,1),Tablo_E!$B$1:$CX$1,1)))</f>
        <v>0</v>
      </c>
      <c r="M68" s="60"/>
      <c r="N68" s="64">
        <f>IF(ISBLANK(M68),0,ABS(Uzman_E!D$13-M68))</f>
        <v>0</v>
      </c>
      <c r="O68" s="55">
        <f>IF(ISBLANK(M68),0,INDEX(Tablo_E!$B$2:$CX$102,MATCH(ROUND(Uzman_E!D$13,1),Tablo_E!$A$2:$A$102,1),MATCH(ROUND(N68,1),Tablo_E!$B$1:$CX$1,1)))</f>
        <v>0</v>
      </c>
      <c r="P68" s="60"/>
      <c r="Q68" s="64">
        <f>IF(ISBLANK(P68),0,ABS(Uzman_E!E$13-P68))</f>
        <v>0</v>
      </c>
      <c r="R68" s="55">
        <f>IF(ISBLANK(P68),0,INDEX(Tablo_E!$B$2:$CX$102,MATCH(ROUND(Uzman_E!E$13,1),Tablo_E!$A$2:$A$102,1),MATCH(ROUND(Q68,1),Tablo_E!$B$1:$CX$1,1)))</f>
        <v>0</v>
      </c>
      <c r="S68" s="56">
        <f t="shared" si="0"/>
        <v>0</v>
      </c>
      <c r="T68" s="50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spans="1:36" ht="15" customHeight="1" thickBot="1" x14ac:dyDescent="0.25">
      <c r="A69" s="57">
        <v>66</v>
      </c>
      <c r="B69" s="35">
        <f>Hakemler!B69</f>
        <v>0</v>
      </c>
      <c r="C69" s="63">
        <f>Hakemler!C69</f>
        <v>0</v>
      </c>
      <c r="D69" s="60"/>
      <c r="E69" s="64">
        <f>IF(ISBLANK(D69),0,ABS(Uzman_E!A$13-D69))</f>
        <v>0</v>
      </c>
      <c r="F69" s="55">
        <f>IF(ISBLANK(D69),0,INDEX(Tablo_E!$B$2:$CX$102,MATCH(ROUND(Uzman_E!A$13,1),Tablo_E!$A$2:$A$102,1),MATCH(ROUND(E69,1),Tablo_E!$B$1:$CX$1,1)))</f>
        <v>0</v>
      </c>
      <c r="G69" s="60"/>
      <c r="H69" s="64">
        <f>IF(ISBLANK(G69),0,ABS(Uzman_E!B$13-G69))</f>
        <v>0</v>
      </c>
      <c r="I69" s="55">
        <f>IF(ISBLANK(G69),0,INDEX(Tablo_E!$B$2:$CX$102,MATCH(ROUND(Uzman_E!B$13,1),Tablo_E!$A$2:$A$102,1),MATCH(ROUND(H69,1),Tablo_E!$B$1:$CX$1,1)))</f>
        <v>0</v>
      </c>
      <c r="J69" s="60"/>
      <c r="K69" s="64">
        <f>IF(ISBLANK(J69),0,ABS(Uzman_E!C$13-J69))</f>
        <v>0</v>
      </c>
      <c r="L69" s="55">
        <f>IF(ISBLANK(J69),0,INDEX(Tablo_E!$B$2:$CX$102,MATCH(ROUND(Uzman_E!C$13,1),Tablo_E!$A$2:$A$102,1),MATCH(ROUND(K69,1),Tablo_E!$B$1:$CX$1,1)))</f>
        <v>0</v>
      </c>
      <c r="M69" s="60"/>
      <c r="N69" s="64">
        <f>IF(ISBLANK(M69),0,ABS(Uzman_E!D$13-M69))</f>
        <v>0</v>
      </c>
      <c r="O69" s="55">
        <f>IF(ISBLANK(M69),0,INDEX(Tablo_E!$B$2:$CX$102,MATCH(ROUND(Uzman_E!D$13,1),Tablo_E!$A$2:$A$102,1),MATCH(ROUND(N69,1),Tablo_E!$B$1:$CX$1,1)))</f>
        <v>0</v>
      </c>
      <c r="P69" s="60"/>
      <c r="Q69" s="64">
        <f>IF(ISBLANK(P69),0,ABS(Uzman_E!E$13-P69))</f>
        <v>0</v>
      </c>
      <c r="R69" s="55">
        <f>IF(ISBLANK(P69),0,INDEX(Tablo_E!$B$2:$CX$102,MATCH(ROUND(Uzman_E!E$13,1),Tablo_E!$A$2:$A$102,1),MATCH(ROUND(Q69,1),Tablo_E!$B$1:$CX$1,1)))</f>
        <v>0</v>
      </c>
      <c r="S69" s="56">
        <f t="shared" ref="S69:S103" si="1">(F69+I69+L69+O69+R69)/5</f>
        <v>0</v>
      </c>
      <c r="T69" s="50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spans="1:36" ht="15" customHeight="1" thickBot="1" x14ac:dyDescent="0.25">
      <c r="A70" s="57">
        <v>67</v>
      </c>
      <c r="B70" s="35">
        <f>Hakemler!B70</f>
        <v>0</v>
      </c>
      <c r="C70" s="63">
        <f>Hakemler!C70</f>
        <v>0</v>
      </c>
      <c r="D70" s="60"/>
      <c r="E70" s="64">
        <f>IF(ISBLANK(D70),0,ABS(Uzman_E!A$13-D70))</f>
        <v>0</v>
      </c>
      <c r="F70" s="55">
        <f>IF(ISBLANK(D70),0,INDEX(Tablo_E!$B$2:$CX$102,MATCH(ROUND(Uzman_E!A$13,1),Tablo_E!$A$2:$A$102,1),MATCH(ROUND(E70,1),Tablo_E!$B$1:$CX$1,1)))</f>
        <v>0</v>
      </c>
      <c r="G70" s="60"/>
      <c r="H70" s="64">
        <f>IF(ISBLANK(G70),0,ABS(Uzman_E!B$13-G70))</f>
        <v>0</v>
      </c>
      <c r="I70" s="55">
        <f>IF(ISBLANK(G70),0,INDEX(Tablo_E!$B$2:$CX$102,MATCH(ROUND(Uzman_E!B$13,1),Tablo_E!$A$2:$A$102,1),MATCH(ROUND(H70,1),Tablo_E!$B$1:$CX$1,1)))</f>
        <v>0</v>
      </c>
      <c r="J70" s="60"/>
      <c r="K70" s="64">
        <f>IF(ISBLANK(J70),0,ABS(Uzman_E!C$13-J70))</f>
        <v>0</v>
      </c>
      <c r="L70" s="55">
        <f>IF(ISBLANK(J70),0,INDEX(Tablo_E!$B$2:$CX$102,MATCH(ROUND(Uzman_E!C$13,1),Tablo_E!$A$2:$A$102,1),MATCH(ROUND(K70,1),Tablo_E!$B$1:$CX$1,1)))</f>
        <v>0</v>
      </c>
      <c r="M70" s="60"/>
      <c r="N70" s="64">
        <f>IF(ISBLANK(M70),0,ABS(Uzman_E!D$13-M70))</f>
        <v>0</v>
      </c>
      <c r="O70" s="55">
        <f>IF(ISBLANK(M70),0,INDEX(Tablo_E!$B$2:$CX$102,MATCH(ROUND(Uzman_E!D$13,1),Tablo_E!$A$2:$A$102,1),MATCH(ROUND(N70,1),Tablo_E!$B$1:$CX$1,1)))</f>
        <v>0</v>
      </c>
      <c r="P70" s="60"/>
      <c r="Q70" s="64">
        <f>IF(ISBLANK(P70),0,ABS(Uzman_E!E$13-P70))</f>
        <v>0</v>
      </c>
      <c r="R70" s="55">
        <f>IF(ISBLANK(P70),0,INDEX(Tablo_E!$B$2:$CX$102,MATCH(ROUND(Uzman_E!E$13,1),Tablo_E!$A$2:$A$102,1),MATCH(ROUND(Q70,1),Tablo_E!$B$1:$CX$1,1)))</f>
        <v>0</v>
      </c>
      <c r="S70" s="56">
        <f t="shared" si="1"/>
        <v>0</v>
      </c>
      <c r="T70" s="50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spans="1:36" ht="15" customHeight="1" thickBot="1" x14ac:dyDescent="0.25">
      <c r="A71" s="57">
        <v>68</v>
      </c>
      <c r="B71" s="35">
        <f>Hakemler!B71</f>
        <v>0</v>
      </c>
      <c r="C71" s="63">
        <f>Hakemler!C71</f>
        <v>0</v>
      </c>
      <c r="D71" s="60"/>
      <c r="E71" s="64">
        <f>IF(ISBLANK(D71),0,ABS(Uzman_E!A$13-D71))</f>
        <v>0</v>
      </c>
      <c r="F71" s="55">
        <f>IF(ISBLANK(D71),0,INDEX(Tablo_E!$B$2:$CX$102,MATCH(ROUND(Uzman_E!A$13,1),Tablo_E!$A$2:$A$102,1),MATCH(ROUND(E71,1),Tablo_E!$B$1:$CX$1,1)))</f>
        <v>0</v>
      </c>
      <c r="G71" s="60"/>
      <c r="H71" s="64">
        <f>IF(ISBLANK(G71),0,ABS(Uzman_E!B$13-G71))</f>
        <v>0</v>
      </c>
      <c r="I71" s="55">
        <f>IF(ISBLANK(G71),0,INDEX(Tablo_E!$B$2:$CX$102,MATCH(ROUND(Uzman_E!B$13,1),Tablo_E!$A$2:$A$102,1),MATCH(ROUND(H71,1),Tablo_E!$B$1:$CX$1,1)))</f>
        <v>0</v>
      </c>
      <c r="J71" s="60"/>
      <c r="K71" s="64">
        <f>IF(ISBLANK(J71),0,ABS(Uzman_E!C$13-J71))</f>
        <v>0</v>
      </c>
      <c r="L71" s="55">
        <f>IF(ISBLANK(J71),0,INDEX(Tablo_E!$B$2:$CX$102,MATCH(ROUND(Uzman_E!C$13,1),Tablo_E!$A$2:$A$102,1),MATCH(ROUND(K71,1),Tablo_E!$B$1:$CX$1,1)))</f>
        <v>0</v>
      </c>
      <c r="M71" s="60"/>
      <c r="N71" s="64">
        <f>IF(ISBLANK(M71),0,ABS(Uzman_E!D$13-M71))</f>
        <v>0</v>
      </c>
      <c r="O71" s="55">
        <f>IF(ISBLANK(M71),0,INDEX(Tablo_E!$B$2:$CX$102,MATCH(ROUND(Uzman_E!D$13,1),Tablo_E!$A$2:$A$102,1),MATCH(ROUND(N71,1),Tablo_E!$B$1:$CX$1,1)))</f>
        <v>0</v>
      </c>
      <c r="P71" s="60"/>
      <c r="Q71" s="64">
        <f>IF(ISBLANK(P71),0,ABS(Uzman_E!E$13-P71))</f>
        <v>0</v>
      </c>
      <c r="R71" s="55">
        <f>IF(ISBLANK(P71),0,INDEX(Tablo_E!$B$2:$CX$102,MATCH(ROUND(Uzman_E!E$13,1),Tablo_E!$A$2:$A$102,1),MATCH(ROUND(Q71,1),Tablo_E!$B$1:$CX$1,1)))</f>
        <v>0</v>
      </c>
      <c r="S71" s="56">
        <f t="shared" si="1"/>
        <v>0</v>
      </c>
      <c r="T71" s="50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spans="1:36" ht="15" customHeight="1" thickBot="1" x14ac:dyDescent="0.25">
      <c r="A72" s="57">
        <v>69</v>
      </c>
      <c r="B72" s="35">
        <f>Hakemler!B72</f>
        <v>0</v>
      </c>
      <c r="C72" s="63">
        <f>Hakemler!C72</f>
        <v>0</v>
      </c>
      <c r="D72" s="60"/>
      <c r="E72" s="64">
        <f>IF(ISBLANK(D72),0,ABS(Uzman_E!A$13-D72))</f>
        <v>0</v>
      </c>
      <c r="F72" s="55">
        <f>IF(ISBLANK(D72),0,INDEX(Tablo_E!$B$2:$CX$102,MATCH(ROUND(Uzman_E!A$13,1),Tablo_E!$A$2:$A$102,1),MATCH(ROUND(E72,1),Tablo_E!$B$1:$CX$1,1)))</f>
        <v>0</v>
      </c>
      <c r="G72" s="60"/>
      <c r="H72" s="64">
        <f>IF(ISBLANK(G72),0,ABS(Uzman_E!B$13-G72))</f>
        <v>0</v>
      </c>
      <c r="I72" s="55">
        <f>IF(ISBLANK(G72),0,INDEX(Tablo_E!$B$2:$CX$102,MATCH(ROUND(Uzman_E!B$13,1),Tablo_E!$A$2:$A$102,1),MATCH(ROUND(H72,1),Tablo_E!$B$1:$CX$1,1)))</f>
        <v>0</v>
      </c>
      <c r="J72" s="60"/>
      <c r="K72" s="64">
        <f>IF(ISBLANK(J72),0,ABS(Uzman_E!C$13-J72))</f>
        <v>0</v>
      </c>
      <c r="L72" s="55">
        <f>IF(ISBLANK(J72),0,INDEX(Tablo_E!$B$2:$CX$102,MATCH(ROUND(Uzman_E!C$13,1),Tablo_E!$A$2:$A$102,1),MATCH(ROUND(K72,1),Tablo_E!$B$1:$CX$1,1)))</f>
        <v>0</v>
      </c>
      <c r="M72" s="60"/>
      <c r="N72" s="64">
        <f>IF(ISBLANK(M72),0,ABS(Uzman_E!D$13-M72))</f>
        <v>0</v>
      </c>
      <c r="O72" s="55">
        <f>IF(ISBLANK(M72),0,INDEX(Tablo_E!$B$2:$CX$102,MATCH(ROUND(Uzman_E!D$13,1),Tablo_E!$A$2:$A$102,1),MATCH(ROUND(N72,1),Tablo_E!$B$1:$CX$1,1)))</f>
        <v>0</v>
      </c>
      <c r="P72" s="60"/>
      <c r="Q72" s="64">
        <f>IF(ISBLANK(P72),0,ABS(Uzman_E!E$13-P72))</f>
        <v>0</v>
      </c>
      <c r="R72" s="55">
        <f>IF(ISBLANK(P72),0,INDEX(Tablo_E!$B$2:$CX$102,MATCH(ROUND(Uzman_E!E$13,1),Tablo_E!$A$2:$A$102,1),MATCH(ROUND(Q72,1),Tablo_E!$B$1:$CX$1,1)))</f>
        <v>0</v>
      </c>
      <c r="S72" s="56">
        <f t="shared" si="1"/>
        <v>0</v>
      </c>
      <c r="T72" s="50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spans="1:36" ht="15" customHeight="1" thickBot="1" x14ac:dyDescent="0.25">
      <c r="A73" s="57">
        <v>70</v>
      </c>
      <c r="B73" s="35">
        <f>Hakemler!B73</f>
        <v>0</v>
      </c>
      <c r="C73" s="63">
        <f>Hakemler!C73</f>
        <v>0</v>
      </c>
      <c r="D73" s="60"/>
      <c r="E73" s="64">
        <f>IF(ISBLANK(D73),0,ABS(Uzman_E!A$13-D73))</f>
        <v>0</v>
      </c>
      <c r="F73" s="55">
        <f>IF(ISBLANK(D73),0,INDEX(Tablo_E!$B$2:$CX$102,MATCH(ROUND(Uzman_E!A$13,1),Tablo_E!$A$2:$A$102,1),MATCH(ROUND(E73,1),Tablo_E!$B$1:$CX$1,1)))</f>
        <v>0</v>
      </c>
      <c r="G73" s="60"/>
      <c r="H73" s="64">
        <f>IF(ISBLANK(G73),0,ABS(Uzman_E!B$13-G73))</f>
        <v>0</v>
      </c>
      <c r="I73" s="55">
        <f>IF(ISBLANK(G73),0,INDEX(Tablo_E!$B$2:$CX$102,MATCH(ROUND(Uzman_E!B$13,1),Tablo_E!$A$2:$A$102,1),MATCH(ROUND(H73,1),Tablo_E!$B$1:$CX$1,1)))</f>
        <v>0</v>
      </c>
      <c r="J73" s="60"/>
      <c r="K73" s="64">
        <f>IF(ISBLANK(J73),0,ABS(Uzman_E!C$13-J73))</f>
        <v>0</v>
      </c>
      <c r="L73" s="55">
        <f>IF(ISBLANK(J73),0,INDEX(Tablo_E!$B$2:$CX$102,MATCH(ROUND(Uzman_E!C$13,1),Tablo_E!$A$2:$A$102,1),MATCH(ROUND(K73,1),Tablo_E!$B$1:$CX$1,1)))</f>
        <v>0</v>
      </c>
      <c r="M73" s="60"/>
      <c r="N73" s="64">
        <f>IF(ISBLANK(M73),0,ABS(Uzman_E!D$13-M73))</f>
        <v>0</v>
      </c>
      <c r="O73" s="55">
        <f>IF(ISBLANK(M73),0,INDEX(Tablo_E!$B$2:$CX$102,MATCH(ROUND(Uzman_E!D$13,1),Tablo_E!$A$2:$A$102,1),MATCH(ROUND(N73,1),Tablo_E!$B$1:$CX$1,1)))</f>
        <v>0</v>
      </c>
      <c r="P73" s="60"/>
      <c r="Q73" s="64">
        <f>IF(ISBLANK(P73),0,ABS(Uzman_E!E$13-P73))</f>
        <v>0</v>
      </c>
      <c r="R73" s="55">
        <f>IF(ISBLANK(P73),0,INDEX(Tablo_E!$B$2:$CX$102,MATCH(ROUND(Uzman_E!E$13,1),Tablo_E!$A$2:$A$102,1),MATCH(ROUND(Q73,1),Tablo_E!$B$1:$CX$1,1)))</f>
        <v>0</v>
      </c>
      <c r="S73" s="56">
        <f t="shared" si="1"/>
        <v>0</v>
      </c>
      <c r="T73" s="50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spans="1:36" ht="15" customHeight="1" thickBot="1" x14ac:dyDescent="0.25">
      <c r="A74" s="57">
        <v>71</v>
      </c>
      <c r="B74" s="35">
        <f>Hakemler!B74</f>
        <v>0</v>
      </c>
      <c r="C74" s="63">
        <f>Hakemler!C74</f>
        <v>0</v>
      </c>
      <c r="D74" s="60"/>
      <c r="E74" s="64">
        <f>IF(ISBLANK(D74),0,ABS(Uzman_E!A$13-D74))</f>
        <v>0</v>
      </c>
      <c r="F74" s="55">
        <f>IF(ISBLANK(D74),0,INDEX(Tablo_E!$B$2:$CX$102,MATCH(ROUND(Uzman_E!A$13,1),Tablo_E!$A$2:$A$102,1),MATCH(ROUND(E74,1),Tablo_E!$B$1:$CX$1,1)))</f>
        <v>0</v>
      </c>
      <c r="G74" s="60"/>
      <c r="H74" s="64">
        <f>IF(ISBLANK(G74),0,ABS(Uzman_E!B$13-G74))</f>
        <v>0</v>
      </c>
      <c r="I74" s="55">
        <f>IF(ISBLANK(G74),0,INDEX(Tablo_E!$B$2:$CX$102,MATCH(ROUND(Uzman_E!B$13,1),Tablo_E!$A$2:$A$102,1),MATCH(ROUND(H74,1),Tablo_E!$B$1:$CX$1,1)))</f>
        <v>0</v>
      </c>
      <c r="J74" s="60"/>
      <c r="K74" s="64">
        <f>IF(ISBLANK(J74),0,ABS(Uzman_E!C$13-J74))</f>
        <v>0</v>
      </c>
      <c r="L74" s="55">
        <f>IF(ISBLANK(J74),0,INDEX(Tablo_E!$B$2:$CX$102,MATCH(ROUND(Uzman_E!C$13,1),Tablo_E!$A$2:$A$102,1),MATCH(ROUND(K74,1),Tablo_E!$B$1:$CX$1,1)))</f>
        <v>0</v>
      </c>
      <c r="M74" s="60"/>
      <c r="N74" s="64">
        <f>IF(ISBLANK(M74),0,ABS(Uzman_E!D$13-M74))</f>
        <v>0</v>
      </c>
      <c r="O74" s="55">
        <f>IF(ISBLANK(M74),0,INDEX(Tablo_E!$B$2:$CX$102,MATCH(ROUND(Uzman_E!D$13,1),Tablo_E!$A$2:$A$102,1),MATCH(ROUND(N74,1),Tablo_E!$B$1:$CX$1,1)))</f>
        <v>0</v>
      </c>
      <c r="P74" s="60"/>
      <c r="Q74" s="64">
        <f>IF(ISBLANK(P74),0,ABS(Uzman_E!E$13-P74))</f>
        <v>0</v>
      </c>
      <c r="R74" s="55">
        <f>IF(ISBLANK(P74),0,INDEX(Tablo_E!$B$2:$CX$102,MATCH(ROUND(Uzman_E!E$13,1),Tablo_E!$A$2:$A$102,1),MATCH(ROUND(Q74,1),Tablo_E!$B$1:$CX$1,1)))</f>
        <v>0</v>
      </c>
      <c r="S74" s="56">
        <f t="shared" si="1"/>
        <v>0</v>
      </c>
      <c r="T74" s="50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spans="1:36" ht="15" customHeight="1" thickBot="1" x14ac:dyDescent="0.25">
      <c r="A75" s="57">
        <v>72</v>
      </c>
      <c r="B75" s="35">
        <f>Hakemler!B75</f>
        <v>0</v>
      </c>
      <c r="C75" s="63">
        <f>Hakemler!C75</f>
        <v>0</v>
      </c>
      <c r="D75" s="60"/>
      <c r="E75" s="64">
        <f>IF(ISBLANK(D75),0,ABS(Uzman_E!A$13-D75))</f>
        <v>0</v>
      </c>
      <c r="F75" s="55">
        <f>IF(ISBLANK(D75),0,INDEX(Tablo_E!$B$2:$CX$102,MATCH(ROUND(Uzman_E!A$13,1),Tablo_E!$A$2:$A$102,1),MATCH(ROUND(E75,1),Tablo_E!$B$1:$CX$1,1)))</f>
        <v>0</v>
      </c>
      <c r="G75" s="60"/>
      <c r="H75" s="64">
        <f>IF(ISBLANK(G75),0,ABS(Uzman_E!B$13-G75))</f>
        <v>0</v>
      </c>
      <c r="I75" s="55">
        <f>IF(ISBLANK(G75),0,INDEX(Tablo_E!$B$2:$CX$102,MATCH(ROUND(Uzman_E!B$13,1),Tablo_E!$A$2:$A$102,1),MATCH(ROUND(H75,1),Tablo_E!$B$1:$CX$1,1)))</f>
        <v>0</v>
      </c>
      <c r="J75" s="60"/>
      <c r="K75" s="64">
        <f>IF(ISBLANK(J75),0,ABS(Uzman_E!C$13-J75))</f>
        <v>0</v>
      </c>
      <c r="L75" s="55">
        <f>IF(ISBLANK(J75),0,INDEX(Tablo_E!$B$2:$CX$102,MATCH(ROUND(Uzman_E!C$13,1),Tablo_E!$A$2:$A$102,1),MATCH(ROUND(K75,1),Tablo_E!$B$1:$CX$1,1)))</f>
        <v>0</v>
      </c>
      <c r="M75" s="60"/>
      <c r="N75" s="64">
        <f>IF(ISBLANK(M75),0,ABS(Uzman_E!D$13-M75))</f>
        <v>0</v>
      </c>
      <c r="O75" s="55">
        <f>IF(ISBLANK(M75),0,INDEX(Tablo_E!$B$2:$CX$102,MATCH(ROUND(Uzman_E!D$13,1),Tablo_E!$A$2:$A$102,1),MATCH(ROUND(N75,1),Tablo_E!$B$1:$CX$1,1)))</f>
        <v>0</v>
      </c>
      <c r="P75" s="60"/>
      <c r="Q75" s="64">
        <f>IF(ISBLANK(P75),0,ABS(Uzman_E!E$13-P75))</f>
        <v>0</v>
      </c>
      <c r="R75" s="55">
        <f>IF(ISBLANK(P75),0,INDEX(Tablo_E!$B$2:$CX$102,MATCH(ROUND(Uzman_E!E$13,1),Tablo_E!$A$2:$A$102,1),MATCH(ROUND(Q75,1),Tablo_E!$B$1:$CX$1,1)))</f>
        <v>0</v>
      </c>
      <c r="S75" s="56">
        <f t="shared" si="1"/>
        <v>0</v>
      </c>
      <c r="T75" s="50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spans="1:36" ht="15" customHeight="1" thickBot="1" x14ac:dyDescent="0.25">
      <c r="A76" s="57">
        <v>73</v>
      </c>
      <c r="B76" s="35">
        <f>Hakemler!B76</f>
        <v>0</v>
      </c>
      <c r="C76" s="63">
        <f>Hakemler!C76</f>
        <v>0</v>
      </c>
      <c r="D76" s="60"/>
      <c r="E76" s="64">
        <f>IF(ISBLANK(D76),0,ABS(Uzman_E!A$13-D76))</f>
        <v>0</v>
      </c>
      <c r="F76" s="55">
        <f>IF(ISBLANK(D76),0,INDEX(Tablo_E!$B$2:$CX$102,MATCH(ROUND(Uzman_E!A$13,1),Tablo_E!$A$2:$A$102,1),MATCH(ROUND(E76,1),Tablo_E!$B$1:$CX$1,1)))</f>
        <v>0</v>
      </c>
      <c r="G76" s="60"/>
      <c r="H76" s="64">
        <f>IF(ISBLANK(G76),0,ABS(Uzman_E!B$13-G76))</f>
        <v>0</v>
      </c>
      <c r="I76" s="55">
        <f>IF(ISBLANK(G76),0,INDEX(Tablo_E!$B$2:$CX$102,MATCH(ROUND(Uzman_E!B$13,1),Tablo_E!$A$2:$A$102,1),MATCH(ROUND(H76,1),Tablo_E!$B$1:$CX$1,1)))</f>
        <v>0</v>
      </c>
      <c r="J76" s="60"/>
      <c r="K76" s="64">
        <f>IF(ISBLANK(J76),0,ABS(Uzman_E!C$13-J76))</f>
        <v>0</v>
      </c>
      <c r="L76" s="55">
        <f>IF(ISBLANK(J76),0,INDEX(Tablo_E!$B$2:$CX$102,MATCH(ROUND(Uzman_E!C$13,1),Tablo_E!$A$2:$A$102,1),MATCH(ROUND(K76,1),Tablo_E!$B$1:$CX$1,1)))</f>
        <v>0</v>
      </c>
      <c r="M76" s="60"/>
      <c r="N76" s="64">
        <f>IF(ISBLANK(M76),0,ABS(Uzman_E!D$13-M76))</f>
        <v>0</v>
      </c>
      <c r="O76" s="55">
        <f>IF(ISBLANK(M76),0,INDEX(Tablo_E!$B$2:$CX$102,MATCH(ROUND(Uzman_E!D$13,1),Tablo_E!$A$2:$A$102,1),MATCH(ROUND(N76,1),Tablo_E!$B$1:$CX$1,1)))</f>
        <v>0</v>
      </c>
      <c r="P76" s="60"/>
      <c r="Q76" s="64">
        <f>IF(ISBLANK(P76),0,ABS(Uzman_E!E$13-P76))</f>
        <v>0</v>
      </c>
      <c r="R76" s="55">
        <f>IF(ISBLANK(P76),0,INDEX(Tablo_E!$B$2:$CX$102,MATCH(ROUND(Uzman_E!E$13,1),Tablo_E!$A$2:$A$102,1),MATCH(ROUND(Q76,1),Tablo_E!$B$1:$CX$1,1)))</f>
        <v>0</v>
      </c>
      <c r="S76" s="56">
        <f t="shared" si="1"/>
        <v>0</v>
      </c>
      <c r="T76" s="50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spans="1:36" ht="15" customHeight="1" thickBot="1" x14ac:dyDescent="0.25">
      <c r="A77" s="57">
        <v>74</v>
      </c>
      <c r="B77" s="35">
        <f>Hakemler!B77</f>
        <v>0</v>
      </c>
      <c r="C77" s="63">
        <f>Hakemler!C77</f>
        <v>0</v>
      </c>
      <c r="D77" s="60"/>
      <c r="E77" s="64">
        <f>IF(ISBLANK(D77),0,ABS(Uzman_E!A$13-D77))</f>
        <v>0</v>
      </c>
      <c r="F77" s="55">
        <f>IF(ISBLANK(D77),0,INDEX(Tablo_E!$B$2:$CX$102,MATCH(ROUND(Uzman_E!A$13,1),Tablo_E!$A$2:$A$102,1),MATCH(ROUND(E77,1),Tablo_E!$B$1:$CX$1,1)))</f>
        <v>0</v>
      </c>
      <c r="G77" s="60"/>
      <c r="H77" s="64">
        <f>IF(ISBLANK(G77),0,ABS(Uzman_E!B$13-G77))</f>
        <v>0</v>
      </c>
      <c r="I77" s="55">
        <f>IF(ISBLANK(G77),0,INDEX(Tablo_E!$B$2:$CX$102,MATCH(ROUND(Uzman_E!B$13,1),Tablo_E!$A$2:$A$102,1),MATCH(ROUND(H77,1),Tablo_E!$B$1:$CX$1,1)))</f>
        <v>0</v>
      </c>
      <c r="J77" s="60"/>
      <c r="K77" s="64">
        <f>IF(ISBLANK(J77),0,ABS(Uzman_E!C$13-J77))</f>
        <v>0</v>
      </c>
      <c r="L77" s="55">
        <f>IF(ISBLANK(J77),0,INDEX(Tablo_E!$B$2:$CX$102,MATCH(ROUND(Uzman_E!C$13,1),Tablo_E!$A$2:$A$102,1),MATCH(ROUND(K77,1),Tablo_E!$B$1:$CX$1,1)))</f>
        <v>0</v>
      </c>
      <c r="M77" s="60"/>
      <c r="N77" s="64">
        <f>IF(ISBLANK(M77),0,ABS(Uzman_E!D$13-M77))</f>
        <v>0</v>
      </c>
      <c r="O77" s="55">
        <f>IF(ISBLANK(M77),0,INDEX(Tablo_E!$B$2:$CX$102,MATCH(ROUND(Uzman_E!D$13,1),Tablo_E!$A$2:$A$102,1),MATCH(ROUND(N77,1),Tablo_E!$B$1:$CX$1,1)))</f>
        <v>0</v>
      </c>
      <c r="P77" s="60"/>
      <c r="Q77" s="64">
        <f>IF(ISBLANK(P77),0,ABS(Uzman_E!E$13-P77))</f>
        <v>0</v>
      </c>
      <c r="R77" s="55">
        <f>IF(ISBLANK(P77),0,INDEX(Tablo_E!$B$2:$CX$102,MATCH(ROUND(Uzman_E!E$13,1),Tablo_E!$A$2:$A$102,1),MATCH(ROUND(Q77,1),Tablo_E!$B$1:$CX$1,1)))</f>
        <v>0</v>
      </c>
      <c r="S77" s="56">
        <f t="shared" si="1"/>
        <v>0</v>
      </c>
      <c r="T77" s="50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spans="1:36" ht="15" customHeight="1" thickBot="1" x14ac:dyDescent="0.25">
      <c r="A78" s="57">
        <v>75</v>
      </c>
      <c r="B78" s="35">
        <f>Hakemler!B78</f>
        <v>0</v>
      </c>
      <c r="C78" s="63">
        <f>Hakemler!C78</f>
        <v>0</v>
      </c>
      <c r="D78" s="60"/>
      <c r="E78" s="64">
        <f>IF(ISBLANK(D78),0,ABS(Uzman_E!A$13-D78))</f>
        <v>0</v>
      </c>
      <c r="F78" s="55">
        <f>IF(ISBLANK(D78),0,INDEX(Tablo_E!$B$2:$CX$102,MATCH(ROUND(Uzman_E!A$13,1),Tablo_E!$A$2:$A$102,1),MATCH(ROUND(E78,1),Tablo_E!$B$1:$CX$1,1)))</f>
        <v>0</v>
      </c>
      <c r="G78" s="60"/>
      <c r="H78" s="64">
        <f>IF(ISBLANK(G78),0,ABS(Uzman_E!B$13-G78))</f>
        <v>0</v>
      </c>
      <c r="I78" s="55">
        <f>IF(ISBLANK(G78),0,INDEX(Tablo_E!$B$2:$CX$102,MATCH(ROUND(Uzman_E!B$13,1),Tablo_E!$A$2:$A$102,1),MATCH(ROUND(H78,1),Tablo_E!$B$1:$CX$1,1)))</f>
        <v>0</v>
      </c>
      <c r="J78" s="60"/>
      <c r="K78" s="64">
        <f>IF(ISBLANK(J78),0,ABS(Uzman_E!C$13-J78))</f>
        <v>0</v>
      </c>
      <c r="L78" s="55">
        <f>IF(ISBLANK(J78),0,INDEX(Tablo_E!$B$2:$CX$102,MATCH(ROUND(Uzman_E!C$13,1),Tablo_E!$A$2:$A$102,1),MATCH(ROUND(K78,1),Tablo_E!$B$1:$CX$1,1)))</f>
        <v>0</v>
      </c>
      <c r="M78" s="60"/>
      <c r="N78" s="64">
        <f>IF(ISBLANK(M78),0,ABS(Uzman_E!D$13-M78))</f>
        <v>0</v>
      </c>
      <c r="O78" s="55">
        <f>IF(ISBLANK(M78),0,INDEX(Tablo_E!$B$2:$CX$102,MATCH(ROUND(Uzman_E!D$13,1),Tablo_E!$A$2:$A$102,1),MATCH(ROUND(N78,1),Tablo_E!$B$1:$CX$1,1)))</f>
        <v>0</v>
      </c>
      <c r="P78" s="60"/>
      <c r="Q78" s="64">
        <f>IF(ISBLANK(P78),0,ABS(Uzman_E!E$13-P78))</f>
        <v>0</v>
      </c>
      <c r="R78" s="55">
        <f>IF(ISBLANK(P78),0,INDEX(Tablo_E!$B$2:$CX$102,MATCH(ROUND(Uzman_E!E$13,1),Tablo_E!$A$2:$A$102,1),MATCH(ROUND(Q78,1),Tablo_E!$B$1:$CX$1,1)))</f>
        <v>0</v>
      </c>
      <c r="S78" s="56">
        <f t="shared" si="1"/>
        <v>0</v>
      </c>
      <c r="T78" s="50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spans="1:36" ht="15" customHeight="1" thickBot="1" x14ac:dyDescent="0.25">
      <c r="A79" s="57">
        <v>76</v>
      </c>
      <c r="B79" s="35">
        <f>Hakemler!B79</f>
        <v>0</v>
      </c>
      <c r="C79" s="63">
        <f>Hakemler!C79</f>
        <v>0</v>
      </c>
      <c r="D79" s="60"/>
      <c r="E79" s="64">
        <f>IF(ISBLANK(D79),0,ABS(Uzman_E!A$13-D79))</f>
        <v>0</v>
      </c>
      <c r="F79" s="55">
        <f>IF(ISBLANK(D79),0,INDEX(Tablo_E!$B$2:$CX$102,MATCH(ROUND(Uzman_E!A$13,1),Tablo_E!$A$2:$A$102,1),MATCH(ROUND(E79,1),Tablo_E!$B$1:$CX$1,1)))</f>
        <v>0</v>
      </c>
      <c r="G79" s="60"/>
      <c r="H79" s="64">
        <f>IF(ISBLANK(G79),0,ABS(Uzman_E!B$13-G79))</f>
        <v>0</v>
      </c>
      <c r="I79" s="55">
        <f>IF(ISBLANK(G79),0,INDEX(Tablo_E!$B$2:$CX$102,MATCH(ROUND(Uzman_E!B$13,1),Tablo_E!$A$2:$A$102,1),MATCH(ROUND(H79,1),Tablo_E!$B$1:$CX$1,1)))</f>
        <v>0</v>
      </c>
      <c r="J79" s="60"/>
      <c r="K79" s="64">
        <f>IF(ISBLANK(J79),0,ABS(Uzman_E!C$13-J79))</f>
        <v>0</v>
      </c>
      <c r="L79" s="55">
        <f>IF(ISBLANK(J79),0,INDEX(Tablo_E!$B$2:$CX$102,MATCH(ROUND(Uzman_E!C$13,1),Tablo_E!$A$2:$A$102,1),MATCH(ROUND(K79,1),Tablo_E!$B$1:$CX$1,1)))</f>
        <v>0</v>
      </c>
      <c r="M79" s="60"/>
      <c r="N79" s="64">
        <f>IF(ISBLANK(M79),0,ABS(Uzman_E!D$13-M79))</f>
        <v>0</v>
      </c>
      <c r="O79" s="55">
        <f>IF(ISBLANK(M79),0,INDEX(Tablo_E!$B$2:$CX$102,MATCH(ROUND(Uzman_E!D$13,1),Tablo_E!$A$2:$A$102,1),MATCH(ROUND(N79,1),Tablo_E!$B$1:$CX$1,1)))</f>
        <v>0</v>
      </c>
      <c r="P79" s="60"/>
      <c r="Q79" s="64">
        <f>IF(ISBLANK(P79),0,ABS(Uzman_E!E$13-P79))</f>
        <v>0</v>
      </c>
      <c r="R79" s="55">
        <f>IF(ISBLANK(P79),0,INDEX(Tablo_E!$B$2:$CX$102,MATCH(ROUND(Uzman_E!E$13,1),Tablo_E!$A$2:$A$102,1),MATCH(ROUND(Q79,1),Tablo_E!$B$1:$CX$1,1)))</f>
        <v>0</v>
      </c>
      <c r="S79" s="56">
        <f t="shared" si="1"/>
        <v>0</v>
      </c>
      <c r="T79" s="50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spans="1:36" ht="15" customHeight="1" thickBot="1" x14ac:dyDescent="0.25">
      <c r="A80" s="57">
        <v>77</v>
      </c>
      <c r="B80" s="35">
        <f>Hakemler!B80</f>
        <v>0</v>
      </c>
      <c r="C80" s="63">
        <f>Hakemler!C80</f>
        <v>0</v>
      </c>
      <c r="D80" s="60"/>
      <c r="E80" s="64">
        <f>IF(ISBLANK(D80),0,ABS(Uzman_E!A$13-D80))</f>
        <v>0</v>
      </c>
      <c r="F80" s="55">
        <f>IF(ISBLANK(D80),0,INDEX(Tablo_E!$B$2:$CX$102,MATCH(ROUND(Uzman_E!A$13,1),Tablo_E!$A$2:$A$102,1),MATCH(ROUND(E80,1),Tablo_E!$B$1:$CX$1,1)))</f>
        <v>0</v>
      </c>
      <c r="G80" s="60"/>
      <c r="H80" s="64">
        <f>IF(ISBLANK(G80),0,ABS(Uzman_E!B$13-G80))</f>
        <v>0</v>
      </c>
      <c r="I80" s="55">
        <f>IF(ISBLANK(G80),0,INDEX(Tablo_E!$B$2:$CX$102,MATCH(ROUND(Uzman_E!B$13,1),Tablo_E!$A$2:$A$102,1),MATCH(ROUND(H80,1),Tablo_E!$B$1:$CX$1,1)))</f>
        <v>0</v>
      </c>
      <c r="J80" s="60"/>
      <c r="K80" s="64">
        <f>IF(ISBLANK(J80),0,ABS(Uzman_E!C$13-J80))</f>
        <v>0</v>
      </c>
      <c r="L80" s="55">
        <f>IF(ISBLANK(J80),0,INDEX(Tablo_E!$B$2:$CX$102,MATCH(ROUND(Uzman_E!C$13,1),Tablo_E!$A$2:$A$102,1),MATCH(ROUND(K80,1),Tablo_E!$B$1:$CX$1,1)))</f>
        <v>0</v>
      </c>
      <c r="M80" s="60"/>
      <c r="N80" s="64">
        <f>IF(ISBLANK(M80),0,ABS(Uzman_E!D$13-M80))</f>
        <v>0</v>
      </c>
      <c r="O80" s="55">
        <f>IF(ISBLANK(M80),0,INDEX(Tablo_E!$B$2:$CX$102,MATCH(ROUND(Uzman_E!D$13,1),Tablo_E!$A$2:$A$102,1),MATCH(ROUND(N80,1),Tablo_E!$B$1:$CX$1,1)))</f>
        <v>0</v>
      </c>
      <c r="P80" s="60"/>
      <c r="Q80" s="64">
        <f>IF(ISBLANK(P80),0,ABS(Uzman_E!E$13-P80))</f>
        <v>0</v>
      </c>
      <c r="R80" s="55">
        <f>IF(ISBLANK(P80),0,INDEX(Tablo_E!$B$2:$CX$102,MATCH(ROUND(Uzman_E!E$13,1),Tablo_E!$A$2:$A$102,1),MATCH(ROUND(Q80,1),Tablo_E!$B$1:$CX$1,1)))</f>
        <v>0</v>
      </c>
      <c r="S80" s="56">
        <f t="shared" si="1"/>
        <v>0</v>
      </c>
      <c r="T80" s="50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</row>
    <row r="81" spans="1:36" ht="15" customHeight="1" thickBot="1" x14ac:dyDescent="0.25">
      <c r="A81" s="57">
        <v>78</v>
      </c>
      <c r="B81" s="35">
        <f>Hakemler!B81</f>
        <v>0</v>
      </c>
      <c r="C81" s="63">
        <f>Hakemler!C81</f>
        <v>0</v>
      </c>
      <c r="D81" s="60"/>
      <c r="E81" s="64">
        <f>IF(ISBLANK(D81),0,ABS(Uzman_E!A$13-D81))</f>
        <v>0</v>
      </c>
      <c r="F81" s="55">
        <f>IF(ISBLANK(D81),0,INDEX(Tablo_E!$B$2:$CX$102,MATCH(ROUND(Uzman_E!A$13,1),Tablo_E!$A$2:$A$102,1),MATCH(ROUND(E81,1),Tablo_E!$B$1:$CX$1,1)))</f>
        <v>0</v>
      </c>
      <c r="G81" s="60"/>
      <c r="H81" s="64">
        <f>IF(ISBLANK(G81),0,ABS(Uzman_E!B$13-G81))</f>
        <v>0</v>
      </c>
      <c r="I81" s="55">
        <f>IF(ISBLANK(G81),0,INDEX(Tablo_E!$B$2:$CX$102,MATCH(ROUND(Uzman_E!B$13,1),Tablo_E!$A$2:$A$102,1),MATCH(ROUND(H81,1),Tablo_E!$B$1:$CX$1,1)))</f>
        <v>0</v>
      </c>
      <c r="J81" s="60"/>
      <c r="K81" s="64">
        <f>IF(ISBLANK(J81),0,ABS(Uzman_E!C$13-J81))</f>
        <v>0</v>
      </c>
      <c r="L81" s="55">
        <f>IF(ISBLANK(J81),0,INDEX(Tablo_E!$B$2:$CX$102,MATCH(ROUND(Uzman_E!C$13,1),Tablo_E!$A$2:$A$102,1),MATCH(ROUND(K81,1),Tablo_E!$B$1:$CX$1,1)))</f>
        <v>0</v>
      </c>
      <c r="M81" s="60"/>
      <c r="N81" s="64">
        <f>IF(ISBLANK(M81),0,ABS(Uzman_E!D$13-M81))</f>
        <v>0</v>
      </c>
      <c r="O81" s="55">
        <f>IF(ISBLANK(M81),0,INDEX(Tablo_E!$B$2:$CX$102,MATCH(ROUND(Uzman_E!D$13,1),Tablo_E!$A$2:$A$102,1),MATCH(ROUND(N81,1),Tablo_E!$B$1:$CX$1,1)))</f>
        <v>0</v>
      </c>
      <c r="P81" s="60"/>
      <c r="Q81" s="64">
        <f>IF(ISBLANK(P81),0,ABS(Uzman_E!E$13-P81))</f>
        <v>0</v>
      </c>
      <c r="R81" s="55">
        <f>IF(ISBLANK(P81),0,INDEX(Tablo_E!$B$2:$CX$102,MATCH(ROUND(Uzman_E!E$13,1),Tablo_E!$A$2:$A$102,1),MATCH(ROUND(Q81,1),Tablo_E!$B$1:$CX$1,1)))</f>
        <v>0</v>
      </c>
      <c r="S81" s="56">
        <f t="shared" si="1"/>
        <v>0</v>
      </c>
      <c r="T81" s="50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</row>
    <row r="82" spans="1:36" ht="15" customHeight="1" thickBot="1" x14ac:dyDescent="0.25">
      <c r="A82" s="57">
        <v>79</v>
      </c>
      <c r="B82" s="35">
        <f>Hakemler!B82</f>
        <v>0</v>
      </c>
      <c r="C82" s="63">
        <f>Hakemler!C82</f>
        <v>0</v>
      </c>
      <c r="D82" s="60"/>
      <c r="E82" s="64">
        <f>IF(ISBLANK(D82),0,ABS(Uzman_E!A$13-D82))</f>
        <v>0</v>
      </c>
      <c r="F82" s="55">
        <f>IF(ISBLANK(D82),0,INDEX(Tablo_E!$B$2:$CX$102,MATCH(ROUND(Uzman_E!A$13,1),Tablo_E!$A$2:$A$102,1),MATCH(ROUND(E82,1),Tablo_E!$B$1:$CX$1,1)))</f>
        <v>0</v>
      </c>
      <c r="G82" s="60"/>
      <c r="H82" s="64">
        <f>IF(ISBLANK(G82),0,ABS(Uzman_E!B$13-G82))</f>
        <v>0</v>
      </c>
      <c r="I82" s="55">
        <f>IF(ISBLANK(G82),0,INDEX(Tablo_E!$B$2:$CX$102,MATCH(ROUND(Uzman_E!B$13,1),Tablo_E!$A$2:$A$102,1),MATCH(ROUND(H82,1),Tablo_E!$B$1:$CX$1,1)))</f>
        <v>0</v>
      </c>
      <c r="J82" s="60"/>
      <c r="K82" s="64">
        <f>IF(ISBLANK(J82),0,ABS(Uzman_E!C$13-J82))</f>
        <v>0</v>
      </c>
      <c r="L82" s="55">
        <f>IF(ISBLANK(J82),0,INDEX(Tablo_E!$B$2:$CX$102,MATCH(ROUND(Uzman_E!C$13,1),Tablo_E!$A$2:$A$102,1),MATCH(ROUND(K82,1),Tablo_E!$B$1:$CX$1,1)))</f>
        <v>0</v>
      </c>
      <c r="M82" s="60"/>
      <c r="N82" s="64">
        <f>IF(ISBLANK(M82),0,ABS(Uzman_E!D$13-M82))</f>
        <v>0</v>
      </c>
      <c r="O82" s="55">
        <f>IF(ISBLANK(M82),0,INDEX(Tablo_E!$B$2:$CX$102,MATCH(ROUND(Uzman_E!D$13,1),Tablo_E!$A$2:$A$102,1),MATCH(ROUND(N82,1),Tablo_E!$B$1:$CX$1,1)))</f>
        <v>0</v>
      </c>
      <c r="P82" s="60"/>
      <c r="Q82" s="64">
        <f>IF(ISBLANK(P82),0,ABS(Uzman_E!E$13-P82))</f>
        <v>0</v>
      </c>
      <c r="R82" s="55">
        <f>IF(ISBLANK(P82),0,INDEX(Tablo_E!$B$2:$CX$102,MATCH(ROUND(Uzman_E!E$13,1),Tablo_E!$A$2:$A$102,1),MATCH(ROUND(Q82,1),Tablo_E!$B$1:$CX$1,1)))</f>
        <v>0</v>
      </c>
      <c r="S82" s="56">
        <f t="shared" si="1"/>
        <v>0</v>
      </c>
      <c r="T82" s="50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</row>
    <row r="83" spans="1:36" ht="15" customHeight="1" thickBot="1" x14ac:dyDescent="0.25">
      <c r="A83" s="57">
        <v>80</v>
      </c>
      <c r="B83" s="35">
        <f>Hakemler!B83</f>
        <v>0</v>
      </c>
      <c r="C83" s="63">
        <f>Hakemler!C83</f>
        <v>0</v>
      </c>
      <c r="D83" s="60"/>
      <c r="E83" s="64">
        <f>IF(ISBLANK(D83),0,ABS(Uzman_E!A$13-D83))</f>
        <v>0</v>
      </c>
      <c r="F83" s="55">
        <f>IF(ISBLANK(D83),0,INDEX(Tablo_E!$B$2:$CX$102,MATCH(ROUND(Uzman_E!A$13,1),Tablo_E!$A$2:$A$102,1),MATCH(ROUND(E83,1),Tablo_E!$B$1:$CX$1,1)))</f>
        <v>0</v>
      </c>
      <c r="G83" s="60"/>
      <c r="H83" s="64">
        <f>IF(ISBLANK(G83),0,ABS(Uzman_E!B$13-G83))</f>
        <v>0</v>
      </c>
      <c r="I83" s="55">
        <f>IF(ISBLANK(G83),0,INDEX(Tablo_E!$B$2:$CX$102,MATCH(ROUND(Uzman_E!B$13,1),Tablo_E!$A$2:$A$102,1),MATCH(ROUND(H83,1),Tablo_E!$B$1:$CX$1,1)))</f>
        <v>0</v>
      </c>
      <c r="J83" s="60"/>
      <c r="K83" s="64">
        <f>IF(ISBLANK(J83),0,ABS(Uzman_E!C$13-J83))</f>
        <v>0</v>
      </c>
      <c r="L83" s="55">
        <f>IF(ISBLANK(J83),0,INDEX(Tablo_E!$B$2:$CX$102,MATCH(ROUND(Uzman_E!C$13,1),Tablo_E!$A$2:$A$102,1),MATCH(ROUND(K83,1),Tablo_E!$B$1:$CX$1,1)))</f>
        <v>0</v>
      </c>
      <c r="M83" s="60"/>
      <c r="N83" s="64">
        <f>IF(ISBLANK(M83),0,ABS(Uzman_E!D$13-M83))</f>
        <v>0</v>
      </c>
      <c r="O83" s="55">
        <f>IF(ISBLANK(M83),0,INDEX(Tablo_E!$B$2:$CX$102,MATCH(ROUND(Uzman_E!D$13,1),Tablo_E!$A$2:$A$102,1),MATCH(ROUND(N83,1),Tablo_E!$B$1:$CX$1,1)))</f>
        <v>0</v>
      </c>
      <c r="P83" s="60"/>
      <c r="Q83" s="64">
        <f>IF(ISBLANK(P83),0,ABS(Uzman_E!E$13-P83))</f>
        <v>0</v>
      </c>
      <c r="R83" s="55">
        <f>IF(ISBLANK(P83),0,INDEX(Tablo_E!$B$2:$CX$102,MATCH(ROUND(Uzman_E!E$13,1),Tablo_E!$A$2:$A$102,1),MATCH(ROUND(Q83,1),Tablo_E!$B$1:$CX$1,1)))</f>
        <v>0</v>
      </c>
      <c r="S83" s="56">
        <f t="shared" si="1"/>
        <v>0</v>
      </c>
      <c r="T83" s="50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</row>
    <row r="84" spans="1:36" ht="15" customHeight="1" thickBot="1" x14ac:dyDescent="0.25">
      <c r="A84" s="57">
        <v>81</v>
      </c>
      <c r="B84" s="35">
        <f>Hakemler!B84</f>
        <v>0</v>
      </c>
      <c r="C84" s="63">
        <f>Hakemler!C84</f>
        <v>0</v>
      </c>
      <c r="D84" s="60"/>
      <c r="E84" s="64">
        <f>IF(ISBLANK(D84),0,ABS(Uzman_E!A$13-D84))</f>
        <v>0</v>
      </c>
      <c r="F84" s="55">
        <f>IF(ISBLANK(D84),0,INDEX(Tablo_E!$B$2:$CX$102,MATCH(ROUND(Uzman_E!A$13,1),Tablo_E!$A$2:$A$102,1),MATCH(ROUND(E84,1),Tablo_E!$B$1:$CX$1,1)))</f>
        <v>0</v>
      </c>
      <c r="G84" s="60"/>
      <c r="H84" s="64">
        <f>IF(ISBLANK(G84),0,ABS(Uzman_E!B$13-G84))</f>
        <v>0</v>
      </c>
      <c r="I84" s="55">
        <f>IF(ISBLANK(G84),0,INDEX(Tablo_E!$B$2:$CX$102,MATCH(ROUND(Uzman_E!B$13,1),Tablo_E!$A$2:$A$102,1),MATCH(ROUND(H84,1),Tablo_E!$B$1:$CX$1,1)))</f>
        <v>0</v>
      </c>
      <c r="J84" s="60"/>
      <c r="K84" s="64">
        <f>IF(ISBLANK(J84),0,ABS(Uzman_E!C$13-J84))</f>
        <v>0</v>
      </c>
      <c r="L84" s="55">
        <f>IF(ISBLANK(J84),0,INDEX(Tablo_E!$B$2:$CX$102,MATCH(ROUND(Uzman_E!C$13,1),Tablo_E!$A$2:$A$102,1),MATCH(ROUND(K84,1),Tablo_E!$B$1:$CX$1,1)))</f>
        <v>0</v>
      </c>
      <c r="M84" s="60"/>
      <c r="N84" s="64">
        <f>IF(ISBLANK(M84),0,ABS(Uzman_E!D$13-M84))</f>
        <v>0</v>
      </c>
      <c r="O84" s="55">
        <f>IF(ISBLANK(M84),0,INDEX(Tablo_E!$B$2:$CX$102,MATCH(ROUND(Uzman_E!D$13,1),Tablo_E!$A$2:$A$102,1),MATCH(ROUND(N84,1),Tablo_E!$B$1:$CX$1,1)))</f>
        <v>0</v>
      </c>
      <c r="P84" s="60"/>
      <c r="Q84" s="64">
        <f>IF(ISBLANK(P84),0,ABS(Uzman_E!E$13-P84))</f>
        <v>0</v>
      </c>
      <c r="R84" s="55">
        <f>IF(ISBLANK(P84),0,INDEX(Tablo_E!$B$2:$CX$102,MATCH(ROUND(Uzman_E!E$13,1),Tablo_E!$A$2:$A$102,1),MATCH(ROUND(Q84,1),Tablo_E!$B$1:$CX$1,1)))</f>
        <v>0</v>
      </c>
      <c r="S84" s="56">
        <f t="shared" si="1"/>
        <v>0</v>
      </c>
      <c r="T84" s="50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</row>
    <row r="85" spans="1:36" ht="15" customHeight="1" thickBot="1" x14ac:dyDescent="0.25">
      <c r="A85" s="57">
        <v>82</v>
      </c>
      <c r="B85" s="35">
        <f>Hakemler!B85</f>
        <v>0</v>
      </c>
      <c r="C85" s="63">
        <f>Hakemler!C85</f>
        <v>0</v>
      </c>
      <c r="D85" s="60"/>
      <c r="E85" s="64">
        <f>IF(ISBLANK(D85),0,ABS(Uzman_E!A$13-D85))</f>
        <v>0</v>
      </c>
      <c r="F85" s="55">
        <f>IF(ISBLANK(D85),0,INDEX(Tablo_E!$B$2:$CX$102,MATCH(ROUND(Uzman_E!A$13,1),Tablo_E!$A$2:$A$102,1),MATCH(ROUND(E85,1),Tablo_E!$B$1:$CX$1,1)))</f>
        <v>0</v>
      </c>
      <c r="G85" s="60"/>
      <c r="H85" s="64">
        <f>IF(ISBLANK(G85),0,ABS(Uzman_E!B$13-G85))</f>
        <v>0</v>
      </c>
      <c r="I85" s="55">
        <f>IF(ISBLANK(G85),0,INDEX(Tablo_E!$B$2:$CX$102,MATCH(ROUND(Uzman_E!B$13,1),Tablo_E!$A$2:$A$102,1),MATCH(ROUND(H85,1),Tablo_E!$B$1:$CX$1,1)))</f>
        <v>0</v>
      </c>
      <c r="J85" s="60"/>
      <c r="K85" s="64">
        <f>IF(ISBLANK(J85),0,ABS(Uzman_E!C$13-J85))</f>
        <v>0</v>
      </c>
      <c r="L85" s="55">
        <f>IF(ISBLANK(J85),0,INDEX(Tablo_E!$B$2:$CX$102,MATCH(ROUND(Uzman_E!C$13,1),Tablo_E!$A$2:$A$102,1),MATCH(ROUND(K85,1),Tablo_E!$B$1:$CX$1,1)))</f>
        <v>0</v>
      </c>
      <c r="M85" s="60"/>
      <c r="N85" s="64">
        <f>IF(ISBLANK(M85),0,ABS(Uzman_E!D$13-M85))</f>
        <v>0</v>
      </c>
      <c r="O85" s="55">
        <f>IF(ISBLANK(M85),0,INDEX(Tablo_E!$B$2:$CX$102,MATCH(ROUND(Uzman_E!D$13,1),Tablo_E!$A$2:$A$102,1),MATCH(ROUND(N85,1),Tablo_E!$B$1:$CX$1,1)))</f>
        <v>0</v>
      </c>
      <c r="P85" s="60"/>
      <c r="Q85" s="64">
        <f>IF(ISBLANK(P85),0,ABS(Uzman_E!E$13-P85))</f>
        <v>0</v>
      </c>
      <c r="R85" s="55">
        <f>IF(ISBLANK(P85),0,INDEX(Tablo_E!$B$2:$CX$102,MATCH(ROUND(Uzman_E!E$13,1),Tablo_E!$A$2:$A$102,1),MATCH(ROUND(Q85,1),Tablo_E!$B$1:$CX$1,1)))</f>
        <v>0</v>
      </c>
      <c r="S85" s="56">
        <f t="shared" si="1"/>
        <v>0</v>
      </c>
      <c r="T85" s="50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</row>
    <row r="86" spans="1:36" ht="15" customHeight="1" thickBot="1" x14ac:dyDescent="0.25">
      <c r="A86" s="57">
        <v>83</v>
      </c>
      <c r="B86" s="35">
        <f>Hakemler!B86</f>
        <v>0</v>
      </c>
      <c r="C86" s="63">
        <f>Hakemler!C86</f>
        <v>0</v>
      </c>
      <c r="D86" s="60"/>
      <c r="E86" s="64">
        <f>IF(ISBLANK(D86),0,ABS(Uzman_E!A$13-D86))</f>
        <v>0</v>
      </c>
      <c r="F86" s="55">
        <f>IF(ISBLANK(D86),0,INDEX(Tablo_E!$B$2:$CX$102,MATCH(ROUND(Uzman_E!A$13,1),Tablo_E!$A$2:$A$102,1),MATCH(ROUND(E86,1),Tablo_E!$B$1:$CX$1,1)))</f>
        <v>0</v>
      </c>
      <c r="G86" s="60"/>
      <c r="H86" s="64">
        <f>IF(ISBLANK(G86),0,ABS(Uzman_E!B$13-G86))</f>
        <v>0</v>
      </c>
      <c r="I86" s="55">
        <f>IF(ISBLANK(G86),0,INDEX(Tablo_E!$B$2:$CX$102,MATCH(ROUND(Uzman_E!B$13,1),Tablo_E!$A$2:$A$102,1),MATCH(ROUND(H86,1),Tablo_E!$B$1:$CX$1,1)))</f>
        <v>0</v>
      </c>
      <c r="J86" s="60"/>
      <c r="K86" s="64">
        <f>IF(ISBLANK(J86),0,ABS(Uzman_E!C$13-J86))</f>
        <v>0</v>
      </c>
      <c r="L86" s="55">
        <f>IF(ISBLANK(J86),0,INDEX(Tablo_E!$B$2:$CX$102,MATCH(ROUND(Uzman_E!C$13,1),Tablo_E!$A$2:$A$102,1),MATCH(ROUND(K86,1),Tablo_E!$B$1:$CX$1,1)))</f>
        <v>0</v>
      </c>
      <c r="M86" s="60"/>
      <c r="N86" s="64">
        <f>IF(ISBLANK(M86),0,ABS(Uzman_E!D$13-M86))</f>
        <v>0</v>
      </c>
      <c r="O86" s="55">
        <f>IF(ISBLANK(M86),0,INDEX(Tablo_E!$B$2:$CX$102,MATCH(ROUND(Uzman_E!D$13,1),Tablo_E!$A$2:$A$102,1),MATCH(ROUND(N86,1),Tablo_E!$B$1:$CX$1,1)))</f>
        <v>0</v>
      </c>
      <c r="P86" s="60"/>
      <c r="Q86" s="64">
        <f>IF(ISBLANK(P86),0,ABS(Uzman_E!E$13-P86))</f>
        <v>0</v>
      </c>
      <c r="R86" s="55">
        <f>IF(ISBLANK(P86),0,INDEX(Tablo_E!$B$2:$CX$102,MATCH(ROUND(Uzman_E!E$13,1),Tablo_E!$A$2:$A$102,1),MATCH(ROUND(Q86,1),Tablo_E!$B$1:$CX$1,1)))</f>
        <v>0</v>
      </c>
      <c r="S86" s="56">
        <f t="shared" si="1"/>
        <v>0</v>
      </c>
      <c r="T86" s="50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</row>
    <row r="87" spans="1:36" ht="15" customHeight="1" thickBot="1" x14ac:dyDescent="0.25">
      <c r="A87" s="57">
        <v>84</v>
      </c>
      <c r="B87" s="35">
        <f>Hakemler!B87</f>
        <v>0</v>
      </c>
      <c r="C87" s="63">
        <f>Hakemler!C87</f>
        <v>0</v>
      </c>
      <c r="D87" s="60"/>
      <c r="E87" s="64">
        <f>IF(ISBLANK(D87),0,ABS(Uzman_E!A$13-D87))</f>
        <v>0</v>
      </c>
      <c r="F87" s="55">
        <f>IF(ISBLANK(D87),0,INDEX(Tablo_E!$B$2:$CX$102,MATCH(ROUND(Uzman_E!A$13,1),Tablo_E!$A$2:$A$102,1),MATCH(ROUND(E87,1),Tablo_E!$B$1:$CX$1,1)))</f>
        <v>0</v>
      </c>
      <c r="G87" s="60"/>
      <c r="H87" s="64">
        <f>IF(ISBLANK(G87),0,ABS(Uzman_E!B$13-G87))</f>
        <v>0</v>
      </c>
      <c r="I87" s="55">
        <f>IF(ISBLANK(G87),0,INDEX(Tablo_E!$B$2:$CX$102,MATCH(ROUND(Uzman_E!B$13,1),Tablo_E!$A$2:$A$102,1),MATCH(ROUND(H87,1),Tablo_E!$B$1:$CX$1,1)))</f>
        <v>0</v>
      </c>
      <c r="J87" s="60"/>
      <c r="K87" s="64">
        <f>IF(ISBLANK(J87),0,ABS(Uzman_E!C$13-J87))</f>
        <v>0</v>
      </c>
      <c r="L87" s="55">
        <f>IF(ISBLANK(J87),0,INDEX(Tablo_E!$B$2:$CX$102,MATCH(ROUND(Uzman_E!C$13,1),Tablo_E!$A$2:$A$102,1),MATCH(ROUND(K87,1),Tablo_E!$B$1:$CX$1,1)))</f>
        <v>0</v>
      </c>
      <c r="M87" s="60"/>
      <c r="N87" s="64">
        <f>IF(ISBLANK(M87),0,ABS(Uzman_E!D$13-M87))</f>
        <v>0</v>
      </c>
      <c r="O87" s="55">
        <f>IF(ISBLANK(M87),0,INDEX(Tablo_E!$B$2:$CX$102,MATCH(ROUND(Uzman_E!D$13,1),Tablo_E!$A$2:$A$102,1),MATCH(ROUND(N87,1),Tablo_E!$B$1:$CX$1,1)))</f>
        <v>0</v>
      </c>
      <c r="P87" s="60"/>
      <c r="Q87" s="64">
        <f>IF(ISBLANK(P87),0,ABS(Uzman_E!E$13-P87))</f>
        <v>0</v>
      </c>
      <c r="R87" s="55">
        <f>IF(ISBLANK(P87),0,INDEX(Tablo_E!$B$2:$CX$102,MATCH(ROUND(Uzman_E!E$13,1),Tablo_E!$A$2:$A$102,1),MATCH(ROUND(Q87,1),Tablo_E!$B$1:$CX$1,1)))</f>
        <v>0</v>
      </c>
      <c r="S87" s="56">
        <f t="shared" si="1"/>
        <v>0</v>
      </c>
      <c r="T87" s="50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</row>
    <row r="88" spans="1:36" ht="15" customHeight="1" thickBot="1" x14ac:dyDescent="0.25">
      <c r="A88" s="57">
        <v>85</v>
      </c>
      <c r="B88" s="35">
        <f>Hakemler!B88</f>
        <v>0</v>
      </c>
      <c r="C88" s="63">
        <f>Hakemler!C88</f>
        <v>0</v>
      </c>
      <c r="D88" s="60"/>
      <c r="E88" s="64">
        <f>IF(ISBLANK(D88),0,ABS(Uzman_E!A$13-D88))</f>
        <v>0</v>
      </c>
      <c r="F88" s="55">
        <f>IF(ISBLANK(D88),0,INDEX(Tablo_E!$B$2:$CX$102,MATCH(ROUND(Uzman_E!A$13,1),Tablo_E!$A$2:$A$102,1),MATCH(ROUND(E88,1),Tablo_E!$B$1:$CX$1,1)))</f>
        <v>0</v>
      </c>
      <c r="G88" s="60"/>
      <c r="H88" s="64">
        <f>IF(ISBLANK(G88),0,ABS(Uzman_E!B$13-G88))</f>
        <v>0</v>
      </c>
      <c r="I88" s="55">
        <f>IF(ISBLANK(G88),0,INDEX(Tablo_E!$B$2:$CX$102,MATCH(ROUND(Uzman_E!B$13,1),Tablo_E!$A$2:$A$102,1),MATCH(ROUND(H88,1),Tablo_E!$B$1:$CX$1,1)))</f>
        <v>0</v>
      </c>
      <c r="J88" s="60"/>
      <c r="K88" s="64">
        <f>IF(ISBLANK(J88),0,ABS(Uzman_E!C$13-J88))</f>
        <v>0</v>
      </c>
      <c r="L88" s="55">
        <f>IF(ISBLANK(J88),0,INDEX(Tablo_E!$B$2:$CX$102,MATCH(ROUND(Uzman_E!C$13,1),Tablo_E!$A$2:$A$102,1),MATCH(ROUND(K88,1),Tablo_E!$B$1:$CX$1,1)))</f>
        <v>0</v>
      </c>
      <c r="M88" s="60"/>
      <c r="N88" s="64">
        <f>IF(ISBLANK(M88),0,ABS(Uzman_E!D$13-M88))</f>
        <v>0</v>
      </c>
      <c r="O88" s="55">
        <f>IF(ISBLANK(M88),0,INDEX(Tablo_E!$B$2:$CX$102,MATCH(ROUND(Uzman_E!D$13,1),Tablo_E!$A$2:$A$102,1),MATCH(ROUND(N88,1),Tablo_E!$B$1:$CX$1,1)))</f>
        <v>0</v>
      </c>
      <c r="P88" s="60"/>
      <c r="Q88" s="64">
        <f>IF(ISBLANK(P88),0,ABS(Uzman_E!E$13-P88))</f>
        <v>0</v>
      </c>
      <c r="R88" s="55">
        <f>IF(ISBLANK(P88),0,INDEX(Tablo_E!$B$2:$CX$102,MATCH(ROUND(Uzman_E!E$13,1),Tablo_E!$A$2:$A$102,1),MATCH(ROUND(Q88,1),Tablo_E!$B$1:$CX$1,1)))</f>
        <v>0</v>
      </c>
      <c r="S88" s="56">
        <f t="shared" si="1"/>
        <v>0</v>
      </c>
      <c r="T88" s="50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</row>
    <row r="89" spans="1:36" ht="15" customHeight="1" thickBot="1" x14ac:dyDescent="0.25">
      <c r="A89" s="57">
        <v>86</v>
      </c>
      <c r="B89" s="35">
        <f>Hakemler!B89</f>
        <v>0</v>
      </c>
      <c r="C89" s="63">
        <f>Hakemler!C89</f>
        <v>0</v>
      </c>
      <c r="D89" s="60"/>
      <c r="E89" s="64">
        <f>IF(ISBLANK(D89),0,ABS(Uzman_E!A$13-D89))</f>
        <v>0</v>
      </c>
      <c r="F89" s="55">
        <f>IF(ISBLANK(D89),0,INDEX(Tablo_E!$B$2:$CX$102,MATCH(ROUND(Uzman_E!A$13,1),Tablo_E!$A$2:$A$102,1),MATCH(ROUND(E89,1),Tablo_E!$B$1:$CX$1,1)))</f>
        <v>0</v>
      </c>
      <c r="G89" s="60"/>
      <c r="H89" s="64">
        <f>IF(ISBLANK(G89),0,ABS(Uzman_E!B$13-G89))</f>
        <v>0</v>
      </c>
      <c r="I89" s="55">
        <f>IF(ISBLANK(G89),0,INDEX(Tablo_E!$B$2:$CX$102,MATCH(ROUND(Uzman_E!B$13,1),Tablo_E!$A$2:$A$102,1),MATCH(ROUND(H89,1),Tablo_E!$B$1:$CX$1,1)))</f>
        <v>0</v>
      </c>
      <c r="J89" s="60"/>
      <c r="K89" s="64">
        <f>IF(ISBLANK(J89),0,ABS(Uzman_E!C$13-J89))</f>
        <v>0</v>
      </c>
      <c r="L89" s="55">
        <f>IF(ISBLANK(J89),0,INDEX(Tablo_E!$B$2:$CX$102,MATCH(ROUND(Uzman_E!C$13,1),Tablo_E!$A$2:$A$102,1),MATCH(ROUND(K89,1),Tablo_E!$B$1:$CX$1,1)))</f>
        <v>0</v>
      </c>
      <c r="M89" s="60"/>
      <c r="N89" s="64">
        <f>IF(ISBLANK(M89),0,ABS(Uzman_E!D$13-M89))</f>
        <v>0</v>
      </c>
      <c r="O89" s="55">
        <f>IF(ISBLANK(M89),0,INDEX(Tablo_E!$B$2:$CX$102,MATCH(ROUND(Uzman_E!D$13,1),Tablo_E!$A$2:$A$102,1),MATCH(ROUND(N89,1),Tablo_E!$B$1:$CX$1,1)))</f>
        <v>0</v>
      </c>
      <c r="P89" s="60"/>
      <c r="Q89" s="64">
        <f>IF(ISBLANK(P89),0,ABS(Uzman_E!E$13-P89))</f>
        <v>0</v>
      </c>
      <c r="R89" s="55">
        <f>IF(ISBLANK(P89),0,INDEX(Tablo_E!$B$2:$CX$102,MATCH(ROUND(Uzman_E!E$13,1),Tablo_E!$A$2:$A$102,1),MATCH(ROUND(Q89,1),Tablo_E!$B$1:$CX$1,1)))</f>
        <v>0</v>
      </c>
      <c r="S89" s="56">
        <f t="shared" si="1"/>
        <v>0</v>
      </c>
      <c r="T89" s="50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</row>
    <row r="90" spans="1:36" ht="15" customHeight="1" thickBot="1" x14ac:dyDescent="0.25">
      <c r="A90" s="57">
        <v>87</v>
      </c>
      <c r="B90" s="35">
        <f>Hakemler!B90</f>
        <v>0</v>
      </c>
      <c r="C90" s="63">
        <f>Hakemler!C90</f>
        <v>0</v>
      </c>
      <c r="D90" s="60"/>
      <c r="E90" s="64">
        <f>IF(ISBLANK(D90),0,ABS(Uzman_E!A$13-D90))</f>
        <v>0</v>
      </c>
      <c r="F90" s="55">
        <f>IF(ISBLANK(D90),0,INDEX(Tablo_E!$B$2:$CX$102,MATCH(ROUND(Uzman_E!A$13,1),Tablo_E!$A$2:$A$102,1),MATCH(ROUND(E90,1),Tablo_E!$B$1:$CX$1,1)))</f>
        <v>0</v>
      </c>
      <c r="G90" s="60"/>
      <c r="H90" s="64">
        <f>IF(ISBLANK(G90),0,ABS(Uzman_E!B$13-G90))</f>
        <v>0</v>
      </c>
      <c r="I90" s="55">
        <f>IF(ISBLANK(G90),0,INDEX(Tablo_E!$B$2:$CX$102,MATCH(ROUND(Uzman_E!B$13,1),Tablo_E!$A$2:$A$102,1),MATCH(ROUND(H90,1),Tablo_E!$B$1:$CX$1,1)))</f>
        <v>0</v>
      </c>
      <c r="J90" s="60"/>
      <c r="K90" s="64">
        <f>IF(ISBLANK(J90),0,ABS(Uzman_E!C$13-J90))</f>
        <v>0</v>
      </c>
      <c r="L90" s="55">
        <f>IF(ISBLANK(J90),0,INDEX(Tablo_E!$B$2:$CX$102,MATCH(ROUND(Uzman_E!C$13,1),Tablo_E!$A$2:$A$102,1),MATCH(ROUND(K90,1),Tablo_E!$B$1:$CX$1,1)))</f>
        <v>0</v>
      </c>
      <c r="M90" s="60"/>
      <c r="N90" s="64">
        <f>IF(ISBLANK(M90),0,ABS(Uzman_E!D$13-M90))</f>
        <v>0</v>
      </c>
      <c r="O90" s="55">
        <f>IF(ISBLANK(M90),0,INDEX(Tablo_E!$B$2:$CX$102,MATCH(ROUND(Uzman_E!D$13,1),Tablo_E!$A$2:$A$102,1),MATCH(ROUND(N90,1),Tablo_E!$B$1:$CX$1,1)))</f>
        <v>0</v>
      </c>
      <c r="P90" s="60"/>
      <c r="Q90" s="64">
        <f>IF(ISBLANK(P90),0,ABS(Uzman_E!E$13-P90))</f>
        <v>0</v>
      </c>
      <c r="R90" s="55">
        <f>IF(ISBLANK(P90),0,INDEX(Tablo_E!$B$2:$CX$102,MATCH(ROUND(Uzman_E!E$13,1),Tablo_E!$A$2:$A$102,1),MATCH(ROUND(Q90,1),Tablo_E!$B$1:$CX$1,1)))</f>
        <v>0</v>
      </c>
      <c r="S90" s="56">
        <f t="shared" si="1"/>
        <v>0</v>
      </c>
      <c r="T90" s="50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</row>
    <row r="91" spans="1:36" ht="15" customHeight="1" thickBot="1" x14ac:dyDescent="0.25">
      <c r="A91" s="57">
        <v>88</v>
      </c>
      <c r="B91" s="35">
        <f>Hakemler!B91</f>
        <v>0</v>
      </c>
      <c r="C91" s="63">
        <f>Hakemler!C91</f>
        <v>0</v>
      </c>
      <c r="D91" s="60"/>
      <c r="E91" s="64">
        <f>IF(ISBLANK(D91),0,ABS(Uzman_E!A$13-D91))</f>
        <v>0</v>
      </c>
      <c r="F91" s="55">
        <f>IF(ISBLANK(D91),0,INDEX(Tablo_E!$B$2:$CX$102,MATCH(ROUND(Uzman_E!A$13,1),Tablo_E!$A$2:$A$102,1),MATCH(ROUND(E91,1),Tablo_E!$B$1:$CX$1,1)))</f>
        <v>0</v>
      </c>
      <c r="G91" s="60"/>
      <c r="H91" s="64">
        <f>IF(ISBLANK(G91),0,ABS(Uzman_E!B$13-G91))</f>
        <v>0</v>
      </c>
      <c r="I91" s="55">
        <f>IF(ISBLANK(G91),0,INDEX(Tablo_E!$B$2:$CX$102,MATCH(ROUND(Uzman_E!B$13,1),Tablo_E!$A$2:$A$102,1),MATCH(ROUND(H91,1),Tablo_E!$B$1:$CX$1,1)))</f>
        <v>0</v>
      </c>
      <c r="J91" s="60"/>
      <c r="K91" s="64">
        <f>IF(ISBLANK(J91),0,ABS(Uzman_E!C$13-J91))</f>
        <v>0</v>
      </c>
      <c r="L91" s="55">
        <f>IF(ISBLANK(J91),0,INDEX(Tablo_E!$B$2:$CX$102,MATCH(ROUND(Uzman_E!C$13,1),Tablo_E!$A$2:$A$102,1),MATCH(ROUND(K91,1),Tablo_E!$B$1:$CX$1,1)))</f>
        <v>0</v>
      </c>
      <c r="M91" s="60"/>
      <c r="N91" s="64">
        <f>IF(ISBLANK(M91),0,ABS(Uzman_E!D$13-M91))</f>
        <v>0</v>
      </c>
      <c r="O91" s="55">
        <f>IF(ISBLANK(M91),0,INDEX(Tablo_E!$B$2:$CX$102,MATCH(ROUND(Uzman_E!D$13,1),Tablo_E!$A$2:$A$102,1),MATCH(ROUND(N91,1),Tablo_E!$B$1:$CX$1,1)))</f>
        <v>0</v>
      </c>
      <c r="P91" s="60"/>
      <c r="Q91" s="64">
        <f>IF(ISBLANK(P91),0,ABS(Uzman_E!E$13-P91))</f>
        <v>0</v>
      </c>
      <c r="R91" s="55">
        <f>IF(ISBLANK(P91),0,INDEX(Tablo_E!$B$2:$CX$102,MATCH(ROUND(Uzman_E!E$13,1),Tablo_E!$A$2:$A$102,1),MATCH(ROUND(Q91,1),Tablo_E!$B$1:$CX$1,1)))</f>
        <v>0</v>
      </c>
      <c r="S91" s="56">
        <f t="shared" si="1"/>
        <v>0</v>
      </c>
      <c r="T91" s="50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</row>
    <row r="92" spans="1:36" ht="15" customHeight="1" thickBot="1" x14ac:dyDescent="0.25">
      <c r="A92" s="57">
        <v>89</v>
      </c>
      <c r="B92" s="35">
        <f>Hakemler!B92</f>
        <v>0</v>
      </c>
      <c r="C92" s="63">
        <f>Hakemler!C92</f>
        <v>0</v>
      </c>
      <c r="D92" s="60"/>
      <c r="E92" s="64">
        <f>IF(ISBLANK(D92),0,ABS(Uzman_E!A$13-D92))</f>
        <v>0</v>
      </c>
      <c r="F92" s="55">
        <f>IF(ISBLANK(D92),0,INDEX(Tablo_E!$B$2:$CX$102,MATCH(ROUND(Uzman_E!A$13,1),Tablo_E!$A$2:$A$102,1),MATCH(ROUND(E92,1),Tablo_E!$B$1:$CX$1,1)))</f>
        <v>0</v>
      </c>
      <c r="G92" s="60"/>
      <c r="H92" s="64">
        <f>IF(ISBLANK(G92),0,ABS(Uzman_E!B$13-G92))</f>
        <v>0</v>
      </c>
      <c r="I92" s="55">
        <f>IF(ISBLANK(G92),0,INDEX(Tablo_E!$B$2:$CX$102,MATCH(ROUND(Uzman_E!B$13,1),Tablo_E!$A$2:$A$102,1),MATCH(ROUND(H92,1),Tablo_E!$B$1:$CX$1,1)))</f>
        <v>0</v>
      </c>
      <c r="J92" s="60"/>
      <c r="K92" s="64">
        <f>IF(ISBLANK(J92),0,ABS(Uzman_E!C$13-J92))</f>
        <v>0</v>
      </c>
      <c r="L92" s="55">
        <f>IF(ISBLANK(J92),0,INDEX(Tablo_E!$B$2:$CX$102,MATCH(ROUND(Uzman_E!C$13,1),Tablo_E!$A$2:$A$102,1),MATCH(ROUND(K92,1),Tablo_E!$B$1:$CX$1,1)))</f>
        <v>0</v>
      </c>
      <c r="M92" s="60"/>
      <c r="N92" s="64">
        <f>IF(ISBLANK(M92),0,ABS(Uzman_E!D$13-M92))</f>
        <v>0</v>
      </c>
      <c r="O92" s="55">
        <f>IF(ISBLANK(M92),0,INDEX(Tablo_E!$B$2:$CX$102,MATCH(ROUND(Uzman_E!D$13,1),Tablo_E!$A$2:$A$102,1),MATCH(ROUND(N92,1),Tablo_E!$B$1:$CX$1,1)))</f>
        <v>0</v>
      </c>
      <c r="P92" s="60"/>
      <c r="Q92" s="64">
        <f>IF(ISBLANK(P92),0,ABS(Uzman_E!E$13-P92))</f>
        <v>0</v>
      </c>
      <c r="R92" s="55">
        <f>IF(ISBLANK(P92),0,INDEX(Tablo_E!$B$2:$CX$102,MATCH(ROUND(Uzman_E!E$13,1),Tablo_E!$A$2:$A$102,1),MATCH(ROUND(Q92,1),Tablo_E!$B$1:$CX$1,1)))</f>
        <v>0</v>
      </c>
      <c r="S92" s="56">
        <f t="shared" si="1"/>
        <v>0</v>
      </c>
      <c r="T92" s="50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</row>
    <row r="93" spans="1:36" ht="15" customHeight="1" thickBot="1" x14ac:dyDescent="0.25">
      <c r="A93" s="57">
        <v>90</v>
      </c>
      <c r="B93" s="35">
        <f>Hakemler!B93</f>
        <v>0</v>
      </c>
      <c r="C93" s="63">
        <f>Hakemler!C93</f>
        <v>0</v>
      </c>
      <c r="D93" s="60"/>
      <c r="E93" s="64">
        <f>IF(ISBLANK(D93),0,ABS(Uzman_E!A$13-D93))</f>
        <v>0</v>
      </c>
      <c r="F93" s="55">
        <f>IF(ISBLANK(D93),0,INDEX(Tablo_E!$B$2:$CX$102,MATCH(ROUND(Uzman_E!A$13,1),Tablo_E!$A$2:$A$102,1),MATCH(ROUND(E93,1),Tablo_E!$B$1:$CX$1,1)))</f>
        <v>0</v>
      </c>
      <c r="G93" s="60"/>
      <c r="H93" s="64">
        <f>IF(ISBLANK(G93),0,ABS(Uzman_E!B$13-G93))</f>
        <v>0</v>
      </c>
      <c r="I93" s="55">
        <f>IF(ISBLANK(G93),0,INDEX(Tablo_E!$B$2:$CX$102,MATCH(ROUND(Uzman_E!B$13,1),Tablo_E!$A$2:$A$102,1),MATCH(ROUND(H93,1),Tablo_E!$B$1:$CX$1,1)))</f>
        <v>0</v>
      </c>
      <c r="J93" s="60"/>
      <c r="K93" s="64">
        <f>IF(ISBLANK(J93),0,ABS(Uzman_E!C$13-J93))</f>
        <v>0</v>
      </c>
      <c r="L93" s="55">
        <f>IF(ISBLANK(J93),0,INDEX(Tablo_E!$B$2:$CX$102,MATCH(ROUND(Uzman_E!C$13,1),Tablo_E!$A$2:$A$102,1),MATCH(ROUND(K93,1),Tablo_E!$B$1:$CX$1,1)))</f>
        <v>0</v>
      </c>
      <c r="M93" s="60"/>
      <c r="N93" s="64">
        <f>IF(ISBLANK(M93),0,ABS(Uzman_E!D$13-M93))</f>
        <v>0</v>
      </c>
      <c r="O93" s="55">
        <f>IF(ISBLANK(M93),0,INDEX(Tablo_E!$B$2:$CX$102,MATCH(ROUND(Uzman_E!D$13,1),Tablo_E!$A$2:$A$102,1),MATCH(ROUND(N93,1),Tablo_E!$B$1:$CX$1,1)))</f>
        <v>0</v>
      </c>
      <c r="P93" s="60"/>
      <c r="Q93" s="64">
        <f>IF(ISBLANK(P93),0,ABS(Uzman_E!E$13-P93))</f>
        <v>0</v>
      </c>
      <c r="R93" s="55">
        <f>IF(ISBLANK(P93),0,INDEX(Tablo_E!$B$2:$CX$102,MATCH(ROUND(Uzman_E!E$13,1),Tablo_E!$A$2:$A$102,1),MATCH(ROUND(Q93,1),Tablo_E!$B$1:$CX$1,1)))</f>
        <v>0</v>
      </c>
      <c r="S93" s="56">
        <f t="shared" si="1"/>
        <v>0</v>
      </c>
      <c r="T93" s="50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ht="15" customHeight="1" thickBot="1" x14ac:dyDescent="0.25">
      <c r="A94" s="57">
        <v>91</v>
      </c>
      <c r="B94" s="35">
        <f>Hakemler!B94</f>
        <v>0</v>
      </c>
      <c r="C94" s="63">
        <f>Hakemler!C94</f>
        <v>0</v>
      </c>
      <c r="D94" s="60"/>
      <c r="E94" s="64">
        <f>IF(ISBLANK(D94),0,ABS(Uzman_E!A$13-D94))</f>
        <v>0</v>
      </c>
      <c r="F94" s="55">
        <f>IF(ISBLANK(D94),0,INDEX(Tablo_E!$B$2:$CX$102,MATCH(ROUND(Uzman_E!A$13,1),Tablo_E!$A$2:$A$102,1),MATCH(ROUND(E94,1),Tablo_E!$B$1:$CX$1,1)))</f>
        <v>0</v>
      </c>
      <c r="G94" s="60"/>
      <c r="H94" s="64">
        <f>IF(ISBLANK(G94),0,ABS(Uzman_E!B$13-G94))</f>
        <v>0</v>
      </c>
      <c r="I94" s="55">
        <f>IF(ISBLANK(G94),0,INDEX(Tablo_E!$B$2:$CX$102,MATCH(ROUND(Uzman_E!B$13,1),Tablo_E!$A$2:$A$102,1),MATCH(ROUND(H94,1),Tablo_E!$B$1:$CX$1,1)))</f>
        <v>0</v>
      </c>
      <c r="J94" s="60"/>
      <c r="K94" s="64">
        <f>IF(ISBLANK(J94),0,ABS(Uzman_E!C$13-J94))</f>
        <v>0</v>
      </c>
      <c r="L94" s="55">
        <f>IF(ISBLANK(J94),0,INDEX(Tablo_E!$B$2:$CX$102,MATCH(ROUND(Uzman_E!C$13,1),Tablo_E!$A$2:$A$102,1),MATCH(ROUND(K94,1),Tablo_E!$B$1:$CX$1,1)))</f>
        <v>0</v>
      </c>
      <c r="M94" s="60"/>
      <c r="N94" s="64">
        <f>IF(ISBLANK(M94),0,ABS(Uzman_E!D$13-M94))</f>
        <v>0</v>
      </c>
      <c r="O94" s="55">
        <f>IF(ISBLANK(M94),0,INDEX(Tablo_E!$B$2:$CX$102,MATCH(ROUND(Uzman_E!D$13,1),Tablo_E!$A$2:$A$102,1),MATCH(ROUND(N94,1),Tablo_E!$B$1:$CX$1,1)))</f>
        <v>0</v>
      </c>
      <c r="P94" s="60"/>
      <c r="Q94" s="64">
        <f>IF(ISBLANK(P94),0,ABS(Uzman_E!E$13-P94))</f>
        <v>0</v>
      </c>
      <c r="R94" s="55">
        <f>IF(ISBLANK(P94),0,INDEX(Tablo_E!$B$2:$CX$102,MATCH(ROUND(Uzman_E!E$13,1),Tablo_E!$A$2:$A$102,1),MATCH(ROUND(Q94,1),Tablo_E!$B$1:$CX$1,1)))</f>
        <v>0</v>
      </c>
      <c r="S94" s="56">
        <f t="shared" si="1"/>
        <v>0</v>
      </c>
      <c r="T94" s="50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ht="15" customHeight="1" thickBot="1" x14ac:dyDescent="0.25">
      <c r="A95" s="57">
        <v>92</v>
      </c>
      <c r="B95" s="35">
        <f>Hakemler!B95</f>
        <v>0</v>
      </c>
      <c r="C95" s="63">
        <f>Hakemler!C95</f>
        <v>0</v>
      </c>
      <c r="D95" s="60"/>
      <c r="E95" s="64">
        <f>IF(ISBLANK(D95),0,ABS(Uzman_E!A$13-D95))</f>
        <v>0</v>
      </c>
      <c r="F95" s="55">
        <f>IF(ISBLANK(D95),0,INDEX(Tablo_E!$B$2:$CX$102,MATCH(ROUND(Uzman_E!A$13,1),Tablo_E!$A$2:$A$102,1),MATCH(ROUND(E95,1),Tablo_E!$B$1:$CX$1,1)))</f>
        <v>0</v>
      </c>
      <c r="G95" s="60"/>
      <c r="H95" s="64">
        <f>IF(ISBLANK(G95),0,ABS(Uzman_E!B$13-G95))</f>
        <v>0</v>
      </c>
      <c r="I95" s="55">
        <f>IF(ISBLANK(G95),0,INDEX(Tablo_E!$B$2:$CX$102,MATCH(ROUND(Uzman_E!B$13,1),Tablo_E!$A$2:$A$102,1),MATCH(ROUND(H95,1),Tablo_E!$B$1:$CX$1,1)))</f>
        <v>0</v>
      </c>
      <c r="J95" s="60"/>
      <c r="K95" s="64">
        <f>IF(ISBLANK(J95),0,ABS(Uzman_E!C$13-J95))</f>
        <v>0</v>
      </c>
      <c r="L95" s="55">
        <f>IF(ISBLANK(J95),0,INDEX(Tablo_E!$B$2:$CX$102,MATCH(ROUND(Uzman_E!C$13,1),Tablo_E!$A$2:$A$102,1),MATCH(ROUND(K95,1),Tablo_E!$B$1:$CX$1,1)))</f>
        <v>0</v>
      </c>
      <c r="M95" s="60"/>
      <c r="N95" s="64">
        <f>IF(ISBLANK(M95),0,ABS(Uzman_E!D$13-M95))</f>
        <v>0</v>
      </c>
      <c r="O95" s="55">
        <f>IF(ISBLANK(M95),0,INDEX(Tablo_E!$B$2:$CX$102,MATCH(ROUND(Uzman_E!D$13,1),Tablo_E!$A$2:$A$102,1),MATCH(ROUND(N95,1),Tablo_E!$B$1:$CX$1,1)))</f>
        <v>0</v>
      </c>
      <c r="P95" s="60"/>
      <c r="Q95" s="64">
        <f>IF(ISBLANK(P95),0,ABS(Uzman_E!E$13-P95))</f>
        <v>0</v>
      </c>
      <c r="R95" s="55">
        <f>IF(ISBLANK(P95),0,INDEX(Tablo_E!$B$2:$CX$102,MATCH(ROUND(Uzman_E!E$13,1),Tablo_E!$A$2:$A$102,1),MATCH(ROUND(Q95,1),Tablo_E!$B$1:$CX$1,1)))</f>
        <v>0</v>
      </c>
      <c r="S95" s="56">
        <f t="shared" si="1"/>
        <v>0</v>
      </c>
      <c r="T95" s="50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spans="1:36" ht="15" customHeight="1" thickBot="1" x14ac:dyDescent="0.25">
      <c r="A96" s="57">
        <v>93</v>
      </c>
      <c r="B96" s="35">
        <f>Hakemler!B96</f>
        <v>0</v>
      </c>
      <c r="C96" s="63">
        <f>Hakemler!C96</f>
        <v>0</v>
      </c>
      <c r="D96" s="60"/>
      <c r="E96" s="64">
        <f>IF(ISBLANK(D96),0,ABS(Uzman_E!A$13-D96))</f>
        <v>0</v>
      </c>
      <c r="F96" s="55">
        <f>IF(ISBLANK(D96),0,INDEX(Tablo_E!$B$2:$CX$102,MATCH(ROUND(Uzman_E!A$13,1),Tablo_E!$A$2:$A$102,1),MATCH(ROUND(E96,1),Tablo_E!$B$1:$CX$1,1)))</f>
        <v>0</v>
      </c>
      <c r="G96" s="60"/>
      <c r="H96" s="64">
        <f>IF(ISBLANK(G96),0,ABS(Uzman_E!B$13-G96))</f>
        <v>0</v>
      </c>
      <c r="I96" s="55">
        <f>IF(ISBLANK(G96),0,INDEX(Tablo_E!$B$2:$CX$102,MATCH(ROUND(Uzman_E!B$13,1),Tablo_E!$A$2:$A$102,1),MATCH(ROUND(H96,1),Tablo_E!$B$1:$CX$1,1)))</f>
        <v>0</v>
      </c>
      <c r="J96" s="60"/>
      <c r="K96" s="64">
        <f>IF(ISBLANK(J96),0,ABS(Uzman_E!C$13-J96))</f>
        <v>0</v>
      </c>
      <c r="L96" s="55">
        <f>IF(ISBLANK(J96),0,INDEX(Tablo_E!$B$2:$CX$102,MATCH(ROUND(Uzman_E!C$13,1),Tablo_E!$A$2:$A$102,1),MATCH(ROUND(K96,1),Tablo_E!$B$1:$CX$1,1)))</f>
        <v>0</v>
      </c>
      <c r="M96" s="60"/>
      <c r="N96" s="64">
        <f>IF(ISBLANK(M96),0,ABS(Uzman_E!D$13-M96))</f>
        <v>0</v>
      </c>
      <c r="O96" s="55">
        <f>IF(ISBLANK(M96),0,INDEX(Tablo_E!$B$2:$CX$102,MATCH(ROUND(Uzman_E!D$13,1),Tablo_E!$A$2:$A$102,1),MATCH(ROUND(N96,1),Tablo_E!$B$1:$CX$1,1)))</f>
        <v>0</v>
      </c>
      <c r="P96" s="60"/>
      <c r="Q96" s="64">
        <f>IF(ISBLANK(P96),0,ABS(Uzman_E!E$13-P96))</f>
        <v>0</v>
      </c>
      <c r="R96" s="55">
        <f>IF(ISBLANK(P96),0,INDEX(Tablo_E!$B$2:$CX$102,MATCH(ROUND(Uzman_E!E$13,1),Tablo_E!$A$2:$A$102,1),MATCH(ROUND(Q96,1),Tablo_E!$B$1:$CX$1,1)))</f>
        <v>0</v>
      </c>
      <c r="S96" s="56">
        <f t="shared" si="1"/>
        <v>0</v>
      </c>
      <c r="T96" s="50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</row>
    <row r="97" spans="1:36" ht="15" customHeight="1" thickBot="1" x14ac:dyDescent="0.25">
      <c r="A97" s="57">
        <v>94</v>
      </c>
      <c r="B97" s="35">
        <f>Hakemler!B97</f>
        <v>0</v>
      </c>
      <c r="C97" s="63">
        <f>Hakemler!C97</f>
        <v>0</v>
      </c>
      <c r="D97" s="60"/>
      <c r="E97" s="64">
        <f>IF(ISBLANK(D97),0,ABS(Uzman_E!A$13-D97))</f>
        <v>0</v>
      </c>
      <c r="F97" s="55">
        <f>IF(ISBLANK(D97),0,INDEX(Tablo_E!$B$2:$CX$102,MATCH(ROUND(Uzman_E!A$13,1),Tablo_E!$A$2:$A$102,1),MATCH(ROUND(E97,1),Tablo_E!$B$1:$CX$1,1)))</f>
        <v>0</v>
      </c>
      <c r="G97" s="60"/>
      <c r="H97" s="64">
        <f>IF(ISBLANK(G97),0,ABS(Uzman_E!B$13-G97))</f>
        <v>0</v>
      </c>
      <c r="I97" s="55">
        <f>IF(ISBLANK(G97),0,INDEX(Tablo_E!$B$2:$CX$102,MATCH(ROUND(Uzman_E!B$13,1),Tablo_E!$A$2:$A$102,1),MATCH(ROUND(H97,1),Tablo_E!$B$1:$CX$1,1)))</f>
        <v>0</v>
      </c>
      <c r="J97" s="60"/>
      <c r="K97" s="64">
        <f>IF(ISBLANK(J97),0,ABS(Uzman_E!C$13-J97))</f>
        <v>0</v>
      </c>
      <c r="L97" s="55">
        <f>IF(ISBLANK(J97),0,INDEX(Tablo_E!$B$2:$CX$102,MATCH(ROUND(Uzman_E!C$13,1),Tablo_E!$A$2:$A$102,1),MATCH(ROUND(K97,1),Tablo_E!$B$1:$CX$1,1)))</f>
        <v>0</v>
      </c>
      <c r="M97" s="60"/>
      <c r="N97" s="64">
        <f>IF(ISBLANK(M97),0,ABS(Uzman_E!D$13-M97))</f>
        <v>0</v>
      </c>
      <c r="O97" s="55">
        <f>IF(ISBLANK(M97),0,INDEX(Tablo_E!$B$2:$CX$102,MATCH(ROUND(Uzman_E!D$13,1),Tablo_E!$A$2:$A$102,1),MATCH(ROUND(N97,1),Tablo_E!$B$1:$CX$1,1)))</f>
        <v>0</v>
      </c>
      <c r="P97" s="60"/>
      <c r="Q97" s="64">
        <f>IF(ISBLANK(P97),0,ABS(Uzman_E!E$13-P97))</f>
        <v>0</v>
      </c>
      <c r="R97" s="55">
        <f>IF(ISBLANK(P97),0,INDEX(Tablo_E!$B$2:$CX$102,MATCH(ROUND(Uzman_E!E$13,1),Tablo_E!$A$2:$A$102,1),MATCH(ROUND(Q97,1),Tablo_E!$B$1:$CX$1,1)))</f>
        <v>0</v>
      </c>
      <c r="S97" s="56">
        <f t="shared" si="1"/>
        <v>0</v>
      </c>
      <c r="T97" s="50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</row>
    <row r="98" spans="1:36" ht="15" customHeight="1" thickBot="1" x14ac:dyDescent="0.25">
      <c r="A98" s="57">
        <v>95</v>
      </c>
      <c r="B98" s="35">
        <f>Hakemler!B98</f>
        <v>0</v>
      </c>
      <c r="C98" s="63">
        <f>Hakemler!C98</f>
        <v>0</v>
      </c>
      <c r="D98" s="60"/>
      <c r="E98" s="64">
        <f>IF(ISBLANK(D98),0,ABS(Uzman_E!A$13-D98))</f>
        <v>0</v>
      </c>
      <c r="F98" s="55">
        <f>IF(ISBLANK(D98),0,INDEX(Tablo_E!$B$2:$CX$102,MATCH(ROUND(Uzman_E!A$13,1),Tablo_E!$A$2:$A$102,1),MATCH(ROUND(E98,1),Tablo_E!$B$1:$CX$1,1)))</f>
        <v>0</v>
      </c>
      <c r="G98" s="60"/>
      <c r="H98" s="64">
        <f>IF(ISBLANK(G98),0,ABS(Uzman_E!B$13-G98))</f>
        <v>0</v>
      </c>
      <c r="I98" s="55">
        <f>IF(ISBLANK(G98),0,INDEX(Tablo_E!$B$2:$CX$102,MATCH(ROUND(Uzman_E!B$13,1),Tablo_E!$A$2:$A$102,1),MATCH(ROUND(H98,1),Tablo_E!$B$1:$CX$1,1)))</f>
        <v>0</v>
      </c>
      <c r="J98" s="60"/>
      <c r="K98" s="64">
        <f>IF(ISBLANK(J98),0,ABS(Uzman_E!C$13-J98))</f>
        <v>0</v>
      </c>
      <c r="L98" s="55">
        <f>IF(ISBLANK(J98),0,INDEX(Tablo_E!$B$2:$CX$102,MATCH(ROUND(Uzman_E!C$13,1),Tablo_E!$A$2:$A$102,1),MATCH(ROUND(K98,1),Tablo_E!$B$1:$CX$1,1)))</f>
        <v>0</v>
      </c>
      <c r="M98" s="60"/>
      <c r="N98" s="64">
        <f>IF(ISBLANK(M98),0,ABS(Uzman_E!D$13-M98))</f>
        <v>0</v>
      </c>
      <c r="O98" s="55">
        <f>IF(ISBLANK(M98),0,INDEX(Tablo_E!$B$2:$CX$102,MATCH(ROUND(Uzman_E!D$13,1),Tablo_E!$A$2:$A$102,1),MATCH(ROUND(N98,1),Tablo_E!$B$1:$CX$1,1)))</f>
        <v>0</v>
      </c>
      <c r="P98" s="60"/>
      <c r="Q98" s="64">
        <f>IF(ISBLANK(P98),0,ABS(Uzman_E!E$13-P98))</f>
        <v>0</v>
      </c>
      <c r="R98" s="55">
        <f>IF(ISBLANK(P98),0,INDEX(Tablo_E!$B$2:$CX$102,MATCH(ROUND(Uzman_E!E$13,1),Tablo_E!$A$2:$A$102,1),MATCH(ROUND(Q98,1),Tablo_E!$B$1:$CX$1,1)))</f>
        <v>0</v>
      </c>
      <c r="S98" s="56">
        <f t="shared" si="1"/>
        <v>0</v>
      </c>
      <c r="T98" s="50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</row>
    <row r="99" spans="1:36" ht="15" customHeight="1" thickBot="1" x14ac:dyDescent="0.25">
      <c r="A99" s="57">
        <v>96</v>
      </c>
      <c r="B99" s="35">
        <f>Hakemler!B99</f>
        <v>0</v>
      </c>
      <c r="C99" s="63">
        <f>Hakemler!C99</f>
        <v>0</v>
      </c>
      <c r="D99" s="60"/>
      <c r="E99" s="64">
        <f>IF(ISBLANK(D99),0,ABS(Uzman_E!A$13-D99))</f>
        <v>0</v>
      </c>
      <c r="F99" s="55">
        <f>IF(ISBLANK(D99),0,INDEX(Tablo_E!$B$2:$CX$102,MATCH(ROUND(Uzman_E!A$13,1),Tablo_E!$A$2:$A$102,1),MATCH(ROUND(E99,1),Tablo_E!$B$1:$CX$1,1)))</f>
        <v>0</v>
      </c>
      <c r="G99" s="60"/>
      <c r="H99" s="64">
        <f>IF(ISBLANK(G99),0,ABS(Uzman_E!B$13-G99))</f>
        <v>0</v>
      </c>
      <c r="I99" s="55">
        <f>IF(ISBLANK(G99),0,INDEX(Tablo_E!$B$2:$CX$102,MATCH(ROUND(Uzman_E!B$13,1),Tablo_E!$A$2:$A$102,1),MATCH(ROUND(H99,1),Tablo_E!$B$1:$CX$1,1)))</f>
        <v>0</v>
      </c>
      <c r="J99" s="60"/>
      <c r="K99" s="64">
        <f>IF(ISBLANK(J99),0,ABS(Uzman_E!C$13-J99))</f>
        <v>0</v>
      </c>
      <c r="L99" s="55">
        <f>IF(ISBLANK(J99),0,INDEX(Tablo_E!$B$2:$CX$102,MATCH(ROUND(Uzman_E!C$13,1),Tablo_E!$A$2:$A$102,1),MATCH(ROUND(K99,1),Tablo_E!$B$1:$CX$1,1)))</f>
        <v>0</v>
      </c>
      <c r="M99" s="60"/>
      <c r="N99" s="64">
        <f>IF(ISBLANK(M99),0,ABS(Uzman_E!D$13-M99))</f>
        <v>0</v>
      </c>
      <c r="O99" s="55">
        <f>IF(ISBLANK(M99),0,INDEX(Tablo_E!$B$2:$CX$102,MATCH(ROUND(Uzman_E!D$13,1),Tablo_E!$A$2:$A$102,1),MATCH(ROUND(N99,1),Tablo_E!$B$1:$CX$1,1)))</f>
        <v>0</v>
      </c>
      <c r="P99" s="60"/>
      <c r="Q99" s="64">
        <f>IF(ISBLANK(P99),0,ABS(Uzman_E!E$13-P99))</f>
        <v>0</v>
      </c>
      <c r="R99" s="55">
        <f>IF(ISBLANK(P99),0,INDEX(Tablo_E!$B$2:$CX$102,MATCH(ROUND(Uzman_E!E$13,1),Tablo_E!$A$2:$A$102,1),MATCH(ROUND(Q99,1),Tablo_E!$B$1:$CX$1,1)))</f>
        <v>0</v>
      </c>
      <c r="S99" s="56">
        <f t="shared" si="1"/>
        <v>0</v>
      </c>
      <c r="T99" s="50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</row>
    <row r="100" spans="1:36" ht="15" customHeight="1" thickBot="1" x14ac:dyDescent="0.25">
      <c r="A100" s="57">
        <v>97</v>
      </c>
      <c r="B100" s="35">
        <f>Hakemler!B100</f>
        <v>0</v>
      </c>
      <c r="C100" s="63">
        <f>Hakemler!C100</f>
        <v>0</v>
      </c>
      <c r="D100" s="60"/>
      <c r="E100" s="64">
        <f>IF(ISBLANK(D100),0,ABS(Uzman_E!A$13-D100))</f>
        <v>0</v>
      </c>
      <c r="F100" s="55">
        <f>IF(ISBLANK(D100),0,INDEX(Tablo_E!$B$2:$CX$102,MATCH(ROUND(Uzman_E!A$13,1),Tablo_E!$A$2:$A$102,1),MATCH(ROUND(E100,1),Tablo_E!$B$1:$CX$1,1)))</f>
        <v>0</v>
      </c>
      <c r="G100" s="60"/>
      <c r="H100" s="64">
        <f>IF(ISBLANK(G100),0,ABS(Uzman_E!B$13-G100))</f>
        <v>0</v>
      </c>
      <c r="I100" s="55">
        <f>IF(ISBLANK(G100),0,INDEX(Tablo_E!$B$2:$CX$102,MATCH(ROUND(Uzman_E!B$13,1),Tablo_E!$A$2:$A$102,1),MATCH(ROUND(H100,1),Tablo_E!$B$1:$CX$1,1)))</f>
        <v>0</v>
      </c>
      <c r="J100" s="60"/>
      <c r="K100" s="64">
        <f>IF(ISBLANK(J100),0,ABS(Uzman_E!C$13-J100))</f>
        <v>0</v>
      </c>
      <c r="L100" s="55">
        <f>IF(ISBLANK(J100),0,INDEX(Tablo_E!$B$2:$CX$102,MATCH(ROUND(Uzman_E!C$13,1),Tablo_E!$A$2:$A$102,1),MATCH(ROUND(K100,1),Tablo_E!$B$1:$CX$1,1)))</f>
        <v>0</v>
      </c>
      <c r="M100" s="60"/>
      <c r="N100" s="64">
        <f>IF(ISBLANK(M100),0,ABS(Uzman_E!D$13-M100))</f>
        <v>0</v>
      </c>
      <c r="O100" s="55">
        <f>IF(ISBLANK(M100),0,INDEX(Tablo_E!$B$2:$CX$102,MATCH(ROUND(Uzman_E!D$13,1),Tablo_E!$A$2:$A$102,1),MATCH(ROUND(N100,1),Tablo_E!$B$1:$CX$1,1)))</f>
        <v>0</v>
      </c>
      <c r="P100" s="60"/>
      <c r="Q100" s="64">
        <f>IF(ISBLANK(P100),0,ABS(Uzman_E!E$13-P100))</f>
        <v>0</v>
      </c>
      <c r="R100" s="55">
        <f>IF(ISBLANK(P100),0,INDEX(Tablo_E!$B$2:$CX$102,MATCH(ROUND(Uzman_E!E$13,1),Tablo_E!$A$2:$A$102,1),MATCH(ROUND(Q100,1),Tablo_E!$B$1:$CX$1,1)))</f>
        <v>0</v>
      </c>
      <c r="S100" s="56">
        <f t="shared" si="1"/>
        <v>0</v>
      </c>
      <c r="T100" s="50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</row>
    <row r="101" spans="1:36" ht="15" customHeight="1" thickBot="1" x14ac:dyDescent="0.25">
      <c r="A101" s="57">
        <v>98</v>
      </c>
      <c r="B101" s="35">
        <f>Hakemler!B101</f>
        <v>0</v>
      </c>
      <c r="C101" s="63">
        <f>Hakemler!C101</f>
        <v>0</v>
      </c>
      <c r="D101" s="60"/>
      <c r="E101" s="64">
        <f>IF(ISBLANK(D101),0,ABS(Uzman_E!A$13-D101))</f>
        <v>0</v>
      </c>
      <c r="F101" s="55">
        <f>IF(ISBLANK(D101),0,INDEX(Tablo_E!$B$2:$CX$102,MATCH(ROUND(Uzman_E!A$13,1),Tablo_E!$A$2:$A$102,1),MATCH(ROUND(E101,1),Tablo_E!$B$1:$CX$1,1)))</f>
        <v>0</v>
      </c>
      <c r="G101" s="60"/>
      <c r="H101" s="64">
        <f>IF(ISBLANK(G101),0,ABS(Uzman_E!B$13-G101))</f>
        <v>0</v>
      </c>
      <c r="I101" s="55">
        <f>IF(ISBLANK(G101),0,INDEX(Tablo_E!$B$2:$CX$102,MATCH(ROUND(Uzman_E!B$13,1),Tablo_E!$A$2:$A$102,1),MATCH(ROUND(H101,1),Tablo_E!$B$1:$CX$1,1)))</f>
        <v>0</v>
      </c>
      <c r="J101" s="60"/>
      <c r="K101" s="64">
        <f>IF(ISBLANK(J101),0,ABS(Uzman_E!C$13-J101))</f>
        <v>0</v>
      </c>
      <c r="L101" s="55">
        <f>IF(ISBLANK(J101),0,INDEX(Tablo_E!$B$2:$CX$102,MATCH(ROUND(Uzman_E!C$13,1),Tablo_E!$A$2:$A$102,1),MATCH(ROUND(K101,1),Tablo_E!$B$1:$CX$1,1)))</f>
        <v>0</v>
      </c>
      <c r="M101" s="60"/>
      <c r="N101" s="64">
        <f>IF(ISBLANK(M101),0,ABS(Uzman_E!D$13-M101))</f>
        <v>0</v>
      </c>
      <c r="O101" s="55">
        <f>IF(ISBLANK(M101),0,INDEX(Tablo_E!$B$2:$CX$102,MATCH(ROUND(Uzman_E!D$13,1),Tablo_E!$A$2:$A$102,1),MATCH(ROUND(N101,1),Tablo_E!$B$1:$CX$1,1)))</f>
        <v>0</v>
      </c>
      <c r="P101" s="60"/>
      <c r="Q101" s="64">
        <f>IF(ISBLANK(P101),0,ABS(Uzman_E!E$13-P101))</f>
        <v>0</v>
      </c>
      <c r="R101" s="55">
        <f>IF(ISBLANK(P101),0,INDEX(Tablo_E!$B$2:$CX$102,MATCH(ROUND(Uzman_E!E$13,1),Tablo_E!$A$2:$A$102,1),MATCH(ROUND(Q101,1),Tablo_E!$B$1:$CX$1,1)))</f>
        <v>0</v>
      </c>
      <c r="S101" s="56">
        <f t="shared" si="1"/>
        <v>0</v>
      </c>
      <c r="T101" s="50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</row>
    <row r="102" spans="1:36" ht="15" customHeight="1" thickBot="1" x14ac:dyDescent="0.25">
      <c r="A102" s="57">
        <v>99</v>
      </c>
      <c r="B102" s="35">
        <f>Hakemler!B102</f>
        <v>0</v>
      </c>
      <c r="C102" s="63">
        <f>Hakemler!C102</f>
        <v>0</v>
      </c>
      <c r="D102" s="60"/>
      <c r="E102" s="64">
        <f>IF(ISBLANK(D102),0,ABS(Uzman_E!A$13-D102))</f>
        <v>0</v>
      </c>
      <c r="F102" s="55">
        <f>IF(ISBLANK(D102),0,INDEX(Tablo_E!$B$2:$CX$102,MATCH(ROUND(Uzman_E!A$13,1),Tablo_E!$A$2:$A$102,1),MATCH(ROUND(E102,1),Tablo_E!$B$1:$CX$1,1)))</f>
        <v>0</v>
      </c>
      <c r="G102" s="60"/>
      <c r="H102" s="64">
        <f>IF(ISBLANK(G102),0,ABS(Uzman_E!B$13-G102))</f>
        <v>0</v>
      </c>
      <c r="I102" s="55">
        <f>IF(ISBLANK(G102),0,INDEX(Tablo_E!$B$2:$CX$102,MATCH(ROUND(Uzman_E!B$13,1),Tablo_E!$A$2:$A$102,1),MATCH(ROUND(H102,1),Tablo_E!$B$1:$CX$1,1)))</f>
        <v>0</v>
      </c>
      <c r="J102" s="60"/>
      <c r="K102" s="64">
        <f>IF(ISBLANK(J102),0,ABS(Uzman_E!C$13-J102))</f>
        <v>0</v>
      </c>
      <c r="L102" s="55">
        <f>IF(ISBLANK(J102),0,INDEX(Tablo_E!$B$2:$CX$102,MATCH(ROUND(Uzman_E!C$13,1),Tablo_E!$A$2:$A$102,1),MATCH(ROUND(K102,1),Tablo_E!$B$1:$CX$1,1)))</f>
        <v>0</v>
      </c>
      <c r="M102" s="60"/>
      <c r="N102" s="64">
        <f>IF(ISBLANK(M102),0,ABS(Uzman_E!D$13-M102))</f>
        <v>0</v>
      </c>
      <c r="O102" s="55">
        <f>IF(ISBLANK(M102),0,INDEX(Tablo_E!$B$2:$CX$102,MATCH(ROUND(Uzman_E!D$13,1),Tablo_E!$A$2:$A$102,1),MATCH(ROUND(N102,1),Tablo_E!$B$1:$CX$1,1)))</f>
        <v>0</v>
      </c>
      <c r="P102" s="60"/>
      <c r="Q102" s="64">
        <f>IF(ISBLANK(P102),0,ABS(Uzman_E!E$13-P102))</f>
        <v>0</v>
      </c>
      <c r="R102" s="55">
        <f>IF(ISBLANK(P102),0,INDEX(Tablo_E!$B$2:$CX$102,MATCH(ROUND(Uzman_E!E$13,1),Tablo_E!$A$2:$A$102,1),MATCH(ROUND(Q102,1),Tablo_E!$B$1:$CX$1,1)))</f>
        <v>0</v>
      </c>
      <c r="S102" s="56">
        <f t="shared" si="1"/>
        <v>0</v>
      </c>
      <c r="T102" s="50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</row>
    <row r="103" spans="1:36" ht="15" customHeight="1" x14ac:dyDescent="0.2">
      <c r="A103" s="57">
        <v>100</v>
      </c>
      <c r="B103" s="35">
        <f>Hakemler!B103</f>
        <v>0</v>
      </c>
      <c r="C103" s="63">
        <f>Hakemler!C103</f>
        <v>0</v>
      </c>
      <c r="D103" s="60"/>
      <c r="E103" s="64">
        <f>IF(ISBLANK(D103),0,ABS(Uzman_E!A$13-D103))</f>
        <v>0</v>
      </c>
      <c r="F103" s="55">
        <f>IF(ISBLANK(D103),0,INDEX(Tablo_E!$B$2:$CX$102,MATCH(ROUND(Uzman_E!A$13,1),Tablo_E!$A$2:$A$102,1),MATCH(ROUND(E103,1),Tablo_E!$B$1:$CX$1,1)))</f>
        <v>0</v>
      </c>
      <c r="G103" s="60"/>
      <c r="H103" s="64">
        <f>IF(ISBLANK(G103),0,ABS(Uzman_E!B$13-G103))</f>
        <v>0</v>
      </c>
      <c r="I103" s="55">
        <f>IF(ISBLANK(G103),0,INDEX(Tablo_E!$B$2:$CX$102,MATCH(ROUND(Uzman_E!B$13,1),Tablo_E!$A$2:$A$102,1),MATCH(ROUND(H103,1),Tablo_E!$B$1:$CX$1,1)))</f>
        <v>0</v>
      </c>
      <c r="J103" s="60"/>
      <c r="K103" s="64">
        <f>IF(ISBLANK(J103),0,ABS(Uzman_E!C$13-J103))</f>
        <v>0</v>
      </c>
      <c r="L103" s="55">
        <f>IF(ISBLANK(J103),0,INDEX(Tablo_E!$B$2:$CX$102,MATCH(ROUND(Uzman_E!C$13,1),Tablo_E!$A$2:$A$102,1),MATCH(ROUND(K103,1),Tablo_E!$B$1:$CX$1,1)))</f>
        <v>0</v>
      </c>
      <c r="M103" s="60"/>
      <c r="N103" s="64">
        <f>IF(ISBLANK(M103),0,ABS(Uzman_E!D$13-M103))</f>
        <v>0</v>
      </c>
      <c r="O103" s="55">
        <f>IF(ISBLANK(M103),0,INDEX(Tablo_E!$B$2:$CX$102,MATCH(ROUND(Uzman_E!D$13,1),Tablo_E!$A$2:$A$102,1),MATCH(ROUND(N103,1),Tablo_E!$B$1:$CX$1,1)))</f>
        <v>0</v>
      </c>
      <c r="P103" s="60"/>
      <c r="Q103" s="64">
        <f>IF(ISBLANK(P103),0,ABS(Uzman_E!E$13-P103))</f>
        <v>0</v>
      </c>
      <c r="R103" s="55">
        <f>IF(ISBLANK(P103),0,INDEX(Tablo_E!$B$2:$CX$102,MATCH(ROUND(Uzman_E!E$13,1),Tablo_E!$A$2:$A$102,1),MATCH(ROUND(Q103,1),Tablo_E!$B$1:$CX$1,1)))</f>
        <v>0</v>
      </c>
      <c r="S103" s="56">
        <f t="shared" si="1"/>
        <v>0</v>
      </c>
      <c r="T103" s="50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</row>
  </sheetData>
  <mergeCells count="9">
    <mergeCell ref="A1:S1"/>
    <mergeCell ref="P2:R2"/>
    <mergeCell ref="J2:L2"/>
    <mergeCell ref="G2:I2"/>
    <mergeCell ref="D2:F2"/>
    <mergeCell ref="A2:A3"/>
    <mergeCell ref="C2:C3"/>
    <mergeCell ref="M2:O2"/>
    <mergeCell ref="B2:B3"/>
  </mergeCells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IV103"/>
  <sheetViews>
    <sheetView showGridLines="0" workbookViewId="0">
      <selection activeCell="N4" sqref="N4"/>
    </sheetView>
  </sheetViews>
  <sheetFormatPr baseColWidth="10" defaultColWidth="8.83203125" defaultRowHeight="15" customHeight="1" x14ac:dyDescent="0.2"/>
  <cols>
    <col min="1" max="1" width="3.5" style="1" customWidth="1"/>
    <col min="2" max="3" width="13.5" style="1" customWidth="1"/>
    <col min="4" max="11" width="8.5" style="1" customWidth="1"/>
    <col min="12" max="13" width="10.5" style="1" customWidth="1"/>
    <col min="14" max="256" width="8.83203125" style="1" customWidth="1"/>
  </cols>
  <sheetData>
    <row r="1" spans="1:13" ht="18.75" customHeight="1" x14ac:dyDescent="0.2">
      <c r="A1" s="207" t="s">
        <v>47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9"/>
    </row>
    <row r="2" spans="1:13" ht="15.75" customHeight="1" x14ac:dyDescent="0.2">
      <c r="A2" s="77" t="s">
        <v>10</v>
      </c>
      <c r="B2" s="77" t="s">
        <v>11</v>
      </c>
      <c r="C2" s="77" t="s">
        <v>12</v>
      </c>
      <c r="D2" s="212" t="s">
        <v>48</v>
      </c>
      <c r="E2" s="213"/>
      <c r="F2" s="210" t="s">
        <v>49</v>
      </c>
      <c r="G2" s="211"/>
      <c r="H2" s="212" t="s">
        <v>34</v>
      </c>
      <c r="I2" s="213"/>
      <c r="J2" s="210" t="s">
        <v>50</v>
      </c>
      <c r="K2" s="211"/>
      <c r="L2" s="78" t="s">
        <v>51</v>
      </c>
      <c r="M2" s="78" t="s">
        <v>52</v>
      </c>
    </row>
    <row r="3" spans="1:13" ht="15.75" customHeight="1" x14ac:dyDescent="0.2">
      <c r="A3" s="79"/>
      <c r="B3" s="79"/>
      <c r="C3" s="79"/>
      <c r="D3" s="80" t="s">
        <v>34</v>
      </c>
      <c r="E3" s="81" t="s">
        <v>35</v>
      </c>
      <c r="F3" s="80" t="s">
        <v>34</v>
      </c>
      <c r="G3" s="81" t="s">
        <v>35</v>
      </c>
      <c r="H3" s="80" t="s">
        <v>34</v>
      </c>
      <c r="I3" s="81" t="s">
        <v>35</v>
      </c>
      <c r="J3" s="80" t="s">
        <v>34</v>
      </c>
      <c r="K3" s="81" t="s">
        <v>35</v>
      </c>
      <c r="L3" s="82"/>
      <c r="M3" s="82"/>
    </row>
    <row r="4" spans="1:13" ht="15.5" customHeight="1" x14ac:dyDescent="0.2">
      <c r="A4" s="51">
        <v>1</v>
      </c>
      <c r="B4" s="52" t="str">
        <f>Hakemler!B4</f>
        <v>Yalçıner</v>
      </c>
      <c r="C4" s="53" t="str">
        <f>Hakemler!C4</f>
        <v>Yunus Emre</v>
      </c>
      <c r="D4" s="83">
        <f>AtM_D!X4</f>
        <v>1</v>
      </c>
      <c r="E4" s="84">
        <f>AtM_E!S4</f>
        <v>0.88000000000000012</v>
      </c>
      <c r="F4" s="85">
        <f>KP_D!BQ4</f>
        <v>1</v>
      </c>
      <c r="G4" s="84">
        <f>KP_E!S4</f>
        <v>0.97</v>
      </c>
      <c r="H4" s="85">
        <f>D_D!BQ4</f>
        <v>0.92000000000000015</v>
      </c>
      <c r="I4" s="84">
        <f>D_E!S4</f>
        <v>1</v>
      </c>
      <c r="J4" s="85">
        <f>Y_D!BQ4</f>
        <v>0.94000000000000006</v>
      </c>
      <c r="K4" s="84">
        <f>Y_E!S4</f>
        <v>0.86</v>
      </c>
      <c r="L4" s="86">
        <f t="shared" ref="L4:L35" si="0">(D4+F4+H4+J4)/4</f>
        <v>0.96499999999999997</v>
      </c>
      <c r="M4" s="86">
        <f t="shared" ref="M4:M35" si="1">(E4+G4+I4+K4)/4</f>
        <v>0.92749999999999999</v>
      </c>
    </row>
    <row r="5" spans="1:13" ht="15" customHeight="1" x14ac:dyDescent="0.2">
      <c r="A5" s="57">
        <v>2</v>
      </c>
      <c r="B5" s="58" t="str">
        <f>Hakemler!B5</f>
        <v>Deneme</v>
      </c>
      <c r="C5" s="59" t="str">
        <f>Hakemler!C5</f>
        <v>Hakem</v>
      </c>
      <c r="D5" s="87">
        <f>AtM_D!X5</f>
        <v>0.5</v>
      </c>
      <c r="E5" s="88">
        <f>AtM_E!S5</f>
        <v>0.32</v>
      </c>
      <c r="F5" s="89">
        <f>KP_D!BQ5</f>
        <v>-0.54000000000000026</v>
      </c>
      <c r="G5" s="88">
        <f>KP_E!S5</f>
        <v>0.9</v>
      </c>
      <c r="H5" s="89">
        <f>D_D!BQ5</f>
        <v>-0.32000000000000017</v>
      </c>
      <c r="I5" s="88">
        <f>D_E!S5</f>
        <v>0</v>
      </c>
      <c r="J5" s="89">
        <f>Y_D!BQ5</f>
        <v>-0.54000000000000026</v>
      </c>
      <c r="K5" s="88">
        <f>Y_E!S5</f>
        <v>0</v>
      </c>
      <c r="L5" s="90">
        <f t="shared" si="0"/>
        <v>-0.22500000000000017</v>
      </c>
      <c r="M5" s="90">
        <f t="shared" si="1"/>
        <v>0.30499999999999999</v>
      </c>
    </row>
    <row r="6" spans="1:13" ht="15" customHeight="1" x14ac:dyDescent="0.2">
      <c r="A6" s="57">
        <v>3</v>
      </c>
      <c r="B6" s="58">
        <f>Hakemler!B6</f>
        <v>0</v>
      </c>
      <c r="C6" s="59">
        <f>Hakemler!C6</f>
        <v>0</v>
      </c>
      <c r="D6" s="87">
        <f>AtM_D!X6</f>
        <v>0.5</v>
      </c>
      <c r="E6" s="88">
        <f>AtM_E!S6</f>
        <v>0.2</v>
      </c>
      <c r="F6" s="89">
        <f>KP_D!BQ6</f>
        <v>-0.54000000000000026</v>
      </c>
      <c r="G6" s="88">
        <f>KP_E!S6</f>
        <v>0.89</v>
      </c>
      <c r="H6" s="89">
        <f>D_D!BQ6</f>
        <v>-0.32000000000000017</v>
      </c>
      <c r="I6" s="88">
        <f>D_E!S6</f>
        <v>0</v>
      </c>
      <c r="J6" s="89">
        <f>Y_D!BQ6</f>
        <v>-0.54000000000000026</v>
      </c>
      <c r="K6" s="88">
        <f>Y_E!S6</f>
        <v>0</v>
      </c>
      <c r="L6" s="90">
        <f t="shared" si="0"/>
        <v>-0.22500000000000017</v>
      </c>
      <c r="M6" s="90">
        <f t="shared" si="1"/>
        <v>0.27250000000000002</v>
      </c>
    </row>
    <row r="7" spans="1:13" ht="15" customHeight="1" x14ac:dyDescent="0.2">
      <c r="A7" s="57">
        <v>4</v>
      </c>
      <c r="B7" s="58">
        <f>Hakemler!B7</f>
        <v>0</v>
      </c>
      <c r="C7" s="59">
        <f>Hakemler!C7</f>
        <v>0</v>
      </c>
      <c r="D7" s="87">
        <f>AtM_D!X7</f>
        <v>0.5</v>
      </c>
      <c r="E7" s="88">
        <f>AtM_E!S7</f>
        <v>0.44000000000000006</v>
      </c>
      <c r="F7" s="89">
        <f>KP_D!BQ7</f>
        <v>-0.54000000000000026</v>
      </c>
      <c r="G7" s="88">
        <f>KP_E!S7</f>
        <v>0.91999999999999993</v>
      </c>
      <c r="H7" s="89">
        <f>D_D!BQ7</f>
        <v>-0.32000000000000017</v>
      </c>
      <c r="I7" s="88">
        <f>D_E!S7</f>
        <v>0</v>
      </c>
      <c r="J7" s="89">
        <f>Y_D!BQ7</f>
        <v>-0.54000000000000026</v>
      </c>
      <c r="K7" s="88">
        <f>Y_E!S7</f>
        <v>0</v>
      </c>
      <c r="L7" s="90">
        <f t="shared" si="0"/>
        <v>-0.22500000000000017</v>
      </c>
      <c r="M7" s="90">
        <f t="shared" si="1"/>
        <v>0.33999999999999997</v>
      </c>
    </row>
    <row r="8" spans="1:13" ht="15" customHeight="1" x14ac:dyDescent="0.2">
      <c r="A8" s="57">
        <v>5</v>
      </c>
      <c r="B8" s="58">
        <f>Hakemler!B8</f>
        <v>0</v>
      </c>
      <c r="C8" s="59">
        <f>Hakemler!C8</f>
        <v>0</v>
      </c>
      <c r="D8" s="87">
        <f>AtM_D!X8</f>
        <v>0.5</v>
      </c>
      <c r="E8" s="88">
        <f>AtM_E!S8</f>
        <v>0.32</v>
      </c>
      <c r="F8" s="89">
        <f>KP_D!BQ8</f>
        <v>-0.54000000000000026</v>
      </c>
      <c r="G8" s="88">
        <f>KP_E!S8</f>
        <v>0.94000000000000006</v>
      </c>
      <c r="H8" s="89">
        <f>D_D!BQ8</f>
        <v>-0.32000000000000017</v>
      </c>
      <c r="I8" s="88">
        <f>D_E!S8</f>
        <v>0</v>
      </c>
      <c r="J8" s="89">
        <f>Y_D!BQ8</f>
        <v>-0.54000000000000026</v>
      </c>
      <c r="K8" s="88">
        <f>Y_E!S8</f>
        <v>0</v>
      </c>
      <c r="L8" s="90">
        <f t="shared" si="0"/>
        <v>-0.22500000000000017</v>
      </c>
      <c r="M8" s="90">
        <f t="shared" si="1"/>
        <v>0.315</v>
      </c>
    </row>
    <row r="9" spans="1:13" ht="15" customHeight="1" x14ac:dyDescent="0.2">
      <c r="A9" s="57">
        <v>6</v>
      </c>
      <c r="B9" s="58">
        <f>Hakemler!B9</f>
        <v>0</v>
      </c>
      <c r="C9" s="59">
        <f>Hakemler!C9</f>
        <v>0</v>
      </c>
      <c r="D9" s="87">
        <f>AtM_D!X9</f>
        <v>0.5</v>
      </c>
      <c r="E9" s="88">
        <f>AtM_E!S9</f>
        <v>0.13999999999999999</v>
      </c>
      <c r="F9" s="89">
        <f>KP_D!BQ9</f>
        <v>-0.54000000000000026</v>
      </c>
      <c r="G9" s="88">
        <f>KP_E!S9</f>
        <v>0.94000000000000006</v>
      </c>
      <c r="H9" s="89">
        <f>D_D!BQ9</f>
        <v>-0.32000000000000017</v>
      </c>
      <c r="I9" s="88">
        <f>D_E!S9</f>
        <v>0</v>
      </c>
      <c r="J9" s="89">
        <f>Y_D!BQ9</f>
        <v>-0.54000000000000026</v>
      </c>
      <c r="K9" s="88">
        <f>Y_E!S9</f>
        <v>0</v>
      </c>
      <c r="L9" s="90">
        <f t="shared" si="0"/>
        <v>-0.22500000000000017</v>
      </c>
      <c r="M9" s="90">
        <f t="shared" si="1"/>
        <v>0.27</v>
      </c>
    </row>
    <row r="10" spans="1:13" ht="15" customHeight="1" x14ac:dyDescent="0.2">
      <c r="A10" s="57">
        <v>7</v>
      </c>
      <c r="B10" s="58">
        <f>Hakemler!B10</f>
        <v>0</v>
      </c>
      <c r="C10" s="59">
        <f>Hakemler!C10</f>
        <v>0</v>
      </c>
      <c r="D10" s="87">
        <f>AtM_D!X10</f>
        <v>0.5</v>
      </c>
      <c r="E10" s="88">
        <f>AtM_E!S10</f>
        <v>0.2</v>
      </c>
      <c r="F10" s="89">
        <f>KP_D!BQ10</f>
        <v>-0.54000000000000026</v>
      </c>
      <c r="G10" s="88">
        <f>KP_E!S10</f>
        <v>0.94000000000000006</v>
      </c>
      <c r="H10" s="89">
        <f>D_D!BQ10</f>
        <v>-0.32000000000000017</v>
      </c>
      <c r="I10" s="88">
        <f>D_E!S10</f>
        <v>0</v>
      </c>
      <c r="J10" s="89">
        <f>Y_D!BQ10</f>
        <v>-0.54000000000000026</v>
      </c>
      <c r="K10" s="88">
        <f>Y_E!S10</f>
        <v>0</v>
      </c>
      <c r="L10" s="90">
        <f t="shared" si="0"/>
        <v>-0.22500000000000017</v>
      </c>
      <c r="M10" s="90">
        <f t="shared" si="1"/>
        <v>0.28500000000000003</v>
      </c>
    </row>
    <row r="11" spans="1:13" ht="15" customHeight="1" x14ac:dyDescent="0.2">
      <c r="A11" s="57">
        <v>8</v>
      </c>
      <c r="B11" s="58">
        <f>Hakemler!B11</f>
        <v>0</v>
      </c>
      <c r="C11" s="59">
        <f>Hakemler!C11</f>
        <v>0</v>
      </c>
      <c r="D11" s="87">
        <f>AtM_D!X11</f>
        <v>0.5</v>
      </c>
      <c r="E11" s="88">
        <f>AtM_E!S11</f>
        <v>0</v>
      </c>
      <c r="F11" s="89">
        <f>KP_D!BQ11</f>
        <v>-0.54000000000000026</v>
      </c>
      <c r="G11" s="88">
        <f>KP_E!S11</f>
        <v>0.80999999999999994</v>
      </c>
      <c r="H11" s="89">
        <f>D_D!BQ11</f>
        <v>-0.32000000000000017</v>
      </c>
      <c r="I11" s="88">
        <f>D_E!S11</f>
        <v>0</v>
      </c>
      <c r="J11" s="89">
        <f>Y_D!BQ11</f>
        <v>-0.54000000000000026</v>
      </c>
      <c r="K11" s="88">
        <f>Y_E!S11</f>
        <v>0</v>
      </c>
      <c r="L11" s="90">
        <f t="shared" si="0"/>
        <v>-0.22500000000000017</v>
      </c>
      <c r="M11" s="90">
        <f t="shared" si="1"/>
        <v>0.20249999999999999</v>
      </c>
    </row>
    <row r="12" spans="1:13" ht="15" customHeight="1" x14ac:dyDescent="0.2">
      <c r="A12" s="57">
        <v>9</v>
      </c>
      <c r="B12" s="58">
        <f>Hakemler!B12</f>
        <v>0</v>
      </c>
      <c r="C12" s="59">
        <f>Hakemler!C12</f>
        <v>0</v>
      </c>
      <c r="D12" s="87">
        <f>AtM_D!X12</f>
        <v>0.5</v>
      </c>
      <c r="E12" s="88">
        <f>AtM_E!S12</f>
        <v>0</v>
      </c>
      <c r="F12" s="89">
        <f>KP_D!BQ12</f>
        <v>-0.54000000000000026</v>
      </c>
      <c r="G12" s="88">
        <f>KP_E!S12</f>
        <v>0.6</v>
      </c>
      <c r="H12" s="89">
        <f>D_D!BQ12</f>
        <v>-0.32000000000000017</v>
      </c>
      <c r="I12" s="88">
        <f>D_E!S12</f>
        <v>0</v>
      </c>
      <c r="J12" s="89">
        <f>Y_D!BQ12</f>
        <v>-0.54000000000000026</v>
      </c>
      <c r="K12" s="88">
        <f>Y_E!S12</f>
        <v>0</v>
      </c>
      <c r="L12" s="90">
        <f t="shared" si="0"/>
        <v>-0.22500000000000017</v>
      </c>
      <c r="M12" s="90">
        <f t="shared" si="1"/>
        <v>0.15</v>
      </c>
    </row>
    <row r="13" spans="1:13" ht="15" customHeight="1" x14ac:dyDescent="0.2">
      <c r="A13" s="57">
        <v>10</v>
      </c>
      <c r="B13" s="58">
        <f>Hakemler!B13</f>
        <v>0</v>
      </c>
      <c r="C13" s="59">
        <f>Hakemler!C13</f>
        <v>0</v>
      </c>
      <c r="D13" s="87">
        <f>AtM_D!X13</f>
        <v>0.5</v>
      </c>
      <c r="E13" s="88">
        <f>AtM_E!S13</f>
        <v>0.16</v>
      </c>
      <c r="F13" s="89">
        <f>KP_D!BQ13</f>
        <v>-0.54000000000000026</v>
      </c>
      <c r="G13" s="88">
        <f>KP_E!S13</f>
        <v>0.65</v>
      </c>
      <c r="H13" s="89">
        <f>D_D!BQ13</f>
        <v>-0.32000000000000017</v>
      </c>
      <c r="I13" s="88">
        <f>D_E!S13</f>
        <v>0</v>
      </c>
      <c r="J13" s="89">
        <f>Y_D!BQ13</f>
        <v>-0.54000000000000026</v>
      </c>
      <c r="K13" s="88">
        <f>Y_E!S13</f>
        <v>0</v>
      </c>
      <c r="L13" s="90">
        <f t="shared" si="0"/>
        <v>-0.22500000000000017</v>
      </c>
      <c r="M13" s="90">
        <f t="shared" si="1"/>
        <v>0.20250000000000001</v>
      </c>
    </row>
    <row r="14" spans="1:13" ht="15" customHeight="1" x14ac:dyDescent="0.2">
      <c r="A14" s="57">
        <v>11</v>
      </c>
      <c r="B14" s="58">
        <f>Hakemler!B14</f>
        <v>0</v>
      </c>
      <c r="C14" s="59">
        <f>Hakemler!C14</f>
        <v>0</v>
      </c>
      <c r="D14" s="87">
        <f>AtM_D!X14</f>
        <v>0.5</v>
      </c>
      <c r="E14" s="88">
        <f>AtM_E!S14</f>
        <v>0.18</v>
      </c>
      <c r="F14" s="89">
        <f>KP_D!BQ14</f>
        <v>-0.54000000000000026</v>
      </c>
      <c r="G14" s="88">
        <f>KP_E!S14</f>
        <v>0.52</v>
      </c>
      <c r="H14" s="89">
        <f>D_D!BQ14</f>
        <v>-0.32000000000000017</v>
      </c>
      <c r="I14" s="88">
        <f>D_E!S14</f>
        <v>0</v>
      </c>
      <c r="J14" s="89">
        <f>Y_D!BQ14</f>
        <v>-0.54000000000000026</v>
      </c>
      <c r="K14" s="88">
        <f>Y_E!S14</f>
        <v>0</v>
      </c>
      <c r="L14" s="90">
        <f t="shared" si="0"/>
        <v>-0.22500000000000017</v>
      </c>
      <c r="M14" s="90">
        <f t="shared" si="1"/>
        <v>0.17499999999999999</v>
      </c>
    </row>
    <row r="15" spans="1:13" ht="15" customHeight="1" x14ac:dyDescent="0.2">
      <c r="A15" s="57">
        <v>12</v>
      </c>
      <c r="B15" s="58">
        <f>Hakemler!B15</f>
        <v>0</v>
      </c>
      <c r="C15" s="59">
        <f>Hakemler!C15</f>
        <v>0</v>
      </c>
      <c r="D15" s="87">
        <f>AtM_D!X15</f>
        <v>0.5</v>
      </c>
      <c r="E15" s="88">
        <f>AtM_E!S15</f>
        <v>0.38</v>
      </c>
      <c r="F15" s="89">
        <f>KP_D!BQ15</f>
        <v>-0.54000000000000026</v>
      </c>
      <c r="G15" s="88">
        <f>KP_E!S15</f>
        <v>0.3</v>
      </c>
      <c r="H15" s="89">
        <f>D_D!BQ15</f>
        <v>-0.32000000000000017</v>
      </c>
      <c r="I15" s="88">
        <f>D_E!S15</f>
        <v>0</v>
      </c>
      <c r="J15" s="89">
        <f>Y_D!BQ15</f>
        <v>-0.54000000000000026</v>
      </c>
      <c r="K15" s="88">
        <f>Y_E!S15</f>
        <v>0</v>
      </c>
      <c r="L15" s="90">
        <f t="shared" si="0"/>
        <v>-0.22500000000000017</v>
      </c>
      <c r="M15" s="90">
        <f t="shared" si="1"/>
        <v>0.16999999999999998</v>
      </c>
    </row>
    <row r="16" spans="1:13" ht="15" customHeight="1" x14ac:dyDescent="0.2">
      <c r="A16" s="57">
        <v>13</v>
      </c>
      <c r="B16" s="58">
        <f>Hakemler!B16</f>
        <v>0</v>
      </c>
      <c r="C16" s="59">
        <f>Hakemler!C16</f>
        <v>0</v>
      </c>
      <c r="D16" s="87">
        <f>AtM_D!X16</f>
        <v>0.5</v>
      </c>
      <c r="E16" s="88">
        <f>AtM_E!S16</f>
        <v>0.2</v>
      </c>
      <c r="F16" s="89">
        <f>KP_D!BQ16</f>
        <v>-0.54000000000000026</v>
      </c>
      <c r="G16" s="88">
        <f>KP_E!S16</f>
        <v>0.27</v>
      </c>
      <c r="H16" s="89">
        <f>D_D!BQ16</f>
        <v>-0.32000000000000017</v>
      </c>
      <c r="I16" s="88">
        <f>D_E!S16</f>
        <v>0</v>
      </c>
      <c r="J16" s="89">
        <f>Y_D!BQ16</f>
        <v>-0.54000000000000026</v>
      </c>
      <c r="K16" s="88">
        <f>Y_E!S16</f>
        <v>0</v>
      </c>
      <c r="L16" s="90">
        <f t="shared" si="0"/>
        <v>-0.22500000000000017</v>
      </c>
      <c r="M16" s="90">
        <f t="shared" si="1"/>
        <v>0.11750000000000001</v>
      </c>
    </row>
    <row r="17" spans="1:13" ht="15" customHeight="1" x14ac:dyDescent="0.2">
      <c r="A17" s="57">
        <v>14</v>
      </c>
      <c r="B17" s="58">
        <f>Hakemler!B17</f>
        <v>0</v>
      </c>
      <c r="C17" s="59">
        <f>Hakemler!C17</f>
        <v>0</v>
      </c>
      <c r="D17" s="87">
        <f>AtM_D!X17</f>
        <v>0.5</v>
      </c>
      <c r="E17" s="88">
        <f>AtM_E!S17</f>
        <v>0.2</v>
      </c>
      <c r="F17" s="89">
        <f>KP_D!BQ17</f>
        <v>-0.54000000000000026</v>
      </c>
      <c r="G17" s="88">
        <f>KP_E!S17</f>
        <v>0</v>
      </c>
      <c r="H17" s="89">
        <f>D_D!BQ17</f>
        <v>-0.32000000000000017</v>
      </c>
      <c r="I17" s="88">
        <f>D_E!S17</f>
        <v>0</v>
      </c>
      <c r="J17" s="89">
        <f>Y_D!BQ17</f>
        <v>-0.54000000000000026</v>
      </c>
      <c r="K17" s="88">
        <f>Y_E!S17</f>
        <v>0</v>
      </c>
      <c r="L17" s="90">
        <f t="shared" si="0"/>
        <v>-0.22500000000000017</v>
      </c>
      <c r="M17" s="90">
        <f t="shared" si="1"/>
        <v>0.05</v>
      </c>
    </row>
    <row r="18" spans="1:13" ht="15" customHeight="1" x14ac:dyDescent="0.2">
      <c r="A18" s="57">
        <v>15</v>
      </c>
      <c r="B18" s="58">
        <f>Hakemler!B18</f>
        <v>0</v>
      </c>
      <c r="C18" s="59">
        <f>Hakemler!C18</f>
        <v>0</v>
      </c>
      <c r="D18" s="87">
        <f>AtM_D!X18</f>
        <v>0.5</v>
      </c>
      <c r="E18" s="88">
        <f>AtM_E!S18</f>
        <v>0.2</v>
      </c>
      <c r="F18" s="89">
        <f>KP_D!BQ18</f>
        <v>-0.54000000000000026</v>
      </c>
      <c r="G18" s="88">
        <f>KP_E!S18</f>
        <v>0</v>
      </c>
      <c r="H18" s="89">
        <f>D_D!BQ18</f>
        <v>-0.32000000000000017</v>
      </c>
      <c r="I18" s="88">
        <f>D_E!S18</f>
        <v>0</v>
      </c>
      <c r="J18" s="89">
        <f>Y_D!BQ18</f>
        <v>-0.54000000000000026</v>
      </c>
      <c r="K18" s="88">
        <f>Y_E!S18</f>
        <v>0</v>
      </c>
      <c r="L18" s="90">
        <f t="shared" si="0"/>
        <v>-0.22500000000000017</v>
      </c>
      <c r="M18" s="90">
        <f t="shared" si="1"/>
        <v>0.05</v>
      </c>
    </row>
    <row r="19" spans="1:13" ht="15" customHeight="1" x14ac:dyDescent="0.2">
      <c r="A19" s="57">
        <v>16</v>
      </c>
      <c r="B19" s="58">
        <f>Hakemler!B19</f>
        <v>0</v>
      </c>
      <c r="C19" s="59">
        <f>Hakemler!C19</f>
        <v>0</v>
      </c>
      <c r="D19" s="87">
        <f>AtM_D!X19</f>
        <v>0.5</v>
      </c>
      <c r="E19" s="88">
        <f>AtM_E!S19</f>
        <v>0.2</v>
      </c>
      <c r="F19" s="89">
        <f>KP_D!BQ19</f>
        <v>-0.54000000000000026</v>
      </c>
      <c r="G19" s="88">
        <f>KP_E!S19</f>
        <v>0</v>
      </c>
      <c r="H19" s="89">
        <f>D_D!BQ19</f>
        <v>-0.32000000000000017</v>
      </c>
      <c r="I19" s="88">
        <f>D_E!S19</f>
        <v>0</v>
      </c>
      <c r="J19" s="89">
        <f>Y_D!BQ19</f>
        <v>-0.54000000000000026</v>
      </c>
      <c r="K19" s="88">
        <f>Y_E!S19</f>
        <v>0</v>
      </c>
      <c r="L19" s="90">
        <f t="shared" si="0"/>
        <v>-0.22500000000000017</v>
      </c>
      <c r="M19" s="90">
        <f t="shared" si="1"/>
        <v>0.05</v>
      </c>
    </row>
    <row r="20" spans="1:13" ht="15" customHeight="1" x14ac:dyDescent="0.2">
      <c r="A20" s="57">
        <v>17</v>
      </c>
      <c r="B20" s="58">
        <f>Hakemler!B20</f>
        <v>0</v>
      </c>
      <c r="C20" s="59">
        <f>Hakemler!C20</f>
        <v>0</v>
      </c>
      <c r="D20" s="87">
        <f>AtM_D!X20</f>
        <v>0.5</v>
      </c>
      <c r="E20" s="88">
        <f>AtM_E!S20</f>
        <v>0.2</v>
      </c>
      <c r="F20" s="89">
        <f>KP_D!BQ20</f>
        <v>-0.54000000000000026</v>
      </c>
      <c r="G20" s="88">
        <f>KP_E!S20</f>
        <v>0</v>
      </c>
      <c r="H20" s="89">
        <f>D_D!BQ20</f>
        <v>-0.32000000000000017</v>
      </c>
      <c r="I20" s="88">
        <f>D_E!S20</f>
        <v>0</v>
      </c>
      <c r="J20" s="89">
        <f>Y_D!BQ20</f>
        <v>-0.54000000000000026</v>
      </c>
      <c r="K20" s="88">
        <f>Y_E!S20</f>
        <v>0</v>
      </c>
      <c r="L20" s="90">
        <f t="shared" si="0"/>
        <v>-0.22500000000000017</v>
      </c>
      <c r="M20" s="90">
        <f t="shared" si="1"/>
        <v>0.05</v>
      </c>
    </row>
    <row r="21" spans="1:13" ht="15" customHeight="1" x14ac:dyDescent="0.2">
      <c r="A21" s="57">
        <v>18</v>
      </c>
      <c r="B21" s="58">
        <f>Hakemler!B21</f>
        <v>0</v>
      </c>
      <c r="C21" s="59">
        <f>Hakemler!C21</f>
        <v>0</v>
      </c>
      <c r="D21" s="87">
        <f>AtM_D!X21</f>
        <v>0.5</v>
      </c>
      <c r="E21" s="88">
        <f>AtM_E!S21</f>
        <v>0.18</v>
      </c>
      <c r="F21" s="89">
        <f>KP_D!BQ21</f>
        <v>-0.54000000000000026</v>
      </c>
      <c r="G21" s="88">
        <f>KP_E!S21</f>
        <v>0</v>
      </c>
      <c r="H21" s="89">
        <f>D_D!BQ21</f>
        <v>-0.32000000000000017</v>
      </c>
      <c r="I21" s="88">
        <f>D_E!S21</f>
        <v>0</v>
      </c>
      <c r="J21" s="89">
        <f>Y_D!BQ21</f>
        <v>-0.54000000000000026</v>
      </c>
      <c r="K21" s="88">
        <f>Y_E!S21</f>
        <v>0</v>
      </c>
      <c r="L21" s="90">
        <f t="shared" si="0"/>
        <v>-0.22500000000000017</v>
      </c>
      <c r="M21" s="90">
        <f t="shared" si="1"/>
        <v>4.4999999999999998E-2</v>
      </c>
    </row>
    <row r="22" spans="1:13" ht="15" customHeight="1" x14ac:dyDescent="0.2">
      <c r="A22" s="57">
        <v>19</v>
      </c>
      <c r="B22" s="58">
        <f>Hakemler!B22</f>
        <v>0</v>
      </c>
      <c r="C22" s="59">
        <f>Hakemler!C22</f>
        <v>0</v>
      </c>
      <c r="D22" s="87">
        <f>AtM_D!X22</f>
        <v>0.5</v>
      </c>
      <c r="E22" s="88">
        <f>AtM_E!S22</f>
        <v>0</v>
      </c>
      <c r="F22" s="89">
        <f>KP_D!BQ22</f>
        <v>-0.54000000000000026</v>
      </c>
      <c r="G22" s="88">
        <f>KP_E!S22</f>
        <v>0</v>
      </c>
      <c r="H22" s="89">
        <f>D_D!BQ22</f>
        <v>-0.32000000000000017</v>
      </c>
      <c r="I22" s="88">
        <f>D_E!S22</f>
        <v>0</v>
      </c>
      <c r="J22" s="89">
        <f>Y_D!BQ22</f>
        <v>-0.54000000000000026</v>
      </c>
      <c r="K22" s="88">
        <f>Y_E!S22</f>
        <v>0</v>
      </c>
      <c r="L22" s="90">
        <f t="shared" si="0"/>
        <v>-0.22500000000000017</v>
      </c>
      <c r="M22" s="90">
        <f t="shared" si="1"/>
        <v>0</v>
      </c>
    </row>
    <row r="23" spans="1:13" ht="15" customHeight="1" x14ac:dyDescent="0.2">
      <c r="A23" s="57">
        <v>20</v>
      </c>
      <c r="B23" s="58">
        <f>Hakemler!B23</f>
        <v>0</v>
      </c>
      <c r="C23" s="59">
        <f>Hakemler!C23</f>
        <v>0</v>
      </c>
      <c r="D23" s="87">
        <f>AtM_D!X23</f>
        <v>0.5</v>
      </c>
      <c r="E23" s="88">
        <f>AtM_E!S23</f>
        <v>0</v>
      </c>
      <c r="F23" s="89">
        <f>KP_D!BQ23</f>
        <v>-0.54000000000000026</v>
      </c>
      <c r="G23" s="88">
        <f>KP_E!S23</f>
        <v>0</v>
      </c>
      <c r="H23" s="89">
        <f>D_D!BQ23</f>
        <v>-0.32000000000000017</v>
      </c>
      <c r="I23" s="88">
        <f>D_E!S23</f>
        <v>0</v>
      </c>
      <c r="J23" s="89">
        <f>Y_D!BQ23</f>
        <v>-0.54000000000000026</v>
      </c>
      <c r="K23" s="88">
        <f>Y_E!S23</f>
        <v>0</v>
      </c>
      <c r="L23" s="90">
        <f t="shared" si="0"/>
        <v>-0.22500000000000017</v>
      </c>
      <c r="M23" s="90">
        <f t="shared" si="1"/>
        <v>0</v>
      </c>
    </row>
    <row r="24" spans="1:13" ht="15" customHeight="1" x14ac:dyDescent="0.2">
      <c r="A24" s="57">
        <v>21</v>
      </c>
      <c r="B24" s="58">
        <f>Hakemler!B24</f>
        <v>0</v>
      </c>
      <c r="C24" s="59">
        <f>Hakemler!C24</f>
        <v>0</v>
      </c>
      <c r="D24" s="87">
        <f>AtM_D!X24</f>
        <v>0.5</v>
      </c>
      <c r="E24" s="88">
        <f>AtM_E!S24</f>
        <v>0</v>
      </c>
      <c r="F24" s="89">
        <f>KP_D!BQ24</f>
        <v>-0.54000000000000026</v>
      </c>
      <c r="G24" s="88">
        <f>KP_E!S24</f>
        <v>0</v>
      </c>
      <c r="H24" s="89">
        <f>D_D!BQ24</f>
        <v>-0.32000000000000017</v>
      </c>
      <c r="I24" s="88">
        <f>D_E!S24</f>
        <v>0</v>
      </c>
      <c r="J24" s="89">
        <f>Y_D!BQ24</f>
        <v>-0.54000000000000026</v>
      </c>
      <c r="K24" s="88">
        <f>Y_E!S24</f>
        <v>0</v>
      </c>
      <c r="L24" s="90">
        <f t="shared" si="0"/>
        <v>-0.22500000000000017</v>
      </c>
      <c r="M24" s="90">
        <f t="shared" si="1"/>
        <v>0</v>
      </c>
    </row>
    <row r="25" spans="1:13" ht="15" customHeight="1" x14ac:dyDescent="0.2">
      <c r="A25" s="57">
        <v>22</v>
      </c>
      <c r="B25" s="58">
        <f>Hakemler!B25</f>
        <v>0</v>
      </c>
      <c r="C25" s="59">
        <f>Hakemler!C25</f>
        <v>0</v>
      </c>
      <c r="D25" s="87">
        <f>AtM_D!X25</f>
        <v>0.5</v>
      </c>
      <c r="E25" s="88">
        <f>AtM_E!S25</f>
        <v>0</v>
      </c>
      <c r="F25" s="89">
        <f>KP_D!BQ25</f>
        <v>-0.54000000000000026</v>
      </c>
      <c r="G25" s="88">
        <f>KP_E!S25</f>
        <v>0</v>
      </c>
      <c r="H25" s="89">
        <f>D_D!BQ25</f>
        <v>-0.32000000000000017</v>
      </c>
      <c r="I25" s="88">
        <f>D_E!S25</f>
        <v>0</v>
      </c>
      <c r="J25" s="89">
        <f>Y_D!BQ25</f>
        <v>-0.54000000000000026</v>
      </c>
      <c r="K25" s="88">
        <f>Y_E!S25</f>
        <v>0</v>
      </c>
      <c r="L25" s="90">
        <f t="shared" si="0"/>
        <v>-0.22500000000000017</v>
      </c>
      <c r="M25" s="90">
        <f t="shared" si="1"/>
        <v>0</v>
      </c>
    </row>
    <row r="26" spans="1:13" ht="15" customHeight="1" x14ac:dyDescent="0.2">
      <c r="A26" s="57">
        <v>23</v>
      </c>
      <c r="B26" s="58">
        <f>Hakemler!B26</f>
        <v>0</v>
      </c>
      <c r="C26" s="59">
        <f>Hakemler!C26</f>
        <v>0</v>
      </c>
      <c r="D26" s="87">
        <f>AtM_D!X26</f>
        <v>0.5</v>
      </c>
      <c r="E26" s="88">
        <f>AtM_E!S26</f>
        <v>0</v>
      </c>
      <c r="F26" s="89">
        <f>KP_D!BQ26</f>
        <v>-0.54000000000000026</v>
      </c>
      <c r="G26" s="88">
        <f>KP_E!S26</f>
        <v>0</v>
      </c>
      <c r="H26" s="89">
        <f>D_D!BQ26</f>
        <v>-0.32000000000000017</v>
      </c>
      <c r="I26" s="88">
        <f>D_E!S26</f>
        <v>0</v>
      </c>
      <c r="J26" s="89">
        <f>Y_D!BQ26</f>
        <v>-0.54000000000000026</v>
      </c>
      <c r="K26" s="88">
        <f>Y_E!S26</f>
        <v>0</v>
      </c>
      <c r="L26" s="90">
        <f t="shared" si="0"/>
        <v>-0.22500000000000017</v>
      </c>
      <c r="M26" s="90">
        <f t="shared" si="1"/>
        <v>0</v>
      </c>
    </row>
    <row r="27" spans="1:13" ht="15" customHeight="1" x14ac:dyDescent="0.2">
      <c r="A27" s="57">
        <v>24</v>
      </c>
      <c r="B27" s="58">
        <f>Hakemler!B27</f>
        <v>0</v>
      </c>
      <c r="C27" s="59">
        <f>Hakemler!C27</f>
        <v>0</v>
      </c>
      <c r="D27" s="87">
        <f>AtM_D!X27</f>
        <v>0.5</v>
      </c>
      <c r="E27" s="88">
        <f>AtM_E!S27</f>
        <v>0</v>
      </c>
      <c r="F27" s="89">
        <f>KP_D!BQ27</f>
        <v>-0.54000000000000026</v>
      </c>
      <c r="G27" s="88">
        <f>KP_E!S27</f>
        <v>0</v>
      </c>
      <c r="H27" s="89">
        <f>D_D!BQ27</f>
        <v>-0.32000000000000017</v>
      </c>
      <c r="I27" s="88">
        <f>D_E!S27</f>
        <v>0</v>
      </c>
      <c r="J27" s="89">
        <f>Y_D!BQ27</f>
        <v>-0.54000000000000026</v>
      </c>
      <c r="K27" s="88">
        <f>Y_E!S27</f>
        <v>0</v>
      </c>
      <c r="L27" s="90">
        <f t="shared" si="0"/>
        <v>-0.22500000000000017</v>
      </c>
      <c r="M27" s="90">
        <f t="shared" si="1"/>
        <v>0</v>
      </c>
    </row>
    <row r="28" spans="1:13" ht="15" customHeight="1" x14ac:dyDescent="0.2">
      <c r="A28" s="57">
        <v>25</v>
      </c>
      <c r="B28" s="58">
        <f>Hakemler!B28</f>
        <v>0</v>
      </c>
      <c r="C28" s="59">
        <f>Hakemler!C28</f>
        <v>0</v>
      </c>
      <c r="D28" s="87">
        <f>AtM_D!X28</f>
        <v>0.5</v>
      </c>
      <c r="E28" s="88">
        <f>AtM_E!S28</f>
        <v>0</v>
      </c>
      <c r="F28" s="89">
        <f>KP_D!BQ28</f>
        <v>-0.54000000000000026</v>
      </c>
      <c r="G28" s="88">
        <f>KP_E!S28</f>
        <v>0</v>
      </c>
      <c r="H28" s="89">
        <f>D_D!BQ28</f>
        <v>-0.32000000000000017</v>
      </c>
      <c r="I28" s="88">
        <f>D_E!S28</f>
        <v>0</v>
      </c>
      <c r="J28" s="89">
        <f>Y_D!BQ28</f>
        <v>-0.54000000000000026</v>
      </c>
      <c r="K28" s="88">
        <f>Y_E!S28</f>
        <v>0</v>
      </c>
      <c r="L28" s="90">
        <f t="shared" si="0"/>
        <v>-0.22500000000000017</v>
      </c>
      <c r="M28" s="90">
        <f t="shared" si="1"/>
        <v>0</v>
      </c>
    </row>
    <row r="29" spans="1:13" ht="15" customHeight="1" x14ac:dyDescent="0.2">
      <c r="A29" s="57">
        <v>26</v>
      </c>
      <c r="B29" s="58">
        <f>Hakemler!B29</f>
        <v>0</v>
      </c>
      <c r="C29" s="59">
        <f>Hakemler!C29</f>
        <v>0</v>
      </c>
      <c r="D29" s="87">
        <f>AtM_D!X29</f>
        <v>0.5</v>
      </c>
      <c r="E29" s="88">
        <f>AtM_E!S29</f>
        <v>0</v>
      </c>
      <c r="F29" s="89">
        <f>KP_D!BQ29</f>
        <v>-0.54000000000000026</v>
      </c>
      <c r="G29" s="88">
        <f>KP_E!S29</f>
        <v>0</v>
      </c>
      <c r="H29" s="89">
        <f>D_D!BQ29</f>
        <v>-0.32000000000000017</v>
      </c>
      <c r="I29" s="88">
        <f>D_E!S29</f>
        <v>0</v>
      </c>
      <c r="J29" s="89">
        <f>Y_D!BQ29</f>
        <v>-0.54000000000000026</v>
      </c>
      <c r="K29" s="88">
        <f>Y_E!S29</f>
        <v>0</v>
      </c>
      <c r="L29" s="90">
        <f t="shared" si="0"/>
        <v>-0.22500000000000017</v>
      </c>
      <c r="M29" s="90">
        <f t="shared" si="1"/>
        <v>0</v>
      </c>
    </row>
    <row r="30" spans="1:13" ht="15" customHeight="1" x14ac:dyDescent="0.2">
      <c r="A30" s="57">
        <v>27</v>
      </c>
      <c r="B30" s="58">
        <f>Hakemler!B30</f>
        <v>0</v>
      </c>
      <c r="C30" s="59">
        <f>Hakemler!C30</f>
        <v>0</v>
      </c>
      <c r="D30" s="87">
        <f>AtM_D!X30</f>
        <v>0.5</v>
      </c>
      <c r="E30" s="88">
        <f>AtM_E!S30</f>
        <v>0</v>
      </c>
      <c r="F30" s="89">
        <f>KP_D!BQ30</f>
        <v>-0.54000000000000026</v>
      </c>
      <c r="G30" s="88">
        <f>KP_E!S30</f>
        <v>0</v>
      </c>
      <c r="H30" s="89">
        <f>D_D!BQ30</f>
        <v>-0.32000000000000017</v>
      </c>
      <c r="I30" s="88">
        <f>D_E!S30</f>
        <v>0</v>
      </c>
      <c r="J30" s="89">
        <f>Y_D!BQ30</f>
        <v>-0.54000000000000026</v>
      </c>
      <c r="K30" s="88">
        <f>Y_E!S30</f>
        <v>0</v>
      </c>
      <c r="L30" s="90">
        <f t="shared" si="0"/>
        <v>-0.22500000000000017</v>
      </c>
      <c r="M30" s="90">
        <f t="shared" si="1"/>
        <v>0</v>
      </c>
    </row>
    <row r="31" spans="1:13" ht="15" customHeight="1" x14ac:dyDescent="0.2">
      <c r="A31" s="57">
        <v>28</v>
      </c>
      <c r="B31" s="58">
        <f>Hakemler!B31</f>
        <v>0</v>
      </c>
      <c r="C31" s="59">
        <f>Hakemler!C31</f>
        <v>0</v>
      </c>
      <c r="D31" s="87">
        <f>AtM_D!X31</f>
        <v>0.5</v>
      </c>
      <c r="E31" s="88">
        <f>AtM_E!S31</f>
        <v>0</v>
      </c>
      <c r="F31" s="89">
        <f>KP_D!BQ31</f>
        <v>-0.54000000000000026</v>
      </c>
      <c r="G31" s="88">
        <f>KP_E!S31</f>
        <v>0</v>
      </c>
      <c r="H31" s="89">
        <f>D_D!BQ31</f>
        <v>-0.32000000000000017</v>
      </c>
      <c r="I31" s="88">
        <f>D_E!S31</f>
        <v>0</v>
      </c>
      <c r="J31" s="89">
        <f>Y_D!BQ31</f>
        <v>-0.54000000000000026</v>
      </c>
      <c r="K31" s="88">
        <f>Y_E!S31</f>
        <v>0</v>
      </c>
      <c r="L31" s="90">
        <f t="shared" si="0"/>
        <v>-0.22500000000000017</v>
      </c>
      <c r="M31" s="90">
        <f t="shared" si="1"/>
        <v>0</v>
      </c>
    </row>
    <row r="32" spans="1:13" ht="15" customHeight="1" x14ac:dyDescent="0.2">
      <c r="A32" s="57">
        <v>29</v>
      </c>
      <c r="B32" s="58">
        <f>Hakemler!B32</f>
        <v>0</v>
      </c>
      <c r="C32" s="59">
        <f>Hakemler!C32</f>
        <v>0</v>
      </c>
      <c r="D32" s="87">
        <f>AtM_D!X32</f>
        <v>0.5</v>
      </c>
      <c r="E32" s="88">
        <f>AtM_E!S32</f>
        <v>0</v>
      </c>
      <c r="F32" s="89">
        <f>KP_D!BQ32</f>
        <v>-0.54000000000000026</v>
      </c>
      <c r="G32" s="88">
        <f>KP_E!S32</f>
        <v>0</v>
      </c>
      <c r="H32" s="89">
        <f>D_D!BQ32</f>
        <v>-0.32000000000000017</v>
      </c>
      <c r="I32" s="88">
        <f>D_E!S32</f>
        <v>0</v>
      </c>
      <c r="J32" s="89">
        <f>Y_D!BQ32</f>
        <v>-0.54000000000000026</v>
      </c>
      <c r="K32" s="88">
        <f>Y_E!S32</f>
        <v>0</v>
      </c>
      <c r="L32" s="90">
        <f t="shared" si="0"/>
        <v>-0.22500000000000017</v>
      </c>
      <c r="M32" s="90">
        <f t="shared" si="1"/>
        <v>0</v>
      </c>
    </row>
    <row r="33" spans="1:13" ht="15" customHeight="1" x14ac:dyDescent="0.2">
      <c r="A33" s="57">
        <v>30</v>
      </c>
      <c r="B33" s="58">
        <f>Hakemler!B33</f>
        <v>0</v>
      </c>
      <c r="C33" s="59">
        <f>Hakemler!C33</f>
        <v>0</v>
      </c>
      <c r="D33" s="87">
        <f>AtM_D!X33</f>
        <v>0.5</v>
      </c>
      <c r="E33" s="88">
        <f>AtM_E!S33</f>
        <v>0</v>
      </c>
      <c r="F33" s="89">
        <f>KP_D!BQ33</f>
        <v>-0.54000000000000026</v>
      </c>
      <c r="G33" s="88">
        <f>KP_E!S33</f>
        <v>0</v>
      </c>
      <c r="H33" s="89">
        <f>D_D!BQ33</f>
        <v>-0.32000000000000017</v>
      </c>
      <c r="I33" s="88">
        <f>D_E!S33</f>
        <v>0</v>
      </c>
      <c r="J33" s="89">
        <f>Y_D!BQ33</f>
        <v>-0.54000000000000026</v>
      </c>
      <c r="K33" s="88">
        <f>Y_E!S33</f>
        <v>0</v>
      </c>
      <c r="L33" s="90">
        <f t="shared" si="0"/>
        <v>-0.22500000000000017</v>
      </c>
      <c r="M33" s="90">
        <f t="shared" si="1"/>
        <v>0</v>
      </c>
    </row>
    <row r="34" spans="1:13" ht="15" customHeight="1" x14ac:dyDescent="0.2">
      <c r="A34" s="57">
        <v>31</v>
      </c>
      <c r="B34" s="58">
        <f>Hakemler!B34</f>
        <v>0</v>
      </c>
      <c r="C34" s="59">
        <f>Hakemler!C34</f>
        <v>0</v>
      </c>
      <c r="D34" s="87">
        <f>AtM_D!X34</f>
        <v>0.5</v>
      </c>
      <c r="E34" s="88">
        <f>AtM_E!S34</f>
        <v>0</v>
      </c>
      <c r="F34" s="89">
        <f>KP_D!BQ34</f>
        <v>-0.54000000000000026</v>
      </c>
      <c r="G34" s="88">
        <f>KP_E!S34</f>
        <v>0</v>
      </c>
      <c r="H34" s="89">
        <f>D_D!BQ34</f>
        <v>-0.32000000000000017</v>
      </c>
      <c r="I34" s="88">
        <f>D_E!S34</f>
        <v>0</v>
      </c>
      <c r="J34" s="89">
        <f>Y_D!BQ34</f>
        <v>-0.54000000000000026</v>
      </c>
      <c r="K34" s="88">
        <f>Y_E!S34</f>
        <v>0</v>
      </c>
      <c r="L34" s="90">
        <f t="shared" si="0"/>
        <v>-0.22500000000000017</v>
      </c>
      <c r="M34" s="90">
        <f t="shared" si="1"/>
        <v>0</v>
      </c>
    </row>
    <row r="35" spans="1:13" ht="15" customHeight="1" x14ac:dyDescent="0.2">
      <c r="A35" s="57">
        <v>32</v>
      </c>
      <c r="B35" s="58">
        <f>Hakemler!B35</f>
        <v>0</v>
      </c>
      <c r="C35" s="59">
        <f>Hakemler!C35</f>
        <v>0</v>
      </c>
      <c r="D35" s="87">
        <f>AtM_D!X35</f>
        <v>0.5</v>
      </c>
      <c r="E35" s="88">
        <f>AtM_E!S35</f>
        <v>0</v>
      </c>
      <c r="F35" s="89">
        <f>KP_D!BQ35</f>
        <v>-0.54000000000000026</v>
      </c>
      <c r="G35" s="88">
        <f>KP_E!S35</f>
        <v>0</v>
      </c>
      <c r="H35" s="89">
        <f>D_D!BQ35</f>
        <v>-0.32000000000000017</v>
      </c>
      <c r="I35" s="88">
        <f>D_E!S35</f>
        <v>0</v>
      </c>
      <c r="J35" s="89">
        <f>Y_D!BQ35</f>
        <v>-0.54000000000000026</v>
      </c>
      <c r="K35" s="88">
        <f>Y_E!S35</f>
        <v>0</v>
      </c>
      <c r="L35" s="90">
        <f t="shared" si="0"/>
        <v>-0.22500000000000017</v>
      </c>
      <c r="M35" s="90">
        <f t="shared" si="1"/>
        <v>0</v>
      </c>
    </row>
    <row r="36" spans="1:13" ht="15" customHeight="1" x14ac:dyDescent="0.2">
      <c r="A36" s="57">
        <v>33</v>
      </c>
      <c r="B36" s="58">
        <f>Hakemler!B36</f>
        <v>0</v>
      </c>
      <c r="C36" s="59">
        <f>Hakemler!C36</f>
        <v>0</v>
      </c>
      <c r="D36" s="87">
        <f>AtM_D!X36</f>
        <v>0.5</v>
      </c>
      <c r="E36" s="88">
        <f>AtM_E!S36</f>
        <v>0</v>
      </c>
      <c r="F36" s="89">
        <f>KP_D!BQ36</f>
        <v>-0.54000000000000026</v>
      </c>
      <c r="G36" s="88">
        <f>KP_E!S36</f>
        <v>0</v>
      </c>
      <c r="H36" s="89">
        <f>D_D!BQ36</f>
        <v>-0.32000000000000017</v>
      </c>
      <c r="I36" s="88">
        <f>D_E!S36</f>
        <v>0</v>
      </c>
      <c r="J36" s="89">
        <f>Y_D!BQ36</f>
        <v>-0.54000000000000026</v>
      </c>
      <c r="K36" s="88">
        <f>Y_E!S36</f>
        <v>0</v>
      </c>
      <c r="L36" s="90">
        <f t="shared" ref="L36:L67" si="2">(D36+F36+H36+J36)/4</f>
        <v>-0.22500000000000017</v>
      </c>
      <c r="M36" s="90">
        <f t="shared" ref="M36:M67" si="3">(E36+G36+I36+K36)/4</f>
        <v>0</v>
      </c>
    </row>
    <row r="37" spans="1:13" ht="15" customHeight="1" x14ac:dyDescent="0.2">
      <c r="A37" s="57">
        <v>34</v>
      </c>
      <c r="B37" s="58">
        <f>Hakemler!B37</f>
        <v>0</v>
      </c>
      <c r="C37" s="59">
        <f>Hakemler!C37</f>
        <v>0</v>
      </c>
      <c r="D37" s="87">
        <f>AtM_D!X37</f>
        <v>0.5</v>
      </c>
      <c r="E37" s="88">
        <f>AtM_E!S37</f>
        <v>0</v>
      </c>
      <c r="F37" s="89">
        <f>KP_D!BQ37</f>
        <v>-0.54000000000000026</v>
      </c>
      <c r="G37" s="88">
        <f>KP_E!S37</f>
        <v>0</v>
      </c>
      <c r="H37" s="89">
        <f>D_D!BQ37</f>
        <v>-0.32000000000000017</v>
      </c>
      <c r="I37" s="88">
        <f>D_E!S37</f>
        <v>0</v>
      </c>
      <c r="J37" s="89">
        <f>Y_D!BQ37</f>
        <v>-0.54000000000000026</v>
      </c>
      <c r="K37" s="88">
        <f>Y_E!S37</f>
        <v>0</v>
      </c>
      <c r="L37" s="90">
        <f t="shared" si="2"/>
        <v>-0.22500000000000017</v>
      </c>
      <c r="M37" s="90">
        <f t="shared" si="3"/>
        <v>0</v>
      </c>
    </row>
    <row r="38" spans="1:13" ht="15" customHeight="1" x14ac:dyDescent="0.2">
      <c r="A38" s="57">
        <v>35</v>
      </c>
      <c r="B38" s="58">
        <f>Hakemler!B38</f>
        <v>0</v>
      </c>
      <c r="C38" s="59">
        <f>Hakemler!C38</f>
        <v>0</v>
      </c>
      <c r="D38" s="87">
        <f>AtM_D!X38</f>
        <v>0.5</v>
      </c>
      <c r="E38" s="88">
        <f>AtM_E!S38</f>
        <v>0</v>
      </c>
      <c r="F38" s="89">
        <f>KP_D!BQ38</f>
        <v>-0.54000000000000026</v>
      </c>
      <c r="G38" s="88">
        <f>KP_E!S38</f>
        <v>0</v>
      </c>
      <c r="H38" s="89">
        <f>D_D!BQ38</f>
        <v>-0.32000000000000017</v>
      </c>
      <c r="I38" s="88">
        <f>D_E!S38</f>
        <v>0</v>
      </c>
      <c r="J38" s="89">
        <f>Y_D!BQ38</f>
        <v>-0.54000000000000026</v>
      </c>
      <c r="K38" s="88">
        <f>Y_E!S38</f>
        <v>0</v>
      </c>
      <c r="L38" s="90">
        <f t="shared" si="2"/>
        <v>-0.22500000000000017</v>
      </c>
      <c r="M38" s="90">
        <f t="shared" si="3"/>
        <v>0</v>
      </c>
    </row>
    <row r="39" spans="1:13" ht="15" customHeight="1" x14ac:dyDescent="0.2">
      <c r="A39" s="57">
        <v>36</v>
      </c>
      <c r="B39" s="58">
        <f>Hakemler!B39</f>
        <v>0</v>
      </c>
      <c r="C39" s="59">
        <f>Hakemler!C39</f>
        <v>0</v>
      </c>
      <c r="D39" s="87">
        <f>AtM_D!X39</f>
        <v>0.5</v>
      </c>
      <c r="E39" s="88">
        <f>AtM_E!S39</f>
        <v>0</v>
      </c>
      <c r="F39" s="89">
        <f>KP_D!BQ39</f>
        <v>-0.54000000000000026</v>
      </c>
      <c r="G39" s="88">
        <f>KP_E!S39</f>
        <v>0</v>
      </c>
      <c r="H39" s="89">
        <f>D_D!BQ39</f>
        <v>-0.32000000000000017</v>
      </c>
      <c r="I39" s="88">
        <f>D_E!S39</f>
        <v>0</v>
      </c>
      <c r="J39" s="89">
        <f>Y_D!BQ39</f>
        <v>-0.54000000000000026</v>
      </c>
      <c r="K39" s="88">
        <f>Y_E!S39</f>
        <v>0</v>
      </c>
      <c r="L39" s="90">
        <f t="shared" si="2"/>
        <v>-0.22500000000000017</v>
      </c>
      <c r="M39" s="90">
        <f t="shared" si="3"/>
        <v>0</v>
      </c>
    </row>
    <row r="40" spans="1:13" ht="15" customHeight="1" x14ac:dyDescent="0.2">
      <c r="A40" s="57">
        <v>37</v>
      </c>
      <c r="B40" s="35">
        <f>Hakemler!B40</f>
        <v>0</v>
      </c>
      <c r="C40" s="63">
        <f>Hakemler!C40</f>
        <v>0</v>
      </c>
      <c r="D40" s="87">
        <f>AtM_D!X40</f>
        <v>0.5</v>
      </c>
      <c r="E40" s="88">
        <f>AtM_E!S40</f>
        <v>0</v>
      </c>
      <c r="F40" s="89">
        <f>KP_D!BQ40</f>
        <v>-0.54000000000000026</v>
      </c>
      <c r="G40" s="88">
        <f>KP_E!S40</f>
        <v>0</v>
      </c>
      <c r="H40" s="89">
        <f>D_D!BQ40</f>
        <v>-0.32000000000000017</v>
      </c>
      <c r="I40" s="88">
        <f>D_E!S40</f>
        <v>0</v>
      </c>
      <c r="J40" s="89">
        <f>Y_D!BQ40</f>
        <v>-0.54000000000000026</v>
      </c>
      <c r="K40" s="88">
        <f>Y_E!S40</f>
        <v>0</v>
      </c>
      <c r="L40" s="90">
        <f t="shared" si="2"/>
        <v>-0.22500000000000017</v>
      </c>
      <c r="M40" s="90">
        <f t="shared" si="3"/>
        <v>0</v>
      </c>
    </row>
    <row r="41" spans="1:13" ht="15" customHeight="1" x14ac:dyDescent="0.2">
      <c r="A41" s="57">
        <v>38</v>
      </c>
      <c r="B41" s="35">
        <f>Hakemler!B41</f>
        <v>0</v>
      </c>
      <c r="C41" s="63">
        <f>Hakemler!C41</f>
        <v>0</v>
      </c>
      <c r="D41" s="87">
        <f>AtM_D!X41</f>
        <v>0.5</v>
      </c>
      <c r="E41" s="88">
        <f>AtM_E!S41</f>
        <v>0</v>
      </c>
      <c r="F41" s="89">
        <f>KP_D!BQ41</f>
        <v>-0.54000000000000026</v>
      </c>
      <c r="G41" s="88">
        <f>KP_E!S41</f>
        <v>0</v>
      </c>
      <c r="H41" s="89">
        <f>D_D!BQ41</f>
        <v>-0.32000000000000017</v>
      </c>
      <c r="I41" s="88">
        <f>D_E!S41</f>
        <v>0</v>
      </c>
      <c r="J41" s="89">
        <f>Y_D!BQ41</f>
        <v>-0.54000000000000026</v>
      </c>
      <c r="K41" s="88">
        <f>Y_E!S41</f>
        <v>0</v>
      </c>
      <c r="L41" s="90">
        <f t="shared" si="2"/>
        <v>-0.22500000000000017</v>
      </c>
      <c r="M41" s="90">
        <f t="shared" si="3"/>
        <v>0</v>
      </c>
    </row>
    <row r="42" spans="1:13" ht="15" customHeight="1" x14ac:dyDescent="0.2">
      <c r="A42" s="57">
        <v>39</v>
      </c>
      <c r="B42" s="35">
        <f>Hakemler!B42</f>
        <v>0</v>
      </c>
      <c r="C42" s="63">
        <f>Hakemler!C42</f>
        <v>0</v>
      </c>
      <c r="D42" s="87">
        <f>AtM_D!X42</f>
        <v>0.5</v>
      </c>
      <c r="E42" s="88">
        <f>AtM_E!S42</f>
        <v>0</v>
      </c>
      <c r="F42" s="89">
        <f>KP_D!BQ42</f>
        <v>-0.54000000000000026</v>
      </c>
      <c r="G42" s="88">
        <f>KP_E!S42</f>
        <v>0</v>
      </c>
      <c r="H42" s="89">
        <f>D_D!BQ42</f>
        <v>-0.32000000000000017</v>
      </c>
      <c r="I42" s="88">
        <f>D_E!S42</f>
        <v>0</v>
      </c>
      <c r="J42" s="89">
        <f>Y_D!BQ42</f>
        <v>-0.54000000000000026</v>
      </c>
      <c r="K42" s="88">
        <f>Y_E!S42</f>
        <v>0</v>
      </c>
      <c r="L42" s="90">
        <f t="shared" si="2"/>
        <v>-0.22500000000000017</v>
      </c>
      <c r="M42" s="90">
        <f t="shared" si="3"/>
        <v>0</v>
      </c>
    </row>
    <row r="43" spans="1:13" ht="15" customHeight="1" x14ac:dyDescent="0.2">
      <c r="A43" s="57">
        <v>40</v>
      </c>
      <c r="B43" s="58">
        <f>Hakemler!B43</f>
        <v>0</v>
      </c>
      <c r="C43" s="59">
        <f>Hakemler!C43</f>
        <v>0</v>
      </c>
      <c r="D43" s="87">
        <f>AtM_D!X43</f>
        <v>0.5</v>
      </c>
      <c r="E43" s="88">
        <f>AtM_E!S43</f>
        <v>0</v>
      </c>
      <c r="F43" s="89">
        <f>KP_D!BQ43</f>
        <v>-0.54000000000000026</v>
      </c>
      <c r="G43" s="88">
        <f>KP_E!S43</f>
        <v>0</v>
      </c>
      <c r="H43" s="89">
        <f>D_D!BQ43</f>
        <v>-0.32000000000000017</v>
      </c>
      <c r="I43" s="88">
        <f>D_E!S43</f>
        <v>0</v>
      </c>
      <c r="J43" s="89">
        <f>Y_D!BQ43</f>
        <v>-0.54000000000000026</v>
      </c>
      <c r="K43" s="88">
        <f>Y_E!S43</f>
        <v>0</v>
      </c>
      <c r="L43" s="90">
        <f t="shared" si="2"/>
        <v>-0.22500000000000017</v>
      </c>
      <c r="M43" s="90">
        <f t="shared" si="3"/>
        <v>0</v>
      </c>
    </row>
    <row r="44" spans="1:13" ht="15" customHeight="1" x14ac:dyDescent="0.2">
      <c r="A44" s="57">
        <v>41</v>
      </c>
      <c r="B44" s="35">
        <f>Hakemler!B44</f>
        <v>0</v>
      </c>
      <c r="C44" s="63">
        <f>Hakemler!C44</f>
        <v>0</v>
      </c>
      <c r="D44" s="87">
        <f>AtM_D!X44</f>
        <v>0.5</v>
      </c>
      <c r="E44" s="88">
        <f>AtM_E!S44</f>
        <v>0</v>
      </c>
      <c r="F44" s="89">
        <f>KP_D!BQ44</f>
        <v>-0.54000000000000026</v>
      </c>
      <c r="G44" s="88">
        <f>KP_E!S44</f>
        <v>0</v>
      </c>
      <c r="H44" s="89">
        <f>D_D!BQ44</f>
        <v>-0.32000000000000017</v>
      </c>
      <c r="I44" s="88">
        <f>D_E!S44</f>
        <v>0</v>
      </c>
      <c r="J44" s="89">
        <f>Y_D!BQ44</f>
        <v>-0.54000000000000026</v>
      </c>
      <c r="K44" s="88">
        <f>Y_E!S44</f>
        <v>0</v>
      </c>
      <c r="L44" s="90">
        <f t="shared" si="2"/>
        <v>-0.22500000000000017</v>
      </c>
      <c r="M44" s="90">
        <f t="shared" si="3"/>
        <v>0</v>
      </c>
    </row>
    <row r="45" spans="1:13" ht="15" customHeight="1" x14ac:dyDescent="0.2">
      <c r="A45" s="57">
        <v>42</v>
      </c>
      <c r="B45" s="58">
        <f>Hakemler!B45</f>
        <v>0</v>
      </c>
      <c r="C45" s="59">
        <f>Hakemler!C45</f>
        <v>0</v>
      </c>
      <c r="D45" s="87">
        <f>AtM_D!X45</f>
        <v>0.5</v>
      </c>
      <c r="E45" s="88">
        <f>AtM_E!S45</f>
        <v>0</v>
      </c>
      <c r="F45" s="89">
        <f>KP_D!BQ45</f>
        <v>-0.54000000000000026</v>
      </c>
      <c r="G45" s="88">
        <f>KP_E!S45</f>
        <v>0</v>
      </c>
      <c r="H45" s="89">
        <f>D_D!BQ45</f>
        <v>-0.32000000000000017</v>
      </c>
      <c r="I45" s="88">
        <f>D_E!S45</f>
        <v>0</v>
      </c>
      <c r="J45" s="89">
        <f>Y_D!BQ45</f>
        <v>-0.54000000000000026</v>
      </c>
      <c r="K45" s="88">
        <f>Y_E!S45</f>
        <v>0</v>
      </c>
      <c r="L45" s="90">
        <f t="shared" si="2"/>
        <v>-0.22500000000000017</v>
      </c>
      <c r="M45" s="90">
        <f t="shared" si="3"/>
        <v>0</v>
      </c>
    </row>
    <row r="46" spans="1:13" ht="15" customHeight="1" x14ac:dyDescent="0.2">
      <c r="A46" s="57">
        <v>43</v>
      </c>
      <c r="B46" s="35">
        <f>Hakemler!B46</f>
        <v>0</v>
      </c>
      <c r="C46" s="63">
        <f>Hakemler!C46</f>
        <v>0</v>
      </c>
      <c r="D46" s="87">
        <f>AtM_D!X46</f>
        <v>0.5</v>
      </c>
      <c r="E46" s="88">
        <f>AtM_E!S46</f>
        <v>0</v>
      </c>
      <c r="F46" s="89">
        <f>KP_D!BQ46</f>
        <v>-0.54000000000000026</v>
      </c>
      <c r="G46" s="88">
        <f>KP_E!S46</f>
        <v>0</v>
      </c>
      <c r="H46" s="89">
        <f>D_D!BQ46</f>
        <v>-0.32000000000000017</v>
      </c>
      <c r="I46" s="88">
        <f>D_E!S46</f>
        <v>0</v>
      </c>
      <c r="J46" s="89">
        <f>Y_D!BQ46</f>
        <v>-0.54000000000000026</v>
      </c>
      <c r="K46" s="88">
        <f>Y_E!S46</f>
        <v>0</v>
      </c>
      <c r="L46" s="90">
        <f t="shared" si="2"/>
        <v>-0.22500000000000017</v>
      </c>
      <c r="M46" s="90">
        <f t="shared" si="3"/>
        <v>0</v>
      </c>
    </row>
    <row r="47" spans="1:13" ht="15" customHeight="1" x14ac:dyDescent="0.2">
      <c r="A47" s="57">
        <v>44</v>
      </c>
      <c r="B47" s="35">
        <f>Hakemler!B47</f>
        <v>0</v>
      </c>
      <c r="C47" s="63">
        <f>Hakemler!C47</f>
        <v>0</v>
      </c>
      <c r="D47" s="87">
        <f>AtM_D!X47</f>
        <v>0.5</v>
      </c>
      <c r="E47" s="88">
        <f>AtM_E!S47</f>
        <v>0</v>
      </c>
      <c r="F47" s="89">
        <f>KP_D!BQ47</f>
        <v>-0.54000000000000026</v>
      </c>
      <c r="G47" s="88">
        <f>KP_E!S47</f>
        <v>0</v>
      </c>
      <c r="H47" s="89">
        <f>D_D!BQ47</f>
        <v>-0.32000000000000017</v>
      </c>
      <c r="I47" s="88">
        <f>D_E!S47</f>
        <v>0</v>
      </c>
      <c r="J47" s="89">
        <f>Y_D!BQ47</f>
        <v>-0.54000000000000026</v>
      </c>
      <c r="K47" s="88">
        <f>Y_E!S47</f>
        <v>0</v>
      </c>
      <c r="L47" s="90">
        <f t="shared" si="2"/>
        <v>-0.22500000000000017</v>
      </c>
      <c r="M47" s="90">
        <f t="shared" si="3"/>
        <v>0</v>
      </c>
    </row>
    <row r="48" spans="1:13" ht="15" customHeight="1" x14ac:dyDescent="0.2">
      <c r="A48" s="57">
        <v>45</v>
      </c>
      <c r="B48" s="58">
        <f>Hakemler!B48</f>
        <v>0</v>
      </c>
      <c r="C48" s="59">
        <f>Hakemler!C48</f>
        <v>0</v>
      </c>
      <c r="D48" s="87">
        <f>AtM_D!X48</f>
        <v>0.5</v>
      </c>
      <c r="E48" s="88">
        <f>AtM_E!S48</f>
        <v>0</v>
      </c>
      <c r="F48" s="89">
        <f>KP_D!BQ48</f>
        <v>-0.54000000000000026</v>
      </c>
      <c r="G48" s="88">
        <f>KP_E!S48</f>
        <v>0</v>
      </c>
      <c r="H48" s="89">
        <f>D_D!BQ48</f>
        <v>-0.32000000000000017</v>
      </c>
      <c r="I48" s="88">
        <f>D_E!S48</f>
        <v>0</v>
      </c>
      <c r="J48" s="89">
        <f>Y_D!BQ48</f>
        <v>-0.54000000000000026</v>
      </c>
      <c r="K48" s="88">
        <f>Y_E!S48</f>
        <v>0</v>
      </c>
      <c r="L48" s="90">
        <f t="shared" si="2"/>
        <v>-0.22500000000000017</v>
      </c>
      <c r="M48" s="90">
        <f t="shared" si="3"/>
        <v>0</v>
      </c>
    </row>
    <row r="49" spans="1:13" ht="15" customHeight="1" x14ac:dyDescent="0.2">
      <c r="A49" s="57">
        <v>46</v>
      </c>
      <c r="B49" s="35">
        <f>Hakemler!B49</f>
        <v>0</v>
      </c>
      <c r="C49" s="63">
        <f>Hakemler!C49</f>
        <v>0</v>
      </c>
      <c r="D49" s="87">
        <f>AtM_D!X49</f>
        <v>0.5</v>
      </c>
      <c r="E49" s="88">
        <f>AtM_E!S49</f>
        <v>0</v>
      </c>
      <c r="F49" s="89">
        <f>KP_D!BQ49</f>
        <v>-0.54000000000000026</v>
      </c>
      <c r="G49" s="88">
        <f>KP_E!S49</f>
        <v>0</v>
      </c>
      <c r="H49" s="89">
        <f>D_D!BQ49</f>
        <v>-0.32000000000000017</v>
      </c>
      <c r="I49" s="88">
        <f>D_E!S49</f>
        <v>0</v>
      </c>
      <c r="J49" s="89">
        <f>Y_D!BQ49</f>
        <v>-0.54000000000000026</v>
      </c>
      <c r="K49" s="88">
        <f>Y_E!S49</f>
        <v>0</v>
      </c>
      <c r="L49" s="90">
        <f t="shared" si="2"/>
        <v>-0.22500000000000017</v>
      </c>
      <c r="M49" s="90">
        <f t="shared" si="3"/>
        <v>0</v>
      </c>
    </row>
    <row r="50" spans="1:13" ht="15" customHeight="1" x14ac:dyDescent="0.2">
      <c r="A50" s="57">
        <v>47</v>
      </c>
      <c r="B50" s="58">
        <f>Hakemler!B50</f>
        <v>0</v>
      </c>
      <c r="C50" s="59">
        <f>Hakemler!C50</f>
        <v>0</v>
      </c>
      <c r="D50" s="87">
        <f>AtM_D!X50</f>
        <v>0.5</v>
      </c>
      <c r="E50" s="88">
        <f>AtM_E!S50</f>
        <v>0</v>
      </c>
      <c r="F50" s="89">
        <f>KP_D!BQ50</f>
        <v>-0.54000000000000026</v>
      </c>
      <c r="G50" s="88">
        <f>KP_E!S50</f>
        <v>0</v>
      </c>
      <c r="H50" s="89">
        <f>D_D!BQ50</f>
        <v>-0.32000000000000017</v>
      </c>
      <c r="I50" s="88">
        <f>D_E!S50</f>
        <v>0</v>
      </c>
      <c r="J50" s="89">
        <f>Y_D!BQ50</f>
        <v>-0.54000000000000026</v>
      </c>
      <c r="K50" s="88">
        <f>Y_E!S50</f>
        <v>0</v>
      </c>
      <c r="L50" s="90">
        <f t="shared" si="2"/>
        <v>-0.22500000000000017</v>
      </c>
      <c r="M50" s="90">
        <f t="shared" si="3"/>
        <v>0</v>
      </c>
    </row>
    <row r="51" spans="1:13" ht="15" customHeight="1" x14ac:dyDescent="0.2">
      <c r="A51" s="57">
        <v>48</v>
      </c>
      <c r="B51" s="35">
        <f>Hakemler!B51</f>
        <v>0</v>
      </c>
      <c r="C51" s="63">
        <f>Hakemler!C51</f>
        <v>0</v>
      </c>
      <c r="D51" s="87">
        <f>AtM_D!X51</f>
        <v>0.5</v>
      </c>
      <c r="E51" s="88">
        <f>AtM_E!S51</f>
        <v>0</v>
      </c>
      <c r="F51" s="89">
        <f>KP_D!BQ51</f>
        <v>-0.54000000000000026</v>
      </c>
      <c r="G51" s="88">
        <f>KP_E!S51</f>
        <v>0</v>
      </c>
      <c r="H51" s="89">
        <f>D_D!BQ51</f>
        <v>-0.32000000000000017</v>
      </c>
      <c r="I51" s="88">
        <f>D_E!S51</f>
        <v>0</v>
      </c>
      <c r="J51" s="89">
        <f>Y_D!BQ51</f>
        <v>-0.54000000000000026</v>
      </c>
      <c r="K51" s="88">
        <f>Y_E!S51</f>
        <v>0</v>
      </c>
      <c r="L51" s="90">
        <f t="shared" si="2"/>
        <v>-0.22500000000000017</v>
      </c>
      <c r="M51" s="90">
        <f t="shared" si="3"/>
        <v>0</v>
      </c>
    </row>
    <row r="52" spans="1:13" ht="15" customHeight="1" x14ac:dyDescent="0.2">
      <c r="A52" s="57">
        <v>49</v>
      </c>
      <c r="B52" s="58">
        <f>Hakemler!B52</f>
        <v>0</v>
      </c>
      <c r="C52" s="59">
        <f>Hakemler!C52</f>
        <v>0</v>
      </c>
      <c r="D52" s="87">
        <f>AtM_D!X52</f>
        <v>0.5</v>
      </c>
      <c r="E52" s="88">
        <f>AtM_E!S52</f>
        <v>0</v>
      </c>
      <c r="F52" s="89">
        <f>KP_D!BQ52</f>
        <v>-0.54000000000000026</v>
      </c>
      <c r="G52" s="88">
        <f>KP_E!S52</f>
        <v>0</v>
      </c>
      <c r="H52" s="89">
        <f>D_D!BQ52</f>
        <v>-0.32000000000000017</v>
      </c>
      <c r="I52" s="88">
        <f>D_E!S52</f>
        <v>0</v>
      </c>
      <c r="J52" s="89">
        <f>Y_D!BQ52</f>
        <v>-0.54000000000000026</v>
      </c>
      <c r="K52" s="88">
        <f>Y_E!S52</f>
        <v>0</v>
      </c>
      <c r="L52" s="90">
        <f t="shared" si="2"/>
        <v>-0.22500000000000017</v>
      </c>
      <c r="M52" s="90">
        <f t="shared" si="3"/>
        <v>0</v>
      </c>
    </row>
    <row r="53" spans="1:13" ht="15" customHeight="1" x14ac:dyDescent="0.2">
      <c r="A53" s="57">
        <v>50</v>
      </c>
      <c r="B53" s="58">
        <f>Hakemler!B53</f>
        <v>0</v>
      </c>
      <c r="C53" s="59">
        <f>Hakemler!C53</f>
        <v>0</v>
      </c>
      <c r="D53" s="87">
        <f>AtM_D!X53</f>
        <v>0.5</v>
      </c>
      <c r="E53" s="88">
        <f>AtM_E!S53</f>
        <v>0</v>
      </c>
      <c r="F53" s="89">
        <f>KP_D!BQ53</f>
        <v>-0.54000000000000026</v>
      </c>
      <c r="G53" s="88">
        <f>KP_E!S53</f>
        <v>0</v>
      </c>
      <c r="H53" s="89">
        <f>D_D!BQ53</f>
        <v>-0.32000000000000017</v>
      </c>
      <c r="I53" s="88">
        <f>D_E!S53</f>
        <v>0</v>
      </c>
      <c r="J53" s="89">
        <f>Y_D!BQ53</f>
        <v>-0.54000000000000026</v>
      </c>
      <c r="K53" s="88">
        <f>Y_E!S53</f>
        <v>0</v>
      </c>
      <c r="L53" s="90">
        <f t="shared" si="2"/>
        <v>-0.22500000000000017</v>
      </c>
      <c r="M53" s="90">
        <f t="shared" si="3"/>
        <v>0</v>
      </c>
    </row>
    <row r="54" spans="1:13" ht="15" customHeight="1" x14ac:dyDescent="0.2">
      <c r="A54" s="57">
        <v>51</v>
      </c>
      <c r="B54" s="35">
        <f>Hakemler!B54</f>
        <v>0</v>
      </c>
      <c r="C54" s="63">
        <f>Hakemler!C54</f>
        <v>0</v>
      </c>
      <c r="D54" s="87">
        <f>AtM_D!X54</f>
        <v>0.5</v>
      </c>
      <c r="E54" s="88">
        <f>AtM_E!S54</f>
        <v>0</v>
      </c>
      <c r="F54" s="89">
        <f>KP_D!BQ54</f>
        <v>-0.54000000000000026</v>
      </c>
      <c r="G54" s="88">
        <f>KP_E!S54</f>
        <v>0</v>
      </c>
      <c r="H54" s="89">
        <f>D_D!BQ54</f>
        <v>-0.32000000000000017</v>
      </c>
      <c r="I54" s="88">
        <f>D_E!S54</f>
        <v>0</v>
      </c>
      <c r="J54" s="89">
        <f>Y_D!BQ54</f>
        <v>-0.54000000000000026</v>
      </c>
      <c r="K54" s="88">
        <f>Y_E!S54</f>
        <v>0</v>
      </c>
      <c r="L54" s="90">
        <f t="shared" si="2"/>
        <v>-0.22500000000000017</v>
      </c>
      <c r="M54" s="90">
        <f t="shared" si="3"/>
        <v>0</v>
      </c>
    </row>
    <row r="55" spans="1:13" ht="15" customHeight="1" x14ac:dyDescent="0.2">
      <c r="A55" s="57">
        <v>52</v>
      </c>
      <c r="B55" s="35">
        <f>Hakemler!B55</f>
        <v>0</v>
      </c>
      <c r="C55" s="63">
        <f>Hakemler!C55</f>
        <v>0</v>
      </c>
      <c r="D55" s="87">
        <f>AtM_D!X55</f>
        <v>0.5</v>
      </c>
      <c r="E55" s="88">
        <f>AtM_E!S55</f>
        <v>0</v>
      </c>
      <c r="F55" s="89">
        <f>KP_D!BQ55</f>
        <v>-0.54000000000000026</v>
      </c>
      <c r="G55" s="88">
        <f>KP_E!S55</f>
        <v>0</v>
      </c>
      <c r="H55" s="89">
        <f>D_D!BQ55</f>
        <v>-0.32000000000000017</v>
      </c>
      <c r="I55" s="88">
        <f>D_E!S55</f>
        <v>0</v>
      </c>
      <c r="J55" s="89">
        <f>Y_D!BQ55</f>
        <v>-0.54000000000000026</v>
      </c>
      <c r="K55" s="88">
        <f>Y_E!S55</f>
        <v>0</v>
      </c>
      <c r="L55" s="90">
        <f t="shared" si="2"/>
        <v>-0.22500000000000017</v>
      </c>
      <c r="M55" s="90">
        <f t="shared" si="3"/>
        <v>0</v>
      </c>
    </row>
    <row r="56" spans="1:13" ht="15" customHeight="1" x14ac:dyDescent="0.2">
      <c r="A56" s="57">
        <v>53</v>
      </c>
      <c r="B56" s="35">
        <f>Hakemler!B56</f>
        <v>0</v>
      </c>
      <c r="C56" s="59">
        <f>Hakemler!C56</f>
        <v>0</v>
      </c>
      <c r="D56" s="87">
        <f>AtM_D!X56</f>
        <v>0.5</v>
      </c>
      <c r="E56" s="88">
        <f>AtM_E!S56</f>
        <v>0</v>
      </c>
      <c r="F56" s="89">
        <f>KP_D!BQ56</f>
        <v>-0.54000000000000026</v>
      </c>
      <c r="G56" s="88">
        <f>KP_E!S56</f>
        <v>0</v>
      </c>
      <c r="H56" s="89">
        <f>D_D!BQ56</f>
        <v>-0.32000000000000017</v>
      </c>
      <c r="I56" s="88">
        <f>D_E!S56</f>
        <v>0</v>
      </c>
      <c r="J56" s="89">
        <f>Y_D!BQ56</f>
        <v>-0.54000000000000026</v>
      </c>
      <c r="K56" s="88">
        <f>Y_E!S56</f>
        <v>0</v>
      </c>
      <c r="L56" s="90">
        <f t="shared" si="2"/>
        <v>-0.22500000000000017</v>
      </c>
      <c r="M56" s="90">
        <f t="shared" si="3"/>
        <v>0</v>
      </c>
    </row>
    <row r="57" spans="1:13" ht="15" customHeight="1" x14ac:dyDescent="0.2">
      <c r="A57" s="57">
        <v>54</v>
      </c>
      <c r="B57" s="58">
        <f>Hakemler!B57</f>
        <v>0</v>
      </c>
      <c r="C57" s="59">
        <f>Hakemler!C57</f>
        <v>0</v>
      </c>
      <c r="D57" s="87">
        <f>AtM_D!X57</f>
        <v>0.5</v>
      </c>
      <c r="E57" s="88">
        <f>AtM_E!S57</f>
        <v>0</v>
      </c>
      <c r="F57" s="89">
        <f>KP_D!BQ57</f>
        <v>-0.54000000000000026</v>
      </c>
      <c r="G57" s="88">
        <f>KP_E!S57</f>
        <v>0</v>
      </c>
      <c r="H57" s="89">
        <f>D_D!BQ57</f>
        <v>-0.32000000000000017</v>
      </c>
      <c r="I57" s="88">
        <f>D_E!S57</f>
        <v>0</v>
      </c>
      <c r="J57" s="89">
        <f>Y_D!BQ57</f>
        <v>-0.54000000000000026</v>
      </c>
      <c r="K57" s="88">
        <f>Y_E!S57</f>
        <v>0</v>
      </c>
      <c r="L57" s="90">
        <f t="shared" si="2"/>
        <v>-0.22500000000000017</v>
      </c>
      <c r="M57" s="90">
        <f t="shared" si="3"/>
        <v>0</v>
      </c>
    </row>
    <row r="58" spans="1:13" ht="15" customHeight="1" x14ac:dyDescent="0.2">
      <c r="A58" s="57">
        <v>55</v>
      </c>
      <c r="B58" s="35">
        <f>Hakemler!B58</f>
        <v>0</v>
      </c>
      <c r="C58" s="63">
        <f>Hakemler!C58</f>
        <v>0</v>
      </c>
      <c r="D58" s="87">
        <f>AtM_D!X58</f>
        <v>0.5</v>
      </c>
      <c r="E58" s="88">
        <f>AtM_E!S58</f>
        <v>0</v>
      </c>
      <c r="F58" s="89">
        <f>KP_D!BQ58</f>
        <v>-0.54000000000000026</v>
      </c>
      <c r="G58" s="88">
        <f>KP_E!S58</f>
        <v>0</v>
      </c>
      <c r="H58" s="89">
        <f>D_D!BQ58</f>
        <v>-0.32000000000000017</v>
      </c>
      <c r="I58" s="88">
        <f>D_E!S58</f>
        <v>0</v>
      </c>
      <c r="J58" s="89">
        <f>Y_D!BQ58</f>
        <v>-0.54000000000000026</v>
      </c>
      <c r="K58" s="88">
        <f>Y_E!S58</f>
        <v>0</v>
      </c>
      <c r="L58" s="90">
        <f t="shared" si="2"/>
        <v>-0.22500000000000017</v>
      </c>
      <c r="M58" s="90">
        <f t="shared" si="3"/>
        <v>0</v>
      </c>
    </row>
    <row r="59" spans="1:13" ht="15" customHeight="1" x14ac:dyDescent="0.2">
      <c r="A59" s="57">
        <v>56</v>
      </c>
      <c r="B59" s="58">
        <f>Hakemler!B59</f>
        <v>0</v>
      </c>
      <c r="C59" s="59">
        <f>Hakemler!C59</f>
        <v>0</v>
      </c>
      <c r="D59" s="87">
        <f>AtM_D!X59</f>
        <v>0.5</v>
      </c>
      <c r="E59" s="88">
        <f>AtM_E!S59</f>
        <v>0</v>
      </c>
      <c r="F59" s="89">
        <f>KP_D!BQ59</f>
        <v>-0.54000000000000026</v>
      </c>
      <c r="G59" s="88">
        <f>KP_E!S59</f>
        <v>0</v>
      </c>
      <c r="H59" s="89">
        <f>D_D!BQ59</f>
        <v>-0.32000000000000017</v>
      </c>
      <c r="I59" s="88">
        <f>D_E!S59</f>
        <v>0</v>
      </c>
      <c r="J59" s="89">
        <f>Y_D!BQ59</f>
        <v>-0.54000000000000026</v>
      </c>
      <c r="K59" s="88">
        <f>Y_E!S59</f>
        <v>0</v>
      </c>
      <c r="L59" s="90">
        <f t="shared" si="2"/>
        <v>-0.22500000000000017</v>
      </c>
      <c r="M59" s="90">
        <f t="shared" si="3"/>
        <v>0</v>
      </c>
    </row>
    <row r="60" spans="1:13" ht="15" customHeight="1" x14ac:dyDescent="0.2">
      <c r="A60" s="57">
        <v>57</v>
      </c>
      <c r="B60" s="35">
        <f>Hakemler!B60</f>
        <v>0</v>
      </c>
      <c r="C60" s="63">
        <f>Hakemler!C60</f>
        <v>0</v>
      </c>
      <c r="D60" s="87">
        <f>AtM_D!X60</f>
        <v>0.5</v>
      </c>
      <c r="E60" s="88">
        <f>AtM_E!S60</f>
        <v>0</v>
      </c>
      <c r="F60" s="89">
        <f>KP_D!BQ60</f>
        <v>-0.54000000000000026</v>
      </c>
      <c r="G60" s="88">
        <f>KP_E!S60</f>
        <v>0</v>
      </c>
      <c r="H60" s="89">
        <f>D_D!BQ60</f>
        <v>-0.32000000000000017</v>
      </c>
      <c r="I60" s="88">
        <f>D_E!S60</f>
        <v>0</v>
      </c>
      <c r="J60" s="89">
        <f>Y_D!BQ60</f>
        <v>-0.54000000000000026</v>
      </c>
      <c r="K60" s="88">
        <f>Y_E!S60</f>
        <v>0</v>
      </c>
      <c r="L60" s="90">
        <f t="shared" si="2"/>
        <v>-0.22500000000000017</v>
      </c>
      <c r="M60" s="90">
        <f t="shared" si="3"/>
        <v>0</v>
      </c>
    </row>
    <row r="61" spans="1:13" ht="15" customHeight="1" x14ac:dyDescent="0.2">
      <c r="A61" s="57">
        <v>58</v>
      </c>
      <c r="B61" s="58">
        <f>Hakemler!B61</f>
        <v>0</v>
      </c>
      <c r="C61" s="59">
        <f>Hakemler!C61</f>
        <v>0</v>
      </c>
      <c r="D61" s="87">
        <f>AtM_D!X61</f>
        <v>0.5</v>
      </c>
      <c r="E61" s="88">
        <f>AtM_E!S61</f>
        <v>0</v>
      </c>
      <c r="F61" s="89">
        <f>KP_D!BQ61</f>
        <v>-0.54000000000000026</v>
      </c>
      <c r="G61" s="88">
        <f>KP_E!S61</f>
        <v>0</v>
      </c>
      <c r="H61" s="89">
        <f>D_D!BQ61</f>
        <v>-0.32000000000000017</v>
      </c>
      <c r="I61" s="88">
        <f>D_E!S61</f>
        <v>0</v>
      </c>
      <c r="J61" s="89">
        <f>Y_D!BQ61</f>
        <v>-0.54000000000000026</v>
      </c>
      <c r="K61" s="88">
        <f>Y_E!S61</f>
        <v>0</v>
      </c>
      <c r="L61" s="90">
        <f t="shared" si="2"/>
        <v>-0.22500000000000017</v>
      </c>
      <c r="M61" s="90">
        <f t="shared" si="3"/>
        <v>0</v>
      </c>
    </row>
    <row r="62" spans="1:13" ht="15" customHeight="1" x14ac:dyDescent="0.2">
      <c r="A62" s="57">
        <v>59</v>
      </c>
      <c r="B62" s="58">
        <f>Hakemler!B62</f>
        <v>0</v>
      </c>
      <c r="C62" s="59">
        <f>Hakemler!C62</f>
        <v>0</v>
      </c>
      <c r="D62" s="87">
        <f>AtM_D!X62</f>
        <v>0.5</v>
      </c>
      <c r="E62" s="88">
        <f>AtM_E!S62</f>
        <v>0</v>
      </c>
      <c r="F62" s="89">
        <f>KP_D!BQ62</f>
        <v>-0.54000000000000026</v>
      </c>
      <c r="G62" s="88">
        <f>KP_E!S62</f>
        <v>0</v>
      </c>
      <c r="H62" s="89">
        <f>D_D!BQ62</f>
        <v>-0.32000000000000017</v>
      </c>
      <c r="I62" s="88">
        <f>D_E!S62</f>
        <v>0</v>
      </c>
      <c r="J62" s="89">
        <f>Y_D!BQ62</f>
        <v>-0.54000000000000026</v>
      </c>
      <c r="K62" s="88">
        <f>Y_E!S62</f>
        <v>0</v>
      </c>
      <c r="L62" s="90">
        <f t="shared" si="2"/>
        <v>-0.22500000000000017</v>
      </c>
      <c r="M62" s="90">
        <f t="shared" si="3"/>
        <v>0</v>
      </c>
    </row>
    <row r="63" spans="1:13" ht="15" customHeight="1" x14ac:dyDescent="0.2">
      <c r="A63" s="57">
        <v>60</v>
      </c>
      <c r="B63" s="58">
        <f>Hakemler!B63</f>
        <v>0</v>
      </c>
      <c r="C63" s="59">
        <f>Hakemler!C63</f>
        <v>0</v>
      </c>
      <c r="D63" s="87">
        <f>AtM_D!X63</f>
        <v>0.5</v>
      </c>
      <c r="E63" s="88">
        <f>AtM_E!S63</f>
        <v>0</v>
      </c>
      <c r="F63" s="89">
        <f>KP_D!BQ63</f>
        <v>-0.54000000000000026</v>
      </c>
      <c r="G63" s="88">
        <f>KP_E!S63</f>
        <v>0</v>
      </c>
      <c r="H63" s="89">
        <f>D_D!BQ63</f>
        <v>-0.32000000000000017</v>
      </c>
      <c r="I63" s="88">
        <f>D_E!S63</f>
        <v>0</v>
      </c>
      <c r="J63" s="89">
        <f>Y_D!BQ63</f>
        <v>-0.54000000000000026</v>
      </c>
      <c r="K63" s="88">
        <f>Y_E!S63</f>
        <v>0</v>
      </c>
      <c r="L63" s="90">
        <f t="shared" si="2"/>
        <v>-0.22500000000000017</v>
      </c>
      <c r="M63" s="90">
        <f t="shared" si="3"/>
        <v>0</v>
      </c>
    </row>
    <row r="64" spans="1:13" ht="15" customHeight="1" x14ac:dyDescent="0.2">
      <c r="A64" s="57">
        <v>61</v>
      </c>
      <c r="B64" s="58">
        <f>Hakemler!B64</f>
        <v>0</v>
      </c>
      <c r="C64" s="59">
        <f>Hakemler!C64</f>
        <v>0</v>
      </c>
      <c r="D64" s="87">
        <f>AtM_D!X64</f>
        <v>0.5</v>
      </c>
      <c r="E64" s="88">
        <f>AtM_E!S64</f>
        <v>0</v>
      </c>
      <c r="F64" s="89">
        <f>KP_D!BQ64</f>
        <v>-0.54000000000000026</v>
      </c>
      <c r="G64" s="88">
        <f>KP_E!S64</f>
        <v>0</v>
      </c>
      <c r="H64" s="89">
        <f>D_D!BQ64</f>
        <v>-0.32000000000000017</v>
      </c>
      <c r="I64" s="88">
        <f>D_E!S64</f>
        <v>0</v>
      </c>
      <c r="J64" s="89">
        <f>Y_D!BQ64</f>
        <v>-0.54000000000000026</v>
      </c>
      <c r="K64" s="88">
        <f>Y_E!S64</f>
        <v>0</v>
      </c>
      <c r="L64" s="90">
        <f t="shared" si="2"/>
        <v>-0.22500000000000017</v>
      </c>
      <c r="M64" s="90">
        <f t="shared" si="3"/>
        <v>0</v>
      </c>
    </row>
    <row r="65" spans="1:13" ht="15" customHeight="1" x14ac:dyDescent="0.2">
      <c r="A65" s="57">
        <v>62</v>
      </c>
      <c r="B65" s="58">
        <f>Hakemler!B65</f>
        <v>0</v>
      </c>
      <c r="C65" s="59">
        <f>Hakemler!C65</f>
        <v>0</v>
      </c>
      <c r="D65" s="87">
        <f>AtM_D!X65</f>
        <v>0.5</v>
      </c>
      <c r="E65" s="88">
        <f>AtM_E!S65</f>
        <v>0</v>
      </c>
      <c r="F65" s="89">
        <f>KP_D!BQ65</f>
        <v>-0.54000000000000026</v>
      </c>
      <c r="G65" s="88">
        <f>KP_E!S65</f>
        <v>0</v>
      </c>
      <c r="H65" s="89">
        <f>D_D!BQ65</f>
        <v>-0.32000000000000017</v>
      </c>
      <c r="I65" s="88">
        <f>D_E!S65</f>
        <v>0</v>
      </c>
      <c r="J65" s="89">
        <f>Y_D!BQ65</f>
        <v>-0.54000000000000026</v>
      </c>
      <c r="K65" s="88">
        <f>Y_E!S65</f>
        <v>0</v>
      </c>
      <c r="L65" s="90">
        <f t="shared" si="2"/>
        <v>-0.22500000000000017</v>
      </c>
      <c r="M65" s="90">
        <f t="shared" si="3"/>
        <v>0</v>
      </c>
    </row>
    <row r="66" spans="1:13" ht="15" customHeight="1" x14ac:dyDescent="0.2">
      <c r="A66" s="57">
        <v>63</v>
      </c>
      <c r="B66" s="58">
        <f>Hakemler!B66</f>
        <v>0</v>
      </c>
      <c r="C66" s="59">
        <f>Hakemler!C66</f>
        <v>0</v>
      </c>
      <c r="D66" s="87">
        <f>AtM_D!X66</f>
        <v>0.5</v>
      </c>
      <c r="E66" s="88">
        <f>AtM_E!S66</f>
        <v>0</v>
      </c>
      <c r="F66" s="89">
        <f>KP_D!BQ66</f>
        <v>-0.54000000000000026</v>
      </c>
      <c r="G66" s="88">
        <f>KP_E!S66</f>
        <v>0</v>
      </c>
      <c r="H66" s="89">
        <f>D_D!BQ66</f>
        <v>-0.32000000000000017</v>
      </c>
      <c r="I66" s="88">
        <f>D_E!S66</f>
        <v>0</v>
      </c>
      <c r="J66" s="89">
        <f>Y_D!BQ66</f>
        <v>-0.54000000000000026</v>
      </c>
      <c r="K66" s="88">
        <f>Y_E!S66</f>
        <v>0</v>
      </c>
      <c r="L66" s="90">
        <f t="shared" si="2"/>
        <v>-0.22500000000000017</v>
      </c>
      <c r="M66" s="90">
        <f t="shared" si="3"/>
        <v>0</v>
      </c>
    </row>
    <row r="67" spans="1:13" ht="15" customHeight="1" x14ac:dyDescent="0.2">
      <c r="A67" s="57">
        <v>64</v>
      </c>
      <c r="B67" s="35">
        <f>Hakemler!B67</f>
        <v>0</v>
      </c>
      <c r="C67" s="63">
        <f>Hakemler!C67</f>
        <v>0</v>
      </c>
      <c r="D67" s="87">
        <f>AtM_D!X67</f>
        <v>0.5</v>
      </c>
      <c r="E67" s="88">
        <f>AtM_E!S67</f>
        <v>0</v>
      </c>
      <c r="F67" s="89">
        <f>KP_D!BQ67</f>
        <v>-0.54000000000000026</v>
      </c>
      <c r="G67" s="88">
        <f>KP_E!S67</f>
        <v>0</v>
      </c>
      <c r="H67" s="89">
        <f>D_D!BQ67</f>
        <v>-0.32000000000000017</v>
      </c>
      <c r="I67" s="88">
        <f>D_E!S67</f>
        <v>0</v>
      </c>
      <c r="J67" s="89">
        <f>Y_D!BQ67</f>
        <v>-0.54000000000000026</v>
      </c>
      <c r="K67" s="88">
        <f>Y_E!S67</f>
        <v>0</v>
      </c>
      <c r="L67" s="90">
        <f t="shared" si="2"/>
        <v>-0.22500000000000017</v>
      </c>
      <c r="M67" s="90">
        <f t="shared" si="3"/>
        <v>0</v>
      </c>
    </row>
    <row r="68" spans="1:13" ht="15" customHeight="1" x14ac:dyDescent="0.2">
      <c r="A68" s="57">
        <v>65</v>
      </c>
      <c r="B68" s="35">
        <f>Hakemler!B68</f>
        <v>0</v>
      </c>
      <c r="C68" s="63">
        <f>Hakemler!C68</f>
        <v>0</v>
      </c>
      <c r="D68" s="87">
        <f>AtM_D!X68</f>
        <v>0.5</v>
      </c>
      <c r="E68" s="88">
        <f>AtM_E!S68</f>
        <v>0</v>
      </c>
      <c r="F68" s="89">
        <f>KP_D!BQ68</f>
        <v>-0.54000000000000026</v>
      </c>
      <c r="G68" s="88">
        <f>KP_E!S68</f>
        <v>0</v>
      </c>
      <c r="H68" s="89">
        <f>D_D!BQ68</f>
        <v>-0.32000000000000017</v>
      </c>
      <c r="I68" s="88">
        <f>D_E!S68</f>
        <v>0</v>
      </c>
      <c r="J68" s="89">
        <f>Y_D!BQ68</f>
        <v>-0.54000000000000026</v>
      </c>
      <c r="K68" s="88">
        <f>Y_E!S68</f>
        <v>0</v>
      </c>
      <c r="L68" s="90">
        <f t="shared" ref="L68:L103" si="4">(D68+F68+H68+J68)/4</f>
        <v>-0.22500000000000017</v>
      </c>
      <c r="M68" s="90">
        <f t="shared" ref="M68:M103" si="5">(E68+G68+I68+K68)/4</f>
        <v>0</v>
      </c>
    </row>
    <row r="69" spans="1:13" ht="15" customHeight="1" x14ac:dyDescent="0.2">
      <c r="A69" s="57">
        <v>66</v>
      </c>
      <c r="B69" s="35">
        <f>Hakemler!B69</f>
        <v>0</v>
      </c>
      <c r="C69" s="63">
        <f>Hakemler!C69</f>
        <v>0</v>
      </c>
      <c r="D69" s="87">
        <f>AtM_D!X69</f>
        <v>0.5</v>
      </c>
      <c r="E69" s="88">
        <f>AtM_E!S69</f>
        <v>0</v>
      </c>
      <c r="F69" s="89">
        <f>KP_D!BQ69</f>
        <v>-0.54000000000000026</v>
      </c>
      <c r="G69" s="88">
        <f>KP_E!S69</f>
        <v>0</v>
      </c>
      <c r="H69" s="89">
        <f>D_D!BQ69</f>
        <v>-0.32000000000000017</v>
      </c>
      <c r="I69" s="88">
        <f>D_E!S69</f>
        <v>0</v>
      </c>
      <c r="J69" s="89">
        <f>Y_D!BQ69</f>
        <v>-0.54000000000000026</v>
      </c>
      <c r="K69" s="88">
        <f>Y_E!S69</f>
        <v>0</v>
      </c>
      <c r="L69" s="90">
        <f t="shared" si="4"/>
        <v>-0.22500000000000017</v>
      </c>
      <c r="M69" s="90">
        <f t="shared" si="5"/>
        <v>0</v>
      </c>
    </row>
    <row r="70" spans="1:13" ht="15" customHeight="1" x14ac:dyDescent="0.2">
      <c r="A70" s="57">
        <v>67</v>
      </c>
      <c r="B70" s="35">
        <f>Hakemler!B70</f>
        <v>0</v>
      </c>
      <c r="C70" s="63">
        <f>Hakemler!C70</f>
        <v>0</v>
      </c>
      <c r="D70" s="87">
        <f>AtM_D!X70</f>
        <v>0.5</v>
      </c>
      <c r="E70" s="88">
        <f>AtM_E!S70</f>
        <v>0</v>
      </c>
      <c r="F70" s="89">
        <f>KP_D!BQ70</f>
        <v>-0.54000000000000026</v>
      </c>
      <c r="G70" s="88">
        <f>KP_E!S70</f>
        <v>0</v>
      </c>
      <c r="H70" s="89">
        <f>D_D!BQ70</f>
        <v>-0.32000000000000017</v>
      </c>
      <c r="I70" s="88">
        <f>D_E!S70</f>
        <v>0</v>
      </c>
      <c r="J70" s="89">
        <f>Y_D!BQ70</f>
        <v>-0.54000000000000026</v>
      </c>
      <c r="K70" s="88">
        <f>Y_E!S70</f>
        <v>0</v>
      </c>
      <c r="L70" s="90">
        <f t="shared" si="4"/>
        <v>-0.22500000000000017</v>
      </c>
      <c r="M70" s="90">
        <f t="shared" si="5"/>
        <v>0</v>
      </c>
    </row>
    <row r="71" spans="1:13" ht="15" customHeight="1" x14ac:dyDescent="0.2">
      <c r="A71" s="57">
        <v>68</v>
      </c>
      <c r="B71" s="35">
        <f>Hakemler!B71</f>
        <v>0</v>
      </c>
      <c r="C71" s="63">
        <f>Hakemler!C71</f>
        <v>0</v>
      </c>
      <c r="D71" s="87">
        <f>AtM_D!X71</f>
        <v>0.5</v>
      </c>
      <c r="E71" s="88">
        <f>AtM_E!S71</f>
        <v>0</v>
      </c>
      <c r="F71" s="89">
        <f>KP_D!BQ71</f>
        <v>-0.54000000000000026</v>
      </c>
      <c r="G71" s="88">
        <f>KP_E!S71</f>
        <v>0</v>
      </c>
      <c r="H71" s="89">
        <f>D_D!BQ71</f>
        <v>-0.32000000000000017</v>
      </c>
      <c r="I71" s="88">
        <f>D_E!S71</f>
        <v>0</v>
      </c>
      <c r="J71" s="89">
        <f>Y_D!BQ71</f>
        <v>-0.54000000000000026</v>
      </c>
      <c r="K71" s="88">
        <f>Y_E!S71</f>
        <v>0</v>
      </c>
      <c r="L71" s="90">
        <f t="shared" si="4"/>
        <v>-0.22500000000000017</v>
      </c>
      <c r="M71" s="90">
        <f t="shared" si="5"/>
        <v>0</v>
      </c>
    </row>
    <row r="72" spans="1:13" ht="15" customHeight="1" x14ac:dyDescent="0.2">
      <c r="A72" s="57">
        <v>69</v>
      </c>
      <c r="B72" s="35">
        <f>Hakemler!B72</f>
        <v>0</v>
      </c>
      <c r="C72" s="63">
        <f>Hakemler!C72</f>
        <v>0</v>
      </c>
      <c r="D72" s="87">
        <f>AtM_D!X72</f>
        <v>0.5</v>
      </c>
      <c r="E72" s="88">
        <f>AtM_E!S72</f>
        <v>0</v>
      </c>
      <c r="F72" s="89">
        <f>KP_D!BQ72</f>
        <v>-0.54000000000000026</v>
      </c>
      <c r="G72" s="88">
        <f>KP_E!S72</f>
        <v>0</v>
      </c>
      <c r="H72" s="89">
        <f>D_D!BQ72</f>
        <v>-0.32000000000000017</v>
      </c>
      <c r="I72" s="88">
        <f>D_E!S72</f>
        <v>0</v>
      </c>
      <c r="J72" s="89">
        <f>Y_D!BQ72</f>
        <v>-0.54000000000000026</v>
      </c>
      <c r="K72" s="88">
        <f>Y_E!S72</f>
        <v>0</v>
      </c>
      <c r="L72" s="90">
        <f t="shared" si="4"/>
        <v>-0.22500000000000017</v>
      </c>
      <c r="M72" s="90">
        <f t="shared" si="5"/>
        <v>0</v>
      </c>
    </row>
    <row r="73" spans="1:13" ht="15" customHeight="1" x14ac:dyDescent="0.2">
      <c r="A73" s="57">
        <v>70</v>
      </c>
      <c r="B73" s="35">
        <f>Hakemler!B73</f>
        <v>0</v>
      </c>
      <c r="C73" s="63">
        <f>Hakemler!C73</f>
        <v>0</v>
      </c>
      <c r="D73" s="87">
        <f>AtM_D!X73</f>
        <v>0.5</v>
      </c>
      <c r="E73" s="88">
        <f>AtM_E!S73</f>
        <v>0</v>
      </c>
      <c r="F73" s="89">
        <f>KP_D!BQ73</f>
        <v>-0.54000000000000026</v>
      </c>
      <c r="G73" s="88">
        <f>KP_E!S73</f>
        <v>0</v>
      </c>
      <c r="H73" s="89">
        <f>D_D!BQ73</f>
        <v>-0.32000000000000017</v>
      </c>
      <c r="I73" s="88">
        <f>D_E!S73</f>
        <v>0</v>
      </c>
      <c r="J73" s="89">
        <f>Y_D!BQ73</f>
        <v>-0.54000000000000026</v>
      </c>
      <c r="K73" s="88">
        <f>Y_E!S73</f>
        <v>0</v>
      </c>
      <c r="L73" s="90">
        <f t="shared" si="4"/>
        <v>-0.22500000000000017</v>
      </c>
      <c r="M73" s="90">
        <f t="shared" si="5"/>
        <v>0</v>
      </c>
    </row>
    <row r="74" spans="1:13" ht="15" customHeight="1" x14ac:dyDescent="0.2">
      <c r="A74" s="57">
        <v>71</v>
      </c>
      <c r="B74" s="35">
        <f>Hakemler!B74</f>
        <v>0</v>
      </c>
      <c r="C74" s="63">
        <f>Hakemler!C74</f>
        <v>0</v>
      </c>
      <c r="D74" s="87">
        <f>AtM_D!X74</f>
        <v>0.5</v>
      </c>
      <c r="E74" s="88">
        <f>AtM_E!S74</f>
        <v>0</v>
      </c>
      <c r="F74" s="89">
        <f>KP_D!BQ74</f>
        <v>-0.54000000000000026</v>
      </c>
      <c r="G74" s="88">
        <f>KP_E!S74</f>
        <v>0</v>
      </c>
      <c r="H74" s="89">
        <f>D_D!BQ74</f>
        <v>-0.32000000000000017</v>
      </c>
      <c r="I74" s="88">
        <f>D_E!S74</f>
        <v>0</v>
      </c>
      <c r="J74" s="89">
        <f>Y_D!BQ74</f>
        <v>-0.54000000000000026</v>
      </c>
      <c r="K74" s="88">
        <f>Y_E!S74</f>
        <v>0</v>
      </c>
      <c r="L74" s="90">
        <f t="shared" si="4"/>
        <v>-0.22500000000000017</v>
      </c>
      <c r="M74" s="90">
        <f t="shared" si="5"/>
        <v>0</v>
      </c>
    </row>
    <row r="75" spans="1:13" ht="15" customHeight="1" x14ac:dyDescent="0.2">
      <c r="A75" s="57">
        <v>72</v>
      </c>
      <c r="B75" s="35">
        <f>Hakemler!B75</f>
        <v>0</v>
      </c>
      <c r="C75" s="63">
        <f>Hakemler!C75</f>
        <v>0</v>
      </c>
      <c r="D75" s="87">
        <f>AtM_D!X75</f>
        <v>0.5</v>
      </c>
      <c r="E75" s="88">
        <f>AtM_E!S75</f>
        <v>0</v>
      </c>
      <c r="F75" s="89">
        <f>KP_D!BQ75</f>
        <v>-0.54000000000000026</v>
      </c>
      <c r="G75" s="88">
        <f>KP_E!S75</f>
        <v>0</v>
      </c>
      <c r="H75" s="89">
        <f>D_D!BQ75</f>
        <v>-0.32000000000000017</v>
      </c>
      <c r="I75" s="88">
        <f>D_E!S75</f>
        <v>0</v>
      </c>
      <c r="J75" s="89">
        <f>Y_D!BQ75</f>
        <v>-0.54000000000000026</v>
      </c>
      <c r="K75" s="88">
        <f>Y_E!S75</f>
        <v>0</v>
      </c>
      <c r="L75" s="90">
        <f t="shared" si="4"/>
        <v>-0.22500000000000017</v>
      </c>
      <c r="M75" s="90">
        <f t="shared" si="5"/>
        <v>0</v>
      </c>
    </row>
    <row r="76" spans="1:13" ht="15" customHeight="1" x14ac:dyDescent="0.2">
      <c r="A76" s="57">
        <v>73</v>
      </c>
      <c r="B76" s="35">
        <f>Hakemler!B76</f>
        <v>0</v>
      </c>
      <c r="C76" s="63">
        <f>Hakemler!C76</f>
        <v>0</v>
      </c>
      <c r="D76" s="87">
        <f>AtM_D!X76</f>
        <v>0.5</v>
      </c>
      <c r="E76" s="88">
        <f>AtM_E!S76</f>
        <v>0</v>
      </c>
      <c r="F76" s="89">
        <f>KP_D!BQ76</f>
        <v>-0.54000000000000026</v>
      </c>
      <c r="G76" s="88">
        <f>KP_E!S76</f>
        <v>0</v>
      </c>
      <c r="H76" s="89">
        <f>D_D!BQ76</f>
        <v>-0.32000000000000017</v>
      </c>
      <c r="I76" s="88">
        <f>D_E!S76</f>
        <v>0</v>
      </c>
      <c r="J76" s="89">
        <f>Y_D!BQ76</f>
        <v>-0.54000000000000026</v>
      </c>
      <c r="K76" s="88">
        <f>Y_E!S76</f>
        <v>0</v>
      </c>
      <c r="L76" s="90">
        <f t="shared" si="4"/>
        <v>-0.22500000000000017</v>
      </c>
      <c r="M76" s="90">
        <f t="shared" si="5"/>
        <v>0</v>
      </c>
    </row>
    <row r="77" spans="1:13" ht="15" customHeight="1" x14ac:dyDescent="0.2">
      <c r="A77" s="57">
        <v>74</v>
      </c>
      <c r="B77" s="35">
        <f>Hakemler!B77</f>
        <v>0</v>
      </c>
      <c r="C77" s="63">
        <f>Hakemler!C77</f>
        <v>0</v>
      </c>
      <c r="D77" s="87">
        <f>AtM_D!X77</f>
        <v>0.5</v>
      </c>
      <c r="E77" s="88">
        <f>AtM_E!S77</f>
        <v>0</v>
      </c>
      <c r="F77" s="89">
        <f>KP_D!BQ77</f>
        <v>-0.54000000000000026</v>
      </c>
      <c r="G77" s="88">
        <f>KP_E!S77</f>
        <v>0</v>
      </c>
      <c r="H77" s="89">
        <f>D_D!BQ77</f>
        <v>-0.32000000000000017</v>
      </c>
      <c r="I77" s="88">
        <f>D_E!S77</f>
        <v>0</v>
      </c>
      <c r="J77" s="89">
        <f>Y_D!BQ77</f>
        <v>-0.54000000000000026</v>
      </c>
      <c r="K77" s="88">
        <f>Y_E!S77</f>
        <v>0</v>
      </c>
      <c r="L77" s="90">
        <f t="shared" si="4"/>
        <v>-0.22500000000000017</v>
      </c>
      <c r="M77" s="90">
        <f t="shared" si="5"/>
        <v>0</v>
      </c>
    </row>
    <row r="78" spans="1:13" ht="15" customHeight="1" x14ac:dyDescent="0.2">
      <c r="A78" s="57">
        <v>75</v>
      </c>
      <c r="B78" s="35">
        <f>Hakemler!B78</f>
        <v>0</v>
      </c>
      <c r="C78" s="63">
        <f>Hakemler!C78</f>
        <v>0</v>
      </c>
      <c r="D78" s="87">
        <f>AtM_D!X78</f>
        <v>0.5</v>
      </c>
      <c r="E78" s="88">
        <f>AtM_E!S78</f>
        <v>0</v>
      </c>
      <c r="F78" s="89">
        <f>KP_D!BQ78</f>
        <v>-0.54000000000000026</v>
      </c>
      <c r="G78" s="88">
        <f>KP_E!S78</f>
        <v>0</v>
      </c>
      <c r="H78" s="89">
        <f>D_D!BQ78</f>
        <v>-0.32000000000000017</v>
      </c>
      <c r="I78" s="88">
        <f>D_E!S78</f>
        <v>0</v>
      </c>
      <c r="J78" s="89">
        <f>Y_D!BQ78</f>
        <v>-0.54000000000000026</v>
      </c>
      <c r="K78" s="88">
        <f>Y_E!S78</f>
        <v>0</v>
      </c>
      <c r="L78" s="90">
        <f t="shared" si="4"/>
        <v>-0.22500000000000017</v>
      </c>
      <c r="M78" s="90">
        <f t="shared" si="5"/>
        <v>0</v>
      </c>
    </row>
    <row r="79" spans="1:13" ht="15" customHeight="1" x14ac:dyDescent="0.2">
      <c r="A79" s="57">
        <v>76</v>
      </c>
      <c r="B79" s="35">
        <f>Hakemler!B79</f>
        <v>0</v>
      </c>
      <c r="C79" s="63">
        <f>Hakemler!C79</f>
        <v>0</v>
      </c>
      <c r="D79" s="87">
        <f>AtM_D!X79</f>
        <v>0.5</v>
      </c>
      <c r="E79" s="88">
        <f>AtM_E!S79</f>
        <v>0</v>
      </c>
      <c r="F79" s="89">
        <f>KP_D!BQ79</f>
        <v>-0.54000000000000026</v>
      </c>
      <c r="G79" s="88">
        <f>KP_E!S79</f>
        <v>0</v>
      </c>
      <c r="H79" s="89">
        <f>D_D!BQ79</f>
        <v>-0.32000000000000017</v>
      </c>
      <c r="I79" s="88">
        <f>D_E!S79</f>
        <v>0</v>
      </c>
      <c r="J79" s="89">
        <f>Y_D!BQ79</f>
        <v>-0.54000000000000026</v>
      </c>
      <c r="K79" s="88">
        <f>Y_E!S79</f>
        <v>0</v>
      </c>
      <c r="L79" s="90">
        <f t="shared" si="4"/>
        <v>-0.22500000000000017</v>
      </c>
      <c r="M79" s="90">
        <f t="shared" si="5"/>
        <v>0</v>
      </c>
    </row>
    <row r="80" spans="1:13" ht="15" customHeight="1" x14ac:dyDescent="0.2">
      <c r="A80" s="57">
        <v>77</v>
      </c>
      <c r="B80" s="35">
        <f>Hakemler!B80</f>
        <v>0</v>
      </c>
      <c r="C80" s="63">
        <f>Hakemler!C80</f>
        <v>0</v>
      </c>
      <c r="D80" s="87">
        <f>AtM_D!X80</f>
        <v>0.5</v>
      </c>
      <c r="E80" s="88">
        <f>AtM_E!S80</f>
        <v>0</v>
      </c>
      <c r="F80" s="89">
        <f>KP_D!BQ80</f>
        <v>-0.54000000000000026</v>
      </c>
      <c r="G80" s="88">
        <f>KP_E!S80</f>
        <v>0</v>
      </c>
      <c r="H80" s="89">
        <f>D_D!BQ80</f>
        <v>-0.32000000000000017</v>
      </c>
      <c r="I80" s="88">
        <f>D_E!S80</f>
        <v>0</v>
      </c>
      <c r="J80" s="89">
        <f>Y_D!BQ80</f>
        <v>-0.54000000000000026</v>
      </c>
      <c r="K80" s="88">
        <f>Y_E!S80</f>
        <v>0</v>
      </c>
      <c r="L80" s="90">
        <f t="shared" si="4"/>
        <v>-0.22500000000000017</v>
      </c>
      <c r="M80" s="90">
        <f t="shared" si="5"/>
        <v>0</v>
      </c>
    </row>
    <row r="81" spans="1:13" ht="15" customHeight="1" x14ac:dyDescent="0.2">
      <c r="A81" s="57">
        <v>78</v>
      </c>
      <c r="B81" s="35">
        <f>Hakemler!B81</f>
        <v>0</v>
      </c>
      <c r="C81" s="63">
        <f>Hakemler!C81</f>
        <v>0</v>
      </c>
      <c r="D81" s="87">
        <f>AtM_D!X81</f>
        <v>0.5</v>
      </c>
      <c r="E81" s="88">
        <f>AtM_E!S81</f>
        <v>0</v>
      </c>
      <c r="F81" s="89">
        <f>KP_D!BQ81</f>
        <v>-0.54000000000000026</v>
      </c>
      <c r="G81" s="88">
        <f>KP_E!S81</f>
        <v>0</v>
      </c>
      <c r="H81" s="89">
        <f>D_D!BQ81</f>
        <v>-0.32000000000000017</v>
      </c>
      <c r="I81" s="88">
        <f>D_E!S81</f>
        <v>0</v>
      </c>
      <c r="J81" s="89">
        <f>Y_D!BQ81</f>
        <v>-0.54000000000000026</v>
      </c>
      <c r="K81" s="88">
        <f>Y_E!S81</f>
        <v>0</v>
      </c>
      <c r="L81" s="90">
        <f t="shared" si="4"/>
        <v>-0.22500000000000017</v>
      </c>
      <c r="M81" s="90">
        <f t="shared" si="5"/>
        <v>0</v>
      </c>
    </row>
    <row r="82" spans="1:13" ht="15" customHeight="1" x14ac:dyDescent="0.2">
      <c r="A82" s="57">
        <v>79</v>
      </c>
      <c r="B82" s="35">
        <f>Hakemler!B82</f>
        <v>0</v>
      </c>
      <c r="C82" s="63">
        <f>Hakemler!C82</f>
        <v>0</v>
      </c>
      <c r="D82" s="87">
        <f>AtM_D!X82</f>
        <v>0.5</v>
      </c>
      <c r="E82" s="88">
        <f>AtM_E!S82</f>
        <v>0</v>
      </c>
      <c r="F82" s="89">
        <f>KP_D!BQ82</f>
        <v>-0.54000000000000026</v>
      </c>
      <c r="G82" s="88">
        <f>KP_E!S82</f>
        <v>0</v>
      </c>
      <c r="H82" s="89">
        <f>D_D!BQ82</f>
        <v>-0.32000000000000017</v>
      </c>
      <c r="I82" s="88">
        <f>D_E!S82</f>
        <v>0</v>
      </c>
      <c r="J82" s="89">
        <f>Y_D!BQ82</f>
        <v>-0.54000000000000026</v>
      </c>
      <c r="K82" s="88">
        <f>Y_E!S82</f>
        <v>0</v>
      </c>
      <c r="L82" s="90">
        <f t="shared" si="4"/>
        <v>-0.22500000000000017</v>
      </c>
      <c r="M82" s="90">
        <f t="shared" si="5"/>
        <v>0</v>
      </c>
    </row>
    <row r="83" spans="1:13" ht="15" customHeight="1" x14ac:dyDescent="0.2">
      <c r="A83" s="57">
        <v>80</v>
      </c>
      <c r="B83" s="35">
        <f>Hakemler!B83</f>
        <v>0</v>
      </c>
      <c r="C83" s="63">
        <f>Hakemler!C83</f>
        <v>0</v>
      </c>
      <c r="D83" s="87">
        <f>AtM_D!X83</f>
        <v>0.5</v>
      </c>
      <c r="E83" s="88">
        <f>AtM_E!S83</f>
        <v>0</v>
      </c>
      <c r="F83" s="89">
        <f>KP_D!BQ83</f>
        <v>-0.54000000000000026</v>
      </c>
      <c r="G83" s="88">
        <f>KP_E!S83</f>
        <v>0</v>
      </c>
      <c r="H83" s="89">
        <f>D_D!BQ83</f>
        <v>-0.32000000000000017</v>
      </c>
      <c r="I83" s="88">
        <f>D_E!S83</f>
        <v>0</v>
      </c>
      <c r="J83" s="89">
        <f>Y_D!BQ83</f>
        <v>-0.54000000000000026</v>
      </c>
      <c r="K83" s="88">
        <f>Y_E!S83</f>
        <v>0</v>
      </c>
      <c r="L83" s="90">
        <f t="shared" si="4"/>
        <v>-0.22500000000000017</v>
      </c>
      <c r="M83" s="90">
        <f t="shared" si="5"/>
        <v>0</v>
      </c>
    </row>
    <row r="84" spans="1:13" ht="15" customHeight="1" x14ac:dyDescent="0.2">
      <c r="A84" s="57">
        <v>81</v>
      </c>
      <c r="B84" s="35">
        <f>Hakemler!B84</f>
        <v>0</v>
      </c>
      <c r="C84" s="63">
        <f>Hakemler!C84</f>
        <v>0</v>
      </c>
      <c r="D84" s="87">
        <f>AtM_D!X84</f>
        <v>0.5</v>
      </c>
      <c r="E84" s="88">
        <f>AtM_E!S84</f>
        <v>0</v>
      </c>
      <c r="F84" s="89">
        <f>KP_D!BQ84</f>
        <v>-0.54000000000000026</v>
      </c>
      <c r="G84" s="88">
        <f>KP_E!S84</f>
        <v>0</v>
      </c>
      <c r="H84" s="89">
        <f>D_D!BQ84</f>
        <v>-0.32000000000000017</v>
      </c>
      <c r="I84" s="88">
        <f>D_E!S84</f>
        <v>0</v>
      </c>
      <c r="J84" s="89">
        <f>Y_D!BQ84</f>
        <v>-0.54000000000000026</v>
      </c>
      <c r="K84" s="88">
        <f>Y_E!S84</f>
        <v>0</v>
      </c>
      <c r="L84" s="90">
        <f t="shared" si="4"/>
        <v>-0.22500000000000017</v>
      </c>
      <c r="M84" s="90">
        <f t="shared" si="5"/>
        <v>0</v>
      </c>
    </row>
    <row r="85" spans="1:13" ht="15" customHeight="1" x14ac:dyDescent="0.2">
      <c r="A85" s="57">
        <v>82</v>
      </c>
      <c r="B85" s="35">
        <f>Hakemler!B85</f>
        <v>0</v>
      </c>
      <c r="C85" s="63">
        <f>Hakemler!C85</f>
        <v>0</v>
      </c>
      <c r="D85" s="87">
        <f>AtM_D!X85</f>
        <v>0.5</v>
      </c>
      <c r="E85" s="88">
        <f>AtM_E!S85</f>
        <v>0</v>
      </c>
      <c r="F85" s="89">
        <f>KP_D!BQ85</f>
        <v>-0.54000000000000026</v>
      </c>
      <c r="G85" s="88">
        <f>KP_E!S85</f>
        <v>0</v>
      </c>
      <c r="H85" s="89">
        <f>D_D!BQ85</f>
        <v>-0.32000000000000017</v>
      </c>
      <c r="I85" s="88">
        <f>D_E!S85</f>
        <v>0</v>
      </c>
      <c r="J85" s="89">
        <f>Y_D!BQ85</f>
        <v>-0.54000000000000026</v>
      </c>
      <c r="K85" s="88">
        <f>Y_E!S85</f>
        <v>0</v>
      </c>
      <c r="L85" s="90">
        <f t="shared" si="4"/>
        <v>-0.22500000000000017</v>
      </c>
      <c r="M85" s="90">
        <f t="shared" si="5"/>
        <v>0</v>
      </c>
    </row>
    <row r="86" spans="1:13" ht="15" customHeight="1" x14ac:dyDescent="0.2">
      <c r="A86" s="57">
        <v>83</v>
      </c>
      <c r="B86" s="35">
        <f>Hakemler!B86</f>
        <v>0</v>
      </c>
      <c r="C86" s="63">
        <f>Hakemler!C86</f>
        <v>0</v>
      </c>
      <c r="D86" s="87">
        <f>AtM_D!X86</f>
        <v>0.5</v>
      </c>
      <c r="E86" s="88">
        <f>AtM_E!S86</f>
        <v>0</v>
      </c>
      <c r="F86" s="89">
        <f>KP_D!BQ86</f>
        <v>-0.54000000000000026</v>
      </c>
      <c r="G86" s="88">
        <f>KP_E!S86</f>
        <v>0</v>
      </c>
      <c r="H86" s="89">
        <f>D_D!BQ86</f>
        <v>-0.32000000000000017</v>
      </c>
      <c r="I86" s="88">
        <f>D_E!S86</f>
        <v>0</v>
      </c>
      <c r="J86" s="89">
        <f>Y_D!BQ86</f>
        <v>-0.54000000000000026</v>
      </c>
      <c r="K86" s="88">
        <f>Y_E!S86</f>
        <v>0</v>
      </c>
      <c r="L86" s="90">
        <f t="shared" si="4"/>
        <v>-0.22500000000000017</v>
      </c>
      <c r="M86" s="90">
        <f t="shared" si="5"/>
        <v>0</v>
      </c>
    </row>
    <row r="87" spans="1:13" ht="15" customHeight="1" x14ac:dyDescent="0.2">
      <c r="A87" s="57">
        <v>84</v>
      </c>
      <c r="B87" s="35">
        <f>Hakemler!B87</f>
        <v>0</v>
      </c>
      <c r="C87" s="63">
        <f>Hakemler!C87</f>
        <v>0</v>
      </c>
      <c r="D87" s="87">
        <f>AtM_D!X87</f>
        <v>0.5</v>
      </c>
      <c r="E87" s="88">
        <f>AtM_E!S87</f>
        <v>0</v>
      </c>
      <c r="F87" s="89">
        <f>KP_D!BQ87</f>
        <v>-0.54000000000000026</v>
      </c>
      <c r="G87" s="88">
        <f>KP_E!S87</f>
        <v>0</v>
      </c>
      <c r="H87" s="89">
        <f>D_D!BQ87</f>
        <v>-0.32000000000000017</v>
      </c>
      <c r="I87" s="88">
        <f>D_E!S87</f>
        <v>0</v>
      </c>
      <c r="J87" s="89">
        <f>Y_D!BQ87</f>
        <v>-0.54000000000000026</v>
      </c>
      <c r="K87" s="88">
        <f>Y_E!S87</f>
        <v>0</v>
      </c>
      <c r="L87" s="90">
        <f t="shared" si="4"/>
        <v>-0.22500000000000017</v>
      </c>
      <c r="M87" s="90">
        <f t="shared" si="5"/>
        <v>0</v>
      </c>
    </row>
    <row r="88" spans="1:13" ht="15" customHeight="1" x14ac:dyDescent="0.2">
      <c r="A88" s="57">
        <v>85</v>
      </c>
      <c r="B88" s="35">
        <f>Hakemler!B88</f>
        <v>0</v>
      </c>
      <c r="C88" s="63">
        <f>Hakemler!C88</f>
        <v>0</v>
      </c>
      <c r="D88" s="87">
        <f>AtM_D!X88</f>
        <v>0.5</v>
      </c>
      <c r="E88" s="88">
        <f>AtM_E!S88</f>
        <v>0</v>
      </c>
      <c r="F88" s="89">
        <f>KP_D!BQ88</f>
        <v>-0.54000000000000026</v>
      </c>
      <c r="G88" s="88">
        <f>KP_E!S88</f>
        <v>0</v>
      </c>
      <c r="H88" s="89">
        <f>D_D!BQ88</f>
        <v>-0.32000000000000017</v>
      </c>
      <c r="I88" s="88">
        <f>D_E!S88</f>
        <v>0</v>
      </c>
      <c r="J88" s="89">
        <f>Y_D!BQ88</f>
        <v>-0.54000000000000026</v>
      </c>
      <c r="K88" s="88">
        <f>Y_E!S88</f>
        <v>0</v>
      </c>
      <c r="L88" s="90">
        <f t="shared" si="4"/>
        <v>-0.22500000000000017</v>
      </c>
      <c r="M88" s="90">
        <f t="shared" si="5"/>
        <v>0</v>
      </c>
    </row>
    <row r="89" spans="1:13" ht="15" customHeight="1" x14ac:dyDescent="0.2">
      <c r="A89" s="57">
        <v>86</v>
      </c>
      <c r="B89" s="35">
        <f>Hakemler!B89</f>
        <v>0</v>
      </c>
      <c r="C89" s="63">
        <f>Hakemler!C89</f>
        <v>0</v>
      </c>
      <c r="D89" s="87">
        <f>AtM_D!X89</f>
        <v>0.5</v>
      </c>
      <c r="E89" s="88">
        <f>AtM_E!S89</f>
        <v>0</v>
      </c>
      <c r="F89" s="89">
        <f>KP_D!BQ89</f>
        <v>-0.54000000000000026</v>
      </c>
      <c r="G89" s="88">
        <f>KP_E!S89</f>
        <v>0</v>
      </c>
      <c r="H89" s="89">
        <f>D_D!BQ89</f>
        <v>-0.32000000000000017</v>
      </c>
      <c r="I89" s="88">
        <f>D_E!S89</f>
        <v>0</v>
      </c>
      <c r="J89" s="89">
        <f>Y_D!BQ89</f>
        <v>-0.54000000000000026</v>
      </c>
      <c r="K89" s="88">
        <f>Y_E!S89</f>
        <v>0</v>
      </c>
      <c r="L89" s="90">
        <f t="shared" si="4"/>
        <v>-0.22500000000000017</v>
      </c>
      <c r="M89" s="90">
        <f t="shared" si="5"/>
        <v>0</v>
      </c>
    </row>
    <row r="90" spans="1:13" ht="15" customHeight="1" x14ac:dyDescent="0.2">
      <c r="A90" s="57">
        <v>87</v>
      </c>
      <c r="B90" s="35">
        <f>Hakemler!B90</f>
        <v>0</v>
      </c>
      <c r="C90" s="63">
        <f>Hakemler!C90</f>
        <v>0</v>
      </c>
      <c r="D90" s="87">
        <f>AtM_D!X90</f>
        <v>0.5</v>
      </c>
      <c r="E90" s="88">
        <f>AtM_E!S90</f>
        <v>0</v>
      </c>
      <c r="F90" s="89">
        <f>KP_D!BQ90</f>
        <v>-0.54000000000000026</v>
      </c>
      <c r="G90" s="88">
        <f>KP_E!S90</f>
        <v>0</v>
      </c>
      <c r="H90" s="89">
        <f>D_D!BQ90</f>
        <v>-0.32000000000000017</v>
      </c>
      <c r="I90" s="88">
        <f>D_E!S90</f>
        <v>0</v>
      </c>
      <c r="J90" s="89">
        <f>Y_D!BQ90</f>
        <v>-0.54000000000000026</v>
      </c>
      <c r="K90" s="88">
        <f>Y_E!S90</f>
        <v>0</v>
      </c>
      <c r="L90" s="90">
        <f t="shared" si="4"/>
        <v>-0.22500000000000017</v>
      </c>
      <c r="M90" s="90">
        <f t="shared" si="5"/>
        <v>0</v>
      </c>
    </row>
    <row r="91" spans="1:13" ht="15" customHeight="1" x14ac:dyDescent="0.2">
      <c r="A91" s="57">
        <v>88</v>
      </c>
      <c r="B91" s="35">
        <f>Hakemler!B91</f>
        <v>0</v>
      </c>
      <c r="C91" s="63">
        <f>Hakemler!C91</f>
        <v>0</v>
      </c>
      <c r="D91" s="87">
        <f>AtM_D!X91</f>
        <v>0.5</v>
      </c>
      <c r="E91" s="88">
        <f>AtM_E!S91</f>
        <v>0</v>
      </c>
      <c r="F91" s="89">
        <f>KP_D!BQ91</f>
        <v>-0.54000000000000026</v>
      </c>
      <c r="G91" s="88">
        <f>KP_E!S91</f>
        <v>0</v>
      </c>
      <c r="H91" s="89">
        <f>D_D!BQ91</f>
        <v>-0.32000000000000017</v>
      </c>
      <c r="I91" s="88">
        <f>D_E!S91</f>
        <v>0</v>
      </c>
      <c r="J91" s="89">
        <f>Y_D!BQ91</f>
        <v>-0.54000000000000026</v>
      </c>
      <c r="K91" s="88">
        <f>Y_E!S91</f>
        <v>0</v>
      </c>
      <c r="L91" s="90">
        <f t="shared" si="4"/>
        <v>-0.22500000000000017</v>
      </c>
      <c r="M91" s="90">
        <f t="shared" si="5"/>
        <v>0</v>
      </c>
    </row>
    <row r="92" spans="1:13" ht="15" customHeight="1" x14ac:dyDescent="0.2">
      <c r="A92" s="57">
        <v>89</v>
      </c>
      <c r="B92" s="35">
        <f>Hakemler!B92</f>
        <v>0</v>
      </c>
      <c r="C92" s="63">
        <f>Hakemler!C92</f>
        <v>0</v>
      </c>
      <c r="D92" s="87">
        <f>AtM_D!X92</f>
        <v>0.5</v>
      </c>
      <c r="E92" s="88">
        <f>AtM_E!S92</f>
        <v>0</v>
      </c>
      <c r="F92" s="89">
        <f>KP_D!BQ92</f>
        <v>-0.54000000000000026</v>
      </c>
      <c r="G92" s="88">
        <f>KP_E!S92</f>
        <v>0</v>
      </c>
      <c r="H92" s="89">
        <f>D_D!BQ92</f>
        <v>-0.32000000000000017</v>
      </c>
      <c r="I92" s="88">
        <f>D_E!S92</f>
        <v>0</v>
      </c>
      <c r="J92" s="89">
        <f>Y_D!BQ92</f>
        <v>-0.54000000000000026</v>
      </c>
      <c r="K92" s="88">
        <f>Y_E!S92</f>
        <v>0</v>
      </c>
      <c r="L92" s="90">
        <f t="shared" si="4"/>
        <v>-0.22500000000000017</v>
      </c>
      <c r="M92" s="90">
        <f t="shared" si="5"/>
        <v>0</v>
      </c>
    </row>
    <row r="93" spans="1:13" ht="15" customHeight="1" x14ac:dyDescent="0.2">
      <c r="A93" s="57">
        <v>90</v>
      </c>
      <c r="B93" s="35">
        <f>Hakemler!B93</f>
        <v>0</v>
      </c>
      <c r="C93" s="63">
        <f>Hakemler!C93</f>
        <v>0</v>
      </c>
      <c r="D93" s="87">
        <f>AtM_D!X93</f>
        <v>0.5</v>
      </c>
      <c r="E93" s="88">
        <f>AtM_E!S93</f>
        <v>0</v>
      </c>
      <c r="F93" s="89">
        <f>KP_D!BQ93</f>
        <v>-0.54000000000000026</v>
      </c>
      <c r="G93" s="88">
        <f>KP_E!S93</f>
        <v>0</v>
      </c>
      <c r="H93" s="89">
        <f>D_D!BQ93</f>
        <v>-0.32000000000000017</v>
      </c>
      <c r="I93" s="88">
        <f>D_E!S93</f>
        <v>0</v>
      </c>
      <c r="J93" s="89">
        <f>Y_D!BQ93</f>
        <v>-0.54000000000000026</v>
      </c>
      <c r="K93" s="88">
        <f>Y_E!S93</f>
        <v>0</v>
      </c>
      <c r="L93" s="90">
        <f t="shared" si="4"/>
        <v>-0.22500000000000017</v>
      </c>
      <c r="M93" s="90">
        <f t="shared" si="5"/>
        <v>0</v>
      </c>
    </row>
    <row r="94" spans="1:13" ht="15" customHeight="1" x14ac:dyDescent="0.2">
      <c r="A94" s="57">
        <v>91</v>
      </c>
      <c r="B94" s="35">
        <f>Hakemler!B94</f>
        <v>0</v>
      </c>
      <c r="C94" s="63">
        <f>Hakemler!C94</f>
        <v>0</v>
      </c>
      <c r="D94" s="87">
        <f>AtM_D!X94</f>
        <v>0.5</v>
      </c>
      <c r="E94" s="88">
        <f>AtM_E!S94</f>
        <v>0</v>
      </c>
      <c r="F94" s="89">
        <f>KP_D!BQ94</f>
        <v>-0.54000000000000026</v>
      </c>
      <c r="G94" s="88">
        <f>KP_E!S94</f>
        <v>0</v>
      </c>
      <c r="H94" s="89">
        <f>D_D!BQ94</f>
        <v>-0.32000000000000017</v>
      </c>
      <c r="I94" s="88">
        <f>D_E!S94</f>
        <v>0</v>
      </c>
      <c r="J94" s="89">
        <f>Y_D!BQ94</f>
        <v>-0.54000000000000026</v>
      </c>
      <c r="K94" s="88">
        <f>Y_E!S94</f>
        <v>0</v>
      </c>
      <c r="L94" s="90">
        <f t="shared" si="4"/>
        <v>-0.22500000000000017</v>
      </c>
      <c r="M94" s="90">
        <f t="shared" si="5"/>
        <v>0</v>
      </c>
    </row>
    <row r="95" spans="1:13" ht="15" customHeight="1" x14ac:dyDescent="0.2">
      <c r="A95" s="57">
        <v>92</v>
      </c>
      <c r="B95" s="35">
        <f>Hakemler!B95</f>
        <v>0</v>
      </c>
      <c r="C95" s="63">
        <f>Hakemler!C95</f>
        <v>0</v>
      </c>
      <c r="D95" s="87">
        <f>AtM_D!X95</f>
        <v>0.5</v>
      </c>
      <c r="E95" s="88">
        <f>AtM_E!S95</f>
        <v>0</v>
      </c>
      <c r="F95" s="89">
        <f>KP_D!BQ95</f>
        <v>-0.54000000000000026</v>
      </c>
      <c r="G95" s="88">
        <f>KP_E!S95</f>
        <v>0</v>
      </c>
      <c r="H95" s="89">
        <f>D_D!BQ95</f>
        <v>-0.32000000000000017</v>
      </c>
      <c r="I95" s="88">
        <f>D_E!S95</f>
        <v>0</v>
      </c>
      <c r="J95" s="89">
        <f>Y_D!BQ95</f>
        <v>-0.54000000000000026</v>
      </c>
      <c r="K95" s="88">
        <f>Y_E!S95</f>
        <v>0</v>
      </c>
      <c r="L95" s="90">
        <f t="shared" si="4"/>
        <v>-0.22500000000000017</v>
      </c>
      <c r="M95" s="90">
        <f t="shared" si="5"/>
        <v>0</v>
      </c>
    </row>
    <row r="96" spans="1:13" ht="15" customHeight="1" x14ac:dyDescent="0.2">
      <c r="A96" s="57">
        <v>93</v>
      </c>
      <c r="B96" s="35">
        <f>Hakemler!B96</f>
        <v>0</v>
      </c>
      <c r="C96" s="63">
        <f>Hakemler!C96</f>
        <v>0</v>
      </c>
      <c r="D96" s="87">
        <f>AtM_D!X96</f>
        <v>0.5</v>
      </c>
      <c r="E96" s="88">
        <f>AtM_E!S96</f>
        <v>0</v>
      </c>
      <c r="F96" s="89">
        <f>KP_D!BQ96</f>
        <v>-0.54000000000000026</v>
      </c>
      <c r="G96" s="88">
        <f>KP_E!S96</f>
        <v>0</v>
      </c>
      <c r="H96" s="89">
        <f>D_D!BQ96</f>
        <v>-0.32000000000000017</v>
      </c>
      <c r="I96" s="88">
        <f>D_E!S96</f>
        <v>0</v>
      </c>
      <c r="J96" s="89">
        <f>Y_D!BQ96</f>
        <v>-0.54000000000000026</v>
      </c>
      <c r="K96" s="88">
        <f>Y_E!S96</f>
        <v>0</v>
      </c>
      <c r="L96" s="90">
        <f t="shared" si="4"/>
        <v>-0.22500000000000017</v>
      </c>
      <c r="M96" s="90">
        <f t="shared" si="5"/>
        <v>0</v>
      </c>
    </row>
    <row r="97" spans="1:13" ht="15" customHeight="1" x14ac:dyDescent="0.2">
      <c r="A97" s="57">
        <v>94</v>
      </c>
      <c r="B97" s="35">
        <f>Hakemler!B97</f>
        <v>0</v>
      </c>
      <c r="C97" s="63">
        <f>Hakemler!C97</f>
        <v>0</v>
      </c>
      <c r="D97" s="87">
        <f>AtM_D!X97</f>
        <v>0.5</v>
      </c>
      <c r="E97" s="88">
        <f>AtM_E!S97</f>
        <v>0</v>
      </c>
      <c r="F97" s="89">
        <f>KP_D!BQ97</f>
        <v>-0.54000000000000026</v>
      </c>
      <c r="G97" s="88">
        <f>KP_E!S97</f>
        <v>0</v>
      </c>
      <c r="H97" s="89">
        <f>D_D!BQ97</f>
        <v>-0.32000000000000017</v>
      </c>
      <c r="I97" s="88">
        <f>D_E!S97</f>
        <v>0</v>
      </c>
      <c r="J97" s="89">
        <f>Y_D!BQ97</f>
        <v>-0.54000000000000026</v>
      </c>
      <c r="K97" s="88">
        <f>Y_E!S97</f>
        <v>0</v>
      </c>
      <c r="L97" s="90">
        <f t="shared" si="4"/>
        <v>-0.22500000000000017</v>
      </c>
      <c r="M97" s="90">
        <f t="shared" si="5"/>
        <v>0</v>
      </c>
    </row>
    <row r="98" spans="1:13" ht="15" customHeight="1" x14ac:dyDescent="0.2">
      <c r="A98" s="57">
        <v>95</v>
      </c>
      <c r="B98" s="35">
        <f>Hakemler!B98</f>
        <v>0</v>
      </c>
      <c r="C98" s="63">
        <f>Hakemler!C98</f>
        <v>0</v>
      </c>
      <c r="D98" s="87">
        <f>AtM_D!X98</f>
        <v>0.5</v>
      </c>
      <c r="E98" s="88">
        <f>AtM_E!S98</f>
        <v>0</v>
      </c>
      <c r="F98" s="89">
        <f>KP_D!BQ98</f>
        <v>-0.54000000000000026</v>
      </c>
      <c r="G98" s="88">
        <f>KP_E!S98</f>
        <v>0</v>
      </c>
      <c r="H98" s="89">
        <f>D_D!BQ98</f>
        <v>-0.32000000000000017</v>
      </c>
      <c r="I98" s="88">
        <f>D_E!S98</f>
        <v>0</v>
      </c>
      <c r="J98" s="89">
        <f>Y_D!BQ98</f>
        <v>-0.54000000000000026</v>
      </c>
      <c r="K98" s="88">
        <f>Y_E!S98</f>
        <v>0</v>
      </c>
      <c r="L98" s="90">
        <f t="shared" si="4"/>
        <v>-0.22500000000000017</v>
      </c>
      <c r="M98" s="90">
        <f t="shared" si="5"/>
        <v>0</v>
      </c>
    </row>
    <row r="99" spans="1:13" ht="15" customHeight="1" x14ac:dyDescent="0.2">
      <c r="A99" s="57">
        <v>96</v>
      </c>
      <c r="B99" s="35">
        <f>Hakemler!B99</f>
        <v>0</v>
      </c>
      <c r="C99" s="63">
        <f>Hakemler!C99</f>
        <v>0</v>
      </c>
      <c r="D99" s="87">
        <f>AtM_D!X99</f>
        <v>0.5</v>
      </c>
      <c r="E99" s="88">
        <f>AtM_E!S99</f>
        <v>0</v>
      </c>
      <c r="F99" s="89">
        <f>KP_D!BQ99</f>
        <v>-0.54000000000000026</v>
      </c>
      <c r="G99" s="88">
        <f>KP_E!S99</f>
        <v>0</v>
      </c>
      <c r="H99" s="89">
        <f>D_D!BQ99</f>
        <v>-0.32000000000000017</v>
      </c>
      <c r="I99" s="88">
        <f>D_E!S99</f>
        <v>0</v>
      </c>
      <c r="J99" s="89">
        <f>Y_D!BQ99</f>
        <v>-0.54000000000000026</v>
      </c>
      <c r="K99" s="88">
        <f>Y_E!S99</f>
        <v>0</v>
      </c>
      <c r="L99" s="90">
        <f t="shared" si="4"/>
        <v>-0.22500000000000017</v>
      </c>
      <c r="M99" s="90">
        <f t="shared" si="5"/>
        <v>0</v>
      </c>
    </row>
    <row r="100" spans="1:13" ht="15" customHeight="1" x14ac:dyDescent="0.2">
      <c r="A100" s="57">
        <v>97</v>
      </c>
      <c r="B100" s="35">
        <f>Hakemler!B100</f>
        <v>0</v>
      </c>
      <c r="C100" s="63">
        <f>Hakemler!C100</f>
        <v>0</v>
      </c>
      <c r="D100" s="87">
        <f>AtM_D!X100</f>
        <v>0.5</v>
      </c>
      <c r="E100" s="88">
        <f>AtM_E!S100</f>
        <v>0</v>
      </c>
      <c r="F100" s="89">
        <f>KP_D!BQ100</f>
        <v>-0.54000000000000026</v>
      </c>
      <c r="G100" s="88">
        <f>KP_E!S100</f>
        <v>0</v>
      </c>
      <c r="H100" s="89">
        <f>D_D!BQ100</f>
        <v>-0.32000000000000017</v>
      </c>
      <c r="I100" s="88">
        <f>D_E!S100</f>
        <v>0</v>
      </c>
      <c r="J100" s="89">
        <f>Y_D!BQ100</f>
        <v>-0.54000000000000026</v>
      </c>
      <c r="K100" s="88">
        <f>Y_E!S100</f>
        <v>0</v>
      </c>
      <c r="L100" s="90">
        <f t="shared" si="4"/>
        <v>-0.22500000000000017</v>
      </c>
      <c r="M100" s="90">
        <f t="shared" si="5"/>
        <v>0</v>
      </c>
    </row>
    <row r="101" spans="1:13" ht="15" customHeight="1" x14ac:dyDescent="0.2">
      <c r="A101" s="57">
        <v>98</v>
      </c>
      <c r="B101" s="35">
        <f>Hakemler!B101</f>
        <v>0</v>
      </c>
      <c r="C101" s="63">
        <f>Hakemler!C101</f>
        <v>0</v>
      </c>
      <c r="D101" s="87">
        <f>AtM_D!X101</f>
        <v>0.5</v>
      </c>
      <c r="E101" s="88">
        <f>AtM_E!S101</f>
        <v>0</v>
      </c>
      <c r="F101" s="89">
        <f>KP_D!BQ101</f>
        <v>-0.54000000000000026</v>
      </c>
      <c r="G101" s="88">
        <f>KP_E!S101</f>
        <v>0</v>
      </c>
      <c r="H101" s="89">
        <f>D_D!BQ101</f>
        <v>-0.32000000000000017</v>
      </c>
      <c r="I101" s="88">
        <f>D_E!S101</f>
        <v>0</v>
      </c>
      <c r="J101" s="89">
        <f>Y_D!BQ101</f>
        <v>-0.54000000000000026</v>
      </c>
      <c r="K101" s="88">
        <f>Y_E!S101</f>
        <v>0</v>
      </c>
      <c r="L101" s="90">
        <f t="shared" si="4"/>
        <v>-0.22500000000000017</v>
      </c>
      <c r="M101" s="90">
        <f t="shared" si="5"/>
        <v>0</v>
      </c>
    </row>
    <row r="102" spans="1:13" ht="15" customHeight="1" x14ac:dyDescent="0.2">
      <c r="A102" s="57">
        <v>99</v>
      </c>
      <c r="B102" s="35">
        <f>Hakemler!B102</f>
        <v>0</v>
      </c>
      <c r="C102" s="63">
        <f>Hakemler!C102</f>
        <v>0</v>
      </c>
      <c r="D102" s="87">
        <f>AtM_D!X102</f>
        <v>0.5</v>
      </c>
      <c r="E102" s="88">
        <f>AtM_E!S102</f>
        <v>0</v>
      </c>
      <c r="F102" s="89">
        <f>KP_D!BQ102</f>
        <v>-0.54000000000000026</v>
      </c>
      <c r="G102" s="88">
        <f>KP_E!S102</f>
        <v>0</v>
      </c>
      <c r="H102" s="89">
        <f>D_D!BQ102</f>
        <v>-0.32000000000000017</v>
      </c>
      <c r="I102" s="88">
        <f>D_E!S102</f>
        <v>0</v>
      </c>
      <c r="J102" s="89">
        <f>Y_D!BQ102</f>
        <v>-0.54000000000000026</v>
      </c>
      <c r="K102" s="88">
        <f>Y_E!S102</f>
        <v>0</v>
      </c>
      <c r="L102" s="90">
        <f t="shared" si="4"/>
        <v>-0.22500000000000017</v>
      </c>
      <c r="M102" s="90">
        <f t="shared" si="5"/>
        <v>0</v>
      </c>
    </row>
    <row r="103" spans="1:13" ht="15.75" customHeight="1" x14ac:dyDescent="0.2">
      <c r="A103" s="76">
        <v>100</v>
      </c>
      <c r="B103" s="35">
        <f>Hakemler!B103</f>
        <v>0</v>
      </c>
      <c r="C103" s="63">
        <f>Hakemler!C103</f>
        <v>0</v>
      </c>
      <c r="D103" s="87">
        <f>AtM_D!X103</f>
        <v>0.5</v>
      </c>
      <c r="E103" s="88">
        <f>AtM_E!S103</f>
        <v>0</v>
      </c>
      <c r="F103" s="89">
        <f>KP_D!BQ103</f>
        <v>-0.54000000000000026</v>
      </c>
      <c r="G103" s="88">
        <f>KP_E!S103</f>
        <v>0</v>
      </c>
      <c r="H103" s="89">
        <f>D_D!BQ103</f>
        <v>-0.32000000000000017</v>
      </c>
      <c r="I103" s="88">
        <f>D_E!S103</f>
        <v>0</v>
      </c>
      <c r="J103" s="89">
        <f>Y_D!BQ103</f>
        <v>-0.54000000000000026</v>
      </c>
      <c r="K103" s="88">
        <f>Y_E!S103</f>
        <v>0</v>
      </c>
      <c r="L103" s="90">
        <f t="shared" si="4"/>
        <v>-0.22500000000000017</v>
      </c>
      <c r="M103" s="90">
        <f t="shared" si="5"/>
        <v>0</v>
      </c>
    </row>
  </sheetData>
  <mergeCells count="5">
    <mergeCell ref="A1:M1"/>
    <mergeCell ref="J2:K2"/>
    <mergeCell ref="H2:I2"/>
    <mergeCell ref="F2:G2"/>
    <mergeCell ref="D2:E2"/>
  </mergeCells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3FAE-164C-C54E-BF71-1CE26AB1ECA2}">
  <sheetPr codeName="Sayfa12"/>
  <dimension ref="A1:W20"/>
  <sheetViews>
    <sheetView showGridLines="0" tabSelected="1" zoomScaleNormal="100" workbookViewId="0">
      <selection activeCell="O7" sqref="O7"/>
    </sheetView>
  </sheetViews>
  <sheetFormatPr baseColWidth="10" defaultColWidth="7.5" defaultRowHeight="13" x14ac:dyDescent="0.2"/>
  <cols>
    <col min="1" max="1" width="1" style="142" customWidth="1"/>
    <col min="2" max="2" width="14.5" style="142" customWidth="1"/>
    <col min="3" max="3" width="1.83203125" style="142" customWidth="1"/>
    <col min="4" max="4" width="15.5" style="142" customWidth="1"/>
    <col min="5" max="14" width="8.83203125" style="142" customWidth="1"/>
    <col min="15" max="15" width="10.5" style="142" customWidth="1"/>
    <col min="16" max="16" width="6.6640625" style="142" customWidth="1"/>
    <col min="17" max="20" width="7.5" style="142"/>
    <col min="21" max="21" width="9.6640625" style="142" bestFit="1" customWidth="1"/>
    <col min="22" max="22" width="13.5" style="142" bestFit="1" customWidth="1"/>
    <col min="23" max="23" width="14" style="142" bestFit="1" customWidth="1"/>
    <col min="24" max="24" width="7.5" style="142" customWidth="1"/>
    <col min="25" max="16384" width="7.5" style="142"/>
  </cols>
  <sheetData>
    <row r="1" spans="1:23" ht="156.5" customHeight="1" x14ac:dyDescent="0.2">
      <c r="A1" s="214" t="s">
        <v>86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6"/>
      <c r="V1" s="160" t="s">
        <v>82</v>
      </c>
      <c r="W1" s="160">
        <v>1</v>
      </c>
    </row>
    <row r="2" spans="1:23" ht="34" customHeight="1" x14ac:dyDescent="0.2">
      <c r="A2" s="145"/>
      <c r="B2" s="146" t="s">
        <v>68</v>
      </c>
      <c r="C2" s="217" t="str">
        <f>CONCATENATE(D7," ",B7)</f>
        <v>Yalçıner Yunus Emre</v>
      </c>
      <c r="D2" s="217"/>
      <c r="E2" s="217"/>
      <c r="F2" s="217"/>
      <c r="G2" s="217"/>
      <c r="H2" s="217"/>
      <c r="I2" s="217"/>
      <c r="J2" s="217"/>
      <c r="K2" s="217"/>
      <c r="L2" s="147"/>
      <c r="M2" s="147"/>
      <c r="N2" s="147"/>
      <c r="O2" s="147"/>
      <c r="P2" s="148"/>
    </row>
    <row r="3" spans="1:23" ht="18" customHeight="1" x14ac:dyDescent="0.15">
      <c r="A3" s="149"/>
      <c r="B3" s="218" t="s">
        <v>69</v>
      </c>
      <c r="C3" s="218"/>
      <c r="D3" s="218"/>
      <c r="E3" s="218"/>
      <c r="F3" s="218"/>
      <c r="G3" s="218"/>
      <c r="H3" s="218"/>
      <c r="I3" s="218"/>
      <c r="J3" s="218"/>
      <c r="K3" s="218"/>
      <c r="L3" s="150"/>
      <c r="M3" s="150"/>
      <c r="N3" s="150"/>
      <c r="O3" s="150"/>
      <c r="P3" s="151"/>
    </row>
    <row r="4" spans="1:23" ht="26" customHeight="1" x14ac:dyDescent="0.2">
      <c r="A4" s="152"/>
      <c r="B4" s="231" t="s">
        <v>81</v>
      </c>
      <c r="C4" s="231"/>
      <c r="D4" s="231"/>
      <c r="E4" s="161" t="str">
        <f>IF(W1&lt;&gt;"",VLOOKUP(W1,Hakemler!$A:$F,6,0),"")</f>
        <v>Bölge</v>
      </c>
      <c r="H4" s="144"/>
      <c r="I4" s="144"/>
      <c r="J4" s="144"/>
      <c r="K4" s="144"/>
      <c r="M4" s="144"/>
      <c r="N4" s="144"/>
      <c r="O4" s="144"/>
      <c r="P4" s="153"/>
      <c r="Q4" s="144"/>
      <c r="R4" s="144"/>
      <c r="S4" s="144"/>
      <c r="T4" s="144"/>
      <c r="U4" s="144"/>
    </row>
    <row r="5" spans="1:23" ht="77.25" customHeight="1" x14ac:dyDescent="0.2">
      <c r="A5" s="152"/>
      <c r="B5" s="219"/>
      <c r="C5" s="219"/>
      <c r="D5" s="220"/>
      <c r="E5" s="221" t="s">
        <v>77</v>
      </c>
      <c r="F5" s="222"/>
      <c r="G5" s="221" t="s">
        <v>78</v>
      </c>
      <c r="H5" s="222"/>
      <c r="I5" s="221" t="s">
        <v>79</v>
      </c>
      <c r="J5" s="222"/>
      <c r="K5" s="221" t="s">
        <v>80</v>
      </c>
      <c r="L5" s="223"/>
      <c r="M5" s="221" t="s">
        <v>70</v>
      </c>
      <c r="N5" s="232"/>
      <c r="O5" s="222"/>
      <c r="P5" s="154"/>
    </row>
    <row r="6" spans="1:23" ht="17.25" customHeight="1" x14ac:dyDescent="0.15">
      <c r="A6" s="149"/>
      <c r="B6" s="227" t="s">
        <v>71</v>
      </c>
      <c r="C6" s="227"/>
      <c r="D6" s="155" t="s">
        <v>72</v>
      </c>
      <c r="E6" s="156" t="s">
        <v>73</v>
      </c>
      <c r="F6" s="156" t="s">
        <v>74</v>
      </c>
      <c r="G6" s="156" t="s">
        <v>73</v>
      </c>
      <c r="H6" s="156" t="s">
        <v>74</v>
      </c>
      <c r="I6" s="156" t="s">
        <v>73</v>
      </c>
      <c r="J6" s="156" t="s">
        <v>74</v>
      </c>
      <c r="K6" s="156" t="s">
        <v>73</v>
      </c>
      <c r="L6" s="156" t="s">
        <v>74</v>
      </c>
      <c r="M6" s="156" t="s">
        <v>73</v>
      </c>
      <c r="N6" s="156" t="s">
        <v>74</v>
      </c>
      <c r="O6" s="156" t="s">
        <v>75</v>
      </c>
      <c r="P6" s="151"/>
    </row>
    <row r="7" spans="1:23" ht="22" customHeight="1" x14ac:dyDescent="0.15">
      <c r="A7" s="149"/>
      <c r="B7" s="228" t="str">
        <f>IF(W1&lt;&gt;"",VLOOKUP(W1,Sonuclar!A:M,3,0),"")</f>
        <v>Yunus Emre</v>
      </c>
      <c r="C7" s="229"/>
      <c r="D7" s="143" t="str">
        <f>IF(W1&lt;&gt;"",VLOOKUP(W1,Sonuclar!A:M,2,0),"")</f>
        <v>Yalçıner</v>
      </c>
      <c r="E7" s="157">
        <f>IF(W1&lt;&gt;"",VLOOKUP(W1,Sonuclar!$A:$M,5,0),"")</f>
        <v>0.88000000000000012</v>
      </c>
      <c r="F7" s="157">
        <f>IF(W1&lt;&gt;"",VLOOKUP(W1,Sonuclar!$A:$M,4,0),"")</f>
        <v>1</v>
      </c>
      <c r="G7" s="157">
        <f>IF(W1&lt;&gt;"",VLOOKUP(W1,Sonuclar!$A:$M,7,0),"")</f>
        <v>0.97</v>
      </c>
      <c r="H7" s="157">
        <f>IF(W1&lt;&gt;"",VLOOKUP(W1,Sonuclar!$A:$M,6,0),"")</f>
        <v>1</v>
      </c>
      <c r="I7" s="157">
        <f>IF(W1&lt;&gt;"",VLOOKUP(W1,Sonuclar!$A:$M,9,0),"")</f>
        <v>1</v>
      </c>
      <c r="J7" s="157">
        <f>IF(W1&lt;&gt;"",VLOOKUP(W1,Sonuclar!$A:$M,8,0),"")</f>
        <v>0.92000000000000015</v>
      </c>
      <c r="K7" s="157">
        <f>IF(W1&lt;&gt;"",VLOOKUP(W1,Sonuclar!$A:$M,11,0),"")</f>
        <v>0.86</v>
      </c>
      <c r="L7" s="157">
        <f>IF(W1&lt;&gt;"",VLOOKUP(W1,Sonuclar!$A:$M,10,0),"")</f>
        <v>0.94000000000000006</v>
      </c>
      <c r="M7" s="157">
        <f>IF(W1&lt;&gt;"",VLOOKUP(W1,Sonuclar!$A:$M,13,0),"")</f>
        <v>0.92749999999999999</v>
      </c>
      <c r="N7" s="157">
        <f>IF(W1&lt;&gt;"",VLOOKUP(W1,Sonuclar!$A:$M,12,0),"")</f>
        <v>0.96499999999999997</v>
      </c>
      <c r="O7" s="158">
        <f>AVERAGE(M7:N7)</f>
        <v>0.94625000000000004</v>
      </c>
      <c r="P7" s="151"/>
    </row>
    <row r="8" spans="1:23" ht="14.25" customHeight="1" x14ac:dyDescent="0.15">
      <c r="A8" s="149"/>
      <c r="B8" s="230"/>
      <c r="C8" s="230"/>
      <c r="D8" s="230"/>
      <c r="E8" s="159" t="str">
        <f>IF(E7&gt;=92%, "Mükemmel",
    IF(E7&gt;=87%, "Çok İyi",
    IF(E7&gt;=80%, "İyi",
    IF(E7&gt;=75%, "Geçer",
    "Yetersiz"))))</f>
        <v>Çok İyi</v>
      </c>
      <c r="F8" s="159" t="str">
        <f>IF(F7&gt;=94%, "Mükemmel",
    IF(F7&gt;=90%, "Çok İyi",
    IF(F7&gt;=80%, "İyi",
    IF(F7&gt;=65%, "Geçer",
    "Yetersiz"))))</f>
        <v>Mükemmel</v>
      </c>
      <c r="G8" s="159" t="str">
        <f>IF(G7&gt;=92%, "Mükemmel",
    IF(G7&gt;=87%, "Çok İyi",
    IF(G7&gt;=80%, "İyi",
    IF(G7&gt;=75%, "Geçer",
    "Yetersiz"))))</f>
        <v>Mükemmel</v>
      </c>
      <c r="H8" s="159" t="str">
        <f>IF(H7&gt;=94%, "Mükemmel",
    IF(H7&gt;=90%, "Çok İyi",
    IF(H7&gt;=80%, "İyi",
    IF(H7&gt;=65%, "Geçer",
    "Yetersiz"))))</f>
        <v>Mükemmel</v>
      </c>
      <c r="I8" s="159" t="str">
        <f>IF(I7&gt;=92%, "Mükemmel",
    IF(I7&gt;=87%, "Çok İyi",
    IF(I7&gt;=80%, "İyi",
    IF(I7&gt;=75%, "Geçer",
    "Yetersiz"))))</f>
        <v>Mükemmel</v>
      </c>
      <c r="J8" s="159" t="str">
        <f>IF(J7&gt;=94%, "Mükemmel",
    IF(J7&gt;=90%, "Çok İyi",
    IF(J7&gt;=80%, "İyi",
    IF(J7&gt;=65%, "Geçer",
    "Yetersiz"))))</f>
        <v>Çok İyi</v>
      </c>
      <c r="K8" s="159" t="str">
        <f>IF(K7&gt;=92%, "Mükemmel",
    IF(K7&gt;=87%, "Çok İyi",
    IF(K7&gt;=80%, "İyi",
    IF(K7&gt;=75%, "Geçer",
    "Yetersiz"))))</f>
        <v>İyi</v>
      </c>
      <c r="L8" s="159" t="str">
        <f>IF(L7&gt;=94%, "Mükemmel",
    IF(L7&gt;=90%, "Çok İyi",
    IF(L7&gt;=80%, "İyi",
    IF(L7&gt;=65%, "Geçer",
    "Yetersiz"))))</f>
        <v>Mükemmel</v>
      </c>
      <c r="M8" s="159" t="str">
        <f>IF(M7&gt;=92%, "Mükemmel",
    IF(M7&gt;=87%, "Çok İyi",
    IF(M7&gt;=80%, "İyi",
    IF(M7&gt;=75%, "Geçer",
    "Yetersiz"))))</f>
        <v>Mükemmel</v>
      </c>
      <c r="N8" s="159" t="str">
        <f>IF(N7&gt;=94%, "Mükemmel",
    IF(N7&gt;=90%, "Çok İyi",
    IF(N7&gt;=80%, "İyi",
    IF(N7&gt;=65%, "Geçer",
    "Yetersiz"))))</f>
        <v>Mükemmel</v>
      </c>
      <c r="O8" s="159" t="str">
        <f t="shared" ref="O8" si="0">IF(O7&gt;=94%, "Mükemmel",
    IF(O7&gt;=90%, "Çok İyi",
    IF(O7&gt;=80%, "İyi",
    IF(O7&gt;=65%, "Geçer",
    "Başarısız"))))</f>
        <v>Mükemmel</v>
      </c>
      <c r="P8" s="151"/>
    </row>
    <row r="9" spans="1:23" ht="72" customHeight="1" x14ac:dyDescent="0.2">
      <c r="A9" s="224" t="s">
        <v>76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6"/>
    </row>
    <row r="11" spans="1:23" ht="15" x14ac:dyDescent="0.2">
      <c r="U11"/>
      <c r="V11"/>
      <c r="W11"/>
    </row>
    <row r="12" spans="1:23" ht="15" x14ac:dyDescent="0.2">
      <c r="U12"/>
      <c r="V12"/>
      <c r="W12"/>
    </row>
    <row r="13" spans="1:23" ht="15" x14ac:dyDescent="0.2">
      <c r="U13"/>
      <c r="V13"/>
      <c r="W13"/>
    </row>
    <row r="14" spans="1:23" ht="15" x14ac:dyDescent="0.2">
      <c r="U14"/>
      <c r="V14"/>
      <c r="W14"/>
    </row>
    <row r="15" spans="1:23" ht="15" customHeight="1" x14ac:dyDescent="0.2">
      <c r="U15"/>
      <c r="V15"/>
      <c r="W15"/>
    </row>
    <row r="16" spans="1:23" ht="15" x14ac:dyDescent="0.2">
      <c r="U16"/>
      <c r="V16"/>
      <c r="W16"/>
    </row>
    <row r="17" spans="21:23" ht="17" customHeight="1" x14ac:dyDescent="0.2">
      <c r="U17"/>
      <c r="V17"/>
      <c r="W17"/>
    </row>
    <row r="18" spans="21:23" ht="17" customHeight="1" x14ac:dyDescent="0.2">
      <c r="U18"/>
      <c r="V18"/>
      <c r="W18"/>
    </row>
    <row r="19" spans="21:23" ht="16" customHeight="1" x14ac:dyDescent="0.2">
      <c r="U19"/>
      <c r="V19"/>
      <c r="W19"/>
    </row>
    <row r="20" spans="21:23" ht="34" customHeight="1" x14ac:dyDescent="0.2">
      <c r="U20"/>
      <c r="V20"/>
      <c r="W20"/>
    </row>
  </sheetData>
  <mergeCells count="14">
    <mergeCell ref="A9:P9"/>
    <mergeCell ref="B6:C6"/>
    <mergeCell ref="B7:C7"/>
    <mergeCell ref="B8:D8"/>
    <mergeCell ref="B4:D4"/>
    <mergeCell ref="M5:O5"/>
    <mergeCell ref="A1:P1"/>
    <mergeCell ref="C2:K2"/>
    <mergeCell ref="B3:K3"/>
    <mergeCell ref="B5:D5"/>
    <mergeCell ref="E5:F5"/>
    <mergeCell ref="G5:H5"/>
    <mergeCell ref="I5:J5"/>
    <mergeCell ref="K5:L5"/>
  </mergeCells>
  <conditionalFormatting sqref="E8:O8">
    <cfRule type="containsText" dxfId="4" priority="1" operator="containsText" text="Yetersiz">
      <formula>NOT(ISERROR(SEARCH("Yetersiz",E8)))</formula>
    </cfRule>
    <cfRule type="containsText" dxfId="3" priority="2" operator="containsText" text="Geçer">
      <formula>NOT(ISERROR(SEARCH("Geçer",E8)))</formula>
    </cfRule>
    <cfRule type="cellIs" dxfId="2" priority="3" operator="equal">
      <formula>"İyi"</formula>
    </cfRule>
    <cfRule type="cellIs" dxfId="1" priority="4" stopIfTrue="1" operator="equal">
      <formula>"Çok İyi"</formula>
    </cfRule>
    <cfRule type="containsText" dxfId="0" priority="5" operator="containsText" text="Mükemmel">
      <formula>NOT(ISERROR(SEARCH("Mükemmel",E8)))</formula>
    </cfRule>
  </conditionalFormatting>
  <pageMargins left="0.7" right="0.7" top="0.75" bottom="0.75" header="0.3" footer="0.3"/>
  <pageSetup paperSize="9" scale="51" orientation="portrait" horizontalDpi="0" verticalDpi="0"/>
  <colBreaks count="1" manualBreakCount="1">
    <brk id="17" max="1048575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3"/>
  <dimension ref="A1:IV36"/>
  <sheetViews>
    <sheetView showGridLines="0" workbookViewId="0">
      <selection activeCell="I3" sqref="I3"/>
    </sheetView>
  </sheetViews>
  <sheetFormatPr baseColWidth="10" defaultColWidth="8.83203125" defaultRowHeight="15" customHeight="1" x14ac:dyDescent="0.2"/>
  <cols>
    <col min="1" max="256" width="8.83203125" style="1" customWidth="1"/>
  </cols>
  <sheetData>
    <row r="1" spans="1:20" ht="18" customHeight="1" x14ac:dyDescent="0.2">
      <c r="A1" s="239" t="s">
        <v>53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44"/>
      <c r="O1" s="91"/>
      <c r="P1" s="92"/>
      <c r="Q1" s="92"/>
      <c r="R1" s="92"/>
      <c r="S1" s="92"/>
      <c r="T1" s="93"/>
    </row>
    <row r="2" spans="1:20" ht="18" customHeight="1" x14ac:dyDescent="0.2">
      <c r="A2" s="244" t="s">
        <v>54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44"/>
      <c r="O2" s="94"/>
      <c r="P2" s="95"/>
      <c r="Q2" s="95"/>
      <c r="R2" s="95"/>
      <c r="S2" s="95"/>
      <c r="T2" s="96"/>
    </row>
    <row r="3" spans="1:20" ht="15" customHeight="1" x14ac:dyDescent="0.2">
      <c r="A3" s="97"/>
      <c r="B3" s="98" t="s">
        <v>31</v>
      </c>
      <c r="C3" s="98" t="s">
        <v>32</v>
      </c>
      <c r="D3" s="98" t="s">
        <v>33</v>
      </c>
      <c r="E3" s="98" t="s">
        <v>34</v>
      </c>
      <c r="F3" s="98" t="s">
        <v>35</v>
      </c>
      <c r="G3" s="98" t="s">
        <v>36</v>
      </c>
      <c r="H3" s="98" t="s">
        <v>37</v>
      </c>
      <c r="I3" s="98"/>
      <c r="J3" s="98"/>
      <c r="K3" s="98"/>
      <c r="L3" s="98" t="s">
        <v>41</v>
      </c>
      <c r="M3" s="98" t="s">
        <v>55</v>
      </c>
      <c r="N3" s="99"/>
      <c r="O3" s="94"/>
      <c r="P3" s="95"/>
      <c r="Q3" s="95"/>
      <c r="R3" s="95"/>
      <c r="S3" s="95"/>
      <c r="T3" s="96"/>
    </row>
    <row r="4" spans="1:20" ht="15" customHeight="1" x14ac:dyDescent="0.2">
      <c r="A4" s="100" t="s">
        <v>16</v>
      </c>
      <c r="B4" s="101">
        <v>0</v>
      </c>
      <c r="C4" s="101">
        <v>0</v>
      </c>
      <c r="D4" s="101">
        <v>0</v>
      </c>
      <c r="E4" s="101">
        <v>4</v>
      </c>
      <c r="F4" s="101">
        <v>2</v>
      </c>
      <c r="G4" s="101">
        <v>2</v>
      </c>
      <c r="H4" s="101">
        <v>0</v>
      </c>
      <c r="I4" s="101">
        <v>0</v>
      </c>
      <c r="J4" s="101">
        <v>0</v>
      </c>
      <c r="K4" s="101">
        <v>0</v>
      </c>
      <c r="L4" s="102">
        <v>2</v>
      </c>
      <c r="M4" s="102">
        <v>0.7</v>
      </c>
      <c r="N4" s="99"/>
      <c r="O4" s="94"/>
      <c r="P4" s="95"/>
      <c r="Q4" s="95"/>
      <c r="R4" s="95"/>
      <c r="S4" s="95"/>
      <c r="T4" s="96"/>
    </row>
    <row r="5" spans="1:20" ht="15" customHeight="1" x14ac:dyDescent="0.2">
      <c r="A5" s="100" t="s">
        <v>17</v>
      </c>
      <c r="B5" s="101">
        <v>0</v>
      </c>
      <c r="C5" s="101">
        <v>0</v>
      </c>
      <c r="D5" s="101">
        <v>0</v>
      </c>
      <c r="E5" s="101">
        <v>5</v>
      </c>
      <c r="F5" s="101">
        <v>3</v>
      </c>
      <c r="G5" s="101">
        <v>0</v>
      </c>
      <c r="H5" s="101">
        <v>0</v>
      </c>
      <c r="I5" s="101">
        <v>0</v>
      </c>
      <c r="J5" s="101">
        <v>0</v>
      </c>
      <c r="K5" s="101">
        <v>0</v>
      </c>
      <c r="L5" s="102">
        <v>2</v>
      </c>
      <c r="M5" s="102">
        <v>0.3</v>
      </c>
      <c r="N5" s="99"/>
      <c r="O5" s="94"/>
      <c r="P5" s="95"/>
      <c r="Q5" s="95"/>
      <c r="R5" s="95"/>
      <c r="S5" s="95"/>
      <c r="T5" s="96"/>
    </row>
    <row r="6" spans="1:20" ht="15" customHeight="1" x14ac:dyDescent="0.2">
      <c r="A6" s="100" t="s">
        <v>18</v>
      </c>
      <c r="B6" s="101">
        <v>0</v>
      </c>
      <c r="C6" s="101">
        <v>1</v>
      </c>
      <c r="D6" s="101">
        <v>2</v>
      </c>
      <c r="E6" s="101">
        <v>5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2">
        <v>2</v>
      </c>
      <c r="M6" s="102">
        <v>0.4</v>
      </c>
      <c r="N6" s="99"/>
      <c r="O6" s="94"/>
      <c r="P6" s="95"/>
      <c r="Q6" s="95"/>
      <c r="R6" s="95"/>
      <c r="S6" s="95"/>
      <c r="T6" s="96"/>
    </row>
    <row r="7" spans="1:20" ht="15" customHeight="1" x14ac:dyDescent="0.2">
      <c r="A7" s="100" t="s">
        <v>19</v>
      </c>
      <c r="B7" s="101">
        <v>0</v>
      </c>
      <c r="C7" s="101">
        <v>1</v>
      </c>
      <c r="D7" s="101">
        <v>3</v>
      </c>
      <c r="E7" s="101">
        <v>4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2">
        <v>2</v>
      </c>
      <c r="M7" s="102">
        <v>0.3</v>
      </c>
      <c r="N7" s="99"/>
      <c r="O7" s="94"/>
      <c r="P7" s="95"/>
      <c r="Q7" s="95"/>
      <c r="R7" s="95"/>
      <c r="S7" s="95"/>
      <c r="T7" s="96"/>
    </row>
    <row r="8" spans="1:20" ht="15" customHeight="1" x14ac:dyDescent="0.2">
      <c r="A8" s="100" t="s">
        <v>20</v>
      </c>
      <c r="B8" s="101">
        <v>0</v>
      </c>
      <c r="C8" s="101">
        <v>4</v>
      </c>
      <c r="D8" s="101">
        <v>2</v>
      </c>
      <c r="E8" s="101">
        <v>2</v>
      </c>
      <c r="F8" s="101">
        <v>0</v>
      </c>
      <c r="G8" s="101">
        <v>0</v>
      </c>
      <c r="H8" s="101">
        <v>0</v>
      </c>
      <c r="I8" s="101">
        <v>0</v>
      </c>
      <c r="J8" s="101">
        <v>0</v>
      </c>
      <c r="K8" s="101">
        <v>0</v>
      </c>
      <c r="L8" s="102">
        <v>2</v>
      </c>
      <c r="M8" s="102">
        <v>0</v>
      </c>
      <c r="N8" s="99"/>
      <c r="O8" s="94"/>
      <c r="P8" s="95"/>
      <c r="Q8" s="95"/>
      <c r="R8" s="95"/>
      <c r="S8" s="95"/>
      <c r="T8" s="96"/>
    </row>
    <row r="9" spans="1:20" ht="18" customHeight="1" x14ac:dyDescent="0.2">
      <c r="A9" s="237" t="s">
        <v>56</v>
      </c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44"/>
      <c r="O9" s="94"/>
      <c r="P9" s="95"/>
      <c r="Q9" s="95"/>
      <c r="R9" s="95"/>
      <c r="S9" s="95"/>
      <c r="T9" s="96"/>
    </row>
    <row r="10" spans="1:20" ht="15" customHeight="1" x14ac:dyDescent="0.2">
      <c r="A10" s="97"/>
      <c r="B10" s="98" t="s">
        <v>31</v>
      </c>
      <c r="C10" s="98" t="s">
        <v>32</v>
      </c>
      <c r="D10" s="98" t="s">
        <v>33</v>
      </c>
      <c r="E10" s="98" t="s">
        <v>34</v>
      </c>
      <c r="F10" s="98" t="s">
        <v>35</v>
      </c>
      <c r="G10" s="98" t="s">
        <v>36</v>
      </c>
      <c r="H10" s="98" t="s">
        <v>37</v>
      </c>
      <c r="I10" s="98" t="s">
        <v>38</v>
      </c>
      <c r="J10" s="98"/>
      <c r="K10" s="98"/>
      <c r="L10" s="98" t="s">
        <v>41</v>
      </c>
      <c r="M10" s="98" t="s">
        <v>55</v>
      </c>
      <c r="N10" s="99"/>
      <c r="O10" s="94"/>
      <c r="P10" s="95"/>
      <c r="Q10" s="95"/>
      <c r="R10" s="95"/>
      <c r="S10" s="95"/>
      <c r="T10" s="96"/>
    </row>
    <row r="11" spans="1:20" ht="15" customHeight="1" x14ac:dyDescent="0.2">
      <c r="A11" s="100" t="s">
        <v>16</v>
      </c>
      <c r="B11" s="101">
        <v>0</v>
      </c>
      <c r="C11" s="101">
        <v>1</v>
      </c>
      <c r="D11" s="101">
        <v>3</v>
      </c>
      <c r="E11" s="101">
        <v>4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2">
        <v>2</v>
      </c>
      <c r="M11" s="102">
        <v>0.1</v>
      </c>
      <c r="N11" s="99"/>
      <c r="O11" s="94"/>
      <c r="P11" s="95"/>
      <c r="Q11" s="95"/>
      <c r="R11" s="95"/>
      <c r="S11" s="95"/>
      <c r="T11" s="96"/>
    </row>
    <row r="12" spans="1:20" ht="15" customHeight="1" x14ac:dyDescent="0.2">
      <c r="A12" s="100" t="s">
        <v>17</v>
      </c>
      <c r="B12" s="101">
        <v>2</v>
      </c>
      <c r="C12" s="101">
        <v>0</v>
      </c>
      <c r="D12" s="101">
        <v>4</v>
      </c>
      <c r="E12" s="101">
        <v>2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2">
        <v>2</v>
      </c>
      <c r="M12" s="102">
        <v>0</v>
      </c>
      <c r="N12" s="99"/>
      <c r="O12" s="94"/>
      <c r="P12" s="95"/>
      <c r="Q12" s="95"/>
      <c r="R12" s="95"/>
      <c r="S12" s="95"/>
      <c r="T12" s="96"/>
    </row>
    <row r="13" spans="1:20" ht="15" customHeight="1" x14ac:dyDescent="0.2">
      <c r="A13" s="100" t="s">
        <v>18</v>
      </c>
      <c r="B13" s="101">
        <v>0</v>
      </c>
      <c r="C13" s="101">
        <v>0</v>
      </c>
      <c r="D13" s="101">
        <v>1</v>
      </c>
      <c r="E13" s="101">
        <v>5</v>
      </c>
      <c r="F13" s="101">
        <v>1</v>
      </c>
      <c r="G13" s="101">
        <v>1</v>
      </c>
      <c r="H13" s="101">
        <v>0</v>
      </c>
      <c r="I13" s="101">
        <v>0</v>
      </c>
      <c r="J13" s="101">
        <v>0</v>
      </c>
      <c r="K13" s="101">
        <v>0</v>
      </c>
      <c r="L13" s="102">
        <v>2</v>
      </c>
      <c r="M13" s="102">
        <v>0.1</v>
      </c>
      <c r="N13" s="99"/>
      <c r="O13" s="94"/>
      <c r="P13" s="95"/>
      <c r="Q13" s="95"/>
      <c r="R13" s="95"/>
      <c r="S13" s="95"/>
      <c r="T13" s="96"/>
    </row>
    <row r="14" spans="1:20" ht="15" customHeight="1" x14ac:dyDescent="0.2">
      <c r="A14" s="100" t="s">
        <v>19</v>
      </c>
      <c r="B14" s="101">
        <v>0</v>
      </c>
      <c r="C14" s="101">
        <v>2</v>
      </c>
      <c r="D14" s="101">
        <v>3</v>
      </c>
      <c r="E14" s="101">
        <v>3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2">
        <v>2</v>
      </c>
      <c r="M14" s="102">
        <v>0</v>
      </c>
      <c r="N14" s="99"/>
      <c r="O14" s="94"/>
      <c r="P14" s="95"/>
      <c r="Q14" s="95"/>
      <c r="R14" s="95"/>
      <c r="S14" s="95"/>
      <c r="T14" s="96"/>
    </row>
    <row r="15" spans="1:20" ht="15" customHeight="1" x14ac:dyDescent="0.2">
      <c r="A15" s="100" t="s">
        <v>20</v>
      </c>
      <c r="B15" s="101">
        <v>0</v>
      </c>
      <c r="C15" s="101">
        <v>0</v>
      </c>
      <c r="D15" s="101">
        <v>2</v>
      </c>
      <c r="E15" s="101">
        <v>5</v>
      </c>
      <c r="F15" s="101">
        <v>1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2">
        <v>2</v>
      </c>
      <c r="M15" s="102">
        <v>0.4</v>
      </c>
      <c r="N15" s="99"/>
      <c r="O15" s="94"/>
      <c r="P15" s="95"/>
      <c r="Q15" s="95"/>
      <c r="R15" s="95"/>
      <c r="S15" s="95"/>
      <c r="T15" s="96"/>
    </row>
    <row r="16" spans="1:20" ht="18" customHeight="1" x14ac:dyDescent="0.2">
      <c r="A16" s="237" t="s">
        <v>57</v>
      </c>
      <c r="B16" s="238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44"/>
      <c r="O16" s="94"/>
      <c r="P16" s="95"/>
      <c r="Q16" s="95"/>
      <c r="R16" s="95"/>
      <c r="S16" s="95"/>
      <c r="T16" s="96"/>
    </row>
    <row r="17" spans="1:20" ht="15" customHeight="1" x14ac:dyDescent="0.2">
      <c r="A17" s="97"/>
      <c r="B17" s="98" t="s">
        <v>31</v>
      </c>
      <c r="C17" s="98" t="s">
        <v>32</v>
      </c>
      <c r="D17" s="98" t="s">
        <v>33</v>
      </c>
      <c r="E17" s="98" t="s">
        <v>34</v>
      </c>
      <c r="F17" s="98" t="s">
        <v>35</v>
      </c>
      <c r="G17" s="98" t="s">
        <v>36</v>
      </c>
      <c r="H17" s="98" t="s">
        <v>37</v>
      </c>
      <c r="I17" s="98" t="s">
        <v>38</v>
      </c>
      <c r="J17" s="98" t="s">
        <v>39</v>
      </c>
      <c r="K17" s="98" t="s">
        <v>40</v>
      </c>
      <c r="L17" s="98" t="s">
        <v>41</v>
      </c>
      <c r="M17" s="98" t="s">
        <v>55</v>
      </c>
      <c r="N17" s="99"/>
      <c r="O17" s="94"/>
      <c r="P17" s="95"/>
      <c r="Q17" s="95"/>
      <c r="R17" s="95"/>
      <c r="S17" s="95"/>
      <c r="T17" s="96"/>
    </row>
    <row r="18" spans="1:20" ht="15" customHeight="1" x14ac:dyDescent="0.2">
      <c r="A18" s="100" t="s">
        <v>16</v>
      </c>
      <c r="B18" s="101">
        <v>0</v>
      </c>
      <c r="C18" s="101">
        <v>1</v>
      </c>
      <c r="D18" s="101">
        <v>2</v>
      </c>
      <c r="E18" s="101">
        <v>5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2">
        <v>2</v>
      </c>
      <c r="M18" s="102">
        <v>0.3</v>
      </c>
      <c r="N18" s="99"/>
      <c r="O18" s="94"/>
      <c r="P18" s="95"/>
      <c r="Q18" s="95"/>
      <c r="R18" s="95"/>
      <c r="S18" s="95"/>
      <c r="T18" s="96"/>
    </row>
    <row r="19" spans="1:20" ht="15" customHeight="1" x14ac:dyDescent="0.2">
      <c r="A19" s="100" t="s">
        <v>17</v>
      </c>
      <c r="B19" s="101">
        <v>0</v>
      </c>
      <c r="C19" s="101">
        <v>1</v>
      </c>
      <c r="D19" s="101">
        <v>3</v>
      </c>
      <c r="E19" s="101">
        <v>2</v>
      </c>
      <c r="F19" s="101">
        <v>2</v>
      </c>
      <c r="G19" s="101">
        <v>0</v>
      </c>
      <c r="H19" s="101">
        <v>0</v>
      </c>
      <c r="I19" s="101">
        <v>0</v>
      </c>
      <c r="J19" s="101">
        <v>0</v>
      </c>
      <c r="K19" s="101">
        <v>0</v>
      </c>
      <c r="L19" s="102">
        <v>1.5</v>
      </c>
      <c r="M19" s="102">
        <v>0.5</v>
      </c>
      <c r="N19" s="99"/>
      <c r="O19" s="94"/>
      <c r="P19" s="95"/>
      <c r="Q19" s="95"/>
      <c r="R19" s="95"/>
      <c r="S19" s="95"/>
      <c r="T19" s="96"/>
    </row>
    <row r="20" spans="1:20" ht="15" customHeight="1" x14ac:dyDescent="0.2">
      <c r="A20" s="100" t="s">
        <v>18</v>
      </c>
      <c r="B20" s="101">
        <v>0</v>
      </c>
      <c r="C20" s="101">
        <v>1</v>
      </c>
      <c r="D20" s="101">
        <v>4</v>
      </c>
      <c r="E20" s="101">
        <v>2</v>
      </c>
      <c r="F20" s="101">
        <v>0</v>
      </c>
      <c r="G20" s="101">
        <v>1</v>
      </c>
      <c r="H20" s="101">
        <v>0</v>
      </c>
      <c r="I20" s="101">
        <v>0</v>
      </c>
      <c r="J20" s="101">
        <v>0</v>
      </c>
      <c r="K20" s="101">
        <v>0</v>
      </c>
      <c r="L20" s="102">
        <v>2</v>
      </c>
      <c r="M20" s="102">
        <v>0.4</v>
      </c>
      <c r="N20" s="99"/>
      <c r="O20" s="94"/>
      <c r="P20" s="95"/>
      <c r="Q20" s="95"/>
      <c r="R20" s="95"/>
      <c r="S20" s="95"/>
      <c r="T20" s="96"/>
    </row>
    <row r="21" spans="1:20" ht="15" customHeight="1" x14ac:dyDescent="0.2">
      <c r="A21" s="100" t="s">
        <v>19</v>
      </c>
      <c r="B21" s="101">
        <v>0</v>
      </c>
      <c r="C21" s="101">
        <v>1</v>
      </c>
      <c r="D21" s="101">
        <v>3</v>
      </c>
      <c r="E21" s="101">
        <v>2</v>
      </c>
      <c r="F21" s="101">
        <v>2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2">
        <v>2</v>
      </c>
      <c r="M21" s="102">
        <v>0.4</v>
      </c>
      <c r="N21" s="99"/>
      <c r="O21" s="94"/>
      <c r="P21" s="95"/>
      <c r="Q21" s="95"/>
      <c r="R21" s="95"/>
      <c r="S21" s="95"/>
      <c r="T21" s="96"/>
    </row>
    <row r="22" spans="1:20" ht="15" customHeight="1" x14ac:dyDescent="0.2">
      <c r="A22" s="100" t="s">
        <v>20</v>
      </c>
      <c r="B22" s="101">
        <v>2</v>
      </c>
      <c r="C22" s="101">
        <v>4</v>
      </c>
      <c r="D22" s="101">
        <v>1</v>
      </c>
      <c r="E22" s="101">
        <v>1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0</v>
      </c>
      <c r="L22" s="102">
        <v>2</v>
      </c>
      <c r="M22" s="102">
        <v>0.2</v>
      </c>
      <c r="N22" s="99"/>
      <c r="O22" s="94"/>
      <c r="P22" s="95"/>
      <c r="Q22" s="95"/>
      <c r="R22" s="95"/>
      <c r="S22" s="95"/>
      <c r="T22" s="96"/>
    </row>
    <row r="23" spans="1:20" ht="15" customHeight="1" x14ac:dyDescent="0.2">
      <c r="A23" s="237" t="s">
        <v>58</v>
      </c>
      <c r="B23" s="238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41"/>
      <c r="N23" s="25"/>
      <c r="O23" s="94"/>
      <c r="P23" s="95"/>
      <c r="Q23" s="95"/>
      <c r="R23" s="95"/>
      <c r="S23" s="95"/>
      <c r="T23" s="96"/>
    </row>
    <row r="24" spans="1:20" ht="15" customHeight="1" x14ac:dyDescent="0.2">
      <c r="A24" s="100" t="s">
        <v>16</v>
      </c>
      <c r="B24" s="103">
        <v>5.4</v>
      </c>
      <c r="C24" s="104"/>
      <c r="D24" s="104"/>
      <c r="E24" s="105"/>
      <c r="F24" s="105"/>
      <c r="G24" s="105"/>
      <c r="H24" s="105"/>
      <c r="I24" s="105"/>
      <c r="J24" s="105"/>
      <c r="K24" s="105"/>
      <c r="L24" s="105"/>
      <c r="M24" s="105"/>
      <c r="N24" s="25"/>
      <c r="O24" s="94"/>
      <c r="P24" s="95"/>
      <c r="Q24" s="95"/>
      <c r="R24" s="95"/>
      <c r="S24" s="95"/>
      <c r="T24" s="96"/>
    </row>
    <row r="25" spans="1:20" ht="15" customHeight="1" x14ac:dyDescent="0.2">
      <c r="A25" s="100" t="s">
        <v>17</v>
      </c>
      <c r="B25" s="103">
        <v>4.5999999999999996</v>
      </c>
      <c r="C25" s="104"/>
      <c r="D25" s="104"/>
      <c r="E25" s="105"/>
      <c r="F25" s="105"/>
      <c r="G25" s="105"/>
      <c r="H25" s="105"/>
      <c r="I25" s="105"/>
      <c r="J25" s="105"/>
      <c r="K25" s="105"/>
      <c r="L25" s="105"/>
      <c r="M25" s="105"/>
      <c r="N25" s="25"/>
      <c r="O25" s="94"/>
      <c r="P25" s="95"/>
      <c r="Q25" s="95"/>
      <c r="R25" s="95"/>
      <c r="S25" s="95"/>
      <c r="T25" s="96"/>
    </row>
    <row r="26" spans="1:20" ht="15" customHeight="1" x14ac:dyDescent="0.2">
      <c r="A26" s="100" t="s">
        <v>18</v>
      </c>
      <c r="B26" s="103">
        <v>4.2</v>
      </c>
      <c r="C26" s="104"/>
      <c r="D26" s="104"/>
      <c r="E26" s="105"/>
      <c r="F26" s="105"/>
      <c r="G26" s="105"/>
      <c r="H26" s="105"/>
      <c r="I26" s="105"/>
      <c r="J26" s="105"/>
      <c r="K26" s="105"/>
      <c r="L26" s="105"/>
      <c r="M26" s="105"/>
      <c r="N26" s="25"/>
      <c r="O26" s="94"/>
      <c r="P26" s="95"/>
      <c r="Q26" s="95"/>
      <c r="R26" s="95"/>
      <c r="S26" s="95"/>
      <c r="T26" s="96"/>
    </row>
    <row r="27" spans="1:20" ht="15" customHeight="1" x14ac:dyDescent="0.2">
      <c r="A27" s="100" t="s">
        <v>19</v>
      </c>
      <c r="B27" s="103">
        <v>3.8</v>
      </c>
      <c r="C27" s="104"/>
      <c r="D27" s="104"/>
      <c r="E27" s="105"/>
      <c r="F27" s="105"/>
      <c r="G27" s="105"/>
      <c r="H27" s="105"/>
      <c r="I27" s="105"/>
      <c r="J27" s="105"/>
      <c r="K27" s="105"/>
      <c r="L27" s="105"/>
      <c r="M27" s="105"/>
      <c r="N27" s="25"/>
      <c r="O27" s="94"/>
      <c r="P27" s="95"/>
      <c r="Q27" s="95"/>
      <c r="R27" s="95"/>
      <c r="S27" s="95"/>
      <c r="T27" s="96"/>
    </row>
    <row r="28" spans="1:20" ht="15" customHeight="1" x14ac:dyDescent="0.2">
      <c r="A28" s="100" t="s">
        <v>20</v>
      </c>
      <c r="B28" s="103">
        <v>5.2</v>
      </c>
      <c r="C28" s="104"/>
      <c r="D28" s="104"/>
      <c r="E28" s="105"/>
      <c r="F28" s="105"/>
      <c r="G28" s="105"/>
      <c r="H28" s="105"/>
      <c r="I28" s="105"/>
      <c r="J28" s="105"/>
      <c r="K28" s="105"/>
      <c r="L28" s="105"/>
      <c r="M28" s="105"/>
      <c r="N28" s="25"/>
      <c r="O28" s="94"/>
      <c r="P28" s="95"/>
      <c r="Q28" s="95"/>
      <c r="R28" s="95"/>
      <c r="S28" s="95"/>
      <c r="T28" s="96"/>
    </row>
    <row r="29" spans="1:20" ht="15" customHeight="1" x14ac:dyDescent="0.2">
      <c r="A29" s="100" t="s">
        <v>63</v>
      </c>
      <c r="B29" s="103"/>
      <c r="C29" s="104"/>
      <c r="D29" s="104"/>
      <c r="E29" s="105"/>
      <c r="F29" s="105"/>
      <c r="G29" s="105"/>
      <c r="H29" s="105"/>
      <c r="I29" s="105"/>
      <c r="J29" s="105"/>
      <c r="K29" s="105"/>
      <c r="L29" s="105"/>
      <c r="M29" s="105"/>
      <c r="N29" s="25"/>
      <c r="O29" s="94"/>
      <c r="P29" s="95"/>
      <c r="Q29" s="95"/>
      <c r="R29" s="95"/>
      <c r="S29" s="95"/>
      <c r="T29" s="96"/>
    </row>
    <row r="30" spans="1:20" ht="15" customHeight="1" x14ac:dyDescent="0.2">
      <c r="A30" s="100" t="s">
        <v>64</v>
      </c>
      <c r="B30" s="103"/>
      <c r="C30" s="104"/>
      <c r="D30" s="104"/>
      <c r="E30" s="105"/>
      <c r="F30" s="105"/>
      <c r="G30" s="105"/>
      <c r="H30" s="105"/>
      <c r="I30" s="105"/>
      <c r="J30" s="105"/>
      <c r="K30" s="105"/>
      <c r="L30" s="105"/>
      <c r="M30" s="105"/>
      <c r="N30" s="25"/>
      <c r="O30" s="94"/>
      <c r="P30" s="95"/>
      <c r="Q30" s="95"/>
      <c r="R30" s="95"/>
      <c r="S30" s="95"/>
      <c r="T30" s="96"/>
    </row>
    <row r="31" spans="1:20" ht="15" customHeight="1" x14ac:dyDescent="0.2">
      <c r="A31" s="100" t="s">
        <v>65</v>
      </c>
      <c r="B31" s="103"/>
      <c r="C31" s="104"/>
      <c r="D31" s="104"/>
      <c r="E31" s="105"/>
      <c r="F31" s="105"/>
      <c r="G31" s="105"/>
      <c r="H31" s="105"/>
      <c r="I31" s="105"/>
      <c r="J31" s="105"/>
      <c r="K31" s="105"/>
      <c r="L31" s="105"/>
      <c r="M31" s="105"/>
      <c r="N31" s="25"/>
      <c r="O31" s="94"/>
      <c r="P31" s="95"/>
      <c r="Q31" s="95"/>
      <c r="R31" s="95"/>
      <c r="S31" s="95"/>
      <c r="T31" s="96"/>
    </row>
    <row r="32" spans="1:20" ht="15" customHeight="1" x14ac:dyDescent="0.2">
      <c r="A32" s="100" t="s">
        <v>66</v>
      </c>
      <c r="B32" s="103"/>
      <c r="C32" s="104"/>
      <c r="D32" s="104"/>
      <c r="E32" s="105"/>
      <c r="F32" s="105"/>
      <c r="G32" s="105"/>
      <c r="H32" s="105"/>
      <c r="I32" s="105"/>
      <c r="J32" s="105"/>
      <c r="K32" s="105"/>
      <c r="L32" s="105"/>
      <c r="M32" s="105"/>
      <c r="N32" s="25"/>
      <c r="O32" s="94"/>
      <c r="P32" s="95"/>
      <c r="Q32" s="95"/>
      <c r="R32" s="95"/>
      <c r="S32" s="95"/>
      <c r="T32" s="96"/>
    </row>
    <row r="33" spans="1:20" ht="15" customHeight="1" x14ac:dyDescent="0.2">
      <c r="A33" s="100" t="s">
        <v>67</v>
      </c>
      <c r="B33" s="103"/>
      <c r="C33" s="104"/>
      <c r="D33" s="104"/>
      <c r="E33" s="105"/>
      <c r="F33" s="105"/>
      <c r="G33" s="105"/>
      <c r="H33" s="105"/>
      <c r="I33" s="105"/>
      <c r="J33" s="105"/>
      <c r="K33" s="105"/>
      <c r="L33" s="105"/>
      <c r="M33" s="105"/>
      <c r="N33" s="25"/>
      <c r="O33" s="94"/>
      <c r="P33" s="95"/>
      <c r="Q33" s="95"/>
      <c r="R33" s="95"/>
      <c r="S33" s="95"/>
      <c r="T33" s="96"/>
    </row>
    <row r="34" spans="1:20" ht="15" customHeight="1" x14ac:dyDescent="0.2">
      <c r="A34" s="242" t="s">
        <v>59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5"/>
      <c r="O34" s="94"/>
      <c r="P34" s="95"/>
      <c r="Q34" s="95"/>
      <c r="R34" s="95"/>
      <c r="S34" s="95"/>
      <c r="T34" s="96"/>
    </row>
    <row r="35" spans="1:20" ht="15" customHeight="1" x14ac:dyDescent="0.2">
      <c r="A35" s="233" t="s">
        <v>60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5"/>
      <c r="O35" s="94"/>
      <c r="P35" s="95"/>
      <c r="Q35" s="95"/>
      <c r="R35" s="95"/>
      <c r="S35" s="95"/>
      <c r="T35" s="96"/>
    </row>
    <row r="36" spans="1:20" ht="15" customHeight="1" x14ac:dyDescent="0.2">
      <c r="A36" s="235" t="s">
        <v>61</v>
      </c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5"/>
      <c r="O36" s="107"/>
      <c r="P36" s="108"/>
      <c r="Q36" s="108"/>
      <c r="R36" s="108"/>
      <c r="S36" s="108"/>
      <c r="T36" s="109"/>
    </row>
  </sheetData>
  <mergeCells count="8">
    <mergeCell ref="A35:M35"/>
    <mergeCell ref="A36:M36"/>
    <mergeCell ref="A9:M9"/>
    <mergeCell ref="A1:M1"/>
    <mergeCell ref="A23:M23"/>
    <mergeCell ref="A16:M16"/>
    <mergeCell ref="A34:M34"/>
    <mergeCell ref="A2:M2"/>
  </mergeCells>
  <phoneticPr fontId="16" type="noConversion"/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4"/>
  <dimension ref="A1:IV19"/>
  <sheetViews>
    <sheetView showGridLines="0" workbookViewId="0">
      <selection activeCell="D4" sqref="D4"/>
    </sheetView>
  </sheetViews>
  <sheetFormatPr baseColWidth="10" defaultColWidth="8.83203125" defaultRowHeight="15" customHeight="1" x14ac:dyDescent="0.2"/>
  <cols>
    <col min="1" max="5" width="15.5" style="1" customWidth="1"/>
    <col min="6" max="256" width="8.83203125" style="1" customWidth="1"/>
  </cols>
  <sheetData>
    <row r="1" spans="1:12" ht="18" customHeight="1" x14ac:dyDescent="0.2">
      <c r="A1" s="239" t="s">
        <v>62</v>
      </c>
      <c r="B1" s="246"/>
      <c r="C1" s="246"/>
      <c r="D1" s="246"/>
      <c r="E1" s="247"/>
      <c r="F1" s="42"/>
      <c r="G1" s="42"/>
      <c r="H1" s="42"/>
      <c r="I1" s="42"/>
      <c r="J1" s="25"/>
      <c r="K1" s="25"/>
      <c r="L1" s="25"/>
    </row>
    <row r="2" spans="1:12" ht="18" customHeight="1" x14ac:dyDescent="0.2">
      <c r="A2" s="244" t="s">
        <v>58</v>
      </c>
      <c r="B2" s="250"/>
      <c r="C2" s="250"/>
      <c r="D2" s="250"/>
      <c r="E2" s="251"/>
      <c r="F2" s="110"/>
      <c r="G2" s="110"/>
      <c r="H2" s="110"/>
      <c r="I2" s="110"/>
      <c r="J2" s="25"/>
      <c r="K2" s="25"/>
      <c r="L2" s="25"/>
    </row>
    <row r="3" spans="1:12" ht="15" customHeight="1" x14ac:dyDescent="0.2">
      <c r="A3" s="111" t="s">
        <v>25</v>
      </c>
      <c r="B3" s="111" t="s">
        <v>26</v>
      </c>
      <c r="C3" s="111" t="s">
        <v>27</v>
      </c>
      <c r="D3" s="111" t="s">
        <v>28</v>
      </c>
      <c r="E3" s="112" t="s">
        <v>29</v>
      </c>
      <c r="F3" s="25"/>
      <c r="G3" s="25"/>
      <c r="H3" s="25"/>
      <c r="I3" s="25"/>
      <c r="J3" s="25"/>
      <c r="K3" s="25"/>
      <c r="L3" s="25"/>
    </row>
    <row r="4" spans="1:12" ht="15" customHeight="1" x14ac:dyDescent="0.2">
      <c r="A4" s="113">
        <v>1.7</v>
      </c>
      <c r="B4" s="113">
        <v>1.5</v>
      </c>
      <c r="C4" s="113">
        <v>1.5</v>
      </c>
      <c r="D4" s="113">
        <v>1.3</v>
      </c>
      <c r="E4" s="114">
        <v>1</v>
      </c>
      <c r="F4" s="25"/>
      <c r="G4" s="25"/>
      <c r="H4" s="25"/>
      <c r="I4" s="25"/>
      <c r="J4" s="25"/>
      <c r="K4" s="25"/>
      <c r="L4" s="25"/>
    </row>
    <row r="5" spans="1:12" ht="18" customHeight="1" x14ac:dyDescent="0.2">
      <c r="A5" s="237" t="s">
        <v>54</v>
      </c>
      <c r="B5" s="248"/>
      <c r="C5" s="248"/>
      <c r="D5" s="248"/>
      <c r="E5" s="249"/>
      <c r="F5" s="25"/>
      <c r="G5" s="25"/>
      <c r="H5" s="25"/>
      <c r="I5" s="25"/>
      <c r="J5" s="25"/>
      <c r="K5" s="25"/>
      <c r="L5" s="25"/>
    </row>
    <row r="6" spans="1:12" ht="15" customHeight="1" x14ac:dyDescent="0.2">
      <c r="A6" s="111" t="s">
        <v>25</v>
      </c>
      <c r="B6" s="111" t="s">
        <v>26</v>
      </c>
      <c r="C6" s="111" t="s">
        <v>27</v>
      </c>
      <c r="D6" s="111" t="s">
        <v>28</v>
      </c>
      <c r="E6" s="112" t="s">
        <v>29</v>
      </c>
      <c r="F6" s="25"/>
      <c r="G6" s="25"/>
      <c r="H6" s="25"/>
      <c r="I6" s="25"/>
      <c r="J6" s="25"/>
      <c r="K6" s="25"/>
      <c r="L6" s="25"/>
    </row>
    <row r="7" spans="1:12" ht="15" customHeight="1" x14ac:dyDescent="0.2">
      <c r="A7" s="113">
        <v>5.4</v>
      </c>
      <c r="B7" s="113">
        <v>4.8</v>
      </c>
      <c r="C7" s="113">
        <v>1.7</v>
      </c>
      <c r="D7" s="113">
        <v>1.6</v>
      </c>
      <c r="E7" s="114">
        <v>2.5</v>
      </c>
      <c r="F7" s="25"/>
      <c r="G7" s="25"/>
      <c r="H7" s="25"/>
      <c r="I7" s="25"/>
      <c r="J7" s="25"/>
      <c r="K7" s="25"/>
      <c r="L7" s="25"/>
    </row>
    <row r="8" spans="1:12" ht="18" customHeight="1" x14ac:dyDescent="0.2">
      <c r="A8" s="237" t="s">
        <v>56</v>
      </c>
      <c r="B8" s="248"/>
      <c r="C8" s="248"/>
      <c r="D8" s="248"/>
      <c r="E8" s="249"/>
      <c r="F8" s="25"/>
      <c r="G8" s="25"/>
      <c r="H8" s="25"/>
      <c r="I8" s="25"/>
      <c r="J8" s="25"/>
      <c r="K8" s="25"/>
      <c r="L8" s="25"/>
    </row>
    <row r="9" spans="1:12" ht="15" customHeight="1" x14ac:dyDescent="0.2">
      <c r="A9" s="111" t="s">
        <v>25</v>
      </c>
      <c r="B9" s="111" t="s">
        <v>26</v>
      </c>
      <c r="C9" s="111" t="s">
        <v>27</v>
      </c>
      <c r="D9" s="111" t="s">
        <v>28</v>
      </c>
      <c r="E9" s="112" t="s">
        <v>29</v>
      </c>
      <c r="F9" s="25"/>
      <c r="G9" s="25"/>
      <c r="H9" s="25"/>
      <c r="I9" s="25"/>
      <c r="J9" s="25"/>
      <c r="K9" s="25"/>
      <c r="L9" s="25"/>
    </row>
    <row r="10" spans="1:12" ht="15" customHeight="1" x14ac:dyDescent="0.2">
      <c r="A10" s="113">
        <v>4.8</v>
      </c>
      <c r="B10" s="113">
        <v>4.0999999999999996</v>
      </c>
      <c r="C10" s="113">
        <v>3.3</v>
      </c>
      <c r="D10" s="113">
        <v>4.9000000000000004</v>
      </c>
      <c r="E10" s="114">
        <v>4.5</v>
      </c>
      <c r="F10" s="25"/>
      <c r="G10" s="25"/>
      <c r="H10" s="25"/>
      <c r="I10" s="25"/>
      <c r="J10" s="25"/>
      <c r="K10" s="25"/>
      <c r="L10" s="25"/>
    </row>
    <row r="11" spans="1:12" ht="18" customHeight="1" x14ac:dyDescent="0.2">
      <c r="A11" s="237" t="s">
        <v>57</v>
      </c>
      <c r="B11" s="248"/>
      <c r="C11" s="248"/>
      <c r="D11" s="248"/>
      <c r="E11" s="249"/>
      <c r="F11" s="25"/>
      <c r="G11" s="25"/>
      <c r="H11" s="25"/>
      <c r="I11" s="25"/>
      <c r="J11" s="25"/>
      <c r="K11" s="25"/>
      <c r="L11" s="25"/>
    </row>
    <row r="12" spans="1:12" ht="15" customHeight="1" x14ac:dyDescent="0.2">
      <c r="A12" s="111" t="s">
        <v>25</v>
      </c>
      <c r="B12" s="111" t="s">
        <v>26</v>
      </c>
      <c r="C12" s="111" t="s">
        <v>27</v>
      </c>
      <c r="D12" s="111" t="s">
        <v>28</v>
      </c>
      <c r="E12" s="112" t="s">
        <v>29</v>
      </c>
      <c r="F12" s="25"/>
      <c r="G12" s="25"/>
      <c r="H12" s="25"/>
      <c r="I12" s="25"/>
      <c r="J12" s="25"/>
      <c r="K12" s="25"/>
      <c r="L12" s="25"/>
    </row>
    <row r="13" spans="1:12" ht="15" customHeight="1" x14ac:dyDescent="0.2">
      <c r="A13" s="113">
        <v>1.8</v>
      </c>
      <c r="B13" s="113">
        <v>3.1</v>
      </c>
      <c r="C13" s="113">
        <v>2.9</v>
      </c>
      <c r="D13" s="115">
        <v>3.1</v>
      </c>
      <c r="E13" s="116">
        <v>2.5</v>
      </c>
      <c r="F13" s="25"/>
      <c r="G13" s="25"/>
      <c r="H13" s="25"/>
      <c r="I13" s="25"/>
      <c r="J13" s="25"/>
      <c r="K13" s="25"/>
      <c r="L13" s="25"/>
    </row>
    <row r="14" spans="1:12" ht="15" customHeight="1" x14ac:dyDescent="0.2">
      <c r="A14" s="117"/>
      <c r="B14" s="117"/>
      <c r="C14" s="117"/>
      <c r="D14" s="106"/>
      <c r="E14" s="106"/>
      <c r="F14" s="106"/>
      <c r="G14" s="106"/>
      <c r="H14" s="106"/>
      <c r="I14" s="106"/>
      <c r="J14" s="25"/>
      <c r="K14" s="25"/>
      <c r="L14" s="25"/>
    </row>
    <row r="15" spans="1:12" ht="15" customHeight="1" x14ac:dyDescent="0.2">
      <c r="A15" s="242" t="s">
        <v>59</v>
      </c>
      <c r="B15" s="243"/>
      <c r="C15" s="243"/>
      <c r="D15" s="243"/>
      <c r="E15" s="243"/>
      <c r="F15" s="243"/>
      <c r="G15" s="243"/>
      <c r="H15" s="243"/>
      <c r="I15" s="243"/>
      <c r="J15" s="25"/>
      <c r="K15" s="25"/>
      <c r="L15" s="25"/>
    </row>
    <row r="16" spans="1:12" ht="15" customHeight="1" x14ac:dyDescent="0.2">
      <c r="A16" s="233" t="s">
        <v>60</v>
      </c>
      <c r="B16" s="234"/>
      <c r="C16" s="234"/>
      <c r="D16" s="234"/>
      <c r="E16" s="234"/>
      <c r="F16" s="234"/>
      <c r="G16" s="234"/>
      <c r="H16" s="234"/>
      <c r="I16" s="234"/>
      <c r="J16" s="25"/>
      <c r="K16" s="25"/>
      <c r="L16" s="25"/>
    </row>
    <row r="17" spans="1:12" ht="15" customHeight="1" x14ac:dyDescent="0.2">
      <c r="A17" s="235" t="s">
        <v>61</v>
      </c>
      <c r="B17" s="236"/>
      <c r="C17" s="236"/>
      <c r="D17" s="236"/>
      <c r="E17" s="236"/>
      <c r="F17" s="236"/>
      <c r="G17" s="236"/>
      <c r="H17" s="236"/>
      <c r="I17" s="236"/>
      <c r="J17" s="25"/>
      <c r="K17" s="25"/>
      <c r="L17" s="25"/>
    </row>
    <row r="18" spans="1:12" ht="15" customHeight="1" x14ac:dyDescent="0.2">
      <c r="A18" s="118"/>
      <c r="B18" s="118"/>
      <c r="C18" s="118"/>
      <c r="D18" s="118"/>
      <c r="E18" s="118"/>
      <c r="F18" s="118"/>
      <c r="G18" s="118"/>
      <c r="H18" s="118"/>
      <c r="I18" s="118"/>
      <c r="J18" s="25"/>
      <c r="K18" s="25"/>
      <c r="L18" s="25"/>
    </row>
    <row r="19" spans="1:12" ht="15" customHeight="1" x14ac:dyDescent="0.2">
      <c r="A19" s="25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</row>
  </sheetData>
  <mergeCells count="8">
    <mergeCell ref="A17:I17"/>
    <mergeCell ref="A15:I15"/>
    <mergeCell ref="A1:E1"/>
    <mergeCell ref="A5:E5"/>
    <mergeCell ref="A16:I16"/>
    <mergeCell ref="A11:E11"/>
    <mergeCell ref="A8:E8"/>
    <mergeCell ref="A2:E2"/>
  </mergeCells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5"/>
  <dimension ref="A1:IV102"/>
  <sheetViews>
    <sheetView showGridLines="0" workbookViewId="0">
      <selection activeCell="A15" sqref="A15:XFD15"/>
    </sheetView>
  </sheetViews>
  <sheetFormatPr baseColWidth="10" defaultColWidth="8.83203125" defaultRowHeight="15" customHeight="1" x14ac:dyDescent="0.2"/>
  <cols>
    <col min="1" max="102" width="5.6640625" style="1" customWidth="1"/>
    <col min="103" max="256" width="8.83203125" style="1" customWidth="1"/>
  </cols>
  <sheetData>
    <row r="1" spans="1:102" ht="15" customHeight="1" x14ac:dyDescent="0.2">
      <c r="A1" s="120"/>
      <c r="B1" s="121">
        <v>0</v>
      </c>
      <c r="C1" s="121">
        <v>0.1</v>
      </c>
      <c r="D1" s="121">
        <v>0.2</v>
      </c>
      <c r="E1" s="121">
        <v>0.3</v>
      </c>
      <c r="F1" s="121">
        <v>0.4</v>
      </c>
      <c r="G1" s="121">
        <v>0.5</v>
      </c>
      <c r="H1" s="121">
        <v>0.6</v>
      </c>
      <c r="I1" s="121">
        <v>0.7</v>
      </c>
      <c r="J1" s="121">
        <v>0.8</v>
      </c>
      <c r="K1" s="121">
        <v>0.9</v>
      </c>
      <c r="L1" s="121">
        <v>1</v>
      </c>
      <c r="M1" s="121">
        <v>1.1000000000000001</v>
      </c>
      <c r="N1" s="121">
        <v>1.2</v>
      </c>
      <c r="O1" s="121">
        <v>1.3</v>
      </c>
      <c r="P1" s="121">
        <v>1.4</v>
      </c>
      <c r="Q1" s="121">
        <v>1.5</v>
      </c>
      <c r="R1" s="121">
        <v>1.6</v>
      </c>
      <c r="S1" s="121">
        <v>1.7</v>
      </c>
      <c r="T1" s="121">
        <v>1.8</v>
      </c>
      <c r="U1" s="121">
        <v>1.9</v>
      </c>
      <c r="V1" s="121">
        <v>2</v>
      </c>
      <c r="W1" s="121">
        <v>2.1</v>
      </c>
      <c r="X1" s="121">
        <v>2.2000000000000002</v>
      </c>
      <c r="Y1" s="121">
        <v>2.2999999999999998</v>
      </c>
      <c r="Z1" s="121">
        <v>2.4</v>
      </c>
      <c r="AA1" s="121">
        <v>2.5</v>
      </c>
      <c r="AB1" s="121">
        <v>2.6</v>
      </c>
      <c r="AC1" s="121">
        <v>2.7</v>
      </c>
      <c r="AD1" s="121">
        <v>2.8</v>
      </c>
      <c r="AE1" s="121">
        <v>2.9</v>
      </c>
      <c r="AF1" s="121">
        <v>3</v>
      </c>
      <c r="AG1" s="121">
        <v>3.1</v>
      </c>
      <c r="AH1" s="121">
        <v>3.2</v>
      </c>
      <c r="AI1" s="121">
        <v>3.3</v>
      </c>
      <c r="AJ1" s="121">
        <v>3.4</v>
      </c>
      <c r="AK1" s="121">
        <v>3.5</v>
      </c>
      <c r="AL1" s="121">
        <v>3.6</v>
      </c>
      <c r="AM1" s="121">
        <v>3.7</v>
      </c>
      <c r="AN1" s="121">
        <v>3.8</v>
      </c>
      <c r="AO1" s="121">
        <v>3.9</v>
      </c>
      <c r="AP1" s="121">
        <v>4</v>
      </c>
      <c r="AQ1" s="121">
        <v>4.0999999999999996</v>
      </c>
      <c r="AR1" s="121">
        <v>4.2</v>
      </c>
      <c r="AS1" s="121">
        <v>4.3</v>
      </c>
      <c r="AT1" s="121">
        <v>4.4000000000000004</v>
      </c>
      <c r="AU1" s="121">
        <v>4.5</v>
      </c>
      <c r="AV1" s="121">
        <v>4.5999999999999996</v>
      </c>
      <c r="AW1" s="121">
        <v>4.7</v>
      </c>
      <c r="AX1" s="121">
        <v>4.8</v>
      </c>
      <c r="AY1" s="121">
        <v>4.9000000000000004</v>
      </c>
      <c r="AZ1" s="121">
        <v>5</v>
      </c>
      <c r="BA1" s="121">
        <v>5.0999999999999996</v>
      </c>
      <c r="BB1" s="121">
        <v>5.2</v>
      </c>
      <c r="BC1" s="121">
        <v>5.3</v>
      </c>
      <c r="BD1" s="121">
        <v>5.4</v>
      </c>
      <c r="BE1" s="121">
        <v>5.5</v>
      </c>
      <c r="BF1" s="121">
        <v>5.6</v>
      </c>
      <c r="BG1" s="121">
        <v>5.7</v>
      </c>
      <c r="BH1" s="121">
        <v>5.8</v>
      </c>
      <c r="BI1" s="121">
        <v>5.9</v>
      </c>
      <c r="BJ1" s="121">
        <v>6</v>
      </c>
      <c r="BK1" s="121">
        <v>6.1</v>
      </c>
      <c r="BL1" s="121">
        <v>6.2</v>
      </c>
      <c r="BM1" s="121">
        <v>6.3</v>
      </c>
      <c r="BN1" s="121">
        <v>6.4</v>
      </c>
      <c r="BO1" s="121">
        <v>6.5</v>
      </c>
      <c r="BP1" s="121">
        <v>6.6</v>
      </c>
      <c r="BQ1" s="121">
        <v>6.7</v>
      </c>
      <c r="BR1" s="121">
        <v>6.8</v>
      </c>
      <c r="BS1" s="121">
        <v>6.9</v>
      </c>
      <c r="BT1" s="121">
        <v>7</v>
      </c>
      <c r="BU1" s="121">
        <v>7.1</v>
      </c>
      <c r="BV1" s="121">
        <v>7.2</v>
      </c>
      <c r="BW1" s="121">
        <v>7.3</v>
      </c>
      <c r="BX1" s="121">
        <v>7.4</v>
      </c>
      <c r="BY1" s="121">
        <v>7.5</v>
      </c>
      <c r="BZ1" s="121">
        <v>7.6</v>
      </c>
      <c r="CA1" s="121">
        <v>7.7</v>
      </c>
      <c r="CB1" s="121">
        <v>7.8</v>
      </c>
      <c r="CC1" s="121">
        <v>7.9</v>
      </c>
      <c r="CD1" s="121">
        <v>8</v>
      </c>
      <c r="CE1" s="121">
        <v>8.1</v>
      </c>
      <c r="CF1" s="121">
        <v>8.1999999999999993</v>
      </c>
      <c r="CG1" s="121">
        <v>8.3000000000000007</v>
      </c>
      <c r="CH1" s="121">
        <v>8.4</v>
      </c>
      <c r="CI1" s="121">
        <v>8.5</v>
      </c>
      <c r="CJ1" s="121">
        <v>8.6</v>
      </c>
      <c r="CK1" s="121">
        <v>8.6999999999999993</v>
      </c>
      <c r="CL1" s="121">
        <v>8.8000000000000007</v>
      </c>
      <c r="CM1" s="121">
        <v>8.9</v>
      </c>
      <c r="CN1" s="121">
        <v>9</v>
      </c>
      <c r="CO1" s="121">
        <v>9.1</v>
      </c>
      <c r="CP1" s="121">
        <v>9.1999999999999993</v>
      </c>
      <c r="CQ1" s="121">
        <v>9.3000000000000007</v>
      </c>
      <c r="CR1" s="121">
        <v>9.4</v>
      </c>
      <c r="CS1" s="121">
        <v>9.5</v>
      </c>
      <c r="CT1" s="121">
        <v>9.6</v>
      </c>
      <c r="CU1" s="121">
        <v>9.6999999999999993</v>
      </c>
      <c r="CV1" s="121">
        <v>9.8000000000000007</v>
      </c>
      <c r="CW1" s="121">
        <v>9.9</v>
      </c>
      <c r="CX1" s="122">
        <v>10</v>
      </c>
    </row>
    <row r="2" spans="1:102" ht="15" customHeight="1" x14ac:dyDescent="0.2">
      <c r="A2" s="123">
        <v>0</v>
      </c>
      <c r="B2" s="124">
        <v>1</v>
      </c>
      <c r="C2" s="125">
        <v>1</v>
      </c>
      <c r="D2" s="125">
        <v>0.75</v>
      </c>
      <c r="E2" s="125">
        <v>0.65</v>
      </c>
      <c r="F2" s="125">
        <v>0.55000000000000004</v>
      </c>
      <c r="G2" s="125">
        <v>0.45</v>
      </c>
      <c r="H2" s="125">
        <v>0.35</v>
      </c>
      <c r="I2" s="125">
        <v>0.25</v>
      </c>
      <c r="J2" s="125">
        <v>0.15</v>
      </c>
      <c r="K2" s="125">
        <v>0.05</v>
      </c>
      <c r="L2" s="125">
        <v>0</v>
      </c>
      <c r="M2" s="125">
        <v>0</v>
      </c>
      <c r="N2" s="125">
        <v>0</v>
      </c>
      <c r="O2" s="125">
        <v>0</v>
      </c>
      <c r="P2" s="125">
        <v>0</v>
      </c>
      <c r="Q2" s="125">
        <v>0</v>
      </c>
      <c r="R2" s="125">
        <v>0</v>
      </c>
      <c r="S2" s="125">
        <v>0</v>
      </c>
      <c r="T2" s="125">
        <v>0</v>
      </c>
      <c r="U2" s="125">
        <v>0</v>
      </c>
      <c r="V2" s="125">
        <v>0</v>
      </c>
      <c r="W2" s="125">
        <v>0</v>
      </c>
      <c r="X2" s="125">
        <v>0</v>
      </c>
      <c r="Y2" s="125">
        <v>0</v>
      </c>
      <c r="Z2" s="125">
        <v>0</v>
      </c>
      <c r="AA2" s="125">
        <v>0</v>
      </c>
      <c r="AB2" s="125">
        <v>0</v>
      </c>
      <c r="AC2" s="125">
        <v>0</v>
      </c>
      <c r="AD2" s="125">
        <v>0</v>
      </c>
      <c r="AE2" s="125">
        <v>0</v>
      </c>
      <c r="AF2" s="125">
        <v>0</v>
      </c>
      <c r="AG2" s="125">
        <v>0</v>
      </c>
      <c r="AH2" s="125">
        <v>0</v>
      </c>
      <c r="AI2" s="125">
        <v>0</v>
      </c>
      <c r="AJ2" s="125">
        <v>0</v>
      </c>
      <c r="AK2" s="125">
        <v>0</v>
      </c>
      <c r="AL2" s="125">
        <v>0</v>
      </c>
      <c r="AM2" s="125">
        <v>0</v>
      </c>
      <c r="AN2" s="125">
        <v>0</v>
      </c>
      <c r="AO2" s="125">
        <v>0</v>
      </c>
      <c r="AP2" s="125">
        <v>0</v>
      </c>
      <c r="AQ2" s="125">
        <v>0</v>
      </c>
      <c r="AR2" s="125">
        <v>0</v>
      </c>
      <c r="AS2" s="125">
        <v>0</v>
      </c>
      <c r="AT2" s="125">
        <v>0</v>
      </c>
      <c r="AU2" s="125">
        <v>0</v>
      </c>
      <c r="AV2" s="125">
        <v>0</v>
      </c>
      <c r="AW2" s="125">
        <v>0</v>
      </c>
      <c r="AX2" s="125">
        <v>0</v>
      </c>
      <c r="AY2" s="125">
        <v>0</v>
      </c>
      <c r="AZ2" s="125">
        <v>0</v>
      </c>
      <c r="BA2" s="125">
        <v>0</v>
      </c>
      <c r="BB2" s="125">
        <v>0</v>
      </c>
      <c r="BC2" s="125">
        <v>0</v>
      </c>
      <c r="BD2" s="125">
        <v>0</v>
      </c>
      <c r="BE2" s="125">
        <v>0</v>
      </c>
      <c r="BF2" s="125">
        <v>0</v>
      </c>
      <c r="BG2" s="125">
        <v>0</v>
      </c>
      <c r="BH2" s="125">
        <v>0</v>
      </c>
      <c r="BI2" s="125">
        <v>0</v>
      </c>
      <c r="BJ2" s="125">
        <v>0</v>
      </c>
      <c r="BK2" s="125">
        <v>0</v>
      </c>
      <c r="BL2" s="125">
        <v>0</v>
      </c>
      <c r="BM2" s="125">
        <v>0</v>
      </c>
      <c r="BN2" s="125">
        <v>0</v>
      </c>
      <c r="BO2" s="125">
        <v>0</v>
      </c>
      <c r="BP2" s="125">
        <v>0</v>
      </c>
      <c r="BQ2" s="125">
        <v>0</v>
      </c>
      <c r="BR2" s="125">
        <v>0</v>
      </c>
      <c r="BS2" s="125">
        <v>0</v>
      </c>
      <c r="BT2" s="125">
        <v>0</v>
      </c>
      <c r="BU2" s="125">
        <v>0</v>
      </c>
      <c r="BV2" s="125">
        <v>0</v>
      </c>
      <c r="BW2" s="125">
        <v>0</v>
      </c>
      <c r="BX2" s="125">
        <v>0</v>
      </c>
      <c r="BY2" s="125">
        <v>0</v>
      </c>
      <c r="BZ2" s="125">
        <v>0</v>
      </c>
      <c r="CA2" s="125">
        <v>0</v>
      </c>
      <c r="CB2" s="125">
        <v>0</v>
      </c>
      <c r="CC2" s="125">
        <v>0</v>
      </c>
      <c r="CD2" s="125">
        <v>0</v>
      </c>
      <c r="CE2" s="125">
        <v>0</v>
      </c>
      <c r="CF2" s="125">
        <v>0</v>
      </c>
      <c r="CG2" s="125">
        <v>0</v>
      </c>
      <c r="CH2" s="125">
        <v>0</v>
      </c>
      <c r="CI2" s="125">
        <v>0</v>
      </c>
      <c r="CJ2" s="125">
        <v>0</v>
      </c>
      <c r="CK2" s="125">
        <v>0</v>
      </c>
      <c r="CL2" s="125">
        <v>0</v>
      </c>
      <c r="CM2" s="125">
        <v>0</v>
      </c>
      <c r="CN2" s="125">
        <v>0</v>
      </c>
      <c r="CO2" s="125">
        <v>0</v>
      </c>
      <c r="CP2" s="125">
        <v>0</v>
      </c>
      <c r="CQ2" s="125">
        <v>0</v>
      </c>
      <c r="CR2" s="125">
        <v>0</v>
      </c>
      <c r="CS2" s="125">
        <v>0</v>
      </c>
      <c r="CT2" s="125">
        <v>0</v>
      </c>
      <c r="CU2" s="125">
        <v>0</v>
      </c>
      <c r="CV2" s="125">
        <v>0</v>
      </c>
      <c r="CW2" s="125">
        <v>0</v>
      </c>
      <c r="CX2" s="125">
        <v>0</v>
      </c>
    </row>
    <row r="3" spans="1:102" ht="15" customHeight="1" x14ac:dyDescent="0.2">
      <c r="A3" s="123">
        <v>0.1</v>
      </c>
      <c r="B3" s="126">
        <v>1</v>
      </c>
      <c r="C3" s="127">
        <v>1</v>
      </c>
      <c r="D3" s="127">
        <v>0.75</v>
      </c>
      <c r="E3" s="127">
        <v>0.65</v>
      </c>
      <c r="F3" s="127">
        <v>0.55000000000000004</v>
      </c>
      <c r="G3" s="127">
        <v>0.45</v>
      </c>
      <c r="H3" s="127">
        <v>0.35</v>
      </c>
      <c r="I3" s="127">
        <v>0.25</v>
      </c>
      <c r="J3" s="127">
        <v>0.15</v>
      </c>
      <c r="K3" s="127">
        <v>0.05</v>
      </c>
      <c r="L3" s="127">
        <v>0</v>
      </c>
      <c r="M3" s="127">
        <v>0</v>
      </c>
      <c r="N3" s="127">
        <v>0</v>
      </c>
      <c r="O3" s="127">
        <v>0</v>
      </c>
      <c r="P3" s="127">
        <v>0</v>
      </c>
      <c r="Q3" s="127">
        <v>0</v>
      </c>
      <c r="R3" s="127">
        <v>0</v>
      </c>
      <c r="S3" s="127">
        <v>0</v>
      </c>
      <c r="T3" s="127">
        <v>0</v>
      </c>
      <c r="U3" s="127">
        <v>0</v>
      </c>
      <c r="V3" s="127">
        <v>0</v>
      </c>
      <c r="W3" s="127">
        <v>0</v>
      </c>
      <c r="X3" s="127">
        <v>0</v>
      </c>
      <c r="Y3" s="127">
        <v>0</v>
      </c>
      <c r="Z3" s="127">
        <v>0</v>
      </c>
      <c r="AA3" s="127">
        <v>0</v>
      </c>
      <c r="AB3" s="127">
        <v>0</v>
      </c>
      <c r="AC3" s="127">
        <v>0</v>
      </c>
      <c r="AD3" s="127">
        <v>0</v>
      </c>
      <c r="AE3" s="127">
        <v>0</v>
      </c>
      <c r="AF3" s="127">
        <v>0</v>
      </c>
      <c r="AG3" s="127">
        <v>0</v>
      </c>
      <c r="AH3" s="127">
        <v>0</v>
      </c>
      <c r="AI3" s="127">
        <v>0</v>
      </c>
      <c r="AJ3" s="127">
        <v>0</v>
      </c>
      <c r="AK3" s="127">
        <v>0</v>
      </c>
      <c r="AL3" s="127">
        <v>0</v>
      </c>
      <c r="AM3" s="127">
        <v>0</v>
      </c>
      <c r="AN3" s="127">
        <v>0</v>
      </c>
      <c r="AO3" s="127">
        <v>0</v>
      </c>
      <c r="AP3" s="127">
        <v>0</v>
      </c>
      <c r="AQ3" s="127">
        <v>0</v>
      </c>
      <c r="AR3" s="127">
        <v>0</v>
      </c>
      <c r="AS3" s="127">
        <v>0</v>
      </c>
      <c r="AT3" s="127">
        <v>0</v>
      </c>
      <c r="AU3" s="127">
        <v>0</v>
      </c>
      <c r="AV3" s="127">
        <v>0</v>
      </c>
      <c r="AW3" s="127">
        <v>0</v>
      </c>
      <c r="AX3" s="127">
        <v>0</v>
      </c>
      <c r="AY3" s="127">
        <v>0</v>
      </c>
      <c r="AZ3" s="127">
        <v>0</v>
      </c>
      <c r="BA3" s="127">
        <v>0</v>
      </c>
      <c r="BB3" s="127">
        <v>0</v>
      </c>
      <c r="BC3" s="127">
        <v>0</v>
      </c>
      <c r="BD3" s="127">
        <v>0</v>
      </c>
      <c r="BE3" s="127">
        <v>0</v>
      </c>
      <c r="BF3" s="127">
        <v>0</v>
      </c>
      <c r="BG3" s="127">
        <v>0</v>
      </c>
      <c r="BH3" s="127">
        <v>0</v>
      </c>
      <c r="BI3" s="127">
        <v>0</v>
      </c>
      <c r="BJ3" s="127">
        <v>0</v>
      </c>
      <c r="BK3" s="127">
        <v>0</v>
      </c>
      <c r="BL3" s="127">
        <v>0</v>
      </c>
      <c r="BM3" s="127">
        <v>0</v>
      </c>
      <c r="BN3" s="127">
        <v>0</v>
      </c>
      <c r="BO3" s="127">
        <v>0</v>
      </c>
      <c r="BP3" s="127">
        <v>0</v>
      </c>
      <c r="BQ3" s="127">
        <v>0</v>
      </c>
      <c r="BR3" s="127">
        <v>0</v>
      </c>
      <c r="BS3" s="127">
        <v>0</v>
      </c>
      <c r="BT3" s="127">
        <v>0</v>
      </c>
      <c r="BU3" s="127">
        <v>0</v>
      </c>
      <c r="BV3" s="127">
        <v>0</v>
      </c>
      <c r="BW3" s="127">
        <v>0</v>
      </c>
      <c r="BX3" s="127">
        <v>0</v>
      </c>
      <c r="BY3" s="127">
        <v>0</v>
      </c>
      <c r="BZ3" s="127">
        <v>0</v>
      </c>
      <c r="CA3" s="127">
        <v>0</v>
      </c>
      <c r="CB3" s="127">
        <v>0</v>
      </c>
      <c r="CC3" s="127">
        <v>0</v>
      </c>
      <c r="CD3" s="127">
        <v>0</v>
      </c>
      <c r="CE3" s="127">
        <v>0</v>
      </c>
      <c r="CF3" s="127">
        <v>0</v>
      </c>
      <c r="CG3" s="127">
        <v>0</v>
      </c>
      <c r="CH3" s="127">
        <v>0</v>
      </c>
      <c r="CI3" s="127">
        <v>0</v>
      </c>
      <c r="CJ3" s="127">
        <v>0</v>
      </c>
      <c r="CK3" s="127">
        <v>0</v>
      </c>
      <c r="CL3" s="127">
        <v>0</v>
      </c>
      <c r="CM3" s="127">
        <v>0</v>
      </c>
      <c r="CN3" s="127">
        <v>0</v>
      </c>
      <c r="CO3" s="127">
        <v>0</v>
      </c>
      <c r="CP3" s="127">
        <v>0</v>
      </c>
      <c r="CQ3" s="127">
        <v>0</v>
      </c>
      <c r="CR3" s="127">
        <v>0</v>
      </c>
      <c r="CS3" s="127">
        <v>0</v>
      </c>
      <c r="CT3" s="127">
        <v>0</v>
      </c>
      <c r="CU3" s="127">
        <v>0</v>
      </c>
      <c r="CV3" s="127">
        <v>0</v>
      </c>
      <c r="CW3" s="127">
        <v>0</v>
      </c>
      <c r="CX3" s="127">
        <v>0</v>
      </c>
    </row>
    <row r="4" spans="1:102" ht="15" customHeight="1" x14ac:dyDescent="0.2">
      <c r="A4" s="123">
        <v>0.2</v>
      </c>
      <c r="B4" s="126">
        <v>1</v>
      </c>
      <c r="C4" s="127">
        <v>1</v>
      </c>
      <c r="D4" s="127">
        <v>0.75</v>
      </c>
      <c r="E4" s="127">
        <v>0.65</v>
      </c>
      <c r="F4" s="127">
        <v>0.55000000000000004</v>
      </c>
      <c r="G4" s="127">
        <v>0.45</v>
      </c>
      <c r="H4" s="127">
        <v>0.35</v>
      </c>
      <c r="I4" s="127">
        <v>0.25</v>
      </c>
      <c r="J4" s="127">
        <v>0.15</v>
      </c>
      <c r="K4" s="127">
        <v>0.05</v>
      </c>
      <c r="L4" s="127">
        <v>0</v>
      </c>
      <c r="M4" s="127">
        <v>0</v>
      </c>
      <c r="N4" s="127">
        <v>0</v>
      </c>
      <c r="O4" s="127">
        <v>0</v>
      </c>
      <c r="P4" s="127">
        <v>0</v>
      </c>
      <c r="Q4" s="127">
        <v>0</v>
      </c>
      <c r="R4" s="127">
        <v>0</v>
      </c>
      <c r="S4" s="127">
        <v>0</v>
      </c>
      <c r="T4" s="127">
        <v>0</v>
      </c>
      <c r="U4" s="127">
        <v>0</v>
      </c>
      <c r="V4" s="127">
        <v>0</v>
      </c>
      <c r="W4" s="127">
        <v>0</v>
      </c>
      <c r="X4" s="127">
        <v>0</v>
      </c>
      <c r="Y4" s="127">
        <v>0</v>
      </c>
      <c r="Z4" s="127">
        <v>0</v>
      </c>
      <c r="AA4" s="127">
        <v>0</v>
      </c>
      <c r="AB4" s="127">
        <v>0</v>
      </c>
      <c r="AC4" s="127">
        <v>0</v>
      </c>
      <c r="AD4" s="127">
        <v>0</v>
      </c>
      <c r="AE4" s="127">
        <v>0</v>
      </c>
      <c r="AF4" s="127">
        <v>0</v>
      </c>
      <c r="AG4" s="127">
        <v>0</v>
      </c>
      <c r="AH4" s="127">
        <v>0</v>
      </c>
      <c r="AI4" s="127">
        <v>0</v>
      </c>
      <c r="AJ4" s="127">
        <v>0</v>
      </c>
      <c r="AK4" s="127">
        <v>0</v>
      </c>
      <c r="AL4" s="127">
        <v>0</v>
      </c>
      <c r="AM4" s="127">
        <v>0</v>
      </c>
      <c r="AN4" s="127">
        <v>0</v>
      </c>
      <c r="AO4" s="127">
        <v>0</v>
      </c>
      <c r="AP4" s="127">
        <v>0</v>
      </c>
      <c r="AQ4" s="127">
        <v>0</v>
      </c>
      <c r="AR4" s="127">
        <v>0</v>
      </c>
      <c r="AS4" s="127">
        <v>0</v>
      </c>
      <c r="AT4" s="127">
        <v>0</v>
      </c>
      <c r="AU4" s="127">
        <v>0</v>
      </c>
      <c r="AV4" s="127">
        <v>0</v>
      </c>
      <c r="AW4" s="127">
        <v>0</v>
      </c>
      <c r="AX4" s="127">
        <v>0</v>
      </c>
      <c r="AY4" s="127">
        <v>0</v>
      </c>
      <c r="AZ4" s="127">
        <v>0</v>
      </c>
      <c r="BA4" s="127">
        <v>0</v>
      </c>
      <c r="BB4" s="127">
        <v>0</v>
      </c>
      <c r="BC4" s="127">
        <v>0</v>
      </c>
      <c r="BD4" s="127">
        <v>0</v>
      </c>
      <c r="BE4" s="127">
        <v>0</v>
      </c>
      <c r="BF4" s="127">
        <v>0</v>
      </c>
      <c r="BG4" s="127">
        <v>0</v>
      </c>
      <c r="BH4" s="127">
        <v>0</v>
      </c>
      <c r="BI4" s="127">
        <v>0</v>
      </c>
      <c r="BJ4" s="127">
        <v>0</v>
      </c>
      <c r="BK4" s="127">
        <v>0</v>
      </c>
      <c r="BL4" s="127">
        <v>0</v>
      </c>
      <c r="BM4" s="127">
        <v>0</v>
      </c>
      <c r="BN4" s="127">
        <v>0</v>
      </c>
      <c r="BO4" s="127">
        <v>0</v>
      </c>
      <c r="BP4" s="127">
        <v>0</v>
      </c>
      <c r="BQ4" s="127">
        <v>0</v>
      </c>
      <c r="BR4" s="127">
        <v>0</v>
      </c>
      <c r="BS4" s="127">
        <v>0</v>
      </c>
      <c r="BT4" s="127">
        <v>0</v>
      </c>
      <c r="BU4" s="127">
        <v>0</v>
      </c>
      <c r="BV4" s="127">
        <v>0</v>
      </c>
      <c r="BW4" s="127">
        <v>0</v>
      </c>
      <c r="BX4" s="127">
        <v>0</v>
      </c>
      <c r="BY4" s="127">
        <v>0</v>
      </c>
      <c r="BZ4" s="127">
        <v>0</v>
      </c>
      <c r="CA4" s="127">
        <v>0</v>
      </c>
      <c r="CB4" s="127">
        <v>0</v>
      </c>
      <c r="CC4" s="127">
        <v>0</v>
      </c>
      <c r="CD4" s="127">
        <v>0</v>
      </c>
      <c r="CE4" s="127">
        <v>0</v>
      </c>
      <c r="CF4" s="127">
        <v>0</v>
      </c>
      <c r="CG4" s="127">
        <v>0</v>
      </c>
      <c r="CH4" s="127">
        <v>0</v>
      </c>
      <c r="CI4" s="127">
        <v>0</v>
      </c>
      <c r="CJ4" s="127">
        <v>0</v>
      </c>
      <c r="CK4" s="127">
        <v>0</v>
      </c>
      <c r="CL4" s="127">
        <v>0</v>
      </c>
      <c r="CM4" s="127">
        <v>0</v>
      </c>
      <c r="CN4" s="127">
        <v>0</v>
      </c>
      <c r="CO4" s="127">
        <v>0</v>
      </c>
      <c r="CP4" s="127">
        <v>0</v>
      </c>
      <c r="CQ4" s="127">
        <v>0</v>
      </c>
      <c r="CR4" s="127">
        <v>0</v>
      </c>
      <c r="CS4" s="127">
        <v>0</v>
      </c>
      <c r="CT4" s="127">
        <v>0</v>
      </c>
      <c r="CU4" s="127">
        <v>0</v>
      </c>
      <c r="CV4" s="127">
        <v>0</v>
      </c>
      <c r="CW4" s="127">
        <v>0</v>
      </c>
      <c r="CX4" s="127">
        <v>0</v>
      </c>
    </row>
    <row r="5" spans="1:102" ht="15" customHeight="1" x14ac:dyDescent="0.2">
      <c r="A5" s="123">
        <v>0.3</v>
      </c>
      <c r="B5" s="126">
        <v>1</v>
      </c>
      <c r="C5" s="127">
        <v>1</v>
      </c>
      <c r="D5" s="127">
        <v>0.75</v>
      </c>
      <c r="E5" s="127">
        <v>0.65</v>
      </c>
      <c r="F5" s="127">
        <v>0.55000000000000004</v>
      </c>
      <c r="G5" s="127">
        <v>0.45</v>
      </c>
      <c r="H5" s="127">
        <v>0.35</v>
      </c>
      <c r="I5" s="127">
        <v>0.25</v>
      </c>
      <c r="J5" s="127">
        <v>0.15</v>
      </c>
      <c r="K5" s="127">
        <v>0.05</v>
      </c>
      <c r="L5" s="127">
        <v>0</v>
      </c>
      <c r="M5" s="127">
        <v>0</v>
      </c>
      <c r="N5" s="127">
        <v>0</v>
      </c>
      <c r="O5" s="127">
        <v>0</v>
      </c>
      <c r="P5" s="127">
        <v>0</v>
      </c>
      <c r="Q5" s="127">
        <v>0</v>
      </c>
      <c r="R5" s="127">
        <v>0</v>
      </c>
      <c r="S5" s="127">
        <v>0</v>
      </c>
      <c r="T5" s="127">
        <v>0</v>
      </c>
      <c r="U5" s="127">
        <v>0</v>
      </c>
      <c r="V5" s="127">
        <v>0</v>
      </c>
      <c r="W5" s="127">
        <v>0</v>
      </c>
      <c r="X5" s="127">
        <v>0</v>
      </c>
      <c r="Y5" s="127">
        <v>0</v>
      </c>
      <c r="Z5" s="127">
        <v>0</v>
      </c>
      <c r="AA5" s="127">
        <v>0</v>
      </c>
      <c r="AB5" s="127">
        <v>0</v>
      </c>
      <c r="AC5" s="127">
        <v>0</v>
      </c>
      <c r="AD5" s="127">
        <v>0</v>
      </c>
      <c r="AE5" s="127">
        <v>0</v>
      </c>
      <c r="AF5" s="127">
        <v>0</v>
      </c>
      <c r="AG5" s="127">
        <v>0</v>
      </c>
      <c r="AH5" s="127">
        <v>0</v>
      </c>
      <c r="AI5" s="127">
        <v>0</v>
      </c>
      <c r="AJ5" s="127">
        <v>0</v>
      </c>
      <c r="AK5" s="127">
        <v>0</v>
      </c>
      <c r="AL5" s="127">
        <v>0</v>
      </c>
      <c r="AM5" s="127">
        <v>0</v>
      </c>
      <c r="AN5" s="127">
        <v>0</v>
      </c>
      <c r="AO5" s="127">
        <v>0</v>
      </c>
      <c r="AP5" s="127">
        <v>0</v>
      </c>
      <c r="AQ5" s="127">
        <v>0</v>
      </c>
      <c r="AR5" s="127">
        <v>0</v>
      </c>
      <c r="AS5" s="127">
        <v>0</v>
      </c>
      <c r="AT5" s="127">
        <v>0</v>
      </c>
      <c r="AU5" s="127">
        <v>0</v>
      </c>
      <c r="AV5" s="127">
        <v>0</v>
      </c>
      <c r="AW5" s="127">
        <v>0</v>
      </c>
      <c r="AX5" s="127">
        <v>0</v>
      </c>
      <c r="AY5" s="127">
        <v>0</v>
      </c>
      <c r="AZ5" s="127">
        <v>0</v>
      </c>
      <c r="BA5" s="127">
        <v>0</v>
      </c>
      <c r="BB5" s="127">
        <v>0</v>
      </c>
      <c r="BC5" s="127">
        <v>0</v>
      </c>
      <c r="BD5" s="127">
        <v>0</v>
      </c>
      <c r="BE5" s="127">
        <v>0</v>
      </c>
      <c r="BF5" s="127">
        <v>0</v>
      </c>
      <c r="BG5" s="127">
        <v>0</v>
      </c>
      <c r="BH5" s="127">
        <v>0</v>
      </c>
      <c r="BI5" s="127">
        <v>0</v>
      </c>
      <c r="BJ5" s="127">
        <v>0</v>
      </c>
      <c r="BK5" s="127">
        <v>0</v>
      </c>
      <c r="BL5" s="127">
        <v>0</v>
      </c>
      <c r="BM5" s="127">
        <v>0</v>
      </c>
      <c r="BN5" s="127">
        <v>0</v>
      </c>
      <c r="BO5" s="127">
        <v>0</v>
      </c>
      <c r="BP5" s="127">
        <v>0</v>
      </c>
      <c r="BQ5" s="127">
        <v>0</v>
      </c>
      <c r="BR5" s="127">
        <v>0</v>
      </c>
      <c r="BS5" s="127">
        <v>0</v>
      </c>
      <c r="BT5" s="127">
        <v>0</v>
      </c>
      <c r="BU5" s="127">
        <v>0</v>
      </c>
      <c r="BV5" s="127">
        <v>0</v>
      </c>
      <c r="BW5" s="127">
        <v>0</v>
      </c>
      <c r="BX5" s="127">
        <v>0</v>
      </c>
      <c r="BY5" s="127">
        <v>0</v>
      </c>
      <c r="BZ5" s="127">
        <v>0</v>
      </c>
      <c r="CA5" s="127">
        <v>0</v>
      </c>
      <c r="CB5" s="127">
        <v>0</v>
      </c>
      <c r="CC5" s="127">
        <v>0</v>
      </c>
      <c r="CD5" s="127">
        <v>0</v>
      </c>
      <c r="CE5" s="127">
        <v>0</v>
      </c>
      <c r="CF5" s="127">
        <v>0</v>
      </c>
      <c r="CG5" s="127">
        <v>0</v>
      </c>
      <c r="CH5" s="127">
        <v>0</v>
      </c>
      <c r="CI5" s="127">
        <v>0</v>
      </c>
      <c r="CJ5" s="127">
        <v>0</v>
      </c>
      <c r="CK5" s="127">
        <v>0</v>
      </c>
      <c r="CL5" s="127">
        <v>0</v>
      </c>
      <c r="CM5" s="127">
        <v>0</v>
      </c>
      <c r="CN5" s="127">
        <v>0</v>
      </c>
      <c r="CO5" s="127">
        <v>0</v>
      </c>
      <c r="CP5" s="127">
        <v>0</v>
      </c>
      <c r="CQ5" s="127">
        <v>0</v>
      </c>
      <c r="CR5" s="127">
        <v>0</v>
      </c>
      <c r="CS5" s="127">
        <v>0</v>
      </c>
      <c r="CT5" s="127">
        <v>0</v>
      </c>
      <c r="CU5" s="127">
        <v>0</v>
      </c>
      <c r="CV5" s="127">
        <v>0</v>
      </c>
      <c r="CW5" s="127">
        <v>0</v>
      </c>
      <c r="CX5" s="127">
        <v>0</v>
      </c>
    </row>
    <row r="6" spans="1:102" ht="15" customHeight="1" x14ac:dyDescent="0.2">
      <c r="A6" s="123">
        <v>0.4</v>
      </c>
      <c r="B6" s="126">
        <v>1</v>
      </c>
      <c r="C6" s="127">
        <v>1</v>
      </c>
      <c r="D6" s="127">
        <v>0.75</v>
      </c>
      <c r="E6" s="127">
        <v>0.65</v>
      </c>
      <c r="F6" s="127">
        <v>0.55000000000000004</v>
      </c>
      <c r="G6" s="127">
        <v>0.45</v>
      </c>
      <c r="H6" s="127">
        <v>0.35</v>
      </c>
      <c r="I6" s="127">
        <v>0.25</v>
      </c>
      <c r="J6" s="127">
        <v>0.15</v>
      </c>
      <c r="K6" s="127">
        <v>0.05</v>
      </c>
      <c r="L6" s="127">
        <v>0</v>
      </c>
      <c r="M6" s="127">
        <v>0</v>
      </c>
      <c r="N6" s="127">
        <v>0</v>
      </c>
      <c r="O6" s="127">
        <v>0</v>
      </c>
      <c r="P6" s="127">
        <v>0</v>
      </c>
      <c r="Q6" s="127">
        <v>0</v>
      </c>
      <c r="R6" s="127">
        <v>0</v>
      </c>
      <c r="S6" s="127">
        <v>0</v>
      </c>
      <c r="T6" s="127">
        <v>0</v>
      </c>
      <c r="U6" s="127">
        <v>0</v>
      </c>
      <c r="V6" s="127">
        <v>0</v>
      </c>
      <c r="W6" s="127">
        <v>0</v>
      </c>
      <c r="X6" s="127">
        <v>0</v>
      </c>
      <c r="Y6" s="127">
        <v>0</v>
      </c>
      <c r="Z6" s="127">
        <v>0</v>
      </c>
      <c r="AA6" s="127">
        <v>0</v>
      </c>
      <c r="AB6" s="127">
        <v>0</v>
      </c>
      <c r="AC6" s="127">
        <v>0</v>
      </c>
      <c r="AD6" s="127">
        <v>0</v>
      </c>
      <c r="AE6" s="127">
        <v>0</v>
      </c>
      <c r="AF6" s="127">
        <v>0</v>
      </c>
      <c r="AG6" s="127">
        <v>0</v>
      </c>
      <c r="AH6" s="127">
        <v>0</v>
      </c>
      <c r="AI6" s="127">
        <v>0</v>
      </c>
      <c r="AJ6" s="127">
        <v>0</v>
      </c>
      <c r="AK6" s="127">
        <v>0</v>
      </c>
      <c r="AL6" s="127">
        <v>0</v>
      </c>
      <c r="AM6" s="127">
        <v>0</v>
      </c>
      <c r="AN6" s="127">
        <v>0</v>
      </c>
      <c r="AO6" s="127">
        <v>0</v>
      </c>
      <c r="AP6" s="127">
        <v>0</v>
      </c>
      <c r="AQ6" s="127">
        <v>0</v>
      </c>
      <c r="AR6" s="127">
        <v>0</v>
      </c>
      <c r="AS6" s="127">
        <v>0</v>
      </c>
      <c r="AT6" s="127">
        <v>0</v>
      </c>
      <c r="AU6" s="127">
        <v>0</v>
      </c>
      <c r="AV6" s="127">
        <v>0</v>
      </c>
      <c r="AW6" s="127">
        <v>0</v>
      </c>
      <c r="AX6" s="127">
        <v>0</v>
      </c>
      <c r="AY6" s="127">
        <v>0</v>
      </c>
      <c r="AZ6" s="127">
        <v>0</v>
      </c>
      <c r="BA6" s="127">
        <v>0</v>
      </c>
      <c r="BB6" s="127">
        <v>0</v>
      </c>
      <c r="BC6" s="127">
        <v>0</v>
      </c>
      <c r="BD6" s="127">
        <v>0</v>
      </c>
      <c r="BE6" s="127">
        <v>0</v>
      </c>
      <c r="BF6" s="127">
        <v>0</v>
      </c>
      <c r="BG6" s="127">
        <v>0</v>
      </c>
      <c r="BH6" s="127">
        <v>0</v>
      </c>
      <c r="BI6" s="127">
        <v>0</v>
      </c>
      <c r="BJ6" s="127">
        <v>0</v>
      </c>
      <c r="BK6" s="127">
        <v>0</v>
      </c>
      <c r="BL6" s="127">
        <v>0</v>
      </c>
      <c r="BM6" s="127">
        <v>0</v>
      </c>
      <c r="BN6" s="127">
        <v>0</v>
      </c>
      <c r="BO6" s="127">
        <v>0</v>
      </c>
      <c r="BP6" s="127">
        <v>0</v>
      </c>
      <c r="BQ6" s="127">
        <v>0</v>
      </c>
      <c r="BR6" s="127">
        <v>0</v>
      </c>
      <c r="BS6" s="127">
        <v>0</v>
      </c>
      <c r="BT6" s="127">
        <v>0</v>
      </c>
      <c r="BU6" s="127">
        <v>0</v>
      </c>
      <c r="BV6" s="127">
        <v>0</v>
      </c>
      <c r="BW6" s="127">
        <v>0</v>
      </c>
      <c r="BX6" s="127">
        <v>0</v>
      </c>
      <c r="BY6" s="127">
        <v>0</v>
      </c>
      <c r="BZ6" s="127">
        <v>0</v>
      </c>
      <c r="CA6" s="127">
        <v>0</v>
      </c>
      <c r="CB6" s="127">
        <v>0</v>
      </c>
      <c r="CC6" s="127">
        <v>0</v>
      </c>
      <c r="CD6" s="127">
        <v>0</v>
      </c>
      <c r="CE6" s="127">
        <v>0</v>
      </c>
      <c r="CF6" s="127">
        <v>0</v>
      </c>
      <c r="CG6" s="127">
        <v>0</v>
      </c>
      <c r="CH6" s="127">
        <v>0</v>
      </c>
      <c r="CI6" s="127">
        <v>0</v>
      </c>
      <c r="CJ6" s="127">
        <v>0</v>
      </c>
      <c r="CK6" s="127">
        <v>0</v>
      </c>
      <c r="CL6" s="127">
        <v>0</v>
      </c>
      <c r="CM6" s="127">
        <v>0</v>
      </c>
      <c r="CN6" s="127">
        <v>0</v>
      </c>
      <c r="CO6" s="127">
        <v>0</v>
      </c>
      <c r="CP6" s="127">
        <v>0</v>
      </c>
      <c r="CQ6" s="127">
        <v>0</v>
      </c>
      <c r="CR6" s="127">
        <v>0</v>
      </c>
      <c r="CS6" s="127">
        <v>0</v>
      </c>
      <c r="CT6" s="127">
        <v>0</v>
      </c>
      <c r="CU6" s="127">
        <v>0</v>
      </c>
      <c r="CV6" s="127">
        <v>0</v>
      </c>
      <c r="CW6" s="127">
        <v>0</v>
      </c>
      <c r="CX6" s="127">
        <v>0</v>
      </c>
    </row>
    <row r="7" spans="1:102" ht="15" customHeight="1" x14ac:dyDescent="0.2">
      <c r="A7" s="123">
        <v>0.5</v>
      </c>
      <c r="B7" s="126">
        <v>1</v>
      </c>
      <c r="C7" s="127">
        <v>1</v>
      </c>
      <c r="D7" s="127">
        <v>0.8</v>
      </c>
      <c r="E7" s="127">
        <v>0.7</v>
      </c>
      <c r="F7" s="127">
        <v>0.6</v>
      </c>
      <c r="G7" s="127">
        <v>0.5</v>
      </c>
      <c r="H7" s="127">
        <v>0.4</v>
      </c>
      <c r="I7" s="127">
        <v>0.3</v>
      </c>
      <c r="J7" s="127">
        <v>0.2</v>
      </c>
      <c r="K7" s="127">
        <v>0.1</v>
      </c>
      <c r="L7" s="127">
        <v>0</v>
      </c>
      <c r="M7" s="127">
        <v>0</v>
      </c>
      <c r="N7" s="127">
        <v>0</v>
      </c>
      <c r="O7" s="127">
        <v>0</v>
      </c>
      <c r="P7" s="127">
        <v>0</v>
      </c>
      <c r="Q7" s="127">
        <v>0</v>
      </c>
      <c r="R7" s="127">
        <v>0</v>
      </c>
      <c r="S7" s="127">
        <v>0</v>
      </c>
      <c r="T7" s="127">
        <v>0</v>
      </c>
      <c r="U7" s="127">
        <v>0</v>
      </c>
      <c r="V7" s="127">
        <v>0</v>
      </c>
      <c r="W7" s="127">
        <v>0</v>
      </c>
      <c r="X7" s="127">
        <v>0</v>
      </c>
      <c r="Y7" s="127">
        <v>0</v>
      </c>
      <c r="Z7" s="127">
        <v>0</v>
      </c>
      <c r="AA7" s="127">
        <v>0</v>
      </c>
      <c r="AB7" s="127">
        <v>0</v>
      </c>
      <c r="AC7" s="127">
        <v>0</v>
      </c>
      <c r="AD7" s="127">
        <v>0</v>
      </c>
      <c r="AE7" s="127">
        <v>0</v>
      </c>
      <c r="AF7" s="127">
        <v>0</v>
      </c>
      <c r="AG7" s="127">
        <v>0</v>
      </c>
      <c r="AH7" s="127">
        <v>0</v>
      </c>
      <c r="AI7" s="127">
        <v>0</v>
      </c>
      <c r="AJ7" s="127">
        <v>0</v>
      </c>
      <c r="AK7" s="127">
        <v>0</v>
      </c>
      <c r="AL7" s="127">
        <v>0</v>
      </c>
      <c r="AM7" s="127">
        <v>0</v>
      </c>
      <c r="AN7" s="127">
        <v>0</v>
      </c>
      <c r="AO7" s="127">
        <v>0</v>
      </c>
      <c r="AP7" s="127">
        <v>0</v>
      </c>
      <c r="AQ7" s="127">
        <v>0</v>
      </c>
      <c r="AR7" s="127">
        <v>0</v>
      </c>
      <c r="AS7" s="127">
        <v>0</v>
      </c>
      <c r="AT7" s="127">
        <v>0</v>
      </c>
      <c r="AU7" s="127">
        <v>0</v>
      </c>
      <c r="AV7" s="127">
        <v>0</v>
      </c>
      <c r="AW7" s="127">
        <v>0</v>
      </c>
      <c r="AX7" s="127">
        <v>0</v>
      </c>
      <c r="AY7" s="127">
        <v>0</v>
      </c>
      <c r="AZ7" s="127">
        <v>0</v>
      </c>
      <c r="BA7" s="127">
        <v>0</v>
      </c>
      <c r="BB7" s="127">
        <v>0</v>
      </c>
      <c r="BC7" s="127">
        <v>0</v>
      </c>
      <c r="BD7" s="127">
        <v>0</v>
      </c>
      <c r="BE7" s="127">
        <v>0</v>
      </c>
      <c r="BF7" s="127">
        <v>0</v>
      </c>
      <c r="BG7" s="127">
        <v>0</v>
      </c>
      <c r="BH7" s="127">
        <v>0</v>
      </c>
      <c r="BI7" s="127">
        <v>0</v>
      </c>
      <c r="BJ7" s="127">
        <v>0</v>
      </c>
      <c r="BK7" s="127">
        <v>0</v>
      </c>
      <c r="BL7" s="127">
        <v>0</v>
      </c>
      <c r="BM7" s="127">
        <v>0</v>
      </c>
      <c r="BN7" s="127">
        <v>0</v>
      </c>
      <c r="BO7" s="127">
        <v>0</v>
      </c>
      <c r="BP7" s="127">
        <v>0</v>
      </c>
      <c r="BQ7" s="127">
        <v>0</v>
      </c>
      <c r="BR7" s="127">
        <v>0</v>
      </c>
      <c r="BS7" s="127">
        <v>0</v>
      </c>
      <c r="BT7" s="127">
        <v>0</v>
      </c>
      <c r="BU7" s="127">
        <v>0</v>
      </c>
      <c r="BV7" s="127">
        <v>0</v>
      </c>
      <c r="BW7" s="127">
        <v>0</v>
      </c>
      <c r="BX7" s="127">
        <v>0</v>
      </c>
      <c r="BY7" s="127">
        <v>0</v>
      </c>
      <c r="BZ7" s="127">
        <v>0</v>
      </c>
      <c r="CA7" s="127">
        <v>0</v>
      </c>
      <c r="CB7" s="127">
        <v>0</v>
      </c>
      <c r="CC7" s="127">
        <v>0</v>
      </c>
      <c r="CD7" s="127">
        <v>0</v>
      </c>
      <c r="CE7" s="127">
        <v>0</v>
      </c>
      <c r="CF7" s="127">
        <v>0</v>
      </c>
      <c r="CG7" s="127">
        <v>0</v>
      </c>
      <c r="CH7" s="127">
        <v>0</v>
      </c>
      <c r="CI7" s="127">
        <v>0</v>
      </c>
      <c r="CJ7" s="127">
        <v>0</v>
      </c>
      <c r="CK7" s="127">
        <v>0</v>
      </c>
      <c r="CL7" s="127">
        <v>0</v>
      </c>
      <c r="CM7" s="127">
        <v>0</v>
      </c>
      <c r="CN7" s="127">
        <v>0</v>
      </c>
      <c r="CO7" s="127">
        <v>0</v>
      </c>
      <c r="CP7" s="127">
        <v>0</v>
      </c>
      <c r="CQ7" s="127">
        <v>0</v>
      </c>
      <c r="CR7" s="127">
        <v>0</v>
      </c>
      <c r="CS7" s="127">
        <v>0</v>
      </c>
      <c r="CT7" s="127">
        <v>0</v>
      </c>
      <c r="CU7" s="127">
        <v>0</v>
      </c>
      <c r="CV7" s="127">
        <v>0</v>
      </c>
      <c r="CW7" s="127">
        <v>0</v>
      </c>
      <c r="CX7" s="127">
        <v>0</v>
      </c>
    </row>
    <row r="8" spans="1:102" ht="15" customHeight="1" x14ac:dyDescent="0.2">
      <c r="A8" s="123">
        <v>0.6</v>
      </c>
      <c r="B8" s="126">
        <v>1</v>
      </c>
      <c r="C8" s="127">
        <v>1</v>
      </c>
      <c r="D8" s="127">
        <v>0.8</v>
      </c>
      <c r="E8" s="127">
        <v>0.7</v>
      </c>
      <c r="F8" s="127">
        <v>0.6</v>
      </c>
      <c r="G8" s="127">
        <v>0.5</v>
      </c>
      <c r="H8" s="127">
        <v>0.4</v>
      </c>
      <c r="I8" s="127">
        <v>0.3</v>
      </c>
      <c r="J8" s="127">
        <v>0.2</v>
      </c>
      <c r="K8" s="127">
        <v>0.1</v>
      </c>
      <c r="L8" s="127">
        <v>0</v>
      </c>
      <c r="M8" s="127">
        <v>0</v>
      </c>
      <c r="N8" s="127">
        <v>0</v>
      </c>
      <c r="O8" s="127">
        <v>0</v>
      </c>
      <c r="P8" s="127">
        <v>0</v>
      </c>
      <c r="Q8" s="127">
        <v>0</v>
      </c>
      <c r="R8" s="127">
        <v>0</v>
      </c>
      <c r="S8" s="127">
        <v>0</v>
      </c>
      <c r="T8" s="127">
        <v>0</v>
      </c>
      <c r="U8" s="127">
        <v>0</v>
      </c>
      <c r="V8" s="127">
        <v>0</v>
      </c>
      <c r="W8" s="127">
        <v>0</v>
      </c>
      <c r="X8" s="127">
        <v>0</v>
      </c>
      <c r="Y8" s="127">
        <v>0</v>
      </c>
      <c r="Z8" s="127">
        <v>0</v>
      </c>
      <c r="AA8" s="127">
        <v>0</v>
      </c>
      <c r="AB8" s="127">
        <v>0</v>
      </c>
      <c r="AC8" s="127">
        <v>0</v>
      </c>
      <c r="AD8" s="127">
        <v>0</v>
      </c>
      <c r="AE8" s="127">
        <v>0</v>
      </c>
      <c r="AF8" s="127">
        <v>0</v>
      </c>
      <c r="AG8" s="127">
        <v>0</v>
      </c>
      <c r="AH8" s="127">
        <v>0</v>
      </c>
      <c r="AI8" s="127">
        <v>0</v>
      </c>
      <c r="AJ8" s="127">
        <v>0</v>
      </c>
      <c r="AK8" s="127">
        <v>0</v>
      </c>
      <c r="AL8" s="127">
        <v>0</v>
      </c>
      <c r="AM8" s="127">
        <v>0</v>
      </c>
      <c r="AN8" s="127">
        <v>0</v>
      </c>
      <c r="AO8" s="127">
        <v>0</v>
      </c>
      <c r="AP8" s="127">
        <v>0</v>
      </c>
      <c r="AQ8" s="127">
        <v>0</v>
      </c>
      <c r="AR8" s="127">
        <v>0</v>
      </c>
      <c r="AS8" s="127">
        <v>0</v>
      </c>
      <c r="AT8" s="127">
        <v>0</v>
      </c>
      <c r="AU8" s="127">
        <v>0</v>
      </c>
      <c r="AV8" s="127">
        <v>0</v>
      </c>
      <c r="AW8" s="127">
        <v>0</v>
      </c>
      <c r="AX8" s="127">
        <v>0</v>
      </c>
      <c r="AY8" s="127">
        <v>0</v>
      </c>
      <c r="AZ8" s="127">
        <v>0</v>
      </c>
      <c r="BA8" s="127">
        <v>0</v>
      </c>
      <c r="BB8" s="127">
        <v>0</v>
      </c>
      <c r="BC8" s="127">
        <v>0</v>
      </c>
      <c r="BD8" s="127">
        <v>0</v>
      </c>
      <c r="BE8" s="127">
        <v>0</v>
      </c>
      <c r="BF8" s="127">
        <v>0</v>
      </c>
      <c r="BG8" s="127">
        <v>0</v>
      </c>
      <c r="BH8" s="127">
        <v>0</v>
      </c>
      <c r="BI8" s="127">
        <v>0</v>
      </c>
      <c r="BJ8" s="127">
        <v>0</v>
      </c>
      <c r="BK8" s="127">
        <v>0</v>
      </c>
      <c r="BL8" s="127">
        <v>0</v>
      </c>
      <c r="BM8" s="127">
        <v>0</v>
      </c>
      <c r="BN8" s="127">
        <v>0</v>
      </c>
      <c r="BO8" s="127">
        <v>0</v>
      </c>
      <c r="BP8" s="127">
        <v>0</v>
      </c>
      <c r="BQ8" s="127">
        <v>0</v>
      </c>
      <c r="BR8" s="127">
        <v>0</v>
      </c>
      <c r="BS8" s="127">
        <v>0</v>
      </c>
      <c r="BT8" s="127">
        <v>0</v>
      </c>
      <c r="BU8" s="127">
        <v>0</v>
      </c>
      <c r="BV8" s="127">
        <v>0</v>
      </c>
      <c r="BW8" s="127">
        <v>0</v>
      </c>
      <c r="BX8" s="127">
        <v>0</v>
      </c>
      <c r="BY8" s="127">
        <v>0</v>
      </c>
      <c r="BZ8" s="127">
        <v>0</v>
      </c>
      <c r="CA8" s="127">
        <v>0</v>
      </c>
      <c r="CB8" s="127">
        <v>0</v>
      </c>
      <c r="CC8" s="127">
        <v>0</v>
      </c>
      <c r="CD8" s="127">
        <v>0</v>
      </c>
      <c r="CE8" s="127">
        <v>0</v>
      </c>
      <c r="CF8" s="127">
        <v>0</v>
      </c>
      <c r="CG8" s="127">
        <v>0</v>
      </c>
      <c r="CH8" s="127">
        <v>0</v>
      </c>
      <c r="CI8" s="127">
        <v>0</v>
      </c>
      <c r="CJ8" s="127">
        <v>0</v>
      </c>
      <c r="CK8" s="127">
        <v>0</v>
      </c>
      <c r="CL8" s="127">
        <v>0</v>
      </c>
      <c r="CM8" s="127">
        <v>0</v>
      </c>
      <c r="CN8" s="127">
        <v>0</v>
      </c>
      <c r="CO8" s="127">
        <v>0</v>
      </c>
      <c r="CP8" s="127">
        <v>0</v>
      </c>
      <c r="CQ8" s="127">
        <v>0</v>
      </c>
      <c r="CR8" s="127">
        <v>0</v>
      </c>
      <c r="CS8" s="127">
        <v>0</v>
      </c>
      <c r="CT8" s="127">
        <v>0</v>
      </c>
      <c r="CU8" s="127">
        <v>0</v>
      </c>
      <c r="CV8" s="127">
        <v>0</v>
      </c>
      <c r="CW8" s="127">
        <v>0</v>
      </c>
      <c r="CX8" s="127">
        <v>0</v>
      </c>
    </row>
    <row r="9" spans="1:102" ht="15" customHeight="1" x14ac:dyDescent="0.2">
      <c r="A9" s="123">
        <v>0.7</v>
      </c>
      <c r="B9" s="126">
        <v>1</v>
      </c>
      <c r="C9" s="127">
        <v>1</v>
      </c>
      <c r="D9" s="127">
        <v>1</v>
      </c>
      <c r="E9" s="127">
        <v>0.8</v>
      </c>
      <c r="F9" s="127">
        <v>0.7</v>
      </c>
      <c r="G9" s="127">
        <v>0.6</v>
      </c>
      <c r="H9" s="127">
        <v>0.5</v>
      </c>
      <c r="I9" s="127">
        <v>0.4</v>
      </c>
      <c r="J9" s="127">
        <v>0.3</v>
      </c>
      <c r="K9" s="127">
        <v>0.2</v>
      </c>
      <c r="L9" s="127">
        <v>0.1</v>
      </c>
      <c r="M9" s="127">
        <v>0</v>
      </c>
      <c r="N9" s="127">
        <v>0</v>
      </c>
      <c r="O9" s="127">
        <v>0</v>
      </c>
      <c r="P9" s="127">
        <v>0</v>
      </c>
      <c r="Q9" s="127">
        <v>0</v>
      </c>
      <c r="R9" s="127">
        <v>0</v>
      </c>
      <c r="S9" s="127">
        <v>0</v>
      </c>
      <c r="T9" s="127">
        <v>0</v>
      </c>
      <c r="U9" s="127">
        <v>0</v>
      </c>
      <c r="V9" s="127">
        <v>0</v>
      </c>
      <c r="W9" s="127">
        <v>0</v>
      </c>
      <c r="X9" s="127">
        <v>0</v>
      </c>
      <c r="Y9" s="127">
        <v>0</v>
      </c>
      <c r="Z9" s="127">
        <v>0</v>
      </c>
      <c r="AA9" s="127">
        <v>0</v>
      </c>
      <c r="AB9" s="127">
        <v>0</v>
      </c>
      <c r="AC9" s="127">
        <v>0</v>
      </c>
      <c r="AD9" s="127">
        <v>0</v>
      </c>
      <c r="AE9" s="127">
        <v>0</v>
      </c>
      <c r="AF9" s="127">
        <v>0</v>
      </c>
      <c r="AG9" s="127">
        <v>0</v>
      </c>
      <c r="AH9" s="127">
        <v>0</v>
      </c>
      <c r="AI9" s="127">
        <v>0</v>
      </c>
      <c r="AJ9" s="127">
        <v>0</v>
      </c>
      <c r="AK9" s="127">
        <v>0</v>
      </c>
      <c r="AL9" s="127">
        <v>0</v>
      </c>
      <c r="AM9" s="127">
        <v>0</v>
      </c>
      <c r="AN9" s="127">
        <v>0</v>
      </c>
      <c r="AO9" s="127">
        <v>0</v>
      </c>
      <c r="AP9" s="127">
        <v>0</v>
      </c>
      <c r="AQ9" s="127">
        <v>0</v>
      </c>
      <c r="AR9" s="127">
        <v>0</v>
      </c>
      <c r="AS9" s="127">
        <v>0</v>
      </c>
      <c r="AT9" s="127">
        <v>0</v>
      </c>
      <c r="AU9" s="127">
        <v>0</v>
      </c>
      <c r="AV9" s="127">
        <v>0</v>
      </c>
      <c r="AW9" s="127">
        <v>0</v>
      </c>
      <c r="AX9" s="127">
        <v>0</v>
      </c>
      <c r="AY9" s="127">
        <v>0</v>
      </c>
      <c r="AZ9" s="127">
        <v>0</v>
      </c>
      <c r="BA9" s="127">
        <v>0</v>
      </c>
      <c r="BB9" s="127">
        <v>0</v>
      </c>
      <c r="BC9" s="127">
        <v>0</v>
      </c>
      <c r="BD9" s="127">
        <v>0</v>
      </c>
      <c r="BE9" s="127">
        <v>0</v>
      </c>
      <c r="BF9" s="127">
        <v>0</v>
      </c>
      <c r="BG9" s="127">
        <v>0</v>
      </c>
      <c r="BH9" s="127">
        <v>0</v>
      </c>
      <c r="BI9" s="127">
        <v>0</v>
      </c>
      <c r="BJ9" s="127">
        <v>0</v>
      </c>
      <c r="BK9" s="127">
        <v>0</v>
      </c>
      <c r="BL9" s="127">
        <v>0</v>
      </c>
      <c r="BM9" s="127">
        <v>0</v>
      </c>
      <c r="BN9" s="127">
        <v>0</v>
      </c>
      <c r="BO9" s="127">
        <v>0</v>
      </c>
      <c r="BP9" s="127">
        <v>0</v>
      </c>
      <c r="BQ9" s="127">
        <v>0</v>
      </c>
      <c r="BR9" s="127">
        <v>0</v>
      </c>
      <c r="BS9" s="127">
        <v>0</v>
      </c>
      <c r="BT9" s="127">
        <v>0</v>
      </c>
      <c r="BU9" s="127">
        <v>0</v>
      </c>
      <c r="BV9" s="127">
        <v>0</v>
      </c>
      <c r="BW9" s="127">
        <v>0</v>
      </c>
      <c r="BX9" s="127">
        <v>0</v>
      </c>
      <c r="BY9" s="127">
        <v>0</v>
      </c>
      <c r="BZ9" s="127">
        <v>0</v>
      </c>
      <c r="CA9" s="127">
        <v>0</v>
      </c>
      <c r="CB9" s="127">
        <v>0</v>
      </c>
      <c r="CC9" s="127">
        <v>0</v>
      </c>
      <c r="CD9" s="127">
        <v>0</v>
      </c>
      <c r="CE9" s="127">
        <v>0</v>
      </c>
      <c r="CF9" s="127">
        <v>0</v>
      </c>
      <c r="CG9" s="127">
        <v>0</v>
      </c>
      <c r="CH9" s="127">
        <v>0</v>
      </c>
      <c r="CI9" s="127">
        <v>0</v>
      </c>
      <c r="CJ9" s="127">
        <v>0</v>
      </c>
      <c r="CK9" s="127">
        <v>0</v>
      </c>
      <c r="CL9" s="127">
        <v>0</v>
      </c>
      <c r="CM9" s="127">
        <v>0</v>
      </c>
      <c r="CN9" s="127">
        <v>0</v>
      </c>
      <c r="CO9" s="127">
        <v>0</v>
      </c>
      <c r="CP9" s="127">
        <v>0</v>
      </c>
      <c r="CQ9" s="127">
        <v>0</v>
      </c>
      <c r="CR9" s="127">
        <v>0</v>
      </c>
      <c r="CS9" s="127">
        <v>0</v>
      </c>
      <c r="CT9" s="127">
        <v>0</v>
      </c>
      <c r="CU9" s="127">
        <v>0</v>
      </c>
      <c r="CV9" s="127">
        <v>0</v>
      </c>
      <c r="CW9" s="127">
        <v>0</v>
      </c>
      <c r="CX9" s="127">
        <v>0</v>
      </c>
    </row>
    <row r="10" spans="1:102" ht="15" customHeight="1" x14ac:dyDescent="0.2">
      <c r="A10" s="123">
        <v>0.8</v>
      </c>
      <c r="B10" s="126">
        <v>1</v>
      </c>
      <c r="C10" s="127">
        <v>1</v>
      </c>
      <c r="D10" s="127">
        <v>1</v>
      </c>
      <c r="E10" s="127">
        <v>0.8</v>
      </c>
      <c r="F10" s="127">
        <v>0.7</v>
      </c>
      <c r="G10" s="127">
        <v>0.6</v>
      </c>
      <c r="H10" s="127">
        <v>0.5</v>
      </c>
      <c r="I10" s="127">
        <v>0.4</v>
      </c>
      <c r="J10" s="127">
        <v>0.3</v>
      </c>
      <c r="K10" s="127">
        <v>0.2</v>
      </c>
      <c r="L10" s="127">
        <v>0.1</v>
      </c>
      <c r="M10" s="127">
        <v>0</v>
      </c>
      <c r="N10" s="127">
        <v>0</v>
      </c>
      <c r="O10" s="127">
        <v>0</v>
      </c>
      <c r="P10" s="127">
        <v>0</v>
      </c>
      <c r="Q10" s="127">
        <v>0</v>
      </c>
      <c r="R10" s="127">
        <v>0</v>
      </c>
      <c r="S10" s="127">
        <v>0</v>
      </c>
      <c r="T10" s="127">
        <v>0</v>
      </c>
      <c r="U10" s="127">
        <v>0</v>
      </c>
      <c r="V10" s="127">
        <v>0</v>
      </c>
      <c r="W10" s="127">
        <v>0</v>
      </c>
      <c r="X10" s="127">
        <v>0</v>
      </c>
      <c r="Y10" s="127">
        <v>0</v>
      </c>
      <c r="Z10" s="127">
        <v>0</v>
      </c>
      <c r="AA10" s="127">
        <v>0</v>
      </c>
      <c r="AB10" s="127">
        <v>0</v>
      </c>
      <c r="AC10" s="127">
        <v>0</v>
      </c>
      <c r="AD10" s="127">
        <v>0</v>
      </c>
      <c r="AE10" s="127">
        <v>0</v>
      </c>
      <c r="AF10" s="127">
        <v>0</v>
      </c>
      <c r="AG10" s="127">
        <v>0</v>
      </c>
      <c r="AH10" s="127">
        <v>0</v>
      </c>
      <c r="AI10" s="127">
        <v>0</v>
      </c>
      <c r="AJ10" s="127">
        <v>0</v>
      </c>
      <c r="AK10" s="127">
        <v>0</v>
      </c>
      <c r="AL10" s="127">
        <v>0</v>
      </c>
      <c r="AM10" s="127">
        <v>0</v>
      </c>
      <c r="AN10" s="127">
        <v>0</v>
      </c>
      <c r="AO10" s="127">
        <v>0</v>
      </c>
      <c r="AP10" s="127">
        <v>0</v>
      </c>
      <c r="AQ10" s="127">
        <v>0</v>
      </c>
      <c r="AR10" s="127">
        <v>0</v>
      </c>
      <c r="AS10" s="127">
        <v>0</v>
      </c>
      <c r="AT10" s="127">
        <v>0</v>
      </c>
      <c r="AU10" s="127">
        <v>0</v>
      </c>
      <c r="AV10" s="127">
        <v>0</v>
      </c>
      <c r="AW10" s="127">
        <v>0</v>
      </c>
      <c r="AX10" s="127">
        <v>0</v>
      </c>
      <c r="AY10" s="127">
        <v>0</v>
      </c>
      <c r="AZ10" s="127">
        <v>0</v>
      </c>
      <c r="BA10" s="127">
        <v>0</v>
      </c>
      <c r="BB10" s="127">
        <v>0</v>
      </c>
      <c r="BC10" s="127">
        <v>0</v>
      </c>
      <c r="BD10" s="127">
        <v>0</v>
      </c>
      <c r="BE10" s="127">
        <v>0</v>
      </c>
      <c r="BF10" s="127">
        <v>0</v>
      </c>
      <c r="BG10" s="127">
        <v>0</v>
      </c>
      <c r="BH10" s="127">
        <v>0</v>
      </c>
      <c r="BI10" s="127">
        <v>0</v>
      </c>
      <c r="BJ10" s="127">
        <v>0</v>
      </c>
      <c r="BK10" s="127">
        <v>0</v>
      </c>
      <c r="BL10" s="127">
        <v>0</v>
      </c>
      <c r="BM10" s="127">
        <v>0</v>
      </c>
      <c r="BN10" s="127">
        <v>0</v>
      </c>
      <c r="BO10" s="127">
        <v>0</v>
      </c>
      <c r="BP10" s="127">
        <v>0</v>
      </c>
      <c r="BQ10" s="127">
        <v>0</v>
      </c>
      <c r="BR10" s="127">
        <v>0</v>
      </c>
      <c r="BS10" s="127">
        <v>0</v>
      </c>
      <c r="BT10" s="127">
        <v>0</v>
      </c>
      <c r="BU10" s="127">
        <v>0</v>
      </c>
      <c r="BV10" s="127">
        <v>0</v>
      </c>
      <c r="BW10" s="127">
        <v>0</v>
      </c>
      <c r="BX10" s="127">
        <v>0</v>
      </c>
      <c r="BY10" s="127">
        <v>0</v>
      </c>
      <c r="BZ10" s="127">
        <v>0</v>
      </c>
      <c r="CA10" s="127">
        <v>0</v>
      </c>
      <c r="CB10" s="127">
        <v>0</v>
      </c>
      <c r="CC10" s="127">
        <v>0</v>
      </c>
      <c r="CD10" s="127">
        <v>0</v>
      </c>
      <c r="CE10" s="127">
        <v>0</v>
      </c>
      <c r="CF10" s="127">
        <v>0</v>
      </c>
      <c r="CG10" s="127">
        <v>0</v>
      </c>
      <c r="CH10" s="127">
        <v>0</v>
      </c>
      <c r="CI10" s="127">
        <v>0</v>
      </c>
      <c r="CJ10" s="127">
        <v>0</v>
      </c>
      <c r="CK10" s="127">
        <v>0</v>
      </c>
      <c r="CL10" s="127">
        <v>0</v>
      </c>
      <c r="CM10" s="127">
        <v>0</v>
      </c>
      <c r="CN10" s="127">
        <v>0</v>
      </c>
      <c r="CO10" s="127">
        <v>0</v>
      </c>
      <c r="CP10" s="127">
        <v>0</v>
      </c>
      <c r="CQ10" s="127">
        <v>0</v>
      </c>
      <c r="CR10" s="127">
        <v>0</v>
      </c>
      <c r="CS10" s="127">
        <v>0</v>
      </c>
      <c r="CT10" s="127">
        <v>0</v>
      </c>
      <c r="CU10" s="127">
        <v>0</v>
      </c>
      <c r="CV10" s="127">
        <v>0</v>
      </c>
      <c r="CW10" s="127">
        <v>0</v>
      </c>
      <c r="CX10" s="127">
        <v>0</v>
      </c>
    </row>
    <row r="11" spans="1:102" ht="15" customHeight="1" x14ac:dyDescent="0.2">
      <c r="A11" s="123">
        <v>0.9</v>
      </c>
      <c r="B11" s="126">
        <v>1</v>
      </c>
      <c r="C11" s="127">
        <v>1</v>
      </c>
      <c r="D11" s="127">
        <v>1</v>
      </c>
      <c r="E11" s="127">
        <v>0.8</v>
      </c>
      <c r="F11" s="127">
        <v>0.7</v>
      </c>
      <c r="G11" s="127">
        <v>0.6</v>
      </c>
      <c r="H11" s="127">
        <v>0.5</v>
      </c>
      <c r="I11" s="127">
        <v>0.4</v>
      </c>
      <c r="J11" s="127">
        <v>0.3</v>
      </c>
      <c r="K11" s="127">
        <v>0.2</v>
      </c>
      <c r="L11" s="127">
        <v>0.1</v>
      </c>
      <c r="M11" s="127">
        <v>0</v>
      </c>
      <c r="N11" s="127">
        <v>0</v>
      </c>
      <c r="O11" s="127">
        <v>0</v>
      </c>
      <c r="P11" s="127">
        <v>0</v>
      </c>
      <c r="Q11" s="127">
        <v>0</v>
      </c>
      <c r="R11" s="127">
        <v>0</v>
      </c>
      <c r="S11" s="127">
        <v>0</v>
      </c>
      <c r="T11" s="127">
        <v>0</v>
      </c>
      <c r="U11" s="127">
        <v>0</v>
      </c>
      <c r="V11" s="127">
        <v>0</v>
      </c>
      <c r="W11" s="127">
        <v>0</v>
      </c>
      <c r="X11" s="127">
        <v>0</v>
      </c>
      <c r="Y11" s="127">
        <v>0</v>
      </c>
      <c r="Z11" s="127">
        <v>0</v>
      </c>
      <c r="AA11" s="127">
        <v>0</v>
      </c>
      <c r="AB11" s="127">
        <v>0</v>
      </c>
      <c r="AC11" s="127">
        <v>0</v>
      </c>
      <c r="AD11" s="127">
        <v>0</v>
      </c>
      <c r="AE11" s="127">
        <v>0</v>
      </c>
      <c r="AF11" s="127">
        <v>0</v>
      </c>
      <c r="AG11" s="127">
        <v>0</v>
      </c>
      <c r="AH11" s="127">
        <v>0</v>
      </c>
      <c r="AI11" s="127">
        <v>0</v>
      </c>
      <c r="AJ11" s="127">
        <v>0</v>
      </c>
      <c r="AK11" s="127">
        <v>0</v>
      </c>
      <c r="AL11" s="127">
        <v>0</v>
      </c>
      <c r="AM11" s="127">
        <v>0</v>
      </c>
      <c r="AN11" s="127">
        <v>0</v>
      </c>
      <c r="AO11" s="127">
        <v>0</v>
      </c>
      <c r="AP11" s="127">
        <v>0</v>
      </c>
      <c r="AQ11" s="127">
        <v>0</v>
      </c>
      <c r="AR11" s="127">
        <v>0</v>
      </c>
      <c r="AS11" s="127">
        <v>0</v>
      </c>
      <c r="AT11" s="127">
        <v>0</v>
      </c>
      <c r="AU11" s="127">
        <v>0</v>
      </c>
      <c r="AV11" s="127">
        <v>0</v>
      </c>
      <c r="AW11" s="127">
        <v>0</v>
      </c>
      <c r="AX11" s="127">
        <v>0</v>
      </c>
      <c r="AY11" s="127">
        <v>0</v>
      </c>
      <c r="AZ11" s="127">
        <v>0</v>
      </c>
      <c r="BA11" s="127">
        <v>0</v>
      </c>
      <c r="BB11" s="127">
        <v>0</v>
      </c>
      <c r="BC11" s="127">
        <v>0</v>
      </c>
      <c r="BD11" s="127">
        <v>0</v>
      </c>
      <c r="BE11" s="127">
        <v>0</v>
      </c>
      <c r="BF11" s="127">
        <v>0</v>
      </c>
      <c r="BG11" s="127">
        <v>0</v>
      </c>
      <c r="BH11" s="127">
        <v>0</v>
      </c>
      <c r="BI11" s="127">
        <v>0</v>
      </c>
      <c r="BJ11" s="127">
        <v>0</v>
      </c>
      <c r="BK11" s="127">
        <v>0</v>
      </c>
      <c r="BL11" s="127">
        <v>0</v>
      </c>
      <c r="BM11" s="127">
        <v>0</v>
      </c>
      <c r="BN11" s="127">
        <v>0</v>
      </c>
      <c r="BO11" s="127">
        <v>0</v>
      </c>
      <c r="BP11" s="127">
        <v>0</v>
      </c>
      <c r="BQ11" s="127">
        <v>0</v>
      </c>
      <c r="BR11" s="127">
        <v>0</v>
      </c>
      <c r="BS11" s="127">
        <v>0</v>
      </c>
      <c r="BT11" s="127">
        <v>0</v>
      </c>
      <c r="BU11" s="127">
        <v>0</v>
      </c>
      <c r="BV11" s="127">
        <v>0</v>
      </c>
      <c r="BW11" s="127">
        <v>0</v>
      </c>
      <c r="BX11" s="127">
        <v>0</v>
      </c>
      <c r="BY11" s="127">
        <v>0</v>
      </c>
      <c r="BZ11" s="127">
        <v>0</v>
      </c>
      <c r="CA11" s="127">
        <v>0</v>
      </c>
      <c r="CB11" s="127">
        <v>0</v>
      </c>
      <c r="CC11" s="127">
        <v>0</v>
      </c>
      <c r="CD11" s="127">
        <v>0</v>
      </c>
      <c r="CE11" s="127">
        <v>0</v>
      </c>
      <c r="CF11" s="127">
        <v>0</v>
      </c>
      <c r="CG11" s="127">
        <v>0</v>
      </c>
      <c r="CH11" s="127">
        <v>0</v>
      </c>
      <c r="CI11" s="127">
        <v>0</v>
      </c>
      <c r="CJ11" s="127">
        <v>0</v>
      </c>
      <c r="CK11" s="127">
        <v>0</v>
      </c>
      <c r="CL11" s="127">
        <v>0</v>
      </c>
      <c r="CM11" s="127">
        <v>0</v>
      </c>
      <c r="CN11" s="127">
        <v>0</v>
      </c>
      <c r="CO11" s="127">
        <v>0</v>
      </c>
      <c r="CP11" s="127">
        <v>0</v>
      </c>
      <c r="CQ11" s="127">
        <v>0</v>
      </c>
      <c r="CR11" s="127">
        <v>0</v>
      </c>
      <c r="CS11" s="127">
        <v>0</v>
      </c>
      <c r="CT11" s="127">
        <v>0</v>
      </c>
      <c r="CU11" s="127">
        <v>0</v>
      </c>
      <c r="CV11" s="127">
        <v>0</v>
      </c>
      <c r="CW11" s="127">
        <v>0</v>
      </c>
      <c r="CX11" s="127">
        <v>0</v>
      </c>
    </row>
    <row r="12" spans="1:102" ht="15" customHeight="1" x14ac:dyDescent="0.2">
      <c r="A12" s="123">
        <v>1</v>
      </c>
      <c r="B12" s="126">
        <v>1</v>
      </c>
      <c r="C12" s="127">
        <v>1</v>
      </c>
      <c r="D12" s="127">
        <v>1</v>
      </c>
      <c r="E12" s="127">
        <v>0.8</v>
      </c>
      <c r="F12" s="127">
        <v>0.7</v>
      </c>
      <c r="G12" s="127">
        <v>0.6</v>
      </c>
      <c r="H12" s="127">
        <v>0.5</v>
      </c>
      <c r="I12" s="127">
        <v>0.4</v>
      </c>
      <c r="J12" s="127">
        <v>0.3</v>
      </c>
      <c r="K12" s="127">
        <v>0.2</v>
      </c>
      <c r="L12" s="127">
        <v>0.1</v>
      </c>
      <c r="M12" s="127">
        <v>0</v>
      </c>
      <c r="N12" s="127">
        <v>0</v>
      </c>
      <c r="O12" s="127">
        <v>0</v>
      </c>
      <c r="P12" s="127">
        <v>0</v>
      </c>
      <c r="Q12" s="127">
        <v>0</v>
      </c>
      <c r="R12" s="127">
        <v>0</v>
      </c>
      <c r="S12" s="127">
        <v>0</v>
      </c>
      <c r="T12" s="127">
        <v>0</v>
      </c>
      <c r="U12" s="127">
        <v>0</v>
      </c>
      <c r="V12" s="127">
        <v>0</v>
      </c>
      <c r="W12" s="127">
        <v>0</v>
      </c>
      <c r="X12" s="127">
        <v>0</v>
      </c>
      <c r="Y12" s="127">
        <v>0</v>
      </c>
      <c r="Z12" s="127">
        <v>0</v>
      </c>
      <c r="AA12" s="127">
        <v>0</v>
      </c>
      <c r="AB12" s="127">
        <v>0</v>
      </c>
      <c r="AC12" s="127">
        <v>0</v>
      </c>
      <c r="AD12" s="127">
        <v>0</v>
      </c>
      <c r="AE12" s="127">
        <v>0</v>
      </c>
      <c r="AF12" s="127">
        <v>0</v>
      </c>
      <c r="AG12" s="127">
        <v>0</v>
      </c>
      <c r="AH12" s="127">
        <v>0</v>
      </c>
      <c r="AI12" s="127">
        <v>0</v>
      </c>
      <c r="AJ12" s="127">
        <v>0</v>
      </c>
      <c r="AK12" s="127">
        <v>0</v>
      </c>
      <c r="AL12" s="127">
        <v>0</v>
      </c>
      <c r="AM12" s="127">
        <v>0</v>
      </c>
      <c r="AN12" s="127">
        <v>0</v>
      </c>
      <c r="AO12" s="127">
        <v>0</v>
      </c>
      <c r="AP12" s="127">
        <v>0</v>
      </c>
      <c r="AQ12" s="127">
        <v>0</v>
      </c>
      <c r="AR12" s="127">
        <v>0</v>
      </c>
      <c r="AS12" s="127">
        <v>0</v>
      </c>
      <c r="AT12" s="127">
        <v>0</v>
      </c>
      <c r="AU12" s="127">
        <v>0</v>
      </c>
      <c r="AV12" s="127">
        <v>0</v>
      </c>
      <c r="AW12" s="127">
        <v>0</v>
      </c>
      <c r="AX12" s="127">
        <v>0</v>
      </c>
      <c r="AY12" s="127">
        <v>0</v>
      </c>
      <c r="AZ12" s="127">
        <v>0</v>
      </c>
      <c r="BA12" s="127">
        <v>0</v>
      </c>
      <c r="BB12" s="127">
        <v>0</v>
      </c>
      <c r="BC12" s="127">
        <v>0</v>
      </c>
      <c r="BD12" s="127">
        <v>0</v>
      </c>
      <c r="BE12" s="127">
        <v>0</v>
      </c>
      <c r="BF12" s="127">
        <v>0</v>
      </c>
      <c r="BG12" s="127">
        <v>0</v>
      </c>
      <c r="BH12" s="127">
        <v>0</v>
      </c>
      <c r="BI12" s="127">
        <v>0</v>
      </c>
      <c r="BJ12" s="127">
        <v>0</v>
      </c>
      <c r="BK12" s="127">
        <v>0</v>
      </c>
      <c r="BL12" s="127">
        <v>0</v>
      </c>
      <c r="BM12" s="127">
        <v>0</v>
      </c>
      <c r="BN12" s="127">
        <v>0</v>
      </c>
      <c r="BO12" s="127">
        <v>0</v>
      </c>
      <c r="BP12" s="127">
        <v>0</v>
      </c>
      <c r="BQ12" s="127">
        <v>0</v>
      </c>
      <c r="BR12" s="127">
        <v>0</v>
      </c>
      <c r="BS12" s="127">
        <v>0</v>
      </c>
      <c r="BT12" s="127">
        <v>0</v>
      </c>
      <c r="BU12" s="127">
        <v>0</v>
      </c>
      <c r="BV12" s="127">
        <v>0</v>
      </c>
      <c r="BW12" s="127">
        <v>0</v>
      </c>
      <c r="BX12" s="127">
        <v>0</v>
      </c>
      <c r="BY12" s="127">
        <v>0</v>
      </c>
      <c r="BZ12" s="127">
        <v>0</v>
      </c>
      <c r="CA12" s="127">
        <v>0</v>
      </c>
      <c r="CB12" s="127">
        <v>0</v>
      </c>
      <c r="CC12" s="127">
        <v>0</v>
      </c>
      <c r="CD12" s="127">
        <v>0</v>
      </c>
      <c r="CE12" s="127">
        <v>0</v>
      </c>
      <c r="CF12" s="127">
        <v>0</v>
      </c>
      <c r="CG12" s="127">
        <v>0</v>
      </c>
      <c r="CH12" s="127">
        <v>0</v>
      </c>
      <c r="CI12" s="127">
        <v>0</v>
      </c>
      <c r="CJ12" s="127">
        <v>0</v>
      </c>
      <c r="CK12" s="127">
        <v>0</v>
      </c>
      <c r="CL12" s="127">
        <v>0</v>
      </c>
      <c r="CM12" s="127">
        <v>0</v>
      </c>
      <c r="CN12" s="127">
        <v>0</v>
      </c>
      <c r="CO12" s="127">
        <v>0</v>
      </c>
      <c r="CP12" s="127">
        <v>0</v>
      </c>
      <c r="CQ12" s="127">
        <v>0</v>
      </c>
      <c r="CR12" s="127">
        <v>0</v>
      </c>
      <c r="CS12" s="127">
        <v>0</v>
      </c>
      <c r="CT12" s="127">
        <v>0</v>
      </c>
      <c r="CU12" s="127">
        <v>0</v>
      </c>
      <c r="CV12" s="127">
        <v>0</v>
      </c>
      <c r="CW12" s="127">
        <v>0</v>
      </c>
      <c r="CX12" s="127">
        <v>0</v>
      </c>
    </row>
    <row r="13" spans="1:102" ht="15" customHeight="1" x14ac:dyDescent="0.2">
      <c r="A13" s="123">
        <v>1.1000000000000001</v>
      </c>
      <c r="B13" s="126">
        <v>1</v>
      </c>
      <c r="C13" s="127">
        <v>1</v>
      </c>
      <c r="D13" s="127">
        <v>1</v>
      </c>
      <c r="E13" s="127">
        <v>0.9</v>
      </c>
      <c r="F13" s="127">
        <v>0.8</v>
      </c>
      <c r="G13" s="127">
        <v>0.7</v>
      </c>
      <c r="H13" s="127">
        <v>0.6</v>
      </c>
      <c r="I13" s="127">
        <v>0.5</v>
      </c>
      <c r="J13" s="127">
        <v>0.4</v>
      </c>
      <c r="K13" s="127">
        <v>0.3</v>
      </c>
      <c r="L13" s="127">
        <v>0.2</v>
      </c>
      <c r="M13" s="127">
        <v>0.1</v>
      </c>
      <c r="N13" s="127">
        <v>0</v>
      </c>
      <c r="O13" s="127">
        <v>0</v>
      </c>
      <c r="P13" s="127">
        <v>0</v>
      </c>
      <c r="Q13" s="127">
        <v>0</v>
      </c>
      <c r="R13" s="127">
        <v>0</v>
      </c>
      <c r="S13" s="127">
        <v>0</v>
      </c>
      <c r="T13" s="127">
        <v>0</v>
      </c>
      <c r="U13" s="127">
        <v>0</v>
      </c>
      <c r="V13" s="127">
        <v>0</v>
      </c>
      <c r="W13" s="127">
        <v>0</v>
      </c>
      <c r="X13" s="127">
        <v>0</v>
      </c>
      <c r="Y13" s="127">
        <v>0</v>
      </c>
      <c r="Z13" s="127">
        <v>0</v>
      </c>
      <c r="AA13" s="127">
        <v>0</v>
      </c>
      <c r="AB13" s="127">
        <v>0</v>
      </c>
      <c r="AC13" s="127">
        <v>0</v>
      </c>
      <c r="AD13" s="127">
        <v>0</v>
      </c>
      <c r="AE13" s="127">
        <v>0</v>
      </c>
      <c r="AF13" s="127">
        <v>0</v>
      </c>
      <c r="AG13" s="127">
        <v>0</v>
      </c>
      <c r="AH13" s="127">
        <v>0</v>
      </c>
      <c r="AI13" s="127">
        <v>0</v>
      </c>
      <c r="AJ13" s="127">
        <v>0</v>
      </c>
      <c r="AK13" s="127">
        <v>0</v>
      </c>
      <c r="AL13" s="127">
        <v>0</v>
      </c>
      <c r="AM13" s="127">
        <v>0</v>
      </c>
      <c r="AN13" s="127">
        <v>0</v>
      </c>
      <c r="AO13" s="127">
        <v>0</v>
      </c>
      <c r="AP13" s="127">
        <v>0</v>
      </c>
      <c r="AQ13" s="127">
        <v>0</v>
      </c>
      <c r="AR13" s="127">
        <v>0</v>
      </c>
      <c r="AS13" s="127">
        <v>0</v>
      </c>
      <c r="AT13" s="127">
        <v>0</v>
      </c>
      <c r="AU13" s="127">
        <v>0</v>
      </c>
      <c r="AV13" s="127">
        <v>0</v>
      </c>
      <c r="AW13" s="127">
        <v>0</v>
      </c>
      <c r="AX13" s="127">
        <v>0</v>
      </c>
      <c r="AY13" s="127">
        <v>0</v>
      </c>
      <c r="AZ13" s="127">
        <v>0</v>
      </c>
      <c r="BA13" s="127">
        <v>0</v>
      </c>
      <c r="BB13" s="127">
        <v>0</v>
      </c>
      <c r="BC13" s="127">
        <v>0</v>
      </c>
      <c r="BD13" s="127">
        <v>0</v>
      </c>
      <c r="BE13" s="127">
        <v>0</v>
      </c>
      <c r="BF13" s="127">
        <v>0</v>
      </c>
      <c r="BG13" s="127">
        <v>0</v>
      </c>
      <c r="BH13" s="127">
        <v>0</v>
      </c>
      <c r="BI13" s="127">
        <v>0</v>
      </c>
      <c r="BJ13" s="127">
        <v>0</v>
      </c>
      <c r="BK13" s="127">
        <v>0</v>
      </c>
      <c r="BL13" s="127">
        <v>0</v>
      </c>
      <c r="BM13" s="127">
        <v>0</v>
      </c>
      <c r="BN13" s="127">
        <v>0</v>
      </c>
      <c r="BO13" s="127">
        <v>0</v>
      </c>
      <c r="BP13" s="127">
        <v>0</v>
      </c>
      <c r="BQ13" s="127">
        <v>0</v>
      </c>
      <c r="BR13" s="127">
        <v>0</v>
      </c>
      <c r="BS13" s="127">
        <v>0</v>
      </c>
      <c r="BT13" s="127">
        <v>0</v>
      </c>
      <c r="BU13" s="127">
        <v>0</v>
      </c>
      <c r="BV13" s="127">
        <v>0</v>
      </c>
      <c r="BW13" s="127">
        <v>0</v>
      </c>
      <c r="BX13" s="127">
        <v>0</v>
      </c>
      <c r="BY13" s="127">
        <v>0</v>
      </c>
      <c r="BZ13" s="127">
        <v>0</v>
      </c>
      <c r="CA13" s="127">
        <v>0</v>
      </c>
      <c r="CB13" s="127">
        <v>0</v>
      </c>
      <c r="CC13" s="127">
        <v>0</v>
      </c>
      <c r="CD13" s="127">
        <v>0</v>
      </c>
      <c r="CE13" s="127">
        <v>0</v>
      </c>
      <c r="CF13" s="127">
        <v>0</v>
      </c>
      <c r="CG13" s="127">
        <v>0</v>
      </c>
      <c r="CH13" s="127">
        <v>0</v>
      </c>
      <c r="CI13" s="127">
        <v>0</v>
      </c>
      <c r="CJ13" s="127">
        <v>0</v>
      </c>
      <c r="CK13" s="127">
        <v>0</v>
      </c>
      <c r="CL13" s="127">
        <v>0</v>
      </c>
      <c r="CM13" s="127">
        <v>0</v>
      </c>
      <c r="CN13" s="127">
        <v>0</v>
      </c>
      <c r="CO13" s="127">
        <v>0</v>
      </c>
      <c r="CP13" s="127">
        <v>0</v>
      </c>
      <c r="CQ13" s="127">
        <v>0</v>
      </c>
      <c r="CR13" s="127">
        <v>0</v>
      </c>
      <c r="CS13" s="127">
        <v>0</v>
      </c>
      <c r="CT13" s="127">
        <v>0</v>
      </c>
      <c r="CU13" s="127">
        <v>0</v>
      </c>
      <c r="CV13" s="127">
        <v>0</v>
      </c>
      <c r="CW13" s="127">
        <v>0</v>
      </c>
      <c r="CX13" s="127">
        <v>0</v>
      </c>
    </row>
    <row r="14" spans="1:102" ht="15" customHeight="1" x14ac:dyDescent="0.2">
      <c r="A14" s="123">
        <v>1.2</v>
      </c>
      <c r="B14" s="126">
        <v>1</v>
      </c>
      <c r="C14" s="127">
        <v>1</v>
      </c>
      <c r="D14" s="127">
        <v>1</v>
      </c>
      <c r="E14" s="127">
        <v>0.9</v>
      </c>
      <c r="F14" s="127">
        <v>0.8</v>
      </c>
      <c r="G14" s="127">
        <v>0.7</v>
      </c>
      <c r="H14" s="127">
        <v>0.6</v>
      </c>
      <c r="I14" s="127">
        <v>0.5</v>
      </c>
      <c r="J14" s="127">
        <v>0.4</v>
      </c>
      <c r="K14" s="127">
        <v>0.3</v>
      </c>
      <c r="L14" s="127">
        <v>0.2</v>
      </c>
      <c r="M14" s="127">
        <v>0.1</v>
      </c>
      <c r="N14" s="127">
        <v>0</v>
      </c>
      <c r="O14" s="127">
        <v>0</v>
      </c>
      <c r="P14" s="127">
        <v>0</v>
      </c>
      <c r="Q14" s="127">
        <v>0</v>
      </c>
      <c r="R14" s="127">
        <v>0</v>
      </c>
      <c r="S14" s="127">
        <v>0</v>
      </c>
      <c r="T14" s="127">
        <v>0</v>
      </c>
      <c r="U14" s="127">
        <v>0</v>
      </c>
      <c r="V14" s="127">
        <v>0</v>
      </c>
      <c r="W14" s="127">
        <v>0</v>
      </c>
      <c r="X14" s="127">
        <v>0</v>
      </c>
      <c r="Y14" s="127">
        <v>0</v>
      </c>
      <c r="Z14" s="127">
        <v>0</v>
      </c>
      <c r="AA14" s="127">
        <v>0</v>
      </c>
      <c r="AB14" s="127">
        <v>0</v>
      </c>
      <c r="AC14" s="127">
        <v>0</v>
      </c>
      <c r="AD14" s="127">
        <v>0</v>
      </c>
      <c r="AE14" s="127">
        <v>0</v>
      </c>
      <c r="AF14" s="127">
        <v>0</v>
      </c>
      <c r="AG14" s="127">
        <v>0</v>
      </c>
      <c r="AH14" s="127">
        <v>0</v>
      </c>
      <c r="AI14" s="127">
        <v>0</v>
      </c>
      <c r="AJ14" s="127">
        <v>0</v>
      </c>
      <c r="AK14" s="127">
        <v>0</v>
      </c>
      <c r="AL14" s="127">
        <v>0</v>
      </c>
      <c r="AM14" s="127">
        <v>0</v>
      </c>
      <c r="AN14" s="127">
        <v>0</v>
      </c>
      <c r="AO14" s="127">
        <v>0</v>
      </c>
      <c r="AP14" s="127">
        <v>0</v>
      </c>
      <c r="AQ14" s="127">
        <v>0</v>
      </c>
      <c r="AR14" s="127">
        <v>0</v>
      </c>
      <c r="AS14" s="127">
        <v>0</v>
      </c>
      <c r="AT14" s="127">
        <v>0</v>
      </c>
      <c r="AU14" s="127">
        <v>0</v>
      </c>
      <c r="AV14" s="127">
        <v>0</v>
      </c>
      <c r="AW14" s="127">
        <v>0</v>
      </c>
      <c r="AX14" s="127">
        <v>0</v>
      </c>
      <c r="AY14" s="127">
        <v>0</v>
      </c>
      <c r="AZ14" s="127">
        <v>0</v>
      </c>
      <c r="BA14" s="127">
        <v>0</v>
      </c>
      <c r="BB14" s="127">
        <v>0</v>
      </c>
      <c r="BC14" s="127">
        <v>0</v>
      </c>
      <c r="BD14" s="127">
        <v>0</v>
      </c>
      <c r="BE14" s="127">
        <v>0</v>
      </c>
      <c r="BF14" s="127">
        <v>0</v>
      </c>
      <c r="BG14" s="127">
        <v>0</v>
      </c>
      <c r="BH14" s="127">
        <v>0</v>
      </c>
      <c r="BI14" s="127">
        <v>0</v>
      </c>
      <c r="BJ14" s="127">
        <v>0</v>
      </c>
      <c r="BK14" s="127">
        <v>0</v>
      </c>
      <c r="BL14" s="127">
        <v>0</v>
      </c>
      <c r="BM14" s="127">
        <v>0</v>
      </c>
      <c r="BN14" s="127">
        <v>0</v>
      </c>
      <c r="BO14" s="127">
        <v>0</v>
      </c>
      <c r="BP14" s="127">
        <v>0</v>
      </c>
      <c r="BQ14" s="127">
        <v>0</v>
      </c>
      <c r="BR14" s="127">
        <v>0</v>
      </c>
      <c r="BS14" s="127">
        <v>0</v>
      </c>
      <c r="BT14" s="127">
        <v>0</v>
      </c>
      <c r="BU14" s="127">
        <v>0</v>
      </c>
      <c r="BV14" s="127">
        <v>0</v>
      </c>
      <c r="BW14" s="127">
        <v>0</v>
      </c>
      <c r="BX14" s="127">
        <v>0</v>
      </c>
      <c r="BY14" s="127">
        <v>0</v>
      </c>
      <c r="BZ14" s="127">
        <v>0</v>
      </c>
      <c r="CA14" s="127">
        <v>0</v>
      </c>
      <c r="CB14" s="127">
        <v>0</v>
      </c>
      <c r="CC14" s="127">
        <v>0</v>
      </c>
      <c r="CD14" s="127">
        <v>0</v>
      </c>
      <c r="CE14" s="127">
        <v>0</v>
      </c>
      <c r="CF14" s="127">
        <v>0</v>
      </c>
      <c r="CG14" s="127">
        <v>0</v>
      </c>
      <c r="CH14" s="127">
        <v>0</v>
      </c>
      <c r="CI14" s="127">
        <v>0</v>
      </c>
      <c r="CJ14" s="127">
        <v>0</v>
      </c>
      <c r="CK14" s="127">
        <v>0</v>
      </c>
      <c r="CL14" s="127">
        <v>0</v>
      </c>
      <c r="CM14" s="127">
        <v>0</v>
      </c>
      <c r="CN14" s="127">
        <v>0</v>
      </c>
      <c r="CO14" s="127">
        <v>0</v>
      </c>
      <c r="CP14" s="127">
        <v>0</v>
      </c>
      <c r="CQ14" s="127">
        <v>0</v>
      </c>
      <c r="CR14" s="127">
        <v>0</v>
      </c>
      <c r="CS14" s="127">
        <v>0</v>
      </c>
      <c r="CT14" s="127">
        <v>0</v>
      </c>
      <c r="CU14" s="127">
        <v>0</v>
      </c>
      <c r="CV14" s="127">
        <v>0</v>
      </c>
      <c r="CW14" s="127">
        <v>0</v>
      </c>
      <c r="CX14" s="127">
        <v>0</v>
      </c>
    </row>
    <row r="15" spans="1:102" ht="15" customHeight="1" x14ac:dyDescent="0.2">
      <c r="A15" s="123">
        <v>1.3</v>
      </c>
      <c r="B15" s="126">
        <v>1</v>
      </c>
      <c r="C15" s="127">
        <v>1</v>
      </c>
      <c r="D15" s="127">
        <v>1</v>
      </c>
      <c r="E15" s="127">
        <v>0.9</v>
      </c>
      <c r="F15" s="127">
        <v>0.8</v>
      </c>
      <c r="G15" s="127">
        <v>0.7</v>
      </c>
      <c r="H15" s="127">
        <v>0.6</v>
      </c>
      <c r="I15" s="127">
        <v>0.5</v>
      </c>
      <c r="J15" s="127">
        <v>0.4</v>
      </c>
      <c r="K15" s="127">
        <v>0.3</v>
      </c>
      <c r="L15" s="127">
        <v>0.2</v>
      </c>
      <c r="M15" s="127">
        <v>0.1</v>
      </c>
      <c r="N15" s="127">
        <v>0</v>
      </c>
      <c r="O15" s="127">
        <v>0</v>
      </c>
      <c r="P15" s="127">
        <v>0</v>
      </c>
      <c r="Q15" s="127">
        <v>0</v>
      </c>
      <c r="R15" s="127">
        <v>0</v>
      </c>
      <c r="S15" s="127">
        <v>0</v>
      </c>
      <c r="T15" s="127">
        <v>0</v>
      </c>
      <c r="U15" s="127">
        <v>0</v>
      </c>
      <c r="V15" s="127">
        <v>0</v>
      </c>
      <c r="W15" s="127">
        <v>0</v>
      </c>
      <c r="X15" s="127">
        <v>0</v>
      </c>
      <c r="Y15" s="127">
        <v>0</v>
      </c>
      <c r="Z15" s="127">
        <v>0</v>
      </c>
      <c r="AA15" s="127">
        <v>0</v>
      </c>
      <c r="AB15" s="127">
        <v>0</v>
      </c>
      <c r="AC15" s="127">
        <v>0</v>
      </c>
      <c r="AD15" s="127">
        <v>0</v>
      </c>
      <c r="AE15" s="127">
        <v>0</v>
      </c>
      <c r="AF15" s="127">
        <v>0</v>
      </c>
      <c r="AG15" s="127">
        <v>0</v>
      </c>
      <c r="AH15" s="127">
        <v>0</v>
      </c>
      <c r="AI15" s="127">
        <v>0</v>
      </c>
      <c r="AJ15" s="127">
        <v>0</v>
      </c>
      <c r="AK15" s="127">
        <v>0</v>
      </c>
      <c r="AL15" s="127">
        <v>0</v>
      </c>
      <c r="AM15" s="127">
        <v>0</v>
      </c>
      <c r="AN15" s="127">
        <v>0</v>
      </c>
      <c r="AO15" s="127">
        <v>0</v>
      </c>
      <c r="AP15" s="127">
        <v>0</v>
      </c>
      <c r="AQ15" s="127">
        <v>0</v>
      </c>
      <c r="AR15" s="127">
        <v>0</v>
      </c>
      <c r="AS15" s="127">
        <v>0</v>
      </c>
      <c r="AT15" s="127">
        <v>0</v>
      </c>
      <c r="AU15" s="127">
        <v>0</v>
      </c>
      <c r="AV15" s="127">
        <v>0</v>
      </c>
      <c r="AW15" s="127">
        <v>0</v>
      </c>
      <c r="AX15" s="127">
        <v>0</v>
      </c>
      <c r="AY15" s="127">
        <v>0</v>
      </c>
      <c r="AZ15" s="127">
        <v>0</v>
      </c>
      <c r="BA15" s="127">
        <v>0</v>
      </c>
      <c r="BB15" s="127">
        <v>0</v>
      </c>
      <c r="BC15" s="127">
        <v>0</v>
      </c>
      <c r="BD15" s="127">
        <v>0</v>
      </c>
      <c r="BE15" s="127">
        <v>0</v>
      </c>
      <c r="BF15" s="127">
        <v>0</v>
      </c>
      <c r="BG15" s="127">
        <v>0</v>
      </c>
      <c r="BH15" s="127">
        <v>0</v>
      </c>
      <c r="BI15" s="127">
        <v>0</v>
      </c>
      <c r="BJ15" s="127">
        <v>0</v>
      </c>
      <c r="BK15" s="127">
        <v>0</v>
      </c>
      <c r="BL15" s="127">
        <v>0</v>
      </c>
      <c r="BM15" s="127">
        <v>0</v>
      </c>
      <c r="BN15" s="127">
        <v>0</v>
      </c>
      <c r="BO15" s="127">
        <v>0</v>
      </c>
      <c r="BP15" s="127">
        <v>0</v>
      </c>
      <c r="BQ15" s="127">
        <v>0</v>
      </c>
      <c r="BR15" s="127">
        <v>0</v>
      </c>
      <c r="BS15" s="127">
        <v>0</v>
      </c>
      <c r="BT15" s="127">
        <v>0</v>
      </c>
      <c r="BU15" s="127">
        <v>0</v>
      </c>
      <c r="BV15" s="127">
        <v>0</v>
      </c>
      <c r="BW15" s="127">
        <v>0</v>
      </c>
      <c r="BX15" s="127">
        <v>0</v>
      </c>
      <c r="BY15" s="127">
        <v>0</v>
      </c>
      <c r="BZ15" s="127">
        <v>0</v>
      </c>
      <c r="CA15" s="127">
        <v>0</v>
      </c>
      <c r="CB15" s="127">
        <v>0</v>
      </c>
      <c r="CC15" s="127">
        <v>0</v>
      </c>
      <c r="CD15" s="127">
        <v>0</v>
      </c>
      <c r="CE15" s="127">
        <v>0</v>
      </c>
      <c r="CF15" s="127">
        <v>0</v>
      </c>
      <c r="CG15" s="127">
        <v>0</v>
      </c>
      <c r="CH15" s="127">
        <v>0</v>
      </c>
      <c r="CI15" s="127">
        <v>0</v>
      </c>
      <c r="CJ15" s="127">
        <v>0</v>
      </c>
      <c r="CK15" s="127">
        <v>0</v>
      </c>
      <c r="CL15" s="127">
        <v>0</v>
      </c>
      <c r="CM15" s="127">
        <v>0</v>
      </c>
      <c r="CN15" s="127">
        <v>0</v>
      </c>
      <c r="CO15" s="127">
        <v>0</v>
      </c>
      <c r="CP15" s="127">
        <v>0</v>
      </c>
      <c r="CQ15" s="127">
        <v>0</v>
      </c>
      <c r="CR15" s="127">
        <v>0</v>
      </c>
      <c r="CS15" s="127">
        <v>0</v>
      </c>
      <c r="CT15" s="127">
        <v>0</v>
      </c>
      <c r="CU15" s="127">
        <v>0</v>
      </c>
      <c r="CV15" s="127">
        <v>0</v>
      </c>
      <c r="CW15" s="127">
        <v>0</v>
      </c>
      <c r="CX15" s="127">
        <v>0</v>
      </c>
    </row>
    <row r="16" spans="1:102" ht="15" customHeight="1" x14ac:dyDescent="0.2">
      <c r="A16" s="123">
        <v>1.4</v>
      </c>
      <c r="B16" s="126">
        <v>1</v>
      </c>
      <c r="C16" s="127">
        <v>1</v>
      </c>
      <c r="D16" s="127">
        <v>1</v>
      </c>
      <c r="E16" s="127">
        <v>0.9</v>
      </c>
      <c r="F16" s="127">
        <v>0.8</v>
      </c>
      <c r="G16" s="127">
        <v>0.7</v>
      </c>
      <c r="H16" s="127">
        <v>0.6</v>
      </c>
      <c r="I16" s="127">
        <v>0.5</v>
      </c>
      <c r="J16" s="127">
        <v>0.4</v>
      </c>
      <c r="K16" s="127">
        <v>0.3</v>
      </c>
      <c r="L16" s="127">
        <v>0.2</v>
      </c>
      <c r="M16" s="127">
        <v>0.1</v>
      </c>
      <c r="N16" s="127">
        <v>0</v>
      </c>
      <c r="O16" s="127">
        <v>0</v>
      </c>
      <c r="P16" s="127">
        <v>0</v>
      </c>
      <c r="Q16" s="127">
        <v>0</v>
      </c>
      <c r="R16" s="127">
        <v>0</v>
      </c>
      <c r="S16" s="127">
        <v>0</v>
      </c>
      <c r="T16" s="127">
        <v>0</v>
      </c>
      <c r="U16" s="127">
        <v>0</v>
      </c>
      <c r="V16" s="127">
        <v>0</v>
      </c>
      <c r="W16" s="127">
        <v>0</v>
      </c>
      <c r="X16" s="127">
        <v>0</v>
      </c>
      <c r="Y16" s="127">
        <v>0</v>
      </c>
      <c r="Z16" s="127">
        <v>0</v>
      </c>
      <c r="AA16" s="127">
        <v>0</v>
      </c>
      <c r="AB16" s="127">
        <v>0</v>
      </c>
      <c r="AC16" s="127">
        <v>0</v>
      </c>
      <c r="AD16" s="127">
        <v>0</v>
      </c>
      <c r="AE16" s="127">
        <v>0</v>
      </c>
      <c r="AF16" s="127">
        <v>0</v>
      </c>
      <c r="AG16" s="127">
        <v>0</v>
      </c>
      <c r="AH16" s="127">
        <v>0</v>
      </c>
      <c r="AI16" s="127">
        <v>0</v>
      </c>
      <c r="AJ16" s="127">
        <v>0</v>
      </c>
      <c r="AK16" s="127">
        <v>0</v>
      </c>
      <c r="AL16" s="127">
        <v>0</v>
      </c>
      <c r="AM16" s="127">
        <v>0</v>
      </c>
      <c r="AN16" s="127">
        <v>0</v>
      </c>
      <c r="AO16" s="127">
        <v>0</v>
      </c>
      <c r="AP16" s="127">
        <v>0</v>
      </c>
      <c r="AQ16" s="127">
        <v>0</v>
      </c>
      <c r="AR16" s="127">
        <v>0</v>
      </c>
      <c r="AS16" s="127">
        <v>0</v>
      </c>
      <c r="AT16" s="127">
        <v>0</v>
      </c>
      <c r="AU16" s="127">
        <v>0</v>
      </c>
      <c r="AV16" s="127">
        <v>0</v>
      </c>
      <c r="AW16" s="127">
        <v>0</v>
      </c>
      <c r="AX16" s="127">
        <v>0</v>
      </c>
      <c r="AY16" s="127">
        <v>0</v>
      </c>
      <c r="AZ16" s="127">
        <v>0</v>
      </c>
      <c r="BA16" s="127">
        <v>0</v>
      </c>
      <c r="BB16" s="127">
        <v>0</v>
      </c>
      <c r="BC16" s="127">
        <v>0</v>
      </c>
      <c r="BD16" s="127">
        <v>0</v>
      </c>
      <c r="BE16" s="127">
        <v>0</v>
      </c>
      <c r="BF16" s="127">
        <v>0</v>
      </c>
      <c r="BG16" s="127">
        <v>0</v>
      </c>
      <c r="BH16" s="127">
        <v>0</v>
      </c>
      <c r="BI16" s="127">
        <v>0</v>
      </c>
      <c r="BJ16" s="127">
        <v>0</v>
      </c>
      <c r="BK16" s="127">
        <v>0</v>
      </c>
      <c r="BL16" s="127">
        <v>0</v>
      </c>
      <c r="BM16" s="127">
        <v>0</v>
      </c>
      <c r="BN16" s="127">
        <v>0</v>
      </c>
      <c r="BO16" s="127">
        <v>0</v>
      </c>
      <c r="BP16" s="127">
        <v>0</v>
      </c>
      <c r="BQ16" s="127">
        <v>0</v>
      </c>
      <c r="BR16" s="127">
        <v>0</v>
      </c>
      <c r="BS16" s="127">
        <v>0</v>
      </c>
      <c r="BT16" s="127">
        <v>0</v>
      </c>
      <c r="BU16" s="127">
        <v>0</v>
      </c>
      <c r="BV16" s="127">
        <v>0</v>
      </c>
      <c r="BW16" s="127">
        <v>0</v>
      </c>
      <c r="BX16" s="127">
        <v>0</v>
      </c>
      <c r="BY16" s="127">
        <v>0</v>
      </c>
      <c r="BZ16" s="127">
        <v>0</v>
      </c>
      <c r="CA16" s="127">
        <v>0</v>
      </c>
      <c r="CB16" s="127">
        <v>0</v>
      </c>
      <c r="CC16" s="127">
        <v>0</v>
      </c>
      <c r="CD16" s="127">
        <v>0</v>
      </c>
      <c r="CE16" s="127">
        <v>0</v>
      </c>
      <c r="CF16" s="127">
        <v>0</v>
      </c>
      <c r="CG16" s="127">
        <v>0</v>
      </c>
      <c r="CH16" s="127">
        <v>0</v>
      </c>
      <c r="CI16" s="127">
        <v>0</v>
      </c>
      <c r="CJ16" s="127">
        <v>0</v>
      </c>
      <c r="CK16" s="127">
        <v>0</v>
      </c>
      <c r="CL16" s="127">
        <v>0</v>
      </c>
      <c r="CM16" s="127">
        <v>0</v>
      </c>
      <c r="CN16" s="127">
        <v>0</v>
      </c>
      <c r="CO16" s="127">
        <v>0</v>
      </c>
      <c r="CP16" s="127">
        <v>0</v>
      </c>
      <c r="CQ16" s="127">
        <v>0</v>
      </c>
      <c r="CR16" s="127">
        <v>0</v>
      </c>
      <c r="CS16" s="127">
        <v>0</v>
      </c>
      <c r="CT16" s="127">
        <v>0</v>
      </c>
      <c r="CU16" s="127">
        <v>0</v>
      </c>
      <c r="CV16" s="127">
        <v>0</v>
      </c>
      <c r="CW16" s="127">
        <v>0</v>
      </c>
      <c r="CX16" s="127">
        <v>0</v>
      </c>
    </row>
    <row r="17" spans="1:102" ht="15" customHeight="1" x14ac:dyDescent="0.2">
      <c r="A17" s="123">
        <v>1.5</v>
      </c>
      <c r="B17" s="126">
        <v>1</v>
      </c>
      <c r="C17" s="127">
        <v>1</v>
      </c>
      <c r="D17" s="127">
        <v>1</v>
      </c>
      <c r="E17" s="127">
        <v>0.9</v>
      </c>
      <c r="F17" s="127">
        <v>0.8</v>
      </c>
      <c r="G17" s="127">
        <v>0.7</v>
      </c>
      <c r="H17" s="127">
        <v>0.6</v>
      </c>
      <c r="I17" s="127">
        <v>0.5</v>
      </c>
      <c r="J17" s="127">
        <v>0.4</v>
      </c>
      <c r="K17" s="127">
        <v>0.3</v>
      </c>
      <c r="L17" s="127">
        <v>0.2</v>
      </c>
      <c r="M17" s="127">
        <v>0.1</v>
      </c>
      <c r="N17" s="127">
        <v>0</v>
      </c>
      <c r="O17" s="127">
        <v>0</v>
      </c>
      <c r="P17" s="127">
        <v>0</v>
      </c>
      <c r="Q17" s="127">
        <v>0</v>
      </c>
      <c r="R17" s="127">
        <v>0</v>
      </c>
      <c r="S17" s="127">
        <v>0</v>
      </c>
      <c r="T17" s="127">
        <v>0</v>
      </c>
      <c r="U17" s="127">
        <v>0</v>
      </c>
      <c r="V17" s="127">
        <v>0</v>
      </c>
      <c r="W17" s="127">
        <v>0</v>
      </c>
      <c r="X17" s="127">
        <v>0</v>
      </c>
      <c r="Y17" s="127">
        <v>0</v>
      </c>
      <c r="Z17" s="127">
        <v>0</v>
      </c>
      <c r="AA17" s="127">
        <v>0</v>
      </c>
      <c r="AB17" s="127">
        <v>0</v>
      </c>
      <c r="AC17" s="127">
        <v>0</v>
      </c>
      <c r="AD17" s="127">
        <v>0</v>
      </c>
      <c r="AE17" s="127">
        <v>0</v>
      </c>
      <c r="AF17" s="127">
        <v>0</v>
      </c>
      <c r="AG17" s="127">
        <v>0</v>
      </c>
      <c r="AH17" s="127">
        <v>0</v>
      </c>
      <c r="AI17" s="127">
        <v>0</v>
      </c>
      <c r="AJ17" s="127">
        <v>0</v>
      </c>
      <c r="AK17" s="127">
        <v>0</v>
      </c>
      <c r="AL17" s="127">
        <v>0</v>
      </c>
      <c r="AM17" s="127">
        <v>0</v>
      </c>
      <c r="AN17" s="127">
        <v>0</v>
      </c>
      <c r="AO17" s="127">
        <v>0</v>
      </c>
      <c r="AP17" s="127">
        <v>0</v>
      </c>
      <c r="AQ17" s="127">
        <v>0</v>
      </c>
      <c r="AR17" s="127">
        <v>0</v>
      </c>
      <c r="AS17" s="127">
        <v>0</v>
      </c>
      <c r="AT17" s="127">
        <v>0</v>
      </c>
      <c r="AU17" s="127">
        <v>0</v>
      </c>
      <c r="AV17" s="127">
        <v>0</v>
      </c>
      <c r="AW17" s="127">
        <v>0</v>
      </c>
      <c r="AX17" s="127">
        <v>0</v>
      </c>
      <c r="AY17" s="127">
        <v>0</v>
      </c>
      <c r="AZ17" s="127">
        <v>0</v>
      </c>
      <c r="BA17" s="127">
        <v>0</v>
      </c>
      <c r="BB17" s="127">
        <v>0</v>
      </c>
      <c r="BC17" s="127">
        <v>0</v>
      </c>
      <c r="BD17" s="127">
        <v>0</v>
      </c>
      <c r="BE17" s="127">
        <v>0</v>
      </c>
      <c r="BF17" s="127">
        <v>0</v>
      </c>
      <c r="BG17" s="127">
        <v>0</v>
      </c>
      <c r="BH17" s="127">
        <v>0</v>
      </c>
      <c r="BI17" s="127">
        <v>0</v>
      </c>
      <c r="BJ17" s="127">
        <v>0</v>
      </c>
      <c r="BK17" s="127">
        <v>0</v>
      </c>
      <c r="BL17" s="127">
        <v>0</v>
      </c>
      <c r="BM17" s="127">
        <v>0</v>
      </c>
      <c r="BN17" s="127">
        <v>0</v>
      </c>
      <c r="BO17" s="127">
        <v>0</v>
      </c>
      <c r="BP17" s="127">
        <v>0</v>
      </c>
      <c r="BQ17" s="127">
        <v>0</v>
      </c>
      <c r="BR17" s="127">
        <v>0</v>
      </c>
      <c r="BS17" s="127">
        <v>0</v>
      </c>
      <c r="BT17" s="127">
        <v>0</v>
      </c>
      <c r="BU17" s="127">
        <v>0</v>
      </c>
      <c r="BV17" s="127">
        <v>0</v>
      </c>
      <c r="BW17" s="127">
        <v>0</v>
      </c>
      <c r="BX17" s="127">
        <v>0</v>
      </c>
      <c r="BY17" s="127">
        <v>0</v>
      </c>
      <c r="BZ17" s="127">
        <v>0</v>
      </c>
      <c r="CA17" s="127">
        <v>0</v>
      </c>
      <c r="CB17" s="127">
        <v>0</v>
      </c>
      <c r="CC17" s="127">
        <v>0</v>
      </c>
      <c r="CD17" s="127">
        <v>0</v>
      </c>
      <c r="CE17" s="127">
        <v>0</v>
      </c>
      <c r="CF17" s="127">
        <v>0</v>
      </c>
      <c r="CG17" s="127">
        <v>0</v>
      </c>
      <c r="CH17" s="127">
        <v>0</v>
      </c>
      <c r="CI17" s="127">
        <v>0</v>
      </c>
      <c r="CJ17" s="127">
        <v>0</v>
      </c>
      <c r="CK17" s="127">
        <v>0</v>
      </c>
      <c r="CL17" s="127">
        <v>0</v>
      </c>
      <c r="CM17" s="127">
        <v>0</v>
      </c>
      <c r="CN17" s="127">
        <v>0</v>
      </c>
      <c r="CO17" s="127">
        <v>0</v>
      </c>
      <c r="CP17" s="127">
        <v>0</v>
      </c>
      <c r="CQ17" s="127">
        <v>0</v>
      </c>
      <c r="CR17" s="127">
        <v>0</v>
      </c>
      <c r="CS17" s="127">
        <v>0</v>
      </c>
      <c r="CT17" s="127">
        <v>0</v>
      </c>
      <c r="CU17" s="127">
        <v>0</v>
      </c>
      <c r="CV17" s="127">
        <v>0</v>
      </c>
      <c r="CW17" s="127">
        <v>0</v>
      </c>
      <c r="CX17" s="127">
        <v>0</v>
      </c>
    </row>
    <row r="18" spans="1:102" ht="15" customHeight="1" x14ac:dyDescent="0.2">
      <c r="A18" s="123">
        <v>1.6</v>
      </c>
      <c r="B18" s="126">
        <v>1</v>
      </c>
      <c r="C18" s="127">
        <v>1</v>
      </c>
      <c r="D18" s="127">
        <v>1</v>
      </c>
      <c r="E18" s="127">
        <v>1</v>
      </c>
      <c r="F18" s="127">
        <v>0.9</v>
      </c>
      <c r="G18" s="127">
        <v>0.8</v>
      </c>
      <c r="H18" s="127">
        <v>0.7</v>
      </c>
      <c r="I18" s="127">
        <v>0.6</v>
      </c>
      <c r="J18" s="127">
        <v>0.5</v>
      </c>
      <c r="K18" s="127">
        <v>0.4</v>
      </c>
      <c r="L18" s="127">
        <v>0.3</v>
      </c>
      <c r="M18" s="127">
        <v>0.2</v>
      </c>
      <c r="N18" s="127">
        <v>0.1</v>
      </c>
      <c r="O18" s="127">
        <v>0</v>
      </c>
      <c r="P18" s="127">
        <v>0</v>
      </c>
      <c r="Q18" s="127">
        <v>0</v>
      </c>
      <c r="R18" s="127">
        <v>0</v>
      </c>
      <c r="S18" s="127">
        <v>0</v>
      </c>
      <c r="T18" s="127">
        <v>0</v>
      </c>
      <c r="U18" s="127">
        <v>0</v>
      </c>
      <c r="V18" s="127">
        <v>0</v>
      </c>
      <c r="W18" s="127">
        <v>0</v>
      </c>
      <c r="X18" s="127">
        <v>0</v>
      </c>
      <c r="Y18" s="127">
        <v>0</v>
      </c>
      <c r="Z18" s="127">
        <v>0</v>
      </c>
      <c r="AA18" s="127">
        <v>0</v>
      </c>
      <c r="AB18" s="127">
        <v>0</v>
      </c>
      <c r="AC18" s="127">
        <v>0</v>
      </c>
      <c r="AD18" s="127">
        <v>0</v>
      </c>
      <c r="AE18" s="127">
        <v>0</v>
      </c>
      <c r="AF18" s="127">
        <v>0</v>
      </c>
      <c r="AG18" s="127">
        <v>0</v>
      </c>
      <c r="AH18" s="127">
        <v>0</v>
      </c>
      <c r="AI18" s="127">
        <v>0</v>
      </c>
      <c r="AJ18" s="127">
        <v>0</v>
      </c>
      <c r="AK18" s="127">
        <v>0</v>
      </c>
      <c r="AL18" s="127">
        <v>0</v>
      </c>
      <c r="AM18" s="127">
        <v>0</v>
      </c>
      <c r="AN18" s="127">
        <v>0</v>
      </c>
      <c r="AO18" s="127">
        <v>0</v>
      </c>
      <c r="AP18" s="127">
        <v>0</v>
      </c>
      <c r="AQ18" s="127">
        <v>0</v>
      </c>
      <c r="AR18" s="127">
        <v>0</v>
      </c>
      <c r="AS18" s="127">
        <v>0</v>
      </c>
      <c r="AT18" s="127">
        <v>0</v>
      </c>
      <c r="AU18" s="127">
        <v>0</v>
      </c>
      <c r="AV18" s="127">
        <v>0</v>
      </c>
      <c r="AW18" s="127">
        <v>0</v>
      </c>
      <c r="AX18" s="127">
        <v>0</v>
      </c>
      <c r="AY18" s="127">
        <v>0</v>
      </c>
      <c r="AZ18" s="127">
        <v>0</v>
      </c>
      <c r="BA18" s="127">
        <v>0</v>
      </c>
      <c r="BB18" s="127">
        <v>0</v>
      </c>
      <c r="BC18" s="127">
        <v>0</v>
      </c>
      <c r="BD18" s="127">
        <v>0</v>
      </c>
      <c r="BE18" s="127">
        <v>0</v>
      </c>
      <c r="BF18" s="127">
        <v>0</v>
      </c>
      <c r="BG18" s="127">
        <v>0</v>
      </c>
      <c r="BH18" s="127">
        <v>0</v>
      </c>
      <c r="BI18" s="127">
        <v>0</v>
      </c>
      <c r="BJ18" s="127">
        <v>0</v>
      </c>
      <c r="BK18" s="127">
        <v>0</v>
      </c>
      <c r="BL18" s="127">
        <v>0</v>
      </c>
      <c r="BM18" s="127">
        <v>0</v>
      </c>
      <c r="BN18" s="127">
        <v>0</v>
      </c>
      <c r="BO18" s="127">
        <v>0</v>
      </c>
      <c r="BP18" s="127">
        <v>0</v>
      </c>
      <c r="BQ18" s="127">
        <v>0</v>
      </c>
      <c r="BR18" s="127">
        <v>0</v>
      </c>
      <c r="BS18" s="127">
        <v>0</v>
      </c>
      <c r="BT18" s="127">
        <v>0</v>
      </c>
      <c r="BU18" s="127">
        <v>0</v>
      </c>
      <c r="BV18" s="127">
        <v>0</v>
      </c>
      <c r="BW18" s="127">
        <v>0</v>
      </c>
      <c r="BX18" s="127">
        <v>0</v>
      </c>
      <c r="BY18" s="127">
        <v>0</v>
      </c>
      <c r="BZ18" s="127">
        <v>0</v>
      </c>
      <c r="CA18" s="127">
        <v>0</v>
      </c>
      <c r="CB18" s="127">
        <v>0</v>
      </c>
      <c r="CC18" s="127">
        <v>0</v>
      </c>
      <c r="CD18" s="127">
        <v>0</v>
      </c>
      <c r="CE18" s="127">
        <v>0</v>
      </c>
      <c r="CF18" s="127">
        <v>0</v>
      </c>
      <c r="CG18" s="127">
        <v>0</v>
      </c>
      <c r="CH18" s="127">
        <v>0</v>
      </c>
      <c r="CI18" s="127">
        <v>0</v>
      </c>
      <c r="CJ18" s="127">
        <v>0</v>
      </c>
      <c r="CK18" s="127">
        <v>0</v>
      </c>
      <c r="CL18" s="127">
        <v>0</v>
      </c>
      <c r="CM18" s="127">
        <v>0</v>
      </c>
      <c r="CN18" s="127">
        <v>0</v>
      </c>
      <c r="CO18" s="127">
        <v>0</v>
      </c>
      <c r="CP18" s="127">
        <v>0</v>
      </c>
      <c r="CQ18" s="127">
        <v>0</v>
      </c>
      <c r="CR18" s="127">
        <v>0</v>
      </c>
      <c r="CS18" s="127">
        <v>0</v>
      </c>
      <c r="CT18" s="127">
        <v>0</v>
      </c>
      <c r="CU18" s="127">
        <v>0</v>
      </c>
      <c r="CV18" s="127">
        <v>0</v>
      </c>
      <c r="CW18" s="127">
        <v>0</v>
      </c>
      <c r="CX18" s="127">
        <v>0</v>
      </c>
    </row>
    <row r="19" spans="1:102" ht="15" customHeight="1" x14ac:dyDescent="0.2">
      <c r="A19" s="123">
        <v>1.7</v>
      </c>
      <c r="B19" s="126">
        <v>1</v>
      </c>
      <c r="C19" s="127">
        <v>1</v>
      </c>
      <c r="D19" s="127">
        <v>1</v>
      </c>
      <c r="E19" s="127">
        <v>1</v>
      </c>
      <c r="F19" s="127">
        <v>0.9</v>
      </c>
      <c r="G19" s="127">
        <v>0.8</v>
      </c>
      <c r="H19" s="127">
        <v>0.7</v>
      </c>
      <c r="I19" s="127">
        <v>0.6</v>
      </c>
      <c r="J19" s="127">
        <v>0.5</v>
      </c>
      <c r="K19" s="127">
        <v>0.4</v>
      </c>
      <c r="L19" s="127">
        <v>0.3</v>
      </c>
      <c r="M19" s="127">
        <v>0.2</v>
      </c>
      <c r="N19" s="127">
        <v>0.1</v>
      </c>
      <c r="O19" s="127">
        <v>0</v>
      </c>
      <c r="P19" s="127">
        <v>0</v>
      </c>
      <c r="Q19" s="127">
        <v>0</v>
      </c>
      <c r="R19" s="127">
        <v>0</v>
      </c>
      <c r="S19" s="127">
        <v>0</v>
      </c>
      <c r="T19" s="127">
        <v>0</v>
      </c>
      <c r="U19" s="127">
        <v>0</v>
      </c>
      <c r="V19" s="127">
        <v>0</v>
      </c>
      <c r="W19" s="127">
        <v>0</v>
      </c>
      <c r="X19" s="127">
        <v>0</v>
      </c>
      <c r="Y19" s="127">
        <v>0</v>
      </c>
      <c r="Z19" s="127">
        <v>0</v>
      </c>
      <c r="AA19" s="127">
        <v>0</v>
      </c>
      <c r="AB19" s="127">
        <v>0</v>
      </c>
      <c r="AC19" s="127">
        <v>0</v>
      </c>
      <c r="AD19" s="127">
        <v>0</v>
      </c>
      <c r="AE19" s="127">
        <v>0</v>
      </c>
      <c r="AF19" s="127">
        <v>0</v>
      </c>
      <c r="AG19" s="127">
        <v>0</v>
      </c>
      <c r="AH19" s="127">
        <v>0</v>
      </c>
      <c r="AI19" s="127">
        <v>0</v>
      </c>
      <c r="AJ19" s="127">
        <v>0</v>
      </c>
      <c r="AK19" s="127">
        <v>0</v>
      </c>
      <c r="AL19" s="127">
        <v>0</v>
      </c>
      <c r="AM19" s="127">
        <v>0</v>
      </c>
      <c r="AN19" s="127">
        <v>0</v>
      </c>
      <c r="AO19" s="127">
        <v>0</v>
      </c>
      <c r="AP19" s="127">
        <v>0</v>
      </c>
      <c r="AQ19" s="127">
        <v>0</v>
      </c>
      <c r="AR19" s="127">
        <v>0</v>
      </c>
      <c r="AS19" s="127">
        <v>0</v>
      </c>
      <c r="AT19" s="127">
        <v>0</v>
      </c>
      <c r="AU19" s="127">
        <v>0</v>
      </c>
      <c r="AV19" s="127">
        <v>0</v>
      </c>
      <c r="AW19" s="127">
        <v>0</v>
      </c>
      <c r="AX19" s="127">
        <v>0</v>
      </c>
      <c r="AY19" s="127">
        <v>0</v>
      </c>
      <c r="AZ19" s="127">
        <v>0</v>
      </c>
      <c r="BA19" s="127">
        <v>0</v>
      </c>
      <c r="BB19" s="127">
        <v>0</v>
      </c>
      <c r="BC19" s="127">
        <v>0</v>
      </c>
      <c r="BD19" s="127">
        <v>0</v>
      </c>
      <c r="BE19" s="127">
        <v>0</v>
      </c>
      <c r="BF19" s="127">
        <v>0</v>
      </c>
      <c r="BG19" s="127">
        <v>0</v>
      </c>
      <c r="BH19" s="127">
        <v>0</v>
      </c>
      <c r="BI19" s="127">
        <v>0</v>
      </c>
      <c r="BJ19" s="127">
        <v>0</v>
      </c>
      <c r="BK19" s="127">
        <v>0</v>
      </c>
      <c r="BL19" s="127">
        <v>0</v>
      </c>
      <c r="BM19" s="127">
        <v>0</v>
      </c>
      <c r="BN19" s="127">
        <v>0</v>
      </c>
      <c r="BO19" s="127">
        <v>0</v>
      </c>
      <c r="BP19" s="127">
        <v>0</v>
      </c>
      <c r="BQ19" s="127">
        <v>0</v>
      </c>
      <c r="BR19" s="127">
        <v>0</v>
      </c>
      <c r="BS19" s="127">
        <v>0</v>
      </c>
      <c r="BT19" s="127">
        <v>0</v>
      </c>
      <c r="BU19" s="127">
        <v>0</v>
      </c>
      <c r="BV19" s="127">
        <v>0</v>
      </c>
      <c r="BW19" s="127">
        <v>0</v>
      </c>
      <c r="BX19" s="127">
        <v>0</v>
      </c>
      <c r="BY19" s="127">
        <v>0</v>
      </c>
      <c r="BZ19" s="127">
        <v>0</v>
      </c>
      <c r="CA19" s="127">
        <v>0</v>
      </c>
      <c r="CB19" s="127">
        <v>0</v>
      </c>
      <c r="CC19" s="127">
        <v>0</v>
      </c>
      <c r="CD19" s="127">
        <v>0</v>
      </c>
      <c r="CE19" s="127">
        <v>0</v>
      </c>
      <c r="CF19" s="127">
        <v>0</v>
      </c>
      <c r="CG19" s="127">
        <v>0</v>
      </c>
      <c r="CH19" s="127">
        <v>0</v>
      </c>
      <c r="CI19" s="127">
        <v>0</v>
      </c>
      <c r="CJ19" s="127">
        <v>0</v>
      </c>
      <c r="CK19" s="127">
        <v>0</v>
      </c>
      <c r="CL19" s="127">
        <v>0</v>
      </c>
      <c r="CM19" s="127">
        <v>0</v>
      </c>
      <c r="CN19" s="127">
        <v>0</v>
      </c>
      <c r="CO19" s="127">
        <v>0</v>
      </c>
      <c r="CP19" s="127">
        <v>0</v>
      </c>
      <c r="CQ19" s="127">
        <v>0</v>
      </c>
      <c r="CR19" s="127">
        <v>0</v>
      </c>
      <c r="CS19" s="127">
        <v>0</v>
      </c>
      <c r="CT19" s="127">
        <v>0</v>
      </c>
      <c r="CU19" s="127">
        <v>0</v>
      </c>
      <c r="CV19" s="127">
        <v>0</v>
      </c>
      <c r="CW19" s="127">
        <v>0</v>
      </c>
      <c r="CX19" s="127">
        <v>0</v>
      </c>
    </row>
    <row r="20" spans="1:102" ht="15" customHeight="1" x14ac:dyDescent="0.2">
      <c r="A20" s="123">
        <v>1.8</v>
      </c>
      <c r="B20" s="126">
        <v>1</v>
      </c>
      <c r="C20" s="127">
        <v>1</v>
      </c>
      <c r="D20" s="127">
        <v>1</v>
      </c>
      <c r="E20" s="127">
        <v>1</v>
      </c>
      <c r="F20" s="127">
        <v>0.9</v>
      </c>
      <c r="G20" s="127">
        <v>0.8</v>
      </c>
      <c r="H20" s="127">
        <v>0.7</v>
      </c>
      <c r="I20" s="127">
        <v>0.6</v>
      </c>
      <c r="J20" s="127">
        <v>0.5</v>
      </c>
      <c r="K20" s="127">
        <v>0.4</v>
      </c>
      <c r="L20" s="127">
        <v>0.3</v>
      </c>
      <c r="M20" s="127">
        <v>0.2</v>
      </c>
      <c r="N20" s="127">
        <v>0.1</v>
      </c>
      <c r="O20" s="127">
        <v>0</v>
      </c>
      <c r="P20" s="127">
        <v>0</v>
      </c>
      <c r="Q20" s="127">
        <v>0</v>
      </c>
      <c r="R20" s="127">
        <v>0</v>
      </c>
      <c r="S20" s="127">
        <v>0</v>
      </c>
      <c r="T20" s="127">
        <v>0</v>
      </c>
      <c r="U20" s="127">
        <v>0</v>
      </c>
      <c r="V20" s="127">
        <v>0</v>
      </c>
      <c r="W20" s="127">
        <v>0</v>
      </c>
      <c r="X20" s="127">
        <v>0</v>
      </c>
      <c r="Y20" s="127">
        <v>0</v>
      </c>
      <c r="Z20" s="127">
        <v>0</v>
      </c>
      <c r="AA20" s="127">
        <v>0</v>
      </c>
      <c r="AB20" s="127">
        <v>0</v>
      </c>
      <c r="AC20" s="127">
        <v>0</v>
      </c>
      <c r="AD20" s="127">
        <v>0</v>
      </c>
      <c r="AE20" s="127">
        <v>0</v>
      </c>
      <c r="AF20" s="127">
        <v>0</v>
      </c>
      <c r="AG20" s="127">
        <v>0</v>
      </c>
      <c r="AH20" s="127">
        <v>0</v>
      </c>
      <c r="AI20" s="127">
        <v>0</v>
      </c>
      <c r="AJ20" s="127">
        <v>0</v>
      </c>
      <c r="AK20" s="127">
        <v>0</v>
      </c>
      <c r="AL20" s="127">
        <v>0</v>
      </c>
      <c r="AM20" s="127">
        <v>0</v>
      </c>
      <c r="AN20" s="127">
        <v>0</v>
      </c>
      <c r="AO20" s="127">
        <v>0</v>
      </c>
      <c r="AP20" s="127">
        <v>0</v>
      </c>
      <c r="AQ20" s="127">
        <v>0</v>
      </c>
      <c r="AR20" s="127">
        <v>0</v>
      </c>
      <c r="AS20" s="127">
        <v>0</v>
      </c>
      <c r="AT20" s="127">
        <v>0</v>
      </c>
      <c r="AU20" s="127">
        <v>0</v>
      </c>
      <c r="AV20" s="127">
        <v>0</v>
      </c>
      <c r="AW20" s="127">
        <v>0</v>
      </c>
      <c r="AX20" s="127">
        <v>0</v>
      </c>
      <c r="AY20" s="127">
        <v>0</v>
      </c>
      <c r="AZ20" s="127">
        <v>0</v>
      </c>
      <c r="BA20" s="127">
        <v>0</v>
      </c>
      <c r="BB20" s="127">
        <v>0</v>
      </c>
      <c r="BC20" s="127">
        <v>0</v>
      </c>
      <c r="BD20" s="127">
        <v>0</v>
      </c>
      <c r="BE20" s="127">
        <v>0</v>
      </c>
      <c r="BF20" s="127">
        <v>0</v>
      </c>
      <c r="BG20" s="127">
        <v>0</v>
      </c>
      <c r="BH20" s="127">
        <v>0</v>
      </c>
      <c r="BI20" s="127">
        <v>0</v>
      </c>
      <c r="BJ20" s="127">
        <v>0</v>
      </c>
      <c r="BK20" s="127">
        <v>0</v>
      </c>
      <c r="BL20" s="127">
        <v>0</v>
      </c>
      <c r="BM20" s="127">
        <v>0</v>
      </c>
      <c r="BN20" s="127">
        <v>0</v>
      </c>
      <c r="BO20" s="127">
        <v>0</v>
      </c>
      <c r="BP20" s="127">
        <v>0</v>
      </c>
      <c r="BQ20" s="127">
        <v>0</v>
      </c>
      <c r="BR20" s="127">
        <v>0</v>
      </c>
      <c r="BS20" s="127">
        <v>0</v>
      </c>
      <c r="BT20" s="127">
        <v>0</v>
      </c>
      <c r="BU20" s="127">
        <v>0</v>
      </c>
      <c r="BV20" s="127">
        <v>0</v>
      </c>
      <c r="BW20" s="127">
        <v>0</v>
      </c>
      <c r="BX20" s="127">
        <v>0</v>
      </c>
      <c r="BY20" s="127">
        <v>0</v>
      </c>
      <c r="BZ20" s="127">
        <v>0</v>
      </c>
      <c r="CA20" s="127">
        <v>0</v>
      </c>
      <c r="CB20" s="127">
        <v>0</v>
      </c>
      <c r="CC20" s="127">
        <v>0</v>
      </c>
      <c r="CD20" s="127">
        <v>0</v>
      </c>
      <c r="CE20" s="127">
        <v>0</v>
      </c>
      <c r="CF20" s="127">
        <v>0</v>
      </c>
      <c r="CG20" s="127">
        <v>0</v>
      </c>
      <c r="CH20" s="127">
        <v>0</v>
      </c>
      <c r="CI20" s="127">
        <v>0</v>
      </c>
      <c r="CJ20" s="127">
        <v>0</v>
      </c>
      <c r="CK20" s="127">
        <v>0</v>
      </c>
      <c r="CL20" s="127">
        <v>0</v>
      </c>
      <c r="CM20" s="127">
        <v>0</v>
      </c>
      <c r="CN20" s="127">
        <v>0</v>
      </c>
      <c r="CO20" s="127">
        <v>0</v>
      </c>
      <c r="CP20" s="127">
        <v>0</v>
      </c>
      <c r="CQ20" s="127">
        <v>0</v>
      </c>
      <c r="CR20" s="127">
        <v>0</v>
      </c>
      <c r="CS20" s="127">
        <v>0</v>
      </c>
      <c r="CT20" s="127">
        <v>0</v>
      </c>
      <c r="CU20" s="127">
        <v>0</v>
      </c>
      <c r="CV20" s="127">
        <v>0</v>
      </c>
      <c r="CW20" s="127">
        <v>0</v>
      </c>
      <c r="CX20" s="127">
        <v>0</v>
      </c>
    </row>
    <row r="21" spans="1:102" ht="15" customHeight="1" x14ac:dyDescent="0.2">
      <c r="A21" s="123">
        <v>1.9</v>
      </c>
      <c r="B21" s="126">
        <v>1</v>
      </c>
      <c r="C21" s="127">
        <v>1</v>
      </c>
      <c r="D21" s="127">
        <v>1</v>
      </c>
      <c r="E21" s="127">
        <v>1</v>
      </c>
      <c r="F21" s="127">
        <v>0.9</v>
      </c>
      <c r="G21" s="127">
        <v>0.8</v>
      </c>
      <c r="H21" s="127">
        <v>0.7</v>
      </c>
      <c r="I21" s="127">
        <v>0.6</v>
      </c>
      <c r="J21" s="127">
        <v>0.5</v>
      </c>
      <c r="K21" s="127">
        <v>0.4</v>
      </c>
      <c r="L21" s="127">
        <v>0.3</v>
      </c>
      <c r="M21" s="127">
        <v>0.2</v>
      </c>
      <c r="N21" s="127">
        <v>0.1</v>
      </c>
      <c r="O21" s="127">
        <v>0</v>
      </c>
      <c r="P21" s="127">
        <v>0</v>
      </c>
      <c r="Q21" s="127">
        <v>0</v>
      </c>
      <c r="R21" s="127">
        <v>0</v>
      </c>
      <c r="S21" s="127">
        <v>0</v>
      </c>
      <c r="T21" s="127">
        <v>0</v>
      </c>
      <c r="U21" s="127">
        <v>0</v>
      </c>
      <c r="V21" s="127">
        <v>0</v>
      </c>
      <c r="W21" s="127">
        <v>0</v>
      </c>
      <c r="X21" s="127">
        <v>0</v>
      </c>
      <c r="Y21" s="127">
        <v>0</v>
      </c>
      <c r="Z21" s="127">
        <v>0</v>
      </c>
      <c r="AA21" s="127">
        <v>0</v>
      </c>
      <c r="AB21" s="127">
        <v>0</v>
      </c>
      <c r="AC21" s="127">
        <v>0</v>
      </c>
      <c r="AD21" s="127">
        <v>0</v>
      </c>
      <c r="AE21" s="127">
        <v>0</v>
      </c>
      <c r="AF21" s="127">
        <v>0</v>
      </c>
      <c r="AG21" s="127">
        <v>0</v>
      </c>
      <c r="AH21" s="127">
        <v>0</v>
      </c>
      <c r="AI21" s="127">
        <v>0</v>
      </c>
      <c r="AJ21" s="127">
        <v>0</v>
      </c>
      <c r="AK21" s="127">
        <v>0</v>
      </c>
      <c r="AL21" s="127">
        <v>0</v>
      </c>
      <c r="AM21" s="127">
        <v>0</v>
      </c>
      <c r="AN21" s="127">
        <v>0</v>
      </c>
      <c r="AO21" s="127">
        <v>0</v>
      </c>
      <c r="AP21" s="127">
        <v>0</v>
      </c>
      <c r="AQ21" s="127">
        <v>0</v>
      </c>
      <c r="AR21" s="127">
        <v>0</v>
      </c>
      <c r="AS21" s="127">
        <v>0</v>
      </c>
      <c r="AT21" s="127">
        <v>0</v>
      </c>
      <c r="AU21" s="127">
        <v>0</v>
      </c>
      <c r="AV21" s="127">
        <v>0</v>
      </c>
      <c r="AW21" s="127">
        <v>0</v>
      </c>
      <c r="AX21" s="127">
        <v>0</v>
      </c>
      <c r="AY21" s="127">
        <v>0</v>
      </c>
      <c r="AZ21" s="127">
        <v>0</v>
      </c>
      <c r="BA21" s="127">
        <v>0</v>
      </c>
      <c r="BB21" s="127">
        <v>0</v>
      </c>
      <c r="BC21" s="127">
        <v>0</v>
      </c>
      <c r="BD21" s="127">
        <v>0</v>
      </c>
      <c r="BE21" s="127">
        <v>0</v>
      </c>
      <c r="BF21" s="127">
        <v>0</v>
      </c>
      <c r="BG21" s="127">
        <v>0</v>
      </c>
      <c r="BH21" s="127">
        <v>0</v>
      </c>
      <c r="BI21" s="127">
        <v>0</v>
      </c>
      <c r="BJ21" s="127">
        <v>0</v>
      </c>
      <c r="BK21" s="127">
        <v>0</v>
      </c>
      <c r="BL21" s="127">
        <v>0</v>
      </c>
      <c r="BM21" s="127">
        <v>0</v>
      </c>
      <c r="BN21" s="127">
        <v>0</v>
      </c>
      <c r="BO21" s="127">
        <v>0</v>
      </c>
      <c r="BP21" s="127">
        <v>0</v>
      </c>
      <c r="BQ21" s="127">
        <v>0</v>
      </c>
      <c r="BR21" s="127">
        <v>0</v>
      </c>
      <c r="BS21" s="127">
        <v>0</v>
      </c>
      <c r="BT21" s="127">
        <v>0</v>
      </c>
      <c r="BU21" s="127">
        <v>0</v>
      </c>
      <c r="BV21" s="127">
        <v>0</v>
      </c>
      <c r="BW21" s="127">
        <v>0</v>
      </c>
      <c r="BX21" s="127">
        <v>0</v>
      </c>
      <c r="BY21" s="127">
        <v>0</v>
      </c>
      <c r="BZ21" s="127">
        <v>0</v>
      </c>
      <c r="CA21" s="127">
        <v>0</v>
      </c>
      <c r="CB21" s="127">
        <v>0</v>
      </c>
      <c r="CC21" s="127">
        <v>0</v>
      </c>
      <c r="CD21" s="127">
        <v>0</v>
      </c>
      <c r="CE21" s="127">
        <v>0</v>
      </c>
      <c r="CF21" s="127">
        <v>0</v>
      </c>
      <c r="CG21" s="127">
        <v>0</v>
      </c>
      <c r="CH21" s="127">
        <v>0</v>
      </c>
      <c r="CI21" s="127">
        <v>0</v>
      </c>
      <c r="CJ21" s="127">
        <v>0</v>
      </c>
      <c r="CK21" s="127">
        <v>0</v>
      </c>
      <c r="CL21" s="127">
        <v>0</v>
      </c>
      <c r="CM21" s="127">
        <v>0</v>
      </c>
      <c r="CN21" s="127">
        <v>0</v>
      </c>
      <c r="CO21" s="127">
        <v>0</v>
      </c>
      <c r="CP21" s="127">
        <v>0</v>
      </c>
      <c r="CQ21" s="127">
        <v>0</v>
      </c>
      <c r="CR21" s="127">
        <v>0</v>
      </c>
      <c r="CS21" s="127">
        <v>0</v>
      </c>
      <c r="CT21" s="127">
        <v>0</v>
      </c>
      <c r="CU21" s="127">
        <v>0</v>
      </c>
      <c r="CV21" s="127">
        <v>0</v>
      </c>
      <c r="CW21" s="127">
        <v>0</v>
      </c>
      <c r="CX21" s="127">
        <v>0</v>
      </c>
    </row>
    <row r="22" spans="1:102" ht="15" customHeight="1" x14ac:dyDescent="0.2">
      <c r="A22" s="123">
        <v>2</v>
      </c>
      <c r="B22" s="126">
        <v>1</v>
      </c>
      <c r="C22" s="127">
        <v>1</v>
      </c>
      <c r="D22" s="127">
        <v>1</v>
      </c>
      <c r="E22" s="127">
        <v>1</v>
      </c>
      <c r="F22" s="127">
        <v>0.9</v>
      </c>
      <c r="G22" s="127">
        <v>0.8</v>
      </c>
      <c r="H22" s="127">
        <v>0.7</v>
      </c>
      <c r="I22" s="127">
        <v>0.6</v>
      </c>
      <c r="J22" s="127">
        <v>0.5</v>
      </c>
      <c r="K22" s="127">
        <v>0.4</v>
      </c>
      <c r="L22" s="127">
        <v>0.3</v>
      </c>
      <c r="M22" s="127">
        <v>0.2</v>
      </c>
      <c r="N22" s="127">
        <v>0.1</v>
      </c>
      <c r="O22" s="127">
        <v>0</v>
      </c>
      <c r="P22" s="127">
        <v>0</v>
      </c>
      <c r="Q22" s="127">
        <v>0</v>
      </c>
      <c r="R22" s="127">
        <v>0</v>
      </c>
      <c r="S22" s="127">
        <v>0</v>
      </c>
      <c r="T22" s="127">
        <v>0</v>
      </c>
      <c r="U22" s="127">
        <v>0</v>
      </c>
      <c r="V22" s="127">
        <v>0</v>
      </c>
      <c r="W22" s="127">
        <v>0</v>
      </c>
      <c r="X22" s="127">
        <v>0</v>
      </c>
      <c r="Y22" s="127">
        <v>0</v>
      </c>
      <c r="Z22" s="127">
        <v>0</v>
      </c>
      <c r="AA22" s="127">
        <v>0</v>
      </c>
      <c r="AB22" s="127">
        <v>0</v>
      </c>
      <c r="AC22" s="127">
        <v>0</v>
      </c>
      <c r="AD22" s="127">
        <v>0</v>
      </c>
      <c r="AE22" s="127">
        <v>0</v>
      </c>
      <c r="AF22" s="127">
        <v>0</v>
      </c>
      <c r="AG22" s="127">
        <v>0</v>
      </c>
      <c r="AH22" s="127">
        <v>0</v>
      </c>
      <c r="AI22" s="127">
        <v>0</v>
      </c>
      <c r="AJ22" s="127">
        <v>0</v>
      </c>
      <c r="AK22" s="127">
        <v>0</v>
      </c>
      <c r="AL22" s="127">
        <v>0</v>
      </c>
      <c r="AM22" s="127">
        <v>0</v>
      </c>
      <c r="AN22" s="127">
        <v>0</v>
      </c>
      <c r="AO22" s="127">
        <v>0</v>
      </c>
      <c r="AP22" s="127">
        <v>0</v>
      </c>
      <c r="AQ22" s="127">
        <v>0</v>
      </c>
      <c r="AR22" s="127">
        <v>0</v>
      </c>
      <c r="AS22" s="127">
        <v>0</v>
      </c>
      <c r="AT22" s="127">
        <v>0</v>
      </c>
      <c r="AU22" s="127">
        <v>0</v>
      </c>
      <c r="AV22" s="127">
        <v>0</v>
      </c>
      <c r="AW22" s="127">
        <v>0</v>
      </c>
      <c r="AX22" s="127">
        <v>0</v>
      </c>
      <c r="AY22" s="127">
        <v>0</v>
      </c>
      <c r="AZ22" s="127">
        <v>0</v>
      </c>
      <c r="BA22" s="127">
        <v>0</v>
      </c>
      <c r="BB22" s="127">
        <v>0</v>
      </c>
      <c r="BC22" s="127">
        <v>0</v>
      </c>
      <c r="BD22" s="127">
        <v>0</v>
      </c>
      <c r="BE22" s="127">
        <v>0</v>
      </c>
      <c r="BF22" s="127">
        <v>0</v>
      </c>
      <c r="BG22" s="127">
        <v>0</v>
      </c>
      <c r="BH22" s="127">
        <v>0</v>
      </c>
      <c r="BI22" s="127">
        <v>0</v>
      </c>
      <c r="BJ22" s="127">
        <v>0</v>
      </c>
      <c r="BK22" s="127">
        <v>0</v>
      </c>
      <c r="BL22" s="127">
        <v>0</v>
      </c>
      <c r="BM22" s="127">
        <v>0</v>
      </c>
      <c r="BN22" s="127">
        <v>0</v>
      </c>
      <c r="BO22" s="127">
        <v>0</v>
      </c>
      <c r="BP22" s="127">
        <v>0</v>
      </c>
      <c r="BQ22" s="127">
        <v>0</v>
      </c>
      <c r="BR22" s="127">
        <v>0</v>
      </c>
      <c r="BS22" s="127">
        <v>0</v>
      </c>
      <c r="BT22" s="127">
        <v>0</v>
      </c>
      <c r="BU22" s="127">
        <v>0</v>
      </c>
      <c r="BV22" s="127">
        <v>0</v>
      </c>
      <c r="BW22" s="127">
        <v>0</v>
      </c>
      <c r="BX22" s="127">
        <v>0</v>
      </c>
      <c r="BY22" s="127">
        <v>0</v>
      </c>
      <c r="BZ22" s="127">
        <v>0</v>
      </c>
      <c r="CA22" s="127">
        <v>0</v>
      </c>
      <c r="CB22" s="127">
        <v>0</v>
      </c>
      <c r="CC22" s="127">
        <v>0</v>
      </c>
      <c r="CD22" s="127">
        <v>0</v>
      </c>
      <c r="CE22" s="127">
        <v>0</v>
      </c>
      <c r="CF22" s="127">
        <v>0</v>
      </c>
      <c r="CG22" s="127">
        <v>0</v>
      </c>
      <c r="CH22" s="127">
        <v>0</v>
      </c>
      <c r="CI22" s="127">
        <v>0</v>
      </c>
      <c r="CJ22" s="127">
        <v>0</v>
      </c>
      <c r="CK22" s="127">
        <v>0</v>
      </c>
      <c r="CL22" s="127">
        <v>0</v>
      </c>
      <c r="CM22" s="127">
        <v>0</v>
      </c>
      <c r="CN22" s="127">
        <v>0</v>
      </c>
      <c r="CO22" s="127">
        <v>0</v>
      </c>
      <c r="CP22" s="127">
        <v>0</v>
      </c>
      <c r="CQ22" s="127">
        <v>0</v>
      </c>
      <c r="CR22" s="127">
        <v>0</v>
      </c>
      <c r="CS22" s="127">
        <v>0</v>
      </c>
      <c r="CT22" s="127">
        <v>0</v>
      </c>
      <c r="CU22" s="127">
        <v>0</v>
      </c>
      <c r="CV22" s="127">
        <v>0</v>
      </c>
      <c r="CW22" s="127">
        <v>0</v>
      </c>
      <c r="CX22" s="127">
        <v>0</v>
      </c>
    </row>
    <row r="23" spans="1:102" ht="15" customHeight="1" x14ac:dyDescent="0.2">
      <c r="A23" s="123">
        <v>2.1</v>
      </c>
      <c r="B23" s="126">
        <v>1</v>
      </c>
      <c r="C23" s="127">
        <v>1</v>
      </c>
      <c r="D23" s="127">
        <v>1</v>
      </c>
      <c r="E23" s="127">
        <v>1</v>
      </c>
      <c r="F23" s="127">
        <v>0.95</v>
      </c>
      <c r="G23" s="127">
        <v>0.85</v>
      </c>
      <c r="H23" s="127">
        <v>0.8</v>
      </c>
      <c r="I23" s="127">
        <v>0.7</v>
      </c>
      <c r="J23" s="127">
        <v>0.6</v>
      </c>
      <c r="K23" s="127">
        <v>0.5</v>
      </c>
      <c r="L23" s="127">
        <v>0.4</v>
      </c>
      <c r="M23" s="127">
        <v>0.3</v>
      </c>
      <c r="N23" s="127">
        <v>0.2</v>
      </c>
      <c r="O23" s="127">
        <v>0.1</v>
      </c>
      <c r="P23" s="127">
        <v>0</v>
      </c>
      <c r="Q23" s="127">
        <v>0</v>
      </c>
      <c r="R23" s="127">
        <v>0</v>
      </c>
      <c r="S23" s="127">
        <v>0</v>
      </c>
      <c r="T23" s="127">
        <v>0</v>
      </c>
      <c r="U23" s="127">
        <v>0</v>
      </c>
      <c r="V23" s="127">
        <v>0</v>
      </c>
      <c r="W23" s="127">
        <v>0</v>
      </c>
      <c r="X23" s="127">
        <v>0</v>
      </c>
      <c r="Y23" s="127">
        <v>0</v>
      </c>
      <c r="Z23" s="127">
        <v>0</v>
      </c>
      <c r="AA23" s="127">
        <v>0</v>
      </c>
      <c r="AB23" s="127">
        <v>0</v>
      </c>
      <c r="AC23" s="127">
        <v>0</v>
      </c>
      <c r="AD23" s="127">
        <v>0</v>
      </c>
      <c r="AE23" s="127">
        <v>0</v>
      </c>
      <c r="AF23" s="127">
        <v>0</v>
      </c>
      <c r="AG23" s="127">
        <v>0</v>
      </c>
      <c r="AH23" s="127">
        <v>0</v>
      </c>
      <c r="AI23" s="127">
        <v>0</v>
      </c>
      <c r="AJ23" s="127">
        <v>0</v>
      </c>
      <c r="AK23" s="127">
        <v>0</v>
      </c>
      <c r="AL23" s="127">
        <v>0</v>
      </c>
      <c r="AM23" s="127">
        <v>0</v>
      </c>
      <c r="AN23" s="127">
        <v>0</v>
      </c>
      <c r="AO23" s="127">
        <v>0</v>
      </c>
      <c r="AP23" s="127">
        <v>0</v>
      </c>
      <c r="AQ23" s="127">
        <v>0</v>
      </c>
      <c r="AR23" s="127">
        <v>0</v>
      </c>
      <c r="AS23" s="127">
        <v>0</v>
      </c>
      <c r="AT23" s="127">
        <v>0</v>
      </c>
      <c r="AU23" s="127">
        <v>0</v>
      </c>
      <c r="AV23" s="127">
        <v>0</v>
      </c>
      <c r="AW23" s="127">
        <v>0</v>
      </c>
      <c r="AX23" s="127">
        <v>0</v>
      </c>
      <c r="AY23" s="127">
        <v>0</v>
      </c>
      <c r="AZ23" s="127">
        <v>0</v>
      </c>
      <c r="BA23" s="127">
        <v>0</v>
      </c>
      <c r="BB23" s="127">
        <v>0</v>
      </c>
      <c r="BC23" s="127">
        <v>0</v>
      </c>
      <c r="BD23" s="127">
        <v>0</v>
      </c>
      <c r="BE23" s="127">
        <v>0</v>
      </c>
      <c r="BF23" s="127">
        <v>0</v>
      </c>
      <c r="BG23" s="127">
        <v>0</v>
      </c>
      <c r="BH23" s="127">
        <v>0</v>
      </c>
      <c r="BI23" s="127">
        <v>0</v>
      </c>
      <c r="BJ23" s="127">
        <v>0</v>
      </c>
      <c r="BK23" s="127">
        <v>0</v>
      </c>
      <c r="BL23" s="127">
        <v>0</v>
      </c>
      <c r="BM23" s="127">
        <v>0</v>
      </c>
      <c r="BN23" s="127">
        <v>0</v>
      </c>
      <c r="BO23" s="127">
        <v>0</v>
      </c>
      <c r="BP23" s="127">
        <v>0</v>
      </c>
      <c r="BQ23" s="127">
        <v>0</v>
      </c>
      <c r="BR23" s="127">
        <v>0</v>
      </c>
      <c r="BS23" s="127">
        <v>0</v>
      </c>
      <c r="BT23" s="127">
        <v>0</v>
      </c>
      <c r="BU23" s="127">
        <v>0</v>
      </c>
      <c r="BV23" s="127">
        <v>0</v>
      </c>
      <c r="BW23" s="127">
        <v>0</v>
      </c>
      <c r="BX23" s="127">
        <v>0</v>
      </c>
      <c r="BY23" s="127">
        <v>0</v>
      </c>
      <c r="BZ23" s="127">
        <v>0</v>
      </c>
      <c r="CA23" s="127">
        <v>0</v>
      </c>
      <c r="CB23" s="127">
        <v>0</v>
      </c>
      <c r="CC23" s="127">
        <v>0</v>
      </c>
      <c r="CD23" s="127">
        <v>0</v>
      </c>
      <c r="CE23" s="127">
        <v>0</v>
      </c>
      <c r="CF23" s="127">
        <v>0</v>
      </c>
      <c r="CG23" s="127">
        <v>0</v>
      </c>
      <c r="CH23" s="127">
        <v>0</v>
      </c>
      <c r="CI23" s="127">
        <v>0</v>
      </c>
      <c r="CJ23" s="127">
        <v>0</v>
      </c>
      <c r="CK23" s="127">
        <v>0</v>
      </c>
      <c r="CL23" s="127">
        <v>0</v>
      </c>
      <c r="CM23" s="127">
        <v>0</v>
      </c>
      <c r="CN23" s="127">
        <v>0</v>
      </c>
      <c r="CO23" s="127">
        <v>0</v>
      </c>
      <c r="CP23" s="127">
        <v>0</v>
      </c>
      <c r="CQ23" s="127">
        <v>0</v>
      </c>
      <c r="CR23" s="127">
        <v>0</v>
      </c>
      <c r="CS23" s="127">
        <v>0</v>
      </c>
      <c r="CT23" s="127">
        <v>0</v>
      </c>
      <c r="CU23" s="127">
        <v>0</v>
      </c>
      <c r="CV23" s="127">
        <v>0</v>
      </c>
      <c r="CW23" s="127">
        <v>0</v>
      </c>
      <c r="CX23" s="127">
        <v>0</v>
      </c>
    </row>
    <row r="24" spans="1:102" ht="15" customHeight="1" x14ac:dyDescent="0.2">
      <c r="A24" s="123">
        <v>2.2000000000000002</v>
      </c>
      <c r="B24" s="126">
        <v>1</v>
      </c>
      <c r="C24" s="127">
        <v>1</v>
      </c>
      <c r="D24" s="127">
        <v>1</v>
      </c>
      <c r="E24" s="127">
        <v>1</v>
      </c>
      <c r="F24" s="127">
        <v>0.95</v>
      </c>
      <c r="G24" s="127">
        <v>0.85</v>
      </c>
      <c r="H24" s="127">
        <v>0.8</v>
      </c>
      <c r="I24" s="127">
        <v>0.7</v>
      </c>
      <c r="J24" s="127">
        <v>0.6</v>
      </c>
      <c r="K24" s="127">
        <v>0.5</v>
      </c>
      <c r="L24" s="127">
        <v>0.4</v>
      </c>
      <c r="M24" s="127">
        <v>0.3</v>
      </c>
      <c r="N24" s="127">
        <v>0.2</v>
      </c>
      <c r="O24" s="127">
        <v>0.1</v>
      </c>
      <c r="P24" s="127">
        <v>0</v>
      </c>
      <c r="Q24" s="127">
        <v>0</v>
      </c>
      <c r="R24" s="127">
        <v>0</v>
      </c>
      <c r="S24" s="127">
        <v>0</v>
      </c>
      <c r="T24" s="127">
        <v>0</v>
      </c>
      <c r="U24" s="127">
        <v>0</v>
      </c>
      <c r="V24" s="127">
        <v>0</v>
      </c>
      <c r="W24" s="127">
        <v>0</v>
      </c>
      <c r="X24" s="127">
        <v>0</v>
      </c>
      <c r="Y24" s="127">
        <v>0</v>
      </c>
      <c r="Z24" s="127">
        <v>0</v>
      </c>
      <c r="AA24" s="127">
        <v>0</v>
      </c>
      <c r="AB24" s="127">
        <v>0</v>
      </c>
      <c r="AC24" s="127">
        <v>0</v>
      </c>
      <c r="AD24" s="127">
        <v>0</v>
      </c>
      <c r="AE24" s="127">
        <v>0</v>
      </c>
      <c r="AF24" s="127">
        <v>0</v>
      </c>
      <c r="AG24" s="127">
        <v>0</v>
      </c>
      <c r="AH24" s="127">
        <v>0</v>
      </c>
      <c r="AI24" s="127">
        <v>0</v>
      </c>
      <c r="AJ24" s="127">
        <v>0</v>
      </c>
      <c r="AK24" s="127">
        <v>0</v>
      </c>
      <c r="AL24" s="127">
        <v>0</v>
      </c>
      <c r="AM24" s="127">
        <v>0</v>
      </c>
      <c r="AN24" s="127">
        <v>0</v>
      </c>
      <c r="AO24" s="127">
        <v>0</v>
      </c>
      <c r="AP24" s="127">
        <v>0</v>
      </c>
      <c r="AQ24" s="127">
        <v>0</v>
      </c>
      <c r="AR24" s="127">
        <v>0</v>
      </c>
      <c r="AS24" s="127">
        <v>0</v>
      </c>
      <c r="AT24" s="127">
        <v>0</v>
      </c>
      <c r="AU24" s="127">
        <v>0</v>
      </c>
      <c r="AV24" s="127">
        <v>0</v>
      </c>
      <c r="AW24" s="127">
        <v>0</v>
      </c>
      <c r="AX24" s="127">
        <v>0</v>
      </c>
      <c r="AY24" s="127">
        <v>0</v>
      </c>
      <c r="AZ24" s="127">
        <v>0</v>
      </c>
      <c r="BA24" s="127">
        <v>0</v>
      </c>
      <c r="BB24" s="127">
        <v>0</v>
      </c>
      <c r="BC24" s="127">
        <v>0</v>
      </c>
      <c r="BD24" s="127">
        <v>0</v>
      </c>
      <c r="BE24" s="127">
        <v>0</v>
      </c>
      <c r="BF24" s="127">
        <v>0</v>
      </c>
      <c r="BG24" s="127">
        <v>0</v>
      </c>
      <c r="BH24" s="127">
        <v>0</v>
      </c>
      <c r="BI24" s="127">
        <v>0</v>
      </c>
      <c r="BJ24" s="127">
        <v>0</v>
      </c>
      <c r="BK24" s="127">
        <v>0</v>
      </c>
      <c r="BL24" s="127">
        <v>0</v>
      </c>
      <c r="BM24" s="127">
        <v>0</v>
      </c>
      <c r="BN24" s="127">
        <v>0</v>
      </c>
      <c r="BO24" s="127">
        <v>0</v>
      </c>
      <c r="BP24" s="127">
        <v>0</v>
      </c>
      <c r="BQ24" s="127">
        <v>0</v>
      </c>
      <c r="BR24" s="127">
        <v>0</v>
      </c>
      <c r="BS24" s="127">
        <v>0</v>
      </c>
      <c r="BT24" s="127">
        <v>0</v>
      </c>
      <c r="BU24" s="127">
        <v>0</v>
      </c>
      <c r="BV24" s="127">
        <v>0</v>
      </c>
      <c r="BW24" s="127">
        <v>0</v>
      </c>
      <c r="BX24" s="127">
        <v>0</v>
      </c>
      <c r="BY24" s="127">
        <v>0</v>
      </c>
      <c r="BZ24" s="127">
        <v>0</v>
      </c>
      <c r="CA24" s="127">
        <v>0</v>
      </c>
      <c r="CB24" s="127">
        <v>0</v>
      </c>
      <c r="CC24" s="127">
        <v>0</v>
      </c>
      <c r="CD24" s="127">
        <v>0</v>
      </c>
      <c r="CE24" s="127">
        <v>0</v>
      </c>
      <c r="CF24" s="127">
        <v>0</v>
      </c>
      <c r="CG24" s="127">
        <v>0</v>
      </c>
      <c r="CH24" s="127">
        <v>0</v>
      </c>
      <c r="CI24" s="127">
        <v>0</v>
      </c>
      <c r="CJ24" s="127">
        <v>0</v>
      </c>
      <c r="CK24" s="127">
        <v>0</v>
      </c>
      <c r="CL24" s="127">
        <v>0</v>
      </c>
      <c r="CM24" s="127">
        <v>0</v>
      </c>
      <c r="CN24" s="127">
        <v>0</v>
      </c>
      <c r="CO24" s="127">
        <v>0</v>
      </c>
      <c r="CP24" s="127">
        <v>0</v>
      </c>
      <c r="CQ24" s="127">
        <v>0</v>
      </c>
      <c r="CR24" s="127">
        <v>0</v>
      </c>
      <c r="CS24" s="127">
        <v>0</v>
      </c>
      <c r="CT24" s="127">
        <v>0</v>
      </c>
      <c r="CU24" s="127">
        <v>0</v>
      </c>
      <c r="CV24" s="127">
        <v>0</v>
      </c>
      <c r="CW24" s="127">
        <v>0</v>
      </c>
      <c r="CX24" s="127">
        <v>0</v>
      </c>
    </row>
    <row r="25" spans="1:102" ht="15" customHeight="1" x14ac:dyDescent="0.2">
      <c r="A25" s="123">
        <v>2.2999999999999998</v>
      </c>
      <c r="B25" s="126">
        <v>1</v>
      </c>
      <c r="C25" s="127">
        <v>1</v>
      </c>
      <c r="D25" s="127">
        <v>1</v>
      </c>
      <c r="E25" s="127">
        <v>1</v>
      </c>
      <c r="F25" s="127">
        <v>0.95</v>
      </c>
      <c r="G25" s="127">
        <v>0.85</v>
      </c>
      <c r="H25" s="127">
        <v>0.8</v>
      </c>
      <c r="I25" s="127">
        <v>0.7</v>
      </c>
      <c r="J25" s="127">
        <v>0.6</v>
      </c>
      <c r="K25" s="127">
        <v>0.5</v>
      </c>
      <c r="L25" s="127">
        <v>0.4</v>
      </c>
      <c r="M25" s="127">
        <v>0.3</v>
      </c>
      <c r="N25" s="127">
        <v>0.2</v>
      </c>
      <c r="O25" s="127">
        <v>0.1</v>
      </c>
      <c r="P25" s="127">
        <v>0</v>
      </c>
      <c r="Q25" s="127">
        <v>0</v>
      </c>
      <c r="R25" s="127">
        <v>0</v>
      </c>
      <c r="S25" s="127">
        <v>0</v>
      </c>
      <c r="T25" s="127">
        <v>0</v>
      </c>
      <c r="U25" s="127">
        <v>0</v>
      </c>
      <c r="V25" s="127">
        <v>0</v>
      </c>
      <c r="W25" s="127">
        <v>0</v>
      </c>
      <c r="X25" s="127">
        <v>0</v>
      </c>
      <c r="Y25" s="127">
        <v>0</v>
      </c>
      <c r="Z25" s="127">
        <v>0</v>
      </c>
      <c r="AA25" s="127">
        <v>0</v>
      </c>
      <c r="AB25" s="127">
        <v>0</v>
      </c>
      <c r="AC25" s="127">
        <v>0</v>
      </c>
      <c r="AD25" s="127">
        <v>0</v>
      </c>
      <c r="AE25" s="127">
        <v>0</v>
      </c>
      <c r="AF25" s="127">
        <v>0</v>
      </c>
      <c r="AG25" s="127">
        <v>0</v>
      </c>
      <c r="AH25" s="127">
        <v>0</v>
      </c>
      <c r="AI25" s="127">
        <v>0</v>
      </c>
      <c r="AJ25" s="127">
        <v>0</v>
      </c>
      <c r="AK25" s="127">
        <v>0</v>
      </c>
      <c r="AL25" s="127">
        <v>0</v>
      </c>
      <c r="AM25" s="127">
        <v>0</v>
      </c>
      <c r="AN25" s="127">
        <v>0</v>
      </c>
      <c r="AO25" s="127">
        <v>0</v>
      </c>
      <c r="AP25" s="127">
        <v>0</v>
      </c>
      <c r="AQ25" s="127">
        <v>0</v>
      </c>
      <c r="AR25" s="127">
        <v>0</v>
      </c>
      <c r="AS25" s="127">
        <v>0</v>
      </c>
      <c r="AT25" s="127">
        <v>0</v>
      </c>
      <c r="AU25" s="127">
        <v>0</v>
      </c>
      <c r="AV25" s="127">
        <v>0</v>
      </c>
      <c r="AW25" s="127">
        <v>0</v>
      </c>
      <c r="AX25" s="127">
        <v>0</v>
      </c>
      <c r="AY25" s="127">
        <v>0</v>
      </c>
      <c r="AZ25" s="127">
        <v>0</v>
      </c>
      <c r="BA25" s="127">
        <v>0</v>
      </c>
      <c r="BB25" s="127">
        <v>0</v>
      </c>
      <c r="BC25" s="127">
        <v>0</v>
      </c>
      <c r="BD25" s="127">
        <v>0</v>
      </c>
      <c r="BE25" s="127">
        <v>0</v>
      </c>
      <c r="BF25" s="127">
        <v>0</v>
      </c>
      <c r="BG25" s="127">
        <v>0</v>
      </c>
      <c r="BH25" s="127">
        <v>0</v>
      </c>
      <c r="BI25" s="127">
        <v>0</v>
      </c>
      <c r="BJ25" s="127">
        <v>0</v>
      </c>
      <c r="BK25" s="127">
        <v>0</v>
      </c>
      <c r="BL25" s="127">
        <v>0</v>
      </c>
      <c r="BM25" s="127">
        <v>0</v>
      </c>
      <c r="BN25" s="127">
        <v>0</v>
      </c>
      <c r="BO25" s="127">
        <v>0</v>
      </c>
      <c r="BP25" s="127">
        <v>0</v>
      </c>
      <c r="BQ25" s="127">
        <v>0</v>
      </c>
      <c r="BR25" s="127">
        <v>0</v>
      </c>
      <c r="BS25" s="127">
        <v>0</v>
      </c>
      <c r="BT25" s="127">
        <v>0</v>
      </c>
      <c r="BU25" s="127">
        <v>0</v>
      </c>
      <c r="BV25" s="127">
        <v>0</v>
      </c>
      <c r="BW25" s="127">
        <v>0</v>
      </c>
      <c r="BX25" s="127">
        <v>0</v>
      </c>
      <c r="BY25" s="127">
        <v>0</v>
      </c>
      <c r="BZ25" s="127">
        <v>0</v>
      </c>
      <c r="CA25" s="127">
        <v>0</v>
      </c>
      <c r="CB25" s="127">
        <v>0</v>
      </c>
      <c r="CC25" s="127">
        <v>0</v>
      </c>
      <c r="CD25" s="127">
        <v>0</v>
      </c>
      <c r="CE25" s="127">
        <v>0</v>
      </c>
      <c r="CF25" s="127">
        <v>0</v>
      </c>
      <c r="CG25" s="127">
        <v>0</v>
      </c>
      <c r="CH25" s="127">
        <v>0</v>
      </c>
      <c r="CI25" s="127">
        <v>0</v>
      </c>
      <c r="CJ25" s="127">
        <v>0</v>
      </c>
      <c r="CK25" s="127">
        <v>0</v>
      </c>
      <c r="CL25" s="127">
        <v>0</v>
      </c>
      <c r="CM25" s="127">
        <v>0</v>
      </c>
      <c r="CN25" s="127">
        <v>0</v>
      </c>
      <c r="CO25" s="127">
        <v>0</v>
      </c>
      <c r="CP25" s="127">
        <v>0</v>
      </c>
      <c r="CQ25" s="127">
        <v>0</v>
      </c>
      <c r="CR25" s="127">
        <v>0</v>
      </c>
      <c r="CS25" s="127">
        <v>0</v>
      </c>
      <c r="CT25" s="127">
        <v>0</v>
      </c>
      <c r="CU25" s="127">
        <v>0</v>
      </c>
      <c r="CV25" s="127">
        <v>0</v>
      </c>
      <c r="CW25" s="127">
        <v>0</v>
      </c>
      <c r="CX25" s="127">
        <v>0</v>
      </c>
    </row>
    <row r="26" spans="1:102" ht="15" customHeight="1" x14ac:dyDescent="0.2">
      <c r="A26" s="123">
        <v>2.4</v>
      </c>
      <c r="B26" s="126">
        <v>1</v>
      </c>
      <c r="C26" s="127">
        <v>1</v>
      </c>
      <c r="D26" s="127">
        <v>1</v>
      </c>
      <c r="E26" s="127">
        <v>1</v>
      </c>
      <c r="F26" s="127">
        <v>0.95</v>
      </c>
      <c r="G26" s="127">
        <v>0.85</v>
      </c>
      <c r="H26" s="127">
        <v>0.8</v>
      </c>
      <c r="I26" s="127">
        <v>0.7</v>
      </c>
      <c r="J26" s="127">
        <v>0.6</v>
      </c>
      <c r="K26" s="127">
        <v>0.5</v>
      </c>
      <c r="L26" s="127">
        <v>0.4</v>
      </c>
      <c r="M26" s="127">
        <v>0.3</v>
      </c>
      <c r="N26" s="127">
        <v>0.2</v>
      </c>
      <c r="O26" s="127">
        <v>0.1</v>
      </c>
      <c r="P26" s="127">
        <v>0</v>
      </c>
      <c r="Q26" s="127">
        <v>0</v>
      </c>
      <c r="R26" s="127">
        <v>0</v>
      </c>
      <c r="S26" s="127">
        <v>0</v>
      </c>
      <c r="T26" s="127">
        <v>0</v>
      </c>
      <c r="U26" s="127">
        <v>0</v>
      </c>
      <c r="V26" s="127">
        <v>0</v>
      </c>
      <c r="W26" s="127">
        <v>0</v>
      </c>
      <c r="X26" s="127">
        <v>0</v>
      </c>
      <c r="Y26" s="127">
        <v>0</v>
      </c>
      <c r="Z26" s="127">
        <v>0</v>
      </c>
      <c r="AA26" s="127">
        <v>0</v>
      </c>
      <c r="AB26" s="127">
        <v>0</v>
      </c>
      <c r="AC26" s="127">
        <v>0</v>
      </c>
      <c r="AD26" s="127">
        <v>0</v>
      </c>
      <c r="AE26" s="127">
        <v>0</v>
      </c>
      <c r="AF26" s="127">
        <v>0</v>
      </c>
      <c r="AG26" s="127">
        <v>0</v>
      </c>
      <c r="AH26" s="127">
        <v>0</v>
      </c>
      <c r="AI26" s="127">
        <v>0</v>
      </c>
      <c r="AJ26" s="127">
        <v>0</v>
      </c>
      <c r="AK26" s="127">
        <v>0</v>
      </c>
      <c r="AL26" s="127">
        <v>0</v>
      </c>
      <c r="AM26" s="127">
        <v>0</v>
      </c>
      <c r="AN26" s="127">
        <v>0</v>
      </c>
      <c r="AO26" s="127">
        <v>0</v>
      </c>
      <c r="AP26" s="127">
        <v>0</v>
      </c>
      <c r="AQ26" s="127">
        <v>0</v>
      </c>
      <c r="AR26" s="127">
        <v>0</v>
      </c>
      <c r="AS26" s="127">
        <v>0</v>
      </c>
      <c r="AT26" s="127">
        <v>0</v>
      </c>
      <c r="AU26" s="127">
        <v>0</v>
      </c>
      <c r="AV26" s="127">
        <v>0</v>
      </c>
      <c r="AW26" s="127">
        <v>0</v>
      </c>
      <c r="AX26" s="127">
        <v>0</v>
      </c>
      <c r="AY26" s="127">
        <v>0</v>
      </c>
      <c r="AZ26" s="127">
        <v>0</v>
      </c>
      <c r="BA26" s="127">
        <v>0</v>
      </c>
      <c r="BB26" s="127">
        <v>0</v>
      </c>
      <c r="BC26" s="127">
        <v>0</v>
      </c>
      <c r="BD26" s="127">
        <v>0</v>
      </c>
      <c r="BE26" s="127">
        <v>0</v>
      </c>
      <c r="BF26" s="127">
        <v>0</v>
      </c>
      <c r="BG26" s="127">
        <v>0</v>
      </c>
      <c r="BH26" s="127">
        <v>0</v>
      </c>
      <c r="BI26" s="127">
        <v>0</v>
      </c>
      <c r="BJ26" s="127">
        <v>0</v>
      </c>
      <c r="BK26" s="127">
        <v>0</v>
      </c>
      <c r="BL26" s="127">
        <v>0</v>
      </c>
      <c r="BM26" s="127">
        <v>0</v>
      </c>
      <c r="BN26" s="127">
        <v>0</v>
      </c>
      <c r="BO26" s="127">
        <v>0</v>
      </c>
      <c r="BP26" s="127">
        <v>0</v>
      </c>
      <c r="BQ26" s="127">
        <v>0</v>
      </c>
      <c r="BR26" s="127">
        <v>0</v>
      </c>
      <c r="BS26" s="127">
        <v>0</v>
      </c>
      <c r="BT26" s="127">
        <v>0</v>
      </c>
      <c r="BU26" s="127">
        <v>0</v>
      </c>
      <c r="BV26" s="127">
        <v>0</v>
      </c>
      <c r="BW26" s="127">
        <v>0</v>
      </c>
      <c r="BX26" s="127">
        <v>0</v>
      </c>
      <c r="BY26" s="127">
        <v>0</v>
      </c>
      <c r="BZ26" s="127">
        <v>0</v>
      </c>
      <c r="CA26" s="127">
        <v>0</v>
      </c>
      <c r="CB26" s="127">
        <v>0</v>
      </c>
      <c r="CC26" s="127">
        <v>0</v>
      </c>
      <c r="CD26" s="127">
        <v>0</v>
      </c>
      <c r="CE26" s="127">
        <v>0</v>
      </c>
      <c r="CF26" s="127">
        <v>0</v>
      </c>
      <c r="CG26" s="127">
        <v>0</v>
      </c>
      <c r="CH26" s="127">
        <v>0</v>
      </c>
      <c r="CI26" s="127">
        <v>0</v>
      </c>
      <c r="CJ26" s="127">
        <v>0</v>
      </c>
      <c r="CK26" s="127">
        <v>0</v>
      </c>
      <c r="CL26" s="127">
        <v>0</v>
      </c>
      <c r="CM26" s="127">
        <v>0</v>
      </c>
      <c r="CN26" s="127">
        <v>0</v>
      </c>
      <c r="CO26" s="127">
        <v>0</v>
      </c>
      <c r="CP26" s="127">
        <v>0</v>
      </c>
      <c r="CQ26" s="127">
        <v>0</v>
      </c>
      <c r="CR26" s="127">
        <v>0</v>
      </c>
      <c r="CS26" s="127">
        <v>0</v>
      </c>
      <c r="CT26" s="127">
        <v>0</v>
      </c>
      <c r="CU26" s="127">
        <v>0</v>
      </c>
      <c r="CV26" s="127">
        <v>0</v>
      </c>
      <c r="CW26" s="127">
        <v>0</v>
      </c>
      <c r="CX26" s="127">
        <v>0</v>
      </c>
    </row>
    <row r="27" spans="1:102" ht="15" customHeight="1" x14ac:dyDescent="0.2">
      <c r="A27" s="123">
        <v>2.5</v>
      </c>
      <c r="B27" s="126">
        <v>1</v>
      </c>
      <c r="C27" s="127">
        <v>1</v>
      </c>
      <c r="D27" s="127">
        <v>1</v>
      </c>
      <c r="E27" s="127">
        <v>1</v>
      </c>
      <c r="F27" s="127">
        <v>0.95</v>
      </c>
      <c r="G27" s="127">
        <v>0.85</v>
      </c>
      <c r="H27" s="127">
        <v>0.8</v>
      </c>
      <c r="I27" s="127">
        <v>0.7</v>
      </c>
      <c r="J27" s="127">
        <v>0.6</v>
      </c>
      <c r="K27" s="127">
        <v>0.5</v>
      </c>
      <c r="L27" s="127">
        <v>0.4</v>
      </c>
      <c r="M27" s="127">
        <v>0.3</v>
      </c>
      <c r="N27" s="127">
        <v>0.2</v>
      </c>
      <c r="O27" s="127">
        <v>0.1</v>
      </c>
      <c r="P27" s="127">
        <v>0</v>
      </c>
      <c r="Q27" s="127">
        <v>0</v>
      </c>
      <c r="R27" s="127">
        <v>0</v>
      </c>
      <c r="S27" s="127">
        <v>0</v>
      </c>
      <c r="T27" s="127">
        <v>0</v>
      </c>
      <c r="U27" s="127">
        <v>0</v>
      </c>
      <c r="V27" s="127">
        <v>0</v>
      </c>
      <c r="W27" s="127">
        <v>0</v>
      </c>
      <c r="X27" s="127">
        <v>0</v>
      </c>
      <c r="Y27" s="127">
        <v>0</v>
      </c>
      <c r="Z27" s="127">
        <v>0</v>
      </c>
      <c r="AA27" s="127">
        <v>0</v>
      </c>
      <c r="AB27" s="127">
        <v>0</v>
      </c>
      <c r="AC27" s="127">
        <v>0</v>
      </c>
      <c r="AD27" s="127">
        <v>0</v>
      </c>
      <c r="AE27" s="127">
        <v>0</v>
      </c>
      <c r="AF27" s="127">
        <v>0</v>
      </c>
      <c r="AG27" s="127">
        <v>0</v>
      </c>
      <c r="AH27" s="127">
        <v>0</v>
      </c>
      <c r="AI27" s="127">
        <v>0</v>
      </c>
      <c r="AJ27" s="127">
        <v>0</v>
      </c>
      <c r="AK27" s="127">
        <v>0</v>
      </c>
      <c r="AL27" s="127">
        <v>0</v>
      </c>
      <c r="AM27" s="127">
        <v>0</v>
      </c>
      <c r="AN27" s="127">
        <v>0</v>
      </c>
      <c r="AO27" s="127">
        <v>0</v>
      </c>
      <c r="AP27" s="127">
        <v>0</v>
      </c>
      <c r="AQ27" s="127">
        <v>0</v>
      </c>
      <c r="AR27" s="127">
        <v>0</v>
      </c>
      <c r="AS27" s="127">
        <v>0</v>
      </c>
      <c r="AT27" s="127">
        <v>0</v>
      </c>
      <c r="AU27" s="127">
        <v>0</v>
      </c>
      <c r="AV27" s="127">
        <v>0</v>
      </c>
      <c r="AW27" s="127">
        <v>0</v>
      </c>
      <c r="AX27" s="127">
        <v>0</v>
      </c>
      <c r="AY27" s="127">
        <v>0</v>
      </c>
      <c r="AZ27" s="127">
        <v>0</v>
      </c>
      <c r="BA27" s="127">
        <v>0</v>
      </c>
      <c r="BB27" s="127">
        <v>0</v>
      </c>
      <c r="BC27" s="127">
        <v>0</v>
      </c>
      <c r="BD27" s="127">
        <v>0</v>
      </c>
      <c r="BE27" s="127">
        <v>0</v>
      </c>
      <c r="BF27" s="127">
        <v>0</v>
      </c>
      <c r="BG27" s="127">
        <v>0</v>
      </c>
      <c r="BH27" s="127">
        <v>0</v>
      </c>
      <c r="BI27" s="127">
        <v>0</v>
      </c>
      <c r="BJ27" s="127">
        <v>0</v>
      </c>
      <c r="BK27" s="127">
        <v>0</v>
      </c>
      <c r="BL27" s="127">
        <v>0</v>
      </c>
      <c r="BM27" s="127">
        <v>0</v>
      </c>
      <c r="BN27" s="127">
        <v>0</v>
      </c>
      <c r="BO27" s="127">
        <v>0</v>
      </c>
      <c r="BP27" s="127">
        <v>0</v>
      </c>
      <c r="BQ27" s="127">
        <v>0</v>
      </c>
      <c r="BR27" s="127">
        <v>0</v>
      </c>
      <c r="BS27" s="127">
        <v>0</v>
      </c>
      <c r="BT27" s="127">
        <v>0</v>
      </c>
      <c r="BU27" s="127">
        <v>0</v>
      </c>
      <c r="BV27" s="127">
        <v>0</v>
      </c>
      <c r="BW27" s="127">
        <v>0</v>
      </c>
      <c r="BX27" s="127">
        <v>0</v>
      </c>
      <c r="BY27" s="127">
        <v>0</v>
      </c>
      <c r="BZ27" s="127">
        <v>0</v>
      </c>
      <c r="CA27" s="127">
        <v>0</v>
      </c>
      <c r="CB27" s="127">
        <v>0</v>
      </c>
      <c r="CC27" s="127">
        <v>0</v>
      </c>
      <c r="CD27" s="127">
        <v>0</v>
      </c>
      <c r="CE27" s="127">
        <v>0</v>
      </c>
      <c r="CF27" s="127">
        <v>0</v>
      </c>
      <c r="CG27" s="127">
        <v>0</v>
      </c>
      <c r="CH27" s="127">
        <v>0</v>
      </c>
      <c r="CI27" s="127">
        <v>0</v>
      </c>
      <c r="CJ27" s="127">
        <v>0</v>
      </c>
      <c r="CK27" s="127">
        <v>0</v>
      </c>
      <c r="CL27" s="127">
        <v>0</v>
      </c>
      <c r="CM27" s="127">
        <v>0</v>
      </c>
      <c r="CN27" s="127">
        <v>0</v>
      </c>
      <c r="CO27" s="127">
        <v>0</v>
      </c>
      <c r="CP27" s="127">
        <v>0</v>
      </c>
      <c r="CQ27" s="127">
        <v>0</v>
      </c>
      <c r="CR27" s="127">
        <v>0</v>
      </c>
      <c r="CS27" s="127">
        <v>0</v>
      </c>
      <c r="CT27" s="127">
        <v>0</v>
      </c>
      <c r="CU27" s="127">
        <v>0</v>
      </c>
      <c r="CV27" s="127">
        <v>0</v>
      </c>
      <c r="CW27" s="127">
        <v>0</v>
      </c>
      <c r="CX27" s="127">
        <v>0</v>
      </c>
    </row>
    <row r="28" spans="1:102" ht="15" customHeight="1" x14ac:dyDescent="0.2">
      <c r="A28" s="123">
        <v>2.6</v>
      </c>
      <c r="B28" s="126">
        <v>1</v>
      </c>
      <c r="C28" s="127">
        <v>1</v>
      </c>
      <c r="D28" s="127">
        <v>1</v>
      </c>
      <c r="E28" s="127">
        <v>1</v>
      </c>
      <c r="F28" s="127">
        <v>1</v>
      </c>
      <c r="G28" s="127">
        <v>0.95</v>
      </c>
      <c r="H28" s="127">
        <v>0.85</v>
      </c>
      <c r="I28" s="127">
        <v>0.8</v>
      </c>
      <c r="J28" s="127">
        <v>0.7</v>
      </c>
      <c r="K28" s="127">
        <v>0.6</v>
      </c>
      <c r="L28" s="127">
        <v>0.5</v>
      </c>
      <c r="M28" s="127">
        <v>0.4</v>
      </c>
      <c r="N28" s="127">
        <v>0.3</v>
      </c>
      <c r="O28" s="127">
        <v>0.2</v>
      </c>
      <c r="P28" s="127">
        <v>0.1</v>
      </c>
      <c r="Q28" s="127">
        <v>0</v>
      </c>
      <c r="R28" s="127">
        <v>0</v>
      </c>
      <c r="S28" s="127">
        <v>0</v>
      </c>
      <c r="T28" s="127">
        <v>0</v>
      </c>
      <c r="U28" s="127">
        <v>0</v>
      </c>
      <c r="V28" s="127">
        <v>0</v>
      </c>
      <c r="W28" s="127">
        <v>0</v>
      </c>
      <c r="X28" s="127">
        <v>0</v>
      </c>
      <c r="Y28" s="127">
        <v>0</v>
      </c>
      <c r="Z28" s="127">
        <v>0</v>
      </c>
      <c r="AA28" s="127">
        <v>0</v>
      </c>
      <c r="AB28" s="127">
        <v>0</v>
      </c>
      <c r="AC28" s="127">
        <v>0</v>
      </c>
      <c r="AD28" s="127">
        <v>0</v>
      </c>
      <c r="AE28" s="127">
        <v>0</v>
      </c>
      <c r="AF28" s="127">
        <v>0</v>
      </c>
      <c r="AG28" s="127">
        <v>0</v>
      </c>
      <c r="AH28" s="127">
        <v>0</v>
      </c>
      <c r="AI28" s="127">
        <v>0</v>
      </c>
      <c r="AJ28" s="127">
        <v>0</v>
      </c>
      <c r="AK28" s="127">
        <v>0</v>
      </c>
      <c r="AL28" s="127">
        <v>0</v>
      </c>
      <c r="AM28" s="127">
        <v>0</v>
      </c>
      <c r="AN28" s="127">
        <v>0</v>
      </c>
      <c r="AO28" s="127">
        <v>0</v>
      </c>
      <c r="AP28" s="127">
        <v>0</v>
      </c>
      <c r="AQ28" s="127">
        <v>0</v>
      </c>
      <c r="AR28" s="127">
        <v>0</v>
      </c>
      <c r="AS28" s="127">
        <v>0</v>
      </c>
      <c r="AT28" s="127">
        <v>0</v>
      </c>
      <c r="AU28" s="127">
        <v>0</v>
      </c>
      <c r="AV28" s="127">
        <v>0</v>
      </c>
      <c r="AW28" s="127">
        <v>0</v>
      </c>
      <c r="AX28" s="127">
        <v>0</v>
      </c>
      <c r="AY28" s="127">
        <v>0</v>
      </c>
      <c r="AZ28" s="127">
        <v>0</v>
      </c>
      <c r="BA28" s="127">
        <v>0</v>
      </c>
      <c r="BB28" s="127">
        <v>0</v>
      </c>
      <c r="BC28" s="127">
        <v>0</v>
      </c>
      <c r="BD28" s="127">
        <v>0</v>
      </c>
      <c r="BE28" s="127">
        <v>0</v>
      </c>
      <c r="BF28" s="127">
        <v>0</v>
      </c>
      <c r="BG28" s="127">
        <v>0</v>
      </c>
      <c r="BH28" s="127">
        <v>0</v>
      </c>
      <c r="BI28" s="127">
        <v>0</v>
      </c>
      <c r="BJ28" s="127">
        <v>0</v>
      </c>
      <c r="BK28" s="127">
        <v>0</v>
      </c>
      <c r="BL28" s="127">
        <v>0</v>
      </c>
      <c r="BM28" s="127">
        <v>0</v>
      </c>
      <c r="BN28" s="127">
        <v>0</v>
      </c>
      <c r="BO28" s="127">
        <v>0</v>
      </c>
      <c r="BP28" s="127">
        <v>0</v>
      </c>
      <c r="BQ28" s="127">
        <v>0</v>
      </c>
      <c r="BR28" s="127">
        <v>0</v>
      </c>
      <c r="BS28" s="127">
        <v>0</v>
      </c>
      <c r="BT28" s="127">
        <v>0</v>
      </c>
      <c r="BU28" s="127">
        <v>0</v>
      </c>
      <c r="BV28" s="127">
        <v>0</v>
      </c>
      <c r="BW28" s="127">
        <v>0</v>
      </c>
      <c r="BX28" s="127">
        <v>0</v>
      </c>
      <c r="BY28" s="127">
        <v>0</v>
      </c>
      <c r="BZ28" s="127">
        <v>0</v>
      </c>
      <c r="CA28" s="127">
        <v>0</v>
      </c>
      <c r="CB28" s="127">
        <v>0</v>
      </c>
      <c r="CC28" s="127">
        <v>0</v>
      </c>
      <c r="CD28" s="127">
        <v>0</v>
      </c>
      <c r="CE28" s="127">
        <v>0</v>
      </c>
      <c r="CF28" s="127">
        <v>0</v>
      </c>
      <c r="CG28" s="127">
        <v>0</v>
      </c>
      <c r="CH28" s="127">
        <v>0</v>
      </c>
      <c r="CI28" s="127">
        <v>0</v>
      </c>
      <c r="CJ28" s="127">
        <v>0</v>
      </c>
      <c r="CK28" s="127">
        <v>0</v>
      </c>
      <c r="CL28" s="127">
        <v>0</v>
      </c>
      <c r="CM28" s="127">
        <v>0</v>
      </c>
      <c r="CN28" s="127">
        <v>0</v>
      </c>
      <c r="CO28" s="127">
        <v>0</v>
      </c>
      <c r="CP28" s="127">
        <v>0</v>
      </c>
      <c r="CQ28" s="127">
        <v>0</v>
      </c>
      <c r="CR28" s="127">
        <v>0</v>
      </c>
      <c r="CS28" s="127">
        <v>0</v>
      </c>
      <c r="CT28" s="127">
        <v>0</v>
      </c>
      <c r="CU28" s="127">
        <v>0</v>
      </c>
      <c r="CV28" s="127">
        <v>0</v>
      </c>
      <c r="CW28" s="127">
        <v>0</v>
      </c>
      <c r="CX28" s="127">
        <v>0</v>
      </c>
    </row>
    <row r="29" spans="1:102" ht="15" customHeight="1" x14ac:dyDescent="0.2">
      <c r="A29" s="123">
        <v>2.7</v>
      </c>
      <c r="B29" s="126">
        <v>1</v>
      </c>
      <c r="C29" s="127">
        <v>1</v>
      </c>
      <c r="D29" s="127">
        <v>1</v>
      </c>
      <c r="E29" s="127">
        <v>1</v>
      </c>
      <c r="F29" s="127">
        <v>1</v>
      </c>
      <c r="G29" s="127">
        <v>0.95</v>
      </c>
      <c r="H29" s="127">
        <v>0.85</v>
      </c>
      <c r="I29" s="127">
        <v>0.8</v>
      </c>
      <c r="J29" s="127">
        <v>0.7</v>
      </c>
      <c r="K29" s="127">
        <v>0.6</v>
      </c>
      <c r="L29" s="127">
        <v>0.5</v>
      </c>
      <c r="M29" s="127">
        <v>0.4</v>
      </c>
      <c r="N29" s="127">
        <v>0.3</v>
      </c>
      <c r="O29" s="127">
        <v>0.2</v>
      </c>
      <c r="P29" s="127">
        <v>0.1</v>
      </c>
      <c r="Q29" s="127">
        <v>0</v>
      </c>
      <c r="R29" s="127">
        <v>0</v>
      </c>
      <c r="S29" s="127">
        <v>0</v>
      </c>
      <c r="T29" s="127">
        <v>0</v>
      </c>
      <c r="U29" s="127">
        <v>0</v>
      </c>
      <c r="V29" s="127">
        <v>0</v>
      </c>
      <c r="W29" s="127">
        <v>0</v>
      </c>
      <c r="X29" s="127">
        <v>0</v>
      </c>
      <c r="Y29" s="127">
        <v>0</v>
      </c>
      <c r="Z29" s="127">
        <v>0</v>
      </c>
      <c r="AA29" s="127">
        <v>0</v>
      </c>
      <c r="AB29" s="127">
        <v>0</v>
      </c>
      <c r="AC29" s="127">
        <v>0</v>
      </c>
      <c r="AD29" s="127">
        <v>0</v>
      </c>
      <c r="AE29" s="127">
        <v>0</v>
      </c>
      <c r="AF29" s="127">
        <v>0</v>
      </c>
      <c r="AG29" s="127">
        <v>0</v>
      </c>
      <c r="AH29" s="127">
        <v>0</v>
      </c>
      <c r="AI29" s="127">
        <v>0</v>
      </c>
      <c r="AJ29" s="127">
        <v>0</v>
      </c>
      <c r="AK29" s="127">
        <v>0</v>
      </c>
      <c r="AL29" s="127">
        <v>0</v>
      </c>
      <c r="AM29" s="127">
        <v>0</v>
      </c>
      <c r="AN29" s="127">
        <v>0</v>
      </c>
      <c r="AO29" s="127">
        <v>0</v>
      </c>
      <c r="AP29" s="127">
        <v>0</v>
      </c>
      <c r="AQ29" s="127">
        <v>0</v>
      </c>
      <c r="AR29" s="127">
        <v>0</v>
      </c>
      <c r="AS29" s="127">
        <v>0</v>
      </c>
      <c r="AT29" s="127">
        <v>0</v>
      </c>
      <c r="AU29" s="127">
        <v>0</v>
      </c>
      <c r="AV29" s="127">
        <v>0</v>
      </c>
      <c r="AW29" s="127">
        <v>0</v>
      </c>
      <c r="AX29" s="127">
        <v>0</v>
      </c>
      <c r="AY29" s="127">
        <v>0</v>
      </c>
      <c r="AZ29" s="127">
        <v>0</v>
      </c>
      <c r="BA29" s="127">
        <v>0</v>
      </c>
      <c r="BB29" s="127">
        <v>0</v>
      </c>
      <c r="BC29" s="127">
        <v>0</v>
      </c>
      <c r="BD29" s="127">
        <v>0</v>
      </c>
      <c r="BE29" s="127">
        <v>0</v>
      </c>
      <c r="BF29" s="127">
        <v>0</v>
      </c>
      <c r="BG29" s="127">
        <v>0</v>
      </c>
      <c r="BH29" s="127">
        <v>0</v>
      </c>
      <c r="BI29" s="127">
        <v>0</v>
      </c>
      <c r="BJ29" s="127">
        <v>0</v>
      </c>
      <c r="BK29" s="127">
        <v>0</v>
      </c>
      <c r="BL29" s="127">
        <v>0</v>
      </c>
      <c r="BM29" s="127">
        <v>0</v>
      </c>
      <c r="BN29" s="127">
        <v>0</v>
      </c>
      <c r="BO29" s="127">
        <v>0</v>
      </c>
      <c r="BP29" s="127">
        <v>0</v>
      </c>
      <c r="BQ29" s="127">
        <v>0</v>
      </c>
      <c r="BR29" s="127">
        <v>0</v>
      </c>
      <c r="BS29" s="127">
        <v>0</v>
      </c>
      <c r="BT29" s="127">
        <v>0</v>
      </c>
      <c r="BU29" s="127">
        <v>0</v>
      </c>
      <c r="BV29" s="127">
        <v>0</v>
      </c>
      <c r="BW29" s="127">
        <v>0</v>
      </c>
      <c r="BX29" s="127">
        <v>0</v>
      </c>
      <c r="BY29" s="127">
        <v>0</v>
      </c>
      <c r="BZ29" s="127">
        <v>0</v>
      </c>
      <c r="CA29" s="127">
        <v>0</v>
      </c>
      <c r="CB29" s="127">
        <v>0</v>
      </c>
      <c r="CC29" s="127">
        <v>0</v>
      </c>
      <c r="CD29" s="127">
        <v>0</v>
      </c>
      <c r="CE29" s="127">
        <v>0</v>
      </c>
      <c r="CF29" s="127">
        <v>0</v>
      </c>
      <c r="CG29" s="127">
        <v>0</v>
      </c>
      <c r="CH29" s="127">
        <v>0</v>
      </c>
      <c r="CI29" s="127">
        <v>0</v>
      </c>
      <c r="CJ29" s="127">
        <v>0</v>
      </c>
      <c r="CK29" s="127">
        <v>0</v>
      </c>
      <c r="CL29" s="127">
        <v>0</v>
      </c>
      <c r="CM29" s="127">
        <v>0</v>
      </c>
      <c r="CN29" s="127">
        <v>0</v>
      </c>
      <c r="CO29" s="127">
        <v>0</v>
      </c>
      <c r="CP29" s="127">
        <v>0</v>
      </c>
      <c r="CQ29" s="127">
        <v>0</v>
      </c>
      <c r="CR29" s="127">
        <v>0</v>
      </c>
      <c r="CS29" s="127">
        <v>0</v>
      </c>
      <c r="CT29" s="127">
        <v>0</v>
      </c>
      <c r="CU29" s="127">
        <v>0</v>
      </c>
      <c r="CV29" s="127">
        <v>0</v>
      </c>
      <c r="CW29" s="127">
        <v>0</v>
      </c>
      <c r="CX29" s="127">
        <v>0</v>
      </c>
    </row>
    <row r="30" spans="1:102" ht="15" customHeight="1" x14ac:dyDescent="0.2">
      <c r="A30" s="123">
        <v>2.8</v>
      </c>
      <c r="B30" s="126">
        <v>1</v>
      </c>
      <c r="C30" s="127">
        <v>1</v>
      </c>
      <c r="D30" s="127">
        <v>1</v>
      </c>
      <c r="E30" s="127">
        <v>1</v>
      </c>
      <c r="F30" s="127">
        <v>1</v>
      </c>
      <c r="G30" s="127">
        <v>0.95</v>
      </c>
      <c r="H30" s="127">
        <v>0.85</v>
      </c>
      <c r="I30" s="127">
        <v>0.8</v>
      </c>
      <c r="J30" s="127">
        <v>0.7</v>
      </c>
      <c r="K30" s="127">
        <v>0.6</v>
      </c>
      <c r="L30" s="127">
        <v>0.5</v>
      </c>
      <c r="M30" s="127">
        <v>0.4</v>
      </c>
      <c r="N30" s="127">
        <v>0.3</v>
      </c>
      <c r="O30" s="127">
        <v>0.2</v>
      </c>
      <c r="P30" s="127">
        <v>0.1</v>
      </c>
      <c r="Q30" s="127">
        <v>0</v>
      </c>
      <c r="R30" s="127">
        <v>0</v>
      </c>
      <c r="S30" s="127">
        <v>0</v>
      </c>
      <c r="T30" s="127">
        <v>0</v>
      </c>
      <c r="U30" s="127">
        <v>0</v>
      </c>
      <c r="V30" s="127">
        <v>0</v>
      </c>
      <c r="W30" s="127">
        <v>0</v>
      </c>
      <c r="X30" s="127">
        <v>0</v>
      </c>
      <c r="Y30" s="127">
        <v>0</v>
      </c>
      <c r="Z30" s="127">
        <v>0</v>
      </c>
      <c r="AA30" s="127">
        <v>0</v>
      </c>
      <c r="AB30" s="127">
        <v>0</v>
      </c>
      <c r="AC30" s="127">
        <v>0</v>
      </c>
      <c r="AD30" s="127">
        <v>0</v>
      </c>
      <c r="AE30" s="127">
        <v>0</v>
      </c>
      <c r="AF30" s="127">
        <v>0</v>
      </c>
      <c r="AG30" s="127">
        <v>0</v>
      </c>
      <c r="AH30" s="127">
        <v>0</v>
      </c>
      <c r="AI30" s="127">
        <v>0</v>
      </c>
      <c r="AJ30" s="127">
        <v>0</v>
      </c>
      <c r="AK30" s="127">
        <v>0</v>
      </c>
      <c r="AL30" s="127">
        <v>0</v>
      </c>
      <c r="AM30" s="127">
        <v>0</v>
      </c>
      <c r="AN30" s="127">
        <v>0</v>
      </c>
      <c r="AO30" s="127">
        <v>0</v>
      </c>
      <c r="AP30" s="127">
        <v>0</v>
      </c>
      <c r="AQ30" s="127">
        <v>0</v>
      </c>
      <c r="AR30" s="127">
        <v>0</v>
      </c>
      <c r="AS30" s="127">
        <v>0</v>
      </c>
      <c r="AT30" s="127">
        <v>0</v>
      </c>
      <c r="AU30" s="127">
        <v>0</v>
      </c>
      <c r="AV30" s="127">
        <v>0</v>
      </c>
      <c r="AW30" s="127">
        <v>0</v>
      </c>
      <c r="AX30" s="127">
        <v>0</v>
      </c>
      <c r="AY30" s="127">
        <v>0</v>
      </c>
      <c r="AZ30" s="127">
        <v>0</v>
      </c>
      <c r="BA30" s="127">
        <v>0</v>
      </c>
      <c r="BB30" s="127">
        <v>0</v>
      </c>
      <c r="BC30" s="127">
        <v>0</v>
      </c>
      <c r="BD30" s="127">
        <v>0</v>
      </c>
      <c r="BE30" s="127">
        <v>0</v>
      </c>
      <c r="BF30" s="127">
        <v>0</v>
      </c>
      <c r="BG30" s="127">
        <v>0</v>
      </c>
      <c r="BH30" s="127">
        <v>0</v>
      </c>
      <c r="BI30" s="127">
        <v>0</v>
      </c>
      <c r="BJ30" s="127">
        <v>0</v>
      </c>
      <c r="BK30" s="127">
        <v>0</v>
      </c>
      <c r="BL30" s="127">
        <v>0</v>
      </c>
      <c r="BM30" s="127">
        <v>0</v>
      </c>
      <c r="BN30" s="127">
        <v>0</v>
      </c>
      <c r="BO30" s="127">
        <v>0</v>
      </c>
      <c r="BP30" s="127">
        <v>0</v>
      </c>
      <c r="BQ30" s="127">
        <v>0</v>
      </c>
      <c r="BR30" s="127">
        <v>0</v>
      </c>
      <c r="BS30" s="127">
        <v>0</v>
      </c>
      <c r="BT30" s="127">
        <v>0</v>
      </c>
      <c r="BU30" s="127">
        <v>0</v>
      </c>
      <c r="BV30" s="127">
        <v>0</v>
      </c>
      <c r="BW30" s="127">
        <v>0</v>
      </c>
      <c r="BX30" s="127">
        <v>0</v>
      </c>
      <c r="BY30" s="127">
        <v>0</v>
      </c>
      <c r="BZ30" s="127">
        <v>0</v>
      </c>
      <c r="CA30" s="127">
        <v>0</v>
      </c>
      <c r="CB30" s="127">
        <v>0</v>
      </c>
      <c r="CC30" s="127">
        <v>0</v>
      </c>
      <c r="CD30" s="127">
        <v>0</v>
      </c>
      <c r="CE30" s="127">
        <v>0</v>
      </c>
      <c r="CF30" s="127">
        <v>0</v>
      </c>
      <c r="CG30" s="127">
        <v>0</v>
      </c>
      <c r="CH30" s="127">
        <v>0</v>
      </c>
      <c r="CI30" s="127">
        <v>0</v>
      </c>
      <c r="CJ30" s="127">
        <v>0</v>
      </c>
      <c r="CK30" s="127">
        <v>0</v>
      </c>
      <c r="CL30" s="127">
        <v>0</v>
      </c>
      <c r="CM30" s="127">
        <v>0</v>
      </c>
      <c r="CN30" s="127">
        <v>0</v>
      </c>
      <c r="CO30" s="127">
        <v>0</v>
      </c>
      <c r="CP30" s="127">
        <v>0</v>
      </c>
      <c r="CQ30" s="127">
        <v>0</v>
      </c>
      <c r="CR30" s="127">
        <v>0</v>
      </c>
      <c r="CS30" s="127">
        <v>0</v>
      </c>
      <c r="CT30" s="127">
        <v>0</v>
      </c>
      <c r="CU30" s="127">
        <v>0</v>
      </c>
      <c r="CV30" s="127">
        <v>0</v>
      </c>
      <c r="CW30" s="127">
        <v>0</v>
      </c>
      <c r="CX30" s="127">
        <v>0</v>
      </c>
    </row>
    <row r="31" spans="1:102" ht="15" customHeight="1" x14ac:dyDescent="0.2">
      <c r="A31" s="123">
        <v>2.9</v>
      </c>
      <c r="B31" s="126">
        <v>1</v>
      </c>
      <c r="C31" s="127">
        <v>1</v>
      </c>
      <c r="D31" s="127">
        <v>1</v>
      </c>
      <c r="E31" s="127">
        <v>1</v>
      </c>
      <c r="F31" s="127">
        <v>1</v>
      </c>
      <c r="G31" s="127">
        <v>0.95</v>
      </c>
      <c r="H31" s="127">
        <v>0.85</v>
      </c>
      <c r="I31" s="127">
        <v>0.8</v>
      </c>
      <c r="J31" s="127">
        <v>0.7</v>
      </c>
      <c r="K31" s="127">
        <v>0.6</v>
      </c>
      <c r="L31" s="127">
        <v>0.5</v>
      </c>
      <c r="M31" s="127">
        <v>0.4</v>
      </c>
      <c r="N31" s="127">
        <v>0.3</v>
      </c>
      <c r="O31" s="127">
        <v>0.2</v>
      </c>
      <c r="P31" s="127">
        <v>0.1</v>
      </c>
      <c r="Q31" s="127">
        <v>0</v>
      </c>
      <c r="R31" s="127">
        <v>0</v>
      </c>
      <c r="S31" s="127">
        <v>0</v>
      </c>
      <c r="T31" s="127">
        <v>0</v>
      </c>
      <c r="U31" s="127">
        <v>0</v>
      </c>
      <c r="V31" s="127">
        <v>0</v>
      </c>
      <c r="W31" s="127">
        <v>0</v>
      </c>
      <c r="X31" s="127">
        <v>0</v>
      </c>
      <c r="Y31" s="127">
        <v>0</v>
      </c>
      <c r="Z31" s="127">
        <v>0</v>
      </c>
      <c r="AA31" s="127">
        <v>0</v>
      </c>
      <c r="AB31" s="127">
        <v>0</v>
      </c>
      <c r="AC31" s="127">
        <v>0</v>
      </c>
      <c r="AD31" s="127">
        <v>0</v>
      </c>
      <c r="AE31" s="127">
        <v>0</v>
      </c>
      <c r="AF31" s="127">
        <v>0</v>
      </c>
      <c r="AG31" s="127">
        <v>0</v>
      </c>
      <c r="AH31" s="127">
        <v>0</v>
      </c>
      <c r="AI31" s="127">
        <v>0</v>
      </c>
      <c r="AJ31" s="127">
        <v>0</v>
      </c>
      <c r="AK31" s="127">
        <v>0</v>
      </c>
      <c r="AL31" s="127">
        <v>0</v>
      </c>
      <c r="AM31" s="127">
        <v>0</v>
      </c>
      <c r="AN31" s="127">
        <v>0</v>
      </c>
      <c r="AO31" s="127">
        <v>0</v>
      </c>
      <c r="AP31" s="127">
        <v>0</v>
      </c>
      <c r="AQ31" s="127">
        <v>0</v>
      </c>
      <c r="AR31" s="127">
        <v>0</v>
      </c>
      <c r="AS31" s="127">
        <v>0</v>
      </c>
      <c r="AT31" s="127">
        <v>0</v>
      </c>
      <c r="AU31" s="127">
        <v>0</v>
      </c>
      <c r="AV31" s="127">
        <v>0</v>
      </c>
      <c r="AW31" s="127">
        <v>0</v>
      </c>
      <c r="AX31" s="127">
        <v>0</v>
      </c>
      <c r="AY31" s="127">
        <v>0</v>
      </c>
      <c r="AZ31" s="127">
        <v>0</v>
      </c>
      <c r="BA31" s="127">
        <v>0</v>
      </c>
      <c r="BB31" s="127">
        <v>0</v>
      </c>
      <c r="BC31" s="127">
        <v>0</v>
      </c>
      <c r="BD31" s="127">
        <v>0</v>
      </c>
      <c r="BE31" s="127">
        <v>0</v>
      </c>
      <c r="BF31" s="127">
        <v>0</v>
      </c>
      <c r="BG31" s="127">
        <v>0</v>
      </c>
      <c r="BH31" s="127">
        <v>0</v>
      </c>
      <c r="BI31" s="127">
        <v>0</v>
      </c>
      <c r="BJ31" s="127">
        <v>0</v>
      </c>
      <c r="BK31" s="127">
        <v>0</v>
      </c>
      <c r="BL31" s="127">
        <v>0</v>
      </c>
      <c r="BM31" s="127">
        <v>0</v>
      </c>
      <c r="BN31" s="127">
        <v>0</v>
      </c>
      <c r="BO31" s="127">
        <v>0</v>
      </c>
      <c r="BP31" s="127">
        <v>0</v>
      </c>
      <c r="BQ31" s="127">
        <v>0</v>
      </c>
      <c r="BR31" s="127">
        <v>0</v>
      </c>
      <c r="BS31" s="127">
        <v>0</v>
      </c>
      <c r="BT31" s="127">
        <v>0</v>
      </c>
      <c r="BU31" s="127">
        <v>0</v>
      </c>
      <c r="BV31" s="127">
        <v>0</v>
      </c>
      <c r="BW31" s="127">
        <v>0</v>
      </c>
      <c r="BX31" s="127">
        <v>0</v>
      </c>
      <c r="BY31" s="127">
        <v>0</v>
      </c>
      <c r="BZ31" s="127">
        <v>0</v>
      </c>
      <c r="CA31" s="127">
        <v>0</v>
      </c>
      <c r="CB31" s="127">
        <v>0</v>
      </c>
      <c r="CC31" s="127">
        <v>0</v>
      </c>
      <c r="CD31" s="127">
        <v>0</v>
      </c>
      <c r="CE31" s="127">
        <v>0</v>
      </c>
      <c r="CF31" s="127">
        <v>0</v>
      </c>
      <c r="CG31" s="127">
        <v>0</v>
      </c>
      <c r="CH31" s="127">
        <v>0</v>
      </c>
      <c r="CI31" s="127">
        <v>0</v>
      </c>
      <c r="CJ31" s="127">
        <v>0</v>
      </c>
      <c r="CK31" s="127">
        <v>0</v>
      </c>
      <c r="CL31" s="127">
        <v>0</v>
      </c>
      <c r="CM31" s="127">
        <v>0</v>
      </c>
      <c r="CN31" s="127">
        <v>0</v>
      </c>
      <c r="CO31" s="127">
        <v>0</v>
      </c>
      <c r="CP31" s="127">
        <v>0</v>
      </c>
      <c r="CQ31" s="127">
        <v>0</v>
      </c>
      <c r="CR31" s="127">
        <v>0</v>
      </c>
      <c r="CS31" s="127">
        <v>0</v>
      </c>
      <c r="CT31" s="127">
        <v>0</v>
      </c>
      <c r="CU31" s="127">
        <v>0</v>
      </c>
      <c r="CV31" s="127">
        <v>0</v>
      </c>
      <c r="CW31" s="127">
        <v>0</v>
      </c>
      <c r="CX31" s="127">
        <v>0</v>
      </c>
    </row>
    <row r="32" spans="1:102" ht="15" customHeight="1" x14ac:dyDescent="0.2">
      <c r="A32" s="123">
        <v>3</v>
      </c>
      <c r="B32" s="126">
        <v>1</v>
      </c>
      <c r="C32" s="127">
        <v>1</v>
      </c>
      <c r="D32" s="127">
        <v>1</v>
      </c>
      <c r="E32" s="127">
        <v>1</v>
      </c>
      <c r="F32" s="127">
        <v>1</v>
      </c>
      <c r="G32" s="127">
        <v>0.95</v>
      </c>
      <c r="H32" s="127">
        <v>0.85</v>
      </c>
      <c r="I32" s="127">
        <v>0.8</v>
      </c>
      <c r="J32" s="127">
        <v>0.7</v>
      </c>
      <c r="K32" s="127">
        <v>0.6</v>
      </c>
      <c r="L32" s="127">
        <v>0.5</v>
      </c>
      <c r="M32" s="127">
        <v>0.4</v>
      </c>
      <c r="N32" s="127">
        <v>0.3</v>
      </c>
      <c r="O32" s="127">
        <v>0.2</v>
      </c>
      <c r="P32" s="127">
        <v>0.1</v>
      </c>
      <c r="Q32" s="127">
        <v>0</v>
      </c>
      <c r="R32" s="127">
        <v>0</v>
      </c>
      <c r="S32" s="127">
        <v>0</v>
      </c>
      <c r="T32" s="127">
        <v>0</v>
      </c>
      <c r="U32" s="127">
        <v>0</v>
      </c>
      <c r="V32" s="127">
        <v>0</v>
      </c>
      <c r="W32" s="127">
        <v>0</v>
      </c>
      <c r="X32" s="127">
        <v>0</v>
      </c>
      <c r="Y32" s="127">
        <v>0</v>
      </c>
      <c r="Z32" s="127">
        <v>0</v>
      </c>
      <c r="AA32" s="127">
        <v>0</v>
      </c>
      <c r="AB32" s="127">
        <v>0</v>
      </c>
      <c r="AC32" s="127">
        <v>0</v>
      </c>
      <c r="AD32" s="127">
        <v>0</v>
      </c>
      <c r="AE32" s="127">
        <v>0</v>
      </c>
      <c r="AF32" s="127">
        <v>0</v>
      </c>
      <c r="AG32" s="127">
        <v>0</v>
      </c>
      <c r="AH32" s="127">
        <v>0</v>
      </c>
      <c r="AI32" s="127">
        <v>0</v>
      </c>
      <c r="AJ32" s="127">
        <v>0</v>
      </c>
      <c r="AK32" s="127">
        <v>0</v>
      </c>
      <c r="AL32" s="127">
        <v>0</v>
      </c>
      <c r="AM32" s="127">
        <v>0</v>
      </c>
      <c r="AN32" s="127">
        <v>0</v>
      </c>
      <c r="AO32" s="127">
        <v>0</v>
      </c>
      <c r="AP32" s="127">
        <v>0</v>
      </c>
      <c r="AQ32" s="127">
        <v>0</v>
      </c>
      <c r="AR32" s="127">
        <v>0</v>
      </c>
      <c r="AS32" s="127">
        <v>0</v>
      </c>
      <c r="AT32" s="127">
        <v>0</v>
      </c>
      <c r="AU32" s="127">
        <v>0</v>
      </c>
      <c r="AV32" s="127">
        <v>0</v>
      </c>
      <c r="AW32" s="127">
        <v>0</v>
      </c>
      <c r="AX32" s="127">
        <v>0</v>
      </c>
      <c r="AY32" s="127">
        <v>0</v>
      </c>
      <c r="AZ32" s="127">
        <v>0</v>
      </c>
      <c r="BA32" s="127">
        <v>0</v>
      </c>
      <c r="BB32" s="127">
        <v>0</v>
      </c>
      <c r="BC32" s="127">
        <v>0</v>
      </c>
      <c r="BD32" s="127">
        <v>0</v>
      </c>
      <c r="BE32" s="127">
        <v>0</v>
      </c>
      <c r="BF32" s="127">
        <v>0</v>
      </c>
      <c r="BG32" s="127">
        <v>0</v>
      </c>
      <c r="BH32" s="127">
        <v>0</v>
      </c>
      <c r="BI32" s="127">
        <v>0</v>
      </c>
      <c r="BJ32" s="127">
        <v>0</v>
      </c>
      <c r="BK32" s="127">
        <v>0</v>
      </c>
      <c r="BL32" s="127">
        <v>0</v>
      </c>
      <c r="BM32" s="127">
        <v>0</v>
      </c>
      <c r="BN32" s="127">
        <v>0</v>
      </c>
      <c r="BO32" s="127">
        <v>0</v>
      </c>
      <c r="BP32" s="127">
        <v>0</v>
      </c>
      <c r="BQ32" s="127">
        <v>0</v>
      </c>
      <c r="BR32" s="127">
        <v>0</v>
      </c>
      <c r="BS32" s="127">
        <v>0</v>
      </c>
      <c r="BT32" s="127">
        <v>0</v>
      </c>
      <c r="BU32" s="127">
        <v>0</v>
      </c>
      <c r="BV32" s="127">
        <v>0</v>
      </c>
      <c r="BW32" s="127">
        <v>0</v>
      </c>
      <c r="BX32" s="127">
        <v>0</v>
      </c>
      <c r="BY32" s="127">
        <v>0</v>
      </c>
      <c r="BZ32" s="127">
        <v>0</v>
      </c>
      <c r="CA32" s="127">
        <v>0</v>
      </c>
      <c r="CB32" s="127">
        <v>0</v>
      </c>
      <c r="CC32" s="127">
        <v>0</v>
      </c>
      <c r="CD32" s="127">
        <v>0</v>
      </c>
      <c r="CE32" s="127">
        <v>0</v>
      </c>
      <c r="CF32" s="127">
        <v>0</v>
      </c>
      <c r="CG32" s="127">
        <v>0</v>
      </c>
      <c r="CH32" s="127">
        <v>0</v>
      </c>
      <c r="CI32" s="127">
        <v>0</v>
      </c>
      <c r="CJ32" s="127">
        <v>0</v>
      </c>
      <c r="CK32" s="127">
        <v>0</v>
      </c>
      <c r="CL32" s="127">
        <v>0</v>
      </c>
      <c r="CM32" s="127">
        <v>0</v>
      </c>
      <c r="CN32" s="127">
        <v>0</v>
      </c>
      <c r="CO32" s="127">
        <v>0</v>
      </c>
      <c r="CP32" s="127">
        <v>0</v>
      </c>
      <c r="CQ32" s="127">
        <v>0</v>
      </c>
      <c r="CR32" s="127">
        <v>0</v>
      </c>
      <c r="CS32" s="127">
        <v>0</v>
      </c>
      <c r="CT32" s="127">
        <v>0</v>
      </c>
      <c r="CU32" s="127">
        <v>0</v>
      </c>
      <c r="CV32" s="127">
        <v>0</v>
      </c>
      <c r="CW32" s="127">
        <v>0</v>
      </c>
      <c r="CX32" s="127">
        <v>0</v>
      </c>
    </row>
    <row r="33" spans="1:102" ht="15" customHeight="1" x14ac:dyDescent="0.2">
      <c r="A33" s="123">
        <v>3.1</v>
      </c>
      <c r="B33" s="126">
        <v>1</v>
      </c>
      <c r="C33" s="127">
        <v>1</v>
      </c>
      <c r="D33" s="127">
        <v>1</v>
      </c>
      <c r="E33" s="127">
        <v>1</v>
      </c>
      <c r="F33" s="127">
        <v>1</v>
      </c>
      <c r="G33" s="127">
        <v>0.95</v>
      </c>
      <c r="H33" s="127">
        <v>0.85</v>
      </c>
      <c r="I33" s="127">
        <v>0.8</v>
      </c>
      <c r="J33" s="127">
        <v>0.7</v>
      </c>
      <c r="K33" s="127">
        <v>0.6</v>
      </c>
      <c r="L33" s="127">
        <v>0.5</v>
      </c>
      <c r="M33" s="127">
        <v>0.4</v>
      </c>
      <c r="N33" s="127">
        <v>0.3</v>
      </c>
      <c r="O33" s="127">
        <v>0.2</v>
      </c>
      <c r="P33" s="127">
        <v>0.1</v>
      </c>
      <c r="Q33" s="127">
        <v>0</v>
      </c>
      <c r="R33" s="127">
        <v>0</v>
      </c>
      <c r="S33" s="127">
        <v>0</v>
      </c>
      <c r="T33" s="127">
        <v>0</v>
      </c>
      <c r="U33" s="127">
        <v>0</v>
      </c>
      <c r="V33" s="127">
        <v>0</v>
      </c>
      <c r="W33" s="127">
        <v>0</v>
      </c>
      <c r="X33" s="127">
        <v>0</v>
      </c>
      <c r="Y33" s="127">
        <v>0</v>
      </c>
      <c r="Z33" s="127">
        <v>0</v>
      </c>
      <c r="AA33" s="127">
        <v>0</v>
      </c>
      <c r="AB33" s="127">
        <v>0</v>
      </c>
      <c r="AC33" s="127">
        <v>0</v>
      </c>
      <c r="AD33" s="127">
        <v>0</v>
      </c>
      <c r="AE33" s="127">
        <v>0</v>
      </c>
      <c r="AF33" s="127">
        <v>0</v>
      </c>
      <c r="AG33" s="127">
        <v>0</v>
      </c>
      <c r="AH33" s="127">
        <v>0</v>
      </c>
      <c r="AI33" s="127">
        <v>0</v>
      </c>
      <c r="AJ33" s="127">
        <v>0</v>
      </c>
      <c r="AK33" s="127">
        <v>0</v>
      </c>
      <c r="AL33" s="127">
        <v>0</v>
      </c>
      <c r="AM33" s="127">
        <v>0</v>
      </c>
      <c r="AN33" s="127">
        <v>0</v>
      </c>
      <c r="AO33" s="127">
        <v>0</v>
      </c>
      <c r="AP33" s="127">
        <v>0</v>
      </c>
      <c r="AQ33" s="127">
        <v>0</v>
      </c>
      <c r="AR33" s="127">
        <v>0</v>
      </c>
      <c r="AS33" s="127">
        <v>0</v>
      </c>
      <c r="AT33" s="127">
        <v>0</v>
      </c>
      <c r="AU33" s="127">
        <v>0</v>
      </c>
      <c r="AV33" s="127">
        <v>0</v>
      </c>
      <c r="AW33" s="127">
        <v>0</v>
      </c>
      <c r="AX33" s="127">
        <v>0</v>
      </c>
      <c r="AY33" s="127">
        <v>0</v>
      </c>
      <c r="AZ33" s="127">
        <v>0</v>
      </c>
      <c r="BA33" s="127">
        <v>0</v>
      </c>
      <c r="BB33" s="127">
        <v>0</v>
      </c>
      <c r="BC33" s="127">
        <v>0</v>
      </c>
      <c r="BD33" s="127">
        <v>0</v>
      </c>
      <c r="BE33" s="127">
        <v>0</v>
      </c>
      <c r="BF33" s="127">
        <v>0</v>
      </c>
      <c r="BG33" s="127">
        <v>0</v>
      </c>
      <c r="BH33" s="127">
        <v>0</v>
      </c>
      <c r="BI33" s="127">
        <v>0</v>
      </c>
      <c r="BJ33" s="127">
        <v>0</v>
      </c>
      <c r="BK33" s="127">
        <v>0</v>
      </c>
      <c r="BL33" s="127">
        <v>0</v>
      </c>
      <c r="BM33" s="127">
        <v>0</v>
      </c>
      <c r="BN33" s="127">
        <v>0</v>
      </c>
      <c r="BO33" s="127">
        <v>0</v>
      </c>
      <c r="BP33" s="127">
        <v>0</v>
      </c>
      <c r="BQ33" s="127">
        <v>0</v>
      </c>
      <c r="BR33" s="127">
        <v>0</v>
      </c>
      <c r="BS33" s="127">
        <v>0</v>
      </c>
      <c r="BT33" s="127">
        <v>0</v>
      </c>
      <c r="BU33" s="127">
        <v>0</v>
      </c>
      <c r="BV33" s="127">
        <v>0</v>
      </c>
      <c r="BW33" s="127">
        <v>0</v>
      </c>
      <c r="BX33" s="127">
        <v>0</v>
      </c>
      <c r="BY33" s="127">
        <v>0</v>
      </c>
      <c r="BZ33" s="127">
        <v>0</v>
      </c>
      <c r="CA33" s="127">
        <v>0</v>
      </c>
      <c r="CB33" s="127">
        <v>0</v>
      </c>
      <c r="CC33" s="127">
        <v>0</v>
      </c>
      <c r="CD33" s="127">
        <v>0</v>
      </c>
      <c r="CE33" s="127">
        <v>0</v>
      </c>
      <c r="CF33" s="127">
        <v>0</v>
      </c>
      <c r="CG33" s="127">
        <v>0</v>
      </c>
      <c r="CH33" s="127">
        <v>0</v>
      </c>
      <c r="CI33" s="127">
        <v>0</v>
      </c>
      <c r="CJ33" s="127">
        <v>0</v>
      </c>
      <c r="CK33" s="127">
        <v>0</v>
      </c>
      <c r="CL33" s="127">
        <v>0</v>
      </c>
      <c r="CM33" s="127">
        <v>0</v>
      </c>
      <c r="CN33" s="127">
        <v>0</v>
      </c>
      <c r="CO33" s="127">
        <v>0</v>
      </c>
      <c r="CP33" s="127">
        <v>0</v>
      </c>
      <c r="CQ33" s="127">
        <v>0</v>
      </c>
      <c r="CR33" s="127">
        <v>0</v>
      </c>
      <c r="CS33" s="127">
        <v>0</v>
      </c>
      <c r="CT33" s="127">
        <v>0</v>
      </c>
      <c r="CU33" s="127">
        <v>0</v>
      </c>
      <c r="CV33" s="127">
        <v>0</v>
      </c>
      <c r="CW33" s="127">
        <v>0</v>
      </c>
      <c r="CX33" s="127">
        <v>0</v>
      </c>
    </row>
    <row r="34" spans="1:102" ht="15" customHeight="1" x14ac:dyDescent="0.2">
      <c r="A34" s="123">
        <v>3.2</v>
      </c>
      <c r="B34" s="126">
        <v>1</v>
      </c>
      <c r="C34" s="127">
        <v>1</v>
      </c>
      <c r="D34" s="127">
        <v>1</v>
      </c>
      <c r="E34" s="127">
        <v>1</v>
      </c>
      <c r="F34" s="127">
        <v>1</v>
      </c>
      <c r="G34" s="127">
        <v>0.95</v>
      </c>
      <c r="H34" s="127">
        <v>0.85</v>
      </c>
      <c r="I34" s="127">
        <v>0.8</v>
      </c>
      <c r="J34" s="127">
        <v>0.7</v>
      </c>
      <c r="K34" s="127">
        <v>0.6</v>
      </c>
      <c r="L34" s="127">
        <v>0.5</v>
      </c>
      <c r="M34" s="127">
        <v>0.4</v>
      </c>
      <c r="N34" s="127">
        <v>0.3</v>
      </c>
      <c r="O34" s="127">
        <v>0.2</v>
      </c>
      <c r="P34" s="127">
        <v>0.1</v>
      </c>
      <c r="Q34" s="127">
        <v>0</v>
      </c>
      <c r="R34" s="127">
        <v>0</v>
      </c>
      <c r="S34" s="127">
        <v>0</v>
      </c>
      <c r="T34" s="127">
        <v>0</v>
      </c>
      <c r="U34" s="127">
        <v>0</v>
      </c>
      <c r="V34" s="127">
        <v>0</v>
      </c>
      <c r="W34" s="127">
        <v>0</v>
      </c>
      <c r="X34" s="127">
        <v>0</v>
      </c>
      <c r="Y34" s="127">
        <v>0</v>
      </c>
      <c r="Z34" s="127">
        <v>0</v>
      </c>
      <c r="AA34" s="127">
        <v>0</v>
      </c>
      <c r="AB34" s="127">
        <v>0</v>
      </c>
      <c r="AC34" s="127">
        <v>0</v>
      </c>
      <c r="AD34" s="127">
        <v>0</v>
      </c>
      <c r="AE34" s="127">
        <v>0</v>
      </c>
      <c r="AF34" s="127">
        <v>0</v>
      </c>
      <c r="AG34" s="127">
        <v>0</v>
      </c>
      <c r="AH34" s="127">
        <v>0</v>
      </c>
      <c r="AI34" s="127">
        <v>0</v>
      </c>
      <c r="AJ34" s="127">
        <v>0</v>
      </c>
      <c r="AK34" s="127">
        <v>0</v>
      </c>
      <c r="AL34" s="127">
        <v>0</v>
      </c>
      <c r="AM34" s="127">
        <v>0</v>
      </c>
      <c r="AN34" s="127">
        <v>0</v>
      </c>
      <c r="AO34" s="127">
        <v>0</v>
      </c>
      <c r="AP34" s="127">
        <v>0</v>
      </c>
      <c r="AQ34" s="127">
        <v>0</v>
      </c>
      <c r="AR34" s="127">
        <v>0</v>
      </c>
      <c r="AS34" s="127">
        <v>0</v>
      </c>
      <c r="AT34" s="127">
        <v>0</v>
      </c>
      <c r="AU34" s="127">
        <v>0</v>
      </c>
      <c r="AV34" s="127">
        <v>0</v>
      </c>
      <c r="AW34" s="127">
        <v>0</v>
      </c>
      <c r="AX34" s="127">
        <v>0</v>
      </c>
      <c r="AY34" s="127">
        <v>0</v>
      </c>
      <c r="AZ34" s="127">
        <v>0</v>
      </c>
      <c r="BA34" s="127">
        <v>0</v>
      </c>
      <c r="BB34" s="127">
        <v>0</v>
      </c>
      <c r="BC34" s="127">
        <v>0</v>
      </c>
      <c r="BD34" s="127">
        <v>0</v>
      </c>
      <c r="BE34" s="127">
        <v>0</v>
      </c>
      <c r="BF34" s="127">
        <v>0</v>
      </c>
      <c r="BG34" s="127">
        <v>0</v>
      </c>
      <c r="BH34" s="127">
        <v>0</v>
      </c>
      <c r="BI34" s="127">
        <v>0</v>
      </c>
      <c r="BJ34" s="127">
        <v>0</v>
      </c>
      <c r="BK34" s="127">
        <v>0</v>
      </c>
      <c r="BL34" s="127">
        <v>0</v>
      </c>
      <c r="BM34" s="127">
        <v>0</v>
      </c>
      <c r="BN34" s="127">
        <v>0</v>
      </c>
      <c r="BO34" s="127">
        <v>0</v>
      </c>
      <c r="BP34" s="127">
        <v>0</v>
      </c>
      <c r="BQ34" s="127">
        <v>0</v>
      </c>
      <c r="BR34" s="127">
        <v>0</v>
      </c>
      <c r="BS34" s="127">
        <v>0</v>
      </c>
      <c r="BT34" s="127">
        <v>0</v>
      </c>
      <c r="BU34" s="127">
        <v>0</v>
      </c>
      <c r="BV34" s="127">
        <v>0</v>
      </c>
      <c r="BW34" s="127">
        <v>0</v>
      </c>
      <c r="BX34" s="127">
        <v>0</v>
      </c>
      <c r="BY34" s="127">
        <v>0</v>
      </c>
      <c r="BZ34" s="127">
        <v>0</v>
      </c>
      <c r="CA34" s="127">
        <v>0</v>
      </c>
      <c r="CB34" s="127">
        <v>0</v>
      </c>
      <c r="CC34" s="127">
        <v>0</v>
      </c>
      <c r="CD34" s="127">
        <v>0</v>
      </c>
      <c r="CE34" s="127">
        <v>0</v>
      </c>
      <c r="CF34" s="127">
        <v>0</v>
      </c>
      <c r="CG34" s="127">
        <v>0</v>
      </c>
      <c r="CH34" s="127">
        <v>0</v>
      </c>
      <c r="CI34" s="127">
        <v>0</v>
      </c>
      <c r="CJ34" s="127">
        <v>0</v>
      </c>
      <c r="CK34" s="127">
        <v>0</v>
      </c>
      <c r="CL34" s="127">
        <v>0</v>
      </c>
      <c r="CM34" s="127">
        <v>0</v>
      </c>
      <c r="CN34" s="127">
        <v>0</v>
      </c>
      <c r="CO34" s="127">
        <v>0</v>
      </c>
      <c r="CP34" s="127">
        <v>0</v>
      </c>
      <c r="CQ34" s="127">
        <v>0</v>
      </c>
      <c r="CR34" s="127">
        <v>0</v>
      </c>
      <c r="CS34" s="127">
        <v>0</v>
      </c>
      <c r="CT34" s="127">
        <v>0</v>
      </c>
      <c r="CU34" s="127">
        <v>0</v>
      </c>
      <c r="CV34" s="127">
        <v>0</v>
      </c>
      <c r="CW34" s="127">
        <v>0</v>
      </c>
      <c r="CX34" s="127">
        <v>0</v>
      </c>
    </row>
    <row r="35" spans="1:102" ht="15" customHeight="1" x14ac:dyDescent="0.2">
      <c r="A35" s="123">
        <v>3.3</v>
      </c>
      <c r="B35" s="126">
        <v>1</v>
      </c>
      <c r="C35" s="127">
        <v>1</v>
      </c>
      <c r="D35" s="127">
        <v>1</v>
      </c>
      <c r="E35" s="127">
        <v>1</v>
      </c>
      <c r="F35" s="127">
        <v>1</v>
      </c>
      <c r="G35" s="127">
        <v>0.95</v>
      </c>
      <c r="H35" s="127">
        <v>0.85</v>
      </c>
      <c r="I35" s="127">
        <v>0.8</v>
      </c>
      <c r="J35" s="127">
        <v>0.7</v>
      </c>
      <c r="K35" s="127">
        <v>0.6</v>
      </c>
      <c r="L35" s="127">
        <v>0.5</v>
      </c>
      <c r="M35" s="127">
        <v>0.4</v>
      </c>
      <c r="N35" s="127">
        <v>0.3</v>
      </c>
      <c r="O35" s="127">
        <v>0.2</v>
      </c>
      <c r="P35" s="127">
        <v>0.1</v>
      </c>
      <c r="Q35" s="127">
        <v>0</v>
      </c>
      <c r="R35" s="127">
        <v>0</v>
      </c>
      <c r="S35" s="127">
        <v>0</v>
      </c>
      <c r="T35" s="127">
        <v>0</v>
      </c>
      <c r="U35" s="127">
        <v>0</v>
      </c>
      <c r="V35" s="127">
        <v>0</v>
      </c>
      <c r="W35" s="127">
        <v>0</v>
      </c>
      <c r="X35" s="127">
        <v>0</v>
      </c>
      <c r="Y35" s="127">
        <v>0</v>
      </c>
      <c r="Z35" s="127">
        <v>0</v>
      </c>
      <c r="AA35" s="127">
        <v>0</v>
      </c>
      <c r="AB35" s="127">
        <v>0</v>
      </c>
      <c r="AC35" s="127">
        <v>0</v>
      </c>
      <c r="AD35" s="127">
        <v>0</v>
      </c>
      <c r="AE35" s="127">
        <v>0</v>
      </c>
      <c r="AF35" s="127">
        <v>0</v>
      </c>
      <c r="AG35" s="127">
        <v>0</v>
      </c>
      <c r="AH35" s="127">
        <v>0</v>
      </c>
      <c r="AI35" s="127">
        <v>0</v>
      </c>
      <c r="AJ35" s="127">
        <v>0</v>
      </c>
      <c r="AK35" s="127">
        <v>0</v>
      </c>
      <c r="AL35" s="127">
        <v>0</v>
      </c>
      <c r="AM35" s="127">
        <v>0</v>
      </c>
      <c r="AN35" s="127">
        <v>0</v>
      </c>
      <c r="AO35" s="127">
        <v>0</v>
      </c>
      <c r="AP35" s="127">
        <v>0</v>
      </c>
      <c r="AQ35" s="127">
        <v>0</v>
      </c>
      <c r="AR35" s="127">
        <v>0</v>
      </c>
      <c r="AS35" s="127">
        <v>0</v>
      </c>
      <c r="AT35" s="127">
        <v>0</v>
      </c>
      <c r="AU35" s="127">
        <v>0</v>
      </c>
      <c r="AV35" s="127">
        <v>0</v>
      </c>
      <c r="AW35" s="127">
        <v>0</v>
      </c>
      <c r="AX35" s="127">
        <v>0</v>
      </c>
      <c r="AY35" s="127">
        <v>0</v>
      </c>
      <c r="AZ35" s="127">
        <v>0</v>
      </c>
      <c r="BA35" s="127">
        <v>0</v>
      </c>
      <c r="BB35" s="127">
        <v>0</v>
      </c>
      <c r="BC35" s="127">
        <v>0</v>
      </c>
      <c r="BD35" s="127">
        <v>0</v>
      </c>
      <c r="BE35" s="127">
        <v>0</v>
      </c>
      <c r="BF35" s="127">
        <v>0</v>
      </c>
      <c r="BG35" s="127">
        <v>0</v>
      </c>
      <c r="BH35" s="127">
        <v>0</v>
      </c>
      <c r="BI35" s="127">
        <v>0</v>
      </c>
      <c r="BJ35" s="127">
        <v>0</v>
      </c>
      <c r="BK35" s="127">
        <v>0</v>
      </c>
      <c r="BL35" s="127">
        <v>0</v>
      </c>
      <c r="BM35" s="127">
        <v>0</v>
      </c>
      <c r="BN35" s="127">
        <v>0</v>
      </c>
      <c r="BO35" s="127">
        <v>0</v>
      </c>
      <c r="BP35" s="127">
        <v>0</v>
      </c>
      <c r="BQ35" s="127">
        <v>0</v>
      </c>
      <c r="BR35" s="127">
        <v>0</v>
      </c>
      <c r="BS35" s="127">
        <v>0</v>
      </c>
      <c r="BT35" s="127">
        <v>0</v>
      </c>
      <c r="BU35" s="127">
        <v>0</v>
      </c>
      <c r="BV35" s="127">
        <v>0</v>
      </c>
      <c r="BW35" s="127">
        <v>0</v>
      </c>
      <c r="BX35" s="127">
        <v>0</v>
      </c>
      <c r="BY35" s="127">
        <v>0</v>
      </c>
      <c r="BZ35" s="127">
        <v>0</v>
      </c>
      <c r="CA35" s="127">
        <v>0</v>
      </c>
      <c r="CB35" s="127">
        <v>0</v>
      </c>
      <c r="CC35" s="127">
        <v>0</v>
      </c>
      <c r="CD35" s="127">
        <v>0</v>
      </c>
      <c r="CE35" s="127">
        <v>0</v>
      </c>
      <c r="CF35" s="127">
        <v>0</v>
      </c>
      <c r="CG35" s="127">
        <v>0</v>
      </c>
      <c r="CH35" s="127">
        <v>0</v>
      </c>
      <c r="CI35" s="127">
        <v>0</v>
      </c>
      <c r="CJ35" s="127">
        <v>0</v>
      </c>
      <c r="CK35" s="127">
        <v>0</v>
      </c>
      <c r="CL35" s="127">
        <v>0</v>
      </c>
      <c r="CM35" s="127">
        <v>0</v>
      </c>
      <c r="CN35" s="127">
        <v>0</v>
      </c>
      <c r="CO35" s="127">
        <v>0</v>
      </c>
      <c r="CP35" s="127">
        <v>0</v>
      </c>
      <c r="CQ35" s="127">
        <v>0</v>
      </c>
      <c r="CR35" s="127">
        <v>0</v>
      </c>
      <c r="CS35" s="127">
        <v>0</v>
      </c>
      <c r="CT35" s="127">
        <v>0</v>
      </c>
      <c r="CU35" s="127">
        <v>0</v>
      </c>
      <c r="CV35" s="127">
        <v>0</v>
      </c>
      <c r="CW35" s="127">
        <v>0</v>
      </c>
      <c r="CX35" s="127">
        <v>0</v>
      </c>
    </row>
    <row r="36" spans="1:102" ht="15" customHeight="1" x14ac:dyDescent="0.2">
      <c r="A36" s="123">
        <v>3.4</v>
      </c>
      <c r="B36" s="126">
        <v>1</v>
      </c>
      <c r="C36" s="127">
        <v>1</v>
      </c>
      <c r="D36" s="127">
        <v>1</v>
      </c>
      <c r="E36" s="127">
        <v>1</v>
      </c>
      <c r="F36" s="127">
        <v>1</v>
      </c>
      <c r="G36" s="127">
        <v>0.95</v>
      </c>
      <c r="H36" s="127">
        <v>0.85</v>
      </c>
      <c r="I36" s="127">
        <v>0.8</v>
      </c>
      <c r="J36" s="127">
        <v>0.7</v>
      </c>
      <c r="K36" s="127">
        <v>0.6</v>
      </c>
      <c r="L36" s="127">
        <v>0.5</v>
      </c>
      <c r="M36" s="127">
        <v>0.4</v>
      </c>
      <c r="N36" s="127">
        <v>0.3</v>
      </c>
      <c r="O36" s="127">
        <v>0.2</v>
      </c>
      <c r="P36" s="127">
        <v>0.1</v>
      </c>
      <c r="Q36" s="127">
        <v>0</v>
      </c>
      <c r="R36" s="127">
        <v>0</v>
      </c>
      <c r="S36" s="127">
        <v>0</v>
      </c>
      <c r="T36" s="127">
        <v>0</v>
      </c>
      <c r="U36" s="127">
        <v>0</v>
      </c>
      <c r="V36" s="127">
        <v>0</v>
      </c>
      <c r="W36" s="127">
        <v>0</v>
      </c>
      <c r="X36" s="127">
        <v>0</v>
      </c>
      <c r="Y36" s="127">
        <v>0</v>
      </c>
      <c r="Z36" s="127">
        <v>0</v>
      </c>
      <c r="AA36" s="127">
        <v>0</v>
      </c>
      <c r="AB36" s="127">
        <v>0</v>
      </c>
      <c r="AC36" s="127">
        <v>0</v>
      </c>
      <c r="AD36" s="127">
        <v>0</v>
      </c>
      <c r="AE36" s="127">
        <v>0</v>
      </c>
      <c r="AF36" s="127">
        <v>0</v>
      </c>
      <c r="AG36" s="127">
        <v>0</v>
      </c>
      <c r="AH36" s="127">
        <v>0</v>
      </c>
      <c r="AI36" s="127">
        <v>0</v>
      </c>
      <c r="AJ36" s="127">
        <v>0</v>
      </c>
      <c r="AK36" s="127">
        <v>0</v>
      </c>
      <c r="AL36" s="127">
        <v>0</v>
      </c>
      <c r="AM36" s="127">
        <v>0</v>
      </c>
      <c r="AN36" s="127">
        <v>0</v>
      </c>
      <c r="AO36" s="127">
        <v>0</v>
      </c>
      <c r="AP36" s="127">
        <v>0</v>
      </c>
      <c r="AQ36" s="127">
        <v>0</v>
      </c>
      <c r="AR36" s="127">
        <v>0</v>
      </c>
      <c r="AS36" s="127">
        <v>0</v>
      </c>
      <c r="AT36" s="127">
        <v>0</v>
      </c>
      <c r="AU36" s="127">
        <v>0</v>
      </c>
      <c r="AV36" s="127">
        <v>0</v>
      </c>
      <c r="AW36" s="127">
        <v>0</v>
      </c>
      <c r="AX36" s="127">
        <v>0</v>
      </c>
      <c r="AY36" s="127">
        <v>0</v>
      </c>
      <c r="AZ36" s="127">
        <v>0</v>
      </c>
      <c r="BA36" s="127">
        <v>0</v>
      </c>
      <c r="BB36" s="127">
        <v>0</v>
      </c>
      <c r="BC36" s="127">
        <v>0</v>
      </c>
      <c r="BD36" s="127">
        <v>0</v>
      </c>
      <c r="BE36" s="127">
        <v>0</v>
      </c>
      <c r="BF36" s="127">
        <v>0</v>
      </c>
      <c r="BG36" s="127">
        <v>0</v>
      </c>
      <c r="BH36" s="127">
        <v>0</v>
      </c>
      <c r="BI36" s="127">
        <v>0</v>
      </c>
      <c r="BJ36" s="127">
        <v>0</v>
      </c>
      <c r="BK36" s="127">
        <v>0</v>
      </c>
      <c r="BL36" s="127">
        <v>0</v>
      </c>
      <c r="BM36" s="127">
        <v>0</v>
      </c>
      <c r="BN36" s="127">
        <v>0</v>
      </c>
      <c r="BO36" s="127">
        <v>0</v>
      </c>
      <c r="BP36" s="127">
        <v>0</v>
      </c>
      <c r="BQ36" s="127">
        <v>0</v>
      </c>
      <c r="BR36" s="127">
        <v>0</v>
      </c>
      <c r="BS36" s="127">
        <v>0</v>
      </c>
      <c r="BT36" s="127">
        <v>0</v>
      </c>
      <c r="BU36" s="127">
        <v>0</v>
      </c>
      <c r="BV36" s="127">
        <v>0</v>
      </c>
      <c r="BW36" s="127">
        <v>0</v>
      </c>
      <c r="BX36" s="127">
        <v>0</v>
      </c>
      <c r="BY36" s="127">
        <v>0</v>
      </c>
      <c r="BZ36" s="127">
        <v>0</v>
      </c>
      <c r="CA36" s="127">
        <v>0</v>
      </c>
      <c r="CB36" s="127">
        <v>0</v>
      </c>
      <c r="CC36" s="127">
        <v>0</v>
      </c>
      <c r="CD36" s="127">
        <v>0</v>
      </c>
      <c r="CE36" s="127">
        <v>0</v>
      </c>
      <c r="CF36" s="127">
        <v>0</v>
      </c>
      <c r="CG36" s="127">
        <v>0</v>
      </c>
      <c r="CH36" s="127">
        <v>0</v>
      </c>
      <c r="CI36" s="127">
        <v>0</v>
      </c>
      <c r="CJ36" s="127">
        <v>0</v>
      </c>
      <c r="CK36" s="127">
        <v>0</v>
      </c>
      <c r="CL36" s="127">
        <v>0</v>
      </c>
      <c r="CM36" s="127">
        <v>0</v>
      </c>
      <c r="CN36" s="127">
        <v>0</v>
      </c>
      <c r="CO36" s="127">
        <v>0</v>
      </c>
      <c r="CP36" s="127">
        <v>0</v>
      </c>
      <c r="CQ36" s="127">
        <v>0</v>
      </c>
      <c r="CR36" s="127">
        <v>0</v>
      </c>
      <c r="CS36" s="127">
        <v>0</v>
      </c>
      <c r="CT36" s="127">
        <v>0</v>
      </c>
      <c r="CU36" s="127">
        <v>0</v>
      </c>
      <c r="CV36" s="127">
        <v>0</v>
      </c>
      <c r="CW36" s="127">
        <v>0</v>
      </c>
      <c r="CX36" s="127">
        <v>0</v>
      </c>
    </row>
    <row r="37" spans="1:102" ht="15" customHeight="1" x14ac:dyDescent="0.2">
      <c r="A37" s="123">
        <v>3.5</v>
      </c>
      <c r="B37" s="126">
        <v>1</v>
      </c>
      <c r="C37" s="127">
        <v>1</v>
      </c>
      <c r="D37" s="127">
        <v>1</v>
      </c>
      <c r="E37" s="127">
        <v>1</v>
      </c>
      <c r="F37" s="127">
        <v>1</v>
      </c>
      <c r="G37" s="127">
        <v>0.95</v>
      </c>
      <c r="H37" s="127">
        <v>0.85</v>
      </c>
      <c r="I37" s="127">
        <v>0.8</v>
      </c>
      <c r="J37" s="127">
        <v>0.7</v>
      </c>
      <c r="K37" s="127">
        <v>0.6</v>
      </c>
      <c r="L37" s="127">
        <v>0.5</v>
      </c>
      <c r="M37" s="127">
        <v>0.4</v>
      </c>
      <c r="N37" s="127">
        <v>0.3</v>
      </c>
      <c r="O37" s="127">
        <v>0.2</v>
      </c>
      <c r="P37" s="127">
        <v>0.1</v>
      </c>
      <c r="Q37" s="127">
        <v>0</v>
      </c>
      <c r="R37" s="127">
        <v>0</v>
      </c>
      <c r="S37" s="127">
        <v>0</v>
      </c>
      <c r="T37" s="127">
        <v>0</v>
      </c>
      <c r="U37" s="127">
        <v>0</v>
      </c>
      <c r="V37" s="127">
        <v>0</v>
      </c>
      <c r="W37" s="127">
        <v>0</v>
      </c>
      <c r="X37" s="127">
        <v>0</v>
      </c>
      <c r="Y37" s="127">
        <v>0</v>
      </c>
      <c r="Z37" s="127">
        <v>0</v>
      </c>
      <c r="AA37" s="127">
        <v>0</v>
      </c>
      <c r="AB37" s="127">
        <v>0</v>
      </c>
      <c r="AC37" s="127">
        <v>0</v>
      </c>
      <c r="AD37" s="127">
        <v>0</v>
      </c>
      <c r="AE37" s="127">
        <v>0</v>
      </c>
      <c r="AF37" s="127">
        <v>0</v>
      </c>
      <c r="AG37" s="127">
        <v>0</v>
      </c>
      <c r="AH37" s="127">
        <v>0</v>
      </c>
      <c r="AI37" s="127">
        <v>0</v>
      </c>
      <c r="AJ37" s="127">
        <v>0</v>
      </c>
      <c r="AK37" s="127">
        <v>0</v>
      </c>
      <c r="AL37" s="127">
        <v>0</v>
      </c>
      <c r="AM37" s="127">
        <v>0</v>
      </c>
      <c r="AN37" s="127">
        <v>0</v>
      </c>
      <c r="AO37" s="127">
        <v>0</v>
      </c>
      <c r="AP37" s="127">
        <v>0</v>
      </c>
      <c r="AQ37" s="127">
        <v>0</v>
      </c>
      <c r="AR37" s="127">
        <v>0</v>
      </c>
      <c r="AS37" s="127">
        <v>0</v>
      </c>
      <c r="AT37" s="127">
        <v>0</v>
      </c>
      <c r="AU37" s="127">
        <v>0</v>
      </c>
      <c r="AV37" s="127">
        <v>0</v>
      </c>
      <c r="AW37" s="127">
        <v>0</v>
      </c>
      <c r="AX37" s="127">
        <v>0</v>
      </c>
      <c r="AY37" s="127">
        <v>0</v>
      </c>
      <c r="AZ37" s="127">
        <v>0</v>
      </c>
      <c r="BA37" s="127">
        <v>0</v>
      </c>
      <c r="BB37" s="127">
        <v>0</v>
      </c>
      <c r="BC37" s="127">
        <v>0</v>
      </c>
      <c r="BD37" s="127">
        <v>0</v>
      </c>
      <c r="BE37" s="127">
        <v>0</v>
      </c>
      <c r="BF37" s="127">
        <v>0</v>
      </c>
      <c r="BG37" s="127">
        <v>0</v>
      </c>
      <c r="BH37" s="127">
        <v>0</v>
      </c>
      <c r="BI37" s="127">
        <v>0</v>
      </c>
      <c r="BJ37" s="127">
        <v>0</v>
      </c>
      <c r="BK37" s="127">
        <v>0</v>
      </c>
      <c r="BL37" s="127">
        <v>0</v>
      </c>
      <c r="BM37" s="127">
        <v>0</v>
      </c>
      <c r="BN37" s="127">
        <v>0</v>
      </c>
      <c r="BO37" s="127">
        <v>0</v>
      </c>
      <c r="BP37" s="127">
        <v>0</v>
      </c>
      <c r="BQ37" s="127">
        <v>0</v>
      </c>
      <c r="BR37" s="127">
        <v>0</v>
      </c>
      <c r="BS37" s="127">
        <v>0</v>
      </c>
      <c r="BT37" s="127">
        <v>0</v>
      </c>
      <c r="BU37" s="127">
        <v>0</v>
      </c>
      <c r="BV37" s="127">
        <v>0</v>
      </c>
      <c r="BW37" s="127">
        <v>0</v>
      </c>
      <c r="BX37" s="127">
        <v>0</v>
      </c>
      <c r="BY37" s="127">
        <v>0</v>
      </c>
      <c r="BZ37" s="127">
        <v>0</v>
      </c>
      <c r="CA37" s="127">
        <v>0</v>
      </c>
      <c r="CB37" s="127">
        <v>0</v>
      </c>
      <c r="CC37" s="127">
        <v>0</v>
      </c>
      <c r="CD37" s="127">
        <v>0</v>
      </c>
      <c r="CE37" s="127">
        <v>0</v>
      </c>
      <c r="CF37" s="127">
        <v>0</v>
      </c>
      <c r="CG37" s="127">
        <v>0</v>
      </c>
      <c r="CH37" s="127">
        <v>0</v>
      </c>
      <c r="CI37" s="127">
        <v>0</v>
      </c>
      <c r="CJ37" s="127">
        <v>0</v>
      </c>
      <c r="CK37" s="127">
        <v>0</v>
      </c>
      <c r="CL37" s="127">
        <v>0</v>
      </c>
      <c r="CM37" s="127">
        <v>0</v>
      </c>
      <c r="CN37" s="127">
        <v>0</v>
      </c>
      <c r="CO37" s="127">
        <v>0</v>
      </c>
      <c r="CP37" s="127">
        <v>0</v>
      </c>
      <c r="CQ37" s="127">
        <v>0</v>
      </c>
      <c r="CR37" s="127">
        <v>0</v>
      </c>
      <c r="CS37" s="127">
        <v>0</v>
      </c>
      <c r="CT37" s="127">
        <v>0</v>
      </c>
      <c r="CU37" s="127">
        <v>0</v>
      </c>
      <c r="CV37" s="127">
        <v>0</v>
      </c>
      <c r="CW37" s="127">
        <v>0</v>
      </c>
      <c r="CX37" s="127">
        <v>0</v>
      </c>
    </row>
    <row r="38" spans="1:102" ht="15" customHeight="1" x14ac:dyDescent="0.2">
      <c r="A38" s="123">
        <v>3.6</v>
      </c>
      <c r="B38" s="126">
        <v>1</v>
      </c>
      <c r="C38" s="127">
        <v>1</v>
      </c>
      <c r="D38" s="127">
        <v>1</v>
      </c>
      <c r="E38" s="127">
        <v>1</v>
      </c>
      <c r="F38" s="127">
        <v>1</v>
      </c>
      <c r="G38" s="127">
        <v>0.95</v>
      </c>
      <c r="H38" s="127">
        <v>0.85</v>
      </c>
      <c r="I38" s="127">
        <v>0.8</v>
      </c>
      <c r="J38" s="127">
        <v>0.7</v>
      </c>
      <c r="K38" s="127">
        <v>0.6</v>
      </c>
      <c r="L38" s="127">
        <v>0.5</v>
      </c>
      <c r="M38" s="127">
        <v>0.4</v>
      </c>
      <c r="N38" s="127">
        <v>0.3</v>
      </c>
      <c r="O38" s="127">
        <v>0.2</v>
      </c>
      <c r="P38" s="127">
        <v>0.1</v>
      </c>
      <c r="Q38" s="127">
        <v>0</v>
      </c>
      <c r="R38" s="127">
        <v>0</v>
      </c>
      <c r="S38" s="127">
        <v>0</v>
      </c>
      <c r="T38" s="127">
        <v>0</v>
      </c>
      <c r="U38" s="127">
        <v>0</v>
      </c>
      <c r="V38" s="127">
        <v>0</v>
      </c>
      <c r="W38" s="127">
        <v>0</v>
      </c>
      <c r="X38" s="127">
        <v>0</v>
      </c>
      <c r="Y38" s="127">
        <v>0</v>
      </c>
      <c r="Z38" s="127">
        <v>0</v>
      </c>
      <c r="AA38" s="127">
        <v>0</v>
      </c>
      <c r="AB38" s="127">
        <v>0</v>
      </c>
      <c r="AC38" s="127">
        <v>0</v>
      </c>
      <c r="AD38" s="127">
        <v>0</v>
      </c>
      <c r="AE38" s="127">
        <v>0</v>
      </c>
      <c r="AF38" s="127">
        <v>0</v>
      </c>
      <c r="AG38" s="127">
        <v>0</v>
      </c>
      <c r="AH38" s="127">
        <v>0</v>
      </c>
      <c r="AI38" s="127">
        <v>0</v>
      </c>
      <c r="AJ38" s="127">
        <v>0</v>
      </c>
      <c r="AK38" s="127">
        <v>0</v>
      </c>
      <c r="AL38" s="127">
        <v>0</v>
      </c>
      <c r="AM38" s="127">
        <v>0</v>
      </c>
      <c r="AN38" s="127">
        <v>0</v>
      </c>
      <c r="AO38" s="127">
        <v>0</v>
      </c>
      <c r="AP38" s="127">
        <v>0</v>
      </c>
      <c r="AQ38" s="127">
        <v>0</v>
      </c>
      <c r="AR38" s="127">
        <v>0</v>
      </c>
      <c r="AS38" s="127">
        <v>0</v>
      </c>
      <c r="AT38" s="127">
        <v>0</v>
      </c>
      <c r="AU38" s="127">
        <v>0</v>
      </c>
      <c r="AV38" s="127">
        <v>0</v>
      </c>
      <c r="AW38" s="127">
        <v>0</v>
      </c>
      <c r="AX38" s="127">
        <v>0</v>
      </c>
      <c r="AY38" s="127">
        <v>0</v>
      </c>
      <c r="AZ38" s="127">
        <v>0</v>
      </c>
      <c r="BA38" s="127">
        <v>0</v>
      </c>
      <c r="BB38" s="127">
        <v>0</v>
      </c>
      <c r="BC38" s="127">
        <v>0</v>
      </c>
      <c r="BD38" s="127">
        <v>0</v>
      </c>
      <c r="BE38" s="127">
        <v>0</v>
      </c>
      <c r="BF38" s="127">
        <v>0</v>
      </c>
      <c r="BG38" s="127">
        <v>0</v>
      </c>
      <c r="BH38" s="127">
        <v>0</v>
      </c>
      <c r="BI38" s="127">
        <v>0</v>
      </c>
      <c r="BJ38" s="127">
        <v>0</v>
      </c>
      <c r="BK38" s="127">
        <v>0</v>
      </c>
      <c r="BL38" s="127">
        <v>0</v>
      </c>
      <c r="BM38" s="127">
        <v>0</v>
      </c>
      <c r="BN38" s="127">
        <v>0</v>
      </c>
      <c r="BO38" s="127">
        <v>0</v>
      </c>
      <c r="BP38" s="127">
        <v>0</v>
      </c>
      <c r="BQ38" s="127">
        <v>0</v>
      </c>
      <c r="BR38" s="127">
        <v>0</v>
      </c>
      <c r="BS38" s="127">
        <v>0</v>
      </c>
      <c r="BT38" s="127">
        <v>0</v>
      </c>
      <c r="BU38" s="127">
        <v>0</v>
      </c>
      <c r="BV38" s="127">
        <v>0</v>
      </c>
      <c r="BW38" s="127">
        <v>0</v>
      </c>
      <c r="BX38" s="127">
        <v>0</v>
      </c>
      <c r="BY38" s="127">
        <v>0</v>
      </c>
      <c r="BZ38" s="127">
        <v>0</v>
      </c>
      <c r="CA38" s="127">
        <v>0</v>
      </c>
      <c r="CB38" s="127">
        <v>0</v>
      </c>
      <c r="CC38" s="127">
        <v>0</v>
      </c>
      <c r="CD38" s="127">
        <v>0</v>
      </c>
      <c r="CE38" s="127">
        <v>0</v>
      </c>
      <c r="CF38" s="127">
        <v>0</v>
      </c>
      <c r="CG38" s="127">
        <v>0</v>
      </c>
      <c r="CH38" s="127">
        <v>0</v>
      </c>
      <c r="CI38" s="127">
        <v>0</v>
      </c>
      <c r="CJ38" s="127">
        <v>0</v>
      </c>
      <c r="CK38" s="127">
        <v>0</v>
      </c>
      <c r="CL38" s="127">
        <v>0</v>
      </c>
      <c r="CM38" s="127">
        <v>0</v>
      </c>
      <c r="CN38" s="127">
        <v>0</v>
      </c>
      <c r="CO38" s="127">
        <v>0</v>
      </c>
      <c r="CP38" s="127">
        <v>0</v>
      </c>
      <c r="CQ38" s="127">
        <v>0</v>
      </c>
      <c r="CR38" s="127">
        <v>0</v>
      </c>
      <c r="CS38" s="127">
        <v>0</v>
      </c>
      <c r="CT38" s="127">
        <v>0</v>
      </c>
      <c r="CU38" s="127">
        <v>0</v>
      </c>
      <c r="CV38" s="127">
        <v>0</v>
      </c>
      <c r="CW38" s="127">
        <v>0</v>
      </c>
      <c r="CX38" s="127">
        <v>0</v>
      </c>
    </row>
    <row r="39" spans="1:102" ht="15" customHeight="1" x14ac:dyDescent="0.2">
      <c r="A39" s="123">
        <v>3.7</v>
      </c>
      <c r="B39" s="126">
        <v>1</v>
      </c>
      <c r="C39" s="127">
        <v>1</v>
      </c>
      <c r="D39" s="127">
        <v>1</v>
      </c>
      <c r="E39" s="127">
        <v>1</v>
      </c>
      <c r="F39" s="127">
        <v>1</v>
      </c>
      <c r="G39" s="127">
        <v>0.95</v>
      </c>
      <c r="H39" s="127">
        <v>0.85</v>
      </c>
      <c r="I39" s="127">
        <v>0.8</v>
      </c>
      <c r="J39" s="127">
        <v>0.7</v>
      </c>
      <c r="K39" s="127">
        <v>0.6</v>
      </c>
      <c r="L39" s="127">
        <v>0.5</v>
      </c>
      <c r="M39" s="127">
        <v>0.4</v>
      </c>
      <c r="N39" s="127">
        <v>0.3</v>
      </c>
      <c r="O39" s="127">
        <v>0.2</v>
      </c>
      <c r="P39" s="127">
        <v>0.1</v>
      </c>
      <c r="Q39" s="127">
        <v>0</v>
      </c>
      <c r="R39" s="127">
        <v>0</v>
      </c>
      <c r="S39" s="127">
        <v>0</v>
      </c>
      <c r="T39" s="127">
        <v>0</v>
      </c>
      <c r="U39" s="127">
        <v>0</v>
      </c>
      <c r="V39" s="127">
        <v>0</v>
      </c>
      <c r="W39" s="127">
        <v>0</v>
      </c>
      <c r="X39" s="127">
        <v>0</v>
      </c>
      <c r="Y39" s="127">
        <v>0</v>
      </c>
      <c r="Z39" s="127">
        <v>0</v>
      </c>
      <c r="AA39" s="127">
        <v>0</v>
      </c>
      <c r="AB39" s="127">
        <v>0</v>
      </c>
      <c r="AC39" s="127">
        <v>0</v>
      </c>
      <c r="AD39" s="127">
        <v>0</v>
      </c>
      <c r="AE39" s="127">
        <v>0</v>
      </c>
      <c r="AF39" s="127">
        <v>0</v>
      </c>
      <c r="AG39" s="127">
        <v>0</v>
      </c>
      <c r="AH39" s="127">
        <v>0</v>
      </c>
      <c r="AI39" s="127">
        <v>0</v>
      </c>
      <c r="AJ39" s="127">
        <v>0</v>
      </c>
      <c r="AK39" s="127">
        <v>0</v>
      </c>
      <c r="AL39" s="127">
        <v>0</v>
      </c>
      <c r="AM39" s="127">
        <v>0</v>
      </c>
      <c r="AN39" s="127">
        <v>0</v>
      </c>
      <c r="AO39" s="127">
        <v>0</v>
      </c>
      <c r="AP39" s="127">
        <v>0</v>
      </c>
      <c r="AQ39" s="127">
        <v>0</v>
      </c>
      <c r="AR39" s="127">
        <v>0</v>
      </c>
      <c r="AS39" s="127">
        <v>0</v>
      </c>
      <c r="AT39" s="127">
        <v>0</v>
      </c>
      <c r="AU39" s="127">
        <v>0</v>
      </c>
      <c r="AV39" s="127">
        <v>0</v>
      </c>
      <c r="AW39" s="127">
        <v>0</v>
      </c>
      <c r="AX39" s="127">
        <v>0</v>
      </c>
      <c r="AY39" s="127">
        <v>0</v>
      </c>
      <c r="AZ39" s="127">
        <v>0</v>
      </c>
      <c r="BA39" s="127">
        <v>0</v>
      </c>
      <c r="BB39" s="127">
        <v>0</v>
      </c>
      <c r="BC39" s="127">
        <v>0</v>
      </c>
      <c r="BD39" s="127">
        <v>0</v>
      </c>
      <c r="BE39" s="127">
        <v>0</v>
      </c>
      <c r="BF39" s="127">
        <v>0</v>
      </c>
      <c r="BG39" s="127">
        <v>0</v>
      </c>
      <c r="BH39" s="127">
        <v>0</v>
      </c>
      <c r="BI39" s="127">
        <v>0</v>
      </c>
      <c r="BJ39" s="127">
        <v>0</v>
      </c>
      <c r="BK39" s="127">
        <v>0</v>
      </c>
      <c r="BL39" s="127">
        <v>0</v>
      </c>
      <c r="BM39" s="127">
        <v>0</v>
      </c>
      <c r="BN39" s="127">
        <v>0</v>
      </c>
      <c r="BO39" s="127">
        <v>0</v>
      </c>
      <c r="BP39" s="127">
        <v>0</v>
      </c>
      <c r="BQ39" s="127">
        <v>0</v>
      </c>
      <c r="BR39" s="127">
        <v>0</v>
      </c>
      <c r="BS39" s="127">
        <v>0</v>
      </c>
      <c r="BT39" s="127">
        <v>0</v>
      </c>
      <c r="BU39" s="127">
        <v>0</v>
      </c>
      <c r="BV39" s="127">
        <v>0</v>
      </c>
      <c r="BW39" s="127">
        <v>0</v>
      </c>
      <c r="BX39" s="127">
        <v>0</v>
      </c>
      <c r="BY39" s="127">
        <v>0</v>
      </c>
      <c r="BZ39" s="127">
        <v>0</v>
      </c>
      <c r="CA39" s="127">
        <v>0</v>
      </c>
      <c r="CB39" s="127">
        <v>0</v>
      </c>
      <c r="CC39" s="127">
        <v>0</v>
      </c>
      <c r="CD39" s="127">
        <v>0</v>
      </c>
      <c r="CE39" s="127">
        <v>0</v>
      </c>
      <c r="CF39" s="127">
        <v>0</v>
      </c>
      <c r="CG39" s="127">
        <v>0</v>
      </c>
      <c r="CH39" s="127">
        <v>0</v>
      </c>
      <c r="CI39" s="127">
        <v>0</v>
      </c>
      <c r="CJ39" s="127">
        <v>0</v>
      </c>
      <c r="CK39" s="127">
        <v>0</v>
      </c>
      <c r="CL39" s="127">
        <v>0</v>
      </c>
      <c r="CM39" s="127">
        <v>0</v>
      </c>
      <c r="CN39" s="127">
        <v>0</v>
      </c>
      <c r="CO39" s="127">
        <v>0</v>
      </c>
      <c r="CP39" s="127">
        <v>0</v>
      </c>
      <c r="CQ39" s="127">
        <v>0</v>
      </c>
      <c r="CR39" s="127">
        <v>0</v>
      </c>
      <c r="CS39" s="127">
        <v>0</v>
      </c>
      <c r="CT39" s="127">
        <v>0</v>
      </c>
      <c r="CU39" s="127">
        <v>0</v>
      </c>
      <c r="CV39" s="127">
        <v>0</v>
      </c>
      <c r="CW39" s="127">
        <v>0</v>
      </c>
      <c r="CX39" s="127">
        <v>0</v>
      </c>
    </row>
    <row r="40" spans="1:102" ht="15" customHeight="1" x14ac:dyDescent="0.2">
      <c r="A40" s="123">
        <v>3.8</v>
      </c>
      <c r="B40" s="126">
        <v>1</v>
      </c>
      <c r="C40" s="127">
        <v>1</v>
      </c>
      <c r="D40" s="127">
        <v>1</v>
      </c>
      <c r="E40" s="127">
        <v>1</v>
      </c>
      <c r="F40" s="127">
        <v>1</v>
      </c>
      <c r="G40" s="127">
        <v>0.95</v>
      </c>
      <c r="H40" s="127">
        <v>0.85</v>
      </c>
      <c r="I40" s="127">
        <v>0.8</v>
      </c>
      <c r="J40" s="127">
        <v>0.7</v>
      </c>
      <c r="K40" s="127">
        <v>0.6</v>
      </c>
      <c r="L40" s="127">
        <v>0.5</v>
      </c>
      <c r="M40" s="127">
        <v>0.4</v>
      </c>
      <c r="N40" s="127">
        <v>0.3</v>
      </c>
      <c r="O40" s="127">
        <v>0.2</v>
      </c>
      <c r="P40" s="127">
        <v>0.1</v>
      </c>
      <c r="Q40" s="127">
        <v>0</v>
      </c>
      <c r="R40" s="127">
        <v>0</v>
      </c>
      <c r="S40" s="127">
        <v>0</v>
      </c>
      <c r="T40" s="127">
        <v>0</v>
      </c>
      <c r="U40" s="127">
        <v>0</v>
      </c>
      <c r="V40" s="127">
        <v>0</v>
      </c>
      <c r="W40" s="127">
        <v>0</v>
      </c>
      <c r="X40" s="127">
        <v>0</v>
      </c>
      <c r="Y40" s="127">
        <v>0</v>
      </c>
      <c r="Z40" s="127">
        <v>0</v>
      </c>
      <c r="AA40" s="127">
        <v>0</v>
      </c>
      <c r="AB40" s="127">
        <v>0</v>
      </c>
      <c r="AC40" s="127">
        <v>0</v>
      </c>
      <c r="AD40" s="127">
        <v>0</v>
      </c>
      <c r="AE40" s="127">
        <v>0</v>
      </c>
      <c r="AF40" s="127">
        <v>0</v>
      </c>
      <c r="AG40" s="127">
        <v>0</v>
      </c>
      <c r="AH40" s="127">
        <v>0</v>
      </c>
      <c r="AI40" s="127">
        <v>0</v>
      </c>
      <c r="AJ40" s="127">
        <v>0</v>
      </c>
      <c r="AK40" s="127">
        <v>0</v>
      </c>
      <c r="AL40" s="127">
        <v>0</v>
      </c>
      <c r="AM40" s="127">
        <v>0</v>
      </c>
      <c r="AN40" s="127">
        <v>0</v>
      </c>
      <c r="AO40" s="127">
        <v>0</v>
      </c>
      <c r="AP40" s="127">
        <v>0</v>
      </c>
      <c r="AQ40" s="127">
        <v>0</v>
      </c>
      <c r="AR40" s="127">
        <v>0</v>
      </c>
      <c r="AS40" s="127">
        <v>0</v>
      </c>
      <c r="AT40" s="127">
        <v>0</v>
      </c>
      <c r="AU40" s="127">
        <v>0</v>
      </c>
      <c r="AV40" s="127">
        <v>0</v>
      </c>
      <c r="AW40" s="127">
        <v>0</v>
      </c>
      <c r="AX40" s="127">
        <v>0</v>
      </c>
      <c r="AY40" s="127">
        <v>0</v>
      </c>
      <c r="AZ40" s="127">
        <v>0</v>
      </c>
      <c r="BA40" s="127">
        <v>0</v>
      </c>
      <c r="BB40" s="127">
        <v>0</v>
      </c>
      <c r="BC40" s="127">
        <v>0</v>
      </c>
      <c r="BD40" s="127">
        <v>0</v>
      </c>
      <c r="BE40" s="127">
        <v>0</v>
      </c>
      <c r="BF40" s="127">
        <v>0</v>
      </c>
      <c r="BG40" s="127">
        <v>0</v>
      </c>
      <c r="BH40" s="127">
        <v>0</v>
      </c>
      <c r="BI40" s="127">
        <v>0</v>
      </c>
      <c r="BJ40" s="127">
        <v>0</v>
      </c>
      <c r="BK40" s="127">
        <v>0</v>
      </c>
      <c r="BL40" s="127">
        <v>0</v>
      </c>
      <c r="BM40" s="127">
        <v>0</v>
      </c>
      <c r="BN40" s="127">
        <v>0</v>
      </c>
      <c r="BO40" s="127">
        <v>0</v>
      </c>
      <c r="BP40" s="127">
        <v>0</v>
      </c>
      <c r="BQ40" s="127">
        <v>0</v>
      </c>
      <c r="BR40" s="127">
        <v>0</v>
      </c>
      <c r="BS40" s="127">
        <v>0</v>
      </c>
      <c r="BT40" s="127">
        <v>0</v>
      </c>
      <c r="BU40" s="127">
        <v>0</v>
      </c>
      <c r="BV40" s="127">
        <v>0</v>
      </c>
      <c r="BW40" s="127">
        <v>0</v>
      </c>
      <c r="BX40" s="127">
        <v>0</v>
      </c>
      <c r="BY40" s="127">
        <v>0</v>
      </c>
      <c r="BZ40" s="127">
        <v>0</v>
      </c>
      <c r="CA40" s="127">
        <v>0</v>
      </c>
      <c r="CB40" s="127">
        <v>0</v>
      </c>
      <c r="CC40" s="127">
        <v>0</v>
      </c>
      <c r="CD40" s="127">
        <v>0</v>
      </c>
      <c r="CE40" s="127">
        <v>0</v>
      </c>
      <c r="CF40" s="127">
        <v>0</v>
      </c>
      <c r="CG40" s="127">
        <v>0</v>
      </c>
      <c r="CH40" s="127">
        <v>0</v>
      </c>
      <c r="CI40" s="127">
        <v>0</v>
      </c>
      <c r="CJ40" s="127">
        <v>0</v>
      </c>
      <c r="CK40" s="127">
        <v>0</v>
      </c>
      <c r="CL40" s="127">
        <v>0</v>
      </c>
      <c r="CM40" s="127">
        <v>0</v>
      </c>
      <c r="CN40" s="127">
        <v>0</v>
      </c>
      <c r="CO40" s="127">
        <v>0</v>
      </c>
      <c r="CP40" s="127">
        <v>0</v>
      </c>
      <c r="CQ40" s="127">
        <v>0</v>
      </c>
      <c r="CR40" s="127">
        <v>0</v>
      </c>
      <c r="CS40" s="127">
        <v>0</v>
      </c>
      <c r="CT40" s="127">
        <v>0</v>
      </c>
      <c r="CU40" s="127">
        <v>0</v>
      </c>
      <c r="CV40" s="127">
        <v>0</v>
      </c>
      <c r="CW40" s="127">
        <v>0</v>
      </c>
      <c r="CX40" s="127">
        <v>0</v>
      </c>
    </row>
    <row r="41" spans="1:102" ht="15" customHeight="1" x14ac:dyDescent="0.2">
      <c r="A41" s="123">
        <v>3.9</v>
      </c>
      <c r="B41" s="126">
        <v>1</v>
      </c>
      <c r="C41" s="127">
        <v>1</v>
      </c>
      <c r="D41" s="127">
        <v>1</v>
      </c>
      <c r="E41" s="127">
        <v>1</v>
      </c>
      <c r="F41" s="127">
        <v>1</v>
      </c>
      <c r="G41" s="127">
        <v>0.95</v>
      </c>
      <c r="H41" s="127">
        <v>0.85</v>
      </c>
      <c r="I41" s="127">
        <v>0.8</v>
      </c>
      <c r="J41" s="127">
        <v>0.7</v>
      </c>
      <c r="K41" s="127">
        <v>0.6</v>
      </c>
      <c r="L41" s="127">
        <v>0.5</v>
      </c>
      <c r="M41" s="127">
        <v>0.4</v>
      </c>
      <c r="N41" s="127">
        <v>0.3</v>
      </c>
      <c r="O41" s="127">
        <v>0.2</v>
      </c>
      <c r="P41" s="127">
        <v>0.1</v>
      </c>
      <c r="Q41" s="127">
        <v>0</v>
      </c>
      <c r="R41" s="127">
        <v>0</v>
      </c>
      <c r="S41" s="127">
        <v>0</v>
      </c>
      <c r="T41" s="127">
        <v>0</v>
      </c>
      <c r="U41" s="127">
        <v>0</v>
      </c>
      <c r="V41" s="127">
        <v>0</v>
      </c>
      <c r="W41" s="127">
        <v>0</v>
      </c>
      <c r="X41" s="127">
        <v>0</v>
      </c>
      <c r="Y41" s="127">
        <v>0</v>
      </c>
      <c r="Z41" s="127">
        <v>0</v>
      </c>
      <c r="AA41" s="127">
        <v>0</v>
      </c>
      <c r="AB41" s="127">
        <v>0</v>
      </c>
      <c r="AC41" s="127">
        <v>0</v>
      </c>
      <c r="AD41" s="127">
        <v>0</v>
      </c>
      <c r="AE41" s="127">
        <v>0</v>
      </c>
      <c r="AF41" s="127">
        <v>0</v>
      </c>
      <c r="AG41" s="127">
        <v>0</v>
      </c>
      <c r="AH41" s="127">
        <v>0</v>
      </c>
      <c r="AI41" s="127">
        <v>0</v>
      </c>
      <c r="AJ41" s="127">
        <v>0</v>
      </c>
      <c r="AK41" s="127">
        <v>0</v>
      </c>
      <c r="AL41" s="127">
        <v>0</v>
      </c>
      <c r="AM41" s="127">
        <v>0</v>
      </c>
      <c r="AN41" s="127">
        <v>0</v>
      </c>
      <c r="AO41" s="127">
        <v>0</v>
      </c>
      <c r="AP41" s="127">
        <v>0</v>
      </c>
      <c r="AQ41" s="127">
        <v>0</v>
      </c>
      <c r="AR41" s="127">
        <v>0</v>
      </c>
      <c r="AS41" s="127">
        <v>0</v>
      </c>
      <c r="AT41" s="127">
        <v>0</v>
      </c>
      <c r="AU41" s="127">
        <v>0</v>
      </c>
      <c r="AV41" s="127">
        <v>0</v>
      </c>
      <c r="AW41" s="127">
        <v>0</v>
      </c>
      <c r="AX41" s="127">
        <v>0</v>
      </c>
      <c r="AY41" s="127">
        <v>0</v>
      </c>
      <c r="AZ41" s="127">
        <v>0</v>
      </c>
      <c r="BA41" s="127">
        <v>0</v>
      </c>
      <c r="BB41" s="127">
        <v>0</v>
      </c>
      <c r="BC41" s="127">
        <v>0</v>
      </c>
      <c r="BD41" s="127">
        <v>0</v>
      </c>
      <c r="BE41" s="127">
        <v>0</v>
      </c>
      <c r="BF41" s="127">
        <v>0</v>
      </c>
      <c r="BG41" s="127">
        <v>0</v>
      </c>
      <c r="BH41" s="127">
        <v>0</v>
      </c>
      <c r="BI41" s="127">
        <v>0</v>
      </c>
      <c r="BJ41" s="127">
        <v>0</v>
      </c>
      <c r="BK41" s="127">
        <v>0</v>
      </c>
      <c r="BL41" s="127">
        <v>0</v>
      </c>
      <c r="BM41" s="127">
        <v>0</v>
      </c>
      <c r="BN41" s="127">
        <v>0</v>
      </c>
      <c r="BO41" s="127">
        <v>0</v>
      </c>
      <c r="BP41" s="127">
        <v>0</v>
      </c>
      <c r="BQ41" s="127">
        <v>0</v>
      </c>
      <c r="BR41" s="127">
        <v>0</v>
      </c>
      <c r="BS41" s="127">
        <v>0</v>
      </c>
      <c r="BT41" s="127">
        <v>0</v>
      </c>
      <c r="BU41" s="127">
        <v>0</v>
      </c>
      <c r="BV41" s="127">
        <v>0</v>
      </c>
      <c r="BW41" s="127">
        <v>0</v>
      </c>
      <c r="BX41" s="127">
        <v>0</v>
      </c>
      <c r="BY41" s="127">
        <v>0</v>
      </c>
      <c r="BZ41" s="127">
        <v>0</v>
      </c>
      <c r="CA41" s="127">
        <v>0</v>
      </c>
      <c r="CB41" s="127">
        <v>0</v>
      </c>
      <c r="CC41" s="127">
        <v>0</v>
      </c>
      <c r="CD41" s="127">
        <v>0</v>
      </c>
      <c r="CE41" s="127">
        <v>0</v>
      </c>
      <c r="CF41" s="127">
        <v>0</v>
      </c>
      <c r="CG41" s="127">
        <v>0</v>
      </c>
      <c r="CH41" s="127">
        <v>0</v>
      </c>
      <c r="CI41" s="127">
        <v>0</v>
      </c>
      <c r="CJ41" s="127">
        <v>0</v>
      </c>
      <c r="CK41" s="127">
        <v>0</v>
      </c>
      <c r="CL41" s="127">
        <v>0</v>
      </c>
      <c r="CM41" s="127">
        <v>0</v>
      </c>
      <c r="CN41" s="127">
        <v>0</v>
      </c>
      <c r="CO41" s="127">
        <v>0</v>
      </c>
      <c r="CP41" s="127">
        <v>0</v>
      </c>
      <c r="CQ41" s="127">
        <v>0</v>
      </c>
      <c r="CR41" s="127">
        <v>0</v>
      </c>
      <c r="CS41" s="127">
        <v>0</v>
      </c>
      <c r="CT41" s="127">
        <v>0</v>
      </c>
      <c r="CU41" s="127">
        <v>0</v>
      </c>
      <c r="CV41" s="127">
        <v>0</v>
      </c>
      <c r="CW41" s="127">
        <v>0</v>
      </c>
      <c r="CX41" s="127">
        <v>0</v>
      </c>
    </row>
    <row r="42" spans="1:102" ht="15" customHeight="1" x14ac:dyDescent="0.2">
      <c r="A42" s="123">
        <v>4</v>
      </c>
      <c r="B42" s="126">
        <v>1</v>
      </c>
      <c r="C42" s="127">
        <v>1</v>
      </c>
      <c r="D42" s="127">
        <v>1</v>
      </c>
      <c r="E42" s="127">
        <v>1</v>
      </c>
      <c r="F42" s="127">
        <v>1</v>
      </c>
      <c r="G42" s="127">
        <v>0.95</v>
      </c>
      <c r="H42" s="127">
        <v>0.85</v>
      </c>
      <c r="I42" s="127">
        <v>0.8</v>
      </c>
      <c r="J42" s="127">
        <v>0.7</v>
      </c>
      <c r="K42" s="127">
        <v>0.6</v>
      </c>
      <c r="L42" s="127">
        <v>0.5</v>
      </c>
      <c r="M42" s="127">
        <v>0.4</v>
      </c>
      <c r="N42" s="127">
        <v>0.3</v>
      </c>
      <c r="O42" s="127">
        <v>0.2</v>
      </c>
      <c r="P42" s="127">
        <v>0.1</v>
      </c>
      <c r="Q42" s="127">
        <v>0</v>
      </c>
      <c r="R42" s="127">
        <v>0</v>
      </c>
      <c r="S42" s="127">
        <v>0</v>
      </c>
      <c r="T42" s="127">
        <v>0</v>
      </c>
      <c r="U42" s="127">
        <v>0</v>
      </c>
      <c r="V42" s="127">
        <v>0</v>
      </c>
      <c r="W42" s="127">
        <v>0</v>
      </c>
      <c r="X42" s="127">
        <v>0</v>
      </c>
      <c r="Y42" s="127">
        <v>0</v>
      </c>
      <c r="Z42" s="127">
        <v>0</v>
      </c>
      <c r="AA42" s="127">
        <v>0</v>
      </c>
      <c r="AB42" s="127">
        <v>0</v>
      </c>
      <c r="AC42" s="127">
        <v>0</v>
      </c>
      <c r="AD42" s="127">
        <v>0</v>
      </c>
      <c r="AE42" s="127">
        <v>0</v>
      </c>
      <c r="AF42" s="127">
        <v>0</v>
      </c>
      <c r="AG42" s="127">
        <v>0</v>
      </c>
      <c r="AH42" s="127">
        <v>0</v>
      </c>
      <c r="AI42" s="127">
        <v>0</v>
      </c>
      <c r="AJ42" s="127">
        <v>0</v>
      </c>
      <c r="AK42" s="127">
        <v>0</v>
      </c>
      <c r="AL42" s="127">
        <v>0</v>
      </c>
      <c r="AM42" s="127">
        <v>0</v>
      </c>
      <c r="AN42" s="127">
        <v>0</v>
      </c>
      <c r="AO42" s="127">
        <v>0</v>
      </c>
      <c r="AP42" s="127">
        <v>0</v>
      </c>
      <c r="AQ42" s="127">
        <v>0</v>
      </c>
      <c r="AR42" s="127">
        <v>0</v>
      </c>
      <c r="AS42" s="127">
        <v>0</v>
      </c>
      <c r="AT42" s="127">
        <v>0</v>
      </c>
      <c r="AU42" s="127">
        <v>0</v>
      </c>
      <c r="AV42" s="127">
        <v>0</v>
      </c>
      <c r="AW42" s="127">
        <v>0</v>
      </c>
      <c r="AX42" s="127">
        <v>0</v>
      </c>
      <c r="AY42" s="127">
        <v>0</v>
      </c>
      <c r="AZ42" s="127">
        <v>0</v>
      </c>
      <c r="BA42" s="127">
        <v>0</v>
      </c>
      <c r="BB42" s="127">
        <v>0</v>
      </c>
      <c r="BC42" s="127">
        <v>0</v>
      </c>
      <c r="BD42" s="127">
        <v>0</v>
      </c>
      <c r="BE42" s="127">
        <v>0</v>
      </c>
      <c r="BF42" s="127">
        <v>0</v>
      </c>
      <c r="BG42" s="127">
        <v>0</v>
      </c>
      <c r="BH42" s="127">
        <v>0</v>
      </c>
      <c r="BI42" s="127">
        <v>0</v>
      </c>
      <c r="BJ42" s="127">
        <v>0</v>
      </c>
      <c r="BK42" s="127">
        <v>0</v>
      </c>
      <c r="BL42" s="127">
        <v>0</v>
      </c>
      <c r="BM42" s="127">
        <v>0</v>
      </c>
      <c r="BN42" s="127">
        <v>0</v>
      </c>
      <c r="BO42" s="127">
        <v>0</v>
      </c>
      <c r="BP42" s="127">
        <v>0</v>
      </c>
      <c r="BQ42" s="127">
        <v>0</v>
      </c>
      <c r="BR42" s="127">
        <v>0</v>
      </c>
      <c r="BS42" s="127">
        <v>0</v>
      </c>
      <c r="BT42" s="127">
        <v>0</v>
      </c>
      <c r="BU42" s="127">
        <v>0</v>
      </c>
      <c r="BV42" s="127">
        <v>0</v>
      </c>
      <c r="BW42" s="127">
        <v>0</v>
      </c>
      <c r="BX42" s="127">
        <v>0</v>
      </c>
      <c r="BY42" s="127">
        <v>0</v>
      </c>
      <c r="BZ42" s="127">
        <v>0</v>
      </c>
      <c r="CA42" s="127">
        <v>0</v>
      </c>
      <c r="CB42" s="127">
        <v>0</v>
      </c>
      <c r="CC42" s="127">
        <v>0</v>
      </c>
      <c r="CD42" s="127">
        <v>0</v>
      </c>
      <c r="CE42" s="127">
        <v>0</v>
      </c>
      <c r="CF42" s="127">
        <v>0</v>
      </c>
      <c r="CG42" s="127">
        <v>0</v>
      </c>
      <c r="CH42" s="127">
        <v>0</v>
      </c>
      <c r="CI42" s="127">
        <v>0</v>
      </c>
      <c r="CJ42" s="127">
        <v>0</v>
      </c>
      <c r="CK42" s="127">
        <v>0</v>
      </c>
      <c r="CL42" s="127">
        <v>0</v>
      </c>
      <c r="CM42" s="127">
        <v>0</v>
      </c>
      <c r="CN42" s="127">
        <v>0</v>
      </c>
      <c r="CO42" s="127">
        <v>0</v>
      </c>
      <c r="CP42" s="127">
        <v>0</v>
      </c>
      <c r="CQ42" s="127">
        <v>0</v>
      </c>
      <c r="CR42" s="127">
        <v>0</v>
      </c>
      <c r="CS42" s="127">
        <v>0</v>
      </c>
      <c r="CT42" s="127">
        <v>0</v>
      </c>
      <c r="CU42" s="127">
        <v>0</v>
      </c>
      <c r="CV42" s="127">
        <v>0</v>
      </c>
      <c r="CW42" s="127">
        <v>0</v>
      </c>
      <c r="CX42" s="127">
        <v>0</v>
      </c>
    </row>
    <row r="43" spans="1:102" ht="15" customHeight="1" x14ac:dyDescent="0.2">
      <c r="A43" s="123">
        <v>4.0999999999999996</v>
      </c>
      <c r="B43" s="126">
        <v>1</v>
      </c>
      <c r="C43" s="127">
        <v>1</v>
      </c>
      <c r="D43" s="127">
        <v>1</v>
      </c>
      <c r="E43" s="127">
        <v>1</v>
      </c>
      <c r="F43" s="127">
        <v>1</v>
      </c>
      <c r="G43" s="127">
        <v>0.95</v>
      </c>
      <c r="H43" s="127">
        <v>0.85</v>
      </c>
      <c r="I43" s="127">
        <v>0.8</v>
      </c>
      <c r="J43" s="127">
        <v>0.7</v>
      </c>
      <c r="K43" s="127">
        <v>0.6</v>
      </c>
      <c r="L43" s="127">
        <v>0.5</v>
      </c>
      <c r="M43" s="127">
        <v>0.4</v>
      </c>
      <c r="N43" s="127">
        <v>0.3</v>
      </c>
      <c r="O43" s="127">
        <v>0.2</v>
      </c>
      <c r="P43" s="127">
        <v>0.1</v>
      </c>
      <c r="Q43" s="127">
        <v>0</v>
      </c>
      <c r="R43" s="127">
        <v>0</v>
      </c>
      <c r="S43" s="127">
        <v>0</v>
      </c>
      <c r="T43" s="127">
        <v>0</v>
      </c>
      <c r="U43" s="127">
        <v>0</v>
      </c>
      <c r="V43" s="127">
        <v>0</v>
      </c>
      <c r="W43" s="127">
        <v>0</v>
      </c>
      <c r="X43" s="127">
        <v>0</v>
      </c>
      <c r="Y43" s="127">
        <v>0</v>
      </c>
      <c r="Z43" s="127">
        <v>0</v>
      </c>
      <c r="AA43" s="127">
        <v>0</v>
      </c>
      <c r="AB43" s="127">
        <v>0</v>
      </c>
      <c r="AC43" s="127">
        <v>0</v>
      </c>
      <c r="AD43" s="127">
        <v>0</v>
      </c>
      <c r="AE43" s="127">
        <v>0</v>
      </c>
      <c r="AF43" s="127">
        <v>0</v>
      </c>
      <c r="AG43" s="127">
        <v>0</v>
      </c>
      <c r="AH43" s="127">
        <v>0</v>
      </c>
      <c r="AI43" s="127">
        <v>0</v>
      </c>
      <c r="AJ43" s="127">
        <v>0</v>
      </c>
      <c r="AK43" s="127">
        <v>0</v>
      </c>
      <c r="AL43" s="127">
        <v>0</v>
      </c>
      <c r="AM43" s="127">
        <v>0</v>
      </c>
      <c r="AN43" s="127">
        <v>0</v>
      </c>
      <c r="AO43" s="127">
        <v>0</v>
      </c>
      <c r="AP43" s="127">
        <v>0</v>
      </c>
      <c r="AQ43" s="127">
        <v>0</v>
      </c>
      <c r="AR43" s="127">
        <v>0</v>
      </c>
      <c r="AS43" s="127">
        <v>0</v>
      </c>
      <c r="AT43" s="127">
        <v>0</v>
      </c>
      <c r="AU43" s="127">
        <v>0</v>
      </c>
      <c r="AV43" s="127">
        <v>0</v>
      </c>
      <c r="AW43" s="127">
        <v>0</v>
      </c>
      <c r="AX43" s="127">
        <v>0</v>
      </c>
      <c r="AY43" s="127">
        <v>0</v>
      </c>
      <c r="AZ43" s="127">
        <v>0</v>
      </c>
      <c r="BA43" s="127">
        <v>0</v>
      </c>
      <c r="BB43" s="127">
        <v>0</v>
      </c>
      <c r="BC43" s="127">
        <v>0</v>
      </c>
      <c r="BD43" s="127">
        <v>0</v>
      </c>
      <c r="BE43" s="127">
        <v>0</v>
      </c>
      <c r="BF43" s="127">
        <v>0</v>
      </c>
      <c r="BG43" s="127">
        <v>0</v>
      </c>
      <c r="BH43" s="127">
        <v>0</v>
      </c>
      <c r="BI43" s="127">
        <v>0</v>
      </c>
      <c r="BJ43" s="127">
        <v>0</v>
      </c>
      <c r="BK43" s="127">
        <v>0</v>
      </c>
      <c r="BL43" s="127">
        <v>0</v>
      </c>
      <c r="BM43" s="127">
        <v>0</v>
      </c>
      <c r="BN43" s="127">
        <v>0</v>
      </c>
      <c r="BO43" s="127">
        <v>0</v>
      </c>
      <c r="BP43" s="127">
        <v>0</v>
      </c>
      <c r="BQ43" s="127">
        <v>0</v>
      </c>
      <c r="BR43" s="127">
        <v>0</v>
      </c>
      <c r="BS43" s="127">
        <v>0</v>
      </c>
      <c r="BT43" s="127">
        <v>0</v>
      </c>
      <c r="BU43" s="127">
        <v>0</v>
      </c>
      <c r="BV43" s="127">
        <v>0</v>
      </c>
      <c r="BW43" s="127">
        <v>0</v>
      </c>
      <c r="BX43" s="127">
        <v>0</v>
      </c>
      <c r="BY43" s="127">
        <v>0</v>
      </c>
      <c r="BZ43" s="127">
        <v>0</v>
      </c>
      <c r="CA43" s="127">
        <v>0</v>
      </c>
      <c r="CB43" s="127">
        <v>0</v>
      </c>
      <c r="CC43" s="127">
        <v>0</v>
      </c>
      <c r="CD43" s="127">
        <v>0</v>
      </c>
      <c r="CE43" s="127">
        <v>0</v>
      </c>
      <c r="CF43" s="127">
        <v>0</v>
      </c>
      <c r="CG43" s="127">
        <v>0</v>
      </c>
      <c r="CH43" s="127">
        <v>0</v>
      </c>
      <c r="CI43" s="127">
        <v>0</v>
      </c>
      <c r="CJ43" s="127">
        <v>0</v>
      </c>
      <c r="CK43" s="127">
        <v>0</v>
      </c>
      <c r="CL43" s="127">
        <v>0</v>
      </c>
      <c r="CM43" s="127">
        <v>0</v>
      </c>
      <c r="CN43" s="127">
        <v>0</v>
      </c>
      <c r="CO43" s="127">
        <v>0</v>
      </c>
      <c r="CP43" s="127">
        <v>0</v>
      </c>
      <c r="CQ43" s="127">
        <v>0</v>
      </c>
      <c r="CR43" s="127">
        <v>0</v>
      </c>
      <c r="CS43" s="127">
        <v>0</v>
      </c>
      <c r="CT43" s="127">
        <v>0</v>
      </c>
      <c r="CU43" s="127">
        <v>0</v>
      </c>
      <c r="CV43" s="127">
        <v>0</v>
      </c>
      <c r="CW43" s="127">
        <v>0</v>
      </c>
      <c r="CX43" s="127">
        <v>0</v>
      </c>
    </row>
    <row r="44" spans="1:102" ht="15" customHeight="1" x14ac:dyDescent="0.2">
      <c r="A44" s="123">
        <v>4.2</v>
      </c>
      <c r="B44" s="126">
        <v>1</v>
      </c>
      <c r="C44" s="127">
        <v>1</v>
      </c>
      <c r="D44" s="127">
        <v>1</v>
      </c>
      <c r="E44" s="127">
        <v>1</v>
      </c>
      <c r="F44" s="127">
        <v>1</v>
      </c>
      <c r="G44" s="127">
        <v>0.95</v>
      </c>
      <c r="H44" s="127">
        <v>0.85</v>
      </c>
      <c r="I44" s="127">
        <v>0.8</v>
      </c>
      <c r="J44" s="127">
        <v>0.7</v>
      </c>
      <c r="K44" s="127">
        <v>0.6</v>
      </c>
      <c r="L44" s="127">
        <v>0.5</v>
      </c>
      <c r="M44" s="127">
        <v>0.4</v>
      </c>
      <c r="N44" s="127">
        <v>0.3</v>
      </c>
      <c r="O44" s="127">
        <v>0.2</v>
      </c>
      <c r="P44" s="127">
        <v>0.1</v>
      </c>
      <c r="Q44" s="127">
        <v>0</v>
      </c>
      <c r="R44" s="127">
        <v>0</v>
      </c>
      <c r="S44" s="127">
        <v>0</v>
      </c>
      <c r="T44" s="127">
        <v>0</v>
      </c>
      <c r="U44" s="127">
        <v>0</v>
      </c>
      <c r="V44" s="127">
        <v>0</v>
      </c>
      <c r="W44" s="127">
        <v>0</v>
      </c>
      <c r="X44" s="127">
        <v>0</v>
      </c>
      <c r="Y44" s="127">
        <v>0</v>
      </c>
      <c r="Z44" s="127">
        <v>0</v>
      </c>
      <c r="AA44" s="127">
        <v>0</v>
      </c>
      <c r="AB44" s="127">
        <v>0</v>
      </c>
      <c r="AC44" s="127">
        <v>0</v>
      </c>
      <c r="AD44" s="127">
        <v>0</v>
      </c>
      <c r="AE44" s="127">
        <v>0</v>
      </c>
      <c r="AF44" s="127">
        <v>0</v>
      </c>
      <c r="AG44" s="127">
        <v>0</v>
      </c>
      <c r="AH44" s="127">
        <v>0</v>
      </c>
      <c r="AI44" s="127">
        <v>0</v>
      </c>
      <c r="AJ44" s="127">
        <v>0</v>
      </c>
      <c r="AK44" s="127">
        <v>0</v>
      </c>
      <c r="AL44" s="127">
        <v>0</v>
      </c>
      <c r="AM44" s="127">
        <v>0</v>
      </c>
      <c r="AN44" s="127">
        <v>0</v>
      </c>
      <c r="AO44" s="127">
        <v>0</v>
      </c>
      <c r="AP44" s="127">
        <v>0</v>
      </c>
      <c r="AQ44" s="127">
        <v>0</v>
      </c>
      <c r="AR44" s="127">
        <v>0</v>
      </c>
      <c r="AS44" s="127">
        <v>0</v>
      </c>
      <c r="AT44" s="127">
        <v>0</v>
      </c>
      <c r="AU44" s="127">
        <v>0</v>
      </c>
      <c r="AV44" s="127">
        <v>0</v>
      </c>
      <c r="AW44" s="127">
        <v>0</v>
      </c>
      <c r="AX44" s="127">
        <v>0</v>
      </c>
      <c r="AY44" s="127">
        <v>0</v>
      </c>
      <c r="AZ44" s="127">
        <v>0</v>
      </c>
      <c r="BA44" s="127">
        <v>0</v>
      </c>
      <c r="BB44" s="127">
        <v>0</v>
      </c>
      <c r="BC44" s="127">
        <v>0</v>
      </c>
      <c r="BD44" s="127">
        <v>0</v>
      </c>
      <c r="BE44" s="127">
        <v>0</v>
      </c>
      <c r="BF44" s="127">
        <v>0</v>
      </c>
      <c r="BG44" s="127">
        <v>0</v>
      </c>
      <c r="BH44" s="127">
        <v>0</v>
      </c>
      <c r="BI44" s="127">
        <v>0</v>
      </c>
      <c r="BJ44" s="127">
        <v>0</v>
      </c>
      <c r="BK44" s="127">
        <v>0</v>
      </c>
      <c r="BL44" s="127">
        <v>0</v>
      </c>
      <c r="BM44" s="127">
        <v>0</v>
      </c>
      <c r="BN44" s="127">
        <v>0</v>
      </c>
      <c r="BO44" s="127">
        <v>0</v>
      </c>
      <c r="BP44" s="127">
        <v>0</v>
      </c>
      <c r="BQ44" s="127">
        <v>0</v>
      </c>
      <c r="BR44" s="127">
        <v>0</v>
      </c>
      <c r="BS44" s="127">
        <v>0</v>
      </c>
      <c r="BT44" s="127">
        <v>0</v>
      </c>
      <c r="BU44" s="127">
        <v>0</v>
      </c>
      <c r="BV44" s="127">
        <v>0</v>
      </c>
      <c r="BW44" s="127">
        <v>0</v>
      </c>
      <c r="BX44" s="127">
        <v>0</v>
      </c>
      <c r="BY44" s="127">
        <v>0</v>
      </c>
      <c r="BZ44" s="127">
        <v>0</v>
      </c>
      <c r="CA44" s="127">
        <v>0</v>
      </c>
      <c r="CB44" s="127">
        <v>0</v>
      </c>
      <c r="CC44" s="127">
        <v>0</v>
      </c>
      <c r="CD44" s="127">
        <v>0</v>
      </c>
      <c r="CE44" s="127">
        <v>0</v>
      </c>
      <c r="CF44" s="127">
        <v>0</v>
      </c>
      <c r="CG44" s="127">
        <v>0</v>
      </c>
      <c r="CH44" s="127">
        <v>0</v>
      </c>
      <c r="CI44" s="127">
        <v>0</v>
      </c>
      <c r="CJ44" s="127">
        <v>0</v>
      </c>
      <c r="CK44" s="127">
        <v>0</v>
      </c>
      <c r="CL44" s="127">
        <v>0</v>
      </c>
      <c r="CM44" s="127">
        <v>0</v>
      </c>
      <c r="CN44" s="127">
        <v>0</v>
      </c>
      <c r="CO44" s="127">
        <v>0</v>
      </c>
      <c r="CP44" s="127">
        <v>0</v>
      </c>
      <c r="CQ44" s="127">
        <v>0</v>
      </c>
      <c r="CR44" s="127">
        <v>0</v>
      </c>
      <c r="CS44" s="127">
        <v>0</v>
      </c>
      <c r="CT44" s="127">
        <v>0</v>
      </c>
      <c r="CU44" s="127">
        <v>0</v>
      </c>
      <c r="CV44" s="127">
        <v>0</v>
      </c>
      <c r="CW44" s="127">
        <v>0</v>
      </c>
      <c r="CX44" s="127">
        <v>0</v>
      </c>
    </row>
    <row r="45" spans="1:102" ht="15" customHeight="1" x14ac:dyDescent="0.2">
      <c r="A45" s="123">
        <v>4.3</v>
      </c>
      <c r="B45" s="126">
        <v>1</v>
      </c>
      <c r="C45" s="127">
        <v>1</v>
      </c>
      <c r="D45" s="127">
        <v>1</v>
      </c>
      <c r="E45" s="127">
        <v>1</v>
      </c>
      <c r="F45" s="127">
        <v>1</v>
      </c>
      <c r="G45" s="127">
        <v>0.95</v>
      </c>
      <c r="H45" s="127">
        <v>0.85</v>
      </c>
      <c r="I45" s="127">
        <v>0.8</v>
      </c>
      <c r="J45" s="127">
        <v>0.7</v>
      </c>
      <c r="K45" s="127">
        <v>0.6</v>
      </c>
      <c r="L45" s="127">
        <v>0.5</v>
      </c>
      <c r="M45" s="127">
        <v>0.4</v>
      </c>
      <c r="N45" s="127">
        <v>0.3</v>
      </c>
      <c r="O45" s="127">
        <v>0.2</v>
      </c>
      <c r="P45" s="127">
        <v>0.1</v>
      </c>
      <c r="Q45" s="127">
        <v>0</v>
      </c>
      <c r="R45" s="127">
        <v>0</v>
      </c>
      <c r="S45" s="127">
        <v>0</v>
      </c>
      <c r="T45" s="127">
        <v>0</v>
      </c>
      <c r="U45" s="127">
        <v>0</v>
      </c>
      <c r="V45" s="127">
        <v>0</v>
      </c>
      <c r="W45" s="127">
        <v>0</v>
      </c>
      <c r="X45" s="127">
        <v>0</v>
      </c>
      <c r="Y45" s="127">
        <v>0</v>
      </c>
      <c r="Z45" s="127">
        <v>0</v>
      </c>
      <c r="AA45" s="127">
        <v>0</v>
      </c>
      <c r="AB45" s="127">
        <v>0</v>
      </c>
      <c r="AC45" s="127">
        <v>0</v>
      </c>
      <c r="AD45" s="127">
        <v>0</v>
      </c>
      <c r="AE45" s="127">
        <v>0</v>
      </c>
      <c r="AF45" s="127">
        <v>0</v>
      </c>
      <c r="AG45" s="127">
        <v>0</v>
      </c>
      <c r="AH45" s="127">
        <v>0</v>
      </c>
      <c r="AI45" s="127">
        <v>0</v>
      </c>
      <c r="AJ45" s="127">
        <v>0</v>
      </c>
      <c r="AK45" s="127">
        <v>0</v>
      </c>
      <c r="AL45" s="127">
        <v>0</v>
      </c>
      <c r="AM45" s="127">
        <v>0</v>
      </c>
      <c r="AN45" s="127">
        <v>0</v>
      </c>
      <c r="AO45" s="127">
        <v>0</v>
      </c>
      <c r="AP45" s="127">
        <v>0</v>
      </c>
      <c r="AQ45" s="127">
        <v>0</v>
      </c>
      <c r="AR45" s="127">
        <v>0</v>
      </c>
      <c r="AS45" s="127">
        <v>0</v>
      </c>
      <c r="AT45" s="127">
        <v>0</v>
      </c>
      <c r="AU45" s="127">
        <v>0</v>
      </c>
      <c r="AV45" s="127">
        <v>0</v>
      </c>
      <c r="AW45" s="127">
        <v>0</v>
      </c>
      <c r="AX45" s="127">
        <v>0</v>
      </c>
      <c r="AY45" s="127">
        <v>0</v>
      </c>
      <c r="AZ45" s="127">
        <v>0</v>
      </c>
      <c r="BA45" s="127">
        <v>0</v>
      </c>
      <c r="BB45" s="127">
        <v>0</v>
      </c>
      <c r="BC45" s="127">
        <v>0</v>
      </c>
      <c r="BD45" s="127">
        <v>0</v>
      </c>
      <c r="BE45" s="127">
        <v>0</v>
      </c>
      <c r="BF45" s="127">
        <v>0</v>
      </c>
      <c r="BG45" s="127">
        <v>0</v>
      </c>
      <c r="BH45" s="127">
        <v>0</v>
      </c>
      <c r="BI45" s="127">
        <v>0</v>
      </c>
      <c r="BJ45" s="127">
        <v>0</v>
      </c>
      <c r="BK45" s="127">
        <v>0</v>
      </c>
      <c r="BL45" s="127">
        <v>0</v>
      </c>
      <c r="BM45" s="127">
        <v>0</v>
      </c>
      <c r="BN45" s="127">
        <v>0</v>
      </c>
      <c r="BO45" s="127">
        <v>0</v>
      </c>
      <c r="BP45" s="127">
        <v>0</v>
      </c>
      <c r="BQ45" s="127">
        <v>0</v>
      </c>
      <c r="BR45" s="127">
        <v>0</v>
      </c>
      <c r="BS45" s="127">
        <v>0</v>
      </c>
      <c r="BT45" s="127">
        <v>0</v>
      </c>
      <c r="BU45" s="127">
        <v>0</v>
      </c>
      <c r="BV45" s="127">
        <v>0</v>
      </c>
      <c r="BW45" s="127">
        <v>0</v>
      </c>
      <c r="BX45" s="127">
        <v>0</v>
      </c>
      <c r="BY45" s="127">
        <v>0</v>
      </c>
      <c r="BZ45" s="127">
        <v>0</v>
      </c>
      <c r="CA45" s="127">
        <v>0</v>
      </c>
      <c r="CB45" s="127">
        <v>0</v>
      </c>
      <c r="CC45" s="127">
        <v>0</v>
      </c>
      <c r="CD45" s="127">
        <v>0</v>
      </c>
      <c r="CE45" s="127">
        <v>0</v>
      </c>
      <c r="CF45" s="127">
        <v>0</v>
      </c>
      <c r="CG45" s="127">
        <v>0</v>
      </c>
      <c r="CH45" s="127">
        <v>0</v>
      </c>
      <c r="CI45" s="127">
        <v>0</v>
      </c>
      <c r="CJ45" s="127">
        <v>0</v>
      </c>
      <c r="CK45" s="127">
        <v>0</v>
      </c>
      <c r="CL45" s="127">
        <v>0</v>
      </c>
      <c r="CM45" s="127">
        <v>0</v>
      </c>
      <c r="CN45" s="127">
        <v>0</v>
      </c>
      <c r="CO45" s="127">
        <v>0</v>
      </c>
      <c r="CP45" s="127">
        <v>0</v>
      </c>
      <c r="CQ45" s="127">
        <v>0</v>
      </c>
      <c r="CR45" s="127">
        <v>0</v>
      </c>
      <c r="CS45" s="127">
        <v>0</v>
      </c>
      <c r="CT45" s="127">
        <v>0</v>
      </c>
      <c r="CU45" s="127">
        <v>0</v>
      </c>
      <c r="CV45" s="127">
        <v>0</v>
      </c>
      <c r="CW45" s="127">
        <v>0</v>
      </c>
      <c r="CX45" s="127">
        <v>0</v>
      </c>
    </row>
    <row r="46" spans="1:102" ht="15" customHeight="1" x14ac:dyDescent="0.2">
      <c r="A46" s="123">
        <v>4.4000000000000004</v>
      </c>
      <c r="B46" s="126">
        <v>1</v>
      </c>
      <c r="C46" s="127">
        <v>1</v>
      </c>
      <c r="D46" s="127">
        <v>1</v>
      </c>
      <c r="E46" s="127">
        <v>1</v>
      </c>
      <c r="F46" s="127">
        <v>1</v>
      </c>
      <c r="G46" s="127">
        <v>0.95</v>
      </c>
      <c r="H46" s="127">
        <v>0.85</v>
      </c>
      <c r="I46" s="127">
        <v>0.8</v>
      </c>
      <c r="J46" s="127">
        <v>0.7</v>
      </c>
      <c r="K46" s="127">
        <v>0.6</v>
      </c>
      <c r="L46" s="127">
        <v>0.5</v>
      </c>
      <c r="M46" s="127">
        <v>0.4</v>
      </c>
      <c r="N46" s="127">
        <v>0.3</v>
      </c>
      <c r="O46" s="127">
        <v>0.2</v>
      </c>
      <c r="P46" s="127">
        <v>0.1</v>
      </c>
      <c r="Q46" s="127">
        <v>0</v>
      </c>
      <c r="R46" s="127">
        <v>0</v>
      </c>
      <c r="S46" s="127">
        <v>0</v>
      </c>
      <c r="T46" s="127">
        <v>0</v>
      </c>
      <c r="U46" s="127">
        <v>0</v>
      </c>
      <c r="V46" s="127">
        <v>0</v>
      </c>
      <c r="W46" s="127">
        <v>0</v>
      </c>
      <c r="X46" s="127">
        <v>0</v>
      </c>
      <c r="Y46" s="127">
        <v>0</v>
      </c>
      <c r="Z46" s="127">
        <v>0</v>
      </c>
      <c r="AA46" s="127">
        <v>0</v>
      </c>
      <c r="AB46" s="127">
        <v>0</v>
      </c>
      <c r="AC46" s="127">
        <v>0</v>
      </c>
      <c r="AD46" s="127">
        <v>0</v>
      </c>
      <c r="AE46" s="127">
        <v>0</v>
      </c>
      <c r="AF46" s="127">
        <v>0</v>
      </c>
      <c r="AG46" s="127">
        <v>0</v>
      </c>
      <c r="AH46" s="127">
        <v>0</v>
      </c>
      <c r="AI46" s="127">
        <v>0</v>
      </c>
      <c r="AJ46" s="127">
        <v>0</v>
      </c>
      <c r="AK46" s="127">
        <v>0</v>
      </c>
      <c r="AL46" s="127">
        <v>0</v>
      </c>
      <c r="AM46" s="127">
        <v>0</v>
      </c>
      <c r="AN46" s="127">
        <v>0</v>
      </c>
      <c r="AO46" s="127">
        <v>0</v>
      </c>
      <c r="AP46" s="127">
        <v>0</v>
      </c>
      <c r="AQ46" s="127">
        <v>0</v>
      </c>
      <c r="AR46" s="127">
        <v>0</v>
      </c>
      <c r="AS46" s="127">
        <v>0</v>
      </c>
      <c r="AT46" s="127">
        <v>0</v>
      </c>
      <c r="AU46" s="127">
        <v>0</v>
      </c>
      <c r="AV46" s="127">
        <v>0</v>
      </c>
      <c r="AW46" s="127">
        <v>0</v>
      </c>
      <c r="AX46" s="127">
        <v>0</v>
      </c>
      <c r="AY46" s="127">
        <v>0</v>
      </c>
      <c r="AZ46" s="127">
        <v>0</v>
      </c>
      <c r="BA46" s="127">
        <v>0</v>
      </c>
      <c r="BB46" s="127">
        <v>0</v>
      </c>
      <c r="BC46" s="127">
        <v>0</v>
      </c>
      <c r="BD46" s="127">
        <v>0</v>
      </c>
      <c r="BE46" s="127">
        <v>0</v>
      </c>
      <c r="BF46" s="127">
        <v>0</v>
      </c>
      <c r="BG46" s="127">
        <v>0</v>
      </c>
      <c r="BH46" s="127">
        <v>0</v>
      </c>
      <c r="BI46" s="127">
        <v>0</v>
      </c>
      <c r="BJ46" s="127">
        <v>0</v>
      </c>
      <c r="BK46" s="127">
        <v>0</v>
      </c>
      <c r="BL46" s="127">
        <v>0</v>
      </c>
      <c r="BM46" s="127">
        <v>0</v>
      </c>
      <c r="BN46" s="127">
        <v>0</v>
      </c>
      <c r="BO46" s="127">
        <v>0</v>
      </c>
      <c r="BP46" s="127">
        <v>0</v>
      </c>
      <c r="BQ46" s="127">
        <v>0</v>
      </c>
      <c r="BR46" s="127">
        <v>0</v>
      </c>
      <c r="BS46" s="127">
        <v>0</v>
      </c>
      <c r="BT46" s="127">
        <v>0</v>
      </c>
      <c r="BU46" s="127">
        <v>0</v>
      </c>
      <c r="BV46" s="127">
        <v>0</v>
      </c>
      <c r="BW46" s="127">
        <v>0</v>
      </c>
      <c r="BX46" s="127">
        <v>0</v>
      </c>
      <c r="BY46" s="127">
        <v>0</v>
      </c>
      <c r="BZ46" s="127">
        <v>0</v>
      </c>
      <c r="CA46" s="127">
        <v>0</v>
      </c>
      <c r="CB46" s="127">
        <v>0</v>
      </c>
      <c r="CC46" s="127">
        <v>0</v>
      </c>
      <c r="CD46" s="127">
        <v>0</v>
      </c>
      <c r="CE46" s="127">
        <v>0</v>
      </c>
      <c r="CF46" s="127">
        <v>0</v>
      </c>
      <c r="CG46" s="127">
        <v>0</v>
      </c>
      <c r="CH46" s="127">
        <v>0</v>
      </c>
      <c r="CI46" s="127">
        <v>0</v>
      </c>
      <c r="CJ46" s="127">
        <v>0</v>
      </c>
      <c r="CK46" s="127">
        <v>0</v>
      </c>
      <c r="CL46" s="127">
        <v>0</v>
      </c>
      <c r="CM46" s="127">
        <v>0</v>
      </c>
      <c r="CN46" s="127">
        <v>0</v>
      </c>
      <c r="CO46" s="127">
        <v>0</v>
      </c>
      <c r="CP46" s="127">
        <v>0</v>
      </c>
      <c r="CQ46" s="127">
        <v>0</v>
      </c>
      <c r="CR46" s="127">
        <v>0</v>
      </c>
      <c r="CS46" s="127">
        <v>0</v>
      </c>
      <c r="CT46" s="127">
        <v>0</v>
      </c>
      <c r="CU46" s="127">
        <v>0</v>
      </c>
      <c r="CV46" s="127">
        <v>0</v>
      </c>
      <c r="CW46" s="127">
        <v>0</v>
      </c>
      <c r="CX46" s="127">
        <v>0</v>
      </c>
    </row>
    <row r="47" spans="1:102" ht="15" customHeight="1" x14ac:dyDescent="0.2">
      <c r="A47" s="123">
        <v>4.5</v>
      </c>
      <c r="B47" s="126">
        <v>1</v>
      </c>
      <c r="C47" s="127">
        <v>1</v>
      </c>
      <c r="D47" s="127">
        <v>1</v>
      </c>
      <c r="E47" s="127">
        <v>1</v>
      </c>
      <c r="F47" s="127">
        <v>1</v>
      </c>
      <c r="G47" s="127">
        <v>0.95</v>
      </c>
      <c r="H47" s="127">
        <v>0.85</v>
      </c>
      <c r="I47" s="127">
        <v>0.8</v>
      </c>
      <c r="J47" s="127">
        <v>0.7</v>
      </c>
      <c r="K47" s="127">
        <v>0.6</v>
      </c>
      <c r="L47" s="127">
        <v>0.5</v>
      </c>
      <c r="M47" s="127">
        <v>0.4</v>
      </c>
      <c r="N47" s="127">
        <v>0.3</v>
      </c>
      <c r="O47" s="127">
        <v>0.2</v>
      </c>
      <c r="P47" s="127">
        <v>0.1</v>
      </c>
      <c r="Q47" s="127">
        <v>0</v>
      </c>
      <c r="R47" s="127">
        <v>0</v>
      </c>
      <c r="S47" s="127">
        <v>0</v>
      </c>
      <c r="T47" s="127">
        <v>0</v>
      </c>
      <c r="U47" s="127">
        <v>0</v>
      </c>
      <c r="V47" s="127">
        <v>0</v>
      </c>
      <c r="W47" s="127">
        <v>0</v>
      </c>
      <c r="X47" s="127">
        <v>0</v>
      </c>
      <c r="Y47" s="127">
        <v>0</v>
      </c>
      <c r="Z47" s="127">
        <v>0</v>
      </c>
      <c r="AA47" s="127">
        <v>0</v>
      </c>
      <c r="AB47" s="127">
        <v>0</v>
      </c>
      <c r="AC47" s="127">
        <v>0</v>
      </c>
      <c r="AD47" s="127">
        <v>0</v>
      </c>
      <c r="AE47" s="127">
        <v>0</v>
      </c>
      <c r="AF47" s="127">
        <v>0</v>
      </c>
      <c r="AG47" s="127">
        <v>0</v>
      </c>
      <c r="AH47" s="127">
        <v>0</v>
      </c>
      <c r="AI47" s="127">
        <v>0</v>
      </c>
      <c r="AJ47" s="127">
        <v>0</v>
      </c>
      <c r="AK47" s="127">
        <v>0</v>
      </c>
      <c r="AL47" s="127">
        <v>0</v>
      </c>
      <c r="AM47" s="127">
        <v>0</v>
      </c>
      <c r="AN47" s="127">
        <v>0</v>
      </c>
      <c r="AO47" s="127">
        <v>0</v>
      </c>
      <c r="AP47" s="127">
        <v>0</v>
      </c>
      <c r="AQ47" s="127">
        <v>0</v>
      </c>
      <c r="AR47" s="127">
        <v>0</v>
      </c>
      <c r="AS47" s="127">
        <v>0</v>
      </c>
      <c r="AT47" s="127">
        <v>0</v>
      </c>
      <c r="AU47" s="127">
        <v>0</v>
      </c>
      <c r="AV47" s="127">
        <v>0</v>
      </c>
      <c r="AW47" s="127">
        <v>0</v>
      </c>
      <c r="AX47" s="127">
        <v>0</v>
      </c>
      <c r="AY47" s="127">
        <v>0</v>
      </c>
      <c r="AZ47" s="127">
        <v>0</v>
      </c>
      <c r="BA47" s="127">
        <v>0</v>
      </c>
      <c r="BB47" s="127">
        <v>0</v>
      </c>
      <c r="BC47" s="127">
        <v>0</v>
      </c>
      <c r="BD47" s="127">
        <v>0</v>
      </c>
      <c r="BE47" s="127">
        <v>0</v>
      </c>
      <c r="BF47" s="127">
        <v>0</v>
      </c>
      <c r="BG47" s="127">
        <v>0</v>
      </c>
      <c r="BH47" s="127">
        <v>0</v>
      </c>
      <c r="BI47" s="127">
        <v>0</v>
      </c>
      <c r="BJ47" s="127">
        <v>0</v>
      </c>
      <c r="BK47" s="127">
        <v>0</v>
      </c>
      <c r="BL47" s="127">
        <v>0</v>
      </c>
      <c r="BM47" s="127">
        <v>0</v>
      </c>
      <c r="BN47" s="127">
        <v>0</v>
      </c>
      <c r="BO47" s="127">
        <v>0</v>
      </c>
      <c r="BP47" s="127">
        <v>0</v>
      </c>
      <c r="BQ47" s="127">
        <v>0</v>
      </c>
      <c r="BR47" s="127">
        <v>0</v>
      </c>
      <c r="BS47" s="127">
        <v>0</v>
      </c>
      <c r="BT47" s="127">
        <v>0</v>
      </c>
      <c r="BU47" s="127">
        <v>0</v>
      </c>
      <c r="BV47" s="127">
        <v>0</v>
      </c>
      <c r="BW47" s="127">
        <v>0</v>
      </c>
      <c r="BX47" s="127">
        <v>0</v>
      </c>
      <c r="BY47" s="127">
        <v>0</v>
      </c>
      <c r="BZ47" s="127">
        <v>0</v>
      </c>
      <c r="CA47" s="127">
        <v>0</v>
      </c>
      <c r="CB47" s="127">
        <v>0</v>
      </c>
      <c r="CC47" s="127">
        <v>0</v>
      </c>
      <c r="CD47" s="127">
        <v>0</v>
      </c>
      <c r="CE47" s="127">
        <v>0</v>
      </c>
      <c r="CF47" s="127">
        <v>0</v>
      </c>
      <c r="CG47" s="127">
        <v>0</v>
      </c>
      <c r="CH47" s="127">
        <v>0</v>
      </c>
      <c r="CI47" s="127">
        <v>0</v>
      </c>
      <c r="CJ47" s="127">
        <v>0</v>
      </c>
      <c r="CK47" s="127">
        <v>0</v>
      </c>
      <c r="CL47" s="127">
        <v>0</v>
      </c>
      <c r="CM47" s="127">
        <v>0</v>
      </c>
      <c r="CN47" s="127">
        <v>0</v>
      </c>
      <c r="CO47" s="127">
        <v>0</v>
      </c>
      <c r="CP47" s="127">
        <v>0</v>
      </c>
      <c r="CQ47" s="127">
        <v>0</v>
      </c>
      <c r="CR47" s="127">
        <v>0</v>
      </c>
      <c r="CS47" s="127">
        <v>0</v>
      </c>
      <c r="CT47" s="127">
        <v>0</v>
      </c>
      <c r="CU47" s="127">
        <v>0</v>
      </c>
      <c r="CV47" s="127">
        <v>0</v>
      </c>
      <c r="CW47" s="127">
        <v>0</v>
      </c>
      <c r="CX47" s="127">
        <v>0</v>
      </c>
    </row>
    <row r="48" spans="1:102" ht="15" customHeight="1" x14ac:dyDescent="0.2">
      <c r="A48" s="123">
        <v>4.5999999999999996</v>
      </c>
      <c r="B48" s="126">
        <v>1</v>
      </c>
      <c r="C48" s="127">
        <v>1</v>
      </c>
      <c r="D48" s="127">
        <v>1</v>
      </c>
      <c r="E48" s="127">
        <v>1</v>
      </c>
      <c r="F48" s="127">
        <v>1</v>
      </c>
      <c r="G48" s="127">
        <v>0.95</v>
      </c>
      <c r="H48" s="127">
        <v>0.85</v>
      </c>
      <c r="I48" s="127">
        <v>0.8</v>
      </c>
      <c r="J48" s="127">
        <v>0.7</v>
      </c>
      <c r="K48" s="127">
        <v>0.6</v>
      </c>
      <c r="L48" s="127">
        <v>0.5</v>
      </c>
      <c r="M48" s="127">
        <v>0.4</v>
      </c>
      <c r="N48" s="127">
        <v>0.3</v>
      </c>
      <c r="O48" s="127">
        <v>0.2</v>
      </c>
      <c r="P48" s="127">
        <v>0.1</v>
      </c>
      <c r="Q48" s="127">
        <v>0</v>
      </c>
      <c r="R48" s="127">
        <v>0</v>
      </c>
      <c r="S48" s="127">
        <v>0</v>
      </c>
      <c r="T48" s="127">
        <v>0</v>
      </c>
      <c r="U48" s="127">
        <v>0</v>
      </c>
      <c r="V48" s="127">
        <v>0</v>
      </c>
      <c r="W48" s="127">
        <v>0</v>
      </c>
      <c r="X48" s="127">
        <v>0</v>
      </c>
      <c r="Y48" s="127">
        <v>0</v>
      </c>
      <c r="Z48" s="127">
        <v>0</v>
      </c>
      <c r="AA48" s="127">
        <v>0</v>
      </c>
      <c r="AB48" s="127">
        <v>0</v>
      </c>
      <c r="AC48" s="127">
        <v>0</v>
      </c>
      <c r="AD48" s="127">
        <v>0</v>
      </c>
      <c r="AE48" s="127">
        <v>0</v>
      </c>
      <c r="AF48" s="127">
        <v>0</v>
      </c>
      <c r="AG48" s="127">
        <v>0</v>
      </c>
      <c r="AH48" s="127">
        <v>0</v>
      </c>
      <c r="AI48" s="127">
        <v>0</v>
      </c>
      <c r="AJ48" s="127">
        <v>0</v>
      </c>
      <c r="AK48" s="127">
        <v>0</v>
      </c>
      <c r="AL48" s="127">
        <v>0</v>
      </c>
      <c r="AM48" s="127">
        <v>0</v>
      </c>
      <c r="AN48" s="127">
        <v>0</v>
      </c>
      <c r="AO48" s="127">
        <v>0</v>
      </c>
      <c r="AP48" s="127">
        <v>0</v>
      </c>
      <c r="AQ48" s="127">
        <v>0</v>
      </c>
      <c r="AR48" s="127">
        <v>0</v>
      </c>
      <c r="AS48" s="127">
        <v>0</v>
      </c>
      <c r="AT48" s="127">
        <v>0</v>
      </c>
      <c r="AU48" s="127">
        <v>0</v>
      </c>
      <c r="AV48" s="127">
        <v>0</v>
      </c>
      <c r="AW48" s="127">
        <v>0</v>
      </c>
      <c r="AX48" s="127">
        <v>0</v>
      </c>
      <c r="AY48" s="127">
        <v>0</v>
      </c>
      <c r="AZ48" s="127">
        <v>0</v>
      </c>
      <c r="BA48" s="127">
        <v>0</v>
      </c>
      <c r="BB48" s="127">
        <v>0</v>
      </c>
      <c r="BC48" s="127">
        <v>0</v>
      </c>
      <c r="BD48" s="127">
        <v>0</v>
      </c>
      <c r="BE48" s="127">
        <v>0</v>
      </c>
      <c r="BF48" s="127">
        <v>0</v>
      </c>
      <c r="BG48" s="127">
        <v>0</v>
      </c>
      <c r="BH48" s="127">
        <v>0</v>
      </c>
      <c r="BI48" s="127">
        <v>0</v>
      </c>
      <c r="BJ48" s="127">
        <v>0</v>
      </c>
      <c r="BK48" s="127">
        <v>0</v>
      </c>
      <c r="BL48" s="127">
        <v>0</v>
      </c>
      <c r="BM48" s="127">
        <v>0</v>
      </c>
      <c r="BN48" s="127">
        <v>0</v>
      </c>
      <c r="BO48" s="127">
        <v>0</v>
      </c>
      <c r="BP48" s="127">
        <v>0</v>
      </c>
      <c r="BQ48" s="127">
        <v>0</v>
      </c>
      <c r="BR48" s="127">
        <v>0</v>
      </c>
      <c r="BS48" s="127">
        <v>0</v>
      </c>
      <c r="BT48" s="127">
        <v>0</v>
      </c>
      <c r="BU48" s="127">
        <v>0</v>
      </c>
      <c r="BV48" s="127">
        <v>0</v>
      </c>
      <c r="BW48" s="127">
        <v>0</v>
      </c>
      <c r="BX48" s="127">
        <v>0</v>
      </c>
      <c r="BY48" s="127">
        <v>0</v>
      </c>
      <c r="BZ48" s="127">
        <v>0</v>
      </c>
      <c r="CA48" s="127">
        <v>0</v>
      </c>
      <c r="CB48" s="127">
        <v>0</v>
      </c>
      <c r="CC48" s="127">
        <v>0</v>
      </c>
      <c r="CD48" s="127">
        <v>0</v>
      </c>
      <c r="CE48" s="127">
        <v>0</v>
      </c>
      <c r="CF48" s="127">
        <v>0</v>
      </c>
      <c r="CG48" s="127">
        <v>0</v>
      </c>
      <c r="CH48" s="127">
        <v>0</v>
      </c>
      <c r="CI48" s="127">
        <v>0</v>
      </c>
      <c r="CJ48" s="127">
        <v>0</v>
      </c>
      <c r="CK48" s="127">
        <v>0</v>
      </c>
      <c r="CL48" s="127">
        <v>0</v>
      </c>
      <c r="CM48" s="127">
        <v>0</v>
      </c>
      <c r="CN48" s="127">
        <v>0</v>
      </c>
      <c r="CO48" s="127">
        <v>0</v>
      </c>
      <c r="CP48" s="127">
        <v>0</v>
      </c>
      <c r="CQ48" s="127">
        <v>0</v>
      </c>
      <c r="CR48" s="127">
        <v>0</v>
      </c>
      <c r="CS48" s="127">
        <v>0</v>
      </c>
      <c r="CT48" s="127">
        <v>0</v>
      </c>
      <c r="CU48" s="127">
        <v>0</v>
      </c>
      <c r="CV48" s="127">
        <v>0</v>
      </c>
      <c r="CW48" s="127">
        <v>0</v>
      </c>
      <c r="CX48" s="127">
        <v>0</v>
      </c>
    </row>
    <row r="49" spans="1:102" ht="15" customHeight="1" x14ac:dyDescent="0.2">
      <c r="A49" s="123">
        <v>4.7</v>
      </c>
      <c r="B49" s="126">
        <v>1</v>
      </c>
      <c r="C49" s="127">
        <v>1</v>
      </c>
      <c r="D49" s="127">
        <v>1</v>
      </c>
      <c r="E49" s="127">
        <v>1</v>
      </c>
      <c r="F49" s="127">
        <v>1</v>
      </c>
      <c r="G49" s="127">
        <v>0.95</v>
      </c>
      <c r="H49" s="127">
        <v>0.85</v>
      </c>
      <c r="I49" s="127">
        <v>0.8</v>
      </c>
      <c r="J49" s="127">
        <v>0.7</v>
      </c>
      <c r="K49" s="127">
        <v>0.6</v>
      </c>
      <c r="L49" s="127">
        <v>0.5</v>
      </c>
      <c r="M49" s="127">
        <v>0.4</v>
      </c>
      <c r="N49" s="127">
        <v>0.3</v>
      </c>
      <c r="O49" s="127">
        <v>0.2</v>
      </c>
      <c r="P49" s="127">
        <v>0.1</v>
      </c>
      <c r="Q49" s="127">
        <v>0</v>
      </c>
      <c r="R49" s="127">
        <v>0</v>
      </c>
      <c r="S49" s="127">
        <v>0</v>
      </c>
      <c r="T49" s="127">
        <v>0</v>
      </c>
      <c r="U49" s="127">
        <v>0</v>
      </c>
      <c r="V49" s="127">
        <v>0</v>
      </c>
      <c r="W49" s="127">
        <v>0</v>
      </c>
      <c r="X49" s="127">
        <v>0</v>
      </c>
      <c r="Y49" s="127">
        <v>0</v>
      </c>
      <c r="Z49" s="127">
        <v>0</v>
      </c>
      <c r="AA49" s="127">
        <v>0</v>
      </c>
      <c r="AB49" s="127">
        <v>0</v>
      </c>
      <c r="AC49" s="127">
        <v>0</v>
      </c>
      <c r="AD49" s="127">
        <v>0</v>
      </c>
      <c r="AE49" s="127">
        <v>0</v>
      </c>
      <c r="AF49" s="127">
        <v>0</v>
      </c>
      <c r="AG49" s="127">
        <v>0</v>
      </c>
      <c r="AH49" s="127">
        <v>0</v>
      </c>
      <c r="AI49" s="127">
        <v>0</v>
      </c>
      <c r="AJ49" s="127">
        <v>0</v>
      </c>
      <c r="AK49" s="127">
        <v>0</v>
      </c>
      <c r="AL49" s="127">
        <v>0</v>
      </c>
      <c r="AM49" s="127">
        <v>0</v>
      </c>
      <c r="AN49" s="127">
        <v>0</v>
      </c>
      <c r="AO49" s="127">
        <v>0</v>
      </c>
      <c r="AP49" s="127">
        <v>0</v>
      </c>
      <c r="AQ49" s="127">
        <v>0</v>
      </c>
      <c r="AR49" s="127">
        <v>0</v>
      </c>
      <c r="AS49" s="127">
        <v>0</v>
      </c>
      <c r="AT49" s="127">
        <v>0</v>
      </c>
      <c r="AU49" s="127">
        <v>0</v>
      </c>
      <c r="AV49" s="127">
        <v>0</v>
      </c>
      <c r="AW49" s="127">
        <v>0</v>
      </c>
      <c r="AX49" s="127">
        <v>0</v>
      </c>
      <c r="AY49" s="127">
        <v>0</v>
      </c>
      <c r="AZ49" s="127">
        <v>0</v>
      </c>
      <c r="BA49" s="127">
        <v>0</v>
      </c>
      <c r="BB49" s="127">
        <v>0</v>
      </c>
      <c r="BC49" s="127">
        <v>0</v>
      </c>
      <c r="BD49" s="127">
        <v>0</v>
      </c>
      <c r="BE49" s="127">
        <v>0</v>
      </c>
      <c r="BF49" s="127">
        <v>0</v>
      </c>
      <c r="BG49" s="127">
        <v>0</v>
      </c>
      <c r="BH49" s="127">
        <v>0</v>
      </c>
      <c r="BI49" s="127">
        <v>0</v>
      </c>
      <c r="BJ49" s="127">
        <v>0</v>
      </c>
      <c r="BK49" s="127">
        <v>0</v>
      </c>
      <c r="BL49" s="127">
        <v>0</v>
      </c>
      <c r="BM49" s="127">
        <v>0</v>
      </c>
      <c r="BN49" s="127">
        <v>0</v>
      </c>
      <c r="BO49" s="127">
        <v>0</v>
      </c>
      <c r="BP49" s="127">
        <v>0</v>
      </c>
      <c r="BQ49" s="127">
        <v>0</v>
      </c>
      <c r="BR49" s="127">
        <v>0</v>
      </c>
      <c r="BS49" s="127">
        <v>0</v>
      </c>
      <c r="BT49" s="127">
        <v>0</v>
      </c>
      <c r="BU49" s="127">
        <v>0</v>
      </c>
      <c r="BV49" s="127">
        <v>0</v>
      </c>
      <c r="BW49" s="127">
        <v>0</v>
      </c>
      <c r="BX49" s="127">
        <v>0</v>
      </c>
      <c r="BY49" s="127">
        <v>0</v>
      </c>
      <c r="BZ49" s="127">
        <v>0</v>
      </c>
      <c r="CA49" s="127">
        <v>0</v>
      </c>
      <c r="CB49" s="127">
        <v>0</v>
      </c>
      <c r="CC49" s="127">
        <v>0</v>
      </c>
      <c r="CD49" s="127">
        <v>0</v>
      </c>
      <c r="CE49" s="127">
        <v>0</v>
      </c>
      <c r="CF49" s="127">
        <v>0</v>
      </c>
      <c r="CG49" s="127">
        <v>0</v>
      </c>
      <c r="CH49" s="127">
        <v>0</v>
      </c>
      <c r="CI49" s="127">
        <v>0</v>
      </c>
      <c r="CJ49" s="127">
        <v>0</v>
      </c>
      <c r="CK49" s="127">
        <v>0</v>
      </c>
      <c r="CL49" s="127">
        <v>0</v>
      </c>
      <c r="CM49" s="127">
        <v>0</v>
      </c>
      <c r="CN49" s="127">
        <v>0</v>
      </c>
      <c r="CO49" s="127">
        <v>0</v>
      </c>
      <c r="CP49" s="127">
        <v>0</v>
      </c>
      <c r="CQ49" s="127">
        <v>0</v>
      </c>
      <c r="CR49" s="127">
        <v>0</v>
      </c>
      <c r="CS49" s="127">
        <v>0</v>
      </c>
      <c r="CT49" s="127">
        <v>0</v>
      </c>
      <c r="CU49" s="127">
        <v>0</v>
      </c>
      <c r="CV49" s="127">
        <v>0</v>
      </c>
      <c r="CW49" s="127">
        <v>0</v>
      </c>
      <c r="CX49" s="127">
        <v>0</v>
      </c>
    </row>
    <row r="50" spans="1:102" ht="15" customHeight="1" x14ac:dyDescent="0.2">
      <c r="A50" s="123">
        <v>4.8</v>
      </c>
      <c r="B50" s="126">
        <v>1</v>
      </c>
      <c r="C50" s="127">
        <v>1</v>
      </c>
      <c r="D50" s="127">
        <v>1</v>
      </c>
      <c r="E50" s="127">
        <v>1</v>
      </c>
      <c r="F50" s="127">
        <v>1</v>
      </c>
      <c r="G50" s="127">
        <v>0.95</v>
      </c>
      <c r="H50" s="127">
        <v>0.85</v>
      </c>
      <c r="I50" s="127">
        <v>0.8</v>
      </c>
      <c r="J50" s="127">
        <v>0.7</v>
      </c>
      <c r="K50" s="127">
        <v>0.6</v>
      </c>
      <c r="L50" s="127">
        <v>0.5</v>
      </c>
      <c r="M50" s="127">
        <v>0.4</v>
      </c>
      <c r="N50" s="127">
        <v>0.3</v>
      </c>
      <c r="O50" s="127">
        <v>0.2</v>
      </c>
      <c r="P50" s="127">
        <v>0.1</v>
      </c>
      <c r="Q50" s="127">
        <v>0</v>
      </c>
      <c r="R50" s="127">
        <v>0</v>
      </c>
      <c r="S50" s="127">
        <v>0</v>
      </c>
      <c r="T50" s="127">
        <v>0</v>
      </c>
      <c r="U50" s="127">
        <v>0</v>
      </c>
      <c r="V50" s="127">
        <v>0</v>
      </c>
      <c r="W50" s="127">
        <v>0</v>
      </c>
      <c r="X50" s="127">
        <v>0</v>
      </c>
      <c r="Y50" s="127">
        <v>0</v>
      </c>
      <c r="Z50" s="127">
        <v>0</v>
      </c>
      <c r="AA50" s="127">
        <v>0</v>
      </c>
      <c r="AB50" s="127">
        <v>0</v>
      </c>
      <c r="AC50" s="127">
        <v>0</v>
      </c>
      <c r="AD50" s="127">
        <v>0</v>
      </c>
      <c r="AE50" s="127">
        <v>0</v>
      </c>
      <c r="AF50" s="127">
        <v>0</v>
      </c>
      <c r="AG50" s="127">
        <v>0</v>
      </c>
      <c r="AH50" s="127">
        <v>0</v>
      </c>
      <c r="AI50" s="127">
        <v>0</v>
      </c>
      <c r="AJ50" s="127">
        <v>0</v>
      </c>
      <c r="AK50" s="127">
        <v>0</v>
      </c>
      <c r="AL50" s="127">
        <v>0</v>
      </c>
      <c r="AM50" s="127">
        <v>0</v>
      </c>
      <c r="AN50" s="127">
        <v>0</v>
      </c>
      <c r="AO50" s="127">
        <v>0</v>
      </c>
      <c r="AP50" s="127">
        <v>0</v>
      </c>
      <c r="AQ50" s="127">
        <v>0</v>
      </c>
      <c r="AR50" s="127">
        <v>0</v>
      </c>
      <c r="AS50" s="127">
        <v>0</v>
      </c>
      <c r="AT50" s="127">
        <v>0</v>
      </c>
      <c r="AU50" s="127">
        <v>0</v>
      </c>
      <c r="AV50" s="127">
        <v>0</v>
      </c>
      <c r="AW50" s="127">
        <v>0</v>
      </c>
      <c r="AX50" s="127">
        <v>0</v>
      </c>
      <c r="AY50" s="127">
        <v>0</v>
      </c>
      <c r="AZ50" s="127">
        <v>0</v>
      </c>
      <c r="BA50" s="127">
        <v>0</v>
      </c>
      <c r="BB50" s="127">
        <v>0</v>
      </c>
      <c r="BC50" s="127">
        <v>0</v>
      </c>
      <c r="BD50" s="127">
        <v>0</v>
      </c>
      <c r="BE50" s="127">
        <v>0</v>
      </c>
      <c r="BF50" s="127">
        <v>0</v>
      </c>
      <c r="BG50" s="127">
        <v>0</v>
      </c>
      <c r="BH50" s="127">
        <v>0</v>
      </c>
      <c r="BI50" s="127">
        <v>0</v>
      </c>
      <c r="BJ50" s="127">
        <v>0</v>
      </c>
      <c r="BK50" s="127">
        <v>0</v>
      </c>
      <c r="BL50" s="127">
        <v>0</v>
      </c>
      <c r="BM50" s="127">
        <v>0</v>
      </c>
      <c r="BN50" s="127">
        <v>0</v>
      </c>
      <c r="BO50" s="127">
        <v>0</v>
      </c>
      <c r="BP50" s="127">
        <v>0</v>
      </c>
      <c r="BQ50" s="127">
        <v>0</v>
      </c>
      <c r="BR50" s="127">
        <v>0</v>
      </c>
      <c r="BS50" s="127">
        <v>0</v>
      </c>
      <c r="BT50" s="127">
        <v>0</v>
      </c>
      <c r="BU50" s="127">
        <v>0</v>
      </c>
      <c r="BV50" s="127">
        <v>0</v>
      </c>
      <c r="BW50" s="127">
        <v>0</v>
      </c>
      <c r="BX50" s="127">
        <v>0</v>
      </c>
      <c r="BY50" s="127">
        <v>0</v>
      </c>
      <c r="BZ50" s="127">
        <v>0</v>
      </c>
      <c r="CA50" s="127">
        <v>0</v>
      </c>
      <c r="CB50" s="127">
        <v>0</v>
      </c>
      <c r="CC50" s="127">
        <v>0</v>
      </c>
      <c r="CD50" s="127">
        <v>0</v>
      </c>
      <c r="CE50" s="127">
        <v>0</v>
      </c>
      <c r="CF50" s="127">
        <v>0</v>
      </c>
      <c r="CG50" s="127">
        <v>0</v>
      </c>
      <c r="CH50" s="127">
        <v>0</v>
      </c>
      <c r="CI50" s="127">
        <v>0</v>
      </c>
      <c r="CJ50" s="127">
        <v>0</v>
      </c>
      <c r="CK50" s="127">
        <v>0</v>
      </c>
      <c r="CL50" s="127">
        <v>0</v>
      </c>
      <c r="CM50" s="127">
        <v>0</v>
      </c>
      <c r="CN50" s="127">
        <v>0</v>
      </c>
      <c r="CO50" s="127">
        <v>0</v>
      </c>
      <c r="CP50" s="127">
        <v>0</v>
      </c>
      <c r="CQ50" s="127">
        <v>0</v>
      </c>
      <c r="CR50" s="127">
        <v>0</v>
      </c>
      <c r="CS50" s="127">
        <v>0</v>
      </c>
      <c r="CT50" s="127">
        <v>0</v>
      </c>
      <c r="CU50" s="127">
        <v>0</v>
      </c>
      <c r="CV50" s="127">
        <v>0</v>
      </c>
      <c r="CW50" s="127">
        <v>0</v>
      </c>
      <c r="CX50" s="127">
        <v>0</v>
      </c>
    </row>
    <row r="51" spans="1:102" ht="15" customHeight="1" x14ac:dyDescent="0.2">
      <c r="A51" s="123">
        <v>4.9000000000000004</v>
      </c>
      <c r="B51" s="126">
        <v>1</v>
      </c>
      <c r="C51" s="127">
        <v>1</v>
      </c>
      <c r="D51" s="127">
        <v>1</v>
      </c>
      <c r="E51" s="127">
        <v>1</v>
      </c>
      <c r="F51" s="127">
        <v>1</v>
      </c>
      <c r="G51" s="127">
        <v>0.95</v>
      </c>
      <c r="H51" s="127">
        <v>0.85</v>
      </c>
      <c r="I51" s="127">
        <v>0.8</v>
      </c>
      <c r="J51" s="127">
        <v>0.7</v>
      </c>
      <c r="K51" s="127">
        <v>0.6</v>
      </c>
      <c r="L51" s="127">
        <v>0.5</v>
      </c>
      <c r="M51" s="127">
        <v>0.4</v>
      </c>
      <c r="N51" s="127">
        <v>0.3</v>
      </c>
      <c r="O51" s="127">
        <v>0.2</v>
      </c>
      <c r="P51" s="127">
        <v>0.1</v>
      </c>
      <c r="Q51" s="127">
        <v>0</v>
      </c>
      <c r="R51" s="127">
        <v>0</v>
      </c>
      <c r="S51" s="127">
        <v>0</v>
      </c>
      <c r="T51" s="127">
        <v>0</v>
      </c>
      <c r="U51" s="127">
        <v>0</v>
      </c>
      <c r="V51" s="127">
        <v>0</v>
      </c>
      <c r="W51" s="127">
        <v>0</v>
      </c>
      <c r="X51" s="127">
        <v>0</v>
      </c>
      <c r="Y51" s="127">
        <v>0</v>
      </c>
      <c r="Z51" s="127">
        <v>0</v>
      </c>
      <c r="AA51" s="127">
        <v>0</v>
      </c>
      <c r="AB51" s="127">
        <v>0</v>
      </c>
      <c r="AC51" s="127">
        <v>0</v>
      </c>
      <c r="AD51" s="127">
        <v>0</v>
      </c>
      <c r="AE51" s="127">
        <v>0</v>
      </c>
      <c r="AF51" s="127">
        <v>0</v>
      </c>
      <c r="AG51" s="127">
        <v>0</v>
      </c>
      <c r="AH51" s="127">
        <v>0</v>
      </c>
      <c r="AI51" s="127">
        <v>0</v>
      </c>
      <c r="AJ51" s="127">
        <v>0</v>
      </c>
      <c r="AK51" s="127">
        <v>0</v>
      </c>
      <c r="AL51" s="127">
        <v>0</v>
      </c>
      <c r="AM51" s="127">
        <v>0</v>
      </c>
      <c r="AN51" s="127">
        <v>0</v>
      </c>
      <c r="AO51" s="127">
        <v>0</v>
      </c>
      <c r="AP51" s="127">
        <v>0</v>
      </c>
      <c r="AQ51" s="127">
        <v>0</v>
      </c>
      <c r="AR51" s="127">
        <v>0</v>
      </c>
      <c r="AS51" s="127">
        <v>0</v>
      </c>
      <c r="AT51" s="127">
        <v>0</v>
      </c>
      <c r="AU51" s="127">
        <v>0</v>
      </c>
      <c r="AV51" s="127">
        <v>0</v>
      </c>
      <c r="AW51" s="127">
        <v>0</v>
      </c>
      <c r="AX51" s="127">
        <v>0</v>
      </c>
      <c r="AY51" s="127">
        <v>0</v>
      </c>
      <c r="AZ51" s="127">
        <v>0</v>
      </c>
      <c r="BA51" s="127">
        <v>0</v>
      </c>
      <c r="BB51" s="127">
        <v>0</v>
      </c>
      <c r="BC51" s="127">
        <v>0</v>
      </c>
      <c r="BD51" s="127">
        <v>0</v>
      </c>
      <c r="BE51" s="127">
        <v>0</v>
      </c>
      <c r="BF51" s="127">
        <v>0</v>
      </c>
      <c r="BG51" s="127">
        <v>0</v>
      </c>
      <c r="BH51" s="127">
        <v>0</v>
      </c>
      <c r="BI51" s="127">
        <v>0</v>
      </c>
      <c r="BJ51" s="127">
        <v>0</v>
      </c>
      <c r="BK51" s="127">
        <v>0</v>
      </c>
      <c r="BL51" s="127">
        <v>0</v>
      </c>
      <c r="BM51" s="127">
        <v>0</v>
      </c>
      <c r="BN51" s="127">
        <v>0</v>
      </c>
      <c r="BO51" s="127">
        <v>0</v>
      </c>
      <c r="BP51" s="127">
        <v>0</v>
      </c>
      <c r="BQ51" s="127">
        <v>0</v>
      </c>
      <c r="BR51" s="127">
        <v>0</v>
      </c>
      <c r="BS51" s="127">
        <v>0</v>
      </c>
      <c r="BT51" s="127">
        <v>0</v>
      </c>
      <c r="BU51" s="127">
        <v>0</v>
      </c>
      <c r="BV51" s="127">
        <v>0</v>
      </c>
      <c r="BW51" s="127">
        <v>0</v>
      </c>
      <c r="BX51" s="127">
        <v>0</v>
      </c>
      <c r="BY51" s="127">
        <v>0</v>
      </c>
      <c r="BZ51" s="127">
        <v>0</v>
      </c>
      <c r="CA51" s="127">
        <v>0</v>
      </c>
      <c r="CB51" s="127">
        <v>0</v>
      </c>
      <c r="CC51" s="127">
        <v>0</v>
      </c>
      <c r="CD51" s="127">
        <v>0</v>
      </c>
      <c r="CE51" s="127">
        <v>0</v>
      </c>
      <c r="CF51" s="127">
        <v>0</v>
      </c>
      <c r="CG51" s="127">
        <v>0</v>
      </c>
      <c r="CH51" s="127">
        <v>0</v>
      </c>
      <c r="CI51" s="127">
        <v>0</v>
      </c>
      <c r="CJ51" s="127">
        <v>0</v>
      </c>
      <c r="CK51" s="127">
        <v>0</v>
      </c>
      <c r="CL51" s="127">
        <v>0</v>
      </c>
      <c r="CM51" s="127">
        <v>0</v>
      </c>
      <c r="CN51" s="127">
        <v>0</v>
      </c>
      <c r="CO51" s="127">
        <v>0</v>
      </c>
      <c r="CP51" s="127">
        <v>0</v>
      </c>
      <c r="CQ51" s="127">
        <v>0</v>
      </c>
      <c r="CR51" s="127">
        <v>0</v>
      </c>
      <c r="CS51" s="127">
        <v>0</v>
      </c>
      <c r="CT51" s="127">
        <v>0</v>
      </c>
      <c r="CU51" s="127">
        <v>0</v>
      </c>
      <c r="CV51" s="127">
        <v>0</v>
      </c>
      <c r="CW51" s="127">
        <v>0</v>
      </c>
      <c r="CX51" s="127">
        <v>0</v>
      </c>
    </row>
    <row r="52" spans="1:102" ht="15" customHeight="1" x14ac:dyDescent="0.2">
      <c r="A52" s="123">
        <v>5</v>
      </c>
      <c r="B52" s="126">
        <v>1</v>
      </c>
      <c r="C52" s="127">
        <v>1</v>
      </c>
      <c r="D52" s="127">
        <v>1</v>
      </c>
      <c r="E52" s="127">
        <v>1</v>
      </c>
      <c r="F52" s="127">
        <v>1</v>
      </c>
      <c r="G52" s="127">
        <v>0.95</v>
      </c>
      <c r="H52" s="127">
        <v>0.85</v>
      </c>
      <c r="I52" s="127">
        <v>0.8</v>
      </c>
      <c r="J52" s="127">
        <v>0.7</v>
      </c>
      <c r="K52" s="127">
        <v>0.6</v>
      </c>
      <c r="L52" s="127">
        <v>0.5</v>
      </c>
      <c r="M52" s="127">
        <v>0.4</v>
      </c>
      <c r="N52" s="127">
        <v>0.3</v>
      </c>
      <c r="O52" s="127">
        <v>0.2</v>
      </c>
      <c r="P52" s="127">
        <v>0.1</v>
      </c>
      <c r="Q52" s="127">
        <v>0</v>
      </c>
      <c r="R52" s="127">
        <v>0</v>
      </c>
      <c r="S52" s="127">
        <v>0</v>
      </c>
      <c r="T52" s="127">
        <v>0</v>
      </c>
      <c r="U52" s="127">
        <v>0</v>
      </c>
      <c r="V52" s="127">
        <v>0</v>
      </c>
      <c r="W52" s="127">
        <v>0</v>
      </c>
      <c r="X52" s="127">
        <v>0</v>
      </c>
      <c r="Y52" s="127">
        <v>0</v>
      </c>
      <c r="Z52" s="127">
        <v>0</v>
      </c>
      <c r="AA52" s="127">
        <v>0</v>
      </c>
      <c r="AB52" s="127">
        <v>0</v>
      </c>
      <c r="AC52" s="127">
        <v>0</v>
      </c>
      <c r="AD52" s="127">
        <v>0</v>
      </c>
      <c r="AE52" s="127">
        <v>0</v>
      </c>
      <c r="AF52" s="127">
        <v>0</v>
      </c>
      <c r="AG52" s="127">
        <v>0</v>
      </c>
      <c r="AH52" s="127">
        <v>0</v>
      </c>
      <c r="AI52" s="127">
        <v>0</v>
      </c>
      <c r="AJ52" s="127">
        <v>0</v>
      </c>
      <c r="AK52" s="127">
        <v>0</v>
      </c>
      <c r="AL52" s="127">
        <v>0</v>
      </c>
      <c r="AM52" s="127">
        <v>0</v>
      </c>
      <c r="AN52" s="127">
        <v>0</v>
      </c>
      <c r="AO52" s="127">
        <v>0</v>
      </c>
      <c r="AP52" s="127">
        <v>0</v>
      </c>
      <c r="AQ52" s="127">
        <v>0</v>
      </c>
      <c r="AR52" s="127">
        <v>0</v>
      </c>
      <c r="AS52" s="127">
        <v>0</v>
      </c>
      <c r="AT52" s="127">
        <v>0</v>
      </c>
      <c r="AU52" s="127">
        <v>0</v>
      </c>
      <c r="AV52" s="127">
        <v>0</v>
      </c>
      <c r="AW52" s="127">
        <v>0</v>
      </c>
      <c r="AX52" s="127">
        <v>0</v>
      </c>
      <c r="AY52" s="127">
        <v>0</v>
      </c>
      <c r="AZ52" s="127">
        <v>0</v>
      </c>
      <c r="BA52" s="127">
        <v>0</v>
      </c>
      <c r="BB52" s="127">
        <v>0</v>
      </c>
      <c r="BC52" s="127">
        <v>0</v>
      </c>
      <c r="BD52" s="127">
        <v>0</v>
      </c>
      <c r="BE52" s="127">
        <v>0</v>
      </c>
      <c r="BF52" s="127">
        <v>0</v>
      </c>
      <c r="BG52" s="127">
        <v>0</v>
      </c>
      <c r="BH52" s="127">
        <v>0</v>
      </c>
      <c r="BI52" s="127">
        <v>0</v>
      </c>
      <c r="BJ52" s="127">
        <v>0</v>
      </c>
      <c r="BK52" s="127">
        <v>0</v>
      </c>
      <c r="BL52" s="127">
        <v>0</v>
      </c>
      <c r="BM52" s="127">
        <v>0</v>
      </c>
      <c r="BN52" s="127">
        <v>0</v>
      </c>
      <c r="BO52" s="127">
        <v>0</v>
      </c>
      <c r="BP52" s="127">
        <v>0</v>
      </c>
      <c r="BQ52" s="127">
        <v>0</v>
      </c>
      <c r="BR52" s="127">
        <v>0</v>
      </c>
      <c r="BS52" s="127">
        <v>0</v>
      </c>
      <c r="BT52" s="127">
        <v>0</v>
      </c>
      <c r="BU52" s="127">
        <v>0</v>
      </c>
      <c r="BV52" s="127">
        <v>0</v>
      </c>
      <c r="BW52" s="127">
        <v>0</v>
      </c>
      <c r="BX52" s="127">
        <v>0</v>
      </c>
      <c r="BY52" s="127">
        <v>0</v>
      </c>
      <c r="BZ52" s="127">
        <v>0</v>
      </c>
      <c r="CA52" s="127">
        <v>0</v>
      </c>
      <c r="CB52" s="127">
        <v>0</v>
      </c>
      <c r="CC52" s="127">
        <v>0</v>
      </c>
      <c r="CD52" s="127">
        <v>0</v>
      </c>
      <c r="CE52" s="127">
        <v>0</v>
      </c>
      <c r="CF52" s="127">
        <v>0</v>
      </c>
      <c r="CG52" s="127">
        <v>0</v>
      </c>
      <c r="CH52" s="127">
        <v>0</v>
      </c>
      <c r="CI52" s="127">
        <v>0</v>
      </c>
      <c r="CJ52" s="127">
        <v>0</v>
      </c>
      <c r="CK52" s="127">
        <v>0</v>
      </c>
      <c r="CL52" s="127">
        <v>0</v>
      </c>
      <c r="CM52" s="127">
        <v>0</v>
      </c>
      <c r="CN52" s="127">
        <v>0</v>
      </c>
      <c r="CO52" s="127">
        <v>0</v>
      </c>
      <c r="CP52" s="127">
        <v>0</v>
      </c>
      <c r="CQ52" s="127">
        <v>0</v>
      </c>
      <c r="CR52" s="127">
        <v>0</v>
      </c>
      <c r="CS52" s="127">
        <v>0</v>
      </c>
      <c r="CT52" s="127">
        <v>0</v>
      </c>
      <c r="CU52" s="127">
        <v>0</v>
      </c>
      <c r="CV52" s="127">
        <v>0</v>
      </c>
      <c r="CW52" s="127">
        <v>0</v>
      </c>
      <c r="CX52" s="127">
        <v>0</v>
      </c>
    </row>
    <row r="53" spans="1:102" ht="15" customHeight="1" x14ac:dyDescent="0.2">
      <c r="A53" s="123">
        <v>5.0999999999999996</v>
      </c>
      <c r="B53" s="126">
        <v>1</v>
      </c>
      <c r="C53" s="127">
        <v>1</v>
      </c>
      <c r="D53" s="127">
        <v>1</v>
      </c>
      <c r="E53" s="127">
        <v>1</v>
      </c>
      <c r="F53" s="127">
        <v>1</v>
      </c>
      <c r="G53" s="127">
        <v>0.95</v>
      </c>
      <c r="H53" s="127">
        <v>0.85</v>
      </c>
      <c r="I53" s="127">
        <v>0.8</v>
      </c>
      <c r="J53" s="127">
        <v>0.7</v>
      </c>
      <c r="K53" s="127">
        <v>0.6</v>
      </c>
      <c r="L53" s="127">
        <v>0.5</v>
      </c>
      <c r="M53" s="127">
        <v>0.4</v>
      </c>
      <c r="N53" s="127">
        <v>0.3</v>
      </c>
      <c r="O53" s="127">
        <v>0.2</v>
      </c>
      <c r="P53" s="127">
        <v>0.1</v>
      </c>
      <c r="Q53" s="127">
        <v>0</v>
      </c>
      <c r="R53" s="127">
        <v>0</v>
      </c>
      <c r="S53" s="127">
        <v>0</v>
      </c>
      <c r="T53" s="127">
        <v>0</v>
      </c>
      <c r="U53" s="127">
        <v>0</v>
      </c>
      <c r="V53" s="127">
        <v>0</v>
      </c>
      <c r="W53" s="127">
        <v>0</v>
      </c>
      <c r="X53" s="127">
        <v>0</v>
      </c>
      <c r="Y53" s="127">
        <v>0</v>
      </c>
      <c r="Z53" s="127">
        <v>0</v>
      </c>
      <c r="AA53" s="127">
        <v>0</v>
      </c>
      <c r="AB53" s="127">
        <v>0</v>
      </c>
      <c r="AC53" s="127">
        <v>0</v>
      </c>
      <c r="AD53" s="127">
        <v>0</v>
      </c>
      <c r="AE53" s="127">
        <v>0</v>
      </c>
      <c r="AF53" s="127">
        <v>0</v>
      </c>
      <c r="AG53" s="127">
        <v>0</v>
      </c>
      <c r="AH53" s="127">
        <v>0</v>
      </c>
      <c r="AI53" s="127">
        <v>0</v>
      </c>
      <c r="AJ53" s="127">
        <v>0</v>
      </c>
      <c r="AK53" s="127">
        <v>0</v>
      </c>
      <c r="AL53" s="127">
        <v>0</v>
      </c>
      <c r="AM53" s="127">
        <v>0</v>
      </c>
      <c r="AN53" s="127">
        <v>0</v>
      </c>
      <c r="AO53" s="127">
        <v>0</v>
      </c>
      <c r="AP53" s="127">
        <v>0</v>
      </c>
      <c r="AQ53" s="127">
        <v>0</v>
      </c>
      <c r="AR53" s="127">
        <v>0</v>
      </c>
      <c r="AS53" s="127">
        <v>0</v>
      </c>
      <c r="AT53" s="127">
        <v>0</v>
      </c>
      <c r="AU53" s="127">
        <v>0</v>
      </c>
      <c r="AV53" s="127">
        <v>0</v>
      </c>
      <c r="AW53" s="127">
        <v>0</v>
      </c>
      <c r="AX53" s="127">
        <v>0</v>
      </c>
      <c r="AY53" s="127">
        <v>0</v>
      </c>
      <c r="AZ53" s="127">
        <v>0</v>
      </c>
      <c r="BA53" s="127">
        <v>0</v>
      </c>
      <c r="BB53" s="127">
        <v>0</v>
      </c>
      <c r="BC53" s="127">
        <v>0</v>
      </c>
      <c r="BD53" s="127">
        <v>0</v>
      </c>
      <c r="BE53" s="127">
        <v>0</v>
      </c>
      <c r="BF53" s="127">
        <v>0</v>
      </c>
      <c r="BG53" s="127">
        <v>0</v>
      </c>
      <c r="BH53" s="127">
        <v>0</v>
      </c>
      <c r="BI53" s="127">
        <v>0</v>
      </c>
      <c r="BJ53" s="127">
        <v>0</v>
      </c>
      <c r="BK53" s="127">
        <v>0</v>
      </c>
      <c r="BL53" s="127">
        <v>0</v>
      </c>
      <c r="BM53" s="127">
        <v>0</v>
      </c>
      <c r="BN53" s="127">
        <v>0</v>
      </c>
      <c r="BO53" s="127">
        <v>0</v>
      </c>
      <c r="BP53" s="127">
        <v>0</v>
      </c>
      <c r="BQ53" s="127">
        <v>0</v>
      </c>
      <c r="BR53" s="127">
        <v>0</v>
      </c>
      <c r="BS53" s="127">
        <v>0</v>
      </c>
      <c r="BT53" s="127">
        <v>0</v>
      </c>
      <c r="BU53" s="127">
        <v>0</v>
      </c>
      <c r="BV53" s="127">
        <v>0</v>
      </c>
      <c r="BW53" s="127">
        <v>0</v>
      </c>
      <c r="BX53" s="127">
        <v>0</v>
      </c>
      <c r="BY53" s="127">
        <v>0</v>
      </c>
      <c r="BZ53" s="127">
        <v>0</v>
      </c>
      <c r="CA53" s="127">
        <v>0</v>
      </c>
      <c r="CB53" s="127">
        <v>0</v>
      </c>
      <c r="CC53" s="127">
        <v>0</v>
      </c>
      <c r="CD53" s="127">
        <v>0</v>
      </c>
      <c r="CE53" s="127">
        <v>0</v>
      </c>
      <c r="CF53" s="127">
        <v>0</v>
      </c>
      <c r="CG53" s="127">
        <v>0</v>
      </c>
      <c r="CH53" s="127">
        <v>0</v>
      </c>
      <c r="CI53" s="127">
        <v>0</v>
      </c>
      <c r="CJ53" s="127">
        <v>0</v>
      </c>
      <c r="CK53" s="127">
        <v>0</v>
      </c>
      <c r="CL53" s="127">
        <v>0</v>
      </c>
      <c r="CM53" s="127">
        <v>0</v>
      </c>
      <c r="CN53" s="127">
        <v>0</v>
      </c>
      <c r="CO53" s="127">
        <v>0</v>
      </c>
      <c r="CP53" s="127">
        <v>0</v>
      </c>
      <c r="CQ53" s="127">
        <v>0</v>
      </c>
      <c r="CR53" s="127">
        <v>0</v>
      </c>
      <c r="CS53" s="127">
        <v>0</v>
      </c>
      <c r="CT53" s="127">
        <v>0</v>
      </c>
      <c r="CU53" s="127">
        <v>0</v>
      </c>
      <c r="CV53" s="127">
        <v>0</v>
      </c>
      <c r="CW53" s="127">
        <v>0</v>
      </c>
      <c r="CX53" s="127">
        <v>0</v>
      </c>
    </row>
    <row r="54" spans="1:102" ht="15" customHeight="1" x14ac:dyDescent="0.2">
      <c r="A54" s="123">
        <v>5.2</v>
      </c>
      <c r="B54" s="126">
        <v>1</v>
      </c>
      <c r="C54" s="127">
        <v>1</v>
      </c>
      <c r="D54" s="127">
        <v>1</v>
      </c>
      <c r="E54" s="127">
        <v>1</v>
      </c>
      <c r="F54" s="127">
        <v>1</v>
      </c>
      <c r="G54" s="127">
        <v>0.95</v>
      </c>
      <c r="H54" s="127">
        <v>0.85</v>
      </c>
      <c r="I54" s="127">
        <v>0.8</v>
      </c>
      <c r="J54" s="127">
        <v>0.7</v>
      </c>
      <c r="K54" s="127">
        <v>0.6</v>
      </c>
      <c r="L54" s="127">
        <v>0.5</v>
      </c>
      <c r="M54" s="127">
        <v>0.4</v>
      </c>
      <c r="N54" s="127">
        <v>0.3</v>
      </c>
      <c r="O54" s="127">
        <v>0.2</v>
      </c>
      <c r="P54" s="127">
        <v>0.1</v>
      </c>
      <c r="Q54" s="127">
        <v>0</v>
      </c>
      <c r="R54" s="127">
        <v>0</v>
      </c>
      <c r="S54" s="127">
        <v>0</v>
      </c>
      <c r="T54" s="127">
        <v>0</v>
      </c>
      <c r="U54" s="127">
        <v>0</v>
      </c>
      <c r="V54" s="127">
        <v>0</v>
      </c>
      <c r="W54" s="127">
        <v>0</v>
      </c>
      <c r="X54" s="127">
        <v>0</v>
      </c>
      <c r="Y54" s="127">
        <v>0</v>
      </c>
      <c r="Z54" s="127">
        <v>0</v>
      </c>
      <c r="AA54" s="127">
        <v>0</v>
      </c>
      <c r="AB54" s="127">
        <v>0</v>
      </c>
      <c r="AC54" s="127">
        <v>0</v>
      </c>
      <c r="AD54" s="127">
        <v>0</v>
      </c>
      <c r="AE54" s="127">
        <v>0</v>
      </c>
      <c r="AF54" s="127">
        <v>0</v>
      </c>
      <c r="AG54" s="127">
        <v>0</v>
      </c>
      <c r="AH54" s="127">
        <v>0</v>
      </c>
      <c r="AI54" s="127">
        <v>0</v>
      </c>
      <c r="AJ54" s="127">
        <v>0</v>
      </c>
      <c r="AK54" s="127">
        <v>0</v>
      </c>
      <c r="AL54" s="127">
        <v>0</v>
      </c>
      <c r="AM54" s="127">
        <v>0</v>
      </c>
      <c r="AN54" s="127">
        <v>0</v>
      </c>
      <c r="AO54" s="127">
        <v>0</v>
      </c>
      <c r="AP54" s="127">
        <v>0</v>
      </c>
      <c r="AQ54" s="127">
        <v>0</v>
      </c>
      <c r="AR54" s="127">
        <v>0</v>
      </c>
      <c r="AS54" s="127">
        <v>0</v>
      </c>
      <c r="AT54" s="127">
        <v>0</v>
      </c>
      <c r="AU54" s="127">
        <v>0</v>
      </c>
      <c r="AV54" s="127">
        <v>0</v>
      </c>
      <c r="AW54" s="127">
        <v>0</v>
      </c>
      <c r="AX54" s="127">
        <v>0</v>
      </c>
      <c r="AY54" s="127">
        <v>0</v>
      </c>
      <c r="AZ54" s="127">
        <v>0</v>
      </c>
      <c r="BA54" s="127">
        <v>0</v>
      </c>
      <c r="BB54" s="127">
        <v>0</v>
      </c>
      <c r="BC54" s="127">
        <v>0</v>
      </c>
      <c r="BD54" s="127">
        <v>0</v>
      </c>
      <c r="BE54" s="127">
        <v>0</v>
      </c>
      <c r="BF54" s="127">
        <v>0</v>
      </c>
      <c r="BG54" s="127">
        <v>0</v>
      </c>
      <c r="BH54" s="127">
        <v>0</v>
      </c>
      <c r="BI54" s="127">
        <v>0</v>
      </c>
      <c r="BJ54" s="127">
        <v>0</v>
      </c>
      <c r="BK54" s="127">
        <v>0</v>
      </c>
      <c r="BL54" s="127">
        <v>0</v>
      </c>
      <c r="BM54" s="127">
        <v>0</v>
      </c>
      <c r="BN54" s="127">
        <v>0</v>
      </c>
      <c r="BO54" s="127">
        <v>0</v>
      </c>
      <c r="BP54" s="127">
        <v>0</v>
      </c>
      <c r="BQ54" s="127">
        <v>0</v>
      </c>
      <c r="BR54" s="127">
        <v>0</v>
      </c>
      <c r="BS54" s="127">
        <v>0</v>
      </c>
      <c r="BT54" s="127">
        <v>0</v>
      </c>
      <c r="BU54" s="127">
        <v>0</v>
      </c>
      <c r="BV54" s="127">
        <v>0</v>
      </c>
      <c r="BW54" s="127">
        <v>0</v>
      </c>
      <c r="BX54" s="127">
        <v>0</v>
      </c>
      <c r="BY54" s="127">
        <v>0</v>
      </c>
      <c r="BZ54" s="127">
        <v>0</v>
      </c>
      <c r="CA54" s="127">
        <v>0</v>
      </c>
      <c r="CB54" s="127">
        <v>0</v>
      </c>
      <c r="CC54" s="127">
        <v>0</v>
      </c>
      <c r="CD54" s="127">
        <v>0</v>
      </c>
      <c r="CE54" s="127">
        <v>0</v>
      </c>
      <c r="CF54" s="127">
        <v>0</v>
      </c>
      <c r="CG54" s="127">
        <v>0</v>
      </c>
      <c r="CH54" s="127">
        <v>0</v>
      </c>
      <c r="CI54" s="127">
        <v>0</v>
      </c>
      <c r="CJ54" s="127">
        <v>0</v>
      </c>
      <c r="CK54" s="127">
        <v>0</v>
      </c>
      <c r="CL54" s="127">
        <v>0</v>
      </c>
      <c r="CM54" s="127">
        <v>0</v>
      </c>
      <c r="CN54" s="127">
        <v>0</v>
      </c>
      <c r="CO54" s="127">
        <v>0</v>
      </c>
      <c r="CP54" s="127">
        <v>0</v>
      </c>
      <c r="CQ54" s="127">
        <v>0</v>
      </c>
      <c r="CR54" s="127">
        <v>0</v>
      </c>
      <c r="CS54" s="127">
        <v>0</v>
      </c>
      <c r="CT54" s="127">
        <v>0</v>
      </c>
      <c r="CU54" s="127">
        <v>0</v>
      </c>
      <c r="CV54" s="127">
        <v>0</v>
      </c>
      <c r="CW54" s="127">
        <v>0</v>
      </c>
      <c r="CX54" s="127">
        <v>0</v>
      </c>
    </row>
    <row r="55" spans="1:102" ht="15" customHeight="1" x14ac:dyDescent="0.2">
      <c r="A55" s="123">
        <v>5.3</v>
      </c>
      <c r="B55" s="126">
        <v>1</v>
      </c>
      <c r="C55" s="127">
        <v>1</v>
      </c>
      <c r="D55" s="127">
        <v>1</v>
      </c>
      <c r="E55" s="127">
        <v>1</v>
      </c>
      <c r="F55" s="127">
        <v>1</v>
      </c>
      <c r="G55" s="127">
        <v>0.95</v>
      </c>
      <c r="H55" s="127">
        <v>0.85</v>
      </c>
      <c r="I55" s="127">
        <v>0.8</v>
      </c>
      <c r="J55" s="127">
        <v>0.7</v>
      </c>
      <c r="K55" s="127">
        <v>0.6</v>
      </c>
      <c r="L55" s="127">
        <v>0.5</v>
      </c>
      <c r="M55" s="127">
        <v>0.4</v>
      </c>
      <c r="N55" s="127">
        <v>0.3</v>
      </c>
      <c r="O55" s="127">
        <v>0.2</v>
      </c>
      <c r="P55" s="127">
        <v>0.1</v>
      </c>
      <c r="Q55" s="127">
        <v>0</v>
      </c>
      <c r="R55" s="127">
        <v>0</v>
      </c>
      <c r="S55" s="127">
        <v>0</v>
      </c>
      <c r="T55" s="127">
        <v>0</v>
      </c>
      <c r="U55" s="127">
        <v>0</v>
      </c>
      <c r="V55" s="127">
        <v>0</v>
      </c>
      <c r="W55" s="127">
        <v>0</v>
      </c>
      <c r="X55" s="127">
        <v>0</v>
      </c>
      <c r="Y55" s="127">
        <v>0</v>
      </c>
      <c r="Z55" s="127">
        <v>0</v>
      </c>
      <c r="AA55" s="127">
        <v>0</v>
      </c>
      <c r="AB55" s="127">
        <v>0</v>
      </c>
      <c r="AC55" s="127">
        <v>0</v>
      </c>
      <c r="AD55" s="127">
        <v>0</v>
      </c>
      <c r="AE55" s="127">
        <v>0</v>
      </c>
      <c r="AF55" s="127">
        <v>0</v>
      </c>
      <c r="AG55" s="127">
        <v>0</v>
      </c>
      <c r="AH55" s="127">
        <v>0</v>
      </c>
      <c r="AI55" s="127">
        <v>0</v>
      </c>
      <c r="AJ55" s="127">
        <v>0</v>
      </c>
      <c r="AK55" s="127">
        <v>0</v>
      </c>
      <c r="AL55" s="127">
        <v>0</v>
      </c>
      <c r="AM55" s="127">
        <v>0</v>
      </c>
      <c r="AN55" s="127">
        <v>0</v>
      </c>
      <c r="AO55" s="127">
        <v>0</v>
      </c>
      <c r="AP55" s="127">
        <v>0</v>
      </c>
      <c r="AQ55" s="127">
        <v>0</v>
      </c>
      <c r="AR55" s="127">
        <v>0</v>
      </c>
      <c r="AS55" s="127">
        <v>0</v>
      </c>
      <c r="AT55" s="127">
        <v>0</v>
      </c>
      <c r="AU55" s="127">
        <v>0</v>
      </c>
      <c r="AV55" s="127">
        <v>0</v>
      </c>
      <c r="AW55" s="127">
        <v>0</v>
      </c>
      <c r="AX55" s="127">
        <v>0</v>
      </c>
      <c r="AY55" s="127">
        <v>0</v>
      </c>
      <c r="AZ55" s="127">
        <v>0</v>
      </c>
      <c r="BA55" s="127">
        <v>0</v>
      </c>
      <c r="BB55" s="127">
        <v>0</v>
      </c>
      <c r="BC55" s="127">
        <v>0</v>
      </c>
      <c r="BD55" s="127">
        <v>0</v>
      </c>
      <c r="BE55" s="127">
        <v>0</v>
      </c>
      <c r="BF55" s="127">
        <v>0</v>
      </c>
      <c r="BG55" s="127">
        <v>0</v>
      </c>
      <c r="BH55" s="127">
        <v>0</v>
      </c>
      <c r="BI55" s="127">
        <v>0</v>
      </c>
      <c r="BJ55" s="127">
        <v>0</v>
      </c>
      <c r="BK55" s="127">
        <v>0</v>
      </c>
      <c r="BL55" s="127">
        <v>0</v>
      </c>
      <c r="BM55" s="127">
        <v>0</v>
      </c>
      <c r="BN55" s="127">
        <v>0</v>
      </c>
      <c r="BO55" s="127">
        <v>0</v>
      </c>
      <c r="BP55" s="127">
        <v>0</v>
      </c>
      <c r="BQ55" s="127">
        <v>0</v>
      </c>
      <c r="BR55" s="127">
        <v>0</v>
      </c>
      <c r="BS55" s="127">
        <v>0</v>
      </c>
      <c r="BT55" s="127">
        <v>0</v>
      </c>
      <c r="BU55" s="127">
        <v>0</v>
      </c>
      <c r="BV55" s="127">
        <v>0</v>
      </c>
      <c r="BW55" s="127">
        <v>0</v>
      </c>
      <c r="BX55" s="127">
        <v>0</v>
      </c>
      <c r="BY55" s="127">
        <v>0</v>
      </c>
      <c r="BZ55" s="127">
        <v>0</v>
      </c>
      <c r="CA55" s="127">
        <v>0</v>
      </c>
      <c r="CB55" s="127">
        <v>0</v>
      </c>
      <c r="CC55" s="127">
        <v>0</v>
      </c>
      <c r="CD55" s="127">
        <v>0</v>
      </c>
      <c r="CE55" s="127">
        <v>0</v>
      </c>
      <c r="CF55" s="127">
        <v>0</v>
      </c>
      <c r="CG55" s="127">
        <v>0</v>
      </c>
      <c r="CH55" s="127">
        <v>0</v>
      </c>
      <c r="CI55" s="127">
        <v>0</v>
      </c>
      <c r="CJ55" s="127">
        <v>0</v>
      </c>
      <c r="CK55" s="127">
        <v>0</v>
      </c>
      <c r="CL55" s="127">
        <v>0</v>
      </c>
      <c r="CM55" s="127">
        <v>0</v>
      </c>
      <c r="CN55" s="127">
        <v>0</v>
      </c>
      <c r="CO55" s="127">
        <v>0</v>
      </c>
      <c r="CP55" s="127">
        <v>0</v>
      </c>
      <c r="CQ55" s="127">
        <v>0</v>
      </c>
      <c r="CR55" s="127">
        <v>0</v>
      </c>
      <c r="CS55" s="127">
        <v>0</v>
      </c>
      <c r="CT55" s="127">
        <v>0</v>
      </c>
      <c r="CU55" s="127">
        <v>0</v>
      </c>
      <c r="CV55" s="127">
        <v>0</v>
      </c>
      <c r="CW55" s="127">
        <v>0</v>
      </c>
      <c r="CX55" s="127">
        <v>0</v>
      </c>
    </row>
    <row r="56" spans="1:102" ht="15" customHeight="1" x14ac:dyDescent="0.2">
      <c r="A56" s="123">
        <v>5.4</v>
      </c>
      <c r="B56" s="126">
        <v>1</v>
      </c>
      <c r="C56" s="127">
        <v>1</v>
      </c>
      <c r="D56" s="127">
        <v>1</v>
      </c>
      <c r="E56" s="127">
        <v>1</v>
      </c>
      <c r="F56" s="127">
        <v>1</v>
      </c>
      <c r="G56" s="127">
        <v>0.95</v>
      </c>
      <c r="H56" s="127">
        <v>0.85</v>
      </c>
      <c r="I56" s="127">
        <v>0.8</v>
      </c>
      <c r="J56" s="127">
        <v>0.7</v>
      </c>
      <c r="K56" s="127">
        <v>0.6</v>
      </c>
      <c r="L56" s="127">
        <v>0.5</v>
      </c>
      <c r="M56" s="127">
        <v>0.4</v>
      </c>
      <c r="N56" s="127">
        <v>0.3</v>
      </c>
      <c r="O56" s="127">
        <v>0.2</v>
      </c>
      <c r="P56" s="127">
        <v>0.1</v>
      </c>
      <c r="Q56" s="127">
        <v>0</v>
      </c>
      <c r="R56" s="127">
        <v>0</v>
      </c>
      <c r="S56" s="127">
        <v>0</v>
      </c>
      <c r="T56" s="127">
        <v>0</v>
      </c>
      <c r="U56" s="127">
        <v>0</v>
      </c>
      <c r="V56" s="127">
        <v>0</v>
      </c>
      <c r="W56" s="127">
        <v>0</v>
      </c>
      <c r="X56" s="127">
        <v>0</v>
      </c>
      <c r="Y56" s="127">
        <v>0</v>
      </c>
      <c r="Z56" s="127">
        <v>0</v>
      </c>
      <c r="AA56" s="127">
        <v>0</v>
      </c>
      <c r="AB56" s="127">
        <v>0</v>
      </c>
      <c r="AC56" s="127">
        <v>0</v>
      </c>
      <c r="AD56" s="127">
        <v>0</v>
      </c>
      <c r="AE56" s="127">
        <v>0</v>
      </c>
      <c r="AF56" s="127">
        <v>0</v>
      </c>
      <c r="AG56" s="127">
        <v>0</v>
      </c>
      <c r="AH56" s="127">
        <v>0</v>
      </c>
      <c r="AI56" s="127">
        <v>0</v>
      </c>
      <c r="AJ56" s="127">
        <v>0</v>
      </c>
      <c r="AK56" s="127">
        <v>0</v>
      </c>
      <c r="AL56" s="127">
        <v>0</v>
      </c>
      <c r="AM56" s="127">
        <v>0</v>
      </c>
      <c r="AN56" s="127">
        <v>0</v>
      </c>
      <c r="AO56" s="127">
        <v>0</v>
      </c>
      <c r="AP56" s="127">
        <v>0</v>
      </c>
      <c r="AQ56" s="127">
        <v>0</v>
      </c>
      <c r="AR56" s="127">
        <v>0</v>
      </c>
      <c r="AS56" s="127">
        <v>0</v>
      </c>
      <c r="AT56" s="127">
        <v>0</v>
      </c>
      <c r="AU56" s="127">
        <v>0</v>
      </c>
      <c r="AV56" s="127">
        <v>0</v>
      </c>
      <c r="AW56" s="127">
        <v>0</v>
      </c>
      <c r="AX56" s="127">
        <v>0</v>
      </c>
      <c r="AY56" s="127">
        <v>0</v>
      </c>
      <c r="AZ56" s="127">
        <v>0</v>
      </c>
      <c r="BA56" s="127">
        <v>0</v>
      </c>
      <c r="BB56" s="127">
        <v>0</v>
      </c>
      <c r="BC56" s="127">
        <v>0</v>
      </c>
      <c r="BD56" s="127">
        <v>0</v>
      </c>
      <c r="BE56" s="127">
        <v>0</v>
      </c>
      <c r="BF56" s="127">
        <v>0</v>
      </c>
      <c r="BG56" s="127">
        <v>0</v>
      </c>
      <c r="BH56" s="127">
        <v>0</v>
      </c>
      <c r="BI56" s="127">
        <v>0</v>
      </c>
      <c r="BJ56" s="127">
        <v>0</v>
      </c>
      <c r="BK56" s="127">
        <v>0</v>
      </c>
      <c r="BL56" s="127">
        <v>0</v>
      </c>
      <c r="BM56" s="127">
        <v>0</v>
      </c>
      <c r="BN56" s="127">
        <v>0</v>
      </c>
      <c r="BO56" s="127">
        <v>0</v>
      </c>
      <c r="BP56" s="127">
        <v>0</v>
      </c>
      <c r="BQ56" s="127">
        <v>0</v>
      </c>
      <c r="BR56" s="127">
        <v>0</v>
      </c>
      <c r="BS56" s="127">
        <v>0</v>
      </c>
      <c r="BT56" s="127">
        <v>0</v>
      </c>
      <c r="BU56" s="127">
        <v>0</v>
      </c>
      <c r="BV56" s="127">
        <v>0</v>
      </c>
      <c r="BW56" s="127">
        <v>0</v>
      </c>
      <c r="BX56" s="127">
        <v>0</v>
      </c>
      <c r="BY56" s="127">
        <v>0</v>
      </c>
      <c r="BZ56" s="127">
        <v>0</v>
      </c>
      <c r="CA56" s="127">
        <v>0</v>
      </c>
      <c r="CB56" s="127">
        <v>0</v>
      </c>
      <c r="CC56" s="127">
        <v>0</v>
      </c>
      <c r="CD56" s="127">
        <v>0</v>
      </c>
      <c r="CE56" s="127">
        <v>0</v>
      </c>
      <c r="CF56" s="127">
        <v>0</v>
      </c>
      <c r="CG56" s="127">
        <v>0</v>
      </c>
      <c r="CH56" s="127">
        <v>0</v>
      </c>
      <c r="CI56" s="127">
        <v>0</v>
      </c>
      <c r="CJ56" s="127">
        <v>0</v>
      </c>
      <c r="CK56" s="127">
        <v>0</v>
      </c>
      <c r="CL56" s="127">
        <v>0</v>
      </c>
      <c r="CM56" s="127">
        <v>0</v>
      </c>
      <c r="CN56" s="127">
        <v>0</v>
      </c>
      <c r="CO56" s="127">
        <v>0</v>
      </c>
      <c r="CP56" s="127">
        <v>0</v>
      </c>
      <c r="CQ56" s="127">
        <v>0</v>
      </c>
      <c r="CR56" s="127">
        <v>0</v>
      </c>
      <c r="CS56" s="127">
        <v>0</v>
      </c>
      <c r="CT56" s="127">
        <v>0</v>
      </c>
      <c r="CU56" s="127">
        <v>0</v>
      </c>
      <c r="CV56" s="127">
        <v>0</v>
      </c>
      <c r="CW56" s="127">
        <v>0</v>
      </c>
      <c r="CX56" s="127">
        <v>0</v>
      </c>
    </row>
    <row r="57" spans="1:102" ht="15" customHeight="1" x14ac:dyDescent="0.2">
      <c r="A57" s="123">
        <v>5.5</v>
      </c>
      <c r="B57" s="126">
        <v>1</v>
      </c>
      <c r="C57" s="127">
        <v>1</v>
      </c>
      <c r="D57" s="127">
        <v>1</v>
      </c>
      <c r="E57" s="127">
        <v>1</v>
      </c>
      <c r="F57" s="127">
        <v>1</v>
      </c>
      <c r="G57" s="127">
        <v>0.95</v>
      </c>
      <c r="H57" s="127">
        <v>0.85</v>
      </c>
      <c r="I57" s="127">
        <v>0.8</v>
      </c>
      <c r="J57" s="127">
        <v>0.7</v>
      </c>
      <c r="K57" s="127">
        <v>0.6</v>
      </c>
      <c r="L57" s="127">
        <v>0.5</v>
      </c>
      <c r="M57" s="127">
        <v>0.4</v>
      </c>
      <c r="N57" s="127">
        <v>0.3</v>
      </c>
      <c r="O57" s="127">
        <v>0.2</v>
      </c>
      <c r="P57" s="127">
        <v>0.1</v>
      </c>
      <c r="Q57" s="127">
        <v>0</v>
      </c>
      <c r="R57" s="127">
        <v>0</v>
      </c>
      <c r="S57" s="127">
        <v>0</v>
      </c>
      <c r="T57" s="127">
        <v>0</v>
      </c>
      <c r="U57" s="127">
        <v>0</v>
      </c>
      <c r="V57" s="127">
        <v>0</v>
      </c>
      <c r="W57" s="127">
        <v>0</v>
      </c>
      <c r="X57" s="127">
        <v>0</v>
      </c>
      <c r="Y57" s="127">
        <v>0</v>
      </c>
      <c r="Z57" s="127">
        <v>0</v>
      </c>
      <c r="AA57" s="127">
        <v>0</v>
      </c>
      <c r="AB57" s="127">
        <v>0</v>
      </c>
      <c r="AC57" s="127">
        <v>0</v>
      </c>
      <c r="AD57" s="127">
        <v>0</v>
      </c>
      <c r="AE57" s="127">
        <v>0</v>
      </c>
      <c r="AF57" s="127">
        <v>0</v>
      </c>
      <c r="AG57" s="127">
        <v>0</v>
      </c>
      <c r="AH57" s="127">
        <v>0</v>
      </c>
      <c r="AI57" s="127">
        <v>0</v>
      </c>
      <c r="AJ57" s="127">
        <v>0</v>
      </c>
      <c r="AK57" s="127">
        <v>0</v>
      </c>
      <c r="AL57" s="127">
        <v>0</v>
      </c>
      <c r="AM57" s="127">
        <v>0</v>
      </c>
      <c r="AN57" s="127">
        <v>0</v>
      </c>
      <c r="AO57" s="127">
        <v>0</v>
      </c>
      <c r="AP57" s="127">
        <v>0</v>
      </c>
      <c r="AQ57" s="127">
        <v>0</v>
      </c>
      <c r="AR57" s="127">
        <v>0</v>
      </c>
      <c r="AS57" s="127">
        <v>0</v>
      </c>
      <c r="AT57" s="127">
        <v>0</v>
      </c>
      <c r="AU57" s="127">
        <v>0</v>
      </c>
      <c r="AV57" s="127">
        <v>0</v>
      </c>
      <c r="AW57" s="127">
        <v>0</v>
      </c>
      <c r="AX57" s="127">
        <v>0</v>
      </c>
      <c r="AY57" s="127">
        <v>0</v>
      </c>
      <c r="AZ57" s="127">
        <v>0</v>
      </c>
      <c r="BA57" s="127">
        <v>0</v>
      </c>
      <c r="BB57" s="127">
        <v>0</v>
      </c>
      <c r="BC57" s="127">
        <v>0</v>
      </c>
      <c r="BD57" s="127">
        <v>0</v>
      </c>
      <c r="BE57" s="127">
        <v>0</v>
      </c>
      <c r="BF57" s="127">
        <v>0</v>
      </c>
      <c r="BG57" s="127">
        <v>0</v>
      </c>
      <c r="BH57" s="127">
        <v>0</v>
      </c>
      <c r="BI57" s="127">
        <v>0</v>
      </c>
      <c r="BJ57" s="127">
        <v>0</v>
      </c>
      <c r="BK57" s="127">
        <v>0</v>
      </c>
      <c r="BL57" s="127">
        <v>0</v>
      </c>
      <c r="BM57" s="127">
        <v>0</v>
      </c>
      <c r="BN57" s="127">
        <v>0</v>
      </c>
      <c r="BO57" s="127">
        <v>0</v>
      </c>
      <c r="BP57" s="127">
        <v>0</v>
      </c>
      <c r="BQ57" s="127">
        <v>0</v>
      </c>
      <c r="BR57" s="127">
        <v>0</v>
      </c>
      <c r="BS57" s="127">
        <v>0</v>
      </c>
      <c r="BT57" s="127">
        <v>0</v>
      </c>
      <c r="BU57" s="127">
        <v>0</v>
      </c>
      <c r="BV57" s="127">
        <v>0</v>
      </c>
      <c r="BW57" s="127">
        <v>0</v>
      </c>
      <c r="BX57" s="127">
        <v>0</v>
      </c>
      <c r="BY57" s="127">
        <v>0</v>
      </c>
      <c r="BZ57" s="127">
        <v>0</v>
      </c>
      <c r="CA57" s="127">
        <v>0</v>
      </c>
      <c r="CB57" s="127">
        <v>0</v>
      </c>
      <c r="CC57" s="127">
        <v>0</v>
      </c>
      <c r="CD57" s="127">
        <v>0</v>
      </c>
      <c r="CE57" s="127">
        <v>0</v>
      </c>
      <c r="CF57" s="127">
        <v>0</v>
      </c>
      <c r="CG57" s="127">
        <v>0</v>
      </c>
      <c r="CH57" s="127">
        <v>0</v>
      </c>
      <c r="CI57" s="127">
        <v>0</v>
      </c>
      <c r="CJ57" s="127">
        <v>0</v>
      </c>
      <c r="CK57" s="127">
        <v>0</v>
      </c>
      <c r="CL57" s="127">
        <v>0</v>
      </c>
      <c r="CM57" s="127">
        <v>0</v>
      </c>
      <c r="CN57" s="127">
        <v>0</v>
      </c>
      <c r="CO57" s="127">
        <v>0</v>
      </c>
      <c r="CP57" s="127">
        <v>0</v>
      </c>
      <c r="CQ57" s="127">
        <v>0</v>
      </c>
      <c r="CR57" s="127">
        <v>0</v>
      </c>
      <c r="CS57" s="127">
        <v>0</v>
      </c>
      <c r="CT57" s="127">
        <v>0</v>
      </c>
      <c r="CU57" s="127">
        <v>0</v>
      </c>
      <c r="CV57" s="127">
        <v>0</v>
      </c>
      <c r="CW57" s="127">
        <v>0</v>
      </c>
      <c r="CX57" s="127">
        <v>0</v>
      </c>
    </row>
    <row r="58" spans="1:102" ht="15" customHeight="1" x14ac:dyDescent="0.2">
      <c r="A58" s="123">
        <v>5.6</v>
      </c>
      <c r="B58" s="126">
        <v>1</v>
      </c>
      <c r="C58" s="127">
        <v>1</v>
      </c>
      <c r="D58" s="127">
        <v>1</v>
      </c>
      <c r="E58" s="127">
        <v>1</v>
      </c>
      <c r="F58" s="127">
        <v>1</v>
      </c>
      <c r="G58" s="127">
        <v>0.95</v>
      </c>
      <c r="H58" s="127">
        <v>0.85</v>
      </c>
      <c r="I58" s="127">
        <v>0.8</v>
      </c>
      <c r="J58" s="127">
        <v>0.7</v>
      </c>
      <c r="K58" s="127">
        <v>0.6</v>
      </c>
      <c r="L58" s="127">
        <v>0.5</v>
      </c>
      <c r="M58" s="127">
        <v>0.4</v>
      </c>
      <c r="N58" s="127">
        <v>0.3</v>
      </c>
      <c r="O58" s="127">
        <v>0.2</v>
      </c>
      <c r="P58" s="127">
        <v>0.1</v>
      </c>
      <c r="Q58" s="127">
        <v>0</v>
      </c>
      <c r="R58" s="127">
        <v>0</v>
      </c>
      <c r="S58" s="127">
        <v>0</v>
      </c>
      <c r="T58" s="127">
        <v>0</v>
      </c>
      <c r="U58" s="127">
        <v>0</v>
      </c>
      <c r="V58" s="127">
        <v>0</v>
      </c>
      <c r="W58" s="127">
        <v>0</v>
      </c>
      <c r="X58" s="127">
        <v>0</v>
      </c>
      <c r="Y58" s="127">
        <v>0</v>
      </c>
      <c r="Z58" s="127">
        <v>0</v>
      </c>
      <c r="AA58" s="127">
        <v>0</v>
      </c>
      <c r="AB58" s="127">
        <v>0</v>
      </c>
      <c r="AC58" s="127">
        <v>0</v>
      </c>
      <c r="AD58" s="127">
        <v>0</v>
      </c>
      <c r="AE58" s="127">
        <v>0</v>
      </c>
      <c r="AF58" s="127">
        <v>0</v>
      </c>
      <c r="AG58" s="127">
        <v>0</v>
      </c>
      <c r="AH58" s="127">
        <v>0</v>
      </c>
      <c r="AI58" s="127">
        <v>0</v>
      </c>
      <c r="AJ58" s="127">
        <v>0</v>
      </c>
      <c r="AK58" s="127">
        <v>0</v>
      </c>
      <c r="AL58" s="127">
        <v>0</v>
      </c>
      <c r="AM58" s="127">
        <v>0</v>
      </c>
      <c r="AN58" s="127">
        <v>0</v>
      </c>
      <c r="AO58" s="127">
        <v>0</v>
      </c>
      <c r="AP58" s="127">
        <v>0</v>
      </c>
      <c r="AQ58" s="127">
        <v>0</v>
      </c>
      <c r="AR58" s="127">
        <v>0</v>
      </c>
      <c r="AS58" s="127">
        <v>0</v>
      </c>
      <c r="AT58" s="127">
        <v>0</v>
      </c>
      <c r="AU58" s="127">
        <v>0</v>
      </c>
      <c r="AV58" s="127">
        <v>0</v>
      </c>
      <c r="AW58" s="127">
        <v>0</v>
      </c>
      <c r="AX58" s="127">
        <v>0</v>
      </c>
      <c r="AY58" s="127">
        <v>0</v>
      </c>
      <c r="AZ58" s="127">
        <v>0</v>
      </c>
      <c r="BA58" s="127">
        <v>0</v>
      </c>
      <c r="BB58" s="127">
        <v>0</v>
      </c>
      <c r="BC58" s="127">
        <v>0</v>
      </c>
      <c r="BD58" s="127">
        <v>0</v>
      </c>
      <c r="BE58" s="127">
        <v>0</v>
      </c>
      <c r="BF58" s="127">
        <v>0</v>
      </c>
      <c r="BG58" s="127">
        <v>0</v>
      </c>
      <c r="BH58" s="127">
        <v>0</v>
      </c>
      <c r="BI58" s="127">
        <v>0</v>
      </c>
      <c r="BJ58" s="127">
        <v>0</v>
      </c>
      <c r="BK58" s="127">
        <v>0</v>
      </c>
      <c r="BL58" s="127">
        <v>0</v>
      </c>
      <c r="BM58" s="127">
        <v>0</v>
      </c>
      <c r="BN58" s="127">
        <v>0</v>
      </c>
      <c r="BO58" s="127">
        <v>0</v>
      </c>
      <c r="BP58" s="127">
        <v>0</v>
      </c>
      <c r="BQ58" s="127">
        <v>0</v>
      </c>
      <c r="BR58" s="127">
        <v>0</v>
      </c>
      <c r="BS58" s="127">
        <v>0</v>
      </c>
      <c r="BT58" s="127">
        <v>0</v>
      </c>
      <c r="BU58" s="127">
        <v>0</v>
      </c>
      <c r="BV58" s="127">
        <v>0</v>
      </c>
      <c r="BW58" s="127">
        <v>0</v>
      </c>
      <c r="BX58" s="127">
        <v>0</v>
      </c>
      <c r="BY58" s="127">
        <v>0</v>
      </c>
      <c r="BZ58" s="127">
        <v>0</v>
      </c>
      <c r="CA58" s="127">
        <v>0</v>
      </c>
      <c r="CB58" s="127">
        <v>0</v>
      </c>
      <c r="CC58" s="127">
        <v>0</v>
      </c>
      <c r="CD58" s="127">
        <v>0</v>
      </c>
      <c r="CE58" s="127">
        <v>0</v>
      </c>
      <c r="CF58" s="127">
        <v>0</v>
      </c>
      <c r="CG58" s="127">
        <v>0</v>
      </c>
      <c r="CH58" s="127">
        <v>0</v>
      </c>
      <c r="CI58" s="127">
        <v>0</v>
      </c>
      <c r="CJ58" s="127">
        <v>0</v>
      </c>
      <c r="CK58" s="127">
        <v>0</v>
      </c>
      <c r="CL58" s="127">
        <v>0</v>
      </c>
      <c r="CM58" s="127">
        <v>0</v>
      </c>
      <c r="CN58" s="127">
        <v>0</v>
      </c>
      <c r="CO58" s="127">
        <v>0</v>
      </c>
      <c r="CP58" s="127">
        <v>0</v>
      </c>
      <c r="CQ58" s="127">
        <v>0</v>
      </c>
      <c r="CR58" s="127">
        <v>0</v>
      </c>
      <c r="CS58" s="127">
        <v>0</v>
      </c>
      <c r="CT58" s="127">
        <v>0</v>
      </c>
      <c r="CU58" s="127">
        <v>0</v>
      </c>
      <c r="CV58" s="127">
        <v>0</v>
      </c>
      <c r="CW58" s="127">
        <v>0</v>
      </c>
      <c r="CX58" s="127">
        <v>0</v>
      </c>
    </row>
    <row r="59" spans="1:102" ht="15" customHeight="1" x14ac:dyDescent="0.2">
      <c r="A59" s="123">
        <v>5.7</v>
      </c>
      <c r="B59" s="126">
        <v>1</v>
      </c>
      <c r="C59" s="127">
        <v>1</v>
      </c>
      <c r="D59" s="127">
        <v>1</v>
      </c>
      <c r="E59" s="127">
        <v>1</v>
      </c>
      <c r="F59" s="127">
        <v>1</v>
      </c>
      <c r="G59" s="127">
        <v>0.95</v>
      </c>
      <c r="H59" s="127">
        <v>0.85</v>
      </c>
      <c r="I59" s="127">
        <v>0.8</v>
      </c>
      <c r="J59" s="127">
        <v>0.7</v>
      </c>
      <c r="K59" s="127">
        <v>0.6</v>
      </c>
      <c r="L59" s="127">
        <v>0.5</v>
      </c>
      <c r="M59" s="127">
        <v>0.4</v>
      </c>
      <c r="N59" s="127">
        <v>0.3</v>
      </c>
      <c r="O59" s="127">
        <v>0.2</v>
      </c>
      <c r="P59" s="127">
        <v>0.1</v>
      </c>
      <c r="Q59" s="127">
        <v>0</v>
      </c>
      <c r="R59" s="127">
        <v>0</v>
      </c>
      <c r="S59" s="127">
        <v>0</v>
      </c>
      <c r="T59" s="127">
        <v>0</v>
      </c>
      <c r="U59" s="127">
        <v>0</v>
      </c>
      <c r="V59" s="127">
        <v>0</v>
      </c>
      <c r="W59" s="127">
        <v>0</v>
      </c>
      <c r="X59" s="127">
        <v>0</v>
      </c>
      <c r="Y59" s="127">
        <v>0</v>
      </c>
      <c r="Z59" s="127">
        <v>0</v>
      </c>
      <c r="AA59" s="127">
        <v>0</v>
      </c>
      <c r="AB59" s="127">
        <v>0</v>
      </c>
      <c r="AC59" s="127">
        <v>0</v>
      </c>
      <c r="AD59" s="127">
        <v>0</v>
      </c>
      <c r="AE59" s="127">
        <v>0</v>
      </c>
      <c r="AF59" s="127">
        <v>0</v>
      </c>
      <c r="AG59" s="127">
        <v>0</v>
      </c>
      <c r="AH59" s="127">
        <v>0</v>
      </c>
      <c r="AI59" s="127">
        <v>0</v>
      </c>
      <c r="AJ59" s="127">
        <v>0</v>
      </c>
      <c r="AK59" s="127">
        <v>0</v>
      </c>
      <c r="AL59" s="127">
        <v>0</v>
      </c>
      <c r="AM59" s="127">
        <v>0</v>
      </c>
      <c r="AN59" s="127">
        <v>0</v>
      </c>
      <c r="AO59" s="127">
        <v>0</v>
      </c>
      <c r="AP59" s="127">
        <v>0</v>
      </c>
      <c r="AQ59" s="127">
        <v>0</v>
      </c>
      <c r="AR59" s="127">
        <v>0</v>
      </c>
      <c r="AS59" s="127">
        <v>0</v>
      </c>
      <c r="AT59" s="127">
        <v>0</v>
      </c>
      <c r="AU59" s="127">
        <v>0</v>
      </c>
      <c r="AV59" s="127">
        <v>0</v>
      </c>
      <c r="AW59" s="127">
        <v>0</v>
      </c>
      <c r="AX59" s="127">
        <v>0</v>
      </c>
      <c r="AY59" s="127">
        <v>0</v>
      </c>
      <c r="AZ59" s="127">
        <v>0</v>
      </c>
      <c r="BA59" s="127">
        <v>0</v>
      </c>
      <c r="BB59" s="127">
        <v>0</v>
      </c>
      <c r="BC59" s="127">
        <v>0</v>
      </c>
      <c r="BD59" s="127">
        <v>0</v>
      </c>
      <c r="BE59" s="127">
        <v>0</v>
      </c>
      <c r="BF59" s="127">
        <v>0</v>
      </c>
      <c r="BG59" s="127">
        <v>0</v>
      </c>
      <c r="BH59" s="127">
        <v>0</v>
      </c>
      <c r="BI59" s="127">
        <v>0</v>
      </c>
      <c r="BJ59" s="127">
        <v>0</v>
      </c>
      <c r="BK59" s="127">
        <v>0</v>
      </c>
      <c r="BL59" s="127">
        <v>0</v>
      </c>
      <c r="BM59" s="127">
        <v>0</v>
      </c>
      <c r="BN59" s="127">
        <v>0</v>
      </c>
      <c r="BO59" s="127">
        <v>0</v>
      </c>
      <c r="BP59" s="127">
        <v>0</v>
      </c>
      <c r="BQ59" s="127">
        <v>0</v>
      </c>
      <c r="BR59" s="127">
        <v>0</v>
      </c>
      <c r="BS59" s="127">
        <v>0</v>
      </c>
      <c r="BT59" s="127">
        <v>0</v>
      </c>
      <c r="BU59" s="127">
        <v>0</v>
      </c>
      <c r="BV59" s="127">
        <v>0</v>
      </c>
      <c r="BW59" s="127">
        <v>0</v>
      </c>
      <c r="BX59" s="127">
        <v>0</v>
      </c>
      <c r="BY59" s="127">
        <v>0</v>
      </c>
      <c r="BZ59" s="127">
        <v>0</v>
      </c>
      <c r="CA59" s="127">
        <v>0</v>
      </c>
      <c r="CB59" s="127">
        <v>0</v>
      </c>
      <c r="CC59" s="127">
        <v>0</v>
      </c>
      <c r="CD59" s="127">
        <v>0</v>
      </c>
      <c r="CE59" s="127">
        <v>0</v>
      </c>
      <c r="CF59" s="127">
        <v>0</v>
      </c>
      <c r="CG59" s="127">
        <v>0</v>
      </c>
      <c r="CH59" s="127">
        <v>0</v>
      </c>
      <c r="CI59" s="127">
        <v>0</v>
      </c>
      <c r="CJ59" s="127">
        <v>0</v>
      </c>
      <c r="CK59" s="127">
        <v>0</v>
      </c>
      <c r="CL59" s="127">
        <v>0</v>
      </c>
      <c r="CM59" s="127">
        <v>0</v>
      </c>
      <c r="CN59" s="127">
        <v>0</v>
      </c>
      <c r="CO59" s="127">
        <v>0</v>
      </c>
      <c r="CP59" s="127">
        <v>0</v>
      </c>
      <c r="CQ59" s="127">
        <v>0</v>
      </c>
      <c r="CR59" s="127">
        <v>0</v>
      </c>
      <c r="CS59" s="127">
        <v>0</v>
      </c>
      <c r="CT59" s="127">
        <v>0</v>
      </c>
      <c r="CU59" s="127">
        <v>0</v>
      </c>
      <c r="CV59" s="127">
        <v>0</v>
      </c>
      <c r="CW59" s="127">
        <v>0</v>
      </c>
      <c r="CX59" s="127">
        <v>0</v>
      </c>
    </row>
    <row r="60" spans="1:102" ht="15" customHeight="1" x14ac:dyDescent="0.2">
      <c r="A60" s="123">
        <v>5.8</v>
      </c>
      <c r="B60" s="126">
        <v>1</v>
      </c>
      <c r="C60" s="127">
        <v>1</v>
      </c>
      <c r="D60" s="127">
        <v>1</v>
      </c>
      <c r="E60" s="127">
        <v>1</v>
      </c>
      <c r="F60" s="127">
        <v>1</v>
      </c>
      <c r="G60" s="127">
        <v>0.95</v>
      </c>
      <c r="H60" s="127">
        <v>0.85</v>
      </c>
      <c r="I60" s="127">
        <v>0.8</v>
      </c>
      <c r="J60" s="127">
        <v>0.7</v>
      </c>
      <c r="K60" s="127">
        <v>0.6</v>
      </c>
      <c r="L60" s="127">
        <v>0.5</v>
      </c>
      <c r="M60" s="127">
        <v>0.4</v>
      </c>
      <c r="N60" s="127">
        <v>0.3</v>
      </c>
      <c r="O60" s="127">
        <v>0.2</v>
      </c>
      <c r="P60" s="127">
        <v>0.1</v>
      </c>
      <c r="Q60" s="127">
        <v>0</v>
      </c>
      <c r="R60" s="127">
        <v>0</v>
      </c>
      <c r="S60" s="127">
        <v>0</v>
      </c>
      <c r="T60" s="127">
        <v>0</v>
      </c>
      <c r="U60" s="127">
        <v>0</v>
      </c>
      <c r="V60" s="127">
        <v>0</v>
      </c>
      <c r="W60" s="127">
        <v>0</v>
      </c>
      <c r="X60" s="127">
        <v>0</v>
      </c>
      <c r="Y60" s="127">
        <v>0</v>
      </c>
      <c r="Z60" s="127">
        <v>0</v>
      </c>
      <c r="AA60" s="127">
        <v>0</v>
      </c>
      <c r="AB60" s="127">
        <v>0</v>
      </c>
      <c r="AC60" s="127">
        <v>0</v>
      </c>
      <c r="AD60" s="127">
        <v>0</v>
      </c>
      <c r="AE60" s="127">
        <v>0</v>
      </c>
      <c r="AF60" s="127">
        <v>0</v>
      </c>
      <c r="AG60" s="127">
        <v>0</v>
      </c>
      <c r="AH60" s="127">
        <v>0</v>
      </c>
      <c r="AI60" s="127">
        <v>0</v>
      </c>
      <c r="AJ60" s="127">
        <v>0</v>
      </c>
      <c r="AK60" s="127">
        <v>0</v>
      </c>
      <c r="AL60" s="127">
        <v>0</v>
      </c>
      <c r="AM60" s="127">
        <v>0</v>
      </c>
      <c r="AN60" s="127">
        <v>0</v>
      </c>
      <c r="AO60" s="127">
        <v>0</v>
      </c>
      <c r="AP60" s="127">
        <v>0</v>
      </c>
      <c r="AQ60" s="127">
        <v>0</v>
      </c>
      <c r="AR60" s="127">
        <v>0</v>
      </c>
      <c r="AS60" s="127">
        <v>0</v>
      </c>
      <c r="AT60" s="127">
        <v>0</v>
      </c>
      <c r="AU60" s="127">
        <v>0</v>
      </c>
      <c r="AV60" s="127">
        <v>0</v>
      </c>
      <c r="AW60" s="127">
        <v>0</v>
      </c>
      <c r="AX60" s="127">
        <v>0</v>
      </c>
      <c r="AY60" s="127">
        <v>0</v>
      </c>
      <c r="AZ60" s="127">
        <v>0</v>
      </c>
      <c r="BA60" s="127">
        <v>0</v>
      </c>
      <c r="BB60" s="127">
        <v>0</v>
      </c>
      <c r="BC60" s="127">
        <v>0</v>
      </c>
      <c r="BD60" s="127">
        <v>0</v>
      </c>
      <c r="BE60" s="127">
        <v>0</v>
      </c>
      <c r="BF60" s="127">
        <v>0</v>
      </c>
      <c r="BG60" s="127">
        <v>0</v>
      </c>
      <c r="BH60" s="127">
        <v>0</v>
      </c>
      <c r="BI60" s="127">
        <v>0</v>
      </c>
      <c r="BJ60" s="127">
        <v>0</v>
      </c>
      <c r="BK60" s="127">
        <v>0</v>
      </c>
      <c r="BL60" s="127">
        <v>0</v>
      </c>
      <c r="BM60" s="127">
        <v>0</v>
      </c>
      <c r="BN60" s="127">
        <v>0</v>
      </c>
      <c r="BO60" s="127">
        <v>0</v>
      </c>
      <c r="BP60" s="127">
        <v>0</v>
      </c>
      <c r="BQ60" s="127">
        <v>0</v>
      </c>
      <c r="BR60" s="127">
        <v>0</v>
      </c>
      <c r="BS60" s="127">
        <v>0</v>
      </c>
      <c r="BT60" s="127">
        <v>0</v>
      </c>
      <c r="BU60" s="127">
        <v>0</v>
      </c>
      <c r="BV60" s="127">
        <v>0</v>
      </c>
      <c r="BW60" s="127">
        <v>0</v>
      </c>
      <c r="BX60" s="127">
        <v>0</v>
      </c>
      <c r="BY60" s="127">
        <v>0</v>
      </c>
      <c r="BZ60" s="127">
        <v>0</v>
      </c>
      <c r="CA60" s="127">
        <v>0</v>
      </c>
      <c r="CB60" s="127">
        <v>0</v>
      </c>
      <c r="CC60" s="127">
        <v>0</v>
      </c>
      <c r="CD60" s="127">
        <v>0</v>
      </c>
      <c r="CE60" s="127">
        <v>0</v>
      </c>
      <c r="CF60" s="127">
        <v>0</v>
      </c>
      <c r="CG60" s="127">
        <v>0</v>
      </c>
      <c r="CH60" s="127">
        <v>0</v>
      </c>
      <c r="CI60" s="127">
        <v>0</v>
      </c>
      <c r="CJ60" s="127">
        <v>0</v>
      </c>
      <c r="CK60" s="127">
        <v>0</v>
      </c>
      <c r="CL60" s="127">
        <v>0</v>
      </c>
      <c r="CM60" s="127">
        <v>0</v>
      </c>
      <c r="CN60" s="127">
        <v>0</v>
      </c>
      <c r="CO60" s="127">
        <v>0</v>
      </c>
      <c r="CP60" s="127">
        <v>0</v>
      </c>
      <c r="CQ60" s="127">
        <v>0</v>
      </c>
      <c r="CR60" s="127">
        <v>0</v>
      </c>
      <c r="CS60" s="127">
        <v>0</v>
      </c>
      <c r="CT60" s="127">
        <v>0</v>
      </c>
      <c r="CU60" s="127">
        <v>0</v>
      </c>
      <c r="CV60" s="127">
        <v>0</v>
      </c>
      <c r="CW60" s="127">
        <v>0</v>
      </c>
      <c r="CX60" s="127">
        <v>0</v>
      </c>
    </row>
    <row r="61" spans="1:102" ht="15" customHeight="1" x14ac:dyDescent="0.2">
      <c r="A61" s="123">
        <v>5.9</v>
      </c>
      <c r="B61" s="126">
        <v>1</v>
      </c>
      <c r="C61" s="127">
        <v>1</v>
      </c>
      <c r="D61" s="127">
        <v>1</v>
      </c>
      <c r="E61" s="127">
        <v>1</v>
      </c>
      <c r="F61" s="127">
        <v>1</v>
      </c>
      <c r="G61" s="127">
        <v>0.95</v>
      </c>
      <c r="H61" s="127">
        <v>0.85</v>
      </c>
      <c r="I61" s="127">
        <v>0.8</v>
      </c>
      <c r="J61" s="127">
        <v>0.7</v>
      </c>
      <c r="K61" s="127">
        <v>0.6</v>
      </c>
      <c r="L61" s="127">
        <v>0.5</v>
      </c>
      <c r="M61" s="127">
        <v>0.4</v>
      </c>
      <c r="N61" s="127">
        <v>0.3</v>
      </c>
      <c r="O61" s="127">
        <v>0.2</v>
      </c>
      <c r="P61" s="127">
        <v>0.1</v>
      </c>
      <c r="Q61" s="127">
        <v>0</v>
      </c>
      <c r="R61" s="127">
        <v>0</v>
      </c>
      <c r="S61" s="127">
        <v>0</v>
      </c>
      <c r="T61" s="127">
        <v>0</v>
      </c>
      <c r="U61" s="127">
        <v>0</v>
      </c>
      <c r="V61" s="127">
        <v>0</v>
      </c>
      <c r="W61" s="127">
        <v>0</v>
      </c>
      <c r="X61" s="127">
        <v>0</v>
      </c>
      <c r="Y61" s="127">
        <v>0</v>
      </c>
      <c r="Z61" s="127">
        <v>0</v>
      </c>
      <c r="AA61" s="127">
        <v>0</v>
      </c>
      <c r="AB61" s="127">
        <v>0</v>
      </c>
      <c r="AC61" s="127">
        <v>0</v>
      </c>
      <c r="AD61" s="127">
        <v>0</v>
      </c>
      <c r="AE61" s="127">
        <v>0</v>
      </c>
      <c r="AF61" s="127">
        <v>0</v>
      </c>
      <c r="AG61" s="127">
        <v>0</v>
      </c>
      <c r="AH61" s="127">
        <v>0</v>
      </c>
      <c r="AI61" s="127">
        <v>0</v>
      </c>
      <c r="AJ61" s="127">
        <v>0</v>
      </c>
      <c r="AK61" s="127">
        <v>0</v>
      </c>
      <c r="AL61" s="127">
        <v>0</v>
      </c>
      <c r="AM61" s="127">
        <v>0</v>
      </c>
      <c r="AN61" s="127">
        <v>0</v>
      </c>
      <c r="AO61" s="127">
        <v>0</v>
      </c>
      <c r="AP61" s="127">
        <v>0</v>
      </c>
      <c r="AQ61" s="127">
        <v>0</v>
      </c>
      <c r="AR61" s="127">
        <v>0</v>
      </c>
      <c r="AS61" s="127">
        <v>0</v>
      </c>
      <c r="AT61" s="127">
        <v>0</v>
      </c>
      <c r="AU61" s="127">
        <v>0</v>
      </c>
      <c r="AV61" s="127">
        <v>0</v>
      </c>
      <c r="AW61" s="127">
        <v>0</v>
      </c>
      <c r="AX61" s="127">
        <v>0</v>
      </c>
      <c r="AY61" s="127">
        <v>0</v>
      </c>
      <c r="AZ61" s="127">
        <v>0</v>
      </c>
      <c r="BA61" s="127">
        <v>0</v>
      </c>
      <c r="BB61" s="127">
        <v>0</v>
      </c>
      <c r="BC61" s="127">
        <v>0</v>
      </c>
      <c r="BD61" s="127">
        <v>0</v>
      </c>
      <c r="BE61" s="127">
        <v>0</v>
      </c>
      <c r="BF61" s="127">
        <v>0</v>
      </c>
      <c r="BG61" s="127">
        <v>0</v>
      </c>
      <c r="BH61" s="127">
        <v>0</v>
      </c>
      <c r="BI61" s="127">
        <v>0</v>
      </c>
      <c r="BJ61" s="127">
        <v>0</v>
      </c>
      <c r="BK61" s="127">
        <v>0</v>
      </c>
      <c r="BL61" s="127">
        <v>0</v>
      </c>
      <c r="BM61" s="127">
        <v>0</v>
      </c>
      <c r="BN61" s="127">
        <v>0</v>
      </c>
      <c r="BO61" s="127">
        <v>0</v>
      </c>
      <c r="BP61" s="127">
        <v>0</v>
      </c>
      <c r="BQ61" s="127">
        <v>0</v>
      </c>
      <c r="BR61" s="127">
        <v>0</v>
      </c>
      <c r="BS61" s="127">
        <v>0</v>
      </c>
      <c r="BT61" s="127">
        <v>0</v>
      </c>
      <c r="BU61" s="127">
        <v>0</v>
      </c>
      <c r="BV61" s="127">
        <v>0</v>
      </c>
      <c r="BW61" s="127">
        <v>0</v>
      </c>
      <c r="BX61" s="127">
        <v>0</v>
      </c>
      <c r="BY61" s="127">
        <v>0</v>
      </c>
      <c r="BZ61" s="127">
        <v>0</v>
      </c>
      <c r="CA61" s="127">
        <v>0</v>
      </c>
      <c r="CB61" s="127">
        <v>0</v>
      </c>
      <c r="CC61" s="127">
        <v>0</v>
      </c>
      <c r="CD61" s="127">
        <v>0</v>
      </c>
      <c r="CE61" s="127">
        <v>0</v>
      </c>
      <c r="CF61" s="127">
        <v>0</v>
      </c>
      <c r="CG61" s="127">
        <v>0</v>
      </c>
      <c r="CH61" s="127">
        <v>0</v>
      </c>
      <c r="CI61" s="127">
        <v>0</v>
      </c>
      <c r="CJ61" s="127">
        <v>0</v>
      </c>
      <c r="CK61" s="127">
        <v>0</v>
      </c>
      <c r="CL61" s="127">
        <v>0</v>
      </c>
      <c r="CM61" s="127">
        <v>0</v>
      </c>
      <c r="CN61" s="127">
        <v>0</v>
      </c>
      <c r="CO61" s="127">
        <v>0</v>
      </c>
      <c r="CP61" s="127">
        <v>0</v>
      </c>
      <c r="CQ61" s="127">
        <v>0</v>
      </c>
      <c r="CR61" s="127">
        <v>0</v>
      </c>
      <c r="CS61" s="127">
        <v>0</v>
      </c>
      <c r="CT61" s="127">
        <v>0</v>
      </c>
      <c r="CU61" s="127">
        <v>0</v>
      </c>
      <c r="CV61" s="127">
        <v>0</v>
      </c>
      <c r="CW61" s="127">
        <v>0</v>
      </c>
      <c r="CX61" s="127">
        <v>0</v>
      </c>
    </row>
    <row r="62" spans="1:102" ht="15" customHeight="1" x14ac:dyDescent="0.2">
      <c r="A62" s="123">
        <v>6</v>
      </c>
      <c r="B62" s="126">
        <v>1</v>
      </c>
      <c r="C62" s="127">
        <v>1</v>
      </c>
      <c r="D62" s="127">
        <v>1</v>
      </c>
      <c r="E62" s="127">
        <v>1</v>
      </c>
      <c r="F62" s="127">
        <v>1</v>
      </c>
      <c r="G62" s="127">
        <v>0.95</v>
      </c>
      <c r="H62" s="127">
        <v>0.85</v>
      </c>
      <c r="I62" s="127">
        <v>0.8</v>
      </c>
      <c r="J62" s="127">
        <v>0.7</v>
      </c>
      <c r="K62" s="127">
        <v>0.6</v>
      </c>
      <c r="L62" s="127">
        <v>0.5</v>
      </c>
      <c r="M62" s="127">
        <v>0.4</v>
      </c>
      <c r="N62" s="127">
        <v>0.3</v>
      </c>
      <c r="O62" s="127">
        <v>0.2</v>
      </c>
      <c r="P62" s="127">
        <v>0.1</v>
      </c>
      <c r="Q62" s="127">
        <v>0</v>
      </c>
      <c r="R62" s="127">
        <v>0</v>
      </c>
      <c r="S62" s="127">
        <v>0</v>
      </c>
      <c r="T62" s="127">
        <v>0</v>
      </c>
      <c r="U62" s="127">
        <v>0</v>
      </c>
      <c r="V62" s="127">
        <v>0</v>
      </c>
      <c r="W62" s="127">
        <v>0</v>
      </c>
      <c r="X62" s="127">
        <v>0</v>
      </c>
      <c r="Y62" s="127">
        <v>0</v>
      </c>
      <c r="Z62" s="127">
        <v>0</v>
      </c>
      <c r="AA62" s="127">
        <v>0</v>
      </c>
      <c r="AB62" s="127">
        <v>0</v>
      </c>
      <c r="AC62" s="127">
        <v>0</v>
      </c>
      <c r="AD62" s="127">
        <v>0</v>
      </c>
      <c r="AE62" s="127">
        <v>0</v>
      </c>
      <c r="AF62" s="127">
        <v>0</v>
      </c>
      <c r="AG62" s="127">
        <v>0</v>
      </c>
      <c r="AH62" s="127">
        <v>0</v>
      </c>
      <c r="AI62" s="127">
        <v>0</v>
      </c>
      <c r="AJ62" s="127">
        <v>0</v>
      </c>
      <c r="AK62" s="127">
        <v>0</v>
      </c>
      <c r="AL62" s="127">
        <v>0</v>
      </c>
      <c r="AM62" s="127">
        <v>0</v>
      </c>
      <c r="AN62" s="127">
        <v>0</v>
      </c>
      <c r="AO62" s="127">
        <v>0</v>
      </c>
      <c r="AP62" s="127">
        <v>0</v>
      </c>
      <c r="AQ62" s="127">
        <v>0</v>
      </c>
      <c r="AR62" s="127">
        <v>0</v>
      </c>
      <c r="AS62" s="127">
        <v>0</v>
      </c>
      <c r="AT62" s="127">
        <v>0</v>
      </c>
      <c r="AU62" s="127">
        <v>0</v>
      </c>
      <c r="AV62" s="127">
        <v>0</v>
      </c>
      <c r="AW62" s="127">
        <v>0</v>
      </c>
      <c r="AX62" s="127">
        <v>0</v>
      </c>
      <c r="AY62" s="127">
        <v>0</v>
      </c>
      <c r="AZ62" s="127">
        <v>0</v>
      </c>
      <c r="BA62" s="127">
        <v>0</v>
      </c>
      <c r="BB62" s="127">
        <v>0</v>
      </c>
      <c r="BC62" s="127">
        <v>0</v>
      </c>
      <c r="BD62" s="127">
        <v>0</v>
      </c>
      <c r="BE62" s="127">
        <v>0</v>
      </c>
      <c r="BF62" s="127">
        <v>0</v>
      </c>
      <c r="BG62" s="127">
        <v>0</v>
      </c>
      <c r="BH62" s="127">
        <v>0</v>
      </c>
      <c r="BI62" s="127">
        <v>0</v>
      </c>
      <c r="BJ62" s="127">
        <v>0</v>
      </c>
      <c r="BK62" s="127">
        <v>0</v>
      </c>
      <c r="BL62" s="127">
        <v>0</v>
      </c>
      <c r="BM62" s="127">
        <v>0</v>
      </c>
      <c r="BN62" s="127">
        <v>0</v>
      </c>
      <c r="BO62" s="127">
        <v>0</v>
      </c>
      <c r="BP62" s="127">
        <v>0</v>
      </c>
      <c r="BQ62" s="127">
        <v>0</v>
      </c>
      <c r="BR62" s="127">
        <v>0</v>
      </c>
      <c r="BS62" s="127">
        <v>0</v>
      </c>
      <c r="BT62" s="127">
        <v>0</v>
      </c>
      <c r="BU62" s="127">
        <v>0</v>
      </c>
      <c r="BV62" s="127">
        <v>0</v>
      </c>
      <c r="BW62" s="127">
        <v>0</v>
      </c>
      <c r="BX62" s="127">
        <v>0</v>
      </c>
      <c r="BY62" s="127">
        <v>0</v>
      </c>
      <c r="BZ62" s="127">
        <v>0</v>
      </c>
      <c r="CA62" s="127">
        <v>0</v>
      </c>
      <c r="CB62" s="127">
        <v>0</v>
      </c>
      <c r="CC62" s="127">
        <v>0</v>
      </c>
      <c r="CD62" s="127">
        <v>0</v>
      </c>
      <c r="CE62" s="127">
        <v>0</v>
      </c>
      <c r="CF62" s="127">
        <v>0</v>
      </c>
      <c r="CG62" s="127">
        <v>0</v>
      </c>
      <c r="CH62" s="127">
        <v>0</v>
      </c>
      <c r="CI62" s="127">
        <v>0</v>
      </c>
      <c r="CJ62" s="127">
        <v>0</v>
      </c>
      <c r="CK62" s="127">
        <v>0</v>
      </c>
      <c r="CL62" s="127">
        <v>0</v>
      </c>
      <c r="CM62" s="127">
        <v>0</v>
      </c>
      <c r="CN62" s="127">
        <v>0</v>
      </c>
      <c r="CO62" s="127">
        <v>0</v>
      </c>
      <c r="CP62" s="127">
        <v>0</v>
      </c>
      <c r="CQ62" s="127">
        <v>0</v>
      </c>
      <c r="CR62" s="127">
        <v>0</v>
      </c>
      <c r="CS62" s="127">
        <v>0</v>
      </c>
      <c r="CT62" s="127">
        <v>0</v>
      </c>
      <c r="CU62" s="127">
        <v>0</v>
      </c>
      <c r="CV62" s="127">
        <v>0</v>
      </c>
      <c r="CW62" s="127">
        <v>0</v>
      </c>
      <c r="CX62" s="127">
        <v>0</v>
      </c>
    </row>
    <row r="63" spans="1:102" ht="15" customHeight="1" x14ac:dyDescent="0.2">
      <c r="A63" s="123">
        <v>6.1</v>
      </c>
      <c r="B63" s="126">
        <v>1</v>
      </c>
      <c r="C63" s="127">
        <v>1</v>
      </c>
      <c r="D63" s="127">
        <v>1</v>
      </c>
      <c r="E63" s="127">
        <v>1</v>
      </c>
      <c r="F63" s="127">
        <v>1</v>
      </c>
      <c r="G63" s="127">
        <v>0.95</v>
      </c>
      <c r="H63" s="127">
        <v>0.85</v>
      </c>
      <c r="I63" s="127">
        <v>0.8</v>
      </c>
      <c r="J63" s="127">
        <v>0.7</v>
      </c>
      <c r="K63" s="127">
        <v>0.6</v>
      </c>
      <c r="L63" s="127">
        <v>0.5</v>
      </c>
      <c r="M63" s="127">
        <v>0.4</v>
      </c>
      <c r="N63" s="127">
        <v>0.3</v>
      </c>
      <c r="O63" s="127">
        <v>0.2</v>
      </c>
      <c r="P63" s="127">
        <v>0.1</v>
      </c>
      <c r="Q63" s="127">
        <v>0</v>
      </c>
      <c r="R63" s="127">
        <v>0</v>
      </c>
      <c r="S63" s="127">
        <v>0</v>
      </c>
      <c r="T63" s="127">
        <v>0</v>
      </c>
      <c r="U63" s="127">
        <v>0</v>
      </c>
      <c r="V63" s="127">
        <v>0</v>
      </c>
      <c r="W63" s="127">
        <v>0</v>
      </c>
      <c r="X63" s="127">
        <v>0</v>
      </c>
      <c r="Y63" s="127">
        <v>0</v>
      </c>
      <c r="Z63" s="127">
        <v>0</v>
      </c>
      <c r="AA63" s="127">
        <v>0</v>
      </c>
      <c r="AB63" s="127">
        <v>0</v>
      </c>
      <c r="AC63" s="127">
        <v>0</v>
      </c>
      <c r="AD63" s="127">
        <v>0</v>
      </c>
      <c r="AE63" s="127">
        <v>0</v>
      </c>
      <c r="AF63" s="127">
        <v>0</v>
      </c>
      <c r="AG63" s="127">
        <v>0</v>
      </c>
      <c r="AH63" s="127">
        <v>0</v>
      </c>
      <c r="AI63" s="127">
        <v>0</v>
      </c>
      <c r="AJ63" s="127">
        <v>0</v>
      </c>
      <c r="AK63" s="127">
        <v>0</v>
      </c>
      <c r="AL63" s="127">
        <v>0</v>
      </c>
      <c r="AM63" s="127">
        <v>0</v>
      </c>
      <c r="AN63" s="127">
        <v>0</v>
      </c>
      <c r="AO63" s="127">
        <v>0</v>
      </c>
      <c r="AP63" s="127">
        <v>0</v>
      </c>
      <c r="AQ63" s="127">
        <v>0</v>
      </c>
      <c r="AR63" s="127">
        <v>0</v>
      </c>
      <c r="AS63" s="127">
        <v>0</v>
      </c>
      <c r="AT63" s="127">
        <v>0</v>
      </c>
      <c r="AU63" s="127">
        <v>0</v>
      </c>
      <c r="AV63" s="127">
        <v>0</v>
      </c>
      <c r="AW63" s="127">
        <v>0</v>
      </c>
      <c r="AX63" s="127">
        <v>0</v>
      </c>
      <c r="AY63" s="127">
        <v>0</v>
      </c>
      <c r="AZ63" s="127">
        <v>0</v>
      </c>
      <c r="BA63" s="127">
        <v>0</v>
      </c>
      <c r="BB63" s="127">
        <v>0</v>
      </c>
      <c r="BC63" s="127">
        <v>0</v>
      </c>
      <c r="BD63" s="127">
        <v>0</v>
      </c>
      <c r="BE63" s="127">
        <v>0</v>
      </c>
      <c r="BF63" s="127">
        <v>0</v>
      </c>
      <c r="BG63" s="127">
        <v>0</v>
      </c>
      <c r="BH63" s="127">
        <v>0</v>
      </c>
      <c r="BI63" s="127">
        <v>0</v>
      </c>
      <c r="BJ63" s="127">
        <v>0</v>
      </c>
      <c r="BK63" s="127">
        <v>0</v>
      </c>
      <c r="BL63" s="127">
        <v>0</v>
      </c>
      <c r="BM63" s="127">
        <v>0</v>
      </c>
      <c r="BN63" s="127">
        <v>0</v>
      </c>
      <c r="BO63" s="127">
        <v>0</v>
      </c>
      <c r="BP63" s="127">
        <v>0</v>
      </c>
      <c r="BQ63" s="127">
        <v>0</v>
      </c>
      <c r="BR63" s="127">
        <v>0</v>
      </c>
      <c r="BS63" s="127">
        <v>0</v>
      </c>
      <c r="BT63" s="127">
        <v>0</v>
      </c>
      <c r="BU63" s="127">
        <v>0</v>
      </c>
      <c r="BV63" s="127">
        <v>0</v>
      </c>
      <c r="BW63" s="127">
        <v>0</v>
      </c>
      <c r="BX63" s="127">
        <v>0</v>
      </c>
      <c r="BY63" s="127">
        <v>0</v>
      </c>
      <c r="BZ63" s="127">
        <v>0</v>
      </c>
      <c r="CA63" s="127">
        <v>0</v>
      </c>
      <c r="CB63" s="127">
        <v>0</v>
      </c>
      <c r="CC63" s="127">
        <v>0</v>
      </c>
      <c r="CD63" s="127">
        <v>0</v>
      </c>
      <c r="CE63" s="127">
        <v>0</v>
      </c>
      <c r="CF63" s="127">
        <v>0</v>
      </c>
      <c r="CG63" s="127">
        <v>0</v>
      </c>
      <c r="CH63" s="127">
        <v>0</v>
      </c>
      <c r="CI63" s="127">
        <v>0</v>
      </c>
      <c r="CJ63" s="127">
        <v>0</v>
      </c>
      <c r="CK63" s="127">
        <v>0</v>
      </c>
      <c r="CL63" s="127">
        <v>0</v>
      </c>
      <c r="CM63" s="127">
        <v>0</v>
      </c>
      <c r="CN63" s="127">
        <v>0</v>
      </c>
      <c r="CO63" s="127">
        <v>0</v>
      </c>
      <c r="CP63" s="127">
        <v>0</v>
      </c>
      <c r="CQ63" s="127">
        <v>0</v>
      </c>
      <c r="CR63" s="127">
        <v>0</v>
      </c>
      <c r="CS63" s="127">
        <v>0</v>
      </c>
      <c r="CT63" s="127">
        <v>0</v>
      </c>
      <c r="CU63" s="127">
        <v>0</v>
      </c>
      <c r="CV63" s="127">
        <v>0</v>
      </c>
      <c r="CW63" s="127">
        <v>0</v>
      </c>
      <c r="CX63" s="127">
        <v>0</v>
      </c>
    </row>
    <row r="64" spans="1:102" ht="15" customHeight="1" x14ac:dyDescent="0.2">
      <c r="A64" s="123">
        <v>6.2</v>
      </c>
      <c r="B64" s="126">
        <v>1</v>
      </c>
      <c r="C64" s="127">
        <v>1</v>
      </c>
      <c r="D64" s="127">
        <v>1</v>
      </c>
      <c r="E64" s="127">
        <v>1</v>
      </c>
      <c r="F64" s="127">
        <v>1</v>
      </c>
      <c r="G64" s="127">
        <v>0.95</v>
      </c>
      <c r="H64" s="127">
        <v>0.85</v>
      </c>
      <c r="I64" s="127">
        <v>0.8</v>
      </c>
      <c r="J64" s="127">
        <v>0.7</v>
      </c>
      <c r="K64" s="127">
        <v>0.6</v>
      </c>
      <c r="L64" s="127">
        <v>0.5</v>
      </c>
      <c r="M64" s="127">
        <v>0.4</v>
      </c>
      <c r="N64" s="127">
        <v>0.3</v>
      </c>
      <c r="O64" s="127">
        <v>0.2</v>
      </c>
      <c r="P64" s="127">
        <v>0.1</v>
      </c>
      <c r="Q64" s="127">
        <v>0</v>
      </c>
      <c r="R64" s="127">
        <v>0</v>
      </c>
      <c r="S64" s="127">
        <v>0</v>
      </c>
      <c r="T64" s="127">
        <v>0</v>
      </c>
      <c r="U64" s="127">
        <v>0</v>
      </c>
      <c r="V64" s="127">
        <v>0</v>
      </c>
      <c r="W64" s="127">
        <v>0</v>
      </c>
      <c r="X64" s="127">
        <v>0</v>
      </c>
      <c r="Y64" s="127">
        <v>0</v>
      </c>
      <c r="Z64" s="127">
        <v>0</v>
      </c>
      <c r="AA64" s="127">
        <v>0</v>
      </c>
      <c r="AB64" s="127">
        <v>0</v>
      </c>
      <c r="AC64" s="127">
        <v>0</v>
      </c>
      <c r="AD64" s="127">
        <v>0</v>
      </c>
      <c r="AE64" s="127">
        <v>0</v>
      </c>
      <c r="AF64" s="127">
        <v>0</v>
      </c>
      <c r="AG64" s="127">
        <v>0</v>
      </c>
      <c r="AH64" s="127">
        <v>0</v>
      </c>
      <c r="AI64" s="127">
        <v>0</v>
      </c>
      <c r="AJ64" s="127">
        <v>0</v>
      </c>
      <c r="AK64" s="127">
        <v>0</v>
      </c>
      <c r="AL64" s="127">
        <v>0</v>
      </c>
      <c r="AM64" s="127">
        <v>0</v>
      </c>
      <c r="AN64" s="127">
        <v>0</v>
      </c>
      <c r="AO64" s="127">
        <v>0</v>
      </c>
      <c r="AP64" s="127">
        <v>0</v>
      </c>
      <c r="AQ64" s="127">
        <v>0</v>
      </c>
      <c r="AR64" s="127">
        <v>0</v>
      </c>
      <c r="AS64" s="127">
        <v>0</v>
      </c>
      <c r="AT64" s="127">
        <v>0</v>
      </c>
      <c r="AU64" s="127">
        <v>0</v>
      </c>
      <c r="AV64" s="127">
        <v>0</v>
      </c>
      <c r="AW64" s="127">
        <v>0</v>
      </c>
      <c r="AX64" s="127">
        <v>0</v>
      </c>
      <c r="AY64" s="127">
        <v>0</v>
      </c>
      <c r="AZ64" s="127">
        <v>0</v>
      </c>
      <c r="BA64" s="127">
        <v>0</v>
      </c>
      <c r="BB64" s="127">
        <v>0</v>
      </c>
      <c r="BC64" s="127">
        <v>0</v>
      </c>
      <c r="BD64" s="127">
        <v>0</v>
      </c>
      <c r="BE64" s="127">
        <v>0</v>
      </c>
      <c r="BF64" s="127">
        <v>0</v>
      </c>
      <c r="BG64" s="127">
        <v>0</v>
      </c>
      <c r="BH64" s="127">
        <v>0</v>
      </c>
      <c r="BI64" s="127">
        <v>0</v>
      </c>
      <c r="BJ64" s="127">
        <v>0</v>
      </c>
      <c r="BK64" s="127">
        <v>0</v>
      </c>
      <c r="BL64" s="127">
        <v>0</v>
      </c>
      <c r="BM64" s="127">
        <v>0</v>
      </c>
      <c r="BN64" s="127">
        <v>0</v>
      </c>
      <c r="BO64" s="127">
        <v>0</v>
      </c>
      <c r="BP64" s="127">
        <v>0</v>
      </c>
      <c r="BQ64" s="127">
        <v>0</v>
      </c>
      <c r="BR64" s="127">
        <v>0</v>
      </c>
      <c r="BS64" s="127">
        <v>0</v>
      </c>
      <c r="BT64" s="127">
        <v>0</v>
      </c>
      <c r="BU64" s="127">
        <v>0</v>
      </c>
      <c r="BV64" s="127">
        <v>0</v>
      </c>
      <c r="BW64" s="127">
        <v>0</v>
      </c>
      <c r="BX64" s="127">
        <v>0</v>
      </c>
      <c r="BY64" s="127">
        <v>0</v>
      </c>
      <c r="BZ64" s="127">
        <v>0</v>
      </c>
      <c r="CA64" s="127">
        <v>0</v>
      </c>
      <c r="CB64" s="127">
        <v>0</v>
      </c>
      <c r="CC64" s="127">
        <v>0</v>
      </c>
      <c r="CD64" s="127">
        <v>0</v>
      </c>
      <c r="CE64" s="127">
        <v>0</v>
      </c>
      <c r="CF64" s="127">
        <v>0</v>
      </c>
      <c r="CG64" s="127">
        <v>0</v>
      </c>
      <c r="CH64" s="127">
        <v>0</v>
      </c>
      <c r="CI64" s="127">
        <v>0</v>
      </c>
      <c r="CJ64" s="127">
        <v>0</v>
      </c>
      <c r="CK64" s="127">
        <v>0</v>
      </c>
      <c r="CL64" s="127">
        <v>0</v>
      </c>
      <c r="CM64" s="127">
        <v>0</v>
      </c>
      <c r="CN64" s="127">
        <v>0</v>
      </c>
      <c r="CO64" s="127">
        <v>0</v>
      </c>
      <c r="CP64" s="127">
        <v>0</v>
      </c>
      <c r="CQ64" s="127">
        <v>0</v>
      </c>
      <c r="CR64" s="127">
        <v>0</v>
      </c>
      <c r="CS64" s="127">
        <v>0</v>
      </c>
      <c r="CT64" s="127">
        <v>0</v>
      </c>
      <c r="CU64" s="127">
        <v>0</v>
      </c>
      <c r="CV64" s="127">
        <v>0</v>
      </c>
      <c r="CW64" s="127">
        <v>0</v>
      </c>
      <c r="CX64" s="127">
        <v>0</v>
      </c>
    </row>
    <row r="65" spans="1:102" ht="15" customHeight="1" x14ac:dyDescent="0.2">
      <c r="A65" s="123">
        <v>6.3</v>
      </c>
      <c r="B65" s="126">
        <v>1</v>
      </c>
      <c r="C65" s="127">
        <v>1</v>
      </c>
      <c r="D65" s="127">
        <v>1</v>
      </c>
      <c r="E65" s="127">
        <v>1</v>
      </c>
      <c r="F65" s="127">
        <v>1</v>
      </c>
      <c r="G65" s="127">
        <v>0.95</v>
      </c>
      <c r="H65" s="127">
        <v>0.85</v>
      </c>
      <c r="I65" s="127">
        <v>0.8</v>
      </c>
      <c r="J65" s="127">
        <v>0.7</v>
      </c>
      <c r="K65" s="127">
        <v>0.6</v>
      </c>
      <c r="L65" s="127">
        <v>0.5</v>
      </c>
      <c r="M65" s="127">
        <v>0.4</v>
      </c>
      <c r="N65" s="127">
        <v>0.3</v>
      </c>
      <c r="O65" s="127">
        <v>0.2</v>
      </c>
      <c r="P65" s="127">
        <v>0.1</v>
      </c>
      <c r="Q65" s="127">
        <v>0</v>
      </c>
      <c r="R65" s="127">
        <v>0</v>
      </c>
      <c r="S65" s="127">
        <v>0</v>
      </c>
      <c r="T65" s="127">
        <v>0</v>
      </c>
      <c r="U65" s="127">
        <v>0</v>
      </c>
      <c r="V65" s="127">
        <v>0</v>
      </c>
      <c r="W65" s="127">
        <v>0</v>
      </c>
      <c r="X65" s="127">
        <v>0</v>
      </c>
      <c r="Y65" s="127">
        <v>0</v>
      </c>
      <c r="Z65" s="127">
        <v>0</v>
      </c>
      <c r="AA65" s="127">
        <v>0</v>
      </c>
      <c r="AB65" s="127">
        <v>0</v>
      </c>
      <c r="AC65" s="127">
        <v>0</v>
      </c>
      <c r="AD65" s="127">
        <v>0</v>
      </c>
      <c r="AE65" s="127">
        <v>0</v>
      </c>
      <c r="AF65" s="127">
        <v>0</v>
      </c>
      <c r="AG65" s="127">
        <v>0</v>
      </c>
      <c r="AH65" s="127">
        <v>0</v>
      </c>
      <c r="AI65" s="127">
        <v>0</v>
      </c>
      <c r="AJ65" s="127">
        <v>0</v>
      </c>
      <c r="AK65" s="127">
        <v>0</v>
      </c>
      <c r="AL65" s="127">
        <v>0</v>
      </c>
      <c r="AM65" s="127">
        <v>0</v>
      </c>
      <c r="AN65" s="127">
        <v>0</v>
      </c>
      <c r="AO65" s="127">
        <v>0</v>
      </c>
      <c r="AP65" s="127">
        <v>0</v>
      </c>
      <c r="AQ65" s="127">
        <v>0</v>
      </c>
      <c r="AR65" s="127">
        <v>0</v>
      </c>
      <c r="AS65" s="127">
        <v>0</v>
      </c>
      <c r="AT65" s="127">
        <v>0</v>
      </c>
      <c r="AU65" s="127">
        <v>0</v>
      </c>
      <c r="AV65" s="127">
        <v>0</v>
      </c>
      <c r="AW65" s="127">
        <v>0</v>
      </c>
      <c r="AX65" s="127">
        <v>0</v>
      </c>
      <c r="AY65" s="127">
        <v>0</v>
      </c>
      <c r="AZ65" s="127">
        <v>0</v>
      </c>
      <c r="BA65" s="127">
        <v>0</v>
      </c>
      <c r="BB65" s="127">
        <v>0</v>
      </c>
      <c r="BC65" s="127">
        <v>0</v>
      </c>
      <c r="BD65" s="127">
        <v>0</v>
      </c>
      <c r="BE65" s="127">
        <v>0</v>
      </c>
      <c r="BF65" s="127">
        <v>0</v>
      </c>
      <c r="BG65" s="127">
        <v>0</v>
      </c>
      <c r="BH65" s="127">
        <v>0</v>
      </c>
      <c r="BI65" s="127">
        <v>0</v>
      </c>
      <c r="BJ65" s="127">
        <v>0</v>
      </c>
      <c r="BK65" s="127">
        <v>0</v>
      </c>
      <c r="BL65" s="127">
        <v>0</v>
      </c>
      <c r="BM65" s="127">
        <v>0</v>
      </c>
      <c r="BN65" s="127">
        <v>0</v>
      </c>
      <c r="BO65" s="127">
        <v>0</v>
      </c>
      <c r="BP65" s="127">
        <v>0</v>
      </c>
      <c r="BQ65" s="127">
        <v>0</v>
      </c>
      <c r="BR65" s="127">
        <v>0</v>
      </c>
      <c r="BS65" s="127">
        <v>0</v>
      </c>
      <c r="BT65" s="127">
        <v>0</v>
      </c>
      <c r="BU65" s="127">
        <v>0</v>
      </c>
      <c r="BV65" s="127">
        <v>0</v>
      </c>
      <c r="BW65" s="127">
        <v>0</v>
      </c>
      <c r="BX65" s="127">
        <v>0</v>
      </c>
      <c r="BY65" s="127">
        <v>0</v>
      </c>
      <c r="BZ65" s="127">
        <v>0</v>
      </c>
      <c r="CA65" s="127">
        <v>0</v>
      </c>
      <c r="CB65" s="127">
        <v>0</v>
      </c>
      <c r="CC65" s="127">
        <v>0</v>
      </c>
      <c r="CD65" s="127">
        <v>0</v>
      </c>
      <c r="CE65" s="127">
        <v>0</v>
      </c>
      <c r="CF65" s="127">
        <v>0</v>
      </c>
      <c r="CG65" s="127">
        <v>0</v>
      </c>
      <c r="CH65" s="127">
        <v>0</v>
      </c>
      <c r="CI65" s="127">
        <v>0</v>
      </c>
      <c r="CJ65" s="127">
        <v>0</v>
      </c>
      <c r="CK65" s="127">
        <v>0</v>
      </c>
      <c r="CL65" s="127">
        <v>0</v>
      </c>
      <c r="CM65" s="127">
        <v>0</v>
      </c>
      <c r="CN65" s="127">
        <v>0</v>
      </c>
      <c r="CO65" s="127">
        <v>0</v>
      </c>
      <c r="CP65" s="127">
        <v>0</v>
      </c>
      <c r="CQ65" s="127">
        <v>0</v>
      </c>
      <c r="CR65" s="127">
        <v>0</v>
      </c>
      <c r="CS65" s="127">
        <v>0</v>
      </c>
      <c r="CT65" s="127">
        <v>0</v>
      </c>
      <c r="CU65" s="127">
        <v>0</v>
      </c>
      <c r="CV65" s="127">
        <v>0</v>
      </c>
      <c r="CW65" s="127">
        <v>0</v>
      </c>
      <c r="CX65" s="127">
        <v>0</v>
      </c>
    </row>
    <row r="66" spans="1:102" ht="15" customHeight="1" x14ac:dyDescent="0.2">
      <c r="A66" s="123">
        <v>6.4</v>
      </c>
      <c r="B66" s="126">
        <v>1</v>
      </c>
      <c r="C66" s="127">
        <v>1</v>
      </c>
      <c r="D66" s="127">
        <v>1</v>
      </c>
      <c r="E66" s="127">
        <v>1</v>
      </c>
      <c r="F66" s="127">
        <v>1</v>
      </c>
      <c r="G66" s="127">
        <v>0.95</v>
      </c>
      <c r="H66" s="127">
        <v>0.85</v>
      </c>
      <c r="I66" s="127">
        <v>0.8</v>
      </c>
      <c r="J66" s="127">
        <v>0.7</v>
      </c>
      <c r="K66" s="127">
        <v>0.6</v>
      </c>
      <c r="L66" s="127">
        <v>0.5</v>
      </c>
      <c r="M66" s="127">
        <v>0.4</v>
      </c>
      <c r="N66" s="127">
        <v>0.3</v>
      </c>
      <c r="O66" s="127">
        <v>0.2</v>
      </c>
      <c r="P66" s="127">
        <v>0.1</v>
      </c>
      <c r="Q66" s="127">
        <v>0</v>
      </c>
      <c r="R66" s="127">
        <v>0</v>
      </c>
      <c r="S66" s="127">
        <v>0</v>
      </c>
      <c r="T66" s="127">
        <v>0</v>
      </c>
      <c r="U66" s="127">
        <v>0</v>
      </c>
      <c r="V66" s="127">
        <v>0</v>
      </c>
      <c r="W66" s="127">
        <v>0</v>
      </c>
      <c r="X66" s="127">
        <v>0</v>
      </c>
      <c r="Y66" s="127">
        <v>0</v>
      </c>
      <c r="Z66" s="127">
        <v>0</v>
      </c>
      <c r="AA66" s="127">
        <v>0</v>
      </c>
      <c r="AB66" s="127">
        <v>0</v>
      </c>
      <c r="AC66" s="127">
        <v>0</v>
      </c>
      <c r="AD66" s="127">
        <v>0</v>
      </c>
      <c r="AE66" s="127">
        <v>0</v>
      </c>
      <c r="AF66" s="127">
        <v>0</v>
      </c>
      <c r="AG66" s="127">
        <v>0</v>
      </c>
      <c r="AH66" s="127">
        <v>0</v>
      </c>
      <c r="AI66" s="127">
        <v>0</v>
      </c>
      <c r="AJ66" s="127">
        <v>0</v>
      </c>
      <c r="AK66" s="127">
        <v>0</v>
      </c>
      <c r="AL66" s="127">
        <v>0</v>
      </c>
      <c r="AM66" s="127">
        <v>0</v>
      </c>
      <c r="AN66" s="127">
        <v>0</v>
      </c>
      <c r="AO66" s="127">
        <v>0</v>
      </c>
      <c r="AP66" s="127">
        <v>0</v>
      </c>
      <c r="AQ66" s="127">
        <v>0</v>
      </c>
      <c r="AR66" s="127">
        <v>0</v>
      </c>
      <c r="AS66" s="127">
        <v>0</v>
      </c>
      <c r="AT66" s="127">
        <v>0</v>
      </c>
      <c r="AU66" s="127">
        <v>0</v>
      </c>
      <c r="AV66" s="127">
        <v>0</v>
      </c>
      <c r="AW66" s="127">
        <v>0</v>
      </c>
      <c r="AX66" s="127">
        <v>0</v>
      </c>
      <c r="AY66" s="127">
        <v>0</v>
      </c>
      <c r="AZ66" s="127">
        <v>0</v>
      </c>
      <c r="BA66" s="127">
        <v>0</v>
      </c>
      <c r="BB66" s="127">
        <v>0</v>
      </c>
      <c r="BC66" s="127">
        <v>0</v>
      </c>
      <c r="BD66" s="127">
        <v>0</v>
      </c>
      <c r="BE66" s="127">
        <v>0</v>
      </c>
      <c r="BF66" s="127">
        <v>0</v>
      </c>
      <c r="BG66" s="127">
        <v>0</v>
      </c>
      <c r="BH66" s="127">
        <v>0</v>
      </c>
      <c r="BI66" s="127">
        <v>0</v>
      </c>
      <c r="BJ66" s="127">
        <v>0</v>
      </c>
      <c r="BK66" s="127">
        <v>0</v>
      </c>
      <c r="BL66" s="127">
        <v>0</v>
      </c>
      <c r="BM66" s="127">
        <v>0</v>
      </c>
      <c r="BN66" s="127">
        <v>0</v>
      </c>
      <c r="BO66" s="127">
        <v>0</v>
      </c>
      <c r="BP66" s="127">
        <v>0</v>
      </c>
      <c r="BQ66" s="127">
        <v>0</v>
      </c>
      <c r="BR66" s="127">
        <v>0</v>
      </c>
      <c r="BS66" s="127">
        <v>0</v>
      </c>
      <c r="BT66" s="127">
        <v>0</v>
      </c>
      <c r="BU66" s="127">
        <v>0</v>
      </c>
      <c r="BV66" s="127">
        <v>0</v>
      </c>
      <c r="BW66" s="127">
        <v>0</v>
      </c>
      <c r="BX66" s="127">
        <v>0</v>
      </c>
      <c r="BY66" s="127">
        <v>0</v>
      </c>
      <c r="BZ66" s="127">
        <v>0</v>
      </c>
      <c r="CA66" s="127">
        <v>0</v>
      </c>
      <c r="CB66" s="127">
        <v>0</v>
      </c>
      <c r="CC66" s="127">
        <v>0</v>
      </c>
      <c r="CD66" s="127">
        <v>0</v>
      </c>
      <c r="CE66" s="127">
        <v>0</v>
      </c>
      <c r="CF66" s="127">
        <v>0</v>
      </c>
      <c r="CG66" s="127">
        <v>0</v>
      </c>
      <c r="CH66" s="127">
        <v>0</v>
      </c>
      <c r="CI66" s="127">
        <v>0</v>
      </c>
      <c r="CJ66" s="127">
        <v>0</v>
      </c>
      <c r="CK66" s="127">
        <v>0</v>
      </c>
      <c r="CL66" s="127">
        <v>0</v>
      </c>
      <c r="CM66" s="127">
        <v>0</v>
      </c>
      <c r="CN66" s="127">
        <v>0</v>
      </c>
      <c r="CO66" s="127">
        <v>0</v>
      </c>
      <c r="CP66" s="127">
        <v>0</v>
      </c>
      <c r="CQ66" s="127">
        <v>0</v>
      </c>
      <c r="CR66" s="127">
        <v>0</v>
      </c>
      <c r="CS66" s="127">
        <v>0</v>
      </c>
      <c r="CT66" s="127">
        <v>0</v>
      </c>
      <c r="CU66" s="127">
        <v>0</v>
      </c>
      <c r="CV66" s="127">
        <v>0</v>
      </c>
      <c r="CW66" s="127">
        <v>0</v>
      </c>
      <c r="CX66" s="127">
        <v>0</v>
      </c>
    </row>
    <row r="67" spans="1:102" ht="15" customHeight="1" x14ac:dyDescent="0.2">
      <c r="A67" s="123">
        <v>6.5</v>
      </c>
      <c r="B67" s="126">
        <v>1</v>
      </c>
      <c r="C67" s="127">
        <v>1</v>
      </c>
      <c r="D67" s="127">
        <v>1</v>
      </c>
      <c r="E67" s="127">
        <v>1</v>
      </c>
      <c r="F67" s="127">
        <v>1</v>
      </c>
      <c r="G67" s="127">
        <v>0.95</v>
      </c>
      <c r="H67" s="127">
        <v>0.85</v>
      </c>
      <c r="I67" s="127">
        <v>0.8</v>
      </c>
      <c r="J67" s="127">
        <v>0.7</v>
      </c>
      <c r="K67" s="127">
        <v>0.6</v>
      </c>
      <c r="L67" s="127">
        <v>0.5</v>
      </c>
      <c r="M67" s="127">
        <v>0.4</v>
      </c>
      <c r="N67" s="127">
        <v>0.3</v>
      </c>
      <c r="O67" s="127">
        <v>0.2</v>
      </c>
      <c r="P67" s="127">
        <v>0.1</v>
      </c>
      <c r="Q67" s="127">
        <v>0</v>
      </c>
      <c r="R67" s="127">
        <v>0</v>
      </c>
      <c r="S67" s="127">
        <v>0</v>
      </c>
      <c r="T67" s="127">
        <v>0</v>
      </c>
      <c r="U67" s="127">
        <v>0</v>
      </c>
      <c r="V67" s="127">
        <v>0</v>
      </c>
      <c r="W67" s="127">
        <v>0</v>
      </c>
      <c r="X67" s="127">
        <v>0</v>
      </c>
      <c r="Y67" s="127">
        <v>0</v>
      </c>
      <c r="Z67" s="127">
        <v>0</v>
      </c>
      <c r="AA67" s="127">
        <v>0</v>
      </c>
      <c r="AB67" s="127">
        <v>0</v>
      </c>
      <c r="AC67" s="127">
        <v>0</v>
      </c>
      <c r="AD67" s="127">
        <v>0</v>
      </c>
      <c r="AE67" s="127">
        <v>0</v>
      </c>
      <c r="AF67" s="127">
        <v>0</v>
      </c>
      <c r="AG67" s="127">
        <v>0</v>
      </c>
      <c r="AH67" s="127">
        <v>0</v>
      </c>
      <c r="AI67" s="127">
        <v>0</v>
      </c>
      <c r="AJ67" s="127">
        <v>0</v>
      </c>
      <c r="AK67" s="127">
        <v>0</v>
      </c>
      <c r="AL67" s="127">
        <v>0</v>
      </c>
      <c r="AM67" s="127">
        <v>0</v>
      </c>
      <c r="AN67" s="127">
        <v>0</v>
      </c>
      <c r="AO67" s="127">
        <v>0</v>
      </c>
      <c r="AP67" s="127">
        <v>0</v>
      </c>
      <c r="AQ67" s="127">
        <v>0</v>
      </c>
      <c r="AR67" s="127">
        <v>0</v>
      </c>
      <c r="AS67" s="127">
        <v>0</v>
      </c>
      <c r="AT67" s="127">
        <v>0</v>
      </c>
      <c r="AU67" s="127">
        <v>0</v>
      </c>
      <c r="AV67" s="127">
        <v>0</v>
      </c>
      <c r="AW67" s="127">
        <v>0</v>
      </c>
      <c r="AX67" s="127">
        <v>0</v>
      </c>
      <c r="AY67" s="127">
        <v>0</v>
      </c>
      <c r="AZ67" s="127">
        <v>0</v>
      </c>
      <c r="BA67" s="127">
        <v>0</v>
      </c>
      <c r="BB67" s="127">
        <v>0</v>
      </c>
      <c r="BC67" s="127">
        <v>0</v>
      </c>
      <c r="BD67" s="127">
        <v>0</v>
      </c>
      <c r="BE67" s="127">
        <v>0</v>
      </c>
      <c r="BF67" s="127">
        <v>0</v>
      </c>
      <c r="BG67" s="127">
        <v>0</v>
      </c>
      <c r="BH67" s="127">
        <v>0</v>
      </c>
      <c r="BI67" s="127">
        <v>0</v>
      </c>
      <c r="BJ67" s="127">
        <v>0</v>
      </c>
      <c r="BK67" s="127">
        <v>0</v>
      </c>
      <c r="BL67" s="127">
        <v>0</v>
      </c>
      <c r="BM67" s="127">
        <v>0</v>
      </c>
      <c r="BN67" s="127">
        <v>0</v>
      </c>
      <c r="BO67" s="127">
        <v>0</v>
      </c>
      <c r="BP67" s="127">
        <v>0</v>
      </c>
      <c r="BQ67" s="127">
        <v>0</v>
      </c>
      <c r="BR67" s="127">
        <v>0</v>
      </c>
      <c r="BS67" s="127">
        <v>0</v>
      </c>
      <c r="BT67" s="127">
        <v>0</v>
      </c>
      <c r="BU67" s="127">
        <v>0</v>
      </c>
      <c r="BV67" s="127">
        <v>0</v>
      </c>
      <c r="BW67" s="127">
        <v>0</v>
      </c>
      <c r="BX67" s="127">
        <v>0</v>
      </c>
      <c r="BY67" s="127">
        <v>0</v>
      </c>
      <c r="BZ67" s="127">
        <v>0</v>
      </c>
      <c r="CA67" s="127">
        <v>0</v>
      </c>
      <c r="CB67" s="127">
        <v>0</v>
      </c>
      <c r="CC67" s="127">
        <v>0</v>
      </c>
      <c r="CD67" s="127">
        <v>0</v>
      </c>
      <c r="CE67" s="127">
        <v>0</v>
      </c>
      <c r="CF67" s="127">
        <v>0</v>
      </c>
      <c r="CG67" s="127">
        <v>0</v>
      </c>
      <c r="CH67" s="127">
        <v>0</v>
      </c>
      <c r="CI67" s="127">
        <v>0</v>
      </c>
      <c r="CJ67" s="127">
        <v>0</v>
      </c>
      <c r="CK67" s="127">
        <v>0</v>
      </c>
      <c r="CL67" s="127">
        <v>0</v>
      </c>
      <c r="CM67" s="127">
        <v>0</v>
      </c>
      <c r="CN67" s="127">
        <v>0</v>
      </c>
      <c r="CO67" s="127">
        <v>0</v>
      </c>
      <c r="CP67" s="127">
        <v>0</v>
      </c>
      <c r="CQ67" s="127">
        <v>0</v>
      </c>
      <c r="CR67" s="127">
        <v>0</v>
      </c>
      <c r="CS67" s="127">
        <v>0</v>
      </c>
      <c r="CT67" s="127">
        <v>0</v>
      </c>
      <c r="CU67" s="127">
        <v>0</v>
      </c>
      <c r="CV67" s="127">
        <v>0</v>
      </c>
      <c r="CW67" s="127">
        <v>0</v>
      </c>
      <c r="CX67" s="127">
        <v>0</v>
      </c>
    </row>
    <row r="68" spans="1:102" ht="15" customHeight="1" x14ac:dyDescent="0.2">
      <c r="A68" s="123">
        <v>6.6</v>
      </c>
      <c r="B68" s="126">
        <v>1</v>
      </c>
      <c r="C68" s="127">
        <v>1</v>
      </c>
      <c r="D68" s="127">
        <v>1</v>
      </c>
      <c r="E68" s="127">
        <v>1</v>
      </c>
      <c r="F68" s="127">
        <v>1</v>
      </c>
      <c r="G68" s="127">
        <v>0.95</v>
      </c>
      <c r="H68" s="127">
        <v>0.85</v>
      </c>
      <c r="I68" s="127">
        <v>0.8</v>
      </c>
      <c r="J68" s="127">
        <v>0.7</v>
      </c>
      <c r="K68" s="127">
        <v>0.6</v>
      </c>
      <c r="L68" s="127">
        <v>0.5</v>
      </c>
      <c r="M68" s="127">
        <v>0.4</v>
      </c>
      <c r="N68" s="127">
        <v>0.3</v>
      </c>
      <c r="O68" s="127">
        <v>0.2</v>
      </c>
      <c r="P68" s="127">
        <v>0.1</v>
      </c>
      <c r="Q68" s="127">
        <v>0</v>
      </c>
      <c r="R68" s="127">
        <v>0</v>
      </c>
      <c r="S68" s="127">
        <v>0</v>
      </c>
      <c r="T68" s="127">
        <v>0</v>
      </c>
      <c r="U68" s="127">
        <v>0</v>
      </c>
      <c r="V68" s="127">
        <v>0</v>
      </c>
      <c r="W68" s="127">
        <v>0</v>
      </c>
      <c r="X68" s="127">
        <v>0</v>
      </c>
      <c r="Y68" s="127">
        <v>0</v>
      </c>
      <c r="Z68" s="127">
        <v>0</v>
      </c>
      <c r="AA68" s="127">
        <v>0</v>
      </c>
      <c r="AB68" s="127">
        <v>0</v>
      </c>
      <c r="AC68" s="127">
        <v>0</v>
      </c>
      <c r="AD68" s="127">
        <v>0</v>
      </c>
      <c r="AE68" s="127">
        <v>0</v>
      </c>
      <c r="AF68" s="127">
        <v>0</v>
      </c>
      <c r="AG68" s="127">
        <v>0</v>
      </c>
      <c r="AH68" s="127">
        <v>0</v>
      </c>
      <c r="AI68" s="127">
        <v>0</v>
      </c>
      <c r="AJ68" s="127">
        <v>0</v>
      </c>
      <c r="AK68" s="127">
        <v>0</v>
      </c>
      <c r="AL68" s="127">
        <v>0</v>
      </c>
      <c r="AM68" s="127">
        <v>0</v>
      </c>
      <c r="AN68" s="127">
        <v>0</v>
      </c>
      <c r="AO68" s="127">
        <v>0</v>
      </c>
      <c r="AP68" s="127">
        <v>0</v>
      </c>
      <c r="AQ68" s="127">
        <v>0</v>
      </c>
      <c r="AR68" s="127">
        <v>0</v>
      </c>
      <c r="AS68" s="127">
        <v>0</v>
      </c>
      <c r="AT68" s="127">
        <v>0</v>
      </c>
      <c r="AU68" s="127">
        <v>0</v>
      </c>
      <c r="AV68" s="127">
        <v>0</v>
      </c>
      <c r="AW68" s="127">
        <v>0</v>
      </c>
      <c r="AX68" s="127">
        <v>0</v>
      </c>
      <c r="AY68" s="127">
        <v>0</v>
      </c>
      <c r="AZ68" s="127">
        <v>0</v>
      </c>
      <c r="BA68" s="127">
        <v>0</v>
      </c>
      <c r="BB68" s="127">
        <v>0</v>
      </c>
      <c r="BC68" s="127">
        <v>0</v>
      </c>
      <c r="BD68" s="127">
        <v>0</v>
      </c>
      <c r="BE68" s="127">
        <v>0</v>
      </c>
      <c r="BF68" s="127">
        <v>0</v>
      </c>
      <c r="BG68" s="127">
        <v>0</v>
      </c>
      <c r="BH68" s="127">
        <v>0</v>
      </c>
      <c r="BI68" s="127">
        <v>0</v>
      </c>
      <c r="BJ68" s="127">
        <v>0</v>
      </c>
      <c r="BK68" s="127">
        <v>0</v>
      </c>
      <c r="BL68" s="127">
        <v>0</v>
      </c>
      <c r="BM68" s="127">
        <v>0</v>
      </c>
      <c r="BN68" s="127">
        <v>0</v>
      </c>
      <c r="BO68" s="127">
        <v>0</v>
      </c>
      <c r="BP68" s="127">
        <v>0</v>
      </c>
      <c r="BQ68" s="127">
        <v>0</v>
      </c>
      <c r="BR68" s="127">
        <v>0</v>
      </c>
      <c r="BS68" s="127">
        <v>0</v>
      </c>
      <c r="BT68" s="127">
        <v>0</v>
      </c>
      <c r="BU68" s="127">
        <v>0</v>
      </c>
      <c r="BV68" s="127">
        <v>0</v>
      </c>
      <c r="BW68" s="127">
        <v>0</v>
      </c>
      <c r="BX68" s="127">
        <v>0</v>
      </c>
      <c r="BY68" s="127">
        <v>0</v>
      </c>
      <c r="BZ68" s="127">
        <v>0</v>
      </c>
      <c r="CA68" s="127">
        <v>0</v>
      </c>
      <c r="CB68" s="127">
        <v>0</v>
      </c>
      <c r="CC68" s="127">
        <v>0</v>
      </c>
      <c r="CD68" s="127">
        <v>0</v>
      </c>
      <c r="CE68" s="127">
        <v>0</v>
      </c>
      <c r="CF68" s="127">
        <v>0</v>
      </c>
      <c r="CG68" s="127">
        <v>0</v>
      </c>
      <c r="CH68" s="127">
        <v>0</v>
      </c>
      <c r="CI68" s="127">
        <v>0</v>
      </c>
      <c r="CJ68" s="127">
        <v>0</v>
      </c>
      <c r="CK68" s="127">
        <v>0</v>
      </c>
      <c r="CL68" s="127">
        <v>0</v>
      </c>
      <c r="CM68" s="127">
        <v>0</v>
      </c>
      <c r="CN68" s="127">
        <v>0</v>
      </c>
      <c r="CO68" s="127">
        <v>0</v>
      </c>
      <c r="CP68" s="127">
        <v>0</v>
      </c>
      <c r="CQ68" s="127">
        <v>0</v>
      </c>
      <c r="CR68" s="127">
        <v>0</v>
      </c>
      <c r="CS68" s="127">
        <v>0</v>
      </c>
      <c r="CT68" s="127">
        <v>0</v>
      </c>
      <c r="CU68" s="127">
        <v>0</v>
      </c>
      <c r="CV68" s="127">
        <v>0</v>
      </c>
      <c r="CW68" s="127">
        <v>0</v>
      </c>
      <c r="CX68" s="127">
        <v>0</v>
      </c>
    </row>
    <row r="69" spans="1:102" ht="15" customHeight="1" x14ac:dyDescent="0.2">
      <c r="A69" s="123">
        <v>6.7</v>
      </c>
      <c r="B69" s="126">
        <v>1</v>
      </c>
      <c r="C69" s="127">
        <v>1</v>
      </c>
      <c r="D69" s="127">
        <v>1</v>
      </c>
      <c r="E69" s="127">
        <v>1</v>
      </c>
      <c r="F69" s="127">
        <v>1</v>
      </c>
      <c r="G69" s="127">
        <v>0.95</v>
      </c>
      <c r="H69" s="127">
        <v>0.85</v>
      </c>
      <c r="I69" s="127">
        <v>0.8</v>
      </c>
      <c r="J69" s="127">
        <v>0.7</v>
      </c>
      <c r="K69" s="127">
        <v>0.6</v>
      </c>
      <c r="L69" s="127">
        <v>0.5</v>
      </c>
      <c r="M69" s="127">
        <v>0.4</v>
      </c>
      <c r="N69" s="127">
        <v>0.3</v>
      </c>
      <c r="O69" s="127">
        <v>0.2</v>
      </c>
      <c r="P69" s="127">
        <v>0.1</v>
      </c>
      <c r="Q69" s="127">
        <v>0</v>
      </c>
      <c r="R69" s="127">
        <v>0</v>
      </c>
      <c r="S69" s="127">
        <v>0</v>
      </c>
      <c r="T69" s="127">
        <v>0</v>
      </c>
      <c r="U69" s="127">
        <v>0</v>
      </c>
      <c r="V69" s="127">
        <v>0</v>
      </c>
      <c r="W69" s="127">
        <v>0</v>
      </c>
      <c r="X69" s="127">
        <v>0</v>
      </c>
      <c r="Y69" s="127">
        <v>0</v>
      </c>
      <c r="Z69" s="127">
        <v>0</v>
      </c>
      <c r="AA69" s="127">
        <v>0</v>
      </c>
      <c r="AB69" s="127">
        <v>0</v>
      </c>
      <c r="AC69" s="127">
        <v>0</v>
      </c>
      <c r="AD69" s="127">
        <v>0</v>
      </c>
      <c r="AE69" s="127">
        <v>0</v>
      </c>
      <c r="AF69" s="127">
        <v>0</v>
      </c>
      <c r="AG69" s="127">
        <v>0</v>
      </c>
      <c r="AH69" s="127">
        <v>0</v>
      </c>
      <c r="AI69" s="127">
        <v>0</v>
      </c>
      <c r="AJ69" s="127">
        <v>0</v>
      </c>
      <c r="AK69" s="127">
        <v>0</v>
      </c>
      <c r="AL69" s="127">
        <v>0</v>
      </c>
      <c r="AM69" s="127">
        <v>0</v>
      </c>
      <c r="AN69" s="127">
        <v>0</v>
      </c>
      <c r="AO69" s="127">
        <v>0</v>
      </c>
      <c r="AP69" s="127">
        <v>0</v>
      </c>
      <c r="AQ69" s="127">
        <v>0</v>
      </c>
      <c r="AR69" s="127">
        <v>0</v>
      </c>
      <c r="AS69" s="127">
        <v>0</v>
      </c>
      <c r="AT69" s="127">
        <v>0</v>
      </c>
      <c r="AU69" s="127">
        <v>0</v>
      </c>
      <c r="AV69" s="127">
        <v>0</v>
      </c>
      <c r="AW69" s="127">
        <v>0</v>
      </c>
      <c r="AX69" s="127">
        <v>0</v>
      </c>
      <c r="AY69" s="127">
        <v>0</v>
      </c>
      <c r="AZ69" s="127">
        <v>0</v>
      </c>
      <c r="BA69" s="127">
        <v>0</v>
      </c>
      <c r="BB69" s="127">
        <v>0</v>
      </c>
      <c r="BC69" s="127">
        <v>0</v>
      </c>
      <c r="BD69" s="127">
        <v>0</v>
      </c>
      <c r="BE69" s="127">
        <v>0</v>
      </c>
      <c r="BF69" s="127">
        <v>0</v>
      </c>
      <c r="BG69" s="127">
        <v>0</v>
      </c>
      <c r="BH69" s="127">
        <v>0</v>
      </c>
      <c r="BI69" s="127">
        <v>0</v>
      </c>
      <c r="BJ69" s="127">
        <v>0</v>
      </c>
      <c r="BK69" s="127">
        <v>0</v>
      </c>
      <c r="BL69" s="127">
        <v>0</v>
      </c>
      <c r="BM69" s="127">
        <v>0</v>
      </c>
      <c r="BN69" s="127">
        <v>0</v>
      </c>
      <c r="BO69" s="127">
        <v>0</v>
      </c>
      <c r="BP69" s="127">
        <v>0</v>
      </c>
      <c r="BQ69" s="127">
        <v>0</v>
      </c>
      <c r="BR69" s="127">
        <v>0</v>
      </c>
      <c r="BS69" s="127">
        <v>0</v>
      </c>
      <c r="BT69" s="127">
        <v>0</v>
      </c>
      <c r="BU69" s="127">
        <v>0</v>
      </c>
      <c r="BV69" s="127">
        <v>0</v>
      </c>
      <c r="BW69" s="127">
        <v>0</v>
      </c>
      <c r="BX69" s="127">
        <v>0</v>
      </c>
      <c r="BY69" s="127">
        <v>0</v>
      </c>
      <c r="BZ69" s="127">
        <v>0</v>
      </c>
      <c r="CA69" s="127">
        <v>0</v>
      </c>
      <c r="CB69" s="127">
        <v>0</v>
      </c>
      <c r="CC69" s="127">
        <v>0</v>
      </c>
      <c r="CD69" s="127">
        <v>0</v>
      </c>
      <c r="CE69" s="127">
        <v>0</v>
      </c>
      <c r="CF69" s="127">
        <v>0</v>
      </c>
      <c r="CG69" s="127">
        <v>0</v>
      </c>
      <c r="CH69" s="127">
        <v>0</v>
      </c>
      <c r="CI69" s="127">
        <v>0</v>
      </c>
      <c r="CJ69" s="127">
        <v>0</v>
      </c>
      <c r="CK69" s="127">
        <v>0</v>
      </c>
      <c r="CL69" s="127">
        <v>0</v>
      </c>
      <c r="CM69" s="127">
        <v>0</v>
      </c>
      <c r="CN69" s="127">
        <v>0</v>
      </c>
      <c r="CO69" s="127">
        <v>0</v>
      </c>
      <c r="CP69" s="127">
        <v>0</v>
      </c>
      <c r="CQ69" s="127">
        <v>0</v>
      </c>
      <c r="CR69" s="127">
        <v>0</v>
      </c>
      <c r="CS69" s="127">
        <v>0</v>
      </c>
      <c r="CT69" s="127">
        <v>0</v>
      </c>
      <c r="CU69" s="127">
        <v>0</v>
      </c>
      <c r="CV69" s="127">
        <v>0</v>
      </c>
      <c r="CW69" s="127">
        <v>0</v>
      </c>
      <c r="CX69" s="127">
        <v>0</v>
      </c>
    </row>
    <row r="70" spans="1:102" ht="15" customHeight="1" x14ac:dyDescent="0.2">
      <c r="A70" s="123">
        <v>6.8</v>
      </c>
      <c r="B70" s="126">
        <v>1</v>
      </c>
      <c r="C70" s="127">
        <v>1</v>
      </c>
      <c r="D70" s="127">
        <v>1</v>
      </c>
      <c r="E70" s="127">
        <v>1</v>
      </c>
      <c r="F70" s="127">
        <v>1</v>
      </c>
      <c r="G70" s="127">
        <v>0.95</v>
      </c>
      <c r="H70" s="127">
        <v>0.85</v>
      </c>
      <c r="I70" s="127">
        <v>0.8</v>
      </c>
      <c r="J70" s="127">
        <v>0.7</v>
      </c>
      <c r="K70" s="127">
        <v>0.6</v>
      </c>
      <c r="L70" s="127">
        <v>0.5</v>
      </c>
      <c r="M70" s="127">
        <v>0.4</v>
      </c>
      <c r="N70" s="127">
        <v>0.3</v>
      </c>
      <c r="O70" s="127">
        <v>0.2</v>
      </c>
      <c r="P70" s="127">
        <v>0.1</v>
      </c>
      <c r="Q70" s="127">
        <v>0</v>
      </c>
      <c r="R70" s="127">
        <v>0</v>
      </c>
      <c r="S70" s="127">
        <v>0</v>
      </c>
      <c r="T70" s="127">
        <v>0</v>
      </c>
      <c r="U70" s="127">
        <v>0</v>
      </c>
      <c r="V70" s="127">
        <v>0</v>
      </c>
      <c r="W70" s="127">
        <v>0</v>
      </c>
      <c r="X70" s="127">
        <v>0</v>
      </c>
      <c r="Y70" s="127">
        <v>0</v>
      </c>
      <c r="Z70" s="127">
        <v>0</v>
      </c>
      <c r="AA70" s="127">
        <v>0</v>
      </c>
      <c r="AB70" s="127">
        <v>0</v>
      </c>
      <c r="AC70" s="127">
        <v>0</v>
      </c>
      <c r="AD70" s="127">
        <v>0</v>
      </c>
      <c r="AE70" s="127">
        <v>0</v>
      </c>
      <c r="AF70" s="127">
        <v>0</v>
      </c>
      <c r="AG70" s="127">
        <v>0</v>
      </c>
      <c r="AH70" s="127">
        <v>0</v>
      </c>
      <c r="AI70" s="127">
        <v>0</v>
      </c>
      <c r="AJ70" s="127">
        <v>0</v>
      </c>
      <c r="AK70" s="127">
        <v>0</v>
      </c>
      <c r="AL70" s="127">
        <v>0</v>
      </c>
      <c r="AM70" s="127">
        <v>0</v>
      </c>
      <c r="AN70" s="127">
        <v>0</v>
      </c>
      <c r="AO70" s="127">
        <v>0</v>
      </c>
      <c r="AP70" s="127">
        <v>0</v>
      </c>
      <c r="AQ70" s="127">
        <v>0</v>
      </c>
      <c r="AR70" s="127">
        <v>0</v>
      </c>
      <c r="AS70" s="127">
        <v>0</v>
      </c>
      <c r="AT70" s="127">
        <v>0</v>
      </c>
      <c r="AU70" s="127">
        <v>0</v>
      </c>
      <c r="AV70" s="127">
        <v>0</v>
      </c>
      <c r="AW70" s="127">
        <v>0</v>
      </c>
      <c r="AX70" s="127">
        <v>0</v>
      </c>
      <c r="AY70" s="127">
        <v>0</v>
      </c>
      <c r="AZ70" s="127">
        <v>0</v>
      </c>
      <c r="BA70" s="127">
        <v>0</v>
      </c>
      <c r="BB70" s="127">
        <v>0</v>
      </c>
      <c r="BC70" s="127">
        <v>0</v>
      </c>
      <c r="BD70" s="127">
        <v>0</v>
      </c>
      <c r="BE70" s="127">
        <v>0</v>
      </c>
      <c r="BF70" s="127">
        <v>0</v>
      </c>
      <c r="BG70" s="127">
        <v>0</v>
      </c>
      <c r="BH70" s="127">
        <v>0</v>
      </c>
      <c r="BI70" s="127">
        <v>0</v>
      </c>
      <c r="BJ70" s="127">
        <v>0</v>
      </c>
      <c r="BK70" s="127">
        <v>0</v>
      </c>
      <c r="BL70" s="127">
        <v>0</v>
      </c>
      <c r="BM70" s="127">
        <v>0</v>
      </c>
      <c r="BN70" s="127">
        <v>0</v>
      </c>
      <c r="BO70" s="127">
        <v>0</v>
      </c>
      <c r="BP70" s="127">
        <v>0</v>
      </c>
      <c r="BQ70" s="127">
        <v>0</v>
      </c>
      <c r="BR70" s="127">
        <v>0</v>
      </c>
      <c r="BS70" s="127">
        <v>0</v>
      </c>
      <c r="BT70" s="127">
        <v>0</v>
      </c>
      <c r="BU70" s="127">
        <v>0</v>
      </c>
      <c r="BV70" s="127">
        <v>0</v>
      </c>
      <c r="BW70" s="127">
        <v>0</v>
      </c>
      <c r="BX70" s="127">
        <v>0</v>
      </c>
      <c r="BY70" s="127">
        <v>0</v>
      </c>
      <c r="BZ70" s="127">
        <v>0</v>
      </c>
      <c r="CA70" s="127">
        <v>0</v>
      </c>
      <c r="CB70" s="127">
        <v>0</v>
      </c>
      <c r="CC70" s="127">
        <v>0</v>
      </c>
      <c r="CD70" s="127">
        <v>0</v>
      </c>
      <c r="CE70" s="127">
        <v>0</v>
      </c>
      <c r="CF70" s="127">
        <v>0</v>
      </c>
      <c r="CG70" s="127">
        <v>0</v>
      </c>
      <c r="CH70" s="127">
        <v>0</v>
      </c>
      <c r="CI70" s="127">
        <v>0</v>
      </c>
      <c r="CJ70" s="127">
        <v>0</v>
      </c>
      <c r="CK70" s="127">
        <v>0</v>
      </c>
      <c r="CL70" s="127">
        <v>0</v>
      </c>
      <c r="CM70" s="127">
        <v>0</v>
      </c>
      <c r="CN70" s="127">
        <v>0</v>
      </c>
      <c r="CO70" s="127">
        <v>0</v>
      </c>
      <c r="CP70" s="127">
        <v>0</v>
      </c>
      <c r="CQ70" s="127">
        <v>0</v>
      </c>
      <c r="CR70" s="127">
        <v>0</v>
      </c>
      <c r="CS70" s="127">
        <v>0</v>
      </c>
      <c r="CT70" s="127">
        <v>0</v>
      </c>
      <c r="CU70" s="127">
        <v>0</v>
      </c>
      <c r="CV70" s="127">
        <v>0</v>
      </c>
      <c r="CW70" s="127">
        <v>0</v>
      </c>
      <c r="CX70" s="127">
        <v>0</v>
      </c>
    </row>
    <row r="71" spans="1:102" ht="15" customHeight="1" x14ac:dyDescent="0.2">
      <c r="A71" s="123">
        <v>6.9</v>
      </c>
      <c r="B71" s="126">
        <v>1</v>
      </c>
      <c r="C71" s="127">
        <v>1</v>
      </c>
      <c r="D71" s="127">
        <v>1</v>
      </c>
      <c r="E71" s="127">
        <v>1</v>
      </c>
      <c r="F71" s="127">
        <v>1</v>
      </c>
      <c r="G71" s="127">
        <v>0.95</v>
      </c>
      <c r="H71" s="127">
        <v>0.85</v>
      </c>
      <c r="I71" s="127">
        <v>0.8</v>
      </c>
      <c r="J71" s="127">
        <v>0.7</v>
      </c>
      <c r="K71" s="127">
        <v>0.6</v>
      </c>
      <c r="L71" s="127">
        <v>0.5</v>
      </c>
      <c r="M71" s="127">
        <v>0.4</v>
      </c>
      <c r="N71" s="127">
        <v>0.3</v>
      </c>
      <c r="O71" s="127">
        <v>0.2</v>
      </c>
      <c r="P71" s="127">
        <v>0.1</v>
      </c>
      <c r="Q71" s="127">
        <v>0</v>
      </c>
      <c r="R71" s="127">
        <v>0</v>
      </c>
      <c r="S71" s="127">
        <v>0</v>
      </c>
      <c r="T71" s="127">
        <v>0</v>
      </c>
      <c r="U71" s="127">
        <v>0</v>
      </c>
      <c r="V71" s="127">
        <v>0</v>
      </c>
      <c r="W71" s="127">
        <v>0</v>
      </c>
      <c r="X71" s="127">
        <v>0</v>
      </c>
      <c r="Y71" s="127">
        <v>0</v>
      </c>
      <c r="Z71" s="127">
        <v>0</v>
      </c>
      <c r="AA71" s="127">
        <v>0</v>
      </c>
      <c r="AB71" s="127">
        <v>0</v>
      </c>
      <c r="AC71" s="127">
        <v>0</v>
      </c>
      <c r="AD71" s="127">
        <v>0</v>
      </c>
      <c r="AE71" s="127">
        <v>0</v>
      </c>
      <c r="AF71" s="127">
        <v>0</v>
      </c>
      <c r="AG71" s="127">
        <v>0</v>
      </c>
      <c r="AH71" s="127">
        <v>0</v>
      </c>
      <c r="AI71" s="127">
        <v>0</v>
      </c>
      <c r="AJ71" s="127">
        <v>0</v>
      </c>
      <c r="AK71" s="127">
        <v>0</v>
      </c>
      <c r="AL71" s="127">
        <v>0</v>
      </c>
      <c r="AM71" s="127">
        <v>0</v>
      </c>
      <c r="AN71" s="127">
        <v>0</v>
      </c>
      <c r="AO71" s="127">
        <v>0</v>
      </c>
      <c r="AP71" s="127">
        <v>0</v>
      </c>
      <c r="AQ71" s="127">
        <v>0</v>
      </c>
      <c r="AR71" s="127">
        <v>0</v>
      </c>
      <c r="AS71" s="127">
        <v>0</v>
      </c>
      <c r="AT71" s="127">
        <v>0</v>
      </c>
      <c r="AU71" s="127">
        <v>0</v>
      </c>
      <c r="AV71" s="127">
        <v>0</v>
      </c>
      <c r="AW71" s="127">
        <v>0</v>
      </c>
      <c r="AX71" s="127">
        <v>0</v>
      </c>
      <c r="AY71" s="127">
        <v>0</v>
      </c>
      <c r="AZ71" s="127">
        <v>0</v>
      </c>
      <c r="BA71" s="127">
        <v>0</v>
      </c>
      <c r="BB71" s="127">
        <v>0</v>
      </c>
      <c r="BC71" s="127">
        <v>0</v>
      </c>
      <c r="BD71" s="127">
        <v>0</v>
      </c>
      <c r="BE71" s="127">
        <v>0</v>
      </c>
      <c r="BF71" s="127">
        <v>0</v>
      </c>
      <c r="BG71" s="127">
        <v>0</v>
      </c>
      <c r="BH71" s="127">
        <v>0</v>
      </c>
      <c r="BI71" s="127">
        <v>0</v>
      </c>
      <c r="BJ71" s="127">
        <v>0</v>
      </c>
      <c r="BK71" s="127">
        <v>0</v>
      </c>
      <c r="BL71" s="127">
        <v>0</v>
      </c>
      <c r="BM71" s="127">
        <v>0</v>
      </c>
      <c r="BN71" s="127">
        <v>0</v>
      </c>
      <c r="BO71" s="127">
        <v>0</v>
      </c>
      <c r="BP71" s="127">
        <v>0</v>
      </c>
      <c r="BQ71" s="127">
        <v>0</v>
      </c>
      <c r="BR71" s="127">
        <v>0</v>
      </c>
      <c r="BS71" s="127">
        <v>0</v>
      </c>
      <c r="BT71" s="127">
        <v>0</v>
      </c>
      <c r="BU71" s="127">
        <v>0</v>
      </c>
      <c r="BV71" s="127">
        <v>0</v>
      </c>
      <c r="BW71" s="127">
        <v>0</v>
      </c>
      <c r="BX71" s="127">
        <v>0</v>
      </c>
      <c r="BY71" s="127">
        <v>0</v>
      </c>
      <c r="BZ71" s="127">
        <v>0</v>
      </c>
      <c r="CA71" s="127">
        <v>0</v>
      </c>
      <c r="CB71" s="127">
        <v>0</v>
      </c>
      <c r="CC71" s="127">
        <v>0</v>
      </c>
      <c r="CD71" s="127">
        <v>0</v>
      </c>
      <c r="CE71" s="127">
        <v>0</v>
      </c>
      <c r="CF71" s="127">
        <v>0</v>
      </c>
      <c r="CG71" s="127">
        <v>0</v>
      </c>
      <c r="CH71" s="127">
        <v>0</v>
      </c>
      <c r="CI71" s="127">
        <v>0</v>
      </c>
      <c r="CJ71" s="127">
        <v>0</v>
      </c>
      <c r="CK71" s="127">
        <v>0</v>
      </c>
      <c r="CL71" s="127">
        <v>0</v>
      </c>
      <c r="CM71" s="127">
        <v>0</v>
      </c>
      <c r="CN71" s="127">
        <v>0</v>
      </c>
      <c r="CO71" s="127">
        <v>0</v>
      </c>
      <c r="CP71" s="127">
        <v>0</v>
      </c>
      <c r="CQ71" s="127">
        <v>0</v>
      </c>
      <c r="CR71" s="127">
        <v>0</v>
      </c>
      <c r="CS71" s="127">
        <v>0</v>
      </c>
      <c r="CT71" s="127">
        <v>0</v>
      </c>
      <c r="CU71" s="127">
        <v>0</v>
      </c>
      <c r="CV71" s="127">
        <v>0</v>
      </c>
      <c r="CW71" s="127">
        <v>0</v>
      </c>
      <c r="CX71" s="127">
        <v>0</v>
      </c>
    </row>
    <row r="72" spans="1:102" ht="15" customHeight="1" x14ac:dyDescent="0.2">
      <c r="A72" s="123">
        <v>7</v>
      </c>
      <c r="B72" s="126">
        <v>1</v>
      </c>
      <c r="C72" s="127">
        <v>1</v>
      </c>
      <c r="D72" s="127">
        <v>1</v>
      </c>
      <c r="E72" s="127">
        <v>1</v>
      </c>
      <c r="F72" s="127">
        <v>1</v>
      </c>
      <c r="G72" s="127">
        <v>0.95</v>
      </c>
      <c r="H72" s="127">
        <v>0.85</v>
      </c>
      <c r="I72" s="127">
        <v>0.8</v>
      </c>
      <c r="J72" s="127">
        <v>0.7</v>
      </c>
      <c r="K72" s="127">
        <v>0.6</v>
      </c>
      <c r="L72" s="127">
        <v>0.5</v>
      </c>
      <c r="M72" s="127">
        <v>0.4</v>
      </c>
      <c r="N72" s="127">
        <v>0.3</v>
      </c>
      <c r="O72" s="127">
        <v>0.2</v>
      </c>
      <c r="P72" s="127">
        <v>0.1</v>
      </c>
      <c r="Q72" s="127">
        <v>0</v>
      </c>
      <c r="R72" s="127">
        <v>0</v>
      </c>
      <c r="S72" s="127">
        <v>0</v>
      </c>
      <c r="T72" s="127">
        <v>0</v>
      </c>
      <c r="U72" s="127">
        <v>0</v>
      </c>
      <c r="V72" s="127">
        <v>0</v>
      </c>
      <c r="W72" s="127">
        <v>0</v>
      </c>
      <c r="X72" s="127">
        <v>0</v>
      </c>
      <c r="Y72" s="127">
        <v>0</v>
      </c>
      <c r="Z72" s="127">
        <v>0</v>
      </c>
      <c r="AA72" s="127">
        <v>0</v>
      </c>
      <c r="AB72" s="127">
        <v>0</v>
      </c>
      <c r="AC72" s="127">
        <v>0</v>
      </c>
      <c r="AD72" s="127">
        <v>0</v>
      </c>
      <c r="AE72" s="127">
        <v>0</v>
      </c>
      <c r="AF72" s="127">
        <v>0</v>
      </c>
      <c r="AG72" s="127">
        <v>0</v>
      </c>
      <c r="AH72" s="127">
        <v>0</v>
      </c>
      <c r="AI72" s="127">
        <v>0</v>
      </c>
      <c r="AJ72" s="127">
        <v>0</v>
      </c>
      <c r="AK72" s="127">
        <v>0</v>
      </c>
      <c r="AL72" s="127">
        <v>0</v>
      </c>
      <c r="AM72" s="127">
        <v>0</v>
      </c>
      <c r="AN72" s="127">
        <v>0</v>
      </c>
      <c r="AO72" s="127">
        <v>0</v>
      </c>
      <c r="AP72" s="127">
        <v>0</v>
      </c>
      <c r="AQ72" s="127">
        <v>0</v>
      </c>
      <c r="AR72" s="127">
        <v>0</v>
      </c>
      <c r="AS72" s="127">
        <v>0</v>
      </c>
      <c r="AT72" s="127">
        <v>0</v>
      </c>
      <c r="AU72" s="127">
        <v>0</v>
      </c>
      <c r="AV72" s="127">
        <v>0</v>
      </c>
      <c r="AW72" s="127">
        <v>0</v>
      </c>
      <c r="AX72" s="127">
        <v>0</v>
      </c>
      <c r="AY72" s="127">
        <v>0</v>
      </c>
      <c r="AZ72" s="127">
        <v>0</v>
      </c>
      <c r="BA72" s="127">
        <v>0</v>
      </c>
      <c r="BB72" s="127">
        <v>0</v>
      </c>
      <c r="BC72" s="127">
        <v>0</v>
      </c>
      <c r="BD72" s="127">
        <v>0</v>
      </c>
      <c r="BE72" s="127">
        <v>0</v>
      </c>
      <c r="BF72" s="127">
        <v>0</v>
      </c>
      <c r="BG72" s="127">
        <v>0</v>
      </c>
      <c r="BH72" s="127">
        <v>0</v>
      </c>
      <c r="BI72" s="127">
        <v>0</v>
      </c>
      <c r="BJ72" s="127">
        <v>0</v>
      </c>
      <c r="BK72" s="127">
        <v>0</v>
      </c>
      <c r="BL72" s="127">
        <v>0</v>
      </c>
      <c r="BM72" s="127">
        <v>0</v>
      </c>
      <c r="BN72" s="127">
        <v>0</v>
      </c>
      <c r="BO72" s="127">
        <v>0</v>
      </c>
      <c r="BP72" s="127">
        <v>0</v>
      </c>
      <c r="BQ72" s="127">
        <v>0</v>
      </c>
      <c r="BR72" s="127">
        <v>0</v>
      </c>
      <c r="BS72" s="127">
        <v>0</v>
      </c>
      <c r="BT72" s="127">
        <v>0</v>
      </c>
      <c r="BU72" s="127">
        <v>0</v>
      </c>
      <c r="BV72" s="127">
        <v>0</v>
      </c>
      <c r="BW72" s="127">
        <v>0</v>
      </c>
      <c r="BX72" s="127">
        <v>0</v>
      </c>
      <c r="BY72" s="127">
        <v>0</v>
      </c>
      <c r="BZ72" s="127">
        <v>0</v>
      </c>
      <c r="CA72" s="127">
        <v>0</v>
      </c>
      <c r="CB72" s="127">
        <v>0</v>
      </c>
      <c r="CC72" s="127">
        <v>0</v>
      </c>
      <c r="CD72" s="127">
        <v>0</v>
      </c>
      <c r="CE72" s="127">
        <v>0</v>
      </c>
      <c r="CF72" s="127">
        <v>0</v>
      </c>
      <c r="CG72" s="127">
        <v>0</v>
      </c>
      <c r="CH72" s="127">
        <v>0</v>
      </c>
      <c r="CI72" s="127">
        <v>0</v>
      </c>
      <c r="CJ72" s="127">
        <v>0</v>
      </c>
      <c r="CK72" s="127">
        <v>0</v>
      </c>
      <c r="CL72" s="127">
        <v>0</v>
      </c>
      <c r="CM72" s="127">
        <v>0</v>
      </c>
      <c r="CN72" s="127">
        <v>0</v>
      </c>
      <c r="CO72" s="127">
        <v>0</v>
      </c>
      <c r="CP72" s="127">
        <v>0</v>
      </c>
      <c r="CQ72" s="127">
        <v>0</v>
      </c>
      <c r="CR72" s="127">
        <v>0</v>
      </c>
      <c r="CS72" s="127">
        <v>0</v>
      </c>
      <c r="CT72" s="127">
        <v>0</v>
      </c>
      <c r="CU72" s="127">
        <v>0</v>
      </c>
      <c r="CV72" s="127">
        <v>0</v>
      </c>
      <c r="CW72" s="127">
        <v>0</v>
      </c>
      <c r="CX72" s="127">
        <v>0</v>
      </c>
    </row>
    <row r="73" spans="1:102" ht="15" customHeight="1" x14ac:dyDescent="0.2">
      <c r="A73" s="123">
        <v>7.1</v>
      </c>
      <c r="B73" s="126">
        <v>1</v>
      </c>
      <c r="C73" s="127">
        <v>1</v>
      </c>
      <c r="D73" s="127">
        <v>1</v>
      </c>
      <c r="E73" s="127">
        <v>1</v>
      </c>
      <c r="F73" s="127">
        <v>1</v>
      </c>
      <c r="G73" s="127">
        <v>0.95</v>
      </c>
      <c r="H73" s="127">
        <v>0.85</v>
      </c>
      <c r="I73" s="127">
        <v>0.8</v>
      </c>
      <c r="J73" s="127">
        <v>0.7</v>
      </c>
      <c r="K73" s="127">
        <v>0.6</v>
      </c>
      <c r="L73" s="127">
        <v>0.5</v>
      </c>
      <c r="M73" s="127">
        <v>0.4</v>
      </c>
      <c r="N73" s="127">
        <v>0.3</v>
      </c>
      <c r="O73" s="127">
        <v>0.2</v>
      </c>
      <c r="P73" s="127">
        <v>0.1</v>
      </c>
      <c r="Q73" s="127">
        <v>0</v>
      </c>
      <c r="R73" s="127">
        <v>0</v>
      </c>
      <c r="S73" s="127">
        <v>0</v>
      </c>
      <c r="T73" s="127">
        <v>0</v>
      </c>
      <c r="U73" s="127">
        <v>0</v>
      </c>
      <c r="V73" s="127">
        <v>0</v>
      </c>
      <c r="W73" s="127">
        <v>0</v>
      </c>
      <c r="X73" s="127">
        <v>0</v>
      </c>
      <c r="Y73" s="127">
        <v>0</v>
      </c>
      <c r="Z73" s="127">
        <v>0</v>
      </c>
      <c r="AA73" s="127">
        <v>0</v>
      </c>
      <c r="AB73" s="127">
        <v>0</v>
      </c>
      <c r="AC73" s="127">
        <v>0</v>
      </c>
      <c r="AD73" s="127">
        <v>0</v>
      </c>
      <c r="AE73" s="127">
        <v>0</v>
      </c>
      <c r="AF73" s="127">
        <v>0</v>
      </c>
      <c r="AG73" s="127">
        <v>0</v>
      </c>
      <c r="AH73" s="127">
        <v>0</v>
      </c>
      <c r="AI73" s="127">
        <v>0</v>
      </c>
      <c r="AJ73" s="127">
        <v>0</v>
      </c>
      <c r="AK73" s="127">
        <v>0</v>
      </c>
      <c r="AL73" s="127">
        <v>0</v>
      </c>
      <c r="AM73" s="127">
        <v>0</v>
      </c>
      <c r="AN73" s="127">
        <v>0</v>
      </c>
      <c r="AO73" s="127">
        <v>0</v>
      </c>
      <c r="AP73" s="127">
        <v>0</v>
      </c>
      <c r="AQ73" s="127">
        <v>0</v>
      </c>
      <c r="AR73" s="127">
        <v>0</v>
      </c>
      <c r="AS73" s="127">
        <v>0</v>
      </c>
      <c r="AT73" s="127">
        <v>0</v>
      </c>
      <c r="AU73" s="127">
        <v>0</v>
      </c>
      <c r="AV73" s="127">
        <v>0</v>
      </c>
      <c r="AW73" s="127">
        <v>0</v>
      </c>
      <c r="AX73" s="127">
        <v>0</v>
      </c>
      <c r="AY73" s="127">
        <v>0</v>
      </c>
      <c r="AZ73" s="127">
        <v>0</v>
      </c>
      <c r="BA73" s="127">
        <v>0</v>
      </c>
      <c r="BB73" s="127">
        <v>0</v>
      </c>
      <c r="BC73" s="127">
        <v>0</v>
      </c>
      <c r="BD73" s="127">
        <v>0</v>
      </c>
      <c r="BE73" s="127">
        <v>0</v>
      </c>
      <c r="BF73" s="127">
        <v>0</v>
      </c>
      <c r="BG73" s="127">
        <v>0</v>
      </c>
      <c r="BH73" s="127">
        <v>0</v>
      </c>
      <c r="BI73" s="127">
        <v>0</v>
      </c>
      <c r="BJ73" s="127">
        <v>0</v>
      </c>
      <c r="BK73" s="127">
        <v>0</v>
      </c>
      <c r="BL73" s="127">
        <v>0</v>
      </c>
      <c r="BM73" s="127">
        <v>0</v>
      </c>
      <c r="BN73" s="127">
        <v>0</v>
      </c>
      <c r="BO73" s="127">
        <v>0</v>
      </c>
      <c r="BP73" s="127">
        <v>0</v>
      </c>
      <c r="BQ73" s="127">
        <v>0</v>
      </c>
      <c r="BR73" s="127">
        <v>0</v>
      </c>
      <c r="BS73" s="127">
        <v>0</v>
      </c>
      <c r="BT73" s="127">
        <v>0</v>
      </c>
      <c r="BU73" s="127">
        <v>0</v>
      </c>
      <c r="BV73" s="127">
        <v>0</v>
      </c>
      <c r="BW73" s="127">
        <v>0</v>
      </c>
      <c r="BX73" s="127">
        <v>0</v>
      </c>
      <c r="BY73" s="127">
        <v>0</v>
      </c>
      <c r="BZ73" s="127">
        <v>0</v>
      </c>
      <c r="CA73" s="127">
        <v>0</v>
      </c>
      <c r="CB73" s="127">
        <v>0</v>
      </c>
      <c r="CC73" s="127">
        <v>0</v>
      </c>
      <c r="CD73" s="127">
        <v>0</v>
      </c>
      <c r="CE73" s="127">
        <v>0</v>
      </c>
      <c r="CF73" s="127">
        <v>0</v>
      </c>
      <c r="CG73" s="127">
        <v>0</v>
      </c>
      <c r="CH73" s="127">
        <v>0</v>
      </c>
      <c r="CI73" s="127">
        <v>0</v>
      </c>
      <c r="CJ73" s="127">
        <v>0</v>
      </c>
      <c r="CK73" s="127">
        <v>0</v>
      </c>
      <c r="CL73" s="127">
        <v>0</v>
      </c>
      <c r="CM73" s="127">
        <v>0</v>
      </c>
      <c r="CN73" s="127">
        <v>0</v>
      </c>
      <c r="CO73" s="127">
        <v>0</v>
      </c>
      <c r="CP73" s="127">
        <v>0</v>
      </c>
      <c r="CQ73" s="127">
        <v>0</v>
      </c>
      <c r="CR73" s="127">
        <v>0</v>
      </c>
      <c r="CS73" s="127">
        <v>0</v>
      </c>
      <c r="CT73" s="127">
        <v>0</v>
      </c>
      <c r="CU73" s="127">
        <v>0</v>
      </c>
      <c r="CV73" s="127">
        <v>0</v>
      </c>
      <c r="CW73" s="127">
        <v>0</v>
      </c>
      <c r="CX73" s="127">
        <v>0</v>
      </c>
    </row>
    <row r="74" spans="1:102" ht="15" customHeight="1" x14ac:dyDescent="0.2">
      <c r="A74" s="123">
        <v>7.2</v>
      </c>
      <c r="B74" s="126">
        <v>1</v>
      </c>
      <c r="C74" s="127">
        <v>1</v>
      </c>
      <c r="D74" s="127">
        <v>1</v>
      </c>
      <c r="E74" s="127">
        <v>1</v>
      </c>
      <c r="F74" s="127">
        <v>1</v>
      </c>
      <c r="G74" s="127">
        <v>0.95</v>
      </c>
      <c r="H74" s="127">
        <v>0.85</v>
      </c>
      <c r="I74" s="127">
        <v>0.8</v>
      </c>
      <c r="J74" s="127">
        <v>0.7</v>
      </c>
      <c r="K74" s="127">
        <v>0.6</v>
      </c>
      <c r="L74" s="127">
        <v>0.5</v>
      </c>
      <c r="M74" s="127">
        <v>0.4</v>
      </c>
      <c r="N74" s="127">
        <v>0.3</v>
      </c>
      <c r="O74" s="127">
        <v>0.2</v>
      </c>
      <c r="P74" s="127">
        <v>0.1</v>
      </c>
      <c r="Q74" s="127">
        <v>0</v>
      </c>
      <c r="R74" s="127">
        <v>0</v>
      </c>
      <c r="S74" s="127">
        <v>0</v>
      </c>
      <c r="T74" s="127">
        <v>0</v>
      </c>
      <c r="U74" s="127">
        <v>0</v>
      </c>
      <c r="V74" s="127">
        <v>0</v>
      </c>
      <c r="W74" s="127">
        <v>0</v>
      </c>
      <c r="X74" s="127">
        <v>0</v>
      </c>
      <c r="Y74" s="127">
        <v>0</v>
      </c>
      <c r="Z74" s="127">
        <v>0</v>
      </c>
      <c r="AA74" s="127">
        <v>0</v>
      </c>
      <c r="AB74" s="127">
        <v>0</v>
      </c>
      <c r="AC74" s="127">
        <v>0</v>
      </c>
      <c r="AD74" s="127">
        <v>0</v>
      </c>
      <c r="AE74" s="127">
        <v>0</v>
      </c>
      <c r="AF74" s="127">
        <v>0</v>
      </c>
      <c r="AG74" s="127">
        <v>0</v>
      </c>
      <c r="AH74" s="127">
        <v>0</v>
      </c>
      <c r="AI74" s="127">
        <v>0</v>
      </c>
      <c r="AJ74" s="127">
        <v>0</v>
      </c>
      <c r="AK74" s="127">
        <v>0</v>
      </c>
      <c r="AL74" s="127">
        <v>0</v>
      </c>
      <c r="AM74" s="127">
        <v>0</v>
      </c>
      <c r="AN74" s="127">
        <v>0</v>
      </c>
      <c r="AO74" s="127">
        <v>0</v>
      </c>
      <c r="AP74" s="127">
        <v>0</v>
      </c>
      <c r="AQ74" s="127">
        <v>0</v>
      </c>
      <c r="AR74" s="127">
        <v>0</v>
      </c>
      <c r="AS74" s="127">
        <v>0</v>
      </c>
      <c r="AT74" s="127">
        <v>0</v>
      </c>
      <c r="AU74" s="127">
        <v>0</v>
      </c>
      <c r="AV74" s="127">
        <v>0</v>
      </c>
      <c r="AW74" s="127">
        <v>0</v>
      </c>
      <c r="AX74" s="127">
        <v>0</v>
      </c>
      <c r="AY74" s="127">
        <v>0</v>
      </c>
      <c r="AZ74" s="127">
        <v>0</v>
      </c>
      <c r="BA74" s="127">
        <v>0</v>
      </c>
      <c r="BB74" s="127">
        <v>0</v>
      </c>
      <c r="BC74" s="127">
        <v>0</v>
      </c>
      <c r="BD74" s="127">
        <v>0</v>
      </c>
      <c r="BE74" s="127">
        <v>0</v>
      </c>
      <c r="BF74" s="127">
        <v>0</v>
      </c>
      <c r="BG74" s="127">
        <v>0</v>
      </c>
      <c r="BH74" s="127">
        <v>0</v>
      </c>
      <c r="BI74" s="127">
        <v>0</v>
      </c>
      <c r="BJ74" s="127">
        <v>0</v>
      </c>
      <c r="BK74" s="127">
        <v>0</v>
      </c>
      <c r="BL74" s="127">
        <v>0</v>
      </c>
      <c r="BM74" s="127">
        <v>0</v>
      </c>
      <c r="BN74" s="127">
        <v>0</v>
      </c>
      <c r="BO74" s="127">
        <v>0</v>
      </c>
      <c r="BP74" s="127">
        <v>0</v>
      </c>
      <c r="BQ74" s="127">
        <v>0</v>
      </c>
      <c r="BR74" s="127">
        <v>0</v>
      </c>
      <c r="BS74" s="127">
        <v>0</v>
      </c>
      <c r="BT74" s="127">
        <v>0</v>
      </c>
      <c r="BU74" s="127">
        <v>0</v>
      </c>
      <c r="BV74" s="127">
        <v>0</v>
      </c>
      <c r="BW74" s="127">
        <v>0</v>
      </c>
      <c r="BX74" s="127">
        <v>0</v>
      </c>
      <c r="BY74" s="127">
        <v>0</v>
      </c>
      <c r="BZ74" s="127">
        <v>0</v>
      </c>
      <c r="CA74" s="127">
        <v>0</v>
      </c>
      <c r="CB74" s="127">
        <v>0</v>
      </c>
      <c r="CC74" s="127">
        <v>0</v>
      </c>
      <c r="CD74" s="127">
        <v>0</v>
      </c>
      <c r="CE74" s="127">
        <v>0</v>
      </c>
      <c r="CF74" s="127">
        <v>0</v>
      </c>
      <c r="CG74" s="127">
        <v>0</v>
      </c>
      <c r="CH74" s="127">
        <v>0</v>
      </c>
      <c r="CI74" s="127">
        <v>0</v>
      </c>
      <c r="CJ74" s="127">
        <v>0</v>
      </c>
      <c r="CK74" s="127">
        <v>0</v>
      </c>
      <c r="CL74" s="127">
        <v>0</v>
      </c>
      <c r="CM74" s="127">
        <v>0</v>
      </c>
      <c r="CN74" s="127">
        <v>0</v>
      </c>
      <c r="CO74" s="127">
        <v>0</v>
      </c>
      <c r="CP74" s="127">
        <v>0</v>
      </c>
      <c r="CQ74" s="127">
        <v>0</v>
      </c>
      <c r="CR74" s="127">
        <v>0</v>
      </c>
      <c r="CS74" s="127">
        <v>0</v>
      </c>
      <c r="CT74" s="127">
        <v>0</v>
      </c>
      <c r="CU74" s="127">
        <v>0</v>
      </c>
      <c r="CV74" s="127">
        <v>0</v>
      </c>
      <c r="CW74" s="127">
        <v>0</v>
      </c>
      <c r="CX74" s="127">
        <v>0</v>
      </c>
    </row>
    <row r="75" spans="1:102" ht="15" customHeight="1" x14ac:dyDescent="0.2">
      <c r="A75" s="123">
        <v>7.3</v>
      </c>
      <c r="B75" s="126">
        <v>1</v>
      </c>
      <c r="C75" s="127">
        <v>1</v>
      </c>
      <c r="D75" s="127">
        <v>1</v>
      </c>
      <c r="E75" s="127">
        <v>1</v>
      </c>
      <c r="F75" s="127">
        <v>1</v>
      </c>
      <c r="G75" s="127">
        <v>0.95</v>
      </c>
      <c r="H75" s="127">
        <v>0.85</v>
      </c>
      <c r="I75" s="127">
        <v>0.8</v>
      </c>
      <c r="J75" s="127">
        <v>0.7</v>
      </c>
      <c r="K75" s="127">
        <v>0.6</v>
      </c>
      <c r="L75" s="127">
        <v>0.5</v>
      </c>
      <c r="M75" s="127">
        <v>0.4</v>
      </c>
      <c r="N75" s="127">
        <v>0.3</v>
      </c>
      <c r="O75" s="127">
        <v>0.2</v>
      </c>
      <c r="P75" s="127">
        <v>0.1</v>
      </c>
      <c r="Q75" s="127">
        <v>0</v>
      </c>
      <c r="R75" s="127">
        <v>0</v>
      </c>
      <c r="S75" s="127">
        <v>0</v>
      </c>
      <c r="T75" s="127">
        <v>0</v>
      </c>
      <c r="U75" s="127">
        <v>0</v>
      </c>
      <c r="V75" s="127">
        <v>0</v>
      </c>
      <c r="W75" s="127">
        <v>0</v>
      </c>
      <c r="X75" s="127">
        <v>0</v>
      </c>
      <c r="Y75" s="127">
        <v>0</v>
      </c>
      <c r="Z75" s="127">
        <v>0</v>
      </c>
      <c r="AA75" s="127">
        <v>0</v>
      </c>
      <c r="AB75" s="127">
        <v>0</v>
      </c>
      <c r="AC75" s="127">
        <v>0</v>
      </c>
      <c r="AD75" s="127">
        <v>0</v>
      </c>
      <c r="AE75" s="127">
        <v>0</v>
      </c>
      <c r="AF75" s="127">
        <v>0</v>
      </c>
      <c r="AG75" s="127">
        <v>0</v>
      </c>
      <c r="AH75" s="127">
        <v>0</v>
      </c>
      <c r="AI75" s="127">
        <v>0</v>
      </c>
      <c r="AJ75" s="127">
        <v>0</v>
      </c>
      <c r="AK75" s="127">
        <v>0</v>
      </c>
      <c r="AL75" s="127">
        <v>0</v>
      </c>
      <c r="AM75" s="127">
        <v>0</v>
      </c>
      <c r="AN75" s="127">
        <v>0</v>
      </c>
      <c r="AO75" s="127">
        <v>0</v>
      </c>
      <c r="AP75" s="127">
        <v>0</v>
      </c>
      <c r="AQ75" s="127">
        <v>0</v>
      </c>
      <c r="AR75" s="127">
        <v>0</v>
      </c>
      <c r="AS75" s="127">
        <v>0</v>
      </c>
      <c r="AT75" s="127">
        <v>0</v>
      </c>
      <c r="AU75" s="127">
        <v>0</v>
      </c>
      <c r="AV75" s="127">
        <v>0</v>
      </c>
      <c r="AW75" s="127">
        <v>0</v>
      </c>
      <c r="AX75" s="127">
        <v>0</v>
      </c>
      <c r="AY75" s="127">
        <v>0</v>
      </c>
      <c r="AZ75" s="127">
        <v>0</v>
      </c>
      <c r="BA75" s="127">
        <v>0</v>
      </c>
      <c r="BB75" s="127">
        <v>0</v>
      </c>
      <c r="BC75" s="127">
        <v>0</v>
      </c>
      <c r="BD75" s="127">
        <v>0</v>
      </c>
      <c r="BE75" s="127">
        <v>0</v>
      </c>
      <c r="BF75" s="127">
        <v>0</v>
      </c>
      <c r="BG75" s="127">
        <v>0</v>
      </c>
      <c r="BH75" s="127">
        <v>0</v>
      </c>
      <c r="BI75" s="127">
        <v>0</v>
      </c>
      <c r="BJ75" s="127">
        <v>0</v>
      </c>
      <c r="BK75" s="127">
        <v>0</v>
      </c>
      <c r="BL75" s="127">
        <v>0</v>
      </c>
      <c r="BM75" s="127">
        <v>0</v>
      </c>
      <c r="BN75" s="127">
        <v>0</v>
      </c>
      <c r="BO75" s="127">
        <v>0</v>
      </c>
      <c r="BP75" s="127">
        <v>0</v>
      </c>
      <c r="BQ75" s="127">
        <v>0</v>
      </c>
      <c r="BR75" s="127">
        <v>0</v>
      </c>
      <c r="BS75" s="127">
        <v>0</v>
      </c>
      <c r="BT75" s="127">
        <v>0</v>
      </c>
      <c r="BU75" s="127">
        <v>0</v>
      </c>
      <c r="BV75" s="127">
        <v>0</v>
      </c>
      <c r="BW75" s="127">
        <v>0</v>
      </c>
      <c r="BX75" s="127">
        <v>0</v>
      </c>
      <c r="BY75" s="127">
        <v>0</v>
      </c>
      <c r="BZ75" s="127">
        <v>0</v>
      </c>
      <c r="CA75" s="127">
        <v>0</v>
      </c>
      <c r="CB75" s="127">
        <v>0</v>
      </c>
      <c r="CC75" s="127">
        <v>0</v>
      </c>
      <c r="CD75" s="127">
        <v>0</v>
      </c>
      <c r="CE75" s="127">
        <v>0</v>
      </c>
      <c r="CF75" s="127">
        <v>0</v>
      </c>
      <c r="CG75" s="127">
        <v>0</v>
      </c>
      <c r="CH75" s="127">
        <v>0</v>
      </c>
      <c r="CI75" s="127">
        <v>0</v>
      </c>
      <c r="CJ75" s="127">
        <v>0</v>
      </c>
      <c r="CK75" s="127">
        <v>0</v>
      </c>
      <c r="CL75" s="127">
        <v>0</v>
      </c>
      <c r="CM75" s="127">
        <v>0</v>
      </c>
      <c r="CN75" s="127">
        <v>0</v>
      </c>
      <c r="CO75" s="127">
        <v>0</v>
      </c>
      <c r="CP75" s="127">
        <v>0</v>
      </c>
      <c r="CQ75" s="127">
        <v>0</v>
      </c>
      <c r="CR75" s="127">
        <v>0</v>
      </c>
      <c r="CS75" s="127">
        <v>0</v>
      </c>
      <c r="CT75" s="127">
        <v>0</v>
      </c>
      <c r="CU75" s="127">
        <v>0</v>
      </c>
      <c r="CV75" s="127">
        <v>0</v>
      </c>
      <c r="CW75" s="127">
        <v>0</v>
      </c>
      <c r="CX75" s="127">
        <v>0</v>
      </c>
    </row>
    <row r="76" spans="1:102" ht="15" customHeight="1" x14ac:dyDescent="0.2">
      <c r="A76" s="123">
        <v>7.4</v>
      </c>
      <c r="B76" s="126">
        <v>1</v>
      </c>
      <c r="C76" s="127">
        <v>1</v>
      </c>
      <c r="D76" s="127">
        <v>1</v>
      </c>
      <c r="E76" s="127">
        <v>1</v>
      </c>
      <c r="F76" s="127">
        <v>1</v>
      </c>
      <c r="G76" s="127">
        <v>0.95</v>
      </c>
      <c r="H76" s="127">
        <v>0.85</v>
      </c>
      <c r="I76" s="127">
        <v>0.8</v>
      </c>
      <c r="J76" s="127">
        <v>0.7</v>
      </c>
      <c r="K76" s="127">
        <v>0.6</v>
      </c>
      <c r="L76" s="127">
        <v>0.5</v>
      </c>
      <c r="M76" s="127">
        <v>0.4</v>
      </c>
      <c r="N76" s="127">
        <v>0.3</v>
      </c>
      <c r="O76" s="127">
        <v>0.2</v>
      </c>
      <c r="P76" s="127">
        <v>0.1</v>
      </c>
      <c r="Q76" s="127">
        <v>0</v>
      </c>
      <c r="R76" s="127">
        <v>0</v>
      </c>
      <c r="S76" s="127">
        <v>0</v>
      </c>
      <c r="T76" s="127">
        <v>0</v>
      </c>
      <c r="U76" s="127">
        <v>0</v>
      </c>
      <c r="V76" s="127">
        <v>0</v>
      </c>
      <c r="W76" s="127">
        <v>0</v>
      </c>
      <c r="X76" s="127">
        <v>0</v>
      </c>
      <c r="Y76" s="127">
        <v>0</v>
      </c>
      <c r="Z76" s="127">
        <v>0</v>
      </c>
      <c r="AA76" s="127">
        <v>0</v>
      </c>
      <c r="AB76" s="127">
        <v>0</v>
      </c>
      <c r="AC76" s="127">
        <v>0</v>
      </c>
      <c r="AD76" s="127">
        <v>0</v>
      </c>
      <c r="AE76" s="127">
        <v>0</v>
      </c>
      <c r="AF76" s="127">
        <v>0</v>
      </c>
      <c r="AG76" s="127">
        <v>0</v>
      </c>
      <c r="AH76" s="127">
        <v>0</v>
      </c>
      <c r="AI76" s="127">
        <v>0</v>
      </c>
      <c r="AJ76" s="127">
        <v>0</v>
      </c>
      <c r="AK76" s="127">
        <v>0</v>
      </c>
      <c r="AL76" s="127">
        <v>0</v>
      </c>
      <c r="AM76" s="127">
        <v>0</v>
      </c>
      <c r="AN76" s="127">
        <v>0</v>
      </c>
      <c r="AO76" s="127">
        <v>0</v>
      </c>
      <c r="AP76" s="127">
        <v>0</v>
      </c>
      <c r="AQ76" s="127">
        <v>0</v>
      </c>
      <c r="AR76" s="127">
        <v>0</v>
      </c>
      <c r="AS76" s="127">
        <v>0</v>
      </c>
      <c r="AT76" s="127">
        <v>0</v>
      </c>
      <c r="AU76" s="127">
        <v>0</v>
      </c>
      <c r="AV76" s="127">
        <v>0</v>
      </c>
      <c r="AW76" s="127">
        <v>0</v>
      </c>
      <c r="AX76" s="127">
        <v>0</v>
      </c>
      <c r="AY76" s="127">
        <v>0</v>
      </c>
      <c r="AZ76" s="127">
        <v>0</v>
      </c>
      <c r="BA76" s="127">
        <v>0</v>
      </c>
      <c r="BB76" s="127">
        <v>0</v>
      </c>
      <c r="BC76" s="127">
        <v>0</v>
      </c>
      <c r="BD76" s="127">
        <v>0</v>
      </c>
      <c r="BE76" s="127">
        <v>0</v>
      </c>
      <c r="BF76" s="127">
        <v>0</v>
      </c>
      <c r="BG76" s="127">
        <v>0</v>
      </c>
      <c r="BH76" s="127">
        <v>0</v>
      </c>
      <c r="BI76" s="127">
        <v>0</v>
      </c>
      <c r="BJ76" s="127">
        <v>0</v>
      </c>
      <c r="BK76" s="127">
        <v>0</v>
      </c>
      <c r="BL76" s="127">
        <v>0</v>
      </c>
      <c r="BM76" s="127">
        <v>0</v>
      </c>
      <c r="BN76" s="127">
        <v>0</v>
      </c>
      <c r="BO76" s="127">
        <v>0</v>
      </c>
      <c r="BP76" s="127">
        <v>0</v>
      </c>
      <c r="BQ76" s="127">
        <v>0</v>
      </c>
      <c r="BR76" s="127">
        <v>0</v>
      </c>
      <c r="BS76" s="127">
        <v>0</v>
      </c>
      <c r="BT76" s="127">
        <v>0</v>
      </c>
      <c r="BU76" s="127">
        <v>0</v>
      </c>
      <c r="BV76" s="127">
        <v>0</v>
      </c>
      <c r="BW76" s="127">
        <v>0</v>
      </c>
      <c r="BX76" s="127">
        <v>0</v>
      </c>
      <c r="BY76" s="127">
        <v>0</v>
      </c>
      <c r="BZ76" s="127">
        <v>0</v>
      </c>
      <c r="CA76" s="127">
        <v>0</v>
      </c>
      <c r="CB76" s="127">
        <v>0</v>
      </c>
      <c r="CC76" s="127">
        <v>0</v>
      </c>
      <c r="CD76" s="127">
        <v>0</v>
      </c>
      <c r="CE76" s="127">
        <v>0</v>
      </c>
      <c r="CF76" s="127">
        <v>0</v>
      </c>
      <c r="CG76" s="127">
        <v>0</v>
      </c>
      <c r="CH76" s="127">
        <v>0</v>
      </c>
      <c r="CI76" s="127">
        <v>0</v>
      </c>
      <c r="CJ76" s="127">
        <v>0</v>
      </c>
      <c r="CK76" s="127">
        <v>0</v>
      </c>
      <c r="CL76" s="127">
        <v>0</v>
      </c>
      <c r="CM76" s="127">
        <v>0</v>
      </c>
      <c r="CN76" s="127">
        <v>0</v>
      </c>
      <c r="CO76" s="127">
        <v>0</v>
      </c>
      <c r="CP76" s="127">
        <v>0</v>
      </c>
      <c r="CQ76" s="127">
        <v>0</v>
      </c>
      <c r="CR76" s="127">
        <v>0</v>
      </c>
      <c r="CS76" s="127">
        <v>0</v>
      </c>
      <c r="CT76" s="127">
        <v>0</v>
      </c>
      <c r="CU76" s="127">
        <v>0</v>
      </c>
      <c r="CV76" s="127">
        <v>0</v>
      </c>
      <c r="CW76" s="127">
        <v>0</v>
      </c>
      <c r="CX76" s="127">
        <v>0</v>
      </c>
    </row>
    <row r="77" spans="1:102" ht="15" customHeight="1" x14ac:dyDescent="0.2">
      <c r="A77" s="123">
        <v>7.5</v>
      </c>
      <c r="B77" s="126">
        <v>1</v>
      </c>
      <c r="C77" s="127">
        <v>1</v>
      </c>
      <c r="D77" s="127">
        <v>1</v>
      </c>
      <c r="E77" s="127">
        <v>1</v>
      </c>
      <c r="F77" s="127">
        <v>1</v>
      </c>
      <c r="G77" s="127">
        <v>0.95</v>
      </c>
      <c r="H77" s="127">
        <v>0.85</v>
      </c>
      <c r="I77" s="127">
        <v>0.8</v>
      </c>
      <c r="J77" s="127">
        <v>0.7</v>
      </c>
      <c r="K77" s="127">
        <v>0.6</v>
      </c>
      <c r="L77" s="127">
        <v>0.5</v>
      </c>
      <c r="M77" s="127">
        <v>0.4</v>
      </c>
      <c r="N77" s="127">
        <v>0.3</v>
      </c>
      <c r="O77" s="127">
        <v>0.2</v>
      </c>
      <c r="P77" s="127">
        <v>0.1</v>
      </c>
      <c r="Q77" s="127">
        <v>0</v>
      </c>
      <c r="R77" s="127">
        <v>0</v>
      </c>
      <c r="S77" s="127">
        <v>0</v>
      </c>
      <c r="T77" s="127">
        <v>0</v>
      </c>
      <c r="U77" s="127">
        <v>0</v>
      </c>
      <c r="V77" s="127">
        <v>0</v>
      </c>
      <c r="W77" s="127">
        <v>0</v>
      </c>
      <c r="X77" s="127">
        <v>0</v>
      </c>
      <c r="Y77" s="127">
        <v>0</v>
      </c>
      <c r="Z77" s="127">
        <v>0</v>
      </c>
      <c r="AA77" s="127">
        <v>0</v>
      </c>
      <c r="AB77" s="127">
        <v>0</v>
      </c>
      <c r="AC77" s="127">
        <v>0</v>
      </c>
      <c r="AD77" s="127">
        <v>0</v>
      </c>
      <c r="AE77" s="127">
        <v>0</v>
      </c>
      <c r="AF77" s="127">
        <v>0</v>
      </c>
      <c r="AG77" s="127">
        <v>0</v>
      </c>
      <c r="AH77" s="127">
        <v>0</v>
      </c>
      <c r="AI77" s="127">
        <v>0</v>
      </c>
      <c r="AJ77" s="127">
        <v>0</v>
      </c>
      <c r="AK77" s="127">
        <v>0</v>
      </c>
      <c r="AL77" s="127">
        <v>0</v>
      </c>
      <c r="AM77" s="127">
        <v>0</v>
      </c>
      <c r="AN77" s="127">
        <v>0</v>
      </c>
      <c r="AO77" s="127">
        <v>0</v>
      </c>
      <c r="AP77" s="127">
        <v>0</v>
      </c>
      <c r="AQ77" s="127">
        <v>0</v>
      </c>
      <c r="AR77" s="127">
        <v>0</v>
      </c>
      <c r="AS77" s="127">
        <v>0</v>
      </c>
      <c r="AT77" s="127">
        <v>0</v>
      </c>
      <c r="AU77" s="127">
        <v>0</v>
      </c>
      <c r="AV77" s="127">
        <v>0</v>
      </c>
      <c r="AW77" s="127">
        <v>0</v>
      </c>
      <c r="AX77" s="127">
        <v>0</v>
      </c>
      <c r="AY77" s="127">
        <v>0</v>
      </c>
      <c r="AZ77" s="127">
        <v>0</v>
      </c>
      <c r="BA77" s="127">
        <v>0</v>
      </c>
      <c r="BB77" s="127">
        <v>0</v>
      </c>
      <c r="BC77" s="127">
        <v>0</v>
      </c>
      <c r="BD77" s="127">
        <v>0</v>
      </c>
      <c r="BE77" s="127">
        <v>0</v>
      </c>
      <c r="BF77" s="127">
        <v>0</v>
      </c>
      <c r="BG77" s="127">
        <v>0</v>
      </c>
      <c r="BH77" s="127">
        <v>0</v>
      </c>
      <c r="BI77" s="127">
        <v>0</v>
      </c>
      <c r="BJ77" s="127">
        <v>0</v>
      </c>
      <c r="BK77" s="127">
        <v>0</v>
      </c>
      <c r="BL77" s="127">
        <v>0</v>
      </c>
      <c r="BM77" s="127">
        <v>0</v>
      </c>
      <c r="BN77" s="127">
        <v>0</v>
      </c>
      <c r="BO77" s="127">
        <v>0</v>
      </c>
      <c r="BP77" s="127">
        <v>0</v>
      </c>
      <c r="BQ77" s="127">
        <v>0</v>
      </c>
      <c r="BR77" s="127">
        <v>0</v>
      </c>
      <c r="BS77" s="127">
        <v>0</v>
      </c>
      <c r="BT77" s="127">
        <v>0</v>
      </c>
      <c r="BU77" s="127">
        <v>0</v>
      </c>
      <c r="BV77" s="127">
        <v>0</v>
      </c>
      <c r="BW77" s="127">
        <v>0</v>
      </c>
      <c r="BX77" s="127">
        <v>0</v>
      </c>
      <c r="BY77" s="127">
        <v>0</v>
      </c>
      <c r="BZ77" s="127">
        <v>0</v>
      </c>
      <c r="CA77" s="127">
        <v>0</v>
      </c>
      <c r="CB77" s="127">
        <v>0</v>
      </c>
      <c r="CC77" s="127">
        <v>0</v>
      </c>
      <c r="CD77" s="127">
        <v>0</v>
      </c>
      <c r="CE77" s="127">
        <v>0</v>
      </c>
      <c r="CF77" s="127">
        <v>0</v>
      </c>
      <c r="CG77" s="127">
        <v>0</v>
      </c>
      <c r="CH77" s="127">
        <v>0</v>
      </c>
      <c r="CI77" s="127">
        <v>0</v>
      </c>
      <c r="CJ77" s="127">
        <v>0</v>
      </c>
      <c r="CK77" s="127">
        <v>0</v>
      </c>
      <c r="CL77" s="127">
        <v>0</v>
      </c>
      <c r="CM77" s="127">
        <v>0</v>
      </c>
      <c r="CN77" s="127">
        <v>0</v>
      </c>
      <c r="CO77" s="127">
        <v>0</v>
      </c>
      <c r="CP77" s="127">
        <v>0</v>
      </c>
      <c r="CQ77" s="127">
        <v>0</v>
      </c>
      <c r="CR77" s="127">
        <v>0</v>
      </c>
      <c r="CS77" s="127">
        <v>0</v>
      </c>
      <c r="CT77" s="127">
        <v>0</v>
      </c>
      <c r="CU77" s="127">
        <v>0</v>
      </c>
      <c r="CV77" s="127">
        <v>0</v>
      </c>
      <c r="CW77" s="127">
        <v>0</v>
      </c>
      <c r="CX77" s="127">
        <v>0</v>
      </c>
    </row>
    <row r="78" spans="1:102" ht="15" customHeight="1" x14ac:dyDescent="0.2">
      <c r="A78" s="123">
        <v>7.6</v>
      </c>
      <c r="B78" s="126">
        <v>1</v>
      </c>
      <c r="C78" s="127">
        <v>1</v>
      </c>
      <c r="D78" s="127">
        <v>1</v>
      </c>
      <c r="E78" s="127">
        <v>1</v>
      </c>
      <c r="F78" s="127">
        <v>1</v>
      </c>
      <c r="G78" s="127">
        <v>0.95</v>
      </c>
      <c r="H78" s="127">
        <v>0.85</v>
      </c>
      <c r="I78" s="127">
        <v>0.8</v>
      </c>
      <c r="J78" s="127">
        <v>0.7</v>
      </c>
      <c r="K78" s="127">
        <v>0.6</v>
      </c>
      <c r="L78" s="127">
        <v>0.5</v>
      </c>
      <c r="M78" s="127">
        <v>0.4</v>
      </c>
      <c r="N78" s="127">
        <v>0.3</v>
      </c>
      <c r="O78" s="127">
        <v>0.2</v>
      </c>
      <c r="P78" s="127">
        <v>0.1</v>
      </c>
      <c r="Q78" s="127">
        <v>0</v>
      </c>
      <c r="R78" s="127">
        <v>0</v>
      </c>
      <c r="S78" s="127">
        <v>0</v>
      </c>
      <c r="T78" s="127">
        <v>0</v>
      </c>
      <c r="U78" s="127">
        <v>0</v>
      </c>
      <c r="V78" s="127">
        <v>0</v>
      </c>
      <c r="W78" s="127">
        <v>0</v>
      </c>
      <c r="X78" s="127">
        <v>0</v>
      </c>
      <c r="Y78" s="127">
        <v>0</v>
      </c>
      <c r="Z78" s="127">
        <v>0</v>
      </c>
      <c r="AA78" s="127">
        <v>0</v>
      </c>
      <c r="AB78" s="127">
        <v>0</v>
      </c>
      <c r="AC78" s="127">
        <v>0</v>
      </c>
      <c r="AD78" s="127">
        <v>0</v>
      </c>
      <c r="AE78" s="127">
        <v>0</v>
      </c>
      <c r="AF78" s="127">
        <v>0</v>
      </c>
      <c r="AG78" s="127">
        <v>0</v>
      </c>
      <c r="AH78" s="127">
        <v>0</v>
      </c>
      <c r="AI78" s="127">
        <v>0</v>
      </c>
      <c r="AJ78" s="127">
        <v>0</v>
      </c>
      <c r="AK78" s="127">
        <v>0</v>
      </c>
      <c r="AL78" s="127">
        <v>0</v>
      </c>
      <c r="AM78" s="127">
        <v>0</v>
      </c>
      <c r="AN78" s="127">
        <v>0</v>
      </c>
      <c r="AO78" s="127">
        <v>0</v>
      </c>
      <c r="AP78" s="127">
        <v>0</v>
      </c>
      <c r="AQ78" s="127">
        <v>0</v>
      </c>
      <c r="AR78" s="127">
        <v>0</v>
      </c>
      <c r="AS78" s="127">
        <v>0</v>
      </c>
      <c r="AT78" s="127">
        <v>0</v>
      </c>
      <c r="AU78" s="127">
        <v>0</v>
      </c>
      <c r="AV78" s="127">
        <v>0</v>
      </c>
      <c r="AW78" s="127">
        <v>0</v>
      </c>
      <c r="AX78" s="127">
        <v>0</v>
      </c>
      <c r="AY78" s="127">
        <v>0</v>
      </c>
      <c r="AZ78" s="127">
        <v>0</v>
      </c>
      <c r="BA78" s="127">
        <v>0</v>
      </c>
      <c r="BB78" s="127">
        <v>0</v>
      </c>
      <c r="BC78" s="127">
        <v>0</v>
      </c>
      <c r="BD78" s="127">
        <v>0</v>
      </c>
      <c r="BE78" s="127">
        <v>0</v>
      </c>
      <c r="BF78" s="127">
        <v>0</v>
      </c>
      <c r="BG78" s="127">
        <v>0</v>
      </c>
      <c r="BH78" s="127">
        <v>0</v>
      </c>
      <c r="BI78" s="127">
        <v>0</v>
      </c>
      <c r="BJ78" s="127">
        <v>0</v>
      </c>
      <c r="BK78" s="127">
        <v>0</v>
      </c>
      <c r="BL78" s="127">
        <v>0</v>
      </c>
      <c r="BM78" s="127">
        <v>0</v>
      </c>
      <c r="BN78" s="127">
        <v>0</v>
      </c>
      <c r="BO78" s="127">
        <v>0</v>
      </c>
      <c r="BP78" s="127">
        <v>0</v>
      </c>
      <c r="BQ78" s="127">
        <v>0</v>
      </c>
      <c r="BR78" s="127">
        <v>0</v>
      </c>
      <c r="BS78" s="127">
        <v>0</v>
      </c>
      <c r="BT78" s="127">
        <v>0</v>
      </c>
      <c r="BU78" s="127">
        <v>0</v>
      </c>
      <c r="BV78" s="127">
        <v>0</v>
      </c>
      <c r="BW78" s="127">
        <v>0</v>
      </c>
      <c r="BX78" s="127">
        <v>0</v>
      </c>
      <c r="BY78" s="127">
        <v>0</v>
      </c>
      <c r="BZ78" s="127">
        <v>0</v>
      </c>
      <c r="CA78" s="127">
        <v>0</v>
      </c>
      <c r="CB78" s="127">
        <v>0</v>
      </c>
      <c r="CC78" s="127">
        <v>0</v>
      </c>
      <c r="CD78" s="127">
        <v>0</v>
      </c>
      <c r="CE78" s="127">
        <v>0</v>
      </c>
      <c r="CF78" s="127">
        <v>0</v>
      </c>
      <c r="CG78" s="127">
        <v>0</v>
      </c>
      <c r="CH78" s="127">
        <v>0</v>
      </c>
      <c r="CI78" s="127">
        <v>0</v>
      </c>
      <c r="CJ78" s="127">
        <v>0</v>
      </c>
      <c r="CK78" s="127">
        <v>0</v>
      </c>
      <c r="CL78" s="127">
        <v>0</v>
      </c>
      <c r="CM78" s="127">
        <v>0</v>
      </c>
      <c r="CN78" s="127">
        <v>0</v>
      </c>
      <c r="CO78" s="127">
        <v>0</v>
      </c>
      <c r="CP78" s="127">
        <v>0</v>
      </c>
      <c r="CQ78" s="127">
        <v>0</v>
      </c>
      <c r="CR78" s="127">
        <v>0</v>
      </c>
      <c r="CS78" s="127">
        <v>0</v>
      </c>
      <c r="CT78" s="127">
        <v>0</v>
      </c>
      <c r="CU78" s="127">
        <v>0</v>
      </c>
      <c r="CV78" s="127">
        <v>0</v>
      </c>
      <c r="CW78" s="127">
        <v>0</v>
      </c>
      <c r="CX78" s="127">
        <v>0</v>
      </c>
    </row>
    <row r="79" spans="1:102" ht="15" customHeight="1" x14ac:dyDescent="0.2">
      <c r="A79" s="123">
        <v>7.7</v>
      </c>
      <c r="B79" s="126">
        <v>1</v>
      </c>
      <c r="C79" s="127">
        <v>1</v>
      </c>
      <c r="D79" s="127">
        <v>1</v>
      </c>
      <c r="E79" s="127">
        <v>1</v>
      </c>
      <c r="F79" s="127">
        <v>1</v>
      </c>
      <c r="G79" s="127">
        <v>0.95</v>
      </c>
      <c r="H79" s="127">
        <v>0.85</v>
      </c>
      <c r="I79" s="127">
        <v>0.8</v>
      </c>
      <c r="J79" s="127">
        <v>0.7</v>
      </c>
      <c r="K79" s="127">
        <v>0.6</v>
      </c>
      <c r="L79" s="127">
        <v>0.5</v>
      </c>
      <c r="M79" s="127">
        <v>0.4</v>
      </c>
      <c r="N79" s="127">
        <v>0.3</v>
      </c>
      <c r="O79" s="127">
        <v>0.2</v>
      </c>
      <c r="P79" s="127">
        <v>0.1</v>
      </c>
      <c r="Q79" s="127">
        <v>0</v>
      </c>
      <c r="R79" s="127">
        <v>0</v>
      </c>
      <c r="S79" s="127">
        <v>0</v>
      </c>
      <c r="T79" s="127">
        <v>0</v>
      </c>
      <c r="U79" s="127">
        <v>0</v>
      </c>
      <c r="V79" s="127">
        <v>0</v>
      </c>
      <c r="W79" s="127">
        <v>0</v>
      </c>
      <c r="X79" s="127">
        <v>0</v>
      </c>
      <c r="Y79" s="127">
        <v>0</v>
      </c>
      <c r="Z79" s="127">
        <v>0</v>
      </c>
      <c r="AA79" s="127">
        <v>0</v>
      </c>
      <c r="AB79" s="127">
        <v>0</v>
      </c>
      <c r="AC79" s="127">
        <v>0</v>
      </c>
      <c r="AD79" s="127">
        <v>0</v>
      </c>
      <c r="AE79" s="127">
        <v>0</v>
      </c>
      <c r="AF79" s="127">
        <v>0</v>
      </c>
      <c r="AG79" s="127">
        <v>0</v>
      </c>
      <c r="AH79" s="127">
        <v>0</v>
      </c>
      <c r="AI79" s="127">
        <v>0</v>
      </c>
      <c r="AJ79" s="127">
        <v>0</v>
      </c>
      <c r="AK79" s="127">
        <v>0</v>
      </c>
      <c r="AL79" s="127">
        <v>0</v>
      </c>
      <c r="AM79" s="127">
        <v>0</v>
      </c>
      <c r="AN79" s="127">
        <v>0</v>
      </c>
      <c r="AO79" s="127">
        <v>0</v>
      </c>
      <c r="AP79" s="127">
        <v>0</v>
      </c>
      <c r="AQ79" s="127">
        <v>0</v>
      </c>
      <c r="AR79" s="127">
        <v>0</v>
      </c>
      <c r="AS79" s="127">
        <v>0</v>
      </c>
      <c r="AT79" s="127">
        <v>0</v>
      </c>
      <c r="AU79" s="127">
        <v>0</v>
      </c>
      <c r="AV79" s="127">
        <v>0</v>
      </c>
      <c r="AW79" s="127">
        <v>0</v>
      </c>
      <c r="AX79" s="127">
        <v>0</v>
      </c>
      <c r="AY79" s="127">
        <v>0</v>
      </c>
      <c r="AZ79" s="127">
        <v>0</v>
      </c>
      <c r="BA79" s="127">
        <v>0</v>
      </c>
      <c r="BB79" s="127">
        <v>0</v>
      </c>
      <c r="BC79" s="127">
        <v>0</v>
      </c>
      <c r="BD79" s="127">
        <v>0</v>
      </c>
      <c r="BE79" s="127">
        <v>0</v>
      </c>
      <c r="BF79" s="127">
        <v>0</v>
      </c>
      <c r="BG79" s="127">
        <v>0</v>
      </c>
      <c r="BH79" s="127">
        <v>0</v>
      </c>
      <c r="BI79" s="127">
        <v>0</v>
      </c>
      <c r="BJ79" s="127">
        <v>0</v>
      </c>
      <c r="BK79" s="127">
        <v>0</v>
      </c>
      <c r="BL79" s="127">
        <v>0</v>
      </c>
      <c r="BM79" s="127">
        <v>0</v>
      </c>
      <c r="BN79" s="127">
        <v>0</v>
      </c>
      <c r="BO79" s="127">
        <v>0</v>
      </c>
      <c r="BP79" s="127">
        <v>0</v>
      </c>
      <c r="BQ79" s="127">
        <v>0</v>
      </c>
      <c r="BR79" s="127">
        <v>0</v>
      </c>
      <c r="BS79" s="127">
        <v>0</v>
      </c>
      <c r="BT79" s="127">
        <v>0</v>
      </c>
      <c r="BU79" s="127">
        <v>0</v>
      </c>
      <c r="BV79" s="127">
        <v>0</v>
      </c>
      <c r="BW79" s="127">
        <v>0</v>
      </c>
      <c r="BX79" s="127">
        <v>0</v>
      </c>
      <c r="BY79" s="127">
        <v>0</v>
      </c>
      <c r="BZ79" s="127">
        <v>0</v>
      </c>
      <c r="CA79" s="127">
        <v>0</v>
      </c>
      <c r="CB79" s="127">
        <v>0</v>
      </c>
      <c r="CC79" s="127">
        <v>0</v>
      </c>
      <c r="CD79" s="127">
        <v>0</v>
      </c>
      <c r="CE79" s="127">
        <v>0</v>
      </c>
      <c r="CF79" s="127">
        <v>0</v>
      </c>
      <c r="CG79" s="127">
        <v>0</v>
      </c>
      <c r="CH79" s="127">
        <v>0</v>
      </c>
      <c r="CI79" s="127">
        <v>0</v>
      </c>
      <c r="CJ79" s="127">
        <v>0</v>
      </c>
      <c r="CK79" s="127">
        <v>0</v>
      </c>
      <c r="CL79" s="127">
        <v>0</v>
      </c>
      <c r="CM79" s="127">
        <v>0</v>
      </c>
      <c r="CN79" s="127">
        <v>0</v>
      </c>
      <c r="CO79" s="127">
        <v>0</v>
      </c>
      <c r="CP79" s="127">
        <v>0</v>
      </c>
      <c r="CQ79" s="127">
        <v>0</v>
      </c>
      <c r="CR79" s="127">
        <v>0</v>
      </c>
      <c r="CS79" s="127">
        <v>0</v>
      </c>
      <c r="CT79" s="127">
        <v>0</v>
      </c>
      <c r="CU79" s="127">
        <v>0</v>
      </c>
      <c r="CV79" s="127">
        <v>0</v>
      </c>
      <c r="CW79" s="127">
        <v>0</v>
      </c>
      <c r="CX79" s="127">
        <v>0</v>
      </c>
    </row>
    <row r="80" spans="1:102" ht="15" customHeight="1" x14ac:dyDescent="0.2">
      <c r="A80" s="123">
        <v>7.8</v>
      </c>
      <c r="B80" s="126">
        <v>1</v>
      </c>
      <c r="C80" s="127">
        <v>1</v>
      </c>
      <c r="D80" s="127">
        <v>1</v>
      </c>
      <c r="E80" s="127">
        <v>1</v>
      </c>
      <c r="F80" s="127">
        <v>1</v>
      </c>
      <c r="G80" s="127">
        <v>0.95</v>
      </c>
      <c r="H80" s="127">
        <v>0.85</v>
      </c>
      <c r="I80" s="127">
        <v>0.8</v>
      </c>
      <c r="J80" s="127">
        <v>0.7</v>
      </c>
      <c r="K80" s="127">
        <v>0.6</v>
      </c>
      <c r="L80" s="127">
        <v>0.5</v>
      </c>
      <c r="M80" s="127">
        <v>0.4</v>
      </c>
      <c r="N80" s="127">
        <v>0.3</v>
      </c>
      <c r="O80" s="127">
        <v>0.2</v>
      </c>
      <c r="P80" s="127">
        <v>0.1</v>
      </c>
      <c r="Q80" s="127">
        <v>0</v>
      </c>
      <c r="R80" s="127">
        <v>0</v>
      </c>
      <c r="S80" s="127">
        <v>0</v>
      </c>
      <c r="T80" s="127">
        <v>0</v>
      </c>
      <c r="U80" s="127">
        <v>0</v>
      </c>
      <c r="V80" s="127">
        <v>0</v>
      </c>
      <c r="W80" s="127">
        <v>0</v>
      </c>
      <c r="X80" s="127">
        <v>0</v>
      </c>
      <c r="Y80" s="127">
        <v>0</v>
      </c>
      <c r="Z80" s="127">
        <v>0</v>
      </c>
      <c r="AA80" s="127">
        <v>0</v>
      </c>
      <c r="AB80" s="127">
        <v>0</v>
      </c>
      <c r="AC80" s="127">
        <v>0</v>
      </c>
      <c r="AD80" s="127">
        <v>0</v>
      </c>
      <c r="AE80" s="127">
        <v>0</v>
      </c>
      <c r="AF80" s="127">
        <v>0</v>
      </c>
      <c r="AG80" s="127">
        <v>0</v>
      </c>
      <c r="AH80" s="127">
        <v>0</v>
      </c>
      <c r="AI80" s="127">
        <v>0</v>
      </c>
      <c r="AJ80" s="127">
        <v>0</v>
      </c>
      <c r="AK80" s="127">
        <v>0</v>
      </c>
      <c r="AL80" s="127">
        <v>0</v>
      </c>
      <c r="AM80" s="127">
        <v>0</v>
      </c>
      <c r="AN80" s="127">
        <v>0</v>
      </c>
      <c r="AO80" s="127">
        <v>0</v>
      </c>
      <c r="AP80" s="127">
        <v>0</v>
      </c>
      <c r="AQ80" s="127">
        <v>0</v>
      </c>
      <c r="AR80" s="127">
        <v>0</v>
      </c>
      <c r="AS80" s="127">
        <v>0</v>
      </c>
      <c r="AT80" s="127">
        <v>0</v>
      </c>
      <c r="AU80" s="127">
        <v>0</v>
      </c>
      <c r="AV80" s="127">
        <v>0</v>
      </c>
      <c r="AW80" s="127">
        <v>0</v>
      </c>
      <c r="AX80" s="127">
        <v>0</v>
      </c>
      <c r="AY80" s="127">
        <v>0</v>
      </c>
      <c r="AZ80" s="127">
        <v>0</v>
      </c>
      <c r="BA80" s="127">
        <v>0</v>
      </c>
      <c r="BB80" s="127">
        <v>0</v>
      </c>
      <c r="BC80" s="127">
        <v>0</v>
      </c>
      <c r="BD80" s="127">
        <v>0</v>
      </c>
      <c r="BE80" s="127">
        <v>0</v>
      </c>
      <c r="BF80" s="127">
        <v>0</v>
      </c>
      <c r="BG80" s="127">
        <v>0</v>
      </c>
      <c r="BH80" s="127">
        <v>0</v>
      </c>
      <c r="BI80" s="127">
        <v>0</v>
      </c>
      <c r="BJ80" s="127">
        <v>0</v>
      </c>
      <c r="BK80" s="127">
        <v>0</v>
      </c>
      <c r="BL80" s="127">
        <v>0</v>
      </c>
      <c r="BM80" s="127">
        <v>0</v>
      </c>
      <c r="BN80" s="127">
        <v>0</v>
      </c>
      <c r="BO80" s="127">
        <v>0</v>
      </c>
      <c r="BP80" s="127">
        <v>0</v>
      </c>
      <c r="BQ80" s="127">
        <v>0</v>
      </c>
      <c r="BR80" s="127">
        <v>0</v>
      </c>
      <c r="BS80" s="127">
        <v>0</v>
      </c>
      <c r="BT80" s="127">
        <v>0</v>
      </c>
      <c r="BU80" s="127">
        <v>0</v>
      </c>
      <c r="BV80" s="127">
        <v>0</v>
      </c>
      <c r="BW80" s="127">
        <v>0</v>
      </c>
      <c r="BX80" s="127">
        <v>0</v>
      </c>
      <c r="BY80" s="127">
        <v>0</v>
      </c>
      <c r="BZ80" s="127">
        <v>0</v>
      </c>
      <c r="CA80" s="127">
        <v>0</v>
      </c>
      <c r="CB80" s="127">
        <v>0</v>
      </c>
      <c r="CC80" s="127">
        <v>0</v>
      </c>
      <c r="CD80" s="127">
        <v>0</v>
      </c>
      <c r="CE80" s="127">
        <v>0</v>
      </c>
      <c r="CF80" s="127">
        <v>0</v>
      </c>
      <c r="CG80" s="127">
        <v>0</v>
      </c>
      <c r="CH80" s="127">
        <v>0</v>
      </c>
      <c r="CI80" s="127">
        <v>0</v>
      </c>
      <c r="CJ80" s="127">
        <v>0</v>
      </c>
      <c r="CK80" s="127">
        <v>0</v>
      </c>
      <c r="CL80" s="127">
        <v>0</v>
      </c>
      <c r="CM80" s="127">
        <v>0</v>
      </c>
      <c r="CN80" s="127">
        <v>0</v>
      </c>
      <c r="CO80" s="127">
        <v>0</v>
      </c>
      <c r="CP80" s="127">
        <v>0</v>
      </c>
      <c r="CQ80" s="127">
        <v>0</v>
      </c>
      <c r="CR80" s="127">
        <v>0</v>
      </c>
      <c r="CS80" s="127">
        <v>0</v>
      </c>
      <c r="CT80" s="127">
        <v>0</v>
      </c>
      <c r="CU80" s="127">
        <v>0</v>
      </c>
      <c r="CV80" s="127">
        <v>0</v>
      </c>
      <c r="CW80" s="127">
        <v>0</v>
      </c>
      <c r="CX80" s="127">
        <v>0</v>
      </c>
    </row>
    <row r="81" spans="1:102" ht="15" customHeight="1" x14ac:dyDescent="0.2">
      <c r="A81" s="123">
        <v>7.9</v>
      </c>
      <c r="B81" s="126">
        <v>1</v>
      </c>
      <c r="C81" s="127">
        <v>1</v>
      </c>
      <c r="D81" s="127">
        <v>1</v>
      </c>
      <c r="E81" s="127">
        <v>1</v>
      </c>
      <c r="F81" s="127">
        <v>1</v>
      </c>
      <c r="G81" s="127">
        <v>0.95</v>
      </c>
      <c r="H81" s="127">
        <v>0.85</v>
      </c>
      <c r="I81" s="127">
        <v>0.8</v>
      </c>
      <c r="J81" s="127">
        <v>0.7</v>
      </c>
      <c r="K81" s="127">
        <v>0.6</v>
      </c>
      <c r="L81" s="127">
        <v>0.5</v>
      </c>
      <c r="M81" s="127">
        <v>0.4</v>
      </c>
      <c r="N81" s="127">
        <v>0.3</v>
      </c>
      <c r="O81" s="127">
        <v>0.2</v>
      </c>
      <c r="P81" s="127">
        <v>0.1</v>
      </c>
      <c r="Q81" s="127">
        <v>0</v>
      </c>
      <c r="R81" s="127">
        <v>0</v>
      </c>
      <c r="S81" s="127">
        <v>0</v>
      </c>
      <c r="T81" s="127">
        <v>0</v>
      </c>
      <c r="U81" s="127">
        <v>0</v>
      </c>
      <c r="V81" s="127">
        <v>0</v>
      </c>
      <c r="W81" s="127">
        <v>0</v>
      </c>
      <c r="X81" s="127">
        <v>0</v>
      </c>
      <c r="Y81" s="127">
        <v>0</v>
      </c>
      <c r="Z81" s="127">
        <v>0</v>
      </c>
      <c r="AA81" s="127">
        <v>0</v>
      </c>
      <c r="AB81" s="127">
        <v>0</v>
      </c>
      <c r="AC81" s="127">
        <v>0</v>
      </c>
      <c r="AD81" s="127">
        <v>0</v>
      </c>
      <c r="AE81" s="127">
        <v>0</v>
      </c>
      <c r="AF81" s="127">
        <v>0</v>
      </c>
      <c r="AG81" s="127">
        <v>0</v>
      </c>
      <c r="AH81" s="127">
        <v>0</v>
      </c>
      <c r="AI81" s="127">
        <v>0</v>
      </c>
      <c r="AJ81" s="127">
        <v>0</v>
      </c>
      <c r="AK81" s="127">
        <v>0</v>
      </c>
      <c r="AL81" s="127">
        <v>0</v>
      </c>
      <c r="AM81" s="127">
        <v>0</v>
      </c>
      <c r="AN81" s="127">
        <v>0</v>
      </c>
      <c r="AO81" s="127">
        <v>0</v>
      </c>
      <c r="AP81" s="127">
        <v>0</v>
      </c>
      <c r="AQ81" s="127">
        <v>0</v>
      </c>
      <c r="AR81" s="127">
        <v>0</v>
      </c>
      <c r="AS81" s="127">
        <v>0</v>
      </c>
      <c r="AT81" s="127">
        <v>0</v>
      </c>
      <c r="AU81" s="127">
        <v>0</v>
      </c>
      <c r="AV81" s="127">
        <v>0</v>
      </c>
      <c r="AW81" s="127">
        <v>0</v>
      </c>
      <c r="AX81" s="127">
        <v>0</v>
      </c>
      <c r="AY81" s="127">
        <v>0</v>
      </c>
      <c r="AZ81" s="127">
        <v>0</v>
      </c>
      <c r="BA81" s="127">
        <v>0</v>
      </c>
      <c r="BB81" s="127">
        <v>0</v>
      </c>
      <c r="BC81" s="127">
        <v>0</v>
      </c>
      <c r="BD81" s="127">
        <v>0</v>
      </c>
      <c r="BE81" s="127">
        <v>0</v>
      </c>
      <c r="BF81" s="127">
        <v>0</v>
      </c>
      <c r="BG81" s="127">
        <v>0</v>
      </c>
      <c r="BH81" s="127">
        <v>0</v>
      </c>
      <c r="BI81" s="127">
        <v>0</v>
      </c>
      <c r="BJ81" s="127">
        <v>0</v>
      </c>
      <c r="BK81" s="127">
        <v>0</v>
      </c>
      <c r="BL81" s="127">
        <v>0</v>
      </c>
      <c r="BM81" s="127">
        <v>0</v>
      </c>
      <c r="BN81" s="127">
        <v>0</v>
      </c>
      <c r="BO81" s="127">
        <v>0</v>
      </c>
      <c r="BP81" s="127">
        <v>0</v>
      </c>
      <c r="BQ81" s="127">
        <v>0</v>
      </c>
      <c r="BR81" s="127">
        <v>0</v>
      </c>
      <c r="BS81" s="127">
        <v>0</v>
      </c>
      <c r="BT81" s="127">
        <v>0</v>
      </c>
      <c r="BU81" s="127">
        <v>0</v>
      </c>
      <c r="BV81" s="127">
        <v>0</v>
      </c>
      <c r="BW81" s="127">
        <v>0</v>
      </c>
      <c r="BX81" s="127">
        <v>0</v>
      </c>
      <c r="BY81" s="127">
        <v>0</v>
      </c>
      <c r="BZ81" s="127">
        <v>0</v>
      </c>
      <c r="CA81" s="127">
        <v>0</v>
      </c>
      <c r="CB81" s="127">
        <v>0</v>
      </c>
      <c r="CC81" s="127">
        <v>0</v>
      </c>
      <c r="CD81" s="127">
        <v>0</v>
      </c>
      <c r="CE81" s="127">
        <v>0</v>
      </c>
      <c r="CF81" s="127">
        <v>0</v>
      </c>
      <c r="CG81" s="127">
        <v>0</v>
      </c>
      <c r="CH81" s="127">
        <v>0</v>
      </c>
      <c r="CI81" s="127">
        <v>0</v>
      </c>
      <c r="CJ81" s="127">
        <v>0</v>
      </c>
      <c r="CK81" s="127">
        <v>0</v>
      </c>
      <c r="CL81" s="127">
        <v>0</v>
      </c>
      <c r="CM81" s="127">
        <v>0</v>
      </c>
      <c r="CN81" s="127">
        <v>0</v>
      </c>
      <c r="CO81" s="127">
        <v>0</v>
      </c>
      <c r="CP81" s="127">
        <v>0</v>
      </c>
      <c r="CQ81" s="127">
        <v>0</v>
      </c>
      <c r="CR81" s="127">
        <v>0</v>
      </c>
      <c r="CS81" s="127">
        <v>0</v>
      </c>
      <c r="CT81" s="127">
        <v>0</v>
      </c>
      <c r="CU81" s="127">
        <v>0</v>
      </c>
      <c r="CV81" s="127">
        <v>0</v>
      </c>
      <c r="CW81" s="127">
        <v>0</v>
      </c>
      <c r="CX81" s="127">
        <v>0</v>
      </c>
    </row>
    <row r="82" spans="1:102" ht="15" customHeight="1" x14ac:dyDescent="0.2">
      <c r="A82" s="123">
        <v>8</v>
      </c>
      <c r="B82" s="126">
        <v>1</v>
      </c>
      <c r="C82" s="127">
        <v>1</v>
      </c>
      <c r="D82" s="127">
        <v>1</v>
      </c>
      <c r="E82" s="127">
        <v>1</v>
      </c>
      <c r="F82" s="127">
        <v>1</v>
      </c>
      <c r="G82" s="127">
        <v>0.95</v>
      </c>
      <c r="H82" s="127">
        <v>0.85</v>
      </c>
      <c r="I82" s="127">
        <v>0.8</v>
      </c>
      <c r="J82" s="127">
        <v>0.7</v>
      </c>
      <c r="K82" s="127">
        <v>0.6</v>
      </c>
      <c r="L82" s="127">
        <v>0.5</v>
      </c>
      <c r="M82" s="127">
        <v>0.4</v>
      </c>
      <c r="N82" s="127">
        <v>0.3</v>
      </c>
      <c r="O82" s="127">
        <v>0.2</v>
      </c>
      <c r="P82" s="127">
        <v>0.1</v>
      </c>
      <c r="Q82" s="127">
        <v>0</v>
      </c>
      <c r="R82" s="127">
        <v>0</v>
      </c>
      <c r="S82" s="127">
        <v>0</v>
      </c>
      <c r="T82" s="127">
        <v>0</v>
      </c>
      <c r="U82" s="127">
        <v>0</v>
      </c>
      <c r="V82" s="127">
        <v>0</v>
      </c>
      <c r="W82" s="127">
        <v>0</v>
      </c>
      <c r="X82" s="127">
        <v>0</v>
      </c>
      <c r="Y82" s="127">
        <v>0</v>
      </c>
      <c r="Z82" s="127">
        <v>0</v>
      </c>
      <c r="AA82" s="127">
        <v>0</v>
      </c>
      <c r="AB82" s="127">
        <v>0</v>
      </c>
      <c r="AC82" s="127">
        <v>0</v>
      </c>
      <c r="AD82" s="127">
        <v>0</v>
      </c>
      <c r="AE82" s="127">
        <v>0</v>
      </c>
      <c r="AF82" s="127">
        <v>0</v>
      </c>
      <c r="AG82" s="127">
        <v>0</v>
      </c>
      <c r="AH82" s="127">
        <v>0</v>
      </c>
      <c r="AI82" s="127">
        <v>0</v>
      </c>
      <c r="AJ82" s="127">
        <v>0</v>
      </c>
      <c r="AK82" s="127">
        <v>0</v>
      </c>
      <c r="AL82" s="127">
        <v>0</v>
      </c>
      <c r="AM82" s="127">
        <v>0</v>
      </c>
      <c r="AN82" s="127">
        <v>0</v>
      </c>
      <c r="AO82" s="127">
        <v>0</v>
      </c>
      <c r="AP82" s="127">
        <v>0</v>
      </c>
      <c r="AQ82" s="127">
        <v>0</v>
      </c>
      <c r="AR82" s="127">
        <v>0</v>
      </c>
      <c r="AS82" s="127">
        <v>0</v>
      </c>
      <c r="AT82" s="127">
        <v>0</v>
      </c>
      <c r="AU82" s="127">
        <v>0</v>
      </c>
      <c r="AV82" s="127">
        <v>0</v>
      </c>
      <c r="AW82" s="127">
        <v>0</v>
      </c>
      <c r="AX82" s="127">
        <v>0</v>
      </c>
      <c r="AY82" s="127">
        <v>0</v>
      </c>
      <c r="AZ82" s="127">
        <v>0</v>
      </c>
      <c r="BA82" s="127">
        <v>0</v>
      </c>
      <c r="BB82" s="127">
        <v>0</v>
      </c>
      <c r="BC82" s="127">
        <v>0</v>
      </c>
      <c r="BD82" s="127">
        <v>0</v>
      </c>
      <c r="BE82" s="127">
        <v>0</v>
      </c>
      <c r="BF82" s="127">
        <v>0</v>
      </c>
      <c r="BG82" s="127">
        <v>0</v>
      </c>
      <c r="BH82" s="127">
        <v>0</v>
      </c>
      <c r="BI82" s="127">
        <v>0</v>
      </c>
      <c r="BJ82" s="127">
        <v>0</v>
      </c>
      <c r="BK82" s="127">
        <v>0</v>
      </c>
      <c r="BL82" s="127">
        <v>0</v>
      </c>
      <c r="BM82" s="127">
        <v>0</v>
      </c>
      <c r="BN82" s="127">
        <v>0</v>
      </c>
      <c r="BO82" s="127">
        <v>0</v>
      </c>
      <c r="BP82" s="127">
        <v>0</v>
      </c>
      <c r="BQ82" s="127">
        <v>0</v>
      </c>
      <c r="BR82" s="127">
        <v>0</v>
      </c>
      <c r="BS82" s="127">
        <v>0</v>
      </c>
      <c r="BT82" s="127">
        <v>0</v>
      </c>
      <c r="BU82" s="127">
        <v>0</v>
      </c>
      <c r="BV82" s="127">
        <v>0</v>
      </c>
      <c r="BW82" s="127">
        <v>0</v>
      </c>
      <c r="BX82" s="127">
        <v>0</v>
      </c>
      <c r="BY82" s="127">
        <v>0</v>
      </c>
      <c r="BZ82" s="127">
        <v>0</v>
      </c>
      <c r="CA82" s="127">
        <v>0</v>
      </c>
      <c r="CB82" s="127">
        <v>0</v>
      </c>
      <c r="CC82" s="127">
        <v>0</v>
      </c>
      <c r="CD82" s="127">
        <v>0</v>
      </c>
      <c r="CE82" s="127">
        <v>0</v>
      </c>
      <c r="CF82" s="127">
        <v>0</v>
      </c>
      <c r="CG82" s="127">
        <v>0</v>
      </c>
      <c r="CH82" s="127">
        <v>0</v>
      </c>
      <c r="CI82" s="127">
        <v>0</v>
      </c>
      <c r="CJ82" s="127">
        <v>0</v>
      </c>
      <c r="CK82" s="127">
        <v>0</v>
      </c>
      <c r="CL82" s="127">
        <v>0</v>
      </c>
      <c r="CM82" s="127">
        <v>0</v>
      </c>
      <c r="CN82" s="127">
        <v>0</v>
      </c>
      <c r="CO82" s="127">
        <v>0</v>
      </c>
      <c r="CP82" s="127">
        <v>0</v>
      </c>
      <c r="CQ82" s="127">
        <v>0</v>
      </c>
      <c r="CR82" s="127">
        <v>0</v>
      </c>
      <c r="CS82" s="127">
        <v>0</v>
      </c>
      <c r="CT82" s="127">
        <v>0</v>
      </c>
      <c r="CU82" s="127">
        <v>0</v>
      </c>
      <c r="CV82" s="127">
        <v>0</v>
      </c>
      <c r="CW82" s="127">
        <v>0</v>
      </c>
      <c r="CX82" s="127">
        <v>0</v>
      </c>
    </row>
    <row r="83" spans="1:102" ht="15" customHeight="1" x14ac:dyDescent="0.2">
      <c r="A83" s="123">
        <v>8.1</v>
      </c>
      <c r="B83" s="126">
        <v>1</v>
      </c>
      <c r="C83" s="127">
        <v>1</v>
      </c>
      <c r="D83" s="127">
        <v>1</v>
      </c>
      <c r="E83" s="127">
        <v>1</v>
      </c>
      <c r="F83" s="127">
        <v>1</v>
      </c>
      <c r="G83" s="127">
        <v>0.95</v>
      </c>
      <c r="H83" s="127">
        <v>0.85</v>
      </c>
      <c r="I83" s="127">
        <v>0.8</v>
      </c>
      <c r="J83" s="127">
        <v>0.7</v>
      </c>
      <c r="K83" s="127">
        <v>0.6</v>
      </c>
      <c r="L83" s="127">
        <v>0.5</v>
      </c>
      <c r="M83" s="127">
        <v>0.4</v>
      </c>
      <c r="N83" s="127">
        <v>0.3</v>
      </c>
      <c r="O83" s="127">
        <v>0.2</v>
      </c>
      <c r="P83" s="127">
        <v>0.1</v>
      </c>
      <c r="Q83" s="127">
        <v>0</v>
      </c>
      <c r="R83" s="127">
        <v>0</v>
      </c>
      <c r="S83" s="127">
        <v>0</v>
      </c>
      <c r="T83" s="127">
        <v>0</v>
      </c>
      <c r="U83" s="127">
        <v>0</v>
      </c>
      <c r="V83" s="127">
        <v>0</v>
      </c>
      <c r="W83" s="127">
        <v>0</v>
      </c>
      <c r="X83" s="127">
        <v>0</v>
      </c>
      <c r="Y83" s="127">
        <v>0</v>
      </c>
      <c r="Z83" s="127">
        <v>0</v>
      </c>
      <c r="AA83" s="127">
        <v>0</v>
      </c>
      <c r="AB83" s="127">
        <v>0</v>
      </c>
      <c r="AC83" s="127">
        <v>0</v>
      </c>
      <c r="AD83" s="127">
        <v>0</v>
      </c>
      <c r="AE83" s="127">
        <v>0</v>
      </c>
      <c r="AF83" s="127">
        <v>0</v>
      </c>
      <c r="AG83" s="127">
        <v>0</v>
      </c>
      <c r="AH83" s="127">
        <v>0</v>
      </c>
      <c r="AI83" s="127">
        <v>0</v>
      </c>
      <c r="AJ83" s="127">
        <v>0</v>
      </c>
      <c r="AK83" s="127">
        <v>0</v>
      </c>
      <c r="AL83" s="127">
        <v>0</v>
      </c>
      <c r="AM83" s="127">
        <v>0</v>
      </c>
      <c r="AN83" s="127">
        <v>0</v>
      </c>
      <c r="AO83" s="127">
        <v>0</v>
      </c>
      <c r="AP83" s="127">
        <v>0</v>
      </c>
      <c r="AQ83" s="127">
        <v>0</v>
      </c>
      <c r="AR83" s="127">
        <v>0</v>
      </c>
      <c r="AS83" s="127">
        <v>0</v>
      </c>
      <c r="AT83" s="127">
        <v>0</v>
      </c>
      <c r="AU83" s="127">
        <v>0</v>
      </c>
      <c r="AV83" s="127">
        <v>0</v>
      </c>
      <c r="AW83" s="127">
        <v>0</v>
      </c>
      <c r="AX83" s="127">
        <v>0</v>
      </c>
      <c r="AY83" s="127">
        <v>0</v>
      </c>
      <c r="AZ83" s="127">
        <v>0</v>
      </c>
      <c r="BA83" s="127">
        <v>0</v>
      </c>
      <c r="BB83" s="127">
        <v>0</v>
      </c>
      <c r="BC83" s="127">
        <v>0</v>
      </c>
      <c r="BD83" s="127">
        <v>0</v>
      </c>
      <c r="BE83" s="127">
        <v>0</v>
      </c>
      <c r="BF83" s="127">
        <v>0</v>
      </c>
      <c r="BG83" s="127">
        <v>0</v>
      </c>
      <c r="BH83" s="127">
        <v>0</v>
      </c>
      <c r="BI83" s="127">
        <v>0</v>
      </c>
      <c r="BJ83" s="127">
        <v>0</v>
      </c>
      <c r="BK83" s="127">
        <v>0</v>
      </c>
      <c r="BL83" s="127">
        <v>0</v>
      </c>
      <c r="BM83" s="127">
        <v>0</v>
      </c>
      <c r="BN83" s="127">
        <v>0</v>
      </c>
      <c r="BO83" s="127">
        <v>0</v>
      </c>
      <c r="BP83" s="127">
        <v>0</v>
      </c>
      <c r="BQ83" s="127">
        <v>0</v>
      </c>
      <c r="BR83" s="127">
        <v>0</v>
      </c>
      <c r="BS83" s="127">
        <v>0</v>
      </c>
      <c r="BT83" s="127">
        <v>0</v>
      </c>
      <c r="BU83" s="127">
        <v>0</v>
      </c>
      <c r="BV83" s="127">
        <v>0</v>
      </c>
      <c r="BW83" s="127">
        <v>0</v>
      </c>
      <c r="BX83" s="127">
        <v>0</v>
      </c>
      <c r="BY83" s="127">
        <v>0</v>
      </c>
      <c r="BZ83" s="127">
        <v>0</v>
      </c>
      <c r="CA83" s="127">
        <v>0</v>
      </c>
      <c r="CB83" s="127">
        <v>0</v>
      </c>
      <c r="CC83" s="127">
        <v>0</v>
      </c>
      <c r="CD83" s="127">
        <v>0</v>
      </c>
      <c r="CE83" s="127">
        <v>0</v>
      </c>
      <c r="CF83" s="127">
        <v>0</v>
      </c>
      <c r="CG83" s="127">
        <v>0</v>
      </c>
      <c r="CH83" s="127">
        <v>0</v>
      </c>
      <c r="CI83" s="127">
        <v>0</v>
      </c>
      <c r="CJ83" s="127">
        <v>0</v>
      </c>
      <c r="CK83" s="127">
        <v>0</v>
      </c>
      <c r="CL83" s="127">
        <v>0</v>
      </c>
      <c r="CM83" s="127">
        <v>0</v>
      </c>
      <c r="CN83" s="127">
        <v>0</v>
      </c>
      <c r="CO83" s="127">
        <v>0</v>
      </c>
      <c r="CP83" s="127">
        <v>0</v>
      </c>
      <c r="CQ83" s="127">
        <v>0</v>
      </c>
      <c r="CR83" s="127">
        <v>0</v>
      </c>
      <c r="CS83" s="127">
        <v>0</v>
      </c>
      <c r="CT83" s="127">
        <v>0</v>
      </c>
      <c r="CU83" s="127">
        <v>0</v>
      </c>
      <c r="CV83" s="127">
        <v>0</v>
      </c>
      <c r="CW83" s="127">
        <v>0</v>
      </c>
      <c r="CX83" s="127">
        <v>0</v>
      </c>
    </row>
    <row r="84" spans="1:102" ht="15" customHeight="1" x14ac:dyDescent="0.2">
      <c r="A84" s="123">
        <v>8.1999999999999993</v>
      </c>
      <c r="B84" s="126">
        <v>1</v>
      </c>
      <c r="C84" s="127">
        <v>1</v>
      </c>
      <c r="D84" s="127">
        <v>1</v>
      </c>
      <c r="E84" s="127">
        <v>1</v>
      </c>
      <c r="F84" s="127">
        <v>1</v>
      </c>
      <c r="G84" s="127">
        <v>0.95</v>
      </c>
      <c r="H84" s="127">
        <v>0.85</v>
      </c>
      <c r="I84" s="127">
        <v>0.8</v>
      </c>
      <c r="J84" s="127">
        <v>0.7</v>
      </c>
      <c r="K84" s="127">
        <v>0.6</v>
      </c>
      <c r="L84" s="127">
        <v>0.5</v>
      </c>
      <c r="M84" s="127">
        <v>0.4</v>
      </c>
      <c r="N84" s="127">
        <v>0.3</v>
      </c>
      <c r="O84" s="127">
        <v>0.2</v>
      </c>
      <c r="P84" s="127">
        <v>0.1</v>
      </c>
      <c r="Q84" s="127">
        <v>0</v>
      </c>
      <c r="R84" s="127">
        <v>0</v>
      </c>
      <c r="S84" s="127">
        <v>0</v>
      </c>
      <c r="T84" s="127">
        <v>0</v>
      </c>
      <c r="U84" s="127">
        <v>0</v>
      </c>
      <c r="V84" s="127">
        <v>0</v>
      </c>
      <c r="W84" s="127">
        <v>0</v>
      </c>
      <c r="X84" s="127">
        <v>0</v>
      </c>
      <c r="Y84" s="127">
        <v>0</v>
      </c>
      <c r="Z84" s="127">
        <v>0</v>
      </c>
      <c r="AA84" s="127">
        <v>0</v>
      </c>
      <c r="AB84" s="127">
        <v>0</v>
      </c>
      <c r="AC84" s="127">
        <v>0</v>
      </c>
      <c r="AD84" s="127">
        <v>0</v>
      </c>
      <c r="AE84" s="127">
        <v>0</v>
      </c>
      <c r="AF84" s="127">
        <v>0</v>
      </c>
      <c r="AG84" s="127">
        <v>0</v>
      </c>
      <c r="AH84" s="127">
        <v>0</v>
      </c>
      <c r="AI84" s="127">
        <v>0</v>
      </c>
      <c r="AJ84" s="127">
        <v>0</v>
      </c>
      <c r="AK84" s="127">
        <v>0</v>
      </c>
      <c r="AL84" s="127">
        <v>0</v>
      </c>
      <c r="AM84" s="127">
        <v>0</v>
      </c>
      <c r="AN84" s="127">
        <v>0</v>
      </c>
      <c r="AO84" s="127">
        <v>0</v>
      </c>
      <c r="AP84" s="127">
        <v>0</v>
      </c>
      <c r="AQ84" s="127">
        <v>0</v>
      </c>
      <c r="AR84" s="127">
        <v>0</v>
      </c>
      <c r="AS84" s="127">
        <v>0</v>
      </c>
      <c r="AT84" s="127">
        <v>0</v>
      </c>
      <c r="AU84" s="127">
        <v>0</v>
      </c>
      <c r="AV84" s="127">
        <v>0</v>
      </c>
      <c r="AW84" s="127">
        <v>0</v>
      </c>
      <c r="AX84" s="127">
        <v>0</v>
      </c>
      <c r="AY84" s="127">
        <v>0</v>
      </c>
      <c r="AZ84" s="127">
        <v>0</v>
      </c>
      <c r="BA84" s="127">
        <v>0</v>
      </c>
      <c r="BB84" s="127">
        <v>0</v>
      </c>
      <c r="BC84" s="127">
        <v>0</v>
      </c>
      <c r="BD84" s="127">
        <v>0</v>
      </c>
      <c r="BE84" s="127">
        <v>0</v>
      </c>
      <c r="BF84" s="127">
        <v>0</v>
      </c>
      <c r="BG84" s="127">
        <v>0</v>
      </c>
      <c r="BH84" s="127">
        <v>0</v>
      </c>
      <c r="BI84" s="127">
        <v>0</v>
      </c>
      <c r="BJ84" s="127">
        <v>0</v>
      </c>
      <c r="BK84" s="127">
        <v>0</v>
      </c>
      <c r="BL84" s="127">
        <v>0</v>
      </c>
      <c r="BM84" s="127">
        <v>0</v>
      </c>
      <c r="BN84" s="127">
        <v>0</v>
      </c>
      <c r="BO84" s="127">
        <v>0</v>
      </c>
      <c r="BP84" s="127">
        <v>0</v>
      </c>
      <c r="BQ84" s="127">
        <v>0</v>
      </c>
      <c r="BR84" s="127">
        <v>0</v>
      </c>
      <c r="BS84" s="127">
        <v>0</v>
      </c>
      <c r="BT84" s="127">
        <v>0</v>
      </c>
      <c r="BU84" s="127">
        <v>0</v>
      </c>
      <c r="BV84" s="127">
        <v>0</v>
      </c>
      <c r="BW84" s="127">
        <v>0</v>
      </c>
      <c r="BX84" s="127">
        <v>0</v>
      </c>
      <c r="BY84" s="127">
        <v>0</v>
      </c>
      <c r="BZ84" s="127">
        <v>0</v>
      </c>
      <c r="CA84" s="127">
        <v>0</v>
      </c>
      <c r="CB84" s="127">
        <v>0</v>
      </c>
      <c r="CC84" s="127">
        <v>0</v>
      </c>
      <c r="CD84" s="127">
        <v>0</v>
      </c>
      <c r="CE84" s="127">
        <v>0</v>
      </c>
      <c r="CF84" s="127">
        <v>0</v>
      </c>
      <c r="CG84" s="127">
        <v>0</v>
      </c>
      <c r="CH84" s="127">
        <v>0</v>
      </c>
      <c r="CI84" s="127">
        <v>0</v>
      </c>
      <c r="CJ84" s="127">
        <v>0</v>
      </c>
      <c r="CK84" s="127">
        <v>0</v>
      </c>
      <c r="CL84" s="127">
        <v>0</v>
      </c>
      <c r="CM84" s="127">
        <v>0</v>
      </c>
      <c r="CN84" s="127">
        <v>0</v>
      </c>
      <c r="CO84" s="127">
        <v>0</v>
      </c>
      <c r="CP84" s="127">
        <v>0</v>
      </c>
      <c r="CQ84" s="127">
        <v>0</v>
      </c>
      <c r="CR84" s="127">
        <v>0</v>
      </c>
      <c r="CS84" s="127">
        <v>0</v>
      </c>
      <c r="CT84" s="127">
        <v>0</v>
      </c>
      <c r="CU84" s="127">
        <v>0</v>
      </c>
      <c r="CV84" s="127">
        <v>0</v>
      </c>
      <c r="CW84" s="127">
        <v>0</v>
      </c>
      <c r="CX84" s="127">
        <v>0</v>
      </c>
    </row>
    <row r="85" spans="1:102" ht="15" customHeight="1" x14ac:dyDescent="0.2">
      <c r="A85" s="123">
        <v>8.3000000000000007</v>
      </c>
      <c r="B85" s="126">
        <v>1</v>
      </c>
      <c r="C85" s="127">
        <v>1</v>
      </c>
      <c r="D85" s="127">
        <v>1</v>
      </c>
      <c r="E85" s="127">
        <v>1</v>
      </c>
      <c r="F85" s="127">
        <v>1</v>
      </c>
      <c r="G85" s="127">
        <v>0.95</v>
      </c>
      <c r="H85" s="127">
        <v>0.85</v>
      </c>
      <c r="I85" s="127">
        <v>0.8</v>
      </c>
      <c r="J85" s="127">
        <v>0.7</v>
      </c>
      <c r="K85" s="127">
        <v>0.6</v>
      </c>
      <c r="L85" s="127">
        <v>0.5</v>
      </c>
      <c r="M85" s="127">
        <v>0.4</v>
      </c>
      <c r="N85" s="127">
        <v>0.3</v>
      </c>
      <c r="O85" s="127">
        <v>0.2</v>
      </c>
      <c r="P85" s="127">
        <v>0.1</v>
      </c>
      <c r="Q85" s="127">
        <v>0</v>
      </c>
      <c r="R85" s="127">
        <v>0</v>
      </c>
      <c r="S85" s="127">
        <v>0</v>
      </c>
      <c r="T85" s="127">
        <v>0</v>
      </c>
      <c r="U85" s="127">
        <v>0</v>
      </c>
      <c r="V85" s="127">
        <v>0</v>
      </c>
      <c r="W85" s="127">
        <v>0</v>
      </c>
      <c r="X85" s="127">
        <v>0</v>
      </c>
      <c r="Y85" s="127">
        <v>0</v>
      </c>
      <c r="Z85" s="127">
        <v>0</v>
      </c>
      <c r="AA85" s="127">
        <v>0</v>
      </c>
      <c r="AB85" s="127">
        <v>0</v>
      </c>
      <c r="AC85" s="127">
        <v>0</v>
      </c>
      <c r="AD85" s="127">
        <v>0</v>
      </c>
      <c r="AE85" s="127">
        <v>0</v>
      </c>
      <c r="AF85" s="127">
        <v>0</v>
      </c>
      <c r="AG85" s="127">
        <v>0</v>
      </c>
      <c r="AH85" s="127">
        <v>0</v>
      </c>
      <c r="AI85" s="127">
        <v>0</v>
      </c>
      <c r="AJ85" s="127">
        <v>0</v>
      </c>
      <c r="AK85" s="127">
        <v>0</v>
      </c>
      <c r="AL85" s="127">
        <v>0</v>
      </c>
      <c r="AM85" s="127">
        <v>0</v>
      </c>
      <c r="AN85" s="127">
        <v>0</v>
      </c>
      <c r="AO85" s="127">
        <v>0</v>
      </c>
      <c r="AP85" s="127">
        <v>0</v>
      </c>
      <c r="AQ85" s="127">
        <v>0</v>
      </c>
      <c r="AR85" s="127">
        <v>0</v>
      </c>
      <c r="AS85" s="127">
        <v>0</v>
      </c>
      <c r="AT85" s="127">
        <v>0</v>
      </c>
      <c r="AU85" s="127">
        <v>0</v>
      </c>
      <c r="AV85" s="127">
        <v>0</v>
      </c>
      <c r="AW85" s="127">
        <v>0</v>
      </c>
      <c r="AX85" s="127">
        <v>0</v>
      </c>
      <c r="AY85" s="127">
        <v>0</v>
      </c>
      <c r="AZ85" s="127">
        <v>0</v>
      </c>
      <c r="BA85" s="127">
        <v>0</v>
      </c>
      <c r="BB85" s="127">
        <v>0</v>
      </c>
      <c r="BC85" s="127">
        <v>0</v>
      </c>
      <c r="BD85" s="127">
        <v>0</v>
      </c>
      <c r="BE85" s="127">
        <v>0</v>
      </c>
      <c r="BF85" s="127">
        <v>0</v>
      </c>
      <c r="BG85" s="127">
        <v>0</v>
      </c>
      <c r="BH85" s="127">
        <v>0</v>
      </c>
      <c r="BI85" s="127">
        <v>0</v>
      </c>
      <c r="BJ85" s="127">
        <v>0</v>
      </c>
      <c r="BK85" s="127">
        <v>0</v>
      </c>
      <c r="BL85" s="127">
        <v>0</v>
      </c>
      <c r="BM85" s="127">
        <v>0</v>
      </c>
      <c r="BN85" s="127">
        <v>0</v>
      </c>
      <c r="BO85" s="127">
        <v>0</v>
      </c>
      <c r="BP85" s="127">
        <v>0</v>
      </c>
      <c r="BQ85" s="127">
        <v>0</v>
      </c>
      <c r="BR85" s="127">
        <v>0</v>
      </c>
      <c r="BS85" s="127">
        <v>0</v>
      </c>
      <c r="BT85" s="127">
        <v>0</v>
      </c>
      <c r="BU85" s="127">
        <v>0</v>
      </c>
      <c r="BV85" s="127">
        <v>0</v>
      </c>
      <c r="BW85" s="127">
        <v>0</v>
      </c>
      <c r="BX85" s="127">
        <v>0</v>
      </c>
      <c r="BY85" s="127">
        <v>0</v>
      </c>
      <c r="BZ85" s="127">
        <v>0</v>
      </c>
      <c r="CA85" s="127">
        <v>0</v>
      </c>
      <c r="CB85" s="127">
        <v>0</v>
      </c>
      <c r="CC85" s="127">
        <v>0</v>
      </c>
      <c r="CD85" s="127">
        <v>0</v>
      </c>
      <c r="CE85" s="127">
        <v>0</v>
      </c>
      <c r="CF85" s="127">
        <v>0</v>
      </c>
      <c r="CG85" s="127">
        <v>0</v>
      </c>
      <c r="CH85" s="127">
        <v>0</v>
      </c>
      <c r="CI85" s="127">
        <v>0</v>
      </c>
      <c r="CJ85" s="127">
        <v>0</v>
      </c>
      <c r="CK85" s="127">
        <v>0</v>
      </c>
      <c r="CL85" s="127">
        <v>0</v>
      </c>
      <c r="CM85" s="127">
        <v>0</v>
      </c>
      <c r="CN85" s="127">
        <v>0</v>
      </c>
      <c r="CO85" s="127">
        <v>0</v>
      </c>
      <c r="CP85" s="127">
        <v>0</v>
      </c>
      <c r="CQ85" s="127">
        <v>0</v>
      </c>
      <c r="CR85" s="127">
        <v>0</v>
      </c>
      <c r="CS85" s="127">
        <v>0</v>
      </c>
      <c r="CT85" s="127">
        <v>0</v>
      </c>
      <c r="CU85" s="127">
        <v>0</v>
      </c>
      <c r="CV85" s="127">
        <v>0</v>
      </c>
      <c r="CW85" s="127">
        <v>0</v>
      </c>
      <c r="CX85" s="127">
        <v>0</v>
      </c>
    </row>
    <row r="86" spans="1:102" ht="15" customHeight="1" x14ac:dyDescent="0.2">
      <c r="A86" s="123">
        <v>8.4</v>
      </c>
      <c r="B86" s="126">
        <v>1</v>
      </c>
      <c r="C86" s="127">
        <v>1</v>
      </c>
      <c r="D86" s="127">
        <v>1</v>
      </c>
      <c r="E86" s="127">
        <v>1</v>
      </c>
      <c r="F86" s="127">
        <v>1</v>
      </c>
      <c r="G86" s="127">
        <v>0.95</v>
      </c>
      <c r="H86" s="127">
        <v>0.85</v>
      </c>
      <c r="I86" s="127">
        <v>0.8</v>
      </c>
      <c r="J86" s="127">
        <v>0.7</v>
      </c>
      <c r="K86" s="127">
        <v>0.6</v>
      </c>
      <c r="L86" s="127">
        <v>0.5</v>
      </c>
      <c r="M86" s="127">
        <v>0.4</v>
      </c>
      <c r="N86" s="127">
        <v>0.3</v>
      </c>
      <c r="O86" s="127">
        <v>0.2</v>
      </c>
      <c r="P86" s="127">
        <v>0.1</v>
      </c>
      <c r="Q86" s="127">
        <v>0</v>
      </c>
      <c r="R86" s="127">
        <v>0</v>
      </c>
      <c r="S86" s="127">
        <v>0</v>
      </c>
      <c r="T86" s="127">
        <v>0</v>
      </c>
      <c r="U86" s="127">
        <v>0</v>
      </c>
      <c r="V86" s="127">
        <v>0</v>
      </c>
      <c r="W86" s="127">
        <v>0</v>
      </c>
      <c r="X86" s="127">
        <v>0</v>
      </c>
      <c r="Y86" s="127">
        <v>0</v>
      </c>
      <c r="Z86" s="127">
        <v>0</v>
      </c>
      <c r="AA86" s="127">
        <v>0</v>
      </c>
      <c r="AB86" s="127">
        <v>0</v>
      </c>
      <c r="AC86" s="127">
        <v>0</v>
      </c>
      <c r="AD86" s="127">
        <v>0</v>
      </c>
      <c r="AE86" s="127">
        <v>0</v>
      </c>
      <c r="AF86" s="127">
        <v>0</v>
      </c>
      <c r="AG86" s="127">
        <v>0</v>
      </c>
      <c r="AH86" s="127">
        <v>0</v>
      </c>
      <c r="AI86" s="127">
        <v>0</v>
      </c>
      <c r="AJ86" s="127">
        <v>0</v>
      </c>
      <c r="AK86" s="127">
        <v>0</v>
      </c>
      <c r="AL86" s="127">
        <v>0</v>
      </c>
      <c r="AM86" s="127">
        <v>0</v>
      </c>
      <c r="AN86" s="127">
        <v>0</v>
      </c>
      <c r="AO86" s="127">
        <v>0</v>
      </c>
      <c r="AP86" s="127">
        <v>0</v>
      </c>
      <c r="AQ86" s="127">
        <v>0</v>
      </c>
      <c r="AR86" s="127">
        <v>0</v>
      </c>
      <c r="AS86" s="127">
        <v>0</v>
      </c>
      <c r="AT86" s="127">
        <v>0</v>
      </c>
      <c r="AU86" s="127">
        <v>0</v>
      </c>
      <c r="AV86" s="127">
        <v>0</v>
      </c>
      <c r="AW86" s="127">
        <v>0</v>
      </c>
      <c r="AX86" s="127">
        <v>0</v>
      </c>
      <c r="AY86" s="127">
        <v>0</v>
      </c>
      <c r="AZ86" s="127">
        <v>0</v>
      </c>
      <c r="BA86" s="127">
        <v>0</v>
      </c>
      <c r="BB86" s="127">
        <v>0</v>
      </c>
      <c r="BC86" s="127">
        <v>0</v>
      </c>
      <c r="BD86" s="127">
        <v>0</v>
      </c>
      <c r="BE86" s="127">
        <v>0</v>
      </c>
      <c r="BF86" s="127">
        <v>0</v>
      </c>
      <c r="BG86" s="127">
        <v>0</v>
      </c>
      <c r="BH86" s="127">
        <v>0</v>
      </c>
      <c r="BI86" s="127">
        <v>0</v>
      </c>
      <c r="BJ86" s="127">
        <v>0</v>
      </c>
      <c r="BK86" s="127">
        <v>0</v>
      </c>
      <c r="BL86" s="127">
        <v>0</v>
      </c>
      <c r="BM86" s="127">
        <v>0</v>
      </c>
      <c r="BN86" s="127">
        <v>0</v>
      </c>
      <c r="BO86" s="127">
        <v>0</v>
      </c>
      <c r="BP86" s="127">
        <v>0</v>
      </c>
      <c r="BQ86" s="127">
        <v>0</v>
      </c>
      <c r="BR86" s="127">
        <v>0</v>
      </c>
      <c r="BS86" s="127">
        <v>0</v>
      </c>
      <c r="BT86" s="127">
        <v>0</v>
      </c>
      <c r="BU86" s="127">
        <v>0</v>
      </c>
      <c r="BV86" s="127">
        <v>0</v>
      </c>
      <c r="BW86" s="127">
        <v>0</v>
      </c>
      <c r="BX86" s="127">
        <v>0</v>
      </c>
      <c r="BY86" s="127">
        <v>0</v>
      </c>
      <c r="BZ86" s="127">
        <v>0</v>
      </c>
      <c r="CA86" s="127">
        <v>0</v>
      </c>
      <c r="CB86" s="127">
        <v>0</v>
      </c>
      <c r="CC86" s="127">
        <v>0</v>
      </c>
      <c r="CD86" s="127">
        <v>0</v>
      </c>
      <c r="CE86" s="127">
        <v>0</v>
      </c>
      <c r="CF86" s="127">
        <v>0</v>
      </c>
      <c r="CG86" s="127">
        <v>0</v>
      </c>
      <c r="CH86" s="127">
        <v>0</v>
      </c>
      <c r="CI86" s="127">
        <v>0</v>
      </c>
      <c r="CJ86" s="127">
        <v>0</v>
      </c>
      <c r="CK86" s="127">
        <v>0</v>
      </c>
      <c r="CL86" s="127">
        <v>0</v>
      </c>
      <c r="CM86" s="127">
        <v>0</v>
      </c>
      <c r="CN86" s="127">
        <v>0</v>
      </c>
      <c r="CO86" s="127">
        <v>0</v>
      </c>
      <c r="CP86" s="127">
        <v>0</v>
      </c>
      <c r="CQ86" s="127">
        <v>0</v>
      </c>
      <c r="CR86" s="127">
        <v>0</v>
      </c>
      <c r="CS86" s="127">
        <v>0</v>
      </c>
      <c r="CT86" s="127">
        <v>0</v>
      </c>
      <c r="CU86" s="127">
        <v>0</v>
      </c>
      <c r="CV86" s="127">
        <v>0</v>
      </c>
      <c r="CW86" s="127">
        <v>0</v>
      </c>
      <c r="CX86" s="127">
        <v>0</v>
      </c>
    </row>
    <row r="87" spans="1:102" ht="15" customHeight="1" x14ac:dyDescent="0.2">
      <c r="A87" s="123">
        <v>8.5</v>
      </c>
      <c r="B87" s="126">
        <v>1</v>
      </c>
      <c r="C87" s="127">
        <v>1</v>
      </c>
      <c r="D87" s="127">
        <v>1</v>
      </c>
      <c r="E87" s="127">
        <v>1</v>
      </c>
      <c r="F87" s="127">
        <v>1</v>
      </c>
      <c r="G87" s="127">
        <v>0.95</v>
      </c>
      <c r="H87" s="127">
        <v>0.85</v>
      </c>
      <c r="I87" s="127">
        <v>0.8</v>
      </c>
      <c r="J87" s="127">
        <v>0.7</v>
      </c>
      <c r="K87" s="127">
        <v>0.6</v>
      </c>
      <c r="L87" s="127">
        <v>0.5</v>
      </c>
      <c r="M87" s="127">
        <v>0.4</v>
      </c>
      <c r="N87" s="127">
        <v>0.3</v>
      </c>
      <c r="O87" s="127">
        <v>0.2</v>
      </c>
      <c r="P87" s="127">
        <v>0.1</v>
      </c>
      <c r="Q87" s="127">
        <v>0</v>
      </c>
      <c r="R87" s="127">
        <v>0</v>
      </c>
      <c r="S87" s="127">
        <v>0</v>
      </c>
      <c r="T87" s="127">
        <v>0</v>
      </c>
      <c r="U87" s="127">
        <v>0</v>
      </c>
      <c r="V87" s="127">
        <v>0</v>
      </c>
      <c r="W87" s="127">
        <v>0</v>
      </c>
      <c r="X87" s="127">
        <v>0</v>
      </c>
      <c r="Y87" s="127">
        <v>0</v>
      </c>
      <c r="Z87" s="127">
        <v>0</v>
      </c>
      <c r="AA87" s="127">
        <v>0</v>
      </c>
      <c r="AB87" s="127">
        <v>0</v>
      </c>
      <c r="AC87" s="127">
        <v>0</v>
      </c>
      <c r="AD87" s="127">
        <v>0</v>
      </c>
      <c r="AE87" s="127">
        <v>0</v>
      </c>
      <c r="AF87" s="127">
        <v>0</v>
      </c>
      <c r="AG87" s="127">
        <v>0</v>
      </c>
      <c r="AH87" s="127">
        <v>0</v>
      </c>
      <c r="AI87" s="127">
        <v>0</v>
      </c>
      <c r="AJ87" s="127">
        <v>0</v>
      </c>
      <c r="AK87" s="127">
        <v>0</v>
      </c>
      <c r="AL87" s="127">
        <v>0</v>
      </c>
      <c r="AM87" s="127">
        <v>0</v>
      </c>
      <c r="AN87" s="127">
        <v>0</v>
      </c>
      <c r="AO87" s="127">
        <v>0</v>
      </c>
      <c r="AP87" s="127">
        <v>0</v>
      </c>
      <c r="AQ87" s="127">
        <v>0</v>
      </c>
      <c r="AR87" s="127">
        <v>0</v>
      </c>
      <c r="AS87" s="127">
        <v>0</v>
      </c>
      <c r="AT87" s="127">
        <v>0</v>
      </c>
      <c r="AU87" s="127">
        <v>0</v>
      </c>
      <c r="AV87" s="127">
        <v>0</v>
      </c>
      <c r="AW87" s="127">
        <v>0</v>
      </c>
      <c r="AX87" s="127">
        <v>0</v>
      </c>
      <c r="AY87" s="127">
        <v>0</v>
      </c>
      <c r="AZ87" s="127">
        <v>0</v>
      </c>
      <c r="BA87" s="127">
        <v>0</v>
      </c>
      <c r="BB87" s="127">
        <v>0</v>
      </c>
      <c r="BC87" s="127">
        <v>0</v>
      </c>
      <c r="BD87" s="127">
        <v>0</v>
      </c>
      <c r="BE87" s="127">
        <v>0</v>
      </c>
      <c r="BF87" s="127">
        <v>0</v>
      </c>
      <c r="BG87" s="127">
        <v>0</v>
      </c>
      <c r="BH87" s="127">
        <v>0</v>
      </c>
      <c r="BI87" s="127">
        <v>0</v>
      </c>
      <c r="BJ87" s="127">
        <v>0</v>
      </c>
      <c r="BK87" s="127">
        <v>0</v>
      </c>
      <c r="BL87" s="127">
        <v>0</v>
      </c>
      <c r="BM87" s="127">
        <v>0</v>
      </c>
      <c r="BN87" s="127">
        <v>0</v>
      </c>
      <c r="BO87" s="127">
        <v>0</v>
      </c>
      <c r="BP87" s="127">
        <v>0</v>
      </c>
      <c r="BQ87" s="127">
        <v>0</v>
      </c>
      <c r="BR87" s="127">
        <v>0</v>
      </c>
      <c r="BS87" s="127">
        <v>0</v>
      </c>
      <c r="BT87" s="127">
        <v>0</v>
      </c>
      <c r="BU87" s="127">
        <v>0</v>
      </c>
      <c r="BV87" s="127">
        <v>0</v>
      </c>
      <c r="BW87" s="127">
        <v>0</v>
      </c>
      <c r="BX87" s="127">
        <v>0</v>
      </c>
      <c r="BY87" s="127">
        <v>0</v>
      </c>
      <c r="BZ87" s="127">
        <v>0</v>
      </c>
      <c r="CA87" s="127">
        <v>0</v>
      </c>
      <c r="CB87" s="127">
        <v>0</v>
      </c>
      <c r="CC87" s="127">
        <v>0</v>
      </c>
      <c r="CD87" s="127">
        <v>0</v>
      </c>
      <c r="CE87" s="127">
        <v>0</v>
      </c>
      <c r="CF87" s="127">
        <v>0</v>
      </c>
      <c r="CG87" s="127">
        <v>0</v>
      </c>
      <c r="CH87" s="127">
        <v>0</v>
      </c>
      <c r="CI87" s="127">
        <v>0</v>
      </c>
      <c r="CJ87" s="127">
        <v>0</v>
      </c>
      <c r="CK87" s="127">
        <v>0</v>
      </c>
      <c r="CL87" s="127">
        <v>0</v>
      </c>
      <c r="CM87" s="127">
        <v>0</v>
      </c>
      <c r="CN87" s="127">
        <v>0</v>
      </c>
      <c r="CO87" s="127">
        <v>0</v>
      </c>
      <c r="CP87" s="127">
        <v>0</v>
      </c>
      <c r="CQ87" s="127">
        <v>0</v>
      </c>
      <c r="CR87" s="127">
        <v>0</v>
      </c>
      <c r="CS87" s="127">
        <v>0</v>
      </c>
      <c r="CT87" s="127">
        <v>0</v>
      </c>
      <c r="CU87" s="127">
        <v>0</v>
      </c>
      <c r="CV87" s="127">
        <v>0</v>
      </c>
      <c r="CW87" s="127">
        <v>0</v>
      </c>
      <c r="CX87" s="127">
        <v>0</v>
      </c>
    </row>
    <row r="88" spans="1:102" ht="15" customHeight="1" x14ac:dyDescent="0.2">
      <c r="A88" s="123">
        <v>8.6</v>
      </c>
      <c r="B88" s="126">
        <v>1</v>
      </c>
      <c r="C88" s="127">
        <v>1</v>
      </c>
      <c r="D88" s="127">
        <v>1</v>
      </c>
      <c r="E88" s="127">
        <v>1</v>
      </c>
      <c r="F88" s="127">
        <v>1</v>
      </c>
      <c r="G88" s="127">
        <v>0.95</v>
      </c>
      <c r="H88" s="127">
        <v>0.85</v>
      </c>
      <c r="I88" s="127">
        <v>0.8</v>
      </c>
      <c r="J88" s="127">
        <v>0.7</v>
      </c>
      <c r="K88" s="127">
        <v>0.6</v>
      </c>
      <c r="L88" s="127">
        <v>0.5</v>
      </c>
      <c r="M88" s="127">
        <v>0.4</v>
      </c>
      <c r="N88" s="127">
        <v>0.3</v>
      </c>
      <c r="O88" s="127">
        <v>0.2</v>
      </c>
      <c r="P88" s="127">
        <v>0.1</v>
      </c>
      <c r="Q88" s="127">
        <v>0</v>
      </c>
      <c r="R88" s="127">
        <v>0</v>
      </c>
      <c r="S88" s="127">
        <v>0</v>
      </c>
      <c r="T88" s="127">
        <v>0</v>
      </c>
      <c r="U88" s="127">
        <v>0</v>
      </c>
      <c r="V88" s="127">
        <v>0</v>
      </c>
      <c r="W88" s="127">
        <v>0</v>
      </c>
      <c r="X88" s="127">
        <v>0</v>
      </c>
      <c r="Y88" s="127">
        <v>0</v>
      </c>
      <c r="Z88" s="127">
        <v>0</v>
      </c>
      <c r="AA88" s="127">
        <v>0</v>
      </c>
      <c r="AB88" s="127">
        <v>0</v>
      </c>
      <c r="AC88" s="127">
        <v>0</v>
      </c>
      <c r="AD88" s="127">
        <v>0</v>
      </c>
      <c r="AE88" s="127">
        <v>0</v>
      </c>
      <c r="AF88" s="127">
        <v>0</v>
      </c>
      <c r="AG88" s="127">
        <v>0</v>
      </c>
      <c r="AH88" s="127">
        <v>0</v>
      </c>
      <c r="AI88" s="127">
        <v>0</v>
      </c>
      <c r="AJ88" s="127">
        <v>0</v>
      </c>
      <c r="AK88" s="127">
        <v>0</v>
      </c>
      <c r="AL88" s="127">
        <v>0</v>
      </c>
      <c r="AM88" s="127">
        <v>0</v>
      </c>
      <c r="AN88" s="127">
        <v>0</v>
      </c>
      <c r="AO88" s="127">
        <v>0</v>
      </c>
      <c r="AP88" s="127">
        <v>0</v>
      </c>
      <c r="AQ88" s="127">
        <v>0</v>
      </c>
      <c r="AR88" s="127">
        <v>0</v>
      </c>
      <c r="AS88" s="127">
        <v>0</v>
      </c>
      <c r="AT88" s="127">
        <v>0</v>
      </c>
      <c r="AU88" s="127">
        <v>0</v>
      </c>
      <c r="AV88" s="127">
        <v>0</v>
      </c>
      <c r="AW88" s="127">
        <v>0</v>
      </c>
      <c r="AX88" s="127">
        <v>0</v>
      </c>
      <c r="AY88" s="127">
        <v>0</v>
      </c>
      <c r="AZ88" s="127">
        <v>0</v>
      </c>
      <c r="BA88" s="127">
        <v>0</v>
      </c>
      <c r="BB88" s="127">
        <v>0</v>
      </c>
      <c r="BC88" s="127">
        <v>0</v>
      </c>
      <c r="BD88" s="127">
        <v>0</v>
      </c>
      <c r="BE88" s="127">
        <v>0</v>
      </c>
      <c r="BF88" s="127">
        <v>0</v>
      </c>
      <c r="BG88" s="127">
        <v>0</v>
      </c>
      <c r="BH88" s="127">
        <v>0</v>
      </c>
      <c r="BI88" s="127">
        <v>0</v>
      </c>
      <c r="BJ88" s="127">
        <v>0</v>
      </c>
      <c r="BK88" s="127">
        <v>0</v>
      </c>
      <c r="BL88" s="127">
        <v>0</v>
      </c>
      <c r="BM88" s="127">
        <v>0</v>
      </c>
      <c r="BN88" s="127">
        <v>0</v>
      </c>
      <c r="BO88" s="127">
        <v>0</v>
      </c>
      <c r="BP88" s="127">
        <v>0</v>
      </c>
      <c r="BQ88" s="127">
        <v>0</v>
      </c>
      <c r="BR88" s="127">
        <v>0</v>
      </c>
      <c r="BS88" s="127">
        <v>0</v>
      </c>
      <c r="BT88" s="127">
        <v>0</v>
      </c>
      <c r="BU88" s="127">
        <v>0</v>
      </c>
      <c r="BV88" s="127">
        <v>0</v>
      </c>
      <c r="BW88" s="127">
        <v>0</v>
      </c>
      <c r="BX88" s="127">
        <v>0</v>
      </c>
      <c r="BY88" s="127">
        <v>0</v>
      </c>
      <c r="BZ88" s="127">
        <v>0</v>
      </c>
      <c r="CA88" s="127">
        <v>0</v>
      </c>
      <c r="CB88" s="127">
        <v>0</v>
      </c>
      <c r="CC88" s="127">
        <v>0</v>
      </c>
      <c r="CD88" s="127">
        <v>0</v>
      </c>
      <c r="CE88" s="127">
        <v>0</v>
      </c>
      <c r="CF88" s="127">
        <v>0</v>
      </c>
      <c r="CG88" s="127">
        <v>0</v>
      </c>
      <c r="CH88" s="127">
        <v>0</v>
      </c>
      <c r="CI88" s="127">
        <v>0</v>
      </c>
      <c r="CJ88" s="127">
        <v>0</v>
      </c>
      <c r="CK88" s="127">
        <v>0</v>
      </c>
      <c r="CL88" s="127">
        <v>0</v>
      </c>
      <c r="CM88" s="127">
        <v>0</v>
      </c>
      <c r="CN88" s="127">
        <v>0</v>
      </c>
      <c r="CO88" s="127">
        <v>0</v>
      </c>
      <c r="CP88" s="127">
        <v>0</v>
      </c>
      <c r="CQ88" s="127">
        <v>0</v>
      </c>
      <c r="CR88" s="127">
        <v>0</v>
      </c>
      <c r="CS88" s="127">
        <v>0</v>
      </c>
      <c r="CT88" s="127">
        <v>0</v>
      </c>
      <c r="CU88" s="127">
        <v>0</v>
      </c>
      <c r="CV88" s="127">
        <v>0</v>
      </c>
      <c r="CW88" s="127">
        <v>0</v>
      </c>
      <c r="CX88" s="127">
        <v>0</v>
      </c>
    </row>
    <row r="89" spans="1:102" ht="15" customHeight="1" x14ac:dyDescent="0.2">
      <c r="A89" s="123">
        <v>8.6999999999999993</v>
      </c>
      <c r="B89" s="126">
        <v>1</v>
      </c>
      <c r="C89" s="127">
        <v>1</v>
      </c>
      <c r="D89" s="127">
        <v>1</v>
      </c>
      <c r="E89" s="127">
        <v>1</v>
      </c>
      <c r="F89" s="127">
        <v>1</v>
      </c>
      <c r="G89" s="127">
        <v>0.95</v>
      </c>
      <c r="H89" s="127">
        <v>0.85</v>
      </c>
      <c r="I89" s="127">
        <v>0.8</v>
      </c>
      <c r="J89" s="127">
        <v>0.7</v>
      </c>
      <c r="K89" s="127">
        <v>0.6</v>
      </c>
      <c r="L89" s="127">
        <v>0.5</v>
      </c>
      <c r="M89" s="127">
        <v>0.4</v>
      </c>
      <c r="N89" s="127">
        <v>0.3</v>
      </c>
      <c r="O89" s="127">
        <v>0.2</v>
      </c>
      <c r="P89" s="127">
        <v>0.1</v>
      </c>
      <c r="Q89" s="127">
        <v>0</v>
      </c>
      <c r="R89" s="127">
        <v>0</v>
      </c>
      <c r="S89" s="127">
        <v>0</v>
      </c>
      <c r="T89" s="127">
        <v>0</v>
      </c>
      <c r="U89" s="127">
        <v>0</v>
      </c>
      <c r="V89" s="127">
        <v>0</v>
      </c>
      <c r="W89" s="127">
        <v>0</v>
      </c>
      <c r="X89" s="127">
        <v>0</v>
      </c>
      <c r="Y89" s="127">
        <v>0</v>
      </c>
      <c r="Z89" s="127">
        <v>0</v>
      </c>
      <c r="AA89" s="127">
        <v>0</v>
      </c>
      <c r="AB89" s="127">
        <v>0</v>
      </c>
      <c r="AC89" s="127">
        <v>0</v>
      </c>
      <c r="AD89" s="127">
        <v>0</v>
      </c>
      <c r="AE89" s="127">
        <v>0</v>
      </c>
      <c r="AF89" s="127">
        <v>0</v>
      </c>
      <c r="AG89" s="127">
        <v>0</v>
      </c>
      <c r="AH89" s="127">
        <v>0</v>
      </c>
      <c r="AI89" s="127">
        <v>0</v>
      </c>
      <c r="AJ89" s="127">
        <v>0</v>
      </c>
      <c r="AK89" s="127">
        <v>0</v>
      </c>
      <c r="AL89" s="127">
        <v>0</v>
      </c>
      <c r="AM89" s="127">
        <v>0</v>
      </c>
      <c r="AN89" s="127">
        <v>0</v>
      </c>
      <c r="AO89" s="127">
        <v>0</v>
      </c>
      <c r="AP89" s="127">
        <v>0</v>
      </c>
      <c r="AQ89" s="127">
        <v>0</v>
      </c>
      <c r="AR89" s="127">
        <v>0</v>
      </c>
      <c r="AS89" s="127">
        <v>0</v>
      </c>
      <c r="AT89" s="127">
        <v>0</v>
      </c>
      <c r="AU89" s="127">
        <v>0</v>
      </c>
      <c r="AV89" s="127">
        <v>0</v>
      </c>
      <c r="AW89" s="127">
        <v>0</v>
      </c>
      <c r="AX89" s="127">
        <v>0</v>
      </c>
      <c r="AY89" s="127">
        <v>0</v>
      </c>
      <c r="AZ89" s="127">
        <v>0</v>
      </c>
      <c r="BA89" s="127">
        <v>0</v>
      </c>
      <c r="BB89" s="127">
        <v>0</v>
      </c>
      <c r="BC89" s="127">
        <v>0</v>
      </c>
      <c r="BD89" s="127">
        <v>0</v>
      </c>
      <c r="BE89" s="127">
        <v>0</v>
      </c>
      <c r="BF89" s="127">
        <v>0</v>
      </c>
      <c r="BG89" s="127">
        <v>0</v>
      </c>
      <c r="BH89" s="127">
        <v>0</v>
      </c>
      <c r="BI89" s="127">
        <v>0</v>
      </c>
      <c r="BJ89" s="127">
        <v>0</v>
      </c>
      <c r="BK89" s="127">
        <v>0</v>
      </c>
      <c r="BL89" s="127">
        <v>0</v>
      </c>
      <c r="BM89" s="127">
        <v>0</v>
      </c>
      <c r="BN89" s="127">
        <v>0</v>
      </c>
      <c r="BO89" s="127">
        <v>0</v>
      </c>
      <c r="BP89" s="127">
        <v>0</v>
      </c>
      <c r="BQ89" s="127">
        <v>0</v>
      </c>
      <c r="BR89" s="127">
        <v>0</v>
      </c>
      <c r="BS89" s="127">
        <v>0</v>
      </c>
      <c r="BT89" s="127">
        <v>0</v>
      </c>
      <c r="BU89" s="127">
        <v>0</v>
      </c>
      <c r="BV89" s="127">
        <v>0</v>
      </c>
      <c r="BW89" s="127">
        <v>0</v>
      </c>
      <c r="BX89" s="127">
        <v>0</v>
      </c>
      <c r="BY89" s="127">
        <v>0</v>
      </c>
      <c r="BZ89" s="127">
        <v>0</v>
      </c>
      <c r="CA89" s="127">
        <v>0</v>
      </c>
      <c r="CB89" s="127">
        <v>0</v>
      </c>
      <c r="CC89" s="127">
        <v>0</v>
      </c>
      <c r="CD89" s="127">
        <v>0</v>
      </c>
      <c r="CE89" s="127">
        <v>0</v>
      </c>
      <c r="CF89" s="127">
        <v>0</v>
      </c>
      <c r="CG89" s="127">
        <v>0</v>
      </c>
      <c r="CH89" s="127">
        <v>0</v>
      </c>
      <c r="CI89" s="127">
        <v>0</v>
      </c>
      <c r="CJ89" s="127">
        <v>0</v>
      </c>
      <c r="CK89" s="127">
        <v>0</v>
      </c>
      <c r="CL89" s="127">
        <v>0</v>
      </c>
      <c r="CM89" s="127">
        <v>0</v>
      </c>
      <c r="CN89" s="127">
        <v>0</v>
      </c>
      <c r="CO89" s="127">
        <v>0</v>
      </c>
      <c r="CP89" s="127">
        <v>0</v>
      </c>
      <c r="CQ89" s="127">
        <v>0</v>
      </c>
      <c r="CR89" s="127">
        <v>0</v>
      </c>
      <c r="CS89" s="127">
        <v>0</v>
      </c>
      <c r="CT89" s="127">
        <v>0</v>
      </c>
      <c r="CU89" s="127">
        <v>0</v>
      </c>
      <c r="CV89" s="127">
        <v>0</v>
      </c>
      <c r="CW89" s="127">
        <v>0</v>
      </c>
      <c r="CX89" s="127">
        <v>0</v>
      </c>
    </row>
    <row r="90" spans="1:102" ht="15" customHeight="1" x14ac:dyDescent="0.2">
      <c r="A90" s="123">
        <v>8.8000000000000007</v>
      </c>
      <c r="B90" s="126">
        <v>1</v>
      </c>
      <c r="C90" s="127">
        <v>1</v>
      </c>
      <c r="D90" s="127">
        <v>1</v>
      </c>
      <c r="E90" s="127">
        <v>1</v>
      </c>
      <c r="F90" s="127">
        <v>1</v>
      </c>
      <c r="G90" s="127">
        <v>0.95</v>
      </c>
      <c r="H90" s="127">
        <v>0.85</v>
      </c>
      <c r="I90" s="127">
        <v>0.8</v>
      </c>
      <c r="J90" s="127">
        <v>0.7</v>
      </c>
      <c r="K90" s="127">
        <v>0.6</v>
      </c>
      <c r="L90" s="127">
        <v>0.5</v>
      </c>
      <c r="M90" s="127">
        <v>0.4</v>
      </c>
      <c r="N90" s="127">
        <v>0.3</v>
      </c>
      <c r="O90" s="127">
        <v>0.2</v>
      </c>
      <c r="P90" s="127">
        <v>0.1</v>
      </c>
      <c r="Q90" s="127">
        <v>0</v>
      </c>
      <c r="R90" s="127">
        <v>0</v>
      </c>
      <c r="S90" s="127">
        <v>0</v>
      </c>
      <c r="T90" s="127">
        <v>0</v>
      </c>
      <c r="U90" s="127">
        <v>0</v>
      </c>
      <c r="V90" s="127">
        <v>0</v>
      </c>
      <c r="W90" s="127">
        <v>0</v>
      </c>
      <c r="X90" s="127">
        <v>0</v>
      </c>
      <c r="Y90" s="127">
        <v>0</v>
      </c>
      <c r="Z90" s="127">
        <v>0</v>
      </c>
      <c r="AA90" s="127">
        <v>0</v>
      </c>
      <c r="AB90" s="127">
        <v>0</v>
      </c>
      <c r="AC90" s="127">
        <v>0</v>
      </c>
      <c r="AD90" s="127">
        <v>0</v>
      </c>
      <c r="AE90" s="127">
        <v>0</v>
      </c>
      <c r="AF90" s="127">
        <v>0</v>
      </c>
      <c r="AG90" s="127">
        <v>0</v>
      </c>
      <c r="AH90" s="127">
        <v>0</v>
      </c>
      <c r="AI90" s="127">
        <v>0</v>
      </c>
      <c r="AJ90" s="127">
        <v>0</v>
      </c>
      <c r="AK90" s="127">
        <v>0</v>
      </c>
      <c r="AL90" s="127">
        <v>0</v>
      </c>
      <c r="AM90" s="127">
        <v>0</v>
      </c>
      <c r="AN90" s="127">
        <v>0</v>
      </c>
      <c r="AO90" s="127">
        <v>0</v>
      </c>
      <c r="AP90" s="127">
        <v>0</v>
      </c>
      <c r="AQ90" s="127">
        <v>0</v>
      </c>
      <c r="AR90" s="127">
        <v>0</v>
      </c>
      <c r="AS90" s="127">
        <v>0</v>
      </c>
      <c r="AT90" s="127">
        <v>0</v>
      </c>
      <c r="AU90" s="127">
        <v>0</v>
      </c>
      <c r="AV90" s="127">
        <v>0</v>
      </c>
      <c r="AW90" s="127">
        <v>0</v>
      </c>
      <c r="AX90" s="127">
        <v>0</v>
      </c>
      <c r="AY90" s="127">
        <v>0</v>
      </c>
      <c r="AZ90" s="127">
        <v>0</v>
      </c>
      <c r="BA90" s="127">
        <v>0</v>
      </c>
      <c r="BB90" s="127">
        <v>0</v>
      </c>
      <c r="BC90" s="127">
        <v>0</v>
      </c>
      <c r="BD90" s="127">
        <v>0</v>
      </c>
      <c r="BE90" s="127">
        <v>0</v>
      </c>
      <c r="BF90" s="127">
        <v>0</v>
      </c>
      <c r="BG90" s="127">
        <v>0</v>
      </c>
      <c r="BH90" s="127">
        <v>0</v>
      </c>
      <c r="BI90" s="127">
        <v>0</v>
      </c>
      <c r="BJ90" s="127">
        <v>0</v>
      </c>
      <c r="BK90" s="127">
        <v>0</v>
      </c>
      <c r="BL90" s="127">
        <v>0</v>
      </c>
      <c r="BM90" s="127">
        <v>0</v>
      </c>
      <c r="BN90" s="127">
        <v>0</v>
      </c>
      <c r="BO90" s="127">
        <v>0</v>
      </c>
      <c r="BP90" s="127">
        <v>0</v>
      </c>
      <c r="BQ90" s="127">
        <v>0</v>
      </c>
      <c r="BR90" s="127">
        <v>0</v>
      </c>
      <c r="BS90" s="127">
        <v>0</v>
      </c>
      <c r="BT90" s="127">
        <v>0</v>
      </c>
      <c r="BU90" s="127">
        <v>0</v>
      </c>
      <c r="BV90" s="127">
        <v>0</v>
      </c>
      <c r="BW90" s="127">
        <v>0</v>
      </c>
      <c r="BX90" s="127">
        <v>0</v>
      </c>
      <c r="BY90" s="127">
        <v>0</v>
      </c>
      <c r="BZ90" s="127">
        <v>0</v>
      </c>
      <c r="CA90" s="127">
        <v>0</v>
      </c>
      <c r="CB90" s="127">
        <v>0</v>
      </c>
      <c r="CC90" s="127">
        <v>0</v>
      </c>
      <c r="CD90" s="127">
        <v>0</v>
      </c>
      <c r="CE90" s="127">
        <v>0</v>
      </c>
      <c r="CF90" s="127">
        <v>0</v>
      </c>
      <c r="CG90" s="127">
        <v>0</v>
      </c>
      <c r="CH90" s="127">
        <v>0</v>
      </c>
      <c r="CI90" s="127">
        <v>0</v>
      </c>
      <c r="CJ90" s="127">
        <v>0</v>
      </c>
      <c r="CK90" s="127">
        <v>0</v>
      </c>
      <c r="CL90" s="127">
        <v>0</v>
      </c>
      <c r="CM90" s="127">
        <v>0</v>
      </c>
      <c r="CN90" s="127">
        <v>0</v>
      </c>
      <c r="CO90" s="127">
        <v>0</v>
      </c>
      <c r="CP90" s="127">
        <v>0</v>
      </c>
      <c r="CQ90" s="127">
        <v>0</v>
      </c>
      <c r="CR90" s="127">
        <v>0</v>
      </c>
      <c r="CS90" s="127">
        <v>0</v>
      </c>
      <c r="CT90" s="127">
        <v>0</v>
      </c>
      <c r="CU90" s="127">
        <v>0</v>
      </c>
      <c r="CV90" s="127">
        <v>0</v>
      </c>
      <c r="CW90" s="127">
        <v>0</v>
      </c>
      <c r="CX90" s="127">
        <v>0</v>
      </c>
    </row>
    <row r="91" spans="1:102" ht="15" customHeight="1" x14ac:dyDescent="0.2">
      <c r="A91" s="123">
        <v>8.9</v>
      </c>
      <c r="B91" s="126">
        <v>1</v>
      </c>
      <c r="C91" s="127">
        <v>1</v>
      </c>
      <c r="D91" s="127">
        <v>1</v>
      </c>
      <c r="E91" s="127">
        <v>1</v>
      </c>
      <c r="F91" s="127">
        <v>1</v>
      </c>
      <c r="G91" s="127">
        <v>0.95</v>
      </c>
      <c r="H91" s="127">
        <v>0.85</v>
      </c>
      <c r="I91" s="127">
        <v>0.8</v>
      </c>
      <c r="J91" s="127">
        <v>0.7</v>
      </c>
      <c r="K91" s="127">
        <v>0.6</v>
      </c>
      <c r="L91" s="127">
        <v>0.5</v>
      </c>
      <c r="M91" s="127">
        <v>0.4</v>
      </c>
      <c r="N91" s="127">
        <v>0.3</v>
      </c>
      <c r="O91" s="127">
        <v>0.2</v>
      </c>
      <c r="P91" s="127">
        <v>0.1</v>
      </c>
      <c r="Q91" s="127">
        <v>0</v>
      </c>
      <c r="R91" s="127">
        <v>0</v>
      </c>
      <c r="S91" s="127">
        <v>0</v>
      </c>
      <c r="T91" s="127">
        <v>0</v>
      </c>
      <c r="U91" s="127">
        <v>0</v>
      </c>
      <c r="V91" s="127">
        <v>0</v>
      </c>
      <c r="W91" s="127">
        <v>0</v>
      </c>
      <c r="X91" s="127">
        <v>0</v>
      </c>
      <c r="Y91" s="127">
        <v>0</v>
      </c>
      <c r="Z91" s="127">
        <v>0</v>
      </c>
      <c r="AA91" s="127">
        <v>0</v>
      </c>
      <c r="AB91" s="127">
        <v>0</v>
      </c>
      <c r="AC91" s="127">
        <v>0</v>
      </c>
      <c r="AD91" s="127">
        <v>0</v>
      </c>
      <c r="AE91" s="127">
        <v>0</v>
      </c>
      <c r="AF91" s="127">
        <v>0</v>
      </c>
      <c r="AG91" s="127">
        <v>0</v>
      </c>
      <c r="AH91" s="127">
        <v>0</v>
      </c>
      <c r="AI91" s="127">
        <v>0</v>
      </c>
      <c r="AJ91" s="127">
        <v>0</v>
      </c>
      <c r="AK91" s="127">
        <v>0</v>
      </c>
      <c r="AL91" s="127">
        <v>0</v>
      </c>
      <c r="AM91" s="127">
        <v>0</v>
      </c>
      <c r="AN91" s="127">
        <v>0</v>
      </c>
      <c r="AO91" s="127">
        <v>0</v>
      </c>
      <c r="AP91" s="127">
        <v>0</v>
      </c>
      <c r="AQ91" s="127">
        <v>0</v>
      </c>
      <c r="AR91" s="127">
        <v>0</v>
      </c>
      <c r="AS91" s="127">
        <v>0</v>
      </c>
      <c r="AT91" s="127">
        <v>0</v>
      </c>
      <c r="AU91" s="127">
        <v>0</v>
      </c>
      <c r="AV91" s="127">
        <v>0</v>
      </c>
      <c r="AW91" s="127">
        <v>0</v>
      </c>
      <c r="AX91" s="127">
        <v>0</v>
      </c>
      <c r="AY91" s="127">
        <v>0</v>
      </c>
      <c r="AZ91" s="127">
        <v>0</v>
      </c>
      <c r="BA91" s="127">
        <v>0</v>
      </c>
      <c r="BB91" s="127">
        <v>0</v>
      </c>
      <c r="BC91" s="127">
        <v>0</v>
      </c>
      <c r="BD91" s="127">
        <v>0</v>
      </c>
      <c r="BE91" s="127">
        <v>0</v>
      </c>
      <c r="BF91" s="127">
        <v>0</v>
      </c>
      <c r="BG91" s="127">
        <v>0</v>
      </c>
      <c r="BH91" s="127">
        <v>0</v>
      </c>
      <c r="BI91" s="127">
        <v>0</v>
      </c>
      <c r="BJ91" s="127">
        <v>0</v>
      </c>
      <c r="BK91" s="127">
        <v>0</v>
      </c>
      <c r="BL91" s="127">
        <v>0</v>
      </c>
      <c r="BM91" s="127">
        <v>0</v>
      </c>
      <c r="BN91" s="127">
        <v>0</v>
      </c>
      <c r="BO91" s="127">
        <v>0</v>
      </c>
      <c r="BP91" s="127">
        <v>0</v>
      </c>
      <c r="BQ91" s="127">
        <v>0</v>
      </c>
      <c r="BR91" s="127">
        <v>0</v>
      </c>
      <c r="BS91" s="127">
        <v>0</v>
      </c>
      <c r="BT91" s="127">
        <v>0</v>
      </c>
      <c r="BU91" s="127">
        <v>0</v>
      </c>
      <c r="BV91" s="127">
        <v>0</v>
      </c>
      <c r="BW91" s="127">
        <v>0</v>
      </c>
      <c r="BX91" s="127">
        <v>0</v>
      </c>
      <c r="BY91" s="127">
        <v>0</v>
      </c>
      <c r="BZ91" s="127">
        <v>0</v>
      </c>
      <c r="CA91" s="127">
        <v>0</v>
      </c>
      <c r="CB91" s="127">
        <v>0</v>
      </c>
      <c r="CC91" s="127">
        <v>0</v>
      </c>
      <c r="CD91" s="127">
        <v>0</v>
      </c>
      <c r="CE91" s="127">
        <v>0</v>
      </c>
      <c r="CF91" s="127">
        <v>0</v>
      </c>
      <c r="CG91" s="127">
        <v>0</v>
      </c>
      <c r="CH91" s="127">
        <v>0</v>
      </c>
      <c r="CI91" s="127">
        <v>0</v>
      </c>
      <c r="CJ91" s="127">
        <v>0</v>
      </c>
      <c r="CK91" s="127">
        <v>0</v>
      </c>
      <c r="CL91" s="127">
        <v>0</v>
      </c>
      <c r="CM91" s="127">
        <v>0</v>
      </c>
      <c r="CN91" s="127">
        <v>0</v>
      </c>
      <c r="CO91" s="127">
        <v>0</v>
      </c>
      <c r="CP91" s="127">
        <v>0</v>
      </c>
      <c r="CQ91" s="127">
        <v>0</v>
      </c>
      <c r="CR91" s="127">
        <v>0</v>
      </c>
      <c r="CS91" s="127">
        <v>0</v>
      </c>
      <c r="CT91" s="127">
        <v>0</v>
      </c>
      <c r="CU91" s="127">
        <v>0</v>
      </c>
      <c r="CV91" s="127">
        <v>0</v>
      </c>
      <c r="CW91" s="127">
        <v>0</v>
      </c>
      <c r="CX91" s="127">
        <v>0</v>
      </c>
    </row>
    <row r="92" spans="1:102" ht="15" customHeight="1" x14ac:dyDescent="0.2">
      <c r="A92" s="123">
        <v>9</v>
      </c>
      <c r="B92" s="126">
        <v>1</v>
      </c>
      <c r="C92" s="127">
        <v>1</v>
      </c>
      <c r="D92" s="127">
        <v>1</v>
      </c>
      <c r="E92" s="127">
        <v>1</v>
      </c>
      <c r="F92" s="127">
        <v>1</v>
      </c>
      <c r="G92" s="127">
        <v>0.95</v>
      </c>
      <c r="H92" s="127">
        <v>0.85</v>
      </c>
      <c r="I92" s="127">
        <v>0.8</v>
      </c>
      <c r="J92" s="127">
        <v>0.7</v>
      </c>
      <c r="K92" s="127">
        <v>0.6</v>
      </c>
      <c r="L92" s="127">
        <v>0.5</v>
      </c>
      <c r="M92" s="127">
        <v>0.4</v>
      </c>
      <c r="N92" s="127">
        <v>0.3</v>
      </c>
      <c r="O92" s="127">
        <v>0.2</v>
      </c>
      <c r="P92" s="127">
        <v>0.1</v>
      </c>
      <c r="Q92" s="127">
        <v>0</v>
      </c>
      <c r="R92" s="127">
        <v>0</v>
      </c>
      <c r="S92" s="127">
        <v>0</v>
      </c>
      <c r="T92" s="127">
        <v>0</v>
      </c>
      <c r="U92" s="127">
        <v>0</v>
      </c>
      <c r="V92" s="127">
        <v>0</v>
      </c>
      <c r="W92" s="127">
        <v>0</v>
      </c>
      <c r="X92" s="127">
        <v>0</v>
      </c>
      <c r="Y92" s="127">
        <v>0</v>
      </c>
      <c r="Z92" s="127">
        <v>0</v>
      </c>
      <c r="AA92" s="127">
        <v>0</v>
      </c>
      <c r="AB92" s="127">
        <v>0</v>
      </c>
      <c r="AC92" s="127">
        <v>0</v>
      </c>
      <c r="AD92" s="127">
        <v>0</v>
      </c>
      <c r="AE92" s="127">
        <v>0</v>
      </c>
      <c r="AF92" s="127">
        <v>0</v>
      </c>
      <c r="AG92" s="127">
        <v>0</v>
      </c>
      <c r="AH92" s="127">
        <v>0</v>
      </c>
      <c r="AI92" s="127">
        <v>0</v>
      </c>
      <c r="AJ92" s="127">
        <v>0</v>
      </c>
      <c r="AK92" s="127">
        <v>0</v>
      </c>
      <c r="AL92" s="127">
        <v>0</v>
      </c>
      <c r="AM92" s="127">
        <v>0</v>
      </c>
      <c r="AN92" s="127">
        <v>0</v>
      </c>
      <c r="AO92" s="127">
        <v>0</v>
      </c>
      <c r="AP92" s="127">
        <v>0</v>
      </c>
      <c r="AQ92" s="127">
        <v>0</v>
      </c>
      <c r="AR92" s="127">
        <v>0</v>
      </c>
      <c r="AS92" s="127">
        <v>0</v>
      </c>
      <c r="AT92" s="127">
        <v>0</v>
      </c>
      <c r="AU92" s="127">
        <v>0</v>
      </c>
      <c r="AV92" s="127">
        <v>0</v>
      </c>
      <c r="AW92" s="127">
        <v>0</v>
      </c>
      <c r="AX92" s="127">
        <v>0</v>
      </c>
      <c r="AY92" s="127">
        <v>0</v>
      </c>
      <c r="AZ92" s="127">
        <v>0</v>
      </c>
      <c r="BA92" s="127">
        <v>0</v>
      </c>
      <c r="BB92" s="127">
        <v>0</v>
      </c>
      <c r="BC92" s="127">
        <v>0</v>
      </c>
      <c r="BD92" s="127">
        <v>0</v>
      </c>
      <c r="BE92" s="127">
        <v>0</v>
      </c>
      <c r="BF92" s="127">
        <v>0</v>
      </c>
      <c r="BG92" s="127">
        <v>0</v>
      </c>
      <c r="BH92" s="127">
        <v>0</v>
      </c>
      <c r="BI92" s="127">
        <v>0</v>
      </c>
      <c r="BJ92" s="127">
        <v>0</v>
      </c>
      <c r="BK92" s="127">
        <v>0</v>
      </c>
      <c r="BL92" s="127">
        <v>0</v>
      </c>
      <c r="BM92" s="127">
        <v>0</v>
      </c>
      <c r="BN92" s="127">
        <v>0</v>
      </c>
      <c r="BO92" s="127">
        <v>0</v>
      </c>
      <c r="BP92" s="127">
        <v>0</v>
      </c>
      <c r="BQ92" s="127">
        <v>0</v>
      </c>
      <c r="BR92" s="127">
        <v>0</v>
      </c>
      <c r="BS92" s="127">
        <v>0</v>
      </c>
      <c r="BT92" s="127">
        <v>0</v>
      </c>
      <c r="BU92" s="127">
        <v>0</v>
      </c>
      <c r="BV92" s="127">
        <v>0</v>
      </c>
      <c r="BW92" s="127">
        <v>0</v>
      </c>
      <c r="BX92" s="127">
        <v>0</v>
      </c>
      <c r="BY92" s="127">
        <v>0</v>
      </c>
      <c r="BZ92" s="127">
        <v>0</v>
      </c>
      <c r="CA92" s="127">
        <v>0</v>
      </c>
      <c r="CB92" s="127">
        <v>0</v>
      </c>
      <c r="CC92" s="127">
        <v>0</v>
      </c>
      <c r="CD92" s="127">
        <v>0</v>
      </c>
      <c r="CE92" s="127">
        <v>0</v>
      </c>
      <c r="CF92" s="127">
        <v>0</v>
      </c>
      <c r="CG92" s="127">
        <v>0</v>
      </c>
      <c r="CH92" s="127">
        <v>0</v>
      </c>
      <c r="CI92" s="127">
        <v>0</v>
      </c>
      <c r="CJ92" s="127">
        <v>0</v>
      </c>
      <c r="CK92" s="127">
        <v>0</v>
      </c>
      <c r="CL92" s="127">
        <v>0</v>
      </c>
      <c r="CM92" s="127">
        <v>0</v>
      </c>
      <c r="CN92" s="127">
        <v>0</v>
      </c>
      <c r="CO92" s="127">
        <v>0</v>
      </c>
      <c r="CP92" s="127">
        <v>0</v>
      </c>
      <c r="CQ92" s="127">
        <v>0</v>
      </c>
      <c r="CR92" s="127">
        <v>0</v>
      </c>
      <c r="CS92" s="127">
        <v>0</v>
      </c>
      <c r="CT92" s="127">
        <v>0</v>
      </c>
      <c r="CU92" s="127">
        <v>0</v>
      </c>
      <c r="CV92" s="127">
        <v>0</v>
      </c>
      <c r="CW92" s="127">
        <v>0</v>
      </c>
      <c r="CX92" s="127">
        <v>0</v>
      </c>
    </row>
    <row r="93" spans="1:102" ht="15" customHeight="1" x14ac:dyDescent="0.2">
      <c r="A93" s="123">
        <v>9.1</v>
      </c>
      <c r="B93" s="126">
        <v>1</v>
      </c>
      <c r="C93" s="127">
        <v>1</v>
      </c>
      <c r="D93" s="127">
        <v>1</v>
      </c>
      <c r="E93" s="127">
        <v>1</v>
      </c>
      <c r="F93" s="127">
        <v>1</v>
      </c>
      <c r="G93" s="127">
        <v>0.95</v>
      </c>
      <c r="H93" s="127">
        <v>0.85</v>
      </c>
      <c r="I93" s="127">
        <v>0.8</v>
      </c>
      <c r="J93" s="127">
        <v>0.7</v>
      </c>
      <c r="K93" s="127">
        <v>0.6</v>
      </c>
      <c r="L93" s="127">
        <v>0.5</v>
      </c>
      <c r="M93" s="127">
        <v>0.4</v>
      </c>
      <c r="N93" s="127">
        <v>0.3</v>
      </c>
      <c r="O93" s="127">
        <v>0.2</v>
      </c>
      <c r="P93" s="127">
        <v>0.1</v>
      </c>
      <c r="Q93" s="127">
        <v>0</v>
      </c>
      <c r="R93" s="127">
        <v>0</v>
      </c>
      <c r="S93" s="127">
        <v>0</v>
      </c>
      <c r="T93" s="127">
        <v>0</v>
      </c>
      <c r="U93" s="127">
        <v>0</v>
      </c>
      <c r="V93" s="127">
        <v>0</v>
      </c>
      <c r="W93" s="127">
        <v>0</v>
      </c>
      <c r="X93" s="127">
        <v>0</v>
      </c>
      <c r="Y93" s="127">
        <v>0</v>
      </c>
      <c r="Z93" s="127">
        <v>0</v>
      </c>
      <c r="AA93" s="127">
        <v>0</v>
      </c>
      <c r="AB93" s="127">
        <v>0</v>
      </c>
      <c r="AC93" s="127">
        <v>0</v>
      </c>
      <c r="AD93" s="127">
        <v>0</v>
      </c>
      <c r="AE93" s="127">
        <v>0</v>
      </c>
      <c r="AF93" s="127">
        <v>0</v>
      </c>
      <c r="AG93" s="127">
        <v>0</v>
      </c>
      <c r="AH93" s="127">
        <v>0</v>
      </c>
      <c r="AI93" s="127">
        <v>0</v>
      </c>
      <c r="AJ93" s="127">
        <v>0</v>
      </c>
      <c r="AK93" s="127">
        <v>0</v>
      </c>
      <c r="AL93" s="127">
        <v>0</v>
      </c>
      <c r="AM93" s="127">
        <v>0</v>
      </c>
      <c r="AN93" s="127">
        <v>0</v>
      </c>
      <c r="AO93" s="127">
        <v>0</v>
      </c>
      <c r="AP93" s="127">
        <v>0</v>
      </c>
      <c r="AQ93" s="127">
        <v>0</v>
      </c>
      <c r="AR93" s="127">
        <v>0</v>
      </c>
      <c r="AS93" s="127">
        <v>0</v>
      </c>
      <c r="AT93" s="127">
        <v>0</v>
      </c>
      <c r="AU93" s="127">
        <v>0</v>
      </c>
      <c r="AV93" s="127">
        <v>0</v>
      </c>
      <c r="AW93" s="127">
        <v>0</v>
      </c>
      <c r="AX93" s="127">
        <v>0</v>
      </c>
      <c r="AY93" s="127">
        <v>0</v>
      </c>
      <c r="AZ93" s="127">
        <v>0</v>
      </c>
      <c r="BA93" s="127">
        <v>0</v>
      </c>
      <c r="BB93" s="127">
        <v>0</v>
      </c>
      <c r="BC93" s="127">
        <v>0</v>
      </c>
      <c r="BD93" s="127">
        <v>0</v>
      </c>
      <c r="BE93" s="127">
        <v>0</v>
      </c>
      <c r="BF93" s="127">
        <v>0</v>
      </c>
      <c r="BG93" s="127">
        <v>0</v>
      </c>
      <c r="BH93" s="127">
        <v>0</v>
      </c>
      <c r="BI93" s="127">
        <v>0</v>
      </c>
      <c r="BJ93" s="127">
        <v>0</v>
      </c>
      <c r="BK93" s="127">
        <v>0</v>
      </c>
      <c r="BL93" s="127">
        <v>0</v>
      </c>
      <c r="BM93" s="127">
        <v>0</v>
      </c>
      <c r="BN93" s="127">
        <v>0</v>
      </c>
      <c r="BO93" s="127">
        <v>0</v>
      </c>
      <c r="BP93" s="127">
        <v>0</v>
      </c>
      <c r="BQ93" s="127">
        <v>0</v>
      </c>
      <c r="BR93" s="127">
        <v>0</v>
      </c>
      <c r="BS93" s="127">
        <v>0</v>
      </c>
      <c r="BT93" s="127">
        <v>0</v>
      </c>
      <c r="BU93" s="127">
        <v>0</v>
      </c>
      <c r="BV93" s="127">
        <v>0</v>
      </c>
      <c r="BW93" s="127">
        <v>0</v>
      </c>
      <c r="BX93" s="127">
        <v>0</v>
      </c>
      <c r="BY93" s="127">
        <v>0</v>
      </c>
      <c r="BZ93" s="127">
        <v>0</v>
      </c>
      <c r="CA93" s="127">
        <v>0</v>
      </c>
      <c r="CB93" s="127">
        <v>0</v>
      </c>
      <c r="CC93" s="127">
        <v>0</v>
      </c>
      <c r="CD93" s="127">
        <v>0</v>
      </c>
      <c r="CE93" s="127">
        <v>0</v>
      </c>
      <c r="CF93" s="127">
        <v>0</v>
      </c>
      <c r="CG93" s="127">
        <v>0</v>
      </c>
      <c r="CH93" s="127">
        <v>0</v>
      </c>
      <c r="CI93" s="127">
        <v>0</v>
      </c>
      <c r="CJ93" s="127">
        <v>0</v>
      </c>
      <c r="CK93" s="127">
        <v>0</v>
      </c>
      <c r="CL93" s="127">
        <v>0</v>
      </c>
      <c r="CM93" s="127">
        <v>0</v>
      </c>
      <c r="CN93" s="127">
        <v>0</v>
      </c>
      <c r="CO93" s="127">
        <v>0</v>
      </c>
      <c r="CP93" s="127">
        <v>0</v>
      </c>
      <c r="CQ93" s="127">
        <v>0</v>
      </c>
      <c r="CR93" s="127">
        <v>0</v>
      </c>
      <c r="CS93" s="127">
        <v>0</v>
      </c>
      <c r="CT93" s="127">
        <v>0</v>
      </c>
      <c r="CU93" s="127">
        <v>0</v>
      </c>
      <c r="CV93" s="127">
        <v>0</v>
      </c>
      <c r="CW93" s="127">
        <v>0</v>
      </c>
      <c r="CX93" s="127">
        <v>0</v>
      </c>
    </row>
    <row r="94" spans="1:102" ht="15" customHeight="1" x14ac:dyDescent="0.2">
      <c r="A94" s="123">
        <v>9.1999999999999993</v>
      </c>
      <c r="B94" s="126">
        <v>1</v>
      </c>
      <c r="C94" s="127">
        <v>1</v>
      </c>
      <c r="D94" s="127">
        <v>1</v>
      </c>
      <c r="E94" s="127">
        <v>1</v>
      </c>
      <c r="F94" s="127">
        <v>1</v>
      </c>
      <c r="G94" s="127">
        <v>0.95</v>
      </c>
      <c r="H94" s="127">
        <v>0.85</v>
      </c>
      <c r="I94" s="127">
        <v>0.8</v>
      </c>
      <c r="J94" s="127">
        <v>0.7</v>
      </c>
      <c r="K94" s="127">
        <v>0.6</v>
      </c>
      <c r="L94" s="127">
        <v>0.5</v>
      </c>
      <c r="M94" s="127">
        <v>0.4</v>
      </c>
      <c r="N94" s="127">
        <v>0.3</v>
      </c>
      <c r="O94" s="127">
        <v>0.2</v>
      </c>
      <c r="P94" s="127">
        <v>0.1</v>
      </c>
      <c r="Q94" s="127">
        <v>0</v>
      </c>
      <c r="R94" s="127">
        <v>0</v>
      </c>
      <c r="S94" s="127">
        <v>0</v>
      </c>
      <c r="T94" s="127">
        <v>0</v>
      </c>
      <c r="U94" s="127">
        <v>0</v>
      </c>
      <c r="V94" s="127">
        <v>0</v>
      </c>
      <c r="W94" s="127">
        <v>0</v>
      </c>
      <c r="X94" s="127">
        <v>0</v>
      </c>
      <c r="Y94" s="127">
        <v>0</v>
      </c>
      <c r="Z94" s="127">
        <v>0</v>
      </c>
      <c r="AA94" s="127">
        <v>0</v>
      </c>
      <c r="AB94" s="127">
        <v>0</v>
      </c>
      <c r="AC94" s="127">
        <v>0</v>
      </c>
      <c r="AD94" s="127">
        <v>0</v>
      </c>
      <c r="AE94" s="127">
        <v>0</v>
      </c>
      <c r="AF94" s="127">
        <v>0</v>
      </c>
      <c r="AG94" s="127">
        <v>0</v>
      </c>
      <c r="AH94" s="127">
        <v>0</v>
      </c>
      <c r="AI94" s="127">
        <v>0</v>
      </c>
      <c r="AJ94" s="127">
        <v>0</v>
      </c>
      <c r="AK94" s="127">
        <v>0</v>
      </c>
      <c r="AL94" s="127">
        <v>0</v>
      </c>
      <c r="AM94" s="127">
        <v>0</v>
      </c>
      <c r="AN94" s="127">
        <v>0</v>
      </c>
      <c r="AO94" s="127">
        <v>0</v>
      </c>
      <c r="AP94" s="127">
        <v>0</v>
      </c>
      <c r="AQ94" s="127">
        <v>0</v>
      </c>
      <c r="AR94" s="127">
        <v>0</v>
      </c>
      <c r="AS94" s="127">
        <v>0</v>
      </c>
      <c r="AT94" s="127">
        <v>0</v>
      </c>
      <c r="AU94" s="127">
        <v>0</v>
      </c>
      <c r="AV94" s="127">
        <v>0</v>
      </c>
      <c r="AW94" s="127">
        <v>0</v>
      </c>
      <c r="AX94" s="127">
        <v>0</v>
      </c>
      <c r="AY94" s="127">
        <v>0</v>
      </c>
      <c r="AZ94" s="127">
        <v>0</v>
      </c>
      <c r="BA94" s="127">
        <v>0</v>
      </c>
      <c r="BB94" s="127">
        <v>0</v>
      </c>
      <c r="BC94" s="127">
        <v>0</v>
      </c>
      <c r="BD94" s="127">
        <v>0</v>
      </c>
      <c r="BE94" s="127">
        <v>0</v>
      </c>
      <c r="BF94" s="127">
        <v>0</v>
      </c>
      <c r="BG94" s="127">
        <v>0</v>
      </c>
      <c r="BH94" s="127">
        <v>0</v>
      </c>
      <c r="BI94" s="127">
        <v>0</v>
      </c>
      <c r="BJ94" s="127">
        <v>0</v>
      </c>
      <c r="BK94" s="127">
        <v>0</v>
      </c>
      <c r="BL94" s="127">
        <v>0</v>
      </c>
      <c r="BM94" s="127">
        <v>0</v>
      </c>
      <c r="BN94" s="127">
        <v>0</v>
      </c>
      <c r="BO94" s="127">
        <v>0</v>
      </c>
      <c r="BP94" s="127">
        <v>0</v>
      </c>
      <c r="BQ94" s="127">
        <v>0</v>
      </c>
      <c r="BR94" s="127">
        <v>0</v>
      </c>
      <c r="BS94" s="127">
        <v>0</v>
      </c>
      <c r="BT94" s="127">
        <v>0</v>
      </c>
      <c r="BU94" s="127">
        <v>0</v>
      </c>
      <c r="BV94" s="127">
        <v>0</v>
      </c>
      <c r="BW94" s="127">
        <v>0</v>
      </c>
      <c r="BX94" s="127">
        <v>0</v>
      </c>
      <c r="BY94" s="127">
        <v>0</v>
      </c>
      <c r="BZ94" s="127">
        <v>0</v>
      </c>
      <c r="CA94" s="127">
        <v>0</v>
      </c>
      <c r="CB94" s="127">
        <v>0</v>
      </c>
      <c r="CC94" s="127">
        <v>0</v>
      </c>
      <c r="CD94" s="127">
        <v>0</v>
      </c>
      <c r="CE94" s="127">
        <v>0</v>
      </c>
      <c r="CF94" s="127">
        <v>0</v>
      </c>
      <c r="CG94" s="127">
        <v>0</v>
      </c>
      <c r="CH94" s="127">
        <v>0</v>
      </c>
      <c r="CI94" s="127">
        <v>0</v>
      </c>
      <c r="CJ94" s="127">
        <v>0</v>
      </c>
      <c r="CK94" s="127">
        <v>0</v>
      </c>
      <c r="CL94" s="127">
        <v>0</v>
      </c>
      <c r="CM94" s="127">
        <v>0</v>
      </c>
      <c r="CN94" s="127">
        <v>0</v>
      </c>
      <c r="CO94" s="127">
        <v>0</v>
      </c>
      <c r="CP94" s="127">
        <v>0</v>
      </c>
      <c r="CQ94" s="127">
        <v>0</v>
      </c>
      <c r="CR94" s="127">
        <v>0</v>
      </c>
      <c r="CS94" s="127">
        <v>0</v>
      </c>
      <c r="CT94" s="127">
        <v>0</v>
      </c>
      <c r="CU94" s="127">
        <v>0</v>
      </c>
      <c r="CV94" s="127">
        <v>0</v>
      </c>
      <c r="CW94" s="127">
        <v>0</v>
      </c>
      <c r="CX94" s="127">
        <v>0</v>
      </c>
    </row>
    <row r="95" spans="1:102" ht="15" customHeight="1" x14ac:dyDescent="0.2">
      <c r="A95" s="123">
        <v>9.3000000000000007</v>
      </c>
      <c r="B95" s="126">
        <v>1</v>
      </c>
      <c r="C95" s="127">
        <v>1</v>
      </c>
      <c r="D95" s="127">
        <v>1</v>
      </c>
      <c r="E95" s="127">
        <v>1</v>
      </c>
      <c r="F95" s="127">
        <v>1</v>
      </c>
      <c r="G95" s="127">
        <v>0.95</v>
      </c>
      <c r="H95" s="127">
        <v>0.85</v>
      </c>
      <c r="I95" s="127">
        <v>0.8</v>
      </c>
      <c r="J95" s="127">
        <v>0.7</v>
      </c>
      <c r="K95" s="127">
        <v>0.6</v>
      </c>
      <c r="L95" s="127">
        <v>0.5</v>
      </c>
      <c r="M95" s="127">
        <v>0.4</v>
      </c>
      <c r="N95" s="127">
        <v>0.3</v>
      </c>
      <c r="O95" s="127">
        <v>0.2</v>
      </c>
      <c r="P95" s="127">
        <v>0.1</v>
      </c>
      <c r="Q95" s="127">
        <v>0</v>
      </c>
      <c r="R95" s="127">
        <v>0</v>
      </c>
      <c r="S95" s="127">
        <v>0</v>
      </c>
      <c r="T95" s="127">
        <v>0</v>
      </c>
      <c r="U95" s="127">
        <v>0</v>
      </c>
      <c r="V95" s="127">
        <v>0</v>
      </c>
      <c r="W95" s="127">
        <v>0</v>
      </c>
      <c r="X95" s="127">
        <v>0</v>
      </c>
      <c r="Y95" s="127">
        <v>0</v>
      </c>
      <c r="Z95" s="127">
        <v>0</v>
      </c>
      <c r="AA95" s="127">
        <v>0</v>
      </c>
      <c r="AB95" s="127">
        <v>0</v>
      </c>
      <c r="AC95" s="127">
        <v>0</v>
      </c>
      <c r="AD95" s="127">
        <v>0</v>
      </c>
      <c r="AE95" s="127">
        <v>0</v>
      </c>
      <c r="AF95" s="127">
        <v>0</v>
      </c>
      <c r="AG95" s="127">
        <v>0</v>
      </c>
      <c r="AH95" s="127">
        <v>0</v>
      </c>
      <c r="AI95" s="127">
        <v>0</v>
      </c>
      <c r="AJ95" s="127">
        <v>0</v>
      </c>
      <c r="AK95" s="127">
        <v>0</v>
      </c>
      <c r="AL95" s="127">
        <v>0</v>
      </c>
      <c r="AM95" s="127">
        <v>0</v>
      </c>
      <c r="AN95" s="127">
        <v>0</v>
      </c>
      <c r="AO95" s="127">
        <v>0</v>
      </c>
      <c r="AP95" s="127">
        <v>0</v>
      </c>
      <c r="AQ95" s="127">
        <v>0</v>
      </c>
      <c r="AR95" s="127">
        <v>0</v>
      </c>
      <c r="AS95" s="127">
        <v>0</v>
      </c>
      <c r="AT95" s="127">
        <v>0</v>
      </c>
      <c r="AU95" s="127">
        <v>0</v>
      </c>
      <c r="AV95" s="127">
        <v>0</v>
      </c>
      <c r="AW95" s="127">
        <v>0</v>
      </c>
      <c r="AX95" s="127">
        <v>0</v>
      </c>
      <c r="AY95" s="127">
        <v>0</v>
      </c>
      <c r="AZ95" s="127">
        <v>0</v>
      </c>
      <c r="BA95" s="127">
        <v>0</v>
      </c>
      <c r="BB95" s="127">
        <v>0</v>
      </c>
      <c r="BC95" s="127">
        <v>0</v>
      </c>
      <c r="BD95" s="127">
        <v>0</v>
      </c>
      <c r="BE95" s="127">
        <v>0</v>
      </c>
      <c r="BF95" s="127">
        <v>0</v>
      </c>
      <c r="BG95" s="127">
        <v>0</v>
      </c>
      <c r="BH95" s="127">
        <v>0</v>
      </c>
      <c r="BI95" s="127">
        <v>0</v>
      </c>
      <c r="BJ95" s="127">
        <v>0</v>
      </c>
      <c r="BK95" s="127">
        <v>0</v>
      </c>
      <c r="BL95" s="127">
        <v>0</v>
      </c>
      <c r="BM95" s="127">
        <v>0</v>
      </c>
      <c r="BN95" s="127">
        <v>0</v>
      </c>
      <c r="BO95" s="127">
        <v>0</v>
      </c>
      <c r="BP95" s="127">
        <v>0</v>
      </c>
      <c r="BQ95" s="127">
        <v>0</v>
      </c>
      <c r="BR95" s="127">
        <v>0</v>
      </c>
      <c r="BS95" s="127">
        <v>0</v>
      </c>
      <c r="BT95" s="127">
        <v>0</v>
      </c>
      <c r="BU95" s="127">
        <v>0</v>
      </c>
      <c r="BV95" s="127">
        <v>0</v>
      </c>
      <c r="BW95" s="127">
        <v>0</v>
      </c>
      <c r="BX95" s="127">
        <v>0</v>
      </c>
      <c r="BY95" s="127">
        <v>0</v>
      </c>
      <c r="BZ95" s="127">
        <v>0</v>
      </c>
      <c r="CA95" s="127">
        <v>0</v>
      </c>
      <c r="CB95" s="127">
        <v>0</v>
      </c>
      <c r="CC95" s="127">
        <v>0</v>
      </c>
      <c r="CD95" s="127">
        <v>0</v>
      </c>
      <c r="CE95" s="127">
        <v>0</v>
      </c>
      <c r="CF95" s="127">
        <v>0</v>
      </c>
      <c r="CG95" s="127">
        <v>0</v>
      </c>
      <c r="CH95" s="127">
        <v>0</v>
      </c>
      <c r="CI95" s="127">
        <v>0</v>
      </c>
      <c r="CJ95" s="127">
        <v>0</v>
      </c>
      <c r="CK95" s="127">
        <v>0</v>
      </c>
      <c r="CL95" s="127">
        <v>0</v>
      </c>
      <c r="CM95" s="127">
        <v>0</v>
      </c>
      <c r="CN95" s="127">
        <v>0</v>
      </c>
      <c r="CO95" s="127">
        <v>0</v>
      </c>
      <c r="CP95" s="127">
        <v>0</v>
      </c>
      <c r="CQ95" s="127">
        <v>0</v>
      </c>
      <c r="CR95" s="127">
        <v>0</v>
      </c>
      <c r="CS95" s="127">
        <v>0</v>
      </c>
      <c r="CT95" s="127">
        <v>0</v>
      </c>
      <c r="CU95" s="127">
        <v>0</v>
      </c>
      <c r="CV95" s="127">
        <v>0</v>
      </c>
      <c r="CW95" s="127">
        <v>0</v>
      </c>
      <c r="CX95" s="127">
        <v>0</v>
      </c>
    </row>
    <row r="96" spans="1:102" ht="15" customHeight="1" x14ac:dyDescent="0.2">
      <c r="A96" s="123">
        <v>9.4</v>
      </c>
      <c r="B96" s="126">
        <v>1</v>
      </c>
      <c r="C96" s="127">
        <v>1</v>
      </c>
      <c r="D96" s="127">
        <v>1</v>
      </c>
      <c r="E96" s="127">
        <v>1</v>
      </c>
      <c r="F96" s="127">
        <v>1</v>
      </c>
      <c r="G96" s="127">
        <v>0.95</v>
      </c>
      <c r="H96" s="127">
        <v>0.85</v>
      </c>
      <c r="I96" s="127">
        <v>0.8</v>
      </c>
      <c r="J96" s="127">
        <v>0.7</v>
      </c>
      <c r="K96" s="127">
        <v>0.6</v>
      </c>
      <c r="L96" s="127">
        <v>0.5</v>
      </c>
      <c r="M96" s="127">
        <v>0.4</v>
      </c>
      <c r="N96" s="127">
        <v>0.3</v>
      </c>
      <c r="O96" s="127">
        <v>0.2</v>
      </c>
      <c r="P96" s="127">
        <v>0.1</v>
      </c>
      <c r="Q96" s="127">
        <v>0</v>
      </c>
      <c r="R96" s="127">
        <v>0</v>
      </c>
      <c r="S96" s="127">
        <v>0</v>
      </c>
      <c r="T96" s="127">
        <v>0</v>
      </c>
      <c r="U96" s="127">
        <v>0</v>
      </c>
      <c r="V96" s="127">
        <v>0</v>
      </c>
      <c r="W96" s="127">
        <v>0</v>
      </c>
      <c r="X96" s="127">
        <v>0</v>
      </c>
      <c r="Y96" s="127">
        <v>0</v>
      </c>
      <c r="Z96" s="127">
        <v>0</v>
      </c>
      <c r="AA96" s="127">
        <v>0</v>
      </c>
      <c r="AB96" s="127">
        <v>0</v>
      </c>
      <c r="AC96" s="127">
        <v>0</v>
      </c>
      <c r="AD96" s="127">
        <v>0</v>
      </c>
      <c r="AE96" s="127">
        <v>0</v>
      </c>
      <c r="AF96" s="127">
        <v>0</v>
      </c>
      <c r="AG96" s="127">
        <v>0</v>
      </c>
      <c r="AH96" s="127">
        <v>0</v>
      </c>
      <c r="AI96" s="127">
        <v>0</v>
      </c>
      <c r="AJ96" s="127">
        <v>0</v>
      </c>
      <c r="AK96" s="127">
        <v>0</v>
      </c>
      <c r="AL96" s="127">
        <v>0</v>
      </c>
      <c r="AM96" s="127">
        <v>0</v>
      </c>
      <c r="AN96" s="127">
        <v>0</v>
      </c>
      <c r="AO96" s="127">
        <v>0</v>
      </c>
      <c r="AP96" s="127">
        <v>0</v>
      </c>
      <c r="AQ96" s="127">
        <v>0</v>
      </c>
      <c r="AR96" s="127">
        <v>0</v>
      </c>
      <c r="AS96" s="127">
        <v>0</v>
      </c>
      <c r="AT96" s="127">
        <v>0</v>
      </c>
      <c r="AU96" s="127">
        <v>0</v>
      </c>
      <c r="AV96" s="127">
        <v>0</v>
      </c>
      <c r="AW96" s="127">
        <v>0</v>
      </c>
      <c r="AX96" s="127">
        <v>0</v>
      </c>
      <c r="AY96" s="127">
        <v>0</v>
      </c>
      <c r="AZ96" s="127">
        <v>0</v>
      </c>
      <c r="BA96" s="127">
        <v>0</v>
      </c>
      <c r="BB96" s="127">
        <v>0</v>
      </c>
      <c r="BC96" s="127">
        <v>0</v>
      </c>
      <c r="BD96" s="127">
        <v>0</v>
      </c>
      <c r="BE96" s="127">
        <v>0</v>
      </c>
      <c r="BF96" s="127">
        <v>0</v>
      </c>
      <c r="BG96" s="127">
        <v>0</v>
      </c>
      <c r="BH96" s="127">
        <v>0</v>
      </c>
      <c r="BI96" s="127">
        <v>0</v>
      </c>
      <c r="BJ96" s="127">
        <v>0</v>
      </c>
      <c r="BK96" s="127">
        <v>0</v>
      </c>
      <c r="BL96" s="127">
        <v>0</v>
      </c>
      <c r="BM96" s="127">
        <v>0</v>
      </c>
      <c r="BN96" s="127">
        <v>0</v>
      </c>
      <c r="BO96" s="127">
        <v>0</v>
      </c>
      <c r="BP96" s="127">
        <v>0</v>
      </c>
      <c r="BQ96" s="127">
        <v>0</v>
      </c>
      <c r="BR96" s="127">
        <v>0</v>
      </c>
      <c r="BS96" s="127">
        <v>0</v>
      </c>
      <c r="BT96" s="127">
        <v>0</v>
      </c>
      <c r="BU96" s="127">
        <v>0</v>
      </c>
      <c r="BV96" s="127">
        <v>0</v>
      </c>
      <c r="BW96" s="127">
        <v>0</v>
      </c>
      <c r="BX96" s="127">
        <v>0</v>
      </c>
      <c r="BY96" s="127">
        <v>0</v>
      </c>
      <c r="BZ96" s="127">
        <v>0</v>
      </c>
      <c r="CA96" s="127">
        <v>0</v>
      </c>
      <c r="CB96" s="127">
        <v>0</v>
      </c>
      <c r="CC96" s="127">
        <v>0</v>
      </c>
      <c r="CD96" s="127">
        <v>0</v>
      </c>
      <c r="CE96" s="127">
        <v>0</v>
      </c>
      <c r="CF96" s="127">
        <v>0</v>
      </c>
      <c r="CG96" s="127">
        <v>0</v>
      </c>
      <c r="CH96" s="127">
        <v>0</v>
      </c>
      <c r="CI96" s="127">
        <v>0</v>
      </c>
      <c r="CJ96" s="127">
        <v>0</v>
      </c>
      <c r="CK96" s="127">
        <v>0</v>
      </c>
      <c r="CL96" s="127">
        <v>0</v>
      </c>
      <c r="CM96" s="127">
        <v>0</v>
      </c>
      <c r="CN96" s="127">
        <v>0</v>
      </c>
      <c r="CO96" s="127">
        <v>0</v>
      </c>
      <c r="CP96" s="127">
        <v>0</v>
      </c>
      <c r="CQ96" s="127">
        <v>0</v>
      </c>
      <c r="CR96" s="127">
        <v>0</v>
      </c>
      <c r="CS96" s="127">
        <v>0</v>
      </c>
      <c r="CT96" s="127">
        <v>0</v>
      </c>
      <c r="CU96" s="127">
        <v>0</v>
      </c>
      <c r="CV96" s="127">
        <v>0</v>
      </c>
      <c r="CW96" s="127">
        <v>0</v>
      </c>
      <c r="CX96" s="127">
        <v>0</v>
      </c>
    </row>
    <row r="97" spans="1:102" ht="15" customHeight="1" x14ac:dyDescent="0.2">
      <c r="A97" s="123">
        <v>9.5</v>
      </c>
      <c r="B97" s="126">
        <v>1</v>
      </c>
      <c r="C97" s="127">
        <v>1</v>
      </c>
      <c r="D97" s="127">
        <v>1</v>
      </c>
      <c r="E97" s="127">
        <v>1</v>
      </c>
      <c r="F97" s="127">
        <v>1</v>
      </c>
      <c r="G97" s="127">
        <v>0.95</v>
      </c>
      <c r="H97" s="127">
        <v>0.85</v>
      </c>
      <c r="I97" s="127">
        <v>0.8</v>
      </c>
      <c r="J97" s="127">
        <v>0.7</v>
      </c>
      <c r="K97" s="127">
        <v>0.6</v>
      </c>
      <c r="L97" s="127">
        <v>0.5</v>
      </c>
      <c r="M97" s="127">
        <v>0.4</v>
      </c>
      <c r="N97" s="127">
        <v>0.3</v>
      </c>
      <c r="O97" s="127">
        <v>0.2</v>
      </c>
      <c r="P97" s="127">
        <v>0.1</v>
      </c>
      <c r="Q97" s="127">
        <v>0</v>
      </c>
      <c r="R97" s="127">
        <v>0</v>
      </c>
      <c r="S97" s="127">
        <v>0</v>
      </c>
      <c r="T97" s="127">
        <v>0</v>
      </c>
      <c r="U97" s="127">
        <v>0</v>
      </c>
      <c r="V97" s="127">
        <v>0</v>
      </c>
      <c r="W97" s="127">
        <v>0</v>
      </c>
      <c r="X97" s="127">
        <v>0</v>
      </c>
      <c r="Y97" s="127">
        <v>0</v>
      </c>
      <c r="Z97" s="127">
        <v>0</v>
      </c>
      <c r="AA97" s="127">
        <v>0</v>
      </c>
      <c r="AB97" s="127">
        <v>0</v>
      </c>
      <c r="AC97" s="127">
        <v>0</v>
      </c>
      <c r="AD97" s="127">
        <v>0</v>
      </c>
      <c r="AE97" s="127">
        <v>0</v>
      </c>
      <c r="AF97" s="127">
        <v>0</v>
      </c>
      <c r="AG97" s="127">
        <v>0</v>
      </c>
      <c r="AH97" s="127">
        <v>0</v>
      </c>
      <c r="AI97" s="127">
        <v>0</v>
      </c>
      <c r="AJ97" s="127">
        <v>0</v>
      </c>
      <c r="AK97" s="127">
        <v>0</v>
      </c>
      <c r="AL97" s="127">
        <v>0</v>
      </c>
      <c r="AM97" s="127">
        <v>0</v>
      </c>
      <c r="AN97" s="127">
        <v>0</v>
      </c>
      <c r="AO97" s="127">
        <v>0</v>
      </c>
      <c r="AP97" s="127">
        <v>0</v>
      </c>
      <c r="AQ97" s="127">
        <v>0</v>
      </c>
      <c r="AR97" s="127">
        <v>0</v>
      </c>
      <c r="AS97" s="127">
        <v>0</v>
      </c>
      <c r="AT97" s="127">
        <v>0</v>
      </c>
      <c r="AU97" s="127">
        <v>0</v>
      </c>
      <c r="AV97" s="127">
        <v>0</v>
      </c>
      <c r="AW97" s="127">
        <v>0</v>
      </c>
      <c r="AX97" s="127">
        <v>0</v>
      </c>
      <c r="AY97" s="127">
        <v>0</v>
      </c>
      <c r="AZ97" s="127">
        <v>0</v>
      </c>
      <c r="BA97" s="127">
        <v>0</v>
      </c>
      <c r="BB97" s="127">
        <v>0</v>
      </c>
      <c r="BC97" s="127">
        <v>0</v>
      </c>
      <c r="BD97" s="127">
        <v>0</v>
      </c>
      <c r="BE97" s="127">
        <v>0</v>
      </c>
      <c r="BF97" s="127">
        <v>0</v>
      </c>
      <c r="BG97" s="127">
        <v>0</v>
      </c>
      <c r="BH97" s="127">
        <v>0</v>
      </c>
      <c r="BI97" s="127">
        <v>0</v>
      </c>
      <c r="BJ97" s="127">
        <v>0</v>
      </c>
      <c r="BK97" s="127">
        <v>0</v>
      </c>
      <c r="BL97" s="127">
        <v>0</v>
      </c>
      <c r="BM97" s="127">
        <v>0</v>
      </c>
      <c r="BN97" s="127">
        <v>0</v>
      </c>
      <c r="BO97" s="127">
        <v>0</v>
      </c>
      <c r="BP97" s="127">
        <v>0</v>
      </c>
      <c r="BQ97" s="127">
        <v>0</v>
      </c>
      <c r="BR97" s="127">
        <v>0</v>
      </c>
      <c r="BS97" s="127">
        <v>0</v>
      </c>
      <c r="BT97" s="127">
        <v>0</v>
      </c>
      <c r="BU97" s="127">
        <v>0</v>
      </c>
      <c r="BV97" s="127">
        <v>0</v>
      </c>
      <c r="BW97" s="127">
        <v>0</v>
      </c>
      <c r="BX97" s="127">
        <v>0</v>
      </c>
      <c r="BY97" s="127">
        <v>0</v>
      </c>
      <c r="BZ97" s="127">
        <v>0</v>
      </c>
      <c r="CA97" s="127">
        <v>0</v>
      </c>
      <c r="CB97" s="127">
        <v>0</v>
      </c>
      <c r="CC97" s="127">
        <v>0</v>
      </c>
      <c r="CD97" s="127">
        <v>0</v>
      </c>
      <c r="CE97" s="127">
        <v>0</v>
      </c>
      <c r="CF97" s="127">
        <v>0</v>
      </c>
      <c r="CG97" s="127">
        <v>0</v>
      </c>
      <c r="CH97" s="127">
        <v>0</v>
      </c>
      <c r="CI97" s="127">
        <v>0</v>
      </c>
      <c r="CJ97" s="127">
        <v>0</v>
      </c>
      <c r="CK97" s="127">
        <v>0</v>
      </c>
      <c r="CL97" s="127">
        <v>0</v>
      </c>
      <c r="CM97" s="127">
        <v>0</v>
      </c>
      <c r="CN97" s="127">
        <v>0</v>
      </c>
      <c r="CO97" s="127">
        <v>0</v>
      </c>
      <c r="CP97" s="127">
        <v>0</v>
      </c>
      <c r="CQ97" s="127">
        <v>0</v>
      </c>
      <c r="CR97" s="127">
        <v>0</v>
      </c>
      <c r="CS97" s="127">
        <v>0</v>
      </c>
      <c r="CT97" s="127">
        <v>0</v>
      </c>
      <c r="CU97" s="127">
        <v>0</v>
      </c>
      <c r="CV97" s="127">
        <v>0</v>
      </c>
      <c r="CW97" s="127">
        <v>0</v>
      </c>
      <c r="CX97" s="127">
        <v>0</v>
      </c>
    </row>
    <row r="98" spans="1:102" ht="15" customHeight="1" x14ac:dyDescent="0.2">
      <c r="A98" s="123">
        <v>9.6</v>
      </c>
      <c r="B98" s="126">
        <v>1</v>
      </c>
      <c r="C98" s="127">
        <v>1</v>
      </c>
      <c r="D98" s="127">
        <v>1</v>
      </c>
      <c r="E98" s="127">
        <v>1</v>
      </c>
      <c r="F98" s="127">
        <v>1</v>
      </c>
      <c r="G98" s="127">
        <v>0.95</v>
      </c>
      <c r="H98" s="127">
        <v>0.85</v>
      </c>
      <c r="I98" s="127">
        <v>0.8</v>
      </c>
      <c r="J98" s="127">
        <v>0.7</v>
      </c>
      <c r="K98" s="127">
        <v>0.6</v>
      </c>
      <c r="L98" s="127">
        <v>0.5</v>
      </c>
      <c r="M98" s="127">
        <v>0.4</v>
      </c>
      <c r="N98" s="127">
        <v>0.3</v>
      </c>
      <c r="O98" s="127">
        <v>0.2</v>
      </c>
      <c r="P98" s="127">
        <v>0.1</v>
      </c>
      <c r="Q98" s="127">
        <v>0</v>
      </c>
      <c r="R98" s="127">
        <v>0</v>
      </c>
      <c r="S98" s="127">
        <v>0</v>
      </c>
      <c r="T98" s="127">
        <v>0</v>
      </c>
      <c r="U98" s="127">
        <v>0</v>
      </c>
      <c r="V98" s="127">
        <v>0</v>
      </c>
      <c r="W98" s="127">
        <v>0</v>
      </c>
      <c r="X98" s="127">
        <v>0</v>
      </c>
      <c r="Y98" s="127">
        <v>0</v>
      </c>
      <c r="Z98" s="127">
        <v>0</v>
      </c>
      <c r="AA98" s="127">
        <v>0</v>
      </c>
      <c r="AB98" s="127">
        <v>0</v>
      </c>
      <c r="AC98" s="127">
        <v>0</v>
      </c>
      <c r="AD98" s="127">
        <v>0</v>
      </c>
      <c r="AE98" s="127">
        <v>0</v>
      </c>
      <c r="AF98" s="127">
        <v>0</v>
      </c>
      <c r="AG98" s="127">
        <v>0</v>
      </c>
      <c r="AH98" s="127">
        <v>0</v>
      </c>
      <c r="AI98" s="127">
        <v>0</v>
      </c>
      <c r="AJ98" s="127">
        <v>0</v>
      </c>
      <c r="AK98" s="127">
        <v>0</v>
      </c>
      <c r="AL98" s="127">
        <v>0</v>
      </c>
      <c r="AM98" s="127">
        <v>0</v>
      </c>
      <c r="AN98" s="127">
        <v>0</v>
      </c>
      <c r="AO98" s="127">
        <v>0</v>
      </c>
      <c r="AP98" s="127">
        <v>0</v>
      </c>
      <c r="AQ98" s="127">
        <v>0</v>
      </c>
      <c r="AR98" s="127">
        <v>0</v>
      </c>
      <c r="AS98" s="127">
        <v>0</v>
      </c>
      <c r="AT98" s="127">
        <v>0</v>
      </c>
      <c r="AU98" s="127">
        <v>0</v>
      </c>
      <c r="AV98" s="127">
        <v>0</v>
      </c>
      <c r="AW98" s="127">
        <v>0</v>
      </c>
      <c r="AX98" s="127">
        <v>0</v>
      </c>
      <c r="AY98" s="127">
        <v>0</v>
      </c>
      <c r="AZ98" s="127">
        <v>0</v>
      </c>
      <c r="BA98" s="127">
        <v>0</v>
      </c>
      <c r="BB98" s="127">
        <v>0</v>
      </c>
      <c r="BC98" s="127">
        <v>0</v>
      </c>
      <c r="BD98" s="127">
        <v>0</v>
      </c>
      <c r="BE98" s="127">
        <v>0</v>
      </c>
      <c r="BF98" s="127">
        <v>0</v>
      </c>
      <c r="BG98" s="127">
        <v>0</v>
      </c>
      <c r="BH98" s="127">
        <v>0</v>
      </c>
      <c r="BI98" s="127">
        <v>0</v>
      </c>
      <c r="BJ98" s="127">
        <v>0</v>
      </c>
      <c r="BK98" s="127">
        <v>0</v>
      </c>
      <c r="BL98" s="127">
        <v>0</v>
      </c>
      <c r="BM98" s="127">
        <v>0</v>
      </c>
      <c r="BN98" s="127">
        <v>0</v>
      </c>
      <c r="BO98" s="127">
        <v>0</v>
      </c>
      <c r="BP98" s="127">
        <v>0</v>
      </c>
      <c r="BQ98" s="127">
        <v>0</v>
      </c>
      <c r="BR98" s="127">
        <v>0</v>
      </c>
      <c r="BS98" s="127">
        <v>0</v>
      </c>
      <c r="BT98" s="127">
        <v>0</v>
      </c>
      <c r="BU98" s="127">
        <v>0</v>
      </c>
      <c r="BV98" s="127">
        <v>0</v>
      </c>
      <c r="BW98" s="127">
        <v>0</v>
      </c>
      <c r="BX98" s="127">
        <v>0</v>
      </c>
      <c r="BY98" s="127">
        <v>0</v>
      </c>
      <c r="BZ98" s="127">
        <v>0</v>
      </c>
      <c r="CA98" s="127">
        <v>0</v>
      </c>
      <c r="CB98" s="127">
        <v>0</v>
      </c>
      <c r="CC98" s="127">
        <v>0</v>
      </c>
      <c r="CD98" s="127">
        <v>0</v>
      </c>
      <c r="CE98" s="127">
        <v>0</v>
      </c>
      <c r="CF98" s="127">
        <v>0</v>
      </c>
      <c r="CG98" s="127">
        <v>0</v>
      </c>
      <c r="CH98" s="127">
        <v>0</v>
      </c>
      <c r="CI98" s="127">
        <v>0</v>
      </c>
      <c r="CJ98" s="127">
        <v>0</v>
      </c>
      <c r="CK98" s="127">
        <v>0</v>
      </c>
      <c r="CL98" s="127">
        <v>0</v>
      </c>
      <c r="CM98" s="127">
        <v>0</v>
      </c>
      <c r="CN98" s="127">
        <v>0</v>
      </c>
      <c r="CO98" s="127">
        <v>0</v>
      </c>
      <c r="CP98" s="127">
        <v>0</v>
      </c>
      <c r="CQ98" s="127">
        <v>0</v>
      </c>
      <c r="CR98" s="127">
        <v>0</v>
      </c>
      <c r="CS98" s="127">
        <v>0</v>
      </c>
      <c r="CT98" s="127">
        <v>0</v>
      </c>
      <c r="CU98" s="127">
        <v>0</v>
      </c>
      <c r="CV98" s="127">
        <v>0</v>
      </c>
      <c r="CW98" s="127">
        <v>0</v>
      </c>
      <c r="CX98" s="127">
        <v>0</v>
      </c>
    </row>
    <row r="99" spans="1:102" ht="15" customHeight="1" x14ac:dyDescent="0.2">
      <c r="A99" s="123">
        <v>9.6999999999999993</v>
      </c>
      <c r="B99" s="126">
        <v>1</v>
      </c>
      <c r="C99" s="127">
        <v>1</v>
      </c>
      <c r="D99" s="127">
        <v>1</v>
      </c>
      <c r="E99" s="127">
        <v>1</v>
      </c>
      <c r="F99" s="127">
        <v>1</v>
      </c>
      <c r="G99" s="127">
        <v>0.95</v>
      </c>
      <c r="H99" s="127">
        <v>0.85</v>
      </c>
      <c r="I99" s="127">
        <v>0.8</v>
      </c>
      <c r="J99" s="127">
        <v>0.7</v>
      </c>
      <c r="K99" s="127">
        <v>0.6</v>
      </c>
      <c r="L99" s="127">
        <v>0.5</v>
      </c>
      <c r="M99" s="127">
        <v>0.4</v>
      </c>
      <c r="N99" s="127">
        <v>0.3</v>
      </c>
      <c r="O99" s="127">
        <v>0.2</v>
      </c>
      <c r="P99" s="127">
        <v>0.1</v>
      </c>
      <c r="Q99" s="127">
        <v>0</v>
      </c>
      <c r="R99" s="127">
        <v>0</v>
      </c>
      <c r="S99" s="127">
        <v>0</v>
      </c>
      <c r="T99" s="127">
        <v>0</v>
      </c>
      <c r="U99" s="127">
        <v>0</v>
      </c>
      <c r="V99" s="127">
        <v>0</v>
      </c>
      <c r="W99" s="127">
        <v>0</v>
      </c>
      <c r="X99" s="127">
        <v>0</v>
      </c>
      <c r="Y99" s="127">
        <v>0</v>
      </c>
      <c r="Z99" s="127">
        <v>0</v>
      </c>
      <c r="AA99" s="127">
        <v>0</v>
      </c>
      <c r="AB99" s="127">
        <v>0</v>
      </c>
      <c r="AC99" s="127">
        <v>0</v>
      </c>
      <c r="AD99" s="127">
        <v>0</v>
      </c>
      <c r="AE99" s="127">
        <v>0</v>
      </c>
      <c r="AF99" s="127">
        <v>0</v>
      </c>
      <c r="AG99" s="127">
        <v>0</v>
      </c>
      <c r="AH99" s="127">
        <v>0</v>
      </c>
      <c r="AI99" s="127">
        <v>0</v>
      </c>
      <c r="AJ99" s="127">
        <v>0</v>
      </c>
      <c r="AK99" s="127">
        <v>0</v>
      </c>
      <c r="AL99" s="127">
        <v>0</v>
      </c>
      <c r="AM99" s="127">
        <v>0</v>
      </c>
      <c r="AN99" s="127">
        <v>0</v>
      </c>
      <c r="AO99" s="127">
        <v>0</v>
      </c>
      <c r="AP99" s="127">
        <v>0</v>
      </c>
      <c r="AQ99" s="127">
        <v>0</v>
      </c>
      <c r="AR99" s="127">
        <v>0</v>
      </c>
      <c r="AS99" s="127">
        <v>0</v>
      </c>
      <c r="AT99" s="127">
        <v>0</v>
      </c>
      <c r="AU99" s="127">
        <v>0</v>
      </c>
      <c r="AV99" s="127">
        <v>0</v>
      </c>
      <c r="AW99" s="127">
        <v>0</v>
      </c>
      <c r="AX99" s="127">
        <v>0</v>
      </c>
      <c r="AY99" s="127">
        <v>0</v>
      </c>
      <c r="AZ99" s="127">
        <v>0</v>
      </c>
      <c r="BA99" s="127">
        <v>0</v>
      </c>
      <c r="BB99" s="127">
        <v>0</v>
      </c>
      <c r="BC99" s="127">
        <v>0</v>
      </c>
      <c r="BD99" s="127">
        <v>0</v>
      </c>
      <c r="BE99" s="127">
        <v>0</v>
      </c>
      <c r="BF99" s="127">
        <v>0</v>
      </c>
      <c r="BG99" s="127">
        <v>0</v>
      </c>
      <c r="BH99" s="127">
        <v>0</v>
      </c>
      <c r="BI99" s="127">
        <v>0</v>
      </c>
      <c r="BJ99" s="127">
        <v>0</v>
      </c>
      <c r="BK99" s="127">
        <v>0</v>
      </c>
      <c r="BL99" s="127">
        <v>0</v>
      </c>
      <c r="BM99" s="127">
        <v>0</v>
      </c>
      <c r="BN99" s="127">
        <v>0</v>
      </c>
      <c r="BO99" s="127">
        <v>0</v>
      </c>
      <c r="BP99" s="127">
        <v>0</v>
      </c>
      <c r="BQ99" s="127">
        <v>0</v>
      </c>
      <c r="BR99" s="127">
        <v>0</v>
      </c>
      <c r="BS99" s="127">
        <v>0</v>
      </c>
      <c r="BT99" s="127">
        <v>0</v>
      </c>
      <c r="BU99" s="127">
        <v>0</v>
      </c>
      <c r="BV99" s="127">
        <v>0</v>
      </c>
      <c r="BW99" s="127">
        <v>0</v>
      </c>
      <c r="BX99" s="127">
        <v>0</v>
      </c>
      <c r="BY99" s="127">
        <v>0</v>
      </c>
      <c r="BZ99" s="127">
        <v>0</v>
      </c>
      <c r="CA99" s="127">
        <v>0</v>
      </c>
      <c r="CB99" s="127">
        <v>0</v>
      </c>
      <c r="CC99" s="127">
        <v>0</v>
      </c>
      <c r="CD99" s="127">
        <v>0</v>
      </c>
      <c r="CE99" s="127">
        <v>0</v>
      </c>
      <c r="CF99" s="127">
        <v>0</v>
      </c>
      <c r="CG99" s="127">
        <v>0</v>
      </c>
      <c r="CH99" s="127">
        <v>0</v>
      </c>
      <c r="CI99" s="127">
        <v>0</v>
      </c>
      <c r="CJ99" s="127">
        <v>0</v>
      </c>
      <c r="CK99" s="127">
        <v>0</v>
      </c>
      <c r="CL99" s="127">
        <v>0</v>
      </c>
      <c r="CM99" s="127">
        <v>0</v>
      </c>
      <c r="CN99" s="127">
        <v>0</v>
      </c>
      <c r="CO99" s="127">
        <v>0</v>
      </c>
      <c r="CP99" s="127">
        <v>0</v>
      </c>
      <c r="CQ99" s="127">
        <v>0</v>
      </c>
      <c r="CR99" s="127">
        <v>0</v>
      </c>
      <c r="CS99" s="127">
        <v>0</v>
      </c>
      <c r="CT99" s="127">
        <v>0</v>
      </c>
      <c r="CU99" s="127">
        <v>0</v>
      </c>
      <c r="CV99" s="127">
        <v>0</v>
      </c>
      <c r="CW99" s="127">
        <v>0</v>
      </c>
      <c r="CX99" s="127">
        <v>0</v>
      </c>
    </row>
    <row r="100" spans="1:102" ht="15" customHeight="1" x14ac:dyDescent="0.2">
      <c r="A100" s="123">
        <v>9.8000000000000007</v>
      </c>
      <c r="B100" s="126">
        <v>1</v>
      </c>
      <c r="C100" s="127">
        <v>1</v>
      </c>
      <c r="D100" s="127">
        <v>1</v>
      </c>
      <c r="E100" s="127">
        <v>1</v>
      </c>
      <c r="F100" s="127">
        <v>1</v>
      </c>
      <c r="G100" s="127">
        <v>0.95</v>
      </c>
      <c r="H100" s="127">
        <v>0.85</v>
      </c>
      <c r="I100" s="127">
        <v>0.8</v>
      </c>
      <c r="J100" s="127">
        <v>0.7</v>
      </c>
      <c r="K100" s="127">
        <v>0.6</v>
      </c>
      <c r="L100" s="127">
        <v>0.5</v>
      </c>
      <c r="M100" s="127">
        <v>0.4</v>
      </c>
      <c r="N100" s="127">
        <v>0.3</v>
      </c>
      <c r="O100" s="127">
        <v>0.2</v>
      </c>
      <c r="P100" s="127">
        <v>0.1</v>
      </c>
      <c r="Q100" s="127">
        <v>0</v>
      </c>
      <c r="R100" s="127">
        <v>0</v>
      </c>
      <c r="S100" s="127">
        <v>0</v>
      </c>
      <c r="T100" s="127">
        <v>0</v>
      </c>
      <c r="U100" s="127">
        <v>0</v>
      </c>
      <c r="V100" s="127">
        <v>0</v>
      </c>
      <c r="W100" s="127">
        <v>0</v>
      </c>
      <c r="X100" s="127">
        <v>0</v>
      </c>
      <c r="Y100" s="127">
        <v>0</v>
      </c>
      <c r="Z100" s="127">
        <v>0</v>
      </c>
      <c r="AA100" s="127">
        <v>0</v>
      </c>
      <c r="AB100" s="127">
        <v>0</v>
      </c>
      <c r="AC100" s="127">
        <v>0</v>
      </c>
      <c r="AD100" s="127">
        <v>0</v>
      </c>
      <c r="AE100" s="127">
        <v>0</v>
      </c>
      <c r="AF100" s="127">
        <v>0</v>
      </c>
      <c r="AG100" s="127">
        <v>0</v>
      </c>
      <c r="AH100" s="127">
        <v>0</v>
      </c>
      <c r="AI100" s="127">
        <v>0</v>
      </c>
      <c r="AJ100" s="127">
        <v>0</v>
      </c>
      <c r="AK100" s="127">
        <v>0</v>
      </c>
      <c r="AL100" s="127">
        <v>0</v>
      </c>
      <c r="AM100" s="127">
        <v>0</v>
      </c>
      <c r="AN100" s="127">
        <v>0</v>
      </c>
      <c r="AO100" s="127">
        <v>0</v>
      </c>
      <c r="AP100" s="127">
        <v>0</v>
      </c>
      <c r="AQ100" s="127">
        <v>0</v>
      </c>
      <c r="AR100" s="127">
        <v>0</v>
      </c>
      <c r="AS100" s="127">
        <v>0</v>
      </c>
      <c r="AT100" s="127">
        <v>0</v>
      </c>
      <c r="AU100" s="127">
        <v>0</v>
      </c>
      <c r="AV100" s="127">
        <v>0</v>
      </c>
      <c r="AW100" s="127">
        <v>0</v>
      </c>
      <c r="AX100" s="127">
        <v>0</v>
      </c>
      <c r="AY100" s="127">
        <v>0</v>
      </c>
      <c r="AZ100" s="127">
        <v>0</v>
      </c>
      <c r="BA100" s="127">
        <v>0</v>
      </c>
      <c r="BB100" s="127">
        <v>0</v>
      </c>
      <c r="BC100" s="127">
        <v>0</v>
      </c>
      <c r="BD100" s="127">
        <v>0</v>
      </c>
      <c r="BE100" s="127">
        <v>0</v>
      </c>
      <c r="BF100" s="127">
        <v>0</v>
      </c>
      <c r="BG100" s="127">
        <v>0</v>
      </c>
      <c r="BH100" s="127">
        <v>0</v>
      </c>
      <c r="BI100" s="127">
        <v>0</v>
      </c>
      <c r="BJ100" s="127">
        <v>0</v>
      </c>
      <c r="BK100" s="127">
        <v>0</v>
      </c>
      <c r="BL100" s="127">
        <v>0</v>
      </c>
      <c r="BM100" s="127">
        <v>0</v>
      </c>
      <c r="BN100" s="127">
        <v>0</v>
      </c>
      <c r="BO100" s="127">
        <v>0</v>
      </c>
      <c r="BP100" s="127">
        <v>0</v>
      </c>
      <c r="BQ100" s="127">
        <v>0</v>
      </c>
      <c r="BR100" s="127">
        <v>0</v>
      </c>
      <c r="BS100" s="127">
        <v>0</v>
      </c>
      <c r="BT100" s="127">
        <v>0</v>
      </c>
      <c r="BU100" s="127">
        <v>0</v>
      </c>
      <c r="BV100" s="127">
        <v>0</v>
      </c>
      <c r="BW100" s="127">
        <v>0</v>
      </c>
      <c r="BX100" s="127">
        <v>0</v>
      </c>
      <c r="BY100" s="127">
        <v>0</v>
      </c>
      <c r="BZ100" s="127">
        <v>0</v>
      </c>
      <c r="CA100" s="127">
        <v>0</v>
      </c>
      <c r="CB100" s="127">
        <v>0</v>
      </c>
      <c r="CC100" s="127">
        <v>0</v>
      </c>
      <c r="CD100" s="127">
        <v>0</v>
      </c>
      <c r="CE100" s="127">
        <v>0</v>
      </c>
      <c r="CF100" s="127">
        <v>0</v>
      </c>
      <c r="CG100" s="127">
        <v>0</v>
      </c>
      <c r="CH100" s="127">
        <v>0</v>
      </c>
      <c r="CI100" s="127">
        <v>0</v>
      </c>
      <c r="CJ100" s="127">
        <v>0</v>
      </c>
      <c r="CK100" s="127">
        <v>0</v>
      </c>
      <c r="CL100" s="127">
        <v>0</v>
      </c>
      <c r="CM100" s="127">
        <v>0</v>
      </c>
      <c r="CN100" s="127">
        <v>0</v>
      </c>
      <c r="CO100" s="127">
        <v>0</v>
      </c>
      <c r="CP100" s="127">
        <v>0</v>
      </c>
      <c r="CQ100" s="127">
        <v>0</v>
      </c>
      <c r="CR100" s="127">
        <v>0</v>
      </c>
      <c r="CS100" s="127">
        <v>0</v>
      </c>
      <c r="CT100" s="127">
        <v>0</v>
      </c>
      <c r="CU100" s="127">
        <v>0</v>
      </c>
      <c r="CV100" s="127">
        <v>0</v>
      </c>
      <c r="CW100" s="127">
        <v>0</v>
      </c>
      <c r="CX100" s="127">
        <v>0</v>
      </c>
    </row>
    <row r="101" spans="1:102" ht="15" customHeight="1" x14ac:dyDescent="0.2">
      <c r="A101" s="123">
        <v>9.9</v>
      </c>
      <c r="B101" s="126">
        <v>1</v>
      </c>
      <c r="C101" s="127">
        <v>1</v>
      </c>
      <c r="D101" s="127">
        <v>1</v>
      </c>
      <c r="E101" s="127">
        <v>1</v>
      </c>
      <c r="F101" s="127">
        <v>1</v>
      </c>
      <c r="G101" s="127">
        <v>0.95</v>
      </c>
      <c r="H101" s="127">
        <v>0.85</v>
      </c>
      <c r="I101" s="127">
        <v>0.8</v>
      </c>
      <c r="J101" s="127">
        <v>0.7</v>
      </c>
      <c r="K101" s="127">
        <v>0.6</v>
      </c>
      <c r="L101" s="127">
        <v>0.5</v>
      </c>
      <c r="M101" s="127">
        <v>0.4</v>
      </c>
      <c r="N101" s="127">
        <v>0.3</v>
      </c>
      <c r="O101" s="127">
        <v>0.2</v>
      </c>
      <c r="P101" s="127">
        <v>0.1</v>
      </c>
      <c r="Q101" s="127">
        <v>0</v>
      </c>
      <c r="R101" s="127">
        <v>0</v>
      </c>
      <c r="S101" s="127">
        <v>0</v>
      </c>
      <c r="T101" s="127">
        <v>0</v>
      </c>
      <c r="U101" s="127">
        <v>0</v>
      </c>
      <c r="V101" s="127">
        <v>0</v>
      </c>
      <c r="W101" s="127">
        <v>0</v>
      </c>
      <c r="X101" s="127">
        <v>0</v>
      </c>
      <c r="Y101" s="127">
        <v>0</v>
      </c>
      <c r="Z101" s="127">
        <v>0</v>
      </c>
      <c r="AA101" s="127">
        <v>0</v>
      </c>
      <c r="AB101" s="127">
        <v>0</v>
      </c>
      <c r="AC101" s="127">
        <v>0</v>
      </c>
      <c r="AD101" s="127">
        <v>0</v>
      </c>
      <c r="AE101" s="127">
        <v>0</v>
      </c>
      <c r="AF101" s="127">
        <v>0</v>
      </c>
      <c r="AG101" s="127">
        <v>0</v>
      </c>
      <c r="AH101" s="127">
        <v>0</v>
      </c>
      <c r="AI101" s="127">
        <v>0</v>
      </c>
      <c r="AJ101" s="127">
        <v>0</v>
      </c>
      <c r="AK101" s="127">
        <v>0</v>
      </c>
      <c r="AL101" s="127">
        <v>0</v>
      </c>
      <c r="AM101" s="127">
        <v>0</v>
      </c>
      <c r="AN101" s="127">
        <v>0</v>
      </c>
      <c r="AO101" s="127">
        <v>0</v>
      </c>
      <c r="AP101" s="127">
        <v>0</v>
      </c>
      <c r="AQ101" s="127">
        <v>0</v>
      </c>
      <c r="AR101" s="127">
        <v>0</v>
      </c>
      <c r="AS101" s="127">
        <v>0</v>
      </c>
      <c r="AT101" s="127">
        <v>0</v>
      </c>
      <c r="AU101" s="127">
        <v>0</v>
      </c>
      <c r="AV101" s="127">
        <v>0</v>
      </c>
      <c r="AW101" s="127">
        <v>0</v>
      </c>
      <c r="AX101" s="127">
        <v>0</v>
      </c>
      <c r="AY101" s="127">
        <v>0</v>
      </c>
      <c r="AZ101" s="127">
        <v>0</v>
      </c>
      <c r="BA101" s="127">
        <v>0</v>
      </c>
      <c r="BB101" s="127">
        <v>0</v>
      </c>
      <c r="BC101" s="127">
        <v>0</v>
      </c>
      <c r="BD101" s="127">
        <v>0</v>
      </c>
      <c r="BE101" s="127">
        <v>0</v>
      </c>
      <c r="BF101" s="127">
        <v>0</v>
      </c>
      <c r="BG101" s="127">
        <v>0</v>
      </c>
      <c r="BH101" s="127">
        <v>0</v>
      </c>
      <c r="BI101" s="127">
        <v>0</v>
      </c>
      <c r="BJ101" s="127">
        <v>0</v>
      </c>
      <c r="BK101" s="127">
        <v>0</v>
      </c>
      <c r="BL101" s="127">
        <v>0</v>
      </c>
      <c r="BM101" s="127">
        <v>0</v>
      </c>
      <c r="BN101" s="127">
        <v>0</v>
      </c>
      <c r="BO101" s="127">
        <v>0</v>
      </c>
      <c r="BP101" s="127">
        <v>0</v>
      </c>
      <c r="BQ101" s="127">
        <v>0</v>
      </c>
      <c r="BR101" s="127">
        <v>0</v>
      </c>
      <c r="BS101" s="127">
        <v>0</v>
      </c>
      <c r="BT101" s="127">
        <v>0</v>
      </c>
      <c r="BU101" s="127">
        <v>0</v>
      </c>
      <c r="BV101" s="127">
        <v>0</v>
      </c>
      <c r="BW101" s="127">
        <v>0</v>
      </c>
      <c r="BX101" s="127">
        <v>0</v>
      </c>
      <c r="BY101" s="127">
        <v>0</v>
      </c>
      <c r="BZ101" s="127">
        <v>0</v>
      </c>
      <c r="CA101" s="127">
        <v>0</v>
      </c>
      <c r="CB101" s="127">
        <v>0</v>
      </c>
      <c r="CC101" s="127">
        <v>0</v>
      </c>
      <c r="CD101" s="127">
        <v>0</v>
      </c>
      <c r="CE101" s="127">
        <v>0</v>
      </c>
      <c r="CF101" s="127">
        <v>0</v>
      </c>
      <c r="CG101" s="127">
        <v>0</v>
      </c>
      <c r="CH101" s="127">
        <v>0</v>
      </c>
      <c r="CI101" s="127">
        <v>0</v>
      </c>
      <c r="CJ101" s="127">
        <v>0</v>
      </c>
      <c r="CK101" s="127">
        <v>0</v>
      </c>
      <c r="CL101" s="127">
        <v>0</v>
      </c>
      <c r="CM101" s="127">
        <v>0</v>
      </c>
      <c r="CN101" s="127">
        <v>0</v>
      </c>
      <c r="CO101" s="127">
        <v>0</v>
      </c>
      <c r="CP101" s="127">
        <v>0</v>
      </c>
      <c r="CQ101" s="127">
        <v>0</v>
      </c>
      <c r="CR101" s="127">
        <v>0</v>
      </c>
      <c r="CS101" s="127">
        <v>0</v>
      </c>
      <c r="CT101" s="127">
        <v>0</v>
      </c>
      <c r="CU101" s="127">
        <v>0</v>
      </c>
      <c r="CV101" s="127">
        <v>0</v>
      </c>
      <c r="CW101" s="127">
        <v>0</v>
      </c>
      <c r="CX101" s="127">
        <v>0</v>
      </c>
    </row>
    <row r="102" spans="1:102" ht="15" customHeight="1" x14ac:dyDescent="0.2">
      <c r="A102" s="128">
        <v>10</v>
      </c>
      <c r="B102" s="126">
        <v>1</v>
      </c>
      <c r="C102" s="127">
        <v>1</v>
      </c>
      <c r="D102" s="127">
        <v>1</v>
      </c>
      <c r="E102" s="127">
        <v>1</v>
      </c>
      <c r="F102" s="127">
        <v>1</v>
      </c>
      <c r="G102" s="127">
        <v>0.95</v>
      </c>
      <c r="H102" s="127">
        <v>0.85</v>
      </c>
      <c r="I102" s="127">
        <v>0.8</v>
      </c>
      <c r="J102" s="127">
        <v>0.7</v>
      </c>
      <c r="K102" s="127">
        <v>0.6</v>
      </c>
      <c r="L102" s="127">
        <v>0.5</v>
      </c>
      <c r="M102" s="127">
        <v>0.4</v>
      </c>
      <c r="N102" s="127">
        <v>0.3</v>
      </c>
      <c r="O102" s="127">
        <v>0.2</v>
      </c>
      <c r="P102" s="127">
        <v>0.1</v>
      </c>
      <c r="Q102" s="127">
        <v>0</v>
      </c>
      <c r="R102" s="127">
        <v>0</v>
      </c>
      <c r="S102" s="127">
        <v>0</v>
      </c>
      <c r="T102" s="127">
        <v>0</v>
      </c>
      <c r="U102" s="127">
        <v>0</v>
      </c>
      <c r="V102" s="127">
        <v>0</v>
      </c>
      <c r="W102" s="127">
        <v>0</v>
      </c>
      <c r="X102" s="127">
        <v>0</v>
      </c>
      <c r="Y102" s="127">
        <v>0</v>
      </c>
      <c r="Z102" s="127">
        <v>0</v>
      </c>
      <c r="AA102" s="127">
        <v>0</v>
      </c>
      <c r="AB102" s="127">
        <v>0</v>
      </c>
      <c r="AC102" s="127">
        <v>0</v>
      </c>
      <c r="AD102" s="127">
        <v>0</v>
      </c>
      <c r="AE102" s="127">
        <v>0</v>
      </c>
      <c r="AF102" s="127">
        <v>0</v>
      </c>
      <c r="AG102" s="127">
        <v>0</v>
      </c>
      <c r="AH102" s="127">
        <v>0</v>
      </c>
      <c r="AI102" s="127">
        <v>0</v>
      </c>
      <c r="AJ102" s="127">
        <v>0</v>
      </c>
      <c r="AK102" s="127">
        <v>0</v>
      </c>
      <c r="AL102" s="127">
        <v>0</v>
      </c>
      <c r="AM102" s="127">
        <v>0</v>
      </c>
      <c r="AN102" s="127">
        <v>0</v>
      </c>
      <c r="AO102" s="127">
        <v>0</v>
      </c>
      <c r="AP102" s="127">
        <v>0</v>
      </c>
      <c r="AQ102" s="127">
        <v>0</v>
      </c>
      <c r="AR102" s="127">
        <v>0</v>
      </c>
      <c r="AS102" s="127">
        <v>0</v>
      </c>
      <c r="AT102" s="127">
        <v>0</v>
      </c>
      <c r="AU102" s="127">
        <v>0</v>
      </c>
      <c r="AV102" s="127">
        <v>0</v>
      </c>
      <c r="AW102" s="127">
        <v>0</v>
      </c>
      <c r="AX102" s="127">
        <v>0</v>
      </c>
      <c r="AY102" s="127">
        <v>0</v>
      </c>
      <c r="AZ102" s="127">
        <v>0</v>
      </c>
      <c r="BA102" s="127">
        <v>0</v>
      </c>
      <c r="BB102" s="127">
        <v>0</v>
      </c>
      <c r="BC102" s="127">
        <v>0</v>
      </c>
      <c r="BD102" s="127">
        <v>0</v>
      </c>
      <c r="BE102" s="127">
        <v>0</v>
      </c>
      <c r="BF102" s="127">
        <v>0</v>
      </c>
      <c r="BG102" s="127">
        <v>0</v>
      </c>
      <c r="BH102" s="127">
        <v>0</v>
      </c>
      <c r="BI102" s="127">
        <v>0</v>
      </c>
      <c r="BJ102" s="127">
        <v>0</v>
      </c>
      <c r="BK102" s="127">
        <v>0</v>
      </c>
      <c r="BL102" s="127">
        <v>0</v>
      </c>
      <c r="BM102" s="127">
        <v>0</v>
      </c>
      <c r="BN102" s="127">
        <v>0</v>
      </c>
      <c r="BO102" s="127">
        <v>0</v>
      </c>
      <c r="BP102" s="127">
        <v>0</v>
      </c>
      <c r="BQ102" s="127">
        <v>0</v>
      </c>
      <c r="BR102" s="127">
        <v>0</v>
      </c>
      <c r="BS102" s="127">
        <v>0</v>
      </c>
      <c r="BT102" s="127">
        <v>0</v>
      </c>
      <c r="BU102" s="127">
        <v>0</v>
      </c>
      <c r="BV102" s="127">
        <v>0</v>
      </c>
      <c r="BW102" s="127">
        <v>0</v>
      </c>
      <c r="BX102" s="127">
        <v>0</v>
      </c>
      <c r="BY102" s="127">
        <v>0</v>
      </c>
      <c r="BZ102" s="127">
        <v>0</v>
      </c>
      <c r="CA102" s="127">
        <v>0</v>
      </c>
      <c r="CB102" s="127">
        <v>0</v>
      </c>
      <c r="CC102" s="127">
        <v>0</v>
      </c>
      <c r="CD102" s="127">
        <v>0</v>
      </c>
      <c r="CE102" s="127">
        <v>0</v>
      </c>
      <c r="CF102" s="127">
        <v>0</v>
      </c>
      <c r="CG102" s="127">
        <v>0</v>
      </c>
      <c r="CH102" s="127">
        <v>0</v>
      </c>
      <c r="CI102" s="127">
        <v>0</v>
      </c>
      <c r="CJ102" s="127">
        <v>0</v>
      </c>
      <c r="CK102" s="127">
        <v>0</v>
      </c>
      <c r="CL102" s="127">
        <v>0</v>
      </c>
      <c r="CM102" s="127">
        <v>0</v>
      </c>
      <c r="CN102" s="127">
        <v>0</v>
      </c>
      <c r="CO102" s="127">
        <v>0</v>
      </c>
      <c r="CP102" s="127">
        <v>0</v>
      </c>
      <c r="CQ102" s="127">
        <v>0</v>
      </c>
      <c r="CR102" s="127">
        <v>0</v>
      </c>
      <c r="CS102" s="127">
        <v>0</v>
      </c>
      <c r="CT102" s="127">
        <v>0</v>
      </c>
      <c r="CU102" s="127">
        <v>0</v>
      </c>
      <c r="CV102" s="127">
        <v>0</v>
      </c>
      <c r="CW102" s="127">
        <v>0</v>
      </c>
      <c r="CX102" s="127">
        <v>0</v>
      </c>
    </row>
  </sheetData>
  <pageMargins left="0.7" right="0.7" top="0.75" bottom="0.75" header="0.3" footer="0.3"/>
  <pageSetup orientation="portrait"/>
  <headerFooter>
    <oddFooter>&amp;L_x000D_&amp;1#&amp;"Calibri"&amp;10&amp;K000000 Sirket Ici / Kuruma Ozel&amp;C&amp;"Helvetica,Regular"&amp;12&amp;K000000&amp;P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15</vt:i4>
      </vt:variant>
      <vt:variant>
        <vt:lpstr>Adlandırılmış Aralıklar</vt:lpstr>
      </vt:variant>
      <vt:variant>
        <vt:i4>1</vt:i4>
      </vt:variant>
    </vt:vector>
  </HeadingPairs>
  <TitlesOfParts>
    <vt:vector size="16" baseType="lpstr">
      <vt:lpstr>Kurs</vt:lpstr>
      <vt:lpstr>Hakemler</vt:lpstr>
      <vt:lpstr>AtM_D</vt:lpstr>
      <vt:lpstr>AtM_E</vt:lpstr>
      <vt:lpstr>KP_D</vt:lpstr>
      <vt:lpstr>KP_E</vt:lpstr>
      <vt:lpstr>D_D</vt:lpstr>
      <vt:lpstr>D_E</vt:lpstr>
      <vt:lpstr>Y_D</vt:lpstr>
      <vt:lpstr>Y_E</vt:lpstr>
      <vt:lpstr>Sonuclar</vt:lpstr>
      <vt:lpstr>Table_1</vt:lpstr>
      <vt:lpstr>Uzman_D</vt:lpstr>
      <vt:lpstr>Uzman_E</vt:lpstr>
      <vt:lpstr>Tablo_E</vt:lpstr>
      <vt:lpstr>Table_1!Yazdırma_Alanı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Yunus Emre Yalçıner</cp:lastModifiedBy>
  <dcterms:created xsi:type="dcterms:W3CDTF">2024-12-29T10:08:31Z</dcterms:created>
  <dcterms:modified xsi:type="dcterms:W3CDTF">2024-12-29T19:24:50Z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8961b5-2fab-49f6-a979-9f523087ebed_Enabled">
    <vt:lpwstr>true</vt:lpwstr>
  </property>
  <property fmtid="{D5CDD505-2E9C-101B-9397-08002B2CF9AE}" pid="3" name="MSIP_Label_908961b5-2fab-49f6-a979-9f523087ebed_SetDate">
    <vt:lpwstr>2024-12-27T22:39:33Z</vt:lpwstr>
  </property>
  <property fmtid="{D5CDD505-2E9C-101B-9397-08002B2CF9AE}" pid="4" name="MSIP_Label_908961b5-2fab-49f6-a979-9f523087ebed_Method">
    <vt:lpwstr>Standard</vt:lpwstr>
  </property>
  <property fmtid="{D5CDD505-2E9C-101B-9397-08002B2CF9AE}" pid="5" name="MSIP_Label_908961b5-2fab-49f6-a979-9f523087ebed_Name">
    <vt:lpwstr>Kuruma Ozel</vt:lpwstr>
  </property>
  <property fmtid="{D5CDD505-2E9C-101B-9397-08002B2CF9AE}" pid="6" name="MSIP_Label_908961b5-2fab-49f6-a979-9f523087ebed_SiteId">
    <vt:lpwstr>2d464966-bfce-461e-a323-cae76903999b</vt:lpwstr>
  </property>
  <property fmtid="{D5CDD505-2E9C-101B-9397-08002B2CF9AE}" pid="7" name="MSIP_Label_908961b5-2fab-49f6-a979-9f523087ebed_ActionId">
    <vt:lpwstr>20aea1f1-5c43-418f-a970-0efa1b13d34e</vt:lpwstr>
  </property>
  <property fmtid="{D5CDD505-2E9C-101B-9397-08002B2CF9AE}" pid="8" name="MSIP_Label_908961b5-2fab-49f6-a979-9f523087ebed_ContentBits">
    <vt:lpwstr>2</vt:lpwstr>
  </property>
</Properties>
</file>